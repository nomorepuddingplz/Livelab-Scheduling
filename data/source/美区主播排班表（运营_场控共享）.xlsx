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.05 -2026.10.11" sheetId="2" r:id="rId5"/>
    <sheet name="2026.09.28 -2026.10.04" sheetId="3" r:id="rId6"/>
    <sheet name="2026.09.21 -2026.09.27" sheetId="4" r:id="rId7"/>
    <sheet name="2026.09.14 -2026.09.20" sheetId="5" r:id="rId8"/>
    <sheet name="2026.09.07 -2026.09.13" sheetId="6" r:id="rId9"/>
    <sheet name="2026.08.31 -2026.09.06" sheetId="7" r:id="rId10"/>
    <sheet name="2026.08.24 -2026.08.30" sheetId="8" r:id="rId11"/>
    <sheet name="2026.08.17 -2026.08.23" sheetId="9" r:id="rId12"/>
    <sheet name="2026.08.10 -2026.08.16" sheetId="10" r:id="rId13"/>
    <sheet name="2026.08.03 -2026.08.09" sheetId="11" r:id="rId14"/>
    <sheet name="2026.07.27 -2026.08.02" sheetId="12" r:id="rId15"/>
    <sheet name="2026.07.20 -2026.07.26" sheetId="13" r:id="rId16"/>
    <sheet name="2026.07.13 -2026.07.19" sheetId="14" r:id="rId17"/>
    <sheet name="2026.07.06 -2026.07.12" sheetId="15" r:id="rId1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<sst xmlns="http://schemas.openxmlformats.org/spreadsheetml/2006/main" count="7185" uniqueCount="7185">
  <si>
    <t xml:space="preserve">  </t>
  </si>
  <si>
    <t xml:space="preserve">   </t>
  </si>
  <si>
    <t xml:space="preserve">Basic Training</t>
  </si>
  <si>
    <t xml:space="preserve">Monday</t>
  </si>
  <si>
    <t xml:space="preserve">11am-1:30pm</t>
  </si>
  <si>
    <t xml:space="preserve">Michael</t>
  </si>
  <si>
    <t xml:space="preserve">Miya</t>
  </si>
  <si>
    <t xml:space="preserve">3619 Eastham Drive</t>
  </si>
  <si>
    <t xml:space="preserve">YES</t>
  </si>
  <si>
    <t xml:space="preserve">Nathan</t>
  </si>
  <si>
    <t xml:space="preserve">Interview Support</t>
  </si>
  <si>
    <t xml:space="preserve">Wednesday</t>
  </si>
  <si>
    <t xml:space="preserve">1pm-6pm</t>
  </si>
  <si>
    <t xml:space="preserve">Thursday</t>
  </si>
  <si>
    <t xml:space="preserve">10am-6pm</t>
  </si>
  <si>
    <t xml:space="preserve">Friday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</si>
  <si>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</si>
  <si>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</si>
  <si>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</si>
  <si>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</si>
  <si>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</si>
  <si>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</si>
  <si>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</si>
  <si>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</si>
  <si>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</si>
  <si>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雅迪电动车Video Shooting</t>
  </si>
  <si>
    <t xml:space="preserve">B-ROLL Shooting</t>
  </si>
  <si>
    <t xml:space="preserve">徕芬Video Shooting</t>
  </si>
  <si>
    <t xml:space="preserve">PENDING</t>
  </si>
  <si>
    <t xml:space="preserve">Mobeso Shooting</t>
  </si>
  <si>
    <t xml:space="preserve">8461 Higuera Street</t>
  </si>
  <si>
    <t xml:space="preserve">Joyin</t>
  </si>
  <si>
    <t xml:space="preserve">Hours</t>
  </si>
  <si>
    <t xml:space="preserve">Mod（写清楚场控跟播的时间段）</t>
  </si>
  <si>
    <t xml:space="preserve">6:00pm - 10:00pm</t>
  </si>
  <si>
    <t xml:space="preserve">Iris (Alexis) Perry</t>
  </si>
  <si>
    <t xml:space="preserve">Live 6-10</t>
  </si>
  <si>
    <t xml:space="preserve">4:00pm - 7:00pm</t>
  </si>
  <si>
    <t xml:space="preserve">Live 4-7</t>
  </si>
  <si>
    <t xml:space="preserve">7:00pm - 10:00pm</t>
  </si>
  <si>
    <t xml:space="preserve">Simone Baker</t>
  </si>
  <si>
    <t xml:space="preserve">Live 7-10</t>
  </si>
  <si>
    <t xml:space="preserve">Joyin Mod</t>
  </si>
  <si>
    <t xml:space="preserve">5:30pm - 10:30pm</t>
  </si>
  <si>
    <t xml:space="preserve">Ziying Zheng (Coco)</t>
  </si>
  <si>
    <t xml:space="preserve">3:30pm - 7:00pm</t>
  </si>
  <si>
    <t xml:space="preserve">Ying Xiong (Grace)</t>
  </si>
  <si>
    <t xml:space="preserve">Larq</t>
  </si>
  <si>
    <t xml:space="preserve">每周目标8h</t>
  </si>
  <si>
    <t xml:space="preserve">Larq training</t>
  </si>
  <si>
    <t xml:space="preserve">Tuesday</t>
  </si>
  <si>
    <t xml:space="preserve">3:00 PM–7:00 PM</t>
  </si>
  <si>
    <t xml:space="preserve">Lisa Meyerovich</t>
  </si>
  <si>
    <t xml:space="preserve">7:00 PM–9:00 PM</t>
  </si>
  <si>
    <t xml:space="preserve">3:00 PM–5:00 PM</t>
  </si>
  <si>
    <t xml:space="preserve">Sunday</t>
  </si>
  <si>
    <t xml:space="preserve">9:00 AM–11:00 AM</t>
  </si>
  <si>
    <t xml:space="preserve">Xtool</t>
  </si>
  <si>
    <t xml:space="preserve">每周目标42h</t>
  </si>
  <si>
    <t xml:space="preserve">Xtool Training</t>
  </si>
  <si>
    <t xml:space="preserve">4:00 PM–7:00 PM</t>
  </si>
  <si>
    <t xml:space="preserve">Jack Farmer</t>
  </si>
  <si>
    <t xml:space="preserve">4:00 PM–8:00 PM</t>
  </si>
  <si>
    <t xml:space="preserve">7:00 PM–10:00 PM</t>
  </si>
  <si>
    <t xml:space="preserve">Parker Elliott</t>
  </si>
  <si>
    <t xml:space="preserve">11:00 AM–3:00 PM</t>
  </si>
  <si>
    <t xml:space="preserve">Frank Hunter</t>
  </si>
  <si>
    <t xml:space="preserve">Maximillian</t>
  </si>
  <si>
    <t xml:space="preserve">9:00 AM–12:00 PM</t>
  </si>
  <si>
    <t xml:space="preserve">Joseph Davis Massingill</t>
  </si>
  <si>
    <t xml:space="preserve">12:00 PM–3:00 PM</t>
  </si>
  <si>
    <t xml:space="preserve">4:00 PM–6:00 PM</t>
  </si>
  <si>
    <t xml:space="preserve">6:00 PM–8:00 PM</t>
  </si>
  <si>
    <t xml:space="preserve">10:00 AM–2:00 PM</t>
  </si>
  <si>
    <t xml:space="preserve">6:00 PM–9:00 PM</t>
  </si>
  <si>
    <t xml:space="preserve">Saturday</t>
  </si>
  <si>
    <t xml:space="preserve">12:00 PM–4:00 PM</t>
  </si>
  <si>
    <t xml:space="preserve">1:00 PM–5:00 PM</t>
  </si>
  <si>
    <t xml:space="preserve">Xtool Mod</t>
  </si>
  <si>
    <t xml:space="preserve">10:45 AM–3 PM</t>
  </si>
  <si>
    <t xml:space="preserve">Juan Castillo</t>
  </si>
  <si>
    <t xml:space="preserve">3:45 PM–7:15 PM</t>
  </si>
  <si>
    <t xml:space="preserve">Venus</t>
  </si>
  <si>
    <t xml:space="preserve">8:45 AM–12:15 PM</t>
  </si>
  <si>
    <t xml:space="preserve">3:45 PM–6:00 PM</t>
  </si>
  <si>
    <t xml:space="preserve">Calvin</t>
  </si>
  <si>
    <t xml:space="preserve">4:00 PM–7:30 PM</t>
  </si>
  <si>
    <t xml:space="preserve">Zhaoen Fan</t>
  </si>
  <si>
    <t xml:space="preserve">11:45 AM–3:15 PM</t>
  </si>
  <si>
    <t xml:space="preserve">Christian Zuniga</t>
  </si>
  <si>
    <t xml:space="preserve">6:00 PM–8:15 PM</t>
  </si>
  <si>
    <t xml:space="preserve">9:45 AM–10:45 AM</t>
  </si>
  <si>
    <t/>
    <r>
      <rPr>
        <u val="single"/>
        <color theme="10"/>
      </rPr>
      <t xml:space="preserve">@Ziyou Tang</t>
    </r>
  </si>
  <si>
    <t xml:space="preserve">10:45 AM–2:15 PM</t>
  </si>
  <si>
    <t xml:space="preserve">6:00 PM–9:15 PM</t>
  </si>
  <si>
    <t xml:space="preserve">11:45 AM–4 PM</t>
  </si>
  <si>
    <t xml:space="preserve">12:45 PM–5:15 PM</t>
  </si>
  <si>
    <t/>
    <r>
      <rPr>
        <u val="single"/>
        <color theme="10"/>
      </rPr>
      <t xml:space="preserve">@Ziyou Tang</t>
    </r>
  </si>
  <si>
    <t xml:space="preserve">Xtool WP</t>
  </si>
  <si>
    <t xml:space="preserve">每周目标14h</t>
  </si>
  <si>
    <t xml:space="preserve">12:00 PM–2:00 PM</t>
  </si>
  <si>
    <t xml:space="preserve">8:00 PM–10:00 PM</t>
  </si>
  <si>
    <t xml:space="preserve">6:30 PM–8:30 PM</t>
  </si>
  <si>
    <t xml:space="preserve">10:00 AM–12:00 PM</t>
  </si>
  <si>
    <t xml:space="preserve">Xtool WP mod</t>
  </si>
  <si>
    <t xml:space="preserve">8:45 AM–11:00 AM</t>
  </si>
  <si>
    <t xml:space="preserve">11:45 AM–2:15 PM</t>
  </si>
  <si>
    <t xml:space="preserve">7:45 PM–10:15 PM</t>
  </si>
  <si>
    <t xml:space="preserve">6:15 PM–8:45 PM</t>
  </si>
  <si>
    <t xml:space="preserve">9:45 AM–12:15 AM</t>
  </si>
  <si>
    <t xml:space="preserve">Xtool Ebay</t>
  </si>
  <si>
    <t xml:space="preserve">每周目标6h</t>
  </si>
  <si>
    <t xml:space="preserve">Xtool eBay</t>
  </si>
  <si>
    <t xml:space="preserve">8:00 AM–11:00 AM</t>
  </si>
  <si>
    <t xml:space="preserve">Brian Linsley</t>
  </si>
  <si>
    <t xml:space="preserve">Xtool eBay mod</t>
  </si>
  <si>
    <t xml:space="preserve">7:45 AM–11:15 AM</t>
  </si>
  <si>
    <t/>
    <r>
      <rPr>
        <u val="single"/>
        <color theme="10"/>
      </rPr>
      <t xml:space="preserve">@Ziyou Tang</t>
    </r>
  </si>
  <si>
    <t xml:space="preserve">9:00 AM–12:15 PM</t>
  </si>
  <si>
    <t xml:space="preserve">shokz</t>
  </si>
  <si>
    <t xml:space="preserve">Shokz training</t>
  </si>
  <si>
    <t xml:space="preserve">Jack</t>
  </si>
  <si>
    <t xml:space="preserve">cam</t>
  </si>
  <si>
    <t xml:space="preserve">9:00 PM–11:00 PM</t>
  </si>
  <si>
    <t xml:space="preserve">Shokz</t>
  </si>
  <si>
    <t xml:space="preserve">Bianca Foscht</t>
  </si>
  <si>
    <t xml:space="preserve">12:00pm-4:00pm</t>
  </si>
  <si>
    <t xml:space="preserve">8:00 AM–12:00 PM</t>
  </si>
  <si>
    <t xml:space="preserve">5:00 PM–7:00 PM</t>
  </si>
  <si>
    <t xml:space="preserve">7:00 AM–10:00 AM</t>
  </si>
  <si>
    <t xml:space="preserve">9:00-11:00AM</t>
  </si>
  <si>
    <t xml:space="preserve">6:00 PM–10:00PM</t>
  </si>
  <si>
    <t xml:space="preserve">Shokz mod</t>
  </si>
  <si>
    <t xml:space="preserve">Momcozy</t>
  </si>
  <si>
    <t xml:space="preserve">使用的账号</t>
  </si>
  <si>
    <t xml:space="preserve">11:00 AM–1:00 PM</t>
  </si>
  <si>
    <t xml:space="preserve">Magdalena Zielonka</t>
  </si>
  <si>
    <t xml:space="preserve">Jillian Reeves</t>
  </si>
  <si>
    <t xml:space="preserve">10:00am-12:00pm</t>
  </si>
  <si>
    <t xml:space="preserve">Momcozy mod</t>
  </si>
  <si>
    <t xml:space="preserve">10:45 AM–1:15 PM</t>
  </si>
  <si>
    <t xml:space="preserve">9:45 AM–12:15 PM</t>
  </si>
  <si>
    <t xml:space="preserve">9:45:00 AM–12 PM</t>
  </si>
  <si>
    <t xml:space="preserve">2</t>
  </si>
  <si>
    <t xml:space="preserve">Usmile</t>
  </si>
  <si>
    <t xml:space="preserve">每周目标10h</t>
  </si>
  <si>
    <t xml:space="preserve">Usmile training</t>
  </si>
  <si>
    <t xml:space="preserve">Jessica Katz</t>
  </si>
  <si>
    <t xml:space="preserve">Mod Training</t>
  </si>
  <si>
    <t xml:space="preserve"> 4:00-6:00PM</t>
  </si>
  <si>
    <t xml:space="preserve">Carolina G</t>
  </si>
  <si>
    <t xml:space="preserve">2:00 PM–4:00 PM</t>
  </si>
  <si>
    <t xml:space="preserve">Kutloano Headbush</t>
  </si>
  <si>
    <t xml:space="preserve">1:30 PM–3:30 PM</t>
  </si>
  <si>
    <t xml:space="preserve">Usmile mod</t>
  </si>
  <si>
    <t xml:space="preserve">3:45-6:15PM</t>
  </si>
  <si>
    <t xml:space="preserve">1:45 PM–4:00 PM</t>
  </si>
  <si>
    <t xml:space="preserve">1:15 PM–3:45 PM</t>
  </si>
  <si>
    <t xml:space="preserve">4:00 PM–6:15 PM</t>
  </si>
  <si>
    <t/>
    <r>
      <rPr>
        <u val="single"/>
        <color theme="10"/>
      </rPr>
      <t xml:space="preserve">@Ziyou Tang</t>
    </r>
  </si>
  <si>
    <t xml:space="preserve">Ringconn</t>
  </si>
  <si>
    <t xml:space="preserve">Ringconn training</t>
  </si>
  <si>
    <t xml:space="preserve">2:00-4:00pm</t>
  </si>
  <si>
    <t xml:space="preserve">mod training</t>
  </si>
  <si>
    <t xml:space="preserve">11:00-1 PM</t>
  </si>
  <si>
    <t xml:space="preserve">1:00-3:00pm</t>
  </si>
  <si>
    <t xml:space="preserve">Ringconn mod</t>
  </si>
  <si>
    <t xml:space="preserve">5:00 PM–7:15 PM</t>
  </si>
  <si>
    <t xml:space="preserve">主播自己</t>
  </si>
  <si>
    <t xml:space="preserve">12:45-3:15pm</t>
  </si>
  <si>
    <t xml:space="preserve">5:45 PM–8:15 PM</t>
  </si>
  <si>
    <t xml:space="preserve">Insta360</t>
  </si>
  <si>
    <t xml:space="preserve">Insta360 Training</t>
  </si>
  <si>
    <t xml:space="preserve">4:00pm-7:00pm</t>
  </si>
  <si>
    <t xml:space="preserve">AislinnE</t>
  </si>
  <si>
    <t xml:space="preserve">2:00pm-4:00pm</t>
  </si>
  <si>
    <t xml:space="preserve">Marina Hribernig</t>
  </si>
  <si>
    <t xml:space="preserve">2:00pm-7:00pm</t>
  </si>
  <si>
    <t xml:space="preserve">Insta360 Mod training</t>
  </si>
  <si>
    <t xml:space="preserve">1:00pm-3:45pm</t>
  </si>
  <si>
    <t xml:space="preserve">Ian Sandvik</t>
  </si>
  <si>
    <t xml:space="preserve">Lourdes Urquiza</t>
  </si>
  <si>
    <t xml:space="preserve">4:00pm-6:00pm</t>
  </si>
  <si>
    <t xml:space="preserve">3:00pm-5:00pm</t>
  </si>
  <si>
    <t xml:space="preserve">1:30pm-3:30pm</t>
  </si>
  <si>
    <t xml:space="preserve">Insta360 Mod</t>
  </si>
  <si>
    <t xml:space="preserve">3:45pm-6:15pm</t>
  </si>
  <si>
    <t xml:space="preserve">2:45pm-5:15pm</t>
  </si>
  <si>
    <t xml:space="preserve">1:15pm-3:45pm</t>
  </si>
  <si>
    <t/>
    <r>
      <rPr>
        <u val="single"/>
        <color theme="10"/>
      </rPr>
      <t xml:space="preserve">@Ziyou Tang</t>
    </r>
  </si>
  <si>
    <t xml:space="preserve">Govee-亚马逊直播</t>
  </si>
  <si>
    <t xml:space="preserve">Govee</t>
  </si>
  <si>
    <t xml:space="preserve">8:00pm-9:00pm</t>
  </si>
  <si>
    <t xml:space="preserve">Ava Gold</t>
  </si>
  <si>
    <t xml:space="preserve">🔒</t>
  </si>
  <si>
    <t xml:space="preserve">7:00pm-8:00pm</t>
  </si>
  <si>
    <t xml:space="preserve">Jerry Alamo</t>
  </si>
  <si>
    <t xml:space="preserve">show</t>
  </si>
  <si>
    <t xml:space="preserve">Govee Mod</t>
  </si>
  <si>
    <t xml:space="preserve">7:30pm-9:00pm</t>
  </si>
  <si>
    <t xml:space="preserve">Govee Training</t>
  </si>
  <si>
    <t xml:space="preserve">7:30pm-8:00pm</t>
  </si>
  <si>
    <t xml:space="preserve">12:00pm-2:30pm</t>
  </si>
  <si>
    <t xml:space="preserve">5:00pm-5:30pm</t>
  </si>
  <si>
    <t xml:space="preserve">quick meet up，intro，
1 video to brand</t>
  </si>
  <si>
    <t xml:space="preserve">3:30pm-6:00pm</t>
  </si>
  <si>
    <t xml:space="preserve">product training</t>
  </si>
  <si>
    <t xml:space="preserve">7:00pm-8:30pm</t>
  </si>
  <si>
    <t xml:space="preserve">7-8 for watch show, 
8-8:30 for video in real setting </t>
  </si>
  <si>
    <t xml:space="preserve">6:30pm-7:00pm</t>
  </si>
  <si>
    <t xml:space="preserve">7:00pm-7:30pm</t>
  </si>
  <si>
    <t xml:space="preserve">pre show prep</t>
  </si>
  <si>
    <t xml:space="preserve">Cariloha Amazon</t>
  </si>
  <si>
    <t xml:space="preserve">Cariloha</t>
  </si>
  <si>
    <t xml:space="preserve">5:00pm-8:00pm</t>
  </si>
  <si>
    <t xml:space="preserve">Meredith B</t>
  </si>
  <si>
    <t xml:space="preserve">room 4 🔒</t>
  </si>
  <si>
    <t xml:space="preserve">3:00pm-6:00pm</t>
  </si>
  <si>
    <t xml:space="preserve">Rose Donahue</t>
  </si>
  <si>
    <t xml:space="preserve">sophia</t>
  </si>
  <si>
    <t xml:space="preserve">Cariloha Training</t>
  </si>
  <si>
    <t xml:space="preserve">11:00am-1:00pm</t>
  </si>
  <si>
    <t xml:space="preserve">Cariloha Mod</t>
  </si>
  <si>
    <t xml:space="preserve">4:45pm-8:00pm</t>
  </si>
  <si>
    <t xml:space="preserve">2:45pm-6:00pm</t>
  </si>
  <si>
    <t xml:space="preserve">Lovevook Amazon</t>
  </si>
  <si>
    <t xml:space="preserve">Lovevook Amazon Training</t>
  </si>
  <si>
    <t xml:space="preserve">9:30am-11:00am</t>
  </si>
  <si>
    <t xml:space="preserve">Rachel Jackson</t>
  </si>
  <si>
    <t xml:space="preserve">11:30am-1:00pm</t>
  </si>
  <si>
    <t xml:space="preserve">Dilara Foscht</t>
  </si>
  <si>
    <t xml:space="preserve">Lovevook Amazon Trainer</t>
  </si>
  <si>
    <t xml:space="preserve">5:00pm-6:00pm</t>
  </si>
  <si>
    <t xml:space="preserve">Adriana V</t>
  </si>
  <si>
    <t xml:space="preserve">room 4</t>
  </si>
  <si>
    <t xml:space="preserve">sophia， video needed</t>
  </si>
  <si>
    <t xml:space="preserve">Yoleo Amazon</t>
  </si>
  <si>
    <t xml:space="preserve">周播目标9h</t>
  </si>
  <si>
    <t xml:space="preserve">Flower Knows 
花知晓</t>
  </si>
  <si>
    <t xml:space="preserve">Flower Knows</t>
  </si>
  <si>
    <t xml:space="preserve">1:15pm-4:15pm</t>
  </si>
  <si>
    <t xml:space="preserve">10:00am-1:00pm</t>
  </si>
  <si>
    <t xml:space="preserve">11:00am-2:00pm</t>
  </si>
  <si>
    <t xml:space="preserve">Flower Knows Mod</t>
  </si>
  <si>
    <t xml:space="preserve">12:30:00pm-4:00pm</t>
  </si>
  <si>
    <t xml:space="preserve">9:30am-1:00pm</t>
  </si>
  <si>
    <t xml:space="preserve">10:30am-2:00pm</t>
  </si>
  <si>
    <t xml:space="preserve">Flower Knows Training</t>
  </si>
  <si>
    <t xml:space="preserve">2:30pm-4:00pm</t>
  </si>
  <si>
    <t xml:space="preserve">2:00pm-6:00pm</t>
  </si>
  <si>
    <t xml:space="preserve">10:00am-11:00am</t>
  </si>
  <si>
    <t xml:space="preserve">Flower Knows Trainer</t>
  </si>
  <si>
    <t xml:space="preserve">10:00am-12:30pm</t>
  </si>
  <si>
    <t xml:space="preserve">VEVOR TOOL（周播30小时目标）</t>
  </si>
  <si>
    <t xml:space="preserve">VEVOR TOOL</t>
  </si>
  <si>
    <t xml:space="preserve">5:15pm-7:00pm</t>
  </si>
  <si>
    <t xml:space="preserve">Anthony Traina</t>
  </si>
  <si>
    <t xml:space="preserve">8:00pm-11:00pm</t>
  </si>
  <si>
    <t xml:space="preserve">Mojave</t>
  </si>
  <si>
    <t xml:space="preserve">3:00pm-7:00pm</t>
  </si>
  <si>
    <t xml:space="preserve">2:00pm-5:00pm</t>
  </si>
  <si>
    <t xml:space="preserve">VEVOR TOOL Mod</t>
  </si>
  <si>
    <t xml:space="preserve">5:00pm-7:00pm</t>
  </si>
  <si>
    <t xml:space="preserve">William Dennis</t>
  </si>
  <si>
    <t xml:space="preserve">Izzy Mu</t>
  </si>
  <si>
    <t xml:space="preserve">3:45pm-8:00pm</t>
  </si>
  <si>
    <t xml:space="preserve">ziyi</t>
  </si>
  <si>
    <t xml:space="preserve">2:45pm-5:00pm</t>
  </si>
  <si>
    <t xml:space="preserve">7:00pm-11:00pm</t>
  </si>
  <si>
    <t xml:space="preserve">1:45pm-5:00pm</t>
  </si>
  <si>
    <t xml:space="preserve">9:45am-12:00pm</t>
  </si>
  <si>
    <t xml:space="preserve">12:00pm-1:00pm</t>
  </si>
  <si>
    <t xml:space="preserve">Gavin</t>
  </si>
  <si>
    <t xml:space="preserve">VEVOR TOOL Training</t>
  </si>
  <si>
    <t xml:space="preserve">3:00pm-4:00pm</t>
  </si>
  <si>
    <t xml:space="preserve">Ryan Moreno</t>
  </si>
  <si>
    <t xml:space="preserve">nathan</t>
  </si>
  <si>
    <t xml:space="preserve">6:00pm-7:00pm</t>
  </si>
  <si>
    <t xml:space="preserve">Vevor Daily Review</t>
  </si>
  <si>
    <t xml:space="preserve">Vevor Weekly Review</t>
  </si>
  <si>
    <t xml:space="preserve">TOPDON</t>
  </si>
  <si>
    <t xml:space="preserve">12:00pm-3:00pm</t>
  </si>
  <si>
    <t xml:space="preserve">6:00pm-9:00pm</t>
  </si>
  <si>
    <t xml:space="preserve">Daniel Torres Guevara</t>
  </si>
  <si>
    <t xml:space="preserve">4:00pm-10:00pm</t>
  </si>
  <si>
    <t xml:space="preserve">Ali Kassem</t>
  </si>
  <si>
    <t xml:space="preserve">11:00am-5:00pm</t>
  </si>
  <si>
    <t xml:space="preserve">12:00pm-6:00pm</t>
  </si>
  <si>
    <t xml:space="preserve">TOPDON Mod</t>
  </si>
  <si>
    <t xml:space="preserve">9:45am-3:15pm</t>
  </si>
  <si>
    <t xml:space="preserve">5:45pm-9:30pm</t>
  </si>
  <si>
    <t xml:space="preserve">April</t>
  </si>
  <si>
    <t xml:space="preserve">11:45am-3:15pm</t>
  </si>
  <si>
    <t xml:space="preserve">5:45pm-9:15pm</t>
  </si>
  <si>
    <t xml:space="preserve">6:00pm-9:30pm</t>
  </si>
  <si>
    <t xml:space="preserve">3:45pm-10:30pm</t>
  </si>
  <si>
    <t xml:space="preserve">10:45am-5:30pm</t>
  </si>
  <si>
    <t xml:space="preserve">11:45am-6:15pm</t>
  </si>
  <si>
    <t xml:space="preserve">Bluetti</t>
  </si>
  <si>
    <t xml:space="preserve">Orlando Sebastian Ibanez</t>
  </si>
  <si>
    <t xml:space="preserve">主播个人原因临时请假</t>
  </si>
  <si>
    <t xml:space="preserve">1:00pm-3:00pm</t>
  </si>
  <si>
    <t xml:space="preserve">3:00pm-9:00pm</t>
  </si>
  <si>
    <t xml:space="preserve">Bluetti Mod</t>
  </si>
  <si>
    <t xml:space="preserve">MOD+数据</t>
  </si>
  <si>
    <t xml:space="preserve">5:00pm-9:00pm</t>
  </si>
  <si>
    <t xml:space="preserve">rita</t>
  </si>
  <si>
    <t xml:space="preserve">11:45am-6:00pm</t>
  </si>
  <si>
    <t xml:space="preserve">Ismael</t>
  </si>
  <si>
    <t xml:space="preserve">2:45pm-7:00pm</t>
  </si>
  <si>
    <t xml:space="preserve">7:00pm-9:00pm</t>
  </si>
  <si>
    <t xml:space="preserve">12:45pm-3:00pm</t>
  </si>
  <si>
    <t xml:space="preserve">10:45am-2:00pm</t>
  </si>
  <si>
    <t xml:space="preserve">Bluetti Daily Review</t>
  </si>
  <si>
    <t xml:space="preserve">Bluetti Weekly Review</t>
  </si>
  <si>
    <t xml:space="preserve">Creality</t>
  </si>
  <si>
    <t xml:space="preserve">Creality Ebay</t>
  </si>
  <si>
    <t xml:space="preserve">6:00pm-8:00pm</t>
  </si>
  <si>
    <t xml:space="preserve">2:30pm-4:30pm</t>
  </si>
  <si>
    <t xml:space="preserve">Creality mod</t>
  </si>
  <si>
    <t xml:space="preserve">3:45pm-6:00pm</t>
  </si>
  <si>
    <t xml:space="preserve">4:45pm-6:00pm</t>
  </si>
  <si>
    <t xml:space="preserve">5:45pm-8:00pm</t>
  </si>
  <si>
    <t xml:space="preserve">2:15pm-4:30pm</t>
  </si>
  <si>
    <t xml:space="preserve">Creality Daily review</t>
  </si>
  <si>
    <t xml:space="preserve">Creality Weekly Review</t>
  </si>
  <si>
    <t xml:space="preserve">Jackery</t>
  </si>
  <si>
    <t xml:space="preserve">Andy Cobb</t>
  </si>
  <si>
    <t xml:space="preserve">4:00pm-8:00pm</t>
  </si>
  <si>
    <t xml:space="preserve">Sebastian C</t>
  </si>
  <si>
    <t xml:space="preserve">Jackery mod</t>
  </si>
  <si>
    <t xml:space="preserve">2:45pm-6:30pm</t>
  </si>
  <si>
    <t xml:space="preserve">Yu Geng</t>
  </si>
  <si>
    <t xml:space="preserve">9:45am-1:00pm</t>
  </si>
  <si>
    <t xml:space="preserve">11:45am-3:30pm</t>
  </si>
  <si>
    <t xml:space="preserve">3:45pm-7:00pm</t>
  </si>
  <si>
    <t xml:space="preserve">3:45pm-8:30pm</t>
  </si>
  <si>
    <t xml:space="preserve">4:45pm-9:00pm</t>
  </si>
  <si>
    <t xml:space="preserve">Jackery Daily Review</t>
  </si>
  <si>
    <t xml:space="preserve">Cevaton</t>
  </si>
  <si>
    <t xml:space="preserve">Ryan M</t>
  </si>
  <si>
    <t xml:space="preserve">Cevaton training</t>
  </si>
  <si>
    <t xml:space="preserve">Cevaton mod</t>
  </si>
  <si>
    <t xml:space="preserve">Vevor Auction</t>
  </si>
  <si>
    <t xml:space="preserve">Vevor Auction training</t>
  </si>
  <si>
    <t xml:space="preserve">Vevor Auction mod</t>
  </si>
  <si>
    <t xml:space="preserve">Wavytalk（周播32H目标）</t>
  </si>
  <si>
    <t xml:space="preserve">Wavytalk</t>
  </si>
  <si>
    <t xml:space="preserve">8:00am-11:00am</t>
  </si>
  <si>
    <t xml:space="preserve">8:00pm-10:00pm</t>
  </si>
  <si>
    <t xml:space="preserve">Erin Micklow</t>
  </si>
  <si>
    <t xml:space="preserve">10:00pm-12:00am</t>
  </si>
  <si>
    <t xml:space="preserve">Wavytalk Mod</t>
  </si>
  <si>
    <t xml:space="preserve">Madox Dorsey</t>
  </si>
  <si>
    <t xml:space="preserve">Shirley He</t>
  </si>
  <si>
    <t xml:space="preserve">8:00pm-12:00am</t>
  </si>
  <si>
    <t xml:space="preserve">Fiona Lee</t>
  </si>
  <si>
    <t xml:space="preserve">Audrey Forrester</t>
  </si>
  <si>
    <t xml:space="preserve">1:00pm-4:00pm</t>
  </si>
  <si>
    <t xml:space="preserve">7:00pm-10:00pm</t>
  </si>
  <si>
    <t xml:space="preserve">11:00am-3:00pm</t>
  </si>
  <si>
    <t xml:space="preserve">6:00pm-10:00pm</t>
  </si>
  <si>
    <t xml:space="preserve">10:00pm - 12:00am</t>
  </si>
  <si>
    <t xml:space="preserve">Austine (Aui)</t>
  </si>
  <si>
    <t xml:space="preserve">Iris Zhang</t>
  </si>
  <si>
    <t xml:space="preserve">Wanyi Zhao</t>
  </si>
  <si>
    <t xml:space="preserve">pending confirm</t>
  </si>
  <si>
    <t xml:space="preserve">Victoria Williams</t>
  </si>
  <si>
    <t xml:space="preserve">9:00pm - 12:00am</t>
  </si>
  <si>
    <t xml:space="preserve">8:00am-10:00am</t>
  </si>
  <si>
    <t xml:space="preserve">Asante Randall</t>
  </si>
  <si>
    <t xml:space="preserve">8:00pm - 12:00am</t>
  </si>
  <si>
    <t xml:space="preserve">WavyTalk Amazon</t>
  </si>
  <si>
    <t xml:space="preserve">Wavytalk Amazon</t>
  </si>
  <si>
    <t xml:space="preserve">6:00pm - 9:00pm</t>
  </si>
  <si>
    <t xml:space="preserve">Wavytalk Amazon Mod</t>
  </si>
  <si>
    <t xml:space="preserve">Yianna（周播48H目标）</t>
  </si>
  <si>
    <t xml:space="preserve">Yianna</t>
  </si>
  <si>
    <t xml:space="preserve">Dina Zavala Fuentes</t>
  </si>
  <si>
    <t xml:space="preserve">Yianna Mod</t>
  </si>
  <si>
    <t xml:space="preserve">5:50pm-9:00pm</t>
  </si>
  <si>
    <t xml:space="preserve">Sarahi Jimenez(Nicole)</t>
  </si>
  <si>
    <t xml:space="preserve">2:50pm-5:50pm</t>
  </si>
  <si>
    <t xml:space="preserve">Stephanie Espinal</t>
  </si>
  <si>
    <t xml:space="preserve">l</t>
  </si>
  <si>
    <t xml:space="preserve">直播时间变动，临时取消她的班次</t>
  </si>
  <si>
    <t xml:space="preserve">4:40pm-9:00pm</t>
  </si>
  <si>
    <t xml:space="preserve">Yianna Video Shooting</t>
  </si>
  <si>
    <t xml:space="preserve">Assiya Louahabi</t>
  </si>
  <si>
    <t xml:space="preserve">2:50pm-9:00pm</t>
  </si>
  <si>
    <t xml:space="preserve">Lovevook（周播24H目标）周六大场</t>
  </si>
  <si>
    <t xml:space="preserve">直播间</t>
  </si>
  <si>
    <t xml:space="preserve">Lovevook</t>
  </si>
  <si>
    <t xml:space="preserve">Jessie Canizales</t>
  </si>
  <si>
    <t xml:space="preserve">1号</t>
  </si>
  <si>
    <t xml:space="preserve">Lovevook Mod</t>
  </si>
  <si>
    <t xml:space="preserve">2:00pm-4:30pm</t>
  </si>
  <si>
    <t/>
    <r>
      <rPr>
        <u val="single"/>
        <color theme="10"/>
      </rPr>
      <t xml:space="preserve">@Zixuan Wang</t>
    </r>
  </si>
  <si>
    <t xml:space="preserve">Lovevook Training</t>
  </si>
  <si>
    <t xml:space="preserve">Manni Xu</t>
  </si>
  <si>
    <t xml:space="preserve">4:30pm-7:00pm</t>
  </si>
  <si>
    <t xml:space="preserve">12:20pm-3:20pm</t>
  </si>
  <si>
    <t/>
    <r>
      <rPr>
        <u val="single"/>
        <color theme="10"/>
      </rPr>
      <t xml:space="preserve">@Zixuan Wang</t>
    </r>
    <r>
      <rPr/>
      <t>带开场30分钟</t>
    </r>
  </si>
  <si>
    <t xml:space="preserve">3:20pm-3:50pm</t>
  </si>
  <si>
    <t/>
    <r>
      <rPr>
        <u val="single"/>
        <color theme="10"/>
      </rPr>
      <t xml:space="preserve">@Zixuan Wang</t>
    </r>
  </si>
  <si>
    <t xml:space="preserve">3:50pm-6:20pm</t>
  </si>
  <si>
    <t xml:space="preserve">9:30am-1:30pm</t>
  </si>
  <si>
    <t xml:space="preserve">3:30pm-5:30pm</t>
  </si>
  <si>
    <t xml:space="preserve">9:00am-12:30pm</t>
  </si>
  <si>
    <t xml:space="preserve">Wenhui Wu (Wendy)</t>
  </si>
  <si>
    <t/>
    <r>
      <rPr>
        <u val="single"/>
        <color theme="10"/>
      </rPr>
      <t xml:space="preserve">@Zixuan Wang</t>
    </r>
    <r>
      <rPr/>
      <t>开场</t>
    </r>
  </si>
  <si>
    <t xml:space="preserve">12:30pm-2:00pm</t>
  </si>
  <si>
    <t/>
    <r>
      <rPr>
        <u val="single"/>
        <color theme="10"/>
      </rPr>
      <t xml:space="preserve">@Zixuan Wang</t>
    </r>
  </si>
  <si>
    <t xml:space="preserve">2:00pm-5:45pm</t>
  </si>
  <si>
    <t xml:space="preserve">9:00am-1:00pm</t>
  </si>
  <si>
    <t xml:space="preserve">8:30am-12:30pm</t>
  </si>
  <si>
    <t/>
    <r>
      <rPr>
        <u val="single"/>
        <color theme="10"/>
      </rPr>
      <t xml:space="preserve">@Zixuan Wang</t>
    </r>
  </si>
  <si>
    <t xml:space="preserve">2:00pm-5:15pm</t>
  </si>
  <si>
    <t xml:space="preserve">Kristina Dow</t>
  </si>
  <si>
    <t/>
    <r>
      <rPr>
        <u val="single"/>
        <color theme="10"/>
      </rPr>
      <t xml:space="preserve">@Zixuan Wang</t>
    </r>
  </si>
  <si>
    <t xml:space="preserve">1:00pm-5:00pm</t>
  </si>
  <si>
    <t xml:space="preserve">1:20pm-4:20pm</t>
  </si>
  <si>
    <t xml:space="preserve">4:20pm-4:50pm</t>
  </si>
  <si>
    <t/>
    <r>
      <rPr>
        <u val="single"/>
        <color theme="10"/>
      </rPr>
      <t xml:space="preserve">@Zixuan Wang</t>
    </r>
  </si>
  <si>
    <t xml:space="preserve">4:50pm-7:20pm</t>
  </si>
  <si>
    <t xml:space="preserve">Younique Nails</t>
  </si>
  <si>
    <t xml:space="preserve">confirm</t>
  </si>
  <si>
    <t xml:space="preserve">DCSVIP</t>
  </si>
  <si>
    <t xml:space="preserve">DCSVIP Mod</t>
  </si>
  <si>
    <t xml:space="preserve">DCSVIP Training</t>
  </si>
  <si>
    <t xml:space="preserve">DCSVIP Assistant</t>
  </si>
  <si>
    <t xml:space="preserve">Bagsmart Travel</t>
  </si>
  <si>
    <t xml:space="preserve">Bagsmart Travel Mod</t>
  </si>
  <si>
    <t xml:space="preserve">3:30pm-7:15pm</t>
  </si>
  <si>
    <t xml:space="preserve">Byron</t>
  </si>
  <si>
    <t/>
    <r>
      <rPr/>
      <t xml:space="preserve">6-7 </t>
    </r>
    <r>
      <rPr>
        <u val="single"/>
        <color theme="10"/>
      </rPr>
      <t xml:space="preserve">@Xi Chen</t>
    </r>
  </si>
  <si>
    <t xml:space="preserve">Bagsmart Mod Training</t>
  </si>
  <si>
    <t xml:space="preserve">Bagsmart Lifestyle</t>
  </si>
  <si>
    <t xml:space="preserve">Jennie Marie Pacelli</t>
  </si>
  <si>
    <t xml:space="preserve">Bagsmart Lifestyle Mod</t>
  </si>
  <si>
    <t xml:space="preserve">9:30am-1:15pm</t>
  </si>
  <si>
    <t xml:space="preserve">UMi</t>
  </si>
  <si>
    <t xml:space="preserve">7:30pm-10:30pm</t>
  </si>
  <si>
    <t xml:space="preserve">UMi Mod</t>
  </si>
  <si>
    <t xml:space="preserve">7:00pm-10:30pm</t>
  </si>
  <si>
    <t xml:space="preserve">7:15pm-10:30pm</t>
  </si>
  <si>
    <t xml:space="preserve">11:45am-3:00pm</t>
  </si>
  <si>
    <t xml:space="preserve">UMi Training</t>
  </si>
  <si>
    <t xml:space="preserve">2:30pm-3:00pm</t>
  </si>
  <si>
    <t xml:space="preserve">6:00pm-6:30pm</t>
  </si>
  <si>
    <t xml:space="preserve">4:00pm-4:30pm</t>
  </si>
  <si>
    <t xml:space="preserve">5:45pm-9:00pm</t>
  </si>
  <si>
    <t xml:space="preserve">1:30pm-2:00pm</t>
  </si>
  <si>
    <t xml:space="preserve">3:00pm-3:30pm</t>
  </si>
  <si>
    <t xml:space="preserve">Aelfric Eden</t>
  </si>
  <si>
    <t xml:space="preserve">Aelfric Eden Mod</t>
  </si>
  <si>
    <t xml:space="preserve">Kate</t>
  </si>
  <si>
    <t xml:space="preserve">12:45pm-5:00pm</t>
  </si>
  <si>
    <t xml:space="preserve">5:00pm-9:15pm</t>
  </si>
  <si>
    <t xml:space="preserve">Aelfric Eden Training</t>
  </si>
  <si>
    <t xml:space="preserve"> </t>
  </si>
  <si>
    <t xml:space="preserve">   </t>
  </si>
  <si>
    <t xml:space="preserve">Basic Training</t>
  </si>
  <si>
    <t xml:space="preserve">Thursday</t>
  </si>
  <si>
    <t xml:space="preserve">11am-1:30pm</t>
  </si>
  <si>
    <t xml:space="preserve">Jack Farmers</t>
  </si>
  <si>
    <t xml:space="preserve">Miya</t>
  </si>
  <si>
    <t xml:space="preserve">3619 Eastham Drive</t>
  </si>
  <si>
    <t xml:space="preserve">YES</t>
  </si>
  <si>
    <t xml:space="preserve">Sunday</t>
  </si>
  <si>
    <t xml:space="preserve">11am-12:30pm</t>
  </si>
  <si>
    <t xml:space="preserve">Christian Sariol</t>
  </si>
  <si>
    <t xml:space="preserve">Interview Support</t>
  </si>
  <si>
    <t xml:space="preserve">Monday</t>
  </si>
  <si>
    <t xml:space="preserve">10am-3pm</t>
  </si>
  <si>
    <t xml:space="preserve">Xianglin Li (Lexi)</t>
  </si>
  <si>
    <t xml:space="preserve">10am-4pm</t>
  </si>
  <si>
    <t xml:space="preserve">10am-2pm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</si>
  <si>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</si>
  <si>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</si>
  <si>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</si>
  <si>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</si>
  <si>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</si>
  <si>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</si>
  <si>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</si>
  <si>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</si>
  <si>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</si>
  <si>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雅迪电动车Video Shooting</t>
  </si>
  <si>
    <t xml:space="preserve">B-ROLL Shooting</t>
  </si>
  <si>
    <t xml:space="preserve">徕芬Video Shooting</t>
  </si>
  <si>
    <t xml:space="preserve">PENDING</t>
  </si>
  <si>
    <t xml:space="preserve">    </t>
  </si>
  <si>
    <t xml:space="preserve">Mobeso Shooting</t>
  </si>
  <si>
    <t xml:space="preserve">8461 Higuera Street</t>
  </si>
  <si>
    <t xml:space="preserve">VEVOR TOOL（周播30小时目标）</t>
  </si>
  <si>
    <t xml:space="preserve">Mod（写清楚场控跟播的时间段）</t>
  </si>
  <si>
    <t xml:space="preserve">VEVOR TOOL</t>
  </si>
  <si>
    <t xml:space="preserve">4:00pm-7:00pm</t>
  </si>
  <si>
    <t xml:space="preserve">Anthony Traina</t>
  </si>
  <si>
    <t xml:space="preserve">will</t>
  </si>
  <si>
    <t xml:space="preserve">7:00pm-8:00pm</t>
  </si>
  <si>
    <t xml:space="preserve">Joseph Davis Massingill</t>
  </si>
  <si>
    <t xml:space="preserve">Izzy</t>
  </si>
  <si>
    <t xml:space="preserve">8:00pm-11:00pm</t>
  </si>
  <si>
    <t xml:space="preserve">ziyi/will</t>
  </si>
  <si>
    <t xml:space="preserve">3:00pm-7:00pm</t>
  </si>
  <si>
    <t xml:space="preserve">will/ziyi</t>
  </si>
  <si>
    <t xml:space="preserve">Brian Linsley</t>
  </si>
  <si>
    <t xml:space="preserve">8:00pm-10:00pm</t>
  </si>
  <si>
    <t xml:space="preserve">1:30pm-6:00pm</t>
  </si>
  <si>
    <t xml:space="preserve">9:30am-1:30pm</t>
  </si>
  <si>
    <t xml:space="preserve">Juan</t>
  </si>
  <si>
    <t xml:space="preserve">VEVOR TOOL Mod</t>
  </si>
  <si>
    <t xml:space="preserve">William Dennis</t>
  </si>
  <si>
    <t xml:space="preserve">Izzy Mu</t>
  </si>
  <si>
    <t xml:space="preserve">4:00pm-8:00pm</t>
  </si>
  <si>
    <t xml:space="preserve">8:00pm-9:00pm</t>
  </si>
  <si>
    <t xml:space="preserve">ziyi</t>
  </si>
  <si>
    <t xml:space="preserve">9:00pm-11:00pm</t>
  </si>
  <si>
    <t xml:space="preserve">2:30pm-6:00pm</t>
  </si>
  <si>
    <t xml:space="preserve">6:00pm-7:00pm</t>
  </si>
  <si>
    <t xml:space="preserve">7:00pm-10:00pm</t>
  </si>
  <si>
    <t xml:space="preserve">2:00pm-6:00pm</t>
  </si>
  <si>
    <t xml:space="preserve">Juan Castillo</t>
  </si>
  <si>
    <t xml:space="preserve">VEVOR TOOL Training</t>
  </si>
  <si>
    <t xml:space="preserve">3:00pm-11:30pm</t>
  </si>
  <si>
    <t xml:space="preserve">5:30pm-7:00pm</t>
  </si>
  <si>
    <t xml:space="preserve">2:30pm-7:00pm</t>
  </si>
  <si>
    <t xml:space="preserve">8:00pm-11:30pm</t>
  </si>
  <si>
    <t xml:space="preserve">8:30pm-9:30pm</t>
  </si>
  <si>
    <t xml:space="preserve">Yu Geng</t>
  </si>
  <si>
    <t xml:space="preserve">7:00pm-11:00pm</t>
  </si>
  <si>
    <t xml:space="preserve">1:00pm-8:00pm</t>
  </si>
  <si>
    <t xml:space="preserve">12:30pm-8:30pm</t>
  </si>
  <si>
    <t xml:space="preserve">9:00am-4:30pm</t>
  </si>
  <si>
    <t xml:space="preserve">Joyin</t>
  </si>
  <si>
    <t xml:space="preserve">Hours</t>
  </si>
  <si>
    <t xml:space="preserve">Joyin Training</t>
  </si>
  <si>
    <t xml:space="preserve">11:30am - 12:00pm</t>
  </si>
  <si>
    <t xml:space="preserve">Treshon Lyniece Jenkins</t>
  </si>
  <si>
    <t xml:space="preserve">5:00pm - 6:00pm</t>
  </si>
  <si>
    <t xml:space="preserve">Jennie Marie Pacelli</t>
  </si>
  <si>
    <t xml:space="preserve">11:00pm - 12:00am</t>
  </si>
  <si>
    <t xml:space="preserve">Victoria Williams</t>
  </si>
  <si>
    <t xml:space="preserve">2:00pm - 4:00pm</t>
  </si>
  <si>
    <t xml:space="preserve">Carolina</t>
  </si>
  <si>
    <t xml:space="preserve">9:00am - 10:00am</t>
  </si>
  <si>
    <t xml:space="preserve">AislinnE</t>
  </si>
  <si>
    <t xml:space="preserve">4:00pm - 6:00pm</t>
  </si>
  <si>
    <t xml:space="preserve">Jessica Katz</t>
  </si>
  <si>
    <t xml:space="preserve">12:00pm - 4:00pm</t>
  </si>
  <si>
    <t xml:space="preserve">Ying</t>
  </si>
  <si>
    <t xml:space="preserve">4:00pm - 5:00pm</t>
  </si>
  <si>
    <t xml:space="preserve">Ziying</t>
  </si>
  <si>
    <t xml:space="preserve">5:00pm - 6:15pm</t>
  </si>
  <si>
    <t xml:space="preserve">6:00pm - 11:00pm</t>
  </si>
  <si>
    <t xml:space="preserve">Live 6-10pm</t>
  </si>
  <si>
    <t xml:space="preserve">10:00pm - 1:00am</t>
  </si>
  <si>
    <t xml:space="preserve">Ava Gold</t>
  </si>
  <si>
    <t xml:space="preserve">Live 10-12am</t>
  </si>
  <si>
    <t xml:space="preserve">12:00am - 6:00am</t>
  </si>
  <si>
    <t xml:space="preserve">Ivy/Q</t>
  </si>
  <si>
    <t xml:space="preserve">Live 12-3</t>
  </si>
  <si>
    <t xml:space="preserve">3:00am - 7:30am</t>
  </si>
  <si>
    <t xml:space="preserve">Q/mindy</t>
  </si>
  <si>
    <t xml:space="preserve">Live 3-6</t>
  </si>
  <si>
    <t xml:space="preserve">6:00am - 11:00am</t>
  </si>
  <si>
    <t xml:space="preserve">Simone Baker</t>
  </si>
  <si>
    <t xml:space="preserve">Live 6-10</t>
  </si>
  <si>
    <t xml:space="preserve">10:00am - 2:00pm</t>
  </si>
  <si>
    <t xml:space="preserve">Live 10-2</t>
  </si>
  <si>
    <t xml:space="preserve">2:00pm - 7:00pm</t>
  </si>
  <si>
    <t xml:space="preserve">Iris (Alexis) Perry</t>
  </si>
  <si>
    <t xml:space="preserve">Live 2-6 </t>
  </si>
  <si>
    <t xml:space="preserve">9:00pm - 12:00am</t>
  </si>
  <si>
    <t xml:space="preserve">Live 10-12</t>
  </si>
  <si>
    <t xml:space="preserve">12:00am - 4:00am</t>
  </si>
  <si>
    <t xml:space="preserve">Live 12-2 </t>
  </si>
  <si>
    <t xml:space="preserve">2:00am - 3:00am</t>
  </si>
  <si>
    <t xml:space="preserve">Zoe Wang</t>
  </si>
  <si>
    <t xml:space="preserve">Zoe?</t>
  </si>
  <si>
    <t xml:space="preserve">Live 3-6 </t>
  </si>
  <si>
    <t xml:space="preserve">10:00am - 11:00am</t>
  </si>
  <si>
    <t xml:space="preserve">Live 10-11</t>
  </si>
  <si>
    <t xml:space="preserve">11:00am - 3:00pm</t>
  </si>
  <si>
    <t xml:space="preserve">Live 11-2</t>
  </si>
  <si>
    <t xml:space="preserve">Live 2-6</t>
  </si>
  <si>
    <t xml:space="preserve">Live 4-6</t>
  </si>
  <si>
    <t xml:space="preserve">6:00pm - 10:00pm</t>
  </si>
  <si>
    <t xml:space="preserve">Joyin Mod</t>
  </si>
  <si>
    <t xml:space="preserve">12:00pm - 2:30pm</t>
  </si>
  <si>
    <t xml:space="preserve">Ying Xiong</t>
  </si>
  <si>
    <t xml:space="preserve">2:30pm - 4:30pm</t>
  </si>
  <si>
    <t xml:space="preserve">Ziying Zheng</t>
  </si>
  <si>
    <t xml:space="preserve">4:30pm - 6:15pm</t>
  </si>
  <si>
    <t xml:space="preserve">4:30pm - 6:45pm</t>
  </si>
  <si>
    <t xml:space="preserve">3:30pm - 10:30pm</t>
  </si>
  <si>
    <t xml:space="preserve">3:30pm - 6:00pm</t>
  </si>
  <si>
    <t xml:space="preserve">Papablic</t>
  </si>
  <si>
    <t xml:space="preserve">7:00pm - 9:00pm</t>
  </si>
  <si>
    <t xml:space="preserve">Room 3</t>
  </si>
  <si>
    <t xml:space="preserve">Papablic Mod</t>
  </si>
  <si>
    <t xml:space="preserve">6:30pm - 9:30pm</t>
  </si>
  <si>
    <t xml:space="preserve">6:45pm - 10:00pm</t>
  </si>
  <si>
    <t xml:space="preserve">Larq</t>
  </si>
  <si>
    <t xml:space="preserve">每周目标8h</t>
  </si>
  <si>
    <t xml:space="preserve">11:00am-1:00pm</t>
  </si>
  <si>
    <t xml:space="preserve">Dilara Foscht</t>
  </si>
  <si>
    <t xml:space="preserve">10:00am-12:00pm</t>
  </si>
  <si>
    <t xml:space="preserve"> 10:30am-12:30pm</t>
  </si>
  <si>
    <t xml:space="preserve"> 9:00am-11:00am</t>
  </si>
  <si>
    <t xml:space="preserve">9:00am-1:00pm</t>
  </si>
  <si>
    <t xml:space="preserve">rita</t>
  </si>
  <si>
    <t xml:space="preserve">Venus</t>
  </si>
  <si>
    <t xml:space="preserve">room2</t>
  </si>
  <si>
    <t xml:space="preserve">Xtool</t>
  </si>
  <si>
    <t xml:space="preserve">每周目标42h</t>
  </si>
  <si>
    <t xml:space="preserve">8:00am-11:00am</t>
  </si>
  <si>
    <t xml:space="preserve">Frank Hunter</t>
  </si>
  <si>
    <t xml:space="preserve">session canceled</t>
  </si>
  <si>
    <t xml:space="preserve">9:00am-11:00pm</t>
  </si>
  <si>
    <t xml:space="preserve">6:00pm-10:00pm</t>
  </si>
  <si>
    <t xml:space="preserve">3:00-7:00pm</t>
  </si>
  <si>
    <t xml:space="preserve">Xtool Mod</t>
  </si>
  <si>
    <t xml:space="preserve">Christian Zuniga</t>
  </si>
  <si>
    <t xml:space="preserve">Calvin</t>
  </si>
  <si>
    <t xml:space="preserve">venus</t>
  </si>
  <si>
    <t xml:space="preserve">6:00pm-9:00pm</t>
  </si>
  <si>
    <t xml:space="preserve">Emilio</t>
  </si>
  <si>
    <t xml:space="preserve">9:00pm-10:00pm</t>
  </si>
  <si>
    <t/>
    <r>
      <rPr>
        <u val="single"/>
        <color theme="10"/>
      </rPr>
      <t xml:space="preserve">@Ziyou Tang</t>
    </r>
  </si>
  <si>
    <t xml:space="preserve">10:00pm-10:30pm</t>
  </si>
  <si>
    <t xml:space="preserve">复盘</t>
  </si>
  <si>
    <t xml:space="preserve">10:00pm-10:15pm</t>
  </si>
  <si>
    <t xml:space="preserve">没来</t>
  </si>
  <si>
    <t xml:space="preserve">6pm-7:15pm</t>
  </si>
  <si>
    <t xml:space="preserve">8:00am-12:00pm</t>
  </si>
  <si>
    <t xml:space="preserve">Xtool Training</t>
  </si>
  <si>
    <t xml:space="preserve">4:00-7:00pm</t>
  </si>
  <si>
    <t xml:space="preserve">5:00-7:00pm</t>
  </si>
  <si>
    <t xml:space="preserve">5:00pm-8:00pm</t>
  </si>
  <si>
    <t xml:space="preserve">Parker Elliott</t>
  </si>
  <si>
    <t xml:space="preserve">Keith Comley</t>
  </si>
  <si>
    <t xml:space="preserve">1:00pm-7:00pm</t>
  </si>
  <si>
    <t xml:space="preserve">10:00am-8:00pm</t>
  </si>
  <si>
    <t xml:space="preserve">9:00am-5:00pm</t>
  </si>
  <si>
    <t xml:space="preserve">9:00am-6:30pm</t>
  </si>
  <si>
    <t xml:space="preserve">Xtool WP</t>
  </si>
  <si>
    <t xml:space="preserve">3:00pm-5:00pm</t>
  </si>
  <si>
    <t xml:space="preserve">Maximillian</t>
  </si>
  <si>
    <t xml:space="preserve">11:00am-11:30am</t>
  </si>
  <si>
    <t xml:space="preserve">Xtool WP Mod</t>
  </si>
  <si>
    <t/>
    <r>
      <rPr>
        <u val="single"/>
        <color theme="10"/>
      </rPr>
      <t xml:space="preserve">@Zirui He</t>
    </r>
  </si>
  <si>
    <t xml:space="preserve">@ziyou tang</t>
  </si>
  <si>
    <t xml:space="preserve">5:00-6:00pm</t>
  </si>
  <si>
    <t xml:space="preserve">shokz</t>
  </si>
  <si>
    <t xml:space="preserve">8:00am-10:00am</t>
  </si>
  <si>
    <t xml:space="preserve">Bianca Foscht</t>
  </si>
  <si>
    <t xml:space="preserve">10:00-1:00pm</t>
  </si>
  <si>
    <t xml:space="preserve">9:00am-12:00pm</t>
  </si>
  <si>
    <t xml:space="preserve">10:00-12:00</t>
  </si>
  <si>
    <t xml:space="preserve">11:00am-2:00pm</t>
  </si>
  <si>
    <t xml:space="preserve">shokz mod</t>
  </si>
  <si>
    <t xml:space="preserve">10:00-12:00pm</t>
  </si>
  <si>
    <t xml:space="preserve">2:00pm-2:30pm</t>
  </si>
  <si>
    <t xml:space="preserve">项目复盘</t>
  </si>
  <si>
    <t xml:space="preserve">Kasian Wick</t>
  </si>
  <si>
    <t xml:space="preserve">5:30-6:30</t>
  </si>
  <si>
    <t xml:space="preserve">Momcozy</t>
  </si>
  <si>
    <t xml:space="preserve">每周目标6h</t>
  </si>
  <si>
    <t xml:space="preserve">使用的账号</t>
  </si>
  <si>
    <t xml:space="preserve">10am-12pm</t>
  </si>
  <si>
    <t xml:space="preserve">Magdalena Zielonka</t>
  </si>
  <si>
    <t xml:space="preserve">accu(momcozypumpfinds)</t>
  </si>
  <si>
    <t xml:space="preserve">room3</t>
  </si>
  <si>
    <t xml:space="preserve">10:00-am11:30am</t>
  </si>
  <si>
    <t xml:space="preserve">Jillian Reeves</t>
  </si>
  <si>
    <t xml:space="preserve">11:00am-1pm</t>
  </si>
  <si>
    <t xml:space="preserve">Momcozy training</t>
  </si>
  <si>
    <t xml:space="preserve">12:15-2:15pm</t>
  </si>
  <si>
    <t xml:space="preserve">Momcozy Mod</t>
  </si>
  <si>
    <t xml:space="preserve">10:30am-12:30pm</t>
  </si>
  <si>
    <t xml:space="preserve">ziyou tang</t>
  </si>
  <si>
    <t xml:space="preserve">9:30am-11:40am</t>
  </si>
  <si>
    <t xml:space="preserve">Zhaoen Fan(iris)</t>
  </si>
  <si>
    <t xml:space="preserve">setup+写复盘</t>
  </si>
  <si>
    <t xml:space="preserve">setup 写复盘</t>
  </si>
  <si>
    <t xml:space="preserve">11:30am-1:30pm</t>
  </si>
  <si>
    <t xml:space="preserve">1:00pm-2:00pm</t>
  </si>
  <si>
    <t xml:space="preserve">Usmile</t>
  </si>
  <si>
    <t xml:space="preserve">Usmile training</t>
  </si>
  <si>
    <t xml:space="preserve">2:30pm-4:00pm</t>
  </si>
  <si>
    <t xml:space="preserve">6:15pm-8:15pm</t>
  </si>
  <si>
    <t xml:space="preserve">Kutluano Headbush</t>
  </si>
  <si>
    <t xml:space="preserve">Carolina G</t>
  </si>
  <si>
    <t xml:space="preserve">12:00-2:00pm</t>
  </si>
  <si>
    <t xml:space="preserve">Carolina Gutierrez</t>
  </si>
  <si>
    <t xml:space="preserve">10am-11:30am</t>
  </si>
  <si>
    <t xml:space="preserve">11:30am-2:00pm</t>
  </si>
  <si>
    <t xml:space="preserve">2:00-5:00pm</t>
  </si>
  <si>
    <t xml:space="preserve">2:00-4:00pm</t>
  </si>
  <si>
    <t xml:space="preserve">跟播</t>
  </si>
  <si>
    <t xml:space="preserve">4:00-6:00pm</t>
  </si>
  <si>
    <t xml:space="preserve">11:30-1:30pm</t>
  </si>
  <si>
    <t xml:space="preserve">写直播scenario稿子</t>
  </si>
  <si>
    <t xml:space="preserve">3:30-6:00pm</t>
  </si>
  <si>
    <t xml:space="preserve">3:30pm-6:00pm</t>
  </si>
  <si>
    <t xml:space="preserve">Marina Hribernig</t>
  </si>
  <si>
    <t xml:space="preserve">主播emergency</t>
  </si>
  <si>
    <t xml:space="preserve">Usmile mod</t>
  </si>
  <si>
    <t xml:space="preserve">12:00-1:30pm</t>
  </si>
  <si>
    <t xml:space="preserve">Ringconn</t>
  </si>
  <si>
    <t xml:space="preserve">Ringconn training</t>
  </si>
  <si>
    <t xml:space="preserve">3:00-4:30pm</t>
  </si>
  <si>
    <t xml:space="preserve">Laura McGlynn</t>
  </si>
  <si>
    <t xml:space="preserve">1:00-3:00pm</t>
  </si>
  <si>
    <t xml:space="preserve">1:30-3:30pm</t>
  </si>
  <si>
    <t xml:space="preserve">Govee-亚马逊直播</t>
  </si>
  <si>
    <t xml:space="preserve">Govee</t>
  </si>
  <si>
    <t xml:space="preserve">Sophia</t>
  </si>
  <si>
    <t xml:space="preserve">Govee Training</t>
  </si>
  <si>
    <t xml:space="preserve">12:00pm-3:00pm</t>
  </si>
  <si>
    <t xml:space="preserve">Cariloha Amazon</t>
  </si>
  <si>
    <t xml:space="preserve">周播目标9h</t>
  </si>
  <si>
    <t xml:space="preserve">Cariloha</t>
  </si>
  <si>
    <t xml:space="preserve">3:00pm-6:00pm</t>
  </si>
  <si>
    <t xml:space="preserve">Rose Donahue</t>
  </si>
  <si>
    <t xml:space="preserve">Cariloha Mod</t>
  </si>
  <si>
    <t xml:space="preserve">5:45pm-7:00pm</t>
  </si>
  <si>
    <t xml:space="preserve">6:00pm-9:15pm</t>
  </si>
  <si>
    <t xml:space="preserve">Lourdes Urquiza</t>
  </si>
  <si>
    <t xml:space="preserve">Cariloha Training</t>
  </si>
  <si>
    <t xml:space="preserve">2:30pm-6:30pm</t>
  </si>
  <si>
    <t xml:space="preserve">product training, 看播熟悉稿件</t>
  </si>
  <si>
    <t xml:space="preserve">2:30pm-3:00pm</t>
  </si>
  <si>
    <t/>
    <r>
      <rPr>
        <u val="single"/>
        <color theme="10"/>
      </rPr>
      <t xml:space="preserve">@Wentao Du</t>
    </r>
  </si>
  <si>
    <t xml:space="preserve">产品培训</t>
  </si>
  <si>
    <t xml:space="preserve">6:00pm-6:30pm</t>
  </si>
  <si>
    <t xml:space="preserve">录视频</t>
  </si>
  <si>
    <t xml:space="preserve">2:00pm-4:00pm</t>
  </si>
  <si>
    <t xml:space="preserve">rehearsal 2h show的稿子</t>
  </si>
  <si>
    <t xml:space="preserve">1:30pm-2:30pm</t>
  </si>
  <si>
    <t xml:space="preserve">6:00pm-8:00pm</t>
  </si>
  <si>
    <t xml:space="preserve">Meredith B</t>
  </si>
  <si>
    <t xml:space="preserve">跟播 看播熟悉稿件</t>
  </si>
  <si>
    <t xml:space="preserve">12:00pm-2:00pm</t>
  </si>
  <si>
    <t xml:space="preserve">Lovevook Amazon</t>
  </si>
  <si>
    <t xml:space="preserve">Lovevook Training</t>
  </si>
  <si>
    <t xml:space="preserve">Yoleo Amazon</t>
  </si>
  <si>
    <t xml:space="preserve">品牌取消（提前24h）</t>
  </si>
  <si>
    <t xml:space="preserve">Yoleo Amazon Training</t>
  </si>
  <si>
    <t xml:space="preserve">Kutloano Headbush</t>
  </si>
  <si>
    <t xml:space="preserve">Yoleo Amazon Trainer</t>
  </si>
  <si>
    <t xml:space="preserve">Yoleo Amazon Mod</t>
  </si>
  <si>
    <t xml:space="preserve">10:30am-2:00pm</t>
  </si>
  <si>
    <t xml:space="preserve">11:30am-3:00pm</t>
  </si>
  <si>
    <t xml:space="preserve">cancel</t>
  </si>
  <si>
    <t xml:space="preserve">Flower Knows 
花知晓</t>
  </si>
  <si>
    <t xml:space="preserve">Flower Knows</t>
  </si>
  <si>
    <t xml:space="preserve">10:00am-1:00pm</t>
  </si>
  <si>
    <t/>
    <r>
      <rPr>
        <u val="single"/>
        <color theme="10"/>
      </rPr>
      <t xml:space="preserve">@Wentao Du</t>
    </r>
    <r>
      <rPr/>
      <t xml:space="preserve">  Sophia</t>
    </r>
  </si>
  <si>
    <t xml:space="preserve">Flower Knows Training</t>
  </si>
  <si>
    <t xml:space="preserve">1:00pm-3:00pm</t>
  </si>
  <si>
    <t/>
    <r>
      <rPr>
        <u val="single"/>
        <color theme="10"/>
      </rPr>
      <t xml:space="preserve">@Wentao Du</t>
    </r>
    <r>
      <rPr/>
      <t xml:space="preserve">  Sophia</t>
    </r>
  </si>
  <si>
    <t xml:space="preserve">3:00pm-4:30pm</t>
  </si>
  <si>
    <t xml:space="preserve">10:00am-11:00am</t>
  </si>
  <si>
    <t/>
    <r>
      <rPr>
        <u val="single"/>
        <color theme="10"/>
      </rPr>
      <t xml:space="preserve">@Wentao Du</t>
    </r>
    <r>
      <rPr/>
      <t xml:space="preserve">  Sophia</t>
    </r>
  </si>
  <si>
    <t xml:space="preserve">Flower Knows Mod</t>
  </si>
  <si>
    <t xml:space="preserve">9:30:00am-1:00pm</t>
  </si>
  <si>
    <t xml:space="preserve">10:00am-2:00pm</t>
  </si>
  <si>
    <t/>
    <r>
      <rPr>
        <u val="single"/>
        <color theme="10"/>
      </rPr>
      <t xml:space="preserve">@Wentao Du</t>
    </r>
    <r>
      <rPr/>
      <t xml:space="preserve">  Sophia</t>
    </r>
  </si>
  <si>
    <t xml:space="preserve">2:30pm-5:00pm</t>
  </si>
  <si>
    <t xml:space="preserve">1:00pm-1:20pm</t>
  </si>
  <si>
    <t xml:space="preserve">TOPDON</t>
  </si>
  <si>
    <t xml:space="preserve">Daniel Torres Guevara</t>
  </si>
  <si>
    <t xml:space="preserve">Jerry Alamo</t>
  </si>
  <si>
    <t xml:space="preserve">TOPDON Mod</t>
  </si>
  <si>
    <t xml:space="preserve">April</t>
  </si>
  <si>
    <t xml:space="preserve">5:00pm-6:00pm</t>
  </si>
  <si>
    <t xml:space="preserve">cam</t>
  </si>
  <si>
    <t xml:space="preserve">Bluetti</t>
  </si>
  <si>
    <t xml:space="preserve">Orlando Sebastian Ibanez</t>
  </si>
  <si>
    <t xml:space="preserve">4:00pm-9:00pm</t>
  </si>
  <si>
    <t xml:space="preserve">1:00pm-6:00pm</t>
  </si>
  <si>
    <t xml:space="preserve">主播个人原因临时请假</t>
  </si>
  <si>
    <t xml:space="preserve">10:00am-3:00pm</t>
  </si>
  <si>
    <t xml:space="preserve">Bluetti Training</t>
  </si>
  <si>
    <t xml:space="preserve">Maksb</t>
  </si>
  <si>
    <t xml:space="preserve">Bluetti Mod</t>
  </si>
  <si>
    <t xml:space="preserve">5:00pm-10:00pm</t>
  </si>
  <si>
    <t xml:space="preserve">MOD+数据</t>
  </si>
  <si>
    <t xml:space="preserve">10:00am-11:30am</t>
  </si>
  <si>
    <t xml:space="preserve">Ismael</t>
  </si>
  <si>
    <t xml:space="preserve">Cevaton</t>
  </si>
  <si>
    <t xml:space="preserve">4:00pm-6:00pm</t>
  </si>
  <si>
    <t xml:space="preserve">Sebastian C</t>
  </si>
  <si>
    <t xml:space="preserve">gavin</t>
  </si>
  <si>
    <t xml:space="preserve">Ryan Moreno</t>
  </si>
  <si>
    <t xml:space="preserve">Oedro</t>
  </si>
  <si>
    <t xml:space="preserve">Creality</t>
  </si>
  <si>
    <t xml:space="preserve">Creality mod</t>
  </si>
  <si>
    <t xml:space="preserve">Efurden</t>
  </si>
  <si>
    <t xml:space="preserve">Jackery</t>
  </si>
  <si>
    <t xml:space="preserve">Andy Cobb</t>
  </si>
  <si>
    <t xml:space="preserve">12:00pm-4:00pm</t>
  </si>
  <si>
    <t xml:space="preserve">5:00pm-9:00pm</t>
  </si>
  <si>
    <t xml:space="preserve">Jackery Video Shooting</t>
  </si>
  <si>
    <t xml:space="preserve">9:00am-11:00am</t>
  </si>
  <si>
    <t xml:space="preserve">Jackery mod</t>
  </si>
  <si>
    <t xml:space="preserve">4:30pm-8:30pm</t>
  </si>
  <si>
    <t xml:space="preserve">11:30am-4:30pm</t>
  </si>
  <si>
    <t xml:space="preserve">4:30pm-9:30pm</t>
  </si>
  <si>
    <t xml:space="preserve">Qinke Li</t>
  </si>
  <si>
    <t xml:space="preserve">Wavytalk（周播32H目标）</t>
  </si>
  <si>
    <t xml:space="preserve">Wavytalk</t>
  </si>
  <si>
    <t xml:space="preserve">10:00am-12:10pm</t>
  </si>
  <si>
    <t xml:space="preserve">Erin Micklow</t>
  </si>
  <si>
    <t xml:space="preserve">Wavytalk Mod</t>
  </si>
  <si>
    <t xml:space="preserve">Fiona Lee</t>
  </si>
  <si>
    <t xml:space="preserve">10:00pm - 12:00am</t>
  </si>
  <si>
    <t xml:space="preserve">8:00am-11:40am</t>
  </si>
  <si>
    <t xml:space="preserve">Audrey Forrester</t>
  </si>
  <si>
    <t xml:space="preserve">主播个人原因临时取消，不pay</t>
  </si>
  <si>
    <t xml:space="preserve">8:15am-11:00am</t>
  </si>
  <si>
    <t xml:space="preserve">Shirley He</t>
  </si>
  <si>
    <t xml:space="preserve">2:00pm-5:30pm</t>
  </si>
  <si>
    <t xml:space="preserve">5:20pm-8:00pm</t>
  </si>
  <si>
    <t xml:space="preserve">8:00pm - 12:00am</t>
  </si>
  <si>
    <t xml:space="preserve">8:00am-11:05am</t>
  </si>
  <si>
    <t xml:space="preserve">8:00am-9:00am</t>
  </si>
  <si>
    <t xml:space="preserve">2:00pm-4:10pm</t>
  </si>
  <si>
    <t xml:space="preserve">7:00pm-9:00pm</t>
  </si>
  <si>
    <t xml:space="preserve">WavyTalk Amazon</t>
  </si>
  <si>
    <t xml:space="preserve">Wavytalk Amazon</t>
  </si>
  <si>
    <t xml:space="preserve">2:00pm - 5:00pm</t>
  </si>
  <si>
    <t xml:space="preserve">6:00pm - 9:00pm</t>
  </si>
  <si>
    <t xml:space="preserve">Wavytalk Amazon Mod</t>
  </si>
  <si>
    <t xml:space="preserve">Yianna（周播48H目标）</t>
  </si>
  <si>
    <t xml:space="preserve">Yianna</t>
  </si>
  <si>
    <t xml:space="preserve">Dina Zavala Fuentes</t>
  </si>
  <si>
    <t xml:space="preserve">Yianna Mod</t>
  </si>
  <si>
    <t xml:space="preserve">5:50pm-9:00pm</t>
  </si>
  <si>
    <t xml:space="preserve">Sarahi Jimenez(Nicole)</t>
  </si>
  <si>
    <t xml:space="preserve">不pay，爽约没来</t>
  </si>
  <si>
    <t xml:space="preserve">Assiya Louahabi</t>
  </si>
  <si>
    <t xml:space="preserve">Nicole(Sarahi Jimenez )</t>
  </si>
  <si>
    <t xml:space="preserve">l</t>
  </si>
  <si>
    <t xml:space="preserve">Yoleo-The RUN</t>
  </si>
  <si>
    <t xml:space="preserve">Lovevook（周播24H目标）周六大场</t>
  </si>
  <si>
    <t xml:space="preserve">直播间</t>
  </si>
  <si>
    <t xml:space="preserve">Lovevook</t>
  </si>
  <si>
    <t xml:space="preserve">Jessie Canizales</t>
  </si>
  <si>
    <t xml:space="preserve">1号</t>
  </si>
  <si>
    <t xml:space="preserve">Tess Gordon</t>
  </si>
  <si>
    <t xml:space="preserve">5:30pm-9:45pm</t>
  </si>
  <si>
    <t xml:space="preserve">Lovevook Mod</t>
  </si>
  <si>
    <t xml:space="preserve">2:20pm-5:20pm</t>
  </si>
  <si>
    <t xml:space="preserve">Yanjia Wu (Joanne)</t>
  </si>
  <si>
    <t xml:space="preserve">5:20pm-5:50pm</t>
  </si>
  <si>
    <t/>
    <r>
      <rPr>
        <u val="single"/>
        <color theme="10"/>
      </rPr>
      <t xml:space="preserve">@Zixuan Wang</t>
    </r>
  </si>
  <si>
    <t xml:space="preserve">5:50pm-8:20pm</t>
  </si>
  <si>
    <t/>
    <r>
      <rPr>
        <u val="single"/>
        <color theme="10"/>
      </rPr>
      <t xml:space="preserve">@Zixuan Wang</t>
    </r>
  </si>
  <si>
    <t xml:space="preserve">3:50pm-9:15pm</t>
  </si>
  <si>
    <t xml:space="preserve">Manni Xu</t>
  </si>
  <si>
    <t xml:space="preserve">Suzannah Samuel</t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</si>
  <si>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</si>
  <si>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</si>
  <si>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 xml:space="preserve">12:20pm-3:20pm</t>
  </si>
  <si>
    <t xml:space="preserve">场控取消</t>
  </si>
  <si>
    <t xml:space="preserve">3:20pm-3:50pm</t>
  </si>
  <si>
    <t xml:space="preserve">3:50pm-6:20pm</t>
  </si>
  <si>
    <t xml:space="preserve">Wenhui Wu (Wendy)</t>
  </si>
  <si>
    <t/>
    <r>
      <rPr>
        <u val="single"/>
        <color theme="10"/>
      </rPr>
      <t xml:space="preserve">@Zixuan Wang</t>
    </r>
  </si>
  <si>
    <t xml:space="preserve">改到周二</t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</si>
  <si>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</si>
  <si>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</si>
  <si>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</si>
  <si>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 xml:space="preserve">1:20pm-4:20pm</t>
  </si>
  <si>
    <t xml:space="preserve">4:20pm-4:50pm</t>
  </si>
  <si>
    <t/>
    <r>
      <rPr>
        <u val="single"/>
        <color theme="10"/>
      </rPr>
      <t xml:space="preserve">@Zixuan Wang</t>
    </r>
  </si>
  <si>
    <t xml:space="preserve">4:50pm-7:20pm</t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</si>
  <si>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</si>
  <si>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</si>
  <si>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</si>
  <si>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 xml:space="preserve">Younique Nails</t>
  </si>
  <si>
    <t xml:space="preserve">confirm</t>
  </si>
  <si>
    <t xml:space="preserve">DCSVIP</t>
  </si>
  <si>
    <t xml:space="preserve">品牌方取消</t>
  </si>
  <si>
    <t xml:space="preserve">DCSVIP Training</t>
  </si>
  <si>
    <t xml:space="preserve">5:30pm-6:30pm</t>
  </si>
  <si>
    <t/>
    <r>
      <rPr>
        <u val="single"/>
        <color theme="10"/>
      </rPr>
      <t xml:space="preserve">@Zixuan Wang</t>
    </r>
  </si>
  <si>
    <t xml:space="preserve">品牌方取消，移到lovevook</t>
  </si>
  <si>
    <t xml:space="preserve">DCSVIP Mod</t>
  </si>
  <si>
    <t xml:space="preserve">6:45pm-10:00pm</t>
  </si>
  <si>
    <t xml:space="preserve">5:45pm-9:00pm</t>
  </si>
  <si>
    <t xml:space="preserve">Byron</t>
  </si>
  <si>
    <t xml:space="preserve">Wei Huang (Azzy)</t>
  </si>
  <si>
    <t/>
    <r>
      <rPr>
        <u val="single"/>
        <color theme="10"/>
      </rPr>
      <t xml:space="preserve">@Zixuan Wang</t>
    </r>
  </si>
  <si>
    <t xml:space="preserve">DCSVIP Assistant</t>
  </si>
  <si>
    <t xml:space="preserve">2:00pm-7:30pm</t>
  </si>
  <si>
    <t xml:space="preserve">Ranxi Li</t>
  </si>
  <si>
    <t xml:space="preserve">2:00pm-10:00pm</t>
  </si>
  <si>
    <t xml:space="preserve">2:20pm-10:20pm</t>
  </si>
  <si>
    <t xml:space="preserve">4:00pm-10:00pm</t>
  </si>
  <si>
    <t xml:space="preserve">2:00pm-8:00pm</t>
  </si>
  <si>
    <t xml:space="preserve">DJI</t>
  </si>
  <si>
    <t xml:space="preserve">运营（写清楚场控跟播的时间段）</t>
  </si>
  <si>
    <t xml:space="preserve">Back up</t>
  </si>
  <si>
    <t xml:space="preserve">Bagsmart Travel</t>
  </si>
  <si>
    <t xml:space="preserve">3:45pm-7:00pm</t>
  </si>
  <si>
    <t xml:space="preserve">Rachel Jackson</t>
  </si>
  <si>
    <t xml:space="preserve">Bagsmart Travel Mod</t>
  </si>
  <si>
    <t xml:space="preserve">3:30pm-7:15pm</t>
  </si>
  <si>
    <t xml:space="preserve">Ian Sandvik</t>
  </si>
  <si>
    <t xml:space="preserve">Bagsmart Training</t>
  </si>
  <si>
    <t xml:space="preserve">12:30pm-5:00pm</t>
  </si>
  <si>
    <t xml:space="preserve">Bagsmart Lifestyle</t>
  </si>
  <si>
    <t xml:space="preserve">9:45am-1:00pm</t>
  </si>
  <si>
    <t xml:space="preserve">Bagsmart Lifestyle Mod</t>
  </si>
  <si>
    <t xml:space="preserve">9:30am-1:15pm</t>
  </si>
  <si>
    <t xml:space="preserve">10:30am-2:15pm</t>
  </si>
  <si>
    <t xml:space="preserve">UMi</t>
  </si>
  <si>
    <t xml:space="preserve">7:30pm-10:30pm</t>
  </si>
  <si>
    <t xml:space="preserve">UMi Mod</t>
  </si>
  <si>
    <t xml:space="preserve">7:00pm-10:30pm</t>
  </si>
  <si>
    <t xml:space="preserve">4:45pm-8:00pm</t>
  </si>
  <si>
    <t xml:space="preserve">7:15pm-10:30pm</t>
  </si>
  <si>
    <t xml:space="preserve">11:45am-3:00pm</t>
  </si>
  <si>
    <t xml:space="preserve">1:00pm-4:00pm</t>
  </si>
  <si>
    <t xml:space="preserve">2:00pm-5:00pm</t>
  </si>
  <si>
    <t xml:space="preserve">1:45pm-5:00pm</t>
  </si>
  <si>
    <t xml:space="preserve">UMi Training</t>
  </si>
  <si>
    <t xml:space="preserve">4:00pm-4:30pm</t>
  </si>
  <si>
    <t xml:space="preserve">1:30pm-2:00pm</t>
  </si>
  <si>
    <t xml:space="preserve">3:00pm-3:30pm</t>
  </si>
  <si>
    <t xml:space="preserve">Aelfric Eden</t>
  </si>
  <si>
    <t xml:space="preserve">Aelfric Eden Mod</t>
  </si>
  <si>
    <t xml:space="preserve">Kate</t>
  </si>
  <si>
    <t xml:space="preserve">zoey</t>
  </si>
  <si>
    <t xml:space="preserve">   </t>
  </si>
  <si>
    <t xml:space="preserve">Basic Training</t>
  </si>
  <si>
    <t xml:space="preserve">Monday</t>
  </si>
  <si>
    <t xml:space="preserve">11am-1:30pm</t>
  </si>
  <si>
    <t xml:space="preserve">Jessica Katz</t>
  </si>
  <si>
    <t xml:space="preserve">Miya</t>
  </si>
  <si>
    <t xml:space="preserve">3619 Eastham Drive</t>
  </si>
  <si>
    <t xml:space="preserve">YES</t>
  </si>
  <si>
    <t xml:space="preserve">Sunday</t>
  </si>
  <si>
    <t xml:space="preserve">11：30am-1:30pm</t>
  </si>
  <si>
    <t xml:space="preserve">Ryan M</t>
  </si>
  <si>
    <t xml:space="preserve">Lisa</t>
  </si>
  <si>
    <t xml:space="preserve">Carolina</t>
  </si>
  <si>
    <t xml:space="preserve">Interview Support</t>
  </si>
  <si>
    <t xml:space="preserve">Wednesday</t>
  </si>
  <si>
    <t xml:space="preserve">1pm-6pm</t>
  </si>
  <si>
    <t xml:space="preserve">Thursday</t>
  </si>
  <si>
    <t xml:space="preserve">10am-6pm</t>
  </si>
  <si>
    <t xml:space="preserve">Friday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</si>
  <si>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</si>
  <si>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</si>
  <si>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</si>
  <si>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</si>
  <si>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</si>
  <si>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</si>
  <si>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</si>
  <si>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</si>
  <si>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</si>
  <si>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雅迪电动车Video Shooting</t>
  </si>
  <si>
    <t xml:space="preserve">B-ROLL Shooting</t>
  </si>
  <si>
    <t xml:space="preserve">徕芬Video Shooting</t>
  </si>
  <si>
    <t xml:space="preserve">PENDING</t>
  </si>
  <si>
    <t xml:space="preserve">Mobeso Shooting</t>
  </si>
  <si>
    <t xml:space="preserve">8461 Higuera Street</t>
  </si>
  <si>
    <t xml:space="preserve">VEVOR TOOL（周播30小时目标）</t>
  </si>
  <si>
    <t xml:space="preserve">Mod（写清楚场控跟播的时间段）</t>
  </si>
  <si>
    <t xml:space="preserve">VEVOR TOOL</t>
  </si>
  <si>
    <t xml:space="preserve">4:00pm-7:00pm</t>
  </si>
  <si>
    <t xml:space="preserve">Anthony Traina</t>
  </si>
  <si>
    <t xml:space="preserve">will</t>
  </si>
  <si>
    <t xml:space="preserve">7:00pm-8:00pm</t>
  </si>
  <si>
    <t xml:space="preserve">Joseph Davis Massingill</t>
  </si>
  <si>
    <t xml:space="preserve"> Victoria rose</t>
  </si>
  <si>
    <t xml:space="preserve">8:00pm-11:00pm</t>
  </si>
  <si>
    <t xml:space="preserve">Victoria rose</t>
  </si>
  <si>
    <t xml:space="preserve">ziyi/will</t>
  </si>
  <si>
    <t xml:space="preserve">3:00pm-7:00pm</t>
  </si>
  <si>
    <t xml:space="preserve">ziyi</t>
  </si>
  <si>
    <t xml:space="preserve">1:00pm-3:00pm</t>
  </si>
  <si>
    <t xml:space="preserve">3:00pm-4:00pm</t>
  </si>
  <si>
    <t xml:space="preserve">Brian Linsley</t>
  </si>
  <si>
    <t xml:space="preserve">主播迟到不pay</t>
  </si>
  <si>
    <t xml:space="preserve">4:00pm-5:00pm</t>
  </si>
  <si>
    <t xml:space="preserve">VEVOR TOOL Mod</t>
  </si>
  <si>
    <t xml:space="preserve">4:00pm-8:00pm</t>
  </si>
  <si>
    <t xml:space="preserve">William Dennis</t>
  </si>
  <si>
    <t xml:space="preserve">8:00pm-12:00am</t>
  </si>
  <si>
    <t xml:space="preserve">Victoria Rose</t>
  </si>
  <si>
    <t xml:space="preserve">3:30pm-8:00pm</t>
  </si>
  <si>
    <t xml:space="preserve">8:00pm-9:00pm</t>
  </si>
  <si>
    <t xml:space="preserve">9:00pm-11:00pm</t>
  </si>
  <si>
    <t xml:space="preserve">2:30pm-6:00pm</t>
  </si>
  <si>
    <t xml:space="preserve">6:00pm-7:00pm</t>
  </si>
  <si>
    <t xml:space="preserve">7:00pm-11:00pm</t>
  </si>
  <si>
    <t xml:space="preserve">12:30pm-3:00pm</t>
  </si>
  <si>
    <t xml:space="preserve">3:00pm-5:00pm</t>
  </si>
  <si>
    <t xml:space="preserve">VEVOR TOOL Training</t>
  </si>
  <si>
    <t xml:space="preserve">1:30pm-5:30pm</t>
  </si>
  <si>
    <t xml:space="preserve">6:00pm-11:30pm</t>
  </si>
  <si>
    <t xml:space="preserve">2:30pm-8:00pm</t>
  </si>
  <si>
    <t xml:space="preserve">9:00pm-11:30pm</t>
  </si>
  <si>
    <t xml:space="preserve">1:30pm-6:00pm</t>
  </si>
  <si>
    <t xml:space="preserve">7:30pm-11:30pm</t>
  </si>
  <si>
    <t xml:space="preserve">12:30pm-9:00pm</t>
  </si>
  <si>
    <t xml:space="preserve">12:00pm-8:00pm</t>
  </si>
  <si>
    <t xml:space="preserve">2:00pm-6:00pm</t>
  </si>
  <si>
    <t xml:space="preserve">Joyin</t>
  </si>
  <si>
    <t xml:space="preserve">Hours</t>
  </si>
  <si>
    <t xml:space="preserve">5:00pm - 7:00pm</t>
  </si>
  <si>
    <t xml:space="preserve">Ava Gold</t>
  </si>
  <si>
    <t xml:space="preserve">Live 6-7</t>
  </si>
  <si>
    <t xml:space="preserve">Room 5</t>
  </si>
  <si>
    <t xml:space="preserve">7:00pm - 11:00pm</t>
  </si>
  <si>
    <t xml:space="preserve">Simone Baker</t>
  </si>
  <si>
    <t xml:space="preserve">Live 7-10</t>
  </si>
  <si>
    <t xml:space="preserve">3:00pm - 6:00pm</t>
  </si>
  <si>
    <t xml:space="preserve">Jennie Marie Pacelli</t>
  </si>
  <si>
    <t xml:space="preserve">Live 4-6</t>
  </si>
  <si>
    <t xml:space="preserve">6:00pm - 11:00pm</t>
  </si>
  <si>
    <t xml:space="preserve">Live 6-10</t>
  </si>
  <si>
    <t xml:space="preserve">Leland H</t>
  </si>
  <si>
    <t xml:space="preserve">Joyin Training</t>
  </si>
  <si>
    <t xml:space="preserve">4:00pm - 5:00pm</t>
  </si>
  <si>
    <t xml:space="preserve">David Archy</t>
  </si>
  <si>
    <t xml:space="preserve">3:00pm - 5:00pm</t>
  </si>
  <si>
    <t xml:space="preserve">我们24小时内取消，pay half</t>
  </si>
  <si>
    <t xml:space="preserve">1:00pm - 3:00pm</t>
  </si>
  <si>
    <t xml:space="preserve">我们提前24小时取消，no pay</t>
  </si>
  <si>
    <t xml:space="preserve">1:30pm - 3:30pm</t>
  </si>
  <si>
    <t xml:space="preserve">Cassi</t>
  </si>
  <si>
    <t xml:space="preserve">Astrid Salas</t>
  </si>
  <si>
    <t xml:space="preserve">Lesure Fresh</t>
  </si>
  <si>
    <t xml:space="preserve"> </t>
  </si>
  <si>
    <t xml:space="preserve">4:00pm - 6:00pm</t>
  </si>
  <si>
    <t xml:space="preserve">Iris (Alexis) Perry</t>
  </si>
  <si>
    <t xml:space="preserve">Room 3</t>
  </si>
  <si>
    <t xml:space="preserve">Lesure Fresh Mod</t>
  </si>
  <si>
    <t xml:space="preserve">3:30pm - 7:00pm</t>
  </si>
  <si>
    <t xml:space="preserve">Ziying</t>
  </si>
  <si>
    <t xml:space="preserve">3:30pm - 6:30pm</t>
  </si>
  <si>
    <t xml:space="preserve">Lesure Fresh Training</t>
  </si>
  <si>
    <t xml:space="preserve">Ying</t>
  </si>
  <si>
    <t xml:space="preserve">Papablic</t>
  </si>
  <si>
    <t xml:space="preserve">7:00pm - 9:00pm</t>
  </si>
  <si>
    <t xml:space="preserve">8:00pm - 10:00pm</t>
  </si>
  <si>
    <t xml:space="preserve">Ayala</t>
  </si>
  <si>
    <t xml:space="preserve">主播取消</t>
  </si>
  <si>
    <t xml:space="preserve">Papablic Mod</t>
  </si>
  <si>
    <t xml:space="preserve">6:30pm - 9:30pm</t>
  </si>
  <si>
    <t xml:space="preserve">7:30pm - 10:30pm</t>
  </si>
  <si>
    <t xml:space="preserve">提前取消</t>
  </si>
  <si>
    <t xml:space="preserve">Papablic Training</t>
  </si>
  <si>
    <t xml:space="preserve">3:00pm - 4:00pm</t>
  </si>
  <si>
    <t xml:space="preserve">Xtool</t>
  </si>
  <si>
    <t xml:space="preserve">每周目标42h</t>
  </si>
  <si>
    <t xml:space="preserve">6:00pm-10:00pm</t>
  </si>
  <si>
    <t xml:space="preserve">Frank Hunter</t>
  </si>
  <si>
    <t xml:space="preserve">9:00am-1:00pm</t>
  </si>
  <si>
    <t xml:space="preserve">7:00pm-10:00pm</t>
  </si>
  <si>
    <t xml:space="preserve">Maximillian</t>
  </si>
  <si>
    <t xml:space="preserve">Xtool Training</t>
  </si>
  <si>
    <t xml:space="preserve">1:00pm-2:40pm</t>
  </si>
  <si>
    <t xml:space="preserve">Emilio</t>
  </si>
  <si>
    <t xml:space="preserve">1:00pm-5:00pm</t>
  </si>
  <si>
    <t xml:space="preserve">Xtool Mod</t>
  </si>
  <si>
    <t xml:space="preserve">Venus</t>
  </si>
  <si>
    <t xml:space="preserve">6:30pm-10:30pm</t>
  </si>
  <si>
    <t xml:space="preserve">training host</t>
  </si>
  <si>
    <t xml:space="preserve">Juan Castillo</t>
  </si>
  <si>
    <t xml:space="preserve">7:00pm-11:30pm</t>
  </si>
  <si>
    <t xml:space="preserve">rita</t>
  </si>
  <si>
    <t xml:space="preserve">Xtool WP</t>
  </si>
  <si>
    <t xml:space="preserve">每周目标</t>
  </si>
  <si>
    <t xml:space="preserve">4:00pm-6:00pm</t>
  </si>
  <si>
    <t xml:space="preserve">Xtool WP Mod</t>
  </si>
  <si>
    <t xml:space="preserve">Zhaoen Fan(iris)</t>
  </si>
  <si>
    <t xml:space="preserve">Larq</t>
  </si>
  <si>
    <t xml:space="preserve">每周目标8h</t>
  </si>
  <si>
    <t xml:space="preserve">10:00am-12:00pm</t>
  </si>
  <si>
    <t xml:space="preserve">Dilara Foscht</t>
  </si>
  <si>
    <t xml:space="preserve">       10:30am-12:30pm</t>
  </si>
  <si>
    <t xml:space="preserve">       9:30am-11:30am</t>
  </si>
  <si>
    <t xml:space="preserve">       10:00am-1:00pm</t>
  </si>
  <si>
    <t xml:space="preserve">room2</t>
  </si>
  <si>
    <t xml:space="preserve">Momcozy</t>
  </si>
  <si>
    <t xml:space="preserve">使用的账号</t>
  </si>
  <si>
    <t xml:space="preserve">2:00pm-4:00pm</t>
  </si>
  <si>
    <t xml:space="preserve">Rose Donahue</t>
  </si>
  <si>
    <t xml:space="preserve">accu(momcozypumpfinds)</t>
  </si>
  <si>
    <t xml:space="preserve">room2 </t>
  </si>
  <si>
    <t xml:space="preserve">4:00-6:00pm</t>
  </si>
  <si>
    <t xml:space="preserve">Magdalena Zielonka</t>
  </si>
  <si>
    <t xml:space="preserve">11-1pm</t>
  </si>
  <si>
    <t xml:space="preserve">Momcozy Video</t>
  </si>
  <si>
    <t xml:space="preserve">1-2pm</t>
  </si>
  <si>
    <t xml:space="preserve">Emily Bolt</t>
  </si>
  <si>
    <t/>
    <r>
      <rPr>
        <u val="single"/>
        <color theme="10"/>
      </rPr>
      <t xml:space="preserve">@Ziyou Tang</t>
    </r>
  </si>
  <si>
    <t xml:space="preserve">3-4:30pm</t>
  </si>
  <si>
    <t xml:space="preserve">Sandra Harrison</t>
  </si>
  <si>
    <t/>
    <r>
      <rPr>
        <u val="single"/>
        <color theme="10"/>
      </rPr>
      <t xml:space="preserve">@Ziyou Tang</t>
    </r>
  </si>
  <si>
    <t xml:space="preserve">11:30-1pm</t>
  </si>
  <si>
    <t/>
    <r>
      <rPr>
        <u val="single"/>
        <color theme="10"/>
      </rPr>
      <t xml:space="preserve">@Ziyou Tang</t>
    </r>
  </si>
  <si>
    <t xml:space="preserve">Momcozy training</t>
  </si>
  <si>
    <t xml:space="preserve">11:00am-1pm</t>
  </si>
  <si>
    <t/>
    <r>
      <rPr>
        <u val="single"/>
        <color theme="10"/>
      </rPr>
      <t xml:space="preserve">@Ziyou Tang</t>
    </r>
  </si>
  <si>
    <t xml:space="preserve">11:00am-2pm</t>
  </si>
  <si>
    <t xml:space="preserve">Jillian Reeves</t>
  </si>
  <si>
    <t/>
    <r>
      <rPr>
        <u val="single"/>
        <color theme="10"/>
      </rPr>
      <t xml:space="preserve">@Ziyou Tang</t>
    </r>
  </si>
  <si>
    <t xml:space="preserve">11:00am-3:30pm</t>
  </si>
  <si>
    <t xml:space="preserve">Shuyi Deng(Yida)</t>
  </si>
  <si>
    <t/>
    <r>
      <rPr>
        <u val="single"/>
        <color theme="10"/>
      </rPr>
      <t xml:space="preserve">@Ziyou Tang</t>
    </r>
  </si>
  <si>
    <t xml:space="preserve">2:00pm-4:30pm</t>
  </si>
  <si>
    <t/>
    <r>
      <rPr>
        <u val="single"/>
        <color theme="10"/>
      </rPr>
      <t xml:space="preserve">@Ziyou Tang</t>
    </r>
  </si>
  <si>
    <t xml:space="preserve">视频拍摄</t>
  </si>
  <si>
    <t xml:space="preserve">11:00am-1:00pm</t>
  </si>
  <si>
    <t/>
    <r>
      <rPr>
        <u val="single"/>
        <color theme="10"/>
      </rPr>
      <t xml:space="preserve">@Ziyou Tang</t>
    </r>
  </si>
  <si>
    <t xml:space="preserve">10-11:30am</t>
  </si>
  <si>
    <t/>
    <r>
      <rPr>
        <u val="single"/>
        <color theme="10"/>
      </rPr>
      <t xml:space="preserve">@Ziyou Tang</t>
    </r>
  </si>
  <si>
    <t xml:space="preserve">Halara Video Shooting</t>
  </si>
  <si>
    <t/>
    <r>
      <rPr>
        <u val="single"/>
        <color theme="10"/>
      </rPr>
      <t xml:space="preserve">@Ziyou Tang</t>
    </r>
  </si>
  <si>
    <t xml:space="preserve">2-3 pm</t>
  </si>
  <si>
    <t xml:space="preserve">auction training</t>
  </si>
  <si>
    <t xml:space="preserve">9-10am</t>
  </si>
  <si>
    <t xml:space="preserve">12:00-2pm</t>
  </si>
  <si>
    <t xml:space="preserve">12pm-2:30pm</t>
  </si>
  <si>
    <t xml:space="preserve">pay as a host</t>
  </si>
  <si>
    <t/>
    <r>
      <rPr>
        <u val="single"/>
        <color theme="10"/>
      </rPr>
      <t xml:space="preserve">@Ziyou Tang</t>
    </r>
  </si>
  <si>
    <t xml:space="preserve">Momcozy Mod</t>
  </si>
  <si>
    <t/>
    <r>
      <rPr>
        <u val="single"/>
        <color theme="10"/>
      </rPr>
      <t xml:space="preserve">@Ziyou Tang</t>
    </r>
  </si>
  <si>
    <t/>
    <r>
      <rPr>
        <u val="single"/>
        <color theme="10"/>
      </rPr>
      <t xml:space="preserve">@Ziyou Tang</t>
    </r>
  </si>
  <si>
    <t/>
    <r>
      <rPr>
        <u val="single"/>
        <color theme="10"/>
      </rPr>
      <t xml:space="preserve">@Ziyou Tang</t>
    </r>
  </si>
  <si>
    <t xml:space="preserve">Govee-亚马逊直播</t>
  </si>
  <si>
    <t xml:space="preserve">Govee Training</t>
  </si>
  <si>
    <t xml:space="preserve">10:50am-2:00pm</t>
  </si>
  <si>
    <t xml:space="preserve">Sophia</t>
  </si>
  <si>
    <t xml:space="preserve">govee power point </t>
  </si>
  <si>
    <t xml:space="preserve">4:30pm-5:30pm</t>
  </si>
  <si>
    <t xml:space="preserve">govee new product set up </t>
  </si>
  <si>
    <t xml:space="preserve">Cariloha</t>
  </si>
  <si>
    <t xml:space="preserve">5:30pm-8:30pm</t>
  </si>
  <si>
    <t xml:space="preserve">3:00pm-6:00pm</t>
  </si>
  <si>
    <t xml:space="preserve">Cariloha Mod</t>
  </si>
  <si>
    <t xml:space="preserve">3:30pm-7:00pm</t>
  </si>
  <si>
    <t xml:space="preserve">Cariloha Training</t>
  </si>
  <si>
    <t xml:space="preserve">room 4  stream  time</t>
  </si>
  <si>
    <t xml:space="preserve">3:45pm-5:00pm</t>
  </si>
  <si>
    <t xml:space="preserve">Sandra, video </t>
  </si>
  <si>
    <t xml:space="preserve">training sandra</t>
  </si>
  <si>
    <t xml:space="preserve">11:00am-3:00pm</t>
  </si>
  <si>
    <t xml:space="preserve">11:00am-12:00pm</t>
  </si>
  <si>
    <t xml:space="preserve">rehearsal 1h </t>
  </si>
  <si>
    <t xml:space="preserve">2:30pm-3:00pm</t>
  </si>
  <si>
    <t xml:space="preserve">room 4 </t>
  </si>
  <si>
    <t xml:space="preserve">10:00am-12:30pm</t>
  </si>
  <si>
    <t xml:space="preserve">9:45am-12:30pm</t>
  </si>
  <si>
    <t xml:space="preserve">Wondamo</t>
  </si>
  <si>
    <t xml:space="preserve">Yoleo Amazon</t>
  </si>
  <si>
    <t xml:space="preserve">Bianca Foscht</t>
  </si>
  <si>
    <t xml:space="preserve">Yoleo Amazon Training</t>
  </si>
  <si>
    <t xml:space="preserve">12:00pm-12:45pm</t>
  </si>
  <si>
    <t xml:space="preserve">12:30pm-2:30pm</t>
  </si>
  <si>
    <t xml:space="preserve">script </t>
  </si>
  <si>
    <t xml:space="preserve">11:30am-1:00pm</t>
  </si>
  <si>
    <t xml:space="preserve">hands on practice </t>
  </si>
  <si>
    <t xml:space="preserve">12:30pm-2:00pm</t>
  </si>
  <si>
    <t xml:space="preserve">11:00am-12:30pm</t>
  </si>
  <si>
    <t xml:space="preserve">Yoleo Amazon Mod</t>
  </si>
  <si>
    <t xml:space="preserve">Flower Knows 
花知晓</t>
  </si>
  <si>
    <t xml:space="preserve">Flower Knows Training</t>
  </si>
  <si>
    <t xml:space="preserve">2:30pm-4:30pm</t>
  </si>
  <si>
    <t xml:space="preserve">Laura McGlynn</t>
  </si>
  <si>
    <t xml:space="preserve">2:30pm-4:00pm</t>
  </si>
  <si>
    <t xml:space="preserve">12:30pm-4:30pm</t>
  </si>
  <si>
    <t xml:space="preserve">12:00pm-3:00pm</t>
  </si>
  <si>
    <t xml:space="preserve">Adriana V</t>
  </si>
  <si>
    <t xml:space="preserve">1:00pm-4:30pm</t>
  </si>
  <si>
    <t xml:space="preserve">12:50pm-2:30pm</t>
  </si>
  <si>
    <t xml:space="preserve">2:15pm-7:00pm</t>
  </si>
  <si>
    <t xml:space="preserve">TOPDON</t>
  </si>
  <si>
    <t xml:space="preserve">Ali Kassem</t>
  </si>
  <si>
    <t xml:space="preserve">2:30pm-5:30pm</t>
  </si>
  <si>
    <t xml:space="preserve">6:00pm-9:00pm</t>
  </si>
  <si>
    <t xml:space="preserve">1:00pm-4:00pm</t>
  </si>
  <si>
    <t xml:space="preserve">4:30pm-7:30pm</t>
  </si>
  <si>
    <t xml:space="preserve">11:30am-2:30pm</t>
  </si>
  <si>
    <t xml:space="preserve">6:30pm-9:30pm</t>
  </si>
  <si>
    <t xml:space="preserve">Jerry Alamo</t>
  </si>
  <si>
    <t xml:space="preserve">11:00am-2:00pm</t>
  </si>
  <si>
    <t xml:space="preserve">9:30am-12:30pm</t>
  </si>
  <si>
    <t xml:space="preserve">TOPDON Mod</t>
  </si>
  <si>
    <t xml:space="preserve">April</t>
  </si>
  <si>
    <t xml:space="preserve">4:30pm-6:30pm</t>
  </si>
  <si>
    <t xml:space="preserve">cam</t>
  </si>
  <si>
    <t xml:space="preserve">6:30pm-7:30pm</t>
  </si>
  <si>
    <t xml:space="preserve">Calvin</t>
  </si>
  <si>
    <t xml:space="preserve">shokzUS</t>
  </si>
  <si>
    <t xml:space="preserve">shokz</t>
  </si>
  <si>
    <t xml:space="preserve">8:00am-11:00am</t>
  </si>
  <si>
    <t xml:space="preserve">11:00am-2:30pm</t>
  </si>
  <si>
    <t xml:space="preserve">9:00am-12:00pm</t>
  </si>
  <si>
    <t xml:space="preserve">shokz mod</t>
  </si>
  <si>
    <t xml:space="preserve">8:00am-2:30pm</t>
  </si>
  <si>
    <t xml:space="preserve">Christian Zuniga</t>
  </si>
  <si>
    <t xml:space="preserve">8:00am-12:00pm</t>
  </si>
  <si>
    <t xml:space="preserve">shokz training</t>
  </si>
  <si>
    <t xml:space="preserve">Lourdes Urquiza</t>
  </si>
  <si>
    <t xml:space="preserve">12:00pm-2:00pm</t>
  </si>
  <si>
    <t xml:space="preserve">7:30am-11:00am</t>
  </si>
  <si>
    <t xml:space="preserve">Bluetti</t>
  </si>
  <si>
    <t xml:space="preserve">Daniel Torres Guevara</t>
  </si>
  <si>
    <t xml:space="preserve">Christian</t>
  </si>
  <si>
    <t xml:space="preserve">5:00pm-6:00pm</t>
  </si>
  <si>
    <t xml:space="preserve">主播个人原因临时请假</t>
  </si>
  <si>
    <t xml:space="preserve">3:00pm-9:00pm</t>
  </si>
  <si>
    <t xml:space="preserve">10:00am-2:00pm</t>
  </si>
  <si>
    <t xml:space="preserve">Tanner Kenneth Bjorklund</t>
  </si>
  <si>
    <t xml:space="preserve">Bluetti Mod</t>
  </si>
  <si>
    <t xml:space="preserve">MOD+数据</t>
  </si>
  <si>
    <t xml:space="preserve">5:00pm-9:00pm</t>
  </si>
  <si>
    <t xml:space="preserve">Ismael</t>
  </si>
  <si>
    <t xml:space="preserve">3:00pm-6:30pm</t>
  </si>
  <si>
    <t xml:space="preserve">6:30pm-9:00pm</t>
  </si>
  <si>
    <t xml:space="preserve">Aosom</t>
  </si>
  <si>
    <t xml:space="preserve">Oedro</t>
  </si>
  <si>
    <t xml:space="preserve">2:00pm-5:00pm</t>
  </si>
  <si>
    <t xml:space="preserve">3:30pm-6:30pm</t>
  </si>
  <si>
    <t xml:space="preserve">Oedro mod</t>
  </si>
  <si>
    <t xml:space="preserve">Oedro training</t>
  </si>
  <si>
    <t xml:space="preserve">Maks</t>
  </si>
  <si>
    <t xml:space="preserve">Creality</t>
  </si>
  <si>
    <t xml:space="preserve">3:00pm-6:45pm</t>
  </si>
  <si>
    <t xml:space="preserve">6:45pm-8:15pm</t>
  </si>
  <si>
    <t xml:space="preserve">8:15pm-9:00pm</t>
  </si>
  <si>
    <t xml:space="preserve">4:15pm-6:15pm</t>
  </si>
  <si>
    <t xml:space="preserve">3:30pm-5:30pm</t>
  </si>
  <si>
    <t xml:space="preserve">Creality Ebay</t>
  </si>
  <si>
    <t xml:space="preserve">Creality mod</t>
  </si>
  <si>
    <t xml:space="preserve">Efurden</t>
  </si>
  <si>
    <t xml:space="preserve">ouyang</t>
  </si>
  <si>
    <t xml:space="preserve">qinke</t>
  </si>
  <si>
    <t xml:space="preserve">Umar Sadiq</t>
  </si>
  <si>
    <t xml:space="preserve">Efurden mod</t>
  </si>
  <si>
    <t xml:space="preserve">Jackery</t>
  </si>
  <si>
    <t xml:space="preserve">5:00pm-8:00pm</t>
  </si>
  <si>
    <t xml:space="preserve">Sebastian C</t>
  </si>
  <si>
    <t xml:space="preserve">10:00am-1:00pm</t>
  </si>
  <si>
    <t xml:space="preserve">Andy Cobb</t>
  </si>
  <si>
    <t xml:space="preserve">5:30pm-9:30pm</t>
  </si>
  <si>
    <t xml:space="preserve">Jackery training</t>
  </si>
  <si>
    <t xml:space="preserve">6:00pm-8:00pm</t>
  </si>
  <si>
    <t xml:space="preserve">Jackery Training</t>
  </si>
  <si>
    <t xml:space="preserve">5:00pm-7:00pm</t>
  </si>
  <si>
    <t xml:space="preserve">Jackery mod</t>
  </si>
  <si>
    <t xml:space="preserve">4:30pm-8:30pm</t>
  </si>
  <si>
    <t xml:space="preserve">Yu Geng</t>
  </si>
  <si>
    <t xml:space="preserve">Gavin</t>
  </si>
  <si>
    <t xml:space="preserve">4:30pm-8:00pm</t>
  </si>
  <si>
    <t xml:space="preserve">9:30am-1:00pm</t>
  </si>
  <si>
    <t xml:space="preserve">Qinke Li</t>
  </si>
  <si>
    <t xml:space="preserve">1:30pm-6:30pm</t>
  </si>
  <si>
    <t xml:space="preserve">Xizhuo</t>
  </si>
  <si>
    <t xml:space="preserve">5:30pm-10:00pm</t>
  </si>
  <si>
    <t xml:space="preserve">Wavytalk（周播32H目标）</t>
  </si>
  <si>
    <t xml:space="preserve">Wavytalk</t>
  </si>
  <si>
    <t xml:space="preserve">Kutluano Headbush</t>
  </si>
  <si>
    <t xml:space="preserve">Erin Micklow</t>
  </si>
  <si>
    <t xml:space="preserve">9:00pm - 12:00am</t>
  </si>
  <si>
    <t xml:space="preserve">Wavytalk Mod</t>
  </si>
  <si>
    <t xml:space="preserve">Shirley He</t>
  </si>
  <si>
    <t xml:space="preserve">Izzy Mu</t>
  </si>
  <si>
    <t xml:space="preserve">Fiona Lee</t>
  </si>
  <si>
    <t xml:space="preserve">8:00am-11:05am</t>
  </si>
  <si>
    <t xml:space="preserve">mindy</t>
  </si>
  <si>
    <t xml:space="preserve">11:30am-2:00pm</t>
  </si>
  <si>
    <t xml:space="preserve">7:00pm-9:00pm</t>
  </si>
  <si>
    <t xml:space="preserve">Isabelle Lauderdale</t>
  </si>
  <si>
    <t xml:space="preserve">WavyTalk Amazon</t>
  </si>
  <si>
    <t xml:space="preserve">Wavytalk Amazon</t>
  </si>
  <si>
    <t xml:space="preserve">5:00pm - 8:00pm</t>
  </si>
  <si>
    <t xml:space="preserve">6:00pm - 9:00pm</t>
  </si>
  <si>
    <t xml:space="preserve">Wavytalk Amazon Mod</t>
  </si>
  <si>
    <t xml:space="preserve">4:00pm - 8:00pm</t>
  </si>
  <si>
    <t xml:space="preserve">6:00pm - 9:30pm</t>
  </si>
  <si>
    <t xml:space="preserve">Wavytalk Amazon Training</t>
  </si>
  <si>
    <t xml:space="preserve">5:00pm - 6:00pm</t>
  </si>
  <si>
    <t xml:space="preserve">Yianna（周播48H目标）</t>
  </si>
  <si>
    <t xml:space="preserve">Yianna</t>
  </si>
  <si>
    <t xml:space="preserve">Dina Zavala Fuentes</t>
  </si>
  <si>
    <t xml:space="preserve">Yianna Mod</t>
  </si>
  <si>
    <t xml:space="preserve">5:50pm-9:00pm</t>
  </si>
  <si>
    <t xml:space="preserve">Sarahi Jimenez(Nicole)</t>
  </si>
  <si>
    <t xml:space="preserve">2:50pm-5:50pm</t>
  </si>
  <si>
    <t xml:space="preserve">Stephanie Espinal</t>
  </si>
  <si>
    <t xml:space="preserve">l</t>
  </si>
  <si>
    <t xml:space="preserve">直播时间变动，临时取消她的班次，付50%</t>
  </si>
  <si>
    <t xml:space="preserve">4:40pm-9:00pm</t>
  </si>
  <si>
    <t xml:space="preserve">Yianna Video Shooting</t>
  </si>
  <si>
    <t xml:space="preserve">5:30pm-6:00pm</t>
  </si>
  <si>
    <t xml:space="preserve">6:27pm-10:00pm</t>
  </si>
  <si>
    <t xml:space="preserve">原定5:50pm, 迟到40mins</t>
  </si>
  <si>
    <t xml:space="preserve">Assiya Louahabi</t>
  </si>
  <si>
    <t xml:space="preserve">不pay</t>
  </si>
  <si>
    <t xml:space="preserve">2:50pm-9:00pm</t>
  </si>
  <si>
    <t xml:space="preserve">Yoleo-The RUN</t>
  </si>
  <si>
    <t xml:space="preserve">Lovevook（周播24H目标）周六大场</t>
  </si>
  <si>
    <t xml:space="preserve">直播间</t>
  </si>
  <si>
    <t xml:space="preserve">Lovevook</t>
  </si>
  <si>
    <t xml:space="preserve">2:00pm-5:10pm</t>
  </si>
  <si>
    <t xml:space="preserve">Jessie Canizales</t>
  </si>
  <si>
    <t xml:space="preserve">1号</t>
  </si>
  <si>
    <t xml:space="preserve">5:10pm-7:00pm</t>
  </si>
  <si>
    <t xml:space="preserve">Roxy Star</t>
  </si>
  <si>
    <t xml:space="preserve">迟到10分钟</t>
  </si>
  <si>
    <t xml:space="preserve">Lovevook Mod</t>
  </si>
  <si>
    <t xml:space="preserve">1:20pm-5:00pm</t>
  </si>
  <si>
    <t xml:space="preserve">Angel Zhu</t>
  </si>
  <si>
    <t xml:space="preserve">摆包、加链接、开播</t>
  </si>
  <si>
    <t xml:space="preserve">5:00pm-5:30pm</t>
  </si>
  <si>
    <t/>
    <r>
      <rPr>
        <u val="single"/>
        <color theme="10"/>
      </rPr>
      <t xml:space="preserve">@Zixuan Wang</t>
    </r>
  </si>
  <si>
    <t xml:space="preserve">5:30pm-7:20pm</t>
  </si>
  <si>
    <t xml:space="preserve">7pm下播、复盘</t>
  </si>
  <si>
    <t xml:space="preserve">Lovevook Training</t>
  </si>
  <si>
    <t xml:space="preserve">3:00pm-8:00pm</t>
  </si>
  <si>
    <t xml:space="preserve">Yuqi Hu</t>
  </si>
  <si>
    <t/>
    <r>
      <rPr>
        <u val="single"/>
        <color theme="10"/>
      </rPr>
      <t xml:space="preserve">@Zixuan Wang</t>
    </r>
  </si>
  <si>
    <t xml:space="preserve">Yanjia Wu (Joanne)</t>
  </si>
  <si>
    <t/>
    <r>
      <rPr>
        <u val="single"/>
        <color theme="10"/>
      </rPr>
      <t xml:space="preserve">@Zixuan Wang</t>
    </r>
  </si>
  <si>
    <t xml:space="preserve">1:20pm-4:20pm</t>
  </si>
  <si>
    <t xml:space="preserve">4:20pm-4:50pm</t>
  </si>
  <si>
    <t/>
    <r>
      <rPr>
        <u val="single"/>
        <color theme="10"/>
      </rPr>
      <t xml:space="preserve">@Zixuan Wang</t>
    </r>
  </si>
  <si>
    <t xml:space="preserve">4:50pm-7:20pm</t>
  </si>
  <si>
    <t xml:space="preserve">Suzannah Samuel</t>
  </si>
  <si>
    <t/>
    <r>
      <rPr>
        <u val="single"/>
        <color theme="10"/>
      </rPr>
      <t xml:space="preserve">@Zixuan Wang</t>
    </r>
  </si>
  <si>
    <t xml:space="preserve">12:20pm-3:20pm</t>
  </si>
  <si>
    <t xml:space="preserve">3:20pm-3:50pm</t>
  </si>
  <si>
    <t/>
    <r>
      <rPr>
        <u val="single"/>
        <color theme="10"/>
      </rPr>
      <t xml:space="preserve">@Zixuan Wang</t>
    </r>
  </si>
  <si>
    <t xml:space="preserve">3:50pm-6:20pm</t>
  </si>
  <si>
    <t xml:space="preserve">6pm下播、复盘</t>
  </si>
  <si>
    <t xml:space="preserve">12:20pm-4:30pm</t>
  </si>
  <si>
    <t xml:space="preserve">Wei Huang (Azzy)</t>
  </si>
  <si>
    <t/>
    <r>
      <rPr>
        <u val="single"/>
        <color theme="10"/>
      </rPr>
      <t xml:space="preserve">@Zixuan Wang</t>
    </r>
    <r>
      <rPr/>
      <t xml:space="preserve">4:30-6 带新人</t>
    </r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</si>
  <si>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</si>
  <si>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</si>
  <si>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</si>
  <si>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</si>
  <si>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</si>
  <si>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 xml:space="preserve">3:50pm-6:50pm</t>
  </si>
  <si>
    <t/>
    <r>
      <rPr/>
      <t>6pm下播、复盘</t>
    </r>
    <r>
      <rPr>
        <u val="single"/>
        <color theme="10"/>
      </rPr>
      <t xml:space="preserve">@Zixuan Wang</t>
    </r>
    <r>
      <rPr/>
      <t>带着摆第二天大场包/更新物料</t>
    </r>
  </si>
  <si>
    <t xml:space="preserve">Rachel Jackson</t>
  </si>
  <si>
    <t xml:space="preserve">8:30am-1:00pm</t>
  </si>
  <si>
    <t xml:space="preserve">Yifan Li (Nickie)</t>
  </si>
  <si>
    <t xml:space="preserve">加链接、开播</t>
  </si>
  <si>
    <t xml:space="preserve">4:00pm-7:30pm</t>
  </si>
  <si>
    <t xml:space="preserve">9:10am-1:10pm</t>
  </si>
  <si>
    <t/>
    <r>
      <rPr>
        <u val="single"/>
        <color theme="10"/>
      </rPr>
      <t xml:space="preserve">@Zixuan Wang</t>
    </r>
  </si>
  <si>
    <t xml:space="preserve">Younique Nails</t>
  </si>
  <si>
    <t xml:space="preserve">confirm</t>
  </si>
  <si>
    <t xml:space="preserve">会议室</t>
  </si>
  <si>
    <t xml:space="preserve">Younique Nails Mod</t>
  </si>
  <si>
    <t xml:space="preserve">5:45pm-10:30pm</t>
  </si>
  <si>
    <t xml:space="preserve">加链接、开播、下播、复盘</t>
  </si>
  <si>
    <t xml:space="preserve">DCSVIP</t>
  </si>
  <si>
    <t/>
    <r>
      <rPr/>
      <t xml:space="preserve">6-7 </t>
    </r>
    <r>
      <rPr>
        <u val="single"/>
        <color theme="10"/>
      </rPr>
      <t xml:space="preserve">@Zixuan Wang</t>
    </r>
  </si>
  <si>
    <t xml:space="preserve">DCSVIP Mod</t>
  </si>
  <si>
    <t xml:space="preserve">5:45pm-9:00pm</t>
  </si>
  <si>
    <t xml:space="preserve">Ian Sandvik</t>
  </si>
  <si>
    <t xml:space="preserve">场控取消</t>
  </si>
  <si>
    <t xml:space="preserve">7:00pm-9:30pm</t>
  </si>
  <si>
    <t xml:space="preserve">6:00pm-9:10pm</t>
  </si>
  <si>
    <t xml:space="preserve">5:45pm-10:00pm</t>
  </si>
  <si>
    <t xml:space="preserve">6:45pm-10:00pm</t>
  </si>
  <si>
    <t xml:space="preserve">Byron</t>
  </si>
  <si>
    <t xml:space="preserve">3:45pm-7:00pm</t>
  </si>
  <si>
    <t xml:space="preserve">DCSVIP Training</t>
  </si>
  <si>
    <t xml:space="preserve">AislinnE</t>
  </si>
  <si>
    <t xml:space="preserve">DCSVIP Assistant</t>
  </si>
  <si>
    <t xml:space="preserve">2:00pm-10:00pm</t>
  </si>
  <si>
    <t xml:space="preserve">Ranxi Li</t>
  </si>
  <si>
    <t xml:space="preserve">3:30pm-10:30pm</t>
  </si>
  <si>
    <t xml:space="preserve">2:20pm-10:20pm</t>
  </si>
  <si>
    <t xml:space="preserve">3:10pm-10:10pm</t>
  </si>
  <si>
    <t xml:space="preserve">4:00pm-10:00pm</t>
  </si>
  <si>
    <t xml:space="preserve">2:00pm-8:00pm</t>
  </si>
  <si>
    <t xml:space="preserve">DJI</t>
  </si>
  <si>
    <t xml:space="preserve">运营（写清楚场控跟播的时间段）</t>
  </si>
  <si>
    <t xml:space="preserve">Back up</t>
  </si>
  <si>
    <t xml:space="preserve">Bagsmart Travel</t>
  </si>
  <si>
    <t xml:space="preserve">2:45pm-6:15pm</t>
  </si>
  <si>
    <t xml:space="preserve">Marina Hribernig</t>
  </si>
  <si>
    <t xml:space="preserve">3:45pm-7:15pm</t>
  </si>
  <si>
    <t xml:space="preserve">Bagsmart Travel Mod</t>
  </si>
  <si>
    <t xml:space="preserve">3:30pm-7:15pm</t>
  </si>
  <si>
    <t xml:space="preserve">Bagsmart Training</t>
  </si>
  <si>
    <t xml:space="preserve">10:00am-3:00pm</t>
  </si>
  <si>
    <t xml:space="preserve">Bagsmart Mod Training</t>
  </si>
  <si>
    <t xml:space="preserve">11:30am-5:45pm</t>
  </si>
  <si>
    <t xml:space="preserve">Bagsmart Lifestyle</t>
  </si>
  <si>
    <t xml:space="preserve">9:45am-1:00pm</t>
  </si>
  <si>
    <t xml:space="preserve">10:45am-2:00pm</t>
  </si>
  <si>
    <t xml:space="preserve">Bagsmart Lifestyle Mod</t>
  </si>
  <si>
    <t xml:space="preserve">9:30am-1:15pm</t>
  </si>
  <si>
    <t xml:space="preserve">Victoria Williams</t>
  </si>
  <si>
    <t xml:space="preserve">10:30am-2:15pm</t>
  </si>
  <si>
    <t xml:space="preserve">9:30am-1:30pm</t>
  </si>
  <si>
    <t xml:space="preserve">UMi</t>
  </si>
  <si>
    <t xml:space="preserve">7:30pm-10:30pm</t>
  </si>
  <si>
    <t xml:space="preserve">UMi Mod</t>
  </si>
  <si>
    <t xml:space="preserve">7:00pm-10:30pm</t>
  </si>
  <si>
    <t xml:space="preserve">4:45pm-8:00pm</t>
  </si>
  <si>
    <t xml:space="preserve">7:15pm-10:30pm</t>
  </si>
  <si>
    <t xml:space="preserve">11:45am-3:00pm</t>
  </si>
  <si>
    <t xml:space="preserve">1:45pm-5:00pm</t>
  </si>
  <si>
    <t xml:space="preserve">UMi Training</t>
  </si>
  <si>
    <t xml:space="preserve">6:00pm-6:30pm</t>
  </si>
  <si>
    <t xml:space="preserve">4:00pm-4:30pm</t>
  </si>
  <si>
    <t xml:space="preserve">1:30pm-2:00pm</t>
  </si>
  <si>
    <t xml:space="preserve">3:00pm-3:30pm</t>
  </si>
  <si>
    <t xml:space="preserve">Aelfric Eden</t>
  </si>
  <si>
    <t xml:space="preserve">Theresa Leila Crumpton</t>
  </si>
  <si>
    <t xml:space="preserve">Aelfric Eden Mod</t>
  </si>
  <si>
    <t xml:space="preserve">Kate</t>
  </si>
  <si>
    <t xml:space="preserve">zoey</t>
  </si>
  <si>
    <t xml:space="preserve">4:30pm-9:00pm</t>
  </si>
  <si>
    <t xml:space="preserve">4:45pm-9:00pm</t>
  </si>
  <si>
    <t xml:space="preserve">Mobeso</t>
  </si>
  <si>
    <t xml:space="preserve">Treshon Lyniece Jenkins</t>
  </si>
  <si>
    <t xml:space="preserve">这一列全部提前24h取消</t>
  </si>
  <si>
    <t xml:space="preserve">Mobeso Mod</t>
  </si>
  <si>
    <t xml:space="preserve">1:45pm-4:00pm</t>
  </si>
  <si>
    <t xml:space="preserve">Marian Ebhamen</t>
  </si>
  <si>
    <t xml:space="preserve">   </t>
  </si>
  <si>
    <t xml:space="preserve">Basic Training</t>
  </si>
  <si>
    <t xml:space="preserve">Monday</t>
  </si>
  <si>
    <t xml:space="preserve">11am-1:30pm</t>
  </si>
  <si>
    <t xml:space="preserve">Jamie</t>
  </si>
  <si>
    <t xml:space="preserve">Miya</t>
  </si>
  <si>
    <t xml:space="preserve">3619 Eastham Drive</t>
  </si>
  <si>
    <t xml:space="preserve">YES</t>
  </si>
  <si>
    <t xml:space="preserve">Amber H</t>
  </si>
  <si>
    <t xml:space="preserve">Leland H</t>
  </si>
  <si>
    <t xml:space="preserve">Friday</t>
  </si>
  <si>
    <t xml:space="preserve">Sandra H</t>
  </si>
  <si>
    <t xml:space="preserve">Aislinn</t>
  </si>
  <si>
    <t xml:space="preserve">Interview Support</t>
  </si>
  <si>
    <t xml:space="preserve">Wednesday</t>
  </si>
  <si>
    <t xml:space="preserve">1pm-6pm</t>
  </si>
  <si>
    <t xml:space="preserve">Thursday</t>
  </si>
  <si>
    <t xml:space="preserve">10am-6pm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</si>
  <si>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</si>
  <si>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</si>
  <si>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</si>
  <si>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</si>
  <si>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</si>
  <si>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</si>
  <si>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</si>
  <si>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</si>
  <si>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</si>
  <si>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雅迪电动车Video Shooting</t>
  </si>
  <si>
    <t xml:space="preserve">B-ROLL Shooting</t>
  </si>
  <si>
    <t xml:space="preserve">徕芬Video Shooting</t>
  </si>
  <si>
    <t xml:space="preserve">PENDING</t>
  </si>
  <si>
    <t xml:space="preserve">Mobeso Shooting</t>
  </si>
  <si>
    <t xml:space="preserve">8461 Higuera Street</t>
  </si>
  <si>
    <t xml:space="preserve">VEVOR TOOL（周播30小时目标）</t>
  </si>
  <si>
    <t xml:space="preserve">Mod（写清楚场控跟播的时间段）</t>
  </si>
  <si>
    <t xml:space="preserve">VEVOR TOOL</t>
  </si>
  <si>
    <t xml:space="preserve">4:00pm-7:00pm</t>
  </si>
  <si>
    <t xml:space="preserve">Anthony Traina</t>
  </si>
  <si>
    <t xml:space="preserve">will</t>
  </si>
  <si>
    <t xml:space="preserve">7:00pm-8:00pm</t>
  </si>
  <si>
    <t xml:space="preserve">Joseph Davis Massingill</t>
  </si>
  <si>
    <t xml:space="preserve">ziyi</t>
  </si>
  <si>
    <t xml:space="preserve">8:00pm-11:00pm</t>
  </si>
  <si>
    <t xml:space="preserve">ziyi/will</t>
  </si>
  <si>
    <t xml:space="preserve">3:00pm-7:00pm</t>
  </si>
  <si>
    <t xml:space="preserve">Izzy</t>
  </si>
  <si>
    <t xml:space="preserve">2:00pm-3:00pm</t>
  </si>
  <si>
    <t xml:space="preserve">3:00pm-5:00pm</t>
  </si>
  <si>
    <t xml:space="preserve">Brian Linsley</t>
  </si>
  <si>
    <t xml:space="preserve">VEVOR TOOL Mod</t>
  </si>
  <si>
    <t xml:space="preserve">4:00pm-6:30pm</t>
  </si>
  <si>
    <t xml:space="preserve">William Dennis</t>
  </si>
  <si>
    <t xml:space="preserve">7:30pm-11:00pm</t>
  </si>
  <si>
    <t xml:space="preserve">3:30pm-8:00pm</t>
  </si>
  <si>
    <t xml:space="preserve">8:00pm-9:00pm</t>
  </si>
  <si>
    <t xml:space="preserve">9:00pm-11:00pm</t>
  </si>
  <si>
    <t xml:space="preserve">2:30pm-6:30pm</t>
  </si>
  <si>
    <t xml:space="preserve">6:30pm-11:00pm</t>
  </si>
  <si>
    <t xml:space="preserve">Izzy Mu</t>
  </si>
  <si>
    <t xml:space="preserve">1:30pm-4:00pm</t>
  </si>
  <si>
    <t xml:space="preserve">4:00pm-6:00pm</t>
  </si>
  <si>
    <t xml:space="preserve">VEVOR TOOL Training</t>
  </si>
  <si>
    <t xml:space="preserve">2:30pm-11:30pm</t>
  </si>
  <si>
    <t xml:space="preserve">2:30pm-8:00pm</t>
  </si>
  <si>
    <t xml:space="preserve">9:00pm-11:30pm</t>
  </si>
  <si>
    <t xml:space="preserve">12:30pm-2:30pm</t>
  </si>
  <si>
    <t xml:space="preserve">6:30pm-11:30pm</t>
  </si>
  <si>
    <t xml:space="preserve">1:30pm-5:00pm</t>
  </si>
  <si>
    <t xml:space="preserve">5:30pm-12:00am</t>
  </si>
  <si>
    <t xml:space="preserve">12:30pm-8:30pm</t>
  </si>
  <si>
    <t xml:space="preserve">4:00pm-10:00pm</t>
  </si>
  <si>
    <t xml:space="preserve">Joyin</t>
  </si>
  <si>
    <t xml:space="preserve">7:00pm - 11:00pm</t>
  </si>
  <si>
    <t xml:space="preserve">Simone Baker</t>
  </si>
  <si>
    <t xml:space="preserve">Live 7-10</t>
  </si>
  <si>
    <t xml:space="preserve">Room 5</t>
  </si>
  <si>
    <t xml:space="preserve">3:00pm - 6:00pm</t>
  </si>
  <si>
    <t xml:space="preserve">Live 4-6</t>
  </si>
  <si>
    <t xml:space="preserve">6:00pm - 11:15pm</t>
  </si>
  <si>
    <t xml:space="preserve">Live 6-10</t>
  </si>
  <si>
    <t xml:space="preserve">Jennie Marie Pacelli</t>
  </si>
  <si>
    <t xml:space="preserve">6:00pm - 11:00pm</t>
  </si>
  <si>
    <t xml:space="preserve">Joyin Training</t>
  </si>
  <si>
    <t xml:space="preserve">6:30pm - 8:00pm</t>
  </si>
  <si>
    <t xml:space="preserve">David Archy</t>
  </si>
  <si>
    <t xml:space="preserve">4:00pm - 6:00pm</t>
  </si>
  <si>
    <t xml:space="preserve">Ava Gold</t>
  </si>
  <si>
    <t xml:space="preserve">Ivy</t>
  </si>
  <si>
    <t xml:space="preserve">24小时内取消 pay一半</t>
  </si>
  <si>
    <t xml:space="preserve">1:00pm - 3:00pm</t>
  </si>
  <si>
    <t xml:space="preserve">Iris (Alexis) Perry</t>
  </si>
  <si>
    <t xml:space="preserve">11:00am - 1:00pm</t>
  </si>
  <si>
    <t xml:space="preserve">Cassi</t>
  </si>
  <si>
    <t xml:space="preserve">David Archy Mod</t>
  </si>
  <si>
    <t xml:space="preserve">12:30pm - 3:30pm</t>
  </si>
  <si>
    <t xml:space="preserve">Ziying</t>
  </si>
  <si>
    <t xml:space="preserve">10:30am - 1:30pm</t>
  </si>
  <si>
    <t xml:space="preserve">Papablic</t>
  </si>
  <si>
    <t xml:space="preserve"> </t>
  </si>
  <si>
    <t xml:space="preserve">8:00pm - 10:00pm</t>
  </si>
  <si>
    <t xml:space="preserve">提前24小时cancel 不pay</t>
  </si>
  <si>
    <t xml:space="preserve">Ayala</t>
  </si>
  <si>
    <t xml:space="preserve">Papablic Mod</t>
  </si>
  <si>
    <t xml:space="preserve">7:30pm - 10:30pm</t>
  </si>
  <si>
    <t xml:space="preserve">Lesure Fresh</t>
  </si>
  <si>
    <t xml:space="preserve">Room 3</t>
  </si>
  <si>
    <t xml:space="preserve">Room 9</t>
  </si>
  <si>
    <t xml:space="preserve">Lesure Fresh Mod</t>
  </si>
  <si>
    <t xml:space="preserve">3:30pm - 6:30pm</t>
  </si>
  <si>
    <t xml:space="preserve">Xtool</t>
  </si>
  <si>
    <t xml:space="preserve">每周目标42h</t>
  </si>
  <si>
    <t xml:space="preserve">5:00pm-9:00pm</t>
  </si>
  <si>
    <t xml:space="preserve">Frank Hunter</t>
  </si>
  <si>
    <t xml:space="preserve">9:00am-1:00pm</t>
  </si>
  <si>
    <t xml:space="preserve">Maximillian</t>
  </si>
  <si>
    <t xml:space="preserve">3:00pm-6:00pm</t>
  </si>
  <si>
    <t xml:space="preserve">6:00pm-9:00pm</t>
  </si>
  <si>
    <t xml:space="preserve">Xtool Mod</t>
  </si>
  <si>
    <t xml:space="preserve">4:30pm-10:00pm</t>
  </si>
  <si>
    <t xml:space="preserve">Venus</t>
  </si>
  <si>
    <t xml:space="preserve">8:30am-1:00pm</t>
  </si>
  <si>
    <t xml:space="preserve">Juan Castillo</t>
  </si>
  <si>
    <t xml:space="preserve">4:30pm-9:00pm</t>
  </si>
  <si>
    <t xml:space="preserve">2:30pm-7:00pm</t>
  </si>
  <si>
    <t xml:space="preserve">8:00pm-10:00pm</t>
  </si>
  <si>
    <t xml:space="preserve">Xtool Training</t>
  </si>
  <si>
    <t xml:space="preserve">6:00am-10:00am</t>
  </si>
  <si>
    <t xml:space="preserve">rita</t>
  </si>
  <si>
    <t xml:space="preserve">6:00am-11:00am</t>
  </si>
  <si>
    <t xml:space="preserve">Wattcycle</t>
  </si>
  <si>
    <t xml:space="preserve">每周目标23h</t>
  </si>
  <si>
    <t xml:space="preserve">Larq</t>
  </si>
  <si>
    <t xml:space="preserve">每周目标8h</t>
  </si>
  <si>
    <t xml:space="preserve">11:30am-1:30pm</t>
  </si>
  <si>
    <t xml:space="preserve">Dilara Foscht</t>
  </si>
  <si>
    <t xml:space="preserve">       10:30am-12:30pm</t>
  </si>
  <si>
    <t xml:space="preserve">11:30am-2:30pm</t>
  </si>
  <si>
    <t xml:space="preserve">Zhaoen Fan(iris)</t>
  </si>
  <si>
    <t xml:space="preserve">       10:30am-1:30pm</t>
  </si>
  <si>
    <t xml:space="preserve">room2</t>
  </si>
  <si>
    <t xml:space="preserve">Momcozy</t>
  </si>
  <si>
    <t xml:space="preserve">使用的账号</t>
  </si>
  <si>
    <t xml:space="preserve">2:00pm-4:00pm</t>
  </si>
  <si>
    <t xml:space="preserve">Rose Donahue</t>
  </si>
  <si>
    <t xml:space="preserve">AMOS(momcozy_usshop)</t>
  </si>
  <si>
    <t xml:space="preserve">room2 </t>
  </si>
  <si>
    <t xml:space="preserve">accu(momcozypumpfinds)</t>
  </si>
  <si>
    <t xml:space="preserve">5:00pm-7:00pm</t>
  </si>
  <si>
    <t xml:space="preserve">Magdalena Zielonka</t>
  </si>
  <si>
    <t/>
    <r>
      <rPr>
        <u val="single"/>
        <color theme="10"/>
      </rPr>
      <t xml:space="preserve">@Ziyou Tang</t>
    </r>
  </si>
  <si>
    <t xml:space="preserve">Momcozy Video</t>
  </si>
  <si>
    <t xml:space="preserve">11:00-12:30pm</t>
  </si>
  <si>
    <t/>
    <r>
      <rPr>
        <u val="single"/>
        <color theme="10"/>
      </rPr>
      <t xml:space="preserve">@Ziyou Tang</t>
    </r>
  </si>
  <si>
    <t xml:space="preserve">Momcozy training</t>
  </si>
  <si>
    <t xml:space="preserve">1:45pm-2:00pm</t>
  </si>
  <si>
    <t/>
    <r>
      <rPr>
        <u val="single"/>
        <color theme="10"/>
      </rPr>
      <t xml:space="preserve">@Ziyou Tang</t>
    </r>
  </si>
  <si>
    <t xml:space="preserve">4:30pm-5:00pm</t>
  </si>
  <si>
    <t/>
    <r>
      <rPr>
        <u val="single"/>
        <color theme="10"/>
      </rPr>
      <t xml:space="preserve">@Ziyou Tang</t>
    </r>
  </si>
  <si>
    <t xml:space="preserve">Saturday</t>
  </si>
  <si>
    <t xml:space="preserve">10:00-12:00AM</t>
  </si>
  <si>
    <t xml:space="preserve">Diana Larios-Ochoa</t>
  </si>
  <si>
    <t/>
    <r>
      <rPr>
        <u val="single"/>
        <color theme="10"/>
      </rPr>
      <t xml:space="preserve">@Ziyou Tang</t>
    </r>
  </si>
  <si>
    <t xml:space="preserve">Momcozy Mod</t>
  </si>
  <si>
    <t/>
    <r>
      <rPr>
        <u val="single"/>
        <color theme="10"/>
      </rPr>
      <t xml:space="preserve">@Ziyou Tang</t>
    </r>
  </si>
  <si>
    <t/>
    <r>
      <rPr>
        <u val="single"/>
        <color theme="10"/>
      </rPr>
      <t xml:space="preserve">@Ziyou Tang</t>
    </r>
  </si>
  <si>
    <t/>
    <r>
      <rPr>
        <u val="single"/>
        <color theme="10"/>
      </rPr>
      <t xml:space="preserve">@Ziyou Tang</t>
    </r>
  </si>
  <si>
    <t xml:space="preserve">4:00pm-4:30pm</t>
  </si>
  <si>
    <t xml:space="preserve">Govee-亚马逊直播</t>
  </si>
  <si>
    <t xml:space="preserve">Govee</t>
  </si>
  <si>
    <t xml:space="preserve">7:00pm-7:30pm</t>
  </si>
  <si>
    <t xml:space="preserve">Bianca Foscht</t>
  </si>
  <si>
    <t xml:space="preserve">Sophia</t>
  </si>
  <si>
    <t xml:space="preserve">sophia排班</t>
  </si>
  <si>
    <t xml:space="preserve">8:00pm-8:30pm</t>
  </si>
  <si>
    <t xml:space="preserve">Govee Training</t>
  </si>
  <si>
    <t xml:space="preserve">2:30pm-4:30pm</t>
  </si>
  <si>
    <t xml:space="preserve">2:00pm-4:15pm</t>
  </si>
  <si>
    <t xml:space="preserve">3:30pm-7:00pm</t>
  </si>
  <si>
    <t xml:space="preserve">6:15pm-6:45pm</t>
  </si>
  <si>
    <t xml:space="preserve">Calvin</t>
  </si>
  <si>
    <t xml:space="preserve">7:30pm-8:00pm</t>
  </si>
  <si>
    <t xml:space="preserve">3:30pm-6:30pm</t>
  </si>
  <si>
    <t xml:space="preserve">Govee Mod</t>
  </si>
  <si>
    <t xml:space="preserve">7:00pm-8:30pm</t>
  </si>
  <si>
    <t xml:space="preserve">Sally</t>
  </si>
  <si>
    <t xml:space="preserve">Cariloha Amazon</t>
  </si>
  <si>
    <t xml:space="preserve">Cariloha</t>
  </si>
  <si>
    <t xml:space="preserve">6:00pm-8:00pm</t>
  </si>
  <si>
    <t xml:space="preserve">Kristina Dow</t>
  </si>
  <si>
    <t xml:space="preserve">room 4 </t>
  </si>
  <si>
    <t xml:space="preserve">Cariloha Mod</t>
  </si>
  <si>
    <t xml:space="preserve">5:30pm-8:00pm</t>
  </si>
  <si>
    <t xml:space="preserve">2:30pm-5:00pm</t>
  </si>
  <si>
    <t xml:space="preserve">Cariloha Training</t>
  </si>
  <si>
    <t xml:space="preserve">2:30pm-4:00pm</t>
  </si>
  <si>
    <t xml:space="preserve">1:30pm-2:00pm</t>
  </si>
  <si>
    <t xml:space="preserve">room 2 </t>
  </si>
  <si>
    <t xml:space="preserve">room 2</t>
  </si>
  <si>
    <t xml:space="preserve">12:00pm-4:30pm</t>
  </si>
  <si>
    <t xml:space="preserve">Diana</t>
  </si>
  <si>
    <t xml:space="preserve">Wondamo</t>
  </si>
  <si>
    <t xml:space="preserve">12:00pm-2:00pm</t>
  </si>
  <si>
    <t xml:space="preserve">Laura McGlynn</t>
  </si>
  <si>
    <t xml:space="preserve">Wondamo Training</t>
  </si>
  <si>
    <t xml:space="preserve">9:30am-11:30am</t>
  </si>
  <si>
    <t xml:space="preserve">Wondamo Mod</t>
  </si>
  <si>
    <t xml:space="preserve">12:00pm-2:30pm</t>
  </si>
  <si>
    <t xml:space="preserve">11:30am-2:00pm</t>
  </si>
  <si>
    <t xml:space="preserve">Yoleo Amazon</t>
  </si>
  <si>
    <t xml:space="preserve">Yoleo Amazon Training</t>
  </si>
  <si>
    <t xml:space="preserve">12:00pm-1:00pm</t>
  </si>
  <si>
    <t xml:space="preserve">1:00pm-3:00pm</t>
  </si>
  <si>
    <t xml:space="preserve">assemble ~</t>
  </si>
  <si>
    <t xml:space="preserve">Flower Knows 
花知晓</t>
  </si>
  <si>
    <t xml:space="preserve">Flower Knows Training</t>
  </si>
  <si>
    <t xml:space="preserve">1:00pm-5:15pm</t>
  </si>
  <si>
    <t xml:space="preserve">Shuyi Deng(Yida)</t>
  </si>
  <si>
    <t xml:space="preserve">12:00pm-7:00pm</t>
  </si>
  <si>
    <t xml:space="preserve">1:00pm-5:00pm</t>
  </si>
  <si>
    <t xml:space="preserve">TOPDON</t>
  </si>
  <si>
    <t xml:space="preserve">7:00pm-10:00pm</t>
  </si>
  <si>
    <t xml:space="preserve">Jerry Alamo</t>
  </si>
  <si>
    <t xml:space="preserve">6:30pm-9:30pm</t>
  </si>
  <si>
    <t xml:space="preserve">Ali Kassem</t>
  </si>
  <si>
    <t xml:space="preserve">5:00pm-8:00pm</t>
  </si>
  <si>
    <t xml:space="preserve">10:00pm-3:30pm</t>
  </si>
  <si>
    <t xml:space="preserve">10:00am-1:00pm</t>
  </si>
  <si>
    <t xml:space="preserve">6:15pm-9:15pm</t>
  </si>
  <si>
    <t xml:space="preserve">TOPDON Mod</t>
  </si>
  <si>
    <t xml:space="preserve">April</t>
  </si>
  <si>
    <t xml:space="preserve">cam</t>
  </si>
  <si>
    <t xml:space="preserve">TOPDON Training</t>
  </si>
  <si>
    <t xml:space="preserve">10:00am-12:00pm</t>
  </si>
  <si>
    <t xml:space="preserve">shokzUS</t>
  </si>
  <si>
    <t xml:space="preserve">shokz</t>
  </si>
  <si>
    <t xml:space="preserve">8:00am-12:00pm</t>
  </si>
  <si>
    <t xml:space="preserve">12:00pm-3:00pm</t>
  </si>
  <si>
    <t xml:space="preserve">8:30am-11:30am</t>
  </si>
  <si>
    <t xml:space="preserve">9:00am-12:00pm</t>
  </si>
  <si>
    <t xml:space="preserve">12:30pm-2:00pm</t>
  </si>
  <si>
    <t xml:space="preserve">shokz mod</t>
  </si>
  <si>
    <t xml:space="preserve">Christian Zuniga</t>
  </si>
  <si>
    <t xml:space="preserve">Umar Sadiq</t>
  </si>
  <si>
    <t xml:space="preserve">8:15am-8:45am</t>
  </si>
  <si>
    <t xml:space="preserve">shokz training</t>
  </si>
  <si>
    <t xml:space="preserve">Lourdes Urquiza</t>
  </si>
  <si>
    <t xml:space="preserve">Bluetti</t>
  </si>
  <si>
    <t xml:space="preserve">12:00pm-5:00pm</t>
  </si>
  <si>
    <t xml:space="preserve">Daniel Torres Guevara</t>
  </si>
  <si>
    <t xml:space="preserve">主播个人原因临时请假</t>
  </si>
  <si>
    <t xml:space="preserve">10:00am-2:00pm</t>
  </si>
  <si>
    <t xml:space="preserve">Bluetti Mod</t>
  </si>
  <si>
    <t xml:space="preserve">12:00pm-5:30pm</t>
  </si>
  <si>
    <t xml:space="preserve">MOD+数据</t>
  </si>
  <si>
    <t xml:space="preserve">Ismael</t>
  </si>
  <si>
    <t xml:space="preserve">6:00pm-10:00pm</t>
  </si>
  <si>
    <t xml:space="preserve">4:00pm-8:00pm</t>
  </si>
  <si>
    <t xml:space="preserve">8:00pm-10:15pm</t>
  </si>
  <si>
    <t xml:space="preserve">Aosom</t>
  </si>
  <si>
    <t xml:space="preserve">Oedro</t>
  </si>
  <si>
    <t xml:space="preserve">3:30pm-5:30pm</t>
  </si>
  <si>
    <t xml:space="preserve">2:30pm-5:30pm</t>
  </si>
  <si>
    <t xml:space="preserve">2:00pm-6:00pm</t>
  </si>
  <si>
    <t xml:space="preserve">1:30pm-3:30pm</t>
  </si>
  <si>
    <t xml:space="preserve">3:00pm-4:00pm</t>
  </si>
  <si>
    <t xml:space="preserve">Oedro mod</t>
  </si>
  <si>
    <t xml:space="preserve">3:30pm-6:00pm</t>
  </si>
  <si>
    <t xml:space="preserve">Oedro training</t>
  </si>
  <si>
    <t xml:space="preserve">Maks</t>
  </si>
  <si>
    <t xml:space="preserve">Creality</t>
  </si>
  <si>
    <t xml:space="preserve">4:15pm-6:15pm</t>
  </si>
  <si>
    <t xml:space="preserve">Creality Ebay</t>
  </si>
  <si>
    <t xml:space="preserve">Creality mod</t>
  </si>
  <si>
    <t xml:space="preserve">2:00pm-7:30pm</t>
  </si>
  <si>
    <t xml:space="preserve">写周会文档，开会，复盘</t>
  </si>
  <si>
    <t xml:space="preserve">1:00pm-7:30pm</t>
  </si>
  <si>
    <t xml:space="preserve">training，mod</t>
  </si>
  <si>
    <t xml:space="preserve">1:00pm-3:30pm</t>
  </si>
  <si>
    <t xml:space="preserve">组装机器，training</t>
  </si>
  <si>
    <t xml:space="preserve">4:00pm-5:30pm</t>
  </si>
  <si>
    <t xml:space="preserve">3:00pm-9:00pm</t>
  </si>
  <si>
    <t xml:space="preserve">Efurden</t>
  </si>
  <si>
    <t xml:space="preserve">ouyang</t>
  </si>
  <si>
    <t xml:space="preserve">qinke</t>
  </si>
  <si>
    <t xml:space="preserve">Efurden mod</t>
  </si>
  <si>
    <t xml:space="preserve">Jackery</t>
  </si>
  <si>
    <t xml:space="preserve">Gavin</t>
  </si>
  <si>
    <t xml:space="preserve">Sebastian C</t>
  </si>
  <si>
    <t xml:space="preserve">Jackery training</t>
  </si>
  <si>
    <t xml:space="preserve">Jackery mod</t>
  </si>
  <si>
    <t xml:space="preserve">9:45am-1:00pm</t>
  </si>
  <si>
    <t xml:space="preserve">Nicole Geng</t>
  </si>
  <si>
    <t xml:space="preserve">5:45pm-9:00pm</t>
  </si>
  <si>
    <t xml:space="preserve">Qinke Li</t>
  </si>
  <si>
    <t xml:space="preserve">Wavytalk（周播32H目标）</t>
  </si>
  <si>
    <t xml:space="preserve">Wavytalk</t>
  </si>
  <si>
    <t xml:space="preserve">8:00am-11:00am</t>
  </si>
  <si>
    <t xml:space="preserve">11:00am-1:00pm</t>
  </si>
  <si>
    <t xml:space="preserve">Kutluano Headbush</t>
  </si>
  <si>
    <t xml:space="preserve">1:00pm-4:00pm</t>
  </si>
  <si>
    <t xml:space="preserve">7:00pm-9:00pm</t>
  </si>
  <si>
    <t xml:space="preserve">Isabelle Lauderdale</t>
  </si>
  <si>
    <t xml:space="preserve">9:00pm - 12:00am</t>
  </si>
  <si>
    <t xml:space="preserve">Wavytalk Mod</t>
  </si>
  <si>
    <t xml:space="preserve">7:30am-11:00am</t>
  </si>
  <si>
    <t xml:space="preserve">Iris Zhang</t>
  </si>
  <si>
    <t xml:space="preserve">Joy Hou</t>
  </si>
  <si>
    <t xml:space="preserve">Fiona Lee</t>
  </si>
  <si>
    <t xml:space="preserve">Wavytalk Training</t>
  </si>
  <si>
    <t xml:space="preserve">Austine Cook</t>
  </si>
  <si>
    <t xml:space="preserve">Mignon Ashley</t>
  </si>
  <si>
    <t xml:space="preserve">8:00am-10:00am</t>
  </si>
  <si>
    <t xml:space="preserve">Iris</t>
  </si>
  <si>
    <t xml:space="preserve">Audrey Forrester</t>
  </si>
  <si>
    <t xml:space="preserve">Joy</t>
  </si>
  <si>
    <t xml:space="preserve">Mindy</t>
  </si>
  <si>
    <t xml:space="preserve">Jillian Reeves</t>
  </si>
  <si>
    <t xml:space="preserve">Fiona</t>
  </si>
  <si>
    <t xml:space="preserve">10:00pm - 12:00am</t>
  </si>
  <si>
    <t xml:space="preserve">Theresa Leila Crumpton</t>
  </si>
  <si>
    <t xml:space="preserve">7:30am-10:00am</t>
  </si>
  <si>
    <t xml:space="preserve">mindy</t>
  </si>
  <si>
    <t xml:space="preserve">Shirley He</t>
  </si>
  <si>
    <t xml:space="preserve">9:00pm - 12:30am</t>
  </si>
  <si>
    <t xml:space="preserve">7:00am-10:00am</t>
  </si>
  <si>
    <t xml:space="preserve">Mindy1-2</t>
  </si>
  <si>
    <t xml:space="preserve">Mindy7-8</t>
  </si>
  <si>
    <t xml:space="preserve">生病 临时请假 不pay</t>
  </si>
  <si>
    <t xml:space="preserve">8:00pm - 12:00am</t>
  </si>
  <si>
    <t xml:space="preserve">12:00pm-4:00pm</t>
  </si>
  <si>
    <t xml:space="preserve">12:00am-3:00am</t>
  </si>
  <si>
    <t xml:space="preserve">Stella Daley</t>
  </si>
  <si>
    <t xml:space="preserve">12-3 Zoe/Sky </t>
  </si>
  <si>
    <t xml:space="preserve">3:00am-5:00am</t>
  </si>
  <si>
    <t xml:space="preserve">3-5 Ivy/Q</t>
  </si>
  <si>
    <t xml:space="preserve">5:00am-7:00am</t>
  </si>
  <si>
    <t xml:space="preserve">Shirley</t>
  </si>
  <si>
    <t xml:space="preserve">12:00pm-3:10pm</t>
  </si>
  <si>
    <t xml:space="preserve">3:10pm-6:00pm</t>
  </si>
  <si>
    <t xml:space="preserve">Erin Micklow</t>
  </si>
  <si>
    <t xml:space="preserve">back up</t>
  </si>
  <si>
    <t xml:space="preserve">no show 没有on site</t>
  </si>
  <si>
    <t xml:space="preserve">3-6 Ivy/Q</t>
  </si>
  <si>
    <t xml:space="preserve">5:00am-8:00am</t>
  </si>
  <si>
    <t xml:space="preserve">6-8 Mindy</t>
  </si>
  <si>
    <t xml:space="preserve">9:00pm - 2:00am</t>
  </si>
  <si>
    <t xml:space="preserve">8:00am-12:15pm</t>
  </si>
  <si>
    <t xml:space="preserve">临时放鸽子 不pay</t>
  </si>
  <si>
    <t xml:space="preserve">12:00am-4:00am</t>
  </si>
  <si>
    <t xml:space="preserve">shirley</t>
  </si>
  <si>
    <t xml:space="preserve">Shirley 7-9</t>
  </si>
  <si>
    <t xml:space="preserve">Sunday</t>
  </si>
  <si>
    <t xml:space="preserve">WavyTalk Amazon</t>
  </si>
  <si>
    <t xml:space="preserve">Wavytalk Amazon</t>
  </si>
  <si>
    <t xml:space="preserve">5:45pm - 8:00pm</t>
  </si>
  <si>
    <t xml:space="preserve">Wavytalk Amazon Mod</t>
  </si>
  <si>
    <t xml:space="preserve">5:00pm - 8:00pm</t>
  </si>
  <si>
    <t xml:space="preserve">2:00pm - 6:00pm</t>
  </si>
  <si>
    <t xml:space="preserve">Grace Karin（周播15H目标）</t>
  </si>
  <si>
    <t xml:space="preserve">Grace Karin</t>
  </si>
  <si>
    <t xml:space="preserve">Grace Karin Mod</t>
  </si>
  <si>
    <t xml:space="preserve">9:30am-12:30pm</t>
  </si>
  <si>
    <t xml:space="preserve">Yianna（周播48H目标）</t>
  </si>
  <si>
    <t xml:space="preserve">Yianna Video Shooting</t>
  </si>
  <si>
    <t xml:space="preserve">5:30pm-6:00pm</t>
  </si>
  <si>
    <t xml:space="preserve">Dina Zavala Fuentes</t>
  </si>
  <si>
    <t xml:space="preserve">Yianna</t>
  </si>
  <si>
    <t xml:space="preserve">6:00pm-9:20pm</t>
  </si>
  <si>
    <t xml:space="preserve">Yianna Mod</t>
  </si>
  <si>
    <t xml:space="preserve">6:20pm-9:20pm</t>
  </si>
  <si>
    <t xml:space="preserve">Sarahi Jimenez(Nicole)</t>
  </si>
  <si>
    <t xml:space="preserve">迟到半小时</t>
  </si>
  <si>
    <t xml:space="preserve">5:50pm-9:00pm</t>
  </si>
  <si>
    <t xml:space="preserve">5:15pm-6:00pm</t>
  </si>
  <si>
    <t xml:space="preserve">Assiya Louahabi</t>
  </si>
  <si>
    <t xml:space="preserve">Stephanie Espinal</t>
  </si>
  <si>
    <t xml:space="preserve">主播生病请假了 不pay</t>
  </si>
  <si>
    <t xml:space="preserve">7:40pm-9:30pm</t>
  </si>
  <si>
    <t xml:space="preserve">迟到1小时</t>
  </si>
  <si>
    <t xml:space="preserve">pay 50%</t>
  </si>
  <si>
    <t xml:space="preserve">YMQ - Carplay</t>
  </si>
  <si>
    <t xml:space="preserve">YMQ-Mod</t>
  </si>
  <si>
    <t xml:space="preserve">3:00pm-10:00pm</t>
  </si>
  <si>
    <t xml:space="preserve">YMQ Pre-Livestream Preparation</t>
  </si>
  <si>
    <t xml:space="preserve">10:30pm-11:30pm</t>
  </si>
  <si>
    <t xml:space="preserve">Yoleo-The RUN</t>
  </si>
  <si>
    <t xml:space="preserve">Yoleo-The Run</t>
  </si>
  <si>
    <t xml:space="preserve">3:00pm - 5:00pm</t>
  </si>
  <si>
    <t xml:space="preserve">Yoleo-The Run Mod</t>
  </si>
  <si>
    <t xml:space="preserve">2:00pm - 4:00pm</t>
  </si>
  <si>
    <t xml:space="preserve">1:30pm - 4:00pm</t>
  </si>
  <si>
    <t xml:space="preserve">Yoleo-The Run Training</t>
  </si>
  <si>
    <t xml:space="preserve">2:00pm - 3:00pm</t>
  </si>
  <si>
    <t xml:space="preserve">2:00pm - 5:00pm</t>
  </si>
  <si>
    <t xml:space="preserve">1:00pm - 2:00pm</t>
  </si>
  <si>
    <t xml:space="preserve">Tuesday</t>
  </si>
  <si>
    <t xml:space="preserve">4:00pm - 7:30pm</t>
  </si>
  <si>
    <t xml:space="preserve">Optimize the script and conduct post-live review.
</t>
  </si>
  <si>
    <t xml:space="preserve">Lovevook（周播24H目标）周六大场</t>
  </si>
  <si>
    <t xml:space="preserve">直播间</t>
  </si>
  <si>
    <t xml:space="preserve">Lovevook</t>
  </si>
  <si>
    <t xml:space="preserve">1号</t>
  </si>
  <si>
    <t xml:space="preserve">Lovevook Mod</t>
  </si>
  <si>
    <t xml:space="preserve">3:30pm-8:20pm</t>
  </si>
  <si>
    <t xml:space="preserve">Yifan Li (Nickie)</t>
  </si>
  <si>
    <t xml:space="preserve">摆包、加链接、开播、下播、复盘</t>
  </si>
  <si>
    <t xml:space="preserve">Lovevook Training</t>
  </si>
  <si>
    <t xml:space="preserve">1:40pm-8:30pm</t>
  </si>
  <si>
    <t xml:space="preserve">Angel Zhu</t>
  </si>
  <si>
    <t/>
    <r>
      <rPr>
        <u val="single"/>
        <color theme="10"/>
      </rPr>
      <t xml:space="preserve">@Zixuan Wang</t>
    </r>
    <r>
      <rPr/>
      <t xml:space="preserve">
</t>
    </r>
    <r>
      <rPr/>
      <t xml:space="preserve">2-2:30培训资料
</t>
    </r>
    <r>
      <rPr/>
      <t xml:space="preserve">2:30-3开播、加链接、摆包
</t>
    </r>
    <r>
      <rPr/>
      <t xml:space="preserve">3-4lovevook 产品、竞拍节奏、话术
</t>
    </r>
    <r>
      <rPr/>
      <t xml:space="preserve">4-6看播Nickie
</t>
    </r>
    <r>
      <rPr/>
      <t>6-8答疑、复盘、强调</t>
    </r>
  </si>
  <si>
    <t xml:space="preserve">Jessie Canizales</t>
  </si>
  <si>
    <t xml:space="preserve">12:30pm-5:20pm</t>
  </si>
  <si>
    <t xml:space="preserve">Suzannah Samuel</t>
  </si>
  <si>
    <t/>
    <r>
      <rPr>
        <u val="single"/>
        <color theme="10"/>
      </rPr>
      <t xml:space="preserve">@Zixuan Wang</t>
    </r>
    <r>
      <rPr/>
      <t>3:00-3:30</t>
    </r>
  </si>
  <si>
    <t xml:space="preserve">11:30am-3:00pm</t>
  </si>
  <si>
    <t xml:space="preserve">摆包、加链接、开播</t>
  </si>
  <si>
    <t xml:space="preserve">3:00pm-3:30pm</t>
  </si>
  <si>
    <t/>
    <r>
      <rPr>
        <u val="single"/>
        <color theme="10"/>
      </rPr>
      <t xml:space="preserve">@Zixuan Wang</t>
    </r>
  </si>
  <si>
    <t xml:space="preserve">3:40pm-6:20pm</t>
  </si>
  <si>
    <t xml:space="preserve">下播、复盘</t>
  </si>
  <si>
    <t xml:space="preserve">11:00am-2:00pm</t>
  </si>
  <si>
    <t xml:space="preserve">2:00pm-5:00pm</t>
  </si>
  <si>
    <t xml:space="preserve">10:30am-4:00pm</t>
  </si>
  <si>
    <t xml:space="preserve">1:30pm-6:30pm</t>
  </si>
  <si>
    <t/>
    <r>
      <rPr/>
      <t xml:space="preserve">1:30-4:00：Nickie带Angel，
</t>
    </r>
    <r>
      <rPr/>
      <t xml:space="preserve">3:00-4:00：Angle控
</t>
    </r>
    <r>
      <rPr/>
      <t xml:space="preserve">4:00-5:00: </t>
    </r>
    <r>
      <rPr>
        <u val="single"/>
        <color theme="10"/>
      </rPr>
      <t xml:space="preserve">@Zixuan Wang</t>
    </r>
    <r>
      <rPr/>
      <t xml:space="preserve">带 / 下播复盘</t>
    </r>
  </si>
  <si>
    <t/>
    <r>
      <rPr>
        <u val="single"/>
        <color theme="10"/>
      </rPr>
      <t xml:space="preserve">@Zixuan Wang</t>
    </r>
  </si>
  <si>
    <t xml:space="preserve">1:10pm-3:10pm</t>
  </si>
  <si>
    <t xml:space="preserve">迟到10分钟，由于Jessie也迟到，顺延10分钟</t>
  </si>
  <si>
    <t xml:space="preserve">3:10pm-6:01pm</t>
  </si>
  <si>
    <t xml:space="preserve">迟到10分钟</t>
  </si>
  <si>
    <t xml:space="preserve">12:30pm-5:00pm</t>
  </si>
  <si>
    <t/>
    <r>
      <rPr>
        <u val="single"/>
        <color theme="10"/>
      </rPr>
      <t xml:space="preserve">@Zixuan Wang</t>
    </r>
    <r>
      <rPr/>
      <t>带</t>
    </r>
  </si>
  <si>
    <t xml:space="preserve">5:00pm-6:00pm</t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</si>
  <si>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</si>
  <si>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  <r>
      <rPr/>
      <t>带</t>
    </r>
  </si>
  <si>
    <t xml:space="preserve">发烧</t>
  </si>
  <si>
    <t xml:space="preserve">12:00pm-6:00pm</t>
  </si>
  <si>
    <t/>
    <r>
      <rPr>
        <u val="single"/>
        <color theme="10"/>
      </rPr>
      <t xml:space="preserve">@Zixuan Wang</t>
    </r>
  </si>
  <si>
    <t xml:space="preserve">Younique Nails</t>
  </si>
  <si>
    <t xml:space="preserve">confirm</t>
  </si>
  <si>
    <t xml:space="preserve">Rachel Jackson</t>
  </si>
  <si>
    <t xml:space="preserve">会议室</t>
  </si>
  <si>
    <t xml:space="preserve">Younique Nails Mod</t>
  </si>
  <si>
    <t xml:space="preserve">2:45pm-7:00pm</t>
  </si>
  <si>
    <t xml:space="preserve">Jiaxin Tian (Natasha)</t>
  </si>
  <si>
    <t xml:space="preserve">加链接、开播</t>
  </si>
  <si>
    <t xml:space="preserve">7:00pm-10:15pm</t>
  </si>
  <si>
    <t/>
    <r>
      <rPr>
        <u val="single"/>
        <color theme="10"/>
      </rPr>
      <t xml:space="preserve">@Zixuan Wang</t>
    </r>
  </si>
  <si>
    <t xml:space="preserve">5:45pm-10:15pm</t>
  </si>
  <si>
    <t xml:space="preserve">场控取消不pay</t>
  </si>
  <si>
    <t xml:space="preserve">Marian Ebhamen</t>
  </si>
  <si>
    <t xml:space="preserve">6:45pm-10:15pm</t>
  </si>
  <si>
    <t xml:space="preserve">加链接、开播、下播、复盘</t>
  </si>
  <si>
    <t xml:space="preserve">第一场</t>
  </si>
  <si>
    <t xml:space="preserve">第二场</t>
  </si>
  <si>
    <t xml:space="preserve">12:45pm-4:00pm</t>
  </si>
  <si>
    <t xml:space="preserve">5:45pm-9:15pm</t>
  </si>
  <si>
    <t xml:space="preserve">3:45pm-6:15pm</t>
  </si>
  <si>
    <t/>
    <r>
      <rPr>
        <u val="single"/>
        <color theme="10"/>
      </rPr>
      <t xml:space="preserve">@Zixuan Wang</t>
    </r>
  </si>
  <si>
    <t xml:space="preserve">3:45pm-5:15pm</t>
  </si>
  <si>
    <t xml:space="preserve">5:15pm-5:45pm</t>
  </si>
  <si>
    <t/>
    <r>
      <rPr>
        <u val="single"/>
        <color theme="10"/>
      </rPr>
      <t xml:space="preserve">@Zixuan Wang</t>
    </r>
  </si>
  <si>
    <t xml:space="preserve">DJI</t>
  </si>
  <si>
    <t xml:space="preserve">运营（写清楚场控跟播的时间段）</t>
  </si>
  <si>
    <t xml:space="preserve">Back up</t>
  </si>
  <si>
    <t xml:space="preserve">Bagsmart Travel</t>
  </si>
  <si>
    <t xml:space="preserve">3:45pm-7:00pm</t>
  </si>
  <si>
    <t xml:space="preserve">Marina Hribernig</t>
  </si>
  <si>
    <t xml:space="preserve">4:45pm-8:30pm</t>
  </si>
  <si>
    <t xml:space="preserve">Bagsmart Travel Mod</t>
  </si>
  <si>
    <t xml:space="preserve">3:30pm-7:15pm</t>
  </si>
  <si>
    <t xml:space="preserve">Ian Sandvik</t>
  </si>
  <si>
    <t xml:space="preserve">4:30pm-9:30pm</t>
  </si>
  <si>
    <t xml:space="preserve">Wanyi Zhao</t>
  </si>
  <si>
    <t xml:space="preserve">Bagsmart Training</t>
  </si>
  <si>
    <t xml:space="preserve">1:30pm-3:45pm</t>
  </si>
  <si>
    <t xml:space="preserve">Bagsmart Lifestyle</t>
  </si>
  <si>
    <t xml:space="preserve">8:15am-11:30am</t>
  </si>
  <si>
    <t xml:space="preserve">9:45am-1:30pm</t>
  </si>
  <si>
    <t xml:space="preserve">Bagsmart Lifestyle Mod</t>
  </si>
  <si>
    <t xml:space="preserve">9:30am-1:15pm</t>
  </si>
  <si>
    <t xml:space="preserve">Byron</t>
  </si>
  <si>
    <t xml:space="preserve">Victoria Williams</t>
  </si>
  <si>
    <t xml:space="preserve">7:45am-11:45am</t>
  </si>
  <si>
    <t xml:space="preserve">9:30am-1:45pm</t>
  </si>
  <si>
    <t xml:space="preserve">UMi</t>
  </si>
  <si>
    <t xml:space="preserve">7:30pm-10:30pm</t>
  </si>
  <si>
    <t xml:space="preserve">UMi Mod</t>
  </si>
  <si>
    <t xml:space="preserve">7:00pm-10:30pm</t>
  </si>
  <si>
    <t xml:space="preserve">4:45pm-8:00pm</t>
  </si>
  <si>
    <t xml:space="preserve">7:15pm-10:30pm</t>
  </si>
  <si>
    <t xml:space="preserve">11:45am-3:00pm</t>
  </si>
  <si>
    <t xml:space="preserve">1:45pm-5:00pm</t>
  </si>
  <si>
    <t xml:space="preserve">UMi Training</t>
  </si>
  <si>
    <t xml:space="preserve">2:30pm-3:00pm</t>
  </si>
  <si>
    <t xml:space="preserve">6:00pm-6:30pm</t>
  </si>
  <si>
    <t xml:space="preserve">DCSVIP</t>
  </si>
  <si>
    <t xml:space="preserve">Samuel Solomon</t>
  </si>
  <si>
    <t xml:space="preserve">DCSVIP Mod</t>
  </si>
  <si>
    <t xml:space="preserve">6:45pm-10:00pm</t>
  </si>
  <si>
    <t xml:space="preserve">12:45pm-3:00pm</t>
  </si>
  <si>
    <t/>
    <r>
      <rPr>
        <u val="single"/>
        <color theme="10"/>
      </rPr>
      <t xml:space="preserve">@Shirley He</t>
    </r>
  </si>
  <si>
    <t/>
    <r>
      <rPr>
        <u val="single"/>
        <color theme="10"/>
      </rPr>
      <t xml:space="preserve">@Shirley He</t>
    </r>
  </si>
  <si>
    <t xml:space="preserve">2:45pm-5:00pm</t>
  </si>
  <si>
    <t xml:space="preserve">3:00pm-6:15pm</t>
  </si>
  <si>
    <t xml:space="preserve">3:15pm-6:15pm</t>
  </si>
  <si>
    <t xml:space="preserve">DCSVIP Training</t>
  </si>
  <si>
    <t xml:space="preserve">2:30pm-10:30pm</t>
  </si>
  <si>
    <t xml:space="preserve">Ranxi Li</t>
  </si>
  <si>
    <t xml:space="preserve">11:00am-7:00pm</t>
  </si>
  <si>
    <t xml:space="preserve">11:30am-7:00pm</t>
  </si>
  <si>
    <t xml:space="preserve">12:00pm-8:00pm</t>
  </si>
  <si>
    <t xml:space="preserve">Aelfric Eden</t>
  </si>
  <si>
    <t xml:space="preserve">Aelfric Eden Mod</t>
  </si>
  <si>
    <t xml:space="preserve">Kate</t>
  </si>
  <si>
    <t xml:space="preserve">6:00pm-7:00pm</t>
  </si>
  <si>
    <t xml:space="preserve">7:00pm-9:30pm</t>
  </si>
  <si>
    <t xml:space="preserve">6:00pm-9:30pm</t>
  </si>
  <si>
    <t xml:space="preserve">zoey</t>
  </si>
  <si>
    <t xml:space="preserve">5:45pm-9:30pm</t>
  </si>
  <si>
    <t xml:space="preserve">11:00am-4:00pm</t>
  </si>
  <si>
    <t xml:space="preserve">11:45am-4:00pm</t>
  </si>
  <si>
    <t xml:space="preserve">Aelfric Eden Training</t>
  </si>
  <si>
    <t xml:space="preserve">Mobeso</t>
  </si>
  <si>
    <t xml:space="preserve">Mobeso Mod</t>
  </si>
  <si>
    <t xml:space="preserve">1:45pm-4:00pm</t>
  </si>
  <si>
    <t xml:space="preserve">Treshon Lyniece Jenkins</t>
  </si>
  <si>
    <t xml:space="preserve">Basic Training</t>
  </si>
  <si>
    <t xml:space="preserve">Tuesday</t>
  </si>
  <si>
    <t xml:space="preserve">11am-1:30pm</t>
  </si>
  <si>
    <t xml:space="preserve">Emilio</t>
  </si>
  <si>
    <t xml:space="preserve">Miya</t>
  </si>
  <si>
    <t xml:space="preserve">3619 Eastham Drive</t>
  </si>
  <si>
    <t xml:space="preserve">YES</t>
  </si>
  <si>
    <t xml:space="preserve">Austine (Aui)</t>
  </si>
  <si>
    <t xml:space="preserve">Leila(Theresa)</t>
  </si>
  <si>
    <t xml:space="preserve">Sebastian C</t>
  </si>
  <si>
    <t xml:space="preserve">Friday</t>
  </si>
  <si>
    <t xml:space="preserve">11am-1:00pm</t>
  </si>
  <si>
    <t xml:space="preserve">Tiffany</t>
  </si>
  <si>
    <t xml:space="preserve">Shawn</t>
  </si>
  <si>
    <t xml:space="preserve">Meredith</t>
  </si>
  <si>
    <t xml:space="preserve">Mignon A</t>
  </si>
  <si>
    <t xml:space="preserve">Interview Support</t>
  </si>
  <si>
    <t xml:space="preserve">Wednesday</t>
  </si>
  <si>
    <t xml:space="preserve">1pm-6pm</t>
  </si>
  <si>
    <t xml:space="preserve">Xianglin Li (Lexi)</t>
  </si>
  <si>
    <t xml:space="preserve">Thursday</t>
  </si>
  <si>
    <t xml:space="preserve">10am-3:15pm</t>
  </si>
  <si>
    <t xml:space="preserve">10am-5:15pm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</si>
  <si>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</si>
  <si>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</si>
  <si>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</si>
  <si>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</si>
  <si>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</si>
  <si>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</si>
  <si>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</si>
  <si>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</si>
  <si>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</si>
  <si>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雅迪电动车Video Shooting</t>
  </si>
  <si>
    <t xml:space="preserve">10:30am-12:30pm</t>
  </si>
  <si>
    <t xml:space="preserve">B-ROLL Shooting</t>
  </si>
  <si>
    <t xml:space="preserve">10:30am-1:30pm</t>
  </si>
  <si>
    <t xml:space="preserve">徕芬Video Shooting</t>
  </si>
  <si>
    <t xml:space="preserve">10:00am-12:00pm</t>
  </si>
  <si>
    <t xml:space="preserve">Kat</t>
  </si>
  <si>
    <t xml:space="preserve">PENDING</t>
  </si>
  <si>
    <t xml:space="preserve">Mobeso Shooting</t>
  </si>
  <si>
    <t xml:space="preserve">9:00am-12:00pm</t>
  </si>
  <si>
    <t xml:space="preserve">Tess Gordon</t>
  </si>
  <si>
    <t xml:space="preserve">8461 Higuera Street</t>
  </si>
  <si>
    <t xml:space="preserve">5:45pm-9:00pm</t>
  </si>
  <si>
    <t xml:space="preserve">VEVOR TOOL（周播30小时目标）</t>
  </si>
  <si>
    <t xml:space="preserve">Mod（写清楚场控跟播的时间段）</t>
  </si>
  <si>
    <t xml:space="preserve">VEVOR TOOL</t>
  </si>
  <si>
    <t xml:space="preserve">12:00pm-2:00pm</t>
  </si>
  <si>
    <t xml:space="preserve">Anthony Traina</t>
  </si>
  <si>
    <t xml:space="preserve">will</t>
  </si>
  <si>
    <t xml:space="preserve">2:00pm-3:00pm</t>
  </si>
  <si>
    <t xml:space="preserve">Brian Linsley</t>
  </si>
  <si>
    <t xml:space="preserve">8462 Higuera Street</t>
  </si>
  <si>
    <t xml:space="preserve">3:00pm-6:00pm</t>
  </si>
  <si>
    <t xml:space="preserve">ziyi/will</t>
  </si>
  <si>
    <t xml:space="preserve">8463 Higuera Street</t>
  </si>
  <si>
    <t xml:space="preserve">6:00pm-7:00pm</t>
  </si>
  <si>
    <t xml:space="preserve">Maximillian</t>
  </si>
  <si>
    <t xml:space="preserve">ziyi</t>
  </si>
  <si>
    <t xml:space="preserve">8464 Higuera Street</t>
  </si>
  <si>
    <t xml:space="preserve">7:00pm-10:00pm</t>
  </si>
  <si>
    <t xml:space="preserve">8465 Higuera Street</t>
  </si>
  <si>
    <t xml:space="preserve">6:30pm-10:30pm</t>
  </si>
  <si>
    <t xml:space="preserve">8466 Higuera Street</t>
  </si>
  <si>
    <t xml:space="preserve">victoria rose</t>
  </si>
  <si>
    <t xml:space="preserve">8467 Higuera Street</t>
  </si>
  <si>
    <t xml:space="preserve">6:00pm-8:00pm</t>
  </si>
  <si>
    <t xml:space="preserve">8468 Higuera Street</t>
  </si>
  <si>
    <t xml:space="preserve">8:00pm-11:00pm</t>
  </si>
  <si>
    <t xml:space="preserve">8469 Higuera Street</t>
  </si>
  <si>
    <t xml:space="preserve">8470 Higuera Street</t>
  </si>
  <si>
    <t xml:space="preserve">8471 Higuera Street</t>
  </si>
  <si>
    <t xml:space="preserve">10:00am-2:00pm</t>
  </si>
  <si>
    <t xml:space="preserve">8472 Higuera Street</t>
  </si>
  <si>
    <t xml:space="preserve">2:00pm-4:00pm</t>
  </si>
  <si>
    <t xml:space="preserve">Victoria</t>
  </si>
  <si>
    <t xml:space="preserve">8473 Higuera Street</t>
  </si>
  <si>
    <t xml:space="preserve">场次取消</t>
  </si>
  <si>
    <t xml:space="preserve">VEVOR TOOL Mod</t>
  </si>
  <si>
    <t xml:space="preserve">11:30am-3:00pm</t>
  </si>
  <si>
    <t xml:space="preserve">William Dennis</t>
  </si>
  <si>
    <t xml:space="preserve">3:00pm-4:00pm</t>
  </si>
  <si>
    <t xml:space="preserve">4:00pm-6:00pm</t>
  </si>
  <si>
    <t xml:space="preserve">7:00pm-10:30pm</t>
  </si>
  <si>
    <t xml:space="preserve">Victoria Rose</t>
  </si>
  <si>
    <t xml:space="preserve">mod取消 不pay</t>
  </si>
  <si>
    <t xml:space="preserve">8:00pm-12:00am</t>
  </si>
  <si>
    <t xml:space="preserve">9:30am-2:00pm</t>
  </si>
  <si>
    <t xml:space="preserve">8474 Higuera Street</t>
  </si>
  <si>
    <t xml:space="preserve">VEVOR TOOL Training</t>
  </si>
  <si>
    <t xml:space="preserve">1:00pm-2:00pm</t>
  </si>
  <si>
    <t xml:space="preserve">12:00pm-3:00pm</t>
  </si>
  <si>
    <t xml:space="preserve">3:30pm-11:30pm</t>
  </si>
  <si>
    <t xml:space="preserve">2:30pm-6:00pm</t>
  </si>
  <si>
    <t xml:space="preserve">9:30am-5:30pm</t>
  </si>
  <si>
    <t xml:space="preserve">Joyin</t>
  </si>
  <si>
    <t xml:space="preserve">7:00pm - 11:00pm</t>
  </si>
  <si>
    <t xml:space="preserve">Simone Baker</t>
  </si>
  <si>
    <t xml:space="preserve">Live 7-10</t>
  </si>
  <si>
    <t xml:space="preserve">Room 5</t>
  </si>
  <si>
    <t xml:space="preserve">6:00pm - 11:00pm</t>
  </si>
  <si>
    <t xml:space="preserve">Live 6-10</t>
  </si>
  <si>
    <t xml:space="preserve">3:00pm - 8:00pm</t>
  </si>
  <si>
    <t xml:space="preserve">Live 4-8 </t>
  </si>
  <si>
    <t xml:space="preserve">8:00pm - 11:00pm</t>
  </si>
  <si>
    <t xml:space="preserve">Iris (Alexis) Perry</t>
  </si>
  <si>
    <t xml:space="preserve">Live 8-10</t>
  </si>
  <si>
    <t xml:space="preserve">4:30pm - 6:30pm</t>
  </si>
  <si>
    <t xml:space="preserve">Treshon Lyniece Jenkins</t>
  </si>
  <si>
    <t xml:space="preserve">Live 4:30-6:30</t>
  </si>
  <si>
    <t xml:space="preserve">6:30pm - 11:30pm</t>
  </si>
  <si>
    <t xml:space="preserve">Live 6:30-10:30</t>
  </si>
  <si>
    <t xml:space="preserve">David Archy</t>
  </si>
  <si>
    <t xml:space="preserve">2:30pm - 4:30pm</t>
  </si>
  <si>
    <t xml:space="preserve">2:00pm - 4:00pm</t>
  </si>
  <si>
    <t xml:space="preserve">Ava Gold</t>
  </si>
  <si>
    <t xml:space="preserve">1:30pm - 4:00pm</t>
  </si>
  <si>
    <t xml:space="preserve">1:30pm - 3:30pm</t>
  </si>
  <si>
    <t xml:space="preserve">1:00pm - 3:00pm</t>
  </si>
  <si>
    <t xml:space="preserve">David Archy Mod</t>
  </si>
  <si>
    <t xml:space="preserve">1:30pm - 4:30pm</t>
  </si>
  <si>
    <t xml:space="preserve">Coco</t>
  </si>
  <si>
    <t xml:space="preserve">1:00pm - 4:00pm</t>
  </si>
  <si>
    <t xml:space="preserve">Fiona Lee</t>
  </si>
  <si>
    <t xml:space="preserve">12:30pm - 3:30pm</t>
  </si>
  <si>
    <t xml:space="preserve">12:30pm - 2:30pm</t>
  </si>
  <si>
    <t xml:space="preserve">12:30pm - 3:00pm</t>
  </si>
  <si>
    <t xml:space="preserve">David Archy Training</t>
  </si>
  <si>
    <t xml:space="preserve">Papablic</t>
  </si>
  <si>
    <t xml:space="preserve"> </t>
  </si>
  <si>
    <t xml:space="preserve">8:00pm - 10:00pm</t>
  </si>
  <si>
    <t xml:space="preserve">Room 3</t>
  </si>
  <si>
    <t xml:space="preserve">Ayala</t>
  </si>
  <si>
    <t xml:space="preserve">提前24小时取消 不pay</t>
  </si>
  <si>
    <t xml:space="preserve">Papablic Mod</t>
  </si>
  <si>
    <t xml:space="preserve">8:00pm - 10:30pm</t>
  </si>
  <si>
    <t xml:space="preserve">7:30pm - 10:30pm</t>
  </si>
  <si>
    <t xml:space="preserve">24小时内取消 pay一半</t>
  </si>
  <si>
    <t xml:space="preserve">Papablic Training</t>
  </si>
  <si>
    <t xml:space="preserve">Lesure Fresh</t>
  </si>
  <si>
    <t xml:space="preserve">5:00pm - 7:00pm</t>
  </si>
  <si>
    <t xml:space="preserve">4:00pm - 6:00pm</t>
  </si>
  <si>
    <t xml:space="preserve">ivy 5-6</t>
  </si>
  <si>
    <t xml:space="preserve">Cassi</t>
  </si>
  <si>
    <t xml:space="preserve">4:00pm - 8:30pm</t>
  </si>
  <si>
    <t xml:space="preserve">12:00pm - 4:00pm</t>
  </si>
  <si>
    <t xml:space="preserve">Lesure Fresh Mod</t>
  </si>
  <si>
    <t xml:space="preserve">4:30pm - 7:30pm</t>
  </si>
  <si>
    <t xml:space="preserve">4:00pm - 5:00pm</t>
  </si>
  <si>
    <t xml:space="preserve">3:30pm - 6:30pm</t>
  </si>
  <si>
    <t xml:space="preserve">3:30pm - 9:00pm</t>
  </si>
  <si>
    <t xml:space="preserve">11:30am - 4:30pm</t>
  </si>
  <si>
    <t xml:space="preserve">Lesure Fresh Training</t>
  </si>
  <si>
    <t xml:space="preserve">5:30pm - 6:30pm</t>
  </si>
  <si>
    <t xml:space="preserve">2:30pm - 3:30pm</t>
  </si>
  <si>
    <t xml:space="preserve">Xtool</t>
  </si>
  <si>
    <t xml:space="preserve">每周目标42h</t>
  </si>
  <si>
    <t xml:space="preserve">7:30pm-10:30pm</t>
  </si>
  <si>
    <t xml:space="preserve">4:00pm-7:00pm</t>
  </si>
  <si>
    <t xml:space="preserve">Frank Hunter</t>
  </si>
  <si>
    <t xml:space="preserve">5:00pm-8:00pm</t>
  </si>
  <si>
    <t xml:space="preserve">11:00am-1:00pm</t>
  </si>
  <si>
    <t xml:space="preserve">1:00pm-3:00pm</t>
  </si>
  <si>
    <t xml:space="preserve">1:00pm-5:00pm</t>
  </si>
  <si>
    <t xml:space="preserve">Xtool Mod</t>
  </si>
  <si>
    <t xml:space="preserve">7:00pm-11:30pm</t>
  </si>
  <si>
    <t xml:space="preserve">Venus</t>
  </si>
  <si>
    <t xml:space="preserve">3:30pm-8:00pm</t>
  </si>
  <si>
    <t xml:space="preserve">4:30pm-8:00pm</t>
  </si>
  <si>
    <t xml:space="preserve">Izzy Mu</t>
  </si>
  <si>
    <t xml:space="preserve">10:30am-4:00pm</t>
  </si>
  <si>
    <t xml:space="preserve">12:30pm-5:00pm</t>
  </si>
  <si>
    <t xml:space="preserve">Xtool Training</t>
  </si>
  <si>
    <t xml:space="preserve"> 2:00pm-3:30pm</t>
  </si>
  <si>
    <t xml:space="preserve">Joseph Davis Massingill</t>
  </si>
  <si>
    <t xml:space="preserve"> 4:00pm-6:00pm</t>
  </si>
  <si>
    <t xml:space="preserve">Parker Elliott</t>
  </si>
  <si>
    <t xml:space="preserve"> 1:00pm-2:00pm</t>
  </si>
  <si>
    <t xml:space="preserve"> 9:00am-4:30pm</t>
  </si>
  <si>
    <t xml:space="preserve">rita</t>
  </si>
  <si>
    <t xml:space="preserve"> 11:30am-5:30pm</t>
  </si>
  <si>
    <t xml:space="preserve"> 10:00am-8:30pm</t>
  </si>
  <si>
    <t xml:space="preserve"> 8:00am-2:00pm</t>
  </si>
  <si>
    <t xml:space="preserve"> 7:30am-12:30pm</t>
  </si>
  <si>
    <t xml:space="preserve">Wattcycle</t>
  </si>
  <si>
    <t xml:space="preserve">每周目标23h</t>
  </si>
  <si>
    <t xml:space="preserve">12:30pm-3:30pm</t>
  </si>
  <si>
    <t xml:space="preserve">ismael</t>
  </si>
  <si>
    <t xml:space="preserve">品牌需要暂停一周，已提前24h通知</t>
  </si>
  <si>
    <t xml:space="preserve">6:30pm-9:30pm</t>
  </si>
  <si>
    <t xml:space="preserve">Marco Neves</t>
  </si>
  <si>
    <t xml:space="preserve">Wattcycle Mod</t>
  </si>
  <si>
    <t xml:space="preserve">Ismael</t>
  </si>
  <si>
    <t xml:space="preserve">Larq</t>
  </si>
  <si>
    <t xml:space="preserve">每周目标8h</t>
  </si>
  <si>
    <t xml:space="preserve">10:45am-12:45pm</t>
  </si>
  <si>
    <t xml:space="preserve">Bianca Foscht</t>
  </si>
  <si>
    <t xml:space="preserve">       10:00am-12:00pm</t>
  </si>
  <si>
    <t xml:space="preserve">Dilara Foscht</t>
  </si>
  <si>
    <t xml:space="preserve">9:45am-12:30pm</t>
  </si>
  <si>
    <t xml:space="preserve">room2 </t>
  </si>
  <si>
    <t xml:space="preserve">Zhaoen Fan(iris)</t>
  </si>
  <si>
    <t xml:space="preserve">room2</t>
  </si>
  <si>
    <t xml:space="preserve">Momcozy</t>
  </si>
  <si>
    <t xml:space="preserve">使用的账号</t>
  </si>
  <si>
    <t xml:space="preserve">4:30pm-6:30pm</t>
  </si>
  <si>
    <t xml:space="preserve">Magdalena Zielonka</t>
  </si>
  <si>
    <t xml:space="preserve">accd(momcozy_usshop)</t>
  </si>
  <si>
    <t xml:space="preserve">Rose Donahue</t>
  </si>
  <si>
    <t xml:space="preserve">12:30pm-2:30pm</t>
  </si>
  <si>
    <t xml:space="preserve">show cancel, video shooting 支付host </t>
  </si>
  <si>
    <t xml:space="preserve">host 取消，不支付</t>
  </si>
  <si>
    <t xml:space="preserve">提前取消，不支付</t>
  </si>
  <si>
    <t xml:space="preserve">Momcozy training</t>
  </si>
  <si>
    <t xml:space="preserve">4:00pm-5:00pm</t>
  </si>
  <si>
    <t/>
    <r>
      <rPr>
        <u val="single"/>
        <color theme="10"/>
      </rPr>
      <t xml:space="preserve">@Jiaze Zou</t>
    </r>
  </si>
  <si>
    <t/>
    <r>
      <rPr>
        <u val="single"/>
        <color theme="10"/>
      </rPr>
      <t xml:space="preserve">@Wentao Du</t>
    </r>
  </si>
  <si>
    <t xml:space="preserve">Diana</t>
  </si>
  <si>
    <t xml:space="preserve">2:30pm-3:00pm</t>
  </si>
  <si>
    <t/>
    <r>
      <rPr/>
      <t xml:space="preserve">Sophia </t>
    </r>
    <r>
      <rPr>
        <u val="single"/>
        <color theme="10"/>
      </rPr>
      <t xml:space="preserve">@Wentao Du</t>
    </r>
  </si>
  <si>
    <t xml:space="preserve">Momcozy Mod</t>
  </si>
  <si>
    <t/>
    <r>
      <rPr/>
      <t xml:space="preserve">Sophia </t>
    </r>
    <r>
      <rPr>
        <u val="single"/>
        <color theme="10"/>
      </rPr>
      <t xml:space="preserve">@Wentao Du</t>
    </r>
  </si>
  <si>
    <t/>
    <r>
      <rPr>
        <u val="single"/>
        <color theme="10"/>
      </rPr>
      <t xml:space="preserve">@Jiaze Zou</t>
    </r>
  </si>
  <si>
    <t/>
    <r>
      <rPr/>
      <t xml:space="preserve">Sophia </t>
    </r>
    <r>
      <rPr>
        <u val="single"/>
        <color theme="10"/>
      </rPr>
      <t xml:space="preserve">@Wentao Du</t>
    </r>
  </si>
  <si>
    <t/>
    <r>
      <rPr/>
      <t xml:space="preserve">Sophia </t>
    </r>
    <r>
      <rPr>
        <u val="single"/>
        <color theme="10"/>
      </rPr>
      <t xml:space="preserve">@Wentao Du</t>
    </r>
  </si>
  <si>
    <t xml:space="preserve">3:30pm-7:00pm</t>
  </si>
  <si>
    <t xml:space="preserve">video shooting</t>
  </si>
  <si>
    <t/>
    <r>
      <rPr/>
      <t xml:space="preserve">Sophia </t>
    </r>
    <r>
      <rPr>
        <u val="single"/>
        <color theme="10"/>
      </rPr>
      <t xml:space="preserve">@Wentao Du</t>
    </r>
  </si>
  <si>
    <t xml:space="preserve">提前cancel 不支付</t>
  </si>
  <si>
    <t xml:space="preserve">Govee-亚马逊直播</t>
  </si>
  <si>
    <t xml:space="preserve">Govee</t>
  </si>
  <si>
    <t xml:space="preserve">8:30pm-9:30pm</t>
  </si>
  <si>
    <t xml:space="preserve">Bruce</t>
  </si>
  <si>
    <t xml:space="preserve">Govee Training</t>
  </si>
  <si>
    <t xml:space="preserve">5:30pm-8:30pm</t>
  </si>
  <si>
    <t xml:space="preserve">8:00pm-8:30pm</t>
  </si>
  <si>
    <t xml:space="preserve">Bruce/Sophia</t>
  </si>
  <si>
    <t xml:space="preserve">Q&amp;A</t>
  </si>
  <si>
    <t xml:space="preserve">Cariloha Amazon</t>
  </si>
  <si>
    <t xml:space="preserve">Cariloha</t>
  </si>
  <si>
    <t xml:space="preserve">room 4 </t>
  </si>
  <si>
    <t xml:space="preserve">2:00pm-5:00pm</t>
  </si>
  <si>
    <t xml:space="preserve">Kristina Dow</t>
  </si>
  <si>
    <t xml:space="preserve">Sophia</t>
  </si>
  <si>
    <t xml:space="preserve">script training</t>
  </si>
  <si>
    <t xml:space="preserve">Cariloha Training</t>
  </si>
  <si>
    <t xml:space="preserve">12:30pm-1:30pm</t>
  </si>
  <si>
    <t xml:space="preserve">Cariloha Mod</t>
  </si>
  <si>
    <t xml:space="preserve">10:30am-1:00pm</t>
  </si>
  <si>
    <t xml:space="preserve">2:00pm-2:30pm</t>
  </si>
  <si>
    <t xml:space="preserve">training</t>
  </si>
  <si>
    <t xml:space="preserve">setup, rehearsal, mod</t>
  </si>
  <si>
    <t xml:space="preserve">Wondamo</t>
  </si>
  <si>
    <t xml:space="preserve">Wondamo Training</t>
  </si>
  <si>
    <t xml:space="preserve">11:00am-2:00pm</t>
  </si>
  <si>
    <t xml:space="preserve">Laura McGlynn</t>
  </si>
  <si>
    <t xml:space="preserve">sophia</t>
  </si>
  <si>
    <t xml:space="preserve">Wondamo Mod training</t>
  </si>
  <si>
    <t xml:space="preserve">2:00pm-3:30pm</t>
  </si>
  <si>
    <t xml:space="preserve">Wondamo Mod</t>
  </si>
  <si>
    <t xml:space="preserve">1:30pm-4:00pm</t>
  </si>
  <si>
    <t xml:space="preserve">11:30am-2:00pm</t>
  </si>
  <si>
    <t xml:space="preserve">room 4</t>
  </si>
  <si>
    <t xml:space="preserve">Yoleo Amazon</t>
  </si>
  <si>
    <t xml:space="preserve">show canceled, rehearsal</t>
  </si>
  <si>
    <t xml:space="preserve">Yoleo Amazon Training</t>
  </si>
  <si>
    <t xml:space="preserve">training +script</t>
  </si>
  <si>
    <t xml:space="preserve">2:45pm-5:00pm</t>
  </si>
  <si>
    <t xml:space="preserve">6:30pm-7:30pm</t>
  </si>
  <si>
    <t xml:space="preserve">Yoleo Amazon Mod</t>
  </si>
  <si>
    <t xml:space="preserve">12:00pm-2:30pm</t>
  </si>
  <si>
    <t xml:space="preserve">5:00pm-6:00pm</t>
  </si>
  <si>
    <t xml:space="preserve">Calvin</t>
  </si>
  <si>
    <t xml:space="preserve">Flower Knows Amazon</t>
  </si>
  <si>
    <t xml:space="preserve">Flower Knows Training</t>
  </si>
  <si>
    <t xml:space="preserve">12:00pm-1:00pm</t>
  </si>
  <si>
    <t xml:space="preserve">TOPDON</t>
  </si>
  <si>
    <t xml:space="preserve">12:00pm-4:00pm</t>
  </si>
  <si>
    <t xml:space="preserve">Ali Kassem</t>
  </si>
  <si>
    <t xml:space="preserve">Gavin</t>
  </si>
  <si>
    <t xml:space="preserve">Jerry Alamo</t>
  </si>
  <si>
    <t xml:space="preserve">10:00am-1:00pm</t>
  </si>
  <si>
    <t xml:space="preserve">TOPDON Mod</t>
  </si>
  <si>
    <t xml:space="preserve">cam</t>
  </si>
  <si>
    <t xml:space="preserve">April</t>
  </si>
  <si>
    <t xml:space="preserve">TOPDON Training</t>
  </si>
  <si>
    <t xml:space="preserve">1:00pm-3:15pm</t>
  </si>
  <si>
    <t xml:space="preserve">shokzUS</t>
  </si>
  <si>
    <t xml:space="preserve">shokz</t>
  </si>
  <si>
    <t xml:space="preserve">8:30am-10:30am</t>
  </si>
  <si>
    <t xml:space="preserve">9:00am-11:00am</t>
  </si>
  <si>
    <t xml:space="preserve">8:00am-11:00am</t>
  </si>
  <si>
    <t xml:space="preserve">8:00am-12:00pm</t>
  </si>
  <si>
    <t xml:space="preserve">12:00pm-3:30pm</t>
  </si>
  <si>
    <t xml:space="preserve">7:30am-1:00pm</t>
  </si>
  <si>
    <t xml:space="preserve">Keith Comley</t>
  </si>
  <si>
    <t xml:space="preserve">1:00pm-2:30pm</t>
  </si>
  <si>
    <t xml:space="preserve">Tanner Kenneth Bjorklund</t>
  </si>
  <si>
    <t xml:space="preserve">2:30pm-3:30pm</t>
  </si>
  <si>
    <t xml:space="preserve">8:00am-11:30am</t>
  </si>
  <si>
    <t xml:space="preserve">11:30am-4:00pm</t>
  </si>
  <si>
    <t xml:space="preserve">shokz mod</t>
  </si>
  <si>
    <t xml:space="preserve">Qinke Li</t>
  </si>
  <si>
    <t xml:space="preserve">8:00am-10:00am</t>
  </si>
  <si>
    <t xml:space="preserve">1:00pm-3:30pm</t>
  </si>
  <si>
    <t xml:space="preserve">7:00am-3:30pm</t>
  </si>
  <si>
    <t xml:space="preserve">shokz training</t>
  </si>
  <si>
    <t xml:space="preserve">Umar Sadiq</t>
  </si>
  <si>
    <t xml:space="preserve">Bluetti</t>
  </si>
  <si>
    <t xml:space="preserve">6:00pm-11:00pm</t>
  </si>
  <si>
    <t xml:space="preserve">Daniel Torres Guevara</t>
  </si>
  <si>
    <t xml:space="preserve">主播个人原因临时请假</t>
  </si>
  <si>
    <t xml:space="preserve">8:00pm-10:00pm</t>
  </si>
  <si>
    <t xml:space="preserve">6:00pm-9:00pm</t>
  </si>
  <si>
    <t xml:space="preserve">4:00pm-8:00pm</t>
  </si>
  <si>
    <t xml:space="preserve">3:00pm-5:00pm</t>
  </si>
  <si>
    <t xml:space="preserve">2:00pm-6:00pm</t>
  </si>
  <si>
    <t xml:space="preserve">6:00pm-10:00pm</t>
  </si>
  <si>
    <t xml:space="preserve">12:00pm-8:00pm</t>
  </si>
  <si>
    <t xml:space="preserve">Bluetti Mod</t>
  </si>
  <si>
    <t xml:space="preserve">MOD+数据</t>
  </si>
  <si>
    <t xml:space="preserve">wenqi ouyang</t>
  </si>
  <si>
    <t xml:space="preserve">Sally</t>
  </si>
  <si>
    <t xml:space="preserve">Lourdes Urquiza</t>
  </si>
  <si>
    <t xml:space="preserve">2:00pm-6:30pm</t>
  </si>
  <si>
    <t xml:space="preserve">6:30pm-10:00pm</t>
  </si>
  <si>
    <t xml:space="preserve">Aosom</t>
  </si>
  <si>
    <t xml:space="preserve">Astrid Salas</t>
  </si>
  <si>
    <t xml:space="preserve">christian</t>
  </si>
  <si>
    <t xml:space="preserve">已到100小时，续约未确定，需取消，已提前24h通知</t>
  </si>
  <si>
    <t xml:space="preserve">Christian Zuniga</t>
  </si>
  <si>
    <t xml:space="preserve">qinke</t>
  </si>
  <si>
    <t xml:space="preserve">Aosom mod</t>
  </si>
  <si>
    <t xml:space="preserve">aosom周会</t>
  </si>
  <si>
    <t xml:space="preserve">Oedro</t>
  </si>
  <si>
    <t xml:space="preserve">3:30pm-6:00pm</t>
  </si>
  <si>
    <t xml:space="preserve">3:30pm-6:30pm</t>
  </si>
  <si>
    <t xml:space="preserve">Oedro mod</t>
  </si>
  <si>
    <t xml:space="preserve">2:30pm-4:00pm</t>
  </si>
  <si>
    <t xml:space="preserve">4:00pm-4:30pm</t>
  </si>
  <si>
    <t xml:space="preserve">4:30pm-6:00pm</t>
  </si>
  <si>
    <t xml:space="preserve">Creality</t>
  </si>
  <si>
    <t xml:space="preserve">4:15pm-6:15pm</t>
  </si>
  <si>
    <t xml:space="preserve">5:10pm-7:10pm</t>
  </si>
  <si>
    <t xml:space="preserve">Creality training</t>
  </si>
  <si>
    <t xml:space="preserve">4:15pm-5:00pm</t>
  </si>
  <si>
    <t xml:space="preserve">Cesar R</t>
  </si>
  <si>
    <t xml:space="preserve">4:10pm-5:10pm</t>
  </si>
  <si>
    <t xml:space="preserve">Creality mod</t>
  </si>
  <si>
    <t xml:space="preserve">3:00pm-8:00pm</t>
  </si>
  <si>
    <t xml:space="preserve">11:00am-12:00pm</t>
  </si>
  <si>
    <t xml:space="preserve">复盘</t>
  </si>
  <si>
    <t xml:space="preserve">3:00pm-7:00pm</t>
  </si>
  <si>
    <t xml:space="preserve">mod，复盘</t>
  </si>
  <si>
    <t xml:space="preserve">mod，开会，周会文档</t>
  </si>
  <si>
    <t xml:space="preserve">4:15pm-5:45pm</t>
  </si>
  <si>
    <t xml:space="preserve">预热视频，live event</t>
  </si>
  <si>
    <t xml:space="preserve">Efurden</t>
  </si>
  <si>
    <t xml:space="preserve">ouyang</t>
  </si>
  <si>
    <t xml:space="preserve">品牌取消，不足24h通知</t>
  </si>
  <si>
    <t xml:space="preserve">品牌取消，已提前24h通知</t>
  </si>
  <si>
    <t xml:space="preserve">Efurden mod</t>
  </si>
  <si>
    <t xml:space="preserve">9:45am-4:30pm</t>
  </si>
  <si>
    <t xml:space="preserve">mod+wattcycle总复盘+homcom复盘+efurden</t>
  </si>
  <si>
    <t xml:space="preserve">9:45am-2:00pm</t>
  </si>
  <si>
    <t xml:space="preserve">mod+复盘+补数据</t>
  </si>
  <si>
    <t xml:space="preserve">Jackery</t>
  </si>
  <si>
    <t xml:space="preserve">Jackery training</t>
  </si>
  <si>
    <t xml:space="preserve">Wavytalk（周播32H目标）</t>
  </si>
  <si>
    <t xml:space="preserve">Wavytalk</t>
  </si>
  <si>
    <t xml:space="preserve">Jillian Reeves</t>
  </si>
  <si>
    <t xml:space="preserve">9:00pm - 12:00am</t>
  </si>
  <si>
    <t xml:space="preserve">Erin Micklow</t>
  </si>
  <si>
    <t xml:space="preserve">Wavytalk Mod</t>
  </si>
  <si>
    <t xml:space="preserve">7:30am-11:00am</t>
  </si>
  <si>
    <t xml:space="preserve">Iris Zhang</t>
  </si>
  <si>
    <t xml:space="preserve">Victoria Williams</t>
  </si>
  <si>
    <t xml:space="preserve">4:00pm-7:10pm</t>
  </si>
  <si>
    <t xml:space="preserve">Joy Hou</t>
  </si>
  <si>
    <t xml:space="preserve">7:10pm-9:00pm</t>
  </si>
  <si>
    <t xml:space="preserve">Audrey Forrester</t>
  </si>
  <si>
    <t xml:space="preserve">Kutluano Headbush</t>
  </si>
  <si>
    <t xml:space="preserve">1:00pm-4:00pm</t>
  </si>
  <si>
    <t xml:space="preserve">10:00pm - 12:00am</t>
  </si>
  <si>
    <t xml:space="preserve">Stella Daley</t>
  </si>
  <si>
    <t xml:space="preserve">7:30am-9:00am</t>
  </si>
  <si>
    <t xml:space="preserve">3:00pm-6:30pm</t>
  </si>
  <si>
    <t xml:space="preserve">9:00pm-12:00am</t>
  </si>
  <si>
    <t xml:space="preserve">Sunday</t>
  </si>
  <si>
    <t xml:space="preserve">Wanyi Zhao</t>
  </si>
  <si>
    <t xml:space="preserve">Mindy</t>
  </si>
  <si>
    <t xml:space="preserve">Wavytalk Training</t>
  </si>
  <si>
    <t xml:space="preserve">Austine Cook</t>
  </si>
  <si>
    <t xml:space="preserve">no show 不pay</t>
  </si>
  <si>
    <t xml:space="preserve">7:00pm-8:00pm</t>
  </si>
  <si>
    <t xml:space="preserve">8:00pm-9:30pm</t>
  </si>
  <si>
    <t xml:space="preserve">Theresa Leila Crumpton</t>
  </si>
  <si>
    <t xml:space="preserve">Wavytalk Video Shooting</t>
  </si>
  <si>
    <t xml:space="preserve">WavyTalk Amazon</t>
  </si>
  <si>
    <t xml:space="preserve">Wavytalk Amazon</t>
  </si>
  <si>
    <t xml:space="preserve">6:00pm - 8:00pm</t>
  </si>
  <si>
    <t xml:space="preserve">Asante Randall</t>
  </si>
  <si>
    <t xml:space="preserve">3:00pm - 6:00pm</t>
  </si>
  <si>
    <t xml:space="preserve">Wavytalk Amazon Mod</t>
  </si>
  <si>
    <t xml:space="preserve">5:00pm - 8:00pm</t>
  </si>
  <si>
    <t xml:space="preserve">2:00pm - 6:00pm</t>
  </si>
  <si>
    <t xml:space="preserve">3:00pm - 5:00pm</t>
  </si>
  <si>
    <t xml:space="preserve">Grace Karin（周播15H目标）</t>
  </si>
  <si>
    <t xml:space="preserve">Grace Karin</t>
  </si>
  <si>
    <t xml:space="preserve">Suzannah Samuel</t>
  </si>
  <si>
    <t xml:space="preserve">Rachel Jackson</t>
  </si>
  <si>
    <t xml:space="preserve">Grace Karin Mod</t>
  </si>
  <si>
    <t xml:space="preserve">11:30am-2:30pm</t>
  </si>
  <si>
    <t xml:space="preserve">9:30am-12:30pm</t>
  </si>
  <si>
    <t xml:space="preserve">Yianna（周播48H目标）</t>
  </si>
  <si>
    <t xml:space="preserve">Yianna</t>
  </si>
  <si>
    <t xml:space="preserve">Fenix</t>
  </si>
  <si>
    <t xml:space="preserve">离职 不pay</t>
  </si>
  <si>
    <t xml:space="preserve">Assiya Louahabi</t>
  </si>
  <si>
    <t xml:space="preserve">Yianna Mod</t>
  </si>
  <si>
    <t xml:space="preserve">2:50pm-4:30pm</t>
  </si>
  <si>
    <t xml:space="preserve">改成主播排班了</t>
  </si>
  <si>
    <t xml:space="preserve">Stephanie Espinal</t>
  </si>
  <si>
    <t xml:space="preserve">Dina Zavala Fuentes</t>
  </si>
  <si>
    <t xml:space="preserve">付50%</t>
  </si>
  <si>
    <t xml:space="preserve">2:50pm-5:00pm</t>
  </si>
  <si>
    <t xml:space="preserve">5:07pm-7:00pm</t>
  </si>
  <si>
    <t xml:space="preserve">迟到7分钟</t>
  </si>
  <si>
    <t xml:space="preserve">2:50pm-5:30pm</t>
  </si>
  <si>
    <t xml:space="preserve">5:30pm-8:00pm</t>
  </si>
  <si>
    <t xml:space="preserve">3:00pm-5:30pm</t>
  </si>
  <si>
    <t xml:space="preserve">Sarahi Jimenez(Nicole)</t>
  </si>
  <si>
    <t xml:space="preserve">场控自己取消 不pay</t>
  </si>
  <si>
    <t xml:space="preserve">Yianna Video Shooting</t>
  </si>
  <si>
    <t xml:space="preserve">提前2天通知改直播时间了</t>
  </si>
  <si>
    <t xml:space="preserve">2:50pm-7:00pm</t>
  </si>
  <si>
    <t xml:space="preserve">5:50pm-9:00pm</t>
  </si>
  <si>
    <t xml:space="preserve">Yoleo-The RUN</t>
  </si>
  <si>
    <t xml:space="preserve">Yoleo-The Run Training</t>
  </si>
  <si>
    <t xml:space="preserve">1:00pm - 5:00pm</t>
  </si>
  <si>
    <t xml:space="preserve">Lovevook（周播24H目标）周六大场</t>
  </si>
  <si>
    <t xml:space="preserve">直播间</t>
  </si>
  <si>
    <t xml:space="preserve">Lovevook</t>
  </si>
  <si>
    <t xml:space="preserve">1号</t>
  </si>
  <si>
    <t xml:space="preserve">Lovevook Mod</t>
  </si>
  <si>
    <t xml:space="preserve">12:20pm-5:20pm</t>
  </si>
  <si>
    <t xml:space="preserve">Yifan Li (Nickie)</t>
  </si>
  <si>
    <t xml:space="preserve">摆包、加链接、开播、收包、复盘</t>
  </si>
  <si>
    <t xml:space="preserve">Jessie Canizales</t>
  </si>
  <si>
    <t xml:space="preserve">Lovevook Training</t>
  </si>
  <si>
    <t xml:space="preserve">6:30-7周会数据准备 / 7-7:30周会</t>
  </si>
  <si>
    <t xml:space="preserve">10:00pm-11:00pm</t>
  </si>
  <si>
    <t xml:space="preserve">数据复盘</t>
  </si>
  <si>
    <t xml:space="preserve">Nickie带Natasha</t>
  </si>
  <si>
    <t xml:space="preserve">8:00pm-9:15pm</t>
  </si>
  <si>
    <t xml:space="preserve">摆好明天的包、排品排好</t>
  </si>
  <si>
    <t xml:space="preserve">Jiaxin Tian(Natasha)</t>
  </si>
  <si>
    <t xml:space="preserve">9:25am-2:00pm</t>
  </si>
  <si>
    <t xml:space="preserve">加链接、开播</t>
  </si>
  <si>
    <t xml:space="preserve">11:00am-12:30pm</t>
  </si>
  <si>
    <t xml:space="preserve">确认下周排班</t>
  </si>
  <si>
    <t xml:space="preserve">Younique Nails</t>
  </si>
  <si>
    <t xml:space="preserve">confirm</t>
  </si>
  <si>
    <t xml:space="preserve">Joi carroll</t>
  </si>
  <si>
    <t xml:space="preserve">会议室</t>
  </si>
  <si>
    <t xml:space="preserve">5:00pm-7:00pm</t>
  </si>
  <si>
    <t xml:space="preserve">Younique Nails Mod</t>
  </si>
  <si>
    <t xml:space="preserve">12:45pm-4:00pm</t>
  </si>
  <si>
    <t xml:space="preserve">Wei Huang(Azzy)</t>
  </si>
  <si>
    <t xml:space="preserve">4:00pm-8:10pm</t>
  </si>
  <si>
    <t xml:space="preserve">下播、复盘</t>
  </si>
  <si>
    <t xml:space="preserve">Younique Nails Training</t>
  </si>
  <si>
    <t xml:space="preserve">拆新样品</t>
  </si>
  <si>
    <t xml:space="preserve">5:30pm-7:15pm</t>
  </si>
  <si>
    <t xml:space="preserve">数据复盘、开会</t>
  </si>
  <si>
    <t xml:space="preserve">1:45pm-7:15pm</t>
  </si>
  <si>
    <t xml:space="preserve">加链接、开播，拆新样品</t>
  </si>
  <si>
    <t xml:space="preserve">6:00pm-6:30pm</t>
  </si>
  <si>
    <t xml:space="preserve">6:30pm-7:45pm</t>
  </si>
  <si>
    <t xml:space="preserve">7:45pm-9:15pm</t>
  </si>
  <si>
    <t xml:space="preserve">Sabrina Cortes</t>
  </si>
  <si>
    <t xml:space="preserve">4:45pm-7:00pm</t>
  </si>
  <si>
    <t xml:space="preserve">6:30pm-8:00pm</t>
  </si>
  <si>
    <t xml:space="preserve">助播，解决直播问题</t>
  </si>
  <si>
    <t xml:space="preserve">8:00pm-11:15pm</t>
  </si>
  <si>
    <t xml:space="preserve">7:00pm-9:00pm</t>
  </si>
  <si>
    <t xml:space="preserve">2:45pm-5:45pm</t>
  </si>
  <si>
    <t xml:space="preserve">5:30pm-9:00pm</t>
  </si>
  <si>
    <t xml:space="preserve">下播</t>
  </si>
  <si>
    <t xml:space="preserve">主播取消，不pay</t>
  </si>
  <si>
    <t xml:space="preserve">5:45pm-7:15pm</t>
  </si>
  <si>
    <t xml:space="preserve">7:15pm-10:15pm</t>
  </si>
  <si>
    <t xml:space="preserve">DJI</t>
  </si>
  <si>
    <t xml:space="preserve">运营（写清楚场控跟播的时间段）</t>
  </si>
  <si>
    <t xml:space="preserve">Bagsmart Travel</t>
  </si>
  <si>
    <t xml:space="preserve">3:45pm-7:00pm</t>
  </si>
  <si>
    <t xml:space="preserve">Jennie Marie Pacelli</t>
  </si>
  <si>
    <t xml:space="preserve">Bagsmart Travel Mod</t>
  </si>
  <si>
    <t xml:space="preserve">3:30pm-7:15pm</t>
  </si>
  <si>
    <t xml:space="preserve">Ian Sandvik</t>
  </si>
  <si>
    <t xml:space="preserve">3:30pm-8:30pm</t>
  </si>
  <si>
    <t xml:space="preserve">Bagsmart Training</t>
  </si>
  <si>
    <t xml:space="preserve">Norma</t>
  </si>
  <si>
    <t xml:space="preserve">1:00pm-7:00pm</t>
  </si>
  <si>
    <t xml:space="preserve">1:00pm-4:30pm</t>
  </si>
  <si>
    <t xml:space="preserve">Cosette Edmonds</t>
  </si>
  <si>
    <t xml:space="preserve">Bagsmart Lifestyle</t>
  </si>
  <si>
    <t xml:space="preserve">9:45am-1:00pm</t>
  </si>
  <si>
    <t xml:space="preserve">10:45am-2:00pm</t>
  </si>
  <si>
    <t xml:space="preserve">Bagsmart Lifestyle Mod</t>
  </si>
  <si>
    <t xml:space="preserve">9:30am-1:15pm</t>
  </si>
  <si>
    <t xml:space="preserve">Byron</t>
  </si>
  <si>
    <t xml:space="preserve">Saturday</t>
  </si>
  <si>
    <t xml:space="preserve">11:00am-2:15pm</t>
  </si>
  <si>
    <t xml:space="preserve">UMi</t>
  </si>
  <si>
    <t xml:space="preserve">UMi Mod</t>
  </si>
  <si>
    <t xml:space="preserve">4:45pm-8:00pm</t>
  </si>
  <si>
    <t xml:space="preserve">7:15pm-10:30pm</t>
  </si>
  <si>
    <t xml:space="preserve">11:45am-3:00pm</t>
  </si>
  <si>
    <t xml:space="preserve">1:45pm-5:00pm</t>
  </si>
  <si>
    <t xml:space="preserve">UMi Training</t>
  </si>
  <si>
    <t xml:space="preserve">1:30pm-2:00pm</t>
  </si>
  <si>
    <t xml:space="preserve">3:00pm-3:30pm</t>
  </si>
  <si>
    <t xml:space="preserve">DCSVIP</t>
  </si>
  <si>
    <t xml:space="preserve">Erica Harrison</t>
  </si>
  <si>
    <t/>
    <r>
      <rPr>
        <u val="single"/>
        <color theme="10"/>
      </rPr>
      <t xml:space="preserve">@Xi Chen</t>
    </r>
    <r>
      <rPr>
        <u val="single"/>
        <color theme="10"/>
      </rPr>
      <t xml:space="preserve">@Jingwen Duan</t>
    </r>
  </si>
  <si>
    <t xml:space="preserve">DCSVIP Mod</t>
  </si>
  <si>
    <t/>
    <r>
      <rPr>
        <u val="single"/>
        <color theme="10"/>
      </rPr>
      <t xml:space="preserve">@Liqi Mao</t>
    </r>
    <r>
      <rPr/>
      <t>5-6pm</t>
    </r>
  </si>
  <si>
    <t xml:space="preserve">9:00am-12:30pm</t>
  </si>
  <si>
    <t xml:space="preserve">DCSVIP Training</t>
  </si>
  <si>
    <t xml:space="preserve">4:45pm-5:45pm</t>
  </si>
  <si>
    <t xml:space="preserve">3:30pm-4:00pm</t>
  </si>
  <si>
    <t xml:space="preserve">2:00pm-10:00pm</t>
  </si>
  <si>
    <t xml:space="preserve">Ranxi Li</t>
  </si>
  <si>
    <t xml:space="preserve">8:30am-4:30pm</t>
  </si>
  <si>
    <t xml:space="preserve">11:30am-7:30pm</t>
  </si>
  <si>
    <t xml:space="preserve">5:00pm-9:00pm</t>
  </si>
  <si>
    <t xml:space="preserve">Shirley He</t>
  </si>
  <si>
    <t xml:space="preserve">Aelfric Eden</t>
  </si>
  <si>
    <t xml:space="preserve">Aelfric Eden Mod</t>
  </si>
  <si>
    <t xml:space="preserve">4:45pm-9:00pm</t>
  </si>
  <si>
    <t xml:space="preserve">Kate</t>
  </si>
  <si>
    <t xml:space="preserve">kate&amp;zoey</t>
  </si>
  <si>
    <t xml:space="preserve">5:00pm-9:05pm</t>
  </si>
  <si>
    <t xml:space="preserve">zoey</t>
  </si>
  <si>
    <t xml:space="preserve">4:45pm-9:15pm</t>
  </si>
  <si>
    <t xml:space="preserve">Isabelle Lauderdale</t>
  </si>
  <si>
    <t xml:space="preserve">Aelfric Eden Training</t>
  </si>
  <si>
    <t xml:space="preserve">Zoey</t>
  </si>
  <si>
    <t xml:space="preserve">Mobeso</t>
  </si>
  <si>
    <t xml:space="preserve">Mobeso Mod</t>
  </si>
  <si>
    <t xml:space="preserve">2:15pm-4:30pm</t>
  </si>
  <si>
    <t xml:space="preserve">Anne</t>
  </si>
  <si>
    <t xml:space="preserve">主播生病自己取消</t>
  </si>
  <si>
    <t xml:space="preserve">24h内取消</t>
  </si>
  <si>
    <t xml:space="preserve">Basic Training</t>
  </si>
  <si>
    <t xml:space="preserve">Monday</t>
  </si>
  <si>
    <t xml:space="preserve">11:00am-1:30pm</t>
  </si>
  <si>
    <t xml:space="preserve">Brian Linsley</t>
  </si>
  <si>
    <t xml:space="preserve">Miya</t>
  </si>
  <si>
    <t xml:space="preserve">3619 Eastham Drive</t>
  </si>
  <si>
    <t xml:space="preserve">YES</t>
  </si>
  <si>
    <t xml:space="preserve">Tuesday</t>
  </si>
  <si>
    <t xml:space="preserve">6pm-8:30pm</t>
  </si>
  <si>
    <t xml:space="preserve">Nicole Valenti</t>
  </si>
  <si>
    <t xml:space="preserve">Lexi</t>
  </si>
  <si>
    <t xml:space="preserve">Parker Elliott</t>
  </si>
  <si>
    <t xml:space="preserve">6-8:30pm</t>
  </si>
  <si>
    <t xml:space="preserve">Jerry Alamo</t>
  </si>
  <si>
    <t xml:space="preserve">Diana Alexandra Larios-Ochoa</t>
  </si>
  <si>
    <t xml:space="preserve">Wednesday</t>
  </si>
  <si>
    <t xml:space="preserve">11:00am-1:15pm</t>
  </si>
  <si>
    <t xml:space="preserve">Umar Sadiq</t>
  </si>
  <si>
    <t xml:space="preserve">Cosette</t>
  </si>
  <si>
    <t xml:space="preserve">Friday</t>
  </si>
  <si>
    <t xml:space="preserve">Ayala</t>
  </si>
  <si>
    <t xml:space="preserve">11:10am-1:30pm</t>
  </si>
  <si>
    <t xml:space="preserve">Adriana V</t>
  </si>
  <si>
    <t xml:space="preserve">Interview Support</t>
  </si>
  <si>
    <t xml:space="preserve">10:00am-6pm</t>
  </si>
  <si>
    <t xml:space="preserve">Xianglin Li (Lexi)</t>
  </si>
  <si>
    <t xml:space="preserve">10am-12:30pm</t>
  </si>
  <si>
    <t xml:space="preserve">3:30pm-8:30pm</t>
  </si>
  <si>
    <t xml:space="preserve">11am-12pm</t>
  </si>
  <si>
    <t xml:space="preserve">2pm-5pm</t>
  </si>
  <si>
    <t xml:space="preserve">Thursday</t>
  </si>
  <si>
    <t xml:space="preserve">2:30pm-6:30pm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</si>
  <si>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</si>
  <si>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</si>
  <si>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</si>
  <si>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</si>
  <si>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</si>
  <si>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</si>
  <si>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</si>
  <si>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</si>
  <si>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</si>
  <si>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雅迪电动车Video Shooting</t>
  </si>
  <si>
    <t xml:space="preserve">10:30am-12:30pm</t>
  </si>
  <si>
    <t xml:space="preserve">B-ROLL Shooting</t>
  </si>
  <si>
    <t xml:space="preserve">10:30am-1:30pm</t>
  </si>
  <si>
    <t xml:space="preserve">徕芬Video Shooting</t>
  </si>
  <si>
    <t xml:space="preserve">PENDING</t>
  </si>
  <si>
    <t xml:space="preserve">Mobeso Shooting</t>
  </si>
  <si>
    <t xml:space="preserve">12:00pm-2:30pm</t>
  </si>
  <si>
    <t xml:space="preserve">Lourdes Urquiza</t>
  </si>
  <si>
    <t xml:space="preserve">8461 Higuera Street</t>
  </si>
  <si>
    <t xml:space="preserve">5:45pm-9:00pm</t>
  </si>
  <si>
    <t xml:space="preserve">Iris (Alexis) Perry</t>
  </si>
  <si>
    <t xml:space="preserve">2:00pm-5:00pm</t>
  </si>
  <si>
    <t xml:space="preserve">VEVOR TOOL（周播30小时目标）</t>
  </si>
  <si>
    <t xml:space="preserve">Mod（写清楚场控跟播的时间段）</t>
  </si>
  <si>
    <t xml:space="preserve">VEVOR TOOL</t>
  </si>
  <si>
    <t xml:space="preserve">1:00pm-5:00pm</t>
  </si>
  <si>
    <t xml:space="preserve">Anthony Traina</t>
  </si>
  <si>
    <t xml:space="preserve">ziyi/Victoria</t>
  </si>
  <si>
    <t xml:space="preserve">10:00am-1:00pm</t>
  </si>
  <si>
    <t xml:space="preserve">will</t>
  </si>
  <si>
    <t xml:space="preserve">1:00pm-3:00pm</t>
  </si>
  <si>
    <t xml:space="preserve">Joseph Davis Massingill</t>
  </si>
  <si>
    <t xml:space="preserve">ziyi</t>
  </si>
  <si>
    <t xml:space="preserve">3:00pm-6:00pm</t>
  </si>
  <si>
    <t xml:space="preserve">ziyi/will</t>
  </si>
  <si>
    <t xml:space="preserve">6:00pm-7:00pm</t>
  </si>
  <si>
    <t xml:space="preserve">Maximillian</t>
  </si>
  <si>
    <t xml:space="preserve">主播取消 不pay</t>
  </si>
  <si>
    <t xml:space="preserve">1:00pm-2:00pm</t>
  </si>
  <si>
    <t xml:space="preserve">5:00pm-7:15pm</t>
  </si>
  <si>
    <t xml:space="preserve">VEVOR TOOL Mod</t>
  </si>
  <si>
    <t xml:space="preserve">12:30pm-3:00pm</t>
  </si>
  <si>
    <t xml:space="preserve">3:00pm-5:00pm</t>
  </si>
  <si>
    <t xml:space="preserve">Victoria Rose</t>
  </si>
  <si>
    <t xml:space="preserve">10:00am-2:00pm</t>
  </si>
  <si>
    <t xml:space="preserve">William Dennis</t>
  </si>
  <si>
    <t xml:space="preserve">2:00pm-4:00pm</t>
  </si>
  <si>
    <t xml:space="preserve">4:00pm-7:00pm</t>
  </si>
  <si>
    <t xml:space="preserve">5:00pm-7:30pm</t>
  </si>
  <si>
    <t xml:space="preserve">VEVOR TOOL Training</t>
  </si>
  <si>
    <t xml:space="preserve">5:00pm-6:00pm</t>
  </si>
  <si>
    <t xml:space="preserve">4:00pm-6:00pm</t>
  </si>
  <si>
    <t xml:space="preserve">12:00pm-2:00pm</t>
  </si>
  <si>
    <t xml:space="preserve">3:00pm-5:30pm</t>
  </si>
  <si>
    <t xml:space="preserve">盯播 复盘 主播培训</t>
  </si>
  <si>
    <t xml:space="preserve">大场提报 宣传视频</t>
  </si>
  <si>
    <t xml:space="preserve">4:00pm-9:30pm</t>
  </si>
  <si>
    <t xml:space="preserve">大场提报 周会议 PID表</t>
  </si>
  <si>
    <t xml:space="preserve">盯播 主播培训 图文宣传制作</t>
  </si>
  <si>
    <t xml:space="preserve">4:00pm-7:30pm</t>
  </si>
  <si>
    <t xml:space="preserve">盯播 排班 主播培训 复盘 预热视频 填充表格</t>
  </si>
  <si>
    <t xml:space="preserve">盯播 排班 主播沟通 预热视频</t>
  </si>
  <si>
    <t xml:space="preserve">盯播 交付会议 复盘 数据补充</t>
  </si>
  <si>
    <t xml:space="preserve">拼团功能后台增加及培训 场景整理 开播</t>
  </si>
  <si>
    <t xml:space="preserve">7:30pm-9:30pm</t>
  </si>
  <si>
    <t xml:space="preserve">复盘 表格更新 预热视频</t>
  </si>
  <si>
    <t xml:space="preserve">Joyin</t>
  </si>
  <si>
    <t xml:space="preserve">6:00pm - 10:00pm</t>
  </si>
  <si>
    <t xml:space="preserve">Jennie Marie Pacelli</t>
  </si>
  <si>
    <t xml:space="preserve">Room 5</t>
  </si>
  <si>
    <t xml:space="preserve">Simone Baker</t>
  </si>
  <si>
    <t xml:space="preserve">3:00pm - 7:00pm</t>
  </si>
  <si>
    <t xml:space="preserve">7:00pm - 11:00pm</t>
  </si>
  <si>
    <t xml:space="preserve">3:00pm - 8:00pm</t>
  </si>
  <si>
    <t xml:space="preserve">8:00pm - 11:00pm</t>
  </si>
  <si>
    <t xml:space="preserve">3:00pm - 7:30pm</t>
  </si>
  <si>
    <t xml:space="preserve">7:30pm - 11:00pm</t>
  </si>
  <si>
    <t xml:space="preserve">3:00pm - 6:00pm</t>
  </si>
  <si>
    <t xml:space="preserve">Stella Daley</t>
  </si>
  <si>
    <t xml:space="preserve">6:00pm - 11:00pm</t>
  </si>
  <si>
    <t xml:space="preserve">Joyin Training</t>
  </si>
  <si>
    <t xml:space="preserve">4:00pm - 5:00pm</t>
  </si>
  <si>
    <t xml:space="preserve">Ivy</t>
  </si>
  <si>
    <t xml:space="preserve">5:00pm - 6:00pm</t>
  </si>
  <si>
    <t xml:space="preserve">Coco</t>
  </si>
  <si>
    <t xml:space="preserve">David Archy</t>
  </si>
  <si>
    <t xml:space="preserve">2:00pm - 4:15pm</t>
  </si>
  <si>
    <t xml:space="preserve">Cassi</t>
  </si>
  <si>
    <t xml:space="preserve">2:00pm - 4:00pm</t>
  </si>
  <si>
    <t xml:space="preserve">1:00pm - 3:15pm</t>
  </si>
  <si>
    <t xml:space="preserve">Ava Gold</t>
  </si>
  <si>
    <t xml:space="preserve">1:00pm - 3:00pm</t>
  </si>
  <si>
    <t xml:space="preserve">Magdalena Zielonka</t>
  </si>
  <si>
    <t xml:space="preserve">12:00pm - 2:30pm</t>
  </si>
  <si>
    <t xml:space="preserve">4:00pm - 6:00pm</t>
  </si>
  <si>
    <t xml:space="preserve">Astrid Salas</t>
  </si>
  <si>
    <t xml:space="preserve">David Archy Mod</t>
  </si>
  <si>
    <t xml:space="preserve">1:30pm - 5:00pm</t>
  </si>
  <si>
    <t xml:space="preserve">Live 2-4</t>
  </si>
  <si>
    <t xml:space="preserve">12:30pm - 3:30pm</t>
  </si>
  <si>
    <t xml:space="preserve">Fiona Lee</t>
  </si>
  <si>
    <t xml:space="preserve">Victoria Williams</t>
  </si>
  <si>
    <t xml:space="preserve">Papablic</t>
  </si>
  <si>
    <t xml:space="preserve"> </t>
  </si>
  <si>
    <t xml:space="preserve">7:00pm - 9:00pm</t>
  </si>
  <si>
    <t xml:space="preserve">Room 3</t>
  </si>
  <si>
    <t xml:space="preserve">8:00am - 10:00am</t>
  </si>
  <si>
    <t xml:space="preserve">10:00am - 12:00pm</t>
  </si>
  <si>
    <t xml:space="preserve">Papablic Mod</t>
  </si>
  <si>
    <t xml:space="preserve">6:00pm - 9:00pm</t>
  </si>
  <si>
    <t xml:space="preserve">7:30am - 11:30am</t>
  </si>
  <si>
    <t xml:space="preserve">Live 8-10</t>
  </si>
  <si>
    <t xml:space="preserve">24小时内取消 pay一半</t>
  </si>
  <si>
    <t xml:space="preserve">11:00am - 12:00pm</t>
  </si>
  <si>
    <t xml:space="preserve">Ian Sandvik</t>
  </si>
  <si>
    <t xml:space="preserve">Lesure Fresh</t>
  </si>
  <si>
    <t xml:space="preserve">4:00pm - 6:30pm</t>
  </si>
  <si>
    <t xml:space="preserve">Lesure Fresh Mod</t>
  </si>
  <si>
    <t xml:space="preserve">2:00pm - 6:00pm</t>
  </si>
  <si>
    <t xml:space="preserve">3:30pm - 6:30pm</t>
  </si>
  <si>
    <t xml:space="preserve">Live 4-6</t>
  </si>
  <si>
    <t xml:space="preserve">Lesure Fresh Training</t>
  </si>
  <si>
    <t xml:space="preserve">4:30pm - 6:30pm</t>
  </si>
  <si>
    <t xml:space="preserve">Keith Comley</t>
  </si>
  <si>
    <t xml:space="preserve">Xtool</t>
  </si>
  <si>
    <t xml:space="preserve">每周目标42h</t>
  </si>
  <si>
    <t xml:space="preserve">6:30pm-8:30pm</t>
  </si>
  <si>
    <t xml:space="preserve">8:30pm-10:30pm</t>
  </si>
  <si>
    <t xml:space="preserve">6:30pm-10:30pm</t>
  </si>
  <si>
    <t xml:space="preserve">6:00pm-10:00pm</t>
  </si>
  <si>
    <t xml:space="preserve">Frank Hunter</t>
  </si>
  <si>
    <t xml:space="preserve">Xtool Training</t>
  </si>
  <si>
    <t xml:space="preserve">1:30pm-3:30pm</t>
  </si>
  <si>
    <t xml:space="preserve">12:00pm-1:30pm</t>
  </si>
  <si>
    <t xml:space="preserve">5:00pm-9:00pm</t>
  </si>
  <si>
    <t xml:space="preserve">12:00pm-4:00pm</t>
  </si>
  <si>
    <t xml:space="preserve">Xtool Mod</t>
  </si>
  <si>
    <t xml:space="preserve">6:00pm-11:30pm</t>
  </si>
  <si>
    <t xml:space="preserve">Venus</t>
  </si>
  <si>
    <t xml:space="preserve">5:30pm-10:30pm</t>
  </si>
  <si>
    <t xml:space="preserve">Juan Castillo</t>
  </si>
  <si>
    <t xml:space="preserve">5:30pm-11:00pm</t>
  </si>
  <si>
    <t xml:space="preserve">4:30pm-9:30pm</t>
  </si>
  <si>
    <t xml:space="preserve">Ismael</t>
  </si>
  <si>
    <t xml:space="preserve">Byron</t>
  </si>
  <si>
    <t xml:space="preserve">11:30am-3:00pm</t>
  </si>
  <si>
    <t xml:space="preserve">10:00am-2:30pm</t>
  </si>
  <si>
    <t xml:space="preserve">rita</t>
  </si>
  <si>
    <t xml:space="preserve">9:00am-2:30pm</t>
  </si>
  <si>
    <t xml:space="preserve">9:00am-1:30pm</t>
  </si>
  <si>
    <t xml:space="preserve">4:00pm-8:30pm</t>
  </si>
  <si>
    <t xml:space="preserve">9:00am-8:30pm</t>
  </si>
  <si>
    <t xml:space="preserve">9:00am-12:00pm</t>
  </si>
  <si>
    <t xml:space="preserve">10:30am-5:00pm</t>
  </si>
  <si>
    <t xml:space="preserve">Wattcycle</t>
  </si>
  <si>
    <t xml:space="preserve">每周目标23h</t>
  </si>
  <si>
    <t xml:space="preserve">6:30pm-9:30pm</t>
  </si>
  <si>
    <t xml:space="preserve">Luis Moreno</t>
  </si>
  <si>
    <t xml:space="preserve">rock</t>
  </si>
  <si>
    <t xml:space="preserve">qinke</t>
  </si>
  <si>
    <t xml:space="preserve">Marco Neves</t>
  </si>
  <si>
    <t xml:space="preserve">Christian</t>
  </si>
  <si>
    <t xml:space="preserve">ismael</t>
  </si>
  <si>
    <t xml:space="preserve">Wattcycle Training</t>
  </si>
  <si>
    <t xml:space="preserve">ouyang</t>
  </si>
  <si>
    <t xml:space="preserve">Wattcycle Mod</t>
  </si>
  <si>
    <t xml:space="preserve">2:00pm-7:00pm</t>
  </si>
  <si>
    <t xml:space="preserve">wenqi ouyang</t>
  </si>
  <si>
    <t xml:space="preserve">train Brian wattcycle+efurden+efurden拍预热视频+homcom复盘</t>
  </si>
  <si>
    <t xml:space="preserve">Qinke Li</t>
  </si>
  <si>
    <t xml:space="preserve">3:00pm-6:30pm</t>
  </si>
  <si>
    <t xml:space="preserve">开播+学写复盘</t>
  </si>
  <si>
    <t xml:space="preserve">Christian Zuniga</t>
  </si>
  <si>
    <t xml:space="preserve">Wattcycle Video Shooting</t>
  </si>
  <si>
    <t xml:space="preserve">2:20pm-3:00pm</t>
  </si>
  <si>
    <t xml:space="preserve">Larq</t>
  </si>
  <si>
    <t xml:space="preserve">每周目标8h</t>
  </si>
  <si>
    <t xml:space="preserve">10:00am-12:00pm</t>
  </si>
  <si>
    <t xml:space="preserve">Dilara Foscht</t>
  </si>
  <si>
    <t xml:space="preserve">       10:00am-12:00pm</t>
  </si>
  <si>
    <t xml:space="preserve">Bianca Foscht</t>
  </si>
  <si>
    <t xml:space="preserve">9:30am-12:30pm</t>
  </si>
  <si>
    <t xml:space="preserve">Zhaoen Fan(iris)</t>
  </si>
  <si>
    <t xml:space="preserve">room2</t>
  </si>
  <si>
    <t xml:space="preserve">Larq Training</t>
  </si>
  <si>
    <t xml:space="preserve">9:00am-3:00pm</t>
  </si>
  <si>
    <t xml:space="preserve">Momcozy</t>
  </si>
  <si>
    <t xml:space="preserve">使用的账号</t>
  </si>
  <si>
    <t xml:space="preserve">Kat</t>
  </si>
  <si>
    <t xml:space="preserve">accd(momcozy_usshop)</t>
  </si>
  <si>
    <t xml:space="preserve">4:15pm-7:15pm</t>
  </si>
  <si>
    <t xml:space="preserve">Kristina Dow</t>
  </si>
  <si>
    <t xml:space="preserve">3620 Eastham Drive</t>
  </si>
  <si>
    <t xml:space="preserve">等待主播确认</t>
  </si>
  <si>
    <t xml:space="preserve">Momcozy training</t>
  </si>
  <si>
    <t xml:space="preserve">Momcozy Mod</t>
  </si>
  <si>
    <t xml:space="preserve">memo</t>
  </si>
  <si>
    <t xml:space="preserve">10:00pm-12:00pm</t>
  </si>
  <si>
    <t xml:space="preserve">Govee-亚马逊直播</t>
  </si>
  <si>
    <t xml:space="preserve">Govee</t>
  </si>
  <si>
    <t xml:space="preserve">7:00pm-8:00pm</t>
  </si>
  <si>
    <t xml:space="preserve">confirm</t>
  </si>
  <si>
    <t xml:space="preserve">Govee Training</t>
  </si>
  <si>
    <t xml:space="preserve">Falechay Amazon</t>
  </si>
  <si>
    <t xml:space="preserve">Falechay</t>
  </si>
  <si>
    <t xml:space="preserve">Kutluano Headbush</t>
  </si>
  <si>
    <t xml:space="preserve">老场地外场</t>
  </si>
  <si>
    <t xml:space="preserve">新场地外场</t>
  </si>
  <si>
    <t xml:space="preserve">11:00am-1:00pm</t>
  </si>
  <si>
    <t xml:space="preserve">Aaron Heide</t>
  </si>
  <si>
    <t xml:space="preserve">Falechay Mod</t>
  </si>
  <si>
    <t xml:space="preserve">8:30am-12:00pm</t>
  </si>
  <si>
    <t xml:space="preserve">老场地大厅</t>
  </si>
  <si>
    <t xml:space="preserve">10:30am-1:00pm</t>
  </si>
  <si>
    <t xml:space="preserve">Cariloha Amazon</t>
  </si>
  <si>
    <t xml:space="preserve">Cariloha</t>
  </si>
  <si>
    <t xml:space="preserve">room 4 </t>
  </si>
  <si>
    <t xml:space="preserve">Cariloha Mod</t>
  </si>
  <si>
    <t xml:space="preserve">2:30pm-5:00pm</t>
  </si>
  <si>
    <t xml:space="preserve">Cariloha Training</t>
  </si>
  <si>
    <t xml:space="preserve">4:30pm-6:00pm</t>
  </si>
  <si>
    <t xml:space="preserve">Sophia</t>
  </si>
  <si>
    <t xml:space="preserve">room 4 , rehearsal</t>
  </si>
  <si>
    <t xml:space="preserve">4:30pm-7:00pm</t>
  </si>
  <si>
    <t xml:space="preserve">Wondamo</t>
  </si>
  <si>
    <t xml:space="preserve">12:15pm-2:15pm</t>
  </si>
  <si>
    <t xml:space="preserve">Wondamo Mod</t>
  </si>
  <si>
    <t xml:space="preserve">12:45pm-3:00pm</t>
  </si>
  <si>
    <t xml:space="preserve">11:30am-2:00pm</t>
  </si>
  <si>
    <t xml:space="preserve">Yoleo Amazon</t>
  </si>
  <si>
    <t xml:space="preserve">TOPDON</t>
  </si>
  <si>
    <t xml:space="preserve">Ali Kassem</t>
  </si>
  <si>
    <t xml:space="preserve">Jerry</t>
  </si>
  <si>
    <t xml:space="preserve">TOPDON Training</t>
  </si>
  <si>
    <t xml:space="preserve">TOPDON Mod</t>
  </si>
  <si>
    <t xml:space="preserve">Calvin</t>
  </si>
  <si>
    <t xml:space="preserve">9:30am-1:00pm</t>
  </si>
  <si>
    <t xml:space="preserve">April</t>
  </si>
  <si>
    <t xml:space="preserve">7:00pm-9:00pm</t>
  </si>
  <si>
    <t xml:space="preserve">shokzUS</t>
  </si>
  <si>
    <t xml:space="preserve">shokz</t>
  </si>
  <si>
    <t xml:space="preserve">9:00am-1:00pm</t>
  </si>
  <si>
    <t xml:space="preserve">9:00am-11:00am</t>
  </si>
  <si>
    <t xml:space="preserve">shokz mod</t>
  </si>
  <si>
    <t xml:space="preserve">cam</t>
  </si>
  <si>
    <t xml:space="preserve">9:00am-11:30am</t>
  </si>
  <si>
    <t xml:space="preserve">Bluetti</t>
  </si>
  <si>
    <t xml:space="preserve">3:00pm-7:00pm</t>
  </si>
  <si>
    <t xml:space="preserve">Tanner Kenneth Bjorklund</t>
  </si>
  <si>
    <t xml:space="preserve">主播个人原因临时请假</t>
  </si>
  <si>
    <t xml:space="preserve">Bluetti Mod</t>
  </si>
  <si>
    <t xml:space="preserve">MOD+数据</t>
  </si>
  <si>
    <t xml:space="preserve">Aosom</t>
  </si>
  <si>
    <t xml:space="preserve">11:00am-2:00pm</t>
  </si>
  <si>
    <t xml:space="preserve">christian</t>
  </si>
  <si>
    <t xml:space="preserve">12:15pm-3:15pm</t>
  </si>
  <si>
    <t xml:space="preserve">Aosom mod</t>
  </si>
  <si>
    <t xml:space="preserve">11:00am-2:20pm</t>
  </si>
  <si>
    <t xml:space="preserve">mod+学习homcom布置</t>
  </si>
  <si>
    <t xml:space="preserve">换成training</t>
  </si>
  <si>
    <t xml:space="preserve">12:00pm-5:30pm</t>
  </si>
  <si>
    <t xml:space="preserve">homcom mod+wattcycle复盘+homcom复盘+补数据</t>
  </si>
  <si>
    <t xml:space="preserve">Aosom training</t>
  </si>
  <si>
    <t xml:space="preserve">2:00pm-2:30pm</t>
  </si>
  <si>
    <t xml:space="preserve">homcom</t>
  </si>
  <si>
    <t xml:space="preserve">9:00am-10:30am</t>
  </si>
  <si>
    <t xml:space="preserve">homcom training</t>
  </si>
  <si>
    <t xml:space="preserve">Aosom Video Shooting</t>
  </si>
  <si>
    <t xml:space="preserve">10:30am-11:00am</t>
  </si>
  <si>
    <t xml:space="preserve">aosom周复盘报告，贴片优化，homcom设置+script优化</t>
  </si>
  <si>
    <t xml:space="preserve">8:00pm-8:30pm</t>
  </si>
  <si>
    <t xml:space="preserve">aosom周会</t>
  </si>
  <si>
    <t xml:space="preserve">11:00am-7:00pm</t>
  </si>
  <si>
    <t xml:space="preserve">aosom盯播+homcom准备+wattcycle拍预热视频+bluetti布置盯30min+wattcycle视频编辑</t>
  </si>
  <si>
    <t xml:space="preserve">10:00am-4:00pm</t>
  </si>
  <si>
    <t xml:space="preserve">homcom盯播+拍预热视频+train 主播</t>
  </si>
  <si>
    <t xml:space="preserve">4:00pm-6:30pm</t>
  </si>
  <si>
    <t xml:space="preserve">homcom预热视频编辑+live event设置</t>
  </si>
  <si>
    <t xml:space="preserve">12:30pm-7:30pm</t>
  </si>
  <si>
    <t xml:space="preserve">efurden视频编辑+协助gavin排时间+trian qinke</t>
  </si>
  <si>
    <t xml:space="preserve">efurden剩余视频编辑+更新复盘</t>
  </si>
  <si>
    <t xml:space="preserve">Oedro</t>
  </si>
  <si>
    <t xml:space="preserve">Oedro training</t>
  </si>
  <si>
    <t xml:space="preserve">1:30pm-3:00pm</t>
  </si>
  <si>
    <t xml:space="preserve">5:30pm-8:30pm</t>
  </si>
  <si>
    <t xml:space="preserve">2:30pm-5:30pm</t>
  </si>
  <si>
    <t xml:space="preserve">Oedro mod</t>
  </si>
  <si>
    <t xml:space="preserve">4:00pm-5:00pm</t>
  </si>
  <si>
    <t xml:space="preserve">Creality</t>
  </si>
  <si>
    <t xml:space="preserve">Cesar R</t>
  </si>
  <si>
    <t xml:space="preserve">改成training</t>
  </si>
  <si>
    <t xml:space="preserve">Creality training</t>
  </si>
  <si>
    <t xml:space="preserve">Creality Ebay</t>
  </si>
  <si>
    <t xml:space="preserve">7:00am-10:00am</t>
  </si>
  <si>
    <t xml:space="preserve">Creality mod</t>
  </si>
  <si>
    <t xml:space="preserve">11:30am-7:00pm</t>
  </si>
  <si>
    <t xml:space="preserve">Sally</t>
  </si>
  <si>
    <t xml:space="preserve">10:30am-6:00pm</t>
  </si>
  <si>
    <t xml:space="preserve">mod, ebay，优化，大促方案，复盘</t>
  </si>
  <si>
    <t xml:space="preserve">6:30am-5:30pm</t>
  </si>
  <si>
    <t xml:space="preserve">mod, ebay，优化，复盘，开会，剪视频</t>
  </si>
  <si>
    <t xml:space="preserve">3:00pm-7:30pm</t>
  </si>
  <si>
    <t xml:space="preserve">12:30pm-4:30pm</t>
  </si>
  <si>
    <t xml:space="preserve">12:00pm-7:00pm</t>
  </si>
  <si>
    <t xml:space="preserve">Efurden</t>
  </si>
  <si>
    <t xml:space="preserve">主播临时有事来不了</t>
  </si>
  <si>
    <t xml:space="preserve">Efurden mod</t>
  </si>
  <si>
    <t xml:space="preserve">11:45am-2:00pm</t>
  </si>
  <si>
    <t xml:space="preserve">aosom复盘和efurden复盘+优化</t>
  </si>
  <si>
    <t xml:space="preserve">9:45am-12:00pm</t>
  </si>
  <si>
    <t xml:space="preserve">改成做优化</t>
  </si>
  <si>
    <t xml:space="preserve">10:45am-1:00pm</t>
  </si>
  <si>
    <t xml:space="preserve">Wavytalk（周播32H目标）</t>
  </si>
  <si>
    <t xml:space="preserve">Wavytalk</t>
  </si>
  <si>
    <t xml:space="preserve">8:00am-11:00am</t>
  </si>
  <si>
    <t xml:space="preserve">Audrey Forrester</t>
  </si>
  <si>
    <t xml:space="preserve">Jillian Reeves</t>
  </si>
  <si>
    <t xml:space="preserve">9:00pm - 11:00pm</t>
  </si>
  <si>
    <t xml:space="preserve">Asante Randall</t>
  </si>
  <si>
    <t xml:space="preserve">Wavytalk Mod</t>
  </si>
  <si>
    <t xml:space="preserve">7:30am-11:00am</t>
  </si>
  <si>
    <t xml:space="preserve">Iris Zhang</t>
  </si>
  <si>
    <t xml:space="preserve">Madox Dorsey</t>
  </si>
  <si>
    <t xml:space="preserve">Mindy</t>
  </si>
  <si>
    <t xml:space="preserve">11:00am-3:00pm</t>
  </si>
  <si>
    <t xml:space="preserve">Erin Micklow</t>
  </si>
  <si>
    <t xml:space="preserve">6:00pm-9:00pm</t>
  </si>
  <si>
    <t xml:space="preserve">主播生病 自己取消</t>
  </si>
  <si>
    <t xml:space="preserve">8:00pm - 12:00am</t>
  </si>
  <si>
    <t xml:space="preserve">9:30am-11:00am</t>
  </si>
  <si>
    <t xml:space="preserve">Anne</t>
  </si>
  <si>
    <t xml:space="preserve">Joy Hou</t>
  </si>
  <si>
    <t xml:space="preserve">5:00pm-6:30pm</t>
  </si>
  <si>
    <t xml:space="preserve">10:00pm-12:00am</t>
  </si>
  <si>
    <t xml:space="preserve">2:00pm-6:00pm</t>
  </si>
  <si>
    <t xml:space="preserve">9:00pm-12:00am</t>
  </si>
  <si>
    <t xml:space="preserve">Sunday</t>
  </si>
  <si>
    <t xml:space="preserve">Wavytalk Video Shooting</t>
  </si>
  <si>
    <t xml:space="preserve">WavyTalk Amazon</t>
  </si>
  <si>
    <t xml:space="preserve">Wavytalk Amazon</t>
  </si>
  <si>
    <t xml:space="preserve">Wavytalk Amazon Mod</t>
  </si>
  <si>
    <t xml:space="preserve">5:00pm - 9:00pm</t>
  </si>
  <si>
    <t xml:space="preserve">Wavytalk Amazon Training</t>
  </si>
  <si>
    <t xml:space="preserve">6:00pm - 8:00pm</t>
  </si>
  <si>
    <t xml:space="preserve">Grace Karin（周播15H目标）</t>
  </si>
  <si>
    <t xml:space="preserve">Grace Karin</t>
  </si>
  <si>
    <t xml:space="preserve">Rachel Jackson</t>
  </si>
  <si>
    <t xml:space="preserve">Suzannah Samuel</t>
  </si>
  <si>
    <t xml:space="preserve">没来 不pay</t>
  </si>
  <si>
    <t xml:space="preserve">Grace Karin Mod</t>
  </si>
  <si>
    <t xml:space="preserve">9:15am-12:30pm</t>
  </si>
  <si>
    <t xml:space="preserve">3:30pm-4:30pm</t>
  </si>
  <si>
    <t xml:space="preserve">Yianna（周播48H目标）</t>
  </si>
  <si>
    <t xml:space="preserve">Yianna Training</t>
  </si>
  <si>
    <t xml:space="preserve">5:21pm-6:00pm</t>
  </si>
  <si>
    <t xml:space="preserve">Rae'l Ba</t>
  </si>
  <si>
    <t xml:space="preserve">迟到6mins</t>
  </si>
  <si>
    <t xml:space="preserve">Yianna</t>
  </si>
  <si>
    <t xml:space="preserve">Fenix</t>
  </si>
  <si>
    <t xml:space="preserve">主播生病 自己取消排班</t>
  </si>
  <si>
    <t xml:space="preserve">4:35pm-6:00pm</t>
  </si>
  <si>
    <t xml:space="preserve">Assiya Louahabi</t>
  </si>
  <si>
    <t xml:space="preserve">Yianna Mod</t>
  </si>
  <si>
    <t xml:space="preserve">2:30pm-6:00pm</t>
  </si>
  <si>
    <t xml:space="preserve">Sarahi Jimenez(Nicole)</t>
  </si>
  <si>
    <t xml:space="preserve">Yianna Video Shooting</t>
  </si>
  <si>
    <t xml:space="preserve">9:00pm-9:25pm</t>
  </si>
  <si>
    <t xml:space="preserve">2:50pm-6:30pm</t>
  </si>
  <si>
    <t xml:space="preserve">6:30pm-9:18pm</t>
  </si>
  <si>
    <t xml:space="preserve">3:00pm-6:20pm</t>
  </si>
  <si>
    <t xml:space="preserve">Dina Zavala Fuentes</t>
  </si>
  <si>
    <t xml:space="preserve">6:15pm-9:00pm</t>
  </si>
  <si>
    <t xml:space="preserve">4:21pm-6:33pm</t>
  </si>
  <si>
    <t xml:space="preserve">6:00pm-6:30pm</t>
  </si>
  <si>
    <t xml:space="preserve">6:33pm-9:00pm</t>
  </si>
  <si>
    <t xml:space="preserve">3:00pm-6:05pm</t>
  </si>
  <si>
    <t xml:space="preserve">6:03pm-9:00pm</t>
  </si>
  <si>
    <t xml:space="preserve">迟到3分钟</t>
  </si>
  <si>
    <t xml:space="preserve">5:30pm-6:00pm</t>
  </si>
  <si>
    <t xml:space="preserve">2:50pm-6:05pm</t>
  </si>
  <si>
    <t xml:space="preserve">2:50pm-6:00pm</t>
  </si>
  <si>
    <t xml:space="preserve">Stephanie Espinal</t>
  </si>
  <si>
    <t xml:space="preserve">3:10pm-6:00pm</t>
  </si>
  <si>
    <t xml:space="preserve">迟到10分钟</t>
  </si>
  <si>
    <t xml:space="preserve">2:50pm-5:00pm</t>
  </si>
  <si>
    <t xml:space="preserve">YMQ - Carplay</t>
  </si>
  <si>
    <t xml:space="preserve">YMQ - CarPlay</t>
  </si>
  <si>
    <t xml:space="preserve">1:30pm - 3:30pm</t>
  </si>
  <si>
    <t xml:space="preserve">YMQ-Mod</t>
  </si>
  <si>
    <t xml:space="preserve">1:00pm - 4:30pm</t>
  </si>
  <si>
    <t xml:space="preserve">Shirley</t>
  </si>
  <si>
    <t xml:space="preserve">2:30pm - 4:30pm</t>
  </si>
  <si>
    <t xml:space="preserve">2:00pm - 5:30pm</t>
  </si>
  <si>
    <t xml:space="preserve">3:00pm - 5:00pm</t>
  </si>
  <si>
    <t xml:space="preserve">YMQ- Training</t>
  </si>
  <si>
    <t xml:space="preserve">2:00pm - 3:00pm</t>
  </si>
  <si>
    <t xml:space="preserve">1:00pm - 6:00pm</t>
  </si>
  <si>
    <t xml:space="preserve">7:00pm - 10:00pm</t>
  </si>
  <si>
    <t xml:space="preserve">10:00pm - 11:00pm</t>
  </si>
  <si>
    <t xml:space="preserve">Yoleo-The RUN</t>
  </si>
  <si>
    <t xml:space="preserve">Yoleo-The Run</t>
  </si>
  <si>
    <t xml:space="preserve">4:00pm - 7:00pm</t>
  </si>
  <si>
    <t xml:space="preserve">Yoleo-The Run Mod</t>
  </si>
  <si>
    <t xml:space="preserve">3:30pm - 7:30pm</t>
  </si>
  <si>
    <t xml:space="preserve">2:00pm - 5:00pm</t>
  </si>
  <si>
    <t xml:space="preserve">1:40pm - 5:40pm</t>
  </si>
  <si>
    <t xml:space="preserve">1:30pm - 6:00pm</t>
  </si>
  <si>
    <t xml:space="preserve">3:45pm - 8:00pm</t>
  </si>
  <si>
    <t xml:space="preserve">5:30pm - 10:00pm</t>
  </si>
  <si>
    <t xml:space="preserve">Yoleo-The Run Training</t>
  </si>
  <si>
    <t xml:space="preserve">Lovevook（周播24H目标）周六大场</t>
  </si>
  <si>
    <t xml:space="preserve">直播间</t>
  </si>
  <si>
    <t xml:space="preserve">Lovevook</t>
  </si>
  <si>
    <t xml:space="preserve">Jessie Canizales</t>
  </si>
  <si>
    <t xml:space="preserve">1号</t>
  </si>
  <si>
    <t xml:space="preserve">Lovevook Training</t>
  </si>
  <si>
    <t xml:space="preserve">3:30pm-5:00pm</t>
  </si>
  <si>
    <t xml:space="preserve">Wei Huang(Azzy)</t>
  </si>
  <si>
    <t/>
    <r>
      <rPr>
        <u val="single"/>
        <color theme="10"/>
      </rPr>
      <t xml:space="preserve">@Zixuan Wang</t>
    </r>
    <r>
      <rPr/>
      <t xml:space="preserve">
</t>
    </r>
    <r>
      <rPr/>
      <t>3:30-4:00培训摆样品、看货盘、认包4:00-5:00教开播、设备、加链接、如何锁门、路由器</t>
    </r>
  </si>
  <si>
    <t xml:space="preserve">Lovevook Mod</t>
  </si>
  <si>
    <t xml:space="preserve">5:00pm-7:00pm</t>
  </si>
  <si>
    <t xml:space="preserve">主控</t>
  </si>
  <si>
    <t xml:space="preserve">4:50pm-9:30pm</t>
  </si>
  <si>
    <t xml:space="preserve">Yifan Li (Nickie)</t>
  </si>
  <si>
    <t xml:space="preserve">5-7pm Azzy主控Nickie指导，复盘</t>
  </si>
  <si>
    <t xml:space="preserve">5:00pm-7:07pm</t>
  </si>
  <si>
    <t xml:space="preserve">7:07pm-9:00pm</t>
  </si>
  <si>
    <t xml:space="preserve">Roxy Star</t>
  </si>
  <si>
    <t/>
    <r>
      <rPr>
        <u val="single"/>
        <color theme="10"/>
      </rPr>
      <t xml:space="preserve">@Zixuan Wang</t>
    </r>
    <r>
      <rPr/>
      <t xml:space="preserve">带 Natasha</t>
    </r>
  </si>
  <si>
    <t xml:space="preserve">4:20pm-7:00pm</t>
  </si>
  <si>
    <t xml:space="preserve">摆包、加链接、开播</t>
  </si>
  <si>
    <t xml:space="preserve">Jiaxin Tian(Natasha)</t>
  </si>
  <si>
    <t/>
    <r>
      <rPr>
        <u val="single"/>
        <color theme="10"/>
      </rPr>
      <t xml:space="preserve">@Zixuan Wang</t>
    </r>
  </si>
  <si>
    <t/>
    <r>
      <rPr/>
      <t>上手2小时，</t>
    </r>
    <r>
      <rPr>
        <u val="single"/>
        <color theme="10"/>
      </rPr>
      <t xml:space="preserve">@Zixuan Wang</t>
    </r>
    <r>
      <rPr/>
      <t>跟</t>
    </r>
  </si>
  <si>
    <t/>
    <r>
      <rPr>
        <u val="single"/>
        <color theme="10"/>
      </rPr>
      <t xml:space="preserve">@Yifan Li</t>
    </r>
    <r>
      <rPr/>
      <t xml:space="preserve">1:00-1:20过品类重点、策略；
</t>
    </r>
    <r>
      <rPr/>
      <t xml:space="preserve">1:20-2:45安排看播Suzannah直播节奏，坐边上叮嘱要点；
</t>
    </r>
    <r>
      <rPr/>
      <t>2:45录一段主播竞拍培训视频</t>
    </r>
  </si>
  <si>
    <t xml:space="preserve">Training Dilara，提前15分钟准备</t>
  </si>
  <si>
    <t xml:space="preserve">12:20pm-3:00pm</t>
  </si>
  <si>
    <t xml:space="preserve">3:00pm-5:10pm</t>
  </si>
  <si>
    <t xml:space="preserve">收包、和主播Dilara复盘</t>
  </si>
  <si>
    <t xml:space="preserve">6:30pm-7:30pm</t>
  </si>
  <si>
    <t xml:space="preserve">复盘上周周数据、7-7:30周会</t>
  </si>
  <si>
    <t xml:space="preserve">8:00pm-9:30pm</t>
  </si>
  <si>
    <t xml:space="preserve">负责下周排班</t>
  </si>
  <si>
    <t xml:space="preserve">12:20pm-5:20pm</t>
  </si>
  <si>
    <t xml:space="preserve">摆包、加链接、开播、收包、复盘</t>
  </si>
  <si>
    <t xml:space="preserve">摆包、加链接、开播、收包、复盘、下播前说一下明天10点大场</t>
  </si>
  <si>
    <t xml:space="preserve">大场</t>
  </si>
  <si>
    <t xml:space="preserve">6:00pm-8:00pm</t>
  </si>
  <si>
    <t xml:space="preserve">9:00am-2:00pm</t>
  </si>
  <si>
    <t xml:space="preserve">提前一小时摆大场包、加链接、开播、策划大场排品、下之前和Azzy沟通策略</t>
  </si>
  <si>
    <t xml:space="preserve">2:00pm-3:00pm</t>
  </si>
  <si>
    <t xml:space="preserve">下周排班</t>
  </si>
  <si>
    <t xml:space="preserve">1:45pm-6:00pm</t>
  </si>
  <si>
    <t xml:space="preserve">和Nickie交接沟通策略，熟悉一下产品，主播换场一个人登记GMV，另一个人上去show coupn</t>
  </si>
  <si>
    <t xml:space="preserve">5:45pm-10:30pm</t>
  </si>
  <si>
    <t xml:space="preserve">和Azzy交接沟通策略，主播换场一个人登记GMV，另一个人上去show coupn；下播收包、写大场复盘，确保10k再下播</t>
  </si>
  <si>
    <t xml:space="preserve">Younique Nails</t>
  </si>
  <si>
    <t xml:space="preserve">Marian Ebhamen</t>
  </si>
  <si>
    <t xml:space="preserve">Younique Nails Mod</t>
  </si>
  <si>
    <t xml:space="preserve">11:45am-4:10pm</t>
  </si>
  <si>
    <t xml:space="preserve">加链接、开播、复盘</t>
  </si>
  <si>
    <t xml:space="preserve">Joi carroll</t>
  </si>
  <si>
    <t xml:space="preserve">加链接、开播</t>
  </si>
  <si>
    <t xml:space="preserve">2:00pm-4:10pm</t>
  </si>
  <si>
    <t xml:space="preserve">复盘</t>
  </si>
  <si>
    <t xml:space="preserve">5:45pm-10:10pm</t>
  </si>
  <si>
    <t xml:space="preserve">Younique Nails Training</t>
  </si>
  <si>
    <t xml:space="preserve">5:30pm-8:00pm</t>
  </si>
  <si>
    <t xml:space="preserve">Nickie带Natasha，7-8主控上手1小时</t>
  </si>
  <si>
    <t xml:space="preserve">5:30pm-10:10pm</t>
  </si>
  <si>
    <t xml:space="preserve">Yifan Li (Nickie)
</t>
  </si>
  <si>
    <t xml:space="preserve">5:30-6:00培训Natasha、加链接、开播、复盘、7-8让Natasha主控</t>
  </si>
  <si>
    <t xml:space="preserve">6:15pm-11:00pm</t>
  </si>
  <si>
    <t xml:space="preserve">加链接、开播、复盘、下播把设备、样品、小桌子、充电线、路由器推至4号直播间布置，连接网线</t>
  </si>
  <si>
    <t xml:space="preserve">4号直播间</t>
  </si>
  <si>
    <t xml:space="preserve">4号</t>
  </si>
  <si>
    <t xml:space="preserve">7:00pm-10:00pm</t>
  </si>
  <si>
    <t xml:space="preserve">Sabrina Cortes</t>
  </si>
  <si>
    <t xml:space="preserve">3:25pm-7:00pm</t>
  </si>
  <si>
    <t xml:space="preserve">7:00pm-10:10pm</t>
  </si>
  <si>
    <t xml:space="preserve">下播复盘</t>
  </si>
  <si>
    <t xml:space="preserve">直播间准备、穿戴甲盯播</t>
  </si>
  <si>
    <t xml:space="preserve">DJI</t>
  </si>
  <si>
    <t xml:space="preserve">运营（写清楚场控跟播的时间段）</t>
  </si>
  <si>
    <t xml:space="preserve">Back up</t>
  </si>
  <si>
    <t xml:space="preserve">Bagsmart Travel</t>
  </si>
  <si>
    <t xml:space="preserve">6:45pm-10:00pm</t>
  </si>
  <si>
    <t xml:space="preserve">4:45pm-8:00pm</t>
  </si>
  <si>
    <t xml:space="preserve">主播临时取消</t>
  </si>
  <si>
    <t xml:space="preserve">Bagsmart Travel Mod</t>
  </si>
  <si>
    <t xml:space="preserve">6:30pm-10:15pm</t>
  </si>
  <si>
    <t xml:space="preserve">5:30pm-7:00pm</t>
  </si>
  <si>
    <t xml:space="preserve">4:30pm-8:15pm</t>
  </si>
  <si>
    <t xml:space="preserve">Bagsmart Training</t>
  </si>
  <si>
    <t xml:space="preserve">5:00pm-5:45pm</t>
  </si>
  <si>
    <t xml:space="preserve">Bagsmart Lifestyle</t>
  </si>
  <si>
    <t xml:space="preserve">9:45am-1:00pm</t>
  </si>
  <si>
    <t xml:space="preserve">Bagsmart Lifestyle Mod</t>
  </si>
  <si>
    <t xml:space="preserve">9:30am-1:15pm</t>
  </si>
  <si>
    <t xml:space="preserve">Saturday</t>
  </si>
  <si>
    <t xml:space="preserve">9:00am-9:45am</t>
  </si>
  <si>
    <t xml:space="preserve">UMi</t>
  </si>
  <si>
    <t xml:space="preserve">7:30pm-10:30pm</t>
  </si>
  <si>
    <t xml:space="preserve">UMi Mod</t>
  </si>
  <si>
    <t xml:space="preserve">7:00pm-10:30pm</t>
  </si>
  <si>
    <t xml:space="preserve">5:00pm-8:00pm</t>
  </si>
  <si>
    <t xml:space="preserve">7:15pm-10:30pm</t>
  </si>
  <si>
    <t xml:space="preserve">12:00pm-3:00pm</t>
  </si>
  <si>
    <t xml:space="preserve">11:45am-3:00pm</t>
  </si>
  <si>
    <t xml:space="preserve">1:00pm-4:00pm</t>
  </si>
  <si>
    <t xml:space="preserve">1:45pm-5:00pm</t>
  </si>
  <si>
    <t xml:space="preserve">UMi Training</t>
  </si>
  <si>
    <t xml:space="preserve">2:30pm-3:00pm</t>
  </si>
  <si>
    <t xml:space="preserve">4:00pm-4:30pm</t>
  </si>
  <si>
    <t xml:space="preserve">1:30pm-2:00pm</t>
  </si>
  <si>
    <t xml:space="preserve">3:00pm-3:30pm</t>
  </si>
  <si>
    <t xml:space="preserve">DCSVIP</t>
  </si>
  <si>
    <t xml:space="preserve">Samuel Solomon</t>
  </si>
  <si>
    <t xml:space="preserve">DCSVIP Mod</t>
  </si>
  <si>
    <t xml:space="preserve">5:45pm-10:00pm</t>
  </si>
  <si>
    <t xml:space="preserve">Erica Harrison</t>
  </si>
  <si>
    <t/>
    <r>
      <rPr>
        <u val="single"/>
        <color theme="10"/>
      </rPr>
      <t xml:space="preserve">@Xiaoxin He</t>
    </r>
  </si>
  <si>
    <t/>
    <r>
      <rPr>
        <u val="single"/>
        <color theme="10"/>
      </rPr>
      <t xml:space="preserve">@Liqi Mao</t>
    </r>
    <r>
      <rPr/>
      <t>4-5pm</t>
    </r>
  </si>
  <si>
    <t xml:space="preserve">DCSVIP Training</t>
  </si>
  <si>
    <t xml:space="preserve">6:00pm-9:30pm</t>
  </si>
  <si>
    <t xml:space="preserve">6:00pm-11:00pm</t>
  </si>
  <si>
    <t xml:space="preserve">3:30pm-10:00pm</t>
  </si>
  <si>
    <t/>
    <r>
      <rPr>
        <u val="single"/>
        <color theme="10"/>
      </rPr>
      <t xml:space="preserve">@Liqi Mao</t>
    </r>
    <r>
      <rPr>
        <u val="single"/>
        <color theme="10"/>
      </rPr>
      <t xml:space="preserve">@Shirley He</t>
    </r>
  </si>
  <si>
    <t xml:space="preserve">3:00pm-10:45pm</t>
  </si>
  <si>
    <t xml:space="preserve">Ranxi Li</t>
  </si>
  <si>
    <t xml:space="preserve">2:00pm-11:00pm</t>
  </si>
  <si>
    <t xml:space="preserve">2:00pm-9:00pm</t>
  </si>
  <si>
    <t xml:space="preserve">Aelfric Eden</t>
  </si>
  <si>
    <t xml:space="preserve">5-7ian 7-8zoey</t>
  </si>
  <si>
    <t xml:space="preserve">Aelfric Eden Mod</t>
  </si>
  <si>
    <t xml:space="preserve">4:45pm-7:00pm</t>
  </si>
  <si>
    <t xml:space="preserve">4:45pm-10:00pm</t>
  </si>
  <si>
    <t xml:space="preserve">zoey</t>
  </si>
  <si>
    <t xml:space="preserve">4:45pm-9:00pm</t>
  </si>
  <si>
    <t xml:space="preserve">Isabelle Lauderdale</t>
  </si>
  <si>
    <t xml:space="preserve">Aelfric Eden Training</t>
  </si>
  <si>
    <t xml:space="preserve">Mobeso</t>
  </si>
  <si>
    <t xml:space="preserve">Mobeso Mod</t>
  </si>
  <si>
    <t xml:space="preserve">1:45pm-4:30pm</t>
  </si>
  <si>
    <t xml:space="preserve">Treshon Lyniece Jenkins</t>
  </si>
  <si>
    <t xml:space="preserve">2:00pm-4:20pm</t>
  </si>
  <si>
    <t xml:space="preserve">f</t>
  </si>
  <si>
    <t xml:space="preserve"> </t>
  </si>
  <si>
    <t xml:space="preserve">Basic Training</t>
  </si>
  <si>
    <t xml:space="preserve">11:00am-1:30pm</t>
  </si>
  <si>
    <t xml:space="preserve">Vanessa Curry</t>
  </si>
  <si>
    <t xml:space="preserve">Miya</t>
  </si>
  <si>
    <t xml:space="preserve">3619 Eastham Drive</t>
  </si>
  <si>
    <t xml:space="preserve">YES</t>
  </si>
  <si>
    <t xml:space="preserve">Monday</t>
  </si>
  <si>
    <t xml:space="preserve">Kat</t>
  </si>
  <si>
    <t xml:space="preserve">Nicole(Sarahi Jimenez )</t>
  </si>
  <si>
    <t xml:space="preserve">2pm-4pm</t>
  </si>
  <si>
    <t xml:space="preserve">Maximillian</t>
  </si>
  <si>
    <t xml:space="preserve">Wednesday</t>
  </si>
  <si>
    <t xml:space="preserve">Rae'l Ba</t>
  </si>
  <si>
    <t xml:space="preserve">Interview Support</t>
  </si>
  <si>
    <t xml:space="preserve">3:00pm-4:00pm</t>
  </si>
  <si>
    <t xml:space="preserve">Xianglin Li (Lexi)</t>
  </si>
  <si>
    <t xml:space="preserve">Tuesday</t>
  </si>
  <si>
    <t xml:space="preserve">9:40am-12:00pm</t>
  </si>
  <si>
    <t xml:space="preserve">Friday</t>
  </si>
  <si>
    <t xml:space="preserve">10am-6pm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</si>
  <si>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</si>
  <si>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</si>
  <si>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</si>
  <si>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</si>
  <si>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</si>
  <si>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</si>
  <si>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</si>
  <si>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</si>
  <si>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</si>
  <si>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雅迪电动车Video Shooting</t>
  </si>
  <si>
    <t xml:space="preserve">9:00am-12:00pm</t>
  </si>
  <si>
    <t xml:space="preserve">Treshon Lyniece Jenkins</t>
  </si>
  <si>
    <t xml:space="preserve">11:45am-5:45pm</t>
  </si>
  <si>
    <t xml:space="preserve">Victoria Williams</t>
  </si>
  <si>
    <t xml:space="preserve">Izzy Mu</t>
  </si>
  <si>
    <t xml:space="preserve">10:30am-12:00pm</t>
  </si>
  <si>
    <t xml:space="preserve">Tony Tran</t>
  </si>
  <si>
    <t xml:space="preserve">徕芬Video Shooting</t>
  </si>
  <si>
    <t xml:space="preserve">PENDING</t>
  </si>
  <si>
    <t xml:space="preserve">Video</t>
  </si>
  <si>
    <t xml:space="preserve">10:00am-6:00pm</t>
  </si>
  <si>
    <t xml:space="preserve">Litong Zeng</t>
  </si>
  <si>
    <t xml:space="preserve">8:30am-2:00pm</t>
  </si>
  <si>
    <t xml:space="preserve">11:45am-7:30pm</t>
  </si>
  <si>
    <t xml:space="preserve">3:00pm-10:00pm</t>
  </si>
  <si>
    <t xml:space="preserve">VEVOR TOOL（周播30小时目标）</t>
  </si>
  <si>
    <t xml:space="preserve">Mod（写清楚场控跟播的时间段）</t>
  </si>
  <si>
    <t xml:space="preserve">VEVOR TOOL</t>
  </si>
  <si>
    <t xml:space="preserve">5:00pm-8:00pm</t>
  </si>
  <si>
    <t xml:space="preserve">Joseph Davis Massingill</t>
  </si>
  <si>
    <t xml:space="preserve">will</t>
  </si>
  <si>
    <t xml:space="preserve">4:00pm-7:00pm</t>
  </si>
  <si>
    <t xml:space="preserve">Anthony Traina</t>
  </si>
  <si>
    <t xml:space="preserve">6:00pm-9:00pm</t>
  </si>
  <si>
    <t xml:space="preserve">1:00pm-3:00pm</t>
  </si>
  <si>
    <t xml:space="preserve">3:00pm-6:00pm</t>
  </si>
  <si>
    <t xml:space="preserve">ziyi（16:00-17:00） 其他Will</t>
  </si>
  <si>
    <t xml:space="preserve">6:00pm-7:00pm</t>
  </si>
  <si>
    <t xml:space="preserve">7:00pm-9:00pm</t>
  </si>
  <si>
    <t xml:space="preserve">2:00pm-5:00pm</t>
  </si>
  <si>
    <t xml:space="preserve">5:00pm-6:00pm</t>
  </si>
  <si>
    <t xml:space="preserve">ziyi</t>
  </si>
  <si>
    <t xml:space="preserve">6:00pm-8:00pm</t>
  </si>
  <si>
    <t xml:space="preserve">ziyi/will</t>
  </si>
  <si>
    <t xml:space="preserve">8:00pm-10:00pm</t>
  </si>
  <si>
    <t xml:space="preserve">10:00am-2:00pm</t>
  </si>
  <si>
    <t xml:space="preserve">主播取消不pay</t>
  </si>
  <si>
    <t xml:space="preserve">2:00pm-6:00pm</t>
  </si>
  <si>
    <t xml:space="preserve">对接问题，已取消</t>
  </si>
  <si>
    <t xml:space="preserve">12:00pm-4:00pm</t>
  </si>
  <si>
    <t xml:space="preserve">VEVOR TOOL Mod</t>
  </si>
  <si>
    <t xml:space="preserve">William Dennis</t>
  </si>
  <si>
    <t xml:space="preserve">1:00pm-4:00pm</t>
  </si>
  <si>
    <t xml:space="preserve">4:00pm-5:00pm</t>
  </si>
  <si>
    <t xml:space="preserve">5:00pm-9:00pm</t>
  </si>
  <si>
    <t xml:space="preserve">5:00pm-7:00pm</t>
  </si>
  <si>
    <t xml:space="preserve">7:00pm-10:00pm</t>
  </si>
  <si>
    <t xml:space="preserve">9:30am-2:00pm</t>
  </si>
  <si>
    <t xml:space="preserve">直播10-2</t>
  </si>
  <si>
    <t xml:space="preserve">VEVOR TOOL Training</t>
  </si>
  <si>
    <t xml:space="preserve">7:30pm-8:30pm</t>
  </si>
  <si>
    <t xml:space="preserve">周复盘会议</t>
  </si>
  <si>
    <t xml:space="preserve">5:40pm-8:40pm</t>
  </si>
  <si>
    <t xml:space="preserve">盯播 复盘 拍摄视频</t>
  </si>
  <si>
    <t xml:space="preserve">盯播 培训 </t>
  </si>
  <si>
    <t xml:space="preserve">9:00pm-10:00pm</t>
  </si>
  <si>
    <t xml:space="preserve">复盘 发宣传视频</t>
  </si>
  <si>
    <t xml:space="preserve">3:30pm-5:00pm</t>
  </si>
  <si>
    <t xml:space="preserve">会议 培训</t>
  </si>
  <si>
    <t xml:space="preserve">排班、盯播、发视频</t>
  </si>
  <si>
    <t xml:space="preserve">10:00pm-10:30pm</t>
  </si>
  <si>
    <t xml:space="preserve">复盘</t>
  </si>
  <si>
    <t xml:space="preserve">1:30pm-6:30pm</t>
  </si>
  <si>
    <t xml:space="preserve">盯播，补表格，排班，学习广告投放，复盘，预热视频</t>
  </si>
  <si>
    <t xml:space="preserve">Joyin</t>
  </si>
  <si>
    <t xml:space="preserve">2:30pm - 6:45pm</t>
  </si>
  <si>
    <t xml:space="preserve">8461 Higuera Street</t>
  </si>
  <si>
    <t xml:space="preserve">Room 5</t>
  </si>
  <si>
    <t xml:space="preserve">6:00pm - 11:00pm</t>
  </si>
  <si>
    <t xml:space="preserve">Simone Baker</t>
  </si>
  <si>
    <t xml:space="preserve">Live 6-10</t>
  </si>
  <si>
    <t xml:space="preserve">2:30pm - 7:30pm</t>
  </si>
  <si>
    <t xml:space="preserve">Live 3:30-7:30</t>
  </si>
  <si>
    <t xml:space="preserve">7:30pm - 11:30pm</t>
  </si>
  <si>
    <t xml:space="preserve">Jennie Marie Pacelli</t>
  </si>
  <si>
    <t xml:space="preserve">Live 7:30-10:30</t>
  </si>
  <si>
    <t xml:space="preserve">Joyin Mod</t>
  </si>
  <si>
    <t xml:space="preserve">2:00pm - 6:30pm</t>
  </si>
  <si>
    <t xml:space="preserve">Anne</t>
  </si>
  <si>
    <t xml:space="preserve">David Archy</t>
  </si>
  <si>
    <t xml:space="preserve">1:00pm - 3:00pm</t>
  </si>
  <si>
    <t xml:space="preserve">Cassi</t>
  </si>
  <si>
    <t xml:space="preserve">victoria</t>
  </si>
  <si>
    <t xml:space="preserve">Room 3</t>
  </si>
  <si>
    <t xml:space="preserve">1:30pm - 4:30pm</t>
  </si>
  <si>
    <t xml:space="preserve">Iris (Alexis) Perry</t>
  </si>
  <si>
    <t xml:space="preserve">自播</t>
  </si>
  <si>
    <t xml:space="preserve">2:00pm - 4:00pm</t>
  </si>
  <si>
    <t xml:space="preserve">Quinn</t>
  </si>
  <si>
    <t xml:space="preserve">1:00pm - 3:06pm</t>
  </si>
  <si>
    <t xml:space="preserve">Magdalena Zielonka</t>
  </si>
  <si>
    <t xml:space="preserve">Ziyi</t>
  </si>
  <si>
    <t xml:space="preserve">Astrid Salas</t>
  </si>
  <si>
    <t xml:space="preserve">?</t>
  </si>
  <si>
    <t xml:space="preserve">David Archy Mod</t>
  </si>
  <si>
    <t xml:space="preserve">Victoria Rose</t>
  </si>
  <si>
    <t xml:space="preserve">2:00pm - 2:30pm</t>
  </si>
  <si>
    <t xml:space="preserve">开播 David Archy</t>
  </si>
  <si>
    <t xml:space="preserve">1:00pm - 3:30pm</t>
  </si>
  <si>
    <t xml:space="preserve">1:00pm - 3:15pm</t>
  </si>
  <si>
    <t xml:space="preserve">Papablic</t>
  </si>
  <si>
    <t xml:space="preserve">10:00am - 12:00pm</t>
  </si>
  <si>
    <t xml:space="preserve">9:00am - 11:30am</t>
  </si>
  <si>
    <t xml:space="preserve">Victoria</t>
  </si>
  <si>
    <t xml:space="preserve">11:00am - 1:00pm</t>
  </si>
  <si>
    <t xml:space="preserve">11:30am - 1:30pm</t>
  </si>
  <si>
    <t xml:space="preserve">Papablic Mod</t>
  </si>
  <si>
    <t xml:space="preserve">10:00am - 12:30pm</t>
  </si>
  <si>
    <t xml:space="preserve">9:00am - 11:00am</t>
  </si>
  <si>
    <t xml:space="preserve">11:00am - 1:30pm</t>
  </si>
  <si>
    <t xml:space="preserve">Lesure Fresh</t>
  </si>
  <si>
    <t xml:space="preserve">12:00pm - 2:00pm</t>
  </si>
  <si>
    <t xml:space="preserve">Samuel Solomon</t>
  </si>
  <si>
    <t xml:space="preserve">Ziyi/Victoria</t>
  </si>
  <si>
    <t xml:space="preserve">Ava Gold</t>
  </si>
  <si>
    <t xml:space="preserve">11:00am - 2:00pm</t>
  </si>
  <si>
    <t xml:space="preserve">主播取消 不用pay</t>
  </si>
  <si>
    <t xml:space="preserve">3:00pm - 6:00pm</t>
  </si>
  <si>
    <t xml:space="preserve"> Ivy</t>
  </si>
  <si>
    <t xml:space="preserve">Lesure Fresh Mod</t>
  </si>
  <si>
    <t xml:space="preserve">12:00pm - 1:30pm</t>
  </si>
  <si>
    <t xml:space="preserve">1:00pm - 2:00pm</t>
  </si>
  <si>
    <t xml:space="preserve">mod取消 不pay</t>
  </si>
  <si>
    <t xml:space="preserve">12:30pm - 3:00pm</t>
  </si>
  <si>
    <t xml:space="preserve">换给Vevor</t>
  </si>
  <si>
    <t xml:space="preserve">Xtool</t>
  </si>
  <si>
    <t xml:space="preserve">每周目标42h</t>
  </si>
  <si>
    <t xml:space="preserve">Frank Hunter</t>
  </si>
  <si>
    <t xml:space="preserve">4:30pm-7:30pm</t>
  </si>
  <si>
    <t xml:space="preserve">7:30pm-10:30pm</t>
  </si>
  <si>
    <t xml:space="preserve">3:00pm-5:30pm</t>
  </si>
  <si>
    <t xml:space="preserve">5:30pm-9:30pm</t>
  </si>
  <si>
    <t xml:space="preserve">8:30pm-10:30pm</t>
  </si>
  <si>
    <t xml:space="preserve">替换主播</t>
  </si>
  <si>
    <t xml:space="preserve">10:00am-1:00pm</t>
  </si>
  <si>
    <t xml:space="preserve">1:00pm-4:30pm</t>
  </si>
  <si>
    <t xml:space="preserve">9:00am-11:30am</t>
  </si>
  <si>
    <t xml:space="preserve">11:30am-3:00pm</t>
  </si>
  <si>
    <t xml:space="preserve">Xtool Mod</t>
  </si>
  <si>
    <t xml:space="preserve">Venus</t>
  </si>
  <si>
    <t xml:space="preserve">Zhaoen Fan(iris)</t>
  </si>
  <si>
    <t xml:space="preserve">4:00pm-8:30pm</t>
  </si>
  <si>
    <t xml:space="preserve">7:00pm-11:00pm</t>
  </si>
  <si>
    <t xml:space="preserve">rita</t>
  </si>
  <si>
    <t xml:space="preserve">11:30am-8:30pm</t>
  </si>
  <si>
    <t xml:space="preserve">5:00pm-10:00pm</t>
  </si>
  <si>
    <t xml:space="preserve">12:00pm-7:30pm</t>
  </si>
  <si>
    <t xml:space="preserve">6:00pm-10:00pm</t>
  </si>
  <si>
    <t xml:space="preserve">10:00pm-2:30pm</t>
  </si>
  <si>
    <t xml:space="preserve">2:30pm-4:30pm</t>
  </si>
  <si>
    <t xml:space="preserve">9:00am-11:00am</t>
  </si>
  <si>
    <t xml:space="preserve">Xtool Training</t>
  </si>
  <si>
    <t xml:space="preserve">1:30am-7:30pm</t>
  </si>
  <si>
    <t xml:space="preserve">10:30am-2:30pm</t>
  </si>
  <si>
    <t xml:space="preserve">11:00am-3:00pm</t>
  </si>
  <si>
    <t xml:space="preserve">4:00pm-6:00pm</t>
  </si>
  <si>
    <t xml:space="preserve">Wattcycle</t>
  </si>
  <si>
    <t xml:space="preserve">每周目标23h</t>
  </si>
  <si>
    <t xml:space="preserve">12:15pm-3:15pm</t>
  </si>
  <si>
    <t xml:space="preserve">Christian Zuniga</t>
  </si>
  <si>
    <t xml:space="preserve">cal</t>
  </si>
  <si>
    <t xml:space="preserve">Anthony Carboni</t>
  </si>
  <si>
    <t xml:space="preserve">ismael</t>
  </si>
  <si>
    <t xml:space="preserve">主播有时不能来</t>
  </si>
  <si>
    <t xml:space="preserve">6:30pm-9:30pm</t>
  </si>
  <si>
    <t xml:space="preserve">christian</t>
  </si>
  <si>
    <t xml:space="preserve">sally</t>
  </si>
  <si>
    <t xml:space="preserve">换主播</t>
  </si>
  <si>
    <t xml:space="preserve">Wattcycle Training</t>
  </si>
  <si>
    <t xml:space="preserve">shirley</t>
  </si>
  <si>
    <t xml:space="preserve">Wattcycle Mod</t>
  </si>
  <si>
    <t xml:space="preserve">Calvin</t>
  </si>
  <si>
    <t xml:space="preserve">Ismael</t>
  </si>
  <si>
    <t xml:space="preserve">原主播取消，Christian换成主播</t>
  </si>
  <si>
    <t xml:space="preserve">4:30pm-6:00pm</t>
  </si>
  <si>
    <t xml:space="preserve">Sally</t>
  </si>
  <si>
    <t xml:space="preserve">6:00pm-7:30pm</t>
  </si>
  <si>
    <t xml:space="preserve">Cesar H</t>
  </si>
  <si>
    <t xml:space="preserve">ouyang trian</t>
  </si>
  <si>
    <t xml:space="preserve">Larq</t>
  </si>
  <si>
    <t xml:space="preserve">每周目标8h</t>
  </si>
  <si>
    <t xml:space="preserve">10:00am-12:00pm</t>
  </si>
  <si>
    <t xml:space="preserve">9:30am-1:00pm</t>
  </si>
  <si>
    <t xml:space="preserve">9:30am-5:30pm</t>
  </si>
  <si>
    <t xml:space="preserve">Momcozy</t>
  </si>
  <si>
    <t xml:space="preserve">9:30pm-12:30pm</t>
  </si>
  <si>
    <t xml:space="preserve">Bruce</t>
  </si>
  <si>
    <t xml:space="preserve">4:15pm-7:15pm</t>
  </si>
  <si>
    <t xml:space="preserve">11:30pm-2:30pm</t>
  </si>
  <si>
    <t xml:space="preserve">3620 Eastham Drive</t>
  </si>
  <si>
    <t xml:space="preserve">Momcozy training</t>
  </si>
  <si>
    <t xml:space="preserve">Momcozy Mod</t>
  </si>
  <si>
    <t xml:space="preserve">9:30pm-1:00pm</t>
  </si>
  <si>
    <t xml:space="preserve">4:00pm-7:15pm</t>
  </si>
  <si>
    <t xml:space="preserve">Govee-亚马逊直播</t>
  </si>
  <si>
    <t xml:space="preserve">Govee Training</t>
  </si>
  <si>
    <t xml:space="preserve">Falechay Amazon</t>
  </si>
  <si>
    <t xml:space="preserve">Falechay</t>
  </si>
  <si>
    <t xml:space="preserve">11:00am-1:00pm</t>
  </si>
  <si>
    <t xml:space="preserve">Norma Ortiz</t>
  </si>
  <si>
    <t xml:space="preserve">老场地外场</t>
  </si>
  <si>
    <t xml:space="preserve">Kutluano Headbush</t>
  </si>
  <si>
    <t xml:space="preserve">9:30am-12:30pm</t>
  </si>
  <si>
    <t xml:space="preserve">新场地外场</t>
  </si>
  <si>
    <t xml:space="preserve">Falechay Training</t>
  </si>
  <si>
    <t xml:space="preserve">9:30am-10:30am</t>
  </si>
  <si>
    <t xml:space="preserve">Falechay Mod</t>
  </si>
  <si>
    <t xml:space="preserve">9:15am-10:00am</t>
  </si>
  <si>
    <t xml:space="preserve">iris train Wano</t>
  </si>
  <si>
    <t xml:space="preserve">9:00am-10:00am</t>
  </si>
  <si>
    <t xml:space="preserve">9:10am-12:30pm</t>
  </si>
  <si>
    <t xml:space="preserve">Cariloha Amazon</t>
  </si>
  <si>
    <t xml:space="preserve">Cariloha</t>
  </si>
  <si>
    <t xml:space="preserve">Sophia</t>
  </si>
  <si>
    <t xml:space="preserve">brand cancel show, reseasal </t>
  </si>
  <si>
    <t xml:space="preserve">2:00pm-4:00pm</t>
  </si>
  <si>
    <t xml:space="preserve">Cariloha Training</t>
  </si>
  <si>
    <t xml:space="preserve">1:30pm-3:30pm</t>
  </si>
  <si>
    <t xml:space="preserve">Sophia </t>
  </si>
  <si>
    <t xml:space="preserve">7:15pm-8:45pm</t>
  </si>
  <si>
    <t xml:space="preserve">Kristina Dow</t>
  </si>
  <si>
    <t xml:space="preserve">3:00pm-3:30pm</t>
  </si>
  <si>
    <t xml:space="preserve">10:00am-11:00am</t>
  </si>
  <si>
    <t xml:space="preserve">Dilara Foscht</t>
  </si>
  <si>
    <t xml:space="preserve">主播还在欧洲</t>
  </si>
  <si>
    <t xml:space="preserve">2:30pm-5:00pm</t>
  </si>
  <si>
    <t xml:space="preserve">Wondamo</t>
  </si>
  <si>
    <t xml:space="preserve">Wondamo Training</t>
  </si>
  <si>
    <t xml:space="preserve">4:00pm-5:00pm </t>
  </si>
  <si>
    <t xml:space="preserve">Wondamo Mod training</t>
  </si>
  <si>
    <t xml:space="preserve">10:30am-1:00pm</t>
  </si>
  <si>
    <t xml:space="preserve">MOD ACCIDENT, DID NOT COME</t>
  </si>
  <si>
    <t xml:space="preserve">11:00am-12:00pm</t>
  </si>
  <si>
    <t xml:space="preserve">11:00am-12:30pm</t>
  </si>
  <si>
    <t xml:space="preserve">Wondamo Mod</t>
  </si>
  <si>
    <t xml:space="preserve">12:30pm-3:30pm</t>
  </si>
  <si>
    <t xml:space="preserve">10:45am-1:00pm</t>
  </si>
  <si>
    <t xml:space="preserve">9:30am-11:50am</t>
  </si>
  <si>
    <t xml:space="preserve">Bianca Foscht</t>
  </si>
  <si>
    <t xml:space="preserve">Training and product leanring </t>
  </si>
  <si>
    <t xml:space="preserve">script written</t>
  </si>
  <si>
    <t xml:space="preserve"> 12:00pm-1:30pm</t>
  </si>
  <si>
    <t xml:space="preserve">1:30pm-4:00pm</t>
  </si>
  <si>
    <t xml:space="preserve">1:30pm-2:00pm</t>
  </si>
  <si>
    <t xml:space="preserve">Yoleo Amazon</t>
  </si>
  <si>
    <t xml:space="preserve">Yoleo Amazon Training</t>
  </si>
  <si>
    <t xml:space="preserve">TOPDON</t>
  </si>
  <si>
    <t xml:space="preserve">Daniel Torres Guevara</t>
  </si>
  <si>
    <t xml:space="preserve">12:00pm-3:00pm</t>
  </si>
  <si>
    <t xml:space="preserve">Ali Kassem</t>
  </si>
  <si>
    <t xml:space="preserve">1:00pm-2:00pm</t>
  </si>
  <si>
    <t xml:space="preserve">9:00am-1:00pm</t>
  </si>
  <si>
    <t xml:space="preserve">TOPDON Training</t>
  </si>
  <si>
    <t xml:space="preserve">cam</t>
  </si>
  <si>
    <t xml:space="preserve">TOPDON Mod</t>
  </si>
  <si>
    <t xml:space="preserve">April</t>
  </si>
  <si>
    <t xml:space="preserve">8:30am-1:00pm</t>
  </si>
  <si>
    <t xml:space="preserve">9:30am-1:30pm</t>
  </si>
  <si>
    <t xml:space="preserve">7:45am-7:00pm</t>
  </si>
  <si>
    <t xml:space="preserve">开播盯播Shokz Topdon, shokz新产品script+换新贴片背景</t>
  </si>
  <si>
    <t xml:space="preserve">shokzUS</t>
  </si>
  <si>
    <t xml:space="preserve">shokz</t>
  </si>
  <si>
    <t xml:space="preserve">8:00am-12:00pm</t>
  </si>
  <si>
    <t xml:space="preserve">8:00am-9:30am</t>
  </si>
  <si>
    <t xml:space="preserve">Tanner Kenneth Bjorklund</t>
  </si>
  <si>
    <t xml:space="preserve">12:30pm-3:00pm</t>
  </si>
  <si>
    <t xml:space="preserve">12:00pm-1:30pm</t>
  </si>
  <si>
    <t xml:space="preserve">1:30pm-3:00pm</t>
  </si>
  <si>
    <t xml:space="preserve">shokz training</t>
  </si>
  <si>
    <t xml:space="preserve">3:00pm-5:00pm</t>
  </si>
  <si>
    <t xml:space="preserve">Qinke Li</t>
  </si>
  <si>
    <t xml:space="preserve">shokz mod</t>
  </si>
  <si>
    <t xml:space="preserve">8:00am-11:00am</t>
  </si>
  <si>
    <t xml:space="preserve">12:00pm-1:00pm</t>
  </si>
  <si>
    <t xml:space="preserve">5:30pm-7:00pm</t>
  </si>
  <si>
    <t xml:space="preserve">shokz周会数据复盘 开周会</t>
  </si>
  <si>
    <t xml:space="preserve">10:00am-5:00pm</t>
  </si>
  <si>
    <t xml:space="preserve">开播盯播复盘shokz topdon 准备oedro周会 剪视频贴片</t>
  </si>
  <si>
    <t xml:space="preserve">11:30am-3:30pm</t>
  </si>
  <si>
    <t xml:space="preserve">看播复盘Shokz + Topdon 协调主播场控</t>
  </si>
  <si>
    <t xml:space="preserve">盯播复盘topdon shokz</t>
  </si>
  <si>
    <t xml:space="preserve">Bluetti</t>
  </si>
  <si>
    <t xml:space="preserve">12:00pm-3:30pm</t>
  </si>
  <si>
    <t xml:space="preserve">Orlando Sebastian Ibanez</t>
  </si>
  <si>
    <t xml:space="preserve">3:30pm-6:00pm</t>
  </si>
  <si>
    <t xml:space="preserve">主播个人原因临时请假</t>
  </si>
  <si>
    <t xml:space="preserve">12:00pm-5:00pm</t>
  </si>
  <si>
    <t xml:space="preserve">4:30pm-8:30pm</t>
  </si>
  <si>
    <t xml:space="preserve">3:00pm-7:00pm</t>
  </si>
  <si>
    <t xml:space="preserve">3:00pm-8:00pm</t>
  </si>
  <si>
    <t xml:space="preserve">Bluetti Training</t>
  </si>
  <si>
    <t xml:space="preserve">2:00pm-3:00pm</t>
  </si>
  <si>
    <t xml:space="preserve">Gavin</t>
  </si>
  <si>
    <t xml:space="preserve">rv training</t>
  </si>
  <si>
    <t xml:space="preserve">3:30pm-4:00pm</t>
  </si>
  <si>
    <t xml:space="preserve">Bluetti Mod</t>
  </si>
  <si>
    <t xml:space="preserve">Lourdes Urquiza</t>
  </si>
  <si>
    <t xml:space="preserve">MOD+数据</t>
  </si>
  <si>
    <t xml:space="preserve">5:30pm-8:00pm</t>
  </si>
  <si>
    <t xml:space="preserve">Aosom</t>
  </si>
  <si>
    <t xml:space="preserve">11:00am-2:00pm</t>
  </si>
  <si>
    <t xml:space="preserve">qinke</t>
  </si>
  <si>
    <t xml:space="preserve">Nick R</t>
  </si>
  <si>
    <t xml:space="preserve">Keith Comley</t>
  </si>
  <si>
    <t xml:space="preserve">Shirley</t>
  </si>
  <si>
    <t xml:space="preserve">11:30am-2:30pm</t>
  </si>
  <si>
    <t xml:space="preserve">Christian</t>
  </si>
  <si>
    <t xml:space="preserve">Aosom mod</t>
  </si>
  <si>
    <t xml:space="preserve">11:00am-11:45am</t>
  </si>
  <si>
    <t xml:space="preserve">wenqi ouyang</t>
  </si>
  <si>
    <t xml:space="preserve">aosom盯播培训</t>
  </si>
  <si>
    <t xml:space="preserve">11:00am-2:30pm</t>
  </si>
  <si>
    <t xml:space="preserve">10:50am-2:00pm</t>
  </si>
  <si>
    <t xml:space="preserve">做creality复盘优化，直播取消</t>
  </si>
  <si>
    <t xml:space="preserve">预热视频剪辑+live event设置+aosom复盘</t>
  </si>
  <si>
    <t xml:space="preserve">12:00pm-8:00pm</t>
  </si>
  <si>
    <t xml:space="preserve">aosom新账户script+方案优化+拍视频</t>
  </si>
  <si>
    <t xml:space="preserve">Juan Castillo</t>
  </si>
  <si>
    <t xml:space="preserve">aosom视频编辑</t>
  </si>
  <si>
    <t xml:space="preserve">Aosom training</t>
  </si>
  <si>
    <t xml:space="preserve">2:00pm-3:45pm</t>
  </si>
  <si>
    <t xml:space="preserve">ouyang</t>
  </si>
  <si>
    <t xml:space="preserve">复盘training</t>
  </si>
  <si>
    <t xml:space="preserve">2:00pm-7:00pm</t>
  </si>
  <si>
    <t xml:space="preserve">train qinke+aosom周复盘+efurden复盘</t>
  </si>
  <si>
    <t xml:space="preserve">Aosom Video Shooting</t>
  </si>
  <si>
    <t xml:space="preserve">2:00pm-2:30pm</t>
  </si>
  <si>
    <t xml:space="preserve">aosom预热视频拍摄</t>
  </si>
  <si>
    <t xml:space="preserve">Oedro</t>
  </si>
  <si>
    <t xml:space="preserve">5:30pm-8:30pm</t>
  </si>
  <si>
    <t xml:space="preserve">5:00pm-8:30pm</t>
  </si>
  <si>
    <t xml:space="preserve">Oedro mod</t>
  </si>
  <si>
    <t xml:space="preserve">Oedro training</t>
  </si>
  <si>
    <t xml:space="preserve">7:30pm-9:30pm</t>
  </si>
  <si>
    <t xml:space="preserve">Oedro内部会 搬shokz产品 布置场景</t>
  </si>
  <si>
    <t xml:space="preserve">2:00pm-7:30pm</t>
  </si>
  <si>
    <t xml:space="preserve">复盘shokz topdon + oedro主播沟通 + 写oedro优化方案</t>
  </si>
  <si>
    <t xml:space="preserve">Creality</t>
  </si>
  <si>
    <t xml:space="preserve">4:30pm-6:30pm</t>
  </si>
  <si>
    <t xml:space="preserve">Andy Cobb</t>
  </si>
  <si>
    <t xml:space="preserve">Creality training</t>
  </si>
  <si>
    <t xml:space="preserve">2:30pm-3:30pm</t>
  </si>
  <si>
    <t xml:space="preserve">3:30pm-5:30pm</t>
  </si>
  <si>
    <t xml:space="preserve">1:30pm-4:30pm</t>
  </si>
  <si>
    <t xml:space="preserve">主播自己没来</t>
  </si>
  <si>
    <t xml:space="preserve">直播取消</t>
  </si>
  <si>
    <t xml:space="preserve">主播没来</t>
  </si>
  <si>
    <t xml:space="preserve">Creality Ebay</t>
  </si>
  <si>
    <t xml:space="preserve">2:00pm-4:30pm</t>
  </si>
  <si>
    <t xml:space="preserve">1:30pm-6:00pm</t>
  </si>
  <si>
    <t xml:space="preserve">Creality mod</t>
  </si>
  <si>
    <t xml:space="preserve">1:00pm-7:00pm</t>
  </si>
  <si>
    <t xml:space="preserve">2:30pm-10:30pm</t>
  </si>
  <si>
    <t xml:space="preserve">mod, ebay，优化，大促方案，复盘</t>
  </si>
  <si>
    <t xml:space="preserve">1:30pm-5:00pm</t>
  </si>
  <si>
    <t xml:space="preserve">2:00pm-6:30pm</t>
  </si>
  <si>
    <t xml:space="preserve">10:00pm-11:00pm</t>
  </si>
  <si>
    <t xml:space="preserve">11:00am-5:30pm</t>
  </si>
  <si>
    <t xml:space="preserve">12:30pm-1:30pm</t>
  </si>
  <si>
    <t xml:space="preserve">train,mod</t>
  </si>
  <si>
    <t xml:space="preserve">直播取消，wattcycle提前开</t>
  </si>
  <si>
    <t xml:space="preserve">Efurden</t>
  </si>
  <si>
    <t xml:space="preserve">12:00pm-2:00pm</t>
  </si>
  <si>
    <t xml:space="preserve">主播临时有事来不了</t>
  </si>
  <si>
    <t xml:space="preserve">不足24h通知，临时改成training</t>
  </si>
  <si>
    <t xml:space="preserve">品牌取消</t>
  </si>
  <si>
    <t xml:space="preserve">Efurden mod</t>
  </si>
  <si>
    <t xml:space="preserve">11:45am-2:00pm</t>
  </si>
  <si>
    <t xml:space="preserve">aosom复盘和efurden复盘+aosom优化</t>
  </si>
  <si>
    <t xml:space="preserve">9:45am-3:15pm</t>
  </si>
  <si>
    <t xml:space="preserve">改成做优化，homcom贴片</t>
  </si>
  <si>
    <t xml:space="preserve">9:45am-6:00pm</t>
  </si>
  <si>
    <t xml:space="preserve">改成给andy做training</t>
  </si>
  <si>
    <t xml:space="preserve">Wavytalk（周播32H目标）</t>
  </si>
  <si>
    <t xml:space="preserve">Wavytalk</t>
  </si>
  <si>
    <t xml:space="preserve">Audrey Forrester</t>
  </si>
  <si>
    <t xml:space="preserve">9:30am-12:00pm</t>
  </si>
  <si>
    <t xml:space="preserve">Jillian Reeves</t>
  </si>
  <si>
    <t xml:space="preserve">Asante Randall</t>
  </si>
  <si>
    <t xml:space="preserve">9:00pm - 12:00am</t>
  </si>
  <si>
    <t xml:space="preserve">Wavytalk Mod</t>
  </si>
  <si>
    <t xml:space="preserve">Fiona Lee</t>
  </si>
  <si>
    <t xml:space="preserve">9:00pm-12:00am</t>
  </si>
  <si>
    <t xml:space="preserve">Wavytalk Training</t>
  </si>
  <si>
    <t xml:space="preserve">Michelle Murad</t>
  </si>
  <si>
    <t xml:space="preserve">7:30am-9:30am</t>
  </si>
  <si>
    <t xml:space="preserve">Iris Zhang</t>
  </si>
  <si>
    <t xml:space="preserve">Erin Micklow</t>
  </si>
  <si>
    <t xml:space="preserve">7:30am-10:00am</t>
  </si>
  <si>
    <t xml:space="preserve">Joy Hou</t>
  </si>
  <si>
    <t xml:space="preserve">10:30am-2:00pm</t>
  </si>
  <si>
    <t xml:space="preserve">1:00pm-6:00pm</t>
  </si>
  <si>
    <t xml:space="preserve">主播生病取消</t>
  </si>
  <si>
    <t xml:space="preserve">Isabelle Lauderdale</t>
  </si>
  <si>
    <t xml:space="preserve">10:00pm-12:00am</t>
  </si>
  <si>
    <t xml:space="preserve">12:30pm-4:00pm</t>
  </si>
  <si>
    <t xml:space="preserve">自己取消 不pay</t>
  </si>
  <si>
    <t xml:space="preserve">Sunday</t>
  </si>
  <si>
    <t xml:space="preserve">WavyTalk Amazon</t>
  </si>
  <si>
    <t xml:space="preserve">Wavytalk Amazon</t>
  </si>
  <si>
    <t xml:space="preserve">5:45pm - 9:00pm</t>
  </si>
  <si>
    <t xml:space="preserve">Wavytalk Amazon Mod</t>
  </si>
  <si>
    <t xml:space="preserve">5:00pm - 9:00pm</t>
  </si>
  <si>
    <t xml:space="preserve">Wavytalk Amazon Training</t>
  </si>
  <si>
    <t xml:space="preserve">2:00pm - 5:00pm</t>
  </si>
  <si>
    <t xml:space="preserve">Grace Karin（周播15H目标）</t>
  </si>
  <si>
    <t xml:space="preserve">Grace Karin</t>
  </si>
  <si>
    <t xml:space="preserve">品牌不足24取消 pay 50%</t>
  </si>
  <si>
    <t xml:space="preserve">Rachel Jackson</t>
  </si>
  <si>
    <t xml:space="preserve">pay 50%</t>
  </si>
  <si>
    <t xml:space="preserve">Mindy</t>
  </si>
  <si>
    <t xml:space="preserve">Grace Karin Mod</t>
  </si>
  <si>
    <t xml:space="preserve">9:15am-1:30pm</t>
  </si>
  <si>
    <t xml:space="preserve">10:15am-1:30pm</t>
  </si>
  <si>
    <t xml:space="preserve">9:15am-1:00pm</t>
  </si>
  <si>
    <t xml:space="preserve">4:15pm-7:30pm</t>
  </si>
  <si>
    <t xml:space="preserve">Grace Karin Training</t>
  </si>
  <si>
    <t xml:space="preserve">10:30am-11:00am</t>
  </si>
  <si>
    <t xml:space="preserve">Yianna（周播48H目标）</t>
  </si>
  <si>
    <t xml:space="preserve">Yianna Training</t>
  </si>
  <si>
    <t xml:space="preserve">Sarahi Jimenez(Nicole)</t>
  </si>
  <si>
    <t xml:space="preserve">Yianna</t>
  </si>
  <si>
    <t xml:space="preserve">Fenix</t>
  </si>
  <si>
    <t xml:space="preserve">Assiya Louahabi</t>
  </si>
  <si>
    <t xml:space="preserve">主播取消排班</t>
  </si>
  <si>
    <t xml:space="preserve">Yianna Mod</t>
  </si>
  <si>
    <t xml:space="preserve">2:50pm-6:00pm</t>
  </si>
  <si>
    <t xml:space="preserve">Stephanie Espinal</t>
  </si>
  <si>
    <t xml:space="preserve">6:00pm-7:20pm</t>
  </si>
  <si>
    <t xml:space="preserve">Dina Zavala Fuentes</t>
  </si>
  <si>
    <t xml:space="preserve">7:20pm-9:00pm</t>
  </si>
  <si>
    <t xml:space="preserve">付50%</t>
  </si>
  <si>
    <t xml:space="preserve">2:50pm-6:30pm</t>
  </si>
  <si>
    <t xml:space="preserve">6:30pm-7:20pm</t>
  </si>
  <si>
    <t xml:space="preserve">5:30pm-6:00pm</t>
  </si>
  <si>
    <t xml:space="preserve">3:00pm-5:15pm</t>
  </si>
  <si>
    <t xml:space="preserve">5:15pm-6:00pm</t>
  </si>
  <si>
    <t xml:space="preserve">2:50pm-5:15pm</t>
  </si>
  <si>
    <t xml:space="preserve">5:15pm-6:30pm</t>
  </si>
  <si>
    <t xml:space="preserve">6:30pm-9:00pm</t>
  </si>
  <si>
    <t xml:space="preserve">cancel before 24hr, no pay</t>
  </si>
  <si>
    <t xml:space="preserve">2:45pm-6:00pm</t>
  </si>
  <si>
    <t xml:space="preserve">YMQ - Carplay</t>
  </si>
  <si>
    <t xml:space="preserve">YMQ - CarPlay</t>
  </si>
  <si>
    <t xml:space="preserve">3:30pm - 5:30pm</t>
  </si>
  <si>
    <t xml:space="preserve">3:30 - 5:00 madox/ 5-5:30 Charlene </t>
  </si>
  <si>
    <t xml:space="preserve">YMQ-Mod</t>
  </si>
  <si>
    <t xml:space="preserve">3:15pm - 5:30pm</t>
  </si>
  <si>
    <t xml:space="preserve">1:45pm - 8:30pm</t>
  </si>
  <si>
    <t xml:space="preserve">12:00pm - 6:00pm</t>
  </si>
  <si>
    <t xml:space="preserve">1:45pm - 6:00pm</t>
  </si>
  <si>
    <t xml:space="preserve">1:30pm - 6:00pm</t>
  </si>
  <si>
    <t xml:space="preserve">YMQ- Training</t>
  </si>
  <si>
    <t xml:space="preserve">11:30am - 1:45pm</t>
  </si>
  <si>
    <t xml:space="preserve">Yoleo-The RUN</t>
  </si>
  <si>
    <t xml:space="preserve">Yoleo-The Run</t>
  </si>
  <si>
    <t xml:space="preserve">4:00pm - 7:00pm</t>
  </si>
  <si>
    <t/>
    <r>
      <rPr>
        <u val="single"/>
        <color theme="10"/>
      </rPr>
      <t xml:space="preserve">@Ziyi Liu</t>
    </r>
  </si>
  <si>
    <t xml:space="preserve">Yoleo-The Run Mod</t>
  </si>
  <si>
    <t xml:space="preserve">3:30pm - 7:30pm</t>
  </si>
  <si>
    <t/>
    <r>
      <rPr>
        <u val="single"/>
        <color theme="10"/>
      </rPr>
      <t xml:space="preserve">@Ziyi Liu</t>
    </r>
  </si>
  <si>
    <t xml:space="preserve">1:40pm - 5:40pm</t>
  </si>
  <si>
    <t xml:space="preserve">3:45pm - 8:00pm</t>
  </si>
  <si>
    <t xml:space="preserve">6:00pm - 9:00pm</t>
  </si>
  <si>
    <t xml:space="preserve">5:30pm - 10:00pm</t>
  </si>
  <si>
    <t xml:space="preserve">Yoleo-The Run Training</t>
  </si>
  <si>
    <t/>
    <r>
      <rPr>
        <u val="single"/>
        <color theme="10"/>
      </rPr>
      <t xml:space="preserve">@Xiaoxin He</t>
    </r>
  </si>
  <si>
    <t xml:space="preserve">1:30pm - 6:30pm</t>
  </si>
  <si>
    <t/>
    <r>
      <rPr>
        <u val="single"/>
        <color theme="10"/>
      </rPr>
      <t xml:space="preserve">@Xiaoxin He</t>
    </r>
  </si>
  <si>
    <t xml:space="preserve">Lovevook（周播24H目标）周六大场</t>
  </si>
  <si>
    <t xml:space="preserve">Lovevook</t>
  </si>
  <si>
    <t xml:space="preserve">Lovevook Mod</t>
  </si>
  <si>
    <t xml:space="preserve">1:40pm-6:10pm</t>
  </si>
  <si>
    <t xml:space="preserve">Yifan Li (Nickie)</t>
  </si>
  <si>
    <t xml:space="preserve">Lovevook Training</t>
  </si>
  <si>
    <t xml:space="preserve">10:00pm-10:15pm</t>
  </si>
  <si>
    <t xml:space="preserve">Laura McGlynn</t>
  </si>
  <si>
    <t/>
    <r>
      <rPr>
        <u val="single"/>
        <color theme="10"/>
      </rPr>
      <t xml:space="preserve">@Zixuan Wang</t>
    </r>
    <r>
      <rPr/>
      <t xml:space="preserve"> </t>
    </r>
  </si>
  <si>
    <t/>
    <r>
      <rPr>
        <u val="single"/>
        <color theme="10"/>
      </rPr>
      <t xml:space="preserve">@Zixuan Wang</t>
    </r>
    <r>
      <rPr/>
      <t>6:30-8:00</t>
    </r>
  </si>
  <si>
    <t xml:space="preserve">3:40pm-6:30pm</t>
  </si>
  <si>
    <t xml:space="preserve">12:30pm-2:30pm</t>
  </si>
  <si>
    <t xml:space="preserve">自学ppt</t>
  </si>
  <si>
    <t xml:space="preserve">1:30pm-7:45pm</t>
  </si>
  <si>
    <t xml:space="preserve">Wei Huang(Azzy)</t>
  </si>
  <si>
    <t xml:space="preserve">2:40pm-7:10pm</t>
  </si>
  <si>
    <t xml:space="preserve">7:10pm-8:10pm</t>
  </si>
  <si>
    <t xml:space="preserve">跟周会</t>
  </si>
  <si>
    <t xml:space="preserve">Roxy Star</t>
  </si>
  <si>
    <t xml:space="preserve">2:00pm-6:10pm</t>
  </si>
  <si>
    <t xml:space="preserve">提前摆包、排品、收包</t>
  </si>
  <si>
    <t xml:space="preserve">1:00pm-5:00pm</t>
  </si>
  <si>
    <t xml:space="preserve">Tess Gordon</t>
  </si>
  <si>
    <t xml:space="preserve">12:30pm-1:00pm</t>
  </si>
  <si>
    <t xml:space="preserve">2:00pm-2:40pm</t>
  </si>
  <si>
    <t xml:space="preserve">7:10pm-7:25pm</t>
  </si>
  <si>
    <t xml:space="preserve">Younique Nails</t>
  </si>
  <si>
    <t xml:space="preserve">confirm</t>
  </si>
  <si>
    <t xml:space="preserve">Younique Nails Mod</t>
  </si>
  <si>
    <t xml:space="preserve">6:45pm-10:00pm</t>
  </si>
  <si>
    <t xml:space="preserve">Younique Nails Training</t>
  </si>
  <si>
    <t xml:space="preserve">10:15pm-10:25pm</t>
  </si>
  <si>
    <t xml:space="preserve">11:45am-3:00pm</t>
  </si>
  <si>
    <t xml:space="preserve">1:00pm-2:30pm</t>
  </si>
  <si>
    <t xml:space="preserve">Joi carroll</t>
  </si>
  <si>
    <t/>
    <r>
      <rPr>
        <u val="single"/>
        <color theme="10"/>
      </rPr>
      <t xml:space="preserve">@Zixuan Wang</t>
    </r>
  </si>
  <si>
    <t xml:space="preserve">10:45am-2:00pm</t>
  </si>
  <si>
    <t xml:space="preserve">Marian Ebhamen</t>
  </si>
  <si>
    <t xml:space="preserve">带Azzy开播</t>
  </si>
  <si>
    <t xml:space="preserve">10:00pm-10:10pm</t>
  </si>
  <si>
    <t xml:space="preserve">6:00pm-6:30pm</t>
  </si>
  <si>
    <t xml:space="preserve">Sabrina Cortes</t>
  </si>
  <si>
    <t xml:space="preserve">3:45pm-7:00pm</t>
  </si>
  <si>
    <t xml:space="preserve">DJI</t>
  </si>
  <si>
    <t xml:space="preserve">运营（写清楚场控跟播的时间段）</t>
  </si>
  <si>
    <t xml:space="preserve">Back up</t>
  </si>
  <si>
    <t xml:space="preserve">Bagsmart Travel</t>
  </si>
  <si>
    <t xml:space="preserve">4:45pm-7:00pm</t>
  </si>
  <si>
    <t xml:space="preserve">Ian</t>
  </si>
  <si>
    <t/>
    <r>
      <rPr>
        <u val="single"/>
        <color theme="10"/>
      </rPr>
      <t xml:space="preserve">@Wentao Du</t>
    </r>
    <r>
      <rPr/>
      <t>盯开播</t>
    </r>
  </si>
  <si>
    <t xml:space="preserve">Byron</t>
  </si>
  <si>
    <t/>
    <r>
      <rPr>
        <u val="single"/>
        <color theme="10"/>
      </rPr>
      <t xml:space="preserve">@Jingwen Duan</t>
    </r>
    <r>
      <rPr/>
      <t xml:space="preserve"> 盯开播，wanyi盯下播Rest回一店</t>
    </r>
  </si>
  <si>
    <t xml:space="preserve">Ian </t>
  </si>
  <si>
    <t/>
    <r>
      <rPr>
        <u val="single"/>
        <color theme="10"/>
      </rPr>
      <t xml:space="preserve">@Jingwen Duan</t>
    </r>
    <r>
      <rPr/>
      <t xml:space="preserve"> Set二店产品+盯开播</t>
    </r>
  </si>
  <si>
    <t xml:space="preserve">4:45pm-8:00pm</t>
  </si>
  <si>
    <t/>
    <r>
      <rPr>
        <u val="single"/>
        <color theme="10"/>
      </rPr>
      <t xml:space="preserve">@Jingwen Duan</t>
    </r>
  </si>
  <si>
    <t/>
    <r>
      <rPr>
        <u val="single"/>
        <color theme="10"/>
      </rPr>
      <t xml:space="preserve">@Jingwen Duan</t>
    </r>
    <r>
      <rPr/>
      <t>下播后Reset一店商品</t>
    </r>
  </si>
  <si>
    <t xml:space="preserve">没提前取消 pay</t>
  </si>
  <si>
    <t xml:space="preserve">Bagsmart Travel Mod</t>
  </si>
  <si>
    <t xml:space="preserve">Ian Sandvik</t>
  </si>
  <si>
    <t xml:space="preserve">7:30pm-10:15pm</t>
  </si>
  <si>
    <t xml:space="preserve">11:30am-5:15pm</t>
  </si>
  <si>
    <t/>
    <r>
      <rPr/>
      <t xml:space="preserve">30minutes Break </t>
    </r>
    <r>
      <rPr>
        <u val="single"/>
        <color theme="10"/>
      </rPr>
      <t xml:space="preserve">@Jingwen Duan</t>
    </r>
  </si>
  <si>
    <t xml:space="preserve">4:30pm-7:00pm</t>
  </si>
  <si>
    <t xml:space="preserve">3:30pm-7:15pm</t>
  </si>
  <si>
    <t xml:space="preserve">8:00pm-11:00pm</t>
  </si>
  <si>
    <t xml:space="preserve">Wanyi Zhao</t>
  </si>
  <si>
    <t xml:space="preserve">写一店二店复盘+Reset一店产品</t>
  </si>
  <si>
    <t xml:space="preserve">写一店二店复盘+Reset二店产品</t>
  </si>
  <si>
    <t xml:space="preserve">4:00pm-10:00pm</t>
  </si>
  <si>
    <t xml:space="preserve">写一店二店复盘+Reset一店产品，7-8mod</t>
  </si>
  <si>
    <t xml:space="preserve">3:00pm-9:00pm</t>
  </si>
  <si>
    <t xml:space="preserve">Bagsmart Lifestyle</t>
  </si>
  <si>
    <t xml:space="preserve">9:45am-1:00pm</t>
  </si>
  <si>
    <t/>
    <r>
      <rPr>
        <u val="single"/>
        <color theme="10"/>
      </rPr>
      <t xml:space="preserve">@Wentao Du</t>
    </r>
  </si>
  <si>
    <t/>
    <r>
      <rPr>
        <u val="single"/>
        <color theme="10"/>
      </rPr>
      <t xml:space="preserve">@Wentao Du</t>
    </r>
    <r>
      <rPr/>
      <t xml:space="preserve">Set一店商品 + 下播恢复二店产品</t>
    </r>
  </si>
  <si>
    <t xml:space="preserve">8:45am-1:00pm</t>
  </si>
  <si>
    <t/>
    <r>
      <rPr>
        <u val="single"/>
        <color theme="10"/>
      </rPr>
      <t xml:space="preserve">@Yuemin Liu</t>
    </r>
    <r>
      <rPr/>
      <t>盯开播帮助Set一店商品+下播恢复二店产品</t>
    </r>
  </si>
  <si>
    <t xml:space="preserve">7:45am-11:00am</t>
  </si>
  <si>
    <t/>
    <r>
      <rPr>
        <u val="single"/>
        <color theme="10"/>
      </rPr>
      <t xml:space="preserve">@Jingwen Duan</t>
    </r>
  </si>
  <si>
    <t/>
    <r>
      <rPr>
        <u val="single"/>
        <color theme="10"/>
      </rPr>
      <t xml:space="preserve">@Jingwen Duan</t>
    </r>
    <r>
      <rPr/>
      <t xml:space="preserve">盯开播+下播Reset 一店产品</t>
    </r>
  </si>
  <si>
    <t xml:space="preserve">提前24小取消 不pay</t>
  </si>
  <si>
    <t/>
    <r>
      <rPr>
        <u val="single"/>
        <color theme="10"/>
      </rPr>
      <t xml:space="preserve">@Yuemin Liu</t>
    </r>
    <r>
      <rPr/>
      <t>盯开播+下播恢复二店产品</t>
    </r>
  </si>
  <si>
    <t xml:space="preserve">8:45am-12:00pm</t>
  </si>
  <si>
    <t/>
    <r>
      <rPr>
        <u val="single"/>
        <color theme="10"/>
      </rPr>
      <t xml:space="preserve">@Yuemin Liu</t>
    </r>
    <r>
      <rPr/>
      <t>盯开播+下播恢复二店产品</t>
    </r>
  </si>
  <si>
    <t xml:space="preserve">Bagsmart Lifestyle Mod</t>
  </si>
  <si>
    <t xml:space="preserve">9:45am-1:15pm</t>
  </si>
  <si>
    <t/>
    <r>
      <rPr>
        <u val="single"/>
        <color theme="10"/>
      </rPr>
      <t xml:space="preserve">@Yuemin Liu</t>
    </r>
    <r>
      <rPr/>
      <t>盯开播</t>
    </r>
  </si>
  <si>
    <t xml:space="preserve">8:45am-1:15pm</t>
  </si>
  <si>
    <t xml:space="preserve">7:45am-11:15am</t>
  </si>
  <si>
    <t xml:space="preserve">9:30am-1:15pm</t>
  </si>
  <si>
    <t xml:space="preserve">9:30am-12:15pm</t>
  </si>
  <si>
    <t xml:space="preserve">Bagsmart Training</t>
  </si>
  <si>
    <t xml:space="preserve">UMi</t>
  </si>
  <si>
    <t xml:space="preserve">UMi Mod</t>
  </si>
  <si>
    <t xml:space="preserve">7:00pm-10:30pm</t>
  </si>
  <si>
    <t xml:space="preserve">7:15pm-10:30pm</t>
  </si>
  <si>
    <t xml:space="preserve">1:45pm-5:00pm</t>
  </si>
  <si>
    <t xml:space="preserve">UMi Training</t>
  </si>
  <si>
    <t xml:space="preserve">2:30pm-3:00pm</t>
  </si>
  <si>
    <t xml:space="preserve">4:00pm-4:30pm</t>
  </si>
  <si>
    <t xml:space="preserve">5:45pm-9:00pm</t>
  </si>
  <si>
    <t xml:space="preserve">DCSVIP</t>
  </si>
  <si>
    <t xml:space="preserve">DCSVIP Mod</t>
  </si>
  <si>
    <t/>
    <r>
      <rPr>
        <u val="single"/>
        <color theme="10"/>
      </rPr>
      <t xml:space="preserve">@Liqi Mao</t>
    </r>
  </si>
  <si>
    <t xml:space="preserve">主播取消 no pay</t>
  </si>
  <si>
    <t xml:space="preserve">Madox Dorsey</t>
  </si>
  <si>
    <t xml:space="preserve">主播直接忘记了 no pay</t>
  </si>
  <si>
    <t xml:space="preserve">11:15am-3:00pm</t>
  </si>
  <si>
    <t xml:space="preserve">DCSVIP Training</t>
  </si>
  <si>
    <t xml:space="preserve">12:00pm-12:30pm</t>
  </si>
  <si>
    <t xml:space="preserve">Aelfric Eden</t>
  </si>
  <si>
    <t xml:space="preserve">5:45pm-8:00pm</t>
  </si>
  <si>
    <t xml:space="preserve">Stella</t>
  </si>
  <si>
    <t xml:space="preserve">stella</t>
  </si>
  <si>
    <t xml:space="preserve">Aelfric Eden Mod</t>
  </si>
  <si>
    <t xml:space="preserve">5:45pm-10:00pm</t>
  </si>
  <si>
    <t xml:space="preserve">madox</t>
  </si>
  <si>
    <t xml:space="preserve">4:45pm-9:00pm</t>
  </si>
  <si>
    <t xml:space="preserve">izzy</t>
  </si>
  <si>
    <t xml:space="preserve">zoey</t>
  </si>
  <si>
    <t xml:space="preserve">24h内取消</t>
  </si>
  <si>
    <t xml:space="preserve">Maskert Girl</t>
  </si>
  <si>
    <t xml:space="preserve">Maskert Girl Mod</t>
  </si>
  <si>
    <t xml:space="preserve">anne</t>
  </si>
  <si>
    <t xml:space="preserve">提前24h取消</t>
  </si>
  <si>
    <t xml:space="preserve">9:45am-12:00pm</t>
  </si>
  <si>
    <t xml:space="preserve">Zoey</t>
  </si>
  <si>
    <t xml:space="preserve">Mobeso</t>
  </si>
  <si>
    <t xml:space="preserve">Mobeso Mod</t>
  </si>
  <si>
    <t xml:space="preserve">1:45pm-4:45pm</t>
  </si>
  <si>
    <t xml:space="preserve">转移给joyin</t>
  </si>
  <si>
    <t xml:space="preserve">12:45pm-3:45pm</t>
  </si>
  <si>
    <t xml:space="preserve">Stella Daley</t>
  </si>
  <si>
    <t xml:space="preserve">Mobeso Shooting</t>
  </si>
  <si>
    <t xml:space="preserve">Litong</t>
  </si>
  <si>
    <t xml:space="preserve"> </t>
  </si>
  <si>
    <t xml:space="preserve">Basic Training</t>
  </si>
  <si>
    <t xml:space="preserve">11:00am-1pm</t>
  </si>
  <si>
    <t xml:space="preserve">Frank Hunter</t>
  </si>
  <si>
    <t xml:space="preserve">Miya</t>
  </si>
  <si>
    <t xml:space="preserve">3619 Eastham Drive</t>
  </si>
  <si>
    <t xml:space="preserve">YES</t>
  </si>
  <si>
    <t xml:space="preserve">Monday</t>
  </si>
  <si>
    <t xml:space="preserve">Anthony Carboni</t>
  </si>
  <si>
    <t xml:space="preserve">3pm-6:00pm</t>
  </si>
  <si>
    <t xml:space="preserve">Simone Baker</t>
  </si>
  <si>
    <t xml:space="preserve">3:30pm-6:00pm</t>
  </si>
  <si>
    <t xml:space="preserve">Dina Zavala Fuentes</t>
  </si>
  <si>
    <t xml:space="preserve">Assiya Louahabi</t>
  </si>
  <si>
    <t xml:space="preserve">Tuesday</t>
  </si>
  <si>
    <t xml:space="preserve">10:30-5:00pm</t>
  </si>
  <si>
    <t xml:space="preserve">Anne</t>
  </si>
  <si>
    <t xml:space="preserve">Miya+Qunnie+Zoe</t>
  </si>
  <si>
    <t xml:space="preserve">10:30-6:00pm</t>
  </si>
  <si>
    <t xml:space="preserve">Zhaoen Fan(iris)</t>
  </si>
  <si>
    <t xml:space="preserve">Miya+Charlotte</t>
  </si>
  <si>
    <t xml:space="preserve">Wednesday</t>
  </si>
  <si>
    <t xml:space="preserve">11:00am-1:00pm</t>
  </si>
  <si>
    <t xml:space="preserve">Joi Caroll</t>
  </si>
  <si>
    <t xml:space="preserve">Video Shoot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</si>
  <si>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</si>
  <si>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</si>
  <si>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</si>
  <si>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</si>
  <si>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</si>
  <si>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</si>
  <si>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</si>
  <si>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</si>
  <si>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</si>
  <si>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雅迪电动车Video Shooting</t>
  </si>
  <si>
    <t xml:space="preserve">10:30am-12:30pm</t>
  </si>
  <si>
    <t xml:space="preserve">B-ROLL Shooting</t>
  </si>
  <si>
    <t xml:space="preserve">10:30am-1:30pm</t>
  </si>
  <si>
    <t xml:space="preserve">徕芬Video Shooting</t>
  </si>
  <si>
    <t xml:space="preserve">PENDING</t>
  </si>
  <si>
    <t xml:space="preserve">Video</t>
  </si>
  <si>
    <t xml:space="preserve">10:00am-4:00pm</t>
  </si>
  <si>
    <t xml:space="preserve">Litong Zeng</t>
  </si>
  <si>
    <t xml:space="preserve">VEVOR TOOL（周播30小时目标）</t>
  </si>
  <si>
    <t xml:space="preserve">Mod（写清楚场控跟播的时间段）</t>
  </si>
  <si>
    <t xml:space="preserve">VEVOR TOOL</t>
  </si>
  <si>
    <t xml:space="preserve">6:30pm-9:30pm</t>
  </si>
  <si>
    <t xml:space="preserve">Anthony Traina</t>
  </si>
  <si>
    <t xml:space="preserve">Joseph Davis Massingill</t>
  </si>
  <si>
    <t xml:space="preserve">10:00am-2:00pm</t>
  </si>
  <si>
    <t xml:space="preserve">VEVOR Video Shooting</t>
  </si>
  <si>
    <t xml:space="preserve">2:00pm-3:30pm</t>
  </si>
  <si>
    <t xml:space="preserve">VEVOR TOOL Training</t>
  </si>
  <si>
    <t xml:space="preserve">Nick R</t>
  </si>
  <si>
    <t xml:space="preserve">VEVOR TOOL Mod</t>
  </si>
  <si>
    <t xml:space="preserve">6:00pm-9:30pm</t>
  </si>
  <si>
    <t xml:space="preserve">William Dennis</t>
  </si>
  <si>
    <t xml:space="preserve">live 6:30-9:30pm</t>
  </si>
  <si>
    <t xml:space="preserve">9:30am-2:00pm</t>
  </si>
  <si>
    <t xml:space="preserve">live 10:00-2:00pm</t>
  </si>
  <si>
    <t xml:space="preserve">Lesure Fresh</t>
  </si>
  <si>
    <t xml:space="preserve">Lesure Dog Training</t>
  </si>
  <si>
    <t xml:space="preserve">3:00pm - 5:00pm</t>
  </si>
  <si>
    <t xml:space="preserve">Astrid Salas</t>
  </si>
  <si>
    <t xml:space="preserve">Ivy</t>
  </si>
  <si>
    <t xml:space="preserve">8461 Higuera Street</t>
  </si>
  <si>
    <t xml:space="preserve">Lesure Fresh Training</t>
  </si>
  <si>
    <t xml:space="preserve">12:00pm - 3:15pm</t>
  </si>
  <si>
    <t xml:space="preserve">Samuel Solomon</t>
  </si>
  <si>
    <t xml:space="preserve">2:00pm - 5:00pm</t>
  </si>
  <si>
    <t xml:space="preserve">Iris (Alexis) Perry</t>
  </si>
  <si>
    <t xml:space="preserve">2-3 Ivy</t>
  </si>
  <si>
    <t xml:space="preserve">12:00pm - 3:00pm</t>
  </si>
  <si>
    <t xml:space="preserve">Lesure Fresh Mod</t>
  </si>
  <si>
    <t xml:space="preserve">11:00am - 12:00pm</t>
  </si>
  <si>
    <t xml:space="preserve">ziyi</t>
  </si>
  <si>
    <t xml:space="preserve">Victoria Rose</t>
  </si>
  <si>
    <t xml:space="preserve">1:00pm - 5:00pm</t>
  </si>
  <si>
    <t xml:space="preserve">Joyin</t>
  </si>
  <si>
    <t xml:space="preserve">Joyin Training</t>
  </si>
  <si>
    <t xml:space="preserve">4:30pm - 5:30pm</t>
  </si>
  <si>
    <t xml:space="preserve">Erin Micklow</t>
  </si>
  <si>
    <t xml:space="preserve">6:00pm - 8:00pm</t>
  </si>
  <si>
    <t xml:space="preserve">5:30pm - 7:00pm</t>
  </si>
  <si>
    <t xml:space="preserve">Marian Ebhamen</t>
  </si>
  <si>
    <t xml:space="preserve">6:00pm - 10:00pm</t>
  </si>
  <si>
    <t xml:space="preserve">Jennie Marie Pacelli</t>
  </si>
  <si>
    <t xml:space="preserve">Live 6-9</t>
  </si>
  <si>
    <t xml:space="preserve">7:00pm - 12:00am</t>
  </si>
  <si>
    <t xml:space="preserve">Live 7-11</t>
  </si>
  <si>
    <t xml:space="preserve">6:00pm - 11:00pm</t>
  </si>
  <si>
    <t xml:space="preserve">Live 6-10</t>
  </si>
  <si>
    <t xml:space="preserve">??</t>
  </si>
  <si>
    <t xml:space="preserve">提前24小时取消</t>
  </si>
  <si>
    <t xml:space="preserve">6:15pm - 11:15pm</t>
  </si>
  <si>
    <t xml:space="preserve">Live 6:15 -9:15</t>
  </si>
  <si>
    <t xml:space="preserve">7:00pm - 11:00pm</t>
  </si>
  <si>
    <t xml:space="preserve">Live 7-10</t>
  </si>
  <si>
    <t xml:space="preserve">David Archy</t>
  </si>
  <si>
    <t xml:space="preserve">David Archy Training</t>
  </si>
  <si>
    <t xml:space="preserve">2:00pm - 3:00pm</t>
  </si>
  <si>
    <t xml:space="preserve">Ava Gold</t>
  </si>
  <si>
    <t xml:space="preserve">1:30pm - 3:00pm</t>
  </si>
  <si>
    <t xml:space="preserve">2:00pm - 4:00pm</t>
  </si>
  <si>
    <t xml:space="preserve">主播取消</t>
  </si>
  <si>
    <t xml:space="preserve">3:30pm - 5:30pm</t>
  </si>
  <si>
    <t xml:space="preserve">2:30pm - 5:30pm</t>
  </si>
  <si>
    <t xml:space="preserve">Main Room 3</t>
  </si>
  <si>
    <t xml:space="preserve">Cassi</t>
  </si>
  <si>
    <t xml:space="preserve">不用pay</t>
  </si>
  <si>
    <t xml:space="preserve">David Archy Mod</t>
  </si>
  <si>
    <t xml:space="preserve">1:30pm - 5:30pm</t>
  </si>
  <si>
    <t xml:space="preserve">Papablic</t>
  </si>
  <si>
    <t xml:space="preserve">Papablic Training</t>
  </si>
  <si>
    <t xml:space="preserve">3:00pm - 4:00pm</t>
  </si>
  <si>
    <t xml:space="preserve">4:00pm - 5:00pm</t>
  </si>
  <si>
    <t xml:space="preserve">5:00pm - 6:00pm</t>
  </si>
  <si>
    <t xml:space="preserve">5:30pm - 7:30pm</t>
  </si>
  <si>
    <t xml:space="preserve">6:00pm - 9:00pm</t>
  </si>
  <si>
    <t xml:space="preserve">10:00am - 1:00pm</t>
  </si>
  <si>
    <t xml:space="preserve">Papablic Mod</t>
  </si>
  <si>
    <t xml:space="preserve">9:00am - 1:00pm</t>
  </si>
  <si>
    <t xml:space="preserve">Xtool</t>
  </si>
  <si>
    <t xml:space="preserve">每周目标23h</t>
  </si>
  <si>
    <t xml:space="preserve">4:00pm-6:15pm</t>
  </si>
  <si>
    <t xml:space="preserve">6:00pm-8:00pm</t>
  </si>
  <si>
    <t xml:space="preserve">Cristian Urbina</t>
  </si>
  <si>
    <t xml:space="preserve">3:00pm-6:00pm</t>
  </si>
  <si>
    <t xml:space="preserve">6:00pm-9:00pm</t>
  </si>
  <si>
    <t xml:space="preserve">老账号</t>
  </si>
  <si>
    <t xml:space="preserve">10:00am-1:00pm</t>
  </si>
  <si>
    <t xml:space="preserve">1:00pm-4:00pm</t>
  </si>
  <si>
    <t xml:space="preserve">新账号</t>
  </si>
  <si>
    <t xml:space="preserve">2:00pm-5:00pm</t>
  </si>
  <si>
    <t xml:space="preserve">3:00pm-5:00pm</t>
  </si>
  <si>
    <t xml:space="preserve">5:00pm-8:00pm</t>
  </si>
  <si>
    <t xml:space="preserve">Xtool Mod</t>
  </si>
  <si>
    <t xml:space="preserve">3:30pm-8:30pm</t>
  </si>
  <si>
    <t xml:space="preserve">Venus</t>
  </si>
  <si>
    <t xml:space="preserve">3:30pm-8:00pm</t>
  </si>
  <si>
    <t xml:space="preserve">Guillermo Straube</t>
  </si>
  <si>
    <t xml:space="preserve">2:30pm-6:00pm</t>
  </si>
  <si>
    <t xml:space="preserve">Juan Castillo</t>
  </si>
  <si>
    <t xml:space="preserve">12:30pm-6:30pm</t>
  </si>
  <si>
    <t xml:space="preserve">rita</t>
  </si>
  <si>
    <t xml:space="preserve">5:30pm-9:00pm</t>
  </si>
  <si>
    <t xml:space="preserve">1:30pm-5:00pm</t>
  </si>
  <si>
    <t xml:space="preserve">2:30pm-5:00pm</t>
  </si>
  <si>
    <t xml:space="preserve">改排班，xtoolbts</t>
  </si>
  <si>
    <t xml:space="preserve">Xtool Training</t>
  </si>
  <si>
    <t xml:space="preserve">3:00pm-7:00pm</t>
  </si>
  <si>
    <t xml:space="preserve">4:00pm-6:00pm</t>
  </si>
  <si>
    <t xml:space="preserve">10:00am-11:45am</t>
  </si>
  <si>
    <t xml:space="preserve">9:00am-4:30pm</t>
  </si>
  <si>
    <t xml:space="preserve">10:00am-6:00pm</t>
  </si>
  <si>
    <t xml:space="preserve">Wattcycle</t>
  </si>
  <si>
    <t xml:space="preserve">6:00pm-9:15pm</t>
  </si>
  <si>
    <t xml:space="preserve">Christian Zuniga</t>
  </si>
  <si>
    <t xml:space="preserve">ouyang/shirley</t>
  </si>
  <si>
    <t xml:space="preserve">shirley主mod，ouyang盯</t>
  </si>
  <si>
    <t xml:space="preserve">6:15pm-9:15pm</t>
  </si>
  <si>
    <t xml:space="preserve">Marco Neves</t>
  </si>
  <si>
    <t xml:space="preserve">Christian</t>
  </si>
  <si>
    <t xml:space="preserve">Wattcycle Mod</t>
  </si>
  <si>
    <t xml:space="preserve">6:15pm-9:00pm</t>
  </si>
  <si>
    <t xml:space="preserve">wenqi ouyang</t>
  </si>
  <si>
    <t xml:space="preserve">Shirley</t>
  </si>
  <si>
    <t xml:space="preserve">6:00pm-10:30pm</t>
  </si>
  <si>
    <t xml:space="preserve">mod+aosom复盘+wattcycle复盘</t>
  </si>
  <si>
    <t xml:space="preserve">5:45pm-9:30pm</t>
  </si>
  <si>
    <t xml:space="preserve">wattcycle mod+复盘+train</t>
  </si>
  <si>
    <t xml:space="preserve">12:30pm-7:00pm</t>
  </si>
  <si>
    <t xml:space="preserve">train主播，wattcycle优化</t>
  </si>
  <si>
    <t xml:space="preserve">2:00pm-6:00pm</t>
  </si>
  <si>
    <t xml:space="preserve">train 主播</t>
  </si>
  <si>
    <t xml:space="preserve">3:00pm-4:00pm</t>
  </si>
  <si>
    <t xml:space="preserve">wattcycle mod培训（tiktok ebay双开）</t>
  </si>
  <si>
    <t xml:space="preserve">Wattcycle Training</t>
  </si>
  <si>
    <t xml:space="preserve">5:00pm-6:00pm</t>
  </si>
  <si>
    <t xml:space="preserve">ouyang train（set up wattcycle）</t>
  </si>
  <si>
    <t xml:space="preserve">2:00pm-4:00pm</t>
  </si>
  <si>
    <t xml:space="preserve">ouyang train</t>
  </si>
  <si>
    <t xml:space="preserve">4:30pm-6:00pm</t>
  </si>
  <si>
    <t xml:space="preserve">ouyang</t>
  </si>
  <si>
    <t xml:space="preserve">ouyang train，wattcycle晚场播较多</t>
  </si>
  <si>
    <t xml:space="preserve">8:00pm-9:00pm</t>
  </si>
  <si>
    <t xml:space="preserve">Sally</t>
  </si>
  <si>
    <t xml:space="preserve">wattcycle training（直播中注意事项）</t>
  </si>
  <si>
    <t xml:space="preserve">ouyang train，Christian因堵车迟到</t>
  </si>
  <si>
    <t xml:space="preserve">Larq</t>
  </si>
  <si>
    <t xml:space="preserve">每周目标8h</t>
  </si>
  <si>
    <t xml:space="preserve">10:00am-12:00pm</t>
  </si>
  <si>
    <t xml:space="preserve">Rose Donahue</t>
  </si>
  <si>
    <t xml:space="preserve">Larq Mod</t>
  </si>
  <si>
    <t xml:space="preserve">8:30am-12:30pm</t>
  </si>
  <si>
    <t xml:space="preserve">9:30am-12:30pm</t>
  </si>
  <si>
    <t xml:space="preserve">Momcozy</t>
  </si>
  <si>
    <t xml:space="preserve">11:00am-2:00pm</t>
  </si>
  <si>
    <t xml:space="preserve">Magdalena Zielonka</t>
  </si>
  <si>
    <t xml:space="preserve">4:00pm-7:00pm</t>
  </si>
  <si>
    <t xml:space="preserve">12:30pm-3:30pm</t>
  </si>
  <si>
    <t xml:space="preserve">Momcozy Mod</t>
  </si>
  <si>
    <t xml:space="preserve">11:00pm-2:00pm</t>
  </si>
  <si>
    <t xml:space="preserve">Govee-亚马逊直播</t>
  </si>
  <si>
    <t xml:space="preserve">Falechay </t>
  </si>
  <si>
    <t xml:space="preserve">Falechay</t>
  </si>
  <si>
    <t xml:space="preserve">Kutluano Headbush</t>
  </si>
  <si>
    <t xml:space="preserve">Sophia</t>
  </si>
  <si>
    <t xml:space="preserve">9:00am-11:00am</t>
  </si>
  <si>
    <t xml:space="preserve">Norma Ortiz</t>
  </si>
  <si>
    <t xml:space="preserve">9:00am-12:00pm</t>
  </si>
  <si>
    <t xml:space="preserve">Alexandra McDonald</t>
  </si>
  <si>
    <t xml:space="preserve">Falechay Training</t>
  </si>
  <si>
    <t xml:space="preserve">2:00pm-3:00pm</t>
  </si>
  <si>
    <t xml:space="preserve">12:00pm-1:00pm</t>
  </si>
  <si>
    <t xml:space="preserve">8:30am-9:00am</t>
  </si>
  <si>
    <t xml:space="preserve">Falechay Mod Training</t>
  </si>
  <si>
    <t xml:space="preserve">2:00pm-6:30pm</t>
  </si>
  <si>
    <t xml:space="preserve">Aaron Heide</t>
  </si>
  <si>
    <t xml:space="preserve">9:00am-10:00am</t>
  </si>
  <si>
    <t xml:space="preserve">Falechay Mod</t>
  </si>
  <si>
    <t xml:space="preserve">12:00pm-4:00pm</t>
  </si>
  <si>
    <t xml:space="preserve">8:30am-11:00am</t>
  </si>
  <si>
    <t xml:space="preserve">Abib Skincare</t>
  </si>
  <si>
    <t xml:space="preserve">Abib Skincare Training</t>
  </si>
  <si>
    <t xml:space="preserve">Cariloha Amazon</t>
  </si>
  <si>
    <t xml:space="preserve">Cariloha</t>
  </si>
  <si>
    <t xml:space="preserve">5:00pm-7:00pm</t>
  </si>
  <si>
    <t xml:space="preserve">12:00pm-2:00pm</t>
  </si>
  <si>
    <t xml:space="preserve">提前和24h以上和主播取消，品牌要求暂停整改</t>
  </si>
  <si>
    <t xml:space="preserve">Cariloha Training</t>
  </si>
  <si>
    <t xml:space="preserve">12:30-1:30 read script, 1:30-2:30 sophia train</t>
  </si>
  <si>
    <t xml:space="preserve">Cariloha Mod training</t>
  </si>
  <si>
    <t xml:space="preserve">2:30pm-5:30pm</t>
  </si>
  <si>
    <t xml:space="preserve">Cariloha Mod</t>
  </si>
  <si>
    <t xml:space="preserve">11:30am-2:00pm</t>
  </si>
  <si>
    <t xml:space="preserve">brand cancel show </t>
  </si>
  <si>
    <t xml:space="preserve">11:00am-12:00pm</t>
  </si>
  <si>
    <t xml:space="preserve">Yoleo Amazon</t>
  </si>
  <si>
    <t xml:space="preserve">Wondamo</t>
  </si>
  <si>
    <t xml:space="preserve">Friday</t>
  </si>
  <si>
    <t xml:space="preserve">Show Cancled, 品牌绑定问题 主播到了</t>
  </si>
  <si>
    <t xml:space="preserve">Wodamo Training</t>
  </si>
  <si>
    <t xml:space="preserve">1:00pm-2:00pm</t>
  </si>
  <si>
    <t xml:space="preserve">11:30am-1:30pm</t>
  </si>
  <si>
    <t xml:space="preserve">AAron (Sophia)</t>
  </si>
  <si>
    <t xml:space="preserve">Wondamo Mod</t>
  </si>
  <si>
    <t xml:space="preserve">1:30pm-4:00pm</t>
  </si>
  <si>
    <t xml:space="preserve">TOPDON</t>
  </si>
  <si>
    <t xml:space="preserve">Ali Kassem</t>
  </si>
  <si>
    <t xml:space="preserve">10:00am-1:30pm</t>
  </si>
  <si>
    <t xml:space="preserve">Daniel Torres Guevara</t>
  </si>
  <si>
    <t xml:space="preserve"> extra 0.5hr for preview video shooting</t>
  </si>
  <si>
    <t xml:space="preserve">9:30am-12:00pm</t>
  </si>
  <si>
    <t xml:space="preserve">TOPDON Training</t>
  </si>
  <si>
    <t xml:space="preserve">TOPDON Mod</t>
  </si>
  <si>
    <t xml:space="preserve">April</t>
  </si>
  <si>
    <t xml:space="preserve">Calvin</t>
  </si>
  <si>
    <t xml:space="preserve">9:00am-2:00pm</t>
  </si>
  <si>
    <t xml:space="preserve">9:30am-1:00pm</t>
  </si>
  <si>
    <t xml:space="preserve">8:30am-7:00pm</t>
  </si>
  <si>
    <t xml:space="preserve">cam</t>
  </si>
  <si>
    <t xml:space="preserve"> Topdon shokz oedro看播复盘数据 设置场地 training</t>
  </si>
  <si>
    <t xml:space="preserve">shokzUS</t>
  </si>
  <si>
    <t xml:space="preserve">shokz</t>
  </si>
  <si>
    <t xml:space="preserve">Kory Getman</t>
  </si>
  <si>
    <t xml:space="preserve">12:00pm-12:30pm</t>
  </si>
  <si>
    <t xml:space="preserve">12:30pm-2:00pm</t>
  </si>
  <si>
    <t xml:space="preserve">Tanner Kenneth Bjorklund</t>
  </si>
  <si>
    <t xml:space="preserve">Keith Comley</t>
  </si>
  <si>
    <t xml:space="preserve">12:00pm-3:00pm</t>
  </si>
  <si>
    <t xml:space="preserve">11:00am-3:00pm</t>
  </si>
  <si>
    <t xml:space="preserve">shokz mod</t>
  </si>
  <si>
    <t xml:space="preserve">8:45am-12:00pm</t>
  </si>
  <si>
    <t xml:space="preserve">shokz training</t>
  </si>
  <si>
    <t xml:space="preserve">8:45am-1:00pm</t>
  </si>
  <si>
    <t xml:space="preserve">Shokz Training 主播时间统筹 统计样品</t>
  </si>
  <si>
    <t xml:space="preserve">Orlando Sebastian Ibanez</t>
  </si>
  <si>
    <t xml:space="preserve">2:30pm-4:30pm</t>
  </si>
  <si>
    <t xml:space="preserve">1:00pm-3:00pm</t>
  </si>
  <si>
    <t xml:space="preserve">Stephanie Reyes</t>
  </si>
  <si>
    <t xml:space="preserve">2:00pm-7:00pm</t>
  </si>
  <si>
    <t xml:space="preserve">复盘+方案+会议数据+周会</t>
  </si>
  <si>
    <t xml:space="preserve">12:00pm-5:00pm</t>
  </si>
  <si>
    <t xml:space="preserve">Training + 复盘数据 + 协调主播 + 做贴片</t>
  </si>
  <si>
    <t xml:space="preserve">8:45am-9:15pm</t>
  </si>
  <si>
    <t xml:space="preserve"> 复盘 Topdon话术调整 拍视频 协调排班 新场地场景设置</t>
  </si>
  <si>
    <t xml:space="preserve">Bluetti</t>
  </si>
  <si>
    <t xml:space="preserve">7:00pm-9:00pm</t>
  </si>
  <si>
    <t xml:space="preserve">4:00pm-7:30pm</t>
  </si>
  <si>
    <t xml:space="preserve">7:30pm-10:00pm</t>
  </si>
  <si>
    <t xml:space="preserve">7:00pm-11:00pm</t>
  </si>
  <si>
    <t xml:space="preserve">1:30pm-7:30pm</t>
  </si>
  <si>
    <t xml:space="preserve">7:30pm-9:30pm</t>
  </si>
  <si>
    <t xml:space="preserve">Bluetti Training</t>
  </si>
  <si>
    <t xml:space="preserve">7:00pm-8:00pm</t>
  </si>
  <si>
    <t xml:space="preserve">Bluetti Mod</t>
  </si>
  <si>
    <t xml:space="preserve">Ismael</t>
  </si>
  <si>
    <t xml:space="preserve">MOD+数据</t>
  </si>
  <si>
    <t xml:space="preserve">4:00pm-9:00pm</t>
  </si>
  <si>
    <t xml:space="preserve">Lourdes Urquiza</t>
  </si>
  <si>
    <t xml:space="preserve">7:00pm-10:00pm</t>
  </si>
  <si>
    <t xml:space="preserve">8:00pm-11:30pm</t>
  </si>
  <si>
    <t xml:space="preserve">1:30pm-7:00pm</t>
  </si>
  <si>
    <t xml:space="preserve">7:00pm-9:30pm</t>
  </si>
  <si>
    <t xml:space="preserve">Aosom</t>
  </si>
  <si>
    <t xml:space="preserve">Juan</t>
  </si>
  <si>
    <t xml:space="preserve">主播流感临时取消</t>
  </si>
  <si>
    <t xml:space="preserve">Abdul(Simba)</t>
  </si>
  <si>
    <t xml:space="preserve">主播没来</t>
  </si>
  <si>
    <t xml:space="preserve">12:00pm-2:30pm</t>
  </si>
  <si>
    <t xml:space="preserve">11:45am-2:45pm</t>
  </si>
  <si>
    <t xml:space="preserve">ouyang/Christian</t>
  </si>
  <si>
    <t xml:space="preserve">christian主mod+training，ouyang盯</t>
  </si>
  <si>
    <t xml:space="preserve">new studio outside</t>
  </si>
  <si>
    <t xml:space="preserve">Aosom mod</t>
  </si>
  <si>
    <t xml:space="preserve">9:45am-1:00pm</t>
  </si>
  <si>
    <t xml:space="preserve">原mod aosom，后主播请假，改培训efurden和收集wattcycle问题</t>
  </si>
  <si>
    <t xml:space="preserve">11:30am-3:00pm</t>
  </si>
  <si>
    <t xml:space="preserve">10:45am-3:00pm</t>
  </si>
  <si>
    <t xml:space="preserve">盯播+train christian</t>
  </si>
  <si>
    <t xml:space="preserve">10:45am-2:00pm</t>
  </si>
  <si>
    <t xml:space="preserve">Aosom training</t>
  </si>
  <si>
    <t xml:space="preserve">Qinke Li</t>
  </si>
  <si>
    <t xml:space="preserve">8:00pm-8:30pm</t>
  </si>
  <si>
    <t xml:space="preserve">Aosom 周会</t>
  </si>
  <si>
    <t xml:space="preserve">7:00pm-7:30pm</t>
  </si>
  <si>
    <t xml:space="preserve">Aosom周会复盘报告</t>
  </si>
  <si>
    <t xml:space="preserve">Aosom Video Shooting</t>
  </si>
  <si>
    <t xml:space="preserve">3:00pm-3:30pm</t>
  </si>
  <si>
    <t xml:space="preserve">Oedro</t>
  </si>
  <si>
    <t xml:space="preserve">5:30pm-7:30pm</t>
  </si>
  <si>
    <t xml:space="preserve">Oedro mod</t>
  </si>
  <si>
    <t xml:space="preserve">4:30pm-7:15pm</t>
  </si>
  <si>
    <t xml:space="preserve">2:30pm-7:15pm</t>
  </si>
  <si>
    <t xml:space="preserve">2:30pm-6:15pm</t>
  </si>
  <si>
    <t xml:space="preserve">Oedro training</t>
  </si>
  <si>
    <t xml:space="preserve">5:00pm-9:00pm</t>
  </si>
  <si>
    <t xml:space="preserve">oedro数据 方案 复盘 周会</t>
  </si>
  <si>
    <t xml:space="preserve">8:30am-6:00pm</t>
  </si>
  <si>
    <t xml:space="preserve">开播 train主播 盯播 复盘 排班</t>
  </si>
  <si>
    <t xml:space="preserve">Creality</t>
  </si>
  <si>
    <t xml:space="preserve">4:15pm-6:30pm</t>
  </si>
  <si>
    <t xml:space="preserve">Creality training</t>
  </si>
  <si>
    <t xml:space="preserve">Creality mod</t>
  </si>
  <si>
    <t xml:space="preserve">12:00pm-5:30pm</t>
  </si>
  <si>
    <t xml:space="preserve">12:00pm-8:00pm</t>
  </si>
  <si>
    <t xml:space="preserve">12:30pm-4:00pm</t>
  </si>
  <si>
    <t xml:space="preserve">12:00pm-7:00pm</t>
  </si>
  <si>
    <t xml:space="preserve">Bluetti大促准备，拍视频，mod，复盘</t>
  </si>
  <si>
    <t xml:space="preserve">修机器，mod一小时</t>
  </si>
  <si>
    <t xml:space="preserve">11:00am-8:00pm</t>
  </si>
  <si>
    <t xml:space="preserve">train，mod，复盘</t>
  </si>
  <si>
    <t xml:space="preserve">Efurden</t>
  </si>
  <si>
    <t xml:space="preserve">Efurden mod</t>
  </si>
  <si>
    <t xml:space="preserve">7:30pm-8:00pm</t>
  </si>
  <si>
    <t xml:space="preserve">efurden开会</t>
  </si>
  <si>
    <t xml:space="preserve">12:00pm-6:00pm</t>
  </si>
  <si>
    <t xml:space="preserve">周复盘，train主播，优化</t>
  </si>
  <si>
    <t xml:space="preserve">train 主播，优化</t>
  </si>
  <si>
    <t xml:space="preserve">1:00pm-6:00pm</t>
  </si>
  <si>
    <t xml:space="preserve">train Anthony、qinke+排班</t>
  </si>
  <si>
    <t xml:space="preserve">4:00pm-5:30pm</t>
  </si>
  <si>
    <t xml:space="preserve">Efurden training</t>
  </si>
  <si>
    <t xml:space="preserve">4:30pm-6:30pm</t>
  </si>
  <si>
    <t xml:space="preserve">ouyang train efurden</t>
  </si>
  <si>
    <t xml:space="preserve">Wavytalk（周播32H目标）</t>
  </si>
  <si>
    <t xml:space="preserve">Wavytalk</t>
  </si>
  <si>
    <t xml:space="preserve">8:00am-12:00pm</t>
  </si>
  <si>
    <t xml:space="preserve">Jillian Reeves</t>
  </si>
  <si>
    <t xml:space="preserve">Madox</t>
  </si>
  <si>
    <t xml:space="preserve">Fiona</t>
  </si>
  <si>
    <t xml:space="preserve">Lourdes</t>
  </si>
  <si>
    <t xml:space="preserve">Joy</t>
  </si>
  <si>
    <t xml:space="preserve">Asante Randall</t>
  </si>
  <si>
    <t xml:space="preserve">Izzy</t>
  </si>
  <si>
    <t xml:space="preserve">9:00pm - 12:00am</t>
  </si>
  <si>
    <t xml:space="preserve">Audrey Forrester</t>
  </si>
  <si>
    <t xml:space="preserve">Wavytalk Mod</t>
  </si>
  <si>
    <t xml:space="preserve">Madox Dorsey</t>
  </si>
  <si>
    <t xml:space="preserve">Fiona Lee</t>
  </si>
  <si>
    <t xml:space="preserve">Joy Hou</t>
  </si>
  <si>
    <t xml:space="preserve">Izzy Mu</t>
  </si>
  <si>
    <t xml:space="preserve">9:00pm-12:00am</t>
  </si>
  <si>
    <t xml:space="preserve">8:00am-11:00am</t>
  </si>
  <si>
    <t xml:space="preserve">VW</t>
  </si>
  <si>
    <t xml:space="preserve">VR1-3</t>
  </si>
  <si>
    <t xml:space="preserve">Fiona5-8</t>
  </si>
  <si>
    <t xml:space="preserve">VR</t>
  </si>
  <si>
    <t xml:space="preserve">9:15am-1:00pm</t>
  </si>
  <si>
    <t xml:space="preserve">Victoria Williams</t>
  </si>
  <si>
    <t xml:space="preserve">8:00am-10:00am</t>
  </si>
  <si>
    <t xml:space="preserve">8:00am - 11:00am</t>
  </si>
  <si>
    <t xml:space="preserve">11:00am - 2:00pm</t>
  </si>
  <si>
    <t xml:space="preserve">2:00pm -4:00pm</t>
  </si>
  <si>
    <t xml:space="preserve">场控临时取消</t>
  </si>
  <si>
    <t xml:space="preserve">自己取消</t>
  </si>
  <si>
    <t xml:space="preserve">8:00pm-12:00am</t>
  </si>
  <si>
    <t xml:space="preserve">Sunday</t>
  </si>
  <si>
    <t xml:space="preserve">4:00pm-8:00pm</t>
  </si>
  <si>
    <t xml:space="preserve">WavyTalk Amazon</t>
  </si>
  <si>
    <t xml:space="preserve">Wavytalk Amazon</t>
  </si>
  <si>
    <t xml:space="preserve">Wavytalk Amazon Mod</t>
  </si>
  <si>
    <t xml:space="preserve">5:00pm - 9:00pm</t>
  </si>
  <si>
    <t xml:space="preserve">Grace Karin（周播15H目标）</t>
  </si>
  <si>
    <t xml:space="preserve">Grace Karin</t>
  </si>
  <si>
    <t xml:space="preserve">10:30am-1:00pm</t>
  </si>
  <si>
    <t xml:space="preserve">Rachel Jackson</t>
  </si>
  <si>
    <t xml:space="preserve">10:00am-1:15pm</t>
  </si>
  <si>
    <t xml:space="preserve">Grace Karin Mod</t>
  </si>
  <si>
    <t xml:space="preserve">9:00am-1:30pm</t>
  </si>
  <si>
    <t xml:space="preserve">9:15am-1:30pm</t>
  </si>
  <si>
    <t xml:space="preserve">Grace Karin Training</t>
  </si>
  <si>
    <t xml:space="preserve">YMQ - Carplay</t>
  </si>
  <si>
    <t xml:space="preserve">YMQ - CarPlay</t>
  </si>
  <si>
    <t xml:space="preserve">YMQ- Training</t>
  </si>
  <si>
    <t xml:space="preserve">4:00pm - 6:30pm</t>
  </si>
  <si>
    <t xml:space="preserve">YMQ-Mod</t>
  </si>
  <si>
    <t xml:space="preserve">11:00am - 1:00pm</t>
  </si>
  <si>
    <t xml:space="preserve">2:00pm - 6:00pm</t>
  </si>
  <si>
    <t xml:space="preserve">1:00pm -6:30pm</t>
  </si>
  <si>
    <t xml:space="preserve">11:00am - 11:00pm</t>
  </si>
  <si>
    <t xml:space="preserve">4:00pm - 11:00pm</t>
  </si>
  <si>
    <t xml:space="preserve">THERUN</t>
  </si>
  <si>
    <t xml:space="preserve">5:00pm - 7:00pm</t>
  </si>
  <si>
    <t xml:space="preserve">1:00pm - 3:00pm</t>
  </si>
  <si>
    <t xml:space="preserve">THERUN Training</t>
  </si>
  <si>
    <t xml:space="preserve">12:00pm - 1:00pm</t>
  </si>
  <si>
    <t xml:space="preserve">4:00pm - 7:00pm</t>
  </si>
  <si>
    <t xml:space="preserve">Yoleo-The Run Mod</t>
  </si>
  <si>
    <t xml:space="preserve">4:00pm - 8:00pm</t>
  </si>
  <si>
    <t xml:space="preserve">9:00pm - 11:00pm</t>
  </si>
  <si>
    <t xml:space="preserve">Yianna（周播48H目标）</t>
  </si>
  <si>
    <t xml:space="preserve">Yianna</t>
  </si>
  <si>
    <t xml:space="preserve">Yianna Mod</t>
  </si>
  <si>
    <t xml:space="preserve">2:50pm-6:00pm</t>
  </si>
  <si>
    <t xml:space="preserve">Stephanie Espinal</t>
  </si>
  <si>
    <t xml:space="preserve">Fenix</t>
  </si>
  <si>
    <t xml:space="preserve">3:23pm-6:00pm</t>
  </si>
  <si>
    <t/>
    <r>
      <rPr>
        <u val="single"/>
        <color theme="10"/>
      </rPr>
      <t xml:space="preserve">@Xinyi Ma</t>
    </r>
  </si>
  <si>
    <t xml:space="preserve">2:50pm-4:30pm</t>
  </si>
  <si>
    <t/>
    <r>
      <rPr>
        <u val="single"/>
        <color theme="10"/>
      </rPr>
      <t xml:space="preserve">@Xinyi Ma</t>
    </r>
  </si>
  <si>
    <t xml:space="preserve">4:30pm-9:00pm</t>
  </si>
  <si>
    <t xml:space="preserve">Yianna Training</t>
  </si>
  <si>
    <t xml:space="preserve">2:30pm-3:00pm</t>
  </si>
  <si>
    <t xml:space="preserve">2:55pm-5:30pm</t>
  </si>
  <si>
    <t xml:space="preserve">4:30pm-7:00pm</t>
  </si>
  <si>
    <t xml:space="preserve">Lovevook（周播24H目标）周六大场</t>
  </si>
  <si>
    <t xml:space="preserve">Lovevook</t>
  </si>
  <si>
    <t xml:space="preserve">Kristina Dow</t>
  </si>
  <si>
    <t/>
    <r>
      <rPr>
        <u val="single"/>
        <color theme="10"/>
      </rPr>
      <t xml:space="preserve">@Zixuan Wang</t>
    </r>
  </si>
  <si>
    <t xml:space="preserve">Lovevook Mod</t>
  </si>
  <si>
    <t xml:space="preserve">1:45pm-6:10pm</t>
  </si>
  <si>
    <t xml:space="preserve">Yifan Li (Nickie)</t>
  </si>
  <si>
    <t xml:space="preserve">Lovevook Training</t>
  </si>
  <si>
    <t xml:space="preserve">Laura McGlynn</t>
  </si>
  <si>
    <t/>
    <r>
      <rPr>
        <u val="single"/>
        <color theme="10"/>
      </rPr>
      <t xml:space="preserve">@Zixuan Wang</t>
    </r>
  </si>
  <si>
    <t xml:space="preserve">9:00pm-10:00pm</t>
  </si>
  <si>
    <t xml:space="preserve">Roxy Star</t>
  </si>
  <si>
    <t xml:space="preserve">5:40pm-10:10pm</t>
  </si>
  <si>
    <t xml:space="preserve">4:45pm-5:25pm</t>
  </si>
  <si>
    <t xml:space="preserve">2:30pm-6:30pm</t>
  </si>
  <si>
    <t xml:space="preserve">2:10pm-6:40pm</t>
  </si>
  <si>
    <t xml:space="preserve">1:40pm-6:10pm</t>
  </si>
  <si>
    <t xml:space="preserve">Younique Nails</t>
  </si>
  <si>
    <t xml:space="preserve">Younique Nails Training</t>
  </si>
  <si>
    <t xml:space="preserve">7:30pm-9:00pm</t>
  </si>
  <si>
    <t/>
    <r>
      <rPr>
        <u val="single"/>
        <color theme="10"/>
      </rPr>
      <t xml:space="preserve">@Zixuan Wang</t>
    </r>
  </si>
  <si>
    <t xml:space="preserve">Younique Nails Mod</t>
  </si>
  <si>
    <t xml:space="preserve">6:45pm-8:00pm</t>
  </si>
  <si>
    <t xml:space="preserve">场控取消</t>
  </si>
  <si>
    <t xml:space="preserve">Sabrina Cortes</t>
  </si>
  <si>
    <t/>
    <r>
      <rPr>
        <u val="single"/>
        <color theme="10"/>
      </rPr>
      <t xml:space="preserve">@Zixuan Wang</t>
    </r>
  </si>
  <si>
    <t xml:space="preserve">1:00pm-2:30pm</t>
  </si>
  <si>
    <t xml:space="preserve">Xiangling Li (Lexi)</t>
  </si>
  <si>
    <t xml:space="preserve">covid，取消</t>
  </si>
  <si>
    <t xml:space="preserve">1:30pm-3:00pm</t>
  </si>
  <si>
    <t/>
    <r>
      <rPr>
        <u val="single"/>
        <color theme="10"/>
      </rPr>
      <t xml:space="preserve">@Zixuan Wang</t>
    </r>
  </si>
  <si>
    <t xml:space="preserve">6:45pm-10:00pm</t>
  </si>
  <si>
    <t xml:space="preserve">DJI</t>
  </si>
  <si>
    <t xml:space="preserve">运营（写清楚场控跟播的时间段）</t>
  </si>
  <si>
    <t xml:space="preserve">Back up</t>
  </si>
  <si>
    <t xml:space="preserve">Bagsmart Travel</t>
  </si>
  <si>
    <t xml:space="preserve">Q</t>
  </si>
  <si>
    <t xml:space="preserve">9:00pm-11:00pm</t>
  </si>
  <si>
    <t xml:space="preserve">3:45pm-6:30pm</t>
  </si>
  <si>
    <t xml:space="preserve">Ian</t>
  </si>
  <si>
    <t xml:space="preserve">6:30pm-9:00pm</t>
  </si>
  <si>
    <t xml:space="preserve">Byron</t>
  </si>
  <si>
    <t xml:space="preserve">3:45pm-7:00pm</t>
  </si>
  <si>
    <t xml:space="preserve">Wanyi</t>
  </si>
  <si>
    <t xml:space="preserve">3:00pm-6:30pm</t>
  </si>
  <si>
    <t xml:space="preserve">Bagsmart Travel Mod</t>
  </si>
  <si>
    <t xml:space="preserve">3:45pm-6:00pm</t>
  </si>
  <si>
    <t xml:space="preserve">Ian Sandvik</t>
  </si>
  <si>
    <t xml:space="preserve">3:45pm-9:00pm</t>
  </si>
  <si>
    <t xml:space="preserve">30 minutes break in between</t>
  </si>
  <si>
    <t xml:space="preserve">3:00pm-9:00pm</t>
  </si>
  <si>
    <t xml:space="preserve">Wanyi Zhao</t>
  </si>
  <si>
    <t xml:space="preserve">我们这边临时取消</t>
  </si>
  <si>
    <t xml:space="preserve">Bagsmart Training</t>
  </si>
  <si>
    <t xml:space="preserve">first 30minutes training</t>
  </si>
  <si>
    <t xml:space="preserve">4:30pm-9:30pm</t>
  </si>
  <si>
    <t xml:space="preserve">5:30pm-6:00pm</t>
  </si>
  <si>
    <t xml:space="preserve">Bagsmart Lifestyle</t>
  </si>
  <si>
    <t xml:space="preserve">Victoria</t>
  </si>
  <si>
    <t xml:space="preserve">10:15am-1:15pm</t>
  </si>
  <si>
    <t xml:space="preserve">Bagsmart Lifstyle Mod</t>
  </si>
  <si>
    <t xml:space="preserve">9:45am-1:15pm</t>
  </si>
  <si>
    <t xml:space="preserve">8:45am-12:15pm</t>
  </si>
  <si>
    <t xml:space="preserve">7:45am-11:15am</t>
  </si>
  <si>
    <t xml:space="preserve">9:45am-1:45pm</t>
  </si>
  <si>
    <t xml:space="preserve">UMi</t>
  </si>
  <si>
    <t/>
    <r>
      <rPr>
        <u val="single"/>
        <color theme="10"/>
      </rPr>
      <t xml:space="preserve">@Liqi Mao</t>
    </r>
  </si>
  <si>
    <t xml:space="preserve">UMi Mod</t>
  </si>
  <si>
    <t xml:space="preserve">7:30pm-10:30pm</t>
  </si>
  <si>
    <t xml:space="preserve">7:15pm-10:30pm</t>
  </si>
  <si>
    <t xml:space="preserve">11:45am-3:00pm</t>
  </si>
  <si>
    <t xml:space="preserve">UMi Training</t>
  </si>
  <si>
    <t xml:space="preserve">6:00pm-6:30pm</t>
  </si>
  <si>
    <t xml:space="preserve">4:00pm-4:30pm</t>
  </si>
  <si>
    <t xml:space="preserve">5:45pm-9:00pm</t>
  </si>
  <si>
    <t xml:space="preserve">1:30pm-2:00pm</t>
  </si>
  <si>
    <t xml:space="preserve">DCSVIP</t>
  </si>
  <si>
    <t xml:space="preserve">7:30pm-8:30pm</t>
  </si>
  <si>
    <t/>
    <r>
      <rPr>
        <u val="single"/>
        <color theme="10"/>
      </rPr>
      <t xml:space="preserve">@Liqi Mao</t>
    </r>
  </si>
  <si>
    <t xml:space="preserve">DCSVIP Mod</t>
  </si>
  <si>
    <t xml:space="preserve">1:30pm-3:30pm</t>
  </si>
  <si>
    <t xml:space="preserve">1:00pm-3:30pm</t>
  </si>
  <si>
    <t xml:space="preserve">Saturday</t>
  </si>
  <si>
    <t xml:space="preserve">Aelfric Eden</t>
  </si>
  <si>
    <t xml:space="preserve">5:45pm-8:00pm</t>
  </si>
  <si>
    <t xml:space="preserve">8:00pm-10:00pm</t>
  </si>
  <si>
    <t xml:space="preserve">Aelfric Eden Mod</t>
  </si>
  <si>
    <t xml:space="preserve">5:45pm-10:00pm</t>
  </si>
  <si>
    <t xml:space="preserve">4:45pm-9:00pm</t>
  </si>
  <si>
    <t xml:space="preserve">izzy</t>
  </si>
  <si>
    <t xml:space="preserve">Isabelle Lauderdale</t>
  </si>
  <si>
    <t xml:space="preserve">AE大场</t>
  </si>
  <si>
    <t xml:space="preserve">Quinn</t>
  </si>
  <si>
    <t xml:space="preserve">Maskert Girl</t>
  </si>
  <si>
    <t xml:space="preserve">主播当天自己取消</t>
  </si>
  <si>
    <t xml:space="preserve">Maskert Girl Mod</t>
  </si>
  <si>
    <t xml:space="preserve">11:45am-2:00pm</t>
  </si>
  <si>
    <t xml:space="preserve">3:15pm-5:15pm</t>
  </si>
  <si>
    <t xml:space="preserve">Zoey madox</t>
  </si>
  <si>
    <t xml:space="preserve">1:00pm-5:25pm</t>
  </si>
  <si>
    <t xml:space="preserve">Treshon Lyniece Jenkins</t>
  </si>
  <si>
    <t xml:space="preserve">10:45am-1:15pm</t>
  </si>
  <si>
    <t xml:space="preserve">12:45pm-3:00pm</t>
  </si>
  <si>
    <t xml:space="preserve">zoey</t>
  </si>
  <si>
    <t xml:space="preserve">7:45pm-10:00pm</t>
  </si>
  <si>
    <t xml:space="preserve">9:45am-12:00pm</t>
  </si>
  <si>
    <t xml:space="preserve">Maskert Girl Training</t>
  </si>
  <si>
    <t xml:space="preserve">Zoey</t>
  </si>
  <si>
    <t xml:space="preserve">Maskert Girl Mod Training</t>
  </si>
  <si>
    <t xml:space="preserve">1:40pm-7:40pm</t>
  </si>
  <si>
    <t xml:space="preserve">Mobeso</t>
  </si>
  <si>
    <t xml:space="preserve">Mobeso Mod</t>
  </si>
  <si>
    <t xml:space="preserve">10:45am-1:00pm</t>
  </si>
  <si>
    <t xml:space="preserve">1:15pm-3:15pm</t>
  </si>
  <si>
    <t xml:space="preserve">1:00pm-5:15pm</t>
  </si>
  <si>
    <t xml:space="preserve">Basic Training</t>
  </si>
  <si>
    <t xml:space="preserve">11:00am-1:30pm</t>
  </si>
  <si>
    <t xml:space="preserve">Laura McGlynn</t>
  </si>
  <si>
    <t xml:space="preserve">Miya</t>
  </si>
  <si>
    <t xml:space="preserve">3619 Eastham Drive</t>
  </si>
  <si>
    <t xml:space="preserve">YES</t>
  </si>
  <si>
    <t xml:space="preserve">Monday</t>
  </si>
  <si>
    <t xml:space="preserve">Treshon Lyniece Jenkins</t>
  </si>
  <si>
    <t xml:space="preserve">Stella Daley</t>
  </si>
  <si>
    <t xml:space="preserve">Wednesday</t>
  </si>
  <si>
    <t xml:space="preserve">Marian Ebhamen</t>
  </si>
  <si>
    <t xml:space="preserve">Assiya Louahabi</t>
  </si>
  <si>
    <t xml:space="preserve">Fenix</t>
  </si>
  <si>
    <t xml:space="preserve">Thursday</t>
  </si>
  <si>
    <t xml:space="preserve">3:00pm-7:00pm</t>
  </si>
  <si>
    <t xml:space="preserve">Shirley</t>
  </si>
  <si>
    <t xml:space="preserve">ace</t>
  </si>
  <si>
    <t xml:space="preserve">8461 Higuera Street</t>
  </si>
  <si>
    <t xml:space="preserve">Video Shoot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</si>
  <si>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</si>
  <si>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</si>
  <si>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</si>
  <si>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</si>
  <si>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</si>
  <si>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</si>
  <si>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</si>
  <si>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</si>
  <si>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</si>
  <si>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雅迪电动车Video Shooting</t>
  </si>
  <si>
    <t xml:space="preserve">10:30am-12:30pm</t>
  </si>
  <si>
    <t xml:space="preserve">B-ROLL Shooting</t>
  </si>
  <si>
    <t xml:space="preserve">10:30am-1:30pm</t>
  </si>
  <si>
    <t xml:space="preserve">徕芬Video Shooting</t>
  </si>
  <si>
    <t xml:space="preserve">PENDING</t>
  </si>
  <si>
    <t xml:space="preserve">VEVOR TOOL（周播30小时目标）</t>
  </si>
  <si>
    <t xml:space="preserve">Mod（写清楚场控跟播的时间段）</t>
  </si>
  <si>
    <t xml:space="preserve">VEVOR TOOL</t>
  </si>
  <si>
    <t xml:space="preserve">7:30pm-10:30pm</t>
  </si>
  <si>
    <t xml:space="preserve">Anthony Traina</t>
  </si>
  <si>
    <t xml:space="preserve">7:00pm-10:00pm</t>
  </si>
  <si>
    <t xml:space="preserve">VEVOR TOOL Training</t>
  </si>
  <si>
    <t xml:space="preserve">8:30pm-10:30pm</t>
  </si>
  <si>
    <t xml:space="preserve">Nick R</t>
  </si>
  <si>
    <t xml:space="preserve">VEVOR TOOL Mod</t>
  </si>
  <si>
    <t xml:space="preserve">4:00pm-6:00pm</t>
  </si>
  <si>
    <t xml:space="preserve">William Dennis</t>
  </si>
  <si>
    <t xml:space="preserve">Lesure</t>
  </si>
  <si>
    <t xml:space="preserve">Lesure Training</t>
  </si>
  <si>
    <t xml:space="preserve">10:30am - 11:30am</t>
  </si>
  <si>
    <t xml:space="preserve">Victoria Williams</t>
  </si>
  <si>
    <t xml:space="preserve">Ivy</t>
  </si>
  <si>
    <t xml:space="preserve">11:30am - 2:30pm</t>
  </si>
  <si>
    <t xml:space="preserve">Ava Gold</t>
  </si>
  <si>
    <t xml:space="preserve">Ziyi</t>
  </si>
  <si>
    <t xml:space="preserve">3:00pm - 6:00pm</t>
  </si>
  <si>
    <t xml:space="preserve">Samuel Solomon</t>
  </si>
  <si>
    <t xml:space="preserve">10:00am - 1:00pm</t>
  </si>
  <si>
    <t xml:space="preserve">Iris (Alexis) Perry</t>
  </si>
  <si>
    <t xml:space="preserve">11:00am - 2:00pm</t>
  </si>
  <si>
    <t xml:space="preserve">12:00pm - 3:00pm</t>
  </si>
  <si>
    <t xml:space="preserve">Lesure Mod</t>
  </si>
  <si>
    <t xml:space="preserve">11:00am - 3:00pm</t>
  </si>
  <si>
    <t xml:space="preserve">ziyi</t>
  </si>
  <si>
    <t xml:space="preserve">2:30pm - 6:30pm</t>
  </si>
  <si>
    <t xml:space="preserve">10:30am - 2:30pm</t>
  </si>
  <si>
    <t xml:space="preserve">11:30am - 3:30pm</t>
  </si>
  <si>
    <t xml:space="preserve">12:00pm - 4:00pm</t>
  </si>
  <si>
    <t xml:space="preserve">Joyin</t>
  </si>
  <si>
    <t xml:space="preserve">Joyin Training</t>
  </si>
  <si>
    <t xml:space="preserve">5:00pm - 6:00pm</t>
  </si>
  <si>
    <t xml:space="preserve">Piper Bingham</t>
  </si>
  <si>
    <t xml:space="preserve">5:30pm - 6:00pm</t>
  </si>
  <si>
    <t xml:space="preserve">6:00pm - 8:00pm</t>
  </si>
  <si>
    <t xml:space="preserve">Jennie Marie Pacelli</t>
  </si>
  <si>
    <t xml:space="preserve">7:00pm - 9:00pm</t>
  </si>
  <si>
    <t xml:space="preserve">Mariana Quezada</t>
  </si>
  <si>
    <t xml:space="preserve">主播离职取消 不pay</t>
  </si>
  <si>
    <t xml:space="preserve">3:00pm - 4:00pm</t>
  </si>
  <si>
    <t xml:space="preserve">6:30pm - 7:00pm</t>
  </si>
  <si>
    <t xml:space="preserve">6:00pm - 10:00pm</t>
  </si>
  <si>
    <t xml:space="preserve">Live 6-9</t>
  </si>
  <si>
    <t xml:space="preserve">6:00pm - 11:00pm</t>
  </si>
  <si>
    <t xml:space="preserve">Live 6-10</t>
  </si>
  <si>
    <t xml:space="preserve">6:00pm - 9:00pm</t>
  </si>
  <si>
    <t xml:space="preserve">live 6:30-9</t>
  </si>
  <si>
    <t xml:space="preserve">9:00pm - 11:30pm</t>
  </si>
  <si>
    <t xml:space="preserve">live 9-10:30</t>
  </si>
  <si>
    <t xml:space="preserve">5:00pm - 10:00pm</t>
  </si>
  <si>
    <t xml:space="preserve">Live 5-9</t>
  </si>
  <si>
    <t xml:space="preserve">7:45pm - 11:45pm</t>
  </si>
  <si>
    <t xml:space="preserve">Live 7:45-10:45</t>
  </si>
  <si>
    <t xml:space="preserve">David Archy</t>
  </si>
  <si>
    <t xml:space="preserve">David Archy Training</t>
  </si>
  <si>
    <t xml:space="preserve">12:00pm - 2:00pm</t>
  </si>
  <si>
    <t xml:space="preserve">Suzy LeQ</t>
  </si>
  <si>
    <t xml:space="preserve">1:30pm - 2:30pm</t>
  </si>
  <si>
    <t xml:space="preserve">Cassi</t>
  </si>
  <si>
    <t xml:space="preserve">10:00am - 12:00pm</t>
  </si>
  <si>
    <t xml:space="preserve">Magdalena Zielonka</t>
  </si>
  <si>
    <t xml:space="preserve">4:00pm - 6:00pm</t>
  </si>
  <si>
    <t xml:space="preserve">Papablic</t>
  </si>
  <si>
    <t xml:space="preserve"> </t>
  </si>
  <si>
    <t xml:space="preserve">Papablic Training</t>
  </si>
  <si>
    <t xml:space="preserve">2:00pm - 4:00pm</t>
  </si>
  <si>
    <t xml:space="preserve">2:30pm - 3:30pm</t>
  </si>
  <si>
    <t xml:space="preserve">1:30pm - 3:30pm</t>
  </si>
  <si>
    <t xml:space="preserve">Jessie Canizales</t>
  </si>
  <si>
    <t xml:space="preserve">11:00am - 12:00pm</t>
  </si>
  <si>
    <t xml:space="preserve">Xtool</t>
  </si>
  <si>
    <t xml:space="preserve">每周目标23h</t>
  </si>
  <si>
    <t xml:space="preserve">5:00pm-7:00pm</t>
  </si>
  <si>
    <t xml:space="preserve">7:00pm-9:00pm</t>
  </si>
  <si>
    <t xml:space="preserve">Joseph Davis Massingill</t>
  </si>
  <si>
    <t xml:space="preserve">4:30pm-6:30pm</t>
  </si>
  <si>
    <t xml:space="preserve">6:30pm-8:30pm</t>
  </si>
  <si>
    <t xml:space="preserve">10:00am-2:00pm</t>
  </si>
  <si>
    <t xml:space="preserve">6:00pm-8:00pm</t>
  </si>
  <si>
    <t xml:space="preserve">Daniel Torres Guevara</t>
  </si>
  <si>
    <t xml:space="preserve">8:00pm-10:00pm</t>
  </si>
  <si>
    <t xml:space="preserve">Xtool Training</t>
  </si>
  <si>
    <t xml:space="preserve">6:30pm-9:30pm</t>
  </si>
  <si>
    <t xml:space="preserve">Xtool Mod</t>
  </si>
  <si>
    <t xml:space="preserve">7:00pm-11:00pm</t>
  </si>
  <si>
    <t xml:space="preserve">Venus</t>
  </si>
  <si>
    <t xml:space="preserve">4:00pm-9:30pm</t>
  </si>
  <si>
    <t xml:space="preserve">Izzy Mu</t>
  </si>
  <si>
    <t xml:space="preserve">4:30pm-9:30pm</t>
  </si>
  <si>
    <t xml:space="preserve">4:00pm-8:30pm</t>
  </si>
  <si>
    <t xml:space="preserve">9:30am-2:30pm</t>
  </si>
  <si>
    <t xml:space="preserve">Sophia(Wentao Du)</t>
  </si>
  <si>
    <t xml:space="preserve">11:00am-2:00pm</t>
  </si>
  <si>
    <t xml:space="preserve">5:30pm-10:30pm</t>
  </si>
  <si>
    <t xml:space="preserve">3:00pm-10:00pm</t>
  </si>
  <si>
    <t xml:space="preserve">rita</t>
  </si>
  <si>
    <t xml:space="preserve">改排班，xtoolbts</t>
  </si>
  <si>
    <t xml:space="preserve">9:00pm-10:00pm</t>
  </si>
  <si>
    <t xml:space="preserve">8:00pm-11:00pm</t>
  </si>
  <si>
    <t xml:space="preserve">Wattcycle</t>
  </si>
  <si>
    <t xml:space="preserve">6:00pm-9:00pm</t>
  </si>
  <si>
    <t xml:space="preserve">Luis Moreno</t>
  </si>
  <si>
    <t xml:space="preserve">victoria</t>
  </si>
  <si>
    <t xml:space="preserve">主播临时有事取消</t>
  </si>
  <si>
    <t xml:space="preserve">6:00pm-9:15pm</t>
  </si>
  <si>
    <t xml:space="preserve">Marco Neves</t>
  </si>
  <si>
    <t xml:space="preserve">测ebay，新场地外场</t>
  </si>
  <si>
    <t xml:space="preserve">Christian Zuniga</t>
  </si>
  <si>
    <t xml:space="preserve">品牌想要测试周末流量，临时加</t>
  </si>
  <si>
    <t xml:space="preserve">Wattcycle Mod</t>
  </si>
  <si>
    <t xml:space="preserve">Victoria Rose</t>
  </si>
  <si>
    <t xml:space="preserve">主播取消</t>
  </si>
  <si>
    <t xml:space="preserve">6:00pm-10:00pm</t>
  </si>
  <si>
    <t xml:space="preserve">wenqi ouyang</t>
  </si>
  <si>
    <t xml:space="preserve">mod+复盘</t>
  </si>
  <si>
    <t xml:space="preserve">6:00pm-7:00pm</t>
  </si>
  <si>
    <t xml:space="preserve">shirley学，ouyang帮忙set up+盯播</t>
  </si>
  <si>
    <t xml:space="preserve">5:30pm-10:00pm</t>
  </si>
  <si>
    <t xml:space="preserve">wattcycle mod+放贴片</t>
  </si>
  <si>
    <t xml:space="preserve">2:00pm-7:30pm</t>
  </si>
  <si>
    <t xml:space="preserve">train主播，拍wattcycle预热视频</t>
  </si>
  <si>
    <t xml:space="preserve">11:00pm-12:00am</t>
  </si>
  <si>
    <t xml:space="preserve">watt+aosom+efurden复盘+排班确认</t>
  </si>
  <si>
    <t xml:space="preserve">Wattcycle Training</t>
  </si>
  <si>
    <t xml:space="preserve">ouyang trian</t>
  </si>
  <si>
    <t xml:space="preserve">2:00pm-5:00pm</t>
  </si>
  <si>
    <t xml:space="preserve">7:00pm-8:00pm</t>
  </si>
  <si>
    <t xml:space="preserve">Larq</t>
  </si>
  <si>
    <t xml:space="preserve">每周目标8h</t>
  </si>
  <si>
    <t xml:space="preserve">9:00am-11:00am</t>
  </si>
  <si>
    <t xml:space="preserve">10:00am-12:00pm</t>
  </si>
  <si>
    <t xml:space="preserve">Rose Donahue</t>
  </si>
  <si>
    <t xml:space="preserve">Larq Training</t>
  </si>
  <si>
    <t xml:space="preserve">10:00am-11:00am</t>
  </si>
  <si>
    <t xml:space="preserve">Suzannah Samuel</t>
  </si>
  <si>
    <t xml:space="preserve">Larq Mod</t>
  </si>
  <si>
    <t xml:space="preserve">10:00am-12:30pm</t>
  </si>
  <si>
    <t xml:space="preserve">9:30am-12:30pm</t>
  </si>
  <si>
    <t xml:space="preserve">9:30am-1:00pm</t>
  </si>
  <si>
    <t xml:space="preserve">Momcozy</t>
  </si>
  <si>
    <t xml:space="preserve">12:30pm-3:30pm</t>
  </si>
  <si>
    <t xml:space="preserve">12:30pm-2:30pm</t>
  </si>
  <si>
    <t xml:space="preserve">2:30pm-3:30pm</t>
  </si>
  <si>
    <t xml:space="preserve">4:00pm-7:00pm</t>
  </si>
  <si>
    <t xml:space="preserve">11:00pm-2:00pm</t>
  </si>
  <si>
    <t xml:space="preserve">Kristina Dow</t>
  </si>
  <si>
    <t xml:space="preserve">3620 Eastham Drive</t>
  </si>
  <si>
    <t xml:space="preserve">4:00am-7:00pm</t>
  </si>
  <si>
    <t xml:space="preserve">3621 Eastham Drive</t>
  </si>
  <si>
    <t xml:space="preserve">Momcozy training</t>
  </si>
  <si>
    <t xml:space="preserve">3622 Eastham Drive</t>
  </si>
  <si>
    <t xml:space="preserve">Momcozy Mod</t>
  </si>
  <si>
    <t xml:space="preserve">12:30pm-1:30pm</t>
  </si>
  <si>
    <t xml:space="preserve">Sally</t>
  </si>
  <si>
    <t xml:space="preserve">1:30pm-3:30pm</t>
  </si>
  <si>
    <t xml:space="preserve">12:30am-3:30pm</t>
  </si>
  <si>
    <t xml:space="preserve">4:30pm-7:30pm</t>
  </si>
  <si>
    <t xml:space="preserve">1:00pm-2:00pm</t>
  </si>
  <si>
    <t xml:space="preserve">Govee-亚马逊直播</t>
  </si>
  <si>
    <t xml:space="preserve">TOPDON</t>
  </si>
  <si>
    <t xml:space="preserve">1:00pm-4:00pm</t>
  </si>
  <si>
    <t xml:space="preserve">11:30am-2:30pm</t>
  </si>
  <si>
    <t xml:space="preserve">9:00am-12:00pm</t>
  </si>
  <si>
    <t xml:space="preserve">10:00am-1:00pm</t>
  </si>
  <si>
    <t xml:space="preserve">Ali Kassem</t>
  </si>
  <si>
    <t xml:space="preserve">TOPDON Mod</t>
  </si>
  <si>
    <t xml:space="preserve">Calvin</t>
  </si>
  <si>
    <t xml:space="preserve">April</t>
  </si>
  <si>
    <t xml:space="preserve">1:00pm-2:30pm</t>
  </si>
  <si>
    <t xml:space="preserve">cam</t>
  </si>
  <si>
    <t xml:space="preserve">shokzUS</t>
  </si>
  <si>
    <t xml:space="preserve">shokz</t>
  </si>
  <si>
    <t xml:space="preserve">9:00am-12:15pm</t>
  </si>
  <si>
    <t xml:space="preserve">Kory Getman</t>
  </si>
  <si>
    <t xml:space="preserve">12:15pm-2:00pm</t>
  </si>
  <si>
    <t xml:space="preserve">12:00pm-3:00pm</t>
  </si>
  <si>
    <t xml:space="preserve">Clark Smith</t>
  </si>
  <si>
    <t xml:space="preserve">8:00am-12:00pm</t>
  </si>
  <si>
    <t xml:space="preserve">Keith Comley</t>
  </si>
  <si>
    <t xml:space="preserve">shokz training</t>
  </si>
  <si>
    <t xml:space="preserve">12:00pm-2:00pm</t>
  </si>
  <si>
    <t xml:space="preserve">2:00pm-4:00pm</t>
  </si>
  <si>
    <t xml:space="preserve">8:00am-11:00am</t>
  </si>
  <si>
    <t xml:space="preserve">11:00am-3:00pm</t>
  </si>
  <si>
    <t xml:space="preserve">shokz mod</t>
  </si>
  <si>
    <t xml:space="preserve">8:45am-2:00pm</t>
  </si>
  <si>
    <t xml:space="preserve">3:00pm-6:45pm</t>
  </si>
  <si>
    <t xml:space="preserve">Shokz复盘 oedro复盘 shokz周会+数据</t>
  </si>
  <si>
    <t xml:space="preserve">8:45am-1:00pm</t>
  </si>
  <si>
    <t xml:space="preserve">Stephanie Reyes</t>
  </si>
  <si>
    <t xml:space="preserve">Tanner Kenneth Bjorklund</t>
  </si>
  <si>
    <t xml:space="preserve">8:45am-12:00pm</t>
  </si>
  <si>
    <t xml:space="preserve">Shokz mod + training + 复盘 + 排班</t>
  </si>
  <si>
    <t xml:space="preserve">9:00am-2:00pm</t>
  </si>
  <si>
    <t xml:space="preserve">协调主播 出topdon方案 复盘 数据</t>
  </si>
  <si>
    <t xml:space="preserve">mod 复盘 排班 协调 培训 主播</t>
  </si>
  <si>
    <t xml:space="preserve">7:30am-11:00am</t>
  </si>
  <si>
    <t xml:space="preserve">Bluetti</t>
  </si>
  <si>
    <t xml:space="preserve">2:00pm-7:00pm</t>
  </si>
  <si>
    <t xml:space="preserve">9:30pm-11:30pm</t>
  </si>
  <si>
    <t xml:space="preserve">7:00pm-9:30pm</t>
  </si>
  <si>
    <t xml:space="preserve">主播个人原因临时请假</t>
  </si>
  <si>
    <t xml:space="preserve">5:00pm-9:00pm</t>
  </si>
  <si>
    <t xml:space="preserve">3:00pm-6:00pm</t>
  </si>
  <si>
    <t xml:space="preserve">Bluetti Training</t>
  </si>
  <si>
    <t xml:space="preserve">1:00pm-3:30pm</t>
  </si>
  <si>
    <t xml:space="preserve">1:00pm-3:00pm</t>
  </si>
  <si>
    <t xml:space="preserve">Bluetti Mod</t>
  </si>
  <si>
    <t xml:space="preserve">1:30pm-6:00pm</t>
  </si>
  <si>
    <t xml:space="preserve">MOD+数据</t>
  </si>
  <si>
    <t xml:space="preserve">5:00pm-9:30pm</t>
  </si>
  <si>
    <t xml:space="preserve">Ismael</t>
  </si>
  <si>
    <t xml:space="preserve">Lourdes Urquiza</t>
  </si>
  <si>
    <t xml:space="preserve">Aosom</t>
  </si>
  <si>
    <t xml:space="preserve">Keith Comly</t>
  </si>
  <si>
    <t xml:space="preserve">calvin</t>
  </si>
  <si>
    <t xml:space="preserve">in yianna place</t>
  </si>
  <si>
    <t xml:space="preserve">11:30am-2:00pm</t>
  </si>
  <si>
    <t xml:space="preserve">ouyang/sally</t>
  </si>
  <si>
    <t xml:space="preserve">主播出车祸取消</t>
  </si>
  <si>
    <t xml:space="preserve">stephanie</t>
  </si>
  <si>
    <t xml:space="preserve">Astrid Salas</t>
  </si>
  <si>
    <t xml:space="preserve">sally</t>
  </si>
  <si>
    <t xml:space="preserve">new studio outside</t>
  </si>
  <si>
    <t xml:space="preserve">Aosom mod</t>
  </si>
  <si>
    <t xml:space="preserve">11:15am-2:15pm</t>
  </si>
  <si>
    <t xml:space="preserve">9:00am-9:50am</t>
  </si>
  <si>
    <t xml:space="preserve">victoria临时有事，换欧阳，后续再换成sally</t>
  </si>
  <si>
    <t xml:space="preserve">9:30pm-11:00pm</t>
  </si>
  <si>
    <t xml:space="preserve">aosom复盘+贴片优化</t>
  </si>
  <si>
    <t xml:space="preserve">9:50am-12:00pm</t>
  </si>
  <si>
    <t xml:space="preserve">aosom mod training</t>
  </si>
  <si>
    <t xml:space="preserve">当天才知道直播取消，换成去给efurden当mod</t>
  </si>
  <si>
    <t xml:space="preserve">更换场景+场景set up </t>
  </si>
  <si>
    <t xml:space="preserve">因不在状态 协商后减少2h排班</t>
  </si>
  <si>
    <t xml:space="preserve">8:00pm-9:00pm</t>
  </si>
  <si>
    <t xml:space="preserve">aosom 周会</t>
  </si>
  <si>
    <t xml:space="preserve">Aosom training</t>
  </si>
  <si>
    <t xml:space="preserve">1:30pm-2:30pm</t>
  </si>
  <si>
    <t xml:space="preserve">ouyang</t>
  </si>
  <si>
    <t xml:space="preserve">aosom 培训</t>
  </si>
  <si>
    <t xml:space="preserve">aosom training+优化</t>
  </si>
  <si>
    <t xml:space="preserve">5:00pm-6:00pm</t>
  </si>
  <si>
    <t xml:space="preserve">aosom 做贴片</t>
  </si>
  <si>
    <t xml:space="preserve">2:30pm-4:30pm</t>
  </si>
  <si>
    <t xml:space="preserve">train mod（tiktok和ebay基础操作）</t>
  </si>
  <si>
    <t xml:space="preserve">4:00pm-4:30pm</t>
  </si>
  <si>
    <t xml:space="preserve">zoom培训</t>
  </si>
  <si>
    <t xml:space="preserve">Oedro</t>
  </si>
  <si>
    <t xml:space="preserve">5:30pm-8:30pm</t>
  </si>
  <si>
    <t xml:space="preserve">2:00pm-6:00pm</t>
  </si>
  <si>
    <t xml:space="preserve">Oedro mod</t>
  </si>
  <si>
    <t xml:space="preserve">4:00pm-6:30pm</t>
  </si>
  <si>
    <t xml:space="preserve">Oedro training</t>
  </si>
  <si>
    <t xml:space="preserve">6:30pm-9:00pm</t>
  </si>
  <si>
    <t xml:space="preserve">Oedro复盘+数据+周会</t>
  </si>
  <si>
    <t xml:space="preserve">5:00pm-8:00pm</t>
  </si>
  <si>
    <t xml:space="preserve">shokz oedro复盘+排班+数据+熟悉topdon</t>
  </si>
  <si>
    <t xml:space="preserve">4:00pm-9:00pm</t>
  </si>
  <si>
    <t xml:space="preserve">mod 复盘 排班 品牌沟通 协调主播</t>
  </si>
  <si>
    <t xml:space="preserve">Creality</t>
  </si>
  <si>
    <t xml:space="preserve">Creality Ebay</t>
  </si>
  <si>
    <t xml:space="preserve">Creality mod</t>
  </si>
  <si>
    <t xml:space="preserve">mod, ebay</t>
  </si>
  <si>
    <t xml:space="preserve">12:00pm-7:00pm</t>
  </si>
  <si>
    <t xml:space="preserve">mod,复盘</t>
  </si>
  <si>
    <t xml:space="preserve">11:00am-1:00pm</t>
  </si>
  <si>
    <t xml:space="preserve">2:00pm-8:00pm</t>
  </si>
  <si>
    <t xml:space="preserve">mod，开会，数据</t>
  </si>
  <si>
    <t xml:space="preserve">4:30pm-5:30pm</t>
  </si>
  <si>
    <t xml:space="preserve">10:30am-3:30pm</t>
  </si>
  <si>
    <t xml:space="preserve">排班，复盘，ebay准备</t>
  </si>
  <si>
    <t xml:space="preserve">3:30pm-6:00pm</t>
  </si>
  <si>
    <t xml:space="preserve">3:00pm-7:30pm</t>
  </si>
  <si>
    <t xml:space="preserve">复盘，排班，数据</t>
  </si>
  <si>
    <t xml:space="preserve">Efurden</t>
  </si>
  <si>
    <t xml:space="preserve">Andy Cobb</t>
  </si>
  <si>
    <t xml:space="preserve">Efurden training</t>
  </si>
  <si>
    <t xml:space="preserve">ouyang training</t>
  </si>
  <si>
    <t xml:space="preserve">Efurden mod</t>
  </si>
  <si>
    <t xml:space="preserve">efurden追账号，aosom优化</t>
  </si>
  <si>
    <t xml:space="preserve">临时换成victoria mod</t>
  </si>
  <si>
    <t xml:space="preserve">做优化</t>
  </si>
  <si>
    <t xml:space="preserve">优化</t>
  </si>
  <si>
    <t xml:space="preserve">train Christian、Stephanie，做优化</t>
  </si>
  <si>
    <t xml:space="preserve">train Daniel 优化efurden</t>
  </si>
  <si>
    <t xml:space="preserve">排班，train Christian， marco</t>
  </si>
  <si>
    <t xml:space="preserve">train Astrid，背景优化</t>
  </si>
  <si>
    <t xml:space="preserve">2:00pm-3:00pm</t>
  </si>
  <si>
    <t xml:space="preserve">3:30pm-5:30pm</t>
  </si>
  <si>
    <t xml:space="preserve">ouyang train</t>
  </si>
  <si>
    <t xml:space="preserve">3:30pm-4:30pm</t>
  </si>
  <si>
    <t xml:space="preserve">Falechay Amazon</t>
  </si>
  <si>
    <t xml:space="preserve">Falechay</t>
  </si>
  <si>
    <t xml:space="preserve">Kutluano Headbush</t>
  </si>
  <si>
    <t xml:space="preserve">Sophia</t>
  </si>
  <si>
    <t xml:space="preserve">8:30AM-11:30AM</t>
  </si>
  <si>
    <t xml:space="preserve">Rachel Jackson</t>
  </si>
  <si>
    <t xml:space="preserve">9:00AM-12:00PM</t>
  </si>
  <si>
    <t xml:space="preserve">Falechay Training</t>
  </si>
  <si>
    <t xml:space="preserve">5:30PM-6:30PM</t>
  </si>
  <si>
    <t xml:space="preserve">11:30AM-1:00PM</t>
  </si>
  <si>
    <t xml:space="preserve">11:30AM-1:30pm</t>
  </si>
  <si>
    <t xml:space="preserve">12:00pm-1:00pm</t>
  </si>
  <si>
    <t xml:space="preserve">11:00AM-1:00PM</t>
  </si>
  <si>
    <t xml:space="preserve">Falechay Mod</t>
  </si>
  <si>
    <t xml:space="preserve">8:30AM-12:00PM</t>
  </si>
  <si>
    <t xml:space="preserve">Cariloha Amazon</t>
  </si>
  <si>
    <t xml:space="preserve">Cariloha Training</t>
  </si>
  <si>
    <t xml:space="preserve">Meghan Ketz</t>
  </si>
  <si>
    <t xml:space="preserve">Gavin</t>
  </si>
  <si>
    <t xml:space="preserve">Yoleo Amazon</t>
  </si>
  <si>
    <t xml:space="preserve">Wondamo</t>
  </si>
  <si>
    <t xml:space="preserve">Wondamo Mod</t>
  </si>
  <si>
    <t xml:space="preserve">Wavytalk（周播32H目标）</t>
  </si>
  <si>
    <t xml:space="preserve">Wavytalk</t>
  </si>
  <si>
    <t xml:space="preserve">Mindy</t>
  </si>
  <si>
    <t xml:space="preserve">Fiona</t>
  </si>
  <si>
    <t xml:space="preserve">Jillian Reeves</t>
  </si>
  <si>
    <t xml:space="preserve">Lourdes</t>
  </si>
  <si>
    <t xml:space="preserve">9:00pm - 12:00am</t>
  </si>
  <si>
    <t xml:space="preserve">Audrey Forrester</t>
  </si>
  <si>
    <t xml:space="preserve">Wavytalk Mod</t>
  </si>
  <si>
    <t xml:space="preserve">Fiona Lee</t>
  </si>
  <si>
    <t xml:space="preserve">9:00pm-12:00am</t>
  </si>
  <si>
    <t xml:space="preserve">Wavytalk Training</t>
  </si>
  <si>
    <t xml:space="preserve">11:00am-12:00pm</t>
  </si>
  <si>
    <t xml:space="preserve">Victoria Roses</t>
  </si>
  <si>
    <t xml:space="preserve">Erin Micklow</t>
  </si>
  <si>
    <t xml:space="preserve">Joy Hou</t>
  </si>
  <si>
    <t xml:space="preserve">11:00am-2:10pm</t>
  </si>
  <si>
    <t xml:space="preserve">Asante Randall</t>
  </si>
  <si>
    <t xml:space="preserve">Isabelle Lauderdale</t>
  </si>
  <si>
    <t xml:space="preserve">Audrey</t>
  </si>
  <si>
    <t xml:space="preserve">8:00am - 11:00am</t>
  </si>
  <si>
    <t xml:space="preserve">11:00am - 1:00pm</t>
  </si>
  <si>
    <t xml:space="preserve">1:00pm -1:45pm</t>
  </si>
  <si>
    <t xml:space="preserve">3:30pm-7:00pm</t>
  </si>
  <si>
    <t xml:space="preserve">Izzy 2-4</t>
  </si>
  <si>
    <t xml:space="preserve">Fiona 4-7</t>
  </si>
  <si>
    <t xml:space="preserve">ziyi 7-9</t>
  </si>
  <si>
    <t xml:space="preserve">Sunday</t>
  </si>
  <si>
    <t xml:space="preserve">WavyTalk Amazon</t>
  </si>
  <si>
    <t xml:space="preserve">Wavytalk Amazon</t>
  </si>
  <si>
    <t xml:space="preserve">6:00pm - 9:30pm</t>
  </si>
  <si>
    <t xml:space="preserve">6:00pm - 9:15pm</t>
  </si>
  <si>
    <t xml:space="preserve">Wavytalk Amazon Mod</t>
  </si>
  <si>
    <t xml:space="preserve">5:00pm - 9:36pm</t>
  </si>
  <si>
    <t xml:space="preserve">7:45pm - 8:45pm</t>
  </si>
  <si>
    <t xml:space="preserve">Grace Karin（周播15H目标）</t>
  </si>
  <si>
    <t xml:space="preserve">Grace Karin</t>
  </si>
  <si>
    <t xml:space="preserve">9:00am-10:00am</t>
  </si>
  <si>
    <t xml:space="preserve">3:00pm-5:00pm</t>
  </si>
  <si>
    <t xml:space="preserve">Grace Karin Mod</t>
  </si>
  <si>
    <t xml:space="preserve">8:15am-11:30am</t>
  </si>
  <si>
    <t xml:space="preserve">6:15pm-8:00pm</t>
  </si>
  <si>
    <t xml:space="preserve">10:15am-1:30pm</t>
  </si>
  <si>
    <t xml:space="preserve">10:30am-1:25pm</t>
  </si>
  <si>
    <t xml:space="preserve">8:30am-11:15am</t>
  </si>
  <si>
    <t xml:space="preserve">10:30am-2:15pm</t>
  </si>
  <si>
    <t xml:space="preserve">Madox Dorsey</t>
  </si>
  <si>
    <t xml:space="preserve">1:15pm-5:30pm</t>
  </si>
  <si>
    <t xml:space="preserve">9:45am-1:00pm</t>
  </si>
  <si>
    <t xml:space="preserve">Grace Karin Training</t>
  </si>
  <si>
    <t xml:space="preserve">2:30pm-3:00pm</t>
  </si>
  <si>
    <t xml:space="preserve">Yianna（周播48H目标）</t>
  </si>
  <si>
    <t xml:space="preserve">Yianna</t>
  </si>
  <si>
    <t xml:space="preserve">Dina Zavala Fuentes</t>
  </si>
  <si>
    <t xml:space="preserve">Yianna Mod</t>
  </si>
  <si>
    <t xml:space="preserve">2:30pm-5:30pm</t>
  </si>
  <si>
    <t xml:space="preserve">5:30pm-9:00pm</t>
  </si>
  <si>
    <t xml:space="preserve">Stephanie Espinal</t>
  </si>
  <si>
    <t xml:space="preserve">Yianna Training</t>
  </si>
  <si>
    <t xml:space="preserve">Sabrina Cortes</t>
  </si>
  <si>
    <t xml:space="preserve">2:45pm-6:00pm</t>
  </si>
  <si>
    <t xml:space="preserve">4:00pm-5:00pm</t>
  </si>
  <si>
    <t xml:space="preserve">场控自己取消了</t>
  </si>
  <si>
    <t xml:space="preserve">3:00pm-6:30pm</t>
  </si>
  <si>
    <t xml:space="preserve">4:00pm-5:30pm</t>
  </si>
  <si>
    <t xml:space="preserve">2:45pm-6:30pm</t>
  </si>
  <si>
    <t xml:space="preserve">场控自己取消</t>
  </si>
  <si>
    <t xml:space="preserve">2:45pm-5:00pm</t>
  </si>
  <si>
    <t xml:space="preserve">Lovevook（周播24H目标）周六大场</t>
  </si>
  <si>
    <t xml:space="preserve">Lovevook Training</t>
  </si>
  <si>
    <t xml:space="preserve">4:30pm-4:45pm</t>
  </si>
  <si>
    <t xml:space="preserve">Tess Gordon</t>
  </si>
  <si>
    <t xml:space="preserve">Lovevook</t>
  </si>
  <si>
    <t xml:space="preserve">4:45pm-8:45pm</t>
  </si>
  <si>
    <t xml:space="preserve">Lovevook Mod</t>
  </si>
  <si>
    <t xml:space="preserve">4:20pm-8:55pm</t>
  </si>
  <si>
    <t xml:space="preserve">Yifan Li (Nickie)</t>
  </si>
  <si>
    <t xml:space="preserve">主播车祸取消</t>
  </si>
  <si>
    <t xml:space="preserve">7-8 nickie 8-9 katherine</t>
  </si>
  <si>
    <t xml:space="preserve">1:45pm-6:00pm</t>
  </si>
  <si>
    <t xml:space="preserve">因主播取消改成younique nails training</t>
  </si>
  <si>
    <t xml:space="preserve">6:45pm-8:00pm</t>
  </si>
  <si>
    <t xml:space="preserve">Alexandria Langpaap(Ali)</t>
  </si>
  <si>
    <t xml:space="preserve">1:45pm-6:10pm</t>
  </si>
  <si>
    <t/>
    <r>
      <rPr>
        <u val="single"/>
        <color theme="10"/>
      </rPr>
      <t xml:space="preserve">@Zixuan Wang</t>
    </r>
  </si>
  <si>
    <t xml:space="preserve">6:00am-10:00am</t>
  </si>
  <si>
    <t xml:space="preserve">Roxy Star</t>
  </si>
  <si>
    <t/>
    <r>
      <rPr>
        <u val="single"/>
        <color theme="10"/>
      </rPr>
      <t xml:space="preserve">@Zixuan Wang</t>
    </r>
  </si>
  <si>
    <t xml:space="preserve">10:00pm-2:00am</t>
  </si>
  <si>
    <t xml:space="preserve">品牌方临时要求提前1小时下播，原定是按5小时paid</t>
  </si>
  <si>
    <t xml:space="preserve">5:45am-9:00am</t>
  </si>
  <si>
    <t/>
    <r>
      <rPr>
        <u val="single"/>
        <color theme="10"/>
      </rPr>
      <t xml:space="preserve">@Zixuan Wang</t>
    </r>
  </si>
  <si>
    <t xml:space="preserve">9:00am-1:00pm</t>
  </si>
  <si>
    <t/>
    <r>
      <rPr>
        <u val="single"/>
        <color theme="10"/>
      </rPr>
      <t xml:space="preserve">@Zixuan Wang</t>
    </r>
    <r>
      <rPr/>
      <t>盯播</t>
    </r>
  </si>
  <si>
    <t xml:space="preserve">1:00pm-5:00pm</t>
  </si>
  <si>
    <t xml:space="preserve">Kaitlyn Didi</t>
  </si>
  <si>
    <t/>
    <r>
      <rPr>
        <u val="single"/>
        <color theme="10"/>
      </rPr>
      <t xml:space="preserve">@Zixuan Wang</t>
    </r>
    <r>
      <rPr/>
      <t>盯播</t>
    </r>
  </si>
  <si>
    <t xml:space="preserve">5:00pm-5:30pm</t>
  </si>
  <si>
    <t/>
    <r>
      <rPr>
        <u val="single"/>
        <color theme="10"/>
      </rPr>
      <t xml:space="preserve">@Wentao Du</t>
    </r>
    <r>
      <rPr/>
      <t>控</t>
    </r>
    <r>
      <rPr>
        <u val="single"/>
        <color theme="10"/>
      </rPr>
      <t xml:space="preserve">@Zixuan Wang</t>
    </r>
    <r>
      <rPr/>
      <t>盯播</t>
    </r>
  </si>
  <si>
    <t xml:space="preserve">5:30pm-7:00pm</t>
  </si>
  <si>
    <t xml:space="preserve">nickie盯播</t>
  </si>
  <si>
    <t/>
    <r>
      <rPr>
        <u val="single"/>
        <color theme="10"/>
      </rPr>
      <t xml:space="preserve">@Wentao Du</t>
    </r>
    <r>
      <rPr/>
      <t xml:space="preserve"> 控 nickie盯播</t>
    </r>
  </si>
  <si>
    <t xml:space="preserve">品牌方要求提前一小时下播，实际1:20下班</t>
  </si>
  <si>
    <t xml:space="preserve">paid盯播时间</t>
  </si>
  <si>
    <t xml:space="preserve">Younique Nails</t>
  </si>
  <si>
    <t xml:space="preserve">Younique Nails Training</t>
  </si>
  <si>
    <t xml:space="preserve">lovevookmod改为training穿戴甲</t>
  </si>
  <si>
    <t xml:space="preserve">1:20pm-2:50pm</t>
  </si>
  <si>
    <t xml:space="preserve">6:30pm-7:30pm</t>
  </si>
  <si>
    <t xml:space="preserve">DJI</t>
  </si>
  <si>
    <t xml:space="preserve">运营（写清楚场控跟播的时间段）</t>
  </si>
  <si>
    <t xml:space="preserve">Back up</t>
  </si>
  <si>
    <t xml:space="preserve">Bagsmart（周播18H目标）</t>
  </si>
  <si>
    <t xml:space="preserve">Bagsmart</t>
  </si>
  <si>
    <t xml:space="preserve">3:45pm-7:00pm</t>
  </si>
  <si>
    <t xml:space="preserve">Marina Hribernig</t>
  </si>
  <si>
    <t xml:space="preserve">Ian</t>
  </si>
  <si>
    <t xml:space="preserve">一店</t>
  </si>
  <si>
    <t xml:space="preserve">Victoria</t>
  </si>
  <si>
    <t xml:space="preserve">一店，Xi</t>
  </si>
  <si>
    <t xml:space="preserve">Simba</t>
  </si>
  <si>
    <t xml:space="preserve">外场播，Xi</t>
  </si>
  <si>
    <t xml:space="preserve">1:45pm-5:00pm</t>
  </si>
  <si>
    <t xml:space="preserve">一店，Victoria</t>
  </si>
  <si>
    <t xml:space="preserve">Ian &amp; Wanyi</t>
  </si>
  <si>
    <t xml:space="preserve">Bagsmart Mod</t>
  </si>
  <si>
    <t xml:space="preserve">3:45pm-7:15pm</t>
  </si>
  <si>
    <t xml:space="preserve">Ian Sandvik</t>
  </si>
  <si>
    <t xml:space="preserve">7:00pm-9:15pm</t>
  </si>
  <si>
    <t xml:space="preserve">1:45pm-4:30pm</t>
  </si>
  <si>
    <t xml:space="preserve">4:30pm-6:45pm</t>
  </si>
  <si>
    <t xml:space="preserve">Dabual(Simba)</t>
  </si>
  <si>
    <t xml:space="preserve">6:45pm-10:00pm</t>
  </si>
  <si>
    <t xml:space="preserve">1:45pm-5:15pm</t>
  </si>
  <si>
    <t xml:space="preserve">2:00pm-7:45pm</t>
  </si>
  <si>
    <t xml:space="preserve">30 minutes break in between</t>
  </si>
  <si>
    <t xml:space="preserve">Bagsmart Training</t>
  </si>
  <si>
    <t xml:space="preserve">3:00pm-4:30pm</t>
  </si>
  <si>
    <t xml:space="preserve">主播离职</t>
  </si>
  <si>
    <t xml:space="preserve">5:30pm-6:30pm</t>
  </si>
  <si>
    <t xml:space="preserve">Bagsmart Mod Training</t>
  </si>
  <si>
    <t xml:space="preserve">12:00pm-8:00pm</t>
  </si>
  <si>
    <t xml:space="preserve">Wanyi Zhao</t>
  </si>
  <si>
    <t xml:space="preserve">2:00pm-8:30pm</t>
  </si>
  <si>
    <t xml:space="preserve">UMi</t>
  </si>
  <si>
    <t xml:space="preserve">UMi Mod</t>
  </si>
  <si>
    <t xml:space="preserve">7:00pm-10:30pm</t>
  </si>
  <si>
    <t xml:space="preserve">4:45pm-8:00pm</t>
  </si>
  <si>
    <t xml:space="preserve">7:15pm-10:30pm</t>
  </si>
  <si>
    <t xml:space="preserve">11:45am-3:00pm</t>
  </si>
  <si>
    <t/>
    <r>
      <rPr>
        <u val="single"/>
        <color theme="10"/>
      </rPr>
      <t xml:space="preserve">@Liqi Mao</t>
    </r>
  </si>
  <si>
    <t/>
    <r>
      <rPr>
        <u val="single"/>
        <color theme="10"/>
      </rPr>
      <t xml:space="preserve">@Liqi Mao</t>
    </r>
  </si>
  <si>
    <t xml:space="preserve">主播临时取消 不用Pay</t>
  </si>
  <si>
    <t xml:space="preserve">UMi Training</t>
  </si>
  <si>
    <t xml:space="preserve">6:00pm-6:30pm</t>
  </si>
  <si>
    <t xml:space="preserve">5:45pm-9:00pm</t>
  </si>
  <si>
    <t xml:space="preserve">1:30pm-2:00pm</t>
  </si>
  <si>
    <t xml:space="preserve">3:00pm-3:30pm</t>
  </si>
  <si>
    <t xml:space="preserve">DCSVIP</t>
  </si>
  <si>
    <t xml:space="preserve">DCSVIP Mod</t>
  </si>
  <si>
    <t xml:space="preserve">Aelfric Eden</t>
  </si>
  <si>
    <t xml:space="preserve">周日大场</t>
  </si>
  <si>
    <t xml:space="preserve">5:45pm-8:00pm</t>
  </si>
  <si>
    <t xml:space="preserve">Stella</t>
  </si>
  <si>
    <t xml:space="preserve">stella</t>
  </si>
  <si>
    <t xml:space="preserve">Aelfric Eden Mod</t>
  </si>
  <si>
    <t xml:space="preserve">5:45pm-10:00pm</t>
  </si>
  <si>
    <t xml:space="preserve">5:00pm-9:15pm</t>
  </si>
  <si>
    <t xml:space="preserve">madox</t>
  </si>
  <si>
    <t xml:space="preserve">4:45pm-9:00pm</t>
  </si>
  <si>
    <t xml:space="preserve">izzy</t>
  </si>
  <si>
    <t xml:space="preserve">Izzy</t>
  </si>
  <si>
    <t xml:space="preserve">Madox</t>
  </si>
  <si>
    <t xml:space="preserve">AE大场</t>
  </si>
  <si>
    <t xml:space="preserve">Aelfric Eden Training</t>
  </si>
  <si>
    <t xml:space="preserve">zoey</t>
  </si>
  <si>
    <t xml:space="preserve">Tuesday</t>
  </si>
  <si>
    <t xml:space="preserve">Maskert Girl</t>
  </si>
  <si>
    <t xml:space="preserve">venus</t>
  </si>
  <si>
    <t xml:space="preserve">主播当天自己取消</t>
  </si>
  <si>
    <t xml:space="preserve">Maskert Girl Mod</t>
  </si>
  <si>
    <t xml:space="preserve">fiona</t>
  </si>
  <si>
    <t xml:space="preserve">9:45am-12:00pm</t>
  </si>
  <si>
    <t xml:space="preserve">10:45am-1:00pm</t>
  </si>
  <si>
    <t xml:space="preserve">1:00pm-3:15pm</t>
  </si>
  <si>
    <t xml:space="preserve">12:45pm-3:00pm</t>
  </si>
  <si>
    <t xml:space="preserve">Maskert Girl Training</t>
  </si>
  <si>
    <t xml:space="preserve">主播身体原因取消</t>
  </si>
  <si>
    <t xml:space="preserve">Mobeso</t>
  </si>
  <si>
    <t xml:space="preserve">Mobeso Training</t>
  </si>
  <si>
    <t xml:space="preserve">Basic Training</t>
  </si>
  <si>
    <t xml:space="preserve">11:00am-1pm</t>
  </si>
  <si>
    <t xml:space="preserve">Michelle Murad</t>
  </si>
  <si>
    <t xml:space="preserve">Miya</t>
  </si>
  <si>
    <t xml:space="preserve">3619 Eastham Drive</t>
  </si>
  <si>
    <t xml:space="preserve">YES</t>
  </si>
  <si>
    <t xml:space="preserve">Monday</t>
  </si>
  <si>
    <t xml:space="preserve">Alexandria Langpaap(Ali)</t>
  </si>
  <si>
    <t xml:space="preserve">Andy Cobb</t>
  </si>
  <si>
    <t xml:space="preserve">Wednesday</t>
  </si>
  <si>
    <t xml:space="preserve">Norma Ortiz</t>
  </si>
  <si>
    <t xml:space="preserve">Friday</t>
  </si>
  <si>
    <t xml:space="preserve">Piper Bingham</t>
  </si>
  <si>
    <t xml:space="preserve">Office Setup</t>
  </si>
  <si>
    <t xml:space="preserve">Thursday</t>
  </si>
  <si>
    <t xml:space="preserve">12:00pm-2:30pm</t>
  </si>
  <si>
    <t xml:space="preserve">Alberto Soberanes</t>
  </si>
  <si>
    <t xml:space="preserve">Yang Ding</t>
  </si>
  <si>
    <t xml:space="preserve">8461 Higuera Street</t>
  </si>
  <si>
    <t xml:space="preserve">Video Shoot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</si>
  <si>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</si>
  <si>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</si>
  <si>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</si>
  <si>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</si>
  <si>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</si>
  <si>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</si>
  <si>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</si>
  <si>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</si>
  <si>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</si>
  <si>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雅迪电动车Video Shooting</t>
  </si>
  <si>
    <t xml:space="preserve">10:30am-12:30pm</t>
  </si>
  <si>
    <t xml:space="preserve">B-ROLL Shooting</t>
  </si>
  <si>
    <t xml:space="preserve">10:30am-1:30pm</t>
  </si>
  <si>
    <t xml:space="preserve">徕芬Video Shooting</t>
  </si>
  <si>
    <t xml:space="preserve">PENDING</t>
  </si>
  <si>
    <t xml:space="preserve">VEVOR TOOL（周播30小时目标）</t>
  </si>
  <si>
    <t xml:space="preserve">Mod（写清楚场控跟播的时间段）</t>
  </si>
  <si>
    <t xml:space="preserve">VEVOR TOOL</t>
  </si>
  <si>
    <t xml:space="preserve">2:00pm-4:00pm</t>
  </si>
  <si>
    <t xml:space="preserve">VEVOR TOOL Mod</t>
  </si>
  <si>
    <t xml:space="preserve">Lesure</t>
  </si>
  <si>
    <t xml:space="preserve">12:00pm - 3:00pm</t>
  </si>
  <si>
    <t xml:space="preserve">Samuel Solomon</t>
  </si>
  <si>
    <t xml:space="preserve">Daniel Torres Guevara</t>
  </si>
  <si>
    <t xml:space="preserve">3:00pm - 6:00pm</t>
  </si>
  <si>
    <t xml:space="preserve">Ivy 5-6</t>
  </si>
  <si>
    <t xml:space="preserve">11:00am - 2:00pm</t>
  </si>
  <si>
    <t xml:space="preserve"> </t>
  </si>
  <si>
    <t xml:space="preserve">10:00am - 1:00pm</t>
  </si>
  <si>
    <t xml:space="preserve">Iris (Alexis) Perry</t>
  </si>
  <si>
    <t xml:space="preserve">Ivy 12-1</t>
  </si>
  <si>
    <t xml:space="preserve">Jessie Canizales</t>
  </si>
  <si>
    <t xml:space="preserve">Lesure Mod</t>
  </si>
  <si>
    <t xml:space="preserve">11:15am - 3:00pm</t>
  </si>
  <si>
    <t xml:space="preserve">ziyi</t>
  </si>
  <si>
    <t xml:space="preserve">Live 12-3</t>
  </si>
  <si>
    <t xml:space="preserve">11:30am - 3:30pm</t>
  </si>
  <si>
    <t xml:space="preserve">2:30pm - 5:00pm</t>
  </si>
  <si>
    <t xml:space="preserve">Live 3-6</t>
  </si>
  <si>
    <t xml:space="preserve">11:00am - 2:30pm</t>
  </si>
  <si>
    <t xml:space="preserve">Live 11-2</t>
  </si>
  <si>
    <t xml:space="preserve">9:30am - 12:00pm</t>
  </si>
  <si>
    <t xml:space="preserve">Live 10-1</t>
  </si>
  <si>
    <t xml:space="preserve">10:30am - 2:30pm</t>
  </si>
  <si>
    <t xml:space="preserve">Joyin</t>
  </si>
  <si>
    <t xml:space="preserve">Joyin Training</t>
  </si>
  <si>
    <t xml:space="preserve">5:00pm - 7:00pm</t>
  </si>
  <si>
    <t xml:space="preserve">Ava Gold</t>
  </si>
  <si>
    <t xml:space="preserve">3:00pm - 5:00pm</t>
  </si>
  <si>
    <t xml:space="preserve">Tanner Kenneth Bjorklund</t>
  </si>
  <si>
    <t xml:space="preserve">Victoria Williams</t>
  </si>
  <si>
    <t xml:space="preserve">主播取消 不pay</t>
  </si>
  <si>
    <t xml:space="preserve">5:00pm - 10:00pm</t>
  </si>
  <si>
    <t xml:space="preserve">Kory Getman</t>
  </si>
  <si>
    <t xml:space="preserve">Live 6-9</t>
  </si>
  <si>
    <t xml:space="preserve">5:30pm - 10:00pm</t>
  </si>
  <si>
    <t xml:space="preserve">Live 7-10</t>
  </si>
  <si>
    <t xml:space="preserve">6:00pm - 10:00pm</t>
  </si>
  <si>
    <t xml:space="preserve">Xtool</t>
  </si>
  <si>
    <t xml:space="preserve">每周目标23h</t>
  </si>
  <si>
    <t xml:space="preserve">9:00am-12:00pm</t>
  </si>
  <si>
    <t xml:space="preserve">Cristian Urbina</t>
  </si>
  <si>
    <t xml:space="preserve">Xtool Training</t>
  </si>
  <si>
    <t xml:space="preserve">7:00pm-9:00pm</t>
  </si>
  <si>
    <t xml:space="preserve">Anthony Traina</t>
  </si>
  <si>
    <t xml:space="preserve">Joseph Davis Massingill</t>
  </si>
  <si>
    <t xml:space="preserve">7:30pm-10:30pm</t>
  </si>
  <si>
    <t xml:space="preserve">12:00pm-3:00pm</t>
  </si>
  <si>
    <t xml:space="preserve">8:30am-11:30am</t>
  </si>
  <si>
    <t xml:space="preserve">1:30pm-5:00pm</t>
  </si>
  <si>
    <t xml:space="preserve">Xtool Mod</t>
  </si>
  <si>
    <t xml:space="preserve">8:30am-12:00pm</t>
  </si>
  <si>
    <t xml:space="preserve">rita</t>
  </si>
  <si>
    <t xml:space="preserve">3:00pm-9:00pm</t>
  </si>
  <si>
    <t xml:space="preserve">Venus</t>
  </si>
  <si>
    <t xml:space="preserve">7:00pm-11:00pm</t>
  </si>
  <si>
    <t xml:space="preserve">Juan Castillo</t>
  </si>
  <si>
    <t xml:space="preserve">10:30am-3:00pm</t>
  </si>
  <si>
    <t xml:space="preserve">3:00pm-10:00pm</t>
  </si>
  <si>
    <t xml:space="preserve">11:30am-3:30pm</t>
  </si>
  <si>
    <t xml:space="preserve">Guillermo Straube</t>
  </si>
  <si>
    <t xml:space="preserve">8:00am-11:30am</t>
  </si>
  <si>
    <t xml:space="preserve">12:30pm-3:30pm</t>
  </si>
  <si>
    <t xml:space="preserve">1:30pm-7:00pm</t>
  </si>
  <si>
    <t xml:space="preserve">1:00pm-3:00pm</t>
  </si>
  <si>
    <t xml:space="preserve">5:00pm-8:30pm</t>
  </si>
  <si>
    <t xml:space="preserve">排班，Xtool bts</t>
  </si>
  <si>
    <t xml:space="preserve">Wattcycle</t>
  </si>
  <si>
    <t xml:space="preserve">Luis Moreno</t>
  </si>
  <si>
    <t xml:space="preserve">ouyang</t>
  </si>
  <si>
    <t xml:space="preserve">Wattcycle Video Shooting</t>
  </si>
  <si>
    <t xml:space="preserve">12:00pm-1:00pm</t>
  </si>
  <si>
    <t xml:space="preserve">拍摄品牌要求的视频，14条</t>
  </si>
  <si>
    <t xml:space="preserve">Bluetti Training</t>
  </si>
  <si>
    <t xml:space="preserve">Gavin</t>
  </si>
  <si>
    <t xml:space="preserve">培训bluetti</t>
  </si>
  <si>
    <t xml:space="preserve">Wattcycle Mod</t>
  </si>
  <si>
    <t xml:space="preserve">wenqi ouyang</t>
  </si>
  <si>
    <t xml:space="preserve">8:30pm-9:10pm</t>
  </si>
  <si>
    <t xml:space="preserve">wattcycle品牌开会</t>
  </si>
  <si>
    <t xml:space="preserve">Larq</t>
  </si>
  <si>
    <t xml:space="preserve">每周目标8h</t>
  </si>
  <si>
    <t xml:space="preserve">9:00am-11:00am</t>
  </si>
  <si>
    <t xml:space="preserve">Larq Training</t>
  </si>
  <si>
    <t xml:space="preserve">Rose Donahue</t>
  </si>
  <si>
    <t xml:space="preserve">Larq Mod</t>
  </si>
  <si>
    <t xml:space="preserve">8:30am-1:00pm</t>
  </si>
  <si>
    <t xml:space="preserve">11:00am-7:30pm</t>
  </si>
  <si>
    <t xml:space="preserve">8:30am-11:00am</t>
  </si>
  <si>
    <t xml:space="preserve">11:00am-8:30pm</t>
  </si>
  <si>
    <t xml:space="preserve">7:00pm-8:00pm</t>
  </si>
  <si>
    <t xml:space="preserve">Momcozy</t>
  </si>
  <si>
    <t xml:space="preserve">4:00pm-7:00pm</t>
  </si>
  <si>
    <t xml:space="preserve">Magdalena Zielonka</t>
  </si>
  <si>
    <t xml:space="preserve">Bruce</t>
  </si>
  <si>
    <t xml:space="preserve">4:30pm-7:30pm</t>
  </si>
  <si>
    <t xml:space="preserve">11:30am-2:30pm</t>
  </si>
  <si>
    <t xml:space="preserve">Momcozy training</t>
  </si>
  <si>
    <t xml:space="preserve">3:00pm-6:00pm</t>
  </si>
  <si>
    <t xml:space="preserve">Kristina Dow</t>
  </si>
  <si>
    <t xml:space="preserve">Momcozy Mod</t>
  </si>
  <si>
    <t xml:space="preserve">4:00am-7:00pm</t>
  </si>
  <si>
    <t xml:space="preserve">4:00am-5:50pm</t>
  </si>
  <si>
    <t xml:space="preserve">5:50-7 Bruce</t>
  </si>
  <si>
    <t xml:space="preserve">Govee-亚马逊直播</t>
  </si>
  <si>
    <t xml:space="preserve">Govee</t>
  </si>
  <si>
    <t xml:space="preserve">10:00pm-11:00pm</t>
  </si>
  <si>
    <t xml:space="preserve">Govee Training</t>
  </si>
  <si>
    <t xml:space="preserve">12:00pm-5:00pm</t>
  </si>
  <si>
    <t xml:space="preserve">1:00pm-4:00pm</t>
  </si>
  <si>
    <t xml:space="preserve">8:00pm-10:00pm</t>
  </si>
  <si>
    <t xml:space="preserve">TOPDON</t>
  </si>
  <si>
    <t xml:space="preserve">10:00am-1:00pm</t>
  </si>
  <si>
    <t xml:space="preserve">Ali Kassem</t>
  </si>
  <si>
    <t xml:space="preserve">TOPDON Mod</t>
  </si>
  <si>
    <t xml:space="preserve">10:00am-2:00pm</t>
  </si>
  <si>
    <t xml:space="preserve">April</t>
  </si>
  <si>
    <t xml:space="preserve">jingzhi</t>
  </si>
  <si>
    <t xml:space="preserve">9:00am-1:00pm</t>
  </si>
  <si>
    <t xml:space="preserve">shokzUS</t>
  </si>
  <si>
    <t xml:space="preserve">shokz</t>
  </si>
  <si>
    <t xml:space="preserve">8:00am-11:00am</t>
  </si>
  <si>
    <t xml:space="preserve">11:00am-12:00pm</t>
  </si>
  <si>
    <t xml:space="preserve">Keith Comly</t>
  </si>
  <si>
    <t xml:space="preserve">12:00pm-2:00pm</t>
  </si>
  <si>
    <t xml:space="preserve">2:00pm-4:30pm</t>
  </si>
  <si>
    <t xml:space="preserve">11:00am-1:00pm</t>
  </si>
  <si>
    <t xml:space="preserve">shokz training</t>
  </si>
  <si>
    <t xml:space="preserve">9:00am-10:30am</t>
  </si>
  <si>
    <t xml:space="preserve">shokz mod</t>
  </si>
  <si>
    <t xml:space="preserve">7:30am-11:00am</t>
  </si>
  <si>
    <t xml:space="preserve">cam</t>
  </si>
  <si>
    <t xml:space="preserve">Live 8-11</t>
  </si>
  <si>
    <t xml:space="preserve">Shokz mod + 复盘 + 出大场方案</t>
  </si>
  <si>
    <t xml:space="preserve">8:45am-11:00am</t>
  </si>
  <si>
    <t xml:space="preserve">Victoria Rose</t>
  </si>
  <si>
    <t xml:space="preserve">7:45am-11:00am</t>
  </si>
  <si>
    <t xml:space="preserve">Shokz+oedro 排班+主播沟通</t>
  </si>
  <si>
    <t xml:space="preserve">8:45am-12:00pm</t>
  </si>
  <si>
    <t xml:space="preserve">2:00pm-3:00pm</t>
  </si>
  <si>
    <t xml:space="preserve">3:00pm-4:30pm</t>
  </si>
  <si>
    <t xml:space="preserve">Calvin</t>
  </si>
  <si>
    <t xml:space="preserve">Mod + training + 复盘 + Shokz大场方案</t>
  </si>
  <si>
    <t xml:space="preserve">复盘 + Shokz大场排班</t>
  </si>
  <si>
    <t xml:space="preserve">3:00pm-7:00pm</t>
  </si>
  <si>
    <t xml:space="preserve">Bluetti</t>
  </si>
  <si>
    <t xml:space="preserve">2:00pm-5:00pm</t>
  </si>
  <si>
    <t xml:space="preserve">主播个人原因临时请假</t>
  </si>
  <si>
    <t xml:space="preserve">4:00pm-9:00pm</t>
  </si>
  <si>
    <t xml:space="preserve">2:00pm-8:00pm</t>
  </si>
  <si>
    <t xml:space="preserve">5:00pm-9:00pm</t>
  </si>
  <si>
    <t xml:space="preserve">2:00pm-7:00pm</t>
  </si>
  <si>
    <t xml:space="preserve">9:00pm-12:00am</t>
  </si>
  <si>
    <t xml:space="preserve">2:30pm-5:30pm</t>
  </si>
  <si>
    <t xml:space="preserve">Bluetti Mod</t>
  </si>
  <si>
    <t xml:space="preserve">2:00pm-3:30pm</t>
  </si>
  <si>
    <t xml:space="preserve">3:30pm-8:00pm</t>
  </si>
  <si>
    <t xml:space="preserve">Lourdes Urquiza</t>
  </si>
  <si>
    <t xml:space="preserve">5:00pm-8:00pm</t>
  </si>
  <si>
    <t xml:space="preserve">6:00pm-8:00pm</t>
  </si>
  <si>
    <t xml:space="preserve">Sally</t>
  </si>
  <si>
    <t xml:space="preserve">4:00pm-8:00pm</t>
  </si>
  <si>
    <t xml:space="preserve">Isamel</t>
  </si>
  <si>
    <t xml:space="preserve">Aosom</t>
  </si>
  <si>
    <t xml:space="preserve">juan</t>
  </si>
  <si>
    <t xml:space="preserve">in yianna place</t>
  </si>
  <si>
    <t xml:space="preserve">victoria rose</t>
  </si>
  <si>
    <t xml:space="preserve">7:30am-10:30am</t>
  </si>
  <si>
    <t xml:space="preserve">in yianna place 主播临时有事取消，改优化直播间</t>
  </si>
  <si>
    <t xml:space="preserve">9:30am-12:30pm</t>
  </si>
  <si>
    <t xml:space="preserve">Clark Smith</t>
  </si>
  <si>
    <t xml:space="preserve">主播没来</t>
  </si>
  <si>
    <t xml:space="preserve">Aosom mod</t>
  </si>
  <si>
    <t xml:space="preserve">3:30pm-6:30pm</t>
  </si>
  <si>
    <t xml:space="preserve">10:00am-11:30am</t>
  </si>
  <si>
    <t xml:space="preserve">3:30pm-7:30pm</t>
  </si>
  <si>
    <t xml:space="preserve">11:30am-7:00pm</t>
  </si>
  <si>
    <t xml:space="preserve">9:30am-2:00pm</t>
  </si>
  <si>
    <t xml:space="preserve">换Aosom贴片，优化Efurden</t>
  </si>
  <si>
    <t xml:space="preserve">换场景set up+mod</t>
  </si>
  <si>
    <t xml:space="preserve">8:15am-11:30am</t>
  </si>
  <si>
    <t xml:space="preserve">提前set up</t>
  </si>
  <si>
    <t xml:space="preserve">10:15am-1:30pm</t>
  </si>
  <si>
    <t xml:space="preserve">9:45am-1:15pm</t>
  </si>
  <si>
    <t xml:space="preserve">mod+set up 场景</t>
  </si>
  <si>
    <t xml:space="preserve">8:15am-11:45am</t>
  </si>
  <si>
    <t xml:space="preserve">7:15am-10:30am</t>
  </si>
  <si>
    <t xml:space="preserve">9:15am-12:45pm</t>
  </si>
  <si>
    <t xml:space="preserve">Oedro</t>
  </si>
  <si>
    <t xml:space="preserve">Nick R</t>
  </si>
  <si>
    <t xml:space="preserve">Oedro training</t>
  </si>
  <si>
    <t xml:space="preserve">4:00pm-5:00pm</t>
  </si>
  <si>
    <t xml:space="preserve">1:30pm-3:30pm</t>
  </si>
  <si>
    <t xml:space="preserve">3:30pm-4:30pm</t>
  </si>
  <si>
    <t xml:space="preserve">1:30pm-6:30pm</t>
  </si>
  <si>
    <t xml:space="preserve">Ismael</t>
  </si>
  <si>
    <t xml:space="preserve">Oedro mod</t>
  </si>
  <si>
    <t xml:space="preserve">12:30pm-9:00pm</t>
  </si>
  <si>
    <t xml:space="preserve">Oedro培训+mod+周会复盘+周会</t>
  </si>
  <si>
    <t xml:space="preserve">3:00pm-5:00pm</t>
  </si>
  <si>
    <t xml:space="preserve">6:30pm-8:00pm</t>
  </si>
  <si>
    <t xml:space="preserve">10:00am-1:30pm</t>
  </si>
  <si>
    <t xml:space="preserve">1:30pm-4:30pm</t>
  </si>
  <si>
    <t xml:space="preserve">Oedro排班 复盘 同步主播</t>
  </si>
  <si>
    <t xml:space="preserve">1:00pm-2:00pm</t>
  </si>
  <si>
    <t xml:space="preserve">Oedro mod+train mod+复盘+开会文档+开会</t>
  </si>
  <si>
    <t xml:space="preserve">Creality</t>
  </si>
  <si>
    <t xml:space="preserve">主播请假</t>
  </si>
  <si>
    <t xml:space="preserve">aj</t>
  </si>
  <si>
    <t xml:space="preserve">Andrew cobb</t>
  </si>
  <si>
    <t xml:space="preserve">Calvin/Sally</t>
  </si>
  <si>
    <t xml:space="preserve">Creality mod</t>
  </si>
  <si>
    <t xml:space="preserve">优化，准备大促</t>
  </si>
  <si>
    <t xml:space="preserve">4:00pm-7:30pm</t>
  </si>
  <si>
    <t xml:space="preserve">优化，准备大促，拍视频</t>
  </si>
  <si>
    <t xml:space="preserve">12:30pm-7:00pm</t>
  </si>
  <si>
    <t xml:space="preserve">mod+复盘</t>
  </si>
  <si>
    <t xml:space="preserve">Cariloha Amazon</t>
  </si>
  <si>
    <t xml:space="preserve">Cariloha Training</t>
  </si>
  <si>
    <t xml:space="preserve">7:00pm-8:30pm</t>
  </si>
  <si>
    <t xml:space="preserve">Sophia</t>
  </si>
  <si>
    <t xml:space="preserve">Cassi</t>
  </si>
  <si>
    <t xml:space="preserve">Falechay Amazon</t>
  </si>
  <si>
    <t xml:space="preserve">Falechay Training</t>
  </si>
  <si>
    <t xml:space="preserve">5:00pm-6:00pm</t>
  </si>
  <si>
    <t xml:space="preserve">Kutluano Headbush</t>
  </si>
  <si>
    <t xml:space="preserve">Efurden</t>
  </si>
  <si>
    <t xml:space="preserve">Efurden training</t>
  </si>
  <si>
    <t xml:space="preserve">1:30pm-3:00pm</t>
  </si>
  <si>
    <t xml:space="preserve">4:00pm-6:00pm</t>
  </si>
  <si>
    <t xml:space="preserve">Wavytalk（周播32H目标）</t>
  </si>
  <si>
    <t xml:space="preserve">Wavytalk</t>
  </si>
  <si>
    <t xml:space="preserve">Audrey Forrester</t>
  </si>
  <si>
    <t xml:space="preserve">11:00am-3:00pm</t>
  </si>
  <si>
    <t xml:space="preserve">Jillian Reeves</t>
  </si>
  <si>
    <t xml:space="preserve">Fiona 11-2</t>
  </si>
  <si>
    <t xml:space="preserve">sophia 2-4/ziyi 4-6</t>
  </si>
  <si>
    <t xml:space="preserve">Asante Randall</t>
  </si>
  <si>
    <t xml:space="preserve">Izzy 6-9</t>
  </si>
  <si>
    <t xml:space="preserve">8:00pm - 12:00am</t>
  </si>
  <si>
    <t xml:space="preserve">Fiona 9-12</t>
  </si>
  <si>
    <t xml:space="preserve">Wavytalk Mod</t>
  </si>
  <si>
    <t xml:space="preserve">11:00am-2:00pm</t>
  </si>
  <si>
    <t xml:space="preserve">Fiona Lee</t>
  </si>
  <si>
    <t xml:space="preserve">6:00pm-9:00pm</t>
  </si>
  <si>
    <t xml:space="preserve">Izzy Mu</t>
  </si>
  <si>
    <t xml:space="preserve">Wavytalk Training</t>
  </si>
  <si>
    <t xml:space="preserve">3:00pm-4:00pm</t>
  </si>
  <si>
    <t xml:space="preserve">Lourdes 11-1</t>
  </si>
  <si>
    <t xml:space="preserve">Erin Micklow</t>
  </si>
  <si>
    <t xml:space="preserve">Fiona 1-4</t>
  </si>
  <si>
    <t xml:space="preserve">Sophia 4-5</t>
  </si>
  <si>
    <t xml:space="preserve">Joy 5-7</t>
  </si>
  <si>
    <t xml:space="preserve">9:00pm - 12:00am</t>
  </si>
  <si>
    <t xml:space="preserve">Fiona 7-10:30/Izzy 10:30-12</t>
  </si>
  <si>
    <t xml:space="preserve">5:00pm-7:00pm</t>
  </si>
  <si>
    <t xml:space="preserve">Joy Hou</t>
  </si>
  <si>
    <t xml:space="preserve">7:00pm-10:30pm</t>
  </si>
  <si>
    <t xml:space="preserve">10:30pm-12:00am</t>
  </si>
  <si>
    <t xml:space="preserve">Sophia 1-3/Joy 3-5</t>
  </si>
  <si>
    <t xml:space="preserve">Fiona 5-8</t>
  </si>
  <si>
    <t xml:space="preserve">Mindy 8-9</t>
  </si>
  <si>
    <t xml:space="preserve">Fiona</t>
  </si>
  <si>
    <t xml:space="preserve">11:00am - 1:00pm</t>
  </si>
  <si>
    <t xml:space="preserve">10:00am-11:00am</t>
  </si>
  <si>
    <t xml:space="preserve">Mindy 11-1</t>
  </si>
  <si>
    <t xml:space="preserve">Isabelle Lauderdale</t>
  </si>
  <si>
    <t xml:space="preserve">Sophia 1-3</t>
  </si>
  <si>
    <t xml:space="preserve">Joy 3-5</t>
  </si>
  <si>
    <t xml:space="preserve">Ziyi 5-8</t>
  </si>
  <si>
    <t xml:space="preserve">11:00pm-12:00am</t>
  </si>
  <si>
    <t xml:space="preserve">Fiona 8-12</t>
  </si>
  <si>
    <t xml:space="preserve">Sunday</t>
  </si>
  <si>
    <t xml:space="preserve">Madox Dorsey</t>
  </si>
  <si>
    <t xml:space="preserve">场控生病临时取消</t>
  </si>
  <si>
    <t xml:space="preserve">8:00pm-12:00am</t>
  </si>
  <si>
    <t xml:space="preserve">11:00am-11:30pm</t>
  </si>
  <si>
    <t xml:space="preserve">WavyTalk Amazon</t>
  </si>
  <si>
    <t xml:space="preserve">Grace Karin（周播15H目标）</t>
  </si>
  <si>
    <t xml:space="preserve">Grace Karin</t>
  </si>
  <si>
    <t xml:space="preserve">Mariana Quezada</t>
  </si>
  <si>
    <t xml:space="preserve">Suzannah Samuel</t>
  </si>
  <si>
    <t xml:space="preserve">Grace Karin Mod</t>
  </si>
  <si>
    <t xml:space="preserve">12:00pm-4:00pm</t>
  </si>
  <si>
    <t xml:space="preserve">Grace Karin Training</t>
  </si>
  <si>
    <t xml:space="preserve">Dr.Scholl</t>
  </si>
  <si>
    <t xml:space="preserve">Dr.Scholl Training</t>
  </si>
  <si>
    <t xml:space="preserve">5:30pm-7:30pm</t>
  </si>
  <si>
    <t xml:space="preserve">Dr.Scholl Mod</t>
  </si>
  <si>
    <t xml:space="preserve">9:00am-1:30pm</t>
  </si>
  <si>
    <t xml:space="preserve">Kasian Wick</t>
  </si>
  <si>
    <t xml:space="preserve">Yianna（周播48H目标）</t>
  </si>
  <si>
    <t xml:space="preserve">Yianna</t>
  </si>
  <si>
    <t xml:space="preserve">Fenix</t>
  </si>
  <si>
    <t xml:space="preserve">Yianna Mod</t>
  </si>
  <si>
    <t xml:space="preserve">2:13pm-5:00pm</t>
  </si>
  <si>
    <t xml:space="preserve">Stephanie Espinal</t>
  </si>
  <si>
    <t xml:space="preserve">迟到半小时</t>
  </si>
  <si>
    <t xml:space="preserve">Assiya Louahabi</t>
  </si>
  <si>
    <t xml:space="preserve">Yianna Training</t>
  </si>
  <si>
    <t xml:space="preserve">Sabrina Cortes</t>
  </si>
  <si>
    <t xml:space="preserve">Dina Zavala Fuentes</t>
  </si>
  <si>
    <t xml:space="preserve">1:50pm-5:30pm</t>
  </si>
  <si>
    <t xml:space="preserve">5:30pm-8:00pm</t>
  </si>
  <si>
    <t xml:space="preserve">1:45pm-5:30pm</t>
  </si>
  <si>
    <t xml:space="preserve">Yianna Video Shooting</t>
  </si>
  <si>
    <t xml:space="preserve">12:45pm-1:45pm</t>
  </si>
  <si>
    <t xml:space="preserve">1:45pm-4:30pm</t>
  </si>
  <si>
    <t xml:space="preserve">4:30pm-8:00pm</t>
  </si>
  <si>
    <t xml:space="preserve">场控自己取消了</t>
  </si>
  <si>
    <t xml:space="preserve">Lovevook（周播24H目标）周六大场</t>
  </si>
  <si>
    <t xml:space="preserve">Lovevook</t>
  </si>
  <si>
    <t xml:space="preserve">Rachel Jackson</t>
  </si>
  <si>
    <t xml:space="preserve">Lovevook Training</t>
  </si>
  <si>
    <t xml:space="preserve">Xiangling Li (Lexi)</t>
  </si>
  <si>
    <t xml:space="preserve">Lovevook Mod</t>
  </si>
  <si>
    <t xml:space="preserve">2:45pm-7:00pm</t>
  </si>
  <si>
    <t xml:space="preserve">Yifan Li (Nickie)</t>
  </si>
  <si>
    <t xml:space="preserve">8:00pm-11:15pm</t>
  </si>
  <si>
    <t xml:space="preserve">2:45pm-7:10pm</t>
  </si>
  <si>
    <t xml:space="preserve">2:00pm-6:00pm</t>
  </si>
  <si>
    <t xml:space="preserve">6:00pm-6:30pm</t>
  </si>
  <si>
    <t xml:space="preserve">1:45pm-6:00pm</t>
  </si>
  <si>
    <t xml:space="preserve">2:10pm-6:10pm</t>
  </si>
  <si>
    <t xml:space="preserve">3:20pm-7:10pm</t>
  </si>
  <si>
    <t xml:space="preserve">Kaitlyn Didi</t>
  </si>
  <si>
    <t xml:space="preserve">迟到</t>
  </si>
  <si>
    <t xml:space="preserve">DJI</t>
  </si>
  <si>
    <t xml:space="preserve">运营（写清楚场控跟播的时间段）</t>
  </si>
  <si>
    <t xml:space="preserve">直播间</t>
  </si>
  <si>
    <t xml:space="preserve">Back up</t>
  </si>
  <si>
    <t xml:space="preserve">Bagsmart（周播18H目标）</t>
  </si>
  <si>
    <t xml:space="preserve">Bagsmart</t>
  </si>
  <si>
    <t xml:space="preserve">3:30pm-7:00pm</t>
  </si>
  <si>
    <t xml:space="preserve">Ian</t>
  </si>
  <si>
    <t xml:space="preserve">Marina Hribernig</t>
  </si>
  <si>
    <t xml:space="preserve">Byron</t>
  </si>
  <si>
    <t xml:space="preserve">3:45pm-7:00pm</t>
  </si>
  <si>
    <t xml:space="preserve">victoria</t>
  </si>
  <si>
    <t xml:space="preserve">Simba</t>
  </si>
  <si>
    <t xml:space="preserve">Jennie Marie Pacelli</t>
  </si>
  <si>
    <t xml:space="preserve">6:00pm-10:00pm</t>
  </si>
  <si>
    <t xml:space="preserve">Bagsmart Mod</t>
  </si>
  <si>
    <t xml:space="preserve">3:00pm-7:15pm</t>
  </si>
  <si>
    <t xml:space="preserve">Ian Sandvik</t>
  </si>
  <si>
    <t xml:space="preserve">3:30pm-7:15pm</t>
  </si>
  <si>
    <t xml:space="preserve">3:45pm-7:15pm</t>
  </si>
  <si>
    <t xml:space="preserve">6:30pm-10:15pm</t>
  </si>
  <si>
    <t xml:space="preserve">Dabual(Simba)</t>
  </si>
  <si>
    <t xml:space="preserve">Bagsmart Mod Training</t>
  </si>
  <si>
    <t xml:space="preserve">3:45pm-5:00pm</t>
  </si>
  <si>
    <t xml:space="preserve">Bagsmart Training</t>
  </si>
  <si>
    <t xml:space="preserve">UMi</t>
  </si>
  <si>
    <t xml:space="preserve">UMi Mod</t>
  </si>
  <si>
    <t xml:space="preserve">5:45pm-9:00pm</t>
  </si>
  <si>
    <t xml:space="preserve">7:15pm-10:30pm</t>
  </si>
  <si>
    <t xml:space="preserve">10:45am-2:00pm</t>
  </si>
  <si>
    <t xml:space="preserve">UMi Training</t>
  </si>
  <si>
    <t xml:space="preserve">2:00pm-9:00pm</t>
  </si>
  <si>
    <t xml:space="preserve">1:30pm-2:00pm</t>
  </si>
  <si>
    <t xml:space="preserve">3:00pm-3:30pm</t>
  </si>
  <si>
    <t xml:space="preserve">High Fundamental (周播18H目标)</t>
  </si>
  <si>
    <t xml:space="preserve">Highfundamental</t>
  </si>
  <si>
    <t xml:space="preserve">Host cancel No Pay</t>
  </si>
  <si>
    <t xml:space="preserve">Aelfric Eden</t>
  </si>
  <si>
    <t xml:space="preserve">5:45pm-10:00pm</t>
  </si>
  <si>
    <t xml:space="preserve">izzy</t>
  </si>
  <si>
    <t xml:space="preserve">Aelfric Eden Mod</t>
  </si>
  <si>
    <t xml:space="preserve">SE</t>
  </si>
  <si>
    <t xml:space="preserve">Alexandra McDonald</t>
  </si>
  <si>
    <t xml:space="preserve">Madox</t>
  </si>
  <si>
    <t xml:space="preserve">4:45pm-9:00pm</t>
  </si>
  <si>
    <t xml:space="preserve">场控生病自己取消</t>
  </si>
  <si>
    <t xml:space="preserve">Aelfric Eden Training</t>
  </si>
  <si>
    <t xml:space="preserve">Zoey</t>
  </si>
  <si>
    <t xml:space="preserve">Maskert Girl</t>
  </si>
  <si>
    <t xml:space="preserve">Maskert Girl Mod</t>
  </si>
  <si>
    <t xml:space="preserve">2:45pm-5:00pm</t>
  </si>
  <si>
    <t xml:space="preserve">1:45pm-4:00pm</t>
  </si>
  <si>
    <t xml:space="preserve">12:45pm-3:00pm</t>
  </si>
  <si>
    <t xml:space="preserve">3:15pm-5:15pm</t>
  </si>
  <si>
    <t xml:space="preserve">3:15pm-5:00pm</t>
  </si>
  <si>
    <t xml:space="preserve">Basic Training</t>
  </si>
  <si>
    <t xml:space="preserve">11:00am-1:30pm</t>
  </si>
  <si>
    <t xml:space="preserve">Nicholas Andrew Rascona </t>
  </si>
  <si>
    <t xml:space="preserve">Miya</t>
  </si>
  <si>
    <t xml:space="preserve">3619 Eastham Drive</t>
  </si>
  <si>
    <t xml:space="preserve">YES</t>
  </si>
  <si>
    <t xml:space="preserve">Jennie Marie Pacelli</t>
  </si>
  <si>
    <t xml:space="preserve">Monday</t>
  </si>
  <si>
    <t xml:space="preserve">Madison Rankin</t>
  </si>
  <si>
    <t xml:space="preserve">Keith Comley</t>
  </si>
  <si>
    <t xml:space="preserve">Abdolrahman Sales（Abdul)</t>
  </si>
  <si>
    <t xml:space="preserve">Friday</t>
  </si>
  <si>
    <t xml:space="preserve">Sabrina Cortes</t>
  </si>
  <si>
    <t xml:space="preserve">Video Shoot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</si>
  <si>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</si>
  <si>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</si>
  <si>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</si>
  <si>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</si>
  <si>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</si>
  <si>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</si>
  <si>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</si>
  <si>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</si>
  <si>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</si>
  <si>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雅迪电动车Video Shooting</t>
  </si>
  <si>
    <t xml:space="preserve">10:30am-12:30pm</t>
  </si>
  <si>
    <t xml:space="preserve">B-ROLL Shooting</t>
  </si>
  <si>
    <t xml:space="preserve">10:30am-1:30pm</t>
  </si>
  <si>
    <t xml:space="preserve">徕芬Video Shooting</t>
  </si>
  <si>
    <t xml:space="preserve">PENDING</t>
  </si>
  <si>
    <t xml:space="preserve">【交付1组】</t>
  </si>
  <si>
    <t xml:space="preserve">VEVOR TOOL（周播30小时目标）</t>
  </si>
  <si>
    <t xml:space="preserve">Mod（写清楚场控跟播的时间段）</t>
  </si>
  <si>
    <t xml:space="preserve">VEVOR TOOL</t>
  </si>
  <si>
    <t xml:space="preserve">2:00pm-4:00pm</t>
  </si>
  <si>
    <t xml:space="preserve">Carly Johnson</t>
  </si>
  <si>
    <t xml:space="preserve">ziyi</t>
  </si>
  <si>
    <t xml:space="preserve">8461 Higuera Street</t>
  </si>
  <si>
    <t xml:space="preserve">VEVOR TOOL Mod</t>
  </si>
  <si>
    <t xml:space="preserve">4:00pm-7:00pm</t>
  </si>
  <si>
    <t xml:space="preserve">Joseph Davis Massingill</t>
  </si>
  <si>
    <t xml:space="preserve">izzy</t>
  </si>
  <si>
    <t xml:space="preserve">Izzy Mu</t>
  </si>
  <si>
    <t xml:space="preserve">7:00pm-11:00pm</t>
  </si>
  <si>
    <t xml:space="preserve">Anthony Traina</t>
  </si>
  <si>
    <t xml:space="preserve">vicr</t>
  </si>
  <si>
    <t xml:space="preserve">Victoria Rose</t>
  </si>
  <si>
    <t xml:space="preserve">VEVOR TOOL Training</t>
  </si>
  <si>
    <t xml:space="preserve">12:00pm-2:00pm</t>
  </si>
  <si>
    <t xml:space="preserve">kk</t>
  </si>
  <si>
    <t xml:space="preserve">4:00pm-6:00pm</t>
  </si>
  <si>
    <t xml:space="preserve">Kory Getman</t>
  </si>
  <si>
    <t xml:space="preserve">2:00pm-6:00pm</t>
  </si>
  <si>
    <t xml:space="preserve">6:00pm-10:00pm</t>
  </si>
  <si>
    <t xml:space="preserve">kk/jirou</t>
  </si>
  <si>
    <t xml:space="preserve">5:00pm-10:00pm</t>
  </si>
  <si>
    <t xml:space="preserve">jirou</t>
  </si>
  <si>
    <t xml:space="preserve">3:00pm-4:00pm</t>
  </si>
  <si>
    <t xml:space="preserve">watch</t>
  </si>
  <si>
    <t xml:space="preserve">11:00am-2:00pm</t>
  </si>
  <si>
    <t xml:space="preserve">kk/izzy</t>
  </si>
  <si>
    <t xml:space="preserve">4:00pm-6:30pm</t>
  </si>
  <si>
    <t xml:space="preserve">2:00pm-3:00pm</t>
  </si>
  <si>
    <t xml:space="preserve">3:00pm-7:00pm</t>
  </si>
  <si>
    <t xml:space="preserve">6:30pm-11:00pm</t>
  </si>
  <si>
    <t xml:space="preserve">will</t>
  </si>
  <si>
    <t xml:space="preserve">William Dennis</t>
  </si>
  <si>
    <t xml:space="preserve"> </t>
  </si>
  <si>
    <t xml:space="preserve">1:00pm-3:00pm</t>
  </si>
  <si>
    <t xml:space="preserve">3:00pm-5:00pm</t>
  </si>
  <si>
    <t xml:space="preserve">1:00pm-6:00pm</t>
  </si>
  <si>
    <t xml:space="preserve">5:00pm-8:00pm</t>
  </si>
  <si>
    <t xml:space="preserve">kk/vicr</t>
  </si>
  <si>
    <t xml:space="preserve">6:00pm-8:00pm</t>
  </si>
  <si>
    <t xml:space="preserve">11:00am-12:30pm</t>
  </si>
  <si>
    <t xml:space="preserve">12:30pm-3:00pm</t>
  </si>
  <si>
    <t xml:space="preserve">1:00pm-5:00pm</t>
  </si>
  <si>
    <t xml:space="preserve">2:00pm-5:00pm</t>
  </si>
  <si>
    <t xml:space="preserve">5:00pm-7:00pm</t>
  </si>
  <si>
    <t xml:space="preserve">数据补齐+产品复盘</t>
  </si>
  <si>
    <t xml:space="preserve">Pacagen</t>
  </si>
  <si>
    <t xml:space="preserve">10:00am-1:00pm</t>
  </si>
  <si>
    <t xml:space="preserve">8:00am-11:00am</t>
  </si>
  <si>
    <t xml:space="preserve">Dilara Foscht</t>
  </si>
  <si>
    <t xml:space="preserve">9:00am-12:00pm</t>
  </si>
  <si>
    <t xml:space="preserve">11:00am -1:00pm</t>
  </si>
  <si>
    <t xml:space="preserve">Iris (Alexis) Perry</t>
  </si>
  <si>
    <t xml:space="preserve">主播取消 不pay</t>
  </si>
  <si>
    <t xml:space="preserve">8:00am-12:00pm</t>
  </si>
  <si>
    <t xml:space="preserve">Pacagen Mod</t>
  </si>
  <si>
    <t xml:space="preserve">9:45am-1:00pm</t>
  </si>
  <si>
    <t xml:space="preserve">Alberto Soberanes</t>
  </si>
  <si>
    <t xml:space="preserve">Live at 10-1</t>
  </si>
  <si>
    <t xml:space="preserve">7:45am-11:00am</t>
  </si>
  <si>
    <t xml:space="preserve">Live at 8-11</t>
  </si>
  <si>
    <t xml:space="preserve">8:45am-12:00pm</t>
  </si>
  <si>
    <t xml:space="preserve">Live at 9-12</t>
  </si>
  <si>
    <t xml:space="preserve">7:45am-11:45am</t>
  </si>
  <si>
    <t xml:space="preserve">Kara</t>
  </si>
  <si>
    <t xml:space="preserve">8:45am-12:45pm</t>
  </si>
  <si>
    <t xml:space="preserve">7:45am-12:00pm</t>
  </si>
  <si>
    <t xml:space="preserve">Live at 8-12</t>
  </si>
  <si>
    <t xml:space="preserve">Lesure</t>
  </si>
  <si>
    <t xml:space="preserve">Lesure Training</t>
  </si>
  <si>
    <t xml:space="preserve">2:00pm - 3:00pm</t>
  </si>
  <si>
    <t xml:space="preserve">Ava Gold</t>
  </si>
  <si>
    <t xml:space="preserve">12:00pm - 3:00pm</t>
  </si>
  <si>
    <t xml:space="preserve">Clark Smith</t>
  </si>
  <si>
    <t xml:space="preserve">12-2 Ziyi 2-3 Ivy</t>
  </si>
  <si>
    <t xml:space="preserve">Iris</t>
  </si>
  <si>
    <t xml:space="preserve">Samuel Solomon</t>
  </si>
  <si>
    <t xml:space="preserve">Fiona</t>
  </si>
  <si>
    <t xml:space="preserve">3:00pm - 6:00pm</t>
  </si>
  <si>
    <t xml:space="preserve">iris</t>
  </si>
  <si>
    <t xml:space="preserve">Ziyi</t>
  </si>
  <si>
    <t xml:space="preserve">3:00pm - 6:15pm</t>
  </si>
  <si>
    <t xml:space="preserve">1:00pm - 4:00pm</t>
  </si>
  <si>
    <t xml:space="preserve">Lesure Mod</t>
  </si>
  <si>
    <t xml:space="preserve">11:45am - 2:00pm</t>
  </si>
  <si>
    <t xml:space="preserve">Live at 12-3</t>
  </si>
  <si>
    <t xml:space="preserve">11:45am - 3:45pm</t>
  </si>
  <si>
    <t xml:space="preserve">11:30am - 3:00pm</t>
  </si>
  <si>
    <t xml:space="preserve">Fiona Lee</t>
  </si>
  <si>
    <t xml:space="preserve">2:45pm - 3:30pm</t>
  </si>
  <si>
    <t xml:space="preserve">Live at 3-6</t>
  </si>
  <si>
    <t xml:space="preserve">3:30pm - 6:00pm</t>
  </si>
  <si>
    <t xml:space="preserve">11:45am - 3:00pm</t>
  </si>
  <si>
    <t xml:space="preserve">2:00pm - 6:15pm</t>
  </si>
  <si>
    <t xml:space="preserve">12:45pm - 4:30pm</t>
  </si>
  <si>
    <t xml:space="preserve">Live at 1-4</t>
  </si>
  <si>
    <t xml:space="preserve">Joyin</t>
  </si>
  <si>
    <t xml:space="preserve">Joyin Training</t>
  </si>
  <si>
    <t xml:space="preserve">3:00pm - 5:00pm</t>
  </si>
  <si>
    <t xml:space="preserve">4:00pm - 6:00pm</t>
  </si>
  <si>
    <t xml:space="preserve">1:00pm - 2:00pm</t>
  </si>
  <si>
    <t xml:space="preserve">2:00pm - 5:00pm</t>
  </si>
  <si>
    <t xml:space="preserve">换给bagsmart</t>
  </si>
  <si>
    <t xml:space="preserve">7:00pm - 10:00pm</t>
  </si>
  <si>
    <t xml:space="preserve">提前24小时取消</t>
  </si>
  <si>
    <t xml:space="preserve">6:00pm - 9:00pm</t>
  </si>
  <si>
    <t xml:space="preserve">Joyin Mod</t>
  </si>
  <si>
    <t xml:space="preserve">Tony</t>
  </si>
  <si>
    <t xml:space="preserve">5:45pm - 9:45pm</t>
  </si>
  <si>
    <t xml:space="preserve">Ian Sandvik</t>
  </si>
  <si>
    <t xml:space="preserve">Xtool</t>
  </si>
  <si>
    <t xml:space="preserve">每周目标23h</t>
  </si>
  <si>
    <t xml:space="preserve">Cristian Urbina</t>
  </si>
  <si>
    <t xml:space="preserve">ouyang</t>
  </si>
  <si>
    <t xml:space="preserve">cris要求减少1h时长，bianca临时多加1h</t>
  </si>
  <si>
    <t xml:space="preserve">Bianca Foscht</t>
  </si>
  <si>
    <t xml:space="preserve">1:00pm-4:00pm</t>
  </si>
  <si>
    <t xml:space="preserve">Xtool Training</t>
  </si>
  <si>
    <t xml:space="preserve">juan</t>
  </si>
  <si>
    <t xml:space="preserve">3:00pm-6:00pm</t>
  </si>
  <si>
    <t xml:space="preserve">2:00pm-7:00pm</t>
  </si>
  <si>
    <t xml:space="preserve">rita</t>
  </si>
  <si>
    <t xml:space="preserve"> 跟欧阳对接Xtool，从后台拉了Xtool数据
 完成Xtool交接文档
 看Xtool新的话术文档
 约Cristian周四training
 跟Xtool品牌方申请了复盘和周会文档权限，以及后台登录</t>
  </si>
  <si>
    <t xml:space="preserve">Xtool Mod</t>
  </si>
  <si>
    <t xml:space="preserve">Wenqi Ouyang</t>
  </si>
  <si>
    <t xml:space="preserve">11:30am-4:00pm</t>
  </si>
  <si>
    <t xml:space="preserve">提前来帮anrong弄clarks数据</t>
  </si>
  <si>
    <t xml:space="preserve">6:30pm-10:00pm</t>
  </si>
  <si>
    <t xml:space="preserve">Xtool开会，会议信息整理，写Xtool和Larq复盘</t>
  </si>
  <si>
    <t xml:space="preserve">12:30pm-2:00pm</t>
  </si>
  <si>
    <t xml:space="preserve">4:30pm-6:30pm</t>
  </si>
  <si>
    <t xml:space="preserve">Juan Castillo</t>
  </si>
  <si>
    <t xml:space="preserve">12:30pm-4:00pm</t>
  </si>
  <si>
    <t xml:space="preserve">Guillermo Straube</t>
  </si>
  <si>
    <t xml:space="preserve">排班</t>
  </si>
  <si>
    <t xml:space="preserve">排班，重新设置xtool场景，写xtool和larq复盘</t>
  </si>
  <si>
    <t xml:space="preserve">12:30pm-4:30pm</t>
  </si>
  <si>
    <t xml:space="preserve">排班，写Xtool复盘</t>
  </si>
  <si>
    <t xml:space="preserve">4:00pm-5:30pm</t>
  </si>
  <si>
    <t xml:space="preserve">排班，Xtool复盘</t>
  </si>
  <si>
    <t xml:space="preserve">Wattcycle</t>
  </si>
  <si>
    <t xml:space="preserve">Luis Moreno</t>
  </si>
  <si>
    <t xml:space="preserve">12:00pm-3:00pm</t>
  </si>
  <si>
    <t xml:space="preserve">juan主，ouyang学</t>
  </si>
  <si>
    <t xml:space="preserve">Wattcycle Mod</t>
  </si>
  <si>
    <t xml:space="preserve">10:30am-2:00pm</t>
  </si>
  <si>
    <t xml:space="preserve">wenqi ouyang</t>
  </si>
  <si>
    <t xml:space="preserve">training</t>
  </si>
  <si>
    <t xml:space="preserve">Larq</t>
  </si>
  <si>
    <t xml:space="preserve">每周目标8h</t>
  </si>
  <si>
    <t xml:space="preserve">7:00pm-9:00pm</t>
  </si>
  <si>
    <t xml:space="preserve">Emil Chun</t>
  </si>
  <si>
    <t xml:space="preserve">juewen/ouyang</t>
  </si>
  <si>
    <t xml:space="preserve">Larq Video Shooting</t>
  </si>
  <si>
    <t xml:space="preserve">Larq Mod</t>
  </si>
  <si>
    <t xml:space="preserve">Larq Training</t>
  </si>
  <si>
    <t xml:space="preserve">6:00pm-9:00pm</t>
  </si>
  <si>
    <t xml:space="preserve">topdon training 新mod，ace开会，完成larq交接文档</t>
  </si>
  <si>
    <t xml:space="preserve">Momcozy</t>
  </si>
  <si>
    <t xml:space="preserve">Rose Donahue</t>
  </si>
  <si>
    <t xml:space="preserve">Juan</t>
  </si>
  <si>
    <t xml:space="preserve">bruce</t>
  </si>
  <si>
    <t xml:space="preserve">Jessie Canizales</t>
  </si>
  <si>
    <t xml:space="preserve">原本排班，取消后未通知主播</t>
  </si>
  <si>
    <t xml:space="preserve">Momcozy training</t>
  </si>
  <si>
    <t xml:space="preserve">Theresa Jeebe</t>
  </si>
  <si>
    <t xml:space="preserve">juewen</t>
  </si>
  <si>
    <t xml:space="preserve">11:00am-12:00pm</t>
  </si>
  <si>
    <t xml:space="preserve">video editing</t>
  </si>
  <si>
    <t xml:space="preserve">Juan（Rock）</t>
  </si>
  <si>
    <t xml:space="preserve">Momcozy Mod</t>
  </si>
  <si>
    <t xml:space="preserve">Govee-亚马逊直播</t>
  </si>
  <si>
    <t xml:space="preserve">TOPDON</t>
  </si>
  <si>
    <t xml:space="preserve">Ali Kassem</t>
  </si>
  <si>
    <t xml:space="preserve">jingzhi</t>
  </si>
  <si>
    <t xml:space="preserve">April</t>
  </si>
  <si>
    <t xml:space="preserve">TOPDON Training</t>
  </si>
  <si>
    <t xml:space="preserve">TOPDON Mod</t>
  </si>
  <si>
    <t xml:space="preserve">9:00am-2:00pm</t>
  </si>
  <si>
    <t xml:space="preserve">9:00am-1:00pm</t>
  </si>
  <si>
    <t xml:space="preserve">10:00am-2:00pm</t>
  </si>
  <si>
    <t xml:space="preserve">shokzUS</t>
  </si>
  <si>
    <t xml:space="preserve">shokz</t>
  </si>
  <si>
    <t xml:space="preserve">Cam</t>
  </si>
  <si>
    <t xml:space="preserve">AJ</t>
  </si>
  <si>
    <t xml:space="preserve">shokz mod</t>
  </si>
  <si>
    <t xml:space="preserve">7:30am-1:00pm</t>
  </si>
  <si>
    <t xml:space="preserve">cam</t>
  </si>
  <si>
    <t xml:space="preserve">开播+training+复盘</t>
  </si>
  <si>
    <t xml:space="preserve">7:30am-11:30am</t>
  </si>
  <si>
    <t xml:space="preserve">8:30am-12:00pm</t>
  </si>
  <si>
    <t xml:space="preserve">提前换场景+mod</t>
  </si>
  <si>
    <t xml:space="preserve">shokz training</t>
  </si>
  <si>
    <t xml:space="preserve">10:00am-12:00pm</t>
  </si>
  <si>
    <t xml:space="preserve">11:30am-12:30pm</t>
  </si>
  <si>
    <t xml:space="preserve">6:00pm-7:00pm</t>
  </si>
  <si>
    <t xml:space="preserve">10:00am-11:00am</t>
  </si>
  <si>
    <t xml:space="preserve">training+盯播+复盘+优化</t>
  </si>
  <si>
    <t xml:space="preserve">10:00am-4:00pm</t>
  </si>
  <si>
    <t xml:space="preserve">training(Kory&amp;Ziyi&amp;Victoria) + 复盘 + 排班</t>
  </si>
  <si>
    <t xml:space="preserve">12:30pm-2:30pm</t>
  </si>
  <si>
    <t xml:space="preserve">Oedro+Shokz复盘+Oedro优化</t>
  </si>
  <si>
    <t xml:space="preserve">Oedro/Shokz 盯播+复盘</t>
  </si>
  <si>
    <t xml:space="preserve">Bluetti</t>
  </si>
  <si>
    <t xml:space="preserve">Daniel Torres Guevara</t>
  </si>
  <si>
    <t xml:space="preserve">Carlos Pena</t>
  </si>
  <si>
    <t xml:space="preserve">8:00pm-9:20pm</t>
  </si>
  <si>
    <t xml:space="preserve">Orlando Sebastian Ibanez</t>
  </si>
  <si>
    <t xml:space="preserve">victoria</t>
  </si>
  <si>
    <t xml:space="preserve">lourdes</t>
  </si>
  <si>
    <t xml:space="preserve">aj</t>
  </si>
  <si>
    <t xml:space="preserve">12:00pm-5:00pm</t>
  </si>
  <si>
    <t xml:space="preserve">Ailyn</t>
  </si>
  <si>
    <t xml:space="preserve">Bluetti Training</t>
  </si>
  <si>
    <t xml:space="preserve">Ailyn Munoz</t>
  </si>
  <si>
    <t xml:space="preserve">Gavin</t>
  </si>
  <si>
    <t xml:space="preserve">Lourdes Urquiza</t>
  </si>
  <si>
    <t xml:space="preserve">3:00pm-5:30pm</t>
  </si>
  <si>
    <t xml:space="preserve">Bluetti Mod</t>
  </si>
  <si>
    <t xml:space="preserve">5:00pm-9:30pm</t>
  </si>
  <si>
    <t xml:space="preserve">Aosom</t>
  </si>
  <si>
    <t xml:space="preserve">Aosom training</t>
  </si>
  <si>
    <t xml:space="preserve">10:00am-6:00pm</t>
  </si>
  <si>
    <t xml:space="preserve">Aosom 准备</t>
  </si>
  <si>
    <t xml:space="preserve">11:00am-1:00pm</t>
  </si>
  <si>
    <t xml:space="preserve">Kristina Dow</t>
  </si>
  <si>
    <t xml:space="preserve">train主播（Aosom）</t>
  </si>
  <si>
    <t xml:space="preserve">4:00pm-8:00pm</t>
  </si>
  <si>
    <t xml:space="preserve">Aosom setup</t>
  </si>
  <si>
    <t xml:space="preserve">Mariana Quezada</t>
  </si>
  <si>
    <t xml:space="preserve">3:00pm-3:30pm</t>
  </si>
  <si>
    <t xml:space="preserve">4:00pm-5:00pm</t>
  </si>
  <si>
    <t xml:space="preserve">1:30pm-4:30pm</t>
  </si>
  <si>
    <t xml:space="preserve">Keith comley</t>
  </si>
  <si>
    <t xml:space="preserve">victoria rose</t>
  </si>
  <si>
    <t xml:space="preserve">Aosom mod</t>
  </si>
  <si>
    <t xml:space="preserve">3:30pm-9:30pm</t>
  </si>
  <si>
    <t xml:space="preserve">Oedro</t>
  </si>
  <si>
    <t xml:space="preserve">Sally</t>
  </si>
  <si>
    <t xml:space="preserve">7:30pm-9:30pm</t>
  </si>
  <si>
    <t xml:space="preserve">Lion Dodsworth</t>
  </si>
  <si>
    <t xml:space="preserve">Oedro mod</t>
  </si>
  <si>
    <t xml:space="preserve">1:30pm-7:30pm</t>
  </si>
  <si>
    <t xml:space="preserve">Oedro优化 + Mod + training + 开会</t>
  </si>
  <si>
    <t xml:space="preserve">12:30pm-8:30pm</t>
  </si>
  <si>
    <t xml:space="preserve">Oedro优化 + Mod + 开会数据复盘 + 开会</t>
  </si>
  <si>
    <t xml:space="preserve">2:00pm-8:00pm</t>
  </si>
  <si>
    <t xml:space="preserve">train+mod+复盘</t>
  </si>
  <si>
    <t xml:space="preserve">Oedro 优化+mod+复盘+排班</t>
  </si>
  <si>
    <t xml:space="preserve">1:00pm-4:30pm</t>
  </si>
  <si>
    <t xml:space="preserve">Live at 1:30-4:30</t>
  </si>
  <si>
    <t xml:space="preserve">Oedro training</t>
  </si>
  <si>
    <t xml:space="preserve">4:00pm-7:30pm</t>
  </si>
  <si>
    <t xml:space="preserve">开播下播、Oedro 新品pid搜索优化、复盘</t>
  </si>
  <si>
    <t xml:space="preserve">3:00pm-4:30pm</t>
  </si>
  <si>
    <t xml:space="preserve">Creality</t>
  </si>
  <si>
    <t xml:space="preserve">Creality training</t>
  </si>
  <si>
    <t xml:space="preserve">5:30pm-8:30pm</t>
  </si>
  <si>
    <t xml:space="preserve">Creality mod</t>
  </si>
  <si>
    <t xml:space="preserve">4:00pm-9:00pm</t>
  </si>
  <si>
    <t xml:space="preserve">1:30pm-9:00pm</t>
  </si>
  <si>
    <t xml:space="preserve">mod+复盘</t>
  </si>
  <si>
    <t xml:space="preserve">5:30pm-9:00pm</t>
  </si>
  <si>
    <t xml:space="preserve">9:00pm-10:00pm</t>
  </si>
  <si>
    <t xml:space="preserve">复盘</t>
  </si>
  <si>
    <t xml:space="preserve">2:00pm-2:30pm</t>
  </si>
  <si>
    <t xml:space="preserve">train</t>
  </si>
  <si>
    <t xml:space="preserve">5:00pm-8:30pm</t>
  </si>
  <si>
    <t xml:space="preserve">8:30pm-9:30pm</t>
  </si>
  <si>
    <t xml:space="preserve">12:00pm-1:00pm</t>
  </si>
  <si>
    <t xml:space="preserve">9:00am-12:30pm</t>
  </si>
  <si>
    <t xml:space="preserve">10:00am-1:30pm</t>
  </si>
  <si>
    <t xml:space="preserve">【交付2组】</t>
  </si>
  <si>
    <t xml:space="preserve">Wavytalk（周播32H目标）</t>
  </si>
  <si>
    <t xml:space="preserve">Wavytalk</t>
  </si>
  <si>
    <t xml:space="preserve">8:00am-9:00am</t>
  </si>
  <si>
    <t xml:space="preserve">Magdalena Zielonka</t>
  </si>
  <si>
    <t xml:space="preserve">Sophia 8-11：20am</t>
  </si>
  <si>
    <t xml:space="preserve">Jillian Reeves</t>
  </si>
  <si>
    <t xml:space="preserve">Joy 11-1</t>
  </si>
  <si>
    <t xml:space="preserve">Fiona 1-4</t>
  </si>
  <si>
    <t xml:space="preserve">Kutluano Headbush</t>
  </si>
  <si>
    <t xml:space="preserve">Sophia 4-6</t>
  </si>
  <si>
    <t xml:space="preserve">Asante Randall</t>
  </si>
  <si>
    <t xml:space="preserve">Fiona 6-9</t>
  </si>
  <si>
    <t xml:space="preserve">9:00pm - 12:00am</t>
  </si>
  <si>
    <t xml:space="preserve">Audrey Forrester</t>
  </si>
  <si>
    <t xml:space="preserve">Izzy 9-12</t>
  </si>
  <si>
    <t xml:space="preserve">Wavytalk Mod</t>
  </si>
  <si>
    <t xml:space="preserve">11:20am-1:00pm</t>
  </si>
  <si>
    <t xml:space="preserve">Joy Hou</t>
  </si>
  <si>
    <t xml:space="preserve">1:00pm-4:20pm</t>
  </si>
  <si>
    <t xml:space="preserve">9:00pm-12:00am</t>
  </si>
  <si>
    <t xml:space="preserve">Wavytalk Training</t>
  </si>
  <si>
    <t xml:space="preserve">11:30am-12:00pm</t>
  </si>
  <si>
    <t xml:space="preserve">8:00pm-9:00pm</t>
  </si>
  <si>
    <t xml:space="preserve">12:00pm-12:30pm</t>
  </si>
  <si>
    <t xml:space="preserve">Mindy开播</t>
  </si>
  <si>
    <t xml:space="preserve">11-2 Lourdes</t>
  </si>
  <si>
    <t xml:space="preserve">Izzy 2-4</t>
  </si>
  <si>
    <t xml:space="preserve">5:00pm-9:00pm</t>
  </si>
  <si>
    <t xml:space="preserve">4-7 Fiona/7-9 Ziyi</t>
  </si>
  <si>
    <t xml:space="preserve">11:00am - 2:00pm</t>
  </si>
  <si>
    <t xml:space="preserve">12:30pm-1:00pm</t>
  </si>
  <si>
    <t xml:space="preserve">Erin Micklow</t>
  </si>
  <si>
    <t xml:space="preserve">8:00am-11:30am</t>
  </si>
  <si>
    <t xml:space="preserve">Sophia 8-11</t>
  </si>
  <si>
    <t xml:space="preserve">11:30am-1:00pm</t>
  </si>
  <si>
    <t xml:space="preserve">1:00pm-2:00pm</t>
  </si>
  <si>
    <t xml:space="preserve">Sophia 2-4</t>
  </si>
  <si>
    <t xml:space="preserve">主播临时生病取消</t>
  </si>
  <si>
    <t xml:space="preserve">4-7 Fiona/7-9 Izzy</t>
  </si>
  <si>
    <t xml:space="preserve">1:30pm-4:00pm</t>
  </si>
  <si>
    <t xml:space="preserve">贴片</t>
  </si>
  <si>
    <t xml:space="preserve">Sophia</t>
  </si>
  <si>
    <t xml:space="preserve">Lourdes</t>
  </si>
  <si>
    <t xml:space="preserve">Isabelle Lauderdale</t>
  </si>
  <si>
    <t xml:space="preserve">Sophia 5-7/Fiona7-10</t>
  </si>
  <si>
    <t xml:space="preserve">Izzy 10-12</t>
  </si>
  <si>
    <t xml:space="preserve">Sunday</t>
  </si>
  <si>
    <t xml:space="preserve">7:00pm-10:00pm</t>
  </si>
  <si>
    <t xml:space="preserve">10:00pm-12:00am</t>
  </si>
  <si>
    <t xml:space="preserve">10:30am-11:00am</t>
  </si>
  <si>
    <t xml:space="preserve">WavyTalk Amazon</t>
  </si>
  <si>
    <t xml:space="preserve">Wavytalk Amazon</t>
  </si>
  <si>
    <t xml:space="preserve">6:00pm - 8:00pm</t>
  </si>
  <si>
    <t xml:space="preserve">5:00pm - 8:30pm</t>
  </si>
  <si>
    <t xml:space="preserve">培训 Sophia带教</t>
  </si>
  <si>
    <t xml:space="preserve">Grace Karin（周播15H目标）</t>
  </si>
  <si>
    <t xml:space="preserve">Grace Karin</t>
  </si>
  <si>
    <t xml:space="preserve">Rachel Jackson</t>
  </si>
  <si>
    <t xml:space="preserve">Suzannah Samuel</t>
  </si>
  <si>
    <t xml:space="preserve">Grace Karin Mod</t>
  </si>
  <si>
    <t xml:space="preserve">2:00pm-6:35pm</t>
  </si>
  <si>
    <t xml:space="preserve">10:00am-3:00pm</t>
  </si>
  <si>
    <t xml:space="preserve">Grace Karin Training</t>
  </si>
  <si>
    <t xml:space="preserve">Eufy（周播20H目标）</t>
  </si>
  <si>
    <t xml:space="preserve">Viofo</t>
  </si>
  <si>
    <t xml:space="preserve">Yianna（周播48H目标）</t>
  </si>
  <si>
    <t xml:space="preserve">Yianna Training</t>
  </si>
  <si>
    <t xml:space="preserve">5:00pm-6:00pm</t>
  </si>
  <si>
    <t xml:space="preserve">Dina Zavala Fuentes</t>
  </si>
  <si>
    <t xml:space="preserve">Yianna</t>
  </si>
  <si>
    <t xml:space="preserve">Fenix</t>
  </si>
  <si>
    <t xml:space="preserve">Yianna Mod</t>
  </si>
  <si>
    <t xml:space="preserve">2:45pm-6:30pm</t>
  </si>
  <si>
    <t xml:space="preserve">Assiya Louahabi</t>
  </si>
  <si>
    <t xml:space="preserve">6:30pm-9:00pm</t>
  </si>
  <si>
    <t xml:space="preserve">2:30pm-3:00pm</t>
  </si>
  <si>
    <t xml:space="preserve">Stephanie Espinal</t>
  </si>
  <si>
    <t xml:space="preserve">2:45pm-5:30pm</t>
  </si>
  <si>
    <t xml:space="preserve">3:00pm-6:30pm</t>
  </si>
  <si>
    <t xml:space="preserve">Lovevook（周播24H目标）周六大场</t>
  </si>
  <si>
    <t xml:space="preserve">Lovevook</t>
  </si>
  <si>
    <t xml:space="preserve">Lovevook Training</t>
  </si>
  <si>
    <t xml:space="preserve">4:00pm-4:15pm</t>
  </si>
  <si>
    <t/>
    <r>
      <rPr>
        <u val="single"/>
        <color theme="10"/>
      </rPr>
      <t xml:space="preserve">@Zixuan Wang</t>
    </r>
  </si>
  <si>
    <t xml:space="preserve">加时15分钟复盘</t>
  </si>
  <si>
    <t xml:space="preserve">Lovevook Mod</t>
  </si>
  <si>
    <t xml:space="preserve">1:40pm-6:10pm</t>
  </si>
  <si>
    <t xml:space="preserve">Kasian Wick</t>
  </si>
  <si>
    <t xml:space="preserve">Yifan Li (Nickie)</t>
  </si>
  <si>
    <t/>
    <r>
      <rPr>
        <u val="single"/>
        <color theme="10"/>
      </rPr>
      <t xml:space="preserve">@Zixuan Wang</t>
    </r>
  </si>
  <si>
    <t xml:space="preserve">看播</t>
  </si>
  <si>
    <t xml:space="preserve">4:00pm-8:30pm</t>
  </si>
  <si>
    <t xml:space="preserve">Xiangling Li (Lexi)</t>
  </si>
  <si>
    <t xml:space="preserve">一起培训</t>
  </si>
  <si>
    <t xml:space="preserve">Linyao (Evelyn)</t>
  </si>
  <si>
    <t xml:space="preserve">没来，联系不上</t>
  </si>
  <si>
    <t xml:space="preserve">2:40pm-7:10pm</t>
  </si>
  <si>
    <t xml:space="preserve">9:50am-10:00am</t>
  </si>
  <si>
    <t/>
    <r>
      <rPr>
        <u val="single"/>
        <color theme="10"/>
      </rPr>
      <t xml:space="preserve">@Zixuan Wang</t>
    </r>
  </si>
  <si>
    <t xml:space="preserve">迟到</t>
  </si>
  <si>
    <t/>
    <r>
      <rPr>
        <u val="single"/>
        <color theme="10"/>
      </rPr>
      <t xml:space="preserve">@Zixuan Wang</t>
    </r>
    <r>
      <rPr/>
      <t>大场</t>
    </r>
  </si>
  <si>
    <t xml:space="preserve">1:30pm-2:00pm</t>
  </si>
  <si>
    <t/>
    <r>
      <rPr>
        <u val="single"/>
        <color theme="10"/>
      </rPr>
      <t xml:space="preserve">@Zixuan Wang</t>
    </r>
  </si>
  <si>
    <t xml:space="preserve">培训新品</t>
  </si>
  <si>
    <t/>
    <r>
      <rPr>
        <u val="single"/>
        <color theme="10"/>
      </rPr>
      <t xml:space="preserve">@Zixuan Wang</t>
    </r>
    <r>
      <rPr/>
      <t>大场</t>
    </r>
  </si>
  <si>
    <t xml:space="preserve">4:30pm-5:00pm</t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</si>
  <si>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</si>
  <si>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  <r>
      <rPr/>
      <t>大场</t>
    </r>
  </si>
  <si>
    <t/>
    <r>
      <rPr>
        <u val="single"/>
        <color theme="10"/>
      </rPr>
      <t xml:space="preserve">@Zixuan Wang</t>
    </r>
    <r>
      <rPr/>
      <t xml:space="preserve"> 培训</t>
    </r>
  </si>
  <si>
    <t xml:space="preserve">培训重点：讲品节奏、新品、看播Jessie</t>
  </si>
  <si>
    <t xml:space="preserve">9:45am-1:30pm</t>
  </si>
  <si>
    <t/>
    <r>
      <rPr>
        <u val="single"/>
        <color theme="10"/>
      </rPr>
      <t xml:space="preserve">@Zixuan Wang</t>
    </r>
    <r>
      <rPr/>
      <t>带教</t>
    </r>
  </si>
  <si>
    <t xml:space="preserve">1:30pm-5:00pm</t>
  </si>
  <si>
    <t xml:space="preserve">5:00pm-8:10pm</t>
  </si>
  <si>
    <t xml:space="preserve">10:30am-2:30pm</t>
  </si>
  <si>
    <t/>
    <r>
      <rPr>
        <u val="single"/>
        <color theme="10"/>
      </rPr>
      <t xml:space="preserve">@Zixuan Wang</t>
    </r>
    <r>
      <rPr/>
      <t>大场</t>
    </r>
  </si>
  <si>
    <t xml:space="preserve">2:30pm-5:30pm</t>
  </si>
  <si>
    <t/>
    <r>
      <rPr>
        <u val="single"/>
        <color theme="10"/>
      </rPr>
      <t xml:space="preserve">@Zixuan Wang</t>
    </r>
    <r>
      <rPr/>
      <t>大场</t>
    </r>
  </si>
  <si>
    <t xml:space="preserve">5:30pm-8:45pm</t>
  </si>
  <si>
    <t/>
    <r>
      <rPr>
        <u val="single"/>
        <color theme="10"/>
      </rPr>
      <t xml:space="preserve">@Zixuan Wang</t>
    </r>
    <r>
      <rPr/>
      <t>大场</t>
    </r>
  </si>
  <si>
    <t xml:space="preserve">2:10pm-2:40pm</t>
  </si>
  <si>
    <t/>
    <r>
      <rPr>
        <u val="single"/>
        <color theme="10"/>
      </rPr>
      <t xml:space="preserve">@Zixuan Wang</t>
    </r>
    <r>
      <rPr/>
      <t xml:space="preserve"> 培训</t>
    </r>
  </si>
  <si>
    <t xml:space="preserve">3:30pm-5:30pm</t>
  </si>
  <si>
    <t/>
    <r>
      <rPr>
        <u val="single"/>
        <color theme="10"/>
      </rPr>
      <t xml:space="preserve">@Zixuan Wang</t>
    </r>
    <r>
      <rPr/>
      <t xml:space="preserve"> 培训</t>
    </r>
  </si>
  <si>
    <t xml:space="preserve">培训重点：讲品、节奏新品、看播Rachel</t>
  </si>
  <si>
    <t xml:space="preserve">10:15am-2:30pm</t>
  </si>
  <si>
    <t xml:space="preserve">11:00am-3:00pm</t>
  </si>
  <si>
    <t/>
    <r>
      <rPr>
        <u val="single"/>
        <color theme="10"/>
      </rPr>
      <t xml:space="preserve">@Zixuan Wang</t>
    </r>
    <r>
      <rPr/>
      <t>大场</t>
    </r>
  </si>
  <si>
    <t/>
    <r>
      <rPr>
        <u val="single"/>
        <color theme="10"/>
      </rPr>
      <t xml:space="preserve">@Zixuan Wang</t>
    </r>
    <r>
      <rPr/>
      <t>大场</t>
    </r>
  </si>
  <si>
    <t/>
    <r>
      <rPr>
        <u val="single"/>
        <color theme="10"/>
      </rPr>
      <t xml:space="preserve">@Zixuan Wang</t>
    </r>
    <r>
      <rPr/>
      <t>大场</t>
    </r>
  </si>
  <si>
    <t xml:space="preserve">10:45am-3:00pm</t>
  </si>
  <si>
    <t xml:space="preserve">7:00pm-9:30pm</t>
  </si>
  <si>
    <t/>
    <r>
      <rPr>
        <u val="single"/>
        <color theme="10"/>
      </rPr>
      <t xml:space="preserve">@Zixuan Wang</t>
    </r>
    <r>
      <rPr/>
      <t>大场</t>
    </r>
  </si>
  <si>
    <t/>
    <r>
      <rPr>
        <u val="single"/>
        <color theme="10"/>
      </rPr>
      <t xml:space="preserve">@Zixuan Wang</t>
    </r>
    <r>
      <rPr/>
      <t>培训</t>
    </r>
  </si>
  <si>
    <t xml:space="preserve">迟到35分钟</t>
  </si>
  <si>
    <t xml:space="preserve">1:05pm-2:00pm</t>
  </si>
  <si>
    <t/>
    <r>
      <rPr>
        <u val="single"/>
        <color theme="10"/>
      </rPr>
      <t xml:space="preserve">@Zixuan Wang</t>
    </r>
    <r>
      <rPr/>
      <t>培训</t>
    </r>
  </si>
  <si>
    <t/>
    <r>
      <rPr>
        <u val="single"/>
        <color theme="10"/>
      </rPr>
      <t xml:space="preserve">@Zixuan Wang</t>
    </r>
    <r>
      <rPr/>
      <t>大场</t>
    </r>
  </si>
  <si>
    <t/>
    <r>
      <rPr>
        <u val="single"/>
        <color theme="10"/>
      </rPr>
      <t xml:space="preserve">@Zixuan Wang</t>
    </r>
    <r>
      <rPr/>
      <t>大场</t>
    </r>
  </si>
  <si>
    <t xml:space="preserve">9:45am-2:08pm</t>
  </si>
  <si>
    <t xml:space="preserve">2:08pm-5:00pm</t>
  </si>
  <si>
    <t xml:space="preserve">Kaitlyn Didi</t>
  </si>
  <si>
    <t xml:space="preserve">原定2:00，迟到8分钟，加给Nickie</t>
  </si>
  <si>
    <t xml:space="preserve">DJI</t>
  </si>
  <si>
    <t xml:space="preserve">运营（写清楚场控跟播的时间段）</t>
  </si>
  <si>
    <t xml:space="preserve">直播间</t>
  </si>
  <si>
    <t xml:space="preserve">9:00pm-12:00pm</t>
  </si>
  <si>
    <t xml:space="preserve">Bruce</t>
  </si>
  <si>
    <t xml:space="preserve">Back up</t>
  </si>
  <si>
    <t xml:space="preserve">Bagsmart（周播18H目标）</t>
  </si>
  <si>
    <t xml:space="preserve">Bagsmart</t>
  </si>
  <si>
    <t xml:space="preserve">Marina Hribernig</t>
  </si>
  <si>
    <t xml:space="preserve">未提前取消</t>
  </si>
  <si>
    <t xml:space="preserve">3:30pm-7:00pm</t>
  </si>
  <si>
    <t xml:space="preserve">Bagsmart Mod</t>
  </si>
  <si>
    <t xml:space="preserve">1:45pm-7:15pm</t>
  </si>
  <si>
    <t xml:space="preserve">30 minutes break</t>
  </si>
  <si>
    <t xml:space="preserve">3:45pm-7:15pm</t>
  </si>
  <si>
    <t xml:space="preserve">Byron</t>
  </si>
  <si>
    <t xml:space="preserve">4:45pm-8:15pm</t>
  </si>
  <si>
    <t xml:space="preserve">UMi</t>
  </si>
  <si>
    <t xml:space="preserve">5:45pm-9:00pm</t>
  </si>
  <si>
    <t/>
    <r>
      <rPr>
        <u val="single"/>
        <color theme="10"/>
      </rPr>
      <t xml:space="preserve">@Liqi Mao</t>
    </r>
  </si>
  <si>
    <t xml:space="preserve">UMi Mod</t>
  </si>
  <si>
    <t xml:space="preserve">4:30pm-7:30pm</t>
  </si>
  <si>
    <t/>
    <r>
      <rPr>
        <u val="single"/>
        <color theme="10"/>
      </rPr>
      <t xml:space="preserve">@Liqi Mao</t>
    </r>
  </si>
  <si>
    <t xml:space="preserve">2:15pm-5:30pm</t>
  </si>
  <si>
    <t/>
    <r>
      <rPr>
        <u val="single"/>
        <color theme="10"/>
      </rPr>
      <t xml:space="preserve">@Liqi Mao</t>
    </r>
  </si>
  <si>
    <t xml:space="preserve">Live starts at 6:00pm</t>
  </si>
  <si>
    <t xml:space="preserve">Madox Dorsey</t>
  </si>
  <si>
    <t xml:space="preserve">10:45am-2:00pm</t>
  </si>
  <si>
    <t xml:space="preserve">UMi Training</t>
  </si>
  <si>
    <t xml:space="preserve">2:00pm-9:00pm</t>
  </si>
  <si>
    <t xml:space="preserve">Dabual(Simba)</t>
  </si>
  <si>
    <t/>
    <r>
      <rPr>
        <u val="single"/>
        <color theme="10"/>
      </rPr>
      <t xml:space="preserve">@Xi Chen</t>
    </r>
    <r>
      <rPr>
        <u val="single"/>
        <color theme="10"/>
      </rPr>
      <t xml:space="preserve">@Liqi Mao</t>
    </r>
  </si>
  <si>
    <t xml:space="preserve">High Fundamental (周播18H目标)</t>
  </si>
  <si>
    <t xml:space="preserve">Highfundamental</t>
  </si>
  <si>
    <t xml:space="preserve">3:30pm-6:30pm</t>
  </si>
  <si>
    <t xml:space="preserve">Kasian</t>
  </si>
  <si>
    <t xml:space="preserve">Host cancel No Pay</t>
  </si>
  <si>
    <t xml:space="preserve">Highfundamental Mod</t>
  </si>
  <si>
    <t xml:space="preserve">Izzy</t>
  </si>
  <si>
    <t xml:space="preserve">Highfundamental Training</t>
  </si>
  <si>
    <t xml:space="preserve">Aelfric Eden</t>
  </si>
  <si>
    <t xml:space="preserve">8:00pm-10:00pm</t>
  </si>
  <si>
    <t xml:space="preserve">Izzy </t>
  </si>
  <si>
    <t xml:space="preserve">Aelfric Eden Mod</t>
  </si>
  <si>
    <t xml:space="preserve">SE</t>
  </si>
  <si>
    <t xml:space="preserve">5:45pm-10:00pm</t>
  </si>
  <si>
    <t xml:space="preserve">5:30pm-8:00pm</t>
  </si>
  <si>
    <t xml:space="preserve">Alexandra McDonald</t>
  </si>
  <si>
    <t xml:space="preserve">6-7Lourdes 7-8 Izzy</t>
  </si>
  <si>
    <t xml:space="preserve">madox</t>
  </si>
  <si>
    <t xml:space="preserve">主播自己取消</t>
  </si>
  <si>
    <t xml:space="preserve">4:45pm-7:00pm</t>
  </si>
  <si>
    <t xml:space="preserve">Aelfric Eden Training</t>
  </si>
  <si>
    <t xml:space="preserve">Zoey</t>
  </si>
  <si>
    <t xml:space="preserve">Thursday</t>
  </si>
  <si>
    <t xml:space="preserve">Maskert Girl</t>
  </si>
  <si>
    <t xml:space="preserve">Wednesday</t>
  </si>
  <si>
    <t xml:space="preserve">提前24h取消</t>
  </si>
  <si>
    <t xml:space="preserve">Maskert Girl Mod</t>
  </si>
  <si>
    <t xml:space="preserve">2:45pm-5:00pm</t>
  </si>
  <si>
    <t xml:space="preserve">Victoria</t>
  </si>
  <si>
    <t xml:space="preserve">12:45pm-3:00pm</t>
  </si>
  <si>
    <t xml:space="preserve">Saturday</t>
  </si>
  <si>
    <t xml:space="preserve">2:00pm-4:15pm</t>
  </si>
  <si>
    <t xml:space="preserve">kara</t>
  </si>
  <si>
    <t xml:space="preserve">1:45pm-4:00pm</t>
  </si>
  <si>
    <t xml:space="preserve">身体不舒服取消</t>
  </si>
  <si>
    <t xml:space="preserve">Maskert Girl Training</t>
  </si>
  <si>
    <t xml:space="preserve">2026/725</t>
  </si>
  <si>
    <t xml:space="preserve">Video Shoot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</si>
  <si>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</si>
  <si>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</si>
  <si>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</si>
  <si>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</si>
  <si>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</si>
  <si>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</si>
  <si>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</si>
  <si>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</si>
  <si>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</si>
  <si>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SKG Video Shooting</t>
  </si>
  <si>
    <t xml:space="preserve">11:00am-1:00pm</t>
  </si>
  <si>
    <t xml:space="preserve">Jared C Owens</t>
  </si>
  <si>
    <t xml:space="preserve">8461 Higuera Street</t>
  </si>
  <si>
    <t xml:space="preserve">YES</t>
  </si>
  <si>
    <t xml:space="preserve">Laifen Hairdryer Video Shooting</t>
  </si>
  <si>
    <t xml:space="preserve">10:00pm-11:00pm</t>
  </si>
  <si>
    <t xml:space="preserve">Jessie Canizales</t>
  </si>
  <si>
    <t xml:space="preserve">2:00pm-6:00pm</t>
  </si>
  <si>
    <t xml:space="preserve">Bianca Foscht</t>
  </si>
  <si>
    <t xml:space="preserve">提前12小时取消</t>
  </si>
  <si>
    <t xml:space="preserve">Training Material Video Shooting</t>
  </si>
  <si>
    <t xml:space="preserve">Monday</t>
  </si>
  <si>
    <t xml:space="preserve">1:00pm-4:00pm</t>
  </si>
  <si>
    <t xml:space="preserve">Carly Johnson</t>
  </si>
  <si>
    <t xml:space="preserve">Miya</t>
  </si>
  <si>
    <t xml:space="preserve">【交付1组】</t>
  </si>
  <si>
    <t xml:space="preserve">VEVOR TOOL（周播30小时目标）</t>
  </si>
  <si>
    <t xml:space="preserve">Mod（写清楚场控跟播的时间段）</t>
  </si>
  <si>
    <t xml:space="preserve">VEVOR TOOL Training</t>
  </si>
  <si>
    <t xml:space="preserve">1:00pm-3:00pm</t>
  </si>
  <si>
    <t xml:space="preserve">ziyi</t>
  </si>
  <si>
    <t xml:space="preserve">周复盘+拍视频</t>
  </si>
  <si>
    <t xml:space="preserve">VEVOR Video Shooting</t>
  </si>
  <si>
    <t xml:space="preserve">1:30pm-2:00pm</t>
  </si>
  <si>
    <t xml:space="preserve">Anthony Traina</t>
  </si>
  <si>
    <t xml:space="preserve">kk: 拍sbd预热视频</t>
  </si>
  <si>
    <t xml:space="preserve">VEVOR TOOL</t>
  </si>
  <si>
    <t xml:space="preserve">3:00pm-5:00pm</t>
  </si>
  <si>
    <t xml:space="preserve">5:00pm-7:00pm</t>
  </si>
  <si>
    <t xml:space="preserve">Joseph Davis Massingill</t>
  </si>
  <si>
    <t xml:space="preserve">VEVOR TOOL Mod</t>
  </si>
  <si>
    <t xml:space="preserve">3:00pm-9:30pm</t>
  </si>
  <si>
    <t xml:space="preserve">当日复盘</t>
  </si>
  <si>
    <t xml:space="preserve">kk</t>
  </si>
  <si>
    <t xml:space="preserve">2:00pm-4:00pm</t>
  </si>
  <si>
    <t xml:space="preserve">Kory Getman</t>
  </si>
  <si>
    <t xml:space="preserve">watch+product train</t>
  </si>
  <si>
    <t xml:space="preserve">2:00pm-3:00pm</t>
  </si>
  <si>
    <t xml:space="preserve">train kory</t>
  </si>
  <si>
    <t xml:space="preserve">Alberto Soberanes</t>
  </si>
  <si>
    <t xml:space="preserve">will</t>
  </si>
  <si>
    <t xml:space="preserve">William Dennis</t>
  </si>
  <si>
    <t xml:space="preserve">4:00pm-7:00pm</t>
  </si>
  <si>
    <t xml:space="preserve">4:00pm-8:00pm</t>
  </si>
  <si>
    <t xml:space="preserve">复盘</t>
  </si>
  <si>
    <t xml:space="preserve">6:00pm-8:00pm</t>
  </si>
  <si>
    <t xml:space="preserve">Tanner Kenneth Bjorklund</t>
  </si>
  <si>
    <t xml:space="preserve">7:00pm-8:00pm</t>
  </si>
  <si>
    <t xml:space="preserve">train tanner</t>
  </si>
  <si>
    <t xml:space="preserve">11:00am-2:00pm</t>
  </si>
  <si>
    <t xml:space="preserve">2:00pm-5:00pm</t>
  </si>
  <si>
    <t xml:space="preserve">vic</t>
  </si>
  <si>
    <t xml:space="preserve">Victoria Rose</t>
  </si>
  <si>
    <t xml:space="preserve">5:00pm-8:00pm</t>
  </si>
  <si>
    <t xml:space="preserve">sbd开始</t>
  </si>
  <si>
    <t xml:space="preserve">10:00am-1:00pm</t>
  </si>
  <si>
    <t xml:space="preserve">ziyi+kk</t>
  </si>
  <si>
    <t xml:space="preserve">10:00am-2:00pm</t>
  </si>
  <si>
    <t xml:space="preserve">izzy</t>
  </si>
  <si>
    <t xml:space="preserve">Izzy Mu</t>
  </si>
  <si>
    <t xml:space="preserve">8:00pm-11:00pm</t>
  </si>
  <si>
    <t xml:space="preserve">7:00pm-11:00pm</t>
  </si>
  <si>
    <t xml:space="preserve">11:00am-2:30pm</t>
  </si>
  <si>
    <t xml:space="preserve">2:30pm-3:00pm</t>
  </si>
  <si>
    <t xml:space="preserve">3:00pm-7:00pm</t>
  </si>
  <si>
    <t xml:space="preserve">7:00pm-10:00pm</t>
  </si>
  <si>
    <t xml:space="preserve">7:00pm-10:30pm</t>
  </si>
  <si>
    <t xml:space="preserve">acting train kory + tanner</t>
  </si>
  <si>
    <t xml:space="preserve"> </t>
  </si>
  <si>
    <t xml:space="preserve">watch+ acting train</t>
  </si>
  <si>
    <t xml:space="preserve">Ryan Benson</t>
  </si>
  <si>
    <t xml:space="preserve">7:00pm-9:00pm</t>
  </si>
  <si>
    <t xml:space="preserve">1:00pm-2:00pm</t>
  </si>
  <si>
    <t xml:space="preserve">mod没来开播</t>
  </si>
  <si>
    <t xml:space="preserve">2:00pm-7:00pm</t>
  </si>
  <si>
    <t xml:space="preserve">本周产品复盘</t>
  </si>
  <si>
    <t xml:space="preserve">Pacagen</t>
  </si>
  <si>
    <t xml:space="preserve">Pacagen Training</t>
  </si>
  <si>
    <t xml:space="preserve">9:00am-11:00am</t>
  </si>
  <si>
    <t xml:space="preserve">Kara</t>
  </si>
  <si>
    <t xml:space="preserve">8:00am-11:00am</t>
  </si>
  <si>
    <t xml:space="preserve">Dilara Foscht</t>
  </si>
  <si>
    <t xml:space="preserve">9:00am-12:15pm</t>
  </si>
  <si>
    <t xml:space="preserve">8:00am-11:15am</t>
  </si>
  <si>
    <t xml:space="preserve">Iris (Alexis) Perry</t>
  </si>
  <si>
    <t xml:space="preserve">Ivy</t>
  </si>
  <si>
    <t xml:space="preserve">9:45 -11 Ivy</t>
  </si>
  <si>
    <t xml:space="preserve">9:00am-12:00pm</t>
  </si>
  <si>
    <t xml:space="preserve">换主播</t>
  </si>
  <si>
    <t xml:space="preserve">PENDING</t>
  </si>
  <si>
    <t xml:space="preserve">主播取消 不pay</t>
  </si>
  <si>
    <t xml:space="preserve">Pacagen Mod</t>
  </si>
  <si>
    <t xml:space="preserve">7:45am-11:00am</t>
  </si>
  <si>
    <t xml:space="preserve">mod + training</t>
  </si>
  <si>
    <t xml:space="preserve">8:45am-12:00pm</t>
  </si>
  <si>
    <t xml:space="preserve">7:45am-9:45am</t>
  </si>
  <si>
    <t xml:space="preserve">8:45am-12:45pm</t>
  </si>
  <si>
    <t xml:space="preserve">平移给Lesure</t>
  </si>
  <si>
    <t xml:space="preserve">Lesure</t>
  </si>
  <si>
    <t xml:space="preserve">Lesure Training</t>
  </si>
  <si>
    <t xml:space="preserve">11:00am - 2:00pm</t>
  </si>
  <si>
    <t xml:space="preserve">Mariana Quezada</t>
  </si>
  <si>
    <t xml:space="preserve">12:00pm - 7:00pm</t>
  </si>
  <si>
    <t xml:space="preserve">12:00pm - 3:15pm</t>
  </si>
  <si>
    <t xml:space="preserve">Samuel Solomon</t>
  </si>
  <si>
    <t xml:space="preserve">12:00pm - 3:00pm</t>
  </si>
  <si>
    <t xml:space="preserve">3:00pm - 6:00pm</t>
  </si>
  <si>
    <t xml:space="preserve">Lesure Mod</t>
  </si>
  <si>
    <t xml:space="preserve">11:00am - 2:15pm</t>
  </si>
  <si>
    <t xml:space="preserve">10:45am - 2:15pm</t>
  </si>
  <si>
    <t xml:space="preserve">Ian Sandvik</t>
  </si>
  <si>
    <t xml:space="preserve">11:45am - 3:00pm</t>
  </si>
  <si>
    <t xml:space="preserve">2:45pm - 6:00pm</t>
  </si>
  <si>
    <t xml:space="preserve">11:45am - 4:00pm</t>
  </si>
  <si>
    <t xml:space="preserve">Joyin</t>
  </si>
  <si>
    <t xml:space="preserve">Joyin Training</t>
  </si>
  <si>
    <t xml:space="preserve">3:00pm - 5:00pm</t>
  </si>
  <si>
    <t xml:space="preserve">我们取消 换给Juewen</t>
  </si>
  <si>
    <t xml:space="preserve">Xtool</t>
  </si>
  <si>
    <t xml:space="preserve">每周目标23h</t>
  </si>
  <si>
    <t xml:space="preserve">ouyang开播前教开fs，juan播</t>
  </si>
  <si>
    <t xml:space="preserve">开播前拍摄1条预热视频</t>
  </si>
  <si>
    <t xml:space="preserve">Cristian Urbina</t>
  </si>
  <si>
    <t xml:space="preserve">jirou</t>
  </si>
  <si>
    <t xml:space="preserve">Daniel Torres Guevara</t>
  </si>
  <si>
    <t xml:space="preserve">2-4ouyang，4-5jirou</t>
  </si>
  <si>
    <t xml:space="preserve">juan</t>
  </si>
  <si>
    <t xml:space="preserve">ouyang</t>
  </si>
  <si>
    <t xml:space="preserve">6:45pm-9:45pm</t>
  </si>
  <si>
    <t xml:space="preserve">6：30-8：30juan，8：30-9：45jirou</t>
  </si>
  <si>
    <t xml:space="preserve">12:00pm-3:30pm</t>
  </si>
  <si>
    <t xml:space="preserve">Emil Chun</t>
  </si>
  <si>
    <t xml:space="preserve">开播前拍摄1条预热视频，后30min拍摄视频</t>
  </si>
  <si>
    <t xml:space="preserve">12:00pm-3:00pm</t>
  </si>
  <si>
    <t xml:space="preserve">3:00pm-6:00pm</t>
  </si>
  <si>
    <t xml:space="preserve">Xtool Training</t>
  </si>
  <si>
    <t xml:space="preserve">Xtool Mod</t>
  </si>
  <si>
    <t xml:space="preserve">1:45pm-5:00pm</t>
  </si>
  <si>
    <t xml:space="preserve">Juan Castillo</t>
  </si>
  <si>
    <t xml:space="preserve">5:00pm-7:30pm</t>
  </si>
  <si>
    <t xml:space="preserve">6:30pm-8:30pm</t>
  </si>
  <si>
    <t xml:space="preserve">12:00pm-4:00pm</t>
  </si>
  <si>
    <t xml:space="preserve">帮忙剪辑发布视频</t>
  </si>
  <si>
    <t xml:space="preserve">Wenqi Ouyang</t>
  </si>
  <si>
    <t xml:space="preserve">3:30pm-8:00pm</t>
  </si>
  <si>
    <t xml:space="preserve">10:30am-1:00pm</t>
  </si>
  <si>
    <t xml:space="preserve">2:00pm-8:00pm</t>
  </si>
  <si>
    <t xml:space="preserve">12:00pm-5:00pm</t>
  </si>
  <si>
    <t xml:space="preserve">6:00pm-10:30pm</t>
  </si>
  <si>
    <t xml:space="preserve">10:30am-12:00pm</t>
  </si>
  <si>
    <t xml:space="preserve">1:00pm-7:30pm</t>
  </si>
  <si>
    <t xml:space="preserve">11:30am-4:30pm</t>
  </si>
  <si>
    <t xml:space="preserve">Wattcycle</t>
  </si>
  <si>
    <t xml:space="preserve">Carlos Pena</t>
  </si>
  <si>
    <t xml:space="preserve">ouyang开播+11-12跟播，12-2jioru，cris主mod</t>
  </si>
  <si>
    <t xml:space="preserve">3619 Eastham Drive</t>
  </si>
  <si>
    <t xml:space="preserve">ouyang开，cris播</t>
  </si>
  <si>
    <t xml:space="preserve">主播临时请假</t>
  </si>
  <si>
    <t xml:space="preserve">Luis Lauro</t>
  </si>
  <si>
    <t xml:space="preserve">Wattcycle Training</t>
  </si>
  <si>
    <t xml:space="preserve">4:30pm-5:30pm</t>
  </si>
  <si>
    <t xml:space="preserve">jioru</t>
  </si>
  <si>
    <t xml:space="preserve">4:30pm-5:00pm</t>
  </si>
  <si>
    <t xml:space="preserve">11:00am-3:00pm</t>
  </si>
  <si>
    <t xml:space="preserve">跟播+juewen</t>
  </si>
  <si>
    <t xml:space="preserve">4:00pm-6:00pm</t>
  </si>
  <si>
    <t xml:space="preserve">juewen</t>
  </si>
  <si>
    <t xml:space="preserve">Wattcycle Mod</t>
  </si>
  <si>
    <t xml:space="preserve">直播取消，已通知取消排班</t>
  </si>
  <si>
    <t xml:space="preserve">10:45am-2:00pm</t>
  </si>
  <si>
    <t xml:space="preserve">Larq</t>
  </si>
  <si>
    <t xml:space="preserve">每周目标8h</t>
  </si>
  <si>
    <t xml:space="preserve">US-time (PST)</t>
  </si>
  <si>
    <t xml:space="preserve">5:30pm-7:30pm</t>
  </si>
  <si>
    <t xml:space="preserve">6-7juewen，7-8ouyang</t>
  </si>
  <si>
    <t xml:space="preserve">Larq Video Shooting</t>
  </si>
  <si>
    <t xml:space="preserve">3:00pm-4:00pm</t>
  </si>
  <si>
    <t xml:space="preserve">8:00pm-9:00pm</t>
  </si>
  <si>
    <t xml:space="preserve">顺便拍xtool培训视频</t>
  </si>
  <si>
    <t xml:space="preserve">Larq Training</t>
  </si>
  <si>
    <t xml:space="preserve">7:30-8:30 jirou</t>
  </si>
  <si>
    <t xml:space="preserve">6:30pm-8:00pm</t>
  </si>
  <si>
    <t xml:space="preserve">Larq Mod</t>
  </si>
  <si>
    <t xml:space="preserve">2:00pm-9:30pm</t>
  </si>
  <si>
    <t xml:space="preserve">Jirou Xiao</t>
  </si>
  <si>
    <t xml:space="preserve">4:00pm-9:00pm</t>
  </si>
  <si>
    <t xml:space="preserve">watt贴片</t>
  </si>
  <si>
    <t xml:space="preserve">4:00pm-11:00pm</t>
  </si>
  <si>
    <t xml:space="preserve">1:00pm-7:00pm</t>
  </si>
  <si>
    <t xml:space="preserve">Momcozy</t>
  </si>
  <si>
    <t xml:space="preserve">Momcozy Training</t>
  </si>
  <si>
    <t xml:space="preserve">Theresa Jeebe</t>
  </si>
  <si>
    <t xml:space="preserve">ouyang先大概讲产品相关点，后让她自学</t>
  </si>
  <si>
    <t xml:space="preserve">8:00pm-10:00pm</t>
  </si>
  <si>
    <t xml:space="preserve">7:00am-9:00am</t>
  </si>
  <si>
    <t xml:space="preserve">Magdalena Zielonka</t>
  </si>
  <si>
    <t xml:space="preserve">Momcozy Mod</t>
  </si>
  <si>
    <t xml:space="preserve">Govee-亚马逊直播</t>
  </si>
  <si>
    <t xml:space="preserve">TOPDON</t>
  </si>
  <si>
    <t xml:space="preserve">rita</t>
  </si>
  <si>
    <t xml:space="preserve">Daniel</t>
  </si>
  <si>
    <t xml:space="preserve">Ali Kassem</t>
  </si>
  <si>
    <t xml:space="preserve">TOPDON Mod</t>
  </si>
  <si>
    <t xml:space="preserve">9:00am-2:00pm</t>
  </si>
  <si>
    <t xml:space="preserve">Rita</t>
  </si>
  <si>
    <t xml:space="preserve">TOPDON Training</t>
  </si>
  <si>
    <t xml:space="preserve">6:00pm-7:00pm</t>
  </si>
  <si>
    <t xml:space="preserve">1:00pm-5:00pm</t>
  </si>
  <si>
    <t xml:space="preserve">11:30am-5:00pm</t>
  </si>
  <si>
    <t xml:space="preserve">jingzhi</t>
  </si>
  <si>
    <t xml:space="preserve">9:00am-4:00pm</t>
  </si>
  <si>
    <t xml:space="preserve">9:00am-6:30pm</t>
  </si>
  <si>
    <t xml:space="preserve">shokzUS</t>
  </si>
  <si>
    <t xml:space="preserve">shokz</t>
  </si>
  <si>
    <t xml:space="preserve">8:00am-10:00am</t>
  </si>
  <si>
    <t xml:space="preserve">aj</t>
  </si>
  <si>
    <t xml:space="preserve">cam</t>
  </si>
  <si>
    <t xml:space="preserve">shokz mod</t>
  </si>
  <si>
    <t xml:space="preserve">5:30pm-11:00pm</t>
  </si>
  <si>
    <t xml:space="preserve">8:00am-3:00pm</t>
  </si>
  <si>
    <t xml:space="preserve">8:00am-2:00pm</t>
  </si>
  <si>
    <t xml:space="preserve">Bluetti（周播30小时目标）</t>
  </si>
  <si>
    <t xml:space="preserve">Bluetti</t>
  </si>
  <si>
    <t xml:space="preserve">Sally</t>
  </si>
  <si>
    <t xml:space="preserve">6:00pm-9:00pm</t>
  </si>
  <si>
    <t xml:space="preserve">2:30pm-5:30pm</t>
  </si>
  <si>
    <t xml:space="preserve">5:30pm-9:30pm</t>
  </si>
  <si>
    <t xml:space="preserve">9:00pm-12:00am</t>
  </si>
  <si>
    <t xml:space="preserve">2:30pm-4:40pm</t>
  </si>
  <si>
    <t xml:space="preserve">madox</t>
  </si>
  <si>
    <t xml:space="preserve">4:00pm-5:00pm</t>
  </si>
  <si>
    <t xml:space="preserve">5:00pm-10:00pm</t>
  </si>
  <si>
    <t xml:space="preserve">madox5-6 iris6-10</t>
  </si>
  <si>
    <t xml:space="preserve">2:00pm-6:30pm</t>
  </si>
  <si>
    <t xml:space="preserve">iris</t>
  </si>
  <si>
    <t xml:space="preserve">5:00pm-9:00pm</t>
  </si>
  <si>
    <t xml:space="preserve">Bluetti Training</t>
  </si>
  <si>
    <t xml:space="preserve">Gavin</t>
  </si>
  <si>
    <t xml:space="preserve">Bluetti Mod</t>
  </si>
  <si>
    <t xml:space="preserve">10:00am-6:00pm</t>
  </si>
  <si>
    <t xml:space="preserve">10:00am-6:10pm</t>
  </si>
  <si>
    <t xml:space="preserve">6:00pm-10:00pm</t>
  </si>
  <si>
    <t xml:space="preserve">8:30pm-12:00am</t>
  </si>
  <si>
    <t xml:space="preserve">1:30pm-6:00pm</t>
  </si>
  <si>
    <t xml:space="preserve">Madox Dorsey</t>
  </si>
  <si>
    <t xml:space="preserve">2:00pm-7:30pm</t>
  </si>
  <si>
    <t xml:space="preserve">7:30pm-9:00pm</t>
  </si>
  <si>
    <t xml:space="preserve">Oedro</t>
  </si>
  <si>
    <t xml:space="preserve">2:30pm-4:30pm</t>
  </si>
  <si>
    <t xml:space="preserve">3:30pm-5:30pm</t>
  </si>
  <si>
    <t xml:space="preserve">Oedro training</t>
  </si>
  <si>
    <t xml:space="preserve">8:00am-4:00pm</t>
  </si>
  <si>
    <t xml:space="preserve">Oedro mod</t>
  </si>
  <si>
    <t xml:space="preserve">11:00am-9:00pm</t>
  </si>
  <si>
    <t xml:space="preserve">12:00pm-6:30pm</t>
  </si>
  <si>
    <t xml:space="preserve">2:30pm-6:30pm</t>
  </si>
  <si>
    <t xml:space="preserve">Creality</t>
  </si>
  <si>
    <t xml:space="preserve">Creality training</t>
  </si>
  <si>
    <t xml:space="preserve">Clark Smith</t>
  </si>
  <si>
    <t xml:space="preserve">4:15pm-7:15pm</t>
  </si>
  <si>
    <t xml:space="preserve">11:30am-2:30pm</t>
  </si>
  <si>
    <t xml:space="preserve">sally</t>
  </si>
  <si>
    <t xml:space="preserve">11:30am-1:30pm</t>
  </si>
  <si>
    <t xml:space="preserve">Creality mod</t>
  </si>
  <si>
    <t xml:space="preserve">10:00am-3:30pm</t>
  </si>
  <si>
    <t xml:space="preserve">9:30am-2:00pm</t>
  </si>
  <si>
    <t xml:space="preserve">Wavytalk（周播32H目标）</t>
  </si>
  <si>
    <t xml:space="preserve">Wavytalk</t>
  </si>
  <si>
    <t xml:space="preserve">Mindy 8-9am 9-12 Izzy</t>
  </si>
  <si>
    <t/>
    <r>
      <rPr/>
      <t xml:space="preserve">12-3 Sophia </t>
    </r>
    <r>
      <rPr>
        <u val="single"/>
        <color theme="10"/>
      </rPr>
      <t xml:space="preserve">@Wentao Du</t>
    </r>
  </si>
  <si>
    <t xml:space="preserve">3-5 Victoria</t>
  </si>
  <si>
    <t xml:space="preserve">5:00pm-8:30pm</t>
  </si>
  <si>
    <t xml:space="preserve">Jillian Reeves</t>
  </si>
  <si>
    <t xml:space="preserve">5-8 Jasmine</t>
  </si>
  <si>
    <t xml:space="preserve">8:30pm-10:00pm</t>
  </si>
  <si>
    <t xml:space="preserve">Victoria Roses</t>
  </si>
  <si>
    <t xml:space="preserve">10:00pm -12:00am</t>
  </si>
  <si>
    <t xml:space="preserve">Wavytalk Mod</t>
  </si>
  <si>
    <t xml:space="preserve">9:00am - 12:00pm</t>
  </si>
  <si>
    <t xml:space="preserve">5:00pm - 8:00pm</t>
  </si>
  <si>
    <t xml:space="preserve">Jasmine Harris</t>
  </si>
  <si>
    <t xml:space="preserve">8:00pm - 12:00am</t>
  </si>
  <si>
    <t xml:space="preserve">2:00pm - 5:00pm</t>
  </si>
  <si>
    <t xml:space="preserve">Lourdes Urquiza</t>
  </si>
  <si>
    <t/>
    <r>
      <rPr/>
      <t xml:space="preserve">mod training - Sophia </t>
    </r>
    <r>
      <rPr>
        <u val="single"/>
        <color theme="10"/>
      </rPr>
      <t xml:space="preserve">@Wentao Du</t>
    </r>
  </si>
  <si>
    <t xml:space="preserve">Wavytalk Training</t>
  </si>
  <si>
    <t xml:space="preserve">1:00pm - 5:00pm</t>
  </si>
  <si>
    <t xml:space="preserve">Erin Micklow</t>
  </si>
  <si>
    <t xml:space="preserve">Mindy</t>
  </si>
  <si>
    <t xml:space="preserve">7:30am - 10:30am</t>
  </si>
  <si>
    <t xml:space="preserve">Joy Hou</t>
  </si>
  <si>
    <t xml:space="preserve">培训</t>
  </si>
  <si>
    <t xml:space="preserve">11:30am - 2:30pm</t>
  </si>
  <si>
    <t xml:space="preserve">Fiona Lee</t>
  </si>
  <si>
    <t xml:space="preserve">8:00am-11:30am</t>
  </si>
  <si>
    <t/>
    <r>
      <rPr/>
      <t xml:space="preserve">Sophia 开播8-10 </t>
    </r>
    <r>
      <rPr>
        <u val="single"/>
        <color theme="10"/>
      </rPr>
      <t xml:space="preserve">@Wentao Du</t>
    </r>
  </si>
  <si>
    <t/>
    <r>
      <rPr/>
      <t xml:space="preserve">10-1 Izzy 1-2 </t>
    </r>
    <r>
      <rPr>
        <u val="single"/>
        <color theme="10"/>
      </rPr>
      <t xml:space="preserve">@Wentao Du</t>
    </r>
  </si>
  <si>
    <t xml:space="preserve">2:30pm-5:00pm</t>
  </si>
  <si>
    <t xml:space="preserve">2-5 Victoria Rose</t>
  </si>
  <si>
    <t xml:space="preserve">Ava Gold</t>
  </si>
  <si>
    <t xml:space="preserve">Madox</t>
  </si>
  <si>
    <t xml:space="preserve">10:00am - 1:00pm</t>
  </si>
  <si>
    <t xml:space="preserve">3:00pm - 8:00pm</t>
  </si>
  <si>
    <t xml:space="preserve">5:00pm-5:30pm</t>
  </si>
  <si>
    <t xml:space="preserve">4:20pm-4:50pm</t>
  </si>
  <si>
    <t xml:space="preserve">Asante Randall</t>
  </si>
  <si>
    <t/>
    <r>
      <rPr/>
      <t xml:space="preserve">Sophia 8-11am开播</t>
    </r>
    <r>
      <rPr>
        <u val="single"/>
        <color theme="10"/>
      </rPr>
      <t xml:space="preserve">@Wentao Du</t>
    </r>
  </si>
  <si>
    <t xml:space="preserve">10:00am-1:15pm</t>
  </si>
  <si>
    <t xml:space="preserve">Izzy</t>
  </si>
  <si>
    <t xml:space="preserve">二次确认</t>
  </si>
  <si>
    <t xml:space="preserve">1:15pm-4:00pm</t>
  </si>
  <si>
    <t xml:space="preserve">Isabelle Lauderdale</t>
  </si>
  <si>
    <t xml:space="preserve">Lourdes</t>
  </si>
  <si>
    <t xml:space="preserve">Jasmine 5-8 Joy 8-10</t>
  </si>
  <si>
    <t xml:space="preserve">9:00pm-10:00pm</t>
  </si>
  <si>
    <t xml:space="preserve">8-10 Joy Hou</t>
  </si>
  <si>
    <t xml:space="preserve">10:00pm-12:00am</t>
  </si>
  <si>
    <t xml:space="preserve">9:00pm -12:00am</t>
  </si>
  <si>
    <t xml:space="preserve">10-12 Victoria Roses</t>
  </si>
  <si>
    <t xml:space="preserve">主播生病取消</t>
  </si>
  <si>
    <t xml:space="preserve">11:00am - 1:00pm</t>
  </si>
  <si>
    <t xml:space="preserve">12:30pm - 5:00pm</t>
  </si>
  <si>
    <t/>
    <r>
      <rPr/>
      <t xml:space="preserve">Sophia 1-2:30 </t>
    </r>
    <r>
      <rPr>
        <u val="single"/>
        <color theme="10"/>
      </rPr>
      <t xml:space="preserve">@Wentao Du</t>
    </r>
  </si>
  <si>
    <t xml:space="preserve">8:00pm - 10:00pm</t>
  </si>
  <si>
    <t xml:space="preserve">上播</t>
  </si>
  <si>
    <t xml:space="preserve">10:00pm - 12:00am</t>
  </si>
  <si>
    <t xml:space="preserve">6:00pm - 8:00pm</t>
  </si>
  <si>
    <t xml:space="preserve">12:30pm - 2:30pm</t>
  </si>
  <si>
    <t xml:space="preserve">培训 Mindy</t>
  </si>
  <si>
    <t xml:space="preserve">2:00pm - 6:00pm</t>
  </si>
  <si>
    <t xml:space="preserve">培训-Mindy</t>
  </si>
  <si>
    <t/>
    <r>
      <rPr/>
      <t xml:space="preserve">Sophia 8-10am开播</t>
    </r>
    <r>
      <rPr>
        <u val="single"/>
        <color theme="10"/>
      </rPr>
      <t xml:space="preserve">@Wentao Du</t>
    </r>
  </si>
  <si>
    <t xml:space="preserve">10-1 Joy Hou</t>
  </si>
  <si>
    <t xml:space="preserve">1-4 Lourdes</t>
  </si>
  <si>
    <t/>
    <r>
      <rPr/>
      <t xml:space="preserve">4-5pm </t>
    </r>
    <r>
      <rPr>
        <u val="single"/>
        <color theme="10"/>
      </rPr>
      <t xml:space="preserve">@Wentao Du</t>
    </r>
  </si>
  <si>
    <t xml:space="preserve">5-8 Lourdes</t>
  </si>
  <si>
    <t xml:space="preserve">8-10 ziyi 10-12 Fiona</t>
  </si>
  <si>
    <t xml:space="preserve">9:30am - 1:00pm</t>
  </si>
  <si>
    <t xml:space="preserve">1:00pm - 4:00pm</t>
  </si>
  <si>
    <t xml:space="preserve">5:00pm - 7:00pm</t>
  </si>
  <si>
    <t xml:space="preserve">7:00pm - 10:00pm</t>
  </si>
  <si>
    <t xml:space="preserve">train+上播10-12am</t>
  </si>
  <si>
    <t xml:space="preserve">12:30pm - 1:30pm</t>
  </si>
  <si>
    <t xml:space="preserve">WavyTalk Amazon</t>
  </si>
  <si>
    <t xml:space="preserve">Wavytalk Amazon</t>
  </si>
  <si>
    <t xml:space="preserve">7:00pm - 9:00pm</t>
  </si>
  <si>
    <t xml:space="preserve">CASABREWS</t>
  </si>
  <si>
    <t xml:space="preserve">CasaBrews</t>
  </si>
  <si>
    <t xml:space="preserve">Sophia</t>
  </si>
  <si>
    <t xml:space="preserve">8:30pm-10:30pm</t>
  </si>
  <si>
    <t xml:space="preserve">CasaBrews Training</t>
  </si>
  <si>
    <t xml:space="preserve">CasaBrews Mod</t>
  </si>
  <si>
    <t xml:space="preserve">Eufy（周播20H目标）</t>
  </si>
  <si>
    <t xml:space="preserve">Viofo</t>
  </si>
  <si>
    <t xml:space="preserve">Yianna（周播48H目标）</t>
  </si>
  <si>
    <t xml:space="preserve">Yianna Training</t>
  </si>
  <si>
    <t xml:space="preserve">5:08pm-8:00pm</t>
  </si>
  <si>
    <t xml:space="preserve">Evelyn</t>
  </si>
  <si>
    <t xml:space="preserve">12:00pm-2:00pm</t>
  </si>
  <si>
    <t xml:space="preserve">Fenix</t>
  </si>
  <si>
    <t xml:space="preserve">Yianna Video Shooting</t>
  </si>
  <si>
    <t xml:space="preserve">6:30pm-7:00pm</t>
  </si>
  <si>
    <t xml:space="preserve">Assiya Louahabi</t>
  </si>
  <si>
    <t xml:space="preserve">3:30pm-4:00pm</t>
  </si>
  <si>
    <t xml:space="preserve">Dina Zavala Fuentes</t>
  </si>
  <si>
    <t xml:space="preserve">Yianna</t>
  </si>
  <si>
    <t xml:space="preserve">11:00am-3:30pm</t>
  </si>
  <si>
    <t xml:space="preserve">Giselle Castillo</t>
  </si>
  <si>
    <t xml:space="preserve">不干了</t>
  </si>
  <si>
    <t xml:space="preserve">3:30pm-7:00pm</t>
  </si>
  <si>
    <t xml:space="preserve">24h内取消</t>
  </si>
  <si>
    <t xml:space="preserve">Yianna Mod</t>
  </si>
  <si>
    <t xml:space="preserve">10:45am-3:00pm</t>
  </si>
  <si>
    <t xml:space="preserve">Stephanie Reyes</t>
  </si>
  <si>
    <t xml:space="preserve">Stephanie Espinal</t>
  </si>
  <si>
    <t xml:space="preserve">临时来不了了</t>
  </si>
  <si>
    <t xml:space="preserve">从wavytalk来的</t>
  </si>
  <si>
    <t xml:space="preserve">10:45am-2:05pm</t>
  </si>
  <si>
    <t xml:space="preserve">2:05pm-5:20pm</t>
  </si>
  <si>
    <t xml:space="preserve">5:20pm-7:30pm</t>
  </si>
  <si>
    <t xml:space="preserve">7:30pm-10:00pm</t>
  </si>
  <si>
    <t/>
    <r>
      <rPr>
        <u val="single"/>
        <color theme="10"/>
      </rPr>
      <t xml:space="preserve">@Xinyi Ma</t>
    </r>
  </si>
  <si>
    <t xml:space="preserve">4:00pm-7:30pm</t>
  </si>
  <si>
    <t xml:space="preserve">2:00pm-5:30pm</t>
  </si>
  <si>
    <t/>
    <r>
      <rPr>
        <u val="single"/>
        <color theme="10"/>
      </rPr>
      <t xml:space="preserve">@Xinyi Ma</t>
    </r>
  </si>
  <si>
    <t xml:space="preserve">5:30pm-10:00pm</t>
  </si>
  <si>
    <t xml:space="preserve">3:00pm-5:30pm</t>
  </si>
  <si>
    <t xml:space="preserve">Lovevook（周播24H目标）周六大场</t>
  </si>
  <si>
    <t xml:space="preserve">Lovevook Training</t>
  </si>
  <si>
    <t xml:space="preserve">Kristina Dow</t>
  </si>
  <si>
    <t/>
    <r>
      <rPr>
        <u val="single"/>
        <color theme="10"/>
      </rPr>
      <t xml:space="preserve">@Zixuan Wang</t>
    </r>
  </si>
  <si>
    <t xml:space="preserve">过新策略，第一次上播过产品</t>
  </si>
  <si>
    <t xml:space="preserve">Lovevook</t>
  </si>
  <si>
    <t xml:space="preserve">新主播</t>
  </si>
  <si>
    <t xml:space="preserve">5:45pm-6:00pm</t>
  </si>
  <si>
    <t xml:space="preserve">Rachel Jackson</t>
  </si>
  <si>
    <t/>
    <r>
      <rPr>
        <u val="single"/>
        <color theme="10"/>
      </rPr>
      <t xml:space="preserve">@Zixuan Wang</t>
    </r>
  </si>
  <si>
    <t xml:space="preserve">过新策略</t>
  </si>
  <si>
    <t xml:space="preserve">Lovevook Mod</t>
  </si>
  <si>
    <t xml:space="preserve">3:40pm-8:10pm</t>
  </si>
  <si>
    <t xml:space="preserve">Kasian Wick</t>
  </si>
  <si>
    <t xml:space="preserve">2:40pm-7:10pm</t>
  </si>
  <si>
    <t xml:space="preserve">、</t>
  </si>
  <si>
    <t xml:space="preserve">Tess Gordon</t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</si>
  <si>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</si>
  <si>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</si>
  <si>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 xml:space="preserve">11:00am-1:30pm</t>
  </si>
  <si>
    <t xml:space="preserve">Suzannah Samuel</t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</si>
  <si>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</si>
  <si>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</si>
  <si>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 xml:space="preserve">Roxy Star</t>
  </si>
  <si>
    <t/>
    <r>
      <rPr>
        <u val="single"/>
        <color theme="10"/>
      </rPr>
      <t xml:space="preserve">@Zixuan Wang</t>
    </r>
  </si>
  <si>
    <t xml:space="preserve">主播取消不pay</t>
  </si>
  <si>
    <t xml:space="preserve">2:30pm-7:00pm</t>
  </si>
  <si>
    <t xml:space="preserve">Yifan Li (Nickie)</t>
  </si>
  <si>
    <t/>
    <r>
      <rPr>
        <u val="single"/>
        <color theme="10"/>
      </rPr>
      <t xml:space="preserve">@Zixuan Wang</t>
    </r>
  </si>
  <si>
    <t xml:space="preserve">1:40pm-4:00pm</t>
  </si>
  <si>
    <t/>
    <r>
      <rPr>
        <u val="single"/>
        <color theme="10"/>
      </rPr>
      <t xml:space="preserve">@Zixuan Wang</t>
    </r>
  </si>
  <si>
    <t xml:space="preserve">4:00pm-6:10pm</t>
  </si>
  <si>
    <t xml:space="preserve">由于主播取消而取消要pay</t>
  </si>
  <si>
    <t xml:space="preserve">1:40pm-6:10pm</t>
  </si>
  <si>
    <t/>
    <r>
      <rPr>
        <u val="single"/>
        <color theme="10"/>
      </rPr>
      <t xml:space="preserve">@Zixuan Wang</t>
    </r>
    <r>
      <rPr/>
      <t>大场</t>
    </r>
  </si>
  <si>
    <t xml:space="preserve">2:00pm-4:30pm</t>
  </si>
  <si>
    <t/>
    <r>
      <rPr>
        <u val="single"/>
        <color theme="10"/>
      </rPr>
      <t xml:space="preserve">@Zixuan Wang</t>
    </r>
    <r>
      <rPr/>
      <t>大场</t>
    </r>
  </si>
  <si>
    <t xml:space="preserve">4:20pm-8:00pm</t>
  </si>
  <si>
    <t/>
    <r>
      <rPr>
        <u val="single"/>
        <color theme="10"/>
      </rPr>
      <t xml:space="preserve">@Zixuan Wang</t>
    </r>
    <r>
      <rPr/>
      <t>大场</t>
    </r>
  </si>
  <si>
    <t xml:space="preserve">大场提前看品</t>
  </si>
  <si>
    <t xml:space="preserve">9:45am-11:15am</t>
  </si>
  <si>
    <t/>
    <r>
      <rPr>
        <u val="single"/>
        <color theme="10"/>
      </rPr>
      <t xml:space="preserve">@Zixuan Wang</t>
    </r>
  </si>
  <si>
    <t xml:space="preserve">大场提前熟悉</t>
  </si>
  <si>
    <t xml:space="preserve">3:15pm-8:00pm</t>
  </si>
  <si>
    <t xml:space="preserve">Kaitlyn Didi</t>
  </si>
  <si>
    <t xml:space="preserve">DJI</t>
  </si>
  <si>
    <t xml:space="preserve">运营（写清楚场控跟播的时间段）</t>
  </si>
  <si>
    <t xml:space="preserve">直播间</t>
  </si>
  <si>
    <t xml:space="preserve">1:15pm-4:15pm</t>
  </si>
  <si>
    <t/>
    <r>
      <rPr>
        <u val="single"/>
        <color theme="10"/>
      </rPr>
      <t xml:space="preserve">@Chenganrong Dai</t>
    </r>
  </si>
  <si>
    <t xml:space="preserve">Grace Karin（周播15H目标）</t>
  </si>
  <si>
    <t xml:space="preserve">Grace Karin</t>
  </si>
  <si>
    <t xml:space="preserve">Astrid Salas</t>
  </si>
  <si>
    <t xml:space="preserve">Mariana</t>
  </si>
  <si>
    <t xml:space="preserve">Grace Karin Mod</t>
  </si>
  <si>
    <t xml:space="preserve">10:30am-2:30pm</t>
  </si>
  <si>
    <t xml:space="preserve">10:30am-2:00pm</t>
  </si>
  <si>
    <t xml:space="preserve">9:45am-1:00pm</t>
  </si>
  <si>
    <t xml:space="preserve">9:30am-1:00pm</t>
  </si>
  <si>
    <t xml:space="preserve">Grace Karin Training</t>
  </si>
  <si>
    <t xml:space="preserve">9:30am-11:00am</t>
  </si>
  <si>
    <t xml:space="preserve">9:30am-3:30pm</t>
  </si>
  <si>
    <t xml:space="preserve">10:00am-2:30pm</t>
  </si>
  <si>
    <t xml:space="preserve">en route</t>
  </si>
  <si>
    <t xml:space="preserve">Bagsmart（周播18H目标）</t>
  </si>
  <si>
    <t xml:space="preserve">Bagsmart</t>
  </si>
  <si>
    <t xml:space="preserve">Marina Hribernig</t>
  </si>
  <si>
    <t xml:space="preserve">Ian</t>
  </si>
  <si>
    <t xml:space="preserve">Q</t>
  </si>
  <si>
    <t xml:space="preserve">Byron</t>
  </si>
  <si>
    <t xml:space="preserve">Ian/Byron</t>
  </si>
  <si>
    <t xml:space="preserve">病假</t>
  </si>
  <si>
    <t xml:space="preserve">5:30pm-7:00pm</t>
  </si>
  <si>
    <t xml:space="preserve">提前24小时通知</t>
  </si>
  <si>
    <t/>
    <r>
      <rPr>
        <u val="single"/>
        <color theme="10"/>
      </rPr>
      <t xml:space="preserve">@Jingwen Duan</t>
    </r>
    <r>
      <rPr/>
      <t xml:space="preserve"> 2-3pm</t>
    </r>
  </si>
  <si>
    <t/>
    <r>
      <rPr>
        <u val="single"/>
        <color theme="10"/>
      </rPr>
      <t xml:space="preserve">@Aiyi Wang</t>
    </r>
    <r>
      <rPr/>
      <t>3-6pm；</t>
    </r>
    <r>
      <rPr>
        <u val="single"/>
        <color theme="10"/>
      </rPr>
      <t xml:space="preserve">@Yuemin Liu</t>
    </r>
    <r>
      <rPr/>
      <t>6-7pm</t>
    </r>
  </si>
  <si>
    <t xml:space="preserve">Bagsmart Mod</t>
  </si>
  <si>
    <t xml:space="preserve">4:45pm-7:00pm</t>
  </si>
  <si>
    <t xml:space="preserve">Bagsmart Training</t>
  </si>
  <si>
    <t xml:space="preserve">3:45pm-7:15pm</t>
  </si>
  <si>
    <t xml:space="preserve">Guillermo</t>
  </si>
  <si>
    <t xml:space="preserve">1:45pm-7:15pm</t>
  </si>
  <si>
    <t xml:space="preserve">4:30pm-7:00pm</t>
  </si>
  <si>
    <t xml:space="preserve">看播</t>
  </si>
  <si>
    <t xml:space="preserve">Bagsmart Mod Training</t>
  </si>
  <si>
    <t xml:space="preserve">3:00pm-8:00pm</t>
  </si>
  <si>
    <t xml:space="preserve">KTC</t>
  </si>
  <si>
    <t/>
    <r>
      <rPr>
        <u val="single"/>
        <color theme="10"/>
      </rPr>
      <t xml:space="preserve">@Aiyi Wang</t>
    </r>
  </si>
  <si>
    <t xml:space="preserve">Q/Byron</t>
  </si>
  <si>
    <t xml:space="preserve">未提前24小时通知</t>
  </si>
  <si>
    <t xml:space="preserve">Ryan</t>
  </si>
  <si>
    <t xml:space="preserve">KTC Mod</t>
  </si>
  <si>
    <t xml:space="preserve">10:30am-1:15pm</t>
  </si>
  <si>
    <t xml:space="preserve">9:45am-1:15pm</t>
  </si>
  <si>
    <t xml:space="preserve">KTC Training</t>
  </si>
  <si>
    <t xml:space="preserve">9:30am-10:00am</t>
  </si>
  <si>
    <t xml:space="preserve">KTC Mod Training</t>
  </si>
  <si>
    <t xml:space="preserve">9:30am-10:30am</t>
  </si>
  <si>
    <t/>
    <r>
      <rPr/>
      <t>看播</t>
    </r>
    <r>
      <rPr>
        <u val="single"/>
        <color theme="10"/>
      </rPr>
      <t xml:space="preserve">@Xi Chen</t>
    </r>
    <r>
      <rPr/>
      <t xml:space="preserve"> </t>
    </r>
  </si>
  <si>
    <t xml:space="preserve">TusiX</t>
  </si>
  <si>
    <t xml:space="preserve">TusiX Mod</t>
  </si>
  <si>
    <t xml:space="preserve">3:30pm-6:30pm</t>
  </si>
  <si>
    <t xml:space="preserve">3:15pm-6:30pm</t>
  </si>
  <si>
    <t xml:space="preserve">替换了别的项目</t>
  </si>
  <si>
    <t/>
    <r>
      <rPr>
        <u val="single"/>
        <color theme="10"/>
      </rPr>
      <t xml:space="preserve">@Liqi Mao</t>
    </r>
  </si>
  <si>
    <t xml:space="preserve">TusiX Training</t>
  </si>
  <si>
    <t xml:space="preserve">11:00am-12:00pm</t>
  </si>
  <si>
    <t/>
    <r>
      <rPr>
        <u val="single"/>
        <color theme="10"/>
      </rPr>
      <t xml:space="preserve">@Xi Chen</t>
    </r>
  </si>
  <si>
    <t/>
    <r>
      <rPr>
        <u val="single"/>
        <color theme="10"/>
      </rPr>
      <t xml:space="preserve">@Liqi Mao</t>
    </r>
  </si>
  <si>
    <t xml:space="preserve">3:00pm-3:30pm</t>
  </si>
  <si>
    <t xml:space="preserve">High Fundamental (周播18H目标)</t>
  </si>
  <si>
    <t xml:space="preserve">Highfundamental</t>
  </si>
  <si>
    <t xml:space="preserve">Highfundamental Mod</t>
  </si>
  <si>
    <t xml:space="preserve">Highfundamental Training</t>
  </si>
  <si>
    <t xml:space="preserve">Aelfric Eden</t>
  </si>
  <si>
    <t xml:space="preserve">5:00pm-6:00pm</t>
  </si>
  <si>
    <t xml:space="preserve"> 5-6 ian/ 6-7 Zoey</t>
  </si>
  <si>
    <t xml:space="preserve">ian</t>
  </si>
  <si>
    <t xml:space="preserve">Aelfric Eden Mod</t>
  </si>
  <si>
    <t xml:space="preserve">Tuesday</t>
  </si>
  <si>
    <t xml:space="preserve">¥</t>
  </si>
  <si>
    <t xml:space="preserve">Wednesday</t>
  </si>
  <si>
    <t xml:space="preserve">7-8 ian 8-10 madox</t>
  </si>
  <si>
    <t xml:space="preserve">5:45pm-8:00pm</t>
  </si>
  <si>
    <t xml:space="preserve">Friday</t>
  </si>
  <si>
    <t xml:space="preserve">5:45pm-9:00pm</t>
  </si>
  <si>
    <t xml:space="preserve">6-7 Zoey /7-9 izzy</t>
  </si>
  <si>
    <t xml:space="preserve">Saturday</t>
  </si>
  <si>
    <t xml:space="preserve">主播家里出事 </t>
  </si>
  <si>
    <t xml:space="preserve">Sunday</t>
  </si>
  <si>
    <t xml:space="preserve">Aelfric Eden Training</t>
  </si>
  <si>
    <t xml:space="preserve">Zoey</t>
  </si>
  <si>
    <t xml:space="preserve">  </t>
  </si>
  <si>
    <t xml:space="preserve">Video Shoot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</si>
  <si>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</si>
  <si>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</si>
  <si>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</si>
  <si>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</si>
  <si>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</si>
  <si>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</si>
  <si>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</si>
  <si>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</si>
  <si>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</si>
  <si>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SKG Video Shooting</t>
  </si>
  <si>
    <t xml:space="preserve">2:00pm-4:30pm</t>
  </si>
  <si>
    <t xml:space="preserve">Kory Getman</t>
  </si>
  <si>
    <t xml:space="preserve">8461 Higuera Street</t>
  </si>
  <si>
    <t xml:space="preserve">YES</t>
  </si>
  <si>
    <t xml:space="preserve">3:00pm-6:00pm</t>
  </si>
  <si>
    <t xml:space="preserve">Carly Johnson</t>
  </si>
  <si>
    <t xml:space="preserve">雅迪电动车Video Shooting</t>
  </si>
  <si>
    <t xml:space="preserve">10:30am-12:30pm</t>
  </si>
  <si>
    <t xml:space="preserve">B-ROLL Shooting</t>
  </si>
  <si>
    <t xml:space="preserve">10:30am-1:30pm</t>
  </si>
  <si>
    <t xml:space="preserve">【交付1组】</t>
  </si>
  <si>
    <t xml:space="preserve">VEVOR TOOL（周播30小时目标）</t>
  </si>
  <si>
    <t xml:space="preserve">Mod（写清楚场控跟播的时间段）</t>
  </si>
  <si>
    <t xml:space="preserve">VEVOR TOOL</t>
  </si>
  <si>
    <t xml:space="preserve">3:00pm-4:00pm</t>
  </si>
  <si>
    <t xml:space="preserve">Alberto Soberanes</t>
  </si>
  <si>
    <t xml:space="preserve">Izzy</t>
  </si>
  <si>
    <t xml:space="preserve">主播没来</t>
  </si>
  <si>
    <t xml:space="preserve">VEVOR TOOL Mod</t>
  </si>
  <si>
    <t xml:space="preserve">Izzy Mu</t>
  </si>
  <si>
    <t xml:space="preserve">4:00pm-7:00pm</t>
  </si>
  <si>
    <t xml:space="preserve">Anthony Traina</t>
  </si>
  <si>
    <t xml:space="preserve">clinton 8月开始才能播vevor(需要train熟悉产品）</t>
  </si>
  <si>
    <t xml:space="preserve">4:00pm-6:00pm</t>
  </si>
  <si>
    <t xml:space="preserve">Joseph Davis Massingill</t>
  </si>
  <si>
    <t xml:space="preserve">ziyi</t>
  </si>
  <si>
    <t xml:space="preserve">6:00pm-8:00pm</t>
  </si>
  <si>
    <t xml:space="preserve">3:00pm-5:00pm</t>
  </si>
  <si>
    <t xml:space="preserve">william</t>
  </si>
  <si>
    <t xml:space="preserve">William Dennis</t>
  </si>
  <si>
    <t xml:space="preserve">5:00pm-7:00pm</t>
  </si>
  <si>
    <t xml:space="preserve"> </t>
  </si>
  <si>
    <t xml:space="preserve">7:00pm-9:00pm</t>
  </si>
  <si>
    <t xml:space="preserve">6:00pm-9:00pm</t>
  </si>
  <si>
    <t xml:space="preserve">11:00am-2:00pm</t>
  </si>
  <si>
    <t xml:space="preserve">2:00pm-5:00pm</t>
  </si>
  <si>
    <t xml:space="preserve">2:00pm-4:00pm</t>
  </si>
  <si>
    <t xml:space="preserve">Ryan Benson</t>
  </si>
  <si>
    <t xml:space="preserve">VEVOR TOOL Training</t>
  </si>
  <si>
    <t xml:space="preserve">9:00pm-11:00pm</t>
  </si>
  <si>
    <t xml:space="preserve">数据补齐</t>
  </si>
  <si>
    <t xml:space="preserve">复盘</t>
  </si>
  <si>
    <t xml:space="preserve">8:00pm-9:00pm</t>
  </si>
  <si>
    <t xml:space="preserve">2:00pm-3:00pm</t>
  </si>
  <si>
    <t xml:space="preserve">复盘 派大星</t>
  </si>
  <si>
    <t xml:space="preserve">9:00pm-10:00pm</t>
  </si>
  <si>
    <t xml:space="preserve">Lesure</t>
  </si>
  <si>
    <t xml:space="preserve">Lesure Training</t>
  </si>
  <si>
    <t xml:space="preserve">1:00pm - 2:00pm</t>
  </si>
  <si>
    <t xml:space="preserve">Daniel Torres Guevara</t>
  </si>
  <si>
    <t xml:space="preserve">Ivy</t>
  </si>
  <si>
    <t xml:space="preserve">12:00pm - 2:00pm</t>
  </si>
  <si>
    <t xml:space="preserve">10:00am - 1:00pm</t>
  </si>
  <si>
    <t xml:space="preserve">6:00pm - 9:00pm</t>
  </si>
  <si>
    <t xml:space="preserve">Jessie Canizales</t>
  </si>
  <si>
    <t xml:space="preserve">Ivy/Rita</t>
  </si>
  <si>
    <t xml:space="preserve">12:00pm - 3:00pm</t>
  </si>
  <si>
    <t xml:space="preserve">Clark Smith</t>
  </si>
  <si>
    <t xml:space="preserve">Daniel</t>
  </si>
  <si>
    <t xml:space="preserve">6:00pm - 9:15pm</t>
  </si>
  <si>
    <t xml:space="preserve">Rita</t>
  </si>
  <si>
    <t xml:space="preserve">5:00pm - 9:00pm</t>
  </si>
  <si>
    <t xml:space="preserve">Iris (Alexis) Perry</t>
  </si>
  <si>
    <t xml:space="preserve">3:00pm - 6:00pm</t>
  </si>
  <si>
    <t xml:space="preserve">Lesure Mod</t>
  </si>
  <si>
    <t xml:space="preserve">12:00pm - 3:15pm</t>
  </si>
  <si>
    <t xml:space="preserve">Xtool</t>
  </si>
  <si>
    <t xml:space="preserve">每周目标23h</t>
  </si>
  <si>
    <t xml:space="preserve">Holland Sharp II</t>
  </si>
  <si>
    <t xml:space="preserve">ouyang</t>
  </si>
  <si>
    <t xml:space="preserve">Ali Kassem</t>
  </si>
  <si>
    <t xml:space="preserve">3-3:30 ouyang/ 3:30-5 juan
4-5 jirou学</t>
  </si>
  <si>
    <t xml:space="preserve">PENDING</t>
  </si>
  <si>
    <t xml:space="preserve">juan</t>
  </si>
  <si>
    <t xml:space="preserve">4:00pm-5:00pm</t>
  </si>
  <si>
    <t xml:space="preserve">Bianca Foscht</t>
  </si>
  <si>
    <t xml:space="preserve">venus开播+2-4，juan</t>
  </si>
  <si>
    <t xml:space="preserve">ouyang开，juan2-5</t>
  </si>
  <si>
    <t xml:space="preserve">主播车子坏临时取消</t>
  </si>
  <si>
    <t xml:space="preserve">ouyang2-2:30，juan2:30-5</t>
  </si>
  <si>
    <t xml:space="preserve">未出现</t>
  </si>
  <si>
    <t xml:space="preserve">Cristian Urbina</t>
  </si>
  <si>
    <t xml:space="preserve">jirou</t>
  </si>
  <si>
    <t xml:space="preserve">开播前拍摄1条预热视频</t>
  </si>
  <si>
    <t xml:space="preserve">Xtool Training</t>
  </si>
  <si>
    <t xml:space="preserve">协助ali</t>
  </si>
  <si>
    <t xml:space="preserve">3:30pm-4:00pm</t>
  </si>
  <si>
    <t xml:space="preserve">协助bianca</t>
  </si>
  <si>
    <t xml:space="preserve">2:00pm-9:00pm</t>
  </si>
  <si>
    <t xml:space="preserve">Emil</t>
  </si>
  <si>
    <t xml:space="preserve">Xtool Mod</t>
  </si>
  <si>
    <t xml:space="preserve">3:30pm-5:00pm</t>
  </si>
  <si>
    <t xml:space="preserve">Juan Castillo</t>
  </si>
  <si>
    <t xml:space="preserve">2:30pm-5:00pm</t>
  </si>
  <si>
    <t xml:space="preserve">1:45pm-7:15pm</t>
  </si>
  <si>
    <t xml:space="preserve">7:00pm-8:00pm</t>
  </si>
  <si>
    <t xml:space="preserve">Wenqi Ouyang</t>
  </si>
  <si>
    <t xml:space="preserve">写复盘</t>
  </si>
  <si>
    <t xml:space="preserve">Wattcycle</t>
  </si>
  <si>
    <t xml:space="preserve">12:00pm-3:00pm</t>
  </si>
  <si>
    <t xml:space="preserve">Carlos Pena</t>
  </si>
  <si>
    <t xml:space="preserve">juan/jirou</t>
  </si>
  <si>
    <t xml:space="preserve">3619 Eastham Drive</t>
  </si>
  <si>
    <t xml:space="preserve">客户未同意复播，拍摄预热视频+培训</t>
  </si>
  <si>
    <t xml:space="preserve">1:30pm-4:00pm</t>
  </si>
  <si>
    <t xml:space="preserve">12-2 jirou / 2-3cris</t>
  </si>
  <si>
    <t xml:space="preserve">12-3 juan / 2-3cris</t>
  </si>
  <si>
    <t xml:space="preserve">10:00am-12:30pm</t>
  </si>
  <si>
    <t xml:space="preserve">Wattcycle Mod</t>
  </si>
  <si>
    <t xml:space="preserve">11:00am-3:00pm</t>
  </si>
  <si>
    <t xml:space="preserve">Wattcycle Training</t>
  </si>
  <si>
    <t xml:space="preserve">jirou4:45拍视频</t>
  </si>
  <si>
    <t xml:space="preserve">2-3xtool，3-5watt+拍培训视频</t>
  </si>
  <si>
    <t xml:space="preserve">12:00pm-3:30pm</t>
  </si>
  <si>
    <t xml:space="preserve">Wattcycle Video Shooting</t>
  </si>
  <si>
    <t xml:space="preserve">2-2:30巩固培训，ouyang2:30开拍</t>
  </si>
  <si>
    <t xml:space="preserve">改支持xtool</t>
  </si>
  <si>
    <t xml:space="preserve">Jirou Xiao</t>
  </si>
  <si>
    <t xml:space="preserve">10:30am-1:00pm</t>
  </si>
  <si>
    <t xml:space="preserve">1:30pm-5:30pm</t>
  </si>
  <si>
    <t xml:space="preserve">11:30am-2:00pm</t>
  </si>
  <si>
    <t xml:space="preserve">3:00pm-7:30pm</t>
  </si>
  <si>
    <t xml:space="preserve">1:00pm-8:00pm</t>
  </si>
  <si>
    <t xml:space="preserve">9:30am-1:30pm</t>
  </si>
  <si>
    <t xml:space="preserve">直播取消</t>
  </si>
  <si>
    <t xml:space="preserve">2:30pm-7:00pm</t>
  </si>
  <si>
    <t xml:space="preserve">换juan</t>
  </si>
  <si>
    <t xml:space="preserve">Larq</t>
  </si>
  <si>
    <t xml:space="preserve">每周目标8h</t>
  </si>
  <si>
    <t xml:space="preserve">11:00am-1:00pm</t>
  </si>
  <si>
    <t xml:space="preserve">juewen/jirou
ouyang学11-1</t>
  </si>
  <si>
    <t xml:space="preserve">Dilara Foscht</t>
  </si>
  <si>
    <t xml:space="preserve">ouyang、venus3:45准备开播</t>
  </si>
  <si>
    <t xml:space="preserve">5:30pm-7:30pm</t>
  </si>
  <si>
    <t xml:space="preserve">ouyang/juewen</t>
  </si>
  <si>
    <t xml:space="preserve">主播取消</t>
  </si>
  <si>
    <t xml:space="preserve">3:30pm-6:30pm</t>
  </si>
  <si>
    <t xml:space="preserve">Larq Training</t>
  </si>
  <si>
    <t xml:space="preserve">10:30am-11:00am</t>
  </si>
  <si>
    <t xml:space="preserve">Larq Mod</t>
  </si>
  <si>
    <t xml:space="preserve">5:00pm-6:00pm</t>
  </si>
  <si>
    <t xml:space="preserve">Momcozy</t>
  </si>
  <si>
    <t xml:space="preserve">Momcozy Training</t>
  </si>
  <si>
    <t xml:space="preserve">Alicia Wells</t>
  </si>
  <si>
    <t xml:space="preserve">juewen/ouyang 3:30-</t>
  </si>
  <si>
    <t xml:space="preserve">1:00pm-2:00pm</t>
  </si>
  <si>
    <t xml:space="preserve">6:00pm-7:00pm</t>
  </si>
  <si>
    <t xml:space="preserve">Jillian Reeves</t>
  </si>
  <si>
    <t xml:space="preserve">主播时间冲突取消</t>
  </si>
  <si>
    <t xml:space="preserve">10:00am-1:00pm</t>
  </si>
  <si>
    <t xml:space="preserve">Kristina</t>
  </si>
  <si>
    <t xml:space="preserve">2:00pm-2:30pm</t>
  </si>
  <si>
    <t xml:space="preserve">Meghan Ketz</t>
  </si>
  <si>
    <t xml:space="preserve">Momcozy Video Shooting</t>
  </si>
  <si>
    <t xml:space="preserve">2:30pm-3:00pm</t>
  </si>
  <si>
    <t xml:space="preserve">juewen</t>
  </si>
  <si>
    <t xml:space="preserve">Momcozy Mod</t>
  </si>
  <si>
    <t xml:space="preserve">2:00pm-7:00pm</t>
  </si>
  <si>
    <t xml:space="preserve">9:00am-1:00pm</t>
  </si>
  <si>
    <t xml:space="preserve">12:00pm-1:00pm</t>
  </si>
  <si>
    <t xml:space="preserve">2:00pm-8:00pm</t>
  </si>
  <si>
    <t xml:space="preserve">Govee-亚马逊直播</t>
  </si>
  <si>
    <t xml:space="preserve">TOPDON</t>
  </si>
  <si>
    <t xml:space="preserve">rita</t>
  </si>
  <si>
    <t xml:space="preserve">TOPDON Mod</t>
  </si>
  <si>
    <t xml:space="preserve">9:00am-2:00pm</t>
  </si>
  <si>
    <t xml:space="preserve">TOPDON Training</t>
  </si>
  <si>
    <t xml:space="preserve">2:30pm-5:30pm</t>
  </si>
  <si>
    <t xml:space="preserve">Pacagen</t>
  </si>
  <si>
    <t xml:space="preserve">8:00am-11:00am</t>
  </si>
  <si>
    <t xml:space="preserve">zhihan/aj</t>
  </si>
  <si>
    <t xml:space="preserve">9:00am-12:00pm</t>
  </si>
  <si>
    <t xml:space="preserve">Pacagen Mod</t>
  </si>
  <si>
    <t xml:space="preserve">8:45am-12:00pm</t>
  </si>
  <si>
    <t xml:space="preserve">Victoria Rose</t>
  </si>
  <si>
    <t xml:space="preserve">shokzUS</t>
  </si>
  <si>
    <t xml:space="preserve">Bluetti（周播30小时目标）</t>
  </si>
  <si>
    <t xml:space="preserve">Bluetti</t>
  </si>
  <si>
    <t xml:space="preserve">4:00pm-8:00pm</t>
  </si>
  <si>
    <t xml:space="preserve">Gavin/Sally</t>
  </si>
  <si>
    <t xml:space="preserve">jingzhi</t>
  </si>
  <si>
    <t xml:space="preserve">Orlando Sebastian Ibanez</t>
  </si>
  <si>
    <t xml:space="preserve">1:00pm-5:00pm</t>
  </si>
  <si>
    <t xml:space="preserve">Bluetti Video Shooting</t>
  </si>
  <si>
    <t xml:space="preserve">Gavin</t>
  </si>
  <si>
    <t xml:space="preserve">Bluetti Mod</t>
  </si>
  <si>
    <t xml:space="preserve">12:00pm-8:00pm</t>
  </si>
  <si>
    <t xml:space="preserve">Sally</t>
  </si>
  <si>
    <t xml:space="preserve">3:30pm-8:30pm</t>
  </si>
  <si>
    <t xml:space="preserve">8:30am-1:30pm</t>
  </si>
  <si>
    <t xml:space="preserve">1:00pm-5:30pm</t>
  </si>
  <si>
    <t xml:space="preserve">Aceup</t>
  </si>
  <si>
    <t xml:space="preserve">Oedro</t>
  </si>
  <si>
    <t xml:space="preserve">Oedro training</t>
  </si>
  <si>
    <t xml:space="preserve">2:00pm3:00pm</t>
  </si>
  <si>
    <t xml:space="preserve">3:00pm-8:00pm</t>
  </si>
  <si>
    <t xml:space="preserve">cam</t>
  </si>
  <si>
    <t xml:space="preserve">Lion Dodsworth</t>
  </si>
  <si>
    <t xml:space="preserve">8:00am-12:00pm</t>
  </si>
  <si>
    <t xml:space="preserve">1:00pm-3:00pm</t>
  </si>
  <si>
    <t xml:space="preserve">Creality</t>
  </si>
  <si>
    <t xml:space="preserve">Creality training</t>
  </si>
  <si>
    <t xml:space="preserve">Jadalyn Borla</t>
  </si>
  <si>
    <t xml:space="preserve">11:00pm-1:00pm</t>
  </si>
  <si>
    <t xml:space="preserve">【交付2组】</t>
  </si>
  <si>
    <t xml:space="preserve">Wavytalk（周播32H目标）</t>
  </si>
  <si>
    <t xml:space="preserve">Wavytalk</t>
  </si>
  <si>
    <t xml:space="preserve">9:00am-12:30pm</t>
  </si>
  <si>
    <t xml:space="preserve">Audrey Forrester</t>
  </si>
  <si>
    <t xml:space="preserve">Mindy</t>
  </si>
  <si>
    <t xml:space="preserve">12:30pm-3:40pm</t>
  </si>
  <si>
    <t xml:space="preserve">12:30 - 2 Audrey/ 2- 3:30 Sophia </t>
  </si>
  <si>
    <t xml:space="preserve">3:40pm-6:30pm</t>
  </si>
  <si>
    <t xml:space="preserve">Kutluano Headbush</t>
  </si>
  <si>
    <t xml:space="preserve"> Sophia /4-6 Mindy </t>
  </si>
  <si>
    <t xml:space="preserve">6:30pm - 10:00pm</t>
  </si>
  <si>
    <t xml:space="preserve">6-8 Sophia 8-10 Izzy</t>
  </si>
  <si>
    <t xml:space="preserve">10:00pm -12:00am</t>
  </si>
  <si>
    <t xml:space="preserve">10-11Izzy/11- 12Sohpia </t>
  </si>
  <si>
    <t xml:space="preserve">Wavytalk Mod</t>
  </si>
  <si>
    <t xml:space="preserve">8:00pm - 11:00pm</t>
  </si>
  <si>
    <t xml:space="preserve">12:30pm - 2:00pm</t>
  </si>
  <si>
    <t xml:space="preserve">Magdalena Zielonka</t>
  </si>
  <si>
    <t xml:space="preserve">8- 10:00Mindy 10:00 Victoria </t>
  </si>
  <si>
    <t xml:space="preserve">Victoria 10:00 - 1:00 /1:00 Kaisian</t>
  </si>
  <si>
    <t xml:space="preserve">2-3 Kaisian/3-5 Victoria </t>
  </si>
  <si>
    <t xml:space="preserve">5:00pm-8:00pm</t>
  </si>
  <si>
    <t xml:space="preserve">Sopiha 5-8 </t>
  </si>
  <si>
    <t xml:space="preserve">8:00pm-12:00am</t>
  </si>
  <si>
    <t xml:space="preserve">8-10 madox/ Sophia </t>
  </si>
  <si>
    <t xml:space="preserve">8:00pm - 10:00pm</t>
  </si>
  <si>
    <t xml:space="preserve">Madox Dorsey</t>
  </si>
  <si>
    <t xml:space="preserve">Kasian Wick</t>
  </si>
  <si>
    <t xml:space="preserve">7:00am-11:00am</t>
  </si>
  <si>
    <t xml:space="preserve">Mindy7-10 / 10- 11 Rita </t>
  </si>
  <si>
    <t xml:space="preserve">11-1 Rita 1-4 Mindy</t>
  </si>
  <si>
    <t xml:space="preserve">Ava Gold</t>
  </si>
  <si>
    <t xml:space="preserve">4-6 Madox / 6-8 Sophia </t>
  </si>
  <si>
    <t xml:space="preserve">Isabelle Lauderdale</t>
  </si>
  <si>
    <t xml:space="preserve">6-10 Sophia/ Yuting 10- 12  </t>
  </si>
  <si>
    <t xml:space="preserve">10:00pm-12:00am</t>
  </si>
  <si>
    <t xml:space="preserve">Wavytalk Training</t>
  </si>
  <si>
    <t xml:space="preserve">12:00pm - 1:30pm</t>
  </si>
  <si>
    <t xml:space="preserve">1:00pm - 7:00pm</t>
  </si>
  <si>
    <t xml:space="preserve">Fiona Lee</t>
  </si>
  <si>
    <t xml:space="preserve">9:15am-12:00pm</t>
  </si>
  <si>
    <t xml:space="preserve">Mindy 9 -10:30/Izzy</t>
  </si>
  <si>
    <t xml:space="preserve">Izzy 10:30 - 1:30/ 1:30 -4:00 Madox</t>
  </si>
  <si>
    <t xml:space="preserve">4 - 6Sophia</t>
  </si>
  <si>
    <t xml:space="preserve">6:00 -7:30 Jillian 7:30 - 8:30 Mindy</t>
  </si>
  <si>
    <t xml:space="preserve">8:30 - 12:00 Sophia</t>
  </si>
  <si>
    <t xml:space="preserve">Sunday</t>
  </si>
  <si>
    <t xml:space="preserve">6:00pm - 7:30pm</t>
  </si>
  <si>
    <t xml:space="preserve">10:30am - 1:30pm</t>
  </si>
  <si>
    <t xml:space="preserve">1:30pm - 4:00pm</t>
  </si>
  <si>
    <t xml:space="preserve">3:30pm - 8:30pm</t>
  </si>
  <si>
    <t xml:space="preserve">WavyTalk Amazon</t>
  </si>
  <si>
    <t xml:space="preserve">Wavytalk Amazon</t>
  </si>
  <si>
    <t xml:space="preserve">6:30pm - 9:00pm</t>
  </si>
  <si>
    <t xml:space="preserve">11:00am - 2:00pm</t>
  </si>
  <si>
    <t xml:space="preserve">Cam</t>
  </si>
  <si>
    <t xml:space="preserve">11:00am - 2:15pm</t>
  </si>
  <si>
    <t xml:space="preserve">CASABREWS</t>
  </si>
  <si>
    <t xml:space="preserve">CasaBrews</t>
  </si>
  <si>
    <t xml:space="preserve">1:30pm-3:30pm</t>
  </si>
  <si>
    <t xml:space="preserve">Sophia</t>
  </si>
  <si>
    <t xml:space="preserve"> Victoria Rose/sophia</t>
  </si>
  <si>
    <t xml:space="preserve">CasaBrews Training</t>
  </si>
  <si>
    <t xml:space="preserve">CasaBrews Mod</t>
  </si>
  <si>
    <t xml:space="preserve">Eufy（周播20H目标）</t>
  </si>
  <si>
    <t xml:space="preserve">Viofo</t>
  </si>
  <si>
    <t xml:space="preserve">Yianna（周播48H目标）</t>
  </si>
  <si>
    <t xml:space="preserve">Yianna Training</t>
  </si>
  <si>
    <t xml:space="preserve">10:00am-11:00am</t>
  </si>
  <si>
    <t/>
    <r>
      <rPr>
        <u val="single"/>
        <color theme="10"/>
      </rPr>
      <t xml:space="preserve">@Xinyi Ma</t>
    </r>
  </si>
  <si>
    <t xml:space="preserve">Yianna</t>
  </si>
  <si>
    <t xml:space="preserve">Dina Zavala Fuentes</t>
  </si>
  <si>
    <t xml:space="preserve">1:00pm-4:00pm</t>
  </si>
  <si>
    <t xml:space="preserve">Giselle Castillo</t>
  </si>
  <si>
    <t xml:space="preserve">Assiya Louahabi</t>
  </si>
  <si>
    <t xml:space="preserve">7:00pm-10:00pm</t>
  </si>
  <si>
    <t xml:space="preserve">6:00pm-9:10pm</t>
  </si>
  <si>
    <t xml:space="preserve">1:00pm-4:10pm</t>
  </si>
  <si>
    <t xml:space="preserve">4:10pm-6:00pm</t>
  </si>
  <si>
    <t xml:space="preserve">12:15pm-3:30pm</t>
  </si>
  <si>
    <t xml:space="preserve">3:23pm-6:00pm</t>
  </si>
  <si>
    <t xml:space="preserve">6:00pm-9:30pm</t>
  </si>
  <si>
    <t xml:space="preserve">6:00pm-10:00pm</t>
  </si>
  <si>
    <t xml:space="preserve">6:00pm-10:10pm</t>
  </si>
  <si>
    <t xml:space="preserve">Yianna Mod</t>
  </si>
  <si>
    <t xml:space="preserve">9:45am-2:00pm</t>
  </si>
  <si>
    <t xml:space="preserve">Stephanie Reyes</t>
  </si>
  <si>
    <t xml:space="preserve">Stephanie Espinal</t>
  </si>
  <si>
    <t xml:space="preserve">9:45am-2:30pm</t>
  </si>
  <si>
    <t xml:space="preserve">2:50pm-7:00pm</t>
  </si>
  <si>
    <t xml:space="preserve">7:00pm-9:10pm</t>
  </si>
  <si>
    <t xml:space="preserve">2:00pm-6:00pm</t>
  </si>
  <si>
    <t xml:space="preserve">9:45am-12:00pm</t>
  </si>
  <si>
    <t xml:space="preserve">12:20pm-3:00pm</t>
  </si>
  <si>
    <t xml:space="preserve">5:45pm-10:00pm</t>
  </si>
  <si>
    <t xml:space="preserve">5:45pm-10:10pm</t>
  </si>
  <si>
    <t xml:space="preserve">Lovevook（周播24H目标）周六大场</t>
  </si>
  <si>
    <t xml:space="preserve">Lovevook Training</t>
  </si>
  <si>
    <t xml:space="preserve">2:30pm-3:10pm</t>
  </si>
  <si>
    <t xml:space="preserve">Roxy Star</t>
  </si>
  <si>
    <t/>
    <r>
      <rPr>
        <u val="single"/>
        <color theme="10"/>
      </rPr>
      <t xml:space="preserve">@Zixuan Wang</t>
    </r>
  </si>
  <si>
    <t xml:space="preserve">提前30分钟来熟悉品，下播复盘10分钟</t>
  </si>
  <si>
    <t xml:space="preserve">Lovevook</t>
  </si>
  <si>
    <t xml:space="preserve">Lovevook Mod</t>
  </si>
  <si>
    <t xml:space="preserve">2:40pm-7:10pm</t>
  </si>
  <si>
    <t xml:space="preserve">Naomi Griffin</t>
  </si>
  <si>
    <t xml:space="preserve">3:30pm-7:00pm</t>
  </si>
  <si>
    <t xml:space="preserve">Dishani Chakraborty</t>
  </si>
  <si>
    <t/>
    <r>
      <rPr>
        <u val="single"/>
        <color theme="10"/>
      </rPr>
      <t xml:space="preserve">@Zixuan Wang</t>
    </r>
  </si>
  <si>
    <t xml:space="preserve">离职取消，不pay</t>
  </si>
  <si>
    <t xml:space="preserve">Tess Gordon</t>
  </si>
  <si>
    <t/>
    <r>
      <rPr>
        <u val="single"/>
        <color theme="10"/>
      </rPr>
      <t xml:space="preserve">@Zixuan Wang</t>
    </r>
  </si>
  <si>
    <t xml:space="preserve">提前来熟悉品，看播开场节奏录屏</t>
  </si>
  <si>
    <t/>
    <r>
      <rPr>
        <u val="single"/>
        <color theme="10"/>
      </rPr>
      <t xml:space="preserve">@Zixuan Wang</t>
    </r>
  </si>
  <si>
    <t xml:space="preserve">Rose Donahue</t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</si>
  <si>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</si>
  <si>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</si>
  <si>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 xml:space="preserve">3:00pm-7:00pm</t>
  </si>
  <si>
    <t xml:space="preserve">2:52pm-7:10pm</t>
  </si>
  <si>
    <t xml:space="preserve">迟到12分钟</t>
  </si>
  <si>
    <t xml:space="preserve">2:45pm-3:00pm</t>
  </si>
  <si>
    <t xml:space="preserve">Kaitlyn Didi</t>
  </si>
  <si>
    <t xml:space="preserve">Kristina Dow</t>
  </si>
  <si>
    <t/>
    <r>
      <rPr>
        <u val="single"/>
        <color theme="10"/>
      </rPr>
      <t xml:space="preserve">@Zixuan Wang</t>
    </r>
  </si>
  <si>
    <t xml:space="preserve">Glitzall温州海纳（周播15H目标）</t>
  </si>
  <si>
    <t xml:space="preserve">DJI</t>
  </si>
  <si>
    <t xml:space="preserve">运营（写清楚场控跟播的时间段）</t>
  </si>
  <si>
    <t xml:space="preserve">直播间</t>
  </si>
  <si>
    <t xml:space="preserve">9:00pm-12:00pm</t>
  </si>
  <si>
    <t xml:space="preserve">Bruce</t>
  </si>
  <si>
    <t xml:space="preserve">Back up</t>
  </si>
  <si>
    <t xml:space="preserve">Grace Karin（周播15H目标）</t>
  </si>
  <si>
    <t xml:space="preserve">Grace Karin</t>
  </si>
  <si>
    <t xml:space="preserve">Mariana Quezada</t>
  </si>
  <si>
    <t xml:space="preserve">Suzannah Samuel</t>
  </si>
  <si>
    <t xml:space="preserve">Mindy 11-12</t>
  </si>
  <si>
    <t xml:space="preserve">Astrid Salas</t>
  </si>
  <si>
    <t xml:space="preserve">主播7/16取消 No Pay</t>
  </si>
  <si>
    <t xml:space="preserve">Rachel Jackson</t>
  </si>
  <si>
    <t xml:space="preserve">Grace Karin Mod</t>
  </si>
  <si>
    <t xml:space="preserve">10:45am-2:15pm</t>
  </si>
  <si>
    <t xml:space="preserve">Ian Sandvik</t>
  </si>
  <si>
    <t xml:space="preserve">12:00pm-2:30pm</t>
  </si>
  <si>
    <t xml:space="preserve">Grace Karin Training</t>
  </si>
  <si>
    <t xml:space="preserve">10:00am-2:30pm</t>
  </si>
  <si>
    <t xml:space="preserve">en route</t>
  </si>
  <si>
    <t xml:space="preserve">Bagsmart（周播18H目标）</t>
  </si>
  <si>
    <t xml:space="preserve">Bagsmart</t>
  </si>
  <si>
    <t xml:space="preserve">Marina Hribernig</t>
  </si>
  <si>
    <t xml:space="preserve">Brodie/Cam</t>
  </si>
  <si>
    <t xml:space="preserve">Ian</t>
  </si>
  <si>
    <t xml:space="preserve">Q</t>
  </si>
  <si>
    <t xml:space="preserve">Bagsmart Mod</t>
  </si>
  <si>
    <t xml:space="preserve">3:45pm-6:00pm</t>
  </si>
  <si>
    <t xml:space="preserve">Brodie Zeigler</t>
  </si>
  <si>
    <t xml:space="preserve">Cam学</t>
  </si>
  <si>
    <t xml:space="preserve">6:00pm-7:15pm</t>
  </si>
  <si>
    <t xml:space="preserve">2:45pm-6:15pm</t>
  </si>
  <si>
    <t xml:space="preserve">3:45pm-7:15pm</t>
  </si>
  <si>
    <t xml:space="preserve">Bagsmart Mod Training</t>
  </si>
  <si>
    <t xml:space="preserve">看播</t>
  </si>
  <si>
    <t xml:space="preserve">1:00pm-7:00pm</t>
  </si>
  <si>
    <t xml:space="preserve">Byron</t>
  </si>
  <si>
    <t/>
    <r>
      <rPr>
        <u val="single"/>
        <color theme="10"/>
      </rPr>
      <t xml:space="preserve">@Xi Chen</t>
    </r>
  </si>
  <si>
    <t xml:space="preserve">Bagsmart Training</t>
  </si>
  <si>
    <t xml:space="preserve">3:30pm-6:00pm</t>
  </si>
  <si>
    <t xml:space="preserve">5:30pm-6:30pm</t>
  </si>
  <si>
    <t xml:space="preserve">KTC</t>
  </si>
  <si>
    <t xml:space="preserve">6:30pm-9:30pm</t>
  </si>
  <si>
    <t xml:space="preserve">Tanner Kenneth Bjorklund</t>
  </si>
  <si>
    <t xml:space="preserve">Q6:30-7，Iris7-9:30</t>
  </si>
  <si>
    <t xml:space="preserve">Iris</t>
  </si>
  <si>
    <t xml:space="preserve">Brodie</t>
  </si>
  <si>
    <t xml:space="preserve">6:30pm-10:00pm</t>
  </si>
  <si>
    <t xml:space="preserve">Ava</t>
  </si>
  <si>
    <t xml:space="preserve">Brodie/Sophia</t>
  </si>
  <si>
    <t xml:space="preserve">Victoria</t>
  </si>
  <si>
    <t xml:space="preserve">6:30pm-9:45pm</t>
  </si>
  <si>
    <t xml:space="preserve">Ryan</t>
  </si>
  <si>
    <t xml:space="preserve">KTC Mod</t>
  </si>
  <si>
    <t xml:space="preserve">9:45am-1:15pm</t>
  </si>
  <si>
    <t xml:space="preserve">7:00pm-9:45pm</t>
  </si>
  <si>
    <t xml:space="preserve">6:15pm-9:45pm</t>
  </si>
  <si>
    <t xml:space="preserve">8:45am-12:15pm</t>
  </si>
  <si>
    <t/>
    <r>
      <rPr>
        <u val="single"/>
        <color theme="10"/>
      </rPr>
      <t xml:space="preserve">@Wentao Du</t>
    </r>
  </si>
  <si>
    <t/>
    <r>
      <rPr>
        <u val="single"/>
        <color theme="10"/>
      </rPr>
      <t xml:space="preserve">@Wentao Du</t>
    </r>
  </si>
  <si>
    <t xml:space="preserve">6:45pm-10:00pm</t>
  </si>
  <si>
    <t/>
    <r>
      <rPr>
        <u val="single"/>
        <color theme="10"/>
      </rPr>
      <t xml:space="preserve">@Wentao Du</t>
    </r>
  </si>
  <si>
    <t xml:space="preserve">KTC Training</t>
  </si>
  <si>
    <t/>
    <r>
      <rPr>
        <u val="single"/>
        <color theme="10"/>
      </rPr>
      <t xml:space="preserve">@Xi Chen</t>
    </r>
  </si>
  <si>
    <t xml:space="preserve">KTC Mod Training</t>
  </si>
  <si>
    <t xml:space="preserve">6:00pm-9:45pm</t>
  </si>
  <si>
    <t/>
    <r>
      <rPr>
        <u val="single"/>
        <color theme="10"/>
      </rPr>
      <t xml:space="preserve">@Xi Chen</t>
    </r>
  </si>
  <si>
    <t xml:space="preserve">5:00pm-6:30pm</t>
  </si>
  <si>
    <t/>
    <r>
      <rPr>
        <u val="single"/>
        <color theme="10"/>
      </rPr>
      <t xml:space="preserve">@Xi Chen</t>
    </r>
  </si>
  <si>
    <t xml:space="preserve">6:30pm-7:00pm</t>
  </si>
  <si>
    <t/>
    <r>
      <rPr>
        <u val="single"/>
        <color theme="10"/>
      </rPr>
      <t xml:space="preserve">@Xi Chen</t>
    </r>
  </si>
  <si>
    <t xml:space="preserve">Ovela Shop</t>
  </si>
  <si>
    <t xml:space="preserve">Ovela Shop Mod</t>
  </si>
  <si>
    <t xml:space="preserve">Roshaun Neil</t>
  </si>
  <si>
    <t xml:space="preserve">Aaron</t>
  </si>
  <si>
    <t xml:space="preserve">Host cancel</t>
  </si>
  <si>
    <t xml:space="preserve">6:30pm-8:00pm</t>
  </si>
  <si>
    <t xml:space="preserve">9:45am-1:00pm</t>
  </si>
  <si>
    <t xml:space="preserve">9:45am-12:30pm</t>
  </si>
  <si>
    <t xml:space="preserve">12:30pm-3:30pm</t>
  </si>
  <si>
    <t xml:space="preserve">Ovela Shop Training</t>
  </si>
  <si>
    <t xml:space="preserve">1:00pm-6:00pm</t>
  </si>
  <si>
    <t xml:space="preserve">5:30pm-6:00pm</t>
  </si>
  <si>
    <t xml:space="preserve">1:30pm-2:00pm</t>
  </si>
  <si>
    <t xml:space="preserve">3:00pm-3:30pm</t>
  </si>
  <si>
    <t xml:space="preserve">High Fundamental (周播18H目标)</t>
  </si>
  <si>
    <t xml:space="preserve">Highfundamental</t>
  </si>
  <si>
    <t xml:space="preserve">Kasian</t>
  </si>
  <si>
    <t xml:space="preserve">Host cancel No Pay</t>
  </si>
  <si>
    <t xml:space="preserve">Highfundamental Mod</t>
  </si>
  <si>
    <t xml:space="preserve">3:50pm-6:30pm</t>
  </si>
  <si>
    <t xml:space="preserve">Highfundamental Training</t>
  </si>
  <si>
    <t xml:space="preserve">Aelfric Eden</t>
  </si>
  <si>
    <t xml:space="preserve">Aelfric Eden Mod</t>
  </si>
  <si>
    <t xml:space="preserve">Madox</t>
  </si>
  <si>
    <t xml:space="preserve">Host Cancel No Pay</t>
  </si>
  <si>
    <t xml:space="preserve">12:45pm-4:00pm</t>
  </si>
  <si>
    <t xml:space="preserve">Jared C Owens</t>
  </si>
  <si>
    <t xml:space="preserve">Izzy 645-900pm</t>
  </si>
  <si>
    <t xml:space="preserve">6:45pm-9:00pm</t>
  </si>
  <si>
    <t xml:space="preserve">Aelfric Eden Training</t>
  </si>
  <si>
    <t xml:space="preserve">6:00pm-6:20pm</t>
  </si>
  <si>
    <t xml:space="preserve">Video Shoot</t>
  </si>
  <si>
    <t xml:space="preserve"> Program 
(Brand name)</t>
  </si>
  <si>
    <t xml:space="preserve">Date</t>
  </si>
  <si>
    <t xml:space="preserve">US-time</t>
  </si>
  <si>
    <t xml:space="preserve">Hours（公式）</t>
  </si>
  <si>
    <t xml:space="preserve">Host</t>
  </si>
  <si>
    <t xml:space="preserve">负责人</t>
  </si>
  <si>
    <t xml:space="preserve">LIVE Office</t>
  </si>
  <si>
    <t xml:space="preserve"> confirm？</t>
  </si>
  <si>
    <t xml:space="preserve">Note</t>
  </si>
  <si>
    <t xml:space="preserve">SKG Video Shooting</t>
  </si>
  <si>
    <t xml:space="preserve">3:00pm-5:00pm</t>
  </si>
  <si>
    <t xml:space="preserve">Clark Smith</t>
  </si>
  <si>
    <t xml:space="preserve">8461 Higuera Street</t>
  </si>
  <si>
    <t xml:space="preserve">YES</t>
  </si>
  <si>
    <t xml:space="preserve">2:30pm-6:00pm</t>
  </si>
  <si>
    <t xml:space="preserve">Dilara Foscht</t>
  </si>
  <si>
    <t xml:space="preserve">PHOTO SHOOT</t>
  </si>
  <si>
    <t xml:space="preserve">10:30am-2:00pm</t>
  </si>
  <si>
    <t xml:space="preserve">【交付1组】</t>
  </si>
  <si>
    <t xml:space="preserve">VEVOR TOOL（周播30小时目标）</t>
  </si>
  <si>
    <t xml:space="preserve">Mod（写清楚场控跟播的时间段）</t>
  </si>
  <si>
    <t xml:space="preserve">VEVOR TOOL</t>
  </si>
  <si>
    <t xml:space="preserve">4:00pm-8:00pm</t>
  </si>
  <si>
    <t xml:space="preserve">Anthony Traina</t>
  </si>
  <si>
    <t xml:space="preserve">ziyi</t>
  </si>
  <si>
    <t xml:space="preserve">clinton 8月开始才能播vevor</t>
  </si>
  <si>
    <t xml:space="preserve">2:00pm-5:00pm</t>
  </si>
  <si>
    <t xml:space="preserve">Carly Johnson</t>
  </si>
  <si>
    <t xml:space="preserve">5:00pm-8:00pm</t>
  </si>
  <si>
    <t xml:space="preserve">william</t>
  </si>
  <si>
    <t/>
    <r>
      <rPr>
        <u val="single"/>
        <color theme="10"/>
      </rPr>
      <t xml:space="preserve">@Yuting Mu</t>
    </r>
  </si>
  <si>
    <t xml:space="preserve">VEVOR TOOL Mod</t>
  </si>
  <si>
    <t/>
    <r>
      <rPr>
        <u val="single"/>
        <color theme="10"/>
      </rPr>
      <t xml:space="preserve">@Yuting Mu</t>
    </r>
  </si>
  <si>
    <t xml:space="preserve"> </t>
  </si>
  <si>
    <t xml:space="preserve">Joseph Davis Massingill</t>
  </si>
  <si>
    <t xml:space="preserve">kk5-5:30</t>
  </si>
  <si>
    <t xml:space="preserve">12:00pm-2:00pm</t>
  </si>
  <si>
    <t xml:space="preserve">Holland Sharp II</t>
  </si>
  <si>
    <t/>
    <r>
      <rPr>
        <u val="single"/>
        <color theme="10"/>
      </rPr>
      <t xml:space="preserve">@Yuting Mu</t>
    </r>
  </si>
  <si>
    <t/>
    <r>
      <rPr>
        <u val="single"/>
        <color theme="10"/>
      </rPr>
      <t xml:space="preserve">@Yuting Mu</t>
    </r>
  </si>
  <si>
    <t/>
    <r>
      <rPr>
        <u val="single"/>
        <color theme="10"/>
      </rPr>
      <t xml:space="preserve">@Yuting Mu</t>
    </r>
  </si>
  <si>
    <t xml:space="preserve">Ryan Benson</t>
  </si>
  <si>
    <t/>
    <r>
      <rPr>
        <u val="single"/>
        <color theme="10"/>
      </rPr>
      <t xml:space="preserve">@Yuting Mu</t>
    </r>
  </si>
  <si>
    <t xml:space="preserve">VEVOR TOOL Training</t>
  </si>
  <si>
    <t xml:space="preserve">2:00pm-4:00pm</t>
  </si>
  <si>
    <t xml:space="preserve">kk</t>
  </si>
  <si>
    <t xml:space="preserve">Friday</t>
  </si>
  <si>
    <t xml:space="preserve">2:00pm-8:00pm</t>
  </si>
  <si>
    <t xml:space="preserve">Saturday</t>
  </si>
  <si>
    <t xml:space="preserve">William Dennis</t>
  </si>
  <si>
    <t xml:space="preserve">Lesure</t>
  </si>
  <si>
    <t xml:space="preserve">3:00pm - 6:00pm</t>
  </si>
  <si>
    <t xml:space="preserve">Rita</t>
  </si>
  <si>
    <t xml:space="preserve">3619 Eastham Drive</t>
  </si>
  <si>
    <t xml:space="preserve">2:00pm - 5:00pm</t>
  </si>
  <si>
    <t xml:space="preserve">Iris (Alexis) Perry</t>
  </si>
  <si>
    <t xml:space="preserve">Cam</t>
  </si>
  <si>
    <t xml:space="preserve">12:00pm - 3:00pm</t>
  </si>
  <si>
    <t xml:space="preserve">Samuel Solomon</t>
  </si>
  <si>
    <t xml:space="preserve">Ivy</t>
  </si>
  <si>
    <t xml:space="preserve">3:45pm - 7:00pm</t>
  </si>
  <si>
    <t xml:space="preserve">7:00pm - 10:15pm</t>
  </si>
  <si>
    <t xml:space="preserve">Jessie Canizales</t>
  </si>
  <si>
    <t xml:space="preserve">Rita/Ivy</t>
  </si>
  <si>
    <t xml:space="preserve">Lesure Mod</t>
  </si>
  <si>
    <t xml:space="preserve">2:30pm - 6:30pm</t>
  </si>
  <si>
    <t xml:space="preserve">1:30pm - 5:30pm</t>
  </si>
  <si>
    <t xml:space="preserve">cam</t>
  </si>
  <si>
    <t xml:space="preserve">7:00pm - 8:30pm</t>
  </si>
  <si>
    <t xml:space="preserve">Xtool</t>
  </si>
  <si>
    <t xml:space="preserve">Cristian Urbina</t>
  </si>
  <si>
    <t xml:space="preserve">12:00pm-3:00pm</t>
  </si>
  <si>
    <t xml:space="preserve">3:00pm-6:00pm</t>
  </si>
  <si>
    <t xml:space="preserve">1:00pm-4:00pm</t>
  </si>
  <si>
    <t xml:space="preserve">juewen</t>
  </si>
  <si>
    <t xml:space="preserve">Xtool Mod</t>
  </si>
  <si>
    <t xml:space="preserve">Wenqi Ouyang</t>
  </si>
  <si>
    <t xml:space="preserve">6:00pm-8:00pm</t>
  </si>
  <si>
    <t xml:space="preserve">rita</t>
  </si>
  <si>
    <t xml:space="preserve">11:00am-2:00pm</t>
  </si>
  <si>
    <t xml:space="preserve">3:00pm-7:00pm</t>
  </si>
  <si>
    <t xml:space="preserve">11:00am-5:00pm</t>
  </si>
  <si>
    <t xml:space="preserve">2:30pm-4:00pm</t>
  </si>
  <si>
    <t xml:space="preserve">4:00pm-7:00pm</t>
  </si>
  <si>
    <t xml:space="preserve">12:00pm-6:00pm</t>
  </si>
  <si>
    <t xml:space="preserve">Jirou Xiao</t>
  </si>
  <si>
    <t xml:space="preserve">11:00am-7:00pm</t>
  </si>
  <si>
    <t xml:space="preserve">12:00pm-4:00pm</t>
  </si>
  <si>
    <t xml:space="preserve">做作业</t>
  </si>
  <si>
    <t xml:space="preserve">Xtool Training</t>
  </si>
  <si>
    <t xml:space="preserve">Ali Kassem</t>
  </si>
  <si>
    <t xml:space="preserve">5:00pm-7:00pm</t>
  </si>
  <si>
    <t xml:space="preserve">Daniel Torres Guevara</t>
  </si>
  <si>
    <t xml:space="preserve">1:00pm-2:00pm</t>
  </si>
  <si>
    <t xml:space="preserve">Bianca Foscht</t>
  </si>
  <si>
    <t xml:space="preserve">10:00am-1:00pm</t>
  </si>
  <si>
    <t xml:space="preserve">Wattcycle</t>
  </si>
  <si>
    <t xml:space="preserve">juan/katelyn</t>
  </si>
  <si>
    <t xml:space="preserve">3:00pm-4:00pm</t>
  </si>
  <si>
    <t xml:space="preserve">Carlos Pena</t>
  </si>
  <si>
    <t xml:space="preserve">PENDING</t>
  </si>
  <si>
    <t xml:space="preserve">4:00pm-6:00pm</t>
  </si>
  <si>
    <t xml:space="preserve">juan</t>
  </si>
  <si>
    <t xml:space="preserve">因为达人原因取消直播，培训xtool</t>
  </si>
  <si>
    <t xml:space="preserve">5:00pm-6:00pm</t>
  </si>
  <si>
    <t xml:space="preserve">排预热视频</t>
  </si>
  <si>
    <t xml:space="preserve">1:30pm-4:30pm</t>
  </si>
  <si>
    <t xml:space="preserve">Wattcycle Training</t>
  </si>
  <si>
    <t xml:space="preserve">8:00am-1:00pm</t>
  </si>
  <si>
    <t xml:space="preserve">Wattcycle Mod</t>
  </si>
  <si>
    <t xml:space="preserve">2:30pm-5:00pm</t>
  </si>
  <si>
    <t xml:space="preserve">Katelyn Quiambao</t>
  </si>
  <si>
    <t xml:space="preserve">2:30-3教上下播</t>
  </si>
  <si>
    <t xml:space="preserve">Juan Castillo</t>
  </si>
  <si>
    <t xml:space="preserve">juewen/jirou</t>
  </si>
  <si>
    <t xml:space="preserve">去xtool</t>
  </si>
  <si>
    <t xml:space="preserve">7:30pm-9:30pm</t>
  </si>
  <si>
    <t xml:space="preserve">Larq</t>
  </si>
  <si>
    <t xml:space="preserve">Larq Training</t>
  </si>
  <si>
    <t xml:space="preserve">8:00pm-9:30pm</t>
  </si>
  <si>
    <t xml:space="preserve">12:00pm-3:30pm</t>
  </si>
  <si>
    <t xml:space="preserve">Lion Dodsworth</t>
  </si>
  <si>
    <t xml:space="preserve">1:00pm-4:30pm</t>
  </si>
  <si>
    <t xml:space="preserve">Lourdes Urquiza</t>
  </si>
  <si>
    <t xml:space="preserve">11:30am-1:30pm</t>
  </si>
  <si>
    <t xml:space="preserve">1:00pm-2:30pm</t>
  </si>
  <si>
    <t xml:space="preserve">Jared C Owens</t>
  </si>
  <si>
    <t xml:space="preserve">12:00pm-1:00pm</t>
  </si>
  <si>
    <t xml:space="preserve">Larq Mod</t>
  </si>
  <si>
    <t xml:space="preserve">1:30pm-2:30pm</t>
  </si>
  <si>
    <t xml:space="preserve">5:30pm-7:00pm</t>
  </si>
  <si>
    <t xml:space="preserve">Govee-亚马逊直播</t>
  </si>
  <si>
    <t xml:space="preserve">Govee Training</t>
  </si>
  <si>
    <t xml:space="preserve">4:30pm-6:00pm</t>
  </si>
  <si>
    <t xml:space="preserve">TOPDON</t>
  </si>
  <si>
    <t xml:space="preserve">Alberto Soberanes</t>
  </si>
  <si>
    <t xml:space="preserve">Bella</t>
  </si>
  <si>
    <t xml:space="preserve">10:00am-2:00pm</t>
  </si>
  <si>
    <t xml:space="preserve">Bella/rita</t>
  </si>
  <si>
    <t xml:space="preserve">Zhihan/aj/rita</t>
  </si>
  <si>
    <t xml:space="preserve">Zhihan/Rita</t>
  </si>
  <si>
    <t xml:space="preserve">Zhihan/rita</t>
  </si>
  <si>
    <t xml:space="preserve">Zhihan</t>
  </si>
  <si>
    <t xml:space="preserve">TOPDON Mod</t>
  </si>
  <si>
    <t xml:space="preserve">TOPDON Training</t>
  </si>
  <si>
    <t xml:space="preserve">9:30am-2:00pm</t>
  </si>
  <si>
    <t xml:space="preserve">9:30am-2:30pm</t>
  </si>
  <si>
    <t xml:space="preserve">Pacagen</t>
  </si>
  <si>
    <t xml:space="preserve">8:00am-11:00am</t>
  </si>
  <si>
    <t xml:space="preserve">aj</t>
  </si>
  <si>
    <t xml:space="preserve">Pacagen Training</t>
  </si>
  <si>
    <t xml:space="preserve">shokzUS</t>
  </si>
  <si>
    <t xml:space="preserve">shokz</t>
  </si>
  <si>
    <t xml:space="preserve">iris</t>
  </si>
  <si>
    <t xml:space="preserve">11:30am-2:00pm</t>
  </si>
  <si>
    <t xml:space="preserve">jingzhi</t>
  </si>
  <si>
    <t xml:space="preserve">9:00am-12:00pm</t>
  </si>
  <si>
    <t xml:space="preserve">victoria</t>
  </si>
  <si>
    <t xml:space="preserve">matthew mcnulty</t>
  </si>
  <si>
    <t xml:space="preserve">shokz training</t>
  </si>
  <si>
    <t xml:space="preserve">1:00pm-3:00pm</t>
  </si>
  <si>
    <t xml:space="preserve">Victoria Rose</t>
  </si>
  <si>
    <t xml:space="preserve">shokz mod</t>
  </si>
  <si>
    <t xml:space="preserve">10:00am-1:30pm</t>
  </si>
  <si>
    <t xml:space="preserve">1:00am-5:00am</t>
  </si>
  <si>
    <t xml:space="preserve">Bluetti（周播30小时目标）</t>
  </si>
  <si>
    <t xml:space="preserve">Bluetti</t>
  </si>
  <si>
    <t xml:space="preserve">Gillian</t>
  </si>
  <si>
    <t xml:space="preserve">Orlando Sebastian Ibanez</t>
  </si>
  <si>
    <t xml:space="preserve">Gavin</t>
  </si>
  <si>
    <t xml:space="preserve">Bluetti Training</t>
  </si>
  <si>
    <t xml:space="preserve">2:00pm-3:00pm</t>
  </si>
  <si>
    <t xml:space="preserve">Sally</t>
  </si>
  <si>
    <t xml:space="preserve">Bluetti Mod</t>
  </si>
  <si>
    <t xml:space="preserve">4:30pm-8:00pm</t>
  </si>
  <si>
    <t xml:space="preserve">3:30pm-7:00pm</t>
  </si>
  <si>
    <t xml:space="preserve">Gillian Salgado</t>
  </si>
  <si>
    <t xml:space="preserve">5:00pm-9:00pm</t>
  </si>
  <si>
    <t xml:space="preserve">Aceup</t>
  </si>
  <si>
    <t xml:space="preserve">Aceup mod</t>
  </si>
  <si>
    <t xml:space="preserve">2:00pm-5:30pm</t>
  </si>
  <si>
    <t xml:space="preserve">Aceup Training</t>
  </si>
  <si>
    <t xml:space="preserve">8:00pm-9:00pm</t>
  </si>
  <si>
    <t xml:space="preserve">6:30pm-8:00pm</t>
  </si>
  <si>
    <t xml:space="preserve">【交付2组】</t>
  </si>
  <si>
    <t xml:space="preserve">Wavytalk（周播32H目标）</t>
  </si>
  <si>
    <t xml:space="preserve">Wavytalk</t>
  </si>
  <si>
    <t xml:space="preserve">Magdalena Zielonka</t>
  </si>
  <si>
    <t xml:space="preserve">Sophia</t>
  </si>
  <si>
    <t xml:space="preserve">11:00am-1:00pm</t>
  </si>
  <si>
    <t xml:space="preserve">Mindy</t>
  </si>
  <si>
    <t xml:space="preserve">Sophia </t>
  </si>
  <si>
    <t xml:space="preserve">Jillian Reeves</t>
  </si>
  <si>
    <t xml:space="preserve">3-4 Sophia 4-7 Vicotira Rose </t>
  </si>
  <si>
    <t xml:space="preserve">6:00pm - 9:00pm</t>
  </si>
  <si>
    <t xml:space="preserve">Asante Randall</t>
  </si>
  <si>
    <t xml:space="preserve">7-8 Jillian  </t>
  </si>
  <si>
    <t xml:space="preserve">9:00pm-12:00am</t>
  </si>
  <si>
    <t xml:space="preserve">8- 12 Victoria Rose </t>
  </si>
  <si>
    <t xml:space="preserve">Wavytalk Mod</t>
  </si>
  <si>
    <t xml:space="preserve">4:00pm - 7:12pm</t>
  </si>
  <si>
    <t xml:space="preserve">8:00pm -12:00am</t>
  </si>
  <si>
    <t xml:space="preserve">8:00am-10:00am</t>
  </si>
  <si>
    <t xml:space="preserve">Audrey Forrester</t>
  </si>
  <si>
    <t xml:space="preserve">10 -1 Audrey </t>
  </si>
  <si>
    <t xml:space="preserve">Isabelle Lauderdale</t>
  </si>
  <si>
    <t xml:space="preserve">6:30 - 8:30pm Jillian</t>
  </si>
  <si>
    <t xml:space="preserve">9- 11 Victoria /Charlene 11-12</t>
  </si>
  <si>
    <t xml:space="preserve">5:00pm - 6:30pm</t>
  </si>
  <si>
    <t xml:space="preserve">9:00pm - 10:00pm</t>
  </si>
  <si>
    <t xml:space="preserve">6:30pm - 8:30pm</t>
  </si>
  <si>
    <t xml:space="preserve">10:30am - 1:00pm</t>
  </si>
  <si>
    <t xml:space="preserve">Sophia(带教半小时）</t>
  </si>
  <si>
    <t xml:space="preserve">Kutluano Headbush</t>
  </si>
  <si>
    <t xml:space="preserve">11:00am-12:00pm</t>
  </si>
  <si>
    <t xml:space="preserve">Mindy </t>
  </si>
  <si>
    <t xml:space="preserve">Mindy / 6-7 Charlene</t>
  </si>
  <si>
    <t xml:space="preserve">7:00pm-9:00pm</t>
  </si>
  <si>
    <t xml:space="preserve">Mindy 7-10</t>
  </si>
  <si>
    <t xml:space="preserve">Charlene 10-12</t>
  </si>
  <si>
    <t xml:space="preserve">8:00pm - 12:00am</t>
  </si>
  <si>
    <t xml:space="preserve">6:00pm - 7:00pm </t>
  </si>
  <si>
    <t xml:space="preserve">8:00am-11:30am</t>
  </si>
  <si>
    <t xml:space="preserve">11:30am-2:30pm</t>
  </si>
  <si>
    <t xml:space="preserve">Vitoria Rose  11-12:30/ 12:30-2 Sophia</t>
  </si>
  <si>
    <t xml:space="preserve">4:30 Sophia / 4:30 -7 Mindy</t>
  </si>
  <si>
    <t xml:space="preserve">7-8 Mindy/  Cahrlene </t>
  </si>
  <si>
    <t xml:space="preserve">Charlene </t>
  </si>
  <si>
    <t xml:space="preserve">Sunday</t>
  </si>
  <si>
    <t xml:space="preserve">11:00am - 12:30pm</t>
  </si>
  <si>
    <t xml:space="preserve">8:00pm - 9:15pm</t>
  </si>
  <si>
    <t xml:space="preserve">Kasian Wick</t>
  </si>
  <si>
    <t xml:space="preserve">Wavytalk Training</t>
  </si>
  <si>
    <t xml:space="preserve">10:00am-12:00pm</t>
  </si>
  <si>
    <t xml:space="preserve">WavyTalk Amazon</t>
  </si>
  <si>
    <t xml:space="preserve">Wavytalk Amazon</t>
  </si>
  <si>
    <t xml:space="preserve">6:00pm - 8:00pm</t>
  </si>
  <si>
    <t xml:space="preserve">11:00am - 2:00pm</t>
  </si>
  <si>
    <t xml:space="preserve">10:30am - 2:00pm</t>
  </si>
  <si>
    <t xml:space="preserve">Wavytalk Amazon Training</t>
  </si>
  <si>
    <t xml:space="preserve">7:00pm - 7:45pm</t>
  </si>
  <si>
    <t xml:space="preserve">10:00am - 11:00am</t>
  </si>
  <si>
    <t xml:space="preserve">CASABREWS</t>
  </si>
  <si>
    <t xml:space="preserve">CasaBrews</t>
  </si>
  <si>
    <t xml:space="preserve">Stephanie Espinal</t>
  </si>
  <si>
    <t xml:space="preserve">CasaBrews Mod</t>
  </si>
  <si>
    <t xml:space="preserve">9:30am-12:00pm</t>
  </si>
  <si>
    <t xml:space="preserve">Eufy（周播20H目标）</t>
  </si>
  <si>
    <t xml:space="preserve">Viofo</t>
  </si>
  <si>
    <t xml:space="preserve">Yianna（周播48H目标）</t>
  </si>
  <si>
    <t xml:space="preserve">Yianna Training</t>
  </si>
  <si>
    <t xml:space="preserve">Giselle Castillo</t>
  </si>
  <si>
    <t/>
    <r>
      <rPr>
        <u val="single"/>
        <color theme="10"/>
      </rPr>
      <t xml:space="preserve">@Xinyi Ma</t>
    </r>
  </si>
  <si>
    <t/>
    <r>
      <rPr>
        <u val="single"/>
        <color theme="10"/>
      </rPr>
      <t xml:space="preserve">@Xinyi Ma</t>
    </r>
  </si>
  <si>
    <t xml:space="preserve">Wednesday</t>
  </si>
  <si>
    <t/>
    <r>
      <rPr>
        <u val="single"/>
        <color theme="10"/>
      </rPr>
      <t xml:space="preserve">@Xinyi Ma</t>
    </r>
  </si>
  <si>
    <t/>
    <r>
      <rPr>
        <u val="single"/>
        <color theme="10"/>
      </rPr>
      <t xml:space="preserve">@Xinyi Ma</t>
    </r>
  </si>
  <si>
    <t xml:space="preserve">Yianna</t>
  </si>
  <si>
    <t xml:space="preserve">Dina Zavala Fuentes</t>
  </si>
  <si>
    <t xml:space="preserve">Assiya Louahabi</t>
  </si>
  <si>
    <t xml:space="preserve">6:00pm-9:00pm</t>
  </si>
  <si>
    <t xml:space="preserve">2:00pm-4:15pm</t>
  </si>
  <si>
    <t/>
    <r>
      <rPr>
        <u val="single"/>
        <color theme="10"/>
      </rPr>
      <t xml:space="preserve">@Xinyi Ma</t>
    </r>
  </si>
  <si>
    <t/>
    <r>
      <rPr>
        <u val="single"/>
        <color theme="10"/>
      </rPr>
      <t xml:space="preserve">@Xinyi Ma</t>
    </r>
  </si>
  <si>
    <t xml:space="preserve">10:00am-1:05pm</t>
  </si>
  <si>
    <t xml:space="preserve">1:05pm-3:00pm</t>
  </si>
  <si>
    <t xml:space="preserve">6:00pm-9:05pm</t>
  </si>
  <si>
    <t xml:space="preserve">10:00am-2:05pm</t>
  </si>
  <si>
    <t xml:space="preserve">2:05pm-5:00pm</t>
  </si>
  <si>
    <t/>
    <r>
      <rPr>
        <u val="single"/>
        <color theme="10"/>
      </rPr>
      <t xml:space="preserve">@Xinyi Ma</t>
    </r>
  </si>
  <si>
    <t xml:space="preserve">7:00pm-10:00pm</t>
  </si>
  <si>
    <t xml:space="preserve">Yianna Mod</t>
  </si>
  <si>
    <t xml:space="preserve">9:45am-1:00pm</t>
  </si>
  <si>
    <t xml:space="preserve">Stephanie Reyes</t>
  </si>
  <si>
    <t xml:space="preserve">9:45am-2:00pm</t>
  </si>
  <si>
    <t/>
    <r>
      <rPr>
        <u val="single"/>
        <color theme="10"/>
      </rPr>
      <t xml:space="preserve">@Aiyi Wang</t>
    </r>
  </si>
  <si>
    <t xml:space="preserve">2:00pm-6:20pm</t>
  </si>
  <si>
    <t/>
    <r>
      <rPr>
        <u val="single"/>
        <color theme="10"/>
      </rPr>
      <t xml:space="preserve">@Aiyi Wang</t>
    </r>
  </si>
  <si>
    <t xml:space="preserve">6:20pm-10:00pm</t>
  </si>
  <si>
    <t/>
    <r>
      <rPr>
        <u val="single"/>
        <color theme="10"/>
      </rPr>
      <t xml:space="preserve">@Aiyi Wang</t>
    </r>
  </si>
  <si>
    <t xml:space="preserve">4:00pm-9:16pm</t>
  </si>
  <si>
    <t xml:space="preserve">9:16pm-10:00pm</t>
  </si>
  <si>
    <t/>
    <r>
      <rPr>
        <u val="single"/>
        <color theme="10"/>
      </rPr>
      <t xml:space="preserve">@Aiyi Wang</t>
    </r>
  </si>
  <si>
    <t xml:space="preserve">Lovevook（周播24H目标）周六大场</t>
  </si>
  <si>
    <t xml:space="preserve">Lovevook</t>
  </si>
  <si>
    <t/>
    <r>
      <rPr>
        <u val="single"/>
        <color theme="10"/>
      </rPr>
      <t xml:space="preserve">@Zixuan Wang</t>
    </r>
  </si>
  <si>
    <t xml:space="preserve">6:00pm-7:00pm</t>
  </si>
  <si>
    <t xml:space="preserve">时长短，主播取消，不pay</t>
  </si>
  <si>
    <t xml:space="preserve">Lovevook Mod</t>
  </si>
  <si>
    <t xml:space="preserve">2:40pm-7:10pm</t>
  </si>
  <si>
    <t xml:space="preserve">Naomi Griffin</t>
  </si>
  <si>
    <t xml:space="preserve">Rachel Jackson</t>
  </si>
  <si>
    <t xml:space="preserve">Lovevook Training</t>
  </si>
  <si>
    <t xml:space="preserve">Rose Donahue</t>
  </si>
  <si>
    <t/>
    <r>
      <rPr>
        <u val="single"/>
        <color theme="10"/>
      </rPr>
      <t xml:space="preserve">@Zixuan Wang</t>
    </r>
  </si>
  <si>
    <t xml:space="preserve">Tess Gordon</t>
  </si>
  <si>
    <t/>
    <r>
      <rPr>
        <u val="single"/>
        <color theme="10"/>
      </rPr>
      <t xml:space="preserve">@Zixuan Wang</t>
    </r>
  </si>
  <si>
    <t xml:space="preserve">1:40pm-6:10pm</t>
  </si>
  <si>
    <t xml:space="preserve">6:00pm-10:00pm</t>
  </si>
  <si>
    <t/>
    <r>
      <rPr>
        <u val="single"/>
        <color theme="10"/>
      </rPr>
      <t xml:space="preserve">@Zixuan Wang</t>
    </r>
  </si>
  <si>
    <t xml:space="preserve">5:40pm-10:10pm</t>
  </si>
  <si>
    <t/>
    <r>
      <rPr>
        <u val="single"/>
        <color theme="10"/>
      </rPr>
      <t xml:space="preserve">@Zixuan Wang</t>
    </r>
    <r>
      <rPr/>
      <t>带教</t>
    </r>
  </si>
  <si>
    <t xml:space="preserve">身体不舒服早退</t>
  </si>
  <si>
    <t xml:space="preserve">5:40pm-7:00pm</t>
  </si>
  <si>
    <t/>
    <r>
      <rPr>
        <u val="single"/>
        <color theme="10"/>
      </rPr>
      <t xml:space="preserve">@Zixuan Wang</t>
    </r>
    <r>
      <rPr/>
      <t>带教</t>
    </r>
  </si>
  <si>
    <t xml:space="preserve">Roxy Star</t>
  </si>
  <si>
    <t/>
    <r>
      <rPr>
        <u val="single"/>
        <color theme="10"/>
      </rPr>
      <t xml:space="preserve">@Zixuan Wang</t>
    </r>
  </si>
  <si>
    <t/>
    <r>
      <rPr>
        <u val="single"/>
        <color theme="10"/>
      </rPr>
      <t xml:space="preserve">@Zixuan Wang</t>
    </r>
  </si>
  <si>
    <t xml:space="preserve">首播</t>
  </si>
  <si>
    <t xml:space="preserve">7:00pm-7:10pm</t>
  </si>
  <si>
    <t/>
    <r>
      <rPr>
        <u val="single"/>
        <color theme="10"/>
      </rPr>
      <t xml:space="preserve">@Zixuan Wang</t>
    </r>
  </si>
  <si>
    <t xml:space="preserve">复盘</t>
  </si>
  <si>
    <t xml:space="preserve">2:00pm-6:00pm</t>
  </si>
  <si>
    <t xml:space="preserve">4:40pm-9:10pm</t>
  </si>
  <si>
    <t xml:space="preserve">Glitzall温州海纳（周播15H目标）</t>
  </si>
  <si>
    <t xml:space="preserve">Glitzall</t>
  </si>
  <si>
    <t xml:space="preserve">Suzannah Samuel</t>
  </si>
  <si>
    <t xml:space="preserve">Glitzall Mod</t>
  </si>
  <si>
    <t/>
    <r>
      <rPr>
        <u val="single"/>
        <color theme="10"/>
      </rPr>
      <t xml:space="preserve">@Zixuan Wang</t>
    </r>
  </si>
  <si>
    <t xml:space="preserve">Madox Dorsey</t>
  </si>
  <si>
    <t xml:space="preserve">DJI</t>
  </si>
  <si>
    <t xml:space="preserve">运营（写清楚场控跟播的时间段）</t>
  </si>
  <si>
    <t xml:space="preserve">直播间</t>
  </si>
  <si>
    <t xml:space="preserve">8:20pm-11:20pm</t>
  </si>
  <si>
    <t xml:space="preserve">Bruce</t>
  </si>
  <si>
    <t xml:space="preserve">Grace Karin（周播15H目标）</t>
  </si>
  <si>
    <t xml:space="preserve">Grace Karin</t>
  </si>
  <si>
    <t xml:space="preserve">Mariana Quezada</t>
  </si>
  <si>
    <t xml:space="preserve">brodie</t>
  </si>
  <si>
    <t xml:space="preserve">Charlene</t>
  </si>
  <si>
    <t xml:space="preserve">Madox</t>
  </si>
  <si>
    <t xml:space="preserve">Astrid Salas</t>
  </si>
  <si>
    <t xml:space="preserve">Ian</t>
  </si>
  <si>
    <t xml:space="preserve">11:00am-2:10pm</t>
  </si>
  <si>
    <t xml:space="preserve">Grace Karin Mod</t>
  </si>
  <si>
    <t xml:space="preserve">Brodie Zeigler</t>
  </si>
  <si>
    <t xml:space="preserve">10:45am-2:15pm</t>
  </si>
  <si>
    <t xml:space="preserve">11:00am-3:15pm</t>
  </si>
  <si>
    <t xml:space="preserve">10:00am-2:15pm</t>
  </si>
  <si>
    <t xml:space="preserve">Ian Sandvik</t>
  </si>
  <si>
    <t xml:space="preserve">en route</t>
  </si>
  <si>
    <t xml:space="preserve">en route Training</t>
  </si>
  <si>
    <t xml:space="preserve">8462 Higuera Street</t>
  </si>
  <si>
    <t xml:space="preserve">主播没来</t>
  </si>
  <si>
    <t xml:space="preserve">Bagsmart（周播18H目标）</t>
  </si>
  <si>
    <t xml:space="preserve">Bagsmart</t>
  </si>
  <si>
    <t xml:space="preserve">Marina Hribernig</t>
  </si>
  <si>
    <t xml:space="preserve">Brrodie</t>
  </si>
  <si>
    <t xml:space="preserve">主播身体原因请假</t>
  </si>
  <si>
    <t xml:space="preserve">3:00pm-5:30pm</t>
  </si>
  <si>
    <t xml:space="preserve">Bagsmart Mod</t>
  </si>
  <si>
    <t xml:space="preserve">4:45pm-8:15pm</t>
  </si>
  <si>
    <t xml:space="preserve">4:45pm-8:00pm</t>
  </si>
  <si>
    <t xml:space="preserve">2:45pm-5:45pm</t>
  </si>
  <si>
    <t xml:space="preserve">Bagsmart Training</t>
  </si>
  <si>
    <t xml:space="preserve">KTC</t>
  </si>
  <si>
    <t xml:space="preserve">10:00am-12:30pm</t>
  </si>
  <si>
    <t xml:space="preserve">10:30am-1:30pm</t>
  </si>
  <si>
    <t xml:space="preserve">Brodie</t>
  </si>
  <si>
    <t xml:space="preserve">9:30am-12:30pm</t>
  </si>
  <si>
    <t xml:space="preserve">Kory Getman</t>
  </si>
  <si>
    <t xml:space="preserve">3:30pm-6:30pm</t>
  </si>
  <si>
    <t xml:space="preserve">KTC Mod</t>
  </si>
  <si>
    <t xml:space="preserve">9:30am-12:45pm</t>
  </si>
  <si>
    <t xml:space="preserve">10:15am-1:45pm</t>
  </si>
  <si>
    <t xml:space="preserve">9:15am-12:45pm</t>
  </si>
  <si>
    <t xml:space="preserve">9:45am-1:15pm</t>
  </si>
  <si>
    <t xml:space="preserve">3:15pm-6:45pm</t>
  </si>
  <si>
    <t xml:space="preserve">KTC Mod Training</t>
  </si>
  <si>
    <t xml:space="preserve">1:30pm-3:30pm</t>
  </si>
  <si>
    <t xml:space="preserve">KTC Training</t>
  </si>
  <si>
    <t xml:space="preserve">Ava Gold</t>
  </si>
  <si>
    <t xml:space="preserve">12:00pm-1:30pm</t>
  </si>
  <si>
    <t xml:space="preserve">Tribesigns</t>
  </si>
  <si>
    <t xml:space="preserve">6:30pm-9:30pm</t>
  </si>
  <si>
    <t xml:space="preserve">matthew</t>
  </si>
  <si>
    <t xml:space="preserve">RIta</t>
  </si>
  <si>
    <t xml:space="preserve">Matthew</t>
  </si>
  <si>
    <t xml:space="preserve">Tribesigns Mod</t>
  </si>
  <si>
    <t xml:space="preserve">6:15pm-9:45pm</t>
  </si>
  <si>
    <t xml:space="preserve">6:30pm-7:30pm</t>
  </si>
  <si>
    <t xml:space="preserve">Tribesigns Training</t>
  </si>
  <si>
    <t xml:space="preserve">Ovela Shop</t>
  </si>
  <si>
    <t xml:space="preserve">Ro</t>
  </si>
  <si>
    <t xml:space="preserve">Ovela Shop Mod</t>
  </si>
  <si>
    <t xml:space="preserve">11:45am-3:00pm</t>
  </si>
  <si>
    <t xml:space="preserve">Roshaun Neil</t>
  </si>
  <si>
    <t/>
    <r>
      <rPr/>
      <t xml:space="preserve">Ro 6-7 pm
</t>
    </r>
    <r>
      <rPr>
        <u val="single"/>
        <color theme="10"/>
      </rPr>
      <t xml:space="preserve">@Aiyi Wang</t>
    </r>
    <r>
      <rPr/>
      <t>7-8pm</t>
    </r>
  </si>
  <si>
    <t xml:space="preserve">7:00pm-8:00pm</t>
  </si>
  <si>
    <t xml:space="preserve">8:00pm-10:00pm</t>
  </si>
  <si>
    <t/>
    <r>
      <rPr>
        <u val="single"/>
        <color theme="10"/>
      </rPr>
      <t xml:space="preserve">@Aiyi Wang</t>
    </r>
  </si>
  <si>
    <t xml:space="preserve">11:45am-2:00pm</t>
  </si>
  <si>
    <t xml:space="preserve">Ro 2-3pm
Brodie 3-4pm</t>
  </si>
  <si>
    <t/>
    <r>
      <rPr/>
      <t xml:space="preserve">Ro 6-7pm
</t>
    </r>
    <r>
      <rPr/>
      <t xml:space="preserve">7-9pm </t>
    </r>
    <r>
      <rPr>
        <u val="single"/>
        <color theme="10"/>
      </rPr>
      <t xml:space="preserve">@Aiyi Wang</t>
    </r>
  </si>
  <si>
    <t xml:space="preserve">9:00pm-10:00pm</t>
  </si>
  <si>
    <t/>
    <r>
      <rPr>
        <u val="single"/>
        <color theme="10"/>
      </rPr>
      <t xml:space="preserve">@Aiyi Wang</t>
    </r>
  </si>
  <si>
    <t xml:space="preserve">Mariana</t>
  </si>
  <si>
    <t xml:space="preserve">9:45am-12:00pm</t>
  </si>
  <si>
    <t/>
    <r>
      <rPr>
        <u val="single"/>
        <color theme="10"/>
      </rPr>
      <t xml:space="preserve">@Aiyi Wang</t>
    </r>
    <r>
      <rPr/>
      <t xml:space="preserve"> 12-1pm
</t>
    </r>
    <r>
      <rPr/>
      <t xml:space="preserve">Madox 1-2pm</t>
    </r>
  </si>
  <si>
    <t/>
    <r>
      <rPr>
        <u val="single"/>
        <color theme="10"/>
      </rPr>
      <t xml:space="preserve">@Aiyi Wang</t>
    </r>
  </si>
  <si>
    <t xml:space="preserve"> 1045am-1pm</t>
  </si>
  <si>
    <t xml:space="preserve">10:45am-1:00pm</t>
  </si>
  <si>
    <t/>
    <r>
      <rPr/>
      <t xml:space="preserve">Brodie 2-3pm
</t>
    </r>
    <r>
      <rPr/>
      <t xml:space="preserve">Madox 3-4pm</t>
    </r>
    <r>
      <rPr/>
      <t xml:space="preserve">
</t>
    </r>
    <r>
      <rPr>
        <u val="single"/>
        <color theme="10"/>
      </rPr>
      <t xml:space="preserve">@Liqi Mao</t>
    </r>
    <r>
      <rPr/>
      <t>4-5pm</t>
    </r>
  </si>
  <si>
    <t xml:space="preserve">Ro 2-3pm
Madox 3-4pm</t>
  </si>
  <si>
    <t xml:space="preserve">Ro 4-5pm
Madox 5-6pm</t>
  </si>
  <si>
    <t xml:space="preserve">4:00pm-5:00pm</t>
  </si>
  <si>
    <t xml:space="preserve">12-2pm Ian
2-3pm Madox</t>
  </si>
  <si>
    <t xml:space="preserve">x</t>
  </si>
  <si>
    <t/>
    <r>
      <rPr/>
      <t xml:space="preserve">Madox
</t>
    </r>
    <r>
      <rPr>
        <u val="single"/>
        <color theme="10"/>
      </rPr>
      <t xml:space="preserve">@Xi Chen</t>
    </r>
    <r>
      <rPr/>
      <t xml:space="preserve">
</t>
    </r>
    <r>
      <rPr/>
      <t xml:space="preserve">Any 30mins in between</t>
    </r>
  </si>
  <si>
    <t xml:space="preserve">Kasian</t>
  </si>
  <si>
    <t xml:space="preserve">Ovela Shop Training</t>
  </si>
  <si>
    <t xml:space="preserve">High Fundamental (周播18H目标)</t>
  </si>
  <si>
    <t xml:space="preserve">Highfundamental</t>
  </si>
  <si>
    <t xml:space="preserve">Nick J</t>
  </si>
  <si>
    <t xml:space="preserve">Highfundamental Mod</t>
  </si>
  <si>
    <t xml:space="preserve">6:15pm-7:00pm</t>
  </si>
  <si>
    <t xml:space="preserve">Guillermo Straube</t>
  </si>
  <si>
    <t xml:space="preserve">615-700pm training</t>
  </si>
  <si>
    <t xml:space="preserve">5:30pm-9:30pm</t>
  </si>
  <si>
    <t xml:space="preserve">2:30pm-5:30pm</t>
  </si>
  <si>
    <t xml:space="preserve">2:15pm-5:30pm</t>
  </si>
  <si>
    <t xml:space="preserve">Highfundamental Training</t>
  </si>
  <si>
    <t xml:space="preserve">Aelfric Eden</t>
  </si>
  <si>
    <t xml:space="preserve">Aelfric Eden Mod</t>
  </si>
  <si>
    <t xml:space="preserve">2:45pm-6:00pm</t>
  </si>
  <si>
    <t xml:space="preserve">Host's sick and cancel</t>
  </si>
  <si>
    <t xml:space="preserve">5:45pm-9:00pm</t>
  </si>
  <si>
    <t xml:space="preserve">Aelfric Eden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</si>
</sst>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8">
    <numFmt numFmtId="164" formatCode="yyyy-mm-dd"/>
    <numFmt numFmtId="165" formatCode="yyyy/m/d"/>
    <numFmt numFmtId="166" formatCode="@"/>
    <numFmt numFmtId="167" formatCode="0"/>
    <numFmt numFmtId="168" formatCode="yyyy-mm-dd"/>
    <numFmt numFmtId="169" formatCode="yyyy/m/d"/>
    <numFmt numFmtId="170" formatCode="@"/>
    <numFmt numFmtId="171" formatCode="0"/>
    <numFmt numFmtId="172" formatCode="yyyy-mm-dd"/>
    <numFmt numFmtId="173" formatCode="yyyy/m/d"/>
    <numFmt numFmtId="174" formatCode="@"/>
    <numFmt numFmtId="175" formatCode="0"/>
    <numFmt numFmtId="176" formatCode="yyyy-mm-dd"/>
    <numFmt numFmtId="177" formatCode="yyyy/m/d"/>
    <numFmt numFmtId="178" formatCode="@"/>
    <numFmt numFmtId="179" formatCode="0"/>
    <numFmt numFmtId="180" formatCode="yyyy-mm-dd"/>
    <numFmt numFmtId="181" formatCode="yyyy/m/d"/>
    <numFmt numFmtId="182" formatCode="@"/>
    <numFmt numFmtId="183" formatCode="0"/>
    <numFmt numFmtId="184" formatCode="yyyy-mm-dd"/>
    <numFmt numFmtId="185" formatCode="yyyy/m/d"/>
    <numFmt numFmtId="186" formatCode="@"/>
    <numFmt numFmtId="187" formatCode="0"/>
    <numFmt numFmtId="188" formatCode="yyyy-mm-dd"/>
    <numFmt numFmtId="189" formatCode="yyyy/m/d"/>
    <numFmt numFmtId="190" formatCode="@"/>
    <numFmt numFmtId="191" formatCode="0"/>
    <numFmt numFmtId="192" formatCode="yyyy-mm-dd"/>
    <numFmt numFmtId="193" formatCode="yyyy/m/d"/>
    <numFmt numFmtId="194" formatCode="@"/>
    <numFmt numFmtId="195" formatCode="0"/>
    <numFmt numFmtId="196" formatCode="yyyy-mm-dd"/>
    <numFmt numFmtId="197" formatCode="yyyy/m/d"/>
    <numFmt numFmtId="198" formatCode="@"/>
    <numFmt numFmtId="199" formatCode="0"/>
    <numFmt numFmtId="200" formatCode="yyyy-mm-dd"/>
    <numFmt numFmtId="201" formatCode="yyyy/m/d"/>
    <numFmt numFmtId="202" formatCode="@"/>
    <numFmt numFmtId="203" formatCode="0"/>
    <numFmt numFmtId="204" formatCode="yyyy-mm-dd"/>
    <numFmt numFmtId="205" formatCode="yyyy/m/d"/>
    <numFmt numFmtId="206" formatCode="@"/>
    <numFmt numFmtId="207" formatCode="0"/>
    <numFmt numFmtId="208" formatCode="yyyy-mm-dd"/>
    <numFmt numFmtId="209" formatCode="yyyy/m/d"/>
    <numFmt numFmtId="210" formatCode="@"/>
    <numFmt numFmtId="211" formatCode="0"/>
    <numFmt numFmtId="212" formatCode="yyyy-mm-dd"/>
    <numFmt numFmtId="213" formatCode="yyyy/m/d"/>
    <numFmt numFmtId="214" formatCode="@"/>
    <numFmt numFmtId="215" formatCode="0"/>
    <numFmt numFmtId="216" formatCode="0.0"/>
    <numFmt numFmtId="217" formatCode="0.00"/>
    <numFmt numFmtId="218" formatCode="yyyy-mm-dd"/>
    <numFmt numFmtId="219" formatCode="yyyy/m/d"/>
    <numFmt numFmtId="220" formatCode="@"/>
    <numFmt numFmtId="221" formatCode="0"/>
  </numFmts>
  <fonts count="25">
    <font>
      <sz val="12"/>
      <color theme="1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sz val="18"/>
      <color rgb="FF1F2329"/>
      <name val="Calibri"/>
      <family val="2"/>
      <scheme val="minor"/>
    </font>
    <font>
      <b val="true"/>
      <sz val="18"/>
      <color rgb="FF1F2329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b val="true"/>
      <sz val="24"/>
      <color rgb="FF1F2329"/>
      <name val="Calibri"/>
      <family val="2"/>
      <scheme val="minor"/>
    </font>
    <font>
      <sz val="12"/>
      <color rgb="FF20242A"/>
      <name val="Arial"/>
      <family val="2"/>
    </font>
    <font>
      <sz val="10"/>
      <color rgb="FF20242A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rlito"/>
      <family val="2"/>
    </font>
    <font>
      <sz val="14"/>
      <color rgb="FF000000"/>
      <name val="Calibri"/>
      <family val="2"/>
      <scheme val="minor"/>
    </font>
    <font>
      <b val="true"/>
      <sz val="18"/>
      <color rgb="FFFFFFFF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trike val="true"/>
      <sz val="12"/>
      <color rgb="FF1F2329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4"/>
      <color rgb="FF1F2329"/>
      <name val="Calibri"/>
      <family val="2"/>
      <scheme val="minor"/>
    </font>
    <font>
      <sz val="12"/>
      <color rgb="FFD83931"/>
      <name val="Calibri"/>
      <family val="2"/>
      <scheme val="minor"/>
    </font>
  </fonts>
  <fills count="55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FFFF"/>
        <bgColor/>
      </patternFill>
    </fill>
    <fill>
      <patternFill patternType="solid">
        <fgColor rgb="FFFFEDAC"/>
        <bgColor/>
      </patternFill>
    </fill>
    <fill>
      <patternFill patternType="solid">
        <fgColor rgb="FFD9F5D6"/>
        <bgColor/>
      </patternFill>
    </fill>
    <fill>
      <patternFill patternType="solid">
        <fgColor rgb="FF8EE085"/>
        <bgColor/>
      </patternFill>
    </fill>
    <fill>
      <patternFill patternType="solid">
        <fgColor rgb="FF04B49C"/>
        <bgColor/>
      </patternFill>
    </fill>
    <fill>
      <patternFill patternType="solid">
        <fgColor rgb="FFFBBFBC"/>
        <bgColor/>
      </patternFill>
    </fill>
    <fill>
      <patternFill patternType="solid">
        <fgColor rgb="FFD9F3FD"/>
        <bgColor/>
      </patternFill>
    </fill>
    <fill>
      <patternFill patternType="solid">
        <fgColor rgb="FFFDDDEF"/>
        <bgColor/>
      </patternFill>
    </fill>
    <fill>
      <patternFill patternType="solid">
        <fgColor rgb="FFECE2FE"/>
        <bgColor/>
      </patternFill>
    </fill>
    <fill>
      <patternFill patternType="solid">
        <fgColor rgb="FFD9F3FD"/>
        <bgColor/>
      </patternFill>
    </fill>
    <fill>
      <patternFill patternType="solid">
        <fgColor rgb="FFFFC60A"/>
        <bgColor/>
      </patternFill>
    </fill>
    <fill>
      <patternFill patternType="solid">
        <fgColor rgb="FF8EE085"/>
        <bgColor/>
      </patternFill>
    </fill>
    <fill>
      <patternFill patternType="solid">
        <fgColor rgb="FF60DFE7"/>
        <bgColor/>
      </patternFill>
    </fill>
    <fill>
      <patternFill patternType="solid">
        <fgColor rgb="FFA5F0E7"/>
        <bgColor/>
      </patternFill>
    </fill>
    <fill>
      <patternFill patternType="solid">
        <fgColor rgb="FFFFBA6B"/>
        <bgColor/>
      </patternFill>
    </fill>
    <fill>
      <patternFill patternType="solid">
        <fgColor rgb="FF7EDAFB"/>
        <bgColor/>
      </patternFill>
    </fill>
    <fill>
      <patternFill patternType="solid">
        <fgColor rgb="FFFF8800"/>
        <bgColor/>
      </patternFill>
    </fill>
    <fill>
      <patternFill patternType="solid">
        <fgColor rgb="FFFFBA6B"/>
        <bgColor/>
      </patternFill>
    </fill>
    <fill>
      <patternFill patternType="solid">
        <fgColor rgb="FFBACEFD"/>
        <bgColor/>
      </patternFill>
    </fill>
    <fill>
      <patternFill patternType="solid">
        <fgColor rgb="FF34C724"/>
        <bgColor/>
      </patternFill>
    </fill>
    <fill>
      <patternFill patternType="solid">
        <fgColor rgb="FF7EDAFB"/>
        <bgColor/>
      </patternFill>
    </fill>
    <fill>
      <patternFill patternType="solid">
        <fgColor rgb="FFFDDDEF"/>
        <bgColor/>
      </patternFill>
    </fill>
    <fill>
      <patternFill patternType="solid">
        <fgColor rgb="FFAD82F7"/>
        <bgColor/>
      </patternFill>
    </fill>
    <fill>
      <patternFill patternType="solid">
        <fgColor rgb="FFDEE0E3"/>
        <bgColor/>
      </patternFill>
    </fill>
    <fill>
      <patternFill patternType="solid">
        <fgColor rgb="FFF57AC0"/>
        <bgColor/>
      </patternFill>
    </fill>
    <fill>
      <patternFill patternType="solid">
        <fgColor rgb="FFFFC60A"/>
        <bgColor/>
      </patternFill>
    </fill>
    <fill>
      <patternFill patternType="solid">
        <fgColor rgb="FF7AD7F5"/>
        <bgColor/>
      </patternFill>
    </fill>
    <fill>
      <patternFill patternType="solid">
        <fgColor rgb="FFFFC555"/>
        <bgColor/>
      </patternFill>
    </fill>
    <fill>
      <patternFill patternType="solid">
        <fgColor rgb="FF7A0F4B"/>
        <bgColor/>
      </patternFill>
    </fill>
    <fill>
      <patternFill patternType="solid">
        <fgColor rgb="FFFAD355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FFFF"/>
        <bgColor/>
      </patternFill>
    </fill>
    <fill>
      <patternFill patternType="solid">
        <fgColor rgb="FFFF8800"/>
        <bgColor/>
      </patternFill>
    </fill>
    <fill>
      <patternFill patternType="solid">
        <fgColor rgb="FFFFBA6B"/>
        <bgColor/>
      </patternFill>
    </fill>
    <fill>
      <patternFill patternType="solid">
        <fgColor rgb="FFFFBA6B"/>
        <bgColor/>
      </patternFill>
    </fill>
    <fill>
      <patternFill patternType="solid">
        <fgColor rgb="FFFFEDAC"/>
        <bgColor/>
      </patternFill>
    </fill>
    <fill>
      <patternFill patternType="solid">
        <fgColor rgb="FFFAF1D1"/>
        <bgColor/>
      </patternFill>
    </fill>
    <fill>
      <patternFill patternType="solid">
        <fgColor rgb="FFC6F0E8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8EE085"/>
        <bgColor/>
      </patternFill>
    </fill>
    <fill>
      <patternFill patternType="solid">
        <fgColor rgb="FF8F959E"/>
        <bgColor/>
      </patternFill>
    </fill>
    <fill>
      <patternFill patternType="solid">
        <fgColor rgb="FF04B49C"/>
        <bgColor/>
      </patternFill>
    </fill>
    <fill>
      <patternFill patternType="solid">
        <fgColor rgb="FFD9F3FD"/>
        <bgColor/>
      </patternFill>
    </fill>
    <fill>
      <patternFill patternType="solid">
        <fgColor rgb="FFFDDDEF"/>
        <bgColor/>
      </patternFill>
    </fill>
    <fill>
      <patternFill patternType="solid">
        <fgColor rgb="FFECE2FE"/>
        <bgColor/>
      </patternFill>
    </fill>
    <fill>
      <patternFill patternType="solid">
        <fgColor rgb="FFD9F3FD"/>
        <bgColor/>
      </patternFill>
    </fill>
    <fill>
      <patternFill patternType="solid">
        <fgColor rgb="FF8F959E"/>
        <bgColor/>
      </patternFill>
    </fill>
    <fill>
      <patternFill patternType="solid">
        <fgColor rgb="FFFFC60A"/>
        <bgColor/>
      </patternFill>
    </fill>
    <fill>
      <patternFill patternType="solid">
        <fgColor rgb="FF60DFE7"/>
        <bgColor/>
      </patternFill>
    </fill>
    <fill>
      <patternFill patternType="solid">
        <fgColor rgb="FFA5F0E7"/>
        <bgColor/>
      </patternFill>
    </fill>
    <fill>
      <patternFill patternType="solid">
        <fgColor rgb="FF7EDAFB"/>
        <bgColor/>
      </patternFill>
    </fill>
    <fill>
      <patternFill patternType="solid">
        <fgColor rgb="FFBACEFD"/>
        <bgColor/>
      </patternFill>
    </fill>
    <fill>
      <patternFill patternType="solid">
        <fgColor rgb="FF34C724"/>
        <bgColor/>
      </patternFill>
    </fill>
    <fill>
      <patternFill patternType="solid">
        <fgColor rgb="FFFAD355"/>
        <bgColor/>
      </patternFill>
    </fill>
    <fill>
      <patternFill patternType="solid">
        <fgColor rgb="FFAD82F7"/>
        <bgColor/>
      </patternFill>
    </fill>
    <fill>
      <patternFill patternType="solid">
        <fgColor rgb="FF40E7D0"/>
        <bgColor/>
      </patternFill>
    </fill>
    <fill>
      <patternFill patternType="solid">
        <fgColor rgb="FF64E8D6"/>
        <bgColor/>
      </patternFill>
    </fill>
    <fill>
      <patternFill patternType="solid">
        <fgColor rgb="FFFF8800"/>
        <bgColor/>
      </patternFill>
    </fill>
    <fill>
      <patternFill patternType="solid">
        <fgColor rgb="FFF57AC0"/>
        <bgColor/>
      </patternFill>
    </fill>
    <fill>
      <patternFill patternType="solid">
        <fgColor rgb="FFFFC60A"/>
        <bgColor/>
      </patternFill>
    </fill>
    <fill>
      <patternFill patternType="solid">
        <fgColor rgb="FF7EDAFB"/>
        <bgColor/>
      </patternFill>
    </fill>
    <fill>
      <patternFill patternType="solid">
        <fgColor rgb="FF7AD7F5"/>
        <bgColor/>
      </patternFill>
    </fill>
    <fill>
      <patternFill patternType="solid">
        <fgColor rgb="FFBF1C14"/>
        <bgColor/>
      </patternFill>
    </fill>
    <fill>
      <patternFill patternType="solid">
        <fgColor rgb="FFFFC555"/>
        <bgColor/>
      </patternFill>
    </fill>
    <fill>
      <patternFill patternType="solid">
        <fgColor rgb="FF7A0F4B"/>
        <bgColor/>
      </patternFill>
    </fill>
    <fill>
      <patternFill patternType="solid">
        <fgColor rgb="FFFAD355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FFFF"/>
        <bgColor/>
      </patternFill>
    </fill>
    <fill>
      <patternFill patternType="solid">
        <fgColor rgb="FFFF8800"/>
        <bgColor/>
      </patternFill>
    </fill>
    <fill>
      <patternFill patternType="solid">
        <fgColor rgb="FF8F959E"/>
        <bgColor/>
      </patternFill>
    </fill>
    <fill>
      <patternFill patternType="solid">
        <fgColor rgb="FFFFBA6B"/>
        <bgColor/>
      </patternFill>
    </fill>
    <fill>
      <patternFill patternType="solid">
        <fgColor rgb="FFFFBA6B"/>
        <bgColor/>
      </patternFill>
    </fill>
    <fill>
      <patternFill patternType="solid">
        <fgColor rgb="FFFFEDAC"/>
        <bgColor/>
      </patternFill>
    </fill>
    <fill>
      <patternFill patternType="solid">
        <fgColor rgb="FFFAF1D1"/>
        <bgColor/>
      </patternFill>
    </fill>
    <fill>
      <patternFill patternType="solid">
        <fgColor rgb="FFA6BFFA"/>
        <bgColor/>
      </patternFill>
    </fill>
    <fill>
      <patternFill patternType="solid">
        <fgColor rgb="FFE1D1FF"/>
        <bgColor/>
      </patternFill>
    </fill>
    <fill>
      <patternFill patternType="solid">
        <fgColor rgb="FFC6F0E8"/>
        <bgColor/>
      </patternFill>
    </fill>
    <fill>
      <patternFill patternType="solid">
        <fgColor rgb="FF8EE085"/>
        <bgColor/>
      </patternFill>
    </fill>
    <fill>
      <patternFill patternType="solid">
        <fgColor rgb="FF04B49C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FC60A"/>
        <bgColor/>
      </patternFill>
    </fill>
    <fill>
      <patternFill patternType="solid">
        <fgColor rgb="FF60DFE7"/>
        <bgColor/>
      </patternFill>
    </fill>
    <fill>
      <patternFill patternType="solid">
        <fgColor rgb="FFA5F0E7"/>
        <bgColor/>
      </patternFill>
    </fill>
    <fill>
      <patternFill patternType="solid">
        <fgColor rgb="FF8EE085"/>
        <bgColor/>
      </patternFill>
    </fill>
    <fill>
      <patternFill patternType="solid">
        <fgColor rgb="FF7EDAFB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34C724"/>
        <bgColor/>
      </patternFill>
    </fill>
    <fill>
      <patternFill patternType="solid">
        <fgColor rgb="FFFAD355"/>
        <bgColor/>
      </patternFill>
    </fill>
    <fill>
      <patternFill patternType="solid">
        <fgColor rgb="FFFDDDEF"/>
        <bgColor/>
      </patternFill>
    </fill>
    <fill>
      <patternFill patternType="solid">
        <fgColor rgb="FFAD82F7"/>
        <bgColor/>
      </patternFill>
    </fill>
    <fill>
      <patternFill patternType="solid">
        <fgColor rgb="FFDEE0E3"/>
        <bgColor/>
      </patternFill>
    </fill>
    <fill>
      <patternFill patternType="solid">
        <fgColor rgb="FF40E7D0"/>
        <bgColor/>
      </patternFill>
    </fill>
    <fill>
      <patternFill patternType="solid">
        <fgColor rgb="FF64E8D6"/>
        <bgColor/>
      </patternFill>
    </fill>
    <fill>
      <patternFill patternType="solid">
        <fgColor rgb="FFFF8800"/>
        <bgColor/>
      </patternFill>
    </fill>
    <fill>
      <patternFill patternType="solid">
        <fgColor rgb="FFF57AC0"/>
        <bgColor/>
      </patternFill>
    </fill>
    <fill>
      <patternFill patternType="solid">
        <fgColor rgb="FFFEB5DE"/>
        <bgColor/>
      </patternFill>
    </fill>
    <fill>
      <patternFill patternType="solid">
        <fgColor rgb="FFFFC60A"/>
        <bgColor/>
      </patternFill>
    </fill>
    <fill>
      <patternFill patternType="solid">
        <fgColor rgb="FFFAF1D1"/>
        <bgColor/>
      </patternFill>
    </fill>
    <fill>
      <patternFill patternType="solid">
        <fgColor rgb="FF7EDAFB"/>
        <bgColor/>
      </patternFill>
    </fill>
    <fill>
      <patternFill patternType="solid">
        <fgColor rgb="FF7AD7F5"/>
        <bgColor/>
      </patternFill>
    </fill>
    <fill>
      <patternFill patternType="solid">
        <fgColor rgb="FFD9F3FD"/>
        <bgColor/>
      </patternFill>
    </fill>
    <fill>
      <patternFill patternType="solid">
        <fgColor rgb="FFF8F9FA"/>
        <bgColor/>
      </patternFill>
    </fill>
    <fill>
      <patternFill patternType="solid">
        <fgColor rgb="FFBF1C14"/>
        <bgColor/>
      </patternFill>
    </fill>
    <fill>
      <patternFill patternType="solid">
        <fgColor rgb="FFFFC555"/>
        <bgColor/>
      </patternFill>
    </fill>
    <fill>
      <patternFill patternType="solid">
        <fgColor rgb="FF7A0F4B"/>
        <bgColor/>
      </patternFill>
    </fill>
    <fill>
      <patternFill patternType="solid">
        <fgColor rgb="FFFAD355"/>
        <bgColor/>
      </patternFill>
    </fill>
    <fill>
      <patternFill patternType="solid">
        <fgColor rgb="FFBACEFD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FFFF"/>
        <bgColor/>
      </patternFill>
    </fill>
    <fill>
      <patternFill patternType="solid">
        <fgColor rgb="FFFF8800"/>
        <bgColor/>
      </patternFill>
    </fill>
    <fill>
      <patternFill patternType="solid">
        <fgColor rgb="FFFFBA6B"/>
        <bgColor/>
      </patternFill>
    </fill>
    <fill>
      <patternFill patternType="solid">
        <fgColor rgb="FFFFBA6B"/>
        <bgColor/>
      </patternFill>
    </fill>
    <fill>
      <patternFill patternType="solid">
        <fgColor rgb="FFFFEDAC"/>
        <bgColor/>
      </patternFill>
    </fill>
    <fill>
      <patternFill patternType="solid">
        <fgColor rgb="FFFAF1D1"/>
        <bgColor/>
      </patternFill>
    </fill>
    <fill>
      <patternFill patternType="solid">
        <fgColor rgb="FFA6BFFA"/>
        <bgColor/>
      </patternFill>
    </fill>
    <fill>
      <patternFill patternType="solid">
        <fgColor rgb="FF8F959E"/>
        <bgColor/>
      </patternFill>
    </fill>
    <fill>
      <patternFill patternType="solid">
        <fgColor rgb="FFC6F0E8"/>
        <bgColor/>
      </patternFill>
    </fill>
    <fill>
      <patternFill patternType="solid">
        <fgColor rgb="FFE1D1FF"/>
        <bgColor/>
      </patternFill>
    </fill>
    <fill>
      <patternFill patternType="solid">
        <fgColor rgb="FF8EE085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FC60A"/>
        <bgColor/>
      </patternFill>
    </fill>
    <fill>
      <patternFill patternType="solid">
        <fgColor rgb="FF60DFE7"/>
        <bgColor/>
      </patternFill>
    </fill>
    <fill>
      <patternFill patternType="solid">
        <fgColor rgb="FFA5F0E7"/>
        <bgColor/>
      </patternFill>
    </fill>
    <fill>
      <patternFill patternType="solid">
        <fgColor rgb="FF8EE085"/>
        <bgColor/>
      </patternFill>
    </fill>
    <fill>
      <patternFill patternType="solid">
        <fgColor rgb="FF7EDAFB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34C724"/>
        <bgColor/>
      </patternFill>
    </fill>
    <fill>
      <patternFill patternType="solid">
        <fgColor rgb="FFFAD355"/>
        <bgColor/>
      </patternFill>
    </fill>
    <fill>
      <patternFill patternType="solid">
        <fgColor rgb="FFFDDDEF"/>
        <bgColor/>
      </patternFill>
    </fill>
    <fill>
      <patternFill patternType="solid">
        <fgColor rgb="FF40E7D0"/>
        <bgColor/>
      </patternFill>
    </fill>
    <fill>
      <patternFill patternType="solid">
        <fgColor rgb="FFAD82F7"/>
        <bgColor/>
      </patternFill>
    </fill>
    <fill>
      <patternFill patternType="solid">
        <fgColor rgb="FF64E8D6"/>
        <bgColor/>
      </patternFill>
    </fill>
    <fill>
      <patternFill patternType="solid">
        <fgColor rgb="FFFF8800"/>
        <bgColor/>
      </patternFill>
    </fill>
    <fill>
      <patternFill patternType="solid">
        <fgColor rgb="FFF57AC0"/>
        <bgColor/>
      </patternFill>
    </fill>
    <fill>
      <patternFill patternType="solid">
        <fgColor rgb="FFFFC60A"/>
        <bgColor/>
      </patternFill>
    </fill>
    <fill>
      <patternFill patternType="solid">
        <fgColor rgb="FFFAF1D1"/>
        <bgColor/>
      </patternFill>
    </fill>
    <fill>
      <patternFill patternType="solid">
        <fgColor rgb="FFBF1C14"/>
        <bgColor/>
      </patternFill>
    </fill>
    <fill>
      <patternFill patternType="solid">
        <fgColor rgb="FFFFC555"/>
        <bgColor/>
      </patternFill>
    </fill>
    <fill>
      <patternFill patternType="solid">
        <fgColor rgb="FF7A0F4B"/>
        <bgColor/>
      </patternFill>
    </fill>
    <fill>
      <patternFill patternType="solid">
        <fgColor rgb="FFFAD355"/>
        <bgColor/>
      </patternFill>
    </fill>
    <fill>
      <patternFill patternType="solid">
        <fgColor rgb="FF7EDAFB"/>
        <bgColor/>
      </patternFill>
    </fill>
    <fill>
      <patternFill patternType="solid">
        <fgColor rgb="FF7AD7F5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FFFF"/>
        <bgColor/>
      </patternFill>
    </fill>
    <fill>
      <patternFill patternType="solid">
        <fgColor rgb="FFFF8800"/>
        <bgColor/>
      </patternFill>
    </fill>
    <fill>
      <patternFill patternType="solid">
        <fgColor rgb="FF8F959E"/>
        <bgColor/>
      </patternFill>
    </fill>
    <fill>
      <patternFill patternType="solid">
        <fgColor rgb="FFFFBA6B"/>
        <bgColor/>
      </patternFill>
    </fill>
    <fill>
      <patternFill patternType="solid">
        <fgColor rgb="FFFFBA6B"/>
        <bgColor/>
      </patternFill>
    </fill>
    <fill>
      <patternFill patternType="solid">
        <fgColor rgb="FFFFEDAC"/>
        <bgColor/>
      </patternFill>
    </fill>
    <fill>
      <patternFill patternType="solid">
        <fgColor rgb="FFA6BFFA"/>
        <bgColor/>
      </patternFill>
    </fill>
    <fill>
      <patternFill patternType="solid">
        <fgColor rgb="FFC6F0E8"/>
        <bgColor/>
      </patternFill>
    </fill>
    <fill>
      <patternFill patternType="solid">
        <fgColor rgb="FFE1D1FF"/>
        <bgColor/>
      </patternFill>
    </fill>
    <fill>
      <patternFill patternType="solid">
        <fgColor rgb="FF8EE085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FC60A"/>
        <bgColor/>
      </patternFill>
    </fill>
    <fill>
      <patternFill patternType="solid">
        <fgColor rgb="FF60DFE7"/>
        <bgColor/>
      </patternFill>
    </fill>
    <fill>
      <patternFill patternType="solid">
        <fgColor rgb="FFA5F0E7"/>
        <bgColor/>
      </patternFill>
    </fill>
    <fill>
      <patternFill patternType="solid">
        <fgColor rgb="FF8EE085"/>
        <bgColor/>
      </patternFill>
    </fill>
    <fill>
      <patternFill patternType="solid">
        <fgColor rgb="FF7EDAFB"/>
        <bgColor/>
      </patternFill>
    </fill>
    <fill>
      <patternFill patternType="solid">
        <fgColor rgb="FFDEE0E3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34C724"/>
        <bgColor/>
      </patternFill>
    </fill>
    <fill>
      <patternFill patternType="solid">
        <fgColor rgb="FFFAD355"/>
        <bgColor/>
      </patternFill>
    </fill>
    <fill>
      <patternFill patternType="solid">
        <fgColor rgb="FFFDDDEF"/>
        <bgColor/>
      </patternFill>
    </fill>
    <fill>
      <patternFill patternType="solid">
        <fgColor rgb="FF40E7D0"/>
        <bgColor/>
      </patternFill>
    </fill>
    <fill>
      <patternFill patternType="solid">
        <fgColor rgb="FFAD82F7"/>
        <bgColor/>
      </patternFill>
    </fill>
    <fill>
      <patternFill patternType="solid">
        <fgColor rgb="FFFF8800"/>
        <bgColor/>
      </patternFill>
    </fill>
    <fill>
      <patternFill patternType="solid">
        <fgColor rgb="FFF57AC0"/>
        <bgColor/>
      </patternFill>
    </fill>
    <fill>
      <patternFill patternType="solid">
        <fgColor rgb="FFFFA4D7"/>
        <bgColor/>
      </patternFill>
    </fill>
    <fill>
      <patternFill patternType="solid">
        <fgColor rgb="FFFFA4D7"/>
        <bgColor/>
      </patternFill>
    </fill>
    <fill>
      <patternFill patternType="solid">
        <fgColor rgb="FFFFC60A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BF1C14"/>
        <bgColor/>
      </patternFill>
    </fill>
    <fill>
      <patternFill patternType="solid">
        <fgColor rgb="FFFFC555"/>
        <bgColor/>
      </patternFill>
    </fill>
    <fill>
      <patternFill patternType="solid">
        <fgColor rgb="FF7A0F4B"/>
        <bgColor/>
      </patternFill>
    </fill>
    <fill>
      <patternFill patternType="solid">
        <fgColor rgb="FFFAD355"/>
        <bgColor/>
      </patternFill>
    </fill>
    <fill>
      <patternFill patternType="solid">
        <fgColor rgb="FF7EDAFB"/>
        <bgColor/>
      </patternFill>
    </fill>
    <fill>
      <patternFill patternType="solid">
        <fgColor rgb="FF7AD7F5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FFFF"/>
        <bgColor/>
      </patternFill>
    </fill>
    <fill>
      <patternFill patternType="solid">
        <fgColor rgb="FFFF8800"/>
        <bgColor/>
      </patternFill>
    </fill>
    <fill>
      <patternFill patternType="solid">
        <fgColor rgb="FF8F959E"/>
        <bgColor/>
      </patternFill>
    </fill>
    <fill>
      <patternFill patternType="solid">
        <fgColor rgb="FFFFBA6B"/>
        <bgColor/>
      </patternFill>
    </fill>
    <fill>
      <patternFill patternType="solid">
        <fgColor rgb="FFFFEDAC"/>
        <bgColor/>
      </patternFill>
    </fill>
    <fill>
      <patternFill patternType="solid">
        <fgColor rgb="FFFAF1D1"/>
        <bgColor/>
      </patternFill>
    </fill>
    <fill>
      <patternFill patternType="solid">
        <fgColor rgb="FFA6BFFA"/>
        <bgColor/>
      </patternFill>
    </fill>
    <fill>
      <patternFill patternType="solid">
        <fgColor rgb="FFC6F0E8"/>
        <bgColor/>
      </patternFill>
    </fill>
    <fill>
      <patternFill patternType="solid">
        <fgColor rgb="FFE1D1FF"/>
        <bgColor/>
      </patternFill>
    </fill>
    <fill>
      <patternFill patternType="solid">
        <fgColor rgb="FF8EE085"/>
        <bgColor/>
      </patternFill>
    </fill>
    <fill>
      <patternFill patternType="solid">
        <fgColor rgb="FFFFBA6B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FC60A"/>
        <bgColor/>
      </patternFill>
    </fill>
    <fill>
      <patternFill patternType="solid">
        <fgColor rgb="FFD8BFEC"/>
        <bgColor/>
      </patternFill>
    </fill>
    <fill>
      <patternFill patternType="solid">
        <fgColor rgb="FF60DFE7"/>
        <bgColor/>
      </patternFill>
    </fill>
    <fill>
      <patternFill patternType="solid">
        <fgColor rgb="FFA5F0E7"/>
        <bgColor/>
      </patternFill>
    </fill>
    <fill>
      <patternFill patternType="solid">
        <fgColor rgb="FF8EE085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34C724"/>
        <bgColor/>
      </patternFill>
    </fill>
    <fill>
      <patternFill patternType="solid">
        <fgColor rgb="FFFAD355"/>
        <bgColor/>
      </patternFill>
    </fill>
    <fill>
      <patternFill patternType="solid">
        <fgColor rgb="FFFDDDEF"/>
        <bgColor/>
      </patternFill>
    </fill>
    <fill>
      <patternFill patternType="solid">
        <fgColor rgb="FF40E7D0"/>
        <bgColor/>
      </patternFill>
    </fill>
    <fill>
      <patternFill patternType="solid">
        <fgColor rgb="FFAD82F7"/>
        <bgColor/>
      </patternFill>
    </fill>
    <fill>
      <patternFill patternType="solid">
        <fgColor rgb="FF64E8D6"/>
        <bgColor/>
      </patternFill>
    </fill>
    <fill>
      <patternFill patternType="solid">
        <fgColor rgb="FFFF8800"/>
        <bgColor/>
      </patternFill>
    </fill>
    <fill>
      <patternFill patternType="solid">
        <fgColor rgb="FFF57AC0"/>
        <bgColor/>
      </patternFill>
    </fill>
    <fill>
      <patternFill patternType="solid">
        <fgColor rgb="FFFFA4D7"/>
        <bgColor/>
      </patternFill>
    </fill>
    <fill>
      <patternFill patternType="solid">
        <fgColor rgb="FFFFC60A"/>
        <bgColor/>
      </patternFill>
    </fill>
    <fill>
      <patternFill patternType="solid">
        <fgColor rgb="FFFAF1D1"/>
        <bgColor/>
      </patternFill>
    </fill>
    <fill>
      <patternFill patternType="solid">
        <fgColor rgb="FFBF1C14"/>
        <bgColor/>
      </patternFill>
    </fill>
    <fill>
      <patternFill patternType="solid">
        <fgColor rgb="FFFFC555"/>
        <bgColor/>
      </patternFill>
    </fill>
    <fill>
      <patternFill patternType="solid">
        <fgColor rgb="FF7A0F4B"/>
        <bgColor/>
      </patternFill>
    </fill>
    <fill>
      <patternFill patternType="solid">
        <fgColor rgb="FFFAD355"/>
        <bgColor/>
      </patternFill>
    </fill>
    <fill>
      <patternFill patternType="solid">
        <fgColor rgb="FF7EDAFB"/>
        <bgColor/>
      </patternFill>
    </fill>
    <fill>
      <patternFill patternType="solid">
        <fgColor rgb="FF7AD7F5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FFFF"/>
        <bgColor/>
      </patternFill>
    </fill>
    <fill>
      <patternFill patternType="solid">
        <fgColor rgb="FF8F959E"/>
        <bgColor/>
      </patternFill>
    </fill>
    <fill>
      <patternFill patternType="solid">
        <fgColor rgb="FFFF8800"/>
        <bgColor/>
      </patternFill>
    </fill>
    <fill>
      <patternFill patternType="solid">
        <fgColor rgb="FFFFBA6B"/>
        <bgColor/>
      </patternFill>
    </fill>
    <fill>
      <patternFill patternType="solid">
        <fgColor rgb="FFFFBA6B"/>
        <bgColor/>
      </patternFill>
    </fill>
    <fill>
      <patternFill patternType="solid">
        <fgColor rgb="FFFFEDAC"/>
        <bgColor/>
      </patternFill>
    </fill>
    <fill>
      <patternFill patternType="solid">
        <fgColor rgb="FFA6BFFA"/>
        <bgColor/>
      </patternFill>
    </fill>
    <fill>
      <patternFill patternType="solid">
        <fgColor rgb="FFC6F0E8"/>
        <bgColor/>
      </patternFill>
    </fill>
    <fill>
      <patternFill patternType="solid">
        <fgColor rgb="FFE1D1FF"/>
        <bgColor/>
      </patternFill>
    </fill>
    <fill>
      <patternFill patternType="solid">
        <fgColor rgb="FF8EE085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FC60A"/>
        <bgColor/>
      </patternFill>
    </fill>
    <fill>
      <patternFill patternType="solid">
        <fgColor rgb="FFD8BFEC"/>
        <bgColor/>
      </patternFill>
    </fill>
    <fill>
      <patternFill patternType="solid">
        <fgColor rgb="FF60DFE7"/>
        <bgColor/>
      </patternFill>
    </fill>
    <fill>
      <patternFill patternType="solid">
        <fgColor rgb="FFA5F0E7"/>
        <bgColor/>
      </patternFill>
    </fill>
    <fill>
      <patternFill patternType="solid">
        <fgColor rgb="FFF8F9FA"/>
        <bgColor/>
      </patternFill>
    </fill>
    <fill>
      <patternFill patternType="solid">
        <fgColor rgb="FF8EE085"/>
        <bgColor/>
      </patternFill>
    </fill>
    <fill>
      <patternFill patternType="solid">
        <fgColor rgb="FFF8F9FA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34C724"/>
        <bgColor/>
      </patternFill>
    </fill>
    <fill>
      <patternFill patternType="solid">
        <fgColor rgb="FFFAD355"/>
        <bgColor/>
      </patternFill>
    </fill>
    <fill>
      <patternFill patternType="solid">
        <fgColor rgb="FFFDDDEF"/>
        <bgColor/>
      </patternFill>
    </fill>
    <fill>
      <patternFill patternType="solid">
        <fgColor rgb="FF40E7D0"/>
        <bgColor/>
      </patternFill>
    </fill>
    <fill>
      <patternFill patternType="solid">
        <fgColor rgb="FFD5F6F2"/>
        <bgColor/>
      </patternFill>
    </fill>
    <fill>
      <patternFill patternType="solid">
        <fgColor rgb="FFAD82F7"/>
        <bgColor/>
      </patternFill>
    </fill>
    <fill>
      <patternFill patternType="solid">
        <fgColor rgb="FFFF8800"/>
        <bgColor/>
      </patternFill>
    </fill>
    <fill>
      <patternFill patternType="solid">
        <fgColor rgb="FFF57AC0"/>
        <bgColor/>
      </patternFill>
    </fill>
    <fill>
      <patternFill patternType="solid">
        <fgColor rgb="FFFFC60A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BF1C14"/>
        <bgColor/>
      </patternFill>
    </fill>
    <fill>
      <patternFill patternType="solid">
        <fgColor rgb="FFFFC555"/>
        <bgColor/>
      </patternFill>
    </fill>
    <fill>
      <patternFill patternType="solid">
        <fgColor rgb="FF7A0F4B"/>
        <bgColor/>
      </patternFill>
    </fill>
    <fill>
      <patternFill patternType="solid">
        <fgColor rgb="FFFAD355"/>
        <bgColor/>
      </patternFill>
    </fill>
    <fill>
      <patternFill patternType="solid">
        <fgColor rgb="FF7EDAFB"/>
        <bgColor/>
      </patternFill>
    </fill>
    <fill>
      <patternFill patternType="solid">
        <fgColor rgb="FF7AD7F5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FFFF"/>
        <bgColor/>
      </patternFill>
    </fill>
    <fill>
      <patternFill patternType="solid">
        <fgColor rgb="FFFF8800"/>
        <bgColor/>
      </patternFill>
    </fill>
    <fill>
      <patternFill patternType="solid">
        <fgColor rgb="FF8F959E"/>
        <bgColor/>
      </patternFill>
    </fill>
    <fill>
      <patternFill patternType="solid">
        <fgColor rgb="FFFFBA6B"/>
        <bgColor/>
      </patternFill>
    </fill>
    <fill>
      <patternFill patternType="solid">
        <fgColor rgb="FFE1D1FF"/>
        <bgColor/>
      </patternFill>
    </fill>
    <fill>
      <patternFill patternType="solid">
        <fgColor rgb="FFFFEDAC"/>
        <bgColor/>
      </patternFill>
    </fill>
    <fill>
      <patternFill patternType="solid">
        <fgColor rgb="FFA6BFFA"/>
        <bgColor/>
      </patternFill>
    </fill>
    <fill>
      <patternFill patternType="solid">
        <fgColor rgb="FFC6F0E8"/>
        <bgColor/>
      </patternFill>
    </fill>
    <fill>
      <patternFill patternType="solid">
        <fgColor rgb="FF8EE085"/>
        <bgColor/>
      </patternFill>
    </fill>
    <fill>
      <patternFill patternType="solid">
        <fgColor rgb="FFFFBA6B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FC60A"/>
        <bgColor/>
      </patternFill>
    </fill>
    <fill>
      <patternFill patternType="solid">
        <fgColor rgb="FFD8BFEC"/>
        <bgColor/>
      </patternFill>
    </fill>
    <fill>
      <patternFill patternType="solid">
        <fgColor rgb="FFFAD355"/>
        <bgColor/>
      </patternFill>
    </fill>
    <fill>
      <patternFill patternType="solid">
        <fgColor rgb="FFF57AC0"/>
        <bgColor/>
      </patternFill>
    </fill>
    <fill>
      <patternFill patternType="solid">
        <fgColor rgb="FFFDDDEF"/>
        <bgColor/>
      </patternFill>
    </fill>
    <fill>
      <patternFill patternType="solid">
        <fgColor rgb="FF60DFE7"/>
        <bgColor/>
      </patternFill>
    </fill>
    <fill>
      <patternFill patternType="solid">
        <fgColor rgb="FFA5F0E7"/>
        <bgColor/>
      </patternFill>
    </fill>
    <fill>
      <patternFill patternType="solid">
        <fgColor rgb="FFF8F9FA"/>
        <bgColor/>
      </patternFill>
    </fill>
    <fill>
      <patternFill patternType="solid">
        <fgColor rgb="FF8EE085"/>
        <bgColor/>
      </patternFill>
    </fill>
    <fill>
      <patternFill patternType="solid">
        <fgColor rgb="FFF8F9FA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34C724"/>
        <bgColor/>
      </patternFill>
    </fill>
    <fill>
      <patternFill patternType="solid">
        <fgColor rgb="FF40E7D0"/>
        <bgColor/>
      </patternFill>
    </fill>
    <fill>
      <patternFill patternType="solid">
        <fgColor rgb="FFD5F6F2"/>
        <bgColor/>
      </patternFill>
    </fill>
    <fill>
      <patternFill patternType="solid">
        <fgColor rgb="FFFFC60A"/>
        <bgColor/>
      </patternFill>
    </fill>
    <fill>
      <patternFill patternType="solid">
        <fgColor rgb="FFAD82F7"/>
        <bgColor/>
      </patternFill>
    </fill>
    <fill>
      <patternFill patternType="solid">
        <fgColor rgb="FFF57AC0"/>
        <bgColor/>
      </patternFill>
    </fill>
    <fill>
      <patternFill patternType="solid">
        <fgColor rgb="FFFAF1D1"/>
        <bgColor/>
      </patternFill>
    </fill>
    <fill>
      <patternFill patternType="solid">
        <fgColor rgb="FFBF1C14"/>
        <bgColor/>
      </patternFill>
    </fill>
    <fill>
      <patternFill patternType="solid">
        <fgColor rgb="FFFFC555"/>
        <bgColor/>
      </patternFill>
    </fill>
    <fill>
      <patternFill patternType="solid">
        <fgColor rgb="FF7A0F4B"/>
        <bgColor/>
      </patternFill>
    </fill>
    <fill>
      <patternFill patternType="solid">
        <fgColor rgb="FFFAD355"/>
        <bgColor/>
      </patternFill>
    </fill>
    <fill>
      <patternFill patternType="solid">
        <fgColor rgb="FF7EDAFB"/>
        <bgColor/>
      </patternFill>
    </fill>
    <fill>
      <patternFill patternType="solid">
        <fgColor rgb="FF7AD7F5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FFFF"/>
        <bgColor/>
      </patternFill>
    </fill>
    <fill>
      <patternFill patternType="solid">
        <fgColor rgb="FFFF8800"/>
        <bgColor/>
      </patternFill>
    </fill>
    <fill>
      <patternFill patternType="solid">
        <fgColor rgb="FFFFBA6B"/>
        <bgColor/>
      </patternFill>
    </fill>
    <fill>
      <patternFill patternType="solid">
        <fgColor rgb="FFE1D1FF"/>
        <bgColor/>
      </patternFill>
    </fill>
    <fill>
      <patternFill patternType="solid">
        <fgColor rgb="FFFFEDAC"/>
        <bgColor/>
      </patternFill>
    </fill>
    <fill>
      <patternFill patternType="solid">
        <fgColor rgb="FF8F959E"/>
        <bgColor/>
      </patternFill>
    </fill>
    <fill>
      <patternFill patternType="solid">
        <fgColor rgb="FFA6BFFA"/>
        <bgColor/>
      </patternFill>
    </fill>
    <fill>
      <patternFill patternType="solid">
        <fgColor rgb="FFC6F0E8"/>
        <bgColor/>
      </patternFill>
    </fill>
    <fill>
      <patternFill patternType="solid">
        <fgColor rgb="FF8EE085"/>
        <bgColor/>
      </patternFill>
    </fill>
    <fill>
      <patternFill patternType="solid">
        <fgColor rgb="FFFFBA6B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FC60A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34C724"/>
        <bgColor/>
      </patternFill>
    </fill>
    <fill>
      <patternFill patternType="solid">
        <fgColor rgb="FFFAD355"/>
        <bgColor/>
      </patternFill>
    </fill>
    <fill>
      <patternFill patternType="solid">
        <fgColor rgb="FFD8BFEC"/>
        <bgColor/>
      </patternFill>
    </fill>
    <fill>
      <patternFill patternType="solid">
        <fgColor rgb="FF60DFE7"/>
        <bgColor/>
      </patternFill>
    </fill>
    <fill>
      <patternFill patternType="solid">
        <fgColor rgb="FFA5F0E7"/>
        <bgColor/>
      </patternFill>
    </fill>
    <fill>
      <patternFill patternType="solid">
        <fgColor rgb="FF8EE085"/>
        <bgColor/>
      </patternFill>
    </fill>
    <fill>
      <patternFill patternType="solid">
        <fgColor rgb="FFFDDDEF"/>
        <bgColor/>
      </patternFill>
    </fill>
    <fill>
      <patternFill patternType="solid">
        <fgColor rgb="FF40E7D0"/>
        <bgColor/>
      </patternFill>
    </fill>
    <fill>
      <patternFill patternType="solid">
        <fgColor rgb="FFD5F6F2"/>
        <bgColor/>
      </patternFill>
    </fill>
    <fill>
      <patternFill patternType="solid">
        <fgColor rgb="FFAD82F7"/>
        <bgColor/>
      </patternFill>
    </fill>
    <fill>
      <patternFill patternType="solid">
        <fgColor rgb="FFF57AC0"/>
        <bgColor/>
      </patternFill>
    </fill>
    <fill>
      <patternFill patternType="solid">
        <fgColor rgb="FFF8F9FA"/>
        <bgColor/>
      </patternFill>
    </fill>
    <fill>
      <patternFill patternType="solid">
        <fgColor rgb="FFFFC60A"/>
        <bgColor/>
      </patternFill>
    </fill>
    <fill>
      <patternFill patternType="solid">
        <fgColor rgb="FFBF1C14"/>
        <bgColor/>
      </patternFill>
    </fill>
    <fill>
      <patternFill patternType="solid">
        <fgColor rgb="FFFFC555"/>
        <bgColor/>
      </patternFill>
    </fill>
    <fill>
      <patternFill patternType="solid">
        <fgColor rgb="FFFAD355"/>
        <bgColor/>
      </patternFill>
    </fill>
    <fill>
      <patternFill patternType="solid">
        <fgColor rgb="FF7EDAFB"/>
        <bgColor/>
      </patternFill>
    </fill>
    <fill>
      <patternFill patternType="solid">
        <fgColor rgb="FF7AD7F5"/>
        <bgColor/>
      </patternFill>
    </fill>
    <fill>
      <patternFill patternType="solid">
        <fgColor rgb="FFBACEFD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8800"/>
        <bgColor/>
      </patternFill>
    </fill>
    <fill>
      <patternFill patternType="solid">
        <fgColor rgb="FFFFBA6B"/>
        <bgColor/>
      </patternFill>
    </fill>
    <fill>
      <patternFill patternType="solid">
        <fgColor rgb="FFA6BFFA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ECE2FE"/>
        <bgColor/>
      </patternFill>
    </fill>
    <fill>
      <patternFill patternType="solid">
        <fgColor rgb="FF8F959E"/>
        <bgColor/>
      </patternFill>
    </fill>
    <fill>
      <patternFill patternType="solid">
        <fgColor rgb="FF8EE085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FC60A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DEE0E3"/>
        <bgColor/>
      </patternFill>
    </fill>
    <fill>
      <patternFill patternType="solid">
        <fgColor rgb="FF34C724"/>
        <bgColor/>
      </patternFill>
    </fill>
    <fill>
      <patternFill patternType="solid">
        <fgColor rgb="FF60DFE7"/>
        <bgColor/>
      </patternFill>
    </fill>
    <fill>
      <patternFill patternType="solid">
        <fgColor rgb="FFA5F0E7"/>
        <bgColor/>
      </patternFill>
    </fill>
    <fill>
      <patternFill patternType="solid">
        <fgColor rgb="FFD8BFEC"/>
        <bgColor/>
      </patternFill>
    </fill>
    <fill>
      <patternFill patternType="solid">
        <fgColor rgb="FFFAD355"/>
        <bgColor/>
      </patternFill>
    </fill>
    <fill>
      <patternFill patternType="solid">
        <fgColor rgb="FFFDDDEF"/>
        <bgColor/>
      </patternFill>
    </fill>
    <fill>
      <patternFill patternType="solid">
        <fgColor rgb="FF40E7D0"/>
        <bgColor/>
      </patternFill>
    </fill>
    <fill>
      <patternFill patternType="solid">
        <fgColor rgb="FFD5F6F2"/>
        <bgColor/>
      </patternFill>
    </fill>
    <fill>
      <patternFill patternType="solid">
        <fgColor rgb="FFAD82F7"/>
        <bgColor/>
      </patternFill>
    </fill>
    <fill>
      <patternFill patternType="solid">
        <fgColor rgb="FFF57AC0"/>
        <bgColor/>
      </patternFill>
    </fill>
    <fill>
      <patternFill patternType="solid">
        <fgColor rgb="FFBF1C14"/>
        <bgColor/>
      </patternFill>
    </fill>
    <fill>
      <patternFill patternType="solid">
        <fgColor rgb="FFFFC555"/>
        <bgColor/>
      </patternFill>
    </fill>
    <fill>
      <patternFill patternType="solid">
        <fgColor rgb="FFFAD355"/>
        <bgColor/>
      </patternFill>
    </fill>
    <fill>
      <patternFill patternType="solid">
        <fgColor rgb="FF7EDAFB"/>
        <bgColor/>
      </patternFill>
    </fill>
    <fill>
      <patternFill patternType="solid">
        <fgColor rgb="FF7AD7F5"/>
        <bgColor/>
      </patternFill>
    </fill>
    <fill>
      <patternFill patternType="solid">
        <fgColor rgb="FF8F959E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8800"/>
        <bgColor/>
      </patternFill>
    </fill>
    <fill>
      <patternFill patternType="solid">
        <fgColor rgb="FFFFBA6B"/>
        <bgColor/>
      </patternFill>
    </fill>
    <fill>
      <patternFill patternType="solid">
        <fgColor rgb="FFFFBA6B"/>
        <bgColor/>
      </patternFill>
    </fill>
    <fill>
      <patternFill patternType="solid">
        <fgColor rgb="FFFFFFFF"/>
        <bgColor/>
      </patternFill>
    </fill>
    <fill>
      <patternFill patternType="solid">
        <fgColor rgb="FFFAF1D1"/>
        <bgColor/>
      </patternFill>
    </fill>
    <fill>
      <patternFill patternType="solid">
        <fgColor rgb="FFD83931"/>
        <bgColor/>
      </patternFill>
    </fill>
    <fill>
      <patternFill patternType="solid">
        <fgColor rgb="FF6895FF"/>
        <bgColor/>
      </patternFill>
    </fill>
    <fill>
      <patternFill patternType="solid">
        <fgColor rgb="FF8F959E"/>
        <bgColor/>
      </patternFill>
    </fill>
    <fill>
      <patternFill patternType="solid">
        <fgColor rgb="FFFFF258"/>
        <bgColor/>
      </patternFill>
    </fill>
    <fill>
      <patternFill patternType="solid">
        <fgColor rgb="FFA6BFFA"/>
        <bgColor/>
      </patternFill>
    </fill>
    <fill>
      <patternFill patternType="solid">
        <fgColor rgb="FFECE2FE"/>
        <bgColor/>
      </patternFill>
    </fill>
    <fill>
      <patternFill patternType="solid">
        <fgColor rgb="FF8EE085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FC60A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34C724"/>
        <bgColor/>
      </patternFill>
    </fill>
    <fill>
      <patternFill patternType="solid">
        <fgColor rgb="FFFDDDEF"/>
        <bgColor/>
      </patternFill>
    </fill>
    <fill>
      <patternFill patternType="solid">
        <fgColor rgb="FF40E7D0"/>
        <bgColor/>
      </patternFill>
    </fill>
    <fill>
      <patternFill patternType="solid">
        <fgColor rgb="FF7EDAFB"/>
        <bgColor/>
      </patternFill>
    </fill>
    <fill>
      <patternFill patternType="solid">
        <fgColor rgb="FF8F959E"/>
        <bgColor/>
      </patternFill>
    </fill>
    <fill>
      <patternFill patternType="solid">
        <fgColor rgb="FFAD82F7"/>
        <bgColor/>
      </patternFill>
    </fill>
    <fill>
      <patternFill patternType="solid">
        <fgColor rgb="FFF57AC0"/>
        <bgColor/>
      </patternFill>
    </fill>
    <fill>
      <patternFill patternType="solid">
        <fgColor rgb="FFF8F9FA"/>
        <bgColor/>
      </patternFill>
    </fill>
    <fill>
      <patternFill patternType="solid">
        <fgColor rgb="FFFFC60A"/>
        <bgColor/>
      </patternFill>
    </fill>
    <fill>
      <patternFill patternType="solid">
        <fgColor rgb="FFBF1C14"/>
        <bgColor/>
      </patternFill>
    </fill>
    <fill>
      <patternFill patternType="solid">
        <fgColor rgb="FFFFC555"/>
        <bgColor/>
      </patternFill>
    </fill>
    <fill>
      <patternFill patternType="solid">
        <fgColor rgb="FFFAD355"/>
        <bgColor/>
      </patternFill>
    </fill>
    <fill>
      <patternFill patternType="solid">
        <fgColor rgb="FF7AD7F5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8F959E"/>
        <bgColor/>
      </patternFill>
    </fill>
    <fill>
      <patternFill patternType="solid">
        <fgColor rgb="FFFF8800"/>
        <bgColor/>
      </patternFill>
    </fill>
    <fill>
      <patternFill patternType="solid">
        <fgColor rgb="FFFFBA6B"/>
        <bgColor/>
      </patternFill>
    </fill>
    <fill>
      <patternFill patternType="solid">
        <fgColor rgb="FFFAF1D1"/>
        <bgColor/>
      </patternFill>
    </fill>
    <fill>
      <patternFill patternType="solid">
        <fgColor rgb="FFD83931"/>
        <bgColor/>
      </patternFill>
    </fill>
    <fill>
      <patternFill patternType="solid">
        <fgColor rgb="FF8F959E"/>
        <bgColor/>
      </patternFill>
    </fill>
    <fill>
      <patternFill patternType="solid">
        <fgColor rgb="FF4E83FD"/>
        <bgColor/>
      </patternFill>
    </fill>
    <fill>
      <patternFill patternType="solid">
        <fgColor rgb="FFFFF258"/>
        <bgColor/>
      </patternFill>
    </fill>
    <fill>
      <patternFill patternType="solid">
        <fgColor rgb="FFA6BFFA"/>
        <bgColor/>
      </patternFill>
    </fill>
    <fill>
      <patternFill patternType="solid">
        <fgColor rgb="FFECE2FE"/>
        <bgColor/>
      </patternFill>
    </fill>
    <fill>
      <patternFill patternType="solid">
        <fgColor rgb="FF8EE085"/>
        <bgColor/>
      </patternFill>
    </fill>
    <fill>
      <patternFill patternType="solid">
        <fgColor rgb="FFFFFFFF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FC60A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34C724"/>
        <bgColor/>
      </patternFill>
    </fill>
    <fill>
      <patternFill patternType="solid">
        <fgColor rgb="FF7EDAFB"/>
        <bgColor/>
      </patternFill>
    </fill>
    <fill>
      <patternFill patternType="solid">
        <fgColor rgb="FFAD82F7"/>
        <bgColor/>
      </patternFill>
    </fill>
    <fill>
      <patternFill patternType="solid">
        <fgColor rgb="FFF57AC0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BF1C14"/>
        <bgColor/>
      </patternFill>
    </fill>
    <fill>
      <patternFill patternType="solid">
        <fgColor rgb="FF40E7D0"/>
        <bgColor/>
      </patternFill>
    </fill>
    <fill>
      <patternFill patternType="solid">
        <fgColor rgb="FFFFC555"/>
        <bgColor/>
      </patternFill>
    </fill>
    <fill>
      <patternFill patternType="solid">
        <fgColor rgb="FFD989ED"/>
        <bgColor/>
      </patternFill>
    </fill>
    <fill>
      <patternFill patternType="solid">
        <fgColor rgb="FFFAD355"/>
        <bgColor/>
      </patternFill>
    </fill>
    <fill>
      <patternFill patternType="solid">
        <fgColor rgb="FF7AD7F5"/>
        <bgColor/>
      </patternFill>
    </fill>
    <fill>
      <patternFill patternType="solid">
        <fgColor rgb="FFE1EAFF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8800"/>
        <bgColor/>
      </patternFill>
    </fill>
    <fill>
      <patternFill patternType="solid">
        <fgColor rgb="FF8F959E"/>
        <bgColor/>
      </patternFill>
    </fill>
    <fill>
      <patternFill patternType="solid">
        <fgColor rgb="FFFFBA6B"/>
        <bgColor/>
      </patternFill>
    </fill>
    <fill>
      <patternFill patternType="solid">
        <fgColor rgb="FFA6BFFA"/>
        <bgColor/>
      </patternFill>
    </fill>
    <fill>
      <patternFill patternType="solid">
        <fgColor rgb="FF8EE085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FC60A"/>
        <bgColor/>
      </patternFill>
    </fill>
    <fill>
      <patternFill patternType="solid">
        <fgColor rgb="FF4E83FD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34C724"/>
        <bgColor/>
      </patternFill>
    </fill>
    <fill>
      <patternFill patternType="solid">
        <fgColor rgb="FF7EDAFB"/>
        <bgColor/>
      </patternFill>
    </fill>
    <fill>
      <patternFill patternType="solid">
        <fgColor rgb="FFAD82F7"/>
        <bgColor/>
      </patternFill>
    </fill>
    <fill>
      <patternFill patternType="solid">
        <fgColor rgb="FFECE2FE"/>
        <bgColor/>
      </patternFill>
    </fill>
    <fill>
      <patternFill patternType="solid">
        <fgColor rgb="FFF57AC0"/>
        <bgColor/>
      </patternFill>
    </fill>
    <fill>
      <patternFill patternType="solid">
        <fgColor rgb="FFBF1C14"/>
        <bgColor/>
      </patternFill>
    </fill>
    <fill>
      <patternFill patternType="solid">
        <fgColor rgb="FF40E7D0"/>
        <bgColor/>
      </patternFill>
    </fill>
    <fill>
      <patternFill patternType="solid">
        <fgColor rgb="FFFAF1D1"/>
        <bgColor/>
      </patternFill>
    </fill>
    <fill>
      <patternFill patternType="solid">
        <fgColor rgb="FFFFC555"/>
        <bgColor/>
      </patternFill>
    </fill>
    <fill>
      <patternFill patternType="solid">
        <fgColor rgb="FFD989ED"/>
        <bgColor/>
      </patternFill>
    </fill>
    <fill>
      <patternFill patternType="solid">
        <fgColor rgb="FFFAD355"/>
        <bgColor/>
      </patternFill>
    </fill>
    <fill>
      <patternFill patternType="solid">
        <fgColor rgb="FF7AD7F5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D5F6F2"/>
        <bgColor/>
      </patternFill>
    </fill>
    <fill>
      <patternFill patternType="solid">
        <fgColor rgb="FFFF8800"/>
        <bgColor/>
      </patternFill>
    </fill>
    <fill>
      <patternFill patternType="solid">
        <fgColor rgb="FFA6BFFA"/>
        <bgColor/>
      </patternFill>
    </fill>
    <fill>
      <patternFill patternType="solid">
        <fgColor rgb="FF8F959E"/>
        <bgColor/>
      </patternFill>
    </fill>
    <fill>
      <patternFill patternType="solid">
        <fgColor rgb="FF8EE085"/>
        <bgColor/>
      </patternFill>
    </fill>
    <fill>
      <patternFill patternType="solid">
        <fgColor rgb="FFFFBA6B"/>
        <bgColor/>
      </patternFill>
    </fill>
    <fill>
      <patternFill patternType="solid">
        <fgColor rgb="FFD9F5D6"/>
        <bgColor/>
      </patternFill>
    </fill>
    <fill>
      <patternFill patternType="solid">
        <fgColor rgb="FFFFC60A"/>
        <bgColor/>
      </patternFill>
    </fill>
    <fill>
      <patternFill patternType="solid">
        <fgColor rgb="FF4E83FD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FDDDEF"/>
        <bgColor/>
      </patternFill>
    </fill>
    <fill>
      <patternFill patternType="solid">
        <fgColor rgb="FF7EDAFB"/>
        <bgColor/>
      </patternFill>
    </fill>
    <fill>
      <patternFill patternType="solid">
        <fgColor rgb="FFAD82F7"/>
        <bgColor/>
      </patternFill>
    </fill>
    <fill>
      <patternFill patternType="solid">
        <fgColor rgb="FFECE2FE"/>
        <bgColor/>
      </patternFill>
    </fill>
    <fill>
      <patternFill patternType="solid">
        <fgColor rgb="FFF57AC0"/>
        <bgColor/>
      </patternFill>
    </fill>
    <fill>
      <patternFill patternType="solid">
        <fgColor rgb="FFBF1C14"/>
        <bgColor/>
      </patternFill>
    </fill>
    <fill>
      <patternFill patternType="solid">
        <fgColor rgb="FF40E7D0"/>
        <bgColor/>
      </patternFill>
    </fill>
    <fill>
      <patternFill patternType="solid">
        <fgColor rgb="FFFAF1D1"/>
        <bgColor/>
      </patternFill>
    </fill>
    <fill>
      <patternFill patternType="solid">
        <fgColor rgb="FFFFC555"/>
        <bgColor/>
      </patternFill>
    </fill>
    <fill>
      <patternFill patternType="solid">
        <fgColor rgb="FFD989ED"/>
        <bgColor/>
      </patternFill>
    </fill>
    <fill>
      <patternFill patternType="solid">
        <fgColor rgb="FF8F4F04"/>
        <bgColor/>
      </patternFill>
    </fill>
    <fill>
      <patternFill patternType="solid">
        <fgColor rgb="FFFAD355"/>
        <bgColor/>
      </patternFill>
    </fill>
    <fill>
      <patternFill patternType="solid">
        <fgColor rgb="FF7AD7F5"/>
        <bgColor/>
      </patternFill>
    </fill>
  </fills>
  <borders count="19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medium">
        <color rgb="FFD5D9DF"/>
      </left>
      <right style="medium">
        <color rgb="FFD5D9DF"/>
      </right>
      <top style="medium">
        <color rgb="FFD5D9DF"/>
      </top>
      <bottom style="medium">
        <color rgb="FFD5D9DF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67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left" vertical="center" wrapText="true"/>
    </xf>
    <xf applyAlignment="true" applyBorder="false" applyFill="true" applyFont="true" applyNumberFormat="true" applyProtection="false" borderId="1" fillId="2" fontId="1" numFmtId="164" xfId="0">
      <alignment horizontal="left" vertical="center" wrapText="true"/>
    </xf>
    <xf applyAlignment="true" applyBorder="false" applyFill="true" applyFont="true" applyNumberFormat="true" applyProtection="false" borderId="1" fillId="2" fontId="1" numFmtId="164" xfId="0">
      <alignment horizontal="center" vertical="center" wrapText="true"/>
    </xf>
    <xf applyAlignment="true" applyBorder="false" applyFill="true" applyFont="true" applyNumberFormat="true" applyProtection="false" borderId="1" fillId="3" fontId="1" numFmtId="164" xfId="0">
      <alignment horizontal="right" vertical="center" wrapText="true"/>
    </xf>
    <xf applyAlignment="true" applyBorder="false" applyFill="true" applyFont="true" applyNumberFormat="true" applyProtection="false" borderId="2" fillId="2" fontId="1" numFmtId="164" xfId="0">
      <alignment horizontal="left" vertical="center" wrapText="true"/>
    </xf>
    <xf applyAlignment="true" applyBorder="false" applyFill="true" applyFont="true" applyNumberFormat="true" applyProtection="false" borderId="0" fillId="4" fontId="1" numFmtId="164" xfId="0">
      <alignment horizontal="left" vertical="center" wrapText="true"/>
    </xf>
    <xf applyAlignment="true" applyBorder="false" applyFill="true" applyFont="true" applyNumberFormat="true" applyProtection="false" borderId="0" fillId="5" fontId="2" numFmtId="164" xfId="0">
      <alignment horizontal="center" vertical="center"/>
    </xf>
    <xf applyAlignment="true" applyBorder="false" applyFill="true" applyFont="true" applyNumberFormat="true" applyProtection="false" borderId="0" fillId="5" fontId="2" numFmtId="164" xfId="0">
      <alignment horizontal="center" vertical="center"/>
    </xf>
    <xf applyAlignment="true" applyBorder="false" applyFill="true" applyFont="true" applyNumberFormat="true" applyProtection="false" borderId="0" fillId="4" fontId="2" numFmtId="164" xfId="0">
      <alignment horizontal="center" vertical="center"/>
    </xf>
    <xf applyAlignment="true" applyBorder="false" applyFill="true" applyFont="true" applyNumberFormat="true" applyProtection="false" borderId="1" fillId="6" fontId="3" numFmtId="164" xfId="0">
      <alignment horizontal="center" vertical="center" wrapText="true"/>
    </xf>
    <xf applyAlignment="true" applyBorder="false" applyFill="true" applyFont="true" applyNumberFormat="true" applyProtection="false" borderId="1" fillId="6" fontId="3" numFmtId="164" xfId="0">
      <alignment horizontal="center" vertical="center" wrapText="true"/>
    </xf>
    <xf applyAlignment="true" applyBorder="false" applyFill="true" applyFont="true" applyNumberFormat="true" applyProtection="false" borderId="0" fillId="4" fontId="3" numFmtId="164" xfId="0">
      <alignment horizontal="center" vertical="center" wrapText="true"/>
    </xf>
    <xf applyAlignment="true" applyBorder="false" applyFill="true" applyFont="true" applyNumberFormat="true" applyProtection="false" borderId="3" fillId="7" fontId="4" numFmtId="165" xfId="0">
      <alignment horizontal="center" vertical="center"/>
    </xf>
    <xf applyAlignment="true" applyBorder="false" applyFill="true" applyFont="true" applyNumberFormat="true" applyProtection="false" borderId="4" fillId="7" fontId="4" numFmtId="165" xfId="0">
      <alignment horizontal="center" vertical="center"/>
    </xf>
    <xf applyAlignment="true" applyBorder="false" applyFill="true" applyFont="true" applyNumberFormat="true" applyProtection="false" borderId="3" fillId="7" fontId="4" numFmtId="165" xfId="0">
      <alignment horizontal="center" vertical="center"/>
    </xf>
    <xf applyAlignment="true" applyBorder="false" applyFill="true" applyFont="true" applyNumberFormat="false" applyProtection="false" borderId="5" fillId="7" fontId="5" numFmtId="0" xfId="0">
      <alignment horizontal="center" vertical="center"/>
    </xf>
    <xf applyAlignment="true" applyBorder="false" applyFill="true" applyFont="true" applyNumberFormat="false" applyProtection="false" borderId="6" fillId="7" fontId="5" numFmtId="0" xfId="0">
      <alignment horizontal="center" vertical="center"/>
    </xf>
    <xf applyAlignment="true" applyBorder="false" applyFill="false" applyFont="true" applyNumberFormat="true" applyProtection="false" borderId="3" fillId="0" fontId="5" numFmtId="166" xfId="0">
      <alignment horizontal="center" vertical="center"/>
    </xf>
    <xf applyAlignment="true" applyBorder="false" applyFill="true" applyFont="true" applyNumberFormat="false" applyProtection="false" borderId="5" fillId="7" fontId="5" numFmtId="0" xfId="0">
      <alignment horizontal="center" vertical="center" wrapText="true"/>
    </xf>
    <xf applyAlignment="true" applyBorder="false" applyFill="false" applyFont="true" applyNumberFormat="false" applyProtection="false" borderId="7" fillId="0" fontId="5" numFmtId="0" xfId="0">
      <alignment horizontal="center" vertical="center"/>
    </xf>
    <xf applyAlignment="true" applyBorder="false" applyFill="true" applyFont="true" applyNumberFormat="false" applyProtection="false" borderId="6" fillId="7" fontId="5" numFmtId="0" xfId="0">
      <alignment horizontal="center" vertical="center"/>
    </xf>
    <xf applyAlignment="true" applyBorder="false" applyFill="true" applyFont="true" applyNumberFormat="false" applyProtection="false" borderId="0" fillId="4" fontId="5" numFmtId="0" xfId="0">
      <alignment horizontal="center" vertical="center"/>
    </xf>
    <xf applyAlignment="true" applyBorder="false" applyFill="true" applyFont="true" applyNumberFormat="true" applyProtection="false" borderId="8" fillId="7" fontId="4" numFmtId="165" xfId="0">
      <alignment horizontal="center" vertical="center"/>
    </xf>
    <xf applyAlignment="true" applyBorder="false" applyFill="true" applyFont="true" applyNumberFormat="true" applyProtection="false" borderId="8" fillId="7" fontId="4" numFmtId="165" xfId="0">
      <alignment horizontal="center" vertical="center"/>
    </xf>
    <xf applyAlignment="true" applyBorder="false" applyFill="true" applyFont="true" applyNumberFormat="false" applyProtection="false" borderId="7" fillId="7" fontId="5" numFmtId="0" xfId="0">
      <alignment horizontal="center" vertical="center"/>
    </xf>
    <xf applyAlignment="true" applyBorder="false" applyFill="true" applyFont="true" applyNumberFormat="true" applyProtection="false" borderId="7" fillId="7" fontId="4" numFmtId="165" xfId="0">
      <alignment horizontal="center" vertical="center"/>
    </xf>
    <xf applyAlignment="true" applyBorder="false" applyFill="true" applyFont="true" applyNumberFormat="true" applyProtection="false" borderId="5" fillId="7" fontId="4" numFmtId="165" xfId="0">
      <alignment horizontal="center" vertical="center"/>
    </xf>
    <xf applyAlignment="true" applyBorder="false" applyFill="true" applyFont="true" applyNumberFormat="true" applyProtection="false" borderId="2" fillId="6" fontId="3" numFmtId="164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3" fillId="7" fontId="5" numFmtId="0" xfId="0">
      <alignment horizontal="center" vertical="center"/>
    </xf>
    <xf applyAlignment="true" applyBorder="false" applyFill="true" applyFont="true" applyNumberFormat="false" applyProtection="false" borderId="9" fillId="7" fontId="5" numFmtId="0" xfId="0">
      <alignment horizontal="center" vertical="center"/>
    </xf>
    <xf applyAlignment="true" applyBorder="false" applyFill="true" applyFont="true" applyNumberFormat="false" applyProtection="false" borderId="3" fillId="4" fontId="5" numFmtId="0" xfId="0">
      <alignment horizontal="center" vertical="center"/>
    </xf>
    <xf applyAlignment="true" applyBorder="false" applyFill="true" applyFont="true" applyNumberFormat="false" applyProtection="false" borderId="3" fillId="7" fontId="5" numFmtId="0" xfId="0">
      <alignment horizontal="center" vertical="center" wrapText="true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true" applyFont="true" applyNumberFormat="false" applyProtection="false" borderId="4" fillId="7" fontId="5" numFmtId="0" xfId="0">
      <alignment horizontal="center" vertical="center"/>
    </xf>
    <xf applyAlignment="true" applyBorder="false" applyFill="true" applyFont="true" applyNumberFormat="false" applyProtection="false" borderId="8" fillId="7" fontId="5" numFmtId="0" xfId="0">
      <alignment horizontal="center" vertical="center"/>
    </xf>
    <xf applyAlignment="true" applyBorder="false" applyFill="true" applyFont="true" applyNumberFormat="true" applyProtection="false" borderId="7" fillId="6" fontId="7" numFmtId="164" xfId="0">
      <alignment horizontal="center" vertical="center" wrapText="true"/>
    </xf>
    <xf applyAlignment="true" applyBorder="false" applyFill="true" applyFont="true" applyNumberFormat="true" applyProtection="false" borderId="7" fillId="6" fontId="7" numFmtId="165" xfId="0">
      <alignment horizontal="center" vertical="center"/>
    </xf>
    <xf applyAlignment="true" applyBorder="false" applyFill="true" applyFont="true" applyNumberFormat="false" applyProtection="false" borderId="7" fillId="6" fontId="7" numFmtId="0" xfId="0">
      <alignment horizontal="center" vertical="center"/>
    </xf>
    <xf applyAlignment="true" applyBorder="false" applyFill="true" applyFont="true" applyNumberFormat="false" applyProtection="false" borderId="6" fillId="6" fontId="7" numFmtId="0" xfId="0">
      <alignment horizontal="center" vertical="center"/>
    </xf>
    <xf applyAlignment="true" applyBorder="false" applyFill="true" applyFont="true" applyNumberFormat="false" applyProtection="false" borderId="5" fillId="6" fontId="7" numFmtId="0" xfId="0">
      <alignment horizontal="center" vertical="center" wrapText="true"/>
    </xf>
    <xf applyAlignment="true" applyBorder="false" applyFill="true" applyFont="true" applyNumberFormat="false" applyProtection="false" borderId="0" fillId="4" fontId="7" numFmtId="0" xfId="0">
      <alignment horizontal="center" vertical="center"/>
    </xf>
    <xf applyAlignment="true" applyBorder="false" applyFill="true" applyFont="true" applyNumberFormat="true" applyProtection="false" borderId="7" fillId="7" fontId="4" numFmtId="165" xfId="0">
      <alignment horizontal="center" vertical="center"/>
    </xf>
    <xf applyAlignment="true" applyBorder="false" applyFill="false" applyFont="true" applyNumberFormat="true" applyProtection="false" borderId="7" fillId="0" fontId="5" numFmtId="166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 wrapText="true"/>
    </xf>
    <xf applyAlignment="true" applyBorder="false" applyFill="false" applyFont="true" applyNumberFormat="false" applyProtection="false" borderId="6" fillId="0" fontId="5" numFmtId="0" xfId="0">
      <alignment horizontal="center" vertical="center"/>
    </xf>
    <xf applyAlignment="true" applyBorder="false" applyFill="false" applyFont="true" applyNumberFormat="false" applyProtection="false" borderId="7" fillId="0" fontId="5" numFmtId="0" xfId="0">
      <alignment horizontal="center" vertical="center"/>
    </xf>
    <xf applyAlignment="true" applyBorder="false" applyFill="true" applyFont="true" applyNumberFormat="false" applyProtection="false" borderId="7" fillId="7" fontId="5" numFmtId="0" xfId="0">
      <alignment horizontal="center" vertical="center"/>
    </xf>
    <xf applyAlignment="true" applyBorder="false" applyFill="true" applyFont="true" applyNumberFormat="true" applyProtection="false" borderId="7" fillId="7" fontId="7" numFmtId="164" xfId="0">
      <alignment horizontal="center" vertical="center" wrapText="true"/>
    </xf>
    <xf applyAlignment="true" applyBorder="false" applyFill="false" applyFont="true" applyNumberFormat="false" applyProtection="false" borderId="7" fillId="0" fontId="5" numFmtId="0" xfId="0">
      <alignment horizontal="center" vertical="center"/>
    </xf>
    <xf applyAlignment="true" applyBorder="false" applyFill="true" applyFont="true" applyNumberFormat="true" applyProtection="false" borderId="7" fillId="7" fontId="5" numFmtId="166" xfId="0">
      <alignment horizontal="center" vertical="center"/>
    </xf>
    <xf applyAlignment="true" applyBorder="false" applyFill="true" applyFont="true" applyNumberFormat="false" applyProtection="false" borderId="7" fillId="7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3" fillId="8" fontId="9" numFmtId="0" xfId="0">
      <alignment horizontal="center" vertical="center"/>
    </xf>
    <xf applyAlignment="true" applyBorder="false" applyFill="true" applyFont="true" applyNumberFormat="true" applyProtection="false" borderId="3" fillId="8" fontId="3" numFmtId="164" xfId="0">
      <alignment horizontal="center" vertical="center" wrapText="true"/>
    </xf>
    <xf applyAlignment="true" applyBorder="false" applyFill="true" applyFont="true" applyNumberFormat="true" applyProtection="false" borderId="4" fillId="8" fontId="3" numFmtId="164" xfId="0">
      <alignment horizontal="center" vertical="center" wrapText="true"/>
    </xf>
    <xf applyAlignment="true" applyBorder="false" applyFill="true" applyFont="true" applyNumberFormat="true" applyProtection="false" borderId="0" fillId="4" fontId="3" numFmtId="164" xfId="0">
      <alignment horizontal="center" vertical="center" wrapText="true"/>
    </xf>
    <xf applyAlignment="true" applyBorder="false" applyFill="true" applyFont="true" applyNumberFormat="false" applyProtection="false" borderId="3" fillId="8" fontId="7" numFmtId="0" xfId="0">
      <alignment horizontal="center" vertical="center"/>
    </xf>
    <xf applyAlignment="true" applyBorder="false" applyFill="true" applyFont="true" applyNumberFormat="true" applyProtection="false" borderId="3" fillId="8" fontId="7" numFmtId="165" xfId="0">
      <alignment horizontal="center" vertical="center"/>
    </xf>
    <xf applyAlignment="true" applyBorder="false" applyFill="true" applyFont="true" applyNumberFormat="false" applyProtection="false" borderId="3" fillId="8" fontId="7" numFmtId="0" xfId="0">
      <alignment horizontal="center" vertical="center"/>
    </xf>
    <xf applyAlignment="true" applyBorder="false" applyFill="true" applyFont="true" applyNumberFormat="false" applyProtection="false" borderId="3" fillId="8" fontId="7" numFmtId="0" xfId="0">
      <alignment horizontal="center" vertical="center" wrapText="true"/>
    </xf>
    <xf applyAlignment="true" applyBorder="false" applyFill="true" applyFont="true" applyNumberFormat="false" applyProtection="false" borderId="4" fillId="8" fontId="7" numFmtId="0" xfId="0">
      <alignment horizontal="center" vertical="center"/>
    </xf>
    <xf applyAlignment="true" applyBorder="false" applyFill="true" applyFont="true" applyNumberFormat="true" applyProtection="false" borderId="7" fillId="4" fontId="4" numFmtId="165" xfId="0">
      <alignment horizontal="center" vertical="center"/>
    </xf>
    <xf applyAlignment="true" applyBorder="false" applyFill="true" applyFont="true" applyNumberFormat="true" applyProtection="false" borderId="3" fillId="4" fontId="4" numFmtId="165" xfId="0">
      <alignment horizontal="center" vertical="center"/>
    </xf>
    <xf applyAlignment="true" applyBorder="false" applyFill="true" applyFont="true" applyNumberFormat="true" applyProtection="false" borderId="3" fillId="4" fontId="4" numFmtId="165" xfId="0">
      <alignment horizontal="center" vertical="center"/>
    </xf>
    <xf applyAlignment="true" applyBorder="false" applyFill="true" applyFont="true" applyNumberFormat="true" applyProtection="false" borderId="3" fillId="4" fontId="5" numFmtId="167" xfId="0">
      <alignment horizontal="center" vertical="center"/>
    </xf>
    <xf applyAlignment="true" applyBorder="false" applyFill="true" applyFont="true" applyNumberFormat="false" applyProtection="false" borderId="3" fillId="4" fontId="5" numFmtId="0" xfId="0">
      <alignment horizontal="center" vertical="center" wrapText="true"/>
    </xf>
    <xf applyAlignment="true" applyBorder="false" applyFill="true" applyFont="true" applyNumberFormat="false" applyProtection="false" borderId="4" fillId="4" fontId="5" numFmtId="0" xfId="0">
      <alignment horizontal="center" vertical="center"/>
    </xf>
    <xf applyAlignment="true" applyBorder="false" applyFill="true" applyFont="true" applyNumberFormat="false" applyProtection="false" borderId="0" fillId="4" fontId="6" numFmtId="0" xfId="0">
      <alignment vertical="center"/>
    </xf>
    <xf applyAlignment="true" applyBorder="false" applyFill="true" applyFont="true" applyNumberFormat="true" applyProtection="false" borderId="1" fillId="9" fontId="3" numFmtId="164" xfId="0">
      <alignment horizontal="center" vertical="center" wrapText="true"/>
    </xf>
    <xf applyAlignment="true" applyBorder="false" applyFill="true" applyFont="true" applyNumberFormat="true" applyProtection="false" borderId="1" fillId="9" fontId="3" numFmtId="164" xfId="0">
      <alignment horizontal="center" vertical="center" wrapText="true"/>
    </xf>
    <xf applyAlignment="true" applyBorder="false" applyFill="true" applyFont="true" applyNumberFormat="true" applyProtection="false" borderId="2" fillId="9" fontId="3" numFmtId="164" xfId="0">
      <alignment horizontal="center" vertical="center" wrapText="true"/>
    </xf>
    <xf applyAlignment="true" applyBorder="false" applyFill="true" applyFont="true" applyNumberFormat="true" applyProtection="false" borderId="2" fillId="9" fontId="7" numFmtId="164" xfId="0">
      <alignment horizontal="center" vertical="center" wrapText="true"/>
    </xf>
    <xf applyAlignment="true" applyBorder="false" applyFill="true" applyFont="true" applyNumberFormat="true" applyProtection="false" borderId="7" fillId="9" fontId="7" numFmtId="165" xfId="0">
      <alignment horizontal="center" vertical="center"/>
    </xf>
    <xf applyAlignment="true" applyBorder="false" applyFill="true" applyFont="true" applyNumberFormat="false" applyProtection="false" borderId="10" fillId="9" fontId="7" numFmtId="0" xfId="0">
      <alignment horizontal="center" vertical="center"/>
    </xf>
    <xf applyAlignment="true" applyBorder="false" applyFill="true" applyFont="true" applyNumberFormat="false" applyProtection="false" borderId="1" fillId="9" fontId="7" numFmtId="0" xfId="0">
      <alignment horizontal="center" vertical="center"/>
    </xf>
    <xf applyAlignment="true" applyBorder="false" applyFill="true" applyFont="true" applyNumberFormat="false" applyProtection="false" borderId="1" fillId="9" fontId="7" numFmtId="0" xfId="0">
      <alignment horizontal="center" vertical="center" wrapText="true"/>
    </xf>
    <xf applyAlignment="true" applyBorder="false" applyFill="true" applyFont="true" applyNumberFormat="false" applyProtection="false" borderId="2" fillId="9" fontId="7" numFmtId="0" xfId="0">
      <alignment horizontal="center" vertical="center"/>
    </xf>
    <xf applyAlignment="true" applyBorder="false" applyFill="true" applyFont="true" applyNumberFormat="false" applyProtection="false" borderId="6" fillId="9" fontId="7" numFmtId="0" xfId="0">
      <alignment horizontal="center" vertical="center"/>
    </xf>
    <xf applyAlignment="true" applyBorder="false" applyFill="false" applyFont="true" applyNumberFormat="false" applyProtection="false" borderId="7" fillId="0" fontId="5" numFmtId="0" xfId="0">
      <alignment horizontal="center" vertical="center" wrapText="true"/>
    </xf>
    <xf applyAlignment="true" applyBorder="false" applyFill="false" applyFont="true" applyNumberFormat="false" applyProtection="false" borderId="11" fillId="0" fontId="5" numFmtId="0" xfId="0">
      <alignment horizontal="center" vertical="center"/>
    </xf>
    <xf applyAlignment="true" applyBorder="false" applyFill="true" applyFont="true" applyNumberFormat="false" applyProtection="false" borderId="3" fillId="7" fontId="5" numFmtId="0" xfId="0">
      <alignment horizontal="center" vertical="center"/>
    </xf>
    <xf applyAlignment="true" applyBorder="false" applyFill="false" applyFont="true" applyNumberFormat="false" applyProtection="false" borderId="12" fillId="0" fontId="5" numFmtId="0" xfId="0">
      <alignment horizontal="center" vertical="center"/>
    </xf>
    <xf applyAlignment="true" applyBorder="false" applyFill="true" applyFont="true" applyNumberFormat="true" applyProtection="false" borderId="7" fillId="10" fontId="3" numFmtId="164" xfId="0">
      <alignment horizontal="center" vertical="center" wrapText="true"/>
    </xf>
    <xf applyAlignment="true" applyBorder="false" applyFill="true" applyFont="true" applyNumberFormat="true" applyProtection="false" borderId="7" fillId="10" fontId="3" numFmtId="164" xfId="0">
      <alignment horizontal="center" vertical="center" wrapText="true"/>
    </xf>
    <xf applyAlignment="true" applyBorder="false" applyFill="true" applyFont="true" applyNumberFormat="true" applyProtection="false" borderId="7" fillId="10" fontId="10" numFmtId="164" xfId="0">
      <alignment horizontal="center" vertical="center" wrapText="true"/>
    </xf>
    <xf applyAlignment="true" applyBorder="false" applyFill="true" applyFont="true" applyNumberFormat="true" applyProtection="false" borderId="6" fillId="10" fontId="10" numFmtId="164" xfId="0">
      <alignment horizontal="center" vertical="center" wrapText="true"/>
    </xf>
    <xf applyAlignment="true" applyBorder="false" applyFill="true" applyFont="true" applyNumberFormat="true" applyProtection="false" borderId="0" fillId="4" fontId="10" numFmtId="164" xfId="0">
      <alignment horizontal="center" vertical="center" wrapText="true"/>
    </xf>
    <xf applyAlignment="true" applyBorder="false" applyFill="true" applyFont="true" applyNumberFormat="true" applyProtection="false" borderId="1" fillId="10" fontId="7" numFmtId="164" xfId="0">
      <alignment horizontal="center" vertical="center" wrapText="true"/>
    </xf>
    <xf applyAlignment="true" applyBorder="false" applyFill="true" applyFont="true" applyNumberFormat="true" applyProtection="false" borderId="1" fillId="10" fontId="7" numFmtId="165" xfId="0">
      <alignment horizontal="center" vertical="center"/>
    </xf>
    <xf applyAlignment="true" applyBorder="false" applyFill="true" applyFont="true" applyNumberFormat="false" applyProtection="false" borderId="1" fillId="10" fontId="7" numFmtId="0" xfId="0">
      <alignment horizontal="center" vertical="center"/>
    </xf>
    <xf applyAlignment="true" applyBorder="false" applyFill="true" applyFont="true" applyNumberFormat="false" applyProtection="false" borderId="1" fillId="10" fontId="7" numFmtId="0" xfId="0">
      <alignment horizontal="center" vertical="center" wrapText="true"/>
    </xf>
    <xf applyAlignment="true" applyBorder="false" applyFill="true" applyFont="true" applyNumberFormat="false" applyProtection="false" borderId="2" fillId="10" fontId="7" numFmtId="0" xfId="0">
      <alignment horizontal="center" vertical="center"/>
    </xf>
    <xf applyAlignment="true" applyBorder="false" applyFill="false" applyFont="true" applyNumberFormat="true" applyProtection="false" borderId="7" fillId="0" fontId="5" numFmtId="165" xfId="0">
      <alignment horizontal="center" vertical="center"/>
    </xf>
    <xf applyAlignment="true" applyBorder="false" applyFill="true" applyFont="true" applyNumberFormat="false" applyProtection="false" borderId="13" fillId="7" fontId="11" numFmtId="0" xfId="0">
      <alignment horizontal="center" vertical="center"/>
    </xf>
    <xf applyAlignment="true" applyBorder="false" applyFill="false" applyFont="true" applyNumberFormat="false" applyProtection="false" borderId="7" fillId="0" fontId="5" numFmtId="0" xfId="0">
      <alignment horizontal="center" vertical="center" wrapText="true"/>
    </xf>
    <xf applyAlignment="true" applyBorder="false" applyFill="false" applyFont="true" applyNumberFormat="false" applyProtection="false" borderId="6" fillId="0" fontId="8" numFmtId="0" xfId="0">
      <alignment vertical="center"/>
    </xf>
    <xf applyAlignment="true" applyBorder="false" applyFill="true" applyFont="true" applyNumberFormat="false" applyProtection="false" borderId="0" fillId="4" fontId="8" numFmtId="0" xfId="0">
      <alignment vertical="center"/>
    </xf>
    <xf applyAlignment="true" applyBorder="false" applyFill="true" applyFont="true" applyNumberFormat="true" applyProtection="false" borderId="13" fillId="7" fontId="11" numFmtId="165" xfId="0">
      <alignment horizontal="center" vertical="center"/>
    </xf>
    <xf applyAlignment="true" applyBorder="false" applyFill="true" applyFont="true" applyNumberFormat="false" applyProtection="false" borderId="13" fillId="7" fontId="11" numFmtId="0" xfId="0">
      <alignment horizontal="center" vertical="center"/>
    </xf>
    <xf applyAlignment="true" applyBorder="false" applyFill="true" applyFont="true" applyNumberFormat="false" applyProtection="false" borderId="13" fillId="7" fontId="12" numFmtId="0" xfId="0">
      <alignment horizontal="center" vertical="center"/>
    </xf>
    <xf applyAlignment="true" applyBorder="false" applyFill="false" applyFont="true" applyNumberFormat="false" applyProtection="false" borderId="7" fillId="0" fontId="8" numFmtId="0" xfId="0">
      <alignment horizontal="center" vertical="center" wrapText="true"/>
    </xf>
    <xf applyAlignment="true" applyBorder="false" applyFill="true" applyFont="true" applyNumberFormat="false" applyProtection="false" borderId="0" fillId="7" fontId="8" numFmtId="0" xfId="0">
      <alignment vertical="center"/>
    </xf>
    <xf applyAlignment="true" applyBorder="false" applyFill="true" applyFont="true" applyNumberFormat="true" applyProtection="false" borderId="7" fillId="7" fontId="5" numFmtId="165" xfId="0">
      <alignment horizontal="center" vertical="center"/>
    </xf>
    <xf applyAlignment="true" applyBorder="false" applyFill="true" applyFont="true" applyNumberFormat="false" applyProtection="false" borderId="7" fillId="7" fontId="8" numFmtId="0" xfId="0">
      <alignment horizontal="center" vertical="center" wrapText="true"/>
    </xf>
    <xf applyAlignment="true" applyBorder="false" applyFill="true" applyFont="true" applyNumberFormat="false" applyProtection="false" borderId="6" fillId="7" fontId="8" numFmtId="0" xfId="0">
      <alignment vertical="center"/>
    </xf>
    <xf applyAlignment="true" applyBorder="false" applyFill="true" applyFont="true" applyNumberFormat="false" applyProtection="false" borderId="7" fillId="7" fontId="5" numFmtId="0" xfId="0">
      <alignment horizontal="center" vertical="center" wrapText="true"/>
    </xf>
    <xf applyAlignment="true" applyBorder="false" applyFill="true" applyFont="true" applyNumberFormat="false" applyProtection="false" borderId="6" fillId="7" fontId="5" numFmtId="0" xfId="0">
      <alignment vertical="center"/>
    </xf>
    <xf applyAlignment="true" applyBorder="false" applyFill="true" applyFont="true" applyNumberFormat="false" applyProtection="false" borderId="0" fillId="4" fontId="5" numFmtId="0" xfId="0">
      <alignment vertical="center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false" applyFont="true" applyNumberFormat="false" applyProtection="false" borderId="6" fillId="0" fontId="5" numFmtId="0" xfId="0">
      <alignment vertical="center"/>
    </xf>
    <xf applyAlignment="true" applyBorder="false" applyFill="true" applyFont="true" applyNumberFormat="false" applyProtection="false" borderId="0" fillId="7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true" applyProtection="false" borderId="7" fillId="4" fontId="5" numFmtId="165" xfId="0">
      <alignment horizontal="center" vertical="center"/>
    </xf>
    <xf applyAlignment="true" applyBorder="false" applyFill="true" applyFont="true" applyNumberFormat="true" applyProtection="false" borderId="13" fillId="4" fontId="11" numFmtId="165" xfId="0">
      <alignment horizontal="center" vertical="center"/>
    </xf>
    <xf applyAlignment="true" applyBorder="false" applyFill="true" applyFont="true" applyNumberFormat="false" applyProtection="false" borderId="13" fillId="4" fontId="11" numFmtId="0" xfId="0">
      <alignment horizontal="center" vertical="center"/>
    </xf>
    <xf applyAlignment="true" applyBorder="false" applyFill="true" applyFont="true" applyNumberFormat="false" applyProtection="false" borderId="13" fillId="4" fontId="11" numFmtId="0" xfId="0">
      <alignment horizontal="center" vertical="center"/>
    </xf>
    <xf applyAlignment="true" applyBorder="false" applyFill="true" applyFont="true" applyNumberFormat="false" applyProtection="false" borderId="7" fillId="4" fontId="5" numFmtId="0" xfId="0">
      <alignment horizontal="center" vertical="center" wrapText="true"/>
    </xf>
    <xf applyAlignment="true" applyBorder="false" applyFill="true" applyFont="true" applyNumberFormat="false" applyProtection="false" borderId="7" fillId="4" fontId="5" numFmtId="0" xfId="0">
      <alignment horizontal="center" vertical="center"/>
    </xf>
    <xf applyAlignment="true" applyBorder="false" applyFill="true" applyFont="true" applyNumberFormat="false" applyProtection="false" borderId="6" fillId="4" fontId="5" numFmtId="0" xfId="0">
      <alignment vertical="center"/>
    </xf>
    <xf applyAlignment="true" applyBorder="false" applyFill="true" applyFont="true" applyNumberFormat="false" applyProtection="false" borderId="0" fillId="4" fontId="13" numFmtId="0" xfId="0">
      <alignment vertical="center"/>
    </xf>
    <xf applyAlignment="true" applyBorder="false" applyFill="true" applyFont="true" applyNumberFormat="false" applyProtection="false" borderId="7" fillId="4" fontId="5" numFmtId="0" xfId="0">
      <alignment horizontal="center" vertical="center" wrapText="true"/>
    </xf>
    <xf applyAlignment="true" applyBorder="false" applyFill="true" applyFont="true" applyNumberFormat="false" applyProtection="false" borderId="12" fillId="4" fontId="5" numFmtId="0" xfId="0">
      <alignment horizontal="center" vertical="center"/>
    </xf>
    <xf applyAlignment="true" applyBorder="false" applyFill="true" applyFont="true" applyNumberFormat="true" applyProtection="false" borderId="7" fillId="11" fontId="3" numFmtId="164" xfId="0">
      <alignment horizontal="center" vertical="center" wrapText="true"/>
    </xf>
    <xf applyAlignment="true" applyBorder="false" applyFill="true" applyFont="true" applyNumberFormat="true" applyProtection="false" borderId="7" fillId="11" fontId="3" numFmtId="164" xfId="0">
      <alignment horizontal="center" vertical="center" wrapText="true"/>
    </xf>
    <xf applyAlignment="true" applyBorder="false" applyFill="true" applyFont="true" applyNumberFormat="true" applyProtection="false" borderId="7" fillId="11" fontId="10" numFmtId="164" xfId="0">
      <alignment horizontal="center" vertical="center" wrapText="true"/>
    </xf>
    <xf applyAlignment="true" applyBorder="false" applyFill="true" applyFont="true" applyNumberFormat="true" applyProtection="false" borderId="6" fillId="11" fontId="10" numFmtId="164" xfId="0">
      <alignment horizontal="center" vertical="center" wrapText="true"/>
    </xf>
    <xf applyAlignment="true" applyBorder="false" applyFill="true" applyFont="true" applyNumberFormat="true" applyProtection="false" borderId="1" fillId="11" fontId="7" numFmtId="164" xfId="0">
      <alignment horizontal="center" vertical="center" wrapText="true"/>
    </xf>
    <xf applyAlignment="true" applyBorder="false" applyFill="true" applyFont="true" applyNumberFormat="true" applyProtection="false" borderId="1" fillId="11" fontId="7" numFmtId="165" xfId="0">
      <alignment horizontal="center" vertical="center"/>
    </xf>
    <xf applyAlignment="true" applyBorder="false" applyFill="true" applyFont="true" applyNumberFormat="false" applyProtection="false" borderId="1" fillId="11" fontId="7" numFmtId="0" xfId="0">
      <alignment horizontal="center" vertical="center"/>
    </xf>
    <xf applyAlignment="true" applyBorder="false" applyFill="true" applyFont="true" applyNumberFormat="false" applyProtection="false" borderId="1" fillId="11" fontId="7" numFmtId="0" xfId="0">
      <alignment horizontal="center" vertical="center" wrapText="true"/>
    </xf>
    <xf applyAlignment="true" applyBorder="false" applyFill="true" applyFont="true" applyNumberFormat="false" applyProtection="false" borderId="2" fillId="11" fontId="7" numFmtId="0" xfId="0">
      <alignment horizontal="center" vertical="center"/>
    </xf>
    <xf applyAlignment="true" applyBorder="false" applyFill="true" applyFont="true" applyNumberFormat="true" applyProtection="false" borderId="7" fillId="12" fontId="3" numFmtId="164" xfId="0">
      <alignment horizontal="center" vertical="center" wrapText="true"/>
    </xf>
    <xf applyAlignment="true" applyBorder="false" applyFill="true" applyFont="true" applyNumberFormat="true" applyProtection="false" borderId="7" fillId="12" fontId="3" numFmtId="164" xfId="0">
      <alignment horizontal="center" vertical="center" wrapText="true"/>
    </xf>
    <xf applyAlignment="true" applyBorder="false" applyFill="true" applyFont="true" applyNumberFormat="true" applyProtection="false" borderId="7" fillId="12" fontId="10" numFmtId="164" xfId="0">
      <alignment horizontal="center" vertical="center" wrapText="true"/>
    </xf>
    <xf applyAlignment="true" applyBorder="false" applyFill="true" applyFont="true" applyNumberFormat="true" applyProtection="false" borderId="6" fillId="12" fontId="10" numFmtId="164" xfId="0">
      <alignment horizontal="center" vertical="center" wrapText="true"/>
    </xf>
    <xf applyAlignment="true" applyBorder="false" applyFill="true" applyFont="true" applyNumberFormat="false" applyProtection="false" borderId="0" fillId="12" fontId="8" numFmtId="0" xfId="0">
      <alignment vertical="center"/>
    </xf>
    <xf applyAlignment="true" applyBorder="false" applyFill="true" applyFont="true" applyNumberFormat="false" applyProtection="false" borderId="0" fillId="12" fontId="6" numFmtId="0" xfId="0">
      <alignment vertical="center"/>
    </xf>
    <xf applyAlignment="true" applyBorder="false" applyFill="true" applyFont="true" applyNumberFormat="true" applyProtection="false" borderId="1" fillId="12" fontId="7" numFmtId="164" xfId="0">
      <alignment horizontal="center" vertical="center" wrapText="true"/>
    </xf>
    <xf applyAlignment="true" applyBorder="false" applyFill="true" applyFont="true" applyNumberFormat="true" applyProtection="false" borderId="1" fillId="12" fontId="7" numFmtId="165" xfId="0">
      <alignment horizontal="center" vertical="center"/>
    </xf>
    <xf applyAlignment="true" applyBorder="false" applyFill="true" applyFont="true" applyNumberFormat="false" applyProtection="false" borderId="1" fillId="12" fontId="7" numFmtId="0" xfId="0">
      <alignment horizontal="center" vertical="center"/>
    </xf>
    <xf applyAlignment="true" applyBorder="false" applyFill="true" applyFont="true" applyNumberFormat="false" applyProtection="false" borderId="1" fillId="12" fontId="7" numFmtId="0" xfId="0">
      <alignment horizontal="center" vertical="center" wrapText="true"/>
    </xf>
    <xf applyAlignment="true" applyBorder="false" applyFill="true" applyFont="true" applyNumberFormat="false" applyProtection="false" borderId="2" fillId="12" fontId="7" numFmtId="0" xfId="0">
      <alignment horizontal="center" vertical="center"/>
    </xf>
    <xf applyAlignment="true" applyBorder="false" applyFill="true" applyFont="true" applyNumberFormat="true" applyProtection="false" borderId="7" fillId="4" fontId="4" numFmtId="165" xfId="0">
      <alignment horizontal="center" vertical="center"/>
    </xf>
    <xf applyAlignment="true" applyBorder="false" applyFill="true" applyFont="true" applyNumberFormat="false" applyProtection="false" borderId="7" fillId="4" fontId="5" numFmtId="0" xfId="0">
      <alignment horizontal="center" vertical="center"/>
    </xf>
    <xf applyAlignment="true" applyBorder="false" applyFill="true" applyFont="true" applyNumberFormat="true" applyProtection="false" borderId="7" fillId="13" fontId="10" numFmtId="164" xfId="0">
      <alignment horizontal="center" vertical="center" wrapText="true"/>
    </xf>
    <xf applyAlignment="true" applyBorder="false" applyFill="true" applyFont="true" applyNumberFormat="true" applyProtection="false" borderId="7" fillId="13" fontId="7" numFmtId="165" xfId="0">
      <alignment horizontal="center" vertical="center"/>
    </xf>
    <xf applyAlignment="true" applyBorder="false" applyFill="true" applyFont="true" applyNumberFormat="false" applyProtection="false" borderId="7" fillId="13" fontId="7" numFmtId="0" xfId="0">
      <alignment horizontal="center" vertical="center"/>
    </xf>
    <xf applyAlignment="true" applyBorder="false" applyFill="true" applyFont="true" applyNumberFormat="false" applyProtection="false" borderId="7" fillId="13" fontId="7" numFmtId="0" xfId="0">
      <alignment horizontal="center" vertical="center" wrapText="true"/>
    </xf>
    <xf applyAlignment="true" applyBorder="false" applyFill="true" applyFont="true" applyNumberFormat="false" applyProtection="false" borderId="6" fillId="13" fontId="7" numFmtId="0" xfId="0">
      <alignment horizontal="center" vertical="center"/>
    </xf>
    <xf applyAlignment="true" applyBorder="false" applyFill="true" applyFont="true" applyNumberFormat="true" applyProtection="false" borderId="7" fillId="13" fontId="7" numFmtId="164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1" fillId="14" fontId="3" numFmtId="164" xfId="0">
      <alignment horizontal="center" vertical="center" wrapText="true"/>
    </xf>
    <xf applyAlignment="true" applyBorder="false" applyFill="true" applyFont="true" applyNumberFormat="true" applyProtection="false" borderId="1" fillId="14" fontId="3" numFmtId="164" xfId="0">
      <alignment horizontal="center" vertical="center" wrapText="true"/>
    </xf>
    <xf applyAlignment="true" applyBorder="false" applyFill="true" applyFont="true" applyNumberFormat="true" applyProtection="false" borderId="2" fillId="14" fontId="3" numFmtId="164" xfId="0">
      <alignment horizontal="center" vertical="center" wrapText="true"/>
    </xf>
    <xf applyAlignment="true" applyBorder="false" applyFill="true" applyFont="true" applyNumberFormat="true" applyProtection="false" borderId="2" fillId="14" fontId="7" numFmtId="164" xfId="0">
      <alignment horizontal="center" vertical="center" wrapText="true"/>
    </xf>
    <xf applyAlignment="true" applyBorder="false" applyFill="true" applyFont="true" applyNumberFormat="true" applyProtection="false" borderId="7" fillId="14" fontId="7" numFmtId="165" xfId="0">
      <alignment horizontal="center" vertical="center"/>
    </xf>
    <xf applyAlignment="true" applyBorder="false" applyFill="true" applyFont="true" applyNumberFormat="false" applyProtection="false" borderId="10" fillId="14" fontId="7" numFmtId="0" xfId="0">
      <alignment horizontal="center" vertical="center"/>
    </xf>
    <xf applyAlignment="true" applyBorder="false" applyFill="true" applyFont="true" applyNumberFormat="false" applyProtection="false" borderId="1" fillId="14" fontId="7" numFmtId="0" xfId="0">
      <alignment horizontal="center" vertical="center"/>
    </xf>
    <xf applyAlignment="true" applyBorder="false" applyFill="true" applyFont="true" applyNumberFormat="false" applyProtection="false" borderId="1" fillId="14" fontId="7" numFmtId="0" xfId="0">
      <alignment horizontal="center" vertical="center" wrapText="true"/>
    </xf>
    <xf applyAlignment="true" applyBorder="false" applyFill="true" applyFont="true" applyNumberFormat="false" applyProtection="false" borderId="2" fillId="14" fontId="7" numFmtId="0" xfId="0">
      <alignment horizontal="center" vertical="center"/>
    </xf>
    <xf applyAlignment="true" applyBorder="false" applyFill="true" applyFont="true" applyNumberFormat="false" applyProtection="false" borderId="6" fillId="14" fontId="7" numFmtId="0" xfId="0">
      <alignment horizontal="center" vertical="center"/>
    </xf>
    <xf applyAlignment="true" applyBorder="false" applyFill="true" applyFont="true" applyNumberFormat="true" applyProtection="false" borderId="7" fillId="7" fontId="5" numFmtId="166" xfId="0">
      <alignment horizontal="center" vertical="center"/>
    </xf>
    <xf applyAlignment="true" applyBorder="false" applyFill="true" applyFont="true" applyNumberFormat="true" applyProtection="false" borderId="1" fillId="15" fontId="3" numFmtId="164" xfId="0">
      <alignment horizontal="center" vertical="center" wrapText="true"/>
    </xf>
    <xf applyAlignment="true" applyBorder="false" applyFill="true" applyFont="true" applyNumberFormat="true" applyProtection="false" borderId="1" fillId="15" fontId="3" numFmtId="164" xfId="0">
      <alignment horizontal="center" vertical="center" wrapText="true"/>
    </xf>
    <xf applyAlignment="true" applyBorder="false" applyFill="true" applyFont="true" applyNumberFormat="true" applyProtection="false" borderId="2" fillId="15" fontId="3" numFmtId="164" xfId="0">
      <alignment horizontal="center" vertical="center" wrapText="true"/>
    </xf>
    <xf applyAlignment="true" applyBorder="false" applyFill="true" applyFont="true" applyNumberFormat="true" applyProtection="false" borderId="0" fillId="15" fontId="3" numFmtId="164" xfId="0">
      <alignment horizontal="center" vertical="center" wrapText="true"/>
    </xf>
    <xf applyAlignment="true" applyBorder="false" applyFill="true" applyFont="true" applyNumberFormat="false" applyProtection="false" borderId="0" fillId="15" fontId="6" numFmtId="0" xfId="0">
      <alignment vertical="center"/>
    </xf>
    <xf applyAlignment="true" applyBorder="false" applyFill="true" applyFont="true" applyNumberFormat="true" applyProtection="false" borderId="2" fillId="15" fontId="7" numFmtId="164" xfId="0">
      <alignment horizontal="center" vertical="center" wrapText="true"/>
    </xf>
    <xf applyAlignment="true" applyBorder="false" applyFill="true" applyFont="true" applyNumberFormat="true" applyProtection="false" borderId="7" fillId="15" fontId="7" numFmtId="165" xfId="0">
      <alignment horizontal="center" vertical="center"/>
    </xf>
    <xf applyAlignment="true" applyBorder="false" applyFill="true" applyFont="true" applyNumberFormat="false" applyProtection="false" borderId="10" fillId="15" fontId="7" numFmtId="0" xfId="0">
      <alignment horizontal="center" vertical="center"/>
    </xf>
    <xf applyAlignment="true" applyBorder="false" applyFill="true" applyFont="true" applyNumberFormat="false" applyProtection="false" borderId="1" fillId="15" fontId="7" numFmtId="0" xfId="0">
      <alignment horizontal="center" vertical="center"/>
    </xf>
    <xf applyAlignment="true" applyBorder="false" applyFill="true" applyFont="true" applyNumberFormat="false" applyProtection="false" borderId="1" fillId="15" fontId="7" numFmtId="0" xfId="0">
      <alignment horizontal="center" vertical="center" wrapText="true"/>
    </xf>
    <xf applyAlignment="true" applyBorder="false" applyFill="true" applyFont="true" applyNumberFormat="false" applyProtection="false" borderId="2" fillId="15" fontId="7" numFmtId="0" xfId="0">
      <alignment horizontal="center" vertical="center"/>
    </xf>
    <xf applyAlignment="true" applyBorder="false" applyFill="true" applyFont="true" applyNumberFormat="false" applyProtection="false" borderId="6" fillId="15" fontId="7" numFmtId="0" xfId="0">
      <alignment horizontal="center" vertical="center"/>
    </xf>
    <xf applyAlignment="true" applyBorder="false" applyFill="true" applyFont="true" applyNumberFormat="false" applyProtection="false" borderId="0" fillId="15" fontId="7" numFmtId="0" xfId="0">
      <alignment horizontal="center" vertical="center"/>
    </xf>
    <xf applyAlignment="true" applyBorder="false" applyFill="true" applyFont="true" applyNumberFormat="false" applyProtection="false" borderId="7" fillId="7" fontId="5" numFmtId="0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vertical="bottom"/>
    </xf>
    <xf applyAlignment="true" applyBorder="false" applyFill="true" applyFont="true" applyNumberFormat="false" applyProtection="false" borderId="7" fillId="7" fontId="4" numFmtId="0" xfId="0">
      <alignment horizontal="center" vertical="center"/>
    </xf>
    <xf applyAlignment="true" applyBorder="false" applyFill="true" applyFont="true" applyNumberFormat="true" applyProtection="false" borderId="1" fillId="16" fontId="3" numFmtId="164" xfId="0">
      <alignment horizontal="center" vertical="center" wrapText="true"/>
    </xf>
    <xf applyAlignment="true" applyBorder="false" applyFill="true" applyFont="true" applyNumberFormat="true" applyProtection="false" borderId="1" fillId="16" fontId="3" numFmtId="164" xfId="0">
      <alignment horizontal="center" vertical="center" wrapText="true"/>
    </xf>
    <xf applyAlignment="true" applyBorder="false" applyFill="true" applyFont="true" applyNumberFormat="true" applyProtection="false" borderId="2" fillId="16" fontId="3" numFmtId="164" xfId="0">
      <alignment horizontal="center" vertical="center" wrapText="true"/>
    </xf>
    <xf applyAlignment="true" applyBorder="false" applyFill="true" applyFont="true" applyNumberFormat="true" applyProtection="false" borderId="0" fillId="16" fontId="3" numFmtId="164" xfId="0">
      <alignment horizontal="center" vertical="center" wrapText="true"/>
    </xf>
    <xf applyAlignment="true" applyBorder="false" applyFill="true" applyFont="true" applyNumberFormat="false" applyProtection="false" borderId="0" fillId="16" fontId="6" numFmtId="0" xfId="0">
      <alignment vertical="center"/>
    </xf>
    <xf applyAlignment="true" applyBorder="false" applyFill="true" applyFont="true" applyNumberFormat="true" applyProtection="false" borderId="2" fillId="16" fontId="7" numFmtId="164" xfId="0">
      <alignment horizontal="center" vertical="center" wrapText="true"/>
    </xf>
    <xf applyAlignment="true" applyBorder="false" applyFill="true" applyFont="true" applyNumberFormat="true" applyProtection="false" borderId="7" fillId="16" fontId="7" numFmtId="165" xfId="0">
      <alignment horizontal="center" vertical="center"/>
    </xf>
    <xf applyAlignment="true" applyBorder="false" applyFill="true" applyFont="true" applyNumberFormat="false" applyProtection="false" borderId="10" fillId="16" fontId="7" numFmtId="0" xfId="0">
      <alignment horizontal="center" vertical="center"/>
    </xf>
    <xf applyAlignment="true" applyBorder="false" applyFill="true" applyFont="true" applyNumberFormat="false" applyProtection="false" borderId="1" fillId="16" fontId="7" numFmtId="0" xfId="0">
      <alignment horizontal="center" vertical="center"/>
    </xf>
    <xf applyAlignment="true" applyBorder="false" applyFill="true" applyFont="true" applyNumberFormat="false" applyProtection="false" borderId="1" fillId="16" fontId="7" numFmtId="0" xfId="0">
      <alignment horizontal="center" vertical="center" wrapText="true"/>
    </xf>
    <xf applyAlignment="true" applyBorder="false" applyFill="true" applyFont="true" applyNumberFormat="false" applyProtection="false" borderId="2" fillId="16" fontId="7" numFmtId="0" xfId="0">
      <alignment horizontal="center" vertical="center"/>
    </xf>
    <xf applyAlignment="true" applyBorder="false" applyFill="true" applyFont="true" applyNumberFormat="false" applyProtection="false" borderId="6" fillId="16" fontId="7" numFmtId="0" xfId="0">
      <alignment horizontal="center" vertical="center"/>
    </xf>
    <xf applyAlignment="true" applyBorder="false" applyFill="true" applyFont="true" applyNumberFormat="false" applyProtection="false" borderId="0" fillId="16" fontId="7" numFmtId="0" xfId="0">
      <alignment horizontal="center" vertical="center"/>
    </xf>
    <xf applyAlignment="true" applyBorder="false" applyFill="true" applyFont="true" applyNumberFormat="false" applyProtection="false" borderId="7" fillId="7" fontId="4" numFmtId="0" xfId="0">
      <alignment horizontal="center" vertical="center"/>
    </xf>
    <xf applyAlignment="true" applyBorder="false" applyFill="true" applyFont="true" applyNumberFormat="false" applyProtection="false" borderId="0" fillId="7" fontId="5" numFmtId="0" xfId="0">
      <alignment horizontal="center" vertical="center"/>
    </xf>
    <xf applyAlignment="true" applyBorder="false" applyFill="true" applyFont="true" applyNumberFormat="false" applyProtection="false" borderId="6" fillId="4" fontId="5" numFmtId="0" xfId="0">
      <alignment horizontal="center" vertical="center"/>
    </xf>
    <xf applyAlignment="true" applyBorder="false" applyFill="true" applyFont="true" applyNumberFormat="true" applyProtection="false" borderId="1" fillId="17" fontId="3" numFmtId="164" xfId="0">
      <alignment horizontal="center" vertical="center" wrapText="true"/>
    </xf>
    <xf applyAlignment="true" applyBorder="false" applyFill="true" applyFont="true" applyNumberFormat="true" applyProtection="false" borderId="14" fillId="17" fontId="3" numFmtId="164" xfId="0">
      <alignment horizontal="center" vertical="center" wrapText="true"/>
    </xf>
    <xf applyAlignment="true" applyBorder="false" applyFill="true" applyFont="true" applyNumberFormat="true" applyProtection="false" borderId="2" fillId="17" fontId="3" numFmtId="164" xfId="0">
      <alignment horizontal="center" vertical="center" wrapText="true"/>
    </xf>
    <xf applyAlignment="true" applyBorder="false" applyFill="true" applyFont="true" applyNumberFormat="true" applyProtection="false" borderId="2" fillId="17" fontId="7" numFmtId="164" xfId="0">
      <alignment horizontal="center" vertical="center" wrapText="true"/>
    </xf>
    <xf applyAlignment="true" applyBorder="false" applyFill="true" applyFont="true" applyNumberFormat="true" applyProtection="false" borderId="7" fillId="17" fontId="7" numFmtId="165" xfId="0">
      <alignment horizontal="center" vertical="center"/>
    </xf>
    <xf applyAlignment="true" applyBorder="false" applyFill="true" applyFont="true" applyNumberFormat="false" applyProtection="false" borderId="10" fillId="17" fontId="7" numFmtId="0" xfId="0">
      <alignment horizontal="center" vertical="center"/>
    </xf>
    <xf applyAlignment="true" applyBorder="false" applyFill="true" applyFont="true" applyNumberFormat="false" applyProtection="false" borderId="1" fillId="17" fontId="7" numFmtId="0" xfId="0">
      <alignment horizontal="center" vertical="center"/>
    </xf>
    <xf applyAlignment="true" applyBorder="false" applyFill="true" applyFont="true" applyNumberFormat="false" applyProtection="false" borderId="1" fillId="17" fontId="7" numFmtId="0" xfId="0">
      <alignment horizontal="center" vertical="center" wrapText="true"/>
    </xf>
    <xf applyAlignment="true" applyBorder="false" applyFill="true" applyFont="true" applyNumberFormat="false" applyProtection="false" borderId="2" fillId="17" fontId="7" numFmtId="0" xfId="0">
      <alignment horizontal="center" vertical="center"/>
    </xf>
    <xf applyAlignment="true" applyBorder="false" applyFill="true" applyFont="true" applyNumberFormat="false" applyProtection="false" borderId="6" fillId="17" fontId="7" numFmtId="0" xfId="0">
      <alignment horizontal="center" vertical="center"/>
    </xf>
    <xf applyAlignment="true" applyBorder="false" applyFill="false" applyFont="true" applyNumberFormat="false" applyProtection="false" borderId="12" fillId="0" fontId="5" numFmtId="0" xfId="0">
      <alignment horizontal="center" vertical="center"/>
    </xf>
    <xf applyAlignment="true" applyBorder="false" applyFill="true" applyFont="true" applyNumberFormat="true" applyProtection="false" borderId="7" fillId="4" fontId="5" numFmtId="166" xfId="0">
      <alignment horizontal="center" vertical="center"/>
    </xf>
    <xf applyAlignment="true" applyBorder="false" applyFill="true" applyFont="true" applyNumberFormat="false" applyProtection="false" borderId="12" fillId="4" fontId="5" numFmtId="0" xfId="0">
      <alignment horizontal="center" vertical="center"/>
    </xf>
    <xf applyAlignment="true" applyBorder="false" applyFill="true" applyFont="true" applyNumberFormat="false" applyProtection="false" borderId="0" fillId="18" fontId="5" numFmtId="0" xfId="0">
      <alignment horizontal="center" vertical="center"/>
    </xf>
    <xf applyAlignment="true" applyBorder="false" applyFill="true" applyFont="true" applyNumberFormat="false" applyProtection="false" borderId="0" fillId="18" fontId="6" numFmtId="0" xfId="0">
      <alignment vertical="center"/>
    </xf>
    <xf applyAlignment="true" applyBorder="false" applyFill="true" applyFont="true" applyNumberFormat="true" applyProtection="false" borderId="1" fillId="4" fontId="3" numFmtId="164" xfId="0">
      <alignment horizontal="center" vertical="center" wrapText="true"/>
    </xf>
    <xf applyAlignment="true" applyBorder="false" applyFill="true" applyFont="true" applyNumberFormat="true" applyProtection="false" borderId="1" fillId="4" fontId="3" numFmtId="164" xfId="0">
      <alignment horizontal="center" vertical="center" wrapText="true"/>
    </xf>
    <xf applyAlignment="true" applyBorder="false" applyFill="true" applyFont="true" applyNumberFormat="true" applyProtection="false" borderId="14" fillId="4" fontId="3" numFmtId="164" xfId="0">
      <alignment horizontal="center" vertical="center" wrapText="true"/>
    </xf>
    <xf applyAlignment="true" applyBorder="false" applyFill="true" applyFont="true" applyNumberFormat="true" applyProtection="false" borderId="2" fillId="4" fontId="3" numFmtId="164" xfId="0">
      <alignment horizontal="center" vertical="center" wrapText="true"/>
    </xf>
    <xf applyAlignment="true" applyBorder="false" applyFill="true" applyFont="true" applyNumberFormat="true" applyProtection="false" borderId="7" fillId="19" fontId="3" numFmtId="164" xfId="0">
      <alignment horizontal="center" vertical="center" wrapText="true"/>
    </xf>
    <xf applyAlignment="true" applyBorder="false" applyFill="true" applyFont="true" applyNumberFormat="false" applyProtection="false" borderId="0" fillId="19" fontId="8" numFmtId="0" xfId="0">
      <alignment vertical="center"/>
    </xf>
    <xf applyAlignment="true" applyBorder="false" applyFill="true" applyFont="true" applyNumberFormat="false" applyProtection="false" borderId="0" fillId="19" fontId="8" numFmtId="0" xfId="0">
      <alignment horizontal="center" vertical="center"/>
    </xf>
    <xf applyAlignment="true" applyBorder="false" applyFill="true" applyFont="true" applyNumberFormat="true" applyProtection="false" borderId="7" fillId="20" fontId="7" numFmtId="164" xfId="0">
      <alignment horizontal="center" vertical="center" wrapText="true"/>
    </xf>
    <xf applyAlignment="true" applyBorder="false" applyFill="true" applyFont="true" applyNumberFormat="true" applyProtection="false" borderId="7" fillId="20" fontId="7" numFmtId="165" xfId="0">
      <alignment horizontal="center" vertical="center"/>
    </xf>
    <xf applyAlignment="true" applyBorder="false" applyFill="true" applyFont="true" applyNumberFormat="false" applyProtection="false" borderId="1" fillId="20" fontId="7" numFmtId="0" xfId="0">
      <alignment horizontal="center" vertical="center"/>
    </xf>
    <xf applyAlignment="true" applyBorder="false" applyFill="true" applyFont="true" applyNumberFormat="false" applyProtection="false" borderId="7" fillId="20" fontId="7" numFmtId="0" xfId="0">
      <alignment horizontal="center" vertical="center"/>
    </xf>
    <xf applyAlignment="true" applyBorder="false" applyFill="true" applyFont="true" applyNumberFormat="false" applyProtection="false" borderId="7" fillId="20" fontId="7" numFmtId="0" xfId="0">
      <alignment horizontal="center" vertical="center" wrapText="true"/>
    </xf>
    <xf applyAlignment="true" applyBorder="false" applyFill="true" applyFont="true" applyNumberFormat="false" applyProtection="false" borderId="6" fillId="20" fontId="7" numFmtId="0" xfId="0">
      <alignment horizontal="center" vertical="center"/>
    </xf>
    <xf applyAlignment="true" applyBorder="false" applyFill="true" applyFont="true" applyNumberFormat="true" applyProtection="false" borderId="3" fillId="4" fontId="5" numFmtId="166" xfId="0">
      <alignment horizontal="center" vertical="center"/>
    </xf>
    <xf applyAlignment="true" applyBorder="false" applyFill="true" applyFont="true" applyNumberFormat="false" applyProtection="false" borderId="6" fillId="4" fontId="5" numFmtId="0" xfId="0">
      <alignment horizontal="center" vertical="center"/>
    </xf>
    <xf applyAlignment="true" applyBorder="false" applyFill="true" applyFont="true" applyNumberFormat="true" applyProtection="false" borderId="7" fillId="7" fontId="4" numFmtId="165" xfId="0">
      <alignment horizontal="center" vertical="center"/>
    </xf>
    <xf applyAlignment="true" applyBorder="false" applyFill="true" applyFont="true" applyNumberFormat="true" applyProtection="false" borderId="6" fillId="7" fontId="4" numFmtId="165" xfId="0">
      <alignment horizontal="center" vertical="center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true" applyFont="true" applyNumberFormat="true" applyProtection="false" borderId="1" fillId="15" fontId="3" numFmtId="164" xfId="0">
      <alignment horizontal="center" vertical="center" wrapText="true"/>
    </xf>
    <xf applyAlignment="true" applyBorder="false" applyFill="true" applyFont="true" applyNumberFormat="true" applyProtection="false" borderId="14" fillId="15" fontId="3" numFmtId="164" xfId="0">
      <alignment horizontal="center" vertical="center" wrapText="true"/>
    </xf>
    <xf applyAlignment="true" applyBorder="false" applyFill="true" applyFont="true" applyNumberFormat="false" applyProtection="false" borderId="1" fillId="15" fontId="7" numFmtId="0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true" applyFont="true" applyNumberFormat="true" applyProtection="false" borderId="7" fillId="21" fontId="3" numFmtId="164" xfId="0">
      <alignment horizontal="center" vertical="center" wrapText="true"/>
    </xf>
    <xf applyAlignment="true" applyBorder="false" applyFill="true" applyFont="true" applyNumberFormat="true" applyProtection="false" borderId="7" fillId="21" fontId="4" numFmtId="165" xfId="0">
      <alignment horizontal="center" vertical="center"/>
    </xf>
    <xf applyAlignment="true" applyBorder="false" applyFill="true" applyFont="true" applyNumberFormat="false" applyProtection="false" borderId="7" fillId="21" fontId="5" numFmtId="0" xfId="0">
      <alignment horizontal="center" vertical="center"/>
    </xf>
    <xf applyAlignment="true" applyBorder="false" applyFill="true" applyFont="true" applyNumberFormat="false" applyProtection="false" borderId="7" fillId="21" fontId="5" numFmtId="0" xfId="0">
      <alignment horizontal="center" vertical="center"/>
    </xf>
    <xf applyAlignment="true" applyBorder="false" applyFill="true" applyFont="true" applyNumberFormat="false" applyProtection="false" borderId="7" fillId="21" fontId="5" numFmtId="0" xfId="0">
      <alignment horizontal="center" vertical="center" wrapText="true"/>
    </xf>
    <xf applyAlignment="true" applyBorder="false" applyFill="true" applyFont="true" applyNumberFormat="false" applyProtection="false" borderId="6" fillId="21" fontId="5" numFmtId="0" xfId="0">
      <alignment horizontal="center" vertical="center"/>
    </xf>
    <xf applyAlignment="true" applyBorder="false" applyFill="true" applyFont="true" applyNumberFormat="false" applyProtection="false" borderId="0" fillId="21" fontId="5" numFmtId="0" xfId="0">
      <alignment horizontal="center" vertical="center"/>
    </xf>
    <xf applyAlignment="true" applyBorder="false" applyFill="true" applyFont="true" applyNumberFormat="false" applyProtection="false" borderId="0" fillId="21" fontId="6" numFmtId="0" xfId="0">
      <alignment vertical="center"/>
    </xf>
    <xf applyAlignment="true" applyBorder="false" applyFill="true" applyFont="true" applyNumberFormat="true" applyProtection="false" borderId="7" fillId="21" fontId="7" numFmtId="164" xfId="0">
      <alignment horizontal="center" vertical="center" wrapText="true"/>
    </xf>
    <xf applyAlignment="true" applyBorder="false" applyFill="true" applyFont="true" applyNumberFormat="true" applyProtection="false" borderId="7" fillId="21" fontId="7" numFmtId="165" xfId="0">
      <alignment horizontal="center" vertical="center"/>
    </xf>
    <xf applyAlignment="true" applyBorder="false" applyFill="true" applyFont="true" applyNumberFormat="false" applyProtection="false" borderId="1" fillId="21" fontId="7" numFmtId="0" xfId="0">
      <alignment horizontal="center" vertical="center"/>
    </xf>
    <xf applyAlignment="true" applyBorder="false" applyFill="true" applyFont="true" applyNumberFormat="false" applyProtection="false" borderId="7" fillId="21" fontId="7" numFmtId="0" xfId="0">
      <alignment horizontal="center" vertical="center"/>
    </xf>
    <xf applyAlignment="true" applyBorder="false" applyFill="true" applyFont="true" applyNumberFormat="false" applyProtection="false" borderId="7" fillId="21" fontId="7" numFmtId="0" xfId="0">
      <alignment horizontal="center" vertical="center" wrapText="true"/>
    </xf>
    <xf applyAlignment="true" applyBorder="false" applyFill="true" applyFont="true" applyNumberFormat="false" applyProtection="false" borderId="6" fillId="21" fontId="7" numFmtId="0" xfId="0">
      <alignment horizontal="center" vertical="center"/>
    </xf>
    <xf applyAlignment="true" applyBorder="false" applyFill="true" applyFont="true" applyNumberFormat="false" applyProtection="false" borderId="0" fillId="21" fontId="7" numFmtId="0" xfId="0">
      <alignment horizontal="center" vertical="center"/>
    </xf>
    <xf applyAlignment="true" applyBorder="false" applyFill="true" applyFont="true" applyNumberFormat="true" applyProtection="false" borderId="1" fillId="22" fontId="3" numFmtId="164" xfId="0">
      <alignment horizontal="center" vertical="center" wrapText="true"/>
    </xf>
    <xf applyAlignment="true" applyBorder="false" applyFill="true" applyFont="true" applyNumberFormat="true" applyProtection="false" borderId="1" fillId="22" fontId="3" numFmtId="164" xfId="0">
      <alignment horizontal="center" vertical="center" wrapText="true"/>
    </xf>
    <xf applyAlignment="true" applyBorder="false" applyFill="true" applyFont="true" applyNumberFormat="true" applyProtection="false" borderId="14" fillId="22" fontId="3" numFmtId="164" xfId="0">
      <alignment horizontal="center" vertical="center" wrapText="true"/>
    </xf>
    <xf applyAlignment="true" applyBorder="false" applyFill="true" applyFont="true" applyNumberFormat="true" applyProtection="false" borderId="2" fillId="22" fontId="3" numFmtId="164" xfId="0">
      <alignment horizontal="center" vertical="center" wrapText="true"/>
    </xf>
    <xf applyAlignment="true" applyBorder="false" applyFill="true" applyFont="true" applyNumberFormat="true" applyProtection="false" borderId="0" fillId="22" fontId="3" numFmtId="164" xfId="0">
      <alignment horizontal="center" vertical="center" wrapText="true"/>
    </xf>
    <xf applyAlignment="true" applyBorder="false" applyFill="true" applyFont="true" applyNumberFormat="false" applyProtection="false" borderId="0" fillId="22" fontId="6" numFmtId="0" xfId="0">
      <alignment vertical="center"/>
    </xf>
    <xf applyAlignment="true" applyBorder="false" applyFill="true" applyFont="true" applyNumberFormat="true" applyProtection="false" borderId="2" fillId="22" fontId="7" numFmtId="164" xfId="0">
      <alignment horizontal="center" vertical="center" wrapText="true"/>
    </xf>
    <xf applyAlignment="true" applyBorder="false" applyFill="true" applyFont="true" applyNumberFormat="true" applyProtection="false" borderId="7" fillId="22" fontId="7" numFmtId="165" xfId="0">
      <alignment horizontal="center" vertical="center"/>
    </xf>
    <xf applyAlignment="true" applyBorder="false" applyFill="true" applyFont="true" applyNumberFormat="false" applyProtection="false" borderId="10" fillId="22" fontId="7" numFmtId="0" xfId="0">
      <alignment horizontal="center" vertical="center"/>
    </xf>
    <xf applyAlignment="true" applyBorder="false" applyFill="true" applyFont="true" applyNumberFormat="false" applyProtection="false" borderId="1" fillId="22" fontId="7" numFmtId="0" xfId="0">
      <alignment horizontal="center" vertical="center"/>
    </xf>
    <xf applyAlignment="true" applyBorder="false" applyFill="true" applyFont="true" applyNumberFormat="false" applyProtection="false" borderId="1" fillId="22" fontId="7" numFmtId="0" xfId="0">
      <alignment horizontal="center" vertical="center" wrapText="true"/>
    </xf>
    <xf applyAlignment="true" applyBorder="false" applyFill="true" applyFont="true" applyNumberFormat="false" applyProtection="false" borderId="2" fillId="22" fontId="7" numFmtId="0" xfId="0">
      <alignment horizontal="center" vertical="center"/>
    </xf>
    <xf applyAlignment="true" applyBorder="false" applyFill="true" applyFont="true" applyNumberFormat="false" applyProtection="false" borderId="6" fillId="22" fontId="7" numFmtId="0" xfId="0">
      <alignment horizontal="center" vertical="center"/>
    </xf>
    <xf applyAlignment="true" applyBorder="false" applyFill="true" applyFont="true" applyNumberFormat="false" applyProtection="false" borderId="0" fillId="22" fontId="7" numFmtId="0" xfId="0">
      <alignment horizontal="center" vertical="center"/>
    </xf>
    <xf applyAlignment="true" applyBorder="false" applyFill="true" applyFont="true" applyNumberFormat="true" applyProtection="false" borderId="7" fillId="23" fontId="3" numFmtId="164" xfId="0">
      <alignment horizontal="center" vertical="center" wrapText="true"/>
    </xf>
    <xf applyAlignment="true" applyBorder="false" applyFill="true" applyFont="true" applyNumberFormat="true" applyProtection="false" borderId="6" fillId="23" fontId="3" numFmtId="164" xfId="0">
      <alignment horizontal="center" vertical="center" wrapText="true"/>
    </xf>
    <xf applyAlignment="true" applyBorder="false" applyFill="true" applyFont="true" applyNumberFormat="true" applyProtection="false" borderId="7" fillId="23" fontId="7" numFmtId="164" xfId="0">
      <alignment horizontal="center" vertical="center" wrapText="true"/>
    </xf>
    <xf applyAlignment="true" applyBorder="false" applyFill="true" applyFont="true" applyNumberFormat="true" applyProtection="false" borderId="7" fillId="23" fontId="7" numFmtId="165" xfId="0">
      <alignment horizontal="center" vertical="center"/>
    </xf>
    <xf applyAlignment="true" applyBorder="false" applyFill="true" applyFont="true" applyNumberFormat="false" applyProtection="false" borderId="7" fillId="23" fontId="7" numFmtId="0" xfId="0">
      <alignment horizontal="center" vertical="center"/>
    </xf>
    <xf applyAlignment="true" applyBorder="false" applyFill="true" applyFont="true" applyNumberFormat="false" applyProtection="false" borderId="7" fillId="23" fontId="7" numFmtId="0" xfId="0">
      <alignment horizontal="center" vertical="center" wrapText="true"/>
    </xf>
    <xf applyAlignment="true" applyBorder="false" applyFill="true" applyFont="true" applyNumberFormat="false" applyProtection="false" borderId="6" fillId="23" fontId="7" numFmtId="0" xfId="0">
      <alignment horizontal="center" vertical="center"/>
    </xf>
    <xf applyAlignment="true" applyBorder="false" applyFill="true" applyFont="true" applyNumberFormat="false" applyProtection="false" borderId="1" fillId="7" fontId="5" numFmtId="0" xfId="0">
      <alignment horizontal="center" vertical="center"/>
    </xf>
    <xf applyAlignment="true" applyBorder="false" applyFill="true" applyFont="true" applyNumberFormat="false" applyProtection="false" borderId="5" fillId="4" fontId="5" numFmtId="0" xfId="0">
      <alignment horizontal="center" vertical="center" wrapText="true"/>
    </xf>
    <xf applyAlignment="true" applyBorder="false" applyFill="true" applyFont="true" applyNumberFormat="false" applyProtection="false" borderId="1" fillId="4" fontId="5" numFmtId="0" xfId="0">
      <alignment horizontal="center" vertical="center"/>
    </xf>
    <xf applyAlignment="true" applyBorder="false" applyFill="true" applyFont="true" applyNumberFormat="true" applyProtection="false" borderId="7" fillId="21" fontId="4" numFmtId="165" xfId="0">
      <alignment horizontal="center" vertical="center"/>
    </xf>
    <xf applyAlignment="true" applyBorder="false" applyFill="true" applyFont="true" applyNumberFormat="false" applyProtection="false" borderId="1" fillId="21" fontId="5" numFmtId="0" xfId="0">
      <alignment horizontal="center" vertical="center"/>
    </xf>
    <xf applyAlignment="true" applyBorder="false" applyFill="true" applyFont="true" applyNumberFormat="false" applyProtection="false" borderId="7" fillId="21" fontId="5" numFmtId="0" xfId="0">
      <alignment horizontal="center" vertical="center" wrapText="true"/>
    </xf>
    <xf applyAlignment="true" applyBorder="false" applyFill="true" applyFont="true" applyNumberFormat="true" applyProtection="false" borderId="7" fillId="24" fontId="4" numFmtId="165" xfId="0">
      <alignment horizontal="center" vertical="center"/>
    </xf>
    <xf applyAlignment="true" applyBorder="false" applyFill="true" applyFont="true" applyNumberFormat="true" applyProtection="false" borderId="7" fillId="24" fontId="4" numFmtId="165" xfId="0">
      <alignment horizontal="center" vertical="center"/>
    </xf>
    <xf applyAlignment="true" applyBorder="false" applyFill="true" applyFont="true" applyNumberFormat="false" applyProtection="false" borderId="7" fillId="24" fontId="5" numFmtId="0" xfId="0">
      <alignment horizontal="center" vertical="center"/>
    </xf>
    <xf applyAlignment="true" applyBorder="false" applyFill="true" applyFont="true" applyNumberFormat="false" applyProtection="false" borderId="7" fillId="24" fontId="5" numFmtId="0" xfId="0">
      <alignment horizontal="center" vertical="center"/>
    </xf>
    <xf applyAlignment="true" applyBorder="false" applyFill="true" applyFont="true" applyNumberFormat="false" applyProtection="false" borderId="0" fillId="21" fontId="8" numFmtId="0" xfId="0">
      <alignment horizontal="center" vertical="center" wrapText="true"/>
    </xf>
    <xf applyAlignment="true" applyBorder="false" applyFill="true" applyFont="true" applyNumberFormat="false" applyProtection="false" borderId="2" fillId="24" fontId="5" numFmtId="0" xfId="0">
      <alignment horizontal="center" vertical="center"/>
    </xf>
    <xf applyAlignment="true" applyBorder="false" applyFill="true" applyFont="true" applyNumberFormat="false" applyProtection="false" borderId="3" fillId="21" fontId="5" numFmtId="0" xfId="0">
      <alignment horizontal="center" vertical="center"/>
    </xf>
    <xf applyAlignment="true" applyBorder="false" applyFill="true" applyFont="true" applyNumberFormat="false" applyProtection="false" borderId="5" fillId="21" fontId="5" numFmtId="0" xfId="0">
      <alignment horizontal="center" vertical="center" wrapText="true"/>
    </xf>
    <xf applyAlignment="true" applyBorder="false" applyFill="true" applyFont="true" applyNumberFormat="false" applyProtection="false" borderId="6" fillId="24" fontId="5" numFmtId="0" xfId="0">
      <alignment horizontal="center" vertical="center"/>
    </xf>
    <xf applyAlignment="true" applyBorder="false" applyFill="true" applyFont="true" applyNumberFormat="false" applyProtection="false" borderId="3" fillId="24" fontId="5" numFmtId="0" xfId="0">
      <alignment horizontal="center" vertical="center"/>
    </xf>
    <xf applyAlignment="true" applyBorder="false" applyFill="true" applyFont="true" applyNumberFormat="false" applyProtection="false" borderId="11" fillId="21" fontId="5" numFmtId="0" xfId="0">
      <alignment horizontal="center" vertical="center"/>
    </xf>
    <xf applyAlignment="true" applyBorder="false" applyFill="true" applyFont="true" applyNumberFormat="false" applyProtection="false" borderId="11" fillId="24" fontId="5" numFmtId="0" xfId="0">
      <alignment horizontal="center" vertical="center"/>
    </xf>
    <xf applyAlignment="true" applyBorder="false" applyFill="true" applyFont="true" applyNumberFormat="true" applyProtection="false" borderId="7" fillId="6" fontId="3" numFmtId="164" xfId="0">
      <alignment horizontal="center" vertical="center" wrapText="true"/>
    </xf>
    <xf applyAlignment="true" applyBorder="false" applyFill="true" applyFont="true" applyNumberFormat="true" applyProtection="false" borderId="6" fillId="6" fontId="3" numFmtId="164" xfId="0">
      <alignment horizontal="center" vertical="center" wrapText="true"/>
    </xf>
    <xf applyAlignment="true" applyBorder="false" applyFill="true" applyFont="true" applyNumberFormat="false" applyProtection="false" borderId="7" fillId="6" fontId="7" numFmtId="0" xfId="0">
      <alignment horizontal="center" vertical="center" wrapText="true"/>
    </xf>
    <xf applyAlignment="true" applyBorder="false" applyFill="false" applyFont="true" applyNumberFormat="true" applyProtection="false" borderId="7" fillId="0" fontId="5" numFmtId="164" xfId="0">
      <alignment horizontal="center" vertical="center" wrapText="true"/>
    </xf>
    <xf applyAlignment="true" applyBorder="false" applyFill="false" applyFont="true" applyNumberFormat="true" applyProtection="false" borderId="7" fillId="0" fontId="5" numFmtId="164" xfId="0">
      <alignment horizontal="center" vertical="center"/>
    </xf>
    <xf applyAlignment="true" applyBorder="false" applyFill="true" applyFont="true" applyNumberFormat="true" applyProtection="false" borderId="7" fillId="7" fontId="5" numFmtId="164" xfId="0">
      <alignment horizontal="center" vertical="center"/>
    </xf>
    <xf applyAlignment="true" applyBorder="false" applyFill="false" applyFont="true" applyNumberFormat="true" applyProtection="false" borderId="6" fillId="0" fontId="5" numFmtId="164" xfId="0">
      <alignment horizontal="center" vertical="center"/>
    </xf>
    <xf applyAlignment="true" applyBorder="false" applyFill="true" applyFont="true" applyNumberFormat="true" applyProtection="false" borderId="0" fillId="7" fontId="5" numFmtId="164" xfId="0">
      <alignment horizontal="center" vertical="center"/>
    </xf>
    <xf applyAlignment="true" applyBorder="false" applyFill="true" applyFont="true" applyNumberFormat="true" applyProtection="false" borderId="7" fillId="25" fontId="7" numFmtId="164" xfId="0">
      <alignment horizontal="center" vertical="center" wrapText="true"/>
    </xf>
    <xf applyAlignment="true" applyBorder="false" applyFill="true" applyFont="true" applyNumberFormat="true" applyProtection="false" borderId="7" fillId="25" fontId="7" numFmtId="165" xfId="0">
      <alignment horizontal="center" vertical="center"/>
    </xf>
    <xf applyAlignment="true" applyBorder="false" applyFill="true" applyFont="true" applyNumberFormat="false" applyProtection="false" borderId="7" fillId="25" fontId="7" numFmtId="0" xfId="0">
      <alignment horizontal="center" vertical="center"/>
    </xf>
    <xf applyAlignment="true" applyBorder="false" applyFill="true" applyFont="true" applyNumberFormat="false" applyProtection="false" borderId="7" fillId="25" fontId="7" numFmtId="0" xfId="0">
      <alignment horizontal="center" vertical="center" wrapText="true"/>
    </xf>
    <xf applyAlignment="true" applyBorder="false" applyFill="true" applyFont="true" applyNumberFormat="false" applyProtection="false" borderId="6" fillId="25" fontId="7" numFmtId="0" xfId="0">
      <alignment horizontal="center" vertical="center"/>
    </xf>
    <xf applyAlignment="true" applyBorder="false" applyFill="true" applyFont="true" applyNumberFormat="true" applyProtection="false" borderId="7" fillId="7" fontId="15" numFmtId="166" xfId="0">
      <alignment horizontal="center" vertical="center"/>
    </xf>
    <xf applyAlignment="true" applyBorder="false" applyFill="true" applyFont="true" applyNumberFormat="false" applyProtection="false" borderId="0" fillId="4" fontId="5" numFmtId="0" xfId="0">
      <alignment horizontal="center" vertical="center"/>
    </xf>
    <xf applyAlignment="true" applyBorder="false" applyFill="true" applyFont="true" applyNumberFormat="true" applyProtection="false" borderId="7" fillId="26" fontId="3" numFmtId="164" xfId="0">
      <alignment horizontal="center" vertical="center" wrapText="true"/>
    </xf>
    <xf applyAlignment="true" applyBorder="false" applyFill="true" applyFont="true" applyNumberFormat="true" applyProtection="false" borderId="6" fillId="26" fontId="3" numFmtId="164" xfId="0">
      <alignment horizontal="center" vertical="center" wrapText="true"/>
    </xf>
    <xf applyAlignment="true" applyBorder="false" applyFill="true" applyFont="true" applyNumberFormat="true" applyProtection="false" borderId="7" fillId="26" fontId="7" numFmtId="164" xfId="0">
      <alignment horizontal="center" vertical="center" wrapText="true"/>
    </xf>
    <xf applyAlignment="true" applyBorder="false" applyFill="true" applyFont="true" applyNumberFormat="true" applyProtection="false" borderId="7" fillId="26" fontId="7" numFmtId="165" xfId="0">
      <alignment horizontal="center" vertical="center"/>
    </xf>
    <xf applyAlignment="true" applyBorder="false" applyFill="true" applyFont="true" applyNumberFormat="false" applyProtection="false" borderId="7" fillId="26" fontId="7" numFmtId="0" xfId="0">
      <alignment horizontal="center" vertical="center"/>
    </xf>
    <xf applyAlignment="true" applyBorder="false" applyFill="true" applyFont="true" applyNumberFormat="false" applyProtection="false" borderId="7" fillId="26" fontId="7" numFmtId="0" xfId="0">
      <alignment horizontal="center" vertical="center" wrapText="true"/>
    </xf>
    <xf applyAlignment="true" applyBorder="false" applyFill="true" applyFont="true" applyNumberFormat="false" applyProtection="false" borderId="6" fillId="26" fontId="7" numFmtId="0" xfId="0">
      <alignment horizontal="center" vertical="center"/>
    </xf>
    <xf applyAlignment="true" applyBorder="false" applyFill="true" applyFont="true" applyNumberFormat="false" applyProtection="false" borderId="7" fillId="4" fontId="7" numFmtId="0" xfId="0">
      <alignment horizontal="center" vertical="center" wrapText="true"/>
    </xf>
    <xf applyAlignment="true" applyBorder="false" applyFill="true" applyFont="true" applyNumberFormat="false" applyProtection="false" borderId="0" fillId="21" fontId="8" numFmtId="0" xfId="0">
      <alignment vertical="center"/>
    </xf>
    <xf applyAlignment="true" applyBorder="false" applyFill="true" applyFont="true" applyNumberFormat="false" applyProtection="false" borderId="0" fillId="21" fontId="8" numFmtId="0" xfId="0">
      <alignment horizontal="center" vertical="center"/>
    </xf>
    <xf applyAlignment="true" applyBorder="false" applyFill="true" applyFont="true" applyNumberFormat="false" applyProtection="false" borderId="7" fillId="4" fontId="4" numFmtId="0" xfId="0">
      <alignment horizontal="center" vertical="center" wrapText="true"/>
    </xf>
    <xf applyAlignment="true" applyBorder="false" applyFill="true" applyFont="true" applyNumberFormat="false" applyProtection="false" borderId="6" fillId="4" fontId="7" numFmtId="0" xfId="0">
      <alignment horizontal="center" vertical="center"/>
    </xf>
    <xf applyAlignment="true" applyBorder="false" applyFill="true" applyFont="true" applyNumberFormat="false" applyProtection="false" borderId="7" fillId="4" fontId="4" numFmtId="0" xfId="0">
      <alignment horizontal="center" vertical="center"/>
    </xf>
    <xf applyAlignment="true" applyBorder="false" applyFill="true" applyFont="true" applyNumberFormat="false" applyProtection="false" borderId="6" fillId="4" fontId="4" numFmtId="0" xfId="0">
      <alignment horizontal="center" vertical="center"/>
    </xf>
    <xf applyAlignment="true" applyBorder="false" applyFill="true" applyFont="true" applyNumberFormat="true" applyProtection="false" borderId="1" fillId="27" fontId="3" numFmtId="164" xfId="0">
      <alignment horizontal="center" vertical="center" wrapText="true"/>
    </xf>
    <xf applyAlignment="true" applyBorder="false" applyFill="true" applyFont="true" applyNumberFormat="true" applyProtection="false" borderId="14" fillId="27" fontId="3" numFmtId="164" xfId="0">
      <alignment horizontal="center" vertical="center" wrapText="true"/>
    </xf>
    <xf applyAlignment="true" applyBorder="false" applyFill="true" applyFont="true" applyNumberFormat="true" applyProtection="false" borderId="2" fillId="27" fontId="3" numFmtId="164" xfId="0">
      <alignment horizontal="center" vertical="center" wrapText="true"/>
    </xf>
    <xf applyAlignment="true" applyBorder="false" applyFill="true" applyFont="true" applyNumberFormat="true" applyProtection="false" borderId="0" fillId="27" fontId="3" numFmtId="164" xfId="0">
      <alignment horizontal="center" vertical="center" wrapText="true"/>
    </xf>
    <xf applyAlignment="true" applyBorder="false" applyFill="true" applyFont="true" applyNumberFormat="false" applyProtection="false" borderId="0" fillId="27" fontId="8" numFmtId="0" xfId="0">
      <alignment vertical="center"/>
    </xf>
    <xf applyAlignment="true" applyBorder="false" applyFill="true" applyFont="true" applyNumberFormat="true" applyProtection="false" borderId="2" fillId="27" fontId="7" numFmtId="164" xfId="0">
      <alignment horizontal="center" vertical="center" wrapText="true"/>
    </xf>
    <xf applyAlignment="true" applyBorder="false" applyFill="true" applyFont="true" applyNumberFormat="true" applyProtection="false" borderId="7" fillId="27" fontId="7" numFmtId="165" xfId="0">
      <alignment horizontal="center" vertical="center"/>
    </xf>
    <xf applyAlignment="true" applyBorder="false" applyFill="true" applyFont="true" applyNumberFormat="false" applyProtection="false" borderId="10" fillId="27" fontId="7" numFmtId="0" xfId="0">
      <alignment horizontal="center" vertical="center"/>
    </xf>
    <xf applyAlignment="true" applyBorder="false" applyFill="true" applyFont="true" applyNumberFormat="false" applyProtection="false" borderId="1" fillId="27" fontId="7" numFmtId="0" xfId="0">
      <alignment horizontal="center" vertical="center"/>
    </xf>
    <xf applyAlignment="true" applyBorder="false" applyFill="true" applyFont="true" applyNumberFormat="false" applyProtection="false" borderId="1" fillId="27" fontId="7" numFmtId="0" xfId="0">
      <alignment horizontal="center" vertical="center" wrapText="true"/>
    </xf>
    <xf applyAlignment="true" applyBorder="false" applyFill="true" applyFont="true" applyNumberFormat="false" applyProtection="false" borderId="2" fillId="27" fontId="7" numFmtId="0" xfId="0">
      <alignment horizontal="center" vertical="center"/>
    </xf>
    <xf applyAlignment="true" applyBorder="false" applyFill="true" applyFont="true" applyNumberFormat="false" applyProtection="false" borderId="6" fillId="27" fontId="7" numFmtId="0" xfId="0">
      <alignment horizontal="center" vertical="center"/>
    </xf>
    <xf applyAlignment="true" applyBorder="false" applyFill="true" applyFont="true" applyNumberFormat="false" applyProtection="false" borderId="0" fillId="27" fontId="7" numFmtId="0" xfId="0">
      <alignment horizontal="center" vertical="center"/>
    </xf>
    <xf applyAlignment="true" applyBorder="false" applyFill="true" applyFont="true" applyNumberFormat="true" applyProtection="false" borderId="7" fillId="14" fontId="3" numFmtId="164" xfId="0">
      <alignment horizontal="center" vertical="center" wrapText="true"/>
    </xf>
    <xf applyAlignment="true" applyBorder="false" applyFill="true" applyFont="true" applyNumberFormat="true" applyProtection="false" borderId="3" fillId="14" fontId="3" numFmtId="164" xfId="0">
      <alignment horizontal="center" vertical="center" wrapText="true"/>
    </xf>
    <xf applyAlignment="true" applyBorder="false" applyFill="true" applyFont="true" applyNumberFormat="true" applyProtection="false" borderId="7" fillId="14" fontId="7" numFmtId="164" xfId="0">
      <alignment horizontal="center" vertical="center" wrapText="true"/>
    </xf>
    <xf applyAlignment="true" applyBorder="false" applyFill="true" applyFont="true" applyNumberFormat="false" applyProtection="false" borderId="7" fillId="14" fontId="7" numFmtId="0" xfId="0">
      <alignment horizontal="center" vertical="center"/>
    </xf>
    <xf applyAlignment="true" applyBorder="false" applyFill="true" applyFont="true" applyNumberFormat="false" applyProtection="false" borderId="7" fillId="14" fontId="7" numFmtId="0" xfId="0">
      <alignment horizontal="center" vertical="center" wrapText="true"/>
    </xf>
    <xf applyAlignment="true" applyBorder="false" applyFill="true" applyFont="true" applyNumberFormat="false" applyProtection="false" borderId="3" fillId="14" fontId="7" numFmtId="0" xfId="0">
      <alignment horizontal="center" vertical="center"/>
    </xf>
    <xf applyAlignment="true" applyBorder="false" applyFill="true" applyFont="true" applyNumberFormat="false" applyProtection="false" borderId="11" fillId="4" fontId="5" numFmtId="0" xfId="0">
      <alignment horizontal="center" vertical="center"/>
    </xf>
    <xf applyAlignment="true" applyBorder="false" applyFill="true" applyFont="true" applyNumberFormat="false" applyProtection="false" borderId="11" fillId="7" fontId="5" numFmtId="0" xfId="0">
      <alignment horizontal="center" vertical="center"/>
    </xf>
    <xf applyAlignment="true" applyBorder="false" applyFill="true" applyFont="true" applyNumberFormat="false" applyProtection="false" borderId="2" fillId="4" fontId="5" numFmtId="0" xfId="0">
      <alignment horizontal="center" vertical="center" wrapText="true"/>
    </xf>
    <xf applyAlignment="true" applyBorder="false" applyFill="true" applyFont="true" applyNumberFormat="false" applyProtection="false" borderId="2" fillId="4" fontId="5" numFmtId="0" xfId="0">
      <alignment horizontal="center" vertical="center" wrapText="true"/>
    </xf>
    <xf applyAlignment="true" applyBorder="false" applyFill="true" applyFont="true" applyNumberFormat="false" applyProtection="false" borderId="3" fillId="4" fontId="5" numFmtId="0" xfId="0">
      <alignment horizontal="center" vertical="center" wrapText="true"/>
    </xf>
    <xf applyAlignment="true" applyBorder="false" applyFill="true" applyFont="true" applyNumberFormat="true" applyProtection="false" borderId="7" fillId="14" fontId="4" numFmtId="165" xfId="0">
      <alignment horizontal="center" vertical="center"/>
    </xf>
    <xf applyAlignment="true" applyBorder="false" applyFill="true" applyFont="true" applyNumberFormat="true" applyProtection="false" borderId="7" fillId="14" fontId="4" numFmtId="165" xfId="0">
      <alignment horizontal="center" vertical="center"/>
    </xf>
    <xf applyAlignment="true" applyBorder="false" applyFill="true" applyFont="true" applyNumberFormat="false" applyProtection="false" borderId="7" fillId="28" fontId="5" numFmtId="0" xfId="0">
      <alignment horizontal="center" vertical="center"/>
    </xf>
    <xf applyAlignment="true" applyBorder="false" applyFill="true" applyFont="true" applyNumberFormat="false" applyProtection="false" borderId="7" fillId="14" fontId="5" numFmtId="0" xfId="0">
      <alignment horizontal="center" vertical="center"/>
    </xf>
    <xf applyAlignment="true" applyBorder="false" applyFill="true" applyFont="true" applyNumberFormat="false" applyProtection="false" borderId="7" fillId="28" fontId="5" numFmtId="0" xfId="0">
      <alignment horizontal="center" vertical="center"/>
    </xf>
    <xf applyAlignment="true" applyBorder="false" applyFill="true" applyFont="true" applyNumberFormat="false" applyProtection="false" borderId="11" fillId="14" fontId="5" numFmtId="0" xfId="0">
      <alignment horizontal="center" vertical="center"/>
    </xf>
    <xf applyAlignment="true" applyBorder="false" applyFill="true" applyFont="true" applyNumberFormat="false" applyProtection="false" borderId="11" fillId="28" fontId="5" numFmtId="0" xfId="0">
      <alignment horizontal="center" vertical="center"/>
    </xf>
    <xf applyAlignment="true" applyBorder="false" applyFill="true" applyFont="true" applyNumberFormat="true" applyProtection="false" borderId="7" fillId="28" fontId="4" numFmtId="165" xfId="0">
      <alignment horizontal="center" vertical="center"/>
    </xf>
    <xf applyAlignment="true" applyBorder="false" applyFill="true" applyFont="true" applyNumberFormat="false" applyProtection="false" borderId="7" fillId="28" fontId="4" numFmtId="0" xfId="0">
      <alignment horizontal="center" vertical="center"/>
    </xf>
    <xf applyAlignment="true" applyBorder="false" applyFill="true" applyFont="true" applyNumberFormat="false" applyProtection="false" borderId="7" fillId="14" fontId="4" numFmtId="0" xfId="0">
      <alignment horizontal="center" vertical="center"/>
    </xf>
    <xf applyAlignment="true" applyBorder="false" applyFill="true" applyFont="true" applyNumberFormat="false" applyProtection="false" borderId="7" fillId="14" fontId="5" numFmtId="0" xfId="0">
      <alignment horizontal="center" vertical="center"/>
    </xf>
    <xf applyAlignment="true" applyBorder="false" applyFill="false" applyFont="true" applyNumberFormat="false" applyProtection="false" borderId="15" fillId="0" fontId="5" numFmtId="0" xfId="0">
      <alignment horizontal="center" vertical="center" wrapText="true"/>
    </xf>
    <xf applyAlignment="true" applyBorder="false" applyFill="false" applyFont="true" applyNumberFormat="false" applyProtection="false" borderId="2" fillId="0" fontId="5" numFmtId="0" xfId="0">
      <alignment horizontal="center" vertical="center" wrapText="true"/>
    </xf>
    <xf applyAlignment="true" applyBorder="false" applyFill="false" applyFont="true" applyNumberFormat="false" applyProtection="false" borderId="15" fillId="0" fontId="5" numFmtId="0" xfId="0">
      <alignment horizontal="center" vertical="center"/>
    </xf>
    <xf applyAlignment="true" applyBorder="false" applyFill="false" applyFont="true" applyNumberFormat="false" applyProtection="false" borderId="2" fillId="0" fontId="5" numFmtId="0" xfId="0">
      <alignment horizontal="center" vertical="center" wrapText="true"/>
    </xf>
    <xf applyAlignment="true" applyBorder="false" applyFill="true" applyFont="true" applyNumberFormat="false" applyProtection="false" borderId="2" fillId="14" fontId="5" numFmtId="0" xfId="0">
      <alignment horizontal="center" vertical="center" wrapText="true"/>
    </xf>
    <xf applyAlignment="true" applyBorder="false" applyFill="true" applyFont="true" applyNumberFormat="false" applyProtection="false" borderId="2" fillId="14" fontId="5" numFmtId="0" xfId="0">
      <alignment horizontal="center" vertical="center" wrapText="true"/>
    </xf>
    <xf applyAlignment="true" applyBorder="false" applyFill="true" applyFont="true" applyNumberFormat="false" applyProtection="false" borderId="3" fillId="14" fontId="5" numFmtId="0" xfId="0">
      <alignment horizontal="center" vertical="center" wrapText="true"/>
    </xf>
    <xf applyAlignment="true" applyBorder="false" applyFill="true" applyFont="true" applyNumberFormat="true" applyProtection="false" borderId="11" fillId="7" fontId="4" numFmtId="165" xfId="0">
      <alignment horizontal="center" vertical="center"/>
    </xf>
    <xf applyAlignment="true" applyBorder="false" applyFill="false" applyFont="true" applyNumberFormat="false" applyProtection="false" borderId="6" fillId="0" fontId="5" numFmtId="0" xfId="0">
      <alignment horizontal="center" vertical="center" wrapText="true"/>
    </xf>
    <xf applyAlignment="true" applyBorder="false" applyFill="false" applyFont="true" applyNumberFormat="false" applyProtection="false" borderId="16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6" fillId="14" fontId="3" numFmtId="164" xfId="0">
      <alignment horizontal="center" vertical="center" wrapText="true"/>
    </xf>
    <xf applyAlignment="true" applyBorder="false" applyFill="false" applyFont="true" applyNumberFormat="false" applyProtection="false" borderId="6" fillId="0" fontId="5" numFmtId="0" xfId="0">
      <alignment horizontal="center" vertical="center" wrapText="true"/>
    </xf>
    <xf applyAlignment="true" applyBorder="false" applyFill="true" applyFont="true" applyNumberFormat="true" applyProtection="false" borderId="7" fillId="29" fontId="3" numFmtId="164" xfId="0">
      <alignment horizontal="center" vertical="center" wrapText="true"/>
    </xf>
    <xf applyAlignment="true" applyBorder="false" applyFill="true" applyFont="true" applyNumberFormat="true" applyProtection="false" borderId="6" fillId="29" fontId="3" numFmtId="164" xfId="0">
      <alignment horizontal="center" vertical="center" wrapText="true"/>
    </xf>
    <xf applyAlignment="true" applyBorder="false" applyFill="true" applyFont="true" applyNumberFormat="true" applyProtection="false" borderId="7" fillId="29" fontId="7" numFmtId="164" xfId="0">
      <alignment horizontal="center" vertical="center" wrapText="true"/>
    </xf>
    <xf applyAlignment="true" applyBorder="false" applyFill="true" applyFont="true" applyNumberFormat="true" applyProtection="false" borderId="7" fillId="29" fontId="7" numFmtId="165" xfId="0">
      <alignment horizontal="center" vertical="center"/>
    </xf>
    <xf applyAlignment="true" applyBorder="false" applyFill="true" applyFont="true" applyNumberFormat="false" applyProtection="false" borderId="7" fillId="29" fontId="7" numFmtId="0" xfId="0">
      <alignment horizontal="center" vertical="center"/>
    </xf>
    <xf applyAlignment="true" applyBorder="false" applyFill="true" applyFont="true" applyNumberFormat="false" applyProtection="false" borderId="7" fillId="29" fontId="7" numFmtId="0" xfId="0">
      <alignment horizontal="center" vertical="center" wrapText="true"/>
    </xf>
    <xf applyAlignment="true" applyBorder="false" applyFill="true" applyFont="true" applyNumberFormat="false" applyProtection="false" borderId="6" fillId="29" fontId="7" numFmtId="0" xfId="0">
      <alignment horizontal="center" vertical="center"/>
    </xf>
    <xf applyAlignment="true" applyBorder="false" applyFill="true" applyFont="true" applyNumberFormat="true" applyProtection="false" borderId="7" fillId="28" fontId="4" numFmtId="165" xfId="0">
      <alignment horizontal="center" vertical="center"/>
    </xf>
    <xf applyAlignment="true" applyBorder="false" applyFill="true" applyFont="true" applyNumberFormat="true" applyProtection="false" borderId="7" fillId="30" fontId="4" numFmtId="165" xfId="0">
      <alignment horizontal="center" vertical="center"/>
    </xf>
    <xf applyAlignment="true" applyBorder="false" applyFill="true" applyFont="true" applyNumberFormat="true" applyProtection="false" borderId="7" fillId="30" fontId="4" numFmtId="165" xfId="0">
      <alignment horizontal="center" vertical="center"/>
    </xf>
    <xf applyAlignment="true" applyBorder="false" applyFill="true" applyFont="true" applyNumberFormat="false" applyProtection="false" borderId="5" fillId="30" fontId="5" numFmtId="0" xfId="0">
      <alignment horizontal="center" vertical="center"/>
    </xf>
    <xf applyAlignment="true" applyBorder="false" applyFill="true" applyFont="true" applyNumberFormat="false" applyProtection="false" borderId="7" fillId="30" fontId="5" numFmtId="0" xfId="0">
      <alignment horizontal="center" vertical="center"/>
    </xf>
    <xf applyAlignment="true" applyBorder="false" applyFill="true" applyFont="true" applyNumberFormat="false" applyProtection="false" borderId="7" fillId="30" fontId="5" numFmtId="0" xfId="0">
      <alignment horizontal="center" vertical="center"/>
    </xf>
    <xf applyAlignment="true" applyBorder="false" applyFill="true" applyFont="true" applyNumberFormat="false" applyProtection="false" borderId="5" fillId="28" fontId="5" numFmtId="0" xfId="0">
      <alignment horizontal="center" vertical="center"/>
    </xf>
    <xf applyAlignment="true" applyBorder="false" applyFill="true" applyFont="true" applyNumberFormat="false" applyProtection="false" borderId="7" fillId="28" fontId="5" numFmtId="0" xfId="0">
      <alignment horizontal="center" vertical="center" wrapText="true"/>
    </xf>
    <xf applyAlignment="true" applyBorder="false" applyFill="true" applyFont="true" applyNumberFormat="false" applyProtection="false" borderId="6" fillId="28" fontId="5" numFmtId="0" xfId="0">
      <alignment horizontal="center" vertical="center"/>
    </xf>
    <xf applyAlignment="true" applyBorder="false" applyFill="true" applyFont="true" applyNumberFormat="false" applyProtection="false" borderId="0" fillId="28" fontId="5" numFmtId="0" xfId="0">
      <alignment horizontal="center" vertical="center"/>
    </xf>
    <xf applyAlignment="true" applyBorder="false" applyFill="true" applyFont="true" applyNumberFormat="false" applyProtection="false" borderId="0" fillId="28" fontId="6" numFmtId="0" xfId="0">
      <alignment vertical="center"/>
    </xf>
    <xf applyAlignment="true" applyBorder="false" applyFill="true" applyFont="true" applyNumberFormat="false" applyProtection="false" borderId="5" fillId="4" fontId="5" numFmtId="0" xfId="0">
      <alignment horizontal="center" vertical="center"/>
    </xf>
    <xf applyAlignment="true" applyBorder="false" applyFill="true" applyFont="true" applyNumberFormat="false" applyProtection="false" borderId="6" fillId="4" fontId="5" numFmtId="0" xfId="0">
      <alignment horizontal="left" vertical="center" wrapText="true"/>
    </xf>
    <xf applyAlignment="true" applyBorder="false" applyFill="true" applyFont="true" applyNumberFormat="false" applyProtection="false" borderId="0" fillId="4" fontId="5" numFmtId="0" xfId="0">
      <alignment horizontal="left" vertical="center" wrapText="true"/>
    </xf>
    <xf applyAlignment="true" applyBorder="false" applyFill="true" applyFont="true" applyNumberFormat="true" applyProtection="false" borderId="1" fillId="4" fontId="4" numFmtId="165" xfId="0">
      <alignment horizontal="center" vertical="center"/>
    </xf>
    <xf applyAlignment="true" applyBorder="false" applyFill="true" applyFont="true" applyNumberFormat="true" applyProtection="false" borderId="7" fillId="31" fontId="3" numFmtId="164" xfId="0">
      <alignment horizontal="center" vertical="center" wrapText="true"/>
    </xf>
    <xf applyAlignment="true" applyBorder="false" applyFill="true" applyFont="true" applyNumberFormat="true" applyProtection="false" borderId="6" fillId="31" fontId="3" numFmtId="164" xfId="0">
      <alignment horizontal="center" vertical="center" wrapText="true"/>
    </xf>
    <xf applyAlignment="true" applyBorder="false" applyFill="true" applyFont="true" applyNumberFormat="true" applyProtection="false" borderId="7" fillId="31" fontId="7" numFmtId="164" xfId="0">
      <alignment horizontal="center" vertical="center" wrapText="true"/>
    </xf>
    <xf applyAlignment="true" applyBorder="false" applyFill="true" applyFont="true" applyNumberFormat="true" applyProtection="false" borderId="7" fillId="31" fontId="7" numFmtId="165" xfId="0">
      <alignment horizontal="center" vertical="center"/>
    </xf>
    <xf applyAlignment="true" applyBorder="false" applyFill="true" applyFont="true" applyNumberFormat="false" applyProtection="false" borderId="7" fillId="31" fontId="7" numFmtId="0" xfId="0">
      <alignment horizontal="center" vertical="center"/>
    </xf>
    <xf applyAlignment="true" applyBorder="false" applyFill="true" applyFont="true" applyNumberFormat="false" applyProtection="false" borderId="7" fillId="31" fontId="7" numFmtId="0" xfId="0">
      <alignment horizontal="center" vertical="center" wrapText="true"/>
    </xf>
    <xf applyAlignment="true" applyBorder="false" applyFill="true" applyFont="true" applyNumberFormat="false" applyProtection="false" borderId="6" fillId="31" fontId="7" numFmtId="0" xfId="0">
      <alignment horizontal="center" vertical="center"/>
    </xf>
    <xf applyAlignment="true" applyBorder="false" applyFill="true" applyFont="true" applyNumberFormat="false" applyProtection="false" borderId="0" fillId="4" fontId="7" numFmtId="0" xfId="0">
      <alignment horizontal="center" vertical="center"/>
    </xf>
    <xf applyAlignment="true" applyBorder="false" applyFill="true" applyFont="true" applyNumberFormat="false" applyProtection="false" borderId="7" fillId="14" fontId="5" numFmtId="0" xfId="0">
      <alignment horizontal="center" vertical="center"/>
    </xf>
    <xf applyAlignment="true" applyBorder="false" applyFill="true" applyFont="true" applyNumberFormat="false" applyProtection="false" borderId="7" fillId="14" fontId="5" numFmtId="0" xfId="0">
      <alignment horizontal="center" vertical="center" wrapText="true"/>
    </xf>
    <xf applyAlignment="true" applyBorder="false" applyFill="true" applyFont="true" applyNumberFormat="false" applyProtection="false" borderId="6" fillId="14" fontId="5" numFmtId="0" xfId="0">
      <alignment horizontal="center" vertical="center"/>
    </xf>
    <xf applyAlignment="true" applyBorder="false" applyFill="true" applyFont="true" applyNumberFormat="true" applyProtection="false" borderId="7" fillId="14" fontId="4" numFmtId="165" xfId="0">
      <alignment horizontal="center" vertical="center"/>
    </xf>
    <xf applyAlignment="true" applyBorder="false" applyFill="true" applyFont="true" applyNumberFormat="false" applyProtection="false" borderId="6" fillId="14" fontId="5" numFmtId="0" xfId="0">
      <alignment horizontal="center" vertical="center"/>
    </xf>
    <xf applyAlignment="true" applyBorder="false" applyFill="true" applyFont="true" applyNumberFormat="true" applyProtection="false" borderId="7" fillId="4" fontId="4" numFmtId="165" xfId="0">
      <alignment horizontal="center" vertical="center"/>
    </xf>
    <xf applyAlignment="true" applyBorder="false" applyFill="true" applyFont="true" applyNumberFormat="false" applyProtection="false" borderId="7" fillId="28" fontId="5" numFmtId="0" xfId="0">
      <alignment horizontal="center" vertical="center" wrapText="true"/>
    </xf>
    <xf applyAlignment="true" applyBorder="false" applyFill="true" applyFont="true" applyNumberFormat="false" applyProtection="false" borderId="6" fillId="28" fontId="5" numFmtId="0" xfId="0">
      <alignment horizontal="center" vertical="center"/>
    </xf>
    <xf applyAlignment="true" applyBorder="false" applyFill="true" applyFont="true" applyNumberFormat="true" applyProtection="false" borderId="7" fillId="32" fontId="9" numFmtId="164" xfId="0">
      <alignment horizontal="center" vertical="center" wrapText="true"/>
    </xf>
    <xf applyAlignment="true" applyBorder="false" applyFill="true" applyFont="true" applyNumberFormat="true" applyProtection="false" borderId="7" fillId="32" fontId="16" numFmtId="164" xfId="0">
      <alignment horizontal="center" vertical="center" wrapText="true"/>
    </xf>
    <xf applyAlignment="true" applyBorder="false" applyFill="true" applyFont="true" applyNumberFormat="true" applyProtection="false" borderId="6" fillId="32" fontId="16" numFmtId="164" xfId="0">
      <alignment horizontal="center" vertical="center" wrapText="true"/>
    </xf>
    <xf applyAlignment="true" applyBorder="false" applyFill="true" applyFont="true" applyNumberFormat="true" applyProtection="false" borderId="0" fillId="4" fontId="16" numFmtId="164" xfId="0">
      <alignment horizontal="center" vertical="center" wrapText="true"/>
    </xf>
    <xf applyAlignment="true" applyBorder="false" applyFill="true" applyFont="true" applyNumberFormat="true" applyProtection="false" borderId="0" fillId="4" fontId="16" numFmtId="164" xfId="0">
      <alignment horizontal="center" vertical="center" wrapText="true"/>
    </xf>
    <xf applyAlignment="true" applyBorder="false" applyFill="true" applyFont="true" applyNumberFormat="true" applyProtection="false" borderId="7" fillId="32" fontId="7" numFmtId="164" xfId="0">
      <alignment horizontal="center" vertical="center" wrapText="true"/>
    </xf>
    <xf applyAlignment="true" applyBorder="false" applyFill="true" applyFont="true" applyNumberFormat="true" applyProtection="false" borderId="7" fillId="32" fontId="7" numFmtId="165" xfId="0">
      <alignment horizontal="center" vertical="center"/>
    </xf>
    <xf applyAlignment="true" applyBorder="false" applyFill="true" applyFont="true" applyNumberFormat="false" applyProtection="false" borderId="7" fillId="32" fontId="7" numFmtId="0" xfId="0">
      <alignment horizontal="center" vertical="center"/>
    </xf>
    <xf applyAlignment="true" applyBorder="false" applyFill="true" applyFont="true" applyNumberFormat="false" applyProtection="false" borderId="7" fillId="32" fontId="7" numFmtId="0" xfId="0">
      <alignment horizontal="center" vertical="center" wrapText="true"/>
    </xf>
    <xf applyAlignment="true" applyBorder="false" applyFill="true" applyFont="true" applyNumberFormat="false" applyProtection="false" borderId="7" fillId="32" fontId="7" numFmtId="0" xfId="0">
      <alignment horizontal="center" vertical="center"/>
    </xf>
    <xf applyAlignment="true" applyBorder="false" applyFill="true" applyFont="true" applyNumberFormat="false" applyProtection="false" borderId="6" fillId="32" fontId="7" numFmtId="0" xfId="0">
      <alignment horizontal="center" vertical="center"/>
    </xf>
    <xf applyAlignment="true" applyBorder="false" applyFill="true" applyFont="true" applyNumberFormat="true" applyProtection="false" borderId="7" fillId="27" fontId="3" numFmtId="164" xfId="0">
      <alignment horizontal="center" vertical="center" wrapText="true"/>
    </xf>
    <xf applyAlignment="true" applyBorder="false" applyFill="true" applyFont="true" applyNumberFormat="true" applyProtection="false" borderId="7" fillId="27" fontId="16" numFmtId="164" xfId="0">
      <alignment horizontal="center" vertical="center" wrapText="true"/>
    </xf>
    <xf applyAlignment="true" applyBorder="false" applyFill="true" applyFont="true" applyNumberFormat="true" applyProtection="false" borderId="6" fillId="27" fontId="16" numFmtId="164" xfId="0">
      <alignment horizontal="center" vertical="center" wrapText="true"/>
    </xf>
    <xf applyAlignment="true" applyBorder="false" applyFill="true" applyFont="true" applyNumberFormat="true" applyProtection="false" borderId="7" fillId="33" fontId="7" numFmtId="164" xfId="0">
      <alignment horizontal="center" vertical="center" wrapText="true"/>
    </xf>
    <xf applyAlignment="true" applyBorder="false" applyFill="true" applyFont="true" applyNumberFormat="true" applyProtection="false" borderId="7" fillId="33" fontId="7" numFmtId="165" xfId="0">
      <alignment horizontal="center" vertical="center"/>
    </xf>
    <xf applyAlignment="true" applyBorder="false" applyFill="true" applyFont="true" applyNumberFormat="false" applyProtection="false" borderId="7" fillId="33" fontId="7" numFmtId="0" xfId="0">
      <alignment horizontal="center" vertical="center"/>
    </xf>
    <xf applyAlignment="true" applyBorder="false" applyFill="true" applyFont="true" applyNumberFormat="false" applyProtection="false" borderId="7" fillId="33" fontId="7" numFmtId="0" xfId="0">
      <alignment horizontal="center" vertical="center" wrapText="true"/>
    </xf>
    <xf applyAlignment="true" applyBorder="false" applyFill="true" applyFont="true" applyNumberFormat="false" applyProtection="false" borderId="6" fillId="33" fontId="7" numFmtId="0" xfId="0">
      <alignment horizontal="center" vertical="center"/>
    </xf>
    <xf applyAlignment="true" applyBorder="false" applyFill="true" applyFont="true" applyNumberFormat="true" applyProtection="false" borderId="7" fillId="13" fontId="4" numFmtId="165" xfId="0">
      <alignment horizontal="center" vertical="center"/>
    </xf>
    <xf applyAlignment="true" applyBorder="false" applyFill="true" applyFont="true" applyNumberFormat="true" applyProtection="false" borderId="7" fillId="13" fontId="4" numFmtId="165" xfId="0">
      <alignment horizontal="center" vertical="center"/>
    </xf>
    <xf applyAlignment="true" applyBorder="false" applyFill="true" applyFont="true" applyNumberFormat="false" applyProtection="false" borderId="7" fillId="13" fontId="5" numFmtId="0" xfId="0">
      <alignment horizontal="center" vertical="center"/>
    </xf>
    <xf applyAlignment="true" applyBorder="false" applyFill="true" applyFont="true" applyNumberFormat="false" applyProtection="false" borderId="7" fillId="13" fontId="5" numFmtId="0" xfId="0">
      <alignment horizontal="center" vertical="center"/>
    </xf>
    <xf applyAlignment="true" applyBorder="false" applyFill="true" applyFont="true" applyNumberFormat="false" applyProtection="false" borderId="7" fillId="16" fontId="5" numFmtId="0" xfId="0">
      <alignment horizontal="center" vertical="center"/>
    </xf>
    <xf applyAlignment="true" applyBorder="false" applyFill="true" applyFont="true" applyNumberFormat="false" applyProtection="false" borderId="7" fillId="13" fontId="5" numFmtId="0" xfId="0">
      <alignment horizontal="center" vertical="center" wrapText="true"/>
    </xf>
    <xf applyAlignment="true" applyBorder="false" applyFill="true" applyFont="true" applyNumberFormat="false" applyProtection="false" borderId="6" fillId="13" fontId="5" numFmtId="0" xfId="0">
      <alignment horizontal="center" vertical="center"/>
    </xf>
    <xf applyAlignment="true" applyBorder="false" applyFill="true" applyFont="true" applyNumberFormat="true" applyProtection="false" borderId="5" fillId="7" fontId="4" numFmtId="165" xfId="0">
      <alignment horizontal="center" vertical="center"/>
    </xf>
    <xf applyAlignment="true" applyBorder="false" applyFill="true" applyFont="true" applyNumberFormat="true" applyProtection="false" borderId="7" fillId="34" fontId="3" numFmtId="164" xfId="0">
      <alignment horizontal="center" vertical="center" wrapText="true"/>
    </xf>
    <xf applyAlignment="true" applyBorder="false" applyFill="true" applyFont="true" applyNumberFormat="true" applyProtection="false" borderId="1" fillId="34" fontId="3" numFmtId="164" xfId="0">
      <alignment horizontal="center" vertical="center" wrapText="true"/>
    </xf>
    <xf applyAlignment="true" applyBorder="false" applyFill="true" applyFont="true" applyNumberFormat="true" applyProtection="false" borderId="7" fillId="34" fontId="7" numFmtId="164" xfId="0">
      <alignment horizontal="center" vertical="center" wrapText="true"/>
    </xf>
    <xf applyAlignment="true" applyBorder="false" applyFill="true" applyFont="true" applyNumberFormat="true" applyProtection="false" borderId="7" fillId="34" fontId="7" numFmtId="165" xfId="0">
      <alignment horizontal="center" vertical="center"/>
    </xf>
    <xf applyAlignment="true" applyBorder="false" applyFill="true" applyFont="true" applyNumberFormat="false" applyProtection="false" borderId="1" fillId="34" fontId="7" numFmtId="0" xfId="0">
      <alignment horizontal="center" vertical="center"/>
    </xf>
    <xf applyAlignment="true" applyBorder="false" applyFill="true" applyFont="true" applyNumberFormat="false" applyProtection="false" borderId="7" fillId="34" fontId="7" numFmtId="0" xfId="0">
      <alignment horizontal="center" vertical="center"/>
    </xf>
    <xf applyAlignment="true" applyBorder="false" applyFill="true" applyFont="true" applyNumberFormat="false" applyProtection="false" borderId="7" fillId="34" fontId="7" numFmtId="0" xfId="0">
      <alignment horizontal="center" vertical="center" wrapText="true"/>
    </xf>
    <xf applyAlignment="true" applyBorder="false" applyFill="true" applyFont="true" applyNumberFormat="false" applyProtection="false" borderId="6" fillId="34" fontId="7" numFmtId="0" xfId="0">
      <alignment horizontal="center" vertical="center"/>
    </xf>
    <xf applyAlignment="true" applyBorder="false" applyFill="true" applyFont="true" applyNumberFormat="false" applyProtection="false" borderId="3" fillId="34" fontId="7" numFmtId="0" xfId="0">
      <alignment horizontal="center" vertical="center"/>
    </xf>
    <xf applyAlignment="true" applyBorder="false" applyFill="true" applyFont="true" applyNumberFormat="false" applyProtection="false" borderId="3" fillId="4" fontId="5" numFmtId="0" xfId="0">
      <alignment horizontal="center" vertical="center"/>
    </xf>
    <xf applyAlignment="true" applyBorder="false" applyFill="true" applyFont="true" applyNumberFormat="true" applyProtection="false" borderId="6" fillId="28" fontId="4" numFmtId="165" xfId="0">
      <alignment horizontal="center" vertical="center"/>
    </xf>
    <xf applyAlignment="true" applyBorder="false" applyFill="true" applyFont="true" applyNumberFormat="false" applyProtection="false" borderId="7" fillId="28" fontId="4" numFmtId="0" xfId="0">
      <alignment horizontal="center" vertical="center" wrapText="true"/>
    </xf>
    <xf applyAlignment="true" applyBorder="false" applyFill="true" applyFont="true" applyNumberFormat="false" applyProtection="false" borderId="6" fillId="28" fontId="4" numFmtId="0" xfId="0">
      <alignment horizontal="center" vertical="center"/>
    </xf>
    <xf applyAlignment="true" applyBorder="false" applyFill="true" applyFont="true" applyNumberFormat="false" applyProtection="false" borderId="0" fillId="28" fontId="4" numFmtId="0" xfId="0">
      <alignment horizontal="center" vertical="center"/>
    </xf>
    <xf applyAlignment="true" applyBorder="false" applyFill="true" applyFont="true" applyNumberFormat="false" applyProtection="false" borderId="7" fillId="14" fontId="4" numFmtId="0" xfId="0">
      <alignment horizontal="center" vertical="center" wrapText="true"/>
    </xf>
    <xf applyAlignment="true" applyBorder="false" applyFill="true" applyFont="true" applyNumberFormat="false" applyProtection="false" borderId="6" fillId="14" fontId="4" numFmtId="0" xfId="0">
      <alignment horizontal="center" vertical="center"/>
    </xf>
    <xf applyAlignment="true" applyBorder="false" applyFill="true" applyFont="true" applyNumberFormat="false" applyProtection="false" borderId="0" fillId="4" fontId="4" numFmtId="0" xfId="0">
      <alignment horizontal="center" vertical="center"/>
    </xf>
    <xf applyAlignment="true" applyBorder="false" applyFill="true" applyFont="true" applyNumberFormat="false" applyProtection="false" borderId="7" fillId="14" fontId="4" numFmtId="0" xfId="0">
      <alignment horizontal="center" vertical="center" wrapText="true"/>
    </xf>
    <xf applyAlignment="true" applyBorder="false" applyFill="true" applyFont="true" applyNumberFormat="false" applyProtection="false" borderId="5" fillId="7" fontId="5" numFmtId="0" xfId="0">
      <alignment horizontal="center" vertical="center"/>
    </xf>
    <xf applyAlignment="true" applyBorder="false" applyFill="true" applyFont="true" applyNumberFormat="true" applyProtection="false" borderId="7" fillId="35" fontId="16" numFmtId="164" xfId="0">
      <alignment horizontal="center" vertical="center" wrapText="true"/>
    </xf>
    <xf applyAlignment="true" applyBorder="false" applyFill="true" applyFont="true" applyNumberFormat="true" applyProtection="false" borderId="7" fillId="35" fontId="17" numFmtId="164" xfId="0">
      <alignment horizontal="center" vertical="center" wrapText="true"/>
    </xf>
    <xf applyAlignment="true" applyBorder="false" applyFill="true" applyFont="true" applyNumberFormat="true" applyProtection="false" borderId="7" fillId="35" fontId="17" numFmtId="165" xfId="0">
      <alignment horizontal="center" vertical="center"/>
    </xf>
    <xf applyAlignment="true" applyBorder="false" applyFill="true" applyFont="true" applyNumberFormat="false" applyProtection="false" borderId="1" fillId="35" fontId="17" numFmtId="0" xfId="0">
      <alignment horizontal="center" vertical="center"/>
    </xf>
    <xf applyAlignment="true" applyBorder="false" applyFill="true" applyFont="true" applyNumberFormat="false" applyProtection="false" borderId="7" fillId="35" fontId="17" numFmtId="0" xfId="0">
      <alignment horizontal="center" vertical="center"/>
    </xf>
    <xf applyAlignment="true" applyBorder="false" applyFill="true" applyFont="true" applyNumberFormat="false" applyProtection="false" borderId="7" fillId="35" fontId="17" numFmtId="0" xfId="0">
      <alignment horizontal="center" vertical="center" wrapText="true"/>
    </xf>
    <xf applyAlignment="true" applyBorder="false" applyFill="true" applyFont="true" applyNumberFormat="false" applyProtection="false" borderId="6" fillId="35" fontId="17" numFmtId="0" xfId="0">
      <alignment horizontal="center" vertical="center"/>
    </xf>
    <xf applyAlignment="true" applyBorder="false" applyFill="true" applyFont="true" applyNumberFormat="false" applyProtection="false" borderId="5" fillId="4" fontId="5" numFmtId="0" xfId="0">
      <alignment horizontal="center" vertical="center"/>
    </xf>
    <xf applyAlignment="true" applyBorder="false" applyFill="true" applyFont="true" applyNumberFormat="false" applyProtection="false" borderId="3" fillId="4" fontId="5" numFmtId="0" xfId="0">
      <alignment horizontal="center" vertical="center"/>
    </xf>
    <xf applyAlignment="true" applyBorder="false" applyFill="true" applyFont="true" applyNumberFormat="true" applyProtection="false" borderId="7" fillId="28" fontId="4" numFmtId="165" xfId="0">
      <alignment horizontal="center" vertical="center"/>
    </xf>
    <xf applyAlignment="true" applyBorder="false" applyFill="true" applyFont="true" applyNumberFormat="true" applyProtection="false" borderId="7" fillId="36" fontId="16" numFmtId="164" xfId="0">
      <alignment horizontal="center" vertical="center" wrapText="true"/>
    </xf>
    <xf applyAlignment="true" applyBorder="false" applyFill="true" applyFont="true" applyNumberFormat="true" applyProtection="false" borderId="6" fillId="36" fontId="16" numFmtId="164" xfId="0">
      <alignment horizontal="center" vertical="center" wrapText="true"/>
    </xf>
    <xf applyAlignment="true" applyBorder="false" applyFill="true" applyFont="true" applyNumberFormat="true" applyProtection="false" borderId="7" fillId="36" fontId="7" numFmtId="164" xfId="0">
      <alignment horizontal="center" vertical="center" wrapText="true"/>
    </xf>
    <xf applyAlignment="true" applyBorder="false" applyFill="true" applyFont="true" applyNumberFormat="true" applyProtection="false" borderId="7" fillId="36" fontId="7" numFmtId="165" xfId="0">
      <alignment horizontal="center" vertical="center"/>
    </xf>
    <xf applyAlignment="true" applyBorder="false" applyFill="true" applyFont="true" applyNumberFormat="false" applyProtection="false" borderId="7" fillId="36" fontId="7" numFmtId="0" xfId="0">
      <alignment horizontal="center" vertical="center"/>
    </xf>
    <xf applyAlignment="true" applyBorder="false" applyFill="true" applyFont="true" applyNumberFormat="false" applyProtection="false" borderId="7" fillId="36" fontId="7" numFmtId="0" xfId="0">
      <alignment horizontal="center" vertical="center" wrapText="true"/>
    </xf>
    <xf applyAlignment="true" applyBorder="false" applyFill="true" applyFont="true" applyNumberFormat="false" applyProtection="false" borderId="6" fillId="36" fontId="7" numFmtId="0" xfId="0">
      <alignment horizontal="center" vertical="center"/>
    </xf>
    <xf applyAlignment="true" applyBorder="false" applyFill="true" applyFont="true" applyNumberFormat="true" applyProtection="false" borderId="7" fillId="36" fontId="4" numFmtId="165" xfId="0">
      <alignment horizontal="center" vertical="center"/>
    </xf>
    <xf applyAlignment="true" applyBorder="false" applyFill="true" applyFont="true" applyNumberFormat="true" applyProtection="false" borderId="7" fillId="36" fontId="4" numFmtId="165" xfId="0">
      <alignment horizontal="center" vertical="center"/>
    </xf>
    <xf applyAlignment="true" applyBorder="false" applyFill="true" applyFont="true" applyNumberFormat="false" applyProtection="false" borderId="7" fillId="36" fontId="5" numFmtId="0" xfId="0">
      <alignment horizontal="center" vertical="center"/>
    </xf>
    <xf applyAlignment="true" applyBorder="false" applyFill="true" applyFont="true" applyNumberFormat="false" applyProtection="false" borderId="7" fillId="36" fontId="5" numFmtId="0" xfId="0">
      <alignment horizontal="center" vertical="center"/>
    </xf>
    <xf applyAlignment="true" applyBorder="false" applyFill="true" applyFont="true" applyNumberFormat="false" applyProtection="false" borderId="7" fillId="36" fontId="5" numFmtId="0" xfId="0">
      <alignment horizontal="center" vertical="center" wrapText="true"/>
    </xf>
    <xf applyAlignment="true" applyBorder="false" applyFill="true" applyFont="true" applyNumberFormat="false" applyProtection="false" borderId="5" fillId="36" fontId="5" numFmtId="0" xfId="0">
      <alignment horizontal="center" vertical="center"/>
    </xf>
    <xf applyAlignment="true" applyBorder="false" applyFill="true" applyFont="true" applyNumberFormat="false" applyProtection="false" borderId="6" fillId="36" fontId="5" numFmtId="0" xfId="0">
      <alignment horizontal="center" vertical="center"/>
    </xf>
    <xf applyAlignment="true" applyBorder="false" applyFill="true" applyFont="true" applyNumberFormat="false" applyProtection="false" borderId="7" fillId="2" fontId="18" numFmtId="0" xfId="0">
      <alignment horizontal="center" vertical="center"/>
    </xf>
    <xf applyAlignment="true" applyBorder="false" applyFill="true" applyFont="true" applyNumberFormat="false" applyProtection="false" borderId="6" fillId="36" fontId="5" numFmtId="0" xfId="0">
      <alignment horizontal="center" vertical="center"/>
    </xf>
    <xf applyAlignment="true" applyBorder="false" applyFill="true" applyFont="true" applyNumberFormat="true" applyProtection="false" borderId="7" fillId="25" fontId="16" numFmtId="164" xfId="0">
      <alignment horizontal="center" vertical="center" wrapText="true"/>
    </xf>
    <xf applyAlignment="true" applyBorder="false" applyFill="true" applyFont="true" applyNumberFormat="true" applyProtection="false" borderId="7" fillId="25" fontId="16" numFmtId="164" xfId="0">
      <alignment horizontal="center" vertical="center" wrapText="true"/>
    </xf>
    <xf applyAlignment="true" applyBorder="false" applyFill="true" applyFont="true" applyNumberFormat="true" applyProtection="false" borderId="6" fillId="25" fontId="16" numFmtId="164" xfId="0">
      <alignment horizontal="center" vertical="center" wrapText="true"/>
    </xf>
    <xf applyAlignment="true" applyBorder="false" applyFill="true" applyFont="true" applyNumberFormat="true" applyProtection="false" borderId="7" fillId="25" fontId="4" numFmtId="165" xfId="0">
      <alignment horizontal="center" vertical="center"/>
    </xf>
    <xf applyAlignment="true" applyBorder="false" applyFill="true" applyFont="true" applyNumberFormat="true" applyProtection="false" borderId="7" fillId="37" fontId="4" numFmtId="165" xfId="0">
      <alignment horizontal="center" vertical="center"/>
    </xf>
    <xf applyAlignment="true" applyBorder="false" applyFill="true" applyFont="true" applyNumberFormat="false" applyProtection="false" borderId="7" fillId="25" fontId="5" numFmtId="0" xfId="0">
      <alignment horizontal="center" vertical="center"/>
    </xf>
    <xf applyAlignment="true" applyBorder="false" applyFill="true" applyFont="true" applyNumberFormat="false" applyProtection="false" borderId="7" fillId="37" fontId="5" numFmtId="0" xfId="0">
      <alignment horizontal="center" vertical="center"/>
    </xf>
    <xf applyAlignment="true" applyBorder="false" applyFill="true" applyFont="true" applyNumberFormat="false" applyProtection="false" borderId="7" fillId="25" fontId="5" numFmtId="0" xfId="0">
      <alignment horizontal="center" vertical="center" wrapText="true"/>
    </xf>
    <xf applyAlignment="true" applyBorder="false" applyFill="true" applyFont="true" applyNumberFormat="false" applyProtection="false" borderId="7" fillId="25" fontId="5" numFmtId="0" xfId="0">
      <alignment horizontal="center" vertical="center"/>
    </xf>
    <xf applyAlignment="true" applyBorder="false" applyFill="true" applyFont="true" applyNumberFormat="false" applyProtection="false" borderId="6" fillId="25" fontId="5" numFmtId="0" xfId="0">
      <alignment horizontal="center" vertical="center"/>
    </xf>
    <xf applyAlignment="true" applyBorder="false" applyFill="true" applyFont="true" applyNumberFormat="true" applyProtection="false" borderId="7" fillId="25" fontId="4" numFmtId="165" xfId="0">
      <alignment horizontal="center" vertical="center"/>
    </xf>
    <xf applyAlignment="true" applyBorder="false" applyFill="true" applyFont="true" applyNumberFormat="true" applyProtection="false" borderId="7" fillId="37" fontId="4" numFmtId="165" xfId="0">
      <alignment horizontal="center" vertical="center"/>
    </xf>
    <xf applyAlignment="true" applyBorder="false" applyFill="true" applyFont="true" applyNumberFormat="false" applyProtection="false" borderId="7" fillId="37" fontId="5" numFmtId="0" xfId="0">
      <alignment horizontal="center" vertical="center"/>
    </xf>
    <xf applyAlignment="true" applyBorder="false" applyFill="true" applyFont="true" applyNumberFormat="true" applyProtection="false" borderId="7" fillId="4" fontId="7" numFmtId="164" xfId="0">
      <alignment horizontal="center" vertical="center" wrapText="true"/>
    </xf>
    <xf applyAlignment="true" applyBorder="false" applyFill="true" applyFont="true" applyNumberFormat="true" applyProtection="false" borderId="7" fillId="4" fontId="4" numFmtId="164" xfId="0">
      <alignment horizontal="center" vertical="center" wrapText="true"/>
    </xf>
    <xf applyAlignment="true" applyBorder="false" applyFill="true" applyFont="true" applyNumberFormat="true" applyProtection="false" borderId="17" fillId="38" fontId="1" numFmtId="168" xfId="0">
      <alignment horizontal="left" vertical="center" wrapText="true"/>
    </xf>
    <xf applyAlignment="true" applyBorder="false" applyFill="true" applyFont="true" applyNumberFormat="true" applyProtection="false" borderId="17" fillId="38" fontId="1" numFmtId="168" xfId="0">
      <alignment horizontal="left" vertical="center" wrapText="true"/>
    </xf>
    <xf applyAlignment="true" applyBorder="false" applyFill="true" applyFont="true" applyNumberFormat="true" applyProtection="false" borderId="17" fillId="38" fontId="1" numFmtId="168" xfId="0">
      <alignment horizontal="center" vertical="center" wrapText="true"/>
    </xf>
    <xf applyAlignment="true" applyBorder="false" applyFill="true" applyFont="true" applyNumberFormat="true" applyProtection="false" borderId="17" fillId="39" fontId="1" numFmtId="168" xfId="0">
      <alignment horizontal="right" vertical="center" wrapText="true"/>
    </xf>
    <xf applyAlignment="true" applyBorder="false" applyFill="true" applyFont="true" applyNumberFormat="true" applyProtection="false" borderId="18" fillId="38" fontId="1" numFmtId="168" xfId="0">
      <alignment horizontal="left" vertical="center" wrapText="true"/>
    </xf>
    <xf applyAlignment="true" applyBorder="false" applyFill="true" applyFont="true" applyNumberFormat="true" applyProtection="false" borderId="0" fillId="40" fontId="1" numFmtId="168" xfId="0">
      <alignment horizontal="left" vertical="center" wrapText="true"/>
    </xf>
    <xf applyAlignment="true" applyBorder="false" applyFill="true" applyFont="true" applyNumberFormat="true" applyProtection="false" borderId="0" fillId="41" fontId="2" numFmtId="168" xfId="0">
      <alignment horizontal="center" vertical="center"/>
    </xf>
    <xf applyAlignment="true" applyBorder="false" applyFill="true" applyFont="true" applyNumberFormat="true" applyProtection="false" borderId="0" fillId="41" fontId="2" numFmtId="168" xfId="0">
      <alignment horizontal="center" vertical="center"/>
    </xf>
    <xf applyAlignment="true" applyBorder="false" applyFill="true" applyFont="true" applyNumberFormat="true" applyProtection="false" borderId="0" fillId="40" fontId="2" numFmtId="168" xfId="0">
      <alignment horizontal="center" vertical="center"/>
    </xf>
    <xf applyAlignment="true" applyBorder="false" applyFill="true" applyFont="true" applyNumberFormat="true" applyProtection="false" borderId="17" fillId="42" fontId="3" numFmtId="168" xfId="0">
      <alignment horizontal="center" vertical="center" wrapText="true"/>
    </xf>
    <xf applyAlignment="true" applyBorder="false" applyFill="true" applyFont="true" applyNumberFormat="true" applyProtection="false" borderId="17" fillId="42" fontId="3" numFmtId="168" xfId="0">
      <alignment horizontal="center" vertical="center" wrapText="true"/>
    </xf>
    <xf applyAlignment="true" applyBorder="false" applyFill="true" applyFont="true" applyNumberFormat="true" applyProtection="false" borderId="0" fillId="40" fontId="3" numFmtId="168" xfId="0">
      <alignment horizontal="center" vertical="center" wrapText="true"/>
    </xf>
    <xf applyAlignment="true" applyBorder="false" applyFill="true" applyFont="true" applyNumberFormat="true" applyProtection="false" borderId="19" fillId="43" fontId="4" numFmtId="169" xfId="0">
      <alignment horizontal="center" vertical="center"/>
    </xf>
    <xf applyAlignment="true" applyBorder="false" applyFill="true" applyFont="true" applyNumberFormat="true" applyProtection="false" borderId="19" fillId="43" fontId="4" numFmtId="169" xfId="0">
      <alignment horizontal="center" vertical="center"/>
    </xf>
    <xf applyAlignment="true" applyBorder="false" applyFill="true" applyFont="true" applyNumberFormat="true" applyProtection="false" borderId="20" fillId="43" fontId="4" numFmtId="169" xfId="0">
      <alignment horizontal="center" vertical="center"/>
    </xf>
    <xf applyAlignment="true" applyBorder="false" applyFill="true" applyFont="true" applyNumberFormat="false" applyProtection="false" borderId="21" fillId="43" fontId="5" numFmtId="0" xfId="0">
      <alignment horizontal="center" vertical="center"/>
    </xf>
    <xf applyAlignment="true" applyBorder="false" applyFill="true" applyFont="true" applyNumberFormat="false" applyProtection="false" borderId="22" fillId="43" fontId="5" numFmtId="0" xfId="0">
      <alignment horizontal="center" vertical="center"/>
    </xf>
    <xf applyAlignment="true" applyBorder="false" applyFill="false" applyFont="true" applyNumberFormat="true" applyProtection="false" borderId="19" fillId="0" fontId="5" numFmtId="170" xfId="0">
      <alignment horizontal="center" vertical="center"/>
    </xf>
    <xf applyAlignment="true" applyBorder="false" applyFill="true" applyFont="true" applyNumberFormat="false" applyProtection="false" borderId="23" fillId="43" fontId="5" numFmtId="0" xfId="0">
      <alignment horizontal="center" vertical="center" wrapText="true"/>
    </xf>
    <xf applyAlignment="true" applyBorder="false" applyFill="false" applyFont="true" applyNumberFormat="false" applyProtection="false" borderId="21" fillId="0" fontId="5" numFmtId="0" xfId="0">
      <alignment horizontal="center" vertical="center"/>
    </xf>
    <xf applyAlignment="true" applyBorder="false" applyFill="true" applyFont="true" applyNumberFormat="false" applyProtection="false" borderId="22" fillId="43" fontId="5" numFmtId="0" xfId="0">
      <alignment horizontal="center" vertical="center"/>
    </xf>
    <xf applyAlignment="true" applyBorder="false" applyFill="true" applyFont="true" applyNumberFormat="false" applyProtection="false" borderId="0" fillId="40" fontId="5" numFmtId="0" xfId="0">
      <alignment horizontal="center" vertical="center"/>
    </xf>
    <xf applyAlignment="true" applyBorder="false" applyFill="true" applyFont="true" applyNumberFormat="true" applyProtection="false" borderId="20" fillId="43" fontId="4" numFmtId="169" xfId="0">
      <alignment horizontal="center" vertical="center"/>
    </xf>
    <xf applyAlignment="true" applyBorder="false" applyFill="true" applyFont="true" applyNumberFormat="true" applyProtection="false" borderId="24" fillId="43" fontId="4" numFmtId="169" xfId="0">
      <alignment horizontal="center" vertical="center"/>
    </xf>
    <xf applyAlignment="true" applyBorder="false" applyFill="true" applyFont="true" applyNumberFormat="true" applyProtection="false" borderId="21" fillId="43" fontId="4" numFmtId="169" xfId="0">
      <alignment horizontal="center" vertical="center"/>
    </xf>
    <xf applyAlignment="true" applyBorder="false" applyFill="true" applyFont="true" applyNumberFormat="true" applyProtection="false" borderId="23" fillId="43" fontId="4" numFmtId="169" xfId="0">
      <alignment horizontal="center" vertical="center"/>
    </xf>
    <xf applyAlignment="true" applyBorder="false" applyFill="true" applyFont="true" applyNumberFormat="true" applyProtection="false" borderId="18" fillId="42" fontId="3" numFmtId="168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true" applyProtection="false" borderId="25" fillId="43" fontId="4" numFmtId="169" xfId="0">
      <alignment horizontal="center" vertical="center"/>
    </xf>
    <xf applyAlignment="true" applyBorder="false" applyFill="true" applyFont="true" applyNumberFormat="false" applyProtection="false" borderId="19" fillId="43" fontId="5" numFmtId="0" xfId="0">
      <alignment horizontal="center" vertical="center"/>
    </xf>
    <xf applyAlignment="true" applyBorder="false" applyFill="true" applyFont="true" applyNumberFormat="false" applyProtection="false" borderId="26" fillId="43" fontId="5" numFmtId="0" xfId="0">
      <alignment horizontal="center" vertical="center"/>
    </xf>
    <xf applyAlignment="true" applyBorder="false" applyFill="true" applyFont="true" applyNumberFormat="false" applyProtection="false" borderId="19" fillId="40" fontId="5" numFmtId="0" xfId="0">
      <alignment horizontal="center" vertical="center"/>
    </xf>
    <xf applyAlignment="true" applyBorder="false" applyFill="true" applyFont="true" applyNumberFormat="false" applyProtection="false" borderId="19" fillId="43" fontId="5" numFmtId="0" xfId="0">
      <alignment horizontal="center" vertical="center" wrapText="true"/>
    </xf>
    <xf applyAlignment="true" applyBorder="false" applyFill="false" applyFont="true" applyNumberFormat="false" applyProtection="false" borderId="19" fillId="0" fontId="5" numFmtId="0" xfId="0">
      <alignment horizontal="center" vertical="center"/>
    </xf>
    <xf applyAlignment="true" applyBorder="false" applyFill="true" applyFont="true" applyNumberFormat="false" applyProtection="false" borderId="25" fillId="43" fontId="5" numFmtId="0" xfId="0">
      <alignment horizontal="center" vertical="center"/>
    </xf>
    <xf applyAlignment="true" applyBorder="false" applyFill="true" applyFont="true" applyNumberFormat="false" applyProtection="false" borderId="20" fillId="43" fontId="5" numFmtId="0" xfId="0">
      <alignment horizontal="center" vertical="center"/>
    </xf>
    <xf applyAlignment="true" applyBorder="false" applyFill="true" applyFont="true" applyNumberFormat="true" applyProtection="false" borderId="21" fillId="42" fontId="7" numFmtId="168" xfId="0">
      <alignment horizontal="center" vertical="center" wrapText="true"/>
    </xf>
    <xf applyAlignment="true" applyBorder="false" applyFill="true" applyFont="true" applyNumberFormat="true" applyProtection="false" borderId="21" fillId="42" fontId="7" numFmtId="169" xfId="0">
      <alignment horizontal="center" vertical="center"/>
    </xf>
    <xf applyAlignment="true" applyBorder="false" applyFill="true" applyFont="true" applyNumberFormat="false" applyProtection="false" borderId="21" fillId="42" fontId="7" numFmtId="0" xfId="0">
      <alignment horizontal="center" vertical="center"/>
    </xf>
    <xf applyAlignment="true" applyBorder="false" applyFill="true" applyFont="true" applyNumberFormat="false" applyProtection="false" borderId="22" fillId="42" fontId="7" numFmtId="0" xfId="0">
      <alignment horizontal="center" vertical="center"/>
    </xf>
    <xf applyAlignment="true" applyBorder="false" applyFill="true" applyFont="true" applyNumberFormat="false" applyProtection="false" borderId="23" fillId="42" fontId="7" numFmtId="0" xfId="0">
      <alignment horizontal="center" vertical="center" wrapText="true"/>
    </xf>
    <xf applyAlignment="true" applyBorder="false" applyFill="true" applyFont="true" applyNumberFormat="false" applyProtection="false" borderId="0" fillId="40" fontId="7" numFmtId="0" xfId="0">
      <alignment horizontal="center" vertical="center"/>
    </xf>
    <xf applyAlignment="true" applyBorder="false" applyFill="true" applyFont="true" applyNumberFormat="true" applyProtection="false" borderId="21" fillId="43" fontId="4" numFmtId="169" xfId="0">
      <alignment horizontal="center" vertical="center"/>
    </xf>
    <xf applyAlignment="true" applyBorder="false" applyFill="false" applyFont="true" applyNumberFormat="true" applyProtection="false" borderId="21" fillId="0" fontId="5" numFmtId="170" xfId="0">
      <alignment horizontal="center" vertical="center"/>
    </xf>
    <xf applyAlignment="true" applyBorder="false" applyFill="false" applyFont="true" applyNumberFormat="false" applyProtection="false" borderId="23" fillId="0" fontId="5" numFmtId="0" xfId="0">
      <alignment horizontal="center" vertical="center" wrapText="true"/>
    </xf>
    <xf applyAlignment="true" applyBorder="false" applyFill="false" applyFont="true" applyNumberFormat="false" applyProtection="false" borderId="22" fillId="0" fontId="5" numFmtId="0" xfId="0">
      <alignment horizontal="center" vertical="center"/>
    </xf>
    <xf applyAlignment="true" applyBorder="false" applyFill="false" applyFont="true" applyNumberFormat="false" applyProtection="false" borderId="21" fillId="0" fontId="5" numFmtId="0" xfId="0">
      <alignment horizontal="center" vertical="center"/>
    </xf>
    <xf applyAlignment="true" applyBorder="false" applyFill="true" applyFont="true" applyNumberFormat="false" applyProtection="false" borderId="21" fillId="43" fontId="5" numFmtId="0" xfId="0">
      <alignment horizontal="center" vertical="center"/>
    </xf>
    <xf applyAlignment="true" applyBorder="false" applyFill="false" applyFont="true" applyNumberFormat="false" applyProtection="false" borderId="23" fillId="0" fontId="5" numFmtId="0" xfId="0">
      <alignment horizontal="center" vertical="center" wrapText="true"/>
    </xf>
    <xf applyAlignment="true" applyBorder="false" applyFill="true" applyFont="true" applyNumberFormat="true" applyProtection="false" borderId="21" fillId="43" fontId="7" numFmtId="168" xfId="0">
      <alignment horizontal="center" vertical="center" wrapText="true"/>
    </xf>
    <xf applyAlignment="true" applyBorder="false" applyFill="false" applyFont="true" applyNumberFormat="false" applyProtection="false" borderId="21" fillId="0" fontId="5" numFmtId="0" xfId="0">
      <alignment horizontal="center" vertical="center"/>
    </xf>
    <xf applyAlignment="true" applyBorder="false" applyFill="true" applyFont="true" applyNumberFormat="true" applyProtection="false" borderId="21" fillId="43" fontId="5" numFmtId="170" xfId="0">
      <alignment horizontal="center" vertical="center"/>
    </xf>
    <xf applyAlignment="true" applyBorder="false" applyFill="true" applyFont="true" applyNumberFormat="false" applyProtection="false" borderId="21" fillId="43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21" fillId="44" fontId="3" numFmtId="168" xfId="0">
      <alignment horizontal="center" vertical="center" wrapText="true"/>
    </xf>
    <xf applyAlignment="true" applyBorder="false" applyFill="true" applyFont="true" applyNumberFormat="true" applyProtection="false" borderId="22" fillId="44" fontId="3" numFmtId="168" xfId="0">
      <alignment horizontal="center" vertical="center" wrapText="true"/>
    </xf>
    <xf applyAlignment="true" applyBorder="false" applyFill="true" applyFont="true" applyNumberFormat="true" applyProtection="false" borderId="0" fillId="40" fontId="3" numFmtId="168" xfId="0">
      <alignment horizontal="center" vertical="center" wrapText="true"/>
    </xf>
    <xf applyAlignment="true" applyBorder="false" applyFill="true" applyFont="true" applyNumberFormat="true" applyProtection="false" borderId="21" fillId="44" fontId="7" numFmtId="168" xfId="0">
      <alignment horizontal="center" vertical="center" wrapText="true"/>
    </xf>
    <xf applyAlignment="true" applyBorder="false" applyFill="true" applyFont="true" applyNumberFormat="true" applyProtection="false" borderId="21" fillId="44" fontId="7" numFmtId="169" xfId="0">
      <alignment horizontal="center" vertical="center"/>
    </xf>
    <xf applyAlignment="true" applyBorder="false" applyFill="true" applyFont="true" applyNumberFormat="false" applyProtection="false" borderId="21" fillId="44" fontId="7" numFmtId="0" xfId="0">
      <alignment horizontal="center" vertical="center"/>
    </xf>
    <xf applyAlignment="true" applyBorder="false" applyFill="true" applyFont="true" applyNumberFormat="false" applyProtection="false" borderId="21" fillId="44" fontId="7" numFmtId="0" xfId="0">
      <alignment horizontal="center" vertical="center" wrapText="true"/>
    </xf>
    <xf applyAlignment="true" applyBorder="false" applyFill="true" applyFont="true" applyNumberFormat="false" applyProtection="false" borderId="22" fillId="44" fontId="7" numFmtId="0" xfId="0">
      <alignment horizontal="center" vertical="center"/>
    </xf>
    <xf applyAlignment="true" applyBorder="false" applyFill="true" applyFont="true" applyNumberFormat="false" applyProtection="false" borderId="21" fillId="43" fontId="5" numFmtId="0" xfId="0">
      <alignment horizontal="center" vertical="center" wrapText="true"/>
    </xf>
    <xf applyAlignment="true" applyBorder="false" applyFill="true" applyFont="true" applyNumberFormat="false" applyProtection="false" borderId="17" fillId="43" fontId="5" numFmtId="0" xfId="0">
      <alignment horizontal="center" vertical="center"/>
    </xf>
    <xf applyAlignment="true" applyBorder="false" applyFill="true" applyFont="true" applyNumberFormat="false" applyProtection="false" borderId="17" fillId="40" fontId="5" numFmtId="0" xfId="0">
      <alignment horizontal="center" vertical="center"/>
    </xf>
    <xf applyAlignment="true" applyBorder="false" applyFill="true" applyFont="true" applyNumberFormat="true" applyProtection="false" borderId="21" fillId="45" fontId="4" numFmtId="169" xfId="0">
      <alignment horizontal="center" vertical="center"/>
    </xf>
    <xf applyAlignment="true" applyBorder="false" applyFill="true" applyFont="true" applyNumberFormat="true" applyProtection="false" borderId="21" fillId="45" fontId="4" numFmtId="169" xfId="0">
      <alignment horizontal="center" vertical="center"/>
    </xf>
    <xf applyAlignment="true" applyBorder="false" applyFill="true" applyFont="true" applyNumberFormat="false" applyProtection="false" borderId="21" fillId="45" fontId="5" numFmtId="0" xfId="0">
      <alignment horizontal="center" vertical="center"/>
    </xf>
    <xf applyAlignment="true" applyBorder="false" applyFill="true" applyFont="true" applyNumberFormat="false" applyProtection="false" borderId="21" fillId="45" fontId="5" numFmtId="0" xfId="0">
      <alignment horizontal="center" vertical="center"/>
    </xf>
    <xf applyAlignment="true" applyBorder="false" applyFill="true" applyFont="true" applyNumberFormat="false" applyProtection="false" borderId="21" fillId="45" fontId="5" numFmtId="0" xfId="0">
      <alignment horizontal="center" vertical="center" wrapText="true"/>
    </xf>
    <xf applyAlignment="true" applyBorder="false" applyFill="true" applyFont="true" applyNumberFormat="false" applyProtection="false" borderId="17" fillId="45" fontId="5" numFmtId="0" xfId="0">
      <alignment horizontal="center" vertical="center"/>
    </xf>
    <xf applyAlignment="true" applyBorder="false" applyFill="true" applyFont="true" applyNumberFormat="false" applyProtection="false" borderId="22" fillId="45" fontId="5" numFmtId="0" xfId="0">
      <alignment horizontal="center" vertical="center"/>
    </xf>
    <xf applyAlignment="true" applyBorder="false" applyFill="true" applyFont="true" applyNumberFormat="false" applyProtection="false" borderId="21" fillId="45" fontId="5" numFmtId="0" xfId="0">
      <alignment horizontal="center" vertical="center" wrapText="true"/>
    </xf>
    <xf applyAlignment="true" applyBorder="false" applyFill="true" applyFont="true" applyNumberFormat="false" applyProtection="false" borderId="0" fillId="40" fontId="6" numFmtId="0" xfId="0">
      <alignment vertical="center"/>
    </xf>
    <xf applyAlignment="true" applyBorder="false" applyFill="true" applyFont="true" applyNumberFormat="true" applyProtection="false" borderId="21" fillId="46" fontId="4" numFmtId="169" xfId="0">
      <alignment horizontal="center" vertical="center"/>
    </xf>
    <xf applyAlignment="true" applyBorder="false" applyFill="true" applyFont="true" applyNumberFormat="true" applyProtection="false" borderId="21" fillId="46" fontId="4" numFmtId="169" xfId="0">
      <alignment horizontal="center" vertical="center"/>
    </xf>
    <xf applyAlignment="true" applyBorder="false" applyFill="true" applyFont="true" applyNumberFormat="false" applyProtection="false" borderId="21" fillId="46" fontId="5" numFmtId="0" xfId="0">
      <alignment horizontal="center" vertical="center"/>
    </xf>
    <xf applyAlignment="true" applyBorder="false" applyFill="true" applyFont="true" applyNumberFormat="false" applyProtection="false" borderId="21" fillId="46" fontId="5" numFmtId="0" xfId="0">
      <alignment horizontal="center" vertical="center"/>
    </xf>
    <xf applyAlignment="true" applyBorder="false" applyFill="true" applyFont="true" applyNumberFormat="false" applyProtection="false" borderId="19" fillId="47" fontId="9" numFmtId="0" xfId="0">
      <alignment horizontal="center" vertical="center"/>
    </xf>
    <xf applyAlignment="true" applyBorder="false" applyFill="true" applyFont="true" applyNumberFormat="true" applyProtection="false" borderId="19" fillId="47" fontId="3" numFmtId="168" xfId="0">
      <alignment horizontal="center" vertical="center" wrapText="true"/>
    </xf>
    <xf applyAlignment="true" applyBorder="false" applyFill="true" applyFont="true" applyNumberFormat="true" applyProtection="false" borderId="25" fillId="47" fontId="3" numFmtId="168" xfId="0">
      <alignment horizontal="center" vertical="center" wrapText="true"/>
    </xf>
    <xf applyAlignment="true" applyBorder="false" applyFill="true" applyFont="true" applyNumberFormat="false" applyProtection="false" borderId="19" fillId="47" fontId="7" numFmtId="0" xfId="0">
      <alignment horizontal="center" vertical="center"/>
    </xf>
    <xf applyAlignment="true" applyBorder="false" applyFill="true" applyFont="true" applyNumberFormat="true" applyProtection="false" borderId="19" fillId="47" fontId="7" numFmtId="169" xfId="0">
      <alignment horizontal="center" vertical="center"/>
    </xf>
    <xf applyAlignment="true" applyBorder="false" applyFill="true" applyFont="true" applyNumberFormat="false" applyProtection="false" borderId="19" fillId="47" fontId="7" numFmtId="0" xfId="0">
      <alignment horizontal="center" vertical="center"/>
    </xf>
    <xf applyAlignment="true" applyBorder="false" applyFill="true" applyFont="true" applyNumberFormat="false" applyProtection="false" borderId="19" fillId="47" fontId="7" numFmtId="0" xfId="0">
      <alignment horizontal="center" vertical="center" wrapText="true"/>
    </xf>
    <xf applyAlignment="true" applyBorder="false" applyFill="true" applyFont="true" applyNumberFormat="false" applyProtection="false" borderId="25" fillId="47" fontId="7" numFmtId="0" xfId="0">
      <alignment horizontal="center" vertical="center"/>
    </xf>
    <xf applyAlignment="true" applyBorder="false" applyFill="true" applyFont="true" applyNumberFormat="true" applyProtection="false" borderId="21" fillId="48" fontId="4" numFmtId="169" xfId="0">
      <alignment horizontal="center" vertical="center"/>
    </xf>
    <xf applyAlignment="true" applyBorder="false" applyFill="true" applyFont="true" applyNumberFormat="true" applyProtection="false" borderId="19" fillId="48" fontId="4" numFmtId="169" xfId="0">
      <alignment horizontal="center" vertical="center"/>
    </xf>
    <xf applyAlignment="true" applyBorder="false" applyFill="true" applyFont="true" applyNumberFormat="true" applyProtection="false" borderId="19" fillId="48" fontId="4" numFmtId="169" xfId="0">
      <alignment horizontal="center" vertical="center"/>
    </xf>
    <xf applyAlignment="true" applyBorder="false" applyFill="true" applyFont="true" applyNumberFormat="true" applyProtection="false" borderId="19" fillId="48" fontId="5" numFmtId="171" xfId="0">
      <alignment horizontal="center" vertical="center"/>
    </xf>
    <xf applyAlignment="true" applyBorder="false" applyFill="true" applyFont="true" applyNumberFormat="false" applyProtection="false" borderId="19" fillId="48" fontId="5" numFmtId="0" xfId="0">
      <alignment horizontal="center" vertical="center"/>
    </xf>
    <xf applyAlignment="true" applyBorder="false" applyFill="true" applyFont="true" applyNumberFormat="false" applyProtection="false" borderId="19" fillId="48" fontId="5" numFmtId="0" xfId="0">
      <alignment horizontal="center" vertical="center" wrapText="true"/>
    </xf>
    <xf applyAlignment="true" applyBorder="false" applyFill="true" applyFont="true" applyNumberFormat="false" applyProtection="false" borderId="25" fillId="48" fontId="5" numFmtId="0" xfId="0">
      <alignment horizontal="center" vertical="center"/>
    </xf>
    <xf applyAlignment="true" applyBorder="false" applyFill="true" applyFont="true" applyNumberFormat="true" applyProtection="false" borderId="19" fillId="48" fontId="5" numFmtId="170" xfId="0">
      <alignment horizontal="center" vertical="center"/>
    </xf>
    <xf applyAlignment="true" applyBorder="false" applyFill="true" applyFont="true" applyNumberFormat="false" applyProtection="false" borderId="21" fillId="48" fontId="5" numFmtId="0" xfId="0">
      <alignment horizontal="center" vertical="center"/>
    </xf>
    <xf applyAlignment="true" applyBorder="false" applyFill="true" applyFont="true" applyNumberFormat="true" applyProtection="false" borderId="21" fillId="40" fontId="4" numFmtId="169" xfId="0">
      <alignment horizontal="center" vertical="center"/>
    </xf>
    <xf applyAlignment="true" applyBorder="false" applyFill="true" applyFont="true" applyNumberFormat="true" applyProtection="false" borderId="19" fillId="40" fontId="4" numFmtId="169" xfId="0">
      <alignment horizontal="center" vertical="center"/>
    </xf>
    <xf applyAlignment="true" applyBorder="false" applyFill="true" applyFont="true" applyNumberFormat="true" applyProtection="false" borderId="19" fillId="40" fontId="4" numFmtId="169" xfId="0">
      <alignment horizontal="center" vertical="center"/>
    </xf>
    <xf applyAlignment="true" applyBorder="false" applyFill="true" applyFont="true" applyNumberFormat="true" applyProtection="false" borderId="19" fillId="40" fontId="5" numFmtId="171" xfId="0">
      <alignment horizontal="center" vertical="center"/>
    </xf>
    <xf applyAlignment="true" applyBorder="false" applyFill="true" applyFont="true" applyNumberFormat="false" applyProtection="false" borderId="19" fillId="40" fontId="5" numFmtId="0" xfId="0">
      <alignment horizontal="center" vertical="center" wrapText="true"/>
    </xf>
    <xf applyAlignment="true" applyBorder="false" applyFill="true" applyFont="true" applyNumberFormat="false" applyProtection="false" borderId="25" fillId="40" fontId="5" numFmtId="0" xfId="0">
      <alignment horizontal="center" vertical="center"/>
    </xf>
    <xf applyAlignment="true" applyBorder="false" applyFill="true" applyFont="true" applyNumberFormat="false" applyProtection="false" borderId="19" fillId="40" fontId="5" numFmtId="0" xfId="0">
      <alignment horizontal="center" vertical="center"/>
    </xf>
    <xf applyAlignment="true" applyBorder="false" applyFill="true" applyFont="true" applyNumberFormat="false" applyProtection="false" borderId="19" fillId="49" fontId="9" numFmtId="0" xfId="0">
      <alignment horizontal="center" vertical="center"/>
    </xf>
    <xf applyAlignment="true" applyBorder="false" applyFill="true" applyFont="true" applyNumberFormat="true" applyProtection="false" borderId="19" fillId="49" fontId="3" numFmtId="168" xfId="0">
      <alignment horizontal="center" vertical="center" wrapText="true"/>
    </xf>
    <xf applyAlignment="true" applyBorder="false" applyFill="true" applyFont="true" applyNumberFormat="true" applyProtection="false" borderId="25" fillId="49" fontId="3" numFmtId="168" xfId="0">
      <alignment horizontal="center" vertical="center" wrapText="true"/>
    </xf>
    <xf applyAlignment="true" applyBorder="false" applyFill="true" applyFont="true" applyNumberFormat="false" applyProtection="false" borderId="19" fillId="49" fontId="7" numFmtId="0" xfId="0">
      <alignment horizontal="center" vertical="center"/>
    </xf>
    <xf applyAlignment="true" applyBorder="false" applyFill="true" applyFont="true" applyNumberFormat="true" applyProtection="false" borderId="19" fillId="49" fontId="7" numFmtId="169" xfId="0">
      <alignment horizontal="center" vertical="center"/>
    </xf>
    <xf applyAlignment="true" applyBorder="false" applyFill="true" applyFont="true" applyNumberFormat="false" applyProtection="false" borderId="19" fillId="49" fontId="7" numFmtId="0" xfId="0">
      <alignment horizontal="center" vertical="center"/>
    </xf>
    <xf applyAlignment="true" applyBorder="false" applyFill="true" applyFont="true" applyNumberFormat="false" applyProtection="false" borderId="19" fillId="49" fontId="7" numFmtId="0" xfId="0">
      <alignment horizontal="center" vertical="center" wrapText="true"/>
    </xf>
    <xf applyAlignment="true" applyBorder="false" applyFill="true" applyFont="true" applyNumberFormat="false" applyProtection="false" borderId="27" fillId="49" fontId="7" numFmtId="0" xfId="0">
      <alignment horizontal="center" vertical="center"/>
    </xf>
    <xf applyAlignment="true" applyBorder="false" applyFill="true" applyFont="true" applyNumberFormat="false" applyProtection="false" borderId="0" fillId="40" fontId="7" numFmtId="0" xfId="0">
      <alignment horizontal="center" vertical="center"/>
    </xf>
    <xf applyAlignment="true" applyBorder="false" applyFill="true" applyFont="true" applyNumberFormat="true" applyProtection="false" borderId="19" fillId="43" fontId="5" numFmtId="171" xfId="0">
      <alignment horizontal="center" vertical="center"/>
    </xf>
    <xf applyAlignment="true" applyBorder="false" applyFill="true" applyFont="true" applyNumberFormat="false" applyProtection="false" borderId="19" fillId="43" fontId="5" numFmtId="0" xfId="0">
      <alignment horizontal="center" vertical="center"/>
    </xf>
    <xf applyAlignment="true" applyBorder="false" applyFill="true" applyFont="true" applyNumberFormat="false" applyProtection="false" borderId="25" fillId="43" fontId="5" numFmtId="0" xfId="0">
      <alignment horizontal="center" vertical="center"/>
    </xf>
    <xf applyAlignment="true" applyBorder="false" applyFill="true" applyFont="true" applyNumberFormat="true" applyProtection="false" borderId="17" fillId="50" fontId="3" numFmtId="168" xfId="0">
      <alignment horizontal="center" vertical="center" wrapText="true"/>
    </xf>
    <xf applyAlignment="true" applyBorder="false" applyFill="true" applyFont="true" applyNumberFormat="true" applyProtection="false" borderId="18" fillId="50" fontId="3" numFmtId="168" xfId="0">
      <alignment horizontal="center" vertical="center" wrapText="true"/>
    </xf>
    <xf applyAlignment="true" applyBorder="false" applyFill="true" applyFont="true" applyNumberFormat="true" applyProtection="false" borderId="18" fillId="50" fontId="7" numFmtId="168" xfId="0">
      <alignment horizontal="center" vertical="center" wrapText="true"/>
    </xf>
    <xf applyAlignment="true" applyBorder="false" applyFill="true" applyFont="true" applyNumberFormat="true" applyProtection="false" borderId="21" fillId="50" fontId="7" numFmtId="169" xfId="0">
      <alignment horizontal="center" vertical="center"/>
    </xf>
    <xf applyAlignment="true" applyBorder="false" applyFill="true" applyFont="true" applyNumberFormat="false" applyProtection="false" borderId="28" fillId="50" fontId="7" numFmtId="0" xfId="0">
      <alignment horizontal="center" vertical="center"/>
    </xf>
    <xf applyAlignment="true" applyBorder="false" applyFill="true" applyFont="true" applyNumberFormat="false" applyProtection="false" borderId="17" fillId="50" fontId="7" numFmtId="0" xfId="0">
      <alignment horizontal="center" vertical="center"/>
    </xf>
    <xf applyAlignment="true" applyBorder="false" applyFill="true" applyFont="true" applyNumberFormat="false" applyProtection="false" borderId="17" fillId="50" fontId="7" numFmtId="0" xfId="0">
      <alignment horizontal="center" vertical="center" wrapText="true"/>
    </xf>
    <xf applyAlignment="true" applyBorder="false" applyFill="true" applyFont="true" applyNumberFormat="false" applyProtection="false" borderId="18" fillId="50" fontId="7" numFmtId="0" xfId="0">
      <alignment horizontal="center" vertical="center"/>
    </xf>
    <xf applyAlignment="true" applyBorder="false" applyFill="true" applyFont="true" applyNumberFormat="false" applyProtection="false" borderId="22" fillId="50" fontId="7" numFmtId="0" xfId="0">
      <alignment horizontal="center" vertical="center"/>
    </xf>
    <xf applyAlignment="true" applyBorder="false" applyFill="false" applyFont="true" applyNumberFormat="false" applyProtection="false" borderId="21" fillId="0" fontId="5" numFmtId="0" xfId="0">
      <alignment horizontal="center" vertical="center" wrapText="true"/>
    </xf>
    <xf applyAlignment="true" applyBorder="false" applyFill="false" applyFont="true" applyNumberFormat="false" applyProtection="false" borderId="29" fillId="0" fontId="5" numFmtId="0" xfId="0">
      <alignment horizontal="center" vertical="center"/>
    </xf>
    <xf applyAlignment="true" applyBorder="false" applyFill="false" applyFont="true" applyNumberFormat="false" applyProtection="false" borderId="30" fillId="0" fontId="5" numFmtId="0" xfId="0">
      <alignment horizontal="center" vertical="center"/>
    </xf>
    <xf applyAlignment="true" applyBorder="false" applyFill="false" applyFont="true" applyNumberFormat="false" applyProtection="false" borderId="21" fillId="0" fontId="5" numFmtId="0" xfId="0">
      <alignment horizontal="center" vertical="center" wrapText="true"/>
    </xf>
    <xf applyAlignment="true" applyBorder="false" applyFill="true" applyFont="true" applyNumberFormat="false" applyProtection="false" borderId="31" fillId="51" fontId="5" numFmtId="0" xfId="0">
      <alignment horizontal="center" vertical="center"/>
    </xf>
    <xf applyAlignment="true" applyBorder="false" applyFill="false" applyFont="true" applyNumberFormat="false" applyProtection="false" borderId="32" fillId="0" fontId="5" numFmtId="0" xfId="0">
      <alignment horizontal="center" vertical="center"/>
    </xf>
    <xf applyAlignment="true" applyBorder="false" applyFill="true" applyFont="true" applyNumberFormat="false" applyProtection="false" borderId="21" fillId="51" fontId="5" numFmtId="0" xfId="0">
      <alignment horizontal="center" vertical="center"/>
    </xf>
    <xf applyAlignment="true" applyBorder="false" applyFill="false" applyFont="true" applyNumberFormat="false" applyProtection="false" borderId="31" fillId="0" fontId="5" numFmtId="0" xfId="0">
      <alignment horizontal="center" vertical="center"/>
    </xf>
    <xf applyAlignment="true" applyBorder="false" applyFill="false" applyFont="true" applyNumberFormat="false" applyProtection="false" borderId="29" fillId="0" fontId="5" numFmtId="0" xfId="0">
      <alignment horizontal="center" vertical="center"/>
    </xf>
    <xf applyAlignment="true" applyBorder="false" applyFill="true" applyFont="true" applyNumberFormat="false" applyProtection="false" borderId="0" fillId="40" fontId="5" numFmtId="0" xfId="0">
      <alignment horizontal="center" vertical="center"/>
    </xf>
    <xf applyAlignment="true" applyBorder="false" applyFill="true" applyFont="true" applyNumberFormat="false" applyProtection="false" borderId="21" fillId="40" fontId="5" numFmtId="0" xfId="0">
      <alignment horizontal="center" vertical="center"/>
    </xf>
    <xf applyAlignment="true" applyBorder="false" applyFill="true" applyFont="true" applyNumberFormat="true" applyProtection="false" borderId="21" fillId="43" fontId="5" numFmtId="170" xfId="0">
      <alignment horizontal="center" vertical="center"/>
    </xf>
    <xf applyAlignment="true" applyBorder="false" applyFill="true" applyFont="true" applyNumberFormat="false" applyProtection="false" borderId="21" fillId="40" fontId="5" numFmtId="0" xfId="0">
      <alignment horizontal="center" vertical="center" wrapText="true"/>
    </xf>
    <xf applyAlignment="true" applyBorder="false" applyFill="true" applyFont="true" applyNumberFormat="false" applyProtection="false" borderId="29" fillId="40" fontId="5" numFmtId="0" xfId="0">
      <alignment horizontal="center" vertical="center"/>
    </xf>
    <xf applyAlignment="true" applyBorder="false" applyFill="false" applyFont="true" applyNumberFormat="true" applyProtection="false" borderId="21" fillId="0" fontId="5" numFmtId="169" xfId="0">
      <alignment horizontal="center" vertical="center"/>
    </xf>
    <xf applyAlignment="true" applyBorder="false" applyFill="true" applyFont="true" applyNumberFormat="false" applyProtection="false" borderId="21" fillId="43" fontId="8" numFmtId="0" xfId="0">
      <alignment horizontal="center" vertical="center" wrapText="true"/>
    </xf>
    <xf applyAlignment="true" applyBorder="false" applyFill="false" applyFont="true" applyNumberFormat="false" applyProtection="false" borderId="22" fillId="0" fontId="8" numFmtId="0" xfId="0">
      <alignment vertical="center"/>
    </xf>
    <xf applyAlignment="true" applyBorder="false" applyFill="true" applyFont="true" applyNumberFormat="false" applyProtection="false" borderId="0" fillId="40" fontId="8" numFmtId="0" xfId="0">
      <alignment vertical="center"/>
    </xf>
    <xf applyAlignment="true" applyBorder="false" applyFill="true" applyFont="true" applyNumberFormat="true" applyProtection="false" borderId="21" fillId="52" fontId="3" numFmtId="168" xfId="0">
      <alignment horizontal="center" vertical="center" wrapText="true"/>
    </xf>
    <xf applyAlignment="true" applyBorder="false" applyFill="true" applyFont="true" applyNumberFormat="true" applyProtection="false" borderId="21" fillId="52" fontId="3" numFmtId="168" xfId="0">
      <alignment horizontal="center" vertical="center" wrapText="true"/>
    </xf>
    <xf applyAlignment="true" applyBorder="false" applyFill="true" applyFont="true" applyNumberFormat="true" applyProtection="false" borderId="21" fillId="52" fontId="10" numFmtId="168" xfId="0">
      <alignment horizontal="center" vertical="center" wrapText="true"/>
    </xf>
    <xf applyAlignment="true" applyBorder="false" applyFill="true" applyFont="true" applyNumberFormat="true" applyProtection="false" borderId="22" fillId="52" fontId="10" numFmtId="168" xfId="0">
      <alignment horizontal="center" vertical="center" wrapText="true"/>
    </xf>
    <xf applyAlignment="true" applyBorder="false" applyFill="true" applyFont="true" applyNumberFormat="true" applyProtection="false" borderId="0" fillId="40" fontId="10" numFmtId="168" xfId="0">
      <alignment horizontal="center" vertical="center" wrapText="true"/>
    </xf>
    <xf applyAlignment="true" applyBorder="false" applyFill="true" applyFont="true" applyNumberFormat="true" applyProtection="false" borderId="17" fillId="52" fontId="7" numFmtId="168" xfId="0">
      <alignment horizontal="center" vertical="center" wrapText="true"/>
    </xf>
    <xf applyAlignment="true" applyBorder="false" applyFill="true" applyFont="true" applyNumberFormat="true" applyProtection="false" borderId="17" fillId="52" fontId="7" numFmtId="169" xfId="0">
      <alignment horizontal="center" vertical="center"/>
    </xf>
    <xf applyAlignment="true" applyBorder="false" applyFill="true" applyFont="true" applyNumberFormat="false" applyProtection="false" borderId="17" fillId="52" fontId="7" numFmtId="0" xfId="0">
      <alignment horizontal="center" vertical="center"/>
    </xf>
    <xf applyAlignment="true" applyBorder="false" applyFill="true" applyFont="true" applyNumberFormat="false" applyProtection="false" borderId="17" fillId="52" fontId="7" numFmtId="0" xfId="0">
      <alignment horizontal="center" vertical="center" wrapText="true"/>
    </xf>
    <xf applyAlignment="true" applyBorder="false" applyFill="true" applyFont="true" applyNumberFormat="false" applyProtection="false" borderId="18" fillId="52" fontId="7" numFmtId="0" xfId="0">
      <alignment horizontal="center" vertical="center"/>
    </xf>
    <xf applyAlignment="true" applyBorder="false" applyFill="false" applyFont="true" applyNumberFormat="false" applyProtection="false" borderId="21" fillId="0" fontId="8" numFmtId="0" xfId="0">
      <alignment horizontal="center" vertical="center" wrapText="true"/>
    </xf>
    <xf applyAlignment="true" applyBorder="false" applyFill="true" applyFont="true" applyNumberFormat="false" applyProtection="false" borderId="0" fillId="43" fontId="8" numFmtId="0" xfId="0">
      <alignment vertical="center"/>
    </xf>
    <xf applyAlignment="true" applyBorder="false" applyFill="false" applyFont="true" applyNumberFormat="false" applyProtection="false" borderId="21" fillId="0" fontId="8" numFmtId="0" xfId="0">
      <alignment horizontal="center" vertical="center" wrapText="true"/>
    </xf>
    <xf applyAlignment="true" applyBorder="false" applyFill="true" applyFont="true" applyNumberFormat="true" applyProtection="false" borderId="21" fillId="53" fontId="5" numFmtId="169" xfId="0">
      <alignment horizontal="center" vertical="center"/>
    </xf>
    <xf applyAlignment="true" applyBorder="false" applyFill="true" applyFont="true" applyNumberFormat="true" applyProtection="false" borderId="21" fillId="53" fontId="4" numFmtId="169" xfId="0">
      <alignment horizontal="center" vertical="center"/>
    </xf>
    <xf applyAlignment="true" applyBorder="false" applyFill="true" applyFont="true" applyNumberFormat="true" applyProtection="false" borderId="21" fillId="53" fontId="4" numFmtId="169" xfId="0">
      <alignment horizontal="center" vertical="center"/>
    </xf>
    <xf applyAlignment="true" applyBorder="false" applyFill="true" applyFont="true" applyNumberFormat="false" applyProtection="false" borderId="21" fillId="53" fontId="5" numFmtId="0" xfId="0">
      <alignment horizontal="center" vertical="center"/>
    </xf>
    <xf applyAlignment="true" applyBorder="false" applyFill="true" applyFont="true" applyNumberFormat="false" applyProtection="false" borderId="21" fillId="53" fontId="5" numFmtId="0" xfId="0">
      <alignment horizontal="center" vertical="center"/>
    </xf>
    <xf applyAlignment="true" applyBorder="false" applyFill="true" applyFont="true" applyNumberFormat="false" applyProtection="false" borderId="21" fillId="53" fontId="8" numFmtId="0" xfId="0">
      <alignment horizontal="center" vertical="center" wrapText="true"/>
    </xf>
    <xf applyAlignment="true" applyBorder="false" applyFill="true" applyFont="true" applyNumberFormat="false" applyProtection="false" borderId="22" fillId="53" fontId="8" numFmtId="0" xfId="0">
      <alignment vertical="center"/>
    </xf>
    <xf applyAlignment="true" applyBorder="false" applyFill="true" applyFont="true" applyNumberFormat="false" applyProtection="false" borderId="0" fillId="53" fontId="8" numFmtId="0" xfId="0">
      <alignment vertical="center"/>
    </xf>
    <xf applyAlignment="true" applyBorder="false" applyFill="true" applyFont="true" applyNumberFormat="false" applyProtection="false" borderId="0" fillId="53" fontId="6" numFmtId="0" xfId="0">
      <alignment vertical="center"/>
    </xf>
    <xf applyAlignment="true" applyBorder="false" applyFill="true" applyFont="true" applyNumberFormat="true" applyProtection="false" borderId="21" fillId="43" fontId="5" numFmtId="169" xfId="0">
      <alignment horizontal="center" vertical="center"/>
    </xf>
    <xf applyAlignment="true" applyBorder="false" applyFill="true" applyFont="true" applyNumberFormat="false" applyProtection="false" borderId="22" fillId="43" fontId="8" numFmtId="0" xfId="0">
      <alignment vertical="center"/>
    </xf>
    <xf applyAlignment="true" applyBorder="false" applyFill="true" applyFont="true" applyNumberFormat="false" applyProtection="false" borderId="21" fillId="40" fontId="5" numFmtId="0" xfId="0">
      <alignment horizontal="center" vertical="center"/>
    </xf>
    <xf applyAlignment="true" applyBorder="false" applyFill="true" applyFont="true" applyNumberFormat="false" applyProtection="false" borderId="21" fillId="43" fontId="8" numFmtId="0" xfId="0">
      <alignment horizontal="center" vertical="center" wrapText="true"/>
    </xf>
    <xf applyAlignment="true" applyBorder="false" applyFill="true" applyFont="true" applyNumberFormat="true" applyProtection="false" borderId="21" fillId="53" fontId="5" numFmtId="169" xfId="0">
      <alignment horizontal="center" vertical="center"/>
    </xf>
    <xf applyAlignment="true" applyBorder="false" applyFill="true" applyFont="true" applyNumberFormat="true" applyProtection="false" borderId="21" fillId="43" fontId="4" numFmtId="169" xfId="0">
      <alignment horizontal="center" vertical="center"/>
    </xf>
    <xf applyAlignment="true" applyBorder="false" applyFill="true" applyFont="true" applyNumberFormat="true" applyProtection="false" borderId="21" fillId="54" fontId="3" numFmtId="168" xfId="0">
      <alignment horizontal="center" vertical="center" wrapText="true"/>
    </xf>
    <xf applyAlignment="true" applyBorder="false" applyFill="true" applyFont="true" applyNumberFormat="true" applyProtection="false" borderId="21" fillId="54" fontId="3" numFmtId="168" xfId="0">
      <alignment horizontal="center" vertical="center" wrapText="true"/>
    </xf>
    <xf applyAlignment="true" applyBorder="false" applyFill="true" applyFont="true" applyNumberFormat="true" applyProtection="false" borderId="21" fillId="54" fontId="10" numFmtId="168" xfId="0">
      <alignment horizontal="center" vertical="center" wrapText="true"/>
    </xf>
    <xf applyAlignment="true" applyBorder="false" applyFill="true" applyFont="true" applyNumberFormat="true" applyProtection="false" borderId="22" fillId="54" fontId="10" numFmtId="168" xfId="0">
      <alignment horizontal="center" vertical="center" wrapText="true"/>
    </xf>
    <xf applyAlignment="true" applyBorder="false" applyFill="true" applyFont="true" applyNumberFormat="true" applyProtection="false" borderId="17" fillId="54" fontId="7" numFmtId="168" xfId="0">
      <alignment horizontal="center" vertical="center" wrapText="true"/>
    </xf>
    <xf applyAlignment="true" applyBorder="false" applyFill="true" applyFont="true" applyNumberFormat="true" applyProtection="false" borderId="17" fillId="54" fontId="7" numFmtId="169" xfId="0">
      <alignment horizontal="center" vertical="center"/>
    </xf>
    <xf applyAlignment="true" applyBorder="false" applyFill="true" applyFont="true" applyNumberFormat="false" applyProtection="false" borderId="17" fillId="54" fontId="7" numFmtId="0" xfId="0">
      <alignment horizontal="center" vertical="center"/>
    </xf>
    <xf applyAlignment="true" applyBorder="false" applyFill="true" applyFont="true" applyNumberFormat="false" applyProtection="false" borderId="17" fillId="54" fontId="7" numFmtId="0" xfId="0">
      <alignment horizontal="center" vertical="center" wrapText="true"/>
    </xf>
    <xf applyAlignment="true" applyBorder="false" applyFill="true" applyFont="true" applyNumberFormat="false" applyProtection="false" borderId="18" fillId="54" fontId="7" numFmtId="0" xfId="0">
      <alignment horizontal="center" vertical="center"/>
    </xf>
    <xf applyAlignment="true" applyBorder="false" applyFill="true" applyFont="true" applyNumberFormat="false" applyProtection="false" borderId="0" fillId="43" fontId="5" numFmtId="0" xfId="0">
      <alignment horizontal="center" vertical="center"/>
    </xf>
    <xf applyAlignment="true" applyBorder="false" applyFill="true" applyFont="true" applyNumberFormat="true" applyProtection="false" borderId="21" fillId="55" fontId="10" numFmtId="168" xfId="0">
      <alignment horizontal="center" vertical="center" wrapText="true"/>
    </xf>
    <xf applyAlignment="true" applyBorder="false" applyFill="true" applyFont="true" applyNumberFormat="true" applyProtection="false" borderId="21" fillId="55" fontId="7" numFmtId="169" xfId="0">
      <alignment horizontal="center" vertical="center"/>
    </xf>
    <xf applyAlignment="true" applyBorder="false" applyFill="true" applyFont="true" applyNumberFormat="false" applyProtection="false" borderId="21" fillId="55" fontId="7" numFmtId="0" xfId="0">
      <alignment horizontal="center" vertical="center"/>
    </xf>
    <xf applyAlignment="true" applyBorder="false" applyFill="true" applyFont="true" applyNumberFormat="false" applyProtection="false" borderId="21" fillId="55" fontId="7" numFmtId="0" xfId="0">
      <alignment horizontal="center" vertical="center" wrapText="true"/>
    </xf>
    <xf applyAlignment="true" applyBorder="false" applyFill="true" applyFont="true" applyNumberFormat="false" applyProtection="false" borderId="22" fillId="55" fontId="7" numFmtId="0" xfId="0">
      <alignment horizontal="center" vertical="center"/>
    </xf>
    <xf applyAlignment="true" applyBorder="false" applyFill="true" applyFont="true" applyNumberFormat="true" applyProtection="false" borderId="21" fillId="55" fontId="7" numFmtId="168" xfId="0">
      <alignment horizontal="center" vertical="center" wrapText="true"/>
    </xf>
    <xf applyAlignment="true" applyBorder="false" applyFill="true" applyFont="true" applyNumberFormat="false" applyProtection="false" borderId="22" fillId="40" fontId="5" numFmtId="0" xfId="0">
      <alignment horizontal="center" vertical="center"/>
    </xf>
    <xf applyAlignment="true" applyBorder="false" applyFill="true" applyFont="true" applyNumberFormat="true" applyProtection="false" borderId="21" fillId="43" fontId="15" numFmtId="17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17" fillId="56" fontId="3" numFmtId="168" xfId="0">
      <alignment horizontal="center" vertical="center" wrapText="true"/>
    </xf>
    <xf applyAlignment="true" applyBorder="false" applyFill="true" applyFont="true" applyNumberFormat="true" applyProtection="false" borderId="17" fillId="56" fontId="3" numFmtId="168" xfId="0">
      <alignment horizontal="center" vertical="center" wrapText="true"/>
    </xf>
    <xf applyAlignment="true" applyBorder="false" applyFill="true" applyFont="true" applyNumberFormat="true" applyProtection="false" borderId="18" fillId="56" fontId="3" numFmtId="168" xfId="0">
      <alignment horizontal="center" vertical="center" wrapText="true"/>
    </xf>
    <xf applyAlignment="true" applyBorder="false" applyFill="true" applyFont="true" applyNumberFormat="true" applyProtection="false" borderId="18" fillId="56" fontId="7" numFmtId="168" xfId="0">
      <alignment horizontal="center" vertical="center" wrapText="true"/>
    </xf>
    <xf applyAlignment="true" applyBorder="false" applyFill="true" applyFont="true" applyNumberFormat="true" applyProtection="false" borderId="21" fillId="56" fontId="7" numFmtId="169" xfId="0">
      <alignment horizontal="center" vertical="center"/>
    </xf>
    <xf applyAlignment="true" applyBorder="false" applyFill="true" applyFont="true" applyNumberFormat="false" applyProtection="false" borderId="28" fillId="56" fontId="7" numFmtId="0" xfId="0">
      <alignment horizontal="center" vertical="center"/>
    </xf>
    <xf applyAlignment="true" applyBorder="false" applyFill="true" applyFont="true" applyNumberFormat="false" applyProtection="false" borderId="17" fillId="56" fontId="7" numFmtId="0" xfId="0">
      <alignment horizontal="center" vertical="center"/>
    </xf>
    <xf applyAlignment="true" applyBorder="false" applyFill="true" applyFont="true" applyNumberFormat="false" applyProtection="false" borderId="17" fillId="56" fontId="7" numFmtId="0" xfId="0">
      <alignment horizontal="center" vertical="center" wrapText="true"/>
    </xf>
    <xf applyAlignment="true" applyBorder="false" applyFill="true" applyFont="true" applyNumberFormat="false" applyProtection="false" borderId="18" fillId="56" fontId="7" numFmtId="0" xfId="0">
      <alignment horizontal="center" vertical="center"/>
    </xf>
    <xf applyAlignment="true" applyBorder="false" applyFill="true" applyFont="true" applyNumberFormat="false" applyProtection="false" borderId="22" fillId="56" fontId="7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true" applyProtection="false" borderId="17" fillId="57" fontId="3" numFmtId="168" xfId="0">
      <alignment horizontal="center" vertical="center" wrapText="true"/>
    </xf>
    <xf applyAlignment="true" applyBorder="false" applyFill="true" applyFont="true" applyNumberFormat="true" applyProtection="false" borderId="17" fillId="57" fontId="3" numFmtId="168" xfId="0">
      <alignment horizontal="center" vertical="center" wrapText="true"/>
    </xf>
    <xf applyAlignment="true" applyBorder="false" applyFill="true" applyFont="true" applyNumberFormat="true" applyProtection="false" borderId="18" fillId="57" fontId="3" numFmtId="168" xfId="0">
      <alignment horizontal="center" vertical="center" wrapText="true"/>
    </xf>
    <xf applyAlignment="true" applyBorder="false" applyFill="true" applyFont="true" applyNumberFormat="true" applyProtection="false" borderId="0" fillId="57" fontId="3" numFmtId="168" xfId="0">
      <alignment horizontal="center" vertical="center" wrapText="true"/>
    </xf>
    <xf applyAlignment="true" applyBorder="false" applyFill="true" applyFont="true" applyNumberFormat="true" applyProtection="false" borderId="18" fillId="57" fontId="7" numFmtId="168" xfId="0">
      <alignment horizontal="center" vertical="center" wrapText="true"/>
    </xf>
    <xf applyAlignment="true" applyBorder="false" applyFill="true" applyFont="true" applyNumberFormat="true" applyProtection="false" borderId="21" fillId="57" fontId="7" numFmtId="169" xfId="0">
      <alignment horizontal="center" vertical="center"/>
    </xf>
    <xf applyAlignment="true" applyBorder="false" applyFill="true" applyFont="true" applyNumberFormat="false" applyProtection="false" borderId="28" fillId="57" fontId="7" numFmtId="0" xfId="0">
      <alignment horizontal="center" vertical="center"/>
    </xf>
    <xf applyAlignment="true" applyBorder="false" applyFill="true" applyFont="true" applyNumberFormat="false" applyProtection="false" borderId="17" fillId="57" fontId="7" numFmtId="0" xfId="0">
      <alignment horizontal="center" vertical="center"/>
    </xf>
    <xf applyAlignment="true" applyBorder="false" applyFill="true" applyFont="true" applyNumberFormat="false" applyProtection="false" borderId="17" fillId="57" fontId="7" numFmtId="0" xfId="0">
      <alignment horizontal="center" vertical="center" wrapText="true"/>
    </xf>
    <xf applyAlignment="true" applyBorder="false" applyFill="true" applyFont="true" applyNumberFormat="false" applyProtection="false" borderId="18" fillId="57" fontId="7" numFmtId="0" xfId="0">
      <alignment horizontal="center" vertical="center"/>
    </xf>
    <xf applyAlignment="true" applyBorder="false" applyFill="true" applyFont="true" applyNumberFormat="false" applyProtection="false" borderId="22" fillId="57" fontId="7" numFmtId="0" xfId="0">
      <alignment horizontal="center" vertical="center"/>
    </xf>
    <xf applyAlignment="true" applyBorder="false" applyFill="true" applyFont="true" applyNumberFormat="false" applyProtection="false" borderId="0" fillId="57" fontId="7" numFmtId="0" xfId="0">
      <alignment horizontal="center" vertical="center"/>
    </xf>
    <xf applyAlignment="true" applyBorder="false" applyFill="true" applyFont="true" applyNumberFormat="false" applyProtection="false" borderId="21" fillId="43" fontId="4" numFmtId="0" xfId="0">
      <alignment horizontal="center" vertical="center"/>
    </xf>
    <xf applyAlignment="true" applyBorder="false" applyFill="true" applyFont="true" applyNumberFormat="false" applyProtection="false" borderId="21" fillId="43" fontId="4" numFmtId="0" xfId="0">
      <alignment horizontal="center" vertical="center"/>
    </xf>
    <xf applyAlignment="true" applyBorder="false" applyFill="true" applyFont="true" applyNumberFormat="false" applyProtection="false" borderId="21" fillId="53" fontId="5" numFmtId="0" xfId="0">
      <alignment horizontal="center" vertical="center" wrapText="true"/>
    </xf>
    <xf applyAlignment="true" applyBorder="false" applyFill="true" applyFont="true" applyNumberFormat="false" applyProtection="false" borderId="29" fillId="53" fontId="5" numFmtId="0" xfId="0">
      <alignment horizontal="center" vertical="center"/>
    </xf>
    <xf applyAlignment="true" applyBorder="false" applyFill="true" applyFont="true" applyNumberFormat="false" applyProtection="false" borderId="0" fillId="53" fontId="5" numFmtId="0" xfId="0">
      <alignment horizontal="center" vertical="center"/>
    </xf>
    <xf applyAlignment="true" applyBorder="false" applyFill="true" applyFont="true" applyNumberFormat="true" applyProtection="false" borderId="17" fillId="58" fontId="3" numFmtId="168" xfId="0">
      <alignment horizontal="center" vertical="center" wrapText="true"/>
    </xf>
    <xf applyAlignment="true" applyBorder="false" applyFill="true" applyFont="true" applyNumberFormat="true" applyProtection="false" borderId="17" fillId="58" fontId="3" numFmtId="168" xfId="0">
      <alignment horizontal="center" vertical="center" wrapText="true"/>
    </xf>
    <xf applyAlignment="true" applyBorder="false" applyFill="true" applyFont="true" applyNumberFormat="true" applyProtection="false" borderId="18" fillId="58" fontId="3" numFmtId="168" xfId="0">
      <alignment horizontal="center" vertical="center" wrapText="true"/>
    </xf>
    <xf applyAlignment="true" applyBorder="false" applyFill="true" applyFont="true" applyNumberFormat="true" applyProtection="false" borderId="0" fillId="58" fontId="3" numFmtId="168" xfId="0">
      <alignment horizontal="center" vertical="center" wrapText="true"/>
    </xf>
    <xf applyAlignment="true" applyBorder="false" applyFill="true" applyFont="true" applyNumberFormat="true" applyProtection="false" borderId="18" fillId="58" fontId="7" numFmtId="168" xfId="0">
      <alignment horizontal="center" vertical="center" wrapText="true"/>
    </xf>
    <xf applyAlignment="true" applyBorder="false" applyFill="true" applyFont="true" applyNumberFormat="true" applyProtection="false" borderId="21" fillId="58" fontId="7" numFmtId="169" xfId="0">
      <alignment horizontal="center" vertical="center"/>
    </xf>
    <xf applyAlignment="true" applyBorder="false" applyFill="true" applyFont="true" applyNumberFormat="false" applyProtection="false" borderId="28" fillId="58" fontId="7" numFmtId="0" xfId="0">
      <alignment horizontal="center" vertical="center"/>
    </xf>
    <xf applyAlignment="true" applyBorder="false" applyFill="true" applyFont="true" applyNumberFormat="false" applyProtection="false" borderId="17" fillId="58" fontId="7" numFmtId="0" xfId="0">
      <alignment horizontal="center" vertical="center"/>
    </xf>
    <xf applyAlignment="true" applyBorder="false" applyFill="true" applyFont="true" applyNumberFormat="false" applyProtection="false" borderId="17" fillId="58" fontId="7" numFmtId="0" xfId="0">
      <alignment horizontal="center" vertical="center" wrapText="true"/>
    </xf>
    <xf applyAlignment="true" applyBorder="false" applyFill="true" applyFont="true" applyNumberFormat="false" applyProtection="false" borderId="18" fillId="58" fontId="7" numFmtId="0" xfId="0">
      <alignment horizontal="center" vertical="center"/>
    </xf>
    <xf applyAlignment="true" applyBorder="false" applyFill="true" applyFont="true" applyNumberFormat="false" applyProtection="false" borderId="22" fillId="58" fontId="7" numFmtId="0" xfId="0">
      <alignment horizontal="center" vertical="center"/>
    </xf>
    <xf applyAlignment="true" applyBorder="false" applyFill="true" applyFont="true" applyNumberFormat="false" applyProtection="false" borderId="0" fillId="58" fontId="7" numFmtId="0" xfId="0">
      <alignment horizontal="center" vertical="center"/>
    </xf>
    <xf applyAlignment="true" applyBorder="false" applyFill="true" applyFont="true" applyNumberFormat="false" applyProtection="false" borderId="21" fillId="53" fontId="4" numFmtId="0" xfId="0">
      <alignment horizontal="center" vertical="center"/>
    </xf>
    <xf applyAlignment="true" applyBorder="false" applyFill="true" applyFont="true" applyNumberFormat="false" applyProtection="false" borderId="29" fillId="59" fontId="5" numFmtId="0" xfId="0">
      <alignment horizontal="center" vertical="center"/>
    </xf>
    <xf applyAlignment="true" applyBorder="false" applyFill="true" applyFont="true" applyNumberFormat="false" applyProtection="false" borderId="29" fillId="53" fontId="5" numFmtId="0" xfId="0">
      <alignment horizontal="center" vertical="center"/>
    </xf>
    <xf applyAlignment="true" applyBorder="false" applyFill="true" applyFont="true" applyNumberFormat="true" applyProtection="false" borderId="17" fillId="60" fontId="3" numFmtId="168" xfId="0">
      <alignment horizontal="center" vertical="center" wrapText="true"/>
    </xf>
    <xf applyAlignment="true" applyBorder="false" applyFill="true" applyFont="true" applyNumberFormat="true" applyProtection="false" borderId="33" fillId="60" fontId="3" numFmtId="168" xfId="0">
      <alignment horizontal="center" vertical="center" wrapText="true"/>
    </xf>
    <xf applyAlignment="true" applyBorder="false" applyFill="true" applyFont="true" applyNumberFormat="true" applyProtection="false" borderId="18" fillId="60" fontId="3" numFmtId="168" xfId="0">
      <alignment horizontal="center" vertical="center" wrapText="true"/>
    </xf>
    <xf applyAlignment="true" applyBorder="false" applyFill="true" applyFont="true" applyNumberFormat="true" applyProtection="false" borderId="18" fillId="60" fontId="7" numFmtId="168" xfId="0">
      <alignment horizontal="center" vertical="center" wrapText="true"/>
    </xf>
    <xf applyAlignment="true" applyBorder="false" applyFill="true" applyFont="true" applyNumberFormat="true" applyProtection="false" borderId="21" fillId="60" fontId="7" numFmtId="169" xfId="0">
      <alignment horizontal="center" vertical="center"/>
    </xf>
    <xf applyAlignment="true" applyBorder="false" applyFill="true" applyFont="true" applyNumberFormat="false" applyProtection="false" borderId="28" fillId="60" fontId="7" numFmtId="0" xfId="0">
      <alignment horizontal="center" vertical="center"/>
    </xf>
    <xf applyAlignment="true" applyBorder="false" applyFill="true" applyFont="true" applyNumberFormat="false" applyProtection="false" borderId="17" fillId="60" fontId="7" numFmtId="0" xfId="0">
      <alignment horizontal="center" vertical="center"/>
    </xf>
    <xf applyAlignment="true" applyBorder="false" applyFill="true" applyFont="true" applyNumberFormat="false" applyProtection="false" borderId="17" fillId="60" fontId="7" numFmtId="0" xfId="0">
      <alignment horizontal="center" vertical="center" wrapText="true"/>
    </xf>
    <xf applyAlignment="true" applyBorder="false" applyFill="true" applyFont="true" applyNumberFormat="false" applyProtection="false" borderId="18" fillId="60" fontId="7" numFmtId="0" xfId="0">
      <alignment horizontal="center" vertical="center"/>
    </xf>
    <xf applyAlignment="true" applyBorder="false" applyFill="true" applyFont="true" applyNumberFormat="false" applyProtection="false" borderId="22" fillId="60" fontId="7" numFmtId="0" xfId="0">
      <alignment horizontal="center" vertical="center"/>
    </xf>
    <xf applyAlignment="true" applyBorder="false" applyFill="true" applyFont="true" applyNumberFormat="true" applyProtection="false" borderId="22" fillId="43" fontId="4" numFmtId="169" xfId="0">
      <alignment horizontal="center" vertical="center"/>
    </xf>
    <xf applyAlignment="true" applyBorder="false" applyFill="false" applyFont="true" applyNumberFormat="false" applyProtection="false" borderId="19" fillId="0" fontId="5" numFmtId="0" xfId="0">
      <alignment horizontal="center" vertical="center"/>
    </xf>
    <xf applyAlignment="true" applyBorder="false" applyFill="false" applyFont="true" applyNumberFormat="false" applyProtection="false" borderId="23" fillId="0" fontId="5" numFmtId="0" xfId="0">
      <alignment horizontal="center" vertical="center"/>
    </xf>
    <xf applyAlignment="true" applyBorder="false" applyFill="true" applyFont="true" applyNumberFormat="true" applyProtection="false" borderId="17" fillId="40" fontId="3" numFmtId="168" xfId="0">
      <alignment horizontal="center" vertical="center" wrapText="true"/>
    </xf>
    <xf applyAlignment="true" applyBorder="false" applyFill="true" applyFont="true" applyNumberFormat="true" applyProtection="false" borderId="17" fillId="40" fontId="3" numFmtId="168" xfId="0">
      <alignment horizontal="center" vertical="center" wrapText="true"/>
    </xf>
    <xf applyAlignment="true" applyBorder="false" applyFill="true" applyFont="true" applyNumberFormat="true" applyProtection="false" borderId="33" fillId="40" fontId="3" numFmtId="168" xfId="0">
      <alignment horizontal="center" vertical="center" wrapText="true"/>
    </xf>
    <xf applyAlignment="true" applyBorder="false" applyFill="true" applyFont="true" applyNumberFormat="true" applyProtection="false" borderId="18" fillId="40" fontId="3" numFmtId="168" xfId="0">
      <alignment horizontal="center" vertical="center" wrapText="true"/>
    </xf>
    <xf applyAlignment="true" applyBorder="false" applyFill="true" applyFont="true" applyNumberFormat="true" applyProtection="false" borderId="21" fillId="61" fontId="3" numFmtId="168" xfId="0">
      <alignment horizontal="center" vertical="center" wrapText="true"/>
    </xf>
    <xf applyAlignment="true" applyBorder="false" applyFill="true" applyFont="true" applyNumberFormat="false" applyProtection="false" borderId="0" fillId="61" fontId="8" numFmtId="0" xfId="0">
      <alignment vertical="center"/>
    </xf>
    <xf applyAlignment="true" applyBorder="false" applyFill="true" applyFont="true" applyNumberFormat="false" applyProtection="false" borderId="0" fillId="61" fontId="8" numFmtId="0" xfId="0">
      <alignment horizontal="center" vertical="center"/>
    </xf>
    <xf applyAlignment="true" applyBorder="false" applyFill="true" applyFont="true" applyNumberFormat="true" applyProtection="false" borderId="21" fillId="62" fontId="7" numFmtId="168" xfId="0">
      <alignment horizontal="center" vertical="center" wrapText="true"/>
    </xf>
    <xf applyAlignment="true" applyBorder="false" applyFill="true" applyFont="true" applyNumberFormat="true" applyProtection="false" borderId="21" fillId="62" fontId="7" numFmtId="169" xfId="0">
      <alignment horizontal="center" vertical="center"/>
    </xf>
    <xf applyAlignment="true" applyBorder="false" applyFill="true" applyFont="true" applyNumberFormat="false" applyProtection="false" borderId="17" fillId="62" fontId="7" numFmtId="0" xfId="0">
      <alignment horizontal="center" vertical="center"/>
    </xf>
    <xf applyAlignment="true" applyBorder="false" applyFill="true" applyFont="true" applyNumberFormat="false" applyProtection="false" borderId="21" fillId="62" fontId="7" numFmtId="0" xfId="0">
      <alignment horizontal="center" vertical="center"/>
    </xf>
    <xf applyAlignment="true" applyBorder="false" applyFill="true" applyFont="true" applyNumberFormat="false" applyProtection="false" borderId="21" fillId="62" fontId="7" numFmtId="0" xfId="0">
      <alignment horizontal="center" vertical="center" wrapText="true"/>
    </xf>
    <xf applyAlignment="true" applyBorder="false" applyFill="true" applyFont="true" applyNumberFormat="false" applyProtection="false" borderId="22" fillId="62" fontId="7" numFmtId="0" xfId="0">
      <alignment horizontal="center" vertical="center"/>
    </xf>
    <xf applyAlignment="true" applyBorder="false" applyFill="true" applyFont="true" applyNumberFormat="false" applyProtection="false" borderId="22" fillId="40" fontId="5" numFmtId="0" xfId="0">
      <alignment horizontal="center" vertical="center"/>
    </xf>
    <xf applyAlignment="true" applyBorder="false" applyFill="true" applyFont="true" applyNumberFormat="true" applyProtection="false" borderId="21" fillId="40" fontId="4" numFmtId="169" xfId="0">
      <alignment horizontal="center" vertical="center"/>
    </xf>
    <xf applyAlignment="true" applyBorder="false" applyFill="true" applyFont="true" applyNumberFormat="true" applyProtection="false" borderId="17" fillId="57" fontId="3" numFmtId="168" xfId="0">
      <alignment horizontal="center" vertical="center" wrapText="true"/>
    </xf>
    <xf applyAlignment="true" applyBorder="false" applyFill="true" applyFont="true" applyNumberFormat="true" applyProtection="false" borderId="33" fillId="57" fontId="3" numFmtId="168" xfId="0">
      <alignment horizontal="center" vertical="center" wrapText="true"/>
    </xf>
    <xf applyAlignment="true" applyBorder="false" applyFill="true" applyFont="true" applyNumberFormat="false" applyProtection="false" borderId="0" fillId="57" fontId="6" numFmtId="0" xfId="0">
      <alignment vertical="center"/>
    </xf>
    <xf applyAlignment="true" applyBorder="false" applyFill="true" applyFont="true" applyNumberFormat="false" applyProtection="false" borderId="17" fillId="57" fontId="7" numFmtId="0" xfId="0">
      <alignment horizontal="center" vertical="center" wrapText="true"/>
    </xf>
    <xf applyAlignment="true" applyBorder="false" applyFill="true" applyFont="true" applyNumberFormat="true" applyProtection="false" borderId="21" fillId="45" fontId="3" numFmtId="168" xfId="0">
      <alignment horizontal="center" vertical="center" wrapText="true"/>
    </xf>
    <xf applyAlignment="true" applyBorder="false" applyFill="true" applyFont="true" applyNumberFormat="false" applyProtection="false" borderId="0" fillId="45" fontId="5" numFmtId="0" xfId="0">
      <alignment horizontal="center" vertical="center"/>
    </xf>
    <xf applyAlignment="true" applyBorder="false" applyFill="true" applyFont="true" applyNumberFormat="false" applyProtection="false" borderId="0" fillId="45" fontId="6" numFmtId="0" xfId="0">
      <alignment vertical="center"/>
    </xf>
    <xf applyAlignment="true" applyBorder="false" applyFill="true" applyFont="true" applyNumberFormat="true" applyProtection="false" borderId="21" fillId="45" fontId="7" numFmtId="168" xfId="0">
      <alignment horizontal="center" vertical="center" wrapText="true"/>
    </xf>
    <xf applyAlignment="true" applyBorder="false" applyFill="true" applyFont="true" applyNumberFormat="true" applyProtection="false" borderId="21" fillId="45" fontId="7" numFmtId="169" xfId="0">
      <alignment horizontal="center" vertical="center"/>
    </xf>
    <xf applyAlignment="true" applyBorder="false" applyFill="true" applyFont="true" applyNumberFormat="false" applyProtection="false" borderId="17" fillId="45" fontId="7" numFmtId="0" xfId="0">
      <alignment horizontal="center" vertical="center"/>
    </xf>
    <xf applyAlignment="true" applyBorder="false" applyFill="true" applyFont="true" applyNumberFormat="false" applyProtection="false" borderId="21" fillId="45" fontId="7" numFmtId="0" xfId="0">
      <alignment horizontal="center" vertical="center"/>
    </xf>
    <xf applyAlignment="true" applyBorder="false" applyFill="true" applyFont="true" applyNumberFormat="false" applyProtection="false" borderId="21" fillId="45" fontId="7" numFmtId="0" xfId="0">
      <alignment horizontal="center" vertical="center" wrapText="true"/>
    </xf>
    <xf applyAlignment="true" applyBorder="false" applyFill="true" applyFont="true" applyNumberFormat="false" applyProtection="false" borderId="22" fillId="45" fontId="7" numFmtId="0" xfId="0">
      <alignment horizontal="center" vertical="center"/>
    </xf>
    <xf applyAlignment="true" applyBorder="false" applyFill="true" applyFont="true" applyNumberFormat="false" applyProtection="false" borderId="0" fillId="45" fontId="7" numFmtId="0" xfId="0">
      <alignment horizontal="center" vertical="center"/>
    </xf>
    <xf applyAlignment="true" applyBorder="false" applyFill="true" applyFont="true" applyNumberFormat="true" applyProtection="false" borderId="21" fillId="53" fontId="4" numFmtId="169" xfId="0">
      <alignment horizontal="center" vertical="center"/>
    </xf>
    <xf applyAlignment="true" applyBorder="false" applyFill="true" applyFont="true" applyNumberFormat="true" applyProtection="false" borderId="22" fillId="53" fontId="4" numFmtId="169" xfId="0">
      <alignment horizontal="center" vertical="center"/>
    </xf>
    <xf applyAlignment="true" applyBorder="false" applyFill="true" applyFont="true" applyNumberFormat="true" applyProtection="false" borderId="21" fillId="53" fontId="5" numFmtId="170" xfId="0">
      <alignment horizontal="center" vertical="center"/>
    </xf>
    <xf applyAlignment="true" applyBorder="false" applyFill="true" applyFont="true" applyNumberFormat="true" applyProtection="false" borderId="17" fillId="63" fontId="3" numFmtId="168" xfId="0">
      <alignment horizontal="center" vertical="center" wrapText="true"/>
    </xf>
    <xf applyAlignment="true" applyBorder="false" applyFill="true" applyFont="true" applyNumberFormat="true" applyProtection="false" borderId="17" fillId="63" fontId="3" numFmtId="168" xfId="0">
      <alignment horizontal="center" vertical="center" wrapText="true"/>
    </xf>
    <xf applyAlignment="true" applyBorder="false" applyFill="true" applyFont="true" applyNumberFormat="true" applyProtection="false" borderId="33" fillId="63" fontId="3" numFmtId="168" xfId="0">
      <alignment horizontal="center" vertical="center" wrapText="true"/>
    </xf>
    <xf applyAlignment="true" applyBorder="false" applyFill="true" applyFont="true" applyNumberFormat="true" applyProtection="false" borderId="18" fillId="63" fontId="3" numFmtId="168" xfId="0">
      <alignment horizontal="center" vertical="center" wrapText="true"/>
    </xf>
    <xf applyAlignment="true" applyBorder="false" applyFill="true" applyFont="true" applyNumberFormat="true" applyProtection="false" borderId="0" fillId="63" fontId="3" numFmtId="168" xfId="0">
      <alignment horizontal="center" vertical="center" wrapText="true"/>
    </xf>
    <xf applyAlignment="true" applyBorder="false" applyFill="true" applyFont="true" applyNumberFormat="false" applyProtection="false" borderId="0" fillId="63" fontId="6" numFmtId="0" xfId="0">
      <alignment vertical="center"/>
    </xf>
    <xf applyAlignment="true" applyBorder="false" applyFill="true" applyFont="true" applyNumberFormat="true" applyProtection="false" borderId="18" fillId="63" fontId="7" numFmtId="168" xfId="0">
      <alignment horizontal="center" vertical="center" wrapText="true"/>
    </xf>
    <xf applyAlignment="true" applyBorder="false" applyFill="true" applyFont="true" applyNumberFormat="true" applyProtection="false" borderId="21" fillId="63" fontId="7" numFmtId="169" xfId="0">
      <alignment horizontal="center" vertical="center"/>
    </xf>
    <xf applyAlignment="true" applyBorder="false" applyFill="true" applyFont="true" applyNumberFormat="false" applyProtection="false" borderId="28" fillId="63" fontId="7" numFmtId="0" xfId="0">
      <alignment horizontal="center" vertical="center"/>
    </xf>
    <xf applyAlignment="true" applyBorder="false" applyFill="true" applyFont="true" applyNumberFormat="false" applyProtection="false" borderId="17" fillId="63" fontId="7" numFmtId="0" xfId="0">
      <alignment horizontal="center" vertical="center"/>
    </xf>
    <xf applyAlignment="true" applyBorder="false" applyFill="true" applyFont="true" applyNumberFormat="false" applyProtection="false" borderId="17" fillId="63" fontId="7" numFmtId="0" xfId="0">
      <alignment horizontal="center" vertical="center" wrapText="true"/>
    </xf>
    <xf applyAlignment="true" applyBorder="false" applyFill="true" applyFont="true" applyNumberFormat="false" applyProtection="false" borderId="18" fillId="63" fontId="7" numFmtId="0" xfId="0">
      <alignment horizontal="center" vertical="center"/>
    </xf>
    <xf applyAlignment="true" applyBorder="false" applyFill="true" applyFont="true" applyNumberFormat="false" applyProtection="false" borderId="22" fillId="63" fontId="7" numFmtId="0" xfId="0">
      <alignment horizontal="center" vertical="center"/>
    </xf>
    <xf applyAlignment="true" applyBorder="false" applyFill="true" applyFont="true" applyNumberFormat="false" applyProtection="false" borderId="0" fillId="63" fontId="7" numFmtId="0" xfId="0">
      <alignment horizontal="center" vertical="center"/>
    </xf>
    <xf applyAlignment="true" applyBorder="false" applyFill="true" applyFont="true" applyNumberFormat="false" applyProtection="false" borderId="29" fillId="40" fontId="5" numFmtId="0" xfId="0">
      <alignment horizontal="center" vertical="center"/>
    </xf>
    <xf applyAlignment="true" applyBorder="false" applyFill="true" applyFont="true" applyNumberFormat="true" applyProtection="false" borderId="21" fillId="42" fontId="3" numFmtId="168" xfId="0">
      <alignment horizontal="center" vertical="center" wrapText="true"/>
    </xf>
    <xf applyAlignment="true" applyBorder="false" applyFill="true" applyFont="true" applyNumberFormat="true" applyProtection="false" borderId="22" fillId="42" fontId="3" numFmtId="168" xfId="0">
      <alignment horizontal="center" vertical="center" wrapText="true"/>
    </xf>
    <xf applyAlignment="true" applyBorder="false" applyFill="true" applyFont="true" applyNumberFormat="false" applyProtection="false" borderId="21" fillId="42" fontId="7" numFmtId="0" xfId="0">
      <alignment horizontal="center" vertical="center" wrapText="true"/>
    </xf>
    <xf applyAlignment="true" applyBorder="false" applyFill="true" applyFont="true" applyNumberFormat="true" applyProtection="false" borderId="21" fillId="53" fontId="5" numFmtId="170" xfId="0">
      <alignment horizontal="center" vertical="center"/>
    </xf>
    <xf applyAlignment="true" applyBorder="false" applyFill="true" applyFont="true" applyNumberFormat="false" applyProtection="false" borderId="22" fillId="53" fontId="5" numFmtId="0" xfId="0">
      <alignment horizontal="center" vertical="center"/>
    </xf>
    <xf applyAlignment="true" applyBorder="false" applyFill="true" applyFont="true" applyNumberFormat="false" applyProtection="false" borderId="21" fillId="53" fontId="5" numFmtId="0" xfId="0">
      <alignment horizontal="center" vertical="center" wrapText="true"/>
    </xf>
    <xf applyAlignment="true" applyBorder="false" applyFill="true" applyFont="true" applyNumberFormat="false" applyProtection="false" borderId="21" fillId="53" fontId="4" numFmtId="0" xfId="0">
      <alignment horizontal="center" vertical="center"/>
    </xf>
    <xf applyAlignment="true" applyBorder="false" applyFill="true" applyFont="true" applyNumberFormat="true" applyProtection="false" borderId="21" fillId="43" fontId="4" numFmtId="168" xfId="0">
      <alignment horizontal="center" vertical="center"/>
    </xf>
    <xf applyAlignment="true" applyBorder="false" applyFill="false" applyFont="true" applyNumberFormat="true" applyProtection="false" borderId="21" fillId="0" fontId="5" numFmtId="168" xfId="0">
      <alignment horizontal="center" vertical="center"/>
    </xf>
    <xf applyAlignment="true" applyBorder="false" applyFill="false" applyFont="true" applyNumberFormat="true" applyProtection="false" borderId="21" fillId="0" fontId="5" numFmtId="168" xfId="0">
      <alignment horizontal="center" vertical="center" wrapText="true"/>
    </xf>
    <xf applyAlignment="true" applyBorder="false" applyFill="true" applyFont="true" applyNumberFormat="true" applyProtection="false" borderId="21" fillId="43" fontId="5" numFmtId="168" xfId="0">
      <alignment horizontal="center" vertical="center"/>
    </xf>
    <xf applyAlignment="true" applyBorder="false" applyFill="false" applyFont="true" applyNumberFormat="true" applyProtection="false" borderId="22" fillId="0" fontId="5" numFmtId="168" xfId="0">
      <alignment horizontal="center" vertical="center"/>
    </xf>
    <xf applyAlignment="true" applyBorder="false" applyFill="true" applyFont="true" applyNumberFormat="true" applyProtection="false" borderId="0" fillId="43" fontId="5" numFmtId="168" xfId="0">
      <alignment horizontal="center" vertical="center"/>
    </xf>
    <xf applyAlignment="true" applyBorder="false" applyFill="true" applyFont="true" applyNumberFormat="true" applyProtection="false" borderId="21" fillId="64" fontId="7" numFmtId="168" xfId="0">
      <alignment horizontal="center" vertical="center" wrapText="true"/>
    </xf>
    <xf applyAlignment="true" applyBorder="false" applyFill="true" applyFont="true" applyNumberFormat="true" applyProtection="false" borderId="21" fillId="64" fontId="7" numFmtId="169" xfId="0">
      <alignment horizontal="center" vertical="center"/>
    </xf>
    <xf applyAlignment="true" applyBorder="false" applyFill="true" applyFont="true" applyNumberFormat="false" applyProtection="false" borderId="21" fillId="64" fontId="7" numFmtId="0" xfId="0">
      <alignment horizontal="center" vertical="center"/>
    </xf>
    <xf applyAlignment="true" applyBorder="false" applyFill="true" applyFont="true" applyNumberFormat="false" applyProtection="false" borderId="21" fillId="64" fontId="7" numFmtId="0" xfId="0">
      <alignment horizontal="center" vertical="center" wrapText="true"/>
    </xf>
    <xf applyAlignment="true" applyBorder="false" applyFill="true" applyFont="true" applyNumberFormat="false" applyProtection="false" borderId="22" fillId="64" fontId="7" numFmtId="0" xfId="0">
      <alignment horizontal="center" vertical="center"/>
    </xf>
    <xf applyAlignment="true" applyBorder="false" applyFill="true" applyFont="true" applyNumberFormat="false" applyProtection="false" borderId="22" fillId="53" fontId="5" numFmtId="0" xfId="0">
      <alignment horizontal="center" vertical="center"/>
    </xf>
    <xf applyAlignment="true" applyBorder="false" applyFill="true" applyFont="true" applyNumberFormat="false" applyProtection="false" borderId="0" fillId="53" fontId="5" numFmtId="0" xfId="0">
      <alignment horizontal="center" vertical="center"/>
    </xf>
    <xf applyAlignment="true" applyBorder="false" applyFill="true" applyFont="true" applyNumberFormat="false" applyProtection="false" borderId="21" fillId="40" fontId="5" numFmtId="0" xfId="0">
      <alignment horizontal="center" vertical="center" wrapText="true"/>
    </xf>
    <xf applyAlignment="true" applyBorder="false" applyFill="true" applyFont="true" applyNumberFormat="true" applyProtection="false" borderId="21" fillId="64" fontId="3" numFmtId="168" xfId="0">
      <alignment horizontal="center" vertical="center" wrapText="true"/>
    </xf>
    <xf applyAlignment="true" applyBorder="false" applyFill="true" applyFont="true" applyNumberFormat="true" applyProtection="false" borderId="21" fillId="64" fontId="3" numFmtId="168" xfId="0">
      <alignment horizontal="center" vertical="center" wrapText="true"/>
    </xf>
    <xf applyAlignment="true" applyBorder="false" applyFill="true" applyFont="true" applyNumberFormat="true" applyProtection="false" borderId="22" fillId="64" fontId="3" numFmtId="168" xfId="0">
      <alignment horizontal="center" vertical="center" wrapText="true"/>
    </xf>
    <xf applyAlignment="true" applyBorder="false" applyFill="true" applyFont="true" applyNumberFormat="false" applyProtection="false" borderId="21" fillId="43" fontId="5" numFmtId="0" xfId="0">
      <alignment horizontal="center" vertical="center"/>
    </xf>
    <xf applyAlignment="true" applyBorder="false" applyFill="true" applyFont="true" applyNumberFormat="false" applyProtection="false" borderId="22" fillId="43" fontId="5" numFmtId="0" xfId="0">
      <alignment horizontal="center" vertical="center"/>
    </xf>
    <xf applyAlignment="true" applyBorder="false" applyFill="true" applyFont="true" applyNumberFormat="true" applyProtection="false" borderId="21" fillId="60" fontId="3" numFmtId="168" xfId="0">
      <alignment horizontal="center" vertical="center" wrapText="true"/>
    </xf>
    <xf applyAlignment="true" applyBorder="false" applyFill="true" applyFont="true" applyNumberFormat="true" applyProtection="false" borderId="21" fillId="60" fontId="3" numFmtId="168" xfId="0">
      <alignment horizontal="center" vertical="center" wrapText="true"/>
    </xf>
    <xf applyAlignment="true" applyBorder="false" applyFill="true" applyFont="true" applyNumberFormat="true" applyProtection="false" borderId="22" fillId="60" fontId="3" numFmtId="168" xfId="0">
      <alignment horizontal="center" vertical="center" wrapText="true"/>
    </xf>
    <xf applyAlignment="true" applyBorder="false" applyFill="true" applyFont="true" applyNumberFormat="true" applyProtection="false" borderId="21" fillId="60" fontId="7" numFmtId="168" xfId="0">
      <alignment horizontal="center" vertical="center" wrapText="true"/>
    </xf>
    <xf applyAlignment="true" applyBorder="false" applyFill="true" applyFont="true" applyNumberFormat="false" applyProtection="false" borderId="21" fillId="60" fontId="7" numFmtId="0" xfId="0">
      <alignment horizontal="center" vertical="center"/>
    </xf>
    <xf applyAlignment="true" applyBorder="false" applyFill="true" applyFont="true" applyNumberFormat="false" applyProtection="false" borderId="21" fillId="60" fontId="7" numFmtId="0" xfId="0">
      <alignment horizontal="center" vertical="center" wrapText="true"/>
    </xf>
    <xf applyAlignment="true" applyBorder="false" applyFill="true" applyFont="true" applyNumberFormat="true" applyProtection="false" borderId="21" fillId="65" fontId="3" numFmtId="168" xfId="0">
      <alignment horizontal="center" vertical="center" wrapText="true"/>
    </xf>
    <xf applyAlignment="true" applyBorder="false" applyFill="true" applyFont="true" applyNumberFormat="true" applyProtection="false" borderId="22" fillId="65" fontId="3" numFmtId="168" xfId="0">
      <alignment horizontal="center" vertical="center" wrapText="true"/>
    </xf>
    <xf applyAlignment="true" applyBorder="false" applyFill="true" applyFont="true" applyNumberFormat="true" applyProtection="false" borderId="21" fillId="65" fontId="7" numFmtId="168" xfId="0">
      <alignment horizontal="center" vertical="center" wrapText="true"/>
    </xf>
    <xf applyAlignment="true" applyBorder="false" applyFill="true" applyFont="true" applyNumberFormat="true" applyProtection="false" borderId="21" fillId="65" fontId="7" numFmtId="169" xfId="0">
      <alignment horizontal="center" vertical="center"/>
    </xf>
    <xf applyAlignment="true" applyBorder="false" applyFill="true" applyFont="true" applyNumberFormat="false" applyProtection="false" borderId="21" fillId="65" fontId="7" numFmtId="0" xfId="0">
      <alignment horizontal="center" vertical="center"/>
    </xf>
    <xf applyAlignment="true" applyBorder="false" applyFill="true" applyFont="true" applyNumberFormat="false" applyProtection="false" borderId="21" fillId="65" fontId="7" numFmtId="0" xfId="0">
      <alignment horizontal="center" vertical="center" wrapText="true"/>
    </xf>
    <xf applyAlignment="true" applyBorder="false" applyFill="true" applyFont="true" applyNumberFormat="false" applyProtection="false" borderId="22" fillId="65" fontId="7" numFmtId="0" xfId="0">
      <alignment horizontal="center" vertical="center"/>
    </xf>
    <xf applyAlignment="true" applyBorder="false" applyFill="true" applyFont="true" applyNumberFormat="true" applyProtection="false" borderId="21" fillId="66" fontId="3" numFmtId="168" xfId="0">
      <alignment horizontal="center" vertical="center" wrapText="true"/>
    </xf>
    <xf applyAlignment="true" applyBorder="false" applyFill="true" applyFont="true" applyNumberFormat="false" applyProtection="false" borderId="0" fillId="66" fontId="8" numFmtId="0" xfId="0">
      <alignment vertical="center"/>
    </xf>
    <xf applyAlignment="true" applyBorder="false" applyFill="true" applyFont="true" applyNumberFormat="false" applyProtection="false" borderId="0" fillId="66" fontId="8" numFmtId="0" xfId="0">
      <alignment horizontal="center" vertical="center"/>
    </xf>
    <xf applyAlignment="true" applyBorder="false" applyFill="true" applyFont="true" applyNumberFormat="true" applyProtection="false" borderId="21" fillId="66" fontId="7" numFmtId="168" xfId="0">
      <alignment horizontal="center" vertical="center" wrapText="true"/>
    </xf>
    <xf applyAlignment="true" applyBorder="false" applyFill="true" applyFont="true" applyNumberFormat="true" applyProtection="false" borderId="21" fillId="66" fontId="7" numFmtId="169" xfId="0">
      <alignment horizontal="center" vertical="center"/>
    </xf>
    <xf applyAlignment="true" applyBorder="false" applyFill="true" applyFont="true" applyNumberFormat="false" applyProtection="false" borderId="17" fillId="66" fontId="7" numFmtId="0" xfId="0">
      <alignment horizontal="center" vertical="center"/>
    </xf>
    <xf applyAlignment="true" applyBorder="false" applyFill="true" applyFont="true" applyNumberFormat="false" applyProtection="false" borderId="21" fillId="66" fontId="7" numFmtId="0" xfId="0">
      <alignment horizontal="center" vertical="center"/>
    </xf>
    <xf applyAlignment="true" applyBorder="false" applyFill="true" applyFont="true" applyNumberFormat="false" applyProtection="false" borderId="21" fillId="66" fontId="7" numFmtId="0" xfId="0">
      <alignment horizontal="center" vertical="center" wrapText="true"/>
    </xf>
    <xf applyAlignment="true" applyBorder="false" applyFill="true" applyFont="true" applyNumberFormat="false" applyProtection="false" borderId="22" fillId="66" fontId="7" numFmtId="0" xfId="0">
      <alignment horizontal="center" vertical="center"/>
    </xf>
    <xf applyAlignment="true" applyBorder="false" applyFill="true" applyFont="true" applyNumberFormat="false" applyProtection="false" borderId="21" fillId="40" fontId="4" numFmtId="0" xfId="0">
      <alignment horizontal="center" vertical="center" wrapText="true"/>
    </xf>
    <xf applyAlignment="true" applyBorder="false" applyFill="true" applyFont="true" applyNumberFormat="false" applyProtection="false" borderId="22" fillId="40" fontId="7" numFmtId="0" xfId="0">
      <alignment horizontal="center" vertical="center"/>
    </xf>
    <xf applyAlignment="true" applyBorder="false" applyFill="true" applyFont="true" applyNumberFormat="false" applyProtection="false" borderId="21" fillId="40" fontId="7" numFmtId="0" xfId="0">
      <alignment horizontal="center" vertical="center" wrapText="true"/>
    </xf>
    <xf applyAlignment="true" applyBorder="false" applyFill="true" applyFont="true" applyNumberFormat="false" applyProtection="false" borderId="22" fillId="40" fontId="4" numFmtId="0" xfId="0">
      <alignment horizontal="center" vertical="center"/>
    </xf>
    <xf applyAlignment="true" applyBorder="false" applyFill="true" applyFont="true" applyNumberFormat="false" applyProtection="false" borderId="21" fillId="40" fontId="4" numFmtId="0" xfId="0">
      <alignment horizontal="center" vertical="center"/>
    </xf>
    <xf applyAlignment="true" applyBorder="false" applyFill="true" applyFont="true" applyNumberFormat="false" applyProtection="false" borderId="22" fillId="40" fontId="7" numFmtId="0" xfId="0">
      <alignment horizontal="center" vertical="center"/>
    </xf>
    <xf applyAlignment="true" applyBorder="false" applyFill="true" applyFont="true" applyNumberFormat="false" applyProtection="false" borderId="0" fillId="45" fontId="8" numFmtId="0" xfId="0">
      <alignment vertical="center"/>
    </xf>
    <xf applyAlignment="true" applyBorder="false" applyFill="true" applyFont="true" applyNumberFormat="false" applyProtection="false" borderId="0" fillId="45" fontId="8" numFmtId="0" xfId="0">
      <alignment horizontal="center" vertical="center"/>
    </xf>
    <xf applyAlignment="true" applyBorder="false" applyFill="true" applyFont="true" applyNumberFormat="true" applyProtection="false" borderId="21" fillId="56" fontId="3" numFmtId="168" xfId="0">
      <alignment horizontal="center" vertical="center" wrapText="true"/>
    </xf>
    <xf applyAlignment="true" applyBorder="false" applyFill="true" applyFont="true" applyNumberFormat="true" applyProtection="false" borderId="19" fillId="56" fontId="3" numFmtId="168" xfId="0">
      <alignment horizontal="center" vertical="center" wrapText="true"/>
    </xf>
    <xf applyAlignment="true" applyBorder="false" applyFill="true" applyFont="true" applyNumberFormat="true" applyProtection="false" borderId="21" fillId="56" fontId="7" numFmtId="168" xfId="0">
      <alignment horizontal="center" vertical="center" wrapText="true"/>
    </xf>
    <xf applyAlignment="true" applyBorder="false" applyFill="true" applyFont="true" applyNumberFormat="false" applyProtection="false" borderId="21" fillId="56" fontId="7" numFmtId="0" xfId="0">
      <alignment horizontal="center" vertical="center"/>
    </xf>
    <xf applyAlignment="true" applyBorder="false" applyFill="true" applyFont="true" applyNumberFormat="false" applyProtection="false" borderId="21" fillId="56" fontId="7" numFmtId="0" xfId="0">
      <alignment horizontal="center" vertical="center" wrapText="true"/>
    </xf>
    <xf applyAlignment="true" applyBorder="false" applyFill="true" applyFont="true" applyNumberFormat="false" applyProtection="false" borderId="19" fillId="56" fontId="7" numFmtId="0" xfId="0">
      <alignment horizontal="center" vertical="center"/>
    </xf>
    <xf applyAlignment="true" applyBorder="false" applyFill="true" applyFont="true" applyNumberFormat="false" applyProtection="false" borderId="32" fillId="40" fontId="5" numFmtId="0" xfId="0">
      <alignment horizontal="center" vertical="center"/>
    </xf>
    <xf applyAlignment="true" applyBorder="false" applyFill="true" applyFont="true" applyNumberFormat="false" applyProtection="false" borderId="32" fillId="43" fontId="5" numFmtId="0" xfId="0">
      <alignment horizontal="center" vertical="center"/>
    </xf>
    <xf applyAlignment="true" applyBorder="false" applyFill="true" applyFont="true" applyNumberFormat="false" applyProtection="false" borderId="18" fillId="40" fontId="5" numFmtId="0" xfId="0">
      <alignment horizontal="center" vertical="center" wrapText="true"/>
    </xf>
    <xf applyAlignment="true" applyBorder="false" applyFill="true" applyFont="true" applyNumberFormat="false" applyProtection="false" borderId="19" fillId="40" fontId="5" numFmtId="0" xfId="0">
      <alignment horizontal="center" vertical="center" wrapText="true"/>
    </xf>
    <xf applyAlignment="true" applyBorder="false" applyFill="true" applyFont="true" applyNumberFormat="false" applyProtection="false" borderId="18" fillId="40" fontId="5" numFmtId="0" xfId="0">
      <alignment horizontal="center" vertical="center" wrapText="true"/>
    </xf>
    <xf applyAlignment="true" applyBorder="false" applyFill="true" applyFont="true" applyNumberFormat="true" applyProtection="false" borderId="21" fillId="56" fontId="4" numFmtId="169" xfId="0">
      <alignment horizontal="center" vertical="center"/>
    </xf>
    <xf applyAlignment="true" applyBorder="false" applyFill="true" applyFont="true" applyNumberFormat="true" applyProtection="false" borderId="21" fillId="56" fontId="4" numFmtId="169" xfId="0">
      <alignment horizontal="center" vertical="center"/>
    </xf>
    <xf applyAlignment="true" applyBorder="false" applyFill="true" applyFont="true" applyNumberFormat="false" applyProtection="false" borderId="21" fillId="51" fontId="5" numFmtId="0" xfId="0">
      <alignment horizontal="center" vertical="center"/>
    </xf>
    <xf applyAlignment="true" applyBorder="false" applyFill="true" applyFont="true" applyNumberFormat="false" applyProtection="false" borderId="21" fillId="56" fontId="5" numFmtId="0" xfId="0">
      <alignment horizontal="center" vertical="center"/>
    </xf>
    <xf applyAlignment="true" applyBorder="false" applyFill="true" applyFont="true" applyNumberFormat="false" applyProtection="false" borderId="21" fillId="51" fontId="5" numFmtId="0" xfId="0">
      <alignment horizontal="center" vertical="center"/>
    </xf>
    <xf applyAlignment="true" applyBorder="false" applyFill="true" applyFont="true" applyNumberFormat="false" applyProtection="false" borderId="19" fillId="53" fontId="5" numFmtId="0" xfId="0">
      <alignment horizontal="center" vertical="center"/>
    </xf>
    <xf applyAlignment="true" applyBorder="false" applyFill="true" applyFont="true" applyNumberFormat="false" applyProtection="false" borderId="32" fillId="56" fontId="5" numFmtId="0" xfId="0">
      <alignment horizontal="center" vertical="center"/>
    </xf>
    <xf applyAlignment="true" applyBorder="false" applyFill="true" applyFont="true" applyNumberFormat="true" applyProtection="false" borderId="21" fillId="51" fontId="4" numFmtId="169" xfId="0">
      <alignment horizontal="center" vertical="center"/>
    </xf>
    <xf applyAlignment="true" applyBorder="false" applyFill="true" applyFont="true" applyNumberFormat="false" applyProtection="false" borderId="21" fillId="51" fontId="4" numFmtId="0" xfId="0">
      <alignment horizontal="center" vertical="center"/>
    </xf>
    <xf applyAlignment="true" applyBorder="false" applyFill="true" applyFont="true" applyNumberFormat="false" applyProtection="false" borderId="21" fillId="56" fontId="4" numFmtId="0" xfId="0">
      <alignment horizontal="center" vertical="center"/>
    </xf>
    <xf applyAlignment="true" applyBorder="false" applyFill="true" applyFont="true" applyNumberFormat="false" applyProtection="false" borderId="21" fillId="40" fontId="5" numFmtId="0" xfId="0">
      <alignment horizontal="center" vertical="center"/>
    </xf>
    <xf applyAlignment="true" applyBorder="false" applyFill="false" applyFont="true" applyNumberFormat="false" applyProtection="false" borderId="34" fillId="0" fontId="5" numFmtId="0" xfId="0">
      <alignment horizontal="center" vertical="center" wrapText="true"/>
    </xf>
    <xf applyAlignment="true" applyBorder="false" applyFill="false" applyFont="true" applyNumberFormat="false" applyProtection="false" borderId="18" fillId="0" fontId="5" numFmtId="0" xfId="0">
      <alignment horizontal="center" vertical="center" wrapText="true"/>
    </xf>
    <xf applyAlignment="true" applyBorder="false" applyFill="false" applyFont="true" applyNumberFormat="false" applyProtection="false" borderId="34" fillId="0" fontId="5" numFmtId="0" xfId="0">
      <alignment horizontal="center" vertical="center"/>
    </xf>
    <xf applyAlignment="true" applyBorder="false" applyFill="false" applyFont="true" applyNumberFormat="false" applyProtection="false" borderId="18" fillId="0" fontId="5" numFmtId="0" xfId="0">
      <alignment horizontal="center" vertical="center" wrapText="true"/>
    </xf>
    <xf applyAlignment="true" applyBorder="false" applyFill="true" applyFont="true" applyNumberFormat="false" applyProtection="false" borderId="32" fillId="51" fontId="5" numFmtId="0" xfId="0">
      <alignment horizontal="center" vertical="center"/>
    </xf>
    <xf applyAlignment="true" applyBorder="false" applyFill="true" applyFont="true" applyNumberFormat="false" applyProtection="false" borderId="18" fillId="56" fontId="5" numFmtId="0" xfId="0">
      <alignment horizontal="center" vertical="center" wrapText="true"/>
    </xf>
    <xf applyAlignment="true" applyBorder="false" applyFill="true" applyFont="true" applyNumberFormat="false" applyProtection="false" borderId="21" fillId="56" fontId="5" numFmtId="0" xfId="0">
      <alignment horizontal="center" vertical="center"/>
    </xf>
    <xf applyAlignment="true" applyBorder="false" applyFill="true" applyFont="true" applyNumberFormat="false" applyProtection="false" borderId="18" fillId="56" fontId="5" numFmtId="0" xfId="0">
      <alignment horizontal="center" vertical="center" wrapText="true"/>
    </xf>
    <xf applyAlignment="true" applyBorder="false" applyFill="true" applyFont="true" applyNumberFormat="false" applyProtection="false" borderId="21" fillId="51" fontId="5" numFmtId="0" xfId="0">
      <alignment horizontal="center" vertical="center"/>
    </xf>
    <xf applyAlignment="true" applyBorder="false" applyFill="true" applyFont="true" applyNumberFormat="false" applyProtection="false" borderId="19" fillId="56" fontId="5" numFmtId="0" xfId="0">
      <alignment horizontal="center" vertical="center" wrapText="true"/>
    </xf>
    <xf applyAlignment="true" applyBorder="false" applyFill="true" applyFont="true" applyNumberFormat="true" applyProtection="false" borderId="32" fillId="43" fontId="4" numFmtId="169" xfId="0">
      <alignment horizontal="center" vertical="center"/>
    </xf>
    <xf applyAlignment="true" applyBorder="false" applyFill="false" applyFont="true" applyNumberFormat="false" applyProtection="false" borderId="22" fillId="0" fontId="5" numFmtId="0" xfId="0">
      <alignment horizontal="center" vertical="center" wrapText="true"/>
    </xf>
    <xf applyAlignment="true" applyBorder="false" applyFill="false" applyFont="true" applyNumberFormat="false" applyProtection="false" borderId="35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22" fillId="56" fontId="3" numFmtId="168" xfId="0">
      <alignment horizontal="center" vertical="center" wrapText="true"/>
    </xf>
    <xf applyAlignment="true" applyBorder="false" applyFill="false" applyFont="true" applyNumberFormat="false" applyProtection="false" borderId="22" fillId="0" fontId="5" numFmtId="0" xfId="0">
      <alignment horizontal="center" vertical="center" wrapText="true"/>
    </xf>
    <xf applyAlignment="true" applyBorder="false" applyFill="true" applyFont="true" applyNumberFormat="true" applyProtection="false" borderId="21" fillId="67" fontId="3" numFmtId="168" xfId="0">
      <alignment horizontal="center" vertical="center" wrapText="true"/>
    </xf>
    <xf applyAlignment="true" applyBorder="false" applyFill="true" applyFont="true" applyNumberFormat="true" applyProtection="false" borderId="22" fillId="67" fontId="3" numFmtId="168" xfId="0">
      <alignment horizontal="center" vertical="center" wrapText="true"/>
    </xf>
    <xf applyAlignment="true" applyBorder="false" applyFill="true" applyFont="true" applyNumberFormat="true" applyProtection="false" borderId="21" fillId="67" fontId="7" numFmtId="168" xfId="0">
      <alignment horizontal="center" vertical="center" wrapText="true"/>
    </xf>
    <xf applyAlignment="true" applyBorder="false" applyFill="true" applyFont="true" applyNumberFormat="true" applyProtection="false" borderId="21" fillId="67" fontId="7" numFmtId="169" xfId="0">
      <alignment horizontal="center" vertical="center"/>
    </xf>
    <xf applyAlignment="true" applyBorder="false" applyFill="true" applyFont="true" applyNumberFormat="false" applyProtection="false" borderId="21" fillId="67" fontId="7" numFmtId="0" xfId="0">
      <alignment horizontal="center" vertical="center"/>
    </xf>
    <xf applyAlignment="true" applyBorder="false" applyFill="true" applyFont="true" applyNumberFormat="false" applyProtection="false" borderId="21" fillId="67" fontId="7" numFmtId="0" xfId="0">
      <alignment horizontal="center" vertical="center" wrapText="true"/>
    </xf>
    <xf applyAlignment="true" applyBorder="false" applyFill="true" applyFont="true" applyNumberFormat="false" applyProtection="false" borderId="22" fillId="67" fontId="7" numFmtId="0" xfId="0">
      <alignment horizontal="center" vertical="center"/>
    </xf>
    <xf applyAlignment="true" applyBorder="false" applyFill="true" applyFont="true" applyNumberFormat="true" applyProtection="false" borderId="21" fillId="51" fontId="4" numFmtId="169" xfId="0">
      <alignment horizontal="center" vertical="center"/>
    </xf>
    <xf applyAlignment="true" applyBorder="false" applyFill="true" applyFont="true" applyNumberFormat="false" applyProtection="false" borderId="23" fillId="53" fontId="5" numFmtId="0" xfId="0">
      <alignment horizontal="center" vertical="center"/>
    </xf>
    <xf applyAlignment="true" applyBorder="false" applyFill="true" applyFont="true" applyNumberFormat="false" applyProtection="false" borderId="23" fillId="40" fontId="5" numFmtId="0" xfId="0">
      <alignment horizontal="center" vertical="center"/>
    </xf>
    <xf applyAlignment="true" applyBorder="false" applyFill="true" applyFont="true" applyNumberFormat="false" applyProtection="false" borderId="23" fillId="43" fontId="5" numFmtId="0" xfId="0">
      <alignment horizontal="center" vertical="center"/>
    </xf>
    <xf applyAlignment="true" applyBorder="false" applyFill="true" applyFont="true" applyNumberFormat="false" applyProtection="false" borderId="22" fillId="40" fontId="5" numFmtId="0" xfId="0">
      <alignment horizontal="left" vertical="center" wrapText="true"/>
    </xf>
    <xf applyAlignment="true" applyBorder="false" applyFill="true" applyFont="true" applyNumberFormat="false" applyProtection="false" borderId="0" fillId="40" fontId="5" numFmtId="0" xfId="0">
      <alignment horizontal="left" vertical="center" wrapText="true"/>
    </xf>
    <xf applyAlignment="true" applyBorder="false" applyFill="true" applyFont="true" applyNumberFormat="true" applyProtection="false" borderId="17" fillId="40" fontId="4" numFmtId="169" xfId="0">
      <alignment horizontal="center" vertical="center"/>
    </xf>
    <xf applyAlignment="true" applyBorder="false" applyFill="true" applyFont="true" applyNumberFormat="true" applyProtection="false" borderId="21" fillId="68" fontId="3" numFmtId="168" xfId="0">
      <alignment horizontal="center" vertical="center" wrapText="true"/>
    </xf>
    <xf applyAlignment="true" applyBorder="false" applyFill="true" applyFont="true" applyNumberFormat="true" applyProtection="false" borderId="22" fillId="68" fontId="3" numFmtId="168" xfId="0">
      <alignment horizontal="center" vertical="center" wrapText="true"/>
    </xf>
    <xf applyAlignment="true" applyBorder="false" applyFill="true" applyFont="true" applyNumberFormat="true" applyProtection="false" borderId="21" fillId="68" fontId="7" numFmtId="168" xfId="0">
      <alignment horizontal="center" vertical="center" wrapText="true"/>
    </xf>
    <xf applyAlignment="true" applyBorder="false" applyFill="true" applyFont="true" applyNumberFormat="true" applyProtection="false" borderId="21" fillId="68" fontId="7" numFmtId="169" xfId="0">
      <alignment horizontal="center" vertical="center"/>
    </xf>
    <xf applyAlignment="true" applyBorder="false" applyFill="true" applyFont="true" applyNumberFormat="false" applyProtection="false" borderId="21" fillId="68" fontId="7" numFmtId="0" xfId="0">
      <alignment horizontal="center" vertical="center"/>
    </xf>
    <xf applyAlignment="true" applyBorder="false" applyFill="true" applyFont="true" applyNumberFormat="false" applyProtection="false" borderId="21" fillId="68" fontId="7" numFmtId="0" xfId="0">
      <alignment horizontal="center" vertical="center" wrapText="true"/>
    </xf>
    <xf applyAlignment="true" applyBorder="false" applyFill="true" applyFont="true" applyNumberFormat="false" applyProtection="false" borderId="22" fillId="68" fontId="7" numFmtId="0" xfId="0">
      <alignment horizontal="center" vertical="center"/>
    </xf>
    <xf applyAlignment="true" applyBorder="false" applyFill="true" applyFont="true" applyNumberFormat="true" applyProtection="false" borderId="32" fillId="39" fontId="4" numFmtId="169" xfId="0">
      <alignment horizontal="center" vertical="center"/>
    </xf>
    <xf applyAlignment="true" applyBorder="false" applyFill="true" applyFont="true" applyNumberFormat="true" applyProtection="false" borderId="21" fillId="39" fontId="4" numFmtId="169" xfId="0">
      <alignment horizontal="center" vertical="center"/>
    </xf>
    <xf applyAlignment="true" applyBorder="false" applyFill="true" applyFont="true" applyNumberFormat="true" applyProtection="false" borderId="21" fillId="39" fontId="4" numFmtId="169" xfId="0">
      <alignment horizontal="center" vertical="center"/>
    </xf>
    <xf applyAlignment="true" applyBorder="false" applyFill="true" applyFont="true" applyNumberFormat="false" applyProtection="false" borderId="23" fillId="39" fontId="5" numFmtId="0" xfId="0">
      <alignment horizontal="center" vertical="center"/>
    </xf>
    <xf applyAlignment="true" applyBorder="false" applyFill="true" applyFont="true" applyNumberFormat="false" applyProtection="false" borderId="21" fillId="39" fontId="5" numFmtId="0" xfId="0">
      <alignment horizontal="center" vertical="center"/>
    </xf>
    <xf applyAlignment="true" applyBorder="false" applyFill="true" applyFont="true" applyNumberFormat="true" applyProtection="false" borderId="21" fillId="39" fontId="5" numFmtId="170" xfId="0">
      <alignment horizontal="center" vertical="center"/>
    </xf>
    <xf applyAlignment="true" applyBorder="false" applyFill="true" applyFont="true" applyNumberFormat="false" applyProtection="false" borderId="0" fillId="39" fontId="5" numFmtId="0" xfId="0">
      <alignment horizontal="center" vertical="center" wrapText="true"/>
    </xf>
    <xf applyAlignment="true" applyBorder="false" applyFill="true" applyFont="true" applyNumberFormat="false" applyProtection="false" borderId="0" fillId="39" fontId="5" numFmtId="0" xfId="0">
      <alignment horizontal="center" vertical="center"/>
    </xf>
    <xf applyAlignment="true" applyBorder="false" applyFill="true" applyFont="true" applyNumberFormat="false" applyProtection="false" borderId="0" fillId="39" fontId="6" numFmtId="0" xfId="0">
      <alignment vertical="center"/>
    </xf>
    <xf applyAlignment="true" applyBorder="false" applyFill="true" applyFont="true" applyNumberFormat="false" applyProtection="false" borderId="21" fillId="39" fontId="5" numFmtId="0" xfId="0">
      <alignment horizontal="center" vertical="center" wrapText="true"/>
    </xf>
    <xf applyAlignment="true" applyBorder="false" applyFill="true" applyFont="true" applyNumberFormat="false" applyProtection="false" borderId="22" fillId="39" fontId="5" numFmtId="0" xfId="0">
      <alignment horizontal="center" vertical="center"/>
    </xf>
    <xf applyAlignment="true" applyBorder="false" applyFill="true" applyFont="true" applyNumberFormat="true" applyProtection="false" borderId="21" fillId="69" fontId="4" numFmtId="169" xfId="0">
      <alignment horizontal="center" vertical="center"/>
    </xf>
    <xf applyAlignment="true" applyBorder="false" applyFill="true" applyFont="true" applyNumberFormat="true" applyProtection="false" borderId="21" fillId="69" fontId="4" numFmtId="169" xfId="0">
      <alignment horizontal="center" vertical="center"/>
    </xf>
    <xf applyAlignment="true" applyBorder="false" applyFill="true" applyFont="true" applyNumberFormat="false" applyProtection="false" borderId="21" fillId="69" fontId="5" numFmtId="0" xfId="0">
      <alignment horizontal="center" vertical="center"/>
    </xf>
    <xf applyAlignment="true" applyBorder="false" applyFill="true" applyFont="true" applyNumberFormat="false" applyProtection="false" borderId="21" fillId="69" fontId="5" numFmtId="0" xfId="0">
      <alignment horizontal="center" vertical="center"/>
    </xf>
    <xf applyAlignment="true" applyBorder="false" applyFill="true" applyFont="true" applyNumberFormat="true" applyProtection="false" borderId="21" fillId="69" fontId="5" numFmtId="170" xfId="0">
      <alignment horizontal="center" vertical="center"/>
    </xf>
    <xf applyAlignment="true" applyBorder="false" applyFill="true" applyFont="true" applyNumberFormat="false" applyProtection="false" borderId="21" fillId="69" fontId="5" numFmtId="0" xfId="0">
      <alignment horizontal="center" vertical="center" wrapText="true"/>
    </xf>
    <xf applyAlignment="true" applyBorder="false" applyFill="true" applyFont="true" applyNumberFormat="false" applyProtection="false" borderId="22" fillId="69" fontId="5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true" applyProtection="false" borderId="21" fillId="70" fontId="3" numFmtId="168" xfId="0">
      <alignment horizontal="center" vertical="center" wrapText="true"/>
    </xf>
    <xf applyAlignment="true" applyBorder="false" applyFill="true" applyFont="true" applyNumberFormat="true" applyProtection="false" borderId="22" fillId="70" fontId="3" numFmtId="168" xfId="0">
      <alignment horizontal="center" vertical="center" wrapText="true"/>
    </xf>
    <xf applyAlignment="true" applyBorder="false" applyFill="true" applyFont="true" applyNumberFormat="true" applyProtection="false" borderId="0" fillId="70" fontId="3" numFmtId="168" xfId="0">
      <alignment horizontal="center" vertical="center" wrapText="true"/>
    </xf>
    <xf applyAlignment="true" applyBorder="false" applyFill="true" applyFont="true" applyNumberFormat="false" applyProtection="false" borderId="0" fillId="70" fontId="6" numFmtId="0" xfId="0">
      <alignment vertical="center"/>
    </xf>
    <xf applyAlignment="true" applyBorder="false" applyFill="true" applyFont="true" applyNumberFormat="true" applyProtection="false" borderId="21" fillId="70" fontId="7" numFmtId="168" xfId="0">
      <alignment horizontal="center" vertical="center" wrapText="true"/>
    </xf>
    <xf applyAlignment="true" applyBorder="false" applyFill="true" applyFont="true" applyNumberFormat="true" applyProtection="false" borderId="21" fillId="70" fontId="7" numFmtId="169" xfId="0">
      <alignment horizontal="center" vertical="center"/>
    </xf>
    <xf applyAlignment="true" applyBorder="false" applyFill="true" applyFont="true" applyNumberFormat="false" applyProtection="false" borderId="21" fillId="70" fontId="7" numFmtId="0" xfId="0">
      <alignment horizontal="center" vertical="center"/>
    </xf>
    <xf applyAlignment="true" applyBorder="false" applyFill="true" applyFont="true" applyNumberFormat="false" applyProtection="false" borderId="17" fillId="70" fontId="7" numFmtId="0" xfId="0">
      <alignment horizontal="center" vertical="center" wrapText="true"/>
    </xf>
    <xf applyAlignment="true" applyBorder="false" applyFill="true" applyFont="true" applyNumberFormat="false" applyProtection="false" borderId="22" fillId="70" fontId="7" numFmtId="0" xfId="0">
      <alignment horizontal="center" vertical="center"/>
    </xf>
    <xf applyAlignment="true" applyBorder="false" applyFill="true" applyFont="true" applyNumberFormat="false" applyProtection="false" borderId="0" fillId="70" fontId="7" numFmtId="0" xfId="0">
      <alignment horizontal="center" vertical="center"/>
    </xf>
    <xf applyAlignment="true" applyBorder="false" applyFill="true" applyFont="true" applyNumberFormat="false" applyProtection="false" borderId="23" fillId="43" fontId="5" numFmtId="0" xfId="0">
      <alignment horizontal="center" vertical="center"/>
    </xf>
    <xf applyAlignment="true" applyBorder="false" applyFill="true" applyFont="true" applyNumberFormat="true" applyProtection="false" borderId="32" fillId="45" fontId="4" numFmtId="169" xfId="0">
      <alignment horizontal="center" vertical="center"/>
    </xf>
    <xf applyAlignment="true" applyBorder="false" applyFill="true" applyFont="true" applyNumberFormat="false" applyProtection="false" borderId="0" fillId="45" fontId="5" numFmtId="0" xfId="0">
      <alignment horizontal="center" vertical="center" wrapText="true"/>
    </xf>
    <xf applyAlignment="true" applyBorder="false" applyFill="true" applyFont="true" applyNumberFormat="false" applyProtection="false" borderId="23" fillId="45" fontId="5" numFmtId="0" xfId="0">
      <alignment horizontal="center" vertical="center"/>
    </xf>
    <xf applyAlignment="true" applyBorder="false" applyFill="true" applyFont="true" applyNumberFormat="true" applyProtection="false" borderId="32" fillId="40" fontId="4" numFmtId="169" xfId="0">
      <alignment horizontal="center" vertical="center"/>
    </xf>
    <xf applyAlignment="true" applyBorder="false" applyFill="true" applyFont="true" applyNumberFormat="false" applyProtection="false" borderId="23" fillId="40" fontId="5" numFmtId="0" xfId="0">
      <alignment horizontal="center" vertical="center"/>
    </xf>
    <xf applyAlignment="true" applyBorder="false" applyFill="true" applyFont="true" applyNumberFormat="true" applyProtection="false" borderId="17" fillId="63" fontId="4" numFmtId="169" xfId="0">
      <alignment horizontal="center" vertical="center"/>
    </xf>
    <xf applyAlignment="true" applyBorder="false" applyFill="true" applyFont="true" applyNumberFormat="true" applyProtection="false" borderId="21" fillId="63" fontId="4" numFmtId="169" xfId="0">
      <alignment horizontal="center" vertical="center"/>
    </xf>
    <xf applyAlignment="true" applyBorder="false" applyFill="true" applyFont="true" applyNumberFormat="false" applyProtection="false" borderId="21" fillId="63" fontId="5" numFmtId="0" xfId="0">
      <alignment horizontal="center" vertical="center"/>
    </xf>
    <xf applyAlignment="true" applyBorder="false" applyFill="true" applyFont="true" applyNumberFormat="false" applyProtection="false" borderId="21" fillId="63" fontId="5" numFmtId="0" xfId="0">
      <alignment horizontal="center" vertical="center"/>
    </xf>
    <xf applyAlignment="true" applyBorder="false" applyFill="true" applyFont="true" applyNumberFormat="false" applyProtection="false" borderId="22" fillId="63" fontId="5" numFmtId="0" xfId="0">
      <alignment horizontal="center" vertical="center"/>
    </xf>
    <xf applyAlignment="true" applyBorder="false" applyFill="true" applyFont="true" applyNumberFormat="false" applyProtection="false" borderId="21" fillId="63" fontId="5" numFmtId="0" xfId="0">
      <alignment horizontal="center" vertical="center" wrapText="true"/>
    </xf>
    <xf applyAlignment="true" applyBorder="false" applyFill="true" applyFont="true" applyNumberFormat="false" applyProtection="false" borderId="23" fillId="63" fontId="5" numFmtId="0" xfId="0">
      <alignment horizontal="center" vertical="center"/>
    </xf>
    <xf applyAlignment="true" applyBorder="false" applyFill="true" applyFont="true" applyNumberFormat="false" applyProtection="false" borderId="0" fillId="63" fontId="5" numFmtId="0" xfId="0">
      <alignment horizontal="center" vertical="center"/>
    </xf>
    <xf applyAlignment="true" applyBorder="false" applyFill="true" applyFont="true" applyNumberFormat="false" applyProtection="false" borderId="21" fillId="63" fontId="5" numFmtId="0" xfId="0">
      <alignment horizontal="center" vertical="center" wrapText="true"/>
    </xf>
    <xf applyAlignment="true" applyBorder="false" applyFill="true" applyFont="true" applyNumberFormat="true" applyProtection="false" borderId="21" fillId="71" fontId="3" numFmtId="168" xfId="0">
      <alignment horizontal="center" vertical="center" wrapText="true"/>
    </xf>
    <xf applyAlignment="true" applyBorder="false" applyFill="true" applyFont="true" applyNumberFormat="true" applyProtection="false" borderId="22" fillId="71" fontId="3" numFmtId="168" xfId="0">
      <alignment horizontal="center" vertical="center" wrapText="true"/>
    </xf>
    <xf applyAlignment="true" applyBorder="false" applyFill="true" applyFont="true" applyNumberFormat="true" applyProtection="false" borderId="21" fillId="71" fontId="7" numFmtId="168" xfId="0">
      <alignment horizontal="center" vertical="center" wrapText="true"/>
    </xf>
    <xf applyAlignment="true" applyBorder="false" applyFill="true" applyFont="true" applyNumberFormat="true" applyProtection="false" borderId="21" fillId="71" fontId="7" numFmtId="169" xfId="0">
      <alignment horizontal="center" vertical="center"/>
    </xf>
    <xf applyAlignment="true" applyBorder="false" applyFill="true" applyFont="true" applyNumberFormat="false" applyProtection="false" borderId="21" fillId="71" fontId="7" numFmtId="0" xfId="0">
      <alignment horizontal="center" vertical="center"/>
    </xf>
    <xf applyAlignment="true" applyBorder="false" applyFill="true" applyFont="true" applyNumberFormat="false" applyProtection="false" borderId="21" fillId="71" fontId="7" numFmtId="0" xfId="0">
      <alignment horizontal="center" vertical="center" wrapText="true"/>
    </xf>
    <xf applyAlignment="true" applyBorder="false" applyFill="true" applyFont="true" applyNumberFormat="false" applyProtection="false" borderId="22" fillId="71" fontId="7" numFmtId="0" xfId="0">
      <alignment horizontal="center" vertical="center"/>
    </xf>
    <xf applyAlignment="true" applyBorder="false" applyFill="true" applyFont="true" applyNumberFormat="false" applyProtection="false" borderId="21" fillId="56" fontId="5" numFmtId="0" xfId="0">
      <alignment horizontal="center" vertical="center"/>
    </xf>
    <xf applyAlignment="true" applyBorder="false" applyFill="true" applyFont="true" applyNumberFormat="false" applyProtection="false" borderId="21" fillId="56" fontId="5" numFmtId="0" xfId="0">
      <alignment horizontal="center" vertical="center" wrapText="true"/>
    </xf>
    <xf applyAlignment="true" applyBorder="false" applyFill="true" applyFont="true" applyNumberFormat="false" applyProtection="false" borderId="22" fillId="56" fontId="5" numFmtId="0" xfId="0">
      <alignment horizontal="center" vertical="center"/>
    </xf>
    <xf applyAlignment="true" applyBorder="false" applyFill="true" applyFont="true" applyNumberFormat="true" applyProtection="false" borderId="21" fillId="56" fontId="4" numFmtId="169" xfId="0">
      <alignment horizontal="center" vertical="center"/>
    </xf>
    <xf applyAlignment="true" applyBorder="false" applyFill="true" applyFont="true" applyNumberFormat="false" applyProtection="false" borderId="22" fillId="56" fontId="5" numFmtId="0" xfId="0">
      <alignment horizontal="center" vertical="center"/>
    </xf>
    <xf applyAlignment="true" applyBorder="false" applyFill="true" applyFont="true" applyNumberFormat="true" applyProtection="false" borderId="21" fillId="40" fontId="4" numFmtId="169" xfId="0">
      <alignment horizontal="center" vertical="center"/>
    </xf>
    <xf applyAlignment="true" applyBorder="false" applyFill="true" applyFont="true" applyNumberFormat="false" applyProtection="false" borderId="22" fillId="51" fontId="5" numFmtId="0" xfId="0">
      <alignment horizontal="center" vertical="center"/>
    </xf>
    <xf applyAlignment="true" applyBorder="false" applyFill="true" applyFont="true" applyNumberFormat="false" applyProtection="false" borderId="21" fillId="51" fontId="5" numFmtId="0" xfId="0">
      <alignment horizontal="center" vertical="center" wrapText="true"/>
    </xf>
    <xf applyAlignment="true" applyBorder="false" applyFill="true" applyFont="true" applyNumberFormat="true" applyProtection="false" borderId="21" fillId="72" fontId="9" numFmtId="168" xfId="0">
      <alignment horizontal="center" vertical="center" wrapText="true"/>
    </xf>
    <xf applyAlignment="true" applyBorder="false" applyFill="true" applyFont="true" applyNumberFormat="true" applyProtection="false" borderId="21" fillId="72" fontId="16" numFmtId="168" xfId="0">
      <alignment horizontal="center" vertical="center" wrapText="true"/>
    </xf>
    <xf applyAlignment="true" applyBorder="false" applyFill="true" applyFont="true" applyNumberFormat="true" applyProtection="false" borderId="22" fillId="72" fontId="16" numFmtId="168" xfId="0">
      <alignment horizontal="center" vertical="center" wrapText="true"/>
    </xf>
    <xf applyAlignment="true" applyBorder="false" applyFill="true" applyFont="true" applyNumberFormat="true" applyProtection="false" borderId="0" fillId="40" fontId="16" numFmtId="168" xfId="0">
      <alignment horizontal="center" vertical="center" wrapText="true"/>
    </xf>
    <xf applyAlignment="true" applyBorder="false" applyFill="true" applyFont="true" applyNumberFormat="true" applyProtection="false" borderId="0" fillId="40" fontId="16" numFmtId="168" xfId="0">
      <alignment horizontal="center" vertical="center" wrapText="true"/>
    </xf>
    <xf applyAlignment="true" applyBorder="false" applyFill="true" applyFont="true" applyNumberFormat="true" applyProtection="false" borderId="21" fillId="72" fontId="7" numFmtId="168" xfId="0">
      <alignment horizontal="center" vertical="center" wrapText="true"/>
    </xf>
    <xf applyAlignment="true" applyBorder="false" applyFill="true" applyFont="true" applyNumberFormat="true" applyProtection="false" borderId="21" fillId="72" fontId="7" numFmtId="169" xfId="0">
      <alignment horizontal="center" vertical="center"/>
    </xf>
    <xf applyAlignment="true" applyBorder="false" applyFill="true" applyFont="true" applyNumberFormat="false" applyProtection="false" borderId="21" fillId="72" fontId="7" numFmtId="0" xfId="0">
      <alignment horizontal="center" vertical="center"/>
    </xf>
    <xf applyAlignment="true" applyBorder="false" applyFill="true" applyFont="true" applyNumberFormat="false" applyProtection="false" borderId="21" fillId="72" fontId="7" numFmtId="0" xfId="0">
      <alignment horizontal="center" vertical="center" wrapText="true"/>
    </xf>
    <xf applyAlignment="true" applyBorder="false" applyFill="true" applyFont="true" applyNumberFormat="false" applyProtection="false" borderId="21" fillId="72" fontId="7" numFmtId="0" xfId="0">
      <alignment horizontal="center" vertical="center"/>
    </xf>
    <xf applyAlignment="true" applyBorder="false" applyFill="true" applyFont="true" applyNumberFormat="false" applyProtection="false" borderId="22" fillId="72" fontId="7" numFmtId="0" xfId="0">
      <alignment horizontal="center" vertical="center"/>
    </xf>
    <xf applyAlignment="true" applyBorder="false" applyFill="true" applyFont="true" applyNumberFormat="true" applyProtection="false" borderId="21" fillId="73" fontId="3" numFmtId="168" xfId="0">
      <alignment horizontal="center" vertical="center" wrapText="true"/>
    </xf>
    <xf applyAlignment="true" applyBorder="false" applyFill="true" applyFont="true" applyNumberFormat="true" applyProtection="false" borderId="21" fillId="73" fontId="16" numFmtId="168" xfId="0">
      <alignment horizontal="center" vertical="center" wrapText="true"/>
    </xf>
    <xf applyAlignment="true" applyBorder="false" applyFill="true" applyFont="true" applyNumberFormat="true" applyProtection="false" borderId="22" fillId="73" fontId="16" numFmtId="168" xfId="0">
      <alignment horizontal="center" vertical="center" wrapText="true"/>
    </xf>
    <xf applyAlignment="true" applyBorder="false" applyFill="true" applyFont="true" applyNumberFormat="true" applyProtection="false" borderId="21" fillId="74" fontId="7" numFmtId="168" xfId="0">
      <alignment horizontal="center" vertical="center" wrapText="true"/>
    </xf>
    <xf applyAlignment="true" applyBorder="false" applyFill="true" applyFont="true" applyNumberFormat="true" applyProtection="false" borderId="21" fillId="74" fontId="7" numFmtId="169" xfId="0">
      <alignment horizontal="center" vertical="center"/>
    </xf>
    <xf applyAlignment="true" applyBorder="false" applyFill="true" applyFont="true" applyNumberFormat="false" applyProtection="false" borderId="21" fillId="74" fontId="7" numFmtId="0" xfId="0">
      <alignment horizontal="center" vertical="center"/>
    </xf>
    <xf applyAlignment="true" applyBorder="false" applyFill="true" applyFont="true" applyNumberFormat="false" applyProtection="false" borderId="21" fillId="74" fontId="7" numFmtId="0" xfId="0">
      <alignment horizontal="center" vertical="center" wrapText="true"/>
    </xf>
    <xf applyAlignment="true" applyBorder="false" applyFill="true" applyFont="true" applyNumberFormat="false" applyProtection="false" borderId="22" fillId="74" fontId="7" numFmtId="0" xfId="0">
      <alignment horizontal="center" vertical="center"/>
    </xf>
    <xf applyAlignment="true" applyBorder="false" applyFill="true" applyFont="true" applyNumberFormat="true" applyProtection="false" borderId="23" fillId="43" fontId="4" numFmtId="169" xfId="0">
      <alignment horizontal="center" vertical="center"/>
    </xf>
    <xf applyAlignment="true" applyBorder="false" applyFill="true" applyFont="true" applyNumberFormat="false" applyProtection="false" borderId="21" fillId="55" fontId="5" numFmtId="0" xfId="0">
      <alignment horizontal="center" vertical="center"/>
    </xf>
    <xf applyAlignment="true" applyBorder="false" applyFill="true" applyFont="true" applyNumberFormat="true" applyProtection="false" borderId="21" fillId="75" fontId="10" numFmtId="168" xfId="0">
      <alignment horizontal="center" vertical="center" wrapText="true"/>
    </xf>
    <xf applyAlignment="true" applyBorder="false" applyFill="true" applyFont="true" applyNumberFormat="true" applyProtection="false" borderId="22" fillId="75" fontId="10" numFmtId="168" xfId="0">
      <alignment horizontal="center" vertical="center" wrapText="true"/>
    </xf>
    <xf applyAlignment="true" applyBorder="false" applyFill="true" applyFont="true" applyNumberFormat="true" applyProtection="false" borderId="21" fillId="75" fontId="7" numFmtId="168" xfId="0">
      <alignment horizontal="center" vertical="center" wrapText="true"/>
    </xf>
    <xf applyAlignment="true" applyBorder="false" applyFill="true" applyFont="true" applyNumberFormat="true" applyProtection="false" borderId="21" fillId="75" fontId="7" numFmtId="169" xfId="0">
      <alignment horizontal="center" vertical="center"/>
    </xf>
    <xf applyAlignment="true" applyBorder="false" applyFill="true" applyFont="true" applyNumberFormat="false" applyProtection="false" borderId="21" fillId="75" fontId="7" numFmtId="0" xfId="0">
      <alignment horizontal="center" vertical="center"/>
    </xf>
    <xf applyAlignment="true" applyBorder="false" applyFill="true" applyFont="true" applyNumberFormat="false" applyProtection="false" borderId="21" fillId="75" fontId="7" numFmtId="0" xfId="0">
      <alignment horizontal="center" vertical="center" wrapText="true"/>
    </xf>
    <xf applyAlignment="true" applyBorder="false" applyFill="true" applyFont="true" applyNumberFormat="false" applyProtection="false" borderId="22" fillId="75" fontId="7" numFmtId="0" xfId="0">
      <alignment horizontal="center" vertical="center"/>
    </xf>
    <xf applyAlignment="true" applyBorder="false" applyFill="true" applyFont="true" applyNumberFormat="true" applyProtection="false" borderId="21" fillId="76" fontId="3" numFmtId="168" xfId="0">
      <alignment horizontal="center" vertical="center" wrapText="true"/>
    </xf>
    <xf applyAlignment="true" applyBorder="false" applyFill="true" applyFont="true" applyNumberFormat="true" applyProtection="false" borderId="17" fillId="76" fontId="3" numFmtId="168" xfId="0">
      <alignment horizontal="center" vertical="center" wrapText="true"/>
    </xf>
    <xf applyAlignment="true" applyBorder="false" applyFill="true" applyFont="true" applyNumberFormat="true" applyProtection="false" borderId="21" fillId="76" fontId="7" numFmtId="168" xfId="0">
      <alignment horizontal="center" vertical="center" wrapText="true"/>
    </xf>
    <xf applyAlignment="true" applyBorder="false" applyFill="true" applyFont="true" applyNumberFormat="true" applyProtection="false" borderId="21" fillId="76" fontId="7" numFmtId="169" xfId="0">
      <alignment horizontal="center" vertical="center"/>
    </xf>
    <xf applyAlignment="true" applyBorder="false" applyFill="true" applyFont="true" applyNumberFormat="false" applyProtection="false" borderId="17" fillId="76" fontId="7" numFmtId="0" xfId="0">
      <alignment horizontal="center" vertical="center"/>
    </xf>
    <xf applyAlignment="true" applyBorder="false" applyFill="true" applyFont="true" applyNumberFormat="false" applyProtection="false" borderId="21" fillId="76" fontId="7" numFmtId="0" xfId="0">
      <alignment horizontal="center" vertical="center"/>
    </xf>
    <xf applyAlignment="true" applyBorder="false" applyFill="true" applyFont="true" applyNumberFormat="false" applyProtection="false" borderId="21" fillId="76" fontId="7" numFmtId="0" xfId="0">
      <alignment horizontal="center" vertical="center" wrapText="true"/>
    </xf>
    <xf applyAlignment="true" applyBorder="false" applyFill="true" applyFont="true" applyNumberFormat="false" applyProtection="false" borderId="22" fillId="76" fontId="7" numFmtId="0" xfId="0">
      <alignment horizontal="center" vertical="center"/>
    </xf>
    <xf applyAlignment="true" applyBorder="false" applyFill="true" applyFont="true" applyNumberFormat="false" applyProtection="false" borderId="19" fillId="76" fontId="7" numFmtId="0" xfId="0">
      <alignment horizontal="center" vertical="center"/>
    </xf>
    <xf applyAlignment="true" applyBorder="false" applyFill="true" applyFont="true" applyNumberFormat="true" applyProtection="false" borderId="22" fillId="51" fontId="4" numFmtId="169" xfId="0">
      <alignment horizontal="center" vertical="center"/>
    </xf>
    <xf applyAlignment="true" applyBorder="false" applyFill="true" applyFont="true" applyNumberFormat="false" applyProtection="false" borderId="21" fillId="51" fontId="4" numFmtId="0" xfId="0">
      <alignment horizontal="center" vertical="center" wrapText="true"/>
    </xf>
    <xf applyAlignment="true" applyBorder="false" applyFill="true" applyFont="true" applyNumberFormat="false" applyProtection="false" borderId="22" fillId="51" fontId="4" numFmtId="0" xfId="0">
      <alignment horizontal="center" vertical="center"/>
    </xf>
    <xf applyAlignment="true" applyBorder="false" applyFill="true" applyFont="true" applyNumberFormat="false" applyProtection="false" borderId="0" fillId="51" fontId="4" numFmtId="0" xfId="0">
      <alignment horizontal="center" vertical="center"/>
    </xf>
    <xf applyAlignment="true" applyBorder="false" applyFill="true" applyFont="true" applyNumberFormat="false" applyProtection="false" borderId="0" fillId="51" fontId="6" numFmtId="0" xfId="0">
      <alignment vertical="center"/>
    </xf>
    <xf applyAlignment="true" applyBorder="false" applyFill="true" applyFont="true" applyNumberFormat="false" applyProtection="false" borderId="21" fillId="56" fontId="4" numFmtId="0" xfId="0">
      <alignment horizontal="center" vertical="center" wrapText="true"/>
    </xf>
    <xf applyAlignment="true" applyBorder="false" applyFill="true" applyFont="true" applyNumberFormat="false" applyProtection="false" borderId="22" fillId="56" fontId="4" numFmtId="0" xfId="0">
      <alignment horizontal="center" vertical="center"/>
    </xf>
    <xf applyAlignment="true" applyBorder="false" applyFill="true" applyFont="true" applyNumberFormat="false" applyProtection="false" borderId="0" fillId="40" fontId="4" numFmtId="0" xfId="0">
      <alignment horizontal="center" vertical="center"/>
    </xf>
    <xf applyAlignment="true" applyBorder="false" applyFill="true" applyFont="true" applyNumberFormat="true" applyProtection="false" borderId="21" fillId="77" fontId="16" numFmtId="168" xfId="0">
      <alignment horizontal="center" vertical="center" wrapText="true"/>
    </xf>
    <xf applyAlignment="true" applyBorder="false" applyFill="true" applyFont="true" applyNumberFormat="true" applyProtection="false" borderId="21" fillId="77" fontId="17" numFmtId="168" xfId="0">
      <alignment horizontal="center" vertical="center" wrapText="true"/>
    </xf>
    <xf applyAlignment="true" applyBorder="false" applyFill="true" applyFont="true" applyNumberFormat="true" applyProtection="false" borderId="21" fillId="77" fontId="17" numFmtId="169" xfId="0">
      <alignment horizontal="center" vertical="center"/>
    </xf>
    <xf applyAlignment="true" applyBorder="false" applyFill="true" applyFont="true" applyNumberFormat="false" applyProtection="false" borderId="17" fillId="77" fontId="17" numFmtId="0" xfId="0">
      <alignment horizontal="center" vertical="center"/>
    </xf>
    <xf applyAlignment="true" applyBorder="false" applyFill="true" applyFont="true" applyNumberFormat="false" applyProtection="false" borderId="21" fillId="77" fontId="17" numFmtId="0" xfId="0">
      <alignment horizontal="center" vertical="center"/>
    </xf>
    <xf applyAlignment="true" applyBorder="false" applyFill="true" applyFont="true" applyNumberFormat="false" applyProtection="false" borderId="21" fillId="77" fontId="17" numFmtId="0" xfId="0">
      <alignment horizontal="center" vertical="center" wrapText="true"/>
    </xf>
    <xf applyAlignment="true" applyBorder="false" applyFill="true" applyFont="true" applyNumberFormat="false" applyProtection="false" borderId="22" fillId="77" fontId="17" numFmtId="0" xfId="0">
      <alignment horizontal="center" vertical="center"/>
    </xf>
    <xf applyAlignment="true" applyBorder="false" applyFill="true" applyFont="true" applyNumberFormat="false" applyProtection="false" borderId="19" fillId="40" fontId="5" numFmtId="0" xfId="0">
      <alignment horizontal="center" vertical="center"/>
    </xf>
    <xf applyAlignment="true" applyBorder="false" applyFill="true" applyFont="true" applyNumberFormat="true" applyProtection="false" borderId="21" fillId="51" fontId="4" numFmtId="169" xfId="0">
      <alignment horizontal="center" vertical="center"/>
    </xf>
    <xf applyAlignment="true" applyBorder="false" applyFill="true" applyFont="true" applyNumberFormat="true" applyProtection="false" borderId="21" fillId="78" fontId="16" numFmtId="168" xfId="0">
      <alignment horizontal="center" vertical="center" wrapText="true"/>
    </xf>
    <xf applyAlignment="true" applyBorder="false" applyFill="true" applyFont="true" applyNumberFormat="true" applyProtection="false" borderId="22" fillId="78" fontId="16" numFmtId="168" xfId="0">
      <alignment horizontal="center" vertical="center" wrapText="true"/>
    </xf>
    <xf applyAlignment="true" applyBorder="false" applyFill="true" applyFont="true" applyNumberFormat="true" applyProtection="false" borderId="21" fillId="78" fontId="7" numFmtId="168" xfId="0">
      <alignment horizontal="center" vertical="center" wrapText="true"/>
    </xf>
    <xf applyAlignment="true" applyBorder="false" applyFill="true" applyFont="true" applyNumberFormat="true" applyProtection="false" borderId="21" fillId="78" fontId="7" numFmtId="169" xfId="0">
      <alignment horizontal="center" vertical="center"/>
    </xf>
    <xf applyAlignment="true" applyBorder="false" applyFill="true" applyFont="true" applyNumberFormat="false" applyProtection="false" borderId="21" fillId="78" fontId="7" numFmtId="0" xfId="0">
      <alignment horizontal="center" vertical="center"/>
    </xf>
    <xf applyAlignment="true" applyBorder="false" applyFill="true" applyFont="true" applyNumberFormat="false" applyProtection="false" borderId="21" fillId="78" fontId="7" numFmtId="0" xfId="0">
      <alignment horizontal="center" vertical="center" wrapText="true"/>
    </xf>
    <xf applyAlignment="true" applyBorder="false" applyFill="true" applyFont="true" applyNumberFormat="false" applyProtection="false" borderId="22" fillId="78" fontId="7" numFmtId="0" xfId="0">
      <alignment horizontal="center" vertical="center"/>
    </xf>
    <xf applyAlignment="true" applyBorder="false" applyFill="true" applyFont="true" applyNumberFormat="true" applyProtection="false" borderId="21" fillId="78" fontId="4" numFmtId="169" xfId="0">
      <alignment horizontal="center" vertical="center"/>
    </xf>
    <xf applyAlignment="true" applyBorder="false" applyFill="true" applyFont="true" applyNumberFormat="true" applyProtection="false" borderId="21" fillId="78" fontId="4" numFmtId="169" xfId="0">
      <alignment horizontal="center" vertical="center"/>
    </xf>
    <xf applyAlignment="true" applyBorder="false" applyFill="true" applyFont="true" applyNumberFormat="false" applyProtection="false" borderId="21" fillId="78" fontId="5" numFmtId="0" xfId="0">
      <alignment horizontal="center" vertical="center"/>
    </xf>
    <xf applyAlignment="true" applyBorder="false" applyFill="true" applyFont="true" applyNumberFormat="false" applyProtection="false" borderId="21" fillId="78" fontId="5" numFmtId="0" xfId="0">
      <alignment horizontal="center" vertical="center"/>
    </xf>
    <xf applyAlignment="true" applyBorder="false" applyFill="true" applyFont="true" applyNumberFormat="false" applyProtection="false" borderId="21" fillId="78" fontId="5" numFmtId="0" xfId="0">
      <alignment horizontal="center" vertical="center" wrapText="true"/>
    </xf>
    <xf applyAlignment="true" applyBorder="false" applyFill="true" applyFont="true" applyNumberFormat="false" applyProtection="false" borderId="23" fillId="78" fontId="5" numFmtId="0" xfId="0">
      <alignment horizontal="center" vertical="center"/>
    </xf>
    <xf applyAlignment="true" applyBorder="false" applyFill="true" applyFont="true" applyNumberFormat="false" applyProtection="false" borderId="22" fillId="78" fontId="5" numFmtId="0" xfId="0">
      <alignment horizontal="center" vertical="center"/>
    </xf>
    <xf applyAlignment="true" applyBorder="false" applyFill="true" applyFont="true" applyNumberFormat="false" applyProtection="false" borderId="21" fillId="38" fontId="18" numFmtId="0" xfId="0">
      <alignment horizontal="center" vertical="center"/>
    </xf>
    <xf applyAlignment="true" applyBorder="false" applyFill="true" applyFont="true" applyNumberFormat="false" applyProtection="false" borderId="22" fillId="78" fontId="5" numFmtId="0" xfId="0">
      <alignment horizontal="center" vertical="center"/>
    </xf>
    <xf applyAlignment="true" applyBorder="false" applyFill="true" applyFont="true" applyNumberFormat="true" applyProtection="false" borderId="21" fillId="64" fontId="16" numFmtId="168" xfId="0">
      <alignment horizontal="center" vertical="center" wrapText="true"/>
    </xf>
    <xf applyAlignment="true" applyBorder="false" applyFill="true" applyFont="true" applyNumberFormat="true" applyProtection="false" borderId="21" fillId="64" fontId="16" numFmtId="168" xfId="0">
      <alignment horizontal="center" vertical="center" wrapText="true"/>
    </xf>
    <xf applyAlignment="true" applyBorder="false" applyFill="true" applyFont="true" applyNumberFormat="true" applyProtection="false" borderId="22" fillId="64" fontId="16" numFmtId="168" xfId="0">
      <alignment horizontal="center" vertical="center" wrapText="true"/>
    </xf>
    <xf applyAlignment="true" applyBorder="false" applyFill="true" applyFont="true" applyNumberFormat="true" applyProtection="false" borderId="21" fillId="64" fontId="4" numFmtId="169" xfId="0">
      <alignment horizontal="center" vertical="center"/>
    </xf>
    <xf applyAlignment="true" applyBorder="false" applyFill="true" applyFont="true" applyNumberFormat="true" applyProtection="false" borderId="21" fillId="79" fontId="4" numFmtId="169" xfId="0">
      <alignment horizontal="center" vertical="center"/>
    </xf>
    <xf applyAlignment="true" applyBorder="false" applyFill="true" applyFont="true" applyNumberFormat="false" applyProtection="false" borderId="21" fillId="64" fontId="5" numFmtId="0" xfId="0">
      <alignment horizontal="center" vertical="center"/>
    </xf>
    <xf applyAlignment="true" applyBorder="false" applyFill="true" applyFont="true" applyNumberFormat="false" applyProtection="false" borderId="21" fillId="79" fontId="5" numFmtId="0" xfId="0">
      <alignment horizontal="center" vertical="center"/>
    </xf>
    <xf applyAlignment="true" applyBorder="false" applyFill="true" applyFont="true" applyNumberFormat="false" applyProtection="false" borderId="21" fillId="64" fontId="5" numFmtId="0" xfId="0">
      <alignment horizontal="center" vertical="center" wrapText="true"/>
    </xf>
    <xf applyAlignment="true" applyBorder="false" applyFill="true" applyFont="true" applyNumberFormat="false" applyProtection="false" borderId="21" fillId="64" fontId="5" numFmtId="0" xfId="0">
      <alignment horizontal="center" vertical="center"/>
    </xf>
    <xf applyAlignment="true" applyBorder="false" applyFill="true" applyFont="true" applyNumberFormat="false" applyProtection="false" borderId="22" fillId="64" fontId="5" numFmtId="0" xfId="0">
      <alignment horizontal="center" vertical="center"/>
    </xf>
    <xf applyAlignment="true" applyBorder="false" applyFill="true" applyFont="true" applyNumberFormat="true" applyProtection="false" borderId="21" fillId="64" fontId="4" numFmtId="169" xfId="0">
      <alignment horizontal="center" vertical="center"/>
    </xf>
    <xf applyAlignment="true" applyBorder="false" applyFill="true" applyFont="true" applyNumberFormat="true" applyProtection="false" borderId="21" fillId="79" fontId="4" numFmtId="169" xfId="0">
      <alignment horizontal="center" vertical="center"/>
    </xf>
    <xf applyAlignment="true" applyBorder="false" applyFill="true" applyFont="true" applyNumberFormat="false" applyProtection="false" borderId="21" fillId="79" fontId="5" numFmtId="0" xfId="0">
      <alignment horizontal="center" vertical="center"/>
    </xf>
    <xf applyAlignment="true" applyBorder="false" applyFill="true" applyFont="true" applyNumberFormat="true" applyProtection="false" borderId="21" fillId="40" fontId="7" numFmtId="168" xfId="0">
      <alignment horizontal="center" vertical="center" wrapText="true"/>
    </xf>
    <xf applyAlignment="true" applyBorder="false" applyFill="true" applyFont="true" applyNumberFormat="true" applyProtection="false" borderId="21" fillId="57" fontId="7" numFmtId="168" xfId="0">
      <alignment horizontal="center" vertical="center" wrapText="true"/>
    </xf>
    <xf applyAlignment="true" applyBorder="false" applyFill="true" applyFont="true" applyNumberFormat="true" applyProtection="false" borderId="21" fillId="57" fontId="4" numFmtId="169" xfId="0">
      <alignment horizontal="center" vertical="center"/>
    </xf>
    <xf applyAlignment="true" applyBorder="false" applyFill="true" applyFont="true" applyNumberFormat="true" applyProtection="false" borderId="21" fillId="57" fontId="4" numFmtId="169" xfId="0">
      <alignment horizontal="center" vertical="center"/>
    </xf>
    <xf applyAlignment="true" applyBorder="false" applyFill="true" applyFont="true" applyNumberFormat="false" applyProtection="false" borderId="21" fillId="57" fontId="5" numFmtId="0" xfId="0">
      <alignment horizontal="center" vertical="center"/>
    </xf>
    <xf applyAlignment="true" applyBorder="false" applyFill="true" applyFont="true" applyNumberFormat="false" applyProtection="false" borderId="21" fillId="57" fontId="5" numFmtId="0" xfId="0">
      <alignment horizontal="center" vertical="center"/>
    </xf>
    <xf applyAlignment="true" applyBorder="false" applyFill="true" applyFont="true" applyNumberFormat="true" applyProtection="false" borderId="36" fillId="80" fontId="1" numFmtId="172" xfId="0">
      <alignment horizontal="left" vertical="center" wrapText="true"/>
    </xf>
    <xf applyAlignment="true" applyBorder="false" applyFill="true" applyFont="true" applyNumberFormat="true" applyProtection="false" borderId="36" fillId="80" fontId="1" numFmtId="172" xfId="0">
      <alignment horizontal="left" vertical="center" wrapText="true"/>
    </xf>
    <xf applyAlignment="true" applyBorder="false" applyFill="true" applyFont="true" applyNumberFormat="true" applyProtection="false" borderId="36" fillId="80" fontId="1" numFmtId="172" xfId="0">
      <alignment horizontal="center" vertical="center" wrapText="true"/>
    </xf>
    <xf applyAlignment="true" applyBorder="false" applyFill="true" applyFont="true" applyNumberFormat="true" applyProtection="false" borderId="36" fillId="81" fontId="1" numFmtId="172" xfId="0">
      <alignment horizontal="right" vertical="center" wrapText="true"/>
    </xf>
    <xf applyAlignment="true" applyBorder="false" applyFill="true" applyFont="true" applyNumberFormat="true" applyProtection="false" borderId="37" fillId="80" fontId="1" numFmtId="172" xfId="0">
      <alignment horizontal="left" vertical="center" wrapText="true"/>
    </xf>
    <xf applyAlignment="true" applyBorder="false" applyFill="true" applyFont="true" applyNumberFormat="true" applyProtection="false" borderId="0" fillId="82" fontId="1" numFmtId="172" xfId="0">
      <alignment horizontal="left" vertical="center" wrapText="true"/>
    </xf>
    <xf applyAlignment="true" applyBorder="false" applyFill="true" applyFont="true" applyNumberFormat="true" applyProtection="false" borderId="0" fillId="83" fontId="2" numFmtId="172" xfId="0">
      <alignment horizontal="center" vertical="center"/>
    </xf>
    <xf applyAlignment="true" applyBorder="false" applyFill="true" applyFont="true" applyNumberFormat="true" applyProtection="false" borderId="0" fillId="83" fontId="2" numFmtId="172" xfId="0">
      <alignment horizontal="center" vertical="center"/>
    </xf>
    <xf applyAlignment="true" applyBorder="false" applyFill="true" applyFont="true" applyNumberFormat="true" applyProtection="false" borderId="0" fillId="82" fontId="2" numFmtId="172" xfId="0">
      <alignment horizontal="center" vertical="center"/>
    </xf>
    <xf applyAlignment="true" applyBorder="false" applyFill="true" applyFont="true" applyNumberFormat="true" applyProtection="false" borderId="36" fillId="84" fontId="3" numFmtId="172" xfId="0">
      <alignment horizontal="center" vertical="center" wrapText="true"/>
    </xf>
    <xf applyAlignment="true" applyBorder="false" applyFill="true" applyFont="true" applyNumberFormat="true" applyProtection="false" borderId="36" fillId="84" fontId="3" numFmtId="172" xfId="0">
      <alignment horizontal="center" vertical="center" wrapText="true"/>
    </xf>
    <xf applyAlignment="true" applyBorder="false" applyFill="true" applyFont="true" applyNumberFormat="true" applyProtection="false" borderId="0" fillId="82" fontId="3" numFmtId="172" xfId="0">
      <alignment horizontal="center" vertical="center" wrapText="true"/>
    </xf>
    <xf applyAlignment="true" applyBorder="false" applyFill="true" applyFont="true" applyNumberFormat="true" applyProtection="false" borderId="38" fillId="85" fontId="4" numFmtId="173" xfId="0">
      <alignment horizontal="center" vertical="center"/>
    </xf>
    <xf applyAlignment="true" applyBorder="false" applyFill="true" applyFont="true" applyNumberFormat="true" applyProtection="false" borderId="38" fillId="85" fontId="4" numFmtId="173" xfId="0">
      <alignment horizontal="center" vertical="center"/>
    </xf>
    <xf applyAlignment="true" applyBorder="false" applyFill="true" applyFont="true" applyNumberFormat="true" applyProtection="false" borderId="39" fillId="85" fontId="4" numFmtId="173" xfId="0">
      <alignment horizontal="center" vertical="center"/>
    </xf>
    <xf applyAlignment="true" applyBorder="false" applyFill="true" applyFont="true" applyNumberFormat="false" applyProtection="false" borderId="40" fillId="85" fontId="5" numFmtId="0" xfId="0">
      <alignment horizontal="center" vertical="center"/>
    </xf>
    <xf applyAlignment="true" applyBorder="false" applyFill="true" applyFont="true" applyNumberFormat="false" applyProtection="false" borderId="41" fillId="85" fontId="5" numFmtId="0" xfId="0">
      <alignment horizontal="center" vertical="center"/>
    </xf>
    <xf applyAlignment="true" applyBorder="false" applyFill="false" applyFont="true" applyNumberFormat="true" applyProtection="false" borderId="38" fillId="0" fontId="5" numFmtId="174" xfId="0">
      <alignment horizontal="center" vertical="center"/>
    </xf>
    <xf applyAlignment="true" applyBorder="false" applyFill="true" applyFont="true" applyNumberFormat="false" applyProtection="false" borderId="39" fillId="85" fontId="5" numFmtId="0" xfId="0">
      <alignment horizontal="center" vertical="center" wrapText="true"/>
    </xf>
    <xf applyAlignment="true" applyBorder="false" applyFill="false" applyFont="true" applyNumberFormat="false" applyProtection="false" borderId="40" fillId="0" fontId="5" numFmtId="0" xfId="0">
      <alignment horizontal="center" vertical="center"/>
    </xf>
    <xf applyAlignment="true" applyBorder="false" applyFill="true" applyFont="true" applyNumberFormat="false" applyProtection="false" borderId="41" fillId="85" fontId="5" numFmtId="0" xfId="0">
      <alignment horizontal="center" vertical="center"/>
    </xf>
    <xf applyAlignment="true" applyBorder="false" applyFill="true" applyFont="true" applyNumberFormat="false" applyProtection="false" borderId="0" fillId="82" fontId="5" numFmtId="0" xfId="0">
      <alignment horizontal="center" vertical="center"/>
    </xf>
    <xf applyAlignment="true" applyBorder="false" applyFill="true" applyFont="true" applyNumberFormat="true" applyProtection="false" borderId="42" fillId="85" fontId="4" numFmtId="173" xfId="0">
      <alignment horizontal="center" vertical="center"/>
    </xf>
    <xf applyAlignment="true" applyBorder="false" applyFill="true" applyFont="true" applyNumberFormat="true" applyProtection="false" borderId="43" fillId="85" fontId="4" numFmtId="173" xfId="0">
      <alignment horizontal="center" vertical="center"/>
    </xf>
    <xf applyAlignment="true" applyBorder="false" applyFill="true" applyFont="true" applyNumberFormat="true" applyProtection="false" borderId="40" fillId="85" fontId="4" numFmtId="173" xfId="0">
      <alignment horizontal="center" vertical="center"/>
    </xf>
    <xf applyAlignment="true" applyBorder="false" applyFill="true" applyFont="true" applyNumberFormat="true" applyProtection="false" borderId="44" fillId="85" fontId="4" numFmtId="173" xfId="0">
      <alignment horizontal="center" vertical="center"/>
    </xf>
    <xf applyAlignment="true" applyBorder="false" applyFill="true" applyFont="true" applyNumberFormat="true" applyProtection="false" borderId="37" fillId="84" fontId="3" numFmtId="172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38" fillId="85" fontId="5" numFmtId="0" xfId="0">
      <alignment horizontal="center" vertical="center"/>
    </xf>
    <xf applyAlignment="true" applyBorder="false" applyFill="true" applyFont="true" applyNumberFormat="false" applyProtection="false" borderId="45" fillId="85" fontId="5" numFmtId="0" xfId="0">
      <alignment horizontal="center" vertical="center"/>
    </xf>
    <xf applyAlignment="true" applyBorder="false" applyFill="true" applyFont="true" applyNumberFormat="false" applyProtection="false" borderId="38" fillId="82" fontId="5" numFmtId="0" xfId="0">
      <alignment horizontal="center" vertical="center"/>
    </xf>
    <xf applyAlignment="true" applyBorder="false" applyFill="true" applyFont="true" applyNumberFormat="false" applyProtection="false" borderId="38" fillId="85" fontId="5" numFmtId="0" xfId="0">
      <alignment horizontal="center" vertical="center" wrapText="true"/>
    </xf>
    <xf applyAlignment="true" applyBorder="false" applyFill="false" applyFont="true" applyNumberFormat="false" applyProtection="false" borderId="38" fillId="0" fontId="5" numFmtId="0" xfId="0">
      <alignment horizontal="center" vertical="center"/>
    </xf>
    <xf applyAlignment="true" applyBorder="false" applyFill="true" applyFont="true" applyNumberFormat="false" applyProtection="false" borderId="44" fillId="85" fontId="5" numFmtId="0" xfId="0">
      <alignment horizontal="center" vertical="center"/>
    </xf>
    <xf applyAlignment="true" applyBorder="false" applyFill="true" applyFont="true" applyNumberFormat="true" applyProtection="false" borderId="42" fillId="85" fontId="4" numFmtId="173" xfId="0">
      <alignment horizontal="center" vertical="center"/>
    </xf>
    <xf applyAlignment="true" applyBorder="false" applyFill="true" applyFont="true" applyNumberFormat="false" applyProtection="false" borderId="42" fillId="85" fontId="5" numFmtId="0" xfId="0">
      <alignment horizontal="center" vertical="center"/>
    </xf>
    <xf applyAlignment="true" applyBorder="false" applyFill="true" applyFont="true" applyNumberFormat="true" applyProtection="false" borderId="40" fillId="84" fontId="7" numFmtId="172" xfId="0">
      <alignment horizontal="center" vertical="center" wrapText="true"/>
    </xf>
    <xf applyAlignment="true" applyBorder="false" applyFill="true" applyFont="true" applyNumberFormat="true" applyProtection="false" borderId="40" fillId="84" fontId="7" numFmtId="173" xfId="0">
      <alignment horizontal="center" vertical="center"/>
    </xf>
    <xf applyAlignment="true" applyBorder="false" applyFill="true" applyFont="true" applyNumberFormat="false" applyProtection="false" borderId="40" fillId="84" fontId="7" numFmtId="0" xfId="0">
      <alignment horizontal="center" vertical="center"/>
    </xf>
    <xf applyAlignment="true" applyBorder="false" applyFill="true" applyFont="true" applyNumberFormat="false" applyProtection="false" borderId="41" fillId="84" fontId="7" numFmtId="0" xfId="0">
      <alignment horizontal="center" vertical="center"/>
    </xf>
    <xf applyAlignment="true" applyBorder="false" applyFill="true" applyFont="true" applyNumberFormat="false" applyProtection="false" borderId="39" fillId="84" fontId="7" numFmtId="0" xfId="0">
      <alignment horizontal="center" vertical="center" wrapText="true"/>
    </xf>
    <xf applyAlignment="true" applyBorder="false" applyFill="true" applyFont="true" applyNumberFormat="false" applyProtection="false" borderId="0" fillId="82" fontId="7" numFmtId="0" xfId="0">
      <alignment horizontal="center" vertical="center"/>
    </xf>
    <xf applyAlignment="true" applyBorder="false" applyFill="true" applyFont="true" applyNumberFormat="true" applyProtection="false" borderId="40" fillId="85" fontId="4" numFmtId="173" xfId="0">
      <alignment horizontal="center" vertical="center"/>
    </xf>
    <xf applyAlignment="true" applyBorder="false" applyFill="false" applyFont="true" applyNumberFormat="true" applyProtection="false" borderId="40" fillId="0" fontId="5" numFmtId="174" xfId="0">
      <alignment horizontal="center" vertical="center"/>
    </xf>
    <xf applyAlignment="true" applyBorder="false" applyFill="false" applyFont="true" applyNumberFormat="false" applyProtection="false" borderId="39" fillId="0" fontId="5" numFmtId="0" xfId="0">
      <alignment horizontal="center" vertical="center" wrapText="true"/>
    </xf>
    <xf applyAlignment="true" applyBorder="false" applyFill="false" applyFont="true" applyNumberFormat="false" applyProtection="false" borderId="41" fillId="0" fontId="5" numFmtId="0" xfId="0">
      <alignment horizontal="center" vertical="center"/>
    </xf>
    <xf applyAlignment="true" applyBorder="false" applyFill="false" applyFont="true" applyNumberFormat="false" applyProtection="false" borderId="40" fillId="0" fontId="5" numFmtId="0" xfId="0">
      <alignment horizontal="center" vertical="center"/>
    </xf>
    <xf applyAlignment="true" applyBorder="false" applyFill="true" applyFont="true" applyNumberFormat="false" applyProtection="false" borderId="40" fillId="85" fontId="5" numFmtId="0" xfId="0">
      <alignment horizontal="center" vertical="center"/>
    </xf>
    <xf applyAlignment="true" applyBorder="false" applyFill="true" applyFont="true" applyNumberFormat="true" applyProtection="false" borderId="40" fillId="85" fontId="7" numFmtId="172" xfId="0">
      <alignment horizontal="center" vertical="center" wrapText="true"/>
    </xf>
    <xf applyAlignment="true" applyBorder="false" applyFill="false" applyFont="true" applyNumberFormat="false" applyProtection="false" borderId="40" fillId="0" fontId="5" numFmtId="0" xfId="0">
      <alignment horizontal="center" vertical="center"/>
    </xf>
    <xf applyAlignment="true" applyBorder="false" applyFill="true" applyFont="true" applyNumberFormat="true" applyProtection="false" borderId="40" fillId="85" fontId="5" numFmtId="174" xfId="0">
      <alignment horizontal="center" vertical="center"/>
    </xf>
    <xf applyAlignment="true" applyBorder="false" applyFill="true" applyFont="true" applyNumberFormat="false" applyProtection="false" borderId="40" fillId="85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40" fillId="86" fontId="3" numFmtId="172" xfId="0">
      <alignment horizontal="center" vertical="center" wrapText="true"/>
    </xf>
    <xf applyAlignment="true" applyBorder="false" applyFill="true" applyFont="true" applyNumberFormat="true" applyProtection="false" borderId="41" fillId="86" fontId="3" numFmtId="172" xfId="0">
      <alignment horizontal="center" vertical="center" wrapText="true"/>
    </xf>
    <xf applyAlignment="true" applyBorder="false" applyFill="true" applyFont="true" applyNumberFormat="true" applyProtection="false" borderId="0" fillId="82" fontId="3" numFmtId="172" xfId="0">
      <alignment horizontal="center" vertical="center" wrapText="true"/>
    </xf>
    <xf applyAlignment="true" applyBorder="false" applyFill="true" applyFont="true" applyNumberFormat="true" applyProtection="false" borderId="40" fillId="86" fontId="7" numFmtId="172" xfId="0">
      <alignment horizontal="center" vertical="center" wrapText="true"/>
    </xf>
    <xf applyAlignment="true" applyBorder="false" applyFill="true" applyFont="true" applyNumberFormat="true" applyProtection="false" borderId="40" fillId="86" fontId="7" numFmtId="173" xfId="0">
      <alignment horizontal="center" vertical="center"/>
    </xf>
    <xf applyAlignment="true" applyBorder="false" applyFill="true" applyFont="true" applyNumberFormat="false" applyProtection="false" borderId="40" fillId="86" fontId="7" numFmtId="0" xfId="0">
      <alignment horizontal="center" vertical="center"/>
    </xf>
    <xf applyAlignment="true" applyBorder="false" applyFill="true" applyFont="true" applyNumberFormat="false" applyProtection="false" borderId="40" fillId="86" fontId="7" numFmtId="0" xfId="0">
      <alignment horizontal="center" vertical="center" wrapText="true"/>
    </xf>
    <xf applyAlignment="true" applyBorder="false" applyFill="true" applyFont="true" applyNumberFormat="false" applyProtection="false" borderId="41" fillId="86" fontId="7" numFmtId="0" xfId="0">
      <alignment horizontal="center" vertical="center"/>
    </xf>
    <xf applyAlignment="true" applyBorder="false" applyFill="true" applyFont="true" applyNumberFormat="false" applyProtection="false" borderId="40" fillId="85" fontId="5" numFmtId="0" xfId="0">
      <alignment horizontal="center" vertical="center" wrapText="true"/>
    </xf>
    <xf applyAlignment="true" applyBorder="false" applyFill="true" applyFont="true" applyNumberFormat="false" applyProtection="false" borderId="36" fillId="85" fontId="5" numFmtId="0" xfId="0">
      <alignment horizontal="center" vertical="center"/>
    </xf>
    <xf applyAlignment="true" applyBorder="false" applyFill="true" applyFont="true" applyNumberFormat="false" applyProtection="false" borderId="36" fillId="82" fontId="5" numFmtId="0" xfId="0">
      <alignment horizontal="center" vertical="center"/>
    </xf>
    <xf applyAlignment="true" applyBorder="false" applyFill="true" applyFont="true" applyNumberFormat="true" applyProtection="false" borderId="40" fillId="87" fontId="4" numFmtId="173" xfId="0">
      <alignment horizontal="center" vertical="center"/>
    </xf>
    <xf applyAlignment="true" applyBorder="false" applyFill="true" applyFont="true" applyNumberFormat="true" applyProtection="false" borderId="40" fillId="87" fontId="4" numFmtId="173" xfId="0">
      <alignment horizontal="center" vertical="center"/>
    </xf>
    <xf applyAlignment="true" applyBorder="false" applyFill="true" applyFont="true" applyNumberFormat="false" applyProtection="false" borderId="40" fillId="87" fontId="5" numFmtId="0" xfId="0">
      <alignment horizontal="center" vertical="center"/>
    </xf>
    <xf applyAlignment="true" applyBorder="false" applyFill="true" applyFont="true" applyNumberFormat="false" applyProtection="false" borderId="40" fillId="87" fontId="5" numFmtId="0" xfId="0">
      <alignment horizontal="center" vertical="center"/>
    </xf>
    <xf applyAlignment="true" applyBorder="false" applyFill="true" applyFont="true" applyNumberFormat="false" applyProtection="false" borderId="40" fillId="87" fontId="5" numFmtId="0" xfId="0">
      <alignment horizontal="center" vertical="center" wrapText="true"/>
    </xf>
    <xf applyAlignment="true" applyBorder="false" applyFill="true" applyFont="true" applyNumberFormat="false" applyProtection="false" borderId="36" fillId="87" fontId="5" numFmtId="0" xfId="0">
      <alignment horizontal="center" vertical="center"/>
    </xf>
    <xf applyAlignment="true" applyBorder="false" applyFill="true" applyFont="true" applyNumberFormat="false" applyProtection="false" borderId="41" fillId="87" fontId="5" numFmtId="0" xfId="0">
      <alignment horizontal="center" vertical="center"/>
    </xf>
    <xf applyAlignment="true" applyBorder="false" applyFill="true" applyFont="true" applyNumberFormat="true" applyProtection="false" borderId="40" fillId="88" fontId="4" numFmtId="173" xfId="0">
      <alignment horizontal="center" vertical="center"/>
    </xf>
    <xf applyAlignment="true" applyBorder="false" applyFill="true" applyFont="true" applyNumberFormat="true" applyProtection="false" borderId="40" fillId="88" fontId="4" numFmtId="173" xfId="0">
      <alignment horizontal="center" vertical="center"/>
    </xf>
    <xf applyAlignment="true" applyBorder="false" applyFill="true" applyFont="true" applyNumberFormat="false" applyProtection="false" borderId="40" fillId="88" fontId="5" numFmtId="0" xfId="0">
      <alignment horizontal="center" vertical="center"/>
    </xf>
    <xf applyAlignment="true" applyBorder="false" applyFill="true" applyFont="true" applyNumberFormat="false" applyProtection="false" borderId="40" fillId="88" fontId="5" numFmtId="0" xfId="0">
      <alignment horizontal="center" vertical="center"/>
    </xf>
    <xf applyAlignment="true" applyBorder="false" applyFill="true" applyFont="true" applyNumberFormat="false" applyProtection="false" borderId="40" fillId="88" fontId="5" numFmtId="0" xfId="0">
      <alignment horizontal="center" vertical="center" wrapText="true"/>
    </xf>
    <xf applyAlignment="true" applyBorder="false" applyFill="true" applyFont="true" applyNumberFormat="false" applyProtection="false" borderId="36" fillId="88" fontId="5" numFmtId="0" xfId="0">
      <alignment horizontal="center" vertical="center"/>
    </xf>
    <xf applyAlignment="true" applyBorder="false" applyFill="true" applyFont="true" applyNumberFormat="false" applyProtection="false" borderId="41" fillId="88" fontId="5" numFmtId="0" xfId="0">
      <alignment horizontal="center" vertical="center"/>
    </xf>
    <xf applyAlignment="true" applyBorder="false" applyFill="true" applyFont="true" applyNumberFormat="false" applyProtection="false" borderId="40" fillId="88" fontId="5" numFmtId="0" xfId="0">
      <alignment horizontal="center" vertical="center" wrapText="true"/>
    </xf>
    <xf applyAlignment="true" applyBorder="false" applyFill="true" applyFont="true" applyNumberFormat="false" applyProtection="false" borderId="0" fillId="82" fontId="6" numFmtId="0" xfId="0">
      <alignment vertical="center"/>
    </xf>
    <xf applyAlignment="true" applyBorder="false" applyFill="true" applyFont="true" applyNumberFormat="true" applyProtection="false" borderId="40" fillId="89" fontId="4" numFmtId="173" xfId="0">
      <alignment horizontal="center" vertical="center"/>
    </xf>
    <xf applyAlignment="true" applyBorder="false" applyFill="true" applyFont="true" applyNumberFormat="true" applyProtection="false" borderId="40" fillId="89" fontId="4" numFmtId="173" xfId="0">
      <alignment horizontal="center" vertical="center"/>
    </xf>
    <xf applyAlignment="true" applyBorder="false" applyFill="true" applyFont="true" applyNumberFormat="false" applyProtection="false" borderId="40" fillId="89" fontId="5" numFmtId="0" xfId="0">
      <alignment horizontal="center" vertical="center"/>
    </xf>
    <xf applyAlignment="true" applyBorder="false" applyFill="true" applyFont="true" applyNumberFormat="false" applyProtection="false" borderId="40" fillId="89" fontId="5" numFmtId="0" xfId="0">
      <alignment horizontal="center" vertical="center"/>
    </xf>
    <xf applyAlignment="true" applyBorder="false" applyFill="true" applyFont="true" applyNumberFormat="false" applyProtection="false" borderId="38" fillId="90" fontId="9" numFmtId="0" xfId="0">
      <alignment horizontal="center" vertical="center"/>
    </xf>
    <xf applyAlignment="true" applyBorder="false" applyFill="true" applyFont="true" applyNumberFormat="true" applyProtection="false" borderId="38" fillId="90" fontId="3" numFmtId="172" xfId="0">
      <alignment horizontal="center" vertical="center" wrapText="true"/>
    </xf>
    <xf applyAlignment="true" applyBorder="false" applyFill="true" applyFont="true" applyNumberFormat="true" applyProtection="false" borderId="44" fillId="90" fontId="3" numFmtId="172" xfId="0">
      <alignment horizontal="center" vertical="center" wrapText="true"/>
    </xf>
    <xf applyAlignment="true" applyBorder="false" applyFill="true" applyFont="true" applyNumberFormat="false" applyProtection="false" borderId="38" fillId="90" fontId="7" numFmtId="0" xfId="0">
      <alignment horizontal="center" vertical="center"/>
    </xf>
    <xf applyAlignment="true" applyBorder="false" applyFill="true" applyFont="true" applyNumberFormat="true" applyProtection="false" borderId="38" fillId="90" fontId="7" numFmtId="173" xfId="0">
      <alignment horizontal="center" vertical="center"/>
    </xf>
    <xf applyAlignment="true" applyBorder="false" applyFill="true" applyFont="true" applyNumberFormat="false" applyProtection="false" borderId="38" fillId="90" fontId="7" numFmtId="0" xfId="0">
      <alignment horizontal="center" vertical="center"/>
    </xf>
    <xf applyAlignment="true" applyBorder="false" applyFill="true" applyFont="true" applyNumberFormat="false" applyProtection="false" borderId="38" fillId="90" fontId="7" numFmtId="0" xfId="0">
      <alignment horizontal="center" vertical="center" wrapText="true"/>
    </xf>
    <xf applyAlignment="true" applyBorder="false" applyFill="true" applyFont="true" applyNumberFormat="false" applyProtection="false" borderId="44" fillId="90" fontId="7" numFmtId="0" xfId="0">
      <alignment horizontal="center" vertical="center"/>
    </xf>
    <xf applyAlignment="true" applyBorder="false" applyFill="true" applyFont="true" applyNumberFormat="true" applyProtection="false" borderId="38" fillId="82" fontId="4" numFmtId="173" xfId="0">
      <alignment horizontal="center" vertical="center"/>
    </xf>
    <xf applyAlignment="true" applyBorder="false" applyFill="true" applyFont="true" applyNumberFormat="true" applyProtection="false" borderId="38" fillId="82" fontId="4" numFmtId="173" xfId="0">
      <alignment horizontal="center" vertical="center"/>
    </xf>
    <xf applyAlignment="true" applyBorder="false" applyFill="true" applyFont="true" applyNumberFormat="true" applyProtection="false" borderId="38" fillId="82" fontId="5" numFmtId="175" xfId="0">
      <alignment horizontal="center" vertical="center"/>
    </xf>
    <xf applyAlignment="true" applyBorder="false" applyFill="true" applyFont="true" applyNumberFormat="false" applyProtection="false" borderId="38" fillId="82" fontId="5" numFmtId="0" xfId="0">
      <alignment horizontal="center" vertical="center" wrapText="true"/>
    </xf>
    <xf applyAlignment="true" applyBorder="false" applyFill="true" applyFont="true" applyNumberFormat="false" applyProtection="false" borderId="44" fillId="82" fontId="5" numFmtId="0" xfId="0">
      <alignment horizontal="center" vertical="center"/>
    </xf>
    <xf applyAlignment="true" applyBorder="false" applyFill="true" applyFont="true" applyNumberFormat="true" applyProtection="false" borderId="40" fillId="91" fontId="4" numFmtId="173" xfId="0">
      <alignment horizontal="center" vertical="center"/>
    </xf>
    <xf applyAlignment="true" applyBorder="false" applyFill="true" applyFont="true" applyNumberFormat="true" applyProtection="false" borderId="38" fillId="91" fontId="4" numFmtId="173" xfId="0">
      <alignment horizontal="center" vertical="center"/>
    </xf>
    <xf applyAlignment="true" applyBorder="false" applyFill="true" applyFont="true" applyNumberFormat="true" applyProtection="false" borderId="38" fillId="91" fontId="4" numFmtId="173" xfId="0">
      <alignment horizontal="center" vertical="center"/>
    </xf>
    <xf applyAlignment="true" applyBorder="false" applyFill="true" applyFont="true" applyNumberFormat="true" applyProtection="false" borderId="38" fillId="91" fontId="5" numFmtId="175" xfId="0">
      <alignment horizontal="center" vertical="center"/>
    </xf>
    <xf applyAlignment="true" applyBorder="false" applyFill="true" applyFont="true" applyNumberFormat="false" applyProtection="false" borderId="38" fillId="91" fontId="5" numFmtId="0" xfId="0">
      <alignment horizontal="center" vertical="center"/>
    </xf>
    <xf applyAlignment="true" applyBorder="false" applyFill="true" applyFont="true" applyNumberFormat="false" applyProtection="false" borderId="38" fillId="91" fontId="5" numFmtId="0" xfId="0">
      <alignment horizontal="center" vertical="center" wrapText="true"/>
    </xf>
    <xf applyAlignment="true" applyBorder="false" applyFill="true" applyFont="true" applyNumberFormat="false" applyProtection="false" borderId="44" fillId="91" fontId="5" numFmtId="0" xfId="0">
      <alignment horizontal="center" vertical="center"/>
    </xf>
    <xf applyAlignment="true" applyBorder="false" applyFill="true" applyFont="true" applyNumberFormat="false" applyProtection="false" borderId="38" fillId="91" fontId="5" numFmtId="0" xfId="0">
      <alignment horizontal="center" vertical="center" wrapText="true"/>
    </xf>
    <xf applyAlignment="true" applyBorder="false" applyFill="true" applyFont="true" applyNumberFormat="false" applyProtection="false" borderId="38" fillId="92" fontId="9" numFmtId="0" xfId="0">
      <alignment horizontal="center" vertical="center"/>
    </xf>
    <xf applyAlignment="true" applyBorder="false" applyFill="true" applyFont="true" applyNumberFormat="true" applyProtection="false" borderId="38" fillId="92" fontId="3" numFmtId="172" xfId="0">
      <alignment horizontal="center" vertical="center" wrapText="true"/>
    </xf>
    <xf applyAlignment="true" applyBorder="false" applyFill="true" applyFont="true" applyNumberFormat="true" applyProtection="false" borderId="44" fillId="92" fontId="3" numFmtId="172" xfId="0">
      <alignment horizontal="center" vertical="center" wrapText="true"/>
    </xf>
    <xf applyAlignment="true" applyBorder="false" applyFill="true" applyFont="true" applyNumberFormat="false" applyProtection="false" borderId="38" fillId="92" fontId="7" numFmtId="0" xfId="0">
      <alignment horizontal="center" vertical="center"/>
    </xf>
    <xf applyAlignment="true" applyBorder="false" applyFill="true" applyFont="true" applyNumberFormat="true" applyProtection="false" borderId="38" fillId="92" fontId="7" numFmtId="173" xfId="0">
      <alignment horizontal="center" vertical="center"/>
    </xf>
    <xf applyAlignment="true" applyBorder="false" applyFill="true" applyFont="true" applyNumberFormat="false" applyProtection="false" borderId="38" fillId="92" fontId="7" numFmtId="0" xfId="0">
      <alignment horizontal="center" vertical="center"/>
    </xf>
    <xf applyAlignment="true" applyBorder="false" applyFill="true" applyFont="true" applyNumberFormat="false" applyProtection="false" borderId="38" fillId="92" fontId="7" numFmtId="0" xfId="0">
      <alignment horizontal="center" vertical="center" wrapText="true"/>
    </xf>
    <xf applyAlignment="true" applyBorder="false" applyFill="true" applyFont="true" applyNumberFormat="false" applyProtection="false" borderId="44" fillId="92" fontId="7" numFmtId="0" xfId="0">
      <alignment horizontal="center" vertical="center"/>
    </xf>
    <xf applyAlignment="true" applyBorder="false" applyFill="true" applyFont="true" applyNumberFormat="true" applyProtection="false" borderId="38" fillId="87" fontId="4" numFmtId="173" xfId="0">
      <alignment horizontal="center" vertical="center"/>
    </xf>
    <xf applyAlignment="true" applyBorder="false" applyFill="true" applyFont="true" applyNumberFormat="true" applyProtection="false" borderId="38" fillId="87" fontId="4" numFmtId="173" xfId="0">
      <alignment horizontal="center" vertical="center"/>
    </xf>
    <xf applyAlignment="true" applyBorder="false" applyFill="true" applyFont="true" applyNumberFormat="true" applyProtection="false" borderId="38" fillId="87" fontId="5" numFmtId="175" xfId="0">
      <alignment horizontal="center" vertical="center"/>
    </xf>
    <xf applyAlignment="true" applyBorder="false" applyFill="true" applyFont="true" applyNumberFormat="false" applyProtection="false" borderId="38" fillId="87" fontId="5" numFmtId="0" xfId="0">
      <alignment horizontal="center" vertical="center"/>
    </xf>
    <xf applyAlignment="true" applyBorder="false" applyFill="true" applyFont="true" applyNumberFormat="false" applyProtection="false" borderId="38" fillId="87" fontId="5" numFmtId="0" xfId="0">
      <alignment horizontal="center" vertical="center" wrapText="true"/>
    </xf>
    <xf applyAlignment="true" applyBorder="false" applyFill="true" applyFont="true" applyNumberFormat="false" applyProtection="false" borderId="44" fillId="85" fontId="5" numFmtId="0" xfId="0">
      <alignment horizontal="center" vertical="center"/>
    </xf>
    <xf applyAlignment="true" applyBorder="false" applyFill="true" applyFont="true" applyNumberFormat="false" applyProtection="false" borderId="38" fillId="93" fontId="9" numFmtId="0" xfId="0">
      <alignment horizontal="center" vertical="center"/>
    </xf>
    <xf applyAlignment="true" applyBorder="false" applyFill="true" applyFont="true" applyNumberFormat="true" applyProtection="false" borderId="38" fillId="93" fontId="3" numFmtId="172" xfId="0">
      <alignment horizontal="center" vertical="center" wrapText="true"/>
    </xf>
    <xf applyAlignment="true" applyBorder="false" applyFill="true" applyFont="true" applyNumberFormat="true" applyProtection="false" borderId="44" fillId="93" fontId="3" numFmtId="172" xfId="0">
      <alignment horizontal="center" vertical="center" wrapText="true"/>
    </xf>
    <xf applyAlignment="true" applyBorder="false" applyFill="true" applyFont="true" applyNumberFormat="false" applyProtection="false" borderId="38" fillId="93" fontId="7" numFmtId="0" xfId="0">
      <alignment horizontal="center" vertical="center"/>
    </xf>
    <xf applyAlignment="true" applyBorder="false" applyFill="true" applyFont="true" applyNumberFormat="true" applyProtection="false" borderId="38" fillId="93" fontId="7" numFmtId="173" xfId="0">
      <alignment horizontal="center" vertical="center"/>
    </xf>
    <xf applyAlignment="true" applyBorder="false" applyFill="true" applyFont="true" applyNumberFormat="false" applyProtection="false" borderId="38" fillId="93" fontId="7" numFmtId="0" xfId="0">
      <alignment horizontal="center" vertical="center"/>
    </xf>
    <xf applyAlignment="true" applyBorder="false" applyFill="true" applyFont="true" applyNumberFormat="false" applyProtection="false" borderId="38" fillId="93" fontId="7" numFmtId="0" xfId="0">
      <alignment horizontal="center" vertical="center" wrapText="true"/>
    </xf>
    <xf applyAlignment="true" applyBorder="false" applyFill="true" applyFont="true" applyNumberFormat="false" applyProtection="false" borderId="44" fillId="93" fontId="7" numFmtId="0" xfId="0">
      <alignment horizontal="center" vertical="center"/>
    </xf>
    <xf applyAlignment="true" applyBorder="false" applyFill="true" applyFont="true" applyNumberFormat="true" applyProtection="false" borderId="38" fillId="85" fontId="5" numFmtId="175" xfId="0">
      <alignment horizontal="center" vertical="center"/>
    </xf>
    <xf applyAlignment="true" applyBorder="false" applyFill="true" applyFont="true" applyNumberFormat="false" applyProtection="false" borderId="38" fillId="85" fontId="5" numFmtId="0" xfId="0">
      <alignment horizontal="center" vertical="center"/>
    </xf>
    <xf applyAlignment="true" applyBorder="false" applyFill="true" applyFont="true" applyNumberFormat="true" applyProtection="false" borderId="45" fillId="85" fontId="4" numFmtId="173" xfId="0">
      <alignment horizontal="center" vertical="center"/>
    </xf>
    <xf applyAlignment="true" applyBorder="false" applyFill="true" applyFont="true" applyNumberFormat="false" applyProtection="false" borderId="38" fillId="94" fontId="9" numFmtId="0" xfId="0">
      <alignment horizontal="center" vertical="center"/>
    </xf>
    <xf applyAlignment="true" applyBorder="false" applyFill="true" applyFont="true" applyNumberFormat="true" applyProtection="false" borderId="38" fillId="94" fontId="3" numFmtId="172" xfId="0">
      <alignment horizontal="center" vertical="center" wrapText="true"/>
    </xf>
    <xf applyAlignment="true" applyBorder="false" applyFill="true" applyFont="true" applyNumberFormat="true" applyProtection="false" borderId="44" fillId="94" fontId="3" numFmtId="172" xfId="0">
      <alignment horizontal="center" vertical="center" wrapText="true"/>
    </xf>
    <xf applyAlignment="true" applyBorder="false" applyFill="true" applyFont="true" applyNumberFormat="false" applyProtection="false" borderId="38" fillId="94" fontId="7" numFmtId="0" xfId="0">
      <alignment horizontal="center" vertical="center"/>
    </xf>
    <xf applyAlignment="true" applyBorder="false" applyFill="true" applyFont="true" applyNumberFormat="true" applyProtection="false" borderId="38" fillId="94" fontId="7" numFmtId="173" xfId="0">
      <alignment horizontal="center" vertical="center"/>
    </xf>
    <xf applyAlignment="true" applyBorder="false" applyFill="true" applyFont="true" applyNumberFormat="false" applyProtection="false" borderId="38" fillId="94" fontId="7" numFmtId="0" xfId="0">
      <alignment horizontal="center" vertical="center"/>
    </xf>
    <xf applyAlignment="true" applyBorder="false" applyFill="true" applyFont="true" applyNumberFormat="false" applyProtection="false" borderId="38" fillId="94" fontId="7" numFmtId="0" xfId="0">
      <alignment horizontal="center" vertical="center" wrapText="true"/>
    </xf>
    <xf applyAlignment="true" applyBorder="false" applyFill="true" applyFont="true" applyNumberFormat="false" applyProtection="false" borderId="46" fillId="94" fontId="7" numFmtId="0" xfId="0">
      <alignment horizontal="center" vertical="center"/>
    </xf>
    <xf applyAlignment="true" applyBorder="false" applyFill="true" applyFont="true" applyNumberFormat="true" applyProtection="false" borderId="40" fillId="85" fontId="5" numFmtId="175" xfId="0">
      <alignment horizontal="center" vertical="center"/>
    </xf>
    <xf applyAlignment="true" applyBorder="false" applyFill="true" applyFont="true" applyNumberFormat="false" applyProtection="false" borderId="0" fillId="85" fontId="5" numFmtId="0" xfId="0">
      <alignment horizontal="center" vertical="center"/>
    </xf>
    <xf applyAlignment="true" applyBorder="false" applyFill="true" applyFont="true" applyNumberFormat="true" applyProtection="false" borderId="40" fillId="87" fontId="5" numFmtId="175" xfId="0">
      <alignment horizontal="center" vertical="center"/>
    </xf>
    <xf applyAlignment="true" applyBorder="false" applyFill="true" applyFont="true" applyNumberFormat="false" applyProtection="false" borderId="40" fillId="87" fontId="5" numFmtId="0" xfId="0">
      <alignment horizontal="center" vertical="center" wrapText="true"/>
    </xf>
    <xf applyAlignment="true" applyBorder="false" applyFill="true" applyFont="true" applyNumberFormat="true" applyProtection="false" borderId="40" fillId="95" fontId="3" numFmtId="172" xfId="0">
      <alignment horizontal="center" vertical="center" wrapText="true"/>
    </xf>
    <xf applyAlignment="true" applyBorder="false" applyFill="true" applyFont="true" applyNumberFormat="true" applyProtection="false" borderId="40" fillId="95" fontId="3" numFmtId="172" xfId="0">
      <alignment horizontal="center" vertical="center" wrapText="true"/>
    </xf>
    <xf applyAlignment="true" applyBorder="false" applyFill="true" applyFont="true" applyNumberFormat="true" applyProtection="false" borderId="40" fillId="95" fontId="10" numFmtId="172" xfId="0">
      <alignment horizontal="center" vertical="center" wrapText="true"/>
    </xf>
    <xf applyAlignment="true" applyBorder="false" applyFill="true" applyFont="true" applyNumberFormat="true" applyProtection="false" borderId="41" fillId="95" fontId="10" numFmtId="172" xfId="0">
      <alignment horizontal="center" vertical="center" wrapText="true"/>
    </xf>
    <xf applyAlignment="true" applyBorder="false" applyFill="true" applyFont="true" applyNumberFormat="true" applyProtection="false" borderId="0" fillId="82" fontId="10" numFmtId="172" xfId="0">
      <alignment horizontal="center" vertical="center" wrapText="true"/>
    </xf>
    <xf applyAlignment="true" applyBorder="false" applyFill="true" applyFont="true" applyNumberFormat="true" applyProtection="false" borderId="36" fillId="95" fontId="7" numFmtId="172" xfId="0">
      <alignment horizontal="center" vertical="center" wrapText="true"/>
    </xf>
    <xf applyAlignment="true" applyBorder="false" applyFill="true" applyFont="true" applyNumberFormat="true" applyProtection="false" borderId="36" fillId="95" fontId="7" numFmtId="173" xfId="0">
      <alignment horizontal="center" vertical="center"/>
    </xf>
    <xf applyAlignment="true" applyBorder="false" applyFill="true" applyFont="true" applyNumberFormat="false" applyProtection="false" borderId="36" fillId="95" fontId="7" numFmtId="0" xfId="0">
      <alignment horizontal="center" vertical="center"/>
    </xf>
    <xf applyAlignment="true" applyBorder="false" applyFill="true" applyFont="true" applyNumberFormat="false" applyProtection="false" borderId="36" fillId="95" fontId="7" numFmtId="0" xfId="0">
      <alignment horizontal="center" vertical="center" wrapText="true"/>
    </xf>
    <xf applyAlignment="true" applyBorder="false" applyFill="true" applyFont="true" applyNumberFormat="false" applyProtection="false" borderId="37" fillId="95" fontId="7" numFmtId="0" xfId="0">
      <alignment horizontal="center" vertical="center"/>
    </xf>
    <xf applyAlignment="true" applyBorder="false" applyFill="false" applyFont="true" applyNumberFormat="true" applyProtection="false" borderId="40" fillId="0" fontId="5" numFmtId="173" xfId="0">
      <alignment horizontal="center" vertical="center"/>
    </xf>
    <xf applyAlignment="true" applyBorder="false" applyFill="false" applyFont="true" applyNumberFormat="false" applyProtection="false" borderId="40" fillId="0" fontId="8" numFmtId="0" xfId="0">
      <alignment horizontal="center" vertical="center" wrapText="true"/>
    </xf>
    <xf applyAlignment="true" applyBorder="false" applyFill="false" applyFont="true" applyNumberFormat="false" applyProtection="false" borderId="41" fillId="0" fontId="8" numFmtId="0" xfId="0">
      <alignment vertical="center"/>
    </xf>
    <xf applyAlignment="true" applyBorder="false" applyFill="true" applyFont="true" applyNumberFormat="false" applyProtection="false" borderId="0" fillId="85" fontId="8" numFmtId="0" xfId="0">
      <alignment vertical="center"/>
    </xf>
    <xf applyAlignment="true" applyBorder="false" applyFill="false" applyFont="true" applyNumberFormat="false" applyProtection="false" borderId="40" fillId="0" fontId="8" numFmtId="0" xfId="0">
      <alignment horizontal="center" vertical="center" wrapText="true"/>
    </xf>
    <xf applyAlignment="true" applyBorder="false" applyFill="true" applyFont="true" applyNumberFormat="false" applyProtection="false" borderId="0" fillId="82" fontId="8" numFmtId="0" xfId="0">
      <alignment vertical="center"/>
    </xf>
    <xf applyAlignment="true" applyBorder="false" applyFill="true" applyFont="true" applyNumberFormat="true" applyProtection="false" borderId="40" fillId="85" fontId="5" numFmtId="173" xfId="0">
      <alignment horizontal="center" vertical="center"/>
    </xf>
    <xf applyAlignment="true" applyBorder="false" applyFill="true" applyFont="true" applyNumberFormat="false" applyProtection="false" borderId="40" fillId="85" fontId="8" numFmtId="0" xfId="0">
      <alignment horizontal="center" vertical="center" wrapText="true"/>
    </xf>
    <xf applyAlignment="true" applyBorder="false" applyFill="true" applyFont="true" applyNumberFormat="false" applyProtection="false" borderId="41" fillId="85" fontId="8" numFmtId="0" xfId="0">
      <alignment vertical="center"/>
    </xf>
    <xf applyAlignment="true" applyBorder="false" applyFill="true" applyFont="true" applyNumberFormat="false" applyProtection="false" borderId="40" fillId="85" fontId="8" numFmtId="0" xfId="0">
      <alignment horizontal="center" vertical="center" wrapText="true"/>
    </xf>
    <xf applyAlignment="true" applyBorder="false" applyFill="true" applyFont="true" applyNumberFormat="true" applyProtection="false" borderId="40" fillId="96" fontId="3" numFmtId="172" xfId="0">
      <alignment horizontal="center" vertical="center" wrapText="true"/>
    </xf>
    <xf applyAlignment="true" applyBorder="false" applyFill="true" applyFont="true" applyNumberFormat="true" applyProtection="false" borderId="40" fillId="96" fontId="3" numFmtId="172" xfId="0">
      <alignment horizontal="center" vertical="center" wrapText="true"/>
    </xf>
    <xf applyAlignment="true" applyBorder="false" applyFill="true" applyFont="true" applyNumberFormat="true" applyProtection="false" borderId="40" fillId="96" fontId="10" numFmtId="172" xfId="0">
      <alignment horizontal="center" vertical="center" wrapText="true"/>
    </xf>
    <xf applyAlignment="true" applyBorder="false" applyFill="true" applyFont="true" applyNumberFormat="true" applyProtection="false" borderId="41" fillId="96" fontId="10" numFmtId="172" xfId="0">
      <alignment horizontal="center" vertical="center" wrapText="true"/>
    </xf>
    <xf applyAlignment="true" applyBorder="false" applyFill="true" applyFont="true" applyNumberFormat="true" applyProtection="false" borderId="36" fillId="96" fontId="7" numFmtId="172" xfId="0">
      <alignment horizontal="center" vertical="center" wrapText="true"/>
    </xf>
    <xf applyAlignment="true" applyBorder="false" applyFill="true" applyFont="true" applyNumberFormat="true" applyProtection="false" borderId="36" fillId="96" fontId="7" numFmtId="173" xfId="0">
      <alignment horizontal="center" vertical="center"/>
    </xf>
    <xf applyAlignment="true" applyBorder="false" applyFill="true" applyFont="true" applyNumberFormat="false" applyProtection="false" borderId="36" fillId="96" fontId="7" numFmtId="0" xfId="0">
      <alignment horizontal="center" vertical="center"/>
    </xf>
    <xf applyAlignment="true" applyBorder="false" applyFill="true" applyFont="true" applyNumberFormat="false" applyProtection="false" borderId="36" fillId="96" fontId="7" numFmtId="0" xfId="0">
      <alignment horizontal="center" vertical="center" wrapText="true"/>
    </xf>
    <xf applyAlignment="true" applyBorder="false" applyFill="true" applyFont="true" applyNumberFormat="false" applyProtection="false" borderId="37" fillId="96" fontId="7" numFmtId="0" xfId="0">
      <alignment horizontal="center" vertical="center"/>
    </xf>
    <xf applyAlignment="true" applyBorder="false" applyFill="false" applyFont="true" applyNumberFormat="false" applyProtection="false" borderId="40" fillId="0" fontId="5" numFmtId="0" xfId="0">
      <alignment horizontal="center" vertical="center" wrapText="true"/>
    </xf>
    <xf applyAlignment="true" applyBorder="false" applyFill="false" applyFont="true" applyNumberFormat="false" applyProtection="false" borderId="47" fillId="0" fontId="5" numFmtId="0" xfId="0">
      <alignment horizontal="center" vertical="center"/>
    </xf>
    <xf applyAlignment="true" applyBorder="false" applyFill="false" applyFont="true" applyNumberFormat="false" applyProtection="false" borderId="47" fillId="0" fontId="5" numFmtId="0" xfId="0">
      <alignment horizontal="center" vertical="center"/>
    </xf>
    <xf applyAlignment="true" applyBorder="false" applyFill="false" applyFont="true" applyNumberFormat="false" applyProtection="false" borderId="4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36" fillId="97" fontId="3" numFmtId="172" xfId="0">
      <alignment horizontal="center" vertical="center" wrapText="true"/>
    </xf>
    <xf applyAlignment="true" applyBorder="false" applyFill="true" applyFont="true" applyNumberFormat="true" applyProtection="false" borderId="37" fillId="97" fontId="3" numFmtId="172" xfId="0">
      <alignment horizontal="center" vertical="center" wrapText="true"/>
    </xf>
    <xf applyAlignment="true" applyBorder="false" applyFill="true" applyFont="true" applyNumberFormat="true" applyProtection="false" borderId="37" fillId="97" fontId="7" numFmtId="172" xfId="0">
      <alignment horizontal="center" vertical="center" wrapText="true"/>
    </xf>
    <xf applyAlignment="true" applyBorder="false" applyFill="true" applyFont="true" applyNumberFormat="true" applyProtection="false" borderId="40" fillId="97" fontId="7" numFmtId="173" xfId="0">
      <alignment horizontal="center" vertical="center"/>
    </xf>
    <xf applyAlignment="true" applyBorder="false" applyFill="true" applyFont="true" applyNumberFormat="false" applyProtection="false" borderId="48" fillId="97" fontId="7" numFmtId="0" xfId="0">
      <alignment horizontal="center" vertical="center"/>
    </xf>
    <xf applyAlignment="true" applyBorder="false" applyFill="true" applyFont="true" applyNumberFormat="false" applyProtection="false" borderId="36" fillId="97" fontId="7" numFmtId="0" xfId="0">
      <alignment horizontal="center" vertical="center"/>
    </xf>
    <xf applyAlignment="true" applyBorder="false" applyFill="true" applyFont="true" applyNumberFormat="false" applyProtection="false" borderId="36" fillId="97" fontId="7" numFmtId="0" xfId="0">
      <alignment horizontal="center" vertical="center" wrapText="true"/>
    </xf>
    <xf applyAlignment="true" applyBorder="false" applyFill="true" applyFont="true" applyNumberFormat="false" applyProtection="false" borderId="37" fillId="97" fontId="7" numFmtId="0" xfId="0">
      <alignment horizontal="center" vertical="center"/>
    </xf>
    <xf applyAlignment="true" applyBorder="false" applyFill="true" applyFont="true" applyNumberFormat="false" applyProtection="false" borderId="41" fillId="97" fontId="7" numFmtId="0" xfId="0">
      <alignment horizontal="center" vertical="center"/>
    </xf>
    <xf applyAlignment="true" applyBorder="false" applyFill="false" applyFont="true" applyNumberFormat="false" applyProtection="false" borderId="49" fillId="0" fontId="5" numFmtId="0" xfId="0">
      <alignment horizontal="center" vertical="center"/>
    </xf>
    <xf applyAlignment="true" applyBorder="false" applyFill="true" applyFont="true" applyNumberFormat="false" applyProtection="false" borderId="49" fillId="87" fontId="5" numFmtId="0" xfId="0">
      <alignment horizontal="center" vertical="center"/>
    </xf>
    <xf applyAlignment="true" applyBorder="false" applyFill="true" applyFont="true" applyNumberFormat="false" applyProtection="false" borderId="47" fillId="87" fontId="5" numFmtId="0" xfId="0">
      <alignment horizontal="center" vertical="center"/>
    </xf>
    <xf applyAlignment="true" applyBorder="false" applyFill="true" applyFont="true" applyNumberFormat="false" applyProtection="false" borderId="0" fillId="87" fontId="5" numFmtId="0" xfId="0">
      <alignment horizontal="center" vertical="center"/>
    </xf>
    <xf applyAlignment="true" applyBorder="false" applyFill="true" applyFont="true" applyNumberFormat="false" applyProtection="false" borderId="0" fillId="87" fontId="6" numFmtId="0" xfId="0">
      <alignment vertical="center"/>
    </xf>
    <xf applyAlignment="true" applyBorder="false" applyFill="false" applyFont="true" applyNumberFormat="false" applyProtection="false" borderId="5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0" fillId="82" fontId="5" numFmtId="0" xfId="0">
      <alignment horizontal="center" vertical="center"/>
    </xf>
    <xf applyAlignment="true" applyBorder="false" applyFill="true" applyFont="true" applyNumberFormat="true" applyProtection="false" borderId="40" fillId="82" fontId="4" numFmtId="173" xfId="0">
      <alignment horizontal="center" vertical="center"/>
    </xf>
    <xf applyAlignment="true" applyBorder="false" applyFill="true" applyFont="true" applyNumberFormat="false" applyProtection="false" borderId="40" fillId="82" fontId="5" numFmtId="0" xfId="0">
      <alignment horizontal="center" vertical="center"/>
    </xf>
    <xf applyAlignment="true" applyBorder="false" applyFill="true" applyFont="true" applyNumberFormat="true" applyProtection="false" borderId="40" fillId="85" fontId="5" numFmtId="174" xfId="0">
      <alignment horizontal="center" vertical="center"/>
    </xf>
    <xf applyAlignment="true" applyBorder="false" applyFill="true" applyFont="true" applyNumberFormat="false" applyProtection="false" borderId="40" fillId="82" fontId="5" numFmtId="0" xfId="0">
      <alignment horizontal="center" vertical="center" wrapText="true"/>
    </xf>
    <xf applyAlignment="true" applyBorder="false" applyFill="true" applyFont="true" applyNumberFormat="false" applyProtection="false" borderId="47" fillId="82" fontId="5" numFmtId="0" xfId="0">
      <alignment horizontal="center" vertical="center"/>
    </xf>
    <xf applyAlignment="true" applyBorder="false" applyFill="true" applyFont="true" applyNumberFormat="true" applyProtection="false" borderId="36" fillId="98" fontId="3" numFmtId="172" xfId="0">
      <alignment horizontal="center" vertical="center" wrapText="true"/>
    </xf>
    <xf applyAlignment="true" applyBorder="false" applyFill="true" applyFont="true" applyNumberFormat="true" applyProtection="false" borderId="37" fillId="98" fontId="3" numFmtId="172" xfId="0">
      <alignment horizontal="center" vertical="center" wrapText="true"/>
    </xf>
    <xf applyAlignment="true" applyBorder="false" applyFill="true" applyFont="true" applyNumberFormat="true" applyProtection="false" borderId="37" fillId="98" fontId="7" numFmtId="172" xfId="0">
      <alignment horizontal="center" vertical="center" wrapText="true"/>
    </xf>
    <xf applyAlignment="true" applyBorder="false" applyFill="true" applyFont="true" applyNumberFormat="true" applyProtection="false" borderId="40" fillId="98" fontId="7" numFmtId="173" xfId="0">
      <alignment horizontal="center" vertical="center"/>
    </xf>
    <xf applyAlignment="true" applyBorder="false" applyFill="true" applyFont="true" applyNumberFormat="false" applyProtection="false" borderId="48" fillId="98" fontId="7" numFmtId="0" xfId="0">
      <alignment horizontal="center" vertical="center"/>
    </xf>
    <xf applyAlignment="true" applyBorder="false" applyFill="true" applyFont="true" applyNumberFormat="false" applyProtection="false" borderId="36" fillId="98" fontId="7" numFmtId="0" xfId="0">
      <alignment horizontal="center" vertical="center"/>
    </xf>
    <xf applyAlignment="true" applyBorder="false" applyFill="true" applyFont="true" applyNumberFormat="false" applyProtection="false" borderId="36" fillId="98" fontId="7" numFmtId="0" xfId="0">
      <alignment horizontal="center" vertical="center" wrapText="true"/>
    </xf>
    <xf applyAlignment="true" applyBorder="false" applyFill="true" applyFont="true" applyNumberFormat="false" applyProtection="false" borderId="37" fillId="98" fontId="7" numFmtId="0" xfId="0">
      <alignment horizontal="center" vertical="center"/>
    </xf>
    <xf applyAlignment="true" applyBorder="false" applyFill="true" applyFont="true" applyNumberFormat="false" applyProtection="false" borderId="41" fillId="98" fontId="7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true" applyProtection="false" borderId="36" fillId="99" fontId="3" numFmtId="172" xfId="0">
      <alignment horizontal="center" vertical="center" wrapText="true"/>
    </xf>
    <xf applyAlignment="true" applyBorder="false" applyFill="true" applyFont="true" applyNumberFormat="true" applyProtection="false" borderId="51" fillId="99" fontId="3" numFmtId="172" xfId="0">
      <alignment horizontal="center" vertical="center" wrapText="true"/>
    </xf>
    <xf applyAlignment="true" applyBorder="false" applyFill="true" applyFont="true" applyNumberFormat="true" applyProtection="false" borderId="37" fillId="99" fontId="3" numFmtId="172" xfId="0">
      <alignment horizontal="center" vertical="center" wrapText="true"/>
    </xf>
    <xf applyAlignment="true" applyBorder="false" applyFill="true" applyFont="true" applyNumberFormat="true" applyProtection="false" borderId="37" fillId="99" fontId="7" numFmtId="172" xfId="0">
      <alignment horizontal="center" vertical="center" wrapText="true"/>
    </xf>
    <xf applyAlignment="true" applyBorder="false" applyFill="true" applyFont="true" applyNumberFormat="true" applyProtection="false" borderId="40" fillId="99" fontId="7" numFmtId="173" xfId="0">
      <alignment horizontal="center" vertical="center"/>
    </xf>
    <xf applyAlignment="true" applyBorder="false" applyFill="true" applyFont="true" applyNumberFormat="false" applyProtection="false" borderId="48" fillId="99" fontId="7" numFmtId="0" xfId="0">
      <alignment horizontal="center" vertical="center"/>
    </xf>
    <xf applyAlignment="true" applyBorder="false" applyFill="true" applyFont="true" applyNumberFormat="false" applyProtection="false" borderId="36" fillId="99" fontId="7" numFmtId="0" xfId="0">
      <alignment horizontal="center" vertical="center"/>
    </xf>
    <xf applyAlignment="true" applyBorder="false" applyFill="true" applyFont="true" applyNumberFormat="false" applyProtection="false" borderId="36" fillId="99" fontId="7" numFmtId="0" xfId="0">
      <alignment horizontal="center" vertical="center" wrapText="true"/>
    </xf>
    <xf applyAlignment="true" applyBorder="false" applyFill="true" applyFont="true" applyNumberFormat="false" applyProtection="false" borderId="37" fillId="99" fontId="7" numFmtId="0" xfId="0">
      <alignment horizontal="center" vertical="center"/>
    </xf>
    <xf applyAlignment="true" applyBorder="false" applyFill="true" applyFont="true" applyNumberFormat="false" applyProtection="false" borderId="41" fillId="99" fontId="7" numFmtId="0" xfId="0">
      <alignment horizontal="center" vertical="center"/>
    </xf>
    <xf applyAlignment="true" applyBorder="false" applyFill="true" applyFont="true" applyNumberFormat="true" applyProtection="false" borderId="40" fillId="85" fontId="4" numFmtId="173" xfId="0">
      <alignment horizontal="center" vertical="center"/>
    </xf>
    <xf applyAlignment="true" applyBorder="false" applyFill="true" applyFont="true" applyNumberFormat="true" applyProtection="false" borderId="41" fillId="85" fontId="4" numFmtId="173" xfId="0">
      <alignment horizontal="center" vertical="center"/>
    </xf>
    <xf applyAlignment="true" applyBorder="false" applyFill="false" applyFont="true" applyNumberFormat="false" applyProtection="false" borderId="38" fillId="0" fontId="5" numFmtId="0" xfId="0">
      <alignment horizontal="center" vertical="center"/>
    </xf>
    <xf applyAlignment="true" applyBorder="false" applyFill="false" applyFont="true" applyNumberFormat="false" applyProtection="false" borderId="39" fillId="0" fontId="5" numFmtId="0" xfId="0">
      <alignment horizontal="center" vertical="center"/>
    </xf>
    <xf applyAlignment="true" applyBorder="false" applyFill="true" applyFont="true" applyNumberFormat="true" applyProtection="false" borderId="36" fillId="82" fontId="3" numFmtId="172" xfId="0">
      <alignment horizontal="center" vertical="center" wrapText="true"/>
    </xf>
    <xf applyAlignment="true" applyBorder="false" applyFill="true" applyFont="true" applyNumberFormat="true" applyProtection="false" borderId="36" fillId="82" fontId="3" numFmtId="172" xfId="0">
      <alignment horizontal="center" vertical="center" wrapText="true"/>
    </xf>
    <xf applyAlignment="true" applyBorder="false" applyFill="true" applyFont="true" applyNumberFormat="true" applyProtection="false" borderId="51" fillId="82" fontId="3" numFmtId="172" xfId="0">
      <alignment horizontal="center" vertical="center" wrapText="true"/>
    </xf>
    <xf applyAlignment="true" applyBorder="false" applyFill="true" applyFont="true" applyNumberFormat="true" applyProtection="false" borderId="37" fillId="82" fontId="3" numFmtId="172" xfId="0">
      <alignment horizontal="center" vertical="center" wrapText="true"/>
    </xf>
    <xf applyAlignment="true" applyBorder="false" applyFill="true" applyFont="true" applyNumberFormat="true" applyProtection="false" borderId="40" fillId="100" fontId="3" numFmtId="172" xfId="0">
      <alignment horizontal="center" vertical="center" wrapText="true"/>
    </xf>
    <xf applyAlignment="true" applyBorder="false" applyFill="true" applyFont="true" applyNumberFormat="false" applyProtection="false" borderId="0" fillId="100" fontId="8" numFmtId="0" xfId="0">
      <alignment vertical="center"/>
    </xf>
    <xf applyAlignment="true" applyBorder="false" applyFill="true" applyFont="true" applyNumberFormat="false" applyProtection="false" borderId="0" fillId="100" fontId="8" numFmtId="0" xfId="0">
      <alignment horizontal="center" vertical="center"/>
    </xf>
    <xf applyAlignment="true" applyBorder="false" applyFill="true" applyFont="true" applyNumberFormat="true" applyProtection="false" borderId="40" fillId="101" fontId="7" numFmtId="172" xfId="0">
      <alignment horizontal="center" vertical="center" wrapText="true"/>
    </xf>
    <xf applyAlignment="true" applyBorder="false" applyFill="true" applyFont="true" applyNumberFormat="true" applyProtection="false" borderId="40" fillId="101" fontId="7" numFmtId="173" xfId="0">
      <alignment horizontal="center" vertical="center"/>
    </xf>
    <xf applyAlignment="true" applyBorder="false" applyFill="true" applyFont="true" applyNumberFormat="false" applyProtection="false" borderId="36" fillId="101" fontId="7" numFmtId="0" xfId="0">
      <alignment horizontal="center" vertical="center"/>
    </xf>
    <xf applyAlignment="true" applyBorder="false" applyFill="true" applyFont="true" applyNumberFormat="false" applyProtection="false" borderId="40" fillId="101" fontId="7" numFmtId="0" xfId="0">
      <alignment horizontal="center" vertical="center"/>
    </xf>
    <xf applyAlignment="true" applyBorder="false" applyFill="true" applyFont="true" applyNumberFormat="false" applyProtection="false" borderId="40" fillId="101" fontId="7" numFmtId="0" xfId="0">
      <alignment horizontal="center" vertical="center" wrapText="true"/>
    </xf>
    <xf applyAlignment="true" applyBorder="false" applyFill="true" applyFont="true" applyNumberFormat="false" applyProtection="false" borderId="41" fillId="101" fontId="7" numFmtId="0" xfId="0">
      <alignment horizontal="center" vertical="center"/>
    </xf>
    <xf applyAlignment="true" applyBorder="false" applyFill="false" applyFont="true" applyNumberFormat="false" applyProtection="false" borderId="39" fillId="0" fontId="5" numFmtId="0" xfId="0">
      <alignment horizontal="center" vertical="center"/>
    </xf>
    <xf applyAlignment="true" applyBorder="false" applyFill="true" applyFont="true" applyNumberFormat="false" applyProtection="false" borderId="40" fillId="82" fontId="5" numFmtId="0" xfId="0">
      <alignment horizontal="center" vertical="center"/>
    </xf>
    <xf applyAlignment="true" applyBorder="false" applyFill="true" applyFont="true" applyNumberFormat="false" applyProtection="false" borderId="41" fillId="82" fontId="5" numFmtId="0" xfId="0">
      <alignment horizontal="center" vertical="center"/>
    </xf>
    <xf applyAlignment="true" applyBorder="false" applyFill="true" applyFont="true" applyNumberFormat="true" applyProtection="false" borderId="40" fillId="82" fontId="4" numFmtId="173" xfId="0">
      <alignment horizontal="center" vertical="center"/>
    </xf>
    <xf applyAlignment="true" applyBorder="false" applyFill="true" applyFont="true" applyNumberFormat="true" applyProtection="false" borderId="40" fillId="102" fontId="3" numFmtId="172" xfId="0">
      <alignment horizontal="center" vertical="center" wrapText="true"/>
    </xf>
    <xf applyAlignment="true" applyBorder="false" applyFill="true" applyFont="true" applyNumberFormat="true" applyProtection="false" borderId="40" fillId="102" fontId="4" numFmtId="173" xfId="0">
      <alignment horizontal="center" vertical="center"/>
    </xf>
    <xf applyAlignment="true" applyBorder="false" applyFill="true" applyFont="true" applyNumberFormat="true" applyProtection="false" borderId="40" fillId="102" fontId="4" numFmtId="173" xfId="0">
      <alignment horizontal="center" vertical="center"/>
    </xf>
    <xf applyAlignment="true" applyBorder="false" applyFill="true" applyFont="true" applyNumberFormat="false" applyProtection="false" borderId="40" fillId="102" fontId="5" numFmtId="0" xfId="0">
      <alignment horizontal="center" vertical="center"/>
    </xf>
    <xf applyAlignment="true" applyBorder="false" applyFill="true" applyFont="true" applyNumberFormat="false" applyProtection="false" borderId="40" fillId="102" fontId="5" numFmtId="0" xfId="0">
      <alignment horizontal="center" vertical="center"/>
    </xf>
    <xf applyAlignment="true" applyBorder="false" applyFill="true" applyFont="true" applyNumberFormat="false" applyProtection="false" borderId="40" fillId="102" fontId="5" numFmtId="0" xfId="0">
      <alignment horizontal="center" vertical="center" wrapText="true"/>
    </xf>
    <xf applyAlignment="true" applyBorder="false" applyFill="true" applyFont="true" applyNumberFormat="false" applyProtection="false" borderId="41" fillId="102" fontId="5" numFmtId="0" xfId="0">
      <alignment horizontal="center" vertical="center"/>
    </xf>
    <xf applyAlignment="true" applyBorder="false" applyFill="true" applyFont="true" applyNumberFormat="false" applyProtection="false" borderId="0" fillId="102" fontId="5" numFmtId="0" xfId="0">
      <alignment horizontal="center" vertical="center"/>
    </xf>
    <xf applyAlignment="true" applyBorder="false" applyFill="true" applyFont="true" applyNumberFormat="false" applyProtection="false" borderId="0" fillId="102" fontId="6" numFmtId="0" xfId="0">
      <alignment vertical="center"/>
    </xf>
    <xf applyAlignment="true" applyBorder="false" applyFill="true" applyFont="true" applyNumberFormat="true" applyProtection="false" borderId="40" fillId="102" fontId="7" numFmtId="172" xfId="0">
      <alignment horizontal="center" vertical="center" wrapText="true"/>
    </xf>
    <xf applyAlignment="true" applyBorder="false" applyFill="true" applyFont="true" applyNumberFormat="true" applyProtection="false" borderId="40" fillId="102" fontId="7" numFmtId="173" xfId="0">
      <alignment horizontal="center" vertical="center"/>
    </xf>
    <xf applyAlignment="true" applyBorder="false" applyFill="true" applyFont="true" applyNumberFormat="false" applyProtection="false" borderId="36" fillId="102" fontId="7" numFmtId="0" xfId="0">
      <alignment horizontal="center" vertical="center"/>
    </xf>
    <xf applyAlignment="true" applyBorder="false" applyFill="true" applyFont="true" applyNumberFormat="false" applyProtection="false" borderId="40" fillId="102" fontId="7" numFmtId="0" xfId="0">
      <alignment horizontal="center" vertical="center"/>
    </xf>
    <xf applyAlignment="true" applyBorder="false" applyFill="true" applyFont="true" applyNumberFormat="false" applyProtection="false" borderId="40" fillId="102" fontId="7" numFmtId="0" xfId="0">
      <alignment horizontal="center" vertical="center" wrapText="true"/>
    </xf>
    <xf applyAlignment="true" applyBorder="false" applyFill="true" applyFont="true" applyNumberFormat="false" applyProtection="false" borderId="41" fillId="102" fontId="7" numFmtId="0" xfId="0">
      <alignment horizontal="center" vertical="center"/>
    </xf>
    <xf applyAlignment="true" applyBorder="false" applyFill="true" applyFont="true" applyNumberFormat="false" applyProtection="false" borderId="0" fillId="102" fontId="7" numFmtId="0" xfId="0">
      <alignment horizontal="center" vertical="center"/>
    </xf>
    <xf applyAlignment="true" applyBorder="false" applyFill="true" applyFont="true" applyNumberFormat="true" applyProtection="false" borderId="40" fillId="88" fontId="3" numFmtId="172" xfId="0">
      <alignment horizontal="center" vertical="center" wrapText="true"/>
    </xf>
    <xf applyAlignment="true" applyBorder="false" applyFill="true" applyFont="true" applyNumberFormat="false" applyProtection="false" borderId="0" fillId="88" fontId="5" numFmtId="0" xfId="0">
      <alignment horizontal="center" vertical="center"/>
    </xf>
    <xf applyAlignment="true" applyBorder="false" applyFill="true" applyFont="true" applyNumberFormat="false" applyProtection="false" borderId="0" fillId="88" fontId="6" numFmtId="0" xfId="0">
      <alignment vertical="center"/>
    </xf>
    <xf applyAlignment="true" applyBorder="false" applyFill="true" applyFont="true" applyNumberFormat="true" applyProtection="false" borderId="40" fillId="88" fontId="7" numFmtId="172" xfId="0">
      <alignment horizontal="center" vertical="center" wrapText="true"/>
    </xf>
    <xf applyAlignment="true" applyBorder="false" applyFill="true" applyFont="true" applyNumberFormat="true" applyProtection="false" borderId="40" fillId="88" fontId="7" numFmtId="173" xfId="0">
      <alignment horizontal="center" vertical="center"/>
    </xf>
    <xf applyAlignment="true" applyBorder="false" applyFill="true" applyFont="true" applyNumberFormat="false" applyProtection="false" borderId="36" fillId="88" fontId="7" numFmtId="0" xfId="0">
      <alignment horizontal="center" vertical="center"/>
    </xf>
    <xf applyAlignment="true" applyBorder="false" applyFill="true" applyFont="true" applyNumberFormat="false" applyProtection="false" borderId="40" fillId="88" fontId="7" numFmtId="0" xfId="0">
      <alignment horizontal="center" vertical="center"/>
    </xf>
    <xf applyAlignment="true" applyBorder="false" applyFill="true" applyFont="true" applyNumberFormat="false" applyProtection="false" borderId="40" fillId="88" fontId="7" numFmtId="0" xfId="0">
      <alignment horizontal="center" vertical="center" wrapText="true"/>
    </xf>
    <xf applyAlignment="true" applyBorder="false" applyFill="true" applyFont="true" applyNumberFormat="false" applyProtection="false" borderId="41" fillId="88" fontId="7" numFmtId="0" xfId="0">
      <alignment horizontal="center" vertical="center"/>
    </xf>
    <xf applyAlignment="true" applyBorder="false" applyFill="true" applyFont="true" applyNumberFormat="false" applyProtection="false" borderId="0" fillId="88" fontId="7" numFmtId="0" xfId="0">
      <alignment horizontal="center" vertical="center"/>
    </xf>
    <xf applyAlignment="true" applyBorder="false" applyFill="true" applyFont="true" applyNumberFormat="true" applyProtection="false" borderId="36" fillId="103" fontId="3" numFmtId="172" xfId="0">
      <alignment horizontal="center" vertical="center" wrapText="true"/>
    </xf>
    <xf applyAlignment="true" applyBorder="false" applyFill="true" applyFont="true" applyNumberFormat="true" applyProtection="false" borderId="36" fillId="103" fontId="3" numFmtId="172" xfId="0">
      <alignment horizontal="center" vertical="center" wrapText="true"/>
    </xf>
    <xf applyAlignment="true" applyBorder="false" applyFill="true" applyFont="true" applyNumberFormat="true" applyProtection="false" borderId="51" fillId="103" fontId="3" numFmtId="172" xfId="0">
      <alignment horizontal="center" vertical="center" wrapText="true"/>
    </xf>
    <xf applyAlignment="true" applyBorder="false" applyFill="true" applyFont="true" applyNumberFormat="true" applyProtection="false" borderId="37" fillId="103" fontId="3" numFmtId="172" xfId="0">
      <alignment horizontal="center" vertical="center" wrapText="true"/>
    </xf>
    <xf applyAlignment="true" applyBorder="false" applyFill="true" applyFont="true" applyNumberFormat="true" applyProtection="false" borderId="0" fillId="103" fontId="3" numFmtId="172" xfId="0">
      <alignment horizontal="center" vertical="center" wrapText="true"/>
    </xf>
    <xf applyAlignment="true" applyBorder="false" applyFill="true" applyFont="true" applyNumberFormat="false" applyProtection="false" borderId="0" fillId="103" fontId="6" numFmtId="0" xfId="0">
      <alignment vertical="center"/>
    </xf>
    <xf applyAlignment="true" applyBorder="false" applyFill="true" applyFont="true" applyNumberFormat="true" applyProtection="false" borderId="37" fillId="103" fontId="7" numFmtId="172" xfId="0">
      <alignment horizontal="center" vertical="center" wrapText="true"/>
    </xf>
    <xf applyAlignment="true" applyBorder="false" applyFill="true" applyFont="true" applyNumberFormat="true" applyProtection="false" borderId="40" fillId="103" fontId="7" numFmtId="173" xfId="0">
      <alignment horizontal="center" vertical="center"/>
    </xf>
    <xf applyAlignment="true" applyBorder="false" applyFill="true" applyFont="true" applyNumberFormat="false" applyProtection="false" borderId="48" fillId="103" fontId="7" numFmtId="0" xfId="0">
      <alignment horizontal="center" vertical="center"/>
    </xf>
    <xf applyAlignment="true" applyBorder="false" applyFill="true" applyFont="true" applyNumberFormat="false" applyProtection="false" borderId="36" fillId="103" fontId="7" numFmtId="0" xfId="0">
      <alignment horizontal="center" vertical="center"/>
    </xf>
    <xf applyAlignment="true" applyBorder="false" applyFill="true" applyFont="true" applyNumberFormat="false" applyProtection="false" borderId="36" fillId="103" fontId="7" numFmtId="0" xfId="0">
      <alignment horizontal="center" vertical="center" wrapText="true"/>
    </xf>
    <xf applyAlignment="true" applyBorder="false" applyFill="true" applyFont="true" applyNumberFormat="false" applyProtection="false" borderId="37" fillId="103" fontId="7" numFmtId="0" xfId="0">
      <alignment horizontal="center" vertical="center"/>
    </xf>
    <xf applyAlignment="true" applyBorder="false" applyFill="true" applyFont="true" applyNumberFormat="false" applyProtection="false" borderId="41" fillId="103" fontId="7" numFmtId="0" xfId="0">
      <alignment horizontal="center" vertical="center"/>
    </xf>
    <xf applyAlignment="true" applyBorder="false" applyFill="true" applyFont="true" applyNumberFormat="false" applyProtection="false" borderId="0" fillId="103" fontId="7" numFmtId="0" xfId="0">
      <alignment horizontal="center" vertical="center"/>
    </xf>
    <xf applyAlignment="true" applyBorder="false" applyFill="true" applyFont="true" applyNumberFormat="true" applyProtection="false" borderId="38" fillId="82" fontId="5" numFmtId="174" xfId="0">
      <alignment horizontal="center" vertical="center"/>
    </xf>
    <xf applyAlignment="true" applyBorder="false" applyFill="true" applyFont="true" applyNumberFormat="false" applyProtection="false" borderId="47" fillId="82" fontId="5" numFmtId="0" xfId="0">
      <alignment horizontal="center" vertical="center"/>
    </xf>
    <xf applyAlignment="true" applyBorder="false" applyFill="true" applyFont="true" applyNumberFormat="true" applyProtection="false" borderId="40" fillId="84" fontId="3" numFmtId="172" xfId="0">
      <alignment horizontal="center" vertical="center" wrapText="true"/>
    </xf>
    <xf applyAlignment="true" applyBorder="false" applyFill="true" applyFont="true" applyNumberFormat="true" applyProtection="false" borderId="41" fillId="84" fontId="3" numFmtId="172" xfId="0">
      <alignment horizontal="center" vertical="center" wrapText="true"/>
    </xf>
    <xf applyAlignment="true" applyBorder="false" applyFill="true" applyFont="true" applyNumberFormat="false" applyProtection="false" borderId="40" fillId="84" fontId="7" numFmtId="0" xfId="0">
      <alignment horizontal="center" vertical="center" wrapText="true"/>
    </xf>
    <xf applyAlignment="true" applyBorder="false" applyFill="true" applyFont="true" applyNumberFormat="false" applyProtection="false" borderId="40" fillId="85" fontId="4" numFmtId="0" xfId="0">
      <alignment horizontal="center" vertical="center"/>
    </xf>
    <xf applyAlignment="true" applyBorder="false" applyFill="true" applyFont="true" applyNumberFormat="false" applyProtection="false" borderId="41" fillId="82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true" applyFont="true" applyNumberFormat="true" applyProtection="false" borderId="40" fillId="104" fontId="10" numFmtId="172" xfId="0">
      <alignment horizontal="center" vertical="center" wrapText="true"/>
    </xf>
    <xf applyAlignment="true" applyBorder="false" applyFill="true" applyFont="true" applyNumberFormat="true" applyProtection="false" borderId="41" fillId="104" fontId="10" numFmtId="172" xfId="0">
      <alignment horizontal="center" vertical="center" wrapText="true"/>
    </xf>
    <xf applyAlignment="true" applyBorder="false" applyFill="true" applyFont="true" applyNumberFormat="true" applyProtection="false" borderId="40" fillId="104" fontId="7" numFmtId="172" xfId="0">
      <alignment horizontal="center" vertical="center" wrapText="true"/>
    </xf>
    <xf applyAlignment="true" applyBorder="false" applyFill="true" applyFont="true" applyNumberFormat="true" applyProtection="false" borderId="40" fillId="104" fontId="7" numFmtId="173" xfId="0">
      <alignment horizontal="center" vertical="center"/>
    </xf>
    <xf applyAlignment="true" applyBorder="false" applyFill="true" applyFont="true" applyNumberFormat="false" applyProtection="false" borderId="40" fillId="104" fontId="7" numFmtId="0" xfId="0">
      <alignment horizontal="center" vertical="center"/>
    </xf>
    <xf applyAlignment="true" applyBorder="false" applyFill="true" applyFont="true" applyNumberFormat="false" applyProtection="false" borderId="40" fillId="104" fontId="7" numFmtId="0" xfId="0">
      <alignment horizontal="center" vertical="center" wrapText="true"/>
    </xf>
    <xf applyAlignment="true" applyBorder="false" applyFill="true" applyFont="true" applyNumberFormat="false" applyProtection="false" borderId="41" fillId="104" fontId="7" numFmtId="0" xfId="0">
      <alignment horizontal="center" vertical="center"/>
    </xf>
    <xf applyAlignment="true" applyBorder="false" applyFill="true" applyFont="true" applyNumberFormat="false" applyProtection="false" borderId="40" fillId="82" fontId="5" numFmtId="0" xfId="0">
      <alignment horizontal="center" vertical="center" wrapText="true"/>
    </xf>
    <xf applyAlignment="true" applyBorder="false" applyFill="true" applyFont="true" applyNumberFormat="true" applyProtection="false" borderId="40" fillId="85" fontId="15" numFmtId="174" xfId="0">
      <alignment horizontal="center" vertical="center"/>
    </xf>
    <xf applyAlignment="true" applyBorder="false" applyFill="true" applyFont="true" applyNumberFormat="true" applyProtection="false" borderId="40" fillId="105" fontId="7" numFmtId="172" xfId="0">
      <alignment horizontal="center" vertical="center" wrapText="true"/>
    </xf>
    <xf applyAlignment="true" applyBorder="false" applyFill="true" applyFont="true" applyNumberFormat="true" applyProtection="false" borderId="40" fillId="105" fontId="7" numFmtId="173" xfId="0">
      <alignment horizontal="center" vertical="center"/>
    </xf>
    <xf applyAlignment="true" applyBorder="false" applyFill="true" applyFont="true" applyNumberFormat="false" applyProtection="false" borderId="40" fillId="105" fontId="7" numFmtId="0" xfId="0">
      <alignment horizontal="center" vertical="center"/>
    </xf>
    <xf applyAlignment="true" applyBorder="false" applyFill="true" applyFont="true" applyNumberFormat="false" applyProtection="false" borderId="40" fillId="105" fontId="7" numFmtId="0" xfId="0">
      <alignment horizontal="center" vertical="center" wrapText="true"/>
    </xf>
    <xf applyAlignment="true" applyBorder="false" applyFill="true" applyFont="true" applyNumberFormat="false" applyProtection="false" borderId="41" fillId="105" fontId="7" numFmtId="0" xfId="0">
      <alignment horizontal="center" vertical="center"/>
    </xf>
    <xf applyAlignment="true" applyBorder="false" applyFill="true" applyFont="true" applyNumberFormat="true" applyProtection="false" borderId="40" fillId="105" fontId="3" numFmtId="172" xfId="0">
      <alignment horizontal="center" vertical="center" wrapText="true"/>
    </xf>
    <xf applyAlignment="true" applyBorder="false" applyFill="true" applyFont="true" applyNumberFormat="true" applyProtection="false" borderId="40" fillId="105" fontId="3" numFmtId="172" xfId="0">
      <alignment horizontal="center" vertical="center" wrapText="true"/>
    </xf>
    <xf applyAlignment="true" applyBorder="false" applyFill="true" applyFont="true" applyNumberFormat="true" applyProtection="false" borderId="41" fillId="105" fontId="3" numFmtId="172" xfId="0">
      <alignment horizontal="center" vertical="center" wrapText="true"/>
    </xf>
    <xf applyAlignment="true" applyBorder="false" applyFill="true" applyFont="true" applyNumberFormat="true" applyProtection="false" borderId="40" fillId="85" fontId="4" numFmtId="174" xfId="0">
      <alignment horizontal="center" vertical="center"/>
    </xf>
    <xf applyAlignment="true" applyBorder="false" applyFill="true" applyFont="true" applyNumberFormat="false" applyProtection="false" borderId="40" fillId="85" fontId="5" numFmtId="0" xfId="0">
      <alignment horizontal="center" vertical="center"/>
    </xf>
    <xf applyAlignment="true" applyBorder="false" applyFill="true" applyFont="true" applyNumberFormat="false" applyProtection="false" borderId="41" fillId="85" fontId="5" numFmtId="0" xfId="0">
      <alignment horizontal="center" vertical="center"/>
    </xf>
    <xf applyAlignment="true" applyBorder="false" applyFill="true" applyFont="true" applyNumberFormat="true" applyProtection="false" borderId="40" fillId="99" fontId="3" numFmtId="172" xfId="0">
      <alignment horizontal="center" vertical="center" wrapText="true"/>
    </xf>
    <xf applyAlignment="true" applyBorder="false" applyFill="true" applyFont="true" applyNumberFormat="true" applyProtection="false" borderId="40" fillId="99" fontId="3" numFmtId="172" xfId="0">
      <alignment horizontal="center" vertical="center" wrapText="true"/>
    </xf>
    <xf applyAlignment="true" applyBorder="false" applyFill="true" applyFont="true" applyNumberFormat="true" applyProtection="false" borderId="41" fillId="99" fontId="3" numFmtId="172" xfId="0">
      <alignment horizontal="center" vertical="center" wrapText="true"/>
    </xf>
    <xf applyAlignment="true" applyBorder="false" applyFill="true" applyFont="true" applyNumberFormat="true" applyProtection="false" borderId="40" fillId="99" fontId="7" numFmtId="172" xfId="0">
      <alignment horizontal="center" vertical="center" wrapText="true"/>
    </xf>
    <xf applyAlignment="true" applyBorder="false" applyFill="true" applyFont="true" applyNumberFormat="false" applyProtection="false" borderId="40" fillId="99" fontId="7" numFmtId="0" xfId="0">
      <alignment horizontal="center" vertical="center"/>
    </xf>
    <xf applyAlignment="true" applyBorder="false" applyFill="true" applyFont="true" applyNumberFormat="false" applyProtection="false" borderId="40" fillId="99" fontId="7" numFmtId="0" xfId="0">
      <alignment horizontal="center" vertical="center" wrapText="true"/>
    </xf>
    <xf applyAlignment="true" applyBorder="false" applyFill="true" applyFont="true" applyNumberFormat="true" applyProtection="false" borderId="40" fillId="87" fontId="5" numFmtId="174" xfId="0">
      <alignment horizontal="center" vertical="center"/>
    </xf>
    <xf applyAlignment="true" applyBorder="false" applyFill="true" applyFont="true" applyNumberFormat="false" applyProtection="false" borderId="41" fillId="87" fontId="5" numFmtId="0" xfId="0">
      <alignment horizontal="center" vertical="center"/>
    </xf>
    <xf applyAlignment="true" applyBorder="false" applyFill="true" applyFont="true" applyNumberFormat="false" applyProtection="false" borderId="0" fillId="87" fontId="8" numFmtId="0" xfId="0">
      <alignment vertical="center"/>
    </xf>
    <xf applyAlignment="true" applyBorder="false" applyFill="true" applyFont="true" applyNumberFormat="true" applyProtection="false" borderId="40" fillId="106" fontId="3" numFmtId="172" xfId="0">
      <alignment horizontal="center" vertical="center" wrapText="true"/>
    </xf>
    <xf applyAlignment="true" applyBorder="false" applyFill="true" applyFont="true" applyNumberFormat="true" applyProtection="false" borderId="41" fillId="106" fontId="3" numFmtId="172" xfId="0">
      <alignment horizontal="center" vertical="center" wrapText="true"/>
    </xf>
    <xf applyAlignment="true" applyBorder="false" applyFill="true" applyFont="true" applyNumberFormat="true" applyProtection="false" borderId="40" fillId="106" fontId="7" numFmtId="172" xfId="0">
      <alignment horizontal="center" vertical="center" wrapText="true"/>
    </xf>
    <xf applyAlignment="true" applyBorder="false" applyFill="true" applyFont="true" applyNumberFormat="true" applyProtection="false" borderId="40" fillId="106" fontId="7" numFmtId="173" xfId="0">
      <alignment horizontal="center" vertical="center"/>
    </xf>
    <xf applyAlignment="true" applyBorder="false" applyFill="true" applyFont="true" applyNumberFormat="false" applyProtection="false" borderId="40" fillId="106" fontId="7" numFmtId="0" xfId="0">
      <alignment horizontal="center" vertical="center"/>
    </xf>
    <xf applyAlignment="true" applyBorder="false" applyFill="true" applyFont="true" applyNumberFormat="false" applyProtection="false" borderId="40" fillId="106" fontId="7" numFmtId="0" xfId="0">
      <alignment horizontal="center" vertical="center" wrapText="true"/>
    </xf>
    <xf applyAlignment="true" applyBorder="false" applyFill="true" applyFont="true" applyNumberFormat="false" applyProtection="false" borderId="41" fillId="106" fontId="7" numFmtId="0" xfId="0">
      <alignment horizontal="center" vertical="center"/>
    </xf>
    <xf applyAlignment="true" applyBorder="false" applyFill="true" applyFont="true" applyNumberFormat="true" applyProtection="false" borderId="40" fillId="107" fontId="3" numFmtId="172" xfId="0">
      <alignment horizontal="center" vertical="center" wrapText="true"/>
    </xf>
    <xf applyAlignment="true" applyBorder="false" applyFill="true" applyFont="true" applyNumberFormat="false" applyProtection="false" borderId="0" fillId="107" fontId="8" numFmtId="0" xfId="0">
      <alignment vertical="center"/>
    </xf>
    <xf applyAlignment="true" applyBorder="false" applyFill="true" applyFont="true" applyNumberFormat="false" applyProtection="false" borderId="0" fillId="107" fontId="8" numFmtId="0" xfId="0">
      <alignment horizontal="center" vertical="center"/>
    </xf>
    <xf applyAlignment="true" applyBorder="false" applyFill="true" applyFont="true" applyNumberFormat="true" applyProtection="false" borderId="40" fillId="107" fontId="7" numFmtId="172" xfId="0">
      <alignment horizontal="center" vertical="center" wrapText="true"/>
    </xf>
    <xf applyAlignment="true" applyBorder="false" applyFill="true" applyFont="true" applyNumberFormat="true" applyProtection="false" borderId="40" fillId="107" fontId="7" numFmtId="173" xfId="0">
      <alignment horizontal="center" vertical="center"/>
    </xf>
    <xf applyAlignment="true" applyBorder="false" applyFill="true" applyFont="true" applyNumberFormat="false" applyProtection="false" borderId="36" fillId="107" fontId="7" numFmtId="0" xfId="0">
      <alignment horizontal="center" vertical="center"/>
    </xf>
    <xf applyAlignment="true" applyBorder="false" applyFill="true" applyFont="true" applyNumberFormat="false" applyProtection="false" borderId="40" fillId="107" fontId="7" numFmtId="0" xfId="0">
      <alignment horizontal="center" vertical="center"/>
    </xf>
    <xf applyAlignment="true" applyBorder="false" applyFill="true" applyFont="true" applyNumberFormat="false" applyProtection="false" borderId="40" fillId="107" fontId="7" numFmtId="0" xfId="0">
      <alignment horizontal="center" vertical="center" wrapText="true"/>
    </xf>
    <xf applyAlignment="true" applyBorder="false" applyFill="true" applyFont="true" applyNumberFormat="false" applyProtection="false" borderId="41" fillId="107" fontId="7" numFmtId="0" xfId="0">
      <alignment horizontal="center" vertical="center"/>
    </xf>
    <xf applyAlignment="true" applyBorder="false" applyFill="true" applyFont="true" applyNumberFormat="false" applyProtection="false" borderId="40" fillId="82" fontId="4" numFmtId="0" xfId="0">
      <alignment horizontal="center" vertical="center" wrapText="true"/>
    </xf>
    <xf applyAlignment="true" applyBorder="false" applyFill="true" applyFont="true" applyNumberFormat="false" applyProtection="false" borderId="41" fillId="82" fontId="7" numFmtId="0" xfId="0">
      <alignment horizontal="center" vertical="center"/>
    </xf>
    <xf applyAlignment="true" applyBorder="false" applyFill="true" applyFont="true" applyNumberFormat="false" applyProtection="false" borderId="40" fillId="82" fontId="7" numFmtId="0" xfId="0">
      <alignment horizontal="center" vertical="center" wrapText="true"/>
    </xf>
    <xf applyAlignment="true" applyBorder="false" applyFill="true" applyFont="true" applyNumberFormat="false" applyProtection="false" borderId="41" fillId="82" fontId="4" numFmtId="0" xfId="0">
      <alignment horizontal="center" vertical="center"/>
    </xf>
    <xf applyAlignment="true" applyBorder="false" applyFill="true" applyFont="true" applyNumberFormat="false" applyProtection="false" borderId="40" fillId="82" fontId="4" numFmtId="0" xfId="0">
      <alignment horizontal="center" vertical="center"/>
    </xf>
    <xf applyAlignment="true" applyBorder="false" applyFill="true" applyFont="true" applyNumberFormat="false" applyProtection="false" borderId="41" fillId="82" fontId="7" numFmtId="0" xfId="0">
      <alignment horizontal="center" vertical="center"/>
    </xf>
    <xf applyAlignment="true" applyBorder="false" applyFill="true" applyFont="true" applyNumberFormat="false" applyProtection="false" borderId="0" fillId="88" fontId="8" numFmtId="0" xfId="0">
      <alignment vertical="center"/>
    </xf>
    <xf applyAlignment="true" applyBorder="false" applyFill="true" applyFont="true" applyNumberFormat="false" applyProtection="false" borderId="0" fillId="88" fontId="8" numFmtId="0" xfId="0">
      <alignment horizontal="center" vertical="center"/>
    </xf>
    <xf applyAlignment="true" applyBorder="false" applyFill="true" applyFont="true" applyNumberFormat="true" applyProtection="false" borderId="40" fillId="98" fontId="3" numFmtId="172" xfId="0">
      <alignment horizontal="center" vertical="center" wrapText="true"/>
    </xf>
    <xf applyAlignment="true" applyBorder="false" applyFill="true" applyFont="true" applyNumberFormat="true" applyProtection="false" borderId="38" fillId="98" fontId="3" numFmtId="172" xfId="0">
      <alignment horizontal="center" vertical="center" wrapText="true"/>
    </xf>
    <xf applyAlignment="true" applyBorder="false" applyFill="true" applyFont="true" applyNumberFormat="true" applyProtection="false" borderId="40" fillId="98" fontId="7" numFmtId="172" xfId="0">
      <alignment horizontal="center" vertical="center" wrapText="true"/>
    </xf>
    <xf applyAlignment="true" applyBorder="false" applyFill="true" applyFont="true" applyNumberFormat="false" applyProtection="false" borderId="40" fillId="98" fontId="7" numFmtId="0" xfId="0">
      <alignment horizontal="center" vertical="center"/>
    </xf>
    <xf applyAlignment="true" applyBorder="false" applyFill="true" applyFont="true" applyNumberFormat="false" applyProtection="false" borderId="40" fillId="98" fontId="7" numFmtId="0" xfId="0">
      <alignment horizontal="center" vertical="center" wrapText="true"/>
    </xf>
    <xf applyAlignment="true" applyBorder="false" applyFill="true" applyFont="true" applyNumberFormat="false" applyProtection="false" borderId="38" fillId="98" fontId="7" numFmtId="0" xfId="0">
      <alignment horizontal="center" vertical="center"/>
    </xf>
    <xf applyAlignment="true" applyBorder="false" applyFill="true" applyFont="true" applyNumberFormat="false" applyProtection="false" borderId="50" fillId="82" fontId="5" numFmtId="0" xfId="0">
      <alignment horizontal="center" vertical="center"/>
    </xf>
    <xf applyAlignment="true" applyBorder="false" applyFill="true" applyFont="true" applyNumberFormat="false" applyProtection="false" borderId="50" fillId="85" fontId="5" numFmtId="0" xfId="0">
      <alignment horizontal="center" vertical="center"/>
    </xf>
    <xf applyAlignment="true" applyBorder="false" applyFill="true" applyFont="true" applyNumberFormat="false" applyProtection="false" borderId="37" fillId="82" fontId="5" numFmtId="0" xfId="0">
      <alignment horizontal="center" vertical="center" wrapText="true"/>
    </xf>
    <xf applyAlignment="true" applyBorder="false" applyFill="true" applyFont="true" applyNumberFormat="false" applyProtection="false" borderId="40" fillId="85" fontId="4" numFmtId="0" xfId="0">
      <alignment horizontal="center" vertical="center"/>
    </xf>
    <xf applyAlignment="true" applyBorder="false" applyFill="true" applyFont="true" applyNumberFormat="false" applyProtection="false" borderId="37" fillId="82" fontId="5" numFmtId="0" xfId="0">
      <alignment horizontal="center" vertical="center" wrapText="true"/>
    </xf>
    <xf applyAlignment="true" applyBorder="false" applyFill="true" applyFont="true" applyNumberFormat="false" applyProtection="false" borderId="38" fillId="82" fontId="5" numFmtId="0" xfId="0">
      <alignment horizontal="center" vertical="center" wrapText="true"/>
    </xf>
    <xf applyAlignment="true" applyBorder="false" applyFill="true" applyFont="true" applyNumberFormat="true" applyProtection="false" borderId="40" fillId="98" fontId="4" numFmtId="173" xfId="0">
      <alignment horizontal="center" vertical="center"/>
    </xf>
    <xf applyAlignment="true" applyBorder="false" applyFill="true" applyFont="true" applyNumberFormat="true" applyProtection="false" borderId="40" fillId="98" fontId="4" numFmtId="173" xfId="0">
      <alignment horizontal="center" vertical="center"/>
    </xf>
    <xf applyAlignment="true" applyBorder="false" applyFill="true" applyFont="true" applyNumberFormat="false" applyProtection="false" borderId="40" fillId="108" fontId="5" numFmtId="0" xfId="0">
      <alignment horizontal="center" vertical="center"/>
    </xf>
    <xf applyAlignment="true" applyBorder="false" applyFill="true" applyFont="true" applyNumberFormat="false" applyProtection="false" borderId="40" fillId="98" fontId="5" numFmtId="0" xfId="0">
      <alignment horizontal="center" vertical="center"/>
    </xf>
    <xf applyAlignment="true" applyBorder="false" applyFill="true" applyFont="true" applyNumberFormat="false" applyProtection="false" borderId="50" fillId="98" fontId="5" numFmtId="0" xfId="0">
      <alignment horizontal="center" vertical="center"/>
    </xf>
    <xf applyAlignment="true" applyBorder="false" applyFill="true" applyFont="true" applyNumberFormat="false" applyProtection="false" borderId="40" fillId="108" fontId="5" numFmtId="0" xfId="0">
      <alignment horizontal="center" vertical="center"/>
    </xf>
    <xf applyAlignment="true" applyBorder="false" applyFill="true" applyFont="true" applyNumberFormat="false" applyProtection="false" borderId="40" fillId="98" fontId="4" numFmtId="0" xfId="0">
      <alignment horizontal="center" vertical="center"/>
    </xf>
    <xf applyAlignment="true" applyBorder="false" applyFill="true" applyFont="true" applyNumberFormat="false" applyProtection="false" borderId="40" fillId="98" fontId="5" numFmtId="0" xfId="0">
      <alignment horizontal="center" vertical="center"/>
    </xf>
    <xf applyAlignment="true" applyBorder="false" applyFill="true" applyFont="true" applyNumberFormat="false" applyProtection="false" borderId="40" fillId="108" fontId="4" numFmtId="0" xfId="0">
      <alignment horizontal="center" vertical="center"/>
    </xf>
    <xf applyAlignment="true" applyBorder="false" applyFill="true" applyFont="true" applyNumberFormat="false" applyProtection="false" borderId="41" fillId="108" fontId="5" numFmtId="0" xfId="0">
      <alignment horizontal="center" vertical="center"/>
    </xf>
    <xf applyAlignment="true" applyBorder="false" applyFill="true" applyFont="true" applyNumberFormat="true" applyProtection="false" borderId="0" fillId="85" fontId="4" numFmtId="173" xfId="0">
      <alignment horizontal="center" vertical="center"/>
    </xf>
    <xf applyAlignment="true" applyBorder="false" applyFill="true" applyFont="true" applyNumberFormat="true" applyProtection="false" borderId="41" fillId="98" fontId="3" numFmtId="172" xfId="0">
      <alignment horizontal="center" vertical="center" wrapText="true"/>
    </xf>
    <xf applyAlignment="true" applyBorder="false" applyFill="true" applyFont="true" applyNumberFormat="true" applyProtection="false" borderId="50" fillId="85" fontId="4" numFmtId="173" xfId="0">
      <alignment horizontal="center" vertical="center"/>
    </xf>
    <xf applyAlignment="true" applyBorder="false" applyFill="false" applyFont="true" applyNumberFormat="false" applyProtection="false" borderId="41" fillId="0" fontId="5" numFmtId="0" xfId="0">
      <alignment horizontal="center" vertical="center" wrapText="true"/>
    </xf>
    <xf applyAlignment="true" applyBorder="false" applyFill="false" applyFont="true" applyNumberFormat="false" applyProtection="false" borderId="52" fillId="0" fontId="5" numFmtId="0" xfId="0">
      <alignment horizontal="center" vertical="center"/>
    </xf>
    <xf applyAlignment="true" applyBorder="false" applyFill="false" applyFont="true" applyNumberFormat="false" applyProtection="false" borderId="41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40" fillId="109" fontId="3" numFmtId="172" xfId="0">
      <alignment horizontal="center" vertical="center" wrapText="true"/>
    </xf>
    <xf applyAlignment="true" applyBorder="false" applyFill="true" applyFont="true" applyNumberFormat="true" applyProtection="false" borderId="41" fillId="109" fontId="3" numFmtId="172" xfId="0">
      <alignment horizontal="center" vertical="center" wrapText="true"/>
    </xf>
    <xf applyAlignment="true" applyBorder="false" applyFill="true" applyFont="true" applyNumberFormat="true" applyProtection="false" borderId="40" fillId="109" fontId="7" numFmtId="172" xfId="0">
      <alignment horizontal="center" vertical="center" wrapText="true"/>
    </xf>
    <xf applyAlignment="true" applyBorder="false" applyFill="true" applyFont="true" applyNumberFormat="true" applyProtection="false" borderId="40" fillId="109" fontId="7" numFmtId="173" xfId="0">
      <alignment horizontal="center" vertical="center"/>
    </xf>
    <xf applyAlignment="true" applyBorder="false" applyFill="true" applyFont="true" applyNumberFormat="false" applyProtection="false" borderId="40" fillId="109" fontId="7" numFmtId="0" xfId="0">
      <alignment horizontal="center" vertical="center"/>
    </xf>
    <xf applyAlignment="true" applyBorder="false" applyFill="true" applyFont="true" applyNumberFormat="false" applyProtection="false" borderId="40" fillId="109" fontId="7" numFmtId="0" xfId="0">
      <alignment horizontal="center" vertical="center" wrapText="true"/>
    </xf>
    <xf applyAlignment="true" applyBorder="false" applyFill="true" applyFont="true" applyNumberFormat="false" applyProtection="false" borderId="41" fillId="109" fontId="7" numFmtId="0" xfId="0">
      <alignment horizontal="center" vertical="center"/>
    </xf>
    <xf applyAlignment="true" applyBorder="false" applyFill="true" applyFont="true" applyNumberFormat="true" applyProtection="false" borderId="40" fillId="108" fontId="4" numFmtId="173" xfId="0">
      <alignment horizontal="center" vertical="center"/>
    </xf>
    <xf applyAlignment="true" applyBorder="false" applyFill="true" applyFont="true" applyNumberFormat="true" applyProtection="false" borderId="40" fillId="108" fontId="4" numFmtId="173" xfId="0">
      <alignment horizontal="center" vertical="center"/>
    </xf>
    <xf applyAlignment="true" applyBorder="false" applyFill="true" applyFont="true" applyNumberFormat="false" applyProtection="false" borderId="39" fillId="85" fontId="5" numFmtId="0" xfId="0">
      <alignment horizontal="center" vertical="center"/>
    </xf>
    <xf applyAlignment="true" applyBorder="false" applyFill="true" applyFont="true" applyNumberFormat="false" applyProtection="false" borderId="39" fillId="87" fontId="5" numFmtId="0" xfId="0">
      <alignment horizontal="center" vertical="center"/>
    </xf>
    <xf applyAlignment="true" applyBorder="false" applyFill="true" applyFont="true" applyNumberFormat="false" applyProtection="false" borderId="39" fillId="82" fontId="5" numFmtId="0" xfId="0">
      <alignment horizontal="center" vertical="center"/>
    </xf>
    <xf applyAlignment="true" applyBorder="false" applyFill="true" applyFont="true" applyNumberFormat="false" applyProtection="false" borderId="41" fillId="82" fontId="5" numFmtId="0" xfId="0">
      <alignment horizontal="left" vertical="center" wrapText="true"/>
    </xf>
    <xf applyAlignment="true" applyBorder="false" applyFill="true" applyFont="true" applyNumberFormat="false" applyProtection="false" borderId="0" fillId="82" fontId="5" numFmtId="0" xfId="0">
      <alignment horizontal="left" vertical="center" wrapText="true"/>
    </xf>
    <xf applyAlignment="true" applyBorder="false" applyFill="true" applyFont="true" applyNumberFormat="true" applyProtection="false" borderId="40" fillId="110" fontId="4" numFmtId="173" xfId="0">
      <alignment horizontal="center" vertical="center"/>
    </xf>
    <xf applyAlignment="true" applyBorder="false" applyFill="true" applyFont="true" applyNumberFormat="false" applyProtection="false" borderId="40" fillId="108" fontId="5" numFmtId="0" xfId="0">
      <alignment horizontal="center" vertical="center" wrapText="true"/>
    </xf>
    <xf applyAlignment="true" applyBorder="false" applyFill="true" applyFont="true" applyNumberFormat="false" applyProtection="false" borderId="41" fillId="108" fontId="5" numFmtId="0" xfId="0">
      <alignment horizontal="left" vertical="center" wrapText="true"/>
    </xf>
    <xf applyAlignment="true" applyBorder="false" applyFill="true" applyFont="true" applyNumberFormat="false" applyProtection="false" borderId="0" fillId="108" fontId="5" numFmtId="0" xfId="0">
      <alignment horizontal="left" vertical="center" wrapText="true"/>
    </xf>
    <xf applyAlignment="true" applyBorder="false" applyFill="true" applyFont="true" applyNumberFormat="false" applyProtection="false" borderId="0" fillId="108" fontId="6" numFmtId="0" xfId="0">
      <alignment vertical="center"/>
    </xf>
    <xf applyAlignment="true" applyBorder="false" applyFill="true" applyFont="true" applyNumberFormat="true" applyProtection="false" borderId="36" fillId="82" fontId="4" numFmtId="173" xfId="0">
      <alignment horizontal="center" vertical="center"/>
    </xf>
    <xf applyAlignment="true" applyBorder="false" applyFill="true" applyFont="true" applyNumberFormat="true" applyProtection="false" borderId="40" fillId="111" fontId="3" numFmtId="172" xfId="0">
      <alignment horizontal="center" vertical="center" wrapText="true"/>
    </xf>
    <xf applyAlignment="true" applyBorder="false" applyFill="true" applyFont="true" applyNumberFormat="true" applyProtection="false" borderId="41" fillId="111" fontId="3" numFmtId="172" xfId="0">
      <alignment horizontal="center" vertical="center" wrapText="true"/>
    </xf>
    <xf applyAlignment="true" applyBorder="false" applyFill="true" applyFont="true" applyNumberFormat="true" applyProtection="false" borderId="40" fillId="111" fontId="7" numFmtId="172" xfId="0">
      <alignment horizontal="center" vertical="center" wrapText="true"/>
    </xf>
    <xf applyAlignment="true" applyBorder="false" applyFill="true" applyFont="true" applyNumberFormat="true" applyProtection="false" borderId="40" fillId="111" fontId="7" numFmtId="173" xfId="0">
      <alignment horizontal="center" vertical="center"/>
    </xf>
    <xf applyAlignment="true" applyBorder="false" applyFill="true" applyFont="true" applyNumberFormat="false" applyProtection="false" borderId="40" fillId="111" fontId="7" numFmtId="0" xfId="0">
      <alignment horizontal="center" vertical="center"/>
    </xf>
    <xf applyAlignment="true" applyBorder="false" applyFill="true" applyFont="true" applyNumberFormat="false" applyProtection="false" borderId="40" fillId="111" fontId="7" numFmtId="0" xfId="0">
      <alignment horizontal="center" vertical="center" wrapText="true"/>
    </xf>
    <xf applyAlignment="true" applyBorder="false" applyFill="true" applyFont="true" applyNumberFormat="false" applyProtection="false" borderId="41" fillId="111" fontId="7" numFmtId="0" xfId="0">
      <alignment horizontal="center" vertical="center"/>
    </xf>
    <xf applyAlignment="true" applyBorder="false" applyFill="true" applyFont="true" applyNumberFormat="true" applyProtection="false" borderId="50" fillId="81" fontId="4" numFmtId="173" xfId="0">
      <alignment horizontal="center" vertical="center"/>
    </xf>
    <xf applyAlignment="true" applyBorder="false" applyFill="true" applyFont="true" applyNumberFormat="true" applyProtection="false" borderId="40" fillId="81" fontId="4" numFmtId="173" xfId="0">
      <alignment horizontal="center" vertical="center"/>
    </xf>
    <xf applyAlignment="true" applyBorder="false" applyFill="true" applyFont="true" applyNumberFormat="true" applyProtection="false" borderId="40" fillId="81" fontId="4" numFmtId="173" xfId="0">
      <alignment horizontal="center" vertical="center"/>
    </xf>
    <xf applyAlignment="true" applyBorder="false" applyFill="true" applyFont="true" applyNumberFormat="false" applyProtection="false" borderId="39" fillId="81" fontId="5" numFmtId="0" xfId="0">
      <alignment horizontal="center" vertical="center"/>
    </xf>
    <xf applyAlignment="true" applyBorder="false" applyFill="true" applyFont="true" applyNumberFormat="false" applyProtection="false" borderId="40" fillId="81" fontId="5" numFmtId="0" xfId="0">
      <alignment horizontal="center" vertical="center"/>
    </xf>
    <xf applyAlignment="true" applyBorder="false" applyFill="true" applyFont="true" applyNumberFormat="true" applyProtection="false" borderId="40" fillId="81" fontId="5" numFmtId="174" xfId="0">
      <alignment horizontal="center" vertical="center"/>
    </xf>
    <xf applyAlignment="true" applyBorder="false" applyFill="true" applyFont="true" applyNumberFormat="false" applyProtection="false" borderId="0" fillId="81" fontId="5" numFmtId="0" xfId="0">
      <alignment horizontal="center" vertical="center" wrapText="true"/>
    </xf>
    <xf applyAlignment="true" applyBorder="false" applyFill="true" applyFont="true" applyNumberFormat="false" applyProtection="false" borderId="0" fillId="81" fontId="5" numFmtId="0" xfId="0">
      <alignment horizontal="center" vertical="center"/>
    </xf>
    <xf applyAlignment="true" applyBorder="false" applyFill="true" applyFont="true" applyNumberFormat="false" applyProtection="false" borderId="0" fillId="81" fontId="6" numFmtId="0" xfId="0">
      <alignment vertical="center"/>
    </xf>
    <xf applyAlignment="true" applyBorder="false" applyFill="true" applyFont="true" applyNumberFormat="false" applyProtection="false" borderId="40" fillId="81" fontId="5" numFmtId="0" xfId="0">
      <alignment horizontal="center" vertical="center" wrapText="true"/>
    </xf>
    <xf applyAlignment="true" applyBorder="false" applyFill="true" applyFont="true" applyNumberFormat="false" applyProtection="false" borderId="41" fillId="81" fontId="5" numFmtId="0" xfId="0">
      <alignment horizontal="center" vertical="center"/>
    </xf>
    <xf applyAlignment="true" applyBorder="false" applyFill="true" applyFont="true" applyNumberFormat="true" applyProtection="false" borderId="40" fillId="112" fontId="4" numFmtId="173" xfId="0">
      <alignment horizontal="center" vertical="center"/>
    </xf>
    <xf applyAlignment="true" applyBorder="false" applyFill="true" applyFont="true" applyNumberFormat="true" applyProtection="false" borderId="40" fillId="112" fontId="4" numFmtId="173" xfId="0">
      <alignment horizontal="center" vertical="center"/>
    </xf>
    <xf applyAlignment="true" applyBorder="false" applyFill="true" applyFont="true" applyNumberFormat="false" applyProtection="false" borderId="40" fillId="112" fontId="5" numFmtId="0" xfId="0">
      <alignment horizontal="center" vertical="center"/>
    </xf>
    <xf applyAlignment="true" applyBorder="false" applyFill="true" applyFont="true" applyNumberFormat="false" applyProtection="false" borderId="40" fillId="112" fontId="5" numFmtId="0" xfId="0">
      <alignment horizontal="center" vertical="center"/>
    </xf>
    <xf applyAlignment="true" applyBorder="false" applyFill="true" applyFont="true" applyNumberFormat="true" applyProtection="false" borderId="40" fillId="112" fontId="5" numFmtId="174" xfId="0">
      <alignment horizontal="center" vertical="center"/>
    </xf>
    <xf applyAlignment="true" applyBorder="false" applyFill="true" applyFont="true" applyNumberFormat="false" applyProtection="false" borderId="40" fillId="112" fontId="5" numFmtId="0" xfId="0">
      <alignment horizontal="center" vertical="center" wrapText="true"/>
    </xf>
    <xf applyAlignment="true" applyBorder="false" applyFill="true" applyFont="true" applyNumberFormat="false" applyProtection="false" borderId="41" fillId="112" fontId="5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true" applyProtection="false" borderId="40" fillId="113" fontId="3" numFmtId="172" xfId="0">
      <alignment horizontal="center" vertical="center" wrapText="true"/>
    </xf>
    <xf applyAlignment="true" applyBorder="false" applyFill="true" applyFont="true" applyNumberFormat="true" applyProtection="false" borderId="41" fillId="113" fontId="3" numFmtId="172" xfId="0">
      <alignment horizontal="center" vertical="center" wrapText="true"/>
    </xf>
    <xf applyAlignment="true" applyBorder="false" applyFill="true" applyFont="true" applyNumberFormat="true" applyProtection="false" borderId="0" fillId="113" fontId="3" numFmtId="172" xfId="0">
      <alignment horizontal="center" vertical="center" wrapText="true"/>
    </xf>
    <xf applyAlignment="true" applyBorder="false" applyFill="true" applyFont="true" applyNumberFormat="false" applyProtection="false" borderId="0" fillId="113" fontId="6" numFmtId="0" xfId="0">
      <alignment vertical="center"/>
    </xf>
    <xf applyAlignment="true" applyBorder="false" applyFill="true" applyFont="true" applyNumberFormat="true" applyProtection="false" borderId="40" fillId="113" fontId="7" numFmtId="172" xfId="0">
      <alignment horizontal="center" vertical="center" wrapText="true"/>
    </xf>
    <xf applyAlignment="true" applyBorder="false" applyFill="true" applyFont="true" applyNumberFormat="true" applyProtection="false" borderId="40" fillId="113" fontId="7" numFmtId="173" xfId="0">
      <alignment horizontal="center" vertical="center"/>
    </xf>
    <xf applyAlignment="true" applyBorder="false" applyFill="true" applyFont="true" applyNumberFormat="false" applyProtection="false" borderId="40" fillId="113" fontId="7" numFmtId="0" xfId="0">
      <alignment horizontal="center" vertical="center"/>
    </xf>
    <xf applyAlignment="true" applyBorder="false" applyFill="true" applyFont="true" applyNumberFormat="false" applyProtection="false" borderId="36" fillId="113" fontId="7" numFmtId="0" xfId="0">
      <alignment horizontal="center" vertical="center" wrapText="true"/>
    </xf>
    <xf applyAlignment="true" applyBorder="false" applyFill="true" applyFont="true" applyNumberFormat="false" applyProtection="false" borderId="41" fillId="113" fontId="7" numFmtId="0" xfId="0">
      <alignment horizontal="center" vertical="center"/>
    </xf>
    <xf applyAlignment="true" applyBorder="false" applyFill="true" applyFont="true" applyNumberFormat="false" applyProtection="false" borderId="0" fillId="113" fontId="7" numFmtId="0" xfId="0">
      <alignment horizontal="center" vertical="center"/>
    </xf>
    <xf applyAlignment="true" applyBorder="false" applyFill="true" applyFont="true" applyNumberFormat="false" applyProtection="false" borderId="39" fillId="85" fontId="5" numFmtId="0" xfId="0">
      <alignment horizontal="center" vertical="center"/>
    </xf>
    <xf applyAlignment="true" applyBorder="false" applyFill="true" applyFont="true" applyNumberFormat="true" applyProtection="false" borderId="50" fillId="88" fontId="4" numFmtId="173" xfId="0">
      <alignment horizontal="center" vertical="center"/>
    </xf>
    <xf applyAlignment="true" applyBorder="false" applyFill="true" applyFont="true" applyNumberFormat="false" applyProtection="false" borderId="0" fillId="88" fontId="5" numFmtId="0" xfId="0">
      <alignment horizontal="center" vertical="center" wrapText="true"/>
    </xf>
    <xf applyAlignment="true" applyBorder="false" applyFill="true" applyFont="true" applyNumberFormat="false" applyProtection="false" borderId="39" fillId="88" fontId="5" numFmtId="0" xfId="0">
      <alignment horizontal="center" vertical="center"/>
    </xf>
    <xf applyAlignment="true" applyBorder="false" applyFill="true" applyFont="true" applyNumberFormat="true" applyProtection="false" borderId="50" fillId="82" fontId="4" numFmtId="173" xfId="0">
      <alignment horizontal="center" vertical="center"/>
    </xf>
    <xf applyAlignment="true" applyBorder="false" applyFill="true" applyFont="true" applyNumberFormat="false" applyProtection="false" borderId="39" fillId="82" fontId="5" numFmtId="0" xfId="0">
      <alignment horizontal="center" vertical="center"/>
    </xf>
    <xf applyAlignment="true" applyBorder="false" applyFill="true" applyFont="true" applyNumberFormat="true" applyProtection="false" borderId="36" fillId="103" fontId="4" numFmtId="173" xfId="0">
      <alignment horizontal="center" vertical="center"/>
    </xf>
    <xf applyAlignment="true" applyBorder="false" applyFill="true" applyFont="true" applyNumberFormat="true" applyProtection="false" borderId="40" fillId="103" fontId="4" numFmtId="173" xfId="0">
      <alignment horizontal="center" vertical="center"/>
    </xf>
    <xf applyAlignment="true" applyBorder="false" applyFill="true" applyFont="true" applyNumberFormat="false" applyProtection="false" borderId="40" fillId="103" fontId="5" numFmtId="0" xfId="0">
      <alignment horizontal="center" vertical="center"/>
    </xf>
    <xf applyAlignment="true" applyBorder="false" applyFill="true" applyFont="true" applyNumberFormat="false" applyProtection="false" borderId="40" fillId="103" fontId="5" numFmtId="0" xfId="0">
      <alignment horizontal="center" vertical="center"/>
    </xf>
    <xf applyAlignment="true" applyBorder="false" applyFill="true" applyFont="true" applyNumberFormat="false" applyProtection="false" borderId="41" fillId="103" fontId="5" numFmtId="0" xfId="0">
      <alignment horizontal="center" vertical="center"/>
    </xf>
    <xf applyAlignment="true" applyBorder="false" applyFill="true" applyFont="true" applyNumberFormat="false" applyProtection="false" borderId="40" fillId="103" fontId="5" numFmtId="0" xfId="0">
      <alignment horizontal="center" vertical="center" wrapText="true"/>
    </xf>
    <xf applyAlignment="true" applyBorder="false" applyFill="true" applyFont="true" applyNumberFormat="false" applyProtection="false" borderId="39" fillId="103" fontId="5" numFmtId="0" xfId="0">
      <alignment horizontal="center" vertical="center"/>
    </xf>
    <xf applyAlignment="true" applyBorder="false" applyFill="true" applyFont="true" applyNumberFormat="false" applyProtection="false" borderId="0" fillId="103" fontId="5" numFmtId="0" xfId="0">
      <alignment horizontal="center" vertical="center"/>
    </xf>
    <xf applyAlignment="true" applyBorder="false" applyFill="true" applyFont="true" applyNumberFormat="false" applyProtection="false" borderId="40" fillId="103" fontId="5" numFmtId="0" xfId="0">
      <alignment horizontal="center" vertical="center" wrapText="true"/>
    </xf>
    <xf applyAlignment="true" applyBorder="false" applyFill="true" applyFont="true" applyNumberFormat="true" applyProtection="false" borderId="40" fillId="114" fontId="3" numFmtId="172" xfId="0">
      <alignment horizontal="center" vertical="center" wrapText="true"/>
    </xf>
    <xf applyAlignment="true" applyBorder="false" applyFill="true" applyFont="true" applyNumberFormat="true" applyProtection="false" borderId="41" fillId="114" fontId="3" numFmtId="172" xfId="0">
      <alignment horizontal="center" vertical="center" wrapText="true"/>
    </xf>
    <xf applyAlignment="true" applyBorder="false" applyFill="true" applyFont="true" applyNumberFormat="true" applyProtection="false" borderId="40" fillId="114" fontId="7" numFmtId="172" xfId="0">
      <alignment horizontal="center" vertical="center" wrapText="true"/>
    </xf>
    <xf applyAlignment="true" applyBorder="false" applyFill="true" applyFont="true" applyNumberFormat="true" applyProtection="false" borderId="40" fillId="114" fontId="7" numFmtId="173" xfId="0">
      <alignment horizontal="center" vertical="center"/>
    </xf>
    <xf applyAlignment="true" applyBorder="false" applyFill="true" applyFont="true" applyNumberFormat="false" applyProtection="false" borderId="40" fillId="114" fontId="7" numFmtId="0" xfId="0">
      <alignment horizontal="center" vertical="center"/>
    </xf>
    <xf applyAlignment="true" applyBorder="false" applyFill="true" applyFont="true" applyNumberFormat="false" applyProtection="false" borderId="40" fillId="114" fontId="7" numFmtId="0" xfId="0">
      <alignment horizontal="center" vertical="center" wrapText="true"/>
    </xf>
    <xf applyAlignment="true" applyBorder="false" applyFill="true" applyFont="true" applyNumberFormat="false" applyProtection="false" borderId="41" fillId="114" fontId="7" numFmtId="0" xfId="0">
      <alignment horizontal="center" vertical="center"/>
    </xf>
    <xf applyAlignment="true" applyBorder="false" applyFill="true" applyFont="true" applyNumberFormat="false" applyProtection="false" borderId="0" fillId="82" fontId="7" numFmtId="0" xfId="0">
      <alignment horizontal="center" vertical="center"/>
    </xf>
    <xf applyAlignment="true" applyBorder="false" applyFill="false" applyFont="true" applyNumberFormat="false" applyProtection="false" borderId="41" fillId="0" fontId="5" numFmtId="0" xfId="0">
      <alignment horizontal="center" vertical="center"/>
    </xf>
    <xf applyAlignment="true" applyBorder="false" applyFill="true" applyFont="true" applyNumberFormat="false" applyProtection="false" borderId="40" fillId="98" fontId="5" numFmtId="0" xfId="0">
      <alignment horizontal="center" vertical="center"/>
    </xf>
    <xf applyAlignment="true" applyBorder="false" applyFill="true" applyFont="true" applyNumberFormat="false" applyProtection="false" borderId="40" fillId="98" fontId="5" numFmtId="0" xfId="0">
      <alignment horizontal="center" vertical="center" wrapText="true"/>
    </xf>
    <xf applyAlignment="true" applyBorder="false" applyFill="true" applyFont="true" applyNumberFormat="false" applyProtection="false" borderId="41" fillId="98" fontId="5" numFmtId="0" xfId="0">
      <alignment horizontal="center" vertical="center"/>
    </xf>
    <xf applyAlignment="true" applyBorder="false" applyFill="true" applyFont="true" applyNumberFormat="true" applyProtection="false" borderId="40" fillId="115" fontId="4" numFmtId="173" xfId="0">
      <alignment horizontal="center" vertical="center"/>
    </xf>
    <xf applyAlignment="true" applyBorder="false" applyFill="true" applyFont="true" applyNumberFormat="true" applyProtection="false" borderId="40" fillId="115" fontId="4" numFmtId="173" xfId="0">
      <alignment horizontal="center" vertical="center"/>
    </xf>
    <xf applyAlignment="true" applyBorder="false" applyFill="true" applyFont="true" applyNumberFormat="false" applyProtection="false" borderId="40" fillId="115" fontId="5" numFmtId="0" xfId="0">
      <alignment horizontal="center" vertical="center"/>
    </xf>
    <xf applyAlignment="true" applyBorder="false" applyFill="true" applyFont="true" applyNumberFormat="false" applyProtection="false" borderId="40" fillId="115" fontId="5" numFmtId="0" xfId="0">
      <alignment horizontal="center" vertical="center"/>
    </xf>
    <xf applyAlignment="true" applyBorder="false" applyFill="true" applyFont="true" applyNumberFormat="false" applyProtection="false" borderId="40" fillId="115" fontId="5" numFmtId="0" xfId="0">
      <alignment horizontal="center" vertical="center" wrapText="true"/>
    </xf>
    <xf applyAlignment="true" applyBorder="false" applyFill="true" applyFont="true" applyNumberFormat="false" applyProtection="false" borderId="41" fillId="115" fontId="5" numFmtId="0" xfId="0">
      <alignment horizontal="center" vertical="center"/>
    </xf>
    <xf applyAlignment="true" applyBorder="false" applyFill="true" applyFont="true" applyNumberFormat="true" applyProtection="false" borderId="40" fillId="98" fontId="4" numFmtId="173" xfId="0">
      <alignment horizontal="center" vertical="center"/>
    </xf>
    <xf applyAlignment="true" applyBorder="false" applyFill="true" applyFont="true" applyNumberFormat="false" applyProtection="false" borderId="41" fillId="98" fontId="5" numFmtId="0" xfId="0">
      <alignment horizontal="center" vertical="center"/>
    </xf>
    <xf applyAlignment="true" applyBorder="false" applyFill="true" applyFont="true" applyNumberFormat="true" applyProtection="false" borderId="40" fillId="87" fontId="4" numFmtId="173" xfId="0">
      <alignment horizontal="center" vertical="center"/>
    </xf>
    <xf applyAlignment="true" applyBorder="false" applyFill="true" applyFont="true" applyNumberFormat="true" applyProtection="false" borderId="40" fillId="82" fontId="4" numFmtId="173" xfId="0">
      <alignment horizontal="center" vertical="center"/>
    </xf>
    <xf applyAlignment="true" applyBorder="false" applyFill="true" applyFont="true" applyNumberFormat="true" applyProtection="false" borderId="40" fillId="116" fontId="9" numFmtId="172" xfId="0">
      <alignment horizontal="center" vertical="center" wrapText="true"/>
    </xf>
    <xf applyAlignment="true" applyBorder="false" applyFill="true" applyFont="true" applyNumberFormat="true" applyProtection="false" borderId="40" fillId="116" fontId="16" numFmtId="172" xfId="0">
      <alignment horizontal="center" vertical="center" wrapText="true"/>
    </xf>
    <xf applyAlignment="true" applyBorder="false" applyFill="true" applyFont="true" applyNumberFormat="true" applyProtection="false" borderId="41" fillId="116" fontId="16" numFmtId="172" xfId="0">
      <alignment horizontal="center" vertical="center" wrapText="true"/>
    </xf>
    <xf applyAlignment="true" applyBorder="false" applyFill="true" applyFont="true" applyNumberFormat="true" applyProtection="false" borderId="0" fillId="82" fontId="16" numFmtId="172" xfId="0">
      <alignment horizontal="center" vertical="center" wrapText="true"/>
    </xf>
    <xf applyAlignment="true" applyBorder="false" applyFill="true" applyFont="true" applyNumberFormat="true" applyProtection="false" borderId="0" fillId="82" fontId="16" numFmtId="172" xfId="0">
      <alignment horizontal="center" vertical="center" wrapText="true"/>
    </xf>
    <xf applyAlignment="true" applyBorder="false" applyFill="true" applyFont="true" applyNumberFormat="true" applyProtection="false" borderId="40" fillId="116" fontId="7" numFmtId="172" xfId="0">
      <alignment horizontal="center" vertical="center" wrapText="true"/>
    </xf>
    <xf applyAlignment="true" applyBorder="false" applyFill="true" applyFont="true" applyNumberFormat="true" applyProtection="false" borderId="40" fillId="116" fontId="7" numFmtId="173" xfId="0">
      <alignment horizontal="center" vertical="center"/>
    </xf>
    <xf applyAlignment="true" applyBorder="false" applyFill="true" applyFont="true" applyNumberFormat="false" applyProtection="false" borderId="40" fillId="116" fontId="7" numFmtId="0" xfId="0">
      <alignment horizontal="center" vertical="center"/>
    </xf>
    <xf applyAlignment="true" applyBorder="false" applyFill="true" applyFont="true" applyNumberFormat="false" applyProtection="false" borderId="40" fillId="116" fontId="7" numFmtId="0" xfId="0">
      <alignment horizontal="center" vertical="center" wrapText="true"/>
    </xf>
    <xf applyAlignment="true" applyBorder="false" applyFill="true" applyFont="true" applyNumberFormat="false" applyProtection="false" borderId="40" fillId="116" fontId="7" numFmtId="0" xfId="0">
      <alignment horizontal="center" vertical="center"/>
    </xf>
    <xf applyAlignment="true" applyBorder="false" applyFill="true" applyFont="true" applyNumberFormat="false" applyProtection="false" borderId="41" fillId="116" fontId="7" numFmtId="0" xfId="0">
      <alignment horizontal="center" vertical="center"/>
    </xf>
    <xf applyAlignment="true" applyBorder="false" applyFill="true" applyFont="true" applyNumberFormat="true" applyProtection="false" borderId="40" fillId="82" fontId="4" numFmtId="172" xfId="0">
      <alignment horizontal="center" vertical="center" wrapText="true"/>
    </xf>
    <xf applyAlignment="true" applyBorder="false" applyFill="true" applyFont="true" applyNumberFormat="false" applyProtection="false" borderId="41" fillId="82" fontId="4" numFmtId="0" xfId="0">
      <alignment horizontal="center" vertical="center"/>
    </xf>
    <xf applyAlignment="true" applyBorder="false" applyFill="true" applyFont="true" applyNumberFormat="false" applyProtection="false" borderId="0" fillId="82" fontId="4" numFmtId="0" xfId="0">
      <alignment horizontal="center" vertical="center"/>
    </xf>
    <xf applyAlignment="true" applyBorder="false" applyFill="true" applyFont="true" applyNumberFormat="true" applyProtection="false" borderId="40" fillId="117" fontId="4" numFmtId="172" xfId="0">
      <alignment horizontal="center" vertical="center" wrapText="true"/>
    </xf>
    <xf applyAlignment="true" applyBorder="false" applyFill="true" applyFont="true" applyNumberFormat="true" applyProtection="false" borderId="40" fillId="117" fontId="4" numFmtId="173" xfId="0">
      <alignment horizontal="center" vertical="center"/>
    </xf>
    <xf applyAlignment="true" applyBorder="false" applyFill="true" applyFont="true" applyNumberFormat="true" applyProtection="false" borderId="40" fillId="117" fontId="4" numFmtId="173" xfId="0">
      <alignment horizontal="center" vertical="center"/>
    </xf>
    <xf applyAlignment="true" applyBorder="false" applyFill="true" applyFont="true" applyNumberFormat="false" applyProtection="false" borderId="40" fillId="91" fontId="5" numFmtId="0" xfId="0">
      <alignment horizontal="center" vertical="center"/>
    </xf>
    <xf applyAlignment="true" applyBorder="false" applyFill="true" applyFont="true" applyNumberFormat="false" applyProtection="false" borderId="40" fillId="117" fontId="5" numFmtId="0" xfId="0">
      <alignment horizontal="center" vertical="center"/>
    </xf>
    <xf applyAlignment="true" applyBorder="false" applyFill="true" applyFont="true" applyNumberFormat="false" applyProtection="false" borderId="40" fillId="91" fontId="5" numFmtId="0" xfId="0">
      <alignment horizontal="center" vertical="center" wrapText="true"/>
    </xf>
    <xf applyAlignment="true" applyBorder="false" applyFill="true" applyFont="true" applyNumberFormat="false" applyProtection="false" borderId="40" fillId="91" fontId="5" numFmtId="0" xfId="0">
      <alignment horizontal="center" vertical="center"/>
    </xf>
    <xf applyAlignment="true" applyBorder="false" applyFill="true" applyFont="true" applyNumberFormat="false" applyProtection="false" borderId="40" fillId="117" fontId="4" numFmtId="0" xfId="0">
      <alignment horizontal="center" vertical="center"/>
    </xf>
    <xf applyAlignment="true" applyBorder="false" applyFill="true" applyFont="true" applyNumberFormat="false" applyProtection="false" borderId="41" fillId="117" fontId="4" numFmtId="0" xfId="0">
      <alignment horizontal="center" vertical="center"/>
    </xf>
    <xf applyAlignment="true" applyBorder="false" applyFill="true" applyFont="true" applyNumberFormat="true" applyProtection="false" borderId="40" fillId="118" fontId="3" numFmtId="172" xfId="0">
      <alignment horizontal="center" vertical="center" wrapText="true"/>
    </xf>
    <xf applyAlignment="true" applyBorder="false" applyFill="true" applyFont="true" applyNumberFormat="true" applyProtection="false" borderId="40" fillId="118" fontId="16" numFmtId="172" xfId="0">
      <alignment horizontal="center" vertical="center" wrapText="true"/>
    </xf>
    <xf applyAlignment="true" applyBorder="false" applyFill="true" applyFont="true" applyNumberFormat="true" applyProtection="false" borderId="41" fillId="118" fontId="16" numFmtId="172" xfId="0">
      <alignment horizontal="center" vertical="center" wrapText="true"/>
    </xf>
    <xf applyAlignment="true" applyBorder="false" applyFill="true" applyFont="true" applyNumberFormat="true" applyProtection="false" borderId="40" fillId="119" fontId="7" numFmtId="172" xfId="0">
      <alignment horizontal="center" vertical="center" wrapText="true"/>
    </xf>
    <xf applyAlignment="true" applyBorder="false" applyFill="true" applyFont="true" applyNumberFormat="true" applyProtection="false" borderId="40" fillId="119" fontId="7" numFmtId="173" xfId="0">
      <alignment horizontal="center" vertical="center"/>
    </xf>
    <xf applyAlignment="true" applyBorder="false" applyFill="true" applyFont="true" applyNumberFormat="false" applyProtection="false" borderId="40" fillId="119" fontId="7" numFmtId="0" xfId="0">
      <alignment horizontal="center" vertical="center"/>
    </xf>
    <xf applyAlignment="true" applyBorder="false" applyFill="true" applyFont="true" applyNumberFormat="false" applyProtection="false" borderId="40" fillId="119" fontId="7" numFmtId="0" xfId="0">
      <alignment horizontal="center" vertical="center" wrapText="true"/>
    </xf>
    <xf applyAlignment="true" applyBorder="false" applyFill="true" applyFont="true" applyNumberFormat="false" applyProtection="false" borderId="41" fillId="119" fontId="7" numFmtId="0" xfId="0">
      <alignment horizontal="center" vertical="center"/>
    </xf>
    <xf applyAlignment="true" applyBorder="false" applyFill="true" applyFont="true" applyNumberFormat="true" applyProtection="false" borderId="40" fillId="104" fontId="4" numFmtId="173" xfId="0">
      <alignment horizontal="center" vertical="center"/>
    </xf>
    <xf applyAlignment="true" applyBorder="false" applyFill="true" applyFont="true" applyNumberFormat="true" applyProtection="false" borderId="40" fillId="104" fontId="4" numFmtId="173" xfId="0">
      <alignment horizontal="center" vertical="center"/>
    </xf>
    <xf applyAlignment="true" applyBorder="false" applyFill="true" applyFont="true" applyNumberFormat="false" applyProtection="false" borderId="40" fillId="104" fontId="5" numFmtId="0" xfId="0">
      <alignment horizontal="center" vertical="center"/>
    </xf>
    <xf applyAlignment="true" applyBorder="false" applyFill="true" applyFont="true" applyNumberFormat="false" applyProtection="false" borderId="40" fillId="104" fontId="5" numFmtId="0" xfId="0">
      <alignment horizontal="center" vertical="center"/>
    </xf>
    <xf applyAlignment="true" applyBorder="false" applyFill="true" applyFont="true" applyNumberFormat="false" applyProtection="false" borderId="40" fillId="104" fontId="5" numFmtId="0" xfId="0">
      <alignment horizontal="center" vertical="center" wrapText="true"/>
    </xf>
    <xf applyAlignment="true" applyBorder="false" applyFill="true" applyFont="true" applyNumberFormat="false" applyProtection="false" borderId="41" fillId="104" fontId="5" numFmtId="0" xfId="0">
      <alignment horizontal="center" vertical="center"/>
    </xf>
    <xf applyAlignment="true" applyBorder="false" applyFill="true" applyFont="true" applyNumberFormat="false" applyProtection="false" borderId="40" fillId="120" fontId="5" numFmtId="0" xfId="0">
      <alignment horizontal="center" vertical="center"/>
    </xf>
    <xf applyAlignment="true" applyBorder="false" applyFill="true" applyFont="true" applyNumberFormat="false" applyProtection="false" borderId="40" fillId="120" fontId="5" numFmtId="0" xfId="0">
      <alignment horizontal="center" vertical="center"/>
    </xf>
    <xf applyAlignment="true" applyBorder="false" applyFill="true" applyFont="true" applyNumberFormat="false" applyProtection="false" borderId="40" fillId="121" fontId="5" numFmtId="0" xfId="0">
      <alignment horizontal="center" vertical="center"/>
    </xf>
    <xf applyAlignment="true" applyBorder="false" applyFill="true" applyFont="true" applyNumberFormat="true" applyProtection="false" borderId="39" fillId="85" fontId="4" numFmtId="173" xfId="0">
      <alignment horizontal="center" vertical="center"/>
    </xf>
    <xf applyAlignment="true" applyBorder="false" applyFill="true" applyFont="true" applyNumberFormat="true" applyProtection="false" borderId="40" fillId="122" fontId="10" numFmtId="172" xfId="0">
      <alignment horizontal="center" vertical="center" wrapText="true"/>
    </xf>
    <xf applyAlignment="true" applyBorder="false" applyFill="true" applyFont="true" applyNumberFormat="true" applyProtection="false" borderId="41" fillId="122" fontId="10" numFmtId="172" xfId="0">
      <alignment horizontal="center" vertical="center" wrapText="true"/>
    </xf>
    <xf applyAlignment="true" applyBorder="false" applyFill="true" applyFont="true" applyNumberFormat="true" applyProtection="false" borderId="40" fillId="122" fontId="7" numFmtId="172" xfId="0">
      <alignment horizontal="center" vertical="center" wrapText="true"/>
    </xf>
    <xf applyAlignment="true" applyBorder="false" applyFill="true" applyFont="true" applyNumberFormat="true" applyProtection="false" borderId="40" fillId="122" fontId="7" numFmtId="173" xfId="0">
      <alignment horizontal="center" vertical="center"/>
    </xf>
    <xf applyAlignment="true" applyBorder="false" applyFill="true" applyFont="true" applyNumberFormat="false" applyProtection="false" borderId="40" fillId="122" fontId="7" numFmtId="0" xfId="0">
      <alignment horizontal="center" vertical="center"/>
    </xf>
    <xf applyAlignment="true" applyBorder="false" applyFill="true" applyFont="true" applyNumberFormat="false" applyProtection="false" borderId="40" fillId="122" fontId="7" numFmtId="0" xfId="0">
      <alignment horizontal="center" vertical="center" wrapText="true"/>
    </xf>
    <xf applyAlignment="true" applyBorder="false" applyFill="true" applyFont="true" applyNumberFormat="false" applyProtection="false" borderId="41" fillId="122" fontId="7" numFmtId="0" xfId="0">
      <alignment horizontal="center" vertical="center"/>
    </xf>
    <xf applyAlignment="true" applyBorder="false" applyFill="true" applyFont="true" applyNumberFormat="true" applyProtection="false" borderId="40" fillId="123" fontId="3" numFmtId="172" xfId="0">
      <alignment horizontal="center" vertical="center" wrapText="true"/>
    </xf>
    <xf applyAlignment="true" applyBorder="false" applyFill="true" applyFont="true" applyNumberFormat="true" applyProtection="false" borderId="36" fillId="123" fontId="3" numFmtId="172" xfId="0">
      <alignment horizontal="center" vertical="center" wrapText="true"/>
    </xf>
    <xf applyAlignment="true" applyBorder="false" applyFill="true" applyFont="true" applyNumberFormat="true" applyProtection="false" borderId="40" fillId="123" fontId="7" numFmtId="172" xfId="0">
      <alignment horizontal="center" vertical="center" wrapText="true"/>
    </xf>
    <xf applyAlignment="true" applyBorder="false" applyFill="true" applyFont="true" applyNumberFormat="true" applyProtection="false" borderId="40" fillId="123" fontId="7" numFmtId="173" xfId="0">
      <alignment horizontal="center" vertical="center"/>
    </xf>
    <xf applyAlignment="true" applyBorder="false" applyFill="true" applyFont="true" applyNumberFormat="false" applyProtection="false" borderId="36" fillId="123" fontId="7" numFmtId="0" xfId="0">
      <alignment horizontal="center" vertical="center"/>
    </xf>
    <xf applyAlignment="true" applyBorder="false" applyFill="true" applyFont="true" applyNumberFormat="false" applyProtection="false" borderId="40" fillId="123" fontId="7" numFmtId="0" xfId="0">
      <alignment horizontal="center" vertical="center"/>
    </xf>
    <xf applyAlignment="true" applyBorder="false" applyFill="true" applyFont="true" applyNumberFormat="false" applyProtection="false" borderId="40" fillId="123" fontId="7" numFmtId="0" xfId="0">
      <alignment horizontal="center" vertical="center" wrapText="true"/>
    </xf>
    <xf applyAlignment="true" applyBorder="false" applyFill="true" applyFont="true" applyNumberFormat="false" applyProtection="false" borderId="41" fillId="123" fontId="7" numFmtId="0" xfId="0">
      <alignment horizontal="center" vertical="center"/>
    </xf>
    <xf applyAlignment="true" applyBorder="false" applyFill="true" applyFont="true" applyNumberFormat="false" applyProtection="false" borderId="38" fillId="123" fontId="7" numFmtId="0" xfId="0">
      <alignment horizontal="center" vertical="center"/>
    </xf>
    <xf applyAlignment="true" applyBorder="false" applyFill="true" applyFont="true" applyNumberFormat="false" applyProtection="false" borderId="38" fillId="82" fontId="5" numFmtId="0" xfId="0">
      <alignment horizontal="center" vertical="center"/>
    </xf>
    <xf applyAlignment="true" applyBorder="false" applyFill="true" applyFont="true" applyNumberFormat="true" applyProtection="false" borderId="41" fillId="108" fontId="4" numFmtId="173" xfId="0">
      <alignment horizontal="center" vertical="center"/>
    </xf>
    <xf applyAlignment="true" applyBorder="false" applyFill="true" applyFont="true" applyNumberFormat="false" applyProtection="false" borderId="40" fillId="108" fontId="4" numFmtId="0" xfId="0">
      <alignment horizontal="center" vertical="center" wrapText="true"/>
    </xf>
    <xf applyAlignment="true" applyBorder="false" applyFill="true" applyFont="true" applyNumberFormat="false" applyProtection="false" borderId="41" fillId="108" fontId="4" numFmtId="0" xfId="0">
      <alignment horizontal="center" vertical="center"/>
    </xf>
    <xf applyAlignment="true" applyBorder="false" applyFill="true" applyFont="true" applyNumberFormat="false" applyProtection="false" borderId="0" fillId="108" fontId="4" numFmtId="0" xfId="0">
      <alignment horizontal="center" vertical="center"/>
    </xf>
    <xf applyAlignment="true" applyBorder="false" applyFill="true" applyFont="true" applyNumberFormat="false" applyProtection="false" borderId="40" fillId="98" fontId="4" numFmtId="0" xfId="0">
      <alignment horizontal="center" vertical="center" wrapText="true"/>
    </xf>
    <xf applyAlignment="true" applyBorder="false" applyFill="true" applyFont="true" applyNumberFormat="false" applyProtection="false" borderId="41" fillId="98" fontId="4" numFmtId="0" xfId="0">
      <alignment horizontal="center" vertical="center"/>
    </xf>
    <xf applyAlignment="true" applyBorder="false" applyFill="true" applyFont="true" applyNumberFormat="false" applyProtection="false" borderId="40" fillId="108" fontId="5" numFmtId="0" xfId="0">
      <alignment horizontal="center" vertical="center"/>
    </xf>
    <xf applyAlignment="true" applyBorder="false" applyFill="true" applyFont="true" applyNumberFormat="false" applyProtection="false" borderId="40" fillId="98" fontId="5" numFmtId="0" xfId="0">
      <alignment horizontal="center" vertical="center" wrapText="true"/>
    </xf>
    <xf applyAlignment="true" applyBorder="false" applyFill="true" applyFont="true" applyNumberFormat="false" applyProtection="false" borderId="40" fillId="82" fontId="5" numFmtId="0" xfId="0">
      <alignment horizontal="center" vertical="center"/>
    </xf>
    <xf applyAlignment="true" applyBorder="false" applyFill="true" applyFont="true" applyNumberFormat="true" applyProtection="false" borderId="40" fillId="124" fontId="16" numFmtId="172" xfId="0">
      <alignment horizontal="center" vertical="center" wrapText="true"/>
    </xf>
    <xf applyAlignment="true" applyBorder="false" applyFill="true" applyFont="true" applyNumberFormat="true" applyProtection="false" borderId="40" fillId="124" fontId="17" numFmtId="172" xfId="0">
      <alignment horizontal="center" vertical="center" wrapText="true"/>
    </xf>
    <xf applyAlignment="true" applyBorder="false" applyFill="true" applyFont="true" applyNumberFormat="true" applyProtection="false" borderId="40" fillId="124" fontId="17" numFmtId="173" xfId="0">
      <alignment horizontal="center" vertical="center"/>
    </xf>
    <xf applyAlignment="true" applyBorder="false" applyFill="true" applyFont="true" applyNumberFormat="false" applyProtection="false" borderId="36" fillId="124" fontId="17" numFmtId="0" xfId="0">
      <alignment horizontal="center" vertical="center"/>
    </xf>
    <xf applyAlignment="true" applyBorder="false" applyFill="true" applyFont="true" applyNumberFormat="false" applyProtection="false" borderId="40" fillId="124" fontId="17" numFmtId="0" xfId="0">
      <alignment horizontal="center" vertical="center"/>
    </xf>
    <xf applyAlignment="true" applyBorder="false" applyFill="true" applyFont="true" applyNumberFormat="false" applyProtection="false" borderId="40" fillId="124" fontId="17" numFmtId="0" xfId="0">
      <alignment horizontal="center" vertical="center" wrapText="true"/>
    </xf>
    <xf applyAlignment="true" applyBorder="false" applyFill="true" applyFont="true" applyNumberFormat="false" applyProtection="false" borderId="41" fillId="124" fontId="17" numFmtId="0" xfId="0">
      <alignment horizontal="center" vertical="center"/>
    </xf>
    <xf applyAlignment="true" applyBorder="false" applyFill="true" applyFont="true" applyNumberFormat="false" applyProtection="false" borderId="38" fillId="82" fontId="5" numFmtId="0" xfId="0">
      <alignment horizontal="center" vertical="center"/>
    </xf>
    <xf applyAlignment="true" applyBorder="false" applyFill="true" applyFont="true" applyNumberFormat="true" applyProtection="false" borderId="40" fillId="108" fontId="4" numFmtId="173" xfId="0">
      <alignment horizontal="center" vertical="center"/>
    </xf>
    <xf applyAlignment="true" applyBorder="false" applyFill="true" applyFont="true" applyNumberFormat="true" applyProtection="false" borderId="40" fillId="125" fontId="16" numFmtId="172" xfId="0">
      <alignment horizontal="center" vertical="center" wrapText="true"/>
    </xf>
    <xf applyAlignment="true" applyBorder="false" applyFill="true" applyFont="true" applyNumberFormat="true" applyProtection="false" borderId="41" fillId="125" fontId="16" numFmtId="172" xfId="0">
      <alignment horizontal="center" vertical="center" wrapText="true"/>
    </xf>
    <xf applyAlignment="true" applyBorder="false" applyFill="true" applyFont="true" applyNumberFormat="true" applyProtection="false" borderId="40" fillId="125" fontId="7" numFmtId="172" xfId="0">
      <alignment horizontal="center" vertical="center" wrapText="true"/>
    </xf>
    <xf applyAlignment="true" applyBorder="false" applyFill="true" applyFont="true" applyNumberFormat="true" applyProtection="false" borderId="40" fillId="125" fontId="7" numFmtId="173" xfId="0">
      <alignment horizontal="center" vertical="center"/>
    </xf>
    <xf applyAlignment="true" applyBorder="false" applyFill="true" applyFont="true" applyNumberFormat="false" applyProtection="false" borderId="40" fillId="125" fontId="7" numFmtId="0" xfId="0">
      <alignment horizontal="center" vertical="center"/>
    </xf>
    <xf applyAlignment="true" applyBorder="false" applyFill="true" applyFont="true" applyNumberFormat="false" applyProtection="false" borderId="40" fillId="125" fontId="7" numFmtId="0" xfId="0">
      <alignment horizontal="center" vertical="center" wrapText="true"/>
    </xf>
    <xf applyAlignment="true" applyBorder="false" applyFill="true" applyFont="true" applyNumberFormat="false" applyProtection="false" borderId="41" fillId="125" fontId="7" numFmtId="0" xfId="0">
      <alignment horizontal="center" vertical="center"/>
    </xf>
    <xf applyAlignment="true" applyBorder="false" applyFill="true" applyFont="true" applyNumberFormat="true" applyProtection="false" borderId="40" fillId="125" fontId="4" numFmtId="173" xfId="0">
      <alignment horizontal="center" vertical="center"/>
    </xf>
    <xf applyAlignment="true" applyBorder="false" applyFill="true" applyFont="true" applyNumberFormat="true" applyProtection="false" borderId="40" fillId="125" fontId="4" numFmtId="173" xfId="0">
      <alignment horizontal="center" vertical="center"/>
    </xf>
    <xf applyAlignment="true" applyBorder="false" applyFill="true" applyFont="true" applyNumberFormat="false" applyProtection="false" borderId="40" fillId="125" fontId="5" numFmtId="0" xfId="0">
      <alignment horizontal="center" vertical="center"/>
    </xf>
    <xf applyAlignment="true" applyBorder="false" applyFill="true" applyFont="true" applyNumberFormat="false" applyProtection="false" borderId="40" fillId="125" fontId="5" numFmtId="0" xfId="0">
      <alignment horizontal="center" vertical="center"/>
    </xf>
    <xf applyAlignment="true" applyBorder="false" applyFill="true" applyFont="true" applyNumberFormat="false" applyProtection="false" borderId="40" fillId="125" fontId="5" numFmtId="0" xfId="0">
      <alignment horizontal="center" vertical="center" wrapText="true"/>
    </xf>
    <xf applyAlignment="true" applyBorder="false" applyFill="true" applyFont="true" applyNumberFormat="false" applyProtection="false" borderId="39" fillId="125" fontId="5" numFmtId="0" xfId="0">
      <alignment horizontal="center" vertical="center"/>
    </xf>
    <xf applyAlignment="true" applyBorder="false" applyFill="true" applyFont="true" applyNumberFormat="false" applyProtection="false" borderId="41" fillId="125" fontId="5" numFmtId="0" xfId="0">
      <alignment horizontal="center" vertical="center"/>
    </xf>
    <xf applyAlignment="true" applyBorder="false" applyFill="true" applyFont="true" applyNumberFormat="false" applyProtection="false" borderId="40" fillId="80" fontId="18" numFmtId="0" xfId="0">
      <alignment horizontal="center" vertical="center"/>
    </xf>
    <xf applyAlignment="true" applyBorder="false" applyFill="true" applyFont="true" applyNumberFormat="false" applyProtection="false" borderId="41" fillId="125" fontId="5" numFmtId="0" xfId="0">
      <alignment horizontal="center" vertical="center"/>
    </xf>
    <xf applyAlignment="true" applyBorder="false" applyFill="true" applyFont="true" applyNumberFormat="true" applyProtection="false" borderId="40" fillId="105" fontId="16" numFmtId="172" xfId="0">
      <alignment horizontal="center" vertical="center" wrapText="true"/>
    </xf>
    <xf applyAlignment="true" applyBorder="false" applyFill="true" applyFont="true" applyNumberFormat="true" applyProtection="false" borderId="40" fillId="105" fontId="16" numFmtId="172" xfId="0">
      <alignment horizontal="center" vertical="center" wrapText="true"/>
    </xf>
    <xf applyAlignment="true" applyBorder="false" applyFill="true" applyFont="true" applyNumberFormat="true" applyProtection="false" borderId="41" fillId="105" fontId="16" numFmtId="172" xfId="0">
      <alignment horizontal="center" vertical="center" wrapText="true"/>
    </xf>
    <xf applyAlignment="true" applyBorder="false" applyFill="true" applyFont="true" applyNumberFormat="true" applyProtection="false" borderId="40" fillId="105" fontId="4" numFmtId="173" xfId="0">
      <alignment horizontal="center" vertical="center"/>
    </xf>
    <xf applyAlignment="true" applyBorder="false" applyFill="true" applyFont="true" applyNumberFormat="true" applyProtection="false" borderId="40" fillId="126" fontId="4" numFmtId="173" xfId="0">
      <alignment horizontal="center" vertical="center"/>
    </xf>
    <xf applyAlignment="true" applyBorder="false" applyFill="true" applyFont="true" applyNumberFormat="false" applyProtection="false" borderId="40" fillId="105" fontId="5" numFmtId="0" xfId="0">
      <alignment horizontal="center" vertical="center"/>
    </xf>
    <xf applyAlignment="true" applyBorder="false" applyFill="true" applyFont="true" applyNumberFormat="false" applyProtection="false" borderId="40" fillId="126" fontId="5" numFmtId="0" xfId="0">
      <alignment horizontal="center" vertical="center"/>
    </xf>
    <xf applyAlignment="true" applyBorder="false" applyFill="true" applyFont="true" applyNumberFormat="false" applyProtection="false" borderId="40" fillId="105" fontId="5" numFmtId="0" xfId="0">
      <alignment horizontal="center" vertical="center" wrapText="true"/>
    </xf>
    <xf applyAlignment="true" applyBorder="false" applyFill="true" applyFont="true" applyNumberFormat="false" applyProtection="false" borderId="40" fillId="105" fontId="5" numFmtId="0" xfId="0">
      <alignment horizontal="center" vertical="center"/>
    </xf>
    <xf applyAlignment="true" applyBorder="false" applyFill="true" applyFont="true" applyNumberFormat="false" applyProtection="false" borderId="41" fillId="105" fontId="5" numFmtId="0" xfId="0">
      <alignment horizontal="center" vertical="center"/>
    </xf>
    <xf applyAlignment="true" applyBorder="false" applyFill="true" applyFont="true" applyNumberFormat="true" applyProtection="false" borderId="40" fillId="105" fontId="4" numFmtId="173" xfId="0">
      <alignment horizontal="center" vertical="center"/>
    </xf>
    <xf applyAlignment="true" applyBorder="false" applyFill="true" applyFont="true" applyNumberFormat="true" applyProtection="false" borderId="40" fillId="126" fontId="4" numFmtId="173" xfId="0">
      <alignment horizontal="center" vertical="center"/>
    </xf>
    <xf applyAlignment="true" applyBorder="false" applyFill="true" applyFont="true" applyNumberFormat="false" applyProtection="false" borderId="40" fillId="126" fontId="5" numFmtId="0" xfId="0">
      <alignment horizontal="center" vertical="center"/>
    </xf>
    <xf applyAlignment="true" applyBorder="false" applyFill="true" applyFont="true" applyNumberFormat="true" applyProtection="false" borderId="40" fillId="127" fontId="16" numFmtId="172" xfId="0">
      <alignment horizontal="center" vertical="center" wrapText="true"/>
    </xf>
    <xf applyAlignment="true" applyBorder="false" applyFill="true" applyFont="true" applyNumberFormat="true" applyProtection="false" borderId="41" fillId="127" fontId="16" numFmtId="172" xfId="0">
      <alignment horizontal="center" vertical="center" wrapText="true"/>
    </xf>
    <xf applyAlignment="true" applyBorder="false" applyFill="true" applyFont="true" applyNumberFormat="true" applyProtection="false" borderId="40" fillId="87" fontId="7" numFmtId="172" xfId="0">
      <alignment horizontal="center" vertical="center" wrapText="true"/>
    </xf>
    <xf applyAlignment="true" applyBorder="false" applyFill="true" applyFont="true" applyNumberFormat="true" applyProtection="false" borderId="40" fillId="87" fontId="7" numFmtId="173" xfId="0">
      <alignment horizontal="center" vertical="center"/>
    </xf>
    <xf applyAlignment="true" applyBorder="false" applyFill="true" applyFont="true" applyNumberFormat="false" applyProtection="false" borderId="40" fillId="87" fontId="7" numFmtId="0" xfId="0">
      <alignment horizontal="center" vertical="center"/>
    </xf>
    <xf applyAlignment="true" applyBorder="false" applyFill="true" applyFont="true" applyNumberFormat="false" applyProtection="false" borderId="40" fillId="127" fontId="7" numFmtId="0" xfId="0">
      <alignment horizontal="center" vertical="center" wrapText="true"/>
    </xf>
    <xf applyAlignment="true" applyBorder="false" applyFill="true" applyFont="true" applyNumberFormat="false" applyProtection="false" borderId="40" fillId="127" fontId="7" numFmtId="0" xfId="0">
      <alignment horizontal="center" vertical="center"/>
    </xf>
    <xf applyAlignment="true" applyBorder="false" applyFill="true" applyFont="true" applyNumberFormat="false" applyProtection="false" borderId="41" fillId="127" fontId="7" numFmtId="0" xfId="0">
      <alignment horizontal="center" vertical="center"/>
    </xf>
    <xf applyAlignment="true" applyBorder="false" applyFill="true" applyFont="true" applyNumberFormat="false" applyProtection="false" borderId="40" fillId="87" fontId="4" numFmtId="0" xfId="0">
      <alignment horizontal="center" vertical="center"/>
    </xf>
    <xf applyAlignment="true" applyBorder="false" applyFill="true" applyFont="true" applyNumberFormat="true" applyProtection="false" borderId="40" fillId="82" fontId="7" numFmtId="172" xfId="0">
      <alignment horizontal="center" vertical="center" wrapText="true"/>
    </xf>
    <xf applyAlignment="true" applyBorder="false" applyFill="true" applyFont="true" applyNumberFormat="true" applyProtection="false" borderId="40" fillId="127" fontId="7" numFmtId="172" xfId="0">
      <alignment horizontal="center" vertical="center" wrapText="true"/>
    </xf>
    <xf applyAlignment="true" applyBorder="false" applyFill="true" applyFont="true" applyNumberFormat="true" applyProtection="false" borderId="40" fillId="127" fontId="4" numFmtId="173" xfId="0">
      <alignment horizontal="center" vertical="center"/>
    </xf>
    <xf applyAlignment="true" applyBorder="false" applyFill="true" applyFont="true" applyNumberFormat="true" applyProtection="false" borderId="40" fillId="127" fontId="4" numFmtId="173" xfId="0">
      <alignment horizontal="center" vertical="center"/>
    </xf>
    <xf applyAlignment="true" applyBorder="false" applyFill="true" applyFont="true" applyNumberFormat="false" applyProtection="false" borderId="40" fillId="127" fontId="5" numFmtId="0" xfId="0">
      <alignment horizontal="center" vertical="center"/>
    </xf>
    <xf applyAlignment="true" applyBorder="false" applyFill="true" applyFont="true" applyNumberFormat="false" applyProtection="false" borderId="40" fillId="127" fontId="5" numFmtId="0" xfId="0">
      <alignment horizontal="center" vertical="center"/>
    </xf>
    <xf applyAlignment="true" applyBorder="false" applyFill="true" applyFont="true" applyNumberFormat="true" applyProtection="false" borderId="53" fillId="128" fontId="1" numFmtId="176" xfId="0">
      <alignment horizontal="left" vertical="center" wrapText="true"/>
    </xf>
    <xf applyAlignment="true" applyBorder="false" applyFill="true" applyFont="true" applyNumberFormat="true" applyProtection="false" borderId="53" fillId="128" fontId="1" numFmtId="176" xfId="0">
      <alignment horizontal="left" vertical="center" wrapText="true"/>
    </xf>
    <xf applyAlignment="true" applyBorder="false" applyFill="true" applyFont="true" applyNumberFormat="true" applyProtection="false" borderId="53" fillId="128" fontId="1" numFmtId="176" xfId="0">
      <alignment horizontal="center" vertical="center" wrapText="true"/>
    </xf>
    <xf applyAlignment="true" applyBorder="false" applyFill="true" applyFont="true" applyNumberFormat="true" applyProtection="false" borderId="53" fillId="129" fontId="1" numFmtId="176" xfId="0">
      <alignment horizontal="right" vertical="center" wrapText="true"/>
    </xf>
    <xf applyAlignment="true" applyBorder="false" applyFill="true" applyFont="true" applyNumberFormat="true" applyProtection="false" borderId="54" fillId="128" fontId="1" numFmtId="176" xfId="0">
      <alignment horizontal="left" vertical="center" wrapText="true"/>
    </xf>
    <xf applyAlignment="true" applyBorder="false" applyFill="true" applyFont="true" applyNumberFormat="true" applyProtection="false" borderId="0" fillId="130" fontId="1" numFmtId="176" xfId="0">
      <alignment horizontal="left" vertical="center" wrapText="true"/>
    </xf>
    <xf applyAlignment="true" applyBorder="false" applyFill="true" applyFont="true" applyNumberFormat="true" applyProtection="false" borderId="0" fillId="131" fontId="2" numFmtId="176" xfId="0">
      <alignment horizontal="center" vertical="center"/>
    </xf>
    <xf applyAlignment="true" applyBorder="false" applyFill="true" applyFont="true" applyNumberFormat="true" applyProtection="false" borderId="0" fillId="131" fontId="2" numFmtId="176" xfId="0">
      <alignment horizontal="center" vertical="center"/>
    </xf>
    <xf applyAlignment="true" applyBorder="false" applyFill="true" applyFont="true" applyNumberFormat="true" applyProtection="false" borderId="0" fillId="130" fontId="2" numFmtId="176" xfId="0">
      <alignment horizontal="center" vertical="center"/>
    </xf>
    <xf applyAlignment="true" applyBorder="false" applyFill="true" applyFont="true" applyNumberFormat="true" applyProtection="false" borderId="53" fillId="132" fontId="3" numFmtId="176" xfId="0">
      <alignment horizontal="center" vertical="center" wrapText="true"/>
    </xf>
    <xf applyAlignment="true" applyBorder="false" applyFill="true" applyFont="true" applyNumberFormat="true" applyProtection="false" borderId="53" fillId="132" fontId="3" numFmtId="176" xfId="0">
      <alignment horizontal="center" vertical="center" wrapText="true"/>
    </xf>
    <xf applyAlignment="true" applyBorder="false" applyFill="true" applyFont="true" applyNumberFormat="true" applyProtection="false" borderId="0" fillId="130" fontId="3" numFmtId="176" xfId="0">
      <alignment horizontal="center" vertical="center" wrapText="true"/>
    </xf>
    <xf applyAlignment="true" applyBorder="false" applyFill="true" applyFont="true" applyNumberFormat="true" applyProtection="false" borderId="55" fillId="133" fontId="4" numFmtId="177" xfId="0">
      <alignment horizontal="center" vertical="center"/>
    </xf>
    <xf applyAlignment="true" applyBorder="false" applyFill="true" applyFont="true" applyNumberFormat="true" applyProtection="false" borderId="56" fillId="133" fontId="4" numFmtId="177" xfId="0">
      <alignment horizontal="center" vertical="center"/>
    </xf>
    <xf applyAlignment="true" applyBorder="false" applyFill="true" applyFont="true" applyNumberFormat="true" applyProtection="false" borderId="57" fillId="133" fontId="4" numFmtId="177" xfId="0">
      <alignment horizontal="center" vertical="center"/>
    </xf>
    <xf applyAlignment="true" applyBorder="false" applyFill="true" applyFont="true" applyNumberFormat="false" applyProtection="false" borderId="57" fillId="133" fontId="5" numFmtId="0" xfId="0">
      <alignment horizontal="center" vertical="center"/>
    </xf>
    <xf applyAlignment="true" applyBorder="false" applyFill="true" applyFont="true" applyNumberFormat="false" applyProtection="false" borderId="58" fillId="133" fontId="5" numFmtId="0" xfId="0">
      <alignment horizontal="center" vertical="center"/>
    </xf>
    <xf applyAlignment="true" applyBorder="false" applyFill="false" applyFont="true" applyNumberFormat="true" applyProtection="false" borderId="55" fillId="0" fontId="5" numFmtId="178" xfId="0">
      <alignment horizontal="center" vertical="center"/>
    </xf>
    <xf applyAlignment="true" applyBorder="false" applyFill="true" applyFont="true" applyNumberFormat="false" applyProtection="false" borderId="59" fillId="133" fontId="5" numFmtId="0" xfId="0">
      <alignment horizontal="center" vertical="center" wrapText="true"/>
    </xf>
    <xf applyAlignment="true" applyBorder="false" applyFill="false" applyFont="true" applyNumberFormat="false" applyProtection="false" borderId="57" fillId="0" fontId="5" numFmtId="0" xfId="0">
      <alignment horizontal="center" vertical="center"/>
    </xf>
    <xf applyAlignment="true" applyBorder="false" applyFill="true" applyFont="true" applyNumberFormat="false" applyProtection="false" borderId="58" fillId="133" fontId="5" numFmtId="0" xfId="0">
      <alignment horizontal="center" vertical="center"/>
    </xf>
    <xf applyAlignment="true" applyBorder="false" applyFill="true" applyFont="true" applyNumberFormat="false" applyProtection="false" borderId="0" fillId="130" fontId="5" numFmtId="0" xfId="0">
      <alignment horizontal="center" vertical="center"/>
    </xf>
    <xf applyAlignment="true" applyBorder="false" applyFill="true" applyFont="true" applyNumberFormat="true" applyProtection="false" borderId="55" fillId="133" fontId="4" numFmtId="177" xfId="0">
      <alignment horizontal="center" vertical="center"/>
    </xf>
    <xf applyAlignment="true" applyBorder="false" applyFill="true" applyFont="true" applyNumberFormat="true" applyProtection="false" borderId="54" fillId="132" fontId="3" numFmtId="176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true" applyProtection="false" borderId="60" fillId="133" fontId="4" numFmtId="177" xfId="0">
      <alignment horizontal="center" vertical="center"/>
    </xf>
    <xf applyAlignment="true" applyBorder="false" applyFill="true" applyFont="true" applyNumberFormat="false" applyProtection="false" borderId="55" fillId="133" fontId="5" numFmtId="0" xfId="0">
      <alignment horizontal="center" vertical="center"/>
    </xf>
    <xf applyAlignment="true" applyBorder="false" applyFill="true" applyFont="true" applyNumberFormat="false" applyProtection="false" borderId="61" fillId="133" fontId="5" numFmtId="0" xfId="0">
      <alignment horizontal="center" vertical="center"/>
    </xf>
    <xf applyAlignment="true" applyBorder="false" applyFill="true" applyFont="true" applyNumberFormat="false" applyProtection="false" borderId="55" fillId="130" fontId="5" numFmtId="0" xfId="0">
      <alignment horizontal="center" vertical="center"/>
    </xf>
    <xf applyAlignment="true" applyBorder="false" applyFill="true" applyFont="true" applyNumberFormat="false" applyProtection="false" borderId="55" fillId="133" fontId="5" numFmtId="0" xfId="0">
      <alignment horizontal="center" vertical="center" wrapText="true"/>
    </xf>
    <xf applyAlignment="true" applyBorder="false" applyFill="false" applyFont="true" applyNumberFormat="false" applyProtection="false" borderId="55" fillId="0" fontId="5" numFmtId="0" xfId="0">
      <alignment horizontal="center" vertical="center"/>
    </xf>
    <xf applyAlignment="true" applyBorder="false" applyFill="true" applyFont="true" applyNumberFormat="false" applyProtection="false" borderId="56" fillId="133" fontId="5" numFmtId="0" xfId="0">
      <alignment horizontal="center" vertical="center"/>
    </xf>
    <xf applyAlignment="true" applyBorder="false" applyFill="true" applyFont="true" applyNumberFormat="true" applyProtection="false" borderId="60" fillId="133" fontId="4" numFmtId="177" xfId="0">
      <alignment horizontal="center" vertical="center"/>
    </xf>
    <xf applyAlignment="true" applyBorder="false" applyFill="true" applyFont="true" applyNumberFormat="false" applyProtection="false" borderId="60" fillId="133" fontId="5" numFmtId="0" xfId="0">
      <alignment horizontal="center" vertical="center"/>
    </xf>
    <xf applyAlignment="true" applyBorder="false" applyFill="true" applyFont="true" applyNumberFormat="true" applyProtection="false" borderId="57" fillId="132" fontId="7" numFmtId="176" xfId="0">
      <alignment horizontal="center" vertical="center" wrapText="true"/>
    </xf>
    <xf applyAlignment="true" applyBorder="false" applyFill="true" applyFont="true" applyNumberFormat="true" applyProtection="false" borderId="57" fillId="132" fontId="7" numFmtId="177" xfId="0">
      <alignment horizontal="center" vertical="center"/>
    </xf>
    <xf applyAlignment="true" applyBorder="false" applyFill="true" applyFont="true" applyNumberFormat="false" applyProtection="false" borderId="57" fillId="132" fontId="7" numFmtId="0" xfId="0">
      <alignment horizontal="center" vertical="center"/>
    </xf>
    <xf applyAlignment="true" applyBorder="false" applyFill="true" applyFont="true" applyNumberFormat="false" applyProtection="false" borderId="58" fillId="132" fontId="7" numFmtId="0" xfId="0">
      <alignment horizontal="center" vertical="center"/>
    </xf>
    <xf applyAlignment="true" applyBorder="false" applyFill="true" applyFont="true" applyNumberFormat="false" applyProtection="false" borderId="59" fillId="132" fontId="7" numFmtId="0" xfId="0">
      <alignment horizontal="center" vertical="center" wrapText="true"/>
    </xf>
    <xf applyAlignment="true" applyBorder="false" applyFill="true" applyFont="true" applyNumberFormat="false" applyProtection="false" borderId="0" fillId="130" fontId="7" numFmtId="0" xfId="0">
      <alignment horizontal="center" vertical="center"/>
    </xf>
    <xf applyAlignment="true" applyBorder="false" applyFill="true" applyFont="true" applyNumberFormat="true" applyProtection="false" borderId="57" fillId="133" fontId="4" numFmtId="177" xfId="0">
      <alignment horizontal="center" vertical="center"/>
    </xf>
    <xf applyAlignment="true" applyBorder="false" applyFill="false" applyFont="true" applyNumberFormat="true" applyProtection="false" borderId="57" fillId="0" fontId="5" numFmtId="178" xfId="0">
      <alignment horizontal="center" vertical="center"/>
    </xf>
    <xf applyAlignment="true" applyBorder="false" applyFill="false" applyFont="true" applyNumberFormat="false" applyProtection="false" borderId="59" fillId="0" fontId="5" numFmtId="0" xfId="0">
      <alignment horizontal="center" vertical="center" wrapText="true"/>
    </xf>
    <xf applyAlignment="true" applyBorder="false" applyFill="false" applyFont="true" applyNumberFormat="false" applyProtection="false" borderId="58" fillId="0" fontId="5" numFmtId="0" xfId="0">
      <alignment horizontal="center" vertical="center"/>
    </xf>
    <xf applyAlignment="true" applyBorder="false" applyFill="false" applyFont="true" applyNumberFormat="false" applyProtection="false" borderId="57" fillId="0" fontId="5" numFmtId="0" xfId="0">
      <alignment horizontal="center" vertical="center"/>
    </xf>
    <xf applyAlignment="true" applyBorder="false" applyFill="true" applyFont="true" applyNumberFormat="false" applyProtection="false" borderId="57" fillId="133" fontId="5" numFmtId="0" xfId="0">
      <alignment horizontal="center" vertical="center"/>
    </xf>
    <xf applyAlignment="true" applyBorder="false" applyFill="true" applyFont="true" applyNumberFormat="true" applyProtection="false" borderId="57" fillId="133" fontId="7" numFmtId="176" xfId="0">
      <alignment horizontal="center" vertical="center" wrapText="true"/>
    </xf>
    <xf applyAlignment="true" applyBorder="false" applyFill="false" applyFont="true" applyNumberFormat="false" applyProtection="false" borderId="57" fillId="0" fontId="5" numFmtId="0" xfId="0">
      <alignment horizontal="center" vertical="center"/>
    </xf>
    <xf applyAlignment="true" applyBorder="false" applyFill="true" applyFont="true" applyNumberFormat="true" applyProtection="false" borderId="57" fillId="133" fontId="5" numFmtId="178" xfId="0">
      <alignment horizontal="center" vertical="center"/>
    </xf>
    <xf applyAlignment="true" applyBorder="false" applyFill="true" applyFont="true" applyNumberFormat="false" applyProtection="false" borderId="57" fillId="133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57" fillId="134" fontId="3" numFmtId="176" xfId="0">
      <alignment horizontal="center" vertical="center" wrapText="true"/>
    </xf>
    <xf applyAlignment="true" applyBorder="false" applyFill="true" applyFont="true" applyNumberFormat="true" applyProtection="false" borderId="58" fillId="134" fontId="3" numFmtId="176" xfId="0">
      <alignment horizontal="center" vertical="center" wrapText="true"/>
    </xf>
    <xf applyAlignment="true" applyBorder="false" applyFill="true" applyFont="true" applyNumberFormat="true" applyProtection="false" borderId="0" fillId="130" fontId="3" numFmtId="176" xfId="0">
      <alignment horizontal="center" vertical="center" wrapText="true"/>
    </xf>
    <xf applyAlignment="true" applyBorder="false" applyFill="true" applyFont="true" applyNumberFormat="true" applyProtection="false" borderId="57" fillId="134" fontId="7" numFmtId="176" xfId="0">
      <alignment horizontal="center" vertical="center" wrapText="true"/>
    </xf>
    <xf applyAlignment="true" applyBorder="false" applyFill="true" applyFont="true" applyNumberFormat="true" applyProtection="false" borderId="57" fillId="134" fontId="7" numFmtId="177" xfId="0">
      <alignment horizontal="center" vertical="center"/>
    </xf>
    <xf applyAlignment="true" applyBorder="false" applyFill="true" applyFont="true" applyNumberFormat="false" applyProtection="false" borderId="57" fillId="134" fontId="7" numFmtId="0" xfId="0">
      <alignment horizontal="center" vertical="center"/>
    </xf>
    <xf applyAlignment="true" applyBorder="false" applyFill="true" applyFont="true" applyNumberFormat="false" applyProtection="false" borderId="57" fillId="134" fontId="7" numFmtId="0" xfId="0">
      <alignment horizontal="center" vertical="center" wrapText="true"/>
    </xf>
    <xf applyAlignment="true" applyBorder="false" applyFill="true" applyFont="true" applyNumberFormat="false" applyProtection="false" borderId="58" fillId="134" fontId="7" numFmtId="0" xfId="0">
      <alignment horizontal="center" vertical="center"/>
    </xf>
    <xf applyAlignment="true" applyBorder="false" applyFill="true" applyFont="true" applyNumberFormat="false" applyProtection="false" borderId="57" fillId="133" fontId="5" numFmtId="0" xfId="0">
      <alignment horizontal="center" vertical="center" wrapText="true"/>
    </xf>
    <xf applyAlignment="true" applyBorder="false" applyFill="true" applyFont="true" applyNumberFormat="false" applyProtection="false" borderId="53" fillId="133" fontId="5" numFmtId="0" xfId="0">
      <alignment horizontal="center" vertical="center"/>
    </xf>
    <xf applyAlignment="true" applyBorder="false" applyFill="true" applyFont="true" applyNumberFormat="false" applyProtection="false" borderId="53" fillId="130" fontId="5" numFmtId="0" xfId="0">
      <alignment horizontal="center" vertical="center"/>
    </xf>
    <xf applyAlignment="true" applyBorder="false" applyFill="true" applyFont="true" applyNumberFormat="true" applyProtection="false" borderId="57" fillId="135" fontId="4" numFmtId="177" xfId="0">
      <alignment horizontal="center" vertical="center"/>
    </xf>
    <xf applyAlignment="true" applyBorder="false" applyFill="true" applyFont="true" applyNumberFormat="true" applyProtection="false" borderId="57" fillId="135" fontId="4" numFmtId="177" xfId="0">
      <alignment horizontal="center" vertical="center"/>
    </xf>
    <xf applyAlignment="true" applyBorder="false" applyFill="true" applyFont="true" applyNumberFormat="false" applyProtection="false" borderId="57" fillId="135" fontId="5" numFmtId="0" xfId="0">
      <alignment horizontal="center" vertical="center"/>
    </xf>
    <xf applyAlignment="true" applyBorder="false" applyFill="true" applyFont="true" applyNumberFormat="false" applyProtection="false" borderId="57" fillId="135" fontId="5" numFmtId="0" xfId="0">
      <alignment horizontal="center" vertical="center"/>
    </xf>
    <xf applyAlignment="true" applyBorder="false" applyFill="true" applyFont="true" applyNumberFormat="false" applyProtection="false" borderId="57" fillId="135" fontId="5" numFmtId="0" xfId="0">
      <alignment horizontal="center" vertical="center" wrapText="true"/>
    </xf>
    <xf applyAlignment="true" applyBorder="false" applyFill="true" applyFont="true" applyNumberFormat="false" applyProtection="false" borderId="53" fillId="135" fontId="5" numFmtId="0" xfId="0">
      <alignment horizontal="center" vertical="center"/>
    </xf>
    <xf applyAlignment="true" applyBorder="false" applyFill="true" applyFont="true" applyNumberFormat="false" applyProtection="false" borderId="58" fillId="135" fontId="5" numFmtId="0" xfId="0">
      <alignment horizontal="center" vertical="center"/>
    </xf>
    <xf applyAlignment="true" applyBorder="false" applyFill="true" applyFont="true" applyNumberFormat="false" applyProtection="false" borderId="57" fillId="135" fontId="5" numFmtId="0" xfId="0">
      <alignment horizontal="center" vertical="center" wrapText="true"/>
    </xf>
    <xf applyAlignment="true" applyBorder="false" applyFill="true" applyFont="true" applyNumberFormat="false" applyProtection="false" borderId="0" fillId="130" fontId="6" numFmtId="0" xfId="0">
      <alignment vertical="center"/>
    </xf>
    <xf applyAlignment="true" applyBorder="false" applyFill="true" applyFont="true" applyNumberFormat="true" applyProtection="false" borderId="57" fillId="136" fontId="4" numFmtId="177" xfId="0">
      <alignment horizontal="center" vertical="center"/>
    </xf>
    <xf applyAlignment="true" applyBorder="false" applyFill="true" applyFont="true" applyNumberFormat="false" applyProtection="false" borderId="57" fillId="136" fontId="5" numFmtId="0" xfId="0">
      <alignment horizontal="center" vertical="center"/>
    </xf>
    <xf applyAlignment="true" applyBorder="false" applyFill="true" applyFont="true" applyNumberFormat="true" applyProtection="false" borderId="57" fillId="136" fontId="4" numFmtId="177" xfId="0">
      <alignment horizontal="center" vertical="center"/>
    </xf>
    <xf applyAlignment="true" applyBorder="false" applyFill="true" applyFont="true" applyNumberFormat="false" applyProtection="false" borderId="57" fillId="136" fontId="5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false" applyProtection="false" borderId="55" fillId="137" fontId="9" numFmtId="0" xfId="0">
      <alignment horizontal="center" vertical="center"/>
    </xf>
    <xf applyAlignment="true" applyBorder="false" applyFill="true" applyFont="true" applyNumberFormat="true" applyProtection="false" borderId="55" fillId="137" fontId="3" numFmtId="176" xfId="0">
      <alignment horizontal="center" vertical="center" wrapText="true"/>
    </xf>
    <xf applyAlignment="true" applyBorder="false" applyFill="true" applyFont="true" applyNumberFormat="true" applyProtection="false" borderId="56" fillId="137" fontId="3" numFmtId="176" xfId="0">
      <alignment horizontal="center" vertical="center" wrapText="true"/>
    </xf>
    <xf applyAlignment="true" applyBorder="false" applyFill="true" applyFont="true" applyNumberFormat="false" applyProtection="false" borderId="55" fillId="137" fontId="7" numFmtId="0" xfId="0">
      <alignment horizontal="center" vertical="center"/>
    </xf>
    <xf applyAlignment="true" applyBorder="false" applyFill="true" applyFont="true" applyNumberFormat="true" applyProtection="false" borderId="55" fillId="137" fontId="7" numFmtId="177" xfId="0">
      <alignment horizontal="center" vertical="center"/>
    </xf>
    <xf applyAlignment="true" applyBorder="false" applyFill="true" applyFont="true" applyNumberFormat="false" applyProtection="false" borderId="55" fillId="137" fontId="7" numFmtId="0" xfId="0">
      <alignment horizontal="center" vertical="center" wrapText="true"/>
    </xf>
    <xf applyAlignment="true" applyBorder="false" applyFill="true" applyFont="true" applyNumberFormat="false" applyProtection="false" borderId="56" fillId="137" fontId="7" numFmtId="0" xfId="0">
      <alignment horizontal="center" vertical="center"/>
    </xf>
    <xf applyAlignment="true" applyBorder="false" applyFill="true" applyFont="true" applyNumberFormat="true" applyProtection="false" borderId="55" fillId="130" fontId="4" numFmtId="177" xfId="0">
      <alignment horizontal="center" vertical="center"/>
    </xf>
    <xf applyAlignment="true" applyBorder="false" applyFill="true" applyFont="true" applyNumberFormat="true" applyProtection="false" borderId="55" fillId="130" fontId="4" numFmtId="177" xfId="0">
      <alignment horizontal="center" vertical="center"/>
    </xf>
    <xf applyAlignment="true" applyBorder="false" applyFill="true" applyFont="true" applyNumberFormat="true" applyProtection="false" borderId="55" fillId="130" fontId="5" numFmtId="179" xfId="0">
      <alignment horizontal="center" vertical="center"/>
    </xf>
    <xf applyAlignment="true" applyBorder="false" applyFill="true" applyFont="true" applyNumberFormat="false" applyProtection="false" borderId="55" fillId="130" fontId="5" numFmtId="0" xfId="0">
      <alignment horizontal="center" vertical="center" wrapText="true"/>
    </xf>
    <xf applyAlignment="true" applyBorder="false" applyFill="true" applyFont="true" applyNumberFormat="false" applyProtection="false" borderId="56" fillId="130" fontId="5" numFmtId="0" xfId="0">
      <alignment horizontal="center" vertical="center"/>
    </xf>
    <xf applyAlignment="true" applyBorder="false" applyFill="true" applyFont="true" applyNumberFormat="true" applyProtection="false" borderId="55" fillId="138" fontId="4" numFmtId="177" xfId="0">
      <alignment horizontal="center" vertical="center"/>
    </xf>
    <xf applyAlignment="true" applyBorder="false" applyFill="true" applyFont="true" applyNumberFormat="true" applyProtection="false" borderId="55" fillId="138" fontId="4" numFmtId="177" xfId="0">
      <alignment horizontal="center" vertical="center"/>
    </xf>
    <xf applyAlignment="true" applyBorder="false" applyFill="true" applyFont="true" applyNumberFormat="true" applyProtection="false" borderId="55" fillId="138" fontId="5" numFmtId="179" xfId="0">
      <alignment horizontal="center" vertical="center"/>
    </xf>
    <xf applyAlignment="true" applyBorder="false" applyFill="true" applyFont="true" applyNumberFormat="false" applyProtection="false" borderId="55" fillId="138" fontId="5" numFmtId="0" xfId="0">
      <alignment horizontal="center" vertical="center"/>
    </xf>
    <xf applyAlignment="true" applyBorder="false" applyFill="true" applyFont="true" applyNumberFormat="false" applyProtection="false" borderId="55" fillId="138" fontId="5" numFmtId="0" xfId="0">
      <alignment horizontal="center" vertical="center" wrapText="true"/>
    </xf>
    <xf applyAlignment="true" applyBorder="false" applyFill="true" applyFont="true" applyNumberFormat="false" applyProtection="false" borderId="56" fillId="138" fontId="5" numFmtId="0" xfId="0">
      <alignment horizontal="center" vertical="center"/>
    </xf>
    <xf applyAlignment="true" applyBorder="false" applyFill="true" applyFont="true" applyNumberFormat="false" applyProtection="false" borderId="55" fillId="139" fontId="9" numFmtId="0" xfId="0">
      <alignment horizontal="center" vertical="center"/>
    </xf>
    <xf applyAlignment="true" applyBorder="false" applyFill="true" applyFont="true" applyNumberFormat="true" applyProtection="false" borderId="55" fillId="139" fontId="3" numFmtId="176" xfId="0">
      <alignment horizontal="center" vertical="center" wrapText="true"/>
    </xf>
    <xf applyAlignment="true" applyBorder="false" applyFill="true" applyFont="true" applyNumberFormat="true" applyProtection="false" borderId="56" fillId="139" fontId="3" numFmtId="176" xfId="0">
      <alignment horizontal="center" vertical="center" wrapText="true"/>
    </xf>
    <xf applyAlignment="true" applyBorder="false" applyFill="true" applyFont="true" applyNumberFormat="false" applyProtection="false" borderId="55" fillId="139" fontId="7" numFmtId="0" xfId="0">
      <alignment horizontal="center" vertical="center"/>
    </xf>
    <xf applyAlignment="true" applyBorder="false" applyFill="true" applyFont="true" applyNumberFormat="true" applyProtection="false" borderId="55" fillId="139" fontId="7" numFmtId="177" xfId="0">
      <alignment horizontal="center" vertical="center"/>
    </xf>
    <xf applyAlignment="true" applyBorder="false" applyFill="true" applyFont="true" applyNumberFormat="false" applyProtection="false" borderId="55" fillId="139" fontId="7" numFmtId="0" xfId="0">
      <alignment horizontal="center" vertical="center" wrapText="true"/>
    </xf>
    <xf applyAlignment="true" applyBorder="false" applyFill="true" applyFont="true" applyNumberFormat="false" applyProtection="false" borderId="56" fillId="139" fontId="7" numFmtId="0" xfId="0">
      <alignment horizontal="center" vertical="center"/>
    </xf>
    <xf applyAlignment="true" applyBorder="false" applyFill="true" applyFont="true" applyNumberFormat="true" applyProtection="false" borderId="55" fillId="140" fontId="4" numFmtId="177" xfId="0">
      <alignment horizontal="center" vertical="center"/>
    </xf>
    <xf applyAlignment="true" applyBorder="false" applyFill="true" applyFont="true" applyNumberFormat="true" applyProtection="false" borderId="55" fillId="140" fontId="4" numFmtId="177" xfId="0">
      <alignment horizontal="center" vertical="center"/>
    </xf>
    <xf applyAlignment="true" applyBorder="false" applyFill="true" applyFont="true" applyNumberFormat="true" applyProtection="false" borderId="55" fillId="140" fontId="5" numFmtId="179" xfId="0">
      <alignment horizontal="center" vertical="center"/>
    </xf>
    <xf applyAlignment="true" applyBorder="false" applyFill="true" applyFont="true" applyNumberFormat="false" applyProtection="false" borderId="55" fillId="140" fontId="5" numFmtId="0" xfId="0">
      <alignment horizontal="center" vertical="center"/>
    </xf>
    <xf applyAlignment="true" applyBorder="false" applyFill="true" applyFont="true" applyNumberFormat="false" applyProtection="false" borderId="55" fillId="140" fontId="5" numFmtId="0" xfId="0">
      <alignment horizontal="center" vertical="center" wrapText="true"/>
    </xf>
    <xf applyAlignment="true" applyBorder="false" applyFill="true" applyFont="true" applyNumberFormat="false" applyProtection="false" borderId="56" fillId="133" fontId="5" numFmtId="0" xfId="0">
      <alignment horizontal="center" vertical="center"/>
    </xf>
    <xf applyAlignment="true" applyBorder="false" applyFill="true" applyFont="true" applyNumberFormat="true" applyProtection="false" borderId="55" fillId="133" fontId="5" numFmtId="179" xfId="0">
      <alignment horizontal="center" vertical="center"/>
    </xf>
    <xf applyAlignment="true" applyBorder="false" applyFill="true" applyFont="true" applyNumberFormat="false" applyProtection="false" borderId="55" fillId="133" fontId="5" numFmtId="0" xfId="0">
      <alignment horizontal="center" vertical="center"/>
    </xf>
    <xf applyAlignment="true" applyBorder="false" applyFill="true" applyFont="true" applyNumberFormat="false" applyProtection="false" borderId="55" fillId="141" fontId="9" numFmtId="0" xfId="0">
      <alignment horizontal="center" vertical="center"/>
    </xf>
    <xf applyAlignment="true" applyBorder="false" applyFill="true" applyFont="true" applyNumberFormat="true" applyProtection="false" borderId="55" fillId="141" fontId="3" numFmtId="176" xfId="0">
      <alignment horizontal="center" vertical="center" wrapText="true"/>
    </xf>
    <xf applyAlignment="true" applyBorder="false" applyFill="true" applyFont="true" applyNumberFormat="true" applyProtection="false" borderId="56" fillId="141" fontId="3" numFmtId="176" xfId="0">
      <alignment horizontal="center" vertical="center" wrapText="true"/>
    </xf>
    <xf applyAlignment="true" applyBorder="false" applyFill="true" applyFont="true" applyNumberFormat="false" applyProtection="false" borderId="55" fillId="141" fontId="7" numFmtId="0" xfId="0">
      <alignment horizontal="center" vertical="center"/>
    </xf>
    <xf applyAlignment="true" applyBorder="false" applyFill="true" applyFont="true" applyNumberFormat="true" applyProtection="false" borderId="55" fillId="141" fontId="7" numFmtId="177" xfId="0">
      <alignment horizontal="center" vertical="center"/>
    </xf>
    <xf applyAlignment="true" applyBorder="false" applyFill="true" applyFont="true" applyNumberFormat="false" applyProtection="false" borderId="55" fillId="141" fontId="7" numFmtId="0" xfId="0">
      <alignment horizontal="center" vertical="center" wrapText="true"/>
    </xf>
    <xf applyAlignment="true" applyBorder="false" applyFill="true" applyFont="true" applyNumberFormat="false" applyProtection="false" borderId="62" fillId="141" fontId="7" numFmtId="0" xfId="0">
      <alignment horizontal="center" vertical="center"/>
    </xf>
    <xf applyAlignment="true" applyBorder="false" applyFill="true" applyFont="true" applyNumberFormat="false" applyProtection="false" borderId="0" fillId="130" fontId="7" numFmtId="0" xfId="0">
      <alignment horizontal="center" vertical="center"/>
    </xf>
    <xf applyAlignment="true" applyBorder="false" applyFill="true" applyFont="true" applyNumberFormat="false" applyProtection="false" borderId="57" fillId="140" fontId="5" numFmtId="0" xfId="0">
      <alignment horizontal="center" vertical="center"/>
    </xf>
    <xf applyAlignment="true" applyBorder="false" applyFill="true" applyFont="true" applyNumberFormat="false" applyProtection="false" borderId="55" fillId="142" fontId="9" numFmtId="0" xfId="0">
      <alignment horizontal="center" vertical="center"/>
    </xf>
    <xf applyAlignment="true" applyBorder="false" applyFill="true" applyFont="true" applyNumberFormat="true" applyProtection="false" borderId="55" fillId="142" fontId="3" numFmtId="176" xfId="0">
      <alignment horizontal="center" vertical="center" wrapText="true"/>
    </xf>
    <xf applyAlignment="true" applyBorder="false" applyFill="true" applyFont="true" applyNumberFormat="true" applyProtection="false" borderId="56" fillId="142" fontId="3" numFmtId="176" xfId="0">
      <alignment horizontal="center" vertical="center" wrapText="true"/>
    </xf>
    <xf applyAlignment="true" applyBorder="false" applyFill="true" applyFont="true" applyNumberFormat="false" applyProtection="false" borderId="55" fillId="142" fontId="7" numFmtId="0" xfId="0">
      <alignment horizontal="center" vertical="center"/>
    </xf>
    <xf applyAlignment="true" applyBorder="false" applyFill="true" applyFont="true" applyNumberFormat="true" applyProtection="false" borderId="55" fillId="142" fontId="7" numFmtId="177" xfId="0">
      <alignment horizontal="center" vertical="center"/>
    </xf>
    <xf applyAlignment="true" applyBorder="false" applyFill="true" applyFont="true" applyNumberFormat="false" applyProtection="false" borderId="55" fillId="142" fontId="7" numFmtId="0" xfId="0">
      <alignment horizontal="center" vertical="center" wrapText="true"/>
    </xf>
    <xf applyAlignment="true" applyBorder="false" applyFill="true" applyFont="true" applyNumberFormat="false" applyProtection="false" borderId="56" fillId="142" fontId="7" numFmtId="0" xfId="0">
      <alignment horizontal="center" vertical="center"/>
    </xf>
    <xf applyAlignment="true" applyBorder="false" applyFill="true" applyFont="true" applyNumberFormat="true" applyProtection="false" borderId="57" fillId="143" fontId="3" numFmtId="176" xfId="0">
      <alignment horizontal="center" vertical="center" wrapText="true"/>
    </xf>
    <xf applyAlignment="true" applyBorder="false" applyFill="true" applyFont="true" applyNumberFormat="true" applyProtection="false" borderId="57" fillId="143" fontId="3" numFmtId="176" xfId="0">
      <alignment horizontal="center" vertical="center" wrapText="true"/>
    </xf>
    <xf applyAlignment="true" applyBorder="false" applyFill="true" applyFont="true" applyNumberFormat="true" applyProtection="false" borderId="57" fillId="143" fontId="10" numFmtId="176" xfId="0">
      <alignment horizontal="center" vertical="center" wrapText="true"/>
    </xf>
    <xf applyAlignment="true" applyBorder="false" applyFill="true" applyFont="true" applyNumberFormat="true" applyProtection="false" borderId="58" fillId="143" fontId="10" numFmtId="176" xfId="0">
      <alignment horizontal="center" vertical="center" wrapText="true"/>
    </xf>
    <xf applyAlignment="true" applyBorder="false" applyFill="true" applyFont="true" applyNumberFormat="true" applyProtection="false" borderId="0" fillId="130" fontId="10" numFmtId="176" xfId="0">
      <alignment horizontal="center" vertical="center" wrapText="true"/>
    </xf>
    <xf applyAlignment="true" applyBorder="false" applyFill="true" applyFont="true" applyNumberFormat="true" applyProtection="false" borderId="53" fillId="143" fontId="7" numFmtId="176" xfId="0">
      <alignment horizontal="center" vertical="center" wrapText="true"/>
    </xf>
    <xf applyAlignment="true" applyBorder="false" applyFill="true" applyFont="true" applyNumberFormat="true" applyProtection="false" borderId="53" fillId="143" fontId="7" numFmtId="177" xfId="0">
      <alignment horizontal="center" vertical="center"/>
    </xf>
    <xf applyAlignment="true" applyBorder="false" applyFill="true" applyFont="true" applyNumberFormat="false" applyProtection="false" borderId="53" fillId="143" fontId="7" numFmtId="0" xfId="0">
      <alignment horizontal="center" vertical="center"/>
    </xf>
    <xf applyAlignment="true" applyBorder="false" applyFill="true" applyFont="true" applyNumberFormat="false" applyProtection="false" borderId="53" fillId="143" fontId="7" numFmtId="0" xfId="0">
      <alignment horizontal="center" vertical="center" wrapText="true"/>
    </xf>
    <xf applyAlignment="true" applyBorder="false" applyFill="true" applyFont="true" applyNumberFormat="false" applyProtection="false" borderId="54" fillId="143" fontId="7" numFmtId="0" xfId="0">
      <alignment horizontal="center" vertical="center"/>
    </xf>
    <xf applyAlignment="true" applyBorder="false" applyFill="false" applyFont="true" applyNumberFormat="true" applyProtection="false" borderId="57" fillId="0" fontId="5" numFmtId="177" xfId="0">
      <alignment horizontal="center" vertical="center"/>
    </xf>
    <xf applyAlignment="true" applyBorder="false" applyFill="false" applyFont="true" applyNumberFormat="false" applyProtection="false" borderId="57" fillId="0" fontId="8" numFmtId="0" xfId="0">
      <alignment horizontal="center" vertical="center" wrapText="true"/>
    </xf>
    <xf applyAlignment="true" applyBorder="false" applyFill="false" applyFont="true" applyNumberFormat="false" applyProtection="false" borderId="58" fillId="0" fontId="8" numFmtId="0" xfId="0">
      <alignment vertical="center"/>
    </xf>
    <xf applyAlignment="true" applyBorder="false" applyFill="true" applyFont="true" applyNumberFormat="false" applyProtection="false" borderId="0" fillId="133" fontId="8" numFmtId="0" xfId="0">
      <alignment vertical="center"/>
    </xf>
    <xf applyAlignment="true" applyBorder="false" applyFill="false" applyFont="true" applyNumberFormat="false" applyProtection="false" borderId="57" fillId="0" fontId="8" numFmtId="0" xfId="0">
      <alignment horizontal="center" vertical="center" wrapText="true"/>
    </xf>
    <xf applyAlignment="true" applyBorder="false" applyFill="true" applyFont="true" applyNumberFormat="false" applyProtection="false" borderId="0" fillId="130" fontId="8" numFmtId="0" xfId="0">
      <alignment vertical="center"/>
    </xf>
    <xf applyAlignment="true" applyBorder="false" applyFill="true" applyFont="true" applyNumberFormat="true" applyProtection="false" borderId="57" fillId="133" fontId="5" numFmtId="177" xfId="0">
      <alignment horizontal="center" vertical="center"/>
    </xf>
    <xf applyAlignment="true" applyBorder="false" applyFill="true" applyFont="true" applyNumberFormat="false" applyProtection="false" borderId="57" fillId="133" fontId="8" numFmtId="0" xfId="0">
      <alignment horizontal="center" vertical="center" wrapText="true"/>
    </xf>
    <xf applyAlignment="true" applyBorder="false" applyFill="true" applyFont="true" applyNumberFormat="false" applyProtection="false" borderId="58" fillId="133" fontId="8" numFmtId="0" xfId="0">
      <alignment vertical="center"/>
    </xf>
    <xf applyAlignment="true" applyBorder="false" applyFill="true" applyFont="true" applyNumberFormat="false" applyProtection="false" borderId="57" fillId="133" fontId="8" numFmtId="0" xfId="0">
      <alignment horizontal="center" vertical="center" wrapText="true"/>
    </xf>
    <xf applyAlignment="true" applyBorder="false" applyFill="true" applyFont="true" applyNumberFormat="true" applyProtection="false" borderId="53" fillId="136" fontId="3" numFmtId="176" xfId="0">
      <alignment horizontal="center" vertical="center" wrapText="true"/>
    </xf>
    <xf applyAlignment="true" applyBorder="false" applyFill="true" applyFont="true" applyNumberFormat="true" applyProtection="false" borderId="54" fillId="136" fontId="3" numFmtId="176" xfId="0">
      <alignment horizontal="center" vertical="center" wrapText="true"/>
    </xf>
    <xf applyAlignment="true" applyBorder="false" applyFill="true" applyFont="true" applyNumberFormat="true" applyProtection="false" borderId="54" fillId="136" fontId="7" numFmtId="176" xfId="0">
      <alignment horizontal="center" vertical="center" wrapText="true"/>
    </xf>
    <xf applyAlignment="true" applyBorder="false" applyFill="true" applyFont="true" applyNumberFormat="true" applyProtection="false" borderId="57" fillId="136" fontId="7" numFmtId="177" xfId="0">
      <alignment horizontal="center" vertical="center"/>
    </xf>
    <xf applyAlignment="true" applyBorder="false" applyFill="true" applyFont="true" applyNumberFormat="false" applyProtection="false" borderId="63" fillId="136" fontId="7" numFmtId="0" xfId="0">
      <alignment horizontal="center" vertical="center"/>
    </xf>
    <xf applyAlignment="true" applyBorder="false" applyFill="true" applyFont="true" applyNumberFormat="false" applyProtection="false" borderId="53" fillId="136" fontId="7" numFmtId="0" xfId="0">
      <alignment horizontal="center" vertical="center"/>
    </xf>
    <xf applyAlignment="true" applyBorder="false" applyFill="true" applyFont="true" applyNumberFormat="false" applyProtection="false" borderId="53" fillId="136" fontId="7" numFmtId="0" xfId="0">
      <alignment horizontal="center" vertical="center" wrapText="true"/>
    </xf>
    <xf applyAlignment="true" applyBorder="false" applyFill="true" applyFont="true" applyNumberFormat="false" applyProtection="false" borderId="54" fillId="136" fontId="7" numFmtId="0" xfId="0">
      <alignment horizontal="center" vertical="center"/>
    </xf>
    <xf applyAlignment="true" applyBorder="false" applyFill="true" applyFont="true" applyNumberFormat="false" applyProtection="false" borderId="58" fillId="136" fontId="7" numFmtId="0" xfId="0">
      <alignment horizontal="center" vertical="center"/>
    </xf>
    <xf applyAlignment="true" applyBorder="false" applyFill="true" applyFont="true" applyNumberFormat="true" applyProtection="false" borderId="57" fillId="130" fontId="7" numFmtId="177" xfId="0">
      <alignment horizontal="center" vertical="center"/>
    </xf>
    <xf applyAlignment="true" applyBorder="false" applyFill="true" applyFont="true" applyNumberFormat="true" applyProtection="false" borderId="57" fillId="130" fontId="4" numFmtId="177" xfId="0">
      <alignment horizontal="center" vertical="center"/>
    </xf>
    <xf applyAlignment="true" applyBorder="false" applyFill="true" applyFont="true" applyNumberFormat="false" applyProtection="false" borderId="57" fillId="130" fontId="5" numFmtId="0" xfId="0">
      <alignment horizontal="center" vertical="center"/>
    </xf>
    <xf applyAlignment="true" applyBorder="false" applyFill="true" applyFont="true" applyNumberFormat="false" applyProtection="false" borderId="57" fillId="130" fontId="5" numFmtId="0" xfId="0">
      <alignment horizontal="center" vertical="center"/>
    </xf>
    <xf applyAlignment="true" applyBorder="false" applyFill="false" applyFont="true" applyNumberFormat="false" applyProtection="false" borderId="64" fillId="0" fontId="5" numFmtId="0" xfId="0">
      <alignment horizontal="center" vertical="center"/>
    </xf>
    <xf applyAlignment="true" applyBorder="false" applyFill="true" applyFont="true" applyNumberFormat="false" applyProtection="false" borderId="0" fillId="133" fontId="5" numFmtId="0" xfId="0">
      <alignment horizontal="center" vertical="center"/>
    </xf>
    <xf applyAlignment="true" applyBorder="false" applyFill="true" applyFont="true" applyNumberFormat="true" applyProtection="false" borderId="57" fillId="130" fontId="4" numFmtId="177" xfId="0">
      <alignment horizontal="center" vertical="center"/>
    </xf>
    <xf applyAlignment="true" applyBorder="false" applyFill="false" applyFont="true" applyNumberFormat="false" applyProtection="false" borderId="57" fillId="0" fontId="5" numFmtId="0" xfId="0">
      <alignment horizontal="center" vertical="center" wrapText="true"/>
    </xf>
    <xf applyAlignment="true" applyBorder="false" applyFill="false" applyFont="true" applyNumberFormat="false" applyProtection="false" borderId="64" fillId="0" fontId="5" numFmtId="0" xfId="0">
      <alignment horizontal="center" vertical="center"/>
    </xf>
    <xf applyAlignment="true" applyBorder="false" applyFill="true" applyFont="true" applyNumberFormat="true" applyProtection="false" borderId="57" fillId="133" fontId="15" numFmtId="178" xfId="0">
      <alignment horizontal="center" vertical="center"/>
    </xf>
    <xf applyAlignment="true" applyBorder="false" applyFill="false" applyFont="true" applyNumberFormat="false" applyProtection="false" borderId="57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53" fillId="144" fontId="3" numFmtId="176" xfId="0">
      <alignment horizontal="center" vertical="center" wrapText="true"/>
    </xf>
    <xf applyAlignment="true" applyBorder="false" applyFill="true" applyFont="true" applyNumberFormat="true" applyProtection="false" borderId="54" fillId="144" fontId="3" numFmtId="176" xfId="0">
      <alignment horizontal="center" vertical="center" wrapText="true"/>
    </xf>
    <xf applyAlignment="true" applyBorder="false" applyFill="true" applyFont="true" applyNumberFormat="true" applyProtection="false" borderId="54" fillId="144" fontId="7" numFmtId="176" xfId="0">
      <alignment horizontal="center" vertical="center" wrapText="true"/>
    </xf>
    <xf applyAlignment="true" applyBorder="false" applyFill="true" applyFont="true" applyNumberFormat="true" applyProtection="false" borderId="57" fillId="144" fontId="7" numFmtId="177" xfId="0">
      <alignment horizontal="center" vertical="center"/>
    </xf>
    <xf applyAlignment="true" applyBorder="false" applyFill="true" applyFont="true" applyNumberFormat="false" applyProtection="false" borderId="63" fillId="144" fontId="7" numFmtId="0" xfId="0">
      <alignment horizontal="center" vertical="center"/>
    </xf>
    <xf applyAlignment="true" applyBorder="false" applyFill="true" applyFont="true" applyNumberFormat="false" applyProtection="false" borderId="53" fillId="144" fontId="7" numFmtId="0" xfId="0">
      <alignment horizontal="center" vertical="center"/>
    </xf>
    <xf applyAlignment="true" applyBorder="false" applyFill="true" applyFont="true" applyNumberFormat="false" applyProtection="false" borderId="53" fillId="144" fontId="7" numFmtId="0" xfId="0">
      <alignment horizontal="center" vertical="center" wrapText="true"/>
    </xf>
    <xf applyAlignment="true" applyBorder="false" applyFill="true" applyFont="true" applyNumberFormat="false" applyProtection="false" borderId="54" fillId="144" fontId="7" numFmtId="0" xfId="0">
      <alignment horizontal="center" vertical="center"/>
    </xf>
    <xf applyAlignment="true" applyBorder="false" applyFill="true" applyFont="true" applyNumberFormat="false" applyProtection="false" borderId="58" fillId="144" fontId="7" numFmtId="0" xfId="0">
      <alignment horizontal="center" vertical="center"/>
    </xf>
    <xf applyAlignment="true" applyBorder="false" applyFill="true" applyFont="true" applyNumberFormat="true" applyProtection="false" borderId="57" fillId="133" fontId="4" numFmtId="177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0" fillId="130" fontId="5" numFmtId="0" xfId="0">
      <alignment horizontal="center" vertical="center"/>
    </xf>
    <xf applyAlignment="true" applyBorder="false" applyFill="true" applyFont="true" applyNumberFormat="true" applyProtection="false" borderId="57" fillId="133" fontId="5" numFmtId="178" xfId="0">
      <alignment horizontal="center" vertical="center"/>
    </xf>
    <xf applyAlignment="true" applyBorder="false" applyFill="true" applyFont="true" applyNumberFormat="false" applyProtection="false" borderId="57" fillId="130" fontId="5" numFmtId="0" xfId="0">
      <alignment horizontal="center" vertical="center" wrapText="true"/>
    </xf>
    <xf applyAlignment="true" applyBorder="false" applyFill="true" applyFont="true" applyNumberFormat="false" applyProtection="false" borderId="64" fillId="130" fontId="5" numFmtId="0" xfId="0">
      <alignment horizontal="center" vertical="center"/>
    </xf>
    <xf applyAlignment="true" applyBorder="false" applyFill="true" applyFont="true" applyNumberFormat="true" applyProtection="false" borderId="53" fillId="145" fontId="3" numFmtId="176" xfId="0">
      <alignment horizontal="center" vertical="center" wrapText="true"/>
    </xf>
    <xf applyAlignment="true" applyBorder="false" applyFill="true" applyFont="true" applyNumberFormat="true" applyProtection="false" borderId="54" fillId="145" fontId="3" numFmtId="176" xfId="0">
      <alignment horizontal="center" vertical="center" wrapText="true"/>
    </xf>
    <xf applyAlignment="true" applyBorder="false" applyFill="true" applyFont="true" applyNumberFormat="true" applyProtection="false" borderId="54" fillId="145" fontId="7" numFmtId="176" xfId="0">
      <alignment horizontal="center" vertical="center" wrapText="true"/>
    </xf>
    <xf applyAlignment="true" applyBorder="false" applyFill="true" applyFont="true" applyNumberFormat="true" applyProtection="false" borderId="57" fillId="145" fontId="7" numFmtId="177" xfId="0">
      <alignment horizontal="center" vertical="center"/>
    </xf>
    <xf applyAlignment="true" applyBorder="false" applyFill="true" applyFont="true" applyNumberFormat="false" applyProtection="false" borderId="63" fillId="145" fontId="7" numFmtId="0" xfId="0">
      <alignment horizontal="center" vertical="center"/>
    </xf>
    <xf applyAlignment="true" applyBorder="false" applyFill="true" applyFont="true" applyNumberFormat="false" applyProtection="false" borderId="53" fillId="145" fontId="7" numFmtId="0" xfId="0">
      <alignment horizontal="center" vertical="center"/>
    </xf>
    <xf applyAlignment="true" applyBorder="false" applyFill="true" applyFont="true" applyNumberFormat="false" applyProtection="false" borderId="53" fillId="145" fontId="7" numFmtId="0" xfId="0">
      <alignment horizontal="center" vertical="center" wrapText="true"/>
    </xf>
    <xf applyAlignment="true" applyBorder="false" applyFill="true" applyFont="true" applyNumberFormat="false" applyProtection="false" borderId="54" fillId="145" fontId="7" numFmtId="0" xfId="0">
      <alignment horizontal="center" vertical="center"/>
    </xf>
    <xf applyAlignment="true" applyBorder="false" applyFill="true" applyFont="true" applyNumberFormat="false" applyProtection="false" borderId="58" fillId="145" fontId="7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57" fillId="130" fontId="5" numFmtId="0" xfId="0">
      <alignment horizontal="center" vertical="center"/>
    </xf>
    <xf applyAlignment="true" applyBorder="false" applyFill="true" applyFont="true" applyNumberFormat="false" applyProtection="false" borderId="57" fillId="133" fontId="5" numFmtId="0" xfId="0">
      <alignment horizontal="center" vertical="center"/>
    </xf>
    <xf applyAlignment="true" applyBorder="false" applyFill="true" applyFont="true" applyNumberFormat="true" applyProtection="false" borderId="53" fillId="146" fontId="3" numFmtId="176" xfId="0">
      <alignment horizontal="center" vertical="center" wrapText="true"/>
    </xf>
    <xf applyAlignment="true" applyBorder="false" applyFill="true" applyFont="true" applyNumberFormat="true" applyProtection="false" borderId="65" fillId="146" fontId="3" numFmtId="176" xfId="0">
      <alignment horizontal="center" vertical="center" wrapText="true"/>
    </xf>
    <xf applyAlignment="true" applyBorder="false" applyFill="true" applyFont="true" applyNumberFormat="true" applyProtection="false" borderId="54" fillId="146" fontId="3" numFmtId="176" xfId="0">
      <alignment horizontal="center" vertical="center" wrapText="true"/>
    </xf>
    <xf applyAlignment="true" applyBorder="false" applyFill="true" applyFont="true" applyNumberFormat="true" applyProtection="false" borderId="54" fillId="146" fontId="7" numFmtId="176" xfId="0">
      <alignment horizontal="center" vertical="center" wrapText="true"/>
    </xf>
    <xf applyAlignment="true" applyBorder="false" applyFill="true" applyFont="true" applyNumberFormat="true" applyProtection="false" borderId="57" fillId="146" fontId="7" numFmtId="177" xfId="0">
      <alignment horizontal="center" vertical="center"/>
    </xf>
    <xf applyAlignment="true" applyBorder="false" applyFill="true" applyFont="true" applyNumberFormat="false" applyProtection="false" borderId="63" fillId="146" fontId="7" numFmtId="0" xfId="0">
      <alignment horizontal="center" vertical="center"/>
    </xf>
    <xf applyAlignment="true" applyBorder="false" applyFill="true" applyFont="true" applyNumberFormat="false" applyProtection="false" borderId="53" fillId="146" fontId="7" numFmtId="0" xfId="0">
      <alignment horizontal="center" vertical="center"/>
    </xf>
    <xf applyAlignment="true" applyBorder="false" applyFill="true" applyFont="true" applyNumberFormat="false" applyProtection="false" borderId="53" fillId="146" fontId="7" numFmtId="0" xfId="0">
      <alignment horizontal="center" vertical="center" wrapText="true"/>
    </xf>
    <xf applyAlignment="true" applyBorder="false" applyFill="true" applyFont="true" applyNumberFormat="false" applyProtection="false" borderId="54" fillId="146" fontId="7" numFmtId="0" xfId="0">
      <alignment horizontal="center" vertical="center"/>
    </xf>
    <xf applyAlignment="true" applyBorder="false" applyFill="true" applyFont="true" applyNumberFormat="false" applyProtection="false" borderId="58" fillId="146" fontId="7" numFmtId="0" xfId="0">
      <alignment horizontal="center" vertical="center"/>
    </xf>
    <xf applyAlignment="true" applyBorder="false" applyFill="true" applyFont="true" applyNumberFormat="true" applyProtection="false" borderId="58" fillId="133" fontId="4" numFmtId="177" xfId="0">
      <alignment horizontal="center" vertical="center"/>
    </xf>
    <xf applyAlignment="true" applyBorder="false" applyFill="false" applyFont="true" applyNumberFormat="false" applyProtection="false" borderId="55" fillId="0" fontId="5" numFmtId="0" xfId="0">
      <alignment horizontal="center" vertical="center"/>
    </xf>
    <xf applyAlignment="true" applyBorder="false" applyFill="false" applyFont="true" applyNumberFormat="false" applyProtection="false" borderId="59" fillId="0" fontId="5" numFmtId="0" xfId="0">
      <alignment horizontal="center" vertical="center"/>
    </xf>
    <xf applyAlignment="true" applyBorder="false" applyFill="true" applyFont="true" applyNumberFormat="false" applyProtection="false" borderId="66" fillId="133" fontId="5" numFmtId="0" xfId="0">
      <alignment horizontal="center" vertical="center"/>
    </xf>
    <xf applyAlignment="true" applyBorder="false" applyFill="true" applyFont="true" applyNumberFormat="true" applyProtection="false" borderId="53" fillId="130" fontId="3" numFmtId="176" xfId="0">
      <alignment horizontal="center" vertical="center" wrapText="true"/>
    </xf>
    <xf applyAlignment="true" applyBorder="false" applyFill="true" applyFont="true" applyNumberFormat="true" applyProtection="false" borderId="53" fillId="130" fontId="3" numFmtId="176" xfId="0">
      <alignment horizontal="center" vertical="center" wrapText="true"/>
    </xf>
    <xf applyAlignment="true" applyBorder="false" applyFill="true" applyFont="true" applyNumberFormat="true" applyProtection="false" borderId="65" fillId="130" fontId="3" numFmtId="176" xfId="0">
      <alignment horizontal="center" vertical="center" wrapText="true"/>
    </xf>
    <xf applyAlignment="true" applyBorder="false" applyFill="true" applyFont="true" applyNumberFormat="true" applyProtection="false" borderId="54" fillId="130" fontId="3" numFmtId="176" xfId="0">
      <alignment horizontal="center" vertical="center" wrapText="true"/>
    </xf>
    <xf applyAlignment="true" applyBorder="false" applyFill="true" applyFont="true" applyNumberFormat="true" applyProtection="false" borderId="57" fillId="147" fontId="3" numFmtId="176" xfId="0">
      <alignment horizontal="center" vertical="center" wrapText="true"/>
    </xf>
    <xf applyAlignment="true" applyBorder="false" applyFill="true" applyFont="true" applyNumberFormat="false" applyProtection="false" borderId="0" fillId="147" fontId="8" numFmtId="0" xfId="0">
      <alignment vertical="center"/>
    </xf>
    <xf applyAlignment="true" applyBorder="false" applyFill="true" applyFont="true" applyNumberFormat="false" applyProtection="false" borderId="0" fillId="147" fontId="8" numFmtId="0" xfId="0">
      <alignment horizontal="center" vertical="center"/>
    </xf>
    <xf applyAlignment="true" applyBorder="false" applyFill="true" applyFont="true" applyNumberFormat="true" applyProtection="false" borderId="57" fillId="148" fontId="7" numFmtId="176" xfId="0">
      <alignment horizontal="center" vertical="center" wrapText="true"/>
    </xf>
    <xf applyAlignment="true" applyBorder="false" applyFill="true" applyFont="true" applyNumberFormat="true" applyProtection="false" borderId="57" fillId="148" fontId="7" numFmtId="177" xfId="0">
      <alignment horizontal="center" vertical="center"/>
    </xf>
    <xf applyAlignment="true" applyBorder="false" applyFill="true" applyFont="true" applyNumberFormat="false" applyProtection="false" borderId="53" fillId="148" fontId="7" numFmtId="0" xfId="0">
      <alignment horizontal="center" vertical="center"/>
    </xf>
    <xf applyAlignment="true" applyBorder="false" applyFill="true" applyFont="true" applyNumberFormat="false" applyProtection="false" borderId="57" fillId="148" fontId="7" numFmtId="0" xfId="0">
      <alignment horizontal="center" vertical="center"/>
    </xf>
    <xf applyAlignment="true" applyBorder="false" applyFill="true" applyFont="true" applyNumberFormat="false" applyProtection="false" borderId="57" fillId="148" fontId="7" numFmtId="0" xfId="0">
      <alignment horizontal="center" vertical="center" wrapText="true"/>
    </xf>
    <xf applyAlignment="true" applyBorder="false" applyFill="true" applyFont="true" applyNumberFormat="false" applyProtection="false" borderId="58" fillId="148" fontId="7" numFmtId="0" xfId="0">
      <alignment horizontal="center" vertical="center"/>
    </xf>
    <xf applyAlignment="true" applyBorder="false" applyFill="false" applyFont="true" applyNumberFormat="false" applyProtection="false" borderId="59" fillId="0" fontId="5" numFmtId="0" xfId="0">
      <alignment horizontal="center" vertical="center"/>
    </xf>
    <xf applyAlignment="true" applyBorder="false" applyFill="true" applyFont="true" applyNumberFormat="false" applyProtection="false" borderId="58" fillId="130" fontId="5" numFmtId="0" xfId="0">
      <alignment horizontal="center" vertical="center"/>
    </xf>
    <xf applyAlignment="true" applyBorder="false" applyFill="true" applyFont="true" applyNumberFormat="true" applyProtection="false" borderId="55" fillId="130" fontId="5" numFmtId="178" xfId="0">
      <alignment horizontal="center" vertical="center"/>
    </xf>
    <xf applyAlignment="true" applyBorder="false" applyFill="true" applyFont="true" applyNumberFormat="true" applyProtection="false" borderId="57" fillId="149" fontId="3" numFmtId="176" xfId="0">
      <alignment horizontal="center" vertical="center" wrapText="true"/>
    </xf>
    <xf applyAlignment="true" applyBorder="false" applyFill="true" applyFont="true" applyNumberFormat="true" applyProtection="false" borderId="57" fillId="149" fontId="4" numFmtId="177" xfId="0">
      <alignment horizontal="center" vertical="center"/>
    </xf>
    <xf applyAlignment="true" applyBorder="false" applyFill="true" applyFont="true" applyNumberFormat="true" applyProtection="false" borderId="57" fillId="149" fontId="4" numFmtId="177" xfId="0">
      <alignment horizontal="center" vertical="center"/>
    </xf>
    <xf applyAlignment="true" applyBorder="false" applyFill="true" applyFont="true" applyNumberFormat="false" applyProtection="false" borderId="57" fillId="149" fontId="5" numFmtId="0" xfId="0">
      <alignment horizontal="center" vertical="center"/>
    </xf>
    <xf applyAlignment="true" applyBorder="false" applyFill="true" applyFont="true" applyNumberFormat="false" applyProtection="false" borderId="57" fillId="149" fontId="5" numFmtId="0" xfId="0">
      <alignment horizontal="center" vertical="center"/>
    </xf>
    <xf applyAlignment="true" applyBorder="false" applyFill="true" applyFont="true" applyNumberFormat="false" applyProtection="false" borderId="57" fillId="149" fontId="5" numFmtId="0" xfId="0">
      <alignment horizontal="center" vertical="center" wrapText="true"/>
    </xf>
    <xf applyAlignment="true" applyBorder="false" applyFill="true" applyFont="true" applyNumberFormat="false" applyProtection="false" borderId="58" fillId="149" fontId="5" numFmtId="0" xfId="0">
      <alignment horizontal="center" vertical="center"/>
    </xf>
    <xf applyAlignment="true" applyBorder="false" applyFill="true" applyFont="true" applyNumberFormat="false" applyProtection="false" borderId="0" fillId="149" fontId="5" numFmtId="0" xfId="0">
      <alignment horizontal="center" vertical="center"/>
    </xf>
    <xf applyAlignment="true" applyBorder="false" applyFill="true" applyFont="true" applyNumberFormat="false" applyProtection="false" borderId="0" fillId="149" fontId="6" numFmtId="0" xfId="0">
      <alignment vertical="center"/>
    </xf>
    <xf applyAlignment="true" applyBorder="false" applyFill="true" applyFont="true" applyNumberFormat="true" applyProtection="false" borderId="57" fillId="149" fontId="7" numFmtId="176" xfId="0">
      <alignment horizontal="center" vertical="center" wrapText="true"/>
    </xf>
    <xf applyAlignment="true" applyBorder="false" applyFill="true" applyFont="true" applyNumberFormat="true" applyProtection="false" borderId="57" fillId="149" fontId="7" numFmtId="177" xfId="0">
      <alignment horizontal="center" vertical="center"/>
    </xf>
    <xf applyAlignment="true" applyBorder="false" applyFill="true" applyFont="true" applyNumberFormat="false" applyProtection="false" borderId="53" fillId="149" fontId="7" numFmtId="0" xfId="0">
      <alignment horizontal="center" vertical="center"/>
    </xf>
    <xf applyAlignment="true" applyBorder="false" applyFill="true" applyFont="true" applyNumberFormat="false" applyProtection="false" borderId="57" fillId="149" fontId="7" numFmtId="0" xfId="0">
      <alignment horizontal="center" vertical="center"/>
    </xf>
    <xf applyAlignment="true" applyBorder="false" applyFill="true" applyFont="true" applyNumberFormat="false" applyProtection="false" borderId="57" fillId="149" fontId="7" numFmtId="0" xfId="0">
      <alignment horizontal="center" vertical="center" wrapText="true"/>
    </xf>
    <xf applyAlignment="true" applyBorder="false" applyFill="true" applyFont="true" applyNumberFormat="false" applyProtection="false" borderId="58" fillId="149" fontId="7" numFmtId="0" xfId="0">
      <alignment horizontal="center" vertical="center"/>
    </xf>
    <xf applyAlignment="true" applyBorder="false" applyFill="true" applyFont="true" applyNumberFormat="false" applyProtection="false" borderId="0" fillId="149" fontId="7" numFmtId="0" xfId="0">
      <alignment horizontal="center" vertical="center"/>
    </xf>
    <xf applyAlignment="true" applyBorder="false" applyFill="true" applyFont="true" applyNumberFormat="false" applyProtection="false" borderId="58" fillId="130" fontId="5" numFmtId="0" xfId="0">
      <alignment horizontal="center" vertical="center"/>
    </xf>
    <xf applyAlignment="true" applyBorder="false" applyFill="true" applyFont="true" applyNumberFormat="true" applyProtection="false" borderId="57" fillId="135" fontId="3" numFmtId="176" xfId="0">
      <alignment horizontal="center" vertical="center" wrapText="true"/>
    </xf>
    <xf applyAlignment="true" applyBorder="false" applyFill="true" applyFont="true" applyNumberFormat="false" applyProtection="false" borderId="0" fillId="135" fontId="5" numFmtId="0" xfId="0">
      <alignment horizontal="center" vertical="center"/>
    </xf>
    <xf applyAlignment="true" applyBorder="false" applyFill="true" applyFont="true" applyNumberFormat="false" applyProtection="false" borderId="0" fillId="135" fontId="6" numFmtId="0" xfId="0">
      <alignment vertical="center"/>
    </xf>
    <xf applyAlignment="true" applyBorder="false" applyFill="true" applyFont="true" applyNumberFormat="true" applyProtection="false" borderId="57" fillId="135" fontId="7" numFmtId="176" xfId="0">
      <alignment horizontal="center" vertical="center" wrapText="true"/>
    </xf>
    <xf applyAlignment="true" applyBorder="false" applyFill="true" applyFont="true" applyNumberFormat="true" applyProtection="false" borderId="57" fillId="135" fontId="7" numFmtId="177" xfId="0">
      <alignment horizontal="center" vertical="center"/>
    </xf>
    <xf applyAlignment="true" applyBorder="false" applyFill="true" applyFont="true" applyNumberFormat="false" applyProtection="false" borderId="53" fillId="135" fontId="7" numFmtId="0" xfId="0">
      <alignment horizontal="center" vertical="center"/>
    </xf>
    <xf applyAlignment="true" applyBorder="false" applyFill="true" applyFont="true" applyNumberFormat="false" applyProtection="false" borderId="57" fillId="135" fontId="7" numFmtId="0" xfId="0">
      <alignment horizontal="center" vertical="center"/>
    </xf>
    <xf applyAlignment="true" applyBorder="false" applyFill="true" applyFont="true" applyNumberFormat="false" applyProtection="false" borderId="57" fillId="135" fontId="7" numFmtId="0" xfId="0">
      <alignment horizontal="center" vertical="center" wrapText="true"/>
    </xf>
    <xf applyAlignment="true" applyBorder="false" applyFill="true" applyFont="true" applyNumberFormat="false" applyProtection="false" borderId="58" fillId="135" fontId="7" numFmtId="0" xfId="0">
      <alignment horizontal="center" vertical="center"/>
    </xf>
    <xf applyAlignment="true" applyBorder="false" applyFill="true" applyFont="true" applyNumberFormat="false" applyProtection="false" borderId="0" fillId="135" fontId="7" numFmtId="0" xfId="0">
      <alignment horizontal="center" vertical="center"/>
    </xf>
    <xf applyAlignment="true" applyBorder="false" applyFill="true" applyFont="true" applyNumberFormat="true" applyProtection="false" borderId="53" fillId="150" fontId="3" numFmtId="176" xfId="0">
      <alignment horizontal="center" vertical="center" wrapText="true"/>
    </xf>
    <xf applyAlignment="true" applyBorder="false" applyFill="true" applyFont="true" applyNumberFormat="true" applyProtection="false" borderId="53" fillId="150" fontId="3" numFmtId="176" xfId="0">
      <alignment horizontal="center" vertical="center" wrapText="true"/>
    </xf>
    <xf applyAlignment="true" applyBorder="false" applyFill="true" applyFont="true" applyNumberFormat="true" applyProtection="false" borderId="65" fillId="150" fontId="3" numFmtId="176" xfId="0">
      <alignment horizontal="center" vertical="center" wrapText="true"/>
    </xf>
    <xf applyAlignment="true" applyBorder="false" applyFill="true" applyFont="true" applyNumberFormat="true" applyProtection="false" borderId="54" fillId="150" fontId="3" numFmtId="176" xfId="0">
      <alignment horizontal="center" vertical="center" wrapText="true"/>
    </xf>
    <xf applyAlignment="true" applyBorder="false" applyFill="true" applyFont="true" applyNumberFormat="true" applyProtection="false" borderId="0" fillId="150" fontId="3" numFmtId="176" xfId="0">
      <alignment horizontal="center" vertical="center" wrapText="true"/>
    </xf>
    <xf applyAlignment="true" applyBorder="false" applyFill="true" applyFont="true" applyNumberFormat="false" applyProtection="false" borderId="0" fillId="150" fontId="6" numFmtId="0" xfId="0">
      <alignment vertical="center"/>
    </xf>
    <xf applyAlignment="true" applyBorder="false" applyFill="true" applyFont="true" applyNumberFormat="true" applyProtection="false" borderId="54" fillId="150" fontId="7" numFmtId="176" xfId="0">
      <alignment horizontal="center" vertical="center" wrapText="true"/>
    </xf>
    <xf applyAlignment="true" applyBorder="false" applyFill="true" applyFont="true" applyNumberFormat="true" applyProtection="false" borderId="57" fillId="150" fontId="7" numFmtId="177" xfId="0">
      <alignment horizontal="center" vertical="center"/>
    </xf>
    <xf applyAlignment="true" applyBorder="false" applyFill="true" applyFont="true" applyNumberFormat="false" applyProtection="false" borderId="63" fillId="150" fontId="7" numFmtId="0" xfId="0">
      <alignment horizontal="center" vertical="center"/>
    </xf>
    <xf applyAlignment="true" applyBorder="false" applyFill="true" applyFont="true" applyNumberFormat="false" applyProtection="false" borderId="53" fillId="150" fontId="7" numFmtId="0" xfId="0">
      <alignment horizontal="center" vertical="center"/>
    </xf>
    <xf applyAlignment="true" applyBorder="false" applyFill="true" applyFont="true" applyNumberFormat="false" applyProtection="false" borderId="53" fillId="150" fontId="7" numFmtId="0" xfId="0">
      <alignment horizontal="center" vertical="center" wrapText="true"/>
    </xf>
    <xf applyAlignment="true" applyBorder="false" applyFill="true" applyFont="true" applyNumberFormat="false" applyProtection="false" borderId="54" fillId="150" fontId="7" numFmtId="0" xfId="0">
      <alignment horizontal="center" vertical="center"/>
    </xf>
    <xf applyAlignment="true" applyBorder="false" applyFill="true" applyFont="true" applyNumberFormat="false" applyProtection="false" borderId="58" fillId="150" fontId="7" numFmtId="0" xfId="0">
      <alignment horizontal="center" vertical="center"/>
    </xf>
    <xf applyAlignment="true" applyBorder="false" applyFill="true" applyFont="true" applyNumberFormat="false" applyProtection="false" borderId="0" fillId="150" fontId="7" numFmtId="0" xfId="0">
      <alignment horizontal="center" vertical="center"/>
    </xf>
    <xf applyAlignment="true" applyBorder="false" applyFill="true" applyFont="true" applyNumberFormat="true" applyProtection="false" borderId="57" fillId="132" fontId="3" numFmtId="176" xfId="0">
      <alignment horizontal="center" vertical="center" wrapText="true"/>
    </xf>
    <xf applyAlignment="true" applyBorder="false" applyFill="true" applyFont="true" applyNumberFormat="true" applyProtection="false" borderId="58" fillId="132" fontId="3" numFmtId="176" xfId="0">
      <alignment horizontal="center" vertical="center" wrapText="true"/>
    </xf>
    <xf applyAlignment="true" applyBorder="false" applyFill="true" applyFont="true" applyNumberFormat="false" applyProtection="false" borderId="57" fillId="132" fontId="7" numFmtId="0" xfId="0">
      <alignment horizontal="center" vertical="center" wrapText="true"/>
    </xf>
    <xf applyAlignment="true" applyBorder="false" applyFill="true" applyFont="true" applyNumberFormat="true" applyProtection="false" borderId="57" fillId="140" fontId="4" numFmtId="177" xfId="0">
      <alignment horizontal="center" vertical="center"/>
    </xf>
    <xf applyAlignment="true" applyBorder="false" applyFill="true" applyFont="true" applyNumberFormat="true" applyProtection="false" borderId="57" fillId="140" fontId="4" numFmtId="177" xfId="0">
      <alignment horizontal="center" vertical="center"/>
    </xf>
    <xf applyAlignment="true" applyBorder="false" applyFill="true" applyFont="true" applyNumberFormat="false" applyProtection="false" borderId="57" fillId="140" fontId="5" numFmtId="0" xfId="0">
      <alignment horizontal="center" vertical="center"/>
    </xf>
    <xf applyAlignment="true" applyBorder="false" applyFill="true" applyFont="true" applyNumberFormat="true" applyProtection="false" borderId="55" fillId="140" fontId="5" numFmtId="178" xfId="0">
      <alignment horizontal="center" vertical="center"/>
    </xf>
    <xf applyAlignment="true" applyBorder="false" applyFill="true" applyFont="true" applyNumberFormat="false" applyProtection="false" borderId="57" fillId="140" fontId="5" numFmtId="0" xfId="0">
      <alignment horizontal="center" vertical="center" wrapText="true"/>
    </xf>
    <xf applyAlignment="true" applyBorder="false" applyFill="true" applyFont="true" applyNumberFormat="false" applyProtection="false" borderId="58" fillId="140" fontId="5" numFmtId="0" xfId="0">
      <alignment horizontal="center" vertical="center"/>
    </xf>
    <xf applyAlignment="true" applyBorder="false" applyFill="true" applyFont="true" applyNumberFormat="false" applyProtection="false" borderId="0" fillId="140" fontId="5" numFmtId="0" xfId="0">
      <alignment horizontal="center" vertical="center"/>
    </xf>
    <xf applyAlignment="true" applyBorder="false" applyFill="true" applyFont="true" applyNumberFormat="false" applyProtection="false" borderId="0" fillId="140" fontId="6" numFmtId="0" xfId="0">
      <alignment vertical="center"/>
    </xf>
    <xf applyAlignment="true" applyBorder="false" applyFill="true" applyFont="true" applyNumberFormat="false" applyProtection="false" borderId="57" fillId="14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true" applyFont="true" applyNumberFormat="true" applyProtection="false" borderId="57" fillId="151" fontId="10" numFmtId="176" xfId="0">
      <alignment horizontal="center" vertical="center" wrapText="true"/>
    </xf>
    <xf applyAlignment="true" applyBorder="false" applyFill="true" applyFont="true" applyNumberFormat="true" applyProtection="false" borderId="58" fillId="151" fontId="10" numFmtId="176" xfId="0">
      <alignment horizontal="center" vertical="center" wrapText="true"/>
    </xf>
    <xf applyAlignment="true" applyBorder="false" applyFill="true" applyFont="true" applyNumberFormat="true" applyProtection="false" borderId="57" fillId="151" fontId="7" numFmtId="176" xfId="0">
      <alignment horizontal="center" vertical="center" wrapText="true"/>
    </xf>
    <xf applyAlignment="true" applyBorder="false" applyFill="true" applyFont="true" applyNumberFormat="true" applyProtection="false" borderId="57" fillId="151" fontId="7" numFmtId="177" xfId="0">
      <alignment horizontal="center" vertical="center"/>
    </xf>
    <xf applyAlignment="true" applyBorder="false" applyFill="true" applyFont="true" applyNumberFormat="false" applyProtection="false" borderId="57" fillId="151" fontId="7" numFmtId="0" xfId="0">
      <alignment horizontal="center" vertical="center"/>
    </xf>
    <xf applyAlignment="true" applyBorder="false" applyFill="true" applyFont="true" applyNumberFormat="false" applyProtection="false" borderId="57" fillId="151" fontId="7" numFmtId="0" xfId="0">
      <alignment horizontal="center" vertical="center" wrapText="true"/>
    </xf>
    <xf applyAlignment="true" applyBorder="false" applyFill="true" applyFont="true" applyNumberFormat="false" applyProtection="false" borderId="58" fillId="151" fontId="7" numFmtId="0" xfId="0">
      <alignment horizontal="center" vertical="center"/>
    </xf>
    <xf applyAlignment="true" applyBorder="false" applyFill="true" applyFont="true" applyNumberFormat="false" applyProtection="false" borderId="57" fillId="130" fontId="5" numFmtId="0" xfId="0">
      <alignment horizontal="center" vertical="center" wrapText="true"/>
    </xf>
    <xf applyAlignment="true" applyBorder="false" applyFill="true" applyFont="true" applyNumberFormat="false" applyProtection="false" borderId="0" fillId="140" fontId="8" numFmtId="0" xfId="0">
      <alignment vertical="center"/>
    </xf>
    <xf applyAlignment="true" applyBorder="false" applyFill="true" applyFont="true" applyNumberFormat="false" applyProtection="false" borderId="57" fillId="133" fontId="4" numFmtId="0" xfId="0">
      <alignment horizontal="center" vertical="center"/>
    </xf>
    <xf applyAlignment="true" applyBorder="false" applyFill="true" applyFont="true" applyNumberFormat="false" applyProtection="false" borderId="57" fillId="133" fontId="5" numFmtId="0" xfId="0">
      <alignment horizontal="center" vertical="center"/>
    </xf>
    <xf applyAlignment="true" applyBorder="false" applyFill="true" applyFont="true" applyNumberFormat="true" applyProtection="false" borderId="57" fillId="152" fontId="7" numFmtId="176" xfId="0">
      <alignment horizontal="center" vertical="center" wrapText="true"/>
    </xf>
    <xf applyAlignment="true" applyBorder="false" applyFill="true" applyFont="true" applyNumberFormat="true" applyProtection="false" borderId="57" fillId="152" fontId="7" numFmtId="177" xfId="0">
      <alignment horizontal="center" vertical="center"/>
    </xf>
    <xf applyAlignment="true" applyBorder="false" applyFill="true" applyFont="true" applyNumberFormat="false" applyProtection="false" borderId="57" fillId="152" fontId="7" numFmtId="0" xfId="0">
      <alignment horizontal="center" vertical="center"/>
    </xf>
    <xf applyAlignment="true" applyBorder="false" applyFill="true" applyFont="true" applyNumberFormat="false" applyProtection="false" borderId="57" fillId="152" fontId="7" numFmtId="0" xfId="0">
      <alignment horizontal="center" vertical="center" wrapText="true"/>
    </xf>
    <xf applyAlignment="true" applyBorder="false" applyFill="true" applyFont="true" applyNumberFormat="false" applyProtection="false" borderId="58" fillId="152" fontId="7" numFmtId="0" xfId="0">
      <alignment horizontal="center" vertical="center"/>
    </xf>
    <xf applyAlignment="true" applyBorder="false" applyFill="true" applyFont="true" applyNumberFormat="true" applyProtection="false" borderId="57" fillId="152" fontId="3" numFmtId="176" xfId="0">
      <alignment horizontal="center" vertical="center" wrapText="true"/>
    </xf>
    <xf applyAlignment="true" applyBorder="false" applyFill="true" applyFont="true" applyNumberFormat="true" applyProtection="false" borderId="57" fillId="152" fontId="3" numFmtId="176" xfId="0">
      <alignment horizontal="center" vertical="center" wrapText="true"/>
    </xf>
    <xf applyAlignment="true" applyBorder="false" applyFill="true" applyFont="true" applyNumberFormat="true" applyProtection="false" borderId="58" fillId="152" fontId="3" numFmtId="176" xfId="0">
      <alignment horizontal="center" vertical="center" wrapText="true"/>
    </xf>
    <xf applyAlignment="true" applyBorder="false" applyFill="true" applyFont="true" applyNumberFormat="true" applyProtection="false" borderId="57" fillId="133" fontId="4" numFmtId="178" xfId="0">
      <alignment horizontal="center" vertical="center"/>
    </xf>
    <xf applyAlignment="true" applyBorder="false" applyFill="true" applyFont="true" applyNumberFormat="false" applyProtection="false" borderId="58" fillId="133" fontId="5" numFmtId="0" xfId="0">
      <alignment horizontal="center" vertical="center"/>
    </xf>
    <xf applyAlignment="true" applyBorder="false" applyFill="true" applyFont="true" applyNumberFormat="true" applyProtection="false" borderId="57" fillId="146" fontId="3" numFmtId="176" xfId="0">
      <alignment horizontal="center" vertical="center" wrapText="true"/>
    </xf>
    <xf applyAlignment="true" applyBorder="false" applyFill="true" applyFont="true" applyNumberFormat="true" applyProtection="false" borderId="57" fillId="146" fontId="3" numFmtId="176" xfId="0">
      <alignment horizontal="center" vertical="center" wrapText="true"/>
    </xf>
    <xf applyAlignment="true" applyBorder="false" applyFill="true" applyFont="true" applyNumberFormat="true" applyProtection="false" borderId="58" fillId="146" fontId="3" numFmtId="176" xfId="0">
      <alignment horizontal="center" vertical="center" wrapText="true"/>
    </xf>
    <xf applyAlignment="true" applyBorder="false" applyFill="true" applyFont="true" applyNumberFormat="true" applyProtection="false" borderId="57" fillId="146" fontId="7" numFmtId="176" xfId="0">
      <alignment horizontal="center" vertical="center" wrapText="true"/>
    </xf>
    <xf applyAlignment="true" applyBorder="false" applyFill="true" applyFont="true" applyNumberFormat="false" applyProtection="false" borderId="57" fillId="146" fontId="7" numFmtId="0" xfId="0">
      <alignment horizontal="center" vertical="center"/>
    </xf>
    <xf applyAlignment="true" applyBorder="false" applyFill="true" applyFont="true" applyNumberFormat="false" applyProtection="false" borderId="57" fillId="146" fontId="7" numFmtId="0" xfId="0">
      <alignment horizontal="center" vertical="center" wrapText="true"/>
    </xf>
    <xf applyAlignment="true" applyBorder="false" applyFill="true" applyFont="true" applyNumberFormat="true" applyProtection="false" borderId="57" fillId="140" fontId="5" numFmtId="178" xfId="0">
      <alignment horizontal="center" vertical="center"/>
    </xf>
    <xf applyAlignment="true" applyBorder="false" applyFill="true" applyFont="true" applyNumberFormat="true" applyProtection="false" borderId="57" fillId="153" fontId="3" numFmtId="176" xfId="0">
      <alignment horizontal="center" vertical="center" wrapText="true"/>
    </xf>
    <xf applyAlignment="true" applyBorder="false" applyFill="true" applyFont="true" applyNumberFormat="true" applyProtection="false" borderId="58" fillId="153" fontId="3" numFmtId="176" xfId="0">
      <alignment horizontal="center" vertical="center" wrapText="true"/>
    </xf>
    <xf applyAlignment="true" applyBorder="false" applyFill="true" applyFont="true" applyNumberFormat="true" applyProtection="false" borderId="57" fillId="153" fontId="7" numFmtId="176" xfId="0">
      <alignment horizontal="center" vertical="center" wrapText="true"/>
    </xf>
    <xf applyAlignment="true" applyBorder="false" applyFill="true" applyFont="true" applyNumberFormat="true" applyProtection="false" borderId="57" fillId="153" fontId="7" numFmtId="177" xfId="0">
      <alignment horizontal="center" vertical="center"/>
    </xf>
    <xf applyAlignment="true" applyBorder="false" applyFill="true" applyFont="true" applyNumberFormat="false" applyProtection="false" borderId="57" fillId="153" fontId="7" numFmtId="0" xfId="0">
      <alignment horizontal="center" vertical="center"/>
    </xf>
    <xf applyAlignment="true" applyBorder="false" applyFill="true" applyFont="true" applyNumberFormat="false" applyProtection="false" borderId="57" fillId="153" fontId="7" numFmtId="0" xfId="0">
      <alignment horizontal="center" vertical="center" wrapText="true"/>
    </xf>
    <xf applyAlignment="true" applyBorder="false" applyFill="true" applyFont="true" applyNumberFormat="false" applyProtection="false" borderId="58" fillId="153" fontId="7" numFmtId="0" xfId="0">
      <alignment horizontal="center" vertical="center"/>
    </xf>
    <xf applyAlignment="true" applyBorder="false" applyFill="true" applyFont="true" applyNumberFormat="true" applyProtection="false" borderId="57" fillId="154" fontId="3" numFmtId="176" xfId="0">
      <alignment horizontal="center" vertical="center" wrapText="true"/>
    </xf>
    <xf applyAlignment="true" applyBorder="false" applyFill="true" applyFont="true" applyNumberFormat="false" applyProtection="false" borderId="0" fillId="154" fontId="8" numFmtId="0" xfId="0">
      <alignment vertical="center"/>
    </xf>
    <xf applyAlignment="true" applyBorder="false" applyFill="true" applyFont="true" applyNumberFormat="false" applyProtection="false" borderId="0" fillId="154" fontId="8" numFmtId="0" xfId="0">
      <alignment horizontal="center" vertical="center"/>
    </xf>
    <xf applyAlignment="true" applyBorder="false" applyFill="true" applyFont="true" applyNumberFormat="true" applyProtection="false" borderId="57" fillId="154" fontId="7" numFmtId="176" xfId="0">
      <alignment horizontal="center" vertical="center" wrapText="true"/>
    </xf>
    <xf applyAlignment="true" applyBorder="false" applyFill="true" applyFont="true" applyNumberFormat="true" applyProtection="false" borderId="57" fillId="154" fontId="7" numFmtId="177" xfId="0">
      <alignment horizontal="center" vertical="center"/>
    </xf>
    <xf applyAlignment="true" applyBorder="false" applyFill="true" applyFont="true" applyNumberFormat="false" applyProtection="false" borderId="53" fillId="154" fontId="7" numFmtId="0" xfId="0">
      <alignment horizontal="center" vertical="center"/>
    </xf>
    <xf applyAlignment="true" applyBorder="false" applyFill="true" applyFont="true" applyNumberFormat="false" applyProtection="false" borderId="57" fillId="154" fontId="7" numFmtId="0" xfId="0">
      <alignment horizontal="center" vertical="center"/>
    </xf>
    <xf applyAlignment="true" applyBorder="false" applyFill="true" applyFont="true" applyNumberFormat="false" applyProtection="false" borderId="57" fillId="154" fontId="7" numFmtId="0" xfId="0">
      <alignment horizontal="center" vertical="center" wrapText="true"/>
    </xf>
    <xf applyAlignment="true" applyBorder="false" applyFill="true" applyFont="true" applyNumberFormat="false" applyProtection="false" borderId="58" fillId="154" fontId="7" numFmtId="0" xfId="0">
      <alignment horizontal="center" vertical="center"/>
    </xf>
    <xf applyAlignment="true" applyBorder="false" applyFill="true" applyFont="true" applyNumberFormat="false" applyProtection="false" borderId="57" fillId="130" fontId="4" numFmtId="0" xfId="0">
      <alignment horizontal="center" vertical="center" wrapText="true"/>
    </xf>
    <xf applyAlignment="true" applyBorder="false" applyFill="true" applyFont="true" applyNumberFormat="false" applyProtection="false" borderId="58" fillId="130" fontId="7" numFmtId="0" xfId="0">
      <alignment horizontal="center" vertical="center"/>
    </xf>
    <xf applyAlignment="true" applyBorder="false" applyFill="true" applyFont="true" applyNumberFormat="false" applyProtection="false" borderId="57" fillId="130" fontId="7" numFmtId="0" xfId="0">
      <alignment horizontal="center" vertical="center" wrapText="true"/>
    </xf>
    <xf applyAlignment="true" applyBorder="false" applyFill="true" applyFont="true" applyNumberFormat="false" applyProtection="false" borderId="58" fillId="130" fontId="4" numFmtId="0" xfId="0">
      <alignment horizontal="center" vertical="center"/>
    </xf>
    <xf applyAlignment="true" applyBorder="false" applyFill="true" applyFont="true" applyNumberFormat="false" applyProtection="false" borderId="57" fillId="130" fontId="4" numFmtId="0" xfId="0">
      <alignment horizontal="center" vertical="center"/>
    </xf>
    <xf applyAlignment="true" applyBorder="false" applyFill="true" applyFont="true" applyNumberFormat="false" applyProtection="false" borderId="58" fillId="130" fontId="7" numFmtId="0" xfId="0">
      <alignment horizontal="center" vertical="center"/>
    </xf>
    <xf applyAlignment="true" applyBorder="false" applyFill="true" applyFont="true" applyNumberFormat="false" applyProtection="false" borderId="0" fillId="135" fontId="8" numFmtId="0" xfId="0">
      <alignment vertical="center"/>
    </xf>
    <xf applyAlignment="true" applyBorder="false" applyFill="true" applyFont="true" applyNumberFormat="false" applyProtection="false" borderId="0" fillId="135" fontId="8" numFmtId="0" xfId="0">
      <alignment horizontal="center" vertical="center"/>
    </xf>
    <xf applyAlignment="true" applyBorder="false" applyFill="true" applyFont="true" applyNumberFormat="true" applyProtection="false" borderId="57" fillId="145" fontId="3" numFmtId="176" xfId="0">
      <alignment horizontal="center" vertical="center" wrapText="true"/>
    </xf>
    <xf applyAlignment="true" applyBorder="false" applyFill="true" applyFont="true" applyNumberFormat="true" applyProtection="false" borderId="55" fillId="145" fontId="3" numFmtId="176" xfId="0">
      <alignment horizontal="center" vertical="center" wrapText="true"/>
    </xf>
    <xf applyAlignment="true" applyBorder="false" applyFill="true" applyFont="true" applyNumberFormat="true" applyProtection="false" borderId="57" fillId="145" fontId="7" numFmtId="176" xfId="0">
      <alignment horizontal="center" vertical="center" wrapText="true"/>
    </xf>
    <xf applyAlignment="true" applyBorder="false" applyFill="true" applyFont="true" applyNumberFormat="false" applyProtection="false" borderId="57" fillId="145" fontId="7" numFmtId="0" xfId="0">
      <alignment horizontal="center" vertical="center"/>
    </xf>
    <xf applyAlignment="true" applyBorder="false" applyFill="true" applyFont="true" applyNumberFormat="false" applyProtection="false" borderId="57" fillId="145" fontId="7" numFmtId="0" xfId="0">
      <alignment horizontal="center" vertical="center" wrapText="true"/>
    </xf>
    <xf applyAlignment="true" applyBorder="false" applyFill="true" applyFont="true" applyNumberFormat="false" applyProtection="false" borderId="55" fillId="145" fontId="7" numFmtId="0" xfId="0">
      <alignment horizontal="center" vertical="center"/>
    </xf>
    <xf applyAlignment="true" applyBorder="false" applyFill="true" applyFont="true" applyNumberFormat="false" applyProtection="false" borderId="66" fillId="130" fontId="5" numFmtId="0" xfId="0">
      <alignment horizontal="center" vertical="center"/>
    </xf>
    <xf applyAlignment="true" applyBorder="false" applyFill="false" applyFont="true" applyNumberFormat="false" applyProtection="false" borderId="53" fillId="0" fontId="5" numFmtId="0" xfId="0">
      <alignment horizontal="center" vertical="center" wrapText="true"/>
    </xf>
    <xf applyAlignment="true" applyBorder="false" applyFill="true" applyFont="true" applyNumberFormat="false" applyProtection="false" borderId="64" fillId="130" fontId="5" numFmtId="0" xfId="0">
      <alignment horizontal="center" vertical="center"/>
    </xf>
    <xf applyAlignment="true" applyBorder="false" applyFill="true" applyFont="true" applyNumberFormat="false" applyProtection="false" borderId="57" fillId="133" fontId="4" numFmtId="0" xfId="0">
      <alignment horizontal="center" vertical="center" wrapText="true"/>
    </xf>
    <xf applyAlignment="true" applyBorder="false" applyFill="true" applyFont="true" applyNumberFormat="false" applyProtection="false" borderId="58" fillId="133" fontId="4" numFmtId="0" xfId="0">
      <alignment horizontal="center" vertical="center"/>
    </xf>
    <xf applyAlignment="true" applyBorder="false" applyFill="true" applyFont="true" applyNumberFormat="false" applyProtection="false" borderId="0" fillId="130" fontId="4" numFmtId="0" xfId="0">
      <alignment horizontal="center" vertical="center"/>
    </xf>
    <xf applyAlignment="true" applyBorder="false" applyFill="true" applyFont="true" applyNumberFormat="false" applyProtection="false" borderId="57" fillId="133" fontId="4" numFmtId="0" xfId="0">
      <alignment horizontal="center" vertical="center" wrapText="true"/>
    </xf>
    <xf applyAlignment="true" applyBorder="false" applyFill="true" applyFont="true" applyNumberFormat="false" applyProtection="false" borderId="58" fillId="130" fontId="4" numFmtId="0" xfId="0">
      <alignment horizontal="center" vertical="center"/>
    </xf>
    <xf applyAlignment="true" applyBorder="false" applyFill="true" applyFont="true" applyNumberFormat="true" applyProtection="false" borderId="57" fillId="145" fontId="4" numFmtId="177" xfId="0">
      <alignment horizontal="center" vertical="center"/>
    </xf>
    <xf applyAlignment="true" applyBorder="false" applyFill="true" applyFont="true" applyNumberFormat="true" applyProtection="false" borderId="57" fillId="145" fontId="4" numFmtId="177" xfId="0">
      <alignment horizontal="center" vertical="center"/>
    </xf>
    <xf applyAlignment="true" applyBorder="false" applyFill="true" applyFont="true" applyNumberFormat="false" applyProtection="false" borderId="57" fillId="155" fontId="5" numFmtId="0" xfId="0">
      <alignment horizontal="center" vertical="center"/>
    </xf>
    <xf applyAlignment="true" applyBorder="false" applyFill="true" applyFont="true" applyNumberFormat="false" applyProtection="false" borderId="57" fillId="145" fontId="5" numFmtId="0" xfId="0">
      <alignment horizontal="center" vertical="center"/>
    </xf>
    <xf applyAlignment="true" applyBorder="false" applyFill="true" applyFont="true" applyNumberFormat="false" applyProtection="false" borderId="57" fillId="145" fontId="5" numFmtId="0" xfId="0">
      <alignment horizontal="center" vertical="center" wrapText="true"/>
    </xf>
    <xf applyAlignment="true" applyBorder="false" applyFill="true" applyFont="true" applyNumberFormat="false" applyProtection="false" borderId="58" fillId="145" fontId="4" numFmtId="0" xfId="0">
      <alignment horizontal="center" vertical="center"/>
    </xf>
    <xf applyAlignment="true" applyBorder="false" applyFill="true" applyFont="true" applyNumberFormat="false" applyProtection="false" borderId="66" fillId="145" fontId="5" numFmtId="0" xfId="0">
      <alignment horizontal="center" vertical="center"/>
    </xf>
    <xf applyAlignment="true" applyBorder="false" applyFill="true" applyFont="true" applyNumberFormat="false" applyProtection="false" borderId="57" fillId="155" fontId="5" numFmtId="0" xfId="0">
      <alignment horizontal="center" vertical="center"/>
    </xf>
    <xf applyAlignment="true" applyBorder="false" applyFill="true" applyFont="true" applyNumberFormat="false" applyProtection="false" borderId="66" fillId="155" fontId="5" numFmtId="0" xfId="0">
      <alignment horizontal="center" vertical="center"/>
    </xf>
    <xf applyAlignment="true" applyBorder="false" applyFill="true" applyFont="true" applyNumberFormat="true" applyProtection="false" borderId="57" fillId="155" fontId="4" numFmtId="177" xfId="0">
      <alignment horizontal="center" vertical="center"/>
    </xf>
    <xf applyAlignment="true" applyBorder="false" applyFill="true" applyFont="true" applyNumberFormat="false" applyProtection="false" borderId="57" fillId="155" fontId="5" numFmtId="0" xfId="0">
      <alignment horizontal="center" vertical="center" wrapText="true"/>
    </xf>
    <xf applyAlignment="true" applyBorder="false" applyFill="true" applyFont="true" applyNumberFormat="false" applyProtection="false" borderId="58" fillId="155" fontId="4" numFmtId="0" xfId="0">
      <alignment horizontal="center" vertical="center"/>
    </xf>
    <xf applyAlignment="true" applyBorder="false" applyFill="true" applyFont="true" applyNumberFormat="false" applyProtection="false" borderId="0" fillId="155" fontId="4" numFmtId="0" xfId="0">
      <alignment horizontal="center" vertical="center"/>
    </xf>
    <xf applyAlignment="true" applyBorder="false" applyFill="true" applyFont="true" applyNumberFormat="false" applyProtection="false" borderId="0" fillId="155" fontId="6" numFmtId="0" xfId="0">
      <alignment vertical="center"/>
    </xf>
    <xf applyAlignment="true" applyBorder="false" applyFill="true" applyFont="true" applyNumberFormat="false" applyProtection="false" borderId="57" fillId="145" fontId="4" numFmtId="0" xfId="0">
      <alignment horizontal="center" vertical="center"/>
    </xf>
    <xf applyAlignment="true" applyBorder="false" applyFill="true" applyFont="true" applyNumberFormat="false" applyProtection="false" borderId="57" fillId="145" fontId="5" numFmtId="0" xfId="0">
      <alignment horizontal="center" vertical="center" wrapText="true"/>
    </xf>
    <xf applyAlignment="true" applyBorder="false" applyFill="true" applyFont="true" applyNumberFormat="false" applyProtection="false" borderId="67" fillId="145" fontId="5" numFmtId="0" xfId="0">
      <alignment horizontal="center" vertical="center"/>
    </xf>
    <xf applyAlignment="true" applyBorder="false" applyFill="true" applyFont="true" applyNumberFormat="false" applyProtection="false" borderId="57" fillId="155" fontId="4" numFmtId="0" xfId="0">
      <alignment horizontal="center" vertical="center"/>
    </xf>
    <xf applyAlignment="true" applyBorder="false" applyFill="true" applyFont="true" applyNumberFormat="false" applyProtection="false" borderId="57" fillId="155" fontId="4" numFmtId="0" xfId="0">
      <alignment horizontal="center" vertical="center" wrapText="true"/>
    </xf>
    <xf applyAlignment="true" applyBorder="false" applyFill="true" applyFont="true" applyNumberFormat="false" applyProtection="false" borderId="58" fillId="155" fontId="4" numFmtId="0" xfId="0">
      <alignment horizontal="center" vertical="center"/>
    </xf>
    <xf applyAlignment="true" applyBorder="false" applyFill="true" applyFont="true" applyNumberFormat="false" applyProtection="false" borderId="57" fillId="155" fontId="5" numFmtId="0" xfId="0">
      <alignment horizontal="center" vertical="center" wrapText="true"/>
    </xf>
    <xf applyAlignment="true" applyBorder="false" applyFill="true" applyFont="true" applyNumberFormat="false" applyProtection="false" borderId="67" fillId="155" fontId="5" numFmtId="0" xfId="0">
      <alignment horizontal="center" vertical="center"/>
    </xf>
    <xf applyAlignment="true" applyBorder="false" applyFill="true" applyFont="true" applyNumberFormat="false" applyProtection="false" borderId="0" fillId="155" fontId="5" numFmtId="0" xfId="0">
      <alignment horizontal="center" vertical="center"/>
    </xf>
    <xf applyAlignment="true" applyBorder="false" applyFill="true" applyFont="true" applyNumberFormat="false" applyProtection="false" borderId="66" fillId="133" fontId="5" numFmtId="0" xfId="0">
      <alignment horizontal="center" vertical="center"/>
    </xf>
    <xf applyAlignment="true" applyBorder="false" applyFill="true" applyFont="true" applyNumberFormat="false" applyProtection="false" borderId="55" fillId="133" fontId="4" numFmtId="0" xfId="0">
      <alignment horizontal="center" vertical="center"/>
    </xf>
    <xf applyAlignment="true" applyBorder="false" applyFill="true" applyFont="true" applyNumberFormat="false" applyProtection="false" borderId="67" fillId="130" fontId="5" numFmtId="0" xfId="0">
      <alignment horizontal="center" vertical="center"/>
    </xf>
    <xf applyAlignment="true" applyBorder="false" applyFill="true" applyFont="true" applyNumberFormat="false" applyProtection="false" borderId="57" fillId="140" fontId="4" numFmtId="0" xfId="0">
      <alignment horizontal="center" vertical="center"/>
    </xf>
    <xf applyAlignment="true" applyBorder="false" applyFill="true" applyFont="true" applyNumberFormat="false" applyProtection="false" borderId="57" fillId="140" fontId="4" numFmtId="0" xfId="0">
      <alignment horizontal="center" vertical="center" wrapText="true"/>
    </xf>
    <xf applyAlignment="true" applyBorder="false" applyFill="true" applyFont="true" applyNumberFormat="false" applyProtection="false" borderId="55" fillId="140" fontId="4" numFmtId="0" xfId="0">
      <alignment horizontal="center" vertical="center"/>
    </xf>
    <xf applyAlignment="true" applyBorder="false" applyFill="true" applyFont="true" applyNumberFormat="false" applyProtection="false" borderId="0" fillId="140" fontId="4" numFmtId="0" xfId="0">
      <alignment horizontal="center" vertical="center"/>
    </xf>
    <xf applyAlignment="true" applyBorder="false" applyFill="true" applyFont="true" applyNumberFormat="false" applyProtection="false" borderId="55" fillId="130" fontId="4" numFmtId="0" xfId="0">
      <alignment horizontal="center" vertical="center"/>
    </xf>
    <xf applyAlignment="true" applyBorder="false" applyFill="true" applyFont="true" applyNumberFormat="false" applyProtection="false" borderId="57" fillId="145" fontId="5" numFmtId="0" xfId="0">
      <alignment horizontal="center" vertical="center"/>
    </xf>
    <xf applyAlignment="true" applyBorder="false" applyFill="true" applyFont="true" applyNumberFormat="false" applyProtection="false" borderId="55" fillId="130" fontId="4" numFmtId="0" xfId="0">
      <alignment horizontal="center" vertical="center"/>
    </xf>
    <xf applyAlignment="true" applyBorder="false" applyFill="true" applyFont="true" applyNumberFormat="false" applyProtection="false" borderId="66" fillId="140" fontId="5" numFmtId="0" xfId="0">
      <alignment horizontal="center" vertical="center"/>
    </xf>
    <xf applyAlignment="true" applyBorder="false" applyFill="true" applyFont="true" applyNumberFormat="false" applyProtection="false" borderId="57" fillId="140" fontId="4" numFmtId="0" xfId="0">
      <alignment horizontal="center" vertical="center" wrapText="true"/>
    </xf>
    <xf applyAlignment="true" applyBorder="false" applyFill="true" applyFont="true" applyNumberFormat="false" applyProtection="false" borderId="56" fillId="140" fontId="5" numFmtId="0" xfId="0">
      <alignment horizontal="center" vertical="center"/>
    </xf>
    <xf applyAlignment="true" applyBorder="false" applyFill="true" applyFont="true" applyNumberFormat="false" applyProtection="false" borderId="54" fillId="130" fontId="5" numFmtId="0" xfId="0">
      <alignment horizontal="center" vertical="center" wrapText="true"/>
    </xf>
    <xf applyAlignment="true" applyBorder="false" applyFill="false" applyFont="true" applyNumberFormat="false" applyProtection="false" borderId="54" fillId="0" fontId="5" numFmtId="0" xfId="0">
      <alignment horizontal="center" vertical="center" wrapText="true"/>
    </xf>
    <xf applyAlignment="true" applyBorder="false" applyFill="true" applyFont="true" applyNumberFormat="false" applyProtection="false" borderId="57" fillId="130" fontId="5" numFmtId="0" xfId="0">
      <alignment horizontal="center" vertical="center" wrapText="true"/>
    </xf>
    <xf applyAlignment="true" applyBorder="false" applyFill="true" applyFont="true" applyNumberFormat="false" applyProtection="false" borderId="56" fillId="130" fontId="5" numFmtId="0" xfId="0">
      <alignment horizontal="center" vertical="center"/>
    </xf>
    <xf applyAlignment="true" applyBorder="false" applyFill="true" applyFont="true" applyNumberFormat="false" applyProtection="false" borderId="54" fillId="130" fontId="5" numFmtId="0" xfId="0">
      <alignment horizontal="center" vertical="center" wrapText="true"/>
    </xf>
    <xf applyAlignment="true" applyBorder="false" applyFill="true" applyFont="true" applyNumberFormat="false" applyProtection="false" borderId="55" fillId="130" fontId="5" numFmtId="0" xfId="0">
      <alignment horizontal="center" vertical="center" wrapText="true"/>
    </xf>
    <xf applyAlignment="true" applyBorder="false" applyFill="true" applyFont="true" applyNumberFormat="false" applyProtection="false" borderId="55" fillId="140" fontId="5" numFmtId="0" xfId="0">
      <alignment horizontal="center" vertical="center"/>
    </xf>
    <xf applyAlignment="true" applyBorder="false" applyFill="true" applyFont="true" applyNumberFormat="true" applyProtection="false" borderId="57" fillId="155" fontId="4" numFmtId="177" xfId="0">
      <alignment horizontal="center" vertical="center"/>
    </xf>
    <xf applyAlignment="true" applyBorder="false" applyFill="true" applyFont="true" applyNumberFormat="false" applyProtection="false" borderId="58" fillId="155" fontId="5" numFmtId="0" xfId="0">
      <alignment horizontal="center" vertical="center"/>
    </xf>
    <xf applyAlignment="true" applyBorder="false" applyFill="true" applyFont="true" applyNumberFormat="true" applyProtection="false" borderId="0" fillId="133" fontId="4" numFmtId="177" xfId="0">
      <alignment horizontal="center" vertical="center"/>
    </xf>
    <xf applyAlignment="true" applyBorder="false" applyFill="true" applyFont="true" applyNumberFormat="true" applyProtection="false" borderId="58" fillId="145" fontId="3" numFmtId="176" xfId="0">
      <alignment horizontal="center" vertical="center" wrapText="true"/>
    </xf>
    <xf applyAlignment="true" applyBorder="false" applyFill="true" applyFont="true" applyNumberFormat="true" applyProtection="false" borderId="66" fillId="133" fontId="4" numFmtId="177" xfId="0">
      <alignment horizontal="center" vertical="center"/>
    </xf>
    <xf applyAlignment="true" applyBorder="false" applyFill="false" applyFont="true" applyNumberFormat="false" applyProtection="false" borderId="58" fillId="0" fontId="5" numFmtId="0" xfId="0">
      <alignment horizontal="center" vertical="center" wrapText="true"/>
    </xf>
    <xf applyAlignment="true" applyBorder="false" applyFill="false" applyFont="true" applyNumberFormat="false" applyProtection="false" borderId="67" fillId="0" fontId="5" numFmtId="0" xfId="0">
      <alignment horizontal="center" vertical="center"/>
    </xf>
    <xf applyAlignment="true" applyBorder="false" applyFill="false" applyFont="true" applyNumberFormat="false" applyProtection="false" borderId="58" fillId="0" fontId="5" numFmtId="0" xfId="0">
      <alignment horizontal="center" vertical="center" wrapText="true"/>
    </xf>
    <xf applyAlignment="true" applyBorder="false" applyFill="true" applyFont="true" applyNumberFormat="true" applyProtection="false" borderId="57" fillId="156" fontId="3" numFmtId="176" xfId="0">
      <alignment horizontal="center" vertical="center" wrapText="true"/>
    </xf>
    <xf applyAlignment="true" applyBorder="false" applyFill="true" applyFont="true" applyNumberFormat="true" applyProtection="false" borderId="58" fillId="156" fontId="3" numFmtId="176" xfId="0">
      <alignment horizontal="center" vertical="center" wrapText="true"/>
    </xf>
    <xf applyAlignment="true" applyBorder="false" applyFill="true" applyFont="true" applyNumberFormat="true" applyProtection="false" borderId="57" fillId="156" fontId="7" numFmtId="176" xfId="0">
      <alignment horizontal="center" vertical="center" wrapText="true"/>
    </xf>
    <xf applyAlignment="true" applyBorder="false" applyFill="true" applyFont="true" applyNumberFormat="true" applyProtection="false" borderId="57" fillId="156" fontId="7" numFmtId="177" xfId="0">
      <alignment horizontal="center" vertical="center"/>
    </xf>
    <xf applyAlignment="true" applyBorder="false" applyFill="true" applyFont="true" applyNumberFormat="false" applyProtection="false" borderId="57" fillId="156" fontId="7" numFmtId="0" xfId="0">
      <alignment horizontal="center" vertical="center"/>
    </xf>
    <xf applyAlignment="true" applyBorder="false" applyFill="true" applyFont="true" applyNumberFormat="false" applyProtection="false" borderId="57" fillId="156" fontId="7" numFmtId="0" xfId="0">
      <alignment horizontal="center" vertical="center" wrapText="true"/>
    </xf>
    <xf applyAlignment="true" applyBorder="false" applyFill="true" applyFont="true" applyNumberFormat="false" applyProtection="false" borderId="58" fillId="156" fontId="7" numFmtId="0" xfId="0">
      <alignment horizontal="center" vertical="center"/>
    </xf>
    <xf applyAlignment="true" applyBorder="false" applyFill="true" applyFont="true" applyNumberFormat="false" applyProtection="false" borderId="57" fillId="130" fontId="4" numFmtId="0" xfId="0">
      <alignment horizontal="center" vertical="center"/>
    </xf>
    <xf applyAlignment="true" applyBorder="false" applyFill="true" applyFont="true" applyNumberFormat="false" applyProtection="false" borderId="57" fillId="13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57" fillId="157" fontId="3" numFmtId="176" xfId="0">
      <alignment horizontal="center" vertical="center" wrapText="true"/>
    </xf>
    <xf applyAlignment="true" applyBorder="false" applyFill="true" applyFont="true" applyNumberFormat="true" applyProtection="false" borderId="58" fillId="157" fontId="3" numFmtId="176" xfId="0">
      <alignment horizontal="center" vertical="center" wrapText="true"/>
    </xf>
    <xf applyAlignment="true" applyBorder="false" applyFill="true" applyFont="true" applyNumberFormat="true" applyProtection="false" borderId="57" fillId="157" fontId="7" numFmtId="176" xfId="0">
      <alignment horizontal="center" vertical="center" wrapText="true"/>
    </xf>
    <xf applyAlignment="true" applyBorder="false" applyFill="true" applyFont="true" applyNumberFormat="true" applyProtection="false" borderId="57" fillId="157" fontId="7" numFmtId="177" xfId="0">
      <alignment horizontal="center" vertical="center"/>
    </xf>
    <xf applyAlignment="true" applyBorder="false" applyFill="true" applyFont="true" applyNumberFormat="false" applyProtection="false" borderId="57" fillId="157" fontId="7" numFmtId="0" xfId="0">
      <alignment horizontal="center" vertical="center"/>
    </xf>
    <xf applyAlignment="true" applyBorder="false" applyFill="true" applyFont="true" applyNumberFormat="false" applyProtection="false" borderId="57" fillId="157" fontId="7" numFmtId="0" xfId="0">
      <alignment horizontal="center" vertical="center" wrapText="true"/>
    </xf>
    <xf applyAlignment="true" applyBorder="false" applyFill="true" applyFont="true" applyNumberFormat="false" applyProtection="false" borderId="58" fillId="157" fontId="7" numFmtId="0" xfId="0">
      <alignment horizontal="center" vertical="center"/>
    </xf>
    <xf applyAlignment="true" applyBorder="false" applyFill="true" applyFont="true" applyNumberFormat="false" applyProtection="false" borderId="59" fillId="133" fontId="5" numFmtId="0" xfId="0">
      <alignment horizontal="center" vertical="center"/>
    </xf>
    <xf applyAlignment="true" applyBorder="false" applyFill="true" applyFont="true" applyNumberFormat="false" applyProtection="false" borderId="59" fillId="133" fontId="5" numFmtId="0" xfId="0">
      <alignment horizontal="center" vertical="center"/>
    </xf>
    <xf applyAlignment="true" applyBorder="false" applyFill="true" applyFont="true" applyNumberFormat="false" applyProtection="false" borderId="59" fillId="140" fontId="5" numFmtId="0" xfId="0">
      <alignment horizontal="center" vertical="center"/>
    </xf>
    <xf applyAlignment="true" applyBorder="false" applyFill="true" applyFont="true" applyNumberFormat="false" applyProtection="false" borderId="58" fillId="140" fontId="5" numFmtId="0" xfId="0">
      <alignment horizontal="left" vertical="center" wrapText="true"/>
    </xf>
    <xf applyAlignment="true" applyBorder="false" applyFill="true" applyFont="true" applyNumberFormat="false" applyProtection="false" borderId="0" fillId="140" fontId="5" numFmtId="0" xfId="0">
      <alignment horizontal="left" vertical="center" wrapText="true"/>
    </xf>
    <xf applyAlignment="true" applyBorder="false" applyFill="true" applyFont="true" applyNumberFormat="false" applyProtection="false" borderId="58" fillId="130" fontId="5" numFmtId="0" xfId="0">
      <alignment horizontal="left" vertical="center" wrapText="true"/>
    </xf>
    <xf applyAlignment="true" applyBorder="false" applyFill="true" applyFont="true" applyNumberFormat="false" applyProtection="false" borderId="0" fillId="130" fontId="5" numFmtId="0" xfId="0">
      <alignment horizontal="left" vertical="center" wrapText="true"/>
    </xf>
    <xf applyAlignment="true" applyBorder="false" applyFill="true" applyFont="true" applyNumberFormat="true" applyProtection="false" borderId="53" fillId="130" fontId="4" numFmtId="177" xfId="0">
      <alignment horizontal="center" vertical="center"/>
    </xf>
    <xf applyAlignment="true" applyBorder="false" applyFill="true" applyFont="true" applyNumberFormat="true" applyProtection="false" borderId="66" fillId="129" fontId="19" numFmtId="177" xfId="0">
      <alignment horizontal="center" vertical="center"/>
    </xf>
    <xf applyAlignment="true" applyBorder="false" applyFill="true" applyFont="true" applyNumberFormat="true" applyProtection="false" borderId="57" fillId="129" fontId="19" numFmtId="177" xfId="0">
      <alignment horizontal="center" vertical="center"/>
    </xf>
    <xf applyAlignment="true" applyBorder="false" applyFill="true" applyFont="true" applyNumberFormat="false" applyProtection="false" borderId="59" fillId="129" fontId="20" numFmtId="0" xfId="0">
      <alignment horizontal="center" vertical="center"/>
    </xf>
    <xf applyAlignment="true" applyBorder="false" applyFill="true" applyFont="true" applyNumberFormat="false" applyProtection="false" borderId="57" fillId="129" fontId="20" numFmtId="0" xfId="0">
      <alignment horizontal="center" vertical="center"/>
    </xf>
    <xf applyAlignment="true" applyBorder="false" applyFill="true" applyFont="true" applyNumberFormat="true" applyProtection="false" borderId="57" fillId="129" fontId="20" numFmtId="178" xfId="0">
      <alignment horizontal="center" vertical="center"/>
    </xf>
    <xf applyAlignment="true" applyBorder="false" applyFill="true" applyFont="true" applyNumberFormat="false" applyProtection="false" borderId="0" fillId="129" fontId="20" numFmtId="0" xfId="0">
      <alignment horizontal="center" vertical="center" wrapText="true"/>
    </xf>
    <xf applyAlignment="true" applyBorder="false" applyFill="true" applyFont="true" applyNumberFormat="false" applyProtection="false" borderId="0" fillId="129" fontId="20" numFmtId="0" xfId="0">
      <alignment horizontal="center" vertical="center"/>
    </xf>
    <xf applyAlignment="true" applyBorder="false" applyFill="true" applyFont="true" applyNumberFormat="false" applyProtection="false" borderId="0" fillId="129" fontId="21" numFmtId="0" xfId="0">
      <alignment vertical="center"/>
    </xf>
    <xf applyAlignment="true" applyBorder="false" applyFill="true" applyFont="true" applyNumberFormat="true" applyProtection="false" borderId="57" fillId="130" fontId="19" numFmtId="177" xfId="0">
      <alignment horizontal="center" vertical="center"/>
    </xf>
    <xf applyAlignment="true" applyBorder="false" applyFill="true" applyFont="true" applyNumberFormat="false" applyProtection="false" borderId="59" fillId="130" fontId="20" numFmtId="0" xfId="0">
      <alignment horizontal="center" vertical="center"/>
    </xf>
    <xf applyAlignment="true" applyBorder="false" applyFill="true" applyFont="true" applyNumberFormat="false" applyProtection="false" borderId="57" fillId="130" fontId="20" numFmtId="0" xfId="0">
      <alignment horizontal="center" vertical="center"/>
    </xf>
    <xf applyAlignment="true" applyBorder="false" applyFill="true" applyFont="true" applyNumberFormat="false" applyProtection="false" borderId="57" fillId="130" fontId="20" numFmtId="0" xfId="0">
      <alignment horizontal="center" vertical="center" wrapText="true"/>
    </xf>
    <xf applyAlignment="true" applyBorder="false" applyFill="true" applyFont="true" applyNumberFormat="false" applyProtection="false" borderId="58" fillId="130" fontId="20" numFmtId="0" xfId="0">
      <alignment horizontal="center" vertical="center"/>
    </xf>
    <xf applyAlignment="true" applyBorder="false" applyFill="true" applyFont="true" applyNumberFormat="false" applyProtection="false" borderId="0" fillId="130" fontId="20" numFmtId="0" xfId="0">
      <alignment horizontal="center" vertical="center"/>
    </xf>
    <xf applyAlignment="true" applyBorder="false" applyFill="true" applyFont="true" applyNumberFormat="false" applyProtection="false" borderId="0" fillId="130" fontId="21" numFmtId="0" xfId="0">
      <alignment vertical="center"/>
    </xf>
    <xf applyAlignment="true" applyBorder="false" applyFill="true" applyFont="true" applyNumberFormat="false" applyProtection="false" borderId="57" fillId="129" fontId="20" numFmtId="0" xfId="0">
      <alignment horizontal="center" vertical="center" wrapText="true"/>
    </xf>
    <xf applyAlignment="true" applyBorder="false" applyFill="true" applyFont="true" applyNumberFormat="false" applyProtection="false" borderId="58" fillId="129" fontId="20" numFmtId="0" xfId="0">
      <alignment horizontal="center" vertical="center"/>
    </xf>
    <xf applyAlignment="true" applyBorder="false" applyFill="true" applyFont="true" applyNumberFormat="true" applyProtection="false" borderId="57" fillId="158" fontId="19" numFmtId="177" xfId="0">
      <alignment horizontal="center" vertical="center"/>
    </xf>
    <xf applyAlignment="true" applyBorder="false" applyFill="true" applyFont="true" applyNumberFormat="false" applyProtection="false" borderId="57" fillId="158" fontId="20" numFmtId="0" xfId="0">
      <alignment horizontal="center" vertical="center"/>
    </xf>
    <xf applyAlignment="true" applyBorder="false" applyFill="true" applyFont="true" applyNumberFormat="true" applyProtection="false" borderId="57" fillId="158" fontId="20" numFmtId="178" xfId="0">
      <alignment horizontal="center" vertical="center"/>
    </xf>
    <xf applyAlignment="true" applyBorder="false" applyFill="true" applyFont="true" applyNumberFormat="false" applyProtection="false" borderId="57" fillId="158" fontId="20" numFmtId="0" xfId="0">
      <alignment horizontal="center" vertical="center" wrapText="true"/>
    </xf>
    <xf applyAlignment="true" applyBorder="false" applyFill="true" applyFont="true" applyNumberFormat="false" applyProtection="false" borderId="58" fillId="158" fontId="20" numFmtId="0" xfId="0">
      <alignment horizontal="center" vertical="center"/>
    </xf>
    <xf applyAlignment="true" applyBorder="false" applyFill="false" applyFont="true" applyNumberFormat="false" applyProtection="false" borderId="0" fillId="0" fontId="21" numFmtId="0" xfId="0">
      <alignment vertical="center"/>
    </xf>
    <xf applyAlignment="true" applyBorder="false" applyFill="true" applyFont="true" applyNumberFormat="true" applyProtection="false" borderId="57" fillId="158" fontId="4" numFmtId="177" xfId="0">
      <alignment horizontal="center" vertical="center"/>
    </xf>
    <xf applyAlignment="true" applyBorder="false" applyFill="true" applyFont="true" applyNumberFormat="true" applyProtection="false" borderId="57" fillId="158" fontId="4" numFmtId="177" xfId="0">
      <alignment horizontal="center" vertical="center"/>
    </xf>
    <xf applyAlignment="true" applyBorder="false" applyFill="true" applyFont="true" applyNumberFormat="false" applyProtection="false" borderId="57" fillId="158" fontId="5" numFmtId="0" xfId="0">
      <alignment horizontal="center" vertical="center"/>
    </xf>
    <xf applyAlignment="true" applyBorder="false" applyFill="true" applyFont="true" applyNumberFormat="false" applyProtection="false" borderId="57" fillId="158" fontId="5" numFmtId="0" xfId="0">
      <alignment horizontal="center" vertical="center"/>
    </xf>
    <xf applyAlignment="true" applyBorder="false" applyFill="true" applyFont="true" applyNumberFormat="true" applyProtection="false" borderId="57" fillId="158" fontId="5" numFmtId="178" xfId="0">
      <alignment horizontal="center" vertical="center"/>
    </xf>
    <xf applyAlignment="true" applyBorder="false" applyFill="true" applyFont="true" applyNumberFormat="false" applyProtection="false" borderId="57" fillId="158" fontId="5" numFmtId="0" xfId="0">
      <alignment horizontal="center" vertical="center" wrapText="true"/>
    </xf>
    <xf applyAlignment="true" applyBorder="false" applyFill="true" applyFont="true" applyNumberFormat="false" applyProtection="false" borderId="58" fillId="158" fontId="5" numFmtId="0" xfId="0">
      <alignment horizontal="center" vertical="center"/>
    </xf>
    <xf applyAlignment="true" applyBorder="false" applyFill="true" applyFont="true" applyNumberFormat="true" applyProtection="false" borderId="57" fillId="133" fontId="19" numFmtId="177" xfId="0">
      <alignment horizontal="center" vertical="center"/>
    </xf>
    <xf applyAlignment="true" applyBorder="false" applyFill="false" applyFont="true" applyNumberFormat="false" applyProtection="false" borderId="57" fillId="0" fontId="20" numFmtId="0" xfId="0">
      <alignment horizontal="center" vertical="center"/>
    </xf>
    <xf applyAlignment="true" applyBorder="false" applyFill="true" applyFont="true" applyNumberFormat="false" applyProtection="false" borderId="57" fillId="133" fontId="20" numFmtId="0" xfId="0">
      <alignment horizontal="center" vertical="center"/>
    </xf>
    <xf applyAlignment="true" applyBorder="false" applyFill="false" applyFont="true" applyNumberFormat="false" applyProtection="false" borderId="57" fillId="0" fontId="20" numFmtId="0" xfId="0">
      <alignment horizontal="center" vertical="center" wrapText="true"/>
    </xf>
    <xf applyAlignment="true" applyBorder="false" applyFill="false" applyFont="true" applyNumberFormat="false" applyProtection="false" borderId="58" fillId="0" fontId="20" numFmtId="0" xfId="0">
      <alignment horizontal="center" vertical="center"/>
    </xf>
    <xf applyAlignment="true" applyBorder="false" applyFill="true" applyFont="true" applyNumberFormat="false" applyProtection="false" borderId="59" fillId="133" fontId="20" numFmtId="0" xfId="0">
      <alignment horizontal="center" vertical="center"/>
    </xf>
    <xf applyAlignment="true" applyBorder="false" applyFill="true" applyFont="true" applyNumberFormat="true" applyProtection="false" borderId="57" fillId="159" fontId="3" numFmtId="176" xfId="0">
      <alignment horizontal="center" vertical="center" wrapText="true"/>
    </xf>
    <xf applyAlignment="true" applyBorder="false" applyFill="true" applyFont="true" applyNumberFormat="true" applyProtection="false" borderId="58" fillId="159" fontId="3" numFmtId="176" xfId="0">
      <alignment horizontal="center" vertical="center" wrapText="true"/>
    </xf>
    <xf applyAlignment="true" applyBorder="false" applyFill="true" applyFont="true" applyNumberFormat="true" applyProtection="false" borderId="0" fillId="159" fontId="3" numFmtId="176" xfId="0">
      <alignment horizontal="center" vertical="center" wrapText="true"/>
    </xf>
    <xf applyAlignment="true" applyBorder="false" applyFill="true" applyFont="true" applyNumberFormat="false" applyProtection="false" borderId="0" fillId="159" fontId="6" numFmtId="0" xfId="0">
      <alignment vertical="center"/>
    </xf>
    <xf applyAlignment="true" applyBorder="false" applyFill="true" applyFont="true" applyNumberFormat="true" applyProtection="false" borderId="57" fillId="159" fontId="7" numFmtId="176" xfId="0">
      <alignment horizontal="center" vertical="center" wrapText="true"/>
    </xf>
    <xf applyAlignment="true" applyBorder="false" applyFill="true" applyFont="true" applyNumberFormat="true" applyProtection="false" borderId="57" fillId="159" fontId="7" numFmtId="177" xfId="0">
      <alignment horizontal="center" vertical="center"/>
    </xf>
    <xf applyAlignment="true" applyBorder="false" applyFill="true" applyFont="true" applyNumberFormat="false" applyProtection="false" borderId="57" fillId="159" fontId="7" numFmtId="0" xfId="0">
      <alignment horizontal="center" vertical="center"/>
    </xf>
    <xf applyAlignment="true" applyBorder="false" applyFill="true" applyFont="true" applyNumberFormat="false" applyProtection="false" borderId="53" fillId="159" fontId="7" numFmtId="0" xfId="0">
      <alignment horizontal="center" vertical="center" wrapText="true"/>
    </xf>
    <xf applyAlignment="true" applyBorder="false" applyFill="true" applyFont="true" applyNumberFormat="false" applyProtection="false" borderId="58" fillId="159" fontId="7" numFmtId="0" xfId="0">
      <alignment horizontal="center" vertical="center"/>
    </xf>
    <xf applyAlignment="true" applyBorder="false" applyFill="true" applyFont="true" applyNumberFormat="false" applyProtection="false" borderId="0" fillId="159" fontId="7" numFmtId="0" xfId="0">
      <alignment horizontal="center" vertical="center"/>
    </xf>
    <xf applyAlignment="true" applyBorder="false" applyFill="true" applyFont="true" applyNumberFormat="true" applyProtection="false" borderId="66" fillId="135" fontId="4" numFmtId="177" xfId="0">
      <alignment horizontal="center" vertical="center"/>
    </xf>
    <xf applyAlignment="true" applyBorder="false" applyFill="true" applyFont="true" applyNumberFormat="false" applyProtection="false" borderId="0" fillId="135" fontId="5" numFmtId="0" xfId="0">
      <alignment horizontal="center" vertical="center" wrapText="true"/>
    </xf>
    <xf applyAlignment="true" applyBorder="false" applyFill="true" applyFont="true" applyNumberFormat="false" applyProtection="false" borderId="59" fillId="135" fontId="5" numFmtId="0" xfId="0">
      <alignment horizontal="center" vertical="center"/>
    </xf>
    <xf applyAlignment="true" applyBorder="false" applyFill="true" applyFont="true" applyNumberFormat="true" applyProtection="false" borderId="66" fillId="135" fontId="4" numFmtId="177" xfId="0">
      <alignment horizontal="center" vertical="center"/>
    </xf>
    <xf applyAlignment="true" applyBorder="false" applyFill="true" applyFont="true" applyNumberFormat="false" applyProtection="false" borderId="58" fillId="135" fontId="5" numFmtId="0" xfId="0">
      <alignment horizontal="center" vertical="center"/>
    </xf>
    <xf applyAlignment="true" applyBorder="false" applyFill="true" applyFont="true" applyNumberFormat="false" applyProtection="false" borderId="59" fillId="135" fontId="5" numFmtId="0" xfId="0">
      <alignment horizontal="center" vertical="center"/>
    </xf>
    <xf applyAlignment="true" applyBorder="false" applyFill="true" applyFont="true" applyNumberFormat="false" applyProtection="false" borderId="0" fillId="135" fontId="5" numFmtId="0" xfId="0">
      <alignment horizontal="center" vertical="center"/>
    </xf>
    <xf applyAlignment="true" applyBorder="false" applyFill="true" applyFont="true" applyNumberFormat="false" applyProtection="false" borderId="0" fillId="135" fontId="6" numFmtId="0" xfId="0">
      <alignment vertical="center"/>
    </xf>
    <xf applyAlignment="true" applyBorder="false" applyFill="true" applyFont="true" applyNumberFormat="true" applyProtection="false" borderId="53" fillId="150" fontId="4" numFmtId="177" xfId="0">
      <alignment horizontal="center" vertical="center"/>
    </xf>
    <xf applyAlignment="true" applyBorder="false" applyFill="true" applyFont="true" applyNumberFormat="true" applyProtection="false" borderId="57" fillId="150" fontId="4" numFmtId="177" xfId="0">
      <alignment horizontal="center" vertical="center"/>
    </xf>
    <xf applyAlignment="true" applyBorder="false" applyFill="true" applyFont="true" applyNumberFormat="false" applyProtection="false" borderId="57" fillId="150" fontId="5" numFmtId="0" xfId="0">
      <alignment horizontal="center" vertical="center"/>
    </xf>
    <xf applyAlignment="true" applyBorder="false" applyFill="true" applyFont="true" applyNumberFormat="false" applyProtection="false" borderId="57" fillId="150" fontId="5" numFmtId="0" xfId="0">
      <alignment horizontal="center" vertical="center"/>
    </xf>
    <xf applyAlignment="true" applyBorder="false" applyFill="true" applyFont="true" applyNumberFormat="false" applyProtection="false" borderId="58" fillId="150" fontId="5" numFmtId="0" xfId="0">
      <alignment horizontal="center" vertical="center"/>
    </xf>
    <xf applyAlignment="true" applyBorder="false" applyFill="true" applyFont="true" applyNumberFormat="false" applyProtection="false" borderId="57" fillId="150" fontId="5" numFmtId="0" xfId="0">
      <alignment horizontal="center" vertical="center" wrapText="true"/>
    </xf>
    <xf applyAlignment="true" applyBorder="false" applyFill="true" applyFont="true" applyNumberFormat="false" applyProtection="false" borderId="59" fillId="150" fontId="5" numFmtId="0" xfId="0">
      <alignment horizontal="center" vertical="center"/>
    </xf>
    <xf applyAlignment="true" applyBorder="false" applyFill="true" applyFont="true" applyNumberFormat="false" applyProtection="false" borderId="0" fillId="150" fontId="5" numFmtId="0" xfId="0">
      <alignment horizontal="center" vertical="center"/>
    </xf>
    <xf applyAlignment="true" applyBorder="false" applyFill="true" applyFont="true" applyNumberFormat="false" applyProtection="false" borderId="57" fillId="150" fontId="5" numFmtId="0" xfId="0">
      <alignment horizontal="center" vertical="center" wrapText="true"/>
    </xf>
    <xf applyAlignment="true" applyBorder="false" applyFill="true" applyFont="true" applyNumberFormat="false" applyProtection="false" borderId="59" fillId="130" fontId="5" numFmtId="0" xfId="0">
      <alignment horizontal="center" vertical="center"/>
    </xf>
    <xf applyAlignment="true" applyBorder="false" applyFill="true" applyFont="true" applyNumberFormat="true" applyProtection="false" borderId="57" fillId="160" fontId="3" numFmtId="176" xfId="0">
      <alignment horizontal="center" vertical="center" wrapText="true"/>
    </xf>
    <xf applyAlignment="true" applyBorder="false" applyFill="true" applyFont="true" applyNumberFormat="true" applyProtection="false" borderId="58" fillId="160" fontId="3" numFmtId="176" xfId="0">
      <alignment horizontal="center" vertical="center" wrapText="true"/>
    </xf>
    <xf applyAlignment="true" applyBorder="false" applyFill="true" applyFont="true" applyNumberFormat="true" applyProtection="false" borderId="57" fillId="160" fontId="7" numFmtId="176" xfId="0">
      <alignment horizontal="center" vertical="center" wrapText="true"/>
    </xf>
    <xf applyAlignment="true" applyBorder="false" applyFill="true" applyFont="true" applyNumberFormat="true" applyProtection="false" borderId="57" fillId="160" fontId="7" numFmtId="177" xfId="0">
      <alignment horizontal="center" vertical="center"/>
    </xf>
    <xf applyAlignment="true" applyBorder="false" applyFill="true" applyFont="true" applyNumberFormat="false" applyProtection="false" borderId="57" fillId="160" fontId="7" numFmtId="0" xfId="0">
      <alignment horizontal="center" vertical="center"/>
    </xf>
    <xf applyAlignment="true" applyBorder="false" applyFill="true" applyFont="true" applyNumberFormat="false" applyProtection="false" borderId="57" fillId="160" fontId="7" numFmtId="0" xfId="0">
      <alignment horizontal="center" vertical="center" wrapText="true"/>
    </xf>
    <xf applyAlignment="true" applyBorder="false" applyFill="true" applyFont="true" applyNumberFormat="false" applyProtection="false" borderId="58" fillId="160" fontId="7" numFmtId="0" xfId="0">
      <alignment horizontal="center" vertical="center"/>
    </xf>
    <xf applyAlignment="true" applyBorder="false" applyFill="true" applyFont="true" applyNumberFormat="false" applyProtection="false" borderId="58" fillId="145" fontId="5" numFmtId="0" xfId="0">
      <alignment horizontal="center" vertical="center"/>
    </xf>
    <xf applyAlignment="true" applyBorder="false" applyFill="true" applyFont="true" applyNumberFormat="false" applyProtection="false" borderId="58" fillId="145" fontId="5" numFmtId="0" xfId="0">
      <alignment horizontal="center" vertical="center"/>
    </xf>
    <xf applyAlignment="true" applyBorder="false" applyFill="false" applyFont="true" applyNumberFormat="false" applyProtection="false" borderId="58" fillId="0" fontId="5" numFmtId="0" xfId="0">
      <alignment horizontal="center" vertical="center"/>
    </xf>
    <xf applyAlignment="true" applyBorder="false" applyFill="true" applyFont="true" applyNumberFormat="false" applyProtection="false" borderId="58" fillId="140" fontId="5" numFmtId="0" xfId="0">
      <alignment horizontal="center" vertical="center"/>
    </xf>
    <xf applyAlignment="true" applyBorder="false" applyFill="true" applyFont="true" applyNumberFormat="true" applyProtection="false" borderId="57" fillId="161" fontId="9" numFmtId="176" xfId="0">
      <alignment horizontal="center" vertical="center" wrapText="true"/>
    </xf>
    <xf applyAlignment="true" applyBorder="false" applyFill="true" applyFont="true" applyNumberFormat="true" applyProtection="false" borderId="57" fillId="161" fontId="16" numFmtId="176" xfId="0">
      <alignment horizontal="center" vertical="center" wrapText="true"/>
    </xf>
    <xf applyAlignment="true" applyBorder="false" applyFill="true" applyFont="true" applyNumberFormat="true" applyProtection="false" borderId="58" fillId="161" fontId="16" numFmtId="176" xfId="0">
      <alignment horizontal="center" vertical="center" wrapText="true"/>
    </xf>
    <xf applyAlignment="true" applyBorder="false" applyFill="true" applyFont="true" applyNumberFormat="true" applyProtection="false" borderId="0" fillId="130" fontId="16" numFmtId="176" xfId="0">
      <alignment horizontal="center" vertical="center" wrapText="true"/>
    </xf>
    <xf applyAlignment="true" applyBorder="false" applyFill="true" applyFont="true" applyNumberFormat="true" applyProtection="false" borderId="0" fillId="130" fontId="16" numFmtId="176" xfId="0">
      <alignment horizontal="center" vertical="center" wrapText="true"/>
    </xf>
    <xf applyAlignment="true" applyBorder="false" applyFill="true" applyFont="true" applyNumberFormat="true" applyProtection="false" borderId="57" fillId="161" fontId="7" numFmtId="176" xfId="0">
      <alignment horizontal="center" vertical="center" wrapText="true"/>
    </xf>
    <xf applyAlignment="true" applyBorder="false" applyFill="true" applyFont="true" applyNumberFormat="true" applyProtection="false" borderId="57" fillId="161" fontId="7" numFmtId="177" xfId="0">
      <alignment horizontal="center" vertical="center"/>
    </xf>
    <xf applyAlignment="true" applyBorder="false" applyFill="true" applyFont="true" applyNumberFormat="false" applyProtection="false" borderId="57" fillId="161" fontId="7" numFmtId="0" xfId="0">
      <alignment horizontal="center" vertical="center"/>
    </xf>
    <xf applyAlignment="true" applyBorder="false" applyFill="true" applyFont="true" applyNumberFormat="false" applyProtection="false" borderId="57" fillId="161" fontId="7" numFmtId="0" xfId="0">
      <alignment horizontal="center" vertical="center" wrapText="true"/>
    </xf>
    <xf applyAlignment="true" applyBorder="false" applyFill="true" applyFont="true" applyNumberFormat="false" applyProtection="false" borderId="57" fillId="161" fontId="7" numFmtId="0" xfId="0">
      <alignment horizontal="center" vertical="center"/>
    </xf>
    <xf applyAlignment="true" applyBorder="false" applyFill="true" applyFont="true" applyNumberFormat="false" applyProtection="false" borderId="58" fillId="161" fontId="7" numFmtId="0" xfId="0">
      <alignment horizontal="center" vertical="center"/>
    </xf>
    <xf applyAlignment="true" applyBorder="false" applyFill="true" applyFont="true" applyNumberFormat="true" applyProtection="false" borderId="57" fillId="140" fontId="4" numFmtId="176" xfId="0">
      <alignment horizontal="center" vertical="center" wrapText="true"/>
    </xf>
    <xf applyAlignment="true" applyBorder="false" applyFill="true" applyFont="true" applyNumberFormat="true" applyProtection="false" borderId="57" fillId="133" fontId="4" numFmtId="176" xfId="0">
      <alignment horizontal="center" vertical="center" wrapText="true"/>
    </xf>
    <xf applyAlignment="true" applyBorder="false" applyFill="true" applyFont="true" applyNumberFormat="false" applyProtection="false" borderId="58" fillId="140" fontId="4" numFmtId="0" xfId="0">
      <alignment horizontal="center" vertical="center"/>
    </xf>
    <xf applyAlignment="true" applyBorder="false" applyFill="true" applyFont="true" applyNumberFormat="true" applyProtection="false" borderId="57" fillId="130" fontId="4" numFmtId="176" xfId="0">
      <alignment horizontal="center" vertical="center" wrapText="true"/>
    </xf>
    <xf applyAlignment="true" applyBorder="false" applyFill="true" applyFont="true" applyNumberFormat="true" applyProtection="false" borderId="57" fillId="162" fontId="4" numFmtId="176" xfId="0">
      <alignment horizontal="center" vertical="center" wrapText="true"/>
    </xf>
    <xf applyAlignment="true" applyBorder="false" applyFill="true" applyFont="true" applyNumberFormat="true" applyProtection="false" borderId="57" fillId="162" fontId="4" numFmtId="177" xfId="0">
      <alignment horizontal="center" vertical="center"/>
    </xf>
    <xf applyAlignment="true" applyBorder="false" applyFill="true" applyFont="true" applyNumberFormat="true" applyProtection="false" borderId="57" fillId="162" fontId="4" numFmtId="177" xfId="0">
      <alignment horizontal="center" vertical="center"/>
    </xf>
    <xf applyAlignment="true" applyBorder="false" applyFill="true" applyFont="true" applyNumberFormat="false" applyProtection="false" borderId="57" fillId="138" fontId="5" numFmtId="0" xfId="0">
      <alignment horizontal="center" vertical="center"/>
    </xf>
    <xf applyAlignment="true" applyBorder="false" applyFill="true" applyFont="true" applyNumberFormat="false" applyProtection="false" borderId="57" fillId="162" fontId="5" numFmtId="0" xfId="0">
      <alignment horizontal="center" vertical="center"/>
    </xf>
    <xf applyAlignment="true" applyBorder="false" applyFill="true" applyFont="true" applyNumberFormat="false" applyProtection="false" borderId="57" fillId="138" fontId="5" numFmtId="0" xfId="0">
      <alignment horizontal="center" vertical="center" wrapText="true"/>
    </xf>
    <xf applyAlignment="true" applyBorder="false" applyFill="true" applyFont="true" applyNumberFormat="false" applyProtection="false" borderId="57" fillId="138" fontId="5" numFmtId="0" xfId="0">
      <alignment horizontal="center" vertical="center"/>
    </xf>
    <xf applyAlignment="true" applyBorder="false" applyFill="true" applyFont="true" applyNumberFormat="false" applyProtection="false" borderId="57" fillId="162" fontId="4" numFmtId="0" xfId="0">
      <alignment horizontal="center" vertical="center"/>
    </xf>
    <xf applyAlignment="true" applyBorder="false" applyFill="true" applyFont="true" applyNumberFormat="false" applyProtection="false" borderId="58" fillId="162" fontId="4" numFmtId="0" xfId="0">
      <alignment horizontal="center" vertical="center"/>
    </xf>
    <xf applyAlignment="true" applyBorder="false" applyFill="true" applyFont="true" applyNumberFormat="true" applyProtection="false" borderId="57" fillId="163" fontId="10" numFmtId="176" xfId="0">
      <alignment horizontal="center" vertical="center" wrapText="true"/>
    </xf>
    <xf applyAlignment="true" applyBorder="false" applyFill="true" applyFont="true" applyNumberFormat="true" applyProtection="false" borderId="58" fillId="163" fontId="10" numFmtId="176" xfId="0">
      <alignment horizontal="center" vertical="center" wrapText="true"/>
    </xf>
    <xf applyAlignment="true" applyBorder="false" applyFill="true" applyFont="true" applyNumberFormat="true" applyProtection="false" borderId="57" fillId="163" fontId="7" numFmtId="176" xfId="0">
      <alignment horizontal="center" vertical="center" wrapText="true"/>
    </xf>
    <xf applyAlignment="true" applyBorder="false" applyFill="true" applyFont="true" applyNumberFormat="true" applyProtection="false" borderId="57" fillId="163" fontId="7" numFmtId="177" xfId="0">
      <alignment horizontal="center" vertical="center"/>
    </xf>
    <xf applyAlignment="true" applyBorder="false" applyFill="true" applyFont="true" applyNumberFormat="false" applyProtection="false" borderId="57" fillId="163" fontId="7" numFmtId="0" xfId="0">
      <alignment horizontal="center" vertical="center"/>
    </xf>
    <xf applyAlignment="true" applyBorder="false" applyFill="true" applyFont="true" applyNumberFormat="false" applyProtection="false" borderId="57" fillId="163" fontId="7" numFmtId="0" xfId="0">
      <alignment horizontal="center" vertical="center" wrapText="true"/>
    </xf>
    <xf applyAlignment="true" applyBorder="false" applyFill="true" applyFont="true" applyNumberFormat="false" applyProtection="false" borderId="58" fillId="163" fontId="7" numFmtId="0" xfId="0">
      <alignment horizontal="center" vertical="center"/>
    </xf>
    <xf applyAlignment="true" applyBorder="false" applyFill="true" applyFont="true" applyNumberFormat="true" applyProtection="false" borderId="57" fillId="164" fontId="3" numFmtId="176" xfId="0">
      <alignment horizontal="center" vertical="center" wrapText="true"/>
    </xf>
    <xf applyAlignment="true" applyBorder="false" applyFill="true" applyFont="true" applyNumberFormat="true" applyProtection="false" borderId="53" fillId="164" fontId="3" numFmtId="176" xfId="0">
      <alignment horizontal="center" vertical="center" wrapText="true"/>
    </xf>
    <xf applyAlignment="true" applyBorder="false" applyFill="true" applyFont="true" applyNumberFormat="true" applyProtection="false" borderId="57" fillId="164" fontId="7" numFmtId="176" xfId="0">
      <alignment horizontal="center" vertical="center" wrapText="true"/>
    </xf>
    <xf applyAlignment="true" applyBorder="false" applyFill="true" applyFont="true" applyNumberFormat="true" applyProtection="false" borderId="57" fillId="164" fontId="7" numFmtId="177" xfId="0">
      <alignment horizontal="center" vertical="center"/>
    </xf>
    <xf applyAlignment="true" applyBorder="false" applyFill="true" applyFont="true" applyNumberFormat="false" applyProtection="false" borderId="53" fillId="164" fontId="7" numFmtId="0" xfId="0">
      <alignment horizontal="center" vertical="center"/>
    </xf>
    <xf applyAlignment="true" applyBorder="false" applyFill="true" applyFont="true" applyNumberFormat="false" applyProtection="false" borderId="57" fillId="164" fontId="7" numFmtId="0" xfId="0">
      <alignment horizontal="center" vertical="center"/>
    </xf>
    <xf applyAlignment="true" applyBorder="false" applyFill="true" applyFont="true" applyNumberFormat="false" applyProtection="false" borderId="57" fillId="164" fontId="7" numFmtId="0" xfId="0">
      <alignment horizontal="center" vertical="center" wrapText="true"/>
    </xf>
    <xf applyAlignment="true" applyBorder="false" applyFill="true" applyFont="true" applyNumberFormat="false" applyProtection="false" borderId="58" fillId="164" fontId="7" numFmtId="0" xfId="0">
      <alignment horizontal="center" vertical="center"/>
    </xf>
    <xf applyAlignment="true" applyBorder="false" applyFill="true" applyFont="true" applyNumberFormat="false" applyProtection="false" borderId="55" fillId="164" fontId="7" numFmtId="0" xfId="0">
      <alignment horizontal="center" vertical="center"/>
    </xf>
    <xf applyAlignment="true" applyBorder="false" applyFill="true" applyFont="true" applyNumberFormat="false" applyProtection="false" borderId="55" fillId="130" fontId="5" numFmtId="0" xfId="0">
      <alignment horizontal="center" vertical="center"/>
    </xf>
    <xf applyAlignment="true" applyBorder="false" applyFill="true" applyFont="true" applyNumberFormat="true" applyProtection="false" borderId="58" fillId="155" fontId="4" numFmtId="177" xfId="0">
      <alignment horizontal="center" vertical="center"/>
    </xf>
    <xf applyAlignment="true" applyBorder="false" applyFill="true" applyFont="true" applyNumberFormat="false" applyProtection="false" borderId="57" fillId="155" fontId="4" numFmtId="0" xfId="0">
      <alignment horizontal="center" vertical="center" wrapText="true"/>
    </xf>
    <xf applyAlignment="true" applyBorder="false" applyFill="true" applyFont="true" applyNumberFormat="false" applyProtection="false" borderId="57" fillId="145" fontId="4" numFmtId="0" xfId="0">
      <alignment horizontal="center" vertical="center" wrapText="true"/>
    </xf>
    <xf applyAlignment="true" applyBorder="false" applyFill="true" applyFont="true" applyNumberFormat="false" applyProtection="false" borderId="57" fillId="151" fontId="5" numFmtId="0" xfId="0">
      <alignment horizontal="center" vertical="center"/>
    </xf>
    <xf applyAlignment="true" applyBorder="false" applyFill="true" applyFont="true" applyNumberFormat="true" applyProtection="false" borderId="57" fillId="165" fontId="16" numFmtId="176" xfId="0">
      <alignment horizontal="center" vertical="center" wrapText="true"/>
    </xf>
    <xf applyAlignment="true" applyBorder="false" applyFill="true" applyFont="true" applyNumberFormat="true" applyProtection="false" borderId="57" fillId="165" fontId="17" numFmtId="176" xfId="0">
      <alignment horizontal="center" vertical="center" wrapText="true"/>
    </xf>
    <xf applyAlignment="true" applyBorder="false" applyFill="true" applyFont="true" applyNumberFormat="true" applyProtection="false" borderId="57" fillId="165" fontId="17" numFmtId="177" xfId="0">
      <alignment horizontal="center" vertical="center"/>
    </xf>
    <xf applyAlignment="true" applyBorder="false" applyFill="true" applyFont="true" applyNumberFormat="false" applyProtection="false" borderId="53" fillId="165" fontId="17" numFmtId="0" xfId="0">
      <alignment horizontal="center" vertical="center"/>
    </xf>
    <xf applyAlignment="true" applyBorder="false" applyFill="true" applyFont="true" applyNumberFormat="false" applyProtection="false" borderId="57" fillId="165" fontId="17" numFmtId="0" xfId="0">
      <alignment horizontal="center" vertical="center"/>
    </xf>
    <xf applyAlignment="true" applyBorder="false" applyFill="true" applyFont="true" applyNumberFormat="false" applyProtection="false" borderId="57" fillId="165" fontId="17" numFmtId="0" xfId="0">
      <alignment horizontal="center" vertical="center" wrapText="true"/>
    </xf>
    <xf applyAlignment="true" applyBorder="false" applyFill="true" applyFont="true" applyNumberFormat="false" applyProtection="false" borderId="58" fillId="165" fontId="17" numFmtId="0" xfId="0">
      <alignment horizontal="center" vertical="center"/>
    </xf>
    <xf applyAlignment="true" applyBorder="false" applyFill="true" applyFont="true" applyNumberFormat="false" applyProtection="false" borderId="59" fillId="140" fontId="5" numFmtId="0" xfId="0">
      <alignment horizontal="center" vertical="center"/>
    </xf>
    <xf applyAlignment="true" applyBorder="false" applyFill="true" applyFont="true" applyNumberFormat="true" applyProtection="false" borderId="57" fillId="166" fontId="16" numFmtId="176" xfId="0">
      <alignment horizontal="center" vertical="center" wrapText="true"/>
    </xf>
    <xf applyAlignment="true" applyBorder="false" applyFill="true" applyFont="true" applyNumberFormat="true" applyProtection="false" borderId="58" fillId="166" fontId="16" numFmtId="176" xfId="0">
      <alignment horizontal="center" vertical="center" wrapText="true"/>
    </xf>
    <xf applyAlignment="true" applyBorder="false" applyFill="true" applyFont="true" applyNumberFormat="true" applyProtection="false" borderId="57" fillId="166" fontId="7" numFmtId="176" xfId="0">
      <alignment horizontal="center" vertical="center" wrapText="true"/>
    </xf>
    <xf applyAlignment="true" applyBorder="false" applyFill="true" applyFont="true" applyNumberFormat="true" applyProtection="false" borderId="57" fillId="166" fontId="7" numFmtId="177" xfId="0">
      <alignment horizontal="center" vertical="center"/>
    </xf>
    <xf applyAlignment="true" applyBorder="false" applyFill="true" applyFont="true" applyNumberFormat="false" applyProtection="false" borderId="57" fillId="166" fontId="7" numFmtId="0" xfId="0">
      <alignment horizontal="center" vertical="center"/>
    </xf>
    <xf applyAlignment="true" applyBorder="false" applyFill="true" applyFont="true" applyNumberFormat="false" applyProtection="false" borderId="57" fillId="166" fontId="7" numFmtId="0" xfId="0">
      <alignment horizontal="center" vertical="center" wrapText="true"/>
    </xf>
    <xf applyAlignment="true" applyBorder="false" applyFill="true" applyFont="true" applyNumberFormat="false" applyProtection="false" borderId="58" fillId="166" fontId="7" numFmtId="0" xfId="0">
      <alignment horizontal="center" vertical="center"/>
    </xf>
    <xf applyAlignment="true" applyBorder="false" applyFill="true" applyFont="true" applyNumberFormat="true" applyProtection="false" borderId="57" fillId="166" fontId="4" numFmtId="177" xfId="0">
      <alignment horizontal="center" vertical="center"/>
    </xf>
    <xf applyAlignment="true" applyBorder="false" applyFill="true" applyFont="true" applyNumberFormat="true" applyProtection="false" borderId="57" fillId="166" fontId="4" numFmtId="177" xfId="0">
      <alignment horizontal="center" vertical="center"/>
    </xf>
    <xf applyAlignment="true" applyBorder="false" applyFill="true" applyFont="true" applyNumberFormat="false" applyProtection="false" borderId="57" fillId="166" fontId="5" numFmtId="0" xfId="0">
      <alignment horizontal="center" vertical="center"/>
    </xf>
    <xf applyAlignment="true" applyBorder="false" applyFill="true" applyFont="true" applyNumberFormat="false" applyProtection="false" borderId="57" fillId="166" fontId="5" numFmtId="0" xfId="0">
      <alignment horizontal="center" vertical="center"/>
    </xf>
    <xf applyAlignment="true" applyBorder="false" applyFill="true" applyFont="true" applyNumberFormat="false" applyProtection="false" borderId="57" fillId="166" fontId="5" numFmtId="0" xfId="0">
      <alignment horizontal="center" vertical="center" wrapText="true"/>
    </xf>
    <xf applyAlignment="true" applyBorder="false" applyFill="true" applyFont="true" applyNumberFormat="false" applyProtection="false" borderId="59" fillId="166" fontId="5" numFmtId="0" xfId="0">
      <alignment horizontal="center" vertical="center"/>
    </xf>
    <xf applyAlignment="true" applyBorder="false" applyFill="true" applyFont="true" applyNumberFormat="false" applyProtection="false" borderId="58" fillId="166" fontId="5" numFmtId="0" xfId="0">
      <alignment horizontal="center" vertical="center"/>
    </xf>
    <xf applyAlignment="true" applyBorder="false" applyFill="true" applyFont="true" applyNumberFormat="false" applyProtection="false" borderId="57" fillId="128" fontId="18" numFmtId="0" xfId="0">
      <alignment horizontal="center" vertical="center"/>
    </xf>
    <xf applyAlignment="true" applyBorder="false" applyFill="true" applyFont="true" applyNumberFormat="false" applyProtection="false" borderId="58" fillId="166" fontId="5" numFmtId="0" xfId="0">
      <alignment horizontal="center" vertical="center"/>
    </xf>
    <xf applyAlignment="true" applyBorder="false" applyFill="true" applyFont="true" applyNumberFormat="true" applyProtection="false" borderId="57" fillId="167" fontId="3" numFmtId="176" xfId="0">
      <alignment horizontal="center" vertical="center" wrapText="true"/>
    </xf>
    <xf applyAlignment="true" applyBorder="false" applyFill="true" applyFont="true" applyNumberFormat="true" applyProtection="false" borderId="57" fillId="167" fontId="16" numFmtId="176" xfId="0">
      <alignment horizontal="center" vertical="center" wrapText="true"/>
    </xf>
    <xf applyAlignment="true" applyBorder="false" applyFill="true" applyFont="true" applyNumberFormat="true" applyProtection="false" borderId="58" fillId="167" fontId="16" numFmtId="176" xfId="0">
      <alignment horizontal="center" vertical="center" wrapText="true"/>
    </xf>
    <xf applyAlignment="true" applyBorder="false" applyFill="true" applyFont="true" applyNumberFormat="true" applyProtection="false" borderId="57" fillId="168" fontId="7" numFmtId="176" xfId="0">
      <alignment horizontal="center" vertical="center" wrapText="true"/>
    </xf>
    <xf applyAlignment="true" applyBorder="false" applyFill="true" applyFont="true" applyNumberFormat="true" applyProtection="false" borderId="57" fillId="168" fontId="7" numFmtId="177" xfId="0">
      <alignment horizontal="center" vertical="center"/>
    </xf>
    <xf applyAlignment="true" applyBorder="false" applyFill="true" applyFont="true" applyNumberFormat="false" applyProtection="false" borderId="57" fillId="168" fontId="7" numFmtId="0" xfId="0">
      <alignment horizontal="center" vertical="center"/>
    </xf>
    <xf applyAlignment="true" applyBorder="false" applyFill="true" applyFont="true" applyNumberFormat="false" applyProtection="false" borderId="57" fillId="168" fontId="7" numFmtId="0" xfId="0">
      <alignment horizontal="center" vertical="center" wrapText="true"/>
    </xf>
    <xf applyAlignment="true" applyBorder="false" applyFill="true" applyFont="true" applyNumberFormat="false" applyProtection="false" borderId="58" fillId="168" fontId="7" numFmtId="0" xfId="0">
      <alignment horizontal="center" vertical="center"/>
    </xf>
    <xf applyAlignment="true" applyBorder="false" applyFill="true" applyFont="true" applyNumberFormat="false" applyProtection="false" borderId="57" fillId="169" fontId="5" numFmtId="0" xfId="0">
      <alignment horizontal="center" vertical="center"/>
    </xf>
    <xf applyAlignment="true" applyBorder="false" applyFill="true" applyFont="true" applyNumberFormat="true" applyProtection="false" borderId="57" fillId="169" fontId="4" numFmtId="177" xfId="0">
      <alignment horizontal="center" vertical="center"/>
    </xf>
    <xf applyAlignment="true" applyBorder="false" applyFill="true" applyFont="true" applyNumberFormat="true" applyProtection="false" borderId="57" fillId="169" fontId="4" numFmtId="177" xfId="0">
      <alignment horizontal="center" vertical="center"/>
    </xf>
    <xf applyAlignment="true" applyBorder="false" applyFill="true" applyFont="true" applyNumberFormat="false" applyProtection="false" borderId="57" fillId="169" fontId="5" numFmtId="0" xfId="0">
      <alignment horizontal="center" vertical="center"/>
    </xf>
    <xf applyAlignment="true" applyBorder="false" applyFill="true" applyFont="true" applyNumberFormat="false" applyProtection="false" borderId="57" fillId="169" fontId="5" numFmtId="0" xfId="0">
      <alignment horizontal="center" vertical="center" wrapText="true"/>
    </xf>
    <xf applyAlignment="true" applyBorder="false" applyFill="true" applyFont="true" applyNumberFormat="false" applyProtection="false" borderId="58" fillId="151" fontId="5" numFmtId="0" xfId="0">
      <alignment horizontal="center" vertical="center"/>
    </xf>
    <xf applyAlignment="true" applyBorder="false" applyFill="true" applyFont="true" applyNumberFormat="true" applyProtection="false" borderId="57" fillId="151" fontId="4" numFmtId="177" xfId="0">
      <alignment horizontal="center" vertical="center"/>
    </xf>
    <xf applyAlignment="true" applyBorder="false" applyFill="true" applyFont="true" applyNumberFormat="false" applyProtection="false" borderId="57" fillId="151" fontId="5" numFmtId="0" xfId="0">
      <alignment horizontal="center" vertical="center"/>
    </xf>
    <xf applyAlignment="true" applyBorder="false" applyFill="true" applyFont="true" applyNumberFormat="false" applyProtection="false" borderId="57" fillId="151" fontId="5" numFmtId="0" xfId="0">
      <alignment horizontal="center" vertical="center" wrapText="true"/>
    </xf>
    <xf applyAlignment="true" applyBorder="false" applyFill="true" applyFont="true" applyNumberFormat="false" applyProtection="false" borderId="57" fillId="169" fontId="5" numFmtId="0" xfId="0">
      <alignment horizontal="center" vertical="center" wrapText="true"/>
    </xf>
    <xf applyAlignment="true" applyBorder="false" applyFill="true" applyFont="true" applyNumberFormat="true" applyProtection="false" borderId="0" fillId="130" fontId="4" numFmtId="177" xfId="0">
      <alignment horizontal="center" vertical="center"/>
    </xf>
    <xf applyAlignment="true" applyBorder="false" applyFill="true" applyFont="true" applyNumberFormat="true" applyProtection="false" borderId="59" fillId="133" fontId="4" numFmtId="177" xfId="0">
      <alignment horizontal="center" vertical="center"/>
    </xf>
    <xf applyAlignment="true" applyBorder="false" applyFill="true" applyFont="true" applyNumberFormat="true" applyProtection="false" borderId="57" fillId="152" fontId="16" numFmtId="176" xfId="0">
      <alignment horizontal="center" vertical="center" wrapText="true"/>
    </xf>
    <xf applyAlignment="true" applyBorder="false" applyFill="true" applyFont="true" applyNumberFormat="true" applyProtection="false" borderId="57" fillId="152" fontId="16" numFmtId="176" xfId="0">
      <alignment horizontal="center" vertical="center" wrapText="true"/>
    </xf>
    <xf applyAlignment="true" applyBorder="false" applyFill="true" applyFont="true" applyNumberFormat="true" applyProtection="false" borderId="58" fillId="152" fontId="16" numFmtId="176" xfId="0">
      <alignment horizontal="center" vertical="center" wrapText="true"/>
    </xf>
    <xf applyAlignment="true" applyBorder="false" applyFill="true" applyFont="true" applyNumberFormat="true" applyProtection="false" borderId="57" fillId="152" fontId="4" numFmtId="177" xfId="0">
      <alignment horizontal="center" vertical="center"/>
    </xf>
    <xf applyAlignment="true" applyBorder="false" applyFill="true" applyFont="true" applyNumberFormat="true" applyProtection="false" borderId="57" fillId="170" fontId="4" numFmtId="177" xfId="0">
      <alignment horizontal="center" vertical="center"/>
    </xf>
    <xf applyAlignment="true" applyBorder="false" applyFill="true" applyFont="true" applyNumberFormat="false" applyProtection="false" borderId="57" fillId="152" fontId="5" numFmtId="0" xfId="0">
      <alignment horizontal="center" vertical="center"/>
    </xf>
    <xf applyAlignment="true" applyBorder="false" applyFill="true" applyFont="true" applyNumberFormat="false" applyProtection="false" borderId="57" fillId="170" fontId="5" numFmtId="0" xfId="0">
      <alignment horizontal="center" vertical="center"/>
    </xf>
    <xf applyAlignment="true" applyBorder="false" applyFill="true" applyFont="true" applyNumberFormat="false" applyProtection="false" borderId="57" fillId="152" fontId="5" numFmtId="0" xfId="0">
      <alignment horizontal="center" vertical="center" wrapText="true"/>
    </xf>
    <xf applyAlignment="true" applyBorder="false" applyFill="true" applyFont="true" applyNumberFormat="false" applyProtection="false" borderId="57" fillId="152" fontId="5" numFmtId="0" xfId="0">
      <alignment horizontal="center" vertical="center"/>
    </xf>
    <xf applyAlignment="true" applyBorder="false" applyFill="true" applyFont="true" applyNumberFormat="false" applyProtection="false" borderId="58" fillId="152" fontId="5" numFmtId="0" xfId="0">
      <alignment horizontal="center" vertical="center"/>
    </xf>
    <xf applyAlignment="true" applyBorder="false" applyFill="true" applyFont="true" applyNumberFormat="true" applyProtection="false" borderId="57" fillId="152" fontId="4" numFmtId="177" xfId="0">
      <alignment horizontal="center" vertical="center"/>
    </xf>
    <xf applyAlignment="true" applyBorder="false" applyFill="true" applyFont="true" applyNumberFormat="true" applyProtection="false" borderId="57" fillId="170" fontId="4" numFmtId="177" xfId="0">
      <alignment horizontal="center" vertical="center"/>
    </xf>
    <xf applyAlignment="true" applyBorder="false" applyFill="true" applyFont="true" applyNumberFormat="false" applyProtection="false" borderId="57" fillId="170" fontId="5" numFmtId="0" xfId="0">
      <alignment horizontal="center" vertical="center"/>
    </xf>
    <xf applyAlignment="true" applyBorder="false" applyFill="true" applyFont="true" applyNumberFormat="true" applyProtection="false" borderId="57" fillId="171" fontId="16" numFmtId="176" xfId="0">
      <alignment horizontal="center" vertical="center" wrapText="true"/>
    </xf>
    <xf applyAlignment="true" applyBorder="false" applyFill="true" applyFont="true" applyNumberFormat="true" applyProtection="false" borderId="58" fillId="171" fontId="16" numFmtId="176" xfId="0">
      <alignment horizontal="center" vertical="center" wrapText="true"/>
    </xf>
    <xf applyAlignment="true" applyBorder="false" applyFill="true" applyFont="true" applyNumberFormat="true" applyProtection="false" borderId="57" fillId="171" fontId="7" numFmtId="176" xfId="0">
      <alignment horizontal="center" vertical="center" wrapText="true"/>
    </xf>
    <xf applyAlignment="true" applyBorder="false" applyFill="true" applyFont="true" applyNumberFormat="true" applyProtection="false" borderId="57" fillId="171" fontId="7" numFmtId="177" xfId="0">
      <alignment horizontal="center" vertical="center"/>
    </xf>
    <xf applyAlignment="true" applyBorder="false" applyFill="true" applyFont="true" applyNumberFormat="false" applyProtection="false" borderId="57" fillId="171" fontId="7" numFmtId="0" xfId="0">
      <alignment horizontal="center" vertical="center"/>
    </xf>
    <xf applyAlignment="true" applyBorder="false" applyFill="true" applyFont="true" applyNumberFormat="false" applyProtection="false" borderId="57" fillId="171" fontId="7" numFmtId="0" xfId="0">
      <alignment horizontal="center" vertical="center" wrapText="true"/>
    </xf>
    <xf applyAlignment="true" applyBorder="false" applyFill="true" applyFont="true" applyNumberFormat="false" applyProtection="false" borderId="58" fillId="171" fontId="7" numFmtId="0" xfId="0">
      <alignment horizontal="center" vertical="center"/>
    </xf>
    <xf applyAlignment="true" applyBorder="false" applyFill="true" applyFont="true" applyNumberFormat="true" applyProtection="false" borderId="57" fillId="171" fontId="4" numFmtId="177" xfId="0">
      <alignment horizontal="center" vertical="center"/>
    </xf>
    <xf applyAlignment="true" applyBorder="false" applyFill="true" applyFont="true" applyNumberFormat="true" applyProtection="false" borderId="57" fillId="171" fontId="4" numFmtId="177" xfId="0">
      <alignment horizontal="center" vertical="center"/>
    </xf>
    <xf applyAlignment="true" applyBorder="false" applyFill="true" applyFont="true" applyNumberFormat="false" applyProtection="false" borderId="57" fillId="171" fontId="5" numFmtId="0" xfId="0">
      <alignment horizontal="center" vertical="center"/>
    </xf>
    <xf applyAlignment="true" applyBorder="false" applyFill="true" applyFont="true" applyNumberFormat="false" applyProtection="false" borderId="57" fillId="171" fontId="4" numFmtId="0" xfId="0">
      <alignment horizontal="center" vertical="center"/>
    </xf>
    <xf applyAlignment="true" applyBorder="false" applyFill="true" applyFont="true" applyNumberFormat="false" applyProtection="false" borderId="57" fillId="171" fontId="5" numFmtId="0" xfId="0">
      <alignment horizontal="center" vertical="center"/>
    </xf>
    <xf applyAlignment="true" applyBorder="false" applyFill="true" applyFont="true" applyNumberFormat="true" applyProtection="false" borderId="57" fillId="130" fontId="7" numFmtId="176" xfId="0">
      <alignment horizontal="center" vertical="center" wrapText="true"/>
    </xf>
    <xf applyAlignment="true" applyBorder="false" applyFill="true" applyFont="true" applyNumberFormat="true" applyProtection="false" borderId="68" fillId="172" fontId="1" numFmtId="180" xfId="0">
      <alignment horizontal="left" vertical="center" wrapText="true"/>
    </xf>
    <xf applyAlignment="true" applyBorder="false" applyFill="true" applyFont="true" applyNumberFormat="true" applyProtection="false" borderId="68" fillId="172" fontId="1" numFmtId="180" xfId="0">
      <alignment horizontal="left" vertical="center" wrapText="true"/>
    </xf>
    <xf applyAlignment="true" applyBorder="false" applyFill="true" applyFont="true" applyNumberFormat="true" applyProtection="false" borderId="68" fillId="173" fontId="1" numFmtId="180" xfId="0">
      <alignment horizontal="right" vertical="center" wrapText="true"/>
    </xf>
    <xf applyAlignment="true" applyBorder="false" applyFill="true" applyFont="true" applyNumberFormat="true" applyProtection="false" borderId="68" fillId="172" fontId="1" numFmtId="180" xfId="0">
      <alignment horizontal="center" vertical="center" wrapText="true"/>
    </xf>
    <xf applyAlignment="true" applyBorder="false" applyFill="true" applyFont="true" applyNumberFormat="true" applyProtection="false" borderId="69" fillId="172" fontId="1" numFmtId="180" xfId="0">
      <alignment horizontal="left" vertical="center" wrapText="true"/>
    </xf>
    <xf applyAlignment="true" applyBorder="false" applyFill="true" applyFont="true" applyNumberFormat="true" applyProtection="false" borderId="0" fillId="174" fontId="1" numFmtId="180" xfId="0">
      <alignment horizontal="left" vertical="center" wrapText="true"/>
    </xf>
    <xf applyAlignment="true" applyBorder="false" applyFill="true" applyFont="true" applyNumberFormat="true" applyProtection="false" borderId="0" fillId="175" fontId="2" numFmtId="180" xfId="0">
      <alignment horizontal="center" vertical="center"/>
    </xf>
    <xf applyAlignment="true" applyBorder="false" applyFill="true" applyFont="true" applyNumberFormat="true" applyProtection="false" borderId="0" fillId="175" fontId="2" numFmtId="180" xfId="0">
      <alignment horizontal="center" vertical="center"/>
    </xf>
    <xf applyAlignment="true" applyBorder="false" applyFill="true" applyFont="true" applyNumberFormat="true" applyProtection="false" borderId="0" fillId="174" fontId="2" numFmtId="180" xfId="0">
      <alignment horizontal="center" vertical="center"/>
    </xf>
    <xf applyAlignment="true" applyBorder="false" applyFill="true" applyFont="true" applyNumberFormat="true" applyProtection="false" borderId="68" fillId="176" fontId="3" numFmtId="180" xfId="0">
      <alignment horizontal="center" vertical="center" wrapText="true"/>
    </xf>
    <xf applyAlignment="true" applyBorder="false" applyFill="true" applyFont="true" applyNumberFormat="true" applyProtection="false" borderId="68" fillId="176" fontId="3" numFmtId="180" xfId="0">
      <alignment horizontal="center" vertical="center" wrapText="true"/>
    </xf>
    <xf applyAlignment="true" applyBorder="false" applyFill="true" applyFont="true" applyNumberFormat="true" applyProtection="false" borderId="0" fillId="174" fontId="3" numFmtId="180" xfId="0">
      <alignment horizontal="center" vertical="center" wrapText="true"/>
    </xf>
    <xf applyAlignment="true" applyBorder="false" applyFill="true" applyFont="true" applyNumberFormat="true" applyProtection="false" borderId="70" fillId="177" fontId="4" numFmtId="181" xfId="0">
      <alignment horizontal="center" vertical="center"/>
    </xf>
    <xf applyAlignment="true" applyBorder="false" applyFill="true" applyFont="true" applyNumberFormat="true" applyProtection="false" borderId="70" fillId="177" fontId="4" numFmtId="181" xfId="0">
      <alignment horizontal="center" vertical="center"/>
    </xf>
    <xf applyAlignment="true" applyBorder="false" applyFill="true" applyFont="true" applyNumberFormat="true" applyProtection="false" borderId="71" fillId="177" fontId="4" numFmtId="181" xfId="0">
      <alignment horizontal="center" vertical="center"/>
    </xf>
    <xf applyAlignment="true" applyBorder="false" applyFill="true" applyFont="true" applyNumberFormat="false" applyProtection="false" borderId="71" fillId="177" fontId="5" numFmtId="0" xfId="0">
      <alignment horizontal="center" vertical="center"/>
    </xf>
    <xf applyAlignment="true" applyBorder="false" applyFill="true" applyFont="true" applyNumberFormat="false" applyProtection="false" borderId="72" fillId="177" fontId="5" numFmtId="0" xfId="0">
      <alignment horizontal="center" vertical="center"/>
    </xf>
    <xf applyAlignment="true" applyBorder="false" applyFill="false" applyFont="true" applyNumberFormat="true" applyProtection="false" borderId="70" fillId="0" fontId="5" numFmtId="182" xfId="0">
      <alignment horizontal="center" vertical="center"/>
    </xf>
    <xf applyAlignment="true" applyBorder="false" applyFill="true" applyFont="true" applyNumberFormat="false" applyProtection="false" borderId="73" fillId="177" fontId="5" numFmtId="0" xfId="0">
      <alignment horizontal="center" vertical="center" wrapText="true"/>
    </xf>
    <xf applyAlignment="true" applyBorder="false" applyFill="false" applyFont="true" applyNumberFormat="false" applyProtection="false" borderId="71" fillId="0" fontId="5" numFmtId="0" xfId="0">
      <alignment horizontal="center" vertical="center"/>
    </xf>
    <xf applyAlignment="true" applyBorder="false" applyFill="true" applyFont="true" applyNumberFormat="false" applyProtection="false" borderId="72" fillId="177" fontId="5" numFmtId="0" xfId="0">
      <alignment horizontal="center" vertical="center"/>
    </xf>
    <xf applyAlignment="true" applyBorder="false" applyFill="true" applyFont="true" applyNumberFormat="false" applyProtection="false" borderId="0" fillId="174" fontId="5" numFmtId="0" xfId="0">
      <alignment horizontal="center" vertical="center"/>
    </xf>
    <xf applyAlignment="true" applyBorder="false" applyFill="false" applyFont="true" applyNumberFormat="true" applyProtection="false" borderId="70" fillId="0" fontId="5" numFmtId="182" xfId="0">
      <alignment horizontal="center" vertical="center"/>
    </xf>
    <xf applyAlignment="true" applyBorder="false" applyFill="true" applyFont="true" applyNumberFormat="true" applyProtection="false" borderId="73" fillId="177" fontId="4" numFmtId="181" xfId="0">
      <alignment horizontal="center" vertical="center"/>
    </xf>
    <xf applyAlignment="true" applyBorder="false" applyFill="true" applyFont="true" applyNumberFormat="true" applyProtection="false" borderId="69" fillId="176" fontId="3" numFmtId="18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true" applyProtection="false" borderId="74" fillId="177" fontId="4" numFmtId="181" xfId="0">
      <alignment horizontal="center" vertical="center"/>
    </xf>
    <xf applyAlignment="true" applyBorder="false" applyFill="true" applyFont="true" applyNumberFormat="true" applyProtection="false" borderId="75" fillId="177" fontId="4" numFmtId="181" xfId="0">
      <alignment horizontal="center" vertical="center"/>
    </xf>
    <xf applyAlignment="true" applyBorder="false" applyFill="true" applyFont="true" applyNumberFormat="false" applyProtection="false" borderId="70" fillId="177" fontId="5" numFmtId="0" xfId="0">
      <alignment horizontal="center" vertical="center"/>
    </xf>
    <xf applyAlignment="true" applyBorder="false" applyFill="true" applyFont="true" applyNumberFormat="false" applyProtection="false" borderId="76" fillId="177" fontId="5" numFmtId="0" xfId="0">
      <alignment horizontal="center" vertical="center"/>
    </xf>
    <xf applyAlignment="true" applyBorder="false" applyFill="true" applyFont="true" applyNumberFormat="false" applyProtection="false" borderId="70" fillId="174" fontId="5" numFmtId="0" xfId="0">
      <alignment horizontal="center" vertical="center"/>
    </xf>
    <xf applyAlignment="true" applyBorder="false" applyFill="true" applyFont="true" applyNumberFormat="false" applyProtection="false" borderId="70" fillId="177" fontId="5" numFmtId="0" xfId="0">
      <alignment horizontal="center" vertical="center" wrapText="true"/>
    </xf>
    <xf applyAlignment="true" applyBorder="false" applyFill="false" applyFont="true" applyNumberFormat="false" applyProtection="false" borderId="70" fillId="0" fontId="5" numFmtId="0" xfId="0">
      <alignment horizontal="center" vertical="center"/>
    </xf>
    <xf applyAlignment="true" applyBorder="false" applyFill="true" applyFont="true" applyNumberFormat="false" applyProtection="false" borderId="75" fillId="177" fontId="5" numFmtId="0" xfId="0">
      <alignment horizontal="center" vertical="center"/>
    </xf>
    <xf applyAlignment="true" applyBorder="false" applyFill="true" applyFont="true" applyNumberFormat="true" applyProtection="false" borderId="74" fillId="177" fontId="4" numFmtId="181" xfId="0">
      <alignment horizontal="center" vertical="center"/>
    </xf>
    <xf applyAlignment="true" applyBorder="false" applyFill="true" applyFont="true" applyNumberFormat="false" applyProtection="false" borderId="74" fillId="177" fontId="5" numFmtId="0" xfId="0">
      <alignment horizontal="center" vertical="center"/>
    </xf>
    <xf applyAlignment="true" applyBorder="false" applyFill="true" applyFont="true" applyNumberFormat="true" applyProtection="false" borderId="71" fillId="176" fontId="7" numFmtId="180" xfId="0">
      <alignment horizontal="center" vertical="center" wrapText="true"/>
    </xf>
    <xf applyAlignment="true" applyBorder="false" applyFill="true" applyFont="true" applyNumberFormat="true" applyProtection="false" borderId="71" fillId="176" fontId="7" numFmtId="181" xfId="0">
      <alignment horizontal="center" vertical="center"/>
    </xf>
    <xf applyAlignment="true" applyBorder="false" applyFill="true" applyFont="true" applyNumberFormat="false" applyProtection="false" borderId="71" fillId="176" fontId="7" numFmtId="0" xfId="0">
      <alignment horizontal="center" vertical="center"/>
    </xf>
    <xf applyAlignment="true" applyBorder="false" applyFill="true" applyFont="true" applyNumberFormat="false" applyProtection="false" borderId="72" fillId="176" fontId="7" numFmtId="0" xfId="0">
      <alignment horizontal="center" vertical="center"/>
    </xf>
    <xf applyAlignment="true" applyBorder="false" applyFill="true" applyFont="true" applyNumberFormat="false" applyProtection="false" borderId="73" fillId="176" fontId="7" numFmtId="0" xfId="0">
      <alignment horizontal="center" vertical="center" wrapText="true"/>
    </xf>
    <xf applyAlignment="true" applyBorder="false" applyFill="true" applyFont="true" applyNumberFormat="false" applyProtection="false" borderId="0" fillId="174" fontId="7" numFmtId="0" xfId="0">
      <alignment horizontal="center" vertical="center"/>
    </xf>
    <xf applyAlignment="true" applyBorder="false" applyFill="true" applyFont="true" applyNumberFormat="true" applyProtection="false" borderId="71" fillId="177" fontId="4" numFmtId="181" xfId="0">
      <alignment horizontal="center" vertical="center"/>
    </xf>
    <xf applyAlignment="true" applyBorder="false" applyFill="false" applyFont="true" applyNumberFormat="true" applyProtection="false" borderId="71" fillId="0" fontId="5" numFmtId="182" xfId="0">
      <alignment horizontal="center" vertical="center"/>
    </xf>
    <xf applyAlignment="true" applyBorder="false" applyFill="false" applyFont="true" applyNumberFormat="false" applyProtection="false" borderId="73" fillId="0" fontId="5" numFmtId="0" xfId="0">
      <alignment horizontal="center" vertical="center" wrapText="true"/>
    </xf>
    <xf applyAlignment="true" applyBorder="false" applyFill="false" applyFont="true" applyNumberFormat="false" applyProtection="false" borderId="72" fillId="0" fontId="5" numFmtId="0" xfId="0">
      <alignment horizontal="center" vertical="center"/>
    </xf>
    <xf applyAlignment="true" applyBorder="false" applyFill="false" applyFont="true" applyNumberFormat="false" applyProtection="false" borderId="71" fillId="0" fontId="5" numFmtId="0" xfId="0">
      <alignment horizontal="center" vertical="center"/>
    </xf>
    <xf applyAlignment="true" applyBorder="false" applyFill="true" applyFont="true" applyNumberFormat="false" applyProtection="false" borderId="71" fillId="177" fontId="5" numFmtId="0" xfId="0">
      <alignment horizontal="center" vertical="center"/>
    </xf>
    <xf applyAlignment="true" applyBorder="false" applyFill="false" applyFont="true" applyNumberFormat="false" applyProtection="false" borderId="71" fillId="0" fontId="5" numFmtId="0" xfId="0">
      <alignment horizontal="center" vertical="center"/>
    </xf>
    <xf applyAlignment="true" applyBorder="false" applyFill="true" applyFont="true" applyNumberFormat="true" applyProtection="false" borderId="71" fillId="177" fontId="7" numFmtId="180" xfId="0">
      <alignment horizontal="center" vertical="center" wrapText="true"/>
    </xf>
    <xf applyAlignment="true" applyBorder="false" applyFill="true" applyFont="true" applyNumberFormat="true" applyProtection="false" borderId="71" fillId="177" fontId="5" numFmtId="182" xfId="0">
      <alignment horizontal="center" vertical="center"/>
    </xf>
    <xf applyAlignment="true" applyBorder="false" applyFill="true" applyFont="true" applyNumberFormat="false" applyProtection="false" borderId="71" fillId="177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71" fillId="178" fontId="3" numFmtId="180" xfId="0">
      <alignment horizontal="center" vertical="center" wrapText="true"/>
    </xf>
    <xf applyAlignment="true" applyBorder="false" applyFill="true" applyFont="true" applyNumberFormat="true" applyProtection="false" borderId="72" fillId="178" fontId="3" numFmtId="180" xfId="0">
      <alignment horizontal="center" vertical="center" wrapText="true"/>
    </xf>
    <xf applyAlignment="true" applyBorder="false" applyFill="true" applyFont="true" applyNumberFormat="true" applyProtection="false" borderId="0" fillId="174" fontId="3" numFmtId="180" xfId="0">
      <alignment horizontal="center" vertical="center" wrapText="true"/>
    </xf>
    <xf applyAlignment="true" applyBorder="false" applyFill="true" applyFont="true" applyNumberFormat="true" applyProtection="false" borderId="71" fillId="178" fontId="7" numFmtId="180" xfId="0">
      <alignment horizontal="center" vertical="center" wrapText="true"/>
    </xf>
    <xf applyAlignment="true" applyBorder="false" applyFill="true" applyFont="true" applyNumberFormat="true" applyProtection="false" borderId="71" fillId="178" fontId="7" numFmtId="181" xfId="0">
      <alignment horizontal="center" vertical="center"/>
    </xf>
    <xf applyAlignment="true" applyBorder="false" applyFill="true" applyFont="true" applyNumberFormat="false" applyProtection="false" borderId="71" fillId="178" fontId="7" numFmtId="0" xfId="0">
      <alignment horizontal="center" vertical="center"/>
    </xf>
    <xf applyAlignment="true" applyBorder="false" applyFill="true" applyFont="true" applyNumberFormat="false" applyProtection="false" borderId="71" fillId="178" fontId="7" numFmtId="0" xfId="0">
      <alignment horizontal="center" vertical="center" wrapText="true"/>
    </xf>
    <xf applyAlignment="true" applyBorder="false" applyFill="true" applyFont="true" applyNumberFormat="false" applyProtection="false" borderId="72" fillId="178" fontId="7" numFmtId="0" xfId="0">
      <alignment horizontal="center" vertical="center"/>
    </xf>
    <xf applyAlignment="true" applyBorder="false" applyFill="true" applyFont="true" applyNumberFormat="false" applyProtection="false" borderId="71" fillId="177" fontId="5" numFmtId="0" xfId="0">
      <alignment horizontal="center" vertical="center" wrapText="true"/>
    </xf>
    <xf applyAlignment="true" applyBorder="false" applyFill="true" applyFont="true" applyNumberFormat="true" applyProtection="false" borderId="71" fillId="179" fontId="4" numFmtId="181" xfId="0">
      <alignment horizontal="center" vertical="center"/>
    </xf>
    <xf applyAlignment="true" applyBorder="false" applyFill="true" applyFont="true" applyNumberFormat="true" applyProtection="false" borderId="71" fillId="179" fontId="4" numFmtId="181" xfId="0">
      <alignment horizontal="center" vertical="center"/>
    </xf>
    <xf applyAlignment="true" applyBorder="false" applyFill="true" applyFont="true" applyNumberFormat="false" applyProtection="false" borderId="71" fillId="179" fontId="5" numFmtId="0" xfId="0">
      <alignment horizontal="center" vertical="center"/>
    </xf>
    <xf applyAlignment="true" applyBorder="false" applyFill="true" applyFont="true" applyNumberFormat="false" applyProtection="false" borderId="71" fillId="179" fontId="5" numFmtId="0" xfId="0">
      <alignment horizontal="center" vertical="center"/>
    </xf>
    <xf applyAlignment="true" applyBorder="false" applyFill="true" applyFont="true" applyNumberFormat="false" applyProtection="false" borderId="71" fillId="179" fontId="5" numFmtId="0" xfId="0">
      <alignment horizontal="center" vertical="center" wrapText="true"/>
    </xf>
    <xf applyAlignment="true" applyBorder="false" applyFill="true" applyFont="true" applyNumberFormat="false" applyProtection="false" borderId="70" fillId="179" fontId="5" numFmtId="0" xfId="0">
      <alignment horizontal="center" vertical="center"/>
    </xf>
    <xf applyAlignment="true" applyBorder="false" applyFill="true" applyFont="true" applyNumberFormat="false" applyProtection="false" borderId="72" fillId="179" fontId="5" numFmtId="0" xfId="0">
      <alignment horizontal="center" vertical="center"/>
    </xf>
    <xf applyAlignment="true" applyBorder="false" applyFill="true" applyFont="true" applyNumberFormat="false" applyProtection="false" borderId="68" fillId="177" fontId="5" numFmtId="0" xfId="0">
      <alignment horizontal="center" vertical="center"/>
    </xf>
    <xf applyAlignment="true" applyBorder="false" applyFill="true" applyFont="true" applyNumberFormat="true" applyProtection="false" borderId="71" fillId="180" fontId="4" numFmtId="181" xfId="0">
      <alignment horizontal="center" vertical="center"/>
    </xf>
    <xf applyAlignment="true" applyBorder="false" applyFill="true" applyFont="true" applyNumberFormat="false" applyProtection="false" borderId="71" fillId="180" fontId="5" numFmtId="0" xfId="0">
      <alignment horizontal="center" vertical="center"/>
    </xf>
    <xf applyAlignment="true" applyBorder="false" applyFill="true" applyFont="true" applyNumberFormat="false" applyProtection="false" borderId="71" fillId="180" fontId="5" numFmtId="0" xfId="0">
      <alignment horizontal="center" vertical="center"/>
    </xf>
    <xf applyAlignment="true" applyBorder="false" applyFill="true" applyFont="true" applyNumberFormat="false" applyProtection="false" borderId="71" fillId="180" fontId="5" numFmtId="0" xfId="0">
      <alignment horizontal="center" vertical="center" wrapText="true"/>
    </xf>
    <xf applyAlignment="true" applyBorder="false" applyFill="true" applyFont="true" applyNumberFormat="false" applyProtection="false" borderId="70" fillId="180" fontId="5" numFmtId="0" xfId="0">
      <alignment horizontal="center" vertical="center"/>
    </xf>
    <xf applyAlignment="true" applyBorder="false" applyFill="true" applyFont="true" applyNumberFormat="false" applyProtection="false" borderId="72" fillId="180" fontId="5" numFmtId="0" xfId="0">
      <alignment horizontal="center" vertical="center"/>
    </xf>
    <xf applyAlignment="true" applyBorder="false" applyFill="true" applyFont="true" applyNumberFormat="true" applyProtection="false" borderId="71" fillId="180" fontId="4" numFmtId="181" xfId="0">
      <alignment horizontal="center" vertical="center"/>
    </xf>
    <xf applyAlignment="true" applyBorder="false" applyFill="true" applyFont="true" applyNumberFormat="false" applyProtection="false" borderId="71" fillId="180" fontId="5" numFmtId="0" xfId="0">
      <alignment horizontal="center" vertical="center" wrapText="true"/>
    </xf>
    <xf applyAlignment="true" applyBorder="false" applyFill="true" applyFont="true" applyNumberFormat="false" applyProtection="false" borderId="0" fillId="174" fontId="6" numFmtId="0" xfId="0">
      <alignment vertical="center"/>
    </xf>
    <xf applyAlignment="true" applyBorder="false" applyFill="true" applyFont="true" applyNumberFormat="false" applyProtection="false" borderId="71" fillId="179" fontId="5" numFmtId="0" xfId="0">
      <alignment horizontal="center" vertical="center" wrapText="true"/>
    </xf>
    <xf applyAlignment="true" applyBorder="false" applyFill="true" applyFont="true" applyNumberFormat="false" applyProtection="false" borderId="72" fillId="180" fontId="5" numFmtId="0" xfId="0">
      <alignment horizontal="center" vertical="center"/>
    </xf>
    <xf applyAlignment="true" applyBorder="false" applyFill="true" applyFont="true" applyNumberFormat="true" applyProtection="false" borderId="71" fillId="181" fontId="4" numFmtId="181" xfId="0">
      <alignment horizontal="center" vertical="center"/>
    </xf>
    <xf applyAlignment="true" applyBorder="false" applyFill="true" applyFont="true" applyNumberFormat="false" applyProtection="false" borderId="71" fillId="181" fontId="5" numFmtId="0" xfId="0">
      <alignment horizontal="center" vertical="center"/>
    </xf>
    <xf applyAlignment="true" applyBorder="false" applyFill="true" applyFont="true" applyNumberFormat="false" applyProtection="false" borderId="71" fillId="181" fontId="5" numFmtId="0" xfId="0">
      <alignment horizontal="center" vertical="center"/>
    </xf>
    <xf applyAlignment="true" applyBorder="false" applyFill="true" applyFont="true" applyNumberFormat="false" applyProtection="false" borderId="70" fillId="182" fontId="9" numFmtId="0" xfId="0">
      <alignment horizontal="center" vertical="center"/>
    </xf>
    <xf applyAlignment="true" applyBorder="false" applyFill="true" applyFont="true" applyNumberFormat="true" applyProtection="false" borderId="70" fillId="182" fontId="3" numFmtId="180" xfId="0">
      <alignment horizontal="center" vertical="center" wrapText="true"/>
    </xf>
    <xf applyAlignment="true" applyBorder="false" applyFill="true" applyFont="true" applyNumberFormat="true" applyProtection="false" borderId="75" fillId="182" fontId="3" numFmtId="180" xfId="0">
      <alignment horizontal="center" vertical="center" wrapText="true"/>
    </xf>
    <xf applyAlignment="true" applyBorder="false" applyFill="true" applyFont="true" applyNumberFormat="false" applyProtection="false" borderId="70" fillId="182" fontId="7" numFmtId="0" xfId="0">
      <alignment horizontal="center" vertical="center"/>
    </xf>
    <xf applyAlignment="true" applyBorder="false" applyFill="true" applyFont="true" applyNumberFormat="true" applyProtection="false" borderId="70" fillId="182" fontId="7" numFmtId="181" xfId="0">
      <alignment horizontal="center" vertical="center"/>
    </xf>
    <xf applyAlignment="true" applyBorder="false" applyFill="true" applyFont="true" applyNumberFormat="false" applyProtection="false" borderId="70" fillId="182" fontId="7" numFmtId="0" xfId="0">
      <alignment horizontal="center" vertical="center" wrapText="true"/>
    </xf>
    <xf applyAlignment="true" applyBorder="false" applyFill="true" applyFont="true" applyNumberFormat="false" applyProtection="false" borderId="75" fillId="182" fontId="7" numFmtId="0" xfId="0">
      <alignment horizontal="center" vertical="center"/>
    </xf>
    <xf applyAlignment="true" applyBorder="false" applyFill="true" applyFont="true" applyNumberFormat="true" applyProtection="false" borderId="70" fillId="174" fontId="4" numFmtId="181" xfId="0">
      <alignment horizontal="center" vertical="center"/>
    </xf>
    <xf applyAlignment="true" applyBorder="false" applyFill="true" applyFont="true" applyNumberFormat="true" applyProtection="false" borderId="70" fillId="174" fontId="4" numFmtId="181" xfId="0">
      <alignment horizontal="center" vertical="center"/>
    </xf>
    <xf applyAlignment="true" applyBorder="false" applyFill="true" applyFont="true" applyNumberFormat="true" applyProtection="false" borderId="70" fillId="174" fontId="5" numFmtId="183" xfId="0">
      <alignment horizontal="center" vertical="center"/>
    </xf>
    <xf applyAlignment="true" applyBorder="false" applyFill="true" applyFont="true" applyNumberFormat="false" applyProtection="false" borderId="70" fillId="174" fontId="5" numFmtId="0" xfId="0">
      <alignment horizontal="center" vertical="center" wrapText="true"/>
    </xf>
    <xf applyAlignment="true" applyBorder="false" applyFill="true" applyFont="true" applyNumberFormat="false" applyProtection="false" borderId="75" fillId="174" fontId="5" numFmtId="0" xfId="0">
      <alignment horizontal="center" vertical="center"/>
    </xf>
    <xf applyAlignment="true" applyBorder="false" applyFill="true" applyFont="true" applyNumberFormat="false" applyProtection="false" borderId="0" fillId="174" fontId="5" numFmtId="0" xfId="0">
      <alignment horizontal="center" vertical="center"/>
    </xf>
    <xf applyAlignment="true" applyBorder="false" applyFill="true" applyFont="true" applyNumberFormat="false" applyProtection="false" borderId="70" fillId="183" fontId="9" numFmtId="0" xfId="0">
      <alignment horizontal="center" vertical="center"/>
    </xf>
    <xf applyAlignment="true" applyBorder="false" applyFill="true" applyFont="true" applyNumberFormat="true" applyProtection="false" borderId="70" fillId="183" fontId="3" numFmtId="180" xfId="0">
      <alignment horizontal="center" vertical="center" wrapText="true"/>
    </xf>
    <xf applyAlignment="true" applyBorder="false" applyFill="true" applyFont="true" applyNumberFormat="true" applyProtection="false" borderId="75" fillId="183" fontId="3" numFmtId="180" xfId="0">
      <alignment horizontal="center" vertical="center" wrapText="true"/>
    </xf>
    <xf applyAlignment="true" applyBorder="false" applyFill="true" applyFont="true" applyNumberFormat="false" applyProtection="false" borderId="70" fillId="183" fontId="7" numFmtId="0" xfId="0">
      <alignment horizontal="center" vertical="center"/>
    </xf>
    <xf applyAlignment="true" applyBorder="false" applyFill="true" applyFont="true" applyNumberFormat="true" applyProtection="false" borderId="70" fillId="183" fontId="7" numFmtId="181" xfId="0">
      <alignment horizontal="center" vertical="center"/>
    </xf>
    <xf applyAlignment="true" applyBorder="false" applyFill="true" applyFont="true" applyNumberFormat="false" applyProtection="false" borderId="70" fillId="183" fontId="7" numFmtId="0" xfId="0">
      <alignment horizontal="center" vertical="center" wrapText="true"/>
    </xf>
    <xf applyAlignment="true" applyBorder="false" applyFill="true" applyFont="true" applyNumberFormat="false" applyProtection="false" borderId="75" fillId="183" fontId="7" numFmtId="0" xfId="0">
      <alignment horizontal="center" vertical="center"/>
    </xf>
    <xf applyAlignment="true" applyBorder="false" applyFill="true" applyFont="true" applyNumberFormat="true" applyProtection="false" borderId="70" fillId="177" fontId="5" numFmtId="183" xfId="0">
      <alignment horizontal="center" vertical="center"/>
    </xf>
    <xf applyAlignment="true" applyBorder="false" applyFill="true" applyFont="true" applyNumberFormat="false" applyProtection="false" borderId="70" fillId="177" fontId="5" numFmtId="0" xfId="0">
      <alignment horizontal="center" vertical="center"/>
    </xf>
    <xf applyAlignment="true" applyBorder="false" applyFill="true" applyFont="true" applyNumberFormat="false" applyProtection="false" borderId="75" fillId="177" fontId="5" numFmtId="0" xfId="0">
      <alignment horizontal="center" vertical="center"/>
    </xf>
    <xf applyAlignment="true" applyBorder="false" applyFill="true" applyFont="true" applyNumberFormat="true" applyProtection="false" borderId="70" fillId="173" fontId="5" numFmtId="183" xfId="0">
      <alignment horizontal="center" vertical="center"/>
    </xf>
    <xf applyAlignment="true" applyBorder="false" applyFill="true" applyFont="true" applyNumberFormat="false" applyProtection="false" borderId="71" fillId="174" fontId="5" numFmtId="0" xfId="0">
      <alignment horizontal="center" vertical="center"/>
    </xf>
    <xf applyAlignment="true" applyBorder="false" applyFill="true" applyFont="true" applyNumberFormat="false" applyProtection="false" borderId="70" fillId="184" fontId="9" numFmtId="0" xfId="0">
      <alignment horizontal="center" vertical="center"/>
    </xf>
    <xf applyAlignment="true" applyBorder="false" applyFill="true" applyFont="true" applyNumberFormat="true" applyProtection="false" borderId="70" fillId="184" fontId="3" numFmtId="180" xfId="0">
      <alignment horizontal="center" vertical="center" wrapText="true"/>
    </xf>
    <xf applyAlignment="true" applyBorder="false" applyFill="true" applyFont="true" applyNumberFormat="true" applyProtection="false" borderId="75" fillId="184" fontId="3" numFmtId="180" xfId="0">
      <alignment horizontal="center" vertical="center" wrapText="true"/>
    </xf>
    <xf applyAlignment="true" applyBorder="false" applyFill="true" applyFont="true" applyNumberFormat="false" applyProtection="false" borderId="70" fillId="184" fontId="7" numFmtId="0" xfId="0">
      <alignment horizontal="center" vertical="center"/>
    </xf>
    <xf applyAlignment="true" applyBorder="false" applyFill="true" applyFont="true" applyNumberFormat="true" applyProtection="false" borderId="70" fillId="184" fontId="7" numFmtId="181" xfId="0">
      <alignment horizontal="center" vertical="center"/>
    </xf>
    <xf applyAlignment="true" applyBorder="false" applyFill="true" applyFont="true" applyNumberFormat="false" applyProtection="false" borderId="70" fillId="184" fontId="7" numFmtId="0" xfId="0">
      <alignment horizontal="center" vertical="center" wrapText="true"/>
    </xf>
    <xf applyAlignment="true" applyBorder="false" applyFill="true" applyFont="true" applyNumberFormat="false" applyProtection="false" borderId="77" fillId="184" fontId="7" numFmtId="0" xfId="0">
      <alignment horizontal="center" vertical="center"/>
    </xf>
    <xf applyAlignment="true" applyBorder="false" applyFill="true" applyFont="true" applyNumberFormat="false" applyProtection="false" borderId="0" fillId="174" fontId="7" numFmtId="0" xfId="0">
      <alignment horizontal="center" vertical="center"/>
    </xf>
    <xf applyAlignment="true" applyBorder="false" applyFill="true" applyFont="true" applyNumberFormat="true" applyProtection="false" borderId="70" fillId="179" fontId="4" numFmtId="181" xfId="0">
      <alignment horizontal="center" vertical="center"/>
    </xf>
    <xf applyAlignment="true" applyBorder="false" applyFill="true" applyFont="true" applyNumberFormat="true" applyProtection="false" borderId="70" fillId="179" fontId="4" numFmtId="181" xfId="0">
      <alignment horizontal="center" vertical="center"/>
    </xf>
    <xf applyAlignment="true" applyBorder="false" applyFill="true" applyFont="true" applyNumberFormat="true" applyProtection="false" borderId="70" fillId="179" fontId="5" numFmtId="183" xfId="0">
      <alignment horizontal="center" vertical="center"/>
    </xf>
    <xf applyAlignment="true" applyBorder="false" applyFill="true" applyFont="true" applyNumberFormat="false" applyProtection="false" borderId="70" fillId="179" fontId="5" numFmtId="0" xfId="0">
      <alignment horizontal="center" vertical="center" wrapText="true"/>
    </xf>
    <xf applyAlignment="true" applyBorder="false" applyFill="true" applyFont="true" applyNumberFormat="false" applyProtection="false" borderId="70" fillId="185" fontId="9" numFmtId="0" xfId="0">
      <alignment horizontal="center" vertical="center"/>
    </xf>
    <xf applyAlignment="true" applyBorder="false" applyFill="true" applyFont="true" applyNumberFormat="true" applyProtection="false" borderId="70" fillId="185" fontId="3" numFmtId="180" xfId="0">
      <alignment horizontal="center" vertical="center" wrapText="true"/>
    </xf>
    <xf applyAlignment="true" applyBorder="false" applyFill="true" applyFont="true" applyNumberFormat="true" applyProtection="false" borderId="75" fillId="185" fontId="3" numFmtId="180" xfId="0">
      <alignment horizontal="center" vertical="center" wrapText="true"/>
    </xf>
    <xf applyAlignment="true" applyBorder="false" applyFill="true" applyFont="true" applyNumberFormat="false" applyProtection="false" borderId="70" fillId="185" fontId="7" numFmtId="0" xfId="0">
      <alignment horizontal="center" vertical="center"/>
    </xf>
    <xf applyAlignment="true" applyBorder="false" applyFill="true" applyFont="true" applyNumberFormat="true" applyProtection="false" borderId="70" fillId="185" fontId="7" numFmtId="181" xfId="0">
      <alignment horizontal="center" vertical="center"/>
    </xf>
    <xf applyAlignment="true" applyBorder="false" applyFill="true" applyFont="true" applyNumberFormat="false" applyProtection="false" borderId="70" fillId="185" fontId="7" numFmtId="0" xfId="0">
      <alignment horizontal="center" vertical="center" wrapText="true"/>
    </xf>
    <xf applyAlignment="true" applyBorder="false" applyFill="true" applyFont="true" applyNumberFormat="false" applyProtection="false" borderId="75" fillId="185" fontId="7" numFmtId="0" xfId="0">
      <alignment horizontal="center" vertical="center"/>
    </xf>
    <xf applyAlignment="true" applyBorder="false" applyFill="true" applyFont="true" applyNumberFormat="true" applyProtection="false" borderId="71" fillId="186" fontId="3" numFmtId="180" xfId="0">
      <alignment horizontal="center" vertical="center" wrapText="true"/>
    </xf>
    <xf applyAlignment="true" applyBorder="false" applyFill="true" applyFont="true" applyNumberFormat="true" applyProtection="false" borderId="71" fillId="186" fontId="3" numFmtId="180" xfId="0">
      <alignment horizontal="center" vertical="center" wrapText="true"/>
    </xf>
    <xf applyAlignment="true" applyBorder="false" applyFill="true" applyFont="true" applyNumberFormat="true" applyProtection="false" borderId="71" fillId="186" fontId="10" numFmtId="180" xfId="0">
      <alignment horizontal="center" vertical="center" wrapText="true"/>
    </xf>
    <xf applyAlignment="true" applyBorder="false" applyFill="true" applyFont="true" applyNumberFormat="true" applyProtection="false" borderId="72" fillId="186" fontId="10" numFmtId="180" xfId="0">
      <alignment horizontal="center" vertical="center" wrapText="true"/>
    </xf>
    <xf applyAlignment="true" applyBorder="false" applyFill="true" applyFont="true" applyNumberFormat="true" applyProtection="false" borderId="0" fillId="174" fontId="10" numFmtId="180" xfId="0">
      <alignment horizontal="center" vertical="center" wrapText="true"/>
    </xf>
    <xf applyAlignment="true" applyBorder="false" applyFill="true" applyFont="true" applyNumberFormat="true" applyProtection="false" borderId="68" fillId="186" fontId="7" numFmtId="180" xfId="0">
      <alignment horizontal="center" vertical="center" wrapText="true"/>
    </xf>
    <xf applyAlignment="true" applyBorder="false" applyFill="true" applyFont="true" applyNumberFormat="true" applyProtection="false" borderId="68" fillId="186" fontId="7" numFmtId="181" xfId="0">
      <alignment horizontal="center" vertical="center"/>
    </xf>
    <xf applyAlignment="true" applyBorder="false" applyFill="true" applyFont="true" applyNumberFormat="false" applyProtection="false" borderId="68" fillId="186" fontId="7" numFmtId="0" xfId="0">
      <alignment horizontal="center" vertical="center"/>
    </xf>
    <xf applyAlignment="true" applyBorder="false" applyFill="true" applyFont="true" applyNumberFormat="false" applyProtection="false" borderId="68" fillId="186" fontId="7" numFmtId="0" xfId="0">
      <alignment horizontal="center" vertical="center" wrapText="true"/>
    </xf>
    <xf applyAlignment="true" applyBorder="false" applyFill="true" applyFont="true" applyNumberFormat="false" applyProtection="false" borderId="69" fillId="186" fontId="7" numFmtId="0" xfId="0">
      <alignment horizontal="center" vertical="center"/>
    </xf>
    <xf applyAlignment="true" applyBorder="false" applyFill="false" applyFont="true" applyNumberFormat="true" applyProtection="false" borderId="71" fillId="0" fontId="5" numFmtId="181" xfId="0">
      <alignment horizontal="center" vertical="center"/>
    </xf>
    <xf applyAlignment="true" applyBorder="false" applyFill="false" applyFont="true" applyNumberFormat="false" applyProtection="false" borderId="71" fillId="0" fontId="8" numFmtId="0" xfId="0">
      <alignment horizontal="center" vertical="center" wrapText="true"/>
    </xf>
    <xf applyAlignment="true" applyBorder="false" applyFill="false" applyFont="true" applyNumberFormat="false" applyProtection="false" borderId="72" fillId="0" fontId="8" numFmtId="0" xfId="0">
      <alignment vertical="center"/>
    </xf>
    <xf applyAlignment="true" applyBorder="false" applyFill="true" applyFont="true" applyNumberFormat="false" applyProtection="false" borderId="0" fillId="177" fontId="8" numFmtId="0" xfId="0">
      <alignment vertical="center"/>
    </xf>
    <xf applyAlignment="true" applyBorder="false" applyFill="false" applyFont="true" applyNumberFormat="false" applyProtection="false" borderId="71" fillId="0" fontId="8" numFmtId="0" xfId="0">
      <alignment horizontal="center" vertical="center" wrapText="true"/>
    </xf>
    <xf applyAlignment="true" applyBorder="false" applyFill="true" applyFont="true" applyNumberFormat="false" applyProtection="false" borderId="0" fillId="174" fontId="8" numFmtId="0" xfId="0">
      <alignment vertical="center"/>
    </xf>
    <xf applyAlignment="true" applyBorder="false" applyFill="true" applyFont="true" applyNumberFormat="true" applyProtection="false" borderId="71" fillId="177" fontId="5" numFmtId="181" xfId="0">
      <alignment horizontal="center" vertical="center"/>
    </xf>
    <xf applyAlignment="true" applyBorder="false" applyFill="true" applyFont="true" applyNumberFormat="false" applyProtection="false" borderId="71" fillId="177" fontId="8" numFmtId="0" xfId="0">
      <alignment horizontal="center" vertical="center" wrapText="true"/>
    </xf>
    <xf applyAlignment="true" applyBorder="false" applyFill="true" applyFont="true" applyNumberFormat="false" applyProtection="false" borderId="72" fillId="177" fontId="8" numFmtId="0" xfId="0">
      <alignment vertical="center"/>
    </xf>
    <xf applyAlignment="true" applyBorder="false" applyFill="false" applyFont="true" applyNumberFormat="false" applyProtection="false" borderId="71" fillId="0" fontId="5" numFmtId="0" xfId="0">
      <alignment horizontal="center" vertical="center"/>
    </xf>
    <xf applyAlignment="true" applyBorder="false" applyFill="true" applyFont="true" applyNumberFormat="true" applyProtection="false" borderId="68" fillId="181" fontId="3" numFmtId="180" xfId="0">
      <alignment horizontal="center" vertical="center" wrapText="true"/>
    </xf>
    <xf applyAlignment="true" applyBorder="false" applyFill="true" applyFont="true" applyNumberFormat="true" applyProtection="false" borderId="69" fillId="181" fontId="3" numFmtId="180" xfId="0">
      <alignment horizontal="center" vertical="center" wrapText="true"/>
    </xf>
    <xf applyAlignment="true" applyBorder="false" applyFill="true" applyFont="true" applyNumberFormat="true" applyProtection="false" borderId="69" fillId="181" fontId="7" numFmtId="180" xfId="0">
      <alignment horizontal="center" vertical="center" wrapText="true"/>
    </xf>
    <xf applyAlignment="true" applyBorder="false" applyFill="true" applyFont="true" applyNumberFormat="true" applyProtection="false" borderId="71" fillId="181" fontId="7" numFmtId="181" xfId="0">
      <alignment horizontal="center" vertical="center"/>
    </xf>
    <xf applyAlignment="true" applyBorder="false" applyFill="true" applyFont="true" applyNumberFormat="false" applyProtection="false" borderId="78" fillId="181" fontId="7" numFmtId="0" xfId="0">
      <alignment horizontal="center" vertical="center"/>
    </xf>
    <xf applyAlignment="true" applyBorder="false" applyFill="true" applyFont="true" applyNumberFormat="false" applyProtection="false" borderId="68" fillId="181" fontId="7" numFmtId="0" xfId="0">
      <alignment horizontal="center" vertical="center"/>
    </xf>
    <xf applyAlignment="true" applyBorder="false" applyFill="true" applyFont="true" applyNumberFormat="false" applyProtection="false" borderId="68" fillId="181" fontId="7" numFmtId="0" xfId="0">
      <alignment horizontal="center" vertical="center" wrapText="true"/>
    </xf>
    <xf applyAlignment="true" applyBorder="false" applyFill="true" applyFont="true" applyNumberFormat="false" applyProtection="false" borderId="69" fillId="181" fontId="7" numFmtId="0" xfId="0">
      <alignment horizontal="center" vertical="center"/>
    </xf>
    <xf applyAlignment="true" applyBorder="false" applyFill="true" applyFont="true" applyNumberFormat="false" applyProtection="false" borderId="72" fillId="181" fontId="7" numFmtId="0" xfId="0">
      <alignment horizontal="center" vertical="center"/>
    </xf>
    <xf applyAlignment="true" applyBorder="false" applyFill="true" applyFont="true" applyNumberFormat="true" applyProtection="false" borderId="71" fillId="179" fontId="7" numFmtId="181" xfId="0">
      <alignment horizontal="center" vertical="center"/>
    </xf>
    <xf applyAlignment="true" applyBorder="false" applyFill="true" applyFont="true" applyNumberFormat="false" applyProtection="false" borderId="79" fillId="179" fontId="5" numFmtId="0" xfId="0">
      <alignment horizontal="center" vertical="center"/>
    </xf>
    <xf applyAlignment="true" applyBorder="false" applyFill="true" applyFont="true" applyNumberFormat="false" applyProtection="false" borderId="0" fillId="179" fontId="5" numFmtId="0" xfId="0">
      <alignment horizontal="center" vertical="center"/>
    </xf>
    <xf applyAlignment="true" applyBorder="false" applyFill="true" applyFont="true" applyNumberFormat="false" applyProtection="false" borderId="0" fillId="179" fontId="8" numFmtId="0" xfId="0">
      <alignment vertical="center"/>
    </xf>
    <xf applyAlignment="true" applyBorder="false" applyFill="true" applyFont="true" applyNumberFormat="true" applyProtection="false" borderId="71" fillId="174" fontId="4" numFmtId="181" xfId="0">
      <alignment horizontal="center" vertical="center"/>
    </xf>
    <xf applyAlignment="true" applyBorder="false" applyFill="true" applyFont="true" applyNumberFormat="false" applyProtection="false" borderId="71" fillId="174" fontId="5" numFmtId="0" xfId="0">
      <alignment horizontal="center" vertical="center"/>
    </xf>
    <xf applyAlignment="true" applyBorder="false" applyFill="false" applyFont="true" applyNumberFormat="false" applyProtection="false" borderId="71" fillId="0" fontId="5" numFmtId="0" xfId="0">
      <alignment horizontal="center" vertical="center" wrapText="true"/>
    </xf>
    <xf applyAlignment="true" applyBorder="false" applyFill="false" applyFont="true" applyNumberFormat="false" applyProtection="false" borderId="79" fillId="0" fontId="5" numFmtId="0" xfId="0">
      <alignment horizontal="center" vertical="center"/>
    </xf>
    <xf applyAlignment="true" applyBorder="false" applyFill="true" applyFont="true" applyNumberFormat="true" applyProtection="false" borderId="71" fillId="179" fontId="15" numFmtId="182" xfId="0">
      <alignment horizontal="center" vertical="center"/>
    </xf>
    <xf applyAlignment="true" applyBorder="false" applyFill="true" applyFont="true" applyNumberFormat="false" applyProtection="false" borderId="0" fillId="179" fontId="6" numFmtId="0" xfId="0">
      <alignment vertical="center"/>
    </xf>
    <xf applyAlignment="true" applyBorder="false" applyFill="false" applyFont="true" applyNumberFormat="false" applyProtection="false" borderId="71" fillId="0" fontId="5" numFmtId="0" xfId="0">
      <alignment horizontal="center" vertical="center" wrapText="true"/>
    </xf>
    <xf applyAlignment="true" applyBorder="false" applyFill="false" applyFont="true" applyNumberFormat="false" applyProtection="false" borderId="79" fillId="0" fontId="5" numFmtId="0" xfId="0">
      <alignment horizontal="center" vertical="center"/>
    </xf>
    <xf applyAlignment="true" applyBorder="false" applyFill="true" applyFont="true" applyNumberFormat="true" applyProtection="false" borderId="68" fillId="187" fontId="3" numFmtId="180" xfId="0">
      <alignment horizontal="center" vertical="center" wrapText="true"/>
    </xf>
    <xf applyAlignment="true" applyBorder="false" applyFill="true" applyFont="true" applyNumberFormat="true" applyProtection="false" borderId="69" fillId="187" fontId="3" numFmtId="180" xfId="0">
      <alignment horizontal="center" vertical="center" wrapText="true"/>
    </xf>
    <xf applyAlignment="true" applyBorder="false" applyFill="true" applyFont="true" applyNumberFormat="true" applyProtection="false" borderId="69" fillId="187" fontId="7" numFmtId="180" xfId="0">
      <alignment horizontal="center" vertical="center" wrapText="true"/>
    </xf>
    <xf applyAlignment="true" applyBorder="false" applyFill="true" applyFont="true" applyNumberFormat="true" applyProtection="false" borderId="71" fillId="187" fontId="7" numFmtId="181" xfId="0">
      <alignment horizontal="center" vertical="center"/>
    </xf>
    <xf applyAlignment="true" applyBorder="false" applyFill="true" applyFont="true" applyNumberFormat="false" applyProtection="false" borderId="78" fillId="187" fontId="7" numFmtId="0" xfId="0">
      <alignment horizontal="center" vertical="center"/>
    </xf>
    <xf applyAlignment="true" applyBorder="false" applyFill="true" applyFont="true" applyNumberFormat="false" applyProtection="false" borderId="68" fillId="187" fontId="7" numFmtId="0" xfId="0">
      <alignment horizontal="center" vertical="center"/>
    </xf>
    <xf applyAlignment="true" applyBorder="false" applyFill="true" applyFont="true" applyNumberFormat="false" applyProtection="false" borderId="68" fillId="187" fontId="7" numFmtId="0" xfId="0">
      <alignment horizontal="center" vertical="center" wrapText="true"/>
    </xf>
    <xf applyAlignment="true" applyBorder="false" applyFill="true" applyFont="true" applyNumberFormat="false" applyProtection="false" borderId="69" fillId="187" fontId="7" numFmtId="0" xfId="0">
      <alignment horizontal="center" vertical="center"/>
    </xf>
    <xf applyAlignment="true" applyBorder="false" applyFill="true" applyFont="true" applyNumberFormat="false" applyProtection="false" borderId="72" fillId="187" fontId="7" numFmtId="0" xfId="0">
      <alignment horizontal="center" vertical="center"/>
    </xf>
    <xf applyAlignment="true" applyBorder="false" applyFill="true" applyFont="true" applyNumberFormat="true" applyProtection="false" borderId="71" fillId="177" fontId="4" numFmtId="181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true" applyProtection="false" borderId="68" fillId="174" fontId="3" numFmtId="180" xfId="0">
      <alignment horizontal="center" vertical="center" wrapText="true"/>
    </xf>
    <xf applyAlignment="true" applyBorder="false" applyFill="true" applyFont="true" applyNumberFormat="true" applyProtection="false" borderId="69" fillId="174" fontId="3" numFmtId="180" xfId="0">
      <alignment horizontal="center" vertical="center" wrapText="true"/>
    </xf>
    <xf applyAlignment="true" applyBorder="false" applyFill="true" applyFont="true" applyNumberFormat="true" applyProtection="false" borderId="68" fillId="188" fontId="3" numFmtId="180" xfId="0">
      <alignment horizontal="center" vertical="center" wrapText="true"/>
    </xf>
    <xf applyAlignment="true" applyBorder="false" applyFill="true" applyFont="true" applyNumberFormat="true" applyProtection="false" borderId="69" fillId="188" fontId="3" numFmtId="180" xfId="0">
      <alignment horizontal="center" vertical="center" wrapText="true"/>
    </xf>
    <xf applyAlignment="true" applyBorder="false" applyFill="true" applyFont="true" applyNumberFormat="true" applyProtection="false" borderId="69" fillId="188" fontId="7" numFmtId="180" xfId="0">
      <alignment horizontal="center" vertical="center" wrapText="true"/>
    </xf>
    <xf applyAlignment="true" applyBorder="false" applyFill="true" applyFont="true" applyNumberFormat="true" applyProtection="false" borderId="71" fillId="188" fontId="7" numFmtId="181" xfId="0">
      <alignment horizontal="center" vertical="center"/>
    </xf>
    <xf applyAlignment="true" applyBorder="false" applyFill="true" applyFont="true" applyNumberFormat="false" applyProtection="false" borderId="78" fillId="188" fontId="7" numFmtId="0" xfId="0">
      <alignment horizontal="center" vertical="center"/>
    </xf>
    <xf applyAlignment="true" applyBorder="false" applyFill="true" applyFont="true" applyNumberFormat="false" applyProtection="false" borderId="68" fillId="188" fontId="7" numFmtId="0" xfId="0">
      <alignment horizontal="center" vertical="center"/>
    </xf>
    <xf applyAlignment="true" applyBorder="false" applyFill="true" applyFont="true" applyNumberFormat="false" applyProtection="false" borderId="68" fillId="188" fontId="7" numFmtId="0" xfId="0">
      <alignment horizontal="center" vertical="center" wrapText="true"/>
    </xf>
    <xf applyAlignment="true" applyBorder="false" applyFill="true" applyFont="true" applyNumberFormat="false" applyProtection="false" borderId="69" fillId="188" fontId="7" numFmtId="0" xfId="0">
      <alignment horizontal="center" vertical="center"/>
    </xf>
    <xf applyAlignment="true" applyBorder="false" applyFill="true" applyFont="true" applyNumberFormat="false" applyProtection="false" borderId="72" fillId="188" fontId="7" numFmtId="0" xfId="0">
      <alignment horizontal="center" vertical="center"/>
    </xf>
    <xf applyAlignment="true" applyBorder="false" applyFill="true" applyFont="true" applyNumberFormat="true" applyProtection="false" borderId="71" fillId="174" fontId="4" numFmtId="181" xfId="0">
      <alignment horizontal="center" vertical="center"/>
    </xf>
    <xf applyAlignment="true" applyBorder="false" applyFill="true" applyFont="true" applyNumberFormat="true" applyProtection="false" borderId="80" fillId="174" fontId="5" numFmtId="182" xfId="0">
      <alignment horizontal="center" vertical="center"/>
    </xf>
    <xf applyAlignment="true" applyBorder="false" applyFill="true" applyFont="true" applyNumberFormat="false" applyProtection="false" borderId="71" fillId="174" fontId="5" numFmtId="0" xfId="0">
      <alignment horizontal="center" vertical="center" wrapText="true"/>
    </xf>
    <xf applyAlignment="true" applyBorder="false" applyFill="true" applyFont="true" applyNumberFormat="false" applyProtection="false" borderId="79" fillId="174" fontId="5" numFmtId="0" xfId="0">
      <alignment horizontal="center" vertical="center"/>
    </xf>
    <xf applyAlignment="true" applyBorder="false" applyFill="true" applyFont="true" applyNumberFormat="true" applyProtection="false" borderId="71" fillId="177" fontId="5" numFmtId="182" xfId="0">
      <alignment horizontal="center" vertical="center"/>
    </xf>
    <xf applyAlignment="true" applyBorder="false" applyFill="true" applyFont="true" applyNumberFormat="true" applyProtection="false" borderId="80" fillId="179" fontId="5" numFmtId="182" xfId="0">
      <alignment horizontal="center" vertical="center"/>
    </xf>
    <xf applyAlignment="true" applyBorder="false" applyFill="true" applyFont="true" applyNumberFormat="true" applyProtection="false" borderId="71" fillId="179" fontId="5" numFmtId="182" xfId="0">
      <alignment horizontal="center" vertical="center"/>
    </xf>
    <xf applyAlignment="true" applyBorder="false" applyFill="true" applyFont="true" applyNumberFormat="false" applyProtection="false" borderId="71" fillId="174" fontId="5" numFmtId="0" xfId="0">
      <alignment horizontal="center" vertical="center"/>
    </xf>
    <xf applyAlignment="true" applyBorder="false" applyFill="true" applyFont="true" applyNumberFormat="true" applyProtection="false" borderId="68" fillId="189" fontId="3" numFmtId="180" xfId="0">
      <alignment horizontal="center" vertical="center" wrapText="true"/>
    </xf>
    <xf applyAlignment="true" applyBorder="false" applyFill="true" applyFont="true" applyNumberFormat="true" applyProtection="false" borderId="81" fillId="189" fontId="3" numFmtId="180" xfId="0">
      <alignment horizontal="center" vertical="center" wrapText="true"/>
    </xf>
    <xf applyAlignment="true" applyBorder="false" applyFill="true" applyFont="true" applyNumberFormat="true" applyProtection="false" borderId="69" fillId="189" fontId="3" numFmtId="180" xfId="0">
      <alignment horizontal="center" vertical="center" wrapText="true"/>
    </xf>
    <xf applyAlignment="true" applyBorder="false" applyFill="true" applyFont="true" applyNumberFormat="true" applyProtection="false" borderId="69" fillId="189" fontId="7" numFmtId="180" xfId="0">
      <alignment horizontal="center" vertical="center" wrapText="true"/>
    </xf>
    <xf applyAlignment="true" applyBorder="false" applyFill="true" applyFont="true" applyNumberFormat="true" applyProtection="false" borderId="71" fillId="189" fontId="7" numFmtId="181" xfId="0">
      <alignment horizontal="center" vertical="center"/>
    </xf>
    <xf applyAlignment="true" applyBorder="false" applyFill="true" applyFont="true" applyNumberFormat="false" applyProtection="false" borderId="78" fillId="189" fontId="7" numFmtId="0" xfId="0">
      <alignment horizontal="center" vertical="center"/>
    </xf>
    <xf applyAlignment="true" applyBorder="false" applyFill="true" applyFont="true" applyNumberFormat="false" applyProtection="false" borderId="68" fillId="189" fontId="7" numFmtId="0" xfId="0">
      <alignment horizontal="center" vertical="center"/>
    </xf>
    <xf applyAlignment="true" applyBorder="false" applyFill="true" applyFont="true" applyNumberFormat="false" applyProtection="false" borderId="68" fillId="189" fontId="7" numFmtId="0" xfId="0">
      <alignment horizontal="center" vertical="center" wrapText="true"/>
    </xf>
    <xf applyAlignment="true" applyBorder="false" applyFill="true" applyFont="true" applyNumberFormat="false" applyProtection="false" borderId="69" fillId="189" fontId="7" numFmtId="0" xfId="0">
      <alignment horizontal="center" vertical="center"/>
    </xf>
    <xf applyAlignment="true" applyBorder="false" applyFill="true" applyFont="true" applyNumberFormat="false" applyProtection="false" borderId="72" fillId="189" fontId="7" numFmtId="0" xfId="0">
      <alignment horizontal="center" vertical="center"/>
    </xf>
    <xf applyAlignment="true" applyBorder="false" applyFill="true" applyFont="true" applyNumberFormat="false" applyProtection="false" borderId="71" fillId="177" fontId="5" numFmtId="0" xfId="0">
      <alignment horizontal="center" vertical="center"/>
    </xf>
    <xf applyAlignment="true" applyBorder="false" applyFill="true" applyFont="true" applyNumberFormat="true" applyProtection="false" borderId="71" fillId="190" fontId="3" numFmtId="180" xfId="0">
      <alignment horizontal="center" vertical="center" wrapText="true"/>
    </xf>
    <xf applyAlignment="true" applyBorder="false" applyFill="true" applyFont="true" applyNumberFormat="false" applyProtection="false" borderId="0" fillId="190" fontId="8" numFmtId="0" xfId="0">
      <alignment vertical="center"/>
    </xf>
    <xf applyAlignment="true" applyBorder="false" applyFill="true" applyFont="true" applyNumberFormat="false" applyProtection="false" borderId="0" fillId="190" fontId="8" numFmtId="0" xfId="0">
      <alignment horizontal="center" vertical="center"/>
    </xf>
    <xf applyAlignment="true" applyBorder="false" applyFill="true" applyFont="true" applyNumberFormat="true" applyProtection="false" borderId="71" fillId="191" fontId="7" numFmtId="180" xfId="0">
      <alignment horizontal="center" vertical="center" wrapText="true"/>
    </xf>
    <xf applyAlignment="true" applyBorder="false" applyFill="true" applyFont="true" applyNumberFormat="true" applyProtection="false" borderId="71" fillId="191" fontId="7" numFmtId="181" xfId="0">
      <alignment horizontal="center" vertical="center"/>
    </xf>
    <xf applyAlignment="true" applyBorder="false" applyFill="true" applyFont="true" applyNumberFormat="false" applyProtection="false" borderId="68" fillId="191" fontId="7" numFmtId="0" xfId="0">
      <alignment horizontal="center" vertical="center"/>
    </xf>
    <xf applyAlignment="true" applyBorder="false" applyFill="true" applyFont="true" applyNumberFormat="false" applyProtection="false" borderId="71" fillId="191" fontId="7" numFmtId="0" xfId="0">
      <alignment horizontal="center" vertical="center"/>
    </xf>
    <xf applyAlignment="true" applyBorder="false" applyFill="true" applyFont="true" applyNumberFormat="false" applyProtection="false" borderId="71" fillId="191" fontId="7" numFmtId="0" xfId="0">
      <alignment horizontal="center" vertical="center" wrapText="true"/>
    </xf>
    <xf applyAlignment="true" applyBorder="false" applyFill="true" applyFont="true" applyNumberFormat="false" applyProtection="false" borderId="72" fillId="191" fontId="7" numFmtId="0" xfId="0">
      <alignment horizontal="center" vertical="center"/>
    </xf>
    <xf applyAlignment="true" applyBorder="false" applyFill="true" applyFont="true" applyNumberFormat="false" applyProtection="false" borderId="0" fillId="177" fontId="5" numFmtId="0" xfId="0">
      <alignment horizontal="center" vertical="center"/>
    </xf>
    <xf applyAlignment="true" applyBorder="false" applyFill="true" applyFont="true" applyNumberFormat="true" applyProtection="false" borderId="71" fillId="179" fontId="5" numFmtId="182" xfId="0">
      <alignment horizontal="center" vertical="center"/>
    </xf>
    <xf applyAlignment="true" applyBorder="false" applyFill="true" applyFont="true" applyNumberFormat="false" applyProtection="false" borderId="72" fillId="174" fontId="5" numFmtId="0" xfId="0">
      <alignment horizontal="center" vertical="center"/>
    </xf>
    <xf applyAlignment="true" applyBorder="false" applyFill="true" applyFont="true" applyNumberFormat="true" applyProtection="false" borderId="70" fillId="174" fontId="5" numFmtId="182" xfId="0">
      <alignment horizontal="center" vertical="center"/>
    </xf>
    <xf applyAlignment="true" applyBorder="false" applyFill="true" applyFont="true" applyNumberFormat="true" applyProtection="false" borderId="71" fillId="192" fontId="3" numFmtId="180" xfId="0">
      <alignment horizontal="center" vertical="center" wrapText="true"/>
    </xf>
    <xf applyAlignment="true" applyBorder="false" applyFill="true" applyFont="true" applyNumberFormat="true" applyProtection="false" borderId="71" fillId="192" fontId="4" numFmtId="181" xfId="0">
      <alignment horizontal="center" vertical="center"/>
    </xf>
    <xf applyAlignment="true" applyBorder="false" applyFill="true" applyFont="true" applyNumberFormat="true" applyProtection="false" borderId="71" fillId="192" fontId="4" numFmtId="181" xfId="0">
      <alignment horizontal="center" vertical="center"/>
    </xf>
    <xf applyAlignment="true" applyBorder="false" applyFill="true" applyFont="true" applyNumberFormat="false" applyProtection="false" borderId="71" fillId="192" fontId="5" numFmtId="0" xfId="0">
      <alignment horizontal="center" vertical="center"/>
    </xf>
    <xf applyAlignment="true" applyBorder="false" applyFill="true" applyFont="true" applyNumberFormat="false" applyProtection="false" borderId="71" fillId="192" fontId="5" numFmtId="0" xfId="0">
      <alignment horizontal="center" vertical="center"/>
    </xf>
    <xf applyAlignment="true" applyBorder="false" applyFill="true" applyFont="true" applyNumberFormat="false" applyProtection="false" borderId="71" fillId="192" fontId="5" numFmtId="0" xfId="0">
      <alignment horizontal="center" vertical="center" wrapText="true"/>
    </xf>
    <xf applyAlignment="true" applyBorder="false" applyFill="true" applyFont="true" applyNumberFormat="false" applyProtection="false" borderId="72" fillId="192" fontId="5" numFmtId="0" xfId="0">
      <alignment horizontal="center" vertical="center"/>
    </xf>
    <xf applyAlignment="true" applyBorder="false" applyFill="true" applyFont="true" applyNumberFormat="false" applyProtection="false" borderId="0" fillId="192" fontId="5" numFmtId="0" xfId="0">
      <alignment horizontal="center" vertical="center"/>
    </xf>
    <xf applyAlignment="true" applyBorder="false" applyFill="true" applyFont="true" applyNumberFormat="false" applyProtection="false" borderId="0" fillId="192" fontId="6" numFmtId="0" xfId="0">
      <alignment vertical="center"/>
    </xf>
    <xf applyAlignment="true" applyBorder="false" applyFill="true" applyFont="true" applyNumberFormat="true" applyProtection="false" borderId="71" fillId="192" fontId="7" numFmtId="180" xfId="0">
      <alignment horizontal="center" vertical="center" wrapText="true"/>
    </xf>
    <xf applyAlignment="true" applyBorder="false" applyFill="true" applyFont="true" applyNumberFormat="true" applyProtection="false" borderId="71" fillId="192" fontId="7" numFmtId="181" xfId="0">
      <alignment horizontal="center" vertical="center"/>
    </xf>
    <xf applyAlignment="true" applyBorder="false" applyFill="true" applyFont="true" applyNumberFormat="false" applyProtection="false" borderId="68" fillId="192" fontId="7" numFmtId="0" xfId="0">
      <alignment horizontal="center" vertical="center"/>
    </xf>
    <xf applyAlignment="true" applyBorder="false" applyFill="true" applyFont="true" applyNumberFormat="false" applyProtection="false" borderId="71" fillId="192" fontId="7" numFmtId="0" xfId="0">
      <alignment horizontal="center" vertical="center"/>
    </xf>
    <xf applyAlignment="true" applyBorder="false" applyFill="true" applyFont="true" applyNumberFormat="false" applyProtection="false" borderId="71" fillId="192" fontId="7" numFmtId="0" xfId="0">
      <alignment horizontal="center" vertical="center" wrapText="true"/>
    </xf>
    <xf applyAlignment="true" applyBorder="false" applyFill="true" applyFont="true" applyNumberFormat="false" applyProtection="false" borderId="72" fillId="192" fontId="7" numFmtId="0" xfId="0">
      <alignment horizontal="center" vertical="center"/>
    </xf>
    <xf applyAlignment="true" applyBorder="false" applyFill="true" applyFont="true" applyNumberFormat="false" applyProtection="false" borderId="0" fillId="192" fontId="7" numFmtId="0" xfId="0">
      <alignment horizontal="center" vertical="center"/>
    </xf>
    <xf applyAlignment="true" applyBorder="false" applyFill="true" applyFont="true" applyNumberFormat="true" applyProtection="false" borderId="71" fillId="180" fontId="3" numFmtId="180" xfId="0">
      <alignment horizontal="center" vertical="center" wrapText="true"/>
    </xf>
    <xf applyAlignment="true" applyBorder="false" applyFill="true" applyFont="true" applyNumberFormat="false" applyProtection="false" borderId="0" fillId="180" fontId="5" numFmtId="0" xfId="0">
      <alignment horizontal="center" vertical="center"/>
    </xf>
    <xf applyAlignment="true" applyBorder="false" applyFill="true" applyFont="true" applyNumberFormat="false" applyProtection="false" borderId="0" fillId="180" fontId="6" numFmtId="0" xfId="0">
      <alignment vertical="center"/>
    </xf>
    <xf applyAlignment="true" applyBorder="false" applyFill="true" applyFont="true" applyNumberFormat="true" applyProtection="false" borderId="71" fillId="180" fontId="7" numFmtId="180" xfId="0">
      <alignment horizontal="center" vertical="center" wrapText="true"/>
    </xf>
    <xf applyAlignment="true" applyBorder="false" applyFill="true" applyFont="true" applyNumberFormat="true" applyProtection="false" borderId="71" fillId="180" fontId="7" numFmtId="181" xfId="0">
      <alignment horizontal="center" vertical="center"/>
    </xf>
    <xf applyAlignment="true" applyBorder="false" applyFill="true" applyFont="true" applyNumberFormat="false" applyProtection="false" borderId="68" fillId="180" fontId="7" numFmtId="0" xfId="0">
      <alignment horizontal="center" vertical="center"/>
    </xf>
    <xf applyAlignment="true" applyBorder="false" applyFill="true" applyFont="true" applyNumberFormat="false" applyProtection="false" borderId="71" fillId="180" fontId="7" numFmtId="0" xfId="0">
      <alignment horizontal="center" vertical="center"/>
    </xf>
    <xf applyAlignment="true" applyBorder="false" applyFill="true" applyFont="true" applyNumberFormat="false" applyProtection="false" borderId="71" fillId="180" fontId="7" numFmtId="0" xfId="0">
      <alignment horizontal="center" vertical="center" wrapText="true"/>
    </xf>
    <xf applyAlignment="true" applyBorder="false" applyFill="true" applyFont="true" applyNumberFormat="false" applyProtection="false" borderId="72" fillId="180" fontId="7" numFmtId="0" xfId="0">
      <alignment horizontal="center" vertical="center"/>
    </xf>
    <xf applyAlignment="true" applyBorder="false" applyFill="true" applyFont="true" applyNumberFormat="false" applyProtection="false" borderId="0" fillId="180" fontId="7" numFmtId="0" xfId="0">
      <alignment horizontal="center" vertical="center"/>
    </xf>
    <xf applyAlignment="true" applyBorder="false" applyFill="true" applyFont="true" applyNumberFormat="true" applyProtection="false" borderId="68" fillId="193" fontId="3" numFmtId="180" xfId="0">
      <alignment horizontal="center" vertical="center" wrapText="true"/>
    </xf>
    <xf applyAlignment="true" applyBorder="false" applyFill="true" applyFont="true" applyNumberFormat="true" applyProtection="false" borderId="68" fillId="193" fontId="3" numFmtId="180" xfId="0">
      <alignment horizontal="center" vertical="center" wrapText="true"/>
    </xf>
    <xf applyAlignment="true" applyBorder="false" applyFill="true" applyFont="true" applyNumberFormat="true" applyProtection="false" borderId="81" fillId="193" fontId="3" numFmtId="180" xfId="0">
      <alignment horizontal="center" vertical="center" wrapText="true"/>
    </xf>
    <xf applyAlignment="true" applyBorder="false" applyFill="true" applyFont="true" applyNumberFormat="true" applyProtection="false" borderId="69" fillId="193" fontId="3" numFmtId="180" xfId="0">
      <alignment horizontal="center" vertical="center" wrapText="true"/>
    </xf>
    <xf applyAlignment="true" applyBorder="false" applyFill="true" applyFont="true" applyNumberFormat="true" applyProtection="false" borderId="0" fillId="193" fontId="3" numFmtId="180" xfId="0">
      <alignment horizontal="center" vertical="center" wrapText="true"/>
    </xf>
    <xf applyAlignment="true" applyBorder="false" applyFill="true" applyFont="true" applyNumberFormat="false" applyProtection="false" borderId="0" fillId="193" fontId="6" numFmtId="0" xfId="0">
      <alignment vertical="center"/>
    </xf>
    <xf applyAlignment="true" applyBorder="false" applyFill="true" applyFont="true" applyNumberFormat="true" applyProtection="false" borderId="69" fillId="193" fontId="7" numFmtId="180" xfId="0">
      <alignment horizontal="center" vertical="center" wrapText="true"/>
    </xf>
    <xf applyAlignment="true" applyBorder="false" applyFill="true" applyFont="true" applyNumberFormat="true" applyProtection="false" borderId="71" fillId="193" fontId="7" numFmtId="181" xfId="0">
      <alignment horizontal="center" vertical="center"/>
    </xf>
    <xf applyAlignment="true" applyBorder="false" applyFill="true" applyFont="true" applyNumberFormat="false" applyProtection="false" borderId="78" fillId="193" fontId="7" numFmtId="0" xfId="0">
      <alignment horizontal="center" vertical="center"/>
    </xf>
    <xf applyAlignment="true" applyBorder="false" applyFill="true" applyFont="true" applyNumberFormat="false" applyProtection="false" borderId="68" fillId="193" fontId="7" numFmtId="0" xfId="0">
      <alignment horizontal="center" vertical="center"/>
    </xf>
    <xf applyAlignment="true" applyBorder="false" applyFill="true" applyFont="true" applyNumberFormat="false" applyProtection="false" borderId="68" fillId="193" fontId="7" numFmtId="0" xfId="0">
      <alignment horizontal="center" vertical="center" wrapText="true"/>
    </xf>
    <xf applyAlignment="true" applyBorder="false" applyFill="true" applyFont="true" applyNumberFormat="false" applyProtection="false" borderId="69" fillId="193" fontId="7" numFmtId="0" xfId="0">
      <alignment horizontal="center" vertical="center"/>
    </xf>
    <xf applyAlignment="true" applyBorder="false" applyFill="true" applyFont="true" applyNumberFormat="false" applyProtection="false" borderId="72" fillId="193" fontId="7" numFmtId="0" xfId="0">
      <alignment horizontal="center" vertical="center"/>
    </xf>
    <xf applyAlignment="true" applyBorder="false" applyFill="true" applyFont="true" applyNumberFormat="false" applyProtection="false" borderId="0" fillId="193" fontId="7" numFmtId="0" xfId="0">
      <alignment horizontal="center" vertical="center"/>
    </xf>
    <xf applyAlignment="true" applyBorder="false" applyFill="true" applyFont="true" applyNumberFormat="true" applyProtection="false" borderId="71" fillId="194" fontId="4" numFmtId="181" xfId="0">
      <alignment horizontal="center" vertical="center"/>
    </xf>
    <xf applyAlignment="true" applyBorder="false" applyFill="true" applyFont="true" applyNumberFormat="true" applyProtection="false" borderId="71" fillId="194" fontId="4" numFmtId="181" xfId="0">
      <alignment horizontal="center" vertical="center"/>
    </xf>
    <xf applyAlignment="true" applyBorder="false" applyFill="true" applyFont="true" applyNumberFormat="false" applyProtection="false" borderId="71" fillId="194" fontId="5" numFmtId="0" xfId="0">
      <alignment horizontal="center" vertical="center"/>
    </xf>
    <xf applyAlignment="true" applyBorder="false" applyFill="true" applyFont="true" applyNumberFormat="false" applyProtection="false" borderId="71" fillId="194" fontId="5" numFmtId="0" xfId="0">
      <alignment horizontal="center" vertical="center"/>
    </xf>
    <xf applyAlignment="true" applyBorder="false" applyFill="true" applyFont="true" applyNumberFormat="false" applyProtection="false" borderId="71" fillId="194" fontId="5" numFmtId="0" xfId="0">
      <alignment horizontal="center" vertical="center" wrapText="true"/>
    </xf>
    <xf applyAlignment="true" applyBorder="false" applyFill="true" applyFont="true" applyNumberFormat="false" applyProtection="false" borderId="79" fillId="194" fontId="5" numFmtId="0" xfId="0">
      <alignment horizontal="center" vertical="center"/>
    </xf>
    <xf applyAlignment="true" applyBorder="false" applyFill="true" applyFont="true" applyNumberFormat="false" applyProtection="false" borderId="0" fillId="194" fontId="5" numFmtId="0" xfId="0">
      <alignment horizontal="center" vertical="center"/>
    </xf>
    <xf applyAlignment="true" applyBorder="false" applyFill="true" applyFont="true" applyNumberFormat="false" applyProtection="false" borderId="0" fillId="194" fontId="6" numFmtId="0" xfId="0">
      <alignment vertical="center"/>
    </xf>
    <xf applyAlignment="true" applyBorder="false" applyFill="true" applyFont="true" applyNumberFormat="true" applyProtection="false" borderId="71" fillId="176" fontId="3" numFmtId="180" xfId="0">
      <alignment horizontal="center" vertical="center" wrapText="true"/>
    </xf>
    <xf applyAlignment="true" applyBorder="false" applyFill="true" applyFont="true" applyNumberFormat="true" applyProtection="false" borderId="72" fillId="176" fontId="3" numFmtId="180" xfId="0">
      <alignment horizontal="center" vertical="center" wrapText="true"/>
    </xf>
    <xf applyAlignment="true" applyBorder="false" applyFill="true" applyFont="true" applyNumberFormat="false" applyProtection="false" borderId="71" fillId="176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71" fillId="195" fontId="10" numFmtId="180" xfId="0">
      <alignment horizontal="center" vertical="center" wrapText="true"/>
    </xf>
    <xf applyAlignment="true" applyBorder="false" applyFill="true" applyFont="true" applyNumberFormat="true" applyProtection="false" borderId="72" fillId="195" fontId="10" numFmtId="180" xfId="0">
      <alignment horizontal="center" vertical="center" wrapText="true"/>
    </xf>
    <xf applyAlignment="true" applyBorder="false" applyFill="true" applyFont="true" applyNumberFormat="true" applyProtection="false" borderId="71" fillId="195" fontId="7" numFmtId="180" xfId="0">
      <alignment horizontal="center" vertical="center" wrapText="true"/>
    </xf>
    <xf applyAlignment="true" applyBorder="false" applyFill="true" applyFont="true" applyNumberFormat="true" applyProtection="false" borderId="71" fillId="195" fontId="7" numFmtId="181" xfId="0">
      <alignment horizontal="center" vertical="center"/>
    </xf>
    <xf applyAlignment="true" applyBorder="false" applyFill="true" applyFont="true" applyNumberFormat="false" applyProtection="false" borderId="71" fillId="195" fontId="7" numFmtId="0" xfId="0">
      <alignment horizontal="center" vertical="center"/>
    </xf>
    <xf applyAlignment="true" applyBorder="false" applyFill="true" applyFont="true" applyNumberFormat="false" applyProtection="false" borderId="71" fillId="195" fontId="7" numFmtId="0" xfId="0">
      <alignment horizontal="center" vertical="center" wrapText="true"/>
    </xf>
    <xf applyAlignment="true" applyBorder="false" applyFill="true" applyFont="true" applyNumberFormat="false" applyProtection="false" borderId="72" fillId="195" fontId="7" numFmtId="0" xfId="0">
      <alignment horizontal="center" vertical="center"/>
    </xf>
    <xf applyAlignment="true" applyBorder="false" applyFill="true" applyFont="true" applyNumberFormat="false" applyProtection="false" borderId="71" fillId="174" fontId="5" numFmtId="0" xfId="0">
      <alignment horizontal="center" vertical="center" wrapText="true"/>
    </xf>
    <xf applyAlignment="true" applyBorder="false" applyFill="true" applyFont="true" applyNumberFormat="false" applyProtection="false" borderId="72" fillId="174" fontId="5" numFmtId="0" xfId="0">
      <alignment horizontal="center" vertical="center"/>
    </xf>
    <xf applyAlignment="true" applyBorder="false" applyFill="true" applyFont="true" applyNumberFormat="false" applyProtection="false" borderId="72" fillId="179" fontId="5" numFmtId="0" xfId="0">
      <alignment horizontal="center" vertical="center"/>
    </xf>
    <xf applyAlignment="true" applyBorder="false" applyFill="true" applyFont="true" applyNumberFormat="false" applyProtection="false" borderId="71" fillId="177" fontId="4" numFmtId="0" xfId="0">
      <alignment horizontal="center" vertical="center"/>
    </xf>
    <xf applyAlignment="true" applyBorder="false" applyFill="true" applyFont="true" applyNumberFormat="false" applyProtection="false" borderId="71" fillId="174" fontId="4" numFmtId="0" xfId="0">
      <alignment horizontal="center" vertical="center"/>
    </xf>
    <xf applyAlignment="true" applyBorder="false" applyFill="true" applyFont="true" applyNumberFormat="true" applyProtection="false" borderId="71" fillId="174" fontId="5" numFmtId="182" xfId="0">
      <alignment horizontal="center" vertical="center"/>
    </xf>
    <xf applyAlignment="true" applyBorder="false" applyFill="true" applyFont="true" applyNumberFormat="true" applyProtection="false" borderId="71" fillId="177" fontId="15" numFmtId="182" xfId="0">
      <alignment horizontal="center" vertical="center"/>
    </xf>
    <xf applyAlignment="true" applyBorder="false" applyFill="true" applyFont="true" applyNumberFormat="true" applyProtection="false" borderId="71" fillId="196" fontId="7" numFmtId="180" xfId="0">
      <alignment horizontal="center" vertical="center" wrapText="true"/>
    </xf>
    <xf applyAlignment="true" applyBorder="false" applyFill="true" applyFont="true" applyNumberFormat="true" applyProtection="false" borderId="71" fillId="196" fontId="7" numFmtId="181" xfId="0">
      <alignment horizontal="center" vertical="center"/>
    </xf>
    <xf applyAlignment="true" applyBorder="false" applyFill="true" applyFont="true" applyNumberFormat="false" applyProtection="false" borderId="71" fillId="196" fontId="7" numFmtId="0" xfId="0">
      <alignment horizontal="center" vertical="center"/>
    </xf>
    <xf applyAlignment="true" applyBorder="false" applyFill="true" applyFont="true" applyNumberFormat="false" applyProtection="false" borderId="71" fillId="196" fontId="7" numFmtId="0" xfId="0">
      <alignment horizontal="center" vertical="center" wrapText="true"/>
    </xf>
    <xf applyAlignment="true" applyBorder="false" applyFill="true" applyFont="true" applyNumberFormat="false" applyProtection="false" borderId="72" fillId="196" fontId="7" numFmtId="0" xfId="0">
      <alignment horizontal="center" vertical="center"/>
    </xf>
    <xf applyAlignment="true" applyBorder="false" applyFill="true" applyFont="true" applyNumberFormat="true" applyProtection="false" borderId="71" fillId="196" fontId="3" numFmtId="180" xfId="0">
      <alignment horizontal="center" vertical="center" wrapText="true"/>
    </xf>
    <xf applyAlignment="true" applyBorder="false" applyFill="true" applyFont="true" applyNumberFormat="true" applyProtection="false" borderId="71" fillId="196" fontId="3" numFmtId="180" xfId="0">
      <alignment horizontal="center" vertical="center" wrapText="true"/>
    </xf>
    <xf applyAlignment="true" applyBorder="false" applyFill="true" applyFont="true" applyNumberFormat="true" applyProtection="false" borderId="72" fillId="196" fontId="3" numFmtId="180" xfId="0">
      <alignment horizontal="center" vertical="center" wrapText="true"/>
    </xf>
    <xf applyAlignment="true" applyBorder="false" applyFill="true" applyFont="true" applyNumberFormat="true" applyProtection="false" borderId="71" fillId="177" fontId="4" numFmtId="182" xfId="0">
      <alignment horizontal="center" vertical="center"/>
    </xf>
    <xf applyAlignment="true" applyBorder="false" applyFill="true" applyFont="true" applyNumberFormat="true" applyProtection="false" borderId="71" fillId="179" fontId="4" numFmtId="182" xfId="0">
      <alignment horizontal="center" vertical="center"/>
    </xf>
    <xf applyAlignment="true" applyBorder="false" applyFill="true" applyFont="true" applyNumberFormat="false" applyProtection="false" borderId="0" fillId="179" fontId="5" numFmtId="0" xfId="0">
      <alignment horizontal="center" vertical="center"/>
    </xf>
    <xf applyAlignment="true" applyBorder="false" applyFill="true" applyFont="true" applyNumberFormat="false" applyProtection="false" borderId="71" fillId="179" fontId="4" numFmtId="0" xfId="0">
      <alignment horizontal="center" vertical="center"/>
    </xf>
    <xf applyAlignment="true" applyBorder="false" applyFill="true" applyFont="true" applyNumberFormat="false" applyProtection="false" borderId="72" fillId="177" fontId="5" numFmtId="0" xfId="0">
      <alignment horizontal="center" vertical="center"/>
    </xf>
    <xf applyAlignment="true" applyBorder="false" applyFill="true" applyFont="true" applyNumberFormat="true" applyProtection="false" borderId="71" fillId="189" fontId="3" numFmtId="180" xfId="0">
      <alignment horizontal="center" vertical="center" wrapText="true"/>
    </xf>
    <xf applyAlignment="true" applyBorder="false" applyFill="true" applyFont="true" applyNumberFormat="true" applyProtection="false" borderId="71" fillId="189" fontId="3" numFmtId="180" xfId="0">
      <alignment horizontal="center" vertical="center" wrapText="true"/>
    </xf>
    <xf applyAlignment="true" applyBorder="false" applyFill="true" applyFont="true" applyNumberFormat="true" applyProtection="false" borderId="72" fillId="189" fontId="3" numFmtId="180" xfId="0">
      <alignment horizontal="center" vertical="center" wrapText="true"/>
    </xf>
    <xf applyAlignment="true" applyBorder="false" applyFill="true" applyFont="true" applyNumberFormat="true" applyProtection="false" borderId="71" fillId="189" fontId="7" numFmtId="180" xfId="0">
      <alignment horizontal="center" vertical="center" wrapText="true"/>
    </xf>
    <xf applyAlignment="true" applyBorder="false" applyFill="true" applyFont="true" applyNumberFormat="false" applyProtection="false" borderId="71" fillId="189" fontId="7" numFmtId="0" xfId="0">
      <alignment horizontal="center" vertical="center"/>
    </xf>
    <xf applyAlignment="true" applyBorder="false" applyFill="true" applyFont="true" applyNumberFormat="false" applyProtection="false" borderId="71" fillId="189" fontId="7" numFmtId="0" xfId="0">
      <alignment horizontal="center" vertical="center" wrapText="true"/>
    </xf>
    <xf applyAlignment="true" applyBorder="false" applyFill="true" applyFont="true" applyNumberFormat="true" applyProtection="false" borderId="71" fillId="197" fontId="3" numFmtId="180" xfId="0">
      <alignment horizontal="center" vertical="center" wrapText="true"/>
    </xf>
    <xf applyAlignment="true" applyBorder="false" applyFill="true" applyFont="true" applyNumberFormat="true" applyProtection="false" borderId="72" fillId="197" fontId="3" numFmtId="180" xfId="0">
      <alignment horizontal="center" vertical="center" wrapText="true"/>
    </xf>
    <xf applyAlignment="true" applyBorder="false" applyFill="true" applyFont="true" applyNumberFormat="true" applyProtection="false" borderId="71" fillId="197" fontId="7" numFmtId="180" xfId="0">
      <alignment horizontal="center" vertical="center" wrapText="true"/>
    </xf>
    <xf applyAlignment="true" applyBorder="false" applyFill="true" applyFont="true" applyNumberFormat="true" applyProtection="false" borderId="71" fillId="197" fontId="7" numFmtId="181" xfId="0">
      <alignment horizontal="center" vertical="center"/>
    </xf>
    <xf applyAlignment="true" applyBorder="false" applyFill="true" applyFont="true" applyNumberFormat="false" applyProtection="false" borderId="71" fillId="197" fontId="7" numFmtId="0" xfId="0">
      <alignment horizontal="center" vertical="center"/>
    </xf>
    <xf applyAlignment="true" applyBorder="false" applyFill="true" applyFont="true" applyNumberFormat="false" applyProtection="false" borderId="71" fillId="197" fontId="7" numFmtId="0" xfId="0">
      <alignment horizontal="center" vertical="center" wrapText="true"/>
    </xf>
    <xf applyAlignment="true" applyBorder="false" applyFill="true" applyFont="true" applyNumberFormat="false" applyProtection="false" borderId="72" fillId="197" fontId="7" numFmtId="0" xfId="0">
      <alignment horizontal="center" vertical="center"/>
    </xf>
    <xf applyAlignment="true" applyBorder="false" applyFill="true" applyFont="true" applyNumberFormat="true" applyProtection="false" borderId="71" fillId="198" fontId="3" numFmtId="180" xfId="0">
      <alignment horizontal="center" vertical="center" wrapText="true"/>
    </xf>
    <xf applyAlignment="true" applyBorder="false" applyFill="true" applyFont="true" applyNumberFormat="false" applyProtection="false" borderId="0" fillId="198" fontId="8" numFmtId="0" xfId="0">
      <alignment vertical="center"/>
    </xf>
    <xf applyAlignment="true" applyBorder="false" applyFill="true" applyFont="true" applyNumberFormat="false" applyProtection="false" borderId="0" fillId="198" fontId="8" numFmtId="0" xfId="0">
      <alignment horizontal="center" vertical="center"/>
    </xf>
    <xf applyAlignment="true" applyBorder="false" applyFill="true" applyFont="true" applyNumberFormat="true" applyProtection="false" borderId="71" fillId="198" fontId="7" numFmtId="180" xfId="0">
      <alignment horizontal="center" vertical="center" wrapText="true"/>
    </xf>
    <xf applyAlignment="true" applyBorder="false" applyFill="true" applyFont="true" applyNumberFormat="true" applyProtection="false" borderId="71" fillId="198" fontId="7" numFmtId="181" xfId="0">
      <alignment horizontal="center" vertical="center"/>
    </xf>
    <xf applyAlignment="true" applyBorder="false" applyFill="true" applyFont="true" applyNumberFormat="false" applyProtection="false" borderId="68" fillId="198" fontId="7" numFmtId="0" xfId="0">
      <alignment horizontal="center" vertical="center"/>
    </xf>
    <xf applyAlignment="true" applyBorder="false" applyFill="true" applyFont="true" applyNumberFormat="false" applyProtection="false" borderId="71" fillId="198" fontId="7" numFmtId="0" xfId="0">
      <alignment horizontal="center" vertical="center"/>
    </xf>
    <xf applyAlignment="true" applyBorder="false" applyFill="true" applyFont="true" applyNumberFormat="false" applyProtection="false" borderId="71" fillId="198" fontId="7" numFmtId="0" xfId="0">
      <alignment horizontal="center" vertical="center" wrapText="true"/>
    </xf>
    <xf applyAlignment="true" applyBorder="false" applyFill="true" applyFont="true" applyNumberFormat="false" applyProtection="false" borderId="72" fillId="198" fontId="7" numFmtId="0" xfId="0">
      <alignment horizontal="center" vertical="center"/>
    </xf>
    <xf applyAlignment="true" applyBorder="false" applyFill="true" applyFont="true" applyNumberFormat="false" applyProtection="false" borderId="71" fillId="174" fontId="4" numFmtId="0" xfId="0">
      <alignment horizontal="center" vertical="center" wrapText="true"/>
    </xf>
    <xf applyAlignment="true" applyBorder="false" applyFill="true" applyFont="true" applyNumberFormat="false" applyProtection="false" borderId="72" fillId="174" fontId="7" numFmtId="0" xfId="0">
      <alignment horizontal="center" vertical="center"/>
    </xf>
    <xf applyAlignment="true" applyBorder="false" applyFill="true" applyFont="true" applyNumberFormat="false" applyProtection="false" borderId="71" fillId="179" fontId="4" numFmtId="0" xfId="0">
      <alignment horizontal="center" vertical="center" wrapText="true"/>
    </xf>
    <xf applyAlignment="true" applyBorder="false" applyFill="true" applyFont="true" applyNumberFormat="false" applyProtection="false" borderId="72" fillId="179" fontId="4" numFmtId="0" xfId="0">
      <alignment horizontal="center" vertical="center"/>
    </xf>
    <xf applyAlignment="true" applyBorder="false" applyFill="true" applyFont="true" applyNumberFormat="false" applyProtection="false" borderId="0" fillId="179" fontId="7" numFmtId="0" xfId="0">
      <alignment horizontal="center" vertical="center"/>
    </xf>
    <xf applyAlignment="true" applyBorder="false" applyFill="true" applyFont="true" applyNumberFormat="false" applyProtection="false" borderId="71" fillId="174" fontId="7" numFmtId="0" xfId="0">
      <alignment horizontal="center" vertical="center" wrapText="true"/>
    </xf>
    <xf applyAlignment="true" applyBorder="false" applyFill="true" applyFont="true" applyNumberFormat="false" applyProtection="false" borderId="72" fillId="174" fontId="4" numFmtId="0" xfId="0">
      <alignment horizontal="center" vertical="center"/>
    </xf>
    <xf applyAlignment="true" applyBorder="false" applyFill="true" applyFont="true" applyNumberFormat="false" applyProtection="false" borderId="71" fillId="179" fontId="7" numFmtId="0" xfId="0">
      <alignment horizontal="center" vertical="center" wrapText="true"/>
    </xf>
    <xf applyAlignment="true" applyBorder="false" applyFill="true" applyFont="true" applyNumberFormat="false" applyProtection="false" borderId="72" fillId="174" fontId="7" numFmtId="0" xfId="0">
      <alignment horizontal="center" vertical="center"/>
    </xf>
    <xf applyAlignment="true" applyBorder="false" applyFill="true" applyFont="true" applyNumberFormat="false" applyProtection="false" borderId="0" fillId="180" fontId="8" numFmtId="0" xfId="0">
      <alignment vertical="center"/>
    </xf>
    <xf applyAlignment="true" applyBorder="false" applyFill="true" applyFont="true" applyNumberFormat="false" applyProtection="false" borderId="0" fillId="180" fontId="8" numFmtId="0" xfId="0">
      <alignment horizontal="center" vertical="center"/>
    </xf>
    <xf applyAlignment="true" applyBorder="false" applyFill="true" applyFont="true" applyNumberFormat="true" applyProtection="false" borderId="71" fillId="188" fontId="3" numFmtId="180" xfId="0">
      <alignment horizontal="center" vertical="center" wrapText="true"/>
    </xf>
    <xf applyAlignment="true" applyBorder="false" applyFill="true" applyFont="true" applyNumberFormat="true" applyProtection="false" borderId="72" fillId="188" fontId="3" numFmtId="180" xfId="0">
      <alignment horizontal="center" vertical="center" wrapText="true"/>
    </xf>
    <xf applyAlignment="true" applyBorder="false" applyFill="true" applyFont="true" applyNumberFormat="true" applyProtection="false" borderId="71" fillId="188" fontId="7" numFmtId="180" xfId="0">
      <alignment horizontal="center" vertical="center" wrapText="true"/>
    </xf>
    <xf applyAlignment="true" applyBorder="false" applyFill="true" applyFont="true" applyNumberFormat="false" applyProtection="false" borderId="71" fillId="188" fontId="7" numFmtId="0" xfId="0">
      <alignment horizontal="center" vertical="center"/>
    </xf>
    <xf applyAlignment="true" applyBorder="false" applyFill="true" applyFont="true" applyNumberFormat="false" applyProtection="false" borderId="71" fillId="188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80" fillId="174" fontId="5" numFmtId="0" xfId="0">
      <alignment horizontal="center" vertical="center"/>
    </xf>
    <xf applyAlignment="true" applyBorder="false" applyFill="true" applyFont="true" applyNumberFormat="false" applyProtection="false" borderId="71" fillId="177" fontId="4" numFmtId="0" xfId="0">
      <alignment horizontal="center" vertical="center" wrapText="true"/>
    </xf>
    <xf applyAlignment="true" applyBorder="false" applyFill="true" applyFont="true" applyNumberFormat="false" applyProtection="false" borderId="72" fillId="177" fontId="4" numFmtId="0" xfId="0">
      <alignment horizontal="center" vertical="center"/>
    </xf>
    <xf applyAlignment="true" applyBorder="false" applyFill="true" applyFont="true" applyNumberFormat="false" applyProtection="false" borderId="0" fillId="174" fontId="4" numFmtId="0" xfId="0">
      <alignment horizontal="center" vertical="center"/>
    </xf>
    <xf applyAlignment="true" applyBorder="false" applyFill="true" applyFont="true" applyNumberFormat="true" applyProtection="false" borderId="71" fillId="188" fontId="4" numFmtId="181" xfId="0">
      <alignment horizontal="center" vertical="center"/>
    </xf>
    <xf applyAlignment="true" applyBorder="false" applyFill="true" applyFont="true" applyNumberFormat="true" applyProtection="false" borderId="71" fillId="188" fontId="4" numFmtId="181" xfId="0">
      <alignment horizontal="center" vertical="center"/>
    </xf>
    <xf applyAlignment="true" applyBorder="false" applyFill="true" applyFont="true" applyNumberFormat="false" applyProtection="false" borderId="71" fillId="199" fontId="5" numFmtId="0" xfId="0">
      <alignment horizontal="center" vertical="center"/>
    </xf>
    <xf applyAlignment="true" applyBorder="false" applyFill="true" applyFont="true" applyNumberFormat="false" applyProtection="false" borderId="71" fillId="188" fontId="5" numFmtId="0" xfId="0">
      <alignment horizontal="center" vertical="center"/>
    </xf>
    <xf applyAlignment="true" applyBorder="false" applyFill="true" applyFont="true" applyNumberFormat="false" applyProtection="false" borderId="71" fillId="188" fontId="5" numFmtId="0" xfId="0">
      <alignment horizontal="center" vertical="center" wrapText="true"/>
    </xf>
    <xf applyAlignment="true" applyBorder="false" applyFill="true" applyFont="true" applyNumberFormat="false" applyProtection="false" borderId="72" fillId="188" fontId="4" numFmtId="0" xfId="0">
      <alignment horizontal="center" vertical="center"/>
    </xf>
    <xf applyAlignment="true" applyBorder="false" applyFill="true" applyFont="true" applyNumberFormat="false" applyProtection="false" borderId="80" fillId="199" fontId="5" numFmtId="0" xfId="0">
      <alignment horizontal="center" vertical="center"/>
    </xf>
    <xf applyAlignment="true" applyBorder="false" applyFill="true" applyFont="true" applyNumberFormat="false" applyProtection="false" borderId="71" fillId="199" fontId="5" numFmtId="0" xfId="0">
      <alignment horizontal="center" vertical="center"/>
    </xf>
    <xf applyAlignment="true" applyBorder="false" applyFill="true" applyFont="true" applyNumberFormat="true" applyProtection="false" borderId="71" fillId="199" fontId="4" numFmtId="181" xfId="0">
      <alignment horizontal="center" vertical="center"/>
    </xf>
    <xf applyAlignment="true" applyBorder="false" applyFill="true" applyFont="true" applyNumberFormat="false" applyProtection="false" borderId="71" fillId="199" fontId="5" numFmtId="0" xfId="0">
      <alignment horizontal="center" vertical="center" wrapText="true"/>
    </xf>
    <xf applyAlignment="true" applyBorder="false" applyFill="true" applyFont="true" applyNumberFormat="false" applyProtection="false" borderId="72" fillId="199" fontId="4" numFmtId="0" xfId="0">
      <alignment horizontal="center" vertical="center"/>
    </xf>
    <xf applyAlignment="true" applyBorder="false" applyFill="true" applyFont="true" applyNumberFormat="false" applyProtection="false" borderId="0" fillId="199" fontId="4" numFmtId="0" xfId="0">
      <alignment horizontal="center" vertical="center"/>
    </xf>
    <xf applyAlignment="true" applyBorder="false" applyFill="true" applyFont="true" applyNumberFormat="false" applyProtection="false" borderId="0" fillId="199" fontId="6" numFmtId="0" xfId="0">
      <alignment vertical="center"/>
    </xf>
    <xf applyAlignment="true" applyBorder="false" applyFill="true" applyFont="true" applyNumberFormat="true" applyProtection="false" borderId="71" fillId="199" fontId="4" numFmtId="181" xfId="0">
      <alignment horizontal="center" vertical="center"/>
    </xf>
    <xf applyAlignment="true" applyBorder="false" applyFill="true" applyFont="true" applyNumberFormat="false" applyProtection="false" borderId="71" fillId="199" fontId="4" numFmtId="0" xfId="0">
      <alignment horizontal="center" vertical="center"/>
    </xf>
    <xf applyAlignment="true" applyBorder="false" applyFill="true" applyFont="true" applyNumberFormat="false" applyProtection="false" borderId="71" fillId="199" fontId="4" numFmtId="0" xfId="0">
      <alignment horizontal="center" vertical="center" wrapText="true"/>
    </xf>
    <xf applyAlignment="true" applyBorder="false" applyFill="true" applyFont="true" applyNumberFormat="false" applyProtection="false" borderId="72" fillId="199" fontId="4" numFmtId="0" xfId="0">
      <alignment horizontal="center" vertical="center"/>
    </xf>
    <xf applyAlignment="true" applyBorder="false" applyFill="true" applyFont="true" applyNumberFormat="false" applyProtection="false" borderId="71" fillId="199" fontId="5" numFmtId="0" xfId="0">
      <alignment horizontal="center" vertical="center" wrapText="true"/>
    </xf>
    <xf applyAlignment="true" applyBorder="false" applyFill="true" applyFont="true" applyNumberFormat="false" applyProtection="false" borderId="82" fillId="199" fontId="5" numFmtId="0" xfId="0">
      <alignment horizontal="center" vertical="center"/>
    </xf>
    <xf applyAlignment="true" applyBorder="false" applyFill="true" applyFont="true" applyNumberFormat="false" applyProtection="false" borderId="0" fillId="199" fontId="5" numFmtId="0" xfId="0">
      <alignment horizontal="center" vertical="center"/>
    </xf>
    <xf applyAlignment="true" applyBorder="false" applyFill="true" applyFont="true" applyNumberFormat="false" applyProtection="false" borderId="71" fillId="188" fontId="4" numFmtId="0" xfId="0">
      <alignment horizontal="center" vertical="center"/>
    </xf>
    <xf applyAlignment="true" applyBorder="false" applyFill="true" applyFont="true" applyNumberFormat="false" applyProtection="false" borderId="82" fillId="188" fontId="5" numFmtId="0" xfId="0">
      <alignment horizontal="center" vertical="center"/>
    </xf>
    <xf applyAlignment="true" applyBorder="false" applyFill="true" applyFont="true" applyNumberFormat="false" applyProtection="false" borderId="71" fillId="188" fontId="5" numFmtId="0" xfId="0">
      <alignment horizontal="center" vertical="center" wrapText="true"/>
    </xf>
    <xf applyAlignment="true" applyBorder="false" applyFill="true" applyFont="true" applyNumberFormat="false" applyProtection="false" borderId="71" fillId="188" fontId="5" numFmtId="0" xfId="0">
      <alignment horizontal="center" vertical="center"/>
    </xf>
    <xf applyAlignment="true" applyBorder="false" applyFill="true" applyFont="true" applyNumberFormat="false" applyProtection="false" borderId="72" fillId="188" fontId="5" numFmtId="0" xfId="0">
      <alignment horizontal="center" vertical="center"/>
    </xf>
    <xf applyAlignment="true" applyBorder="false" applyFill="false" applyFont="true" applyNumberFormat="false" applyProtection="false" borderId="69" fillId="0" fontId="5" numFmtId="0" xfId="0">
      <alignment horizontal="center" vertical="center" wrapText="true"/>
    </xf>
    <xf applyAlignment="true" applyBorder="false" applyFill="false" applyFont="true" applyNumberFormat="false" applyProtection="false" borderId="83" fillId="0" fontId="5" numFmtId="0" xfId="0">
      <alignment horizontal="center" vertical="center"/>
    </xf>
    <xf applyAlignment="true" applyBorder="false" applyFill="true" applyFont="true" applyNumberFormat="false" applyProtection="false" borderId="69" fillId="174" fontId="5" numFmtId="0" xfId="0">
      <alignment horizontal="center" vertical="center" wrapText="true"/>
    </xf>
    <xf applyAlignment="true" applyBorder="false" applyFill="false" applyFont="true" applyNumberFormat="false" applyProtection="false" borderId="69" fillId="0" fontId="5" numFmtId="0" xfId="0">
      <alignment horizontal="center" vertical="center" wrapText="true"/>
    </xf>
    <xf applyAlignment="true" applyBorder="false" applyFill="true" applyFont="true" applyNumberFormat="false" applyProtection="false" borderId="69" fillId="188" fontId="5" numFmtId="0" xfId="0">
      <alignment horizontal="center" vertical="center" wrapText="true"/>
    </xf>
    <xf applyAlignment="true" applyBorder="false" applyFill="true" applyFont="true" applyNumberFormat="false" applyProtection="false" borderId="69" fillId="188" fontId="5" numFmtId="0" xfId="0">
      <alignment horizontal="center" vertical="center" wrapText="true"/>
    </xf>
    <xf applyAlignment="true" applyBorder="false" applyFill="true" applyFont="true" applyNumberFormat="false" applyProtection="false" borderId="70" fillId="188" fontId="5" numFmtId="0" xfId="0">
      <alignment horizontal="center" vertical="center" wrapText="true"/>
    </xf>
    <xf applyAlignment="true" applyBorder="false" applyFill="false" applyFont="true" applyNumberFormat="false" applyProtection="false" borderId="73" fillId="0" fontId="5" numFmtId="0" xfId="0">
      <alignment horizontal="center" vertical="center"/>
    </xf>
    <xf applyAlignment="true" applyBorder="false" applyFill="true" applyFont="true" applyNumberFormat="false" applyProtection="false" borderId="80" fillId="179" fontId="5" numFmtId="0" xfId="0">
      <alignment horizontal="center" vertical="center"/>
    </xf>
    <xf applyAlignment="true" applyBorder="false" applyFill="true" applyFont="true" applyNumberFormat="true" applyProtection="false" borderId="0" fillId="177" fontId="4" numFmtId="181" xfId="0">
      <alignment horizontal="center" vertical="center"/>
    </xf>
    <xf applyAlignment="true" applyBorder="false" applyFill="true" applyFont="true" applyNumberFormat="true" applyProtection="false" borderId="80" fillId="177" fontId="4" numFmtId="181" xfId="0">
      <alignment horizontal="center" vertical="center"/>
    </xf>
    <xf applyAlignment="true" applyBorder="false" applyFill="false" applyFont="true" applyNumberFormat="false" applyProtection="false" borderId="72" fillId="0" fontId="5" numFmtId="0" xfId="0">
      <alignment horizontal="center" vertical="center" wrapText="true"/>
    </xf>
    <xf applyAlignment="true" applyBorder="false" applyFill="false" applyFont="true" applyNumberFormat="false" applyProtection="false" borderId="82" fillId="0" fontId="5" numFmtId="0" xfId="0">
      <alignment horizontal="center" vertical="center"/>
    </xf>
    <xf applyAlignment="true" applyBorder="false" applyFill="false" applyFont="true" applyNumberFormat="false" applyProtection="false" borderId="72" fillId="0" fontId="5" numFmtId="0" xfId="0">
      <alignment horizontal="center" vertical="center" wrapText="true"/>
    </xf>
    <xf applyAlignment="true" applyBorder="false" applyFill="true" applyFont="true" applyNumberFormat="true" applyProtection="false" borderId="71" fillId="200" fontId="3" numFmtId="180" xfId="0">
      <alignment horizontal="center" vertical="center" wrapText="true"/>
    </xf>
    <xf applyAlignment="true" applyBorder="false" applyFill="true" applyFont="true" applyNumberFormat="true" applyProtection="false" borderId="72" fillId="200" fontId="3" numFmtId="180" xfId="0">
      <alignment horizontal="center" vertical="center" wrapText="true"/>
    </xf>
    <xf applyAlignment="true" applyBorder="false" applyFill="true" applyFont="true" applyNumberFormat="true" applyProtection="false" borderId="71" fillId="200" fontId="7" numFmtId="180" xfId="0">
      <alignment horizontal="center" vertical="center" wrapText="true"/>
    </xf>
    <xf applyAlignment="true" applyBorder="false" applyFill="true" applyFont="true" applyNumberFormat="true" applyProtection="false" borderId="71" fillId="200" fontId="7" numFmtId="181" xfId="0">
      <alignment horizontal="center" vertical="center"/>
    </xf>
    <xf applyAlignment="true" applyBorder="false" applyFill="true" applyFont="true" applyNumberFormat="false" applyProtection="false" borderId="71" fillId="200" fontId="7" numFmtId="0" xfId="0">
      <alignment horizontal="center" vertical="center"/>
    </xf>
    <xf applyAlignment="true" applyBorder="false" applyFill="true" applyFont="true" applyNumberFormat="false" applyProtection="false" borderId="71" fillId="200" fontId="7" numFmtId="0" xfId="0">
      <alignment horizontal="center" vertical="center" wrapText="true"/>
    </xf>
    <xf applyAlignment="true" applyBorder="false" applyFill="true" applyFont="true" applyNumberFormat="false" applyProtection="false" borderId="72" fillId="200" fontId="7" numFmtId="0" xfId="0">
      <alignment horizontal="center" vertical="center"/>
    </xf>
    <xf applyAlignment="true" applyBorder="false" applyFill="true" applyFont="true" applyNumberFormat="false" applyProtection="false" borderId="71" fillId="174" fontId="4" numFmtId="0" xfId="0">
      <alignment horizontal="center" vertical="center"/>
    </xf>
    <xf applyAlignment="true" applyBorder="false" applyFill="true" applyFont="true" applyNumberFormat="false" applyProtection="false" borderId="71" fillId="174" fontId="4" numFmtId="0" xfId="0">
      <alignment horizontal="center" vertical="center" wrapText="true"/>
    </xf>
    <xf applyAlignment="true" applyBorder="false" applyFill="true" applyFont="true" applyNumberFormat="false" applyProtection="false" borderId="72" fillId="174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71" fillId="201" fontId="3" numFmtId="180" xfId="0">
      <alignment horizontal="center" vertical="center" wrapText="true"/>
    </xf>
    <xf applyAlignment="true" applyBorder="false" applyFill="true" applyFont="true" applyNumberFormat="true" applyProtection="false" borderId="72" fillId="201" fontId="3" numFmtId="180" xfId="0">
      <alignment horizontal="center" vertical="center" wrapText="true"/>
    </xf>
    <xf applyAlignment="true" applyBorder="false" applyFill="true" applyFont="true" applyNumberFormat="true" applyProtection="false" borderId="71" fillId="201" fontId="7" numFmtId="180" xfId="0">
      <alignment horizontal="center" vertical="center" wrapText="true"/>
    </xf>
    <xf applyAlignment="true" applyBorder="false" applyFill="true" applyFont="true" applyNumberFormat="true" applyProtection="false" borderId="71" fillId="201" fontId="7" numFmtId="181" xfId="0">
      <alignment horizontal="center" vertical="center"/>
    </xf>
    <xf applyAlignment="true" applyBorder="false" applyFill="true" applyFont="true" applyNumberFormat="false" applyProtection="false" borderId="71" fillId="201" fontId="7" numFmtId="0" xfId="0">
      <alignment horizontal="center" vertical="center"/>
    </xf>
    <xf applyAlignment="true" applyBorder="false" applyFill="true" applyFont="true" applyNumberFormat="false" applyProtection="false" borderId="71" fillId="201" fontId="7" numFmtId="0" xfId="0">
      <alignment horizontal="center" vertical="center" wrapText="true"/>
    </xf>
    <xf applyAlignment="true" applyBorder="false" applyFill="true" applyFont="true" applyNumberFormat="false" applyProtection="false" borderId="72" fillId="201" fontId="7" numFmtId="0" xfId="0">
      <alignment horizontal="center" vertical="center"/>
    </xf>
    <xf applyAlignment="true" applyBorder="false" applyFill="true" applyFont="true" applyNumberFormat="false" applyProtection="false" borderId="73" fillId="179" fontId="5" numFmtId="0" xfId="0">
      <alignment horizontal="center" vertical="center"/>
    </xf>
    <xf applyAlignment="true" applyBorder="false" applyFill="true" applyFont="true" applyNumberFormat="false" applyProtection="false" borderId="73" fillId="177" fontId="5" numFmtId="0" xfId="0">
      <alignment horizontal="center" vertical="center"/>
    </xf>
    <xf applyAlignment="true" applyBorder="false" applyFill="true" applyFont="true" applyNumberFormat="false" applyProtection="false" borderId="72" fillId="179" fontId="5" numFmtId="0" xfId="0">
      <alignment horizontal="center" vertical="center" wrapText="true"/>
    </xf>
    <xf applyAlignment="true" applyBorder="false" applyFill="true" applyFont="true" applyNumberFormat="false" applyProtection="false" borderId="0" fillId="179" fontId="5" numFmtId="0" xfId="0">
      <alignment horizontal="center" vertical="center" wrapText="true"/>
    </xf>
    <xf applyAlignment="true" applyBorder="false" applyFill="true" applyFont="true" applyNumberFormat="false" applyProtection="false" borderId="72" fillId="174" fontId="5" numFmtId="0" xfId="0">
      <alignment horizontal="center" vertical="center" wrapText="true"/>
    </xf>
    <xf applyAlignment="true" applyBorder="false" applyFill="true" applyFont="true" applyNumberFormat="false" applyProtection="false" borderId="0" fillId="174" fontId="5" numFmtId="0" xfId="0">
      <alignment horizontal="center" vertical="center" wrapText="true"/>
    </xf>
    <xf applyAlignment="true" applyBorder="false" applyFill="true" applyFont="true" applyNumberFormat="false" applyProtection="false" borderId="0" fillId="179" fontId="5" numFmtId="0" xfId="0">
      <alignment horizontal="left" vertical="center" wrapText="true"/>
    </xf>
    <xf applyAlignment="true" applyBorder="false" applyFill="true" applyFont="true" applyNumberFormat="false" applyProtection="false" borderId="72" fillId="179" fontId="5" numFmtId="0" xfId="0">
      <alignment horizontal="left" vertical="center" wrapText="true"/>
    </xf>
    <xf applyAlignment="true" applyBorder="false" applyFill="true" applyFont="true" applyNumberFormat="true" applyProtection="false" borderId="68" fillId="174" fontId="4" numFmtId="181" xfId="0">
      <alignment horizontal="center" vertical="center"/>
    </xf>
    <xf applyAlignment="true" applyBorder="false" applyFill="true" applyFont="true" applyNumberFormat="true" applyProtection="false" borderId="71" fillId="202" fontId="3" numFmtId="180" xfId="0">
      <alignment horizontal="center" vertical="center" wrapText="true"/>
    </xf>
    <xf applyAlignment="true" applyBorder="false" applyFill="true" applyFont="true" applyNumberFormat="true" applyProtection="false" borderId="72" fillId="202" fontId="3" numFmtId="180" xfId="0">
      <alignment horizontal="center" vertical="center" wrapText="true"/>
    </xf>
    <xf applyAlignment="true" applyBorder="false" applyFill="true" applyFont="true" applyNumberFormat="true" applyProtection="false" borderId="0" fillId="202" fontId="3" numFmtId="180" xfId="0">
      <alignment horizontal="center" vertical="center" wrapText="true"/>
    </xf>
    <xf applyAlignment="true" applyBorder="false" applyFill="true" applyFont="true" applyNumberFormat="false" applyProtection="false" borderId="0" fillId="202" fontId="6" numFmtId="0" xfId="0">
      <alignment vertical="center"/>
    </xf>
    <xf applyAlignment="true" applyBorder="false" applyFill="true" applyFont="true" applyNumberFormat="true" applyProtection="false" borderId="71" fillId="202" fontId="7" numFmtId="180" xfId="0">
      <alignment horizontal="center" vertical="center" wrapText="true"/>
    </xf>
    <xf applyAlignment="true" applyBorder="false" applyFill="true" applyFont="true" applyNumberFormat="true" applyProtection="false" borderId="71" fillId="202" fontId="7" numFmtId="181" xfId="0">
      <alignment horizontal="center" vertical="center"/>
    </xf>
    <xf applyAlignment="true" applyBorder="false" applyFill="true" applyFont="true" applyNumberFormat="false" applyProtection="false" borderId="71" fillId="202" fontId="7" numFmtId="0" xfId="0">
      <alignment horizontal="center" vertical="center"/>
    </xf>
    <xf applyAlignment="true" applyBorder="false" applyFill="true" applyFont="true" applyNumberFormat="false" applyProtection="false" borderId="68" fillId="202" fontId="7" numFmtId="0" xfId="0">
      <alignment horizontal="center" vertical="center" wrapText="true"/>
    </xf>
    <xf applyAlignment="true" applyBorder="false" applyFill="true" applyFont="true" applyNumberFormat="false" applyProtection="false" borderId="72" fillId="202" fontId="7" numFmtId="0" xfId="0">
      <alignment horizontal="center" vertical="center"/>
    </xf>
    <xf applyAlignment="true" applyBorder="false" applyFill="true" applyFont="true" applyNumberFormat="false" applyProtection="false" borderId="0" fillId="202" fontId="7" numFmtId="0" xfId="0">
      <alignment horizontal="center" vertical="center"/>
    </xf>
    <xf applyAlignment="true" applyBorder="false" applyFill="true" applyFont="true" applyNumberFormat="true" applyProtection="false" borderId="80" fillId="174" fontId="19" numFmtId="181" xfId="0">
      <alignment horizontal="center" vertical="center"/>
    </xf>
    <xf applyAlignment="true" applyBorder="false" applyFill="true" applyFont="true" applyNumberFormat="true" applyProtection="false" borderId="71" fillId="174" fontId="19" numFmtId="181" xfId="0">
      <alignment horizontal="center" vertical="center"/>
    </xf>
    <xf applyAlignment="true" applyBorder="false" applyFill="true" applyFont="true" applyNumberFormat="false" applyProtection="false" borderId="71" fillId="174" fontId="20" numFmtId="0" xfId="0">
      <alignment horizontal="center" vertical="center"/>
    </xf>
    <xf applyAlignment="true" applyBorder="false" applyFill="true" applyFont="true" applyNumberFormat="false" applyProtection="false" borderId="71" fillId="174" fontId="20" numFmtId="0" xfId="0">
      <alignment horizontal="center" vertical="center" wrapText="true"/>
    </xf>
    <xf applyAlignment="true" applyBorder="false" applyFill="true" applyFont="true" applyNumberFormat="false" applyProtection="false" borderId="73" fillId="174" fontId="20" numFmtId="0" xfId="0">
      <alignment horizontal="center" vertical="center"/>
    </xf>
    <xf applyAlignment="true" applyBorder="false" applyFill="true" applyFont="true" applyNumberFormat="false" applyProtection="false" borderId="72" fillId="174" fontId="20" numFmtId="0" xfId="0">
      <alignment horizontal="center" vertical="center"/>
    </xf>
    <xf applyAlignment="true" applyBorder="false" applyFill="true" applyFont="true" applyNumberFormat="false" applyProtection="false" borderId="0" fillId="174" fontId="20" numFmtId="0" xfId="0">
      <alignment horizontal="center" vertical="center"/>
    </xf>
    <xf applyAlignment="true" applyBorder="false" applyFill="true" applyFont="true" applyNumberFormat="false" applyProtection="false" borderId="0" fillId="174" fontId="21" numFmtId="0" xfId="0">
      <alignment vertical="center"/>
    </xf>
    <xf applyAlignment="true" applyBorder="false" applyFill="true" applyFont="true" applyNumberFormat="true" applyProtection="false" borderId="68" fillId="174" fontId="4" numFmtId="181" xfId="0">
      <alignment horizontal="center" vertical="center"/>
    </xf>
    <xf applyAlignment="true" applyBorder="false" applyFill="true" applyFont="true" applyNumberFormat="false" applyProtection="false" borderId="73" fillId="174" fontId="5" numFmtId="0" xfId="0">
      <alignment horizontal="center" vertical="center"/>
    </xf>
    <xf applyAlignment="true" applyBorder="false" applyFill="true" applyFont="true" applyNumberFormat="false" applyProtection="false" borderId="0" fillId="174" fontId="6" numFmtId="0" xfId="0">
      <alignment vertical="center"/>
    </xf>
    <xf applyAlignment="true" applyBorder="false" applyFill="true" applyFont="true" applyNumberFormat="true" applyProtection="false" borderId="68" fillId="193" fontId="19" numFmtId="181" xfId="0">
      <alignment horizontal="center" vertical="center"/>
    </xf>
    <xf applyAlignment="true" applyBorder="false" applyFill="true" applyFont="true" applyNumberFormat="true" applyProtection="false" borderId="71" fillId="193" fontId="19" numFmtId="181" xfId="0">
      <alignment horizontal="center" vertical="center"/>
    </xf>
    <xf applyAlignment="true" applyBorder="false" applyFill="true" applyFont="true" applyNumberFormat="false" applyProtection="false" borderId="71" fillId="193" fontId="20" numFmtId="0" xfId="0">
      <alignment horizontal="center" vertical="center"/>
    </xf>
    <xf applyAlignment="true" applyBorder="false" applyFill="true" applyFont="true" applyNumberFormat="true" applyProtection="false" borderId="71" fillId="193" fontId="20" numFmtId="182" xfId="0">
      <alignment horizontal="center" vertical="center"/>
    </xf>
    <xf applyAlignment="true" applyBorder="false" applyFill="true" applyFont="true" applyNumberFormat="false" applyProtection="false" borderId="71" fillId="193" fontId="20" numFmtId="0" xfId="0">
      <alignment horizontal="center" vertical="center" wrapText="true"/>
    </xf>
    <xf applyAlignment="true" applyBorder="false" applyFill="true" applyFont="true" applyNumberFormat="false" applyProtection="false" borderId="73" fillId="193" fontId="20" numFmtId="0" xfId="0">
      <alignment horizontal="center" vertical="center"/>
    </xf>
    <xf applyAlignment="true" applyBorder="false" applyFill="true" applyFont="true" applyNumberFormat="false" applyProtection="false" borderId="72" fillId="193" fontId="20" numFmtId="0" xfId="0">
      <alignment horizontal="center" vertical="center"/>
    </xf>
    <xf applyAlignment="true" applyBorder="false" applyFill="true" applyFont="true" applyNumberFormat="false" applyProtection="false" borderId="0" fillId="193" fontId="20" numFmtId="0" xfId="0">
      <alignment horizontal="center" vertical="center"/>
    </xf>
    <xf applyAlignment="true" applyBorder="false" applyFill="true" applyFont="true" applyNumberFormat="false" applyProtection="false" borderId="0" fillId="193" fontId="21" numFmtId="0" xfId="0">
      <alignment vertical="center"/>
    </xf>
    <xf applyAlignment="true" applyBorder="false" applyFill="true" applyFont="true" applyNumberFormat="true" applyProtection="false" borderId="71" fillId="203" fontId="3" numFmtId="180" xfId="0">
      <alignment horizontal="center" vertical="center" wrapText="true"/>
    </xf>
    <xf applyAlignment="true" applyBorder="false" applyFill="true" applyFont="true" applyNumberFormat="true" applyProtection="false" borderId="72" fillId="203" fontId="3" numFmtId="180" xfId="0">
      <alignment horizontal="center" vertical="center" wrapText="true"/>
    </xf>
    <xf applyAlignment="true" applyBorder="false" applyFill="true" applyFont="true" applyNumberFormat="true" applyProtection="false" borderId="71" fillId="203" fontId="7" numFmtId="180" xfId="0">
      <alignment horizontal="center" vertical="center" wrapText="true"/>
    </xf>
    <xf applyAlignment="true" applyBorder="false" applyFill="true" applyFont="true" applyNumberFormat="true" applyProtection="false" borderId="71" fillId="203" fontId="7" numFmtId="181" xfId="0">
      <alignment horizontal="center" vertical="center"/>
    </xf>
    <xf applyAlignment="true" applyBorder="false" applyFill="true" applyFont="true" applyNumberFormat="false" applyProtection="false" borderId="71" fillId="203" fontId="7" numFmtId="0" xfId="0">
      <alignment horizontal="center" vertical="center"/>
    </xf>
    <xf applyAlignment="true" applyBorder="false" applyFill="true" applyFont="true" applyNumberFormat="false" applyProtection="false" borderId="71" fillId="203" fontId="7" numFmtId="0" xfId="0">
      <alignment horizontal="center" vertical="center" wrapText="true"/>
    </xf>
    <xf applyAlignment="true" applyBorder="false" applyFill="true" applyFont="true" applyNumberFormat="false" applyProtection="false" borderId="72" fillId="203" fontId="7" numFmtId="0" xfId="0">
      <alignment horizontal="center" vertical="center"/>
    </xf>
    <xf applyAlignment="true" applyBorder="false" applyFill="true" applyFont="true" applyNumberFormat="false" applyProtection="false" borderId="72" fillId="188" fontId="5" numFmtId="0" xfId="0">
      <alignment horizontal="center" vertical="center"/>
    </xf>
    <xf applyAlignment="true" applyBorder="false" applyFill="true" applyFont="true" applyNumberFormat="true" applyProtection="false" borderId="71" fillId="204" fontId="4" numFmtId="181" xfId="0">
      <alignment horizontal="center" vertical="center"/>
    </xf>
    <xf applyAlignment="true" applyBorder="false" applyFill="true" applyFont="true" applyNumberFormat="true" applyProtection="false" borderId="71" fillId="204" fontId="4" numFmtId="181" xfId="0">
      <alignment horizontal="center" vertical="center"/>
    </xf>
    <xf applyAlignment="true" applyBorder="false" applyFill="true" applyFont="true" applyNumberFormat="false" applyProtection="false" borderId="71" fillId="204" fontId="5" numFmtId="0" xfId="0">
      <alignment horizontal="center" vertical="center"/>
    </xf>
    <xf applyAlignment="true" applyBorder="false" applyFill="true" applyFont="true" applyNumberFormat="false" applyProtection="false" borderId="71" fillId="204" fontId="5" numFmtId="0" xfId="0">
      <alignment horizontal="center" vertical="center"/>
    </xf>
    <xf applyAlignment="true" applyBorder="false" applyFill="true" applyFont="true" applyNumberFormat="false" applyProtection="false" borderId="71" fillId="204" fontId="18" numFmtId="0" xfId="0">
      <alignment horizontal="center" vertical="center" wrapText="true"/>
    </xf>
    <xf applyAlignment="true" applyBorder="false" applyFill="true" applyFont="true" applyNumberFormat="false" applyProtection="false" borderId="72" fillId="204" fontId="5" numFmtId="0" xfId="0">
      <alignment horizontal="center" vertical="center"/>
    </xf>
    <xf applyAlignment="true" applyBorder="false" applyFill="true" applyFont="true" applyNumberFormat="false" applyProtection="false" borderId="71" fillId="188" fontId="5" numFmtId="0" xfId="0">
      <alignment horizontal="center" vertical="center"/>
    </xf>
    <xf applyAlignment="true" applyBorder="false" applyFill="true" applyFont="true" applyNumberFormat="true" applyProtection="false" borderId="71" fillId="205" fontId="4" numFmtId="181" xfId="0">
      <alignment horizontal="center" vertical="center"/>
    </xf>
    <xf applyAlignment="true" applyBorder="false" applyFill="true" applyFont="true" applyNumberFormat="true" applyProtection="false" borderId="71" fillId="205" fontId="4" numFmtId="181" xfId="0">
      <alignment horizontal="center" vertical="center"/>
    </xf>
    <xf applyAlignment="true" applyBorder="false" applyFill="true" applyFont="true" applyNumberFormat="false" applyProtection="false" borderId="71" fillId="205" fontId="5" numFmtId="0" xfId="0">
      <alignment horizontal="center" vertical="center"/>
    </xf>
    <xf applyAlignment="true" applyBorder="false" applyFill="true" applyFont="true" applyNumberFormat="false" applyProtection="false" borderId="71" fillId="205" fontId="5" numFmtId="0" xfId="0">
      <alignment horizontal="center" vertical="center"/>
    </xf>
    <xf applyAlignment="true" applyBorder="false" applyFill="true" applyFont="true" applyNumberFormat="false" applyProtection="false" borderId="71" fillId="205" fontId="18" numFmtId="0" xfId="0">
      <alignment horizontal="center" vertical="center" wrapText="true"/>
    </xf>
    <xf applyAlignment="true" applyBorder="false" applyFill="true" applyFont="true" applyNumberFormat="false" applyProtection="false" borderId="72" fillId="205" fontId="5" numFmtId="0" xfId="0">
      <alignment horizontal="center" vertical="center"/>
    </xf>
    <xf applyAlignment="true" applyBorder="false" applyFill="true" applyFont="true" applyNumberFormat="false" applyProtection="false" borderId="72" fillId="199" fontId="5" numFmtId="0" xfId="0">
      <alignment horizontal="center" vertical="center"/>
    </xf>
    <xf applyAlignment="true" applyBorder="false" applyFill="true" applyFont="true" applyNumberFormat="true" applyProtection="false" borderId="71" fillId="206" fontId="9" numFmtId="180" xfId="0">
      <alignment horizontal="center" vertical="center" wrapText="true"/>
    </xf>
    <xf applyAlignment="true" applyBorder="false" applyFill="true" applyFont="true" applyNumberFormat="true" applyProtection="false" borderId="71" fillId="206" fontId="16" numFmtId="180" xfId="0">
      <alignment horizontal="center" vertical="center" wrapText="true"/>
    </xf>
    <xf applyAlignment="true" applyBorder="false" applyFill="true" applyFont="true" applyNumberFormat="true" applyProtection="false" borderId="72" fillId="206" fontId="16" numFmtId="180" xfId="0">
      <alignment horizontal="center" vertical="center" wrapText="true"/>
    </xf>
    <xf applyAlignment="true" applyBorder="false" applyFill="true" applyFont="true" applyNumberFormat="true" applyProtection="false" borderId="0" fillId="174" fontId="16" numFmtId="180" xfId="0">
      <alignment horizontal="center" vertical="center" wrapText="true"/>
    </xf>
    <xf applyAlignment="true" applyBorder="false" applyFill="true" applyFont="true" applyNumberFormat="true" applyProtection="false" borderId="0" fillId="174" fontId="16" numFmtId="180" xfId="0">
      <alignment horizontal="center" vertical="center" wrapText="true"/>
    </xf>
    <xf applyAlignment="true" applyBorder="false" applyFill="true" applyFont="true" applyNumberFormat="true" applyProtection="false" borderId="71" fillId="206" fontId="7" numFmtId="180" xfId="0">
      <alignment horizontal="center" vertical="center" wrapText="true"/>
    </xf>
    <xf applyAlignment="true" applyBorder="false" applyFill="true" applyFont="true" applyNumberFormat="true" applyProtection="false" borderId="71" fillId="206" fontId="7" numFmtId="181" xfId="0">
      <alignment horizontal="center" vertical="center"/>
    </xf>
    <xf applyAlignment="true" applyBorder="false" applyFill="true" applyFont="true" applyNumberFormat="false" applyProtection="false" borderId="71" fillId="206" fontId="7" numFmtId="0" xfId="0">
      <alignment horizontal="center" vertical="center"/>
    </xf>
    <xf applyAlignment="true" applyBorder="false" applyFill="true" applyFont="true" applyNumberFormat="false" applyProtection="false" borderId="71" fillId="206" fontId="7" numFmtId="0" xfId="0">
      <alignment horizontal="center" vertical="center" wrapText="true"/>
    </xf>
    <xf applyAlignment="true" applyBorder="false" applyFill="true" applyFont="true" applyNumberFormat="false" applyProtection="false" borderId="71" fillId="206" fontId="7" numFmtId="0" xfId="0">
      <alignment horizontal="center" vertical="center"/>
    </xf>
    <xf applyAlignment="true" applyBorder="false" applyFill="true" applyFont="true" applyNumberFormat="false" applyProtection="false" borderId="72" fillId="206" fontId="7" numFmtId="0" xfId="0">
      <alignment horizontal="center" vertical="center"/>
    </xf>
    <xf applyAlignment="true" applyBorder="false" applyFill="true" applyFont="true" applyNumberFormat="true" applyProtection="false" borderId="71" fillId="174" fontId="4" numFmtId="180" xfId="0">
      <alignment horizontal="center" vertical="center" wrapText="true"/>
    </xf>
    <xf applyAlignment="true" applyBorder="false" applyFill="true" applyFont="true" applyNumberFormat="true" applyProtection="false" borderId="71" fillId="207" fontId="4" numFmtId="180" xfId="0">
      <alignment horizontal="center" vertical="center" wrapText="true"/>
    </xf>
    <xf applyAlignment="true" applyBorder="false" applyFill="true" applyFont="true" applyNumberFormat="true" applyProtection="false" borderId="71" fillId="207" fontId="4" numFmtId="181" xfId="0">
      <alignment horizontal="center" vertical="center"/>
    </xf>
    <xf applyAlignment="true" applyBorder="false" applyFill="true" applyFont="true" applyNumberFormat="true" applyProtection="false" borderId="71" fillId="207" fontId="4" numFmtId="181" xfId="0">
      <alignment horizontal="center" vertical="center"/>
    </xf>
    <xf applyAlignment="true" applyBorder="false" applyFill="true" applyFont="true" applyNumberFormat="false" applyProtection="false" borderId="71" fillId="208" fontId="5" numFmtId="0" xfId="0">
      <alignment horizontal="center" vertical="center"/>
    </xf>
    <xf applyAlignment="true" applyBorder="false" applyFill="true" applyFont="true" applyNumberFormat="false" applyProtection="false" borderId="71" fillId="207" fontId="5" numFmtId="0" xfId="0">
      <alignment horizontal="center" vertical="center"/>
    </xf>
    <xf applyAlignment="true" applyBorder="false" applyFill="true" applyFont="true" applyNumberFormat="false" applyProtection="false" borderId="71" fillId="208" fontId="5" numFmtId="0" xfId="0">
      <alignment horizontal="center" vertical="center"/>
    </xf>
    <xf applyAlignment="true" applyBorder="false" applyFill="true" applyFont="true" applyNumberFormat="false" applyProtection="false" borderId="71" fillId="208" fontId="5" numFmtId="0" xfId="0">
      <alignment horizontal="center" vertical="center" wrapText="true"/>
    </xf>
    <xf applyAlignment="true" applyBorder="false" applyFill="true" applyFont="true" applyNumberFormat="false" applyProtection="false" borderId="71" fillId="207" fontId="4" numFmtId="0" xfId="0">
      <alignment horizontal="center" vertical="center"/>
    </xf>
    <xf applyAlignment="true" applyBorder="false" applyFill="true" applyFont="true" applyNumberFormat="false" applyProtection="false" borderId="72" fillId="207" fontId="4" numFmtId="0" xfId="0">
      <alignment horizontal="center" vertical="center"/>
    </xf>
    <xf applyAlignment="true" applyBorder="false" applyFill="true" applyFont="true" applyNumberFormat="false" applyProtection="false" borderId="71" fillId="207" fontId="4" numFmtId="0" xfId="0">
      <alignment horizontal="center" vertical="center" wrapText="true"/>
    </xf>
    <xf applyAlignment="true" applyBorder="false" applyFill="true" applyFont="true" applyNumberFormat="true" applyProtection="false" borderId="71" fillId="177" fontId="4" numFmtId="180" xfId="0">
      <alignment horizontal="center" vertical="center" wrapText="true"/>
    </xf>
    <xf applyAlignment="true" applyBorder="false" applyFill="true" applyFont="true" applyNumberFormat="false" applyProtection="false" borderId="70" fillId="208" fontId="5" numFmtId="0" xfId="0">
      <alignment horizontal="center" vertical="center"/>
    </xf>
    <xf applyAlignment="true" applyBorder="false" applyFill="true" applyFont="true" applyNumberFormat="false" applyProtection="false" borderId="72" fillId="208" fontId="4" numFmtId="0" xfId="0">
      <alignment horizontal="center" vertical="center"/>
    </xf>
    <xf applyAlignment="true" applyBorder="false" applyFill="true" applyFont="true" applyNumberFormat="false" applyProtection="false" borderId="71" fillId="207" fontId="5" numFmtId="0" xfId="0">
      <alignment horizontal="center" vertical="center"/>
    </xf>
    <xf applyAlignment="true" applyBorder="false" applyFill="true" applyFont="true" applyNumberFormat="false" applyProtection="false" borderId="71" fillId="207" fontId="5" numFmtId="0" xfId="0">
      <alignment horizontal="center" vertical="center" wrapText="true"/>
    </xf>
    <xf applyAlignment="true" applyBorder="false" applyFill="true" applyFont="true" applyNumberFormat="true" applyProtection="false" borderId="71" fillId="179" fontId="4" numFmtId="180" xfId="0">
      <alignment horizontal="center" vertical="center" wrapText="true"/>
    </xf>
    <xf applyAlignment="true" applyBorder="false" applyFill="true" applyFont="true" applyNumberFormat="true" applyProtection="false" borderId="70" fillId="179" fontId="5" numFmtId="182" xfId="0">
      <alignment horizontal="center" vertical="center"/>
    </xf>
    <xf applyAlignment="true" applyBorder="false" applyFill="true" applyFont="true" applyNumberFormat="true" applyProtection="false" borderId="71" fillId="209" fontId="10" numFmtId="180" xfId="0">
      <alignment horizontal="center" vertical="center" wrapText="true"/>
    </xf>
    <xf applyAlignment="true" applyBorder="false" applyFill="true" applyFont="true" applyNumberFormat="true" applyProtection="false" borderId="72" fillId="209" fontId="10" numFmtId="180" xfId="0">
      <alignment horizontal="center" vertical="center" wrapText="true"/>
    </xf>
    <xf applyAlignment="true" applyBorder="false" applyFill="true" applyFont="true" applyNumberFormat="true" applyProtection="false" borderId="71" fillId="209" fontId="7" numFmtId="180" xfId="0">
      <alignment horizontal="center" vertical="center" wrapText="true"/>
    </xf>
    <xf applyAlignment="true" applyBorder="false" applyFill="true" applyFont="true" applyNumberFormat="true" applyProtection="false" borderId="71" fillId="209" fontId="7" numFmtId="181" xfId="0">
      <alignment horizontal="center" vertical="center"/>
    </xf>
    <xf applyAlignment="true" applyBorder="false" applyFill="true" applyFont="true" applyNumberFormat="false" applyProtection="false" borderId="71" fillId="209" fontId="7" numFmtId="0" xfId="0">
      <alignment horizontal="center" vertical="center"/>
    </xf>
    <xf applyAlignment="true" applyBorder="false" applyFill="true" applyFont="true" applyNumberFormat="false" applyProtection="false" borderId="71" fillId="209" fontId="7" numFmtId="0" xfId="0">
      <alignment horizontal="center" vertical="center" wrapText="true"/>
    </xf>
    <xf applyAlignment="true" applyBorder="false" applyFill="true" applyFont="true" applyNumberFormat="false" applyProtection="false" borderId="72" fillId="209" fontId="7" numFmtId="0" xfId="0">
      <alignment horizontal="center" vertical="center"/>
    </xf>
    <xf applyAlignment="true" applyBorder="false" applyFill="true" applyFont="true" applyNumberFormat="true" applyProtection="false" borderId="71" fillId="210" fontId="3" numFmtId="180" xfId="0">
      <alignment horizontal="center" vertical="center" wrapText="true"/>
    </xf>
    <xf applyAlignment="true" applyBorder="false" applyFill="true" applyFont="true" applyNumberFormat="true" applyProtection="false" borderId="68" fillId="210" fontId="3" numFmtId="180" xfId="0">
      <alignment horizontal="center" vertical="center" wrapText="true"/>
    </xf>
    <xf applyAlignment="true" applyBorder="false" applyFill="true" applyFont="true" applyNumberFormat="true" applyProtection="false" borderId="71" fillId="210" fontId="7" numFmtId="180" xfId="0">
      <alignment horizontal="center" vertical="center" wrapText="true"/>
    </xf>
    <xf applyAlignment="true" applyBorder="false" applyFill="true" applyFont="true" applyNumberFormat="true" applyProtection="false" borderId="71" fillId="210" fontId="7" numFmtId="181" xfId="0">
      <alignment horizontal="center" vertical="center"/>
    </xf>
    <xf applyAlignment="true" applyBorder="false" applyFill="true" applyFont="true" applyNumberFormat="false" applyProtection="false" borderId="68" fillId="210" fontId="7" numFmtId="0" xfId="0">
      <alignment horizontal="center" vertical="center"/>
    </xf>
    <xf applyAlignment="true" applyBorder="false" applyFill="true" applyFont="true" applyNumberFormat="false" applyProtection="false" borderId="71" fillId="210" fontId="7" numFmtId="0" xfId="0">
      <alignment horizontal="center" vertical="center"/>
    </xf>
    <xf applyAlignment="true" applyBorder="false" applyFill="true" applyFont="true" applyNumberFormat="false" applyProtection="false" borderId="71" fillId="210" fontId="7" numFmtId="0" xfId="0">
      <alignment horizontal="center" vertical="center" wrapText="true"/>
    </xf>
    <xf applyAlignment="true" applyBorder="false" applyFill="true" applyFont="true" applyNumberFormat="false" applyProtection="false" borderId="72" fillId="210" fontId="7" numFmtId="0" xfId="0">
      <alignment horizontal="center" vertical="center"/>
    </xf>
    <xf applyAlignment="true" applyBorder="false" applyFill="true" applyFont="true" applyNumberFormat="false" applyProtection="false" borderId="70" fillId="210" fontId="7" numFmtId="0" xfId="0">
      <alignment horizontal="center" vertical="center"/>
    </xf>
    <xf applyAlignment="true" applyBorder="false" applyFill="true" applyFont="true" applyNumberFormat="false" applyProtection="false" borderId="70" fillId="174" fontId="5" numFmtId="0" xfId="0">
      <alignment horizontal="center" vertical="center"/>
    </xf>
    <xf applyAlignment="true" applyBorder="false" applyFill="true" applyFont="true" applyNumberFormat="false" applyProtection="false" borderId="71" fillId="199" fontId="4" numFmtId="0" xfId="0">
      <alignment horizontal="center" vertical="center" wrapText="true"/>
    </xf>
    <xf applyAlignment="true" applyBorder="false" applyFill="true" applyFont="true" applyNumberFormat="false" applyProtection="false" borderId="71" fillId="188" fontId="4" numFmtId="0" xfId="0">
      <alignment horizontal="center" vertical="center" wrapText="true"/>
    </xf>
    <xf applyAlignment="true" applyBorder="false" applyFill="true" applyFont="true" applyNumberFormat="false" applyProtection="false" borderId="70" fillId="199" fontId="5" numFmtId="0" xfId="0">
      <alignment horizontal="center" vertical="center"/>
    </xf>
    <xf applyAlignment="true" applyBorder="false" applyFill="true" applyFont="true" applyNumberFormat="false" applyProtection="false" borderId="73" fillId="177" fontId="5" numFmtId="0" xfId="0">
      <alignment horizontal="center" vertical="center"/>
    </xf>
    <xf applyAlignment="true" applyBorder="false" applyFill="true" applyFont="true" applyNumberFormat="true" applyProtection="false" borderId="71" fillId="211" fontId="16" numFmtId="180" xfId="0">
      <alignment horizontal="center" vertical="center" wrapText="true"/>
    </xf>
    <xf applyAlignment="true" applyBorder="false" applyFill="true" applyFont="true" applyNumberFormat="true" applyProtection="false" borderId="71" fillId="211" fontId="17" numFmtId="180" xfId="0">
      <alignment horizontal="center" vertical="center" wrapText="true"/>
    </xf>
    <xf applyAlignment="true" applyBorder="false" applyFill="true" applyFont="true" applyNumberFormat="true" applyProtection="false" borderId="71" fillId="211" fontId="17" numFmtId="181" xfId="0">
      <alignment horizontal="center" vertical="center"/>
    </xf>
    <xf applyAlignment="true" applyBorder="false" applyFill="true" applyFont="true" applyNumberFormat="false" applyProtection="false" borderId="68" fillId="211" fontId="17" numFmtId="0" xfId="0">
      <alignment horizontal="center" vertical="center"/>
    </xf>
    <xf applyAlignment="true" applyBorder="false" applyFill="true" applyFont="true" applyNumberFormat="false" applyProtection="false" borderId="71" fillId="211" fontId="17" numFmtId="0" xfId="0">
      <alignment horizontal="center" vertical="center"/>
    </xf>
    <xf applyAlignment="true" applyBorder="false" applyFill="true" applyFont="true" applyNumberFormat="false" applyProtection="false" borderId="71" fillId="211" fontId="17" numFmtId="0" xfId="0">
      <alignment horizontal="center" vertical="center" wrapText="true"/>
    </xf>
    <xf applyAlignment="true" applyBorder="false" applyFill="true" applyFont="true" applyNumberFormat="false" applyProtection="false" borderId="72" fillId="211" fontId="17" numFmtId="0" xfId="0">
      <alignment horizontal="center" vertical="center"/>
    </xf>
    <xf applyAlignment="true" applyBorder="false" applyFill="true" applyFont="true" applyNumberFormat="false" applyProtection="false" borderId="73" fillId="174" fontId="5" numFmtId="0" xfId="0">
      <alignment horizontal="center" vertical="center"/>
    </xf>
    <xf applyAlignment="true" applyBorder="false" applyFill="true" applyFont="true" applyNumberFormat="true" applyProtection="false" borderId="71" fillId="212" fontId="16" numFmtId="180" xfId="0">
      <alignment horizontal="center" vertical="center" wrapText="true"/>
    </xf>
    <xf applyAlignment="true" applyBorder="false" applyFill="true" applyFont="true" applyNumberFormat="true" applyProtection="false" borderId="72" fillId="212" fontId="16" numFmtId="180" xfId="0">
      <alignment horizontal="center" vertical="center" wrapText="true"/>
    </xf>
    <xf applyAlignment="true" applyBorder="false" applyFill="true" applyFont="true" applyNumberFormat="true" applyProtection="false" borderId="71" fillId="212" fontId="7" numFmtId="180" xfId="0">
      <alignment horizontal="center" vertical="center" wrapText="true"/>
    </xf>
    <xf applyAlignment="true" applyBorder="false" applyFill="true" applyFont="true" applyNumberFormat="true" applyProtection="false" borderId="71" fillId="212" fontId="7" numFmtId="181" xfId="0">
      <alignment horizontal="center" vertical="center"/>
    </xf>
    <xf applyAlignment="true" applyBorder="false" applyFill="true" applyFont="true" applyNumberFormat="false" applyProtection="false" borderId="71" fillId="212" fontId="7" numFmtId="0" xfId="0">
      <alignment horizontal="center" vertical="center"/>
    </xf>
    <xf applyAlignment="true" applyBorder="false" applyFill="true" applyFont="true" applyNumberFormat="false" applyProtection="false" borderId="71" fillId="212" fontId="7" numFmtId="0" xfId="0">
      <alignment horizontal="center" vertical="center" wrapText="true"/>
    </xf>
    <xf applyAlignment="true" applyBorder="false" applyFill="true" applyFont="true" applyNumberFormat="false" applyProtection="false" borderId="72" fillId="212" fontId="7" numFmtId="0" xfId="0">
      <alignment horizontal="center" vertical="center"/>
    </xf>
    <xf applyAlignment="true" applyBorder="false" applyFill="true" applyFont="true" applyNumberFormat="true" applyProtection="false" borderId="71" fillId="212" fontId="4" numFmtId="181" xfId="0">
      <alignment horizontal="center" vertical="center"/>
    </xf>
    <xf applyAlignment="true" applyBorder="false" applyFill="true" applyFont="true" applyNumberFormat="true" applyProtection="false" borderId="71" fillId="212" fontId="4" numFmtId="181" xfId="0">
      <alignment horizontal="center" vertical="center"/>
    </xf>
    <xf applyAlignment="true" applyBorder="false" applyFill="true" applyFont="true" applyNumberFormat="false" applyProtection="false" borderId="71" fillId="212" fontId="5" numFmtId="0" xfId="0">
      <alignment horizontal="center" vertical="center"/>
    </xf>
    <xf applyAlignment="true" applyBorder="false" applyFill="true" applyFont="true" applyNumberFormat="false" applyProtection="false" borderId="71" fillId="212" fontId="5" numFmtId="0" xfId="0">
      <alignment horizontal="center" vertical="center"/>
    </xf>
    <xf applyAlignment="true" applyBorder="false" applyFill="true" applyFont="true" applyNumberFormat="false" applyProtection="false" borderId="71" fillId="212" fontId="5" numFmtId="0" xfId="0">
      <alignment horizontal="center" vertical="center" wrapText="true"/>
    </xf>
    <xf applyAlignment="true" applyBorder="false" applyFill="true" applyFont="true" applyNumberFormat="false" applyProtection="false" borderId="73" fillId="212" fontId="5" numFmtId="0" xfId="0">
      <alignment horizontal="center" vertical="center"/>
    </xf>
    <xf applyAlignment="true" applyBorder="false" applyFill="true" applyFont="true" applyNumberFormat="false" applyProtection="false" borderId="72" fillId="212" fontId="5" numFmtId="0" xfId="0">
      <alignment horizontal="center" vertical="center"/>
    </xf>
    <xf applyAlignment="true" applyBorder="false" applyFill="true" applyFont="true" applyNumberFormat="false" applyProtection="false" borderId="71" fillId="172" fontId="18" numFmtId="0" xfId="0">
      <alignment horizontal="center" vertical="center"/>
    </xf>
    <xf applyAlignment="true" applyBorder="false" applyFill="true" applyFont="true" applyNumberFormat="false" applyProtection="false" borderId="72" fillId="212" fontId="5" numFmtId="0" xfId="0">
      <alignment horizontal="center" vertical="center"/>
    </xf>
    <xf applyAlignment="true" applyBorder="false" applyFill="true" applyFont="true" applyNumberFormat="true" applyProtection="false" borderId="71" fillId="213" fontId="3" numFmtId="180" xfId="0">
      <alignment horizontal="center" vertical="center" wrapText="true"/>
    </xf>
    <xf applyAlignment="true" applyBorder="false" applyFill="true" applyFont="true" applyNumberFormat="true" applyProtection="false" borderId="71" fillId="213" fontId="16" numFmtId="180" xfId="0">
      <alignment horizontal="center" vertical="center" wrapText="true"/>
    </xf>
    <xf applyAlignment="true" applyBorder="false" applyFill="true" applyFont="true" applyNumberFormat="true" applyProtection="false" borderId="72" fillId="213" fontId="16" numFmtId="180" xfId="0">
      <alignment horizontal="center" vertical="center" wrapText="true"/>
    </xf>
    <xf applyAlignment="true" applyBorder="false" applyFill="true" applyFont="true" applyNumberFormat="true" applyProtection="false" borderId="71" fillId="214" fontId="7" numFmtId="180" xfId="0">
      <alignment horizontal="center" vertical="center" wrapText="true"/>
    </xf>
    <xf applyAlignment="true" applyBorder="false" applyFill="true" applyFont="true" applyNumberFormat="true" applyProtection="false" borderId="71" fillId="214" fontId="7" numFmtId="181" xfId="0">
      <alignment horizontal="center" vertical="center"/>
    </xf>
    <xf applyAlignment="true" applyBorder="false" applyFill="true" applyFont="true" applyNumberFormat="false" applyProtection="false" borderId="71" fillId="214" fontId="7" numFmtId="0" xfId="0">
      <alignment horizontal="center" vertical="center"/>
    </xf>
    <xf applyAlignment="true" applyBorder="false" applyFill="true" applyFont="true" applyNumberFormat="false" applyProtection="false" borderId="71" fillId="214" fontId="7" numFmtId="0" xfId="0">
      <alignment horizontal="center" vertical="center" wrapText="true"/>
    </xf>
    <xf applyAlignment="true" applyBorder="false" applyFill="true" applyFont="true" applyNumberFormat="false" applyProtection="false" borderId="72" fillId="214" fontId="7" numFmtId="0" xfId="0">
      <alignment horizontal="center" vertical="center"/>
    </xf>
    <xf applyAlignment="true" applyBorder="false" applyFill="true" applyFont="true" applyNumberFormat="false" applyProtection="false" borderId="71" fillId="215" fontId="5" numFmtId="0" xfId="0">
      <alignment horizontal="center" vertical="center"/>
    </xf>
    <xf applyAlignment="true" applyBorder="false" applyFill="true" applyFont="true" applyNumberFormat="true" applyProtection="false" borderId="71" fillId="215" fontId="4" numFmtId="181" xfId="0">
      <alignment horizontal="center" vertical="center"/>
    </xf>
    <xf applyAlignment="true" applyBorder="false" applyFill="true" applyFont="true" applyNumberFormat="true" applyProtection="false" borderId="71" fillId="215" fontId="4" numFmtId="181" xfId="0">
      <alignment horizontal="center" vertical="center"/>
    </xf>
    <xf applyAlignment="true" applyBorder="false" applyFill="true" applyFont="true" applyNumberFormat="false" applyProtection="false" borderId="71" fillId="215" fontId="5" numFmtId="0" xfId="0">
      <alignment horizontal="center" vertical="center"/>
    </xf>
    <xf applyAlignment="true" applyBorder="false" applyFill="true" applyFont="true" applyNumberFormat="false" applyProtection="false" borderId="71" fillId="215" fontId="5" numFmtId="0" xfId="0">
      <alignment horizontal="center" vertical="center" wrapText="true"/>
    </xf>
    <xf applyAlignment="true" applyBorder="false" applyFill="true" applyFont="true" applyNumberFormat="false" applyProtection="false" borderId="72" fillId="195" fontId="5" numFmtId="0" xfId="0">
      <alignment horizontal="center" vertical="center"/>
    </xf>
    <xf applyAlignment="true" applyBorder="false" applyFill="true" applyFont="true" applyNumberFormat="false" applyProtection="false" borderId="71" fillId="195" fontId="5" numFmtId="0" xfId="0">
      <alignment horizontal="center" vertical="center"/>
    </xf>
    <xf applyAlignment="true" applyBorder="false" applyFill="true" applyFont="true" applyNumberFormat="false" applyProtection="false" borderId="71" fillId="195" fontId="5" numFmtId="0" xfId="0">
      <alignment horizontal="center" vertical="center" wrapText="true"/>
    </xf>
    <xf applyAlignment="true" applyBorder="false" applyFill="true" applyFont="true" applyNumberFormat="true" applyProtection="false" borderId="72" fillId="177" fontId="4" numFmtId="181" xfId="0">
      <alignment horizontal="center" vertical="center"/>
    </xf>
    <xf applyAlignment="true" applyBorder="false" applyFill="true" applyFont="true" applyNumberFormat="true" applyProtection="false" borderId="0" fillId="174" fontId="4" numFmtId="181" xfId="0">
      <alignment horizontal="center" vertical="center"/>
    </xf>
    <xf applyAlignment="true" applyBorder="false" applyFill="true" applyFont="true" applyNumberFormat="true" applyProtection="false" borderId="71" fillId="196" fontId="16" numFmtId="180" xfId="0">
      <alignment horizontal="center" vertical="center" wrapText="true"/>
    </xf>
    <xf applyAlignment="true" applyBorder="false" applyFill="true" applyFont="true" applyNumberFormat="true" applyProtection="false" borderId="71" fillId="196" fontId="16" numFmtId="180" xfId="0">
      <alignment horizontal="center" vertical="center" wrapText="true"/>
    </xf>
    <xf applyAlignment="true" applyBorder="false" applyFill="true" applyFont="true" applyNumberFormat="true" applyProtection="false" borderId="72" fillId="196" fontId="16" numFmtId="180" xfId="0">
      <alignment horizontal="center" vertical="center" wrapText="true"/>
    </xf>
    <xf applyAlignment="true" applyBorder="false" applyFill="true" applyFont="true" applyNumberFormat="true" applyProtection="false" borderId="71" fillId="196" fontId="4" numFmtId="181" xfId="0">
      <alignment horizontal="center" vertical="center"/>
    </xf>
    <xf applyAlignment="true" applyBorder="false" applyFill="true" applyFont="true" applyNumberFormat="true" applyProtection="false" borderId="71" fillId="216" fontId="4" numFmtId="181" xfId="0">
      <alignment horizontal="center" vertical="center"/>
    </xf>
    <xf applyAlignment="true" applyBorder="false" applyFill="true" applyFont="true" applyNumberFormat="false" applyProtection="false" borderId="71" fillId="196" fontId="5" numFmtId="0" xfId="0">
      <alignment horizontal="center" vertical="center"/>
    </xf>
    <xf applyAlignment="true" applyBorder="false" applyFill="true" applyFont="true" applyNumberFormat="false" applyProtection="false" borderId="71" fillId="216" fontId="5" numFmtId="0" xfId="0">
      <alignment horizontal="center" vertical="center"/>
    </xf>
    <xf applyAlignment="true" applyBorder="false" applyFill="true" applyFont="true" applyNumberFormat="false" applyProtection="false" borderId="71" fillId="196" fontId="5" numFmtId="0" xfId="0">
      <alignment horizontal="center" vertical="center" wrapText="true"/>
    </xf>
    <xf applyAlignment="true" applyBorder="false" applyFill="true" applyFont="true" applyNumberFormat="false" applyProtection="false" borderId="71" fillId="196" fontId="5" numFmtId="0" xfId="0">
      <alignment horizontal="center" vertical="center"/>
    </xf>
    <xf applyAlignment="true" applyBorder="false" applyFill="true" applyFont="true" applyNumberFormat="false" applyProtection="false" borderId="72" fillId="196" fontId="5" numFmtId="0" xfId="0">
      <alignment horizontal="center" vertical="center"/>
    </xf>
    <xf applyAlignment="true" applyBorder="false" applyFill="true" applyFont="true" applyNumberFormat="true" applyProtection="false" borderId="71" fillId="196" fontId="4" numFmtId="181" xfId="0">
      <alignment horizontal="center" vertical="center"/>
    </xf>
    <xf applyAlignment="true" applyBorder="false" applyFill="true" applyFont="true" applyNumberFormat="false" applyProtection="false" borderId="71" fillId="196" fontId="5" numFmtId="0" xfId="0">
      <alignment horizontal="center" vertical="center" wrapText="true"/>
    </xf>
    <xf applyAlignment="true" applyBorder="false" applyFill="true" applyFont="true" applyNumberFormat="false" applyProtection="false" borderId="71" fillId="216" fontId="5" numFmtId="0" xfId="0">
      <alignment horizontal="center" vertical="center"/>
    </xf>
    <xf applyAlignment="true" applyBorder="false" applyFill="true" applyFont="true" applyNumberFormat="true" applyProtection="false" borderId="71" fillId="217" fontId="16" numFmtId="180" xfId="0">
      <alignment horizontal="center" vertical="center" wrapText="true"/>
    </xf>
    <xf applyAlignment="true" applyBorder="false" applyFill="true" applyFont="true" applyNumberFormat="true" applyProtection="false" borderId="72" fillId="217" fontId="16" numFmtId="180" xfId="0">
      <alignment horizontal="center" vertical="center" wrapText="true"/>
    </xf>
    <xf applyAlignment="true" applyBorder="false" applyFill="true" applyFont="true" applyNumberFormat="true" applyProtection="false" borderId="71" fillId="217" fontId="7" numFmtId="180" xfId="0">
      <alignment horizontal="center" vertical="center" wrapText="true"/>
    </xf>
    <xf applyAlignment="true" applyBorder="false" applyFill="true" applyFont="true" applyNumberFormat="true" applyProtection="false" borderId="71" fillId="217" fontId="7" numFmtId="181" xfId="0">
      <alignment horizontal="center" vertical="center"/>
    </xf>
    <xf applyAlignment="true" applyBorder="false" applyFill="true" applyFont="true" applyNumberFormat="false" applyProtection="false" borderId="71" fillId="217" fontId="7" numFmtId="0" xfId="0">
      <alignment horizontal="center" vertical="center"/>
    </xf>
    <xf applyAlignment="true" applyBorder="false" applyFill="true" applyFont="true" applyNumberFormat="false" applyProtection="false" borderId="71" fillId="217" fontId="7" numFmtId="0" xfId="0">
      <alignment horizontal="center" vertical="center" wrapText="true"/>
    </xf>
    <xf applyAlignment="true" applyBorder="false" applyFill="true" applyFont="true" applyNumberFormat="false" applyProtection="false" borderId="72" fillId="217" fontId="7" numFmtId="0" xfId="0">
      <alignment horizontal="center" vertical="center"/>
    </xf>
    <xf applyAlignment="true" applyBorder="false" applyFill="true" applyFont="true" applyNumberFormat="true" applyProtection="false" borderId="71" fillId="217" fontId="4" numFmtId="181" xfId="0">
      <alignment horizontal="center" vertical="center"/>
    </xf>
    <xf applyAlignment="true" applyBorder="false" applyFill="true" applyFont="true" applyNumberFormat="true" applyProtection="false" borderId="71" fillId="217" fontId="4" numFmtId="181" xfId="0">
      <alignment horizontal="center" vertical="center"/>
    </xf>
    <xf applyAlignment="true" applyBorder="false" applyFill="true" applyFont="true" applyNumberFormat="false" applyProtection="false" borderId="71" fillId="217" fontId="5" numFmtId="0" xfId="0">
      <alignment horizontal="center" vertical="center"/>
    </xf>
    <xf applyAlignment="true" applyBorder="false" applyFill="true" applyFont="true" applyNumberFormat="false" applyProtection="false" borderId="71" fillId="217" fontId="4" numFmtId="0" xfId="0">
      <alignment horizontal="center" vertical="center"/>
    </xf>
    <xf applyAlignment="true" applyBorder="false" applyFill="true" applyFont="true" applyNumberFormat="false" applyProtection="false" borderId="71" fillId="217" fontId="5" numFmtId="0" xfId="0">
      <alignment horizontal="center" vertical="center"/>
    </xf>
    <xf applyAlignment="true" applyBorder="false" applyFill="true" applyFont="true" applyNumberFormat="true" applyProtection="false" borderId="71" fillId="179" fontId="7" numFmtId="180" xfId="0">
      <alignment horizontal="center" vertical="center" wrapText="true"/>
    </xf>
    <xf applyAlignment="true" applyBorder="false" applyFill="true" applyFont="true" applyNumberFormat="false" applyProtection="false" borderId="71" fillId="217" fontId="5" numFmtId="0" xfId="0">
      <alignment horizontal="center" vertical="center" wrapText="true"/>
    </xf>
    <xf applyAlignment="true" applyBorder="false" applyFill="true" applyFont="true" applyNumberFormat="false" applyProtection="false" borderId="72" fillId="217" fontId="5" numFmtId="0" xfId="0">
      <alignment horizontal="center" vertical="center"/>
    </xf>
    <xf applyAlignment="true" applyBorder="false" applyFill="true" applyFont="true" applyNumberFormat="false" applyProtection="false" borderId="0" fillId="217" fontId="5" numFmtId="0" xfId="0">
      <alignment horizontal="center" vertical="center"/>
    </xf>
    <xf applyAlignment="true" applyBorder="false" applyFill="true" applyFont="true" applyNumberFormat="false" applyProtection="false" borderId="0" fillId="217" fontId="6" numFmtId="0" xfId="0">
      <alignment vertical="center"/>
    </xf>
    <xf applyAlignment="true" applyBorder="false" applyFill="true" applyFont="true" applyNumberFormat="true" applyProtection="false" borderId="71" fillId="174" fontId="7" numFmtId="180" xfId="0">
      <alignment horizontal="center" vertical="center" wrapText="true"/>
    </xf>
    <xf applyAlignment="true" applyBorder="false" applyFill="true" applyFont="true" applyNumberFormat="true" applyProtection="false" borderId="84" fillId="218" fontId="1" numFmtId="184" xfId="0">
      <alignment horizontal="left" vertical="center" wrapText="true"/>
    </xf>
    <xf applyAlignment="true" applyBorder="false" applyFill="true" applyFont="true" applyNumberFormat="true" applyProtection="false" borderId="84" fillId="218" fontId="1" numFmtId="184" xfId="0">
      <alignment horizontal="left" vertical="center" wrapText="true"/>
    </xf>
    <xf applyAlignment="true" applyBorder="false" applyFill="true" applyFont="true" applyNumberFormat="true" applyProtection="false" borderId="84" fillId="219" fontId="1" numFmtId="184" xfId="0">
      <alignment horizontal="right" vertical="center" wrapText="true"/>
    </xf>
    <xf applyAlignment="true" applyBorder="false" applyFill="true" applyFont="true" applyNumberFormat="true" applyProtection="false" borderId="84" fillId="218" fontId="1" numFmtId="184" xfId="0">
      <alignment horizontal="center" vertical="center" wrapText="true"/>
    </xf>
    <xf applyAlignment="true" applyBorder="false" applyFill="true" applyFont="true" applyNumberFormat="true" applyProtection="false" borderId="85" fillId="218" fontId="1" numFmtId="184" xfId="0">
      <alignment horizontal="left" vertical="center" wrapText="true"/>
    </xf>
    <xf applyAlignment="true" applyBorder="false" applyFill="true" applyFont="true" applyNumberFormat="true" applyProtection="false" borderId="0" fillId="220" fontId="1" numFmtId="184" xfId="0">
      <alignment horizontal="left" vertical="center" wrapText="true"/>
    </xf>
    <xf applyAlignment="true" applyBorder="false" applyFill="true" applyFont="true" applyNumberFormat="true" applyProtection="false" borderId="0" fillId="221" fontId="2" numFmtId="184" xfId="0">
      <alignment horizontal="center" vertical="center"/>
    </xf>
    <xf applyAlignment="true" applyBorder="false" applyFill="true" applyFont="true" applyNumberFormat="true" applyProtection="false" borderId="0" fillId="221" fontId="2" numFmtId="184" xfId="0">
      <alignment horizontal="center" vertical="center"/>
    </xf>
    <xf applyAlignment="true" applyBorder="false" applyFill="true" applyFont="true" applyNumberFormat="true" applyProtection="false" borderId="0" fillId="220" fontId="2" numFmtId="184" xfId="0">
      <alignment horizontal="center" vertical="center"/>
    </xf>
    <xf applyAlignment="true" applyBorder="false" applyFill="true" applyFont="true" applyNumberFormat="true" applyProtection="false" borderId="84" fillId="222" fontId="3" numFmtId="184" xfId="0">
      <alignment horizontal="center" vertical="center" wrapText="true"/>
    </xf>
    <xf applyAlignment="true" applyBorder="false" applyFill="true" applyFont="true" applyNumberFormat="true" applyProtection="false" borderId="84" fillId="222" fontId="3" numFmtId="184" xfId="0">
      <alignment horizontal="center" vertical="center" wrapText="true"/>
    </xf>
    <xf applyAlignment="true" applyBorder="false" applyFill="true" applyFont="true" applyNumberFormat="true" applyProtection="false" borderId="0" fillId="220" fontId="3" numFmtId="184" xfId="0">
      <alignment horizontal="center" vertical="center" wrapText="true"/>
    </xf>
    <xf applyAlignment="true" applyBorder="false" applyFill="true" applyFont="true" applyNumberFormat="true" applyProtection="false" borderId="86" fillId="223" fontId="4" numFmtId="185" xfId="0">
      <alignment horizontal="center" vertical="center"/>
    </xf>
    <xf applyAlignment="true" applyBorder="false" applyFill="true" applyFont="true" applyNumberFormat="true" applyProtection="false" borderId="86" fillId="223" fontId="4" numFmtId="185" xfId="0">
      <alignment horizontal="center" vertical="center"/>
    </xf>
    <xf applyAlignment="true" applyBorder="false" applyFill="true" applyFont="true" applyNumberFormat="true" applyProtection="false" borderId="87" fillId="223" fontId="4" numFmtId="185" xfId="0">
      <alignment horizontal="center" vertical="center"/>
    </xf>
    <xf applyAlignment="true" applyBorder="false" applyFill="true" applyFont="true" applyNumberFormat="false" applyProtection="false" borderId="87" fillId="223" fontId="5" numFmtId="0" xfId="0">
      <alignment horizontal="center" vertical="center"/>
    </xf>
    <xf applyAlignment="true" applyBorder="false" applyFill="true" applyFont="true" applyNumberFormat="false" applyProtection="false" borderId="88" fillId="223" fontId="5" numFmtId="0" xfId="0">
      <alignment horizontal="center" vertical="center"/>
    </xf>
    <xf applyAlignment="true" applyBorder="false" applyFill="false" applyFont="true" applyNumberFormat="true" applyProtection="false" borderId="86" fillId="0" fontId="5" numFmtId="186" xfId="0">
      <alignment horizontal="center" vertical="center"/>
    </xf>
    <xf applyAlignment="true" applyBorder="false" applyFill="true" applyFont="true" applyNumberFormat="false" applyProtection="false" borderId="89" fillId="223" fontId="5" numFmtId="0" xfId="0">
      <alignment horizontal="center" vertical="center" wrapText="true"/>
    </xf>
    <xf applyAlignment="true" applyBorder="false" applyFill="false" applyFont="true" applyNumberFormat="false" applyProtection="false" borderId="87" fillId="0" fontId="5" numFmtId="0" xfId="0">
      <alignment horizontal="center" vertical="center"/>
    </xf>
    <xf applyAlignment="true" applyBorder="false" applyFill="true" applyFont="true" applyNumberFormat="false" applyProtection="false" borderId="88" fillId="223" fontId="5" numFmtId="0" xfId="0">
      <alignment horizontal="center" vertical="center"/>
    </xf>
    <xf applyAlignment="true" applyBorder="false" applyFill="true" applyFont="true" applyNumberFormat="false" applyProtection="false" borderId="0" fillId="220" fontId="5" numFmtId="0" xfId="0">
      <alignment horizontal="center" vertical="center"/>
    </xf>
    <xf applyAlignment="true" applyBorder="false" applyFill="true" applyFont="true" applyNumberFormat="true" applyProtection="false" borderId="90" fillId="223" fontId="4" numFmtId="185" xfId="0">
      <alignment horizontal="center" vertical="center"/>
    </xf>
    <xf applyAlignment="true" applyBorder="false" applyFill="true" applyFont="true" applyNumberFormat="true" applyProtection="false" borderId="89" fillId="223" fontId="4" numFmtId="185" xfId="0">
      <alignment horizontal="center" vertical="center"/>
    </xf>
    <xf applyAlignment="true" applyBorder="false" applyFill="true" applyFont="true" applyNumberFormat="false" applyProtection="false" borderId="87" fillId="223" fontId="5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true" applyProtection="false" borderId="85" fillId="222" fontId="3" numFmtId="184" xfId="0">
      <alignment horizontal="center" vertical="center" wrapText="true"/>
    </xf>
    <xf applyAlignment="true" applyBorder="false" applyFill="true" applyFont="true" applyNumberFormat="true" applyProtection="false" borderId="91" fillId="223" fontId="4" numFmtId="185" xfId="0">
      <alignment horizontal="center" vertical="center"/>
    </xf>
    <xf applyAlignment="true" applyBorder="false" applyFill="true" applyFont="true" applyNumberFormat="true" applyProtection="false" borderId="92" fillId="223" fontId="4" numFmtId="185" xfId="0">
      <alignment horizontal="center" vertical="center"/>
    </xf>
    <xf applyAlignment="true" applyBorder="false" applyFill="true" applyFont="true" applyNumberFormat="false" applyProtection="false" borderId="86" fillId="223" fontId="5" numFmtId="0" xfId="0">
      <alignment horizontal="center" vertical="center"/>
    </xf>
    <xf applyAlignment="true" applyBorder="false" applyFill="true" applyFont="true" applyNumberFormat="false" applyProtection="false" borderId="86" fillId="220" fontId="5" numFmtId="0" xfId="0">
      <alignment horizontal="center" vertical="center"/>
    </xf>
    <xf applyAlignment="true" applyBorder="false" applyFill="true" applyFont="true" applyNumberFormat="false" applyProtection="false" borderId="86" fillId="223" fontId="5" numFmtId="0" xfId="0">
      <alignment horizontal="center" vertical="center" wrapText="true"/>
    </xf>
    <xf applyAlignment="true" applyBorder="false" applyFill="false" applyFont="true" applyNumberFormat="false" applyProtection="false" borderId="86" fillId="0" fontId="5" numFmtId="0" xfId="0">
      <alignment horizontal="center" vertical="center"/>
    </xf>
    <xf applyAlignment="true" applyBorder="false" applyFill="true" applyFont="true" applyNumberFormat="false" applyProtection="false" borderId="93" fillId="223" fontId="5" numFmtId="0" xfId="0">
      <alignment horizontal="center" vertical="center"/>
    </xf>
    <xf applyAlignment="true" applyBorder="false" applyFill="true" applyFont="true" applyNumberFormat="true" applyProtection="false" borderId="91" fillId="223" fontId="4" numFmtId="185" xfId="0">
      <alignment horizontal="center" vertical="center"/>
    </xf>
    <xf applyAlignment="true" applyBorder="false" applyFill="true" applyFont="true" applyNumberFormat="false" applyProtection="false" borderId="90" fillId="223" fontId="5" numFmtId="0" xfId="0">
      <alignment horizontal="center" vertical="center"/>
    </xf>
    <xf applyAlignment="true" applyBorder="false" applyFill="true" applyFont="true" applyNumberFormat="false" applyProtection="false" borderId="94" fillId="223" fontId="5" numFmtId="0" xfId="0">
      <alignment horizontal="center" vertical="center"/>
    </xf>
    <xf applyAlignment="true" applyBorder="false" applyFill="true" applyFont="true" applyNumberFormat="false" applyProtection="false" borderId="95" fillId="223" fontId="5" numFmtId="0" xfId="0">
      <alignment horizontal="center" vertical="center" wrapText="true"/>
    </xf>
    <xf applyAlignment="true" applyBorder="false" applyFill="false" applyFont="true" applyNumberFormat="false" applyProtection="false" borderId="90" fillId="0" fontId="5" numFmtId="0" xfId="0">
      <alignment horizontal="center" vertical="center"/>
    </xf>
    <xf applyAlignment="true" applyBorder="false" applyFill="true" applyFont="true" applyNumberFormat="true" applyProtection="false" borderId="87" fillId="222" fontId="7" numFmtId="184" xfId="0">
      <alignment horizontal="center" vertical="center" wrapText="true"/>
    </xf>
    <xf applyAlignment="true" applyBorder="false" applyFill="true" applyFont="true" applyNumberFormat="true" applyProtection="false" borderId="87" fillId="222" fontId="7" numFmtId="185" xfId="0">
      <alignment horizontal="center" vertical="center"/>
    </xf>
    <xf applyAlignment="true" applyBorder="false" applyFill="true" applyFont="true" applyNumberFormat="false" applyProtection="false" borderId="87" fillId="222" fontId="7" numFmtId="0" xfId="0">
      <alignment horizontal="center" vertical="center"/>
    </xf>
    <xf applyAlignment="true" applyBorder="false" applyFill="true" applyFont="true" applyNumberFormat="false" applyProtection="false" borderId="88" fillId="222" fontId="7" numFmtId="0" xfId="0">
      <alignment horizontal="center" vertical="center"/>
    </xf>
    <xf applyAlignment="true" applyBorder="false" applyFill="true" applyFont="true" applyNumberFormat="false" applyProtection="false" borderId="89" fillId="222" fontId="7" numFmtId="0" xfId="0">
      <alignment horizontal="center" vertical="center" wrapText="true"/>
    </xf>
    <xf applyAlignment="true" applyBorder="false" applyFill="true" applyFont="true" applyNumberFormat="false" applyProtection="false" borderId="0" fillId="220" fontId="7" numFmtId="0" xfId="0">
      <alignment horizontal="center" vertical="center"/>
    </xf>
    <xf applyAlignment="true" applyBorder="false" applyFill="true" applyFont="true" applyNumberFormat="true" applyProtection="false" borderId="87" fillId="223" fontId="4" numFmtId="185" xfId="0">
      <alignment horizontal="center" vertical="center"/>
    </xf>
    <xf applyAlignment="true" applyBorder="false" applyFill="false" applyFont="true" applyNumberFormat="true" applyProtection="false" borderId="87" fillId="0" fontId="5" numFmtId="186" xfId="0">
      <alignment horizontal="center" vertical="center"/>
    </xf>
    <xf applyAlignment="true" applyBorder="false" applyFill="false" applyFont="true" applyNumberFormat="false" applyProtection="false" borderId="89" fillId="0" fontId="5" numFmtId="0" xfId="0">
      <alignment horizontal="center" vertical="center" wrapText="true"/>
    </xf>
    <xf applyAlignment="true" applyBorder="false" applyFill="false" applyFont="true" applyNumberFormat="false" applyProtection="false" borderId="88" fillId="0" fontId="5" numFmtId="0" xfId="0">
      <alignment horizontal="center" vertical="center"/>
    </xf>
    <xf applyAlignment="true" applyBorder="false" applyFill="false" applyFont="true" applyNumberFormat="false" applyProtection="false" borderId="87" fillId="0" fontId="5" numFmtId="0" xfId="0">
      <alignment horizontal="center" vertical="center"/>
    </xf>
    <xf applyAlignment="true" applyBorder="false" applyFill="true" applyFont="true" applyNumberFormat="true" applyProtection="false" borderId="87" fillId="223" fontId="7" numFmtId="184" xfId="0">
      <alignment horizontal="center" vertical="center" wrapText="true"/>
    </xf>
    <xf applyAlignment="true" applyBorder="false" applyFill="false" applyFont="true" applyNumberFormat="false" applyProtection="false" borderId="87" fillId="0" fontId="5" numFmtId="0" xfId="0">
      <alignment horizontal="center" vertical="center"/>
    </xf>
    <xf applyAlignment="true" applyBorder="false" applyFill="true" applyFont="true" applyNumberFormat="true" applyProtection="false" borderId="87" fillId="223" fontId="5" numFmtId="186" xfId="0">
      <alignment horizontal="center" vertical="center"/>
    </xf>
    <xf applyAlignment="true" applyBorder="false" applyFill="true" applyFont="true" applyNumberFormat="false" applyProtection="false" borderId="87" fillId="223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87" fillId="224" fontId="3" numFmtId="184" xfId="0">
      <alignment horizontal="center" vertical="center" wrapText="true"/>
    </xf>
    <xf applyAlignment="true" applyBorder="false" applyFill="true" applyFont="true" applyNumberFormat="true" applyProtection="false" borderId="88" fillId="224" fontId="3" numFmtId="184" xfId="0">
      <alignment horizontal="center" vertical="center" wrapText="true"/>
    </xf>
    <xf applyAlignment="true" applyBorder="false" applyFill="true" applyFont="true" applyNumberFormat="true" applyProtection="false" borderId="0" fillId="220" fontId="3" numFmtId="184" xfId="0">
      <alignment horizontal="center" vertical="center" wrapText="true"/>
    </xf>
    <xf applyAlignment="true" applyBorder="false" applyFill="true" applyFont="true" applyNumberFormat="true" applyProtection="false" borderId="87" fillId="224" fontId="7" numFmtId="184" xfId="0">
      <alignment horizontal="center" vertical="center" wrapText="true"/>
    </xf>
    <xf applyAlignment="true" applyBorder="false" applyFill="true" applyFont="true" applyNumberFormat="true" applyProtection="false" borderId="87" fillId="224" fontId="7" numFmtId="185" xfId="0">
      <alignment horizontal="center" vertical="center"/>
    </xf>
    <xf applyAlignment="true" applyBorder="false" applyFill="true" applyFont="true" applyNumberFormat="false" applyProtection="false" borderId="87" fillId="224" fontId="7" numFmtId="0" xfId="0">
      <alignment horizontal="center" vertical="center"/>
    </xf>
    <xf applyAlignment="true" applyBorder="false" applyFill="true" applyFont="true" applyNumberFormat="false" applyProtection="false" borderId="87" fillId="224" fontId="7" numFmtId="0" xfId="0">
      <alignment horizontal="center" vertical="center" wrapText="true"/>
    </xf>
    <xf applyAlignment="true" applyBorder="false" applyFill="true" applyFont="true" applyNumberFormat="false" applyProtection="false" borderId="88" fillId="224" fontId="7" numFmtId="0" xfId="0">
      <alignment horizontal="center" vertical="center"/>
    </xf>
    <xf applyAlignment="true" applyBorder="false" applyFill="true" applyFont="true" applyNumberFormat="false" applyProtection="false" borderId="87" fillId="223" fontId="5" numFmtId="0" xfId="0">
      <alignment horizontal="center" vertical="center" wrapText="true"/>
    </xf>
    <xf applyAlignment="true" applyBorder="false" applyFill="true" applyFont="true" applyNumberFormat="false" applyProtection="false" borderId="84" fillId="223" fontId="5" numFmtId="0" xfId="0">
      <alignment horizontal="center" vertical="center"/>
    </xf>
    <xf applyAlignment="true" applyBorder="false" applyFill="true" applyFont="true" applyNumberFormat="true" applyProtection="false" borderId="87" fillId="220" fontId="4" numFmtId="185" xfId="0">
      <alignment horizontal="center" vertical="center"/>
    </xf>
    <xf applyAlignment="true" applyBorder="false" applyFill="true" applyFont="true" applyNumberFormat="false" applyProtection="false" borderId="87" fillId="220" fontId="5" numFmtId="0" xfId="0">
      <alignment horizontal="center" vertical="center"/>
    </xf>
    <xf applyAlignment="true" applyBorder="false" applyFill="true" applyFont="true" applyNumberFormat="false" applyProtection="false" borderId="87" fillId="220" fontId="5" numFmtId="0" xfId="0">
      <alignment horizontal="center" vertical="center"/>
    </xf>
    <xf applyAlignment="true" applyBorder="false" applyFill="true" applyFont="true" applyNumberFormat="true" applyProtection="false" borderId="87" fillId="225" fontId="4" numFmtId="185" xfId="0">
      <alignment horizontal="center" vertical="center"/>
    </xf>
    <xf applyAlignment="true" applyBorder="false" applyFill="true" applyFont="true" applyNumberFormat="true" applyProtection="false" borderId="87" fillId="225" fontId="4" numFmtId="185" xfId="0">
      <alignment horizontal="center" vertical="center"/>
    </xf>
    <xf applyAlignment="true" applyBorder="false" applyFill="true" applyFont="true" applyNumberFormat="false" applyProtection="false" borderId="87" fillId="225" fontId="5" numFmtId="0" xfId="0">
      <alignment horizontal="center" vertical="center"/>
    </xf>
    <xf applyAlignment="true" applyBorder="false" applyFill="true" applyFont="true" applyNumberFormat="false" applyProtection="false" borderId="87" fillId="225" fontId="5" numFmtId="0" xfId="0">
      <alignment horizontal="center" vertical="center"/>
    </xf>
    <xf applyAlignment="true" applyBorder="false" applyFill="true" applyFont="true" applyNumberFormat="false" applyProtection="false" borderId="87" fillId="225" fontId="5" numFmtId="0" xfId="0">
      <alignment horizontal="center" vertical="center" wrapText="true"/>
    </xf>
    <xf applyAlignment="true" applyBorder="false" applyFill="true" applyFont="true" applyNumberFormat="false" applyProtection="false" borderId="84" fillId="225" fontId="5" numFmtId="0" xfId="0">
      <alignment horizontal="center" vertical="center"/>
    </xf>
    <xf applyAlignment="true" applyBorder="false" applyFill="true" applyFont="true" applyNumberFormat="false" applyProtection="false" borderId="88" fillId="225" fontId="5" numFmtId="0" xfId="0">
      <alignment horizontal="center" vertical="center"/>
    </xf>
    <xf applyAlignment="true" applyBorder="false" applyFill="true" applyFont="true" applyNumberFormat="false" applyProtection="false" borderId="84" fillId="220" fontId="5" numFmtId="0" xfId="0">
      <alignment horizontal="center" vertical="center"/>
    </xf>
    <xf applyAlignment="true" applyBorder="false" applyFill="true" applyFont="true" applyNumberFormat="true" applyProtection="false" borderId="87" fillId="226" fontId="4" numFmtId="185" xfId="0">
      <alignment horizontal="center" vertical="center"/>
    </xf>
    <xf applyAlignment="true" applyBorder="false" applyFill="true" applyFont="true" applyNumberFormat="true" applyProtection="false" borderId="87" fillId="226" fontId="4" numFmtId="185" xfId="0">
      <alignment horizontal="center" vertical="center"/>
    </xf>
    <xf applyAlignment="true" applyBorder="false" applyFill="true" applyFont="true" applyNumberFormat="false" applyProtection="false" borderId="87" fillId="226" fontId="5" numFmtId="0" xfId="0">
      <alignment horizontal="center" vertical="center"/>
    </xf>
    <xf applyAlignment="true" applyBorder="false" applyFill="true" applyFont="true" applyNumberFormat="false" applyProtection="false" borderId="87" fillId="226" fontId="5" numFmtId="0" xfId="0">
      <alignment horizontal="center" vertical="center"/>
    </xf>
    <xf applyAlignment="true" applyBorder="false" applyFill="true" applyFont="true" applyNumberFormat="false" applyProtection="false" borderId="87" fillId="226" fontId="5" numFmtId="0" xfId="0">
      <alignment horizontal="center" vertical="center" wrapText="true"/>
    </xf>
    <xf applyAlignment="true" applyBorder="false" applyFill="true" applyFont="true" applyNumberFormat="false" applyProtection="false" borderId="84" fillId="226" fontId="5" numFmtId="0" xfId="0">
      <alignment horizontal="center" vertical="center"/>
    </xf>
    <xf applyAlignment="true" applyBorder="false" applyFill="true" applyFont="true" applyNumberFormat="false" applyProtection="false" borderId="88" fillId="226" fontId="5" numFmtId="0" xfId="0">
      <alignment horizontal="center" vertical="center"/>
    </xf>
    <xf applyAlignment="true" applyBorder="false" applyFill="true" applyFont="true" applyNumberFormat="false" applyProtection="false" borderId="87" fillId="226" fontId="5" numFmtId="0" xfId="0">
      <alignment horizontal="center" vertical="center" wrapText="true"/>
    </xf>
    <xf applyAlignment="true" applyBorder="false" applyFill="true" applyFont="true" applyNumberFormat="false" applyProtection="false" borderId="0" fillId="220" fontId="6" numFmtId="0" xfId="0">
      <alignment vertical="center"/>
    </xf>
    <xf applyAlignment="true" applyBorder="false" applyFill="true" applyFont="true" applyNumberFormat="false" applyProtection="false" borderId="88" fillId="226" fontId="5" numFmtId="0" xfId="0">
      <alignment horizontal="center" vertical="center"/>
    </xf>
    <xf applyAlignment="true" applyBorder="false" applyFill="true" applyFont="true" applyNumberFormat="false" applyProtection="false" borderId="87" fillId="225" fontId="5" numFmtId="0" xfId="0">
      <alignment horizontal="center" vertical="center" wrapText="true"/>
    </xf>
    <xf applyAlignment="true" applyBorder="false" applyFill="true" applyFont="true" applyNumberFormat="false" applyProtection="false" borderId="0" fillId="226" fontId="5" numFmtId="0" xfId="0">
      <alignment horizontal="center" vertical="center" wrapText="true"/>
    </xf>
    <xf applyAlignment="true" applyBorder="false" applyFill="true" applyFont="true" applyNumberFormat="false" applyProtection="false" borderId="85" fillId="226" fontId="5" numFmtId="0" xfId="0">
      <alignment horizontal="center" vertical="center"/>
    </xf>
    <xf applyAlignment="true" applyBorder="false" applyFill="true" applyFont="true" applyNumberFormat="false" applyProtection="false" borderId="0" fillId="226" fontId="6" numFmtId="0" xfId="0">
      <alignment vertical="center"/>
    </xf>
    <xf applyAlignment="true" applyBorder="false" applyFill="true" applyFont="true" applyNumberFormat="false" applyProtection="false" borderId="86" fillId="226" fontId="6" numFmtId="0" xfId="0">
      <alignment vertical="center"/>
    </xf>
    <xf applyAlignment="true" applyBorder="false" applyFill="true" applyFont="true" applyNumberFormat="false" applyProtection="false" borderId="86" fillId="226" fontId="13" numFmtId="0" xfId="0">
      <alignment horizontal="center" vertical="center"/>
    </xf>
    <xf applyAlignment="true" applyBorder="false" applyFill="true" applyFont="true" applyNumberFormat="false" applyProtection="false" borderId="90" fillId="226" fontId="5" numFmtId="0" xfId="0">
      <alignment horizontal="center" vertical="center"/>
    </xf>
    <xf applyAlignment="true" applyBorder="false" applyFill="true" applyFont="true" applyNumberFormat="false" applyProtection="false" borderId="94" fillId="226" fontId="5" numFmtId="0" xfId="0">
      <alignment horizontal="center" vertical="center"/>
    </xf>
    <xf applyAlignment="true" applyBorder="false" applyFill="true" applyFont="true" applyNumberFormat="false" applyProtection="false" borderId="86" fillId="227" fontId="9" numFmtId="0" xfId="0">
      <alignment horizontal="center" vertical="center"/>
    </xf>
    <xf applyAlignment="true" applyBorder="false" applyFill="true" applyFont="true" applyNumberFormat="true" applyProtection="false" borderId="86" fillId="227" fontId="3" numFmtId="184" xfId="0">
      <alignment horizontal="center" vertical="center" wrapText="true"/>
    </xf>
    <xf applyAlignment="true" applyBorder="false" applyFill="true" applyFont="true" applyNumberFormat="true" applyProtection="false" borderId="93" fillId="227" fontId="3" numFmtId="184" xfId="0">
      <alignment horizontal="center" vertical="center" wrapText="true"/>
    </xf>
    <xf applyAlignment="true" applyBorder="false" applyFill="true" applyFont="true" applyNumberFormat="false" applyProtection="false" borderId="86" fillId="227" fontId="7" numFmtId="0" xfId="0">
      <alignment horizontal="center" vertical="center"/>
    </xf>
    <xf applyAlignment="true" applyBorder="false" applyFill="true" applyFont="true" applyNumberFormat="true" applyProtection="false" borderId="86" fillId="227" fontId="7" numFmtId="185" xfId="0">
      <alignment horizontal="center" vertical="center"/>
    </xf>
    <xf applyAlignment="true" applyBorder="false" applyFill="true" applyFont="true" applyNumberFormat="false" applyProtection="false" borderId="86" fillId="227" fontId="7" numFmtId="0" xfId="0">
      <alignment horizontal="center" vertical="center" wrapText="true"/>
    </xf>
    <xf applyAlignment="true" applyBorder="false" applyFill="true" applyFont="true" applyNumberFormat="false" applyProtection="false" borderId="93" fillId="227" fontId="7" numFmtId="0" xfId="0">
      <alignment horizontal="center" vertical="center"/>
    </xf>
    <xf applyAlignment="true" applyBorder="false" applyFill="true" applyFont="true" applyNumberFormat="true" applyProtection="false" borderId="86" fillId="220" fontId="4" numFmtId="185" xfId="0">
      <alignment horizontal="center" vertical="center"/>
    </xf>
    <xf applyAlignment="true" applyBorder="false" applyFill="true" applyFont="true" applyNumberFormat="true" applyProtection="false" borderId="86" fillId="220" fontId="4" numFmtId="185" xfId="0">
      <alignment horizontal="center" vertical="center"/>
    </xf>
    <xf applyAlignment="true" applyBorder="false" applyFill="true" applyFont="true" applyNumberFormat="true" applyProtection="false" borderId="86" fillId="220" fontId="5" numFmtId="187" xfId="0">
      <alignment horizontal="center" vertical="center"/>
    </xf>
    <xf applyAlignment="true" applyBorder="false" applyFill="true" applyFont="true" applyNumberFormat="false" applyProtection="false" borderId="86" fillId="220" fontId="5" numFmtId="0" xfId="0">
      <alignment horizontal="center" vertical="center" wrapText="true"/>
    </xf>
    <xf applyAlignment="true" applyBorder="false" applyFill="true" applyFont="true" applyNumberFormat="false" applyProtection="false" borderId="93" fillId="220" fontId="5" numFmtId="0" xfId="0">
      <alignment horizontal="center" vertical="center"/>
    </xf>
    <xf applyAlignment="true" applyBorder="false" applyFill="true" applyFont="true" applyNumberFormat="true" applyProtection="false" borderId="86" fillId="228" fontId="4" numFmtId="185" xfId="0">
      <alignment horizontal="center" vertical="center"/>
    </xf>
    <xf applyAlignment="true" applyBorder="false" applyFill="true" applyFont="true" applyNumberFormat="true" applyProtection="false" borderId="86" fillId="228" fontId="4" numFmtId="185" xfId="0">
      <alignment horizontal="center" vertical="center"/>
    </xf>
    <xf applyAlignment="true" applyBorder="false" applyFill="true" applyFont="true" applyNumberFormat="true" applyProtection="false" borderId="86" fillId="228" fontId="5" numFmtId="187" xfId="0">
      <alignment horizontal="center" vertical="center"/>
    </xf>
    <xf applyAlignment="true" applyBorder="false" applyFill="true" applyFont="true" applyNumberFormat="false" applyProtection="false" borderId="86" fillId="228" fontId="5" numFmtId="0" xfId="0">
      <alignment horizontal="center" vertical="center"/>
    </xf>
    <xf applyAlignment="true" applyBorder="false" applyFill="true" applyFont="true" applyNumberFormat="false" applyProtection="false" borderId="86" fillId="228" fontId="5" numFmtId="0" xfId="0">
      <alignment horizontal="center" vertical="center" wrapText="true"/>
    </xf>
    <xf applyAlignment="true" applyBorder="false" applyFill="true" applyFont="true" applyNumberFormat="false" applyProtection="false" borderId="93" fillId="228" fontId="5" numFmtId="0" xfId="0">
      <alignment horizontal="center" vertical="center"/>
    </xf>
    <xf applyAlignment="true" applyBorder="false" applyFill="true" applyFont="true" applyNumberFormat="false" applyProtection="false" borderId="87" fillId="228" fontId="5" numFmtId="0" xfId="0">
      <alignment horizontal="center" vertical="center"/>
    </xf>
    <xf applyAlignment="true" applyBorder="false" applyFill="true" applyFont="true" applyNumberFormat="false" applyProtection="false" borderId="86" fillId="223" fontId="5" numFmtId="0" xfId="0">
      <alignment horizontal="center" vertical="center"/>
    </xf>
    <xf applyAlignment="true" applyBorder="false" applyFill="true" applyFont="true" applyNumberFormat="false" applyProtection="false" borderId="86" fillId="229" fontId="9" numFmtId="0" xfId="0">
      <alignment horizontal="center" vertical="center"/>
    </xf>
    <xf applyAlignment="true" applyBorder="false" applyFill="true" applyFont="true" applyNumberFormat="true" applyProtection="false" borderId="86" fillId="229" fontId="3" numFmtId="184" xfId="0">
      <alignment horizontal="center" vertical="center" wrapText="true"/>
    </xf>
    <xf applyAlignment="true" applyBorder="false" applyFill="true" applyFont="true" applyNumberFormat="true" applyProtection="false" borderId="93" fillId="229" fontId="3" numFmtId="184" xfId="0">
      <alignment horizontal="center" vertical="center" wrapText="true"/>
    </xf>
    <xf applyAlignment="true" applyBorder="false" applyFill="true" applyFont="true" applyNumberFormat="false" applyProtection="false" borderId="86" fillId="229" fontId="7" numFmtId="0" xfId="0">
      <alignment horizontal="center" vertical="center"/>
    </xf>
    <xf applyAlignment="true" applyBorder="false" applyFill="true" applyFont="true" applyNumberFormat="true" applyProtection="false" borderId="86" fillId="229" fontId="7" numFmtId="185" xfId="0">
      <alignment horizontal="center" vertical="center"/>
    </xf>
    <xf applyAlignment="true" applyBorder="false" applyFill="true" applyFont="true" applyNumberFormat="false" applyProtection="false" borderId="86" fillId="229" fontId="7" numFmtId="0" xfId="0">
      <alignment horizontal="center" vertical="center" wrapText="true"/>
    </xf>
    <xf applyAlignment="true" applyBorder="false" applyFill="true" applyFont="true" applyNumberFormat="false" applyProtection="false" borderId="93" fillId="229" fontId="7" numFmtId="0" xfId="0">
      <alignment horizontal="center" vertical="center"/>
    </xf>
    <xf applyAlignment="true" applyBorder="false" applyFill="true" applyFont="true" applyNumberFormat="true" applyProtection="false" borderId="86" fillId="223" fontId="5" numFmtId="187" xfId="0">
      <alignment horizontal="center" vertical="center"/>
    </xf>
    <xf applyAlignment="true" applyBorder="false" applyFill="true" applyFont="true" applyNumberFormat="false" applyProtection="false" borderId="93" fillId="223" fontId="5" numFmtId="0" xfId="0">
      <alignment horizontal="center" vertical="center"/>
    </xf>
    <xf applyAlignment="true" applyBorder="false" applyFill="true" applyFont="true" applyNumberFormat="false" applyProtection="false" borderId="86" fillId="230" fontId="9" numFmtId="0" xfId="0">
      <alignment horizontal="center" vertical="center"/>
    </xf>
    <xf applyAlignment="true" applyBorder="false" applyFill="true" applyFont="true" applyNumberFormat="true" applyProtection="false" borderId="86" fillId="230" fontId="3" numFmtId="184" xfId="0">
      <alignment horizontal="center" vertical="center" wrapText="true"/>
    </xf>
    <xf applyAlignment="true" applyBorder="false" applyFill="true" applyFont="true" applyNumberFormat="true" applyProtection="false" borderId="93" fillId="230" fontId="3" numFmtId="184" xfId="0">
      <alignment horizontal="center" vertical="center" wrapText="true"/>
    </xf>
    <xf applyAlignment="true" applyBorder="false" applyFill="true" applyFont="true" applyNumberFormat="false" applyProtection="false" borderId="86" fillId="230" fontId="7" numFmtId="0" xfId="0">
      <alignment horizontal="center" vertical="center"/>
    </xf>
    <xf applyAlignment="true" applyBorder="false" applyFill="true" applyFont="true" applyNumberFormat="true" applyProtection="false" borderId="86" fillId="230" fontId="7" numFmtId="185" xfId="0">
      <alignment horizontal="center" vertical="center"/>
    </xf>
    <xf applyAlignment="true" applyBorder="false" applyFill="true" applyFont="true" applyNumberFormat="false" applyProtection="false" borderId="86" fillId="230" fontId="7" numFmtId="0" xfId="0">
      <alignment horizontal="center" vertical="center" wrapText="true"/>
    </xf>
    <xf applyAlignment="true" applyBorder="false" applyFill="true" applyFont="true" applyNumberFormat="false" applyProtection="false" borderId="96" fillId="230" fontId="7" numFmtId="0" xfId="0">
      <alignment horizontal="center" vertical="center"/>
    </xf>
    <xf applyAlignment="true" applyBorder="false" applyFill="true" applyFont="true" applyNumberFormat="false" applyProtection="false" borderId="0" fillId="220" fontId="7" numFmtId="0" xfId="0">
      <alignment horizontal="center" vertical="center"/>
    </xf>
    <xf applyAlignment="true" applyBorder="false" applyFill="true" applyFont="true" applyNumberFormat="true" applyProtection="false" borderId="86" fillId="225" fontId="4" numFmtId="185" xfId="0">
      <alignment horizontal="center" vertical="center"/>
    </xf>
    <xf applyAlignment="true" applyBorder="false" applyFill="true" applyFont="true" applyNumberFormat="true" applyProtection="false" borderId="86" fillId="225" fontId="4" numFmtId="185" xfId="0">
      <alignment horizontal="center" vertical="center"/>
    </xf>
    <xf applyAlignment="true" applyBorder="false" applyFill="true" applyFont="true" applyNumberFormat="true" applyProtection="false" borderId="86" fillId="225" fontId="5" numFmtId="187" xfId="0">
      <alignment horizontal="center" vertical="center"/>
    </xf>
    <xf applyAlignment="true" applyBorder="false" applyFill="true" applyFont="true" applyNumberFormat="false" applyProtection="false" borderId="86" fillId="225" fontId="5" numFmtId="0" xfId="0">
      <alignment horizontal="center" vertical="center"/>
    </xf>
    <xf applyAlignment="true" applyBorder="false" applyFill="true" applyFont="true" applyNumberFormat="false" applyProtection="false" borderId="86" fillId="225" fontId="5" numFmtId="0" xfId="0">
      <alignment horizontal="center" vertical="center" wrapText="true"/>
    </xf>
    <xf applyAlignment="true" applyBorder="false" applyFill="true" applyFont="true" applyNumberFormat="true" applyProtection="false" borderId="86" fillId="219" fontId="5" numFmtId="187" xfId="0">
      <alignment horizontal="center" vertical="center"/>
    </xf>
    <xf applyAlignment="true" applyBorder="false" applyFill="true" applyFont="true" applyNumberFormat="false" applyProtection="false" borderId="86" fillId="231" fontId="9" numFmtId="0" xfId="0">
      <alignment horizontal="center" vertical="center"/>
    </xf>
    <xf applyAlignment="true" applyBorder="false" applyFill="true" applyFont="true" applyNumberFormat="true" applyProtection="false" borderId="86" fillId="231" fontId="3" numFmtId="184" xfId="0">
      <alignment horizontal="center" vertical="center" wrapText="true"/>
    </xf>
    <xf applyAlignment="true" applyBorder="false" applyFill="true" applyFont="true" applyNumberFormat="true" applyProtection="false" borderId="93" fillId="231" fontId="3" numFmtId="184" xfId="0">
      <alignment horizontal="center" vertical="center" wrapText="true"/>
    </xf>
    <xf applyAlignment="true" applyBorder="false" applyFill="true" applyFont="true" applyNumberFormat="false" applyProtection="false" borderId="86" fillId="231" fontId="7" numFmtId="0" xfId="0">
      <alignment horizontal="center" vertical="center"/>
    </xf>
    <xf applyAlignment="true" applyBorder="false" applyFill="true" applyFont="true" applyNumberFormat="true" applyProtection="false" borderId="86" fillId="231" fontId="7" numFmtId="185" xfId="0">
      <alignment horizontal="center" vertical="center"/>
    </xf>
    <xf applyAlignment="true" applyBorder="false" applyFill="true" applyFont="true" applyNumberFormat="false" applyProtection="false" borderId="86" fillId="231" fontId="7" numFmtId="0" xfId="0">
      <alignment horizontal="center" vertical="center" wrapText="true"/>
    </xf>
    <xf applyAlignment="true" applyBorder="false" applyFill="true" applyFont="true" applyNumberFormat="false" applyProtection="false" borderId="93" fillId="231" fontId="7" numFmtId="0" xfId="0">
      <alignment horizontal="center" vertical="center"/>
    </xf>
    <xf applyAlignment="true" applyBorder="false" applyFill="true" applyFont="true" applyNumberFormat="true" applyProtection="false" borderId="87" fillId="232" fontId="3" numFmtId="184" xfId="0">
      <alignment horizontal="center" vertical="center" wrapText="true"/>
    </xf>
    <xf applyAlignment="true" applyBorder="false" applyFill="true" applyFont="true" applyNumberFormat="true" applyProtection="false" borderId="87" fillId="232" fontId="3" numFmtId="184" xfId="0">
      <alignment horizontal="center" vertical="center" wrapText="true"/>
    </xf>
    <xf applyAlignment="true" applyBorder="false" applyFill="true" applyFont="true" applyNumberFormat="true" applyProtection="false" borderId="87" fillId="232" fontId="10" numFmtId="184" xfId="0">
      <alignment horizontal="center" vertical="center" wrapText="true"/>
    </xf>
    <xf applyAlignment="true" applyBorder="false" applyFill="true" applyFont="true" applyNumberFormat="true" applyProtection="false" borderId="88" fillId="232" fontId="10" numFmtId="184" xfId="0">
      <alignment horizontal="center" vertical="center" wrapText="true"/>
    </xf>
    <xf applyAlignment="true" applyBorder="false" applyFill="true" applyFont="true" applyNumberFormat="true" applyProtection="false" borderId="0" fillId="220" fontId="10" numFmtId="184" xfId="0">
      <alignment horizontal="center" vertical="center" wrapText="true"/>
    </xf>
    <xf applyAlignment="true" applyBorder="false" applyFill="true" applyFont="true" applyNumberFormat="true" applyProtection="false" borderId="84" fillId="232" fontId="7" numFmtId="184" xfId="0">
      <alignment horizontal="center" vertical="center" wrapText="true"/>
    </xf>
    <xf applyAlignment="true" applyBorder="false" applyFill="true" applyFont="true" applyNumberFormat="true" applyProtection="false" borderId="84" fillId="232" fontId="7" numFmtId="185" xfId="0">
      <alignment horizontal="center" vertical="center"/>
    </xf>
    <xf applyAlignment="true" applyBorder="false" applyFill="true" applyFont="true" applyNumberFormat="false" applyProtection="false" borderId="84" fillId="232" fontId="7" numFmtId="0" xfId="0">
      <alignment horizontal="center" vertical="center"/>
    </xf>
    <xf applyAlignment="true" applyBorder="false" applyFill="true" applyFont="true" applyNumberFormat="false" applyProtection="false" borderId="84" fillId="232" fontId="7" numFmtId="0" xfId="0">
      <alignment horizontal="center" vertical="center" wrapText="true"/>
    </xf>
    <xf applyAlignment="true" applyBorder="false" applyFill="true" applyFont="true" applyNumberFormat="false" applyProtection="false" borderId="85" fillId="232" fontId="7" numFmtId="0" xfId="0">
      <alignment horizontal="center" vertical="center"/>
    </xf>
    <xf applyAlignment="true" applyBorder="false" applyFill="false" applyFont="true" applyNumberFormat="true" applyProtection="false" borderId="87" fillId="0" fontId="5" numFmtId="185" xfId="0">
      <alignment horizontal="center" vertical="center"/>
    </xf>
    <xf applyAlignment="true" applyBorder="false" applyFill="false" applyFont="true" applyNumberFormat="false" applyProtection="false" borderId="87" fillId="0" fontId="8" numFmtId="0" xfId="0">
      <alignment horizontal="center" vertical="center" wrapText="true"/>
    </xf>
    <xf applyAlignment="true" applyBorder="false" applyFill="false" applyFont="true" applyNumberFormat="false" applyProtection="false" borderId="88" fillId="0" fontId="8" numFmtId="0" xfId="0">
      <alignment vertical="center"/>
    </xf>
    <xf applyAlignment="true" applyBorder="false" applyFill="true" applyFont="true" applyNumberFormat="false" applyProtection="false" borderId="0" fillId="223" fontId="8" numFmtId="0" xfId="0">
      <alignment vertical="center"/>
    </xf>
    <xf applyAlignment="true" applyBorder="false" applyFill="false" applyFont="true" applyNumberFormat="false" applyProtection="false" borderId="87" fillId="0" fontId="8" numFmtId="0" xfId="0">
      <alignment horizontal="center" vertical="center" wrapText="true"/>
    </xf>
    <xf applyAlignment="true" applyBorder="false" applyFill="true" applyFont="true" applyNumberFormat="false" applyProtection="false" borderId="0" fillId="220" fontId="8" numFmtId="0" xfId="0">
      <alignment vertical="center"/>
    </xf>
    <xf applyAlignment="true" applyBorder="false" applyFill="true" applyFont="true" applyNumberFormat="true" applyProtection="false" borderId="87" fillId="223" fontId="5" numFmtId="185" xfId="0">
      <alignment horizontal="center" vertical="center"/>
    </xf>
    <xf applyAlignment="true" applyBorder="false" applyFill="true" applyFont="true" applyNumberFormat="false" applyProtection="false" borderId="87" fillId="223" fontId="8" numFmtId="0" xfId="0">
      <alignment horizontal="center" vertical="center" wrapText="true"/>
    </xf>
    <xf applyAlignment="true" applyBorder="false" applyFill="true" applyFont="true" applyNumberFormat="false" applyProtection="false" borderId="88" fillId="223" fontId="8" numFmtId="0" xfId="0">
      <alignment vertical="center"/>
    </xf>
    <xf applyAlignment="true" applyBorder="false" applyFill="true" applyFont="true" applyNumberFormat="true" applyProtection="false" borderId="84" fillId="233" fontId="3" numFmtId="184" xfId="0">
      <alignment horizontal="center" vertical="center" wrapText="true"/>
    </xf>
    <xf applyAlignment="true" applyBorder="false" applyFill="true" applyFont="true" applyNumberFormat="true" applyProtection="false" borderId="85" fillId="233" fontId="3" numFmtId="184" xfId="0">
      <alignment horizontal="center" vertical="center" wrapText="true"/>
    </xf>
    <xf applyAlignment="true" applyBorder="false" applyFill="true" applyFont="true" applyNumberFormat="true" applyProtection="false" borderId="85" fillId="233" fontId="7" numFmtId="184" xfId="0">
      <alignment horizontal="center" vertical="center" wrapText="true"/>
    </xf>
    <xf applyAlignment="true" applyBorder="false" applyFill="true" applyFont="true" applyNumberFormat="true" applyProtection="false" borderId="87" fillId="233" fontId="7" numFmtId="185" xfId="0">
      <alignment horizontal="center" vertical="center"/>
    </xf>
    <xf applyAlignment="true" applyBorder="false" applyFill="true" applyFont="true" applyNumberFormat="false" applyProtection="false" borderId="97" fillId="233" fontId="7" numFmtId="0" xfId="0">
      <alignment horizontal="center" vertical="center"/>
    </xf>
    <xf applyAlignment="true" applyBorder="false" applyFill="true" applyFont="true" applyNumberFormat="false" applyProtection="false" borderId="84" fillId="233" fontId="7" numFmtId="0" xfId="0">
      <alignment horizontal="center" vertical="center"/>
    </xf>
    <xf applyAlignment="true" applyBorder="false" applyFill="true" applyFont="true" applyNumberFormat="false" applyProtection="false" borderId="84" fillId="233" fontId="7" numFmtId="0" xfId="0">
      <alignment horizontal="center" vertical="center" wrapText="true"/>
    </xf>
    <xf applyAlignment="true" applyBorder="false" applyFill="true" applyFont="true" applyNumberFormat="false" applyProtection="false" borderId="85" fillId="233" fontId="7" numFmtId="0" xfId="0">
      <alignment horizontal="center" vertical="center"/>
    </xf>
    <xf applyAlignment="true" applyBorder="false" applyFill="true" applyFont="true" applyNumberFormat="false" applyProtection="false" borderId="88" fillId="233" fontId="7" numFmtId="0" xfId="0">
      <alignment horizontal="center" vertical="center"/>
    </xf>
    <xf applyAlignment="true" applyBorder="false" applyFill="true" applyFont="true" applyNumberFormat="true" applyProtection="false" borderId="87" fillId="220" fontId="4" numFmtId="185" xfId="0">
      <alignment horizontal="center" vertical="center"/>
    </xf>
    <xf applyAlignment="true" applyBorder="false" applyFill="false" applyFont="true" applyNumberFormat="false" applyProtection="false" borderId="87" fillId="0" fontId="5" numFmtId="0" xfId="0">
      <alignment horizontal="center" vertical="center" wrapText="true"/>
    </xf>
    <xf applyAlignment="true" applyBorder="false" applyFill="false" applyFont="true" applyNumberFormat="false" applyProtection="false" borderId="94" fillId="0" fontId="5" numFmtId="0" xfId="0">
      <alignment horizontal="center" vertical="center"/>
    </xf>
    <xf applyAlignment="true" applyBorder="false" applyFill="true" applyFont="true" applyNumberFormat="false" applyProtection="false" borderId="0" fillId="223" fontId="5" numFmtId="0" xfId="0">
      <alignment horizontal="center" vertical="center"/>
    </xf>
    <xf applyAlignment="true" applyBorder="false" applyFill="false" applyFont="true" applyNumberFormat="false" applyProtection="false" borderId="87" fillId="0" fontId="5" numFmtId="0" xfId="0">
      <alignment horizontal="center" vertical="center" wrapText="true"/>
    </xf>
    <xf applyAlignment="true" applyBorder="false" applyFill="false" applyFont="true" applyNumberFormat="false" applyProtection="false" borderId="94" fillId="0" fontId="5" numFmtId="0" xfId="0">
      <alignment horizontal="center" vertical="center"/>
    </xf>
    <xf applyAlignment="true" applyBorder="false" applyFill="true" applyFont="true" applyNumberFormat="false" applyProtection="false" borderId="87" fillId="220" fontId="4" numFmtId="0" xfId="0">
      <alignment horizontal="center" vertical="center"/>
    </xf>
    <xf applyAlignment="true" applyBorder="false" applyFill="true" applyFont="true" applyNumberFormat="true" applyProtection="false" borderId="87" fillId="223" fontId="4" numFmtId="186" xfId="0">
      <alignment horizontal="center" vertical="center"/>
    </xf>
    <xf applyAlignment="true" applyBorder="false" applyFill="true" applyFont="true" applyNumberFormat="true" applyProtection="false" borderId="84" fillId="234" fontId="3" numFmtId="184" xfId="0">
      <alignment horizontal="center" vertical="center" wrapText="true"/>
    </xf>
    <xf applyAlignment="true" applyBorder="false" applyFill="true" applyFont="true" applyNumberFormat="true" applyProtection="false" borderId="85" fillId="234" fontId="3" numFmtId="184" xfId="0">
      <alignment horizontal="center" vertical="center" wrapText="true"/>
    </xf>
    <xf applyAlignment="true" applyBorder="false" applyFill="true" applyFont="true" applyNumberFormat="true" applyProtection="false" borderId="85" fillId="234" fontId="7" numFmtId="184" xfId="0">
      <alignment horizontal="center" vertical="center" wrapText="true"/>
    </xf>
    <xf applyAlignment="true" applyBorder="false" applyFill="true" applyFont="true" applyNumberFormat="true" applyProtection="false" borderId="87" fillId="234" fontId="7" numFmtId="185" xfId="0">
      <alignment horizontal="center" vertical="center"/>
    </xf>
    <xf applyAlignment="true" applyBorder="false" applyFill="true" applyFont="true" applyNumberFormat="false" applyProtection="false" borderId="97" fillId="234" fontId="7" numFmtId="0" xfId="0">
      <alignment horizontal="center" vertical="center"/>
    </xf>
    <xf applyAlignment="true" applyBorder="false" applyFill="true" applyFont="true" applyNumberFormat="false" applyProtection="false" borderId="84" fillId="234" fontId="7" numFmtId="0" xfId="0">
      <alignment horizontal="center" vertical="center"/>
    </xf>
    <xf applyAlignment="true" applyBorder="false" applyFill="true" applyFont="true" applyNumberFormat="false" applyProtection="false" borderId="84" fillId="234" fontId="7" numFmtId="0" xfId="0">
      <alignment horizontal="center" vertical="center" wrapText="true"/>
    </xf>
    <xf applyAlignment="true" applyBorder="false" applyFill="true" applyFont="true" applyNumberFormat="false" applyProtection="false" borderId="85" fillId="234" fontId="7" numFmtId="0" xfId="0">
      <alignment horizontal="center" vertical="center"/>
    </xf>
    <xf applyAlignment="true" applyBorder="false" applyFill="true" applyFont="true" applyNumberFormat="false" applyProtection="false" borderId="88" fillId="234" fontId="7" numFmtId="0" xfId="0">
      <alignment horizontal="center" vertical="center"/>
    </xf>
    <xf applyAlignment="true" applyBorder="false" applyFill="true" applyFont="true" applyNumberFormat="true" applyProtection="false" borderId="87" fillId="223" fontId="4" numFmtId="185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true" applyProtection="false" borderId="87" fillId="223" fontId="4" numFmtId="185" xfId="0">
      <alignment horizontal="center" vertical="center"/>
    </xf>
    <xf applyAlignment="true" applyBorder="false" applyFill="true" applyFont="true" applyNumberFormat="false" applyProtection="false" borderId="0" fillId="220" fontId="5" numFmtId="0" xfId="0">
      <alignment horizontal="center" vertical="center"/>
    </xf>
    <xf applyAlignment="true" applyBorder="false" applyFill="true" applyFont="true" applyNumberFormat="true" applyProtection="false" borderId="84" fillId="235" fontId="3" numFmtId="184" xfId="0">
      <alignment horizontal="center" vertical="center" wrapText="true"/>
    </xf>
    <xf applyAlignment="true" applyBorder="false" applyFill="true" applyFont="true" applyNumberFormat="true" applyProtection="false" borderId="85" fillId="235" fontId="3" numFmtId="184" xfId="0">
      <alignment horizontal="center" vertical="center" wrapText="true"/>
    </xf>
    <xf applyAlignment="true" applyBorder="false" applyFill="true" applyFont="true" applyNumberFormat="true" applyProtection="false" borderId="85" fillId="235" fontId="7" numFmtId="184" xfId="0">
      <alignment horizontal="center" vertical="center" wrapText="true"/>
    </xf>
    <xf applyAlignment="true" applyBorder="false" applyFill="true" applyFont="true" applyNumberFormat="true" applyProtection="false" borderId="87" fillId="235" fontId="7" numFmtId="185" xfId="0">
      <alignment horizontal="center" vertical="center"/>
    </xf>
    <xf applyAlignment="true" applyBorder="false" applyFill="true" applyFont="true" applyNumberFormat="false" applyProtection="false" borderId="97" fillId="235" fontId="7" numFmtId="0" xfId="0">
      <alignment horizontal="center" vertical="center"/>
    </xf>
    <xf applyAlignment="true" applyBorder="false" applyFill="true" applyFont="true" applyNumberFormat="false" applyProtection="false" borderId="84" fillId="235" fontId="7" numFmtId="0" xfId="0">
      <alignment horizontal="center" vertical="center"/>
    </xf>
    <xf applyAlignment="true" applyBorder="false" applyFill="true" applyFont="true" applyNumberFormat="false" applyProtection="false" borderId="84" fillId="235" fontId="7" numFmtId="0" xfId="0">
      <alignment horizontal="center" vertical="center" wrapText="true"/>
    </xf>
    <xf applyAlignment="true" applyBorder="false" applyFill="true" applyFont="true" applyNumberFormat="false" applyProtection="false" borderId="85" fillId="235" fontId="7" numFmtId="0" xfId="0">
      <alignment horizontal="center" vertical="center"/>
    </xf>
    <xf applyAlignment="true" applyBorder="false" applyFill="true" applyFont="true" applyNumberFormat="false" applyProtection="false" borderId="88" fillId="235" fontId="7" numFmtId="0" xfId="0">
      <alignment horizontal="center" vertical="center"/>
    </xf>
    <xf applyAlignment="true" applyBorder="false" applyFill="true" applyFont="true" applyNumberFormat="true" applyProtection="false" borderId="87" fillId="223" fontId="5" numFmtId="186" xfId="0">
      <alignment horizontal="center" vertical="center"/>
    </xf>
    <xf applyAlignment="true" applyBorder="false" applyFill="true" applyFont="true" applyNumberFormat="true" applyProtection="false" borderId="90" fillId="220" fontId="5" numFmtId="186" xfId="0">
      <alignment horizontal="center" vertical="center"/>
    </xf>
    <xf applyAlignment="true" applyBorder="false" applyFill="true" applyFont="true" applyNumberFormat="true" applyProtection="false" borderId="87" fillId="225" fontId="5" numFmtId="186" xfId="0">
      <alignment horizontal="center" vertical="center"/>
    </xf>
    <xf applyAlignment="true" applyBorder="false" applyFill="true" applyFont="true" applyNumberFormat="false" applyProtection="false" borderId="94" fillId="225" fontId="5" numFmtId="0" xfId="0">
      <alignment horizontal="center" vertical="center"/>
    </xf>
    <xf applyAlignment="true" applyBorder="false" applyFill="true" applyFont="true" applyNumberFormat="false" applyProtection="false" borderId="0" fillId="225" fontId="5" numFmtId="0" xfId="0">
      <alignment horizontal="center" vertical="center"/>
    </xf>
    <xf applyAlignment="true" applyBorder="false" applyFill="true" applyFont="true" applyNumberFormat="false" applyProtection="false" borderId="0" fillId="225" fontId="6" numFmtId="0" xfId="0">
      <alignment vertical="center"/>
    </xf>
    <xf applyAlignment="true" applyBorder="false" applyFill="true" applyFont="true" applyNumberFormat="false" applyProtection="false" borderId="94" fillId="225" fontId="5" numFmtId="0" xfId="0">
      <alignment horizontal="center" vertical="center"/>
    </xf>
    <xf applyAlignment="true" applyBorder="false" applyFill="false" applyFont="true" applyNumberFormat="false" applyProtection="false" borderId="94" fillId="0" fontId="5" numFmtId="0" xfId="0">
      <alignment horizontal="center" vertical="center"/>
    </xf>
    <xf applyAlignment="true" applyBorder="false" applyFill="true" applyFont="true" applyNumberFormat="true" applyProtection="false" borderId="84" fillId="236" fontId="3" numFmtId="184" xfId="0">
      <alignment horizontal="center" vertical="center" wrapText="true"/>
    </xf>
    <xf applyAlignment="true" applyBorder="false" applyFill="true" applyFont="true" applyNumberFormat="true" applyProtection="false" borderId="98" fillId="236" fontId="3" numFmtId="184" xfId="0">
      <alignment horizontal="center" vertical="center" wrapText="true"/>
    </xf>
    <xf applyAlignment="true" applyBorder="false" applyFill="true" applyFont="true" applyNumberFormat="true" applyProtection="false" borderId="85" fillId="236" fontId="3" numFmtId="184" xfId="0">
      <alignment horizontal="center" vertical="center" wrapText="true"/>
    </xf>
    <xf applyAlignment="true" applyBorder="false" applyFill="true" applyFont="true" applyNumberFormat="true" applyProtection="false" borderId="85" fillId="236" fontId="7" numFmtId="184" xfId="0">
      <alignment horizontal="center" vertical="center" wrapText="true"/>
    </xf>
    <xf applyAlignment="true" applyBorder="false" applyFill="true" applyFont="true" applyNumberFormat="true" applyProtection="false" borderId="87" fillId="236" fontId="7" numFmtId="185" xfId="0">
      <alignment horizontal="center" vertical="center"/>
    </xf>
    <xf applyAlignment="true" applyBorder="false" applyFill="true" applyFont="true" applyNumberFormat="false" applyProtection="false" borderId="97" fillId="236" fontId="7" numFmtId="0" xfId="0">
      <alignment horizontal="center" vertical="center"/>
    </xf>
    <xf applyAlignment="true" applyBorder="false" applyFill="true" applyFont="true" applyNumberFormat="false" applyProtection="false" borderId="84" fillId="236" fontId="7" numFmtId="0" xfId="0">
      <alignment horizontal="center" vertical="center"/>
    </xf>
    <xf applyAlignment="true" applyBorder="false" applyFill="true" applyFont="true" applyNumberFormat="false" applyProtection="false" borderId="84" fillId="236" fontId="7" numFmtId="0" xfId="0">
      <alignment horizontal="center" vertical="center" wrapText="true"/>
    </xf>
    <xf applyAlignment="true" applyBorder="false" applyFill="true" applyFont="true" applyNumberFormat="false" applyProtection="false" borderId="85" fillId="236" fontId="7" numFmtId="0" xfId="0">
      <alignment horizontal="center" vertical="center"/>
    </xf>
    <xf applyAlignment="true" applyBorder="false" applyFill="true" applyFont="true" applyNumberFormat="false" applyProtection="false" borderId="88" fillId="236" fontId="7" numFmtId="0" xfId="0">
      <alignment horizontal="center" vertical="center"/>
    </xf>
    <xf applyAlignment="true" applyBorder="false" applyFill="true" applyFont="true" applyNumberFormat="true" applyProtection="false" borderId="84" fillId="220" fontId="3" numFmtId="184" xfId="0">
      <alignment horizontal="center" vertical="center" wrapText="true"/>
    </xf>
    <xf applyAlignment="true" applyBorder="false" applyFill="true" applyFont="true" applyNumberFormat="true" applyProtection="false" borderId="84" fillId="220" fontId="3" numFmtId="184" xfId="0">
      <alignment horizontal="center" vertical="center" wrapText="true"/>
    </xf>
    <xf applyAlignment="true" applyBorder="false" applyFill="true" applyFont="true" applyNumberFormat="true" applyProtection="false" borderId="98" fillId="220" fontId="3" numFmtId="184" xfId="0">
      <alignment horizontal="center" vertical="center" wrapText="true"/>
    </xf>
    <xf applyAlignment="true" applyBorder="false" applyFill="true" applyFont="true" applyNumberFormat="true" applyProtection="false" borderId="85" fillId="220" fontId="3" numFmtId="184" xfId="0">
      <alignment horizontal="center" vertical="center" wrapText="true"/>
    </xf>
    <xf applyAlignment="true" applyBorder="false" applyFill="true" applyFont="true" applyNumberFormat="true" applyProtection="false" borderId="84" fillId="237" fontId="3" numFmtId="184" xfId="0">
      <alignment horizontal="center" vertical="center" wrapText="true"/>
    </xf>
    <xf applyAlignment="true" applyBorder="false" applyFill="true" applyFont="true" applyNumberFormat="true" applyProtection="false" borderId="84" fillId="237" fontId="3" numFmtId="184" xfId="0">
      <alignment horizontal="center" vertical="center" wrapText="true"/>
    </xf>
    <xf applyAlignment="true" applyBorder="false" applyFill="true" applyFont="true" applyNumberFormat="true" applyProtection="false" borderId="98" fillId="237" fontId="3" numFmtId="184" xfId="0">
      <alignment horizontal="center" vertical="center" wrapText="true"/>
    </xf>
    <xf applyAlignment="true" applyBorder="false" applyFill="true" applyFont="true" applyNumberFormat="true" applyProtection="false" borderId="85" fillId="237" fontId="3" numFmtId="184" xfId="0">
      <alignment horizontal="center" vertical="center" wrapText="true"/>
    </xf>
    <xf applyAlignment="true" applyBorder="false" applyFill="true" applyFont="true" applyNumberFormat="true" applyProtection="false" borderId="85" fillId="237" fontId="7" numFmtId="184" xfId="0">
      <alignment horizontal="center" vertical="center" wrapText="true"/>
    </xf>
    <xf applyAlignment="true" applyBorder="false" applyFill="true" applyFont="true" applyNumberFormat="true" applyProtection="false" borderId="87" fillId="237" fontId="7" numFmtId="185" xfId="0">
      <alignment horizontal="center" vertical="center"/>
    </xf>
    <xf applyAlignment="true" applyBorder="false" applyFill="true" applyFont="true" applyNumberFormat="false" applyProtection="false" borderId="97" fillId="237" fontId="7" numFmtId="0" xfId="0">
      <alignment horizontal="center" vertical="center"/>
    </xf>
    <xf applyAlignment="true" applyBorder="false" applyFill="true" applyFont="true" applyNumberFormat="false" applyProtection="false" borderId="84" fillId="237" fontId="7" numFmtId="0" xfId="0">
      <alignment horizontal="center" vertical="center"/>
    </xf>
    <xf applyAlignment="true" applyBorder="false" applyFill="true" applyFont="true" applyNumberFormat="false" applyProtection="false" borderId="84" fillId="237" fontId="7" numFmtId="0" xfId="0">
      <alignment horizontal="center" vertical="center" wrapText="true"/>
    </xf>
    <xf applyAlignment="true" applyBorder="false" applyFill="true" applyFont="true" applyNumberFormat="false" applyProtection="false" borderId="85" fillId="237" fontId="7" numFmtId="0" xfId="0">
      <alignment horizontal="center" vertical="center"/>
    </xf>
    <xf applyAlignment="true" applyBorder="false" applyFill="true" applyFont="true" applyNumberFormat="false" applyProtection="false" borderId="88" fillId="237" fontId="7" numFmtId="0" xfId="0">
      <alignment horizontal="center" vertical="center"/>
    </xf>
    <xf applyAlignment="true" applyBorder="false" applyFill="true" applyFont="true" applyNumberFormat="true" applyProtection="false" borderId="87" fillId="238" fontId="3" numFmtId="184" xfId="0">
      <alignment horizontal="center" vertical="center" wrapText="true"/>
    </xf>
    <xf applyAlignment="true" applyBorder="false" applyFill="true" applyFont="true" applyNumberFormat="false" applyProtection="false" borderId="0" fillId="238" fontId="8" numFmtId="0" xfId="0">
      <alignment vertical="center"/>
    </xf>
    <xf applyAlignment="true" applyBorder="false" applyFill="true" applyFont="true" applyNumberFormat="false" applyProtection="false" borderId="0" fillId="238" fontId="8" numFmtId="0" xfId="0">
      <alignment horizontal="center" vertical="center"/>
    </xf>
    <xf applyAlignment="true" applyBorder="false" applyFill="true" applyFont="true" applyNumberFormat="true" applyProtection="false" borderId="87" fillId="239" fontId="7" numFmtId="184" xfId="0">
      <alignment horizontal="center" vertical="center" wrapText="true"/>
    </xf>
    <xf applyAlignment="true" applyBorder="false" applyFill="true" applyFont="true" applyNumberFormat="true" applyProtection="false" borderId="87" fillId="239" fontId="7" numFmtId="185" xfId="0">
      <alignment horizontal="center" vertical="center"/>
    </xf>
    <xf applyAlignment="true" applyBorder="false" applyFill="true" applyFont="true" applyNumberFormat="false" applyProtection="false" borderId="84" fillId="239" fontId="7" numFmtId="0" xfId="0">
      <alignment horizontal="center" vertical="center"/>
    </xf>
    <xf applyAlignment="true" applyBorder="false" applyFill="true" applyFont="true" applyNumberFormat="false" applyProtection="false" borderId="87" fillId="239" fontId="7" numFmtId="0" xfId="0">
      <alignment horizontal="center" vertical="center"/>
    </xf>
    <xf applyAlignment="true" applyBorder="false" applyFill="true" applyFont="true" applyNumberFormat="false" applyProtection="false" borderId="87" fillId="239" fontId="7" numFmtId="0" xfId="0">
      <alignment horizontal="center" vertical="center" wrapText="true"/>
    </xf>
    <xf applyAlignment="true" applyBorder="false" applyFill="true" applyFont="true" applyNumberFormat="false" applyProtection="false" borderId="88" fillId="239" fontId="7" numFmtId="0" xfId="0">
      <alignment horizontal="center" vertical="center"/>
    </xf>
    <xf applyAlignment="true" applyBorder="false" applyFill="true" applyFont="true" applyNumberFormat="true" applyProtection="false" borderId="86" fillId="220" fontId="5" numFmtId="186" xfId="0">
      <alignment horizontal="center" vertical="center"/>
    </xf>
    <xf applyAlignment="true" applyBorder="false" applyFill="true" applyFont="true" applyNumberFormat="false" applyProtection="false" borderId="87" fillId="220" fontId="5" numFmtId="0" xfId="0">
      <alignment horizontal="center" vertical="center" wrapText="true"/>
    </xf>
    <xf applyAlignment="true" applyBorder="false" applyFill="true" applyFont="true" applyNumberFormat="false" applyProtection="false" borderId="88" fillId="220" fontId="5" numFmtId="0" xfId="0">
      <alignment horizontal="center" vertical="center"/>
    </xf>
    <xf applyAlignment="true" applyBorder="false" applyFill="true" applyFont="true" applyNumberFormat="true" applyProtection="false" borderId="87" fillId="220" fontId="5" numFmtId="186" xfId="0">
      <alignment horizontal="center" vertical="center"/>
    </xf>
    <xf applyAlignment="true" applyBorder="false" applyFill="true" applyFont="true" applyNumberFormat="false" applyProtection="false" borderId="87" fillId="220" fontId="5" numFmtId="0" xfId="0">
      <alignment horizontal="center" vertical="center" wrapText="true"/>
    </xf>
    <xf applyAlignment="true" applyBorder="false" applyFill="true" applyFont="true" applyNumberFormat="true" applyProtection="false" borderId="87" fillId="240" fontId="3" numFmtId="184" xfId="0">
      <alignment horizontal="center" vertical="center" wrapText="true"/>
    </xf>
    <xf applyAlignment="true" applyBorder="false" applyFill="true" applyFont="true" applyNumberFormat="true" applyProtection="false" borderId="87" fillId="240" fontId="4" numFmtId="185" xfId="0">
      <alignment horizontal="center" vertical="center"/>
    </xf>
    <xf applyAlignment="true" applyBorder="false" applyFill="true" applyFont="true" applyNumberFormat="true" applyProtection="false" borderId="87" fillId="240" fontId="4" numFmtId="185" xfId="0">
      <alignment horizontal="center" vertical="center"/>
    </xf>
    <xf applyAlignment="true" applyBorder="false" applyFill="true" applyFont="true" applyNumberFormat="false" applyProtection="false" borderId="87" fillId="240" fontId="5" numFmtId="0" xfId="0">
      <alignment horizontal="center" vertical="center"/>
    </xf>
    <xf applyAlignment="true" applyBorder="false" applyFill="true" applyFont="true" applyNumberFormat="false" applyProtection="false" borderId="87" fillId="240" fontId="5" numFmtId="0" xfId="0">
      <alignment horizontal="center" vertical="center"/>
    </xf>
    <xf applyAlignment="true" applyBorder="false" applyFill="true" applyFont="true" applyNumberFormat="false" applyProtection="false" borderId="87" fillId="240" fontId="5" numFmtId="0" xfId="0">
      <alignment horizontal="center" vertical="center" wrapText="true"/>
    </xf>
    <xf applyAlignment="true" applyBorder="false" applyFill="true" applyFont="true" applyNumberFormat="false" applyProtection="false" borderId="88" fillId="240" fontId="5" numFmtId="0" xfId="0">
      <alignment horizontal="center" vertical="center"/>
    </xf>
    <xf applyAlignment="true" applyBorder="false" applyFill="true" applyFont="true" applyNumberFormat="false" applyProtection="false" borderId="0" fillId="240" fontId="5" numFmtId="0" xfId="0">
      <alignment horizontal="center" vertical="center"/>
    </xf>
    <xf applyAlignment="true" applyBorder="false" applyFill="true" applyFont="true" applyNumberFormat="false" applyProtection="false" borderId="0" fillId="240" fontId="6" numFmtId="0" xfId="0">
      <alignment vertical="center"/>
    </xf>
    <xf applyAlignment="true" applyBorder="false" applyFill="true" applyFont="true" applyNumberFormat="true" applyProtection="false" borderId="87" fillId="240" fontId="7" numFmtId="184" xfId="0">
      <alignment horizontal="center" vertical="center" wrapText="true"/>
    </xf>
    <xf applyAlignment="true" applyBorder="false" applyFill="true" applyFont="true" applyNumberFormat="true" applyProtection="false" borderId="87" fillId="240" fontId="7" numFmtId="185" xfId="0">
      <alignment horizontal="center" vertical="center"/>
    </xf>
    <xf applyAlignment="true" applyBorder="false" applyFill="true" applyFont="true" applyNumberFormat="false" applyProtection="false" borderId="84" fillId="240" fontId="7" numFmtId="0" xfId="0">
      <alignment horizontal="center" vertical="center"/>
    </xf>
    <xf applyAlignment="true" applyBorder="false" applyFill="true" applyFont="true" applyNumberFormat="false" applyProtection="false" borderId="87" fillId="240" fontId="7" numFmtId="0" xfId="0">
      <alignment horizontal="center" vertical="center"/>
    </xf>
    <xf applyAlignment="true" applyBorder="false" applyFill="true" applyFont="true" applyNumberFormat="false" applyProtection="false" borderId="87" fillId="240" fontId="7" numFmtId="0" xfId="0">
      <alignment horizontal="center" vertical="center" wrapText="true"/>
    </xf>
    <xf applyAlignment="true" applyBorder="false" applyFill="true" applyFont="true" applyNumberFormat="false" applyProtection="false" borderId="88" fillId="240" fontId="7" numFmtId="0" xfId="0">
      <alignment horizontal="center" vertical="center"/>
    </xf>
    <xf applyAlignment="true" applyBorder="false" applyFill="true" applyFont="true" applyNumberFormat="false" applyProtection="false" borderId="0" fillId="240" fontId="7" numFmtId="0" xfId="0">
      <alignment horizontal="center" vertical="center"/>
    </xf>
    <xf applyAlignment="true" applyBorder="false" applyFill="false" applyFont="true" applyNumberFormat="false" applyProtection="false" borderId="87" fillId="0" fontId="4" numFmtId="0" xfId="0">
      <alignment horizontal="center" vertical="center"/>
    </xf>
    <xf applyAlignment="true" applyBorder="false" applyFill="true" applyFont="true" applyNumberFormat="false" applyProtection="false" borderId="88" fillId="220" fontId="5" numFmtId="0" xfId="0">
      <alignment horizontal="center" vertical="center"/>
    </xf>
    <xf applyAlignment="true" applyBorder="false" applyFill="true" applyFont="true" applyNumberFormat="true" applyProtection="false" borderId="87" fillId="226" fontId="3" numFmtId="184" xfId="0">
      <alignment horizontal="center" vertical="center" wrapText="true"/>
    </xf>
    <xf applyAlignment="true" applyBorder="false" applyFill="true" applyFont="true" applyNumberFormat="false" applyProtection="false" borderId="0" fillId="226" fontId="5" numFmtId="0" xfId="0">
      <alignment horizontal="center" vertical="center"/>
    </xf>
    <xf applyAlignment="true" applyBorder="false" applyFill="true" applyFont="true" applyNumberFormat="true" applyProtection="false" borderId="87" fillId="226" fontId="7" numFmtId="184" xfId="0">
      <alignment horizontal="center" vertical="center" wrapText="true"/>
    </xf>
    <xf applyAlignment="true" applyBorder="false" applyFill="true" applyFont="true" applyNumberFormat="true" applyProtection="false" borderId="87" fillId="226" fontId="7" numFmtId="185" xfId="0">
      <alignment horizontal="center" vertical="center"/>
    </xf>
    <xf applyAlignment="true" applyBorder="false" applyFill="true" applyFont="true" applyNumberFormat="false" applyProtection="false" borderId="84" fillId="226" fontId="7" numFmtId="0" xfId="0">
      <alignment horizontal="center" vertical="center"/>
    </xf>
    <xf applyAlignment="true" applyBorder="false" applyFill="true" applyFont="true" applyNumberFormat="false" applyProtection="false" borderId="87" fillId="226" fontId="7" numFmtId="0" xfId="0">
      <alignment horizontal="center" vertical="center"/>
    </xf>
    <xf applyAlignment="true" applyBorder="false" applyFill="true" applyFont="true" applyNumberFormat="false" applyProtection="false" borderId="87" fillId="226" fontId="7" numFmtId="0" xfId="0">
      <alignment horizontal="center" vertical="center" wrapText="true"/>
    </xf>
    <xf applyAlignment="true" applyBorder="false" applyFill="true" applyFont="true" applyNumberFormat="false" applyProtection="false" borderId="88" fillId="226" fontId="7" numFmtId="0" xfId="0">
      <alignment horizontal="center" vertical="center"/>
    </xf>
    <xf applyAlignment="true" applyBorder="false" applyFill="true" applyFont="true" applyNumberFormat="false" applyProtection="false" borderId="0" fillId="226" fontId="7" numFmtId="0" xfId="0">
      <alignment horizontal="center" vertical="center"/>
    </xf>
    <xf applyAlignment="true" applyBorder="false" applyFill="true" applyFont="true" applyNumberFormat="true" applyProtection="false" borderId="87" fillId="222" fontId="3" numFmtId="184" xfId="0">
      <alignment horizontal="center" vertical="center" wrapText="true"/>
    </xf>
    <xf applyAlignment="true" applyBorder="false" applyFill="true" applyFont="true" applyNumberFormat="true" applyProtection="false" borderId="88" fillId="222" fontId="3" numFmtId="184" xfId="0">
      <alignment horizontal="center" vertical="center" wrapText="true"/>
    </xf>
    <xf applyAlignment="true" applyBorder="false" applyFill="true" applyFont="true" applyNumberFormat="false" applyProtection="false" borderId="87" fillId="222" fontId="7" numFmtId="0" xfId="0">
      <alignment horizontal="center" vertical="center" wrapText="true"/>
    </xf>
    <xf applyAlignment="true" applyBorder="false" applyFill="true" applyFont="true" applyNumberFormat="false" applyProtection="false" borderId="88" fillId="225" fontId="5" numFmtId="0" xfId="0">
      <alignment horizontal="center" vertical="center"/>
    </xf>
    <xf applyAlignment="true" applyBorder="false" applyFill="true" applyFont="true" applyNumberFormat="false" applyProtection="false" borderId="0" fillId="225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87" fillId="241" fontId="10" numFmtId="184" xfId="0">
      <alignment horizontal="center" vertical="center" wrapText="true"/>
    </xf>
    <xf applyAlignment="true" applyBorder="false" applyFill="true" applyFont="true" applyNumberFormat="true" applyProtection="false" borderId="88" fillId="241" fontId="10" numFmtId="184" xfId="0">
      <alignment horizontal="center" vertical="center" wrapText="true"/>
    </xf>
    <xf applyAlignment="true" applyBorder="false" applyFill="true" applyFont="true" applyNumberFormat="true" applyProtection="false" borderId="87" fillId="241" fontId="7" numFmtId="184" xfId="0">
      <alignment horizontal="center" vertical="center" wrapText="true"/>
    </xf>
    <xf applyAlignment="true" applyBorder="false" applyFill="true" applyFont="true" applyNumberFormat="true" applyProtection="false" borderId="87" fillId="241" fontId="7" numFmtId="185" xfId="0">
      <alignment horizontal="center" vertical="center"/>
    </xf>
    <xf applyAlignment="true" applyBorder="false" applyFill="true" applyFont="true" applyNumberFormat="false" applyProtection="false" borderId="87" fillId="241" fontId="7" numFmtId="0" xfId="0">
      <alignment horizontal="center" vertical="center"/>
    </xf>
    <xf applyAlignment="true" applyBorder="false" applyFill="true" applyFont="true" applyNumberFormat="false" applyProtection="false" borderId="87" fillId="241" fontId="7" numFmtId="0" xfId="0">
      <alignment horizontal="center" vertical="center" wrapText="true"/>
    </xf>
    <xf applyAlignment="true" applyBorder="false" applyFill="true" applyFont="true" applyNumberFormat="false" applyProtection="false" borderId="88" fillId="241" fontId="7" numFmtId="0" xfId="0">
      <alignment horizontal="center" vertical="center"/>
    </xf>
    <xf applyAlignment="true" applyBorder="false" applyFill="true" applyFont="true" applyNumberFormat="true" applyProtection="false" borderId="87" fillId="223" fontId="15" numFmtId="186" xfId="0">
      <alignment horizontal="center" vertical="center"/>
    </xf>
    <xf applyAlignment="true" applyBorder="false" applyFill="true" applyFont="true" applyNumberFormat="true" applyProtection="false" borderId="87" fillId="242" fontId="7" numFmtId="184" xfId="0">
      <alignment horizontal="center" vertical="center" wrapText="true"/>
    </xf>
    <xf applyAlignment="true" applyBorder="false" applyFill="true" applyFont="true" applyNumberFormat="true" applyProtection="false" borderId="87" fillId="242" fontId="7" numFmtId="185" xfId="0">
      <alignment horizontal="center" vertical="center"/>
    </xf>
    <xf applyAlignment="true" applyBorder="false" applyFill="true" applyFont="true" applyNumberFormat="false" applyProtection="false" borderId="87" fillId="242" fontId="7" numFmtId="0" xfId="0">
      <alignment horizontal="center" vertical="center"/>
    </xf>
    <xf applyAlignment="true" applyBorder="false" applyFill="true" applyFont="true" applyNumberFormat="false" applyProtection="false" borderId="87" fillId="242" fontId="7" numFmtId="0" xfId="0">
      <alignment horizontal="center" vertical="center" wrapText="true"/>
    </xf>
    <xf applyAlignment="true" applyBorder="false" applyFill="true" applyFont="true" applyNumberFormat="false" applyProtection="false" borderId="88" fillId="242" fontId="7" numFmtId="0" xfId="0">
      <alignment horizontal="center" vertical="center"/>
    </xf>
    <xf applyAlignment="true" applyBorder="false" applyFill="true" applyFont="true" applyNumberFormat="true" applyProtection="false" borderId="87" fillId="242" fontId="3" numFmtId="184" xfId="0">
      <alignment horizontal="center" vertical="center" wrapText="true"/>
    </xf>
    <xf applyAlignment="true" applyBorder="false" applyFill="true" applyFont="true" applyNumberFormat="true" applyProtection="false" borderId="87" fillId="242" fontId="3" numFmtId="184" xfId="0">
      <alignment horizontal="center" vertical="center" wrapText="true"/>
    </xf>
    <xf applyAlignment="true" applyBorder="false" applyFill="true" applyFont="true" applyNumberFormat="true" applyProtection="false" borderId="88" fillId="242" fontId="3" numFmtId="184" xfId="0">
      <alignment horizontal="center" vertical="center" wrapText="true"/>
    </xf>
    <xf applyAlignment="true" applyBorder="false" applyFill="true" applyFont="true" applyNumberFormat="false" applyProtection="false" borderId="87" fillId="220" fontId="4" numFmtId="0" xfId="0">
      <alignment horizontal="center" vertical="center" wrapText="true"/>
    </xf>
    <xf applyAlignment="true" applyBorder="false" applyFill="true" applyFont="true" applyNumberFormat="false" applyProtection="false" borderId="87" fillId="223" fontId="5" numFmtId="0" xfId="0">
      <alignment horizontal="center" vertical="center"/>
    </xf>
    <xf applyAlignment="true" applyBorder="false" applyFill="true" applyFont="true" applyNumberFormat="false" applyProtection="false" borderId="88" fillId="223" fontId="5" numFmtId="0" xfId="0">
      <alignment horizontal="center" vertical="center"/>
    </xf>
    <xf applyAlignment="true" applyBorder="false" applyFill="true" applyFont="true" applyNumberFormat="true" applyProtection="false" borderId="87" fillId="236" fontId="3" numFmtId="184" xfId="0">
      <alignment horizontal="center" vertical="center" wrapText="true"/>
    </xf>
    <xf applyAlignment="true" applyBorder="false" applyFill="true" applyFont="true" applyNumberFormat="true" applyProtection="false" borderId="87" fillId="236" fontId="3" numFmtId="184" xfId="0">
      <alignment horizontal="center" vertical="center" wrapText="true"/>
    </xf>
    <xf applyAlignment="true" applyBorder="false" applyFill="true" applyFont="true" applyNumberFormat="true" applyProtection="false" borderId="88" fillId="236" fontId="3" numFmtId="184" xfId="0">
      <alignment horizontal="center" vertical="center" wrapText="true"/>
    </xf>
    <xf applyAlignment="true" applyBorder="false" applyFill="true" applyFont="true" applyNumberFormat="true" applyProtection="false" borderId="87" fillId="236" fontId="7" numFmtId="184" xfId="0">
      <alignment horizontal="center" vertical="center" wrapText="true"/>
    </xf>
    <xf applyAlignment="true" applyBorder="false" applyFill="true" applyFont="true" applyNumberFormat="false" applyProtection="false" borderId="87" fillId="236" fontId="7" numFmtId="0" xfId="0">
      <alignment horizontal="center" vertical="center"/>
    </xf>
    <xf applyAlignment="true" applyBorder="false" applyFill="true" applyFont="true" applyNumberFormat="false" applyProtection="false" borderId="87" fillId="236" fontId="7" numFmtId="0" xfId="0">
      <alignment horizontal="center" vertical="center" wrapText="true"/>
    </xf>
    <xf applyAlignment="true" applyBorder="false" applyFill="true" applyFont="true" applyNumberFormat="true" applyProtection="false" borderId="87" fillId="243" fontId="3" numFmtId="184" xfId="0">
      <alignment horizontal="center" vertical="center" wrapText="true"/>
    </xf>
    <xf applyAlignment="true" applyBorder="false" applyFill="true" applyFont="true" applyNumberFormat="true" applyProtection="false" borderId="88" fillId="243" fontId="3" numFmtId="184" xfId="0">
      <alignment horizontal="center" vertical="center" wrapText="true"/>
    </xf>
    <xf applyAlignment="true" applyBorder="false" applyFill="true" applyFont="true" applyNumberFormat="true" applyProtection="false" borderId="87" fillId="243" fontId="7" numFmtId="184" xfId="0">
      <alignment horizontal="center" vertical="center" wrapText="true"/>
    </xf>
    <xf applyAlignment="true" applyBorder="false" applyFill="true" applyFont="true" applyNumberFormat="true" applyProtection="false" borderId="87" fillId="243" fontId="7" numFmtId="185" xfId="0">
      <alignment horizontal="center" vertical="center"/>
    </xf>
    <xf applyAlignment="true" applyBorder="false" applyFill="true" applyFont="true" applyNumberFormat="false" applyProtection="false" borderId="87" fillId="243" fontId="7" numFmtId="0" xfId="0">
      <alignment horizontal="center" vertical="center"/>
    </xf>
    <xf applyAlignment="true" applyBorder="false" applyFill="true" applyFont="true" applyNumberFormat="false" applyProtection="false" borderId="87" fillId="243" fontId="7" numFmtId="0" xfId="0">
      <alignment horizontal="center" vertical="center" wrapText="true"/>
    </xf>
    <xf applyAlignment="true" applyBorder="false" applyFill="true" applyFont="true" applyNumberFormat="false" applyProtection="false" borderId="88" fillId="243" fontId="7" numFmtId="0" xfId="0">
      <alignment horizontal="center" vertical="center"/>
    </xf>
    <xf applyAlignment="true" applyBorder="false" applyFill="true" applyFont="true" applyNumberFormat="true" applyProtection="false" borderId="87" fillId="225" fontId="15" numFmtId="186" xfId="0">
      <alignment horizontal="center" vertical="center"/>
    </xf>
    <xf applyAlignment="true" applyBorder="false" applyFill="true" applyFont="true" applyNumberFormat="true" applyProtection="false" borderId="87" fillId="244" fontId="3" numFmtId="184" xfId="0">
      <alignment horizontal="center" vertical="center" wrapText="true"/>
    </xf>
    <xf applyAlignment="true" applyBorder="false" applyFill="true" applyFont="true" applyNumberFormat="false" applyProtection="false" borderId="0" fillId="244" fontId="8" numFmtId="0" xfId="0">
      <alignment vertical="center"/>
    </xf>
    <xf applyAlignment="true" applyBorder="false" applyFill="true" applyFont="true" applyNumberFormat="false" applyProtection="false" borderId="0" fillId="244" fontId="8" numFmtId="0" xfId="0">
      <alignment horizontal="center" vertical="center"/>
    </xf>
    <xf applyAlignment="true" applyBorder="false" applyFill="true" applyFont="true" applyNumberFormat="true" applyProtection="false" borderId="87" fillId="244" fontId="7" numFmtId="184" xfId="0">
      <alignment horizontal="center" vertical="center" wrapText="true"/>
    </xf>
    <xf applyAlignment="true" applyBorder="false" applyFill="true" applyFont="true" applyNumberFormat="true" applyProtection="false" borderId="87" fillId="244" fontId="7" numFmtId="185" xfId="0">
      <alignment horizontal="center" vertical="center"/>
    </xf>
    <xf applyAlignment="true" applyBorder="false" applyFill="true" applyFont="true" applyNumberFormat="false" applyProtection="false" borderId="84" fillId="244" fontId="7" numFmtId="0" xfId="0">
      <alignment horizontal="center" vertical="center"/>
    </xf>
    <xf applyAlignment="true" applyBorder="false" applyFill="true" applyFont="true" applyNumberFormat="false" applyProtection="false" borderId="87" fillId="244" fontId="7" numFmtId="0" xfId="0">
      <alignment horizontal="center" vertical="center"/>
    </xf>
    <xf applyAlignment="true" applyBorder="false" applyFill="true" applyFont="true" applyNumberFormat="false" applyProtection="false" borderId="87" fillId="244" fontId="7" numFmtId="0" xfId="0">
      <alignment horizontal="center" vertical="center" wrapText="true"/>
    </xf>
    <xf applyAlignment="true" applyBorder="false" applyFill="true" applyFont="true" applyNumberFormat="false" applyProtection="false" borderId="88" fillId="244" fontId="7" numFmtId="0" xfId="0">
      <alignment horizontal="center" vertical="center"/>
    </xf>
    <xf applyAlignment="true" applyBorder="false" applyFill="true" applyFont="true" applyNumberFormat="false" applyProtection="false" borderId="87" fillId="223" fontId="4" numFmtId="0" xfId="0">
      <alignment horizontal="center" vertical="center"/>
    </xf>
    <xf applyAlignment="true" applyBorder="false" applyFill="true" applyFont="true" applyNumberFormat="false" applyProtection="false" borderId="88" fillId="220" fontId="7" numFmtId="0" xfId="0">
      <alignment horizontal="center" vertical="center"/>
    </xf>
    <xf applyAlignment="true" applyBorder="false" applyFill="true" applyFont="true" applyNumberFormat="false" applyProtection="false" borderId="87" fillId="220" fontId="7" numFmtId="0" xfId="0">
      <alignment horizontal="center" vertical="center" wrapText="true"/>
    </xf>
    <xf applyAlignment="true" applyBorder="false" applyFill="true" applyFont="true" applyNumberFormat="false" applyProtection="false" borderId="88" fillId="220" fontId="4" numFmtId="0" xfId="0">
      <alignment horizontal="center" vertical="center"/>
    </xf>
    <xf applyAlignment="true" applyBorder="false" applyFill="true" applyFont="true" applyNumberFormat="false" applyProtection="false" borderId="88" fillId="220" fontId="7" numFmtId="0" xfId="0">
      <alignment horizontal="center" vertical="center"/>
    </xf>
    <xf applyAlignment="true" applyBorder="false" applyFill="true" applyFont="true" applyNumberFormat="true" applyProtection="false" borderId="87" fillId="235" fontId="3" numFmtId="184" xfId="0">
      <alignment horizontal="center" vertical="center" wrapText="true"/>
    </xf>
    <xf applyAlignment="true" applyBorder="false" applyFill="true" applyFont="true" applyNumberFormat="true" applyProtection="false" borderId="88" fillId="235" fontId="3" numFmtId="184" xfId="0">
      <alignment horizontal="center" vertical="center" wrapText="true"/>
    </xf>
    <xf applyAlignment="true" applyBorder="false" applyFill="true" applyFont="true" applyNumberFormat="true" applyProtection="false" borderId="87" fillId="235" fontId="7" numFmtId="184" xfId="0">
      <alignment horizontal="center" vertical="center" wrapText="true"/>
    </xf>
    <xf applyAlignment="true" applyBorder="false" applyFill="true" applyFont="true" applyNumberFormat="false" applyProtection="false" borderId="87" fillId="235" fontId="7" numFmtId="0" xfId="0">
      <alignment horizontal="center" vertical="center"/>
    </xf>
    <xf applyAlignment="true" applyBorder="false" applyFill="true" applyFont="true" applyNumberFormat="false" applyProtection="false" borderId="87" fillId="235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90" fillId="220" fontId="5" numFmtId="0" xfId="0">
      <alignment horizontal="center" vertical="center"/>
    </xf>
    <xf applyAlignment="true" applyBorder="false" applyFill="true" applyFont="true" applyNumberFormat="false" applyProtection="false" borderId="87" fillId="223" fontId="4" numFmtId="0" xfId="0">
      <alignment horizontal="center" vertical="center"/>
    </xf>
    <xf applyAlignment="true" applyBorder="false" applyFill="true" applyFont="true" applyNumberFormat="false" applyProtection="false" borderId="87" fillId="223" fontId="4" numFmtId="0" xfId="0">
      <alignment horizontal="center" vertical="center" wrapText="true"/>
    </xf>
    <xf applyAlignment="true" applyBorder="false" applyFill="true" applyFont="true" applyNumberFormat="false" applyProtection="false" borderId="88" fillId="223" fontId="4" numFmtId="0" xfId="0">
      <alignment horizontal="center" vertical="center"/>
    </xf>
    <xf applyAlignment="true" applyBorder="false" applyFill="true" applyFont="true" applyNumberFormat="false" applyProtection="false" borderId="0" fillId="220" fontId="4" numFmtId="0" xfId="0">
      <alignment horizontal="center" vertical="center"/>
    </xf>
    <xf applyAlignment="true" applyBorder="false" applyFill="true" applyFont="true" applyNumberFormat="true" applyProtection="false" borderId="87" fillId="235" fontId="4" numFmtId="185" xfId="0">
      <alignment horizontal="center" vertical="center"/>
    </xf>
    <xf applyAlignment="true" applyBorder="false" applyFill="true" applyFont="true" applyNumberFormat="true" applyProtection="false" borderId="87" fillId="235" fontId="4" numFmtId="185" xfId="0">
      <alignment horizontal="center" vertical="center"/>
    </xf>
    <xf applyAlignment="true" applyBorder="false" applyFill="true" applyFont="true" applyNumberFormat="false" applyProtection="false" borderId="87" fillId="245" fontId="5" numFmtId="0" xfId="0">
      <alignment horizontal="center" vertical="center"/>
    </xf>
    <xf applyAlignment="true" applyBorder="false" applyFill="true" applyFont="true" applyNumberFormat="false" applyProtection="false" borderId="87" fillId="235" fontId="5" numFmtId="0" xfId="0">
      <alignment horizontal="center" vertical="center"/>
    </xf>
    <xf applyAlignment="true" applyBorder="false" applyFill="true" applyFont="true" applyNumberFormat="false" applyProtection="false" borderId="87" fillId="235" fontId="5" numFmtId="0" xfId="0">
      <alignment horizontal="center" vertical="center" wrapText="true"/>
    </xf>
    <xf applyAlignment="true" applyBorder="false" applyFill="true" applyFont="true" applyNumberFormat="false" applyProtection="false" borderId="88" fillId="235" fontId="4" numFmtId="0" xfId="0">
      <alignment horizontal="center" vertical="center"/>
    </xf>
    <xf applyAlignment="true" applyBorder="false" applyFill="true" applyFont="true" applyNumberFormat="false" applyProtection="false" borderId="90" fillId="245" fontId="5" numFmtId="0" xfId="0">
      <alignment horizontal="center" vertical="center"/>
    </xf>
    <xf applyAlignment="true" applyBorder="false" applyFill="true" applyFont="true" applyNumberFormat="false" applyProtection="false" borderId="87" fillId="245" fontId="5" numFmtId="0" xfId="0">
      <alignment horizontal="center" vertical="center"/>
    </xf>
    <xf applyAlignment="true" applyBorder="false" applyFill="true" applyFont="true" applyNumberFormat="false" applyProtection="false" borderId="90" fillId="225" fontId="5" numFmtId="0" xfId="0">
      <alignment horizontal="center" vertical="center"/>
    </xf>
    <xf applyAlignment="true" applyBorder="false" applyFill="true" applyFont="true" applyNumberFormat="false" applyProtection="false" borderId="88" fillId="225" fontId="4" numFmtId="0" xfId="0">
      <alignment horizontal="center" vertical="center"/>
    </xf>
    <xf applyAlignment="true" applyBorder="false" applyFill="true" applyFont="true" applyNumberFormat="false" applyProtection="false" borderId="0" fillId="225" fontId="4" numFmtId="0" xfId="0">
      <alignment horizontal="center" vertical="center"/>
    </xf>
    <xf applyAlignment="true" applyBorder="false" applyFill="true" applyFont="true" applyNumberFormat="true" applyProtection="false" borderId="87" fillId="245" fontId="4" numFmtId="185" xfId="0">
      <alignment horizontal="center" vertical="center"/>
    </xf>
    <xf applyAlignment="true" applyBorder="false" applyFill="true" applyFont="true" applyNumberFormat="true" applyProtection="false" borderId="87" fillId="245" fontId="4" numFmtId="185" xfId="0">
      <alignment horizontal="center" vertical="center"/>
    </xf>
    <xf applyAlignment="true" applyBorder="false" applyFill="true" applyFont="true" applyNumberFormat="false" applyProtection="false" borderId="87" fillId="245" fontId="4" numFmtId="0" xfId="0">
      <alignment horizontal="center" vertical="center"/>
    </xf>
    <xf applyAlignment="true" applyBorder="false" applyFill="true" applyFont="true" applyNumberFormat="false" applyProtection="false" borderId="87" fillId="245" fontId="4" numFmtId="0" xfId="0">
      <alignment horizontal="center" vertical="center" wrapText="true"/>
    </xf>
    <xf applyAlignment="true" applyBorder="false" applyFill="true" applyFont="true" applyNumberFormat="false" applyProtection="false" borderId="86" fillId="245" fontId="5" numFmtId="0" xfId="0">
      <alignment horizontal="center" vertical="center"/>
    </xf>
    <xf applyAlignment="true" applyBorder="false" applyFill="true" applyFont="true" applyNumberFormat="false" applyProtection="false" borderId="88" fillId="245" fontId="4" numFmtId="0" xfId="0">
      <alignment horizontal="center" vertical="center"/>
    </xf>
    <xf applyAlignment="true" applyBorder="false" applyFill="true" applyFont="true" applyNumberFormat="false" applyProtection="false" borderId="0" fillId="245" fontId="4" numFmtId="0" xfId="0">
      <alignment horizontal="center" vertical="center"/>
    </xf>
    <xf applyAlignment="true" applyBorder="false" applyFill="true" applyFont="true" applyNumberFormat="false" applyProtection="false" borderId="0" fillId="245" fontId="6" numFmtId="0" xfId="0">
      <alignment vertical="center"/>
    </xf>
    <xf applyAlignment="true" applyBorder="false" applyFill="true" applyFont="true" applyNumberFormat="false" applyProtection="false" borderId="87" fillId="245" fontId="5" numFmtId="0" xfId="0">
      <alignment horizontal="center" vertical="center" wrapText="true"/>
    </xf>
    <xf applyAlignment="true" applyBorder="false" applyFill="true" applyFont="true" applyNumberFormat="false" applyProtection="false" borderId="99" fillId="245" fontId="5" numFmtId="0" xfId="0">
      <alignment horizontal="center" vertical="center"/>
    </xf>
    <xf applyAlignment="true" applyBorder="false" applyFill="true" applyFont="true" applyNumberFormat="false" applyProtection="false" borderId="0" fillId="245" fontId="5" numFmtId="0" xfId="0">
      <alignment horizontal="center" vertical="center"/>
    </xf>
    <xf applyAlignment="true" applyBorder="false" applyFill="true" applyFont="true" applyNumberFormat="false" applyProtection="false" borderId="87" fillId="235" fontId="4" numFmtId="0" xfId="0">
      <alignment horizontal="center" vertical="center"/>
    </xf>
    <xf applyAlignment="true" applyBorder="false" applyFill="true" applyFont="true" applyNumberFormat="false" applyProtection="false" borderId="87" fillId="235" fontId="5" numFmtId="0" xfId="0">
      <alignment horizontal="center" vertical="center" wrapText="true"/>
    </xf>
    <xf applyAlignment="true" applyBorder="false" applyFill="true" applyFont="true" applyNumberFormat="false" applyProtection="false" borderId="99" fillId="235" fontId="5" numFmtId="0" xfId="0">
      <alignment horizontal="center" vertical="center"/>
    </xf>
    <xf applyAlignment="true" applyBorder="false" applyFill="true" applyFont="true" applyNumberFormat="false" applyProtection="false" borderId="87" fillId="235" fontId="5" numFmtId="0" xfId="0">
      <alignment horizontal="center" vertical="center"/>
    </xf>
    <xf applyAlignment="true" applyBorder="false" applyFill="true" applyFont="true" applyNumberFormat="false" applyProtection="false" borderId="88" fillId="235" fontId="5" numFmtId="0" xfId="0">
      <alignment horizontal="center" vertical="center"/>
    </xf>
    <xf applyAlignment="true" applyBorder="false" applyFill="false" applyFont="true" applyNumberFormat="false" applyProtection="false" borderId="85" fillId="0" fontId="5" numFmtId="0" xfId="0">
      <alignment horizontal="center" vertical="center" wrapText="true"/>
    </xf>
    <xf applyAlignment="true" applyBorder="false" applyFill="false" applyFont="true" applyNumberFormat="false" applyProtection="false" borderId="100" fillId="0" fontId="5" numFmtId="0" xfId="0">
      <alignment horizontal="center" vertical="center"/>
    </xf>
    <xf applyAlignment="true" applyBorder="false" applyFill="true" applyFont="true" applyNumberFormat="false" applyProtection="false" borderId="85" fillId="220" fontId="5" numFmtId="0" xfId="0">
      <alignment horizontal="center" vertical="center" wrapText="true"/>
    </xf>
    <xf applyAlignment="true" applyBorder="false" applyFill="false" applyFont="true" applyNumberFormat="false" applyProtection="false" borderId="85" fillId="0" fontId="5" numFmtId="0" xfId="0">
      <alignment horizontal="center" vertical="center" wrapText="true"/>
    </xf>
    <xf applyAlignment="true" applyBorder="false" applyFill="true" applyFont="true" applyNumberFormat="false" applyProtection="false" borderId="85" fillId="235" fontId="5" numFmtId="0" xfId="0">
      <alignment horizontal="center" vertical="center" wrapText="true"/>
    </xf>
    <xf applyAlignment="true" applyBorder="false" applyFill="true" applyFont="true" applyNumberFormat="false" applyProtection="false" borderId="85" fillId="235" fontId="5" numFmtId="0" xfId="0">
      <alignment horizontal="center" vertical="center" wrapText="true"/>
    </xf>
    <xf applyAlignment="true" applyBorder="false" applyFill="true" applyFont="true" applyNumberFormat="false" applyProtection="false" borderId="86" fillId="235" fontId="5" numFmtId="0" xfId="0">
      <alignment horizontal="center" vertical="center" wrapText="true"/>
    </xf>
    <xf applyAlignment="true" applyBorder="false" applyFill="false" applyFont="true" applyNumberFormat="false" applyProtection="false" borderId="89" fillId="0" fontId="5" numFmtId="0" xfId="0">
      <alignment horizontal="center" vertical="center"/>
    </xf>
    <xf applyAlignment="true" applyBorder="false" applyFill="true" applyFont="true" applyNumberFormat="false" applyProtection="false" borderId="85" fillId="220" fontId="5" numFmtId="0" xfId="0">
      <alignment horizontal="center" vertical="center" wrapText="true"/>
    </xf>
    <xf applyAlignment="true" applyBorder="false" applyFill="true" applyFont="true" applyNumberFormat="false" applyProtection="false" borderId="100" fillId="220" fontId="5" numFmtId="0" xfId="0">
      <alignment horizontal="center" vertical="center"/>
    </xf>
    <xf applyAlignment="true" applyBorder="false" applyFill="true" applyFont="true" applyNumberFormat="true" applyProtection="false" borderId="0" fillId="223" fontId="4" numFmtId="185" xfId="0">
      <alignment horizontal="center" vertical="center"/>
    </xf>
    <xf applyAlignment="true" applyBorder="false" applyFill="true" applyFont="true" applyNumberFormat="true" applyProtection="false" borderId="90" fillId="223" fontId="4" numFmtId="185" xfId="0">
      <alignment horizontal="center" vertical="center"/>
    </xf>
    <xf applyAlignment="true" applyBorder="false" applyFill="false" applyFont="true" applyNumberFormat="false" applyProtection="false" borderId="88" fillId="0" fontId="5" numFmtId="0" xfId="0">
      <alignment horizontal="center" vertical="center" wrapText="true"/>
    </xf>
    <xf applyAlignment="true" applyBorder="false" applyFill="false" applyFont="true" applyNumberFormat="false" applyProtection="false" borderId="99" fillId="0" fontId="5" numFmtId="0" xfId="0">
      <alignment horizontal="center" vertical="center"/>
    </xf>
    <xf applyAlignment="true" applyBorder="false" applyFill="false" applyFont="true" applyNumberFormat="false" applyProtection="false" borderId="88" fillId="0" fontId="5" numFmtId="0" xfId="0">
      <alignment horizontal="center" vertical="center" wrapText="true"/>
    </xf>
    <xf applyAlignment="true" applyBorder="false" applyFill="true" applyFont="true" applyNumberFormat="true" applyProtection="false" borderId="87" fillId="246" fontId="3" numFmtId="184" xfId="0">
      <alignment horizontal="center" vertical="center" wrapText="true"/>
    </xf>
    <xf applyAlignment="true" applyBorder="false" applyFill="true" applyFont="true" applyNumberFormat="true" applyProtection="false" borderId="88" fillId="246" fontId="3" numFmtId="184" xfId="0">
      <alignment horizontal="center" vertical="center" wrapText="true"/>
    </xf>
    <xf applyAlignment="true" applyBorder="false" applyFill="true" applyFont="true" applyNumberFormat="true" applyProtection="false" borderId="87" fillId="246" fontId="7" numFmtId="184" xfId="0">
      <alignment horizontal="center" vertical="center" wrapText="true"/>
    </xf>
    <xf applyAlignment="true" applyBorder="false" applyFill="true" applyFont="true" applyNumberFormat="true" applyProtection="false" borderId="87" fillId="246" fontId="7" numFmtId="185" xfId="0">
      <alignment horizontal="center" vertical="center"/>
    </xf>
    <xf applyAlignment="true" applyBorder="false" applyFill="true" applyFont="true" applyNumberFormat="false" applyProtection="false" borderId="87" fillId="246" fontId="7" numFmtId="0" xfId="0">
      <alignment horizontal="center" vertical="center"/>
    </xf>
    <xf applyAlignment="true" applyBorder="false" applyFill="true" applyFont="true" applyNumberFormat="false" applyProtection="false" borderId="87" fillId="246" fontId="7" numFmtId="0" xfId="0">
      <alignment horizontal="center" vertical="center" wrapText="true"/>
    </xf>
    <xf applyAlignment="true" applyBorder="false" applyFill="true" applyFont="true" applyNumberFormat="false" applyProtection="false" borderId="88" fillId="246" fontId="7" numFmtId="0" xfId="0">
      <alignment horizontal="center" vertical="center"/>
    </xf>
    <xf applyAlignment="true" applyBorder="false" applyFill="true" applyFont="true" applyNumberFormat="false" applyProtection="false" borderId="87" fillId="220" fontId="4" numFmtId="0" xfId="0">
      <alignment horizontal="center" vertical="center" wrapText="true"/>
    </xf>
    <xf applyAlignment="true" applyBorder="false" applyFill="true" applyFont="true" applyNumberFormat="false" applyProtection="false" borderId="88" fillId="220" fontId="4" numFmtId="0" xfId="0">
      <alignment horizontal="center" vertical="center"/>
    </xf>
    <xf applyAlignment="true" applyBorder="false" applyFill="true" applyFont="true" applyNumberFormat="false" applyProtection="false" borderId="87" fillId="220" fontId="4" numFmtId="0" xfId="0">
      <alignment horizontal="center" vertical="center"/>
    </xf>
    <xf applyAlignment="true" applyBorder="false" applyFill="true" applyFont="true" applyNumberFormat="false" applyProtection="false" borderId="87" fillId="225" fontId="4" numFmtId="0" xfId="0">
      <alignment horizontal="center" vertical="center"/>
    </xf>
    <xf applyAlignment="true" applyBorder="false" applyFill="true" applyFont="true" applyNumberFormat="false" applyProtection="false" borderId="87" fillId="225" fontId="4" numFmtId="0" xfId="0">
      <alignment horizontal="center" vertical="center"/>
    </xf>
    <xf applyAlignment="true" applyBorder="false" applyFill="true" applyFont="true" applyNumberFormat="false" applyProtection="false" borderId="87" fillId="225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87" fillId="247" fontId="3" numFmtId="184" xfId="0">
      <alignment horizontal="center" vertical="center" wrapText="true"/>
    </xf>
    <xf applyAlignment="true" applyBorder="false" applyFill="true" applyFont="true" applyNumberFormat="true" applyProtection="false" borderId="88" fillId="247" fontId="3" numFmtId="184" xfId="0">
      <alignment horizontal="center" vertical="center" wrapText="true"/>
    </xf>
    <xf applyAlignment="true" applyBorder="false" applyFill="true" applyFont="true" applyNumberFormat="true" applyProtection="false" borderId="87" fillId="247" fontId="7" numFmtId="184" xfId="0">
      <alignment horizontal="center" vertical="center" wrapText="true"/>
    </xf>
    <xf applyAlignment="true" applyBorder="false" applyFill="true" applyFont="true" applyNumberFormat="true" applyProtection="false" borderId="87" fillId="247" fontId="7" numFmtId="185" xfId="0">
      <alignment horizontal="center" vertical="center"/>
    </xf>
    <xf applyAlignment="true" applyBorder="false" applyFill="true" applyFont="true" applyNumberFormat="false" applyProtection="false" borderId="87" fillId="247" fontId="7" numFmtId="0" xfId="0">
      <alignment horizontal="center" vertical="center"/>
    </xf>
    <xf applyAlignment="true" applyBorder="false" applyFill="true" applyFont="true" applyNumberFormat="false" applyProtection="false" borderId="87" fillId="247" fontId="7" numFmtId="0" xfId="0">
      <alignment horizontal="center" vertical="center" wrapText="true"/>
    </xf>
    <xf applyAlignment="true" applyBorder="false" applyFill="true" applyFont="true" applyNumberFormat="false" applyProtection="false" borderId="88" fillId="247" fontId="7" numFmtId="0" xfId="0">
      <alignment horizontal="center" vertical="center"/>
    </xf>
    <xf applyAlignment="true" applyBorder="false" applyFill="true" applyFont="true" applyNumberFormat="false" applyProtection="false" borderId="89" fillId="223" fontId="5" numFmtId="0" xfId="0">
      <alignment horizontal="center" vertical="center"/>
    </xf>
    <xf applyAlignment="true" applyBorder="false" applyFill="true" applyFont="true" applyNumberFormat="true" applyProtection="false" borderId="86" fillId="245" fontId="5" numFmtId="186" xfId="0">
      <alignment horizontal="center" vertical="center"/>
    </xf>
    <xf applyAlignment="true" applyBorder="false" applyFill="true" applyFont="true" applyNumberFormat="false" applyProtection="false" borderId="89" fillId="225" fontId="5" numFmtId="0" xfId="0">
      <alignment horizontal="center" vertical="center"/>
    </xf>
    <xf applyAlignment="true" applyBorder="false" applyFill="true" applyFont="true" applyNumberFormat="false" applyProtection="false" borderId="88" fillId="225" fontId="5" numFmtId="0" xfId="0">
      <alignment horizontal="center" vertical="center" wrapText="true"/>
    </xf>
    <xf applyAlignment="true" applyBorder="false" applyFill="true" applyFont="true" applyNumberFormat="false" applyProtection="false" borderId="88" fillId="220" fontId="5" numFmtId="0" xfId="0">
      <alignment horizontal="center" vertical="center" wrapText="true"/>
    </xf>
    <xf applyAlignment="true" applyBorder="false" applyFill="true" applyFont="true" applyNumberFormat="false" applyProtection="false" borderId="0" fillId="220" fontId="5" numFmtId="0" xfId="0">
      <alignment horizontal="center" vertical="center" wrapText="true"/>
    </xf>
    <xf applyAlignment="true" applyBorder="false" applyFill="true" applyFont="true" applyNumberFormat="false" applyProtection="false" borderId="88" fillId="220" fontId="5" numFmtId="0" xfId="0">
      <alignment horizontal="left" vertical="center" wrapText="true"/>
    </xf>
    <xf applyAlignment="true" applyBorder="false" applyFill="true" applyFont="true" applyNumberFormat="false" applyProtection="false" borderId="0" fillId="220" fontId="5" numFmtId="0" xfId="0">
      <alignment horizontal="left" vertical="center" wrapText="true"/>
    </xf>
    <xf applyAlignment="true" applyBorder="false" applyFill="true" applyFont="true" applyNumberFormat="false" applyProtection="false" borderId="88" fillId="220" fontId="5" numFmtId="0" xfId="0">
      <alignment horizontal="left" vertical="center" wrapText="true"/>
    </xf>
    <xf applyAlignment="true" applyBorder="false" applyFill="true" applyFont="true" applyNumberFormat="true" applyProtection="false" borderId="84" fillId="220" fontId="4" numFmtId="185" xfId="0">
      <alignment horizontal="center" vertical="center"/>
    </xf>
    <xf applyAlignment="true" applyBorder="false" applyFill="true" applyFont="true" applyNumberFormat="true" applyProtection="false" borderId="87" fillId="248" fontId="4" numFmtId="185" xfId="0">
      <alignment horizontal="center" vertical="center"/>
    </xf>
    <xf applyAlignment="true" applyBorder="false" applyFill="true" applyFont="true" applyNumberFormat="true" applyProtection="false" borderId="87" fillId="248" fontId="4" numFmtId="185" xfId="0">
      <alignment horizontal="center" vertical="center"/>
    </xf>
    <xf applyAlignment="true" applyBorder="false" applyFill="true" applyFont="true" applyNumberFormat="false" applyProtection="false" borderId="87" fillId="248" fontId="5" numFmtId="0" xfId="0">
      <alignment horizontal="center" vertical="center"/>
    </xf>
    <xf applyAlignment="true" applyBorder="false" applyFill="true" applyFont="true" applyNumberFormat="false" applyProtection="false" borderId="87" fillId="248" fontId="5" numFmtId="0" xfId="0">
      <alignment horizontal="center" vertical="center"/>
    </xf>
    <xf applyAlignment="true" applyBorder="false" applyFill="true" applyFont="true" applyNumberFormat="true" applyProtection="false" borderId="87" fillId="248" fontId="5" numFmtId="186" xfId="0">
      <alignment horizontal="center" vertical="center"/>
    </xf>
    <xf applyAlignment="true" applyBorder="false" applyFill="true" applyFont="true" applyNumberFormat="false" applyProtection="false" borderId="87" fillId="248" fontId="5" numFmtId="0" xfId="0">
      <alignment horizontal="center" vertical="center" wrapText="true"/>
    </xf>
    <xf applyAlignment="true" applyBorder="false" applyFill="true" applyFont="true" applyNumberFormat="false" applyProtection="false" borderId="88" fillId="248" fontId="5" numFmtId="0" xfId="0">
      <alignment horizontal="center" vertical="center"/>
    </xf>
    <xf applyAlignment="true" applyBorder="false" applyFill="true" applyFont="true" applyNumberFormat="true" applyProtection="false" borderId="87" fillId="249" fontId="3" numFmtId="184" xfId="0">
      <alignment horizontal="center" vertical="center" wrapText="true"/>
    </xf>
    <xf applyAlignment="true" applyBorder="false" applyFill="true" applyFont="true" applyNumberFormat="true" applyProtection="false" borderId="88" fillId="249" fontId="3" numFmtId="184" xfId="0">
      <alignment horizontal="center" vertical="center" wrapText="true"/>
    </xf>
    <xf applyAlignment="true" applyBorder="false" applyFill="true" applyFont="true" applyNumberFormat="true" applyProtection="false" borderId="0" fillId="249" fontId="3" numFmtId="184" xfId="0">
      <alignment horizontal="center" vertical="center" wrapText="true"/>
    </xf>
    <xf applyAlignment="true" applyBorder="false" applyFill="true" applyFont="true" applyNumberFormat="false" applyProtection="false" borderId="0" fillId="249" fontId="6" numFmtId="0" xfId="0">
      <alignment vertical="center"/>
    </xf>
    <xf applyAlignment="true" applyBorder="false" applyFill="true" applyFont="true" applyNumberFormat="true" applyProtection="false" borderId="87" fillId="249" fontId="7" numFmtId="184" xfId="0">
      <alignment horizontal="center" vertical="center" wrapText="true"/>
    </xf>
    <xf applyAlignment="true" applyBorder="false" applyFill="true" applyFont="true" applyNumberFormat="true" applyProtection="false" borderId="87" fillId="249" fontId="7" numFmtId="185" xfId="0">
      <alignment horizontal="center" vertical="center"/>
    </xf>
    <xf applyAlignment="true" applyBorder="false" applyFill="true" applyFont="true" applyNumberFormat="false" applyProtection="false" borderId="87" fillId="249" fontId="7" numFmtId="0" xfId="0">
      <alignment horizontal="center" vertical="center"/>
    </xf>
    <xf applyAlignment="true" applyBorder="false" applyFill="true" applyFont="true" applyNumberFormat="false" applyProtection="false" borderId="84" fillId="249" fontId="7" numFmtId="0" xfId="0">
      <alignment horizontal="center" vertical="center" wrapText="true"/>
    </xf>
    <xf applyAlignment="true" applyBorder="false" applyFill="true" applyFont="true" applyNumberFormat="false" applyProtection="false" borderId="88" fillId="249" fontId="7" numFmtId="0" xfId="0">
      <alignment horizontal="center" vertical="center"/>
    </xf>
    <xf applyAlignment="true" applyBorder="false" applyFill="true" applyFont="true" applyNumberFormat="false" applyProtection="false" borderId="0" fillId="249" fontId="7" numFmtId="0" xfId="0">
      <alignment horizontal="center" vertical="center"/>
    </xf>
    <xf applyAlignment="true" applyBorder="false" applyFill="false" applyFont="true" applyNumberFormat="false" applyProtection="false" borderId="86" fillId="0" fontId="5" numFmtId="0" xfId="0">
      <alignment horizontal="center" vertical="center" wrapText="true"/>
    </xf>
    <xf applyAlignment="true" applyBorder="false" applyFill="true" applyFont="true" applyNumberFormat="false" applyProtection="false" borderId="89" fillId="223" fontId="5" numFmtId="0" xfId="0">
      <alignment horizontal="center" vertical="center"/>
    </xf>
    <xf applyAlignment="true" applyBorder="false" applyFill="true" applyFont="true" applyNumberFormat="true" applyProtection="false" borderId="90" fillId="226" fontId="4" numFmtId="185" xfId="0">
      <alignment horizontal="center" vertical="center"/>
    </xf>
    <xf applyAlignment="true" applyBorder="false" applyFill="true" applyFont="true" applyNumberFormat="false" applyProtection="false" borderId="0" fillId="226" fontId="5" numFmtId="0" xfId="0">
      <alignment horizontal="center" vertical="center" wrapText="true"/>
    </xf>
    <xf applyAlignment="true" applyBorder="false" applyFill="true" applyFont="true" applyNumberFormat="false" applyProtection="false" borderId="89" fillId="226" fontId="5" numFmtId="0" xfId="0">
      <alignment horizontal="center" vertical="center"/>
    </xf>
    <xf applyAlignment="true" applyBorder="false" applyFill="true" applyFont="true" applyNumberFormat="true" applyProtection="false" borderId="87" fillId="250" fontId="3" numFmtId="184" xfId="0">
      <alignment horizontal="center" vertical="center" wrapText="true"/>
    </xf>
    <xf applyAlignment="true" applyBorder="false" applyFill="true" applyFont="true" applyNumberFormat="true" applyProtection="false" borderId="88" fillId="250" fontId="3" numFmtId="184" xfId="0">
      <alignment horizontal="center" vertical="center" wrapText="true"/>
    </xf>
    <xf applyAlignment="true" applyBorder="false" applyFill="true" applyFont="true" applyNumberFormat="true" applyProtection="false" borderId="87" fillId="250" fontId="7" numFmtId="184" xfId="0">
      <alignment horizontal="center" vertical="center" wrapText="true"/>
    </xf>
    <xf applyAlignment="true" applyBorder="false" applyFill="true" applyFont="true" applyNumberFormat="true" applyProtection="false" borderId="87" fillId="250" fontId="7" numFmtId="185" xfId="0">
      <alignment horizontal="center" vertical="center"/>
    </xf>
    <xf applyAlignment="true" applyBorder="false" applyFill="true" applyFont="true" applyNumberFormat="false" applyProtection="false" borderId="87" fillId="250" fontId="7" numFmtId="0" xfId="0">
      <alignment horizontal="center" vertical="center"/>
    </xf>
    <xf applyAlignment="true" applyBorder="false" applyFill="true" applyFont="true" applyNumberFormat="false" applyProtection="false" borderId="87" fillId="250" fontId="7" numFmtId="0" xfId="0">
      <alignment horizontal="center" vertical="center" wrapText="true"/>
    </xf>
    <xf applyAlignment="true" applyBorder="false" applyFill="true" applyFont="true" applyNumberFormat="false" applyProtection="false" borderId="88" fillId="250" fontId="7" numFmtId="0" xfId="0">
      <alignment horizontal="center" vertical="center"/>
    </xf>
    <xf applyAlignment="true" applyBorder="false" applyFill="true" applyFont="true" applyNumberFormat="false" applyProtection="false" borderId="87" fillId="245" fontId="5" numFmtId="0" xfId="0">
      <alignment horizontal="center" vertical="center" wrapText="true"/>
    </xf>
    <xf applyAlignment="true" applyBorder="false" applyFill="true" applyFont="true" applyNumberFormat="false" applyProtection="false" borderId="88" fillId="245" fontId="5" numFmtId="0" xfId="0">
      <alignment horizontal="center" vertical="center"/>
    </xf>
    <xf applyAlignment="true" applyBorder="false" applyFill="true" applyFont="true" applyNumberFormat="false" applyProtection="false" borderId="88" fillId="235" fontId="5" numFmtId="0" xfId="0">
      <alignment horizontal="center" vertical="center"/>
    </xf>
    <xf applyAlignment="true" applyBorder="false" applyFill="true" applyFont="true" applyNumberFormat="true" applyProtection="false" borderId="87" fillId="251" fontId="4" numFmtId="185" xfId="0">
      <alignment horizontal="center" vertical="center"/>
    </xf>
    <xf applyAlignment="true" applyBorder="false" applyFill="true" applyFont="true" applyNumberFormat="true" applyProtection="false" borderId="87" fillId="251" fontId="4" numFmtId="185" xfId="0">
      <alignment horizontal="center" vertical="center"/>
    </xf>
    <xf applyAlignment="true" applyBorder="false" applyFill="true" applyFont="true" applyNumberFormat="false" applyProtection="false" borderId="87" fillId="251" fontId="5" numFmtId="0" xfId="0">
      <alignment horizontal="center" vertical="center"/>
    </xf>
    <xf applyAlignment="true" applyBorder="false" applyFill="true" applyFont="true" applyNumberFormat="false" applyProtection="false" borderId="87" fillId="251" fontId="5" numFmtId="0" xfId="0">
      <alignment horizontal="center" vertical="center"/>
    </xf>
    <xf applyAlignment="true" applyBorder="false" applyFill="true" applyFont="true" applyNumberFormat="false" applyProtection="false" borderId="87" fillId="251" fontId="18" numFmtId="0" xfId="0">
      <alignment horizontal="center" vertical="center" wrapText="true"/>
    </xf>
    <xf applyAlignment="true" applyBorder="false" applyFill="true" applyFont="true" applyNumberFormat="false" applyProtection="false" borderId="88" fillId="251" fontId="5" numFmtId="0" xfId="0">
      <alignment horizontal="center" vertical="center"/>
    </xf>
    <xf applyAlignment="true" applyBorder="false" applyFill="true" applyFont="true" applyNumberFormat="false" applyProtection="false" borderId="88" fillId="245" fontId="5" numFmtId="0" xfId="0">
      <alignment horizontal="center" vertical="center"/>
    </xf>
    <xf applyAlignment="true" applyBorder="false" applyFill="true" applyFont="true" applyNumberFormat="true" applyProtection="false" borderId="87" fillId="252" fontId="9" numFmtId="184" xfId="0">
      <alignment horizontal="center" vertical="center" wrapText="true"/>
    </xf>
    <xf applyAlignment="true" applyBorder="false" applyFill="true" applyFont="true" applyNumberFormat="true" applyProtection="false" borderId="87" fillId="252" fontId="16" numFmtId="184" xfId="0">
      <alignment horizontal="center" vertical="center" wrapText="true"/>
    </xf>
    <xf applyAlignment="true" applyBorder="false" applyFill="true" applyFont="true" applyNumberFormat="true" applyProtection="false" borderId="88" fillId="252" fontId="16" numFmtId="184" xfId="0">
      <alignment horizontal="center" vertical="center" wrapText="true"/>
    </xf>
    <xf applyAlignment="true" applyBorder="false" applyFill="true" applyFont="true" applyNumberFormat="true" applyProtection="false" borderId="0" fillId="220" fontId="16" numFmtId="184" xfId="0">
      <alignment horizontal="center" vertical="center" wrapText="true"/>
    </xf>
    <xf applyAlignment="true" applyBorder="false" applyFill="true" applyFont="true" applyNumberFormat="true" applyProtection="false" borderId="0" fillId="220" fontId="16" numFmtId="184" xfId="0">
      <alignment horizontal="center" vertical="center" wrapText="true"/>
    </xf>
    <xf applyAlignment="true" applyBorder="false" applyFill="true" applyFont="true" applyNumberFormat="true" applyProtection="false" borderId="87" fillId="252" fontId="7" numFmtId="184" xfId="0">
      <alignment horizontal="center" vertical="center" wrapText="true"/>
    </xf>
    <xf applyAlignment="true" applyBorder="false" applyFill="true" applyFont="true" applyNumberFormat="true" applyProtection="false" borderId="87" fillId="252" fontId="7" numFmtId="185" xfId="0">
      <alignment horizontal="center" vertical="center"/>
    </xf>
    <xf applyAlignment="true" applyBorder="false" applyFill="true" applyFont="true" applyNumberFormat="false" applyProtection="false" borderId="87" fillId="252" fontId="7" numFmtId="0" xfId="0">
      <alignment horizontal="center" vertical="center"/>
    </xf>
    <xf applyAlignment="true" applyBorder="false" applyFill="true" applyFont="true" applyNumberFormat="false" applyProtection="false" borderId="87" fillId="252" fontId="7" numFmtId="0" xfId="0">
      <alignment horizontal="center" vertical="center" wrapText="true"/>
    </xf>
    <xf applyAlignment="true" applyBorder="false" applyFill="true" applyFont="true" applyNumberFormat="false" applyProtection="false" borderId="87" fillId="252" fontId="7" numFmtId="0" xfId="0">
      <alignment horizontal="center" vertical="center"/>
    </xf>
    <xf applyAlignment="true" applyBorder="false" applyFill="true" applyFont="true" applyNumberFormat="false" applyProtection="false" borderId="88" fillId="252" fontId="7" numFmtId="0" xfId="0">
      <alignment horizontal="center" vertical="center"/>
    </xf>
    <xf applyAlignment="true" applyBorder="false" applyFill="true" applyFont="true" applyNumberFormat="true" applyProtection="false" borderId="87" fillId="220" fontId="4" numFmtId="184" xfId="0">
      <alignment horizontal="center" vertical="center" wrapText="true"/>
    </xf>
    <xf applyAlignment="true" applyBorder="false" applyFill="true" applyFont="true" applyNumberFormat="true" applyProtection="false" borderId="87" fillId="253" fontId="4" numFmtId="184" xfId="0">
      <alignment horizontal="center" vertical="center" wrapText="true"/>
    </xf>
    <xf applyAlignment="true" applyBorder="false" applyFill="true" applyFont="true" applyNumberFormat="true" applyProtection="false" borderId="87" fillId="253" fontId="4" numFmtId="185" xfId="0">
      <alignment horizontal="center" vertical="center"/>
    </xf>
    <xf applyAlignment="true" applyBorder="false" applyFill="true" applyFont="true" applyNumberFormat="true" applyProtection="false" borderId="87" fillId="253" fontId="4" numFmtId="185" xfId="0">
      <alignment horizontal="center" vertical="center"/>
    </xf>
    <xf applyAlignment="true" applyBorder="false" applyFill="true" applyFont="true" applyNumberFormat="false" applyProtection="false" borderId="87" fillId="253" fontId="5" numFmtId="0" xfId="0">
      <alignment horizontal="center" vertical="center"/>
    </xf>
    <xf applyAlignment="true" applyBorder="false" applyFill="true" applyFont="true" applyNumberFormat="false" applyProtection="false" borderId="87" fillId="253" fontId="5" numFmtId="0" xfId="0">
      <alignment horizontal="center" vertical="center"/>
    </xf>
    <xf applyAlignment="true" applyBorder="false" applyFill="true" applyFont="true" applyNumberFormat="false" applyProtection="false" borderId="87" fillId="253" fontId="4" numFmtId="0" xfId="0">
      <alignment horizontal="center" vertical="center" wrapText="true"/>
    </xf>
    <xf applyAlignment="true" applyBorder="false" applyFill="true" applyFont="true" applyNumberFormat="false" applyProtection="false" borderId="87" fillId="253" fontId="4" numFmtId="0" xfId="0">
      <alignment horizontal="center" vertical="center"/>
    </xf>
    <xf applyAlignment="true" applyBorder="false" applyFill="true" applyFont="true" applyNumberFormat="false" applyProtection="false" borderId="88" fillId="253" fontId="4" numFmtId="0" xfId="0">
      <alignment horizontal="center" vertical="center"/>
    </xf>
    <xf applyAlignment="true" applyBorder="false" applyFill="true" applyFont="true" applyNumberFormat="true" applyProtection="false" borderId="87" fillId="223" fontId="4" numFmtId="184" xfId="0">
      <alignment horizontal="center" vertical="center" wrapText="true"/>
    </xf>
    <xf applyAlignment="true" applyBorder="false" applyFill="true" applyFont="true" applyNumberFormat="false" applyProtection="false" borderId="87" fillId="228" fontId="5" numFmtId="0" xfId="0">
      <alignment horizontal="center" vertical="center"/>
    </xf>
    <xf applyAlignment="true" applyBorder="false" applyFill="true" applyFont="true" applyNumberFormat="true" applyProtection="false" borderId="87" fillId="253" fontId="5" numFmtId="186" xfId="0">
      <alignment horizontal="center" vertical="center"/>
    </xf>
    <xf applyAlignment="true" applyBorder="false" applyFill="true" applyFont="true" applyNumberFormat="false" applyProtection="false" borderId="88" fillId="228" fontId="4" numFmtId="0" xfId="0">
      <alignment horizontal="center" vertical="center"/>
    </xf>
    <xf applyAlignment="true" applyBorder="false" applyFill="true" applyFont="true" applyNumberFormat="false" applyProtection="false" borderId="87" fillId="253" fontId="5" numFmtId="0" xfId="0">
      <alignment horizontal="center" vertical="center"/>
    </xf>
    <xf applyAlignment="true" applyBorder="false" applyFill="true" applyFont="true" applyNumberFormat="false" applyProtection="false" borderId="87" fillId="228" fontId="5" numFmtId="0" xfId="0">
      <alignment horizontal="center" vertical="center"/>
    </xf>
    <xf applyAlignment="true" applyBorder="false" applyFill="true" applyFont="true" applyNumberFormat="false" applyProtection="false" borderId="87" fillId="253" fontId="5" numFmtId="0" xfId="0">
      <alignment horizontal="center" vertical="center" wrapText="true"/>
    </xf>
    <xf applyAlignment="true" applyBorder="false" applyFill="true" applyFont="true" applyNumberFormat="false" applyProtection="false" borderId="0" fillId="244" fontId="4" numFmtId="0" xfId="0">
      <alignment horizontal="center" vertical="center"/>
    </xf>
    <xf applyAlignment="true" applyBorder="false" applyFill="true" applyFont="true" applyNumberFormat="true" applyProtection="false" borderId="87" fillId="254" fontId="10" numFmtId="184" xfId="0">
      <alignment horizontal="center" vertical="center" wrapText="true"/>
    </xf>
    <xf applyAlignment="true" applyBorder="false" applyFill="true" applyFont="true" applyNumberFormat="true" applyProtection="false" borderId="88" fillId="254" fontId="10" numFmtId="184" xfId="0">
      <alignment horizontal="center" vertical="center" wrapText="true"/>
    </xf>
    <xf applyAlignment="true" applyBorder="false" applyFill="true" applyFont="true" applyNumberFormat="true" applyProtection="false" borderId="87" fillId="254" fontId="7" numFmtId="184" xfId="0">
      <alignment horizontal="center" vertical="center" wrapText="true"/>
    </xf>
    <xf applyAlignment="true" applyBorder="false" applyFill="true" applyFont="true" applyNumberFormat="true" applyProtection="false" borderId="87" fillId="254" fontId="7" numFmtId="185" xfId="0">
      <alignment horizontal="center" vertical="center"/>
    </xf>
    <xf applyAlignment="true" applyBorder="false" applyFill="true" applyFont="true" applyNumberFormat="false" applyProtection="false" borderId="87" fillId="254" fontId="7" numFmtId="0" xfId="0">
      <alignment horizontal="center" vertical="center"/>
    </xf>
    <xf applyAlignment="true" applyBorder="false" applyFill="true" applyFont="true" applyNumberFormat="false" applyProtection="false" borderId="87" fillId="254" fontId="7" numFmtId="0" xfId="0">
      <alignment horizontal="center" vertical="center" wrapText="true"/>
    </xf>
    <xf applyAlignment="true" applyBorder="false" applyFill="true" applyFont="true" applyNumberFormat="false" applyProtection="false" borderId="88" fillId="254" fontId="7" numFmtId="0" xfId="0">
      <alignment horizontal="center" vertical="center"/>
    </xf>
    <xf applyAlignment="true" applyBorder="false" applyFill="true" applyFont="true" applyNumberFormat="true" applyProtection="false" borderId="87" fillId="255" fontId="3" numFmtId="184" xfId="0">
      <alignment horizontal="center" vertical="center" wrapText="true"/>
    </xf>
    <xf applyAlignment="true" applyBorder="false" applyFill="true" applyFont="true" applyNumberFormat="true" applyProtection="false" borderId="84" fillId="255" fontId="3" numFmtId="184" xfId="0">
      <alignment horizontal="center" vertical="center" wrapText="true"/>
    </xf>
    <xf applyAlignment="true" applyBorder="false" applyFill="true" applyFont="true" applyNumberFormat="true" applyProtection="false" borderId="87" fillId="255" fontId="7" numFmtId="184" xfId="0">
      <alignment horizontal="center" vertical="center" wrapText="true"/>
    </xf>
    <xf applyAlignment="true" applyBorder="false" applyFill="true" applyFont="true" applyNumberFormat="true" applyProtection="false" borderId="87" fillId="255" fontId="7" numFmtId="185" xfId="0">
      <alignment horizontal="center" vertical="center"/>
    </xf>
    <xf applyAlignment="true" applyBorder="false" applyFill="true" applyFont="true" applyNumberFormat="false" applyProtection="false" borderId="84" fillId="255" fontId="7" numFmtId="0" xfId="0">
      <alignment horizontal="center" vertical="center"/>
    </xf>
    <xf applyAlignment="true" applyBorder="false" applyFill="true" applyFont="true" applyNumberFormat="false" applyProtection="false" borderId="87" fillId="255" fontId="7" numFmtId="0" xfId="0">
      <alignment horizontal="center" vertical="center"/>
    </xf>
    <xf applyAlignment="true" applyBorder="false" applyFill="true" applyFont="true" applyNumberFormat="false" applyProtection="false" borderId="87" fillId="255" fontId="7" numFmtId="0" xfId="0">
      <alignment horizontal="center" vertical="center" wrapText="true"/>
    </xf>
    <xf applyAlignment="true" applyBorder="false" applyFill="true" applyFont="true" applyNumberFormat="false" applyProtection="false" borderId="88" fillId="255" fontId="7" numFmtId="0" xfId="0">
      <alignment horizontal="center" vertical="center"/>
    </xf>
    <xf applyAlignment="true" applyBorder="false" applyFill="true" applyFont="true" applyNumberFormat="false" applyProtection="false" borderId="86" fillId="255" fontId="7" numFmtId="0" xfId="0">
      <alignment horizontal="center" vertical="center"/>
    </xf>
    <xf applyAlignment="true" applyBorder="false" applyFill="true" applyFont="true" applyNumberFormat="false" applyProtection="false" borderId="86" fillId="225" fontId="5" numFmtId="0" xfId="0">
      <alignment horizontal="center" vertical="center"/>
    </xf>
    <xf applyAlignment="true" applyBorder="false" applyFill="true" applyFont="true" applyNumberFormat="false" applyProtection="false" borderId="86" fillId="220" fontId="5" numFmtId="0" xfId="0">
      <alignment horizontal="center" vertical="center"/>
    </xf>
    <xf applyAlignment="true" applyBorder="false" applyFill="true" applyFont="true" applyNumberFormat="true" applyProtection="false" borderId="88" fillId="225" fontId="4" numFmtId="185" xfId="0">
      <alignment horizontal="center" vertical="center"/>
    </xf>
    <xf applyAlignment="true" applyBorder="false" applyFill="true" applyFont="true" applyNumberFormat="false" applyProtection="false" borderId="87" fillId="225" fontId="4" numFmtId="0" xfId="0">
      <alignment horizontal="center" vertical="center" wrapText="true"/>
    </xf>
    <xf applyAlignment="true" applyBorder="false" applyFill="true" applyFont="true" applyNumberFormat="false" applyProtection="false" borderId="88" fillId="225" fontId="4" numFmtId="0" xfId="0">
      <alignment horizontal="center" vertical="center"/>
    </xf>
    <xf applyAlignment="true" applyBorder="false" applyFill="true" applyFont="true" applyNumberFormat="false" applyProtection="false" borderId="87" fillId="235" fontId="4" numFmtId="0" xfId="0">
      <alignment horizontal="center" vertical="center" wrapText="true"/>
    </xf>
    <xf applyAlignment="true" applyBorder="false" applyFill="true" applyFont="true" applyNumberFormat="true" applyProtection="false" borderId="87" fillId="256" fontId="16" numFmtId="184" xfId="0">
      <alignment horizontal="center" vertical="center" wrapText="true"/>
    </xf>
    <xf applyAlignment="true" applyBorder="false" applyFill="true" applyFont="true" applyNumberFormat="true" applyProtection="false" borderId="87" fillId="256" fontId="17" numFmtId="184" xfId="0">
      <alignment horizontal="center" vertical="center" wrapText="true"/>
    </xf>
    <xf applyAlignment="true" applyBorder="false" applyFill="true" applyFont="true" applyNumberFormat="true" applyProtection="false" borderId="87" fillId="256" fontId="17" numFmtId="185" xfId="0">
      <alignment horizontal="center" vertical="center"/>
    </xf>
    <xf applyAlignment="true" applyBorder="false" applyFill="true" applyFont="true" applyNumberFormat="false" applyProtection="false" borderId="84" fillId="256" fontId="17" numFmtId="0" xfId="0">
      <alignment horizontal="center" vertical="center"/>
    </xf>
    <xf applyAlignment="true" applyBorder="false" applyFill="true" applyFont="true" applyNumberFormat="false" applyProtection="false" borderId="87" fillId="256" fontId="17" numFmtId="0" xfId="0">
      <alignment horizontal="center" vertical="center"/>
    </xf>
    <xf applyAlignment="true" applyBorder="false" applyFill="true" applyFont="true" applyNumberFormat="false" applyProtection="false" borderId="87" fillId="256" fontId="17" numFmtId="0" xfId="0">
      <alignment horizontal="center" vertical="center" wrapText="true"/>
    </xf>
    <xf applyAlignment="true" applyBorder="false" applyFill="true" applyFont="true" applyNumberFormat="false" applyProtection="false" borderId="88" fillId="256" fontId="17" numFmtId="0" xfId="0">
      <alignment horizontal="center" vertical="center"/>
    </xf>
    <xf applyAlignment="true" applyBorder="false" applyFill="true" applyFont="true" applyNumberFormat="false" applyProtection="false" borderId="89" fillId="220" fontId="5" numFmtId="0" xfId="0">
      <alignment horizontal="center" vertical="center"/>
    </xf>
    <xf applyAlignment="true" applyBorder="false" applyFill="true" applyFont="true" applyNumberFormat="true" applyProtection="false" borderId="87" fillId="257" fontId="16" numFmtId="184" xfId="0">
      <alignment horizontal="center" vertical="center" wrapText="true"/>
    </xf>
    <xf applyAlignment="true" applyBorder="false" applyFill="true" applyFont="true" applyNumberFormat="true" applyProtection="false" borderId="88" fillId="257" fontId="16" numFmtId="184" xfId="0">
      <alignment horizontal="center" vertical="center" wrapText="true"/>
    </xf>
    <xf applyAlignment="true" applyBorder="false" applyFill="true" applyFont="true" applyNumberFormat="true" applyProtection="false" borderId="87" fillId="257" fontId="7" numFmtId="184" xfId="0">
      <alignment horizontal="center" vertical="center" wrapText="true"/>
    </xf>
    <xf applyAlignment="true" applyBorder="false" applyFill="true" applyFont="true" applyNumberFormat="true" applyProtection="false" borderId="87" fillId="257" fontId="7" numFmtId="185" xfId="0">
      <alignment horizontal="center" vertical="center"/>
    </xf>
    <xf applyAlignment="true" applyBorder="false" applyFill="true" applyFont="true" applyNumberFormat="false" applyProtection="false" borderId="87" fillId="257" fontId="7" numFmtId="0" xfId="0">
      <alignment horizontal="center" vertical="center"/>
    </xf>
    <xf applyAlignment="true" applyBorder="false" applyFill="true" applyFont="true" applyNumberFormat="false" applyProtection="false" borderId="87" fillId="257" fontId="7" numFmtId="0" xfId="0">
      <alignment horizontal="center" vertical="center" wrapText="true"/>
    </xf>
    <xf applyAlignment="true" applyBorder="false" applyFill="true" applyFont="true" applyNumberFormat="false" applyProtection="false" borderId="88" fillId="257" fontId="7" numFmtId="0" xfId="0">
      <alignment horizontal="center" vertical="center"/>
    </xf>
    <xf applyAlignment="true" applyBorder="false" applyFill="true" applyFont="true" applyNumberFormat="true" applyProtection="false" borderId="87" fillId="257" fontId="4" numFmtId="185" xfId="0">
      <alignment horizontal="center" vertical="center"/>
    </xf>
    <xf applyAlignment="true" applyBorder="false" applyFill="true" applyFont="true" applyNumberFormat="true" applyProtection="false" borderId="87" fillId="257" fontId="4" numFmtId="185" xfId="0">
      <alignment horizontal="center" vertical="center"/>
    </xf>
    <xf applyAlignment="true" applyBorder="false" applyFill="true" applyFont="true" applyNumberFormat="false" applyProtection="false" borderId="87" fillId="257" fontId="5" numFmtId="0" xfId="0">
      <alignment horizontal="center" vertical="center"/>
    </xf>
    <xf applyAlignment="true" applyBorder="false" applyFill="true" applyFont="true" applyNumberFormat="false" applyProtection="false" borderId="87" fillId="257" fontId="5" numFmtId="0" xfId="0">
      <alignment horizontal="center" vertical="center"/>
    </xf>
    <xf applyAlignment="true" applyBorder="false" applyFill="true" applyFont="true" applyNumberFormat="false" applyProtection="false" borderId="87" fillId="257" fontId="5" numFmtId="0" xfId="0">
      <alignment horizontal="center" vertical="center" wrapText="true"/>
    </xf>
    <xf applyAlignment="true" applyBorder="false" applyFill="true" applyFont="true" applyNumberFormat="false" applyProtection="false" borderId="89" fillId="257" fontId="5" numFmtId="0" xfId="0">
      <alignment horizontal="center" vertical="center"/>
    </xf>
    <xf applyAlignment="true" applyBorder="false" applyFill="true" applyFont="true" applyNumberFormat="false" applyProtection="false" borderId="88" fillId="257" fontId="5" numFmtId="0" xfId="0">
      <alignment horizontal="center" vertical="center"/>
    </xf>
    <xf applyAlignment="true" applyBorder="false" applyFill="true" applyFont="true" applyNumberFormat="false" applyProtection="false" borderId="87" fillId="218" fontId="18" numFmtId="0" xfId="0">
      <alignment horizontal="center" vertical="center"/>
    </xf>
    <xf applyAlignment="true" applyBorder="false" applyFill="true" applyFont="true" applyNumberFormat="false" applyProtection="false" borderId="88" fillId="257" fontId="5" numFmtId="0" xfId="0">
      <alignment horizontal="center" vertical="center"/>
    </xf>
    <xf applyAlignment="true" applyBorder="false" applyFill="true" applyFont="true" applyNumberFormat="true" applyProtection="false" borderId="87" fillId="258" fontId="3" numFmtId="184" xfId="0">
      <alignment horizontal="center" vertical="center" wrapText="true"/>
    </xf>
    <xf applyAlignment="true" applyBorder="false" applyFill="true" applyFont="true" applyNumberFormat="true" applyProtection="false" borderId="87" fillId="258" fontId="16" numFmtId="184" xfId="0">
      <alignment horizontal="center" vertical="center" wrapText="true"/>
    </xf>
    <xf applyAlignment="true" applyBorder="false" applyFill="true" applyFont="true" applyNumberFormat="true" applyProtection="false" borderId="88" fillId="258" fontId="16" numFmtId="184" xfId="0">
      <alignment horizontal="center" vertical="center" wrapText="true"/>
    </xf>
    <xf applyAlignment="true" applyBorder="false" applyFill="true" applyFont="true" applyNumberFormat="true" applyProtection="false" borderId="87" fillId="259" fontId="7" numFmtId="184" xfId="0">
      <alignment horizontal="center" vertical="center" wrapText="true"/>
    </xf>
    <xf applyAlignment="true" applyBorder="false" applyFill="true" applyFont="true" applyNumberFormat="true" applyProtection="false" borderId="87" fillId="259" fontId="7" numFmtId="185" xfId="0">
      <alignment horizontal="center" vertical="center"/>
    </xf>
    <xf applyAlignment="true" applyBorder="false" applyFill="true" applyFont="true" applyNumberFormat="false" applyProtection="false" borderId="87" fillId="259" fontId="7" numFmtId="0" xfId="0">
      <alignment horizontal="center" vertical="center"/>
    </xf>
    <xf applyAlignment="true" applyBorder="false" applyFill="true" applyFont="true" applyNumberFormat="false" applyProtection="false" borderId="87" fillId="259" fontId="7" numFmtId="0" xfId="0">
      <alignment horizontal="center" vertical="center" wrapText="true"/>
    </xf>
    <xf applyAlignment="true" applyBorder="false" applyFill="true" applyFont="true" applyNumberFormat="false" applyProtection="false" borderId="88" fillId="259" fontId="7" numFmtId="0" xfId="0">
      <alignment horizontal="center" vertical="center"/>
    </xf>
    <xf applyAlignment="true" applyBorder="false" applyFill="true" applyFont="true" applyNumberFormat="false" applyProtection="false" borderId="87" fillId="260" fontId="5" numFmtId="0" xfId="0">
      <alignment horizontal="center" vertical="center"/>
    </xf>
    <xf applyAlignment="true" applyBorder="false" applyFill="true" applyFont="true" applyNumberFormat="true" applyProtection="false" borderId="87" fillId="260" fontId="4" numFmtId="185" xfId="0">
      <alignment horizontal="center" vertical="center"/>
    </xf>
    <xf applyAlignment="true" applyBorder="false" applyFill="true" applyFont="true" applyNumberFormat="true" applyProtection="false" borderId="87" fillId="260" fontId="4" numFmtId="185" xfId="0">
      <alignment horizontal="center" vertical="center"/>
    </xf>
    <xf applyAlignment="true" applyBorder="false" applyFill="true" applyFont="true" applyNumberFormat="false" applyProtection="false" borderId="87" fillId="260" fontId="5" numFmtId="0" xfId="0">
      <alignment horizontal="center" vertical="center"/>
    </xf>
    <xf applyAlignment="true" applyBorder="false" applyFill="true" applyFont="true" applyNumberFormat="false" applyProtection="false" borderId="87" fillId="260" fontId="5" numFmtId="0" xfId="0">
      <alignment horizontal="center" vertical="center" wrapText="true"/>
    </xf>
    <xf applyAlignment="true" applyBorder="false" applyFill="true" applyFont="true" applyNumberFormat="false" applyProtection="false" borderId="88" fillId="241" fontId="5" numFmtId="0" xfId="0">
      <alignment horizontal="center" vertical="center"/>
    </xf>
    <xf applyAlignment="true" applyBorder="false" applyFill="true" applyFont="true" applyNumberFormat="false" applyProtection="false" borderId="87" fillId="241" fontId="5" numFmtId="0" xfId="0">
      <alignment horizontal="center" vertical="center"/>
    </xf>
    <xf applyAlignment="true" applyBorder="false" applyFill="true" applyFont="true" applyNumberFormat="false" applyProtection="false" borderId="87" fillId="241" fontId="5" numFmtId="0" xfId="0">
      <alignment horizontal="center" vertical="center" wrapText="true"/>
    </xf>
    <xf applyAlignment="true" applyBorder="false" applyFill="true" applyFont="true" applyNumberFormat="true" applyProtection="false" borderId="88" fillId="223" fontId="4" numFmtId="185" xfId="0">
      <alignment horizontal="center" vertical="center"/>
    </xf>
    <xf applyAlignment="true" applyBorder="false" applyFill="true" applyFont="true" applyNumberFormat="true" applyProtection="false" borderId="0" fillId="220" fontId="4" numFmtId="185" xfId="0">
      <alignment horizontal="center" vertical="center"/>
    </xf>
    <xf applyAlignment="true" applyBorder="false" applyFill="true" applyFont="true" applyNumberFormat="true" applyProtection="false" borderId="87" fillId="242" fontId="16" numFmtId="184" xfId="0">
      <alignment horizontal="center" vertical="center" wrapText="true"/>
    </xf>
    <xf applyAlignment="true" applyBorder="false" applyFill="true" applyFont="true" applyNumberFormat="true" applyProtection="false" borderId="87" fillId="242" fontId="16" numFmtId="184" xfId="0">
      <alignment horizontal="center" vertical="center" wrapText="true"/>
    </xf>
    <xf applyAlignment="true" applyBorder="false" applyFill="true" applyFont="true" applyNumberFormat="true" applyProtection="false" borderId="88" fillId="242" fontId="16" numFmtId="184" xfId="0">
      <alignment horizontal="center" vertical="center" wrapText="true"/>
    </xf>
    <xf applyAlignment="true" applyBorder="false" applyFill="true" applyFont="true" applyNumberFormat="true" applyProtection="false" borderId="87" fillId="242" fontId="4" numFmtId="185" xfId="0">
      <alignment horizontal="center" vertical="center"/>
    </xf>
    <xf applyAlignment="true" applyBorder="false" applyFill="true" applyFont="true" applyNumberFormat="true" applyProtection="false" borderId="87" fillId="261" fontId="4" numFmtId="185" xfId="0">
      <alignment horizontal="center" vertical="center"/>
    </xf>
    <xf applyAlignment="true" applyBorder="false" applyFill="true" applyFont="true" applyNumberFormat="false" applyProtection="false" borderId="87" fillId="242" fontId="5" numFmtId="0" xfId="0">
      <alignment horizontal="center" vertical="center"/>
    </xf>
    <xf applyAlignment="true" applyBorder="false" applyFill="true" applyFont="true" applyNumberFormat="false" applyProtection="false" borderId="87" fillId="261" fontId="5" numFmtId="0" xfId="0">
      <alignment horizontal="center" vertical="center"/>
    </xf>
    <xf applyAlignment="true" applyBorder="false" applyFill="true" applyFont="true" applyNumberFormat="false" applyProtection="false" borderId="87" fillId="242" fontId="5" numFmtId="0" xfId="0">
      <alignment horizontal="center" vertical="center" wrapText="true"/>
    </xf>
    <xf applyAlignment="true" applyBorder="false" applyFill="true" applyFont="true" applyNumberFormat="false" applyProtection="false" borderId="87" fillId="242" fontId="5" numFmtId="0" xfId="0">
      <alignment horizontal="center" vertical="center"/>
    </xf>
    <xf applyAlignment="true" applyBorder="false" applyFill="true" applyFont="true" applyNumberFormat="false" applyProtection="false" borderId="88" fillId="242" fontId="5" numFmtId="0" xfId="0">
      <alignment horizontal="center" vertical="center"/>
    </xf>
    <xf applyAlignment="true" applyBorder="false" applyFill="true" applyFont="true" applyNumberFormat="true" applyProtection="false" borderId="87" fillId="242" fontId="4" numFmtId="185" xfId="0">
      <alignment horizontal="center" vertical="center"/>
    </xf>
    <xf applyAlignment="true" applyBorder="false" applyFill="true" applyFont="true" applyNumberFormat="false" applyProtection="false" borderId="88" fillId="242" fontId="5" numFmtId="0" xfId="0">
      <alignment horizontal="center" vertical="center"/>
    </xf>
    <xf applyAlignment="true" applyBorder="false" applyFill="true" applyFont="true" applyNumberFormat="true" applyProtection="false" borderId="87" fillId="261" fontId="4" numFmtId="185" xfId="0">
      <alignment horizontal="center" vertical="center"/>
    </xf>
    <xf applyAlignment="true" applyBorder="false" applyFill="true" applyFont="true" applyNumberFormat="false" applyProtection="false" borderId="87" fillId="261" fontId="8" numFmtId="0" xfId="0">
      <alignment horizontal="center" vertical="center"/>
    </xf>
    <xf applyAlignment="true" applyBorder="false" applyFill="true" applyFont="true" applyNumberFormat="false" applyProtection="false" borderId="87" fillId="261" fontId="5" numFmtId="0" xfId="0">
      <alignment horizontal="center" vertical="center" wrapText="true"/>
    </xf>
    <xf applyAlignment="true" applyBorder="false" applyFill="true" applyFont="true" applyNumberFormat="true" applyProtection="false" borderId="87" fillId="262" fontId="16" numFmtId="184" xfId="0">
      <alignment horizontal="center" vertical="center" wrapText="true"/>
    </xf>
    <xf applyAlignment="true" applyBorder="false" applyFill="true" applyFont="true" applyNumberFormat="true" applyProtection="false" borderId="88" fillId="262" fontId="16" numFmtId="184" xfId="0">
      <alignment horizontal="center" vertical="center" wrapText="true"/>
    </xf>
    <xf applyAlignment="true" applyBorder="false" applyFill="true" applyFont="true" applyNumberFormat="true" applyProtection="false" borderId="87" fillId="262" fontId="7" numFmtId="184" xfId="0">
      <alignment horizontal="center" vertical="center" wrapText="true"/>
    </xf>
    <xf applyAlignment="true" applyBorder="false" applyFill="true" applyFont="true" applyNumberFormat="true" applyProtection="false" borderId="87" fillId="262" fontId="7" numFmtId="185" xfId="0">
      <alignment horizontal="center" vertical="center"/>
    </xf>
    <xf applyAlignment="true" applyBorder="false" applyFill="true" applyFont="true" applyNumberFormat="false" applyProtection="false" borderId="87" fillId="262" fontId="7" numFmtId="0" xfId="0">
      <alignment horizontal="center" vertical="center"/>
    </xf>
    <xf applyAlignment="true" applyBorder="false" applyFill="true" applyFont="true" applyNumberFormat="false" applyProtection="false" borderId="87" fillId="262" fontId="7" numFmtId="0" xfId="0">
      <alignment horizontal="center" vertical="center" wrapText="true"/>
    </xf>
    <xf applyAlignment="true" applyBorder="false" applyFill="true" applyFont="true" applyNumberFormat="false" applyProtection="false" borderId="88" fillId="262" fontId="7" numFmtId="0" xfId="0">
      <alignment horizontal="center" vertical="center"/>
    </xf>
    <xf applyAlignment="true" applyBorder="false" applyFill="true" applyFont="true" applyNumberFormat="true" applyProtection="false" borderId="87" fillId="262" fontId="4" numFmtId="185" xfId="0">
      <alignment horizontal="center" vertical="center"/>
    </xf>
    <xf applyAlignment="true" applyBorder="false" applyFill="true" applyFont="true" applyNumberFormat="true" applyProtection="false" borderId="87" fillId="262" fontId="4" numFmtId="185" xfId="0">
      <alignment horizontal="center" vertical="center"/>
    </xf>
    <xf applyAlignment="true" applyBorder="false" applyFill="true" applyFont="true" applyNumberFormat="false" applyProtection="false" borderId="87" fillId="262" fontId="5" numFmtId="0" xfId="0">
      <alignment horizontal="center" vertical="center"/>
    </xf>
    <xf applyAlignment="true" applyBorder="false" applyFill="true" applyFont="true" applyNumberFormat="false" applyProtection="false" borderId="87" fillId="262" fontId="4" numFmtId="0" xfId="0">
      <alignment horizontal="center" vertical="center"/>
    </xf>
    <xf applyAlignment="true" applyBorder="false" applyFill="true" applyFont="true" applyNumberFormat="false" applyProtection="false" borderId="87" fillId="262" fontId="5" numFmtId="0" xfId="0">
      <alignment horizontal="center" vertical="center"/>
    </xf>
    <xf applyAlignment="true" applyBorder="false" applyFill="true" applyFont="true" applyNumberFormat="false" applyProtection="false" borderId="87" fillId="262" fontId="4" numFmtId="0" xfId="0">
      <alignment horizontal="center" vertical="center"/>
    </xf>
    <xf applyAlignment="true" applyBorder="false" applyFill="true" applyFont="true" applyNumberFormat="true" applyProtection="false" borderId="87" fillId="220" fontId="7" numFmtId="184" xfId="0">
      <alignment horizontal="center" vertical="center" wrapText="true"/>
    </xf>
    <xf applyAlignment="true" applyBorder="false" applyFill="true" applyFont="true" applyNumberFormat="true" applyProtection="false" borderId="101" fillId="263" fontId="1" numFmtId="188" xfId="0">
      <alignment horizontal="left" vertical="center" wrapText="true"/>
    </xf>
    <xf applyAlignment="true" applyBorder="false" applyFill="true" applyFont="true" applyNumberFormat="true" applyProtection="false" borderId="101" fillId="263" fontId="1" numFmtId="188" xfId="0">
      <alignment horizontal="left" vertical="center" wrapText="true"/>
    </xf>
    <xf applyAlignment="true" applyBorder="false" applyFill="true" applyFont="true" applyNumberFormat="true" applyProtection="false" borderId="101" fillId="264" fontId="1" numFmtId="188" xfId="0">
      <alignment horizontal="right" vertical="center" wrapText="true"/>
    </xf>
    <xf applyAlignment="true" applyBorder="false" applyFill="true" applyFont="true" applyNumberFormat="true" applyProtection="false" borderId="101" fillId="263" fontId="1" numFmtId="188" xfId="0">
      <alignment horizontal="center" vertical="center" wrapText="true"/>
    </xf>
    <xf applyAlignment="true" applyBorder="false" applyFill="true" applyFont="true" applyNumberFormat="true" applyProtection="false" borderId="102" fillId="263" fontId="1" numFmtId="188" xfId="0">
      <alignment horizontal="left" vertical="center" wrapText="true"/>
    </xf>
    <xf applyAlignment="true" applyBorder="false" applyFill="true" applyFont="true" applyNumberFormat="true" applyProtection="false" borderId="0" fillId="265" fontId="1" numFmtId="188" xfId="0">
      <alignment horizontal="left" vertical="center" wrapText="true"/>
    </xf>
    <xf applyAlignment="true" applyBorder="false" applyFill="true" applyFont="true" applyNumberFormat="true" applyProtection="false" borderId="0" fillId="266" fontId="2" numFmtId="188" xfId="0">
      <alignment horizontal="center" vertical="center"/>
    </xf>
    <xf applyAlignment="true" applyBorder="false" applyFill="true" applyFont="true" applyNumberFormat="true" applyProtection="false" borderId="0" fillId="265" fontId="2" numFmtId="188" xfId="0">
      <alignment horizontal="center" vertical="center"/>
    </xf>
    <xf applyAlignment="true" applyBorder="false" applyFill="true" applyFont="true" applyNumberFormat="true" applyProtection="false" borderId="101" fillId="267" fontId="3" numFmtId="188" xfId="0">
      <alignment horizontal="center" vertical="center" wrapText="true"/>
    </xf>
    <xf applyAlignment="true" applyBorder="false" applyFill="true" applyFont="true" applyNumberFormat="true" applyProtection="false" borderId="103" fillId="267" fontId="3" numFmtId="188" xfId="0">
      <alignment horizontal="center" vertical="center" wrapText="true"/>
    </xf>
    <xf applyAlignment="true" applyBorder="false" applyFill="true" applyFont="true" applyNumberFormat="true" applyProtection="false" borderId="104" fillId="267" fontId="3" numFmtId="188" xfId="0">
      <alignment horizontal="center" vertical="center" wrapText="true"/>
    </xf>
    <xf applyAlignment="true" applyBorder="false" applyFill="true" applyFont="true" applyNumberFormat="true" applyProtection="false" borderId="0" fillId="265" fontId="3" numFmtId="188" xfId="0">
      <alignment horizontal="center" vertical="center" wrapText="true"/>
    </xf>
    <xf applyAlignment="true" applyBorder="false" applyFill="true" applyFont="true" applyNumberFormat="true" applyProtection="false" borderId="105" fillId="268" fontId="4" numFmtId="189" xfId="0">
      <alignment horizontal="center" vertical="center"/>
    </xf>
    <xf applyAlignment="true" applyBorder="false" applyFill="true" applyFont="true" applyNumberFormat="true" applyProtection="false" borderId="105" fillId="268" fontId="4" numFmtId="189" xfId="0">
      <alignment horizontal="center" vertical="center"/>
    </xf>
    <xf applyAlignment="true" applyBorder="false" applyFill="true" applyFont="true" applyNumberFormat="true" applyProtection="false" borderId="106" fillId="268" fontId="4" numFmtId="189" xfId="0">
      <alignment horizontal="center" vertical="center"/>
    </xf>
    <xf applyAlignment="true" applyBorder="false" applyFill="true" applyFont="true" applyNumberFormat="false" applyProtection="false" borderId="103" fillId="268" fontId="5" numFmtId="0" xfId="0">
      <alignment horizontal="center" vertical="center"/>
    </xf>
    <xf applyAlignment="true" applyBorder="false" applyFill="true" applyFont="true" applyNumberFormat="false" applyProtection="false" borderId="104" fillId="268" fontId="5" numFmtId="0" xfId="0">
      <alignment horizontal="center" vertical="center"/>
    </xf>
    <xf applyAlignment="true" applyBorder="false" applyFill="false" applyFont="true" applyNumberFormat="true" applyProtection="false" borderId="105" fillId="0" fontId="5" numFmtId="190" xfId="0">
      <alignment horizontal="center" vertical="center"/>
    </xf>
    <xf applyAlignment="true" applyBorder="false" applyFill="true" applyFont="true" applyNumberFormat="false" applyProtection="false" borderId="106" fillId="268" fontId="5" numFmtId="0" xfId="0">
      <alignment horizontal="center" vertical="center" wrapText="true"/>
    </xf>
    <xf applyAlignment="true" applyBorder="false" applyFill="false" applyFont="true" applyNumberFormat="false" applyProtection="false" borderId="103" fillId="0" fontId="5" numFmtId="0" xfId="0">
      <alignment horizontal="center" vertical="center"/>
    </xf>
    <xf applyAlignment="true" applyBorder="false" applyFill="true" applyFont="true" applyNumberFormat="false" applyProtection="false" borderId="104" fillId="268" fontId="5" numFmtId="0" xfId="0">
      <alignment horizontal="center" vertical="center"/>
    </xf>
    <xf applyAlignment="true" applyBorder="false" applyFill="true" applyFont="true" applyNumberFormat="false" applyProtection="false" borderId="0" fillId="265" fontId="5" numFmtId="0" xfId="0">
      <alignment horizontal="center" vertical="center"/>
    </xf>
    <xf applyAlignment="true" applyBorder="false" applyFill="true" applyFont="true" applyNumberFormat="true" applyProtection="false" borderId="103" fillId="268" fontId="4" numFmtId="189" xfId="0">
      <alignment horizontal="center" vertical="center"/>
    </xf>
    <xf applyAlignment="true" applyBorder="false" applyFill="true" applyFont="true" applyNumberFormat="true" applyProtection="false" borderId="107" fillId="268" fontId="4" numFmtId="189" xfId="0">
      <alignment horizontal="center" vertical="center"/>
    </xf>
    <xf applyAlignment="true" applyBorder="false" applyFill="true" applyFont="true" applyNumberFormat="true" applyProtection="false" borderId="108" fillId="268" fontId="4" numFmtId="189" xfId="0">
      <alignment horizontal="center" vertical="center"/>
    </xf>
    <xf applyAlignment="true" applyBorder="false" applyFill="true" applyFont="true" applyNumberFormat="false" applyProtection="false" borderId="105" fillId="268" fontId="5" numFmtId="0" xfId="0">
      <alignment horizontal="center" vertical="center"/>
    </xf>
    <xf applyAlignment="true" applyBorder="false" applyFill="true" applyFont="true" applyNumberFormat="false" applyProtection="false" borderId="105" fillId="265" fontId="5" numFmtId="0" xfId="0">
      <alignment horizontal="center" vertical="center"/>
    </xf>
    <xf applyAlignment="true" applyBorder="false" applyFill="true" applyFont="true" applyNumberFormat="false" applyProtection="false" borderId="105" fillId="268" fontId="5" numFmtId="0" xfId="0">
      <alignment horizontal="center" vertical="center" wrapText="true"/>
    </xf>
    <xf applyAlignment="true" applyBorder="false" applyFill="false" applyFont="true" applyNumberFormat="false" applyProtection="false" borderId="105" fillId="0" fontId="5" numFmtId="0" xfId="0">
      <alignment horizontal="center" vertical="center"/>
    </xf>
    <xf applyAlignment="true" applyBorder="false" applyFill="true" applyFont="true" applyNumberFormat="false" applyProtection="false" borderId="105" fillId="268" fontId="5" numFmtId="0" xfId="0">
      <alignment horizontal="center" vertical="center"/>
    </xf>
    <xf applyAlignment="true" applyBorder="false" applyFill="true" applyFont="true" applyNumberFormat="true" applyProtection="false" borderId="109" fillId="268" fontId="4" numFmtId="189" xfId="0">
      <alignment horizontal="center" vertical="center"/>
    </xf>
    <xf applyAlignment="true" applyBorder="false" applyFill="true" applyFont="true" applyNumberFormat="true" applyProtection="false" borderId="109" fillId="268" fontId="4" numFmtId="189" xfId="0">
      <alignment horizontal="center" vertical="center"/>
    </xf>
    <xf applyAlignment="true" applyBorder="false" applyFill="true" applyFont="true" applyNumberFormat="false" applyProtection="false" borderId="107" fillId="268" fontId="5" numFmtId="0" xfId="0">
      <alignment horizontal="center" vertical="center"/>
    </xf>
    <xf applyAlignment="true" applyBorder="false" applyFill="true" applyFont="true" applyNumberFormat="false" applyProtection="false" borderId="110" fillId="268" fontId="5" numFmtId="0" xfId="0">
      <alignment horizontal="center" vertical="center"/>
    </xf>
    <xf applyAlignment="true" applyBorder="false" applyFill="true" applyFont="true" applyNumberFormat="false" applyProtection="false" borderId="111" fillId="268" fontId="5" numFmtId="0" xfId="0">
      <alignment horizontal="center" vertical="center" wrapText="true"/>
    </xf>
    <xf applyAlignment="true" applyBorder="false" applyFill="false" applyFont="true" applyNumberFormat="false" applyProtection="false" borderId="107" fillId="0" fontId="5" numFmtId="0" xfId="0">
      <alignment horizontal="center" vertical="center"/>
    </xf>
    <xf applyAlignment="true" applyBorder="false" applyFill="true" applyFont="true" applyNumberFormat="false" applyProtection="false" borderId="110" fillId="268" fontId="5" numFmtId="0" xfId="0">
      <alignment horizontal="center" vertical="center"/>
    </xf>
    <xf applyAlignment="true" applyBorder="false" applyFill="true" applyFont="true" applyNumberFormat="true" applyProtection="false" borderId="103" fillId="267" fontId="7" numFmtId="188" xfId="0">
      <alignment horizontal="center" vertical="center" wrapText="true"/>
    </xf>
    <xf applyAlignment="true" applyBorder="false" applyFill="true" applyFont="true" applyNumberFormat="true" applyProtection="false" borderId="103" fillId="267" fontId="7" numFmtId="189" xfId="0">
      <alignment horizontal="center" vertical="center"/>
    </xf>
    <xf applyAlignment="true" applyBorder="false" applyFill="true" applyFont="true" applyNumberFormat="false" applyProtection="false" borderId="103" fillId="267" fontId="7" numFmtId="0" xfId="0">
      <alignment horizontal="center" vertical="center"/>
    </xf>
    <xf applyAlignment="true" applyBorder="false" applyFill="true" applyFont="true" applyNumberFormat="false" applyProtection="false" borderId="104" fillId="267" fontId="7" numFmtId="0" xfId="0">
      <alignment horizontal="center" vertical="center"/>
    </xf>
    <xf applyAlignment="true" applyBorder="false" applyFill="true" applyFont="true" applyNumberFormat="false" applyProtection="false" borderId="106" fillId="267" fontId="7" numFmtId="0" xfId="0">
      <alignment horizontal="center" vertical="center" wrapText="true"/>
    </xf>
    <xf applyAlignment="true" applyBorder="false" applyFill="true" applyFont="true" applyNumberFormat="false" applyProtection="false" borderId="0" fillId="265" fontId="7" numFmtId="0" xfId="0">
      <alignment horizontal="center" vertical="center"/>
    </xf>
    <xf applyAlignment="true" applyBorder="false" applyFill="true" applyFont="true" applyNumberFormat="true" applyProtection="false" borderId="103" fillId="268" fontId="4" numFmtId="189" xfId="0">
      <alignment horizontal="center" vertical="center"/>
    </xf>
    <xf applyAlignment="true" applyBorder="false" applyFill="false" applyFont="true" applyNumberFormat="false" applyProtection="false" borderId="103" fillId="0" fontId="5" numFmtId="0" xfId="0">
      <alignment horizontal="center" vertical="center"/>
    </xf>
    <xf applyAlignment="true" applyBorder="false" applyFill="true" applyFont="true" applyNumberFormat="false" applyProtection="false" borderId="103" fillId="268" fontId="5" numFmtId="0" xfId="0">
      <alignment horizontal="center" vertical="center"/>
    </xf>
    <xf applyAlignment="true" applyBorder="false" applyFill="false" applyFont="true" applyNumberFormat="false" applyProtection="false" borderId="106" fillId="0" fontId="5" numFmtId="0" xfId="0">
      <alignment horizontal="center" vertical="center" wrapText="true"/>
    </xf>
    <xf applyAlignment="true" applyBorder="false" applyFill="false" applyFont="true" applyNumberFormat="false" applyProtection="false" borderId="104" fillId="0" fontId="5" numFmtId="0" xfId="0">
      <alignment horizontal="center" vertical="center"/>
    </xf>
    <xf applyAlignment="true" applyBorder="false" applyFill="true" applyFont="true" applyNumberFormat="true" applyProtection="false" borderId="103" fillId="269" fontId="4" numFmtId="189" xfId="0">
      <alignment horizontal="center" vertical="center"/>
    </xf>
    <xf applyAlignment="true" applyBorder="false" applyFill="true" applyFont="true" applyNumberFormat="true" applyProtection="false" borderId="103" fillId="269" fontId="4" numFmtId="189" xfId="0">
      <alignment horizontal="center" vertical="center"/>
    </xf>
    <xf applyAlignment="true" applyBorder="false" applyFill="true" applyFont="true" applyNumberFormat="false" applyProtection="false" borderId="103" fillId="269" fontId="5" numFmtId="0" xfId="0">
      <alignment horizontal="center" vertical="center"/>
    </xf>
    <xf applyAlignment="true" applyBorder="false" applyFill="true" applyFont="true" applyNumberFormat="false" applyProtection="false" borderId="104" fillId="269" fontId="5" numFmtId="0" xfId="0">
      <alignment horizontal="center" vertical="center"/>
    </xf>
    <xf applyAlignment="true" applyBorder="false" applyFill="true" applyFont="true" applyNumberFormat="false" applyProtection="false" borderId="103" fillId="269" fontId="5" numFmtId="0" xfId="0">
      <alignment horizontal="center" vertical="center"/>
    </xf>
    <xf applyAlignment="true" applyBorder="false" applyFill="true" applyFont="true" applyNumberFormat="false" applyProtection="false" borderId="106" fillId="269" fontId="5" numFmtId="0" xfId="0">
      <alignment horizontal="center" vertical="center" wrapText="true"/>
    </xf>
    <xf applyAlignment="true" applyBorder="false" applyFill="true" applyFont="true" applyNumberFormat="false" applyProtection="false" borderId="0" fillId="269" fontId="5" numFmtId="0" xfId="0">
      <alignment horizontal="center" vertical="center"/>
    </xf>
    <xf applyAlignment="true" applyBorder="false" applyFill="false" applyFont="true" applyNumberFormat="false" applyProtection="false" borderId="103" fillId="0" fontId="5" numFmtId="0" xfId="0">
      <alignment horizontal="center" vertical="center"/>
    </xf>
    <xf applyAlignment="true" applyBorder="false" applyFill="true" applyFont="true" applyNumberFormat="true" applyProtection="false" borderId="103" fillId="268" fontId="5" numFmtId="190" xfId="0">
      <alignment horizontal="center" vertical="center"/>
    </xf>
    <xf applyAlignment="true" applyBorder="false" applyFill="true" applyFont="true" applyNumberFormat="false" applyProtection="false" borderId="0" fillId="268" fontId="5" numFmtId="0" xfId="0">
      <alignment horizontal="center" vertical="center"/>
    </xf>
    <xf applyAlignment="true" applyBorder="false" applyFill="false" applyFont="true" applyNumberFormat="true" applyProtection="false" borderId="103" fillId="0" fontId="5" numFmtId="190" xfId="0">
      <alignment horizontal="center" vertical="center"/>
    </xf>
    <xf applyAlignment="true" applyBorder="false" applyFill="true" applyFont="true" applyNumberFormat="true" applyProtection="false" borderId="103" fillId="270" fontId="3" numFmtId="188" xfId="0">
      <alignment horizontal="center" vertical="center" wrapText="true"/>
    </xf>
    <xf applyAlignment="true" applyBorder="false" applyFill="true" applyFont="true" applyNumberFormat="true" applyProtection="false" borderId="104" fillId="270" fontId="3" numFmtId="188" xfId="0">
      <alignment horizontal="center" vertical="center" wrapText="true"/>
    </xf>
    <xf applyAlignment="true" applyBorder="false" applyFill="true" applyFont="true" applyNumberFormat="true" applyProtection="false" borderId="0" fillId="265" fontId="3" numFmtId="188" xfId="0">
      <alignment horizontal="center" vertical="center" wrapText="true"/>
    </xf>
    <xf applyAlignment="true" applyBorder="false" applyFill="true" applyFont="true" applyNumberFormat="true" applyProtection="false" borderId="103" fillId="270" fontId="7" numFmtId="188" xfId="0">
      <alignment horizontal="center" vertical="center" wrapText="true"/>
    </xf>
    <xf applyAlignment="true" applyBorder="false" applyFill="true" applyFont="true" applyNumberFormat="true" applyProtection="false" borderId="103" fillId="270" fontId="7" numFmtId="189" xfId="0">
      <alignment horizontal="center" vertical="center"/>
    </xf>
    <xf applyAlignment="true" applyBorder="false" applyFill="true" applyFont="true" applyNumberFormat="false" applyProtection="false" borderId="103" fillId="270" fontId="7" numFmtId="0" xfId="0">
      <alignment horizontal="center" vertical="center"/>
    </xf>
    <xf applyAlignment="true" applyBorder="false" applyFill="true" applyFont="true" applyNumberFormat="false" applyProtection="false" borderId="103" fillId="270" fontId="7" numFmtId="0" xfId="0">
      <alignment horizontal="center" vertical="center" wrapText="true"/>
    </xf>
    <xf applyAlignment="true" applyBorder="false" applyFill="true" applyFont="true" applyNumberFormat="false" applyProtection="false" borderId="104" fillId="270" fontId="7" numFmtId="0" xfId="0">
      <alignment horizontal="center" vertical="center"/>
    </xf>
    <xf applyAlignment="true" applyBorder="false" applyFill="true" applyFont="true" applyNumberFormat="false" applyProtection="false" borderId="103" fillId="268" fontId="5" numFmtId="0" xfId="0">
      <alignment horizontal="center" vertical="center" wrapText="true"/>
    </xf>
    <xf applyAlignment="true" applyBorder="false" applyFill="true" applyFont="true" applyNumberFormat="false" applyProtection="false" borderId="101" fillId="268" fontId="5" numFmtId="0" xfId="0">
      <alignment horizontal="center" vertical="center"/>
    </xf>
    <xf applyAlignment="true" applyBorder="false" applyFill="true" applyFont="true" applyNumberFormat="true" applyProtection="false" borderId="103" fillId="264" fontId="4" numFmtId="189" xfId="0">
      <alignment horizontal="center" vertical="center"/>
    </xf>
    <xf applyAlignment="true" applyBorder="false" applyFill="true" applyFont="true" applyNumberFormat="false" applyProtection="false" borderId="103" fillId="264" fontId="5" numFmtId="0" xfId="0">
      <alignment horizontal="center" vertical="center"/>
    </xf>
    <xf applyAlignment="true" applyBorder="false" applyFill="true" applyFont="true" applyNumberFormat="false" applyProtection="false" borderId="103" fillId="264" fontId="5" numFmtId="0" xfId="0">
      <alignment horizontal="center" vertical="center"/>
    </xf>
    <xf applyAlignment="true" applyBorder="false" applyFill="true" applyFont="true" applyNumberFormat="false" applyProtection="false" borderId="103" fillId="269" fontId="5" numFmtId="0" xfId="0">
      <alignment horizontal="center" vertical="center"/>
    </xf>
    <xf applyAlignment="true" applyBorder="false" applyFill="true" applyFont="true" applyNumberFormat="false" applyProtection="false" borderId="103" fillId="269" fontId="5" numFmtId="0" xfId="0">
      <alignment horizontal="center" vertical="center" wrapText="true"/>
    </xf>
    <xf applyAlignment="true" applyBorder="false" applyFill="true" applyFont="true" applyNumberFormat="false" applyProtection="false" borderId="101" fillId="269" fontId="5" numFmtId="0" xfId="0">
      <alignment horizontal="center" vertical="center"/>
    </xf>
    <xf applyAlignment="true" applyBorder="false" applyFill="true" applyFont="true" applyNumberFormat="false" applyProtection="false" borderId="104" fillId="269" fontId="5" numFmtId="0" xfId="0">
      <alignment horizontal="center" vertical="center"/>
    </xf>
    <xf applyAlignment="true" applyBorder="false" applyFill="true" applyFont="true" applyNumberFormat="true" applyProtection="false" borderId="103" fillId="271" fontId="4" numFmtId="189" xfId="0">
      <alignment horizontal="center" vertical="center"/>
    </xf>
    <xf applyAlignment="true" applyBorder="false" applyFill="true" applyFont="true" applyNumberFormat="true" applyProtection="false" borderId="103" fillId="271" fontId="4" numFmtId="189" xfId="0">
      <alignment horizontal="center" vertical="center"/>
    </xf>
    <xf applyAlignment="true" applyBorder="false" applyFill="true" applyFont="true" applyNumberFormat="false" applyProtection="false" borderId="103" fillId="271" fontId="5" numFmtId="0" xfId="0">
      <alignment horizontal="center" vertical="center"/>
    </xf>
    <xf applyAlignment="true" applyBorder="false" applyFill="true" applyFont="true" applyNumberFormat="false" applyProtection="false" borderId="103" fillId="271" fontId="5" numFmtId="0" xfId="0">
      <alignment horizontal="center" vertical="center"/>
    </xf>
    <xf applyAlignment="true" applyBorder="false" applyFill="true" applyFont="true" applyNumberFormat="false" applyProtection="false" borderId="103" fillId="271" fontId="5" numFmtId="0" xfId="0">
      <alignment horizontal="center" vertical="center" wrapText="true"/>
    </xf>
    <xf applyAlignment="true" applyBorder="false" applyFill="true" applyFont="true" applyNumberFormat="false" applyProtection="false" borderId="104" fillId="271" fontId="5" numFmtId="0" xfId="0">
      <alignment horizontal="center" vertical="center"/>
    </xf>
    <xf applyAlignment="true" applyBorder="false" applyFill="true" applyFont="true" applyNumberFormat="false" applyProtection="false" borderId="0" fillId="271" fontId="5" numFmtId="0" xfId="0">
      <alignment horizontal="center" vertical="center"/>
    </xf>
    <xf applyAlignment="true" applyBorder="false" applyFill="true" applyFont="true" applyNumberFormat="false" applyProtection="false" borderId="103" fillId="271" fontId="5" numFmtId="0" xfId="0">
      <alignment horizontal="center" vertical="center" wrapText="true"/>
    </xf>
    <xf applyAlignment="true" applyBorder="false" applyFill="true" applyFont="true" applyNumberFormat="false" applyProtection="false" borderId="104" fillId="271" fontId="5" numFmtId="0" xfId="0">
      <alignment horizontal="center" vertical="center"/>
    </xf>
    <xf applyAlignment="true" applyBorder="false" applyFill="true" applyFont="true" applyNumberFormat="true" applyProtection="false" borderId="103" fillId="272" fontId="4" numFmtId="189" xfId="0">
      <alignment horizontal="center" vertical="center"/>
    </xf>
    <xf applyAlignment="true" applyBorder="false" applyFill="true" applyFont="true" applyNumberFormat="false" applyProtection="false" borderId="103" fillId="272" fontId="5" numFmtId="0" xfId="0">
      <alignment horizontal="center" vertical="center"/>
    </xf>
    <xf applyAlignment="true" applyBorder="false" applyFill="true" applyFont="true" applyNumberFormat="false" applyProtection="false" borderId="101" fillId="271" fontId="5" numFmtId="0" xfId="0">
      <alignment horizontal="center" vertical="center" wrapText="true"/>
    </xf>
    <xf applyAlignment="true" applyBorder="false" applyFill="true" applyFont="true" applyNumberFormat="false" applyProtection="false" borderId="101" fillId="271" fontId="5" numFmtId="0" xfId="0">
      <alignment horizontal="center" vertical="center"/>
    </xf>
    <xf applyAlignment="true" applyBorder="false" applyFill="true" applyFont="true" applyNumberFormat="false" applyProtection="false" borderId="102" fillId="271" fontId="5" numFmtId="0" xfId="0">
      <alignment horizontal="center" vertical="center"/>
    </xf>
    <xf applyAlignment="true" applyBorder="false" applyFill="true" applyFont="true" applyNumberFormat="false" applyProtection="false" borderId="105" fillId="271" fontId="5" numFmtId="0" xfId="0">
      <alignment horizontal="center" vertical="center"/>
    </xf>
    <xf applyAlignment="true" applyBorder="false" applyFill="true" applyFont="true" applyNumberFormat="false" applyProtection="false" borderId="105" fillId="271" fontId="4" numFmtId="0" xfId="0">
      <alignment horizontal="center" vertical="center"/>
    </xf>
    <xf applyAlignment="true" applyBorder="false" applyFill="true" applyFont="true" applyNumberFormat="false" applyProtection="false" borderId="0" fillId="265" fontId="8" numFmtId="0" xfId="0">
      <alignment vertical="center"/>
    </xf>
    <xf applyAlignment="true" applyBorder="false" applyFill="true" applyFont="true" applyNumberFormat="false" applyProtection="false" borderId="105" fillId="271" fontId="6" numFmtId="0" xfId="0">
      <alignment vertical="center"/>
    </xf>
    <xf applyAlignment="true" applyBorder="false" applyFill="true" applyFont="true" applyNumberFormat="false" applyProtection="false" borderId="105" fillId="271" fontId="13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105" fillId="273" fontId="9" numFmtId="0" xfId="0">
      <alignment horizontal="center" vertical="center"/>
    </xf>
    <xf applyAlignment="true" applyBorder="false" applyFill="true" applyFont="true" applyNumberFormat="true" applyProtection="false" borderId="105" fillId="273" fontId="3" numFmtId="188" xfId="0">
      <alignment horizontal="center" vertical="center" wrapText="true"/>
    </xf>
    <xf applyAlignment="true" applyBorder="false" applyFill="true" applyFont="true" applyNumberFormat="false" applyProtection="false" borderId="105" fillId="273" fontId="7" numFmtId="0" xfId="0">
      <alignment horizontal="center" vertical="center"/>
    </xf>
    <xf applyAlignment="true" applyBorder="false" applyFill="true" applyFont="true" applyNumberFormat="true" applyProtection="false" borderId="105" fillId="273" fontId="7" numFmtId="189" xfId="0">
      <alignment horizontal="center" vertical="center"/>
    </xf>
    <xf applyAlignment="true" applyBorder="false" applyFill="true" applyFont="true" applyNumberFormat="false" applyProtection="false" borderId="105" fillId="273" fontId="7" numFmtId="0" xfId="0">
      <alignment horizontal="center" vertical="center" wrapText="true"/>
    </xf>
    <xf applyAlignment="true" applyBorder="false" applyFill="true" applyFont="true" applyNumberFormat="true" applyProtection="false" borderId="109" fillId="268" fontId="5" numFmtId="191" xfId="0">
      <alignment horizontal="center" vertical="center"/>
    </xf>
    <xf applyAlignment="true" applyBorder="false" applyFill="true" applyFont="true" applyNumberFormat="false" applyProtection="false" borderId="109" fillId="268" fontId="5" numFmtId="0" xfId="0">
      <alignment horizontal="center" vertical="center"/>
    </xf>
    <xf applyAlignment="true" applyBorder="false" applyFill="true" applyFont="true" applyNumberFormat="false" applyProtection="false" borderId="107" fillId="268" fontId="5" numFmtId="0" xfId="0">
      <alignment horizontal="center" vertical="center"/>
    </xf>
    <xf applyAlignment="true" applyBorder="false" applyFill="true" applyFont="true" applyNumberFormat="false" applyProtection="false" borderId="109" fillId="268" fontId="5" numFmtId="0" xfId="0">
      <alignment horizontal="center" vertical="center" wrapText="true"/>
    </xf>
    <xf applyAlignment="true" applyBorder="false" applyFill="true" applyFont="true" applyNumberFormat="false" applyProtection="false" borderId="112" fillId="268" fontId="5" numFmtId="0" xfId="0">
      <alignment horizontal="center" vertical="center"/>
    </xf>
    <xf applyAlignment="true" applyBorder="false" applyFill="true" applyFont="true" applyNumberFormat="true" applyProtection="false" borderId="105" fillId="268" fontId="5" numFmtId="191" xfId="0">
      <alignment horizontal="center" vertical="center"/>
    </xf>
    <xf applyAlignment="true" applyBorder="false" applyFill="true" applyFont="true" applyNumberFormat="false" applyProtection="false" borderId="113" fillId="268" fontId="5" numFmtId="0" xfId="0">
      <alignment horizontal="center" vertical="center"/>
    </xf>
    <xf applyAlignment="true" applyBorder="false" applyFill="true" applyFont="true" applyNumberFormat="false" applyProtection="false" borderId="103" fillId="265" fontId="5" numFmtId="0" xfId="0">
      <alignment horizontal="center" vertical="center"/>
    </xf>
    <xf applyAlignment="true" applyBorder="false" applyFill="true" applyFont="true" applyNumberFormat="false" applyProtection="false" borderId="0" fillId="265" fontId="6" numFmtId="0" xfId="0">
      <alignment vertical="center"/>
    </xf>
    <xf applyAlignment="true" applyBorder="false" applyFill="true" applyFont="true" applyNumberFormat="false" applyProtection="false" borderId="105" fillId="274" fontId="9" numFmtId="0" xfId="0">
      <alignment horizontal="center" vertical="center"/>
    </xf>
    <xf applyAlignment="true" applyBorder="false" applyFill="true" applyFont="true" applyNumberFormat="false" applyProtection="false" borderId="105" fillId="274" fontId="9" numFmtId="0" xfId="0">
      <alignment horizontal="center" vertical="center"/>
    </xf>
    <xf applyAlignment="true" applyBorder="false" applyFill="true" applyFont="true" applyNumberFormat="true" applyProtection="false" borderId="105" fillId="274" fontId="3" numFmtId="188" xfId="0">
      <alignment horizontal="center" vertical="center" wrapText="true"/>
    </xf>
    <xf applyAlignment="true" applyBorder="false" applyFill="true" applyFont="true" applyNumberFormat="true" applyProtection="false" borderId="113" fillId="274" fontId="3" numFmtId="188" xfId="0">
      <alignment horizontal="center" vertical="center" wrapText="true"/>
    </xf>
    <xf applyAlignment="true" applyBorder="false" applyFill="true" applyFont="true" applyNumberFormat="false" applyProtection="false" borderId="105" fillId="274" fontId="7" numFmtId="0" xfId="0">
      <alignment horizontal="center" vertical="center"/>
    </xf>
    <xf applyAlignment="true" applyBorder="false" applyFill="true" applyFont="true" applyNumberFormat="true" applyProtection="false" borderId="105" fillId="274" fontId="7" numFmtId="189" xfId="0">
      <alignment horizontal="center" vertical="center"/>
    </xf>
    <xf applyAlignment="true" applyBorder="false" applyFill="true" applyFont="true" applyNumberFormat="false" applyProtection="false" borderId="105" fillId="274" fontId="7" numFmtId="0" xfId="0">
      <alignment horizontal="center" vertical="center" wrapText="true"/>
    </xf>
    <xf applyAlignment="true" applyBorder="false" applyFill="true" applyFont="true" applyNumberFormat="false" applyProtection="false" borderId="113" fillId="274" fontId="7" numFmtId="0" xfId="0">
      <alignment horizontal="center" vertical="center"/>
    </xf>
    <xf applyAlignment="true" applyBorder="false" applyFill="true" applyFont="true" applyNumberFormat="false" applyProtection="false" borderId="105" fillId="275" fontId="9" numFmtId="0" xfId="0">
      <alignment horizontal="center" vertical="center"/>
    </xf>
    <xf applyAlignment="true" applyBorder="false" applyFill="true" applyFont="true" applyNumberFormat="true" applyProtection="false" borderId="105" fillId="275" fontId="3" numFmtId="188" xfId="0">
      <alignment horizontal="center" vertical="center" wrapText="true"/>
    </xf>
    <xf applyAlignment="true" applyBorder="false" applyFill="true" applyFont="true" applyNumberFormat="true" applyProtection="false" borderId="113" fillId="275" fontId="3" numFmtId="188" xfId="0">
      <alignment horizontal="center" vertical="center" wrapText="true"/>
    </xf>
    <xf applyAlignment="true" applyBorder="false" applyFill="true" applyFont="true" applyNumberFormat="false" applyProtection="false" borderId="105" fillId="275" fontId="7" numFmtId="0" xfId="0">
      <alignment horizontal="center" vertical="center"/>
    </xf>
    <xf applyAlignment="true" applyBorder="false" applyFill="true" applyFont="true" applyNumberFormat="true" applyProtection="false" borderId="105" fillId="275" fontId="7" numFmtId="189" xfId="0">
      <alignment horizontal="center" vertical="center"/>
    </xf>
    <xf applyAlignment="true" applyBorder="false" applyFill="true" applyFont="true" applyNumberFormat="false" applyProtection="false" borderId="105" fillId="275" fontId="7" numFmtId="0" xfId="0">
      <alignment horizontal="center" vertical="center" wrapText="true"/>
    </xf>
    <xf applyAlignment="true" applyBorder="false" applyFill="true" applyFont="true" applyNumberFormat="false" applyProtection="false" borderId="114" fillId="275" fontId="7" numFmtId="0" xfId="0">
      <alignment horizontal="center" vertical="center"/>
    </xf>
    <xf applyAlignment="true" applyBorder="false" applyFill="true" applyFont="true" applyNumberFormat="false" applyProtection="false" borderId="0" fillId="265" fontId="7" numFmtId="0" xfId="0">
      <alignment horizontal="center" vertical="center"/>
    </xf>
    <xf applyAlignment="true" applyBorder="false" applyFill="true" applyFont="true" applyNumberFormat="false" applyProtection="false" borderId="113" fillId="268" fontId="5" numFmtId="0" xfId="0">
      <alignment horizontal="center" vertical="center"/>
    </xf>
    <xf applyAlignment="true" applyBorder="false" applyFill="true" applyFont="true" applyNumberFormat="false" applyProtection="false" borderId="105" fillId="276" fontId="9" numFmtId="0" xfId="0">
      <alignment horizontal="center" vertical="center"/>
    </xf>
    <xf applyAlignment="true" applyBorder="false" applyFill="true" applyFont="true" applyNumberFormat="true" applyProtection="false" borderId="105" fillId="276" fontId="3" numFmtId="188" xfId="0">
      <alignment horizontal="center" vertical="center" wrapText="true"/>
    </xf>
    <xf applyAlignment="true" applyBorder="false" applyFill="true" applyFont="true" applyNumberFormat="true" applyProtection="false" borderId="113" fillId="276" fontId="3" numFmtId="188" xfId="0">
      <alignment horizontal="center" vertical="center" wrapText="true"/>
    </xf>
    <xf applyAlignment="true" applyBorder="false" applyFill="true" applyFont="true" applyNumberFormat="false" applyProtection="false" borderId="105" fillId="276" fontId="7" numFmtId="0" xfId="0">
      <alignment horizontal="center" vertical="center"/>
    </xf>
    <xf applyAlignment="true" applyBorder="false" applyFill="true" applyFont="true" applyNumberFormat="true" applyProtection="false" borderId="105" fillId="276" fontId="7" numFmtId="189" xfId="0">
      <alignment horizontal="center" vertical="center"/>
    </xf>
    <xf applyAlignment="true" applyBorder="false" applyFill="true" applyFont="true" applyNumberFormat="false" applyProtection="false" borderId="105" fillId="276" fontId="7" numFmtId="0" xfId="0">
      <alignment horizontal="center" vertical="center" wrapText="true"/>
    </xf>
    <xf applyAlignment="true" applyBorder="false" applyFill="true" applyFont="true" applyNumberFormat="false" applyProtection="false" borderId="113" fillId="276" fontId="7" numFmtId="0" xfId="0">
      <alignment horizontal="center" vertical="center"/>
    </xf>
    <xf applyAlignment="true" applyBorder="false" applyFill="true" applyFont="true" applyNumberFormat="true" applyProtection="false" borderId="105" fillId="269" fontId="4" numFmtId="189" xfId="0">
      <alignment horizontal="center" vertical="center"/>
    </xf>
    <xf applyAlignment="true" applyBorder="false" applyFill="true" applyFont="true" applyNumberFormat="true" applyProtection="false" borderId="105" fillId="269" fontId="4" numFmtId="189" xfId="0">
      <alignment horizontal="center" vertical="center"/>
    </xf>
    <xf applyAlignment="true" applyBorder="false" applyFill="true" applyFont="true" applyNumberFormat="true" applyProtection="false" borderId="105" fillId="269" fontId="5" numFmtId="191" xfId="0">
      <alignment horizontal="center" vertical="center"/>
    </xf>
    <xf applyAlignment="true" applyBorder="false" applyFill="true" applyFont="true" applyNumberFormat="false" applyProtection="false" borderId="105" fillId="269" fontId="5" numFmtId="0" xfId="0">
      <alignment horizontal="center" vertical="center"/>
    </xf>
    <xf applyAlignment="true" applyBorder="false" applyFill="true" applyFont="true" applyNumberFormat="false" applyProtection="false" borderId="105" fillId="269" fontId="5" numFmtId="0" xfId="0">
      <alignment horizontal="center" vertical="center" wrapText="true"/>
    </xf>
    <xf applyAlignment="true" applyBorder="false" applyFill="true" applyFont="true" applyNumberFormat="false" applyProtection="false" borderId="113" fillId="265" fontId="5" numFmtId="0" xfId="0">
      <alignment horizontal="center" vertical="center"/>
    </xf>
    <xf applyAlignment="true" applyBorder="false" applyFill="true" applyFont="true" applyNumberFormat="true" applyProtection="false" borderId="103" fillId="277" fontId="3" numFmtId="188" xfId="0">
      <alignment horizontal="center" vertical="center" wrapText="true"/>
    </xf>
    <xf applyAlignment="true" applyBorder="false" applyFill="true" applyFont="true" applyNumberFormat="true" applyProtection="false" borderId="103" fillId="277" fontId="3" numFmtId="188" xfId="0">
      <alignment horizontal="center" vertical="center" wrapText="true"/>
    </xf>
    <xf applyAlignment="true" applyBorder="false" applyFill="true" applyFont="true" applyNumberFormat="true" applyProtection="false" borderId="103" fillId="277" fontId="10" numFmtId="188" xfId="0">
      <alignment horizontal="center" vertical="center" wrapText="true"/>
    </xf>
    <xf applyAlignment="true" applyBorder="false" applyFill="true" applyFont="true" applyNumberFormat="true" applyProtection="false" borderId="104" fillId="277" fontId="10" numFmtId="188" xfId="0">
      <alignment horizontal="center" vertical="center" wrapText="true"/>
    </xf>
    <xf applyAlignment="true" applyBorder="false" applyFill="true" applyFont="true" applyNumberFormat="true" applyProtection="false" borderId="0" fillId="265" fontId="10" numFmtId="188" xfId="0">
      <alignment horizontal="center" vertical="center" wrapText="true"/>
    </xf>
    <xf applyAlignment="true" applyBorder="false" applyFill="true" applyFont="true" applyNumberFormat="true" applyProtection="false" borderId="101" fillId="277" fontId="7" numFmtId="188" xfId="0">
      <alignment horizontal="center" vertical="center" wrapText="true"/>
    </xf>
    <xf applyAlignment="true" applyBorder="false" applyFill="true" applyFont="true" applyNumberFormat="true" applyProtection="false" borderId="101" fillId="277" fontId="7" numFmtId="189" xfId="0">
      <alignment horizontal="center" vertical="center"/>
    </xf>
    <xf applyAlignment="true" applyBorder="false" applyFill="true" applyFont="true" applyNumberFormat="false" applyProtection="false" borderId="101" fillId="277" fontId="7" numFmtId="0" xfId="0">
      <alignment horizontal="center" vertical="center"/>
    </xf>
    <xf applyAlignment="true" applyBorder="false" applyFill="true" applyFont="true" applyNumberFormat="false" applyProtection="false" borderId="101" fillId="277" fontId="7" numFmtId="0" xfId="0">
      <alignment horizontal="center" vertical="center" wrapText="true"/>
    </xf>
    <xf applyAlignment="true" applyBorder="false" applyFill="true" applyFont="true" applyNumberFormat="false" applyProtection="false" borderId="102" fillId="277" fontId="7" numFmtId="0" xfId="0">
      <alignment horizontal="center" vertical="center"/>
    </xf>
    <xf applyAlignment="true" applyBorder="false" applyFill="false" applyFont="true" applyNumberFormat="true" applyProtection="false" borderId="103" fillId="0" fontId="5" numFmtId="189" xfId="0">
      <alignment horizontal="center" vertical="center"/>
    </xf>
    <xf applyAlignment="true" applyBorder="false" applyFill="false" applyFont="true" applyNumberFormat="false" applyProtection="false" borderId="103" fillId="0" fontId="8" numFmtId="0" xfId="0">
      <alignment horizontal="center" vertical="center" wrapText="true"/>
    </xf>
    <xf applyAlignment="true" applyBorder="false" applyFill="false" applyFont="true" applyNumberFormat="false" applyProtection="false" borderId="104" fillId="0" fontId="8" numFmtId="0" xfId="0">
      <alignment vertical="center"/>
    </xf>
    <xf applyAlignment="true" applyBorder="false" applyFill="true" applyFont="true" applyNumberFormat="true" applyProtection="false" borderId="103" fillId="268" fontId="5" numFmtId="189" xfId="0">
      <alignment horizontal="center" vertical="center"/>
    </xf>
    <xf applyAlignment="true" applyBorder="false" applyFill="true" applyFont="true" applyNumberFormat="false" applyProtection="false" borderId="103" fillId="268" fontId="8" numFmtId="0" xfId="0">
      <alignment horizontal="center" vertical="center" wrapText="true"/>
    </xf>
    <xf applyAlignment="true" applyBorder="false" applyFill="true" applyFont="true" applyNumberFormat="false" applyProtection="false" borderId="104" fillId="268" fontId="8" numFmtId="0" xfId="0">
      <alignment vertical="center"/>
    </xf>
    <xf applyAlignment="true" applyBorder="false" applyFill="true" applyFont="true" applyNumberFormat="true" applyProtection="false" borderId="103" fillId="269" fontId="5" numFmtId="189" xfId="0">
      <alignment horizontal="center" vertical="center"/>
    </xf>
    <xf applyAlignment="true" applyBorder="false" applyFill="true" applyFont="true" applyNumberFormat="false" applyProtection="false" borderId="103" fillId="269" fontId="8" numFmtId="0" xfId="0">
      <alignment horizontal="center" vertical="center" wrapText="true"/>
    </xf>
    <xf applyAlignment="true" applyBorder="false" applyFill="true" applyFont="true" applyNumberFormat="false" applyProtection="false" borderId="104" fillId="269" fontId="8" numFmtId="0" xfId="0">
      <alignment vertical="center"/>
    </xf>
    <xf applyAlignment="true" applyBorder="false" applyFill="true" applyFont="true" applyNumberFormat="false" applyProtection="false" borderId="0" fillId="269" fontId="8" numFmtId="0" xfId="0">
      <alignment vertical="center"/>
    </xf>
    <xf applyAlignment="true" applyBorder="false" applyFill="true" applyFont="true" applyNumberFormat="false" applyProtection="false" borderId="104" fillId="268" fontId="8" numFmtId="0" xfId="0">
      <alignment vertical="center"/>
    </xf>
    <xf applyAlignment="true" applyBorder="false" applyFill="false" applyFont="true" applyNumberFormat="false" applyProtection="false" borderId="103" fillId="0" fontId="8" numFmtId="0" xfId="0">
      <alignment horizontal="center" vertical="center" wrapText="true"/>
    </xf>
    <xf applyAlignment="true" applyBorder="false" applyFill="true" applyFont="true" applyNumberFormat="false" applyProtection="false" borderId="0" fillId="268" fontId="8" numFmtId="0" xfId="0">
      <alignment vertical="center"/>
    </xf>
    <xf applyAlignment="true" applyBorder="false" applyFill="true" applyFont="true" applyNumberFormat="true" applyProtection="false" borderId="103" fillId="268" fontId="4" numFmtId="189" xfId="0">
      <alignment horizontal="center" vertical="center"/>
    </xf>
    <xf applyAlignment="true" applyBorder="false" applyFill="true" applyFont="true" applyNumberFormat="false" applyProtection="false" borderId="103" fillId="268" fontId="5" numFmtId="0" xfId="0">
      <alignment horizontal="center" vertical="center"/>
    </xf>
    <xf applyAlignment="true" applyBorder="false" applyFill="false" applyFont="true" applyNumberFormat="false" applyProtection="false" borderId="104" fillId="0" fontId="8" numFmtId="0" xfId="0">
      <alignment vertical="center"/>
    </xf>
    <xf applyAlignment="true" applyBorder="false" applyFill="true" applyFont="true" applyNumberFormat="true" applyProtection="false" borderId="101" fillId="272" fontId="3" numFmtId="188" xfId="0">
      <alignment horizontal="center" vertical="center" wrapText="true"/>
    </xf>
    <xf applyAlignment="true" applyBorder="false" applyFill="true" applyFont="true" applyNumberFormat="true" applyProtection="false" borderId="102" fillId="272" fontId="3" numFmtId="188" xfId="0">
      <alignment horizontal="center" vertical="center" wrapText="true"/>
    </xf>
    <xf applyAlignment="true" applyBorder="false" applyFill="true" applyFont="true" applyNumberFormat="true" applyProtection="false" borderId="102" fillId="272" fontId="7" numFmtId="188" xfId="0">
      <alignment horizontal="center" vertical="center" wrapText="true"/>
    </xf>
    <xf applyAlignment="true" applyBorder="false" applyFill="true" applyFont="true" applyNumberFormat="true" applyProtection="false" borderId="103" fillId="272" fontId="7" numFmtId="189" xfId="0">
      <alignment horizontal="center" vertical="center"/>
    </xf>
    <xf applyAlignment="true" applyBorder="false" applyFill="true" applyFont="true" applyNumberFormat="false" applyProtection="false" borderId="115" fillId="272" fontId="7" numFmtId="0" xfId="0">
      <alignment horizontal="center" vertical="center"/>
    </xf>
    <xf applyAlignment="true" applyBorder="false" applyFill="true" applyFont="true" applyNumberFormat="false" applyProtection="false" borderId="101" fillId="272" fontId="7" numFmtId="0" xfId="0">
      <alignment horizontal="center" vertical="center"/>
    </xf>
    <xf applyAlignment="true" applyBorder="false" applyFill="true" applyFont="true" applyNumberFormat="false" applyProtection="false" borderId="101" fillId="272" fontId="7" numFmtId="0" xfId="0">
      <alignment horizontal="center" vertical="center" wrapText="true"/>
    </xf>
    <xf applyAlignment="true" applyBorder="false" applyFill="true" applyFont="true" applyNumberFormat="false" applyProtection="false" borderId="102" fillId="272" fontId="7" numFmtId="0" xfId="0">
      <alignment horizontal="center" vertical="center"/>
    </xf>
    <xf applyAlignment="true" applyBorder="false" applyFill="true" applyFont="true" applyNumberFormat="false" applyProtection="false" borderId="104" fillId="272" fontId="7" numFmtId="0" xfId="0">
      <alignment horizontal="center" vertical="center"/>
    </xf>
    <xf applyAlignment="true" applyBorder="false" applyFill="true" applyFont="true" applyNumberFormat="true" applyProtection="false" borderId="103" fillId="265" fontId="4" numFmtId="189" xfId="0">
      <alignment horizontal="center" vertical="center"/>
    </xf>
    <xf applyAlignment="true" applyBorder="false" applyFill="true" applyFont="true" applyNumberFormat="true" applyProtection="false" borderId="103" fillId="265" fontId="4" numFmtId="189" xfId="0">
      <alignment horizontal="center" vertical="center"/>
    </xf>
    <xf applyAlignment="true" applyBorder="false" applyFill="true" applyFont="true" applyNumberFormat="false" applyProtection="false" borderId="103" fillId="265" fontId="5" numFmtId="0" xfId="0">
      <alignment horizontal="center" vertical="center"/>
    </xf>
    <xf applyAlignment="true" applyBorder="false" applyFill="false" applyFont="true" applyNumberFormat="false" applyProtection="false" borderId="103" fillId="0" fontId="5" numFmtId="0" xfId="0">
      <alignment horizontal="center" vertical="center" wrapText="true"/>
    </xf>
    <xf applyAlignment="true" applyBorder="false" applyFill="false" applyFont="true" applyNumberFormat="false" applyProtection="false" borderId="110" fillId="0" fontId="5" numFmtId="0" xfId="0">
      <alignment horizontal="center" vertical="center"/>
    </xf>
    <xf applyAlignment="true" applyBorder="false" applyFill="true" applyFont="true" applyNumberFormat="true" applyProtection="false" borderId="103" fillId="269" fontId="5" numFmtId="190" xfId="0">
      <alignment horizontal="center" vertical="center"/>
    </xf>
    <xf applyAlignment="true" applyBorder="false" applyFill="true" applyFont="true" applyNumberFormat="false" applyProtection="false" borderId="110" fillId="269" fontId="5" numFmtId="0" xfId="0">
      <alignment horizontal="center" vertical="center"/>
    </xf>
    <xf applyAlignment="true" applyBorder="false" applyFill="false" applyFont="true" applyNumberFormat="false" applyProtection="false" borderId="103" fillId="0" fontId="5" numFmtId="0" xfId="0">
      <alignment horizontal="center" vertical="center" wrapText="true"/>
    </xf>
    <xf applyAlignment="true" applyBorder="false" applyFill="false" applyFont="true" applyNumberFormat="false" applyProtection="false" borderId="110" fillId="0" fontId="5" numFmtId="0" xfId="0">
      <alignment horizontal="center" vertical="center"/>
    </xf>
    <xf applyAlignment="true" applyBorder="false" applyFill="true" applyFont="true" applyNumberFormat="true" applyProtection="false" borderId="103" fillId="269" fontId="4" numFmtId="190" xfId="0">
      <alignment horizontal="center" vertical="center"/>
    </xf>
    <xf applyAlignment="true" applyBorder="false" applyFill="true" applyFont="true" applyNumberFormat="false" applyProtection="false" borderId="103" fillId="269" fontId="5" numFmtId="0" xfId="0">
      <alignment horizontal="center" vertical="center" wrapText="true"/>
    </xf>
    <xf applyAlignment="true" applyBorder="false" applyFill="true" applyFont="true" applyNumberFormat="true" applyProtection="false" borderId="103" fillId="268" fontId="4" numFmtId="19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101" fillId="278" fontId="3" numFmtId="188" xfId="0">
      <alignment horizontal="center" vertical="center" wrapText="true"/>
    </xf>
    <xf applyAlignment="true" applyBorder="false" applyFill="true" applyFont="true" applyNumberFormat="true" applyProtection="false" borderId="102" fillId="278" fontId="3" numFmtId="188" xfId="0">
      <alignment horizontal="center" vertical="center" wrapText="true"/>
    </xf>
    <xf applyAlignment="true" applyBorder="false" applyFill="true" applyFont="true" applyNumberFormat="true" applyProtection="false" borderId="102" fillId="278" fontId="7" numFmtId="188" xfId="0">
      <alignment horizontal="center" vertical="center" wrapText="true"/>
    </xf>
    <xf applyAlignment="true" applyBorder="false" applyFill="true" applyFont="true" applyNumberFormat="true" applyProtection="false" borderId="103" fillId="278" fontId="7" numFmtId="189" xfId="0">
      <alignment horizontal="center" vertical="center"/>
    </xf>
    <xf applyAlignment="true" applyBorder="false" applyFill="true" applyFont="true" applyNumberFormat="false" applyProtection="false" borderId="115" fillId="278" fontId="7" numFmtId="0" xfId="0">
      <alignment horizontal="center" vertical="center"/>
    </xf>
    <xf applyAlignment="true" applyBorder="false" applyFill="true" applyFont="true" applyNumberFormat="false" applyProtection="false" borderId="101" fillId="278" fontId="7" numFmtId="0" xfId="0">
      <alignment horizontal="center" vertical="center"/>
    </xf>
    <xf applyAlignment="true" applyBorder="false" applyFill="true" applyFont="true" applyNumberFormat="false" applyProtection="false" borderId="101" fillId="278" fontId="7" numFmtId="0" xfId="0">
      <alignment horizontal="center" vertical="center" wrapText="true"/>
    </xf>
    <xf applyAlignment="true" applyBorder="false" applyFill="true" applyFont="true" applyNumberFormat="false" applyProtection="false" borderId="102" fillId="278" fontId="7" numFmtId="0" xfId="0">
      <alignment horizontal="center" vertical="center"/>
    </xf>
    <xf applyAlignment="true" applyBorder="false" applyFill="true" applyFont="true" applyNumberFormat="false" applyProtection="false" borderId="104" fillId="278" fontId="7" numFmtId="0" xfId="0">
      <alignment horizontal="center" vertical="center"/>
    </xf>
    <xf applyAlignment="true" applyBorder="false" applyFill="true" applyFont="true" applyNumberFormat="false" applyProtection="false" borderId="0" fillId="265" fontId="5" numFmtId="0" xfId="0">
      <alignment horizontal="center" vertical="center"/>
    </xf>
    <xf applyAlignment="true" applyBorder="false" applyFill="true" applyFont="true" applyNumberFormat="true" applyProtection="false" borderId="101" fillId="279" fontId="3" numFmtId="188" xfId="0">
      <alignment horizontal="center" vertical="center" wrapText="true"/>
    </xf>
    <xf applyAlignment="true" applyBorder="false" applyFill="true" applyFont="true" applyNumberFormat="true" applyProtection="false" borderId="102" fillId="279" fontId="3" numFmtId="188" xfId="0">
      <alignment horizontal="center" vertical="center" wrapText="true"/>
    </xf>
    <xf applyAlignment="true" applyBorder="false" applyFill="true" applyFont="true" applyNumberFormat="true" applyProtection="false" borderId="102" fillId="279" fontId="7" numFmtId="188" xfId="0">
      <alignment horizontal="center" vertical="center" wrapText="true"/>
    </xf>
    <xf applyAlignment="true" applyBorder="false" applyFill="true" applyFont="true" applyNumberFormat="true" applyProtection="false" borderId="103" fillId="279" fontId="7" numFmtId="189" xfId="0">
      <alignment horizontal="center" vertical="center"/>
    </xf>
    <xf applyAlignment="true" applyBorder="false" applyFill="true" applyFont="true" applyNumberFormat="false" applyProtection="false" borderId="115" fillId="279" fontId="7" numFmtId="0" xfId="0">
      <alignment horizontal="center" vertical="center"/>
    </xf>
    <xf applyAlignment="true" applyBorder="false" applyFill="true" applyFont="true" applyNumberFormat="false" applyProtection="false" borderId="101" fillId="279" fontId="7" numFmtId="0" xfId="0">
      <alignment horizontal="center" vertical="center"/>
    </xf>
    <xf applyAlignment="true" applyBorder="false" applyFill="true" applyFont="true" applyNumberFormat="false" applyProtection="false" borderId="101" fillId="279" fontId="7" numFmtId="0" xfId="0">
      <alignment horizontal="center" vertical="center" wrapText="true"/>
    </xf>
    <xf applyAlignment="true" applyBorder="false" applyFill="true" applyFont="true" applyNumberFormat="false" applyProtection="false" borderId="102" fillId="279" fontId="7" numFmtId="0" xfId="0">
      <alignment horizontal="center" vertical="center"/>
    </xf>
    <xf applyAlignment="true" applyBorder="false" applyFill="true" applyFont="true" applyNumberFormat="false" applyProtection="false" borderId="104" fillId="279" fontId="7" numFmtId="0" xfId="0">
      <alignment horizontal="center" vertical="center"/>
    </xf>
    <xf applyAlignment="true" applyBorder="false" applyFill="true" applyFont="true" applyNumberFormat="true" applyProtection="false" borderId="107" fillId="265" fontId="5" numFmtId="190" xfId="0">
      <alignment horizontal="center" vertical="center"/>
    </xf>
    <xf applyAlignment="true" applyBorder="false" applyFill="true" applyFont="true" applyNumberFormat="true" applyProtection="false" borderId="103" fillId="268" fontId="5" numFmtId="190" xfId="0">
      <alignment horizontal="center" vertical="center"/>
    </xf>
    <xf applyAlignment="true" applyBorder="false" applyFill="false" applyFont="true" applyNumberFormat="false" applyProtection="false" borderId="103" fillId="0" fontId="5" numFmtId="0" xfId="0">
      <alignment horizontal="center" vertical="center" wrapText="true"/>
    </xf>
    <xf applyAlignment="true" applyBorder="false" applyFill="true" applyFont="true" applyNumberFormat="false" applyProtection="false" borderId="103" fillId="269" fontId="5" numFmtId="0" xfId="0">
      <alignment horizontal="center" vertical="center" wrapText="true"/>
    </xf>
    <xf applyAlignment="true" applyBorder="false" applyFill="true" applyFont="true" applyNumberFormat="false" applyProtection="false" borderId="110" fillId="269" fontId="5" numFmtId="0" xfId="0">
      <alignment horizontal="center" vertical="center"/>
    </xf>
    <xf applyAlignment="true" applyBorder="false" applyFill="true" applyFont="true" applyNumberFormat="true" applyProtection="false" borderId="101" fillId="280" fontId="3" numFmtId="188" xfId="0">
      <alignment horizontal="center" vertical="center" wrapText="true"/>
    </xf>
    <xf applyAlignment="true" applyBorder="false" applyFill="true" applyFont="true" applyNumberFormat="true" applyProtection="false" borderId="116" fillId="280" fontId="3" numFmtId="188" xfId="0">
      <alignment horizontal="center" vertical="center" wrapText="true"/>
    </xf>
    <xf applyAlignment="true" applyBorder="false" applyFill="true" applyFont="true" applyNumberFormat="true" applyProtection="false" borderId="102" fillId="280" fontId="3" numFmtId="188" xfId="0">
      <alignment horizontal="center" vertical="center" wrapText="true"/>
    </xf>
    <xf applyAlignment="true" applyBorder="false" applyFill="true" applyFont="true" applyNumberFormat="true" applyProtection="false" borderId="102" fillId="280" fontId="7" numFmtId="188" xfId="0">
      <alignment horizontal="center" vertical="center" wrapText="true"/>
    </xf>
    <xf applyAlignment="true" applyBorder="false" applyFill="true" applyFont="true" applyNumberFormat="true" applyProtection="false" borderId="103" fillId="280" fontId="7" numFmtId="189" xfId="0">
      <alignment horizontal="center" vertical="center"/>
    </xf>
    <xf applyAlignment="true" applyBorder="false" applyFill="true" applyFont="true" applyNumberFormat="false" applyProtection="false" borderId="115" fillId="280" fontId="7" numFmtId="0" xfId="0">
      <alignment horizontal="center" vertical="center"/>
    </xf>
    <xf applyAlignment="true" applyBorder="false" applyFill="true" applyFont="true" applyNumberFormat="false" applyProtection="false" borderId="101" fillId="280" fontId="7" numFmtId="0" xfId="0">
      <alignment horizontal="center" vertical="center"/>
    </xf>
    <xf applyAlignment="true" applyBorder="false" applyFill="true" applyFont="true" applyNumberFormat="false" applyProtection="false" borderId="101" fillId="280" fontId="7" numFmtId="0" xfId="0">
      <alignment horizontal="center" vertical="center" wrapText="true"/>
    </xf>
    <xf applyAlignment="true" applyBorder="false" applyFill="true" applyFont="true" applyNumberFormat="false" applyProtection="false" borderId="102" fillId="280" fontId="7" numFmtId="0" xfId="0">
      <alignment horizontal="center" vertical="center"/>
    </xf>
    <xf applyAlignment="true" applyBorder="false" applyFill="true" applyFont="true" applyNumberFormat="false" applyProtection="false" borderId="104" fillId="280" fontId="7" numFmtId="0" xfId="0">
      <alignment horizontal="center" vertical="center"/>
    </xf>
    <xf applyAlignment="true" applyBorder="false" applyFill="true" applyFont="true" applyNumberFormat="true" applyProtection="false" borderId="103" fillId="265" fontId="5" numFmtId="189" xfId="0">
      <alignment horizontal="center" vertical="center"/>
    </xf>
    <xf applyAlignment="true" applyBorder="false" applyFill="true" applyFont="true" applyNumberFormat="false" applyProtection="false" borderId="103" fillId="265" fontId="8" numFmtId="0" xfId="0">
      <alignment horizontal="center" vertical="center" wrapText="true"/>
    </xf>
    <xf applyAlignment="true" applyBorder="false" applyFill="true" applyFont="true" applyNumberFormat="false" applyProtection="false" borderId="104" fillId="265" fontId="8" numFmtId="0" xfId="0">
      <alignment vertical="center"/>
    </xf>
    <xf applyAlignment="true" applyBorder="false" applyFill="true" applyFont="true" applyNumberFormat="true" applyProtection="false" borderId="101" fillId="281" fontId="3" numFmtId="188" xfId="0">
      <alignment horizontal="center" vertical="center" wrapText="true"/>
    </xf>
    <xf applyAlignment="true" applyBorder="false" applyFill="true" applyFont="true" applyNumberFormat="true" applyProtection="false" borderId="101" fillId="281" fontId="3" numFmtId="188" xfId="0">
      <alignment horizontal="center" vertical="center" wrapText="true"/>
    </xf>
    <xf applyAlignment="true" applyBorder="false" applyFill="true" applyFont="true" applyNumberFormat="true" applyProtection="false" borderId="116" fillId="281" fontId="3" numFmtId="188" xfId="0">
      <alignment horizontal="center" vertical="center" wrapText="true"/>
    </xf>
    <xf applyAlignment="true" applyBorder="false" applyFill="true" applyFont="true" applyNumberFormat="true" applyProtection="false" borderId="102" fillId="281" fontId="3" numFmtId="188" xfId="0">
      <alignment horizontal="center" vertical="center" wrapText="true"/>
    </xf>
    <xf applyAlignment="true" applyBorder="false" applyFill="true" applyFont="true" applyNumberFormat="true" applyProtection="false" borderId="102" fillId="281" fontId="7" numFmtId="188" xfId="0">
      <alignment horizontal="center" vertical="center" wrapText="true"/>
    </xf>
    <xf applyAlignment="true" applyBorder="false" applyFill="true" applyFont="true" applyNumberFormat="true" applyProtection="false" borderId="103" fillId="281" fontId="7" numFmtId="189" xfId="0">
      <alignment horizontal="center" vertical="center"/>
    </xf>
    <xf applyAlignment="true" applyBorder="false" applyFill="true" applyFont="true" applyNumberFormat="false" applyProtection="false" borderId="115" fillId="281" fontId="7" numFmtId="0" xfId="0">
      <alignment horizontal="center" vertical="center"/>
    </xf>
    <xf applyAlignment="true" applyBorder="false" applyFill="true" applyFont="true" applyNumberFormat="false" applyProtection="false" borderId="101" fillId="281" fontId="7" numFmtId="0" xfId="0">
      <alignment horizontal="center" vertical="center"/>
    </xf>
    <xf applyAlignment="true" applyBorder="false" applyFill="true" applyFont="true" applyNumberFormat="false" applyProtection="false" borderId="101" fillId="281" fontId="7" numFmtId="0" xfId="0">
      <alignment horizontal="center" vertical="center" wrapText="true"/>
    </xf>
    <xf applyAlignment="true" applyBorder="false" applyFill="true" applyFont="true" applyNumberFormat="false" applyProtection="false" borderId="102" fillId="281" fontId="7" numFmtId="0" xfId="0">
      <alignment horizontal="center" vertical="center"/>
    </xf>
    <xf applyAlignment="true" applyBorder="false" applyFill="true" applyFont="true" applyNumberFormat="false" applyProtection="false" borderId="104" fillId="281" fontId="7" numFmtId="0" xfId="0">
      <alignment horizontal="center" vertical="center"/>
    </xf>
    <xf applyAlignment="true" applyBorder="false" applyFill="true" applyFont="true" applyNumberFormat="true" applyProtection="false" borderId="103" fillId="282" fontId="3" numFmtId="188" xfId="0">
      <alignment horizontal="center" vertical="center" wrapText="true"/>
    </xf>
    <xf applyAlignment="true" applyBorder="false" applyFill="true" applyFont="true" applyNumberFormat="false" applyProtection="false" borderId="0" fillId="282" fontId="8" numFmtId="0" xfId="0">
      <alignment vertical="center"/>
    </xf>
    <xf applyAlignment="true" applyBorder="false" applyFill="true" applyFont="true" applyNumberFormat="false" applyProtection="false" borderId="0" fillId="282" fontId="8" numFmtId="0" xfId="0">
      <alignment horizontal="center" vertical="center"/>
    </xf>
    <xf applyAlignment="true" applyBorder="false" applyFill="true" applyFont="true" applyNumberFormat="true" applyProtection="false" borderId="103" fillId="283" fontId="7" numFmtId="188" xfId="0">
      <alignment horizontal="center" vertical="center" wrapText="true"/>
    </xf>
    <xf applyAlignment="true" applyBorder="false" applyFill="true" applyFont="true" applyNumberFormat="true" applyProtection="false" borderId="103" fillId="283" fontId="7" numFmtId="189" xfId="0">
      <alignment horizontal="center" vertical="center"/>
    </xf>
    <xf applyAlignment="true" applyBorder="false" applyFill="true" applyFont="true" applyNumberFormat="false" applyProtection="false" borderId="101" fillId="283" fontId="7" numFmtId="0" xfId="0">
      <alignment horizontal="center" vertical="center"/>
    </xf>
    <xf applyAlignment="true" applyBorder="false" applyFill="true" applyFont="true" applyNumberFormat="false" applyProtection="false" borderId="103" fillId="283" fontId="7" numFmtId="0" xfId="0">
      <alignment horizontal="center" vertical="center"/>
    </xf>
    <xf applyAlignment="true" applyBorder="false" applyFill="true" applyFont="true" applyNumberFormat="false" applyProtection="false" borderId="103" fillId="283" fontId="7" numFmtId="0" xfId="0">
      <alignment horizontal="center" vertical="center" wrapText="true"/>
    </xf>
    <xf applyAlignment="true" applyBorder="false" applyFill="true" applyFont="true" applyNumberFormat="false" applyProtection="false" borderId="104" fillId="283" fontId="7" numFmtId="0" xfId="0">
      <alignment horizontal="center" vertical="center"/>
    </xf>
    <xf applyAlignment="true" applyBorder="false" applyFill="true" applyFont="true" applyNumberFormat="true" applyProtection="false" borderId="105" fillId="269" fontId="5" numFmtId="190" xfId="0">
      <alignment horizontal="center" vertical="center"/>
    </xf>
    <xf applyAlignment="true" applyBorder="false" applyFill="true" applyFont="true" applyNumberFormat="false" applyProtection="false" borderId="103" fillId="265" fontId="5" numFmtId="0" xfId="0">
      <alignment horizontal="center" vertical="center" wrapText="true"/>
    </xf>
    <xf applyAlignment="true" applyBorder="false" applyFill="true" applyFont="true" applyNumberFormat="false" applyProtection="false" borderId="103" fillId="268" fontId="5" numFmtId="0" xfId="0">
      <alignment horizontal="center" vertical="center" wrapText="true"/>
    </xf>
    <xf applyAlignment="true" applyBorder="false" applyFill="true" applyFont="true" applyNumberFormat="true" applyProtection="false" borderId="103" fillId="265" fontId="5" numFmtId="190" xfId="0">
      <alignment horizontal="center" vertical="center"/>
    </xf>
    <xf applyAlignment="true" applyBorder="false" applyFill="true" applyFont="true" applyNumberFormat="false" applyProtection="false" borderId="103" fillId="265" fontId="5" numFmtId="0" xfId="0">
      <alignment horizontal="center" vertical="center" wrapText="true"/>
    </xf>
    <xf applyAlignment="true" applyBorder="false" applyFill="true" applyFont="true" applyNumberFormat="true" applyProtection="false" borderId="103" fillId="284" fontId="4" numFmtId="189" xfId="0">
      <alignment horizontal="center" vertical="center"/>
    </xf>
    <xf applyAlignment="true" applyBorder="false" applyFill="true" applyFont="true" applyNumberFormat="true" applyProtection="false" borderId="103" fillId="284" fontId="4" numFmtId="189" xfId="0">
      <alignment horizontal="center" vertical="center"/>
    </xf>
    <xf applyAlignment="true" applyBorder="false" applyFill="true" applyFont="true" applyNumberFormat="false" applyProtection="false" borderId="103" fillId="284" fontId="5" numFmtId="0" xfId="0">
      <alignment horizontal="center" vertical="center"/>
    </xf>
    <xf applyAlignment="true" applyBorder="false" applyFill="true" applyFont="true" applyNumberFormat="false" applyProtection="false" borderId="103" fillId="284" fontId="5" numFmtId="0" xfId="0">
      <alignment horizontal="center" vertical="center"/>
    </xf>
    <xf applyAlignment="true" applyBorder="false" applyFill="true" applyFont="true" applyNumberFormat="false" applyProtection="false" borderId="103" fillId="284" fontId="5" numFmtId="0" xfId="0">
      <alignment horizontal="center" vertical="center" wrapText="true"/>
    </xf>
    <xf applyAlignment="true" applyBorder="false" applyFill="true" applyFont="true" applyNumberFormat="false" applyProtection="false" borderId="0" fillId="284" fontId="5" numFmtId="0" xfId="0">
      <alignment horizontal="center" vertical="center"/>
    </xf>
    <xf applyAlignment="true" applyBorder="false" applyFill="true" applyFont="true" applyNumberFormat="false" applyProtection="false" borderId="105" fillId="284" fontId="5" numFmtId="0" xfId="0">
      <alignment horizontal="center" vertical="center"/>
    </xf>
    <xf applyAlignment="true" applyBorder="false" applyFill="true" applyFont="true" applyNumberFormat="false" applyProtection="false" borderId="104" fillId="284" fontId="5" numFmtId="0" xfId="0">
      <alignment horizontal="center" vertical="center"/>
    </xf>
    <xf applyAlignment="true" applyBorder="false" applyFill="true" applyFont="true" applyNumberFormat="false" applyProtection="false" borderId="104" fillId="265" fontId="5" numFmtId="0" xfId="0">
      <alignment horizontal="center" vertical="center"/>
    </xf>
    <xf applyAlignment="true" applyBorder="false" applyFill="true" applyFont="true" applyNumberFormat="true" applyProtection="false" borderId="103" fillId="285" fontId="3" numFmtId="188" xfId="0">
      <alignment horizontal="center" vertical="center" wrapText="true"/>
    </xf>
    <xf applyAlignment="true" applyBorder="false" applyFill="true" applyFont="true" applyNumberFormat="true" applyProtection="false" borderId="103" fillId="285" fontId="4" numFmtId="189" xfId="0">
      <alignment horizontal="center" vertical="center"/>
    </xf>
    <xf applyAlignment="true" applyBorder="false" applyFill="true" applyFont="true" applyNumberFormat="true" applyProtection="false" borderId="103" fillId="285" fontId="4" numFmtId="189" xfId="0">
      <alignment horizontal="center" vertical="center"/>
    </xf>
    <xf applyAlignment="true" applyBorder="false" applyFill="true" applyFont="true" applyNumberFormat="false" applyProtection="false" borderId="103" fillId="285" fontId="5" numFmtId="0" xfId="0">
      <alignment horizontal="center" vertical="center"/>
    </xf>
    <xf applyAlignment="true" applyBorder="false" applyFill="true" applyFont="true" applyNumberFormat="false" applyProtection="false" borderId="103" fillId="285" fontId="5" numFmtId="0" xfId="0">
      <alignment horizontal="center" vertical="center"/>
    </xf>
    <xf applyAlignment="true" applyBorder="false" applyFill="true" applyFont="true" applyNumberFormat="false" applyProtection="false" borderId="103" fillId="285" fontId="5" numFmtId="0" xfId="0">
      <alignment horizontal="center" vertical="center" wrapText="true"/>
    </xf>
    <xf applyAlignment="true" applyBorder="false" applyFill="true" applyFont="true" applyNumberFormat="false" applyProtection="false" borderId="104" fillId="285" fontId="5" numFmtId="0" xfId="0">
      <alignment horizontal="center" vertical="center"/>
    </xf>
    <xf applyAlignment="true" applyBorder="false" applyFill="true" applyFont="true" applyNumberFormat="false" applyProtection="false" borderId="0" fillId="285" fontId="5" numFmtId="0" xfId="0">
      <alignment horizontal="center" vertical="center"/>
    </xf>
    <xf applyAlignment="true" applyBorder="false" applyFill="true" applyFont="true" applyNumberFormat="true" applyProtection="false" borderId="103" fillId="285" fontId="7" numFmtId="188" xfId="0">
      <alignment horizontal="center" vertical="center" wrapText="true"/>
    </xf>
    <xf applyAlignment="true" applyBorder="false" applyFill="true" applyFont="true" applyNumberFormat="true" applyProtection="false" borderId="103" fillId="285" fontId="7" numFmtId="189" xfId="0">
      <alignment horizontal="center" vertical="center"/>
    </xf>
    <xf applyAlignment="true" applyBorder="false" applyFill="true" applyFont="true" applyNumberFormat="false" applyProtection="false" borderId="101" fillId="285" fontId="7" numFmtId="0" xfId="0">
      <alignment horizontal="center" vertical="center"/>
    </xf>
    <xf applyAlignment="true" applyBorder="false" applyFill="true" applyFont="true" applyNumberFormat="false" applyProtection="false" borderId="103" fillId="285" fontId="7" numFmtId="0" xfId="0">
      <alignment horizontal="center" vertical="center"/>
    </xf>
    <xf applyAlignment="true" applyBorder="false" applyFill="true" applyFont="true" applyNumberFormat="false" applyProtection="false" borderId="103" fillId="285" fontId="7" numFmtId="0" xfId="0">
      <alignment horizontal="center" vertical="center" wrapText="true"/>
    </xf>
    <xf applyAlignment="true" applyBorder="false" applyFill="true" applyFont="true" applyNumberFormat="false" applyProtection="false" borderId="104" fillId="285" fontId="7" numFmtId="0" xfId="0">
      <alignment horizontal="center" vertical="center"/>
    </xf>
    <xf applyAlignment="true" applyBorder="false" applyFill="true" applyFont="true" applyNumberFormat="false" applyProtection="false" borderId="0" fillId="285" fontId="7" numFmtId="0" xfId="0">
      <alignment horizontal="center" vertical="center"/>
    </xf>
    <xf applyAlignment="true" applyBorder="false" applyFill="true" applyFont="true" applyNumberFormat="false" applyProtection="false" borderId="104" fillId="265" fontId="5" numFmtId="0" xfId="0">
      <alignment horizontal="center" vertical="center"/>
    </xf>
    <xf applyAlignment="true" applyBorder="false" applyFill="true" applyFont="true" applyNumberFormat="false" applyProtection="false" borderId="103" fillId="269" fontId="4" numFmtId="0" xfId="0">
      <alignment horizontal="center" vertical="center"/>
    </xf>
    <xf applyAlignment="true" applyBorder="false" applyFill="true" applyFont="true" applyNumberFormat="true" applyProtection="false" borderId="103" fillId="271" fontId="3" numFmtId="188" xfId="0">
      <alignment horizontal="center" vertical="center" wrapText="true"/>
    </xf>
    <xf applyAlignment="true" applyBorder="false" applyFill="true" applyFont="true" applyNumberFormat="true" applyProtection="false" borderId="103" fillId="271" fontId="7" numFmtId="188" xfId="0">
      <alignment horizontal="center" vertical="center" wrapText="true"/>
    </xf>
    <xf applyAlignment="true" applyBorder="false" applyFill="true" applyFont="true" applyNumberFormat="true" applyProtection="false" borderId="103" fillId="271" fontId="7" numFmtId="189" xfId="0">
      <alignment horizontal="center" vertical="center"/>
    </xf>
    <xf applyAlignment="true" applyBorder="false" applyFill="true" applyFont="true" applyNumberFormat="false" applyProtection="false" borderId="101" fillId="271" fontId="7" numFmtId="0" xfId="0">
      <alignment horizontal="center" vertical="center"/>
    </xf>
    <xf applyAlignment="true" applyBorder="false" applyFill="true" applyFont="true" applyNumberFormat="false" applyProtection="false" borderId="103" fillId="271" fontId="7" numFmtId="0" xfId="0">
      <alignment horizontal="center" vertical="center"/>
    </xf>
    <xf applyAlignment="true" applyBorder="false" applyFill="true" applyFont="true" applyNumberFormat="false" applyProtection="false" borderId="103" fillId="271" fontId="7" numFmtId="0" xfId="0">
      <alignment horizontal="center" vertical="center" wrapText="true"/>
    </xf>
    <xf applyAlignment="true" applyBorder="false" applyFill="true" applyFont="true" applyNumberFormat="false" applyProtection="false" borderId="104" fillId="271" fontId="7" numFmtId="0" xfId="0">
      <alignment horizontal="center" vertical="center"/>
    </xf>
    <xf applyAlignment="true" applyBorder="false" applyFill="true" applyFont="true" applyNumberFormat="false" applyProtection="false" borderId="0" fillId="271" fontId="7" numFmtId="0" xfId="0">
      <alignment horizontal="center" vertical="center"/>
    </xf>
    <xf applyAlignment="true" applyBorder="false" applyFill="true" applyFont="true" applyNumberFormat="true" applyProtection="false" borderId="103" fillId="286" fontId="4" numFmtId="189" xfId="0">
      <alignment horizontal="center" vertical="center"/>
    </xf>
    <xf applyAlignment="true" applyBorder="false" applyFill="true" applyFont="true" applyNumberFormat="false" applyProtection="false" borderId="103" fillId="286" fontId="5" numFmtId="0" xfId="0">
      <alignment horizontal="center" vertical="center"/>
    </xf>
    <xf applyAlignment="true" applyBorder="false" applyFill="true" applyFont="true" applyNumberFormat="false" applyProtection="false" borderId="103" fillId="286" fontId="5" numFmtId="0" xfId="0">
      <alignment horizontal="center" vertical="center"/>
    </xf>
    <xf applyAlignment="true" applyBorder="false" applyFill="true" applyFont="true" applyNumberFormat="false" applyProtection="false" borderId="103" fillId="286" fontId="5" numFmtId="0" xfId="0">
      <alignment horizontal="center" vertical="center" wrapText="true"/>
    </xf>
    <xf applyAlignment="true" applyBorder="false" applyFill="true" applyFont="true" applyNumberFormat="false" applyProtection="false" borderId="104" fillId="286" fontId="5" numFmtId="0" xfId="0">
      <alignment horizontal="center" vertical="center"/>
    </xf>
    <xf applyAlignment="true" applyBorder="false" applyFill="true" applyFont="true" applyNumberFormat="false" applyProtection="false" borderId="0" fillId="286" fontId="5" numFmtId="0" xfId="0">
      <alignment horizontal="center" vertical="center"/>
    </xf>
    <xf applyAlignment="true" applyBorder="false" applyFill="true" applyFont="true" applyNumberFormat="true" applyProtection="false" borderId="103" fillId="267" fontId="3" numFmtId="188" xfId="0">
      <alignment horizontal="center" vertical="center" wrapText="true"/>
    </xf>
    <xf applyAlignment="true" applyBorder="false" applyFill="true" applyFont="true" applyNumberFormat="true" applyProtection="false" borderId="104" fillId="267" fontId="3" numFmtId="188" xfId="0">
      <alignment horizontal="center" vertical="center" wrapText="true"/>
    </xf>
    <xf applyAlignment="true" applyBorder="false" applyFill="true" applyFont="true" applyNumberFormat="false" applyProtection="false" borderId="103" fillId="267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103" fillId="287" fontId="10" numFmtId="188" xfId="0">
      <alignment horizontal="center" vertical="center" wrapText="true"/>
    </xf>
    <xf applyAlignment="true" applyBorder="false" applyFill="true" applyFont="true" applyNumberFormat="true" applyProtection="false" borderId="104" fillId="287" fontId="10" numFmtId="188" xfId="0">
      <alignment horizontal="center" vertical="center" wrapText="true"/>
    </xf>
    <xf applyAlignment="true" applyBorder="false" applyFill="true" applyFont="true" applyNumberFormat="true" applyProtection="false" borderId="103" fillId="287" fontId="7" numFmtId="188" xfId="0">
      <alignment horizontal="center" vertical="center" wrapText="true"/>
    </xf>
    <xf applyAlignment="true" applyBorder="false" applyFill="true" applyFont="true" applyNumberFormat="true" applyProtection="false" borderId="103" fillId="287" fontId="7" numFmtId="189" xfId="0">
      <alignment horizontal="center" vertical="center"/>
    </xf>
    <xf applyAlignment="true" applyBorder="false" applyFill="true" applyFont="true" applyNumberFormat="false" applyProtection="false" borderId="103" fillId="287" fontId="7" numFmtId="0" xfId="0">
      <alignment horizontal="center" vertical="center"/>
    </xf>
    <xf applyAlignment="true" applyBorder="false" applyFill="true" applyFont="true" applyNumberFormat="false" applyProtection="false" borderId="103" fillId="287" fontId="7" numFmtId="0" xfId="0">
      <alignment horizontal="center" vertical="center" wrapText="true"/>
    </xf>
    <xf applyAlignment="true" applyBorder="false" applyFill="true" applyFont="true" applyNumberFormat="false" applyProtection="false" borderId="104" fillId="287" fontId="7" numFmtId="0" xfId="0">
      <alignment horizontal="center" vertical="center"/>
    </xf>
    <xf applyAlignment="true" applyBorder="false" applyFill="true" applyFont="true" applyNumberFormat="false" applyProtection="false" borderId="103" fillId="265" fontId="4" numFmtId="0" xfId="0">
      <alignment horizontal="center" vertical="center"/>
    </xf>
    <xf applyAlignment="true" applyBorder="false" applyFill="true" applyFont="true" applyNumberFormat="false" applyProtection="false" borderId="103" fillId="269" fontId="4" numFmtId="0" xfId="0">
      <alignment horizontal="center" vertical="center"/>
    </xf>
    <xf applyAlignment="true" applyBorder="false" applyFill="false" applyFont="true" applyNumberFormat="false" applyProtection="false" borderId="104" fillId="0" fontId="5" numFmtId="0" xfId="0">
      <alignment horizontal="center" vertical="center"/>
    </xf>
    <xf applyAlignment="true" applyBorder="false" applyFill="true" applyFont="true" applyNumberFormat="true" applyProtection="false" borderId="103" fillId="268" fontId="15" numFmtId="190" xfId="0">
      <alignment horizontal="center" vertical="center"/>
    </xf>
    <xf applyAlignment="true" applyBorder="false" applyFill="true" applyFont="true" applyNumberFormat="true" applyProtection="false" borderId="103" fillId="288" fontId="7" numFmtId="188" xfId="0">
      <alignment horizontal="center" vertical="center" wrapText="true"/>
    </xf>
    <xf applyAlignment="true" applyBorder="false" applyFill="true" applyFont="true" applyNumberFormat="true" applyProtection="false" borderId="103" fillId="288" fontId="7" numFmtId="189" xfId="0">
      <alignment horizontal="center" vertical="center"/>
    </xf>
    <xf applyAlignment="true" applyBorder="false" applyFill="true" applyFont="true" applyNumberFormat="false" applyProtection="false" borderId="103" fillId="288" fontId="7" numFmtId="0" xfId="0">
      <alignment horizontal="center" vertical="center"/>
    </xf>
    <xf applyAlignment="true" applyBorder="false" applyFill="true" applyFont="true" applyNumberFormat="false" applyProtection="false" borderId="103" fillId="288" fontId="7" numFmtId="0" xfId="0">
      <alignment horizontal="center" vertical="center" wrapText="true"/>
    </xf>
    <xf applyAlignment="true" applyBorder="false" applyFill="true" applyFont="true" applyNumberFormat="false" applyProtection="false" borderId="104" fillId="288" fontId="7" numFmtId="0" xfId="0">
      <alignment horizontal="center" vertical="center"/>
    </xf>
    <xf applyAlignment="true" applyBorder="false" applyFill="true" applyFont="true" applyNumberFormat="true" applyProtection="false" borderId="103" fillId="269" fontId="15" numFmtId="190" xfId="0">
      <alignment horizontal="center" vertical="center"/>
    </xf>
    <xf applyAlignment="true" applyBorder="false" applyFill="true" applyFont="true" applyNumberFormat="true" applyProtection="false" borderId="103" fillId="288" fontId="3" numFmtId="188" xfId="0">
      <alignment horizontal="center" vertical="center" wrapText="true"/>
    </xf>
    <xf applyAlignment="true" applyBorder="false" applyFill="true" applyFont="true" applyNumberFormat="true" applyProtection="false" borderId="103" fillId="288" fontId="3" numFmtId="188" xfId="0">
      <alignment horizontal="center" vertical="center" wrapText="true"/>
    </xf>
    <xf applyAlignment="true" applyBorder="false" applyFill="true" applyFont="true" applyNumberFormat="true" applyProtection="false" borderId="104" fillId="288" fontId="3" numFmtId="188" xfId="0">
      <alignment horizontal="center" vertical="center" wrapText="true"/>
    </xf>
    <xf applyAlignment="true" applyBorder="false" applyFill="true" applyFont="true" applyNumberFormat="false" applyProtection="false" borderId="103" fillId="265" fontId="4" numFmtId="0" xfId="0">
      <alignment horizontal="center" vertical="center" wrapText="true"/>
    </xf>
    <xf applyAlignment="true" applyBorder="false" applyFill="true" applyFont="true" applyNumberFormat="true" applyProtection="false" borderId="103" fillId="280" fontId="3" numFmtId="188" xfId="0">
      <alignment horizontal="center" vertical="center" wrapText="true"/>
    </xf>
    <xf applyAlignment="true" applyBorder="false" applyFill="true" applyFont="true" applyNumberFormat="true" applyProtection="false" borderId="103" fillId="280" fontId="3" numFmtId="188" xfId="0">
      <alignment horizontal="center" vertical="center" wrapText="true"/>
    </xf>
    <xf applyAlignment="true" applyBorder="false" applyFill="true" applyFont="true" applyNumberFormat="true" applyProtection="false" borderId="104" fillId="280" fontId="3" numFmtId="188" xfId="0">
      <alignment horizontal="center" vertical="center" wrapText="true"/>
    </xf>
    <xf applyAlignment="true" applyBorder="false" applyFill="true" applyFont="true" applyNumberFormat="true" applyProtection="false" borderId="103" fillId="280" fontId="7" numFmtId="188" xfId="0">
      <alignment horizontal="center" vertical="center" wrapText="true"/>
    </xf>
    <xf applyAlignment="true" applyBorder="false" applyFill="true" applyFont="true" applyNumberFormat="false" applyProtection="false" borderId="103" fillId="280" fontId="7" numFmtId="0" xfId="0">
      <alignment horizontal="center" vertical="center"/>
    </xf>
    <xf applyAlignment="true" applyBorder="false" applyFill="true" applyFont="true" applyNumberFormat="false" applyProtection="false" borderId="103" fillId="280" fontId="7" numFmtId="0" xfId="0">
      <alignment horizontal="center" vertical="center" wrapText="true"/>
    </xf>
    <xf applyAlignment="true" applyBorder="false" applyFill="true" applyFont="true" applyNumberFormat="true" applyProtection="false" borderId="103" fillId="289" fontId="3" numFmtId="188" xfId="0">
      <alignment horizontal="center" vertical="center" wrapText="true"/>
    </xf>
    <xf applyAlignment="true" applyBorder="false" applyFill="true" applyFont="true" applyNumberFormat="true" applyProtection="false" borderId="104" fillId="289" fontId="3" numFmtId="188" xfId="0">
      <alignment horizontal="center" vertical="center" wrapText="true"/>
    </xf>
    <xf applyAlignment="true" applyBorder="false" applyFill="true" applyFont="true" applyNumberFormat="true" applyProtection="false" borderId="103" fillId="289" fontId="7" numFmtId="188" xfId="0">
      <alignment horizontal="center" vertical="center" wrapText="true"/>
    </xf>
    <xf applyAlignment="true" applyBorder="false" applyFill="true" applyFont="true" applyNumberFormat="true" applyProtection="false" borderId="103" fillId="289" fontId="7" numFmtId="189" xfId="0">
      <alignment horizontal="center" vertical="center"/>
    </xf>
    <xf applyAlignment="true" applyBorder="false" applyFill="true" applyFont="true" applyNumberFormat="false" applyProtection="false" borderId="103" fillId="289" fontId="7" numFmtId="0" xfId="0">
      <alignment horizontal="center" vertical="center"/>
    </xf>
    <xf applyAlignment="true" applyBorder="false" applyFill="true" applyFont="true" applyNumberFormat="false" applyProtection="false" borderId="103" fillId="289" fontId="7" numFmtId="0" xfId="0">
      <alignment horizontal="center" vertical="center" wrapText="true"/>
    </xf>
    <xf applyAlignment="true" applyBorder="false" applyFill="true" applyFont="true" applyNumberFormat="false" applyProtection="false" borderId="104" fillId="289" fontId="7" numFmtId="0" xfId="0">
      <alignment horizontal="center" vertical="center"/>
    </xf>
    <xf applyAlignment="true" applyBorder="false" applyFill="true" applyFont="true" applyNumberFormat="true" applyProtection="false" borderId="103" fillId="290" fontId="3" numFmtId="188" xfId="0">
      <alignment horizontal="center" vertical="center" wrapText="true"/>
    </xf>
    <xf applyAlignment="true" applyBorder="false" applyFill="true" applyFont="true" applyNumberFormat="false" applyProtection="false" borderId="0" fillId="290" fontId="8" numFmtId="0" xfId="0">
      <alignment vertical="center"/>
    </xf>
    <xf applyAlignment="true" applyBorder="false" applyFill="true" applyFont="true" applyNumberFormat="false" applyProtection="false" borderId="0" fillId="290" fontId="8" numFmtId="0" xfId="0">
      <alignment horizontal="center" vertical="center"/>
    </xf>
    <xf applyAlignment="true" applyBorder="false" applyFill="true" applyFont="true" applyNumberFormat="true" applyProtection="false" borderId="103" fillId="290" fontId="7" numFmtId="188" xfId="0">
      <alignment horizontal="center" vertical="center" wrapText="true"/>
    </xf>
    <xf applyAlignment="true" applyBorder="false" applyFill="true" applyFont="true" applyNumberFormat="true" applyProtection="false" borderId="103" fillId="290" fontId="7" numFmtId="189" xfId="0">
      <alignment horizontal="center" vertical="center"/>
    </xf>
    <xf applyAlignment="true" applyBorder="false" applyFill="true" applyFont="true" applyNumberFormat="false" applyProtection="false" borderId="101" fillId="290" fontId="7" numFmtId="0" xfId="0">
      <alignment horizontal="center" vertical="center"/>
    </xf>
    <xf applyAlignment="true" applyBorder="false" applyFill="true" applyFont="true" applyNumberFormat="false" applyProtection="false" borderId="103" fillId="290" fontId="7" numFmtId="0" xfId="0">
      <alignment horizontal="center" vertical="center"/>
    </xf>
    <xf applyAlignment="true" applyBorder="false" applyFill="true" applyFont="true" applyNumberFormat="false" applyProtection="false" borderId="103" fillId="290" fontId="7" numFmtId="0" xfId="0">
      <alignment horizontal="center" vertical="center" wrapText="true"/>
    </xf>
    <xf applyAlignment="true" applyBorder="false" applyFill="true" applyFont="true" applyNumberFormat="false" applyProtection="false" borderId="104" fillId="290" fontId="7" numFmtId="0" xfId="0">
      <alignment horizontal="center" vertical="center"/>
    </xf>
    <xf applyAlignment="true" applyBorder="false" applyFill="true" applyFont="true" applyNumberFormat="false" applyProtection="false" borderId="103" fillId="268" fontId="4" numFmtId="0" xfId="0">
      <alignment horizontal="center" vertical="center"/>
    </xf>
    <xf applyAlignment="true" applyBorder="false" applyFill="true" applyFont="true" applyNumberFormat="false" applyProtection="false" borderId="104" fillId="265" fontId="4" numFmtId="0" xfId="0">
      <alignment horizontal="center" vertical="center"/>
    </xf>
    <xf applyAlignment="true" applyBorder="false" applyFill="true" applyFont="true" applyNumberFormat="false" applyProtection="false" borderId="103" fillId="269" fontId="4" numFmtId="0" xfId="0">
      <alignment horizontal="center" vertical="center" wrapText="true"/>
    </xf>
    <xf applyAlignment="true" applyBorder="false" applyFill="true" applyFont="true" applyNumberFormat="false" applyProtection="false" borderId="104" fillId="269" fontId="4" numFmtId="0" xfId="0">
      <alignment horizontal="center" vertical="center"/>
    </xf>
    <xf applyAlignment="true" applyBorder="false" applyFill="true" applyFont="true" applyNumberFormat="false" applyProtection="false" borderId="0" fillId="269" fontId="7" numFmtId="0" xfId="0">
      <alignment horizontal="center" vertical="center"/>
    </xf>
    <xf applyAlignment="true" applyBorder="false" applyFill="true" applyFont="true" applyNumberFormat="false" applyProtection="false" borderId="104" fillId="265" fontId="4" numFmtId="0" xfId="0">
      <alignment horizontal="center" vertical="center"/>
    </xf>
    <xf applyAlignment="true" applyBorder="false" applyFill="true" applyFont="true" applyNumberFormat="false" applyProtection="false" borderId="103" fillId="265" fontId="7" numFmtId="0" xfId="0">
      <alignment horizontal="center" vertical="center" wrapText="true"/>
    </xf>
    <xf applyAlignment="true" applyBorder="false" applyFill="true" applyFont="true" applyNumberFormat="false" applyProtection="false" borderId="104" fillId="265" fontId="7" numFmtId="0" xfId="0">
      <alignment horizontal="center" vertical="center"/>
    </xf>
    <xf applyAlignment="true" applyBorder="false" applyFill="true" applyFont="true" applyNumberFormat="false" applyProtection="false" borderId="103" fillId="269" fontId="7" numFmtId="0" xfId="0">
      <alignment horizontal="center" vertical="center" wrapText="true"/>
    </xf>
    <xf applyAlignment="true" applyBorder="false" applyFill="true" applyFont="true" applyNumberFormat="false" applyProtection="false" borderId="104" fillId="265" fontId="7" numFmtId="0" xfId="0">
      <alignment horizontal="center" vertical="center"/>
    </xf>
    <xf applyAlignment="true" applyBorder="false" applyFill="true" applyFont="true" applyNumberFormat="true" applyProtection="false" borderId="103" fillId="279" fontId="3" numFmtId="188" xfId="0">
      <alignment horizontal="center" vertical="center" wrapText="true"/>
    </xf>
    <xf applyAlignment="true" applyBorder="false" applyFill="true" applyFont="true" applyNumberFormat="true" applyProtection="false" borderId="104" fillId="279" fontId="3" numFmtId="188" xfId="0">
      <alignment horizontal="center" vertical="center" wrapText="true"/>
    </xf>
    <xf applyAlignment="true" applyBorder="false" applyFill="true" applyFont="true" applyNumberFormat="true" applyProtection="false" borderId="103" fillId="279" fontId="7" numFmtId="188" xfId="0">
      <alignment horizontal="center" vertical="center" wrapText="true"/>
    </xf>
    <xf applyAlignment="true" applyBorder="false" applyFill="true" applyFont="true" applyNumberFormat="false" applyProtection="false" borderId="103" fillId="279" fontId="7" numFmtId="0" xfId="0">
      <alignment horizontal="center" vertical="center"/>
    </xf>
    <xf applyAlignment="true" applyBorder="false" applyFill="true" applyFont="true" applyNumberFormat="false" applyProtection="false" borderId="103" fillId="279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107" fillId="265" fontId="5" numFmtId="0" xfId="0">
      <alignment horizontal="center" vertical="center"/>
    </xf>
    <xf applyAlignment="true" applyBorder="false" applyFill="true" applyFont="true" applyNumberFormat="false" applyProtection="false" borderId="103" fillId="268" fontId="4" numFmtId="0" xfId="0">
      <alignment horizontal="center" vertical="center"/>
    </xf>
    <xf applyAlignment="true" applyBorder="false" applyFill="true" applyFont="true" applyNumberFormat="false" applyProtection="false" borderId="103" fillId="268" fontId="4" numFmtId="0" xfId="0">
      <alignment horizontal="center" vertical="center" wrapText="true"/>
    </xf>
    <xf applyAlignment="true" applyBorder="false" applyFill="true" applyFont="true" applyNumberFormat="false" applyProtection="false" borderId="104" fillId="268" fontId="4" numFmtId="0" xfId="0">
      <alignment horizontal="center" vertical="center"/>
    </xf>
    <xf applyAlignment="true" applyBorder="false" applyFill="true" applyFont="true" applyNumberFormat="false" applyProtection="false" borderId="0" fillId="265" fontId="4" numFmtId="0" xfId="0">
      <alignment horizontal="center" vertical="center"/>
    </xf>
    <xf applyAlignment="true" applyBorder="false" applyFill="true" applyFont="true" applyNumberFormat="true" applyProtection="false" borderId="103" fillId="279" fontId="4" numFmtId="189" xfId="0">
      <alignment horizontal="center" vertical="center"/>
    </xf>
    <xf applyAlignment="true" applyBorder="false" applyFill="true" applyFont="true" applyNumberFormat="true" applyProtection="false" borderId="103" fillId="279" fontId="4" numFmtId="189" xfId="0">
      <alignment horizontal="center" vertical="center"/>
    </xf>
    <xf applyAlignment="true" applyBorder="false" applyFill="true" applyFont="true" applyNumberFormat="false" applyProtection="false" borderId="103" fillId="291" fontId="5" numFmtId="0" xfId="0">
      <alignment horizontal="center" vertical="center"/>
    </xf>
    <xf applyAlignment="true" applyBorder="false" applyFill="true" applyFont="true" applyNumberFormat="false" applyProtection="false" borderId="103" fillId="279" fontId="5" numFmtId="0" xfId="0">
      <alignment horizontal="center" vertical="center"/>
    </xf>
    <xf applyAlignment="true" applyBorder="false" applyFill="true" applyFont="true" applyNumberFormat="false" applyProtection="false" borderId="103" fillId="279" fontId="5" numFmtId="0" xfId="0">
      <alignment horizontal="center" vertical="center" wrapText="true"/>
    </xf>
    <xf applyAlignment="true" applyBorder="false" applyFill="true" applyFont="true" applyNumberFormat="false" applyProtection="false" borderId="104" fillId="279" fontId="4" numFmtId="0" xfId="0">
      <alignment horizontal="center" vertical="center"/>
    </xf>
    <xf applyAlignment="true" applyBorder="false" applyFill="true" applyFont="true" applyNumberFormat="false" applyProtection="false" borderId="107" fillId="291" fontId="5" numFmtId="0" xfId="0">
      <alignment horizontal="center" vertical="center"/>
    </xf>
    <xf applyAlignment="true" applyBorder="false" applyFill="true" applyFont="true" applyNumberFormat="true" applyProtection="false" borderId="103" fillId="291" fontId="4" numFmtId="189" xfId="0">
      <alignment horizontal="center" vertical="center"/>
    </xf>
    <xf applyAlignment="true" applyBorder="false" applyFill="true" applyFont="true" applyNumberFormat="false" applyProtection="false" borderId="103" fillId="291" fontId="5" numFmtId="0" xfId="0">
      <alignment horizontal="center" vertical="center"/>
    </xf>
    <xf applyAlignment="true" applyBorder="false" applyFill="true" applyFont="true" applyNumberFormat="false" applyProtection="false" borderId="103" fillId="291" fontId="5" numFmtId="0" xfId="0">
      <alignment horizontal="center" vertical="center" wrapText="true"/>
    </xf>
    <xf applyAlignment="true" applyBorder="false" applyFill="true" applyFont="true" applyNumberFormat="false" applyProtection="false" borderId="117" fillId="291" fontId="5" numFmtId="0" xfId="0">
      <alignment horizontal="center" vertical="center"/>
    </xf>
    <xf applyAlignment="true" applyBorder="false" applyFill="true" applyFont="true" applyNumberFormat="false" applyProtection="false" borderId="0" fillId="291" fontId="5" numFmtId="0" xfId="0">
      <alignment horizontal="center" vertical="center"/>
    </xf>
    <xf applyAlignment="true" applyBorder="false" applyFill="true" applyFont="true" applyNumberFormat="false" applyProtection="false" borderId="103" fillId="279" fontId="4" numFmtId="0" xfId="0">
      <alignment horizontal="center" vertical="center"/>
    </xf>
    <xf applyAlignment="true" applyBorder="false" applyFill="true" applyFont="true" applyNumberFormat="false" applyProtection="false" borderId="103" fillId="291" fontId="4" numFmtId="0" xfId="0">
      <alignment horizontal="center" vertical="center"/>
    </xf>
    <xf applyAlignment="true" applyBorder="false" applyFill="true" applyFont="true" applyNumberFormat="false" applyProtection="false" borderId="103" fillId="279" fontId="5" numFmtId="0" xfId="0">
      <alignment horizontal="center" vertical="center" wrapText="true"/>
    </xf>
    <xf applyAlignment="true" applyBorder="false" applyFill="true" applyFont="true" applyNumberFormat="false" applyProtection="false" borderId="117" fillId="279" fontId="5" numFmtId="0" xfId="0">
      <alignment horizontal="center" vertical="center"/>
    </xf>
    <xf applyAlignment="true" applyBorder="false" applyFill="true" applyFont="true" applyNumberFormat="false" applyProtection="false" borderId="104" fillId="279" fontId="5" numFmtId="0" xfId="0">
      <alignment horizontal="center" vertical="center"/>
    </xf>
    <xf applyAlignment="true" applyBorder="false" applyFill="true" applyFont="true" applyNumberFormat="false" applyProtection="false" borderId="103" fillId="279" fontId="5" numFmtId="0" xfId="0">
      <alignment horizontal="center" vertical="center"/>
    </xf>
    <xf applyAlignment="true" applyBorder="false" applyFill="false" applyFont="true" applyNumberFormat="false" applyProtection="false" borderId="102" fillId="0" fontId="5" numFmtId="0" xfId="0">
      <alignment horizontal="center" vertical="center" wrapText="true"/>
    </xf>
    <xf applyAlignment="true" applyBorder="false" applyFill="false" applyFont="true" applyNumberFormat="false" applyProtection="false" borderId="118" fillId="0" fontId="5" numFmtId="0" xfId="0">
      <alignment horizontal="center" vertical="center"/>
    </xf>
    <xf applyAlignment="true" applyBorder="false" applyFill="true" applyFont="true" applyNumberFormat="false" applyProtection="false" borderId="102" fillId="265" fontId="5" numFmtId="0" xfId="0">
      <alignment horizontal="center" vertical="center" wrapText="true"/>
    </xf>
    <xf applyAlignment="true" applyBorder="false" applyFill="true" applyFont="true" applyNumberFormat="false" applyProtection="false" borderId="107" fillId="269" fontId="5" numFmtId="0" xfId="0">
      <alignment horizontal="center" vertical="center"/>
    </xf>
    <xf applyAlignment="true" applyBorder="false" applyFill="true" applyFont="true" applyNumberFormat="false" applyProtection="false" borderId="102" fillId="269" fontId="5" numFmtId="0" xfId="0">
      <alignment horizontal="center" vertical="center" wrapText="true"/>
    </xf>
    <xf applyAlignment="true" applyBorder="false" applyFill="true" applyFont="true" applyNumberFormat="false" applyProtection="false" borderId="118" fillId="269" fontId="5" numFmtId="0" xfId="0">
      <alignment horizontal="center" vertical="center"/>
    </xf>
    <xf applyAlignment="true" applyBorder="false" applyFill="false" applyFont="true" applyNumberFormat="false" applyProtection="false" borderId="102" fillId="0" fontId="5" numFmtId="0" xfId="0">
      <alignment horizontal="center" vertical="center" wrapText="true"/>
    </xf>
    <xf applyAlignment="true" applyBorder="false" applyFill="true" applyFont="true" applyNumberFormat="false" applyProtection="false" borderId="102" fillId="279" fontId="5" numFmtId="0" xfId="0">
      <alignment horizontal="center" vertical="center" wrapText="true"/>
    </xf>
    <xf applyAlignment="true" applyBorder="false" applyFill="true" applyFont="true" applyNumberFormat="false" applyProtection="false" borderId="102" fillId="279" fontId="5" numFmtId="0" xfId="0">
      <alignment horizontal="center" vertical="center" wrapText="true"/>
    </xf>
    <xf applyAlignment="true" applyBorder="false" applyFill="true" applyFont="true" applyNumberFormat="false" applyProtection="false" borderId="105" fillId="279" fontId="5" numFmtId="0" xfId="0">
      <alignment horizontal="center" vertical="center" wrapText="true"/>
    </xf>
    <xf applyAlignment="true" applyBorder="false" applyFill="false" applyFont="true" applyNumberFormat="false" applyProtection="false" borderId="106" fillId="0" fontId="5" numFmtId="0" xfId="0">
      <alignment horizontal="center" vertical="center"/>
    </xf>
    <xf applyAlignment="true" applyBorder="false" applyFill="true" applyFont="true" applyNumberFormat="true" applyProtection="false" borderId="0" fillId="268" fontId="4" numFmtId="189" xfId="0">
      <alignment horizontal="center" vertical="center"/>
    </xf>
    <xf applyAlignment="true" applyBorder="false" applyFill="true" applyFont="true" applyNumberFormat="true" applyProtection="false" borderId="107" fillId="268" fontId="4" numFmtId="189" xfId="0">
      <alignment horizontal="center" vertical="center"/>
    </xf>
    <xf applyAlignment="true" applyBorder="false" applyFill="false" applyFont="true" applyNumberFormat="false" applyProtection="false" borderId="104" fillId="0" fontId="5" numFmtId="0" xfId="0">
      <alignment horizontal="center" vertical="center" wrapText="true"/>
    </xf>
    <xf applyAlignment="true" applyBorder="false" applyFill="false" applyFont="true" applyNumberFormat="false" applyProtection="false" borderId="117" fillId="0" fontId="5" numFmtId="0" xfId="0">
      <alignment horizontal="center" vertical="center"/>
    </xf>
    <xf applyAlignment="true" applyBorder="false" applyFill="true" applyFont="true" applyNumberFormat="true" applyProtection="false" borderId="107" fillId="269" fontId="4" numFmtId="189" xfId="0">
      <alignment horizontal="center" vertical="center"/>
    </xf>
    <xf applyAlignment="true" applyBorder="false" applyFill="true" applyFont="true" applyNumberFormat="false" applyProtection="false" borderId="104" fillId="269" fontId="5" numFmtId="0" xfId="0">
      <alignment horizontal="center" vertical="center" wrapText="true"/>
    </xf>
    <xf applyAlignment="true" applyBorder="false" applyFill="true" applyFont="true" applyNumberFormat="false" applyProtection="false" borderId="117" fillId="269" fontId="5" numFmtId="0" xfId="0">
      <alignment horizontal="center" vertical="center"/>
    </xf>
    <xf applyAlignment="true" applyBorder="false" applyFill="false" applyFont="true" applyNumberFormat="false" applyProtection="false" borderId="104" fillId="0" fontId="5" numFmtId="0" xfId="0">
      <alignment horizontal="center" vertical="center" wrapText="true"/>
    </xf>
    <xf applyAlignment="true" applyBorder="false" applyFill="true" applyFont="true" applyNumberFormat="true" applyProtection="false" borderId="103" fillId="292" fontId="3" numFmtId="188" xfId="0">
      <alignment horizontal="center" vertical="center" wrapText="true"/>
    </xf>
    <xf applyAlignment="true" applyBorder="false" applyFill="true" applyFont="true" applyNumberFormat="true" applyProtection="false" borderId="104" fillId="292" fontId="3" numFmtId="188" xfId="0">
      <alignment horizontal="center" vertical="center" wrapText="true"/>
    </xf>
    <xf applyAlignment="true" applyBorder="false" applyFill="true" applyFont="true" applyNumberFormat="true" applyProtection="false" borderId="103" fillId="292" fontId="7" numFmtId="188" xfId="0">
      <alignment horizontal="center" vertical="center" wrapText="true"/>
    </xf>
    <xf applyAlignment="true" applyBorder="false" applyFill="true" applyFont="true" applyNumberFormat="true" applyProtection="false" borderId="103" fillId="292" fontId="7" numFmtId="189" xfId="0">
      <alignment horizontal="center" vertical="center"/>
    </xf>
    <xf applyAlignment="true" applyBorder="false" applyFill="true" applyFont="true" applyNumberFormat="false" applyProtection="false" borderId="103" fillId="292" fontId="7" numFmtId="0" xfId="0">
      <alignment horizontal="center" vertical="center"/>
    </xf>
    <xf applyAlignment="true" applyBorder="false" applyFill="true" applyFont="true" applyNumberFormat="false" applyProtection="false" borderId="103" fillId="292" fontId="7" numFmtId="0" xfId="0">
      <alignment horizontal="center" vertical="center" wrapText="true"/>
    </xf>
    <xf applyAlignment="true" applyBorder="false" applyFill="true" applyFont="true" applyNumberFormat="false" applyProtection="false" borderId="104" fillId="292" fontId="7" numFmtId="0" xfId="0">
      <alignment horizontal="center" vertical="center"/>
    </xf>
    <xf applyAlignment="true" applyBorder="false" applyFill="true" applyFont="true" applyNumberFormat="false" applyProtection="false" borderId="103" fillId="269" fontId="4" numFmtId="0" xfId="0">
      <alignment horizontal="center" vertical="center" wrapText="true"/>
    </xf>
    <xf applyAlignment="true" applyBorder="false" applyFill="true" applyFont="true" applyNumberFormat="false" applyProtection="false" borderId="0" fillId="269" fontId="4" numFmtId="0" xfId="0">
      <alignment horizontal="center" vertical="center"/>
    </xf>
    <xf applyAlignment="true" applyBorder="false" applyFill="true" applyFont="true" applyNumberFormat="true" applyProtection="false" borderId="103" fillId="293" fontId="4" numFmtId="189" xfId="0">
      <alignment horizontal="center" vertical="center"/>
    </xf>
    <xf applyAlignment="true" applyBorder="false" applyFill="true" applyFont="true" applyNumberFormat="true" applyProtection="false" borderId="103" fillId="293" fontId="4" numFmtId="189" xfId="0">
      <alignment horizontal="center" vertical="center"/>
    </xf>
    <xf applyAlignment="true" applyBorder="false" applyFill="true" applyFont="true" applyNumberFormat="false" applyProtection="false" borderId="103" fillId="293" fontId="5" numFmtId="0" xfId="0">
      <alignment horizontal="center" vertical="center"/>
    </xf>
    <xf applyAlignment="true" applyBorder="false" applyFill="true" applyFont="true" applyNumberFormat="false" applyProtection="false" borderId="103" fillId="293" fontId="4" numFmtId="0" xfId="0">
      <alignment horizontal="center" vertical="center"/>
    </xf>
    <xf applyAlignment="true" applyBorder="false" applyFill="true" applyFont="true" applyNumberFormat="false" applyProtection="false" borderId="103" fillId="293" fontId="5" numFmtId="0" xfId="0">
      <alignment horizontal="center" vertical="center"/>
    </xf>
    <xf applyAlignment="true" applyBorder="false" applyFill="true" applyFont="true" applyNumberFormat="false" applyProtection="false" borderId="103" fillId="293" fontId="4" numFmtId="0" xfId="0">
      <alignment horizontal="center" vertical="center" wrapText="true"/>
    </xf>
    <xf applyAlignment="true" applyBorder="false" applyFill="true" applyFont="true" applyNumberFormat="false" applyProtection="false" borderId="104" fillId="293" fontId="4" numFmtId="0" xfId="0">
      <alignment horizontal="center" vertical="center"/>
    </xf>
    <xf applyAlignment="true" applyBorder="false" applyFill="true" applyFont="true" applyNumberFormat="true" applyProtection="false" borderId="107" fillId="265" fontId="4" numFmtId="189" xfId="0">
      <alignment horizontal="center" vertical="center"/>
    </xf>
    <xf applyAlignment="true" applyBorder="false" applyFill="true" applyFont="true" applyNumberFormat="false" applyProtection="false" borderId="104" fillId="265" fontId="5" numFmtId="0" xfId="0">
      <alignment horizontal="center" vertical="center" wrapText="true"/>
    </xf>
    <xf applyAlignment="true" applyBorder="false" applyFill="true" applyFont="true" applyNumberFormat="false" applyProtection="false" borderId="117" fillId="265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103" fillId="294" fontId="3" numFmtId="188" xfId="0">
      <alignment horizontal="center" vertical="center" wrapText="true"/>
    </xf>
    <xf applyAlignment="true" applyBorder="false" applyFill="true" applyFont="true" applyNumberFormat="true" applyProtection="false" borderId="103" fillId="294" fontId="3" numFmtId="188" xfId="0">
      <alignment horizontal="center" vertical="center" wrapText="true"/>
    </xf>
    <xf applyAlignment="true" applyBorder="false" applyFill="true" applyFont="true" applyNumberFormat="true" applyProtection="false" borderId="104" fillId="294" fontId="3" numFmtId="188" xfId="0">
      <alignment horizontal="center" vertical="center" wrapText="true"/>
    </xf>
    <xf applyAlignment="true" applyBorder="false" applyFill="true" applyFont="true" applyNumberFormat="true" applyProtection="false" borderId="103" fillId="294" fontId="7" numFmtId="188" xfId="0">
      <alignment horizontal="center" vertical="center" wrapText="true"/>
    </xf>
    <xf applyAlignment="true" applyBorder="false" applyFill="true" applyFont="true" applyNumberFormat="true" applyProtection="false" borderId="103" fillId="294" fontId="7" numFmtId="189" xfId="0">
      <alignment horizontal="center" vertical="center"/>
    </xf>
    <xf applyAlignment="true" applyBorder="false" applyFill="true" applyFont="true" applyNumberFormat="false" applyProtection="false" borderId="103" fillId="294" fontId="7" numFmtId="0" xfId="0">
      <alignment horizontal="center" vertical="center"/>
    </xf>
    <xf applyAlignment="true" applyBorder="false" applyFill="true" applyFont="true" applyNumberFormat="false" applyProtection="false" borderId="103" fillId="294" fontId="7" numFmtId="0" xfId="0">
      <alignment horizontal="center" vertical="center" wrapText="true"/>
    </xf>
    <xf applyAlignment="true" applyBorder="false" applyFill="true" applyFont="true" applyNumberFormat="false" applyProtection="false" borderId="104" fillId="294" fontId="7" numFmtId="0" xfId="0">
      <alignment horizontal="center" vertical="center"/>
    </xf>
    <xf applyAlignment="true" applyBorder="false" applyFill="true" applyFont="true" applyNumberFormat="false" applyProtection="false" borderId="106" fillId="268" fontId="5" numFmtId="0" xfId="0">
      <alignment horizontal="center" vertical="center"/>
    </xf>
    <xf applyAlignment="true" applyBorder="false" applyFill="true" applyFont="true" applyNumberFormat="true" applyProtection="false" borderId="105" fillId="291" fontId="5" numFmtId="190" xfId="0">
      <alignment horizontal="center" vertical="center"/>
    </xf>
    <xf applyAlignment="true" applyBorder="false" applyFill="true" applyFont="true" applyNumberFormat="false" applyProtection="false" borderId="106" fillId="269" fontId="5" numFmtId="0" xfId="0">
      <alignment horizontal="center" vertical="center"/>
    </xf>
    <xf applyAlignment="true" applyBorder="false" applyFill="true" applyFont="true" applyNumberFormat="false" applyProtection="false" borderId="104" fillId="269" fontId="5" numFmtId="0" xfId="0">
      <alignment horizontal="center" vertical="center" wrapText="true"/>
    </xf>
    <xf applyAlignment="true" applyBorder="false" applyFill="true" applyFont="true" applyNumberFormat="true" applyProtection="false" borderId="103" fillId="291" fontId="4" numFmtId="189" xfId="0">
      <alignment horizontal="center" vertical="center"/>
    </xf>
    <xf applyAlignment="true" applyBorder="false" applyFill="true" applyFont="true" applyNumberFormat="false" applyProtection="false" borderId="106" fillId="291" fontId="5" numFmtId="0" xfId="0">
      <alignment horizontal="center" vertical="center"/>
    </xf>
    <xf applyAlignment="true" applyBorder="false" applyFill="true" applyFont="true" applyNumberFormat="false" applyProtection="false" borderId="104" fillId="291" fontId="5" numFmtId="0" xfId="0">
      <alignment horizontal="center" vertical="center"/>
    </xf>
    <xf applyAlignment="true" applyBorder="false" applyFill="true" applyFont="true" applyNumberFormat="false" applyProtection="false" borderId="0" fillId="291" fontId="5" numFmtId="0" xfId="0">
      <alignment horizontal="center" vertical="center" wrapText="true"/>
    </xf>
    <xf applyAlignment="true" applyBorder="false" applyFill="true" applyFont="true" applyNumberFormat="false" applyProtection="false" borderId="106" fillId="265" fontId="5" numFmtId="0" xfId="0">
      <alignment horizontal="center" vertical="center"/>
    </xf>
    <xf applyAlignment="true" applyBorder="false" applyFill="true" applyFont="true" applyNumberFormat="false" applyProtection="false" borderId="0" fillId="265" fontId="5" numFmtId="0" xfId="0">
      <alignment horizontal="center" vertical="center" wrapText="true"/>
    </xf>
    <xf applyAlignment="true" applyBorder="false" applyFill="true" applyFont="true" applyNumberFormat="false" applyProtection="false" borderId="104" fillId="291" fontId="5" numFmtId="0" xfId="0">
      <alignment horizontal="left" vertical="center" wrapText="true"/>
    </xf>
    <xf applyAlignment="true" applyBorder="false" applyFill="true" applyFont="true" applyNumberFormat="false" applyProtection="false" borderId="0" fillId="291" fontId="5" numFmtId="0" xfId="0">
      <alignment horizontal="left" vertical="center" wrapText="true"/>
    </xf>
    <xf applyAlignment="true" applyBorder="false" applyFill="true" applyFont="true" applyNumberFormat="false" applyProtection="false" borderId="104" fillId="269" fontId="5" numFmtId="0" xfId="0">
      <alignment horizontal="left" vertical="center" wrapText="true"/>
    </xf>
    <xf applyAlignment="true" applyBorder="false" applyFill="true" applyFont="true" applyNumberFormat="false" applyProtection="false" borderId="0" fillId="269" fontId="5" numFmtId="0" xfId="0">
      <alignment horizontal="left" vertical="center" wrapText="true"/>
    </xf>
    <xf applyAlignment="true" applyBorder="false" applyFill="true" applyFont="true" applyNumberFormat="false" applyProtection="false" borderId="104" fillId="265" fontId="5" numFmtId="0" xfId="0">
      <alignment horizontal="left" vertical="center" wrapText="true"/>
    </xf>
    <xf applyAlignment="true" applyBorder="false" applyFill="true" applyFont="true" applyNumberFormat="false" applyProtection="false" borderId="0" fillId="265" fontId="5" numFmtId="0" xfId="0">
      <alignment horizontal="left" vertical="center" wrapText="true"/>
    </xf>
    <xf applyAlignment="true" applyBorder="false" applyFill="true" applyFont="true" applyNumberFormat="false" applyProtection="false" borderId="104" fillId="265" fontId="5" numFmtId="0" xfId="0">
      <alignment horizontal="left" vertical="center" wrapText="true"/>
    </xf>
    <xf applyAlignment="true" applyBorder="false" applyFill="true" applyFont="true" applyNumberFormat="false" applyProtection="false" borderId="106" fillId="268" fontId="5" numFmtId="0" xfId="0">
      <alignment horizontal="center" vertical="center"/>
    </xf>
    <xf applyAlignment="true" applyBorder="false" applyFill="true" applyFont="true" applyNumberFormat="true" applyProtection="false" borderId="101" fillId="265" fontId="4" numFmtId="189" xfId="0">
      <alignment horizontal="center" vertical="center"/>
    </xf>
    <xf applyAlignment="true" applyBorder="false" applyFill="true" applyFont="true" applyNumberFormat="true" applyProtection="false" borderId="103" fillId="295" fontId="3" numFmtId="188" xfId="0">
      <alignment horizontal="center" vertical="center" wrapText="true"/>
    </xf>
    <xf applyAlignment="true" applyBorder="false" applyFill="true" applyFont="true" applyNumberFormat="true" applyProtection="false" borderId="104" fillId="295" fontId="3" numFmtId="188" xfId="0">
      <alignment horizontal="center" vertical="center" wrapText="true"/>
    </xf>
    <xf applyAlignment="true" applyBorder="false" applyFill="true" applyFont="true" applyNumberFormat="true" applyProtection="false" borderId="0" fillId="295" fontId="3" numFmtId="188" xfId="0">
      <alignment horizontal="center" vertical="center" wrapText="true"/>
    </xf>
    <xf applyAlignment="true" applyBorder="false" applyFill="true" applyFont="true" applyNumberFormat="true" applyProtection="false" borderId="103" fillId="295" fontId="7" numFmtId="188" xfId="0">
      <alignment horizontal="center" vertical="center" wrapText="true"/>
    </xf>
    <xf applyAlignment="true" applyBorder="false" applyFill="true" applyFont="true" applyNumberFormat="true" applyProtection="false" borderId="103" fillId="295" fontId="7" numFmtId="189" xfId="0">
      <alignment horizontal="center" vertical="center"/>
    </xf>
    <xf applyAlignment="true" applyBorder="false" applyFill="true" applyFont="true" applyNumberFormat="false" applyProtection="false" borderId="103" fillId="295" fontId="7" numFmtId="0" xfId="0">
      <alignment horizontal="center" vertical="center"/>
    </xf>
    <xf applyAlignment="true" applyBorder="false" applyFill="true" applyFont="true" applyNumberFormat="false" applyProtection="false" borderId="101" fillId="295" fontId="7" numFmtId="0" xfId="0">
      <alignment horizontal="center" vertical="center" wrapText="true"/>
    </xf>
    <xf applyAlignment="true" applyBorder="false" applyFill="true" applyFont="true" applyNumberFormat="false" applyProtection="false" borderId="104" fillId="295" fontId="7" numFmtId="0" xfId="0">
      <alignment horizontal="center" vertical="center"/>
    </xf>
    <xf applyAlignment="true" applyBorder="false" applyFill="true" applyFont="true" applyNumberFormat="false" applyProtection="false" borderId="0" fillId="295" fontId="7" numFmtId="0" xfId="0">
      <alignment horizontal="center" vertical="center"/>
    </xf>
    <xf applyAlignment="true" applyBorder="false" applyFill="false" applyFont="true" applyNumberFormat="false" applyProtection="false" borderId="105" fillId="0" fontId="5" numFmtId="0" xfId="0">
      <alignment horizontal="center" vertical="center" wrapText="true"/>
    </xf>
    <xf applyAlignment="true" applyBorder="false" applyFill="true" applyFont="true" applyNumberFormat="true" applyProtection="false" borderId="107" fillId="271" fontId="4" numFmtId="189" xfId="0">
      <alignment horizontal="center" vertical="center"/>
    </xf>
    <xf applyAlignment="true" applyBorder="false" applyFill="true" applyFont="true" applyNumberFormat="false" applyProtection="false" borderId="0" fillId="271" fontId="5" numFmtId="0" xfId="0">
      <alignment horizontal="center" vertical="center" wrapText="true"/>
    </xf>
    <xf applyAlignment="true" applyBorder="false" applyFill="true" applyFont="true" applyNumberFormat="false" applyProtection="false" borderId="106" fillId="271" fontId="5" numFmtId="0" xfId="0">
      <alignment horizontal="center" vertical="center"/>
    </xf>
    <xf applyAlignment="true" applyBorder="false" applyFill="true" applyFont="true" applyNumberFormat="true" applyProtection="false" borderId="103" fillId="296" fontId="3" numFmtId="188" xfId="0">
      <alignment horizontal="center" vertical="center" wrapText="true"/>
    </xf>
    <xf applyAlignment="true" applyBorder="false" applyFill="true" applyFont="true" applyNumberFormat="true" applyProtection="false" borderId="104" fillId="296" fontId="3" numFmtId="188" xfId="0">
      <alignment horizontal="center" vertical="center" wrapText="true"/>
    </xf>
    <xf applyAlignment="true" applyBorder="false" applyFill="true" applyFont="true" applyNumberFormat="true" applyProtection="false" borderId="103" fillId="296" fontId="7" numFmtId="188" xfId="0">
      <alignment horizontal="center" vertical="center" wrapText="true"/>
    </xf>
    <xf applyAlignment="true" applyBorder="false" applyFill="true" applyFont="true" applyNumberFormat="true" applyProtection="false" borderId="103" fillId="296" fontId="7" numFmtId="189" xfId="0">
      <alignment horizontal="center" vertical="center"/>
    </xf>
    <xf applyAlignment="true" applyBorder="false" applyFill="true" applyFont="true" applyNumberFormat="false" applyProtection="false" borderId="103" fillId="296" fontId="7" numFmtId="0" xfId="0">
      <alignment horizontal="center" vertical="center"/>
    </xf>
    <xf applyAlignment="true" applyBorder="false" applyFill="true" applyFont="true" applyNumberFormat="false" applyProtection="false" borderId="103" fillId="296" fontId="7" numFmtId="0" xfId="0">
      <alignment horizontal="center" vertical="center" wrapText="true"/>
    </xf>
    <xf applyAlignment="true" applyBorder="false" applyFill="true" applyFont="true" applyNumberFormat="false" applyProtection="false" borderId="104" fillId="296" fontId="7" numFmtId="0" xfId="0">
      <alignment horizontal="center" vertical="center"/>
    </xf>
    <xf applyAlignment="true" applyBorder="false" applyFill="true" applyFont="true" applyNumberFormat="false" applyProtection="false" borderId="104" fillId="291" fontId="5" numFmtId="0" xfId="0">
      <alignment horizontal="center" vertical="center"/>
    </xf>
    <xf applyAlignment="true" applyBorder="false" applyFill="true" applyFont="true" applyNumberFormat="false" applyProtection="false" borderId="103" fillId="291" fontId="5" numFmtId="0" xfId="0">
      <alignment horizontal="center" vertical="center" wrapText="true"/>
    </xf>
    <xf applyAlignment="true" applyBorder="false" applyFill="true" applyFont="true" applyNumberFormat="false" applyProtection="false" borderId="103" fillId="265" fontId="5" numFmtId="0" xfId="0">
      <alignment horizontal="center" vertical="center" wrapText="true"/>
    </xf>
    <xf applyAlignment="true" applyBorder="false" applyFill="true" applyFont="true" applyNumberFormat="false" applyProtection="false" borderId="104" fillId="279" fontId="5" numFmtId="0" xfId="0">
      <alignment horizontal="center" vertical="center"/>
    </xf>
    <xf applyAlignment="true" applyBorder="false" applyFill="true" applyFont="true" applyNumberFormat="false" applyProtection="false" borderId="103" fillId="291" fontId="5" numFmtId="0" xfId="0">
      <alignment horizontal="center" vertical="center" wrapText="true"/>
    </xf>
    <xf applyAlignment="true" applyBorder="false" applyFill="true" applyFont="true" applyNumberFormat="true" applyProtection="false" borderId="103" fillId="297" fontId="9" numFmtId="188" xfId="0">
      <alignment horizontal="center" vertical="center" wrapText="true"/>
    </xf>
    <xf applyAlignment="true" applyBorder="false" applyFill="true" applyFont="true" applyNumberFormat="true" applyProtection="false" borderId="103" fillId="297" fontId="16" numFmtId="188" xfId="0">
      <alignment horizontal="center" vertical="center" wrapText="true"/>
    </xf>
    <xf applyAlignment="true" applyBorder="false" applyFill="true" applyFont="true" applyNumberFormat="true" applyProtection="false" borderId="104" fillId="297" fontId="16" numFmtId="188" xfId="0">
      <alignment horizontal="center" vertical="center" wrapText="true"/>
    </xf>
    <xf applyAlignment="true" applyBorder="false" applyFill="true" applyFont="true" applyNumberFormat="true" applyProtection="false" borderId="0" fillId="265" fontId="16" numFmtId="188" xfId="0">
      <alignment horizontal="center" vertical="center" wrapText="true"/>
    </xf>
    <xf applyAlignment="true" applyBorder="false" applyFill="true" applyFont="true" applyNumberFormat="true" applyProtection="false" borderId="103" fillId="297" fontId="7" numFmtId="188" xfId="0">
      <alignment horizontal="center" vertical="center" wrapText="true"/>
    </xf>
    <xf applyAlignment="true" applyBorder="false" applyFill="true" applyFont="true" applyNumberFormat="true" applyProtection="false" borderId="103" fillId="297" fontId="7" numFmtId="189" xfId="0">
      <alignment horizontal="center" vertical="center"/>
    </xf>
    <xf applyAlignment="true" applyBorder="false" applyFill="true" applyFont="true" applyNumberFormat="false" applyProtection="false" borderId="103" fillId="297" fontId="7" numFmtId="0" xfId="0">
      <alignment horizontal="center" vertical="center"/>
    </xf>
    <xf applyAlignment="true" applyBorder="false" applyFill="true" applyFont="true" applyNumberFormat="false" applyProtection="false" borderId="103" fillId="297" fontId="7" numFmtId="0" xfId="0">
      <alignment horizontal="center" vertical="center" wrapText="true"/>
    </xf>
    <xf applyAlignment="true" applyBorder="false" applyFill="true" applyFont="true" applyNumberFormat="false" applyProtection="false" borderId="103" fillId="297" fontId="7" numFmtId="0" xfId="0">
      <alignment horizontal="center" vertical="center"/>
    </xf>
    <xf applyAlignment="true" applyBorder="false" applyFill="true" applyFont="true" applyNumberFormat="false" applyProtection="false" borderId="104" fillId="297" fontId="7" numFmtId="0" xfId="0">
      <alignment horizontal="center" vertical="center"/>
    </xf>
    <xf applyAlignment="true" applyBorder="false" applyFill="true" applyFont="true" applyNumberFormat="true" applyProtection="false" borderId="103" fillId="265" fontId="4" numFmtId="188" xfId="0">
      <alignment horizontal="center" vertical="center" wrapText="true"/>
    </xf>
    <xf applyAlignment="true" applyBorder="false" applyFill="true" applyFont="true" applyNumberFormat="true" applyProtection="false" borderId="103" fillId="298" fontId="4" numFmtId="188" xfId="0">
      <alignment horizontal="center" vertical="center" wrapText="true"/>
    </xf>
    <xf applyAlignment="true" applyBorder="false" applyFill="true" applyFont="true" applyNumberFormat="true" applyProtection="false" borderId="103" fillId="298" fontId="4" numFmtId="189" xfId="0">
      <alignment horizontal="center" vertical="center"/>
    </xf>
    <xf applyAlignment="true" applyBorder="false" applyFill="true" applyFont="true" applyNumberFormat="true" applyProtection="false" borderId="103" fillId="298" fontId="4" numFmtId="189" xfId="0">
      <alignment horizontal="center" vertical="center"/>
    </xf>
    <xf applyAlignment="true" applyBorder="false" applyFill="true" applyFont="true" applyNumberFormat="false" applyProtection="false" borderId="103" fillId="298" fontId="5" numFmtId="0" xfId="0">
      <alignment horizontal="center" vertical="center"/>
    </xf>
    <xf applyAlignment="true" applyBorder="false" applyFill="true" applyFont="true" applyNumberFormat="false" applyProtection="false" borderId="103" fillId="298" fontId="5" numFmtId="0" xfId="0">
      <alignment horizontal="center" vertical="center"/>
    </xf>
    <xf applyAlignment="true" applyBorder="false" applyFill="true" applyFont="true" applyNumberFormat="false" applyProtection="false" borderId="103" fillId="298" fontId="4" numFmtId="0" xfId="0">
      <alignment horizontal="center" vertical="center" wrapText="true"/>
    </xf>
    <xf applyAlignment="true" applyBorder="false" applyFill="true" applyFont="true" applyNumberFormat="false" applyProtection="false" borderId="103" fillId="299" fontId="5" numFmtId="0" xfId="0">
      <alignment horizontal="center" vertical="center"/>
    </xf>
    <xf applyAlignment="true" applyBorder="false" applyFill="true" applyFont="true" applyNumberFormat="false" applyProtection="false" borderId="103" fillId="298" fontId="4" numFmtId="0" xfId="0">
      <alignment horizontal="center" vertical="center"/>
    </xf>
    <xf applyAlignment="true" applyBorder="false" applyFill="true" applyFont="true" applyNumberFormat="false" applyProtection="false" borderId="104" fillId="298" fontId="4" numFmtId="0" xfId="0">
      <alignment horizontal="center" vertical="center"/>
    </xf>
    <xf applyAlignment="true" applyBorder="false" applyFill="true" applyFont="true" applyNumberFormat="false" applyProtection="false" borderId="0" fillId="298" fontId="4" numFmtId="0" xfId="0">
      <alignment horizontal="center" vertical="center"/>
    </xf>
    <xf applyAlignment="true" applyBorder="false" applyFill="true" applyFont="true" applyNumberFormat="false" applyProtection="false" borderId="103" fillId="298" fontId="4" numFmtId="0" xfId="0">
      <alignment horizontal="center" vertical="center" wrapText="true"/>
    </xf>
    <xf applyAlignment="true" applyBorder="false" applyFill="true" applyFont="true" applyNumberFormat="false" applyProtection="false" borderId="103" fillId="265" fontId="4" numFmtId="0" xfId="0">
      <alignment horizontal="center" vertical="center" wrapText="true"/>
    </xf>
    <xf applyAlignment="true" applyBorder="false" applyFill="true" applyFont="true" applyNumberFormat="true" applyProtection="false" borderId="105" fillId="265" fontId="5" numFmtId="190" xfId="0">
      <alignment horizontal="center" vertical="center"/>
    </xf>
    <xf applyAlignment="true" applyBorder="false" applyFill="true" applyFont="true" applyNumberFormat="true" applyProtection="false" borderId="103" fillId="299" fontId="4" numFmtId="188" xfId="0">
      <alignment horizontal="center" vertical="center" wrapText="true"/>
    </xf>
    <xf applyAlignment="true" applyBorder="false" applyFill="true" applyFont="true" applyNumberFormat="true" applyProtection="false" borderId="103" fillId="299" fontId="4" numFmtId="189" xfId="0">
      <alignment horizontal="center" vertical="center"/>
    </xf>
    <xf applyAlignment="true" applyBorder="false" applyFill="true" applyFont="true" applyNumberFormat="true" applyProtection="false" borderId="103" fillId="299" fontId="4" numFmtId="189" xfId="0">
      <alignment horizontal="center" vertical="center"/>
    </xf>
    <xf applyAlignment="true" applyBorder="false" applyFill="true" applyFont="true" applyNumberFormat="false" applyProtection="false" borderId="103" fillId="299" fontId="5" numFmtId="0" xfId="0">
      <alignment horizontal="center" vertical="center"/>
    </xf>
    <xf applyAlignment="true" applyBorder="false" applyFill="true" applyFont="true" applyNumberFormat="false" applyProtection="false" borderId="103" fillId="299" fontId="4" numFmtId="0" xfId="0">
      <alignment horizontal="center" vertical="center" wrapText="true"/>
    </xf>
    <xf applyAlignment="true" applyBorder="false" applyFill="true" applyFont="true" applyNumberFormat="false" applyProtection="false" borderId="104" fillId="299" fontId="4" numFmtId="0" xfId="0">
      <alignment horizontal="center" vertical="center"/>
    </xf>
    <xf applyAlignment="true" applyBorder="false" applyFill="true" applyFont="true" applyNumberFormat="false" applyProtection="false" borderId="0" fillId="299" fontId="4" numFmtId="0" xfId="0">
      <alignment horizontal="center" vertical="center"/>
    </xf>
    <xf applyAlignment="true" applyBorder="false" applyFill="true" applyFont="true" applyNumberFormat="true" applyProtection="false" borderId="103" fillId="300" fontId="10" numFmtId="188" xfId="0">
      <alignment horizontal="center" vertical="center" wrapText="true"/>
    </xf>
    <xf applyAlignment="true" applyBorder="false" applyFill="true" applyFont="true" applyNumberFormat="true" applyProtection="false" borderId="104" fillId="300" fontId="10" numFmtId="188" xfId="0">
      <alignment horizontal="center" vertical="center" wrapText="true"/>
    </xf>
    <xf applyAlignment="true" applyBorder="false" applyFill="true" applyFont="true" applyNumberFormat="true" applyProtection="false" borderId="103" fillId="300" fontId="7" numFmtId="188" xfId="0">
      <alignment horizontal="center" vertical="center" wrapText="true"/>
    </xf>
    <xf applyAlignment="true" applyBorder="false" applyFill="true" applyFont="true" applyNumberFormat="true" applyProtection="false" borderId="103" fillId="300" fontId="7" numFmtId="189" xfId="0">
      <alignment horizontal="center" vertical="center"/>
    </xf>
    <xf applyAlignment="true" applyBorder="false" applyFill="true" applyFont="true" applyNumberFormat="false" applyProtection="false" borderId="103" fillId="300" fontId="7" numFmtId="0" xfId="0">
      <alignment horizontal="center" vertical="center"/>
    </xf>
    <xf applyAlignment="true" applyBorder="false" applyFill="true" applyFont="true" applyNumberFormat="false" applyProtection="false" borderId="103" fillId="300" fontId="7" numFmtId="0" xfId="0">
      <alignment horizontal="center" vertical="center" wrapText="true"/>
    </xf>
    <xf applyAlignment="true" applyBorder="false" applyFill="true" applyFont="true" applyNumberFormat="false" applyProtection="false" borderId="104" fillId="300" fontId="7" numFmtId="0" xfId="0">
      <alignment horizontal="center" vertical="center"/>
    </xf>
    <xf applyAlignment="true" applyBorder="false" applyFill="true" applyFont="true" applyNumberFormat="true" applyProtection="false" borderId="103" fillId="301" fontId="3" numFmtId="188" xfId="0">
      <alignment horizontal="center" vertical="center" wrapText="true"/>
    </xf>
    <xf applyAlignment="true" applyBorder="false" applyFill="true" applyFont="true" applyNumberFormat="true" applyProtection="false" borderId="101" fillId="301" fontId="3" numFmtId="188" xfId="0">
      <alignment horizontal="center" vertical="center" wrapText="true"/>
    </xf>
    <xf applyAlignment="true" applyBorder="false" applyFill="true" applyFont="true" applyNumberFormat="true" applyProtection="false" borderId="103" fillId="301" fontId="7" numFmtId="188" xfId="0">
      <alignment horizontal="center" vertical="center" wrapText="true"/>
    </xf>
    <xf applyAlignment="true" applyBorder="false" applyFill="true" applyFont="true" applyNumberFormat="true" applyProtection="false" borderId="103" fillId="301" fontId="7" numFmtId="189" xfId="0">
      <alignment horizontal="center" vertical="center"/>
    </xf>
    <xf applyAlignment="true" applyBorder="false" applyFill="true" applyFont="true" applyNumberFormat="false" applyProtection="false" borderId="101" fillId="301" fontId="7" numFmtId="0" xfId="0">
      <alignment horizontal="center" vertical="center"/>
    </xf>
    <xf applyAlignment="true" applyBorder="false" applyFill="true" applyFont="true" applyNumberFormat="false" applyProtection="false" borderId="103" fillId="301" fontId="7" numFmtId="0" xfId="0">
      <alignment horizontal="center" vertical="center"/>
    </xf>
    <xf applyAlignment="true" applyBorder="false" applyFill="true" applyFont="true" applyNumberFormat="false" applyProtection="false" borderId="103" fillId="301" fontId="7" numFmtId="0" xfId="0">
      <alignment horizontal="center" vertical="center" wrapText="true"/>
    </xf>
    <xf applyAlignment="true" applyBorder="false" applyFill="true" applyFont="true" applyNumberFormat="false" applyProtection="false" borderId="104" fillId="301" fontId="7" numFmtId="0" xfId="0">
      <alignment horizontal="center" vertical="center"/>
    </xf>
    <xf applyAlignment="true" applyBorder="false" applyFill="true" applyFont="true" applyNumberFormat="false" applyProtection="false" borderId="105" fillId="301" fontId="7" numFmtId="0" xfId="0">
      <alignment horizontal="center" vertical="center"/>
    </xf>
    <xf applyAlignment="true" applyBorder="false" applyFill="true" applyFont="true" applyNumberFormat="true" applyProtection="false" borderId="104" fillId="265" fontId="4" numFmtId="189" xfId="0">
      <alignment horizontal="center" vertical="center"/>
    </xf>
    <xf applyAlignment="true" applyBorder="false" applyFill="true" applyFont="true" applyNumberFormat="false" applyProtection="false" borderId="106" fillId="265" fontId="5" numFmtId="0" xfId="0">
      <alignment horizontal="center" vertical="center"/>
    </xf>
    <xf applyAlignment="true" applyBorder="false" applyFill="true" applyFont="true" applyNumberFormat="false" applyProtection="false" borderId="105" fillId="265" fontId="5" numFmtId="0" xfId="0">
      <alignment horizontal="center" vertical="center"/>
    </xf>
    <xf applyAlignment="true" applyBorder="false" applyFill="true" applyFont="true" applyNumberFormat="false" applyProtection="false" borderId="105" fillId="269" fontId="5" numFmtId="0" xfId="0">
      <alignment horizontal="center" vertical="center"/>
    </xf>
    <xf applyAlignment="true" applyBorder="false" applyFill="true" applyFont="true" applyNumberFormat="true" applyProtection="false" borderId="104" fillId="279" fontId="4" numFmtId="189" xfId="0">
      <alignment horizontal="center" vertical="center"/>
    </xf>
    <xf applyAlignment="true" applyBorder="false" applyFill="true" applyFont="true" applyNumberFormat="false" applyProtection="false" borderId="103" fillId="279" fontId="4" numFmtId="0" xfId="0">
      <alignment horizontal="center" vertical="center" wrapText="true"/>
    </xf>
    <xf applyAlignment="true" applyBorder="false" applyFill="true" applyFont="true" applyNumberFormat="false" applyProtection="false" borderId="103" fillId="279" fontId="4" numFmtId="0" xfId="0">
      <alignment horizontal="center" vertical="center" wrapText="true"/>
    </xf>
    <xf applyAlignment="true" applyBorder="false" applyFill="true" applyFont="true" applyNumberFormat="true" applyProtection="false" borderId="103" fillId="302" fontId="16" numFmtId="188" xfId="0">
      <alignment horizontal="center" vertical="center" wrapText="true"/>
    </xf>
    <xf applyAlignment="true" applyBorder="false" applyFill="true" applyFont="true" applyNumberFormat="true" applyProtection="false" borderId="103" fillId="302" fontId="17" numFmtId="188" xfId="0">
      <alignment horizontal="center" vertical="center" wrapText="true"/>
    </xf>
    <xf applyAlignment="true" applyBorder="false" applyFill="true" applyFont="true" applyNumberFormat="true" applyProtection="false" borderId="103" fillId="302" fontId="17" numFmtId="189" xfId="0">
      <alignment horizontal="center" vertical="center"/>
    </xf>
    <xf applyAlignment="true" applyBorder="false" applyFill="true" applyFont="true" applyNumberFormat="false" applyProtection="false" borderId="101" fillId="302" fontId="17" numFmtId="0" xfId="0">
      <alignment horizontal="center" vertical="center"/>
    </xf>
    <xf applyAlignment="true" applyBorder="false" applyFill="true" applyFont="true" applyNumberFormat="false" applyProtection="false" borderId="103" fillId="302" fontId="17" numFmtId="0" xfId="0">
      <alignment horizontal="center" vertical="center"/>
    </xf>
    <xf applyAlignment="true" applyBorder="false" applyFill="true" applyFont="true" applyNumberFormat="false" applyProtection="false" borderId="103" fillId="302" fontId="17" numFmtId="0" xfId="0">
      <alignment horizontal="center" vertical="center" wrapText="true"/>
    </xf>
    <xf applyAlignment="true" applyBorder="false" applyFill="true" applyFont="true" applyNumberFormat="false" applyProtection="false" borderId="104" fillId="302" fontId="17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106" fillId="269" fontId="5" numFmtId="0" xfId="0">
      <alignment horizontal="center" vertical="center"/>
    </xf>
    <xf applyAlignment="true" applyBorder="false" applyFill="true" applyFont="true" applyNumberFormat="true" applyProtection="false" borderId="103" fillId="303" fontId="16" numFmtId="188" xfId="0">
      <alignment horizontal="center" vertical="center" wrapText="true"/>
    </xf>
    <xf applyAlignment="true" applyBorder="false" applyFill="true" applyFont="true" applyNumberFormat="true" applyProtection="false" borderId="104" fillId="303" fontId="16" numFmtId="188" xfId="0">
      <alignment horizontal="center" vertical="center" wrapText="true"/>
    </xf>
    <xf applyAlignment="true" applyBorder="false" applyFill="true" applyFont="true" applyNumberFormat="true" applyProtection="false" borderId="103" fillId="303" fontId="7" numFmtId="188" xfId="0">
      <alignment horizontal="center" vertical="center" wrapText="true"/>
    </xf>
    <xf applyAlignment="true" applyBorder="false" applyFill="true" applyFont="true" applyNumberFormat="true" applyProtection="false" borderId="103" fillId="303" fontId="7" numFmtId="189" xfId="0">
      <alignment horizontal="center" vertical="center"/>
    </xf>
    <xf applyAlignment="true" applyBorder="false" applyFill="true" applyFont="true" applyNumberFormat="false" applyProtection="false" borderId="103" fillId="303" fontId="7" numFmtId="0" xfId="0">
      <alignment horizontal="center" vertical="center"/>
    </xf>
    <xf applyAlignment="true" applyBorder="false" applyFill="true" applyFont="true" applyNumberFormat="false" applyProtection="false" borderId="103" fillId="303" fontId="7" numFmtId="0" xfId="0">
      <alignment horizontal="center" vertical="center" wrapText="true"/>
    </xf>
    <xf applyAlignment="true" applyBorder="false" applyFill="true" applyFont="true" applyNumberFormat="false" applyProtection="false" borderId="104" fillId="303" fontId="7" numFmtId="0" xfId="0">
      <alignment horizontal="center" vertical="center"/>
    </xf>
    <xf applyAlignment="true" applyBorder="false" applyFill="true" applyFont="true" applyNumberFormat="true" applyProtection="false" borderId="103" fillId="303" fontId="4" numFmtId="189" xfId="0">
      <alignment horizontal="center" vertical="center"/>
    </xf>
    <xf applyAlignment="true" applyBorder="false" applyFill="true" applyFont="true" applyNumberFormat="true" applyProtection="false" borderId="103" fillId="303" fontId="4" numFmtId="189" xfId="0">
      <alignment horizontal="center" vertical="center"/>
    </xf>
    <xf applyAlignment="true" applyBorder="false" applyFill="true" applyFont="true" applyNumberFormat="false" applyProtection="false" borderId="103" fillId="303" fontId="5" numFmtId="0" xfId="0">
      <alignment horizontal="center" vertical="center"/>
    </xf>
    <xf applyAlignment="true" applyBorder="false" applyFill="true" applyFont="true" applyNumberFormat="false" applyProtection="false" borderId="103" fillId="303" fontId="5" numFmtId="0" xfId="0">
      <alignment horizontal="center" vertical="center"/>
    </xf>
    <xf applyAlignment="true" applyBorder="false" applyFill="true" applyFont="true" applyNumberFormat="false" applyProtection="false" borderId="103" fillId="303" fontId="5" numFmtId="0" xfId="0">
      <alignment horizontal="center" vertical="center" wrapText="true"/>
    </xf>
    <xf applyAlignment="true" applyBorder="false" applyFill="true" applyFont="true" applyNumberFormat="false" applyProtection="false" borderId="106" fillId="303" fontId="5" numFmtId="0" xfId="0">
      <alignment horizontal="center" vertical="center"/>
    </xf>
    <xf applyAlignment="true" applyBorder="false" applyFill="true" applyFont="true" applyNumberFormat="false" applyProtection="false" borderId="104" fillId="303" fontId="5" numFmtId="0" xfId="0">
      <alignment horizontal="center" vertical="center"/>
    </xf>
    <xf applyAlignment="true" applyBorder="false" applyFill="true" applyFont="true" applyNumberFormat="false" applyProtection="false" borderId="103" fillId="263" fontId="18" numFmtId="0" xfId="0">
      <alignment horizontal="center" vertical="center"/>
    </xf>
    <xf applyAlignment="true" applyBorder="false" applyFill="true" applyFont="true" applyNumberFormat="false" applyProtection="false" borderId="104" fillId="303" fontId="5" numFmtId="0" xfId="0">
      <alignment horizontal="center" vertical="center"/>
    </xf>
    <xf applyAlignment="true" applyBorder="false" applyFill="true" applyFont="true" applyNumberFormat="true" applyProtection="false" borderId="103" fillId="304" fontId="3" numFmtId="188" xfId="0">
      <alignment horizontal="center" vertical="center" wrapText="true"/>
    </xf>
    <xf applyAlignment="true" applyBorder="false" applyFill="true" applyFont="true" applyNumberFormat="true" applyProtection="false" borderId="103" fillId="304" fontId="16" numFmtId="188" xfId="0">
      <alignment horizontal="center" vertical="center" wrapText="true"/>
    </xf>
    <xf applyAlignment="true" applyBorder="false" applyFill="true" applyFont="true" applyNumberFormat="true" applyProtection="false" borderId="104" fillId="304" fontId="16" numFmtId="188" xfId="0">
      <alignment horizontal="center" vertical="center" wrapText="true"/>
    </xf>
    <xf applyAlignment="true" applyBorder="false" applyFill="true" applyFont="true" applyNumberFormat="true" applyProtection="false" borderId="103" fillId="305" fontId="7" numFmtId="188" xfId="0">
      <alignment horizontal="center" vertical="center" wrapText="true"/>
    </xf>
    <xf applyAlignment="true" applyBorder="false" applyFill="true" applyFont="true" applyNumberFormat="true" applyProtection="false" borderId="103" fillId="305" fontId="7" numFmtId="189" xfId="0">
      <alignment horizontal="center" vertical="center"/>
    </xf>
    <xf applyAlignment="true" applyBorder="false" applyFill="true" applyFont="true" applyNumberFormat="false" applyProtection="false" borderId="103" fillId="305" fontId="7" numFmtId="0" xfId="0">
      <alignment horizontal="center" vertical="center"/>
    </xf>
    <xf applyAlignment="true" applyBorder="false" applyFill="true" applyFont="true" applyNumberFormat="false" applyProtection="false" borderId="103" fillId="305" fontId="7" numFmtId="0" xfId="0">
      <alignment horizontal="center" vertical="center" wrapText="true"/>
    </xf>
    <xf applyAlignment="true" applyBorder="false" applyFill="true" applyFont="true" applyNumberFormat="false" applyProtection="false" borderId="104" fillId="305" fontId="7" numFmtId="0" xfId="0">
      <alignment horizontal="center" vertical="center"/>
    </xf>
    <xf applyAlignment="true" applyBorder="false" applyFill="true" applyFont="true" applyNumberFormat="true" applyProtection="false" borderId="103" fillId="306" fontId="4" numFmtId="189" xfId="0">
      <alignment horizontal="center" vertical="center"/>
    </xf>
    <xf applyAlignment="true" applyBorder="false" applyFill="true" applyFont="true" applyNumberFormat="true" applyProtection="false" borderId="103" fillId="306" fontId="4" numFmtId="189" xfId="0">
      <alignment horizontal="center" vertical="center"/>
    </xf>
    <xf applyAlignment="true" applyBorder="false" applyFill="true" applyFont="true" applyNumberFormat="false" applyProtection="false" borderId="103" fillId="306" fontId="5" numFmtId="0" xfId="0">
      <alignment horizontal="center" vertical="center"/>
    </xf>
    <xf applyAlignment="true" applyBorder="false" applyFill="true" applyFont="true" applyNumberFormat="false" applyProtection="false" borderId="103" fillId="306" fontId="5" numFmtId="0" xfId="0">
      <alignment horizontal="center" vertical="center"/>
    </xf>
    <xf applyAlignment="true" applyBorder="false" applyFill="true" applyFont="true" applyNumberFormat="false" applyProtection="false" borderId="103" fillId="306" fontId="5" numFmtId="0" xfId="0">
      <alignment horizontal="center" vertical="center" wrapText="true"/>
    </xf>
    <xf applyAlignment="true" applyBorder="false" applyFill="true" applyFont="true" applyNumberFormat="false" applyProtection="false" borderId="104" fillId="287" fontId="5" numFmtId="0" xfId="0">
      <alignment horizontal="center" vertical="center"/>
    </xf>
    <xf applyAlignment="true" applyBorder="false" applyFill="true" applyFont="true" applyNumberFormat="false" applyProtection="false" borderId="103" fillId="287" fontId="5" numFmtId="0" xfId="0">
      <alignment horizontal="center" vertical="center"/>
    </xf>
    <xf applyAlignment="true" applyBorder="false" applyFill="true" applyFont="true" applyNumberFormat="false" applyProtection="false" borderId="103" fillId="287" fontId="5" numFmtId="0" xfId="0">
      <alignment horizontal="center" vertical="center" wrapText="true"/>
    </xf>
    <xf applyAlignment="true" applyBorder="false" applyFill="true" applyFont="true" applyNumberFormat="true" applyProtection="false" borderId="104" fillId="268" fontId="4" numFmtId="189" xfId="0">
      <alignment horizontal="center" vertical="center"/>
    </xf>
    <xf applyAlignment="true" applyBorder="false" applyFill="true" applyFont="true" applyNumberFormat="true" applyProtection="false" borderId="0" fillId="265" fontId="4" numFmtId="189" xfId="0">
      <alignment horizontal="center" vertical="center"/>
    </xf>
    <xf applyAlignment="true" applyBorder="false" applyFill="true" applyFont="true" applyNumberFormat="true" applyProtection="false" borderId="103" fillId="288" fontId="16" numFmtId="188" xfId="0">
      <alignment horizontal="center" vertical="center" wrapText="true"/>
    </xf>
    <xf applyAlignment="true" applyBorder="false" applyFill="true" applyFont="true" applyNumberFormat="true" applyProtection="false" borderId="103" fillId="288" fontId="16" numFmtId="188" xfId="0">
      <alignment horizontal="center" vertical="center" wrapText="true"/>
    </xf>
    <xf applyAlignment="true" applyBorder="false" applyFill="true" applyFont="true" applyNumberFormat="true" applyProtection="false" borderId="104" fillId="288" fontId="16" numFmtId="188" xfId="0">
      <alignment horizontal="center" vertical="center" wrapText="true"/>
    </xf>
    <xf applyAlignment="true" applyBorder="false" applyFill="true" applyFont="true" applyNumberFormat="true" applyProtection="false" borderId="103" fillId="288" fontId="4" numFmtId="189" xfId="0">
      <alignment horizontal="center" vertical="center"/>
    </xf>
    <xf applyAlignment="true" applyBorder="false" applyFill="true" applyFont="true" applyNumberFormat="true" applyProtection="false" borderId="103" fillId="307" fontId="4" numFmtId="189" xfId="0">
      <alignment horizontal="center" vertical="center"/>
    </xf>
    <xf applyAlignment="true" applyBorder="false" applyFill="true" applyFont="true" applyNumberFormat="false" applyProtection="false" borderId="103" fillId="288" fontId="5" numFmtId="0" xfId="0">
      <alignment horizontal="center" vertical="center"/>
    </xf>
    <xf applyAlignment="true" applyBorder="false" applyFill="true" applyFont="true" applyNumberFormat="false" applyProtection="false" borderId="103" fillId="307" fontId="5" numFmtId="0" xfId="0">
      <alignment horizontal="center" vertical="center"/>
    </xf>
    <xf applyAlignment="true" applyBorder="false" applyFill="true" applyFont="true" applyNumberFormat="false" applyProtection="false" borderId="103" fillId="288" fontId="5" numFmtId="0" xfId="0">
      <alignment horizontal="center" vertical="center" wrapText="true"/>
    </xf>
    <xf applyAlignment="true" applyBorder="false" applyFill="true" applyFont="true" applyNumberFormat="false" applyProtection="false" borderId="103" fillId="288" fontId="5" numFmtId="0" xfId="0">
      <alignment horizontal="center" vertical="center"/>
    </xf>
    <xf applyAlignment="true" applyBorder="false" applyFill="true" applyFont="true" applyNumberFormat="false" applyProtection="false" borderId="104" fillId="288" fontId="5" numFmtId="0" xfId="0">
      <alignment horizontal="center" vertical="center"/>
    </xf>
    <xf applyAlignment="true" applyBorder="false" applyFill="true" applyFont="true" applyNumberFormat="true" applyProtection="false" borderId="103" fillId="288" fontId="4" numFmtId="189" xfId="0">
      <alignment horizontal="center" vertical="center"/>
    </xf>
    <xf applyAlignment="true" applyBorder="false" applyFill="true" applyFont="true" applyNumberFormat="false" applyProtection="false" borderId="104" fillId="288" fontId="5" numFmtId="0" xfId="0">
      <alignment horizontal="center" vertical="center"/>
    </xf>
    <xf applyAlignment="true" applyBorder="false" applyFill="true" applyFont="true" applyNumberFormat="true" applyProtection="false" borderId="103" fillId="307" fontId="4" numFmtId="189" xfId="0">
      <alignment horizontal="center" vertical="center"/>
    </xf>
    <xf applyAlignment="true" applyBorder="false" applyFill="true" applyFont="true" applyNumberFormat="false" applyProtection="false" borderId="103" fillId="307" fontId="5" numFmtId="0" xfId="0">
      <alignment horizontal="center" vertical="center"/>
    </xf>
    <xf applyAlignment="true" applyBorder="false" applyFill="true" applyFont="true" applyNumberFormat="false" applyProtection="false" borderId="103" fillId="307" fontId="5" numFmtId="0" xfId="0">
      <alignment horizontal="center" vertical="center" wrapText="true"/>
    </xf>
    <xf applyAlignment="true" applyBorder="false" applyFill="true" applyFont="true" applyNumberFormat="true" applyProtection="false" borderId="103" fillId="279" fontId="16" numFmtId="188" xfId="0">
      <alignment horizontal="center" vertical="center" wrapText="true"/>
    </xf>
    <xf applyAlignment="true" applyBorder="false" applyFill="true" applyFont="true" applyNumberFormat="true" applyProtection="false" borderId="104" fillId="279" fontId="16" numFmtId="188" xfId="0">
      <alignment horizontal="center" vertical="center" wrapText="true"/>
    </xf>
    <xf applyAlignment="true" applyBorder="false" applyFill="true" applyFont="true" applyNumberFormat="true" applyProtection="false" borderId="103" fillId="269" fontId="7" numFmtId="188" xfId="0">
      <alignment horizontal="center" vertical="center" wrapText="true"/>
    </xf>
    <xf applyAlignment="true" applyBorder="false" applyFill="true" applyFont="true" applyNumberFormat="true" applyProtection="false" borderId="103" fillId="268" fontId="7" numFmtId="188" xfId="0">
      <alignment horizontal="center" vertical="center" wrapText="true"/>
    </xf>
    <xf applyAlignment="true" applyBorder="false" applyFill="true" applyFont="true" applyNumberFormat="true" applyProtection="false" borderId="103" fillId="308" fontId="16" numFmtId="188" xfId="0">
      <alignment horizontal="center" vertical="center" wrapText="true"/>
    </xf>
    <xf applyAlignment="true" applyBorder="false" applyFill="true" applyFont="true" applyNumberFormat="true" applyProtection="false" borderId="104" fillId="308" fontId="16" numFmtId="188" xfId="0">
      <alignment horizontal="center" vertical="center" wrapText="true"/>
    </xf>
    <xf applyAlignment="true" applyBorder="false" applyFill="true" applyFont="true" applyNumberFormat="true" applyProtection="false" borderId="103" fillId="308" fontId="7" numFmtId="188" xfId="0">
      <alignment horizontal="center" vertical="center" wrapText="true"/>
    </xf>
    <xf applyAlignment="true" applyBorder="false" applyFill="true" applyFont="true" applyNumberFormat="true" applyProtection="false" borderId="103" fillId="308" fontId="7" numFmtId="189" xfId="0">
      <alignment horizontal="center" vertical="center"/>
    </xf>
    <xf applyAlignment="true" applyBorder="false" applyFill="true" applyFont="true" applyNumberFormat="false" applyProtection="false" borderId="103" fillId="308" fontId="7" numFmtId="0" xfId="0">
      <alignment horizontal="center" vertical="center"/>
    </xf>
    <xf applyAlignment="true" applyBorder="false" applyFill="true" applyFont="true" applyNumberFormat="false" applyProtection="false" borderId="103" fillId="308" fontId="7" numFmtId="0" xfId="0">
      <alignment horizontal="center" vertical="center" wrapText="true"/>
    </xf>
    <xf applyAlignment="true" applyBorder="false" applyFill="true" applyFont="true" applyNumberFormat="false" applyProtection="false" borderId="104" fillId="308" fontId="7" numFmtId="0" xfId="0">
      <alignment horizontal="center" vertical="center"/>
    </xf>
    <xf applyAlignment="true" applyBorder="false" applyFill="true" applyFont="true" applyNumberFormat="true" applyProtection="false" borderId="103" fillId="308" fontId="4" numFmtId="189" xfId="0">
      <alignment horizontal="center" vertical="center"/>
    </xf>
    <xf applyAlignment="true" applyBorder="false" applyFill="true" applyFont="true" applyNumberFormat="true" applyProtection="false" borderId="103" fillId="308" fontId="4" numFmtId="189" xfId="0">
      <alignment horizontal="center" vertical="center"/>
    </xf>
    <xf applyAlignment="true" applyBorder="false" applyFill="true" applyFont="true" applyNumberFormat="false" applyProtection="false" borderId="103" fillId="308" fontId="5" numFmtId="0" xfId="0">
      <alignment horizontal="center" vertical="center"/>
    </xf>
    <xf applyAlignment="true" applyBorder="false" applyFill="true" applyFont="true" applyNumberFormat="false" applyProtection="false" borderId="103" fillId="308" fontId="4" numFmtId="0" xfId="0">
      <alignment horizontal="center" vertical="center"/>
    </xf>
    <xf applyAlignment="true" applyBorder="false" applyFill="true" applyFont="true" applyNumberFormat="false" applyProtection="false" borderId="103" fillId="308" fontId="5" numFmtId="0" xfId="0">
      <alignment horizontal="center" vertical="center"/>
    </xf>
    <xf applyAlignment="true" applyBorder="false" applyFill="true" applyFont="true" applyNumberFormat="true" applyProtection="false" borderId="103" fillId="265" fontId="7" numFmtId="188" xfId="0">
      <alignment horizontal="center" vertical="center" wrapText="true"/>
    </xf>
    <xf applyAlignment="true" applyBorder="false" applyFill="true" applyFont="true" applyNumberFormat="false" applyProtection="false" borderId="103" fillId="265" fontId="4" numFmtId="0" xfId="0">
      <alignment horizontal="center" vertical="center"/>
    </xf>
    <xf applyAlignment="true" applyBorder="false" applyFill="true" applyFont="true" applyNumberFormat="false" applyProtection="false" borderId="103" fillId="308" fontId="5" numFmtId="0" xfId="0">
      <alignment horizontal="center" vertical="center" wrapText="true"/>
    </xf>
    <xf applyAlignment="true" applyBorder="false" applyFill="true" applyFont="true" applyNumberFormat="false" applyProtection="false" borderId="105" fillId="308" fontId="5" numFmtId="0" xfId="0">
      <alignment horizontal="center" vertical="center"/>
    </xf>
    <xf applyAlignment="true" applyBorder="false" applyFill="true" applyFont="true" applyNumberFormat="false" applyProtection="false" borderId="104" fillId="308" fontId="5" numFmtId="0" xfId="0">
      <alignment horizontal="center" vertical="center"/>
    </xf>
    <xf applyAlignment="true" applyBorder="false" applyFill="true" applyFont="true" applyNumberFormat="false" applyProtection="false" borderId="0" fillId="308" fontId="6" numFmtId="0" xfId="0">
      <alignment vertical="center"/>
    </xf>
    <xf applyAlignment="true" applyBorder="false" applyFill="true" applyFont="true" applyNumberFormat="true" applyProtection="false" borderId="119" fillId="309" fontId="1" numFmtId="192" xfId="0">
      <alignment horizontal="left" vertical="center" wrapText="true"/>
    </xf>
    <xf applyAlignment="true" applyBorder="false" applyFill="true" applyFont="true" applyNumberFormat="true" applyProtection="false" borderId="119" fillId="309" fontId="1" numFmtId="192" xfId="0">
      <alignment horizontal="left" vertical="center" wrapText="true"/>
    </xf>
    <xf applyAlignment="true" applyBorder="false" applyFill="true" applyFont="true" applyNumberFormat="true" applyProtection="false" borderId="119" fillId="310" fontId="1" numFmtId="192" xfId="0">
      <alignment horizontal="center" vertical="center" wrapText="true"/>
    </xf>
    <xf applyAlignment="true" applyBorder="false" applyFill="true" applyFont="true" applyNumberFormat="true" applyProtection="false" borderId="119" fillId="309" fontId="1" numFmtId="192" xfId="0">
      <alignment horizontal="center" vertical="center" wrapText="true"/>
    </xf>
    <xf applyAlignment="true" applyBorder="false" applyFill="true" applyFont="true" applyNumberFormat="true" applyProtection="false" borderId="120" fillId="309" fontId="1" numFmtId="192" xfId="0">
      <alignment horizontal="left" vertical="center" wrapText="true"/>
    </xf>
    <xf applyAlignment="true" applyBorder="false" applyFill="true" applyFont="true" applyNumberFormat="true" applyProtection="false" borderId="0" fillId="311" fontId="1" numFmtId="192" xfId="0">
      <alignment horizontal="left" vertical="center" wrapText="true"/>
    </xf>
    <xf applyAlignment="true" applyBorder="false" applyFill="true" applyFont="true" applyNumberFormat="true" applyProtection="false" borderId="0" fillId="312" fontId="2" numFmtId="192" xfId="0">
      <alignment horizontal="center" vertical="center"/>
    </xf>
    <xf applyAlignment="true" applyBorder="false" applyFill="true" applyFont="true" applyNumberFormat="true" applyProtection="false" borderId="0" fillId="311" fontId="2" numFmtId="192" xfId="0">
      <alignment horizontal="center" vertical="center"/>
    </xf>
    <xf applyAlignment="true" applyBorder="false" applyFill="true" applyFont="true" applyNumberFormat="true" applyProtection="false" borderId="119" fillId="313" fontId="3" numFmtId="192" xfId="0">
      <alignment horizontal="center" vertical="center" wrapText="true"/>
    </xf>
    <xf applyAlignment="true" applyBorder="false" applyFill="true" applyFont="true" applyNumberFormat="true" applyProtection="false" borderId="121" fillId="313" fontId="3" numFmtId="192" xfId="0">
      <alignment horizontal="center" vertical="center" wrapText="true"/>
    </xf>
    <xf applyAlignment="true" applyBorder="false" applyFill="true" applyFont="true" applyNumberFormat="true" applyProtection="false" borderId="122" fillId="313" fontId="3" numFmtId="192" xfId="0">
      <alignment horizontal="center" vertical="center" wrapText="true"/>
    </xf>
    <xf applyAlignment="true" applyBorder="false" applyFill="true" applyFont="true" applyNumberFormat="true" applyProtection="false" borderId="0" fillId="311" fontId="3" numFmtId="192" xfId="0">
      <alignment horizontal="center" vertical="center" wrapText="true"/>
    </xf>
    <xf applyAlignment="true" applyBorder="false" applyFill="true" applyFont="true" applyNumberFormat="true" applyProtection="false" borderId="123" fillId="314" fontId="4" numFmtId="193" xfId="0">
      <alignment horizontal="center" vertical="center"/>
    </xf>
    <xf applyAlignment="true" applyBorder="false" applyFill="true" applyFont="true" applyNumberFormat="true" applyProtection="false" borderId="124" fillId="314" fontId="4" numFmtId="193" xfId="0">
      <alignment horizontal="center" vertical="center"/>
    </xf>
    <xf applyAlignment="true" applyBorder="false" applyFill="true" applyFont="true" applyNumberFormat="true" applyProtection="false" borderId="125" fillId="314" fontId="4" numFmtId="193" xfId="0">
      <alignment horizontal="center" vertical="center"/>
    </xf>
    <xf applyAlignment="true" applyBorder="false" applyFill="true" applyFont="true" applyNumberFormat="false" applyProtection="false" borderId="121" fillId="314" fontId="5" numFmtId="0" xfId="0">
      <alignment horizontal="center" vertical="center"/>
    </xf>
    <xf applyAlignment="true" applyBorder="false" applyFill="true" applyFont="true" applyNumberFormat="false" applyProtection="false" borderId="122" fillId="314" fontId="5" numFmtId="0" xfId="0">
      <alignment horizontal="center" vertical="center"/>
    </xf>
    <xf applyAlignment="true" applyBorder="false" applyFill="false" applyFont="true" applyNumberFormat="true" applyProtection="false" borderId="123" fillId="0" fontId="5" numFmtId="194" xfId="0">
      <alignment horizontal="center" vertical="center"/>
    </xf>
    <xf applyAlignment="true" applyBorder="false" applyFill="true" applyFont="true" applyNumberFormat="false" applyProtection="false" borderId="125" fillId="314" fontId="5" numFmtId="0" xfId="0">
      <alignment horizontal="center" vertical="center" wrapText="true"/>
    </xf>
    <xf applyAlignment="true" applyBorder="false" applyFill="false" applyFont="true" applyNumberFormat="false" applyProtection="false" borderId="121" fillId="0" fontId="5" numFmtId="0" xfId="0">
      <alignment horizontal="center" vertical="center"/>
    </xf>
    <xf applyAlignment="true" applyBorder="false" applyFill="true" applyFont="true" applyNumberFormat="false" applyProtection="false" borderId="122" fillId="314" fontId="5" numFmtId="0" xfId="0">
      <alignment horizontal="center" vertical="center"/>
    </xf>
    <xf applyAlignment="true" applyBorder="false" applyFill="true" applyFont="true" applyNumberFormat="false" applyProtection="false" borderId="0" fillId="311" fontId="5" numFmtId="0" xfId="0">
      <alignment horizontal="center" vertical="center"/>
    </xf>
    <xf applyAlignment="true" applyBorder="false" applyFill="true" applyFont="true" applyNumberFormat="true" applyProtection="false" borderId="121" fillId="314" fontId="4" numFmtId="193" xfId="0">
      <alignment horizontal="center" vertical="center"/>
    </xf>
    <xf applyAlignment="true" applyBorder="false" applyFill="true" applyFont="true" applyNumberFormat="false" applyProtection="false" borderId="121" fillId="311" fontId="5" numFmtId="0" xfId="0">
      <alignment horizontal="center" vertical="center"/>
    </xf>
    <xf applyAlignment="true" applyBorder="false" applyFill="true" applyFont="true" applyNumberFormat="true" applyProtection="false" borderId="124" fillId="313" fontId="3" numFmtId="192" xfId="0">
      <alignment horizontal="center" vertical="center" wrapText="true"/>
    </xf>
    <xf applyAlignment="true" applyBorder="false" applyFill="true" applyFont="true" applyNumberFormat="true" applyProtection="false" borderId="126" fillId="313" fontId="3" numFmtId="192" xfId="0">
      <alignment horizontal="center" vertical="center" wrapText="true"/>
    </xf>
    <xf applyAlignment="true" applyBorder="false" applyFill="true" applyFont="true" applyNumberFormat="true" applyProtection="false" borderId="0" fillId="311" fontId="3" numFmtId="192" xfId="0">
      <alignment horizontal="center" vertical="center" wrapText="true"/>
    </xf>
    <xf applyAlignment="true" applyBorder="false" applyFill="true" applyFont="true" applyNumberFormat="true" applyProtection="false" borderId="121" fillId="313" fontId="7" numFmtId="192" xfId="0">
      <alignment horizontal="center" vertical="center" wrapText="true"/>
    </xf>
    <xf applyAlignment="true" applyBorder="false" applyFill="true" applyFont="true" applyNumberFormat="true" applyProtection="false" borderId="121" fillId="313" fontId="7" numFmtId="193" xfId="0">
      <alignment horizontal="center" vertical="center"/>
    </xf>
    <xf applyAlignment="true" applyBorder="false" applyFill="true" applyFont="true" applyNumberFormat="false" applyProtection="false" borderId="121" fillId="313" fontId="7" numFmtId="0" xfId="0">
      <alignment horizontal="center" vertical="center"/>
    </xf>
    <xf applyAlignment="true" applyBorder="false" applyFill="true" applyFont="true" applyNumberFormat="false" applyProtection="false" borderId="122" fillId="313" fontId="7" numFmtId="0" xfId="0">
      <alignment horizontal="center" vertical="center"/>
    </xf>
    <xf applyAlignment="true" applyBorder="false" applyFill="true" applyFont="true" applyNumberFormat="false" applyProtection="false" borderId="125" fillId="313" fontId="7" numFmtId="0" xfId="0">
      <alignment horizontal="center" vertical="center" wrapText="true"/>
    </xf>
    <xf applyAlignment="true" applyBorder="false" applyFill="true" applyFont="true" applyNumberFormat="false" applyProtection="false" borderId="0" fillId="311" fontId="7" numFmtId="0" xfId="0">
      <alignment horizontal="center" vertical="center"/>
    </xf>
    <xf applyAlignment="true" applyBorder="false" applyFill="true" applyFont="true" applyNumberFormat="true" applyProtection="false" borderId="121" fillId="314" fontId="4" numFmtId="193" xfId="0">
      <alignment horizontal="center" vertical="center"/>
    </xf>
    <xf applyAlignment="true" applyBorder="false" applyFill="false" applyFont="true" applyNumberFormat="true" applyProtection="false" borderId="121" fillId="0" fontId="5" numFmtId="194" xfId="0">
      <alignment horizontal="center" vertical="center"/>
    </xf>
    <xf applyAlignment="true" applyBorder="false" applyFill="false" applyFont="true" applyNumberFormat="false" applyProtection="false" borderId="125" fillId="0" fontId="5" numFmtId="0" xfId="0">
      <alignment horizontal="center" vertical="center" wrapText="true"/>
    </xf>
    <xf applyAlignment="true" applyBorder="false" applyFill="false" applyFont="true" applyNumberFormat="false" applyProtection="false" borderId="122" fillId="0" fontId="5" numFmtId="0" xfId="0">
      <alignment horizontal="center" vertical="center"/>
    </xf>
    <xf applyAlignment="true" applyBorder="false" applyFill="true" applyFont="true" applyNumberFormat="false" applyProtection="false" borderId="121" fillId="314" fontId="5" numFmtId="0" xfId="0">
      <alignment horizontal="center" vertical="center"/>
    </xf>
    <xf applyAlignment="true" applyBorder="false" applyFill="false" applyFont="true" applyNumberFormat="false" applyProtection="false" borderId="121" fillId="0" fontId="5" numFmtId="0" xfId="0">
      <alignment horizontal="center" vertical="center"/>
    </xf>
    <xf applyAlignment="true" applyBorder="false" applyFill="true" applyFont="true" applyNumberFormat="true" applyProtection="false" borderId="121" fillId="315" fontId="3" numFmtId="192" xfId="0">
      <alignment horizontal="center" vertical="center" wrapText="true"/>
    </xf>
    <xf applyAlignment="true" applyBorder="false" applyFill="true" applyFont="true" applyNumberFormat="true" applyProtection="false" borderId="122" fillId="315" fontId="3" numFmtId="192" xfId="0">
      <alignment horizontal="center" vertical="center" wrapText="true"/>
    </xf>
    <xf applyAlignment="true" applyBorder="false" applyFill="true" applyFont="true" applyNumberFormat="true" applyProtection="false" borderId="121" fillId="315" fontId="7" numFmtId="192" xfId="0">
      <alignment horizontal="center" vertical="center" wrapText="true"/>
    </xf>
    <xf applyAlignment="true" applyBorder="false" applyFill="true" applyFont="true" applyNumberFormat="true" applyProtection="false" borderId="121" fillId="315" fontId="7" numFmtId="193" xfId="0">
      <alignment horizontal="center" vertical="center"/>
    </xf>
    <xf applyAlignment="true" applyBorder="false" applyFill="true" applyFont="true" applyNumberFormat="false" applyProtection="false" borderId="121" fillId="315" fontId="7" numFmtId="0" xfId="0">
      <alignment horizontal="center" vertical="center"/>
    </xf>
    <xf applyAlignment="true" applyBorder="false" applyFill="true" applyFont="true" applyNumberFormat="false" applyProtection="false" borderId="121" fillId="315" fontId="7" numFmtId="0" xfId="0">
      <alignment horizontal="center" vertical="center" wrapText="true"/>
    </xf>
    <xf applyAlignment="true" applyBorder="false" applyFill="true" applyFont="true" applyNumberFormat="false" applyProtection="false" borderId="122" fillId="315" fontId="7" numFmtId="0" xfId="0">
      <alignment horizontal="center" vertical="center"/>
    </xf>
    <xf applyAlignment="true" applyBorder="false" applyFill="true" applyFont="true" applyNumberFormat="false" applyProtection="false" borderId="121" fillId="314" fontId="5" numFmtId="0" xfId="0">
      <alignment horizontal="center" vertical="center" wrapText="true"/>
    </xf>
    <xf applyAlignment="true" applyBorder="false" applyFill="true" applyFont="true" applyNumberFormat="false" applyProtection="false" borderId="119" fillId="314" fontId="5" numFmtId="0" xfId="0">
      <alignment horizontal="center" vertical="center"/>
    </xf>
    <xf applyAlignment="true" applyBorder="false" applyFill="true" applyFont="true" applyNumberFormat="true" applyProtection="false" borderId="121" fillId="316" fontId="4" numFmtId="193" xfId="0">
      <alignment horizontal="center" vertical="center"/>
    </xf>
    <xf applyAlignment="true" applyBorder="false" applyFill="true" applyFont="true" applyNumberFormat="true" applyProtection="false" borderId="121" fillId="316" fontId="4" numFmtId="193" xfId="0">
      <alignment horizontal="center" vertical="center"/>
    </xf>
    <xf applyAlignment="true" applyBorder="false" applyFill="true" applyFont="true" applyNumberFormat="false" applyProtection="false" borderId="121" fillId="316" fontId="5" numFmtId="0" xfId="0">
      <alignment horizontal="center" vertical="center"/>
    </xf>
    <xf applyAlignment="true" applyBorder="false" applyFill="true" applyFont="true" applyNumberFormat="false" applyProtection="false" borderId="121" fillId="316" fontId="5" numFmtId="0" xfId="0">
      <alignment horizontal="center" vertical="center"/>
    </xf>
    <xf applyAlignment="true" applyBorder="false" applyFill="true" applyFont="true" applyNumberFormat="false" applyProtection="false" borderId="121" fillId="316" fontId="5" numFmtId="0" xfId="0">
      <alignment horizontal="center" vertical="center" wrapText="true"/>
    </xf>
    <xf applyAlignment="true" applyBorder="false" applyFill="true" applyFont="true" applyNumberFormat="false" applyProtection="false" borderId="119" fillId="316" fontId="5" numFmtId="0" xfId="0">
      <alignment horizontal="center" vertical="center"/>
    </xf>
    <xf applyAlignment="true" applyBorder="false" applyFill="true" applyFont="true" applyNumberFormat="false" applyProtection="false" borderId="122" fillId="316" fontId="5" numFmtId="0" xfId="0">
      <alignment horizontal="center" vertical="center"/>
    </xf>
    <xf applyAlignment="true" applyBorder="false" applyFill="true" applyFont="true" applyNumberFormat="false" applyProtection="false" borderId="0" fillId="316" fontId="5" numFmtId="0" xfId="0">
      <alignment horizontal="center" vertical="center"/>
    </xf>
    <xf applyAlignment="true" applyBorder="false" applyFill="true" applyFont="true" applyNumberFormat="false" applyProtection="false" borderId="0" fillId="316" fontId="6" numFmtId="0" xfId="0">
      <alignment vertical="center"/>
    </xf>
    <xf applyAlignment="true" applyBorder="false" applyFill="true" applyFont="true" applyNumberFormat="true" applyProtection="false" borderId="121" fillId="317" fontId="4" numFmtId="193" xfId="0">
      <alignment horizontal="center" vertical="center"/>
    </xf>
    <xf applyAlignment="true" applyBorder="false" applyFill="true" applyFont="true" applyNumberFormat="true" applyProtection="false" borderId="121" fillId="317" fontId="4" numFmtId="193" xfId="0">
      <alignment horizontal="center" vertical="center"/>
    </xf>
    <xf applyAlignment="true" applyBorder="false" applyFill="true" applyFont="true" applyNumberFormat="false" applyProtection="false" borderId="121" fillId="317" fontId="5" numFmtId="0" xfId="0">
      <alignment horizontal="center" vertical="center"/>
    </xf>
    <xf applyAlignment="true" applyBorder="false" applyFill="true" applyFont="true" applyNumberFormat="false" applyProtection="false" borderId="121" fillId="317" fontId="5" numFmtId="0" xfId="0">
      <alignment horizontal="center" vertical="center"/>
    </xf>
    <xf applyAlignment="true" applyBorder="false" applyFill="true" applyFont="true" applyNumberFormat="false" applyProtection="false" borderId="121" fillId="317" fontId="5" numFmtId="0" xfId="0">
      <alignment horizontal="center" vertical="center" wrapText="true"/>
    </xf>
    <xf applyAlignment="true" applyBorder="false" applyFill="true" applyFont="true" applyNumberFormat="false" applyProtection="false" borderId="122" fillId="317" fontId="5" numFmtId="0" xfId="0">
      <alignment horizontal="center" vertical="center"/>
    </xf>
    <xf applyAlignment="true" applyBorder="false" applyFill="true" applyFont="true" applyNumberFormat="false" applyProtection="false" borderId="0" fillId="317" fontId="5" numFmtId="0" xfId="0">
      <alignment horizontal="center" vertical="center"/>
    </xf>
    <xf applyAlignment="true" applyBorder="false" applyFill="true" applyFont="true" applyNumberFormat="false" applyProtection="false" borderId="0" fillId="317" fontId="6" numFmtId="0" xfId="0">
      <alignment vertical="center"/>
    </xf>
    <xf applyAlignment="true" applyBorder="false" applyFill="true" applyFont="true" applyNumberFormat="false" applyProtection="false" borderId="121" fillId="317" fontId="5" numFmtId="0" xfId="0">
      <alignment horizontal="center" vertical="center" wrapText="true"/>
    </xf>
    <xf applyAlignment="true" applyBorder="false" applyFill="true" applyFont="true" applyNumberFormat="false" applyProtection="false" borderId="121" fillId="314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0" fillId="311" fontId="8" numFmtId="0" xfId="0">
      <alignment vertical="center"/>
    </xf>
    <xf applyAlignment="true" applyBorder="false" applyFill="true" applyFont="true" applyNumberFormat="false" applyProtection="false" borderId="123" fillId="318" fontId="9" numFmtId="0" xfId="0">
      <alignment horizontal="center" vertical="center"/>
    </xf>
    <xf applyAlignment="true" applyBorder="false" applyFill="true" applyFont="true" applyNumberFormat="true" applyProtection="false" borderId="123" fillId="318" fontId="3" numFmtId="192" xfId="0">
      <alignment horizontal="center" vertical="center" wrapText="true"/>
    </xf>
    <xf applyAlignment="true" applyBorder="false" applyFill="true" applyFont="true" applyNumberFormat="true" applyProtection="false" borderId="127" fillId="318" fontId="3" numFmtId="192" xfId="0">
      <alignment horizontal="center" vertical="center" wrapText="true"/>
    </xf>
    <xf applyAlignment="true" applyBorder="false" applyFill="true" applyFont="true" applyNumberFormat="false" applyProtection="false" borderId="123" fillId="318" fontId="7" numFmtId="0" xfId="0">
      <alignment horizontal="center" vertical="center"/>
    </xf>
    <xf applyAlignment="true" applyBorder="false" applyFill="true" applyFont="true" applyNumberFormat="true" applyProtection="false" borderId="123" fillId="318" fontId="7" numFmtId="193" xfId="0">
      <alignment horizontal="center" vertical="center"/>
    </xf>
    <xf applyAlignment="true" applyBorder="false" applyFill="true" applyFont="true" applyNumberFormat="false" applyProtection="false" borderId="123" fillId="318" fontId="7" numFmtId="0" xfId="0">
      <alignment horizontal="center" vertical="center" wrapText="true"/>
    </xf>
    <xf applyAlignment="true" applyBorder="false" applyFill="true" applyFont="true" applyNumberFormat="false" applyProtection="false" borderId="127" fillId="318" fontId="7" numFmtId="0" xfId="0">
      <alignment horizontal="center" vertical="center"/>
    </xf>
    <xf applyAlignment="true" applyBorder="false" applyFill="true" applyFont="true" applyNumberFormat="true" applyProtection="false" borderId="123" fillId="314" fontId="4" numFmtId="193" xfId="0">
      <alignment horizontal="center" vertical="center"/>
    </xf>
    <xf applyAlignment="true" applyBorder="false" applyFill="true" applyFont="true" applyNumberFormat="true" applyProtection="false" borderId="123" fillId="314" fontId="5" numFmtId="195" xfId="0">
      <alignment horizontal="center" vertical="center"/>
    </xf>
    <xf applyAlignment="true" applyBorder="false" applyFill="true" applyFont="true" applyNumberFormat="false" applyProtection="false" borderId="123" fillId="314" fontId="5" numFmtId="0" xfId="0">
      <alignment horizontal="center" vertical="center"/>
    </xf>
    <xf applyAlignment="true" applyBorder="false" applyFill="true" applyFont="true" applyNumberFormat="false" applyProtection="false" borderId="123" fillId="314" fontId="5" numFmtId="0" xfId="0">
      <alignment horizontal="center" vertical="center" wrapText="true"/>
    </xf>
    <xf applyAlignment="true" applyBorder="false" applyFill="true" applyFont="true" applyNumberFormat="false" applyProtection="false" borderId="127" fillId="314" fontId="5" numFmtId="0" xfId="0">
      <alignment horizontal="center" vertical="center"/>
    </xf>
    <xf applyAlignment="true" applyBorder="false" applyFill="true" applyFont="true" applyNumberFormat="false" applyProtection="false" borderId="123" fillId="319" fontId="9" numFmtId="0" xfId="0">
      <alignment horizontal="center" vertical="center"/>
    </xf>
    <xf applyAlignment="true" applyBorder="false" applyFill="true" applyFont="true" applyNumberFormat="true" applyProtection="false" borderId="123" fillId="319" fontId="3" numFmtId="192" xfId="0">
      <alignment horizontal="center" vertical="center" wrapText="true"/>
    </xf>
    <xf applyAlignment="true" applyBorder="false" applyFill="true" applyFont="true" applyNumberFormat="true" applyProtection="false" borderId="127" fillId="319" fontId="3" numFmtId="192" xfId="0">
      <alignment horizontal="center" vertical="center" wrapText="true"/>
    </xf>
    <xf applyAlignment="true" applyBorder="false" applyFill="true" applyFont="true" applyNumberFormat="false" applyProtection="false" borderId="123" fillId="319" fontId="7" numFmtId="0" xfId="0">
      <alignment horizontal="center" vertical="center"/>
    </xf>
    <xf applyAlignment="true" applyBorder="false" applyFill="true" applyFont="true" applyNumberFormat="true" applyProtection="false" borderId="123" fillId="319" fontId="7" numFmtId="193" xfId="0">
      <alignment horizontal="center" vertical="center"/>
    </xf>
    <xf applyAlignment="true" applyBorder="false" applyFill="true" applyFont="true" applyNumberFormat="false" applyProtection="false" borderId="123" fillId="319" fontId="7" numFmtId="0" xfId="0">
      <alignment horizontal="center" vertical="center" wrapText="true"/>
    </xf>
    <xf applyAlignment="true" applyBorder="false" applyFill="true" applyFont="true" applyNumberFormat="false" applyProtection="false" borderId="127" fillId="319" fontId="7" numFmtId="0" xfId="0">
      <alignment horizontal="center" vertical="center"/>
    </xf>
    <xf applyAlignment="true" applyBorder="false" applyFill="true" applyFont="true" applyNumberFormat="false" applyProtection="false" borderId="0" fillId="311" fontId="5" numFmtId="0" xfId="0">
      <alignment horizontal="center" vertical="center"/>
    </xf>
    <xf applyAlignment="true" applyBorder="false" applyFill="true" applyFont="true" applyNumberFormat="false" applyProtection="false" borderId="127" fillId="314" fontId="5" numFmtId="0" xfId="0">
      <alignment horizontal="center" vertical="center"/>
    </xf>
    <xf applyAlignment="true" applyBorder="false" applyFill="true" applyFont="true" applyNumberFormat="true" applyProtection="false" borderId="123" fillId="316" fontId="4" numFmtId="193" xfId="0">
      <alignment horizontal="center" vertical="center"/>
    </xf>
    <xf applyAlignment="true" applyBorder="false" applyFill="true" applyFont="true" applyNumberFormat="true" applyProtection="false" borderId="123" fillId="316" fontId="4" numFmtId="193" xfId="0">
      <alignment horizontal="center" vertical="center"/>
    </xf>
    <xf applyAlignment="true" applyBorder="false" applyFill="true" applyFont="true" applyNumberFormat="true" applyProtection="false" borderId="123" fillId="316" fontId="5" numFmtId="195" xfId="0">
      <alignment horizontal="center" vertical="center"/>
    </xf>
    <xf applyAlignment="true" applyBorder="false" applyFill="true" applyFont="true" applyNumberFormat="false" applyProtection="false" borderId="123" fillId="316" fontId="5" numFmtId="0" xfId="0">
      <alignment horizontal="center" vertical="center"/>
    </xf>
    <xf applyAlignment="true" applyBorder="false" applyFill="true" applyFont="true" applyNumberFormat="false" applyProtection="false" borderId="123" fillId="316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0" fillId="311" fontId="6" numFmtId="0" xfId="0">
      <alignment vertical="center"/>
    </xf>
    <xf applyAlignment="true" applyBorder="false" applyFill="true" applyFont="true" applyNumberFormat="false" applyProtection="false" borderId="123" fillId="320" fontId="9" numFmtId="0" xfId="0">
      <alignment horizontal="center" vertical="center"/>
    </xf>
    <xf applyAlignment="true" applyBorder="false" applyFill="true" applyFont="true" applyNumberFormat="false" applyProtection="false" borderId="123" fillId="320" fontId="9" numFmtId="0" xfId="0">
      <alignment horizontal="center" vertical="center"/>
    </xf>
    <xf applyAlignment="true" applyBorder="false" applyFill="true" applyFont="true" applyNumberFormat="true" applyProtection="false" borderId="123" fillId="320" fontId="3" numFmtId="192" xfId="0">
      <alignment horizontal="center" vertical="center" wrapText="true"/>
    </xf>
    <xf applyAlignment="true" applyBorder="false" applyFill="true" applyFont="true" applyNumberFormat="true" applyProtection="false" borderId="127" fillId="320" fontId="3" numFmtId="192" xfId="0">
      <alignment horizontal="center" vertical="center" wrapText="true"/>
    </xf>
    <xf applyAlignment="true" applyBorder="false" applyFill="true" applyFont="true" applyNumberFormat="false" applyProtection="false" borderId="123" fillId="320" fontId="7" numFmtId="0" xfId="0">
      <alignment horizontal="center" vertical="center"/>
    </xf>
    <xf applyAlignment="true" applyBorder="false" applyFill="true" applyFont="true" applyNumberFormat="true" applyProtection="false" borderId="123" fillId="320" fontId="7" numFmtId="193" xfId="0">
      <alignment horizontal="center" vertical="center"/>
    </xf>
    <xf applyAlignment="true" applyBorder="false" applyFill="true" applyFont="true" applyNumberFormat="false" applyProtection="false" borderId="123" fillId="320" fontId="7" numFmtId="0" xfId="0">
      <alignment horizontal="center" vertical="center" wrapText="true"/>
    </xf>
    <xf applyAlignment="true" applyBorder="false" applyFill="true" applyFont="true" applyNumberFormat="false" applyProtection="false" borderId="127" fillId="320" fontId="7" numFmtId="0" xfId="0">
      <alignment horizontal="center" vertical="center"/>
    </xf>
    <xf applyAlignment="true" applyBorder="false" applyFill="true" applyFont="true" applyNumberFormat="false" applyProtection="false" borderId="123" fillId="321" fontId="9" numFmtId="0" xfId="0">
      <alignment horizontal="center" vertical="center"/>
    </xf>
    <xf applyAlignment="true" applyBorder="false" applyFill="true" applyFont="true" applyNumberFormat="true" applyProtection="false" borderId="123" fillId="321" fontId="3" numFmtId="192" xfId="0">
      <alignment horizontal="center" vertical="center" wrapText="true"/>
    </xf>
    <xf applyAlignment="true" applyBorder="false" applyFill="true" applyFont="true" applyNumberFormat="true" applyProtection="false" borderId="127" fillId="321" fontId="3" numFmtId="192" xfId="0">
      <alignment horizontal="center" vertical="center" wrapText="true"/>
    </xf>
    <xf applyAlignment="true" applyBorder="false" applyFill="true" applyFont="true" applyNumberFormat="false" applyProtection="false" borderId="123" fillId="321" fontId="7" numFmtId="0" xfId="0">
      <alignment horizontal="center" vertical="center"/>
    </xf>
    <xf applyAlignment="true" applyBorder="false" applyFill="true" applyFont="true" applyNumberFormat="true" applyProtection="false" borderId="123" fillId="321" fontId="7" numFmtId="193" xfId="0">
      <alignment horizontal="center" vertical="center"/>
    </xf>
    <xf applyAlignment="true" applyBorder="false" applyFill="true" applyFont="true" applyNumberFormat="false" applyProtection="false" borderId="123" fillId="321" fontId="7" numFmtId="0" xfId="0">
      <alignment horizontal="center" vertical="center" wrapText="true"/>
    </xf>
    <xf applyAlignment="true" applyBorder="false" applyFill="true" applyFont="true" applyNumberFormat="false" applyProtection="false" borderId="128" fillId="321" fontId="7" numFmtId="0" xfId="0">
      <alignment horizontal="center" vertical="center"/>
    </xf>
    <xf applyAlignment="true" applyBorder="false" applyFill="true" applyFont="true" applyNumberFormat="false" applyProtection="false" borderId="0" fillId="311" fontId="7" numFmtId="0" xfId="0">
      <alignment horizontal="center" vertical="center"/>
    </xf>
    <xf applyAlignment="true" applyBorder="false" applyFill="true" applyFont="true" applyNumberFormat="true" applyProtection="false" borderId="121" fillId="314" fontId="5" numFmtId="195" xfId="0">
      <alignment horizontal="center" vertical="center"/>
    </xf>
    <xf applyAlignment="true" applyBorder="false" applyFill="true" applyFont="true" applyNumberFormat="false" applyProtection="false" borderId="0" fillId="314" fontId="5" numFmtId="0" xfId="0">
      <alignment horizontal="center" vertical="center"/>
    </xf>
    <xf applyAlignment="true" applyBorder="false" applyFill="true" applyFont="true" applyNumberFormat="true" applyProtection="false" borderId="121" fillId="322" fontId="3" numFmtId="192" xfId="0">
      <alignment horizontal="center" vertical="center" wrapText="true"/>
    </xf>
    <xf applyAlignment="true" applyBorder="false" applyFill="true" applyFont="true" applyNumberFormat="true" applyProtection="false" borderId="121" fillId="322" fontId="10" numFmtId="192" xfId="0">
      <alignment horizontal="center" vertical="center" wrapText="true"/>
    </xf>
    <xf applyAlignment="true" applyBorder="false" applyFill="true" applyFont="true" applyNumberFormat="true" applyProtection="false" borderId="122" fillId="322" fontId="10" numFmtId="192" xfId="0">
      <alignment horizontal="center" vertical="center" wrapText="true"/>
    </xf>
    <xf applyAlignment="true" applyBorder="false" applyFill="true" applyFont="true" applyNumberFormat="true" applyProtection="false" borderId="0" fillId="311" fontId="10" numFmtId="192" xfId="0">
      <alignment horizontal="center" vertical="center" wrapText="true"/>
    </xf>
    <xf applyAlignment="true" applyBorder="false" applyFill="true" applyFont="true" applyNumberFormat="true" applyProtection="false" borderId="119" fillId="322" fontId="7" numFmtId="192" xfId="0">
      <alignment horizontal="center" vertical="center" wrapText="true"/>
    </xf>
    <xf applyAlignment="true" applyBorder="false" applyFill="true" applyFont="true" applyNumberFormat="true" applyProtection="false" borderId="119" fillId="322" fontId="7" numFmtId="193" xfId="0">
      <alignment horizontal="center" vertical="center"/>
    </xf>
    <xf applyAlignment="true" applyBorder="false" applyFill="true" applyFont="true" applyNumberFormat="false" applyProtection="false" borderId="119" fillId="322" fontId="7" numFmtId="0" xfId="0">
      <alignment horizontal="center" vertical="center"/>
    </xf>
    <xf applyAlignment="true" applyBorder="false" applyFill="true" applyFont="true" applyNumberFormat="false" applyProtection="false" borderId="119" fillId="322" fontId="7" numFmtId="0" xfId="0">
      <alignment horizontal="center" vertical="center" wrapText="true"/>
    </xf>
    <xf applyAlignment="true" applyBorder="false" applyFill="true" applyFont="true" applyNumberFormat="false" applyProtection="false" borderId="120" fillId="322" fontId="7" numFmtId="0" xfId="0">
      <alignment horizontal="center" vertical="center"/>
    </xf>
    <xf applyAlignment="true" applyBorder="false" applyFill="false" applyFont="true" applyNumberFormat="true" applyProtection="false" borderId="121" fillId="0" fontId="5" numFmtId="193" xfId="0">
      <alignment horizontal="center" vertical="center"/>
    </xf>
    <xf applyAlignment="true" applyBorder="false" applyFill="false" applyFont="true" applyNumberFormat="false" applyProtection="false" borderId="121" fillId="0" fontId="8" numFmtId="0" xfId="0">
      <alignment horizontal="center" vertical="center" wrapText="true"/>
    </xf>
    <xf applyAlignment="true" applyBorder="false" applyFill="false" applyFont="true" applyNumberFormat="false" applyProtection="false" borderId="122" fillId="0" fontId="8" numFmtId="0" xfId="0">
      <alignment vertical="center"/>
    </xf>
    <xf applyAlignment="true" applyBorder="false" applyFill="true" applyFont="true" applyNumberFormat="true" applyProtection="false" borderId="121" fillId="316" fontId="5" numFmtId="193" xfId="0">
      <alignment horizontal="center" vertical="center"/>
    </xf>
    <xf applyAlignment="true" applyBorder="false" applyFill="true" applyFont="true" applyNumberFormat="false" applyProtection="false" borderId="121" fillId="316" fontId="8" numFmtId="0" xfId="0">
      <alignment horizontal="center" vertical="center" wrapText="true"/>
    </xf>
    <xf applyAlignment="true" applyBorder="false" applyFill="true" applyFont="true" applyNumberFormat="false" applyProtection="false" borderId="122" fillId="316" fontId="8" numFmtId="0" xfId="0">
      <alignment vertical="center"/>
    </xf>
    <xf applyAlignment="true" applyBorder="false" applyFill="true" applyFont="true" applyNumberFormat="false" applyProtection="false" borderId="0" fillId="316" fontId="8" numFmtId="0" xfId="0">
      <alignment vertical="center"/>
    </xf>
    <xf applyAlignment="true" applyBorder="false" applyFill="true" applyFont="true" applyNumberFormat="true" applyProtection="false" borderId="121" fillId="314" fontId="5" numFmtId="193" xfId="0">
      <alignment horizontal="center" vertical="center"/>
    </xf>
    <xf applyAlignment="true" applyBorder="false" applyFill="true" applyFont="true" applyNumberFormat="false" applyProtection="false" borderId="121" fillId="314" fontId="8" numFmtId="0" xfId="0">
      <alignment horizontal="center" vertical="center" wrapText="true"/>
    </xf>
    <xf applyAlignment="true" applyBorder="false" applyFill="true" applyFont="true" applyNumberFormat="false" applyProtection="false" borderId="122" fillId="314" fontId="8" numFmtId="0" xfId="0">
      <alignment vertical="center"/>
    </xf>
    <xf applyAlignment="true" applyBorder="false" applyFill="true" applyFont="true" applyNumberFormat="false" applyProtection="false" borderId="122" fillId="314" fontId="8" numFmtId="0" xfId="0">
      <alignment vertical="center"/>
    </xf>
    <xf applyAlignment="true" applyBorder="false" applyFill="true" applyFont="true" applyNumberFormat="false" applyProtection="false" borderId="121" fillId="316" fontId="8" numFmtId="0" xfId="0">
      <alignment horizontal="center" vertical="center" wrapText="true"/>
    </xf>
    <xf applyAlignment="true" applyBorder="false" applyFill="true" applyFont="true" applyNumberFormat="false" applyProtection="false" borderId="121" fillId="314" fontId="8" numFmtId="0" xfId="0">
      <alignment horizontal="center" vertical="center" wrapText="true"/>
    </xf>
    <xf applyAlignment="true" applyBorder="false" applyFill="true" applyFont="true" applyNumberFormat="false" applyProtection="false" borderId="0" fillId="314" fontId="8" numFmtId="0" xfId="0">
      <alignment vertical="center"/>
    </xf>
    <xf applyAlignment="true" applyBorder="false" applyFill="false" applyFont="true" applyNumberFormat="false" applyProtection="false" borderId="121" fillId="0" fontId="8" numFmtId="0" xfId="0">
      <alignment horizontal="center" vertical="center" wrapText="true"/>
    </xf>
    <xf applyAlignment="true" applyBorder="false" applyFill="false" applyFont="true" applyNumberFormat="false" applyProtection="false" borderId="122" fillId="0" fontId="8" numFmtId="0" xfId="0">
      <alignment vertical="center"/>
    </xf>
    <xf applyAlignment="true" applyBorder="false" applyFill="true" applyFont="true" applyNumberFormat="true" applyProtection="false" borderId="119" fillId="323" fontId="3" numFmtId="192" xfId="0">
      <alignment horizontal="center" vertical="center" wrapText="true"/>
    </xf>
    <xf applyAlignment="true" applyBorder="false" applyFill="true" applyFont="true" applyNumberFormat="true" applyProtection="false" borderId="120" fillId="323" fontId="3" numFmtId="192" xfId="0">
      <alignment horizontal="center" vertical="center" wrapText="true"/>
    </xf>
    <xf applyAlignment="true" applyBorder="false" applyFill="true" applyFont="true" applyNumberFormat="true" applyProtection="false" borderId="120" fillId="323" fontId="7" numFmtId="192" xfId="0">
      <alignment horizontal="center" vertical="center" wrapText="true"/>
    </xf>
    <xf applyAlignment="true" applyBorder="false" applyFill="true" applyFont="true" applyNumberFormat="true" applyProtection="false" borderId="121" fillId="323" fontId="7" numFmtId="193" xfId="0">
      <alignment horizontal="center" vertical="center"/>
    </xf>
    <xf applyAlignment="true" applyBorder="false" applyFill="true" applyFont="true" applyNumberFormat="false" applyProtection="false" borderId="129" fillId="323" fontId="7" numFmtId="0" xfId="0">
      <alignment horizontal="center" vertical="center"/>
    </xf>
    <xf applyAlignment="true" applyBorder="false" applyFill="true" applyFont="true" applyNumberFormat="false" applyProtection="false" borderId="119" fillId="323" fontId="7" numFmtId="0" xfId="0">
      <alignment horizontal="center" vertical="center"/>
    </xf>
    <xf applyAlignment="true" applyBorder="false" applyFill="true" applyFont="true" applyNumberFormat="false" applyProtection="false" borderId="119" fillId="323" fontId="7" numFmtId="0" xfId="0">
      <alignment horizontal="center" vertical="center" wrapText="true"/>
    </xf>
    <xf applyAlignment="true" applyBorder="false" applyFill="true" applyFont="true" applyNumberFormat="false" applyProtection="false" borderId="120" fillId="323" fontId="7" numFmtId="0" xfId="0">
      <alignment horizontal="center" vertical="center"/>
    </xf>
    <xf applyAlignment="true" applyBorder="false" applyFill="true" applyFont="true" applyNumberFormat="false" applyProtection="false" borderId="122" fillId="323" fontId="7" numFmtId="0" xfId="0">
      <alignment horizontal="center" vertical="center"/>
    </xf>
    <xf applyAlignment="true" applyBorder="false" applyFill="true" applyFont="true" applyNumberFormat="true" applyProtection="false" borderId="121" fillId="311" fontId="4" numFmtId="193" xfId="0">
      <alignment horizontal="center" vertical="center"/>
    </xf>
    <xf applyAlignment="true" applyBorder="false" applyFill="true" applyFont="true" applyNumberFormat="true" applyProtection="false" borderId="121" fillId="311" fontId="4" numFmtId="193" xfId="0">
      <alignment horizontal="center" vertical="center"/>
    </xf>
    <xf applyAlignment="true" applyBorder="false" applyFill="true" applyFont="true" applyNumberFormat="false" applyProtection="false" borderId="121" fillId="311" fontId="5" numFmtId="0" xfId="0">
      <alignment horizontal="center" vertical="center"/>
    </xf>
    <xf applyAlignment="true" applyBorder="false" applyFill="true" applyFont="true" applyNumberFormat="false" applyProtection="false" borderId="121" fillId="311" fontId="5" numFmtId="0" xfId="0">
      <alignment horizontal="center" vertical="center" wrapText="true"/>
    </xf>
    <xf applyAlignment="true" applyBorder="false" applyFill="true" applyFont="true" applyNumberFormat="false" applyProtection="false" borderId="126" fillId="311" fontId="5" numFmtId="0" xfId="0">
      <alignment horizontal="center" vertical="center"/>
    </xf>
    <xf applyAlignment="true" applyBorder="false" applyFill="false" applyFont="true" applyNumberFormat="false" applyProtection="false" borderId="121" fillId="0" fontId="5" numFmtId="0" xfId="0">
      <alignment horizontal="center" vertical="center" wrapText="true"/>
    </xf>
    <xf applyAlignment="true" applyBorder="false" applyFill="false" applyFont="true" applyNumberFormat="false" applyProtection="false" borderId="126" fillId="0" fontId="5" numFmtId="0" xfId="0">
      <alignment horizontal="center" vertical="center"/>
    </xf>
    <xf applyAlignment="true" applyBorder="false" applyFill="true" applyFont="true" applyNumberFormat="true" applyProtection="false" borderId="121" fillId="314" fontId="5" numFmtId="194" xfId="0">
      <alignment horizontal="center" vertical="center"/>
    </xf>
    <xf applyAlignment="true" applyBorder="false" applyFill="false" applyFont="true" applyNumberFormat="false" applyProtection="false" borderId="121" fillId="0" fontId="5" numFmtId="0" xfId="0">
      <alignment horizontal="center" vertical="center" wrapText="true"/>
    </xf>
    <xf applyAlignment="true" applyBorder="false" applyFill="false" applyFont="true" applyNumberFormat="false" applyProtection="false" borderId="126" fillId="0" fontId="5" numFmtId="0" xfId="0">
      <alignment horizontal="center" vertical="center"/>
    </xf>
    <xf applyAlignment="true" applyBorder="false" applyFill="true" applyFont="true" applyNumberFormat="false" applyProtection="false" borderId="121" fillId="311" fontId="5" numFmtId="0" xfId="0">
      <alignment horizontal="center" vertical="center"/>
    </xf>
    <xf applyAlignment="true" applyBorder="false" applyFill="true" applyFont="true" applyNumberFormat="false" applyProtection="false" borderId="126" fillId="316" fontId="5" numFmtId="0" xfId="0">
      <alignment horizontal="center" vertical="center"/>
    </xf>
    <xf applyAlignment="true" applyBorder="false" applyFill="true" applyFont="true" applyNumberFormat="true" applyProtection="false" borderId="119" fillId="324" fontId="3" numFmtId="192" xfId="0">
      <alignment horizontal="center" vertical="center" wrapText="true"/>
    </xf>
    <xf applyAlignment="true" applyBorder="false" applyFill="true" applyFont="true" applyNumberFormat="true" applyProtection="false" borderId="120" fillId="324" fontId="3" numFmtId="192" xfId="0">
      <alignment horizontal="center" vertical="center" wrapText="true"/>
    </xf>
    <xf applyAlignment="true" applyBorder="false" applyFill="true" applyFont="true" applyNumberFormat="true" applyProtection="false" borderId="120" fillId="324" fontId="7" numFmtId="192" xfId="0">
      <alignment horizontal="center" vertical="center" wrapText="true"/>
    </xf>
    <xf applyAlignment="true" applyBorder="false" applyFill="true" applyFont="true" applyNumberFormat="true" applyProtection="false" borderId="121" fillId="324" fontId="7" numFmtId="193" xfId="0">
      <alignment horizontal="center" vertical="center"/>
    </xf>
    <xf applyAlignment="true" applyBorder="false" applyFill="true" applyFont="true" applyNumberFormat="false" applyProtection="false" borderId="129" fillId="324" fontId="7" numFmtId="0" xfId="0">
      <alignment horizontal="center" vertical="center"/>
    </xf>
    <xf applyAlignment="true" applyBorder="false" applyFill="true" applyFont="true" applyNumberFormat="false" applyProtection="false" borderId="119" fillId="324" fontId="7" numFmtId="0" xfId="0">
      <alignment horizontal="center" vertical="center"/>
    </xf>
    <xf applyAlignment="true" applyBorder="false" applyFill="true" applyFont="true" applyNumberFormat="false" applyProtection="false" borderId="119" fillId="324" fontId="7" numFmtId="0" xfId="0">
      <alignment horizontal="center" vertical="center" wrapText="true"/>
    </xf>
    <xf applyAlignment="true" applyBorder="false" applyFill="true" applyFont="true" applyNumberFormat="false" applyProtection="false" borderId="120" fillId="324" fontId="7" numFmtId="0" xfId="0">
      <alignment horizontal="center" vertical="center"/>
    </xf>
    <xf applyAlignment="true" applyBorder="false" applyFill="true" applyFont="true" applyNumberFormat="false" applyProtection="false" borderId="122" fillId="324" fontId="7" numFmtId="0" xfId="0">
      <alignment horizontal="center" vertical="center"/>
    </xf>
    <xf applyAlignment="true" applyBorder="false" applyFill="true" applyFont="true" applyNumberFormat="false" applyProtection="false" borderId="121" fillId="316" fontId="5" numFmtId="0" xfId="0">
      <alignment horizontal="center" vertical="center" wrapText="true"/>
    </xf>
    <xf applyAlignment="true" applyBorder="false" applyFill="true" applyFont="true" applyNumberFormat="false" applyProtection="false" borderId="126" fillId="316" fontId="5" numFmtId="0" xfId="0">
      <alignment horizontal="center" vertical="center"/>
    </xf>
    <xf applyAlignment="true" applyBorder="false" applyFill="false" applyFont="true" applyNumberFormat="false" applyProtection="false" borderId="124" fillId="0" fontId="5" numFmtId="0" xfId="0">
      <alignment horizontal="center" vertical="center"/>
    </xf>
    <xf applyAlignment="true" applyBorder="false" applyFill="true" applyFont="true" applyNumberFormat="false" applyProtection="false" borderId="0" fillId="314" fontId="15" numFmtId="0" xfId="0">
      <alignment horizontal="center" vertical="center"/>
    </xf>
    <xf applyAlignment="true" applyBorder="false" applyFill="true" applyFont="true" applyNumberFormat="true" applyProtection="false" borderId="119" fillId="325" fontId="3" numFmtId="192" xfId="0">
      <alignment horizontal="center" vertical="center" wrapText="true"/>
    </xf>
    <xf applyAlignment="true" applyBorder="false" applyFill="true" applyFont="true" applyNumberFormat="true" applyProtection="false" borderId="120" fillId="325" fontId="3" numFmtId="192" xfId="0">
      <alignment horizontal="center" vertical="center" wrapText="true"/>
    </xf>
    <xf applyAlignment="true" applyBorder="false" applyFill="true" applyFont="true" applyNumberFormat="true" applyProtection="false" borderId="120" fillId="325" fontId="7" numFmtId="192" xfId="0">
      <alignment horizontal="center" vertical="center" wrapText="true"/>
    </xf>
    <xf applyAlignment="true" applyBorder="false" applyFill="true" applyFont="true" applyNumberFormat="true" applyProtection="false" borderId="121" fillId="325" fontId="7" numFmtId="193" xfId="0">
      <alignment horizontal="center" vertical="center"/>
    </xf>
    <xf applyAlignment="true" applyBorder="false" applyFill="true" applyFont="true" applyNumberFormat="false" applyProtection="false" borderId="129" fillId="325" fontId="7" numFmtId="0" xfId="0">
      <alignment horizontal="center" vertical="center"/>
    </xf>
    <xf applyAlignment="true" applyBorder="false" applyFill="true" applyFont="true" applyNumberFormat="false" applyProtection="false" borderId="119" fillId="325" fontId="7" numFmtId="0" xfId="0">
      <alignment horizontal="center" vertical="center"/>
    </xf>
    <xf applyAlignment="true" applyBorder="false" applyFill="true" applyFont="true" applyNumberFormat="false" applyProtection="false" borderId="119" fillId="325" fontId="7" numFmtId="0" xfId="0">
      <alignment horizontal="center" vertical="center" wrapText="true"/>
    </xf>
    <xf applyAlignment="true" applyBorder="false" applyFill="true" applyFont="true" applyNumberFormat="false" applyProtection="false" borderId="120" fillId="325" fontId="7" numFmtId="0" xfId="0">
      <alignment horizontal="center" vertical="center"/>
    </xf>
    <xf applyAlignment="true" applyBorder="false" applyFill="true" applyFont="true" applyNumberFormat="false" applyProtection="false" borderId="122" fillId="325" fontId="7" numFmtId="0" xfId="0">
      <alignment horizontal="center" vertical="center"/>
    </xf>
    <xf applyAlignment="true" applyBorder="false" applyFill="true" applyFont="true" applyNumberFormat="true" applyProtection="false" borderId="124" fillId="311" fontId="5" numFmtId="194" xfId="0">
      <alignment horizontal="center" vertical="center"/>
    </xf>
    <xf applyAlignment="true" applyBorder="false" applyFill="true" applyFont="true" applyNumberFormat="true" applyProtection="false" borderId="121" fillId="316" fontId="5" numFmtId="194" xfId="0">
      <alignment horizontal="center" vertical="center"/>
    </xf>
    <xf applyAlignment="true" applyBorder="false" applyFill="true" applyFont="true" applyNumberFormat="false" applyProtection="false" borderId="121" fillId="316" fontId="5" numFmtId="0" xfId="0">
      <alignment horizontal="center" vertical="center" wrapText="true"/>
    </xf>
    <xf applyAlignment="true" applyBorder="false" applyFill="true" applyFont="true" applyNumberFormat="true" applyProtection="false" borderId="119" fillId="326" fontId="3" numFmtId="192" xfId="0">
      <alignment horizontal="center" vertical="center" wrapText="true"/>
    </xf>
    <xf applyAlignment="true" applyBorder="false" applyFill="true" applyFont="true" applyNumberFormat="true" applyProtection="false" borderId="130" fillId="326" fontId="3" numFmtId="192" xfId="0">
      <alignment horizontal="center" vertical="center" wrapText="true"/>
    </xf>
    <xf applyAlignment="true" applyBorder="false" applyFill="true" applyFont="true" applyNumberFormat="true" applyProtection="false" borderId="120" fillId="326" fontId="3" numFmtId="192" xfId="0">
      <alignment horizontal="center" vertical="center" wrapText="true"/>
    </xf>
    <xf applyAlignment="true" applyBorder="false" applyFill="true" applyFont="true" applyNumberFormat="true" applyProtection="false" borderId="120" fillId="326" fontId="7" numFmtId="192" xfId="0">
      <alignment horizontal="center" vertical="center" wrapText="true"/>
    </xf>
    <xf applyAlignment="true" applyBorder="false" applyFill="true" applyFont="true" applyNumberFormat="true" applyProtection="false" borderId="121" fillId="326" fontId="7" numFmtId="193" xfId="0">
      <alignment horizontal="center" vertical="center"/>
    </xf>
    <xf applyAlignment="true" applyBorder="false" applyFill="true" applyFont="true" applyNumberFormat="false" applyProtection="false" borderId="129" fillId="326" fontId="7" numFmtId="0" xfId="0">
      <alignment horizontal="center" vertical="center"/>
    </xf>
    <xf applyAlignment="true" applyBorder="false" applyFill="true" applyFont="true" applyNumberFormat="false" applyProtection="false" borderId="119" fillId="326" fontId="7" numFmtId="0" xfId="0">
      <alignment horizontal="center" vertical="center"/>
    </xf>
    <xf applyAlignment="true" applyBorder="false" applyFill="true" applyFont="true" applyNumberFormat="false" applyProtection="false" borderId="119" fillId="326" fontId="7" numFmtId="0" xfId="0">
      <alignment horizontal="center" vertical="center" wrapText="true"/>
    </xf>
    <xf applyAlignment="true" applyBorder="false" applyFill="true" applyFont="true" applyNumberFormat="false" applyProtection="false" borderId="120" fillId="326" fontId="7" numFmtId="0" xfId="0">
      <alignment horizontal="center" vertical="center"/>
    </xf>
    <xf applyAlignment="true" applyBorder="false" applyFill="true" applyFont="true" applyNumberFormat="false" applyProtection="false" borderId="122" fillId="326" fontId="7" numFmtId="0" xfId="0">
      <alignment horizontal="center" vertical="center"/>
    </xf>
    <xf applyAlignment="true" applyBorder="false" applyFill="true" applyFont="true" applyNumberFormat="true" applyProtection="false" borderId="119" fillId="327" fontId="3" numFmtId="192" xfId="0">
      <alignment horizontal="center" vertical="center" wrapText="true"/>
    </xf>
    <xf applyAlignment="true" applyBorder="false" applyFill="true" applyFont="true" applyNumberFormat="true" applyProtection="false" borderId="119" fillId="327" fontId="3" numFmtId="192" xfId="0">
      <alignment horizontal="center" vertical="center" wrapText="true"/>
    </xf>
    <xf applyAlignment="true" applyBorder="false" applyFill="true" applyFont="true" applyNumberFormat="true" applyProtection="false" borderId="130" fillId="327" fontId="3" numFmtId="192" xfId="0">
      <alignment horizontal="center" vertical="center" wrapText="true"/>
    </xf>
    <xf applyAlignment="true" applyBorder="false" applyFill="true" applyFont="true" applyNumberFormat="true" applyProtection="false" borderId="120" fillId="327" fontId="3" numFmtId="192" xfId="0">
      <alignment horizontal="center" vertical="center" wrapText="true"/>
    </xf>
    <xf applyAlignment="true" applyBorder="false" applyFill="true" applyFont="true" applyNumberFormat="true" applyProtection="false" borderId="120" fillId="327" fontId="7" numFmtId="192" xfId="0">
      <alignment horizontal="center" vertical="center" wrapText="true"/>
    </xf>
    <xf applyAlignment="true" applyBorder="false" applyFill="true" applyFont="true" applyNumberFormat="true" applyProtection="false" borderId="121" fillId="327" fontId="7" numFmtId="193" xfId="0">
      <alignment horizontal="center" vertical="center"/>
    </xf>
    <xf applyAlignment="true" applyBorder="false" applyFill="true" applyFont="true" applyNumberFormat="false" applyProtection="false" borderId="129" fillId="327" fontId="7" numFmtId="0" xfId="0">
      <alignment horizontal="center" vertical="center"/>
    </xf>
    <xf applyAlignment="true" applyBorder="false" applyFill="true" applyFont="true" applyNumberFormat="false" applyProtection="false" borderId="119" fillId="327" fontId="7" numFmtId="0" xfId="0">
      <alignment horizontal="center" vertical="center"/>
    </xf>
    <xf applyAlignment="true" applyBorder="false" applyFill="true" applyFont="true" applyNumberFormat="false" applyProtection="false" borderId="119" fillId="327" fontId="7" numFmtId="0" xfId="0">
      <alignment horizontal="center" vertical="center" wrapText="true"/>
    </xf>
    <xf applyAlignment="true" applyBorder="false" applyFill="true" applyFont="true" applyNumberFormat="false" applyProtection="false" borderId="120" fillId="327" fontId="7" numFmtId="0" xfId="0">
      <alignment horizontal="center" vertical="center"/>
    </xf>
    <xf applyAlignment="true" applyBorder="false" applyFill="true" applyFont="true" applyNumberFormat="false" applyProtection="false" borderId="122" fillId="327" fontId="7" numFmtId="0" xfId="0">
      <alignment horizontal="center" vertical="center"/>
    </xf>
    <xf applyAlignment="true" applyBorder="false" applyFill="true" applyFont="true" applyNumberFormat="false" applyProtection="false" borderId="121" fillId="328" fontId="5" numFmtId="0" xfId="0">
      <alignment horizontal="center" vertical="center"/>
    </xf>
    <xf applyAlignment="true" applyBorder="false" applyFill="true" applyFont="true" applyNumberFormat="true" applyProtection="false" borderId="121" fillId="329" fontId="4" numFmtId="193" xfId="0">
      <alignment horizontal="center" vertical="center"/>
    </xf>
    <xf applyAlignment="true" applyBorder="false" applyFill="true" applyFont="true" applyNumberFormat="true" applyProtection="false" borderId="121" fillId="329" fontId="4" numFmtId="193" xfId="0">
      <alignment horizontal="center" vertical="center"/>
    </xf>
    <xf applyAlignment="true" applyBorder="false" applyFill="true" applyFont="true" applyNumberFormat="false" applyProtection="false" borderId="121" fillId="329" fontId="5" numFmtId="0" xfId="0">
      <alignment horizontal="center" vertical="center"/>
    </xf>
    <xf applyAlignment="true" applyBorder="false" applyFill="true" applyFont="true" applyNumberFormat="false" applyProtection="false" borderId="121" fillId="329" fontId="5" numFmtId="0" xfId="0">
      <alignment horizontal="center" vertical="center"/>
    </xf>
    <xf applyAlignment="true" applyBorder="false" applyFill="true" applyFont="true" applyNumberFormat="false" applyProtection="false" borderId="121" fillId="329" fontId="5" numFmtId="0" xfId="0">
      <alignment horizontal="center" vertical="center" wrapText="true"/>
    </xf>
    <xf applyAlignment="true" applyBorder="false" applyFill="true" applyFont="true" applyNumberFormat="false" applyProtection="false" borderId="126" fillId="329" fontId="5" numFmtId="0" xfId="0">
      <alignment horizontal="center" vertical="center"/>
    </xf>
    <xf applyAlignment="true" applyBorder="false" applyFill="true" applyFont="true" applyNumberFormat="false" applyProtection="false" borderId="0" fillId="329" fontId="5" numFmtId="0" xfId="0">
      <alignment horizontal="center" vertical="center"/>
    </xf>
    <xf applyAlignment="true" applyBorder="false" applyFill="true" applyFont="true" applyNumberFormat="false" applyProtection="false" borderId="0" fillId="329" fontId="6" numFmtId="0" xfId="0">
      <alignment vertical="center"/>
    </xf>
    <xf applyAlignment="true" applyBorder="false" applyFill="true" applyFont="true" applyNumberFormat="true" applyProtection="false" borderId="121" fillId="330" fontId="4" numFmtId="193" xfId="0">
      <alignment horizontal="center" vertical="center"/>
    </xf>
    <xf applyAlignment="true" applyBorder="false" applyFill="true" applyFont="true" applyNumberFormat="true" applyProtection="false" borderId="121" fillId="330" fontId="4" numFmtId="193" xfId="0">
      <alignment horizontal="center" vertical="center"/>
    </xf>
    <xf applyAlignment="true" applyBorder="false" applyFill="true" applyFont="true" applyNumberFormat="false" applyProtection="false" borderId="121" fillId="330" fontId="5" numFmtId="0" xfId="0">
      <alignment horizontal="center" vertical="center"/>
    </xf>
    <xf applyAlignment="true" applyBorder="false" applyFill="true" applyFont="true" applyNumberFormat="false" applyProtection="false" borderId="121" fillId="330" fontId="5" numFmtId="0" xfId="0">
      <alignment horizontal="center" vertical="center"/>
    </xf>
    <xf applyAlignment="true" applyBorder="false" applyFill="true" applyFont="true" applyNumberFormat="false" applyProtection="false" borderId="121" fillId="330" fontId="5" numFmtId="0" xfId="0">
      <alignment horizontal="center" vertical="center" wrapText="true"/>
    </xf>
    <xf applyAlignment="true" applyBorder="false" applyFill="true" applyFont="true" applyNumberFormat="false" applyProtection="false" borderId="126" fillId="330" fontId="5" numFmtId="0" xfId="0">
      <alignment horizontal="center" vertical="center"/>
    </xf>
    <xf applyAlignment="true" applyBorder="false" applyFill="true" applyFont="true" applyNumberFormat="false" applyProtection="false" borderId="0" fillId="330" fontId="5" numFmtId="0" xfId="0">
      <alignment horizontal="center" vertical="center"/>
    </xf>
    <xf applyAlignment="true" applyBorder="false" applyFill="true" applyFont="true" applyNumberFormat="false" applyProtection="false" borderId="0" fillId="330" fontId="6" numFmtId="0" xfId="0">
      <alignment vertical="center"/>
    </xf>
    <xf applyAlignment="true" applyBorder="false" applyFill="true" applyFont="true" applyNumberFormat="false" applyProtection="false" borderId="126" fillId="311" fontId="5" numFmtId="0" xfId="0">
      <alignment horizontal="center" vertical="center"/>
    </xf>
    <xf applyAlignment="true" applyBorder="false" applyFill="true" applyFont="true" applyNumberFormat="true" applyProtection="false" borderId="121" fillId="331" fontId="3" numFmtId="192" xfId="0">
      <alignment horizontal="center" vertical="center" wrapText="true"/>
    </xf>
    <xf applyAlignment="true" applyBorder="false" applyFill="true" applyFont="true" applyNumberFormat="false" applyProtection="false" borderId="0" fillId="331" fontId="8" numFmtId="0" xfId="0">
      <alignment vertical="center"/>
    </xf>
    <xf applyAlignment="true" applyBorder="false" applyFill="true" applyFont="true" applyNumberFormat="false" applyProtection="false" borderId="0" fillId="331" fontId="8" numFmtId="0" xfId="0">
      <alignment horizontal="center" vertical="center"/>
    </xf>
    <xf applyAlignment="true" applyBorder="false" applyFill="true" applyFont="true" applyNumberFormat="true" applyProtection="false" borderId="121" fillId="332" fontId="7" numFmtId="192" xfId="0">
      <alignment horizontal="center" vertical="center" wrapText="true"/>
    </xf>
    <xf applyAlignment="true" applyBorder="false" applyFill="true" applyFont="true" applyNumberFormat="true" applyProtection="false" borderId="121" fillId="332" fontId="7" numFmtId="193" xfId="0">
      <alignment horizontal="center" vertical="center"/>
    </xf>
    <xf applyAlignment="true" applyBorder="false" applyFill="true" applyFont="true" applyNumberFormat="false" applyProtection="false" borderId="119" fillId="332" fontId="7" numFmtId="0" xfId="0">
      <alignment horizontal="center" vertical="center"/>
    </xf>
    <xf applyAlignment="true" applyBorder="false" applyFill="true" applyFont="true" applyNumberFormat="false" applyProtection="false" borderId="121" fillId="332" fontId="7" numFmtId="0" xfId="0">
      <alignment horizontal="center" vertical="center"/>
    </xf>
    <xf applyAlignment="true" applyBorder="false" applyFill="true" applyFont="true" applyNumberFormat="false" applyProtection="false" borderId="121" fillId="332" fontId="7" numFmtId="0" xfId="0">
      <alignment horizontal="center" vertical="center" wrapText="true"/>
    </xf>
    <xf applyAlignment="true" applyBorder="false" applyFill="true" applyFont="true" applyNumberFormat="false" applyProtection="false" borderId="122" fillId="332" fontId="7" numFmtId="0" xfId="0">
      <alignment horizontal="center" vertical="center"/>
    </xf>
    <xf applyAlignment="true" applyBorder="false" applyFill="true" applyFont="true" applyNumberFormat="true" applyProtection="false" borderId="121" fillId="333" fontId="4" numFmtId="193" xfId="0">
      <alignment horizontal="center" vertical="center"/>
    </xf>
    <xf applyAlignment="true" applyBorder="false" applyFill="true" applyFont="true" applyNumberFormat="true" applyProtection="false" borderId="121" fillId="333" fontId="4" numFmtId="193" xfId="0">
      <alignment horizontal="center" vertical="center"/>
    </xf>
    <xf applyAlignment="true" applyBorder="false" applyFill="true" applyFont="true" applyNumberFormat="false" applyProtection="false" borderId="121" fillId="333" fontId="5" numFmtId="0" xfId="0">
      <alignment horizontal="center" vertical="center"/>
    </xf>
    <xf applyAlignment="true" applyBorder="false" applyFill="true" applyFont="true" applyNumberFormat="false" applyProtection="false" borderId="121" fillId="333" fontId="5" numFmtId="0" xfId="0">
      <alignment horizontal="center" vertical="center"/>
    </xf>
    <xf applyAlignment="true" applyBorder="false" applyFill="true" applyFont="true" applyNumberFormat="false" applyProtection="false" borderId="121" fillId="333" fontId="5" numFmtId="0" xfId="0">
      <alignment horizontal="center" vertical="center" wrapText="true"/>
    </xf>
    <xf applyAlignment="true" applyBorder="false" applyFill="true" applyFont="true" applyNumberFormat="false" applyProtection="false" borderId="0" fillId="333" fontId="5" numFmtId="0" xfId="0">
      <alignment horizontal="center" vertical="center"/>
    </xf>
    <xf applyAlignment="true" applyBorder="false" applyFill="true" applyFont="true" applyNumberFormat="false" applyProtection="false" borderId="0" fillId="333" fontId="8" numFmtId="0" xfId="0">
      <alignment vertical="center"/>
    </xf>
    <xf applyAlignment="true" applyBorder="false" applyFill="true" applyFont="true" applyNumberFormat="false" applyProtection="false" borderId="122" fillId="311" fontId="5" numFmtId="0" xfId="0">
      <alignment horizontal="center" vertical="center"/>
    </xf>
    <xf applyAlignment="true" applyBorder="false" applyFill="true" applyFont="true" applyNumberFormat="true" applyProtection="false" borderId="121" fillId="317" fontId="3" numFmtId="192" xfId="0">
      <alignment horizontal="center" vertical="center" wrapText="true"/>
    </xf>
    <xf applyAlignment="true" applyBorder="false" applyFill="true" applyFont="true" applyNumberFormat="true" applyProtection="false" borderId="121" fillId="317" fontId="7" numFmtId="192" xfId="0">
      <alignment horizontal="center" vertical="center" wrapText="true"/>
    </xf>
    <xf applyAlignment="true" applyBorder="false" applyFill="true" applyFont="true" applyNumberFormat="true" applyProtection="false" borderId="121" fillId="317" fontId="7" numFmtId="193" xfId="0">
      <alignment horizontal="center" vertical="center"/>
    </xf>
    <xf applyAlignment="true" applyBorder="false" applyFill="true" applyFont="true" applyNumberFormat="false" applyProtection="false" borderId="119" fillId="317" fontId="7" numFmtId="0" xfId="0">
      <alignment horizontal="center" vertical="center"/>
    </xf>
    <xf applyAlignment="true" applyBorder="false" applyFill="true" applyFont="true" applyNumberFormat="false" applyProtection="false" borderId="121" fillId="317" fontId="7" numFmtId="0" xfId="0">
      <alignment horizontal="center" vertical="center"/>
    </xf>
    <xf applyAlignment="true" applyBorder="false" applyFill="true" applyFont="true" applyNumberFormat="false" applyProtection="false" borderId="121" fillId="317" fontId="7" numFmtId="0" xfId="0">
      <alignment horizontal="center" vertical="center" wrapText="true"/>
    </xf>
    <xf applyAlignment="true" applyBorder="false" applyFill="true" applyFont="true" applyNumberFormat="false" applyProtection="false" borderId="122" fillId="317" fontId="7" numFmtId="0" xfId="0">
      <alignment horizontal="center" vertical="center"/>
    </xf>
    <xf applyAlignment="true" applyBorder="false" applyFill="true" applyFont="true" applyNumberFormat="false" applyProtection="false" borderId="0" fillId="317" fontId="7" numFmtId="0" xfId="0">
      <alignment horizontal="center" vertical="center"/>
    </xf>
    <xf applyAlignment="true" applyBorder="false" applyFill="true" applyFont="true" applyNumberFormat="true" applyProtection="false" borderId="121" fillId="334" fontId="3" numFmtId="192" xfId="0">
      <alignment horizontal="center" vertical="center" wrapText="true"/>
    </xf>
    <xf applyAlignment="true" applyBorder="false" applyFill="true" applyFont="true" applyNumberFormat="true" applyProtection="false" borderId="121" fillId="334" fontId="4" numFmtId="193" xfId="0">
      <alignment horizontal="center" vertical="center"/>
    </xf>
    <xf applyAlignment="true" applyBorder="false" applyFill="true" applyFont="true" applyNumberFormat="true" applyProtection="false" borderId="121" fillId="334" fontId="4" numFmtId="193" xfId="0">
      <alignment horizontal="center" vertical="center"/>
    </xf>
    <xf applyAlignment="true" applyBorder="false" applyFill="true" applyFont="true" applyNumberFormat="false" applyProtection="false" borderId="121" fillId="334" fontId="5" numFmtId="0" xfId="0">
      <alignment horizontal="center" vertical="center"/>
    </xf>
    <xf applyAlignment="true" applyBorder="false" applyFill="true" applyFont="true" applyNumberFormat="false" applyProtection="false" borderId="121" fillId="334" fontId="5" numFmtId="0" xfId="0">
      <alignment horizontal="center" vertical="center"/>
    </xf>
    <xf applyAlignment="true" applyBorder="false" applyFill="true" applyFont="true" applyNumberFormat="false" applyProtection="false" borderId="121" fillId="334" fontId="5" numFmtId="0" xfId="0">
      <alignment horizontal="center" vertical="center" wrapText="true"/>
    </xf>
    <xf applyAlignment="true" applyBorder="false" applyFill="true" applyFont="true" applyNumberFormat="false" applyProtection="false" borderId="122" fillId="334" fontId="5" numFmtId="0" xfId="0">
      <alignment horizontal="center" vertical="center"/>
    </xf>
    <xf applyAlignment="true" applyBorder="false" applyFill="true" applyFont="true" applyNumberFormat="false" applyProtection="false" borderId="0" fillId="334" fontId="5" numFmtId="0" xfId="0">
      <alignment horizontal="center" vertical="center"/>
    </xf>
    <xf applyAlignment="true" applyBorder="false" applyFill="true" applyFont="true" applyNumberFormat="false" applyProtection="false" borderId="0" fillId="334" fontId="6" numFmtId="0" xfId="0">
      <alignment vertical="center"/>
    </xf>
    <xf applyAlignment="true" applyBorder="false" applyFill="true" applyFont="true" applyNumberFormat="true" applyProtection="false" borderId="121" fillId="334" fontId="7" numFmtId="192" xfId="0">
      <alignment horizontal="center" vertical="center" wrapText="true"/>
    </xf>
    <xf applyAlignment="true" applyBorder="false" applyFill="true" applyFont="true" applyNumberFormat="true" applyProtection="false" borderId="121" fillId="334" fontId="7" numFmtId="193" xfId="0">
      <alignment horizontal="center" vertical="center"/>
    </xf>
    <xf applyAlignment="true" applyBorder="false" applyFill="true" applyFont="true" applyNumberFormat="false" applyProtection="false" borderId="119" fillId="334" fontId="7" numFmtId="0" xfId="0">
      <alignment horizontal="center" vertical="center"/>
    </xf>
    <xf applyAlignment="true" applyBorder="false" applyFill="true" applyFont="true" applyNumberFormat="false" applyProtection="false" borderId="121" fillId="334" fontId="7" numFmtId="0" xfId="0">
      <alignment horizontal="center" vertical="center"/>
    </xf>
    <xf applyAlignment="true" applyBorder="false" applyFill="true" applyFont="true" applyNumberFormat="false" applyProtection="false" borderId="121" fillId="334" fontId="7" numFmtId="0" xfId="0">
      <alignment horizontal="center" vertical="center" wrapText="true"/>
    </xf>
    <xf applyAlignment="true" applyBorder="false" applyFill="true" applyFont="true" applyNumberFormat="false" applyProtection="false" borderId="122" fillId="334" fontId="7" numFmtId="0" xfId="0">
      <alignment horizontal="center" vertical="center"/>
    </xf>
    <xf applyAlignment="true" applyBorder="false" applyFill="true" applyFont="true" applyNumberFormat="false" applyProtection="false" borderId="0" fillId="334" fontId="7" numFmtId="0" xfId="0">
      <alignment horizontal="center" vertical="center"/>
    </xf>
    <xf applyAlignment="true" applyBorder="false" applyFill="true" applyFont="true" applyNumberFormat="true" applyProtection="false" borderId="121" fillId="335" fontId="4" numFmtId="193" xfId="0">
      <alignment horizontal="center" vertical="center"/>
    </xf>
    <xf applyAlignment="true" applyBorder="false" applyFill="true" applyFont="true" applyNumberFormat="false" applyProtection="false" borderId="121" fillId="335" fontId="5" numFmtId="0" xfId="0">
      <alignment horizontal="center" vertical="center"/>
    </xf>
    <xf applyAlignment="true" applyBorder="false" applyFill="true" applyFont="true" applyNumberFormat="false" applyProtection="false" borderId="121" fillId="335" fontId="5" numFmtId="0" xfId="0">
      <alignment horizontal="center" vertical="center" wrapText="true"/>
    </xf>
    <xf applyAlignment="true" applyBorder="false" applyFill="true" applyFont="true" applyNumberFormat="false" applyProtection="false" borderId="0" fillId="335" fontId="5" numFmtId="0" xfId="0">
      <alignment horizontal="center" vertical="center"/>
    </xf>
    <xf applyAlignment="true" applyBorder="false" applyFill="true" applyFont="true" applyNumberFormat="false" applyProtection="false" borderId="0" fillId="335" fontId="8" numFmtId="0" xfId="0">
      <alignment vertical="center"/>
    </xf>
    <xf applyAlignment="true" applyBorder="false" applyFill="true" applyFont="true" applyNumberFormat="true" applyProtection="false" borderId="121" fillId="313" fontId="3" numFmtId="192" xfId="0">
      <alignment horizontal="center" vertical="center" wrapText="true"/>
    </xf>
    <xf applyAlignment="true" applyBorder="false" applyFill="true" applyFont="true" applyNumberFormat="true" applyProtection="false" borderId="122" fillId="313" fontId="3" numFmtId="192" xfId="0">
      <alignment horizontal="center" vertical="center" wrapText="true"/>
    </xf>
    <xf applyAlignment="true" applyBorder="false" applyFill="true" applyFont="true" applyNumberFormat="false" applyProtection="false" borderId="121" fillId="313" fontId="7" numFmtId="0" xfId="0">
      <alignment horizontal="center" vertical="center" wrapText="true"/>
    </xf>
    <xf applyAlignment="true" applyBorder="false" applyFill="false" applyFont="true" applyNumberFormat="false" applyProtection="false" borderId="122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121" fillId="336" fontId="10" numFmtId="192" xfId="0">
      <alignment horizontal="center" vertical="center" wrapText="true"/>
    </xf>
    <xf applyAlignment="true" applyBorder="false" applyFill="true" applyFont="true" applyNumberFormat="true" applyProtection="false" borderId="122" fillId="336" fontId="10" numFmtId="192" xfId="0">
      <alignment horizontal="center" vertical="center" wrapText="true"/>
    </xf>
    <xf applyAlignment="true" applyBorder="false" applyFill="true" applyFont="true" applyNumberFormat="true" applyProtection="false" borderId="121" fillId="336" fontId="7" numFmtId="192" xfId="0">
      <alignment horizontal="center" vertical="center" wrapText="true"/>
    </xf>
    <xf applyAlignment="true" applyBorder="false" applyFill="true" applyFont="true" applyNumberFormat="true" applyProtection="false" borderId="121" fillId="336" fontId="7" numFmtId="193" xfId="0">
      <alignment horizontal="center" vertical="center"/>
    </xf>
    <xf applyAlignment="true" applyBorder="false" applyFill="true" applyFont="true" applyNumberFormat="false" applyProtection="false" borderId="121" fillId="336" fontId="7" numFmtId="0" xfId="0">
      <alignment horizontal="center" vertical="center"/>
    </xf>
    <xf applyAlignment="true" applyBorder="false" applyFill="true" applyFont="true" applyNumberFormat="false" applyProtection="false" borderId="121" fillId="336" fontId="7" numFmtId="0" xfId="0">
      <alignment horizontal="center" vertical="center" wrapText="true"/>
    </xf>
    <xf applyAlignment="true" applyBorder="false" applyFill="true" applyFont="true" applyNumberFormat="false" applyProtection="false" borderId="122" fillId="336" fontId="7" numFmtId="0" xfId="0">
      <alignment horizontal="center" vertical="center"/>
    </xf>
    <xf applyAlignment="true" applyBorder="false" applyFill="true" applyFont="true" applyNumberFormat="true" applyProtection="false" borderId="121" fillId="314" fontId="15" numFmtId="194" xfId="0">
      <alignment horizontal="center" vertical="center"/>
    </xf>
    <xf applyAlignment="true" applyBorder="false" applyFill="true" applyFont="true" applyNumberFormat="true" applyProtection="false" borderId="121" fillId="337" fontId="7" numFmtId="192" xfId="0">
      <alignment horizontal="center" vertical="center" wrapText="true"/>
    </xf>
    <xf applyAlignment="true" applyBorder="false" applyFill="true" applyFont="true" applyNumberFormat="true" applyProtection="false" borderId="121" fillId="337" fontId="7" numFmtId="193" xfId="0">
      <alignment horizontal="center" vertical="center"/>
    </xf>
    <xf applyAlignment="true" applyBorder="false" applyFill="true" applyFont="true" applyNumberFormat="false" applyProtection="false" borderId="121" fillId="337" fontId="7" numFmtId="0" xfId="0">
      <alignment horizontal="center" vertical="center"/>
    </xf>
    <xf applyAlignment="true" applyBorder="false" applyFill="true" applyFont="true" applyNumberFormat="false" applyProtection="false" borderId="121" fillId="337" fontId="7" numFmtId="0" xfId="0">
      <alignment horizontal="center" vertical="center" wrapText="true"/>
    </xf>
    <xf applyAlignment="true" applyBorder="false" applyFill="true" applyFont="true" applyNumberFormat="false" applyProtection="false" borderId="122" fillId="337" fontId="7" numFmtId="0" xfId="0">
      <alignment horizontal="center" vertical="center"/>
    </xf>
    <xf applyAlignment="true" applyBorder="false" applyFill="true" applyFont="true" applyNumberFormat="false" applyProtection="false" borderId="122" fillId="311" fontId="5" numFmtId="0" xfId="0">
      <alignment horizontal="center" vertical="center"/>
    </xf>
    <xf applyAlignment="true" applyBorder="false" applyFill="true" applyFont="true" applyNumberFormat="true" applyProtection="false" borderId="121" fillId="337" fontId="3" numFmtId="192" xfId="0">
      <alignment horizontal="center" vertical="center" wrapText="true"/>
    </xf>
    <xf applyAlignment="true" applyBorder="false" applyFill="true" applyFont="true" applyNumberFormat="true" applyProtection="false" borderId="121" fillId="337" fontId="3" numFmtId="192" xfId="0">
      <alignment horizontal="center" vertical="center" wrapText="true"/>
    </xf>
    <xf applyAlignment="true" applyBorder="false" applyFill="true" applyFont="true" applyNumberFormat="true" applyProtection="false" borderId="122" fillId="337" fontId="3" numFmtId="192" xfId="0">
      <alignment horizontal="center" vertical="center" wrapText="true"/>
    </xf>
    <xf applyAlignment="true" applyBorder="false" applyFill="true" applyFont="true" applyNumberFormat="true" applyProtection="false" borderId="121" fillId="314" fontId="4" numFmtId="194" xfId="0">
      <alignment horizontal="center" vertical="center"/>
    </xf>
    <xf applyAlignment="true" applyBorder="false" applyFill="true" applyFont="true" applyNumberFormat="false" applyProtection="false" borderId="122" fillId="316" fontId="5" numFmtId="0" xfId="0">
      <alignment horizontal="center" vertical="center"/>
    </xf>
    <xf applyAlignment="true" applyBorder="false" applyFill="true" applyFont="true" applyNumberFormat="false" applyProtection="false" borderId="0" fillId="316" fontId="5" numFmtId="0" xfId="0">
      <alignment horizontal="center" vertical="center"/>
    </xf>
    <xf applyAlignment="true" applyBorder="false" applyFill="true" applyFont="true" applyNumberFormat="false" applyProtection="false" borderId="121" fillId="314" fontId="4" numFmtId="0" xfId="0">
      <alignment horizontal="center" vertical="center"/>
    </xf>
    <xf applyAlignment="true" applyBorder="false" applyFill="true" applyFont="true" applyNumberFormat="true" applyProtection="false" borderId="121" fillId="326" fontId="3" numFmtId="192" xfId="0">
      <alignment horizontal="center" vertical="center" wrapText="true"/>
    </xf>
    <xf applyAlignment="true" applyBorder="false" applyFill="true" applyFont="true" applyNumberFormat="true" applyProtection="false" borderId="121" fillId="326" fontId="3" numFmtId="192" xfId="0">
      <alignment horizontal="center" vertical="center" wrapText="true"/>
    </xf>
    <xf applyAlignment="true" applyBorder="false" applyFill="true" applyFont="true" applyNumberFormat="true" applyProtection="false" borderId="122" fillId="326" fontId="3" numFmtId="192" xfId="0">
      <alignment horizontal="center" vertical="center" wrapText="true"/>
    </xf>
    <xf applyAlignment="true" applyBorder="false" applyFill="true" applyFont="true" applyNumberFormat="true" applyProtection="false" borderId="121" fillId="326" fontId="7" numFmtId="192" xfId="0">
      <alignment horizontal="center" vertical="center" wrapText="true"/>
    </xf>
    <xf applyAlignment="true" applyBorder="false" applyFill="true" applyFont="true" applyNumberFormat="false" applyProtection="false" borderId="121" fillId="326" fontId="7" numFmtId="0" xfId="0">
      <alignment horizontal="center" vertical="center"/>
    </xf>
    <xf applyAlignment="true" applyBorder="false" applyFill="true" applyFont="true" applyNumberFormat="false" applyProtection="false" borderId="121" fillId="326" fontId="7" numFmtId="0" xfId="0">
      <alignment horizontal="center" vertical="center" wrapText="true"/>
    </xf>
    <xf applyAlignment="true" applyBorder="false" applyFill="true" applyFont="true" applyNumberFormat="true" applyProtection="false" borderId="121" fillId="311" fontId="5" numFmtId="194" xfId="0">
      <alignment horizontal="center" vertical="center"/>
    </xf>
    <xf applyAlignment="true" applyBorder="false" applyFill="true" applyFont="true" applyNumberFormat="true" applyProtection="false" borderId="121" fillId="338" fontId="3" numFmtId="192" xfId="0">
      <alignment horizontal="center" vertical="center" wrapText="true"/>
    </xf>
    <xf applyAlignment="true" applyBorder="false" applyFill="true" applyFont="true" applyNumberFormat="true" applyProtection="false" borderId="122" fillId="338" fontId="3" numFmtId="192" xfId="0">
      <alignment horizontal="center" vertical="center" wrapText="true"/>
    </xf>
    <xf applyAlignment="true" applyBorder="false" applyFill="true" applyFont="true" applyNumberFormat="true" applyProtection="false" borderId="121" fillId="338" fontId="7" numFmtId="192" xfId="0">
      <alignment horizontal="center" vertical="center" wrapText="true"/>
    </xf>
    <xf applyAlignment="true" applyBorder="false" applyFill="true" applyFont="true" applyNumberFormat="true" applyProtection="false" borderId="121" fillId="338" fontId="7" numFmtId="193" xfId="0">
      <alignment horizontal="center" vertical="center"/>
    </xf>
    <xf applyAlignment="true" applyBorder="false" applyFill="true" applyFont="true" applyNumberFormat="false" applyProtection="false" borderId="121" fillId="338" fontId="7" numFmtId="0" xfId="0">
      <alignment horizontal="center" vertical="center"/>
    </xf>
    <xf applyAlignment="true" applyBorder="false" applyFill="true" applyFont="true" applyNumberFormat="false" applyProtection="false" borderId="121" fillId="338" fontId="7" numFmtId="0" xfId="0">
      <alignment horizontal="center" vertical="center" wrapText="true"/>
    </xf>
    <xf applyAlignment="true" applyBorder="false" applyFill="true" applyFont="true" applyNumberFormat="false" applyProtection="false" borderId="122" fillId="338" fontId="7" numFmtId="0" xfId="0">
      <alignment horizontal="center" vertical="center"/>
    </xf>
    <xf applyAlignment="true" applyBorder="false" applyFill="true" applyFont="true" applyNumberFormat="false" applyProtection="false" borderId="121" fillId="311" fontId="5" numFmtId="0" xfId="0">
      <alignment horizontal="center" vertical="center" wrapText="true"/>
    </xf>
    <xf applyAlignment="true" applyBorder="false" applyFill="true" applyFont="true" applyNumberFormat="true" applyProtection="false" borderId="121" fillId="328" fontId="3" numFmtId="192" xfId="0">
      <alignment horizontal="center" vertical="center" wrapText="true"/>
    </xf>
    <xf applyAlignment="true" applyBorder="false" applyFill="true" applyFont="true" applyNumberFormat="false" applyProtection="false" borderId="0" fillId="328" fontId="8" numFmtId="0" xfId="0">
      <alignment vertical="center"/>
    </xf>
    <xf applyAlignment="true" applyBorder="false" applyFill="true" applyFont="true" applyNumberFormat="false" applyProtection="false" borderId="0" fillId="328" fontId="8" numFmtId="0" xfId="0">
      <alignment horizontal="center" vertical="center"/>
    </xf>
    <xf applyAlignment="true" applyBorder="false" applyFill="true" applyFont="true" applyNumberFormat="true" applyProtection="false" borderId="121" fillId="328" fontId="7" numFmtId="192" xfId="0">
      <alignment horizontal="center" vertical="center" wrapText="true"/>
    </xf>
    <xf applyAlignment="true" applyBorder="false" applyFill="true" applyFont="true" applyNumberFormat="true" applyProtection="false" borderId="121" fillId="328" fontId="7" numFmtId="193" xfId="0">
      <alignment horizontal="center" vertical="center"/>
    </xf>
    <xf applyAlignment="true" applyBorder="false" applyFill="true" applyFont="true" applyNumberFormat="false" applyProtection="false" borderId="119" fillId="328" fontId="7" numFmtId="0" xfId="0">
      <alignment horizontal="center" vertical="center"/>
    </xf>
    <xf applyAlignment="true" applyBorder="false" applyFill="true" applyFont="true" applyNumberFormat="false" applyProtection="false" borderId="121" fillId="328" fontId="7" numFmtId="0" xfId="0">
      <alignment horizontal="center" vertical="center"/>
    </xf>
    <xf applyAlignment="true" applyBorder="false" applyFill="true" applyFont="true" applyNumberFormat="false" applyProtection="false" borderId="121" fillId="328" fontId="7" numFmtId="0" xfId="0">
      <alignment horizontal="center" vertical="center" wrapText="true"/>
    </xf>
    <xf applyAlignment="true" applyBorder="false" applyFill="true" applyFont="true" applyNumberFormat="false" applyProtection="false" borderId="122" fillId="328" fontId="7" numFmtId="0" xfId="0">
      <alignment horizontal="center" vertical="center"/>
    </xf>
    <xf applyAlignment="true" applyBorder="false" applyFill="true" applyFont="true" applyNumberFormat="false" applyProtection="false" borderId="121" fillId="311" fontId="4" numFmtId="0" xfId="0">
      <alignment horizontal="center" vertical="center" wrapText="true"/>
    </xf>
    <xf applyAlignment="true" applyBorder="false" applyFill="true" applyFont="true" applyNumberFormat="false" applyProtection="false" borderId="122" fillId="311" fontId="7" numFmtId="0" xfId="0">
      <alignment horizontal="center" vertical="center"/>
    </xf>
    <xf applyAlignment="true" applyBorder="false" applyFill="true" applyFont="true" applyNumberFormat="false" applyProtection="false" borderId="121" fillId="311" fontId="4" numFmtId="0" xfId="0">
      <alignment horizontal="center" vertical="center"/>
    </xf>
    <xf applyAlignment="true" applyBorder="false" applyFill="true" applyFont="true" applyNumberFormat="false" applyProtection="false" borderId="121" fillId="311" fontId="7" numFmtId="0" xfId="0">
      <alignment horizontal="center" vertical="center" wrapText="true"/>
    </xf>
    <xf applyAlignment="true" applyBorder="false" applyFill="true" applyFont="true" applyNumberFormat="false" applyProtection="false" borderId="122" fillId="311" fontId="4" numFmtId="0" xfId="0">
      <alignment horizontal="center" vertical="center"/>
    </xf>
    <xf applyAlignment="true" applyBorder="false" applyFill="true" applyFont="true" applyNumberFormat="false" applyProtection="false" borderId="122" fillId="311" fontId="7" numFmtId="0" xfId="0">
      <alignment horizontal="center" vertical="center"/>
    </xf>
    <xf applyAlignment="true" applyBorder="false" applyFill="true" applyFont="true" applyNumberFormat="true" applyProtection="false" borderId="121" fillId="325" fontId="3" numFmtId="192" xfId="0">
      <alignment horizontal="center" vertical="center" wrapText="true"/>
    </xf>
    <xf applyAlignment="true" applyBorder="false" applyFill="true" applyFont="true" applyNumberFormat="true" applyProtection="false" borderId="122" fillId="325" fontId="3" numFmtId="192" xfId="0">
      <alignment horizontal="center" vertical="center" wrapText="true"/>
    </xf>
    <xf applyAlignment="true" applyBorder="false" applyFill="true" applyFont="true" applyNumberFormat="true" applyProtection="false" borderId="121" fillId="325" fontId="7" numFmtId="192" xfId="0">
      <alignment horizontal="center" vertical="center" wrapText="true"/>
    </xf>
    <xf applyAlignment="true" applyBorder="false" applyFill="true" applyFont="true" applyNumberFormat="false" applyProtection="false" borderId="121" fillId="325" fontId="7" numFmtId="0" xfId="0">
      <alignment horizontal="center" vertical="center"/>
    </xf>
    <xf applyAlignment="true" applyBorder="false" applyFill="true" applyFont="true" applyNumberFormat="false" applyProtection="false" borderId="121" fillId="325" fontId="7" numFmtId="0" xfId="0">
      <alignment horizontal="center" vertical="center" wrapText="true"/>
    </xf>
    <xf applyAlignment="true" applyBorder="false" applyFill="true" applyFont="true" applyNumberFormat="false" applyProtection="false" borderId="124" fillId="311" fontId="5" numFmtId="0" xfId="0">
      <alignment horizontal="center" vertical="center"/>
    </xf>
    <xf applyAlignment="true" applyBorder="false" applyFill="true" applyFont="true" applyNumberFormat="false" applyProtection="false" borderId="121" fillId="314" fontId="4" numFmtId="0" xfId="0">
      <alignment horizontal="center" vertical="center" wrapText="true"/>
    </xf>
    <xf applyAlignment="true" applyBorder="false" applyFill="true" applyFont="true" applyNumberFormat="false" applyProtection="false" borderId="122" fillId="314" fontId="4" numFmtId="0" xfId="0">
      <alignment horizontal="center" vertical="center"/>
    </xf>
    <xf applyAlignment="true" applyBorder="false" applyFill="true" applyFont="true" applyNumberFormat="false" applyProtection="false" borderId="0" fillId="311" fontId="4" numFmtId="0" xfId="0">
      <alignment horizontal="center" vertical="center"/>
    </xf>
    <xf applyAlignment="true" applyBorder="false" applyFill="true" applyFont="true" applyNumberFormat="true" applyProtection="false" borderId="121" fillId="325" fontId="4" numFmtId="193" xfId="0">
      <alignment horizontal="center" vertical="center"/>
    </xf>
    <xf applyAlignment="true" applyBorder="false" applyFill="true" applyFont="true" applyNumberFormat="true" applyProtection="false" borderId="121" fillId="325" fontId="4" numFmtId="193" xfId="0">
      <alignment horizontal="center" vertical="center"/>
    </xf>
    <xf applyAlignment="true" applyBorder="false" applyFill="true" applyFont="true" applyNumberFormat="false" applyProtection="false" borderId="121" fillId="325" fontId="5" numFmtId="0" xfId="0">
      <alignment horizontal="center" vertical="center"/>
    </xf>
    <xf applyAlignment="true" applyBorder="false" applyFill="true" applyFont="true" applyNumberFormat="false" applyProtection="false" borderId="121" fillId="325" fontId="5" numFmtId="0" xfId="0">
      <alignment horizontal="center" vertical="center" wrapText="true"/>
    </xf>
    <xf applyAlignment="true" applyBorder="false" applyFill="true" applyFont="true" applyNumberFormat="false" applyProtection="false" borderId="122" fillId="325" fontId="4" numFmtId="0" xfId="0">
      <alignment horizontal="center" vertical="center"/>
    </xf>
    <xf applyAlignment="true" applyBorder="false" applyFill="true" applyFont="true" applyNumberFormat="false" applyProtection="false" borderId="124" fillId="330" fontId="5" numFmtId="0" xfId="0">
      <alignment horizontal="center" vertical="center"/>
    </xf>
    <xf applyAlignment="true" applyBorder="false" applyFill="true" applyFont="true" applyNumberFormat="false" applyProtection="false" borderId="131" fillId="330" fontId="5" numFmtId="0" xfId="0">
      <alignment horizontal="center" vertical="center"/>
    </xf>
    <xf applyAlignment="true" applyBorder="false" applyFill="true" applyFont="true" applyNumberFormat="false" applyProtection="false" borderId="121" fillId="330" fontId="5" numFmtId="0" xfId="0">
      <alignment horizontal="center" vertical="center" wrapText="true"/>
    </xf>
    <xf applyAlignment="true" applyBorder="false" applyFill="true" applyFont="true" applyNumberFormat="false" applyProtection="false" borderId="121" fillId="325" fontId="4" numFmtId="0" xfId="0">
      <alignment horizontal="center" vertical="center"/>
    </xf>
    <xf applyAlignment="true" applyBorder="false" applyFill="true" applyFont="true" applyNumberFormat="false" applyProtection="false" borderId="121" fillId="330" fontId="4" numFmtId="0" xfId="0">
      <alignment horizontal="center" vertical="center"/>
    </xf>
    <xf applyAlignment="true" applyBorder="false" applyFill="true" applyFont="true" applyNumberFormat="false" applyProtection="false" borderId="121" fillId="325" fontId="5" numFmtId="0" xfId="0">
      <alignment horizontal="center" vertical="center" wrapText="true"/>
    </xf>
    <xf applyAlignment="true" applyBorder="false" applyFill="true" applyFont="true" applyNumberFormat="false" applyProtection="false" borderId="131" fillId="325" fontId="5" numFmtId="0" xfId="0">
      <alignment horizontal="center" vertical="center"/>
    </xf>
    <xf applyAlignment="true" applyBorder="false" applyFill="true" applyFont="true" applyNumberFormat="false" applyProtection="false" borderId="122" fillId="325" fontId="5" numFmtId="0" xfId="0">
      <alignment horizontal="center" vertical="center"/>
    </xf>
    <xf applyAlignment="true" applyBorder="false" applyFill="true" applyFont="true" applyNumberFormat="false" applyProtection="false" borderId="123" fillId="311" fontId="5" numFmtId="0" xfId="0">
      <alignment horizontal="center" vertical="center"/>
    </xf>
    <xf applyAlignment="true" applyBorder="false" applyFill="false" applyFont="true" applyNumberFormat="false" applyProtection="false" borderId="120" fillId="0" fontId="5" numFmtId="0" xfId="0">
      <alignment horizontal="center" vertical="center" wrapText="true"/>
    </xf>
    <xf applyAlignment="true" applyBorder="false" applyFill="false" applyFont="true" applyNumberFormat="false" applyProtection="false" borderId="132" fillId="0" fontId="5" numFmtId="0" xfId="0">
      <alignment horizontal="center" vertical="center"/>
    </xf>
    <xf applyAlignment="true" applyBorder="false" applyFill="true" applyFont="true" applyNumberFormat="false" applyProtection="false" borderId="120" fillId="311" fontId="5" numFmtId="0" xfId="0">
      <alignment horizontal="center" vertical="center" wrapText="true"/>
    </xf>
    <xf applyAlignment="true" applyBorder="false" applyFill="true" applyFont="true" applyNumberFormat="false" applyProtection="false" borderId="120" fillId="311" fontId="5" numFmtId="0" xfId="0">
      <alignment horizontal="center" vertical="center" wrapText="true"/>
    </xf>
    <xf applyAlignment="true" applyBorder="false" applyFill="true" applyFont="true" applyNumberFormat="false" applyProtection="false" borderId="132" fillId="311" fontId="5" numFmtId="0" xfId="0">
      <alignment horizontal="center" vertical="center"/>
    </xf>
    <xf applyAlignment="true" applyBorder="false" applyFill="false" applyFont="true" applyNumberFormat="false" applyProtection="false" borderId="120" fillId="0" fontId="5" numFmtId="0" xfId="0">
      <alignment horizontal="center" vertical="center" wrapText="true"/>
    </xf>
    <xf applyAlignment="true" applyBorder="false" applyFill="true" applyFont="true" applyNumberFormat="false" applyProtection="false" borderId="121" fillId="316" fontId="4" numFmtId="0" xfId="0">
      <alignment horizontal="center" vertical="center"/>
    </xf>
    <xf applyAlignment="true" applyBorder="false" applyFill="true" applyFont="true" applyNumberFormat="false" applyProtection="false" borderId="120" fillId="316" fontId="5" numFmtId="0" xfId="0">
      <alignment horizontal="center" vertical="center" wrapText="true"/>
    </xf>
    <xf applyAlignment="true" applyBorder="false" applyFill="true" applyFont="true" applyNumberFormat="false" applyProtection="false" borderId="132" fillId="316" fontId="5" numFmtId="0" xfId="0">
      <alignment horizontal="center" vertical="center"/>
    </xf>
    <xf applyAlignment="true" applyBorder="false" applyFill="true" applyFont="true" applyNumberFormat="false" applyProtection="false" borderId="121" fillId="325" fontId="5" numFmtId="0" xfId="0">
      <alignment horizontal="center" vertical="center"/>
    </xf>
    <xf applyAlignment="true" applyBorder="false" applyFill="true" applyFont="true" applyNumberFormat="false" applyProtection="false" borderId="120" fillId="325" fontId="5" numFmtId="0" xfId="0">
      <alignment horizontal="center" vertical="center" wrapText="true"/>
    </xf>
    <xf applyAlignment="true" applyBorder="false" applyFill="true" applyFont="true" applyNumberFormat="false" applyProtection="false" borderId="120" fillId="325" fontId="5" numFmtId="0" xfId="0">
      <alignment horizontal="center" vertical="center" wrapText="true"/>
    </xf>
    <xf applyAlignment="true" applyBorder="false" applyFill="true" applyFont="true" applyNumberFormat="false" applyProtection="false" borderId="123" fillId="325" fontId="5" numFmtId="0" xfId="0">
      <alignment horizontal="center" vertical="center" wrapText="true"/>
    </xf>
    <xf applyAlignment="true" applyBorder="false" applyFill="false" applyFont="true" applyNumberFormat="false" applyProtection="false" borderId="125" fillId="0" fontId="5" numFmtId="0" xfId="0">
      <alignment horizontal="center" vertical="center"/>
    </xf>
    <xf applyAlignment="true" applyBorder="false" applyFill="true" applyFont="true" applyNumberFormat="false" applyProtection="false" borderId="124" fillId="316" fontId="5" numFmtId="0" xfId="0">
      <alignment horizontal="center" vertical="center"/>
    </xf>
    <xf applyAlignment="true" applyBorder="false" applyFill="true" applyFont="true" applyNumberFormat="true" applyProtection="false" borderId="0" fillId="314" fontId="4" numFmtId="193" xfId="0">
      <alignment horizontal="center" vertical="center"/>
    </xf>
    <xf applyAlignment="true" applyBorder="false" applyFill="true" applyFont="true" applyNumberFormat="true" applyProtection="false" borderId="124" fillId="314" fontId="4" numFmtId="193" xfId="0">
      <alignment horizontal="center" vertical="center"/>
    </xf>
    <xf applyAlignment="true" applyBorder="false" applyFill="false" applyFont="true" applyNumberFormat="false" applyProtection="false" borderId="122" fillId="0" fontId="5" numFmtId="0" xfId="0">
      <alignment horizontal="center" vertical="center" wrapText="true"/>
    </xf>
    <xf applyAlignment="true" applyBorder="false" applyFill="false" applyFont="true" applyNumberFormat="false" applyProtection="false" borderId="131" fillId="0" fontId="5" numFmtId="0" xfId="0">
      <alignment horizontal="center" vertical="center"/>
    </xf>
    <xf applyAlignment="true" applyBorder="false" applyFill="true" applyFont="true" applyNumberFormat="true" applyProtection="false" borderId="124" fillId="311" fontId="4" numFmtId="193" xfId="0">
      <alignment horizontal="center" vertical="center"/>
    </xf>
    <xf applyAlignment="true" applyBorder="false" applyFill="false" applyFont="true" applyNumberFormat="false" applyProtection="false" borderId="122" fillId="0" fontId="5" numFmtId="0" xfId="0">
      <alignment horizontal="center" vertical="center" wrapText="true"/>
    </xf>
    <xf applyAlignment="true" applyBorder="false" applyFill="true" applyFont="true" applyNumberFormat="true" applyProtection="false" borderId="121" fillId="339" fontId="3" numFmtId="192" xfId="0">
      <alignment horizontal="center" vertical="center" wrapText="true"/>
    </xf>
    <xf applyAlignment="true" applyBorder="false" applyFill="true" applyFont="true" applyNumberFormat="true" applyProtection="false" borderId="122" fillId="339" fontId="3" numFmtId="192" xfId="0">
      <alignment horizontal="center" vertical="center" wrapText="true"/>
    </xf>
    <xf applyAlignment="true" applyBorder="false" applyFill="true" applyFont="true" applyNumberFormat="true" applyProtection="false" borderId="121" fillId="339" fontId="7" numFmtId="192" xfId="0">
      <alignment horizontal="center" vertical="center" wrapText="true"/>
    </xf>
    <xf applyAlignment="true" applyBorder="false" applyFill="true" applyFont="true" applyNumberFormat="true" applyProtection="false" borderId="121" fillId="339" fontId="7" numFmtId="193" xfId="0">
      <alignment horizontal="center" vertical="center"/>
    </xf>
    <xf applyAlignment="true" applyBorder="false" applyFill="true" applyFont="true" applyNumberFormat="false" applyProtection="false" borderId="121" fillId="339" fontId="7" numFmtId="0" xfId="0">
      <alignment horizontal="center" vertical="center"/>
    </xf>
    <xf applyAlignment="true" applyBorder="false" applyFill="true" applyFont="true" applyNumberFormat="false" applyProtection="false" borderId="121" fillId="339" fontId="7" numFmtId="0" xfId="0">
      <alignment horizontal="center" vertical="center" wrapText="true"/>
    </xf>
    <xf applyAlignment="true" applyBorder="false" applyFill="true" applyFont="true" applyNumberFormat="false" applyProtection="false" borderId="122" fillId="339" fontId="7" numFmtId="0" xfId="0">
      <alignment horizontal="center" vertical="center"/>
    </xf>
    <xf applyAlignment="true" applyBorder="false" applyFill="true" applyFont="true" applyNumberFormat="true" applyProtection="false" borderId="121" fillId="313" fontId="4" numFmtId="193" xfId="0">
      <alignment horizontal="center" vertical="center"/>
    </xf>
    <xf applyAlignment="true" applyBorder="false" applyFill="true" applyFont="true" applyNumberFormat="true" applyProtection="false" borderId="121" fillId="340" fontId="4" numFmtId="193" xfId="0">
      <alignment horizontal="center" vertical="center"/>
    </xf>
    <xf applyAlignment="true" applyBorder="false" applyFill="true" applyFont="true" applyNumberFormat="false" applyProtection="false" borderId="121" fillId="340" fontId="5" numFmtId="0" xfId="0">
      <alignment horizontal="center" vertical="center"/>
    </xf>
    <xf applyAlignment="true" applyBorder="false" applyFill="true" applyFont="true" applyNumberFormat="false" applyProtection="false" borderId="121" fillId="313" fontId="5" numFmtId="0" xfId="0">
      <alignment horizontal="center" vertical="center"/>
    </xf>
    <xf applyAlignment="true" applyBorder="false" applyFill="true" applyFont="true" applyNumberFormat="false" applyProtection="false" borderId="121" fillId="340" fontId="5" numFmtId="0" xfId="0">
      <alignment horizontal="center" vertical="center"/>
    </xf>
    <xf applyAlignment="true" applyBorder="false" applyFill="true" applyFont="true" applyNumberFormat="false" applyProtection="false" borderId="121" fillId="313" fontId="5" numFmtId="0" xfId="0">
      <alignment horizontal="center" vertical="center" wrapText="true"/>
    </xf>
    <xf applyAlignment="true" applyBorder="false" applyFill="true" applyFont="true" applyNumberFormat="false" applyProtection="false" borderId="122" fillId="313" fontId="5" numFmtId="0" xfId="0">
      <alignment horizontal="center" vertical="center"/>
    </xf>
    <xf applyAlignment="true" applyBorder="false" applyFill="true" applyFont="true" applyNumberFormat="true" applyProtection="false" borderId="121" fillId="340" fontId="4" numFmtId="193" xfId="0">
      <alignment horizontal="center" vertical="center"/>
    </xf>
    <xf applyAlignment="true" applyBorder="false" applyFill="true" applyFont="true" applyNumberFormat="false" applyProtection="false" borderId="121" fillId="340" fontId="4" numFmtId="0" xfId="0">
      <alignment horizontal="center" vertical="center"/>
    </xf>
    <xf applyAlignment="true" applyBorder="false" applyFill="true" applyFont="true" applyNumberFormat="false" applyProtection="false" borderId="121" fillId="340" fontId="4" numFmtId="0" xfId="0">
      <alignment horizontal="center" vertical="center" wrapText="true"/>
    </xf>
    <xf applyAlignment="true" applyBorder="false" applyFill="true" applyFont="true" applyNumberFormat="false" applyProtection="false" borderId="122" fillId="340" fontId="4" numFmtId="0" xfId="0">
      <alignment horizontal="center" vertical="center"/>
    </xf>
    <xf applyAlignment="true" applyBorder="false" applyFill="true" applyFont="true" applyNumberFormat="false" applyProtection="false" borderId="121" fillId="311" fontId="4" numFmtId="0" xfId="0">
      <alignment horizontal="center" vertical="center" wrapText="true"/>
    </xf>
    <xf applyAlignment="true" applyBorder="false" applyFill="true" applyFont="true" applyNumberFormat="false" applyProtection="false" borderId="122" fillId="311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false" applyProtection="false" borderId="125" fillId="314" fontId="5" numFmtId="0" xfId="0">
      <alignment horizontal="center" vertical="center"/>
    </xf>
    <xf applyAlignment="true" applyBorder="false" applyFill="true" applyFont="true" applyNumberFormat="true" applyProtection="false" borderId="121" fillId="341" fontId="3" numFmtId="192" xfId="0">
      <alignment horizontal="center" vertical="center" wrapText="true"/>
    </xf>
    <xf applyAlignment="true" applyBorder="false" applyFill="true" applyFont="true" applyNumberFormat="true" applyProtection="false" borderId="122" fillId="341" fontId="3" numFmtId="192" xfId="0">
      <alignment horizontal="center" vertical="center" wrapText="true"/>
    </xf>
    <xf applyAlignment="true" applyBorder="false" applyFill="true" applyFont="true" applyNumberFormat="true" applyProtection="false" borderId="121" fillId="341" fontId="7" numFmtId="192" xfId="0">
      <alignment horizontal="center" vertical="center" wrapText="true"/>
    </xf>
    <xf applyAlignment="true" applyBorder="false" applyFill="true" applyFont="true" applyNumberFormat="true" applyProtection="false" borderId="121" fillId="341" fontId="7" numFmtId="193" xfId="0">
      <alignment horizontal="center" vertical="center"/>
    </xf>
    <xf applyAlignment="true" applyBorder="false" applyFill="true" applyFont="true" applyNumberFormat="false" applyProtection="false" borderId="121" fillId="341" fontId="7" numFmtId="0" xfId="0">
      <alignment horizontal="center" vertical="center"/>
    </xf>
    <xf applyAlignment="true" applyBorder="false" applyFill="true" applyFont="true" applyNumberFormat="false" applyProtection="false" borderId="121" fillId="341" fontId="7" numFmtId="0" xfId="0">
      <alignment horizontal="center" vertical="center" wrapText="true"/>
    </xf>
    <xf applyAlignment="true" applyBorder="false" applyFill="true" applyFont="true" applyNumberFormat="false" applyProtection="false" borderId="122" fillId="341" fontId="7" numFmtId="0" xfId="0">
      <alignment horizontal="center" vertical="center"/>
    </xf>
    <xf applyAlignment="true" applyBorder="false" applyFill="true" applyFont="true" applyNumberFormat="true" applyProtection="false" borderId="121" fillId="342" fontId="3" numFmtId="192" xfId="0">
      <alignment horizontal="center" vertical="center" wrapText="true"/>
    </xf>
    <xf applyAlignment="true" applyBorder="false" applyFill="true" applyFont="true" applyNumberFormat="true" applyProtection="false" borderId="122" fillId="342" fontId="3" numFmtId="192" xfId="0">
      <alignment horizontal="center" vertical="center" wrapText="true"/>
    </xf>
    <xf applyAlignment="true" applyBorder="false" applyFill="true" applyFont="true" applyNumberFormat="true" applyProtection="false" borderId="121" fillId="342" fontId="7" numFmtId="192" xfId="0">
      <alignment horizontal="center" vertical="center" wrapText="true"/>
    </xf>
    <xf applyAlignment="true" applyBorder="false" applyFill="true" applyFont="true" applyNumberFormat="true" applyProtection="false" borderId="121" fillId="342" fontId="7" numFmtId="193" xfId="0">
      <alignment horizontal="center" vertical="center"/>
    </xf>
    <xf applyAlignment="true" applyBorder="false" applyFill="true" applyFont="true" applyNumberFormat="false" applyProtection="false" borderId="121" fillId="342" fontId="7" numFmtId="0" xfId="0">
      <alignment horizontal="center" vertical="center"/>
    </xf>
    <xf applyAlignment="true" applyBorder="false" applyFill="true" applyFont="true" applyNumberFormat="false" applyProtection="false" borderId="121" fillId="342" fontId="7" numFmtId="0" xfId="0">
      <alignment horizontal="center" vertical="center" wrapText="true"/>
    </xf>
    <xf applyAlignment="true" applyBorder="false" applyFill="true" applyFont="true" applyNumberFormat="false" applyProtection="false" borderId="122" fillId="342" fontId="7" numFmtId="0" xfId="0">
      <alignment horizontal="center" vertical="center"/>
    </xf>
    <xf applyAlignment="true" applyBorder="false" applyFill="true" applyFont="true" applyNumberFormat="false" applyProtection="false" borderId="125" fillId="314" fontId="5" numFmtId="0" xfId="0">
      <alignment horizontal="center" vertical="center"/>
    </xf>
    <xf applyAlignment="true" applyBorder="false" applyFill="true" applyFont="true" applyNumberFormat="true" applyProtection="false" borderId="123" fillId="330" fontId="5" numFmtId="194" xfId="0">
      <alignment horizontal="center" vertical="center"/>
    </xf>
    <xf applyAlignment="true" applyBorder="false" applyFill="true" applyFont="true" applyNumberFormat="false" applyProtection="false" borderId="122" fillId="311" fontId="5" numFmtId="0" xfId="0">
      <alignment horizontal="center" vertical="center" wrapText="true"/>
    </xf>
    <xf applyAlignment="true" applyBorder="false" applyFill="true" applyFont="true" applyNumberFormat="false" applyProtection="false" borderId="124" fillId="325" fontId="5" numFmtId="0" xfId="0">
      <alignment horizontal="center" vertical="center"/>
    </xf>
    <xf applyAlignment="true" applyBorder="false" applyFill="true" applyFont="true" applyNumberFormat="false" applyProtection="false" borderId="0" fillId="311" fontId="5" numFmtId="0" xfId="0">
      <alignment horizontal="center" vertical="center" wrapText="true"/>
    </xf>
    <xf applyAlignment="true" applyBorder="false" applyFill="true" applyFont="true" applyNumberFormat="false" applyProtection="false" borderId="122" fillId="311" fontId="5" numFmtId="0" xfId="0">
      <alignment horizontal="left" vertical="center" wrapText="true"/>
    </xf>
    <xf applyAlignment="true" applyBorder="false" applyFill="true" applyFont="true" applyNumberFormat="false" applyProtection="false" borderId="0" fillId="311" fontId="5" numFmtId="0" xfId="0">
      <alignment horizontal="left" vertical="center" wrapText="true"/>
    </xf>
    <xf applyAlignment="true" applyBorder="false" applyFill="true" applyFont="true" applyNumberFormat="true" applyProtection="false" borderId="121" fillId="343" fontId="3" numFmtId="192" xfId="0">
      <alignment horizontal="center" vertical="center" wrapText="true"/>
    </xf>
    <xf applyAlignment="true" applyBorder="false" applyFill="true" applyFont="true" applyNumberFormat="true" applyProtection="false" borderId="122" fillId="343" fontId="3" numFmtId="192" xfId="0">
      <alignment horizontal="center" vertical="center" wrapText="true"/>
    </xf>
    <xf applyAlignment="true" applyBorder="false" applyFill="true" applyFont="true" applyNumberFormat="true" applyProtection="false" borderId="121" fillId="343" fontId="7" numFmtId="192" xfId="0">
      <alignment horizontal="center" vertical="center" wrapText="true"/>
    </xf>
    <xf applyAlignment="true" applyBorder="false" applyFill="true" applyFont="true" applyNumberFormat="true" applyProtection="false" borderId="121" fillId="343" fontId="7" numFmtId="193" xfId="0">
      <alignment horizontal="center" vertical="center"/>
    </xf>
    <xf applyAlignment="true" applyBorder="false" applyFill="true" applyFont="true" applyNumberFormat="false" applyProtection="false" borderId="121" fillId="343" fontId="7" numFmtId="0" xfId="0">
      <alignment horizontal="center" vertical="center"/>
    </xf>
    <xf applyAlignment="true" applyBorder="false" applyFill="true" applyFont="true" applyNumberFormat="false" applyProtection="false" borderId="121" fillId="343" fontId="7" numFmtId="0" xfId="0">
      <alignment horizontal="center" vertical="center" wrapText="true"/>
    </xf>
    <xf applyAlignment="true" applyBorder="false" applyFill="true" applyFont="true" applyNumberFormat="false" applyProtection="false" borderId="122" fillId="343" fontId="7" numFmtId="0" xfId="0">
      <alignment horizontal="center" vertical="center"/>
    </xf>
    <xf applyAlignment="true" applyBorder="false" applyFill="true" applyFont="true" applyNumberFormat="false" applyProtection="false" borderId="122" fillId="325" fontId="5" numFmtId="0" xfId="0">
      <alignment horizontal="center" vertical="center"/>
    </xf>
    <xf applyAlignment="true" applyBorder="false" applyFill="true" applyFont="true" applyNumberFormat="true" applyProtection="false" borderId="121" fillId="341" fontId="9" numFmtId="192" xfId="0">
      <alignment horizontal="center" vertical="center" wrapText="true"/>
    </xf>
    <xf applyAlignment="true" applyBorder="false" applyFill="true" applyFont="true" applyNumberFormat="true" applyProtection="false" borderId="121" fillId="341" fontId="16" numFmtId="192" xfId="0">
      <alignment horizontal="center" vertical="center" wrapText="true"/>
    </xf>
    <xf applyAlignment="true" applyBorder="false" applyFill="true" applyFont="true" applyNumberFormat="true" applyProtection="false" borderId="122" fillId="341" fontId="16" numFmtId="192" xfId="0">
      <alignment horizontal="center" vertical="center" wrapText="true"/>
    </xf>
    <xf applyAlignment="true" applyBorder="false" applyFill="true" applyFont="true" applyNumberFormat="true" applyProtection="false" borderId="0" fillId="311" fontId="16" numFmtId="192" xfId="0">
      <alignment horizontal="center" vertical="center" wrapText="true"/>
    </xf>
    <xf applyAlignment="true" applyBorder="false" applyFill="true" applyFont="true" applyNumberFormat="true" applyProtection="false" borderId="121" fillId="311" fontId="4" numFmtId="192" xfId="0">
      <alignment horizontal="center" vertical="center" wrapText="true"/>
    </xf>
    <xf applyAlignment="true" applyBorder="false" applyFill="true" applyFont="true" applyNumberFormat="true" applyProtection="false" borderId="121" fillId="316" fontId="4" numFmtId="192" xfId="0">
      <alignment horizontal="center" vertical="center" wrapText="true"/>
    </xf>
    <xf applyAlignment="true" applyBorder="false" applyFill="true" applyFont="true" applyNumberFormat="false" applyProtection="false" borderId="122" fillId="316" fontId="4" numFmtId="0" xfId="0">
      <alignment horizontal="center" vertical="center"/>
    </xf>
    <xf applyAlignment="true" applyBorder="false" applyFill="true" applyFont="true" applyNumberFormat="true" applyProtection="false" borderId="123" fillId="311" fontId="5" numFmtId="194" xfId="0">
      <alignment horizontal="center" vertical="center"/>
    </xf>
    <xf applyAlignment="true" applyBorder="false" applyFill="true" applyFont="true" applyNumberFormat="true" applyProtection="false" borderId="121" fillId="344" fontId="4" numFmtId="192" xfId="0">
      <alignment horizontal="center" vertical="center" wrapText="true"/>
    </xf>
    <xf applyAlignment="true" applyBorder="false" applyFill="true" applyFont="true" applyNumberFormat="true" applyProtection="false" borderId="121" fillId="344" fontId="4" numFmtId="193" xfId="0">
      <alignment horizontal="center" vertical="center"/>
    </xf>
    <xf applyAlignment="true" applyBorder="false" applyFill="true" applyFont="true" applyNumberFormat="true" applyProtection="false" borderId="121" fillId="344" fontId="4" numFmtId="193" xfId="0">
      <alignment horizontal="center" vertical="center"/>
    </xf>
    <xf applyAlignment="true" applyBorder="false" applyFill="true" applyFont="true" applyNumberFormat="false" applyProtection="false" borderId="121" fillId="344" fontId="5" numFmtId="0" xfId="0">
      <alignment horizontal="center" vertical="center"/>
    </xf>
    <xf applyAlignment="true" applyBorder="false" applyFill="true" applyFont="true" applyNumberFormat="false" applyProtection="false" borderId="121" fillId="344" fontId="5" numFmtId="0" xfId="0">
      <alignment horizontal="center" vertical="center"/>
    </xf>
    <xf applyAlignment="true" applyBorder="false" applyFill="true" applyFont="true" applyNumberFormat="false" applyProtection="false" borderId="121" fillId="344" fontId="5" numFmtId="0" xfId="0">
      <alignment horizontal="center" vertical="center" wrapText="true"/>
    </xf>
    <xf applyAlignment="true" applyBorder="false" applyFill="true" applyFont="true" applyNumberFormat="false" applyProtection="false" borderId="122" fillId="344" fontId="4" numFmtId="0" xfId="0">
      <alignment horizontal="center" vertical="center"/>
    </xf>
    <xf applyAlignment="true" applyBorder="false" applyFill="true" applyFont="true" applyNumberFormat="true" applyProtection="false" borderId="123" fillId="344" fontId="5" numFmtId="194" xfId="0">
      <alignment horizontal="center" vertical="center"/>
    </xf>
    <xf applyAlignment="true" applyBorder="false" applyFill="true" applyFont="true" applyNumberFormat="false" applyProtection="false" borderId="121" fillId="344" fontId="4" numFmtId="0" xfId="0">
      <alignment horizontal="center" vertical="center" wrapText="true"/>
    </xf>
    <xf applyAlignment="true" applyBorder="false" applyFill="true" applyFont="true" applyNumberFormat="true" applyProtection="false" borderId="121" fillId="314" fontId="4" numFmtId="192" xfId="0">
      <alignment horizontal="center" vertical="center" wrapText="true"/>
    </xf>
    <xf applyAlignment="true" applyBorder="false" applyFill="true" applyFont="true" applyNumberFormat="true" applyProtection="false" borderId="121" fillId="345" fontId="10" numFmtId="192" xfId="0">
      <alignment horizontal="center" vertical="center" wrapText="true"/>
    </xf>
    <xf applyAlignment="true" applyBorder="false" applyFill="true" applyFont="true" applyNumberFormat="true" applyProtection="false" borderId="122" fillId="345" fontId="10" numFmtId="192" xfId="0">
      <alignment horizontal="center" vertical="center" wrapText="true"/>
    </xf>
    <xf applyAlignment="true" applyBorder="false" applyFill="true" applyFont="true" applyNumberFormat="true" applyProtection="false" borderId="121" fillId="345" fontId="7" numFmtId="192" xfId="0">
      <alignment horizontal="center" vertical="center" wrapText="true"/>
    </xf>
    <xf applyAlignment="true" applyBorder="false" applyFill="true" applyFont="true" applyNumberFormat="true" applyProtection="false" borderId="121" fillId="345" fontId="7" numFmtId="193" xfId="0">
      <alignment horizontal="center" vertical="center"/>
    </xf>
    <xf applyAlignment="true" applyBorder="false" applyFill="true" applyFont="true" applyNumberFormat="false" applyProtection="false" borderId="121" fillId="345" fontId="7" numFmtId="0" xfId="0">
      <alignment horizontal="center" vertical="center"/>
    </xf>
    <xf applyAlignment="true" applyBorder="false" applyFill="true" applyFont="true" applyNumberFormat="false" applyProtection="false" borderId="121" fillId="345" fontId="7" numFmtId="0" xfId="0">
      <alignment horizontal="center" vertical="center" wrapText="true"/>
    </xf>
    <xf applyAlignment="true" applyBorder="false" applyFill="true" applyFont="true" applyNumberFormat="false" applyProtection="false" borderId="122" fillId="345" fontId="7" numFmtId="0" xfId="0">
      <alignment horizontal="center" vertical="center"/>
    </xf>
    <xf applyAlignment="true" applyBorder="false" applyFill="true" applyFont="true" applyNumberFormat="true" applyProtection="false" borderId="121" fillId="346" fontId="3" numFmtId="192" xfId="0">
      <alignment horizontal="center" vertical="center" wrapText="true"/>
    </xf>
    <xf applyAlignment="true" applyBorder="false" applyFill="true" applyFont="true" applyNumberFormat="true" applyProtection="false" borderId="121" fillId="346" fontId="7" numFmtId="192" xfId="0">
      <alignment horizontal="center" vertical="center" wrapText="true"/>
    </xf>
    <xf applyAlignment="true" applyBorder="false" applyFill="true" applyFont="true" applyNumberFormat="true" applyProtection="false" borderId="121" fillId="346" fontId="7" numFmtId="193" xfId="0">
      <alignment horizontal="center" vertical="center"/>
    </xf>
    <xf applyAlignment="true" applyBorder="false" applyFill="true" applyFont="true" applyNumberFormat="false" applyProtection="false" borderId="119" fillId="346" fontId="7" numFmtId="0" xfId="0">
      <alignment horizontal="center" vertical="center"/>
    </xf>
    <xf applyAlignment="true" applyBorder="false" applyFill="true" applyFont="true" applyNumberFormat="false" applyProtection="false" borderId="121" fillId="346" fontId="7" numFmtId="0" xfId="0">
      <alignment horizontal="center" vertical="center"/>
    </xf>
    <xf applyAlignment="true" applyBorder="false" applyFill="true" applyFont="true" applyNumberFormat="false" applyProtection="false" borderId="121" fillId="346" fontId="7" numFmtId="0" xfId="0">
      <alignment horizontal="center" vertical="center" wrapText="true"/>
    </xf>
    <xf applyAlignment="true" applyBorder="false" applyFill="true" applyFont="true" applyNumberFormat="false" applyProtection="false" borderId="120" fillId="346" fontId="7" numFmtId="0" xfId="0">
      <alignment horizontal="center" vertical="center"/>
    </xf>
    <xf applyAlignment="true" applyBorder="false" applyFill="true" applyFont="true" applyNumberFormat="false" applyProtection="false" borderId="123" fillId="311" fontId="5" numFmtId="0" xfId="0">
      <alignment horizontal="center" vertical="center"/>
    </xf>
    <xf applyAlignment="true" applyBorder="false" applyFill="true" applyFont="true" applyNumberFormat="false" applyProtection="false" borderId="125" fillId="311" fontId="5" numFmtId="0" xfId="0">
      <alignment horizontal="center" vertical="center"/>
    </xf>
    <xf applyAlignment="true" applyBorder="false" applyFill="true" applyFont="true" applyNumberFormat="false" applyProtection="false" borderId="123" fillId="316" fontId="5" numFmtId="0" xfId="0">
      <alignment horizontal="center" vertical="center"/>
    </xf>
    <xf applyAlignment="true" applyBorder="false" applyFill="false" applyFont="true" applyNumberFormat="false" applyProtection="false" borderId="123" fillId="0" fontId="5" numFmtId="0" xfId="0">
      <alignment horizontal="center" vertical="center"/>
    </xf>
    <xf applyAlignment="true" applyBorder="false" applyFill="true" applyFont="true" applyNumberFormat="false" applyProtection="false" borderId="121" fillId="325" fontId="4" numFmtId="0" xfId="0">
      <alignment horizontal="center" vertical="center" wrapText="true"/>
    </xf>
    <xf applyAlignment="true" applyBorder="false" applyFill="true" applyFont="true" applyNumberFormat="true" applyProtection="false" borderId="121" fillId="347" fontId="16" numFmtId="192" xfId="0">
      <alignment horizontal="center" vertical="center" wrapText="true"/>
    </xf>
    <xf applyAlignment="true" applyBorder="false" applyFill="true" applyFont="true" applyNumberFormat="true" applyProtection="false" borderId="121" fillId="347" fontId="17" numFmtId="192" xfId="0">
      <alignment horizontal="center" vertical="center" wrapText="true"/>
    </xf>
    <xf applyAlignment="true" applyBorder="false" applyFill="true" applyFont="true" applyNumberFormat="true" applyProtection="false" borderId="121" fillId="347" fontId="17" numFmtId="193" xfId="0">
      <alignment horizontal="center" vertical="center"/>
    </xf>
    <xf applyAlignment="true" applyBorder="false" applyFill="true" applyFont="true" applyNumberFormat="false" applyProtection="false" borderId="119" fillId="347" fontId="17" numFmtId="0" xfId="0">
      <alignment horizontal="center" vertical="center"/>
    </xf>
    <xf applyAlignment="true" applyBorder="false" applyFill="true" applyFont="true" applyNumberFormat="false" applyProtection="false" borderId="121" fillId="347" fontId="17" numFmtId="0" xfId="0">
      <alignment horizontal="center" vertical="center"/>
    </xf>
    <xf applyAlignment="true" applyBorder="false" applyFill="true" applyFont="true" applyNumberFormat="false" applyProtection="false" borderId="121" fillId="347" fontId="17" numFmtId="0" xfId="0">
      <alignment horizontal="center" vertical="center" wrapText="true"/>
    </xf>
    <xf applyAlignment="true" applyBorder="false" applyFill="true" applyFont="true" applyNumberFormat="false" applyProtection="false" borderId="122" fillId="347" fontId="17" numFmtId="0" xfId="0">
      <alignment horizontal="center" vertical="center"/>
    </xf>
    <xf applyAlignment="true" applyBorder="false" applyFill="true" applyFont="true" applyNumberFormat="false" applyProtection="false" borderId="122" fillId="330" fontId="5" numFmtId="0" xfId="0">
      <alignment horizontal="center" vertical="center"/>
    </xf>
    <xf applyAlignment="true" applyBorder="false" applyFill="true" applyFont="true" applyNumberFormat="true" applyProtection="false" borderId="121" fillId="348" fontId="16" numFmtId="192" xfId="0">
      <alignment horizontal="center" vertical="center" wrapText="true"/>
    </xf>
    <xf applyAlignment="true" applyBorder="false" applyFill="true" applyFont="true" applyNumberFormat="true" applyProtection="false" borderId="122" fillId="348" fontId="16" numFmtId="192" xfId="0">
      <alignment horizontal="center" vertical="center" wrapText="true"/>
    </xf>
    <xf applyAlignment="true" applyBorder="false" applyFill="true" applyFont="true" applyNumberFormat="true" applyProtection="false" borderId="121" fillId="348" fontId="7" numFmtId="192" xfId="0">
      <alignment horizontal="center" vertical="center" wrapText="true"/>
    </xf>
    <xf applyAlignment="true" applyBorder="false" applyFill="true" applyFont="true" applyNumberFormat="true" applyProtection="false" borderId="121" fillId="348" fontId="7" numFmtId="193" xfId="0">
      <alignment horizontal="center" vertical="center"/>
    </xf>
    <xf applyAlignment="true" applyBorder="false" applyFill="true" applyFont="true" applyNumberFormat="false" applyProtection="false" borderId="121" fillId="348" fontId="7" numFmtId="0" xfId="0">
      <alignment horizontal="center" vertical="center"/>
    </xf>
    <xf applyAlignment="true" applyBorder="false" applyFill="true" applyFont="true" applyNumberFormat="false" applyProtection="false" borderId="121" fillId="348" fontId="7" numFmtId="0" xfId="0">
      <alignment horizontal="center" vertical="center" wrapText="true"/>
    </xf>
    <xf applyAlignment="true" applyBorder="false" applyFill="true" applyFont="true" applyNumberFormat="false" applyProtection="false" borderId="122" fillId="348" fontId="7" numFmtId="0" xfId="0">
      <alignment horizontal="center" vertical="center"/>
    </xf>
    <xf applyAlignment="true" applyBorder="false" applyFill="true" applyFont="true" applyNumberFormat="true" applyProtection="false" borderId="121" fillId="348" fontId="4" numFmtId="193" xfId="0">
      <alignment horizontal="center" vertical="center"/>
    </xf>
    <xf applyAlignment="true" applyBorder="false" applyFill="true" applyFont="true" applyNumberFormat="true" applyProtection="false" borderId="121" fillId="348" fontId="4" numFmtId="193" xfId="0">
      <alignment horizontal="center" vertical="center"/>
    </xf>
    <xf applyAlignment="true" applyBorder="false" applyFill="true" applyFont="true" applyNumberFormat="false" applyProtection="false" borderId="121" fillId="348" fontId="5" numFmtId="0" xfId="0">
      <alignment horizontal="center" vertical="center"/>
    </xf>
    <xf applyAlignment="true" applyBorder="false" applyFill="true" applyFont="true" applyNumberFormat="false" applyProtection="false" borderId="121" fillId="348" fontId="5" numFmtId="0" xfId="0">
      <alignment horizontal="center" vertical="center"/>
    </xf>
    <xf applyAlignment="true" applyBorder="false" applyFill="true" applyFont="true" applyNumberFormat="true" applyProtection="false" borderId="121" fillId="341" fontId="5" numFmtId="194" xfId="0">
      <alignment horizontal="center" vertical="center"/>
    </xf>
    <xf applyAlignment="true" applyBorder="false" applyFill="true" applyFont="true" applyNumberFormat="false" applyProtection="false" borderId="121" fillId="348" fontId="5" numFmtId="0" xfId="0">
      <alignment horizontal="center" vertical="center" wrapText="true"/>
    </xf>
    <xf applyAlignment="true" applyBorder="false" applyFill="true" applyFont="true" applyNumberFormat="false" applyProtection="false" borderId="125" fillId="348" fontId="5" numFmtId="0" xfId="0">
      <alignment horizontal="center" vertical="center"/>
    </xf>
    <xf applyAlignment="true" applyBorder="false" applyFill="true" applyFont="true" applyNumberFormat="false" applyProtection="false" borderId="122" fillId="348" fontId="5" numFmtId="0" xfId="0">
      <alignment horizontal="center" vertical="center"/>
    </xf>
    <xf applyAlignment="true" applyBorder="false" applyFill="true" applyFont="true" applyNumberFormat="false" applyProtection="false" borderId="121" fillId="309" fontId="18" numFmtId="0" xfId="0">
      <alignment horizontal="center" vertical="center"/>
    </xf>
    <xf applyAlignment="true" applyBorder="false" applyFill="true" applyFont="true" applyNumberFormat="false" applyProtection="false" borderId="122" fillId="348" fontId="5" numFmtId="0" xfId="0">
      <alignment horizontal="center" vertical="center"/>
    </xf>
    <xf applyAlignment="true" applyBorder="false" applyFill="true" applyFont="true" applyNumberFormat="true" applyProtection="false" borderId="121" fillId="349" fontId="3" numFmtId="192" xfId="0">
      <alignment horizontal="center" vertical="center" wrapText="true"/>
    </xf>
    <xf applyAlignment="true" applyBorder="false" applyFill="true" applyFont="true" applyNumberFormat="true" applyProtection="false" borderId="121" fillId="349" fontId="16" numFmtId="192" xfId="0">
      <alignment horizontal="center" vertical="center" wrapText="true"/>
    </xf>
    <xf applyAlignment="true" applyBorder="false" applyFill="true" applyFont="true" applyNumberFormat="true" applyProtection="false" borderId="122" fillId="349" fontId="16" numFmtId="192" xfId="0">
      <alignment horizontal="center" vertical="center" wrapText="true"/>
    </xf>
    <xf applyAlignment="true" applyBorder="false" applyFill="true" applyFont="true" applyNumberFormat="true" applyProtection="false" borderId="121" fillId="350" fontId="7" numFmtId="192" xfId="0">
      <alignment horizontal="center" vertical="center" wrapText="true"/>
    </xf>
    <xf applyAlignment="true" applyBorder="false" applyFill="true" applyFont="true" applyNumberFormat="true" applyProtection="false" borderId="121" fillId="350" fontId="7" numFmtId="193" xfId="0">
      <alignment horizontal="center" vertical="center"/>
    </xf>
    <xf applyAlignment="true" applyBorder="false" applyFill="true" applyFont="true" applyNumberFormat="false" applyProtection="false" borderId="121" fillId="350" fontId="7" numFmtId="0" xfId="0">
      <alignment horizontal="center" vertical="center"/>
    </xf>
    <xf applyAlignment="true" applyBorder="false" applyFill="true" applyFont="true" applyNumberFormat="false" applyProtection="false" borderId="121" fillId="350" fontId="7" numFmtId="0" xfId="0">
      <alignment horizontal="center" vertical="center" wrapText="true"/>
    </xf>
    <xf applyAlignment="true" applyBorder="false" applyFill="true" applyFont="true" applyNumberFormat="false" applyProtection="false" borderId="122" fillId="350" fontId="7" numFmtId="0" xfId="0">
      <alignment horizontal="center" vertical="center"/>
    </xf>
    <xf applyAlignment="true" applyBorder="false" applyFill="true" applyFont="true" applyNumberFormat="true" applyProtection="false" borderId="121" fillId="336" fontId="4" numFmtId="193" xfId="0">
      <alignment horizontal="center" vertical="center"/>
    </xf>
    <xf applyAlignment="true" applyBorder="false" applyFill="true" applyFont="true" applyNumberFormat="true" applyProtection="false" borderId="121" fillId="336" fontId="4" numFmtId="193" xfId="0">
      <alignment horizontal="center" vertical="center"/>
    </xf>
    <xf applyAlignment="true" applyBorder="false" applyFill="true" applyFont="true" applyNumberFormat="false" applyProtection="false" borderId="121" fillId="336" fontId="5" numFmtId="0" xfId="0">
      <alignment horizontal="center" vertical="center"/>
    </xf>
    <xf applyAlignment="true" applyBorder="false" applyFill="true" applyFont="true" applyNumberFormat="true" applyProtection="false" borderId="121" fillId="336" fontId="5" numFmtId="194" xfId="0">
      <alignment horizontal="center" vertical="center"/>
    </xf>
    <xf applyAlignment="true" applyBorder="false" applyFill="true" applyFont="true" applyNumberFormat="false" applyProtection="false" borderId="121" fillId="336" fontId="5" numFmtId="0" xfId="0">
      <alignment horizontal="center" vertical="center" wrapText="true"/>
    </xf>
    <xf applyAlignment="true" applyBorder="false" applyFill="true" applyFont="true" applyNumberFormat="false" applyProtection="false" borderId="121" fillId="336" fontId="5" numFmtId="0" xfId="0">
      <alignment horizontal="center" vertical="center"/>
    </xf>
    <xf applyAlignment="true" applyBorder="false" applyFill="true" applyFont="true" applyNumberFormat="false" applyProtection="false" borderId="122" fillId="336" fontId="5" numFmtId="0" xfId="0">
      <alignment horizontal="center" vertical="center"/>
    </xf>
    <xf applyAlignment="true" applyBorder="false" applyFill="true" applyFont="true" applyNumberFormat="false" applyProtection="false" borderId="121" fillId="310" fontId="5" numFmtId="0" xfId="0">
      <alignment horizontal="center" vertical="center"/>
    </xf>
    <xf applyAlignment="true" applyBorder="false" applyFill="true" applyFont="true" applyNumberFormat="false" applyProtection="false" borderId="121" fillId="351" fontId="5" numFmtId="0" xfId="0">
      <alignment horizontal="center" vertical="center"/>
    </xf>
    <xf applyAlignment="true" applyBorder="false" applyFill="true" applyFont="true" applyNumberFormat="false" applyProtection="false" borderId="121" fillId="351" fontId="5" numFmtId="0" xfId="0">
      <alignment horizontal="center" vertical="center"/>
    </xf>
    <xf applyAlignment="true" applyBorder="false" applyFill="true" applyFont="true" applyNumberFormat="true" applyProtection="false" borderId="121" fillId="351" fontId="4" numFmtId="193" xfId="0">
      <alignment horizontal="center" vertical="center"/>
    </xf>
    <xf applyAlignment="true" applyBorder="false" applyFill="true" applyFont="true" applyNumberFormat="true" applyProtection="false" borderId="122" fillId="314" fontId="4" numFmtId="193" xfId="0">
      <alignment horizontal="center" vertical="center"/>
    </xf>
    <xf applyAlignment="true" applyBorder="false" applyFill="true" applyFont="true" applyNumberFormat="true" applyProtection="false" borderId="0" fillId="311" fontId="4" numFmtId="193" xfId="0">
      <alignment horizontal="center" vertical="center"/>
    </xf>
    <xf applyAlignment="true" applyBorder="false" applyFill="true" applyFont="true" applyNumberFormat="true" applyProtection="false" borderId="121" fillId="337" fontId="16" numFmtId="192" xfId="0">
      <alignment horizontal="center" vertical="center" wrapText="true"/>
    </xf>
    <xf applyAlignment="true" applyBorder="false" applyFill="true" applyFont="true" applyNumberFormat="true" applyProtection="false" borderId="121" fillId="337" fontId="16" numFmtId="192" xfId="0">
      <alignment horizontal="center" vertical="center" wrapText="true"/>
    </xf>
    <xf applyAlignment="true" applyBorder="false" applyFill="true" applyFont="true" applyNumberFormat="true" applyProtection="false" borderId="122" fillId="337" fontId="16" numFmtId="192" xfId="0">
      <alignment horizontal="center" vertical="center" wrapText="true"/>
    </xf>
    <xf applyAlignment="true" applyBorder="false" applyFill="true" applyFont="true" applyNumberFormat="true" applyProtection="false" borderId="121" fillId="337" fontId="4" numFmtId="193" xfId="0">
      <alignment horizontal="center" vertical="center"/>
    </xf>
    <xf applyAlignment="true" applyBorder="false" applyFill="true" applyFont="true" applyNumberFormat="true" applyProtection="false" borderId="121" fillId="352" fontId="4" numFmtId="193" xfId="0">
      <alignment horizontal="center" vertical="center"/>
    </xf>
    <xf applyAlignment="true" applyBorder="false" applyFill="true" applyFont="true" applyNumberFormat="false" applyProtection="false" borderId="121" fillId="337" fontId="5" numFmtId="0" xfId="0">
      <alignment horizontal="center" vertical="center"/>
    </xf>
    <xf applyAlignment="true" applyBorder="false" applyFill="true" applyFont="true" applyNumberFormat="false" applyProtection="false" borderId="121" fillId="352" fontId="5" numFmtId="0" xfId="0">
      <alignment horizontal="center" vertical="center"/>
    </xf>
    <xf applyAlignment="true" applyBorder="false" applyFill="true" applyFont="true" applyNumberFormat="false" applyProtection="false" borderId="121" fillId="337" fontId="5" numFmtId="0" xfId="0">
      <alignment horizontal="center" vertical="center" wrapText="true"/>
    </xf>
    <xf applyAlignment="true" applyBorder="false" applyFill="true" applyFont="true" applyNumberFormat="false" applyProtection="false" borderId="121" fillId="337" fontId="5" numFmtId="0" xfId="0">
      <alignment horizontal="center" vertical="center"/>
    </xf>
    <xf applyAlignment="true" applyBorder="false" applyFill="true" applyFont="true" applyNumberFormat="false" applyProtection="false" borderId="122" fillId="337" fontId="5" numFmtId="0" xfId="0">
      <alignment horizontal="center" vertical="center"/>
    </xf>
    <xf applyAlignment="true" applyBorder="false" applyFill="true" applyFont="true" applyNumberFormat="true" applyProtection="false" borderId="121" fillId="337" fontId="4" numFmtId="193" xfId="0">
      <alignment horizontal="center" vertical="center"/>
    </xf>
    <xf applyAlignment="true" applyBorder="false" applyFill="true" applyFont="true" applyNumberFormat="true" applyProtection="false" borderId="121" fillId="352" fontId="5" numFmtId="194" xfId="0">
      <alignment horizontal="center" vertical="center"/>
    </xf>
    <xf applyAlignment="true" applyBorder="false" applyFill="true" applyFont="true" applyNumberFormat="false" applyProtection="false" borderId="122" fillId="337" fontId="5" numFmtId="0" xfId="0">
      <alignment horizontal="center" vertical="center"/>
    </xf>
    <xf applyAlignment="true" applyBorder="false" applyFill="true" applyFont="true" applyNumberFormat="true" applyProtection="false" borderId="121" fillId="352" fontId="4" numFmtId="193" xfId="0">
      <alignment horizontal="center" vertical="center"/>
    </xf>
    <xf applyAlignment="true" applyBorder="false" applyFill="true" applyFont="true" applyNumberFormat="false" applyProtection="false" borderId="121" fillId="352" fontId="5" numFmtId="0" xfId="0">
      <alignment horizontal="center" vertical="center"/>
    </xf>
    <xf applyAlignment="true" applyBorder="false" applyFill="true" applyFont="true" applyNumberFormat="false" applyProtection="false" borderId="121" fillId="352" fontId="5" numFmtId="0" xfId="0">
      <alignment horizontal="center" vertical="center" wrapText="true"/>
    </xf>
    <xf applyAlignment="true" applyBorder="false" applyFill="true" applyFont="true" applyNumberFormat="true" applyProtection="false" borderId="121" fillId="325" fontId="16" numFmtId="192" xfId="0">
      <alignment horizontal="center" vertical="center" wrapText="true"/>
    </xf>
    <xf applyAlignment="true" applyBorder="false" applyFill="true" applyFont="true" applyNumberFormat="true" applyProtection="false" borderId="122" fillId="325" fontId="16" numFmtId="192" xfId="0">
      <alignment horizontal="center" vertical="center" wrapText="true"/>
    </xf>
    <xf applyAlignment="true" applyBorder="false" applyFill="true" applyFont="true" applyNumberFormat="true" applyProtection="false" borderId="121" fillId="311" fontId="7" numFmtId="192" xfId="0">
      <alignment horizontal="center" vertical="center" wrapText="true"/>
    </xf>
    <xf applyAlignment="true" applyBorder="false" applyFill="true" applyFont="true" applyNumberFormat="false" applyProtection="false" borderId="121" fillId="311" fontId="4" numFmtId="0" xfId="0">
      <alignment horizontal="center" vertical="center"/>
    </xf>
    <xf applyAlignment="true" applyBorder="false" applyFill="true" applyFont="true" applyNumberFormat="true" applyProtection="false" borderId="121" fillId="314" fontId="7" numFmtId="192" xfId="0">
      <alignment horizontal="center" vertical="center" wrapText="true"/>
    </xf>
    <xf applyAlignment="true" applyBorder="false" applyFill="true" applyFont="true" applyNumberFormat="true" applyProtection="false" borderId="121" fillId="325" fontId="4" numFmtId="192" xfId="0">
      <alignment horizontal="center" vertical="center" wrapText="true"/>
    </xf>
    <xf applyAlignment="true" applyBorder="false" applyFill="true" applyFont="true" applyNumberFormat="false" applyProtection="false" borderId="0" fillId="325" fontId="5" numFmtId="0" xfId="0">
      <alignment horizontal="center" vertical="center"/>
    </xf>
    <xf applyAlignment="true" applyBorder="false" applyFill="true" applyFont="true" applyNumberFormat="true" applyProtection="false" borderId="121" fillId="353" fontId="16" numFmtId="192" xfId="0">
      <alignment horizontal="center" vertical="center" wrapText="true"/>
    </xf>
    <xf applyAlignment="true" applyBorder="false" applyFill="true" applyFont="true" applyNumberFormat="true" applyProtection="false" borderId="122" fillId="353" fontId="16" numFmtId="192" xfId="0">
      <alignment horizontal="center" vertical="center" wrapText="true"/>
    </xf>
    <xf applyAlignment="true" applyBorder="false" applyFill="true" applyFont="true" applyNumberFormat="true" applyProtection="false" borderId="121" fillId="353" fontId="7" numFmtId="192" xfId="0">
      <alignment horizontal="center" vertical="center" wrapText="true"/>
    </xf>
    <xf applyAlignment="true" applyBorder="false" applyFill="true" applyFont="true" applyNumberFormat="true" applyProtection="false" borderId="121" fillId="353" fontId="7" numFmtId="193" xfId="0">
      <alignment horizontal="center" vertical="center"/>
    </xf>
    <xf applyAlignment="true" applyBorder="false" applyFill="true" applyFont="true" applyNumberFormat="false" applyProtection="false" borderId="121" fillId="353" fontId="7" numFmtId="0" xfId="0">
      <alignment horizontal="center" vertical="center"/>
    </xf>
    <xf applyAlignment="true" applyBorder="false" applyFill="true" applyFont="true" applyNumberFormat="false" applyProtection="false" borderId="121" fillId="353" fontId="7" numFmtId="0" xfId="0">
      <alignment horizontal="center" vertical="center" wrapText="true"/>
    </xf>
    <xf applyAlignment="true" applyBorder="false" applyFill="true" applyFont="true" applyNumberFormat="false" applyProtection="false" borderId="122" fillId="353" fontId="7" numFmtId="0" xfId="0">
      <alignment horizontal="center" vertical="center"/>
    </xf>
    <xf applyAlignment="true" applyBorder="false" applyFill="true" applyFont="true" applyNumberFormat="true" applyProtection="false" borderId="121" fillId="353" fontId="4" numFmtId="193" xfId="0">
      <alignment horizontal="center" vertical="center"/>
    </xf>
    <xf applyAlignment="true" applyBorder="false" applyFill="true" applyFont="true" applyNumberFormat="true" applyProtection="false" borderId="121" fillId="353" fontId="4" numFmtId="193" xfId="0">
      <alignment horizontal="center" vertical="center"/>
    </xf>
    <xf applyAlignment="true" applyBorder="false" applyFill="true" applyFont="true" applyNumberFormat="false" applyProtection="false" borderId="121" fillId="353" fontId="5" numFmtId="0" xfId="0">
      <alignment horizontal="center" vertical="center"/>
    </xf>
    <xf applyAlignment="true" applyBorder="false" applyFill="true" applyFont="true" applyNumberFormat="false" applyProtection="false" borderId="121" fillId="353" fontId="5" numFmtId="0" xfId="0">
      <alignment horizontal="center" vertical="center"/>
    </xf>
    <xf applyAlignment="true" applyBorder="false" applyFill="true" applyFont="true" applyNumberFormat="false" applyProtection="false" borderId="121" fillId="353" fontId="4" numFmtId="0" xfId="0">
      <alignment horizontal="center" vertical="center"/>
    </xf>
    <xf applyAlignment="true" applyBorder="false" applyFill="true" applyFont="true" applyNumberFormat="true" applyProtection="false" borderId="133" fillId="354" fontId="1" numFmtId="196" xfId="0">
      <alignment horizontal="left" vertical="center" wrapText="true"/>
    </xf>
    <xf applyAlignment="true" applyBorder="false" applyFill="true" applyFont="true" applyNumberFormat="true" applyProtection="false" borderId="133" fillId="355" fontId="1" numFmtId="196" xfId="0">
      <alignment horizontal="center" vertical="center" wrapText="true"/>
    </xf>
    <xf applyAlignment="true" applyBorder="false" applyFill="true" applyFont="true" applyNumberFormat="true" applyProtection="false" borderId="133" fillId="354" fontId="1" numFmtId="196" xfId="0">
      <alignment horizontal="center" vertical="center" wrapText="true"/>
    </xf>
    <xf applyAlignment="true" applyBorder="false" applyFill="true" applyFont="true" applyNumberFormat="true" applyProtection="false" borderId="134" fillId="354" fontId="1" numFmtId="196" xfId="0">
      <alignment horizontal="left" vertical="center" wrapText="true"/>
    </xf>
    <xf applyAlignment="true" applyBorder="false" applyFill="true" applyFont="true" applyNumberFormat="true" applyProtection="false" borderId="0" fillId="356" fontId="1" numFmtId="196" xfId="0">
      <alignment horizontal="left" vertical="center" wrapText="true"/>
    </xf>
    <xf applyAlignment="true" applyBorder="false" applyFill="true" applyFont="true" applyNumberFormat="true" applyProtection="false" borderId="0" fillId="357" fontId="2" numFmtId="196" xfId="0">
      <alignment horizontal="center" vertical="center"/>
    </xf>
    <xf applyAlignment="true" applyBorder="false" applyFill="true" applyFont="true" applyNumberFormat="true" applyProtection="false" borderId="0" fillId="356" fontId="2" numFmtId="196" xfId="0">
      <alignment horizontal="center" vertical="center"/>
    </xf>
    <xf applyAlignment="true" applyBorder="false" applyFill="true" applyFont="true" applyNumberFormat="true" applyProtection="false" borderId="133" fillId="358" fontId="3" numFmtId="196" xfId="0">
      <alignment horizontal="center" vertical="center" wrapText="true"/>
    </xf>
    <xf applyAlignment="true" applyBorder="false" applyFill="true" applyFont="true" applyNumberFormat="true" applyProtection="false" borderId="133" fillId="358" fontId="3" numFmtId="196" xfId="0">
      <alignment horizontal="center" vertical="center" wrapText="true"/>
    </xf>
    <xf applyAlignment="true" applyBorder="false" applyFill="true" applyFont="true" applyNumberFormat="true" applyProtection="false" borderId="135" fillId="358" fontId="3" numFmtId="196" xfId="0">
      <alignment horizontal="center" vertical="center" wrapText="true"/>
    </xf>
    <xf applyAlignment="true" applyBorder="false" applyFill="true" applyFont="true" applyNumberFormat="true" applyProtection="false" borderId="136" fillId="358" fontId="3" numFmtId="196" xfId="0">
      <alignment horizontal="center" vertical="center" wrapText="true"/>
    </xf>
    <xf applyAlignment="true" applyBorder="false" applyFill="true" applyFont="true" applyNumberFormat="true" applyProtection="false" borderId="0" fillId="356" fontId="3" numFmtId="196" xfId="0">
      <alignment horizontal="center" vertical="center" wrapText="true"/>
    </xf>
    <xf applyAlignment="true" applyBorder="false" applyFill="true" applyFont="true" applyNumberFormat="true" applyProtection="false" borderId="137" fillId="359" fontId="4" numFmtId="197" xfId="0">
      <alignment horizontal="center" vertical="center"/>
    </xf>
    <xf applyAlignment="true" applyBorder="false" applyFill="true" applyFont="true" applyNumberFormat="true" applyProtection="false" borderId="137" fillId="359" fontId="4" numFmtId="197" xfId="0">
      <alignment horizontal="center" vertical="center"/>
    </xf>
    <xf applyAlignment="true" applyBorder="false" applyFill="true" applyFont="true" applyNumberFormat="true" applyProtection="false" borderId="138" fillId="359" fontId="4" numFmtId="197" xfId="0">
      <alignment horizontal="center" vertical="center"/>
    </xf>
    <xf applyAlignment="true" applyBorder="false" applyFill="true" applyFont="true" applyNumberFormat="false" applyProtection="false" borderId="135" fillId="359" fontId="5" numFmtId="0" xfId="0">
      <alignment horizontal="center" vertical="center"/>
    </xf>
    <xf applyAlignment="true" applyBorder="false" applyFill="true" applyFont="true" applyNumberFormat="false" applyProtection="false" borderId="136" fillId="359" fontId="5" numFmtId="0" xfId="0">
      <alignment horizontal="center" vertical="center"/>
    </xf>
    <xf applyAlignment="true" applyBorder="false" applyFill="false" applyFont="true" applyNumberFormat="true" applyProtection="false" borderId="137" fillId="0" fontId="5" numFmtId="198" xfId="0">
      <alignment horizontal="center" vertical="center"/>
    </xf>
    <xf applyAlignment="true" applyBorder="false" applyFill="true" applyFont="true" applyNumberFormat="false" applyProtection="false" borderId="138" fillId="359" fontId="5" numFmtId="0" xfId="0">
      <alignment horizontal="center" vertical="center" wrapText="true"/>
    </xf>
    <xf applyAlignment="true" applyBorder="false" applyFill="false" applyFont="true" applyNumberFormat="false" applyProtection="false" borderId="135" fillId="0" fontId="5" numFmtId="0" xfId="0">
      <alignment horizontal="center" vertical="center"/>
    </xf>
    <xf applyAlignment="true" applyBorder="false" applyFill="true" applyFont="true" applyNumberFormat="false" applyProtection="false" borderId="0" fillId="356" fontId="5" numFmtId="0" xfId="0">
      <alignment horizontal="center" vertical="center"/>
    </xf>
    <xf applyAlignment="true" applyBorder="false" applyFill="true" applyFont="true" applyNumberFormat="true" applyProtection="false" borderId="135" fillId="359" fontId="4" numFmtId="197" xfId="0">
      <alignment horizontal="center" vertical="center"/>
    </xf>
    <xf applyAlignment="true" applyBorder="false" applyFill="true" applyFont="true" applyNumberFormat="true" applyProtection="false" borderId="139" fillId="359" fontId="4" numFmtId="197" xfId="0">
      <alignment horizontal="center" vertical="center"/>
    </xf>
    <xf applyAlignment="true" applyBorder="false" applyFill="true" applyFont="true" applyNumberFormat="false" applyProtection="false" borderId="135" fillId="356" fontId="5" numFmtId="0" xfId="0">
      <alignment horizontal="center" vertical="center"/>
    </xf>
    <xf applyAlignment="true" applyBorder="false" applyFill="true" applyFont="true" applyNumberFormat="true" applyProtection="false" borderId="135" fillId="359" fontId="5" numFmtId="198" xfId="0">
      <alignment horizontal="center" vertical="center"/>
    </xf>
    <xf applyAlignment="true" applyBorder="false" applyFill="true" applyFont="true" applyNumberFormat="true" applyProtection="false" borderId="139" fillId="358" fontId="3" numFmtId="196" xfId="0">
      <alignment horizontal="center" vertical="center" wrapText="true"/>
    </xf>
    <xf applyAlignment="true" applyBorder="false" applyFill="true" applyFont="true" applyNumberFormat="true" applyProtection="false" borderId="139" fillId="358" fontId="3" numFmtId="196" xfId="0">
      <alignment horizontal="center" vertical="center" wrapText="true"/>
    </xf>
    <xf applyAlignment="true" applyBorder="false" applyFill="true" applyFont="true" applyNumberFormat="true" applyProtection="false" borderId="140" fillId="358" fontId="3" numFmtId="196" xfId="0">
      <alignment horizontal="center" vertical="center" wrapText="true"/>
    </xf>
    <xf applyAlignment="true" applyBorder="false" applyFill="true" applyFont="true" applyNumberFormat="true" applyProtection="false" borderId="0" fillId="356" fontId="3" numFmtId="196" xfId="0">
      <alignment horizontal="center" vertical="center" wrapText="true"/>
    </xf>
    <xf applyAlignment="true" applyBorder="false" applyFill="true" applyFont="true" applyNumberFormat="true" applyProtection="false" borderId="135" fillId="358" fontId="7" numFmtId="196" xfId="0">
      <alignment horizontal="center" vertical="center" wrapText="true"/>
    </xf>
    <xf applyAlignment="true" applyBorder="false" applyFill="true" applyFont="true" applyNumberFormat="true" applyProtection="false" borderId="135" fillId="358" fontId="7" numFmtId="197" xfId="0">
      <alignment horizontal="center" vertical="center"/>
    </xf>
    <xf applyAlignment="true" applyBorder="false" applyFill="true" applyFont="true" applyNumberFormat="false" applyProtection="false" borderId="135" fillId="358" fontId="7" numFmtId="0" xfId="0">
      <alignment horizontal="center" vertical="center"/>
    </xf>
    <xf applyAlignment="true" applyBorder="false" applyFill="true" applyFont="true" applyNumberFormat="false" applyProtection="false" borderId="136" fillId="358" fontId="7" numFmtId="0" xfId="0">
      <alignment horizontal="center" vertical="center"/>
    </xf>
    <xf applyAlignment="true" applyBorder="false" applyFill="true" applyFont="true" applyNumberFormat="false" applyProtection="false" borderId="138" fillId="358" fontId="7" numFmtId="0" xfId="0">
      <alignment horizontal="center" vertical="center" wrapText="true"/>
    </xf>
    <xf applyAlignment="true" applyBorder="false" applyFill="true" applyFont="true" applyNumberFormat="false" applyProtection="false" borderId="0" fillId="356" fontId="7" numFmtId="0" xfId="0">
      <alignment horizontal="center" vertical="center"/>
    </xf>
    <xf applyAlignment="true" applyBorder="false" applyFill="true" applyFont="true" applyNumberFormat="true" applyProtection="false" borderId="135" fillId="359" fontId="4" numFmtId="197" xfId="0">
      <alignment horizontal="center" vertical="center"/>
    </xf>
    <xf applyAlignment="true" applyBorder="false" applyFill="false" applyFont="true" applyNumberFormat="true" applyProtection="false" borderId="135" fillId="0" fontId="5" numFmtId="198" xfId="0">
      <alignment horizontal="center" vertical="center"/>
    </xf>
    <xf applyAlignment="true" applyBorder="false" applyFill="false" applyFont="true" applyNumberFormat="false" applyProtection="false" borderId="138" fillId="0" fontId="5" numFmtId="0" xfId="0">
      <alignment horizontal="center" vertical="center" wrapText="true"/>
    </xf>
    <xf applyAlignment="true" applyBorder="false" applyFill="false" applyFont="true" applyNumberFormat="false" applyProtection="false" borderId="136" fillId="0" fontId="5" numFmtId="0" xfId="0">
      <alignment horizontal="center" vertical="center"/>
    </xf>
    <xf applyAlignment="true" applyBorder="false" applyFill="true" applyFont="true" applyNumberFormat="false" applyProtection="false" borderId="135" fillId="359" fontId="5" numFmtId="0" xfId="0">
      <alignment horizontal="center" vertical="center"/>
    </xf>
    <xf applyAlignment="true" applyBorder="false" applyFill="true" applyFont="true" applyNumberFormat="true" applyProtection="false" borderId="135" fillId="360" fontId="3" numFmtId="196" xfId="0">
      <alignment horizontal="center" vertical="center" wrapText="true"/>
    </xf>
    <xf applyAlignment="true" applyBorder="false" applyFill="true" applyFont="true" applyNumberFormat="true" applyProtection="false" borderId="136" fillId="360" fontId="3" numFmtId="196" xfId="0">
      <alignment horizontal="center" vertical="center" wrapText="true"/>
    </xf>
    <xf applyAlignment="true" applyBorder="false" applyFill="true" applyFont="true" applyNumberFormat="true" applyProtection="false" borderId="135" fillId="360" fontId="7" numFmtId="196" xfId="0">
      <alignment horizontal="center" vertical="center" wrapText="true"/>
    </xf>
    <xf applyAlignment="true" applyBorder="false" applyFill="true" applyFont="true" applyNumberFormat="true" applyProtection="false" borderId="135" fillId="360" fontId="7" numFmtId="197" xfId="0">
      <alignment horizontal="center" vertical="center"/>
    </xf>
    <xf applyAlignment="true" applyBorder="false" applyFill="true" applyFont="true" applyNumberFormat="false" applyProtection="false" borderId="135" fillId="360" fontId="7" numFmtId="0" xfId="0">
      <alignment horizontal="center" vertical="center"/>
    </xf>
    <xf applyAlignment="true" applyBorder="false" applyFill="true" applyFont="true" applyNumberFormat="false" applyProtection="false" borderId="135" fillId="360" fontId="7" numFmtId="0" xfId="0">
      <alignment horizontal="center" vertical="center" wrapText="true"/>
    </xf>
    <xf applyAlignment="true" applyBorder="false" applyFill="true" applyFont="true" applyNumberFormat="false" applyProtection="false" borderId="136" fillId="360" fontId="7" numFmtId="0" xfId="0">
      <alignment horizontal="center" vertical="center"/>
    </xf>
    <xf applyAlignment="true" applyBorder="false" applyFill="true" applyFont="true" applyNumberFormat="false" applyProtection="false" borderId="135" fillId="359" fontId="5" numFmtId="0" xfId="0">
      <alignment horizontal="center" vertical="center" wrapText="true"/>
    </xf>
    <xf applyAlignment="true" applyBorder="false" applyFill="true" applyFont="true" applyNumberFormat="false" applyProtection="false" borderId="133" fillId="359" fontId="5" numFmtId="0" xfId="0">
      <alignment horizontal="center" vertical="center"/>
    </xf>
    <xf applyAlignment="true" applyBorder="false" applyFill="true" applyFont="true" applyNumberFormat="true" applyProtection="false" borderId="135" fillId="361" fontId="4" numFmtId="197" xfId="0">
      <alignment horizontal="center" vertical="center"/>
    </xf>
    <xf applyAlignment="true" applyBorder="false" applyFill="true" applyFont="true" applyNumberFormat="true" applyProtection="false" borderId="135" fillId="361" fontId="4" numFmtId="197" xfId="0">
      <alignment horizontal="center" vertical="center"/>
    </xf>
    <xf applyAlignment="true" applyBorder="false" applyFill="true" applyFont="true" applyNumberFormat="false" applyProtection="false" borderId="135" fillId="361" fontId="5" numFmtId="0" xfId="0">
      <alignment horizontal="center" vertical="center"/>
    </xf>
    <xf applyAlignment="true" applyBorder="false" applyFill="true" applyFont="true" applyNumberFormat="false" applyProtection="false" borderId="135" fillId="361" fontId="5" numFmtId="0" xfId="0">
      <alignment horizontal="center" vertical="center"/>
    </xf>
    <xf applyAlignment="true" applyBorder="false" applyFill="true" applyFont="true" applyNumberFormat="false" applyProtection="false" borderId="135" fillId="361" fontId="5" numFmtId="0" xfId="0">
      <alignment horizontal="center" vertical="center" wrapText="true"/>
    </xf>
    <xf applyAlignment="true" applyBorder="false" applyFill="true" applyFont="true" applyNumberFormat="false" applyProtection="false" borderId="136" fillId="361" fontId="5" numFmtId="0" xfId="0">
      <alignment horizontal="center" vertical="center"/>
    </xf>
    <xf applyAlignment="true" applyBorder="false" applyFill="true" applyFont="true" applyNumberFormat="false" applyProtection="false" borderId="0" fillId="361" fontId="5" numFmtId="0" xfId="0">
      <alignment horizontal="center" vertical="center"/>
    </xf>
    <xf applyAlignment="true" applyBorder="false" applyFill="true" applyFont="true" applyNumberFormat="false" applyProtection="false" borderId="0" fillId="361" fontId="6" numFmtId="0" xfId="0">
      <alignment vertical="center"/>
    </xf>
    <xf applyAlignment="true" applyBorder="false" applyFill="true" applyFont="true" applyNumberFormat="false" applyProtection="false" borderId="135" fillId="359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0" fillId="356" fontId="8" numFmtId="0" xfId="0">
      <alignment vertical="center"/>
    </xf>
    <xf applyAlignment="true" applyBorder="false" applyFill="true" applyFont="true" applyNumberFormat="false" applyProtection="false" borderId="137" fillId="362" fontId="9" numFmtId="0" xfId="0">
      <alignment horizontal="center" vertical="center"/>
    </xf>
    <xf applyAlignment="true" applyBorder="false" applyFill="true" applyFont="true" applyNumberFormat="true" applyProtection="false" borderId="137" fillId="362" fontId="3" numFmtId="196" xfId="0">
      <alignment horizontal="center" vertical="center" wrapText="true"/>
    </xf>
    <xf applyAlignment="true" applyBorder="false" applyFill="true" applyFont="true" applyNumberFormat="true" applyProtection="false" borderId="141" fillId="362" fontId="3" numFmtId="196" xfId="0">
      <alignment horizontal="center" vertical="center" wrapText="true"/>
    </xf>
    <xf applyAlignment="true" applyBorder="false" applyFill="true" applyFont="true" applyNumberFormat="false" applyProtection="false" borderId="137" fillId="362" fontId="7" numFmtId="0" xfId="0">
      <alignment horizontal="center" vertical="center"/>
    </xf>
    <xf applyAlignment="true" applyBorder="false" applyFill="true" applyFont="true" applyNumberFormat="true" applyProtection="false" borderId="137" fillId="362" fontId="7" numFmtId="197" xfId="0">
      <alignment horizontal="center" vertical="center"/>
    </xf>
    <xf applyAlignment="true" applyBorder="false" applyFill="true" applyFont="true" applyNumberFormat="false" applyProtection="false" borderId="137" fillId="362" fontId="7" numFmtId="0" xfId="0">
      <alignment horizontal="center" vertical="center" wrapText="true"/>
    </xf>
    <xf applyAlignment="true" applyBorder="false" applyFill="true" applyFont="true" applyNumberFormat="false" applyProtection="false" borderId="141" fillId="362" fontId="7" numFmtId="0" xfId="0">
      <alignment horizontal="center" vertical="center"/>
    </xf>
    <xf applyAlignment="true" applyBorder="false" applyFill="true" applyFont="true" applyNumberFormat="true" applyProtection="false" borderId="137" fillId="359" fontId="5" numFmtId="199" xfId="0">
      <alignment horizontal="center" vertical="center"/>
    </xf>
    <xf applyAlignment="true" applyBorder="false" applyFill="true" applyFont="true" applyNumberFormat="false" applyProtection="false" borderId="137" fillId="359" fontId="5" numFmtId="0" xfId="0">
      <alignment horizontal="center" vertical="center"/>
    </xf>
    <xf applyAlignment="true" applyBorder="false" applyFill="true" applyFont="true" applyNumberFormat="false" applyProtection="false" borderId="137" fillId="359" fontId="5" numFmtId="0" xfId="0">
      <alignment horizontal="center" vertical="center" wrapText="true"/>
    </xf>
    <xf applyAlignment="true" applyBorder="false" applyFill="true" applyFont="true" applyNumberFormat="false" applyProtection="false" borderId="141" fillId="359" fontId="5" numFmtId="0" xfId="0">
      <alignment horizontal="center" vertical="center"/>
    </xf>
    <xf applyAlignment="true" applyBorder="false" applyFill="true" applyFont="true" applyNumberFormat="false" applyProtection="false" borderId="137" fillId="356" fontId="5" numFmtId="0" xfId="0">
      <alignment horizontal="center" vertical="center"/>
    </xf>
    <xf applyAlignment="true" applyBorder="false" applyFill="true" applyFont="true" applyNumberFormat="false" applyProtection="false" borderId="137" fillId="359" fontId="5" numFmtId="0" xfId="0">
      <alignment horizontal="center" vertical="center"/>
    </xf>
    <xf applyAlignment="true" applyBorder="false" applyFill="true" applyFont="true" applyNumberFormat="false" applyProtection="false" borderId="142" fillId="359" fontId="5" numFmtId="0" xfId="0">
      <alignment horizontal="center" vertical="center" wrapText="true"/>
    </xf>
    <xf applyAlignment="true" applyBorder="false" applyFill="true" applyFont="true" applyNumberFormat="false" applyProtection="false" borderId="137" fillId="363" fontId="9" numFmtId="0" xfId="0">
      <alignment horizontal="center" vertical="center"/>
    </xf>
    <xf applyAlignment="true" applyBorder="false" applyFill="true" applyFont="true" applyNumberFormat="true" applyProtection="false" borderId="137" fillId="363" fontId="3" numFmtId="196" xfId="0">
      <alignment horizontal="center" vertical="center" wrapText="true"/>
    </xf>
    <xf applyAlignment="true" applyBorder="false" applyFill="true" applyFont="true" applyNumberFormat="true" applyProtection="false" borderId="141" fillId="363" fontId="3" numFmtId="196" xfId="0">
      <alignment horizontal="center" vertical="center" wrapText="true"/>
    </xf>
    <xf applyAlignment="true" applyBorder="false" applyFill="true" applyFont="true" applyNumberFormat="false" applyProtection="false" borderId="137" fillId="363" fontId="7" numFmtId="0" xfId="0">
      <alignment horizontal="center" vertical="center"/>
    </xf>
    <xf applyAlignment="true" applyBorder="false" applyFill="true" applyFont="true" applyNumberFormat="true" applyProtection="false" borderId="137" fillId="363" fontId="7" numFmtId="197" xfId="0">
      <alignment horizontal="center" vertical="center"/>
    </xf>
    <xf applyAlignment="true" applyBorder="false" applyFill="true" applyFont="true" applyNumberFormat="false" applyProtection="false" borderId="137" fillId="363" fontId="7" numFmtId="0" xfId="0">
      <alignment horizontal="center" vertical="center" wrapText="true"/>
    </xf>
    <xf applyAlignment="true" applyBorder="false" applyFill="true" applyFont="true" applyNumberFormat="false" applyProtection="false" borderId="141" fillId="363" fontId="7" numFmtId="0" xfId="0">
      <alignment horizontal="center" vertical="center"/>
    </xf>
    <xf applyAlignment="true" applyBorder="false" applyFill="true" applyFont="true" applyNumberFormat="true" applyProtection="false" borderId="137" fillId="364" fontId="4" numFmtId="197" xfId="0">
      <alignment horizontal="center" vertical="center"/>
    </xf>
    <xf applyAlignment="true" applyBorder="false" applyFill="true" applyFont="true" applyNumberFormat="true" applyProtection="false" borderId="137" fillId="364" fontId="4" numFmtId="197" xfId="0">
      <alignment horizontal="center" vertical="center"/>
    </xf>
    <xf applyAlignment="true" applyBorder="false" applyFill="true" applyFont="true" applyNumberFormat="true" applyProtection="false" borderId="137" fillId="364" fontId="5" numFmtId="199" xfId="0">
      <alignment horizontal="center" vertical="center"/>
    </xf>
    <xf applyAlignment="true" applyBorder="false" applyFill="true" applyFont="true" applyNumberFormat="false" applyProtection="false" borderId="137" fillId="364" fontId="5" numFmtId="0" xfId="0">
      <alignment horizontal="center" vertical="center"/>
    </xf>
    <xf applyAlignment="true" applyBorder="false" applyFill="true" applyFont="true" applyNumberFormat="false" applyProtection="false" borderId="137" fillId="364" fontId="5" numFmtId="0" xfId="0">
      <alignment horizontal="center" vertical="center" wrapText="true"/>
    </xf>
    <xf applyAlignment="true" applyBorder="false" applyFill="true" applyFont="true" applyNumberFormat="false" applyProtection="false" borderId="141" fillId="359" fontId="5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0" fillId="356" fontId="6" numFmtId="0" xfId="0">
      <alignment vertical="center"/>
    </xf>
    <xf applyAlignment="true" applyBorder="false" applyFill="true" applyFont="true" applyNumberFormat="false" applyProtection="false" borderId="137" fillId="365" fontId="9" numFmtId="0" xfId="0">
      <alignment horizontal="center" vertical="center"/>
    </xf>
    <xf applyAlignment="true" applyBorder="false" applyFill="true" applyFont="true" applyNumberFormat="false" applyProtection="false" borderId="137" fillId="365" fontId="9" numFmtId="0" xfId="0">
      <alignment horizontal="center" vertical="center"/>
    </xf>
    <xf applyAlignment="true" applyBorder="false" applyFill="true" applyFont="true" applyNumberFormat="true" applyProtection="false" borderId="137" fillId="365" fontId="3" numFmtId="196" xfId="0">
      <alignment horizontal="center" vertical="center" wrapText="true"/>
    </xf>
    <xf applyAlignment="true" applyBorder="false" applyFill="true" applyFont="true" applyNumberFormat="true" applyProtection="false" borderId="141" fillId="365" fontId="3" numFmtId="196" xfId="0">
      <alignment horizontal="center" vertical="center" wrapText="true"/>
    </xf>
    <xf applyAlignment="true" applyBorder="false" applyFill="true" applyFont="true" applyNumberFormat="false" applyProtection="false" borderId="137" fillId="365" fontId="7" numFmtId="0" xfId="0">
      <alignment horizontal="center" vertical="center"/>
    </xf>
    <xf applyAlignment="true" applyBorder="false" applyFill="true" applyFont="true" applyNumberFormat="true" applyProtection="false" borderId="137" fillId="365" fontId="7" numFmtId="197" xfId="0">
      <alignment horizontal="center" vertical="center"/>
    </xf>
    <xf applyAlignment="true" applyBorder="false" applyFill="true" applyFont="true" applyNumberFormat="false" applyProtection="false" borderId="137" fillId="365" fontId="7" numFmtId="0" xfId="0">
      <alignment horizontal="center" vertical="center" wrapText="true"/>
    </xf>
    <xf applyAlignment="true" applyBorder="false" applyFill="true" applyFont="true" applyNumberFormat="false" applyProtection="false" borderId="141" fillId="365" fontId="7" numFmtId="0" xfId="0">
      <alignment horizontal="center" vertical="center"/>
    </xf>
    <xf applyAlignment="true" applyBorder="false" applyFill="true" applyFont="true" applyNumberFormat="false" applyProtection="false" borderId="137" fillId="366" fontId="9" numFmtId="0" xfId="0">
      <alignment horizontal="center" vertical="center"/>
    </xf>
    <xf applyAlignment="true" applyBorder="false" applyFill="true" applyFont="true" applyNumberFormat="true" applyProtection="false" borderId="137" fillId="366" fontId="3" numFmtId="196" xfId="0">
      <alignment horizontal="center" vertical="center" wrapText="true"/>
    </xf>
    <xf applyAlignment="true" applyBorder="false" applyFill="true" applyFont="true" applyNumberFormat="true" applyProtection="false" borderId="141" fillId="366" fontId="3" numFmtId="196" xfId="0">
      <alignment horizontal="center" vertical="center" wrapText="true"/>
    </xf>
    <xf applyAlignment="true" applyBorder="false" applyFill="true" applyFont="true" applyNumberFormat="false" applyProtection="false" borderId="137" fillId="366" fontId="7" numFmtId="0" xfId="0">
      <alignment horizontal="center" vertical="center"/>
    </xf>
    <xf applyAlignment="true" applyBorder="false" applyFill="true" applyFont="true" applyNumberFormat="true" applyProtection="false" borderId="137" fillId="366" fontId="7" numFmtId="197" xfId="0">
      <alignment horizontal="center" vertical="center"/>
    </xf>
    <xf applyAlignment="true" applyBorder="false" applyFill="true" applyFont="true" applyNumberFormat="false" applyProtection="false" borderId="137" fillId="366" fontId="7" numFmtId="0" xfId="0">
      <alignment horizontal="center" vertical="center" wrapText="true"/>
    </xf>
    <xf applyAlignment="true" applyBorder="false" applyFill="true" applyFont="true" applyNumberFormat="false" applyProtection="false" borderId="143" fillId="366" fontId="7" numFmtId="0" xfId="0">
      <alignment horizontal="center" vertical="center"/>
    </xf>
    <xf applyAlignment="true" applyBorder="false" applyFill="true" applyFont="true" applyNumberFormat="false" applyProtection="false" borderId="0" fillId="356" fontId="7" numFmtId="0" xfId="0">
      <alignment horizontal="center" vertical="center"/>
    </xf>
    <xf applyAlignment="true" applyBorder="false" applyFill="true" applyFont="true" applyNumberFormat="false" applyProtection="false" borderId="144" fillId="359" fontId="5" numFmtId="0" xfId="0">
      <alignment horizontal="center" vertical="center"/>
    </xf>
    <xf applyAlignment="true" applyBorder="false" applyFill="true" applyFont="true" applyNumberFormat="true" applyProtection="false" borderId="135" fillId="367" fontId="3" numFmtId="196" xfId="0">
      <alignment horizontal="center" vertical="center" wrapText="true"/>
    </xf>
    <xf applyAlignment="true" applyBorder="false" applyFill="true" applyFont="true" applyNumberFormat="true" applyProtection="false" borderId="135" fillId="367" fontId="10" numFmtId="196" xfId="0">
      <alignment horizontal="center" vertical="center" wrapText="true"/>
    </xf>
    <xf applyAlignment="true" applyBorder="false" applyFill="true" applyFont="true" applyNumberFormat="true" applyProtection="false" borderId="136" fillId="367" fontId="10" numFmtId="196" xfId="0">
      <alignment horizontal="center" vertical="center" wrapText="true"/>
    </xf>
    <xf applyAlignment="true" applyBorder="false" applyFill="true" applyFont="true" applyNumberFormat="true" applyProtection="false" borderId="0" fillId="356" fontId="10" numFmtId="196" xfId="0">
      <alignment horizontal="center" vertical="center" wrapText="true"/>
    </xf>
    <xf applyAlignment="true" applyBorder="false" applyFill="true" applyFont="true" applyNumberFormat="true" applyProtection="false" borderId="133" fillId="367" fontId="7" numFmtId="196" xfId="0">
      <alignment horizontal="center" vertical="center" wrapText="true"/>
    </xf>
    <xf applyAlignment="true" applyBorder="false" applyFill="true" applyFont="true" applyNumberFormat="true" applyProtection="false" borderId="133" fillId="367" fontId="7" numFmtId="197" xfId="0">
      <alignment horizontal="center" vertical="center"/>
    </xf>
    <xf applyAlignment="true" applyBorder="false" applyFill="true" applyFont="true" applyNumberFormat="false" applyProtection="false" borderId="133" fillId="367" fontId="7" numFmtId="0" xfId="0">
      <alignment horizontal="center" vertical="center"/>
    </xf>
    <xf applyAlignment="true" applyBorder="false" applyFill="true" applyFont="true" applyNumberFormat="false" applyProtection="false" borderId="133" fillId="367" fontId="7" numFmtId="0" xfId="0">
      <alignment horizontal="center" vertical="center" wrapText="true"/>
    </xf>
    <xf applyAlignment="true" applyBorder="false" applyFill="true" applyFont="true" applyNumberFormat="false" applyProtection="false" borderId="134" fillId="367" fontId="7" numFmtId="0" xfId="0">
      <alignment horizontal="center" vertical="center"/>
    </xf>
    <xf applyAlignment="true" applyBorder="false" applyFill="false" applyFont="true" applyNumberFormat="true" applyProtection="false" borderId="135" fillId="0" fontId="5" numFmtId="197" xfId="0">
      <alignment horizontal="center" vertical="center"/>
    </xf>
    <xf applyAlignment="true" applyBorder="false" applyFill="false" applyFont="true" applyNumberFormat="false" applyProtection="false" borderId="135" fillId="0" fontId="5" numFmtId="0" xfId="0">
      <alignment horizontal="center" vertical="center"/>
    </xf>
    <xf applyAlignment="true" applyBorder="false" applyFill="false" applyFont="true" applyNumberFormat="false" applyProtection="false" borderId="135" fillId="0" fontId="8" numFmtId="0" xfId="0">
      <alignment horizontal="center" vertical="center" wrapText="true"/>
    </xf>
    <xf applyAlignment="true" applyBorder="false" applyFill="false" applyFont="true" applyNumberFormat="false" applyProtection="false" borderId="136" fillId="0" fontId="8" numFmtId="0" xfId="0">
      <alignment vertical="center"/>
    </xf>
    <xf applyAlignment="true" applyBorder="false" applyFill="true" applyFont="true" applyNumberFormat="true" applyProtection="false" borderId="135" fillId="359" fontId="5" numFmtId="197" xfId="0">
      <alignment horizontal="center" vertical="center"/>
    </xf>
    <xf applyAlignment="true" applyBorder="false" applyFill="true" applyFont="true" applyNumberFormat="false" applyProtection="false" borderId="135" fillId="359" fontId="8" numFmtId="0" xfId="0">
      <alignment horizontal="center" vertical="center" wrapText="true"/>
    </xf>
    <xf applyAlignment="true" applyBorder="false" applyFill="true" applyFont="true" applyNumberFormat="false" applyProtection="false" borderId="136" fillId="359" fontId="8" numFmtId="0" xfId="0">
      <alignment vertical="center"/>
    </xf>
    <xf applyAlignment="true" applyBorder="false" applyFill="false" applyFont="true" applyNumberFormat="false" applyProtection="false" borderId="135" fillId="0" fontId="8" numFmtId="0" xfId="0">
      <alignment horizontal="center" vertical="center" wrapText="true"/>
    </xf>
    <xf applyAlignment="true" applyBorder="false" applyFill="true" applyFont="true" applyNumberFormat="false" applyProtection="false" borderId="0" fillId="359" fontId="8" numFmtId="0" xfId="0">
      <alignment vertical="center"/>
    </xf>
    <xf applyAlignment="true" applyBorder="false" applyFill="true" applyFont="true" applyNumberFormat="false" applyProtection="false" borderId="135" fillId="356" fontId="4" numFmtId="0" xfId="0">
      <alignment horizontal="center" vertical="center"/>
    </xf>
    <xf applyAlignment="true" applyBorder="false" applyFill="false" applyFont="true" applyNumberFormat="false" applyProtection="false" borderId="136" fillId="0" fontId="8" numFmtId="0" xfId="0">
      <alignment vertical="center"/>
    </xf>
    <xf applyAlignment="true" applyBorder="false" applyFill="true" applyFont="true" applyNumberFormat="true" applyProtection="false" borderId="133" fillId="368" fontId="3" numFmtId="196" xfId="0">
      <alignment horizontal="center" vertical="center" wrapText="true"/>
    </xf>
    <xf applyAlignment="true" applyBorder="false" applyFill="true" applyFont="true" applyNumberFormat="true" applyProtection="false" borderId="134" fillId="368" fontId="3" numFmtId="196" xfId="0">
      <alignment horizontal="center" vertical="center" wrapText="true"/>
    </xf>
    <xf applyAlignment="true" applyBorder="false" applyFill="true" applyFont="true" applyNumberFormat="true" applyProtection="false" borderId="134" fillId="368" fontId="7" numFmtId="196" xfId="0">
      <alignment horizontal="center" vertical="center" wrapText="true"/>
    </xf>
    <xf applyAlignment="true" applyBorder="false" applyFill="true" applyFont="true" applyNumberFormat="true" applyProtection="false" borderId="135" fillId="368" fontId="7" numFmtId="197" xfId="0">
      <alignment horizontal="center" vertical="center"/>
    </xf>
    <xf applyAlignment="true" applyBorder="false" applyFill="true" applyFont="true" applyNumberFormat="false" applyProtection="false" borderId="145" fillId="368" fontId="7" numFmtId="0" xfId="0">
      <alignment horizontal="center" vertical="center"/>
    </xf>
    <xf applyAlignment="true" applyBorder="false" applyFill="true" applyFont="true" applyNumberFormat="false" applyProtection="false" borderId="133" fillId="368" fontId="7" numFmtId="0" xfId="0">
      <alignment horizontal="center" vertical="center"/>
    </xf>
    <xf applyAlignment="true" applyBorder="false" applyFill="true" applyFont="true" applyNumberFormat="false" applyProtection="false" borderId="133" fillId="368" fontId="7" numFmtId="0" xfId="0">
      <alignment horizontal="center" vertical="center" wrapText="true"/>
    </xf>
    <xf applyAlignment="true" applyBorder="false" applyFill="true" applyFont="true" applyNumberFormat="false" applyProtection="false" borderId="134" fillId="368" fontId="7" numFmtId="0" xfId="0">
      <alignment horizontal="center" vertical="center"/>
    </xf>
    <xf applyAlignment="true" applyBorder="false" applyFill="true" applyFont="true" applyNumberFormat="false" applyProtection="false" borderId="136" fillId="368" fontId="7" numFmtId="0" xfId="0">
      <alignment horizontal="center" vertical="center"/>
    </xf>
    <xf applyAlignment="true" applyBorder="false" applyFill="true" applyFont="true" applyNumberFormat="true" applyProtection="false" borderId="135" fillId="364" fontId="4" numFmtId="197" xfId="0">
      <alignment horizontal="center" vertical="center"/>
    </xf>
    <xf applyAlignment="true" applyBorder="false" applyFill="true" applyFont="true" applyNumberFormat="true" applyProtection="false" borderId="135" fillId="364" fontId="4" numFmtId="197" xfId="0">
      <alignment horizontal="center" vertical="center"/>
    </xf>
    <xf applyAlignment="true" applyBorder="false" applyFill="true" applyFont="true" applyNumberFormat="false" applyProtection="false" borderId="135" fillId="364" fontId="5" numFmtId="0" xfId="0">
      <alignment horizontal="center" vertical="center"/>
    </xf>
    <xf applyAlignment="true" applyBorder="false" applyFill="true" applyFont="true" applyNumberFormat="false" applyProtection="false" borderId="135" fillId="364" fontId="5" numFmtId="0" xfId="0">
      <alignment horizontal="center" vertical="center"/>
    </xf>
    <xf applyAlignment="true" applyBorder="false" applyFill="true" applyFont="true" applyNumberFormat="false" applyProtection="false" borderId="135" fillId="364" fontId="5" numFmtId="0" xfId="0">
      <alignment horizontal="center" vertical="center" wrapText="true"/>
    </xf>
    <xf applyAlignment="true" applyBorder="false" applyFill="true" applyFont="true" applyNumberFormat="false" applyProtection="false" borderId="140" fillId="364" fontId="5" numFmtId="0" xfId="0">
      <alignment horizontal="center" vertical="center"/>
    </xf>
    <xf applyAlignment="true" applyBorder="false" applyFill="true" applyFont="true" applyNumberFormat="false" applyProtection="false" borderId="0" fillId="364" fontId="5" numFmtId="0" xfId="0">
      <alignment horizontal="center" vertical="center"/>
    </xf>
    <xf applyAlignment="true" applyBorder="false" applyFill="true" applyFont="true" applyNumberFormat="false" applyProtection="false" borderId="0" fillId="364" fontId="6" numFmtId="0" xfId="0">
      <alignment vertical="center"/>
    </xf>
    <xf applyAlignment="true" applyBorder="false" applyFill="true" applyFont="true" applyNumberFormat="true" applyProtection="false" borderId="135" fillId="356" fontId="4" numFmtId="197" xfId="0">
      <alignment horizontal="center" vertical="center"/>
    </xf>
    <xf applyAlignment="true" applyBorder="false" applyFill="true" applyFont="true" applyNumberFormat="true" applyProtection="false" borderId="135" fillId="356" fontId="4" numFmtId="197" xfId="0">
      <alignment horizontal="center" vertical="center"/>
    </xf>
    <xf applyAlignment="true" applyBorder="false" applyFill="true" applyFont="true" applyNumberFormat="false" applyProtection="false" borderId="135" fillId="356" fontId="5" numFmtId="0" xfId="0">
      <alignment horizontal="center" vertical="center"/>
    </xf>
    <xf applyAlignment="true" applyBorder="false" applyFill="true" applyFont="true" applyNumberFormat="false" applyProtection="false" borderId="135" fillId="356" fontId="5" numFmtId="0" xfId="0">
      <alignment horizontal="center" vertical="center" wrapText="true"/>
    </xf>
    <xf applyAlignment="true" applyBorder="false" applyFill="true" applyFont="true" applyNumberFormat="false" applyProtection="false" borderId="140" fillId="356" fontId="5" numFmtId="0" xfId="0">
      <alignment horizontal="center" vertical="center"/>
    </xf>
    <xf applyAlignment="true" applyBorder="false" applyFill="false" applyFont="true" applyNumberFormat="false" applyProtection="false" borderId="135" fillId="0" fontId="5" numFmtId="0" xfId="0">
      <alignment horizontal="center" vertical="center" wrapText="true"/>
    </xf>
    <xf applyAlignment="true" applyBorder="false" applyFill="false" applyFont="true" applyNumberFormat="false" applyProtection="false" borderId="140" fillId="0" fontId="5" numFmtId="0" xfId="0">
      <alignment horizontal="center" vertical="center"/>
    </xf>
    <xf applyAlignment="true" applyBorder="false" applyFill="false" applyFont="true" applyNumberFormat="false" applyProtection="false" borderId="140" fillId="0" fontId="5" numFmtId="0" xfId="0">
      <alignment horizontal="center" vertical="center"/>
    </xf>
    <xf applyAlignment="true" applyBorder="false" applyFill="false" applyFont="true" applyNumberFormat="false" applyProtection="false" borderId="135" fillId="0" fontId="5" numFmtId="0" xfId="0">
      <alignment horizontal="center" vertical="center" wrapText="true"/>
    </xf>
    <xf applyAlignment="true" applyBorder="false" applyFill="true" applyFont="true" applyNumberFormat="false" applyProtection="false" borderId="0" fillId="359" fontId="5" numFmtId="0" xfId="0">
      <alignment horizontal="center" vertical="center"/>
    </xf>
    <xf applyAlignment="true" applyBorder="false" applyFill="true" applyFont="true" applyNumberFormat="true" applyProtection="false" borderId="135" fillId="364" fontId="5" numFmtId="198" xfId="0">
      <alignment horizontal="center" vertical="center"/>
    </xf>
    <xf applyAlignment="true" applyBorder="false" applyFill="true" applyFont="true" applyNumberFormat="false" applyProtection="false" borderId="135" fillId="364" fontId="5" numFmtId="0" xfId="0">
      <alignment horizontal="center" vertical="center" wrapText="true"/>
    </xf>
    <xf applyAlignment="true" applyBorder="false" applyFill="true" applyFont="true" applyNumberFormat="true" applyProtection="false" borderId="135" fillId="356" fontId="5" numFmtId="198" xfId="0">
      <alignment horizontal="center" vertical="center"/>
    </xf>
    <xf applyAlignment="true" applyBorder="false" applyFill="true" applyFont="true" applyNumberFormat="false" applyProtection="false" borderId="135" fillId="356" fontId="5" numFmtId="0" xfId="0">
      <alignment horizontal="center" vertical="center" wrapText="true"/>
    </xf>
    <xf applyAlignment="true" applyBorder="false" applyFill="true" applyFont="true" applyNumberFormat="false" applyProtection="false" borderId="136" fillId="359" fontId="5" numFmtId="0" xfId="0">
      <alignment horizontal="center" vertical="center"/>
    </xf>
    <xf applyAlignment="true" applyBorder="false" applyFill="true" applyFont="true" applyNumberFormat="true" applyProtection="false" borderId="133" fillId="369" fontId="3" numFmtId="196" xfId="0">
      <alignment horizontal="center" vertical="center" wrapText="true"/>
    </xf>
    <xf applyAlignment="true" applyBorder="false" applyFill="true" applyFont="true" applyNumberFormat="true" applyProtection="false" borderId="134" fillId="369" fontId="3" numFmtId="196" xfId="0">
      <alignment horizontal="center" vertical="center" wrapText="true"/>
    </xf>
    <xf applyAlignment="true" applyBorder="false" applyFill="true" applyFont="true" applyNumberFormat="true" applyProtection="false" borderId="134" fillId="369" fontId="7" numFmtId="196" xfId="0">
      <alignment horizontal="center" vertical="center" wrapText="true"/>
    </xf>
    <xf applyAlignment="true" applyBorder="false" applyFill="true" applyFont="true" applyNumberFormat="true" applyProtection="false" borderId="135" fillId="369" fontId="7" numFmtId="197" xfId="0">
      <alignment horizontal="center" vertical="center"/>
    </xf>
    <xf applyAlignment="true" applyBorder="false" applyFill="true" applyFont="true" applyNumberFormat="false" applyProtection="false" borderId="145" fillId="369" fontId="7" numFmtId="0" xfId="0">
      <alignment horizontal="center" vertical="center"/>
    </xf>
    <xf applyAlignment="true" applyBorder="false" applyFill="true" applyFont="true" applyNumberFormat="false" applyProtection="false" borderId="133" fillId="369" fontId="7" numFmtId="0" xfId="0">
      <alignment horizontal="center" vertical="center"/>
    </xf>
    <xf applyAlignment="true" applyBorder="false" applyFill="true" applyFont="true" applyNumberFormat="false" applyProtection="false" borderId="133" fillId="369" fontId="7" numFmtId="0" xfId="0">
      <alignment horizontal="center" vertical="center" wrapText="true"/>
    </xf>
    <xf applyAlignment="true" applyBorder="false" applyFill="true" applyFont="true" applyNumberFormat="false" applyProtection="false" borderId="134" fillId="369" fontId="7" numFmtId="0" xfId="0">
      <alignment horizontal="center" vertical="center"/>
    </xf>
    <xf applyAlignment="true" applyBorder="false" applyFill="true" applyFont="true" applyNumberFormat="false" applyProtection="false" borderId="136" fillId="369" fontId="7" numFmtId="0" xfId="0">
      <alignment horizontal="center" vertical="center"/>
    </xf>
    <xf applyAlignment="true" applyBorder="false" applyFill="false" applyFont="true" applyNumberFormat="false" applyProtection="false" borderId="139" fillId="0" fontId="5" numFmtId="0" xfId="0">
      <alignment horizontal="center" vertical="center"/>
    </xf>
    <xf applyAlignment="true" applyBorder="false" applyFill="true" applyFont="true" applyNumberFormat="false" applyProtection="false" borderId="0" fillId="359" fontId="15" numFmtId="0" xfId="0">
      <alignment horizontal="center" vertical="center"/>
    </xf>
    <xf applyAlignment="true" applyBorder="false" applyFill="true" applyFont="true" applyNumberFormat="true" applyProtection="false" borderId="133" fillId="370" fontId="3" numFmtId="196" xfId="0">
      <alignment horizontal="center" vertical="center" wrapText="true"/>
    </xf>
    <xf applyAlignment="true" applyBorder="false" applyFill="true" applyFont="true" applyNumberFormat="true" applyProtection="false" borderId="134" fillId="370" fontId="3" numFmtId="196" xfId="0">
      <alignment horizontal="center" vertical="center" wrapText="true"/>
    </xf>
    <xf applyAlignment="true" applyBorder="false" applyFill="true" applyFont="true" applyNumberFormat="true" applyProtection="false" borderId="134" fillId="370" fontId="7" numFmtId="196" xfId="0">
      <alignment horizontal="center" vertical="center" wrapText="true"/>
    </xf>
    <xf applyAlignment="true" applyBorder="false" applyFill="true" applyFont="true" applyNumberFormat="true" applyProtection="false" borderId="135" fillId="370" fontId="7" numFmtId="197" xfId="0">
      <alignment horizontal="center" vertical="center"/>
    </xf>
    <xf applyAlignment="true" applyBorder="false" applyFill="true" applyFont="true" applyNumberFormat="false" applyProtection="false" borderId="145" fillId="370" fontId="7" numFmtId="0" xfId="0">
      <alignment horizontal="center" vertical="center"/>
    </xf>
    <xf applyAlignment="true" applyBorder="false" applyFill="true" applyFont="true" applyNumberFormat="false" applyProtection="false" borderId="133" fillId="370" fontId="7" numFmtId="0" xfId="0">
      <alignment horizontal="center" vertical="center"/>
    </xf>
    <xf applyAlignment="true" applyBorder="false" applyFill="true" applyFont="true" applyNumberFormat="false" applyProtection="false" borderId="133" fillId="370" fontId="7" numFmtId="0" xfId="0">
      <alignment horizontal="center" vertical="center" wrapText="true"/>
    </xf>
    <xf applyAlignment="true" applyBorder="false" applyFill="true" applyFont="true" applyNumberFormat="false" applyProtection="false" borderId="134" fillId="370" fontId="7" numFmtId="0" xfId="0">
      <alignment horizontal="center" vertical="center"/>
    </xf>
    <xf applyAlignment="true" applyBorder="false" applyFill="true" applyFont="true" applyNumberFormat="false" applyProtection="false" borderId="136" fillId="370" fontId="7" numFmtId="0" xfId="0">
      <alignment horizontal="center" vertical="center"/>
    </xf>
    <xf applyAlignment="true" applyBorder="false" applyFill="true" applyFont="true" applyNumberFormat="true" applyProtection="false" borderId="139" fillId="356" fontId="5" numFmtId="198" xfId="0">
      <alignment horizontal="center" vertical="center"/>
    </xf>
    <xf applyAlignment="true" applyBorder="false" applyFill="false" applyFont="true" applyNumberFormat="false" applyProtection="false" borderId="135" fillId="0" fontId="5" numFmtId="0" xfId="0">
      <alignment horizontal="center" vertical="center" wrapText="true"/>
    </xf>
    <xf applyAlignment="true" applyBorder="false" applyFill="true" applyFont="true" applyNumberFormat="true" applyProtection="false" borderId="139" fillId="364" fontId="5" numFmtId="198" xfId="0">
      <alignment horizontal="center" vertical="center"/>
    </xf>
    <xf applyAlignment="true" applyBorder="false" applyFill="true" applyFont="true" applyNumberFormat="false" applyProtection="false" borderId="140" fillId="364" fontId="5" numFmtId="0" xfId="0">
      <alignment horizontal="center" vertical="center"/>
    </xf>
    <xf applyAlignment="true" applyBorder="false" applyFill="true" applyFont="true" applyNumberFormat="true" applyProtection="false" borderId="133" fillId="371" fontId="3" numFmtId="196" xfId="0">
      <alignment horizontal="center" vertical="center" wrapText="true"/>
    </xf>
    <xf applyAlignment="true" applyBorder="false" applyFill="true" applyFont="true" applyNumberFormat="true" applyProtection="false" borderId="146" fillId="371" fontId="3" numFmtId="196" xfId="0">
      <alignment horizontal="center" vertical="center" wrapText="true"/>
    </xf>
    <xf applyAlignment="true" applyBorder="false" applyFill="true" applyFont="true" applyNumberFormat="true" applyProtection="false" borderId="134" fillId="371" fontId="3" numFmtId="196" xfId="0">
      <alignment horizontal="center" vertical="center" wrapText="true"/>
    </xf>
    <xf applyAlignment="true" applyBorder="false" applyFill="true" applyFont="true" applyNumberFormat="true" applyProtection="false" borderId="134" fillId="371" fontId="7" numFmtId="196" xfId="0">
      <alignment horizontal="center" vertical="center" wrapText="true"/>
    </xf>
    <xf applyAlignment="true" applyBorder="false" applyFill="true" applyFont="true" applyNumberFormat="true" applyProtection="false" borderId="135" fillId="371" fontId="7" numFmtId="197" xfId="0">
      <alignment horizontal="center" vertical="center"/>
    </xf>
    <xf applyAlignment="true" applyBorder="false" applyFill="true" applyFont="true" applyNumberFormat="false" applyProtection="false" borderId="145" fillId="371" fontId="7" numFmtId="0" xfId="0">
      <alignment horizontal="center" vertical="center"/>
    </xf>
    <xf applyAlignment="true" applyBorder="false" applyFill="true" applyFont="true" applyNumberFormat="false" applyProtection="false" borderId="133" fillId="371" fontId="7" numFmtId="0" xfId="0">
      <alignment horizontal="center" vertical="center"/>
    </xf>
    <xf applyAlignment="true" applyBorder="false" applyFill="true" applyFont="true" applyNumberFormat="false" applyProtection="false" borderId="133" fillId="371" fontId="7" numFmtId="0" xfId="0">
      <alignment horizontal="center" vertical="center" wrapText="true"/>
    </xf>
    <xf applyAlignment="true" applyBorder="false" applyFill="true" applyFont="true" applyNumberFormat="false" applyProtection="false" borderId="134" fillId="371" fontId="7" numFmtId="0" xfId="0">
      <alignment horizontal="center" vertical="center"/>
    </xf>
    <xf applyAlignment="true" applyBorder="false" applyFill="true" applyFont="true" applyNumberFormat="false" applyProtection="false" borderId="136" fillId="371" fontId="7" numFmtId="0" xfId="0">
      <alignment horizontal="center" vertical="center"/>
    </xf>
    <xf applyAlignment="true" applyBorder="false" applyFill="true" applyFont="true" applyNumberFormat="true" applyProtection="false" borderId="135" fillId="358" fontId="3" numFmtId="196" xfId="0">
      <alignment horizontal="center" vertical="center" wrapText="true"/>
    </xf>
    <xf applyAlignment="true" applyBorder="false" applyFill="true" applyFont="true" applyNumberFormat="true" applyProtection="false" borderId="136" fillId="358" fontId="3" numFmtId="196" xfId="0">
      <alignment horizontal="center" vertical="center" wrapText="true"/>
    </xf>
    <xf applyAlignment="true" applyBorder="false" applyFill="true" applyFont="true" applyNumberFormat="false" applyProtection="false" borderId="135" fillId="358" fontId="7" numFmtId="0" xfId="0">
      <alignment horizontal="center" vertical="center" wrapText="true"/>
    </xf>
    <xf applyAlignment="true" applyBorder="false" applyFill="true" applyFont="true" applyNumberFormat="false" applyProtection="false" borderId="136" fillId="364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135" fillId="372" fontId="10" numFmtId="196" xfId="0">
      <alignment horizontal="center" vertical="center" wrapText="true"/>
    </xf>
    <xf applyAlignment="true" applyBorder="false" applyFill="true" applyFont="true" applyNumberFormat="true" applyProtection="false" borderId="136" fillId="372" fontId="10" numFmtId="196" xfId="0">
      <alignment horizontal="center" vertical="center" wrapText="true"/>
    </xf>
    <xf applyAlignment="true" applyBorder="false" applyFill="true" applyFont="true" applyNumberFormat="true" applyProtection="false" borderId="135" fillId="372" fontId="7" numFmtId="196" xfId="0">
      <alignment horizontal="center" vertical="center" wrapText="true"/>
    </xf>
    <xf applyAlignment="true" applyBorder="false" applyFill="true" applyFont="true" applyNumberFormat="true" applyProtection="false" borderId="135" fillId="372" fontId="7" numFmtId="197" xfId="0">
      <alignment horizontal="center" vertical="center"/>
    </xf>
    <xf applyAlignment="true" applyBorder="false" applyFill="true" applyFont="true" applyNumberFormat="false" applyProtection="false" borderId="135" fillId="372" fontId="7" numFmtId="0" xfId="0">
      <alignment horizontal="center" vertical="center"/>
    </xf>
    <xf applyAlignment="true" applyBorder="false" applyFill="true" applyFont="true" applyNumberFormat="false" applyProtection="false" borderId="135" fillId="372" fontId="7" numFmtId="0" xfId="0">
      <alignment horizontal="center" vertical="center" wrapText="true"/>
    </xf>
    <xf applyAlignment="true" applyBorder="false" applyFill="true" applyFont="true" applyNumberFormat="false" applyProtection="false" borderId="136" fillId="372" fontId="7" numFmtId="0" xfId="0">
      <alignment horizontal="center" vertical="center"/>
    </xf>
    <xf applyAlignment="true" applyBorder="false" applyFill="false" applyFont="true" applyNumberFormat="false" applyProtection="false" borderId="136" fillId="0" fontId="5" numFmtId="0" xfId="0">
      <alignment horizontal="center" vertical="center"/>
    </xf>
    <xf applyAlignment="true" applyBorder="false" applyFill="true" applyFont="true" applyNumberFormat="false" applyProtection="false" borderId="0" fillId="356" fontId="5" numFmtId="0" xfId="0">
      <alignment horizontal="center" vertical="center"/>
    </xf>
    <xf applyAlignment="true" applyBorder="false" applyFill="true" applyFont="true" applyNumberFormat="true" applyProtection="false" borderId="135" fillId="359" fontId="15" numFmtId="198" xfId="0">
      <alignment horizontal="center" vertical="center"/>
    </xf>
    <xf applyAlignment="true" applyBorder="false" applyFill="true" applyFont="true" applyNumberFormat="true" applyProtection="false" borderId="135" fillId="373" fontId="7" numFmtId="196" xfId="0">
      <alignment horizontal="center" vertical="center" wrapText="true"/>
    </xf>
    <xf applyAlignment="true" applyBorder="false" applyFill="true" applyFont="true" applyNumberFormat="true" applyProtection="false" borderId="135" fillId="373" fontId="7" numFmtId="197" xfId="0">
      <alignment horizontal="center" vertical="center"/>
    </xf>
    <xf applyAlignment="true" applyBorder="false" applyFill="true" applyFont="true" applyNumberFormat="false" applyProtection="false" borderId="135" fillId="373" fontId="7" numFmtId="0" xfId="0">
      <alignment horizontal="center" vertical="center"/>
    </xf>
    <xf applyAlignment="true" applyBorder="false" applyFill="true" applyFont="true" applyNumberFormat="false" applyProtection="false" borderId="135" fillId="373" fontId="7" numFmtId="0" xfId="0">
      <alignment horizontal="center" vertical="center" wrapText="true"/>
    </xf>
    <xf applyAlignment="true" applyBorder="false" applyFill="true" applyFont="true" applyNumberFormat="false" applyProtection="false" borderId="136" fillId="373" fontId="7" numFmtId="0" xfId="0">
      <alignment horizontal="center" vertical="center"/>
    </xf>
    <xf applyAlignment="true" applyBorder="false" applyFill="true" applyFont="true" applyNumberFormat="false" applyProtection="false" borderId="136" fillId="356" fontId="5" numFmtId="0" xfId="0">
      <alignment horizontal="center" vertical="center"/>
    </xf>
    <xf applyAlignment="true" applyBorder="false" applyFill="true" applyFont="true" applyNumberFormat="true" applyProtection="false" borderId="135" fillId="373" fontId="3" numFmtId="196" xfId="0">
      <alignment horizontal="center" vertical="center" wrapText="true"/>
    </xf>
    <xf applyAlignment="true" applyBorder="false" applyFill="true" applyFont="true" applyNumberFormat="true" applyProtection="false" borderId="135" fillId="373" fontId="3" numFmtId="196" xfId="0">
      <alignment horizontal="center" vertical="center" wrapText="true"/>
    </xf>
    <xf applyAlignment="true" applyBorder="false" applyFill="true" applyFont="true" applyNumberFormat="true" applyProtection="false" borderId="136" fillId="373" fontId="3" numFmtId="196" xfId="0">
      <alignment horizontal="center" vertical="center" wrapText="true"/>
    </xf>
    <xf applyAlignment="true" applyBorder="false" applyFill="true" applyFont="true" applyNumberFormat="false" applyProtection="false" borderId="136" fillId="364" fontId="5" numFmtId="0" xfId="0">
      <alignment horizontal="center" vertical="center"/>
    </xf>
    <xf applyAlignment="true" applyBorder="false" applyFill="true" applyFont="true" applyNumberFormat="false" applyProtection="false" borderId="0" fillId="364" fontId="5" numFmtId="0" xfId="0">
      <alignment horizontal="center" vertical="center"/>
    </xf>
    <xf applyAlignment="true" applyBorder="false" applyFill="true" applyFont="true" applyNumberFormat="true" applyProtection="false" borderId="135" fillId="371" fontId="3" numFmtId="196" xfId="0">
      <alignment horizontal="center" vertical="center" wrapText="true"/>
    </xf>
    <xf applyAlignment="true" applyBorder="false" applyFill="true" applyFont="true" applyNumberFormat="true" applyProtection="false" borderId="135" fillId="371" fontId="3" numFmtId="196" xfId="0">
      <alignment horizontal="center" vertical="center" wrapText="true"/>
    </xf>
    <xf applyAlignment="true" applyBorder="false" applyFill="true" applyFont="true" applyNumberFormat="true" applyProtection="false" borderId="136" fillId="371" fontId="3" numFmtId="196" xfId="0">
      <alignment horizontal="center" vertical="center" wrapText="true"/>
    </xf>
    <xf applyAlignment="true" applyBorder="false" applyFill="true" applyFont="true" applyNumberFormat="true" applyProtection="false" borderId="135" fillId="371" fontId="7" numFmtId="196" xfId="0">
      <alignment horizontal="center" vertical="center" wrapText="true"/>
    </xf>
    <xf applyAlignment="true" applyBorder="false" applyFill="true" applyFont="true" applyNumberFormat="false" applyProtection="false" borderId="135" fillId="371" fontId="7" numFmtId="0" xfId="0">
      <alignment horizontal="center" vertical="center"/>
    </xf>
    <xf applyAlignment="true" applyBorder="false" applyFill="true" applyFont="true" applyNumberFormat="false" applyProtection="false" borderId="135" fillId="371" fontId="7" numFmtId="0" xfId="0">
      <alignment horizontal="center" vertical="center" wrapText="true"/>
    </xf>
    <xf applyAlignment="true" applyBorder="false" applyFill="true" applyFont="true" applyNumberFormat="true" applyProtection="false" borderId="135" fillId="374" fontId="3" numFmtId="196" xfId="0">
      <alignment horizontal="center" vertical="center" wrapText="true"/>
    </xf>
    <xf applyAlignment="true" applyBorder="false" applyFill="true" applyFont="true" applyNumberFormat="true" applyProtection="false" borderId="136" fillId="374" fontId="3" numFmtId="196" xfId="0">
      <alignment horizontal="center" vertical="center" wrapText="true"/>
    </xf>
    <xf applyAlignment="true" applyBorder="false" applyFill="true" applyFont="true" applyNumberFormat="true" applyProtection="false" borderId="135" fillId="374" fontId="7" numFmtId="196" xfId="0">
      <alignment horizontal="center" vertical="center" wrapText="true"/>
    </xf>
    <xf applyAlignment="true" applyBorder="false" applyFill="true" applyFont="true" applyNumberFormat="true" applyProtection="false" borderId="135" fillId="374" fontId="7" numFmtId="197" xfId="0">
      <alignment horizontal="center" vertical="center"/>
    </xf>
    <xf applyAlignment="true" applyBorder="false" applyFill="true" applyFont="true" applyNumberFormat="false" applyProtection="false" borderId="135" fillId="374" fontId="7" numFmtId="0" xfId="0">
      <alignment horizontal="center" vertical="center"/>
    </xf>
    <xf applyAlignment="true" applyBorder="false" applyFill="true" applyFont="true" applyNumberFormat="false" applyProtection="false" borderId="135" fillId="374" fontId="7" numFmtId="0" xfId="0">
      <alignment horizontal="center" vertical="center" wrapText="true"/>
    </xf>
    <xf applyAlignment="true" applyBorder="false" applyFill="true" applyFont="true" applyNumberFormat="false" applyProtection="false" borderId="136" fillId="374" fontId="7" numFmtId="0" xfId="0">
      <alignment horizontal="center" vertical="center"/>
    </xf>
    <xf applyAlignment="true" applyBorder="false" applyFill="true" applyFont="true" applyNumberFormat="true" applyProtection="false" borderId="135" fillId="356" fontId="15" numFmtId="198" xfId="0">
      <alignment horizontal="center" vertical="center"/>
    </xf>
    <xf applyAlignment="true" applyBorder="false" applyFill="true" applyFont="true" applyNumberFormat="true" applyProtection="false" borderId="135" fillId="375" fontId="3" numFmtId="196" xfId="0">
      <alignment horizontal="center" vertical="center" wrapText="true"/>
    </xf>
    <xf applyAlignment="true" applyBorder="false" applyFill="true" applyFont="true" applyNumberFormat="false" applyProtection="false" borderId="0" fillId="375" fontId="8" numFmtId="0" xfId="0">
      <alignment vertical="center"/>
    </xf>
    <xf applyAlignment="true" applyBorder="false" applyFill="true" applyFont="true" applyNumberFormat="false" applyProtection="false" borderId="0" fillId="375" fontId="8" numFmtId="0" xfId="0">
      <alignment horizontal="center" vertical="center"/>
    </xf>
    <xf applyAlignment="true" applyBorder="false" applyFill="true" applyFont="true" applyNumberFormat="true" applyProtection="false" borderId="135" fillId="375" fontId="7" numFmtId="196" xfId="0">
      <alignment horizontal="center" vertical="center" wrapText="true"/>
    </xf>
    <xf applyAlignment="true" applyBorder="false" applyFill="true" applyFont="true" applyNumberFormat="true" applyProtection="false" borderId="135" fillId="375" fontId="7" numFmtId="197" xfId="0">
      <alignment horizontal="center" vertical="center"/>
    </xf>
    <xf applyAlignment="true" applyBorder="false" applyFill="true" applyFont="true" applyNumberFormat="false" applyProtection="false" borderId="133" fillId="375" fontId="7" numFmtId="0" xfId="0">
      <alignment horizontal="center" vertical="center"/>
    </xf>
    <xf applyAlignment="true" applyBorder="false" applyFill="true" applyFont="true" applyNumberFormat="false" applyProtection="false" borderId="135" fillId="375" fontId="7" numFmtId="0" xfId="0">
      <alignment horizontal="center" vertical="center"/>
    </xf>
    <xf applyAlignment="true" applyBorder="false" applyFill="true" applyFont="true" applyNumberFormat="false" applyProtection="false" borderId="135" fillId="375" fontId="7" numFmtId="0" xfId="0">
      <alignment horizontal="center" vertical="center" wrapText="true"/>
    </xf>
    <xf applyAlignment="true" applyBorder="false" applyFill="true" applyFont="true" applyNumberFormat="false" applyProtection="false" borderId="136" fillId="375" fontId="7" numFmtId="0" xfId="0">
      <alignment horizontal="center" vertical="center"/>
    </xf>
    <xf applyAlignment="true" applyBorder="false" applyFill="true" applyFont="true" applyNumberFormat="false" applyProtection="false" borderId="135" fillId="356" fontId="4" numFmtId="0" xfId="0">
      <alignment horizontal="center" vertical="center" wrapText="true"/>
    </xf>
    <xf applyAlignment="true" applyBorder="false" applyFill="true" applyFont="true" applyNumberFormat="false" applyProtection="false" borderId="136" fillId="356" fontId="7" numFmtId="0" xfId="0">
      <alignment horizontal="center" vertical="center"/>
    </xf>
    <xf applyAlignment="true" applyBorder="false" applyFill="true" applyFont="true" applyNumberFormat="false" applyProtection="false" borderId="0" fillId="356" fontId="4" numFmtId="0" xfId="0">
      <alignment horizontal="center" vertical="center"/>
    </xf>
    <xf applyAlignment="true" applyBorder="false" applyFill="true" applyFont="true" applyNumberFormat="false" applyProtection="false" borderId="135" fillId="356" fontId="7" numFmtId="0" xfId="0">
      <alignment horizontal="center" vertical="center" wrapText="true"/>
    </xf>
    <xf applyAlignment="true" applyBorder="false" applyFill="true" applyFont="true" applyNumberFormat="false" applyProtection="false" borderId="136" fillId="359" fontId="7" numFmtId="0" xfId="0">
      <alignment horizontal="center" vertical="center"/>
    </xf>
    <xf applyAlignment="true" applyBorder="false" applyFill="true" applyFont="true" applyNumberFormat="false" applyProtection="false" borderId="136" fillId="356" fontId="7" numFmtId="0" xfId="0">
      <alignment horizontal="center" vertical="center"/>
    </xf>
    <xf applyAlignment="true" applyBorder="false" applyFill="true" applyFont="true" applyNumberFormat="false" applyProtection="false" borderId="136" fillId="356" fontId="4" numFmtId="0" xfId="0">
      <alignment horizontal="center" vertical="center"/>
    </xf>
    <xf applyAlignment="true" applyBorder="false" applyFill="true" applyFont="true" applyNumberFormat="true" applyProtection="false" borderId="133" fillId="376" fontId="3" numFmtId="196" xfId="0">
      <alignment horizontal="center" vertical="center" wrapText="true"/>
    </xf>
    <xf applyAlignment="true" applyBorder="false" applyFill="true" applyFont="true" applyNumberFormat="true" applyProtection="false" borderId="133" fillId="376" fontId="3" numFmtId="196" xfId="0">
      <alignment horizontal="center" vertical="center" wrapText="true"/>
    </xf>
    <xf applyAlignment="true" applyBorder="false" applyFill="true" applyFont="true" applyNumberFormat="true" applyProtection="false" borderId="146" fillId="376" fontId="3" numFmtId="196" xfId="0">
      <alignment horizontal="center" vertical="center" wrapText="true"/>
    </xf>
    <xf applyAlignment="true" applyBorder="false" applyFill="true" applyFont="true" applyNumberFormat="true" applyProtection="false" borderId="134" fillId="376" fontId="3" numFmtId="196" xfId="0">
      <alignment horizontal="center" vertical="center" wrapText="true"/>
    </xf>
    <xf applyAlignment="true" applyBorder="false" applyFill="true" applyFont="true" applyNumberFormat="true" applyProtection="false" borderId="134" fillId="376" fontId="7" numFmtId="196" xfId="0">
      <alignment horizontal="center" vertical="center" wrapText="true"/>
    </xf>
    <xf applyAlignment="true" applyBorder="false" applyFill="true" applyFont="true" applyNumberFormat="true" applyProtection="false" borderId="135" fillId="376" fontId="7" numFmtId="197" xfId="0">
      <alignment horizontal="center" vertical="center"/>
    </xf>
    <xf applyAlignment="true" applyBorder="false" applyFill="true" applyFont="true" applyNumberFormat="false" applyProtection="false" borderId="145" fillId="376" fontId="7" numFmtId="0" xfId="0">
      <alignment horizontal="center" vertical="center"/>
    </xf>
    <xf applyAlignment="true" applyBorder="false" applyFill="true" applyFont="true" applyNumberFormat="false" applyProtection="false" borderId="133" fillId="376" fontId="7" numFmtId="0" xfId="0">
      <alignment horizontal="center" vertical="center"/>
    </xf>
    <xf applyAlignment="true" applyBorder="false" applyFill="true" applyFont="true" applyNumberFormat="false" applyProtection="false" borderId="133" fillId="376" fontId="7" numFmtId="0" xfId="0">
      <alignment horizontal="center" vertical="center" wrapText="true"/>
    </xf>
    <xf applyAlignment="true" applyBorder="false" applyFill="true" applyFont="true" applyNumberFormat="false" applyProtection="false" borderId="134" fillId="376" fontId="7" numFmtId="0" xfId="0">
      <alignment horizontal="center" vertical="center"/>
    </xf>
    <xf applyAlignment="true" applyBorder="false" applyFill="true" applyFont="true" applyNumberFormat="false" applyProtection="false" borderId="136" fillId="376" fontId="7" numFmtId="0" xfId="0">
      <alignment horizontal="center" vertical="center"/>
    </xf>
    <xf applyAlignment="true" applyBorder="false" applyFill="true" applyFont="true" applyNumberFormat="true" applyProtection="false" borderId="135" fillId="377" fontId="3" numFmtId="196" xfId="0">
      <alignment horizontal="center" vertical="center" wrapText="true"/>
    </xf>
    <xf applyAlignment="true" applyBorder="false" applyFill="true" applyFont="true" applyNumberFormat="false" applyProtection="false" borderId="0" fillId="377" fontId="8" numFmtId="0" xfId="0">
      <alignment vertical="center"/>
    </xf>
    <xf applyAlignment="true" applyBorder="false" applyFill="true" applyFont="true" applyNumberFormat="false" applyProtection="false" borderId="0" fillId="377" fontId="8" numFmtId="0" xfId="0">
      <alignment horizontal="center" vertical="center"/>
    </xf>
    <xf applyAlignment="true" applyBorder="false" applyFill="true" applyFont="true" applyNumberFormat="true" applyProtection="false" borderId="135" fillId="378" fontId="7" numFmtId="196" xfId="0">
      <alignment horizontal="center" vertical="center" wrapText="true"/>
    </xf>
    <xf applyAlignment="true" applyBorder="false" applyFill="true" applyFont="true" applyNumberFormat="true" applyProtection="false" borderId="135" fillId="378" fontId="7" numFmtId="197" xfId="0">
      <alignment horizontal="center" vertical="center"/>
    </xf>
    <xf applyAlignment="true" applyBorder="false" applyFill="true" applyFont="true" applyNumberFormat="false" applyProtection="false" borderId="133" fillId="378" fontId="7" numFmtId="0" xfId="0">
      <alignment horizontal="center" vertical="center"/>
    </xf>
    <xf applyAlignment="true" applyBorder="false" applyFill="true" applyFont="true" applyNumberFormat="false" applyProtection="false" borderId="135" fillId="378" fontId="7" numFmtId="0" xfId="0">
      <alignment horizontal="center" vertical="center"/>
    </xf>
    <xf applyAlignment="true" applyBorder="false" applyFill="true" applyFont="true" applyNumberFormat="false" applyProtection="false" borderId="135" fillId="378" fontId="7" numFmtId="0" xfId="0">
      <alignment horizontal="center" vertical="center" wrapText="true"/>
    </xf>
    <xf applyAlignment="true" applyBorder="false" applyFill="true" applyFont="true" applyNumberFormat="false" applyProtection="false" borderId="136" fillId="378" fontId="7" numFmtId="0" xfId="0">
      <alignment horizontal="center" vertical="center"/>
    </xf>
    <xf applyAlignment="true" applyBorder="false" applyFill="true" applyFont="true" applyNumberFormat="false" applyProtection="false" borderId="136" fillId="356" fontId="5" numFmtId="0" xfId="0">
      <alignment horizontal="center" vertical="center"/>
    </xf>
    <xf applyAlignment="true" applyBorder="false" applyFill="true" applyFont="true" applyNumberFormat="true" applyProtection="false" borderId="135" fillId="361" fontId="3" numFmtId="196" xfId="0">
      <alignment horizontal="center" vertical="center" wrapText="true"/>
    </xf>
    <xf applyAlignment="true" applyBorder="false" applyFill="true" applyFont="true" applyNumberFormat="false" applyProtection="false" borderId="135" fillId="361" fontId="5" numFmtId="0" xfId="0">
      <alignment horizontal="center" vertical="center" wrapText="true"/>
    </xf>
    <xf applyAlignment="true" applyBorder="false" applyFill="true" applyFont="true" applyNumberFormat="true" applyProtection="false" borderId="135" fillId="361" fontId="7" numFmtId="196" xfId="0">
      <alignment horizontal="center" vertical="center" wrapText="true"/>
    </xf>
    <xf applyAlignment="true" applyBorder="false" applyFill="true" applyFont="true" applyNumberFormat="true" applyProtection="false" borderId="135" fillId="361" fontId="7" numFmtId="197" xfId="0">
      <alignment horizontal="center" vertical="center"/>
    </xf>
    <xf applyAlignment="true" applyBorder="false" applyFill="true" applyFont="true" applyNumberFormat="false" applyProtection="false" borderId="133" fillId="361" fontId="7" numFmtId="0" xfId="0">
      <alignment horizontal="center" vertical="center"/>
    </xf>
    <xf applyAlignment="true" applyBorder="false" applyFill="true" applyFont="true" applyNumberFormat="false" applyProtection="false" borderId="135" fillId="361" fontId="7" numFmtId="0" xfId="0">
      <alignment horizontal="center" vertical="center"/>
    </xf>
    <xf applyAlignment="true" applyBorder="false" applyFill="true" applyFont="true" applyNumberFormat="false" applyProtection="false" borderId="135" fillId="361" fontId="7" numFmtId="0" xfId="0">
      <alignment horizontal="center" vertical="center" wrapText="true"/>
    </xf>
    <xf applyAlignment="true" applyBorder="false" applyFill="true" applyFont="true" applyNumberFormat="false" applyProtection="false" borderId="136" fillId="361" fontId="7" numFmtId="0" xfId="0">
      <alignment horizontal="center" vertical="center"/>
    </xf>
    <xf applyAlignment="true" applyBorder="false" applyFill="true" applyFont="true" applyNumberFormat="false" applyProtection="false" borderId="0" fillId="361" fontId="7" numFmtId="0" xfId="0">
      <alignment horizontal="center" vertical="center"/>
    </xf>
    <xf applyAlignment="true" applyBorder="false" applyFill="true" applyFont="true" applyNumberFormat="true" applyProtection="false" borderId="135" fillId="379" fontId="3" numFmtId="196" xfId="0">
      <alignment horizontal="center" vertical="center" wrapText="true"/>
    </xf>
    <xf applyAlignment="true" applyBorder="false" applyFill="true" applyFont="true" applyNumberFormat="true" applyProtection="false" borderId="135" fillId="379" fontId="4" numFmtId="197" xfId="0">
      <alignment horizontal="center" vertical="center"/>
    </xf>
    <xf applyAlignment="true" applyBorder="false" applyFill="true" applyFont="true" applyNumberFormat="true" applyProtection="false" borderId="135" fillId="379" fontId="4" numFmtId="197" xfId="0">
      <alignment horizontal="center" vertical="center"/>
    </xf>
    <xf applyAlignment="true" applyBorder="false" applyFill="true" applyFont="true" applyNumberFormat="false" applyProtection="false" borderId="135" fillId="379" fontId="5" numFmtId="0" xfId="0">
      <alignment horizontal="center" vertical="center"/>
    </xf>
    <xf applyAlignment="true" applyBorder="false" applyFill="true" applyFont="true" applyNumberFormat="false" applyProtection="false" borderId="135" fillId="379" fontId="5" numFmtId="0" xfId="0">
      <alignment horizontal="center" vertical="center"/>
    </xf>
    <xf applyAlignment="true" applyBorder="false" applyFill="true" applyFont="true" applyNumberFormat="false" applyProtection="false" borderId="135" fillId="379" fontId="5" numFmtId="0" xfId="0">
      <alignment horizontal="center" vertical="center" wrapText="true"/>
    </xf>
    <xf applyAlignment="true" applyBorder="false" applyFill="true" applyFont="true" applyNumberFormat="false" applyProtection="false" borderId="136" fillId="379" fontId="5" numFmtId="0" xfId="0">
      <alignment horizontal="center" vertical="center"/>
    </xf>
    <xf applyAlignment="true" applyBorder="false" applyFill="true" applyFont="true" applyNumberFormat="false" applyProtection="false" borderId="0" fillId="379" fontId="5" numFmtId="0" xfId="0">
      <alignment horizontal="center" vertical="center"/>
    </xf>
    <xf applyAlignment="true" applyBorder="false" applyFill="true" applyFont="true" applyNumberFormat="false" applyProtection="false" borderId="0" fillId="379" fontId="6" numFmtId="0" xfId="0">
      <alignment vertical="center"/>
    </xf>
    <xf applyAlignment="true" applyBorder="false" applyFill="true" applyFont="true" applyNumberFormat="true" applyProtection="false" borderId="135" fillId="379" fontId="7" numFmtId="196" xfId="0">
      <alignment horizontal="center" vertical="center" wrapText="true"/>
    </xf>
    <xf applyAlignment="true" applyBorder="false" applyFill="true" applyFont="true" applyNumberFormat="true" applyProtection="false" borderId="135" fillId="379" fontId="7" numFmtId="197" xfId="0">
      <alignment horizontal="center" vertical="center"/>
    </xf>
    <xf applyAlignment="true" applyBorder="false" applyFill="true" applyFont="true" applyNumberFormat="false" applyProtection="false" borderId="133" fillId="379" fontId="7" numFmtId="0" xfId="0">
      <alignment horizontal="center" vertical="center"/>
    </xf>
    <xf applyAlignment="true" applyBorder="false" applyFill="true" applyFont="true" applyNumberFormat="false" applyProtection="false" borderId="135" fillId="379" fontId="7" numFmtId="0" xfId="0">
      <alignment horizontal="center" vertical="center"/>
    </xf>
    <xf applyAlignment="true" applyBorder="false" applyFill="true" applyFont="true" applyNumberFormat="false" applyProtection="false" borderId="135" fillId="379" fontId="7" numFmtId="0" xfId="0">
      <alignment horizontal="center" vertical="center" wrapText="true"/>
    </xf>
    <xf applyAlignment="true" applyBorder="false" applyFill="true" applyFont="true" applyNumberFormat="false" applyProtection="false" borderId="136" fillId="379" fontId="7" numFmtId="0" xfId="0">
      <alignment horizontal="center" vertical="center"/>
    </xf>
    <xf applyAlignment="true" applyBorder="false" applyFill="true" applyFont="true" applyNumberFormat="false" applyProtection="false" borderId="0" fillId="379" fontId="7" numFmtId="0" xfId="0">
      <alignment horizontal="center" vertical="center"/>
    </xf>
    <xf applyAlignment="true" applyBorder="false" applyFill="true" applyFont="true" applyNumberFormat="true" applyProtection="false" borderId="135" fillId="370" fontId="3" numFmtId="196" xfId="0">
      <alignment horizontal="center" vertical="center" wrapText="true"/>
    </xf>
    <xf applyAlignment="true" applyBorder="false" applyFill="true" applyFont="true" applyNumberFormat="true" applyProtection="false" borderId="136" fillId="370" fontId="3" numFmtId="196" xfId="0">
      <alignment horizontal="center" vertical="center" wrapText="true"/>
    </xf>
    <xf applyAlignment="true" applyBorder="false" applyFill="true" applyFont="true" applyNumberFormat="true" applyProtection="false" borderId="135" fillId="370" fontId="7" numFmtId="196" xfId="0">
      <alignment horizontal="center" vertical="center" wrapText="true"/>
    </xf>
    <xf applyAlignment="true" applyBorder="false" applyFill="true" applyFont="true" applyNumberFormat="false" applyProtection="false" borderId="135" fillId="370" fontId="7" numFmtId="0" xfId="0">
      <alignment horizontal="center" vertical="center"/>
    </xf>
    <xf applyAlignment="true" applyBorder="false" applyFill="true" applyFont="true" applyNumberFormat="false" applyProtection="false" borderId="135" fillId="370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139" fillId="356" fontId="5" numFmtId="0" xfId="0">
      <alignment horizontal="center" vertical="center"/>
    </xf>
    <xf applyAlignment="true" applyBorder="false" applyFill="true" applyFont="true" applyNumberFormat="false" applyProtection="false" borderId="135" fillId="359" fontId="4" numFmtId="0" xfId="0">
      <alignment horizontal="center" vertical="center"/>
    </xf>
    <xf applyAlignment="true" applyBorder="false" applyFill="true" applyFont="true" applyNumberFormat="false" applyProtection="false" borderId="135" fillId="359" fontId="4" numFmtId="0" xfId="0">
      <alignment horizontal="center" vertical="center" wrapText="true"/>
    </xf>
    <xf applyAlignment="true" applyBorder="false" applyFill="true" applyFont="true" applyNumberFormat="false" applyProtection="false" borderId="136" fillId="359" fontId="4" numFmtId="0" xfId="0">
      <alignment horizontal="center" vertical="center"/>
    </xf>
    <xf applyAlignment="true" applyBorder="false" applyFill="true" applyFont="true" applyNumberFormat="true" applyProtection="false" borderId="135" fillId="370" fontId="4" numFmtId="197" xfId="0">
      <alignment horizontal="center" vertical="center"/>
    </xf>
    <xf applyAlignment="true" applyBorder="false" applyFill="true" applyFont="true" applyNumberFormat="true" applyProtection="false" borderId="135" fillId="370" fontId="4" numFmtId="197" xfId="0">
      <alignment horizontal="center" vertical="center"/>
    </xf>
    <xf applyAlignment="true" applyBorder="false" applyFill="true" applyFont="true" applyNumberFormat="false" applyProtection="false" borderId="135" fillId="380" fontId="5" numFmtId="0" xfId="0">
      <alignment horizontal="center" vertical="center"/>
    </xf>
    <xf applyAlignment="true" applyBorder="false" applyFill="true" applyFont="true" applyNumberFormat="false" applyProtection="false" borderId="135" fillId="370" fontId="5" numFmtId="0" xfId="0">
      <alignment horizontal="center" vertical="center"/>
    </xf>
    <xf applyAlignment="true" applyBorder="false" applyFill="true" applyFont="true" applyNumberFormat="false" applyProtection="false" borderId="139" fillId="380" fontId="5" numFmtId="0" xfId="0">
      <alignment horizontal="center" vertical="center"/>
    </xf>
    <xf applyAlignment="true" applyBorder="false" applyFill="true" applyFont="true" applyNumberFormat="false" applyProtection="false" borderId="135" fillId="370" fontId="5" numFmtId="0" xfId="0">
      <alignment horizontal="center" vertical="center" wrapText="true"/>
    </xf>
    <xf applyAlignment="true" applyBorder="false" applyFill="true" applyFont="true" applyNumberFormat="false" applyProtection="false" borderId="136" fillId="370" fontId="4" numFmtId="0" xfId="0">
      <alignment horizontal="center" vertical="center"/>
    </xf>
    <xf applyAlignment="true" applyBorder="false" applyFill="true" applyFont="true" applyNumberFormat="false" applyProtection="false" borderId="135" fillId="380" fontId="5" numFmtId="0" xfId="0">
      <alignment horizontal="center" vertical="center"/>
    </xf>
    <xf applyAlignment="true" applyBorder="false" applyFill="true" applyFont="true" applyNumberFormat="false" applyProtection="false" borderId="135" fillId="364" fontId="4" numFmtId="0" xfId="0">
      <alignment horizontal="center" vertical="center"/>
    </xf>
    <xf applyAlignment="true" applyBorder="false" applyFill="true" applyFont="true" applyNumberFormat="false" applyProtection="false" borderId="147" fillId="364" fontId="5" numFmtId="0" xfId="0">
      <alignment horizontal="center" vertical="center"/>
    </xf>
    <xf applyAlignment="true" applyBorder="false" applyFill="true" applyFont="true" applyNumberFormat="false" applyProtection="false" borderId="135" fillId="370" fontId="5" numFmtId="0" xfId="0">
      <alignment horizontal="center" vertical="center"/>
    </xf>
    <xf applyAlignment="true" applyBorder="false" applyFill="true" applyFont="true" applyNumberFormat="false" applyProtection="false" borderId="135" fillId="370" fontId="5" numFmtId="0" xfId="0">
      <alignment horizontal="center" vertical="center" wrapText="true"/>
    </xf>
    <xf applyAlignment="true" applyBorder="false" applyFill="true" applyFont="true" applyNumberFormat="false" applyProtection="false" borderId="147" fillId="370" fontId="5" numFmtId="0" xfId="0">
      <alignment horizontal="center" vertical="center"/>
    </xf>
    <xf applyAlignment="true" applyBorder="false" applyFill="true" applyFont="true" applyNumberFormat="false" applyProtection="false" borderId="135" fillId="364" fontId="4" numFmtId="0" xfId="0">
      <alignment horizontal="center" vertical="center" wrapText="true"/>
    </xf>
    <xf applyAlignment="true" applyBorder="false" applyFill="true" applyFont="true" applyNumberFormat="false" applyProtection="false" borderId="136" fillId="364" fontId="4" numFmtId="0" xfId="0">
      <alignment horizontal="center" vertical="center"/>
    </xf>
    <xf applyAlignment="true" applyBorder="false" applyFill="true" applyFont="true" applyNumberFormat="false" applyProtection="false" borderId="0" fillId="364" fontId="4" numFmtId="0" xfId="0">
      <alignment horizontal="center" vertical="center"/>
    </xf>
    <xf applyAlignment="true" applyBorder="false" applyFill="true" applyFont="true" applyNumberFormat="false" applyProtection="false" borderId="135" fillId="370" fontId="4" numFmtId="0" xfId="0">
      <alignment horizontal="center" vertical="center"/>
    </xf>
    <xf applyAlignment="true" applyBorder="false" applyFill="true" applyFont="true" applyNumberFormat="false" applyProtection="false" borderId="136" fillId="370" fontId="5" numFmtId="0" xfId="0">
      <alignment horizontal="center" vertical="center"/>
    </xf>
    <xf applyAlignment="true" applyBorder="false" applyFill="false" applyFont="true" applyNumberFormat="false" applyProtection="false" borderId="134" fillId="0" fontId="5" numFmtId="0" xfId="0">
      <alignment horizontal="center" vertical="center" wrapText="true"/>
    </xf>
    <xf applyAlignment="true" applyBorder="false" applyFill="false" applyFont="true" applyNumberFormat="false" applyProtection="false" borderId="148" fillId="0" fontId="5" numFmtId="0" xfId="0">
      <alignment horizontal="center" vertical="center"/>
    </xf>
    <xf applyAlignment="true" applyBorder="false" applyFill="true" applyFont="true" applyNumberFormat="false" applyProtection="false" borderId="134" fillId="356" fontId="5" numFmtId="0" xfId="0">
      <alignment horizontal="center" vertical="center" wrapText="true"/>
    </xf>
    <xf applyAlignment="true" applyBorder="false" applyFill="true" applyFont="true" applyNumberFormat="false" applyProtection="false" borderId="134" fillId="364" fontId="5" numFmtId="0" xfId="0">
      <alignment horizontal="center" vertical="center" wrapText="true"/>
    </xf>
    <xf applyAlignment="true" applyBorder="false" applyFill="true" applyFont="true" applyNumberFormat="false" applyProtection="false" borderId="148" fillId="364" fontId="5" numFmtId="0" xfId="0">
      <alignment horizontal="center" vertical="center"/>
    </xf>
    <xf applyAlignment="true" applyBorder="false" applyFill="false" applyFont="true" applyNumberFormat="false" applyProtection="false" borderId="134" fillId="0" fontId="5" numFmtId="0" xfId="0">
      <alignment horizontal="center" vertical="center" wrapText="true"/>
    </xf>
    <xf applyAlignment="true" applyBorder="false" applyFill="true" applyFont="true" applyNumberFormat="false" applyProtection="false" borderId="135" fillId="356" fontId="5" numFmtId="0" xfId="0">
      <alignment horizontal="center" vertical="center"/>
    </xf>
    <xf applyAlignment="true" applyBorder="false" applyFill="true" applyFont="true" applyNumberFormat="false" applyProtection="false" borderId="134" fillId="370" fontId="5" numFmtId="0" xfId="0">
      <alignment horizontal="center" vertical="center" wrapText="true"/>
    </xf>
    <xf applyAlignment="true" applyBorder="false" applyFill="true" applyFont="true" applyNumberFormat="false" applyProtection="false" borderId="135" fillId="380" fontId="4" numFmtId="0" xfId="0">
      <alignment horizontal="center" vertical="center"/>
    </xf>
    <xf applyAlignment="true" applyBorder="false" applyFill="true" applyFont="true" applyNumberFormat="false" applyProtection="false" borderId="134" fillId="370" fontId="5" numFmtId="0" xfId="0">
      <alignment horizontal="center" vertical="center" wrapText="true"/>
    </xf>
    <xf applyAlignment="true" applyBorder="false" applyFill="true" applyFont="true" applyNumberFormat="false" applyProtection="false" borderId="137" fillId="370" fontId="5" numFmtId="0" xfId="0">
      <alignment horizontal="center" vertical="center" wrapText="true"/>
    </xf>
    <xf applyAlignment="true" applyBorder="false" applyFill="false" applyFont="true" applyNumberFormat="false" applyProtection="false" borderId="138" fillId="0" fontId="5" numFmtId="0" xfId="0">
      <alignment horizontal="center" vertical="center"/>
    </xf>
    <xf applyAlignment="true" applyBorder="false" applyFill="true" applyFont="true" applyNumberFormat="true" applyProtection="false" borderId="135" fillId="380" fontId="4" numFmtId="197" xfId="0">
      <alignment horizontal="center" vertical="center"/>
    </xf>
    <xf applyAlignment="true" applyBorder="false" applyFill="true" applyFont="true" applyNumberFormat="false" applyProtection="false" borderId="139" fillId="364" fontId="5" numFmtId="0" xfId="0">
      <alignment horizontal="center" vertical="center"/>
    </xf>
    <xf applyAlignment="true" applyBorder="false" applyFill="true" applyFont="true" applyNumberFormat="false" applyProtection="false" borderId="134" fillId="364" fontId="5" numFmtId="0" xfId="0">
      <alignment horizontal="center" vertical="center" wrapText="true"/>
    </xf>
    <xf applyAlignment="true" applyBorder="false" applyFill="true" applyFont="true" applyNumberFormat="true" applyProtection="false" borderId="0" fillId="359" fontId="4" numFmtId="197" xfId="0">
      <alignment horizontal="center" vertical="center"/>
    </xf>
    <xf applyAlignment="true" applyBorder="false" applyFill="true" applyFont="true" applyNumberFormat="true" applyProtection="false" borderId="139" fillId="359" fontId="4" numFmtId="197" xfId="0">
      <alignment horizontal="center" vertical="center"/>
    </xf>
    <xf applyAlignment="true" applyBorder="false" applyFill="false" applyFont="true" applyNumberFormat="false" applyProtection="false" borderId="136" fillId="0" fontId="5" numFmtId="0" xfId="0">
      <alignment horizontal="center" vertical="center" wrapText="true"/>
    </xf>
    <xf applyAlignment="true" applyBorder="false" applyFill="false" applyFont="true" applyNumberFormat="false" applyProtection="false" borderId="147" fillId="0" fontId="5" numFmtId="0" xfId="0">
      <alignment horizontal="center" vertical="center"/>
    </xf>
    <xf applyAlignment="true" applyBorder="false" applyFill="false" applyFont="true" applyNumberFormat="false" applyProtection="false" borderId="136" fillId="0" fontId="5" numFmtId="0" xfId="0">
      <alignment horizontal="center" vertical="center" wrapText="true"/>
    </xf>
    <xf applyAlignment="true" applyBorder="false" applyFill="true" applyFont="true" applyNumberFormat="true" applyProtection="false" borderId="135" fillId="381" fontId="3" numFmtId="196" xfId="0">
      <alignment horizontal="center" vertical="center" wrapText="true"/>
    </xf>
    <xf applyAlignment="true" applyBorder="false" applyFill="true" applyFont="true" applyNumberFormat="true" applyProtection="false" borderId="136" fillId="381" fontId="3" numFmtId="196" xfId="0">
      <alignment horizontal="center" vertical="center" wrapText="true"/>
    </xf>
    <xf applyAlignment="true" applyBorder="false" applyFill="true" applyFont="true" applyNumberFormat="true" applyProtection="false" borderId="135" fillId="381" fontId="7" numFmtId="196" xfId="0">
      <alignment horizontal="center" vertical="center" wrapText="true"/>
    </xf>
    <xf applyAlignment="true" applyBorder="false" applyFill="true" applyFont="true" applyNumberFormat="true" applyProtection="false" borderId="135" fillId="381" fontId="7" numFmtId="197" xfId="0">
      <alignment horizontal="center" vertical="center"/>
    </xf>
    <xf applyAlignment="true" applyBorder="false" applyFill="true" applyFont="true" applyNumberFormat="false" applyProtection="false" borderId="135" fillId="381" fontId="7" numFmtId="0" xfId="0">
      <alignment horizontal="center" vertical="center"/>
    </xf>
    <xf applyAlignment="true" applyBorder="false" applyFill="true" applyFont="true" applyNumberFormat="false" applyProtection="false" borderId="135" fillId="381" fontId="7" numFmtId="0" xfId="0">
      <alignment horizontal="center" vertical="center" wrapText="true"/>
    </xf>
    <xf applyAlignment="true" applyBorder="false" applyFill="true" applyFont="true" applyNumberFormat="false" applyProtection="false" borderId="136" fillId="381" fontId="7" numFmtId="0" xfId="0">
      <alignment horizontal="center" vertical="center"/>
    </xf>
    <xf applyAlignment="true" applyBorder="false" applyFill="true" applyFont="true" applyNumberFormat="true" applyProtection="false" borderId="135" fillId="358" fontId="4" numFmtId="197" xfId="0">
      <alignment horizontal="center" vertical="center"/>
    </xf>
    <xf applyAlignment="true" applyBorder="false" applyFill="true" applyFont="true" applyNumberFormat="true" applyProtection="false" borderId="135" fillId="382" fontId="4" numFmtId="197" xfId="0">
      <alignment horizontal="center" vertical="center"/>
    </xf>
    <xf applyAlignment="true" applyBorder="false" applyFill="true" applyFont="true" applyNumberFormat="false" applyProtection="false" borderId="135" fillId="382" fontId="4" numFmtId="0" xfId="0">
      <alignment horizontal="center" vertical="center"/>
    </xf>
    <xf applyAlignment="true" applyBorder="false" applyFill="true" applyFont="true" applyNumberFormat="false" applyProtection="false" borderId="135" fillId="358" fontId="5" numFmtId="0" xfId="0">
      <alignment horizontal="center" vertical="center"/>
    </xf>
    <xf applyAlignment="true" applyBorder="false" applyFill="true" applyFont="true" applyNumberFormat="false" applyProtection="false" borderId="135" fillId="382" fontId="5" numFmtId="0" xfId="0">
      <alignment horizontal="center" vertical="center"/>
    </xf>
    <xf applyAlignment="true" applyBorder="false" applyFill="true" applyFont="true" applyNumberFormat="false" applyProtection="false" borderId="135" fillId="358" fontId="5" numFmtId="0" xfId="0">
      <alignment horizontal="center" vertical="center" wrapText="true"/>
    </xf>
    <xf applyAlignment="true" applyBorder="false" applyFill="true" applyFont="true" applyNumberFormat="false" applyProtection="false" borderId="136" fillId="358" fontId="5" numFmtId="0" xfId="0">
      <alignment horizontal="center" vertical="center"/>
    </xf>
    <xf applyAlignment="true" applyBorder="false" applyFill="true" applyFont="true" applyNumberFormat="true" applyProtection="false" borderId="135" fillId="382" fontId="4" numFmtId="197" xfId="0">
      <alignment horizontal="center" vertical="center"/>
    </xf>
    <xf applyAlignment="true" applyBorder="false" applyFill="true" applyFont="true" applyNumberFormat="false" applyProtection="false" borderId="135" fillId="382" fontId="4" numFmtId="0" xfId="0">
      <alignment horizontal="center" vertical="center"/>
    </xf>
    <xf applyAlignment="true" applyBorder="false" applyFill="true" applyFont="true" applyNumberFormat="false" applyProtection="false" borderId="135" fillId="382" fontId="4" numFmtId="0" xfId="0">
      <alignment horizontal="center" vertical="center" wrapText="true"/>
    </xf>
    <xf applyAlignment="true" applyBorder="false" applyFill="true" applyFont="true" applyNumberFormat="false" applyProtection="false" borderId="136" fillId="382" fontId="4" numFmtId="0" xfId="0">
      <alignment horizontal="center" vertical="center"/>
    </xf>
    <xf applyAlignment="true" applyBorder="false" applyFill="true" applyFont="true" applyNumberFormat="false" applyProtection="false" borderId="135" fillId="356" fontId="4" numFmtId="0" xfId="0">
      <alignment horizontal="center" vertical="center" wrapText="true"/>
    </xf>
    <xf applyAlignment="true" applyBorder="false" applyFill="true" applyFont="true" applyNumberFormat="false" applyProtection="false" borderId="136" fillId="356" fontId="4" numFmtId="0" xfId="0">
      <alignment horizontal="center" vertical="center"/>
    </xf>
    <xf applyAlignment="true" applyBorder="false" applyFill="true" applyFont="true" applyNumberFormat="false" applyProtection="false" borderId="135" fillId="382" fontId="5" numFmtId="0" xfId="0">
      <alignment horizontal="center" vertical="center"/>
    </xf>
    <xf applyAlignment="true" applyBorder="false" applyFill="true" applyFont="true" applyNumberFormat="false" applyProtection="false" borderId="135" fillId="364" fontId="4" numFmtId="0" xfId="0">
      <alignment horizontal="center" vertical="center"/>
    </xf>
    <xf applyAlignment="true" applyBorder="false" applyFill="true" applyFont="true" applyNumberFormat="false" applyProtection="false" borderId="138" fillId="364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135" fillId="383" fontId="3" numFmtId="196" xfId="0">
      <alignment horizontal="center" vertical="center" wrapText="true"/>
    </xf>
    <xf applyAlignment="true" applyBorder="false" applyFill="true" applyFont="true" applyNumberFormat="true" applyProtection="false" borderId="136" fillId="383" fontId="3" numFmtId="196" xfId="0">
      <alignment horizontal="center" vertical="center" wrapText="true"/>
    </xf>
    <xf applyAlignment="true" applyBorder="false" applyFill="true" applyFont="true" applyNumberFormat="true" applyProtection="false" borderId="135" fillId="383" fontId="7" numFmtId="196" xfId="0">
      <alignment horizontal="center" vertical="center" wrapText="true"/>
    </xf>
    <xf applyAlignment="true" applyBorder="false" applyFill="true" applyFont="true" applyNumberFormat="true" applyProtection="false" borderId="135" fillId="383" fontId="7" numFmtId="197" xfId="0">
      <alignment horizontal="center" vertical="center"/>
    </xf>
    <xf applyAlignment="true" applyBorder="false" applyFill="true" applyFont="true" applyNumberFormat="false" applyProtection="false" borderId="135" fillId="383" fontId="7" numFmtId="0" xfId="0">
      <alignment horizontal="center" vertical="center"/>
    </xf>
    <xf applyAlignment="true" applyBorder="false" applyFill="true" applyFont="true" applyNumberFormat="false" applyProtection="false" borderId="135" fillId="383" fontId="7" numFmtId="0" xfId="0">
      <alignment horizontal="center" vertical="center" wrapText="true"/>
    </xf>
    <xf applyAlignment="true" applyBorder="false" applyFill="true" applyFont="true" applyNumberFormat="false" applyProtection="false" borderId="136" fillId="383" fontId="7" numFmtId="0" xfId="0">
      <alignment horizontal="center" vertical="center"/>
    </xf>
    <xf applyAlignment="true" applyBorder="false" applyFill="true" applyFont="true" applyNumberFormat="false" applyProtection="false" borderId="138" fillId="359" fontId="5" numFmtId="0" xfId="0">
      <alignment horizontal="center" vertical="center"/>
    </xf>
    <xf applyAlignment="true" applyBorder="false" applyFill="true" applyFont="true" applyNumberFormat="true" applyProtection="false" borderId="137" fillId="356" fontId="5" numFmtId="198" xfId="0">
      <alignment horizontal="center" vertical="center"/>
    </xf>
    <xf applyAlignment="true" applyBorder="false" applyFill="true" applyFont="true" applyNumberFormat="true" applyProtection="false" borderId="137" fillId="380" fontId="5" numFmtId="198" xfId="0">
      <alignment horizontal="center" vertical="center"/>
    </xf>
    <xf applyAlignment="true" applyBorder="false" applyFill="true" applyFont="true" applyNumberFormat="false" applyProtection="false" borderId="138" fillId="364" fontId="5" numFmtId="0" xfId="0">
      <alignment horizontal="center" vertical="center"/>
    </xf>
    <xf applyAlignment="true" applyBorder="false" applyFill="true" applyFont="true" applyNumberFormat="false" applyProtection="false" borderId="136" fillId="364" fontId="5" numFmtId="0" xfId="0">
      <alignment horizontal="center" vertical="center" wrapText="true"/>
    </xf>
    <xf applyAlignment="true" applyBorder="false" applyFill="true" applyFont="true" applyNumberFormat="false" applyProtection="false" borderId="136" fillId="356" fontId="5" numFmtId="0" xfId="0">
      <alignment horizontal="center" vertical="center" wrapText="true"/>
    </xf>
    <xf applyAlignment="true" applyBorder="false" applyFill="true" applyFont="true" applyNumberFormat="false" applyProtection="false" borderId="0" fillId="356" fontId="5" numFmtId="0" xfId="0">
      <alignment horizontal="center" vertical="center" wrapText="true"/>
    </xf>
    <xf applyAlignment="true" applyBorder="false" applyFill="true" applyFont="true" applyNumberFormat="false" applyProtection="false" borderId="136" fillId="356" fontId="5" numFmtId="0" xfId="0">
      <alignment horizontal="left" vertical="center" wrapText="true"/>
    </xf>
    <xf applyAlignment="true" applyBorder="false" applyFill="true" applyFont="true" applyNumberFormat="false" applyProtection="false" borderId="0" fillId="356" fontId="5" numFmtId="0" xfId="0">
      <alignment horizontal="left" vertical="center" wrapText="true"/>
    </xf>
    <xf applyAlignment="true" applyBorder="false" applyFill="true" applyFont="true" applyNumberFormat="false" applyProtection="false" borderId="136" fillId="364" fontId="5" numFmtId="0" xfId="0">
      <alignment horizontal="left" vertical="center" wrapText="true"/>
    </xf>
    <xf applyAlignment="true" applyBorder="false" applyFill="true" applyFont="true" applyNumberFormat="false" applyProtection="false" borderId="0" fillId="364" fontId="5" numFmtId="0" xfId="0">
      <alignment horizontal="left" vertical="center" wrapText="true"/>
    </xf>
    <xf applyAlignment="true" applyBorder="false" applyFill="true" applyFont="true" applyNumberFormat="true" applyProtection="false" borderId="133" fillId="356" fontId="4" numFmtId="197" xfId="0">
      <alignment horizontal="center" vertical="center"/>
    </xf>
    <xf applyAlignment="true" applyBorder="false" applyFill="true" applyFont="true" applyNumberFormat="true" applyProtection="false" borderId="135" fillId="384" fontId="3" numFmtId="196" xfId="0">
      <alignment horizontal="center" vertical="center" wrapText="true"/>
    </xf>
    <xf applyAlignment="true" applyBorder="false" applyFill="true" applyFont="true" applyNumberFormat="true" applyProtection="false" borderId="136" fillId="384" fontId="3" numFmtId="196" xfId="0">
      <alignment horizontal="center" vertical="center" wrapText="true"/>
    </xf>
    <xf applyAlignment="true" applyBorder="false" applyFill="true" applyFont="true" applyNumberFormat="true" applyProtection="false" borderId="135" fillId="384" fontId="7" numFmtId="196" xfId="0">
      <alignment horizontal="center" vertical="center" wrapText="true"/>
    </xf>
    <xf applyAlignment="true" applyBorder="false" applyFill="true" applyFont="true" applyNumberFormat="true" applyProtection="false" borderId="135" fillId="384" fontId="7" numFmtId="197" xfId="0">
      <alignment horizontal="center" vertical="center"/>
    </xf>
    <xf applyAlignment="true" applyBorder="false" applyFill="true" applyFont="true" applyNumberFormat="false" applyProtection="false" borderId="135" fillId="384" fontId="7" numFmtId="0" xfId="0">
      <alignment horizontal="center" vertical="center"/>
    </xf>
    <xf applyAlignment="true" applyBorder="false" applyFill="true" applyFont="true" applyNumberFormat="false" applyProtection="false" borderId="135" fillId="384" fontId="7" numFmtId="0" xfId="0">
      <alignment horizontal="center" vertical="center" wrapText="true"/>
    </xf>
    <xf applyAlignment="true" applyBorder="false" applyFill="true" applyFont="true" applyNumberFormat="false" applyProtection="false" borderId="136" fillId="384" fontId="7" numFmtId="0" xfId="0">
      <alignment horizontal="center" vertical="center"/>
    </xf>
    <xf applyAlignment="true" applyBorder="false" applyFill="true" applyFont="true" applyNumberFormat="false" applyProtection="false" borderId="135" fillId="380" fontId="5" numFmtId="0" xfId="0">
      <alignment horizontal="center" vertical="center" wrapText="true"/>
    </xf>
    <xf applyAlignment="true" applyBorder="false" applyFill="true" applyFont="true" applyNumberFormat="false" applyProtection="false" borderId="136" fillId="380" fontId="5" numFmtId="0" xfId="0">
      <alignment horizontal="center" vertical="center"/>
    </xf>
    <xf applyAlignment="true" applyBorder="false" applyFill="true" applyFont="true" applyNumberFormat="false" applyProtection="false" borderId="136" fillId="370" fontId="5" numFmtId="0" xfId="0">
      <alignment horizontal="center" vertical="center"/>
    </xf>
    <xf applyAlignment="true" applyBorder="false" applyFill="true" applyFont="true" applyNumberFormat="true" applyProtection="false" borderId="135" fillId="380" fontId="4" numFmtId="197" xfId="0">
      <alignment horizontal="center" vertical="center"/>
    </xf>
    <xf applyAlignment="true" applyBorder="false" applyFill="true" applyFont="true" applyNumberFormat="true" applyProtection="false" borderId="135" fillId="385" fontId="4" numFmtId="197" xfId="0">
      <alignment horizontal="center" vertical="center"/>
    </xf>
    <xf applyAlignment="true" applyBorder="false" applyFill="true" applyFont="true" applyNumberFormat="false" applyProtection="false" borderId="135" fillId="385" fontId="5" numFmtId="0" xfId="0">
      <alignment horizontal="center" vertical="center" wrapText="true"/>
    </xf>
    <xf applyAlignment="true" applyBorder="false" applyFill="true" applyFont="true" applyNumberFormat="false" applyProtection="false" borderId="135" fillId="385" fontId="5" numFmtId="0" xfId="0">
      <alignment horizontal="center" vertical="center"/>
    </xf>
    <xf applyAlignment="true" applyBorder="false" applyFill="true" applyFont="true" applyNumberFormat="false" applyProtection="false" borderId="136" fillId="385" fontId="5" numFmtId="0" xfId="0">
      <alignment horizontal="center" vertical="center"/>
    </xf>
    <xf applyAlignment="true" applyBorder="false" applyFill="true" applyFont="true" applyNumberFormat="false" applyProtection="false" borderId="0" fillId="385" fontId="5" numFmtId="0" xfId="0">
      <alignment horizontal="center" vertical="center"/>
    </xf>
    <xf applyAlignment="true" applyBorder="false" applyFill="true" applyFont="true" applyNumberFormat="false" applyProtection="false" borderId="0" fillId="385" fontId="6" numFmtId="0" xfId="0">
      <alignment vertical="center"/>
    </xf>
    <xf applyAlignment="true" applyBorder="false" applyFill="true" applyFont="true" applyNumberFormat="true" applyProtection="false" borderId="135" fillId="386" fontId="9" numFmtId="196" xfId="0">
      <alignment horizontal="center" vertical="center" wrapText="true"/>
    </xf>
    <xf applyAlignment="true" applyBorder="false" applyFill="true" applyFont="true" applyNumberFormat="true" applyProtection="false" borderId="135" fillId="386" fontId="16" numFmtId="196" xfId="0">
      <alignment horizontal="center" vertical="center" wrapText="true"/>
    </xf>
    <xf applyAlignment="true" applyBorder="false" applyFill="true" applyFont="true" applyNumberFormat="true" applyProtection="false" borderId="136" fillId="386" fontId="16" numFmtId="196" xfId="0">
      <alignment horizontal="center" vertical="center" wrapText="true"/>
    </xf>
    <xf applyAlignment="true" applyBorder="false" applyFill="true" applyFont="true" applyNumberFormat="true" applyProtection="false" borderId="0" fillId="356" fontId="16" numFmtId="196" xfId="0">
      <alignment horizontal="center" vertical="center" wrapText="true"/>
    </xf>
    <xf applyAlignment="true" applyBorder="false" applyFill="true" applyFont="true" applyNumberFormat="true" applyProtection="false" borderId="135" fillId="386" fontId="7" numFmtId="196" xfId="0">
      <alignment horizontal="center" vertical="center" wrapText="true"/>
    </xf>
    <xf applyAlignment="true" applyBorder="false" applyFill="true" applyFont="true" applyNumberFormat="true" applyProtection="false" borderId="135" fillId="386" fontId="7" numFmtId="197" xfId="0">
      <alignment horizontal="center" vertical="center"/>
    </xf>
    <xf applyAlignment="true" applyBorder="false" applyFill="true" applyFont="true" applyNumberFormat="false" applyProtection="false" borderId="135" fillId="386" fontId="7" numFmtId="0" xfId="0">
      <alignment horizontal="center" vertical="center"/>
    </xf>
    <xf applyAlignment="true" applyBorder="false" applyFill="true" applyFont="true" applyNumberFormat="false" applyProtection="false" borderId="135" fillId="386" fontId="7" numFmtId="0" xfId="0">
      <alignment horizontal="center" vertical="center" wrapText="true"/>
    </xf>
    <xf applyAlignment="true" applyBorder="false" applyFill="true" applyFont="true" applyNumberFormat="false" applyProtection="false" borderId="136" fillId="386" fontId="7" numFmtId="0" xfId="0">
      <alignment horizontal="center" vertical="center"/>
    </xf>
    <xf applyAlignment="true" applyBorder="false" applyFill="true" applyFont="true" applyNumberFormat="true" applyProtection="false" borderId="135" fillId="356" fontId="4" numFmtId="196" xfId="0">
      <alignment horizontal="center" vertical="center" wrapText="true"/>
    </xf>
    <xf applyAlignment="true" applyBorder="false" applyFill="true" applyFont="true" applyNumberFormat="true" applyProtection="false" borderId="135" fillId="364" fontId="4" numFmtId="196" xfId="0">
      <alignment horizontal="center" vertical="center" wrapText="true"/>
    </xf>
    <xf applyAlignment="true" applyBorder="false" applyFill="true" applyFont="true" applyNumberFormat="false" applyProtection="false" borderId="136" fillId="364" fontId="4" numFmtId="0" xfId="0">
      <alignment horizontal="center" vertical="center"/>
    </xf>
    <xf applyAlignment="true" applyBorder="false" applyFill="true" applyFont="true" applyNumberFormat="true" applyProtection="false" borderId="135" fillId="359" fontId="4" numFmtId="196" xfId="0">
      <alignment horizontal="center" vertical="center" wrapText="true"/>
    </xf>
    <xf applyAlignment="true" applyBorder="false" applyFill="true" applyFont="true" applyNumberFormat="true" applyProtection="false" borderId="135" fillId="387" fontId="10" numFmtId="196" xfId="0">
      <alignment horizontal="center" vertical="center" wrapText="true"/>
    </xf>
    <xf applyAlignment="true" applyBorder="false" applyFill="true" applyFont="true" applyNumberFormat="true" applyProtection="false" borderId="136" fillId="387" fontId="10" numFmtId="196" xfId="0">
      <alignment horizontal="center" vertical="center" wrapText="true"/>
    </xf>
    <xf applyAlignment="true" applyBorder="false" applyFill="true" applyFont="true" applyNumberFormat="true" applyProtection="false" borderId="135" fillId="387" fontId="7" numFmtId="196" xfId="0">
      <alignment horizontal="center" vertical="center" wrapText="true"/>
    </xf>
    <xf applyAlignment="true" applyBorder="false" applyFill="true" applyFont="true" applyNumberFormat="true" applyProtection="false" borderId="135" fillId="387" fontId="7" numFmtId="197" xfId="0">
      <alignment horizontal="center" vertical="center"/>
    </xf>
    <xf applyAlignment="true" applyBorder="false" applyFill="true" applyFont="true" applyNumberFormat="false" applyProtection="false" borderId="135" fillId="387" fontId="7" numFmtId="0" xfId="0">
      <alignment horizontal="center" vertical="center"/>
    </xf>
    <xf applyAlignment="true" applyBorder="false" applyFill="true" applyFont="true" applyNumberFormat="false" applyProtection="false" borderId="135" fillId="387" fontId="7" numFmtId="0" xfId="0">
      <alignment horizontal="center" vertical="center" wrapText="true"/>
    </xf>
    <xf applyAlignment="true" applyBorder="false" applyFill="true" applyFont="true" applyNumberFormat="false" applyProtection="false" borderId="136" fillId="387" fontId="7" numFmtId="0" xfId="0">
      <alignment horizontal="center" vertical="center"/>
    </xf>
    <xf applyAlignment="true" applyBorder="false" applyFill="true" applyFont="true" applyNumberFormat="true" applyProtection="false" borderId="135" fillId="388" fontId="3" numFmtId="196" xfId="0">
      <alignment horizontal="center" vertical="center" wrapText="true"/>
    </xf>
    <xf applyAlignment="true" applyBorder="false" applyFill="true" applyFont="true" applyNumberFormat="true" applyProtection="false" borderId="135" fillId="388" fontId="7" numFmtId="196" xfId="0">
      <alignment horizontal="center" vertical="center" wrapText="true"/>
    </xf>
    <xf applyAlignment="true" applyBorder="false" applyFill="true" applyFont="true" applyNumberFormat="true" applyProtection="false" borderId="135" fillId="388" fontId="7" numFmtId="197" xfId="0">
      <alignment horizontal="center" vertical="center"/>
    </xf>
    <xf applyAlignment="true" applyBorder="false" applyFill="true" applyFont="true" applyNumberFormat="false" applyProtection="false" borderId="133" fillId="388" fontId="7" numFmtId="0" xfId="0">
      <alignment horizontal="center" vertical="center"/>
    </xf>
    <xf applyAlignment="true" applyBorder="false" applyFill="true" applyFont="true" applyNumberFormat="false" applyProtection="false" borderId="135" fillId="388" fontId="7" numFmtId="0" xfId="0">
      <alignment horizontal="center" vertical="center"/>
    </xf>
    <xf applyAlignment="true" applyBorder="false" applyFill="true" applyFont="true" applyNumberFormat="false" applyProtection="false" borderId="135" fillId="388" fontId="7" numFmtId="0" xfId="0">
      <alignment horizontal="center" vertical="center" wrapText="true"/>
    </xf>
    <xf applyAlignment="true" applyBorder="false" applyFill="true" applyFont="true" applyNumberFormat="false" applyProtection="false" borderId="136" fillId="388" fontId="7" numFmtId="0" xfId="0">
      <alignment horizontal="center" vertical="center"/>
    </xf>
    <xf applyAlignment="true" applyBorder="false" applyFill="true" applyFont="true" applyNumberFormat="true" applyProtection="false" borderId="136" fillId="370" fontId="4" numFmtId="197" xfId="0">
      <alignment horizontal="center" vertical="center"/>
    </xf>
    <xf applyAlignment="true" applyBorder="false" applyFill="true" applyFont="true" applyNumberFormat="false" applyProtection="false" borderId="137" fillId="370" fontId="5" numFmtId="0" xfId="0">
      <alignment horizontal="center" vertical="center"/>
    </xf>
    <xf applyAlignment="true" applyBorder="false" applyFill="true" applyFont="true" applyNumberFormat="false" applyProtection="false" borderId="138" fillId="370" fontId="5" numFmtId="0" xfId="0">
      <alignment horizontal="center" vertical="center"/>
    </xf>
    <xf applyAlignment="true" applyBorder="false" applyFill="true" applyFont="true" applyNumberFormat="false" applyProtection="false" borderId="137" fillId="380" fontId="5" numFmtId="0" xfId="0">
      <alignment horizontal="center" vertical="center"/>
    </xf>
    <xf applyAlignment="true" applyBorder="false" applyFill="true" applyFont="true" applyNumberFormat="false" applyProtection="false" borderId="135" fillId="370" fontId="4" numFmtId="0" xfId="0">
      <alignment horizontal="center" vertical="center" wrapText="true"/>
    </xf>
    <xf applyAlignment="true" applyBorder="false" applyFill="true" applyFont="true" applyNumberFormat="false" applyProtection="false" borderId="138" fillId="359" fontId="5" numFmtId="0" xfId="0">
      <alignment horizontal="center" vertical="center"/>
    </xf>
    <xf applyAlignment="true" applyBorder="false" applyFill="true" applyFont="true" applyNumberFormat="true" applyProtection="false" borderId="135" fillId="389" fontId="16" numFmtId="196" xfId="0">
      <alignment horizontal="center" vertical="center" wrapText="true"/>
    </xf>
    <xf applyAlignment="true" applyBorder="false" applyFill="true" applyFont="true" applyNumberFormat="true" applyProtection="false" borderId="136" fillId="389" fontId="16" numFmtId="196" xfId="0">
      <alignment horizontal="center" vertical="center" wrapText="true"/>
    </xf>
    <xf applyAlignment="true" applyBorder="false" applyFill="true" applyFont="true" applyNumberFormat="true" applyProtection="false" borderId="135" fillId="389" fontId="7" numFmtId="196" xfId="0">
      <alignment horizontal="center" vertical="center" wrapText="true"/>
    </xf>
    <xf applyAlignment="true" applyBorder="false" applyFill="true" applyFont="true" applyNumberFormat="true" applyProtection="false" borderId="135" fillId="389" fontId="7" numFmtId="197" xfId="0">
      <alignment horizontal="center" vertical="center"/>
    </xf>
    <xf applyAlignment="true" applyBorder="false" applyFill="true" applyFont="true" applyNumberFormat="false" applyProtection="false" borderId="135" fillId="389" fontId="7" numFmtId="0" xfId="0">
      <alignment horizontal="center" vertical="center"/>
    </xf>
    <xf applyAlignment="true" applyBorder="false" applyFill="true" applyFont="true" applyNumberFormat="false" applyProtection="false" borderId="135" fillId="389" fontId="7" numFmtId="0" xfId="0">
      <alignment horizontal="center" vertical="center" wrapText="true"/>
    </xf>
    <xf applyAlignment="true" applyBorder="false" applyFill="true" applyFont="true" applyNumberFormat="false" applyProtection="false" borderId="136" fillId="389" fontId="7" numFmtId="0" xfId="0">
      <alignment horizontal="center" vertical="center"/>
    </xf>
    <xf applyAlignment="true" applyBorder="false" applyFill="true" applyFont="true" applyNumberFormat="true" applyProtection="false" borderId="135" fillId="389" fontId="4" numFmtId="197" xfId="0">
      <alignment horizontal="center" vertical="center"/>
    </xf>
    <xf applyAlignment="true" applyBorder="false" applyFill="true" applyFont="true" applyNumberFormat="true" applyProtection="false" borderId="135" fillId="389" fontId="4" numFmtId="197" xfId="0">
      <alignment horizontal="center" vertical="center"/>
    </xf>
    <xf applyAlignment="true" applyBorder="false" applyFill="true" applyFont="true" applyNumberFormat="false" applyProtection="false" borderId="135" fillId="389" fontId="5" numFmtId="0" xfId="0">
      <alignment horizontal="center" vertical="center"/>
    </xf>
    <xf applyAlignment="true" applyBorder="false" applyFill="true" applyFont="true" applyNumberFormat="false" applyProtection="false" borderId="135" fillId="389" fontId="5" numFmtId="0" xfId="0">
      <alignment horizontal="center" vertical="center"/>
    </xf>
    <xf applyAlignment="true" applyBorder="false" applyFill="true" applyFont="true" applyNumberFormat="false" applyProtection="false" borderId="135" fillId="389" fontId="5" numFmtId="0" xfId="0">
      <alignment horizontal="center" vertical="center" wrapText="true"/>
    </xf>
    <xf applyAlignment="true" applyBorder="false" applyFill="true" applyFont="true" applyNumberFormat="false" applyProtection="false" borderId="138" fillId="389" fontId="5" numFmtId="0" xfId="0">
      <alignment horizontal="center" vertical="center"/>
    </xf>
    <xf applyAlignment="true" applyBorder="false" applyFill="true" applyFont="true" applyNumberFormat="false" applyProtection="false" borderId="136" fillId="389" fontId="5" numFmtId="0" xfId="0">
      <alignment horizontal="center" vertical="center"/>
    </xf>
    <xf applyAlignment="true" applyBorder="false" applyFill="true" applyFont="true" applyNumberFormat="false" applyProtection="false" borderId="135" fillId="354" fontId="18" numFmtId="0" xfId="0">
      <alignment horizontal="center" vertical="center"/>
    </xf>
    <xf applyAlignment="true" applyBorder="false" applyFill="true" applyFont="true" applyNumberFormat="false" applyProtection="false" borderId="136" fillId="389" fontId="5" numFmtId="0" xfId="0">
      <alignment horizontal="center" vertical="center"/>
    </xf>
    <xf applyAlignment="true" applyBorder="false" applyFill="true" applyFont="true" applyNumberFormat="true" applyProtection="false" borderId="135" fillId="390" fontId="3" numFmtId="196" xfId="0">
      <alignment horizontal="center" vertical="center" wrapText="true"/>
    </xf>
    <xf applyAlignment="true" applyBorder="false" applyFill="true" applyFont="true" applyNumberFormat="true" applyProtection="false" borderId="135" fillId="390" fontId="16" numFmtId="196" xfId="0">
      <alignment horizontal="center" vertical="center" wrapText="true"/>
    </xf>
    <xf applyAlignment="true" applyBorder="false" applyFill="true" applyFont="true" applyNumberFormat="true" applyProtection="false" borderId="136" fillId="390" fontId="16" numFmtId="196" xfId="0">
      <alignment horizontal="center" vertical="center" wrapText="true"/>
    </xf>
    <xf applyAlignment="true" applyBorder="false" applyFill="true" applyFont="true" applyNumberFormat="true" applyProtection="false" borderId="135" fillId="391" fontId="7" numFmtId="196" xfId="0">
      <alignment horizontal="center" vertical="center" wrapText="true"/>
    </xf>
    <xf applyAlignment="true" applyBorder="false" applyFill="true" applyFont="true" applyNumberFormat="true" applyProtection="false" borderId="135" fillId="391" fontId="7" numFmtId="197" xfId="0">
      <alignment horizontal="center" vertical="center"/>
    </xf>
    <xf applyAlignment="true" applyBorder="false" applyFill="true" applyFont="true" applyNumberFormat="false" applyProtection="false" borderId="135" fillId="391" fontId="7" numFmtId="0" xfId="0">
      <alignment horizontal="center" vertical="center"/>
    </xf>
    <xf applyAlignment="true" applyBorder="false" applyFill="true" applyFont="true" applyNumberFormat="false" applyProtection="false" borderId="135" fillId="391" fontId="7" numFmtId="0" xfId="0">
      <alignment horizontal="center" vertical="center" wrapText="true"/>
    </xf>
    <xf applyAlignment="true" applyBorder="false" applyFill="true" applyFont="true" applyNumberFormat="false" applyProtection="false" borderId="136" fillId="391" fontId="7" numFmtId="0" xfId="0">
      <alignment horizontal="center" vertical="center"/>
    </xf>
    <xf applyAlignment="true" applyBorder="false" applyFill="true" applyFont="true" applyNumberFormat="true" applyProtection="false" borderId="135" fillId="372" fontId="4" numFmtId="197" xfId="0">
      <alignment horizontal="center" vertical="center"/>
    </xf>
    <xf applyAlignment="true" applyBorder="false" applyFill="true" applyFont="true" applyNumberFormat="false" applyProtection="false" borderId="135" fillId="372" fontId="5" numFmtId="0" xfId="0">
      <alignment horizontal="center" vertical="center"/>
    </xf>
    <xf applyAlignment="true" applyBorder="false" applyFill="true" applyFont="true" applyNumberFormat="false" applyProtection="false" borderId="135" fillId="372" fontId="5" numFmtId="0" xfId="0">
      <alignment horizontal="center" vertical="center" wrapText="true"/>
    </xf>
    <xf applyAlignment="true" applyBorder="false" applyFill="true" applyFont="true" applyNumberFormat="false" applyProtection="false" borderId="136" fillId="372" fontId="5" numFmtId="0" xfId="0">
      <alignment horizontal="center" vertical="center"/>
    </xf>
    <xf applyAlignment="true" applyBorder="false" applyFill="true" applyFont="true" applyNumberFormat="true" applyProtection="false" borderId="136" fillId="359" fontId="4" numFmtId="197" xfId="0">
      <alignment horizontal="center" vertical="center"/>
    </xf>
    <xf applyAlignment="true" applyBorder="false" applyFill="true" applyFont="true" applyNumberFormat="true" applyProtection="false" borderId="0" fillId="356" fontId="4" numFmtId="197" xfId="0">
      <alignment horizontal="center" vertical="center"/>
    </xf>
    <xf applyAlignment="true" applyBorder="false" applyFill="true" applyFont="true" applyNumberFormat="true" applyProtection="false" borderId="135" fillId="373" fontId="16" numFmtId="196" xfId="0">
      <alignment horizontal="center" vertical="center" wrapText="true"/>
    </xf>
    <xf applyAlignment="true" applyBorder="false" applyFill="true" applyFont="true" applyNumberFormat="true" applyProtection="false" borderId="135" fillId="373" fontId="16" numFmtId="196" xfId="0">
      <alignment horizontal="center" vertical="center" wrapText="true"/>
    </xf>
    <xf applyAlignment="true" applyBorder="false" applyFill="true" applyFont="true" applyNumberFormat="true" applyProtection="false" borderId="136" fillId="373" fontId="16" numFmtId="196" xfId="0">
      <alignment horizontal="center" vertical="center" wrapText="true"/>
    </xf>
    <xf applyAlignment="true" applyBorder="false" applyFill="true" applyFont="true" applyNumberFormat="true" applyProtection="false" borderId="135" fillId="373" fontId="4" numFmtId="197" xfId="0">
      <alignment horizontal="center" vertical="center"/>
    </xf>
    <xf applyAlignment="true" applyBorder="false" applyFill="true" applyFont="true" applyNumberFormat="true" applyProtection="false" borderId="135" fillId="392" fontId="4" numFmtId="197" xfId="0">
      <alignment horizontal="center" vertical="center"/>
    </xf>
    <xf applyAlignment="true" applyBorder="false" applyFill="true" applyFont="true" applyNumberFormat="false" applyProtection="false" borderId="135" fillId="373" fontId="5" numFmtId="0" xfId="0">
      <alignment horizontal="center" vertical="center"/>
    </xf>
    <xf applyAlignment="true" applyBorder="false" applyFill="true" applyFont="true" applyNumberFormat="false" applyProtection="false" borderId="135" fillId="392" fontId="5" numFmtId="0" xfId="0">
      <alignment horizontal="center" vertical="center"/>
    </xf>
    <xf applyAlignment="true" applyBorder="false" applyFill="true" applyFont="true" applyNumberFormat="false" applyProtection="false" borderId="135" fillId="373" fontId="5" numFmtId="0" xfId="0">
      <alignment horizontal="center" vertical="center" wrapText="true"/>
    </xf>
    <xf applyAlignment="true" applyBorder="false" applyFill="true" applyFont="true" applyNumberFormat="false" applyProtection="false" borderId="135" fillId="373" fontId="5" numFmtId="0" xfId="0">
      <alignment horizontal="center" vertical="center"/>
    </xf>
    <xf applyAlignment="true" applyBorder="false" applyFill="true" applyFont="true" applyNumberFormat="false" applyProtection="false" borderId="136" fillId="373" fontId="5" numFmtId="0" xfId="0">
      <alignment horizontal="center" vertical="center"/>
    </xf>
    <xf applyAlignment="true" applyBorder="false" applyFill="true" applyFont="true" applyNumberFormat="true" applyProtection="false" borderId="135" fillId="373" fontId="4" numFmtId="197" xfId="0">
      <alignment horizontal="center" vertical="center"/>
    </xf>
    <xf applyAlignment="true" applyBorder="false" applyFill="true" applyFont="true" applyNumberFormat="true" applyProtection="false" borderId="135" fillId="392" fontId="5" numFmtId="198" xfId="0">
      <alignment horizontal="center" vertical="center"/>
    </xf>
    <xf applyAlignment="true" applyBorder="false" applyFill="true" applyFont="true" applyNumberFormat="false" applyProtection="false" borderId="136" fillId="373" fontId="5" numFmtId="0" xfId="0">
      <alignment horizontal="center" vertical="center"/>
    </xf>
    <xf applyAlignment="true" applyBorder="false" applyFill="true" applyFont="true" applyNumberFormat="true" applyProtection="false" borderId="135" fillId="392" fontId="4" numFmtId="197" xfId="0">
      <alignment horizontal="center" vertical="center"/>
    </xf>
    <xf applyAlignment="true" applyBorder="false" applyFill="true" applyFont="true" applyNumberFormat="false" applyProtection="false" borderId="135" fillId="392" fontId="5" numFmtId="0" xfId="0">
      <alignment horizontal="center" vertical="center"/>
    </xf>
    <xf applyAlignment="true" applyBorder="false" applyFill="true" applyFont="true" applyNumberFormat="false" applyProtection="false" borderId="135" fillId="392" fontId="5" numFmtId="0" xfId="0">
      <alignment horizontal="center" vertical="center" wrapText="true"/>
    </xf>
    <xf applyAlignment="true" applyBorder="false" applyFill="true" applyFont="true" applyNumberFormat="false" applyProtection="false" borderId="135" fillId="373" fontId="5" numFmtId="0" xfId="0">
      <alignment horizontal="center" vertical="center" wrapText="true"/>
    </xf>
    <xf applyAlignment="true" applyBorder="false" applyFill="true" applyFont="true" applyNumberFormat="true" applyProtection="false" borderId="135" fillId="370" fontId="16" numFmtId="196" xfId="0">
      <alignment horizontal="center" vertical="center" wrapText="true"/>
    </xf>
    <xf applyAlignment="true" applyBorder="false" applyFill="true" applyFont="true" applyNumberFormat="true" applyProtection="false" borderId="136" fillId="370" fontId="16" numFmtId="196" xfId="0">
      <alignment horizontal="center" vertical="center" wrapText="true"/>
    </xf>
    <xf applyAlignment="true" applyBorder="false" applyFill="true" applyFont="true" applyNumberFormat="true" applyProtection="false" borderId="135" fillId="364" fontId="7" numFmtId="196" xfId="0">
      <alignment horizontal="center" vertical="center" wrapText="true"/>
    </xf>
    <xf applyAlignment="true" applyBorder="false" applyFill="true" applyFont="true" applyNumberFormat="true" applyProtection="false" borderId="135" fillId="359" fontId="7" numFmtId="196" xfId="0">
      <alignment horizontal="center" vertical="center" wrapText="true"/>
    </xf>
    <xf applyAlignment="true" applyBorder="false" applyFill="true" applyFont="true" applyNumberFormat="true" applyProtection="false" borderId="135" fillId="370" fontId="4" numFmtId="196" xfId="0">
      <alignment horizontal="center" vertical="center" wrapText="true"/>
    </xf>
    <xf applyAlignment="true" applyBorder="false" applyFill="true" applyFont="true" applyNumberFormat="false" applyProtection="false" borderId="0" fillId="370" fontId="5" numFmtId="0" xfId="0">
      <alignment horizontal="center" vertical="center"/>
    </xf>
    <xf applyAlignment="true" applyBorder="false" applyFill="true" applyFont="true" applyNumberFormat="true" applyProtection="false" borderId="135" fillId="393" fontId="16" numFmtId="196" xfId="0">
      <alignment horizontal="center" vertical="center" wrapText="true"/>
    </xf>
    <xf applyAlignment="true" applyBorder="false" applyFill="true" applyFont="true" applyNumberFormat="true" applyProtection="false" borderId="136" fillId="393" fontId="16" numFmtId="196" xfId="0">
      <alignment horizontal="center" vertical="center" wrapText="true"/>
    </xf>
    <xf applyAlignment="true" applyBorder="false" applyFill="true" applyFont="true" applyNumberFormat="true" applyProtection="false" borderId="135" fillId="393" fontId="7" numFmtId="196" xfId="0">
      <alignment horizontal="center" vertical="center" wrapText="true"/>
    </xf>
    <xf applyAlignment="true" applyBorder="false" applyFill="true" applyFont="true" applyNumberFormat="true" applyProtection="false" borderId="135" fillId="393" fontId="7" numFmtId="197" xfId="0">
      <alignment horizontal="center" vertical="center"/>
    </xf>
    <xf applyAlignment="true" applyBorder="false" applyFill="true" applyFont="true" applyNumberFormat="false" applyProtection="false" borderId="135" fillId="393" fontId="7" numFmtId="0" xfId="0">
      <alignment horizontal="center" vertical="center"/>
    </xf>
    <xf applyAlignment="true" applyBorder="false" applyFill="true" applyFont="true" applyNumberFormat="false" applyProtection="false" borderId="135" fillId="393" fontId="7" numFmtId="0" xfId="0">
      <alignment horizontal="center" vertical="center" wrapText="true"/>
    </xf>
    <xf applyAlignment="true" applyBorder="false" applyFill="true" applyFont="true" applyNumberFormat="false" applyProtection="false" borderId="136" fillId="393" fontId="7" numFmtId="0" xfId="0">
      <alignment horizontal="center" vertical="center"/>
    </xf>
    <xf applyAlignment="true" applyBorder="false" applyFill="true" applyFont="true" applyNumberFormat="true" applyProtection="false" borderId="149" fillId="394" fontId="1" numFmtId="200" xfId="0">
      <alignment horizontal="left" vertical="center" wrapText="true"/>
    </xf>
    <xf applyAlignment="true" applyBorder="false" applyFill="true" applyFont="true" applyNumberFormat="true" applyProtection="false" borderId="149" fillId="394" fontId="1" numFmtId="200" xfId="0">
      <alignment horizontal="center" vertical="center" wrapText="true"/>
    </xf>
    <xf applyAlignment="true" applyBorder="false" applyFill="true" applyFont="true" applyNumberFormat="true" applyProtection="false" borderId="149" fillId="394" fontId="1" numFmtId="200" xfId="0">
      <alignment horizontal="center" vertical="center" wrapText="true"/>
    </xf>
    <xf applyAlignment="true" applyBorder="false" applyFill="true" applyFont="true" applyNumberFormat="false" applyProtection="false" borderId="0" fillId="395" fontId="5" numFmtId="0" xfId="0">
      <alignment horizontal="center" vertical="center"/>
    </xf>
    <xf applyAlignment="true" applyBorder="false" applyFill="true" applyFont="true" applyNumberFormat="false" applyProtection="false" borderId="0" fillId="395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0" fillId="396" fontId="2" numFmtId="200" xfId="0">
      <alignment horizontal="center" vertical="center"/>
    </xf>
    <xf applyAlignment="true" applyBorder="false" applyFill="true" applyFont="true" applyNumberFormat="true" applyProtection="false" borderId="0" fillId="396" fontId="2" numFmtId="200" xfId="0">
      <alignment horizontal="center" vertical="center"/>
    </xf>
    <xf applyAlignment="true" applyBorder="false" applyFill="true" applyFont="true" applyNumberFormat="true" applyProtection="false" borderId="149" fillId="397" fontId="3" numFmtId="200" xfId="0">
      <alignment horizontal="center" vertical="center" wrapText="true"/>
    </xf>
    <xf applyAlignment="true" applyBorder="false" applyFill="true" applyFont="true" applyNumberFormat="true" applyProtection="false" borderId="149" fillId="397" fontId="3" numFmtId="200" xfId="0">
      <alignment horizontal="center" vertical="center" wrapText="true"/>
    </xf>
    <xf applyAlignment="true" applyBorder="false" applyFill="true" applyFont="true" applyNumberFormat="true" applyProtection="false" borderId="150" fillId="397" fontId="3" numFmtId="200" xfId="0">
      <alignment horizontal="center" vertical="center" wrapText="true"/>
    </xf>
    <xf applyAlignment="true" applyBorder="false" applyFill="true" applyFont="true" applyNumberFormat="true" applyProtection="false" borderId="151" fillId="395" fontId="4" numFmtId="201" xfId="0">
      <alignment horizontal="center" vertical="center"/>
    </xf>
    <xf applyAlignment="true" applyBorder="false" applyFill="true" applyFont="true" applyNumberFormat="true" applyProtection="false" borderId="151" fillId="395" fontId="4" numFmtId="201" xfId="0">
      <alignment horizontal="center" vertical="center"/>
    </xf>
    <xf applyAlignment="true" applyBorder="false" applyFill="true" applyFont="true" applyNumberFormat="true" applyProtection="false" borderId="152" fillId="395" fontId="4" numFmtId="201" xfId="0">
      <alignment horizontal="center" vertical="center"/>
    </xf>
    <xf applyAlignment="true" applyBorder="false" applyFill="true" applyFont="true" applyNumberFormat="false" applyProtection="false" borderId="150" fillId="395" fontId="5" numFmtId="0" xfId="0">
      <alignment horizontal="center" vertical="center"/>
    </xf>
    <xf applyAlignment="true" applyBorder="false" applyFill="true" applyFont="true" applyNumberFormat="false" applyProtection="false" borderId="153" fillId="395" fontId="5" numFmtId="0" xfId="0">
      <alignment horizontal="center" vertical="center"/>
    </xf>
    <xf applyAlignment="true" applyBorder="false" applyFill="false" applyFont="true" applyNumberFormat="true" applyProtection="false" borderId="151" fillId="0" fontId="5" numFmtId="202" xfId="0">
      <alignment horizontal="center" vertical="center"/>
    </xf>
    <xf applyAlignment="true" applyBorder="false" applyFill="true" applyFont="true" applyNumberFormat="false" applyProtection="false" borderId="152" fillId="395" fontId="5" numFmtId="0" xfId="0">
      <alignment horizontal="center" vertical="center" wrapText="true"/>
    </xf>
    <xf applyAlignment="true" applyBorder="false" applyFill="false" applyFont="true" applyNumberFormat="false" applyProtection="false" borderId="150" fillId="0" fontId="5" numFmtId="0" xfId="0">
      <alignment horizontal="center" vertical="center"/>
    </xf>
    <xf applyAlignment="true" applyBorder="false" applyFill="true" applyFont="true" applyNumberFormat="false" applyProtection="false" borderId="150" fillId="395" fontId="5" numFmtId="0" xfId="0">
      <alignment horizontal="center" vertical="center"/>
    </xf>
    <xf applyAlignment="true" applyBorder="false" applyFill="true" applyFont="true" applyNumberFormat="true" applyProtection="false" borderId="154" fillId="395" fontId="4" numFmtId="201" xfId="0">
      <alignment horizontal="center" vertical="center"/>
    </xf>
    <xf applyAlignment="true" applyBorder="false" applyFill="true" applyFont="true" applyNumberFormat="true" applyProtection="false" borderId="155" fillId="395" fontId="4" numFmtId="201" xfId="0">
      <alignment horizontal="center" vertical="center"/>
    </xf>
    <xf applyAlignment="true" applyBorder="false" applyFill="true" applyFont="true" applyNumberFormat="true" applyProtection="false" borderId="150" fillId="395" fontId="4" numFmtId="201" xfId="0">
      <alignment horizontal="center" vertical="center"/>
    </xf>
    <xf applyAlignment="true" applyBorder="false" applyFill="true" applyFont="true" applyNumberFormat="true" applyProtection="false" borderId="155" fillId="397" fontId="3" numFmtId="200" xfId="0">
      <alignment horizontal="center" vertical="center" wrapText="true"/>
    </xf>
    <xf applyAlignment="true" applyBorder="false" applyFill="true" applyFont="true" applyNumberFormat="true" applyProtection="false" borderId="150" fillId="397" fontId="7" numFmtId="200" xfId="0">
      <alignment horizontal="center" vertical="center" wrapText="true"/>
    </xf>
    <xf applyAlignment="true" applyBorder="false" applyFill="true" applyFont="true" applyNumberFormat="true" applyProtection="false" borderId="150" fillId="397" fontId="7" numFmtId="201" xfId="0">
      <alignment horizontal="center" vertical="center"/>
    </xf>
    <xf applyAlignment="true" applyBorder="false" applyFill="true" applyFont="true" applyNumberFormat="false" applyProtection="false" borderId="150" fillId="397" fontId="7" numFmtId="0" xfId="0">
      <alignment horizontal="center" vertical="center"/>
    </xf>
    <xf applyAlignment="true" applyBorder="false" applyFill="true" applyFont="true" applyNumberFormat="false" applyProtection="false" borderId="153" fillId="397" fontId="7" numFmtId="0" xfId="0">
      <alignment horizontal="center" vertical="center"/>
    </xf>
    <xf applyAlignment="true" applyBorder="false" applyFill="true" applyFont="true" applyNumberFormat="false" applyProtection="false" borderId="152" fillId="397" fontId="7" numFmtId="0" xfId="0">
      <alignment horizontal="center" vertical="center" wrapText="true"/>
    </xf>
    <xf applyAlignment="true" applyBorder="false" applyFill="true" applyFont="true" applyNumberFormat="true" applyProtection="false" borderId="150" fillId="395" fontId="4" numFmtId="201" xfId="0">
      <alignment horizontal="center" vertical="center"/>
    </xf>
    <xf applyAlignment="true" applyBorder="false" applyFill="true" applyFont="true" applyNumberFormat="false" applyProtection="false" borderId="153" fillId="395" fontId="5" numFmtId="0" xfId="0">
      <alignment horizontal="center" vertical="center"/>
    </xf>
    <xf applyAlignment="true" applyBorder="false" applyFill="false" applyFont="true" applyNumberFormat="true" applyProtection="false" borderId="150" fillId="0" fontId="5" numFmtId="202" xfId="0">
      <alignment horizontal="center" vertical="center"/>
    </xf>
    <xf applyAlignment="true" applyBorder="false" applyFill="false" applyFont="true" applyNumberFormat="false" applyProtection="false" borderId="152" fillId="0" fontId="5" numFmtId="0" xfId="0">
      <alignment horizontal="center" vertical="center" wrapText="true"/>
    </xf>
    <xf applyAlignment="true" applyBorder="false" applyFill="true" applyFont="true" applyNumberFormat="true" applyProtection="false" borderId="150" fillId="398" fontId="3" numFmtId="200" xfId="0">
      <alignment horizontal="center" vertical="center" wrapText="true"/>
    </xf>
    <xf applyAlignment="true" applyBorder="false" applyFill="true" applyFont="true" applyNumberFormat="true" applyProtection="false" borderId="150" fillId="398" fontId="7" numFmtId="200" xfId="0">
      <alignment horizontal="center" vertical="center" wrapText="true"/>
    </xf>
    <xf applyAlignment="true" applyBorder="false" applyFill="true" applyFont="true" applyNumberFormat="true" applyProtection="false" borderId="150" fillId="398" fontId="7" numFmtId="201" xfId="0">
      <alignment horizontal="center" vertical="center"/>
    </xf>
    <xf applyAlignment="true" applyBorder="false" applyFill="true" applyFont="true" applyNumberFormat="false" applyProtection="false" borderId="150" fillId="398" fontId="7" numFmtId="0" xfId="0">
      <alignment horizontal="center" vertical="center"/>
    </xf>
    <xf applyAlignment="true" applyBorder="false" applyFill="true" applyFont="true" applyNumberFormat="false" applyProtection="false" borderId="150" fillId="398" fontId="7" numFmtId="0" xfId="0">
      <alignment horizontal="center" vertical="center" wrapText="true"/>
    </xf>
    <xf applyAlignment="true" applyBorder="false" applyFill="true" applyFont="true" applyNumberFormat="false" applyProtection="false" borderId="150" fillId="395" fontId="5" numFmtId="0" xfId="0">
      <alignment horizontal="center" vertical="center" wrapText="true"/>
    </xf>
    <xf applyAlignment="true" applyBorder="false" applyFill="true" applyFont="true" applyNumberFormat="false" applyProtection="false" borderId="149" fillId="395" fontId="5" numFmtId="0" xfId="0">
      <alignment horizontal="center" vertical="center"/>
    </xf>
    <xf applyAlignment="true" applyBorder="false" applyFill="true" applyFont="true" applyNumberFormat="true" applyProtection="false" borderId="150" fillId="399" fontId="4" numFmtId="201" xfId="0">
      <alignment horizontal="center" vertical="center"/>
    </xf>
    <xf applyAlignment="true" applyBorder="false" applyFill="true" applyFont="true" applyNumberFormat="true" applyProtection="false" borderId="150" fillId="399" fontId="4" numFmtId="201" xfId="0">
      <alignment horizontal="center" vertical="center"/>
    </xf>
    <xf applyAlignment="true" applyBorder="false" applyFill="true" applyFont="true" applyNumberFormat="false" applyProtection="false" borderId="150" fillId="399" fontId="5" numFmtId="0" xfId="0">
      <alignment horizontal="center" vertical="center"/>
    </xf>
    <xf applyAlignment="true" applyBorder="false" applyFill="true" applyFont="true" applyNumberFormat="false" applyProtection="false" borderId="150" fillId="399" fontId="5" numFmtId="0" xfId="0">
      <alignment horizontal="center" vertical="center"/>
    </xf>
    <xf applyAlignment="true" applyBorder="false" applyFill="true" applyFont="true" applyNumberFormat="false" applyProtection="false" borderId="150" fillId="399" fontId="5" numFmtId="0" xfId="0">
      <alignment horizontal="center" vertical="center" wrapText="true"/>
    </xf>
    <xf applyAlignment="true" applyBorder="false" applyFill="true" applyFont="true" applyNumberFormat="false" applyProtection="false" borderId="150" fillId="395" fontId="5" numFmtId="0" xfId="0">
      <alignment horizontal="center" vertical="center" wrapText="true"/>
    </xf>
    <xf applyAlignment="true" applyBorder="false" applyFill="true" applyFont="true" applyNumberFormat="false" applyProtection="false" borderId="151" fillId="400" fontId="9" numFmtId="0" xfId="0">
      <alignment horizontal="center" vertical="center"/>
    </xf>
    <xf applyAlignment="true" applyBorder="false" applyFill="true" applyFont="true" applyNumberFormat="true" applyProtection="false" borderId="151" fillId="400" fontId="3" numFmtId="200" xfId="0">
      <alignment horizontal="center" vertical="center" wrapText="true"/>
    </xf>
    <xf applyAlignment="true" applyBorder="false" applyFill="true" applyFont="true" applyNumberFormat="false" applyProtection="false" borderId="0" fillId="395" fontId="15" numFmtId="0" xfId="0">
      <alignment horizontal="center" vertical="center"/>
    </xf>
    <xf applyAlignment="true" applyBorder="false" applyFill="true" applyFont="true" applyNumberFormat="false" applyProtection="false" borderId="151" fillId="400" fontId="7" numFmtId="0" xfId="0">
      <alignment horizontal="center" vertical="center"/>
    </xf>
    <xf applyAlignment="true" applyBorder="false" applyFill="true" applyFont="true" applyNumberFormat="true" applyProtection="false" borderId="151" fillId="400" fontId="7" numFmtId="201" xfId="0">
      <alignment horizontal="center" vertical="center"/>
    </xf>
    <xf applyAlignment="true" applyBorder="false" applyFill="true" applyFont="true" applyNumberFormat="false" applyProtection="false" borderId="151" fillId="400" fontId="7" numFmtId="0" xfId="0">
      <alignment horizontal="center" vertical="center" wrapText="true"/>
    </xf>
    <xf applyAlignment="true" applyBorder="false" applyFill="true" applyFont="true" applyNumberFormat="true" applyProtection="false" borderId="151" fillId="395" fontId="5" numFmtId="203" xfId="0">
      <alignment horizontal="center" vertical="center"/>
    </xf>
    <xf applyAlignment="true" applyBorder="false" applyFill="true" applyFont="true" applyNumberFormat="false" applyProtection="false" borderId="151" fillId="395" fontId="5" numFmtId="0" xfId="0">
      <alignment horizontal="center" vertical="center"/>
    </xf>
    <xf applyAlignment="true" applyBorder="false" applyFill="true" applyFont="true" applyNumberFormat="false" applyProtection="false" borderId="151" fillId="395" fontId="5" numFmtId="0" xfId="0">
      <alignment horizontal="center" vertical="center" wrapText="true"/>
    </xf>
    <xf applyAlignment="true" applyBorder="false" applyFill="true" applyFont="true" applyNumberFormat="false" applyProtection="false" borderId="151" fillId="401" fontId="5" numFmtId="0" xfId="0">
      <alignment horizontal="center" vertical="center"/>
    </xf>
    <xf applyAlignment="true" applyBorder="false" applyFill="true" applyFont="true" applyNumberFormat="false" applyProtection="false" borderId="151" fillId="395" fontId="5" numFmtId="0" xfId="0">
      <alignment horizontal="center" vertical="center" wrapText="true"/>
    </xf>
    <xf applyAlignment="true" applyBorder="false" applyFill="true" applyFont="true" applyNumberFormat="true" applyProtection="false" borderId="151" fillId="402" fontId="5" numFmtId="203" xfId="0">
      <alignment horizontal="center" vertical="center"/>
    </xf>
    <xf applyAlignment="true" applyBorder="false" applyFill="true" applyFont="true" applyNumberFormat="false" applyProtection="false" borderId="0" fillId="395" fontId="8" numFmtId="0" xfId="0">
      <alignment horizontal="center" vertical="center"/>
    </xf>
    <xf applyAlignment="true" applyBorder="false" applyFill="false" applyFont="true" applyNumberFormat="false" applyProtection="false" borderId="151" fillId="0" fontId="5" numFmtId="0" xfId="0">
      <alignment horizontal="center" vertical="center"/>
    </xf>
    <xf applyAlignment="true" applyBorder="false" applyFill="true" applyFont="true" applyNumberFormat="false" applyProtection="false" borderId="151" fillId="403" fontId="9" numFmtId="0" xfId="0">
      <alignment horizontal="center" vertical="center"/>
    </xf>
    <xf applyAlignment="true" applyBorder="false" applyFill="true" applyFont="true" applyNumberFormat="true" applyProtection="false" borderId="151" fillId="403" fontId="3" numFmtId="200" xfId="0">
      <alignment horizontal="center" vertical="center" wrapText="true"/>
    </xf>
    <xf applyAlignment="true" applyBorder="false" applyFill="true" applyFont="true" applyNumberFormat="false" applyProtection="false" borderId="151" fillId="403" fontId="7" numFmtId="0" xfId="0">
      <alignment horizontal="center" vertical="center"/>
    </xf>
    <xf applyAlignment="true" applyBorder="false" applyFill="true" applyFont="true" applyNumberFormat="true" applyProtection="false" borderId="151" fillId="403" fontId="7" numFmtId="201" xfId="0">
      <alignment horizontal="center" vertical="center"/>
    </xf>
    <xf applyAlignment="true" applyBorder="false" applyFill="true" applyFont="true" applyNumberFormat="false" applyProtection="false" borderId="151" fillId="403" fontId="7" numFmtId="0" xfId="0">
      <alignment horizontal="center" vertical="center" wrapText="true"/>
    </xf>
    <xf applyAlignment="true" applyBorder="false" applyFill="true" applyFont="true" applyNumberFormat="true" applyProtection="false" borderId="151" fillId="404" fontId="4" numFmtId="201" xfId="0">
      <alignment horizontal="center" vertical="center"/>
    </xf>
    <xf applyAlignment="true" applyBorder="false" applyFill="true" applyFont="true" applyNumberFormat="true" applyProtection="false" borderId="151" fillId="404" fontId="4" numFmtId="201" xfId="0">
      <alignment horizontal="center" vertical="center"/>
    </xf>
    <xf applyAlignment="true" applyBorder="false" applyFill="true" applyFont="true" applyNumberFormat="true" applyProtection="false" borderId="151" fillId="404" fontId="5" numFmtId="203" xfId="0">
      <alignment horizontal="center" vertical="center"/>
    </xf>
    <xf applyAlignment="true" applyBorder="false" applyFill="true" applyFont="true" applyNumberFormat="false" applyProtection="false" borderId="151" fillId="404" fontId="5" numFmtId="0" xfId="0">
      <alignment horizontal="center" vertical="center"/>
    </xf>
    <xf applyAlignment="true" applyBorder="false" applyFill="true" applyFont="true" applyNumberFormat="false" applyProtection="false" borderId="151" fillId="404" fontId="5" numFmtId="0" xfId="0">
      <alignment horizontal="center" vertical="center" wrapText="true"/>
    </xf>
    <xf applyAlignment="true" applyBorder="false" applyFill="true" applyFont="true" applyNumberFormat="false" applyProtection="false" borderId="151" fillId="395" fontId="5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151" fillId="404" fontId="5" numFmtId="0" xfId="0">
      <alignment horizontal="center" vertical="center" wrapText="true"/>
    </xf>
    <xf applyAlignment="true" applyBorder="false" applyFill="true" applyFont="true" applyNumberFormat="true" applyProtection="false" borderId="150" fillId="405" fontId="3" numFmtId="200" xfId="0">
      <alignment horizontal="center" vertical="center" wrapText="true"/>
    </xf>
    <xf applyAlignment="true" applyBorder="false" applyFill="true" applyFont="true" applyNumberFormat="true" applyProtection="false" borderId="150" fillId="405" fontId="10" numFmtId="200" xfId="0">
      <alignment horizontal="center" vertical="center" wrapText="true"/>
    </xf>
    <xf applyAlignment="true" applyBorder="false" applyFill="true" applyFont="true" applyNumberFormat="true" applyProtection="false" borderId="149" fillId="405" fontId="7" numFmtId="200" xfId="0">
      <alignment horizontal="center" vertical="center" wrapText="true"/>
    </xf>
    <xf applyAlignment="true" applyBorder="false" applyFill="true" applyFont="true" applyNumberFormat="true" applyProtection="false" borderId="149" fillId="405" fontId="7" numFmtId="201" xfId="0">
      <alignment horizontal="center" vertical="center"/>
    </xf>
    <xf applyAlignment="true" applyBorder="false" applyFill="true" applyFont="true" applyNumberFormat="false" applyProtection="false" borderId="149" fillId="405" fontId="7" numFmtId="0" xfId="0">
      <alignment horizontal="center" vertical="center"/>
    </xf>
    <xf applyAlignment="true" applyBorder="false" applyFill="true" applyFont="true" applyNumberFormat="false" applyProtection="false" borderId="149" fillId="405" fontId="7" numFmtId="0" xfId="0">
      <alignment horizontal="center" vertical="center" wrapText="true"/>
    </xf>
    <xf applyAlignment="true" applyBorder="false" applyFill="false" applyFont="true" applyNumberFormat="true" applyProtection="false" borderId="150" fillId="0" fontId="5" numFmtId="201" xfId="0">
      <alignment horizontal="center" vertical="center"/>
    </xf>
    <xf applyAlignment="true" applyBorder="false" applyFill="false" applyFont="true" applyNumberFormat="false" applyProtection="false" borderId="150" fillId="0" fontId="5" numFmtId="0" xfId="0">
      <alignment horizontal="center" vertical="center"/>
    </xf>
    <xf applyAlignment="true" applyBorder="false" applyFill="false" applyFont="true" applyNumberFormat="false" applyProtection="false" borderId="150" fillId="0" fontId="8" numFmtId="0" xfId="0">
      <alignment horizontal="center" vertical="center" wrapText="true"/>
    </xf>
    <xf applyAlignment="true" applyBorder="false" applyFill="false" applyFont="true" applyNumberFormat="false" applyProtection="false" borderId="150" fillId="0" fontId="8" numFmtId="0" xfId="0">
      <alignment vertical="center"/>
    </xf>
    <xf applyAlignment="true" applyBorder="false" applyFill="true" applyFont="true" applyNumberFormat="true" applyProtection="false" borderId="150" fillId="395" fontId="5" numFmtId="201" xfId="0">
      <alignment horizontal="center" vertical="center"/>
    </xf>
    <xf applyAlignment="true" applyBorder="false" applyFill="true" applyFont="true" applyNumberFormat="false" applyProtection="false" borderId="150" fillId="395" fontId="8" numFmtId="0" xfId="0">
      <alignment horizontal="center" vertical="center" wrapText="true"/>
    </xf>
    <xf applyAlignment="true" applyBorder="false" applyFill="true" applyFont="true" applyNumberFormat="false" applyProtection="false" borderId="150" fillId="395" fontId="8" numFmtId="0" xfId="0">
      <alignment vertical="center"/>
    </xf>
    <xf applyAlignment="true" applyBorder="false" applyFill="false" applyFont="true" applyNumberFormat="false" applyProtection="false" borderId="150" fillId="0" fontId="8" numFmtId="0" xfId="0">
      <alignment horizontal="center" vertical="center" wrapText="true"/>
    </xf>
    <xf applyAlignment="true" applyBorder="false" applyFill="false" applyFont="true" applyNumberFormat="false" applyProtection="false" borderId="150" fillId="0" fontId="8" numFmtId="0" xfId="0">
      <alignment vertical="center"/>
    </xf>
    <xf applyAlignment="true" applyBorder="false" applyFill="true" applyFont="true" applyNumberFormat="true" applyProtection="false" borderId="149" fillId="399" fontId="3" numFmtId="200" xfId="0">
      <alignment horizontal="center" vertical="center" wrapText="true"/>
    </xf>
    <xf applyAlignment="true" applyBorder="false" applyFill="true" applyFont="true" applyNumberFormat="true" applyProtection="false" borderId="156" fillId="399" fontId="7" numFmtId="200" xfId="0">
      <alignment horizontal="center" vertical="center" wrapText="true"/>
    </xf>
    <xf applyAlignment="true" applyBorder="false" applyFill="true" applyFont="true" applyNumberFormat="true" applyProtection="false" borderId="150" fillId="399" fontId="7" numFmtId="201" xfId="0">
      <alignment horizontal="center" vertical="center"/>
    </xf>
    <xf applyAlignment="true" applyBorder="false" applyFill="true" applyFont="true" applyNumberFormat="false" applyProtection="false" borderId="157" fillId="399" fontId="7" numFmtId="0" xfId="0">
      <alignment horizontal="center" vertical="center"/>
    </xf>
    <xf applyAlignment="true" applyBorder="false" applyFill="true" applyFont="true" applyNumberFormat="false" applyProtection="false" borderId="149" fillId="399" fontId="7" numFmtId="0" xfId="0">
      <alignment horizontal="center" vertical="center"/>
    </xf>
    <xf applyAlignment="true" applyBorder="false" applyFill="true" applyFont="true" applyNumberFormat="false" applyProtection="false" borderId="149" fillId="399" fontId="7" numFmtId="0" xfId="0">
      <alignment horizontal="center" vertical="center" wrapText="true"/>
    </xf>
    <xf applyAlignment="true" applyBorder="false" applyFill="true" applyFont="true" applyNumberFormat="false" applyProtection="false" borderId="156" fillId="399" fontId="7" numFmtId="0" xfId="0">
      <alignment horizontal="center" vertical="center"/>
    </xf>
    <xf applyAlignment="true" applyBorder="false" applyFill="true" applyFont="true" applyNumberFormat="false" applyProtection="false" borderId="150" fillId="399" fontId="7" numFmtId="0" xfId="0">
      <alignment horizontal="center" vertical="center"/>
    </xf>
    <xf applyAlignment="true" applyBorder="false" applyFill="false" applyFont="true" applyNumberFormat="false" applyProtection="false" borderId="150" fillId="0" fontId="5" numFmtId="0" xfId="0">
      <alignment horizontal="center" vertical="center" wrapText="true"/>
    </xf>
    <xf applyAlignment="true" applyBorder="false" applyFill="false" applyFont="true" applyNumberFormat="false" applyProtection="false" borderId="155" fillId="0" fontId="5" numFmtId="0" xfId="0">
      <alignment horizontal="center" vertical="center"/>
    </xf>
    <xf applyAlignment="true" applyBorder="false" applyFill="false" applyFont="true" applyNumberFormat="false" applyProtection="false" borderId="155" fillId="0" fontId="5" numFmtId="0" xfId="0">
      <alignment horizontal="center" vertical="center"/>
    </xf>
    <xf applyAlignment="true" applyBorder="false" applyFill="true" applyFont="true" applyNumberFormat="true" applyProtection="false" borderId="150" fillId="395" fontId="5" numFmtId="202" xfId="0">
      <alignment horizontal="center" vertical="center"/>
    </xf>
    <xf applyAlignment="true" applyBorder="false" applyFill="false" applyFont="true" applyNumberFormat="false" applyProtection="false" borderId="150" fillId="0" fontId="5" numFmtId="0" xfId="0">
      <alignment horizontal="center" vertical="center" wrapText="true"/>
    </xf>
    <xf applyAlignment="true" applyBorder="false" applyFill="true" applyFont="true" applyNumberFormat="true" applyProtection="false" borderId="149" fillId="406" fontId="3" numFmtId="200" xfId="0">
      <alignment horizontal="center" vertical="center" wrapText="true"/>
    </xf>
    <xf applyAlignment="true" applyBorder="false" applyFill="true" applyFont="true" applyNumberFormat="true" applyProtection="false" borderId="156" fillId="406" fontId="7" numFmtId="200" xfId="0">
      <alignment horizontal="center" vertical="center" wrapText="true"/>
    </xf>
    <xf applyAlignment="true" applyBorder="false" applyFill="true" applyFont="true" applyNumberFormat="true" applyProtection="false" borderId="150" fillId="406" fontId="7" numFmtId="201" xfId="0">
      <alignment horizontal="center" vertical="center"/>
    </xf>
    <xf applyAlignment="true" applyBorder="false" applyFill="true" applyFont="true" applyNumberFormat="false" applyProtection="false" borderId="157" fillId="406" fontId="7" numFmtId="0" xfId="0">
      <alignment horizontal="center" vertical="center"/>
    </xf>
    <xf applyAlignment="true" applyBorder="false" applyFill="true" applyFont="true" applyNumberFormat="false" applyProtection="false" borderId="149" fillId="406" fontId="7" numFmtId="0" xfId="0">
      <alignment horizontal="center" vertical="center"/>
    </xf>
    <xf applyAlignment="true" applyBorder="false" applyFill="true" applyFont="true" applyNumberFormat="false" applyProtection="false" borderId="149" fillId="406" fontId="7" numFmtId="0" xfId="0">
      <alignment horizontal="center" vertical="center" wrapText="true"/>
    </xf>
    <xf applyAlignment="true" applyBorder="false" applyFill="true" applyFont="true" applyNumberFormat="false" applyProtection="false" borderId="156" fillId="406" fontId="7" numFmtId="0" xfId="0">
      <alignment horizontal="center" vertical="center"/>
    </xf>
    <xf applyAlignment="true" applyBorder="false" applyFill="true" applyFont="true" applyNumberFormat="false" applyProtection="false" borderId="150" fillId="406" fontId="7" numFmtId="0" xfId="0">
      <alignment horizontal="center" vertical="center"/>
    </xf>
    <xf applyAlignment="true" applyBorder="false" applyFill="true" applyFont="true" applyNumberFormat="true" applyProtection="false" borderId="149" fillId="407" fontId="3" numFmtId="200" xfId="0">
      <alignment horizontal="center" vertical="center" wrapText="true"/>
    </xf>
    <xf applyAlignment="true" applyBorder="false" applyFill="true" applyFont="true" applyNumberFormat="false" applyProtection="false" borderId="0" fillId="407" fontId="15" numFmtId="0" xfId="0">
      <alignment horizontal="center" vertical="center"/>
    </xf>
    <xf applyAlignment="true" applyBorder="false" applyFill="true" applyFont="true" applyNumberFormat="false" applyProtection="false" borderId="0" fillId="407" fontId="5" numFmtId="0" xfId="0">
      <alignment horizontal="center" vertical="center"/>
    </xf>
    <xf applyAlignment="true" applyBorder="false" applyFill="true" applyFont="true" applyNumberFormat="false" applyProtection="false" borderId="0" fillId="407" fontId="8" numFmtId="0" xfId="0">
      <alignment vertical="center"/>
    </xf>
    <xf applyAlignment="true" applyBorder="false" applyFill="true" applyFont="true" applyNumberFormat="true" applyProtection="false" borderId="156" fillId="407" fontId="7" numFmtId="200" xfId="0">
      <alignment horizontal="center" vertical="center" wrapText="true"/>
    </xf>
    <xf applyAlignment="true" applyBorder="false" applyFill="true" applyFont="true" applyNumberFormat="true" applyProtection="false" borderId="150" fillId="407" fontId="7" numFmtId="201" xfId="0">
      <alignment horizontal="center" vertical="center"/>
    </xf>
    <xf applyAlignment="true" applyBorder="false" applyFill="true" applyFont="true" applyNumberFormat="false" applyProtection="false" borderId="157" fillId="407" fontId="7" numFmtId="0" xfId="0">
      <alignment horizontal="center" vertical="center"/>
    </xf>
    <xf applyAlignment="true" applyBorder="false" applyFill="true" applyFont="true" applyNumberFormat="false" applyProtection="false" borderId="149" fillId="407" fontId="7" numFmtId="0" xfId="0">
      <alignment horizontal="center" vertical="center"/>
    </xf>
    <xf applyAlignment="true" applyBorder="false" applyFill="true" applyFont="true" applyNumberFormat="false" applyProtection="false" borderId="149" fillId="407" fontId="7" numFmtId="0" xfId="0">
      <alignment horizontal="center" vertical="center" wrapText="true"/>
    </xf>
    <xf applyAlignment="true" applyBorder="false" applyFill="true" applyFont="true" applyNumberFormat="false" applyProtection="false" borderId="156" fillId="407" fontId="7" numFmtId="0" xfId="0">
      <alignment horizontal="center" vertical="center"/>
    </xf>
    <xf applyAlignment="true" applyBorder="false" applyFill="true" applyFont="true" applyNumberFormat="false" applyProtection="false" borderId="150" fillId="407" fontId="7" numFmtId="0" xfId="0">
      <alignment horizontal="center" vertical="center"/>
    </xf>
    <xf applyAlignment="true" applyBorder="false" applyFill="true" applyFont="true" applyNumberFormat="true" applyProtection="false" borderId="155" fillId="401" fontId="5" numFmtId="202" xfId="0">
      <alignment horizontal="center" vertical="center"/>
    </xf>
    <xf applyAlignment="true" applyBorder="false" applyFill="false" applyFont="true" applyNumberFormat="false" applyProtection="false" borderId="150" fillId="0" fontId="5" numFmtId="0" xfId="0">
      <alignment horizontal="center" vertical="center" wrapText="true"/>
    </xf>
    <xf applyAlignment="true" applyBorder="false" applyFill="false" applyFont="true" applyNumberFormat="false" applyProtection="false" borderId="149" fillId="0" fontId="5" numFmtId="0" xfId="0">
      <alignment horizontal="center" vertical="center"/>
    </xf>
    <xf applyAlignment="true" applyBorder="false" applyFill="false" applyFont="true" applyNumberFormat="false" applyProtection="false" borderId="149" fillId="0" fontId="5" numFmtId="0" xfId="0">
      <alignment horizontal="center" vertical="center" wrapText="true"/>
    </xf>
    <xf applyAlignment="true" applyBorder="false" applyFill="true" applyFont="true" applyNumberFormat="true" applyProtection="false" borderId="149" fillId="408" fontId="3" numFmtId="200" xfId="0">
      <alignment horizontal="center" vertical="center" wrapText="true"/>
    </xf>
    <xf applyAlignment="true" applyBorder="false" applyFill="true" applyFont="true" applyNumberFormat="true" applyProtection="false" borderId="154" fillId="408" fontId="3" numFmtId="200" xfId="0">
      <alignment horizontal="center" vertical="center" wrapText="true"/>
    </xf>
    <xf applyAlignment="true" applyBorder="false" applyFill="true" applyFont="true" applyNumberFormat="true" applyProtection="false" borderId="156" fillId="408" fontId="7" numFmtId="200" xfId="0">
      <alignment horizontal="center" vertical="center" wrapText="true"/>
    </xf>
    <xf applyAlignment="true" applyBorder="false" applyFill="true" applyFont="true" applyNumberFormat="true" applyProtection="false" borderId="150" fillId="408" fontId="7" numFmtId="201" xfId="0">
      <alignment horizontal="center" vertical="center"/>
    </xf>
    <xf applyAlignment="true" applyBorder="false" applyFill="true" applyFont="true" applyNumberFormat="false" applyProtection="false" borderId="157" fillId="408" fontId="7" numFmtId="0" xfId="0">
      <alignment horizontal="center" vertical="center"/>
    </xf>
    <xf applyAlignment="true" applyBorder="false" applyFill="true" applyFont="true" applyNumberFormat="false" applyProtection="false" borderId="149" fillId="408" fontId="7" numFmtId="0" xfId="0">
      <alignment horizontal="center" vertical="center"/>
    </xf>
    <xf applyAlignment="true" applyBorder="false" applyFill="true" applyFont="true" applyNumberFormat="false" applyProtection="false" borderId="149" fillId="408" fontId="7" numFmtId="0" xfId="0">
      <alignment horizontal="center" vertical="center" wrapText="true"/>
    </xf>
    <xf applyAlignment="true" applyBorder="false" applyFill="true" applyFont="true" applyNumberFormat="false" applyProtection="false" borderId="156" fillId="408" fontId="7" numFmtId="0" xfId="0">
      <alignment horizontal="center" vertical="center"/>
    </xf>
    <xf applyAlignment="true" applyBorder="false" applyFill="true" applyFont="true" applyNumberFormat="false" applyProtection="false" borderId="150" fillId="408" fontId="7" numFmtId="0" xfId="0">
      <alignment horizontal="center" vertical="center"/>
    </xf>
    <xf applyAlignment="true" applyBorder="false" applyFill="true" applyFont="true" applyNumberFormat="true" applyProtection="false" borderId="150" fillId="397" fontId="3" numFmtId="200" xfId="0">
      <alignment horizontal="center" vertical="center" wrapText="true"/>
    </xf>
    <xf applyAlignment="true" applyBorder="false" applyFill="true" applyFont="true" applyNumberFormat="false" applyProtection="false" borderId="150" fillId="397" fontId="7" numFmtId="0" xfId="0">
      <alignment horizontal="center" vertical="center" wrapText="true"/>
    </xf>
    <xf applyAlignment="true" applyBorder="false" applyFill="true" applyFont="true" applyNumberFormat="true" applyProtection="false" borderId="150" fillId="395" fontId="4" numFmtId="201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150" fillId="409" fontId="10" numFmtId="200" xfId="0">
      <alignment horizontal="center" vertical="center" wrapText="true"/>
    </xf>
    <xf applyAlignment="true" applyBorder="false" applyFill="true" applyFont="true" applyNumberFormat="true" applyProtection="false" borderId="150" fillId="409" fontId="7" numFmtId="200" xfId="0">
      <alignment horizontal="center" vertical="center" wrapText="true"/>
    </xf>
    <xf applyAlignment="true" applyBorder="false" applyFill="true" applyFont="true" applyNumberFormat="true" applyProtection="false" borderId="150" fillId="409" fontId="7" numFmtId="201" xfId="0">
      <alignment horizontal="center" vertical="center"/>
    </xf>
    <xf applyAlignment="true" applyBorder="false" applyFill="true" applyFont="true" applyNumberFormat="false" applyProtection="false" borderId="150" fillId="409" fontId="7" numFmtId="0" xfId="0">
      <alignment horizontal="center" vertical="center"/>
    </xf>
    <xf applyAlignment="true" applyBorder="false" applyFill="true" applyFont="true" applyNumberFormat="false" applyProtection="false" borderId="150" fillId="409" fontId="7" numFmtId="0" xfId="0">
      <alignment horizontal="center" vertical="center" wrapText="true"/>
    </xf>
    <xf applyAlignment="true" applyBorder="false" applyFill="false" applyFont="true" applyNumberFormat="false" applyProtection="false" borderId="150" fillId="0" fontId="5" numFmtId="0" xfId="0">
      <alignment horizontal="center" vertical="center"/>
    </xf>
    <xf applyAlignment="true" applyBorder="false" applyFill="true" applyFont="true" applyNumberFormat="false" applyProtection="false" borderId="150" fillId="401" fontId="5" numFmtId="0" xfId="0">
      <alignment horizontal="center" vertical="center"/>
    </xf>
    <xf applyAlignment="true" applyBorder="false" applyFill="true" applyFont="true" applyNumberFormat="true" applyProtection="false" borderId="150" fillId="395" fontId="15" numFmtId="202" xfId="0">
      <alignment horizontal="center" vertical="center"/>
    </xf>
    <xf applyAlignment="true" applyBorder="false" applyFill="true" applyFont="true" applyNumberFormat="true" applyProtection="false" borderId="150" fillId="410" fontId="7" numFmtId="200" xfId="0">
      <alignment horizontal="center" vertical="center" wrapText="true"/>
    </xf>
    <xf applyAlignment="true" applyBorder="false" applyFill="true" applyFont="true" applyNumberFormat="true" applyProtection="false" borderId="150" fillId="410" fontId="7" numFmtId="201" xfId="0">
      <alignment horizontal="center" vertical="center"/>
    </xf>
    <xf applyAlignment="true" applyBorder="false" applyFill="true" applyFont="true" applyNumberFormat="false" applyProtection="false" borderId="150" fillId="410" fontId="7" numFmtId="0" xfId="0">
      <alignment horizontal="center" vertical="center"/>
    </xf>
    <xf applyAlignment="true" applyBorder="false" applyFill="true" applyFont="true" applyNumberFormat="false" applyProtection="false" borderId="150" fillId="410" fontId="7" numFmtId="0" xfId="0">
      <alignment horizontal="center" vertical="center" wrapText="true"/>
    </xf>
    <xf applyAlignment="true" applyBorder="false" applyFill="true" applyFont="true" applyNumberFormat="true" applyProtection="false" borderId="150" fillId="404" fontId="4" numFmtId="201" xfId="0">
      <alignment horizontal="center" vertical="center"/>
    </xf>
    <xf applyAlignment="true" applyBorder="false" applyFill="true" applyFont="true" applyNumberFormat="true" applyProtection="false" borderId="150" fillId="404" fontId="4" numFmtId="201" xfId="0">
      <alignment horizontal="center" vertical="center"/>
    </xf>
    <xf applyAlignment="true" applyBorder="false" applyFill="true" applyFont="true" applyNumberFormat="false" applyProtection="false" borderId="150" fillId="404" fontId="5" numFmtId="0" xfId="0">
      <alignment horizontal="center" vertical="center"/>
    </xf>
    <xf applyAlignment="true" applyBorder="false" applyFill="true" applyFont="true" applyNumberFormat="false" applyProtection="false" borderId="150" fillId="404" fontId="5" numFmtId="0" xfId="0">
      <alignment horizontal="center" vertical="center"/>
    </xf>
    <xf applyAlignment="true" applyBorder="false" applyFill="true" applyFont="true" applyNumberFormat="true" applyProtection="false" borderId="150" fillId="404" fontId="15" numFmtId="202" xfId="0">
      <alignment horizontal="center" vertical="center"/>
    </xf>
    <xf applyAlignment="true" applyBorder="false" applyFill="true" applyFont="true" applyNumberFormat="false" applyProtection="false" borderId="150" fillId="404" fontId="5" numFmtId="0" xfId="0">
      <alignment horizontal="center" vertical="center" wrapText="true"/>
    </xf>
    <xf applyAlignment="true" applyBorder="false" applyFill="true" applyFont="true" applyNumberFormat="false" applyProtection="false" borderId="0" fillId="404" fontId="5" numFmtId="0" xfId="0">
      <alignment horizontal="center" vertical="center"/>
    </xf>
    <xf applyAlignment="true" applyBorder="false" applyFill="true" applyFont="true" applyNumberFormat="false" applyProtection="false" borderId="0" fillId="404" fontId="8" numFmtId="0" xfId="0">
      <alignment vertical="center"/>
    </xf>
    <xf applyAlignment="true" applyBorder="false" applyFill="true" applyFont="true" applyNumberFormat="true" applyProtection="false" borderId="150" fillId="410" fontId="3" numFmtId="200" xfId="0">
      <alignment horizontal="center" vertical="center" wrapText="true"/>
    </xf>
    <xf applyAlignment="true" applyBorder="false" applyFill="true" applyFont="true" applyNumberFormat="true" applyProtection="false" borderId="150" fillId="410" fontId="3" numFmtId="200" xfId="0">
      <alignment horizontal="center" vertical="center" wrapText="true"/>
    </xf>
    <xf applyAlignment="true" applyBorder="false" applyFill="true" applyFont="true" applyNumberFormat="true" applyProtection="false" borderId="150" fillId="404" fontId="5" numFmtId="202" xfId="0">
      <alignment horizontal="center" vertical="center"/>
    </xf>
    <xf applyAlignment="true" applyBorder="false" applyFill="true" applyFont="true" applyNumberFormat="true" applyProtection="false" borderId="150" fillId="411" fontId="4" numFmtId="201" xfId="0">
      <alignment horizontal="center" vertical="center"/>
    </xf>
    <xf applyAlignment="true" applyBorder="false" applyFill="true" applyFont="true" applyNumberFormat="true" applyProtection="false" borderId="150" fillId="411" fontId="4" numFmtId="201" xfId="0">
      <alignment horizontal="center" vertical="center"/>
    </xf>
    <xf applyAlignment="true" applyBorder="false" applyFill="true" applyFont="true" applyNumberFormat="false" applyProtection="false" borderId="150" fillId="411" fontId="5" numFmtId="0" xfId="0">
      <alignment horizontal="center" vertical="center"/>
    </xf>
    <xf applyAlignment="true" applyBorder="false" applyFill="true" applyFont="true" applyNumberFormat="false" applyProtection="false" borderId="150" fillId="411" fontId="5" numFmtId="0" xfId="0">
      <alignment horizontal="center" vertical="center"/>
    </xf>
    <xf applyAlignment="true" applyBorder="false" applyFill="true" applyFont="true" applyNumberFormat="true" applyProtection="false" borderId="150" fillId="411" fontId="5" numFmtId="202" xfId="0">
      <alignment horizontal="center" vertical="center"/>
    </xf>
    <xf applyAlignment="true" applyBorder="false" applyFill="true" applyFont="true" applyNumberFormat="false" applyProtection="false" borderId="150" fillId="411" fontId="5" numFmtId="0" xfId="0">
      <alignment horizontal="center" vertical="center" wrapText="true"/>
    </xf>
    <xf applyAlignment="true" applyBorder="false" applyFill="true" applyFont="true" applyNumberFormat="false" applyProtection="false" borderId="0" fillId="411" fontId="5" numFmtId="0" xfId="0">
      <alignment horizontal="center" vertical="center"/>
    </xf>
    <xf applyAlignment="true" applyBorder="false" applyFill="true" applyFont="true" applyNumberFormat="false" applyProtection="false" borderId="0" fillId="411" fontId="8" numFmtId="0" xfId="0">
      <alignment vertical="center"/>
    </xf>
    <xf applyAlignment="true" applyBorder="false" applyFill="false" applyFont="true" applyNumberFormat="false" applyProtection="false" borderId="150" fillId="0" fontId="5" numFmtId="0" xfId="0">
      <alignment horizontal="center" vertical="center"/>
    </xf>
    <xf applyAlignment="true" applyBorder="false" applyFill="true" applyFont="true" applyNumberFormat="true" applyProtection="false" borderId="150" fillId="408" fontId="3" numFmtId="200" xfId="0">
      <alignment horizontal="center" vertical="center" wrapText="true"/>
    </xf>
    <xf applyAlignment="true" applyBorder="false" applyFill="true" applyFont="true" applyNumberFormat="true" applyProtection="false" borderId="150" fillId="408" fontId="3" numFmtId="200" xfId="0">
      <alignment horizontal="center" vertical="center" wrapText="true"/>
    </xf>
    <xf applyAlignment="true" applyBorder="false" applyFill="true" applyFont="true" applyNumberFormat="false" applyProtection="false" borderId="0" fillId="408" fontId="5" numFmtId="0" xfId="0">
      <alignment horizontal="center" vertical="center"/>
    </xf>
    <xf applyAlignment="true" applyBorder="false" applyFill="true" applyFont="true" applyNumberFormat="false" applyProtection="false" borderId="0" fillId="408" fontId="8" numFmtId="0" xfId="0">
      <alignment vertical="center"/>
    </xf>
    <xf applyAlignment="true" applyBorder="false" applyFill="true" applyFont="true" applyNumberFormat="true" applyProtection="false" borderId="150" fillId="408" fontId="7" numFmtId="200" xfId="0">
      <alignment horizontal="center" vertical="center" wrapText="true"/>
    </xf>
    <xf applyAlignment="true" applyBorder="false" applyFill="true" applyFont="true" applyNumberFormat="false" applyProtection="false" borderId="150" fillId="408" fontId="7" numFmtId="0" xfId="0">
      <alignment horizontal="center" vertical="center" wrapText="true"/>
    </xf>
    <xf applyAlignment="true" applyBorder="false" applyFill="true" applyFont="true" applyNumberFormat="true" applyProtection="false" borderId="150" fillId="412" fontId="3" numFmtId="200" xfId="0">
      <alignment horizontal="center" vertical="center" wrapText="true"/>
    </xf>
    <xf applyAlignment="true" applyBorder="false" applyFill="true" applyFont="true" applyNumberFormat="false" applyProtection="false" borderId="0" fillId="412" fontId="5" numFmtId="0" xfId="0">
      <alignment horizontal="center" vertical="center"/>
    </xf>
    <xf applyAlignment="true" applyBorder="false" applyFill="true" applyFont="true" applyNumberFormat="false" applyProtection="false" borderId="0" fillId="412" fontId="8" numFmtId="0" xfId="0">
      <alignment vertical="center"/>
    </xf>
    <xf applyAlignment="true" applyBorder="false" applyFill="true" applyFont="true" applyNumberFormat="true" applyProtection="false" borderId="150" fillId="412" fontId="7" numFmtId="200" xfId="0">
      <alignment horizontal="center" vertical="center" wrapText="true"/>
    </xf>
    <xf applyAlignment="true" applyBorder="false" applyFill="true" applyFont="true" applyNumberFormat="true" applyProtection="false" borderId="150" fillId="412" fontId="7" numFmtId="201" xfId="0">
      <alignment horizontal="center" vertical="center"/>
    </xf>
    <xf applyAlignment="true" applyBorder="false" applyFill="true" applyFont="true" applyNumberFormat="false" applyProtection="false" borderId="150" fillId="412" fontId="7" numFmtId="0" xfId="0">
      <alignment horizontal="center" vertical="center"/>
    </xf>
    <xf applyAlignment="true" applyBorder="false" applyFill="true" applyFont="true" applyNumberFormat="false" applyProtection="false" borderId="150" fillId="412" fontId="7" numFmtId="0" xfId="0">
      <alignment horizontal="center" vertical="center" wrapText="true"/>
    </xf>
    <xf applyAlignment="true" applyBorder="false" applyFill="true" applyFont="true" applyNumberFormat="true" applyProtection="false" borderId="150" fillId="401" fontId="4" numFmtId="201" xfId="0">
      <alignment horizontal="center" vertical="center"/>
    </xf>
    <xf applyAlignment="true" applyBorder="false" applyFill="true" applyFont="true" applyNumberFormat="true" applyProtection="false" borderId="150" fillId="401" fontId="4" numFmtId="201" xfId="0">
      <alignment horizontal="center" vertical="center"/>
    </xf>
    <xf applyAlignment="true" applyBorder="false" applyFill="true" applyFont="true" applyNumberFormat="false" applyProtection="false" borderId="150" fillId="401" fontId="5" numFmtId="0" xfId="0">
      <alignment horizontal="center" vertical="center"/>
    </xf>
    <xf applyAlignment="true" applyBorder="false" applyFill="true" applyFont="true" applyNumberFormat="false" applyProtection="false" borderId="150" fillId="401" fontId="5" numFmtId="0" xfId="0">
      <alignment horizontal="center" vertical="center" wrapText="true"/>
    </xf>
    <xf applyAlignment="true" applyBorder="false" applyFill="true" applyFont="true" applyNumberFormat="false" applyProtection="false" borderId="0" fillId="401" fontId="5" numFmtId="0" xfId="0">
      <alignment horizontal="center" vertical="center"/>
    </xf>
    <xf applyAlignment="true" applyBorder="false" applyFill="true" applyFont="true" applyNumberFormat="false" applyProtection="false" borderId="0" fillId="401" fontId="8" numFmtId="0" xfId="0">
      <alignment vertical="center"/>
    </xf>
    <xf applyAlignment="true" applyBorder="false" applyFill="true" applyFont="true" applyNumberFormat="true" applyProtection="false" borderId="150" fillId="413" fontId="3" numFmtId="200" xfId="0">
      <alignment horizontal="center" vertical="center" wrapText="true"/>
    </xf>
    <xf applyAlignment="true" applyBorder="false" applyFill="true" applyFont="true" applyNumberFormat="false" applyProtection="false" borderId="0" fillId="413" fontId="8" numFmtId="0" xfId="0">
      <alignment vertical="center"/>
    </xf>
    <xf applyAlignment="true" applyBorder="false" applyFill="true" applyFont="true" applyNumberFormat="false" applyProtection="false" borderId="0" fillId="413" fontId="8" numFmtId="0" xfId="0">
      <alignment horizontal="center" vertical="center"/>
    </xf>
    <xf applyAlignment="true" applyBorder="false" applyFill="true" applyFont="true" applyNumberFormat="true" applyProtection="false" borderId="150" fillId="414" fontId="7" numFmtId="200" xfId="0">
      <alignment horizontal="center" vertical="center" wrapText="true"/>
    </xf>
    <xf applyAlignment="true" applyBorder="false" applyFill="true" applyFont="true" applyNumberFormat="true" applyProtection="false" borderId="150" fillId="414" fontId="7" numFmtId="201" xfId="0">
      <alignment horizontal="center" vertical="center"/>
    </xf>
    <xf applyAlignment="true" applyBorder="false" applyFill="true" applyFont="true" applyNumberFormat="false" applyProtection="false" borderId="149" fillId="414" fontId="7" numFmtId="0" xfId="0">
      <alignment horizontal="center" vertical="center"/>
    </xf>
    <xf applyAlignment="true" applyBorder="false" applyFill="true" applyFont="true" applyNumberFormat="false" applyProtection="false" borderId="150" fillId="414" fontId="7" numFmtId="0" xfId="0">
      <alignment horizontal="center" vertical="center"/>
    </xf>
    <xf applyAlignment="true" applyBorder="false" applyFill="true" applyFont="true" applyNumberFormat="false" applyProtection="false" borderId="150" fillId="414" fontId="7" numFmtId="0" xfId="0">
      <alignment horizontal="center" vertical="center" wrapText="true"/>
    </xf>
    <xf applyAlignment="true" applyBorder="false" applyFill="true" applyFont="true" applyNumberFormat="true" applyProtection="false" borderId="150" fillId="414" fontId="4" numFmtId="201" xfId="0">
      <alignment horizontal="center" vertical="center"/>
    </xf>
    <xf applyAlignment="true" applyBorder="false" applyFill="true" applyFont="true" applyNumberFormat="true" applyProtection="false" borderId="150" fillId="414" fontId="4" numFmtId="201" xfId="0">
      <alignment horizontal="center" vertical="center"/>
    </xf>
    <xf applyAlignment="true" applyBorder="false" applyFill="true" applyFont="true" applyNumberFormat="false" applyProtection="false" borderId="150" fillId="414" fontId="5" numFmtId="0" xfId="0">
      <alignment horizontal="center" vertical="center"/>
    </xf>
    <xf applyAlignment="true" applyBorder="false" applyFill="true" applyFont="true" applyNumberFormat="false" applyProtection="false" borderId="150" fillId="414" fontId="5" numFmtId="0" xfId="0">
      <alignment horizontal="center" vertical="center"/>
    </xf>
    <xf applyAlignment="true" applyBorder="false" applyFill="true" applyFont="true" applyNumberFormat="false" applyProtection="false" borderId="150" fillId="414" fontId="5" numFmtId="0" xfId="0">
      <alignment horizontal="center" vertical="center" wrapText="true"/>
    </xf>
    <xf applyAlignment="true" applyBorder="false" applyFill="true" applyFont="true" applyNumberFormat="true" applyProtection="false" borderId="149" fillId="415" fontId="3" numFmtId="200" xfId="0">
      <alignment horizontal="center" vertical="center" wrapText="true"/>
    </xf>
    <xf applyAlignment="true" applyBorder="false" applyFill="true" applyFont="true" applyNumberFormat="true" applyProtection="false" borderId="149" fillId="415" fontId="3" numFmtId="200" xfId="0">
      <alignment horizontal="center" vertical="center" wrapText="true"/>
    </xf>
    <xf applyAlignment="true" applyBorder="false" applyFill="true" applyFont="true" applyNumberFormat="true" applyProtection="false" borderId="154" fillId="415" fontId="3" numFmtId="200" xfId="0">
      <alignment horizontal="center" vertical="center" wrapText="true"/>
    </xf>
    <xf applyAlignment="true" applyBorder="false" applyFill="true" applyFont="true" applyNumberFormat="false" applyProtection="false" borderId="0" fillId="415" fontId="8" numFmtId="0" xfId="0">
      <alignment vertical="center"/>
    </xf>
    <xf applyAlignment="true" applyBorder="false" applyFill="true" applyFont="true" applyNumberFormat="true" applyProtection="false" borderId="156" fillId="415" fontId="7" numFmtId="200" xfId="0">
      <alignment horizontal="center" vertical="center" wrapText="true"/>
    </xf>
    <xf applyAlignment="true" applyBorder="false" applyFill="true" applyFont="true" applyNumberFormat="true" applyProtection="false" borderId="150" fillId="415" fontId="7" numFmtId="201" xfId="0">
      <alignment horizontal="center" vertical="center"/>
    </xf>
    <xf applyAlignment="true" applyBorder="false" applyFill="true" applyFont="true" applyNumberFormat="false" applyProtection="false" borderId="157" fillId="415" fontId="7" numFmtId="0" xfId="0">
      <alignment horizontal="center" vertical="center"/>
    </xf>
    <xf applyAlignment="true" applyBorder="false" applyFill="true" applyFont="true" applyNumberFormat="false" applyProtection="false" borderId="149" fillId="415" fontId="7" numFmtId="0" xfId="0">
      <alignment horizontal="center" vertical="center"/>
    </xf>
    <xf applyAlignment="true" applyBorder="false" applyFill="true" applyFont="true" applyNumberFormat="false" applyProtection="false" borderId="149" fillId="415" fontId="7" numFmtId="0" xfId="0">
      <alignment horizontal="center" vertical="center" wrapText="true"/>
    </xf>
    <xf applyAlignment="true" applyBorder="false" applyFill="true" applyFont="true" applyNumberFormat="false" applyProtection="false" borderId="156" fillId="415" fontId="7" numFmtId="0" xfId="0">
      <alignment horizontal="center" vertical="center"/>
    </xf>
    <xf applyAlignment="true" applyBorder="false" applyFill="true" applyFont="true" applyNumberFormat="false" applyProtection="false" borderId="150" fillId="415" fontId="7" numFmtId="0" xfId="0">
      <alignment horizontal="center" vertical="center"/>
    </xf>
    <xf applyAlignment="true" applyBorder="false" applyFill="true" applyFont="true" applyNumberFormat="true" applyProtection="false" borderId="150" fillId="416" fontId="3" numFmtId="200" xfId="0">
      <alignment horizontal="center" vertical="center" wrapText="true"/>
    </xf>
    <xf applyAlignment="true" applyBorder="false" applyFill="true" applyFont="true" applyNumberFormat="false" applyProtection="false" borderId="0" fillId="416" fontId="8" numFmtId="0" xfId="0">
      <alignment vertical="center"/>
    </xf>
    <xf applyAlignment="true" applyBorder="false" applyFill="true" applyFont="true" applyNumberFormat="false" applyProtection="false" borderId="0" fillId="416" fontId="8" numFmtId="0" xfId="0">
      <alignment horizontal="center" vertical="center"/>
    </xf>
    <xf applyAlignment="true" applyBorder="false" applyFill="true" applyFont="true" applyNumberFormat="true" applyProtection="false" borderId="150" fillId="416" fontId="7" numFmtId="200" xfId="0">
      <alignment horizontal="center" vertical="center" wrapText="true"/>
    </xf>
    <xf applyAlignment="true" applyBorder="false" applyFill="true" applyFont="true" applyNumberFormat="true" applyProtection="false" borderId="150" fillId="416" fontId="7" numFmtId="201" xfId="0">
      <alignment horizontal="center" vertical="center"/>
    </xf>
    <xf applyAlignment="true" applyBorder="false" applyFill="true" applyFont="true" applyNumberFormat="false" applyProtection="false" borderId="149" fillId="416" fontId="7" numFmtId="0" xfId="0">
      <alignment horizontal="center" vertical="center"/>
    </xf>
    <xf applyAlignment="true" applyBorder="false" applyFill="true" applyFont="true" applyNumberFormat="false" applyProtection="false" borderId="150" fillId="416" fontId="7" numFmtId="0" xfId="0">
      <alignment horizontal="center" vertical="center"/>
    </xf>
    <xf applyAlignment="true" applyBorder="false" applyFill="true" applyFont="true" applyNumberFormat="false" applyProtection="false" borderId="150" fillId="416" fontId="7" numFmtId="0" xfId="0">
      <alignment horizontal="center" vertical="center" wrapText="true"/>
    </xf>
    <xf applyAlignment="true" applyBorder="false" applyFill="true" applyFont="true" applyNumberFormat="false" applyProtection="false" borderId="0" fillId="416" fontId="5" numFmtId="0" xfId="0">
      <alignment horizontal="center" vertical="center"/>
    </xf>
    <xf applyAlignment="true" applyBorder="false" applyFill="true" applyFont="true" applyNumberFormat="true" applyProtection="false" borderId="150" fillId="401" fontId="7" numFmtId="200" xfId="0">
      <alignment horizontal="center" vertical="center" wrapText="true"/>
    </xf>
    <xf applyAlignment="true" applyBorder="false" applyFill="true" applyFont="true" applyNumberFormat="true" applyProtection="false" borderId="150" fillId="401" fontId="7" numFmtId="201" xfId="0">
      <alignment horizontal="center" vertical="center"/>
    </xf>
    <xf applyAlignment="true" applyBorder="false" applyFill="true" applyFont="true" applyNumberFormat="false" applyProtection="false" borderId="149" fillId="401" fontId="7" numFmtId="0" xfId="0">
      <alignment horizontal="center" vertical="center"/>
    </xf>
    <xf applyAlignment="true" applyBorder="false" applyFill="true" applyFont="true" applyNumberFormat="false" applyProtection="false" borderId="150" fillId="401" fontId="7" numFmtId="0" xfId="0">
      <alignment horizontal="center" vertical="center"/>
    </xf>
    <xf applyAlignment="true" applyBorder="false" applyFill="true" applyFont="true" applyNumberFormat="false" applyProtection="false" borderId="150" fillId="401" fontId="7" numFmtId="0" xfId="0">
      <alignment horizontal="center" vertical="center" wrapText="true"/>
    </xf>
    <xf applyAlignment="true" applyBorder="false" applyFill="true" applyFont="true" applyNumberFormat="true" applyProtection="false" borderId="150" fillId="407" fontId="3" numFmtId="200" xfId="0">
      <alignment horizontal="center" vertical="center" wrapText="true"/>
    </xf>
    <xf applyAlignment="true" applyBorder="false" applyFill="true" applyFont="true" applyNumberFormat="true" applyProtection="false" borderId="150" fillId="407" fontId="7" numFmtId="200" xfId="0">
      <alignment horizontal="center" vertical="center" wrapText="true"/>
    </xf>
    <xf applyAlignment="true" applyBorder="false" applyFill="true" applyFont="true" applyNumberFormat="false" applyProtection="false" borderId="150" fillId="407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155" fillId="401" fontId="5" numFmtId="0" xfId="0">
      <alignment horizontal="center" vertical="center"/>
    </xf>
    <xf applyAlignment="true" applyBorder="false" applyFill="true" applyFont="true" applyNumberFormat="false" applyProtection="false" borderId="150" fillId="395" fontId="4" numFmtId="0" xfId="0">
      <alignment horizontal="center" vertical="center"/>
    </xf>
    <xf applyAlignment="true" applyBorder="false" applyFill="true" applyFont="true" applyNumberFormat="false" applyProtection="false" borderId="150" fillId="395" fontId="4" numFmtId="0" xfId="0">
      <alignment horizontal="center" vertical="center" wrapText="true"/>
    </xf>
    <xf applyAlignment="true" applyBorder="false" applyFill="true" applyFont="true" applyNumberFormat="false" applyProtection="false" borderId="0" fillId="395" fontId="4" numFmtId="0" xfId="0">
      <alignment horizontal="center" vertical="center"/>
    </xf>
    <xf applyAlignment="true" applyBorder="false" applyFill="true" applyFont="true" applyNumberFormat="false" applyProtection="false" borderId="0" fillId="395" fontId="22" numFmtId="0" xfId="0">
      <alignment vertical="center"/>
    </xf>
    <xf applyAlignment="true" applyBorder="false" applyFill="true" applyFont="true" applyNumberFormat="true" applyProtection="false" borderId="150" fillId="407" fontId="4" numFmtId="201" xfId="0">
      <alignment horizontal="center" vertical="center"/>
    </xf>
    <xf applyAlignment="true" applyBorder="false" applyFill="true" applyFont="true" applyNumberFormat="true" applyProtection="false" borderId="150" fillId="407" fontId="4" numFmtId="201" xfId="0">
      <alignment horizontal="center" vertical="center"/>
    </xf>
    <xf applyAlignment="true" applyBorder="false" applyFill="true" applyFont="true" applyNumberFormat="false" applyProtection="false" borderId="150" fillId="417" fontId="5" numFmtId="0" xfId="0">
      <alignment horizontal="center" vertical="center"/>
    </xf>
    <xf applyAlignment="true" applyBorder="false" applyFill="true" applyFont="true" applyNumberFormat="false" applyProtection="false" borderId="150" fillId="407" fontId="5" numFmtId="0" xfId="0">
      <alignment horizontal="center" vertical="center"/>
    </xf>
    <xf applyAlignment="true" applyBorder="false" applyFill="true" applyFont="true" applyNumberFormat="false" applyProtection="false" borderId="150" fillId="407" fontId="5" numFmtId="0" xfId="0">
      <alignment horizontal="center" vertical="center" wrapText="true"/>
    </xf>
    <xf applyAlignment="true" applyBorder="false" applyFill="true" applyFont="true" applyNumberFormat="false" applyProtection="false" borderId="150" fillId="407" fontId="4" numFmtId="0" xfId="0">
      <alignment horizontal="center" vertical="center"/>
    </xf>
    <xf applyAlignment="true" applyBorder="false" applyFill="true" applyFont="true" applyNumberFormat="false" applyProtection="false" borderId="155" fillId="417" fontId="5" numFmtId="0" xfId="0">
      <alignment horizontal="center" vertical="center"/>
    </xf>
    <xf applyAlignment="true" applyBorder="false" applyFill="true" applyFont="true" applyNumberFormat="false" applyProtection="false" borderId="150" fillId="417" fontId="5" numFmtId="0" xfId="0">
      <alignment horizontal="center" vertical="center"/>
    </xf>
    <xf applyAlignment="true" applyBorder="false" applyFill="true" applyFont="true" applyNumberFormat="false" applyProtection="false" borderId="150" fillId="407" fontId="5" numFmtId="0" xfId="0">
      <alignment horizontal="center" vertical="center"/>
    </xf>
    <xf applyAlignment="true" applyBorder="false" applyFill="true" applyFont="true" applyNumberFormat="false" applyProtection="false" borderId="150" fillId="407" fontId="5" numFmtId="0" xfId="0">
      <alignment horizontal="center" vertical="center" wrapText="true"/>
    </xf>
    <xf applyAlignment="true" applyBorder="false" applyFill="true" applyFont="true" applyNumberFormat="false" applyProtection="false" borderId="152" fillId="407" fontId="5" numFmtId="0" xfId="0">
      <alignment horizontal="center" vertical="center"/>
    </xf>
    <xf applyAlignment="true" applyBorder="false" applyFill="true" applyFont="true" applyNumberFormat="true" applyProtection="false" borderId="150" fillId="417" fontId="4" numFmtId="201" xfId="0">
      <alignment horizontal="center" vertical="center"/>
    </xf>
    <xf applyAlignment="true" applyBorder="false" applyFill="true" applyFont="true" applyNumberFormat="false" applyProtection="false" borderId="150" fillId="417" fontId="4" numFmtId="0" xfId="0">
      <alignment horizontal="center" vertical="center"/>
    </xf>
    <xf applyAlignment="true" applyBorder="false" applyFill="true" applyFont="true" applyNumberFormat="false" applyProtection="false" borderId="150" fillId="417" fontId="4" numFmtId="0" xfId="0">
      <alignment horizontal="center" vertical="center" wrapText="true"/>
    </xf>
    <xf applyAlignment="true" applyBorder="false" applyFill="true" applyFont="true" applyNumberFormat="false" applyProtection="false" borderId="0" fillId="417" fontId="4" numFmtId="0" xfId="0">
      <alignment horizontal="center" vertical="center"/>
    </xf>
    <xf applyAlignment="true" applyBorder="false" applyFill="true" applyFont="true" applyNumberFormat="false" applyProtection="false" borderId="0" fillId="417" fontId="22" numFmtId="0" xfId="0">
      <alignment vertical="center"/>
    </xf>
    <xf applyAlignment="true" applyBorder="false" applyFill="false" applyFont="true" applyNumberFormat="false" applyProtection="false" borderId="156" fillId="0" fontId="5" numFmtId="0" xfId="0">
      <alignment horizontal="center" vertical="center" wrapText="true"/>
    </xf>
    <xf applyAlignment="true" applyBorder="false" applyFill="false" applyFont="true" applyNumberFormat="false" applyProtection="false" borderId="157" fillId="0" fontId="5" numFmtId="0" xfId="0">
      <alignment horizontal="center" vertical="center"/>
    </xf>
    <xf applyAlignment="true" applyBorder="false" applyFill="true" applyFont="true" applyNumberFormat="false" applyProtection="false" borderId="156" fillId="401" fontId="5" numFmtId="0" xfId="0">
      <alignment horizontal="center" vertical="center" wrapText="true"/>
    </xf>
    <xf applyAlignment="true" applyBorder="false" applyFill="false" applyFont="true" applyNumberFormat="false" applyProtection="false" borderId="156" fillId="0" fontId="5" numFmtId="0" xfId="0">
      <alignment horizontal="center" vertical="center" wrapText="true"/>
    </xf>
    <xf applyAlignment="true" applyBorder="false" applyFill="true" applyFont="true" applyNumberFormat="false" applyProtection="false" borderId="150" fillId="401" fontId="4" numFmtId="0" xfId="0">
      <alignment horizontal="center" vertical="center"/>
    </xf>
    <xf applyAlignment="true" applyBorder="false" applyFill="true" applyFont="true" applyNumberFormat="false" applyProtection="false" borderId="150" fillId="401" fontId="5" numFmtId="0" xfId="0">
      <alignment horizontal="center" vertical="center" wrapText="true"/>
    </xf>
    <xf applyAlignment="true" applyBorder="false" applyFill="true" applyFont="true" applyNumberFormat="false" applyProtection="false" borderId="156" fillId="407" fontId="5" numFmtId="0" xfId="0">
      <alignment horizontal="center" vertical="center" wrapText="true"/>
    </xf>
    <xf applyAlignment="true" applyBorder="false" applyFill="true" applyFont="true" applyNumberFormat="false" applyProtection="false" borderId="150" fillId="404" fontId="4" numFmtId="0" xfId="0">
      <alignment horizontal="center" vertical="center"/>
    </xf>
    <xf applyAlignment="true" applyBorder="false" applyFill="true" applyFont="true" applyNumberFormat="false" applyProtection="false" borderId="156" fillId="404" fontId="5" numFmtId="0" xfId="0">
      <alignment horizontal="center" vertical="center" wrapText="true"/>
    </xf>
    <xf applyAlignment="true" applyBorder="false" applyFill="true" applyFont="true" applyNumberFormat="false" applyProtection="false" borderId="157" fillId="404" fontId="5" numFmtId="0" xfId="0">
      <alignment horizontal="center" vertical="center"/>
    </xf>
    <xf applyAlignment="true" applyBorder="false" applyFill="true" applyFont="true" applyNumberFormat="false" applyProtection="false" borderId="156" fillId="407" fontId="5" numFmtId="0" xfId="0">
      <alignment horizontal="center" vertical="center" wrapText="true"/>
    </xf>
    <xf applyAlignment="true" applyBorder="false" applyFill="true" applyFont="true" applyNumberFormat="false" applyProtection="false" borderId="153" fillId="417" fontId="5" numFmtId="0" xfId="0">
      <alignment horizontal="center" vertical="center"/>
    </xf>
    <xf applyAlignment="true" applyBorder="false" applyFill="true" applyFont="true" applyNumberFormat="false" applyProtection="false" borderId="151" fillId="407" fontId="5" numFmtId="0" xfId="0">
      <alignment horizontal="center" vertical="center" wrapText="true"/>
    </xf>
    <xf applyAlignment="true" applyBorder="false" applyFill="false" applyFont="true" applyNumberFormat="false" applyProtection="false" borderId="152" fillId="0" fontId="5" numFmtId="0" xfId="0">
      <alignment horizontal="center" vertical="center"/>
    </xf>
    <xf applyAlignment="true" applyBorder="false" applyFill="true" applyFont="true" applyNumberFormat="true" applyProtection="false" borderId="0" fillId="395" fontId="4" numFmtId="201" xfId="0">
      <alignment horizontal="center" vertical="center"/>
    </xf>
    <xf applyAlignment="true" applyBorder="false" applyFill="true" applyFont="true" applyNumberFormat="true" applyProtection="false" borderId="155" fillId="395" fontId="4" numFmtId="201" xfId="0">
      <alignment horizontal="center" vertical="center"/>
    </xf>
    <xf applyAlignment="true" applyBorder="false" applyFill="false" applyFont="true" applyNumberFormat="false" applyProtection="false" borderId="153" fillId="0" fontId="5" numFmtId="0" xfId="0">
      <alignment horizontal="center" vertical="center" wrapText="true"/>
    </xf>
    <xf applyAlignment="true" applyBorder="false" applyFill="false" applyFont="true" applyNumberFormat="false" applyProtection="false" borderId="153" fillId="0" fontId="5" numFmtId="0" xfId="0">
      <alignment horizontal="center" vertical="center" wrapText="true"/>
    </xf>
    <xf applyAlignment="true" applyBorder="false" applyFill="true" applyFont="true" applyNumberFormat="true" applyProtection="false" borderId="150" fillId="418" fontId="3" numFmtId="200" xfId="0">
      <alignment horizontal="center" vertical="center" wrapText="true"/>
    </xf>
    <xf applyAlignment="true" applyBorder="false" applyFill="true" applyFont="true" applyNumberFormat="true" applyProtection="false" borderId="150" fillId="418" fontId="7" numFmtId="200" xfId="0">
      <alignment horizontal="center" vertical="center" wrapText="true"/>
    </xf>
    <xf applyAlignment="true" applyBorder="false" applyFill="true" applyFont="true" applyNumberFormat="true" applyProtection="false" borderId="150" fillId="418" fontId="7" numFmtId="201" xfId="0">
      <alignment horizontal="center" vertical="center"/>
    </xf>
    <xf applyAlignment="true" applyBorder="false" applyFill="true" applyFont="true" applyNumberFormat="false" applyProtection="false" borderId="150" fillId="418" fontId="7" numFmtId="0" xfId="0">
      <alignment horizontal="center" vertical="center"/>
    </xf>
    <xf applyAlignment="true" applyBorder="false" applyFill="true" applyFont="true" applyNumberFormat="false" applyProtection="false" borderId="150" fillId="418" fontId="7" numFmtId="0" xfId="0">
      <alignment horizontal="center" vertical="center" wrapText="true"/>
    </xf>
    <xf applyAlignment="true" applyBorder="false" applyFill="true" applyFont="true" applyNumberFormat="true" applyProtection="false" borderId="150" fillId="397" fontId="4" numFmtId="201" xfId="0">
      <alignment horizontal="center" vertical="center"/>
    </xf>
    <xf applyAlignment="true" applyBorder="false" applyFill="true" applyFont="true" applyNumberFormat="true" applyProtection="false" borderId="150" fillId="419" fontId="4" numFmtId="201" xfId="0">
      <alignment horizontal="center" vertical="center"/>
    </xf>
    <xf applyAlignment="true" applyBorder="false" applyFill="true" applyFont="true" applyNumberFormat="false" applyProtection="false" borderId="150" fillId="419" fontId="4" numFmtId="0" xfId="0">
      <alignment horizontal="center" vertical="center"/>
    </xf>
    <xf applyAlignment="true" applyBorder="false" applyFill="true" applyFont="true" applyNumberFormat="false" applyProtection="false" borderId="150" fillId="397" fontId="5" numFmtId="0" xfId="0">
      <alignment horizontal="center" vertical="center"/>
    </xf>
    <xf applyAlignment="true" applyBorder="false" applyFill="true" applyFont="true" applyNumberFormat="false" applyProtection="false" borderId="150" fillId="397" fontId="5" numFmtId="0" xfId="0">
      <alignment horizontal="center" vertical="center" wrapText="true"/>
    </xf>
    <xf applyAlignment="true" applyBorder="false" applyFill="true" applyFont="true" applyNumberFormat="false" applyProtection="false" borderId="0" fillId="397" fontId="5" numFmtId="0" xfId="0">
      <alignment horizontal="center" vertical="center"/>
    </xf>
    <xf applyAlignment="true" applyBorder="false" applyFill="true" applyFont="true" applyNumberFormat="false" applyProtection="false" borderId="0" fillId="397" fontId="8" numFmtId="0" xfId="0">
      <alignment vertical="center"/>
    </xf>
    <xf applyAlignment="true" applyBorder="false" applyFill="true" applyFont="true" applyNumberFormat="true" applyProtection="false" borderId="150" fillId="419" fontId="4" numFmtId="201" xfId="0">
      <alignment horizontal="center" vertical="center"/>
    </xf>
    <xf applyAlignment="true" applyBorder="false" applyFill="true" applyFont="true" applyNumberFormat="false" applyProtection="false" borderId="150" fillId="419" fontId="5" numFmtId="0" xfId="0">
      <alignment horizontal="center" vertical="center"/>
    </xf>
    <xf applyAlignment="true" applyBorder="false" applyFill="true" applyFont="true" applyNumberFormat="false" applyProtection="false" borderId="150" fillId="419" fontId="4" numFmtId="0" xfId="0">
      <alignment horizontal="center" vertical="center"/>
    </xf>
    <xf applyAlignment="true" applyBorder="false" applyFill="true" applyFont="true" applyNumberFormat="false" applyProtection="false" borderId="150" fillId="419" fontId="5" numFmtId="0" xfId="0">
      <alignment horizontal="center" vertical="center"/>
    </xf>
    <xf applyAlignment="true" applyBorder="false" applyFill="true" applyFont="true" applyNumberFormat="false" applyProtection="false" borderId="150" fillId="419" fontId="4" numFmtId="0" xfId="0">
      <alignment horizontal="center" vertical="center" wrapText="true"/>
    </xf>
    <xf applyAlignment="true" applyBorder="false" applyFill="true" applyFont="true" applyNumberFormat="false" applyProtection="false" borderId="0" fillId="419" fontId="4" numFmtId="0" xfId="0">
      <alignment horizontal="center" vertical="center"/>
    </xf>
    <xf applyAlignment="true" applyBorder="false" applyFill="true" applyFont="true" applyNumberFormat="false" applyProtection="false" borderId="0" fillId="419" fontId="8" numFmtId="0" xfId="0">
      <alignment vertical="center"/>
    </xf>
    <xf applyAlignment="true" applyBorder="false" applyFill="true" applyFont="true" applyNumberFormat="false" applyProtection="false" borderId="150" fillId="401" fontId="4" numFmtId="0" xfId="0">
      <alignment horizontal="center" vertical="center" wrapText="true"/>
    </xf>
    <xf applyAlignment="true" applyBorder="false" applyFill="true" applyFont="true" applyNumberFormat="false" applyProtection="false" borderId="0" fillId="401" fontId="4" numFmtId="0" xfId="0">
      <alignment horizontal="center" vertical="center"/>
    </xf>
    <xf applyAlignment="true" applyBorder="false" applyFill="true" applyFont="true" applyNumberFormat="false" applyProtection="false" borderId="150" fillId="395" fontId="4" numFmtId="0" xfId="0">
      <alignment horizontal="center" vertical="center"/>
    </xf>
    <xf applyAlignment="true" applyBorder="false" applyFill="true" applyFont="true" applyNumberFormat="false" applyProtection="false" borderId="152" fillId="395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150" fillId="420" fontId="3" numFmtId="200" xfId="0">
      <alignment horizontal="center" vertical="center" wrapText="true"/>
    </xf>
    <xf applyAlignment="true" applyBorder="false" applyFill="true" applyFont="true" applyNumberFormat="true" applyProtection="false" borderId="150" fillId="420" fontId="7" numFmtId="200" xfId="0">
      <alignment horizontal="center" vertical="center" wrapText="true"/>
    </xf>
    <xf applyAlignment="true" applyBorder="false" applyFill="true" applyFont="true" applyNumberFormat="true" applyProtection="false" borderId="150" fillId="420" fontId="7" numFmtId="201" xfId="0">
      <alignment horizontal="center" vertical="center"/>
    </xf>
    <xf applyAlignment="true" applyBorder="false" applyFill="true" applyFont="true" applyNumberFormat="false" applyProtection="false" borderId="150" fillId="420" fontId="7" numFmtId="0" xfId="0">
      <alignment horizontal="center" vertical="center"/>
    </xf>
    <xf applyAlignment="true" applyBorder="false" applyFill="true" applyFont="true" applyNumberFormat="false" applyProtection="false" borderId="150" fillId="420" fontId="7" numFmtId="0" xfId="0">
      <alignment horizontal="center" vertical="center" wrapText="true"/>
    </xf>
    <xf applyAlignment="true" applyBorder="false" applyFill="true" applyFont="true" applyNumberFormat="false" applyProtection="false" borderId="152" fillId="395" fontId="5" numFmtId="0" xfId="0">
      <alignment horizontal="center" vertical="center"/>
    </xf>
    <xf applyAlignment="true" applyBorder="false" applyFill="true" applyFont="true" applyNumberFormat="true" applyProtection="false" borderId="151" fillId="401" fontId="5" numFmtId="202" xfId="0">
      <alignment horizontal="center" vertical="center"/>
    </xf>
    <xf applyAlignment="true" applyBorder="false" applyFill="true" applyFont="true" applyNumberFormat="true" applyProtection="false" borderId="151" fillId="417" fontId="5" numFmtId="202" xfId="0">
      <alignment horizontal="center" vertical="center"/>
    </xf>
    <xf applyAlignment="true" applyBorder="false" applyFill="true" applyFont="true" applyNumberFormat="false" applyProtection="false" borderId="153" fillId="401" fontId="5" numFmtId="0" xfId="0">
      <alignment horizontal="center" vertical="center" wrapText="true"/>
    </xf>
    <xf applyAlignment="true" applyBorder="false" applyFill="true" applyFont="true" applyNumberFormat="false" applyProtection="false" borderId="150" fillId="401" fontId="5" numFmtId="0" xfId="0">
      <alignment horizontal="left" vertical="center" wrapText="true"/>
    </xf>
    <xf applyAlignment="true" applyBorder="false" applyFill="true" applyFont="true" applyNumberFormat="false" applyProtection="false" borderId="152" fillId="404" fontId="5" numFmtId="0" xfId="0">
      <alignment horizontal="center" vertical="center"/>
    </xf>
    <xf applyAlignment="true" applyBorder="false" applyFill="true" applyFont="true" applyNumberFormat="false" applyProtection="false" borderId="150" fillId="404" fontId="5" numFmtId="0" xfId="0">
      <alignment horizontal="center" vertical="center" wrapText="true"/>
    </xf>
    <xf applyAlignment="true" applyBorder="false" applyFill="true" applyFont="true" applyNumberFormat="false" applyProtection="false" borderId="150" fillId="404" fontId="5" numFmtId="0" xfId="0">
      <alignment horizontal="left" vertical="center" wrapText="true"/>
    </xf>
    <xf applyAlignment="true" applyBorder="false" applyFill="true" applyFont="true" applyNumberFormat="true" applyProtection="false" borderId="150" fillId="421" fontId="3" numFmtId="200" xfId="0">
      <alignment horizontal="center" vertical="center" wrapText="true"/>
    </xf>
    <xf applyAlignment="true" applyBorder="false" applyFill="true" applyFont="true" applyNumberFormat="true" applyProtection="false" borderId="150" fillId="421" fontId="7" numFmtId="200" xfId="0">
      <alignment horizontal="center" vertical="center" wrapText="true"/>
    </xf>
    <xf applyAlignment="true" applyBorder="false" applyFill="true" applyFont="true" applyNumberFormat="true" applyProtection="false" borderId="150" fillId="421" fontId="7" numFmtId="201" xfId="0">
      <alignment horizontal="center" vertical="center"/>
    </xf>
    <xf applyAlignment="true" applyBorder="false" applyFill="true" applyFont="true" applyNumberFormat="false" applyProtection="false" borderId="150" fillId="421" fontId="7" numFmtId="0" xfId="0">
      <alignment horizontal="center" vertical="center"/>
    </xf>
    <xf applyAlignment="true" applyBorder="false" applyFill="true" applyFont="true" applyNumberFormat="false" applyProtection="false" borderId="150" fillId="421" fontId="7" numFmtId="0" xfId="0">
      <alignment horizontal="center" vertical="center" wrapText="true"/>
    </xf>
    <xf applyAlignment="true" applyBorder="false" applyFill="true" applyFont="true" applyNumberFormat="true" applyProtection="false" borderId="150" fillId="417" fontId="4" numFmtId="201" xfId="0">
      <alignment horizontal="center" vertical="center"/>
    </xf>
    <xf applyAlignment="true" applyBorder="false" applyFill="false" applyFont="true" applyNumberFormat="false" applyProtection="false" borderId="153" fillId="0" fontId="5" numFmtId="0" xfId="0">
      <alignment horizontal="center" vertical="center"/>
    </xf>
    <xf applyAlignment="true" applyBorder="false" applyFill="true" applyFont="true" applyNumberFormat="true" applyProtection="false" borderId="150" fillId="422" fontId="10" numFmtId="200" xfId="0">
      <alignment horizontal="center" vertical="center" wrapText="true"/>
    </xf>
    <xf applyAlignment="true" applyBorder="false" applyFill="true" applyFont="true" applyNumberFormat="true" applyProtection="false" borderId="150" fillId="422" fontId="7" numFmtId="200" xfId="0">
      <alignment horizontal="center" vertical="center" wrapText="true"/>
    </xf>
    <xf applyAlignment="true" applyBorder="false" applyFill="true" applyFont="true" applyNumberFormat="true" applyProtection="false" borderId="150" fillId="422" fontId="7" numFmtId="201" xfId="0">
      <alignment horizontal="center" vertical="center"/>
    </xf>
    <xf applyAlignment="true" applyBorder="false" applyFill="true" applyFont="true" applyNumberFormat="false" applyProtection="false" borderId="150" fillId="422" fontId="7" numFmtId="0" xfId="0">
      <alignment horizontal="center" vertical="center"/>
    </xf>
    <xf applyAlignment="true" applyBorder="false" applyFill="true" applyFont="true" applyNumberFormat="false" applyProtection="false" borderId="150" fillId="422" fontId="7" numFmtId="0" xfId="0">
      <alignment horizontal="center" vertical="center" wrapText="true"/>
    </xf>
    <xf applyAlignment="true" applyBorder="false" applyFill="true" applyFont="true" applyNumberFormat="false" applyProtection="false" borderId="150" fillId="422" fontId="23" numFmtId="0" xfId="0">
      <alignment horizontal="center" vertical="center"/>
    </xf>
    <xf applyAlignment="true" applyBorder="false" applyFill="false" applyFont="true" applyNumberFormat="false" applyProtection="false" borderId="150" fillId="0" fontId="15" numFmtId="0" xfId="0">
      <alignment horizontal="center" vertical="center"/>
    </xf>
    <xf applyAlignment="true" applyBorder="false" applyFill="true" applyFont="true" applyNumberFormat="true" applyProtection="false" borderId="150" fillId="423" fontId="3" numFmtId="200" xfId="0">
      <alignment horizontal="center" vertical="center" wrapText="true"/>
    </xf>
    <xf applyAlignment="true" applyBorder="false" applyFill="true" applyFont="true" applyNumberFormat="true" applyProtection="false" borderId="150" fillId="423" fontId="7" numFmtId="200" xfId="0">
      <alignment horizontal="center" vertical="center" wrapText="true"/>
    </xf>
    <xf applyAlignment="true" applyBorder="false" applyFill="true" applyFont="true" applyNumberFormat="true" applyProtection="false" borderId="150" fillId="423" fontId="7" numFmtId="201" xfId="0">
      <alignment horizontal="center" vertical="center"/>
    </xf>
    <xf applyAlignment="true" applyBorder="false" applyFill="true" applyFont="true" applyNumberFormat="false" applyProtection="false" borderId="150" fillId="423" fontId="7" numFmtId="0" xfId="0">
      <alignment horizontal="center" vertical="center"/>
    </xf>
    <xf applyAlignment="true" applyBorder="false" applyFill="true" applyFont="true" applyNumberFormat="false" applyProtection="false" borderId="150" fillId="423" fontId="7" numFmtId="0" xfId="0">
      <alignment horizontal="center" vertical="center" wrapText="true"/>
    </xf>
    <xf applyAlignment="true" applyBorder="false" applyFill="true" applyFont="true" applyNumberFormat="false" applyProtection="false" borderId="150" fillId="407" fontId="4" numFmtId="0" xfId="0">
      <alignment horizontal="center" vertical="center" wrapText="true"/>
    </xf>
    <xf applyAlignment="true" applyBorder="false" applyFill="true" applyFont="true" applyNumberFormat="false" applyProtection="false" borderId="0" fillId="407" fontId="4" numFmtId="0" xfId="0">
      <alignment horizontal="center" vertical="center"/>
    </xf>
    <xf applyAlignment="true" applyBorder="false" applyFill="false" applyFont="true" applyNumberFormat="false" applyProtection="false" borderId="0" fillId="0" fontId="22" numFmtId="0" xfId="0">
      <alignment vertical="center"/>
    </xf>
    <xf applyAlignment="true" applyBorder="false" applyFill="true" applyFont="true" applyNumberFormat="true" applyProtection="false" borderId="150" fillId="424" fontId="16" numFmtId="200" xfId="0">
      <alignment horizontal="center" vertical="center" wrapText="true"/>
    </xf>
    <xf applyAlignment="true" applyBorder="false" applyFill="true" applyFont="true" applyNumberFormat="false" applyProtection="false" borderId="0" fillId="424" fontId="15" numFmtId="0" xfId="0">
      <alignment horizontal="center" vertical="center"/>
    </xf>
    <xf applyAlignment="true" applyBorder="false" applyFill="true" applyFont="true" applyNumberFormat="false" applyProtection="false" borderId="0" fillId="424" fontId="5" numFmtId="0" xfId="0">
      <alignment horizontal="center" vertical="center"/>
    </xf>
    <xf applyAlignment="true" applyBorder="false" applyFill="true" applyFont="true" applyNumberFormat="true" applyProtection="false" borderId="150" fillId="424" fontId="7" numFmtId="200" xfId="0">
      <alignment horizontal="center" vertical="center" wrapText="true"/>
    </xf>
    <xf applyAlignment="true" applyBorder="false" applyFill="true" applyFont="true" applyNumberFormat="true" applyProtection="false" borderId="150" fillId="424" fontId="7" numFmtId="201" xfId="0">
      <alignment horizontal="center" vertical="center"/>
    </xf>
    <xf applyAlignment="true" applyBorder="false" applyFill="true" applyFont="true" applyNumberFormat="false" applyProtection="false" borderId="150" fillId="424" fontId="7" numFmtId="0" xfId="0">
      <alignment horizontal="center" vertical="center"/>
    </xf>
    <xf applyAlignment="true" applyBorder="false" applyFill="true" applyFont="true" applyNumberFormat="false" applyProtection="false" borderId="150" fillId="424" fontId="7" numFmtId="0" xfId="0">
      <alignment horizontal="center" vertical="center" wrapText="true"/>
    </xf>
    <xf applyAlignment="true" applyBorder="false" applyFill="true" applyFont="true" applyNumberFormat="true" applyProtection="false" borderId="150" fillId="424" fontId="4" numFmtId="201" xfId="0">
      <alignment horizontal="center" vertical="center"/>
    </xf>
    <xf applyAlignment="true" applyBorder="false" applyFill="true" applyFont="true" applyNumberFormat="true" applyProtection="false" borderId="150" fillId="424" fontId="4" numFmtId="201" xfId="0">
      <alignment horizontal="center" vertical="center"/>
    </xf>
    <xf applyAlignment="true" applyBorder="false" applyFill="true" applyFont="true" applyNumberFormat="false" applyProtection="false" borderId="150" fillId="424" fontId="5" numFmtId="0" xfId="0">
      <alignment horizontal="center" vertical="center"/>
    </xf>
    <xf applyAlignment="true" applyBorder="false" applyFill="true" applyFont="true" applyNumberFormat="false" applyProtection="false" borderId="150" fillId="424" fontId="5" numFmtId="0" xfId="0">
      <alignment horizontal="center" vertical="center"/>
    </xf>
    <xf applyAlignment="true" applyBorder="false" applyFill="true" applyFont="true" applyNumberFormat="false" applyProtection="false" borderId="150" fillId="424" fontId="5" numFmtId="0" xfId="0">
      <alignment horizontal="center" vertical="center" wrapText="true"/>
    </xf>
    <xf applyAlignment="true" applyBorder="false" applyFill="true" applyFont="true" applyNumberFormat="false" applyProtection="false" borderId="152" fillId="424" fontId="5" numFmtId="0" xfId="0">
      <alignment horizontal="center" vertical="center"/>
    </xf>
    <xf applyAlignment="true" applyBorder="false" applyFill="true" applyFont="true" applyNumberFormat="false" applyProtection="false" borderId="150" fillId="394" fontId="18" numFmtId="0" xfId="0">
      <alignment horizontal="center" vertical="center"/>
    </xf>
    <xf applyAlignment="true" applyBorder="false" applyFill="true" applyFont="true" applyNumberFormat="true" applyProtection="false" borderId="150" fillId="425" fontId="16" numFmtId="200" xfId="0">
      <alignment horizontal="center" vertical="center" wrapText="true"/>
    </xf>
    <xf applyAlignment="true" applyBorder="false" applyFill="true" applyFont="true" applyNumberFormat="true" applyProtection="false" borderId="150" fillId="426" fontId="7" numFmtId="200" xfId="0">
      <alignment horizontal="center" vertical="center" wrapText="true"/>
    </xf>
    <xf applyAlignment="true" applyBorder="false" applyFill="true" applyFont="true" applyNumberFormat="true" applyProtection="false" borderId="150" fillId="426" fontId="7" numFmtId="201" xfId="0">
      <alignment horizontal="center" vertical="center"/>
    </xf>
    <xf applyAlignment="true" applyBorder="false" applyFill="true" applyFont="true" applyNumberFormat="false" applyProtection="false" borderId="150" fillId="426" fontId="7" numFmtId="0" xfId="0">
      <alignment horizontal="center" vertical="center"/>
    </xf>
    <xf applyAlignment="true" applyBorder="false" applyFill="true" applyFont="true" applyNumberFormat="false" applyProtection="false" borderId="150" fillId="426" fontId="7" numFmtId="0" xfId="0">
      <alignment horizontal="center" vertical="center" wrapText="true"/>
    </xf>
    <xf applyAlignment="true" applyBorder="false" applyFill="true" applyFont="true" applyNumberFormat="true" applyProtection="false" borderId="150" fillId="427" fontId="4" numFmtId="201" xfId="0">
      <alignment horizontal="center" vertical="center"/>
    </xf>
    <xf applyAlignment="true" applyBorder="false" applyFill="true" applyFont="true" applyNumberFormat="false" applyProtection="false" borderId="150" fillId="427" fontId="5" numFmtId="0" xfId="0">
      <alignment horizontal="center" vertical="center"/>
    </xf>
    <xf applyAlignment="true" applyBorder="false" applyFill="true" applyFont="true" applyNumberFormat="false" applyProtection="false" borderId="150" fillId="427" fontId="5" numFmtId="0" xfId="0">
      <alignment horizontal="center" vertical="center" wrapText="true"/>
    </xf>
    <xf applyAlignment="true" applyBorder="false" applyFill="true" applyFont="true" applyNumberFormat="true" applyProtection="false" borderId="150" fillId="409" fontId="4" numFmtId="201" xfId="0">
      <alignment horizontal="center" vertical="center"/>
    </xf>
    <xf applyAlignment="true" applyBorder="false" applyFill="true" applyFont="true" applyNumberFormat="false" applyProtection="false" borderId="150" fillId="409" fontId="5" numFmtId="0" xfId="0">
      <alignment horizontal="center" vertical="center"/>
    </xf>
    <xf applyAlignment="true" applyBorder="false" applyFill="true" applyFont="true" applyNumberFormat="false" applyProtection="false" borderId="150" fillId="409" fontId="5" numFmtId="0" xfId="0">
      <alignment horizontal="center" vertical="center" wrapText="true"/>
    </xf>
    <xf applyAlignment="true" applyBorder="false" applyFill="false" applyFont="true" applyNumberFormat="false" applyProtection="false" borderId="149" fillId="0" fontId="5" numFmtId="0" xfId="0">
      <alignment horizontal="center" vertical="center" wrapText="true"/>
    </xf>
    <xf applyAlignment="true" applyBorder="false" applyFill="true" applyFont="true" applyNumberFormat="true" applyProtection="false" borderId="150" fillId="410" fontId="16" numFmtId="200" xfId="0">
      <alignment horizontal="center" vertical="center" wrapText="true"/>
    </xf>
    <xf applyAlignment="true" applyBorder="false" applyFill="true" applyFont="true" applyNumberFormat="false" applyProtection="false" borderId="0" fillId="395" fontId="15" numFmtId="0" xfId="0">
      <alignment vertical="center"/>
    </xf>
    <xf applyAlignment="true" applyBorder="false" applyFill="true" applyFont="true" applyNumberFormat="true" applyProtection="false" borderId="150" fillId="410" fontId="4" numFmtId="201" xfId="0">
      <alignment horizontal="center" vertical="center"/>
    </xf>
    <xf applyAlignment="true" applyBorder="false" applyFill="true" applyFont="true" applyNumberFormat="true" applyProtection="false" borderId="150" fillId="428" fontId="4" numFmtId="201" xfId="0">
      <alignment horizontal="center" vertical="center"/>
    </xf>
    <xf applyAlignment="true" applyBorder="false" applyFill="true" applyFont="true" applyNumberFormat="false" applyProtection="false" borderId="150" fillId="410" fontId="5" numFmtId="0" xfId="0">
      <alignment horizontal="center" vertical="center"/>
    </xf>
    <xf applyAlignment="true" applyBorder="false" applyFill="true" applyFont="true" applyNumberFormat="false" applyProtection="false" borderId="150" fillId="428" fontId="5" numFmtId="0" xfId="0">
      <alignment horizontal="center" vertical="center"/>
    </xf>
    <xf applyAlignment="true" applyBorder="false" applyFill="true" applyFont="true" applyNumberFormat="false" applyProtection="false" borderId="150" fillId="410" fontId="5" numFmtId="0" xfId="0">
      <alignment horizontal="center" vertical="center" wrapText="true"/>
    </xf>
    <xf applyAlignment="true" applyBorder="false" applyFill="true" applyFont="true" applyNumberFormat="true" applyProtection="false" borderId="150" fillId="410" fontId="4" numFmtId="201" xfId="0">
      <alignment horizontal="center" vertical="center"/>
    </xf>
    <xf applyAlignment="true" applyBorder="false" applyFill="true" applyFont="true" applyNumberFormat="false" applyProtection="false" borderId="150" fillId="410" fontId="5" numFmtId="0" xfId="0">
      <alignment horizontal="center" vertical="center"/>
    </xf>
    <xf applyAlignment="true" applyBorder="false" applyFill="true" applyFont="true" applyNumberFormat="true" applyProtection="false" borderId="150" fillId="428" fontId="5" numFmtId="202" xfId="0">
      <alignment horizontal="center" vertical="center"/>
    </xf>
    <xf applyAlignment="true" applyBorder="false" applyFill="true" applyFont="true" applyNumberFormat="true" applyProtection="false" borderId="150" fillId="401" fontId="5" numFmtId="202" xfId="0">
      <alignment horizontal="center" vertical="center"/>
    </xf>
    <xf applyAlignment="true" applyBorder="false" applyFill="true" applyFont="true" applyNumberFormat="true" applyProtection="false" borderId="150" fillId="428" fontId="4" numFmtId="201" xfId="0">
      <alignment horizontal="center" vertical="center"/>
    </xf>
    <xf applyAlignment="true" applyBorder="false" applyFill="true" applyFont="true" applyNumberFormat="true" applyProtection="false" borderId="150" fillId="407" fontId="16" numFmtId="200" xfId="0">
      <alignment horizontal="center" vertical="center" wrapText="true"/>
    </xf>
    <xf applyAlignment="true" applyBorder="false" applyFill="true" applyFont="true" applyNumberFormat="true" applyProtection="false" borderId="150" fillId="395" fontId="7" numFmtId="200" xfId="0">
      <alignment horizontal="center" vertical="center" wrapText="true"/>
    </xf>
    <xf applyAlignment="true" applyBorder="false" applyFill="true" applyFont="true" applyNumberFormat="false" applyProtection="false" borderId="150" fillId="417" fontId="5" numFmtId="0" xfId="0">
      <alignment horizontal="center" vertical="center" wrapText="true"/>
    </xf>
    <xf applyAlignment="true" applyBorder="false" applyFill="true" applyFont="true" applyNumberFormat="false" applyProtection="false" borderId="0" fillId="407" fontId="5" numFmtId="0" xfId="0">
      <alignment horizontal="center" vertical="center"/>
    </xf>
    <xf applyAlignment="true" applyBorder="false" applyFill="true" applyFont="true" applyNumberFormat="true" applyProtection="false" borderId="158" fillId="429" fontId="1" numFmtId="204" xfId="0">
      <alignment horizontal="left" vertical="center" wrapText="true"/>
    </xf>
    <xf applyAlignment="true" applyBorder="false" applyFill="true" applyFont="true" applyNumberFormat="true" applyProtection="false" borderId="158" fillId="429" fontId="1" numFmtId="204" xfId="0">
      <alignment horizontal="left" vertical="center" wrapText="true"/>
    </xf>
    <xf applyAlignment="true" applyBorder="false" applyFill="true" applyFont="true" applyNumberFormat="true" applyProtection="false" borderId="158" fillId="429" fontId="1" numFmtId="204" xfId="0">
      <alignment horizontal="center" vertical="center" wrapText="true"/>
    </xf>
    <xf applyAlignment="true" applyBorder="false" applyFill="true" applyFont="true" applyNumberFormat="false" applyProtection="false" borderId="0" fillId="430" fontId="5" numFmtId="0" xfId="0">
      <alignment horizontal="center" vertical="center"/>
    </xf>
    <xf applyAlignment="true" applyBorder="false" applyFill="true" applyFont="true" applyNumberFormat="false" applyProtection="false" borderId="0" fillId="430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0" fillId="431" fontId="2" numFmtId="204" xfId="0">
      <alignment horizontal="center" vertical="center"/>
    </xf>
    <xf applyAlignment="true" applyBorder="false" applyFill="true" applyFont="true" applyNumberFormat="true" applyProtection="false" borderId="159" fillId="432" fontId="3" numFmtId="204" xfId="0">
      <alignment horizontal="center" vertical="center" wrapText="true"/>
    </xf>
    <xf applyAlignment="true" applyBorder="false" applyFill="true" applyFont="true" applyNumberFormat="true" applyProtection="false" borderId="159" fillId="430" fontId="4" numFmtId="205" xfId="0">
      <alignment horizontal="center" vertical="center"/>
    </xf>
    <xf applyAlignment="true" applyBorder="false" applyFill="true" applyFont="true" applyNumberFormat="true" applyProtection="false" borderId="159" fillId="430" fontId="4" numFmtId="205" xfId="0">
      <alignment horizontal="center" vertical="center"/>
    </xf>
    <xf applyAlignment="true" applyBorder="false" applyFill="true" applyFont="true" applyNumberFormat="false" applyProtection="false" borderId="159" fillId="430" fontId="5" numFmtId="0" xfId="0">
      <alignment horizontal="center" vertical="center"/>
    </xf>
    <xf applyAlignment="true" applyBorder="false" applyFill="true" applyFont="true" applyNumberFormat="false" applyProtection="false" borderId="160" fillId="430" fontId="5" numFmtId="0" xfId="0">
      <alignment horizontal="center" vertical="center"/>
    </xf>
    <xf applyAlignment="true" applyBorder="false" applyFill="false" applyFont="true" applyNumberFormat="true" applyProtection="false" borderId="161" fillId="0" fontId="5" numFmtId="206" xfId="0">
      <alignment horizontal="center" vertical="center"/>
    </xf>
    <xf applyAlignment="true" applyBorder="false" applyFill="true" applyFont="true" applyNumberFormat="false" applyProtection="false" borderId="162" fillId="430" fontId="5" numFmtId="0" xfId="0">
      <alignment horizontal="center" vertical="center" wrapText="true"/>
    </xf>
    <xf applyAlignment="true" applyBorder="false" applyFill="false" applyFont="true" applyNumberFormat="false" applyProtection="false" borderId="159" fillId="0" fontId="5" numFmtId="0" xfId="0">
      <alignment horizontal="center" vertical="center"/>
    </xf>
    <xf applyAlignment="true" applyBorder="false" applyFill="true" applyFont="true" applyNumberFormat="false" applyProtection="false" borderId="159" fillId="430" fontId="5" numFmtId="0" xfId="0">
      <alignment horizontal="center" vertical="center"/>
    </xf>
    <xf applyAlignment="true" applyBorder="false" applyFill="true" applyFont="true" applyNumberFormat="true" applyProtection="false" borderId="158" fillId="430" fontId="4" numFmtId="205" xfId="0">
      <alignment horizontal="center" vertical="center"/>
    </xf>
    <xf applyAlignment="true" applyBorder="false" applyFill="true" applyFont="true" applyNumberFormat="false" applyProtection="false" borderId="160" fillId="430" fontId="5" numFmtId="0" xfId="0">
      <alignment horizontal="center" vertical="center"/>
    </xf>
    <xf applyAlignment="true" applyBorder="false" applyFill="true" applyFont="true" applyNumberFormat="true" applyProtection="false" borderId="161" fillId="430" fontId="4" numFmtId="205" xfId="0">
      <alignment horizontal="center" vertical="center"/>
    </xf>
    <xf applyAlignment="true" applyBorder="false" applyFill="true" applyFont="true" applyNumberFormat="true" applyProtection="false" borderId="162" fillId="430" fontId="4" numFmtId="205" xfId="0">
      <alignment horizontal="center" vertical="center"/>
    </xf>
    <xf applyAlignment="true" applyBorder="false" applyFill="true" applyFont="true" applyNumberFormat="true" applyProtection="false" borderId="163" fillId="432" fontId="3" numFmtId="204" xfId="0">
      <alignment horizontal="center" vertical="center" wrapText="true"/>
    </xf>
    <xf applyAlignment="true" applyBorder="false" applyFill="true" applyFont="true" applyNumberFormat="true" applyProtection="false" borderId="159" fillId="432" fontId="7" numFmtId="204" xfId="0">
      <alignment horizontal="center" vertical="center" wrapText="true"/>
    </xf>
    <xf applyAlignment="true" applyBorder="false" applyFill="true" applyFont="true" applyNumberFormat="true" applyProtection="false" borderId="159" fillId="432" fontId="7" numFmtId="205" xfId="0">
      <alignment horizontal="center" vertical="center"/>
    </xf>
    <xf applyAlignment="true" applyBorder="false" applyFill="true" applyFont="true" applyNumberFormat="false" applyProtection="false" borderId="159" fillId="432" fontId="7" numFmtId="0" xfId="0">
      <alignment horizontal="center" vertical="center"/>
    </xf>
    <xf applyAlignment="true" applyBorder="false" applyFill="true" applyFont="true" applyNumberFormat="false" applyProtection="false" borderId="160" fillId="432" fontId="7" numFmtId="0" xfId="0">
      <alignment horizontal="center" vertical="center"/>
    </xf>
    <xf applyAlignment="true" applyBorder="false" applyFill="true" applyFont="true" applyNumberFormat="false" applyProtection="false" borderId="162" fillId="432" fontId="7" numFmtId="0" xfId="0">
      <alignment horizontal="center" vertical="center" wrapText="true"/>
    </xf>
    <xf applyAlignment="true" applyBorder="false" applyFill="false" applyFont="true" applyNumberFormat="true" applyProtection="false" borderId="159" fillId="0" fontId="5" numFmtId="206" xfId="0">
      <alignment horizontal="center" vertical="center"/>
    </xf>
    <xf applyAlignment="true" applyBorder="false" applyFill="false" applyFont="true" applyNumberFormat="false" applyProtection="false" borderId="162" fillId="0" fontId="5" numFmtId="0" xfId="0">
      <alignment horizontal="center" vertical="center" wrapText="true"/>
    </xf>
    <xf applyAlignment="true" applyBorder="false" applyFill="true" applyFont="true" applyNumberFormat="true" applyProtection="false" borderId="159" fillId="433" fontId="3" numFmtId="204" xfId="0">
      <alignment horizontal="center" vertical="center" wrapText="true"/>
    </xf>
    <xf applyAlignment="true" applyBorder="false" applyFill="true" applyFont="true" applyNumberFormat="true" applyProtection="false" borderId="159" fillId="433" fontId="7" numFmtId="204" xfId="0">
      <alignment horizontal="center" vertical="center" wrapText="true"/>
    </xf>
    <xf applyAlignment="true" applyBorder="false" applyFill="true" applyFont="true" applyNumberFormat="true" applyProtection="false" borderId="159" fillId="433" fontId="7" numFmtId="205" xfId="0">
      <alignment horizontal="center" vertical="center"/>
    </xf>
    <xf applyAlignment="true" applyBorder="false" applyFill="true" applyFont="true" applyNumberFormat="false" applyProtection="false" borderId="159" fillId="433" fontId="7" numFmtId="0" xfId="0">
      <alignment horizontal="center" vertical="center"/>
    </xf>
    <xf applyAlignment="true" applyBorder="false" applyFill="true" applyFont="true" applyNumberFormat="false" applyProtection="false" borderId="159" fillId="433" fontId="7" numFmtId="0" xfId="0">
      <alignment horizontal="center" vertical="center" wrapText="true"/>
    </xf>
    <xf applyAlignment="true" applyBorder="false" applyFill="true" applyFont="true" applyNumberFormat="false" applyProtection="false" borderId="159" fillId="430" fontId="5" numFmtId="0" xfId="0">
      <alignment horizontal="center" vertical="center" wrapText="true"/>
    </xf>
    <xf applyAlignment="true" applyBorder="false" applyFill="true" applyFont="true" applyNumberFormat="false" applyProtection="false" borderId="158" fillId="430" fontId="5" numFmtId="0" xfId="0">
      <alignment horizontal="center" vertical="center"/>
    </xf>
    <xf applyAlignment="true" applyBorder="false" applyFill="true" applyFont="true" applyNumberFormat="true" applyProtection="false" borderId="159" fillId="434" fontId="4" numFmtId="205" xfId="0">
      <alignment horizontal="center" vertical="center"/>
    </xf>
    <xf applyAlignment="true" applyBorder="false" applyFill="true" applyFont="true" applyNumberFormat="false" applyProtection="false" borderId="159" fillId="434" fontId="5" numFmtId="0" xfId="0">
      <alignment horizontal="center" vertical="center"/>
    </xf>
    <xf applyAlignment="true" applyBorder="false" applyFill="true" applyFont="true" applyNumberFormat="false" applyProtection="false" borderId="159" fillId="434" fontId="5" numFmtId="0" xfId="0">
      <alignment horizontal="center" vertical="center"/>
    </xf>
    <xf applyAlignment="true" applyBorder="false" applyFill="true" applyFont="true" applyNumberFormat="false" applyProtection="false" borderId="159" fillId="434" fontId="5" numFmtId="0" xfId="0">
      <alignment horizontal="center" vertical="center" wrapText="true"/>
    </xf>
    <xf applyAlignment="true" applyBorder="false" applyFill="true" applyFont="true" applyNumberFormat="true" applyProtection="false" borderId="159" fillId="435" fontId="4" numFmtId="205" xfId="0">
      <alignment horizontal="center" vertical="center"/>
    </xf>
    <xf applyAlignment="true" applyBorder="false" applyFill="true" applyFont="true" applyNumberFormat="true" applyProtection="false" borderId="159" fillId="435" fontId="4" numFmtId="205" xfId="0">
      <alignment horizontal="center" vertical="center"/>
    </xf>
    <xf applyAlignment="true" applyBorder="false" applyFill="true" applyFont="true" applyNumberFormat="false" applyProtection="false" borderId="159" fillId="435" fontId="5" numFmtId="0" xfId="0">
      <alignment horizontal="center" vertical="center"/>
    </xf>
    <xf applyAlignment="true" applyBorder="false" applyFill="true" applyFont="true" applyNumberFormat="false" applyProtection="false" borderId="159" fillId="435" fontId="5" numFmtId="0" xfId="0">
      <alignment horizontal="center" vertical="center"/>
    </xf>
    <xf applyAlignment="true" applyBorder="false" applyFill="true" applyFont="true" applyNumberFormat="false" applyProtection="false" borderId="159" fillId="434" fontId="5" numFmtId="0" xfId="0">
      <alignment horizontal="center" vertical="center" wrapText="true"/>
    </xf>
    <xf applyAlignment="true" applyBorder="false" applyFill="true" applyFont="true" applyNumberFormat="false" applyProtection="false" borderId="159" fillId="430" fontId="5" numFmtId="0" xfId="0">
      <alignment horizontal="center" vertical="center" wrapText="true"/>
    </xf>
    <xf applyAlignment="true" applyBorder="false" applyFill="true" applyFont="true" applyNumberFormat="false" applyProtection="false" borderId="0" fillId="436" fontId="8" numFmtId="0" xfId="0">
      <alignment vertical="center"/>
    </xf>
    <xf applyAlignment="true" applyBorder="false" applyFill="true" applyFont="true" applyNumberFormat="true" applyProtection="false" borderId="159" fillId="437" fontId="4" numFmtId="205" xfId="0">
      <alignment horizontal="center" vertical="center"/>
    </xf>
    <xf applyAlignment="true" applyBorder="false" applyFill="true" applyFont="true" applyNumberFormat="true" applyProtection="false" borderId="159" fillId="437" fontId="4" numFmtId="205" xfId="0">
      <alignment horizontal="center" vertical="center"/>
    </xf>
    <xf applyAlignment="true" applyBorder="false" applyFill="true" applyFont="true" applyNumberFormat="false" applyProtection="false" borderId="159" fillId="437" fontId="5" numFmtId="0" xfId="0">
      <alignment horizontal="center" vertical="center"/>
    </xf>
    <xf applyAlignment="true" applyBorder="false" applyFill="true" applyFont="true" applyNumberFormat="false" applyProtection="false" borderId="159" fillId="437" fontId="5" numFmtId="0" xfId="0">
      <alignment horizontal="center" vertical="center"/>
    </xf>
    <xf applyAlignment="true" applyBorder="false" applyFill="true" applyFont="true" applyNumberFormat="false" applyProtection="false" borderId="159" fillId="437" fontId="5" numFmtId="0" xfId="0">
      <alignment horizontal="center" vertical="center" wrapText="true"/>
    </xf>
    <xf applyAlignment="true" applyBorder="false" applyFill="true" applyFont="true" applyNumberFormat="false" applyProtection="false" borderId="159" fillId="438" fontId="24" numFmtId="0" xfId="0">
      <alignment horizontal="center" vertical="center"/>
    </xf>
    <xf applyAlignment="true" applyBorder="false" applyFill="true" applyFont="true" applyNumberFormat="true" applyProtection="false" borderId="159" fillId="434" fontId="4" numFmtId="205" xfId="0">
      <alignment horizontal="center" vertical="center"/>
    </xf>
    <xf applyAlignment="true" applyBorder="false" applyFill="true" applyFont="true" applyNumberFormat="true" applyProtection="false" borderId="159" fillId="439" fontId="3" numFmtId="204" xfId="0">
      <alignment horizontal="center" vertical="center" wrapText="true"/>
    </xf>
    <xf applyAlignment="true" applyBorder="false" applyFill="true" applyFont="true" applyNumberFormat="true" applyProtection="false" borderId="162" fillId="439" fontId="3" numFmtId="204" xfId="0">
      <alignment horizontal="center" vertical="center" wrapText="true"/>
    </xf>
    <xf applyAlignment="true" applyBorder="false" applyFill="true" applyFont="true" applyNumberFormat="false" applyProtection="false" borderId="0" fillId="430" fontId="15" numFmtId="0" xfId="0">
      <alignment horizontal="center" vertical="center"/>
    </xf>
    <xf applyAlignment="true" applyBorder="false" applyFill="true" applyFont="true" applyNumberFormat="false" applyProtection="false" borderId="159" fillId="439" fontId="7" numFmtId="0" xfId="0">
      <alignment horizontal="center" vertical="center"/>
    </xf>
    <xf applyAlignment="true" applyBorder="false" applyFill="true" applyFont="true" applyNumberFormat="true" applyProtection="false" borderId="163" fillId="439" fontId="7" numFmtId="205" xfId="0">
      <alignment horizontal="center" vertical="center"/>
    </xf>
    <xf applyAlignment="true" applyBorder="false" applyFill="true" applyFont="true" applyNumberFormat="false" applyProtection="false" borderId="163" fillId="439" fontId="7" numFmtId="0" xfId="0">
      <alignment horizontal="center" vertical="center"/>
    </xf>
    <xf applyAlignment="true" applyBorder="false" applyFill="true" applyFont="true" applyNumberFormat="false" applyProtection="false" borderId="159" fillId="439" fontId="7" numFmtId="0" xfId="0">
      <alignment horizontal="center" vertical="center" wrapText="true"/>
    </xf>
    <xf applyAlignment="true" applyBorder="false" applyFill="true" applyFont="true" applyNumberFormat="false" applyProtection="false" borderId="158" fillId="430" fontId="5" numFmtId="0" xfId="0">
      <alignment horizontal="center" vertical="center"/>
    </xf>
    <xf applyAlignment="true" applyBorder="false" applyFill="false" applyFont="true" applyNumberFormat="false" applyProtection="false" borderId="158" fillId="0" fontId="5" numFmtId="0" xfId="0">
      <alignment horizontal="center" vertical="center"/>
    </xf>
    <xf applyAlignment="true" applyBorder="false" applyFill="false" applyFont="true" applyNumberFormat="false" applyProtection="false" borderId="158" fillId="0" fontId="5" numFmtId="0" xfId="0">
      <alignment horizontal="center" vertical="center" wrapText="true"/>
    </xf>
    <xf applyAlignment="true" applyBorder="false" applyFill="false" applyFont="true" applyNumberFormat="false" applyProtection="false" borderId="159" fillId="0" fontId="5" numFmtId="0" xfId="0">
      <alignment horizontal="center" vertical="center" wrapText="true"/>
    </xf>
    <xf applyAlignment="true" applyBorder="false" applyFill="true" applyFont="true" applyNumberFormat="true" applyProtection="false" borderId="163" fillId="430" fontId="4" numFmtId="205" xfId="0">
      <alignment horizontal="center" vertical="center"/>
    </xf>
    <xf applyAlignment="true" applyBorder="false" applyFill="true" applyFont="true" applyNumberFormat="false" applyProtection="false" borderId="163" fillId="430" fontId="5" numFmtId="0" xfId="0">
      <alignment horizontal="center" vertical="center"/>
    </xf>
    <xf applyAlignment="true" applyBorder="false" applyFill="false" applyFont="true" applyNumberFormat="false" applyProtection="false" borderId="163" fillId="0" fontId="5" numFmtId="0" xfId="0">
      <alignment horizontal="center" vertical="center" wrapText="true"/>
    </xf>
    <xf applyAlignment="true" applyBorder="false" applyFill="true" applyFont="true" applyNumberFormat="true" applyProtection="false" borderId="163" fillId="440" fontId="4" numFmtId="205" xfId="0">
      <alignment horizontal="center" vertical="center"/>
    </xf>
    <xf applyAlignment="true" applyBorder="false" applyFill="true" applyFont="true" applyNumberFormat="true" applyProtection="false" borderId="159" fillId="440" fontId="4" numFmtId="205" xfId="0">
      <alignment horizontal="center" vertical="center"/>
    </xf>
    <xf applyAlignment="true" applyBorder="false" applyFill="true" applyFont="true" applyNumberFormat="false" applyProtection="false" borderId="163" fillId="440" fontId="5" numFmtId="0" xfId="0">
      <alignment horizontal="center" vertical="center"/>
    </xf>
    <xf applyAlignment="true" applyBorder="false" applyFill="true" applyFont="true" applyNumberFormat="false" applyProtection="false" borderId="163" fillId="440" fontId="5" numFmtId="0" xfId="0">
      <alignment horizontal="center" vertical="center"/>
    </xf>
    <xf applyAlignment="true" applyBorder="false" applyFill="true" applyFont="true" applyNumberFormat="false" applyProtection="false" borderId="159" fillId="440" fontId="5" numFmtId="0" xfId="0">
      <alignment horizontal="center" vertical="center"/>
    </xf>
    <xf applyAlignment="true" applyBorder="false" applyFill="true" applyFont="true" applyNumberFormat="false" applyProtection="false" borderId="163" fillId="440" fontId="5" numFmtId="0" xfId="0">
      <alignment horizontal="center" vertical="center" wrapText="true"/>
    </xf>
    <xf applyAlignment="true" applyBorder="false" applyFill="true" applyFont="true" applyNumberFormat="false" applyProtection="false" borderId="163" fillId="430" fontId="5" numFmtId="0" xfId="0">
      <alignment horizontal="center" vertical="center"/>
    </xf>
    <xf applyAlignment="true" applyBorder="false" applyFill="false" applyFont="true" applyNumberFormat="false" applyProtection="false" borderId="159" fillId="0" fontId="5" numFmtId="0" xfId="0">
      <alignment horizontal="center" vertical="center" wrapText="true"/>
    </xf>
    <xf applyAlignment="true" applyBorder="false" applyFill="true" applyFont="true" applyNumberFormat="true" applyProtection="false" borderId="160" fillId="430" fontId="4" numFmtId="205" xfId="0">
      <alignment horizontal="center" vertical="center"/>
    </xf>
    <xf applyAlignment="true" applyBorder="false" applyFill="true" applyFont="true" applyNumberFormat="false" applyProtection="false" borderId="161" fillId="430" fontId="5" numFmtId="0" xfId="0">
      <alignment horizontal="center" vertical="center"/>
    </xf>
    <xf applyAlignment="true" applyBorder="false" applyFill="true" applyFont="true" applyNumberFormat="false" applyProtection="false" borderId="162" fillId="430" fontId="5" numFmtId="0" xfId="0">
      <alignment horizontal="center" vertical="center"/>
    </xf>
    <xf applyAlignment="true" applyBorder="false" applyFill="true" applyFont="true" applyNumberFormat="false" applyProtection="false" borderId="159" fillId="430" fontId="4" numFmtId="0" xfId="0">
      <alignment horizontal="center" vertical="center"/>
    </xf>
    <xf applyAlignment="true" applyBorder="false" applyFill="true" applyFont="true" applyNumberFormat="false" applyProtection="false" borderId="0" fillId="430" fontId="15" numFmtId="0" xfId="0">
      <alignment horizontal="center" vertical="center"/>
    </xf>
    <xf applyAlignment="true" applyBorder="false" applyFill="true" applyFont="true" applyNumberFormat="false" applyProtection="false" borderId="163" fillId="441" fontId="5" numFmtId="0" xfId="0">
      <alignment horizontal="center" vertical="center"/>
    </xf>
    <xf applyAlignment="true" applyBorder="false" applyFill="false" applyFont="true" applyNumberFormat="false" applyProtection="false" borderId="162" fillId="0" fontId="8" numFmtId="0" xfId="0">
      <alignment vertical="center"/>
    </xf>
    <xf applyAlignment="true" applyBorder="false" applyFill="true" applyFont="true" applyNumberFormat="false" applyProtection="false" borderId="159" fillId="442" fontId="9" numFmtId="0" xfId="0">
      <alignment horizontal="center" vertical="center"/>
    </xf>
    <xf applyAlignment="true" applyBorder="false" applyFill="true" applyFont="true" applyNumberFormat="true" applyProtection="false" borderId="162" fillId="442" fontId="3" numFmtId="204" xfId="0">
      <alignment horizontal="center" vertical="center" wrapText="true"/>
    </xf>
    <xf applyAlignment="true" applyBorder="false" applyFill="true" applyFont="true" applyNumberFormat="false" applyProtection="false" borderId="159" fillId="442" fontId="7" numFmtId="0" xfId="0">
      <alignment horizontal="center" vertical="center"/>
    </xf>
    <xf applyAlignment="true" applyBorder="false" applyFill="true" applyFont="true" applyNumberFormat="true" applyProtection="false" borderId="163" fillId="442" fontId="7" numFmtId="205" xfId="0">
      <alignment horizontal="center" vertical="center"/>
    </xf>
    <xf applyAlignment="true" applyBorder="false" applyFill="true" applyFont="true" applyNumberFormat="false" applyProtection="false" borderId="163" fillId="442" fontId="7" numFmtId="0" xfId="0">
      <alignment horizontal="center" vertical="center"/>
    </xf>
    <xf applyAlignment="true" applyBorder="false" applyFill="true" applyFont="true" applyNumberFormat="false" applyProtection="false" borderId="159" fillId="442" fontId="7" numFmtId="0" xfId="0">
      <alignment horizontal="center" vertical="center" wrapText="true"/>
    </xf>
    <xf applyAlignment="true" applyBorder="false" applyFill="true" applyFont="true" applyNumberFormat="true" applyProtection="false" borderId="159" fillId="436" fontId="4" numFmtId="205" xfId="0">
      <alignment horizontal="center" vertical="center"/>
    </xf>
    <xf applyAlignment="true" applyBorder="false" applyFill="true" applyFont="true" applyNumberFormat="true" applyProtection="false" borderId="159" fillId="441" fontId="5" numFmtId="207" xfId="0">
      <alignment horizontal="center" vertical="center"/>
    </xf>
    <xf applyAlignment="true" applyBorder="false" applyFill="true" applyFont="true" applyNumberFormat="false" applyProtection="false" borderId="159" fillId="436" fontId="5" numFmtId="0" xfId="0">
      <alignment horizontal="center" vertical="center"/>
    </xf>
    <xf applyAlignment="true" applyBorder="false" applyFill="true" applyFont="true" applyNumberFormat="true" applyProtection="false" borderId="159" fillId="430" fontId="5" numFmtId="207" xfId="0">
      <alignment horizontal="center" vertical="center"/>
    </xf>
    <xf applyAlignment="true" applyBorder="false" applyFill="true" applyFont="true" applyNumberFormat="true" applyProtection="false" borderId="158" fillId="430" fontId="5" numFmtId="207" xfId="0">
      <alignment horizontal="center" vertical="center"/>
    </xf>
    <xf applyAlignment="true" applyBorder="false" applyFill="true" applyFont="true" applyNumberFormat="false" applyProtection="false" borderId="164" fillId="430" fontId="5" numFmtId="0" xfId="0">
      <alignment horizontal="center" vertical="center" wrapText="true"/>
    </xf>
    <xf applyAlignment="true" applyBorder="false" applyFill="true" applyFont="true" applyNumberFormat="true" applyProtection="false" borderId="161" fillId="430" fontId="5" numFmtId="207" xfId="0">
      <alignment horizontal="center" vertical="center"/>
    </xf>
    <xf applyAlignment="true" applyBorder="false" applyFill="true" applyFont="true" applyNumberFormat="false" applyProtection="false" borderId="161" fillId="430" fontId="5" numFmtId="0" xfId="0">
      <alignment horizontal="center" vertical="center"/>
    </xf>
    <xf applyAlignment="true" applyBorder="false" applyFill="true" applyFont="true" applyNumberFormat="false" applyProtection="false" borderId="161" fillId="430" fontId="5" numFmtId="0" xfId="0">
      <alignment horizontal="center" vertical="center" wrapText="true"/>
    </xf>
    <xf applyAlignment="true" applyBorder="false" applyFill="true" applyFont="true" applyNumberFormat="false" applyProtection="false" borderId="164" fillId="430" fontId="5" numFmtId="0" xfId="0">
      <alignment horizontal="center" vertical="center"/>
    </xf>
    <xf applyAlignment="true" applyBorder="false" applyFill="true" applyFont="true" applyNumberFormat="true" applyProtection="false" borderId="159" fillId="440" fontId="5" numFmtId="207" xfId="0">
      <alignment horizontal="center" vertical="center"/>
    </xf>
    <xf applyAlignment="true" applyBorder="false" applyFill="true" applyFont="true" applyNumberFormat="false" applyProtection="false" borderId="162" fillId="440" fontId="5" numFmtId="0" xfId="0">
      <alignment horizontal="center" vertical="center" wrapText="true"/>
    </xf>
    <xf applyAlignment="true" applyBorder="false" applyFill="true" applyFont="true" applyNumberFormat="true" applyProtection="false" borderId="159" fillId="436" fontId="5" numFmtId="207" xfId="0">
      <alignment horizontal="center" vertical="center"/>
    </xf>
    <xf applyAlignment="true" applyBorder="false" applyFill="true" applyFont="true" applyNumberFormat="false" applyProtection="false" borderId="165" fillId="430" fontId="5" numFmtId="0" xfId="0">
      <alignment horizontal="center" vertical="center"/>
    </xf>
    <xf applyAlignment="true" applyBorder="false" applyFill="true" applyFont="true" applyNumberFormat="false" applyProtection="false" borderId="159" fillId="436" fontId="5" numFmtId="0" xfId="0">
      <alignment horizontal="center" vertical="center" wrapText="true"/>
    </xf>
    <xf applyAlignment="true" applyBorder="false" applyFill="true" applyFont="true" applyNumberFormat="false" applyProtection="false" borderId="159" fillId="443" fontId="9" numFmtId="0" xfId="0">
      <alignment horizontal="center" vertical="center"/>
    </xf>
    <xf applyAlignment="true" applyBorder="false" applyFill="true" applyFont="true" applyNumberFormat="true" applyProtection="false" borderId="162" fillId="443" fontId="3" numFmtId="204" xfId="0">
      <alignment horizontal="center" vertical="center" wrapText="true"/>
    </xf>
    <xf applyAlignment="true" applyBorder="false" applyFill="true" applyFont="true" applyNumberFormat="false" applyProtection="false" borderId="159" fillId="443" fontId="7" numFmtId="0" xfId="0">
      <alignment horizontal="center" vertical="center"/>
    </xf>
    <xf applyAlignment="true" applyBorder="false" applyFill="true" applyFont="true" applyNumberFormat="true" applyProtection="false" borderId="163" fillId="443" fontId="7" numFmtId="205" xfId="0">
      <alignment horizontal="center" vertical="center"/>
    </xf>
    <xf applyAlignment="true" applyBorder="false" applyFill="true" applyFont="true" applyNumberFormat="false" applyProtection="false" borderId="163" fillId="443" fontId="7" numFmtId="0" xfId="0">
      <alignment horizontal="center" vertical="center"/>
    </xf>
    <xf applyAlignment="true" applyBorder="false" applyFill="true" applyFont="true" applyNumberFormat="false" applyProtection="false" borderId="159" fillId="443" fontId="7" numFmtId="0" xfId="0">
      <alignment horizontal="center" vertical="center" wrapText="true"/>
    </xf>
    <xf applyAlignment="true" applyBorder="false" applyFill="true" applyFont="true" applyNumberFormat="false" applyProtection="false" borderId="162" fillId="430" fontId="5" numFmtId="0" xfId="0">
      <alignment horizontal="center" vertical="center" wrapText="true"/>
    </xf>
    <xf applyAlignment="true" applyBorder="false" applyFill="true" applyFont="true" applyNumberFormat="false" applyProtection="false" borderId="158" fillId="436" fontId="5" numFmtId="0" xfId="0">
      <alignment horizontal="center" vertical="center"/>
    </xf>
    <xf applyAlignment="true" applyBorder="false" applyFill="true" applyFont="true" applyNumberFormat="false" applyProtection="false" borderId="164" fillId="430" fontId="5" numFmtId="0" xfId="0">
      <alignment horizontal="center" vertical="center" wrapText="true"/>
    </xf>
    <xf applyAlignment="true" applyBorder="false" applyFill="true" applyFont="true" applyNumberFormat="true" applyProtection="false" borderId="161" fillId="440" fontId="4" numFmtId="205" xfId="0">
      <alignment horizontal="center" vertical="center"/>
    </xf>
    <xf applyAlignment="true" applyBorder="false" applyFill="true" applyFont="true" applyNumberFormat="true" applyProtection="false" borderId="159" fillId="440" fontId="4" numFmtId="205" xfId="0">
      <alignment horizontal="center" vertical="center"/>
    </xf>
    <xf applyAlignment="true" applyBorder="false" applyFill="true" applyFont="true" applyNumberFormat="true" applyProtection="false" borderId="166" fillId="440" fontId="4" numFmtId="205" xfId="0">
      <alignment horizontal="center" vertical="center"/>
    </xf>
    <xf applyAlignment="true" applyBorder="false" applyFill="true" applyFont="true" applyNumberFormat="true" applyProtection="false" borderId="161" fillId="440" fontId="5" numFmtId="207" xfId="0">
      <alignment horizontal="center" vertical="center"/>
    </xf>
    <xf applyAlignment="true" applyBorder="false" applyFill="true" applyFont="true" applyNumberFormat="false" applyProtection="false" borderId="167" fillId="440" fontId="5" numFmtId="0" xfId="0">
      <alignment horizontal="center" vertical="center"/>
    </xf>
    <xf applyAlignment="true" applyBorder="false" applyFill="true" applyFont="true" applyNumberFormat="false" applyProtection="false" borderId="161" fillId="440" fontId="5" numFmtId="0" xfId="0">
      <alignment horizontal="center" vertical="center"/>
    </xf>
    <xf applyAlignment="true" applyBorder="false" applyFill="true" applyFont="true" applyNumberFormat="false" applyProtection="false" borderId="161" fillId="44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true" applyProtection="false" borderId="162" fillId="440" fontId="4" numFmtId="205" xfId="0">
      <alignment horizontal="center" vertical="center"/>
    </xf>
    <xf applyAlignment="true" applyBorder="false" applyFill="true" applyFont="true" applyNumberFormat="false" applyProtection="false" borderId="162" fillId="440" fontId="5" numFmtId="0" xfId="0">
      <alignment horizontal="center" vertical="center" wrapText="true"/>
    </xf>
    <xf applyAlignment="true" applyBorder="false" applyFill="true" applyFont="true" applyNumberFormat="true" applyProtection="false" borderId="158" fillId="440" fontId="4" numFmtId="205" xfId="0">
      <alignment horizontal="center" vertical="center"/>
    </xf>
    <xf applyAlignment="true" applyBorder="false" applyFill="true" applyFont="true" applyNumberFormat="true" applyProtection="false" borderId="158" fillId="440" fontId="5" numFmtId="207" xfId="0">
      <alignment horizontal="center" vertical="center"/>
    </xf>
    <xf applyAlignment="true" applyBorder="false" applyFill="true" applyFont="true" applyNumberFormat="false" applyProtection="false" borderId="158" fillId="440" fontId="5" numFmtId="0" xfId="0">
      <alignment horizontal="center" vertical="center"/>
    </xf>
    <xf applyAlignment="true" applyBorder="false" applyFill="true" applyFont="true" applyNumberFormat="false" applyProtection="false" borderId="164" fillId="440" fontId="5" numFmtId="0" xfId="0">
      <alignment horizontal="center" vertical="center" wrapText="true"/>
    </xf>
    <xf applyAlignment="true" applyBorder="false" applyFill="true" applyFont="true" applyNumberFormat="true" applyProtection="false" borderId="160" fillId="440" fontId="4" numFmtId="205" xfId="0">
      <alignment horizontal="center" vertical="center"/>
    </xf>
    <xf applyAlignment="true" applyBorder="false" applyFill="true" applyFont="true" applyNumberFormat="false" applyProtection="false" borderId="162" fillId="440" fontId="5" numFmtId="0" xfId="0">
      <alignment horizontal="center" vertical="center"/>
    </xf>
    <xf applyAlignment="true" applyBorder="false" applyFill="true" applyFont="true" applyNumberFormat="false" applyProtection="false" borderId="160" fillId="440" fontId="5" numFmtId="0" xfId="0">
      <alignment horizontal="center" vertical="center"/>
    </xf>
    <xf applyAlignment="true" applyBorder="false" applyFill="true" applyFont="true" applyNumberFormat="false" applyProtection="false" borderId="159" fillId="440" fontId="4" numFmtId="0" xfId="0">
      <alignment horizontal="center" vertical="center"/>
    </xf>
    <xf applyAlignment="true" applyBorder="false" applyFill="true" applyFont="true" applyNumberFormat="false" applyProtection="false" borderId="165" fillId="440" fontId="5" numFmtId="0" xfId="0">
      <alignment horizontal="center" vertical="center" wrapText="true"/>
    </xf>
    <xf applyAlignment="true" applyBorder="false" applyFill="true" applyFont="true" applyNumberFormat="true" applyProtection="false" borderId="159" fillId="444" fontId="3" numFmtId="204" xfId="0">
      <alignment horizontal="center" vertical="center" wrapText="true"/>
    </xf>
    <xf applyAlignment="true" applyBorder="false" applyFill="true" applyFont="true" applyNumberFormat="true" applyProtection="false" borderId="159" fillId="444" fontId="10" numFmtId="204" xfId="0">
      <alignment horizontal="center" vertical="center" wrapText="true"/>
    </xf>
    <xf applyAlignment="true" applyBorder="false" applyFill="true" applyFont="true" applyNumberFormat="true" applyProtection="false" borderId="158" fillId="444" fontId="7" numFmtId="204" xfId="0">
      <alignment horizontal="center" vertical="center" wrapText="true"/>
    </xf>
    <xf applyAlignment="true" applyBorder="false" applyFill="true" applyFont="true" applyNumberFormat="true" applyProtection="false" borderId="158" fillId="444" fontId="7" numFmtId="205" xfId="0">
      <alignment horizontal="center" vertical="center"/>
    </xf>
    <xf applyAlignment="true" applyBorder="false" applyFill="true" applyFont="true" applyNumberFormat="false" applyProtection="false" borderId="158" fillId="444" fontId="7" numFmtId="0" xfId="0">
      <alignment horizontal="center" vertical="center"/>
    </xf>
    <xf applyAlignment="true" applyBorder="false" applyFill="true" applyFont="true" applyNumberFormat="false" applyProtection="false" borderId="158" fillId="444" fontId="7" numFmtId="0" xfId="0">
      <alignment horizontal="center" vertical="center" wrapText="true"/>
    </xf>
    <xf applyAlignment="true" applyBorder="false" applyFill="false" applyFont="true" applyNumberFormat="true" applyProtection="false" borderId="159" fillId="0" fontId="5" numFmtId="205" xfId="0">
      <alignment horizontal="center" vertical="center"/>
    </xf>
    <xf applyAlignment="true" applyBorder="false" applyFill="false" applyFont="true" applyNumberFormat="false" applyProtection="false" borderId="159" fillId="0" fontId="5" numFmtId="0" xfId="0">
      <alignment horizontal="center" vertical="center"/>
    </xf>
    <xf applyAlignment="true" applyBorder="false" applyFill="false" applyFont="true" applyNumberFormat="false" applyProtection="false" borderId="159" fillId="0" fontId="8" numFmtId="0" xfId="0">
      <alignment horizontal="center" vertical="center" wrapText="true"/>
    </xf>
    <xf applyAlignment="true" applyBorder="false" applyFill="false" applyFont="true" applyNumberFormat="false" applyProtection="false" borderId="159" fillId="0" fontId="8" numFmtId="0" xfId="0">
      <alignment vertical="center"/>
    </xf>
    <xf applyAlignment="true" applyBorder="false" applyFill="false" applyFont="true" applyNumberFormat="false" applyProtection="false" borderId="159" fillId="0" fontId="8" numFmtId="0" xfId="0">
      <alignment vertical="center"/>
    </xf>
    <xf applyAlignment="true" applyBorder="false" applyFill="true" applyFont="true" applyNumberFormat="true" applyProtection="false" borderId="159" fillId="430" fontId="5" numFmtId="205" xfId="0">
      <alignment horizontal="center" vertical="center"/>
    </xf>
    <xf applyAlignment="true" applyBorder="false" applyFill="true" applyFont="true" applyNumberFormat="false" applyProtection="false" borderId="159" fillId="430" fontId="8" numFmtId="0" xfId="0">
      <alignment horizontal="center" vertical="center" wrapText="true"/>
    </xf>
    <xf applyAlignment="true" applyBorder="false" applyFill="true" applyFont="true" applyNumberFormat="false" applyProtection="false" borderId="159" fillId="430" fontId="8" numFmtId="0" xfId="0">
      <alignment vertical="center"/>
    </xf>
    <xf applyAlignment="true" applyBorder="false" applyFill="true" applyFont="true" applyNumberFormat="false" applyProtection="false" borderId="159" fillId="430" fontId="8" numFmtId="0" xfId="0">
      <alignment horizontal="center" vertical="center" wrapText="true"/>
    </xf>
    <xf applyAlignment="true" applyBorder="false" applyFill="false" applyFont="true" applyNumberFormat="false" applyProtection="false" borderId="159" fillId="0" fontId="8" numFmtId="0" xfId="0">
      <alignment horizontal="center" vertical="center" wrapText="true"/>
    </xf>
    <xf applyAlignment="true" applyBorder="false" applyFill="true" applyFont="true" applyNumberFormat="true" applyProtection="false" borderId="158" fillId="434" fontId="3" numFmtId="204" xfId="0">
      <alignment horizontal="center" vertical="center" wrapText="true"/>
    </xf>
    <xf applyAlignment="true" applyBorder="false" applyFill="true" applyFont="true" applyNumberFormat="true" applyProtection="false" borderId="168" fillId="434" fontId="7" numFmtId="204" xfId="0">
      <alignment horizontal="center" vertical="center" wrapText="true"/>
    </xf>
    <xf applyAlignment="true" applyBorder="false" applyFill="true" applyFont="true" applyNumberFormat="true" applyProtection="false" borderId="159" fillId="434" fontId="7" numFmtId="205" xfId="0">
      <alignment horizontal="center" vertical="center"/>
    </xf>
    <xf applyAlignment="true" applyBorder="false" applyFill="true" applyFont="true" applyNumberFormat="false" applyProtection="false" borderId="164" fillId="434" fontId="7" numFmtId="0" xfId="0">
      <alignment horizontal="center" vertical="center"/>
    </xf>
    <xf applyAlignment="true" applyBorder="false" applyFill="true" applyFont="true" applyNumberFormat="false" applyProtection="false" borderId="158" fillId="434" fontId="7" numFmtId="0" xfId="0">
      <alignment horizontal="center" vertical="center"/>
    </xf>
    <xf applyAlignment="true" applyBorder="false" applyFill="true" applyFont="true" applyNumberFormat="false" applyProtection="false" borderId="158" fillId="434" fontId="7" numFmtId="0" xfId="0">
      <alignment horizontal="center" vertical="center" wrapText="true"/>
    </xf>
    <xf applyAlignment="true" applyBorder="false" applyFill="true" applyFont="true" applyNumberFormat="false" applyProtection="false" borderId="168" fillId="434" fontId="7" numFmtId="0" xfId="0">
      <alignment horizontal="center" vertical="center"/>
    </xf>
    <xf applyAlignment="true" applyBorder="false" applyFill="true" applyFont="true" applyNumberFormat="false" applyProtection="false" borderId="159" fillId="434" fontId="7" numFmtId="0" xfId="0">
      <alignment horizontal="center" vertical="center"/>
    </xf>
    <xf applyAlignment="true" applyBorder="false" applyFill="false" applyFont="true" applyNumberFormat="false" applyProtection="false" borderId="163" fillId="0" fontId="5" numFmtId="0" xfId="0">
      <alignment horizontal="center" vertical="center"/>
    </xf>
    <xf applyAlignment="true" applyBorder="false" applyFill="true" applyFont="true" applyNumberFormat="true" applyProtection="false" borderId="159" fillId="430" fontId="5" numFmtId="206" xfId="0">
      <alignment horizontal="center" vertical="center"/>
    </xf>
    <xf applyAlignment="true" applyBorder="false" applyFill="false" applyFont="true" applyNumberFormat="false" applyProtection="false" borderId="163" fillId="0" fontId="5" numFmtId="0" xfId="0">
      <alignment horizontal="center" vertical="center"/>
    </xf>
    <xf applyAlignment="true" applyBorder="false" applyFill="true" applyFont="true" applyNumberFormat="true" applyProtection="false" borderId="158" fillId="445" fontId="3" numFmtId="204" xfId="0">
      <alignment horizontal="center" vertical="center" wrapText="true"/>
    </xf>
    <xf applyAlignment="true" applyBorder="false" applyFill="true" applyFont="true" applyNumberFormat="true" applyProtection="false" borderId="168" fillId="445" fontId="7" numFmtId="204" xfId="0">
      <alignment horizontal="center" vertical="center" wrapText="true"/>
    </xf>
    <xf applyAlignment="true" applyBorder="false" applyFill="true" applyFont="true" applyNumberFormat="true" applyProtection="false" borderId="159" fillId="445" fontId="7" numFmtId="205" xfId="0">
      <alignment horizontal="center" vertical="center"/>
    </xf>
    <xf applyAlignment="true" applyBorder="false" applyFill="true" applyFont="true" applyNumberFormat="false" applyProtection="false" borderId="164" fillId="445" fontId="7" numFmtId="0" xfId="0">
      <alignment horizontal="center" vertical="center"/>
    </xf>
    <xf applyAlignment="true" applyBorder="false" applyFill="true" applyFont="true" applyNumberFormat="false" applyProtection="false" borderId="158" fillId="445" fontId="7" numFmtId="0" xfId="0">
      <alignment horizontal="center" vertical="center"/>
    </xf>
    <xf applyAlignment="true" applyBorder="false" applyFill="true" applyFont="true" applyNumberFormat="false" applyProtection="false" borderId="158" fillId="445" fontId="7" numFmtId="0" xfId="0">
      <alignment horizontal="center" vertical="center" wrapText="true"/>
    </xf>
    <xf applyAlignment="true" applyBorder="false" applyFill="true" applyFont="true" applyNumberFormat="false" applyProtection="false" borderId="168" fillId="445" fontId="7" numFmtId="0" xfId="0">
      <alignment horizontal="center" vertical="center"/>
    </xf>
    <xf applyAlignment="true" applyBorder="false" applyFill="true" applyFont="true" applyNumberFormat="false" applyProtection="false" borderId="159" fillId="445" fontId="7" numFmtId="0" xfId="0">
      <alignment horizontal="center" vertical="center"/>
    </xf>
    <xf applyAlignment="true" applyBorder="false" applyFill="true" applyFont="true" applyNumberFormat="true" applyProtection="false" borderId="158" fillId="446" fontId="3" numFmtId="204" xfId="0">
      <alignment horizontal="center" vertical="center" wrapText="true"/>
    </xf>
    <xf applyAlignment="true" applyBorder="false" applyFill="true" applyFont="true" applyNumberFormat="false" applyProtection="false" borderId="0" fillId="446" fontId="15" numFmtId="0" xfId="0">
      <alignment horizontal="center" vertical="center"/>
    </xf>
    <xf applyAlignment="true" applyBorder="false" applyFill="true" applyFont="true" applyNumberFormat="false" applyProtection="false" borderId="0" fillId="446" fontId="5" numFmtId="0" xfId="0">
      <alignment horizontal="center" vertical="center"/>
    </xf>
    <xf applyAlignment="true" applyBorder="false" applyFill="true" applyFont="true" applyNumberFormat="false" applyProtection="false" borderId="0" fillId="446" fontId="8" numFmtId="0" xfId="0">
      <alignment vertical="center"/>
    </xf>
    <xf applyAlignment="true" applyBorder="false" applyFill="true" applyFont="true" applyNumberFormat="true" applyProtection="false" borderId="168" fillId="446" fontId="7" numFmtId="204" xfId="0">
      <alignment horizontal="center" vertical="center" wrapText="true"/>
    </xf>
    <xf applyAlignment="true" applyBorder="false" applyFill="true" applyFont="true" applyNumberFormat="true" applyProtection="false" borderId="159" fillId="446" fontId="7" numFmtId="205" xfId="0">
      <alignment horizontal="center" vertical="center"/>
    </xf>
    <xf applyAlignment="true" applyBorder="false" applyFill="true" applyFont="true" applyNumberFormat="false" applyProtection="false" borderId="164" fillId="446" fontId="7" numFmtId="0" xfId="0">
      <alignment horizontal="center" vertical="center"/>
    </xf>
    <xf applyAlignment="true" applyBorder="false" applyFill="true" applyFont="true" applyNumberFormat="false" applyProtection="false" borderId="158" fillId="446" fontId="7" numFmtId="0" xfId="0">
      <alignment horizontal="center" vertical="center"/>
    </xf>
    <xf applyAlignment="true" applyBorder="false" applyFill="true" applyFont="true" applyNumberFormat="false" applyProtection="false" borderId="158" fillId="446" fontId="7" numFmtId="0" xfId="0">
      <alignment horizontal="center" vertical="center" wrapText="true"/>
    </xf>
    <xf applyAlignment="true" applyBorder="false" applyFill="true" applyFont="true" applyNumberFormat="false" applyProtection="false" borderId="168" fillId="446" fontId="7" numFmtId="0" xfId="0">
      <alignment horizontal="center" vertical="center"/>
    </xf>
    <xf applyAlignment="true" applyBorder="false" applyFill="true" applyFont="true" applyNumberFormat="false" applyProtection="false" borderId="159" fillId="446" fontId="7" numFmtId="0" xfId="0">
      <alignment horizontal="center" vertical="center"/>
    </xf>
    <xf applyAlignment="true" applyBorder="false" applyFill="true" applyFont="true" applyNumberFormat="true" applyProtection="false" borderId="159" fillId="440" fontId="5" numFmtId="206" xfId="0">
      <alignment horizontal="center" vertical="center"/>
    </xf>
    <xf applyAlignment="true" applyBorder="false" applyFill="true" applyFont="true" applyNumberFormat="false" applyProtection="false" borderId="159" fillId="440" fontId="5" numFmtId="0" xfId="0">
      <alignment horizontal="center" vertical="center" wrapText="true"/>
    </xf>
    <xf applyAlignment="true" applyBorder="false" applyFill="true" applyFont="true" applyNumberFormat="false" applyProtection="false" borderId="0" fillId="440" fontId="15" numFmtId="0" xfId="0">
      <alignment horizontal="center" vertical="center"/>
    </xf>
    <xf applyAlignment="true" applyBorder="false" applyFill="true" applyFont="true" applyNumberFormat="false" applyProtection="false" borderId="0" fillId="440" fontId="5" numFmtId="0" xfId="0">
      <alignment horizontal="center" vertical="center"/>
    </xf>
    <xf applyAlignment="true" applyBorder="false" applyFill="true" applyFont="true" applyNumberFormat="false" applyProtection="false" borderId="0" fillId="440" fontId="8" numFmtId="0" xfId="0">
      <alignment vertical="center"/>
    </xf>
    <xf applyAlignment="true" applyBorder="false" applyFill="true" applyFont="true" applyNumberFormat="false" applyProtection="false" borderId="159" fillId="440" fontId="5" numFmtId="0" xfId="0">
      <alignment horizontal="center" vertical="center"/>
    </xf>
    <xf applyAlignment="true" applyBorder="false" applyFill="false" applyFont="true" applyNumberFormat="true" applyProtection="false" borderId="163" fillId="0" fontId="5" numFmtId="206" xfId="0">
      <alignment horizontal="center" vertical="center"/>
    </xf>
    <xf applyAlignment="true" applyBorder="false" applyFill="true" applyFont="true" applyNumberFormat="true" applyProtection="false" borderId="169" fillId="447" fontId="3" numFmtId="204" xfId="0">
      <alignment horizontal="center" vertical="center" wrapText="true"/>
    </xf>
    <xf applyAlignment="true" applyBorder="false" applyFill="true" applyFont="true" applyNumberFormat="true" applyProtection="false" borderId="168" fillId="447" fontId="7" numFmtId="204" xfId="0">
      <alignment horizontal="center" vertical="center" wrapText="true"/>
    </xf>
    <xf applyAlignment="true" applyBorder="false" applyFill="true" applyFont="true" applyNumberFormat="true" applyProtection="false" borderId="159" fillId="447" fontId="7" numFmtId="205" xfId="0">
      <alignment horizontal="center" vertical="center"/>
    </xf>
    <xf applyAlignment="true" applyBorder="false" applyFill="true" applyFont="true" applyNumberFormat="false" applyProtection="false" borderId="164" fillId="447" fontId="7" numFmtId="0" xfId="0">
      <alignment horizontal="center" vertical="center"/>
    </xf>
    <xf applyAlignment="true" applyBorder="false" applyFill="true" applyFont="true" applyNumberFormat="false" applyProtection="false" borderId="158" fillId="447" fontId="7" numFmtId="0" xfId="0">
      <alignment horizontal="center" vertical="center"/>
    </xf>
    <xf applyAlignment="true" applyBorder="false" applyFill="true" applyFont="true" applyNumberFormat="false" applyProtection="false" borderId="158" fillId="447" fontId="7" numFmtId="0" xfId="0">
      <alignment horizontal="center" vertical="center" wrapText="true"/>
    </xf>
    <xf applyAlignment="true" applyBorder="false" applyFill="true" applyFont="true" applyNumberFormat="false" applyProtection="false" borderId="168" fillId="447" fontId="7" numFmtId="0" xfId="0">
      <alignment horizontal="center" vertical="center"/>
    </xf>
    <xf applyAlignment="true" applyBorder="false" applyFill="true" applyFont="true" applyNumberFormat="false" applyProtection="false" borderId="159" fillId="447" fontId="7" numFmtId="0" xfId="0">
      <alignment horizontal="center" vertical="center"/>
    </xf>
    <xf applyAlignment="true" applyBorder="false" applyFill="true" applyFont="true" applyNumberFormat="true" applyProtection="false" borderId="159" fillId="432" fontId="3" numFmtId="204" xfId="0">
      <alignment horizontal="center" vertical="center" wrapText="true"/>
    </xf>
    <xf applyAlignment="true" applyBorder="false" applyFill="true" applyFont="true" applyNumberFormat="false" applyProtection="false" borderId="159" fillId="432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159" fillId="448" fontId="10" numFmtId="204" xfId="0">
      <alignment horizontal="center" vertical="center" wrapText="true"/>
    </xf>
    <xf applyAlignment="true" applyBorder="false" applyFill="true" applyFont="true" applyNumberFormat="true" applyProtection="false" borderId="159" fillId="448" fontId="7" numFmtId="204" xfId="0">
      <alignment horizontal="center" vertical="center" wrapText="true"/>
    </xf>
    <xf applyAlignment="true" applyBorder="false" applyFill="true" applyFont="true" applyNumberFormat="true" applyProtection="false" borderId="159" fillId="448" fontId="7" numFmtId="205" xfId="0">
      <alignment horizontal="center" vertical="center"/>
    </xf>
    <xf applyAlignment="true" applyBorder="false" applyFill="true" applyFont="true" applyNumberFormat="false" applyProtection="false" borderId="159" fillId="448" fontId="7" numFmtId="0" xfId="0">
      <alignment horizontal="center" vertical="center"/>
    </xf>
    <xf applyAlignment="true" applyBorder="false" applyFill="true" applyFont="true" applyNumberFormat="false" applyProtection="false" borderId="159" fillId="448" fontId="7" numFmtId="0" xfId="0">
      <alignment horizontal="center" vertical="center" wrapText="true"/>
    </xf>
    <xf applyAlignment="true" applyBorder="false" applyFill="false" applyFont="true" applyNumberFormat="false" applyProtection="false" borderId="170" fillId="0" fontId="8" numFmtId="0" xfId="0">
      <alignment horizontal="center" vertical="center"/>
    </xf>
    <xf applyAlignment="true" applyBorder="false" applyFill="true" applyFont="true" applyNumberFormat="true" applyProtection="false" borderId="159" fillId="430" fontId="15" numFmtId="206" xfId="0">
      <alignment horizontal="center" vertical="center"/>
    </xf>
    <xf applyAlignment="true" applyBorder="false" applyFill="true" applyFont="true" applyNumberFormat="true" applyProtection="false" borderId="159" fillId="449" fontId="7" numFmtId="204" xfId="0">
      <alignment horizontal="center" vertical="center" wrapText="true"/>
    </xf>
    <xf applyAlignment="true" applyBorder="false" applyFill="true" applyFont="true" applyNumberFormat="true" applyProtection="false" borderId="159" fillId="449" fontId="7" numFmtId="205" xfId="0">
      <alignment horizontal="center" vertical="center"/>
    </xf>
    <xf applyAlignment="true" applyBorder="false" applyFill="true" applyFont="true" applyNumberFormat="false" applyProtection="false" borderId="159" fillId="449" fontId="7" numFmtId="0" xfId="0">
      <alignment horizontal="center" vertical="center"/>
    </xf>
    <xf applyAlignment="true" applyBorder="false" applyFill="true" applyFont="true" applyNumberFormat="false" applyProtection="false" borderId="159" fillId="449" fontId="7" numFmtId="0" xfId="0">
      <alignment horizontal="center" vertical="center" wrapText="true"/>
    </xf>
    <xf applyAlignment="true" applyBorder="false" applyFill="true" applyFont="true" applyNumberFormat="true" applyProtection="false" borderId="159" fillId="449" fontId="3" numFmtId="204" xfId="0">
      <alignment horizontal="center" vertical="center" wrapText="true"/>
    </xf>
    <xf applyAlignment="true" applyBorder="false" applyFill="true" applyFont="true" applyNumberFormat="true" applyProtection="false" borderId="159" fillId="449" fontId="3" numFmtId="204" xfId="0">
      <alignment horizontal="center" vertical="center" wrapText="true"/>
    </xf>
    <xf applyAlignment="true" applyBorder="false" applyFill="true" applyFont="true" applyNumberFormat="false" applyProtection="false" borderId="159" fillId="430" fontId="5" numFmtId="0" xfId="0">
      <alignment horizontal="center" vertical="center"/>
    </xf>
    <xf applyAlignment="true" applyBorder="false" applyFill="true" applyFont="true" applyNumberFormat="true" applyProtection="false" borderId="159" fillId="447" fontId="3" numFmtId="204" xfId="0">
      <alignment horizontal="center" vertical="center" wrapText="true"/>
    </xf>
    <xf applyAlignment="true" applyBorder="false" applyFill="true" applyFont="true" applyNumberFormat="false" applyProtection="false" borderId="0" fillId="447" fontId="5" numFmtId="0" xfId="0">
      <alignment horizontal="center" vertical="center"/>
    </xf>
    <xf applyAlignment="true" applyBorder="false" applyFill="true" applyFont="true" applyNumberFormat="false" applyProtection="false" borderId="0" fillId="447" fontId="8" numFmtId="0" xfId="0">
      <alignment vertical="center"/>
    </xf>
    <xf applyAlignment="true" applyBorder="false" applyFill="true" applyFont="true" applyNumberFormat="true" applyProtection="false" borderId="159" fillId="447" fontId="7" numFmtId="204" xfId="0">
      <alignment horizontal="center" vertical="center" wrapText="true"/>
    </xf>
    <xf applyAlignment="true" applyBorder="false" applyFill="true" applyFont="true" applyNumberFormat="false" applyProtection="false" borderId="159" fillId="447" fontId="7" numFmtId="0" xfId="0">
      <alignment horizontal="center" vertical="center" wrapText="true"/>
    </xf>
    <xf applyAlignment="true" applyBorder="false" applyFill="true" applyFont="true" applyNumberFormat="false" applyProtection="false" borderId="159" fillId="440" fontId="5" numFmtId="0" xfId="0">
      <alignment horizontal="center" vertical="center" wrapText="true"/>
    </xf>
    <xf applyAlignment="true" applyBorder="false" applyFill="true" applyFont="true" applyNumberFormat="true" applyProtection="false" borderId="159" fillId="430" fontId="5" numFmtId="206" xfId="0">
      <alignment horizontal="center" vertical="center"/>
    </xf>
    <xf applyAlignment="true" applyBorder="false" applyFill="true" applyFont="true" applyNumberFormat="true" applyProtection="false" borderId="159" fillId="450" fontId="3" numFmtId="204" xfId="0">
      <alignment horizontal="center" vertical="center" wrapText="true"/>
    </xf>
    <xf applyAlignment="true" applyBorder="false" applyFill="true" applyFont="true" applyNumberFormat="false" applyProtection="false" borderId="0" fillId="450" fontId="5" numFmtId="0" xfId="0">
      <alignment horizontal="center" vertical="center"/>
    </xf>
    <xf applyAlignment="true" applyBorder="false" applyFill="true" applyFont="true" applyNumberFormat="false" applyProtection="false" borderId="0" fillId="450" fontId="8" numFmtId="0" xfId="0">
      <alignment vertical="center"/>
    </xf>
    <xf applyAlignment="true" applyBorder="false" applyFill="true" applyFont="true" applyNumberFormat="true" applyProtection="false" borderId="159" fillId="450" fontId="7" numFmtId="204" xfId="0">
      <alignment horizontal="center" vertical="center" wrapText="true"/>
    </xf>
    <xf applyAlignment="true" applyBorder="false" applyFill="true" applyFont="true" applyNumberFormat="true" applyProtection="false" borderId="159" fillId="450" fontId="7" numFmtId="205" xfId="0">
      <alignment horizontal="center" vertical="center"/>
    </xf>
    <xf applyAlignment="true" applyBorder="false" applyFill="true" applyFont="true" applyNumberFormat="false" applyProtection="false" borderId="159" fillId="450" fontId="7" numFmtId="0" xfId="0">
      <alignment horizontal="center" vertical="center"/>
    </xf>
    <xf applyAlignment="true" applyBorder="false" applyFill="true" applyFont="true" applyNumberFormat="false" applyProtection="false" borderId="159" fillId="450" fontId="7" numFmtId="0" xfId="0">
      <alignment horizontal="center" vertical="center" wrapText="true"/>
    </xf>
    <xf applyAlignment="true" applyBorder="false" applyFill="true" applyFont="true" applyNumberFormat="true" applyProtection="false" borderId="159" fillId="446" fontId="3" numFmtId="204" xfId="0">
      <alignment horizontal="center" vertical="center" wrapText="true"/>
    </xf>
    <xf applyAlignment="true" applyBorder="false" applyFill="true" applyFont="true" applyNumberFormat="true" applyProtection="false" borderId="159" fillId="446" fontId="7" numFmtId="204" xfId="0">
      <alignment horizontal="center" vertical="center" wrapText="true"/>
    </xf>
    <xf applyAlignment="true" applyBorder="false" applyFill="true" applyFont="true" applyNumberFormat="false" applyProtection="false" borderId="159" fillId="446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159" fillId="436" fontId="5" numFmtId="0" xfId="0">
      <alignment horizontal="center" vertical="center"/>
    </xf>
    <xf applyAlignment="true" applyBorder="false" applyFill="true" applyFont="true" applyNumberFormat="false" applyProtection="false" borderId="159" fillId="430" fontId="4" numFmtId="0" xfId="0">
      <alignment horizontal="center" vertical="center" wrapText="true"/>
    </xf>
    <xf applyAlignment="true" applyBorder="false" applyFill="true" applyFont="true" applyNumberFormat="false" applyProtection="false" borderId="0" fillId="430" fontId="4" numFmtId="0" xfId="0">
      <alignment horizontal="center" vertical="center"/>
    </xf>
    <xf applyAlignment="true" applyBorder="false" applyFill="true" applyFont="true" applyNumberFormat="false" applyProtection="false" borderId="0" fillId="430" fontId="22" numFmtId="0" xfId="0">
      <alignment vertical="center"/>
    </xf>
    <xf applyAlignment="true" applyBorder="false" applyFill="true" applyFont="true" applyNumberFormat="true" applyProtection="false" borderId="159" fillId="436" fontId="4" numFmtId="205" xfId="0">
      <alignment horizontal="center" vertical="center"/>
    </xf>
    <xf applyAlignment="true" applyBorder="false" applyFill="true" applyFont="true" applyNumberFormat="false" applyProtection="false" borderId="159" fillId="436" fontId="4" numFmtId="0" xfId="0">
      <alignment horizontal="center" vertical="center"/>
    </xf>
    <xf applyAlignment="true" applyBorder="false" applyFill="true" applyFont="true" applyNumberFormat="false" applyProtection="false" borderId="159" fillId="436" fontId="5" numFmtId="0" xfId="0">
      <alignment horizontal="center" vertical="center" wrapText="true"/>
    </xf>
    <xf applyAlignment="true" applyBorder="false" applyFill="true" applyFont="true" applyNumberFormat="false" applyProtection="false" borderId="0" fillId="436" fontId="5" numFmtId="0" xfId="0">
      <alignment horizontal="center" vertical="center"/>
    </xf>
    <xf applyAlignment="true" applyBorder="false" applyFill="true" applyFont="true" applyNumberFormat="true" applyProtection="false" borderId="159" fillId="446" fontId="4" numFmtId="205" xfId="0">
      <alignment horizontal="center" vertical="center"/>
    </xf>
    <xf applyAlignment="true" applyBorder="false" applyFill="true" applyFont="true" applyNumberFormat="false" applyProtection="false" borderId="159" fillId="446" fontId="5" numFmtId="0" xfId="0">
      <alignment horizontal="center" vertical="center"/>
    </xf>
    <xf applyAlignment="true" applyBorder="false" applyFill="true" applyFont="true" applyNumberFormat="false" applyProtection="false" borderId="159" fillId="446" fontId="5" numFmtId="0" xfId="0">
      <alignment horizontal="center" vertical="center" wrapText="true"/>
    </xf>
    <xf applyAlignment="true" applyBorder="false" applyFill="true" applyFont="true" applyNumberFormat="false" applyProtection="false" borderId="159" fillId="446" fontId="4" numFmtId="0" xfId="0">
      <alignment horizontal="center" vertical="center"/>
    </xf>
    <xf applyAlignment="true" applyBorder="false" applyFill="true" applyFont="true" applyNumberFormat="false" applyProtection="false" borderId="159" fillId="446" fontId="5" numFmtId="0" xfId="0">
      <alignment horizontal="center" vertical="center"/>
    </xf>
    <xf applyAlignment="true" applyBorder="false" applyFill="true" applyFont="true" applyNumberFormat="false" applyProtection="false" borderId="163" fillId="446" fontId="5" numFmtId="0" xfId="0">
      <alignment horizontal="center" vertical="center"/>
    </xf>
    <xf applyAlignment="true" applyBorder="false" applyFill="true" applyFont="true" applyNumberFormat="false" applyProtection="false" borderId="159" fillId="446" fontId="4" numFmtId="0" xfId="0">
      <alignment horizontal="center" vertical="center" wrapText="true"/>
    </xf>
    <xf applyAlignment="true" applyBorder="false" applyFill="true" applyFont="true" applyNumberFormat="false" applyProtection="false" borderId="0" fillId="446" fontId="4" numFmtId="0" xfId="0">
      <alignment horizontal="center" vertical="center"/>
    </xf>
    <xf applyAlignment="true" applyBorder="false" applyFill="true" applyFont="true" applyNumberFormat="false" applyProtection="false" borderId="0" fillId="446" fontId="22" numFmtId="0" xfId="0">
      <alignment vertical="center"/>
    </xf>
    <xf applyAlignment="true" applyBorder="false" applyFill="true" applyFont="true" applyNumberFormat="false" applyProtection="false" borderId="159" fillId="446" fontId="5" numFmtId="0" xfId="0">
      <alignment horizontal="center" vertical="center" wrapText="true"/>
    </xf>
    <xf applyAlignment="true" applyBorder="false" applyFill="true" applyFont="true" applyNumberFormat="false" applyProtection="false" borderId="162" fillId="446" fontId="5" numFmtId="0" xfId="0">
      <alignment horizontal="center" vertical="center"/>
    </xf>
    <xf applyAlignment="true" applyBorder="false" applyFill="true" applyFont="true" applyNumberFormat="true" applyProtection="false" borderId="159" fillId="451" fontId="4" numFmtId="205" xfId="0">
      <alignment horizontal="center" vertical="center"/>
    </xf>
    <xf applyAlignment="true" applyBorder="false" applyFill="true" applyFont="true" applyNumberFormat="true" applyProtection="false" borderId="159" fillId="451" fontId="4" numFmtId="205" xfId="0">
      <alignment horizontal="center" vertical="center"/>
    </xf>
    <xf applyAlignment="true" applyBorder="false" applyFill="true" applyFont="true" applyNumberFormat="false" applyProtection="false" borderId="159" fillId="451" fontId="5" numFmtId="0" xfId="0">
      <alignment horizontal="center" vertical="center"/>
    </xf>
    <xf applyAlignment="true" applyBorder="false" applyFill="true" applyFont="true" applyNumberFormat="false" applyProtection="false" borderId="159" fillId="451" fontId="4" numFmtId="0" xfId="0">
      <alignment horizontal="center" vertical="center"/>
    </xf>
    <xf applyAlignment="true" applyBorder="false" applyFill="true" applyFont="true" applyNumberFormat="false" applyProtection="false" borderId="163" fillId="451" fontId="5" numFmtId="0" xfId="0">
      <alignment horizontal="center" vertical="center"/>
    </xf>
    <xf applyAlignment="true" applyBorder="false" applyFill="true" applyFont="true" applyNumberFormat="false" applyProtection="false" borderId="159" fillId="451" fontId="4" numFmtId="0" xfId="0">
      <alignment horizontal="center" vertical="center" wrapText="true"/>
    </xf>
    <xf applyAlignment="true" applyBorder="false" applyFill="true" applyFont="true" applyNumberFormat="false" applyProtection="false" borderId="159" fillId="451" fontId="5" numFmtId="0" xfId="0">
      <alignment horizontal="center" vertical="center"/>
    </xf>
    <xf applyAlignment="true" applyBorder="false" applyFill="true" applyFont="true" applyNumberFormat="false" applyProtection="false" borderId="0" fillId="451" fontId="4" numFmtId="0" xfId="0">
      <alignment horizontal="center" vertical="center"/>
    </xf>
    <xf applyAlignment="true" applyBorder="false" applyFill="true" applyFont="true" applyNumberFormat="false" applyProtection="false" borderId="0" fillId="451" fontId="22" numFmtId="0" xfId="0">
      <alignment vertical="center"/>
    </xf>
    <xf applyAlignment="true" applyBorder="false" applyFill="false" applyFont="true" applyNumberFormat="false" applyProtection="false" borderId="168" fillId="0" fontId="5" numFmtId="0" xfId="0">
      <alignment horizontal="center" vertical="center" wrapText="true"/>
    </xf>
    <xf applyAlignment="true" applyBorder="false" applyFill="false" applyFont="true" applyNumberFormat="false" applyProtection="false" borderId="164" fillId="0" fontId="5" numFmtId="0" xfId="0">
      <alignment horizontal="center" vertical="center"/>
    </xf>
    <xf applyAlignment="true" applyBorder="false" applyFill="true" applyFont="true" applyNumberFormat="false" applyProtection="false" borderId="168" fillId="440" fontId="5" numFmtId="0" xfId="0">
      <alignment horizontal="center" vertical="center" wrapText="true"/>
    </xf>
    <xf applyAlignment="true" applyBorder="false" applyFill="true" applyFont="true" applyNumberFormat="false" applyProtection="false" borderId="164" fillId="440" fontId="5" numFmtId="0" xfId="0">
      <alignment horizontal="center" vertical="center"/>
    </xf>
    <xf applyAlignment="true" applyBorder="false" applyFill="false" applyFont="true" applyNumberFormat="false" applyProtection="false" borderId="168" fillId="0" fontId="5" numFmtId="0" xfId="0">
      <alignment horizontal="center" vertical="center" wrapText="true"/>
    </xf>
    <xf applyAlignment="true" applyBorder="false" applyFill="true" applyFont="true" applyNumberFormat="false" applyProtection="false" borderId="168" fillId="446" fontId="5" numFmtId="0" xfId="0">
      <alignment horizontal="center" vertical="center" wrapText="true"/>
    </xf>
    <xf applyAlignment="true" applyBorder="false" applyFill="true" applyFont="true" applyNumberFormat="false" applyProtection="false" borderId="168" fillId="446" fontId="5" numFmtId="0" xfId="0">
      <alignment horizontal="center" vertical="center" wrapText="true"/>
    </xf>
    <xf applyAlignment="true" applyBorder="false" applyFill="true" applyFont="true" applyNumberFormat="true" applyProtection="false" borderId="0" fillId="430" fontId="4" numFmtId="205" xfId="0">
      <alignment horizontal="center" vertical="center"/>
    </xf>
    <xf applyAlignment="true" applyBorder="false" applyFill="false" applyFont="true" applyNumberFormat="false" applyProtection="false" borderId="160" fillId="0" fontId="5" numFmtId="0" xfId="0">
      <alignment horizontal="center" vertical="center" wrapText="true"/>
    </xf>
    <xf applyAlignment="true" applyBorder="false" applyFill="false" applyFont="true" applyNumberFormat="false" applyProtection="false" borderId="162" fillId="0" fontId="5" numFmtId="0" xfId="0">
      <alignment horizontal="center" vertical="center"/>
    </xf>
    <xf applyAlignment="true" applyBorder="false" applyFill="false" applyFont="true" applyNumberFormat="false" applyProtection="false" borderId="160" fillId="0" fontId="5" numFmtId="0" xfId="0">
      <alignment horizontal="center" vertical="center" wrapText="true"/>
    </xf>
    <xf applyAlignment="true" applyBorder="false" applyFill="true" applyFont="true" applyNumberFormat="true" applyProtection="false" borderId="159" fillId="452" fontId="3" numFmtId="204" xfId="0">
      <alignment horizontal="center" vertical="center" wrapText="true"/>
    </xf>
    <xf applyAlignment="true" applyBorder="false" applyFill="true" applyFont="true" applyNumberFormat="true" applyProtection="false" borderId="159" fillId="452" fontId="7" numFmtId="204" xfId="0">
      <alignment horizontal="center" vertical="center" wrapText="true"/>
    </xf>
    <xf applyAlignment="true" applyBorder="false" applyFill="true" applyFont="true" applyNumberFormat="true" applyProtection="false" borderId="159" fillId="452" fontId="7" numFmtId="205" xfId="0">
      <alignment horizontal="center" vertical="center"/>
    </xf>
    <xf applyAlignment="true" applyBorder="false" applyFill="true" applyFont="true" applyNumberFormat="false" applyProtection="false" borderId="159" fillId="452" fontId="7" numFmtId="0" xfId="0">
      <alignment horizontal="center" vertical="center"/>
    </xf>
    <xf applyAlignment="true" applyBorder="false" applyFill="true" applyFont="true" applyNumberFormat="false" applyProtection="false" borderId="159" fillId="452" fontId="7" numFmtId="0" xfId="0">
      <alignment horizontal="center" vertical="center" wrapText="true"/>
    </xf>
    <xf applyAlignment="true" applyBorder="false" applyFill="true" applyFont="true" applyNumberFormat="true" applyProtection="false" borderId="159" fillId="432" fontId="4" numFmtId="205" xfId="0">
      <alignment horizontal="center" vertical="center"/>
    </xf>
    <xf applyAlignment="true" applyBorder="false" applyFill="true" applyFont="true" applyNumberFormat="false" applyProtection="false" borderId="159" fillId="432" fontId="5" numFmtId="0" xfId="0">
      <alignment horizontal="center" vertical="center"/>
    </xf>
    <xf applyAlignment="true" applyBorder="false" applyFill="true" applyFont="true" applyNumberFormat="false" applyProtection="false" borderId="159" fillId="432" fontId="5" numFmtId="0" xfId="0">
      <alignment horizontal="center" vertical="center"/>
    </xf>
    <xf applyAlignment="true" applyBorder="false" applyFill="true" applyFont="true" applyNumberFormat="false" applyProtection="false" borderId="159" fillId="432" fontId="5" numFmtId="0" xfId="0">
      <alignment horizontal="center" vertical="center" wrapText="true"/>
    </xf>
    <xf applyAlignment="true" applyBorder="false" applyFill="true" applyFont="true" applyNumberFormat="false" applyProtection="false" borderId="0" fillId="432" fontId="5" numFmtId="0" xfId="0">
      <alignment horizontal="center" vertical="center"/>
    </xf>
    <xf applyAlignment="true" applyBorder="false" applyFill="true" applyFont="true" applyNumberFormat="false" applyProtection="false" borderId="0" fillId="432" fontId="8" numFmtId="0" xfId="0">
      <alignment vertical="center"/>
    </xf>
    <xf applyAlignment="true" applyBorder="false" applyFill="true" applyFont="true" applyNumberFormat="false" applyProtection="false" borderId="159" fillId="432" fontId="4" numFmtId="0" xfId="0">
      <alignment horizontal="center" vertical="center"/>
    </xf>
    <xf applyAlignment="true" applyBorder="false" applyFill="true" applyFont="true" applyNumberFormat="false" applyProtection="false" borderId="159" fillId="432" fontId="4" numFmtId="0" xfId="0">
      <alignment horizontal="center" vertical="center" wrapText="true"/>
    </xf>
    <xf applyAlignment="true" applyBorder="false" applyFill="true" applyFont="true" applyNumberFormat="false" applyProtection="false" borderId="0" fillId="432" fontId="4" numFmtId="0" xfId="0">
      <alignment horizontal="center" vertical="center"/>
    </xf>
    <xf applyAlignment="true" applyBorder="false" applyFill="true" applyFont="true" applyNumberFormat="false" applyProtection="false" borderId="159" fillId="430" fontId="4" numFmtId="0" xfId="0">
      <alignment horizontal="center" vertical="center"/>
    </xf>
    <xf applyAlignment="true" applyBorder="false" applyFill="true" applyFont="true" applyNumberFormat="false" applyProtection="false" borderId="159" fillId="430" fontId="4" numFmtId="0" xfId="0">
      <alignment horizontal="center" vertical="center" wrapText="true"/>
    </xf>
    <xf applyAlignment="true" applyBorder="false" applyFill="true" applyFont="true" applyNumberFormat="true" applyProtection="false" borderId="158" fillId="447" fontId="3" numFmtId="204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159" fillId="453" fontId="3" numFmtId="204" xfId="0">
      <alignment horizontal="center" vertical="center" wrapText="true"/>
    </xf>
    <xf applyAlignment="true" applyBorder="false" applyFill="true" applyFont="true" applyNumberFormat="true" applyProtection="false" borderId="158" fillId="453" fontId="7" numFmtId="204" xfId="0">
      <alignment horizontal="center" vertical="center" wrapText="true"/>
    </xf>
    <xf applyAlignment="true" applyBorder="false" applyFill="true" applyFont="true" applyNumberFormat="true" applyProtection="false" borderId="158" fillId="453" fontId="7" numFmtId="205" xfId="0">
      <alignment horizontal="center" vertical="center"/>
    </xf>
    <xf applyAlignment="true" applyBorder="false" applyFill="true" applyFont="true" applyNumberFormat="false" applyProtection="false" borderId="158" fillId="453" fontId="7" numFmtId="0" xfId="0">
      <alignment horizontal="center" vertical="center"/>
    </xf>
    <xf applyAlignment="true" applyBorder="false" applyFill="true" applyFont="true" applyNumberFormat="false" applyProtection="false" borderId="158" fillId="453" fontId="7" numFmtId="0" xfId="0">
      <alignment horizontal="center" vertical="center" wrapText="true"/>
    </xf>
    <xf applyAlignment="true" applyBorder="false" applyFill="true" applyFont="true" applyNumberFormat="true" applyProtection="false" borderId="159" fillId="454" fontId="4" numFmtId="205" xfId="0">
      <alignment horizontal="center" vertical="center"/>
    </xf>
    <xf applyAlignment="true" applyBorder="false" applyFill="true" applyFont="true" applyNumberFormat="false" applyProtection="false" borderId="159" fillId="454" fontId="5" numFmtId="0" xfId="0">
      <alignment horizontal="center" vertical="center"/>
    </xf>
    <xf applyAlignment="true" applyBorder="false" applyFill="true" applyFont="true" applyNumberFormat="false" applyProtection="false" borderId="159" fillId="454" fontId="5" numFmtId="0" xfId="0">
      <alignment horizontal="center" vertical="center" wrapText="true"/>
    </xf>
    <xf applyAlignment="true" applyBorder="false" applyFill="true" applyFont="true" applyNumberFormat="false" applyProtection="false" borderId="0" fillId="454" fontId="5" numFmtId="0" xfId="0">
      <alignment horizontal="center" vertical="center"/>
    </xf>
    <xf applyAlignment="true" applyBorder="false" applyFill="true" applyFont="true" applyNumberFormat="true" applyProtection="false" borderId="159" fillId="455" fontId="3" numFmtId="204" xfId="0">
      <alignment horizontal="center" vertical="center" wrapText="true"/>
    </xf>
    <xf applyAlignment="true" applyBorder="false" applyFill="true" applyFont="true" applyNumberFormat="true" applyProtection="false" borderId="159" fillId="455" fontId="7" numFmtId="204" xfId="0">
      <alignment horizontal="center" vertical="center" wrapText="true"/>
    </xf>
    <xf applyAlignment="true" applyBorder="false" applyFill="true" applyFont="true" applyNumberFormat="true" applyProtection="false" borderId="159" fillId="455" fontId="7" numFmtId="205" xfId="0">
      <alignment horizontal="center" vertical="center"/>
    </xf>
    <xf applyAlignment="true" applyBorder="false" applyFill="true" applyFont="true" applyNumberFormat="false" applyProtection="false" borderId="159" fillId="455" fontId="7" numFmtId="0" xfId="0">
      <alignment horizontal="center" vertical="center"/>
    </xf>
    <xf applyAlignment="true" applyBorder="false" applyFill="true" applyFont="true" applyNumberFormat="false" applyProtection="false" borderId="159" fillId="455" fontId="7" numFmtId="0" xfId="0">
      <alignment horizontal="center" vertical="center" wrapText="true"/>
    </xf>
    <xf applyAlignment="true" applyBorder="false" applyFill="true" applyFont="true" applyNumberFormat="false" applyProtection="false" borderId="162" fillId="430" fontId="5" numFmtId="0" xfId="0">
      <alignment horizontal="center" vertical="center"/>
    </xf>
    <xf applyAlignment="true" applyBorder="false" applyFill="true" applyFont="true" applyNumberFormat="false" applyProtection="false" borderId="160" fillId="436" fontId="5" numFmtId="0" xfId="0">
      <alignment horizontal="center" vertical="center" wrapText="true"/>
    </xf>
    <xf applyAlignment="true" applyBorder="false" applyFill="true" applyFont="true" applyNumberFormat="false" applyProtection="false" borderId="159" fillId="436" fontId="5" numFmtId="0" xfId="0">
      <alignment horizontal="left" vertical="center" wrapText="true"/>
    </xf>
    <xf applyAlignment="true" applyBorder="false" applyFill="true" applyFont="true" applyNumberFormat="true" applyProtection="false" borderId="158" fillId="436" fontId="4" numFmtId="205" xfId="0">
      <alignment horizontal="center" vertical="center"/>
    </xf>
    <xf applyAlignment="true" applyBorder="false" applyFill="true" applyFont="true" applyNumberFormat="true" applyProtection="false" borderId="159" fillId="456" fontId="3" numFmtId="204" xfId="0">
      <alignment horizontal="center" vertical="center" wrapText="true"/>
    </xf>
    <xf applyAlignment="true" applyBorder="false" applyFill="true" applyFont="true" applyNumberFormat="true" applyProtection="false" borderId="159" fillId="456" fontId="7" numFmtId="204" xfId="0">
      <alignment horizontal="center" vertical="center" wrapText="true"/>
    </xf>
    <xf applyAlignment="true" applyBorder="false" applyFill="true" applyFont="true" applyNumberFormat="true" applyProtection="false" borderId="159" fillId="456" fontId="7" numFmtId="205" xfId="0">
      <alignment horizontal="center" vertical="center"/>
    </xf>
    <xf applyAlignment="true" applyBorder="false" applyFill="true" applyFont="true" applyNumberFormat="false" applyProtection="false" borderId="159" fillId="456" fontId="7" numFmtId="0" xfId="0">
      <alignment horizontal="center" vertical="center"/>
    </xf>
    <xf applyAlignment="true" applyBorder="false" applyFill="true" applyFont="true" applyNumberFormat="false" applyProtection="false" borderId="159" fillId="456" fontId="7" numFmtId="0" xfId="0">
      <alignment horizontal="center" vertical="center" wrapText="true"/>
    </xf>
    <xf applyAlignment="true" applyBorder="false" applyFill="true" applyFont="true" applyNumberFormat="false" applyProtection="false" borderId="159" fillId="457" fontId="5" numFmtId="0" xfId="0">
      <alignment horizontal="center" vertical="center"/>
    </xf>
    <xf applyAlignment="true" applyBorder="false" applyFill="true" applyFont="true" applyNumberFormat="true" applyProtection="false" borderId="159" fillId="458" fontId="4" numFmtId="205" xfId="0">
      <alignment horizontal="center" vertical="center"/>
    </xf>
    <xf applyAlignment="true" applyBorder="false" applyFill="true" applyFont="true" applyNumberFormat="false" applyProtection="false" borderId="159" fillId="458" fontId="5" numFmtId="0" xfId="0">
      <alignment horizontal="center" vertical="center"/>
    </xf>
    <xf applyAlignment="true" applyBorder="false" applyFill="true" applyFont="true" applyNumberFormat="false" applyProtection="false" borderId="159" fillId="458" fontId="5" numFmtId="0" xfId="0">
      <alignment horizontal="center" vertical="center"/>
    </xf>
    <xf applyAlignment="true" applyBorder="false" applyFill="true" applyFont="true" applyNumberFormat="false" applyProtection="false" borderId="159" fillId="458" fontId="5" numFmtId="0" xfId="0">
      <alignment horizontal="center" vertical="center" wrapText="true"/>
    </xf>
    <xf applyAlignment="true" applyBorder="false" applyFill="false" applyFont="true" applyNumberFormat="false" applyProtection="false" borderId="160" fillId="0" fontId="5" numFmtId="0" xfId="0">
      <alignment horizontal="center" vertical="center"/>
    </xf>
    <xf applyAlignment="true" applyBorder="false" applyFill="true" applyFont="true" applyNumberFormat="true" applyProtection="false" borderId="159" fillId="459" fontId="10" numFmtId="204" xfId="0">
      <alignment horizontal="center" vertical="center" wrapText="true"/>
    </xf>
    <xf applyAlignment="true" applyBorder="false" applyFill="true" applyFont="true" applyNumberFormat="true" applyProtection="false" borderId="159" fillId="459" fontId="7" numFmtId="204" xfId="0">
      <alignment horizontal="center" vertical="center" wrapText="true"/>
    </xf>
    <xf applyAlignment="true" applyBorder="false" applyFill="true" applyFont="true" applyNumberFormat="true" applyProtection="false" borderId="159" fillId="459" fontId="7" numFmtId="205" xfId="0">
      <alignment horizontal="center" vertical="center"/>
    </xf>
    <xf applyAlignment="true" applyBorder="false" applyFill="true" applyFont="true" applyNumberFormat="false" applyProtection="false" borderId="159" fillId="459" fontId="7" numFmtId="0" xfId="0">
      <alignment horizontal="center" vertical="center"/>
    </xf>
    <xf applyAlignment="true" applyBorder="false" applyFill="true" applyFont="true" applyNumberFormat="false" applyProtection="false" borderId="159" fillId="459" fontId="7" numFmtId="0" xfId="0">
      <alignment horizontal="center" vertical="center" wrapText="true"/>
    </xf>
    <xf applyAlignment="true" applyBorder="false" applyFill="true" applyFont="true" applyNumberFormat="false" applyProtection="false" borderId="159" fillId="459" fontId="23" numFmtId="0" xfId="0">
      <alignment horizontal="center" vertical="center"/>
    </xf>
    <xf applyAlignment="true" applyBorder="false" applyFill="false" applyFont="true" applyNumberFormat="false" applyProtection="false" borderId="159" fillId="0" fontId="15" numFmtId="0" xfId="0">
      <alignment horizontal="center" vertical="center"/>
    </xf>
    <xf applyAlignment="true" applyBorder="false" applyFill="true" applyFont="true" applyNumberFormat="true" applyProtection="false" borderId="159" fillId="460" fontId="3" numFmtId="204" xfId="0">
      <alignment horizontal="center" vertical="center" wrapText="true"/>
    </xf>
    <xf applyAlignment="true" applyBorder="false" applyFill="true" applyFont="true" applyNumberFormat="true" applyProtection="false" borderId="159" fillId="460" fontId="7" numFmtId="204" xfId="0">
      <alignment horizontal="center" vertical="center" wrapText="true"/>
    </xf>
    <xf applyAlignment="true" applyBorder="false" applyFill="true" applyFont="true" applyNumberFormat="true" applyProtection="false" borderId="159" fillId="460" fontId="7" numFmtId="205" xfId="0">
      <alignment horizontal="center" vertical="center"/>
    </xf>
    <xf applyAlignment="true" applyBorder="false" applyFill="true" applyFont="true" applyNumberFormat="false" applyProtection="false" borderId="159" fillId="460" fontId="7" numFmtId="0" xfId="0">
      <alignment horizontal="center" vertical="center"/>
    </xf>
    <xf applyAlignment="true" applyBorder="false" applyFill="true" applyFont="true" applyNumberFormat="false" applyProtection="false" borderId="159" fillId="460" fontId="7" numFmtId="0" xfId="0">
      <alignment horizontal="center" vertical="center" wrapText="true"/>
    </xf>
    <xf applyAlignment="true" applyBorder="false" applyFill="true" applyFont="true" applyNumberFormat="true" applyProtection="false" borderId="159" fillId="446" fontId="4" numFmtId="205" xfId="0">
      <alignment horizontal="center" vertical="center"/>
    </xf>
    <xf applyAlignment="true" applyBorder="false" applyFill="true" applyFont="true" applyNumberFormat="false" applyProtection="false" borderId="159" fillId="441" fontId="5" numFmtId="0" xfId="0">
      <alignment horizontal="center" vertical="center"/>
    </xf>
    <xf applyAlignment="true" applyBorder="false" applyFill="false" applyFont="true" applyNumberFormat="false" applyProtection="false" borderId="0" fillId="0" fontId="22" numFmtId="0" xfId="0">
      <alignment vertical="center"/>
    </xf>
    <xf applyAlignment="true" applyBorder="false" applyFill="true" applyFont="true" applyNumberFormat="true" applyProtection="false" borderId="159" fillId="461" fontId="16" numFmtId="204" xfId="0">
      <alignment horizontal="center" vertical="center" wrapText="true"/>
    </xf>
    <xf applyAlignment="true" applyBorder="false" applyFill="true" applyFont="true" applyNumberFormat="false" applyProtection="false" borderId="0" fillId="461" fontId="15" numFmtId="0" xfId="0">
      <alignment horizontal="center" vertical="center"/>
    </xf>
    <xf applyAlignment="true" applyBorder="false" applyFill="true" applyFont="true" applyNumberFormat="false" applyProtection="false" borderId="0" fillId="461" fontId="5" numFmtId="0" xfId="0">
      <alignment horizontal="center" vertical="center"/>
    </xf>
    <xf applyAlignment="true" applyBorder="false" applyFill="true" applyFont="true" applyNumberFormat="true" applyProtection="false" borderId="159" fillId="461" fontId="7" numFmtId="204" xfId="0">
      <alignment horizontal="center" vertical="center" wrapText="true"/>
    </xf>
    <xf applyAlignment="true" applyBorder="false" applyFill="true" applyFont="true" applyNumberFormat="true" applyProtection="false" borderId="159" fillId="461" fontId="7" numFmtId="205" xfId="0">
      <alignment horizontal="center" vertical="center"/>
    </xf>
    <xf applyAlignment="true" applyBorder="false" applyFill="true" applyFont="true" applyNumberFormat="false" applyProtection="false" borderId="159" fillId="461" fontId="7" numFmtId="0" xfId="0">
      <alignment horizontal="center" vertical="center"/>
    </xf>
    <xf applyAlignment="true" applyBorder="false" applyFill="true" applyFont="true" applyNumberFormat="false" applyProtection="false" borderId="159" fillId="461" fontId="7" numFmtId="0" xfId="0">
      <alignment horizontal="center" vertical="center" wrapText="true"/>
    </xf>
    <xf applyAlignment="true" applyBorder="false" applyFill="true" applyFont="true" applyNumberFormat="true" applyProtection="false" borderId="159" fillId="461" fontId="4" numFmtId="205" xfId="0">
      <alignment horizontal="center" vertical="center"/>
    </xf>
    <xf applyAlignment="true" applyBorder="false" applyFill="true" applyFont="true" applyNumberFormat="false" applyProtection="false" borderId="159" fillId="461" fontId="5" numFmtId="0" xfId="0">
      <alignment horizontal="center" vertical="center"/>
    </xf>
    <xf applyAlignment="true" applyBorder="false" applyFill="true" applyFont="true" applyNumberFormat="false" applyProtection="false" borderId="159" fillId="461" fontId="5" numFmtId="0" xfId="0">
      <alignment horizontal="center" vertical="center"/>
    </xf>
    <xf applyAlignment="true" applyBorder="false" applyFill="true" applyFont="true" applyNumberFormat="false" applyProtection="false" borderId="159" fillId="461" fontId="5" numFmtId="0" xfId="0">
      <alignment horizontal="center" vertical="center" wrapText="true"/>
    </xf>
    <xf applyAlignment="true" applyBorder="false" applyFill="true" applyFont="true" applyNumberFormat="false" applyProtection="false" borderId="162" fillId="461" fontId="5" numFmtId="0" xfId="0">
      <alignment horizontal="center" vertical="center"/>
    </xf>
    <xf applyAlignment="true" applyBorder="false" applyFill="true" applyFont="true" applyNumberFormat="false" applyProtection="false" borderId="159" fillId="429" fontId="18" numFmtId="0" xfId="0">
      <alignment horizontal="center" vertical="center"/>
    </xf>
    <xf applyAlignment="true" applyBorder="false" applyFill="true" applyFont="true" applyNumberFormat="true" applyProtection="false" borderId="159" fillId="461" fontId="4" numFmtId="205" xfId="0">
      <alignment horizontal="center" vertical="center"/>
    </xf>
    <xf applyAlignment="true" applyBorder="false" applyFill="true" applyFont="true" applyNumberFormat="true" applyProtection="false" borderId="159" fillId="453" fontId="16" numFmtId="204" xfId="0">
      <alignment horizontal="center" vertical="center" wrapText="true"/>
    </xf>
    <xf applyAlignment="true" applyBorder="false" applyFill="true" applyFont="true" applyNumberFormat="true" applyProtection="false" borderId="159" fillId="462" fontId="7" numFmtId="204" xfId="0">
      <alignment horizontal="center" vertical="center" wrapText="true"/>
    </xf>
    <xf applyAlignment="true" applyBorder="false" applyFill="true" applyFont="true" applyNumberFormat="true" applyProtection="false" borderId="159" fillId="462" fontId="7" numFmtId="205" xfId="0">
      <alignment horizontal="center" vertical="center"/>
    </xf>
    <xf applyAlignment="true" applyBorder="false" applyFill="true" applyFont="true" applyNumberFormat="false" applyProtection="false" borderId="159" fillId="462" fontId="7" numFmtId="0" xfId="0">
      <alignment horizontal="center" vertical="center"/>
    </xf>
    <xf applyAlignment="true" applyBorder="false" applyFill="true" applyFont="true" applyNumberFormat="false" applyProtection="false" borderId="159" fillId="462" fontId="7" numFmtId="0" xfId="0">
      <alignment horizontal="center" vertical="center" wrapText="true"/>
    </xf>
    <xf applyAlignment="true" applyBorder="false" applyFill="true" applyFont="true" applyNumberFormat="true" applyProtection="false" borderId="159" fillId="448" fontId="4" numFmtId="205" xfId="0">
      <alignment horizontal="center" vertical="center"/>
    </xf>
    <xf applyAlignment="true" applyBorder="false" applyFill="true" applyFont="true" applyNumberFormat="false" applyProtection="false" borderId="159" fillId="448" fontId="5" numFmtId="0" xfId="0">
      <alignment horizontal="center" vertical="center"/>
    </xf>
    <xf applyAlignment="true" applyBorder="false" applyFill="true" applyFont="true" applyNumberFormat="false" applyProtection="false" borderId="159" fillId="448" fontId="5" numFmtId="0" xfId="0">
      <alignment horizontal="center" vertical="center" wrapText="true"/>
    </xf>
    <xf applyAlignment="true" applyBorder="false" applyFill="true" applyFont="true" applyNumberFormat="true" applyProtection="false" borderId="159" fillId="449" fontId="16" numFmtId="204" xfId="0">
      <alignment horizontal="center" vertical="center" wrapText="true"/>
    </xf>
    <xf applyAlignment="true" applyBorder="false" applyFill="true" applyFont="true" applyNumberFormat="false" applyProtection="false" borderId="0" fillId="430" fontId="15" numFmtId="0" xfId="0">
      <alignment vertical="center"/>
    </xf>
    <xf applyAlignment="true" applyBorder="false" applyFill="true" applyFont="true" applyNumberFormat="true" applyProtection="false" borderId="159" fillId="449" fontId="4" numFmtId="205" xfId="0">
      <alignment horizontal="center" vertical="center"/>
    </xf>
    <xf applyAlignment="true" applyBorder="false" applyFill="true" applyFont="true" applyNumberFormat="false" applyProtection="false" borderId="159" fillId="449" fontId="5" numFmtId="0" xfId="0">
      <alignment horizontal="center" vertical="center"/>
    </xf>
    <xf applyAlignment="true" applyBorder="false" applyFill="true" applyFont="true" applyNumberFormat="false" applyProtection="false" borderId="159" fillId="449" fontId="5" numFmtId="0" xfId="0">
      <alignment horizontal="center" vertical="center" wrapText="true"/>
    </xf>
    <xf applyAlignment="true" applyBorder="false" applyFill="true" applyFont="true" applyNumberFormat="false" applyProtection="false" borderId="159" fillId="449" fontId="5" numFmtId="0" xfId="0">
      <alignment horizontal="center" vertical="center"/>
    </xf>
    <xf applyAlignment="true" applyBorder="false" applyFill="true" applyFont="true" applyNumberFormat="true" applyProtection="false" borderId="159" fillId="463" fontId="5" numFmtId="206" xfId="0">
      <alignment horizontal="center" vertical="center"/>
    </xf>
    <xf applyAlignment="true" applyBorder="false" applyFill="true" applyFont="true" applyNumberFormat="false" applyProtection="false" borderId="159" fillId="463" fontId="4" numFmtId="0" xfId="0">
      <alignment horizontal="center" vertical="center"/>
    </xf>
    <xf applyAlignment="true" applyBorder="false" applyFill="true" applyFont="true" applyNumberFormat="true" applyProtection="false" borderId="159" fillId="463" fontId="4" numFmtId="205" xfId="0">
      <alignment horizontal="center" vertical="center"/>
    </xf>
    <xf applyAlignment="true" applyBorder="false" applyFill="true" applyFont="true" applyNumberFormat="true" applyProtection="false" borderId="159" fillId="463" fontId="4" numFmtId="205" xfId="0">
      <alignment horizontal="center" vertical="center"/>
    </xf>
    <xf applyAlignment="true" applyBorder="false" applyFill="true" applyFont="true" applyNumberFormat="false" applyProtection="false" borderId="159" fillId="463" fontId="5" numFmtId="0" xfId="0">
      <alignment horizontal="center" vertical="center"/>
    </xf>
    <xf applyAlignment="true" applyBorder="false" applyFill="true" applyFont="true" applyNumberFormat="false" applyProtection="false" borderId="159" fillId="463" fontId="5" numFmtId="0" xfId="0">
      <alignment horizontal="center" vertical="center"/>
    </xf>
    <xf applyAlignment="true" applyBorder="false" applyFill="true" applyFont="true" applyNumberFormat="true" applyProtection="false" borderId="159" fillId="446" fontId="16" numFmtId="204" xfId="0">
      <alignment horizontal="center" vertical="center" wrapText="true"/>
    </xf>
    <xf applyAlignment="true" applyBorder="false" applyFill="true" applyFont="true" applyNumberFormat="true" applyProtection="false" borderId="159" fillId="440" fontId="7" numFmtId="204" xfId="0">
      <alignment horizontal="center" vertical="center" wrapText="true"/>
    </xf>
    <xf applyAlignment="true" applyBorder="false" applyFill="true" applyFont="true" applyNumberFormat="true" applyProtection="false" borderId="0" fillId="440" fontId="4" numFmtId="205" xfId="0">
      <alignment horizontal="center" vertical="center"/>
    </xf>
    <xf applyAlignment="true" applyBorder="false" applyFill="true" applyFont="true" applyNumberFormat="true" applyProtection="false" borderId="159" fillId="436" fontId="7" numFmtId="204" xfId="0">
      <alignment horizontal="center" vertical="center" wrapText="true"/>
    </xf>
    <xf applyAlignment="true" applyBorder="false" applyFill="true" applyFont="true" applyNumberFormat="true" applyProtection="false" borderId="159" fillId="451" fontId="7" numFmtId="204" xfId="0">
      <alignment horizontal="center" vertical="center" wrapText="true"/>
    </xf>
    <xf applyAlignment="true" applyBorder="false" applyFill="true" applyFont="true" applyNumberFormat="false" applyProtection="false" borderId="159" fillId="451" fontId="5" numFmtId="0" xfId="0">
      <alignment horizontal="center" vertical="center" wrapText="true"/>
    </xf>
    <xf applyAlignment="true" applyBorder="false" applyFill="true" applyFont="true" applyNumberFormat="true" applyProtection="false" borderId="159" fillId="430" fontId="7" numFmtId="204" xfId="0">
      <alignment horizontal="center" vertical="center" wrapText="true"/>
    </xf>
    <xf applyAlignment="true" applyBorder="false" applyFill="true" applyFont="true" applyNumberFormat="false" applyProtection="false" borderId="0" fillId="440" fontId="5" numFmtId="0" xfId="0">
      <alignment horizontal="center" vertical="center"/>
    </xf>
    <xf applyAlignment="true" applyBorder="false" applyFill="false" applyFont="true" applyNumberFormat="true" applyProtection="false" borderId="0" fillId="0" fontId="4" numFmtId="205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true" applyProtection="false" borderId="171" fillId="464" fontId="1" numFmtId="208" xfId="0">
      <alignment horizontal="left" vertical="center" wrapText="true"/>
    </xf>
    <xf applyAlignment="true" applyBorder="false" applyFill="true" applyFont="true" applyNumberFormat="true" applyProtection="false" borderId="172" fillId="464" fontId="1" numFmtId="208" xfId="0">
      <alignment horizontal="left" vertical="center" wrapText="true"/>
    </xf>
    <xf applyAlignment="true" applyBorder="false" applyFill="true" applyFont="true" applyNumberFormat="false" applyProtection="false" borderId="173" fillId="464" fontId="5" numFmtId="0" xfId="0">
      <alignment horizontal="center" vertical="center"/>
    </xf>
    <xf applyAlignment="true" applyBorder="false" applyFill="true" applyFont="true" applyNumberFormat="true" applyProtection="false" borderId="171" fillId="464" fontId="1" numFmtId="208" xfId="0">
      <alignment horizontal="center" vertical="center" wrapText="true"/>
    </xf>
    <xf applyAlignment="true" applyBorder="false" applyFill="true" applyFont="true" applyNumberFormat="false" applyProtection="false" borderId="0" fillId="465" fontId="5" numFmtId="0" xfId="0">
      <alignment horizontal="center" vertical="center"/>
    </xf>
    <xf applyAlignment="true" applyBorder="false" applyFill="true" applyFont="true" applyNumberFormat="false" applyProtection="false" borderId="0" fillId="465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0" fillId="466" fontId="2" numFmtId="208" xfId="0">
      <alignment horizontal="center" vertical="center"/>
    </xf>
    <xf applyAlignment="true" applyBorder="false" applyFill="true" applyFont="true" applyNumberFormat="true" applyProtection="false" borderId="174" fillId="467" fontId="3" numFmtId="208" xfId="0">
      <alignment horizontal="center" vertical="center" wrapText="true"/>
    </xf>
    <xf applyAlignment="true" applyBorder="false" applyFill="true" applyFont="true" applyNumberFormat="true" applyProtection="false" borderId="173" fillId="467" fontId="3" numFmtId="208" xfId="0">
      <alignment horizontal="center" vertical="center" wrapText="true"/>
    </xf>
    <xf applyAlignment="true" applyBorder="false" applyFill="true" applyFont="true" applyNumberFormat="true" applyProtection="false" borderId="173" fillId="467" fontId="7" numFmtId="208" xfId="0">
      <alignment horizontal="center" vertical="center" wrapText="true"/>
    </xf>
    <xf applyAlignment="true" applyBorder="false" applyFill="true" applyFont="true" applyNumberFormat="true" applyProtection="false" borderId="173" fillId="467" fontId="7" numFmtId="209" xfId="0">
      <alignment horizontal="center" vertical="center"/>
    </xf>
    <xf applyAlignment="true" applyBorder="false" applyFill="true" applyFont="true" applyNumberFormat="false" applyProtection="false" borderId="173" fillId="467" fontId="7" numFmtId="0" xfId="0">
      <alignment horizontal="center" vertical="center"/>
    </xf>
    <xf applyAlignment="true" applyBorder="false" applyFill="true" applyFont="true" applyNumberFormat="false" applyProtection="false" borderId="175" fillId="467" fontId="7" numFmtId="0" xfId="0">
      <alignment horizontal="center" vertical="center"/>
    </xf>
    <xf applyAlignment="true" applyBorder="false" applyFill="true" applyFont="true" applyNumberFormat="false" applyProtection="false" borderId="176" fillId="467" fontId="7" numFmtId="0" xfId="0">
      <alignment horizontal="center" vertical="center" wrapText="true"/>
    </xf>
    <xf applyAlignment="true" applyBorder="false" applyFill="true" applyFont="true" applyNumberFormat="true" applyProtection="false" borderId="173" fillId="465" fontId="4" numFmtId="209" xfId="0">
      <alignment horizontal="center" vertical="center"/>
    </xf>
    <xf applyAlignment="true" applyBorder="false" applyFill="true" applyFont="true" applyNumberFormat="false" applyProtection="false" borderId="173" fillId="465" fontId="5" numFmtId="0" xfId="0">
      <alignment horizontal="center" vertical="center"/>
    </xf>
    <xf applyAlignment="true" applyBorder="false" applyFill="false" applyFont="true" applyNumberFormat="true" applyProtection="false" borderId="177" fillId="0" fontId="5" numFmtId="210" xfId="0">
      <alignment horizontal="center" vertical="center"/>
    </xf>
    <xf applyAlignment="true" applyBorder="false" applyFill="true" applyFont="true" applyNumberFormat="false" applyProtection="false" borderId="176" fillId="465" fontId="5" numFmtId="0" xfId="0">
      <alignment horizontal="center" vertical="center" wrapText="true"/>
    </xf>
    <xf applyAlignment="true" applyBorder="false" applyFill="false" applyFont="true" applyNumberFormat="false" applyProtection="false" borderId="173" fillId="0" fontId="5" numFmtId="0" xfId="0">
      <alignment horizontal="center" vertical="center"/>
    </xf>
    <xf applyAlignment="true" applyBorder="false" applyFill="true" applyFont="true" applyNumberFormat="false" applyProtection="false" borderId="175" fillId="465" fontId="5" numFmtId="0" xfId="0">
      <alignment horizontal="center" vertical="center"/>
    </xf>
    <xf applyAlignment="true" applyBorder="false" applyFill="false" applyFont="true" applyNumberFormat="true" applyProtection="false" borderId="173" fillId="0" fontId="5" numFmtId="210" xfId="0">
      <alignment horizontal="center" vertical="center"/>
    </xf>
    <xf applyAlignment="true" applyBorder="false" applyFill="false" applyFont="true" applyNumberFormat="false" applyProtection="false" borderId="176" fillId="0" fontId="5" numFmtId="0" xfId="0">
      <alignment horizontal="center" vertical="center" wrapText="true"/>
    </xf>
    <xf applyAlignment="true" applyBorder="false" applyFill="true" applyFont="true" applyNumberFormat="true" applyProtection="false" borderId="173" fillId="468" fontId="4" numFmtId="209" xfId="0">
      <alignment horizontal="center" vertical="center"/>
    </xf>
    <xf applyAlignment="true" applyBorder="false" applyFill="true" applyFont="true" applyNumberFormat="false" applyProtection="false" borderId="173" fillId="468" fontId="5" numFmtId="0" xfId="0">
      <alignment horizontal="center" vertical="center"/>
    </xf>
    <xf applyAlignment="true" applyBorder="false" applyFill="true" applyFont="true" applyNumberFormat="false" applyProtection="false" borderId="175" fillId="468" fontId="5" numFmtId="0" xfId="0">
      <alignment horizontal="center" vertical="center"/>
    </xf>
    <xf applyAlignment="true" applyBorder="false" applyFill="true" applyFont="true" applyNumberFormat="true" applyProtection="false" borderId="173" fillId="468" fontId="5" numFmtId="210" xfId="0">
      <alignment horizontal="center" vertical="center"/>
    </xf>
    <xf applyAlignment="true" applyBorder="false" applyFill="true" applyFont="true" applyNumberFormat="false" applyProtection="false" borderId="176" fillId="468" fontId="5" numFmtId="0" xfId="0">
      <alignment horizontal="center" vertical="center" wrapText="true"/>
    </xf>
    <xf applyAlignment="true" applyBorder="false" applyFill="true" applyFont="true" applyNumberFormat="false" applyProtection="false" borderId="0" fillId="468" fontId="5" numFmtId="0" xfId="0">
      <alignment horizontal="center" vertical="center"/>
    </xf>
    <xf applyAlignment="true" applyBorder="false" applyFill="true" applyFont="true" applyNumberFormat="false" applyProtection="false" borderId="0" fillId="468" fontId="8" numFmtId="0" xfId="0">
      <alignment vertical="center"/>
    </xf>
    <xf applyAlignment="true" applyBorder="false" applyFill="true" applyFont="true" applyNumberFormat="true" applyProtection="false" borderId="173" fillId="469" fontId="3" numFmtId="208" xfId="0">
      <alignment horizontal="center" vertical="center" wrapText="true"/>
    </xf>
    <xf applyAlignment="true" applyBorder="false" applyFill="true" applyFont="true" applyNumberFormat="true" applyProtection="false" borderId="173" fillId="469" fontId="7" numFmtId="208" xfId="0">
      <alignment horizontal="center" vertical="center" wrapText="true"/>
    </xf>
    <xf applyAlignment="true" applyBorder="false" applyFill="true" applyFont="true" applyNumberFormat="true" applyProtection="false" borderId="173" fillId="469" fontId="7" numFmtId="209" xfId="0">
      <alignment horizontal="center" vertical="center"/>
    </xf>
    <xf applyAlignment="true" applyBorder="false" applyFill="true" applyFont="true" applyNumberFormat="false" applyProtection="false" borderId="173" fillId="469" fontId="7" numFmtId="0" xfId="0">
      <alignment horizontal="center" vertical="center"/>
    </xf>
    <xf applyAlignment="true" applyBorder="false" applyFill="true" applyFont="true" applyNumberFormat="false" applyProtection="false" borderId="173" fillId="469" fontId="7" numFmtId="0" xfId="0">
      <alignment horizontal="center" vertical="center" wrapText="true"/>
    </xf>
    <xf applyAlignment="true" applyBorder="false" applyFill="true" applyFont="true" applyNumberFormat="true" applyProtection="false" borderId="173" fillId="470" fontId="4" numFmtId="209" xfId="0">
      <alignment horizontal="center" vertical="center"/>
    </xf>
    <xf applyAlignment="true" applyBorder="false" applyFill="true" applyFont="true" applyNumberFormat="false" applyProtection="false" borderId="173" fillId="470" fontId="5" numFmtId="0" xfId="0">
      <alignment horizontal="center" vertical="center"/>
    </xf>
    <xf applyAlignment="true" applyBorder="false" applyFill="true" applyFont="true" applyNumberFormat="false" applyProtection="false" borderId="0" fillId="470" fontId="8" numFmtId="0" xfId="0">
      <alignment vertical="center"/>
    </xf>
    <xf applyAlignment="true" applyBorder="false" applyFill="false" applyFont="true" applyNumberFormat="false" applyProtection="false" borderId="171" fillId="0" fontId="8" numFmtId="0" xfId="0">
      <alignment vertical="center"/>
    </xf>
    <xf applyAlignment="true" applyBorder="false" applyFill="true" applyFont="true" applyNumberFormat="false" applyProtection="false" borderId="173" fillId="465" fontId="5" numFmtId="0" xfId="0">
      <alignment horizontal="center" vertical="center" wrapText="true"/>
    </xf>
    <xf applyAlignment="true" applyBorder="false" applyFill="false" applyFont="true" applyNumberFormat="false" applyProtection="false" borderId="174" fillId="0" fontId="5" numFmtId="0" xfId="0">
      <alignment horizontal="center" vertical="center"/>
    </xf>
    <xf applyAlignment="true" applyBorder="false" applyFill="true" applyFont="true" applyNumberFormat="false" applyProtection="false" borderId="173" fillId="470" fontId="5" numFmtId="0" xfId="0">
      <alignment horizontal="center" vertical="center" wrapText="true"/>
    </xf>
    <xf applyAlignment="true" applyBorder="false" applyFill="true" applyFont="true" applyNumberFormat="true" applyProtection="false" borderId="173" fillId="471" fontId="4" numFmtId="209" xfId="0">
      <alignment horizontal="center" vertical="center"/>
    </xf>
    <xf applyAlignment="true" applyBorder="false" applyFill="true" applyFont="true" applyNumberFormat="false" applyProtection="false" borderId="173" fillId="471" fontId="5" numFmtId="0" xfId="0">
      <alignment horizontal="center" vertical="center"/>
    </xf>
    <xf applyAlignment="true" applyBorder="false" applyFill="true" applyFont="true" applyNumberFormat="false" applyProtection="false" borderId="173" fillId="471" fontId="5" numFmtId="0" xfId="0">
      <alignment horizontal="center" vertical="center" wrapText="true"/>
    </xf>
    <xf applyAlignment="true" applyBorder="false" applyFill="true" applyFont="true" applyNumberFormat="false" applyProtection="false" borderId="175" fillId="470" fontId="5" numFmtId="0" xfId="0">
      <alignment horizontal="center" vertical="center"/>
    </xf>
    <xf applyAlignment="true" applyBorder="false" applyFill="true" applyFont="true" applyNumberFormat="false" applyProtection="false" borderId="173" fillId="470" fontId="8" numFmtId="0" xfId="0">
      <alignment vertical="center"/>
    </xf>
    <xf applyAlignment="true" applyBorder="false" applyFill="true" applyFont="true" applyNumberFormat="false" applyProtection="false" borderId="176" fillId="470" fontId="5" numFmtId="0" xfId="0">
      <alignment horizontal="center" vertical="center"/>
    </xf>
    <xf applyAlignment="true" applyBorder="false" applyFill="true" applyFont="true" applyNumberFormat="true" applyProtection="false" borderId="171" fillId="465" fontId="4" numFmtId="209" xfId="0">
      <alignment horizontal="center" vertical="center"/>
    </xf>
    <xf applyAlignment="true" applyBorder="false" applyFill="true" applyFont="true" applyNumberFormat="false" applyProtection="false" borderId="171" fillId="465" fontId="5" numFmtId="0" xfId="0">
      <alignment horizontal="center" vertical="center"/>
    </xf>
    <xf applyAlignment="true" applyBorder="false" applyFill="true" applyFont="true" applyNumberFormat="false" applyProtection="false" borderId="171" fillId="465" fontId="5" numFmtId="0" xfId="0">
      <alignment horizontal="center" vertical="center" wrapText="true"/>
    </xf>
    <xf applyAlignment="true" applyBorder="false" applyFill="false" applyFont="true" applyNumberFormat="false" applyProtection="false" borderId="171" fillId="0" fontId="5" numFmtId="0" xfId="0">
      <alignment horizontal="center" vertical="center"/>
    </xf>
    <xf applyAlignment="true" applyBorder="false" applyFill="true" applyFont="true" applyNumberFormat="true" applyProtection="false" borderId="174" fillId="470" fontId="4" numFmtId="209" xfId="0">
      <alignment horizontal="center" vertical="center"/>
    </xf>
    <xf applyAlignment="true" applyBorder="false" applyFill="true" applyFont="true" applyNumberFormat="false" applyProtection="false" borderId="174" fillId="470" fontId="5" numFmtId="0" xfId="0">
      <alignment horizontal="center" vertical="center"/>
    </xf>
    <xf applyAlignment="true" applyBorder="false" applyFill="true" applyFont="true" applyNumberFormat="false" applyProtection="false" borderId="174" fillId="470" fontId="5" numFmtId="0" xfId="0">
      <alignment horizontal="center" vertical="center" wrapText="true"/>
    </xf>
    <xf applyAlignment="true" applyBorder="false" applyFill="true" applyFont="true" applyNumberFormat="false" applyProtection="false" borderId="173" fillId="472" fontId="24" numFmtId="0" xfId="0">
      <alignment horizontal="center" vertical="center"/>
    </xf>
    <xf applyAlignment="true" applyBorder="false" applyFill="true" applyFont="true" applyNumberFormat="false" applyProtection="false" borderId="173" fillId="465" fontId="5" numFmtId="0" xfId="0">
      <alignment horizontal="center" vertical="center"/>
    </xf>
    <xf applyAlignment="true" applyBorder="false" applyFill="true" applyFont="true" applyNumberFormat="false" applyProtection="false" borderId="173" fillId="472" fontId="5" numFmtId="0" xfId="0">
      <alignment horizontal="center" vertical="center"/>
    </xf>
    <xf applyAlignment="true" applyBorder="false" applyFill="true" applyFont="true" applyNumberFormat="false" applyProtection="false" borderId="173" fillId="471" fontId="5" numFmtId="0" xfId="0">
      <alignment horizontal="center" vertical="center"/>
    </xf>
    <xf applyAlignment="true" applyBorder="false" applyFill="true" applyFont="true" applyNumberFormat="false" applyProtection="false" borderId="171" fillId="470" fontId="5" numFmtId="0" xfId="0">
      <alignment horizontal="center" vertical="center" wrapText="true"/>
    </xf>
    <xf applyAlignment="true" applyBorder="false" applyFill="false" applyFont="true" applyNumberFormat="false" applyProtection="false" borderId="176" fillId="0" fontId="5" numFmtId="0" xfId="0">
      <alignment horizontal="center" vertical="center"/>
    </xf>
    <xf applyAlignment="true" applyBorder="false" applyFill="true" applyFont="true" applyNumberFormat="false" applyProtection="false" borderId="176" fillId="465" fontId="5" numFmtId="0" xfId="0">
      <alignment horizontal="center" vertical="center"/>
    </xf>
    <xf applyAlignment="true" applyBorder="false" applyFill="false" applyFont="true" applyNumberFormat="false" applyProtection="false" borderId="173" fillId="0" fontId="8" numFmtId="0" xfId="0">
      <alignment vertical="center"/>
    </xf>
    <xf applyAlignment="true" applyBorder="false" applyFill="false" applyFont="true" applyNumberFormat="false" applyProtection="false" borderId="176" fillId="0" fontId="8" numFmtId="0" xfId="0">
      <alignment vertical="center"/>
    </xf>
    <xf applyAlignment="true" applyBorder="false" applyFill="true" applyFont="true" applyNumberFormat="true" applyProtection="false" borderId="173" fillId="473" fontId="4" numFmtId="209" xfId="0">
      <alignment horizontal="center" vertical="center"/>
    </xf>
    <xf applyAlignment="true" applyBorder="false" applyFill="true" applyFont="true" applyNumberFormat="false" applyProtection="false" borderId="173" fillId="473" fontId="5" numFmtId="0" xfId="0">
      <alignment horizontal="center" vertical="center"/>
    </xf>
    <xf applyAlignment="true" applyBorder="false" applyFill="true" applyFont="true" applyNumberFormat="false" applyProtection="false" borderId="173" fillId="473" fontId="5" numFmtId="0" xfId="0">
      <alignment horizontal="center" vertical="center" wrapText="true"/>
    </xf>
    <xf applyAlignment="true" applyBorder="false" applyFill="true" applyFont="true" applyNumberFormat="false" applyProtection="false" borderId="173" fillId="473" fontId="5" numFmtId="0" xfId="0">
      <alignment horizontal="center" vertical="center"/>
    </xf>
    <xf applyAlignment="true" applyBorder="false" applyFill="true" applyFont="true" applyNumberFormat="false" applyProtection="false" borderId="0" fillId="473" fontId="8" numFmtId="0" xfId="0">
      <alignment vertical="center"/>
    </xf>
    <xf applyAlignment="true" applyBorder="false" applyFill="true" applyFont="true" applyNumberFormat="false" applyProtection="false" borderId="173" fillId="470" fontId="5" numFmtId="0" xfId="0">
      <alignment horizontal="center" vertical="center"/>
    </xf>
    <xf applyAlignment="true" applyBorder="false" applyFill="true" applyFont="true" applyNumberFormat="false" applyProtection="false" borderId="173" fillId="470" fontId="5" numFmtId="0" xfId="0">
      <alignment horizontal="center" vertical="center" wrapText="true"/>
    </xf>
    <xf applyAlignment="true" applyBorder="false" applyFill="true" applyFont="true" applyNumberFormat="true" applyProtection="false" borderId="173" fillId="474" fontId="3" numFmtId="208" xfId="0">
      <alignment horizontal="center" vertical="center" wrapText="true"/>
    </xf>
    <xf applyAlignment="true" applyBorder="false" applyFill="true" applyFont="true" applyNumberFormat="true" applyProtection="false" borderId="176" fillId="474" fontId="3" numFmtId="208" xfId="0">
      <alignment horizontal="center" vertical="center" wrapText="true"/>
    </xf>
    <xf applyAlignment="true" applyBorder="false" applyFill="true" applyFont="true" applyNumberFormat="false" applyProtection="false" borderId="0" fillId="465" fontId="15" numFmtId="0" xfId="0">
      <alignment horizontal="center" vertical="center"/>
    </xf>
    <xf applyAlignment="true" applyBorder="false" applyFill="true" applyFont="true" applyNumberFormat="false" applyProtection="false" borderId="173" fillId="474" fontId="7" numFmtId="0" xfId="0">
      <alignment horizontal="center" vertical="center"/>
    </xf>
    <xf applyAlignment="true" applyBorder="false" applyFill="true" applyFont="true" applyNumberFormat="true" applyProtection="false" borderId="174" fillId="474" fontId="7" numFmtId="209" xfId="0">
      <alignment horizontal="center" vertical="center"/>
    </xf>
    <xf applyAlignment="true" applyBorder="false" applyFill="true" applyFont="true" applyNumberFormat="false" applyProtection="false" borderId="177" fillId="474" fontId="7" numFmtId="0" xfId="0">
      <alignment horizontal="center" vertical="center"/>
    </xf>
    <xf applyAlignment="true" applyBorder="false" applyFill="true" applyFont="true" applyNumberFormat="false" applyProtection="false" borderId="173" fillId="474" fontId="7" numFmtId="0" xfId="0">
      <alignment horizontal="center" vertical="center" wrapText="true"/>
    </xf>
    <xf applyAlignment="true" applyBorder="false" applyFill="true" applyFont="true" applyNumberFormat="true" applyProtection="false" borderId="175" fillId="465" fontId="4" numFmtId="209" xfId="0">
      <alignment horizontal="center" vertical="center"/>
    </xf>
    <xf applyAlignment="true" applyBorder="false" applyFill="false" applyFont="true" applyNumberFormat="false" applyProtection="false" borderId="173" fillId="0" fontId="5" numFmtId="0" xfId="0">
      <alignment horizontal="center" vertical="center" wrapText="true"/>
    </xf>
    <xf applyAlignment="true" applyBorder="false" applyFill="false" applyFont="true" applyNumberFormat="false" applyProtection="false" borderId="171" fillId="0" fontId="5" numFmtId="0" xfId="0">
      <alignment horizontal="center" vertical="center" wrapText="true"/>
    </xf>
    <xf applyAlignment="true" applyBorder="false" applyFill="true" applyFont="true" applyNumberFormat="false" applyProtection="false" borderId="173" fillId="475" fontId="5" numFmtId="0" xfId="0">
      <alignment horizontal="center" vertical="center"/>
    </xf>
    <xf applyAlignment="true" applyBorder="false" applyFill="false" applyFont="true" applyNumberFormat="false" applyProtection="false" borderId="173" fillId="0" fontId="5" numFmtId="0" xfId="0">
      <alignment horizontal="center" vertical="center" wrapText="true"/>
    </xf>
    <xf applyAlignment="true" applyBorder="false" applyFill="true" applyFont="true" applyNumberFormat="true" applyProtection="false" borderId="174" fillId="465" fontId="4" numFmtId="209" xfId="0">
      <alignment horizontal="center" vertical="center"/>
    </xf>
    <xf applyAlignment="true" applyBorder="false" applyFill="true" applyFont="true" applyNumberFormat="false" applyProtection="false" borderId="174" fillId="465" fontId="5" numFmtId="0" xfId="0">
      <alignment horizontal="center" vertical="center"/>
    </xf>
    <xf applyAlignment="true" applyBorder="false" applyFill="false" applyFont="true" applyNumberFormat="false" applyProtection="false" borderId="174" fillId="0" fontId="5" numFmtId="0" xfId="0">
      <alignment horizontal="center" vertical="center" wrapText="true"/>
    </xf>
    <xf applyAlignment="true" applyBorder="false" applyFill="true" applyFont="true" applyNumberFormat="false" applyProtection="false" borderId="171" fillId="465" fontId="5" numFmtId="0" xfId="0">
      <alignment horizontal="center" vertical="center"/>
    </xf>
    <xf applyAlignment="true" applyBorder="false" applyFill="true" applyFont="true" applyNumberFormat="true" applyProtection="false" borderId="175" fillId="473" fontId="4" numFmtId="209" xfId="0">
      <alignment horizontal="center" vertical="center"/>
    </xf>
    <xf applyAlignment="true" applyBorder="false" applyFill="true" applyFont="true" applyNumberFormat="false" applyProtection="false" borderId="176" fillId="473" fontId="5" numFmtId="0" xfId="0">
      <alignment horizontal="center" vertical="center"/>
    </xf>
    <xf applyAlignment="true" applyBorder="false" applyFill="true" applyFont="true" applyNumberFormat="false" applyProtection="false" borderId="173" fillId="473" fontId="4" numFmtId="0" xfId="0">
      <alignment horizontal="center" vertical="center"/>
    </xf>
    <xf applyAlignment="true" applyBorder="false" applyFill="true" applyFont="true" applyNumberFormat="false" applyProtection="false" borderId="178" fillId="473" fontId="5" numFmtId="0" xfId="0">
      <alignment horizontal="center" vertical="center"/>
    </xf>
    <xf applyAlignment="true" applyBorder="false" applyFill="true" applyFont="true" applyNumberFormat="false" applyProtection="false" borderId="173" fillId="465" fontId="4" numFmtId="0" xfId="0">
      <alignment horizontal="center" vertical="center"/>
    </xf>
    <xf applyAlignment="true" applyBorder="false" applyFill="true" applyFont="true" applyNumberFormat="false" applyProtection="false" borderId="178" fillId="465" fontId="5" numFmtId="0" xfId="0">
      <alignment horizontal="center" vertical="center"/>
    </xf>
    <xf applyAlignment="true" applyBorder="false" applyFill="true" applyFont="true" applyNumberFormat="false" applyProtection="false" borderId="173" fillId="476" fontId="9" numFmtId="0" xfId="0">
      <alignment horizontal="center" vertical="center"/>
    </xf>
    <xf applyAlignment="true" applyBorder="false" applyFill="true" applyFont="true" applyNumberFormat="true" applyProtection="false" borderId="176" fillId="476" fontId="3" numFmtId="208" xfId="0">
      <alignment horizontal="center" vertical="center" wrapText="true"/>
    </xf>
    <xf applyAlignment="true" applyBorder="false" applyFill="true" applyFont="true" applyNumberFormat="false" applyProtection="false" borderId="173" fillId="476" fontId="7" numFmtId="0" xfId="0">
      <alignment horizontal="center" vertical="center"/>
    </xf>
    <xf applyAlignment="true" applyBorder="false" applyFill="true" applyFont="true" applyNumberFormat="true" applyProtection="false" borderId="174" fillId="476" fontId="7" numFmtId="209" xfId="0">
      <alignment horizontal="center" vertical="center"/>
    </xf>
    <xf applyAlignment="true" applyBorder="false" applyFill="true" applyFont="true" applyNumberFormat="false" applyProtection="false" borderId="174" fillId="476" fontId="7" numFmtId="0" xfId="0">
      <alignment horizontal="center" vertical="center"/>
    </xf>
    <xf applyAlignment="true" applyBorder="false" applyFill="true" applyFont="true" applyNumberFormat="false" applyProtection="false" borderId="173" fillId="476" fontId="7" numFmtId="0" xfId="0">
      <alignment horizontal="center" vertical="center" wrapText="true"/>
    </xf>
    <xf applyAlignment="true" applyBorder="false" applyFill="true" applyFont="true" applyNumberFormat="true" applyProtection="false" borderId="173" fillId="465" fontId="5" numFmtId="211" xfId="0">
      <alignment horizontal="center" vertical="center"/>
    </xf>
    <xf applyAlignment="true" applyBorder="false" applyFill="true" applyFont="true" applyNumberFormat="true" applyProtection="false" borderId="173" fillId="475" fontId="5" numFmtId="211" xfId="0">
      <alignment horizontal="center" vertical="center"/>
    </xf>
    <xf applyAlignment="true" applyBorder="false" applyFill="true" applyFont="true" applyNumberFormat="false" applyProtection="false" borderId="179" fillId="465" fontId="5" numFmtId="0" xfId="0">
      <alignment horizontal="center" vertical="center" wrapText="true"/>
    </xf>
    <xf applyAlignment="true" applyBorder="false" applyFill="true" applyFont="true" applyNumberFormat="false" applyProtection="false" borderId="180" fillId="465" fontId="5" numFmtId="0" xfId="0">
      <alignment horizontal="center" vertical="center" wrapText="true"/>
    </xf>
    <xf applyAlignment="true" applyBorder="false" applyFill="true" applyFont="true" applyNumberFormat="true" applyProtection="false" borderId="173" fillId="464" fontId="5" numFmtId="211" xfId="0">
      <alignment horizontal="center" vertical="center"/>
    </xf>
    <xf applyAlignment="true" applyBorder="false" applyFill="true" applyFont="true" applyNumberFormat="false" applyProtection="false" borderId="173" fillId="477" fontId="9" numFmtId="0" xfId="0">
      <alignment horizontal="center" vertical="center"/>
    </xf>
    <xf applyAlignment="true" applyBorder="false" applyFill="true" applyFont="true" applyNumberFormat="true" applyProtection="false" borderId="176" fillId="477" fontId="3" numFmtId="208" xfId="0">
      <alignment horizontal="center" vertical="center" wrapText="true"/>
    </xf>
    <xf applyAlignment="true" applyBorder="false" applyFill="true" applyFont="true" applyNumberFormat="false" applyProtection="false" borderId="171" fillId="477" fontId="7" numFmtId="0" xfId="0">
      <alignment horizontal="center" vertical="center"/>
    </xf>
    <xf applyAlignment="true" applyBorder="false" applyFill="true" applyFont="true" applyNumberFormat="true" applyProtection="false" borderId="177" fillId="477" fontId="7" numFmtId="209" xfId="0">
      <alignment horizontal="center" vertical="center"/>
    </xf>
    <xf applyAlignment="true" applyBorder="false" applyFill="true" applyFont="true" applyNumberFormat="false" applyProtection="false" borderId="177" fillId="477" fontId="7" numFmtId="0" xfId="0">
      <alignment horizontal="center" vertical="center"/>
    </xf>
    <xf applyAlignment="true" applyBorder="false" applyFill="true" applyFont="true" applyNumberFormat="false" applyProtection="false" borderId="171" fillId="477" fontId="7" numFmtId="0" xfId="0">
      <alignment horizontal="center" vertical="center" wrapText="true"/>
    </xf>
    <xf applyAlignment="true" applyBorder="false" applyFill="true" applyFont="true" applyNumberFormat="true" applyProtection="false" borderId="173" fillId="468" fontId="5" numFmtId="211" xfId="0">
      <alignment horizontal="center" vertical="center"/>
    </xf>
    <xf applyAlignment="true" applyBorder="false" applyFill="true" applyFont="true" applyNumberFormat="false" applyProtection="false" borderId="173" fillId="468" fontId="5" numFmtId="0" xfId="0">
      <alignment horizontal="center" vertical="center" wrapText="true"/>
    </xf>
    <xf applyAlignment="true" applyBorder="false" applyFill="true" applyFont="true" applyNumberFormat="true" applyProtection="false" borderId="173" fillId="478" fontId="3" numFmtId="208" xfId="0">
      <alignment horizontal="center" vertical="center" wrapText="true"/>
    </xf>
    <xf applyAlignment="true" applyBorder="false" applyFill="true" applyFont="true" applyNumberFormat="true" applyProtection="false" borderId="173" fillId="478" fontId="10" numFmtId="208" xfId="0">
      <alignment horizontal="center" vertical="center" wrapText="true"/>
    </xf>
    <xf applyAlignment="true" applyBorder="false" applyFill="true" applyFont="true" applyNumberFormat="true" applyProtection="false" borderId="171" fillId="478" fontId="7" numFmtId="208" xfId="0">
      <alignment horizontal="center" vertical="center" wrapText="true"/>
    </xf>
    <xf applyAlignment="true" applyBorder="false" applyFill="true" applyFont="true" applyNumberFormat="true" applyProtection="false" borderId="171" fillId="478" fontId="7" numFmtId="209" xfId="0">
      <alignment horizontal="center" vertical="center"/>
    </xf>
    <xf applyAlignment="true" applyBorder="false" applyFill="true" applyFont="true" applyNumberFormat="false" applyProtection="false" borderId="171" fillId="478" fontId="7" numFmtId="0" xfId="0">
      <alignment horizontal="center" vertical="center"/>
    </xf>
    <xf applyAlignment="true" applyBorder="false" applyFill="true" applyFont="true" applyNumberFormat="false" applyProtection="false" borderId="171" fillId="478" fontId="7" numFmtId="0" xfId="0">
      <alignment horizontal="center" vertical="center" wrapText="true"/>
    </xf>
    <xf applyAlignment="true" applyBorder="false" applyFill="false" applyFont="true" applyNumberFormat="true" applyProtection="false" borderId="173" fillId="0" fontId="5" numFmtId="209" xfId="0">
      <alignment horizontal="center" vertical="center"/>
    </xf>
    <xf applyAlignment="true" applyBorder="false" applyFill="true" applyFont="true" applyNumberFormat="true" applyProtection="false" borderId="173" fillId="465" fontId="5" numFmtId="209" xfId="0">
      <alignment horizontal="center" vertical="center"/>
    </xf>
    <xf applyAlignment="true" applyBorder="false" applyFill="false" applyFont="true" applyNumberFormat="false" applyProtection="false" borderId="173" fillId="0" fontId="8" numFmtId="0" xfId="0">
      <alignment vertical="center"/>
    </xf>
    <xf applyAlignment="true" applyBorder="false" applyFill="true" applyFont="true" applyNumberFormat="true" applyProtection="false" borderId="173" fillId="473" fontId="5" numFmtId="209" xfId="0">
      <alignment horizontal="center" vertical="center"/>
    </xf>
    <xf applyAlignment="true" applyBorder="false" applyFill="true" applyFont="true" applyNumberFormat="false" applyProtection="false" borderId="173" fillId="473" fontId="8" numFmtId="0" xfId="0">
      <alignment vertical="center"/>
    </xf>
    <xf applyAlignment="true" applyBorder="false" applyFill="true" applyFont="true" applyNumberFormat="false" applyProtection="false" borderId="0" fillId="473" fontId="5" numFmtId="0" xfId="0">
      <alignment horizontal="center" vertical="center"/>
    </xf>
    <xf applyAlignment="true" applyBorder="false" applyFill="true" applyFont="true" applyNumberFormat="false" applyProtection="false" borderId="173" fillId="465" fontId="8" numFmtId="0" xfId="0">
      <alignment horizontal="center" vertical="center" wrapText="true"/>
    </xf>
    <xf applyAlignment="true" applyBorder="false" applyFill="true" applyFont="true" applyNumberFormat="true" applyProtection="false" borderId="173" fillId="479" fontId="5" numFmtId="209" xfId="0">
      <alignment horizontal="center" vertical="center"/>
    </xf>
    <xf applyAlignment="true" applyBorder="false" applyFill="true" applyFont="true" applyNumberFormat="true" applyProtection="false" borderId="173" fillId="479" fontId="4" numFmtId="209" xfId="0">
      <alignment horizontal="center" vertical="center"/>
    </xf>
    <xf applyAlignment="true" applyBorder="false" applyFill="true" applyFont="true" applyNumberFormat="false" applyProtection="false" borderId="173" fillId="479" fontId="5" numFmtId="0" xfId="0">
      <alignment horizontal="center" vertical="center"/>
    </xf>
    <xf applyAlignment="true" applyBorder="false" applyFill="true" applyFont="true" applyNumberFormat="false" applyProtection="false" borderId="173" fillId="479" fontId="5" numFmtId="0" xfId="0">
      <alignment horizontal="center" vertical="center"/>
    </xf>
    <xf applyAlignment="true" applyBorder="false" applyFill="true" applyFont="true" applyNumberFormat="false" applyProtection="false" borderId="173" fillId="479" fontId="5" numFmtId="0" xfId="0">
      <alignment horizontal="center" vertical="center" wrapText="true"/>
    </xf>
    <xf applyAlignment="true" applyBorder="false" applyFill="true" applyFont="true" applyNumberFormat="false" applyProtection="false" borderId="173" fillId="479" fontId="8" numFmtId="0" xfId="0">
      <alignment vertical="center"/>
    </xf>
    <xf applyAlignment="true" applyBorder="false" applyFill="true" applyFont="true" applyNumberFormat="false" applyProtection="false" borderId="0" fillId="479" fontId="5" numFmtId="0" xfId="0">
      <alignment horizontal="center" vertical="center"/>
    </xf>
    <xf applyAlignment="true" applyBorder="false" applyFill="true" applyFont="true" applyNumberFormat="false" applyProtection="false" borderId="0" fillId="479" fontId="8" numFmtId="0" xfId="0">
      <alignment vertical="center"/>
    </xf>
    <xf applyAlignment="true" applyBorder="false" applyFill="false" applyFont="true" applyNumberFormat="false" applyProtection="false" borderId="173" fillId="0" fontId="8" numFmtId="0" xfId="0">
      <alignment horizontal="center" vertical="center" wrapText="true"/>
    </xf>
    <xf applyAlignment="true" applyBorder="false" applyFill="false" applyFont="true" applyNumberFormat="false" applyProtection="false" borderId="173" fillId="0" fontId="8" numFmtId="0" xfId="0">
      <alignment horizontal="center" vertical="center"/>
    </xf>
    <xf applyAlignment="true" applyBorder="false" applyFill="true" applyFont="true" applyNumberFormat="true" applyProtection="false" borderId="171" fillId="470" fontId="3" numFmtId="208" xfId="0">
      <alignment horizontal="center" vertical="center" wrapText="true"/>
    </xf>
    <xf applyAlignment="true" applyBorder="false" applyFill="true" applyFont="true" applyNumberFormat="true" applyProtection="false" borderId="172" fillId="470" fontId="7" numFmtId="208" xfId="0">
      <alignment horizontal="center" vertical="center" wrapText="true"/>
    </xf>
    <xf applyAlignment="true" applyBorder="false" applyFill="true" applyFont="true" applyNumberFormat="true" applyProtection="false" borderId="173" fillId="470" fontId="7" numFmtId="209" xfId="0">
      <alignment horizontal="center" vertical="center"/>
    </xf>
    <xf applyAlignment="true" applyBorder="false" applyFill="true" applyFont="true" applyNumberFormat="false" applyProtection="false" borderId="179" fillId="470" fontId="7" numFmtId="0" xfId="0">
      <alignment horizontal="center" vertical="center"/>
    </xf>
    <xf applyAlignment="true" applyBorder="false" applyFill="true" applyFont="true" applyNumberFormat="false" applyProtection="false" borderId="171" fillId="470" fontId="7" numFmtId="0" xfId="0">
      <alignment horizontal="center" vertical="center"/>
    </xf>
    <xf applyAlignment="true" applyBorder="false" applyFill="true" applyFont="true" applyNumberFormat="false" applyProtection="false" borderId="171" fillId="470" fontId="7" numFmtId="0" xfId="0">
      <alignment horizontal="center" vertical="center" wrapText="true"/>
    </xf>
    <xf applyAlignment="true" applyBorder="false" applyFill="true" applyFont="true" applyNumberFormat="false" applyProtection="false" borderId="172" fillId="470" fontId="7" numFmtId="0" xfId="0">
      <alignment horizontal="center" vertical="center"/>
    </xf>
    <xf applyAlignment="true" applyBorder="false" applyFill="true" applyFont="true" applyNumberFormat="false" applyProtection="false" borderId="173" fillId="470" fontId="7" numFmtId="0" xfId="0">
      <alignment horizontal="center" vertical="center"/>
    </xf>
    <xf applyAlignment="true" applyBorder="false" applyFill="true" applyFont="true" applyNumberFormat="false" applyProtection="false" borderId="174" fillId="468" fontId="5" numFmtId="0" xfId="0">
      <alignment horizontal="center" vertical="center"/>
    </xf>
    <xf applyAlignment="true" applyBorder="false" applyFill="true" applyFont="true" applyNumberFormat="false" applyProtection="false" borderId="0" fillId="468" fontId="15" numFmtId="0" xfId="0">
      <alignment horizontal="center" vertical="center"/>
    </xf>
    <xf applyAlignment="true" applyBorder="false" applyFill="true" applyFont="true" applyNumberFormat="false" applyProtection="false" borderId="174" fillId="473" fontId="5" numFmtId="0" xfId="0">
      <alignment horizontal="center" vertical="center"/>
    </xf>
    <xf applyAlignment="true" applyBorder="false" applyFill="true" applyFont="true" applyNumberFormat="false" applyProtection="false" borderId="0" fillId="473" fontId="15" numFmtId="0" xfId="0">
      <alignment horizontal="center" vertical="center"/>
    </xf>
    <xf applyAlignment="true" applyBorder="false" applyFill="true" applyFont="true" applyNumberFormat="true" applyProtection="false" borderId="173" fillId="465" fontId="4" numFmtId="209" xfId="0">
      <alignment horizontal="center" vertical="center"/>
    </xf>
    <xf applyAlignment="true" applyBorder="false" applyFill="false" applyFont="true" applyNumberFormat="false" applyProtection="false" borderId="173" fillId="0" fontId="5" numFmtId="0" xfId="0">
      <alignment horizontal="center" vertical="center"/>
    </xf>
    <xf applyAlignment="true" applyBorder="false" applyFill="false" applyFont="true" applyNumberFormat="true" applyProtection="false" borderId="173" fillId="0" fontId="5" numFmtId="208" xfId="0">
      <alignment horizontal="center" vertical="center"/>
    </xf>
    <xf applyAlignment="true" applyBorder="false" applyFill="true" applyFont="true" applyNumberFormat="true" applyProtection="false" borderId="173" fillId="465" fontId="5" numFmtId="208" xfId="0">
      <alignment horizontal="center" vertical="center"/>
    </xf>
    <xf applyAlignment="true" applyBorder="false" applyFill="true" applyFont="true" applyNumberFormat="true" applyProtection="false" borderId="173" fillId="465" fontId="5" numFmtId="208" xfId="0">
      <alignment horizontal="center" vertical="center" wrapText="true"/>
    </xf>
    <xf applyAlignment="true" applyBorder="false" applyFill="true" applyFont="true" applyNumberFormat="true" applyProtection="false" borderId="174" fillId="465" fontId="5" numFmtId="208" xfId="0">
      <alignment horizontal="center" vertical="center"/>
    </xf>
    <xf applyAlignment="true" applyBorder="false" applyFill="false" applyFont="true" applyNumberFormat="true" applyProtection="false" borderId="173" fillId="0" fontId="5" numFmtId="208" xfId="0">
      <alignment horizontal="center" vertical="center"/>
    </xf>
    <xf applyAlignment="true" applyBorder="false" applyFill="true" applyFont="true" applyNumberFormat="true" applyProtection="false" borderId="172" fillId="480" fontId="3" numFmtId="208" xfId="0">
      <alignment horizontal="center" vertical="center" wrapText="true"/>
    </xf>
    <xf applyAlignment="true" applyBorder="false" applyFill="true" applyFont="true" applyNumberFormat="true" applyProtection="false" borderId="173" fillId="480" fontId="7" numFmtId="209" xfId="0">
      <alignment horizontal="center" vertical="center"/>
    </xf>
    <xf applyAlignment="true" applyBorder="false" applyFill="true" applyFont="true" applyNumberFormat="false" applyProtection="false" borderId="179" fillId="480" fontId="7" numFmtId="0" xfId="0">
      <alignment horizontal="center" vertical="center"/>
    </xf>
    <xf applyAlignment="true" applyBorder="false" applyFill="true" applyFont="true" applyNumberFormat="false" applyProtection="false" borderId="171" fillId="480" fontId="7" numFmtId="0" xfId="0">
      <alignment horizontal="center" vertical="center"/>
    </xf>
    <xf applyAlignment="true" applyBorder="false" applyFill="true" applyFont="true" applyNumberFormat="false" applyProtection="false" borderId="171" fillId="480" fontId="7" numFmtId="0" xfId="0">
      <alignment horizontal="center" vertical="center" wrapText="true"/>
    </xf>
    <xf applyAlignment="true" applyBorder="false" applyFill="true" applyFont="true" applyNumberFormat="false" applyProtection="false" borderId="172" fillId="480" fontId="7" numFmtId="0" xfId="0">
      <alignment horizontal="center" vertical="center"/>
    </xf>
    <xf applyAlignment="true" applyBorder="false" applyFill="true" applyFont="true" applyNumberFormat="false" applyProtection="false" borderId="173" fillId="480" fontId="7" numFmtId="0" xfId="0">
      <alignment horizontal="center" vertical="center"/>
    </xf>
    <xf applyAlignment="true" applyBorder="false" applyFill="true" applyFont="true" applyNumberFormat="true" applyProtection="false" borderId="172" fillId="480" fontId="7" numFmtId="208" xfId="0">
      <alignment horizontal="center" vertical="center" wrapText="true"/>
    </xf>
    <xf applyAlignment="true" applyBorder="false" applyFill="true" applyFont="true" applyNumberFormat="true" applyProtection="false" borderId="171" fillId="481" fontId="3" numFmtId="208" xfId="0">
      <alignment horizontal="center" vertical="center" wrapText="true"/>
    </xf>
    <xf applyAlignment="true" applyBorder="false" applyFill="true" applyFont="true" applyNumberFormat="true" applyProtection="false" borderId="172" fillId="481" fontId="7" numFmtId="208" xfId="0">
      <alignment horizontal="center" vertical="center" wrapText="true"/>
    </xf>
    <xf applyAlignment="true" applyBorder="false" applyFill="true" applyFont="true" applyNumberFormat="true" applyProtection="false" borderId="173" fillId="481" fontId="7" numFmtId="209" xfId="0">
      <alignment horizontal="center" vertical="center"/>
    </xf>
    <xf applyAlignment="true" applyBorder="false" applyFill="true" applyFont="true" applyNumberFormat="false" applyProtection="false" borderId="179" fillId="481" fontId="7" numFmtId="0" xfId="0">
      <alignment horizontal="center" vertical="center"/>
    </xf>
    <xf applyAlignment="true" applyBorder="false" applyFill="true" applyFont="true" applyNumberFormat="false" applyProtection="false" borderId="171" fillId="481" fontId="7" numFmtId="0" xfId="0">
      <alignment horizontal="center" vertical="center"/>
    </xf>
    <xf applyAlignment="true" applyBorder="false" applyFill="true" applyFont="true" applyNumberFormat="false" applyProtection="false" borderId="171" fillId="481" fontId="7" numFmtId="0" xfId="0">
      <alignment horizontal="center" vertical="center" wrapText="true"/>
    </xf>
    <xf applyAlignment="true" applyBorder="false" applyFill="true" applyFont="true" applyNumberFormat="false" applyProtection="false" borderId="172" fillId="481" fontId="7" numFmtId="0" xfId="0">
      <alignment horizontal="center" vertical="center"/>
    </xf>
    <xf applyAlignment="true" applyBorder="false" applyFill="true" applyFont="true" applyNumberFormat="false" applyProtection="false" borderId="173" fillId="481" fontId="7" numFmtId="0" xfId="0">
      <alignment horizontal="center" vertical="center"/>
    </xf>
    <xf applyAlignment="true" applyBorder="false" applyFill="true" applyFont="true" applyNumberFormat="true" applyProtection="false" borderId="171" fillId="482" fontId="3" numFmtId="208" xfId="0">
      <alignment horizontal="center" vertical="center" wrapText="true"/>
    </xf>
    <xf applyAlignment="true" applyBorder="false" applyFill="true" applyFont="true" applyNumberFormat="true" applyProtection="false" borderId="172" fillId="482" fontId="7" numFmtId="208" xfId="0">
      <alignment horizontal="center" vertical="center" wrapText="true"/>
    </xf>
    <xf applyAlignment="true" applyBorder="false" applyFill="true" applyFont="true" applyNumberFormat="true" applyProtection="false" borderId="173" fillId="482" fontId="7" numFmtId="209" xfId="0">
      <alignment horizontal="center" vertical="center"/>
    </xf>
    <xf applyAlignment="true" applyBorder="false" applyFill="true" applyFont="true" applyNumberFormat="false" applyProtection="false" borderId="179" fillId="482" fontId="7" numFmtId="0" xfId="0">
      <alignment horizontal="center" vertical="center"/>
    </xf>
    <xf applyAlignment="true" applyBorder="false" applyFill="true" applyFont="true" applyNumberFormat="false" applyProtection="false" borderId="171" fillId="482" fontId="7" numFmtId="0" xfId="0">
      <alignment horizontal="center" vertical="center"/>
    </xf>
    <xf applyAlignment="true" applyBorder="false" applyFill="true" applyFont="true" applyNumberFormat="false" applyProtection="false" borderId="171" fillId="482" fontId="7" numFmtId="0" xfId="0">
      <alignment horizontal="center" vertical="center" wrapText="true"/>
    </xf>
    <xf applyAlignment="true" applyBorder="false" applyFill="true" applyFont="true" applyNumberFormat="false" applyProtection="false" borderId="172" fillId="482" fontId="7" numFmtId="0" xfId="0">
      <alignment horizontal="center" vertical="center"/>
    </xf>
    <xf applyAlignment="true" applyBorder="false" applyFill="true" applyFont="true" applyNumberFormat="false" applyProtection="false" borderId="173" fillId="482" fontId="7" numFmtId="0" xfId="0">
      <alignment horizontal="center" vertical="center"/>
    </xf>
    <xf applyAlignment="true" applyBorder="false" applyFill="true" applyFont="true" applyNumberFormat="false" applyProtection="false" borderId="173" fillId="467" fontId="7" numFmtId="0" xfId="0">
      <alignment horizontal="center" vertical="center" wrapText="true"/>
    </xf>
    <xf applyAlignment="true" applyBorder="false" applyFill="true" applyFont="true" applyNumberFormat="true" applyProtection="false" borderId="173" fillId="465" fontId="4" numFmtId="209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true" applyProtection="false" borderId="173" fillId="0" fontId="5" numFmtId="208" xfId="0">
      <alignment horizontal="center" vertical="center" wrapText="true"/>
    </xf>
    <xf applyAlignment="true" applyBorder="false" applyFill="false" applyFont="true" applyNumberFormat="true" applyProtection="false" borderId="0" fillId="0" fontId="8" numFmtId="208" xfId="0">
      <alignment vertical="center"/>
    </xf>
    <xf applyAlignment="true" applyBorder="false" applyFill="true" applyFont="true" applyNumberFormat="true" applyProtection="false" borderId="173" fillId="483" fontId="10" numFmtId="208" xfId="0">
      <alignment horizontal="center" vertical="center" wrapText="true"/>
    </xf>
    <xf applyAlignment="true" applyBorder="false" applyFill="true" applyFont="true" applyNumberFormat="true" applyProtection="false" borderId="173" fillId="483" fontId="7" numFmtId="208" xfId="0">
      <alignment horizontal="center" vertical="center" wrapText="true"/>
    </xf>
    <xf applyAlignment="true" applyBorder="false" applyFill="true" applyFont="true" applyNumberFormat="true" applyProtection="false" borderId="173" fillId="483" fontId="7" numFmtId="209" xfId="0">
      <alignment horizontal="center" vertical="center"/>
    </xf>
    <xf applyAlignment="true" applyBorder="false" applyFill="true" applyFont="true" applyNumberFormat="false" applyProtection="false" borderId="173" fillId="483" fontId="7" numFmtId="0" xfId="0">
      <alignment horizontal="center" vertical="center"/>
    </xf>
    <xf applyAlignment="true" applyBorder="false" applyFill="true" applyFont="true" applyNumberFormat="true" applyProtection="false" borderId="173" fillId="483" fontId="7" numFmtId="210" xfId="0">
      <alignment horizontal="center" vertical="center"/>
    </xf>
    <xf applyAlignment="true" applyBorder="false" applyFill="true" applyFont="true" applyNumberFormat="false" applyProtection="false" borderId="173" fillId="483" fontId="7" numFmtId="0" xfId="0">
      <alignment horizontal="center" vertical="center" wrapText="true"/>
    </xf>
    <xf applyAlignment="true" applyBorder="false" applyFill="true" applyFont="true" applyNumberFormat="true" applyProtection="false" borderId="173" fillId="465" fontId="5" numFmtId="21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173" fillId="484" fontId="3" numFmtId="208" xfId="0">
      <alignment horizontal="center" vertical="center" wrapText="true"/>
    </xf>
    <xf applyAlignment="true" applyBorder="false" applyFill="true" applyFont="true" applyNumberFormat="true" applyProtection="false" borderId="173" fillId="484" fontId="7" numFmtId="208" xfId="0">
      <alignment horizontal="center" vertical="center" wrapText="true"/>
    </xf>
    <xf applyAlignment="true" applyBorder="false" applyFill="true" applyFont="true" applyNumberFormat="true" applyProtection="false" borderId="173" fillId="484" fontId="7" numFmtId="209" xfId="0">
      <alignment horizontal="center" vertical="center"/>
    </xf>
    <xf applyAlignment="true" applyBorder="false" applyFill="true" applyFont="true" applyNumberFormat="false" applyProtection="false" borderId="173" fillId="484" fontId="7" numFmtId="0" xfId="0">
      <alignment horizontal="center" vertical="center"/>
    </xf>
    <xf applyAlignment="true" applyBorder="false" applyFill="true" applyFont="true" applyNumberFormat="false" applyProtection="false" borderId="173" fillId="484" fontId="7" numFmtId="0" xfId="0">
      <alignment horizontal="center" vertical="center" wrapText="true"/>
    </xf>
    <xf applyAlignment="true" applyBorder="false" applyFill="true" applyFont="true" applyNumberFormat="true" applyProtection="false" borderId="173" fillId="465" fontId="15" numFmtId="210" xfId="0">
      <alignment horizontal="center" vertical="center"/>
    </xf>
    <xf applyAlignment="true" applyBorder="false" applyFill="true" applyFont="true" applyNumberFormat="true" applyProtection="false" borderId="173" fillId="482" fontId="3" numFmtId="208" xfId="0">
      <alignment horizontal="center" vertical="center" wrapText="true"/>
    </xf>
    <xf applyAlignment="true" applyBorder="false" applyFill="true" applyFont="true" applyNumberFormat="true" applyProtection="false" borderId="173" fillId="482" fontId="7" numFmtId="208" xfId="0">
      <alignment horizontal="center" vertical="center" wrapText="true"/>
    </xf>
    <xf applyAlignment="true" applyBorder="false" applyFill="true" applyFont="true" applyNumberFormat="false" applyProtection="false" borderId="173" fillId="482" fontId="7" numFmtId="0" xfId="0">
      <alignment horizontal="center" vertical="center" wrapText="true"/>
    </xf>
    <xf applyAlignment="true" applyBorder="false" applyFill="true" applyFont="true" applyNumberFormat="true" applyProtection="false" borderId="173" fillId="485" fontId="3" numFmtId="208" xfId="0">
      <alignment horizontal="center" vertical="center" wrapText="true"/>
    </xf>
    <xf applyAlignment="true" applyBorder="false" applyFill="true" applyFont="true" applyNumberFormat="true" applyProtection="false" borderId="173" fillId="485" fontId="7" numFmtId="208" xfId="0">
      <alignment horizontal="center" vertical="center" wrapText="true"/>
    </xf>
    <xf applyAlignment="true" applyBorder="false" applyFill="true" applyFont="true" applyNumberFormat="true" applyProtection="false" borderId="173" fillId="485" fontId="7" numFmtId="209" xfId="0">
      <alignment horizontal="center" vertical="center"/>
    </xf>
    <xf applyAlignment="true" applyBorder="false" applyFill="true" applyFont="true" applyNumberFormat="false" applyProtection="false" borderId="173" fillId="485" fontId="7" numFmtId="0" xfId="0">
      <alignment horizontal="center" vertical="center"/>
    </xf>
    <xf applyAlignment="true" applyBorder="false" applyFill="true" applyFont="true" applyNumberFormat="false" applyProtection="false" borderId="173" fillId="485" fontId="7" numFmtId="0" xfId="0">
      <alignment horizontal="center" vertical="center" wrapText="true"/>
    </xf>
    <xf applyAlignment="true" applyBorder="false" applyFill="true" applyFont="true" applyNumberFormat="true" applyProtection="false" borderId="173" fillId="465" fontId="5" numFmtId="208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true" applyProtection="false" borderId="173" fillId="481" fontId="3" numFmtId="208" xfId="0">
      <alignment horizontal="center" vertical="center" wrapText="true"/>
    </xf>
    <xf applyAlignment="true" applyBorder="false" applyFill="true" applyFont="true" applyNumberFormat="true" applyProtection="false" borderId="173" fillId="481" fontId="7" numFmtId="208" xfId="0">
      <alignment horizontal="center" vertical="center" wrapText="true"/>
    </xf>
    <xf applyAlignment="true" applyBorder="false" applyFill="true" applyFont="true" applyNumberFormat="false" applyProtection="false" borderId="173" fillId="481" fontId="7" numFmtId="0" xfId="0">
      <alignment horizontal="center" vertical="center" wrapText="true"/>
    </xf>
    <xf applyAlignment="true" applyBorder="false" applyFill="true" applyFont="true" applyNumberFormat="false" applyProtection="false" borderId="173" fillId="465" fontId="4" numFmtId="0" xfId="0">
      <alignment horizontal="center" vertical="center" wrapText="true"/>
    </xf>
    <xf applyAlignment="true" applyBorder="false" applyFill="true" applyFont="true" applyNumberFormat="false" applyProtection="false" borderId="0" fillId="465" fontId="4" numFmtId="0" xfId="0">
      <alignment horizontal="center" vertical="center"/>
    </xf>
    <xf applyAlignment="true" applyBorder="false" applyFill="true" applyFont="true" applyNumberFormat="false" applyProtection="false" borderId="0" fillId="465" fontId="22" numFmtId="0" xfId="0">
      <alignment vertical="center"/>
    </xf>
    <xf applyAlignment="true" applyBorder="false" applyFill="true" applyFont="true" applyNumberFormat="true" applyProtection="false" borderId="173" fillId="481" fontId="4" numFmtId="209" xfId="0">
      <alignment horizontal="center" vertical="center"/>
    </xf>
    <xf applyAlignment="true" applyBorder="false" applyFill="true" applyFont="true" applyNumberFormat="false" applyProtection="false" borderId="173" fillId="481" fontId="5" numFmtId="0" xfId="0">
      <alignment horizontal="center" vertical="center"/>
    </xf>
    <xf applyAlignment="true" applyBorder="false" applyFill="true" applyFont="true" applyNumberFormat="false" applyProtection="false" borderId="173" fillId="481" fontId="5" numFmtId="0" xfId="0">
      <alignment horizontal="center" vertical="center" wrapText="true"/>
    </xf>
    <xf applyAlignment="true" applyBorder="false" applyFill="true" applyFont="true" applyNumberFormat="false" applyProtection="false" borderId="173" fillId="481" fontId="4" numFmtId="0" xfId="0">
      <alignment horizontal="center" vertical="center"/>
    </xf>
    <xf applyAlignment="true" applyBorder="false" applyFill="true" applyFont="true" applyNumberFormat="false" applyProtection="false" borderId="174" fillId="481" fontId="5" numFmtId="0" xfId="0">
      <alignment horizontal="center" vertical="center"/>
    </xf>
    <xf applyAlignment="true" applyBorder="false" applyFill="true" applyFont="true" applyNumberFormat="false" applyProtection="false" borderId="176" fillId="481" fontId="5" numFmtId="0" xfId="0">
      <alignment horizontal="center" vertical="center"/>
    </xf>
    <xf applyAlignment="true" applyBorder="false" applyFill="true" applyFont="true" applyNumberFormat="false" applyProtection="false" borderId="0" fillId="481" fontId="4" numFmtId="0" xfId="0">
      <alignment horizontal="center" vertical="center"/>
    </xf>
    <xf applyAlignment="true" applyBorder="false" applyFill="true" applyFont="true" applyNumberFormat="false" applyProtection="false" borderId="0" fillId="481" fontId="22" numFmtId="0" xfId="0">
      <alignment vertical="center"/>
    </xf>
    <xf applyAlignment="true" applyBorder="false" applyFill="true" applyFont="true" applyNumberFormat="false" applyProtection="false" borderId="172" fillId="465" fontId="5" numFmtId="0" xfId="0">
      <alignment horizontal="center" vertical="center" wrapText="true"/>
    </xf>
    <xf applyAlignment="true" applyBorder="false" applyFill="false" applyFont="true" applyNumberFormat="false" applyProtection="false" borderId="172" fillId="0" fontId="5" numFmtId="0" xfId="0">
      <alignment horizontal="center" vertical="center" wrapText="true"/>
    </xf>
    <xf applyAlignment="true" applyBorder="false" applyFill="false" applyFont="true" applyNumberFormat="false" applyProtection="false" borderId="179" fillId="0" fontId="5" numFmtId="0" xfId="0">
      <alignment horizontal="center" vertical="center"/>
    </xf>
    <xf applyAlignment="true" applyBorder="false" applyFill="false" applyFont="true" applyNumberFormat="false" applyProtection="false" borderId="172" fillId="0" fontId="5" numFmtId="0" xfId="0">
      <alignment horizontal="center" vertical="center" wrapText="true"/>
    </xf>
    <xf applyAlignment="true" applyBorder="false" applyFill="true" applyFont="true" applyNumberFormat="false" applyProtection="false" borderId="173" fillId="465" fontId="4" numFmtId="0" xfId="0">
      <alignment horizontal="center" vertical="center"/>
    </xf>
    <xf applyAlignment="true" applyBorder="false" applyFill="true" applyFont="true" applyNumberFormat="false" applyProtection="false" borderId="172" fillId="473" fontId="5" numFmtId="0" xfId="0">
      <alignment horizontal="center" vertical="center" wrapText="true"/>
    </xf>
    <xf applyAlignment="true" applyBorder="false" applyFill="true" applyFont="true" applyNumberFormat="false" applyProtection="false" borderId="179" fillId="473" fontId="5" numFmtId="0" xfId="0">
      <alignment horizontal="center" vertical="center"/>
    </xf>
    <xf applyAlignment="true" applyBorder="false" applyFill="false" applyFont="true" applyNumberFormat="false" applyProtection="false" borderId="179" fillId="0" fontId="5" numFmtId="0" xfId="0">
      <alignment horizontal="center" vertical="center"/>
    </xf>
    <xf applyAlignment="true" applyBorder="false" applyFill="true" applyFont="true" applyNumberFormat="false" applyProtection="false" borderId="172" fillId="481" fontId="5" numFmtId="0" xfId="0">
      <alignment horizontal="center" vertical="center" wrapText="true"/>
    </xf>
    <xf applyAlignment="true" applyBorder="false" applyFill="true" applyFont="true" applyNumberFormat="false" applyProtection="false" borderId="173" fillId="481" fontId="4" numFmtId="0" xfId="0">
      <alignment horizontal="center" vertical="center"/>
    </xf>
    <xf applyAlignment="true" applyBorder="false" applyFill="true" applyFont="true" applyNumberFormat="true" applyProtection="false" borderId="0" fillId="465" fontId="4" numFmtId="209" xfId="0">
      <alignment horizontal="center" vertical="center"/>
    </xf>
    <xf applyAlignment="true" applyBorder="false" applyFill="false" applyFont="true" applyNumberFormat="false" applyProtection="false" borderId="175" fillId="0" fontId="5" numFmtId="0" xfId="0">
      <alignment horizontal="center" vertical="center" wrapText="true"/>
    </xf>
    <xf applyAlignment="true" applyBorder="false" applyFill="true" applyFont="true" applyNumberFormat="false" applyProtection="false" borderId="173" fillId="465" fontId="8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173" fillId="486" fontId="3" numFmtId="208" xfId="0">
      <alignment horizontal="center" vertical="center" wrapText="true"/>
    </xf>
    <xf applyAlignment="true" applyBorder="false" applyFill="true" applyFont="true" applyNumberFormat="true" applyProtection="false" borderId="171" fillId="486" fontId="7" numFmtId="208" xfId="0">
      <alignment horizontal="center" vertical="center" wrapText="true"/>
    </xf>
    <xf applyAlignment="true" applyBorder="false" applyFill="true" applyFont="true" applyNumberFormat="true" applyProtection="false" borderId="171" fillId="486" fontId="7" numFmtId="209" xfId="0">
      <alignment horizontal="center" vertical="center"/>
    </xf>
    <xf applyAlignment="true" applyBorder="false" applyFill="true" applyFont="true" applyNumberFormat="false" applyProtection="false" borderId="171" fillId="486" fontId="7" numFmtId="0" xfId="0">
      <alignment horizontal="center" vertical="center"/>
    </xf>
    <xf applyAlignment="true" applyBorder="false" applyFill="true" applyFont="true" applyNumberFormat="false" applyProtection="false" borderId="171" fillId="486" fontId="7" numFmtId="0" xfId="0">
      <alignment horizontal="center" vertical="center" wrapText="true"/>
    </xf>
    <xf applyAlignment="true" applyBorder="false" applyFill="true" applyFont="true" applyNumberFormat="true" applyProtection="false" borderId="173" fillId="487" fontId="3" numFmtId="208" xfId="0">
      <alignment horizontal="center" vertical="center" wrapText="true"/>
    </xf>
    <xf applyAlignment="true" applyBorder="false" applyFill="true" applyFont="true" applyNumberFormat="true" applyProtection="false" borderId="173" fillId="487" fontId="7" numFmtId="208" xfId="0">
      <alignment horizontal="center" vertical="center" wrapText="true"/>
    </xf>
    <xf applyAlignment="true" applyBorder="false" applyFill="true" applyFont="true" applyNumberFormat="true" applyProtection="false" borderId="173" fillId="487" fontId="7" numFmtId="209" xfId="0">
      <alignment horizontal="center" vertical="center"/>
    </xf>
    <xf applyAlignment="true" applyBorder="false" applyFill="true" applyFont="true" applyNumberFormat="false" applyProtection="false" borderId="173" fillId="487" fontId="7" numFmtId="0" xfId="0">
      <alignment horizontal="center" vertical="center"/>
    </xf>
    <xf applyAlignment="true" applyBorder="false" applyFill="true" applyFont="true" applyNumberFormat="false" applyProtection="false" borderId="173" fillId="487" fontId="7" numFmtId="0" xfId="0">
      <alignment horizontal="center" vertical="center" wrapText="true"/>
    </xf>
    <xf applyAlignment="true" applyBorder="false" applyFill="true" applyFont="true" applyNumberFormat="true" applyProtection="false" borderId="173" fillId="483" fontId="4" numFmtId="209" xfId="0">
      <alignment horizontal="center" vertical="center"/>
    </xf>
    <xf applyAlignment="true" applyBorder="false" applyFill="true" applyFont="true" applyNumberFormat="false" applyProtection="false" borderId="173" fillId="483" fontId="5" numFmtId="0" xfId="0">
      <alignment horizontal="center" vertical="center"/>
    </xf>
    <xf applyAlignment="true" applyBorder="false" applyFill="true" applyFont="true" applyNumberFormat="false" applyProtection="false" borderId="173" fillId="483" fontId="5" numFmtId="0" xfId="0">
      <alignment horizontal="center" vertical="center" wrapText="true"/>
    </xf>
    <xf applyAlignment="true" applyBorder="false" applyFill="true" applyFont="true" applyNumberFormat="false" applyProtection="false" borderId="175" fillId="465" fontId="5" numFmtId="0" xfId="0">
      <alignment horizontal="center" vertical="center" wrapText="true"/>
    </xf>
    <xf applyAlignment="true" applyBorder="false" applyFill="true" applyFont="true" applyNumberFormat="false" applyProtection="false" borderId="173" fillId="465" fontId="5" numFmtId="0" xfId="0">
      <alignment horizontal="left" vertical="center" wrapText="true"/>
    </xf>
    <xf applyAlignment="true" applyBorder="false" applyFill="true" applyFont="true" applyNumberFormat="true" applyProtection="false" borderId="173" fillId="477" fontId="4" numFmtId="209" xfId="0">
      <alignment horizontal="center" vertical="center"/>
    </xf>
    <xf applyAlignment="true" applyBorder="false" applyFill="true" applyFont="true" applyNumberFormat="false" applyProtection="false" borderId="176" fillId="477" fontId="5" numFmtId="0" xfId="0">
      <alignment horizontal="center" vertical="center"/>
    </xf>
    <xf applyAlignment="true" applyBorder="false" applyFill="true" applyFont="true" applyNumberFormat="false" applyProtection="false" borderId="173" fillId="477" fontId="5" numFmtId="0" xfId="0">
      <alignment horizontal="center" vertical="center"/>
    </xf>
    <xf applyAlignment="true" applyBorder="false" applyFill="true" applyFont="true" applyNumberFormat="false" applyProtection="false" borderId="173" fillId="477" fontId="5" numFmtId="0" xfId="0">
      <alignment horizontal="center" vertical="center" wrapText="true"/>
    </xf>
    <xf applyAlignment="true" applyBorder="false" applyFill="true" applyFont="true" applyNumberFormat="false" applyProtection="false" borderId="173" fillId="477" fontId="5" numFmtId="0" xfId="0">
      <alignment horizontal="left" vertical="center" wrapText="true"/>
    </xf>
    <xf applyAlignment="true" applyBorder="false" applyFill="true" applyFont="true" applyNumberFormat="false" applyProtection="false" borderId="176" fillId="468" fontId="5" numFmtId="0" xfId="0">
      <alignment horizontal="center" vertical="center"/>
    </xf>
    <xf applyAlignment="true" applyBorder="false" applyFill="true" applyFont="true" applyNumberFormat="false" applyProtection="false" borderId="173" fillId="468" fontId="5" numFmtId="0" xfId="0">
      <alignment horizontal="left" vertical="center" wrapText="true"/>
    </xf>
    <xf applyAlignment="true" applyBorder="false" applyFill="true" applyFont="true" applyNumberFormat="false" applyProtection="false" borderId="171" fillId="468" fontId="5" numFmtId="0" xfId="0">
      <alignment horizontal="center" vertical="center"/>
    </xf>
    <xf applyAlignment="true" applyBorder="false" applyFill="true" applyFont="true" applyNumberFormat="false" applyProtection="false" borderId="171" fillId="465" fontId="5" numFmtId="0" xfId="0">
      <alignment horizontal="left" vertical="center" wrapText="true"/>
    </xf>
    <xf applyAlignment="true" applyBorder="false" applyFill="true" applyFont="true" applyNumberFormat="true" applyProtection="false" borderId="173" fillId="488" fontId="3" numFmtId="208" xfId="0">
      <alignment horizontal="center" vertical="center" wrapText="true"/>
    </xf>
    <xf applyAlignment="true" applyBorder="false" applyFill="true" applyFont="true" applyNumberFormat="true" applyProtection="false" borderId="173" fillId="488" fontId="7" numFmtId="208" xfId="0">
      <alignment horizontal="center" vertical="center" wrapText="true"/>
    </xf>
    <xf applyAlignment="true" applyBorder="false" applyFill="true" applyFont="true" applyNumberFormat="true" applyProtection="false" borderId="173" fillId="488" fontId="7" numFmtId="209" xfId="0">
      <alignment horizontal="center" vertical="center"/>
    </xf>
    <xf applyAlignment="true" applyBorder="false" applyFill="true" applyFont="true" applyNumberFormat="false" applyProtection="false" borderId="173" fillId="488" fontId="7" numFmtId="0" xfId="0">
      <alignment horizontal="center" vertical="center"/>
    </xf>
    <xf applyAlignment="true" applyBorder="false" applyFill="true" applyFont="true" applyNumberFormat="false" applyProtection="false" borderId="173" fillId="488" fontId="7" numFmtId="0" xfId="0">
      <alignment horizontal="center" vertical="center" wrapText="true"/>
    </xf>
    <xf applyAlignment="true" applyBorder="false" applyFill="true" applyFont="true" applyNumberFormat="false" applyProtection="false" borderId="173" fillId="489" fontId="5" numFmtId="0" xfId="0">
      <alignment horizontal="center" vertical="center" wrapText="true"/>
    </xf>
    <xf applyAlignment="true" applyBorder="false" applyFill="true" applyFont="true" applyNumberFormat="false" applyProtection="false" borderId="173" fillId="490" fontId="5" numFmtId="0" xfId="0">
      <alignment horizontal="center" vertical="center"/>
    </xf>
    <xf applyAlignment="true" applyBorder="false" applyFill="false" applyFont="true" applyNumberFormat="false" applyProtection="false" borderId="175" fillId="0" fontId="5" numFmtId="0" xfId="0">
      <alignment horizontal="center" vertical="center"/>
    </xf>
    <xf applyAlignment="true" applyBorder="false" applyFill="true" applyFont="true" applyNumberFormat="true" applyProtection="false" borderId="173" fillId="491" fontId="10" numFmtId="208" xfId="0">
      <alignment horizontal="center" vertical="center" wrapText="true"/>
    </xf>
    <xf applyAlignment="true" applyBorder="false" applyFill="true" applyFont="true" applyNumberFormat="true" applyProtection="false" borderId="173" fillId="491" fontId="7" numFmtId="208" xfId="0">
      <alignment horizontal="center" vertical="center" wrapText="true"/>
    </xf>
    <xf applyAlignment="true" applyBorder="false" applyFill="true" applyFont="true" applyNumberFormat="true" applyProtection="false" borderId="173" fillId="491" fontId="7" numFmtId="209" xfId="0">
      <alignment horizontal="center" vertical="center"/>
    </xf>
    <xf applyAlignment="true" applyBorder="false" applyFill="true" applyFont="true" applyNumberFormat="false" applyProtection="false" borderId="173" fillId="491" fontId="7" numFmtId="0" xfId="0">
      <alignment horizontal="center" vertical="center"/>
    </xf>
    <xf applyAlignment="true" applyBorder="false" applyFill="true" applyFont="true" applyNumberFormat="false" applyProtection="false" borderId="173" fillId="491" fontId="7" numFmtId="0" xfId="0">
      <alignment horizontal="center" vertical="center" wrapText="true"/>
    </xf>
    <xf applyAlignment="true" applyBorder="false" applyFill="true" applyFont="true" applyNumberFormat="false" applyProtection="false" borderId="173" fillId="491" fontId="23" numFmtId="0" xfId="0">
      <alignment horizontal="center" vertical="center"/>
    </xf>
    <xf applyAlignment="true" applyBorder="false" applyFill="false" applyFont="true" applyNumberFormat="false" applyProtection="false" borderId="173" fillId="0" fontId="15" numFmtId="0" xfId="0">
      <alignment horizontal="center" vertical="center"/>
    </xf>
    <xf applyAlignment="true" applyBorder="false" applyFill="true" applyFont="true" applyNumberFormat="true" applyProtection="false" borderId="173" fillId="492" fontId="3" numFmtId="208" xfId="0">
      <alignment horizontal="center" vertical="center" wrapText="true"/>
    </xf>
    <xf applyAlignment="true" applyBorder="false" applyFill="true" applyFont="true" applyNumberFormat="true" applyProtection="false" borderId="173" fillId="492" fontId="7" numFmtId="208" xfId="0">
      <alignment horizontal="center" vertical="center" wrapText="true"/>
    </xf>
    <xf applyAlignment="true" applyBorder="false" applyFill="true" applyFont="true" applyNumberFormat="true" applyProtection="false" borderId="173" fillId="492" fontId="7" numFmtId="209" xfId="0">
      <alignment horizontal="center" vertical="center"/>
    </xf>
    <xf applyAlignment="true" applyBorder="false" applyFill="true" applyFont="true" applyNumberFormat="false" applyProtection="false" borderId="173" fillId="492" fontId="7" numFmtId="0" xfId="0">
      <alignment horizontal="center" vertical="center"/>
    </xf>
    <xf applyAlignment="true" applyBorder="false" applyFill="true" applyFont="true" applyNumberFormat="false" applyProtection="false" borderId="173" fillId="492" fontId="7" numFmtId="0" xfId="0">
      <alignment horizontal="center" vertical="center" wrapText="true"/>
    </xf>
    <xf applyAlignment="true" applyBorder="false" applyFill="true" applyFont="true" applyNumberFormat="true" applyProtection="false" borderId="173" fillId="467" fontId="4" numFmtId="209" xfId="0">
      <alignment horizontal="center" vertical="center"/>
    </xf>
    <xf applyAlignment="true" applyBorder="false" applyFill="true" applyFont="true" applyNumberFormat="false" applyProtection="false" borderId="173" fillId="467" fontId="5" numFmtId="0" xfId="0">
      <alignment horizontal="center" vertical="center"/>
    </xf>
    <xf applyAlignment="true" applyBorder="false" applyFill="true" applyFont="true" applyNumberFormat="false" applyProtection="false" borderId="173" fillId="467" fontId="5" numFmtId="0" xfId="0">
      <alignment horizontal="center" vertical="center" wrapText="true"/>
    </xf>
    <xf applyAlignment="true" applyBorder="false" applyFill="true" applyFont="true" applyNumberFormat="false" applyProtection="false" borderId="173" fillId="467" fontId="4" numFmtId="0" xfId="0">
      <alignment horizontal="center" vertical="center"/>
    </xf>
    <xf applyAlignment="true" applyBorder="false" applyFill="true" applyFont="true" applyNumberFormat="false" applyProtection="false" borderId="173" fillId="467" fontId="4" numFmtId="0" xfId="0">
      <alignment horizontal="center" vertical="center" wrapText="true"/>
    </xf>
    <xf applyAlignment="true" applyBorder="false" applyFill="true" applyFont="true" applyNumberFormat="false" applyProtection="false" borderId="0" fillId="467" fontId="4" numFmtId="0" xfId="0">
      <alignment horizontal="center" vertical="center"/>
    </xf>
    <xf applyAlignment="true" applyBorder="false" applyFill="true" applyFont="true" applyNumberFormat="false" applyProtection="false" borderId="0" fillId="467" fontId="8" numFmtId="0" xfId="0">
      <alignment vertical="center"/>
    </xf>
    <xf applyAlignment="true" applyBorder="false" applyFill="true" applyFont="true" applyNumberFormat="false" applyProtection="false" borderId="0" fillId="467" fontId="5" numFmtId="0" xfId="0">
      <alignment horizontal="center" vertical="center"/>
    </xf>
    <xf applyAlignment="true" applyBorder="false" applyFill="true" applyFont="true" applyNumberFormat="false" applyProtection="false" borderId="174" fillId="467" fontId="5" numFmtId="0" xfId="0">
      <alignment horizontal="center" vertical="center"/>
    </xf>
    <xf applyAlignment="true" applyBorder="false" applyFill="true" applyFont="true" applyNumberFormat="true" applyProtection="false" borderId="173" fillId="471" fontId="3" numFmtId="208" xfId="0">
      <alignment horizontal="center" vertical="center" wrapText="true"/>
    </xf>
    <xf applyAlignment="true" applyBorder="false" applyFill="true" applyFont="true" applyNumberFormat="true" applyProtection="false" borderId="173" fillId="471" fontId="7" numFmtId="208" xfId="0">
      <alignment horizontal="center" vertical="center" wrapText="true"/>
    </xf>
    <xf applyAlignment="true" applyBorder="false" applyFill="true" applyFont="true" applyNumberFormat="true" applyProtection="false" borderId="173" fillId="471" fontId="7" numFmtId="209" xfId="0">
      <alignment horizontal="center" vertical="center"/>
    </xf>
    <xf applyAlignment="true" applyBorder="false" applyFill="true" applyFont="true" applyNumberFormat="false" applyProtection="false" borderId="173" fillId="471" fontId="7" numFmtId="0" xfId="0">
      <alignment horizontal="center" vertical="center"/>
    </xf>
    <xf applyAlignment="true" applyBorder="false" applyFill="true" applyFont="true" applyNumberFormat="false" applyProtection="false" borderId="173" fillId="471" fontId="7" numFmtId="0" xfId="0">
      <alignment horizontal="center" vertical="center" wrapText="true"/>
    </xf>
    <xf applyAlignment="true" applyBorder="false" applyFill="true" applyFont="true" applyNumberFormat="true" applyProtection="false" borderId="173" fillId="493" fontId="3" numFmtId="208" xfId="0">
      <alignment horizontal="center" vertical="center" wrapText="true"/>
    </xf>
    <xf applyAlignment="true" applyBorder="false" applyFill="true" applyFont="true" applyNumberFormat="true" applyProtection="false" borderId="173" fillId="493" fontId="7" numFmtId="208" xfId="0">
      <alignment horizontal="center" vertical="center" wrapText="true"/>
    </xf>
    <xf applyAlignment="true" applyBorder="false" applyFill="true" applyFont="true" applyNumberFormat="true" applyProtection="false" borderId="173" fillId="493" fontId="7" numFmtId="209" xfId="0">
      <alignment horizontal="center" vertical="center"/>
    </xf>
    <xf applyAlignment="true" applyBorder="false" applyFill="true" applyFont="true" applyNumberFormat="false" applyProtection="false" borderId="173" fillId="493" fontId="7" numFmtId="0" xfId="0">
      <alignment horizontal="center" vertical="center"/>
    </xf>
    <xf applyAlignment="true" applyBorder="false" applyFill="true" applyFont="true" applyNumberFormat="false" applyProtection="false" borderId="173" fillId="493" fontId="7" numFmtId="0" xfId="0">
      <alignment horizontal="center" vertical="center" wrapText="true"/>
    </xf>
    <xf applyAlignment="true" applyBorder="false" applyFill="true" applyFont="true" applyNumberFormat="false" applyProtection="false" borderId="173" fillId="481" fontId="5" numFmtId="0" xfId="0">
      <alignment horizontal="center" vertical="center"/>
    </xf>
    <xf applyAlignment="true" applyBorder="false" applyFill="true" applyFont="true" applyNumberFormat="false" applyProtection="false" borderId="173" fillId="481" fontId="5" numFmtId="0" xfId="0">
      <alignment horizontal="center" vertical="center" wrapText="true"/>
    </xf>
    <xf applyAlignment="true" applyBorder="false" applyFill="true" applyFont="true" applyNumberFormat="false" applyProtection="false" borderId="173" fillId="468" fontId="5" numFmtId="0" xfId="0">
      <alignment horizontal="center" vertical="center"/>
    </xf>
    <xf applyAlignment="true" applyBorder="false" applyFill="true" applyFont="true" applyNumberFormat="false" applyProtection="false" borderId="173" fillId="481" fontId="4" numFmtId="0" xfId="0">
      <alignment horizontal="center" vertical="center" wrapText="true"/>
    </xf>
    <xf applyAlignment="true" applyBorder="false" applyFill="true" applyFont="true" applyNumberFormat="true" applyProtection="false" borderId="173" fillId="494" fontId="3" numFmtId="208" xfId="0">
      <alignment horizontal="center" vertical="center" wrapText="true"/>
    </xf>
    <xf applyAlignment="true" applyBorder="false" applyFill="true" applyFont="true" applyNumberFormat="true" applyProtection="false" borderId="173" fillId="494" fontId="7" numFmtId="208" xfId="0">
      <alignment horizontal="center" vertical="center" wrapText="true"/>
    </xf>
    <xf applyAlignment="true" applyBorder="false" applyFill="true" applyFont="true" applyNumberFormat="true" applyProtection="false" borderId="173" fillId="494" fontId="7" numFmtId="209" xfId="0">
      <alignment horizontal="center" vertical="center"/>
    </xf>
    <xf applyAlignment="true" applyBorder="false" applyFill="true" applyFont="true" applyNumberFormat="false" applyProtection="false" borderId="173" fillId="494" fontId="7" numFmtId="0" xfId="0">
      <alignment horizontal="center" vertical="center"/>
    </xf>
    <xf applyAlignment="true" applyBorder="false" applyFill="true" applyFont="true" applyNumberFormat="false" applyProtection="false" borderId="173" fillId="494" fontId="7" numFmtId="0" xfId="0">
      <alignment horizontal="center" vertical="center" wrapText="true"/>
    </xf>
    <xf applyAlignment="true" applyBorder="false" applyFill="true" applyFont="true" applyNumberFormat="true" applyProtection="false" borderId="173" fillId="495" fontId="16" numFmtId="208" xfId="0">
      <alignment horizontal="center" vertical="center" wrapText="true"/>
    </xf>
    <xf applyAlignment="true" applyBorder="false" applyFill="true" applyFont="true" applyNumberFormat="true" applyProtection="false" borderId="173" fillId="495" fontId="7" numFmtId="208" xfId="0">
      <alignment horizontal="center" vertical="center" wrapText="true"/>
    </xf>
    <xf applyAlignment="true" applyBorder="false" applyFill="true" applyFont="true" applyNumberFormat="true" applyProtection="false" borderId="173" fillId="495" fontId="7" numFmtId="209" xfId="0">
      <alignment horizontal="center" vertical="center"/>
    </xf>
    <xf applyAlignment="true" applyBorder="false" applyFill="true" applyFont="true" applyNumberFormat="false" applyProtection="false" borderId="173" fillId="495" fontId="7" numFmtId="0" xfId="0">
      <alignment horizontal="center" vertical="center"/>
    </xf>
    <xf applyAlignment="true" applyBorder="false" applyFill="true" applyFont="true" applyNumberFormat="false" applyProtection="false" borderId="173" fillId="495" fontId="7" numFmtId="0" xfId="0">
      <alignment horizontal="center" vertical="center" wrapText="true"/>
    </xf>
    <xf applyAlignment="true" applyBorder="false" applyFill="true" applyFont="true" applyNumberFormat="true" applyProtection="false" borderId="173" fillId="495" fontId="4" numFmtId="209" xfId="0">
      <alignment horizontal="center" vertical="center"/>
    </xf>
    <xf applyAlignment="true" applyBorder="false" applyFill="true" applyFont="true" applyNumberFormat="false" applyProtection="false" borderId="173" fillId="495" fontId="5" numFmtId="0" xfId="0">
      <alignment horizontal="center" vertical="center"/>
    </xf>
    <xf applyAlignment="true" applyBorder="false" applyFill="true" applyFont="true" applyNumberFormat="false" applyProtection="false" borderId="173" fillId="495" fontId="5" numFmtId="0" xfId="0">
      <alignment horizontal="center" vertical="center" wrapText="true"/>
    </xf>
    <xf applyAlignment="true" applyBorder="false" applyFill="true" applyFont="true" applyNumberFormat="false" applyProtection="false" borderId="176" fillId="495" fontId="5" numFmtId="0" xfId="0">
      <alignment horizontal="center" vertical="center"/>
    </xf>
    <xf applyAlignment="true" applyBorder="false" applyFill="true" applyFont="true" applyNumberFormat="false" applyProtection="false" borderId="173" fillId="464" fontId="18" numFmtId="0" xfId="0">
      <alignment horizontal="center" vertical="center"/>
    </xf>
    <xf applyAlignment="true" applyBorder="false" applyFill="true" applyFont="true" applyNumberFormat="true" applyProtection="false" borderId="173" fillId="486" fontId="16" numFmtId="208" xfId="0">
      <alignment horizontal="center" vertical="center" wrapText="true"/>
    </xf>
    <xf applyAlignment="true" applyBorder="false" applyFill="true" applyFont="true" applyNumberFormat="true" applyProtection="false" borderId="173" fillId="496" fontId="7" numFmtId="208" xfId="0">
      <alignment horizontal="center" vertical="center" wrapText="true"/>
    </xf>
    <xf applyAlignment="true" applyBorder="false" applyFill="true" applyFont="true" applyNumberFormat="true" applyProtection="false" borderId="173" fillId="496" fontId="7" numFmtId="209" xfId="0">
      <alignment horizontal="center" vertical="center"/>
    </xf>
    <xf applyAlignment="true" applyBorder="false" applyFill="true" applyFont="true" applyNumberFormat="false" applyProtection="false" borderId="173" fillId="496" fontId="7" numFmtId="0" xfId="0">
      <alignment horizontal="center" vertical="center"/>
    </xf>
    <xf applyAlignment="true" applyBorder="false" applyFill="true" applyFont="true" applyNumberFormat="false" applyProtection="false" borderId="173" fillId="496" fontId="7" numFmtId="0" xfId="0">
      <alignment horizontal="center" vertical="center" wrapText="true"/>
    </xf>
    <xf applyAlignment="true" applyBorder="false" applyFill="true" applyFont="true" applyNumberFormat="true" applyProtection="false" borderId="173" fillId="484" fontId="16" numFmtId="208" xfId="0">
      <alignment horizontal="center" vertical="center" wrapText="true"/>
    </xf>
    <xf applyAlignment="true" applyBorder="false" applyFill="true" applyFont="true" applyNumberFormat="false" applyProtection="false" borderId="0" fillId="465" fontId="15" numFmtId="0" xfId="0">
      <alignment vertical="center"/>
    </xf>
    <xf applyAlignment="true" applyBorder="false" applyFill="true" applyFont="true" applyNumberFormat="true" applyProtection="false" borderId="173" fillId="497" fontId="4" numFmtId="209" xfId="0">
      <alignment horizontal="center" vertical="center"/>
    </xf>
    <xf applyAlignment="true" applyBorder="false" applyFill="true" applyFont="true" applyNumberFormat="false" applyProtection="false" borderId="173" fillId="497" fontId="5" numFmtId="0" xfId="0">
      <alignment horizontal="center" vertical="center"/>
    </xf>
    <xf applyAlignment="true" applyBorder="false" applyFill="true" applyFont="true" applyNumberFormat="false" applyProtection="false" borderId="173" fillId="497" fontId="5" numFmtId="0" xfId="0">
      <alignment horizontal="center" vertical="center" wrapText="true"/>
    </xf>
    <xf applyAlignment="true" applyBorder="false" applyFill="true" applyFont="true" applyNumberFormat="false" applyProtection="false" borderId="0" fillId="497" fontId="15" numFmtId="0" xfId="0">
      <alignment horizontal="center" vertical="center"/>
    </xf>
    <xf applyAlignment="true" applyBorder="false" applyFill="true" applyFont="true" applyNumberFormat="false" applyProtection="false" borderId="0" fillId="497" fontId="15" numFmtId="0" xfId="0">
      <alignment vertical="center"/>
    </xf>
    <xf applyAlignment="true" applyBorder="false" applyFill="true" applyFont="true" applyNumberFormat="false" applyProtection="false" borderId="0" fillId="497" fontId="8" numFmtId="0" xfId="0">
      <alignment vertical="center"/>
    </xf>
    <xf applyAlignment="true" applyBorder="false" applyFill="true" applyFont="true" applyNumberFormat="false" applyProtection="false" borderId="173" fillId="465" fontId="5" numFmtId="0" xfId="0">
      <alignment horizontal="center" vertical="center"/>
    </xf>
    <xf applyAlignment="true" applyBorder="false" applyFill="true" applyFont="true" applyNumberFormat="false" applyProtection="false" borderId="173" fillId="465" fontId="5" numFmtId="0" xfId="0">
      <alignment horizontal="center" vertical="center"/>
    </xf>
    <xf applyAlignment="true" applyBorder="false" applyFill="true" applyFont="true" applyNumberFormat="true" applyProtection="false" borderId="181" fillId="498" fontId="1" numFmtId="212" xfId="0">
      <alignment horizontal="left" vertical="center" wrapText="true"/>
    </xf>
    <xf applyAlignment="true" applyBorder="false" applyFill="true" applyFont="true" applyNumberFormat="true" applyProtection="false" borderId="181" fillId="498" fontId="1" numFmtId="212" xfId="0">
      <alignment horizontal="center" vertical="center" wrapText="true"/>
    </xf>
    <xf applyAlignment="true" applyBorder="false" applyFill="true" applyFont="true" applyNumberFormat="false" applyProtection="false" borderId="0" fillId="499" fontId="5" numFmtId="0" xfId="0">
      <alignment horizontal="center" vertical="center"/>
    </xf>
    <xf applyAlignment="true" applyBorder="false" applyFill="true" applyFont="true" applyNumberFormat="false" applyProtection="false" borderId="0" fillId="499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0" fillId="500" fontId="2" numFmtId="212" xfId="0">
      <alignment horizontal="center" vertical="center"/>
    </xf>
    <xf applyAlignment="true" applyBorder="false" applyFill="true" applyFont="true" applyNumberFormat="true" applyProtection="false" borderId="182" fillId="501" fontId="3" numFmtId="212" xfId="0">
      <alignment horizontal="center" vertical="center" wrapText="true"/>
    </xf>
    <xf applyAlignment="true" applyBorder="false" applyFill="true" applyFont="true" applyNumberFormat="true" applyProtection="false" borderId="182" fillId="501" fontId="7" numFmtId="212" xfId="0">
      <alignment horizontal="center" vertical="center" wrapText="true"/>
    </xf>
    <xf applyAlignment="true" applyBorder="false" applyFill="true" applyFont="true" applyNumberFormat="true" applyProtection="false" borderId="182" fillId="501" fontId="7" numFmtId="213" xfId="0">
      <alignment horizontal="center" vertical="center"/>
    </xf>
    <xf applyAlignment="true" applyBorder="false" applyFill="true" applyFont="true" applyNumberFormat="false" applyProtection="false" borderId="182" fillId="501" fontId="7" numFmtId="0" xfId="0">
      <alignment horizontal="center" vertical="center"/>
    </xf>
    <xf applyAlignment="true" applyBorder="false" applyFill="true" applyFont="true" applyNumberFormat="false" applyProtection="false" borderId="183" fillId="501" fontId="7" numFmtId="0" xfId="0">
      <alignment horizontal="center" vertical="center"/>
    </xf>
    <xf applyAlignment="true" applyBorder="false" applyFill="true" applyFont="true" applyNumberFormat="false" applyProtection="false" borderId="184" fillId="501" fontId="7" numFmtId="0" xfId="0">
      <alignment horizontal="center" vertical="center" wrapText="true"/>
    </xf>
    <xf applyAlignment="true" applyBorder="false" applyFill="true" applyFont="true" applyNumberFormat="true" applyProtection="false" borderId="182" fillId="499" fontId="4" numFmtId="213" xfId="0">
      <alignment horizontal="center" vertical="center"/>
    </xf>
    <xf applyAlignment="true" applyBorder="false" applyFill="true" applyFont="true" applyNumberFormat="false" applyProtection="false" borderId="182" fillId="499" fontId="5" numFmtId="0" xfId="0">
      <alignment horizontal="center" vertical="center"/>
    </xf>
    <xf applyAlignment="true" applyBorder="false" applyFill="false" applyFont="true" applyNumberFormat="true" applyProtection="false" borderId="185" fillId="0" fontId="5" numFmtId="214" xfId="0">
      <alignment horizontal="center" vertical="center"/>
    </xf>
    <xf applyAlignment="true" applyBorder="false" applyFill="true" applyFont="true" applyNumberFormat="false" applyProtection="false" borderId="184" fillId="499" fontId="5" numFmtId="0" xfId="0">
      <alignment horizontal="center" vertical="center" wrapText="true"/>
    </xf>
    <xf applyAlignment="true" applyBorder="false" applyFill="false" applyFont="true" applyNumberFormat="false" applyProtection="false" borderId="182" fillId="0" fontId="5" numFmtId="0" xfId="0">
      <alignment horizontal="center" vertical="center"/>
    </xf>
    <xf applyAlignment="true" applyBorder="false" applyFill="true" applyFont="true" applyNumberFormat="false" applyProtection="false" borderId="183" fillId="499" fontId="5" numFmtId="0" xfId="0">
      <alignment horizontal="center" vertical="center"/>
    </xf>
    <xf applyAlignment="true" applyBorder="false" applyFill="false" applyFont="true" applyNumberFormat="true" applyProtection="false" borderId="182" fillId="0" fontId="5" numFmtId="214" xfId="0">
      <alignment horizontal="center" vertical="center"/>
    </xf>
    <xf applyAlignment="true" applyBorder="false" applyFill="false" applyFont="true" applyNumberFormat="false" applyProtection="false" borderId="184" fillId="0" fontId="5" numFmtId="0" xfId="0">
      <alignment horizontal="center" vertical="center" wrapText="true"/>
    </xf>
    <xf applyAlignment="true" applyBorder="false" applyFill="true" applyFont="true" applyNumberFormat="true" applyProtection="false" borderId="182" fillId="502" fontId="3" numFmtId="212" xfId="0">
      <alignment horizontal="center" vertical="center" wrapText="true"/>
    </xf>
    <xf applyAlignment="true" applyBorder="false" applyFill="true" applyFont="true" applyNumberFormat="true" applyProtection="false" borderId="182" fillId="502" fontId="7" numFmtId="212" xfId="0">
      <alignment horizontal="center" vertical="center" wrapText="true"/>
    </xf>
    <xf applyAlignment="true" applyBorder="false" applyFill="true" applyFont="true" applyNumberFormat="true" applyProtection="false" borderId="182" fillId="502" fontId="7" numFmtId="213" xfId="0">
      <alignment horizontal="center" vertical="center"/>
    </xf>
    <xf applyAlignment="true" applyBorder="false" applyFill="true" applyFont="true" applyNumberFormat="false" applyProtection="false" borderId="182" fillId="502" fontId="7" numFmtId="0" xfId="0">
      <alignment horizontal="center" vertical="center"/>
    </xf>
    <xf applyAlignment="true" applyBorder="false" applyFill="true" applyFont="true" applyNumberFormat="false" applyProtection="false" borderId="182" fillId="502" fontId="7" numFmtId="0" xfId="0">
      <alignment horizontal="center" vertical="center" wrapText="true"/>
    </xf>
    <xf applyAlignment="true" applyBorder="false" applyFill="true" applyFont="true" applyNumberFormat="true" applyProtection="false" borderId="182" fillId="503" fontId="4" numFmtId="213" xfId="0">
      <alignment horizontal="center" vertical="center"/>
    </xf>
    <xf applyAlignment="true" applyBorder="false" applyFill="true" applyFont="true" applyNumberFormat="false" applyProtection="false" borderId="182" fillId="503" fontId="5" numFmtId="0" xfId="0">
      <alignment horizontal="center" vertical="center"/>
    </xf>
    <xf applyAlignment="true" applyBorder="false" applyFill="true" applyFont="true" applyNumberFormat="false" applyProtection="false" borderId="182" fillId="503" fontId="5" numFmtId="0" xfId="0">
      <alignment horizontal="center" vertical="center" wrapText="true"/>
    </xf>
    <xf applyAlignment="true" applyBorder="false" applyFill="true" applyFont="true" applyNumberFormat="false" applyProtection="false" borderId="0" fillId="503" fontId="8" numFmtId="0" xfId="0">
      <alignment vertical="center"/>
    </xf>
    <xf applyAlignment="true" applyBorder="false" applyFill="true" applyFont="true" applyNumberFormat="true" applyProtection="false" borderId="182" fillId="504" fontId="4" numFmtId="213" xfId="0">
      <alignment horizontal="center" vertical="center"/>
    </xf>
    <xf applyAlignment="true" applyBorder="false" applyFill="true" applyFont="true" applyNumberFormat="false" applyProtection="false" borderId="182" fillId="504" fontId="5" numFmtId="0" xfId="0">
      <alignment horizontal="center" vertical="center"/>
    </xf>
    <xf applyAlignment="true" applyBorder="false" applyFill="true" applyFont="true" applyNumberFormat="false" applyProtection="false" borderId="182" fillId="504" fontId="5" numFmtId="0" xfId="0">
      <alignment horizontal="center" vertical="center" wrapText="true"/>
    </xf>
    <xf applyAlignment="true" applyBorder="false" applyFill="true" applyFont="true" applyNumberFormat="false" applyProtection="false" borderId="182" fillId="499" fontId="5" numFmtId="0" xfId="0">
      <alignment horizontal="center" vertical="center" wrapText="true"/>
    </xf>
    <xf applyAlignment="true" applyBorder="false" applyFill="true" applyFont="true" applyNumberFormat="false" applyProtection="false" borderId="182" fillId="505" fontId="9" numFmtId="0" xfId="0">
      <alignment horizontal="center" vertical="center"/>
    </xf>
    <xf applyAlignment="true" applyBorder="false" applyFill="true" applyFont="true" applyNumberFormat="true" applyProtection="false" borderId="184" fillId="505" fontId="3" numFmtId="212" xfId="0">
      <alignment horizontal="center" vertical="center" wrapText="true"/>
    </xf>
    <xf applyAlignment="true" applyBorder="false" applyFill="true" applyFont="true" applyNumberFormat="false" applyProtection="false" borderId="0" fillId="499" fontId="15" numFmtId="0" xfId="0">
      <alignment horizontal="center" vertical="center"/>
    </xf>
    <xf applyAlignment="true" applyBorder="false" applyFill="true" applyFont="true" applyNumberFormat="true" applyProtection="false" borderId="186" fillId="505" fontId="7" numFmtId="212" xfId="0">
      <alignment horizontal="center" vertical="center" wrapText="true"/>
    </xf>
    <xf applyAlignment="true" applyBorder="false" applyFill="true" applyFont="true" applyNumberFormat="true" applyProtection="false" borderId="186" fillId="505" fontId="7" numFmtId="213" xfId="0">
      <alignment horizontal="center" vertical="center"/>
    </xf>
    <xf applyAlignment="true" applyBorder="false" applyFill="true" applyFont="true" applyNumberFormat="false" applyProtection="false" borderId="186" fillId="505" fontId="7" numFmtId="0" xfId="0">
      <alignment horizontal="center" vertical="center"/>
    </xf>
    <xf applyAlignment="true" applyBorder="false" applyFill="true" applyFont="true" applyNumberFormat="false" applyProtection="false" borderId="182" fillId="505" fontId="7" numFmtId="0" xfId="0">
      <alignment horizontal="center" vertical="center" wrapText="true"/>
    </xf>
    <xf applyAlignment="true" applyBorder="false" applyFill="true" applyFont="true" applyNumberFormat="false" applyProtection="false" borderId="182" fillId="505" fontId="7" numFmtId="0" xfId="0">
      <alignment horizontal="center" vertical="center"/>
    </xf>
    <xf applyAlignment="true" applyBorder="false" applyFill="true" applyFont="true" applyNumberFormat="true" applyProtection="false" borderId="182" fillId="499" fontId="5" numFmtId="215" xfId="0">
      <alignment horizontal="center" vertical="center"/>
    </xf>
    <xf applyAlignment="true" applyBorder="false" applyFill="true" applyFont="true" applyNumberFormat="true" applyProtection="false" borderId="181" fillId="499" fontId="4" numFmtId="213" xfId="0">
      <alignment horizontal="center" vertical="center"/>
    </xf>
    <xf applyAlignment="true" applyBorder="false" applyFill="true" applyFont="true" applyNumberFormat="false" applyProtection="false" borderId="181" fillId="499" fontId="5" numFmtId="0" xfId="0">
      <alignment horizontal="center" vertical="center"/>
    </xf>
    <xf applyAlignment="true" applyBorder="false" applyFill="true" applyFont="true" applyNumberFormat="true" applyProtection="false" borderId="182" fillId="498" fontId="5" numFmtId="215" xfId="0">
      <alignment horizontal="center" vertical="center"/>
    </xf>
    <xf applyAlignment="true" applyBorder="false" applyFill="true" applyFont="true" applyNumberFormat="true" applyProtection="false" borderId="186" fillId="499" fontId="4" numFmtId="213" xfId="0">
      <alignment horizontal="center" vertical="center"/>
    </xf>
    <xf applyAlignment="true" applyBorder="false" applyFill="true" applyFont="true" applyNumberFormat="false" applyProtection="false" borderId="186" fillId="499" fontId="5" numFmtId="0" xfId="0">
      <alignment horizontal="center" vertical="center"/>
    </xf>
    <xf applyAlignment="true" applyBorder="false" applyFill="true" applyFont="true" applyNumberFormat="false" applyProtection="false" borderId="187" fillId="499" fontId="5" numFmtId="0" xfId="0">
      <alignment horizontal="center" vertical="center" wrapText="true"/>
    </xf>
    <xf applyAlignment="true" applyBorder="false" applyFill="true" applyFont="true" applyNumberFormat="true" applyProtection="false" borderId="182" fillId="503" fontId="5" numFmtId="215" xfId="0">
      <alignment horizontal="center" vertical="center"/>
    </xf>
    <xf applyAlignment="true" applyBorder="false" applyFill="true" applyFont="true" applyNumberFormat="false" applyProtection="false" borderId="184" fillId="503" fontId="5" numFmtId="0" xfId="0">
      <alignment horizontal="center" vertical="center" wrapText="true"/>
    </xf>
    <xf applyAlignment="true" applyBorder="false" applyFill="true" applyFont="true" applyNumberFormat="true" applyProtection="false" borderId="182" fillId="506" fontId="3" numFmtId="212" xfId="0">
      <alignment horizontal="center" vertical="center" wrapText="true"/>
    </xf>
    <xf applyAlignment="true" applyBorder="false" applyFill="true" applyFont="true" applyNumberFormat="true" applyProtection="false" borderId="182" fillId="506" fontId="10" numFmtId="212" xfId="0">
      <alignment horizontal="center" vertical="center" wrapText="true"/>
    </xf>
    <xf applyAlignment="true" applyBorder="false" applyFill="true" applyFont="true" applyNumberFormat="true" applyProtection="false" borderId="181" fillId="506" fontId="7" numFmtId="212" xfId="0">
      <alignment horizontal="center" vertical="center" wrapText="true"/>
    </xf>
    <xf applyAlignment="true" applyBorder="false" applyFill="true" applyFont="true" applyNumberFormat="true" applyProtection="false" borderId="181" fillId="506" fontId="7" numFmtId="213" xfId="0">
      <alignment horizontal="center" vertical="center"/>
    </xf>
    <xf applyAlignment="true" applyBorder="false" applyFill="true" applyFont="true" applyNumberFormat="false" applyProtection="false" borderId="181" fillId="506" fontId="7" numFmtId="0" xfId="0">
      <alignment horizontal="center" vertical="center"/>
    </xf>
    <xf applyAlignment="true" applyBorder="false" applyFill="true" applyFont="true" applyNumberFormat="false" applyProtection="false" borderId="181" fillId="506" fontId="7" numFmtId="0" xfId="0">
      <alignment horizontal="center" vertical="center" wrapText="true"/>
    </xf>
    <xf applyAlignment="true" applyBorder="false" applyFill="false" applyFont="true" applyNumberFormat="true" applyProtection="false" borderId="182" fillId="0" fontId="5" numFmtId="213" xfId="0">
      <alignment horizontal="center" vertical="center"/>
    </xf>
    <xf applyAlignment="true" applyBorder="false" applyFill="false" applyFont="true" applyNumberFormat="false" applyProtection="false" borderId="182" fillId="0" fontId="8" numFmtId="0" xfId="0">
      <alignment horizontal="center" vertical="center" wrapText="true"/>
    </xf>
    <xf applyAlignment="true" applyBorder="false" applyFill="false" applyFont="true" applyNumberFormat="false" applyProtection="false" borderId="182" fillId="0" fontId="8" numFmtId="0" xfId="0">
      <alignment vertical="center"/>
    </xf>
    <xf applyAlignment="true" applyBorder="false" applyFill="true" applyFont="true" applyNumberFormat="true" applyProtection="false" borderId="182" fillId="499" fontId="5" numFmtId="213" xfId="0">
      <alignment horizontal="center" vertical="center"/>
    </xf>
    <xf applyAlignment="true" applyBorder="false" applyFill="true" applyFont="true" applyNumberFormat="false" applyProtection="false" borderId="182" fillId="499" fontId="8" numFmtId="0" xfId="0">
      <alignment horizontal="center" vertical="center" wrapText="true"/>
    </xf>
    <xf applyAlignment="true" applyBorder="false" applyFill="true" applyFont="true" applyNumberFormat="false" applyProtection="false" borderId="182" fillId="499" fontId="8" numFmtId="0" xfId="0">
      <alignment vertical="center"/>
    </xf>
    <xf applyAlignment="true" applyBorder="false" applyFill="true" applyFont="true" applyNumberFormat="true" applyProtection="false" borderId="182" fillId="503" fontId="5" numFmtId="213" xfId="0">
      <alignment horizontal="center" vertical="center"/>
    </xf>
    <xf applyAlignment="true" applyBorder="false" applyFill="true" applyFont="true" applyNumberFormat="false" applyProtection="false" borderId="182" fillId="503" fontId="8" numFmtId="0" xfId="0">
      <alignment horizontal="center" vertical="center" wrapText="true"/>
    </xf>
    <xf applyAlignment="true" applyBorder="false" applyFill="true" applyFont="true" applyNumberFormat="false" applyProtection="false" borderId="182" fillId="503" fontId="8" numFmtId="0" xfId="0">
      <alignment vertical="center"/>
    </xf>
    <xf applyAlignment="true" applyBorder="false" applyFill="true" applyFont="true" applyNumberFormat="false" applyProtection="false" borderId="0" fillId="503" fontId="5" numFmtId="0" xfId="0">
      <alignment horizontal="center" vertical="center"/>
    </xf>
    <xf applyAlignment="true" applyBorder="false" applyFill="false" applyFont="true" applyNumberFormat="false" applyProtection="false" borderId="182" fillId="0" fontId="8" numFmtId="0" xfId="0">
      <alignment horizontal="center" vertical="center"/>
    </xf>
    <xf applyAlignment="true" applyBorder="false" applyFill="true" applyFont="true" applyNumberFormat="true" applyProtection="false" borderId="181" fillId="504" fontId="3" numFmtId="212" xfId="0">
      <alignment horizontal="center" vertical="center" wrapText="true"/>
    </xf>
    <xf applyAlignment="true" applyBorder="false" applyFill="true" applyFont="true" applyNumberFormat="true" applyProtection="false" borderId="188" fillId="504" fontId="7" numFmtId="212" xfId="0">
      <alignment horizontal="center" vertical="center" wrapText="true"/>
    </xf>
    <xf applyAlignment="true" applyBorder="false" applyFill="true" applyFont="true" applyNumberFormat="true" applyProtection="false" borderId="182" fillId="504" fontId="7" numFmtId="213" xfId="0">
      <alignment horizontal="center" vertical="center"/>
    </xf>
    <xf applyAlignment="true" applyBorder="false" applyFill="true" applyFont="true" applyNumberFormat="false" applyProtection="false" borderId="189" fillId="504" fontId="7" numFmtId="0" xfId="0">
      <alignment horizontal="center" vertical="center"/>
    </xf>
    <xf applyAlignment="true" applyBorder="false" applyFill="true" applyFont="true" applyNumberFormat="false" applyProtection="false" borderId="181" fillId="504" fontId="7" numFmtId="0" xfId="0">
      <alignment horizontal="center" vertical="center"/>
    </xf>
    <xf applyAlignment="true" applyBorder="false" applyFill="true" applyFont="true" applyNumberFormat="false" applyProtection="false" borderId="181" fillId="504" fontId="7" numFmtId="0" xfId="0">
      <alignment horizontal="center" vertical="center" wrapText="true"/>
    </xf>
    <xf applyAlignment="true" applyBorder="false" applyFill="true" applyFont="true" applyNumberFormat="false" applyProtection="false" borderId="188" fillId="504" fontId="7" numFmtId="0" xfId="0">
      <alignment horizontal="center" vertical="center"/>
    </xf>
    <xf applyAlignment="true" applyBorder="false" applyFill="true" applyFont="true" applyNumberFormat="false" applyProtection="false" borderId="182" fillId="504" fontId="7" numFmtId="0" xfId="0">
      <alignment horizontal="center" vertical="center"/>
    </xf>
    <xf applyAlignment="true" applyBorder="false" applyFill="false" applyFont="true" applyNumberFormat="false" applyProtection="false" borderId="182" fillId="0" fontId="5" numFmtId="0" xfId="0">
      <alignment horizontal="center" vertical="center" wrapText="true"/>
    </xf>
    <xf applyAlignment="true" applyBorder="false" applyFill="false" applyFont="true" applyNumberFormat="false" applyProtection="false" borderId="186" fillId="0" fontId="5" numFmtId="0" xfId="0">
      <alignment horizontal="center" vertical="center"/>
    </xf>
    <xf applyAlignment="true" applyBorder="false" applyFill="true" applyFont="true" applyNumberFormat="false" applyProtection="false" borderId="186" fillId="503" fontId="5" numFmtId="0" xfId="0">
      <alignment horizontal="center" vertical="center"/>
    </xf>
    <xf applyAlignment="true" applyBorder="false" applyFill="true" applyFont="true" applyNumberFormat="false" applyProtection="false" borderId="0" fillId="503" fontId="15" numFmtId="0" xfId="0">
      <alignment horizontal="center" vertical="center"/>
    </xf>
    <xf applyAlignment="true" applyBorder="false" applyFill="true" applyFont="true" applyNumberFormat="true" applyProtection="false" borderId="181" fillId="507" fontId="3" numFmtId="212" xfId="0">
      <alignment horizontal="center" vertical="center" wrapText="true"/>
    </xf>
    <xf applyAlignment="true" applyBorder="false" applyFill="true" applyFont="true" applyNumberFormat="true" applyProtection="false" borderId="188" fillId="507" fontId="7" numFmtId="212" xfId="0">
      <alignment horizontal="center" vertical="center" wrapText="true"/>
    </xf>
    <xf applyAlignment="true" applyBorder="false" applyFill="true" applyFont="true" applyNumberFormat="true" applyProtection="false" borderId="182" fillId="507" fontId="7" numFmtId="213" xfId="0">
      <alignment horizontal="center" vertical="center"/>
    </xf>
    <xf applyAlignment="true" applyBorder="false" applyFill="true" applyFont="true" applyNumberFormat="false" applyProtection="false" borderId="189" fillId="507" fontId="7" numFmtId="0" xfId="0">
      <alignment horizontal="center" vertical="center"/>
    </xf>
    <xf applyAlignment="true" applyBorder="false" applyFill="true" applyFont="true" applyNumberFormat="false" applyProtection="false" borderId="181" fillId="507" fontId="7" numFmtId="0" xfId="0">
      <alignment horizontal="center" vertical="center"/>
    </xf>
    <xf applyAlignment="true" applyBorder="false" applyFill="true" applyFont="true" applyNumberFormat="false" applyProtection="false" borderId="181" fillId="507" fontId="7" numFmtId="0" xfId="0">
      <alignment horizontal="center" vertical="center" wrapText="true"/>
    </xf>
    <xf applyAlignment="true" applyBorder="false" applyFill="true" applyFont="true" applyNumberFormat="false" applyProtection="false" borderId="188" fillId="507" fontId="7" numFmtId="0" xfId="0">
      <alignment horizontal="center" vertical="center"/>
    </xf>
    <xf applyAlignment="true" applyBorder="false" applyFill="true" applyFont="true" applyNumberFormat="false" applyProtection="false" borderId="182" fillId="507" fontId="7" numFmtId="0" xfId="0">
      <alignment horizontal="center" vertical="center"/>
    </xf>
    <xf applyAlignment="true" applyBorder="false" applyFill="true" applyFont="true" applyNumberFormat="true" applyProtection="false" borderId="181" fillId="508" fontId="3" numFmtId="212" xfId="0">
      <alignment horizontal="center" vertical="center" wrapText="true"/>
    </xf>
    <xf applyAlignment="true" applyBorder="false" applyFill="true" applyFont="true" applyNumberFormat="false" applyProtection="false" borderId="0" fillId="508" fontId="15" numFmtId="0" xfId="0">
      <alignment horizontal="center" vertical="center"/>
    </xf>
    <xf applyAlignment="true" applyBorder="false" applyFill="true" applyFont="true" applyNumberFormat="false" applyProtection="false" borderId="0" fillId="508" fontId="5" numFmtId="0" xfId="0">
      <alignment horizontal="center" vertical="center"/>
    </xf>
    <xf applyAlignment="true" applyBorder="false" applyFill="true" applyFont="true" applyNumberFormat="false" applyProtection="false" borderId="0" fillId="508" fontId="8" numFmtId="0" xfId="0">
      <alignment vertical="center"/>
    </xf>
    <xf applyAlignment="true" applyBorder="false" applyFill="true" applyFont="true" applyNumberFormat="true" applyProtection="false" borderId="188" fillId="508" fontId="7" numFmtId="212" xfId="0">
      <alignment horizontal="center" vertical="center" wrapText="true"/>
    </xf>
    <xf applyAlignment="true" applyBorder="false" applyFill="true" applyFont="true" applyNumberFormat="true" applyProtection="false" borderId="182" fillId="508" fontId="7" numFmtId="213" xfId="0">
      <alignment horizontal="center" vertical="center"/>
    </xf>
    <xf applyAlignment="true" applyBorder="false" applyFill="true" applyFont="true" applyNumberFormat="false" applyProtection="false" borderId="189" fillId="508" fontId="7" numFmtId="0" xfId="0">
      <alignment horizontal="center" vertical="center"/>
    </xf>
    <xf applyAlignment="true" applyBorder="false" applyFill="true" applyFont="true" applyNumberFormat="false" applyProtection="false" borderId="181" fillId="508" fontId="7" numFmtId="0" xfId="0">
      <alignment horizontal="center" vertical="center"/>
    </xf>
    <xf applyAlignment="true" applyBorder="false" applyFill="true" applyFont="true" applyNumberFormat="false" applyProtection="false" borderId="181" fillId="508" fontId="7" numFmtId="0" xfId="0">
      <alignment horizontal="center" vertical="center" wrapText="true"/>
    </xf>
    <xf applyAlignment="true" applyBorder="false" applyFill="true" applyFont="true" applyNumberFormat="false" applyProtection="false" borderId="188" fillId="508" fontId="7" numFmtId="0" xfId="0">
      <alignment horizontal="center" vertical="center"/>
    </xf>
    <xf applyAlignment="true" applyBorder="false" applyFill="true" applyFont="true" applyNumberFormat="false" applyProtection="false" borderId="182" fillId="508" fontId="7" numFmtId="0" xfId="0">
      <alignment horizontal="center" vertical="center"/>
    </xf>
    <xf applyAlignment="true" applyBorder="false" applyFill="true" applyFont="true" applyNumberFormat="true" applyProtection="false" borderId="181" fillId="509" fontId="3" numFmtId="212" xfId="0">
      <alignment horizontal="center" vertical="center" wrapText="true"/>
    </xf>
    <xf applyAlignment="true" applyBorder="false" applyFill="true" applyFont="true" applyNumberFormat="true" applyProtection="false" borderId="188" fillId="509" fontId="7" numFmtId="212" xfId="0">
      <alignment horizontal="center" vertical="center" wrapText="true"/>
    </xf>
    <xf applyAlignment="true" applyBorder="false" applyFill="true" applyFont="true" applyNumberFormat="true" applyProtection="false" borderId="182" fillId="509" fontId="7" numFmtId="213" xfId="0">
      <alignment horizontal="center" vertical="center"/>
    </xf>
    <xf applyAlignment="true" applyBorder="false" applyFill="true" applyFont="true" applyNumberFormat="false" applyProtection="false" borderId="189" fillId="509" fontId="7" numFmtId="0" xfId="0">
      <alignment horizontal="center" vertical="center"/>
    </xf>
    <xf applyAlignment="true" applyBorder="false" applyFill="true" applyFont="true" applyNumberFormat="false" applyProtection="false" borderId="181" fillId="509" fontId="7" numFmtId="0" xfId="0">
      <alignment horizontal="center" vertical="center"/>
    </xf>
    <xf applyAlignment="true" applyBorder="false" applyFill="true" applyFont="true" applyNumberFormat="false" applyProtection="false" borderId="181" fillId="509" fontId="7" numFmtId="0" xfId="0">
      <alignment horizontal="center" vertical="center" wrapText="true"/>
    </xf>
    <xf applyAlignment="true" applyBorder="false" applyFill="true" applyFont="true" applyNumberFormat="false" applyProtection="false" borderId="188" fillId="509" fontId="7" numFmtId="0" xfId="0">
      <alignment horizontal="center" vertical="center"/>
    </xf>
    <xf applyAlignment="true" applyBorder="false" applyFill="true" applyFont="true" applyNumberFormat="false" applyProtection="false" borderId="182" fillId="509" fontId="7" numFmtId="0" xfId="0">
      <alignment horizontal="center" vertical="center"/>
    </xf>
    <xf applyAlignment="true" applyBorder="false" applyFill="true" applyFont="true" applyNumberFormat="false" applyProtection="false" borderId="182" fillId="501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182" fillId="510" fontId="3" numFmtId="212" xfId="0">
      <alignment horizontal="center" vertical="center" wrapText="true"/>
    </xf>
    <xf applyAlignment="true" applyBorder="false" applyFill="true" applyFont="true" applyNumberFormat="true" applyProtection="false" borderId="182" fillId="510" fontId="7" numFmtId="212" xfId="0">
      <alignment horizontal="center" vertical="center" wrapText="true"/>
    </xf>
    <xf applyAlignment="true" applyBorder="false" applyFill="true" applyFont="true" applyNumberFormat="true" applyProtection="false" borderId="182" fillId="510" fontId="7" numFmtId="213" xfId="0">
      <alignment horizontal="center" vertical="center"/>
    </xf>
    <xf applyAlignment="true" applyBorder="false" applyFill="true" applyFont="true" applyNumberFormat="false" applyProtection="false" borderId="182" fillId="510" fontId="7" numFmtId="0" xfId="0">
      <alignment horizontal="center" vertical="center"/>
    </xf>
    <xf applyAlignment="true" applyBorder="false" applyFill="true" applyFont="true" applyNumberFormat="false" applyProtection="false" borderId="182" fillId="510" fontId="7" numFmtId="0" xfId="0">
      <alignment horizontal="center" vertical="center" wrapText="true"/>
    </xf>
    <xf applyAlignment="true" applyBorder="false" applyFill="false" applyFont="true" applyNumberFormat="false" applyProtection="false" borderId="181" fillId="0" fontId="5" numFmtId="0" xfId="0">
      <alignment horizontal="center" vertical="center" wrapText="true"/>
    </xf>
    <xf applyAlignment="true" applyBorder="false" applyFill="false" applyFont="true" applyNumberFormat="false" applyProtection="false" borderId="183" fillId="0" fontId="5" numFmtId="0" xfId="0">
      <alignment horizontal="center" vertical="center"/>
    </xf>
    <xf applyAlignment="true" applyBorder="false" applyFill="false" applyFont="true" applyNumberFormat="false" applyProtection="false" borderId="184" fillId="0" fontId="8" numFmtId="0" xfId="0">
      <alignment vertical="center"/>
    </xf>
    <xf applyAlignment="true" applyBorder="false" applyFill="true" applyFont="true" applyNumberFormat="true" applyProtection="false" borderId="182" fillId="511" fontId="10" numFmtId="212" xfId="0">
      <alignment horizontal="center" vertical="center" wrapText="true"/>
    </xf>
    <xf applyAlignment="true" applyBorder="false" applyFill="true" applyFont="true" applyNumberFormat="true" applyProtection="false" borderId="182" fillId="511" fontId="7" numFmtId="212" xfId="0">
      <alignment horizontal="center" vertical="center" wrapText="true"/>
    </xf>
    <xf applyAlignment="true" applyBorder="false" applyFill="true" applyFont="true" applyNumberFormat="true" applyProtection="false" borderId="182" fillId="511" fontId="7" numFmtId="213" xfId="0">
      <alignment horizontal="center" vertical="center"/>
    </xf>
    <xf applyAlignment="true" applyBorder="false" applyFill="true" applyFont="true" applyNumberFormat="false" applyProtection="false" borderId="182" fillId="511" fontId="7" numFmtId="0" xfId="0">
      <alignment horizontal="center" vertical="center"/>
    </xf>
    <xf applyAlignment="true" applyBorder="false" applyFill="true" applyFont="true" applyNumberFormat="false" applyProtection="false" borderId="182" fillId="511" fontId="7" numFmtId="0" xfId="0">
      <alignment horizontal="center" vertical="center" wrapText="true"/>
    </xf>
    <xf applyAlignment="true" applyBorder="false" applyFill="true" applyFont="true" applyNumberFormat="false" applyProtection="false" borderId="182" fillId="499" fontId="15" numFmtId="0" xfId="0">
      <alignment horizontal="center" vertical="center"/>
    </xf>
    <xf applyAlignment="true" applyBorder="false" applyFill="true" applyFont="true" applyNumberFormat="true" applyProtection="false" borderId="182" fillId="512" fontId="3" numFmtId="212" xfId="0">
      <alignment horizontal="center" vertical="center" wrapText="true"/>
    </xf>
    <xf applyAlignment="true" applyBorder="false" applyFill="true" applyFont="true" applyNumberFormat="true" applyProtection="false" borderId="182" fillId="512" fontId="7" numFmtId="212" xfId="0">
      <alignment horizontal="center" vertical="center" wrapText="true"/>
    </xf>
    <xf applyAlignment="true" applyBorder="false" applyFill="true" applyFont="true" applyNumberFormat="true" applyProtection="false" borderId="182" fillId="512" fontId="7" numFmtId="213" xfId="0">
      <alignment horizontal="center" vertical="center"/>
    </xf>
    <xf applyAlignment="true" applyBorder="false" applyFill="true" applyFont="true" applyNumberFormat="false" applyProtection="false" borderId="182" fillId="512" fontId="7" numFmtId="0" xfId="0">
      <alignment horizontal="center" vertical="center"/>
    </xf>
    <xf applyAlignment="true" applyBorder="false" applyFill="true" applyFont="true" applyNumberFormat="false" applyProtection="false" borderId="182" fillId="512" fontId="7" numFmtId="0" xfId="0">
      <alignment horizontal="center" vertical="center" wrapText="true"/>
    </xf>
    <xf applyAlignment="true" applyBorder="false" applyFill="true" applyFont="true" applyNumberFormat="true" applyProtection="false" borderId="182" fillId="499" fontId="15" numFmtId="214" xfId="0">
      <alignment horizontal="center" vertical="center"/>
    </xf>
    <xf applyAlignment="true" applyBorder="false" applyFill="true" applyFont="true" applyNumberFormat="true" applyProtection="false" borderId="182" fillId="499" fontId="5" numFmtId="214" xfId="0">
      <alignment horizontal="center" vertical="center"/>
    </xf>
    <xf applyAlignment="true" applyBorder="false" applyFill="true" applyFont="true" applyNumberFormat="true" applyProtection="false" borderId="182" fillId="509" fontId="3" numFmtId="212" xfId="0">
      <alignment horizontal="center" vertical="center" wrapText="true"/>
    </xf>
    <xf applyAlignment="true" applyBorder="false" applyFill="true" applyFont="true" applyNumberFormat="false" applyProtection="false" borderId="0" fillId="509" fontId="5" numFmtId="0" xfId="0">
      <alignment horizontal="center" vertical="center"/>
    </xf>
    <xf applyAlignment="true" applyBorder="false" applyFill="true" applyFont="true" applyNumberFormat="false" applyProtection="false" borderId="0" fillId="509" fontId="8" numFmtId="0" xfId="0">
      <alignment vertical="center"/>
    </xf>
    <xf applyAlignment="true" applyBorder="false" applyFill="true" applyFont="true" applyNumberFormat="true" applyProtection="false" borderId="182" fillId="509" fontId="7" numFmtId="212" xfId="0">
      <alignment horizontal="center" vertical="center" wrapText="true"/>
    </xf>
    <xf applyAlignment="true" applyBorder="false" applyFill="true" applyFont="true" applyNumberFormat="false" applyProtection="false" borderId="182" fillId="509" fontId="7" numFmtId="0" xfId="0">
      <alignment horizontal="center" vertical="center" wrapText="true"/>
    </xf>
    <xf applyAlignment="true" applyBorder="false" applyFill="true" applyFont="true" applyNumberFormat="true" applyProtection="false" borderId="182" fillId="513" fontId="3" numFmtId="212" xfId="0">
      <alignment horizontal="center" vertical="center" wrapText="true"/>
    </xf>
    <xf applyAlignment="true" applyBorder="false" applyFill="true" applyFont="true" applyNumberFormat="false" applyProtection="false" borderId="0" fillId="513" fontId="5" numFmtId="0" xfId="0">
      <alignment horizontal="center" vertical="center"/>
    </xf>
    <xf applyAlignment="true" applyBorder="false" applyFill="true" applyFont="true" applyNumberFormat="false" applyProtection="false" borderId="0" fillId="513" fontId="8" numFmtId="0" xfId="0">
      <alignment vertical="center"/>
    </xf>
    <xf applyAlignment="true" applyBorder="false" applyFill="true" applyFont="true" applyNumberFormat="true" applyProtection="false" borderId="182" fillId="513" fontId="7" numFmtId="212" xfId="0">
      <alignment horizontal="center" vertical="center" wrapText="true"/>
    </xf>
    <xf applyAlignment="true" applyBorder="false" applyFill="true" applyFont="true" applyNumberFormat="true" applyProtection="false" borderId="182" fillId="513" fontId="7" numFmtId="213" xfId="0">
      <alignment horizontal="center" vertical="center"/>
    </xf>
    <xf applyAlignment="true" applyBorder="false" applyFill="true" applyFont="true" applyNumberFormat="false" applyProtection="false" borderId="182" fillId="513" fontId="7" numFmtId="0" xfId="0">
      <alignment horizontal="center" vertical="center"/>
    </xf>
    <xf applyAlignment="true" applyBorder="false" applyFill="true" applyFont="true" applyNumberFormat="false" applyProtection="false" borderId="182" fillId="513" fontId="7" numFmtId="0" xfId="0">
      <alignment horizontal="center" vertical="center" wrapText="true"/>
    </xf>
    <xf applyAlignment="true" applyBorder="false" applyFill="true" applyFont="true" applyNumberFormat="true" applyProtection="false" borderId="182" fillId="508" fontId="3" numFmtId="212" xfId="0">
      <alignment horizontal="center" vertical="center" wrapText="true"/>
    </xf>
    <xf applyAlignment="true" applyBorder="false" applyFill="true" applyFont="true" applyNumberFormat="true" applyProtection="false" borderId="182" fillId="508" fontId="7" numFmtId="212" xfId="0">
      <alignment horizontal="center" vertical="center" wrapText="true"/>
    </xf>
    <xf applyAlignment="true" applyBorder="false" applyFill="true" applyFont="true" applyNumberFormat="false" applyProtection="false" borderId="182" fillId="508" fontId="7" numFmtId="0" xfId="0">
      <alignment horizontal="center" vertical="center" wrapText="true"/>
    </xf>
    <xf applyAlignment="true" applyBorder="false" applyFill="false" applyFont="true" applyNumberFormat="true" applyProtection="false" borderId="182" fillId="0" fontId="5" numFmtId="216" xfId="0">
      <alignment horizontal="center" vertical="center"/>
    </xf>
    <xf applyAlignment="true" applyBorder="false" applyFill="true" applyFont="true" applyNumberFormat="false" applyProtection="false" borderId="182" fillId="499" fontId="4" numFmtId="0" xfId="0">
      <alignment horizontal="center" vertical="center"/>
    </xf>
    <xf applyAlignment="true" applyBorder="false" applyFill="true" applyFont="true" applyNumberFormat="false" applyProtection="false" borderId="182" fillId="499" fontId="4" numFmtId="0" xfId="0">
      <alignment horizontal="center" vertical="center" wrapText="true"/>
    </xf>
    <xf applyAlignment="true" applyBorder="false" applyFill="true" applyFont="true" applyNumberFormat="false" applyProtection="false" borderId="0" fillId="499" fontId="4" numFmtId="0" xfId="0">
      <alignment horizontal="center" vertical="center"/>
    </xf>
    <xf applyAlignment="true" applyBorder="false" applyFill="true" applyFont="true" applyNumberFormat="false" applyProtection="false" borderId="0" fillId="499" fontId="22" numFmtId="0" xfId="0">
      <alignment vertical="center"/>
    </xf>
    <xf applyAlignment="true" applyBorder="false" applyFill="true" applyFont="true" applyNumberFormat="true" applyProtection="false" borderId="182" fillId="508" fontId="4" numFmtId="213" xfId="0">
      <alignment horizontal="center" vertical="center"/>
    </xf>
    <xf applyAlignment="true" applyBorder="false" applyFill="true" applyFont="true" applyNumberFormat="false" applyProtection="false" borderId="182" fillId="508" fontId="5" numFmtId="0" xfId="0">
      <alignment horizontal="center" vertical="center"/>
    </xf>
    <xf applyAlignment="true" applyBorder="false" applyFill="true" applyFont="true" applyNumberFormat="false" applyProtection="false" borderId="182" fillId="508" fontId="5" numFmtId="0" xfId="0">
      <alignment horizontal="center" vertical="center" wrapText="true"/>
    </xf>
    <xf applyAlignment="true" applyBorder="false" applyFill="true" applyFont="true" applyNumberFormat="false" applyProtection="false" borderId="182" fillId="508" fontId="4" numFmtId="0" xfId="0">
      <alignment horizontal="center" vertical="center"/>
    </xf>
    <xf applyAlignment="true" applyBorder="false" applyFill="true" applyFont="true" applyNumberFormat="false" applyProtection="false" borderId="184" fillId="508" fontId="5" numFmtId="0" xfId="0">
      <alignment horizontal="center" vertical="center"/>
    </xf>
    <xf applyAlignment="true" applyBorder="false" applyFill="true" applyFont="true" applyNumberFormat="false" applyProtection="false" borderId="186" fillId="508" fontId="5" numFmtId="0" xfId="0">
      <alignment horizontal="center" vertical="center"/>
    </xf>
    <xf applyAlignment="true" applyBorder="false" applyFill="false" applyFont="true" applyNumberFormat="false" applyProtection="false" borderId="188" fillId="0" fontId="5" numFmtId="0" xfId="0">
      <alignment horizontal="center" vertical="center" wrapText="true"/>
    </xf>
    <xf applyAlignment="true" applyBorder="false" applyFill="false" applyFont="true" applyNumberFormat="false" applyProtection="false" borderId="189" fillId="0" fontId="5" numFmtId="0" xfId="0">
      <alignment horizontal="center" vertical="center"/>
    </xf>
    <xf applyAlignment="true" applyBorder="false" applyFill="true" applyFont="true" applyNumberFormat="false" applyProtection="false" borderId="188" fillId="499" fontId="5" numFmtId="0" xfId="0">
      <alignment horizontal="center" vertical="center" wrapText="true"/>
    </xf>
    <xf applyAlignment="true" applyBorder="false" applyFill="true" applyFont="true" applyNumberFormat="false" applyProtection="false" borderId="189" fillId="499" fontId="5" numFmtId="0" xfId="0">
      <alignment horizontal="center" vertical="center"/>
    </xf>
    <xf applyAlignment="true" applyBorder="false" applyFill="true" applyFont="true" applyNumberFormat="false" applyProtection="false" borderId="188" fillId="508" fontId="5" numFmtId="0" xfId="0">
      <alignment horizontal="center" vertical="center" wrapText="true"/>
    </xf>
    <xf applyAlignment="true" applyBorder="false" applyFill="true" applyFont="true" applyNumberFormat="true" applyProtection="false" borderId="0" fillId="499" fontId="4" numFmtId="213" xfId="0">
      <alignment horizontal="center" vertical="center"/>
    </xf>
    <xf applyAlignment="true" applyBorder="false" applyFill="false" applyFont="true" applyNumberFormat="false" applyProtection="false" borderId="183" fillId="0" fontId="5" numFmtId="0" xfId="0">
      <alignment horizontal="center" vertical="center" wrapText="true"/>
    </xf>
    <xf applyAlignment="true" applyBorder="false" applyFill="false" applyFont="true" applyNumberFormat="false" applyProtection="false" borderId="184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182" fillId="514" fontId="3" numFmtId="212" xfId="0">
      <alignment horizontal="center" vertical="center" wrapText="true"/>
    </xf>
    <xf applyAlignment="true" applyBorder="false" applyFill="true" applyFont="true" applyNumberFormat="true" applyProtection="false" borderId="181" fillId="514" fontId="7" numFmtId="212" xfId="0">
      <alignment horizontal="center" vertical="center" wrapText="true"/>
    </xf>
    <xf applyAlignment="true" applyBorder="false" applyFill="true" applyFont="true" applyNumberFormat="true" applyProtection="false" borderId="181" fillId="514" fontId="7" numFmtId="213" xfId="0">
      <alignment horizontal="center" vertical="center"/>
    </xf>
    <xf applyAlignment="true" applyBorder="false" applyFill="true" applyFont="true" applyNumberFormat="false" applyProtection="false" borderId="181" fillId="514" fontId="7" numFmtId="0" xfId="0">
      <alignment horizontal="center" vertical="center"/>
    </xf>
    <xf applyAlignment="true" applyBorder="false" applyFill="true" applyFont="true" applyNumberFormat="false" applyProtection="false" borderId="181" fillId="514" fontId="7" numFmtId="0" xfId="0">
      <alignment horizontal="center" vertical="center" wrapText="true"/>
    </xf>
    <xf applyAlignment="true" applyBorder="false" applyFill="true" applyFont="true" applyNumberFormat="true" applyProtection="false" borderId="182" fillId="515" fontId="3" numFmtId="212" xfId="0">
      <alignment horizontal="center" vertical="center" wrapText="true"/>
    </xf>
    <xf applyAlignment="true" applyBorder="false" applyFill="true" applyFont="true" applyNumberFormat="true" applyProtection="false" borderId="182" fillId="515" fontId="7" numFmtId="212" xfId="0">
      <alignment horizontal="center" vertical="center" wrapText="true"/>
    </xf>
    <xf applyAlignment="true" applyBorder="false" applyFill="true" applyFont="true" applyNumberFormat="true" applyProtection="false" borderId="182" fillId="515" fontId="7" numFmtId="213" xfId="0">
      <alignment horizontal="center" vertical="center"/>
    </xf>
    <xf applyAlignment="true" applyBorder="false" applyFill="true" applyFont="true" applyNumberFormat="false" applyProtection="false" borderId="182" fillId="515" fontId="7" numFmtId="0" xfId="0">
      <alignment horizontal="center" vertical="center"/>
    </xf>
    <xf applyAlignment="true" applyBorder="false" applyFill="true" applyFont="true" applyNumberFormat="false" applyProtection="false" borderId="182" fillId="515" fontId="7" numFmtId="0" xfId="0">
      <alignment horizontal="center" vertical="center" wrapText="true"/>
    </xf>
    <xf applyAlignment="true" applyBorder="false" applyFill="true" applyFont="true" applyNumberFormat="true" applyProtection="false" borderId="182" fillId="511" fontId="4" numFmtId="213" xfId="0">
      <alignment horizontal="center" vertical="center"/>
    </xf>
    <xf applyAlignment="true" applyBorder="false" applyFill="true" applyFont="true" applyNumberFormat="false" applyProtection="false" borderId="182" fillId="511" fontId="5" numFmtId="0" xfId="0">
      <alignment horizontal="center" vertical="center"/>
    </xf>
    <xf applyAlignment="true" applyBorder="false" applyFill="true" applyFont="true" applyNumberFormat="false" applyProtection="false" borderId="182" fillId="511" fontId="5" numFmtId="0" xfId="0">
      <alignment horizontal="center" vertical="center" wrapText="true"/>
    </xf>
    <xf applyAlignment="true" applyBorder="false" applyFill="true" applyFont="true" applyNumberFormat="false" applyProtection="false" borderId="0" fillId="511" fontId="5" numFmtId="0" xfId="0">
      <alignment horizontal="center" vertical="center"/>
    </xf>
    <xf applyAlignment="true" applyBorder="false" applyFill="true" applyFont="true" applyNumberFormat="false" applyProtection="false" borderId="0" fillId="511" fontId="8" numFmtId="0" xfId="0">
      <alignment vertical="center"/>
    </xf>
    <xf applyAlignment="true" applyBorder="false" applyFill="true" applyFont="true" applyNumberFormat="true" applyProtection="false" borderId="182" fillId="508" fontId="5" numFmtId="217" xfId="0">
      <alignment horizontal="center" vertical="center"/>
    </xf>
    <xf applyAlignment="true" applyBorder="false" applyFill="true" applyFont="true" applyNumberFormat="false" applyProtection="false" borderId="183" fillId="499" fontId="5" numFmtId="0" xfId="0">
      <alignment horizontal="center" vertical="center" wrapText="true"/>
    </xf>
    <xf applyAlignment="true" applyBorder="false" applyFill="true" applyFont="true" applyNumberFormat="false" applyProtection="false" borderId="182" fillId="499" fontId="5" numFmtId="0" xfId="0">
      <alignment horizontal="left" vertical="center" wrapText="true"/>
    </xf>
    <xf applyAlignment="true" applyBorder="false" applyFill="true" applyFont="true" applyNumberFormat="true" applyProtection="false" borderId="182" fillId="516" fontId="4" numFmtId="213" xfId="0">
      <alignment horizontal="center" vertical="center"/>
    </xf>
    <xf applyAlignment="true" applyBorder="false" applyFill="true" applyFont="true" applyNumberFormat="false" applyProtection="false" borderId="184" fillId="516" fontId="5" numFmtId="0" xfId="0">
      <alignment horizontal="center" vertical="center"/>
    </xf>
    <xf applyAlignment="true" applyBorder="false" applyFill="true" applyFont="true" applyNumberFormat="false" applyProtection="false" borderId="182" fillId="516" fontId="5" numFmtId="0" xfId="0">
      <alignment horizontal="center" vertical="center"/>
    </xf>
    <xf applyAlignment="true" applyBorder="false" applyFill="true" applyFont="true" applyNumberFormat="false" applyProtection="false" borderId="182" fillId="516" fontId="5" numFmtId="0" xfId="0">
      <alignment horizontal="center" vertical="center" wrapText="true"/>
    </xf>
    <xf applyAlignment="true" applyBorder="false" applyFill="true" applyFont="true" applyNumberFormat="false" applyProtection="false" borderId="182" fillId="516" fontId="5" numFmtId="0" xfId="0">
      <alignment horizontal="left" vertical="center" wrapText="true"/>
    </xf>
    <xf applyAlignment="true" applyBorder="false" applyFill="true" applyFont="true" applyNumberFormat="false" applyProtection="false" borderId="0" fillId="516" fontId="5" numFmtId="0" xfId="0">
      <alignment horizontal="center" vertical="center"/>
    </xf>
    <xf applyAlignment="true" applyBorder="false" applyFill="true" applyFont="true" applyNumberFormat="false" applyProtection="false" borderId="184" fillId="499" fontId="5" numFmtId="0" xfId="0">
      <alignment horizontal="center" vertical="center"/>
    </xf>
    <xf applyAlignment="true" applyBorder="false" applyFill="true" applyFont="true" applyNumberFormat="false" applyProtection="false" borderId="181" fillId="499" fontId="5" numFmtId="0" xfId="0">
      <alignment horizontal="left" vertical="center" wrapText="true"/>
    </xf>
    <xf applyAlignment="true" applyBorder="false" applyFill="true" applyFont="true" applyNumberFormat="true" applyProtection="false" borderId="182" fillId="517" fontId="3" numFmtId="212" xfId="0">
      <alignment horizontal="center" vertical="center" wrapText="true"/>
    </xf>
    <xf applyAlignment="true" applyBorder="false" applyFill="true" applyFont="true" applyNumberFormat="true" applyProtection="false" borderId="182" fillId="517" fontId="7" numFmtId="212" xfId="0">
      <alignment horizontal="center" vertical="center" wrapText="true"/>
    </xf>
    <xf applyAlignment="true" applyBorder="false" applyFill="true" applyFont="true" applyNumberFormat="true" applyProtection="false" borderId="182" fillId="517" fontId="7" numFmtId="213" xfId="0">
      <alignment horizontal="center" vertical="center"/>
    </xf>
    <xf applyAlignment="true" applyBorder="false" applyFill="true" applyFont="true" applyNumberFormat="false" applyProtection="false" borderId="182" fillId="517" fontId="7" numFmtId="0" xfId="0">
      <alignment horizontal="center" vertical="center"/>
    </xf>
    <xf applyAlignment="true" applyBorder="false" applyFill="true" applyFont="true" applyNumberFormat="false" applyProtection="false" borderId="182" fillId="517" fontId="7" numFmtId="0" xfId="0">
      <alignment horizontal="center" vertical="center" wrapText="true"/>
    </xf>
    <xf applyAlignment="true" applyBorder="false" applyFill="true" applyFont="true" applyNumberFormat="true" applyProtection="false" borderId="182" fillId="516" fontId="3" numFmtId="212" xfId="0">
      <alignment horizontal="center" vertical="center" wrapText="true"/>
    </xf>
    <xf applyAlignment="true" applyBorder="false" applyFill="true" applyFont="true" applyNumberFormat="true" applyProtection="false" borderId="182" fillId="516" fontId="7" numFmtId="212" xfId="0">
      <alignment horizontal="center" vertical="center" wrapText="true"/>
    </xf>
    <xf applyAlignment="true" applyBorder="false" applyFill="true" applyFont="true" applyNumberFormat="true" applyProtection="false" borderId="182" fillId="516" fontId="7" numFmtId="213" xfId="0">
      <alignment horizontal="center" vertical="center"/>
    </xf>
    <xf applyAlignment="true" applyBorder="false" applyFill="true" applyFont="true" applyNumberFormat="false" applyProtection="false" borderId="182" fillId="516" fontId="7" numFmtId="0" xfId="0">
      <alignment horizontal="center" vertical="center"/>
    </xf>
    <xf applyAlignment="true" applyBorder="false" applyFill="true" applyFont="true" applyNumberFormat="false" applyProtection="false" borderId="182" fillId="516" fontId="7" numFmtId="0" xfId="0">
      <alignment horizontal="center" vertical="center" wrapText="true"/>
    </xf>
    <xf applyAlignment="true" applyBorder="false" applyFill="true" applyFont="true" applyNumberFormat="true" applyProtection="false" borderId="182" fillId="518" fontId="10" numFmtId="212" xfId="0">
      <alignment horizontal="center" vertical="center" wrapText="true"/>
    </xf>
    <xf applyAlignment="true" applyBorder="false" applyFill="true" applyFont="true" applyNumberFormat="true" applyProtection="false" borderId="182" fillId="518" fontId="7" numFmtId="212" xfId="0">
      <alignment horizontal="center" vertical="center" wrapText="true"/>
    </xf>
    <xf applyAlignment="true" applyBorder="false" applyFill="true" applyFont="true" applyNumberFormat="true" applyProtection="false" borderId="182" fillId="518" fontId="7" numFmtId="213" xfId="0">
      <alignment horizontal="center" vertical="center"/>
    </xf>
    <xf applyAlignment="true" applyBorder="false" applyFill="true" applyFont="true" applyNumberFormat="false" applyProtection="false" borderId="182" fillId="518" fontId="7" numFmtId="0" xfId="0">
      <alignment horizontal="center" vertical="center"/>
    </xf>
    <xf applyAlignment="true" applyBorder="false" applyFill="true" applyFont="true" applyNumberFormat="false" applyProtection="false" borderId="182" fillId="518" fontId="7" numFmtId="0" xfId="0">
      <alignment horizontal="center" vertical="center" wrapText="true"/>
    </xf>
    <xf applyAlignment="true" applyBorder="false" applyFill="true" applyFont="true" applyNumberFormat="false" applyProtection="false" borderId="182" fillId="518" fontId="23" numFmtId="0" xfId="0">
      <alignment horizontal="center" vertical="center"/>
    </xf>
    <xf applyAlignment="true" applyBorder="false" applyFill="false" applyFont="true" applyNumberFormat="false" applyProtection="false" borderId="182" fillId="0" fontId="15" numFmtId="0" xfId="0">
      <alignment horizontal="center" vertical="center"/>
    </xf>
    <xf applyAlignment="true" applyBorder="false" applyFill="true" applyFont="true" applyNumberFormat="true" applyProtection="false" borderId="182" fillId="519" fontId="3" numFmtId="212" xfId="0">
      <alignment horizontal="center" vertical="center" wrapText="true"/>
    </xf>
    <xf applyAlignment="true" applyBorder="false" applyFill="true" applyFont="true" applyNumberFormat="true" applyProtection="false" borderId="182" fillId="519" fontId="7" numFmtId="212" xfId="0">
      <alignment horizontal="center" vertical="center" wrapText="true"/>
    </xf>
    <xf applyAlignment="true" applyBorder="false" applyFill="true" applyFont="true" applyNumberFormat="true" applyProtection="false" borderId="182" fillId="519" fontId="7" numFmtId="213" xfId="0">
      <alignment horizontal="center" vertical="center"/>
    </xf>
    <xf applyAlignment="true" applyBorder="false" applyFill="true" applyFont="true" applyNumberFormat="false" applyProtection="false" borderId="182" fillId="519" fontId="7" numFmtId="0" xfId="0">
      <alignment horizontal="center" vertical="center"/>
    </xf>
    <xf applyAlignment="true" applyBorder="false" applyFill="true" applyFont="true" applyNumberFormat="false" applyProtection="false" borderId="182" fillId="519" fontId="7" numFmtId="0" xfId="0">
      <alignment horizontal="center" vertical="center" wrapText="true"/>
    </xf>
    <xf applyAlignment="true" applyBorder="false" applyFill="true" applyFont="true" applyNumberFormat="true" applyProtection="false" borderId="182" fillId="501" fontId="4" numFmtId="213" xfId="0">
      <alignment horizontal="center" vertical="center"/>
    </xf>
    <xf applyAlignment="true" applyBorder="false" applyFill="true" applyFont="true" applyNumberFormat="false" applyProtection="false" borderId="182" fillId="501" fontId="5" numFmtId="0" xfId="0">
      <alignment horizontal="center" vertical="center"/>
    </xf>
    <xf applyAlignment="true" applyBorder="false" applyFill="true" applyFont="true" applyNumberFormat="false" applyProtection="false" borderId="182" fillId="501" fontId="5" numFmtId="0" xfId="0">
      <alignment horizontal="center" vertical="center" wrapText="true"/>
    </xf>
    <xf applyAlignment="true" applyBorder="false" applyFill="true" applyFont="true" applyNumberFormat="false" applyProtection="false" borderId="0" fillId="501" fontId="5" numFmtId="0" xfId="0">
      <alignment horizontal="center" vertical="center"/>
    </xf>
    <xf applyAlignment="true" applyBorder="false" applyFill="true" applyFont="true" applyNumberFormat="false" applyProtection="false" borderId="0" fillId="501" fontId="8" numFmtId="0" xfId="0">
      <alignment vertical="center"/>
    </xf>
    <xf applyAlignment="true" applyBorder="false" applyFill="true" applyFont="true" applyNumberFormat="false" applyProtection="false" borderId="182" fillId="503" fontId="4" numFmtId="0" xfId="0">
      <alignment horizontal="center" vertical="center"/>
    </xf>
    <xf applyAlignment="true" applyBorder="false" applyFill="true" applyFont="true" applyNumberFormat="false" applyProtection="false" borderId="182" fillId="503" fontId="4" numFmtId="0" xfId="0">
      <alignment horizontal="center" vertical="center" wrapText="true"/>
    </xf>
    <xf applyAlignment="true" applyBorder="false" applyFill="true" applyFont="true" applyNumberFormat="false" applyProtection="false" borderId="0" fillId="503" fontId="4" numFmtId="0" xfId="0">
      <alignment horizontal="center" vertical="center"/>
    </xf>
    <xf applyAlignment="true" applyBorder="false" applyFill="true" applyFont="true" applyNumberFormat="false" applyProtection="false" borderId="0" fillId="503" fontId="22" numFmtId="0" xfId="0">
      <alignment vertical="center"/>
    </xf>
    <xf applyAlignment="true" applyBorder="false" applyFill="true" applyFont="true" applyNumberFormat="false" applyProtection="false" borderId="182" fillId="501" fontId="4" numFmtId="0" xfId="0">
      <alignment horizontal="center" vertical="center"/>
    </xf>
    <xf applyAlignment="true" applyBorder="false" applyFill="true" applyFont="true" applyNumberFormat="false" applyProtection="false" borderId="182" fillId="501" fontId="4" numFmtId="0" xfId="0">
      <alignment horizontal="center" vertical="center" wrapText="true"/>
    </xf>
    <xf applyAlignment="true" applyBorder="false" applyFill="true" applyFont="true" applyNumberFormat="false" applyProtection="false" borderId="0" fillId="501" fontId="4" numFmtId="0" xfId="0">
      <alignment horizontal="center" vertical="center"/>
    </xf>
    <xf applyAlignment="true" applyBorder="false" applyFill="true" applyFont="true" applyNumberFormat="true" applyProtection="false" borderId="182" fillId="520" fontId="3" numFmtId="212" xfId="0">
      <alignment horizontal="center" vertical="center" wrapText="true"/>
    </xf>
    <xf applyAlignment="true" applyBorder="false" applyFill="true" applyFont="true" applyNumberFormat="false" applyProtection="false" borderId="0" fillId="520" fontId="8" numFmtId="0" xfId="0">
      <alignment vertical="center"/>
    </xf>
    <xf applyAlignment="true" applyBorder="false" applyFill="true" applyFont="true" applyNumberFormat="true" applyProtection="false" borderId="182" fillId="520" fontId="7" numFmtId="212" xfId="0">
      <alignment horizontal="center" vertical="center" wrapText="true"/>
    </xf>
    <xf applyAlignment="true" applyBorder="false" applyFill="true" applyFont="true" applyNumberFormat="true" applyProtection="false" borderId="182" fillId="520" fontId="7" numFmtId="213" xfId="0">
      <alignment horizontal="center" vertical="center"/>
    </xf>
    <xf applyAlignment="true" applyBorder="false" applyFill="true" applyFont="true" applyNumberFormat="false" applyProtection="false" borderId="182" fillId="520" fontId="7" numFmtId="0" xfId="0">
      <alignment horizontal="center" vertical="center"/>
    </xf>
    <xf applyAlignment="true" applyBorder="false" applyFill="true" applyFont="true" applyNumberFormat="false" applyProtection="false" borderId="182" fillId="520" fontId="7" numFmtId="0" xfId="0">
      <alignment horizontal="center" vertical="center" wrapText="true"/>
    </xf>
    <xf applyAlignment="true" applyBorder="false" applyFill="true" applyFont="true" applyNumberFormat="true" applyProtection="false" borderId="182" fillId="521" fontId="3" numFmtId="212" xfId="0">
      <alignment horizontal="center" vertical="center" wrapText="true"/>
    </xf>
    <xf applyAlignment="true" applyBorder="false" applyFill="true" applyFont="true" applyNumberFormat="true" applyProtection="false" borderId="182" fillId="521" fontId="7" numFmtId="212" xfId="0">
      <alignment horizontal="center" vertical="center" wrapText="true"/>
    </xf>
    <xf applyAlignment="true" applyBorder="false" applyFill="true" applyFont="true" applyNumberFormat="true" applyProtection="false" borderId="182" fillId="521" fontId="7" numFmtId="213" xfId="0">
      <alignment horizontal="center" vertical="center"/>
    </xf>
    <xf applyAlignment="true" applyBorder="false" applyFill="true" applyFont="true" applyNumberFormat="false" applyProtection="false" borderId="182" fillId="521" fontId="7" numFmtId="0" xfId="0">
      <alignment horizontal="center" vertical="center"/>
    </xf>
    <xf applyAlignment="true" applyBorder="false" applyFill="true" applyFont="true" applyNumberFormat="false" applyProtection="false" borderId="182" fillId="521" fontId="7" numFmtId="0" xfId="0">
      <alignment horizontal="center" vertical="center" wrapText="true"/>
    </xf>
    <xf applyAlignment="true" applyBorder="false" applyFill="true" applyFont="true" applyNumberFormat="false" applyProtection="false" borderId="182" fillId="508" fontId="4" numFmtId="0" xfId="0">
      <alignment horizontal="center" vertical="center" wrapText="true"/>
    </xf>
    <xf applyAlignment="true" applyBorder="false" applyFill="true" applyFont="true" applyNumberFormat="false" applyProtection="false" borderId="0" fillId="508" fontId="4" numFmtId="0" xfId="0">
      <alignment horizontal="center" vertical="center"/>
    </xf>
    <xf applyAlignment="true" applyBorder="false" applyFill="false" applyFont="true" applyNumberFormat="false" applyProtection="false" borderId="0" fillId="0" fontId="22" numFmtId="0" xfId="0">
      <alignment vertical="center"/>
    </xf>
    <xf applyAlignment="true" applyBorder="false" applyFill="true" applyFont="true" applyNumberFormat="true" applyProtection="false" borderId="182" fillId="522" fontId="3" numFmtId="212" xfId="0">
      <alignment horizontal="center" vertical="center" wrapText="true"/>
    </xf>
    <xf applyAlignment="true" applyBorder="false" applyFill="true" applyFont="true" applyNumberFormat="true" applyProtection="false" borderId="182" fillId="522" fontId="7" numFmtId="212" xfId="0">
      <alignment horizontal="center" vertical="center" wrapText="true"/>
    </xf>
    <xf applyAlignment="true" applyBorder="false" applyFill="true" applyFont="true" applyNumberFormat="true" applyProtection="false" borderId="182" fillId="522" fontId="7" numFmtId="213" xfId="0">
      <alignment horizontal="center" vertical="center"/>
    </xf>
    <xf applyAlignment="true" applyBorder="false" applyFill="true" applyFont="true" applyNumberFormat="false" applyProtection="false" borderId="182" fillId="522" fontId="7" numFmtId="0" xfId="0">
      <alignment horizontal="center" vertical="center"/>
    </xf>
    <xf applyAlignment="true" applyBorder="false" applyFill="true" applyFont="true" applyNumberFormat="false" applyProtection="false" borderId="182" fillId="522" fontId="7" numFmtId="0" xfId="0">
      <alignment horizontal="center" vertical="center" wrapText="true"/>
    </xf>
    <xf applyAlignment="true" applyBorder="false" applyFill="true" applyFont="true" applyNumberFormat="false" applyProtection="false" borderId="182" fillId="499" fontId="5" numFmtId="0" xfId="0">
      <alignment horizontal="center" vertical="center"/>
    </xf>
    <xf applyAlignment="true" applyBorder="false" applyFill="true" applyFont="true" applyNumberFormat="true" applyProtection="false" borderId="182" fillId="523" fontId="16" numFmtId="212" xfId="0">
      <alignment horizontal="center" vertical="center" wrapText="true"/>
    </xf>
    <xf applyAlignment="true" applyBorder="false" applyFill="true" applyFont="true" applyNumberFormat="false" applyProtection="false" borderId="0" fillId="523" fontId="15" numFmtId="0" xfId="0">
      <alignment horizontal="center" vertical="center"/>
    </xf>
    <xf applyAlignment="true" applyBorder="false" applyFill="true" applyFont="true" applyNumberFormat="false" applyProtection="false" borderId="0" fillId="523" fontId="5" numFmtId="0" xfId="0">
      <alignment horizontal="center" vertical="center"/>
    </xf>
    <xf applyAlignment="true" applyBorder="false" applyFill="true" applyFont="true" applyNumberFormat="true" applyProtection="false" borderId="182" fillId="523" fontId="7" numFmtId="212" xfId="0">
      <alignment horizontal="center" vertical="center" wrapText="true"/>
    </xf>
    <xf applyAlignment="true" applyBorder="false" applyFill="true" applyFont="true" applyNumberFormat="true" applyProtection="false" borderId="182" fillId="523" fontId="7" numFmtId="213" xfId="0">
      <alignment horizontal="center" vertical="center"/>
    </xf>
    <xf applyAlignment="true" applyBorder="false" applyFill="true" applyFont="true" applyNumberFormat="false" applyProtection="false" borderId="182" fillId="523" fontId="7" numFmtId="0" xfId="0">
      <alignment horizontal="center" vertical="center"/>
    </xf>
    <xf applyAlignment="true" applyBorder="false" applyFill="true" applyFont="true" applyNumberFormat="false" applyProtection="false" borderId="182" fillId="523" fontId="7" numFmtId="0" xfId="0">
      <alignment horizontal="center" vertical="center" wrapText="true"/>
    </xf>
    <xf applyAlignment="true" applyBorder="false" applyFill="true" applyFont="true" applyNumberFormat="true" applyProtection="false" borderId="182" fillId="523" fontId="4" numFmtId="213" xfId="0">
      <alignment horizontal="center" vertical="center"/>
    </xf>
    <xf applyAlignment="true" applyBorder="false" applyFill="true" applyFont="true" applyNumberFormat="false" applyProtection="false" borderId="182" fillId="523" fontId="5" numFmtId="0" xfId="0">
      <alignment horizontal="center" vertical="center"/>
    </xf>
    <xf applyAlignment="true" applyBorder="false" applyFill="true" applyFont="true" applyNumberFormat="false" applyProtection="false" borderId="182" fillId="523" fontId="5" numFmtId="0" xfId="0">
      <alignment horizontal="center" vertical="center" wrapText="true"/>
    </xf>
    <xf applyAlignment="true" applyBorder="false" applyFill="true" applyFont="true" applyNumberFormat="false" applyProtection="false" borderId="184" fillId="523" fontId="5" numFmtId="0" xfId="0">
      <alignment horizontal="center" vertical="center"/>
    </xf>
    <xf applyAlignment="true" applyBorder="false" applyFill="true" applyFont="true" applyNumberFormat="false" applyProtection="false" borderId="182" fillId="498" fontId="18" numFmtId="0" xfId="0">
      <alignment horizontal="center" vertical="center"/>
    </xf>
    <xf applyAlignment="true" applyBorder="false" applyFill="true" applyFont="true" applyNumberFormat="false" applyProtection="false" borderId="184" fillId="503" fontId="5" numFmtId="0" xfId="0">
      <alignment horizontal="center" vertical="center"/>
    </xf>
    <xf applyAlignment="true" applyBorder="false" applyFill="true" applyFont="true" applyNumberFormat="true" applyProtection="false" borderId="182" fillId="514" fontId="16" numFmtId="212" xfId="0">
      <alignment horizontal="center" vertical="center" wrapText="true"/>
    </xf>
    <xf applyAlignment="true" applyBorder="false" applyFill="true" applyFont="true" applyNumberFormat="true" applyProtection="false" borderId="182" fillId="524" fontId="7" numFmtId="212" xfId="0">
      <alignment horizontal="center" vertical="center" wrapText="true"/>
    </xf>
    <xf applyAlignment="true" applyBorder="false" applyFill="true" applyFont="true" applyNumberFormat="true" applyProtection="false" borderId="182" fillId="524" fontId="7" numFmtId="213" xfId="0">
      <alignment horizontal="center" vertical="center"/>
    </xf>
    <xf applyAlignment="true" applyBorder="false" applyFill="true" applyFont="true" applyNumberFormat="false" applyProtection="false" borderId="182" fillId="524" fontId="7" numFmtId="0" xfId="0">
      <alignment horizontal="center" vertical="center"/>
    </xf>
    <xf applyAlignment="true" applyBorder="false" applyFill="true" applyFont="true" applyNumberFormat="false" applyProtection="false" borderId="182" fillId="524" fontId="7" numFmtId="0" xfId="0">
      <alignment horizontal="center" vertical="center" wrapText="true"/>
    </xf>
    <xf applyAlignment="true" applyBorder="false" applyFill="true" applyFont="true" applyNumberFormat="false" applyProtection="false" borderId="182" fillId="503" fontId="5" numFmtId="0" xfId="0">
      <alignment horizontal="center" vertical="center"/>
    </xf>
    <xf applyAlignment="true" applyBorder="false" applyFill="false" applyFont="true" applyNumberFormat="false" applyProtection="false" borderId="181" fillId="0" fontId="5" numFmtId="0" xfId="0">
      <alignment horizontal="center" vertical="center"/>
    </xf>
    <xf applyAlignment="true" applyBorder="false" applyFill="true" applyFont="true" applyNumberFormat="true" applyProtection="false" borderId="182" fillId="512" fontId="16" numFmtId="212" xfId="0">
      <alignment horizontal="center" vertical="center" wrapText="true"/>
    </xf>
    <xf applyAlignment="true" applyBorder="false" applyFill="true" applyFont="true" applyNumberFormat="false" applyProtection="false" borderId="0" fillId="499" fontId="15" numFmtId="0" xfId="0">
      <alignment vertical="center"/>
    </xf>
    <xf applyAlignment="true" applyBorder="false" applyFill="true" applyFont="true" applyNumberFormat="true" applyProtection="false" borderId="182" fillId="512" fontId="4" numFmtId="213" xfId="0">
      <alignment horizontal="center" vertical="center"/>
    </xf>
    <xf applyAlignment="true" applyBorder="false" applyFill="true" applyFont="true" applyNumberFormat="false" applyProtection="false" borderId="182" fillId="512" fontId="5" numFmtId="0" xfId="0">
      <alignment horizontal="center" vertical="center"/>
    </xf>
    <xf applyAlignment="true" applyBorder="false" applyFill="true" applyFont="true" applyNumberFormat="false" applyProtection="false" borderId="182" fillId="512" fontId="5" numFmtId="0" xfId="0">
      <alignment horizontal="center" vertical="center" wrapText="true"/>
    </xf>
    <xf applyAlignment="true" applyBorder="false" applyFill="true" applyFont="true" applyNumberFormat="false" applyProtection="false" borderId="0" fillId="512" fontId="15" numFmtId="0" xfId="0">
      <alignment horizontal="center" vertical="center"/>
    </xf>
    <xf applyAlignment="true" applyBorder="false" applyFill="true" applyFont="true" applyNumberFormat="false" applyProtection="false" borderId="0" fillId="512" fontId="15" numFmtId="0" xfId="0">
      <alignment vertical="center"/>
    </xf>
    <xf applyAlignment="true" applyBorder="false" applyFill="true" applyFont="true" applyNumberFormat="false" applyProtection="false" borderId="0" fillId="512" fontId="8" numFmtId="0" xfId="0">
      <alignment vertical="center"/>
    </xf>
    <xf applyAlignment="true" applyBorder="false" applyFill="true" applyFont="true" applyNumberFormat="false" applyProtection="false" borderId="0" fillId="503" fontId="15" numFmtId="0" xfId="0">
      <alignment vertical="center"/>
    </xf>
    <xf applyAlignment="true" applyBorder="false" applyFill="true" applyFont="true" applyNumberFormat="true" applyProtection="false" borderId="190" fillId="525" fontId="1" numFmtId="218" xfId="0">
      <alignment horizontal="left" vertical="center" wrapText="true"/>
    </xf>
    <xf applyAlignment="true" applyBorder="false" applyFill="true" applyFont="true" applyNumberFormat="true" applyProtection="false" borderId="190" fillId="525" fontId="1" numFmtId="218" xfId="0">
      <alignment horizontal="center" vertical="center" wrapText="true"/>
    </xf>
    <xf applyAlignment="true" applyBorder="false" applyFill="true" applyFont="true" applyNumberFormat="false" applyProtection="false" borderId="0" fillId="526" fontId="5" numFmtId="0" xfId="0">
      <alignment horizontal="center" vertical="center"/>
    </xf>
    <xf applyAlignment="true" applyBorder="false" applyFill="true" applyFont="true" applyNumberFormat="false" applyProtection="false" borderId="0" fillId="526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true" applyProtection="false" borderId="0" fillId="527" fontId="2" numFmtId="218" xfId="0">
      <alignment horizontal="center" vertical="center"/>
    </xf>
    <xf applyAlignment="true" applyBorder="false" applyFill="true" applyFont="true" applyNumberFormat="true" applyProtection="false" borderId="191" fillId="528" fontId="3" numFmtId="218" xfId="0">
      <alignment horizontal="center" vertical="center" wrapText="true"/>
    </xf>
    <xf applyAlignment="true" applyBorder="false" applyFill="true" applyFont="true" applyNumberFormat="true" applyProtection="false" borderId="191" fillId="528" fontId="7" numFmtId="218" xfId="0">
      <alignment horizontal="center" vertical="center" wrapText="true"/>
    </xf>
    <xf applyAlignment="true" applyBorder="false" applyFill="true" applyFont="true" applyNumberFormat="true" applyProtection="false" borderId="191" fillId="528" fontId="7" numFmtId="219" xfId="0">
      <alignment horizontal="center" vertical="center"/>
    </xf>
    <xf applyAlignment="true" applyBorder="false" applyFill="true" applyFont="true" applyNumberFormat="false" applyProtection="false" borderId="191" fillId="528" fontId="7" numFmtId="0" xfId="0">
      <alignment horizontal="center" vertical="center"/>
    </xf>
    <xf applyAlignment="true" applyBorder="false" applyFill="true" applyFont="true" applyNumberFormat="false" applyProtection="false" borderId="192" fillId="528" fontId="7" numFmtId="0" xfId="0">
      <alignment horizontal="center" vertical="center"/>
    </xf>
    <xf applyAlignment="true" applyBorder="false" applyFill="true" applyFont="true" applyNumberFormat="false" applyProtection="false" borderId="193" fillId="528" fontId="7" numFmtId="0" xfId="0">
      <alignment horizontal="center" vertical="center" wrapText="true"/>
    </xf>
    <xf applyAlignment="true" applyBorder="false" applyFill="true" applyFont="true" applyNumberFormat="true" applyProtection="false" borderId="191" fillId="526" fontId="4" numFmtId="219" xfId="0">
      <alignment horizontal="center" vertical="center"/>
    </xf>
    <xf applyAlignment="true" applyBorder="false" applyFill="true" applyFont="true" applyNumberFormat="false" applyProtection="false" borderId="191" fillId="526" fontId="5" numFmtId="0" xfId="0">
      <alignment horizontal="center" vertical="center"/>
    </xf>
    <xf applyAlignment="true" applyBorder="false" applyFill="false" applyFont="true" applyNumberFormat="true" applyProtection="false" borderId="194" fillId="0" fontId="5" numFmtId="220" xfId="0">
      <alignment horizontal="center" vertical="center"/>
    </xf>
    <xf applyAlignment="true" applyBorder="false" applyFill="true" applyFont="true" applyNumberFormat="false" applyProtection="false" borderId="193" fillId="526" fontId="5" numFmtId="0" xfId="0">
      <alignment horizontal="center" vertical="center" wrapText="true"/>
    </xf>
    <xf applyAlignment="true" applyBorder="false" applyFill="false" applyFont="true" applyNumberFormat="false" applyProtection="false" borderId="191" fillId="0" fontId="5" numFmtId="0" xfId="0">
      <alignment horizontal="center" vertical="center"/>
    </xf>
    <xf applyAlignment="true" applyBorder="false" applyFill="true" applyFont="true" applyNumberFormat="false" applyProtection="false" borderId="192" fillId="526" fontId="5" numFmtId="0" xfId="0">
      <alignment horizontal="center" vertical="center"/>
    </xf>
    <xf applyAlignment="true" applyBorder="false" applyFill="false" applyFont="true" applyNumberFormat="true" applyProtection="false" borderId="191" fillId="0" fontId="5" numFmtId="220" xfId="0">
      <alignment horizontal="center" vertical="center"/>
    </xf>
    <xf applyAlignment="true" applyBorder="false" applyFill="false" applyFont="true" applyNumberFormat="false" applyProtection="false" borderId="193" fillId="0" fontId="5" numFmtId="0" xfId="0">
      <alignment horizontal="center" vertical="center" wrapText="true"/>
    </xf>
    <xf applyAlignment="true" applyBorder="false" applyFill="true" applyFont="true" applyNumberFormat="true" applyProtection="false" borderId="191" fillId="529" fontId="3" numFmtId="218" xfId="0">
      <alignment horizontal="center" vertical="center" wrapText="true"/>
    </xf>
    <xf applyAlignment="true" applyBorder="false" applyFill="true" applyFont="true" applyNumberFormat="true" applyProtection="false" borderId="191" fillId="529" fontId="7" numFmtId="218" xfId="0">
      <alignment horizontal="center" vertical="center" wrapText="true"/>
    </xf>
    <xf applyAlignment="true" applyBorder="false" applyFill="true" applyFont="true" applyNumberFormat="true" applyProtection="false" borderId="191" fillId="529" fontId="7" numFmtId="219" xfId="0">
      <alignment horizontal="center" vertical="center"/>
    </xf>
    <xf applyAlignment="true" applyBorder="false" applyFill="true" applyFont="true" applyNumberFormat="false" applyProtection="false" borderId="191" fillId="529" fontId="7" numFmtId="0" xfId="0">
      <alignment horizontal="center" vertical="center"/>
    </xf>
    <xf applyAlignment="true" applyBorder="false" applyFill="true" applyFont="true" applyNumberFormat="false" applyProtection="false" borderId="191" fillId="529" fontId="7" numFmtId="0" xfId="0">
      <alignment horizontal="center" vertical="center" wrapText="true"/>
    </xf>
    <xf applyAlignment="true" applyBorder="false" applyFill="true" applyFont="true" applyNumberFormat="false" applyProtection="false" borderId="191" fillId="526" fontId="5" numFmtId="0" xfId="0">
      <alignment horizontal="center" vertical="center" wrapText="true"/>
    </xf>
    <xf applyAlignment="true" applyBorder="false" applyFill="false" applyFont="true" applyNumberFormat="false" applyProtection="false" borderId="195" fillId="0" fontId="5" numFmtId="0" xfId="0">
      <alignment horizontal="center" vertical="center"/>
    </xf>
    <xf applyAlignment="true" applyBorder="false" applyFill="true" applyFont="true" applyNumberFormat="false" applyProtection="false" borderId="191" fillId="530" fontId="9" numFmtId="0" xfId="0">
      <alignment horizontal="center" vertical="center"/>
    </xf>
    <xf applyAlignment="true" applyBorder="false" applyFill="true" applyFont="true" applyNumberFormat="true" applyProtection="false" borderId="193" fillId="530" fontId="3" numFmtId="218" xfId="0">
      <alignment horizontal="center" vertical="center" wrapText="true"/>
    </xf>
    <xf applyAlignment="true" applyBorder="false" applyFill="true" applyFont="true" applyNumberFormat="false" applyProtection="false" borderId="0" fillId="526" fontId="15" numFmtId="0" xfId="0">
      <alignment horizontal="center" vertical="center"/>
    </xf>
    <xf applyAlignment="true" applyBorder="false" applyFill="true" applyFont="true" applyNumberFormat="true" applyProtection="false" borderId="195" fillId="530" fontId="7" numFmtId="218" xfId="0">
      <alignment horizontal="center" vertical="center" wrapText="true"/>
    </xf>
    <xf applyAlignment="true" applyBorder="false" applyFill="true" applyFont="true" applyNumberFormat="true" applyProtection="false" borderId="195" fillId="530" fontId="7" numFmtId="219" xfId="0">
      <alignment horizontal="center" vertical="center"/>
    </xf>
    <xf applyAlignment="true" applyBorder="false" applyFill="true" applyFont="true" applyNumberFormat="false" applyProtection="false" borderId="195" fillId="530" fontId="7" numFmtId="0" xfId="0">
      <alignment horizontal="center" vertical="center"/>
    </xf>
    <xf applyAlignment="true" applyBorder="false" applyFill="true" applyFont="true" applyNumberFormat="false" applyProtection="false" borderId="191" fillId="530" fontId="7" numFmtId="0" xfId="0">
      <alignment horizontal="center" vertical="center" wrapText="true"/>
    </xf>
    <xf applyAlignment="true" applyBorder="false" applyFill="true" applyFont="true" applyNumberFormat="false" applyProtection="false" borderId="191" fillId="530" fontId="7" numFmtId="0" xfId="0">
      <alignment horizontal="center" vertical="center"/>
    </xf>
    <xf applyAlignment="true" applyBorder="false" applyFill="true" applyFont="true" applyNumberFormat="true" applyProtection="false" borderId="191" fillId="526" fontId="5" numFmtId="221" xfId="0">
      <alignment horizontal="center" vertical="center"/>
    </xf>
    <xf applyAlignment="true" applyBorder="false" applyFill="true" applyFont="true" applyNumberFormat="false" applyProtection="false" borderId="193" fillId="526" fontId="5" numFmtId="0" xfId="0">
      <alignment horizontal="center" vertical="center"/>
    </xf>
    <xf applyAlignment="true" applyBorder="false" applyFill="true" applyFont="true" applyNumberFormat="true" applyProtection="false" borderId="190" fillId="531" fontId="4" numFmtId="219" xfId="0">
      <alignment horizontal="center" vertical="center"/>
    </xf>
    <xf applyAlignment="true" applyBorder="false" applyFill="true" applyFont="true" applyNumberFormat="true" applyProtection="false" borderId="190" fillId="531" fontId="5" numFmtId="221" xfId="0">
      <alignment horizontal="center" vertical="center"/>
    </xf>
    <xf applyAlignment="true" applyBorder="false" applyFill="true" applyFont="true" applyNumberFormat="false" applyProtection="false" borderId="190" fillId="531" fontId="5" numFmtId="0" xfId="0">
      <alignment horizontal="center" vertical="center"/>
    </xf>
    <xf applyAlignment="true" applyBorder="false" applyFill="true" applyFont="true" applyNumberFormat="false" applyProtection="false" borderId="196" fillId="531" fontId="5" numFmtId="0" xfId="0">
      <alignment horizontal="center" vertical="center" wrapText="true"/>
    </xf>
    <xf applyAlignment="true" applyBorder="false" applyFill="true" applyFont="true" applyNumberFormat="false" applyProtection="false" borderId="191" fillId="531" fontId="5" numFmtId="0" xfId="0">
      <alignment horizontal="center" vertical="center"/>
    </xf>
    <xf applyAlignment="true" applyBorder="false" applyFill="true" applyFont="true" applyNumberFormat="false" applyProtection="false" borderId="190" fillId="526" fontId="5" numFmtId="0" xfId="0">
      <alignment horizontal="center" vertical="center"/>
    </xf>
    <xf applyAlignment="true" applyBorder="false" applyFill="true" applyFont="true" applyNumberFormat="true" applyProtection="false" borderId="190" fillId="526" fontId="4" numFmtId="219" xfId="0">
      <alignment horizontal="center" vertical="center"/>
    </xf>
    <xf applyAlignment="true" applyBorder="false" applyFill="true" applyFont="true" applyNumberFormat="true" applyProtection="false" borderId="190" fillId="526" fontId="5" numFmtId="221" xfId="0">
      <alignment horizontal="center" vertical="center"/>
    </xf>
    <xf applyAlignment="true" applyBorder="false" applyFill="true" applyFont="true" applyNumberFormat="false" applyProtection="false" borderId="196" fillId="526" fontId="5" numFmtId="0" xfId="0">
      <alignment horizontal="center" vertical="center" wrapText="true"/>
    </xf>
    <xf applyAlignment="true" applyBorder="false" applyFill="true" applyFont="true" applyNumberFormat="true" applyProtection="false" borderId="191" fillId="525" fontId="5" numFmtId="221" xfId="0">
      <alignment horizontal="center" vertical="center"/>
    </xf>
    <xf applyAlignment="true" applyBorder="false" applyFill="true" applyFont="true" applyNumberFormat="true" applyProtection="false" borderId="195" fillId="526" fontId="4" numFmtId="219" xfId="0">
      <alignment horizontal="center" vertical="center"/>
    </xf>
    <xf applyAlignment="true" applyBorder="false" applyFill="true" applyFont="true" applyNumberFormat="true" applyProtection="false" borderId="195" fillId="526" fontId="5" numFmtId="221" xfId="0">
      <alignment horizontal="center" vertical="center"/>
    </xf>
    <xf applyAlignment="true" applyBorder="false" applyFill="true" applyFont="true" applyNumberFormat="false" applyProtection="false" borderId="195" fillId="526" fontId="5" numFmtId="0" xfId="0">
      <alignment horizontal="center" vertical="center"/>
    </xf>
    <xf applyAlignment="true" applyBorder="false" applyFill="true" applyFont="true" applyNumberFormat="false" applyProtection="false" borderId="197" fillId="526" fontId="5" numFmtId="0" xfId="0">
      <alignment horizontal="center" vertical="center" wrapText="true"/>
    </xf>
    <xf applyAlignment="true" applyBorder="false" applyFill="true" applyFont="true" applyNumberFormat="false" applyProtection="false" borderId="197" fillId="526" fontId="5" numFmtId="0" xfId="0">
      <alignment horizontal="center" vertical="center"/>
    </xf>
    <xf applyAlignment="true" applyBorder="false" applyFill="true" applyFont="true" applyNumberFormat="false" applyProtection="false" borderId="196" fillId="526" fontId="5" numFmtId="0" xfId="0">
      <alignment horizontal="center" vertical="center"/>
    </xf>
    <xf applyAlignment="true" applyBorder="false" applyFill="true" applyFont="true" applyNumberFormat="true" applyProtection="false" borderId="191" fillId="532" fontId="3" numFmtId="218" xfId="0">
      <alignment horizontal="center" vertical="center" wrapText="true"/>
    </xf>
    <xf applyAlignment="true" applyBorder="false" applyFill="true" applyFont="true" applyNumberFormat="true" applyProtection="false" borderId="191" fillId="532" fontId="10" numFmtId="218" xfId="0">
      <alignment horizontal="center" vertical="center" wrapText="true"/>
    </xf>
    <xf applyAlignment="true" applyBorder="false" applyFill="true" applyFont="true" applyNumberFormat="true" applyProtection="false" borderId="190" fillId="532" fontId="7" numFmtId="218" xfId="0">
      <alignment horizontal="center" vertical="center" wrapText="true"/>
    </xf>
    <xf applyAlignment="true" applyBorder="false" applyFill="true" applyFont="true" applyNumberFormat="true" applyProtection="false" borderId="190" fillId="532" fontId="7" numFmtId="219" xfId="0">
      <alignment horizontal="center" vertical="center"/>
    </xf>
    <xf applyAlignment="true" applyBorder="false" applyFill="true" applyFont="true" applyNumberFormat="false" applyProtection="false" borderId="190" fillId="532" fontId="7" numFmtId="0" xfId="0">
      <alignment horizontal="center" vertical="center"/>
    </xf>
    <xf applyAlignment="true" applyBorder="false" applyFill="true" applyFont="true" applyNumberFormat="false" applyProtection="false" borderId="190" fillId="532" fontId="7" numFmtId="0" xfId="0">
      <alignment horizontal="center" vertical="center" wrapText="true"/>
    </xf>
    <xf applyAlignment="true" applyBorder="false" applyFill="false" applyFont="true" applyNumberFormat="true" applyProtection="false" borderId="191" fillId="0" fontId="5" numFmtId="219" xfId="0">
      <alignment horizontal="center" vertical="center"/>
    </xf>
    <xf applyAlignment="true" applyBorder="false" applyFill="false" applyFont="true" applyNumberFormat="false" applyProtection="false" borderId="191" fillId="0" fontId="8" numFmtId="0" xfId="0">
      <alignment horizontal="center" vertical="center" wrapText="true"/>
    </xf>
    <xf applyAlignment="true" applyBorder="false" applyFill="false" applyFont="true" applyNumberFormat="false" applyProtection="false" borderId="191" fillId="0" fontId="8" numFmtId="0" xfId="0">
      <alignment vertical="center"/>
    </xf>
    <xf applyAlignment="true" applyBorder="false" applyFill="true" applyFont="true" applyNumberFormat="true" applyProtection="false" borderId="191" fillId="526" fontId="5" numFmtId="219" xfId="0">
      <alignment horizontal="center" vertical="center"/>
    </xf>
    <xf applyAlignment="true" applyBorder="false" applyFill="true" applyFont="true" applyNumberFormat="false" applyProtection="false" borderId="191" fillId="526" fontId="8" numFmtId="0" xfId="0">
      <alignment horizontal="center" vertical="center" wrapText="true"/>
    </xf>
    <xf applyAlignment="true" applyBorder="false" applyFill="true" applyFont="true" applyNumberFormat="false" applyProtection="false" borderId="191" fillId="526" fontId="8" numFmtId="0" xfId="0">
      <alignment vertical="center"/>
    </xf>
    <xf applyAlignment="true" applyBorder="false" applyFill="false" applyFont="true" applyNumberFormat="false" applyProtection="false" borderId="191" fillId="0" fontId="8" numFmtId="0" xfId="0">
      <alignment horizontal="center" vertical="center"/>
    </xf>
    <xf applyAlignment="true" applyBorder="false" applyFill="true" applyFont="true" applyNumberFormat="true" applyProtection="false" borderId="191" fillId="531" fontId="5" numFmtId="219" xfId="0">
      <alignment horizontal="center" vertical="center"/>
    </xf>
    <xf applyAlignment="true" applyBorder="false" applyFill="true" applyFont="true" applyNumberFormat="true" applyProtection="false" borderId="191" fillId="531" fontId="4" numFmtId="219" xfId="0">
      <alignment horizontal="center" vertical="center"/>
    </xf>
    <xf applyAlignment="true" applyBorder="false" applyFill="true" applyFont="true" applyNumberFormat="false" applyProtection="false" borderId="191" fillId="531" fontId="8" numFmtId="0" xfId="0">
      <alignment horizontal="center" vertical="center" wrapText="true"/>
    </xf>
    <xf applyAlignment="true" applyBorder="false" applyFill="true" applyFont="true" applyNumberFormat="false" applyProtection="false" borderId="191" fillId="531" fontId="8" numFmtId="0" xfId="0">
      <alignment vertical="center"/>
    </xf>
    <xf applyAlignment="true" applyBorder="false" applyFill="true" applyFont="true" applyNumberFormat="false" applyProtection="false" borderId="0" fillId="531" fontId="5" numFmtId="0" xfId="0">
      <alignment horizontal="center" vertical="center"/>
    </xf>
    <xf applyAlignment="true" applyBorder="false" applyFill="true" applyFont="true" applyNumberFormat="false" applyProtection="false" borderId="0" fillId="531" fontId="8" numFmtId="0" xfId="0">
      <alignment vertical="center"/>
    </xf>
    <xf applyAlignment="true" applyBorder="false" applyFill="true" applyFont="true" applyNumberFormat="true" applyProtection="false" borderId="190" fillId="533" fontId="3" numFmtId="218" xfId="0">
      <alignment horizontal="center" vertical="center" wrapText="true"/>
    </xf>
    <xf applyAlignment="true" applyBorder="false" applyFill="true" applyFont="true" applyNumberFormat="true" applyProtection="false" borderId="198" fillId="533" fontId="7" numFmtId="218" xfId="0">
      <alignment horizontal="center" vertical="center" wrapText="true"/>
    </xf>
    <xf applyAlignment="true" applyBorder="false" applyFill="true" applyFont="true" applyNumberFormat="true" applyProtection="false" borderId="191" fillId="533" fontId="7" numFmtId="219" xfId="0">
      <alignment horizontal="center" vertical="center"/>
    </xf>
    <xf applyAlignment="true" applyBorder="false" applyFill="true" applyFont="true" applyNumberFormat="false" applyProtection="false" borderId="196" fillId="533" fontId="7" numFmtId="0" xfId="0">
      <alignment horizontal="center" vertical="center"/>
    </xf>
    <xf applyAlignment="true" applyBorder="false" applyFill="true" applyFont="true" applyNumberFormat="false" applyProtection="false" borderId="190" fillId="533" fontId="7" numFmtId="0" xfId="0">
      <alignment horizontal="center" vertical="center"/>
    </xf>
    <xf applyAlignment="true" applyBorder="false" applyFill="true" applyFont="true" applyNumberFormat="false" applyProtection="false" borderId="190" fillId="533" fontId="7" numFmtId="0" xfId="0">
      <alignment horizontal="center" vertical="center" wrapText="true"/>
    </xf>
    <xf applyAlignment="true" applyBorder="false" applyFill="true" applyFont="true" applyNumberFormat="false" applyProtection="false" borderId="198" fillId="533" fontId="7" numFmtId="0" xfId="0">
      <alignment horizontal="center" vertical="center"/>
    </xf>
    <xf applyAlignment="true" applyBorder="false" applyFill="true" applyFont="true" applyNumberFormat="false" applyProtection="false" borderId="191" fillId="533" fontId="7" numFmtId="0" xfId="0">
      <alignment horizontal="center" vertical="center"/>
    </xf>
    <xf applyAlignment="true" applyBorder="false" applyFill="false" applyFont="true" applyNumberFormat="false" applyProtection="false" borderId="191" fillId="0" fontId="5" numFmtId="0" xfId="0">
      <alignment horizontal="center" vertical="center" wrapText="true"/>
    </xf>
    <xf applyAlignment="true" applyBorder="false" applyFill="true" applyFont="true" applyNumberFormat="true" applyProtection="false" borderId="190" fillId="534" fontId="3" numFmtId="218" xfId="0">
      <alignment horizontal="center" vertical="center" wrapText="true"/>
    </xf>
    <xf applyAlignment="true" applyBorder="false" applyFill="true" applyFont="true" applyNumberFormat="true" applyProtection="false" borderId="198" fillId="534" fontId="7" numFmtId="218" xfId="0">
      <alignment horizontal="center" vertical="center" wrapText="true"/>
    </xf>
    <xf applyAlignment="true" applyBorder="false" applyFill="true" applyFont="true" applyNumberFormat="true" applyProtection="false" borderId="191" fillId="534" fontId="7" numFmtId="219" xfId="0">
      <alignment horizontal="center" vertical="center"/>
    </xf>
    <xf applyAlignment="true" applyBorder="false" applyFill="true" applyFont="true" applyNumberFormat="false" applyProtection="false" borderId="196" fillId="534" fontId="7" numFmtId="0" xfId="0">
      <alignment horizontal="center" vertical="center"/>
    </xf>
    <xf applyAlignment="true" applyBorder="false" applyFill="true" applyFont="true" applyNumberFormat="false" applyProtection="false" borderId="190" fillId="534" fontId="7" numFmtId="0" xfId="0">
      <alignment horizontal="center" vertical="center"/>
    </xf>
    <xf applyAlignment="true" applyBorder="false" applyFill="true" applyFont="true" applyNumberFormat="false" applyProtection="false" borderId="190" fillId="534" fontId="7" numFmtId="0" xfId="0">
      <alignment horizontal="center" vertical="center" wrapText="true"/>
    </xf>
    <xf applyAlignment="true" applyBorder="false" applyFill="true" applyFont="true" applyNumberFormat="false" applyProtection="false" borderId="198" fillId="534" fontId="7" numFmtId="0" xfId="0">
      <alignment horizontal="center" vertical="center"/>
    </xf>
    <xf applyAlignment="true" applyBorder="false" applyFill="true" applyFont="true" applyNumberFormat="false" applyProtection="false" borderId="191" fillId="534" fontId="7" numFmtId="0" xfId="0">
      <alignment horizontal="center" vertical="center"/>
    </xf>
    <xf applyAlignment="true" applyBorder="false" applyFill="true" applyFont="true" applyNumberFormat="true" applyProtection="false" borderId="190" fillId="535" fontId="3" numFmtId="218" xfId="0">
      <alignment horizontal="center" vertical="center" wrapText="true"/>
    </xf>
    <xf applyAlignment="true" applyBorder="false" applyFill="true" applyFont="true" applyNumberFormat="true" applyProtection="false" borderId="198" fillId="535" fontId="7" numFmtId="218" xfId="0">
      <alignment horizontal="center" vertical="center" wrapText="true"/>
    </xf>
    <xf applyAlignment="true" applyBorder="false" applyFill="true" applyFont="true" applyNumberFormat="true" applyProtection="false" borderId="191" fillId="535" fontId="7" numFmtId="219" xfId="0">
      <alignment horizontal="center" vertical="center"/>
    </xf>
    <xf applyAlignment="true" applyBorder="false" applyFill="true" applyFont="true" applyNumberFormat="false" applyProtection="false" borderId="196" fillId="535" fontId="7" numFmtId="0" xfId="0">
      <alignment horizontal="center" vertical="center"/>
    </xf>
    <xf applyAlignment="true" applyBorder="false" applyFill="true" applyFont="true" applyNumberFormat="false" applyProtection="false" borderId="190" fillId="535" fontId="7" numFmtId="0" xfId="0">
      <alignment horizontal="center" vertical="center"/>
    </xf>
    <xf applyAlignment="true" applyBorder="false" applyFill="true" applyFont="true" applyNumberFormat="false" applyProtection="false" borderId="190" fillId="535" fontId="7" numFmtId="0" xfId="0">
      <alignment horizontal="center" vertical="center" wrapText="true"/>
    </xf>
    <xf applyAlignment="true" applyBorder="false" applyFill="true" applyFont="true" applyNumberFormat="false" applyProtection="false" borderId="198" fillId="535" fontId="7" numFmtId="0" xfId="0">
      <alignment horizontal="center" vertical="center"/>
    </xf>
    <xf applyAlignment="true" applyBorder="false" applyFill="true" applyFont="true" applyNumberFormat="false" applyProtection="false" borderId="191" fillId="535" fontId="7" numFmtId="0" xfId="0">
      <alignment horizontal="center" vertical="center"/>
    </xf>
    <xf applyAlignment="true" applyBorder="false" applyFill="true" applyFont="true" applyNumberFormat="false" applyProtection="false" borderId="191" fillId="528" fontId="7" numFmtId="0" xfId="0">
      <alignment horizontal="center" vertical="center" wrapText="true"/>
    </xf>
    <xf applyAlignment="true" applyBorder="false" applyFill="true" applyFont="true" applyNumberFormat="false" applyProtection="false" borderId="191" fillId="531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true" applyProtection="false" borderId="191" fillId="536" fontId="3" numFmtId="218" xfId="0">
      <alignment horizontal="center" vertical="center" wrapText="true"/>
    </xf>
    <xf applyAlignment="true" applyBorder="false" applyFill="true" applyFont="true" applyNumberFormat="true" applyProtection="false" borderId="191" fillId="536" fontId="7" numFmtId="218" xfId="0">
      <alignment horizontal="center" vertical="center" wrapText="true"/>
    </xf>
    <xf applyAlignment="true" applyBorder="false" applyFill="true" applyFont="true" applyNumberFormat="true" applyProtection="false" borderId="191" fillId="536" fontId="7" numFmtId="219" xfId="0">
      <alignment horizontal="center" vertical="center"/>
    </xf>
    <xf applyAlignment="true" applyBorder="false" applyFill="true" applyFont="true" applyNumberFormat="false" applyProtection="false" borderId="191" fillId="536" fontId="7" numFmtId="0" xfId="0">
      <alignment horizontal="center" vertical="center"/>
    </xf>
    <xf applyAlignment="true" applyBorder="false" applyFill="true" applyFont="true" applyNumberFormat="false" applyProtection="false" borderId="191" fillId="536" fontId="7" numFmtId="0" xfId="0">
      <alignment horizontal="center" vertical="center" wrapText="true"/>
    </xf>
    <xf applyAlignment="true" applyBorder="false" applyFill="true" applyFont="true" applyNumberFormat="true" applyProtection="false" borderId="191" fillId="537" fontId="10" numFmtId="218" xfId="0">
      <alignment horizontal="center" vertical="center" wrapText="true"/>
    </xf>
    <xf applyAlignment="true" applyBorder="false" applyFill="true" applyFont="true" applyNumberFormat="true" applyProtection="false" borderId="191" fillId="537" fontId="7" numFmtId="218" xfId="0">
      <alignment horizontal="center" vertical="center" wrapText="true"/>
    </xf>
    <xf applyAlignment="true" applyBorder="false" applyFill="true" applyFont="true" applyNumberFormat="true" applyProtection="false" borderId="191" fillId="537" fontId="7" numFmtId="219" xfId="0">
      <alignment horizontal="center" vertical="center"/>
    </xf>
    <xf applyAlignment="true" applyBorder="false" applyFill="true" applyFont="true" applyNumberFormat="false" applyProtection="false" borderId="191" fillId="537" fontId="7" numFmtId="0" xfId="0">
      <alignment horizontal="center" vertical="center"/>
    </xf>
    <xf applyAlignment="true" applyBorder="false" applyFill="true" applyFont="true" applyNumberFormat="false" applyProtection="false" borderId="191" fillId="537" fontId="7" numFmtId="0" xfId="0">
      <alignment horizontal="center" vertical="center" wrapText="true"/>
    </xf>
    <xf applyAlignment="true" applyBorder="false" applyFill="true" applyFont="true" applyNumberFormat="false" applyProtection="false" borderId="191" fillId="526" fontId="15" numFmtId="0" xfId="0">
      <alignment horizontal="center" vertical="center"/>
    </xf>
    <xf applyAlignment="true" applyBorder="false" applyFill="true" applyFont="true" applyNumberFormat="true" applyProtection="false" borderId="198" fillId="526" fontId="5" numFmtId="220" xfId="0">
      <alignment horizontal="center" vertical="center"/>
    </xf>
    <xf applyAlignment="true" applyBorder="false" applyFill="true" applyFont="true" applyNumberFormat="false" applyProtection="false" borderId="191" fillId="526" fontId="15" numFmtId="0" xfId="0">
      <alignment horizontal="center" vertical="center" wrapText="true"/>
    </xf>
    <xf applyAlignment="true" applyBorder="false" applyFill="true" applyFont="true" applyNumberFormat="true" applyProtection="false" borderId="191" fillId="531" fontId="5" numFmtId="221" xfId="0">
      <alignment horizontal="center" vertical="center"/>
    </xf>
    <xf applyAlignment="true" applyBorder="false" applyFill="true" applyFont="true" applyNumberFormat="false" applyProtection="false" borderId="191" fillId="531" fontId="15" numFmtId="0" xfId="0">
      <alignment horizontal="center" vertical="center" wrapText="true"/>
    </xf>
    <xf applyAlignment="true" applyBorder="false" applyFill="true" applyFont="true" applyNumberFormat="false" applyProtection="false" borderId="193" fillId="531" fontId="5" numFmtId="0" xfId="0">
      <alignment horizontal="center" vertical="center"/>
    </xf>
    <xf applyAlignment="true" applyBorder="false" applyFill="true" applyFont="true" applyNumberFormat="true" applyProtection="false" borderId="191" fillId="537" fontId="4" numFmtId="219" xfId="0">
      <alignment horizontal="center" vertical="center"/>
    </xf>
    <xf applyAlignment="true" applyBorder="false" applyFill="true" applyFont="true" applyNumberFormat="true" applyProtection="false" borderId="191" fillId="537" fontId="5" numFmtId="221" xfId="0">
      <alignment horizontal="center" vertical="center"/>
    </xf>
    <xf applyAlignment="true" applyBorder="false" applyFill="true" applyFont="true" applyNumberFormat="false" applyProtection="false" borderId="191" fillId="537" fontId="5" numFmtId="0" xfId="0">
      <alignment horizontal="center" vertical="center"/>
    </xf>
    <xf applyAlignment="true" applyBorder="false" applyFill="true" applyFont="true" applyNumberFormat="false" applyProtection="false" borderId="193" fillId="537" fontId="5" numFmtId="0" xfId="0">
      <alignment horizontal="center" vertical="center" wrapText="true"/>
    </xf>
    <xf applyAlignment="true" applyBorder="false" applyFill="true" applyFont="true" applyNumberFormat="false" applyProtection="false" borderId="0" fillId="537" fontId="5" numFmtId="0" xfId="0">
      <alignment horizontal="center" vertical="center"/>
    </xf>
    <xf applyAlignment="true" applyBorder="false" applyFill="true" applyFont="true" applyNumberFormat="true" applyProtection="false" borderId="198" fillId="537" fontId="5" numFmtId="220" xfId="0">
      <alignment horizontal="center" vertical="center"/>
    </xf>
    <xf applyAlignment="true" applyBorder="false" applyFill="true" applyFont="true" applyNumberFormat="true" applyProtection="false" borderId="198" fillId="531" fontId="5" numFmtId="220" xfId="0">
      <alignment horizontal="center" vertical="center"/>
    </xf>
    <xf applyAlignment="true" applyBorder="false" applyFill="true" applyFont="true" applyNumberFormat="false" applyProtection="false" borderId="193" fillId="531" fontId="5" numFmtId="0" xfId="0">
      <alignment horizontal="center" vertical="center" wrapText="true"/>
    </xf>
    <xf applyAlignment="true" applyBorder="false" applyFill="true" applyFont="true" applyNumberFormat="true" applyProtection="false" borderId="191" fillId="538" fontId="3" numFmtId="218" xfId="0">
      <alignment horizontal="center" vertical="center" wrapText="true"/>
    </xf>
    <xf applyAlignment="true" applyBorder="false" applyFill="true" applyFont="true" applyNumberFormat="true" applyProtection="false" borderId="191" fillId="538" fontId="7" numFmtId="218" xfId="0">
      <alignment horizontal="center" vertical="center" wrapText="true"/>
    </xf>
    <xf applyAlignment="true" applyBorder="false" applyFill="true" applyFont="true" applyNumberFormat="true" applyProtection="false" borderId="191" fillId="538" fontId="7" numFmtId="219" xfId="0">
      <alignment horizontal="center" vertical="center"/>
    </xf>
    <xf applyAlignment="true" applyBorder="false" applyFill="true" applyFont="true" applyNumberFormat="false" applyProtection="false" borderId="191" fillId="538" fontId="7" numFmtId="0" xfId="0">
      <alignment horizontal="center" vertical="center"/>
    </xf>
    <xf applyAlignment="true" applyBorder="false" applyFill="true" applyFont="true" applyNumberFormat="false" applyProtection="false" borderId="191" fillId="538" fontId="7" numFmtId="0" xfId="0">
      <alignment horizontal="center" vertical="center" wrapText="true"/>
    </xf>
    <xf applyAlignment="true" applyBorder="false" applyFill="true" applyFont="true" applyNumberFormat="true" applyProtection="false" borderId="191" fillId="526" fontId="15" numFmtId="220" xfId="0">
      <alignment horizontal="center" vertical="center"/>
    </xf>
    <xf applyAlignment="true" applyBorder="false" applyFill="true" applyFont="true" applyNumberFormat="true" applyProtection="false" borderId="191" fillId="526" fontId="5" numFmtId="220" xfId="0">
      <alignment horizontal="center" vertical="center"/>
    </xf>
    <xf applyAlignment="true" applyBorder="false" applyFill="true" applyFont="true" applyNumberFormat="true" applyProtection="false" borderId="191" fillId="531" fontId="15" numFmtId="220" xfId="0">
      <alignment horizontal="center" vertical="center"/>
    </xf>
    <xf applyAlignment="true" applyBorder="false" applyFill="true" applyFont="true" applyNumberFormat="true" applyProtection="false" borderId="191" fillId="539" fontId="3" numFmtId="218" xfId="0">
      <alignment horizontal="center" vertical="center" wrapText="true"/>
    </xf>
    <xf applyAlignment="true" applyBorder="false" applyFill="true" applyFont="true" applyNumberFormat="true" applyProtection="false" borderId="191" fillId="539" fontId="7" numFmtId="218" xfId="0">
      <alignment horizontal="center" vertical="center" wrapText="true"/>
    </xf>
    <xf applyAlignment="true" applyBorder="false" applyFill="true" applyFont="true" applyNumberFormat="true" applyProtection="false" borderId="191" fillId="539" fontId="7" numFmtId="219" xfId="0">
      <alignment horizontal="center" vertical="center"/>
    </xf>
    <xf applyAlignment="true" applyBorder="false" applyFill="true" applyFont="true" applyNumberFormat="false" applyProtection="false" borderId="190" fillId="539" fontId="7" numFmtId="0" xfId="0">
      <alignment horizontal="center" vertical="center"/>
    </xf>
    <xf applyAlignment="true" applyBorder="false" applyFill="true" applyFont="true" applyNumberFormat="false" applyProtection="false" borderId="191" fillId="539" fontId="7" numFmtId="0" xfId="0">
      <alignment horizontal="center" vertical="center"/>
    </xf>
    <xf applyAlignment="true" applyBorder="false" applyFill="true" applyFont="true" applyNumberFormat="false" applyProtection="false" borderId="191" fillId="539" fontId="7" numFmtId="0" xfId="0">
      <alignment horizontal="center" vertical="center" wrapText="true"/>
    </xf>
    <xf applyAlignment="true" applyBorder="false" applyFill="true" applyFont="true" applyNumberFormat="true" applyProtection="false" borderId="191" fillId="539" fontId="4" numFmtId="219" xfId="0">
      <alignment horizontal="center" vertical="center"/>
    </xf>
    <xf applyAlignment="true" applyBorder="false" applyFill="true" applyFont="true" applyNumberFormat="false" applyProtection="false" borderId="191" fillId="539" fontId="5" numFmtId="0" xfId="0">
      <alignment horizontal="center" vertical="center"/>
    </xf>
    <xf applyAlignment="true" applyBorder="false" applyFill="true" applyFont="true" applyNumberFormat="false" applyProtection="false" borderId="191" fillId="539" fontId="5" numFmtId="0" xfId="0">
      <alignment horizontal="center" vertical="center" wrapText="true"/>
    </xf>
    <xf applyAlignment="true" applyBorder="false" applyFill="true" applyFont="true" applyNumberFormat="false" applyProtection="false" borderId="0" fillId="526" fontId="4" numFmtId="0" xfId="0">
      <alignment horizontal="center" vertical="center"/>
    </xf>
    <xf applyAlignment="true" applyBorder="false" applyFill="true" applyFont="true" applyNumberFormat="false" applyProtection="false" borderId="191" fillId="539" fontId="4" numFmtId="0" xfId="0">
      <alignment horizontal="center" vertical="center"/>
    </xf>
    <xf applyAlignment="true" applyBorder="false" applyFill="true" applyFont="true" applyNumberFormat="false" applyProtection="false" borderId="193" fillId="539" fontId="5" numFmtId="0" xfId="0">
      <alignment horizontal="center" vertical="center"/>
    </xf>
    <xf applyAlignment="true" applyBorder="false" applyFill="true" applyFont="true" applyNumberFormat="false" applyProtection="false" borderId="0" fillId="539" fontId="5" numFmtId="0" xfId="0">
      <alignment horizontal="center" vertical="center"/>
    </xf>
    <xf applyAlignment="true" applyBorder="false" applyFill="false" applyFont="true" applyNumberFormat="false" applyProtection="false" borderId="198" fillId="0" fontId="5" numFmtId="0" xfId="0">
      <alignment horizontal="center" vertical="center" wrapText="true"/>
    </xf>
    <xf applyAlignment="true" applyBorder="false" applyFill="false" applyFont="true" applyNumberFormat="false" applyProtection="false" borderId="196" fillId="0" fontId="5" numFmtId="0" xfId="0">
      <alignment horizontal="center" vertical="center"/>
    </xf>
    <xf applyAlignment="true" applyBorder="false" applyFill="true" applyFont="true" applyNumberFormat="false" applyProtection="false" borderId="198" fillId="531" fontId="5" numFmtId="0" xfId="0">
      <alignment horizontal="center" vertical="center" wrapText="true"/>
    </xf>
    <xf applyAlignment="true" applyBorder="false" applyFill="true" applyFont="true" applyNumberFormat="false" applyProtection="false" borderId="196" fillId="531" fontId="5" numFmtId="0" xfId="0">
      <alignment horizontal="center" vertical="center"/>
    </xf>
    <xf applyAlignment="true" applyBorder="false" applyFill="true" applyFont="true" applyNumberFormat="false" applyProtection="false" borderId="191" fillId="526" fontId="4" numFmtId="0" xfId="0">
      <alignment horizontal="center" vertical="center"/>
    </xf>
    <xf applyAlignment="true" applyBorder="false" applyFill="true" applyFont="true" applyNumberFormat="false" applyProtection="false" borderId="198" fillId="526" fontId="5" numFmtId="0" xfId="0">
      <alignment horizontal="center" vertical="center" wrapText="true"/>
    </xf>
    <xf applyAlignment="true" applyBorder="false" applyFill="true" applyFont="true" applyNumberFormat="false" applyProtection="false" borderId="198" fillId="539" fontId="5" numFmtId="0" xfId="0">
      <alignment horizontal="center" vertical="center" wrapText="true"/>
    </xf>
    <xf applyAlignment="true" applyBorder="false" applyFill="false" applyFont="true" applyNumberFormat="false" applyProtection="false" borderId="190" fillId="0" fontId="5" numFmtId="0" xfId="0">
      <alignment horizontal="center" vertical="center"/>
    </xf>
    <xf applyAlignment="true" applyBorder="false" applyFill="true" applyFont="true" applyNumberFormat="false" applyProtection="false" borderId="190" fillId="526" fontId="4" numFmtId="0" xfId="0">
      <alignment horizontal="center" vertical="center"/>
    </xf>
    <xf applyAlignment="true" applyBorder="false" applyFill="true" applyFont="true" applyNumberFormat="true" applyProtection="false" borderId="0" fillId="526" fontId="4" numFmtId="219" xfId="0">
      <alignment horizontal="center" vertical="center"/>
    </xf>
    <xf applyAlignment="true" applyBorder="false" applyFill="false" applyFont="true" applyNumberFormat="false" applyProtection="false" borderId="192" fillId="0" fontId="5" numFmtId="0" xfId="0">
      <alignment horizontal="center" vertical="center" wrapText="true"/>
    </xf>
    <xf applyAlignment="true" applyBorder="false" applyFill="false" applyFont="true" applyNumberFormat="false" applyProtection="false" borderId="193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true" applyFont="true" applyNumberFormat="true" applyProtection="false" borderId="191" fillId="540" fontId="3" numFmtId="218" xfId="0">
      <alignment horizontal="center" vertical="center" wrapText="true"/>
    </xf>
    <xf applyAlignment="true" applyBorder="false" applyFill="true" applyFont="true" applyNumberFormat="true" applyProtection="false" borderId="190" fillId="540" fontId="7" numFmtId="218" xfId="0">
      <alignment horizontal="center" vertical="center" wrapText="true"/>
    </xf>
    <xf applyAlignment="true" applyBorder="false" applyFill="true" applyFont="true" applyNumberFormat="true" applyProtection="false" borderId="190" fillId="540" fontId="7" numFmtId="219" xfId="0">
      <alignment horizontal="center" vertical="center"/>
    </xf>
    <xf applyAlignment="true" applyBorder="false" applyFill="true" applyFont="true" applyNumberFormat="false" applyProtection="false" borderId="190" fillId="540" fontId="7" numFmtId="0" xfId="0">
      <alignment horizontal="center" vertical="center"/>
    </xf>
    <xf applyAlignment="true" applyBorder="false" applyFill="true" applyFont="true" applyNumberFormat="false" applyProtection="false" borderId="190" fillId="540" fontId="7" numFmtId="0" xfId="0">
      <alignment horizontal="center" vertical="center" wrapText="true"/>
    </xf>
    <xf applyAlignment="true" applyBorder="false" applyFill="true" applyFont="true" applyNumberFormat="true" applyProtection="false" borderId="191" fillId="541" fontId="3" numFmtId="218" xfId="0">
      <alignment horizontal="center" vertical="center" wrapText="true"/>
    </xf>
    <xf applyAlignment="true" applyBorder="false" applyFill="true" applyFont="true" applyNumberFormat="true" applyProtection="false" borderId="191" fillId="541" fontId="7" numFmtId="218" xfId="0">
      <alignment horizontal="center" vertical="center" wrapText="true"/>
    </xf>
    <xf applyAlignment="true" applyBorder="false" applyFill="true" applyFont="true" applyNumberFormat="true" applyProtection="false" borderId="191" fillId="541" fontId="7" numFmtId="219" xfId="0">
      <alignment horizontal="center" vertical="center"/>
    </xf>
    <xf applyAlignment="true" applyBorder="false" applyFill="true" applyFont="true" applyNumberFormat="false" applyProtection="false" borderId="191" fillId="541" fontId="7" numFmtId="0" xfId="0">
      <alignment horizontal="center" vertical="center"/>
    </xf>
    <xf applyAlignment="true" applyBorder="false" applyFill="true" applyFont="true" applyNumberFormat="false" applyProtection="false" borderId="191" fillId="541" fontId="7" numFmtId="0" xfId="0">
      <alignment horizontal="center" vertical="center" wrapText="true"/>
    </xf>
    <xf applyAlignment="true" applyBorder="false" applyFill="true" applyFont="true" applyNumberFormat="false" applyProtection="false" borderId="191" fillId="537" fontId="5" numFmtId="0" xfId="0">
      <alignment horizontal="center" vertical="center" wrapText="true"/>
    </xf>
    <xf applyAlignment="true" applyBorder="false" applyFill="true" applyFont="true" applyNumberFormat="false" applyProtection="false" borderId="0" fillId="537" fontId="8" numFmtId="0" xfId="0">
      <alignment vertical="center"/>
    </xf>
    <xf applyAlignment="true" applyBorder="false" applyFill="true" applyFont="true" applyNumberFormat="false" applyProtection="false" borderId="191" fillId="526" fontId="5" numFmtId="0" xfId="0">
      <alignment horizontal="left" vertical="center" wrapText="true"/>
    </xf>
    <xf applyAlignment="true" applyBorder="false" applyFill="true" applyFont="true" applyNumberFormat="true" applyProtection="false" borderId="191" fillId="542" fontId="4" numFmtId="219" xfId="0">
      <alignment horizontal="center" vertical="center"/>
    </xf>
    <xf applyAlignment="true" applyBorder="false" applyFill="true" applyFont="true" applyNumberFormat="false" applyProtection="false" borderId="193" fillId="542" fontId="5" numFmtId="0" xfId="0">
      <alignment horizontal="center" vertical="center"/>
    </xf>
    <xf applyAlignment="true" applyBorder="false" applyFill="true" applyFont="true" applyNumberFormat="false" applyProtection="false" borderId="191" fillId="542" fontId="5" numFmtId="0" xfId="0">
      <alignment horizontal="center" vertical="center"/>
    </xf>
    <xf applyAlignment="true" applyBorder="false" applyFill="true" applyFont="true" applyNumberFormat="false" applyProtection="false" borderId="191" fillId="542" fontId="5" numFmtId="0" xfId="0">
      <alignment horizontal="center" vertical="center" wrapText="true"/>
    </xf>
    <xf applyAlignment="true" applyBorder="false" applyFill="true" applyFont="true" applyNumberFormat="false" applyProtection="false" borderId="191" fillId="542" fontId="5" numFmtId="0" xfId="0">
      <alignment horizontal="left" vertical="center" wrapText="true"/>
    </xf>
    <xf applyAlignment="true" applyBorder="false" applyFill="true" applyFont="true" applyNumberFormat="false" applyProtection="false" borderId="0" fillId="542" fontId="5" numFmtId="0" xfId="0">
      <alignment horizontal="center" vertical="center"/>
    </xf>
    <xf applyAlignment="true" applyBorder="false" applyFill="true" applyFont="true" applyNumberFormat="false" applyProtection="false" borderId="190" fillId="526" fontId="5" numFmtId="0" xfId="0">
      <alignment horizontal="left" vertical="center" wrapText="true"/>
    </xf>
    <xf applyAlignment="true" applyBorder="false" applyFill="true" applyFont="true" applyNumberFormat="true" applyProtection="false" borderId="191" fillId="543" fontId="3" numFmtId="218" xfId="0">
      <alignment horizontal="center" vertical="center" wrapText="true"/>
    </xf>
    <xf applyAlignment="true" applyBorder="false" applyFill="true" applyFont="true" applyNumberFormat="true" applyProtection="false" borderId="191" fillId="543" fontId="7" numFmtId="218" xfId="0">
      <alignment horizontal="center" vertical="center" wrapText="true"/>
    </xf>
    <xf applyAlignment="true" applyBorder="false" applyFill="true" applyFont="true" applyNumberFormat="true" applyProtection="false" borderId="191" fillId="543" fontId="7" numFmtId="219" xfId="0">
      <alignment horizontal="center" vertical="center"/>
    </xf>
    <xf applyAlignment="true" applyBorder="false" applyFill="true" applyFont="true" applyNumberFormat="false" applyProtection="false" borderId="191" fillId="543" fontId="7" numFmtId="0" xfId="0">
      <alignment horizontal="center" vertical="center"/>
    </xf>
    <xf applyAlignment="true" applyBorder="false" applyFill="true" applyFont="true" applyNumberFormat="false" applyProtection="false" borderId="191" fillId="543" fontId="7" numFmtId="0" xfId="0">
      <alignment horizontal="center" vertical="center" wrapText="true"/>
    </xf>
    <xf applyAlignment="true" applyBorder="false" applyFill="true" applyFont="true" applyNumberFormat="true" applyProtection="false" borderId="191" fillId="542" fontId="3" numFmtId="218" xfId="0">
      <alignment horizontal="center" vertical="center" wrapText="true"/>
    </xf>
    <xf applyAlignment="true" applyBorder="false" applyFill="true" applyFont="true" applyNumberFormat="true" applyProtection="false" borderId="191" fillId="542" fontId="7" numFmtId="218" xfId="0">
      <alignment horizontal="center" vertical="center" wrapText="true"/>
    </xf>
    <xf applyAlignment="true" applyBorder="false" applyFill="true" applyFont="true" applyNumberFormat="true" applyProtection="false" borderId="191" fillId="542" fontId="7" numFmtId="219" xfId="0">
      <alignment horizontal="center" vertical="center"/>
    </xf>
    <xf applyAlignment="true" applyBorder="false" applyFill="true" applyFont="true" applyNumberFormat="false" applyProtection="false" borderId="191" fillId="542" fontId="7" numFmtId="0" xfId="0">
      <alignment horizontal="center" vertical="center"/>
    </xf>
    <xf applyAlignment="true" applyBorder="false" applyFill="true" applyFont="true" applyNumberFormat="false" applyProtection="false" borderId="191" fillId="542" fontId="7" numFmtId="0" xfId="0">
      <alignment horizontal="center" vertical="center" wrapText="true"/>
    </xf>
    <xf applyAlignment="true" applyBorder="false" applyFill="false" applyFont="true" applyNumberFormat="false" applyProtection="false" borderId="192" fillId="0" fontId="5" numFmtId="0" xfId="0">
      <alignment horizontal="center" vertical="center"/>
    </xf>
    <xf applyAlignment="true" applyBorder="false" applyFill="true" applyFont="true" applyNumberFormat="true" applyProtection="false" borderId="191" fillId="544" fontId="10" numFmtId="218" xfId="0">
      <alignment horizontal="center" vertical="center" wrapText="true"/>
    </xf>
    <xf applyAlignment="true" applyBorder="false" applyFill="true" applyFont="true" applyNumberFormat="true" applyProtection="false" borderId="191" fillId="544" fontId="7" numFmtId="218" xfId="0">
      <alignment horizontal="center" vertical="center" wrapText="true"/>
    </xf>
    <xf applyAlignment="true" applyBorder="false" applyFill="true" applyFont="true" applyNumberFormat="true" applyProtection="false" borderId="191" fillId="544" fontId="7" numFmtId="219" xfId="0">
      <alignment horizontal="center" vertical="center"/>
    </xf>
    <xf applyAlignment="true" applyBorder="false" applyFill="true" applyFont="true" applyNumberFormat="false" applyProtection="false" borderId="191" fillId="544" fontId="7" numFmtId="0" xfId="0">
      <alignment horizontal="center" vertical="center"/>
    </xf>
    <xf applyAlignment="true" applyBorder="false" applyFill="true" applyFont="true" applyNumberFormat="false" applyProtection="false" borderId="191" fillId="544" fontId="7" numFmtId="0" xfId="0">
      <alignment horizontal="center" vertical="center" wrapText="true"/>
    </xf>
    <xf applyAlignment="true" applyBorder="false" applyFill="true" applyFont="true" applyNumberFormat="false" applyProtection="false" borderId="191" fillId="544" fontId="23" numFmtId="0" xfId="0">
      <alignment horizontal="center" vertical="center"/>
    </xf>
    <xf applyAlignment="true" applyBorder="false" applyFill="false" applyFont="true" applyNumberFormat="false" applyProtection="false" borderId="191" fillId="0" fontId="15" numFmtId="0" xfId="0">
      <alignment horizontal="center" vertical="center"/>
    </xf>
    <xf applyAlignment="true" applyBorder="false" applyFill="true" applyFont="true" applyNumberFormat="true" applyProtection="false" borderId="191" fillId="545" fontId="3" numFmtId="218" xfId="0">
      <alignment horizontal="center" vertical="center" wrapText="true"/>
    </xf>
    <xf applyAlignment="true" applyBorder="false" applyFill="true" applyFont="true" applyNumberFormat="true" applyProtection="false" borderId="191" fillId="545" fontId="7" numFmtId="218" xfId="0">
      <alignment horizontal="center" vertical="center" wrapText="true"/>
    </xf>
    <xf applyAlignment="true" applyBorder="false" applyFill="true" applyFont="true" applyNumberFormat="true" applyProtection="false" borderId="191" fillId="545" fontId="7" numFmtId="219" xfId="0">
      <alignment horizontal="center" vertical="center"/>
    </xf>
    <xf applyAlignment="true" applyBorder="false" applyFill="true" applyFont="true" applyNumberFormat="false" applyProtection="false" borderId="191" fillId="545" fontId="7" numFmtId="0" xfId="0">
      <alignment horizontal="center" vertical="center"/>
    </xf>
    <xf applyAlignment="true" applyBorder="false" applyFill="true" applyFont="true" applyNumberFormat="false" applyProtection="false" borderId="191" fillId="545" fontId="7" numFmtId="0" xfId="0">
      <alignment horizontal="center" vertical="center" wrapText="true"/>
    </xf>
    <xf applyAlignment="true" applyBorder="false" applyFill="true" applyFont="true" applyNumberFormat="true" applyProtection="false" borderId="191" fillId="528" fontId="4" numFmtId="219" xfId="0">
      <alignment horizontal="center" vertical="center"/>
    </xf>
    <xf applyAlignment="true" applyBorder="false" applyFill="true" applyFont="true" applyNumberFormat="false" applyProtection="false" borderId="191" fillId="528" fontId="5" numFmtId="0" xfId="0">
      <alignment horizontal="center" vertical="center"/>
    </xf>
    <xf applyAlignment="true" applyBorder="false" applyFill="true" applyFont="true" applyNumberFormat="false" applyProtection="false" borderId="191" fillId="528" fontId="5" numFmtId="0" xfId="0">
      <alignment horizontal="center" vertical="center" wrapText="true"/>
    </xf>
    <xf applyAlignment="true" applyBorder="false" applyFill="true" applyFont="true" applyNumberFormat="false" applyProtection="false" borderId="0" fillId="528" fontId="5" numFmtId="0" xfId="0">
      <alignment horizontal="center" vertical="center"/>
    </xf>
    <xf applyAlignment="true" applyBorder="false" applyFill="true" applyFont="true" applyNumberFormat="false" applyProtection="false" borderId="0" fillId="528" fontId="8" numFmtId="0" xfId="0">
      <alignment vertical="center"/>
    </xf>
    <xf applyAlignment="true" applyBorder="false" applyFill="true" applyFont="true" applyNumberFormat="false" applyProtection="false" borderId="191" fillId="526" fontId="4" numFmtId="0" xfId="0">
      <alignment horizontal="center" vertical="center" wrapText="true"/>
    </xf>
    <xf applyAlignment="true" applyBorder="false" applyFill="true" applyFont="true" applyNumberFormat="false" applyProtection="false" borderId="191" fillId="528" fontId="4" numFmtId="0" xfId="0">
      <alignment horizontal="center" vertical="center"/>
    </xf>
    <xf applyAlignment="true" applyBorder="false" applyFill="true" applyFont="true" applyNumberFormat="false" applyProtection="false" borderId="191" fillId="528" fontId="4" numFmtId="0" xfId="0">
      <alignment horizontal="center" vertical="center" wrapText="true"/>
    </xf>
    <xf applyAlignment="true" applyBorder="false" applyFill="true" applyFont="true" applyNumberFormat="false" applyProtection="false" borderId="0" fillId="528" fontId="4" numFmtId="0" xfId="0">
      <alignment horizontal="center" vertical="center"/>
    </xf>
    <xf applyAlignment="true" applyBorder="false" applyFill="true" applyFont="true" applyNumberFormat="true" applyProtection="false" borderId="191" fillId="546" fontId="3" numFmtId="218" xfId="0">
      <alignment horizontal="center" vertical="center" wrapText="true"/>
    </xf>
    <xf applyAlignment="true" applyBorder="false" applyFill="true" applyFont="true" applyNumberFormat="false" applyProtection="false" borderId="0" fillId="546" fontId="8" numFmtId="0" xfId="0">
      <alignment vertical="center"/>
    </xf>
    <xf applyAlignment="true" applyBorder="false" applyFill="true" applyFont="true" applyNumberFormat="true" applyProtection="false" borderId="191" fillId="546" fontId="7" numFmtId="218" xfId="0">
      <alignment horizontal="center" vertical="center" wrapText="true"/>
    </xf>
    <xf applyAlignment="true" applyBorder="false" applyFill="true" applyFont="true" applyNumberFormat="true" applyProtection="false" borderId="191" fillId="546" fontId="7" numFmtId="219" xfId="0">
      <alignment horizontal="center" vertical="center"/>
    </xf>
    <xf applyAlignment="true" applyBorder="false" applyFill="true" applyFont="true" applyNumberFormat="false" applyProtection="false" borderId="191" fillId="546" fontId="7" numFmtId="0" xfId="0">
      <alignment horizontal="center" vertical="center"/>
    </xf>
    <xf applyAlignment="true" applyBorder="false" applyFill="true" applyFont="true" applyNumberFormat="false" applyProtection="false" borderId="191" fillId="546" fontId="7" numFmtId="0" xfId="0">
      <alignment horizontal="center" vertical="center" wrapText="true"/>
    </xf>
    <xf applyAlignment="true" applyBorder="false" applyFill="true" applyFont="true" applyNumberFormat="true" applyProtection="false" borderId="191" fillId="547" fontId="3" numFmtId="218" xfId="0">
      <alignment horizontal="center" vertical="center" wrapText="true"/>
    </xf>
    <xf applyAlignment="true" applyBorder="false" applyFill="true" applyFont="true" applyNumberFormat="true" applyProtection="false" borderId="191" fillId="547" fontId="7" numFmtId="218" xfId="0">
      <alignment horizontal="center" vertical="center" wrapText="true"/>
    </xf>
    <xf applyAlignment="true" applyBorder="false" applyFill="true" applyFont="true" applyNumberFormat="true" applyProtection="false" borderId="191" fillId="547" fontId="7" numFmtId="219" xfId="0">
      <alignment horizontal="center" vertical="center"/>
    </xf>
    <xf applyAlignment="true" applyBorder="false" applyFill="true" applyFont="true" applyNumberFormat="false" applyProtection="false" borderId="191" fillId="547" fontId="7" numFmtId="0" xfId="0">
      <alignment horizontal="center" vertical="center"/>
    </xf>
    <xf applyAlignment="true" applyBorder="false" applyFill="true" applyFont="true" applyNumberFormat="false" applyProtection="false" borderId="191" fillId="547" fontId="7" numFmtId="0" xfId="0">
      <alignment horizontal="center" vertical="center" wrapText="true"/>
    </xf>
    <xf applyAlignment="true" applyBorder="false" applyFill="true" applyFont="true" applyNumberFormat="true" applyProtection="false" borderId="191" fillId="527" fontId="4" numFmtId="219" xfId="0">
      <alignment horizontal="center" vertical="center"/>
    </xf>
    <xf applyAlignment="true" applyBorder="false" applyFill="true" applyFont="true" applyNumberFormat="false" applyProtection="false" borderId="191" fillId="527" fontId="5" numFmtId="0" xfId="0">
      <alignment horizontal="center" vertical="center"/>
    </xf>
    <xf applyAlignment="true" applyBorder="false" applyFill="true" applyFont="true" applyNumberFormat="false" applyProtection="false" borderId="191" fillId="527" fontId="5" numFmtId="0" xfId="0">
      <alignment horizontal="center" vertical="center" wrapText="true"/>
    </xf>
    <xf applyAlignment="true" applyBorder="false" applyFill="true" applyFont="true" applyNumberFormat="false" applyProtection="false" borderId="0" fillId="527" fontId="5" numFmtId="0" xfId="0">
      <alignment horizontal="center" vertical="center"/>
    </xf>
    <xf applyAlignment="true" applyBorder="false" applyFill="true" applyFont="true" applyNumberFormat="false" applyProtection="false" borderId="0" fillId="527" fontId="8" numFmtId="0" xfId="0">
      <alignment vertical="center"/>
    </xf>
    <xf applyAlignment="true" applyBorder="false" applyFill="true" applyFont="true" applyNumberFormat="true" applyProtection="false" borderId="191" fillId="548" fontId="3" numFmtId="218" xfId="0">
      <alignment horizontal="center" vertical="center" wrapText="true"/>
    </xf>
    <xf applyAlignment="true" applyBorder="false" applyFill="true" applyFont="true" applyNumberFormat="true" applyProtection="false" borderId="191" fillId="548" fontId="7" numFmtId="218" xfId="0">
      <alignment horizontal="center" vertical="center" wrapText="true"/>
    </xf>
    <xf applyAlignment="true" applyBorder="false" applyFill="true" applyFont="true" applyNumberFormat="true" applyProtection="false" borderId="191" fillId="548" fontId="7" numFmtId="219" xfId="0">
      <alignment horizontal="center" vertical="center"/>
    </xf>
    <xf applyAlignment="true" applyBorder="false" applyFill="true" applyFont="true" applyNumberFormat="false" applyProtection="false" borderId="191" fillId="548" fontId="7" numFmtId="0" xfId="0">
      <alignment horizontal="center" vertical="center"/>
    </xf>
    <xf applyAlignment="true" applyBorder="false" applyFill="true" applyFont="true" applyNumberFormat="false" applyProtection="false" borderId="191" fillId="548" fontId="7" numFmtId="0" xfId="0">
      <alignment horizontal="center" vertical="center" wrapText="true"/>
    </xf>
    <xf applyAlignment="true" applyBorder="false" applyFill="true" applyFont="true" applyNumberFormat="true" applyProtection="false" borderId="191" fillId="549" fontId="3" numFmtId="218" xfId="0">
      <alignment horizontal="center" vertical="center" wrapText="true"/>
    </xf>
    <xf applyAlignment="true" applyBorder="false" applyFill="true" applyFont="true" applyNumberFormat="true" applyProtection="false" borderId="191" fillId="549" fontId="7" numFmtId="218" xfId="0">
      <alignment horizontal="center" vertical="center" wrapText="true"/>
    </xf>
    <xf applyAlignment="true" applyBorder="false" applyFill="true" applyFont="true" applyNumberFormat="true" applyProtection="false" borderId="191" fillId="549" fontId="7" numFmtId="219" xfId="0">
      <alignment horizontal="center" vertical="center"/>
    </xf>
    <xf applyAlignment="true" applyBorder="false" applyFill="true" applyFont="true" applyNumberFormat="false" applyProtection="false" borderId="191" fillId="549" fontId="7" numFmtId="0" xfId="0">
      <alignment horizontal="center" vertical="center"/>
    </xf>
    <xf applyAlignment="true" applyBorder="false" applyFill="true" applyFont="true" applyNumberFormat="false" applyProtection="false" borderId="191" fillId="549" fontId="7" numFmtId="0" xfId="0">
      <alignment horizontal="center" vertical="center" wrapText="true"/>
    </xf>
    <xf applyAlignment="true" applyBorder="false" applyFill="true" applyFont="true" applyNumberFormat="true" applyProtection="false" borderId="191" fillId="550" fontId="16" numFmtId="218" xfId="0">
      <alignment horizontal="center" vertical="center" wrapText="true"/>
    </xf>
    <xf applyAlignment="true" applyBorder="false" applyFill="true" applyFont="true" applyNumberFormat="false" applyProtection="false" borderId="0" fillId="550" fontId="15" numFmtId="0" xfId="0">
      <alignment horizontal="center" vertical="center"/>
    </xf>
    <xf applyAlignment="true" applyBorder="false" applyFill="true" applyFont="true" applyNumberFormat="false" applyProtection="false" borderId="0" fillId="550" fontId="5" numFmtId="0" xfId="0">
      <alignment horizontal="center" vertical="center"/>
    </xf>
    <xf applyAlignment="true" applyBorder="false" applyFill="true" applyFont="true" applyNumberFormat="true" applyProtection="false" borderId="191" fillId="550" fontId="7" numFmtId="218" xfId="0">
      <alignment horizontal="center" vertical="center" wrapText="true"/>
    </xf>
    <xf applyAlignment="true" applyBorder="false" applyFill="true" applyFont="true" applyNumberFormat="true" applyProtection="false" borderId="191" fillId="550" fontId="7" numFmtId="219" xfId="0">
      <alignment horizontal="center" vertical="center"/>
    </xf>
    <xf applyAlignment="true" applyBorder="false" applyFill="true" applyFont="true" applyNumberFormat="false" applyProtection="false" borderId="191" fillId="550" fontId="7" numFmtId="0" xfId="0">
      <alignment horizontal="center" vertical="center"/>
    </xf>
    <xf applyAlignment="true" applyBorder="false" applyFill="true" applyFont="true" applyNumberFormat="false" applyProtection="false" borderId="191" fillId="550" fontId="7" numFmtId="0" xfId="0">
      <alignment horizontal="center" vertical="center" wrapText="true"/>
    </xf>
    <xf applyAlignment="true" applyBorder="false" applyFill="true" applyFont="true" applyNumberFormat="true" applyProtection="false" borderId="191" fillId="550" fontId="4" numFmtId="219" xfId="0">
      <alignment horizontal="center" vertical="center"/>
    </xf>
    <xf applyAlignment="true" applyBorder="false" applyFill="true" applyFont="true" applyNumberFormat="false" applyProtection="false" borderId="191" fillId="550" fontId="5" numFmtId="0" xfId="0">
      <alignment horizontal="center" vertical="center"/>
    </xf>
    <xf applyAlignment="true" applyBorder="false" applyFill="true" applyFont="true" applyNumberFormat="false" applyProtection="false" borderId="191" fillId="550" fontId="5" numFmtId="0" xfId="0">
      <alignment horizontal="center" vertical="center" wrapText="true"/>
    </xf>
    <xf applyAlignment="true" applyBorder="false" applyFill="true" applyFont="true" applyNumberFormat="false" applyProtection="false" borderId="193" fillId="550" fontId="5" numFmtId="0" xfId="0">
      <alignment horizontal="center" vertical="center"/>
    </xf>
    <xf applyAlignment="true" applyBorder="false" applyFill="true" applyFont="true" applyNumberFormat="false" applyProtection="false" borderId="191" fillId="525" fontId="18" numFmtId="0" xfId="0">
      <alignment horizontal="center" vertical="center"/>
    </xf>
    <xf applyAlignment="true" applyBorder="false" applyFill="false" applyFont="true" applyNumberFormat="true" applyProtection="false" borderId="191" fillId="0" fontId="5" numFmtId="219" xfId="0">
      <alignment horizontal="center" vertical="center" wrapText="true"/>
    </xf>
    <xf applyAlignment="true" applyBorder="false" applyFill="true" applyFont="true" applyNumberFormat="true" applyProtection="false" borderId="191" fillId="540" fontId="16" numFmtId="218" xfId="0">
      <alignment horizontal="center" vertical="center" wrapText="true"/>
    </xf>
    <xf applyAlignment="true" applyBorder="false" applyFill="true" applyFont="true" applyNumberFormat="true" applyProtection="false" borderId="191" fillId="551" fontId="7" numFmtId="218" xfId="0">
      <alignment horizontal="center" vertical="center" wrapText="true"/>
    </xf>
    <xf applyAlignment="true" applyBorder="false" applyFill="true" applyFont="true" applyNumberFormat="true" applyProtection="false" borderId="191" fillId="551" fontId="7" numFmtId="219" xfId="0">
      <alignment horizontal="center" vertical="center"/>
    </xf>
    <xf applyAlignment="true" applyBorder="false" applyFill="true" applyFont="true" applyNumberFormat="false" applyProtection="false" borderId="191" fillId="551" fontId="7" numFmtId="0" xfId="0">
      <alignment horizontal="center" vertical="center"/>
    </xf>
    <xf applyAlignment="true" applyBorder="false" applyFill="true" applyFont="true" applyNumberFormat="false" applyProtection="false" borderId="191" fillId="551" fontId="7" numFmtId="0" xfId="0">
      <alignment horizontal="center" vertical="center" wrapText="true"/>
    </xf>
    <xf applyAlignment="true" applyBorder="false" applyFill="false" applyFont="true" applyNumberFormat="false" applyProtection="false" borderId="190" fillId="0" fontId="5" numFmtId="0" xfId="0">
      <alignment horizontal="center" vertical="center" wrapText="true"/>
    </xf>
    <xf applyAlignment="true" applyBorder="false" applyFill="true" applyFont="true" applyNumberFormat="true" applyProtection="false" borderId="191" fillId="538" fontId="16" numFmtId="218" xfId="0">
      <alignment horizontal="center" vertical="center" wrapText="true"/>
    </xf>
    <xf applyAlignment="true" applyBorder="false" applyFill="true" applyFont="true" applyNumberFormat="false" applyProtection="false" borderId="0" fillId="526" fontId="15" numFmtId="0" xfId="0">
      <alignment vertical="center"/>
    </xf>
    <xf applyAlignment="true" applyBorder="false" applyFill="true" applyFont="true" applyNumberFormat="true" applyProtection="false" borderId="191" fillId="538" fontId="4" numFmtId="219" xfId="0">
      <alignment horizontal="center" vertical="center"/>
    </xf>
    <xf applyAlignment="true" applyBorder="false" applyFill="true" applyFont="true" applyNumberFormat="false" applyProtection="false" borderId="191" fillId="538" fontId="5" numFmtId="0" xfId="0">
      <alignment horizontal="center" vertical="center"/>
    </xf>
    <xf applyAlignment="true" applyBorder="false" applyFill="true" applyFont="true" applyNumberFormat="false" applyProtection="false" borderId="191" fillId="538" fontId="5" numFmtId="0" xfId="0">
      <alignment horizontal="center" vertical="center" wrapText="true"/>
    </xf>
    <xf applyAlignment="true" applyBorder="false" applyFill="true" applyFont="true" applyNumberFormat="false" applyProtection="false" borderId="0" fillId="538" fontId="15" numFmtId="0" xfId="0">
      <alignment horizontal="center" vertical="center"/>
    </xf>
    <xf applyAlignment="true" applyBorder="false" applyFill="true" applyFont="true" applyNumberFormat="false" applyProtection="false" borderId="0" fillId="538" fontId="15" numFmtId="0" xfId="0">
      <alignment vertical="center"/>
    </xf>
    <xf applyAlignment="true" applyBorder="false" applyFill="true" applyFont="true" applyNumberFormat="false" applyProtection="false" borderId="0" fillId="538" fontId="8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3" min="3" style="0" width="14.47887323943662"/>
    <col collapsed="false" customWidth="true" hidden="false" max="4" min="4" style="0" width="21.577464788732396"/>
    <col collapsed="false" customWidth="true" hidden="false" max="8" min="8" style="0" width="22.92957746478873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5" min="5" style="0" width="14.47887323943662"/>
    <col collapsed="false" customWidth="true" hidden="false" max="9" min="9" style="0" width="15.605633802816902"/>
    <col collapsed="false" customWidth="true" hidden="false" max="13" min="13" style="0" width="11.211267605633802"/>
    <col collapsed="false" customWidth="true" hidden="false" max="1" min="1" style="0" width="30.816901408450704"/>
    <col collapsed="false" customWidth="true" hidden="false" max="6" min="6" style="0" width="29.464788732394368"/>
    <col collapsed="false" customWidth="true" hidden="false" max="10" min="10" style="0" width="47.859154929577464"/>
    <col collapsed="false" customWidth="true" hidden="false" max="14" min="14" style="0" width="11.211267605633802"/>
    <col collapsed="false" customWidth="true" hidden="false" max="2" min="2" style="0" width="14.47887323943662"/>
    <col collapsed="false" customWidth="true" hidden="false" max="7" min="7" style="0" width="24.412157153446994"/>
    <col collapsed="false" customWidth="true" hidden="false" max="11" min="11" style="0" width="11.211267605633802"/>
    <col collapsed="false" customWidth="true" hidden="false" max="15" min="15" style="0" width="11.211267605633802"/>
  </cols>
  <sheetData>
    <row r="1">
      <c r="A1" s="1"/>
      <c r="B1" s="2"/>
      <c r="C1" s="2"/>
      <c r="D1" s="3"/>
      <c r="E1" s="2"/>
      <c r="F1" s="4"/>
      <c r="G1" s="2"/>
      <c r="H1" s="3"/>
      <c r="I1" s="2"/>
      <c r="J1" s="5"/>
      <c r="K1" s="6"/>
      <c r="L1" s="6"/>
      <c r="M1" s="6"/>
      <c r="N1" s="6"/>
      <c r="O1" s="6"/>
      <c r="P1" s="6"/>
    </row>
    <row customHeight="true" ht="21.146616128578824" r="2">
      <c r="A2" s="7"/>
      <c r="B2" s="8"/>
      <c r="C2" s="8"/>
      <c r="D2" s="8"/>
      <c r="E2" s="8"/>
      <c r="F2" s="8"/>
      <c r="G2" s="8"/>
      <c r="H2" s="8"/>
      <c r="I2" s="8"/>
      <c r="J2" s="8"/>
      <c r="K2" s="9"/>
      <c r="L2" s="9"/>
      <c r="M2" s="9"/>
      <c r="N2" s="9"/>
      <c r="O2" s="9"/>
      <c r="P2" s="9"/>
    </row>
    <row customHeight="true" ht="42.073934453802075" r="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2"/>
      <c r="L3" s="12"/>
      <c r="M3" s="12"/>
      <c r="N3" s="12"/>
      <c r="O3" s="12"/>
      <c r="P3" s="12"/>
    </row>
    <row r="4">
      <c r="A4" s="13" t="s">
        <v>2</v>
      </c>
      <c r="B4" s="14">
        <v>46300</v>
      </c>
      <c r="C4" s="15" t="s">
        <v>3</v>
      </c>
      <c r="D4" s="16" t="s">
        <v>4</v>
      </c>
      <c r="E4" s="17">
        <v>2.5</v>
      </c>
      <c r="F4" s="18" t="s">
        <v>5</v>
      </c>
      <c r="G4" s="19" t="s">
        <v>6</v>
      </c>
      <c r="H4" s="20" t="s">
        <v>7</v>
      </c>
      <c r="I4" s="20" t="s">
        <v>8</v>
      </c>
      <c r="J4" s="21"/>
      <c r="K4" s="22"/>
      <c r="L4" s="22"/>
      <c r="M4" s="22"/>
      <c r="N4" s="22"/>
      <c r="O4" s="22"/>
      <c r="P4" s="22"/>
    </row>
    <row customHeight="true" ht="18.452380952380953" r="5">
      <c r="A5" s="23" t="s">
        <v>2</v>
      </c>
      <c r="B5" s="15">
        <v>46300</v>
      </c>
      <c r="C5" s="24" t="s">
        <v>3</v>
      </c>
      <c r="D5" s="25" t="s">
        <v>4</v>
      </c>
      <c r="E5" s="17">
        <v>2.5</v>
      </c>
      <c r="F5" s="18" t="s">
        <v>9</v>
      </c>
      <c r="G5" s="19" t="s">
        <v>6</v>
      </c>
      <c r="H5" s="20" t="s">
        <v>7</v>
      </c>
      <c r="I5" s="20" t="s">
        <v>8</v>
      </c>
      <c r="J5" s="21"/>
      <c r="K5" s="22"/>
      <c r="L5" s="22"/>
      <c r="M5" s="22"/>
      <c r="N5" s="22"/>
      <c r="O5" s="22"/>
      <c r="P5" s="22"/>
    </row>
    <row customHeight="true" ht="18.452380952380953" r="6">
      <c r="A6" s="13" t="s">
        <v>2</v>
      </c>
      <c r="B6" s="14"/>
      <c r="C6" s="26"/>
      <c r="D6" s="25" t="s">
        <v>4</v>
      </c>
      <c r="E6" s="17">
        <v>2.5</v>
      </c>
      <c r="F6" s="18"/>
      <c r="G6" s="19" t="s">
        <v>6</v>
      </c>
      <c r="H6" s="20" t="s">
        <v>7</v>
      </c>
      <c r="I6" s="20" t="s">
        <v>8</v>
      </c>
      <c r="J6" s="21"/>
      <c r="K6" s="22"/>
      <c r="L6" s="22"/>
      <c r="M6" s="22"/>
      <c r="N6" s="22"/>
      <c r="O6" s="22"/>
      <c r="P6" s="22"/>
    </row>
    <row customHeight="true" ht="18.452380952380953" r="7">
      <c r="A7" s="13" t="s">
        <v>2</v>
      </c>
      <c r="B7" s="15"/>
      <c r="C7" s="26"/>
      <c r="D7" s="25" t="s">
        <v>4</v>
      </c>
      <c r="E7" s="17">
        <v>2.5</v>
      </c>
      <c r="F7" s="18"/>
      <c r="G7" s="19" t="s">
        <v>6</v>
      </c>
      <c r="H7" s="20" t="s">
        <v>7</v>
      </c>
      <c r="I7" s="20"/>
      <c r="J7" s="21"/>
      <c r="K7" s="22"/>
      <c r="L7" s="22"/>
      <c r="M7" s="22"/>
      <c r="N7" s="22"/>
      <c r="O7" s="22"/>
      <c r="P7" s="22"/>
    </row>
    <row customHeight="true" ht="19.235588972431085" r="8">
      <c r="A8" s="13" t="s">
        <v>2</v>
      </c>
      <c r="B8" s="15"/>
      <c r="C8" s="27"/>
      <c r="D8" s="25" t="s">
        <v>4</v>
      </c>
      <c r="E8" s="17">
        <v>2.5</v>
      </c>
      <c r="F8" s="18"/>
      <c r="G8" s="19" t="s">
        <v>6</v>
      </c>
      <c r="H8" s="20" t="s">
        <v>7</v>
      </c>
      <c r="I8" s="20"/>
      <c r="J8" s="21"/>
      <c r="K8" s="22"/>
      <c r="L8" s="22"/>
      <c r="M8" s="22"/>
      <c r="N8" s="22"/>
      <c r="O8" s="22"/>
      <c r="P8" s="22"/>
    </row>
    <row customHeight="true" ht="18.452380952380953" r="9">
      <c r="A9" s="11" t="s">
        <v>10</v>
      </c>
      <c r="B9" s="11"/>
      <c r="C9" s="11"/>
      <c r="D9" s="11"/>
      <c r="E9" s="11"/>
      <c r="F9" s="11"/>
      <c r="G9" s="11"/>
      <c r="H9" s="11"/>
      <c r="I9" s="11"/>
      <c r="J9" s="28"/>
      <c r="K9" s="12"/>
      <c r="L9" s="12"/>
      <c r="M9" s="12"/>
      <c r="N9" s="12"/>
      <c r="O9" s="12"/>
      <c r="P9" s="12"/>
      <c r="Q9" s="29"/>
      <c r="R9" s="29"/>
    </row>
    <row customHeight="true" ht="18.452380952380953" r="10">
      <c r="A10" s="23" t="s">
        <v>10</v>
      </c>
      <c r="B10" s="14">
        <v>46274</v>
      </c>
      <c r="C10" s="15" t="s">
        <v>11</v>
      </c>
      <c r="D10" s="30" t="s">
        <v>12</v>
      </c>
      <c r="E10" s="31">
        <v>5</v>
      </c>
      <c r="F10" s="32"/>
      <c r="G10" s="33" t="s">
        <v>6</v>
      </c>
      <c r="H10" s="20" t="s">
        <v>7</v>
      </c>
      <c r="I10" s="34" t="s">
        <v>8</v>
      </c>
      <c r="J10" s="35"/>
      <c r="K10" s="22"/>
      <c r="L10" s="22"/>
      <c r="M10" s="22"/>
      <c r="N10" s="22"/>
      <c r="O10" s="22"/>
      <c r="P10" s="22"/>
      <c r="Q10" s="29"/>
      <c r="R10" s="29"/>
    </row>
    <row customHeight="true" ht="18.452380952380953" r="11">
      <c r="A11" s="23" t="s">
        <v>10</v>
      </c>
      <c r="B11" s="15">
        <v>46275</v>
      </c>
      <c r="C11" s="24" t="s">
        <v>13</v>
      </c>
      <c r="D11" s="36" t="s">
        <v>14</v>
      </c>
      <c r="E11" s="30">
        <v>8</v>
      </c>
      <c r="F11" s="32"/>
      <c r="G11" s="33" t="s">
        <v>6</v>
      </c>
      <c r="H11" s="20" t="s">
        <v>7</v>
      </c>
      <c r="I11" s="34" t="s">
        <v>8</v>
      </c>
      <c r="J11" s="35"/>
      <c r="K11" s="22"/>
      <c r="L11" s="22"/>
      <c r="M11" s="22"/>
      <c r="N11" s="22"/>
      <c r="O11" s="22"/>
      <c r="P11" s="22"/>
      <c r="Q11" s="29"/>
      <c r="R11" s="29"/>
    </row>
    <row r="12">
      <c r="A12" s="23" t="s">
        <v>10</v>
      </c>
      <c r="B12" s="15">
        <v>46276</v>
      </c>
      <c r="C12" s="15" t="s">
        <v>15</v>
      </c>
      <c r="D12" s="30" t="s">
        <v>14</v>
      </c>
      <c r="E12" s="30">
        <v>8</v>
      </c>
      <c r="F12" s="32"/>
      <c r="G12" s="33" t="s">
        <v>6</v>
      </c>
      <c r="H12" s="20" t="s">
        <v>7</v>
      </c>
      <c r="I12" s="34" t="s">
        <v>8</v>
      </c>
      <c r="J12" s="35"/>
      <c r="K12" s="22"/>
      <c r="L12" s="22"/>
      <c r="M12" s="22"/>
      <c r="N12" s="22"/>
      <c r="O12" s="22"/>
      <c r="P12" s="22"/>
      <c r="Q12" s="29"/>
      <c r="R12" s="29"/>
    </row>
    <row customHeight="true" ht="39.88095238095238" r="13">
      <c r="A13" s="37" t="s">
        <v>16</v>
      </c>
      <c r="B13" s="38" t="s">
        <v>17</v>
      </c>
      <c r="C13" s="38"/>
      <c r="D13" s="39" t="s">
        <v>18</v>
      </c>
      <c r="E13" s="40" t="s">
        <v>19</v>
      </c>
      <c r="F13" s="39" t="s">
        <v>20</v>
      </c>
      <c r="G13" s="41" t="s">
        <v>21</v>
      </c>
      <c r="H13" s="39" t="s">
        <v>22</v>
      </c>
      <c r="I13" s="39" t="s">
        <v>23</v>
      </c>
      <c r="J13" s="40" t="s">
        <v>24</v>
      </c>
      <c r="K13" s="42"/>
      <c r="L13" s="42"/>
      <c r="M13" s="42"/>
      <c r="N13" s="42"/>
      <c r="O13" s="42"/>
      <c r="P13" s="42"/>
      <c r="Q13" s="29"/>
      <c r="R13" s="29"/>
    </row>
    <row r="14">
      <c r="A14" s="43" t="s">
        <v>25</v>
      </c>
      <c r="B14" s="43"/>
      <c r="C14" s="43"/>
      <c r="D14" s="20"/>
      <c r="E14" s="21"/>
      <c r="F14" s="44"/>
      <c r="G14" s="45" t="s">
        <v>26</v>
      </c>
      <c r="H14" s="20"/>
      <c r="I14" s="20" t="s">
        <v>8</v>
      </c>
      <c r="J14" s="46"/>
      <c r="K14" s="22"/>
      <c r="L14" s="22"/>
      <c r="M14" s="22"/>
      <c r="N14" s="22"/>
      <c r="O14" s="22"/>
      <c r="P14" s="22"/>
      <c r="Q14" s="29"/>
      <c r="R14" s="29"/>
    </row>
    <row r="15">
      <c r="A15" s="43" t="s">
        <v>25</v>
      </c>
      <c r="B15" s="43"/>
      <c r="C15" s="43"/>
      <c r="D15" s="47"/>
      <c r="E15" s="21"/>
      <c r="F15" s="44"/>
      <c r="G15" s="45"/>
      <c r="H15" s="20"/>
      <c r="I15" s="48" t="s">
        <v>8</v>
      </c>
      <c r="J15" s="46"/>
      <c r="K15" s="22"/>
      <c r="L15" s="22"/>
      <c r="M15" s="22"/>
      <c r="N15" s="22"/>
      <c r="O15" s="22"/>
      <c r="P15" s="22"/>
    </row>
    <row r="16">
      <c r="A16" s="43" t="s">
        <v>27</v>
      </c>
      <c r="B16" s="43"/>
      <c r="C16" s="43"/>
      <c r="D16" s="20"/>
      <c r="E16" s="21"/>
      <c r="F16" s="44"/>
      <c r="G16" s="45"/>
      <c r="H16" s="20"/>
      <c r="I16" s="20" t="s">
        <v>28</v>
      </c>
      <c r="J16" s="46"/>
      <c r="K16" s="22"/>
      <c r="L16" s="22"/>
      <c r="M16" s="22"/>
      <c r="N16" s="22"/>
      <c r="O16" s="22"/>
      <c r="P16" s="22"/>
    </row>
    <row r="17">
      <c r="A17" s="43" t="s">
        <v>27</v>
      </c>
      <c r="B17" s="43"/>
      <c r="C17" s="43"/>
      <c r="D17" s="20"/>
      <c r="E17" s="21"/>
      <c r="F17" s="44"/>
      <c r="G17" s="45"/>
      <c r="H17" s="20"/>
      <c r="I17" s="20" t="s">
        <v>28</v>
      </c>
      <c r="J17" s="46"/>
      <c r="K17" s="22"/>
      <c r="L17" s="22"/>
      <c r="M17" s="22"/>
      <c r="N17" s="22"/>
      <c r="O17" s="22"/>
      <c r="P17" s="22"/>
    </row>
    <row customHeight="true" ht="18.452380952380953" r="18">
      <c r="A18" s="49" t="s">
        <v>29</v>
      </c>
      <c r="B18" s="26"/>
      <c r="C18" s="43"/>
      <c r="D18" s="50"/>
      <c r="E18" s="48"/>
      <c r="F18" s="51"/>
      <c r="G18" s="52"/>
      <c r="H18" s="48" t="s">
        <v>30</v>
      </c>
      <c r="I18" s="48" t="s">
        <v>8</v>
      </c>
      <c r="J18" s="21"/>
      <c r="K18" s="53"/>
      <c r="L18" s="53"/>
      <c r="M18" s="53"/>
      <c r="N18" s="53"/>
      <c r="O18" s="53"/>
      <c r="P18" s="53"/>
      <c r="Q18" s="53"/>
      <c r="R18" s="53"/>
    </row>
    <row customHeight="true" ht="18.452380952380953" r="19">
      <c r="A19" s="49" t="s">
        <v>29</v>
      </c>
      <c r="B19" s="43"/>
      <c r="C19" s="43"/>
      <c r="D19" s="20"/>
      <c r="E19" s="48"/>
      <c r="F19" s="51"/>
      <c r="G19" s="52"/>
      <c r="H19" s="48" t="s">
        <v>30</v>
      </c>
      <c r="I19" s="48" t="s">
        <v>8</v>
      </c>
      <c r="J19" s="21"/>
      <c r="K19" s="53"/>
      <c r="L19" s="53"/>
      <c r="M19" s="53"/>
      <c r="N19" s="53"/>
      <c r="O19" s="53"/>
      <c r="P19" s="53"/>
      <c r="Q19" s="53"/>
      <c r="R19" s="53"/>
    </row>
    <row customHeight="true" ht="18.452380952380953" r="20">
      <c r="A20" s="43"/>
      <c r="B20" s="26"/>
      <c r="C20" s="43"/>
      <c r="D20" s="20"/>
      <c r="E20" s="21"/>
      <c r="F20" s="51"/>
      <c r="G20" s="45"/>
      <c r="H20" s="20"/>
      <c r="I20" s="20"/>
      <c r="J20" s="46"/>
      <c r="K20" s="22"/>
      <c r="L20" s="22"/>
      <c r="M20" s="22"/>
      <c r="N20" s="22"/>
      <c r="O20" s="22"/>
      <c r="P20" s="22"/>
    </row>
    <row customHeight="true" ht="18.452380952380953" r="21">
      <c r="A21" s="43"/>
      <c r="B21" s="26"/>
      <c r="C21" s="43"/>
      <c r="D21" s="20"/>
      <c r="E21" s="21"/>
      <c r="F21" s="51"/>
      <c r="G21" s="45"/>
      <c r="H21" s="20"/>
      <c r="I21" s="20"/>
      <c r="J21" s="46"/>
      <c r="K21" s="22"/>
      <c r="L21" s="22"/>
      <c r="M21" s="22"/>
      <c r="N21" s="22"/>
      <c r="O21" s="22"/>
      <c r="P21" s="22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9"/>
      <c r="L22" s="9"/>
      <c r="M22" s="9"/>
      <c r="N22" s="9"/>
      <c r="O22" s="9"/>
      <c r="P22" s="9"/>
    </row>
    <row r="23"/>
    <row r="24">
      <c r="A24" s="54" t="s">
        <v>31</v>
      </c>
      <c r="B24" s="54"/>
      <c r="C24" s="54"/>
      <c r="D24" s="54"/>
      <c r="E24" s="54"/>
      <c r="F24" s="54"/>
      <c r="G24" s="55"/>
      <c r="H24" s="55"/>
      <c r="I24" s="55"/>
      <c r="J24" s="56"/>
      <c r="K24" s="57"/>
      <c r="L24" s="57"/>
      <c r="M24" s="57"/>
      <c r="N24" s="57"/>
      <c r="O24" s="57"/>
      <c r="P24" s="57"/>
    </row>
    <row r="25">
      <c r="A25" s="58" t="s">
        <v>16</v>
      </c>
      <c r="B25" s="59" t="s">
        <v>17</v>
      </c>
      <c r="C25" s="59"/>
      <c r="D25" s="58" t="s">
        <v>18</v>
      </c>
      <c r="E25" s="60" t="s">
        <v>32</v>
      </c>
      <c r="F25" s="58" t="s">
        <v>20</v>
      </c>
      <c r="G25" s="61" t="s">
        <v>33</v>
      </c>
      <c r="H25" s="58" t="s">
        <v>22</v>
      </c>
      <c r="I25" s="58" t="s">
        <v>23</v>
      </c>
      <c r="J25" s="62" t="s">
        <v>24</v>
      </c>
      <c r="K25" s="42"/>
      <c r="L25" s="42"/>
      <c r="M25" s="42"/>
      <c r="N25" s="42"/>
      <c r="O25" s="42"/>
      <c r="P25" s="42"/>
    </row>
    <row r="26">
      <c r="A26" s="63" t="s">
        <v>31</v>
      </c>
      <c r="B26" s="64">
        <v>46301</v>
      </c>
      <c r="C26" s="65" t="str">
        <v>Tuesday</v>
      </c>
      <c r="D26" s="66" t="s">
        <v>34</v>
      </c>
      <c r="E26" s="32">
        <f t="shared" ref="E26:E35" si="63">24*MOD(TIMEVALUE(TRIM(MID(D26,FIND("-",D26)+1,LEN(D26)))) - TIMEVALUE(TRIM(LEFT(D26,FIND("-",D26)-1))),1)</f>
      </c>
      <c r="F26" s="32" t="s">
        <v>35</v>
      </c>
      <c r="G26" s="67" t="s">
        <v>36</v>
      </c>
      <c r="H26" s="32" t="s">
        <v>30</v>
      </c>
      <c r="I26" s="32" t="s">
        <v>8</v>
      </c>
      <c r="J26" s="68"/>
      <c r="K26" s="22"/>
      <c r="L26" s="22"/>
      <c r="M26" s="22"/>
      <c r="N26" s="22"/>
      <c r="O26" s="22"/>
      <c r="P26" s="22"/>
      <c r="Q26" s="69"/>
      <c r="R26" s="69"/>
      <c r="S26" s="69"/>
    </row>
    <row customHeight="true" ht="18.452380952380953" r="27">
      <c r="A27" s="63" t="s">
        <v>31</v>
      </c>
      <c r="B27" s="64">
        <v>46302</v>
      </c>
      <c r="C27" s="65" t="str">
        <v>Wednesday</v>
      </c>
      <c r="D27" s="66" t="s">
        <v>37</v>
      </c>
      <c r="E27" s="32">
        <f t="shared" si="63"/>
      </c>
      <c r="F27" s="48" t="s">
        <v>35</v>
      </c>
      <c r="G27" s="67" t="s">
        <v>38</v>
      </c>
      <c r="H27" s="32" t="s">
        <v>30</v>
      </c>
      <c r="I27" s="32" t="s">
        <v>8</v>
      </c>
      <c r="J27" s="68"/>
      <c r="K27" s="22"/>
      <c r="L27" s="22"/>
      <c r="M27" s="22"/>
      <c r="N27" s="22"/>
      <c r="O27" s="22"/>
      <c r="P27" s="22"/>
      <c r="Q27" s="69"/>
      <c r="R27" s="69"/>
      <c r="S27" s="69"/>
    </row>
    <row r="28">
      <c r="A28" s="63" t="s">
        <v>31</v>
      </c>
      <c r="B28" s="64">
        <v>46302</v>
      </c>
      <c r="C28" s="65" t="str">
        <v>Wednesday</v>
      </c>
      <c r="D28" s="66" t="s">
        <v>39</v>
      </c>
      <c r="E28" s="32">
        <f t="shared" si="63"/>
      </c>
      <c r="F28" s="48" t="s">
        <v>40</v>
      </c>
      <c r="G28" s="67" t="s">
        <v>41</v>
      </c>
      <c r="H28" s="32" t="s">
        <v>30</v>
      </c>
      <c r="I28" s="32" t="s">
        <v>8</v>
      </c>
      <c r="J28" s="68"/>
      <c r="K28" s="22"/>
      <c r="L28" s="22"/>
      <c r="M28" s="22"/>
      <c r="N28" s="22"/>
      <c r="O28" s="22"/>
      <c r="P28" s="22"/>
      <c r="Q28" s="69"/>
      <c r="R28" s="69"/>
      <c r="S28" s="69"/>
    </row>
    <row r="29">
      <c r="A29" s="63" t="s">
        <v>31</v>
      </c>
      <c r="B29" s="64">
        <v>46303</v>
      </c>
      <c r="C29" s="65" t="str">
        <v>Thursday</v>
      </c>
      <c r="D29" s="66" t="s">
        <v>37</v>
      </c>
      <c r="E29" s="32">
        <f t="shared" si="63"/>
      </c>
      <c r="F29" s="48" t="s">
        <v>35</v>
      </c>
      <c r="G29" s="67" t="s">
        <v>38</v>
      </c>
      <c r="H29" s="32" t="s">
        <v>30</v>
      </c>
      <c r="I29" s="32" t="s">
        <v>8</v>
      </c>
      <c r="J29" s="68"/>
      <c r="K29" s="22"/>
      <c r="L29" s="22"/>
      <c r="M29" s="22"/>
      <c r="N29" s="22"/>
      <c r="O29" s="22"/>
      <c r="P29" s="22"/>
      <c r="Q29" s="69"/>
      <c r="R29" s="69"/>
      <c r="S29" s="69"/>
    </row>
    <row customHeight="true" ht="18.452380952380953" r="30">
      <c r="A30" s="63" t="s">
        <v>31</v>
      </c>
      <c r="B30" s="64">
        <v>46303</v>
      </c>
      <c r="C30" s="65" t="str">
        <v>Thursday</v>
      </c>
      <c r="D30" s="66" t="s">
        <v>39</v>
      </c>
      <c r="E30" s="32">
        <f t="shared" si="63"/>
      </c>
      <c r="F30" s="48" t="s">
        <v>40</v>
      </c>
      <c r="G30" s="67" t="s">
        <v>41</v>
      </c>
      <c r="H30" s="32" t="s">
        <v>30</v>
      </c>
      <c r="I30" s="32" t="s">
        <v>8</v>
      </c>
      <c r="J30" s="68"/>
      <c r="K30" s="22"/>
      <c r="L30" s="22"/>
      <c r="M30" s="22"/>
      <c r="N30" s="22"/>
      <c r="O30" s="22"/>
      <c r="P30" s="22"/>
      <c r="Q30" s="69"/>
      <c r="R30" s="69"/>
      <c r="S30" s="69"/>
    </row>
    <row customHeight="true" ht="18.452380952380953" r="31">
      <c r="A31" s="63" t="s">
        <v>31</v>
      </c>
      <c r="B31" s="64">
        <v>46304</v>
      </c>
      <c r="C31" s="65" t="str">
        <v>Friday</v>
      </c>
      <c r="D31" s="66" t="s">
        <v>37</v>
      </c>
      <c r="E31" s="32">
        <f t="shared" si="63"/>
      </c>
      <c r="F31" s="48" t="s">
        <v>35</v>
      </c>
      <c r="G31" s="67" t="s">
        <v>38</v>
      </c>
      <c r="H31" s="32" t="s">
        <v>30</v>
      </c>
      <c r="I31" s="32" t="s">
        <v>8</v>
      </c>
      <c r="J31" s="68"/>
      <c r="K31" s="22"/>
      <c r="L31" s="22"/>
      <c r="M31" s="22"/>
      <c r="N31" s="22"/>
      <c r="O31" s="22"/>
      <c r="P31" s="22"/>
      <c r="Q31" s="69"/>
      <c r="R31" s="69"/>
      <c r="S31" s="69"/>
    </row>
    <row customHeight="true" ht="18.452380952380953" r="32">
      <c r="A32" s="63" t="s">
        <v>31</v>
      </c>
      <c r="B32" s="64">
        <v>46304</v>
      </c>
      <c r="C32" s="65" t="str">
        <v>Friday</v>
      </c>
      <c r="D32" s="66" t="s">
        <v>39</v>
      </c>
      <c r="E32" s="32">
        <f t="shared" si="63"/>
      </c>
      <c r="F32" s="48" t="s">
        <v>40</v>
      </c>
      <c r="G32" s="67" t="s">
        <v>41</v>
      </c>
      <c r="H32" s="32" t="s">
        <v>30</v>
      </c>
      <c r="I32" s="32" t="s">
        <v>8</v>
      </c>
      <c r="J32" s="68"/>
      <c r="K32" s="22"/>
      <c r="L32" s="22"/>
      <c r="M32" s="22"/>
      <c r="N32" s="22"/>
      <c r="O32" s="22"/>
      <c r="P32" s="22"/>
      <c r="Q32" s="69"/>
      <c r="R32" s="69"/>
      <c r="S32" s="69"/>
    </row>
    <row customHeight="true" ht="18.452380952380953" r="33">
      <c r="A33" s="63" t="s">
        <v>31</v>
      </c>
      <c r="B33" s="64">
        <v>46305</v>
      </c>
      <c r="C33" s="65" t="str">
        <v>Saturday</v>
      </c>
      <c r="D33" s="66" t="s">
        <v>37</v>
      </c>
      <c r="E33" s="32">
        <f t="shared" si="63"/>
      </c>
      <c r="F33" s="48" t="s">
        <v>35</v>
      </c>
      <c r="G33" s="67" t="s">
        <v>38</v>
      </c>
      <c r="H33" s="32" t="s">
        <v>30</v>
      </c>
      <c r="I33" s="32" t="s">
        <v>8</v>
      </c>
      <c r="J33" s="68"/>
      <c r="K33" s="22"/>
      <c r="L33" s="22"/>
      <c r="M33" s="22"/>
      <c r="N33" s="22"/>
      <c r="O33" s="22"/>
      <c r="P33" s="22"/>
      <c r="Q33" s="69"/>
      <c r="R33" s="69"/>
      <c r="S33" s="69"/>
    </row>
    <row customHeight="true" ht="18.452380952380953" r="34">
      <c r="A34" s="63" t="s">
        <v>31</v>
      </c>
      <c r="B34" s="64">
        <v>46305</v>
      </c>
      <c r="C34" s="65" t="str">
        <v>Saturday</v>
      </c>
      <c r="D34" s="66" t="s">
        <v>39</v>
      </c>
      <c r="E34" s="32">
        <f t="shared" si="63"/>
      </c>
      <c r="F34" s="48" t="s">
        <v>40</v>
      </c>
      <c r="G34" s="67" t="s">
        <v>41</v>
      </c>
      <c r="H34" s="32" t="s">
        <v>30</v>
      </c>
      <c r="I34" s="32" t="s">
        <v>8</v>
      </c>
      <c r="J34" s="68"/>
      <c r="K34" s="22"/>
      <c r="L34" s="22"/>
      <c r="M34" s="22"/>
      <c r="N34" s="22"/>
      <c r="O34" s="22"/>
      <c r="P34" s="22"/>
      <c r="Q34" s="69"/>
      <c r="R34" s="69"/>
      <c r="S34" s="69"/>
    </row>
    <row customHeight="true" ht="18.452380952380953" r="35">
      <c r="A35" s="63" t="s">
        <v>31</v>
      </c>
      <c r="B35" s="64">
        <v>46306</v>
      </c>
      <c r="C35" s="65" t="str">
        <v>Sunday</v>
      </c>
      <c r="D35" s="66" t="s">
        <v>34</v>
      </c>
      <c r="E35" s="32">
        <f t="shared" si="63"/>
      </c>
      <c r="F35" s="32" t="s">
        <v>40</v>
      </c>
      <c r="G35" s="67" t="s">
        <v>36</v>
      </c>
      <c r="H35" s="32" t="s">
        <v>30</v>
      </c>
      <c r="I35" s="32" t="s">
        <v>8</v>
      </c>
      <c r="J35" s="68"/>
      <c r="K35" s="22"/>
      <c r="L35" s="22"/>
      <c r="M35" s="22"/>
      <c r="N35" s="22"/>
      <c r="O35" s="22"/>
      <c r="P35" s="22"/>
      <c r="Q35" s="69"/>
      <c r="R35" s="69"/>
      <c r="S35" s="69"/>
    </row>
    <row customHeight="true" ht="16.071428571428573" r="36">
      <c r="K36" s="69"/>
      <c r="L36" s="69"/>
      <c r="M36" s="69"/>
      <c r="N36" s="69"/>
      <c r="O36" s="69"/>
      <c r="P36" s="69"/>
      <c r="Q36" s="69"/>
      <c r="R36" s="69"/>
    </row>
    <row r="37">
      <c r="A37" s="63" t="s">
        <v>42</v>
      </c>
      <c r="B37" s="64">
        <v>46301</v>
      </c>
      <c r="C37" s="65" t="str">
        <v>Tuesday</v>
      </c>
      <c r="D37" s="66" t="s">
        <v>43</v>
      </c>
      <c r="E37" s="32">
        <f t="shared" ref="E37:E44" si="64">24*MOD(TIMEVALUE(TRIM(MID(D37,FIND("-",D37)+1,LEN(D37)))) - TIMEVALUE(TRIM(LEFT(D37,FIND("-",D37)-1))),1)</f>
      </c>
      <c r="F37" s="48" t="s">
        <v>44</v>
      </c>
      <c r="G37" s="67"/>
      <c r="H37" s="32" t="s">
        <v>30</v>
      </c>
      <c r="I37" s="32" t="s">
        <v>28</v>
      </c>
      <c r="J37" s="68"/>
      <c r="K37" s="22"/>
      <c r="L37" s="22"/>
      <c r="M37" s="22"/>
      <c r="N37" s="22"/>
      <c r="O37" s="22"/>
      <c r="P37" s="22"/>
      <c r="Q37" s="69"/>
      <c r="R37" s="69"/>
      <c r="S37" s="69"/>
    </row>
    <row r="38">
      <c r="A38" s="63" t="s">
        <v>42</v>
      </c>
      <c r="B38" s="64">
        <v>46302</v>
      </c>
      <c r="C38" s="65" t="str">
        <v>Wednesday</v>
      </c>
      <c r="D38" s="66" t="s">
        <v>45</v>
      </c>
      <c r="E38" s="32">
        <f t="shared" si="64"/>
      </c>
      <c r="F38" s="48" t="s">
        <v>44</v>
      </c>
      <c r="G38" s="67"/>
      <c r="H38" s="32" t="s">
        <v>30</v>
      </c>
      <c r="I38" s="32" t="s">
        <v>28</v>
      </c>
      <c r="J38" s="68"/>
      <c r="K38" s="22"/>
      <c r="L38" s="22"/>
      <c r="M38" s="22"/>
      <c r="N38" s="22"/>
      <c r="O38" s="22"/>
      <c r="P38" s="22"/>
      <c r="Q38" s="69"/>
      <c r="R38" s="69"/>
      <c r="S38" s="69"/>
    </row>
    <row r="39">
      <c r="A39" s="63" t="s">
        <v>42</v>
      </c>
      <c r="B39" s="64">
        <v>46303</v>
      </c>
      <c r="C39" s="65" t="str">
        <v>Thursday</v>
      </c>
      <c r="D39" s="66" t="s">
        <v>45</v>
      </c>
      <c r="E39" s="32">
        <f t="shared" si="64"/>
      </c>
      <c r="F39" s="48" t="s">
        <v>46</v>
      </c>
      <c r="G39" s="67"/>
      <c r="H39" s="32" t="s">
        <v>30</v>
      </c>
      <c r="I39" s="32" t="s">
        <v>28</v>
      </c>
      <c r="J39" s="68"/>
      <c r="K39" s="22"/>
      <c r="L39" s="22"/>
      <c r="M39" s="22"/>
      <c r="N39" s="22"/>
      <c r="O39" s="22"/>
      <c r="P39" s="22"/>
      <c r="Q39" s="69"/>
      <c r="R39" s="69"/>
      <c r="S39" s="69"/>
    </row>
    <row r="40">
      <c r="A40" s="63" t="s">
        <v>42</v>
      </c>
      <c r="B40" s="64">
        <v>46304</v>
      </c>
      <c r="C40" s="65" t="str">
        <v>Friday</v>
      </c>
      <c r="D40" s="66" t="s">
        <v>45</v>
      </c>
      <c r="E40" s="32">
        <f t="shared" si="64"/>
      </c>
      <c r="F40" s="48" t="s">
        <v>46</v>
      </c>
      <c r="G40" s="67"/>
      <c r="H40" s="32" t="s">
        <v>30</v>
      </c>
      <c r="I40" s="32" t="s">
        <v>28</v>
      </c>
      <c r="J40" s="68"/>
      <c r="K40" s="22"/>
      <c r="L40" s="22"/>
      <c r="M40" s="22"/>
      <c r="N40" s="22"/>
      <c r="O40" s="22"/>
      <c r="P40" s="22"/>
      <c r="Q40" s="69"/>
      <c r="R40" s="69"/>
      <c r="S40" s="69"/>
    </row>
    <row customHeight="true" ht="18.452380952380953" r="41">
      <c r="A41" s="63" t="s">
        <v>42</v>
      </c>
      <c r="B41" s="64">
        <v>46304</v>
      </c>
      <c r="C41" s="65" t="str">
        <v>Friday</v>
      </c>
      <c r="D41" s="66" t="s">
        <v>39</v>
      </c>
      <c r="E41" s="32">
        <f t="shared" si="64"/>
      </c>
      <c r="F41" s="48" t="s">
        <v>44</v>
      </c>
      <c r="G41" s="67"/>
      <c r="H41" s="32" t="s">
        <v>30</v>
      </c>
      <c r="I41" s="32" t="s">
        <v>28</v>
      </c>
      <c r="J41" s="68"/>
      <c r="K41" s="22"/>
      <c r="L41" s="22"/>
      <c r="M41" s="22"/>
      <c r="N41" s="22"/>
      <c r="O41" s="22"/>
      <c r="P41" s="22"/>
      <c r="Q41" s="69"/>
      <c r="R41" s="69"/>
      <c r="S41" s="69"/>
    </row>
    <row r="42">
      <c r="A42" s="63" t="s">
        <v>42</v>
      </c>
      <c r="B42" s="64">
        <v>46305</v>
      </c>
      <c r="C42" s="65" t="str">
        <v>Saturday</v>
      </c>
      <c r="D42" s="66" t="s">
        <v>45</v>
      </c>
      <c r="E42" s="32">
        <f t="shared" si="64"/>
      </c>
      <c r="F42" s="48" t="s">
        <v>44</v>
      </c>
      <c r="G42" s="67"/>
      <c r="H42" s="32" t="s">
        <v>30</v>
      </c>
      <c r="I42" s="32" t="s">
        <v>28</v>
      </c>
      <c r="J42" s="68"/>
      <c r="K42" s="22"/>
      <c r="L42" s="22"/>
      <c r="M42" s="22"/>
      <c r="N42" s="22"/>
      <c r="O42" s="22"/>
      <c r="P42" s="22"/>
      <c r="Q42" s="69"/>
      <c r="R42" s="69"/>
      <c r="S42" s="69"/>
    </row>
    <row customHeight="true" ht="18.452380952380953" r="43">
      <c r="A43" s="63" t="s">
        <v>42</v>
      </c>
      <c r="B43" s="64">
        <v>46305</v>
      </c>
      <c r="C43" s="65" t="str">
        <v>Saturday</v>
      </c>
      <c r="D43" s="66" t="s">
        <v>39</v>
      </c>
      <c r="E43" s="32">
        <f t="shared" si="64"/>
      </c>
      <c r="F43" s="48"/>
      <c r="G43" s="67"/>
      <c r="H43" s="32" t="s">
        <v>30</v>
      </c>
      <c r="I43" s="32" t="s">
        <v>28</v>
      </c>
      <c r="J43" s="68"/>
      <c r="K43" s="22"/>
      <c r="L43" s="22"/>
      <c r="M43" s="22"/>
      <c r="N43" s="22"/>
      <c r="O43" s="22"/>
      <c r="P43" s="22"/>
      <c r="Q43" s="69"/>
      <c r="R43" s="69"/>
      <c r="S43" s="69"/>
    </row>
    <row r="44">
      <c r="A44" s="63" t="s">
        <v>42</v>
      </c>
      <c r="B44" s="64">
        <v>46306</v>
      </c>
      <c r="C44" s="65" t="str">
        <v>Sunday</v>
      </c>
      <c r="D44" s="66" t="s">
        <v>43</v>
      </c>
      <c r="E44" s="32">
        <f t="shared" si="64"/>
      </c>
      <c r="F44" s="48" t="s">
        <v>44</v>
      </c>
      <c r="G44" s="67"/>
      <c r="H44" s="32" t="s">
        <v>30</v>
      </c>
      <c r="I44" s="32" t="s">
        <v>28</v>
      </c>
      <c r="J44" s="68"/>
      <c r="K44" s="22"/>
      <c r="L44" s="22"/>
      <c r="M44" s="22"/>
      <c r="N44" s="22"/>
      <c r="O44" s="22"/>
      <c r="P44" s="22"/>
      <c r="Q44" s="69"/>
      <c r="R44" s="69"/>
      <c r="S44" s="69"/>
    </row>
    <row customHeight="true" ht="18.452380952380953" r="45"/>
    <row customHeight="true" ht="16.071428571428573" r="46"/>
    <row r="47">
      <c r="A47" s="70" t="s">
        <v>47</v>
      </c>
      <c r="B47" s="71" t="s">
        <v>48</v>
      </c>
      <c r="C47" s="70"/>
      <c r="D47" s="70"/>
      <c r="E47" s="70"/>
      <c r="F47" s="70"/>
      <c r="G47" s="70"/>
      <c r="H47" s="70" t="s">
        <v>48</v>
      </c>
      <c r="I47" s="70"/>
      <c r="J47" s="72"/>
      <c r="K47" s="57"/>
      <c r="L47" s="57"/>
      <c r="M47" s="57"/>
      <c r="N47" s="57"/>
      <c r="O47" s="57"/>
      <c r="P47" s="57"/>
    </row>
    <row r="48">
      <c r="A48" s="73" t="s">
        <v>16</v>
      </c>
      <c r="B48" s="74" t="s">
        <v>17</v>
      </c>
      <c r="C48" s="74"/>
      <c r="D48" s="75" t="s">
        <v>18</v>
      </c>
      <c r="E48" s="76" t="s">
        <v>19</v>
      </c>
      <c r="F48" s="76" t="s">
        <v>20</v>
      </c>
      <c r="G48" s="77" t="s">
        <v>33</v>
      </c>
      <c r="H48" s="78" t="s">
        <v>22</v>
      </c>
      <c r="I48" s="78" t="s">
        <v>23</v>
      </c>
      <c r="J48" s="79" t="s">
        <v>24</v>
      </c>
      <c r="K48" s="42"/>
      <c r="L48" s="42"/>
      <c r="M48" s="42"/>
      <c r="N48" s="42"/>
      <c r="O48" s="42"/>
      <c r="P48" s="42"/>
    </row>
    <row customHeight="true" ht="18.452380952380953" r="49">
      <c r="A49" s="80" t="s">
        <v>49</v>
      </c>
      <c r="B49" s="26">
        <v>46301</v>
      </c>
      <c r="C49" s="80" t="s">
        <v>50</v>
      </c>
      <c r="D49" s="80" t="s">
        <v>51</v>
      </c>
      <c r="E49" s="80">
        <v>4</v>
      </c>
      <c r="F49" s="80" t="s">
        <v>52</v>
      </c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  <row customHeight="true" ht="18.452380952380953" r="50">
      <c r="A50" s="80" t="s">
        <v>47</v>
      </c>
      <c r="B50" s="26">
        <v>46301</v>
      </c>
      <c r="C50" s="80" t="s">
        <v>50</v>
      </c>
      <c r="D50" s="80" t="s">
        <v>53</v>
      </c>
      <c r="E50" s="80">
        <v>2</v>
      </c>
      <c r="F50" s="80" t="s">
        <v>52</v>
      </c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</row>
    <row customHeight="true" ht="18.452380952380953" r="51">
      <c r="A51" s="80" t="s">
        <v>47</v>
      </c>
      <c r="B51" s="26">
        <v>46302</v>
      </c>
      <c r="C51" s="80" t="s">
        <v>11</v>
      </c>
      <c r="D51" s="80" t="s">
        <v>54</v>
      </c>
      <c r="E51" s="80">
        <v>2</v>
      </c>
      <c r="F51" s="80" t="s">
        <v>52</v>
      </c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customHeight="true" ht="18.452380952380953" r="52">
      <c r="A52" s="80" t="s">
        <v>47</v>
      </c>
      <c r="B52" s="26">
        <v>46306</v>
      </c>
      <c r="C52" s="80" t="s">
        <v>55</v>
      </c>
      <c r="D52" s="80" t="s">
        <v>56</v>
      </c>
      <c r="E52" s="80">
        <v>2</v>
      </c>
      <c r="F52" s="80" t="s">
        <v>52</v>
      </c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</row>
    <row customHeight="true" ht="18.452380952380953" r="53">
      <c r="A53" s="43"/>
      <c r="B53" s="26"/>
      <c r="C53" s="43"/>
      <c r="D53" s="81"/>
      <c r="E53" s="20"/>
      <c r="F53" s="20"/>
      <c r="G53" s="80"/>
      <c r="H53" s="20"/>
      <c r="I53" s="82"/>
      <c r="J53" s="83"/>
      <c r="K53" s="22"/>
      <c r="L53" s="22"/>
      <c r="M53" s="22"/>
      <c r="N53" s="22"/>
      <c r="O53" s="22"/>
      <c r="P53" s="22"/>
    </row>
    <row r="54">
      <c r="A54" s="84" t="s">
        <v>57</v>
      </c>
      <c r="B54" s="85" t="s">
        <v>58</v>
      </c>
      <c r="C54" s="86"/>
      <c r="D54" s="86"/>
      <c r="E54" s="86"/>
      <c r="F54" s="86"/>
      <c r="G54" s="86"/>
      <c r="H54" s="86"/>
      <c r="I54" s="86"/>
      <c r="J54" s="87"/>
      <c r="K54" s="88"/>
      <c r="L54" s="88"/>
      <c r="M54" s="88"/>
      <c r="N54" s="88"/>
      <c r="O54" s="88"/>
      <c r="P54" s="88"/>
    </row>
    <row r="55">
      <c r="A55" s="89" t="s">
        <v>16</v>
      </c>
      <c r="B55" s="90" t="s">
        <v>17</v>
      </c>
      <c r="C55" s="90"/>
      <c r="D55" s="91" t="s">
        <v>18</v>
      </c>
      <c r="E55" s="91" t="s">
        <v>19</v>
      </c>
      <c r="F55" s="91" t="s">
        <v>20</v>
      </c>
      <c r="G55" s="92" t="s">
        <v>33</v>
      </c>
      <c r="H55" s="91" t="s">
        <v>22</v>
      </c>
      <c r="I55" s="91" t="s">
        <v>23</v>
      </c>
      <c r="J55" s="93" t="s">
        <v>24</v>
      </c>
      <c r="K55" s="42"/>
      <c r="L55" s="42"/>
      <c r="M55" s="42"/>
      <c r="N55" s="42"/>
      <c r="O55" s="42"/>
      <c r="P55" s="42"/>
    </row>
    <row customHeight="true" ht="18.452380952380953" r="56">
      <c r="A56" s="94" t="s">
        <v>59</v>
      </c>
      <c r="B56" s="26">
        <v>46301</v>
      </c>
      <c r="C56" s="26" t="s">
        <v>50</v>
      </c>
      <c r="D56" s="26" t="s">
        <v>60</v>
      </c>
      <c r="E56" s="95">
        <v>3</v>
      </c>
      <c r="F56" s="95" t="s">
        <v>61</v>
      </c>
      <c r="G56" s="96"/>
      <c r="H56" s="20" t="s">
        <v>30</v>
      </c>
      <c r="I56" s="48" t="s">
        <v>28</v>
      </c>
      <c r="J56" s="97"/>
      <c r="K56" s="98"/>
      <c r="L56" s="98"/>
      <c r="M56" s="98"/>
      <c r="N56" s="98"/>
      <c r="O56" s="98"/>
      <c r="P56" s="98"/>
    </row>
    <row customHeight="true" ht="18.452380952380953" r="57">
      <c r="A57" s="94" t="s">
        <v>59</v>
      </c>
      <c r="B57" s="26">
        <v>46301</v>
      </c>
      <c r="C57" s="99" t="s">
        <v>11</v>
      </c>
      <c r="D57" s="26" t="s">
        <v>62</v>
      </c>
      <c r="E57" s="100">
        <v>4</v>
      </c>
      <c r="F57" s="95" t="s">
        <v>61</v>
      </c>
      <c r="G57" s="96"/>
      <c r="H57" s="20" t="s">
        <v>30</v>
      </c>
      <c r="I57" s="48" t="s">
        <v>28</v>
      </c>
      <c r="J57" s="97"/>
      <c r="K57" s="98"/>
      <c r="L57" s="98"/>
      <c r="M57" s="98"/>
      <c r="N57" s="98"/>
      <c r="O57" s="98"/>
      <c r="P57" s="98"/>
    </row>
    <row customHeight="true" ht="18.452380952380953" r="58">
      <c r="A58" s="94" t="s">
        <v>59</v>
      </c>
      <c r="B58" s="26">
        <v>46302</v>
      </c>
      <c r="C58" s="26" t="s">
        <v>50</v>
      </c>
      <c r="D58" s="26" t="s">
        <v>63</v>
      </c>
      <c r="E58" s="95">
        <v>3</v>
      </c>
      <c r="F58" s="101" t="s">
        <v>64</v>
      </c>
      <c r="G58" s="102"/>
      <c r="H58" s="20" t="s">
        <v>30</v>
      </c>
      <c r="I58" s="48" t="s">
        <v>28</v>
      </c>
      <c r="J58" s="97"/>
      <c r="K58" s="103"/>
      <c r="L58" s="103"/>
      <c r="M58" s="103"/>
      <c r="N58" s="103"/>
      <c r="O58" s="103"/>
      <c r="P58" s="103"/>
      <c r="Q58" s="53"/>
      <c r="R58" s="53"/>
    </row>
    <row customHeight="true" ht="18.452380952380953" r="59">
      <c r="A59" s="104"/>
      <c r="B59" s="26"/>
      <c r="C59" s="26"/>
      <c r="D59" s="26"/>
      <c r="E59" s="95"/>
      <c r="F59" s="101"/>
      <c r="G59" s="105"/>
      <c r="H59" s="20"/>
      <c r="I59" s="48"/>
      <c r="J59" s="106"/>
      <c r="K59" s="98"/>
      <c r="L59" s="98"/>
      <c r="M59" s="98"/>
      <c r="N59" s="98"/>
      <c r="O59" s="98"/>
      <c r="P59" s="98"/>
    </row>
    <row customHeight="true" ht="18.452380952380953" r="60">
      <c r="A60" s="104" t="s">
        <v>57</v>
      </c>
      <c r="B60" s="26">
        <v>46300</v>
      </c>
      <c r="C60" s="99" t="s">
        <v>3</v>
      </c>
      <c r="D60" s="95" t="s">
        <v>65</v>
      </c>
      <c r="E60" s="95">
        <v>4</v>
      </c>
      <c r="F60" s="95" t="s">
        <v>66</v>
      </c>
      <c r="G60" s="107"/>
      <c r="H60" s="20" t="s">
        <v>30</v>
      </c>
      <c r="I60" s="48" t="s">
        <v>8</v>
      </c>
      <c r="J60" s="108"/>
      <c r="K60" s="109"/>
      <c r="L60" s="109"/>
      <c r="M60" s="109"/>
      <c r="N60" s="109"/>
      <c r="O60" s="109"/>
      <c r="P60" s="109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customHeight="true" ht="18.452380952380953" r="61">
      <c r="A61" s="104" t="s">
        <v>57</v>
      </c>
      <c r="B61" s="26">
        <v>46300</v>
      </c>
      <c r="C61" s="99" t="s">
        <v>3</v>
      </c>
      <c r="D61" s="95" t="s">
        <v>60</v>
      </c>
      <c r="E61" s="95">
        <v>3</v>
      </c>
      <c r="F61" s="95" t="s">
        <v>67</v>
      </c>
      <c r="G61" s="105"/>
      <c r="H61" s="20" t="s">
        <v>30</v>
      </c>
      <c r="I61" s="48" t="s">
        <v>8</v>
      </c>
      <c r="J61" s="106"/>
      <c r="K61" s="98"/>
      <c r="L61" s="98"/>
      <c r="M61" s="98"/>
      <c r="N61" s="98"/>
      <c r="O61" s="98"/>
      <c r="P61" s="98"/>
    </row>
    <row r="62">
      <c r="A62" s="104" t="s">
        <v>57</v>
      </c>
      <c r="B62" s="26">
        <v>46301</v>
      </c>
      <c r="C62" s="99" t="s">
        <v>50</v>
      </c>
      <c r="D62" s="95" t="s">
        <v>68</v>
      </c>
      <c r="E62" s="95">
        <v>3</v>
      </c>
      <c r="F62" s="95" t="s">
        <v>69</v>
      </c>
      <c r="G62" s="105"/>
      <c r="H62" s="20" t="s">
        <v>30</v>
      </c>
      <c r="I62" s="48" t="s">
        <v>8</v>
      </c>
      <c r="J62" s="106"/>
      <c r="K62" s="98"/>
      <c r="L62" s="98"/>
      <c r="M62" s="98"/>
      <c r="N62" s="98"/>
      <c r="O62" s="98"/>
      <c r="P62" s="98"/>
    </row>
    <row customHeight="true" ht="18.452380952380953" r="63">
      <c r="A63" s="94" t="s">
        <v>57</v>
      </c>
      <c r="B63" s="26">
        <v>46301</v>
      </c>
      <c r="C63" s="99" t="s">
        <v>50</v>
      </c>
      <c r="D63" s="95" t="s">
        <v>60</v>
      </c>
      <c r="E63" s="95">
        <v>3</v>
      </c>
      <c r="F63" s="95" t="s">
        <v>67</v>
      </c>
      <c r="G63" s="105"/>
      <c r="H63" s="20" t="s">
        <v>30</v>
      </c>
      <c r="I63" s="48" t="s">
        <v>8</v>
      </c>
      <c r="J63" s="97"/>
      <c r="K63" s="98"/>
      <c r="L63" s="98"/>
      <c r="M63" s="98"/>
      <c r="N63" s="98"/>
      <c r="O63" s="98"/>
      <c r="P63" s="98"/>
    </row>
    <row customHeight="true" ht="18.452380952380953" r="64">
      <c r="A64" s="94" t="s">
        <v>57</v>
      </c>
      <c r="B64" s="26">
        <v>46302</v>
      </c>
      <c r="C64" s="99" t="s">
        <v>11</v>
      </c>
      <c r="D64" s="95" t="s">
        <v>70</v>
      </c>
      <c r="E64" s="95">
        <v>3</v>
      </c>
      <c r="F64" s="95" t="s">
        <v>66</v>
      </c>
      <c r="G64" s="80"/>
      <c r="H64" s="20" t="s">
        <v>30</v>
      </c>
      <c r="I64" s="48" t="s">
        <v>28</v>
      </c>
      <c r="J64" s="111"/>
      <c r="K64" s="112"/>
      <c r="L64" s="112"/>
      <c r="M64" s="112"/>
      <c r="N64" s="112"/>
      <c r="O64" s="112"/>
      <c r="P64" s="112"/>
      <c r="Q64" s="113"/>
      <c r="R64" s="113"/>
      <c r="S64" s="110"/>
      <c r="T64" s="110"/>
      <c r="U64" s="110"/>
      <c r="V64" s="110"/>
      <c r="W64" s="110"/>
      <c r="X64" s="110"/>
      <c r="Y64" s="110"/>
      <c r="Z64" s="110"/>
      <c r="AA64" s="110"/>
    </row>
    <row customHeight="true" ht="18.452380952380953" r="65">
      <c r="A65" s="94" t="s">
        <v>57</v>
      </c>
      <c r="B65" s="26">
        <v>46302</v>
      </c>
      <c r="C65" s="99" t="s">
        <v>11</v>
      </c>
      <c r="D65" s="100" t="s">
        <v>60</v>
      </c>
      <c r="E65" s="95">
        <v>2</v>
      </c>
      <c r="F65" s="95" t="s">
        <v>67</v>
      </c>
      <c r="G65" s="102"/>
      <c r="H65" s="20" t="s">
        <v>30</v>
      </c>
      <c r="I65" s="48" t="s">
        <v>28</v>
      </c>
      <c r="J65" s="97"/>
      <c r="K65" s="103"/>
      <c r="L65" s="103"/>
      <c r="M65" s="103"/>
      <c r="N65" s="103"/>
      <c r="O65" s="103"/>
      <c r="P65" s="103"/>
      <c r="Q65" s="53"/>
      <c r="R65" s="53"/>
    </row>
    <row customHeight="true" ht="18.452380952380953" r="66">
      <c r="A66" s="104" t="s">
        <v>57</v>
      </c>
      <c r="B66" s="26">
        <v>46303</v>
      </c>
      <c r="C66" s="99" t="s">
        <v>13</v>
      </c>
      <c r="D66" s="95" t="s">
        <v>70</v>
      </c>
      <c r="E66" s="95">
        <v>3</v>
      </c>
      <c r="F66" s="95" t="s">
        <v>69</v>
      </c>
      <c r="G66" s="105"/>
      <c r="H66" s="20" t="s">
        <v>30</v>
      </c>
      <c r="I66" s="48" t="s">
        <v>8</v>
      </c>
      <c r="J66" s="106"/>
      <c r="K66" s="98"/>
      <c r="L66" s="98"/>
      <c r="M66" s="98"/>
      <c r="N66" s="98"/>
      <c r="O66" s="98"/>
      <c r="P66" s="98"/>
    </row>
    <row customHeight="true" ht="18.452380952380953" r="67">
      <c r="A67" s="94" t="s">
        <v>57</v>
      </c>
      <c r="B67" s="26">
        <v>46303</v>
      </c>
      <c r="C67" s="99" t="s">
        <v>13</v>
      </c>
      <c r="D67" s="95" t="s">
        <v>71</v>
      </c>
      <c r="E67" s="95">
        <v>2</v>
      </c>
      <c r="F67" s="95" t="s">
        <v>67</v>
      </c>
      <c r="G67" s="105"/>
      <c r="H67" s="20" t="s">
        <v>30</v>
      </c>
      <c r="I67" s="48" t="s">
        <v>8</v>
      </c>
      <c r="J67" s="97"/>
      <c r="K67" s="98"/>
      <c r="L67" s="98"/>
      <c r="M67" s="98"/>
      <c r="N67" s="98"/>
      <c r="O67" s="98"/>
      <c r="P67" s="98"/>
    </row>
    <row customHeight="true" ht="18.452380952380953" r="68">
      <c r="A68" s="94" t="s">
        <v>57</v>
      </c>
      <c r="B68" s="26">
        <v>46303</v>
      </c>
      <c r="C68" s="99" t="s">
        <v>13</v>
      </c>
      <c r="D68" s="95" t="s">
        <v>72</v>
      </c>
      <c r="E68" s="95">
        <v>2</v>
      </c>
      <c r="F68" s="95" t="s">
        <v>69</v>
      </c>
      <c r="G68" s="102"/>
      <c r="H68" s="20"/>
      <c r="I68" s="48"/>
      <c r="J68" s="97"/>
      <c r="K68" s="103"/>
      <c r="L68" s="103"/>
      <c r="M68" s="103"/>
      <c r="N68" s="103"/>
      <c r="O68" s="103"/>
      <c r="P68" s="103"/>
      <c r="Q68" s="53"/>
      <c r="R68" s="53"/>
    </row>
    <row customHeight="true" ht="18.452380952380953" r="69">
      <c r="A69" s="94" t="s">
        <v>57</v>
      </c>
      <c r="B69" s="26">
        <v>46304</v>
      </c>
      <c r="C69" s="99" t="s">
        <v>15</v>
      </c>
      <c r="D69" s="95" t="s">
        <v>73</v>
      </c>
      <c r="E69" s="95">
        <v>4</v>
      </c>
      <c r="F69" s="95" t="s">
        <v>69</v>
      </c>
      <c r="G69" s="102"/>
      <c r="H69" s="20"/>
      <c r="I69" s="48"/>
      <c r="J69" s="97"/>
      <c r="K69" s="103"/>
      <c r="L69" s="103"/>
      <c r="M69" s="103"/>
      <c r="N69" s="103"/>
      <c r="O69" s="103"/>
      <c r="P69" s="103"/>
      <c r="Q69" s="53"/>
      <c r="R69" s="53"/>
    </row>
    <row customHeight="true" ht="18.452380952380953" r="70">
      <c r="A70" s="94" t="s">
        <v>57</v>
      </c>
      <c r="B70" s="26">
        <v>46304</v>
      </c>
      <c r="C70" s="99" t="s">
        <v>15</v>
      </c>
      <c r="D70" s="95" t="s">
        <v>74</v>
      </c>
      <c r="E70" s="95">
        <v>3</v>
      </c>
      <c r="F70" s="95" t="s">
        <v>67</v>
      </c>
      <c r="G70" s="102"/>
      <c r="H70" s="20"/>
      <c r="I70" s="48"/>
      <c r="J70" s="97"/>
      <c r="K70" s="103"/>
      <c r="L70" s="103"/>
      <c r="M70" s="103"/>
      <c r="N70" s="103"/>
      <c r="O70" s="103"/>
      <c r="P70" s="103"/>
      <c r="Q70" s="53"/>
      <c r="R70" s="53"/>
    </row>
    <row customHeight="true" ht="18.452380952380953" r="71">
      <c r="A71" s="94" t="s">
        <v>57</v>
      </c>
      <c r="B71" s="26">
        <v>46305</v>
      </c>
      <c r="C71" s="99" t="s">
        <v>75</v>
      </c>
      <c r="D71" s="95" t="s">
        <v>76</v>
      </c>
      <c r="E71" s="95">
        <v>4</v>
      </c>
      <c r="F71" s="95" t="s">
        <v>67</v>
      </c>
      <c r="G71" s="102"/>
      <c r="H71" s="20"/>
      <c r="I71" s="48"/>
      <c r="J71" s="97"/>
      <c r="K71" s="103"/>
      <c r="L71" s="103"/>
      <c r="M71" s="103"/>
      <c r="N71" s="103"/>
      <c r="O71" s="103"/>
      <c r="P71" s="103"/>
      <c r="Q71" s="53"/>
      <c r="R71" s="53"/>
    </row>
    <row customHeight="true" ht="18.452380952380953" r="72">
      <c r="A72" s="94" t="s">
        <v>57</v>
      </c>
      <c r="B72" s="26">
        <v>46306</v>
      </c>
      <c r="C72" s="99" t="s">
        <v>55</v>
      </c>
      <c r="D72" s="95" t="s">
        <v>77</v>
      </c>
      <c r="E72" s="95">
        <v>4</v>
      </c>
      <c r="F72" s="95" t="s">
        <v>67</v>
      </c>
      <c r="G72" s="102"/>
      <c r="H72" s="20"/>
      <c r="I72" s="48"/>
      <c r="J72" s="97"/>
      <c r="K72" s="103"/>
      <c r="L72" s="103"/>
      <c r="M72" s="103"/>
      <c r="N72" s="103"/>
      <c r="O72" s="103"/>
      <c r="P72" s="103"/>
      <c r="Q72" s="53"/>
      <c r="R72" s="53"/>
    </row>
    <row customHeight="true" ht="18.452380952380953" r="73">
      <c r="A73" s="94"/>
      <c r="B73" s="26"/>
      <c r="C73" s="43"/>
      <c r="D73" s="50"/>
      <c r="E73" s="25"/>
      <c r="F73" s="20"/>
      <c r="G73" s="102"/>
      <c r="H73" s="20"/>
      <c r="I73" s="48"/>
      <c r="J73" s="97"/>
      <c r="K73" s="103"/>
      <c r="L73" s="103"/>
      <c r="M73" s="103"/>
      <c r="N73" s="103"/>
      <c r="O73" s="103"/>
      <c r="P73" s="103"/>
      <c r="Q73" s="53"/>
      <c r="R73" s="53"/>
    </row>
    <row customHeight="true" ht="18.452380952380953" r="74">
      <c r="A74" s="94"/>
      <c r="B74" s="26"/>
      <c r="C74" s="43"/>
      <c r="D74" s="50"/>
      <c r="E74" s="25"/>
      <c r="F74" s="20"/>
      <c r="G74" s="102"/>
      <c r="H74" s="20"/>
      <c r="I74" s="48"/>
      <c r="J74" s="97"/>
      <c r="K74" s="103"/>
      <c r="L74" s="103"/>
      <c r="M74" s="103"/>
      <c r="N74" s="103"/>
      <c r="O74" s="103"/>
      <c r="P74" s="103"/>
      <c r="Q74" s="53"/>
      <c r="R74" s="53"/>
    </row>
    <row customHeight="true" ht="18.452380952380953" r="75">
      <c r="A75" s="114" t="s">
        <v>78</v>
      </c>
      <c r="B75" s="115">
        <v>46300</v>
      </c>
      <c r="C75" s="115" t="s">
        <v>3</v>
      </c>
      <c r="D75" s="116" t="s">
        <v>79</v>
      </c>
      <c r="E75" s="117">
        <v>4</v>
      </c>
      <c r="F75" s="117" t="s">
        <v>80</v>
      </c>
      <c r="G75" s="118"/>
      <c r="H75" s="119"/>
      <c r="I75" s="119"/>
      <c r="J75" s="120"/>
      <c r="K75" s="109"/>
      <c r="L75" s="109"/>
      <c r="M75" s="109"/>
      <c r="N75" s="109"/>
      <c r="O75" s="109"/>
      <c r="P75" s="109"/>
      <c r="Q75" s="109"/>
      <c r="R75" s="109"/>
      <c r="S75" s="121"/>
      <c r="T75" s="121"/>
      <c r="U75" s="121"/>
      <c r="V75" s="121"/>
      <c r="W75" s="121"/>
      <c r="X75" s="121"/>
      <c r="Y75" s="121"/>
      <c r="Z75" s="121"/>
      <c r="AA75" s="121"/>
    </row>
    <row customHeight="true" ht="18.452380952380953" r="76">
      <c r="A76" s="114" t="s">
        <v>78</v>
      </c>
      <c r="B76" s="115">
        <v>46300</v>
      </c>
      <c r="C76" s="115" t="s">
        <v>3</v>
      </c>
      <c r="D76" s="117" t="s">
        <v>81</v>
      </c>
      <c r="E76" s="117">
        <v>3.5</v>
      </c>
      <c r="F76" s="117" t="s">
        <v>82</v>
      </c>
      <c r="G76" s="118"/>
      <c r="H76" s="119" t="s">
        <v>30</v>
      </c>
      <c r="I76" s="119" t="s">
        <v>28</v>
      </c>
      <c r="J76" s="120"/>
      <c r="K76" s="109"/>
      <c r="L76" s="109"/>
      <c r="M76" s="109"/>
      <c r="N76" s="109"/>
      <c r="O76" s="109"/>
      <c r="P76" s="109"/>
      <c r="Q76" s="109"/>
      <c r="R76" s="109"/>
      <c r="S76" s="121"/>
      <c r="T76" s="121"/>
      <c r="U76" s="121"/>
      <c r="V76" s="121"/>
      <c r="W76" s="121"/>
      <c r="X76" s="121"/>
      <c r="Y76" s="121"/>
      <c r="Z76" s="121"/>
      <c r="AA76" s="121"/>
    </row>
    <row customHeight="true" ht="18.452380952380953" r="77">
      <c r="A77" s="114" t="s">
        <v>78</v>
      </c>
      <c r="B77" s="115">
        <v>46301</v>
      </c>
      <c r="C77" s="115" t="s">
        <v>50</v>
      </c>
      <c r="D77" s="117" t="s">
        <v>83</v>
      </c>
      <c r="E77" s="117">
        <v>3.5</v>
      </c>
      <c r="F77" s="117" t="s">
        <v>82</v>
      </c>
      <c r="G77" s="122"/>
      <c r="H77" s="119" t="s">
        <v>30</v>
      </c>
      <c r="I77" s="119" t="s">
        <v>28</v>
      </c>
      <c r="J77" s="120"/>
      <c r="K77" s="109"/>
      <c r="L77" s="109"/>
      <c r="M77" s="109"/>
      <c r="N77" s="109"/>
      <c r="O77" s="109"/>
      <c r="P77" s="109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</row>
    <row customHeight="true" ht="18.452380952380953" r="78">
      <c r="A78" s="114" t="s">
        <v>78</v>
      </c>
      <c r="B78" s="115">
        <v>46301</v>
      </c>
      <c r="C78" s="115" t="s">
        <v>50</v>
      </c>
      <c r="D78" s="117" t="s">
        <v>84</v>
      </c>
      <c r="E78" s="117">
        <v>2.25</v>
      </c>
      <c r="F78" s="117" t="s">
        <v>85</v>
      </c>
      <c r="G78" s="118"/>
      <c r="H78" s="119"/>
      <c r="I78" s="119"/>
      <c r="J78" s="120"/>
      <c r="K78" s="109"/>
      <c r="L78" s="109"/>
      <c r="M78" s="109"/>
      <c r="N78" s="109"/>
      <c r="O78" s="109"/>
      <c r="P78" s="109"/>
      <c r="Q78" s="109"/>
      <c r="R78" s="109"/>
      <c r="S78" s="121"/>
      <c r="T78" s="121"/>
      <c r="U78" s="121"/>
      <c r="V78" s="121"/>
      <c r="W78" s="121"/>
      <c r="X78" s="121"/>
      <c r="Y78" s="121"/>
      <c r="Z78" s="121"/>
      <c r="AA78" s="121"/>
    </row>
    <row customHeight="true" ht="18.452380952380953" r="79">
      <c r="A79" s="114" t="s">
        <v>78</v>
      </c>
      <c r="B79" s="115">
        <v>46301</v>
      </c>
      <c r="C79" s="115" t="s">
        <v>50</v>
      </c>
      <c r="D79" s="116" t="s">
        <v>86</v>
      </c>
      <c r="E79" s="116">
        <v>3.5</v>
      </c>
      <c r="F79" s="117" t="s">
        <v>87</v>
      </c>
      <c r="G79" s="118"/>
      <c r="H79" s="119"/>
      <c r="I79" s="119"/>
      <c r="J79" s="120"/>
      <c r="K79" s="109"/>
      <c r="L79" s="109"/>
      <c r="M79" s="109"/>
      <c r="N79" s="109"/>
      <c r="O79" s="109"/>
      <c r="P79" s="109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</row>
    <row customHeight="true" ht="18.452380952380953" r="80">
      <c r="A80" s="114" t="s">
        <v>78</v>
      </c>
      <c r="B80" s="115">
        <v>46302</v>
      </c>
      <c r="C80" s="115" t="s">
        <v>11</v>
      </c>
      <c r="D80" s="116" t="s">
        <v>88</v>
      </c>
      <c r="E80" s="116">
        <v>3.5</v>
      </c>
      <c r="F80" s="117" t="s">
        <v>89</v>
      </c>
      <c r="G80" s="118"/>
      <c r="H80" s="119"/>
      <c r="I80" s="119"/>
      <c r="J80" s="120"/>
      <c r="K80" s="109"/>
      <c r="L80" s="109"/>
      <c r="M80" s="109"/>
      <c r="N80" s="109"/>
      <c r="O80" s="109"/>
      <c r="P80" s="109"/>
      <c r="Q80" s="109"/>
      <c r="R80" s="109"/>
      <c r="S80" s="121"/>
      <c r="T80" s="121"/>
      <c r="U80" s="121"/>
      <c r="V80" s="121"/>
      <c r="W80" s="121"/>
      <c r="X80" s="121"/>
      <c r="Y80" s="121"/>
      <c r="Z80" s="121"/>
      <c r="AA80" s="121"/>
    </row>
    <row customHeight="true" ht="18.452380952380953" r="81">
      <c r="A81" s="114" t="s">
        <v>78</v>
      </c>
      <c r="B81" s="115">
        <v>46302</v>
      </c>
      <c r="C81" s="115" t="s">
        <v>11</v>
      </c>
      <c r="D81" s="117" t="s">
        <v>81</v>
      </c>
      <c r="E81" s="117">
        <v>3.5</v>
      </c>
      <c r="F81" s="117" t="s">
        <v>89</v>
      </c>
      <c r="G81" s="122"/>
      <c r="H81" s="119"/>
      <c r="I81" s="119"/>
      <c r="J81" s="120"/>
      <c r="K81" s="109"/>
      <c r="L81" s="109"/>
      <c r="M81" s="109"/>
      <c r="N81" s="109"/>
      <c r="O81" s="109"/>
      <c r="P81" s="109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</row>
    <row customHeight="true" ht="18.452380952380953" r="82">
      <c r="A82" s="114" t="s">
        <v>78</v>
      </c>
      <c r="B82" s="115">
        <v>46303</v>
      </c>
      <c r="C82" s="115" t="s">
        <v>13</v>
      </c>
      <c r="D82" s="117" t="s">
        <v>88</v>
      </c>
      <c r="E82" s="117">
        <v>3.5</v>
      </c>
      <c r="F82" s="117" t="s">
        <v>80</v>
      </c>
      <c r="G82" s="118"/>
      <c r="H82" s="119"/>
      <c r="I82" s="119"/>
      <c r="J82" s="120"/>
      <c r="K82" s="109"/>
      <c r="L82" s="109"/>
      <c r="M82" s="109"/>
      <c r="N82" s="109"/>
      <c r="O82" s="109"/>
      <c r="P82" s="109"/>
      <c r="Q82" s="109"/>
      <c r="R82" s="109"/>
      <c r="S82" s="121"/>
      <c r="T82" s="121"/>
      <c r="U82" s="121"/>
      <c r="V82" s="121"/>
      <c r="W82" s="121"/>
      <c r="X82" s="121"/>
      <c r="Y82" s="121"/>
      <c r="Z82" s="121"/>
      <c r="AA82" s="121"/>
    </row>
    <row customHeight="true" ht="18.452380952380953" r="83">
      <c r="A83" s="114" t="s">
        <v>78</v>
      </c>
      <c r="B83" s="115">
        <v>46303</v>
      </c>
      <c r="C83" s="115" t="s">
        <v>13</v>
      </c>
      <c r="D83" s="116" t="s">
        <v>84</v>
      </c>
      <c r="E83" s="116">
        <v>2.25</v>
      </c>
      <c r="F83" s="117" t="s">
        <v>82</v>
      </c>
      <c r="G83" s="118"/>
      <c r="H83" s="119" t="s">
        <v>30</v>
      </c>
      <c r="I83" s="119" t="s">
        <v>28</v>
      </c>
      <c r="J83" s="120"/>
      <c r="K83" s="109"/>
      <c r="L83" s="109"/>
      <c r="M83" s="109"/>
      <c r="N83" s="109"/>
      <c r="O83" s="109"/>
      <c r="P83" s="109"/>
      <c r="Q83" s="109"/>
      <c r="R83" s="109"/>
      <c r="S83" s="121"/>
      <c r="T83" s="121"/>
      <c r="U83" s="121"/>
      <c r="V83" s="121"/>
      <c r="W83" s="121"/>
      <c r="X83" s="121"/>
      <c r="Y83" s="121"/>
      <c r="Z83" s="121"/>
      <c r="AA83" s="121"/>
    </row>
    <row customHeight="true" ht="18.452380952380953" r="84">
      <c r="A84" s="114" t="s">
        <v>78</v>
      </c>
      <c r="B84" s="115">
        <v>46303</v>
      </c>
      <c r="C84" s="115" t="s">
        <v>13</v>
      </c>
      <c r="D84" s="116" t="s">
        <v>90</v>
      </c>
      <c r="E84" s="116">
        <v>2.25</v>
      </c>
      <c r="F84" s="117" t="s">
        <v>80</v>
      </c>
      <c r="G84" s="122"/>
      <c r="H84" s="119"/>
      <c r="I84" s="119"/>
      <c r="J84" s="120"/>
      <c r="K84" s="109"/>
      <c r="L84" s="109"/>
      <c r="M84" s="109"/>
      <c r="N84" s="109"/>
      <c r="O84" s="109"/>
      <c r="P84" s="109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</row>
    <row customHeight="true" ht="18.452380952380953" r="85">
      <c r="A85" s="114" t="s">
        <v>78</v>
      </c>
      <c r="B85" s="115">
        <v>46304</v>
      </c>
      <c r="C85" s="115" t="s">
        <v>15</v>
      </c>
      <c r="D85" s="117" t="s">
        <v>91</v>
      </c>
      <c r="E85" s="117">
        <v>1</v>
      </c>
      <c r="F85" s="122" t="s">
        <v>92</v>
      </c>
      <c r="G85" s="122"/>
      <c r="H85" s="119" t="s">
        <v>30</v>
      </c>
      <c r="I85" s="119" t="s">
        <v>28</v>
      </c>
      <c r="J85" s="120"/>
      <c r="K85" s="109"/>
      <c r="L85" s="109"/>
      <c r="M85" s="109"/>
      <c r="N85" s="109"/>
      <c r="O85" s="109"/>
      <c r="P85" s="109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</row>
    <row customHeight="true" ht="18.452380952380953" r="86">
      <c r="A86" s="114" t="s">
        <v>78</v>
      </c>
      <c r="B86" s="115">
        <v>46304</v>
      </c>
      <c r="C86" s="115" t="s">
        <v>15</v>
      </c>
      <c r="D86" s="117" t="s">
        <v>93</v>
      </c>
      <c r="E86" s="117">
        <v>3.5</v>
      </c>
      <c r="F86" s="117" t="s">
        <v>85</v>
      </c>
      <c r="G86" s="122"/>
      <c r="H86" s="119"/>
      <c r="I86" s="119"/>
      <c r="J86" s="120"/>
      <c r="K86" s="109"/>
      <c r="L86" s="109"/>
      <c r="M86" s="109"/>
      <c r="N86" s="109"/>
      <c r="O86" s="109"/>
      <c r="P86" s="109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</row>
    <row customHeight="true" ht="18.452380952380953" r="87">
      <c r="A87" s="114" t="s">
        <v>78</v>
      </c>
      <c r="B87" s="115">
        <v>46304</v>
      </c>
      <c r="C87" s="115" t="s">
        <v>15</v>
      </c>
      <c r="D87" s="117" t="s">
        <v>94</v>
      </c>
      <c r="E87" s="117">
        <v>3.25</v>
      </c>
      <c r="F87" s="117" t="s">
        <v>82</v>
      </c>
      <c r="G87" s="122"/>
      <c r="H87" s="119" t="s">
        <v>30</v>
      </c>
      <c r="I87" s="119" t="s">
        <v>28</v>
      </c>
      <c r="J87" s="120"/>
      <c r="K87" s="109"/>
      <c r="L87" s="109"/>
      <c r="M87" s="109"/>
      <c r="N87" s="109"/>
      <c r="O87" s="109"/>
      <c r="P87" s="109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</row>
    <row customHeight="true" ht="18.452380952380953" r="88">
      <c r="A88" s="114" t="s">
        <v>78</v>
      </c>
      <c r="B88" s="115">
        <v>46305</v>
      </c>
      <c r="C88" s="115" t="s">
        <v>75</v>
      </c>
      <c r="D88" s="116" t="s">
        <v>95</v>
      </c>
      <c r="E88" s="116">
        <v>4.25</v>
      </c>
      <c r="F88" s="117" t="s">
        <v>85</v>
      </c>
      <c r="G88" s="118"/>
      <c r="H88" s="119"/>
      <c r="I88" s="119"/>
      <c r="J88" s="123"/>
      <c r="K88" s="22"/>
      <c r="L88" s="22"/>
      <c r="M88" s="22"/>
      <c r="N88" s="22"/>
      <c r="O88" s="22"/>
      <c r="P88" s="22"/>
      <c r="Q88" s="109"/>
      <c r="R88" s="109"/>
      <c r="S88" s="109"/>
      <c r="T88" s="121"/>
      <c r="U88" s="121"/>
      <c r="V88" s="121"/>
      <c r="W88" s="121"/>
      <c r="X88" s="121"/>
      <c r="Y88" s="121"/>
      <c r="Z88" s="121"/>
      <c r="AA88" s="121"/>
    </row>
    <row customHeight="true" ht="18.452380952380953" r="89">
      <c r="A89" s="114" t="s">
        <v>78</v>
      </c>
      <c r="B89" s="115">
        <v>46306</v>
      </c>
      <c r="C89" s="115" t="s">
        <v>55</v>
      </c>
      <c r="D89" s="117" t="s">
        <v>96</v>
      </c>
      <c r="E89" s="117">
        <v>4.5</v>
      </c>
      <c r="F89" s="122" t="s">
        <v>97</v>
      </c>
      <c r="G89" s="122"/>
      <c r="H89" s="119"/>
      <c r="I89" s="119"/>
      <c r="J89" s="120"/>
      <c r="K89" s="109"/>
      <c r="L89" s="109"/>
      <c r="M89" s="109"/>
      <c r="N89" s="109"/>
      <c r="O89" s="109"/>
      <c r="P89" s="109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</row>
    <row customHeight="true" ht="18.452380952380953" r="90">
      <c r="A90" s="94"/>
      <c r="B90" s="26"/>
      <c r="C90" s="43"/>
      <c r="D90" s="50"/>
      <c r="E90" s="25"/>
      <c r="F90" s="20"/>
      <c r="G90" s="105"/>
      <c r="H90" s="20"/>
      <c r="I90" s="48"/>
      <c r="J90" s="97"/>
      <c r="K90" s="98"/>
      <c r="L90" s="98"/>
      <c r="M90" s="98"/>
      <c r="N90" s="98"/>
      <c r="O90" s="98"/>
      <c r="P90" s="98"/>
    </row>
    <row customHeight="true" ht="18.452380952380953" r="91">
      <c r="A91" s="124" t="s">
        <v>98</v>
      </c>
      <c r="B91" s="125" t="s">
        <v>99</v>
      </c>
      <c r="C91" s="126"/>
      <c r="D91" s="126"/>
      <c r="E91" s="126"/>
      <c r="F91" s="126"/>
      <c r="G91" s="126"/>
      <c r="H91" s="126"/>
      <c r="I91" s="126"/>
      <c r="J91" s="127"/>
      <c r="K91" s="98"/>
      <c r="L91" s="98"/>
      <c r="M91" s="98"/>
      <c r="N91" s="98"/>
      <c r="O91" s="98"/>
      <c r="P91" s="98"/>
    </row>
    <row customHeight="true" ht="18.452380952380953" r="92">
      <c r="A92" s="124"/>
      <c r="B92" s="125"/>
      <c r="C92" s="126"/>
      <c r="D92" s="126"/>
      <c r="E92" s="126"/>
      <c r="F92" s="126"/>
      <c r="G92" s="126"/>
      <c r="H92" s="126"/>
      <c r="I92" s="126"/>
      <c r="J92" s="127"/>
      <c r="K92" s="98"/>
      <c r="L92" s="98"/>
      <c r="M92" s="98"/>
      <c r="N92" s="98"/>
      <c r="O92" s="98"/>
      <c r="P92" s="98"/>
    </row>
    <row customHeight="true" ht="18.452380952380953" r="93">
      <c r="A93" s="128" t="s">
        <v>16</v>
      </c>
      <c r="B93" s="129" t="s">
        <v>17</v>
      </c>
      <c r="C93" s="129"/>
      <c r="D93" s="130" t="s">
        <v>18</v>
      </c>
      <c r="E93" s="130" t="s">
        <v>19</v>
      </c>
      <c r="F93" s="130" t="s">
        <v>20</v>
      </c>
      <c r="G93" s="131" t="s">
        <v>33</v>
      </c>
      <c r="H93" s="130" t="s">
        <v>22</v>
      </c>
      <c r="I93" s="130" t="s">
        <v>23</v>
      </c>
      <c r="J93" s="132" t="s">
        <v>24</v>
      </c>
      <c r="K93" s="98"/>
      <c r="L93" s="98"/>
      <c r="M93" s="98"/>
      <c r="N93" s="98"/>
      <c r="O93" s="98"/>
      <c r="P93" s="98"/>
    </row>
    <row customHeight="true" ht="18.452380952380953" r="94">
      <c r="A94" s="128"/>
      <c r="B94" s="129"/>
      <c r="C94" s="129"/>
      <c r="D94" s="130"/>
      <c r="E94" s="130"/>
      <c r="F94" s="130"/>
      <c r="G94" s="131"/>
      <c r="H94" s="130"/>
      <c r="I94" s="130"/>
      <c r="J94" s="132"/>
      <c r="K94" s="98"/>
      <c r="L94" s="98"/>
      <c r="M94" s="98"/>
      <c r="N94" s="98"/>
      <c r="O94" s="98"/>
      <c r="P94" s="98"/>
    </row>
    <row customHeight="true" ht="18.452380952380953" r="95">
      <c r="A95" s="94"/>
      <c r="B95" s="26"/>
      <c r="C95" s="43"/>
      <c r="D95" s="50"/>
      <c r="E95" s="25"/>
      <c r="F95" s="20"/>
      <c r="G95" s="105"/>
      <c r="H95" s="20"/>
      <c r="I95" s="48"/>
      <c r="J95" s="97"/>
      <c r="K95" s="98"/>
      <c r="L95" s="98"/>
      <c r="M95" s="98"/>
      <c r="N95" s="98"/>
      <c r="O95" s="98"/>
      <c r="P95" s="98"/>
    </row>
    <row customHeight="true" ht="18.452380952380953" r="96">
      <c r="A96" s="20" t="s">
        <v>98</v>
      </c>
      <c r="B96" s="26">
        <v>46300</v>
      </c>
      <c r="C96" s="20" t="s">
        <v>3</v>
      </c>
      <c r="D96" s="20" t="s">
        <v>56</v>
      </c>
      <c r="E96" s="20">
        <v>2</v>
      </c>
      <c r="F96" s="20" t="s">
        <v>66</v>
      </c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customHeight="true" ht="18.452380952380953" r="97">
      <c r="A97" s="20" t="s">
        <v>98</v>
      </c>
      <c r="B97" s="26">
        <v>46301</v>
      </c>
      <c r="C97" s="20" t="s">
        <v>50</v>
      </c>
      <c r="D97" s="20" t="s">
        <v>100</v>
      </c>
      <c r="E97" s="20">
        <v>2</v>
      </c>
      <c r="F97" s="20" t="s">
        <v>66</v>
      </c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customHeight="true" ht="18.452380952380953" r="98">
      <c r="A98" s="20" t="s">
        <v>98</v>
      </c>
      <c r="B98" s="26">
        <v>46302</v>
      </c>
      <c r="C98" s="20" t="s">
        <v>11</v>
      </c>
      <c r="D98" s="20" t="s">
        <v>101</v>
      </c>
      <c r="E98" s="20">
        <v>2</v>
      </c>
      <c r="F98" s="20" t="s">
        <v>64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customHeight="true" ht="18.452380952380953" r="99">
      <c r="A99" s="20" t="s">
        <v>98</v>
      </c>
      <c r="B99" s="26">
        <v>46303</v>
      </c>
      <c r="C99" s="20" t="s">
        <v>13</v>
      </c>
      <c r="D99" s="20" t="s">
        <v>102</v>
      </c>
      <c r="E99" s="20">
        <v>2</v>
      </c>
      <c r="F99" s="20" t="s">
        <v>64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customHeight="true" ht="18.452380952380953" r="100">
      <c r="A100" s="20" t="s">
        <v>98</v>
      </c>
      <c r="B100" s="26">
        <v>46304</v>
      </c>
      <c r="C100" s="20" t="s">
        <v>15</v>
      </c>
      <c r="D100" s="20" t="s">
        <v>103</v>
      </c>
      <c r="E100" s="20">
        <v>2</v>
      </c>
      <c r="F100" s="20" t="s">
        <v>64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customHeight="true" ht="18.452380952380953"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customHeight="true" ht="18.452380952380953" r="102">
      <c r="A102" s="20" t="s">
        <v>104</v>
      </c>
      <c r="B102" s="26">
        <v>46300</v>
      </c>
      <c r="C102" s="20" t="s">
        <v>3</v>
      </c>
      <c r="D102" s="20" t="s">
        <v>105</v>
      </c>
      <c r="E102" s="20">
        <v>2.25</v>
      </c>
      <c r="F102" s="20" t="s">
        <v>82</v>
      </c>
      <c r="G102" s="20"/>
      <c r="H102" s="20" t="s">
        <v>30</v>
      </c>
      <c r="I102" s="20" t="s">
        <v>28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customHeight="true" ht="18.452380952380953" r="103">
      <c r="A103" s="20" t="s">
        <v>104</v>
      </c>
      <c r="B103" s="26">
        <v>46301</v>
      </c>
      <c r="C103" s="20" t="s">
        <v>50</v>
      </c>
      <c r="D103" s="20" t="s">
        <v>106</v>
      </c>
      <c r="E103" s="20">
        <v>2.5</v>
      </c>
      <c r="F103" s="20" t="s">
        <v>80</v>
      </c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customHeight="true" ht="18.452380952380953" r="104">
      <c r="A104" s="20" t="s">
        <v>104</v>
      </c>
      <c r="B104" s="26">
        <v>46302</v>
      </c>
      <c r="C104" s="20" t="s">
        <v>11</v>
      </c>
      <c r="D104" s="20" t="s">
        <v>107</v>
      </c>
      <c r="E104" s="20">
        <v>2.5</v>
      </c>
      <c r="F104" s="20" t="s">
        <v>80</v>
      </c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customHeight="true" ht="18.452380952380953" r="105">
      <c r="A105" s="20" t="s">
        <v>104</v>
      </c>
      <c r="B105" s="26">
        <v>46303</v>
      </c>
      <c r="C105" s="20" t="s">
        <v>13</v>
      </c>
      <c r="D105" s="20" t="s">
        <v>108</v>
      </c>
      <c r="E105" s="20">
        <v>2.5</v>
      </c>
      <c r="F105" s="20" t="s">
        <v>85</v>
      </c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customHeight="true" ht="18.452380952380953" r="106">
      <c r="A106" s="20" t="s">
        <v>104</v>
      </c>
      <c r="B106" s="26">
        <v>46304</v>
      </c>
      <c r="C106" s="20" t="s">
        <v>15</v>
      </c>
      <c r="D106" s="50" t="s">
        <v>109</v>
      </c>
      <c r="E106" s="20">
        <v>2.5</v>
      </c>
      <c r="F106" s="20" t="s">
        <v>80</v>
      </c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customHeight="true" ht="18.452380952380953"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customHeight="true" ht="18.452380952380953" r="108">
      <c r="A108" s="94"/>
      <c r="B108" s="26"/>
      <c r="C108" s="43"/>
      <c r="D108" s="50"/>
      <c r="E108" s="25"/>
      <c r="F108" s="20"/>
      <c r="G108" s="105"/>
      <c r="H108" s="20"/>
      <c r="I108" s="48"/>
      <c r="J108" s="97"/>
      <c r="K108" s="98"/>
      <c r="L108" s="98"/>
      <c r="M108" s="98"/>
      <c r="N108" s="98"/>
      <c r="O108" s="98"/>
      <c r="P108" s="98"/>
    </row>
    <row customHeight="true" ht="18.452380952380953" r="109">
      <c r="A109" s="94"/>
      <c r="B109" s="26"/>
      <c r="C109" s="43"/>
      <c r="D109" s="50"/>
      <c r="E109" s="25"/>
      <c r="F109" s="20"/>
      <c r="G109" s="105"/>
      <c r="H109" s="20"/>
      <c r="I109" s="48"/>
      <c r="J109" s="97"/>
      <c r="K109" s="98"/>
      <c r="L109" s="98"/>
      <c r="M109" s="98"/>
      <c r="N109" s="98"/>
      <c r="O109" s="98"/>
      <c r="P109" s="98"/>
    </row>
    <row customHeight="true" ht="18.452380952380953" r="110">
      <c r="A110" s="94"/>
      <c r="B110" s="26"/>
      <c r="C110" s="43"/>
      <c r="D110" s="50"/>
      <c r="E110" s="25"/>
      <c r="F110" s="20"/>
      <c r="G110" s="105"/>
      <c r="H110" s="20"/>
      <c r="I110" s="48"/>
      <c r="J110" s="97"/>
      <c r="K110" s="98"/>
      <c r="L110" s="98"/>
      <c r="M110" s="98"/>
      <c r="N110" s="98"/>
      <c r="O110" s="98"/>
      <c r="P110" s="98"/>
    </row>
    <row customHeight="true" ht="18.452380952380953" r="111">
      <c r="A111" s="94"/>
      <c r="B111" s="26"/>
      <c r="C111" s="43"/>
      <c r="D111" s="50"/>
      <c r="E111" s="25"/>
      <c r="F111" s="20"/>
      <c r="G111" s="105"/>
      <c r="H111" s="20"/>
      <c r="I111" s="48"/>
      <c r="J111" s="97"/>
      <c r="K111" s="98"/>
      <c r="L111" s="98"/>
      <c r="M111" s="98"/>
      <c r="N111" s="98"/>
      <c r="O111" s="98"/>
      <c r="P111" s="98"/>
    </row>
    <row customHeight="true" ht="18.452380952380953" r="112">
      <c r="A112" s="94"/>
      <c r="B112" s="26"/>
      <c r="C112" s="43"/>
      <c r="D112" s="50"/>
      <c r="E112" s="25"/>
      <c r="F112" s="20"/>
      <c r="G112" s="105"/>
      <c r="H112" s="20"/>
      <c r="I112" s="48"/>
      <c r="J112" s="97"/>
      <c r="K112" s="98"/>
      <c r="L112" s="98"/>
      <c r="M112" s="98"/>
      <c r="N112" s="98"/>
      <c r="O112" s="98"/>
      <c r="P112" s="98"/>
    </row>
    <row customHeight="true" ht="18.452380952380953" r="113">
      <c r="A113" s="94"/>
      <c r="B113" s="26"/>
      <c r="C113" s="43"/>
      <c r="D113" s="50"/>
      <c r="E113" s="25"/>
      <c r="F113" s="20"/>
      <c r="G113" s="105"/>
      <c r="H113" s="20"/>
      <c r="I113" s="48"/>
      <c r="J113" s="97"/>
      <c r="K113" s="98"/>
      <c r="L113" s="98"/>
      <c r="M113" s="98"/>
      <c r="N113" s="98"/>
      <c r="O113" s="98"/>
      <c r="P113" s="98"/>
    </row>
    <row customHeight="true" ht="18.452380952380953" r="114">
      <c r="A114" s="94"/>
      <c r="B114" s="26"/>
      <c r="C114" s="43"/>
      <c r="D114" s="50"/>
      <c r="E114" s="25"/>
      <c r="F114" s="20"/>
      <c r="G114" s="105"/>
      <c r="H114" s="20"/>
      <c r="I114" s="48"/>
      <c r="J114" s="97"/>
      <c r="K114" s="98"/>
      <c r="L114" s="98"/>
      <c r="M114" s="98"/>
      <c r="N114" s="98"/>
      <c r="O114" s="98"/>
      <c r="P114" s="98"/>
    </row>
    <row customHeight="true" ht="18.452380952380953" r="115">
      <c r="A115" s="133" t="s">
        <v>110</v>
      </c>
      <c r="B115" s="134" t="s">
        <v>111</v>
      </c>
      <c r="C115" s="135"/>
      <c r="D115" s="135"/>
      <c r="E115" s="135"/>
      <c r="F115" s="135"/>
      <c r="G115" s="135"/>
      <c r="H115" s="135"/>
      <c r="I115" s="135"/>
      <c r="J115" s="136"/>
      <c r="K115" s="137"/>
      <c r="L115" s="137"/>
      <c r="M115" s="137"/>
      <c r="N115" s="137"/>
      <c r="O115" s="137"/>
      <c r="P115" s="137"/>
      <c r="Q115" s="138"/>
      <c r="R115" s="138"/>
    </row>
    <row customHeight="true" ht="18.452380952380953" r="116">
      <c r="A116" s="133"/>
      <c r="B116" s="134"/>
      <c r="C116" s="135"/>
      <c r="D116" s="135"/>
      <c r="E116" s="135"/>
      <c r="F116" s="135"/>
      <c r="G116" s="135"/>
      <c r="H116" s="135"/>
      <c r="I116" s="135"/>
      <c r="J116" s="136"/>
      <c r="K116" s="137"/>
      <c r="L116" s="137"/>
      <c r="M116" s="137"/>
      <c r="N116" s="137"/>
      <c r="O116" s="137"/>
      <c r="P116" s="137"/>
      <c r="Q116" s="138"/>
      <c r="R116" s="138"/>
    </row>
    <row customHeight="true" ht="18.452380952380953" r="117">
      <c r="A117" s="139" t="s">
        <v>16</v>
      </c>
      <c r="B117" s="140" t="s">
        <v>17</v>
      </c>
      <c r="C117" s="140"/>
      <c r="D117" s="141" t="s">
        <v>18</v>
      </c>
      <c r="E117" s="141" t="s">
        <v>19</v>
      </c>
      <c r="F117" s="141" t="s">
        <v>20</v>
      </c>
      <c r="G117" s="142" t="s">
        <v>33</v>
      </c>
      <c r="H117" s="141" t="s">
        <v>22</v>
      </c>
      <c r="I117" s="141" t="s">
        <v>23</v>
      </c>
      <c r="J117" s="143" t="s">
        <v>24</v>
      </c>
      <c r="K117" s="137"/>
      <c r="L117" s="137"/>
      <c r="M117" s="137"/>
      <c r="N117" s="137"/>
      <c r="O117" s="137"/>
      <c r="P117" s="137"/>
      <c r="Q117" s="138"/>
      <c r="R117" s="138"/>
    </row>
    <row customHeight="true" ht="18.452380952380953" r="118">
      <c r="A118" s="139"/>
      <c r="B118" s="140"/>
      <c r="C118" s="140"/>
      <c r="D118" s="141"/>
      <c r="E118" s="141"/>
      <c r="F118" s="141"/>
      <c r="G118" s="142"/>
      <c r="H118" s="141"/>
      <c r="I118" s="141"/>
      <c r="J118" s="143"/>
      <c r="K118" s="137"/>
      <c r="L118" s="137"/>
      <c r="M118" s="137"/>
      <c r="N118" s="137"/>
      <c r="O118" s="137"/>
      <c r="P118" s="137"/>
      <c r="Q118" s="138"/>
      <c r="R118" s="138"/>
    </row>
    <row customHeight="true" ht="18.452380952380953"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</row>
    <row customHeight="true" ht="18.452380952380953" r="120">
      <c r="A120" s="144" t="s">
        <v>112</v>
      </c>
      <c r="B120" s="144">
        <v>46302</v>
      </c>
      <c r="C120" s="144" t="s">
        <v>11</v>
      </c>
      <c r="D120" s="144" t="s">
        <v>113</v>
      </c>
      <c r="E120" s="50">
        <v>3</v>
      </c>
      <c r="F120" s="144" t="s">
        <v>66</v>
      </c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</row>
    <row customHeight="true" ht="18.452380952380953" r="121">
      <c r="A121" s="144" t="s">
        <v>112</v>
      </c>
      <c r="B121" s="144">
        <v>46303</v>
      </c>
      <c r="C121" s="144" t="s">
        <v>13</v>
      </c>
      <c r="D121" s="144" t="s">
        <v>113</v>
      </c>
      <c r="E121" s="50">
        <v>3</v>
      </c>
      <c r="F121" s="144" t="s">
        <v>114</v>
      </c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</row>
    <row customHeight="true" ht="18.452380952380953" r="122">
      <c r="A122" s="144" t="s">
        <v>112</v>
      </c>
      <c r="B122" s="144">
        <v>46304</v>
      </c>
      <c r="C122" s="144" t="s">
        <v>15</v>
      </c>
      <c r="D122" s="144" t="s">
        <v>68</v>
      </c>
      <c r="E122" s="50">
        <v>3</v>
      </c>
      <c r="F122" s="144" t="s">
        <v>114</v>
      </c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</row>
    <row customHeight="true" ht="18.452380952380953"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</row>
    <row customHeight="true" ht="18.452380952380953" r="124">
      <c r="A124" s="144" t="s">
        <v>115</v>
      </c>
      <c r="B124" s="144">
        <v>46302</v>
      </c>
      <c r="C124" s="144" t="s">
        <v>11</v>
      </c>
      <c r="D124" s="144" t="s">
        <v>116</v>
      </c>
      <c r="E124" s="50">
        <v>3.5</v>
      </c>
      <c r="F124" s="144" t="s">
        <v>87</v>
      </c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</row>
    <row customHeight="true" ht="18.452380952380953" r="125">
      <c r="A125" s="144"/>
      <c r="B125" s="144"/>
      <c r="C125" s="144"/>
      <c r="D125" s="144"/>
      <c r="E125" s="144"/>
      <c r="F125" s="20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</row>
    <row customHeight="true" ht="18.452380952380953" r="126">
      <c r="A126" s="144" t="s">
        <v>115</v>
      </c>
      <c r="B126" s="144">
        <v>46303</v>
      </c>
      <c r="C126" s="144" t="s">
        <v>13</v>
      </c>
      <c r="D126" s="144" t="s">
        <v>116</v>
      </c>
      <c r="E126" s="50">
        <v>3.5</v>
      </c>
      <c r="F126" s="144" t="s">
        <v>117</v>
      </c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</row>
    <row customHeight="true" ht="18.452380952380953" r="127">
      <c r="A127" s="144" t="s">
        <v>115</v>
      </c>
      <c r="B127" s="144">
        <v>46304</v>
      </c>
      <c r="C127" s="144" t="s">
        <v>15</v>
      </c>
      <c r="D127" s="144" t="s">
        <v>118</v>
      </c>
      <c r="E127" s="50">
        <v>3.5</v>
      </c>
      <c r="F127" s="144" t="s">
        <v>87</v>
      </c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</row>
    <row customHeight="true" ht="18.452380952380953" r="128">
      <c r="A128" s="114"/>
      <c r="B128" s="144"/>
      <c r="C128" s="63"/>
      <c r="D128" s="145"/>
      <c r="E128" s="119"/>
      <c r="F128" s="119"/>
      <c r="G128" s="118"/>
      <c r="H128" s="119"/>
      <c r="I128" s="119"/>
      <c r="J128" s="123"/>
      <c r="K128" s="22"/>
      <c r="L128" s="22"/>
      <c r="M128" s="22"/>
      <c r="N128" s="22"/>
      <c r="O128" s="22"/>
      <c r="P128" s="22"/>
      <c r="Q128" s="98"/>
      <c r="R128" s="98"/>
      <c r="S128" s="98"/>
      <c r="T128" s="69"/>
      <c r="U128" s="69"/>
      <c r="V128" s="69"/>
      <c r="W128" s="69"/>
      <c r="X128" s="69"/>
      <c r="Y128" s="69"/>
      <c r="Z128" s="69"/>
      <c r="AA128" s="69"/>
    </row>
    <row customHeight="true" ht="18.452380952380953" r="129">
      <c r="A129" s="114"/>
      <c r="B129" s="144"/>
      <c r="C129" s="63"/>
      <c r="D129" s="145"/>
      <c r="E129" s="119"/>
      <c r="F129" s="119"/>
      <c r="G129" s="118"/>
      <c r="H129" s="119"/>
      <c r="I129" s="119"/>
      <c r="J129" s="123"/>
      <c r="K129" s="22"/>
      <c r="L129" s="22"/>
      <c r="M129" s="22"/>
      <c r="N129" s="22"/>
      <c r="O129" s="22"/>
      <c r="P129" s="22"/>
      <c r="Q129" s="98"/>
      <c r="R129" s="98"/>
      <c r="S129" s="98"/>
      <c r="T129" s="69"/>
      <c r="U129" s="69"/>
      <c r="V129" s="69"/>
      <c r="W129" s="69"/>
      <c r="X129" s="69"/>
      <c r="Y129" s="69"/>
      <c r="Z129" s="69"/>
      <c r="AA129" s="69"/>
    </row>
    <row customHeight="true" ht="18.452380952380953" r="130">
      <c r="A130" s="114"/>
      <c r="B130" s="144"/>
      <c r="C130" s="63"/>
      <c r="D130" s="145"/>
      <c r="E130" s="119"/>
      <c r="F130" s="119"/>
      <c r="G130" s="118"/>
      <c r="H130" s="119"/>
      <c r="I130" s="119"/>
      <c r="J130" s="123"/>
      <c r="K130" s="22"/>
      <c r="L130" s="22"/>
      <c r="M130" s="22"/>
      <c r="N130" s="22"/>
      <c r="O130" s="22"/>
      <c r="P130" s="22"/>
      <c r="Q130" s="98"/>
      <c r="R130" s="98"/>
      <c r="S130" s="98"/>
      <c r="T130" s="69"/>
      <c r="U130" s="69"/>
      <c r="V130" s="69"/>
      <c r="W130" s="69"/>
      <c r="X130" s="69"/>
      <c r="Y130" s="69"/>
      <c r="Z130" s="69"/>
      <c r="AA130" s="69"/>
    </row>
    <row customHeight="true" ht="18.452380952380953" r="131">
      <c r="A131" s="114"/>
      <c r="B131" s="144"/>
      <c r="C131" s="63"/>
      <c r="D131" s="145"/>
      <c r="E131" s="119"/>
      <c r="F131" s="119"/>
      <c r="G131" s="118"/>
      <c r="H131" s="119"/>
      <c r="I131" s="119"/>
      <c r="J131" s="123"/>
      <c r="K131" s="22"/>
      <c r="L131" s="22"/>
      <c r="M131" s="22"/>
      <c r="N131" s="22"/>
      <c r="O131" s="22"/>
      <c r="P131" s="22"/>
      <c r="Q131" s="98"/>
      <c r="R131" s="98"/>
      <c r="S131" s="98"/>
      <c r="T131" s="69"/>
      <c r="U131" s="69"/>
      <c r="V131" s="69"/>
      <c r="W131" s="69"/>
      <c r="X131" s="69"/>
      <c r="Y131" s="69"/>
      <c r="Z131" s="69"/>
      <c r="AA131" s="69"/>
    </row>
    <row customHeight="true" ht="18.452380952380953" r="132">
      <c r="A132" s="114"/>
      <c r="B132" s="144"/>
      <c r="C132" s="63"/>
      <c r="D132" s="145"/>
      <c r="E132" s="119"/>
      <c r="F132" s="119"/>
      <c r="G132" s="118"/>
      <c r="H132" s="119"/>
      <c r="I132" s="119"/>
      <c r="J132" s="123"/>
      <c r="K132" s="22"/>
      <c r="L132" s="22"/>
      <c r="M132" s="22"/>
      <c r="N132" s="22"/>
      <c r="O132" s="22"/>
      <c r="P132" s="22"/>
      <c r="Q132" s="98"/>
      <c r="R132" s="98"/>
      <c r="S132" s="98"/>
      <c r="T132" s="69"/>
      <c r="U132" s="69"/>
      <c r="V132" s="69"/>
      <c r="W132" s="69"/>
      <c r="X132" s="69"/>
      <c r="Y132" s="69"/>
      <c r="Z132" s="69"/>
      <c r="AA132" s="69"/>
    </row>
    <row customHeight="true" ht="18.452380952380953" r="133">
      <c r="A133" s="114"/>
      <c r="B133" s="144"/>
      <c r="C133" s="63"/>
      <c r="D133" s="145"/>
      <c r="E133" s="119"/>
      <c r="F133" s="119"/>
      <c r="G133" s="118"/>
      <c r="H133" s="119"/>
      <c r="I133" s="119"/>
      <c r="J133" s="123"/>
      <c r="K133" s="22"/>
      <c r="L133" s="22"/>
      <c r="M133" s="22"/>
      <c r="N133" s="22"/>
      <c r="O133" s="22"/>
      <c r="P133" s="22"/>
      <c r="Q133" s="98"/>
      <c r="R133" s="98"/>
      <c r="S133" s="98"/>
      <c r="T133" s="69"/>
      <c r="U133" s="69"/>
      <c r="V133" s="69"/>
      <c r="W133" s="69"/>
      <c r="X133" s="69"/>
      <c r="Y133" s="69"/>
      <c r="Z133" s="69"/>
      <c r="AA133" s="69"/>
    </row>
    <row customHeight="true" ht="18.452380952380953" r="134">
      <c r="A134" s="114"/>
      <c r="B134" s="144"/>
      <c r="C134" s="63"/>
      <c r="D134" s="145"/>
      <c r="E134" s="119"/>
      <c r="F134" s="119"/>
      <c r="G134" s="118"/>
      <c r="H134" s="119"/>
      <c r="I134" s="119"/>
      <c r="J134" s="123"/>
      <c r="K134" s="22"/>
      <c r="L134" s="22"/>
      <c r="M134" s="22"/>
      <c r="N134" s="22"/>
      <c r="O134" s="22"/>
      <c r="P134" s="22"/>
      <c r="Q134" s="98"/>
      <c r="R134" s="98"/>
      <c r="S134" s="98"/>
      <c r="T134" s="69"/>
      <c r="U134" s="69"/>
      <c r="V134" s="69"/>
      <c r="W134" s="69"/>
      <c r="X134" s="69"/>
      <c r="Y134" s="69"/>
      <c r="Z134" s="69"/>
      <c r="AA134" s="69"/>
    </row>
    <row customHeight="true" ht="18.452380952380953" r="135">
      <c r="A135" s="114"/>
      <c r="B135" s="144"/>
      <c r="C135" s="63"/>
      <c r="D135" s="145"/>
      <c r="E135" s="119"/>
      <c r="F135" s="119"/>
      <c r="G135" s="118"/>
      <c r="H135" s="119"/>
      <c r="I135" s="119"/>
      <c r="J135" s="123"/>
      <c r="K135" s="22"/>
      <c r="L135" s="22"/>
      <c r="M135" s="22"/>
      <c r="N135" s="22"/>
      <c r="O135" s="22"/>
      <c r="P135" s="22"/>
      <c r="Q135" s="98"/>
      <c r="R135" s="98"/>
      <c r="S135" s="98"/>
      <c r="T135" s="69"/>
      <c r="U135" s="69"/>
      <c r="V135" s="69"/>
      <c r="W135" s="69"/>
      <c r="X135" s="69"/>
      <c r="Y135" s="69"/>
      <c r="Z135" s="69"/>
      <c r="AA135" s="69"/>
    </row>
    <row customHeight="true" ht="32.142857142857146" r="136">
      <c r="A136" s="146" t="s">
        <v>119</v>
      </c>
      <c r="B136" s="147"/>
      <c r="C136" s="147"/>
      <c r="D136" s="148"/>
      <c r="E136" s="148"/>
      <c r="F136" s="148"/>
      <c r="G136" s="149"/>
      <c r="H136" s="148"/>
      <c r="I136" s="148"/>
      <c r="J136" s="150"/>
      <c r="K136" s="42"/>
      <c r="L136" s="42"/>
      <c r="M136" s="42"/>
      <c r="N136" s="42"/>
      <c r="O136" s="42"/>
      <c r="P136" s="42"/>
    </row>
    <row r="137">
      <c r="A137" s="151" t="s">
        <v>16</v>
      </c>
      <c r="B137" s="147" t="s">
        <v>17</v>
      </c>
      <c r="C137" s="147"/>
      <c r="D137" s="148" t="s">
        <v>18</v>
      </c>
      <c r="E137" s="148" t="s">
        <v>19</v>
      </c>
      <c r="F137" s="148" t="s">
        <v>20</v>
      </c>
      <c r="G137" s="149" t="s">
        <v>33</v>
      </c>
      <c r="H137" s="148" t="s">
        <v>22</v>
      </c>
      <c r="I137" s="148" t="s">
        <v>23</v>
      </c>
      <c r="J137" s="150" t="s">
        <v>24</v>
      </c>
      <c r="K137" s="42"/>
      <c r="L137" s="42"/>
      <c r="M137" s="42"/>
      <c r="N137" s="42"/>
      <c r="O137" s="42"/>
      <c r="P137" s="42"/>
    </row>
    <row customHeight="true" ht="18.452380952380953" r="138">
      <c r="A138" s="25" t="s">
        <v>120</v>
      </c>
      <c r="B138" s="26">
        <v>46300</v>
      </c>
      <c r="C138" s="25" t="s">
        <v>3</v>
      </c>
      <c r="D138" s="25" t="s">
        <v>56</v>
      </c>
      <c r="E138" s="25">
        <v>2</v>
      </c>
      <c r="F138" s="25" t="s">
        <v>121</v>
      </c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customHeight="true" ht="18.452380952380953" r="139">
      <c r="A139" s="25" t="s">
        <v>120</v>
      </c>
      <c r="B139" s="26">
        <v>46300</v>
      </c>
      <c r="C139" s="25" t="s">
        <v>3</v>
      </c>
      <c r="D139" s="25" t="s">
        <v>56</v>
      </c>
      <c r="E139" s="25">
        <v>2</v>
      </c>
      <c r="F139" s="25" t="s">
        <v>122</v>
      </c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customHeight="true" ht="18.452380952380953" r="140">
      <c r="A140" s="25" t="s">
        <v>120</v>
      </c>
      <c r="B140" s="26">
        <v>46300</v>
      </c>
      <c r="C140" s="25" t="s">
        <v>13</v>
      </c>
      <c r="D140" s="25" t="s">
        <v>123</v>
      </c>
      <c r="E140" s="25">
        <v>2</v>
      </c>
      <c r="F140" s="25" t="s">
        <v>64</v>
      </c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customHeight="true" ht="18.452380952380953" r="141">
      <c r="A141" s="25" t="s">
        <v>120</v>
      </c>
      <c r="B141" s="26">
        <v>46300</v>
      </c>
      <c r="C141" s="25" t="s">
        <v>13</v>
      </c>
      <c r="D141" s="25" t="s">
        <v>123</v>
      </c>
      <c r="E141" s="25">
        <v>2</v>
      </c>
      <c r="F141" s="25" t="s">
        <v>122</v>
      </c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customHeight="true" ht="18.452380952380953"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customHeight="true" ht="18.452380952380953" r="143">
      <c r="A143" s="25" t="s">
        <v>124</v>
      </c>
      <c r="B143" s="26">
        <v>46300</v>
      </c>
      <c r="C143" s="25" t="s">
        <v>3</v>
      </c>
      <c r="D143" s="25" t="s">
        <v>73</v>
      </c>
      <c r="E143" s="25">
        <v>4</v>
      </c>
      <c r="F143" s="25" t="s">
        <v>125</v>
      </c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customHeight="true" ht="18.452380952380953" r="144">
      <c r="A144" s="25" t="s">
        <v>124</v>
      </c>
      <c r="B144" s="26">
        <v>46300</v>
      </c>
      <c r="C144" s="25" t="s">
        <v>3</v>
      </c>
      <c r="D144" s="25" t="s">
        <v>71</v>
      </c>
      <c r="E144" s="25">
        <v>2</v>
      </c>
      <c r="F144" s="25" t="s">
        <v>69</v>
      </c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customHeight="true" ht="18.452380952380953" r="145">
      <c r="A145" s="25" t="s">
        <v>124</v>
      </c>
      <c r="B145" s="26">
        <v>46300</v>
      </c>
      <c r="C145" s="25" t="s">
        <v>3</v>
      </c>
      <c r="D145" s="25" t="s">
        <v>72</v>
      </c>
      <c r="E145" s="25">
        <v>2</v>
      </c>
      <c r="F145" s="25" t="s">
        <v>66</v>
      </c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customHeight="true" ht="18.452380952380953" r="146">
      <c r="A146" s="25" t="s">
        <v>124</v>
      </c>
      <c r="B146" s="26">
        <v>46301</v>
      </c>
      <c r="C146" s="25" t="s">
        <v>50</v>
      </c>
      <c r="D146" s="25" t="s">
        <v>68</v>
      </c>
      <c r="E146" s="25">
        <v>3</v>
      </c>
      <c r="F146" s="25" t="s">
        <v>66</v>
      </c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customHeight="true" ht="18.452380952380953" r="147">
      <c r="A147" s="43" t="s">
        <v>119</v>
      </c>
      <c r="B147" s="26">
        <v>46301</v>
      </c>
      <c r="C147" s="43" t="str">
        <v>Tuesday</v>
      </c>
      <c r="D147" s="25" t="s">
        <v>126</v>
      </c>
      <c r="E147" s="20">
        <f>24*MOD(TIMEVALUE(TRIM(MID(D147,FIND("-",D147)+1,LEN(D147)))) - TIMEVALUE(TRIM(LEFT(D147,FIND("-",D147)-1))),1)</f>
      </c>
      <c r="F147" s="20" t="s">
        <v>125</v>
      </c>
      <c r="G147" s="96"/>
      <c r="H147" s="20" t="s">
        <v>30</v>
      </c>
      <c r="I147" s="48"/>
      <c r="J147" s="46"/>
      <c r="K147" s="22"/>
      <c r="L147" s="22"/>
      <c r="M147" s="22"/>
      <c r="N147" s="22"/>
      <c r="O147" s="22"/>
      <c r="P147" s="22"/>
    </row>
    <row customHeight="true" ht="18.452380952380953" r="148">
      <c r="A148" s="25" t="s">
        <v>124</v>
      </c>
      <c r="B148" s="26">
        <v>46302</v>
      </c>
      <c r="C148" s="25" t="s">
        <v>11</v>
      </c>
      <c r="D148" s="25" t="s">
        <v>127</v>
      </c>
      <c r="E148" s="25">
        <v>4</v>
      </c>
      <c r="F148" s="25" t="s">
        <v>125</v>
      </c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customHeight="true" ht="18.452380952380953" r="149">
      <c r="A149" s="25" t="s">
        <v>124</v>
      </c>
      <c r="B149" s="26">
        <v>46302</v>
      </c>
      <c r="C149" s="25" t="s">
        <v>11</v>
      </c>
      <c r="D149" s="25" t="s">
        <v>128</v>
      </c>
      <c r="E149" s="25">
        <v>2</v>
      </c>
      <c r="F149" s="25" t="s">
        <v>35</v>
      </c>
      <c r="G149" s="25"/>
      <c r="H149" s="25"/>
      <c r="I149" s="32" t="s">
        <v>28</v>
      </c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customHeight="true" ht="18.452380952380953" r="150">
      <c r="A150" s="25" t="s">
        <v>124</v>
      </c>
      <c r="B150" s="26">
        <v>46303</v>
      </c>
      <c r="C150" s="25" t="s">
        <v>13</v>
      </c>
      <c r="D150" s="25" t="s">
        <v>129</v>
      </c>
      <c r="E150" s="25">
        <v>3</v>
      </c>
      <c r="F150" s="25" t="s">
        <v>125</v>
      </c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customHeight="true" ht="18.452380952380953" r="151">
      <c r="A151" s="25" t="s">
        <v>124</v>
      </c>
      <c r="B151" s="26">
        <v>46303</v>
      </c>
      <c r="C151" s="25" t="s">
        <v>13</v>
      </c>
      <c r="D151" s="25" t="s">
        <v>74</v>
      </c>
      <c r="E151" s="25">
        <v>3</v>
      </c>
      <c r="F151" s="25" t="s">
        <v>35</v>
      </c>
      <c r="G151" s="25"/>
      <c r="H151" s="25"/>
      <c r="I151" s="32" t="s">
        <v>28</v>
      </c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customHeight="true" ht="18.452380952380953" r="152">
      <c r="A152" s="25" t="s">
        <v>124</v>
      </c>
      <c r="B152" s="26">
        <v>46304</v>
      </c>
      <c r="C152" s="25" t="s">
        <v>15</v>
      </c>
      <c r="D152" s="25" t="s">
        <v>129</v>
      </c>
      <c r="E152" s="25">
        <v>3</v>
      </c>
      <c r="F152" s="25" t="s">
        <v>125</v>
      </c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customHeight="true" ht="18.452380952380953" r="153">
      <c r="A153" s="25" t="s">
        <v>124</v>
      </c>
      <c r="B153" s="26">
        <v>46305</v>
      </c>
      <c r="C153" s="25" t="s">
        <v>75</v>
      </c>
      <c r="D153" s="25" t="s">
        <v>127</v>
      </c>
      <c r="E153" s="25">
        <v>4</v>
      </c>
      <c r="F153" s="25" t="s">
        <v>35</v>
      </c>
      <c r="G153" s="25"/>
      <c r="H153" s="25"/>
      <c r="I153" s="32" t="s">
        <v>8</v>
      </c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customHeight="true" ht="18.452380952380953" r="154">
      <c r="A154" s="25" t="s">
        <v>124</v>
      </c>
      <c r="B154" s="26">
        <v>46306</v>
      </c>
      <c r="C154" s="25" t="s">
        <v>55</v>
      </c>
      <c r="D154" s="25" t="s">
        <v>130</v>
      </c>
      <c r="E154" s="25">
        <v>2</v>
      </c>
      <c r="F154" s="25" t="s">
        <v>69</v>
      </c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customHeight="true" ht="18.452380952380953" r="155">
      <c r="A155" s="94" t="s">
        <v>124</v>
      </c>
      <c r="B155" s="94">
        <v>46306</v>
      </c>
      <c r="C155" s="94" t="s">
        <v>55</v>
      </c>
      <c r="D155" s="94" t="s">
        <v>131</v>
      </c>
      <c r="E155" s="95">
        <v>4</v>
      </c>
      <c r="F155" s="94" t="s">
        <v>67</v>
      </c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customHeight="true" ht="18.452380952380953"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customHeight="true" ht="18.452380952380953" r="157">
      <c r="A157" s="25" t="s">
        <v>132</v>
      </c>
      <c r="B157" s="26">
        <v>46300</v>
      </c>
      <c r="C157" s="25" t="s">
        <v>3</v>
      </c>
      <c r="D157" s="25" t="s">
        <v>73</v>
      </c>
      <c r="E157" s="25">
        <v>4</v>
      </c>
      <c r="F157" s="25" t="s">
        <v>89</v>
      </c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customHeight="true" ht="18.452380952380953" r="158">
      <c r="A158" s="25" t="s">
        <v>132</v>
      </c>
      <c r="B158" s="26">
        <v>46300</v>
      </c>
      <c r="C158" s="25" t="s">
        <v>3</v>
      </c>
      <c r="D158" s="25" t="s">
        <v>71</v>
      </c>
      <c r="E158" s="25">
        <v>2</v>
      </c>
      <c r="F158" s="25" t="s">
        <v>89</v>
      </c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customHeight="true" ht="18.452380952380953" r="159">
      <c r="A159" s="25" t="s">
        <v>132</v>
      </c>
      <c r="B159" s="26">
        <v>46300</v>
      </c>
      <c r="C159" s="25" t="s">
        <v>3</v>
      </c>
      <c r="D159" s="25" t="s">
        <v>72</v>
      </c>
      <c r="E159" s="25">
        <v>2</v>
      </c>
      <c r="F159" s="25" t="s">
        <v>80</v>
      </c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customHeight="true" ht="18.452380952380953" r="160">
      <c r="A160" s="25" t="s">
        <v>132</v>
      </c>
      <c r="B160" s="26">
        <v>46301</v>
      </c>
      <c r="C160" s="25" t="s">
        <v>50</v>
      </c>
      <c r="D160" s="25" t="s">
        <v>68</v>
      </c>
      <c r="E160" s="25">
        <v>3</v>
      </c>
      <c r="F160" s="25" t="s">
        <v>89</v>
      </c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customHeight="true" ht="18.452380952380953" r="161">
      <c r="A161" s="25" t="s">
        <v>132</v>
      </c>
      <c r="B161" s="26">
        <v>46301</v>
      </c>
      <c r="C161" s="43" t="str">
        <v>Tuesday</v>
      </c>
      <c r="D161" s="25" t="s">
        <v>126</v>
      </c>
      <c r="E161" s="20">
        <f>24*MOD(TIMEVALUE(TRIM(MID(D161,FIND("-",D161)+1,LEN(D161)))) - TIMEVALUE(TRIM(LEFT(D161,FIND("-",D161)-1))),1)</f>
      </c>
      <c r="F161" s="25" t="s">
        <v>89</v>
      </c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customHeight="true" ht="18.452380952380953" r="162">
      <c r="A162" s="25" t="s">
        <v>132</v>
      </c>
      <c r="B162" s="26">
        <v>46302</v>
      </c>
      <c r="C162" s="25" t="s">
        <v>11</v>
      </c>
      <c r="D162" s="25" t="s">
        <v>127</v>
      </c>
      <c r="E162" s="25">
        <v>4</v>
      </c>
      <c r="F162" s="25" t="s">
        <v>89</v>
      </c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customHeight="true" ht="18.452380952380953" r="163">
      <c r="A163" s="25" t="s">
        <v>132</v>
      </c>
      <c r="B163" s="26">
        <v>46302</v>
      </c>
      <c r="C163" s="25" t="s">
        <v>11</v>
      </c>
      <c r="D163" s="25" t="s">
        <v>128</v>
      </c>
      <c r="E163" s="25">
        <v>2</v>
      </c>
      <c r="F163" s="25" t="s">
        <v>89</v>
      </c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customHeight="true" ht="18.452380952380953" r="164">
      <c r="A164" s="25" t="s">
        <v>132</v>
      </c>
      <c r="B164" s="26">
        <v>46303</v>
      </c>
      <c r="C164" s="25" t="s">
        <v>13</v>
      </c>
      <c r="D164" s="25" t="s">
        <v>129</v>
      </c>
      <c r="E164" s="25">
        <v>3</v>
      </c>
      <c r="F164" s="25" t="s">
        <v>80</v>
      </c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customHeight="true" ht="18.452380952380953" r="165">
      <c r="A165" s="25" t="s">
        <v>132</v>
      </c>
      <c r="B165" s="26">
        <v>46303</v>
      </c>
      <c r="C165" s="25" t="s">
        <v>13</v>
      </c>
      <c r="D165" s="25" t="s">
        <v>74</v>
      </c>
      <c r="E165" s="25">
        <v>3</v>
      </c>
      <c r="F165" s="25" t="s">
        <v>85</v>
      </c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customHeight="true" ht="18.452380952380953" r="166">
      <c r="A166" s="25" t="s">
        <v>132</v>
      </c>
      <c r="B166" s="26">
        <v>46304</v>
      </c>
      <c r="C166" s="25" t="s">
        <v>15</v>
      </c>
      <c r="D166" s="25" t="s">
        <v>129</v>
      </c>
      <c r="E166" s="25">
        <v>3</v>
      </c>
      <c r="F166" s="25" t="s">
        <v>85</v>
      </c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customHeight="true" ht="18.452380952380953" r="167">
      <c r="A167" s="25" t="s">
        <v>132</v>
      </c>
      <c r="B167" s="26">
        <v>46305</v>
      </c>
      <c r="C167" s="25" t="s">
        <v>75</v>
      </c>
      <c r="D167" s="25" t="s">
        <v>127</v>
      </c>
      <c r="E167" s="25">
        <v>4</v>
      </c>
      <c r="F167" s="25" t="s">
        <v>85</v>
      </c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customHeight="true" ht="18.452380952380953" r="168">
      <c r="A168" s="25"/>
      <c r="B168" s="26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customHeight="true" ht="18.452380952380953" r="169">
      <c r="A169" s="25"/>
      <c r="B169" s="26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customHeight="true" ht="18.452380952380953" r="170">
      <c r="A170" s="25"/>
      <c r="B170" s="26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customHeight="true" ht="18.452380952380953" r="171">
      <c r="A171" s="43"/>
      <c r="B171" s="26"/>
      <c r="C171" s="43"/>
      <c r="D171" s="25"/>
      <c r="E171" s="20"/>
      <c r="F171" s="20"/>
      <c r="G171" s="96"/>
      <c r="H171" s="20"/>
      <c r="I171" s="48"/>
      <c r="J171" s="46"/>
      <c r="K171" s="22"/>
      <c r="L171" s="22"/>
      <c r="M171" s="22"/>
      <c r="N171" s="22"/>
      <c r="O171" s="22"/>
      <c r="P171" s="22"/>
    </row>
    <row r="172">
      <c r="A172" s="53"/>
      <c r="B172" s="53"/>
      <c r="C172" s="53"/>
      <c r="D172" s="152"/>
      <c r="E172" s="53"/>
      <c r="F172" s="53"/>
      <c r="G172" s="53"/>
      <c r="H172" s="53"/>
      <c r="I172" s="53"/>
      <c r="J172" s="53"/>
      <c r="K172" s="98"/>
      <c r="L172" s="98"/>
      <c r="M172" s="98"/>
      <c r="N172" s="98"/>
      <c r="O172" s="98"/>
      <c r="P172" s="98"/>
    </row>
    <row r="173">
      <c r="A173" s="153" t="s">
        <v>133</v>
      </c>
      <c r="B173" s="154" t="s">
        <v>111</v>
      </c>
      <c r="C173" s="153"/>
      <c r="D173" s="153"/>
      <c r="E173" s="153"/>
      <c r="F173" s="153"/>
      <c r="G173" s="153"/>
      <c r="H173" s="153"/>
      <c r="I173" s="153"/>
      <c r="J173" s="155"/>
      <c r="K173" s="57"/>
      <c r="L173" s="57"/>
      <c r="M173" s="57"/>
      <c r="N173" s="57"/>
      <c r="O173" s="57"/>
      <c r="P173" s="57"/>
    </row>
    <row customHeight="true" ht="33.00751783738503" r="174">
      <c r="A174" s="156" t="s">
        <v>16</v>
      </c>
      <c r="B174" s="157" t="s">
        <v>17</v>
      </c>
      <c r="C174" s="157"/>
      <c r="D174" s="158" t="s">
        <v>18</v>
      </c>
      <c r="E174" s="159" t="s">
        <v>19</v>
      </c>
      <c r="F174" s="159" t="s">
        <v>20</v>
      </c>
      <c r="G174" s="160" t="s">
        <v>134</v>
      </c>
      <c r="H174" s="161" t="s">
        <v>22</v>
      </c>
      <c r="I174" s="161" t="s">
        <v>23</v>
      </c>
      <c r="J174" s="162" t="s">
        <v>24</v>
      </c>
      <c r="K174" s="42"/>
      <c r="L174" s="42"/>
      <c r="M174" s="42"/>
      <c r="N174" s="42"/>
      <c r="O174" s="42"/>
      <c r="P174" s="42"/>
    </row>
    <row customHeight="true" ht="18.452380952380953" r="175">
      <c r="A175" s="163" t="s">
        <v>133</v>
      </c>
      <c r="B175" s="26">
        <v>46300</v>
      </c>
      <c r="C175" s="163" t="s">
        <v>3</v>
      </c>
      <c r="D175" s="163" t="s">
        <v>135</v>
      </c>
      <c r="E175" s="163">
        <v>2</v>
      </c>
      <c r="F175" s="163" t="s">
        <v>136</v>
      </c>
      <c r="G175" s="163"/>
      <c r="H175" s="163"/>
      <c r="I175" s="163" t="s">
        <v>8</v>
      </c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</row>
    <row customHeight="true" ht="18.452380952380953" r="176">
      <c r="A176" s="163" t="s">
        <v>133</v>
      </c>
      <c r="B176" s="26">
        <v>46301</v>
      </c>
      <c r="C176" s="163" t="s">
        <v>50</v>
      </c>
      <c r="D176" s="163" t="s">
        <v>103</v>
      </c>
      <c r="E176" s="163">
        <v>2</v>
      </c>
      <c r="F176" s="163" t="s">
        <v>137</v>
      </c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</row>
    <row customHeight="true" ht="18.452380952380953" r="177">
      <c r="A177" s="163" t="s">
        <v>133</v>
      </c>
      <c r="B177" s="26">
        <v>46302</v>
      </c>
      <c r="C177" s="163" t="s">
        <v>13</v>
      </c>
      <c r="D177" s="163" t="s">
        <v>138</v>
      </c>
      <c r="E177" s="163">
        <v>2</v>
      </c>
      <c r="F177" s="163" t="s">
        <v>137</v>
      </c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</row>
    <row customHeight="true" ht="18.452380952380953" r="178">
      <c r="A178" s="163"/>
      <c r="B178" s="26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</row>
    <row customHeight="true" ht="18.452380952380953" r="179">
      <c r="A179" s="163" t="s">
        <v>139</v>
      </c>
      <c r="B179" s="26">
        <v>46300</v>
      </c>
      <c r="C179" s="163" t="s">
        <v>3</v>
      </c>
      <c r="D179" s="163" t="s">
        <v>140</v>
      </c>
      <c r="E179" s="163">
        <v>2.5</v>
      </c>
      <c r="F179" s="163" t="s">
        <v>87</v>
      </c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</row>
    <row customHeight="true" ht="18.452380952380953" r="180">
      <c r="A180" s="163" t="s">
        <v>139</v>
      </c>
      <c r="B180" s="26">
        <v>46301</v>
      </c>
      <c r="C180" s="163" t="s">
        <v>50</v>
      </c>
      <c r="D180" s="163" t="s">
        <v>141</v>
      </c>
      <c r="E180" s="163">
        <v>2.5</v>
      </c>
      <c r="F180" s="163" t="s">
        <v>87</v>
      </c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</row>
    <row customHeight="true" ht="18.452380952380953" r="181">
      <c r="A181" s="163" t="s">
        <v>139</v>
      </c>
      <c r="B181" s="26">
        <v>46302</v>
      </c>
      <c r="C181" s="163" t="s">
        <v>13</v>
      </c>
      <c r="D181" s="163" t="s">
        <v>142</v>
      </c>
      <c r="E181" s="163" t="s">
        <v>143</v>
      </c>
      <c r="F181" s="163" t="s">
        <v>87</v>
      </c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</row>
    <row customHeight="true" ht="48.57502641742009" r="182">
      <c r="A182" s="164" t="s">
        <v>144</v>
      </c>
      <c r="B182" s="165" t="s">
        <v>145</v>
      </c>
      <c r="C182" s="164"/>
      <c r="D182" s="164"/>
      <c r="E182" s="164"/>
      <c r="F182" s="164"/>
      <c r="G182" s="164"/>
      <c r="H182" s="164"/>
      <c r="I182" s="164"/>
      <c r="J182" s="166"/>
      <c r="K182" s="167"/>
      <c r="L182" s="167"/>
      <c r="M182" s="167"/>
      <c r="N182" s="167"/>
      <c r="O182" s="167"/>
      <c r="P182" s="167"/>
      <c r="Q182" s="168"/>
      <c r="R182" s="168"/>
    </row>
    <row customHeight="true" ht="40.283631002171205" r="183">
      <c r="A183" s="169" t="s">
        <v>16</v>
      </c>
      <c r="B183" s="170" t="s">
        <v>17</v>
      </c>
      <c r="C183" s="170"/>
      <c r="D183" s="171" t="s">
        <v>18</v>
      </c>
      <c r="E183" s="172" t="s">
        <v>19</v>
      </c>
      <c r="F183" s="172" t="s">
        <v>20</v>
      </c>
      <c r="G183" s="173" t="s">
        <v>134</v>
      </c>
      <c r="H183" s="174" t="s">
        <v>22</v>
      </c>
      <c r="I183" s="174" t="s">
        <v>23</v>
      </c>
      <c r="J183" s="175" t="s">
        <v>24</v>
      </c>
      <c r="K183" s="176"/>
      <c r="L183" s="176"/>
      <c r="M183" s="176"/>
      <c r="N183" s="176"/>
      <c r="O183" s="176"/>
      <c r="P183" s="176"/>
      <c r="Q183" s="168"/>
      <c r="R183" s="168"/>
    </row>
    <row customHeight="true" ht="23.80952380952381" r="184">
      <c r="A184" s="43" t="s">
        <v>146</v>
      </c>
      <c r="B184" s="26">
        <v>46301</v>
      </c>
      <c r="C184" s="63" t="s">
        <v>50</v>
      </c>
      <c r="D184" s="145" t="s">
        <v>100</v>
      </c>
      <c r="E184" s="25">
        <v>2</v>
      </c>
      <c r="F184" s="96" t="s">
        <v>147</v>
      </c>
      <c r="G184" s="122" t="s">
        <v>148</v>
      </c>
      <c r="H184" s="20"/>
      <c r="I184" s="48"/>
      <c r="J184" s="83"/>
      <c r="K184" s="22"/>
      <c r="L184" s="22"/>
      <c r="M184" s="22"/>
      <c r="N184" s="22"/>
      <c r="O184" s="22"/>
      <c r="P184" s="22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customHeight="true" ht="23.80952380952381" r="185">
      <c r="A185" s="43"/>
      <c r="B185" s="26"/>
      <c r="C185" s="63"/>
      <c r="D185" s="145"/>
      <c r="E185" s="25"/>
      <c r="F185" s="96"/>
      <c r="G185" s="122"/>
      <c r="H185" s="20"/>
      <c r="I185" s="48"/>
      <c r="J185" s="83"/>
      <c r="K185" s="22"/>
      <c r="L185" s="22"/>
      <c r="M185" s="22"/>
      <c r="N185" s="22"/>
      <c r="O185" s="22"/>
      <c r="P185" s="22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customHeight="true" ht="23.80952380952381" r="186">
      <c r="A186" s="43" t="s">
        <v>144</v>
      </c>
      <c r="B186" s="26">
        <v>46300</v>
      </c>
      <c r="C186" s="63" t="s">
        <v>3</v>
      </c>
      <c r="D186" s="145" t="s">
        <v>149</v>
      </c>
      <c r="E186" s="25">
        <v>2</v>
      </c>
      <c r="F186" s="96" t="s">
        <v>150</v>
      </c>
      <c r="G186" s="122"/>
      <c r="H186" s="20"/>
      <c r="I186" s="48"/>
      <c r="J186" s="83"/>
      <c r="K186" s="22"/>
      <c r="L186" s="22"/>
      <c r="M186" s="22"/>
      <c r="N186" s="22"/>
      <c r="O186" s="22"/>
      <c r="P186" s="22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customHeight="true" ht="23.80952380952381" r="187">
      <c r="A187" s="43" t="s">
        <v>144</v>
      </c>
      <c r="B187" s="26">
        <v>46301</v>
      </c>
      <c r="C187" s="63" t="s">
        <v>50</v>
      </c>
      <c r="D187" s="145" t="s">
        <v>151</v>
      </c>
      <c r="E187" s="25">
        <v>2</v>
      </c>
      <c r="F187" s="96" t="s">
        <v>147</v>
      </c>
      <c r="G187" s="122"/>
      <c r="H187" s="20"/>
      <c r="I187" s="48"/>
      <c r="J187" s="83"/>
      <c r="K187" s="22"/>
      <c r="L187" s="22"/>
      <c r="M187" s="22"/>
      <c r="N187" s="22"/>
      <c r="O187" s="22"/>
      <c r="P187" s="22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customHeight="true" ht="23.80952380952381" r="188">
      <c r="A188" s="43" t="s">
        <v>144</v>
      </c>
      <c r="B188" s="26">
        <v>46302</v>
      </c>
      <c r="C188" s="63" t="s">
        <v>11</v>
      </c>
      <c r="D188" s="145" t="s">
        <v>100</v>
      </c>
      <c r="E188" s="25">
        <v>2</v>
      </c>
      <c r="F188" s="96" t="s">
        <v>152</v>
      </c>
      <c r="G188" s="122"/>
      <c r="H188" s="20"/>
      <c r="I188" s="177" t="s">
        <v>8</v>
      </c>
      <c r="J188" s="83"/>
      <c r="K188" s="22"/>
      <c r="L188" s="22"/>
      <c r="M188" s="22"/>
      <c r="N188" s="22"/>
      <c r="O188" s="22"/>
      <c r="P188" s="22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customHeight="true" ht="23.80952380952381" r="189">
      <c r="A189" s="43" t="s">
        <v>144</v>
      </c>
      <c r="B189" s="26">
        <v>46303</v>
      </c>
      <c r="C189" s="63" t="s">
        <v>13</v>
      </c>
      <c r="D189" s="145" t="s">
        <v>153</v>
      </c>
      <c r="E189" s="25">
        <v>2</v>
      </c>
      <c r="F189" s="96" t="s">
        <v>64</v>
      </c>
      <c r="G189" s="122"/>
      <c r="H189" s="20"/>
      <c r="I189" s="48"/>
      <c r="J189" s="83"/>
      <c r="K189" s="22"/>
      <c r="L189" s="22"/>
      <c r="M189" s="22"/>
      <c r="N189" s="22"/>
      <c r="O189" s="22"/>
      <c r="P189" s="22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customHeight="true" ht="23.80952380952381" r="190">
      <c r="A190" s="43" t="s">
        <v>144</v>
      </c>
      <c r="B190" s="26">
        <v>46305</v>
      </c>
      <c r="C190" s="63" t="s">
        <v>75</v>
      </c>
      <c r="D190" s="145" t="s">
        <v>71</v>
      </c>
      <c r="E190" s="25">
        <v>2</v>
      </c>
      <c r="F190" s="96" t="s">
        <v>152</v>
      </c>
      <c r="G190" s="122"/>
      <c r="H190" s="20"/>
      <c r="I190" s="48"/>
      <c r="J190" s="83"/>
      <c r="K190" s="22"/>
      <c r="L190" s="22"/>
      <c r="M190" s="22"/>
      <c r="N190" s="22"/>
      <c r="O190" s="22"/>
      <c r="P190" s="22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customHeight="true" ht="23.80952380952381" r="191">
      <c r="A191" s="43"/>
      <c r="B191" s="26"/>
      <c r="C191" s="63"/>
      <c r="D191" s="145"/>
      <c r="E191" s="25"/>
      <c r="F191" s="96"/>
      <c r="G191" s="122"/>
      <c r="H191" s="20"/>
      <c r="I191" s="48"/>
      <c r="J191" s="83"/>
      <c r="K191" s="22"/>
      <c r="L191" s="22"/>
      <c r="M191" s="22"/>
      <c r="N191" s="22"/>
      <c r="O191" s="22"/>
      <c r="P191" s="22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customHeight="true" ht="23.80952380952381" r="192">
      <c r="A192" s="43" t="s">
        <v>154</v>
      </c>
      <c r="B192" s="26">
        <v>46300</v>
      </c>
      <c r="C192" s="63" t="s">
        <v>3</v>
      </c>
      <c r="D192" s="145" t="s">
        <v>155</v>
      </c>
      <c r="E192" s="25">
        <v>2.5</v>
      </c>
      <c r="F192" s="96" t="s">
        <v>87</v>
      </c>
      <c r="G192" s="122"/>
      <c r="H192" s="20"/>
      <c r="I192" s="48"/>
      <c r="J192" s="83"/>
      <c r="K192" s="22"/>
      <c r="L192" s="22"/>
      <c r="M192" s="22"/>
      <c r="N192" s="22"/>
      <c r="O192" s="22"/>
      <c r="P192" s="22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customHeight="true" ht="23.80952380952381" r="193">
      <c r="A193" s="43" t="s">
        <v>154</v>
      </c>
      <c r="B193" s="26">
        <v>46301</v>
      </c>
      <c r="C193" s="63" t="s">
        <v>50</v>
      </c>
      <c r="D193" s="145" t="s">
        <v>156</v>
      </c>
      <c r="E193" s="25">
        <v>2.5</v>
      </c>
      <c r="F193" s="96" t="s">
        <v>87</v>
      </c>
      <c r="G193" s="122"/>
      <c r="H193" s="20"/>
      <c r="I193" s="48"/>
      <c r="J193" s="83"/>
      <c r="K193" s="22"/>
      <c r="L193" s="22"/>
      <c r="M193" s="22"/>
      <c r="N193" s="22"/>
      <c r="O193" s="22"/>
      <c r="P193" s="22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customHeight="true" ht="23.80952380952381" r="194">
      <c r="A194" s="26" t="s">
        <v>154</v>
      </c>
      <c r="B194" s="26">
        <v>46302</v>
      </c>
      <c r="C194" s="26" t="s">
        <v>11</v>
      </c>
      <c r="D194" s="26" t="s">
        <v>106</v>
      </c>
      <c r="E194" s="163">
        <v>2.5</v>
      </c>
      <c r="F194" s="26" t="s">
        <v>87</v>
      </c>
      <c r="G194" s="26"/>
      <c r="H194" s="26"/>
      <c r="I194" s="26"/>
      <c r="J194" s="26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</row>
    <row customHeight="true" ht="23.80952380952381" r="195">
      <c r="A195" s="26" t="s">
        <v>154</v>
      </c>
      <c r="B195" s="26">
        <v>46303</v>
      </c>
      <c r="C195" s="26" t="s">
        <v>13</v>
      </c>
      <c r="D195" s="26" t="s">
        <v>157</v>
      </c>
      <c r="E195" s="163">
        <v>2.5</v>
      </c>
      <c r="F195" s="26" t="s">
        <v>87</v>
      </c>
      <c r="G195" s="26"/>
      <c r="H195" s="26"/>
      <c r="I195" s="26"/>
      <c r="J195" s="26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</row>
    <row customHeight="true" ht="23.80952380952381" r="196">
      <c r="A196" s="26" t="s">
        <v>154</v>
      </c>
      <c r="B196" s="26">
        <v>46305</v>
      </c>
      <c r="C196" s="26" t="s">
        <v>75</v>
      </c>
      <c r="D196" s="26" t="s">
        <v>158</v>
      </c>
      <c r="E196" s="163">
        <v>2.5</v>
      </c>
      <c r="F196" s="26" t="s">
        <v>159</v>
      </c>
      <c r="G196" s="26"/>
      <c r="H196" s="26"/>
      <c r="I196" s="26"/>
      <c r="J196" s="26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</row>
    <row customHeight="true" ht="23.80952380952381"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</row>
    <row customHeight="true" ht="23.80952380952381" r="198">
      <c r="A198" s="43"/>
      <c r="B198" s="26"/>
      <c r="C198" s="63"/>
      <c r="D198" s="145"/>
      <c r="E198" s="25"/>
      <c r="F198" s="96"/>
      <c r="G198" s="122"/>
      <c r="H198" s="20"/>
      <c r="I198" s="48"/>
      <c r="J198" s="83"/>
      <c r="K198" s="22"/>
      <c r="L198" s="22"/>
      <c r="M198" s="22"/>
      <c r="N198" s="22"/>
      <c r="O198" s="22"/>
      <c r="P198" s="22"/>
    </row>
    <row customHeight="true" ht="23.80952380952381" r="199">
      <c r="A199" s="43"/>
      <c r="B199" s="26"/>
      <c r="C199" s="63"/>
      <c r="D199" s="145"/>
      <c r="E199" s="25"/>
      <c r="F199" s="96"/>
      <c r="G199" s="122"/>
      <c r="H199" s="20"/>
      <c r="I199" s="48"/>
      <c r="J199" s="83"/>
      <c r="K199" s="22"/>
      <c r="L199" s="22"/>
      <c r="M199" s="22"/>
      <c r="N199" s="22"/>
      <c r="O199" s="22"/>
      <c r="P199" s="22"/>
    </row>
    <row customHeight="true" ht="23.80952380952381" r="200">
      <c r="A200" s="43"/>
      <c r="B200" s="26"/>
      <c r="C200" s="63"/>
      <c r="D200" s="145"/>
      <c r="E200" s="25"/>
      <c r="F200" s="96"/>
      <c r="G200" s="122"/>
      <c r="H200" s="20"/>
      <c r="I200" s="48"/>
      <c r="J200" s="83"/>
      <c r="K200" s="22"/>
      <c r="L200" s="22"/>
      <c r="M200" s="22"/>
      <c r="N200" s="22"/>
      <c r="O200" s="22"/>
      <c r="P200" s="22"/>
    </row>
    <row customHeight="true" ht="23.80952380952381" r="201">
      <c r="A201" s="43"/>
      <c r="B201" s="26"/>
      <c r="C201" s="63"/>
      <c r="D201" s="179"/>
      <c r="E201" s="25"/>
      <c r="F201" s="122"/>
      <c r="G201" s="122"/>
      <c r="H201" s="20"/>
      <c r="I201" s="48"/>
      <c r="J201" s="83"/>
      <c r="K201" s="22"/>
      <c r="L201" s="22"/>
      <c r="M201" s="22"/>
      <c r="N201" s="22"/>
      <c r="O201" s="22"/>
      <c r="P201" s="22"/>
    </row>
    <row customHeight="true" ht="23.80952380952381" r="202">
      <c r="A202" s="43"/>
      <c r="B202" s="26"/>
      <c r="C202" s="63"/>
      <c r="D202" s="179"/>
      <c r="E202" s="25"/>
      <c r="F202" s="96"/>
      <c r="G202" s="122"/>
      <c r="H202" s="20"/>
      <c r="I202" s="48"/>
      <c r="J202" s="83"/>
      <c r="K202" s="22"/>
      <c r="L202" s="22"/>
      <c r="M202" s="22"/>
      <c r="N202" s="22"/>
      <c r="O202" s="22"/>
      <c r="P202" s="22"/>
    </row>
    <row customHeight="true" ht="23.80952380952381" r="203">
      <c r="A203" s="180" t="s">
        <v>160</v>
      </c>
      <c r="B203" s="181" t="s">
        <v>111</v>
      </c>
      <c r="C203" s="180"/>
      <c r="D203" s="180"/>
      <c r="E203" s="180"/>
      <c r="F203" s="180"/>
      <c r="G203" s="180"/>
      <c r="H203" s="180"/>
      <c r="I203" s="180"/>
      <c r="J203" s="182"/>
      <c r="K203" s="183"/>
      <c r="L203" s="183"/>
      <c r="M203" s="183"/>
      <c r="N203" s="183"/>
      <c r="O203" s="183"/>
      <c r="P203" s="183"/>
      <c r="Q203" s="184"/>
      <c r="R203" s="184"/>
    </row>
    <row customHeight="true" ht="23.80952380952381" r="204">
      <c r="A204" s="185" t="s">
        <v>16</v>
      </c>
      <c r="B204" s="186" t="s">
        <v>17</v>
      </c>
      <c r="C204" s="186"/>
      <c r="D204" s="187" t="s">
        <v>18</v>
      </c>
      <c r="E204" s="188" t="s">
        <v>19</v>
      </c>
      <c r="F204" s="188" t="s">
        <v>20</v>
      </c>
      <c r="G204" s="189" t="s">
        <v>134</v>
      </c>
      <c r="H204" s="190" t="s">
        <v>22</v>
      </c>
      <c r="I204" s="190" t="s">
        <v>23</v>
      </c>
      <c r="J204" s="191" t="s">
        <v>24</v>
      </c>
      <c r="K204" s="192"/>
      <c r="L204" s="192"/>
      <c r="M204" s="192"/>
      <c r="N204" s="192"/>
      <c r="O204" s="192"/>
      <c r="P204" s="192"/>
      <c r="Q204" s="184"/>
      <c r="R204" s="184"/>
    </row>
    <row customHeight="true" ht="23.80952380952381" r="205">
      <c r="A205" s="43"/>
      <c r="B205" s="26"/>
      <c r="C205" s="43"/>
      <c r="D205" s="179"/>
      <c r="E205" s="25"/>
      <c r="F205" s="96"/>
      <c r="G205" s="122"/>
      <c r="H205" s="20"/>
      <c r="I205" s="48"/>
      <c r="J205" s="83"/>
      <c r="K205" s="22"/>
      <c r="L205" s="22"/>
      <c r="M205" s="22"/>
      <c r="N205" s="22"/>
      <c r="O205" s="22"/>
      <c r="P205" s="22"/>
    </row>
    <row customHeight="true" ht="34.39808184601437" r="206">
      <c r="A206" s="43" t="s">
        <v>161</v>
      </c>
      <c r="B206" s="26">
        <v>46301</v>
      </c>
      <c r="C206" s="26" t="s">
        <v>50</v>
      </c>
      <c r="D206" s="26" t="s">
        <v>162</v>
      </c>
      <c r="E206" s="25">
        <v>2</v>
      </c>
      <c r="F206" s="43" t="s">
        <v>64</v>
      </c>
      <c r="G206" s="26" t="s">
        <v>163</v>
      </c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customHeight="true" ht="33.92857142857143" r="207">
      <c r="A207" s="43" t="s">
        <v>161</v>
      </c>
      <c r="B207" s="26">
        <v>46302</v>
      </c>
      <c r="C207" s="43" t="s">
        <v>11</v>
      </c>
      <c r="D207" s="26" t="s">
        <v>54</v>
      </c>
      <c r="E207" s="25">
        <v>2</v>
      </c>
      <c r="F207" s="43" t="s">
        <v>64</v>
      </c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customHeight="true" ht="33.92857142857143" r="208">
      <c r="A208" s="43" t="s">
        <v>161</v>
      </c>
      <c r="B208" s="26">
        <v>46303</v>
      </c>
      <c r="C208" s="26" t="s">
        <v>13</v>
      </c>
      <c r="D208" s="26" t="s">
        <v>164</v>
      </c>
      <c r="E208" s="25">
        <v>2</v>
      </c>
      <c r="F208" s="43" t="s">
        <v>147</v>
      </c>
      <c r="G208" s="26" t="s">
        <v>163</v>
      </c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customHeight="true" ht="33.92857142857143"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customHeight="true" ht="33.92857142857143" r="210">
      <c r="A210" s="43" t="s">
        <v>160</v>
      </c>
      <c r="B210" s="43">
        <v>46300</v>
      </c>
      <c r="C210" s="43" t="s">
        <v>3</v>
      </c>
      <c r="D210" s="26" t="s">
        <v>102</v>
      </c>
      <c r="E210" s="25">
        <v>2</v>
      </c>
      <c r="F210" s="43" t="s">
        <v>150</v>
      </c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customHeight="true" ht="33.92857142857143" r="211">
      <c r="A211" s="43" t="s">
        <v>160</v>
      </c>
      <c r="B211" s="43">
        <v>46302</v>
      </c>
      <c r="C211" s="43" t="s">
        <v>11</v>
      </c>
      <c r="D211" s="43" t="s">
        <v>128</v>
      </c>
      <c r="E211" s="25">
        <v>2</v>
      </c>
      <c r="F211" s="43" t="s">
        <v>64</v>
      </c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customHeight="true" ht="33.92857142857143" r="212">
      <c r="A212" s="43" t="s">
        <v>160</v>
      </c>
      <c r="B212" s="26">
        <v>46303</v>
      </c>
      <c r="C212" s="26" t="s">
        <v>13</v>
      </c>
      <c r="D212" s="26" t="s">
        <v>165</v>
      </c>
      <c r="E212" s="25">
        <v>2</v>
      </c>
      <c r="F212" s="43" t="s">
        <v>147</v>
      </c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customHeight="true" ht="33.92857142857143" r="213">
      <c r="A213" s="43" t="s">
        <v>160</v>
      </c>
      <c r="B213" s="43">
        <v>46304</v>
      </c>
      <c r="C213" s="43" t="s">
        <v>15</v>
      </c>
      <c r="D213" s="43" t="s">
        <v>72</v>
      </c>
      <c r="E213" s="25">
        <v>2</v>
      </c>
      <c r="F213" s="43" t="s">
        <v>150</v>
      </c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customHeight="true" ht="33.92857142857143"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customHeight="true" ht="33.92857142857143" r="215">
      <c r="A215" s="43" t="s">
        <v>166</v>
      </c>
      <c r="B215" s="43">
        <v>46300</v>
      </c>
      <c r="C215" s="43" t="s">
        <v>3</v>
      </c>
      <c r="D215" s="26" t="s">
        <v>108</v>
      </c>
      <c r="E215" s="163">
        <v>2.5</v>
      </c>
      <c r="F215" s="96" t="s">
        <v>87</v>
      </c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customHeight="true" ht="33.92857142857143" r="216">
      <c r="A216" s="43" t="s">
        <v>166</v>
      </c>
      <c r="B216" s="43">
        <v>46302</v>
      </c>
      <c r="C216" s="43" t="s">
        <v>11</v>
      </c>
      <c r="D216" s="26" t="s">
        <v>167</v>
      </c>
      <c r="E216" s="163">
        <v>2.5</v>
      </c>
      <c r="F216" s="43" t="s">
        <v>168</v>
      </c>
      <c r="G216" s="26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customHeight="true" ht="33.92857142857143" r="217">
      <c r="A217" s="43" t="s">
        <v>160</v>
      </c>
      <c r="B217" s="26">
        <v>46303</v>
      </c>
      <c r="C217" s="26" t="s">
        <v>13</v>
      </c>
      <c r="D217" s="26" t="s">
        <v>169</v>
      </c>
      <c r="E217" s="25">
        <v>2.5</v>
      </c>
      <c r="F217" s="96" t="s">
        <v>87</v>
      </c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customHeight="true" ht="33.92857142857143" r="218">
      <c r="A218" s="43" t="s">
        <v>166</v>
      </c>
      <c r="B218" s="43">
        <v>46304</v>
      </c>
      <c r="C218" s="43" t="s">
        <v>15</v>
      </c>
      <c r="D218" s="26" t="s">
        <v>170</v>
      </c>
      <c r="E218" s="163">
        <v>2.5</v>
      </c>
      <c r="F218" s="96" t="s">
        <v>87</v>
      </c>
      <c r="G218" s="26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customHeight="true" ht="33.92857142857143" r="219">
      <c r="A219" s="43"/>
      <c r="B219" s="26"/>
      <c r="C219" s="63"/>
      <c r="D219" s="179"/>
      <c r="E219" s="25"/>
      <c r="F219" s="96"/>
      <c r="G219" s="122"/>
      <c r="H219" s="20"/>
      <c r="I219" s="48"/>
      <c r="J219" s="83"/>
      <c r="K219" s="22"/>
      <c r="L219" s="22"/>
      <c r="M219" s="22"/>
      <c r="N219" s="22"/>
      <c r="O219" s="22"/>
      <c r="P219" s="22"/>
    </row>
    <row customHeight="true" ht="33.92857142857143" r="220">
      <c r="A220" s="43"/>
      <c r="B220" s="26"/>
      <c r="C220" s="63"/>
      <c r="D220" s="179"/>
      <c r="E220" s="25"/>
      <c r="F220" s="96"/>
      <c r="G220" s="122"/>
      <c r="H220" s="20"/>
      <c r="I220" s="48"/>
      <c r="J220" s="83"/>
      <c r="K220" s="22"/>
      <c r="L220" s="22"/>
      <c r="M220" s="22"/>
      <c r="N220" s="22"/>
      <c r="O220" s="22"/>
      <c r="P220" s="22"/>
    </row>
    <row customHeight="true" ht="33.92857142857143" r="221">
      <c r="A221" s="43"/>
      <c r="B221" s="26"/>
      <c r="C221" s="63"/>
      <c r="D221" s="179"/>
      <c r="E221" s="25"/>
      <c r="F221" s="96"/>
      <c r="G221" s="122"/>
      <c r="H221" s="20"/>
      <c r="I221" s="48"/>
      <c r="J221" s="83"/>
      <c r="K221" s="22"/>
      <c r="L221" s="22"/>
      <c r="M221" s="22"/>
      <c r="N221" s="22"/>
      <c r="O221" s="22"/>
      <c r="P221" s="22"/>
    </row>
    <row customHeight="true" ht="33.92857142857143" r="222">
      <c r="A222" s="43"/>
      <c r="B222" s="26"/>
      <c r="C222" s="63"/>
      <c r="D222" s="179"/>
      <c r="E222" s="25"/>
      <c r="F222" s="96"/>
      <c r="G222" s="122"/>
      <c r="H222" s="20"/>
      <c r="I222" s="48"/>
      <c r="J222" s="83"/>
      <c r="K222" s="22"/>
      <c r="L222" s="22"/>
      <c r="M222" s="22"/>
      <c r="N222" s="22"/>
      <c r="O222" s="22"/>
      <c r="P222" s="22"/>
    </row>
    <row customHeight="true" ht="33.92857142857143" r="223">
      <c r="A223" s="43"/>
      <c r="B223" s="26"/>
      <c r="C223" s="63"/>
      <c r="D223" s="179"/>
      <c r="E223" s="25"/>
      <c r="F223" s="96"/>
      <c r="G223" s="122"/>
      <c r="H223" s="20"/>
      <c r="I223" s="48"/>
      <c r="J223" s="83"/>
      <c r="K223" s="22"/>
      <c r="L223" s="22"/>
      <c r="M223" s="22"/>
      <c r="N223" s="22"/>
      <c r="O223" s="22"/>
      <c r="P223" s="22"/>
    </row>
    <row customHeight="true" ht="47.57469633187406" r="224">
      <c r="A224" s="180" t="s">
        <v>171</v>
      </c>
      <c r="B224" s="181" t="s">
        <v>145</v>
      </c>
      <c r="C224" s="180"/>
      <c r="D224" s="180"/>
      <c r="E224" s="180"/>
      <c r="F224" s="180"/>
      <c r="G224" s="180"/>
      <c r="H224" s="180"/>
      <c r="I224" s="180"/>
      <c r="J224" s="182"/>
      <c r="K224" s="183"/>
      <c r="L224" s="183"/>
      <c r="M224" s="183"/>
      <c r="N224" s="183"/>
      <c r="O224" s="183"/>
      <c r="P224" s="183"/>
      <c r="Q224" s="184"/>
      <c r="R224" s="184"/>
    </row>
    <row customHeight="true" ht="37.67886299854072" r="225">
      <c r="A225" s="185" t="s">
        <v>16</v>
      </c>
      <c r="B225" s="186" t="s">
        <v>17</v>
      </c>
      <c r="C225" s="186"/>
      <c r="D225" s="187" t="s">
        <v>18</v>
      </c>
      <c r="E225" s="188" t="s">
        <v>19</v>
      </c>
      <c r="F225" s="188" t="s">
        <v>20</v>
      </c>
      <c r="G225" s="189" t="s">
        <v>134</v>
      </c>
      <c r="H225" s="190" t="s">
        <v>22</v>
      </c>
      <c r="I225" s="190" t="s">
        <v>23</v>
      </c>
      <c r="J225" s="191" t="s">
        <v>24</v>
      </c>
      <c r="K225" s="192"/>
      <c r="L225" s="192"/>
      <c r="M225" s="192"/>
      <c r="N225" s="192"/>
      <c r="O225" s="192"/>
      <c r="P225" s="192"/>
      <c r="Q225" s="184"/>
      <c r="R225" s="184"/>
    </row>
    <row customHeight="true" ht="23.80952380952381" r="226">
      <c r="A226" s="43" t="s">
        <v>172</v>
      </c>
      <c r="B226" s="43">
        <v>46300</v>
      </c>
      <c r="C226" s="43" t="str">
        <v>Monday</v>
      </c>
      <c r="D226" s="193" t="s">
        <v>173</v>
      </c>
      <c r="E226" s="20">
        <f t="shared" ref="E226:E231" si="65">24*MOD(TIMEVALUE(TRIM(MID(D226,FIND("-",D226)+1,LEN(D226)))) - TIMEVALUE(TRIM(LEFT(D226,FIND("-",D226)-1))),1)</f>
      </c>
      <c r="F226" s="80" t="s">
        <v>174</v>
      </c>
      <c r="G226" s="52"/>
      <c r="H226" s="20" t="s">
        <v>7</v>
      </c>
      <c r="I226" s="32" t="s">
        <v>8</v>
      </c>
      <c r="J226" s="83"/>
      <c r="K226" s="194"/>
      <c r="L226" s="194"/>
      <c r="M226" s="194"/>
      <c r="N226" s="194"/>
      <c r="O226" s="194"/>
      <c r="P226" s="194"/>
      <c r="Q226" s="53"/>
      <c r="R226" s="53"/>
    </row>
    <row customHeight="true" ht="23.80952380952381" r="227">
      <c r="A227" s="43" t="s">
        <v>172</v>
      </c>
      <c r="B227" s="26">
        <v>46302</v>
      </c>
      <c r="C227" s="63" t="str">
        <v>Wednesday</v>
      </c>
      <c r="D227" s="179" t="s">
        <v>175</v>
      </c>
      <c r="E227" s="20">
        <f t="shared" si="65"/>
      </c>
      <c r="F227" s="96" t="s">
        <v>176</v>
      </c>
      <c r="G227" s="122"/>
      <c r="H227" s="20" t="s">
        <v>7</v>
      </c>
      <c r="I227" s="195" t="s">
        <v>8</v>
      </c>
      <c r="J227" s="83"/>
      <c r="K227" s="22"/>
      <c r="L227" s="22"/>
      <c r="M227" s="22"/>
      <c r="N227" s="22"/>
      <c r="O227" s="22"/>
      <c r="P227" s="22"/>
    </row>
    <row customHeight="true" ht="23.80952380952381" r="228">
      <c r="A228" s="43" t="s">
        <v>172</v>
      </c>
      <c r="B228" s="26">
        <v>46301</v>
      </c>
      <c r="C228" s="63" t="str">
        <v>Tuesday</v>
      </c>
      <c r="D228" s="179" t="s">
        <v>173</v>
      </c>
      <c r="E228" s="20">
        <f t="shared" si="65"/>
      </c>
      <c r="F228" s="96" t="s">
        <v>64</v>
      </c>
      <c r="G228" s="122"/>
      <c r="H228" s="20" t="s">
        <v>7</v>
      </c>
      <c r="I228" s="48"/>
      <c r="J228" s="83"/>
      <c r="K228" s="22"/>
      <c r="L228" s="22"/>
      <c r="M228" s="22"/>
      <c r="N228" s="22"/>
      <c r="O228" s="22"/>
      <c r="P228" s="22"/>
    </row>
    <row customHeight="true" ht="23.80952380952381" r="229">
      <c r="A229" s="43" t="s">
        <v>172</v>
      </c>
      <c r="B229" s="26">
        <v>46303</v>
      </c>
      <c r="C229" s="63" t="str">
        <v>Thursday</v>
      </c>
      <c r="D229" s="179" t="s">
        <v>177</v>
      </c>
      <c r="E229" s="20">
        <f t="shared" si="65"/>
      </c>
      <c r="F229" s="96" t="s">
        <v>61</v>
      </c>
      <c r="G229" s="122"/>
      <c r="H229" s="20" t="s">
        <v>7</v>
      </c>
      <c r="I229" s="48"/>
      <c r="J229" s="83"/>
      <c r="K229" s="22"/>
      <c r="L229" s="22"/>
      <c r="M229" s="22"/>
      <c r="N229" s="22"/>
      <c r="O229" s="22"/>
      <c r="P229" s="22"/>
    </row>
    <row customHeight="true" ht="23.80952380952381" r="230">
      <c r="A230" s="43" t="s">
        <v>178</v>
      </c>
      <c r="B230" s="26">
        <v>46302</v>
      </c>
      <c r="C230" s="63" t="str">
        <v>Wednesday</v>
      </c>
      <c r="D230" s="179" t="s">
        <v>179</v>
      </c>
      <c r="E230" s="20">
        <f t="shared" si="65"/>
      </c>
      <c r="F230" s="96" t="s">
        <v>180</v>
      </c>
      <c r="G230" s="122"/>
      <c r="H230" s="20" t="s">
        <v>7</v>
      </c>
      <c r="I230" s="48" t="s">
        <v>28</v>
      </c>
      <c r="J230" s="83"/>
      <c r="K230" s="22"/>
      <c r="L230" s="22"/>
      <c r="M230" s="22"/>
      <c r="N230" s="22"/>
      <c r="O230" s="22"/>
      <c r="P230" s="22"/>
    </row>
    <row customHeight="true" ht="23.80952380952381" r="231">
      <c r="A231" s="43" t="s">
        <v>178</v>
      </c>
      <c r="B231" s="26">
        <v>46303</v>
      </c>
      <c r="C231" s="63" t="str">
        <v>Thursday</v>
      </c>
      <c r="D231" s="179" t="s">
        <v>179</v>
      </c>
      <c r="E231" s="20">
        <f t="shared" si="65"/>
      </c>
      <c r="F231" s="96" t="s">
        <v>181</v>
      </c>
      <c r="G231" s="122"/>
      <c r="H231" s="20" t="s">
        <v>7</v>
      </c>
      <c r="I231" s="48"/>
      <c r="J231" s="83"/>
      <c r="K231" s="22"/>
      <c r="L231" s="22"/>
      <c r="M231" s="22"/>
      <c r="N231" s="22"/>
      <c r="O231" s="22"/>
      <c r="P231" s="22"/>
    </row>
    <row customHeight="true" ht="23.80952380952381" r="232">
      <c r="A232" s="43"/>
      <c r="B232" s="26"/>
      <c r="C232" s="63"/>
      <c r="D232" s="179"/>
      <c r="E232" s="25"/>
      <c r="F232" s="96"/>
      <c r="G232" s="122"/>
      <c r="H232" s="20"/>
      <c r="I232" s="48"/>
      <c r="J232" s="83"/>
      <c r="K232" s="22"/>
      <c r="L232" s="22"/>
      <c r="M232" s="22"/>
      <c r="N232" s="22"/>
      <c r="O232" s="22"/>
      <c r="P232" s="22"/>
    </row>
    <row customHeight="true" ht="23.80952380952381" r="233">
      <c r="A233" s="43" t="s">
        <v>171</v>
      </c>
      <c r="B233" s="26">
        <v>46302</v>
      </c>
      <c r="C233" s="63" t="str">
        <v>Wednesday</v>
      </c>
      <c r="D233" s="179" t="s">
        <v>182</v>
      </c>
      <c r="E233" s="20">
        <f t="shared" ref="E233:E237" si="66">24*MOD(TIMEVALUE(TRIM(MID(D233,FIND("-",D233)+1,LEN(D233)))) - TIMEVALUE(TRIM(LEFT(D233,FIND("-",D233)-1))),1)</f>
      </c>
      <c r="F233" s="96" t="s">
        <v>176</v>
      </c>
      <c r="G233" s="122"/>
      <c r="H233" s="20" t="s">
        <v>7</v>
      </c>
      <c r="I233" s="195" t="s">
        <v>8</v>
      </c>
      <c r="J233" s="83"/>
      <c r="K233" s="22"/>
      <c r="L233" s="22"/>
      <c r="M233" s="22"/>
      <c r="N233" s="22"/>
      <c r="O233" s="22"/>
      <c r="P233" s="22"/>
    </row>
    <row customHeight="true" ht="23.80952380952381" r="234">
      <c r="A234" s="43" t="s">
        <v>171</v>
      </c>
      <c r="B234" s="26">
        <v>46303</v>
      </c>
      <c r="C234" s="63" t="str">
        <v>Thursday</v>
      </c>
      <c r="D234" s="179" t="s">
        <v>182</v>
      </c>
      <c r="E234" s="20">
        <f t="shared" si="66"/>
      </c>
      <c r="F234" s="96" t="s">
        <v>64</v>
      </c>
      <c r="G234" s="122"/>
      <c r="H234" s="20" t="s">
        <v>7</v>
      </c>
      <c r="I234" s="48"/>
      <c r="J234" s="83"/>
      <c r="K234" s="22"/>
      <c r="L234" s="22"/>
      <c r="M234" s="22"/>
      <c r="N234" s="22"/>
      <c r="O234" s="22"/>
      <c r="P234" s="22"/>
    </row>
    <row customHeight="true" ht="23.80952380952381" r="235">
      <c r="A235" s="43" t="s">
        <v>171</v>
      </c>
      <c r="B235" s="26">
        <v>46304</v>
      </c>
      <c r="C235" s="63" t="str">
        <v>Friday</v>
      </c>
      <c r="D235" s="179" t="s">
        <v>183</v>
      </c>
      <c r="E235" s="20">
        <f t="shared" si="66"/>
      </c>
      <c r="F235" s="96" t="s">
        <v>176</v>
      </c>
      <c r="G235" s="122"/>
      <c r="H235" s="20" t="s">
        <v>7</v>
      </c>
      <c r="I235" s="48"/>
      <c r="J235" s="83"/>
      <c r="K235" s="22"/>
      <c r="L235" s="22"/>
      <c r="M235" s="22"/>
      <c r="N235" s="22"/>
      <c r="O235" s="22"/>
      <c r="P235" s="22"/>
    </row>
    <row customHeight="true" ht="23.80952380952381" r="236">
      <c r="A236" s="43" t="s">
        <v>171</v>
      </c>
      <c r="B236" s="26">
        <v>46305</v>
      </c>
      <c r="C236" s="63" t="str">
        <v>Saturday</v>
      </c>
      <c r="D236" s="179" t="s">
        <v>184</v>
      </c>
      <c r="E236" s="20">
        <f t="shared" si="66"/>
      </c>
      <c r="F236" s="80" t="s">
        <v>174</v>
      </c>
      <c r="G236" s="122"/>
      <c r="H236" s="20" t="s">
        <v>7</v>
      </c>
      <c r="I236" s="32" t="s">
        <v>8</v>
      </c>
      <c r="J236" s="83"/>
      <c r="K236" s="22"/>
      <c r="L236" s="22"/>
      <c r="M236" s="22"/>
      <c r="N236" s="22"/>
      <c r="O236" s="22"/>
      <c r="P236" s="22"/>
    </row>
    <row customHeight="true" ht="23.80952380952381" r="237">
      <c r="A237" s="43" t="s">
        <v>171</v>
      </c>
      <c r="B237" s="26">
        <v>46306</v>
      </c>
      <c r="C237" s="63" t="str">
        <v>Sunday</v>
      </c>
      <c r="D237" s="179" t="s">
        <v>182</v>
      </c>
      <c r="E237" s="20">
        <f t="shared" si="66"/>
      </c>
      <c r="F237" s="80" t="s">
        <v>174</v>
      </c>
      <c r="G237" s="122"/>
      <c r="H237" s="20" t="s">
        <v>7</v>
      </c>
      <c r="I237" s="32" t="s">
        <v>8</v>
      </c>
      <c r="J237" s="83"/>
      <c r="K237" s="22"/>
      <c r="L237" s="22"/>
      <c r="M237" s="22"/>
      <c r="N237" s="22"/>
      <c r="O237" s="22"/>
      <c r="P237" s="22"/>
    </row>
    <row customHeight="true" ht="23.80952380952381" r="238">
      <c r="A238" s="43"/>
      <c r="B238" s="26"/>
      <c r="C238" s="63"/>
      <c r="D238" s="179"/>
      <c r="E238" s="25"/>
      <c r="F238" s="96"/>
      <c r="G238" s="122"/>
      <c r="H238" s="20"/>
      <c r="I238" s="48"/>
      <c r="J238" s="83"/>
      <c r="K238" s="22"/>
      <c r="L238" s="22"/>
      <c r="M238" s="22"/>
      <c r="N238" s="22"/>
      <c r="O238" s="22"/>
      <c r="P238" s="22"/>
    </row>
    <row customHeight="true" ht="23.80952380952381" r="239">
      <c r="A239" s="43" t="s">
        <v>185</v>
      </c>
      <c r="B239" s="26">
        <v>46302</v>
      </c>
      <c r="C239" s="63" t="str">
        <v>Wednesday</v>
      </c>
      <c r="D239" s="179" t="s">
        <v>186</v>
      </c>
      <c r="E239" s="20">
        <f t="shared" ref="E239:E243" si="67">24*MOD(TIMEVALUE(TRIM(MID(D239,FIND("-",D239)+1,LEN(D239)))) - TIMEVALUE(TRIM(LEFT(D239,FIND("-",D239)-1))),1)</f>
      </c>
      <c r="F239" s="96" t="s">
        <v>180</v>
      </c>
      <c r="G239" s="122"/>
      <c r="H239" s="20" t="s">
        <v>7</v>
      </c>
      <c r="I239" s="48" t="s">
        <v>28</v>
      </c>
      <c r="J239" s="83"/>
      <c r="K239" s="22"/>
      <c r="L239" s="22"/>
      <c r="M239" s="22"/>
      <c r="N239" s="22"/>
      <c r="O239" s="22"/>
      <c r="P239" s="22"/>
    </row>
    <row customHeight="true" ht="23.80952380952381" r="240">
      <c r="A240" s="43" t="s">
        <v>185</v>
      </c>
      <c r="B240" s="26">
        <v>46303</v>
      </c>
      <c r="C240" s="63" t="str">
        <v>Thursday</v>
      </c>
      <c r="D240" s="179" t="s">
        <v>186</v>
      </c>
      <c r="E240" s="20">
        <f t="shared" si="67"/>
      </c>
      <c r="F240" s="96" t="s">
        <v>181</v>
      </c>
      <c r="G240" s="122"/>
      <c r="H240" s="20" t="s">
        <v>7</v>
      </c>
      <c r="I240" s="48"/>
      <c r="J240" s="83"/>
      <c r="K240" s="22"/>
      <c r="L240" s="22"/>
      <c r="M240" s="22"/>
      <c r="N240" s="22"/>
      <c r="O240" s="22"/>
      <c r="P240" s="22"/>
    </row>
    <row customHeight="true" ht="23.80952380952381" r="241">
      <c r="A241" s="43" t="s">
        <v>185</v>
      </c>
      <c r="B241" s="26">
        <v>46304</v>
      </c>
      <c r="C241" s="63" t="str">
        <v>Friday</v>
      </c>
      <c r="D241" s="179" t="s">
        <v>187</v>
      </c>
      <c r="E241" s="20">
        <f t="shared" si="67"/>
      </c>
      <c r="F241" s="96" t="s">
        <v>87</v>
      </c>
      <c r="G241" s="122"/>
      <c r="H241" s="20" t="s">
        <v>7</v>
      </c>
      <c r="I241" s="48"/>
      <c r="J241" s="83"/>
      <c r="K241" s="22"/>
      <c r="L241" s="22"/>
      <c r="M241" s="22"/>
      <c r="N241" s="22"/>
      <c r="O241" s="22"/>
      <c r="P241" s="22"/>
    </row>
    <row customHeight="true" ht="23.80952380952381" r="242">
      <c r="A242" s="43" t="s">
        <v>185</v>
      </c>
      <c r="B242" s="26">
        <v>46305</v>
      </c>
      <c r="C242" s="63" t="str">
        <v>Saturday</v>
      </c>
      <c r="D242" s="179" t="s">
        <v>188</v>
      </c>
      <c r="E242" s="20">
        <f t="shared" si="67"/>
      </c>
      <c r="F242" s="96"/>
      <c r="G242" s="122" t="s">
        <v>189</v>
      </c>
      <c r="H242" s="20" t="s">
        <v>7</v>
      </c>
      <c r="I242" s="48"/>
      <c r="J242" s="83"/>
      <c r="K242" s="22"/>
      <c r="L242" s="22"/>
      <c r="M242" s="22"/>
      <c r="N242" s="22"/>
      <c r="O242" s="22"/>
      <c r="P242" s="22"/>
    </row>
    <row customHeight="true" ht="23.80952380952381" r="243">
      <c r="A243" s="43" t="s">
        <v>185</v>
      </c>
      <c r="B243" s="26">
        <v>46306</v>
      </c>
      <c r="C243" s="63" t="str">
        <v>Sunday</v>
      </c>
      <c r="D243" s="179" t="s">
        <v>186</v>
      </c>
      <c r="E243" s="20">
        <f t="shared" si="67"/>
      </c>
      <c r="F243" s="96" t="s">
        <v>180</v>
      </c>
      <c r="G243" s="122"/>
      <c r="H243" s="20" t="s">
        <v>7</v>
      </c>
      <c r="I243" s="48" t="s">
        <v>28</v>
      </c>
      <c r="J243" s="83"/>
      <c r="K243" s="22"/>
      <c r="L243" s="22"/>
      <c r="M243" s="22"/>
      <c r="N243" s="22"/>
      <c r="O243" s="22"/>
      <c r="P243" s="22"/>
    </row>
    <row customHeight="true" ht="23.80952380952381" r="244">
      <c r="A244" s="43"/>
      <c r="B244" s="26"/>
      <c r="C244" s="63"/>
      <c r="D244" s="179"/>
      <c r="E244" s="25"/>
      <c r="F244" s="96"/>
      <c r="G244" s="122"/>
      <c r="H244" s="20"/>
      <c r="I244" s="48"/>
      <c r="J244" s="83"/>
      <c r="K244" s="22"/>
      <c r="L244" s="22"/>
      <c r="M244" s="22"/>
      <c r="N244" s="22"/>
      <c r="O244" s="22"/>
      <c r="P244" s="22"/>
    </row>
    <row customHeight="true" ht="23.80952380952381" r="245">
      <c r="A245" s="43"/>
      <c r="B245" s="26"/>
      <c r="C245" s="63"/>
      <c r="D245" s="179"/>
      <c r="E245" s="25"/>
      <c r="F245" s="96"/>
      <c r="G245" s="122"/>
      <c r="H245" s="20"/>
      <c r="I245" s="48"/>
      <c r="J245" s="83"/>
      <c r="K245" s="22"/>
      <c r="L245" s="22"/>
      <c r="M245" s="22"/>
      <c r="N245" s="22"/>
      <c r="O245" s="22"/>
      <c r="P245" s="22"/>
    </row>
    <row customHeight="true" ht="23.80952380952381" r="246">
      <c r="A246" s="43"/>
      <c r="B246" s="26"/>
      <c r="C246" s="63"/>
      <c r="D246" s="179"/>
      <c r="E246" s="25"/>
      <c r="F246" s="96"/>
      <c r="G246" s="122"/>
      <c r="H246" s="20"/>
      <c r="I246" s="48"/>
      <c r="J246" s="83"/>
      <c r="K246" s="22"/>
      <c r="L246" s="22"/>
      <c r="M246" s="22"/>
      <c r="N246" s="22"/>
      <c r="O246" s="22"/>
      <c r="P246" s="22"/>
    </row>
    <row r="247">
      <c r="A247" s="196" t="s">
        <v>190</v>
      </c>
      <c r="B247" s="196"/>
      <c r="C247" s="196"/>
      <c r="D247" s="196"/>
      <c r="E247" s="197"/>
      <c r="F247" s="196"/>
      <c r="G247" s="197"/>
      <c r="H247" s="196"/>
      <c r="I247" s="196"/>
      <c r="J247" s="198"/>
      <c r="K247" s="57"/>
      <c r="L247" s="57"/>
      <c r="M247" s="57"/>
      <c r="N247" s="57"/>
      <c r="O247" s="57"/>
      <c r="P247" s="57"/>
    </row>
    <row r="248">
      <c r="A248" s="199" t="s">
        <v>16</v>
      </c>
      <c r="B248" s="200" t="s">
        <v>17</v>
      </c>
      <c r="C248" s="200"/>
      <c r="D248" s="201" t="s">
        <v>18</v>
      </c>
      <c r="E248" s="202" t="s">
        <v>19</v>
      </c>
      <c r="F248" s="202" t="s">
        <v>20</v>
      </c>
      <c r="G248" s="203" t="s">
        <v>33</v>
      </c>
      <c r="H248" s="204" t="s">
        <v>22</v>
      </c>
      <c r="I248" s="204" t="s">
        <v>23</v>
      </c>
      <c r="J248" s="205" t="s">
        <v>24</v>
      </c>
      <c r="K248" s="42"/>
      <c r="L248" s="42"/>
      <c r="M248" s="42"/>
      <c r="N248" s="42"/>
      <c r="O248" s="42"/>
      <c r="P248" s="42"/>
    </row>
    <row customHeight="true" ht="18.452380952380953" r="249">
      <c r="A249" s="63" t="s">
        <v>191</v>
      </c>
      <c r="B249" s="26">
        <v>46302</v>
      </c>
      <c r="C249" s="43" t="str">
        <v>Wednesday</v>
      </c>
      <c r="D249" s="145" t="s">
        <v>192</v>
      </c>
      <c r="E249" s="20">
        <f t="shared" ref="E249:E251" si="68">24*MOD(TIMEVALUE(TRIM(MID(D249,FIND("-",D249)+1,LEN(D249)))) - TIMEVALUE(TRIM(LEFT(D249,FIND("-",D249)-1))),1)</f>
      </c>
      <c r="F249" s="44" t="s">
        <v>193</v>
      </c>
      <c r="G249" s="122"/>
      <c r="H249" s="20" t="s">
        <v>7</v>
      </c>
      <c r="I249" s="48" t="s">
        <v>8</v>
      </c>
      <c r="J249" s="206" t="s">
        <v>194</v>
      </c>
      <c r="K249" s="22"/>
      <c r="L249" s="22"/>
      <c r="M249" s="22"/>
      <c r="N249" s="22"/>
      <c r="O249" s="22"/>
      <c r="P249" s="22"/>
    </row>
    <row customHeight="true" ht="18.452380952380953" r="250">
      <c r="A250" s="63" t="s">
        <v>191</v>
      </c>
      <c r="B250" s="26">
        <v>46303</v>
      </c>
      <c r="C250" s="43" t="str">
        <v>Thursday</v>
      </c>
      <c r="D250" s="145" t="s">
        <v>195</v>
      </c>
      <c r="E250" s="20">
        <f t="shared" si="68"/>
      </c>
      <c r="F250" s="44" t="s">
        <v>193</v>
      </c>
      <c r="G250" s="122"/>
      <c r="H250" s="20" t="s">
        <v>7</v>
      </c>
      <c r="I250" s="48" t="s">
        <v>8</v>
      </c>
      <c r="J250" s="206" t="s">
        <v>194</v>
      </c>
      <c r="K250" s="22"/>
      <c r="L250" s="22"/>
      <c r="M250" s="22"/>
      <c r="N250" s="22"/>
      <c r="O250" s="22"/>
      <c r="P250" s="22"/>
    </row>
    <row customHeight="true" ht="18.452380952380953" r="251">
      <c r="A251" s="63" t="s">
        <v>191</v>
      </c>
      <c r="B251" s="144">
        <v>46306</v>
      </c>
      <c r="C251" s="63" t="str">
        <v>Sunday</v>
      </c>
      <c r="D251" s="145" t="s">
        <v>192</v>
      </c>
      <c r="E251" s="119">
        <f t="shared" si="68"/>
      </c>
      <c r="F251" s="207" t="s">
        <v>196</v>
      </c>
      <c r="G251" s="122" t="s">
        <v>197</v>
      </c>
      <c r="H251" s="119" t="s">
        <v>7</v>
      </c>
      <c r="I251" s="119" t="s">
        <v>8</v>
      </c>
      <c r="J251" s="208"/>
      <c r="K251" s="209"/>
      <c r="L251" s="209"/>
      <c r="M251" s="209"/>
      <c r="N251" s="209"/>
      <c r="O251" s="209"/>
      <c r="P251" s="209"/>
      <c r="Q251" s="210"/>
      <c r="R251" s="210"/>
    </row>
    <row customHeight="true" ht="18.452380952380953" r="252">
      <c r="A252" s="63"/>
      <c r="B252" s="26"/>
      <c r="C252" s="43"/>
      <c r="D252" s="145"/>
      <c r="E252" s="20"/>
      <c r="F252" s="44"/>
      <c r="G252" s="122"/>
      <c r="H252" s="20"/>
      <c r="I252" s="48"/>
      <c r="J252" s="206"/>
      <c r="K252" s="22"/>
      <c r="L252" s="22"/>
      <c r="M252" s="22"/>
      <c r="N252" s="22"/>
      <c r="O252" s="22"/>
      <c r="P252" s="22"/>
    </row>
    <row customHeight="true" ht="18.452380952380953" r="253">
      <c r="A253" s="63" t="s">
        <v>198</v>
      </c>
      <c r="B253" s="26">
        <v>46302</v>
      </c>
      <c r="C253" s="43" t="str">
        <v>Wednesday</v>
      </c>
      <c r="D253" s="145" t="s">
        <v>199</v>
      </c>
      <c r="E253" s="20">
        <f>24*MOD(TIMEVALUE(TRIM(MID(D253,FIND("-",D253)+1,LEN(D253)))) - TIMEVALUE(TRIM(LEFT(D253,FIND("-",D253)-1))),1)</f>
      </c>
      <c r="F253" s="20" t="s">
        <v>82</v>
      </c>
      <c r="G253" s="122"/>
      <c r="H253" s="20" t="s">
        <v>7</v>
      </c>
      <c r="I253" s="48" t="s">
        <v>8</v>
      </c>
      <c r="J253" s="206"/>
      <c r="K253" s="22"/>
      <c r="L253" s="22"/>
      <c r="M253" s="22"/>
      <c r="N253" s="22"/>
      <c r="O253" s="22"/>
      <c r="P253" s="22"/>
    </row>
    <row customHeight="true" ht="18.452380952380953" r="254">
      <c r="A254" s="63"/>
      <c r="B254" s="26"/>
      <c r="C254" s="43"/>
      <c r="D254" s="145"/>
      <c r="E254" s="20"/>
      <c r="F254" s="20"/>
      <c r="G254" s="122"/>
      <c r="H254" s="20"/>
      <c r="I254" s="48"/>
      <c r="J254" s="206"/>
      <c r="K254" s="22"/>
      <c r="L254" s="22"/>
      <c r="M254" s="22"/>
      <c r="N254" s="22"/>
      <c r="O254" s="22"/>
      <c r="P254" s="22"/>
    </row>
    <row customHeight="true" ht="18.452380952380953" r="255">
      <c r="A255" s="63"/>
      <c r="B255" s="26"/>
      <c r="C255" s="43"/>
      <c r="D255" s="145"/>
      <c r="E255" s="20"/>
      <c r="F255" s="44"/>
      <c r="G255" s="122"/>
      <c r="H255" s="20"/>
      <c r="I255" s="48"/>
      <c r="J255" s="206"/>
      <c r="K255" s="22"/>
      <c r="L255" s="22"/>
      <c r="M255" s="22"/>
      <c r="N255" s="22"/>
      <c r="O255" s="22"/>
      <c r="P255" s="22"/>
    </row>
    <row customHeight="true" ht="18.452380952380953" r="256">
      <c r="A256" s="63" t="s">
        <v>200</v>
      </c>
      <c r="B256" s="26">
        <v>46302</v>
      </c>
      <c r="C256" s="43" t="str">
        <v>Wednesday</v>
      </c>
      <c r="D256" s="145" t="s">
        <v>201</v>
      </c>
      <c r="E256" s="20">
        <f t="shared" ref="E256:E263" si="69">24*MOD(TIMEVALUE(TRIM(MID(D256,FIND("-",D256)+1,LEN(D256)))) - TIMEVALUE(TRIM(LEFT(D256,FIND("-",D256)-1))),1)</f>
      </c>
      <c r="F256" s="44" t="s">
        <v>193</v>
      </c>
      <c r="G256" s="122"/>
      <c r="H256" s="20" t="s">
        <v>7</v>
      </c>
      <c r="I256" s="48" t="s">
        <v>8</v>
      </c>
      <c r="J256" s="206" t="s">
        <v>194</v>
      </c>
      <c r="K256" s="22"/>
      <c r="L256" s="22"/>
      <c r="M256" s="22"/>
      <c r="N256" s="22"/>
      <c r="O256" s="22"/>
      <c r="P256" s="22"/>
    </row>
    <row customHeight="true" ht="18.452380952380953" r="257">
      <c r="A257" s="63" t="s">
        <v>200</v>
      </c>
      <c r="B257" s="26">
        <v>46301</v>
      </c>
      <c r="C257" s="43" t="str">
        <v>Tuesday</v>
      </c>
      <c r="D257" s="145" t="s">
        <v>202</v>
      </c>
      <c r="E257" s="20">
        <f t="shared" si="69"/>
      </c>
      <c r="F257" s="44" t="s">
        <v>193</v>
      </c>
      <c r="G257" s="122"/>
      <c r="H257" s="20" t="s">
        <v>7</v>
      </c>
      <c r="I257" s="48" t="s">
        <v>8</v>
      </c>
      <c r="J257" s="206"/>
      <c r="K257" s="22"/>
      <c r="L257" s="22"/>
      <c r="M257" s="22"/>
      <c r="N257" s="22"/>
      <c r="O257" s="22"/>
      <c r="P257" s="22"/>
    </row>
    <row customHeight="true" ht="31.392166696070717" r="258">
      <c r="A258" s="63" t="s">
        <v>200</v>
      </c>
      <c r="B258" s="144">
        <v>46301</v>
      </c>
      <c r="C258" s="63" t="str">
        <v>Tuesday</v>
      </c>
      <c r="D258" s="145" t="s">
        <v>203</v>
      </c>
      <c r="E258" s="119">
        <f t="shared" si="69"/>
      </c>
      <c r="F258" s="207" t="s">
        <v>196</v>
      </c>
      <c r="G258" s="122" t="s">
        <v>204</v>
      </c>
      <c r="H258" s="119" t="s">
        <v>7</v>
      </c>
      <c r="I258" s="119" t="s">
        <v>8</v>
      </c>
      <c r="J258" s="208"/>
      <c r="K258" s="22"/>
      <c r="L258" s="22"/>
      <c r="M258" s="22"/>
      <c r="N258" s="22"/>
      <c r="O258" s="22"/>
      <c r="P258" s="22"/>
    </row>
    <row customHeight="true" ht="18.452380952380953" r="259">
      <c r="A259" s="63" t="s">
        <v>200</v>
      </c>
      <c r="B259" s="26">
        <v>46303</v>
      </c>
      <c r="C259" s="43" t="str">
        <v>Thursday</v>
      </c>
      <c r="D259" s="145" t="s">
        <v>205</v>
      </c>
      <c r="E259" s="20">
        <f t="shared" si="69"/>
      </c>
      <c r="F259" s="44" t="s">
        <v>193</v>
      </c>
      <c r="G259" s="122"/>
      <c r="H259" s="20" t="s">
        <v>7</v>
      </c>
      <c r="I259" s="48" t="s">
        <v>8</v>
      </c>
      <c r="J259" s="206"/>
      <c r="K259" s="22"/>
      <c r="L259" s="22"/>
      <c r="M259" s="22"/>
      <c r="N259" s="22"/>
      <c r="O259" s="22"/>
      <c r="P259" s="22"/>
    </row>
    <row customHeight="true" ht="18.452380952380953" r="260">
      <c r="A260" s="63" t="s">
        <v>200</v>
      </c>
      <c r="B260" s="144">
        <v>46303</v>
      </c>
      <c r="C260" s="63" t="str">
        <v>Thursday</v>
      </c>
      <c r="D260" s="145" t="s">
        <v>182</v>
      </c>
      <c r="E260" s="119">
        <f t="shared" si="69"/>
      </c>
      <c r="F260" s="207" t="s">
        <v>196</v>
      </c>
      <c r="G260" s="122" t="s">
        <v>206</v>
      </c>
      <c r="H260" s="119" t="s">
        <v>7</v>
      </c>
      <c r="I260" s="119" t="s">
        <v>8</v>
      </c>
      <c r="J260" s="208"/>
      <c r="K260" s="22"/>
      <c r="L260" s="22"/>
      <c r="M260" s="22"/>
      <c r="N260" s="22"/>
      <c r="O260" s="22"/>
      <c r="P260" s="22"/>
    </row>
    <row customHeight="true" ht="37.9681304148916" r="261">
      <c r="A261" s="63" t="s">
        <v>200</v>
      </c>
      <c r="B261" s="144">
        <v>46303</v>
      </c>
      <c r="C261" s="63" t="str">
        <v>Thursday</v>
      </c>
      <c r="D261" s="145" t="s">
        <v>207</v>
      </c>
      <c r="E261" s="119">
        <f t="shared" si="69"/>
      </c>
      <c r="F261" s="207" t="s">
        <v>196</v>
      </c>
      <c r="G261" s="122" t="s">
        <v>208</v>
      </c>
      <c r="H261" s="119" t="s">
        <v>7</v>
      </c>
      <c r="I261" s="119" t="s">
        <v>8</v>
      </c>
      <c r="J261" s="208"/>
      <c r="K261" s="22"/>
      <c r="L261" s="22"/>
      <c r="M261" s="22"/>
      <c r="N261" s="22"/>
      <c r="O261" s="22"/>
      <c r="P261" s="22"/>
    </row>
    <row customHeight="true" ht="18.452380952380953" r="262">
      <c r="A262" s="63" t="s">
        <v>200</v>
      </c>
      <c r="B262" s="26">
        <v>46303</v>
      </c>
      <c r="C262" s="43" t="str">
        <v>Thursday</v>
      </c>
      <c r="D262" s="145" t="s">
        <v>209</v>
      </c>
      <c r="E262" s="20">
        <f t="shared" si="69"/>
      </c>
      <c r="F262" s="44" t="s">
        <v>193</v>
      </c>
      <c r="G262" s="122"/>
      <c r="H262" s="20" t="s">
        <v>7</v>
      </c>
      <c r="I262" s="48" t="s">
        <v>8</v>
      </c>
      <c r="J262" s="206" t="s">
        <v>194</v>
      </c>
      <c r="K262" s="22"/>
      <c r="L262" s="22"/>
      <c r="M262" s="22"/>
      <c r="N262" s="22"/>
      <c r="O262" s="22"/>
      <c r="P262" s="22"/>
    </row>
    <row customHeight="true" ht="18.452380952380953" r="263">
      <c r="A263" s="63" t="s">
        <v>200</v>
      </c>
      <c r="B263" s="144">
        <v>46306</v>
      </c>
      <c r="C263" s="63" t="str">
        <v>Sunday</v>
      </c>
      <c r="D263" s="145" t="s">
        <v>210</v>
      </c>
      <c r="E263" s="119">
        <f t="shared" si="69"/>
      </c>
      <c r="F263" s="207" t="s">
        <v>196</v>
      </c>
      <c r="G263" s="122" t="s">
        <v>211</v>
      </c>
      <c r="H263" s="119" t="s">
        <v>7</v>
      </c>
      <c r="I263" s="119" t="s">
        <v>8</v>
      </c>
      <c r="J263" s="123"/>
      <c r="K263" s="22"/>
      <c r="L263" s="22"/>
      <c r="M263" s="22"/>
      <c r="N263" s="22"/>
      <c r="O263" s="22"/>
      <c r="P263" s="22"/>
    </row>
    <row customHeight="true" ht="16.071428571428573" r="264">
      <c r="A264" s="211"/>
      <c r="B264" s="212"/>
      <c r="C264" s="212"/>
      <c r="D264" s="212"/>
      <c r="E264" s="213"/>
      <c r="F264" s="212"/>
      <c r="G264" s="213"/>
      <c r="H264" s="212"/>
      <c r="I264" s="212"/>
      <c r="J264" s="214"/>
      <c r="K264" s="57"/>
      <c r="L264" s="57"/>
      <c r="M264" s="57"/>
      <c r="N264" s="57"/>
      <c r="O264" s="57"/>
      <c r="P264" s="57"/>
      <c r="Q264" s="69"/>
      <c r="R264" s="69"/>
    </row>
    <row customHeight="true" ht="38.970588235277624" r="265">
      <c r="A265" s="215" t="s">
        <v>212</v>
      </c>
      <c r="B265" s="215"/>
      <c r="C265" s="216"/>
      <c r="D265" s="217"/>
      <c r="E265" s="216"/>
      <c r="F265" s="216"/>
      <c r="G265" s="216"/>
      <c r="H265" s="217"/>
      <c r="I265" s="216"/>
      <c r="J265" s="216"/>
      <c r="K265" s="98"/>
      <c r="L265" s="98"/>
      <c r="M265" s="98"/>
      <c r="N265" s="98"/>
      <c r="O265" s="98"/>
      <c r="P265" s="98"/>
    </row>
    <row customHeight="true" ht="65.32578205231651" r="266">
      <c r="A266" s="218" t="s">
        <v>16</v>
      </c>
      <c r="B266" s="219" t="s">
        <v>17</v>
      </c>
      <c r="C266" s="219"/>
      <c r="D266" s="220" t="s">
        <v>18</v>
      </c>
      <c r="E266" s="221" t="s">
        <v>19</v>
      </c>
      <c r="F266" s="221" t="s">
        <v>20</v>
      </c>
      <c r="G266" s="222" t="s">
        <v>33</v>
      </c>
      <c r="H266" s="221" t="s">
        <v>22</v>
      </c>
      <c r="I266" s="221" t="s">
        <v>23</v>
      </c>
      <c r="J266" s="223" t="s">
        <v>24</v>
      </c>
      <c r="K266" s="42"/>
      <c r="L266" s="42"/>
      <c r="M266" s="42"/>
      <c r="N266" s="42"/>
      <c r="O266" s="42"/>
      <c r="P266" s="42"/>
    </row>
    <row customHeight="true" ht="16.071428571428573" r="267">
      <c r="A267" s="43" t="s">
        <v>213</v>
      </c>
      <c r="B267" s="26">
        <v>46301</v>
      </c>
      <c r="C267" s="43" t="str">
        <v>Tuesday</v>
      </c>
      <c r="D267" s="145" t="s">
        <v>214</v>
      </c>
      <c r="E267" s="20">
        <f t="shared" ref="E267:E270" si="70">24*MOD(TIMEVALUE(TRIM(MID(D267,FIND("-",D267)+1,LEN(D267)))) - TIMEVALUE(TRIM(LEFT(D267,FIND("-",D267)-1))),1)</f>
      </c>
      <c r="F267" s="224" t="s">
        <v>215</v>
      </c>
      <c r="G267" s="20"/>
      <c r="H267" s="20" t="s">
        <v>7</v>
      </c>
      <c r="I267" s="48" t="s">
        <v>8</v>
      </c>
      <c r="J267" s="145" t="s">
        <v>216</v>
      </c>
      <c r="K267" s="194"/>
      <c r="L267" s="194"/>
      <c r="M267" s="194"/>
      <c r="N267" s="194"/>
      <c r="O267" s="194"/>
      <c r="P267" s="194"/>
      <c r="Q267" s="194"/>
      <c r="R267" s="194"/>
    </row>
    <row customHeight="true" ht="16.071428571428573" r="268">
      <c r="A268" s="43" t="s">
        <v>213</v>
      </c>
      <c r="B268" s="26">
        <v>46302</v>
      </c>
      <c r="C268" s="43" t="str">
        <v>Wednesday</v>
      </c>
      <c r="D268" s="145" t="s">
        <v>217</v>
      </c>
      <c r="E268" s="20">
        <f t="shared" si="70"/>
      </c>
      <c r="F268" s="44" t="s">
        <v>193</v>
      </c>
      <c r="G268" s="20"/>
      <c r="H268" s="20" t="s">
        <v>7</v>
      </c>
      <c r="I268" s="48" t="s">
        <v>8</v>
      </c>
      <c r="J268" s="145" t="s">
        <v>216</v>
      </c>
      <c r="K268" s="194"/>
      <c r="L268" s="194"/>
      <c r="M268" s="194"/>
      <c r="N268" s="194"/>
      <c r="O268" s="194"/>
      <c r="P268" s="194"/>
      <c r="Q268" s="194"/>
      <c r="R268" s="194"/>
    </row>
    <row customHeight="true" ht="16.071428571428573" r="269">
      <c r="A269" s="43" t="s">
        <v>213</v>
      </c>
      <c r="B269" s="26">
        <v>46304</v>
      </c>
      <c r="C269" s="43" t="str">
        <v>Friday</v>
      </c>
      <c r="D269" s="145" t="s">
        <v>217</v>
      </c>
      <c r="E269" s="20">
        <f t="shared" si="70"/>
      </c>
      <c r="F269" s="44" t="s">
        <v>218</v>
      </c>
      <c r="G269" s="122" t="s">
        <v>219</v>
      </c>
      <c r="H269" s="20" t="s">
        <v>7</v>
      </c>
      <c r="I269" s="48" t="s">
        <v>8</v>
      </c>
      <c r="J269" s="145" t="s">
        <v>216</v>
      </c>
      <c r="K269" s="194"/>
      <c r="L269" s="194"/>
      <c r="M269" s="194"/>
      <c r="N269" s="194"/>
      <c r="O269" s="194"/>
      <c r="P269" s="194"/>
      <c r="Q269" s="194"/>
      <c r="R269" s="194"/>
    </row>
    <row customHeight="true" ht="16.071428571428573" r="270">
      <c r="A270" s="43" t="s">
        <v>213</v>
      </c>
      <c r="B270" s="26">
        <v>46303</v>
      </c>
      <c r="C270" s="43" t="str">
        <v>Thursday</v>
      </c>
      <c r="D270" s="145" t="s">
        <v>184</v>
      </c>
      <c r="E270" s="20">
        <f t="shared" si="70"/>
      </c>
      <c r="F270" s="44" t="s">
        <v>193</v>
      </c>
      <c r="G270" s="20"/>
      <c r="H270" s="20" t="s">
        <v>7</v>
      </c>
      <c r="I270" s="48" t="s">
        <v>28</v>
      </c>
      <c r="J270" s="145"/>
      <c r="K270" s="194"/>
      <c r="L270" s="194"/>
      <c r="M270" s="194"/>
      <c r="N270" s="194"/>
      <c r="O270" s="194"/>
      <c r="P270" s="194"/>
      <c r="Q270" s="194"/>
      <c r="R270" s="194"/>
    </row>
    <row customHeight="true" ht="16.071428571428573" r="271">
      <c r="A271" s="43"/>
      <c r="B271" s="26"/>
      <c r="C271" s="43"/>
      <c r="D271" s="145"/>
      <c r="E271" s="50"/>
      <c r="F271" s="44"/>
      <c r="G271" s="20"/>
      <c r="H271" s="20"/>
      <c r="I271" s="48"/>
      <c r="J271" s="145"/>
      <c r="K271" s="194"/>
      <c r="L271" s="194"/>
      <c r="M271" s="194"/>
      <c r="N271" s="194"/>
      <c r="O271" s="194"/>
      <c r="P271" s="194"/>
      <c r="Q271" s="194"/>
      <c r="R271" s="194"/>
    </row>
    <row customHeight="true" ht="16.071428571428573" r="272">
      <c r="A272" s="63"/>
      <c r="B272" s="144"/>
      <c r="C272" s="63"/>
      <c r="D272" s="145"/>
      <c r="E272" s="145"/>
      <c r="F272" s="224"/>
      <c r="G272" s="119"/>
      <c r="H272" s="119"/>
      <c r="I272" s="119"/>
      <c r="J272" s="145"/>
      <c r="K272" s="22"/>
      <c r="L272" s="22"/>
      <c r="M272" s="22"/>
      <c r="N272" s="22"/>
      <c r="O272" s="22"/>
      <c r="P272" s="22"/>
      <c r="Q272" s="22"/>
      <c r="R272" s="22"/>
      <c r="S272" s="69"/>
      <c r="T272" s="69"/>
      <c r="U272" s="69"/>
      <c r="V272" s="69"/>
      <c r="W272" s="69"/>
      <c r="X272" s="69"/>
      <c r="Y272" s="69"/>
      <c r="Z272" s="69"/>
      <c r="AA272" s="69"/>
    </row>
    <row customHeight="true" ht="16.071428571428573" r="273">
      <c r="A273" s="43"/>
      <c r="B273" s="26"/>
      <c r="C273" s="43"/>
      <c r="D273" s="145"/>
      <c r="E273" s="20"/>
      <c r="F273" s="44"/>
      <c r="G273" s="122"/>
      <c r="H273" s="20"/>
      <c r="I273" s="48"/>
      <c r="J273" s="25"/>
      <c r="K273" s="194"/>
      <c r="L273" s="194"/>
      <c r="M273" s="194"/>
      <c r="N273" s="194"/>
      <c r="O273" s="194"/>
      <c r="P273" s="194"/>
      <c r="Q273" s="194"/>
      <c r="R273" s="194"/>
    </row>
    <row customHeight="true" ht="16.071428571428573" r="274">
      <c r="A274" s="43" t="s">
        <v>220</v>
      </c>
      <c r="B274" s="26">
        <v>46300</v>
      </c>
      <c r="C274" s="43" t="str">
        <v>Monday</v>
      </c>
      <c r="D274" s="145" t="s">
        <v>221</v>
      </c>
      <c r="E274" s="20">
        <f t="shared" ref="E274:E275" si="71">24*MOD(TIMEVALUE(TRIM(MID(D274,FIND("-",D274)+1,LEN(D274)))) - TIMEVALUE(TRIM(LEFT(D274,FIND("-",D274)-1))),1)</f>
      </c>
      <c r="F274" s="224" t="s">
        <v>215</v>
      </c>
      <c r="G274" s="122"/>
      <c r="H274" s="20"/>
      <c r="I274" s="48"/>
      <c r="J274" s="225"/>
      <c r="K274" s="22"/>
      <c r="L274" s="22"/>
      <c r="M274" s="22"/>
      <c r="N274" s="22"/>
      <c r="O274" s="22"/>
      <c r="P274" s="22"/>
      <c r="Q274" s="22"/>
      <c r="R274" s="22"/>
    </row>
    <row customHeight="true" ht="16.071428571428573" r="275">
      <c r="A275" s="43" t="s">
        <v>220</v>
      </c>
      <c r="B275" s="26">
        <v>46300</v>
      </c>
      <c r="C275" s="43" t="str">
        <v>Monday</v>
      </c>
      <c r="D275" s="145" t="s">
        <v>221</v>
      </c>
      <c r="E275" s="20">
        <f t="shared" si="71"/>
      </c>
      <c r="F275" s="20" t="s">
        <v>82</v>
      </c>
      <c r="G275" s="122"/>
      <c r="H275" s="20" t="s">
        <v>7</v>
      </c>
      <c r="I275" s="48" t="s">
        <v>8</v>
      </c>
      <c r="J275" s="225"/>
      <c r="K275" s="22"/>
      <c r="L275" s="22"/>
      <c r="M275" s="22"/>
      <c r="N275" s="22"/>
      <c r="O275" s="22"/>
      <c r="P275" s="22"/>
      <c r="Q275" s="22"/>
      <c r="R275" s="22"/>
    </row>
    <row customHeight="true" ht="16.071428571428573" r="276">
      <c r="A276" s="43"/>
      <c r="B276" s="26"/>
      <c r="C276" s="43"/>
      <c r="D276" s="145"/>
      <c r="E276" s="20"/>
      <c r="F276" s="20"/>
      <c r="G276" s="122"/>
      <c r="H276" s="119"/>
      <c r="I276" s="48"/>
      <c r="J276" s="25"/>
      <c r="K276" s="194"/>
      <c r="L276" s="194"/>
      <c r="M276" s="194"/>
      <c r="N276" s="194"/>
      <c r="O276" s="194"/>
      <c r="P276" s="194"/>
      <c r="Q276" s="194"/>
      <c r="R276" s="194"/>
    </row>
    <row customHeight="true" ht="16.071428571428573" r="277">
      <c r="A277" s="43" t="s">
        <v>222</v>
      </c>
      <c r="B277" s="26">
        <v>46301</v>
      </c>
      <c r="C277" s="43" t="str">
        <v>Tuesday</v>
      </c>
      <c r="D277" s="145" t="s">
        <v>223</v>
      </c>
      <c r="E277" s="20">
        <f t="shared" ref="E277:E279" si="72">24*MOD(TIMEVALUE(TRIM(MID(D277,FIND("-",D277)+1,LEN(D277)))) - TIMEVALUE(TRIM(LEFT(D277,FIND("-",D277)-1))),1)</f>
      </c>
      <c r="F277" s="20" t="s">
        <v>82</v>
      </c>
      <c r="G277" s="122"/>
      <c r="H277" s="20" t="s">
        <v>7</v>
      </c>
      <c r="I277" s="48" t="s">
        <v>8</v>
      </c>
      <c r="J277" s="225"/>
      <c r="K277" s="22"/>
      <c r="L277" s="22"/>
      <c r="M277" s="22"/>
      <c r="N277" s="22"/>
      <c r="O277" s="22"/>
      <c r="P277" s="22"/>
      <c r="Q277" s="22"/>
      <c r="R277" s="22"/>
    </row>
    <row customHeight="true" ht="16.071428571428573" r="278">
      <c r="A278" s="43" t="s">
        <v>222</v>
      </c>
      <c r="B278" s="26">
        <v>46302</v>
      </c>
      <c r="C278" s="43" t="str">
        <v>Wednesday</v>
      </c>
      <c r="D278" s="145" t="s">
        <v>224</v>
      </c>
      <c r="E278" s="20">
        <f t="shared" si="72"/>
      </c>
      <c r="F278" s="20" t="s">
        <v>82</v>
      </c>
      <c r="G278" s="122"/>
      <c r="H278" s="20" t="s">
        <v>7</v>
      </c>
      <c r="I278" s="48" t="s">
        <v>8</v>
      </c>
      <c r="J278" s="25"/>
      <c r="K278" s="22"/>
      <c r="L278" s="22"/>
      <c r="M278" s="22"/>
      <c r="N278" s="22"/>
      <c r="O278" s="22"/>
      <c r="P278" s="22"/>
      <c r="Q278" s="22"/>
      <c r="R278" s="22"/>
    </row>
    <row customHeight="true" ht="16.071428571428573" r="279">
      <c r="A279" s="43" t="s">
        <v>222</v>
      </c>
      <c r="B279" s="26">
        <v>46304</v>
      </c>
      <c r="C279" s="43" t="str">
        <v>Friday</v>
      </c>
      <c r="D279" s="145" t="s">
        <v>224</v>
      </c>
      <c r="E279" s="20">
        <f t="shared" si="72"/>
      </c>
      <c r="F279" s="20" t="s">
        <v>82</v>
      </c>
      <c r="G279" s="122"/>
      <c r="H279" s="20" t="s">
        <v>7</v>
      </c>
      <c r="I279" s="48" t="s">
        <v>8</v>
      </c>
      <c r="J279" s="119"/>
      <c r="K279" s="22"/>
      <c r="L279" s="22"/>
      <c r="M279" s="22"/>
      <c r="N279" s="22"/>
      <c r="O279" s="22"/>
      <c r="P279" s="22"/>
      <c r="Q279" s="22"/>
      <c r="R279" s="22"/>
    </row>
    <row customHeight="true" ht="28.641456582615668" r="280">
      <c r="A280" s="43"/>
      <c r="B280" s="26"/>
      <c r="C280" s="43"/>
      <c r="D280" s="145"/>
      <c r="E280" s="20"/>
      <c r="F280" s="44"/>
      <c r="G280" s="122"/>
      <c r="H280" s="119"/>
      <c r="I280" s="48"/>
      <c r="J280" s="25"/>
      <c r="K280" s="194"/>
      <c r="L280" s="194"/>
      <c r="M280" s="194"/>
      <c r="N280" s="194"/>
      <c r="O280" s="194"/>
      <c r="P280" s="194"/>
      <c r="Q280" s="194"/>
      <c r="R280" s="194"/>
    </row>
    <row customHeight="true" ht="16.071428571428573" r="281">
      <c r="A281" s="63"/>
      <c r="B281" s="226"/>
      <c r="C281" s="227"/>
      <c r="D281" s="228"/>
      <c r="E281" s="229"/>
      <c r="F281" s="44"/>
      <c r="G281" s="20"/>
      <c r="H281" s="20"/>
      <c r="I281" s="48"/>
      <c r="J281" s="25"/>
      <c r="K281" s="22"/>
      <c r="L281" s="22"/>
      <c r="M281" s="22"/>
      <c r="N281" s="22"/>
      <c r="O281" s="22"/>
      <c r="P281" s="22"/>
    </row>
    <row customHeight="true" ht="16.071428571428573" r="282">
      <c r="A282" s="63"/>
      <c r="B282" s="226"/>
      <c r="C282" s="227"/>
      <c r="D282" s="228"/>
      <c r="E282" s="229"/>
      <c r="F282" s="20"/>
      <c r="G282" s="122"/>
      <c r="H282" s="20"/>
      <c r="I282" s="48"/>
      <c r="J282" s="25"/>
      <c r="K282" s="22"/>
      <c r="L282" s="22"/>
      <c r="M282" s="22"/>
      <c r="N282" s="22"/>
      <c r="O282" s="22"/>
      <c r="P282" s="22"/>
    </row>
    <row customHeight="true" ht="16.071428571428573" r="283">
      <c r="A283" s="63"/>
      <c r="B283" s="144"/>
      <c r="C283" s="63"/>
      <c r="D283" s="145"/>
      <c r="E283" s="145"/>
      <c r="F283" s="119"/>
      <c r="G283" s="122"/>
      <c r="H283" s="119"/>
      <c r="I283" s="32"/>
      <c r="J283" s="119"/>
      <c r="K283" s="22"/>
      <c r="L283" s="22"/>
      <c r="M283" s="22"/>
      <c r="N283" s="22"/>
      <c r="O283" s="22"/>
      <c r="P283" s="22"/>
      <c r="Q283" s="22"/>
      <c r="R283" s="22"/>
    </row>
    <row customHeight="true" ht="35.224228580930884" r="284">
      <c r="A284" s="230" t="s">
        <v>225</v>
      </c>
      <c r="B284" s="164"/>
      <c r="C284" s="164"/>
      <c r="D284" s="164"/>
      <c r="E284" s="231"/>
      <c r="F284" s="164"/>
      <c r="G284" s="231"/>
      <c r="H284" s="164"/>
      <c r="I284" s="164"/>
      <c r="J284" s="166"/>
      <c r="K284" s="167"/>
      <c r="L284" s="167"/>
      <c r="M284" s="167"/>
      <c r="N284" s="167"/>
      <c r="O284" s="167"/>
      <c r="P284" s="167"/>
      <c r="Q284" s="168"/>
      <c r="R284" s="168"/>
    </row>
    <row customHeight="true" ht="39.285714285714285" r="285">
      <c r="A285" s="169" t="s">
        <v>16</v>
      </c>
      <c r="B285" s="170" t="s">
        <v>17</v>
      </c>
      <c r="C285" s="170"/>
      <c r="D285" s="171" t="s">
        <v>18</v>
      </c>
      <c r="E285" s="172" t="s">
        <v>19</v>
      </c>
      <c r="F285" s="172" t="s">
        <v>20</v>
      </c>
      <c r="G285" s="232" t="s">
        <v>33</v>
      </c>
      <c r="H285" s="174" t="s">
        <v>22</v>
      </c>
      <c r="I285" s="174" t="s">
        <v>23</v>
      </c>
      <c r="J285" s="175" t="s">
        <v>24</v>
      </c>
      <c r="K285" s="176"/>
      <c r="L285" s="176"/>
      <c r="M285" s="176"/>
      <c r="N285" s="176"/>
      <c r="O285" s="176"/>
      <c r="P285" s="176"/>
      <c r="Q285" s="168"/>
      <c r="R285" s="168"/>
    </row>
    <row customHeight="true" ht="16.071428571428573" r="286">
      <c r="A286" s="63"/>
      <c r="B286" s="26"/>
      <c r="C286" s="43"/>
      <c r="D286" s="145"/>
      <c r="E286" s="20"/>
      <c r="F286" s="18"/>
      <c r="G286" s="18"/>
      <c r="H286" s="119"/>
      <c r="I286" s="119"/>
      <c r="J286" s="145"/>
      <c r="K286" s="22"/>
      <c r="L286" s="22"/>
      <c r="M286" s="22"/>
      <c r="N286" s="22"/>
      <c r="O286" s="22"/>
      <c r="P286" s="22"/>
      <c r="Q286" s="22"/>
      <c r="R286" s="22"/>
    </row>
    <row customHeight="true" ht="16.071428571428573" r="287">
      <c r="A287" s="63"/>
      <c r="B287" s="26"/>
      <c r="C287" s="43"/>
      <c r="D287" s="145"/>
      <c r="E287" s="20"/>
      <c r="F287" s="18"/>
      <c r="G287" s="20"/>
      <c r="H287" s="119"/>
      <c r="I287" s="119"/>
      <c r="J287" s="145"/>
      <c r="K287" s="22"/>
      <c r="L287" s="22"/>
      <c r="M287" s="22"/>
      <c r="N287" s="22"/>
      <c r="O287" s="22"/>
      <c r="P287" s="22"/>
      <c r="Q287" s="22"/>
      <c r="R287" s="22"/>
    </row>
    <row customHeight="true" ht="16.071428571428573" r="288">
      <c r="A288" s="63" t="s">
        <v>226</v>
      </c>
      <c r="B288" s="26">
        <v>46300</v>
      </c>
      <c r="C288" s="43" t="str">
        <v>Monday</v>
      </c>
      <c r="D288" s="145" t="s">
        <v>227</v>
      </c>
      <c r="E288" s="20">
        <f t="shared" ref="E288:E289" si="73">24*MOD(TIMEVALUE(TRIM(MID(D288,FIND("-",D288)+1,LEN(D288)))) - TIMEVALUE(TRIM(LEFT(D288,FIND("-",D288)-1))),1)</f>
      </c>
      <c r="F288" s="18" t="s">
        <v>228</v>
      </c>
      <c r="G288" s="20"/>
      <c r="H288" s="119" t="s">
        <v>7</v>
      </c>
      <c r="I288" s="119" t="s">
        <v>8</v>
      </c>
      <c r="J288" s="145"/>
      <c r="K288" s="22"/>
      <c r="L288" s="22"/>
      <c r="M288" s="22"/>
      <c r="N288" s="22"/>
      <c r="O288" s="22"/>
      <c r="P288" s="22"/>
      <c r="Q288" s="22"/>
      <c r="R288" s="22"/>
    </row>
    <row customHeight="true" ht="16.071428571428573" r="289">
      <c r="A289" s="63" t="s">
        <v>226</v>
      </c>
      <c r="B289" s="26">
        <v>46300</v>
      </c>
      <c r="C289" s="43" t="str">
        <v>Monday</v>
      </c>
      <c r="D289" s="145" t="s">
        <v>229</v>
      </c>
      <c r="E289" s="20">
        <f t="shared" si="73"/>
      </c>
      <c r="F289" s="18" t="s">
        <v>230</v>
      </c>
      <c r="G289" s="20"/>
      <c r="H289" s="119" t="s">
        <v>7</v>
      </c>
      <c r="I289" s="119" t="s">
        <v>8</v>
      </c>
      <c r="J289" s="145"/>
      <c r="K289" s="22"/>
      <c r="L289" s="22"/>
      <c r="M289" s="22"/>
      <c r="N289" s="22"/>
      <c r="O289" s="22"/>
      <c r="P289" s="22"/>
      <c r="Q289" s="22"/>
      <c r="R289" s="22"/>
    </row>
    <row customHeight="true" ht="16.071428571428573" r="290">
      <c r="A290" s="63"/>
      <c r="B290" s="26"/>
      <c r="C290" s="43"/>
      <c r="D290" s="145"/>
      <c r="E290" s="20"/>
      <c r="F290" s="18"/>
      <c r="G290" s="20"/>
      <c r="H290" s="119"/>
      <c r="I290" s="119"/>
      <c r="J290" s="145"/>
      <c r="K290" s="22"/>
      <c r="L290" s="22"/>
      <c r="M290" s="22"/>
      <c r="N290" s="22"/>
      <c r="O290" s="22"/>
      <c r="P290" s="22"/>
      <c r="Q290" s="22"/>
      <c r="R290" s="22"/>
    </row>
    <row customHeight="true" ht="16.071428571428573" r="291">
      <c r="A291" s="63" t="s">
        <v>231</v>
      </c>
      <c r="B291" s="26">
        <v>46303</v>
      </c>
      <c r="C291" s="43" t="str">
        <v>Thursday</v>
      </c>
      <c r="D291" s="145" t="s">
        <v>232</v>
      </c>
      <c r="E291" s="20">
        <f t="shared" ref="E291:E292" si="74">24*MOD(TIMEVALUE(TRIM(MID(D291,FIND("-",D291)+1,LEN(D291)))) - TIMEVALUE(TRIM(LEFT(D291,FIND("-",D291)-1))),1)</f>
      </c>
      <c r="F291" s="18" t="s">
        <v>228</v>
      </c>
      <c r="G291" s="18" t="s">
        <v>233</v>
      </c>
      <c r="H291" s="119" t="s">
        <v>7</v>
      </c>
      <c r="I291" s="119" t="s">
        <v>8</v>
      </c>
      <c r="J291" s="145" t="s">
        <v>234</v>
      </c>
      <c r="K291" s="22"/>
      <c r="L291" s="22"/>
      <c r="M291" s="22"/>
      <c r="N291" s="22"/>
      <c r="O291" s="22"/>
      <c r="P291" s="22"/>
      <c r="Q291" s="22"/>
      <c r="R291" s="22"/>
    </row>
    <row customHeight="true" ht="16.071428571428573" r="292">
      <c r="A292" s="63" t="s">
        <v>226</v>
      </c>
      <c r="B292" s="26">
        <v>46303</v>
      </c>
      <c r="C292" s="43" t="str">
        <v>Thursday</v>
      </c>
      <c r="D292" s="145" t="s">
        <v>232</v>
      </c>
      <c r="E292" s="20">
        <f t="shared" si="74"/>
      </c>
      <c r="F292" s="18" t="s">
        <v>233</v>
      </c>
      <c r="G292" s="18"/>
      <c r="H292" s="119"/>
      <c r="I292" s="119"/>
      <c r="J292" s="145"/>
      <c r="K292" s="22"/>
      <c r="L292" s="22"/>
      <c r="M292" s="22"/>
      <c r="N292" s="22"/>
      <c r="O292" s="22"/>
      <c r="P292" s="22"/>
      <c r="Q292" s="22"/>
      <c r="R292" s="22"/>
    </row>
    <row customHeight="true" ht="16.071428571428573" r="293">
      <c r="A293" s="63"/>
      <c r="B293" s="26"/>
      <c r="C293" s="43"/>
      <c r="D293" s="145"/>
      <c r="E293" s="20"/>
      <c r="F293" s="18"/>
      <c r="G293" s="18"/>
      <c r="H293" s="119"/>
      <c r="I293" s="119"/>
      <c r="J293" s="145"/>
      <c r="K293" s="22"/>
      <c r="L293" s="22"/>
      <c r="M293" s="22"/>
      <c r="N293" s="22"/>
      <c r="O293" s="22"/>
      <c r="P293" s="22"/>
      <c r="Q293" s="22"/>
      <c r="R293" s="22"/>
    </row>
    <row customHeight="true" ht="16.071428571428573" r="294">
      <c r="A294" s="63" t="s">
        <v>226</v>
      </c>
      <c r="B294" s="26">
        <v>46303</v>
      </c>
      <c r="C294" s="43" t="str">
        <v>Thursday</v>
      </c>
      <c r="D294" s="145" t="s">
        <v>175</v>
      </c>
      <c r="E294" s="20">
        <f t="shared" ref="E294:E295" si="75">24*MOD(TIMEVALUE(TRIM(MID(D294,FIND("-",D294)+1,LEN(D294)))) - TIMEVALUE(TRIM(LEFT(D294,FIND("-",D294)-1))),1)</f>
      </c>
      <c r="F294" s="44" t="s">
        <v>218</v>
      </c>
      <c r="G294" s="122" t="s">
        <v>235</v>
      </c>
      <c r="H294" s="119" t="s">
        <v>7</v>
      </c>
      <c r="I294" s="119" t="s">
        <v>8</v>
      </c>
      <c r="J294" s="145"/>
      <c r="K294" s="22"/>
      <c r="L294" s="22"/>
      <c r="M294" s="22"/>
      <c r="N294" s="22"/>
      <c r="O294" s="22"/>
      <c r="P294" s="22"/>
      <c r="Q294" s="22"/>
      <c r="R294" s="22"/>
    </row>
    <row customHeight="true" ht="16.071428571428573" r="295">
      <c r="A295" s="63" t="s">
        <v>226</v>
      </c>
      <c r="B295" s="26">
        <v>46303</v>
      </c>
      <c r="C295" s="43" t="str">
        <v>Thursday</v>
      </c>
      <c r="D295" s="145" t="s">
        <v>175</v>
      </c>
      <c r="E295" s="20">
        <f t="shared" si="75"/>
      </c>
      <c r="F295" s="18" t="s">
        <v>233</v>
      </c>
      <c r="G295" s="18"/>
      <c r="H295" s="119" t="s">
        <v>7</v>
      </c>
      <c r="I295" s="119" t="s">
        <v>28</v>
      </c>
      <c r="J295" s="145"/>
      <c r="K295" s="22"/>
      <c r="L295" s="22"/>
      <c r="M295" s="22"/>
      <c r="N295" s="22"/>
      <c r="O295" s="22"/>
      <c r="P295" s="22"/>
      <c r="Q295" s="22"/>
      <c r="R295" s="22"/>
    </row>
    <row customHeight="true" ht="16.071428571428573" r="296">
      <c r="A296" s="63"/>
      <c r="B296" s="226"/>
      <c r="C296" s="227"/>
      <c r="D296" s="228"/>
      <c r="E296" s="233"/>
      <c r="F296" s="18"/>
      <c r="G296" s="20"/>
      <c r="H296" s="119"/>
      <c r="I296" s="48"/>
      <c r="J296" s="145"/>
      <c r="K296" s="22"/>
      <c r="L296" s="22"/>
      <c r="M296" s="22"/>
      <c r="N296" s="22"/>
      <c r="O296" s="22"/>
      <c r="P296" s="22"/>
      <c r="Q296" s="22"/>
      <c r="R296" s="22"/>
    </row>
    <row customHeight="true" ht="16.071428571428573" r="297">
      <c r="A297" s="63"/>
      <c r="B297" s="226"/>
      <c r="C297" s="227"/>
      <c r="D297" s="228"/>
      <c r="E297" s="233"/>
      <c r="F297" s="18"/>
      <c r="G297" s="20"/>
      <c r="H297" s="119"/>
      <c r="I297" s="48"/>
      <c r="J297" s="145"/>
      <c r="K297" s="22"/>
      <c r="L297" s="22"/>
      <c r="M297" s="22"/>
      <c r="N297" s="22"/>
      <c r="O297" s="22"/>
      <c r="P297" s="22"/>
      <c r="Q297" s="22"/>
      <c r="R297" s="22"/>
    </row>
    <row customHeight="true" ht="16.071428571428573" r="298">
      <c r="A298" s="63"/>
      <c r="B298" s="226"/>
      <c r="C298" s="227"/>
      <c r="D298" s="228"/>
      <c r="E298" s="233"/>
      <c r="F298" s="18"/>
      <c r="G298" s="20"/>
      <c r="H298" s="119"/>
      <c r="I298" s="48"/>
      <c r="J298" s="145"/>
      <c r="K298" s="22"/>
      <c r="L298" s="22"/>
      <c r="M298" s="22"/>
      <c r="N298" s="22"/>
      <c r="O298" s="22"/>
      <c r="P298" s="22"/>
      <c r="Q298" s="22"/>
      <c r="R298" s="22"/>
    </row>
    <row customHeight="true" ht="41.001400560203585" r="299">
      <c r="A299" s="234" t="s">
        <v>236</v>
      </c>
      <c r="B299" s="234" t="s">
        <v>237</v>
      </c>
      <c r="C299" s="235"/>
      <c r="D299" s="236"/>
      <c r="E299" s="237"/>
      <c r="F299" s="237"/>
      <c r="G299" s="238"/>
      <c r="H299" s="237"/>
      <c r="I299" s="237"/>
      <c r="J299" s="239"/>
      <c r="K299" s="240"/>
      <c r="L299" s="240"/>
      <c r="M299" s="240"/>
      <c r="N299" s="240"/>
      <c r="O299" s="240"/>
      <c r="P299" s="240"/>
      <c r="Q299" s="241"/>
      <c r="R299" s="241"/>
    </row>
    <row customHeight="true" ht="40.10123434465338" r="300">
      <c r="A300" s="242" t="s">
        <v>16</v>
      </c>
      <c r="B300" s="243" t="s">
        <v>17</v>
      </c>
      <c r="C300" s="243"/>
      <c r="D300" s="244" t="s">
        <v>18</v>
      </c>
      <c r="E300" s="245" t="s">
        <v>19</v>
      </c>
      <c r="F300" s="245" t="s">
        <v>20</v>
      </c>
      <c r="G300" s="246" t="s">
        <v>33</v>
      </c>
      <c r="H300" s="245" t="s">
        <v>22</v>
      </c>
      <c r="I300" s="245" t="s">
        <v>23</v>
      </c>
      <c r="J300" s="247" t="s">
        <v>24</v>
      </c>
      <c r="K300" s="248"/>
      <c r="L300" s="248"/>
      <c r="M300" s="248"/>
      <c r="N300" s="248"/>
      <c r="O300" s="248"/>
      <c r="P300" s="248"/>
      <c r="Q300" s="241"/>
      <c r="R300" s="241"/>
    </row>
    <row customHeight="true" ht="16.071428571428573" r="301">
      <c r="A301" s="63" t="s">
        <v>236</v>
      </c>
      <c r="B301" s="26"/>
      <c r="C301" s="43"/>
      <c r="D301" s="25"/>
      <c r="E301" s="20"/>
      <c r="F301" s="20"/>
      <c r="G301" s="20"/>
      <c r="H301" s="119" t="s">
        <v>7</v>
      </c>
      <c r="I301" s="119" t="s">
        <v>28</v>
      </c>
      <c r="J301" s="206"/>
      <c r="K301" s="22"/>
      <c r="L301" s="22"/>
      <c r="M301" s="22"/>
      <c r="N301" s="22"/>
      <c r="O301" s="22"/>
      <c r="P301" s="22"/>
    </row>
    <row customHeight="true" ht="16.071428571428573" r="302">
      <c r="A302" s="63" t="s">
        <v>236</v>
      </c>
      <c r="B302" s="26"/>
      <c r="C302" s="43"/>
      <c r="D302" s="25"/>
      <c r="E302" s="20"/>
      <c r="F302" s="20"/>
      <c r="G302" s="20"/>
      <c r="H302" s="119" t="s">
        <v>7</v>
      </c>
      <c r="I302" s="119" t="s">
        <v>28</v>
      </c>
      <c r="J302" s="206"/>
      <c r="K302" s="22"/>
      <c r="L302" s="22"/>
      <c r="M302" s="22"/>
      <c r="N302" s="22"/>
      <c r="O302" s="22"/>
      <c r="P302" s="22"/>
    </row>
    <row customHeight="true" ht="16.071428571428573" r="303">
      <c r="A303" s="63" t="s">
        <v>236</v>
      </c>
      <c r="B303" s="26"/>
      <c r="C303" s="43"/>
      <c r="D303" s="145"/>
      <c r="E303" s="20"/>
      <c r="F303" s="163"/>
      <c r="G303" s="20"/>
      <c r="H303" s="119" t="s">
        <v>7</v>
      </c>
      <c r="I303" s="119" t="s">
        <v>28</v>
      </c>
      <c r="J303" s="206"/>
      <c r="K303" s="22"/>
      <c r="L303" s="22"/>
      <c r="M303" s="22"/>
      <c r="N303" s="22"/>
      <c r="O303" s="22"/>
      <c r="P303" s="22"/>
    </row>
    <row customHeight="true" ht="16.071428571428573" r="304">
      <c r="A304" s="43"/>
      <c r="B304" s="26"/>
      <c r="C304" s="63"/>
      <c r="D304" s="25"/>
      <c r="E304" s="50"/>
      <c r="F304" s="20"/>
      <c r="G304" s="20"/>
      <c r="H304" s="119" t="s">
        <v>7</v>
      </c>
      <c r="I304" s="119" t="s">
        <v>28</v>
      </c>
      <c r="J304" s="206"/>
      <c r="K304" s="22"/>
      <c r="L304" s="22"/>
      <c r="M304" s="22"/>
      <c r="N304" s="22"/>
      <c r="O304" s="22"/>
      <c r="P304" s="22"/>
    </row>
    <row customHeight="true" ht="16.071428571428573" r="305">
      <c r="A305" s="63"/>
      <c r="B305" s="26"/>
      <c r="C305" s="43"/>
      <c r="D305" s="25"/>
      <c r="E305" s="20"/>
      <c r="F305" s="20"/>
      <c r="G305" s="122"/>
      <c r="H305" s="119" t="s">
        <v>7</v>
      </c>
      <c r="I305" s="119" t="s">
        <v>28</v>
      </c>
      <c r="J305" s="206"/>
      <c r="K305" s="22"/>
      <c r="L305" s="22"/>
      <c r="M305" s="22"/>
      <c r="N305" s="22"/>
      <c r="O305" s="22"/>
      <c r="P305" s="22"/>
    </row>
    <row customHeight="true" ht="16.071428571428573" r="306">
      <c r="A306" s="63"/>
      <c r="B306" s="26"/>
      <c r="C306" s="43"/>
      <c r="D306" s="25"/>
      <c r="E306" s="20"/>
      <c r="F306" s="20"/>
      <c r="G306" s="80"/>
      <c r="H306" s="119" t="s">
        <v>7</v>
      </c>
      <c r="I306" s="119" t="s">
        <v>28</v>
      </c>
      <c r="J306" s="83"/>
      <c r="K306" s="22"/>
      <c r="L306" s="22"/>
      <c r="M306" s="22"/>
      <c r="N306" s="22"/>
      <c r="O306" s="22"/>
      <c r="P306" s="22"/>
    </row>
    <row customHeight="true" ht="16.071428571428573" r="307">
      <c r="A307" s="43"/>
      <c r="B307" s="26"/>
      <c r="C307" s="43"/>
      <c r="D307" s="145"/>
      <c r="E307" s="20"/>
      <c r="F307" s="20"/>
      <c r="G307" s="96"/>
      <c r="H307" s="119" t="s">
        <v>7</v>
      </c>
      <c r="I307" s="119" t="s">
        <v>28</v>
      </c>
      <c r="J307" s="83"/>
      <c r="K307" s="22"/>
      <c r="L307" s="22"/>
      <c r="M307" s="22"/>
      <c r="N307" s="22"/>
      <c r="O307" s="22"/>
      <c r="P307" s="22"/>
    </row>
    <row customHeight="true" ht="16.071428571428573" r="308">
      <c r="A308" s="43"/>
      <c r="B308" s="26"/>
      <c r="C308" s="43"/>
      <c r="D308" s="145"/>
      <c r="E308" s="20"/>
      <c r="F308" s="20"/>
      <c r="G308" s="96"/>
      <c r="H308" s="119"/>
      <c r="I308" s="119"/>
      <c r="J308" s="83"/>
      <c r="K308" s="22"/>
      <c r="L308" s="22"/>
      <c r="M308" s="22"/>
      <c r="N308" s="22"/>
      <c r="O308" s="22"/>
      <c r="P308" s="22"/>
    </row>
    <row customHeight="true" ht="41.666305271490145" r="309">
      <c r="A309" s="249" t="s">
        <v>238</v>
      </c>
      <c r="B309" s="250"/>
      <c r="C309" s="250"/>
      <c r="D309" s="250"/>
      <c r="E309" s="251"/>
      <c r="F309" s="250"/>
      <c r="G309" s="251"/>
      <c r="H309" s="250"/>
      <c r="I309" s="250"/>
      <c r="J309" s="252"/>
      <c r="K309" s="253"/>
      <c r="L309" s="253"/>
      <c r="M309" s="253"/>
      <c r="N309" s="253"/>
      <c r="O309" s="253"/>
      <c r="P309" s="253"/>
      <c r="Q309" s="254"/>
      <c r="R309" s="254"/>
    </row>
    <row customHeight="true" ht="30.357142857142858" r="310">
      <c r="A310" s="255" t="s">
        <v>16</v>
      </c>
      <c r="B310" s="256" t="s">
        <v>17</v>
      </c>
      <c r="C310" s="256"/>
      <c r="D310" s="257" t="s">
        <v>18</v>
      </c>
      <c r="E310" s="258" t="s">
        <v>19</v>
      </c>
      <c r="F310" s="258" t="s">
        <v>20</v>
      </c>
      <c r="G310" s="259" t="s">
        <v>33</v>
      </c>
      <c r="H310" s="260" t="s">
        <v>22</v>
      </c>
      <c r="I310" s="260" t="s">
        <v>23</v>
      </c>
      <c r="J310" s="261" t="s">
        <v>24</v>
      </c>
      <c r="K310" s="262"/>
      <c r="L310" s="262"/>
      <c r="M310" s="262"/>
      <c r="N310" s="262"/>
      <c r="O310" s="262"/>
      <c r="P310" s="262"/>
      <c r="Q310" s="254"/>
      <c r="R310" s="254"/>
    </row>
    <row customHeight="true" ht="16.071428571428573" r="311">
      <c r="A311" s="43" t="s">
        <v>239</v>
      </c>
      <c r="B311" s="26">
        <v>46301</v>
      </c>
      <c r="C311" s="43" t="str">
        <v>Tuesday</v>
      </c>
      <c r="D311" s="25" t="s">
        <v>240</v>
      </c>
      <c r="E311" s="20">
        <f t="shared" ref="E311:E314" si="76">24*MOD(TIMEVALUE(TRIM(MID(D311,FIND("-",D311)+1,LEN(D311)))) - TIMEVALUE(TRIM(LEFT(D311,FIND("-",D311)-1))),1)</f>
      </c>
      <c r="F311" s="20" t="s">
        <v>230</v>
      </c>
      <c r="G311" s="122" t="s">
        <v>219</v>
      </c>
      <c r="H311" s="119" t="s">
        <v>7</v>
      </c>
      <c r="I311" s="119" t="s">
        <v>8</v>
      </c>
      <c r="J311" s="145" t="s">
        <v>234</v>
      </c>
      <c r="K311" s="22"/>
      <c r="L311" s="22"/>
      <c r="M311" s="22"/>
      <c r="N311" s="22"/>
      <c r="O311" s="22"/>
      <c r="P311" s="22"/>
      <c r="Q311" s="69"/>
      <c r="R311" s="69"/>
    </row>
    <row customHeight="true" ht="16.071428571428573" r="312">
      <c r="A312" s="43" t="s">
        <v>239</v>
      </c>
      <c r="B312" s="26">
        <v>46302</v>
      </c>
      <c r="C312" s="43" t="str">
        <v>Wednesday</v>
      </c>
      <c r="D312" s="48" t="s">
        <v>241</v>
      </c>
      <c r="E312" s="20">
        <f t="shared" si="76"/>
      </c>
      <c r="F312" s="44" t="s">
        <v>193</v>
      </c>
      <c r="G312" s="122" t="s">
        <v>219</v>
      </c>
      <c r="H312" s="119" t="s">
        <v>7</v>
      </c>
      <c r="I312" s="119" t="s">
        <v>8</v>
      </c>
      <c r="J312" s="145" t="s">
        <v>234</v>
      </c>
      <c r="K312" s="22"/>
      <c r="L312" s="22"/>
      <c r="M312" s="22"/>
      <c r="N312" s="22"/>
      <c r="O312" s="22"/>
      <c r="P312" s="22"/>
      <c r="Q312" s="69"/>
      <c r="R312" s="69"/>
    </row>
    <row customHeight="true" ht="16.071428571428573" r="313">
      <c r="A313" s="43" t="s">
        <v>239</v>
      </c>
      <c r="B313" s="26">
        <v>46303</v>
      </c>
      <c r="C313" s="43" t="str">
        <v>Thursday</v>
      </c>
      <c r="D313" s="48" t="s">
        <v>241</v>
      </c>
      <c r="E313" s="20">
        <f t="shared" si="76"/>
      </c>
      <c r="F313" s="20" t="s">
        <v>230</v>
      </c>
      <c r="G313" s="122" t="s">
        <v>219</v>
      </c>
      <c r="H313" s="119" t="s">
        <v>7</v>
      </c>
      <c r="I313" s="119" t="s">
        <v>8</v>
      </c>
      <c r="J313" s="145"/>
      <c r="K313" s="22"/>
      <c r="L313" s="22"/>
      <c r="M313" s="22"/>
      <c r="N313" s="22"/>
      <c r="O313" s="22"/>
      <c r="P313" s="22"/>
      <c r="Q313" s="69"/>
      <c r="R313" s="69"/>
    </row>
    <row customHeight="true" ht="16.071428571428573" r="314">
      <c r="A314" s="63" t="s">
        <v>239</v>
      </c>
      <c r="B314" s="144">
        <v>46304</v>
      </c>
      <c r="C314" s="63" t="str">
        <v>Friday</v>
      </c>
      <c r="D314" s="145" t="s">
        <v>242</v>
      </c>
      <c r="E314" s="119">
        <f t="shared" si="76"/>
      </c>
      <c r="F314" s="119" t="s">
        <v>218</v>
      </c>
      <c r="G314" s="122" t="s">
        <v>219</v>
      </c>
      <c r="H314" s="119" t="s">
        <v>7</v>
      </c>
      <c r="I314" s="119" t="s">
        <v>8</v>
      </c>
      <c r="J314" s="145" t="s">
        <v>234</v>
      </c>
      <c r="K314" s="22"/>
      <c r="L314" s="22"/>
      <c r="M314" s="22"/>
      <c r="N314" s="22"/>
      <c r="O314" s="22"/>
      <c r="P314" s="22"/>
      <c r="Q314" s="69"/>
      <c r="R314" s="69"/>
    </row>
    <row customHeight="true" ht="16.071428571428573" r="315">
      <c r="A315" s="43"/>
      <c r="B315" s="26"/>
      <c r="C315" s="43"/>
      <c r="D315" s="145"/>
      <c r="E315" s="20"/>
      <c r="F315" s="20"/>
      <c r="G315" s="122"/>
      <c r="H315" s="119"/>
      <c r="I315" s="119"/>
      <c r="J315" s="206"/>
      <c r="K315" s="22"/>
      <c r="L315" s="22"/>
      <c r="M315" s="22"/>
      <c r="N315" s="22"/>
      <c r="O315" s="22"/>
      <c r="P315" s="22"/>
    </row>
    <row customHeight="true" ht="16.071428571428573" r="316">
      <c r="A316" s="43"/>
      <c r="B316" s="26"/>
      <c r="C316" s="43"/>
      <c r="D316" s="25"/>
      <c r="E316" s="20"/>
      <c r="F316" s="18"/>
      <c r="G316" s="122"/>
      <c r="H316" s="48"/>
      <c r="I316" s="48"/>
      <c r="J316" s="206"/>
      <c r="K316" s="22"/>
      <c r="L316" s="22"/>
      <c r="M316" s="22"/>
      <c r="N316" s="22"/>
      <c r="O316" s="22"/>
      <c r="P316" s="22"/>
    </row>
    <row customHeight="true" ht="16.071428571428573" r="317">
      <c r="A317" s="43" t="s">
        <v>243</v>
      </c>
      <c r="B317" s="26">
        <v>46301</v>
      </c>
      <c r="C317" s="43" t="str">
        <v>Tuesday</v>
      </c>
      <c r="D317" s="25" t="s">
        <v>244</v>
      </c>
      <c r="E317" s="20">
        <f t="shared" ref="E317:E320" si="77">24*MOD(TIMEVALUE(TRIM(MID(D317,FIND("-",D317)+1,LEN(D317)))) - TIMEVALUE(TRIM(LEFT(D317,FIND("-",D317)-1))),1)</f>
      </c>
      <c r="F317" s="20" t="s">
        <v>82</v>
      </c>
      <c r="G317" s="122"/>
      <c r="H317" s="20" t="s">
        <v>7</v>
      </c>
      <c r="I317" s="48" t="s">
        <v>8</v>
      </c>
      <c r="J317" s="206"/>
      <c r="K317" s="22"/>
      <c r="L317" s="22"/>
      <c r="M317" s="22"/>
      <c r="N317" s="22"/>
      <c r="O317" s="22"/>
      <c r="P317" s="22"/>
    </row>
    <row customHeight="true" ht="16.071428571428573" r="318">
      <c r="A318" s="43" t="s">
        <v>243</v>
      </c>
      <c r="B318" s="26">
        <v>46302</v>
      </c>
      <c r="C318" s="43" t="str">
        <v>Wednesday</v>
      </c>
      <c r="D318" s="25" t="s">
        <v>245</v>
      </c>
      <c r="E318" s="20">
        <f t="shared" si="77"/>
      </c>
      <c r="F318" s="20" t="s">
        <v>82</v>
      </c>
      <c r="G318" s="122"/>
      <c r="H318" s="20" t="s">
        <v>7</v>
      </c>
      <c r="I318" s="48" t="s">
        <v>8</v>
      </c>
      <c r="J318" s="206"/>
      <c r="K318" s="22"/>
      <c r="L318" s="22"/>
      <c r="M318" s="22"/>
      <c r="N318" s="22"/>
      <c r="O318" s="22"/>
      <c r="P318" s="22"/>
    </row>
    <row customHeight="true" ht="16.071428571428573" r="319">
      <c r="A319" s="43" t="s">
        <v>243</v>
      </c>
      <c r="B319" s="26">
        <v>46303</v>
      </c>
      <c r="C319" s="43" t="str">
        <v>Thursday</v>
      </c>
      <c r="D319" s="25" t="s">
        <v>245</v>
      </c>
      <c r="E319" s="20">
        <f t="shared" si="77"/>
      </c>
      <c r="F319" s="20" t="s">
        <v>82</v>
      </c>
      <c r="G319" s="122"/>
      <c r="H319" s="48" t="s">
        <v>7</v>
      </c>
      <c r="I319" s="48" t="s">
        <v>8</v>
      </c>
      <c r="J319" s="206"/>
      <c r="K319" s="22"/>
      <c r="L319" s="22"/>
      <c r="M319" s="22"/>
      <c r="N319" s="22"/>
      <c r="O319" s="22"/>
      <c r="P319" s="22"/>
    </row>
    <row customHeight="true" ht="16.071428571428573" r="320">
      <c r="A320" s="43" t="s">
        <v>243</v>
      </c>
      <c r="B320" s="144">
        <v>46304</v>
      </c>
      <c r="C320" s="63" t="str">
        <v>Friday</v>
      </c>
      <c r="D320" s="145" t="s">
        <v>246</v>
      </c>
      <c r="E320" s="119">
        <f t="shared" si="77"/>
      </c>
      <c r="F320" s="20" t="s">
        <v>82</v>
      </c>
      <c r="G320" s="122"/>
      <c r="H320" s="48" t="s">
        <v>7</v>
      </c>
      <c r="I320" s="48" t="s">
        <v>8</v>
      </c>
      <c r="J320" s="206"/>
      <c r="K320" s="22"/>
      <c r="L320" s="22"/>
      <c r="M320" s="22"/>
      <c r="N320" s="22"/>
      <c r="O320" s="22"/>
      <c r="P320" s="22"/>
    </row>
    <row customHeight="true" ht="16.071428571428573" r="321">
      <c r="A321" s="43"/>
      <c r="B321" s="26"/>
      <c r="C321" s="43"/>
      <c r="D321" s="25"/>
      <c r="E321" s="20"/>
      <c r="F321" s="18"/>
      <c r="G321" s="122"/>
      <c r="H321" s="48"/>
      <c r="I321" s="48"/>
      <c r="J321" s="206"/>
      <c r="K321" s="22"/>
      <c r="L321" s="22"/>
      <c r="M321" s="22"/>
      <c r="N321" s="22"/>
      <c r="O321" s="22"/>
      <c r="P321" s="22"/>
    </row>
    <row customHeight="true" ht="16.071428571428573" r="322">
      <c r="A322" s="43" t="s">
        <v>247</v>
      </c>
      <c r="B322" s="26">
        <v>46300</v>
      </c>
      <c r="C322" s="43" t="str">
        <v>Monday</v>
      </c>
      <c r="D322" s="25" t="s">
        <v>248</v>
      </c>
      <c r="E322" s="20">
        <f t="shared" ref="E322:E326" si="78">24*MOD(TIMEVALUE(TRIM(MID(D322,FIND("-",D322)+1,LEN(D322)))) - TIMEVALUE(TRIM(LEFT(D322,FIND("-",D322)-1))),1)</f>
      </c>
      <c r="F322" s="44" t="s">
        <v>193</v>
      </c>
      <c r="G322" s="122"/>
      <c r="H322" s="48" t="s">
        <v>7</v>
      </c>
      <c r="I322" s="48" t="s">
        <v>28</v>
      </c>
      <c r="J322" s="206"/>
      <c r="K322" s="22"/>
      <c r="L322" s="22"/>
      <c r="M322" s="22"/>
      <c r="N322" s="22"/>
      <c r="O322" s="22"/>
      <c r="P322" s="22"/>
    </row>
    <row customHeight="true" ht="16.071428571428573" r="323">
      <c r="A323" s="43" t="s">
        <v>247</v>
      </c>
      <c r="B323" s="26">
        <v>46301</v>
      </c>
      <c r="C323" s="43" t="str">
        <v>Tuesday</v>
      </c>
      <c r="D323" s="25" t="s">
        <v>249</v>
      </c>
      <c r="E323" s="20">
        <f t="shared" si="78"/>
      </c>
      <c r="F323" s="18" t="s">
        <v>233</v>
      </c>
      <c r="G323" s="122"/>
      <c r="H323" s="48" t="s">
        <v>7</v>
      </c>
      <c r="I323" s="48" t="s">
        <v>28</v>
      </c>
      <c r="J323" s="206"/>
      <c r="K323" s="22"/>
      <c r="L323" s="22"/>
      <c r="M323" s="22"/>
      <c r="N323" s="22"/>
      <c r="O323" s="22"/>
      <c r="P323" s="22"/>
    </row>
    <row customHeight="true" ht="16.071428571428573" r="324">
      <c r="A324" s="43" t="s">
        <v>247</v>
      </c>
      <c r="B324" s="144">
        <v>46304</v>
      </c>
      <c r="C324" s="63" t="str">
        <v>Friday</v>
      </c>
      <c r="D324" s="145" t="s">
        <v>250</v>
      </c>
      <c r="E324" s="119">
        <f t="shared" si="78"/>
      </c>
      <c r="F324" s="119" t="s">
        <v>218</v>
      </c>
      <c r="G324" s="122"/>
      <c r="H324" s="48" t="s">
        <v>7</v>
      </c>
      <c r="I324" s="48" t="s">
        <v>28</v>
      </c>
      <c r="J324" s="206"/>
      <c r="K324" s="22"/>
      <c r="L324" s="22"/>
      <c r="M324" s="22"/>
      <c r="N324" s="22"/>
      <c r="O324" s="22"/>
      <c r="P324" s="22"/>
    </row>
    <row customHeight="true" ht="16.071428571428573" r="325">
      <c r="A325" s="63" t="s">
        <v>251</v>
      </c>
      <c r="B325" s="26">
        <v>46302</v>
      </c>
      <c r="C325" s="43" t="str">
        <v>Wednesday</v>
      </c>
      <c r="D325" s="25" t="s">
        <v>252</v>
      </c>
      <c r="E325" s="20">
        <f t="shared" si="78"/>
      </c>
      <c r="F325" s="20" t="s">
        <v>230</v>
      </c>
      <c r="G325" s="20" t="s">
        <v>218</v>
      </c>
      <c r="H325" s="48" t="s">
        <v>7</v>
      </c>
      <c r="I325" s="48" t="s">
        <v>28</v>
      </c>
      <c r="J325" s="206"/>
      <c r="K325" s="22"/>
      <c r="L325" s="22"/>
      <c r="M325" s="22"/>
      <c r="N325" s="22"/>
      <c r="O325" s="22"/>
      <c r="P325" s="22"/>
    </row>
    <row customHeight="true" ht="16.071428571428573" r="326">
      <c r="A326" s="43" t="s">
        <v>247</v>
      </c>
      <c r="B326" s="26">
        <v>46302</v>
      </c>
      <c r="C326" s="43" t="str">
        <v>Wednesday</v>
      </c>
      <c r="D326" s="48" t="s">
        <v>241</v>
      </c>
      <c r="E326" s="20">
        <f t="shared" si="78"/>
      </c>
      <c r="F326" s="119" t="s">
        <v>218</v>
      </c>
      <c r="G326" s="122"/>
      <c r="H326" s="48" t="s">
        <v>7</v>
      </c>
      <c r="I326" s="48" t="s">
        <v>28</v>
      </c>
      <c r="J326" s="83"/>
      <c r="K326" s="22"/>
      <c r="L326" s="22"/>
      <c r="M326" s="22"/>
      <c r="N326" s="22"/>
      <c r="O326" s="22"/>
      <c r="P326" s="22"/>
    </row>
    <row customHeight="true" ht="16.071428571428573" r="327">
      <c r="A327" s="43"/>
      <c r="B327" s="43"/>
      <c r="C327" s="43"/>
      <c r="D327" s="20"/>
      <c r="E327" s="20"/>
      <c r="F327" s="20"/>
      <c r="G327" s="80"/>
      <c r="H327" s="20"/>
      <c r="I327" s="48"/>
      <c r="J327" s="83"/>
      <c r="K327" s="22"/>
      <c r="L327" s="22"/>
      <c r="M327" s="22"/>
      <c r="N327" s="22"/>
      <c r="O327" s="22"/>
      <c r="P327" s="22"/>
    </row>
    <row customHeight="true" ht="49.404761904761905" r="328">
      <c r="A328" s="263" t="s">
        <v>253</v>
      </c>
      <c r="B328" s="263"/>
      <c r="C328" s="263"/>
      <c r="D328" s="263"/>
      <c r="E328" s="263"/>
      <c r="F328" s="263"/>
      <c r="G328" s="263"/>
      <c r="H328" s="263"/>
      <c r="I328" s="263"/>
      <c r="J328" s="264"/>
      <c r="K328" s="57"/>
      <c r="L328" s="57"/>
      <c r="M328" s="57"/>
      <c r="N328" s="57"/>
      <c r="O328" s="57"/>
      <c r="P328" s="57"/>
    </row>
    <row customHeight="true" ht="16.071428571428573" r="329">
      <c r="A329" s="265" t="s">
        <v>16</v>
      </c>
      <c r="B329" s="266" t="s">
        <v>17</v>
      </c>
      <c r="C329" s="266"/>
      <c r="D329" s="267" t="s">
        <v>18</v>
      </c>
      <c r="E329" s="267" t="s">
        <v>19</v>
      </c>
      <c r="F329" s="267" t="s">
        <v>20</v>
      </c>
      <c r="G329" s="268" t="s">
        <v>33</v>
      </c>
      <c r="H329" s="267" t="s">
        <v>22</v>
      </c>
      <c r="I329" s="267" t="s">
        <v>23</v>
      </c>
      <c r="J329" s="269" t="s">
        <v>24</v>
      </c>
      <c r="K329" s="42"/>
      <c r="L329" s="42"/>
      <c r="M329" s="42"/>
      <c r="N329" s="42"/>
      <c r="O329" s="42"/>
      <c r="P329" s="42"/>
    </row>
    <row customHeight="true" ht="16.071428571428573" r="330">
      <c r="A330" s="43" t="s">
        <v>254</v>
      </c>
      <c r="B330" s="26">
        <v>46300</v>
      </c>
      <c r="C330" s="43" t="str">
        <v>Monday</v>
      </c>
      <c r="D330" s="25" t="s">
        <v>255</v>
      </c>
      <c r="E330" s="48">
        <f t="shared" ref="E330:E340" si="79">24*MOD(TIMEVALUE(TRIM(MID(D330,FIND("-",D330)+1,LEN(D330)))) - TIMEVALUE(TRIM(LEFT(D330,FIND("-",D330)-1))),1)</f>
      </c>
      <c r="F330" s="48" t="s">
        <v>256</v>
      </c>
      <c r="G330" s="52"/>
      <c r="H330" s="270"/>
      <c r="I330" s="48"/>
      <c r="J330" s="46"/>
      <c r="K330" s="22"/>
      <c r="L330" s="22"/>
      <c r="M330" s="22"/>
      <c r="N330" s="22"/>
      <c r="O330" s="22"/>
      <c r="P330" s="22"/>
    </row>
    <row customHeight="true" ht="16.071428571428573" r="331">
      <c r="A331" s="43" t="s">
        <v>254</v>
      </c>
      <c r="B331" s="26">
        <v>46300</v>
      </c>
      <c r="C331" s="43" t="str">
        <v>Monday</v>
      </c>
      <c r="D331" s="25" t="s">
        <v>195</v>
      </c>
      <c r="E331" s="48">
        <f t="shared" si="79"/>
      </c>
      <c r="F331" s="20" t="s">
        <v>114</v>
      </c>
      <c r="G331" s="52"/>
      <c r="H331" s="270"/>
      <c r="I331" s="48"/>
      <c r="J331" s="46"/>
      <c r="K331" s="22"/>
      <c r="L331" s="22"/>
      <c r="M331" s="22"/>
      <c r="N331" s="22"/>
      <c r="O331" s="22"/>
      <c r="P331" s="22"/>
    </row>
    <row customHeight="true" ht="16.071428571428573" r="332">
      <c r="A332" s="43" t="s">
        <v>254</v>
      </c>
      <c r="B332" s="26">
        <v>46300</v>
      </c>
      <c r="C332" s="43" t="str">
        <v>Monday</v>
      </c>
      <c r="D332" s="25" t="s">
        <v>257</v>
      </c>
      <c r="E332" s="48">
        <f t="shared" si="79"/>
      </c>
      <c r="F332" s="48" t="s">
        <v>256</v>
      </c>
      <c r="G332" s="52"/>
      <c r="H332" s="270"/>
      <c r="I332" s="48"/>
      <c r="J332" s="46"/>
      <c r="K332" s="22"/>
      <c r="L332" s="22"/>
      <c r="M332" s="22"/>
      <c r="N332" s="22"/>
      <c r="O332" s="22"/>
      <c r="P332" s="22"/>
    </row>
    <row customHeight="true" ht="16.071428571428573" r="333">
      <c r="A333" s="43" t="s">
        <v>254</v>
      </c>
      <c r="B333" s="26">
        <v>46301</v>
      </c>
      <c r="C333" s="43" t="str">
        <v>Tuesday</v>
      </c>
      <c r="D333" s="25" t="s">
        <v>173</v>
      </c>
      <c r="E333" s="48">
        <f t="shared" si="79"/>
      </c>
      <c r="F333" s="48" t="s">
        <v>256</v>
      </c>
      <c r="G333" s="52"/>
      <c r="H333" s="270"/>
      <c r="I333" s="48"/>
      <c r="J333" s="46"/>
      <c r="K333" s="22"/>
      <c r="L333" s="22"/>
      <c r="M333" s="22"/>
      <c r="N333" s="22"/>
      <c r="O333" s="22"/>
      <c r="P333" s="22"/>
    </row>
    <row customHeight="true" ht="16.071428571428573" r="334">
      <c r="A334" s="43" t="s">
        <v>254</v>
      </c>
      <c r="B334" s="26">
        <v>46301</v>
      </c>
      <c r="C334" s="43" t="str">
        <v>Tuesday</v>
      </c>
      <c r="D334" s="25" t="s">
        <v>195</v>
      </c>
      <c r="E334" s="48">
        <f t="shared" si="79"/>
      </c>
      <c r="F334" s="271" t="s">
        <v>258</v>
      </c>
      <c r="G334" s="52"/>
      <c r="H334" s="270"/>
      <c r="I334" s="48"/>
      <c r="J334" s="46"/>
      <c r="K334" s="22"/>
      <c r="L334" s="22"/>
      <c r="M334" s="22"/>
      <c r="N334" s="22"/>
      <c r="O334" s="22"/>
      <c r="P334" s="22"/>
    </row>
    <row customHeight="true" ht="16.071428571428573" r="335">
      <c r="A335" s="43" t="s">
        <v>254</v>
      </c>
      <c r="B335" s="26">
        <v>46301</v>
      </c>
      <c r="C335" s="43" t="str">
        <v>Tuesday</v>
      </c>
      <c r="D335" s="25" t="s">
        <v>257</v>
      </c>
      <c r="E335" s="48">
        <f t="shared" si="79"/>
      </c>
      <c r="F335" s="20" t="s">
        <v>256</v>
      </c>
      <c r="G335" s="52"/>
      <c r="H335" s="270"/>
      <c r="I335" s="48"/>
      <c r="J335" s="46"/>
      <c r="K335" s="22"/>
      <c r="L335" s="22"/>
      <c r="M335" s="22"/>
      <c r="N335" s="22"/>
      <c r="O335" s="22"/>
      <c r="P335" s="22"/>
    </row>
    <row customHeight="true" ht="16.071428571428573" r="336">
      <c r="A336" s="43" t="s">
        <v>254</v>
      </c>
      <c r="B336" s="26">
        <v>46302</v>
      </c>
      <c r="C336" s="43" t="str">
        <v>Wednesday</v>
      </c>
      <c r="D336" s="25" t="s">
        <v>259</v>
      </c>
      <c r="E336" s="48">
        <f t="shared" si="79"/>
      </c>
      <c r="F336" s="48" t="s">
        <v>256</v>
      </c>
      <c r="G336" s="52"/>
      <c r="H336" s="270"/>
      <c r="I336" s="48"/>
      <c r="J336" s="46"/>
      <c r="K336" s="22"/>
      <c r="L336" s="22"/>
      <c r="M336" s="22"/>
      <c r="N336" s="22"/>
      <c r="O336" s="22"/>
      <c r="P336" s="22"/>
    </row>
    <row customHeight="true" ht="16.071428571428573" r="337">
      <c r="A337" s="43" t="s">
        <v>254</v>
      </c>
      <c r="B337" s="26">
        <v>46302</v>
      </c>
      <c r="C337" s="43" t="str">
        <v>Wednesday</v>
      </c>
      <c r="D337" s="25" t="s">
        <v>195</v>
      </c>
      <c r="E337" s="48">
        <f t="shared" si="79"/>
      </c>
      <c r="F337" s="20" t="s">
        <v>69</v>
      </c>
      <c r="G337" s="52"/>
      <c r="H337" s="270"/>
      <c r="I337" s="48"/>
      <c r="J337" s="46"/>
      <c r="K337" s="22"/>
      <c r="L337" s="22"/>
      <c r="M337" s="22"/>
      <c r="N337" s="22"/>
      <c r="O337" s="22"/>
      <c r="P337" s="22"/>
    </row>
    <row customHeight="true" ht="16.071428571428573" r="338">
      <c r="A338" s="43" t="s">
        <v>254</v>
      </c>
      <c r="B338" s="26">
        <v>46302</v>
      </c>
      <c r="C338" s="43" t="str">
        <v>Wednesday</v>
      </c>
      <c r="D338" s="25" t="s">
        <v>257</v>
      </c>
      <c r="E338" s="48">
        <f t="shared" si="79"/>
      </c>
      <c r="F338" s="48" t="s">
        <v>256</v>
      </c>
      <c r="G338" s="52"/>
      <c r="H338" s="270"/>
      <c r="I338" s="48"/>
      <c r="J338" s="46"/>
      <c r="K338" s="22"/>
      <c r="L338" s="22"/>
      <c r="M338" s="22"/>
      <c r="N338" s="22"/>
      <c r="O338" s="22"/>
      <c r="P338" s="22"/>
    </row>
    <row customHeight="true" ht="16.071428571428573" r="339">
      <c r="A339" s="43" t="s">
        <v>254</v>
      </c>
      <c r="B339" s="26">
        <v>46304</v>
      </c>
      <c r="C339" s="43" t="str">
        <v>Friday</v>
      </c>
      <c r="D339" s="25" t="s">
        <v>260</v>
      </c>
      <c r="E339" s="48">
        <f t="shared" si="79"/>
      </c>
      <c r="F339" s="48" t="s">
        <v>69</v>
      </c>
      <c r="G339" s="52"/>
      <c r="H339" s="272"/>
      <c r="I339" s="48"/>
      <c r="J339" s="46"/>
      <c r="K339" s="22"/>
      <c r="L339" s="22"/>
      <c r="M339" s="22"/>
      <c r="N339" s="22"/>
      <c r="O339" s="22"/>
      <c r="P339" s="22"/>
    </row>
    <row customHeight="true" ht="16.071428571428573" r="340">
      <c r="A340" s="43" t="s">
        <v>254</v>
      </c>
      <c r="B340" s="26">
        <v>46306</v>
      </c>
      <c r="C340" s="43" t="str">
        <v>Sunday</v>
      </c>
      <c r="D340" s="25" t="s">
        <v>242</v>
      </c>
      <c r="E340" s="48">
        <f t="shared" si="79"/>
      </c>
      <c r="F340" s="48" t="s">
        <v>69</v>
      </c>
      <c r="G340" s="52"/>
      <c r="H340" s="270"/>
      <c r="I340" s="48"/>
      <c r="J340" s="46"/>
      <c r="K340" s="22"/>
      <c r="L340" s="22"/>
      <c r="M340" s="22"/>
      <c r="N340" s="22"/>
      <c r="O340" s="22"/>
      <c r="P340" s="22"/>
    </row>
    <row customHeight="true" ht="16.071428571428573" r="341">
      <c r="A341" s="43"/>
      <c r="B341" s="26"/>
      <c r="C341" s="43"/>
      <c r="D341" s="25"/>
      <c r="E341" s="48"/>
      <c r="F341" s="48"/>
      <c r="G341" s="107"/>
      <c r="H341" s="270"/>
      <c r="I341" s="48"/>
      <c r="J341" s="46"/>
      <c r="K341" s="22"/>
      <c r="L341" s="22"/>
      <c r="M341" s="22"/>
      <c r="N341" s="22"/>
      <c r="O341" s="22"/>
      <c r="P341" s="22"/>
    </row>
    <row customHeight="true" ht="16.071428571428573" r="342">
      <c r="A342" s="43"/>
      <c r="B342" s="26"/>
      <c r="C342" s="43"/>
      <c r="D342" s="25"/>
      <c r="E342" s="48"/>
      <c r="F342" s="48"/>
      <c r="G342" s="107"/>
      <c r="H342" s="270"/>
      <c r="I342" s="48"/>
      <c r="J342" s="46"/>
      <c r="K342" s="22"/>
      <c r="L342" s="22"/>
      <c r="M342" s="22"/>
      <c r="N342" s="22"/>
      <c r="O342" s="22"/>
      <c r="P342" s="22"/>
    </row>
    <row customHeight="true" ht="16.071428571428573" r="343">
      <c r="A343" s="43"/>
      <c r="B343" s="26"/>
      <c r="C343" s="43"/>
      <c r="D343" s="25"/>
      <c r="E343" s="48"/>
      <c r="F343" s="48"/>
      <c r="G343" s="107"/>
      <c r="H343" s="270"/>
      <c r="I343" s="48"/>
      <c r="J343" s="46"/>
      <c r="K343" s="22"/>
      <c r="L343" s="22"/>
      <c r="M343" s="22"/>
      <c r="N343" s="22"/>
      <c r="O343" s="22"/>
      <c r="P343" s="22"/>
    </row>
    <row customHeight="true" ht="16.071428571428573" r="344">
      <c r="A344" s="43"/>
      <c r="B344" s="26"/>
      <c r="C344" s="43"/>
      <c r="D344" s="25"/>
      <c r="E344" s="48"/>
      <c r="F344" s="48"/>
      <c r="G344" s="107"/>
      <c r="H344" s="270"/>
      <c r="I344" s="48"/>
      <c r="J344" s="46"/>
      <c r="K344" s="22"/>
      <c r="L344" s="22"/>
      <c r="M344" s="22"/>
      <c r="N344" s="22"/>
      <c r="O344" s="22"/>
      <c r="P344" s="22"/>
    </row>
    <row customHeight="true" ht="16.071428571428573" r="345">
      <c r="A345" s="235" t="s">
        <v>261</v>
      </c>
      <c r="B345" s="273">
        <v>46300</v>
      </c>
      <c r="C345" s="235" t="str">
        <v>Monday</v>
      </c>
      <c r="D345" s="236" t="s">
        <v>262</v>
      </c>
      <c r="E345" s="237">
        <f t="shared" ref="E345:E355" si="80">24*MOD(TIMEVALUE(TRIM(MID(D345,FIND("-",D345)+1,LEN(D345)))) - TIMEVALUE(TRIM(LEFT(D345,FIND("-",D345)-1))),1)</f>
      </c>
      <c r="F345" s="237" t="s">
        <v>263</v>
      </c>
      <c r="G345" s="238"/>
      <c r="H345" s="274"/>
      <c r="I345" s="237"/>
      <c r="J345" s="239"/>
      <c r="K345" s="22"/>
      <c r="L345" s="22"/>
      <c r="M345" s="22"/>
      <c r="N345" s="22"/>
      <c r="O345" s="22"/>
      <c r="P345" s="22"/>
    </row>
    <row customHeight="true" ht="16.071428571428573" r="346">
      <c r="A346" s="235" t="s">
        <v>261</v>
      </c>
      <c r="B346" s="273">
        <v>46300</v>
      </c>
      <c r="C346" s="235" t="str">
        <v>Monday</v>
      </c>
      <c r="D346" s="236" t="s">
        <v>195</v>
      </c>
      <c r="E346" s="237">
        <f t="shared" si="80"/>
      </c>
      <c r="F346" s="237" t="s">
        <v>264</v>
      </c>
      <c r="G346" s="238"/>
      <c r="H346" s="274"/>
      <c r="I346" s="237"/>
      <c r="J346" s="239"/>
      <c r="K346" s="22"/>
      <c r="L346" s="22"/>
      <c r="M346" s="22"/>
      <c r="N346" s="22"/>
      <c r="O346" s="22"/>
      <c r="P346" s="22"/>
    </row>
    <row customHeight="true" ht="16.071428571428573" r="347">
      <c r="A347" s="235" t="s">
        <v>261</v>
      </c>
      <c r="B347" s="273">
        <v>46300</v>
      </c>
      <c r="C347" s="235" t="str">
        <v>Monday</v>
      </c>
      <c r="D347" s="236" t="s">
        <v>257</v>
      </c>
      <c r="E347" s="237">
        <f t="shared" si="80"/>
      </c>
      <c r="F347" s="237" t="s">
        <v>263</v>
      </c>
      <c r="G347" s="238"/>
      <c r="H347" s="274"/>
      <c r="I347" s="237"/>
      <c r="J347" s="239"/>
      <c r="K347" s="22"/>
      <c r="L347" s="22"/>
      <c r="M347" s="22"/>
      <c r="N347" s="22"/>
      <c r="O347" s="22"/>
      <c r="P347" s="22"/>
    </row>
    <row customHeight="true" ht="16.071428571428573" r="348">
      <c r="A348" s="235" t="s">
        <v>261</v>
      </c>
      <c r="B348" s="273">
        <v>46301</v>
      </c>
      <c r="C348" s="235" t="str">
        <v>Tuesday</v>
      </c>
      <c r="D348" s="236" t="s">
        <v>265</v>
      </c>
      <c r="E348" s="237">
        <f t="shared" si="80"/>
      </c>
      <c r="F348" s="237" t="s">
        <v>122</v>
      </c>
      <c r="G348" s="238"/>
      <c r="H348" s="274"/>
      <c r="I348" s="237"/>
      <c r="J348" s="239"/>
      <c r="K348" s="22"/>
      <c r="L348" s="22"/>
      <c r="M348" s="22"/>
      <c r="N348" s="22"/>
      <c r="O348" s="22"/>
      <c r="P348" s="22"/>
    </row>
    <row customHeight="true" ht="16.071428571428573" r="349">
      <c r="A349" s="235" t="s">
        <v>261</v>
      </c>
      <c r="B349" s="273">
        <v>46301</v>
      </c>
      <c r="C349" s="235" t="str">
        <v>Tuesday</v>
      </c>
      <c r="D349" s="236" t="s">
        <v>257</v>
      </c>
      <c r="E349" s="237">
        <f t="shared" si="80"/>
      </c>
      <c r="F349" s="237" t="s">
        <v>266</v>
      </c>
      <c r="G349" s="238"/>
      <c r="H349" s="274"/>
      <c r="I349" s="237"/>
      <c r="J349" s="239"/>
      <c r="K349" s="22"/>
      <c r="L349" s="22"/>
      <c r="M349" s="22"/>
      <c r="N349" s="22"/>
      <c r="O349" s="22"/>
      <c r="P349" s="22"/>
    </row>
    <row customHeight="true" ht="16.071428571428573" r="350">
      <c r="A350" s="235" t="s">
        <v>261</v>
      </c>
      <c r="B350" s="273">
        <v>46302</v>
      </c>
      <c r="C350" s="235" t="str">
        <v>Wednesday</v>
      </c>
      <c r="D350" s="236" t="s">
        <v>267</v>
      </c>
      <c r="E350" s="237">
        <f t="shared" si="80"/>
      </c>
      <c r="F350" s="237" t="s">
        <v>263</v>
      </c>
      <c r="G350" s="238"/>
      <c r="H350" s="274"/>
      <c r="I350" s="237"/>
      <c r="J350" s="239"/>
      <c r="K350" s="22"/>
      <c r="L350" s="22"/>
      <c r="M350" s="22"/>
      <c r="N350" s="22"/>
      <c r="O350" s="22"/>
      <c r="P350" s="22"/>
    </row>
    <row customHeight="true" ht="16.071428571428573" r="351">
      <c r="A351" s="235" t="s">
        <v>261</v>
      </c>
      <c r="B351" s="273">
        <v>46302</v>
      </c>
      <c r="C351" s="235" t="str">
        <v>Wednesday</v>
      </c>
      <c r="D351" s="236" t="s">
        <v>262</v>
      </c>
      <c r="E351" s="237">
        <f t="shared" si="80"/>
      </c>
      <c r="F351" s="237" t="s">
        <v>266</v>
      </c>
      <c r="G351" s="275"/>
      <c r="H351" s="237"/>
      <c r="I351" s="237"/>
      <c r="J351" s="239"/>
      <c r="K351" s="22"/>
      <c r="L351" s="22"/>
      <c r="M351" s="22"/>
      <c r="N351" s="22"/>
      <c r="O351" s="22"/>
      <c r="P351" s="22"/>
      <c r="Q351" s="69"/>
      <c r="R351" s="69"/>
    </row>
    <row customHeight="true" ht="16.071428571428573" r="352">
      <c r="A352" s="235" t="s">
        <v>261</v>
      </c>
      <c r="B352" s="273">
        <v>46302</v>
      </c>
      <c r="C352" s="235" t="str">
        <v>Wednesday</v>
      </c>
      <c r="D352" s="236" t="s">
        <v>268</v>
      </c>
      <c r="E352" s="237">
        <f t="shared" si="80"/>
      </c>
      <c r="F352" s="237" t="s">
        <v>263</v>
      </c>
      <c r="G352" s="275"/>
      <c r="H352" s="237"/>
      <c r="I352" s="237"/>
      <c r="J352" s="239"/>
      <c r="K352" s="22"/>
      <c r="L352" s="22"/>
      <c r="M352" s="22"/>
      <c r="N352" s="22"/>
      <c r="O352" s="22"/>
      <c r="P352" s="22"/>
      <c r="Q352" s="69"/>
      <c r="R352" s="69"/>
    </row>
    <row customHeight="true" ht="16.071428571428573" r="353">
      <c r="A353" s="235" t="s">
        <v>261</v>
      </c>
      <c r="B353" s="273">
        <v>46304</v>
      </c>
      <c r="C353" s="235" t="str">
        <v>Friday</v>
      </c>
      <c r="D353" s="236" t="s">
        <v>269</v>
      </c>
      <c r="E353" s="237">
        <f t="shared" si="80"/>
      </c>
      <c r="F353" s="237" t="s">
        <v>266</v>
      </c>
      <c r="G353" s="275"/>
      <c r="H353" s="237"/>
      <c r="I353" s="237"/>
      <c r="J353" s="239"/>
      <c r="K353" s="22"/>
      <c r="L353" s="22"/>
      <c r="M353" s="22"/>
      <c r="N353" s="22"/>
      <c r="O353" s="22"/>
      <c r="P353" s="22"/>
      <c r="Q353" s="69"/>
      <c r="R353" s="69"/>
    </row>
    <row customHeight="true" ht="16.071428571428573" r="354">
      <c r="A354" s="235" t="s">
        <v>261</v>
      </c>
      <c r="B354" s="273">
        <v>46306</v>
      </c>
      <c r="C354" s="235" t="str">
        <v>Sunday</v>
      </c>
      <c r="D354" s="236" t="s">
        <v>270</v>
      </c>
      <c r="E354" s="237">
        <f t="shared" si="80"/>
      </c>
      <c r="F354" s="237" t="s">
        <v>80</v>
      </c>
      <c r="G354" s="275"/>
      <c r="H354" s="237"/>
      <c r="I354" s="237"/>
      <c r="J354" s="239"/>
      <c r="K354" s="22"/>
      <c r="L354" s="22"/>
      <c r="M354" s="22"/>
      <c r="N354" s="22"/>
      <c r="O354" s="22"/>
      <c r="P354" s="22"/>
      <c r="Q354" s="69"/>
      <c r="R354" s="69"/>
    </row>
    <row customHeight="true" ht="16.071428571428573" r="355">
      <c r="A355" s="235" t="s">
        <v>261</v>
      </c>
      <c r="B355" s="273">
        <v>46306</v>
      </c>
      <c r="C355" s="235" t="str">
        <v>Sunday</v>
      </c>
      <c r="D355" s="236" t="s">
        <v>271</v>
      </c>
      <c r="E355" s="237">
        <f t="shared" si="80"/>
      </c>
      <c r="F355" s="238" t="s">
        <v>272</v>
      </c>
      <c r="G355" s="238"/>
      <c r="H355" s="237"/>
      <c r="I355" s="237"/>
      <c r="J355" s="239"/>
      <c r="K355" s="22"/>
      <c r="L355" s="22"/>
      <c r="M355" s="22"/>
      <c r="N355" s="22"/>
      <c r="O355" s="22"/>
      <c r="P355" s="22"/>
      <c r="Q355" s="69"/>
      <c r="R355" s="69"/>
    </row>
    <row customHeight="true" ht="16.071428571428573" r="356">
      <c r="A356" s="235"/>
      <c r="B356" s="273"/>
      <c r="C356" s="235"/>
      <c r="D356" s="236"/>
      <c r="E356" s="237"/>
      <c r="F356" s="237"/>
      <c r="G356" s="275"/>
      <c r="H356" s="237"/>
      <c r="I356" s="237"/>
      <c r="J356" s="239"/>
      <c r="K356" s="22"/>
      <c r="L356" s="22"/>
      <c r="M356" s="22"/>
      <c r="N356" s="22"/>
      <c r="O356" s="22"/>
      <c r="P356" s="22"/>
      <c r="Q356" s="69"/>
      <c r="R356" s="69"/>
    </row>
    <row customHeight="true" ht="16.071428571428573" r="357">
      <c r="A357" s="235"/>
      <c r="B357" s="273"/>
      <c r="C357" s="235"/>
      <c r="D357" s="236"/>
      <c r="E357" s="237"/>
      <c r="F357" s="237"/>
      <c r="G357" s="275"/>
      <c r="H357" s="237"/>
      <c r="I357" s="237"/>
      <c r="J357" s="239"/>
      <c r="K357" s="22"/>
      <c r="L357" s="22"/>
      <c r="M357" s="22"/>
      <c r="N357" s="22"/>
      <c r="O357" s="22"/>
      <c r="P357" s="22"/>
      <c r="Q357" s="69"/>
      <c r="R357" s="69"/>
    </row>
    <row customHeight="true" ht="16.071428571428573" r="358">
      <c r="A358" s="276" t="s">
        <v>273</v>
      </c>
      <c r="B358" s="277">
        <v>46301</v>
      </c>
      <c r="C358" s="276" t="str">
        <v>Tuesday</v>
      </c>
      <c r="D358" s="278" t="s">
        <v>274</v>
      </c>
      <c r="E358" s="279">
        <f t="shared" ref="E358:E364" si="81">24*MOD(TIMEVALUE(TRIM(MID(D358,FIND("-",D358)+1,LEN(D358)))) - TIMEVALUE(TRIM(LEFT(D358,FIND("-",D358)-1))),1)</f>
      </c>
      <c r="F358" s="279" t="s">
        <v>256</v>
      </c>
      <c r="G358" s="275"/>
      <c r="H358" s="237"/>
      <c r="I358" s="237"/>
      <c r="J358" s="239"/>
      <c r="K358" s="22"/>
      <c r="L358" s="22"/>
      <c r="M358" s="22"/>
      <c r="N358" s="22"/>
      <c r="O358" s="22"/>
      <c r="P358" s="22"/>
      <c r="Q358" s="69"/>
      <c r="R358" s="69"/>
    </row>
    <row customHeight="true" ht="16.071428571428573" r="359">
      <c r="A359" s="276" t="s">
        <v>273</v>
      </c>
      <c r="B359" s="277">
        <v>46301</v>
      </c>
      <c r="C359" s="276" t="str">
        <v>Tuesday</v>
      </c>
      <c r="D359" s="278" t="s">
        <v>183</v>
      </c>
      <c r="E359" s="279">
        <f t="shared" si="81"/>
      </c>
      <c r="F359" s="280" t="s">
        <v>275</v>
      </c>
      <c r="G359" s="275"/>
      <c r="H359" s="237"/>
      <c r="I359" s="237"/>
      <c r="J359" s="239"/>
      <c r="K359" s="22"/>
      <c r="L359" s="22"/>
      <c r="M359" s="22"/>
      <c r="N359" s="22"/>
      <c r="O359" s="22"/>
      <c r="P359" s="22"/>
      <c r="Q359" s="69"/>
      <c r="R359" s="69"/>
    </row>
    <row customHeight="true" ht="16.071428571428573" r="360">
      <c r="A360" s="276" t="s">
        <v>273</v>
      </c>
      <c r="B360" s="277">
        <v>46301</v>
      </c>
      <c r="C360" s="276" t="str">
        <v>Tuesday</v>
      </c>
      <c r="D360" s="278" t="s">
        <v>183</v>
      </c>
      <c r="E360" s="281">
        <f t="shared" si="81"/>
      </c>
      <c r="F360" s="282" t="s">
        <v>276</v>
      </c>
      <c r="G360" s="283"/>
      <c r="H360" s="237"/>
      <c r="I360" s="237"/>
      <c r="J360" s="239"/>
      <c r="K360" s="22"/>
      <c r="L360" s="22"/>
      <c r="M360" s="22"/>
      <c r="N360" s="22"/>
      <c r="O360" s="22"/>
      <c r="P360" s="22"/>
      <c r="Q360" s="69"/>
      <c r="R360" s="69"/>
    </row>
    <row customHeight="true" ht="16.071428571428573" r="361">
      <c r="A361" s="276" t="s">
        <v>273</v>
      </c>
      <c r="B361" s="277">
        <v>46301</v>
      </c>
      <c r="C361" s="276" t="str">
        <v>Tuesday</v>
      </c>
      <c r="D361" s="284" t="s">
        <v>183</v>
      </c>
      <c r="E361" s="285">
        <f t="shared" si="81"/>
      </c>
      <c r="F361" s="283" t="s">
        <v>258</v>
      </c>
      <c r="G361" s="283"/>
      <c r="H361" s="237"/>
      <c r="I361" s="237"/>
      <c r="J361" s="239"/>
      <c r="K361" s="22"/>
      <c r="L361" s="22"/>
      <c r="M361" s="22"/>
      <c r="N361" s="22"/>
      <c r="O361" s="22"/>
      <c r="P361" s="22"/>
      <c r="Q361" s="69"/>
      <c r="R361" s="69"/>
    </row>
    <row customHeight="true" ht="16.071428571428573" r="362">
      <c r="A362" s="276" t="s">
        <v>273</v>
      </c>
      <c r="B362" s="273">
        <v>46301</v>
      </c>
      <c r="C362" s="235" t="str">
        <v>Tuesday</v>
      </c>
      <c r="D362" s="236" t="s">
        <v>277</v>
      </c>
      <c r="E362" s="286">
        <f t="shared" si="81"/>
      </c>
      <c r="F362" s="283" t="s">
        <v>258</v>
      </c>
      <c r="G362" s="283"/>
      <c r="H362" s="237"/>
      <c r="I362" s="237"/>
      <c r="J362" s="239"/>
      <c r="K362" s="22"/>
      <c r="L362" s="22"/>
      <c r="M362" s="22"/>
      <c r="N362" s="22"/>
      <c r="O362" s="22"/>
      <c r="P362" s="22"/>
      <c r="Q362" s="69"/>
      <c r="R362" s="69"/>
    </row>
    <row customHeight="true" ht="16.071428571428573" r="363">
      <c r="A363" s="276" t="s">
        <v>278</v>
      </c>
      <c r="B363" s="277">
        <v>46306</v>
      </c>
      <c r="C363" s="276" t="str">
        <v>Sunday</v>
      </c>
      <c r="D363" s="278"/>
      <c r="E363" s="279">
        <f t="shared" si="81"/>
      </c>
      <c r="F363" s="287" t="s">
        <v>266</v>
      </c>
      <c r="G363" s="275"/>
      <c r="H363" s="237"/>
      <c r="I363" s="237"/>
      <c r="J363" s="239"/>
      <c r="K363" s="22"/>
      <c r="L363" s="22"/>
      <c r="M363" s="22"/>
      <c r="N363" s="22"/>
      <c r="O363" s="22"/>
      <c r="P363" s="22"/>
      <c r="Q363" s="69"/>
      <c r="R363" s="69"/>
    </row>
    <row customHeight="true" ht="16.071428571428573" r="364">
      <c r="A364" s="276" t="s">
        <v>279</v>
      </c>
      <c r="B364" s="277">
        <v>46301</v>
      </c>
      <c r="C364" s="276" t="str">
        <v>Tuesday</v>
      </c>
      <c r="D364" s="278"/>
      <c r="E364" s="279">
        <f t="shared" si="81"/>
      </c>
      <c r="F364" s="279" t="s">
        <v>266</v>
      </c>
      <c r="G364" s="275"/>
      <c r="H364" s="237"/>
      <c r="I364" s="237"/>
      <c r="J364" s="239"/>
      <c r="K364" s="22"/>
      <c r="L364" s="22"/>
      <c r="M364" s="22"/>
      <c r="N364" s="22"/>
      <c r="O364" s="22"/>
      <c r="P364" s="22"/>
      <c r="Q364" s="69"/>
      <c r="R364" s="69"/>
    </row>
    <row customHeight="true" ht="16.071428571428573" r="365">
      <c r="A365" s="235"/>
      <c r="B365" s="273"/>
      <c r="C365" s="235"/>
      <c r="D365" s="236"/>
      <c r="E365" s="237"/>
      <c r="F365" s="237"/>
      <c r="G365" s="275"/>
      <c r="H365" s="237"/>
      <c r="I365" s="237"/>
      <c r="J365" s="239"/>
      <c r="K365" s="22"/>
      <c r="L365" s="22"/>
      <c r="M365" s="22"/>
      <c r="N365" s="22"/>
      <c r="O365" s="22"/>
      <c r="P365" s="22"/>
      <c r="Q365" s="69"/>
      <c r="R365" s="69"/>
    </row>
    <row customHeight="true" ht="16.071428571428573" r="366">
      <c r="A366" s="276"/>
      <c r="B366" s="276"/>
      <c r="C366" s="276"/>
      <c r="D366" s="279"/>
      <c r="E366" s="279"/>
      <c r="F366" s="279"/>
      <c r="G366" s="275"/>
      <c r="H366" s="237"/>
      <c r="I366" s="237"/>
      <c r="J366" s="239"/>
      <c r="K366" s="22"/>
      <c r="L366" s="22"/>
      <c r="M366" s="22"/>
      <c r="N366" s="22"/>
      <c r="O366" s="22"/>
      <c r="P366" s="22"/>
      <c r="Q366" s="69"/>
      <c r="R366" s="69"/>
    </row>
    <row customHeight="true" ht="16.071428571428573" r="367"/>
    <row r="368">
      <c r="A368" s="288" t="s">
        <v>280</v>
      </c>
      <c r="B368" s="288"/>
      <c r="C368" s="288"/>
      <c r="D368" s="288"/>
      <c r="E368" s="288"/>
      <c r="F368" s="288"/>
      <c r="G368" s="288"/>
      <c r="H368" s="288"/>
      <c r="I368" s="288"/>
      <c r="J368" s="289"/>
      <c r="K368" s="57"/>
      <c r="L368" s="57"/>
      <c r="M368" s="57"/>
      <c r="N368" s="57"/>
      <c r="O368" s="57"/>
      <c r="P368" s="57"/>
    </row>
    <row r="369">
      <c r="A369" s="37" t="s">
        <v>16</v>
      </c>
      <c r="B369" s="38" t="s">
        <v>17</v>
      </c>
      <c r="C369" s="38"/>
      <c r="D369" s="39" t="s">
        <v>18</v>
      </c>
      <c r="E369" s="39" t="s">
        <v>19</v>
      </c>
      <c r="F369" s="39" t="s">
        <v>20</v>
      </c>
      <c r="G369" s="290" t="s">
        <v>33</v>
      </c>
      <c r="H369" s="39" t="s">
        <v>22</v>
      </c>
      <c r="I369" s="39" t="s">
        <v>23</v>
      </c>
      <c r="J369" s="40" t="s">
        <v>24</v>
      </c>
      <c r="K369" s="42"/>
      <c r="L369" s="42"/>
      <c r="M369" s="42"/>
      <c r="N369" s="42"/>
      <c r="O369" s="42"/>
      <c r="P369" s="42"/>
    </row>
    <row customHeight="true" ht="18.452380952380953" r="370">
      <c r="A370" s="63" t="s">
        <v>280</v>
      </c>
      <c r="B370" s="26">
        <v>46300</v>
      </c>
      <c r="C370" s="63" t="str">
        <v>Monday</v>
      </c>
      <c r="D370" s="179" t="s">
        <v>281</v>
      </c>
      <c r="E370" s="119">
        <f t="shared" ref="E370:E380" si="82">24*MOD(TIMEVALUE(TRIM(MID(D370,FIND("-",D370)+1,LEN(D370)))) - TIMEVALUE(TRIM(LEFT(D370,FIND("-",D370)-1))),1)</f>
      </c>
      <c r="F370" s="44" t="s">
        <v>69</v>
      </c>
      <c r="G370" s="122"/>
      <c r="H370" s="119" t="s">
        <v>30</v>
      </c>
      <c r="I370" s="119"/>
      <c r="J370" s="195"/>
      <c r="K370" s="22"/>
      <c r="L370" s="22"/>
      <c r="M370" s="22"/>
      <c r="N370" s="22"/>
      <c r="O370" s="22"/>
      <c r="P370" s="22"/>
      <c r="Q370" s="69"/>
      <c r="R370" s="69"/>
    </row>
    <row customHeight="true" ht="18.452380952380953" r="371">
      <c r="A371" s="63" t="s">
        <v>280</v>
      </c>
      <c r="B371" s="26">
        <v>46300</v>
      </c>
      <c r="C371" s="63" t="str">
        <v>Monday</v>
      </c>
      <c r="D371" s="179" t="s">
        <v>282</v>
      </c>
      <c r="E371" s="119">
        <f t="shared" si="82"/>
      </c>
      <c r="F371" s="44" t="s">
        <v>69</v>
      </c>
      <c r="G371" s="122"/>
      <c r="H371" s="119" t="s">
        <v>30</v>
      </c>
      <c r="I371" s="119"/>
      <c r="J371" s="195"/>
      <c r="K371" s="22"/>
      <c r="L371" s="22"/>
      <c r="M371" s="22"/>
      <c r="N371" s="22"/>
      <c r="O371" s="22"/>
      <c r="P371" s="22"/>
      <c r="Q371" s="69"/>
      <c r="R371" s="69"/>
    </row>
    <row customHeight="true" ht="18.452380952380953" r="372">
      <c r="A372" s="63" t="s">
        <v>280</v>
      </c>
      <c r="B372" s="26">
        <v>46301</v>
      </c>
      <c r="C372" s="63" t="str">
        <v>Tuesday</v>
      </c>
      <c r="D372" s="179" t="s">
        <v>281</v>
      </c>
      <c r="E372" s="119">
        <f t="shared" si="82"/>
      </c>
      <c r="F372" s="44" t="s">
        <v>69</v>
      </c>
      <c r="G372" s="122"/>
      <c r="H372" s="119" t="s">
        <v>30</v>
      </c>
      <c r="I372" s="119"/>
      <c r="J372" s="195"/>
      <c r="K372" s="22"/>
      <c r="L372" s="22"/>
      <c r="M372" s="22"/>
      <c r="N372" s="22"/>
      <c r="O372" s="22"/>
      <c r="P372" s="22"/>
      <c r="Q372" s="69"/>
      <c r="R372" s="69"/>
    </row>
    <row customHeight="true" ht="18.452380952380953" r="373">
      <c r="A373" s="63" t="s">
        <v>280</v>
      </c>
      <c r="B373" s="26">
        <v>46301</v>
      </c>
      <c r="C373" s="63" t="str">
        <v>Tuesday</v>
      </c>
      <c r="D373" s="179" t="s">
        <v>282</v>
      </c>
      <c r="E373" s="119">
        <f t="shared" si="82"/>
      </c>
      <c r="F373" s="18" t="s">
        <v>196</v>
      </c>
      <c r="G373" s="122"/>
      <c r="H373" s="20" t="s">
        <v>30</v>
      </c>
      <c r="I373" s="119"/>
      <c r="J373" s="195"/>
      <c r="K373" s="22"/>
      <c r="L373" s="22"/>
      <c r="M373" s="22"/>
      <c r="N373" s="22"/>
      <c r="O373" s="22"/>
      <c r="P373" s="22"/>
      <c r="Q373" s="69"/>
      <c r="R373" s="69"/>
    </row>
    <row r="374">
      <c r="A374" s="43" t="s">
        <v>280</v>
      </c>
      <c r="B374" s="26">
        <v>46302</v>
      </c>
      <c r="C374" s="43" t="str">
        <v>Wednesday</v>
      </c>
      <c r="D374" s="179" t="s">
        <v>281</v>
      </c>
      <c r="E374" s="20">
        <f t="shared" si="82"/>
      </c>
      <c r="F374" s="44" t="s">
        <v>69</v>
      </c>
      <c r="G374" s="96"/>
      <c r="H374" s="48" t="s">
        <v>30</v>
      </c>
      <c r="I374" s="48"/>
      <c r="J374" s="21"/>
      <c r="K374" s="22"/>
      <c r="L374" s="22"/>
      <c r="M374" s="22"/>
      <c r="N374" s="22"/>
      <c r="O374" s="22"/>
      <c r="P374" s="22"/>
    </row>
    <row customHeight="true" ht="18.452380952380953" r="375">
      <c r="A375" s="43" t="s">
        <v>280</v>
      </c>
      <c r="B375" s="26">
        <v>46302</v>
      </c>
      <c r="C375" s="63" t="str">
        <v>Wednesday</v>
      </c>
      <c r="D375" s="179" t="s">
        <v>282</v>
      </c>
      <c r="E375" s="20">
        <f t="shared" si="82"/>
      </c>
      <c r="F375" s="18" t="s">
        <v>196</v>
      </c>
      <c r="G375" s="96"/>
      <c r="H375" s="20" t="s">
        <v>30</v>
      </c>
      <c r="I375" s="48"/>
      <c r="J375" s="46"/>
      <c r="K375" s="22"/>
      <c r="L375" s="22"/>
      <c r="M375" s="22"/>
      <c r="N375" s="22"/>
      <c r="O375" s="22"/>
      <c r="P375" s="22"/>
    </row>
    <row customHeight="true" ht="18.452380952380953" r="376">
      <c r="A376" s="43" t="s">
        <v>280</v>
      </c>
      <c r="B376" s="26">
        <v>46303</v>
      </c>
      <c r="C376" s="63" t="str">
        <v>Thursday</v>
      </c>
      <c r="D376" s="179" t="s">
        <v>217</v>
      </c>
      <c r="E376" s="20">
        <f t="shared" si="82"/>
      </c>
      <c r="F376" s="44" t="s">
        <v>283</v>
      </c>
      <c r="G376" s="96"/>
      <c r="H376" s="20" t="s">
        <v>30</v>
      </c>
      <c r="I376" s="48"/>
      <c r="J376" s="46"/>
      <c r="K376" s="22"/>
      <c r="L376" s="22"/>
      <c r="M376" s="22"/>
      <c r="N376" s="22"/>
      <c r="O376" s="22"/>
      <c r="P376" s="22"/>
    </row>
    <row customHeight="true" ht="18.452380952380953" r="377">
      <c r="A377" s="43" t="s">
        <v>280</v>
      </c>
      <c r="B377" s="26">
        <v>46303</v>
      </c>
      <c r="C377" s="43" t="str">
        <v>Thursday</v>
      </c>
      <c r="D377" s="179" t="s">
        <v>282</v>
      </c>
      <c r="E377" s="20">
        <f t="shared" si="82"/>
      </c>
      <c r="F377" s="44" t="s">
        <v>283</v>
      </c>
      <c r="G377" s="96"/>
      <c r="H377" s="20" t="s">
        <v>30</v>
      </c>
      <c r="I377" s="48"/>
      <c r="J377" s="46"/>
      <c r="K377" s="22"/>
      <c r="L377" s="22"/>
      <c r="M377" s="22"/>
      <c r="N377" s="22"/>
      <c r="O377" s="22"/>
      <c r="P377" s="22"/>
    </row>
    <row customHeight="true" ht="18.452380952380953" r="378">
      <c r="A378" s="43" t="s">
        <v>280</v>
      </c>
      <c r="B378" s="26">
        <v>46304</v>
      </c>
      <c r="C378" s="43" t="str">
        <v>Friday</v>
      </c>
      <c r="D378" s="179" t="s">
        <v>284</v>
      </c>
      <c r="E378" s="20">
        <f t="shared" si="82"/>
      </c>
      <c r="F378" s="44" t="s">
        <v>285</v>
      </c>
      <c r="G378" s="80"/>
      <c r="H378" s="20" t="s">
        <v>30</v>
      </c>
      <c r="I378" s="48"/>
      <c r="J378" s="46"/>
      <c r="K378" s="194"/>
      <c r="L378" s="194"/>
      <c r="M378" s="194"/>
      <c r="N378" s="194"/>
      <c r="O378" s="194"/>
      <c r="P378" s="194"/>
      <c r="Q378" s="53"/>
      <c r="R378" s="53"/>
    </row>
    <row customHeight="true" ht="18.452380952380953" r="379">
      <c r="A379" s="43" t="s">
        <v>280</v>
      </c>
      <c r="B379" s="26">
        <v>46305</v>
      </c>
      <c r="C379" s="43" t="str">
        <v>Saturday</v>
      </c>
      <c r="D379" s="179" t="s">
        <v>286</v>
      </c>
      <c r="E379" s="20">
        <f t="shared" si="82"/>
      </c>
      <c r="F379" s="44" t="s">
        <v>283</v>
      </c>
      <c r="G379" s="80"/>
      <c r="H379" s="20" t="s">
        <v>30</v>
      </c>
      <c r="I379" s="48"/>
      <c r="J379" s="46"/>
      <c r="K379" s="194"/>
      <c r="L379" s="194"/>
      <c r="M379" s="194"/>
      <c r="N379" s="194"/>
      <c r="O379" s="194"/>
      <c r="P379" s="194"/>
      <c r="Q379" s="53"/>
      <c r="R379" s="53"/>
    </row>
    <row customHeight="true" ht="18.452380952380953" r="380">
      <c r="A380" s="43" t="s">
        <v>280</v>
      </c>
      <c r="B380" s="26">
        <v>46306</v>
      </c>
      <c r="C380" s="43" t="str">
        <v>Sunday</v>
      </c>
      <c r="D380" s="179" t="s">
        <v>287</v>
      </c>
      <c r="E380" s="48">
        <f t="shared" si="82"/>
      </c>
      <c r="F380" s="44" t="s">
        <v>285</v>
      </c>
      <c r="G380" s="52"/>
      <c r="H380" s="48" t="s">
        <v>30</v>
      </c>
      <c r="I380" s="48"/>
      <c r="J380" s="21"/>
      <c r="K380" s="194"/>
      <c r="L380" s="194"/>
      <c r="M380" s="194"/>
      <c r="N380" s="194"/>
      <c r="O380" s="194"/>
      <c r="P380" s="194"/>
      <c r="Q380" s="103"/>
      <c r="R380" s="103"/>
    </row>
    <row customHeight="true" ht="18.452380952380953" r="381">
      <c r="A381" s="43"/>
      <c r="B381" s="26"/>
      <c r="C381" s="43"/>
      <c r="D381" s="179"/>
      <c r="E381" s="48"/>
      <c r="F381" s="44"/>
      <c r="G381" s="52"/>
      <c r="H381" s="48"/>
      <c r="I381" s="48"/>
      <c r="J381" s="21"/>
      <c r="K381" s="194"/>
      <c r="L381" s="194"/>
      <c r="M381" s="194"/>
      <c r="N381" s="194"/>
      <c r="O381" s="194"/>
      <c r="P381" s="194"/>
      <c r="Q381" s="103"/>
      <c r="R381" s="103"/>
    </row>
    <row customHeight="true" ht="18.452380952380953" r="382">
      <c r="A382" s="43" t="s">
        <v>288</v>
      </c>
      <c r="B382" s="26">
        <v>46300</v>
      </c>
      <c r="C382" s="63" t="str">
        <v>Monday</v>
      </c>
      <c r="D382" s="179" t="s">
        <v>289</v>
      </c>
      <c r="E382" s="119">
        <f t="shared" ref="E382:E392" si="83">24*MOD(TIMEVALUE(TRIM(MID(D382,FIND("-",D382)+1,LEN(D382)))) - TIMEVALUE(TRIM(LEFT(D382,FIND("-",D382)-1))),1)</f>
      </c>
      <c r="F382" s="44" t="s">
        <v>85</v>
      </c>
      <c r="G382" s="52"/>
      <c r="H382" s="20" t="s">
        <v>30</v>
      </c>
      <c r="I382" s="48"/>
      <c r="J382" s="21"/>
      <c r="K382" s="194"/>
      <c r="L382" s="194"/>
      <c r="M382" s="194"/>
      <c r="N382" s="194"/>
      <c r="O382" s="194"/>
      <c r="P382" s="194"/>
      <c r="Q382" s="103"/>
      <c r="R382" s="103"/>
    </row>
    <row r="383">
      <c r="A383" s="43" t="s">
        <v>288</v>
      </c>
      <c r="B383" s="26">
        <v>46300</v>
      </c>
      <c r="C383" s="63" t="str">
        <v>Monday</v>
      </c>
      <c r="D383" s="179" t="s">
        <v>290</v>
      </c>
      <c r="E383" s="119">
        <f t="shared" si="83"/>
      </c>
      <c r="F383" s="44" t="s">
        <v>291</v>
      </c>
      <c r="G383" s="80"/>
      <c r="H383" s="48" t="s">
        <v>30</v>
      </c>
      <c r="I383" s="48"/>
      <c r="J383" s="21"/>
      <c r="K383" s="194"/>
      <c r="L383" s="194"/>
      <c r="M383" s="194"/>
      <c r="N383" s="194"/>
      <c r="O383" s="194"/>
      <c r="P383" s="194"/>
      <c r="Q383" s="53"/>
      <c r="R383" s="53"/>
    </row>
    <row customHeight="true" ht="18.452380952380953" r="384">
      <c r="A384" s="43" t="s">
        <v>288</v>
      </c>
      <c r="B384" s="26">
        <v>46301</v>
      </c>
      <c r="C384" s="63" t="str">
        <v>Tuesday</v>
      </c>
      <c r="D384" s="179" t="s">
        <v>292</v>
      </c>
      <c r="E384" s="119">
        <f t="shared" si="83"/>
      </c>
      <c r="F384" s="44" t="s">
        <v>85</v>
      </c>
      <c r="G384" s="80"/>
      <c r="H384" s="20" t="s">
        <v>30</v>
      </c>
      <c r="I384" s="48"/>
      <c r="J384" s="46"/>
      <c r="K384" s="194"/>
      <c r="L384" s="194"/>
      <c r="M384" s="194"/>
      <c r="N384" s="194"/>
      <c r="O384" s="194"/>
      <c r="P384" s="194"/>
      <c r="Q384" s="53"/>
      <c r="R384" s="53"/>
    </row>
    <row customHeight="true" ht="18.452380952380953" r="385">
      <c r="A385" s="43" t="s">
        <v>288</v>
      </c>
      <c r="B385" s="26">
        <v>46301</v>
      </c>
      <c r="C385" s="63" t="str">
        <v>Tuesday</v>
      </c>
      <c r="D385" s="179" t="s">
        <v>290</v>
      </c>
      <c r="E385" s="119">
        <f t="shared" si="83"/>
      </c>
      <c r="F385" s="44" t="s">
        <v>291</v>
      </c>
      <c r="G385" s="80"/>
      <c r="H385" s="20" t="s">
        <v>30</v>
      </c>
      <c r="I385" s="48"/>
      <c r="J385" s="46"/>
      <c r="K385" s="194"/>
      <c r="L385" s="194"/>
      <c r="M385" s="194"/>
      <c r="N385" s="194"/>
      <c r="O385" s="194"/>
      <c r="P385" s="194"/>
      <c r="Q385" s="53"/>
      <c r="R385" s="53"/>
    </row>
    <row customHeight="true" ht="18.452380952380953" r="386">
      <c r="A386" s="43" t="s">
        <v>288</v>
      </c>
      <c r="B386" s="26">
        <v>46302</v>
      </c>
      <c r="C386" s="43" t="str">
        <v>Wednesday</v>
      </c>
      <c r="D386" s="179" t="s">
        <v>292</v>
      </c>
      <c r="E386" s="20">
        <f t="shared" si="83"/>
      </c>
      <c r="F386" s="44" t="s">
        <v>122</v>
      </c>
      <c r="G386" s="80"/>
      <c r="H386" s="20" t="s">
        <v>30</v>
      </c>
      <c r="I386" s="48"/>
      <c r="J386" s="46"/>
      <c r="K386" s="194"/>
      <c r="L386" s="194"/>
      <c r="M386" s="194"/>
      <c r="N386" s="194"/>
      <c r="O386" s="194"/>
      <c r="P386" s="194"/>
      <c r="Q386" s="53"/>
      <c r="R386" s="53"/>
    </row>
    <row r="387">
      <c r="A387" s="43" t="s">
        <v>288</v>
      </c>
      <c r="B387" s="26">
        <v>46302</v>
      </c>
      <c r="C387" s="63" t="str">
        <v>Wednesday</v>
      </c>
      <c r="D387" s="179" t="s">
        <v>293</v>
      </c>
      <c r="E387" s="20">
        <f t="shared" si="83"/>
      </c>
      <c r="F387" s="44" t="s">
        <v>122</v>
      </c>
      <c r="G387" s="80"/>
      <c r="H387" s="20" t="s">
        <v>30</v>
      </c>
      <c r="I387" s="48"/>
      <c r="J387" s="46"/>
      <c r="K387" s="194"/>
      <c r="L387" s="194"/>
      <c r="M387" s="194"/>
      <c r="N387" s="194"/>
      <c r="O387" s="194"/>
      <c r="P387" s="194"/>
      <c r="Q387" s="53"/>
      <c r="R387" s="53"/>
    </row>
    <row r="388">
      <c r="A388" s="43" t="s">
        <v>288</v>
      </c>
      <c r="B388" s="26">
        <v>46303</v>
      </c>
      <c r="C388" s="63" t="str">
        <v>Thursday</v>
      </c>
      <c r="D388" s="179" t="s">
        <v>224</v>
      </c>
      <c r="E388" s="20">
        <f t="shared" si="83"/>
      </c>
      <c r="F388" s="44" t="s">
        <v>122</v>
      </c>
      <c r="G388" s="80"/>
      <c r="H388" s="20" t="s">
        <v>30</v>
      </c>
      <c r="I388" s="48"/>
      <c r="J388" s="46"/>
      <c r="K388" s="194"/>
      <c r="L388" s="194"/>
      <c r="M388" s="194"/>
      <c r="N388" s="194"/>
      <c r="O388" s="194"/>
      <c r="P388" s="194"/>
      <c r="Q388" s="53"/>
      <c r="R388" s="53"/>
    </row>
    <row r="389">
      <c r="A389" s="43" t="s">
        <v>288</v>
      </c>
      <c r="B389" s="26">
        <v>46303</v>
      </c>
      <c r="C389" s="43" t="str">
        <v>Thursday</v>
      </c>
      <c r="D389" s="179" t="s">
        <v>294</v>
      </c>
      <c r="E389" s="20">
        <f t="shared" si="83"/>
      </c>
      <c r="F389" s="44" t="s">
        <v>291</v>
      </c>
      <c r="G389" s="80"/>
      <c r="H389" s="20" t="s">
        <v>30</v>
      </c>
      <c r="I389" s="48"/>
      <c r="J389" s="46"/>
      <c r="K389" s="194"/>
      <c r="L389" s="194"/>
      <c r="M389" s="194"/>
      <c r="N389" s="194"/>
      <c r="O389" s="194"/>
      <c r="P389" s="194"/>
      <c r="Q389" s="53"/>
      <c r="R389" s="53"/>
    </row>
    <row r="390">
      <c r="A390" s="43" t="s">
        <v>288</v>
      </c>
      <c r="B390" s="26">
        <v>46304</v>
      </c>
      <c r="C390" s="43" t="str">
        <v>Friday</v>
      </c>
      <c r="D390" s="179" t="s">
        <v>295</v>
      </c>
      <c r="E390" s="20">
        <f t="shared" si="83"/>
      </c>
      <c r="F390" s="44" t="s">
        <v>291</v>
      </c>
      <c r="G390" s="291"/>
      <c r="H390" s="292" t="s">
        <v>30</v>
      </c>
      <c r="I390" s="293"/>
      <c r="J390" s="294"/>
      <c r="K390" s="295"/>
      <c r="L390" s="295"/>
      <c r="M390" s="295"/>
      <c r="N390" s="295"/>
      <c r="O390" s="295"/>
      <c r="P390" s="295"/>
      <c r="Q390" s="53"/>
      <c r="R390" s="53"/>
    </row>
    <row customHeight="true" ht="18.452380952380953" r="391">
      <c r="A391" s="43" t="s">
        <v>288</v>
      </c>
      <c r="B391" s="26">
        <v>46305</v>
      </c>
      <c r="C391" s="43" t="str">
        <v>Saturday</v>
      </c>
      <c r="D391" s="179" t="s">
        <v>296</v>
      </c>
      <c r="E391" s="20">
        <f t="shared" si="83"/>
      </c>
      <c r="F391" s="44" t="s">
        <v>291</v>
      </c>
      <c r="G391" s="80"/>
      <c r="H391" s="20" t="s">
        <v>30</v>
      </c>
      <c r="I391" s="48"/>
      <c r="J391" s="46"/>
      <c r="K391" s="194"/>
      <c r="L391" s="194"/>
      <c r="M391" s="194"/>
      <c r="N391" s="194"/>
      <c r="O391" s="194"/>
      <c r="P391" s="194"/>
      <c r="Q391" s="53"/>
      <c r="R391" s="53"/>
    </row>
    <row customHeight="true" ht="18.452380952380953" r="392">
      <c r="A392" s="43" t="s">
        <v>288</v>
      </c>
      <c r="B392" s="26">
        <v>46306</v>
      </c>
      <c r="C392" s="43" t="str">
        <v>Sunday</v>
      </c>
      <c r="D392" s="179" t="s">
        <v>297</v>
      </c>
      <c r="E392" s="48">
        <f t="shared" si="83"/>
      </c>
      <c r="F392" s="44" t="s">
        <v>122</v>
      </c>
      <c r="G392" s="80"/>
      <c r="H392" s="20" t="s">
        <v>30</v>
      </c>
      <c r="I392" s="48"/>
      <c r="J392" s="46"/>
      <c r="K392" s="194"/>
      <c r="L392" s="194"/>
      <c r="M392" s="194"/>
      <c r="N392" s="194"/>
      <c r="O392" s="194"/>
      <c r="P392" s="194"/>
      <c r="Q392" s="53"/>
      <c r="R392" s="53"/>
    </row>
    <row customHeight="true" ht="18.452380952380953" r="393">
      <c r="A393" s="43"/>
      <c r="B393" s="26"/>
      <c r="C393" s="43"/>
      <c r="D393" s="179"/>
      <c r="E393" s="48"/>
      <c r="F393" s="44"/>
      <c r="G393" s="80"/>
      <c r="H393" s="20"/>
      <c r="I393" s="48"/>
      <c r="J393" s="46"/>
      <c r="K393" s="194"/>
      <c r="L393" s="194"/>
      <c r="M393" s="194"/>
      <c r="N393" s="194"/>
      <c r="O393" s="194"/>
      <c r="P393" s="194"/>
      <c r="Q393" s="53"/>
      <c r="R393" s="53"/>
    </row>
    <row customHeight="true" ht="18.452380952380953" r="394">
      <c r="A394" s="43"/>
      <c r="B394" s="26"/>
      <c r="C394" s="43"/>
      <c r="D394" s="179"/>
      <c r="E394" s="48"/>
      <c r="F394" s="44"/>
      <c r="G394" s="80"/>
      <c r="H394" s="20"/>
      <c r="I394" s="48"/>
      <c r="J394" s="46"/>
      <c r="K394" s="194"/>
      <c r="L394" s="194"/>
      <c r="M394" s="194"/>
      <c r="N394" s="194"/>
      <c r="O394" s="194"/>
      <c r="P394" s="194"/>
      <c r="Q394" s="53"/>
      <c r="R394" s="53"/>
    </row>
    <row r="395">
      <c r="A395" s="296" t="s">
        <v>16</v>
      </c>
      <c r="B395" s="297" t="s">
        <v>17</v>
      </c>
      <c r="C395" s="297"/>
      <c r="D395" s="298" t="s">
        <v>18</v>
      </c>
      <c r="E395" s="298" t="s">
        <v>19</v>
      </c>
      <c r="F395" s="298" t="s">
        <v>20</v>
      </c>
      <c r="G395" s="299" t="s">
        <v>33</v>
      </c>
      <c r="H395" s="298" t="s">
        <v>22</v>
      </c>
      <c r="I395" s="298" t="s">
        <v>23</v>
      </c>
      <c r="J395" s="300" t="s">
        <v>24</v>
      </c>
      <c r="K395" s="42"/>
      <c r="L395" s="42"/>
      <c r="M395" s="42"/>
      <c r="N395" s="42"/>
      <c r="O395" s="42"/>
      <c r="P395" s="42"/>
    </row>
    <row r="396">
      <c r="A396" s="63" t="s">
        <v>298</v>
      </c>
      <c r="B396" s="26">
        <v>46300</v>
      </c>
      <c r="C396" s="63" t="str">
        <v>Monday</v>
      </c>
      <c r="D396" s="145" t="s">
        <v>217</v>
      </c>
      <c r="E396" s="119">
        <f t="shared" ref="E396:E406" si="84">24*MOD(TIMEVALUE(TRIM(MID(D396,FIND("-",D396)+1,LEN(D396)))) - TIMEVALUE(TRIM(LEFT(D396,FIND("-",D396)-1))),1)</f>
      </c>
      <c r="F396" s="301" t="s">
        <v>283</v>
      </c>
      <c r="G396" s="122"/>
      <c r="H396" s="119"/>
      <c r="I396" s="119" t="s">
        <v>8</v>
      </c>
      <c r="J396" s="225"/>
      <c r="K396" s="302"/>
      <c r="L396" s="302"/>
      <c r="M396" s="302"/>
      <c r="N396" s="302"/>
      <c r="O396" s="302"/>
      <c r="P396" s="302"/>
    </row>
    <row customHeight="true" ht="20.238095238095237" r="397">
      <c r="A397" s="63" t="s">
        <v>298</v>
      </c>
      <c r="B397" s="26">
        <v>46300</v>
      </c>
      <c r="C397" s="63" t="str">
        <v>Monday</v>
      </c>
      <c r="D397" s="145" t="s">
        <v>282</v>
      </c>
      <c r="E397" s="119">
        <f t="shared" si="84"/>
      </c>
      <c r="F397" s="301" t="s">
        <v>299</v>
      </c>
      <c r="G397" s="122"/>
      <c r="H397" s="119"/>
      <c r="I397" s="119" t="s">
        <v>8</v>
      </c>
      <c r="J397" s="225"/>
      <c r="K397" s="302"/>
      <c r="L397" s="302"/>
      <c r="M397" s="302"/>
      <c r="N397" s="302"/>
      <c r="O397" s="302"/>
      <c r="P397" s="302"/>
    </row>
    <row customHeight="true" ht="18.452380952380953" r="398">
      <c r="A398" s="63" t="s">
        <v>298</v>
      </c>
      <c r="B398" s="26">
        <v>46301</v>
      </c>
      <c r="C398" s="63" t="str">
        <v>Tuesday</v>
      </c>
      <c r="D398" s="145" t="s">
        <v>287</v>
      </c>
      <c r="E398" s="119">
        <f t="shared" si="84"/>
      </c>
      <c r="F398" s="301" t="s">
        <v>283</v>
      </c>
      <c r="G398" s="122"/>
      <c r="H398" s="119"/>
      <c r="I398" s="119" t="s">
        <v>8</v>
      </c>
      <c r="J398" s="225"/>
      <c r="K398" s="302"/>
      <c r="L398" s="302"/>
      <c r="M398" s="302"/>
      <c r="N398" s="302"/>
      <c r="O398" s="302"/>
      <c r="P398" s="302"/>
    </row>
    <row customHeight="true" ht="18.452380952380953" r="399">
      <c r="A399" s="63" t="s">
        <v>298</v>
      </c>
      <c r="B399" s="26">
        <v>46302</v>
      </c>
      <c r="C399" s="63" t="str">
        <v>Wednesday</v>
      </c>
      <c r="D399" s="145" t="s">
        <v>217</v>
      </c>
      <c r="E399" s="119">
        <f t="shared" si="84"/>
      </c>
      <c r="F399" s="301" t="s">
        <v>299</v>
      </c>
      <c r="G399" s="122"/>
      <c r="H399" s="119"/>
      <c r="I399" s="119" t="s">
        <v>8</v>
      </c>
      <c r="J399" s="225" t="s">
        <v>300</v>
      </c>
      <c r="K399" s="302"/>
      <c r="L399" s="302"/>
      <c r="M399" s="302"/>
      <c r="N399" s="302"/>
      <c r="O399" s="302"/>
      <c r="P399" s="302"/>
    </row>
    <row customHeight="true" ht="18.452380952380953" r="400">
      <c r="A400" s="63" t="s">
        <v>298</v>
      </c>
      <c r="B400" s="26">
        <v>46302</v>
      </c>
      <c r="C400" s="63" t="str">
        <v>Wednesday</v>
      </c>
      <c r="D400" s="145" t="s">
        <v>282</v>
      </c>
      <c r="E400" s="119">
        <f t="shared" si="84"/>
      </c>
      <c r="F400" s="301" t="s">
        <v>283</v>
      </c>
      <c r="G400" s="122"/>
      <c r="H400" s="119"/>
      <c r="I400" s="119" t="s">
        <v>8</v>
      </c>
      <c r="J400" s="225" t="s">
        <v>300</v>
      </c>
      <c r="K400" s="302"/>
      <c r="L400" s="302"/>
      <c r="M400" s="302"/>
      <c r="N400" s="302"/>
      <c r="O400" s="302"/>
      <c r="P400" s="302"/>
    </row>
    <row customHeight="true" ht="18.452380952380953" r="401">
      <c r="A401" s="63" t="s">
        <v>298</v>
      </c>
      <c r="B401" s="26">
        <v>46303</v>
      </c>
      <c r="C401" s="63" t="str">
        <v>Thursday</v>
      </c>
      <c r="D401" s="145" t="s">
        <v>217</v>
      </c>
      <c r="E401" s="119">
        <f t="shared" si="84"/>
      </c>
      <c r="F401" s="301" t="s">
        <v>89</v>
      </c>
      <c r="G401" s="122"/>
      <c r="H401" s="119"/>
      <c r="I401" s="119" t="s">
        <v>8</v>
      </c>
      <c r="J401" s="225" t="s">
        <v>300</v>
      </c>
      <c r="K401" s="302"/>
      <c r="L401" s="302"/>
      <c r="M401" s="302"/>
      <c r="N401" s="302"/>
      <c r="O401" s="302"/>
      <c r="P401" s="302"/>
    </row>
    <row customHeight="true" ht="18.452380952380953" r="402">
      <c r="A402" s="63" t="s">
        <v>298</v>
      </c>
      <c r="B402" s="26">
        <v>46303</v>
      </c>
      <c r="C402" s="63" t="str">
        <v>Thursday</v>
      </c>
      <c r="D402" s="145" t="s">
        <v>282</v>
      </c>
      <c r="E402" s="119">
        <f t="shared" si="84"/>
      </c>
      <c r="F402" s="301" t="s">
        <v>299</v>
      </c>
      <c r="G402" s="122"/>
      <c r="H402" s="119"/>
      <c r="I402" s="119" t="s">
        <v>8</v>
      </c>
      <c r="J402" s="225" t="s">
        <v>300</v>
      </c>
      <c r="K402" s="302"/>
      <c r="L402" s="302"/>
      <c r="M402" s="302"/>
      <c r="N402" s="302"/>
      <c r="O402" s="302"/>
      <c r="P402" s="302"/>
    </row>
    <row customHeight="true" ht="18.452380952380953" r="403">
      <c r="A403" s="63" t="s">
        <v>298</v>
      </c>
      <c r="B403" s="26">
        <v>46304</v>
      </c>
      <c r="C403" s="63" t="str">
        <v>Friday</v>
      </c>
      <c r="D403" s="145" t="s">
        <v>301</v>
      </c>
      <c r="E403" s="119">
        <f t="shared" si="84"/>
      </c>
      <c r="F403" s="301" t="s">
        <v>285</v>
      </c>
      <c r="G403" s="122"/>
      <c r="H403" s="119"/>
      <c r="I403" s="119" t="s">
        <v>8</v>
      </c>
      <c r="J403" s="225" t="s">
        <v>300</v>
      </c>
      <c r="K403" s="302"/>
      <c r="L403" s="302"/>
      <c r="M403" s="302"/>
      <c r="N403" s="302"/>
      <c r="O403" s="302"/>
      <c r="P403" s="302"/>
    </row>
    <row customHeight="true" ht="18.452380952380953" r="404">
      <c r="A404" s="63" t="s">
        <v>298</v>
      </c>
      <c r="B404" s="26">
        <v>46304</v>
      </c>
      <c r="C404" s="63" t="str">
        <v>Friday</v>
      </c>
      <c r="D404" s="145" t="s">
        <v>259</v>
      </c>
      <c r="E404" s="119">
        <f t="shared" si="84"/>
      </c>
      <c r="F404" s="301" t="s">
        <v>283</v>
      </c>
      <c r="G404" s="122"/>
      <c r="H404" s="119"/>
      <c r="I404" s="119" t="s">
        <v>8</v>
      </c>
      <c r="J404" s="225" t="s">
        <v>300</v>
      </c>
      <c r="K404" s="302"/>
      <c r="L404" s="302"/>
      <c r="M404" s="302"/>
      <c r="N404" s="302"/>
      <c r="O404" s="302"/>
      <c r="P404" s="302"/>
    </row>
    <row customHeight="true" ht="18.452380952380953" r="405">
      <c r="A405" s="63" t="s">
        <v>298</v>
      </c>
      <c r="B405" s="26">
        <v>46305</v>
      </c>
      <c r="C405" s="63" t="str">
        <v>Saturday</v>
      </c>
      <c r="D405" s="145" t="s">
        <v>302</v>
      </c>
      <c r="E405" s="119">
        <f t="shared" si="84"/>
      </c>
      <c r="F405" s="301" t="s">
        <v>285</v>
      </c>
      <c r="G405" s="122"/>
      <c r="H405" s="119"/>
      <c r="I405" s="119" t="s">
        <v>8</v>
      </c>
      <c r="J405" s="225" t="s">
        <v>300</v>
      </c>
      <c r="K405" s="302"/>
      <c r="L405" s="302"/>
      <c r="M405" s="302"/>
      <c r="N405" s="302"/>
      <c r="O405" s="302"/>
      <c r="P405" s="302"/>
    </row>
    <row customHeight="true" ht="18.452380952380953" r="406">
      <c r="A406" s="43" t="s">
        <v>298</v>
      </c>
      <c r="B406" s="26">
        <v>46306</v>
      </c>
      <c r="C406" s="43" t="str">
        <v>Sunday</v>
      </c>
      <c r="D406" s="145" t="s">
        <v>286</v>
      </c>
      <c r="E406" s="48">
        <f t="shared" si="84"/>
      </c>
      <c r="F406" s="301" t="s">
        <v>283</v>
      </c>
      <c r="G406" s="107"/>
      <c r="H406" s="48"/>
      <c r="I406" s="48" t="s">
        <v>8</v>
      </c>
      <c r="J406" s="21"/>
      <c r="K406" s="22"/>
      <c r="L406" s="22"/>
      <c r="M406" s="22"/>
      <c r="N406" s="22"/>
      <c r="O406" s="22"/>
      <c r="P406" s="22"/>
    </row>
    <row customHeight="true" ht="18.452380952380953" r="407">
      <c r="A407" s="43"/>
      <c r="B407" s="26"/>
      <c r="C407" s="43"/>
      <c r="D407" s="145"/>
      <c r="E407" s="48"/>
      <c r="F407" s="301"/>
      <c r="G407" s="107"/>
      <c r="H407" s="48"/>
      <c r="I407" s="48"/>
      <c r="J407" s="21"/>
      <c r="K407" s="22"/>
      <c r="L407" s="22"/>
      <c r="M407" s="22"/>
      <c r="N407" s="22"/>
      <c r="O407" s="22"/>
      <c r="P407" s="22"/>
    </row>
    <row r="408">
      <c r="A408" s="43" t="s">
        <v>303</v>
      </c>
      <c r="B408" s="26">
        <v>46300</v>
      </c>
      <c r="C408" s="63" t="str">
        <v>Monday</v>
      </c>
      <c r="D408" s="145" t="s">
        <v>267</v>
      </c>
      <c r="E408" s="119">
        <f t="shared" ref="E408:E420" si="85">24*MOD(TIMEVALUE(TRIM(MID(D408,FIND("-",D408)+1,LEN(D408)))) - TIMEVALUE(TRIM(LEFT(D408,FIND("-",D408)-1))),1)</f>
      </c>
      <c r="F408" s="301" t="s">
        <v>122</v>
      </c>
      <c r="G408" s="52"/>
      <c r="H408" s="48"/>
      <c r="I408" s="48" t="s">
        <v>8</v>
      </c>
      <c r="J408" s="17" t="s">
        <v>304</v>
      </c>
      <c r="K408" s="22"/>
      <c r="L408" s="22"/>
      <c r="M408" s="22"/>
      <c r="N408" s="22"/>
      <c r="O408" s="22"/>
      <c r="P408" s="22"/>
    </row>
    <row customHeight="true" ht="20.238095238095237" r="409">
      <c r="A409" s="43" t="s">
        <v>303</v>
      </c>
      <c r="B409" s="26">
        <v>46300</v>
      </c>
      <c r="C409" s="63" t="str">
        <v>Monday</v>
      </c>
      <c r="D409" s="145" t="s">
        <v>305</v>
      </c>
      <c r="E409" s="119">
        <f t="shared" si="85"/>
      </c>
      <c r="F409" s="301" t="s">
        <v>306</v>
      </c>
      <c r="G409" s="52"/>
      <c r="H409" s="48"/>
      <c r="I409" s="48" t="s">
        <v>8</v>
      </c>
      <c r="J409" s="17" t="s">
        <v>304</v>
      </c>
      <c r="K409" s="22"/>
      <c r="L409" s="22"/>
      <c r="M409" s="22"/>
      <c r="N409" s="22"/>
      <c r="O409" s="22"/>
      <c r="P409" s="22"/>
    </row>
    <row customHeight="true" ht="18.452380952380953" r="410">
      <c r="A410" s="43" t="s">
        <v>303</v>
      </c>
      <c r="B410" s="26">
        <v>46301</v>
      </c>
      <c r="C410" s="63" t="str">
        <v>Tuesday</v>
      </c>
      <c r="D410" s="145" t="s">
        <v>307</v>
      </c>
      <c r="E410" s="119">
        <f t="shared" si="85"/>
      </c>
      <c r="F410" s="301" t="s">
        <v>308</v>
      </c>
      <c r="G410" s="52"/>
      <c r="H410" s="48"/>
      <c r="I410" s="48" t="s">
        <v>8</v>
      </c>
      <c r="J410" s="17" t="s">
        <v>304</v>
      </c>
      <c r="K410" s="22"/>
      <c r="L410" s="22"/>
      <c r="M410" s="22"/>
      <c r="N410" s="22"/>
      <c r="O410" s="22"/>
      <c r="P410" s="22"/>
    </row>
    <row customHeight="true" ht="18.452380952380953" r="411">
      <c r="A411" s="43" t="s">
        <v>303</v>
      </c>
      <c r="B411" s="26">
        <v>46302</v>
      </c>
      <c r="C411" s="63" t="str">
        <v>Wednesday</v>
      </c>
      <c r="D411" s="145" t="s">
        <v>309</v>
      </c>
      <c r="E411" s="119">
        <f t="shared" si="85"/>
      </c>
      <c r="F411" s="301" t="s">
        <v>306</v>
      </c>
      <c r="G411" s="52"/>
      <c r="H411" s="48"/>
      <c r="I411" s="48" t="s">
        <v>8</v>
      </c>
      <c r="J411" s="17" t="s">
        <v>304</v>
      </c>
      <c r="K411" s="22"/>
      <c r="L411" s="22"/>
      <c r="M411" s="22"/>
      <c r="N411" s="22"/>
      <c r="O411" s="22"/>
      <c r="P411" s="22"/>
    </row>
    <row customHeight="true" ht="18.452380952380953" r="412">
      <c r="A412" s="43" t="s">
        <v>303</v>
      </c>
      <c r="B412" s="26">
        <v>46302</v>
      </c>
      <c r="C412" s="63" t="str">
        <v>Wednesday</v>
      </c>
      <c r="D412" s="145" t="s">
        <v>310</v>
      </c>
      <c r="E412" s="119">
        <f t="shared" si="85"/>
      </c>
      <c r="F412" s="51" t="s">
        <v>266</v>
      </c>
      <c r="G412" s="52"/>
      <c r="H412" s="48"/>
      <c r="I412" s="48" t="s">
        <v>8</v>
      </c>
      <c r="J412" s="17" t="s">
        <v>304</v>
      </c>
      <c r="K412" s="22"/>
      <c r="L412" s="22"/>
      <c r="M412" s="22"/>
      <c r="N412" s="22"/>
      <c r="O412" s="22"/>
      <c r="P412" s="22"/>
    </row>
    <row customHeight="true" ht="18.452380952380953" r="413">
      <c r="A413" s="43" t="s">
        <v>303</v>
      </c>
      <c r="B413" s="26">
        <v>46303</v>
      </c>
      <c r="C413" s="63" t="str">
        <v>Thursday</v>
      </c>
      <c r="D413" s="145" t="s">
        <v>224</v>
      </c>
      <c r="E413" s="119">
        <f t="shared" si="85"/>
      </c>
      <c r="F413" s="301" t="s">
        <v>306</v>
      </c>
      <c r="G413" s="52"/>
      <c r="H413" s="48"/>
      <c r="I413" s="48" t="s">
        <v>8</v>
      </c>
      <c r="J413" s="17" t="s">
        <v>304</v>
      </c>
      <c r="K413" s="22"/>
      <c r="L413" s="22"/>
      <c r="M413" s="22"/>
      <c r="N413" s="22"/>
      <c r="O413" s="22"/>
      <c r="P413" s="22"/>
    </row>
    <row customHeight="true" ht="18.452380952380953" r="414">
      <c r="A414" s="63" t="s">
        <v>303</v>
      </c>
      <c r="B414" s="26">
        <v>46303</v>
      </c>
      <c r="C414" s="63" t="str">
        <v>Thursday</v>
      </c>
      <c r="D414" s="145" t="s">
        <v>282</v>
      </c>
      <c r="E414" s="119">
        <f t="shared" si="85"/>
      </c>
      <c r="F414" s="301" t="s">
        <v>122</v>
      </c>
      <c r="G414" s="118"/>
      <c r="H414" s="119"/>
      <c r="I414" s="119" t="s">
        <v>8</v>
      </c>
      <c r="J414" s="195"/>
      <c r="K414" s="22"/>
      <c r="L414" s="22"/>
      <c r="M414" s="22"/>
      <c r="N414" s="22"/>
      <c r="O414" s="22"/>
      <c r="P414" s="22"/>
      <c r="Q414" s="69"/>
      <c r="R414" s="69"/>
    </row>
    <row customHeight="true" ht="18.452380952380953" r="415">
      <c r="A415" s="63" t="s">
        <v>303</v>
      </c>
      <c r="B415" s="26">
        <v>46304</v>
      </c>
      <c r="C415" s="63" t="str">
        <v>Friday</v>
      </c>
      <c r="D415" s="145" t="s">
        <v>311</v>
      </c>
      <c r="E415" s="119">
        <f t="shared" si="85"/>
      </c>
      <c r="F415" s="51" t="s">
        <v>308</v>
      </c>
      <c r="G415" s="118"/>
      <c r="H415" s="119"/>
      <c r="I415" s="119" t="s">
        <v>8</v>
      </c>
      <c r="J415" s="195"/>
      <c r="K415" s="22"/>
      <c r="L415" s="22"/>
      <c r="M415" s="22"/>
      <c r="N415" s="22"/>
      <c r="O415" s="22"/>
      <c r="P415" s="22"/>
      <c r="Q415" s="69"/>
      <c r="R415" s="69"/>
    </row>
    <row r="416">
      <c r="A416" s="43" t="s">
        <v>303</v>
      </c>
      <c r="B416" s="26">
        <v>46304</v>
      </c>
      <c r="C416" s="63" t="str">
        <v>Friday</v>
      </c>
      <c r="D416" s="145" t="s">
        <v>259</v>
      </c>
      <c r="E416" s="119">
        <f t="shared" si="85"/>
      </c>
      <c r="F416" s="301" t="s">
        <v>306</v>
      </c>
      <c r="G416" s="52"/>
      <c r="H416" s="48"/>
      <c r="I416" s="48" t="s">
        <v>8</v>
      </c>
      <c r="J416" s="21"/>
      <c r="K416" s="22"/>
      <c r="L416" s="22"/>
      <c r="M416" s="22"/>
      <c r="N416" s="22"/>
      <c r="O416" s="22"/>
      <c r="P416" s="22"/>
    </row>
    <row customHeight="true" ht="18.452380952380953" r="417">
      <c r="A417" s="43" t="s">
        <v>303</v>
      </c>
      <c r="B417" s="26">
        <v>46305</v>
      </c>
      <c r="C417" s="63" t="str">
        <v>Saturday</v>
      </c>
      <c r="D417" s="145" t="s">
        <v>224</v>
      </c>
      <c r="E417" s="119">
        <f t="shared" si="85"/>
      </c>
      <c r="F417" s="51" t="s">
        <v>266</v>
      </c>
      <c r="G417" s="52"/>
      <c r="H417" s="48"/>
      <c r="I417" s="48" t="s">
        <v>8</v>
      </c>
      <c r="J417" s="21"/>
      <c r="K417" s="22"/>
      <c r="L417" s="22"/>
      <c r="M417" s="22"/>
      <c r="N417" s="22"/>
      <c r="O417" s="22"/>
      <c r="P417" s="22"/>
    </row>
    <row customHeight="true" ht="18.452380952380953" r="418">
      <c r="A418" s="43" t="s">
        <v>303</v>
      </c>
      <c r="B418" s="26">
        <v>46305</v>
      </c>
      <c r="C418" s="63" t="str">
        <v>Saturday</v>
      </c>
      <c r="D418" s="145" t="s">
        <v>282</v>
      </c>
      <c r="E418" s="119">
        <f t="shared" si="85"/>
      </c>
      <c r="F418" s="44" t="s">
        <v>85</v>
      </c>
      <c r="G418" s="52"/>
      <c r="H418" s="48"/>
      <c r="I418" s="48" t="s">
        <v>8</v>
      </c>
      <c r="J418" s="21"/>
      <c r="K418" s="22"/>
      <c r="L418" s="22"/>
      <c r="M418" s="22"/>
      <c r="N418" s="22"/>
      <c r="O418" s="22"/>
      <c r="P418" s="22"/>
    </row>
    <row customHeight="true" ht="18.452380952380953" r="419">
      <c r="A419" s="43" t="s">
        <v>303</v>
      </c>
      <c r="B419" s="26">
        <v>46306</v>
      </c>
      <c r="C419" s="43" t="str">
        <v>Sunday</v>
      </c>
      <c r="D419" s="145" t="s">
        <v>312</v>
      </c>
      <c r="E419" s="48">
        <f t="shared" si="85"/>
      </c>
      <c r="F419" s="301" t="s">
        <v>291</v>
      </c>
      <c r="G419" s="52"/>
      <c r="H419" s="48"/>
      <c r="I419" s="48" t="s">
        <v>8</v>
      </c>
      <c r="J419" s="21"/>
      <c r="K419" s="22"/>
      <c r="L419" s="22"/>
      <c r="M419" s="22"/>
      <c r="N419" s="22"/>
      <c r="O419" s="22"/>
      <c r="P419" s="22"/>
    </row>
    <row customHeight="true" ht="18.452380952380953" r="420">
      <c r="A420" s="43" t="s">
        <v>303</v>
      </c>
      <c r="B420" s="26">
        <v>46306</v>
      </c>
      <c r="C420" s="43" t="str">
        <v>Sunday</v>
      </c>
      <c r="D420" s="145" t="s">
        <v>260</v>
      </c>
      <c r="E420" s="48">
        <f t="shared" si="85"/>
      </c>
      <c r="F420" s="51" t="s">
        <v>291</v>
      </c>
      <c r="G420" s="52"/>
      <c r="H420" s="48"/>
      <c r="I420" s="48" t="s">
        <v>8</v>
      </c>
      <c r="J420" s="21"/>
      <c r="K420" s="22"/>
      <c r="L420" s="22"/>
      <c r="M420" s="22"/>
      <c r="N420" s="22"/>
      <c r="O420" s="22"/>
      <c r="P420" s="22"/>
    </row>
    <row customHeight="true" ht="18.452380952380953" r="421">
      <c r="A421" s="43"/>
      <c r="B421" s="26"/>
      <c r="C421" s="43"/>
      <c r="D421" s="145"/>
      <c r="E421" s="48"/>
      <c r="F421" s="51"/>
      <c r="G421" s="52"/>
      <c r="H421" s="48"/>
      <c r="I421" s="48"/>
      <c r="J421" s="21"/>
      <c r="K421" s="22"/>
      <c r="L421" s="22"/>
      <c r="M421" s="22"/>
      <c r="N421" s="22"/>
      <c r="O421" s="22"/>
      <c r="P421" s="22"/>
    </row>
    <row customHeight="true" ht="18.452380952380953" r="422">
      <c r="A422" s="43" t="s">
        <v>313</v>
      </c>
      <c r="B422" s="26">
        <v>46306</v>
      </c>
      <c r="C422" s="43" t="str">
        <v>Sunday</v>
      </c>
      <c r="D422" s="145"/>
      <c r="E422" s="48">
        <f t="shared" ref="E422:E423" si="86">24*MOD(TIMEVALUE(TRIM(MID(D422,FIND("-",D422)+1,LEN(D422)))) - TIMEVALUE(TRIM(LEFT(D422,FIND("-",D422)-1))),1)</f>
      </c>
      <c r="F422" s="301" t="s">
        <v>306</v>
      </c>
      <c r="G422" s="52"/>
      <c r="H422" s="48"/>
      <c r="I422" s="48" t="s">
        <v>8</v>
      </c>
      <c r="J422" s="21"/>
      <c r="K422" s="22"/>
      <c r="L422" s="22"/>
      <c r="M422" s="22"/>
      <c r="N422" s="22"/>
      <c r="O422" s="22"/>
      <c r="P422" s="22"/>
    </row>
    <row customHeight="true" ht="18.452380952380953" r="423">
      <c r="A423" s="43" t="s">
        <v>314</v>
      </c>
      <c r="B423" s="26">
        <v>46302</v>
      </c>
      <c r="C423" s="43" t="str">
        <v>Wednesday</v>
      </c>
      <c r="D423" s="145"/>
      <c r="E423" s="48">
        <f t="shared" si="86"/>
      </c>
      <c r="F423" s="301" t="s">
        <v>306</v>
      </c>
      <c r="G423" s="52"/>
      <c r="H423" s="48"/>
      <c r="I423" s="48" t="s">
        <v>8</v>
      </c>
      <c r="J423" s="21"/>
      <c r="K423" s="22"/>
      <c r="L423" s="22"/>
      <c r="M423" s="22"/>
      <c r="N423" s="22"/>
      <c r="O423" s="22"/>
      <c r="P423" s="22"/>
    </row>
    <row r="424">
      <c r="A424" s="53"/>
      <c r="B424" s="144"/>
      <c r="C424" s="53"/>
      <c r="D424" s="25"/>
      <c r="E424" s="53"/>
      <c r="F424" s="53"/>
      <c r="G424" s="53"/>
      <c r="H424" s="53"/>
      <c r="I424" s="53"/>
      <c r="J424" s="53"/>
      <c r="K424" s="98"/>
      <c r="L424" s="98"/>
      <c r="M424" s="98"/>
      <c r="N424" s="98"/>
      <c r="O424" s="98"/>
      <c r="P424" s="98"/>
    </row>
    <row r="425">
      <c r="A425" s="303" t="s">
        <v>315</v>
      </c>
      <c r="B425" s="303"/>
      <c r="C425" s="303"/>
      <c r="D425" s="303"/>
      <c r="E425" s="303"/>
      <c r="F425" s="303"/>
      <c r="G425" s="303"/>
      <c r="H425" s="303"/>
      <c r="I425" s="303"/>
      <c r="J425" s="304"/>
      <c r="K425" s="57"/>
      <c r="L425" s="57"/>
      <c r="M425" s="57"/>
      <c r="N425" s="57"/>
      <c r="O425" s="57"/>
      <c r="P425" s="57"/>
    </row>
    <row r="426">
      <c r="A426" s="305" t="s">
        <v>16</v>
      </c>
      <c r="B426" s="306" t="s">
        <v>17</v>
      </c>
      <c r="C426" s="306"/>
      <c r="D426" s="307" t="s">
        <v>18</v>
      </c>
      <c r="E426" s="307" t="s">
        <v>19</v>
      </c>
      <c r="F426" s="307" t="s">
        <v>20</v>
      </c>
      <c r="G426" s="308" t="s">
        <v>33</v>
      </c>
      <c r="H426" s="307" t="s">
        <v>22</v>
      </c>
      <c r="I426" s="307" t="s">
        <v>23</v>
      </c>
      <c r="J426" s="309" t="s">
        <v>24</v>
      </c>
      <c r="K426" s="42"/>
      <c r="L426" s="42"/>
      <c r="M426" s="42"/>
      <c r="N426" s="42"/>
      <c r="O426" s="42"/>
      <c r="P426" s="42"/>
    </row>
    <row r="427">
      <c r="A427" s="43" t="s">
        <v>316</v>
      </c>
      <c r="B427" s="26">
        <v>46300</v>
      </c>
      <c r="C427" s="43" t="str">
        <v>Monday</v>
      </c>
      <c r="D427" s="145" t="s">
        <v>317</v>
      </c>
      <c r="E427" s="25">
        <f t="shared" ref="E427:E433" si="87">24*MOD(TIMEVALUE(TRIM(MID(D427,FIND("-",D427)+1,LEN(D427)))) - TIMEVALUE(TRIM(LEFT(D427,FIND("-",D427)-1))),1)</f>
      </c>
      <c r="F427" s="301" t="s">
        <v>85</v>
      </c>
      <c r="G427" s="107"/>
      <c r="H427" s="20" t="s">
        <v>7</v>
      </c>
      <c r="I427" s="48" t="s">
        <v>8</v>
      </c>
      <c r="J427" s="21"/>
      <c r="K427" s="22"/>
      <c r="L427" s="22"/>
      <c r="M427" s="22"/>
      <c r="N427" s="22"/>
      <c r="O427" s="22"/>
      <c r="P427" s="22"/>
    </row>
    <row customHeight="true" ht="20.238095238095237" r="428">
      <c r="A428" s="43" t="s">
        <v>316</v>
      </c>
      <c r="B428" s="26">
        <v>46301</v>
      </c>
      <c r="C428" s="43" t="str">
        <v>Tuesday</v>
      </c>
      <c r="D428" s="145" t="s">
        <v>317</v>
      </c>
      <c r="E428" s="25">
        <f t="shared" si="87"/>
      </c>
      <c r="F428" s="301" t="s">
        <v>85</v>
      </c>
      <c r="G428" s="107"/>
      <c r="H428" s="20" t="s">
        <v>7</v>
      </c>
      <c r="I428" s="48" t="s">
        <v>8</v>
      </c>
      <c r="J428" s="21"/>
      <c r="K428" s="22"/>
      <c r="L428" s="22"/>
      <c r="M428" s="22"/>
      <c r="N428" s="22"/>
      <c r="O428" s="22"/>
      <c r="P428" s="22"/>
    </row>
    <row customHeight="true" ht="20.238095238095237" r="429">
      <c r="A429" s="43" t="s">
        <v>315</v>
      </c>
      <c r="B429" s="26">
        <v>46302</v>
      </c>
      <c r="C429" s="43" t="str">
        <v>Wednesday</v>
      </c>
      <c r="D429" s="145" t="s">
        <v>182</v>
      </c>
      <c r="E429" s="25">
        <f t="shared" si="87"/>
      </c>
      <c r="F429" s="301" t="s">
        <v>69</v>
      </c>
      <c r="G429" s="107"/>
      <c r="H429" s="20" t="s">
        <v>7</v>
      </c>
      <c r="I429" s="48" t="s">
        <v>8</v>
      </c>
      <c r="J429" s="21"/>
      <c r="K429" s="22"/>
      <c r="L429" s="22"/>
      <c r="M429" s="22"/>
      <c r="N429" s="22"/>
      <c r="O429" s="22"/>
      <c r="P429" s="22"/>
    </row>
    <row r="430">
      <c r="A430" s="43" t="s">
        <v>315</v>
      </c>
      <c r="B430" s="26">
        <v>46303</v>
      </c>
      <c r="C430" s="43" t="str">
        <v>Thursday</v>
      </c>
      <c r="D430" s="145" t="s">
        <v>182</v>
      </c>
      <c r="E430" s="25">
        <f t="shared" si="87"/>
      </c>
      <c r="F430" s="301" t="s">
        <v>69</v>
      </c>
      <c r="G430" s="107"/>
      <c r="H430" s="20" t="s">
        <v>7</v>
      </c>
      <c r="I430" s="48" t="s">
        <v>8</v>
      </c>
      <c r="J430" s="21"/>
      <c r="K430" s="22"/>
      <c r="L430" s="22"/>
      <c r="M430" s="22"/>
      <c r="N430" s="22"/>
      <c r="O430" s="22"/>
      <c r="P430" s="22"/>
    </row>
    <row r="431">
      <c r="A431" s="43" t="s">
        <v>315</v>
      </c>
      <c r="B431" s="26">
        <v>46304</v>
      </c>
      <c r="C431" s="43" t="str">
        <v>Friday</v>
      </c>
      <c r="D431" s="145" t="s">
        <v>317</v>
      </c>
      <c r="E431" s="25">
        <f t="shared" si="87"/>
      </c>
      <c r="F431" s="301" t="s">
        <v>69</v>
      </c>
      <c r="G431" s="107"/>
      <c r="H431" s="20" t="s">
        <v>7</v>
      </c>
      <c r="I431" s="48" t="s">
        <v>8</v>
      </c>
      <c r="J431" s="21"/>
      <c r="K431" s="22"/>
      <c r="L431" s="22"/>
      <c r="M431" s="22"/>
      <c r="N431" s="22"/>
      <c r="O431" s="22"/>
      <c r="P431" s="22"/>
    </row>
    <row customHeight="true" ht="22.61904761904762" r="432">
      <c r="A432" s="43" t="s">
        <v>315</v>
      </c>
      <c r="B432" s="26">
        <v>46305</v>
      </c>
      <c r="C432" s="43" t="str">
        <v>Saturday</v>
      </c>
      <c r="D432" s="145" t="s">
        <v>182</v>
      </c>
      <c r="E432" s="48">
        <f t="shared" si="87"/>
      </c>
      <c r="F432" s="301" t="s">
        <v>85</v>
      </c>
      <c r="G432" s="52"/>
      <c r="H432" s="20" t="s">
        <v>7</v>
      </c>
      <c r="I432" s="48" t="s">
        <v>8</v>
      </c>
      <c r="J432" s="21"/>
      <c r="K432" s="194"/>
      <c r="L432" s="194"/>
      <c r="M432" s="194"/>
      <c r="N432" s="194"/>
      <c r="O432" s="194"/>
      <c r="P432" s="194"/>
      <c r="Q432" s="53"/>
      <c r="R432" s="53"/>
    </row>
    <row customHeight="true" ht="22.61904761904762" r="433">
      <c r="A433" s="43" t="s">
        <v>315</v>
      </c>
      <c r="B433" s="26">
        <v>46306</v>
      </c>
      <c r="C433" s="43" t="str">
        <v>Sunday</v>
      </c>
      <c r="D433" s="145" t="s">
        <v>318</v>
      </c>
      <c r="E433" s="25">
        <f t="shared" si="87"/>
      </c>
      <c r="F433" s="301" t="s">
        <v>69</v>
      </c>
      <c r="G433" s="107"/>
      <c r="H433" s="20" t="s">
        <v>7</v>
      </c>
      <c r="I433" s="48" t="s">
        <v>8</v>
      </c>
      <c r="J433" s="21"/>
      <c r="K433" s="22"/>
      <c r="L433" s="22"/>
      <c r="M433" s="22"/>
      <c r="N433" s="22"/>
      <c r="O433" s="22"/>
      <c r="P433" s="22"/>
    </row>
    <row customHeight="true" ht="22.61904761904762" r="434">
      <c r="A434" s="43"/>
      <c r="B434" s="26"/>
      <c r="C434" s="43"/>
      <c r="D434" s="145"/>
      <c r="E434" s="25"/>
      <c r="F434" s="301"/>
      <c r="G434" s="107"/>
      <c r="H434" s="20"/>
      <c r="I434" s="48"/>
      <c r="J434" s="21"/>
      <c r="K434" s="22"/>
      <c r="L434" s="22"/>
      <c r="M434" s="22"/>
      <c r="N434" s="22"/>
      <c r="O434" s="22"/>
      <c r="P434" s="22"/>
    </row>
    <row customHeight="true" ht="20.238095238095237" r="435">
      <c r="A435" s="43" t="s">
        <v>319</v>
      </c>
      <c r="B435" s="26">
        <v>46300</v>
      </c>
      <c r="C435" s="43" t="str">
        <v>Monday</v>
      </c>
      <c r="D435" s="145" t="s">
        <v>214</v>
      </c>
      <c r="E435" s="25">
        <f t="shared" ref="E435:E441" si="88">24*MOD(TIMEVALUE(TRIM(MID(D435,FIND("-",D435)+1,LEN(D435)))) - TIMEVALUE(TRIM(LEFT(D435,FIND("-",D435)-1))),1)</f>
      </c>
      <c r="F435" s="301" t="s">
        <v>122</v>
      </c>
      <c r="G435" s="107"/>
      <c r="H435" s="20" t="s">
        <v>7</v>
      </c>
      <c r="I435" s="48" t="s">
        <v>8</v>
      </c>
      <c r="J435" s="21"/>
      <c r="K435" s="22"/>
      <c r="L435" s="22"/>
      <c r="M435" s="22"/>
      <c r="N435" s="22"/>
      <c r="O435" s="22"/>
      <c r="P435" s="22"/>
    </row>
    <row customHeight="true" ht="20.238095238095237" r="436">
      <c r="A436" s="43" t="s">
        <v>319</v>
      </c>
      <c r="B436" s="26">
        <v>46301</v>
      </c>
      <c r="C436" s="43" t="str">
        <v>Tuesday</v>
      </c>
      <c r="D436" s="145" t="s">
        <v>214</v>
      </c>
      <c r="E436" s="25">
        <f t="shared" si="88"/>
      </c>
      <c r="F436" s="301" t="s">
        <v>266</v>
      </c>
      <c r="G436" s="107"/>
      <c r="H436" s="20" t="s">
        <v>7</v>
      </c>
      <c r="I436" s="48" t="s">
        <v>8</v>
      </c>
      <c r="J436" s="21"/>
      <c r="K436" s="22"/>
      <c r="L436" s="22"/>
      <c r="M436" s="22"/>
      <c r="N436" s="22"/>
      <c r="O436" s="22"/>
      <c r="P436" s="22"/>
    </row>
    <row customHeight="true" ht="20.238095238095237" r="437">
      <c r="A437" s="43" t="s">
        <v>319</v>
      </c>
      <c r="B437" s="26">
        <v>46302</v>
      </c>
      <c r="C437" s="43" t="str">
        <v>Wednesday</v>
      </c>
      <c r="D437" s="145" t="s">
        <v>320</v>
      </c>
      <c r="E437" s="25">
        <f t="shared" si="88"/>
      </c>
      <c r="F437" s="301" t="s">
        <v>308</v>
      </c>
      <c r="G437" s="107"/>
      <c r="H437" s="20" t="s">
        <v>7</v>
      </c>
      <c r="I437" s="48" t="s">
        <v>8</v>
      </c>
      <c r="J437" s="21"/>
      <c r="K437" s="22"/>
      <c r="L437" s="22"/>
      <c r="M437" s="22"/>
      <c r="N437" s="22"/>
      <c r="O437" s="22"/>
      <c r="P437" s="22"/>
    </row>
    <row customHeight="true" ht="20.238095238095237" r="438">
      <c r="A438" s="43" t="s">
        <v>319</v>
      </c>
      <c r="B438" s="26">
        <v>46303</v>
      </c>
      <c r="C438" s="43" t="str">
        <v>Thursday</v>
      </c>
      <c r="D438" s="145" t="s">
        <v>321</v>
      </c>
      <c r="E438" s="25">
        <f t="shared" si="88"/>
      </c>
      <c r="F438" s="301" t="s">
        <v>85</v>
      </c>
      <c r="G438" s="107"/>
      <c r="H438" s="20" t="s">
        <v>7</v>
      </c>
      <c r="I438" s="48" t="s">
        <v>8</v>
      </c>
      <c r="J438" s="21"/>
      <c r="K438" s="22"/>
      <c r="L438" s="22"/>
      <c r="M438" s="22"/>
      <c r="N438" s="22"/>
      <c r="O438" s="22"/>
      <c r="P438" s="22"/>
    </row>
    <row customHeight="true" ht="20.238095238095237" r="439">
      <c r="A439" s="43" t="s">
        <v>319</v>
      </c>
      <c r="B439" s="26">
        <v>46304</v>
      </c>
      <c r="C439" s="43" t="str">
        <v>Friday</v>
      </c>
      <c r="D439" s="145" t="s">
        <v>322</v>
      </c>
      <c r="E439" s="25">
        <f t="shared" si="88"/>
      </c>
      <c r="F439" s="301" t="s">
        <v>85</v>
      </c>
      <c r="G439" s="107"/>
      <c r="H439" s="20" t="s">
        <v>7</v>
      </c>
      <c r="I439" s="48" t="s">
        <v>8</v>
      </c>
      <c r="J439" s="17"/>
      <c r="K439" s="22"/>
      <c r="L439" s="22"/>
      <c r="M439" s="22"/>
      <c r="N439" s="22"/>
      <c r="O439" s="22"/>
      <c r="P439" s="22"/>
    </row>
    <row customHeight="true" ht="20.238095238095237" r="440">
      <c r="A440" s="43" t="s">
        <v>319</v>
      </c>
      <c r="B440" s="26">
        <v>46305</v>
      </c>
      <c r="C440" s="43" t="str">
        <v>Saturday</v>
      </c>
      <c r="D440" s="145" t="s">
        <v>320</v>
      </c>
      <c r="E440" s="48">
        <f t="shared" si="88"/>
      </c>
      <c r="F440" s="301" t="s">
        <v>308</v>
      </c>
      <c r="G440" s="107"/>
      <c r="H440" s="20" t="s">
        <v>7</v>
      </c>
      <c r="I440" s="48" t="s">
        <v>8</v>
      </c>
      <c r="J440" s="17"/>
      <c r="K440" s="22"/>
      <c r="L440" s="22"/>
      <c r="M440" s="22"/>
      <c r="N440" s="22"/>
      <c r="O440" s="22"/>
      <c r="P440" s="22"/>
    </row>
    <row customHeight="true" ht="20.238095238095237" r="441">
      <c r="A441" s="43" t="s">
        <v>319</v>
      </c>
      <c r="B441" s="26">
        <v>46306</v>
      </c>
      <c r="C441" s="43" t="str">
        <v>Sunday</v>
      </c>
      <c r="D441" s="145" t="s">
        <v>323</v>
      </c>
      <c r="E441" s="25">
        <f t="shared" si="88"/>
      </c>
      <c r="F441" s="301" t="s">
        <v>308</v>
      </c>
      <c r="G441" s="107"/>
      <c r="H441" s="20" t="s">
        <v>7</v>
      </c>
      <c r="I441" s="48" t="s">
        <v>8</v>
      </c>
      <c r="J441" s="21"/>
      <c r="K441" s="22"/>
      <c r="L441" s="22"/>
      <c r="M441" s="22"/>
      <c r="N441" s="22"/>
      <c r="O441" s="22"/>
      <c r="P441" s="22"/>
    </row>
    <row customHeight="true" ht="18.452380952380953" r="442">
      <c r="A442" s="43"/>
      <c r="B442" s="26"/>
      <c r="C442" s="43"/>
      <c r="D442" s="145"/>
      <c r="E442" s="25"/>
      <c r="F442" s="301"/>
      <c r="G442" s="107"/>
      <c r="H442" s="48"/>
      <c r="I442" s="48"/>
      <c r="J442" s="21"/>
      <c r="K442" s="22"/>
      <c r="L442" s="22"/>
      <c r="M442" s="22"/>
      <c r="N442" s="22"/>
      <c r="O442" s="22"/>
      <c r="P442" s="22"/>
    </row>
    <row customHeight="true" ht="18.452380952380953" r="443">
      <c r="A443" s="43" t="s">
        <v>324</v>
      </c>
      <c r="B443" s="26">
        <v>46306</v>
      </c>
      <c r="C443" s="43" t="str">
        <v>Sunday</v>
      </c>
      <c r="D443" s="145"/>
      <c r="E443" s="25">
        <f t="shared" ref="E443:E444" si="89">24*MOD(TIMEVALUE(TRIM(MID(D443,FIND("-",D443)+1,LEN(D443)))) - TIMEVALUE(TRIM(LEFT(D443,FIND("-",D443)-1))),1)</f>
      </c>
      <c r="F443" s="301" t="s">
        <v>266</v>
      </c>
      <c r="G443" s="107"/>
      <c r="H443" s="20" t="s">
        <v>7</v>
      </c>
      <c r="I443" s="48" t="s">
        <v>8</v>
      </c>
      <c r="J443" s="21"/>
      <c r="K443" s="22"/>
      <c r="L443" s="22"/>
      <c r="M443" s="22"/>
      <c r="N443" s="22"/>
      <c r="O443" s="22"/>
      <c r="P443" s="22"/>
    </row>
    <row customHeight="true" ht="18.452380952380953" r="444">
      <c r="A444" s="43" t="s">
        <v>325</v>
      </c>
      <c r="B444" s="26">
        <v>46303</v>
      </c>
      <c r="C444" s="43" t="str">
        <v>Thursday</v>
      </c>
      <c r="D444" s="145"/>
      <c r="E444" s="25">
        <f t="shared" si="89"/>
      </c>
      <c r="F444" s="301" t="s">
        <v>266</v>
      </c>
      <c r="G444" s="107"/>
      <c r="H444" s="20" t="s">
        <v>7</v>
      </c>
      <c r="I444" s="48" t="s">
        <v>8</v>
      </c>
      <c r="J444" s="21"/>
      <c r="K444" s="22"/>
      <c r="L444" s="22"/>
      <c r="M444" s="22"/>
      <c r="N444" s="22"/>
      <c r="O444" s="22"/>
      <c r="P444" s="22"/>
    </row>
    <row customHeight="true" ht="16.071428571428573" r="445">
      <c r="A445" s="43"/>
      <c r="B445" s="26"/>
      <c r="C445" s="43"/>
      <c r="D445" s="25"/>
      <c r="E445" s="25"/>
      <c r="F445" s="51"/>
      <c r="G445" s="310"/>
      <c r="H445" s="48"/>
      <c r="I445" s="48"/>
      <c r="J445" s="17"/>
      <c r="K445" s="42"/>
      <c r="L445" s="42"/>
      <c r="M445" s="42"/>
      <c r="N445" s="42"/>
      <c r="O445" s="42"/>
      <c r="P445" s="42"/>
    </row>
    <row customHeight="true" ht="25.221150023731926" r="446">
      <c r="A446" s="234" t="s">
        <v>326</v>
      </c>
      <c r="B446" s="311"/>
      <c r="C446" s="311"/>
      <c r="D446" s="311"/>
      <c r="E446" s="311"/>
      <c r="F446" s="311"/>
      <c r="G446" s="311"/>
      <c r="H446" s="312"/>
      <c r="I446" s="311"/>
      <c r="J446" s="311"/>
      <c r="K446" s="311"/>
      <c r="L446" s="311"/>
      <c r="M446" s="311"/>
      <c r="N446" s="311"/>
      <c r="O446" s="311"/>
      <c r="P446" s="311"/>
      <c r="Q446" s="241"/>
      <c r="R446" s="241"/>
    </row>
    <row customHeight="true" ht="31.17353097611288" r="447">
      <c r="A447" s="242" t="s">
        <v>16</v>
      </c>
      <c r="B447" s="243" t="s">
        <v>17</v>
      </c>
      <c r="C447" s="243"/>
      <c r="D447" s="244" t="s">
        <v>18</v>
      </c>
      <c r="E447" s="245" t="s">
        <v>19</v>
      </c>
      <c r="F447" s="245" t="s">
        <v>20</v>
      </c>
      <c r="G447" s="246" t="s">
        <v>33</v>
      </c>
      <c r="H447" s="245" t="s">
        <v>22</v>
      </c>
      <c r="I447" s="245" t="s">
        <v>23</v>
      </c>
      <c r="J447" s="247" t="s">
        <v>24</v>
      </c>
      <c r="K447" s="248"/>
      <c r="L447" s="248"/>
      <c r="M447" s="248"/>
      <c r="N447" s="248"/>
      <c r="O447" s="248"/>
      <c r="P447" s="248"/>
      <c r="Q447" s="241"/>
      <c r="R447" s="241"/>
    </row>
    <row customHeight="true" ht="16.071428571428573" r="448">
      <c r="A448" s="43" t="s">
        <v>326</v>
      </c>
      <c r="B448" s="26">
        <v>46300</v>
      </c>
      <c r="C448" s="43" t="str">
        <v>Monday</v>
      </c>
      <c r="D448" s="25" t="s">
        <v>217</v>
      </c>
      <c r="E448" s="25">
        <f t="shared" ref="E448:E454" si="90">24*MOD(TIMEVALUE(TRIM(MID(D448,FIND("-",D448)+1,LEN(D448)))) - TIMEVALUE(TRIM(LEFT(D448,FIND("-",D448)-1))),1)</f>
      </c>
      <c r="F448" s="20" t="s">
        <v>114</v>
      </c>
      <c r="G448" s="313"/>
      <c r="H448" s="48" t="s">
        <v>30</v>
      </c>
      <c r="I448" s="48" t="s">
        <v>28</v>
      </c>
      <c r="J448" s="314"/>
      <c r="K448" s="42"/>
      <c r="L448" s="42"/>
      <c r="M448" s="42"/>
      <c r="N448" s="42"/>
      <c r="O448" s="42"/>
      <c r="P448" s="42"/>
    </row>
    <row customHeight="true" ht="16.071428571428573" r="449">
      <c r="A449" s="43" t="s">
        <v>326</v>
      </c>
      <c r="B449" s="26">
        <v>46301</v>
      </c>
      <c r="C449" s="43" t="str">
        <v>Tuesday</v>
      </c>
      <c r="D449" s="25" t="s">
        <v>217</v>
      </c>
      <c r="E449" s="25">
        <f t="shared" si="90"/>
      </c>
      <c r="F449" s="20" t="s">
        <v>327</v>
      </c>
      <c r="G449" s="313"/>
      <c r="H449" s="48" t="s">
        <v>30</v>
      </c>
      <c r="I449" s="48" t="s">
        <v>28</v>
      </c>
      <c r="J449" s="314"/>
      <c r="K449" s="42"/>
      <c r="L449" s="42"/>
      <c r="M449" s="42"/>
      <c r="N449" s="42"/>
      <c r="O449" s="42"/>
      <c r="P449" s="42"/>
    </row>
    <row customHeight="true" ht="16.071428571428573" r="450">
      <c r="A450" s="43" t="s">
        <v>326</v>
      </c>
      <c r="B450" s="26">
        <v>46302</v>
      </c>
      <c r="C450" s="43" t="str">
        <v>Wednesday</v>
      </c>
      <c r="D450" s="25" t="s">
        <v>241</v>
      </c>
      <c r="E450" s="25">
        <f t="shared" si="90"/>
      </c>
      <c r="F450" s="20" t="s">
        <v>327</v>
      </c>
      <c r="G450" s="313"/>
      <c r="H450" s="48" t="s">
        <v>30</v>
      </c>
      <c r="I450" s="48" t="s">
        <v>28</v>
      </c>
      <c r="J450" s="314"/>
      <c r="K450" s="42"/>
      <c r="L450" s="42"/>
      <c r="M450" s="42"/>
      <c r="N450" s="42"/>
      <c r="O450" s="42"/>
      <c r="P450" s="42"/>
    </row>
    <row customHeight="true" ht="16.071428571428573" r="451">
      <c r="A451" s="43" t="s">
        <v>326</v>
      </c>
      <c r="B451" s="26">
        <v>46303</v>
      </c>
      <c r="C451" s="43" t="str">
        <v>Thursday</v>
      </c>
      <c r="D451" s="25" t="s">
        <v>281</v>
      </c>
      <c r="E451" s="25">
        <f t="shared" si="90"/>
      </c>
      <c r="F451" s="20" t="s">
        <v>114</v>
      </c>
      <c r="G451" s="313"/>
      <c r="H451" s="48" t="s">
        <v>30</v>
      </c>
      <c r="I451" s="48" t="s">
        <v>28</v>
      </c>
      <c r="J451" s="314"/>
      <c r="K451" s="42"/>
      <c r="L451" s="42"/>
      <c r="M451" s="42"/>
      <c r="N451" s="42"/>
      <c r="O451" s="42"/>
      <c r="P451" s="42"/>
    </row>
    <row customHeight="true" ht="16.071428571428573" r="452">
      <c r="A452" s="43" t="s">
        <v>326</v>
      </c>
      <c r="B452" s="26">
        <v>46304</v>
      </c>
      <c r="C452" s="43" t="str">
        <v>Friday</v>
      </c>
      <c r="D452" s="25" t="s">
        <v>173</v>
      </c>
      <c r="E452" s="25">
        <f t="shared" si="90"/>
      </c>
      <c r="F452" s="20" t="s">
        <v>114</v>
      </c>
      <c r="G452" s="313"/>
      <c r="H452" s="48" t="s">
        <v>30</v>
      </c>
      <c r="I452" s="48" t="s">
        <v>28</v>
      </c>
      <c r="J452" s="314"/>
      <c r="K452" s="42"/>
      <c r="L452" s="42"/>
      <c r="M452" s="42"/>
      <c r="N452" s="42"/>
      <c r="O452" s="42"/>
      <c r="P452" s="42"/>
    </row>
    <row customHeight="true" ht="16.071428571428573" r="453">
      <c r="A453" s="43" t="s">
        <v>326</v>
      </c>
      <c r="B453" s="26">
        <v>46305</v>
      </c>
      <c r="C453" s="43" t="str">
        <v>Saturday</v>
      </c>
      <c r="D453" s="25" t="s">
        <v>328</v>
      </c>
      <c r="E453" s="25">
        <f t="shared" si="90"/>
      </c>
      <c r="F453" s="20" t="s">
        <v>329</v>
      </c>
      <c r="G453" s="313"/>
      <c r="H453" s="48" t="s">
        <v>30</v>
      </c>
      <c r="I453" s="48" t="s">
        <v>28</v>
      </c>
      <c r="J453" s="314"/>
      <c r="K453" s="42"/>
      <c r="L453" s="42"/>
      <c r="M453" s="42"/>
      <c r="N453" s="42"/>
      <c r="O453" s="42"/>
      <c r="P453" s="42"/>
    </row>
    <row customHeight="true" ht="16.071428571428573" r="454">
      <c r="A454" s="43" t="s">
        <v>326</v>
      </c>
      <c r="B454" s="26">
        <v>46306</v>
      </c>
      <c r="C454" s="43" t="str">
        <v>Sunday</v>
      </c>
      <c r="D454" s="25" t="s">
        <v>305</v>
      </c>
      <c r="E454" s="25">
        <f t="shared" si="90"/>
      </c>
      <c r="F454" s="20" t="s">
        <v>327</v>
      </c>
      <c r="G454" s="313"/>
      <c r="H454" s="48" t="s">
        <v>30</v>
      </c>
      <c r="I454" s="48" t="s">
        <v>28</v>
      </c>
      <c r="J454" s="314"/>
      <c r="K454" s="42"/>
      <c r="L454" s="42"/>
      <c r="M454" s="42"/>
      <c r="N454" s="42"/>
      <c r="O454" s="42"/>
      <c r="P454" s="42"/>
    </row>
    <row customHeight="true" ht="16.071428571428573" r="455">
      <c r="A455" s="43"/>
      <c r="B455" s="26"/>
      <c r="C455" s="43"/>
      <c r="D455" s="25"/>
      <c r="E455" s="25"/>
      <c r="F455" s="20"/>
      <c r="G455" s="313"/>
      <c r="H455" s="48"/>
      <c r="I455" s="48"/>
      <c r="J455" s="314"/>
      <c r="K455" s="42"/>
      <c r="L455" s="42"/>
      <c r="M455" s="42"/>
      <c r="N455" s="42"/>
      <c r="O455" s="42"/>
      <c r="P455" s="42"/>
    </row>
    <row customHeight="true" ht="16.071428571428573" r="456">
      <c r="A456" s="43" t="s">
        <v>330</v>
      </c>
      <c r="B456" s="26">
        <v>46300</v>
      </c>
      <c r="C456" s="43" t="str">
        <v>Monday</v>
      </c>
      <c r="D456" s="25" t="s">
        <v>224</v>
      </c>
      <c r="E456" s="25">
        <f t="shared" ref="E456:E462" si="91">24*MOD(TIMEVALUE(TRIM(MID(D456,FIND("-",D456)+1,LEN(D456)))) - TIMEVALUE(TRIM(LEFT(D456,FIND("-",D456)-1))),1)</f>
      </c>
      <c r="F456" s="20" t="s">
        <v>308</v>
      </c>
      <c r="G456" s="313"/>
      <c r="H456" s="48" t="s">
        <v>30</v>
      </c>
      <c r="I456" s="48" t="s">
        <v>28</v>
      </c>
      <c r="J456" s="314"/>
      <c r="K456" s="42"/>
      <c r="L456" s="42"/>
      <c r="M456" s="42"/>
      <c r="N456" s="42"/>
      <c r="O456" s="42"/>
      <c r="P456" s="42"/>
    </row>
    <row customHeight="true" ht="18.63354037272118" r="457">
      <c r="A457" s="43" t="s">
        <v>330</v>
      </c>
      <c r="B457" s="26">
        <v>46301</v>
      </c>
      <c r="C457" s="43" t="str">
        <v>Tuesday</v>
      </c>
      <c r="D457" s="25" t="s">
        <v>331</v>
      </c>
      <c r="E457" s="25">
        <f t="shared" si="91"/>
      </c>
      <c r="F457" s="20" t="s">
        <v>332</v>
      </c>
      <c r="G457" s="313"/>
      <c r="H457" s="48" t="s">
        <v>30</v>
      </c>
      <c r="I457" s="48" t="s">
        <v>28</v>
      </c>
      <c r="J457" s="314"/>
      <c r="K457" s="42"/>
      <c r="L457" s="42"/>
      <c r="M457" s="42"/>
      <c r="N457" s="42"/>
      <c r="O457" s="42"/>
      <c r="P457" s="42"/>
    </row>
    <row customHeight="true" ht="16.071428571428573" r="458">
      <c r="A458" s="43" t="s">
        <v>330</v>
      </c>
      <c r="B458" s="26">
        <v>46302</v>
      </c>
      <c r="C458" s="43" t="str">
        <v>Wednesday</v>
      </c>
      <c r="D458" s="25" t="s">
        <v>333</v>
      </c>
      <c r="E458" s="25">
        <f t="shared" si="91"/>
      </c>
      <c r="F458" s="20" t="s">
        <v>308</v>
      </c>
      <c r="G458" s="313"/>
      <c r="H458" s="48" t="s">
        <v>30</v>
      </c>
      <c r="I458" s="48" t="s">
        <v>28</v>
      </c>
      <c r="J458" s="314"/>
      <c r="K458" s="42"/>
      <c r="L458" s="42"/>
      <c r="M458" s="42"/>
      <c r="N458" s="42"/>
      <c r="O458" s="42"/>
      <c r="P458" s="42"/>
    </row>
    <row customHeight="true" ht="16.071428571428573" r="459">
      <c r="A459" s="43" t="s">
        <v>330</v>
      </c>
      <c r="B459" s="26">
        <v>46303</v>
      </c>
      <c r="C459" s="43" t="str">
        <v>Thursday</v>
      </c>
      <c r="D459" s="25" t="s">
        <v>334</v>
      </c>
      <c r="E459" s="25">
        <f t="shared" si="91"/>
      </c>
      <c r="F459" s="20" t="s">
        <v>332</v>
      </c>
      <c r="G459" s="313"/>
      <c r="H459" s="48" t="s">
        <v>30</v>
      </c>
      <c r="I459" s="48" t="s">
        <v>28</v>
      </c>
      <c r="J459" s="314"/>
      <c r="K459" s="42"/>
      <c r="L459" s="42"/>
      <c r="M459" s="42"/>
      <c r="N459" s="42"/>
      <c r="O459" s="42"/>
      <c r="P459" s="42"/>
    </row>
    <row customHeight="true" ht="16.071428571428573" r="460">
      <c r="A460" s="43" t="s">
        <v>330</v>
      </c>
      <c r="B460" s="26">
        <v>46304</v>
      </c>
      <c r="C460" s="43" t="str">
        <v>Friday</v>
      </c>
      <c r="D460" s="25" t="s">
        <v>335</v>
      </c>
      <c r="E460" s="25">
        <f t="shared" si="91"/>
      </c>
      <c r="F460" s="20" t="s">
        <v>308</v>
      </c>
      <c r="G460" s="313"/>
      <c r="H460" s="48" t="s">
        <v>30</v>
      </c>
      <c r="I460" s="48" t="s">
        <v>28</v>
      </c>
      <c r="J460" s="314"/>
      <c r="K460" s="42"/>
      <c r="L460" s="42"/>
      <c r="M460" s="42"/>
      <c r="N460" s="42"/>
      <c r="O460" s="42"/>
      <c r="P460" s="42"/>
    </row>
    <row customHeight="true" ht="16.071428571428573" r="461">
      <c r="A461" s="43" t="s">
        <v>330</v>
      </c>
      <c r="B461" s="26">
        <v>46305</v>
      </c>
      <c r="C461" s="43" t="str">
        <v>Saturday</v>
      </c>
      <c r="D461" s="25" t="s">
        <v>336</v>
      </c>
      <c r="E461" s="25">
        <f t="shared" si="91"/>
      </c>
      <c r="F461" s="20" t="s">
        <v>332</v>
      </c>
      <c r="G461" s="313"/>
      <c r="H461" s="48" t="s">
        <v>30</v>
      </c>
      <c r="I461" s="48" t="s">
        <v>28</v>
      </c>
      <c r="J461" s="314"/>
      <c r="K461" s="42"/>
      <c r="L461" s="42"/>
      <c r="M461" s="42"/>
      <c r="N461" s="42"/>
      <c r="O461" s="42"/>
      <c r="P461" s="42"/>
    </row>
    <row customHeight="true" ht="16.071428571428573" r="462">
      <c r="A462" s="43" t="s">
        <v>330</v>
      </c>
      <c r="B462" s="26">
        <v>46306</v>
      </c>
      <c r="C462" s="43" t="str">
        <v>Sunday</v>
      </c>
      <c r="D462" s="25" t="s">
        <v>337</v>
      </c>
      <c r="E462" s="25">
        <f t="shared" si="91"/>
      </c>
      <c r="F462" s="20" t="s">
        <v>308</v>
      </c>
      <c r="G462" s="313"/>
      <c r="H462" s="48"/>
      <c r="I462" s="48"/>
      <c r="J462" s="314"/>
      <c r="K462" s="42"/>
      <c r="L462" s="42"/>
      <c r="M462" s="42"/>
      <c r="N462" s="42"/>
      <c r="O462" s="42"/>
      <c r="P462" s="42"/>
    </row>
    <row customHeight="true" ht="16.071428571428573" r="463">
      <c r="A463" s="43"/>
      <c r="B463" s="43"/>
      <c r="C463" s="43"/>
      <c r="D463" s="25"/>
      <c r="E463" s="25"/>
      <c r="F463" s="315"/>
      <c r="G463" s="310"/>
      <c r="H463" s="48"/>
      <c r="I463" s="48"/>
      <c r="J463" s="316"/>
      <c r="K463" s="42"/>
      <c r="L463" s="42"/>
      <c r="M463" s="42"/>
      <c r="N463" s="42"/>
      <c r="O463" s="42"/>
      <c r="P463" s="42"/>
    </row>
    <row customHeight="true" ht="16.071428571428573" r="464">
      <c r="A464" s="43" t="s">
        <v>338</v>
      </c>
      <c r="B464" s="26">
        <v>46306</v>
      </c>
      <c r="C464" s="43" t="str">
        <v>Sunday</v>
      </c>
      <c r="D464" s="25"/>
      <c r="E464" s="25">
        <f>24*MOD(TIMEVALUE(TRIM(MID(D464,FIND("-",D464)+1,LEN(D464)))) - TIMEVALUE(TRIM(LEFT(D464,FIND("-",D464)-1))),1)</f>
      </c>
      <c r="F464" s="20" t="s">
        <v>122</v>
      </c>
      <c r="G464" s="313"/>
      <c r="H464" s="48"/>
      <c r="I464" s="48"/>
      <c r="J464" s="314"/>
      <c r="K464" s="42"/>
      <c r="L464" s="42"/>
      <c r="M464" s="42"/>
      <c r="N464" s="42"/>
      <c r="O464" s="42"/>
      <c r="P464" s="42"/>
    </row>
    <row customHeight="true" ht="16.071428571428573" r="465">
      <c r="A465" s="43"/>
      <c r="B465" s="43"/>
      <c r="C465" s="43"/>
      <c r="D465" s="25"/>
      <c r="E465" s="25"/>
      <c r="F465" s="315"/>
      <c r="G465" s="310"/>
      <c r="H465" s="48"/>
      <c r="I465" s="48"/>
      <c r="J465" s="316"/>
      <c r="K465" s="42"/>
      <c r="L465" s="42"/>
      <c r="M465" s="42"/>
      <c r="N465" s="42"/>
      <c r="O465" s="42"/>
      <c r="P465" s="42"/>
    </row>
    <row customHeight="true" ht="16.071428571428573" r="466">
      <c r="A466" s="43"/>
      <c r="B466" s="43"/>
      <c r="C466" s="43"/>
      <c r="D466" s="25"/>
      <c r="E466" s="25"/>
      <c r="F466" s="315"/>
      <c r="G466" s="310"/>
      <c r="H466" s="48"/>
      <c r="I466" s="48"/>
      <c r="J466" s="316"/>
      <c r="K466" s="42"/>
      <c r="L466" s="42"/>
      <c r="M466" s="42"/>
      <c r="N466" s="42"/>
      <c r="O466" s="42"/>
      <c r="P466" s="42"/>
    </row>
    <row customHeight="true" ht="48.511904761904766" r="467">
      <c r="A467" s="317" t="s">
        <v>339</v>
      </c>
      <c r="B467" s="317"/>
      <c r="C467" s="317"/>
      <c r="D467" s="317"/>
      <c r="E467" s="318"/>
      <c r="F467" s="317"/>
      <c r="G467" s="318"/>
      <c r="H467" s="317"/>
      <c r="I467" s="317"/>
      <c r="J467" s="319"/>
      <c r="K467" s="320"/>
      <c r="L467" s="320"/>
      <c r="M467" s="320"/>
      <c r="N467" s="320"/>
      <c r="O467" s="320"/>
      <c r="P467" s="320"/>
      <c r="Q467" s="321"/>
      <c r="R467" s="321"/>
      <c r="S467" s="53"/>
    </row>
    <row customHeight="true" ht="16.071428571428573" r="468">
      <c r="A468" s="322" t="s">
        <v>16</v>
      </c>
      <c r="B468" s="323" t="s">
        <v>17</v>
      </c>
      <c r="C468" s="323"/>
      <c r="D468" s="324" t="s">
        <v>18</v>
      </c>
      <c r="E468" s="325" t="s">
        <v>19</v>
      </c>
      <c r="F468" s="325" t="s">
        <v>20</v>
      </c>
      <c r="G468" s="326" t="s">
        <v>33</v>
      </c>
      <c r="H468" s="327" t="s">
        <v>22</v>
      </c>
      <c r="I468" s="327" t="s">
        <v>23</v>
      </c>
      <c r="J468" s="328" t="s">
        <v>24</v>
      </c>
      <c r="K468" s="329"/>
      <c r="L468" s="329"/>
      <c r="M468" s="329"/>
      <c r="N468" s="329"/>
      <c r="O468" s="329"/>
      <c r="P468" s="329"/>
      <c r="Q468" s="321"/>
      <c r="R468" s="321"/>
      <c r="S468" s="53"/>
    </row>
    <row customHeight="true" ht="16.071428571428573" r="469">
      <c r="A469" s="43" t="s">
        <v>339</v>
      </c>
      <c r="B469" s="26">
        <v>46303</v>
      </c>
      <c r="C469" s="43" t="str">
        <v>Thursday</v>
      </c>
      <c r="D469" s="48" t="s">
        <v>241</v>
      </c>
      <c r="E469" s="20">
        <f t="shared" ref="E469:E472" si="92">24*MOD(TIMEVALUE(TRIM(MID(D469,FIND("-",D469)+1,LEN(D469)))) - TIMEVALUE(TRIM(LEFT(D469,FIND("-",D469)-1))),1)</f>
      </c>
      <c r="F469" s="20" t="s">
        <v>89</v>
      </c>
      <c r="G469" s="52"/>
      <c r="H469" s="48" t="s">
        <v>30</v>
      </c>
      <c r="I469" s="48" t="s">
        <v>8</v>
      </c>
      <c r="J469" s="48" t="s">
        <v>234</v>
      </c>
      <c r="K469" s="194"/>
      <c r="L469" s="194"/>
      <c r="M469" s="194"/>
      <c r="N469" s="194"/>
      <c r="O469" s="194"/>
      <c r="P469" s="194"/>
      <c r="Q469" s="103"/>
      <c r="R469" s="103"/>
      <c r="S469" s="53"/>
    </row>
    <row customHeight="true" ht="16.071428571428573" r="470">
      <c r="A470" s="43" t="s">
        <v>339</v>
      </c>
      <c r="B470" s="26">
        <v>46304</v>
      </c>
      <c r="C470" s="43" t="str">
        <v>Friday</v>
      </c>
      <c r="D470" s="48" t="s">
        <v>241</v>
      </c>
      <c r="E470" s="20">
        <f t="shared" si="92"/>
      </c>
      <c r="F470" s="20" t="s">
        <v>329</v>
      </c>
      <c r="G470" s="52"/>
      <c r="H470" s="48" t="s">
        <v>30</v>
      </c>
      <c r="I470" s="48" t="s">
        <v>8</v>
      </c>
      <c r="J470" s="48" t="s">
        <v>234</v>
      </c>
      <c r="K470" s="194"/>
      <c r="L470" s="194"/>
      <c r="M470" s="194"/>
      <c r="N470" s="194"/>
      <c r="O470" s="194"/>
      <c r="P470" s="194"/>
      <c r="Q470" s="103"/>
      <c r="R470" s="103"/>
      <c r="S470" s="53"/>
    </row>
    <row customHeight="true" ht="16.071428571428573" r="471">
      <c r="A471" s="43" t="s">
        <v>339</v>
      </c>
      <c r="B471" s="26">
        <v>46305</v>
      </c>
      <c r="C471" s="43" t="str">
        <v>Saturday</v>
      </c>
      <c r="D471" s="48" t="s">
        <v>241</v>
      </c>
      <c r="E471" s="20">
        <f t="shared" si="92"/>
      </c>
      <c r="F471" s="20" t="s">
        <v>329</v>
      </c>
      <c r="G471" s="52"/>
      <c r="H471" s="48" t="s">
        <v>30</v>
      </c>
      <c r="I471" s="48" t="s">
        <v>8</v>
      </c>
      <c r="J471" s="48" t="s">
        <v>234</v>
      </c>
      <c r="K471" s="194"/>
      <c r="L471" s="194"/>
      <c r="M471" s="194"/>
      <c r="N471" s="194"/>
      <c r="O471" s="194"/>
      <c r="P471" s="194"/>
      <c r="Q471" s="103"/>
      <c r="R471" s="103"/>
      <c r="S471" s="53"/>
    </row>
    <row customHeight="true" ht="16.071428571428573" r="472">
      <c r="A472" s="43" t="s">
        <v>339</v>
      </c>
      <c r="B472" s="26">
        <v>46306</v>
      </c>
      <c r="C472" s="43" t="str">
        <v>Sunday</v>
      </c>
      <c r="D472" s="48" t="s">
        <v>241</v>
      </c>
      <c r="E472" s="20">
        <f t="shared" si="92"/>
      </c>
      <c r="F472" s="20" t="s">
        <v>340</v>
      </c>
      <c r="G472" s="52"/>
      <c r="H472" s="48" t="s">
        <v>30</v>
      </c>
      <c r="I472" s="48" t="s">
        <v>8</v>
      </c>
      <c r="J472" s="48" t="s">
        <v>234</v>
      </c>
      <c r="K472" s="194"/>
      <c r="L472" s="194"/>
      <c r="M472" s="194"/>
      <c r="N472" s="194"/>
      <c r="O472" s="194"/>
      <c r="P472" s="194"/>
      <c r="Q472" s="103"/>
      <c r="R472" s="103"/>
      <c r="S472" s="53"/>
    </row>
    <row customHeight="true" ht="16.071428571428573" r="473">
      <c r="A473" s="43"/>
      <c r="B473" s="26"/>
      <c r="C473" s="43"/>
      <c r="D473" s="48"/>
      <c r="E473" s="20"/>
      <c r="F473" s="20"/>
      <c r="G473" s="52"/>
      <c r="H473" s="48"/>
      <c r="I473" s="48"/>
      <c r="J473" s="48"/>
      <c r="K473" s="194"/>
      <c r="L473" s="194"/>
      <c r="M473" s="194"/>
      <c r="N473" s="194"/>
      <c r="O473" s="194"/>
      <c r="P473" s="194"/>
      <c r="Q473" s="103"/>
      <c r="R473" s="103"/>
      <c r="S473" s="53"/>
    </row>
    <row customHeight="true" ht="16.071428571428573" r="474">
      <c r="A474" s="43" t="s">
        <v>341</v>
      </c>
      <c r="B474" s="26">
        <v>46305</v>
      </c>
      <c r="C474" s="43" t="str">
        <v>Saturday</v>
      </c>
      <c r="D474" s="48" t="s">
        <v>241</v>
      </c>
      <c r="E474" s="20">
        <f>24*MOD(TIMEVALUE(TRIM(MID(D474,FIND("-",D474)+1,LEN(D474)))) - TIMEVALUE(TRIM(LEFT(D474,FIND("-",D474)-1))),1)</f>
      </c>
      <c r="F474" s="20" t="s">
        <v>340</v>
      </c>
      <c r="G474" s="52"/>
      <c r="H474" s="48" t="s">
        <v>30</v>
      </c>
      <c r="I474" s="48" t="s">
        <v>8</v>
      </c>
      <c r="J474" s="48" t="s">
        <v>234</v>
      </c>
      <c r="K474" s="194"/>
      <c r="L474" s="194"/>
      <c r="M474" s="194"/>
      <c r="N474" s="194"/>
      <c r="O474" s="194"/>
      <c r="P474" s="194"/>
      <c r="Q474" s="103"/>
      <c r="R474" s="103"/>
      <c r="S474" s="53"/>
    </row>
    <row customHeight="true" ht="16.071428571428573" r="475">
      <c r="A475" s="43"/>
      <c r="B475" s="26"/>
      <c r="C475" s="43"/>
      <c r="D475" s="48"/>
      <c r="E475" s="20"/>
      <c r="F475" s="20"/>
      <c r="G475" s="52"/>
      <c r="H475" s="48"/>
      <c r="I475" s="48"/>
      <c r="J475" s="48"/>
      <c r="K475" s="194"/>
      <c r="L475" s="194"/>
      <c r="M475" s="194"/>
      <c r="N475" s="194"/>
      <c r="O475" s="194"/>
      <c r="P475" s="194"/>
      <c r="Q475" s="103"/>
      <c r="R475" s="103"/>
      <c r="S475" s="53"/>
    </row>
    <row customHeight="true" ht="16.071428571428573" r="476">
      <c r="A476" s="43" t="s">
        <v>342</v>
      </c>
      <c r="B476" s="26">
        <v>46303</v>
      </c>
      <c r="C476" s="43" t="str">
        <v>Thursday</v>
      </c>
      <c r="D476" s="25" t="s">
        <v>333</v>
      </c>
      <c r="E476" s="20">
        <f t="shared" ref="E476:E479" si="93">24*MOD(TIMEVALUE(TRIM(MID(D476,FIND("-",D476)+1,LEN(D476)))) - TIMEVALUE(TRIM(LEFT(D476,FIND("-",D476)-1))),1)</f>
      </c>
      <c r="F476" s="20" t="s">
        <v>306</v>
      </c>
      <c r="G476" s="52"/>
      <c r="H476" s="48" t="s">
        <v>30</v>
      </c>
      <c r="I476" s="48" t="s">
        <v>8</v>
      </c>
      <c r="J476" s="48" t="s">
        <v>234</v>
      </c>
      <c r="K476" s="194"/>
      <c r="L476" s="194"/>
      <c r="M476" s="194"/>
      <c r="N476" s="194"/>
      <c r="O476" s="194"/>
      <c r="P476" s="194"/>
      <c r="Q476" s="103"/>
      <c r="R476" s="103"/>
      <c r="S476" s="53"/>
    </row>
    <row customHeight="true" ht="16.071428571428573" r="477">
      <c r="A477" s="43" t="s">
        <v>342</v>
      </c>
      <c r="B477" s="26">
        <v>46304</v>
      </c>
      <c r="C477" s="43" t="str">
        <v>Friday</v>
      </c>
      <c r="D477" s="25" t="s">
        <v>333</v>
      </c>
      <c r="E477" s="20">
        <f t="shared" si="93"/>
      </c>
      <c r="F477" s="20" t="s">
        <v>306</v>
      </c>
      <c r="G477" s="52"/>
      <c r="H477" s="48" t="s">
        <v>30</v>
      </c>
      <c r="I477" s="48" t="s">
        <v>8</v>
      </c>
      <c r="J477" s="48" t="s">
        <v>234</v>
      </c>
      <c r="K477" s="194"/>
      <c r="L477" s="194"/>
      <c r="M477" s="194"/>
      <c r="N477" s="194"/>
      <c r="O477" s="194"/>
      <c r="P477" s="194"/>
      <c r="Q477" s="103"/>
      <c r="R477" s="103"/>
      <c r="S477" s="53"/>
    </row>
    <row customHeight="true" ht="16.071428571428573" r="478">
      <c r="A478" s="43" t="s">
        <v>342</v>
      </c>
      <c r="B478" s="26">
        <v>46305</v>
      </c>
      <c r="C478" s="43" t="str">
        <v>Saturday</v>
      </c>
      <c r="D478" s="25" t="s">
        <v>333</v>
      </c>
      <c r="E478" s="20">
        <f t="shared" si="93"/>
      </c>
      <c r="F478" s="20" t="s">
        <v>306</v>
      </c>
      <c r="G478" s="52"/>
      <c r="H478" s="48" t="s">
        <v>30</v>
      </c>
      <c r="I478" s="48" t="s">
        <v>8</v>
      </c>
      <c r="J478" s="48" t="s">
        <v>234</v>
      </c>
      <c r="K478" s="194"/>
      <c r="L478" s="194"/>
      <c r="M478" s="194"/>
      <c r="N478" s="194"/>
      <c r="O478" s="194"/>
      <c r="P478" s="194"/>
      <c r="Q478" s="103"/>
      <c r="R478" s="103"/>
      <c r="S478" s="53"/>
    </row>
    <row customHeight="true" ht="16.071428571428573" r="479">
      <c r="A479" s="43" t="s">
        <v>342</v>
      </c>
      <c r="B479" s="26">
        <v>46306</v>
      </c>
      <c r="C479" s="43" t="str">
        <v>Sunday</v>
      </c>
      <c r="D479" s="25" t="s">
        <v>333</v>
      </c>
      <c r="E479" s="20">
        <f t="shared" si="93"/>
      </c>
      <c r="F479" s="20" t="s">
        <v>306</v>
      </c>
      <c r="G479" s="52"/>
      <c r="H479" s="48" t="s">
        <v>30</v>
      </c>
      <c r="I479" s="48" t="s">
        <v>8</v>
      </c>
      <c r="J479" s="48" t="s">
        <v>234</v>
      </c>
      <c r="K479" s="194"/>
      <c r="L479" s="194"/>
      <c r="M479" s="194"/>
      <c r="N479" s="194"/>
      <c r="O479" s="194"/>
      <c r="P479" s="194"/>
      <c r="Q479" s="103"/>
      <c r="R479" s="103"/>
      <c r="S479" s="53"/>
    </row>
    <row customHeight="true" ht="16.071428571428573" r="480">
      <c r="A480" s="43"/>
      <c r="B480" s="26"/>
      <c r="C480" s="43"/>
      <c r="D480" s="48"/>
      <c r="E480" s="20"/>
      <c r="F480" s="20"/>
      <c r="G480" s="52"/>
      <c r="H480" s="48"/>
      <c r="I480" s="48"/>
      <c r="J480" s="48"/>
      <c r="K480" s="194"/>
      <c r="L480" s="194"/>
      <c r="M480" s="194"/>
      <c r="N480" s="194"/>
      <c r="O480" s="194"/>
      <c r="P480" s="194"/>
      <c r="Q480" s="103"/>
      <c r="R480" s="103"/>
      <c r="S480" s="53"/>
    </row>
    <row customHeight="true" ht="16.071428571428573" r="481">
      <c r="A481" s="43"/>
      <c r="B481" s="26"/>
      <c r="C481" s="43"/>
      <c r="D481" s="48"/>
      <c r="E481" s="20"/>
      <c r="F481" s="20"/>
      <c r="G481" s="52"/>
      <c r="H481" s="48"/>
      <c r="I481" s="48"/>
      <c r="J481" s="48"/>
      <c r="K481" s="194"/>
      <c r="L481" s="194"/>
      <c r="M481" s="194"/>
      <c r="N481" s="194"/>
      <c r="O481" s="194"/>
      <c r="P481" s="194"/>
      <c r="Q481" s="103"/>
      <c r="R481" s="103"/>
      <c r="S481" s="53"/>
    </row>
    <row customHeight="true" ht="56.54761904761905" r="482">
      <c r="A482" s="263" t="s">
        <v>343</v>
      </c>
      <c r="B482" s="263"/>
      <c r="C482" s="263"/>
      <c r="D482" s="263"/>
      <c r="E482" s="263"/>
      <c r="F482" s="263"/>
      <c r="G482" s="263"/>
      <c r="H482" s="263"/>
      <c r="I482" s="263"/>
      <c r="J482" s="264"/>
      <c r="K482" s="57"/>
      <c r="L482" s="57"/>
      <c r="M482" s="57"/>
      <c r="N482" s="57"/>
      <c r="O482" s="57"/>
      <c r="P482" s="57"/>
    </row>
    <row customHeight="true" ht="16.071428571428573" r="483">
      <c r="A483" s="265" t="s">
        <v>16</v>
      </c>
      <c r="B483" s="266" t="s">
        <v>17</v>
      </c>
      <c r="C483" s="266"/>
      <c r="D483" s="267" t="s">
        <v>18</v>
      </c>
      <c r="E483" s="267" t="s">
        <v>19</v>
      </c>
      <c r="F483" s="267" t="s">
        <v>20</v>
      </c>
      <c r="G483" s="268" t="s">
        <v>33</v>
      </c>
      <c r="H483" s="267" t="s">
        <v>22</v>
      </c>
      <c r="I483" s="267" t="s">
        <v>23</v>
      </c>
      <c r="J483" s="269" t="s">
        <v>24</v>
      </c>
      <c r="K483" s="42"/>
      <c r="L483" s="42"/>
      <c r="M483" s="42"/>
      <c r="N483" s="42"/>
      <c r="O483" s="42"/>
      <c r="P483" s="42"/>
    </row>
    <row customHeight="true" ht="16.071428571428573" r="484">
      <c r="A484" s="43" t="s">
        <v>344</v>
      </c>
      <c r="B484" s="26">
        <v>46300</v>
      </c>
      <c r="C484" s="43" t="str">
        <v>Monday</v>
      </c>
      <c r="D484" s="25" t="s">
        <v>173</v>
      </c>
      <c r="E484" s="48">
        <f t="shared" ref="E484:E494" si="94">24*MOD(TIMEVALUE(TRIM(MID(D484,FIND("-",D484)+1,LEN(D484)))) - TIMEVALUE(TRIM(LEFT(D484,FIND("-",D484)-1))),1)</f>
      </c>
      <c r="F484" s="48"/>
      <c r="G484" s="52"/>
      <c r="H484" s="270"/>
      <c r="I484" s="48"/>
      <c r="J484" s="46"/>
      <c r="K484" s="22"/>
      <c r="L484" s="22"/>
      <c r="M484" s="22"/>
      <c r="N484" s="22"/>
      <c r="O484" s="22"/>
      <c r="P484" s="22"/>
    </row>
    <row customHeight="true" ht="16.071428571428573" r="485">
      <c r="A485" s="43" t="s">
        <v>344</v>
      </c>
      <c r="B485" s="26">
        <v>46300</v>
      </c>
      <c r="C485" s="43" t="str">
        <v>Monday</v>
      </c>
      <c r="D485" s="25" t="s">
        <v>173</v>
      </c>
      <c r="E485" s="48">
        <f t="shared" si="94"/>
      </c>
      <c r="F485" s="48"/>
      <c r="G485" s="52"/>
      <c r="H485" s="270"/>
      <c r="I485" s="48"/>
      <c r="J485" s="46"/>
      <c r="K485" s="22"/>
      <c r="L485" s="22"/>
      <c r="M485" s="22"/>
      <c r="N485" s="22"/>
      <c r="O485" s="22"/>
      <c r="P485" s="22"/>
    </row>
    <row customHeight="true" ht="16.071428571428573" r="486">
      <c r="A486" s="43" t="s">
        <v>344</v>
      </c>
      <c r="B486" s="26">
        <v>46300</v>
      </c>
      <c r="C486" s="43" t="str">
        <v>Monday</v>
      </c>
      <c r="D486" s="25" t="s">
        <v>173</v>
      </c>
      <c r="E486" s="48">
        <f t="shared" si="94"/>
      </c>
      <c r="F486" s="48"/>
      <c r="G486" s="52"/>
      <c r="H486" s="270"/>
      <c r="I486" s="48"/>
      <c r="J486" s="46"/>
      <c r="K486" s="22"/>
      <c r="L486" s="22"/>
      <c r="M486" s="22"/>
      <c r="N486" s="22"/>
      <c r="O486" s="22"/>
      <c r="P486" s="22"/>
    </row>
    <row customHeight="true" ht="16.071428571428573" r="487">
      <c r="A487" s="43" t="s">
        <v>344</v>
      </c>
      <c r="B487" s="26">
        <v>46300</v>
      </c>
      <c r="C487" s="43" t="str">
        <v>Monday</v>
      </c>
      <c r="D487" s="25" t="s">
        <v>173</v>
      </c>
      <c r="E487" s="48">
        <f t="shared" si="94"/>
      </c>
      <c r="F487" s="48"/>
      <c r="G487" s="52"/>
      <c r="H487" s="270"/>
      <c r="I487" s="48"/>
      <c r="J487" s="46"/>
      <c r="K487" s="22"/>
      <c r="L487" s="22"/>
      <c r="M487" s="22"/>
      <c r="N487" s="22"/>
      <c r="O487" s="22"/>
      <c r="P487" s="22"/>
    </row>
    <row customHeight="true" ht="16.071428571428573" r="488">
      <c r="A488" s="43" t="s">
        <v>344</v>
      </c>
      <c r="B488" s="26">
        <v>46300</v>
      </c>
      <c r="C488" s="43" t="str">
        <v>Monday</v>
      </c>
      <c r="D488" s="25" t="s">
        <v>173</v>
      </c>
      <c r="E488" s="48">
        <f t="shared" si="94"/>
      </c>
      <c r="F488" s="48"/>
      <c r="G488" s="52"/>
      <c r="H488" s="270"/>
      <c r="I488" s="48"/>
      <c r="J488" s="46"/>
      <c r="K488" s="22"/>
      <c r="L488" s="22"/>
      <c r="M488" s="22"/>
      <c r="N488" s="22"/>
      <c r="O488" s="22"/>
      <c r="P488" s="22"/>
    </row>
    <row customHeight="true" ht="16.071428571428573" r="489">
      <c r="A489" s="43" t="s">
        <v>344</v>
      </c>
      <c r="B489" s="26">
        <v>46300</v>
      </c>
      <c r="C489" s="43" t="str">
        <v>Monday</v>
      </c>
      <c r="D489" s="25" t="s">
        <v>173</v>
      </c>
      <c r="E489" s="48">
        <f t="shared" si="94"/>
      </c>
      <c r="F489" s="48"/>
      <c r="G489" s="52"/>
      <c r="H489" s="270"/>
      <c r="I489" s="48"/>
      <c r="J489" s="46"/>
      <c r="K489" s="22"/>
      <c r="L489" s="22"/>
      <c r="M489" s="22"/>
      <c r="N489" s="22"/>
      <c r="O489" s="22"/>
      <c r="P489" s="22"/>
    </row>
    <row customHeight="true" ht="16.071428571428573" r="490">
      <c r="A490" s="43" t="s">
        <v>344</v>
      </c>
      <c r="B490" s="26">
        <v>46300</v>
      </c>
      <c r="C490" s="43" t="str">
        <v>Monday</v>
      </c>
      <c r="D490" s="25" t="s">
        <v>173</v>
      </c>
      <c r="E490" s="48">
        <f t="shared" si="94"/>
      </c>
      <c r="F490" s="48"/>
      <c r="G490" s="52"/>
      <c r="H490" s="270"/>
      <c r="I490" s="48"/>
      <c r="J490" s="46"/>
      <c r="K490" s="22"/>
      <c r="L490" s="22"/>
      <c r="M490" s="22"/>
      <c r="N490" s="22"/>
      <c r="O490" s="22"/>
      <c r="P490" s="22"/>
    </row>
    <row customHeight="true" ht="16.071428571428573" r="491">
      <c r="A491" s="43" t="s">
        <v>344</v>
      </c>
      <c r="B491" s="26">
        <v>46300</v>
      </c>
      <c r="C491" s="43" t="str">
        <v>Monday</v>
      </c>
      <c r="D491" s="25" t="s">
        <v>173</v>
      </c>
      <c r="E491" s="48">
        <f t="shared" si="94"/>
      </c>
      <c r="F491" s="48"/>
      <c r="G491" s="52"/>
      <c r="H491" s="270"/>
      <c r="I491" s="48"/>
      <c r="J491" s="46"/>
      <c r="K491" s="22"/>
      <c r="L491" s="22"/>
      <c r="M491" s="22"/>
      <c r="N491" s="22"/>
      <c r="O491" s="22"/>
      <c r="P491" s="22"/>
    </row>
    <row customHeight="true" ht="16.071428571428573" r="492">
      <c r="A492" s="43" t="s">
        <v>344</v>
      </c>
      <c r="B492" s="26">
        <v>46300</v>
      </c>
      <c r="C492" s="43" t="str">
        <v>Monday</v>
      </c>
      <c r="D492" s="25" t="s">
        <v>173</v>
      </c>
      <c r="E492" s="48">
        <f t="shared" si="94"/>
      </c>
      <c r="F492" s="48"/>
      <c r="G492" s="52"/>
      <c r="H492" s="270"/>
      <c r="I492" s="48"/>
      <c r="J492" s="46"/>
      <c r="K492" s="22"/>
      <c r="L492" s="22"/>
      <c r="M492" s="22"/>
      <c r="N492" s="22"/>
      <c r="O492" s="22"/>
      <c r="P492" s="22"/>
    </row>
    <row customHeight="true" ht="16.071428571428573" r="493">
      <c r="A493" s="43" t="s">
        <v>344</v>
      </c>
      <c r="B493" s="26">
        <v>46300</v>
      </c>
      <c r="C493" s="43" t="str">
        <v>Monday</v>
      </c>
      <c r="D493" s="25" t="s">
        <v>173</v>
      </c>
      <c r="E493" s="48">
        <f t="shared" si="94"/>
      </c>
      <c r="F493" s="48"/>
      <c r="G493" s="52"/>
      <c r="H493" s="270"/>
      <c r="I493" s="48"/>
      <c r="J493" s="46"/>
      <c r="K493" s="22"/>
      <c r="L493" s="22"/>
      <c r="M493" s="22"/>
      <c r="N493" s="22"/>
      <c r="O493" s="22"/>
      <c r="P493" s="22"/>
    </row>
    <row customHeight="true" ht="16.071428571428573" r="494">
      <c r="A494" s="43" t="s">
        <v>344</v>
      </c>
      <c r="B494" s="26">
        <v>46300</v>
      </c>
      <c r="C494" s="43" t="str">
        <v>Monday</v>
      </c>
      <c r="D494" s="25" t="s">
        <v>173</v>
      </c>
      <c r="E494" s="48">
        <f t="shared" si="94"/>
      </c>
      <c r="F494" s="48"/>
      <c r="G494" s="52"/>
      <c r="H494" s="270"/>
      <c r="I494" s="48"/>
      <c r="J494" s="46"/>
      <c r="K494" s="22"/>
      <c r="L494" s="22"/>
      <c r="M494" s="22"/>
      <c r="N494" s="22"/>
      <c r="O494" s="22"/>
      <c r="P494" s="22"/>
    </row>
    <row customHeight="true" ht="16.071428571428573" r="495">
      <c r="A495" s="43"/>
      <c r="B495" s="26"/>
      <c r="C495" s="43"/>
      <c r="D495" s="25"/>
      <c r="E495" s="48"/>
      <c r="F495" s="48"/>
      <c r="G495" s="107"/>
      <c r="H495" s="270"/>
      <c r="I495" s="48"/>
      <c r="J495" s="46"/>
      <c r="K495" s="22"/>
      <c r="L495" s="22"/>
      <c r="M495" s="22"/>
      <c r="N495" s="22"/>
      <c r="O495" s="22"/>
      <c r="P495" s="22"/>
    </row>
    <row customHeight="true" ht="16.071428571428573" r="496">
      <c r="A496" s="43"/>
      <c r="B496" s="26"/>
      <c r="C496" s="43"/>
      <c r="D496" s="25"/>
      <c r="E496" s="48"/>
      <c r="F496" s="48"/>
      <c r="G496" s="107"/>
      <c r="H496" s="270"/>
      <c r="I496" s="48"/>
      <c r="J496" s="46"/>
      <c r="K496" s="22"/>
      <c r="L496" s="22"/>
      <c r="M496" s="22"/>
      <c r="N496" s="22"/>
      <c r="O496" s="22"/>
      <c r="P496" s="22"/>
    </row>
    <row customHeight="true" ht="16.071428571428573" r="497">
      <c r="A497" s="43" t="s">
        <v>343</v>
      </c>
      <c r="B497" s="26">
        <v>46304</v>
      </c>
      <c r="C497" s="43" t="str">
        <v>Friday</v>
      </c>
      <c r="D497" s="25" t="s">
        <v>241</v>
      </c>
      <c r="E497" s="48">
        <f t="shared" ref="E497:E499" si="95">24*MOD(TIMEVALUE(TRIM(MID(D497,FIND("-",D497)+1,LEN(D497)))) - TIMEVALUE(TRIM(LEFT(D497,FIND("-",D497)-1))),1)</f>
      </c>
      <c r="F497" s="48"/>
      <c r="G497" s="52"/>
      <c r="H497" s="270"/>
      <c r="I497" s="48"/>
      <c r="J497" s="46"/>
      <c r="K497" s="22"/>
      <c r="L497" s="22"/>
      <c r="M497" s="22"/>
      <c r="N497" s="22"/>
      <c r="O497" s="22"/>
      <c r="P497" s="22"/>
    </row>
    <row customHeight="true" ht="16.071428571428573" r="498">
      <c r="A498" s="43" t="s">
        <v>343</v>
      </c>
      <c r="B498" s="26">
        <v>46305</v>
      </c>
      <c r="C498" s="43" t="str">
        <v>Saturday</v>
      </c>
      <c r="D498" s="25" t="s">
        <v>241</v>
      </c>
      <c r="E498" s="48">
        <f t="shared" si="95"/>
      </c>
      <c r="F498" s="48"/>
      <c r="G498" s="52"/>
      <c r="H498" s="270"/>
      <c r="I498" s="48"/>
      <c r="J498" s="46"/>
      <c r="K498" s="22"/>
      <c r="L498" s="22"/>
      <c r="M498" s="22"/>
      <c r="N498" s="22"/>
      <c r="O498" s="22"/>
      <c r="P498" s="22"/>
    </row>
    <row customHeight="true" ht="16.071428571428573" r="499">
      <c r="A499" s="43" t="s">
        <v>343</v>
      </c>
      <c r="B499" s="26">
        <v>46306</v>
      </c>
      <c r="C499" s="43" t="str">
        <v>Sunday</v>
      </c>
      <c r="D499" s="25" t="s">
        <v>241</v>
      </c>
      <c r="E499" s="48">
        <f t="shared" si="95"/>
      </c>
      <c r="F499" s="48"/>
      <c r="G499" s="52"/>
      <c r="H499" s="270"/>
      <c r="I499" s="48"/>
      <c r="J499" s="46"/>
      <c r="K499" s="22"/>
      <c r="L499" s="22"/>
      <c r="M499" s="22"/>
      <c r="N499" s="22"/>
      <c r="O499" s="22"/>
      <c r="P499" s="22"/>
    </row>
    <row customHeight="true" ht="16.071428571428573" r="500">
      <c r="A500" s="43"/>
      <c r="B500" s="26"/>
      <c r="C500" s="43"/>
      <c r="D500" s="48"/>
      <c r="E500" s="20"/>
      <c r="F500" s="20"/>
      <c r="G500" s="52"/>
      <c r="H500" s="48"/>
      <c r="I500" s="48"/>
      <c r="J500" s="48"/>
      <c r="K500" s="194"/>
      <c r="L500" s="194"/>
      <c r="M500" s="194"/>
      <c r="N500" s="194"/>
      <c r="O500" s="194"/>
      <c r="P500" s="194"/>
      <c r="Q500" s="103"/>
      <c r="R500" s="103"/>
      <c r="S500" s="53"/>
    </row>
    <row customHeight="true" ht="16.071428571428573" r="501">
      <c r="A501" s="43" t="s">
        <v>345</v>
      </c>
      <c r="B501" s="26">
        <v>46304</v>
      </c>
      <c r="C501" s="43" t="str">
        <v>Friday</v>
      </c>
      <c r="D501" s="25" t="s">
        <v>333</v>
      </c>
      <c r="E501" s="48">
        <f t="shared" ref="E501:E503" si="96">24*MOD(TIMEVALUE(TRIM(MID(D501,FIND("-",D501)+1,LEN(D501)))) - TIMEVALUE(TRIM(LEFT(D501,FIND("-",D501)-1))),1)</f>
      </c>
      <c r="F501" s="48" t="s">
        <v>266</v>
      </c>
      <c r="G501" s="52"/>
      <c r="H501" s="270"/>
      <c r="I501" s="48"/>
      <c r="J501" s="46"/>
      <c r="K501" s="22"/>
      <c r="L501" s="22"/>
      <c r="M501" s="22"/>
      <c r="N501" s="22"/>
      <c r="O501" s="22"/>
      <c r="P501" s="22"/>
    </row>
    <row customHeight="true" ht="16.071428571428573" r="502">
      <c r="A502" s="43" t="s">
        <v>345</v>
      </c>
      <c r="B502" s="26">
        <v>46305</v>
      </c>
      <c r="C502" s="43" t="str">
        <v>Saturday</v>
      </c>
      <c r="D502" s="25" t="s">
        <v>333</v>
      </c>
      <c r="E502" s="48">
        <f t="shared" si="96"/>
      </c>
      <c r="F502" s="48" t="s">
        <v>266</v>
      </c>
      <c r="G502" s="52"/>
      <c r="H502" s="270"/>
      <c r="I502" s="48"/>
      <c r="J502" s="46"/>
      <c r="K502" s="22"/>
      <c r="L502" s="22"/>
      <c r="M502" s="22"/>
      <c r="N502" s="22"/>
      <c r="O502" s="22"/>
      <c r="P502" s="22"/>
    </row>
    <row customHeight="true" ht="16.071428571428573" r="503">
      <c r="A503" s="43" t="s">
        <v>345</v>
      </c>
      <c r="B503" s="26">
        <v>46306</v>
      </c>
      <c r="C503" s="43" t="str">
        <v>Sunday</v>
      </c>
      <c r="D503" s="25" t="s">
        <v>333</v>
      </c>
      <c r="E503" s="48">
        <f t="shared" si="96"/>
      </c>
      <c r="F503" s="48" t="s">
        <v>266</v>
      </c>
      <c r="G503" s="52"/>
      <c r="H503" s="270"/>
      <c r="I503" s="48"/>
      <c r="J503" s="46"/>
      <c r="K503" s="22"/>
      <c r="L503" s="22"/>
      <c r="M503" s="22"/>
      <c r="N503" s="22"/>
      <c r="O503" s="22"/>
      <c r="P503" s="22"/>
    </row>
    <row customHeight="true" ht="16.071428571428573" r="504">
      <c r="A504" s="43"/>
      <c r="B504" s="26"/>
      <c r="C504" s="43"/>
      <c r="D504" s="48"/>
      <c r="E504" s="20"/>
      <c r="F504" s="20"/>
      <c r="G504" s="52"/>
      <c r="H504" s="48"/>
      <c r="I504" s="48"/>
      <c r="J504" s="48"/>
      <c r="K504" s="194"/>
      <c r="L504" s="194"/>
      <c r="M504" s="194"/>
      <c r="N504" s="194"/>
      <c r="O504" s="194"/>
      <c r="P504" s="194"/>
      <c r="Q504" s="103"/>
      <c r="R504" s="103"/>
      <c r="S504" s="53"/>
    </row>
    <row customHeight="true" ht="16.071428571428573" r="505">
      <c r="A505" s="43"/>
      <c r="B505" s="26"/>
      <c r="C505" s="43"/>
      <c r="D505" s="48"/>
      <c r="E505" s="20"/>
      <c r="F505" s="20"/>
      <c r="G505" s="52"/>
      <c r="H505" s="48"/>
      <c r="I505" s="48"/>
      <c r="J505" s="48"/>
      <c r="K505" s="194"/>
      <c r="L505" s="194"/>
      <c r="M505" s="194"/>
      <c r="N505" s="194"/>
      <c r="O505" s="194"/>
      <c r="P505" s="194"/>
      <c r="Q505" s="103"/>
      <c r="R505" s="103"/>
      <c r="S505" s="53"/>
    </row>
    <row customHeight="true" ht="16.071428571428573" r="506">
      <c r="A506" s="43"/>
      <c r="B506" s="26"/>
      <c r="C506" s="43"/>
      <c r="D506" s="48"/>
      <c r="E506" s="20"/>
      <c r="F506" s="20"/>
      <c r="G506" s="52"/>
      <c r="H506" s="48"/>
      <c r="I506" s="48"/>
      <c r="J506" s="48"/>
      <c r="K506" s="194"/>
      <c r="L506" s="194"/>
      <c r="M506" s="194"/>
      <c r="N506" s="194"/>
      <c r="O506" s="194"/>
      <c r="P506" s="194"/>
      <c r="Q506" s="103"/>
      <c r="R506" s="103"/>
      <c r="S506" s="53"/>
    </row>
    <row customHeight="true" ht="16.071428571428573" r="507">
      <c r="A507" s="43"/>
      <c r="B507" s="26"/>
      <c r="C507" s="43"/>
      <c r="D507" s="48"/>
      <c r="E507" s="20"/>
      <c r="F507" s="20"/>
      <c r="G507" s="52"/>
      <c r="H507" s="48"/>
      <c r="I507" s="48"/>
      <c r="J507" s="48"/>
      <c r="K507" s="194"/>
      <c r="L507" s="194"/>
      <c r="M507" s="194"/>
      <c r="N507" s="194"/>
      <c r="O507" s="194"/>
      <c r="P507" s="194"/>
      <c r="Q507" s="103"/>
      <c r="R507" s="103"/>
      <c r="S507" s="53"/>
    </row>
    <row customHeight="true" ht="16.071428571428573" r="508">
      <c r="A508" s="43"/>
      <c r="B508" s="26"/>
      <c r="C508" s="43"/>
      <c r="D508" s="48"/>
      <c r="E508" s="20"/>
      <c r="F508" s="20"/>
      <c r="G508" s="52"/>
      <c r="H508" s="48"/>
      <c r="I508" s="48"/>
      <c r="J508" s="48"/>
      <c r="K508" s="194"/>
      <c r="L508" s="194"/>
      <c r="M508" s="194"/>
      <c r="N508" s="194"/>
      <c r="O508" s="194"/>
      <c r="P508" s="194"/>
      <c r="Q508" s="103"/>
      <c r="R508" s="103"/>
      <c r="S508" s="53"/>
    </row>
    <row customHeight="true" ht="16.071428571428573" r="509">
      <c r="A509" s="43"/>
      <c r="B509" s="26"/>
      <c r="C509" s="43"/>
      <c r="D509" s="48"/>
      <c r="E509" s="20"/>
      <c r="F509" s="20"/>
      <c r="G509" s="52"/>
      <c r="H509" s="48"/>
      <c r="I509" s="48"/>
      <c r="J509" s="48"/>
      <c r="K509" s="194"/>
      <c r="L509" s="194"/>
      <c r="M509" s="194"/>
      <c r="N509" s="194"/>
      <c r="O509" s="194"/>
      <c r="P509" s="194"/>
      <c r="Q509" s="103"/>
      <c r="R509" s="103"/>
      <c r="S509" s="53"/>
    </row>
    <row customHeight="true" ht="37.219887955226724" r="510">
      <c r="A510" s="330" t="s">
        <v>346</v>
      </c>
      <c r="B510" s="330"/>
      <c r="C510" s="330"/>
      <c r="D510" s="330"/>
      <c r="E510" s="330"/>
      <c r="F510" s="330"/>
      <c r="G510" s="330"/>
      <c r="H510" s="330"/>
      <c r="I510" s="330"/>
      <c r="J510" s="331"/>
      <c r="K510" s="57"/>
      <c r="L510" s="57"/>
      <c r="M510" s="57"/>
      <c r="N510" s="57"/>
      <c r="O510" s="57"/>
      <c r="P510" s="57"/>
    </row>
    <row r="511">
      <c r="A511" s="332" t="s">
        <v>16</v>
      </c>
      <c r="B511" s="157" t="s">
        <v>17</v>
      </c>
      <c r="C511" s="157"/>
      <c r="D511" s="159" t="s">
        <v>18</v>
      </c>
      <c r="E511" s="333" t="s">
        <v>19</v>
      </c>
      <c r="F511" s="333" t="s">
        <v>20</v>
      </c>
      <c r="G511" s="334" t="s">
        <v>33</v>
      </c>
      <c r="H511" s="333" t="s">
        <v>22</v>
      </c>
      <c r="I511" s="162" t="s">
        <v>23</v>
      </c>
      <c r="J511" s="335" t="s">
        <v>24</v>
      </c>
      <c r="K511" s="42"/>
      <c r="L511" s="42"/>
      <c r="M511" s="42"/>
      <c r="N511" s="42"/>
      <c r="O511" s="42"/>
      <c r="P511" s="42"/>
    </row>
    <row customHeight="true" ht="18.452380952380953" r="512">
      <c r="A512" s="43" t="s">
        <v>347</v>
      </c>
      <c r="B512" s="26">
        <v>46300</v>
      </c>
      <c r="C512" s="43" t="str">
        <v>Monday</v>
      </c>
      <c r="D512" s="145" t="s">
        <v>348</v>
      </c>
      <c r="E512" s="20">
        <f t="shared" ref="E512:E517" si="97">24*MOD(TIMEVALUE(TRIM(MID(D512,FIND("-",D512)+1,LEN(D512)))) - TIMEVALUE(TRIM(LEFT(D512,FIND("-",D512)-1))),1)</f>
      </c>
      <c r="F512" s="336" t="s">
        <v>230</v>
      </c>
      <c r="G512" s="122"/>
      <c r="H512" s="20" t="s">
        <v>30</v>
      </c>
      <c r="I512" s="48" t="s">
        <v>8</v>
      </c>
      <c r="J512" s="34"/>
      <c r="K512" s="22"/>
      <c r="L512" s="22"/>
      <c r="M512" s="22"/>
      <c r="N512" s="22"/>
      <c r="O512" s="22"/>
      <c r="P512" s="22"/>
    </row>
    <row r="513">
      <c r="A513" s="43" t="s">
        <v>347</v>
      </c>
      <c r="B513" s="26">
        <v>46300</v>
      </c>
      <c r="C513" s="43" t="str">
        <v>Monday</v>
      </c>
      <c r="D513" s="145" t="s">
        <v>242</v>
      </c>
      <c r="E513" s="20">
        <f t="shared" si="97"/>
      </c>
      <c r="F513" s="48" t="s">
        <v>193</v>
      </c>
      <c r="G513" s="122"/>
      <c r="H513" s="20" t="s">
        <v>30</v>
      </c>
      <c r="I513" s="48" t="s">
        <v>28</v>
      </c>
      <c r="J513" s="34"/>
      <c r="K513" s="22"/>
      <c r="L513" s="22"/>
      <c r="M513" s="22"/>
      <c r="N513" s="22"/>
      <c r="O513" s="22"/>
      <c r="P513" s="22"/>
    </row>
    <row customHeight="true" ht="18.452380952380953" r="514">
      <c r="A514" s="43" t="s">
        <v>347</v>
      </c>
      <c r="B514" s="26">
        <v>46300</v>
      </c>
      <c r="C514" s="43" t="str">
        <v>Monday</v>
      </c>
      <c r="D514" s="145" t="s">
        <v>260</v>
      </c>
      <c r="E514" s="20">
        <f t="shared" si="97"/>
      </c>
      <c r="F514" s="337" t="s">
        <v>136</v>
      </c>
      <c r="G514" s="122"/>
      <c r="H514" s="20" t="s">
        <v>30</v>
      </c>
      <c r="I514" s="48" t="s">
        <v>8</v>
      </c>
      <c r="J514" s="34"/>
      <c r="K514" s="22"/>
      <c r="L514" s="22"/>
      <c r="M514" s="22"/>
      <c r="N514" s="22"/>
      <c r="O514" s="22"/>
      <c r="P514" s="22"/>
    </row>
    <row r="515">
      <c r="A515" s="43" t="s">
        <v>347</v>
      </c>
      <c r="B515" s="26">
        <v>46300</v>
      </c>
      <c r="C515" s="43" t="str">
        <v>Monday</v>
      </c>
      <c r="D515" s="145" t="s">
        <v>214</v>
      </c>
      <c r="E515" s="20">
        <f t="shared" si="97"/>
      </c>
      <c r="F515" s="48" t="s">
        <v>137</v>
      </c>
      <c r="G515" s="122"/>
      <c r="H515" s="20" t="s">
        <v>30</v>
      </c>
      <c r="I515" s="48" t="s">
        <v>28</v>
      </c>
      <c r="J515" s="34"/>
      <c r="K515" s="22"/>
      <c r="L515" s="22"/>
      <c r="M515" s="22"/>
      <c r="N515" s="22"/>
      <c r="O515" s="22"/>
      <c r="P515" s="22"/>
    </row>
    <row customHeight="true" ht="18.452380952380953" r="516">
      <c r="A516" s="43" t="s">
        <v>347</v>
      </c>
      <c r="B516" s="26">
        <v>46300</v>
      </c>
      <c r="C516" s="43" t="str">
        <v>Monday</v>
      </c>
      <c r="D516" s="145" t="s">
        <v>349</v>
      </c>
      <c r="E516" s="20">
        <f t="shared" si="97"/>
      </c>
      <c r="F516" s="337" t="s">
        <v>350</v>
      </c>
      <c r="G516" s="122"/>
      <c r="H516" s="20" t="s">
        <v>30</v>
      </c>
      <c r="I516" s="48" t="s">
        <v>8</v>
      </c>
      <c r="J516" s="34"/>
      <c r="K516" s="22"/>
      <c r="L516" s="22"/>
      <c r="M516" s="22"/>
      <c r="N516" s="22"/>
      <c r="O516" s="22"/>
      <c r="P516" s="22"/>
    </row>
    <row customHeight="true" ht="18.452380952380953" r="517">
      <c r="A517" s="43" t="s">
        <v>347</v>
      </c>
      <c r="B517" s="26">
        <v>46300</v>
      </c>
      <c r="C517" s="43" t="str">
        <v>Monday</v>
      </c>
      <c r="D517" s="145" t="s">
        <v>351</v>
      </c>
      <c r="E517" s="20">
        <f t="shared" si="97"/>
      </c>
      <c r="F517" s="337" t="s">
        <v>152</v>
      </c>
      <c r="G517" s="122"/>
      <c r="H517" s="20" t="s">
        <v>30</v>
      </c>
      <c r="I517" s="177" t="s">
        <v>8</v>
      </c>
      <c r="J517" s="34"/>
      <c r="K517" s="22"/>
      <c r="L517" s="22"/>
      <c r="M517" s="22"/>
      <c r="N517" s="22"/>
      <c r="O517" s="22"/>
      <c r="P517" s="22"/>
    </row>
    <row r="518">
      <c r="A518" s="43"/>
      <c r="B518" s="43"/>
      <c r="C518" s="43"/>
      <c r="D518" s="48"/>
      <c r="E518" s="20"/>
      <c r="F518" s="337"/>
      <c r="G518" s="338"/>
      <c r="H518" s="20"/>
      <c r="I518" s="48"/>
      <c r="J518" s="34"/>
      <c r="K518" s="22"/>
      <c r="L518" s="22"/>
      <c r="M518" s="22"/>
      <c r="N518" s="22"/>
      <c r="O518" s="22"/>
      <c r="P518" s="22"/>
    </row>
    <row customHeight="true" ht="18.452380952380953" r="519">
      <c r="A519" s="43" t="s">
        <v>352</v>
      </c>
      <c r="B519" s="226">
        <v>46300</v>
      </c>
      <c r="C519" s="43" t="str">
        <v>Monday</v>
      </c>
      <c r="D519" s="145" t="s">
        <v>348</v>
      </c>
      <c r="E519" s="193">
        <f t="shared" ref="E519:E523" si="98">24*MOD(TIMEVALUE(TRIM(MID(D519,FIND("-",D519)+1,LEN(D519)))) - TIMEVALUE(TRIM(LEFT(D519,FIND("-",D519)-1))),1)</f>
      </c>
      <c r="F519" s="119" t="s">
        <v>353</v>
      </c>
      <c r="G519" s="338"/>
      <c r="H519" s="20" t="s">
        <v>30</v>
      </c>
      <c r="I519" s="48" t="s">
        <v>8</v>
      </c>
      <c r="J519" s="34"/>
      <c r="K519" s="22"/>
      <c r="L519" s="22"/>
      <c r="M519" s="22"/>
      <c r="N519" s="22"/>
      <c r="O519" s="22"/>
      <c r="P519" s="22"/>
    </row>
    <row customHeight="true" ht="18.452380952380953" r="520">
      <c r="A520" s="43" t="s">
        <v>352</v>
      </c>
      <c r="B520" s="226">
        <v>46300</v>
      </c>
      <c r="C520" s="43" t="str">
        <v>Monday</v>
      </c>
      <c r="D520" s="145" t="s">
        <v>242</v>
      </c>
      <c r="E520" s="193">
        <f t="shared" si="98"/>
      </c>
      <c r="F520" s="119" t="s">
        <v>264</v>
      </c>
      <c r="G520" s="339"/>
      <c r="H520" s="20" t="s">
        <v>30</v>
      </c>
      <c r="I520" s="48" t="s">
        <v>28</v>
      </c>
      <c r="J520" s="34"/>
      <c r="K520" s="22"/>
      <c r="L520" s="22"/>
      <c r="M520" s="22"/>
      <c r="N520" s="22"/>
      <c r="O520" s="22"/>
      <c r="P520" s="22"/>
    </row>
    <row r="521">
      <c r="A521" s="43" t="s">
        <v>352</v>
      </c>
      <c r="B521" s="226">
        <v>46300</v>
      </c>
      <c r="C521" s="43" t="str">
        <v>Monday</v>
      </c>
      <c r="D521" s="145" t="s">
        <v>260</v>
      </c>
      <c r="E521" s="193">
        <f t="shared" si="98"/>
      </c>
      <c r="F521" s="119" t="s">
        <v>354</v>
      </c>
      <c r="G521" s="340"/>
      <c r="H521" s="233" t="s">
        <v>30</v>
      </c>
      <c r="I521" s="48" t="s">
        <v>28</v>
      </c>
      <c r="J521" s="34"/>
      <c r="K521" s="22"/>
      <c r="L521" s="22"/>
      <c r="M521" s="22"/>
      <c r="N521" s="22"/>
      <c r="O521" s="22"/>
      <c r="P521" s="22"/>
    </row>
    <row customHeight="true" ht="18.452380952380953" r="522">
      <c r="A522" s="43" t="s">
        <v>352</v>
      </c>
      <c r="B522" s="226">
        <v>46300</v>
      </c>
      <c r="C522" s="43" t="str">
        <v>Monday</v>
      </c>
      <c r="D522" s="145" t="s">
        <v>214</v>
      </c>
      <c r="E522" s="193">
        <f t="shared" si="98"/>
      </c>
      <c r="F522" s="119" t="s">
        <v>264</v>
      </c>
      <c r="G522" s="340"/>
      <c r="H522" s="233" t="s">
        <v>30</v>
      </c>
      <c r="I522" s="48" t="s">
        <v>28</v>
      </c>
      <c r="J522" s="34"/>
      <c r="K522" s="22"/>
      <c r="L522" s="22"/>
      <c r="M522" s="22"/>
      <c r="N522" s="22"/>
      <c r="O522" s="22"/>
      <c r="P522" s="22"/>
    </row>
    <row customHeight="true" ht="18.452380952380953" r="523">
      <c r="A523" s="43" t="s">
        <v>352</v>
      </c>
      <c r="B523" s="226">
        <v>46300</v>
      </c>
      <c r="C523" s="43" t="str">
        <v>Monday</v>
      </c>
      <c r="D523" s="145" t="s">
        <v>355</v>
      </c>
      <c r="E523" s="193">
        <f t="shared" si="98"/>
      </c>
      <c r="F523" s="119" t="s">
        <v>356</v>
      </c>
      <c r="G523" s="338"/>
      <c r="H523" s="20" t="s">
        <v>30</v>
      </c>
      <c r="I523" s="48" t="s">
        <v>8</v>
      </c>
      <c r="J523" s="34"/>
      <c r="K523" s="22"/>
      <c r="L523" s="22"/>
      <c r="M523" s="22"/>
      <c r="N523" s="22"/>
      <c r="O523" s="22"/>
      <c r="P523" s="22"/>
    </row>
    <row customHeight="true" ht="18.452380952380953" r="524">
      <c r="A524" s="43"/>
      <c r="B524" s="43"/>
      <c r="C524" s="43"/>
      <c r="D524" s="48"/>
      <c r="E524" s="193"/>
      <c r="F524" s="48"/>
      <c r="G524" s="339"/>
      <c r="H524" s="20"/>
      <c r="I524" s="48"/>
      <c r="J524" s="34"/>
      <c r="K524" s="22"/>
      <c r="L524" s="22"/>
      <c r="M524" s="22"/>
      <c r="N524" s="22"/>
      <c r="O524" s="22"/>
      <c r="P524" s="22"/>
    </row>
    <row customHeight="true" ht="18.452380952380953" r="525">
      <c r="A525" s="341" t="s">
        <v>347</v>
      </c>
      <c r="B525" s="342">
        <v>46301</v>
      </c>
      <c r="C525" s="341" t="str">
        <v>Tuesday</v>
      </c>
      <c r="D525" s="343" t="s">
        <v>348</v>
      </c>
      <c r="E525" s="344">
        <f t="shared" ref="E525:E530" si="99">24*MOD(TIMEVALUE(TRIM(MID(D525,FIND("-",D525)+1,LEN(D525)))) - TIMEVALUE(TRIM(LEFT(D525,FIND("-",D525)-1))),1)</f>
      </c>
      <c r="F525" s="345" t="s">
        <v>357</v>
      </c>
      <c r="G525" s="122"/>
      <c r="H525" s="20" t="s">
        <v>30</v>
      </c>
      <c r="I525" s="48" t="s">
        <v>28</v>
      </c>
      <c r="J525" s="34"/>
      <c r="K525" s="22"/>
      <c r="L525" s="22"/>
      <c r="M525" s="22"/>
      <c r="N525" s="22"/>
      <c r="O525" s="22"/>
      <c r="P525" s="22"/>
    </row>
    <row customHeight="true" ht="18.452380952380953" r="526">
      <c r="A526" s="341" t="s">
        <v>347</v>
      </c>
      <c r="B526" s="342">
        <v>46301</v>
      </c>
      <c r="C526" s="341" t="str">
        <v>Tuesday</v>
      </c>
      <c r="D526" s="343" t="s">
        <v>221</v>
      </c>
      <c r="E526" s="344">
        <f t="shared" si="99"/>
      </c>
      <c r="F526" s="346" t="s">
        <v>230</v>
      </c>
      <c r="G526" s="122"/>
      <c r="H526" s="20" t="s">
        <v>30</v>
      </c>
      <c r="I526" s="48" t="s">
        <v>8</v>
      </c>
      <c r="J526" s="34"/>
      <c r="K526" s="22"/>
      <c r="L526" s="22"/>
      <c r="M526" s="22"/>
      <c r="N526" s="22"/>
      <c r="O526" s="22"/>
      <c r="P526" s="22"/>
    </row>
    <row customHeight="true" ht="18.452380952380953" r="527">
      <c r="A527" s="341" t="s">
        <v>347</v>
      </c>
      <c r="B527" s="342">
        <v>46301</v>
      </c>
      <c r="C527" s="341" t="str">
        <v>Tuesday</v>
      </c>
      <c r="D527" s="343" t="s">
        <v>358</v>
      </c>
      <c r="E527" s="344">
        <f t="shared" si="99"/>
      </c>
      <c r="F527" s="347" t="s">
        <v>152</v>
      </c>
      <c r="G527" s="122"/>
      <c r="H527" s="20" t="s">
        <v>30</v>
      </c>
      <c r="I527" s="177" t="s">
        <v>8</v>
      </c>
      <c r="J527" s="34"/>
      <c r="K527" s="22"/>
      <c r="L527" s="22"/>
      <c r="M527" s="22"/>
      <c r="N527" s="22"/>
      <c r="O527" s="22"/>
      <c r="P527" s="22"/>
    </row>
    <row customHeight="true" ht="18.452380952380953" r="528">
      <c r="A528" s="341" t="s">
        <v>347</v>
      </c>
      <c r="B528" s="342">
        <v>46301</v>
      </c>
      <c r="C528" s="341" t="str">
        <v>Tuesday</v>
      </c>
      <c r="D528" s="343" t="s">
        <v>173</v>
      </c>
      <c r="E528" s="344">
        <f t="shared" si="99"/>
      </c>
      <c r="F528" s="346" t="s">
        <v>193</v>
      </c>
      <c r="G528" s="122"/>
      <c r="H528" s="20" t="s">
        <v>30</v>
      </c>
      <c r="I528" s="48" t="s">
        <v>28</v>
      </c>
      <c r="J528" s="34"/>
      <c r="K528" s="22"/>
      <c r="L528" s="22"/>
      <c r="M528" s="22"/>
      <c r="N528" s="22"/>
      <c r="O528" s="22"/>
      <c r="P528" s="22"/>
    </row>
    <row customHeight="true" ht="18.452380952380953" r="529">
      <c r="A529" s="341" t="s">
        <v>347</v>
      </c>
      <c r="B529" s="342">
        <v>46301</v>
      </c>
      <c r="C529" s="341" t="str">
        <v>Tuesday</v>
      </c>
      <c r="D529" s="343" t="s">
        <v>359</v>
      </c>
      <c r="E529" s="344">
        <f t="shared" si="99"/>
      </c>
      <c r="F529" s="346" t="s">
        <v>350</v>
      </c>
      <c r="G529" s="122"/>
      <c r="H529" s="20" t="s">
        <v>30</v>
      </c>
      <c r="I529" s="48" t="s">
        <v>8</v>
      </c>
      <c r="J529" s="34"/>
      <c r="K529" s="22"/>
      <c r="L529" s="22"/>
      <c r="M529" s="22"/>
      <c r="N529" s="22"/>
      <c r="O529" s="22"/>
      <c r="P529" s="22"/>
    </row>
    <row customHeight="true" ht="18.452380952380953" r="530">
      <c r="A530" s="341" t="s">
        <v>347</v>
      </c>
      <c r="B530" s="342">
        <v>46301</v>
      </c>
      <c r="C530" s="341" t="str">
        <v>Tuesday</v>
      </c>
      <c r="D530" s="343" t="s">
        <v>351</v>
      </c>
      <c r="E530" s="344">
        <f t="shared" si="99"/>
      </c>
      <c r="F530" s="346" t="s">
        <v>137</v>
      </c>
      <c r="G530" s="313"/>
      <c r="H530" s="20" t="s">
        <v>30</v>
      </c>
      <c r="I530" s="48" t="s">
        <v>28</v>
      </c>
      <c r="J530" s="34"/>
      <c r="K530" s="22"/>
      <c r="L530" s="22"/>
      <c r="M530" s="22"/>
      <c r="N530" s="22"/>
      <c r="O530" s="22"/>
      <c r="P530" s="22"/>
    </row>
    <row customHeight="true" ht="18.452380952380953" r="531">
      <c r="A531" s="341"/>
      <c r="B531" s="341"/>
      <c r="C531" s="341"/>
      <c r="D531" s="344"/>
      <c r="E531" s="344"/>
      <c r="F531" s="346"/>
      <c r="G531" s="339"/>
      <c r="H531" s="20"/>
      <c r="I531" s="48"/>
      <c r="J531" s="34"/>
      <c r="K531" s="22"/>
      <c r="L531" s="22"/>
      <c r="M531" s="22"/>
      <c r="N531" s="22"/>
      <c r="O531" s="22"/>
      <c r="P531" s="22"/>
    </row>
    <row customHeight="true" ht="18.452380952380953" r="532">
      <c r="A532" s="348" t="s">
        <v>352</v>
      </c>
      <c r="B532" s="342">
        <v>46301</v>
      </c>
      <c r="C532" s="348" t="str">
        <v>Tuesday</v>
      </c>
      <c r="D532" s="343" t="s">
        <v>348</v>
      </c>
      <c r="E532" s="349">
        <f t="shared" ref="E532:E536" si="100">24*MOD(TIMEVALUE(TRIM(MID(D532,FIND("-",D532)+1,LEN(D532)))) - TIMEVALUE(TRIM(LEFT(D532,FIND("-",D532)-1))),1)</f>
      </c>
      <c r="F532" s="345" t="s">
        <v>353</v>
      </c>
      <c r="G532" s="338"/>
      <c r="H532" s="20" t="s">
        <v>30</v>
      </c>
      <c r="I532" s="48" t="s">
        <v>8</v>
      </c>
      <c r="J532" s="34"/>
      <c r="K532" s="22"/>
      <c r="L532" s="22"/>
      <c r="M532" s="22"/>
      <c r="N532" s="22"/>
      <c r="O532" s="22"/>
      <c r="P532" s="22"/>
    </row>
    <row customHeight="true" ht="18.452380952380953" r="533">
      <c r="A533" s="341" t="s">
        <v>352</v>
      </c>
      <c r="B533" s="342">
        <v>46301</v>
      </c>
      <c r="C533" s="348" t="str">
        <v>Tuesday</v>
      </c>
      <c r="D533" s="343" t="s">
        <v>360</v>
      </c>
      <c r="E533" s="350">
        <f t="shared" si="100"/>
      </c>
      <c r="F533" s="345" t="s">
        <v>354</v>
      </c>
      <c r="G533" s="339"/>
      <c r="H533" s="20" t="s">
        <v>30</v>
      </c>
      <c r="I533" s="48" t="s">
        <v>28</v>
      </c>
      <c r="J533" s="34"/>
      <c r="K533" s="22"/>
      <c r="L533" s="22"/>
      <c r="M533" s="22"/>
      <c r="N533" s="22"/>
      <c r="O533" s="22"/>
      <c r="P533" s="22"/>
    </row>
    <row customHeight="true" ht="18.452380952380953" r="534">
      <c r="A534" s="341" t="s">
        <v>352</v>
      </c>
      <c r="B534" s="342">
        <v>46301</v>
      </c>
      <c r="C534" s="348" t="str">
        <v>Tuesday</v>
      </c>
      <c r="D534" s="343" t="s">
        <v>217</v>
      </c>
      <c r="E534" s="350">
        <f t="shared" si="100"/>
      </c>
      <c r="F534" s="345" t="s">
        <v>356</v>
      </c>
      <c r="G534" s="339"/>
      <c r="H534" s="20" t="s">
        <v>30</v>
      </c>
      <c r="I534" s="48" t="s">
        <v>8</v>
      </c>
      <c r="J534" s="34"/>
      <c r="K534" s="22"/>
      <c r="L534" s="22"/>
      <c r="M534" s="22"/>
      <c r="N534" s="22"/>
      <c r="O534" s="22"/>
      <c r="P534" s="22"/>
    </row>
    <row customHeight="true" ht="18.452380952380953" r="535">
      <c r="A535" s="341" t="s">
        <v>352</v>
      </c>
      <c r="B535" s="342">
        <v>46301</v>
      </c>
      <c r="C535" s="348" t="str">
        <v>Tuesday</v>
      </c>
      <c r="D535" s="343" t="s">
        <v>361</v>
      </c>
      <c r="E535" s="350">
        <f t="shared" si="100"/>
      </c>
      <c r="F535" s="345" t="s">
        <v>264</v>
      </c>
      <c r="G535" s="338"/>
      <c r="H535" s="20" t="s">
        <v>30</v>
      </c>
      <c r="I535" s="48" t="s">
        <v>28</v>
      </c>
      <c r="J535" s="34"/>
      <c r="K535" s="22"/>
      <c r="L535" s="22"/>
      <c r="M535" s="22"/>
      <c r="N535" s="22"/>
      <c r="O535" s="22"/>
      <c r="P535" s="22"/>
    </row>
    <row customHeight="true" ht="18.452380952380953" r="536">
      <c r="A536" s="341" t="s">
        <v>352</v>
      </c>
      <c r="B536" s="342">
        <v>46301</v>
      </c>
      <c r="C536" s="348" t="str">
        <v>Tuesday</v>
      </c>
      <c r="D536" s="343" t="s">
        <v>362</v>
      </c>
      <c r="E536" s="350">
        <f t="shared" si="100"/>
      </c>
      <c r="F536" s="345" t="s">
        <v>356</v>
      </c>
      <c r="G536" s="339"/>
      <c r="H536" s="20" t="s">
        <v>30</v>
      </c>
      <c r="I536" s="48" t="s">
        <v>8</v>
      </c>
      <c r="J536" s="34"/>
      <c r="K536" s="22"/>
      <c r="L536" s="22"/>
      <c r="M536" s="22"/>
      <c r="N536" s="22"/>
      <c r="O536" s="22"/>
      <c r="P536" s="22"/>
    </row>
    <row customHeight="true" ht="18.452380952380953" r="537">
      <c r="A537" s="341"/>
      <c r="B537" s="342"/>
      <c r="C537" s="341"/>
      <c r="D537" s="351"/>
      <c r="E537" s="349"/>
      <c r="F537" s="345"/>
      <c r="G537" s="339"/>
      <c r="H537" s="20"/>
      <c r="I537" s="48"/>
      <c r="J537" s="34"/>
      <c r="K537" s="22"/>
      <c r="L537" s="22"/>
      <c r="M537" s="22"/>
      <c r="N537" s="22"/>
      <c r="O537" s="22"/>
      <c r="P537" s="22"/>
    </row>
    <row customHeight="true" ht="18.452380952380953" r="538">
      <c r="A538" s="43" t="s">
        <v>347</v>
      </c>
      <c r="B538" s="26">
        <v>46305</v>
      </c>
      <c r="C538" s="43" t="str">
        <v>Saturday</v>
      </c>
      <c r="D538" s="145" t="s">
        <v>348</v>
      </c>
      <c r="E538" s="46">
        <f t="shared" ref="E538:E543" si="101">24*MOD(TIMEVALUE(TRIM(MID(D538,FIND("-",D538)+1,LEN(D538)))) - TIMEVALUE(TRIM(LEFT(D538,FIND("-",D538)-1))),1)</f>
      </c>
      <c r="F538" s="337" t="s">
        <v>152</v>
      </c>
      <c r="G538" s="352"/>
      <c r="H538" s="20" t="s">
        <v>30</v>
      </c>
      <c r="I538" s="177" t="s">
        <v>8</v>
      </c>
      <c r="J538" s="46"/>
      <c r="K538" s="22"/>
      <c r="L538" s="22"/>
      <c r="M538" s="22"/>
      <c r="N538" s="22"/>
      <c r="O538" s="22"/>
      <c r="P538" s="22"/>
    </row>
    <row customHeight="true" ht="18.452380952380953" r="539">
      <c r="A539" s="43" t="s">
        <v>347</v>
      </c>
      <c r="B539" s="26">
        <v>46305</v>
      </c>
      <c r="C539" s="43" t="str">
        <v>Saturday</v>
      </c>
      <c r="D539" s="145" t="s">
        <v>242</v>
      </c>
      <c r="E539" s="20">
        <f t="shared" si="101"/>
      </c>
      <c r="F539" s="336" t="s">
        <v>193</v>
      </c>
      <c r="G539" s="353"/>
      <c r="H539" s="20" t="s">
        <v>30</v>
      </c>
      <c r="I539" s="48" t="s">
        <v>28</v>
      </c>
      <c r="J539" s="354"/>
      <c r="K539" s="22"/>
      <c r="L539" s="22"/>
      <c r="M539" s="22"/>
      <c r="N539" s="22"/>
      <c r="O539" s="22"/>
      <c r="P539" s="22"/>
    </row>
    <row customHeight="true" ht="18.452380952380953" r="540">
      <c r="A540" s="43" t="s">
        <v>347</v>
      </c>
      <c r="B540" s="26">
        <v>46305</v>
      </c>
      <c r="C540" s="43" t="str">
        <v>Saturday</v>
      </c>
      <c r="D540" s="145" t="s">
        <v>175</v>
      </c>
      <c r="E540" s="20">
        <f t="shared" si="101"/>
      </c>
      <c r="F540" s="336" t="s">
        <v>137</v>
      </c>
      <c r="G540" s="338"/>
      <c r="H540" s="20" t="s">
        <v>30</v>
      </c>
      <c r="I540" s="48" t="s">
        <v>28</v>
      </c>
      <c r="J540" s="354"/>
      <c r="K540" s="22"/>
      <c r="L540" s="22"/>
      <c r="M540" s="22"/>
      <c r="N540" s="22"/>
      <c r="O540" s="22"/>
      <c r="P540" s="22"/>
    </row>
    <row customHeight="true" ht="18.452380952380953" r="541">
      <c r="A541" s="43" t="s">
        <v>347</v>
      </c>
      <c r="B541" s="26">
        <v>46305</v>
      </c>
      <c r="C541" s="43" t="str">
        <v>Saturday</v>
      </c>
      <c r="D541" s="145" t="s">
        <v>173</v>
      </c>
      <c r="E541" s="20">
        <f t="shared" si="101"/>
      </c>
      <c r="F541" s="336" t="s">
        <v>193</v>
      </c>
      <c r="G541" s="338"/>
      <c r="H541" s="20" t="s">
        <v>30</v>
      </c>
      <c r="I541" s="48" t="s">
        <v>28</v>
      </c>
      <c r="J541" s="354"/>
      <c r="K541" s="22"/>
      <c r="L541" s="22"/>
      <c r="M541" s="22"/>
      <c r="N541" s="22"/>
      <c r="O541" s="22"/>
      <c r="P541" s="22"/>
    </row>
    <row customHeight="true" ht="18.452380952380953" r="542">
      <c r="A542" s="43" t="s">
        <v>347</v>
      </c>
      <c r="B542" s="26">
        <v>46305</v>
      </c>
      <c r="C542" s="43" t="str">
        <v>Saturday</v>
      </c>
      <c r="D542" s="145" t="s">
        <v>359</v>
      </c>
      <c r="E542" s="20">
        <f t="shared" si="101"/>
      </c>
      <c r="F542" s="336" t="s">
        <v>137</v>
      </c>
      <c r="G542" s="353"/>
      <c r="H542" s="20" t="s">
        <v>30</v>
      </c>
      <c r="I542" s="48" t="s">
        <v>28</v>
      </c>
      <c r="J542" s="354"/>
      <c r="K542" s="22"/>
      <c r="L542" s="22"/>
      <c r="M542" s="22"/>
      <c r="N542" s="22"/>
      <c r="O542" s="22"/>
      <c r="P542" s="22"/>
    </row>
    <row customHeight="true" ht="18.452380952380953" r="543">
      <c r="A543" s="43" t="s">
        <v>347</v>
      </c>
      <c r="B543" s="26">
        <v>46305</v>
      </c>
      <c r="C543" s="43" t="str">
        <v>Saturday</v>
      </c>
      <c r="D543" s="145" t="s">
        <v>362</v>
      </c>
      <c r="E543" s="20">
        <f t="shared" si="101"/>
      </c>
      <c r="F543" s="48" t="s">
        <v>363</v>
      </c>
      <c r="G543" s="353"/>
      <c r="H543" s="20" t="s">
        <v>30</v>
      </c>
      <c r="I543" s="48" t="s">
        <v>28</v>
      </c>
      <c r="J543" s="354"/>
      <c r="K543" s="22"/>
      <c r="L543" s="22"/>
      <c r="M543" s="22"/>
      <c r="N543" s="22"/>
      <c r="O543" s="22"/>
      <c r="P543" s="22"/>
    </row>
    <row customHeight="true" ht="18.452380952380953" r="544">
      <c r="A544" s="43"/>
      <c r="B544" s="26"/>
      <c r="C544" s="43"/>
      <c r="D544" s="145"/>
      <c r="E544" s="20"/>
      <c r="F544" s="336"/>
      <c r="G544" s="353"/>
      <c r="H544" s="20"/>
      <c r="I544" s="48"/>
      <c r="J544" s="354"/>
      <c r="K544" s="22"/>
      <c r="L544" s="22"/>
      <c r="M544" s="22"/>
      <c r="N544" s="22"/>
      <c r="O544" s="22"/>
      <c r="P544" s="22"/>
    </row>
    <row customHeight="true" ht="18.452380952380953" r="545">
      <c r="A545" s="43" t="s">
        <v>352</v>
      </c>
      <c r="B545" s="26">
        <v>46305</v>
      </c>
      <c r="C545" s="43" t="str">
        <v>Saturday</v>
      </c>
      <c r="D545" s="145" t="s">
        <v>348</v>
      </c>
      <c r="E545" s="193">
        <f t="shared" ref="E545:E550" si="102">24*MOD(TIMEVALUE(TRIM(MID(D545,FIND("-",D545)+1,LEN(D545)))) - TIMEVALUE(TRIM(LEFT(D545,FIND("-",D545)-1))),1)</f>
      </c>
      <c r="F545" s="119" t="s">
        <v>364</v>
      </c>
      <c r="G545" s="355"/>
      <c r="H545" s="20" t="s">
        <v>30</v>
      </c>
      <c r="I545" s="48" t="s">
        <v>28</v>
      </c>
      <c r="J545" s="354"/>
      <c r="K545" s="22"/>
      <c r="L545" s="22"/>
      <c r="M545" s="22"/>
      <c r="N545" s="22"/>
      <c r="O545" s="22"/>
      <c r="P545" s="22"/>
    </row>
    <row customHeight="true" ht="18.452380952380953" r="546">
      <c r="A546" s="43" t="s">
        <v>352</v>
      </c>
      <c r="B546" s="26">
        <v>46305</v>
      </c>
      <c r="C546" s="43" t="str">
        <v>Saturday</v>
      </c>
      <c r="D546" s="145" t="s">
        <v>221</v>
      </c>
      <c r="E546" s="193">
        <f t="shared" si="102"/>
      </c>
      <c r="F546" s="119" t="s">
        <v>365</v>
      </c>
      <c r="G546" s="355"/>
      <c r="H546" s="20" t="s">
        <v>30</v>
      </c>
      <c r="I546" s="48" t="s">
        <v>28</v>
      </c>
      <c r="J546" s="354"/>
      <c r="K546" s="22"/>
      <c r="L546" s="22"/>
      <c r="M546" s="22"/>
      <c r="N546" s="22"/>
      <c r="O546" s="22"/>
      <c r="P546" s="22"/>
    </row>
    <row customHeight="true" ht="18.452380952380953" r="547">
      <c r="A547" s="43" t="s">
        <v>352</v>
      </c>
      <c r="B547" s="26">
        <v>46305</v>
      </c>
      <c r="C547" s="43" t="str">
        <v>Saturday</v>
      </c>
      <c r="D547" s="145" t="s">
        <v>301</v>
      </c>
      <c r="E547" s="193">
        <f t="shared" si="102"/>
      </c>
      <c r="F547" s="119" t="s">
        <v>364</v>
      </c>
      <c r="G547" s="353" t="s">
        <v>366</v>
      </c>
      <c r="H547" s="20" t="s">
        <v>30</v>
      </c>
      <c r="I547" s="48" t="s">
        <v>28</v>
      </c>
      <c r="J547" s="354"/>
      <c r="K547" s="22"/>
      <c r="L547" s="22"/>
      <c r="M547" s="22"/>
      <c r="N547" s="22"/>
      <c r="O547" s="22"/>
      <c r="P547" s="22"/>
    </row>
    <row customHeight="true" ht="18.452380952380953" r="548">
      <c r="A548" s="43" t="s">
        <v>352</v>
      </c>
      <c r="B548" s="26">
        <v>46305</v>
      </c>
      <c r="C548" s="43" t="str">
        <v>Saturday</v>
      </c>
      <c r="D548" s="145" t="s">
        <v>217</v>
      </c>
      <c r="E548" s="193">
        <f t="shared" si="102"/>
      </c>
      <c r="F548" s="119" t="s">
        <v>356</v>
      </c>
      <c r="G548" s="355"/>
      <c r="H548" s="20" t="s">
        <v>30</v>
      </c>
      <c r="I548" s="48" t="s">
        <v>8</v>
      </c>
      <c r="J548" s="354"/>
      <c r="K548" s="22"/>
      <c r="L548" s="22"/>
      <c r="M548" s="22"/>
      <c r="N548" s="22"/>
      <c r="O548" s="22"/>
      <c r="P548" s="22"/>
    </row>
    <row customHeight="true" ht="18.452380952380953" r="549">
      <c r="A549" s="43" t="s">
        <v>352</v>
      </c>
      <c r="B549" s="26">
        <v>46305</v>
      </c>
      <c r="C549" s="43" t="str">
        <v>Saturday</v>
      </c>
      <c r="D549" s="145" t="s">
        <v>282</v>
      </c>
      <c r="E549" s="193">
        <f t="shared" si="102"/>
      </c>
      <c r="F549" s="119" t="s">
        <v>367</v>
      </c>
      <c r="G549" s="355"/>
      <c r="H549" s="20" t="s">
        <v>30</v>
      </c>
      <c r="I549" s="48" t="s">
        <v>8</v>
      </c>
      <c r="J549" s="354"/>
      <c r="K549" s="22"/>
      <c r="L549" s="22"/>
      <c r="M549" s="22"/>
      <c r="N549" s="22"/>
      <c r="O549" s="22"/>
      <c r="P549" s="22"/>
    </row>
    <row customHeight="true" ht="18.452380952380953" r="550">
      <c r="A550" s="43" t="s">
        <v>352</v>
      </c>
      <c r="B550" s="26">
        <v>46305</v>
      </c>
      <c r="C550" s="43" t="str">
        <v>Saturday</v>
      </c>
      <c r="D550" s="145" t="s">
        <v>368</v>
      </c>
      <c r="E550" s="193">
        <f t="shared" si="102"/>
      </c>
      <c r="F550" s="119" t="s">
        <v>356</v>
      </c>
      <c r="G550" s="355"/>
      <c r="H550" s="20" t="s">
        <v>30</v>
      </c>
      <c r="I550" s="48" t="s">
        <v>8</v>
      </c>
      <c r="J550" s="354"/>
      <c r="K550" s="22"/>
      <c r="L550" s="22"/>
      <c r="M550" s="22"/>
      <c r="N550" s="22"/>
      <c r="O550" s="22"/>
      <c r="P550" s="22"/>
    </row>
    <row customHeight="true" ht="18.452380952380953" r="551">
      <c r="A551" s="43"/>
      <c r="B551" s="43"/>
      <c r="C551" s="43"/>
      <c r="D551" s="145"/>
      <c r="E551" s="193"/>
      <c r="F551" s="119"/>
      <c r="G551" s="355"/>
      <c r="H551" s="20"/>
      <c r="I551" s="48"/>
      <c r="J551" s="354"/>
      <c r="K551" s="22"/>
      <c r="L551" s="22"/>
      <c r="M551" s="22"/>
      <c r="N551" s="22"/>
      <c r="O551" s="22"/>
      <c r="P551" s="22"/>
    </row>
    <row customHeight="true" ht="18.452380952380953" r="552">
      <c r="A552" s="341" t="s">
        <v>347</v>
      </c>
      <c r="B552" s="342">
        <v>46306</v>
      </c>
      <c r="C552" s="341" t="str">
        <v>Sunday</v>
      </c>
      <c r="D552" s="343" t="s">
        <v>369</v>
      </c>
      <c r="E552" s="344">
        <f t="shared" ref="E552:E557" si="103">24*MOD(TIMEVALUE(TRIM(MID(D552,FIND("-",D552)+1,LEN(D552)))) - TIMEVALUE(TRIM(LEFT(D552,FIND("-",D552)-1))),1)</f>
      </c>
      <c r="F552" s="345" t="s">
        <v>137</v>
      </c>
      <c r="G552" s="356"/>
      <c r="H552" s="20" t="s">
        <v>30</v>
      </c>
      <c r="I552" s="48" t="s">
        <v>28</v>
      </c>
      <c r="J552" s="354"/>
      <c r="K552" s="22"/>
      <c r="L552" s="22"/>
      <c r="M552" s="22"/>
      <c r="N552" s="22"/>
      <c r="O552" s="22"/>
      <c r="P552" s="22"/>
    </row>
    <row customHeight="true" ht="18.452380952380953" r="553">
      <c r="A553" s="341" t="s">
        <v>347</v>
      </c>
      <c r="B553" s="342">
        <v>46306</v>
      </c>
      <c r="C553" s="341" t="str">
        <v>Sunday</v>
      </c>
      <c r="D553" s="343" t="s">
        <v>138</v>
      </c>
      <c r="E553" s="344">
        <f t="shared" si="103"/>
      </c>
      <c r="F553" s="345" t="s">
        <v>363</v>
      </c>
      <c r="G553" s="356"/>
      <c r="H553" s="20" t="s">
        <v>30</v>
      </c>
      <c r="I553" s="48" t="s">
        <v>28</v>
      </c>
      <c r="J553" s="354"/>
      <c r="K553" s="22"/>
      <c r="L553" s="22"/>
      <c r="M553" s="22"/>
      <c r="N553" s="22"/>
      <c r="O553" s="22"/>
      <c r="P553" s="22"/>
    </row>
    <row customHeight="true" ht="18.452380952380953" r="554">
      <c r="A554" s="341" t="s">
        <v>347</v>
      </c>
      <c r="B554" s="342">
        <v>46306</v>
      </c>
      <c r="C554" s="341" t="str">
        <v>Sunday</v>
      </c>
      <c r="D554" s="351" t="s">
        <v>281</v>
      </c>
      <c r="E554" s="344">
        <f t="shared" si="103"/>
      </c>
      <c r="F554" s="345" t="s">
        <v>137</v>
      </c>
      <c r="G554" s="357"/>
      <c r="H554" s="20" t="s">
        <v>30</v>
      </c>
      <c r="I554" s="48" t="s">
        <v>28</v>
      </c>
      <c r="J554" s="354"/>
      <c r="K554" s="194"/>
      <c r="L554" s="194"/>
      <c r="M554" s="194"/>
      <c r="N554" s="194"/>
      <c r="O554" s="194"/>
      <c r="P554" s="194"/>
      <c r="Q554" s="53"/>
      <c r="R554" s="53"/>
    </row>
    <row customHeight="true" ht="18.452380952380953" r="555">
      <c r="A555" s="341" t="s">
        <v>347</v>
      </c>
      <c r="B555" s="342">
        <v>46306</v>
      </c>
      <c r="C555" s="341" t="str">
        <v>Sunday</v>
      </c>
      <c r="D555" s="343" t="s">
        <v>217</v>
      </c>
      <c r="E555" s="344">
        <f t="shared" si="103"/>
      </c>
      <c r="F555" s="345" t="s">
        <v>350</v>
      </c>
      <c r="G555" s="356"/>
      <c r="H555" s="20" t="s">
        <v>30</v>
      </c>
      <c r="I555" s="48" t="s">
        <v>8</v>
      </c>
      <c r="J555" s="354"/>
      <c r="K555" s="22"/>
      <c r="L555" s="22"/>
      <c r="M555" s="22"/>
      <c r="N555" s="22"/>
      <c r="O555" s="22"/>
      <c r="P555" s="22"/>
    </row>
    <row customHeight="true" ht="18.452380952380953" r="556">
      <c r="A556" s="341" t="s">
        <v>347</v>
      </c>
      <c r="B556" s="342">
        <v>46306</v>
      </c>
      <c r="C556" s="341" t="str">
        <v>Sunday</v>
      </c>
      <c r="D556" s="343" t="s">
        <v>317</v>
      </c>
      <c r="E556" s="344">
        <f t="shared" si="103"/>
      </c>
      <c r="F556" s="347" t="s">
        <v>370</v>
      </c>
      <c r="G556" s="356"/>
      <c r="H556" s="20" t="s">
        <v>30</v>
      </c>
      <c r="I556" s="48" t="s">
        <v>8</v>
      </c>
      <c r="J556" s="354"/>
      <c r="K556" s="22"/>
      <c r="L556" s="22"/>
      <c r="M556" s="22"/>
      <c r="N556" s="22"/>
      <c r="O556" s="22"/>
      <c r="P556" s="22"/>
    </row>
    <row customHeight="true" ht="18.452380952380953" r="557">
      <c r="A557" s="341" t="s">
        <v>347</v>
      </c>
      <c r="B557" s="342">
        <v>46306</v>
      </c>
      <c r="C557" s="341" t="str">
        <v>Sunday</v>
      </c>
      <c r="D557" s="343" t="s">
        <v>371</v>
      </c>
      <c r="E557" s="344">
        <f t="shared" si="103"/>
      </c>
      <c r="F557" s="345" t="s">
        <v>363</v>
      </c>
      <c r="G557" s="356"/>
      <c r="H557" s="20" t="s">
        <v>30</v>
      </c>
      <c r="I557" s="48" t="s">
        <v>28</v>
      </c>
      <c r="J557" s="354"/>
      <c r="K557" s="22"/>
      <c r="L557" s="22"/>
      <c r="M557" s="22"/>
      <c r="N557" s="22"/>
      <c r="O557" s="22"/>
      <c r="P557" s="22"/>
    </row>
    <row customHeight="true" ht="18.452380952380953" r="558">
      <c r="A558" s="341"/>
      <c r="B558" s="342"/>
      <c r="C558" s="341"/>
      <c r="D558" s="351"/>
      <c r="E558" s="344"/>
      <c r="F558" s="347"/>
      <c r="G558" s="356"/>
      <c r="H558" s="20"/>
      <c r="I558" s="48"/>
      <c r="J558" s="354"/>
      <c r="K558" s="22"/>
      <c r="L558" s="22"/>
      <c r="M558" s="22"/>
      <c r="N558" s="22"/>
      <c r="O558" s="22"/>
      <c r="P558" s="22"/>
    </row>
    <row customHeight="true" ht="18.452380952380953" r="559">
      <c r="A559" s="341" t="s">
        <v>352</v>
      </c>
      <c r="B559" s="342">
        <v>46306</v>
      </c>
      <c r="C559" s="348" t="str">
        <v>Sunday</v>
      </c>
      <c r="D559" s="351" t="s">
        <v>348</v>
      </c>
      <c r="E559" s="349">
        <f t="shared" ref="E559:E563" si="104">24*MOD(TIMEVALUE(TRIM(MID(D559,FIND("-",D559)+1,LEN(D559)))) - TIMEVALUE(TRIM(LEFT(D559,FIND("-",D559)-1))),1)</f>
      </c>
      <c r="F559" s="345" t="s">
        <v>364</v>
      </c>
      <c r="G559" s="357"/>
      <c r="H559" s="20" t="s">
        <v>30</v>
      </c>
      <c r="I559" s="48" t="s">
        <v>28</v>
      </c>
      <c r="J559" s="354"/>
      <c r="K559" s="22"/>
      <c r="L559" s="22"/>
      <c r="M559" s="22"/>
      <c r="N559" s="22"/>
      <c r="O559" s="22"/>
      <c r="P559" s="22"/>
    </row>
    <row customHeight="true" ht="18.452380952380953" r="560">
      <c r="A560" s="341" t="s">
        <v>352</v>
      </c>
      <c r="B560" s="342">
        <v>46306</v>
      </c>
      <c r="C560" s="348" t="str">
        <v>Sunday</v>
      </c>
      <c r="D560" s="351" t="s">
        <v>360</v>
      </c>
      <c r="E560" s="349">
        <f t="shared" si="104"/>
      </c>
      <c r="F560" s="344" t="s">
        <v>365</v>
      </c>
      <c r="G560" s="358"/>
      <c r="H560" s="233" t="s">
        <v>30</v>
      </c>
      <c r="I560" s="48" t="s">
        <v>28</v>
      </c>
      <c r="J560" s="354"/>
      <c r="K560" s="22"/>
      <c r="L560" s="22"/>
      <c r="M560" s="22"/>
      <c r="N560" s="22"/>
      <c r="O560" s="22"/>
      <c r="P560" s="22"/>
    </row>
    <row customHeight="true" ht="18.452380952380953" r="561">
      <c r="A561" s="341" t="s">
        <v>352</v>
      </c>
      <c r="B561" s="342">
        <v>46306</v>
      </c>
      <c r="C561" s="348" t="str">
        <v>Sunday</v>
      </c>
      <c r="D561" s="351" t="s">
        <v>259</v>
      </c>
      <c r="E561" s="349">
        <f t="shared" si="104"/>
      </c>
      <c r="F561" s="345" t="s">
        <v>356</v>
      </c>
      <c r="G561" s="356"/>
      <c r="H561" s="20" t="s">
        <v>30</v>
      </c>
      <c r="I561" s="48" t="s">
        <v>8</v>
      </c>
      <c r="J561" s="354"/>
      <c r="K561" s="22"/>
      <c r="L561" s="22"/>
      <c r="M561" s="22"/>
      <c r="N561" s="22"/>
      <c r="O561" s="22"/>
      <c r="P561" s="22"/>
    </row>
    <row customHeight="true" ht="18.452380952380953" r="562">
      <c r="A562" s="341" t="s">
        <v>352</v>
      </c>
      <c r="B562" s="342">
        <v>46306</v>
      </c>
      <c r="C562" s="348" t="str">
        <v>Sunday</v>
      </c>
      <c r="D562" s="351" t="s">
        <v>310</v>
      </c>
      <c r="E562" s="349">
        <f t="shared" si="104"/>
      </c>
      <c r="F562" s="345" t="s">
        <v>367</v>
      </c>
      <c r="G562" s="357"/>
      <c r="H562" s="20" t="s">
        <v>30</v>
      </c>
      <c r="I562" s="48" t="s">
        <v>8</v>
      </c>
      <c r="J562" s="354"/>
      <c r="K562" s="22"/>
      <c r="L562" s="22"/>
      <c r="M562" s="22"/>
      <c r="N562" s="22"/>
      <c r="O562" s="22"/>
      <c r="P562" s="22"/>
    </row>
    <row customHeight="true" ht="18.452380952380953" r="563">
      <c r="A563" s="341" t="s">
        <v>352</v>
      </c>
      <c r="B563" s="342">
        <v>46306</v>
      </c>
      <c r="C563" s="348" t="str">
        <v>Sunday</v>
      </c>
      <c r="D563" s="351" t="s">
        <v>368</v>
      </c>
      <c r="E563" s="349">
        <f t="shared" si="104"/>
      </c>
      <c r="F563" s="345" t="s">
        <v>356</v>
      </c>
      <c r="G563" s="357"/>
      <c r="H563" s="20"/>
      <c r="I563" s="82" t="s">
        <v>8</v>
      </c>
      <c r="J563" s="354"/>
      <c r="K563" s="22"/>
      <c r="L563" s="22"/>
      <c r="M563" s="22"/>
      <c r="N563" s="22"/>
      <c r="O563" s="22"/>
      <c r="P563" s="22"/>
    </row>
    <row customHeight="true" ht="16.071428571428573" r="564">
      <c r="A564" s="359"/>
      <c r="B564" s="144"/>
      <c r="C564" s="43"/>
      <c r="D564" s="20"/>
      <c r="E564" s="20"/>
      <c r="F564" s="20"/>
      <c r="G564" s="360"/>
      <c r="H564" s="20"/>
      <c r="I564" s="119"/>
      <c r="J564" s="361"/>
      <c r="K564" s="22"/>
      <c r="L564" s="22"/>
      <c r="M564" s="22"/>
      <c r="N564" s="22"/>
      <c r="O564" s="22"/>
      <c r="P564" s="22"/>
    </row>
    <row customHeight="true" ht="16.071428571428573" r="565">
      <c r="A565" s="359"/>
      <c r="B565" s="144"/>
      <c r="C565" s="43"/>
      <c r="D565" s="20"/>
      <c r="E565" s="20"/>
      <c r="F565" s="20"/>
      <c r="G565" s="360"/>
      <c r="H565" s="20"/>
      <c r="I565" s="119"/>
      <c r="J565" s="361"/>
      <c r="K565" s="22"/>
      <c r="L565" s="22"/>
      <c r="M565" s="22"/>
      <c r="N565" s="22"/>
      <c r="O565" s="22"/>
      <c r="P565" s="22"/>
    </row>
    <row r="566">
      <c r="A566" s="362"/>
      <c r="B566" s="362"/>
      <c r="C566" s="362"/>
      <c r="D566" s="152"/>
      <c r="E566" s="362"/>
      <c r="F566" s="362"/>
      <c r="G566" s="363"/>
      <c r="H566" s="362"/>
      <c r="I566" s="362"/>
      <c r="J566" s="362"/>
      <c r="K566" s="22"/>
      <c r="L566" s="22"/>
      <c r="M566" s="22"/>
      <c r="N566" s="22"/>
      <c r="O566" s="22"/>
      <c r="P566" s="22"/>
    </row>
    <row r="567">
      <c r="A567" s="330" t="s">
        <v>372</v>
      </c>
      <c r="B567" s="330"/>
      <c r="C567" s="330"/>
      <c r="D567" s="330"/>
      <c r="E567" s="330"/>
      <c r="F567" s="330"/>
      <c r="G567" s="330"/>
      <c r="H567" s="330"/>
      <c r="I567" s="330"/>
      <c r="J567" s="364"/>
      <c r="K567" s="57"/>
      <c r="L567" s="57"/>
      <c r="M567" s="57"/>
      <c r="N567" s="57"/>
      <c r="O567" s="57"/>
      <c r="P567" s="57"/>
    </row>
    <row r="568">
      <c r="A568" s="332" t="s">
        <v>16</v>
      </c>
      <c r="B568" s="157" t="s">
        <v>17</v>
      </c>
      <c r="C568" s="157"/>
      <c r="D568" s="159" t="s">
        <v>18</v>
      </c>
      <c r="E568" s="333" t="s">
        <v>19</v>
      </c>
      <c r="F568" s="333" t="s">
        <v>20</v>
      </c>
      <c r="G568" s="334" t="s">
        <v>33</v>
      </c>
      <c r="H568" s="333" t="s">
        <v>22</v>
      </c>
      <c r="I568" s="333" t="s">
        <v>23</v>
      </c>
      <c r="J568" s="162" t="s">
        <v>24</v>
      </c>
      <c r="K568" s="42"/>
      <c r="L568" s="42"/>
      <c r="M568" s="42"/>
      <c r="N568" s="42"/>
      <c r="O568" s="42"/>
      <c r="P568" s="42"/>
    </row>
    <row customHeight="true" ht="16.071428571428573" r="569">
      <c r="A569" s="359" t="s">
        <v>373</v>
      </c>
      <c r="B569" s="26">
        <v>46301</v>
      </c>
      <c r="C569" s="43" t="str">
        <v>Tuesday</v>
      </c>
      <c r="D569" s="50" t="s">
        <v>374</v>
      </c>
      <c r="E569" s="20">
        <f t="shared" ref="E569:E572" si="105">24*MOD(TIMEVALUE(TRIM(MID(D569,FIND("-",D569)+1,LEN(D569)))) - TIMEVALUE(TRIM(LEFT(D569,FIND("-",D569)-1))),1)</f>
      </c>
      <c r="F569" s="119" t="s">
        <v>137</v>
      </c>
      <c r="G569" s="365"/>
      <c r="H569" s="20"/>
      <c r="I569" s="82" t="s">
        <v>28</v>
      </c>
      <c r="J569" s="361"/>
      <c r="K569" s="22"/>
      <c r="L569" s="22"/>
      <c r="M569" s="22"/>
      <c r="N569" s="22"/>
      <c r="O569" s="22"/>
      <c r="P569" s="22"/>
    </row>
    <row customHeight="true" ht="16.071428571428573" r="570">
      <c r="A570" s="359" t="s">
        <v>373</v>
      </c>
      <c r="B570" s="26">
        <v>46302</v>
      </c>
      <c r="C570" s="43" t="str">
        <v>Wednesday</v>
      </c>
      <c r="D570" s="50" t="s">
        <v>374</v>
      </c>
      <c r="E570" s="20">
        <f t="shared" si="105"/>
      </c>
      <c r="F570" s="119" t="s">
        <v>370</v>
      </c>
      <c r="G570" s="365"/>
      <c r="H570" s="20"/>
      <c r="I570" s="82" t="s">
        <v>8</v>
      </c>
      <c r="J570" s="361"/>
      <c r="K570" s="22"/>
      <c r="L570" s="22"/>
      <c r="M570" s="22"/>
      <c r="N570" s="22"/>
      <c r="O570" s="22"/>
      <c r="P570" s="22"/>
    </row>
    <row customHeight="true" ht="16.071428571428573" r="571">
      <c r="A571" s="359" t="s">
        <v>375</v>
      </c>
      <c r="B571" s="26">
        <v>46301</v>
      </c>
      <c r="C571" s="43" t="str">
        <v>Tuesday</v>
      </c>
      <c r="D571" s="50" t="s">
        <v>374</v>
      </c>
      <c r="E571" s="20">
        <f t="shared" si="105"/>
      </c>
      <c r="F571" s="119" t="s">
        <v>356</v>
      </c>
      <c r="G571" s="365"/>
      <c r="H571" s="20"/>
      <c r="I571" s="82" t="s">
        <v>8</v>
      </c>
      <c r="J571" s="361"/>
      <c r="K571" s="22"/>
      <c r="L571" s="22"/>
      <c r="M571" s="22"/>
      <c r="N571" s="22"/>
      <c r="O571" s="22"/>
      <c r="P571" s="22"/>
    </row>
    <row customHeight="true" ht="16.071428571428573" r="572">
      <c r="A572" s="359" t="s">
        <v>375</v>
      </c>
      <c r="B572" s="26">
        <v>46302</v>
      </c>
      <c r="C572" s="43" t="str">
        <v>Wednesday</v>
      </c>
      <c r="D572" s="50" t="s">
        <v>374</v>
      </c>
      <c r="E572" s="20">
        <f t="shared" si="105"/>
      </c>
      <c r="F572" s="119" t="s">
        <v>356</v>
      </c>
      <c r="G572" s="365"/>
      <c r="H572" s="20"/>
      <c r="I572" s="82" t="s">
        <v>8</v>
      </c>
      <c r="J572" s="361"/>
      <c r="K572" s="22"/>
      <c r="L572" s="22"/>
      <c r="M572" s="22"/>
      <c r="N572" s="22"/>
      <c r="O572" s="22"/>
      <c r="P572" s="22"/>
    </row>
    <row customHeight="true" ht="16.071428571428573" r="573">
      <c r="A573" s="362"/>
      <c r="B573" s="362"/>
      <c r="C573" s="362"/>
      <c r="D573" s="152"/>
      <c r="E573" s="362"/>
      <c r="F573" s="362"/>
      <c r="G573" s="363"/>
      <c r="H573" s="362"/>
      <c r="I573" s="362"/>
      <c r="J573" s="362"/>
      <c r="K573" s="22"/>
      <c r="L573" s="22"/>
      <c r="M573" s="22"/>
      <c r="N573" s="22"/>
      <c r="O573" s="22"/>
      <c r="P573" s="22"/>
    </row>
    <row customHeight="true" ht="16.071428571428573" r="574">
      <c r="A574" s="362"/>
      <c r="B574" s="362"/>
      <c r="C574" s="362"/>
      <c r="D574" s="152"/>
      <c r="E574" s="362"/>
      <c r="F574" s="362"/>
      <c r="G574" s="363"/>
      <c r="H574" s="362"/>
      <c r="I574" s="362"/>
      <c r="J574" s="362"/>
      <c r="K574" s="22"/>
      <c r="L574" s="22"/>
      <c r="M574" s="22"/>
      <c r="N574" s="22"/>
      <c r="O574" s="22"/>
      <c r="P574" s="22"/>
    </row>
    <row r="575">
      <c r="A575" s="43"/>
      <c r="B575" s="43"/>
      <c r="C575" s="43"/>
      <c r="D575" s="48"/>
      <c r="E575" s="48"/>
      <c r="F575" s="51"/>
      <c r="G575" s="80"/>
      <c r="H575" s="20"/>
      <c r="I575" s="48"/>
      <c r="J575" s="46"/>
      <c r="K575" s="22"/>
      <c r="L575" s="22"/>
      <c r="M575" s="22"/>
      <c r="N575" s="22"/>
      <c r="O575" s="22"/>
      <c r="P575" s="22"/>
    </row>
    <row r="576">
      <c r="A576" s="366" t="s">
        <v>376</v>
      </c>
      <c r="B576" s="366"/>
      <c r="C576" s="366"/>
      <c r="D576" s="366"/>
      <c r="E576" s="366"/>
      <c r="F576" s="366"/>
      <c r="G576" s="366"/>
      <c r="H576" s="366"/>
      <c r="I576" s="366"/>
      <c r="J576" s="367"/>
      <c r="K576" s="57"/>
      <c r="L576" s="57"/>
      <c r="M576" s="57"/>
      <c r="N576" s="57"/>
      <c r="O576" s="57"/>
      <c r="P576" s="57"/>
    </row>
    <row r="577">
      <c r="A577" s="368" t="s">
        <v>16</v>
      </c>
      <c r="B577" s="369" t="s">
        <v>17</v>
      </c>
      <c r="C577" s="369"/>
      <c r="D577" s="370" t="s">
        <v>18</v>
      </c>
      <c r="E577" s="370" t="s">
        <v>19</v>
      </c>
      <c r="F577" s="370" t="s">
        <v>20</v>
      </c>
      <c r="G577" s="371" t="s">
        <v>33</v>
      </c>
      <c r="H577" s="370" t="s">
        <v>22</v>
      </c>
      <c r="I577" s="370" t="s">
        <v>23</v>
      </c>
      <c r="J577" s="372" t="s">
        <v>24</v>
      </c>
      <c r="K577" s="42"/>
      <c r="L577" s="42"/>
      <c r="M577" s="42"/>
      <c r="N577" s="42"/>
      <c r="O577" s="42"/>
      <c r="P577" s="42"/>
    </row>
    <row customHeight="true" ht="18.452380952380953" r="578">
      <c r="A578" s="348" t="s">
        <v>377</v>
      </c>
      <c r="B578" s="373">
        <v>46287</v>
      </c>
      <c r="C578" s="348" t="str">
        <v>Tuesday</v>
      </c>
      <c r="D578" s="343" t="s">
        <v>282</v>
      </c>
      <c r="E578" s="345">
        <f t="shared" ref="E578:E579" si="106">24*MOD(TIMEVALUE(TRIM(MID(D578,FIND("-",D578)+1,LEN(D578)))) - TIMEVALUE(TRIM(LEFT(D578,FIND("-",D578)-1))),1)</f>
      </c>
      <c r="F578" s="345" t="s">
        <v>378</v>
      </c>
      <c r="G578" s="118"/>
      <c r="H578" s="119" t="s">
        <v>7</v>
      </c>
      <c r="I578" s="119" t="s">
        <v>8</v>
      </c>
      <c r="J578" s="195"/>
      <c r="K578" s="22"/>
      <c r="L578" s="22"/>
      <c r="M578" s="22"/>
      <c r="N578" s="22"/>
      <c r="O578" s="22"/>
      <c r="P578" s="22"/>
      <c r="Q578" s="69"/>
      <c r="R578" s="69"/>
    </row>
    <row r="579">
      <c r="A579" s="43" t="s">
        <v>379</v>
      </c>
      <c r="B579" s="26">
        <v>46287</v>
      </c>
      <c r="C579" s="43" t="str">
        <v>Tuesday</v>
      </c>
      <c r="D579" s="16" t="s">
        <v>380</v>
      </c>
      <c r="E579" s="48">
        <f t="shared" si="106"/>
      </c>
      <c r="F579" s="119" t="s">
        <v>381</v>
      </c>
      <c r="G579" s="118"/>
      <c r="H579" s="119" t="s">
        <v>7</v>
      </c>
      <c r="I579" s="119" t="s">
        <v>8</v>
      </c>
      <c r="J579" s="225"/>
      <c r="K579" s="302"/>
      <c r="L579" s="302"/>
      <c r="M579" s="302"/>
      <c r="N579" s="302"/>
      <c r="O579" s="302"/>
      <c r="P579" s="302"/>
    </row>
    <row customHeight="true" ht="18.452380952380953" r="580">
      <c r="A580" s="63"/>
      <c r="B580" s="144"/>
      <c r="C580" s="63"/>
      <c r="D580" s="145"/>
      <c r="E580" s="119"/>
      <c r="F580" s="119"/>
      <c r="G580" s="118"/>
      <c r="H580" s="119"/>
      <c r="I580" s="119"/>
      <c r="J580" s="195"/>
      <c r="K580" s="22"/>
      <c r="L580" s="22"/>
      <c r="M580" s="22"/>
      <c r="N580" s="22"/>
      <c r="O580" s="22"/>
      <c r="P580" s="22"/>
      <c r="Q580" s="69"/>
      <c r="R580" s="69"/>
    </row>
    <row r="581">
      <c r="A581" s="341" t="s">
        <v>377</v>
      </c>
      <c r="B581" s="342">
        <v>46288</v>
      </c>
      <c r="C581" s="341" t="str">
        <v>Wednesday</v>
      </c>
      <c r="D581" s="351" t="s">
        <v>305</v>
      </c>
      <c r="E581" s="344">
        <f>24*MOD(TIMEVALUE(TRIM(MID(D581,FIND("-",D581)+1,LEN(D581)))) - TIMEVALUE(TRIM(LEFT(D581,FIND("-",D581)-1))),1)</f>
      </c>
      <c r="F581" s="344" t="s">
        <v>378</v>
      </c>
      <c r="G581" s="118"/>
      <c r="H581" s="119" t="s">
        <v>7</v>
      </c>
      <c r="I581" s="48"/>
      <c r="J581" s="195"/>
      <c r="K581" s="22"/>
      <c r="L581" s="22"/>
      <c r="M581" s="22"/>
      <c r="N581" s="22"/>
      <c r="O581" s="22"/>
      <c r="P581" s="22"/>
    </row>
    <row customHeight="true" ht="18.452380952380953" r="582">
      <c r="A582" s="374" t="s">
        <v>379</v>
      </c>
      <c r="B582" s="375">
        <v>46288</v>
      </c>
      <c r="C582" s="374" t="str">
        <v>Wednesday</v>
      </c>
      <c r="D582" s="376" t="s">
        <v>382</v>
      </c>
      <c r="E582" s="377">
        <v>3</v>
      </c>
      <c r="F582" s="378" t="s">
        <v>383</v>
      </c>
      <c r="G582" s="122" t="s">
        <v>384</v>
      </c>
      <c r="H582" s="119" t="s">
        <v>7</v>
      </c>
      <c r="I582" s="48"/>
      <c r="J582" s="225" t="s">
        <v>385</v>
      </c>
      <c r="K582" s="22"/>
      <c r="L582" s="22"/>
      <c r="M582" s="22"/>
      <c r="N582" s="22"/>
      <c r="O582" s="22"/>
      <c r="P582" s="22"/>
    </row>
    <row r="583">
      <c r="A583" s="43" t="s">
        <v>379</v>
      </c>
      <c r="B583" s="26">
        <v>46288</v>
      </c>
      <c r="C583" s="43" t="str">
        <v>Wednesday</v>
      </c>
      <c r="D583" s="16" t="s">
        <v>386</v>
      </c>
      <c r="E583" s="48">
        <f>24*MOD(TIMEVALUE(TRIM(MID(D583,FIND("-",D583)+1,LEN(D583)))) - TIMEVALUE(TRIM(LEFT(D583,FIND("-",D583)-1))),1)</f>
      </c>
      <c r="F583" s="119" t="s">
        <v>381</v>
      </c>
      <c r="G583" s="118"/>
      <c r="H583" s="119" t="s">
        <v>7</v>
      </c>
      <c r="I583" s="48"/>
      <c r="J583" s="195"/>
      <c r="K583" s="22"/>
      <c r="L583" s="22"/>
      <c r="M583" s="22"/>
      <c r="N583" s="22"/>
      <c r="O583" s="22"/>
      <c r="P583" s="22"/>
    </row>
    <row customHeight="true" ht="18.452380952380953" r="584">
      <c r="A584" s="63"/>
      <c r="B584" s="144"/>
      <c r="C584" s="63"/>
      <c r="D584" s="145"/>
      <c r="E584" s="119"/>
      <c r="F584" s="119"/>
      <c r="G584" s="118"/>
      <c r="H584" s="119"/>
      <c r="I584" s="119"/>
      <c r="J584" s="195"/>
      <c r="K584" s="22"/>
      <c r="L584" s="22"/>
      <c r="M584" s="22"/>
      <c r="N584" s="22"/>
      <c r="O584" s="22"/>
      <c r="P584" s="22"/>
      <c r="Q584" s="69"/>
      <c r="R584" s="69"/>
    </row>
    <row customHeight="true" ht="18.452380952380953" r="585">
      <c r="A585" s="341" t="s">
        <v>377</v>
      </c>
      <c r="B585" s="342">
        <v>46289</v>
      </c>
      <c r="C585" s="341" t="str">
        <v>Thursday</v>
      </c>
      <c r="D585" s="351" t="s">
        <v>305</v>
      </c>
      <c r="E585" s="344">
        <f t="shared" ref="E585:E586" si="107">24*MOD(TIMEVALUE(TRIM(MID(D585,FIND("-",D585)+1,LEN(D585)))) - TIMEVALUE(TRIM(LEFT(D585,FIND("-",D585)-1))),1)</f>
      </c>
      <c r="F585" s="344" t="s">
        <v>378</v>
      </c>
      <c r="G585" s="118"/>
      <c r="H585" s="119" t="s">
        <v>7</v>
      </c>
      <c r="I585" s="119"/>
      <c r="J585" s="195"/>
      <c r="K585" s="22"/>
      <c r="L585" s="22"/>
      <c r="M585" s="22"/>
      <c r="N585" s="22"/>
      <c r="O585" s="22"/>
      <c r="P585" s="22"/>
    </row>
    <row customHeight="true" ht="18.452380952380953" r="586">
      <c r="A586" s="43" t="s">
        <v>379</v>
      </c>
      <c r="B586" s="26">
        <v>46289</v>
      </c>
      <c r="C586" s="43" t="str">
        <v>Thursday</v>
      </c>
      <c r="D586" s="16" t="s">
        <v>386</v>
      </c>
      <c r="E586" s="48">
        <f t="shared" si="107"/>
      </c>
      <c r="F586" s="119" t="s">
        <v>381</v>
      </c>
      <c r="G586" s="118"/>
      <c r="H586" s="119" t="s">
        <v>7</v>
      </c>
      <c r="I586" s="119"/>
      <c r="J586" s="195"/>
      <c r="K586" s="22"/>
      <c r="L586" s="22"/>
      <c r="M586" s="22"/>
      <c r="N586" s="22"/>
      <c r="O586" s="22"/>
      <c r="P586" s="22"/>
    </row>
    <row customHeight="true" ht="18.452380952380953" r="587">
      <c r="A587" s="63"/>
      <c r="B587" s="26"/>
      <c r="C587" s="43"/>
      <c r="D587" s="16"/>
      <c r="E587" s="48"/>
      <c r="F587" s="48"/>
      <c r="G587" s="118"/>
      <c r="H587" s="119"/>
      <c r="I587" s="119"/>
      <c r="J587" s="195"/>
      <c r="K587" s="22"/>
      <c r="L587" s="22"/>
      <c r="M587" s="22"/>
      <c r="N587" s="22"/>
      <c r="O587" s="22"/>
      <c r="P587" s="22"/>
      <c r="Q587" s="69"/>
      <c r="R587" s="69"/>
    </row>
    <row customHeight="true" ht="18.452380952380953" r="588">
      <c r="A588" s="348" t="s">
        <v>387</v>
      </c>
      <c r="B588" s="373">
        <v>46290</v>
      </c>
      <c r="C588" s="348" t="str">
        <v>Friday</v>
      </c>
      <c r="D588" s="379" t="s">
        <v>232</v>
      </c>
      <c r="E588" s="345">
        <f t="shared" ref="E588:E592" si="108">24*MOD(TIMEVALUE(TRIM(MID(D588,FIND("-",D588)+1,LEN(D588)))) - TIMEVALUE(TRIM(LEFT(D588,FIND("-",D588)-1))),1)</f>
      </c>
      <c r="F588" s="345" t="s">
        <v>388</v>
      </c>
      <c r="G588" s="380"/>
      <c r="H588" s="345" t="s">
        <v>7</v>
      </c>
      <c r="I588" s="345"/>
      <c r="J588" s="381"/>
      <c r="K588" s="382"/>
      <c r="L588" s="382"/>
      <c r="M588" s="382"/>
      <c r="N588" s="382"/>
      <c r="O588" s="382"/>
      <c r="P588" s="382"/>
      <c r="Q588" s="383"/>
      <c r="R588" s="383"/>
    </row>
    <row customHeight="true" ht="18.452380952380953" r="589">
      <c r="A589" s="63" t="s">
        <v>377</v>
      </c>
      <c r="B589" s="144">
        <v>46290</v>
      </c>
      <c r="C589" s="63" t="str">
        <v>Friday</v>
      </c>
      <c r="D589" s="145" t="s">
        <v>217</v>
      </c>
      <c r="E589" s="119">
        <f t="shared" si="108"/>
      </c>
      <c r="F589" s="119" t="s">
        <v>378</v>
      </c>
      <c r="G589" s="118"/>
      <c r="H589" s="119"/>
      <c r="I589" s="119"/>
      <c r="J589" s="195"/>
      <c r="K589" s="22"/>
      <c r="L589" s="22"/>
      <c r="M589" s="22"/>
      <c r="N589" s="22"/>
      <c r="O589" s="22"/>
      <c r="P589" s="22"/>
      <c r="Q589" s="69"/>
      <c r="R589" s="69"/>
    </row>
    <row r="590">
      <c r="A590" s="63" t="s">
        <v>377</v>
      </c>
      <c r="B590" s="144">
        <v>46290</v>
      </c>
      <c r="C590" s="63" t="str">
        <v>Friday</v>
      </c>
      <c r="D590" s="145" t="s">
        <v>282</v>
      </c>
      <c r="E590" s="119">
        <f t="shared" si="108"/>
      </c>
      <c r="F590" s="119" t="s">
        <v>388</v>
      </c>
      <c r="G590" s="118"/>
      <c r="H590" s="119" t="s">
        <v>7</v>
      </c>
      <c r="I590" s="119"/>
      <c r="J590" s="195"/>
      <c r="K590" s="22"/>
      <c r="L590" s="22"/>
      <c r="M590" s="22"/>
      <c r="N590" s="22"/>
      <c r="O590" s="22"/>
      <c r="P590" s="22"/>
      <c r="Q590" s="69"/>
      <c r="R590" s="69"/>
    </row>
    <row customHeight="true" ht="18.452380952380953" r="591">
      <c r="A591" s="63" t="s">
        <v>379</v>
      </c>
      <c r="B591" s="144">
        <v>46290</v>
      </c>
      <c r="C591" s="63" t="str">
        <v>Friday</v>
      </c>
      <c r="D591" s="384" t="s">
        <v>382</v>
      </c>
      <c r="E591" s="119">
        <f t="shared" si="108"/>
      </c>
      <c r="F591" s="119" t="s">
        <v>383</v>
      </c>
      <c r="G591" s="118"/>
      <c r="H591" s="119"/>
      <c r="I591" s="119"/>
      <c r="J591" s="195"/>
      <c r="K591" s="22"/>
      <c r="L591" s="22"/>
      <c r="M591" s="22"/>
      <c r="N591" s="22"/>
      <c r="O591" s="22"/>
      <c r="P591" s="22"/>
      <c r="Q591" s="69"/>
      <c r="R591" s="69"/>
    </row>
    <row r="592">
      <c r="A592" s="63" t="s">
        <v>379</v>
      </c>
      <c r="B592" s="144">
        <v>46290</v>
      </c>
      <c r="C592" s="63" t="str">
        <v>Friday</v>
      </c>
      <c r="D592" s="384" t="s">
        <v>380</v>
      </c>
      <c r="E592" s="119">
        <f t="shared" si="108"/>
      </c>
      <c r="F592" s="119" t="s">
        <v>381</v>
      </c>
      <c r="G592" s="118"/>
      <c r="H592" s="119" t="s">
        <v>7</v>
      </c>
      <c r="I592" s="119"/>
      <c r="J592" s="195"/>
      <c r="K592" s="22"/>
      <c r="L592" s="22"/>
      <c r="M592" s="22"/>
      <c r="N592" s="22"/>
      <c r="O592" s="22"/>
      <c r="P592" s="22"/>
      <c r="Q592" s="69"/>
      <c r="R592" s="69"/>
    </row>
    <row customHeight="true" ht="18.452380952380953" r="593">
      <c r="A593" s="63"/>
      <c r="B593" s="144"/>
      <c r="C593" s="63"/>
      <c r="D593" s="145"/>
      <c r="E593" s="119"/>
      <c r="F593" s="119"/>
      <c r="G593" s="118"/>
      <c r="H593" s="119"/>
      <c r="I593" s="119"/>
      <c r="J593" s="385"/>
      <c r="K593" s="386"/>
      <c r="L593" s="386"/>
      <c r="M593" s="386"/>
      <c r="N593" s="386"/>
      <c r="O593" s="386"/>
      <c r="P593" s="386"/>
      <c r="Q593" s="69"/>
      <c r="R593" s="69"/>
    </row>
    <row r="594">
      <c r="A594" s="348" t="s">
        <v>377</v>
      </c>
      <c r="B594" s="373">
        <v>46291</v>
      </c>
      <c r="C594" s="348" t="str">
        <v>Saturday</v>
      </c>
      <c r="D594" s="343" t="s">
        <v>183</v>
      </c>
      <c r="E594" s="345">
        <f t="shared" ref="E594:E596" si="109">24*MOD(TIMEVALUE(TRIM(MID(D594,FIND("-",D594)+1,LEN(D594)))) - TIMEVALUE(TRIM(LEFT(D594,FIND("-",D594)-1))),1)</f>
      </c>
      <c r="F594" s="344" t="s">
        <v>378</v>
      </c>
      <c r="G594" s="118"/>
      <c r="H594" s="119" t="s">
        <v>7</v>
      </c>
      <c r="I594" s="119"/>
      <c r="J594" s="385"/>
      <c r="K594" s="386"/>
      <c r="L594" s="386"/>
      <c r="M594" s="386"/>
      <c r="N594" s="386"/>
      <c r="O594" s="386"/>
      <c r="P594" s="386"/>
      <c r="Q594" s="69"/>
      <c r="R594" s="69"/>
    </row>
    <row customHeight="true" ht="18.452380952380953" r="595">
      <c r="A595" s="43" t="s">
        <v>377</v>
      </c>
      <c r="B595" s="375">
        <v>46291</v>
      </c>
      <c r="C595" s="43" t="str">
        <v>Saturday</v>
      </c>
      <c r="D595" s="343" t="s">
        <v>305</v>
      </c>
      <c r="E595" s="345">
        <f t="shared" si="109"/>
      </c>
      <c r="F595" s="345" t="s">
        <v>388</v>
      </c>
      <c r="G595" s="118"/>
      <c r="H595" s="119"/>
      <c r="I595" s="119"/>
      <c r="J595" s="385"/>
      <c r="K595" s="386"/>
      <c r="L595" s="386"/>
      <c r="M595" s="386"/>
      <c r="N595" s="386"/>
      <c r="O595" s="386"/>
      <c r="P595" s="386"/>
    </row>
    <row customHeight="true" ht="18.452380952380953" r="596">
      <c r="A596" s="43" t="s">
        <v>379</v>
      </c>
      <c r="B596" s="26">
        <v>46291</v>
      </c>
      <c r="C596" s="43" t="str">
        <v>Saturday</v>
      </c>
      <c r="D596" s="16" t="s">
        <v>389</v>
      </c>
      <c r="E596" s="48">
        <f t="shared" si="109"/>
      </c>
      <c r="F596" s="119" t="s">
        <v>381</v>
      </c>
      <c r="G596" s="118"/>
      <c r="H596" s="119" t="s">
        <v>7</v>
      </c>
      <c r="I596" s="119"/>
      <c r="J596" s="385"/>
      <c r="K596" s="386"/>
      <c r="L596" s="386"/>
      <c r="M596" s="386"/>
      <c r="N596" s="386"/>
      <c r="O596" s="386"/>
      <c r="P596" s="386"/>
    </row>
    <row customHeight="true" ht="18.452380952380953" r="597">
      <c r="A597" s="43"/>
      <c r="B597" s="26"/>
      <c r="C597" s="43"/>
      <c r="D597" s="16"/>
      <c r="E597" s="48"/>
      <c r="F597" s="119"/>
      <c r="G597" s="118"/>
      <c r="H597" s="119"/>
      <c r="I597" s="119"/>
      <c r="J597" s="385"/>
      <c r="K597" s="386"/>
      <c r="L597" s="386"/>
      <c r="M597" s="386"/>
      <c r="N597" s="386"/>
      <c r="O597" s="386"/>
      <c r="P597" s="386"/>
    </row>
    <row r="598">
      <c r="A598" s="341" t="s">
        <v>377</v>
      </c>
      <c r="B598" s="342">
        <v>46292</v>
      </c>
      <c r="C598" s="341" t="str">
        <v>Sunday</v>
      </c>
      <c r="D598" s="351" t="s">
        <v>183</v>
      </c>
      <c r="E598" s="344">
        <f t="shared" ref="E598:E600" si="110">24*MOD(TIMEVALUE(TRIM(MID(D598,FIND("-",D598)+1,LEN(D598)))) - TIMEVALUE(TRIM(LEFT(D598,FIND("-",D598)-1))),1)</f>
      </c>
      <c r="F598" s="344" t="s">
        <v>378</v>
      </c>
      <c r="G598" s="118"/>
      <c r="H598" s="119" t="s">
        <v>7</v>
      </c>
      <c r="I598" s="48"/>
      <c r="J598" s="385"/>
      <c r="K598" s="386"/>
      <c r="L598" s="386"/>
      <c r="M598" s="386"/>
      <c r="N598" s="386"/>
      <c r="O598" s="386"/>
      <c r="P598" s="386"/>
    </row>
    <row r="599">
      <c r="A599" s="43" t="s">
        <v>377</v>
      </c>
      <c r="B599" s="375">
        <v>46292</v>
      </c>
      <c r="C599" s="43" t="str">
        <v>Sunday</v>
      </c>
      <c r="D599" s="343" t="s">
        <v>305</v>
      </c>
      <c r="E599" s="345">
        <f t="shared" si="110"/>
      </c>
      <c r="F599" s="345" t="s">
        <v>388</v>
      </c>
      <c r="G599" s="118"/>
      <c r="H599" s="119" t="s">
        <v>7</v>
      </c>
      <c r="I599" s="119"/>
      <c r="J599" s="385"/>
      <c r="K599" s="386"/>
      <c r="L599" s="386"/>
      <c r="M599" s="386"/>
      <c r="N599" s="386"/>
      <c r="O599" s="386"/>
      <c r="P599" s="386"/>
    </row>
    <row customHeight="true" ht="18.452380952380953" r="600">
      <c r="A600" s="374" t="s">
        <v>377</v>
      </c>
      <c r="B600" s="26">
        <v>46292</v>
      </c>
      <c r="C600" s="43" t="str">
        <v>Sunday</v>
      </c>
      <c r="D600" s="16" t="s">
        <v>389</v>
      </c>
      <c r="E600" s="48">
        <f t="shared" si="110"/>
      </c>
      <c r="F600" s="119" t="s">
        <v>381</v>
      </c>
      <c r="G600" s="118"/>
      <c r="H600" s="119"/>
      <c r="I600" s="119"/>
      <c r="J600" s="385"/>
      <c r="K600" s="386"/>
      <c r="L600" s="386"/>
      <c r="M600" s="386"/>
      <c r="N600" s="386"/>
      <c r="O600" s="386"/>
      <c r="P600" s="386"/>
    </row>
    <row customHeight="true" ht="16.071428571428573" r="601">
      <c r="A601" s="387"/>
      <c r="B601" s="63"/>
      <c r="C601" s="63"/>
      <c r="D601" s="16"/>
      <c r="E601" s="48"/>
      <c r="F601" s="119"/>
      <c r="G601" s="118"/>
      <c r="H601" s="119"/>
      <c r="I601" s="119"/>
      <c r="J601" s="195"/>
      <c r="K601" s="22"/>
      <c r="L601" s="22"/>
      <c r="M601" s="22"/>
      <c r="N601" s="22"/>
      <c r="O601" s="22"/>
      <c r="P601" s="22"/>
    </row>
    <row customHeight="true" ht="16.071428571428573" r="602">
      <c r="A602" s="387"/>
      <c r="B602" s="63"/>
      <c r="C602" s="63"/>
      <c r="D602" s="119"/>
      <c r="E602" s="119"/>
      <c r="F602" s="119"/>
      <c r="G602" s="118"/>
      <c r="H602" s="119"/>
      <c r="I602" s="119"/>
      <c r="J602" s="195"/>
      <c r="K602" s="22"/>
      <c r="L602" s="22"/>
      <c r="M602" s="22"/>
      <c r="N602" s="22"/>
      <c r="O602" s="22"/>
      <c r="P602" s="22"/>
    </row>
    <row r="603">
      <c r="A603" s="388" t="s">
        <v>390</v>
      </c>
      <c r="B603" s="388"/>
      <c r="C603" s="388"/>
      <c r="D603" s="388"/>
      <c r="E603" s="388"/>
      <c r="F603" s="388"/>
      <c r="G603" s="388"/>
      <c r="H603" s="388"/>
      <c r="I603" s="388"/>
      <c r="J603" s="389"/>
      <c r="K603" s="57"/>
      <c r="L603" s="57"/>
      <c r="M603" s="57"/>
      <c r="N603" s="57"/>
      <c r="O603" s="57"/>
      <c r="P603" s="57"/>
    </row>
    <row r="604">
      <c r="A604" s="390" t="s">
        <v>16</v>
      </c>
      <c r="B604" s="391" t="s">
        <v>17</v>
      </c>
      <c r="C604" s="391"/>
      <c r="D604" s="392" t="s">
        <v>18</v>
      </c>
      <c r="E604" s="392" t="s">
        <v>19</v>
      </c>
      <c r="F604" s="392" t="s">
        <v>20</v>
      </c>
      <c r="G604" s="393" t="s">
        <v>33</v>
      </c>
      <c r="H604" s="392" t="s">
        <v>22</v>
      </c>
      <c r="I604" s="392" t="s">
        <v>23</v>
      </c>
      <c r="J604" s="394" t="s">
        <v>24</v>
      </c>
      <c r="K604" s="395" t="s">
        <v>391</v>
      </c>
      <c r="L604" s="42"/>
      <c r="M604" s="42"/>
      <c r="N604" s="42"/>
      <c r="O604" s="42"/>
      <c r="P604" s="42"/>
    </row>
    <row customHeight="true" ht="18.452380952380953" r="605">
      <c r="A605" s="43" t="s">
        <v>392</v>
      </c>
      <c r="B605" s="26">
        <v>46301</v>
      </c>
      <c r="C605" s="43" t="str">
        <v>Tuesday</v>
      </c>
      <c r="D605" s="145" t="s">
        <v>259</v>
      </c>
      <c r="E605" s="119">
        <f t="shared" ref="E605:E637" si="111">24*MOD(TIMEVALUE(TRIM(MID(D605,FIND("-",D605)+1,LEN(D605)))) - TIMEVALUE(TRIM(LEFT(D605,FIND("-",D605)-1))),1)</f>
      </c>
      <c r="F605" s="119" t="s">
        <v>393</v>
      </c>
      <c r="G605" s="96"/>
      <c r="H605" s="20" t="s">
        <v>7</v>
      </c>
      <c r="I605" s="20" t="s">
        <v>8</v>
      </c>
      <c r="J605" s="46"/>
      <c r="K605" s="302" t="s">
        <v>394</v>
      </c>
      <c r="L605" s="22"/>
      <c r="M605" s="22"/>
      <c r="N605" s="22"/>
      <c r="O605" s="22"/>
      <c r="P605" s="22"/>
    </row>
    <row customHeight="true" ht="18.452380952380953" r="606">
      <c r="A606" s="341" t="s">
        <v>395</v>
      </c>
      <c r="B606" s="342">
        <v>46301</v>
      </c>
      <c r="C606" s="341" t="str">
        <v>Tuesday</v>
      </c>
      <c r="D606" s="396" t="s">
        <v>396</v>
      </c>
      <c r="E606" s="344">
        <f t="shared" si="111"/>
      </c>
      <c r="F606" s="344"/>
      <c r="G606" s="397" t="s">
        <v>397</v>
      </c>
      <c r="H606" s="344" t="s">
        <v>7</v>
      </c>
      <c r="I606" s="344" t="s">
        <v>8</v>
      </c>
      <c r="J606" s="398"/>
      <c r="K606" s="302" t="s">
        <v>394</v>
      </c>
      <c r="L606" s="22"/>
      <c r="M606" s="22"/>
      <c r="N606" s="22"/>
      <c r="O606" s="22"/>
      <c r="P606" s="22"/>
    </row>
    <row customHeight="true" ht="18.452380952380953" r="607">
      <c r="A607" s="341" t="s">
        <v>398</v>
      </c>
      <c r="B607" s="342">
        <v>46301</v>
      </c>
      <c r="C607" s="341" t="str">
        <v>Tuesday</v>
      </c>
      <c r="D607" s="396" t="s">
        <v>175</v>
      </c>
      <c r="E607" s="344">
        <f t="shared" si="111"/>
      </c>
      <c r="F607" s="344" t="s">
        <v>399</v>
      </c>
      <c r="G607" s="397"/>
      <c r="H607" s="344" t="s">
        <v>7</v>
      </c>
      <c r="I607" s="344" t="s">
        <v>28</v>
      </c>
      <c r="J607" s="398"/>
      <c r="K607" s="302" t="s">
        <v>394</v>
      </c>
      <c r="L607" s="22"/>
      <c r="M607" s="22"/>
      <c r="N607" s="22"/>
      <c r="O607" s="22"/>
      <c r="P607" s="22"/>
    </row>
    <row customHeight="true" ht="18.452380952380953" r="608">
      <c r="A608" s="341" t="s">
        <v>395</v>
      </c>
      <c r="B608" s="342">
        <v>46301</v>
      </c>
      <c r="C608" s="341" t="str">
        <v>Tuesday</v>
      </c>
      <c r="D608" s="396" t="s">
        <v>400</v>
      </c>
      <c r="E608" s="344">
        <f t="shared" si="111"/>
      </c>
      <c r="F608" s="344" t="s">
        <v>399</v>
      </c>
      <c r="G608" s="397"/>
      <c r="H608" s="344" t="s">
        <v>7</v>
      </c>
      <c r="I608" s="344" t="s">
        <v>28</v>
      </c>
      <c r="J608" s="398"/>
      <c r="K608" s="302" t="s">
        <v>394</v>
      </c>
      <c r="L608" s="22"/>
      <c r="M608" s="22"/>
      <c r="N608" s="22"/>
      <c r="O608" s="22"/>
      <c r="P608" s="22"/>
    </row>
    <row customHeight="true" ht="18.452380952380953" r="609">
      <c r="A609" s="341" t="s">
        <v>398</v>
      </c>
      <c r="B609" s="342">
        <v>46301</v>
      </c>
      <c r="C609" s="341" t="str">
        <v>Tuesday</v>
      </c>
      <c r="D609" s="396" t="s">
        <v>207</v>
      </c>
      <c r="E609" s="344">
        <f t="shared" si="111"/>
      </c>
      <c r="F609" s="344" t="s">
        <v>399</v>
      </c>
      <c r="G609" s="397"/>
      <c r="H609" s="344" t="s">
        <v>7</v>
      </c>
      <c r="I609" s="344" t="s">
        <v>28</v>
      </c>
      <c r="J609" s="398"/>
      <c r="K609" s="302" t="s">
        <v>394</v>
      </c>
      <c r="L609" s="22"/>
      <c r="M609" s="22"/>
      <c r="N609" s="22"/>
      <c r="O609" s="22"/>
      <c r="P609" s="22"/>
    </row>
    <row customHeight="true" ht="18.452380952380953" r="610">
      <c r="A610" s="63" t="s">
        <v>392</v>
      </c>
      <c r="B610" s="26">
        <v>46302</v>
      </c>
      <c r="C610" s="63" t="str">
        <v>Wednesday</v>
      </c>
      <c r="D610" s="145" t="s">
        <v>301</v>
      </c>
      <c r="E610" s="119">
        <f t="shared" si="111"/>
      </c>
      <c r="F610" s="48" t="s">
        <v>230</v>
      </c>
      <c r="G610" s="122"/>
      <c r="H610" s="119" t="s">
        <v>7</v>
      </c>
      <c r="I610" s="119" t="s">
        <v>8</v>
      </c>
      <c r="J610" s="195"/>
      <c r="K610" s="302" t="s">
        <v>394</v>
      </c>
      <c r="L610" s="22"/>
      <c r="M610" s="22"/>
      <c r="N610" s="22"/>
      <c r="O610" s="22"/>
      <c r="P610" s="22"/>
      <c r="Q610" s="69"/>
      <c r="R610" s="69"/>
    </row>
    <row customHeight="true" ht="18.452380952380953" r="611">
      <c r="A611" s="63" t="s">
        <v>392</v>
      </c>
      <c r="B611" s="26">
        <v>46302</v>
      </c>
      <c r="C611" s="63" t="str">
        <v>Wednesday</v>
      </c>
      <c r="D611" s="145" t="s">
        <v>217</v>
      </c>
      <c r="E611" s="119">
        <f t="shared" si="111"/>
      </c>
      <c r="F611" s="119" t="s">
        <v>393</v>
      </c>
      <c r="G611" s="122"/>
      <c r="H611" s="119" t="s">
        <v>7</v>
      </c>
      <c r="I611" s="20" t="s">
        <v>8</v>
      </c>
      <c r="J611" s="195"/>
      <c r="K611" s="302" t="s">
        <v>394</v>
      </c>
      <c r="L611" s="22"/>
      <c r="M611" s="22"/>
      <c r="N611" s="22"/>
      <c r="O611" s="22"/>
      <c r="P611" s="22"/>
      <c r="Q611" s="69"/>
      <c r="R611" s="69"/>
    </row>
    <row customHeight="true" ht="18.452380952380953" r="612">
      <c r="A612" s="341" t="s">
        <v>395</v>
      </c>
      <c r="B612" s="399">
        <v>46302</v>
      </c>
      <c r="C612" s="341" t="str">
        <v>Wednesday</v>
      </c>
      <c r="D612" s="396" t="s">
        <v>401</v>
      </c>
      <c r="E612" s="344">
        <f t="shared" si="111"/>
      </c>
      <c r="F612" s="344" t="s">
        <v>399</v>
      </c>
      <c r="G612" s="397" t="s">
        <v>402</v>
      </c>
      <c r="H612" s="345" t="s">
        <v>7</v>
      </c>
      <c r="I612" s="345"/>
      <c r="J612" s="400"/>
      <c r="K612" s="302" t="s">
        <v>394</v>
      </c>
      <c r="L612" s="22"/>
      <c r="M612" s="22"/>
      <c r="N612" s="22"/>
      <c r="O612" s="22"/>
      <c r="P612" s="22"/>
      <c r="Q612" s="69"/>
      <c r="R612" s="69"/>
    </row>
    <row customHeight="true" ht="18.452380952380953" r="613">
      <c r="A613" s="341" t="s">
        <v>395</v>
      </c>
      <c r="B613" s="399">
        <v>46302</v>
      </c>
      <c r="C613" s="341" t="str">
        <v>Wednesday</v>
      </c>
      <c r="D613" s="396" t="s">
        <v>403</v>
      </c>
      <c r="E613" s="344">
        <f t="shared" si="111"/>
      </c>
      <c r="F613" s="344"/>
      <c r="G613" s="397" t="s">
        <v>404</v>
      </c>
      <c r="H613" s="345" t="s">
        <v>7</v>
      </c>
      <c r="I613" s="345" t="s">
        <v>8</v>
      </c>
      <c r="J613" s="400"/>
      <c r="K613" s="302" t="s">
        <v>394</v>
      </c>
      <c r="L613" s="22"/>
      <c r="M613" s="22"/>
      <c r="N613" s="22"/>
      <c r="O613" s="22"/>
      <c r="P613" s="22"/>
      <c r="Q613" s="69"/>
      <c r="R613" s="69"/>
    </row>
    <row customHeight="true" ht="18.452380952380953" r="614">
      <c r="A614" s="341" t="s">
        <v>395</v>
      </c>
      <c r="B614" s="399">
        <v>46302</v>
      </c>
      <c r="C614" s="341" t="str">
        <v>Wednesday</v>
      </c>
      <c r="D614" s="396" t="s">
        <v>405</v>
      </c>
      <c r="E614" s="344">
        <f t="shared" si="111"/>
      </c>
      <c r="F614" s="344" t="s">
        <v>399</v>
      </c>
      <c r="G614" s="397"/>
      <c r="H614" s="345" t="s">
        <v>7</v>
      </c>
      <c r="I614" s="345"/>
      <c r="J614" s="400"/>
      <c r="K614" s="302" t="s">
        <v>394</v>
      </c>
      <c r="L614" s="22"/>
      <c r="M614" s="22"/>
      <c r="N614" s="22"/>
      <c r="O614" s="22"/>
      <c r="P614" s="22"/>
      <c r="Q614" s="69"/>
      <c r="R614" s="69"/>
    </row>
    <row customHeight="true" ht="18.452380952380953" r="615">
      <c r="A615" s="63" t="s">
        <v>392</v>
      </c>
      <c r="B615" s="144">
        <v>46303</v>
      </c>
      <c r="C615" s="63" t="str">
        <v>Thursday</v>
      </c>
      <c r="D615" s="145" t="s">
        <v>406</v>
      </c>
      <c r="E615" s="119">
        <f t="shared" si="111"/>
      </c>
      <c r="F615" s="119" t="s">
        <v>393</v>
      </c>
      <c r="G615" s="122"/>
      <c r="H615" s="119" t="s">
        <v>7</v>
      </c>
      <c r="I615" s="20" t="s">
        <v>8</v>
      </c>
      <c r="J615" s="195"/>
      <c r="K615" s="302" t="s">
        <v>394</v>
      </c>
      <c r="L615" s="22"/>
      <c r="M615" s="22"/>
      <c r="N615" s="22"/>
      <c r="O615" s="22"/>
      <c r="P615" s="22"/>
      <c r="Q615" s="69"/>
      <c r="R615" s="69"/>
    </row>
    <row customHeight="true" ht="18.452380952380953" r="616">
      <c r="A616" s="63" t="s">
        <v>392</v>
      </c>
      <c r="B616" s="401">
        <v>46303</v>
      </c>
      <c r="C616" s="63" t="str">
        <v>Thursday</v>
      </c>
      <c r="D616" s="145" t="s">
        <v>184</v>
      </c>
      <c r="E616" s="119">
        <f t="shared" si="111"/>
      </c>
      <c r="F616" s="119" t="s">
        <v>230</v>
      </c>
      <c r="G616" s="122"/>
      <c r="H616" s="119" t="s">
        <v>7</v>
      </c>
      <c r="I616" s="119" t="s">
        <v>8</v>
      </c>
      <c r="J616" s="195"/>
      <c r="K616" s="302"/>
      <c r="L616" s="22"/>
      <c r="M616" s="22"/>
      <c r="N616" s="22"/>
      <c r="O616" s="22"/>
      <c r="P616" s="22"/>
      <c r="Q616" s="69"/>
      <c r="R616" s="69"/>
    </row>
    <row customHeight="true" ht="18.452380952380953" r="617">
      <c r="A617" s="63" t="s">
        <v>392</v>
      </c>
      <c r="B617" s="401">
        <v>46303</v>
      </c>
      <c r="C617" s="63" t="str">
        <v>Thursday</v>
      </c>
      <c r="D617" s="145" t="s">
        <v>407</v>
      </c>
      <c r="E617" s="119">
        <f t="shared" si="111"/>
      </c>
      <c r="F617" s="119" t="s">
        <v>393</v>
      </c>
      <c r="G617" s="122"/>
      <c r="H617" s="119" t="s">
        <v>7</v>
      </c>
      <c r="I617" s="20" t="s">
        <v>8</v>
      </c>
      <c r="J617" s="195"/>
      <c r="K617" s="302"/>
      <c r="L617" s="22"/>
      <c r="M617" s="22"/>
      <c r="N617" s="22"/>
      <c r="O617" s="22"/>
      <c r="P617" s="22"/>
      <c r="Q617" s="69"/>
      <c r="R617" s="69"/>
    </row>
    <row r="618">
      <c r="A618" s="348" t="s">
        <v>395</v>
      </c>
      <c r="B618" s="399">
        <v>46303</v>
      </c>
      <c r="C618" s="348" t="str">
        <v>Thursday</v>
      </c>
      <c r="D618" s="351" t="s">
        <v>408</v>
      </c>
      <c r="E618" s="344">
        <f t="shared" si="111"/>
      </c>
      <c r="F618" s="344" t="s">
        <v>409</v>
      </c>
      <c r="G618" s="402" t="s">
        <v>410</v>
      </c>
      <c r="H618" s="345" t="s">
        <v>7</v>
      </c>
      <c r="I618" s="345"/>
      <c r="J618" s="403"/>
      <c r="K618" s="302" t="s">
        <v>394</v>
      </c>
      <c r="L618" s="302"/>
      <c r="M618" s="302"/>
      <c r="N618" s="302"/>
      <c r="O618" s="302"/>
      <c r="P618" s="302"/>
      <c r="Q618" s="69"/>
      <c r="R618" s="69"/>
    </row>
    <row customHeight="true" ht="18.452380952380953" r="619">
      <c r="A619" s="348" t="s">
        <v>395</v>
      </c>
      <c r="B619" s="399">
        <v>46303</v>
      </c>
      <c r="C619" s="348" t="str">
        <v>Thursday</v>
      </c>
      <c r="D619" s="351" t="s">
        <v>411</v>
      </c>
      <c r="E619" s="344">
        <f t="shared" si="111"/>
      </c>
      <c r="F619" s="344"/>
      <c r="G619" s="402" t="s">
        <v>412</v>
      </c>
      <c r="H619" s="345" t="s">
        <v>7</v>
      </c>
      <c r="I619" s="345" t="s">
        <v>8</v>
      </c>
      <c r="J619" s="403"/>
      <c r="K619" s="302" t="s">
        <v>394</v>
      </c>
      <c r="L619" s="302"/>
      <c r="M619" s="302"/>
      <c r="N619" s="302"/>
      <c r="O619" s="302"/>
      <c r="P619" s="302"/>
      <c r="Q619" s="69"/>
      <c r="R619" s="69"/>
    </row>
    <row customHeight="true" ht="18.452380952380953" r="620">
      <c r="A620" s="348" t="s">
        <v>395</v>
      </c>
      <c r="B620" s="399">
        <v>46303</v>
      </c>
      <c r="C620" s="348" t="str">
        <v>Thursday</v>
      </c>
      <c r="D620" s="351" t="s">
        <v>413</v>
      </c>
      <c r="E620" s="344">
        <f t="shared" si="111"/>
      </c>
      <c r="F620" s="344" t="s">
        <v>409</v>
      </c>
      <c r="G620" s="402"/>
      <c r="H620" s="345" t="s">
        <v>7</v>
      </c>
      <c r="I620" s="345"/>
      <c r="J620" s="403"/>
      <c r="K620" s="302"/>
      <c r="L620" s="302"/>
      <c r="M620" s="302"/>
      <c r="N620" s="302"/>
      <c r="O620" s="302"/>
      <c r="P620" s="302"/>
      <c r="Q620" s="69"/>
      <c r="R620" s="69"/>
    </row>
    <row customHeight="true" ht="18.452380952380953" r="621">
      <c r="A621" s="63" t="s">
        <v>392</v>
      </c>
      <c r="B621" s="144">
        <v>46304</v>
      </c>
      <c r="C621" s="63" t="str">
        <v>Friday</v>
      </c>
      <c r="D621" s="145" t="s">
        <v>414</v>
      </c>
      <c r="E621" s="119">
        <f t="shared" si="111"/>
      </c>
      <c r="F621" s="119" t="s">
        <v>393</v>
      </c>
      <c r="G621" s="122"/>
      <c r="H621" s="119" t="s">
        <v>7</v>
      </c>
      <c r="I621" s="20" t="s">
        <v>8</v>
      </c>
      <c r="J621" s="195"/>
      <c r="K621" s="302" t="s">
        <v>394</v>
      </c>
      <c r="L621" s="22"/>
      <c r="M621" s="22"/>
      <c r="N621" s="22"/>
      <c r="O621" s="22"/>
      <c r="P621" s="22"/>
      <c r="Q621" s="69"/>
      <c r="R621" s="69"/>
    </row>
    <row customHeight="true" ht="18.452380952380953" r="622">
      <c r="A622" s="63" t="s">
        <v>392</v>
      </c>
      <c r="B622" s="144">
        <v>46304</v>
      </c>
      <c r="C622" s="63" t="str">
        <v>Friday</v>
      </c>
      <c r="D622" s="145" t="s">
        <v>301</v>
      </c>
      <c r="E622" s="119">
        <f t="shared" si="111"/>
      </c>
      <c r="F622" s="48" t="s">
        <v>230</v>
      </c>
      <c r="G622" s="107"/>
      <c r="H622" s="119" t="s">
        <v>7</v>
      </c>
      <c r="I622" s="119" t="s">
        <v>8</v>
      </c>
      <c r="J622" s="195"/>
      <c r="K622" s="302" t="s">
        <v>394</v>
      </c>
      <c r="L622" s="22"/>
      <c r="M622" s="22"/>
      <c r="N622" s="22"/>
      <c r="O622" s="22"/>
      <c r="P622" s="22"/>
      <c r="Q622" s="69"/>
      <c r="R622" s="69"/>
    </row>
    <row customHeight="true" ht="18.452380952380953" r="623">
      <c r="A623" s="63" t="s">
        <v>392</v>
      </c>
      <c r="B623" s="144">
        <v>46304</v>
      </c>
      <c r="C623" s="63" t="str">
        <v>Friday</v>
      </c>
      <c r="D623" s="145" t="s">
        <v>183</v>
      </c>
      <c r="E623" s="119">
        <f t="shared" si="111"/>
      </c>
      <c r="F623" s="48" t="s">
        <v>393</v>
      </c>
      <c r="G623" s="107"/>
      <c r="H623" s="119" t="s">
        <v>7</v>
      </c>
      <c r="I623" s="20" t="s">
        <v>8</v>
      </c>
      <c r="J623" s="195"/>
      <c r="K623" s="302"/>
      <c r="L623" s="22"/>
      <c r="M623" s="22"/>
      <c r="N623" s="22"/>
      <c r="O623" s="22"/>
      <c r="P623" s="22"/>
      <c r="Q623" s="69"/>
      <c r="R623" s="69"/>
    </row>
    <row r="624">
      <c r="A624" s="341" t="s">
        <v>395</v>
      </c>
      <c r="B624" s="342">
        <v>46304</v>
      </c>
      <c r="C624" s="341" t="str">
        <v>Friday</v>
      </c>
      <c r="D624" s="351" t="s">
        <v>415</v>
      </c>
      <c r="E624" s="344">
        <f t="shared" si="111"/>
      </c>
      <c r="F624" s="344" t="s">
        <v>409</v>
      </c>
      <c r="G624" s="397"/>
      <c r="H624" s="344" t="s">
        <v>7</v>
      </c>
      <c r="I624" s="344"/>
      <c r="J624" s="398"/>
      <c r="K624" s="302" t="s">
        <v>394</v>
      </c>
      <c r="L624" s="22"/>
      <c r="M624" s="22"/>
      <c r="N624" s="22"/>
      <c r="O624" s="22"/>
      <c r="P624" s="22"/>
      <c r="Q624" s="69"/>
      <c r="R624" s="69"/>
    </row>
    <row customHeight="true" ht="18.452380952380953" r="625">
      <c r="A625" s="341" t="s">
        <v>395</v>
      </c>
      <c r="B625" s="342">
        <v>46304</v>
      </c>
      <c r="C625" s="341" t="str">
        <v>Friday</v>
      </c>
      <c r="D625" s="351" t="s">
        <v>411</v>
      </c>
      <c r="E625" s="344">
        <f t="shared" si="111"/>
      </c>
      <c r="F625" s="344"/>
      <c r="G625" s="397" t="s">
        <v>416</v>
      </c>
      <c r="H625" s="344" t="s">
        <v>7</v>
      </c>
      <c r="I625" s="344" t="s">
        <v>8</v>
      </c>
      <c r="J625" s="398"/>
      <c r="K625" s="302" t="s">
        <v>394</v>
      </c>
      <c r="L625" s="22"/>
      <c r="M625" s="22"/>
      <c r="N625" s="22"/>
      <c r="O625" s="22"/>
      <c r="P625" s="22"/>
      <c r="Q625" s="69"/>
      <c r="R625" s="69"/>
    </row>
    <row customHeight="true" ht="18.452380952380953" r="626">
      <c r="A626" s="341" t="s">
        <v>395</v>
      </c>
      <c r="B626" s="342">
        <v>46304</v>
      </c>
      <c r="C626" s="341" t="str">
        <v>Friday</v>
      </c>
      <c r="D626" s="351" t="s">
        <v>417</v>
      </c>
      <c r="E626" s="344">
        <f t="shared" si="111"/>
      </c>
      <c r="F626" s="344" t="s">
        <v>409</v>
      </c>
      <c r="G626" s="397"/>
      <c r="H626" s="344" t="s">
        <v>7</v>
      </c>
      <c r="I626" s="344"/>
      <c r="J626" s="398"/>
      <c r="K626" s="302" t="s">
        <v>394</v>
      </c>
      <c r="L626" s="22"/>
      <c r="M626" s="22"/>
      <c r="N626" s="22"/>
      <c r="O626" s="22"/>
      <c r="P626" s="22"/>
      <c r="Q626" s="69"/>
      <c r="R626" s="69"/>
    </row>
    <row customHeight="true" ht="18.452380952380953" r="627">
      <c r="A627" s="43" t="s">
        <v>392</v>
      </c>
      <c r="B627" s="26">
        <v>46305</v>
      </c>
      <c r="C627" s="43" t="str">
        <v>Saturday</v>
      </c>
      <c r="D627" s="145" t="s">
        <v>414</v>
      </c>
      <c r="E627" s="119">
        <f t="shared" si="111"/>
      </c>
      <c r="F627" s="119" t="s">
        <v>393</v>
      </c>
      <c r="G627" s="122"/>
      <c r="H627" s="20" t="s">
        <v>7</v>
      </c>
      <c r="I627" s="20" t="s">
        <v>8</v>
      </c>
      <c r="J627" s="46"/>
      <c r="K627" s="302" t="s">
        <v>394</v>
      </c>
      <c r="L627" s="22"/>
      <c r="M627" s="22"/>
      <c r="N627" s="22"/>
      <c r="O627" s="22"/>
      <c r="P627" s="22"/>
    </row>
    <row customHeight="true" ht="18.452380952380953" r="628">
      <c r="A628" s="43" t="s">
        <v>392</v>
      </c>
      <c r="B628" s="26">
        <v>46305</v>
      </c>
      <c r="C628" s="43" t="str">
        <v>Saturday</v>
      </c>
      <c r="D628" s="145" t="s">
        <v>301</v>
      </c>
      <c r="E628" s="119">
        <f t="shared" si="111"/>
      </c>
      <c r="F628" s="48" t="s">
        <v>418</v>
      </c>
      <c r="G628" s="52"/>
      <c r="H628" s="20" t="s">
        <v>7</v>
      </c>
      <c r="I628" s="20" t="s">
        <v>8</v>
      </c>
      <c r="J628" s="46"/>
      <c r="K628" s="302" t="s">
        <v>394</v>
      </c>
      <c r="L628" s="22"/>
      <c r="M628" s="22"/>
      <c r="N628" s="22"/>
      <c r="O628" s="22"/>
      <c r="P628" s="22"/>
    </row>
    <row customHeight="true" ht="18.452380952380953" r="629">
      <c r="A629" s="43" t="s">
        <v>392</v>
      </c>
      <c r="B629" s="26">
        <v>46305</v>
      </c>
      <c r="C629" s="43" t="str">
        <v>Saturday</v>
      </c>
      <c r="D629" s="145" t="s">
        <v>183</v>
      </c>
      <c r="E629" s="119">
        <f t="shared" si="111"/>
      </c>
      <c r="F629" s="48" t="s">
        <v>393</v>
      </c>
      <c r="G629" s="52"/>
      <c r="H629" s="20" t="s">
        <v>7</v>
      </c>
      <c r="I629" s="20" t="s">
        <v>8</v>
      </c>
      <c r="J629" s="46"/>
      <c r="K629" s="302"/>
      <c r="L629" s="22"/>
      <c r="M629" s="22"/>
      <c r="N629" s="22"/>
      <c r="O629" s="22"/>
      <c r="P629" s="22"/>
    </row>
    <row r="630">
      <c r="A630" s="341" t="s">
        <v>395</v>
      </c>
      <c r="B630" s="342">
        <v>46305</v>
      </c>
      <c r="C630" s="341" t="str">
        <v>Saturday</v>
      </c>
      <c r="D630" s="351" t="s">
        <v>415</v>
      </c>
      <c r="E630" s="344">
        <f t="shared" si="111"/>
      </c>
      <c r="F630" s="344" t="s">
        <v>409</v>
      </c>
      <c r="G630" s="397"/>
      <c r="H630" s="344" t="s">
        <v>7</v>
      </c>
      <c r="I630" s="344"/>
      <c r="J630" s="398"/>
      <c r="K630" s="302" t="s">
        <v>394</v>
      </c>
      <c r="L630" s="22"/>
      <c r="M630" s="22"/>
      <c r="N630" s="22"/>
      <c r="O630" s="22"/>
      <c r="P630" s="22"/>
    </row>
    <row customHeight="true" ht="18.452380952380953" r="631">
      <c r="A631" s="341" t="s">
        <v>395</v>
      </c>
      <c r="B631" s="342">
        <v>46305</v>
      </c>
      <c r="C631" s="341" t="str">
        <v>Saturday</v>
      </c>
      <c r="D631" s="351" t="s">
        <v>411</v>
      </c>
      <c r="E631" s="344">
        <f t="shared" si="111"/>
      </c>
      <c r="F631" s="344"/>
      <c r="G631" s="397" t="s">
        <v>419</v>
      </c>
      <c r="H631" s="344" t="s">
        <v>7</v>
      </c>
      <c r="I631" s="344" t="s">
        <v>8</v>
      </c>
      <c r="J631" s="398"/>
      <c r="K631" s="302" t="s">
        <v>394</v>
      </c>
      <c r="L631" s="22"/>
      <c r="M631" s="22"/>
      <c r="N631" s="22"/>
      <c r="O631" s="22"/>
      <c r="P631" s="22"/>
    </row>
    <row customHeight="true" ht="18.452380952380953" r="632">
      <c r="A632" s="341" t="s">
        <v>395</v>
      </c>
      <c r="B632" s="342">
        <v>46305</v>
      </c>
      <c r="C632" s="341" t="str">
        <v>Saturday</v>
      </c>
      <c r="D632" s="351" t="s">
        <v>417</v>
      </c>
      <c r="E632" s="344">
        <f t="shared" si="111"/>
      </c>
      <c r="F632" s="344" t="s">
        <v>409</v>
      </c>
      <c r="G632" s="397"/>
      <c r="H632" s="344" t="s">
        <v>7</v>
      </c>
      <c r="I632" s="344"/>
      <c r="J632" s="398"/>
      <c r="K632" s="302"/>
      <c r="L632" s="22"/>
      <c r="M632" s="22"/>
      <c r="N632" s="22"/>
      <c r="O632" s="22"/>
      <c r="P632" s="22"/>
    </row>
    <row customHeight="true" ht="18.452380952380953" r="633">
      <c r="A633" s="43" t="s">
        <v>392</v>
      </c>
      <c r="B633" s="26">
        <v>46306</v>
      </c>
      <c r="C633" s="43" t="str">
        <v>Sunday</v>
      </c>
      <c r="D633" s="25" t="s">
        <v>420</v>
      </c>
      <c r="E633" s="48">
        <f t="shared" si="111"/>
      </c>
      <c r="F633" s="48" t="s">
        <v>393</v>
      </c>
      <c r="G633" s="122"/>
      <c r="H633" s="20" t="s">
        <v>7</v>
      </c>
      <c r="I633" s="20" t="s">
        <v>8</v>
      </c>
      <c r="J633" s="46"/>
      <c r="K633" s="302" t="s">
        <v>394</v>
      </c>
      <c r="L633" s="22"/>
      <c r="M633" s="22"/>
      <c r="N633" s="22"/>
      <c r="O633" s="22"/>
      <c r="P633" s="22"/>
    </row>
    <row customHeight="true" ht="18.452380952380953" r="634">
      <c r="A634" s="43" t="s">
        <v>392</v>
      </c>
      <c r="B634" s="26">
        <v>46306</v>
      </c>
      <c r="C634" s="43" t="str">
        <v>Sunday</v>
      </c>
      <c r="D634" s="25" t="s">
        <v>262</v>
      </c>
      <c r="E634" s="48">
        <f t="shared" si="111"/>
      </c>
      <c r="F634" s="48" t="s">
        <v>418</v>
      </c>
      <c r="G634" s="122"/>
      <c r="H634" s="20" t="s">
        <v>7</v>
      </c>
      <c r="I634" s="20" t="s">
        <v>8</v>
      </c>
      <c r="J634" s="46"/>
      <c r="K634" s="302" t="s">
        <v>394</v>
      </c>
      <c r="L634" s="22"/>
      <c r="M634" s="22"/>
      <c r="N634" s="22"/>
      <c r="O634" s="22"/>
      <c r="P634" s="22"/>
    </row>
    <row r="635">
      <c r="A635" s="341" t="s">
        <v>395</v>
      </c>
      <c r="B635" s="373">
        <v>46306</v>
      </c>
      <c r="C635" s="341" t="str">
        <v>Sunday</v>
      </c>
      <c r="D635" s="396" t="s">
        <v>421</v>
      </c>
      <c r="E635" s="344">
        <f t="shared" si="111"/>
      </c>
      <c r="F635" s="344" t="s">
        <v>399</v>
      </c>
      <c r="G635" s="397"/>
      <c r="H635" s="344" t="s">
        <v>7</v>
      </c>
      <c r="I635" s="344"/>
      <c r="J635" s="398"/>
      <c r="K635" s="302" t="s">
        <v>394</v>
      </c>
      <c r="L635" s="22"/>
      <c r="M635" s="22"/>
      <c r="N635" s="22"/>
      <c r="O635" s="22"/>
      <c r="P635" s="22"/>
    </row>
    <row r="636">
      <c r="A636" s="348" t="s">
        <v>395</v>
      </c>
      <c r="B636" s="373">
        <v>46306</v>
      </c>
      <c r="C636" s="348" t="str">
        <v>Sunday</v>
      </c>
      <c r="D636" s="396" t="s">
        <v>422</v>
      </c>
      <c r="E636" s="344">
        <f t="shared" si="111"/>
      </c>
      <c r="F636" s="344"/>
      <c r="G636" s="397" t="s">
        <v>423</v>
      </c>
      <c r="H636" s="345" t="s">
        <v>7</v>
      </c>
      <c r="I636" s="345" t="s">
        <v>8</v>
      </c>
      <c r="J636" s="381"/>
      <c r="K636" s="302" t="s">
        <v>394</v>
      </c>
      <c r="L636" s="22"/>
      <c r="M636" s="22"/>
      <c r="N636" s="22"/>
      <c r="O636" s="22"/>
      <c r="P636" s="22"/>
    </row>
    <row customHeight="true" ht="18.452380952380953" r="637">
      <c r="A637" s="348" t="s">
        <v>395</v>
      </c>
      <c r="B637" s="373">
        <v>46306</v>
      </c>
      <c r="C637" s="348" t="str">
        <v>Sunday</v>
      </c>
      <c r="D637" s="396" t="s">
        <v>424</v>
      </c>
      <c r="E637" s="344">
        <f t="shared" si="111"/>
      </c>
      <c r="F637" s="344" t="s">
        <v>399</v>
      </c>
      <c r="G637" s="402"/>
      <c r="H637" s="345" t="s">
        <v>7</v>
      </c>
      <c r="I637" s="345"/>
      <c r="J637" s="381"/>
      <c r="K637" s="302" t="s">
        <v>394</v>
      </c>
      <c r="L637" s="22"/>
      <c r="M637" s="22"/>
      <c r="N637" s="22"/>
      <c r="O637" s="22"/>
      <c r="P637" s="22"/>
    </row>
    <row customHeight="true" ht="16.071428571428573" r="638">
      <c r="A638" s="43"/>
      <c r="B638" s="43"/>
      <c r="C638" s="43"/>
      <c r="D638" s="20"/>
      <c r="E638" s="20"/>
      <c r="F638" s="48"/>
      <c r="G638" s="80"/>
      <c r="H638" s="48"/>
      <c r="I638" s="20"/>
      <c r="J638" s="21"/>
      <c r="K638" s="22"/>
      <c r="L638" s="22"/>
      <c r="M638" s="22"/>
      <c r="N638" s="22"/>
      <c r="O638" s="22"/>
      <c r="P638" s="22"/>
    </row>
    <row r="639">
      <c r="A639" s="404" t="s">
        <v>425</v>
      </c>
      <c r="B639" s="405"/>
      <c r="C639" s="405"/>
      <c r="D639" s="405"/>
      <c r="E639" s="405"/>
      <c r="F639" s="405"/>
      <c r="G639" s="405"/>
      <c r="H639" s="405"/>
      <c r="I639" s="405"/>
      <c r="J639" s="406"/>
      <c r="K639" s="407" t="s">
        <v>391</v>
      </c>
      <c r="L639" s="408"/>
      <c r="M639" s="408"/>
      <c r="N639" s="408"/>
      <c r="O639" s="408"/>
      <c r="P639" s="408"/>
    </row>
    <row r="640">
      <c r="A640" s="409" t="s">
        <v>16</v>
      </c>
      <c r="B640" s="410" t="s">
        <v>17</v>
      </c>
      <c r="C640" s="410"/>
      <c r="D640" s="411" t="s">
        <v>18</v>
      </c>
      <c r="E640" s="411" t="s">
        <v>19</v>
      </c>
      <c r="F640" s="411" t="s">
        <v>20</v>
      </c>
      <c r="G640" s="412" t="s">
        <v>33</v>
      </c>
      <c r="H640" s="411" t="s">
        <v>22</v>
      </c>
      <c r="I640" s="413" t="s">
        <v>426</v>
      </c>
      <c r="J640" s="414" t="s">
        <v>24</v>
      </c>
      <c r="K640" s="395" t="s">
        <v>391</v>
      </c>
      <c r="L640" s="42"/>
      <c r="M640" s="42"/>
      <c r="N640" s="42"/>
      <c r="O640" s="42"/>
      <c r="P640" s="42"/>
    </row>
    <row customHeight="true" ht="16.071428571428573" r="641">
      <c r="A641" s="43"/>
      <c r="B641" s="20"/>
      <c r="C641" s="20"/>
      <c r="D641" s="46"/>
      <c r="E641" s="20"/>
      <c r="F641" s="20"/>
      <c r="G641" s="360"/>
      <c r="H641" s="20"/>
      <c r="I641" s="20"/>
      <c r="J641" s="361"/>
      <c r="K641" s="22"/>
      <c r="L641" s="22"/>
      <c r="M641" s="22"/>
      <c r="N641" s="22"/>
      <c r="O641" s="22"/>
      <c r="P641" s="22"/>
      <c r="Q641" s="69"/>
      <c r="R641" s="69"/>
    </row>
    <row r="642">
      <c r="A642" s="43"/>
      <c r="B642" s="20"/>
      <c r="C642" s="20"/>
      <c r="D642" s="46"/>
      <c r="E642" s="20"/>
      <c r="F642" s="20"/>
      <c r="G642" s="360"/>
      <c r="H642" s="20"/>
      <c r="I642" s="20"/>
      <c r="J642" s="361"/>
      <c r="K642" s="22"/>
      <c r="L642" s="22"/>
      <c r="M642" s="22"/>
      <c r="N642" s="22"/>
      <c r="O642" s="22"/>
      <c r="P642" s="22"/>
      <c r="Q642" s="69"/>
      <c r="R642" s="69"/>
    </row>
    <row customHeight="true" ht="16.071428571428573" r="643">
      <c r="A643" s="415" t="s">
        <v>427</v>
      </c>
      <c r="B643" s="416"/>
      <c r="C643" s="416"/>
      <c r="D643" s="416"/>
      <c r="E643" s="416"/>
      <c r="F643" s="416"/>
      <c r="G643" s="416"/>
      <c r="H643" s="416"/>
      <c r="I643" s="416"/>
      <c r="J643" s="417"/>
      <c r="K643" s="22"/>
      <c r="L643" s="22"/>
      <c r="M643" s="22"/>
      <c r="N643" s="22"/>
      <c r="O643" s="22"/>
      <c r="P643" s="22"/>
      <c r="Q643" s="69"/>
      <c r="R643" s="69"/>
    </row>
    <row customHeight="true" ht="16.071428571428573" r="644">
      <c r="A644" s="418" t="s">
        <v>427</v>
      </c>
      <c r="B644" s="419" t="s">
        <v>17</v>
      </c>
      <c r="C644" s="419"/>
      <c r="D644" s="420" t="s">
        <v>18</v>
      </c>
      <c r="E644" s="420" t="s">
        <v>19</v>
      </c>
      <c r="F644" s="420"/>
      <c r="G644" s="421"/>
      <c r="H644" s="420" t="s">
        <v>22</v>
      </c>
      <c r="I644" s="420" t="s">
        <v>23</v>
      </c>
      <c r="J644" s="422" t="s">
        <v>24</v>
      </c>
      <c r="K644" s="22"/>
      <c r="L644" s="22"/>
      <c r="M644" s="22"/>
      <c r="N644" s="22"/>
      <c r="O644" s="22"/>
      <c r="P644" s="22"/>
      <c r="Q644" s="69"/>
      <c r="R644" s="69"/>
    </row>
    <row customHeight="true" ht="16.071428571428573" r="645">
      <c r="A645" s="43" t="s">
        <v>427</v>
      </c>
      <c r="B645" s="26"/>
      <c r="C645" s="43"/>
      <c r="D645" s="25"/>
      <c r="E645" s="48"/>
      <c r="F645" s="48"/>
      <c r="G645" s="107"/>
      <c r="H645" s="48" t="s">
        <v>30</v>
      </c>
      <c r="I645" s="20"/>
      <c r="J645" s="21"/>
      <c r="K645" s="22"/>
      <c r="L645" s="22"/>
      <c r="M645" s="22"/>
      <c r="N645" s="22"/>
      <c r="O645" s="22"/>
      <c r="P645" s="22"/>
      <c r="Q645" s="69"/>
      <c r="R645" s="69"/>
    </row>
    <row customHeight="true" ht="16.071428571428573" r="646">
      <c r="A646" s="423" t="s">
        <v>428</v>
      </c>
      <c r="B646" s="424"/>
      <c r="C646" s="423"/>
      <c r="D646" s="425"/>
      <c r="E646" s="426"/>
      <c r="F646" s="427"/>
      <c r="G646" s="428"/>
      <c r="H646" s="426" t="s">
        <v>30</v>
      </c>
      <c r="I646" s="426"/>
      <c r="J646" s="429"/>
      <c r="K646" s="194"/>
      <c r="L646" s="194"/>
      <c r="M646" s="194"/>
      <c r="N646" s="194"/>
      <c r="O646" s="194"/>
      <c r="P646" s="194"/>
      <c r="Q646" s="103"/>
      <c r="R646" s="103"/>
    </row>
    <row customHeight="true" ht="16.071428571428573" r="647">
      <c r="A647" s="63"/>
      <c r="B647" s="63"/>
      <c r="C647" s="63"/>
      <c r="D647" s="145"/>
      <c r="E647" s="119"/>
      <c r="F647" s="119"/>
      <c r="G647" s="118"/>
      <c r="H647" s="119" t="s">
        <v>30</v>
      </c>
      <c r="I647" s="119"/>
      <c r="J647" s="195"/>
      <c r="K647" s="22"/>
      <c r="L647" s="22"/>
      <c r="M647" s="22"/>
      <c r="N647" s="22"/>
      <c r="O647" s="22"/>
      <c r="P647" s="22"/>
      <c r="Q647" s="69"/>
      <c r="R647" s="69"/>
    </row>
    <row customHeight="true" ht="16.071428571428573" r="648">
      <c r="A648" s="43" t="s">
        <v>429</v>
      </c>
      <c r="B648" s="26"/>
      <c r="C648" s="43"/>
      <c r="D648" s="25"/>
      <c r="E648" s="48"/>
      <c r="F648" s="43"/>
      <c r="G648" s="43"/>
      <c r="H648" s="20" t="s">
        <v>30</v>
      </c>
      <c r="I648" s="426"/>
      <c r="J648" s="227"/>
      <c r="K648" s="22"/>
      <c r="L648" s="22"/>
      <c r="M648" s="22"/>
      <c r="N648" s="22"/>
      <c r="O648" s="22"/>
      <c r="P648" s="22"/>
      <c r="Q648" s="69"/>
      <c r="R648" s="69"/>
    </row>
    <row customHeight="true" ht="16.071428571428573" r="649">
      <c r="A649" s="43" t="s">
        <v>430</v>
      </c>
      <c r="B649" s="26"/>
      <c r="C649" s="43"/>
      <c r="D649" s="25"/>
      <c r="E649" s="48"/>
      <c r="F649" s="430"/>
      <c r="G649" s="43"/>
      <c r="H649" s="20" t="s">
        <v>30</v>
      </c>
      <c r="I649" s="426"/>
      <c r="J649" s="227"/>
      <c r="K649" s="22"/>
      <c r="L649" s="22"/>
      <c r="M649" s="22"/>
      <c r="N649" s="22"/>
      <c r="O649" s="22"/>
      <c r="P649" s="22"/>
      <c r="Q649" s="69"/>
      <c r="R649" s="69"/>
    </row>
    <row customHeight="true" ht="16.071428571428573" r="650">
      <c r="A650" s="43"/>
      <c r="B650" s="20"/>
      <c r="C650" s="20"/>
      <c r="D650" s="46"/>
      <c r="E650" s="20"/>
      <c r="F650" s="20"/>
      <c r="G650" s="360"/>
      <c r="H650" s="20"/>
      <c r="I650" s="20"/>
      <c r="J650" s="361"/>
      <c r="K650" s="22"/>
      <c r="L650" s="22"/>
      <c r="M650" s="22"/>
      <c r="N650" s="22"/>
      <c r="O650" s="22"/>
      <c r="P650" s="22"/>
      <c r="Q650" s="69"/>
      <c r="R650" s="69"/>
    </row>
    <row r="651">
      <c r="A651" s="53"/>
      <c r="B651" s="53"/>
      <c r="C651" s="53"/>
      <c r="D651" s="152"/>
      <c r="E651" s="53"/>
      <c r="F651" s="53"/>
      <c r="G651" s="53"/>
      <c r="H651" s="53"/>
      <c r="I651" s="53"/>
      <c r="J651" s="53"/>
      <c r="K651" s="98"/>
      <c r="L651" s="98"/>
      <c r="M651" s="98"/>
      <c r="N651" s="98"/>
      <c r="O651" s="98"/>
      <c r="P651" s="98"/>
    </row>
    <row r="652">
      <c r="A652" s="53"/>
      <c r="B652" s="53"/>
      <c r="C652" s="53"/>
      <c r="D652" s="152"/>
      <c r="E652" s="53"/>
      <c r="F652" s="53"/>
      <c r="G652" s="53"/>
      <c r="H652" s="152"/>
      <c r="I652" s="53"/>
      <c r="J652" s="53"/>
      <c r="K652" s="98"/>
      <c r="L652" s="98"/>
      <c r="M652" s="98"/>
      <c r="N652" s="98"/>
      <c r="O652" s="98"/>
      <c r="P652" s="98"/>
    </row>
    <row customHeight="true" ht="35.714285714285715" r="653">
      <c r="A653" s="431" t="s">
        <v>431</v>
      </c>
      <c r="B653" s="431"/>
      <c r="C653" s="431"/>
      <c r="D653" s="431"/>
      <c r="E653" s="431"/>
      <c r="F653" s="431"/>
      <c r="G653" s="431"/>
      <c r="H653" s="431"/>
      <c r="I653" s="431"/>
      <c r="J653" s="432"/>
      <c r="K653" s="57"/>
      <c r="L653" s="57"/>
      <c r="M653" s="57"/>
      <c r="N653" s="57"/>
      <c r="O653" s="57"/>
      <c r="P653" s="57"/>
    </row>
    <row r="654">
      <c r="A654" s="433" t="s">
        <v>16</v>
      </c>
      <c r="B654" s="434" t="s">
        <v>17</v>
      </c>
      <c r="C654" s="434"/>
      <c r="D654" s="435" t="s">
        <v>18</v>
      </c>
      <c r="E654" s="436" t="s">
        <v>19</v>
      </c>
      <c r="F654" s="436" t="s">
        <v>20</v>
      </c>
      <c r="G654" s="437" t="s">
        <v>33</v>
      </c>
      <c r="H654" s="436" t="s">
        <v>22</v>
      </c>
      <c r="I654" s="438" t="s">
        <v>23</v>
      </c>
      <c r="J654" s="439" t="s">
        <v>24</v>
      </c>
      <c r="K654" s="42"/>
      <c r="L654" s="42"/>
      <c r="M654" s="42"/>
      <c r="N654" s="42"/>
      <c r="O654" s="42"/>
      <c r="P654" s="42"/>
    </row>
    <row customHeight="true" ht="18.452380952380953" r="655">
      <c r="A655" s="63" t="s">
        <v>431</v>
      </c>
      <c r="B655" s="144">
        <v>46303</v>
      </c>
      <c r="C655" s="63" t="str">
        <v>Thursday</v>
      </c>
      <c r="D655" s="145" t="s">
        <v>335</v>
      </c>
      <c r="E655" s="119">
        <f t="shared" ref="E655:E657" si="112">24*MOD(TIMEVALUE(TRIM(MID(D655,FIND("-",D655)+1,LEN(D655)))) - TIMEVALUE(TRIM(LEFT(D655,FIND("-",D655)-1))),1)</f>
      </c>
      <c r="F655" s="48" t="s">
        <v>176</v>
      </c>
      <c r="G655" s="122"/>
      <c r="H655" s="119" t="s">
        <v>30</v>
      </c>
      <c r="I655" s="195" t="s">
        <v>8</v>
      </c>
      <c r="J655" s="440"/>
      <c r="K655" s="22"/>
      <c r="L655" s="22"/>
      <c r="M655" s="22"/>
      <c r="N655" s="22"/>
      <c r="O655" s="22"/>
      <c r="P655" s="22"/>
      <c r="Q655" s="69"/>
      <c r="R655" s="69"/>
    </row>
    <row customHeight="true" ht="18.452380952380953" r="656">
      <c r="A656" s="63" t="s">
        <v>431</v>
      </c>
      <c r="B656" s="144">
        <v>46304</v>
      </c>
      <c r="C656" s="63" t="str">
        <v>Friday</v>
      </c>
      <c r="D656" s="145" t="s">
        <v>335</v>
      </c>
      <c r="E656" s="119">
        <f t="shared" si="112"/>
      </c>
      <c r="F656" s="48" t="s">
        <v>174</v>
      </c>
      <c r="G656" s="122"/>
      <c r="H656" s="119" t="s">
        <v>30</v>
      </c>
      <c r="I656" s="195" t="s">
        <v>8</v>
      </c>
      <c r="J656" s="440"/>
      <c r="K656" s="22"/>
      <c r="L656" s="22"/>
      <c r="M656" s="22"/>
      <c r="N656" s="22"/>
      <c r="O656" s="22"/>
      <c r="P656" s="22"/>
    </row>
    <row customHeight="true" ht="18.452380952380953" r="657">
      <c r="A657" s="63" t="s">
        <v>431</v>
      </c>
      <c r="B657" s="144">
        <v>46305</v>
      </c>
      <c r="C657" s="63" t="str">
        <v>Saturday</v>
      </c>
      <c r="D657" s="145" t="s">
        <v>335</v>
      </c>
      <c r="E657" s="119">
        <f t="shared" si="112"/>
      </c>
      <c r="F657" s="48" t="s">
        <v>174</v>
      </c>
      <c r="G657" s="122"/>
      <c r="H657" s="119" t="s">
        <v>30</v>
      </c>
      <c r="I657" s="32" t="s">
        <v>8</v>
      </c>
      <c r="J657" s="440"/>
      <c r="K657" s="22"/>
      <c r="L657" s="22"/>
      <c r="M657" s="22"/>
      <c r="N657" s="22"/>
      <c r="O657" s="22"/>
      <c r="P657" s="22"/>
    </row>
    <row r="658">
      <c r="A658" s="43"/>
      <c r="B658" s="43"/>
      <c r="C658" s="43"/>
      <c r="D658" s="20"/>
      <c r="E658" s="20"/>
      <c r="F658" s="20"/>
      <c r="G658" s="80"/>
      <c r="H658" s="48"/>
      <c r="I658" s="48"/>
      <c r="J658" s="83"/>
      <c r="K658" s="22"/>
      <c r="L658" s="22"/>
      <c r="M658" s="22"/>
      <c r="N658" s="22"/>
      <c r="O658" s="22"/>
      <c r="P658" s="22"/>
    </row>
    <row customHeight="true" ht="18.452380952380953" r="659">
      <c r="A659" s="348" t="s">
        <v>432</v>
      </c>
      <c r="B659" s="373">
        <v>46303</v>
      </c>
      <c r="C659" s="441" t="str">
        <v>Thursday</v>
      </c>
      <c r="D659" s="343" t="s">
        <v>433</v>
      </c>
      <c r="E659" s="345">
        <f t="shared" ref="E659:E661" si="113">24*MOD(TIMEVALUE(TRIM(MID(D659,FIND("-",D659)+1,LEN(D659)))) - TIMEVALUE(TRIM(LEFT(D659,FIND("-",D659)-1))),1)</f>
      </c>
      <c r="F659" s="345" t="s">
        <v>180</v>
      </c>
      <c r="G659" s="442"/>
      <c r="H659" s="350" t="s">
        <v>30</v>
      </c>
      <c r="I659" s="345" t="s">
        <v>28</v>
      </c>
      <c r="J659" s="443"/>
      <c r="K659" s="444"/>
      <c r="L659" s="444"/>
      <c r="M659" s="444"/>
      <c r="N659" s="444"/>
      <c r="O659" s="444"/>
      <c r="P659" s="444"/>
      <c r="Q659" s="383"/>
      <c r="R659" s="383"/>
    </row>
    <row r="660">
      <c r="A660" s="341" t="s">
        <v>432</v>
      </c>
      <c r="B660" s="373">
        <v>46304</v>
      </c>
      <c r="C660" s="348" t="str">
        <v>Friday</v>
      </c>
      <c r="D660" s="343" t="s">
        <v>433</v>
      </c>
      <c r="E660" s="350">
        <f t="shared" si="113"/>
      </c>
      <c r="F660" s="344" t="s">
        <v>434</v>
      </c>
      <c r="G660" s="445"/>
      <c r="H660" s="350" t="s">
        <v>30</v>
      </c>
      <c r="I660" s="345" t="s">
        <v>8</v>
      </c>
      <c r="J660" s="446"/>
      <c r="K660" s="447"/>
      <c r="L660" s="447"/>
      <c r="M660" s="447"/>
      <c r="N660" s="447"/>
      <c r="O660" s="447"/>
      <c r="P660" s="447"/>
    </row>
    <row customHeight="true" ht="18.452380952380953" r="661">
      <c r="A661" s="341" t="s">
        <v>432</v>
      </c>
      <c r="B661" s="373">
        <v>46305</v>
      </c>
      <c r="C661" s="348" t="str">
        <v>Saturday</v>
      </c>
      <c r="D661" s="343" t="s">
        <v>205</v>
      </c>
      <c r="E661" s="350">
        <f t="shared" si="113"/>
      </c>
      <c r="F661" s="344" t="s">
        <v>354</v>
      </c>
      <c r="G661" s="448" t="s">
        <v>435</v>
      </c>
      <c r="H661" s="350" t="s">
        <v>30</v>
      </c>
      <c r="I661" s="345" t="s">
        <v>28</v>
      </c>
      <c r="J661" s="446"/>
      <c r="K661" s="447"/>
      <c r="L661" s="447"/>
      <c r="M661" s="447"/>
      <c r="N661" s="447"/>
      <c r="O661" s="447"/>
      <c r="P661" s="447"/>
    </row>
    <row customHeight="true" ht="18.452380952380953" r="662">
      <c r="A662" s="43"/>
      <c r="B662" s="43"/>
      <c r="C662" s="43"/>
      <c r="D662" s="48"/>
      <c r="E662" s="48"/>
      <c r="F662" s="48"/>
      <c r="G662" s="52"/>
      <c r="H662" s="48"/>
      <c r="I662" s="48"/>
      <c r="J662" s="21"/>
      <c r="K662" s="22"/>
      <c r="L662" s="22"/>
      <c r="M662" s="22"/>
      <c r="N662" s="22"/>
      <c r="O662" s="22"/>
      <c r="P662" s="22"/>
    </row>
    <row customHeight="true" ht="18.452380952380953" r="663">
      <c r="A663" s="43" t="s">
        <v>436</v>
      </c>
      <c r="B663" s="144">
        <v>46301</v>
      </c>
      <c r="C663" s="63" t="str">
        <v>Tuesday</v>
      </c>
      <c r="D663" s="145" t="s">
        <v>126</v>
      </c>
      <c r="E663" s="119">
        <f>24*MOD(TIMEVALUE(TRIM(MID(D663,FIND("-",D663)+1,LEN(D663)))) - TIMEVALUE(TRIM(LEFT(D663,FIND("-",D663)-1))),1)</f>
      </c>
      <c r="F663" s="48" t="s">
        <v>353</v>
      </c>
      <c r="G663" s="52"/>
      <c r="H663" s="48"/>
      <c r="I663" s="48"/>
      <c r="J663" s="21"/>
      <c r="K663" s="22"/>
      <c r="L663" s="22"/>
      <c r="M663" s="22"/>
      <c r="N663" s="22"/>
      <c r="O663" s="22"/>
      <c r="P663" s="22"/>
    </row>
    <row customHeight="true" ht="16.071428571428573" r="664">
      <c r="A664" s="43"/>
      <c r="B664" s="43"/>
      <c r="C664" s="43"/>
      <c r="D664" s="48"/>
      <c r="E664" s="20"/>
      <c r="F664" s="48"/>
      <c r="G664" s="52"/>
      <c r="H664" s="449"/>
      <c r="I664" s="48"/>
      <c r="J664" s="21"/>
      <c r="K664" s="22"/>
      <c r="L664" s="22"/>
      <c r="M664" s="22"/>
      <c r="N664" s="22"/>
      <c r="O664" s="22"/>
      <c r="P664" s="22"/>
    </row>
    <row customHeight="true" ht="38.17663024813209" r="665">
      <c r="A665" s="450" t="s">
        <v>437</v>
      </c>
      <c r="B665" s="450"/>
      <c r="C665" s="450"/>
      <c r="D665" s="450"/>
      <c r="E665" s="450"/>
      <c r="F665" s="450"/>
      <c r="G665" s="450"/>
      <c r="H665" s="450"/>
      <c r="I665" s="450"/>
      <c r="J665" s="450"/>
      <c r="K665" s="22"/>
      <c r="L665" s="22"/>
      <c r="M665" s="22"/>
      <c r="N665" s="22"/>
      <c r="O665" s="22"/>
      <c r="P665" s="22"/>
    </row>
    <row customHeight="true" ht="28.571428571428573" r="666">
      <c r="A666" s="451" t="s">
        <v>16</v>
      </c>
      <c r="B666" s="452" t="s">
        <v>17</v>
      </c>
      <c r="C666" s="452"/>
      <c r="D666" s="453" t="s">
        <v>18</v>
      </c>
      <c r="E666" s="454" t="s">
        <v>19</v>
      </c>
      <c r="F666" s="454" t="s">
        <v>20</v>
      </c>
      <c r="G666" s="455" t="s">
        <v>33</v>
      </c>
      <c r="H666" s="454" t="s">
        <v>22</v>
      </c>
      <c r="I666" s="454" t="s">
        <v>23</v>
      </c>
      <c r="J666" s="456" t="s">
        <v>24</v>
      </c>
      <c r="K666" s="22"/>
      <c r="L666" s="22"/>
      <c r="M666" s="22"/>
      <c r="N666" s="22"/>
      <c r="O666" s="22"/>
      <c r="P666" s="22"/>
    </row>
    <row customHeight="true" ht="16.071428571428573" r="667">
      <c r="A667" s="63" t="s">
        <v>437</v>
      </c>
      <c r="B667" s="26">
        <v>46302</v>
      </c>
      <c r="C667" s="43" t="str">
        <v>Wednesday</v>
      </c>
      <c r="D667" s="440" t="s">
        <v>333</v>
      </c>
      <c r="E667" s="48">
        <f t="shared" ref="E667:E670" si="114">24*MOD(TIMEVALUE(TRIM(MID(D667,FIND("-",D667)+1,LEN(D667)))) - TIMEVALUE(TRIM(LEFT(D667,FIND("-",D667)-1))),1)</f>
      </c>
      <c r="F667" s="48" t="s">
        <v>176</v>
      </c>
      <c r="G667" s="107"/>
      <c r="H667" s="449" t="s">
        <v>30</v>
      </c>
      <c r="I667" s="195" t="s">
        <v>8</v>
      </c>
      <c r="J667" s="17"/>
      <c r="K667" s="22"/>
      <c r="L667" s="22"/>
      <c r="M667" s="22"/>
      <c r="N667" s="22"/>
      <c r="O667" s="22"/>
      <c r="P667" s="22"/>
    </row>
    <row customHeight="true" ht="16.071428571428573" r="668">
      <c r="A668" s="63" t="s">
        <v>437</v>
      </c>
      <c r="B668" s="26">
        <v>46304</v>
      </c>
      <c r="C668" s="43" t="str">
        <v>Friday</v>
      </c>
      <c r="D668" s="440" t="s">
        <v>333</v>
      </c>
      <c r="E668" s="457">
        <f t="shared" si="114"/>
      </c>
      <c r="F668" s="119" t="s">
        <v>35</v>
      </c>
      <c r="G668" s="107"/>
      <c r="H668" s="449" t="s">
        <v>30</v>
      </c>
      <c r="I668" s="32" t="s">
        <v>8</v>
      </c>
      <c r="J668" s="122"/>
      <c r="K668" s="22"/>
      <c r="L668" s="22"/>
      <c r="M668" s="22"/>
      <c r="N668" s="22"/>
      <c r="O668" s="22"/>
      <c r="P668" s="22"/>
    </row>
    <row customHeight="true" ht="16.071428571428573" r="669">
      <c r="A669" s="63" t="s">
        <v>437</v>
      </c>
      <c r="B669" s="26">
        <v>46305</v>
      </c>
      <c r="C669" s="43" t="str">
        <v>Saturday</v>
      </c>
      <c r="D669" s="458" t="s">
        <v>333</v>
      </c>
      <c r="E669" s="457">
        <f t="shared" si="114"/>
      </c>
      <c r="F669" s="48" t="s">
        <v>174</v>
      </c>
      <c r="G669" s="107"/>
      <c r="H669" s="449" t="s">
        <v>30</v>
      </c>
      <c r="I669" s="32" t="s">
        <v>8</v>
      </c>
      <c r="J669" s="122"/>
      <c r="K669" s="22"/>
      <c r="L669" s="22"/>
      <c r="M669" s="22"/>
      <c r="N669" s="22"/>
      <c r="O669" s="22"/>
      <c r="P669" s="22"/>
    </row>
    <row customHeight="true" ht="16.071428571428573" r="670">
      <c r="A670" s="63" t="s">
        <v>437</v>
      </c>
      <c r="B670" s="26">
        <v>46306</v>
      </c>
      <c r="C670" s="43" t="str">
        <v>Sunday</v>
      </c>
      <c r="D670" s="458" t="s">
        <v>333</v>
      </c>
      <c r="E670" s="457">
        <f t="shared" si="114"/>
      </c>
      <c r="F670" s="48" t="s">
        <v>438</v>
      </c>
      <c r="G670" s="107"/>
      <c r="H670" s="449" t="s">
        <v>30</v>
      </c>
      <c r="I670" s="32" t="s">
        <v>8</v>
      </c>
      <c r="J670" s="122"/>
      <c r="K670" s="22"/>
      <c r="L670" s="22"/>
      <c r="M670" s="22"/>
      <c r="N670" s="22"/>
      <c r="O670" s="22"/>
      <c r="P670" s="22"/>
    </row>
    <row customHeight="true" ht="16.071428571428573" r="671">
      <c r="A671" s="43"/>
      <c r="B671" s="26"/>
      <c r="C671" s="43"/>
      <c r="D671" s="48"/>
      <c r="E671" s="20"/>
      <c r="F671" s="48"/>
      <c r="G671" s="52"/>
      <c r="H671" s="449"/>
      <c r="I671" s="48"/>
      <c r="J671" s="21"/>
      <c r="K671" s="22"/>
      <c r="L671" s="22"/>
      <c r="M671" s="22"/>
      <c r="N671" s="22"/>
      <c r="O671" s="22"/>
      <c r="P671" s="22"/>
    </row>
    <row customHeight="true" ht="16.071428571428573" r="672">
      <c r="A672" s="341" t="s">
        <v>439</v>
      </c>
      <c r="B672" s="459">
        <v>46302</v>
      </c>
      <c r="C672" s="348" t="str">
        <v>Wednesday</v>
      </c>
      <c r="D672" s="351" t="s">
        <v>440</v>
      </c>
      <c r="E672" s="344">
        <f t="shared" ref="E672:E675" si="115">24*MOD(TIMEVALUE(TRIM(MID(D672,FIND("-",D672)+1,LEN(D672)))) - TIMEVALUE(TRIM(LEFT(D672,FIND("-",D672)-1))),1)</f>
      </c>
      <c r="F672" s="344" t="s">
        <v>434</v>
      </c>
      <c r="G672" s="397"/>
      <c r="H672" s="344" t="s">
        <v>30</v>
      </c>
      <c r="I672" s="345" t="s">
        <v>8</v>
      </c>
      <c r="J672" s="400"/>
      <c r="K672" s="22"/>
      <c r="L672" s="22"/>
      <c r="M672" s="22"/>
      <c r="N672" s="22"/>
      <c r="O672" s="22"/>
      <c r="P672" s="22"/>
    </row>
    <row customHeight="true" ht="16.071428571428573" r="673">
      <c r="A673" s="341" t="s">
        <v>439</v>
      </c>
      <c r="B673" s="459">
        <v>46304</v>
      </c>
      <c r="C673" s="348" t="str">
        <v>Friday</v>
      </c>
      <c r="D673" s="351" t="s">
        <v>440</v>
      </c>
      <c r="E673" s="344">
        <f t="shared" si="115"/>
      </c>
      <c r="F673" s="344" t="s">
        <v>434</v>
      </c>
      <c r="G673" s="397"/>
      <c r="H673" s="344" t="s">
        <v>30</v>
      </c>
      <c r="I673" s="345" t="s">
        <v>8</v>
      </c>
      <c r="J673" s="398"/>
      <c r="K673" s="22"/>
      <c r="L673" s="22"/>
      <c r="M673" s="22"/>
      <c r="N673" s="22"/>
      <c r="O673" s="22"/>
      <c r="P673" s="22"/>
    </row>
    <row customHeight="true" ht="16.071428571428573" r="674">
      <c r="A674" s="341" t="s">
        <v>439</v>
      </c>
      <c r="B674" s="459">
        <v>46305</v>
      </c>
      <c r="C674" s="348" t="str">
        <v>Saturday</v>
      </c>
      <c r="D674" s="351" t="s">
        <v>245</v>
      </c>
      <c r="E674" s="344">
        <f t="shared" si="115"/>
      </c>
      <c r="F674" s="344" t="s">
        <v>354</v>
      </c>
      <c r="G674" s="397"/>
      <c r="H674" s="344" t="s">
        <v>30</v>
      </c>
      <c r="I674" s="345" t="s">
        <v>8</v>
      </c>
      <c r="J674" s="398"/>
      <c r="K674" s="22"/>
      <c r="L674" s="22"/>
      <c r="M674" s="22"/>
      <c r="N674" s="22"/>
      <c r="O674" s="22"/>
      <c r="P674" s="22"/>
    </row>
    <row customHeight="true" ht="16.071428571428573" r="675">
      <c r="A675" s="341" t="s">
        <v>439</v>
      </c>
      <c r="B675" s="459">
        <v>46306</v>
      </c>
      <c r="C675" s="348" t="str">
        <v>Sunday</v>
      </c>
      <c r="D675" s="351" t="s">
        <v>245</v>
      </c>
      <c r="E675" s="344">
        <f t="shared" si="115"/>
      </c>
      <c r="F675" s="344" t="s">
        <v>367</v>
      </c>
      <c r="G675" s="397"/>
      <c r="H675" s="344" t="s">
        <v>30</v>
      </c>
      <c r="I675" s="48" t="s">
        <v>8</v>
      </c>
      <c r="J675" s="195"/>
      <c r="K675" s="22"/>
      <c r="L675" s="22"/>
      <c r="M675" s="22"/>
      <c r="N675" s="22"/>
      <c r="O675" s="22"/>
      <c r="P675" s="22"/>
      <c r="Q675" s="69"/>
      <c r="R675" s="69"/>
    </row>
    <row r="676">
      <c r="A676" s="43"/>
      <c r="B676" s="43"/>
      <c r="C676" s="43"/>
      <c r="D676" s="20"/>
      <c r="E676" s="20"/>
      <c r="F676" s="20"/>
      <c r="G676" s="80"/>
      <c r="H676" s="20"/>
      <c r="I676" s="20"/>
      <c r="J676" s="46"/>
      <c r="K676" s="22"/>
      <c r="L676" s="22"/>
      <c r="M676" s="22"/>
      <c r="N676" s="22"/>
      <c r="O676" s="22"/>
      <c r="P676" s="22"/>
    </row>
    <row r="677">
      <c r="A677" s="460" t="s">
        <v>441</v>
      </c>
      <c r="B677" s="460"/>
      <c r="C677" s="460"/>
      <c r="D677" s="460"/>
      <c r="E677" s="460"/>
      <c r="F677" s="460"/>
      <c r="G677" s="460"/>
      <c r="H677" s="460"/>
      <c r="I677" s="460"/>
      <c r="J677" s="461"/>
      <c r="K677" s="408"/>
      <c r="L677" s="408"/>
      <c r="M677" s="408"/>
      <c r="N677" s="408"/>
      <c r="O677" s="408"/>
      <c r="P677" s="408"/>
    </row>
    <row r="678">
      <c r="A678" s="462" t="s">
        <v>16</v>
      </c>
      <c r="B678" s="463" t="s">
        <v>17</v>
      </c>
      <c r="C678" s="463"/>
      <c r="D678" s="464" t="s">
        <v>18</v>
      </c>
      <c r="E678" s="464" t="s">
        <v>19</v>
      </c>
      <c r="F678" s="464" t="s">
        <v>20</v>
      </c>
      <c r="G678" s="465" t="s">
        <v>33</v>
      </c>
      <c r="H678" s="464" t="s">
        <v>22</v>
      </c>
      <c r="I678" s="464" t="s">
        <v>23</v>
      </c>
      <c r="J678" s="466" t="s">
        <v>24</v>
      </c>
      <c r="K678" s="42"/>
      <c r="L678" s="42"/>
      <c r="M678" s="42"/>
      <c r="N678" s="42"/>
      <c r="O678" s="42"/>
      <c r="P678" s="42"/>
    </row>
    <row r="679">
      <c r="A679" s="43" t="s">
        <v>441</v>
      </c>
      <c r="B679" s="26">
        <v>46245</v>
      </c>
      <c r="C679" s="43" t="str">
        <v>Tuesday</v>
      </c>
      <c r="D679" s="25" t="s">
        <v>442</v>
      </c>
      <c r="E679" s="48">
        <f t="shared" ref="E679:E680" si="116">24*MOD(TIMEVALUE(TRIM(MID(D679,FIND("-",D679)+1,LEN(D679)))) - TIMEVALUE(TRIM(LEFT(D679,FIND("-",D679)-1))),1)</f>
      </c>
      <c r="F679" s="20"/>
      <c r="G679" s="107"/>
      <c r="H679" s="449" t="s">
        <v>30</v>
      </c>
      <c r="I679" s="48" t="s">
        <v>8</v>
      </c>
      <c r="J679" s="21"/>
      <c r="K679" s="22"/>
      <c r="L679" s="22"/>
      <c r="M679" s="22"/>
      <c r="N679" s="22"/>
      <c r="O679" s="22"/>
      <c r="P679" s="22"/>
    </row>
    <row r="680">
      <c r="A680" s="467" t="s">
        <v>443</v>
      </c>
      <c r="B680" s="468">
        <v>46245</v>
      </c>
      <c r="C680" s="467" t="str">
        <v>Tuesday</v>
      </c>
      <c r="D680" s="469" t="s">
        <v>444</v>
      </c>
      <c r="E680" s="470">
        <f t="shared" si="116"/>
      </c>
      <c r="F680" s="470"/>
      <c r="G680" s="471"/>
      <c r="H680" s="472" t="s">
        <v>30</v>
      </c>
      <c r="I680" s="48" t="s">
        <v>8</v>
      </c>
      <c r="J680" s="473"/>
      <c r="K680" s="22"/>
      <c r="L680" s="22"/>
      <c r="M680" s="22"/>
      <c r="N680" s="22"/>
      <c r="O680" s="22"/>
      <c r="P680" s="22"/>
    </row>
    <row r="681">
      <c r="A681" s="43" t="s">
        <v>441</v>
      </c>
      <c r="B681" s="43"/>
      <c r="C681" s="43"/>
      <c r="D681" s="48"/>
      <c r="E681" s="474">
        <f>3</f>
      </c>
      <c r="F681" s="20"/>
      <c r="G681" s="52"/>
      <c r="H681" s="449"/>
      <c r="I681" s="20"/>
      <c r="J681" s="21"/>
      <c r="K681" s="22"/>
      <c r="L681" s="22"/>
      <c r="M681" s="22"/>
      <c r="N681" s="22"/>
      <c r="O681" s="22"/>
      <c r="P681" s="22"/>
    </row>
    <row r="682">
      <c r="A682" s="43" t="s">
        <v>441</v>
      </c>
      <c r="B682" s="26">
        <v>46246</v>
      </c>
      <c r="C682" s="43" t="str">
        <v>Wednesday</v>
      </c>
      <c r="D682" s="25" t="s">
        <v>214</v>
      </c>
      <c r="E682" s="48">
        <f t="shared" ref="E682:E683" si="117">24*MOD(TIMEVALUE(TRIM(MID(D682,FIND("-",D682)+1,LEN(D682)))) - TIMEVALUE(TRIM(LEFT(D682,FIND("-",D682)-1))),1)</f>
      </c>
      <c r="F682" s="20"/>
      <c r="G682" s="107"/>
      <c r="H682" s="449" t="s">
        <v>30</v>
      </c>
      <c r="I682" s="82" t="s">
        <v>8</v>
      </c>
      <c r="J682" s="21"/>
      <c r="K682" s="22"/>
      <c r="L682" s="22"/>
      <c r="M682" s="22"/>
      <c r="N682" s="22"/>
      <c r="O682" s="22"/>
      <c r="P682" s="22"/>
    </row>
    <row r="683">
      <c r="A683" s="467" t="s">
        <v>443</v>
      </c>
      <c r="B683" s="468">
        <v>46246</v>
      </c>
      <c r="C683" s="467" t="str">
        <v>Wednesday</v>
      </c>
      <c r="D683" s="469" t="s">
        <v>223</v>
      </c>
      <c r="E683" s="470">
        <f t="shared" si="117"/>
      </c>
      <c r="F683" s="470"/>
      <c r="G683" s="471"/>
      <c r="H683" s="472" t="s">
        <v>30</v>
      </c>
      <c r="I683" s="48" t="s">
        <v>8</v>
      </c>
      <c r="J683" s="475"/>
      <c r="K683" s="302"/>
      <c r="L683" s="302"/>
      <c r="M683" s="302"/>
      <c r="N683" s="302"/>
      <c r="O683" s="302"/>
      <c r="P683" s="302"/>
    </row>
    <row r="684">
      <c r="A684" s="43" t="s">
        <v>441</v>
      </c>
      <c r="B684" s="43"/>
      <c r="C684" s="43"/>
      <c r="D684" s="48"/>
      <c r="E684" s="474">
        <f>3</f>
      </c>
      <c r="F684" s="20"/>
      <c r="G684" s="52"/>
      <c r="H684" s="449"/>
      <c r="I684" s="20"/>
      <c r="J684" s="21"/>
      <c r="K684" s="22"/>
      <c r="L684" s="22"/>
      <c r="M684" s="22"/>
      <c r="N684" s="22"/>
      <c r="O684" s="22"/>
      <c r="P684" s="22"/>
    </row>
    <row r="685">
      <c r="A685" s="43" t="s">
        <v>441</v>
      </c>
      <c r="B685" s="26">
        <v>46247</v>
      </c>
      <c r="C685" s="43" t="str">
        <v>Thursday</v>
      </c>
      <c r="D685" s="25" t="s">
        <v>442</v>
      </c>
      <c r="E685" s="48">
        <f t="shared" ref="E685:E686" si="118">24*MOD(TIMEVALUE(TRIM(MID(D685,FIND("-",D685)+1,LEN(D685)))) - TIMEVALUE(TRIM(LEFT(D685,FIND("-",D685)-1))),1)</f>
      </c>
      <c r="F685" s="20"/>
      <c r="G685" s="107"/>
      <c r="H685" s="449" t="s">
        <v>30</v>
      </c>
      <c r="I685" s="48" t="s">
        <v>8</v>
      </c>
      <c r="J685" s="21"/>
      <c r="K685" s="22"/>
      <c r="L685" s="22"/>
      <c r="M685" s="22"/>
      <c r="N685" s="22"/>
      <c r="O685" s="22"/>
      <c r="P685" s="22"/>
    </row>
    <row r="686">
      <c r="A686" s="467" t="s">
        <v>443</v>
      </c>
      <c r="B686" s="468">
        <v>46247</v>
      </c>
      <c r="C686" s="467" t="str">
        <v>Thursday</v>
      </c>
      <c r="D686" s="469" t="s">
        <v>445</v>
      </c>
      <c r="E686" s="470">
        <f t="shared" si="118"/>
      </c>
      <c r="F686" s="470"/>
      <c r="G686" s="471"/>
      <c r="H686" s="472" t="s">
        <v>30</v>
      </c>
      <c r="I686" s="48" t="s">
        <v>8</v>
      </c>
      <c r="J686" s="473"/>
      <c r="K686" s="22"/>
      <c r="L686" s="22"/>
      <c r="M686" s="22"/>
      <c r="N686" s="22"/>
      <c r="O686" s="22"/>
      <c r="P686" s="22"/>
    </row>
    <row r="687">
      <c r="A687" s="43" t="s">
        <v>441</v>
      </c>
      <c r="B687" s="43"/>
      <c r="C687" s="43"/>
      <c r="D687" s="48"/>
      <c r="E687" s="474">
        <f>3</f>
      </c>
      <c r="F687" s="20"/>
      <c r="G687" s="52"/>
      <c r="H687" s="449"/>
      <c r="I687" s="20"/>
      <c r="J687" s="21"/>
      <c r="K687" s="22"/>
      <c r="L687" s="22"/>
      <c r="M687" s="22"/>
      <c r="N687" s="22"/>
      <c r="O687" s="22"/>
      <c r="P687" s="22"/>
    </row>
    <row r="688">
      <c r="A688" s="43" t="s">
        <v>441</v>
      </c>
      <c r="B688" s="26">
        <v>46248</v>
      </c>
      <c r="C688" s="43" t="str">
        <v>Friday</v>
      </c>
      <c r="D688" s="25" t="s">
        <v>281</v>
      </c>
      <c r="E688" s="48">
        <f t="shared" ref="E688:E689" si="119">24*MOD(TIMEVALUE(TRIM(MID(D688,FIND("-",D688)+1,LEN(D688)))) - TIMEVALUE(TRIM(LEFT(D688,FIND("-",D688)-1))),1)</f>
      </c>
      <c r="F688" s="20"/>
      <c r="G688" s="107"/>
      <c r="H688" s="449" t="s">
        <v>30</v>
      </c>
      <c r="I688" s="48" t="s">
        <v>8</v>
      </c>
      <c r="J688" s="21"/>
      <c r="K688" s="22"/>
      <c r="L688" s="22"/>
      <c r="M688" s="22"/>
      <c r="N688" s="22"/>
      <c r="O688" s="22"/>
      <c r="P688" s="22"/>
    </row>
    <row r="689">
      <c r="A689" s="467" t="s">
        <v>443</v>
      </c>
      <c r="B689" s="468">
        <v>46248</v>
      </c>
      <c r="C689" s="467" t="str">
        <v>Friday</v>
      </c>
      <c r="D689" s="469" t="s">
        <v>446</v>
      </c>
      <c r="E689" s="470">
        <f t="shared" si="119"/>
      </c>
      <c r="F689" s="470"/>
      <c r="G689" s="471"/>
      <c r="H689" s="472" t="s">
        <v>30</v>
      </c>
      <c r="I689" s="48" t="s">
        <v>8</v>
      </c>
      <c r="J689" s="473"/>
      <c r="K689" s="22"/>
      <c r="L689" s="22"/>
      <c r="M689" s="22"/>
      <c r="N689" s="22"/>
      <c r="O689" s="22"/>
      <c r="P689" s="22"/>
    </row>
    <row r="690">
      <c r="A690" s="43" t="s">
        <v>441</v>
      </c>
      <c r="B690" s="43"/>
      <c r="C690" s="43"/>
      <c r="D690" s="48"/>
      <c r="E690" s="474">
        <f>3</f>
      </c>
      <c r="F690" s="20"/>
      <c r="G690" s="52"/>
      <c r="H690" s="449"/>
      <c r="I690" s="20"/>
      <c r="J690" s="21"/>
      <c r="K690" s="22"/>
      <c r="L690" s="22"/>
      <c r="M690" s="22"/>
      <c r="N690" s="22"/>
      <c r="O690" s="22"/>
      <c r="P690" s="22"/>
    </row>
    <row r="691">
      <c r="A691" s="43" t="s">
        <v>441</v>
      </c>
      <c r="B691" s="26">
        <v>46249</v>
      </c>
      <c r="C691" s="43" t="str">
        <v>Saturday</v>
      </c>
      <c r="D691" s="25" t="s">
        <v>358</v>
      </c>
      <c r="E691" s="48">
        <f t="shared" ref="E691:E692" si="120">24*MOD(TIMEVALUE(TRIM(MID(D691,FIND("-",D691)+1,LEN(D691)))) - TIMEVALUE(TRIM(LEFT(D691,FIND("-",D691)-1))),1)</f>
      </c>
      <c r="F691" s="20"/>
      <c r="G691" s="107"/>
      <c r="H691" s="449" t="s">
        <v>30</v>
      </c>
      <c r="I691" s="48" t="s">
        <v>8</v>
      </c>
      <c r="J691" s="21"/>
      <c r="K691" s="22"/>
      <c r="L691" s="22"/>
      <c r="M691" s="22"/>
      <c r="N691" s="22"/>
      <c r="O691" s="22"/>
      <c r="P691" s="22"/>
    </row>
    <row r="692">
      <c r="A692" s="467" t="s">
        <v>443</v>
      </c>
      <c r="B692" s="468">
        <v>46249</v>
      </c>
      <c r="C692" s="467" t="str">
        <v>Saturday</v>
      </c>
      <c r="D692" s="469" t="s">
        <v>358</v>
      </c>
      <c r="E692" s="470">
        <f t="shared" si="120"/>
      </c>
      <c r="F692" s="470"/>
      <c r="G692" s="471"/>
      <c r="H692" s="472" t="s">
        <v>30</v>
      </c>
      <c r="I692" s="48" t="s">
        <v>8</v>
      </c>
      <c r="J692" s="473"/>
      <c r="K692" s="22"/>
      <c r="L692" s="22"/>
      <c r="M692" s="22"/>
      <c r="N692" s="22"/>
      <c r="O692" s="22"/>
      <c r="P692" s="22"/>
    </row>
    <row r="693">
      <c r="A693" s="43" t="s">
        <v>441</v>
      </c>
      <c r="B693" s="43"/>
      <c r="C693" s="43"/>
      <c r="D693" s="48"/>
      <c r="E693" s="474">
        <f>3</f>
      </c>
      <c r="F693" s="20"/>
      <c r="G693" s="52"/>
      <c r="H693" s="449"/>
      <c r="I693" s="20"/>
      <c r="J693" s="21"/>
      <c r="K693" s="22"/>
      <c r="L693" s="22"/>
      <c r="M693" s="22"/>
      <c r="N693" s="22"/>
      <c r="O693" s="22"/>
      <c r="P693" s="22"/>
    </row>
    <row customHeight="true" ht="18.452380952380953" r="694">
      <c r="A694" s="43" t="s">
        <v>441</v>
      </c>
      <c r="B694" s="26">
        <v>46250</v>
      </c>
      <c r="C694" s="43" t="str">
        <v>Sunday</v>
      </c>
      <c r="D694" s="25" t="s">
        <v>260</v>
      </c>
      <c r="E694" s="48">
        <f t="shared" ref="E694:E695" si="121">24*MOD(TIMEVALUE(TRIM(MID(D694,FIND("-",D694)+1,LEN(D694)))) - TIMEVALUE(TRIM(LEFT(D694,FIND("-",D694)-1))),1)</f>
      </c>
      <c r="F694" s="20"/>
      <c r="G694" s="107"/>
      <c r="H694" s="449" t="s">
        <v>30</v>
      </c>
      <c r="I694" s="48" t="s">
        <v>8</v>
      </c>
      <c r="J694" s="21"/>
      <c r="K694" s="22"/>
      <c r="L694" s="22"/>
      <c r="M694" s="22"/>
      <c r="N694" s="22"/>
      <c r="O694" s="22"/>
      <c r="P694" s="22"/>
    </row>
    <row customHeight="true" ht="18.452380952380953" r="695">
      <c r="A695" s="467" t="s">
        <v>443</v>
      </c>
      <c r="B695" s="468">
        <v>46250</v>
      </c>
      <c r="C695" s="467" t="str">
        <v>Sunday</v>
      </c>
      <c r="D695" s="469" t="s">
        <v>269</v>
      </c>
      <c r="E695" s="470">
        <f t="shared" si="121"/>
      </c>
      <c r="F695" s="470"/>
      <c r="G695" s="471"/>
      <c r="H695" s="472" t="s">
        <v>30</v>
      </c>
      <c r="I695" s="48" t="s">
        <v>28</v>
      </c>
      <c r="J695" s="473"/>
      <c r="K695" s="22"/>
      <c r="L695" s="22"/>
      <c r="M695" s="22"/>
      <c r="N695" s="22"/>
      <c r="O695" s="22"/>
      <c r="P695" s="22"/>
    </row>
    <row customHeight="true" ht="18.452380952380953" r="696">
      <c r="A696" s="43" t="s">
        <v>441</v>
      </c>
      <c r="B696" s="43"/>
      <c r="C696" s="43"/>
      <c r="D696" s="48"/>
      <c r="E696" s="474">
        <f>3</f>
      </c>
      <c r="F696" s="20"/>
      <c r="G696" s="52"/>
      <c r="H696" s="449"/>
      <c r="I696" s="20"/>
      <c r="J696" s="21"/>
      <c r="K696" s="22"/>
      <c r="L696" s="22"/>
      <c r="M696" s="22"/>
      <c r="N696" s="22"/>
      <c r="O696" s="22"/>
      <c r="P696" s="22"/>
    </row>
    <row r="697">
      <c r="A697" s="104"/>
      <c r="B697" s="43"/>
      <c r="C697" s="43"/>
      <c r="D697" s="48"/>
      <c r="E697" s="48"/>
      <c r="F697" s="48"/>
      <c r="G697" s="52"/>
      <c r="H697" s="449"/>
      <c r="I697" s="48"/>
      <c r="J697" s="21"/>
      <c r="K697" s="22"/>
      <c r="L697" s="22"/>
      <c r="M697" s="22"/>
      <c r="N697" s="22"/>
      <c r="O697" s="22"/>
      <c r="P697" s="22"/>
    </row>
    <row r="698">
      <c r="A698" s="43"/>
      <c r="B698" s="43"/>
      <c r="C698" s="43"/>
      <c r="D698" s="48"/>
      <c r="E698" s="48"/>
      <c r="F698" s="48"/>
      <c r="G698" s="52"/>
      <c r="H698" s="449"/>
      <c r="I698" s="48"/>
      <c r="J698" s="21"/>
      <c r="K698" s="22"/>
      <c r="L698" s="22"/>
      <c r="M698" s="22"/>
      <c r="N698" s="22"/>
      <c r="O698" s="22"/>
      <c r="P698" s="22"/>
    </row>
    <row r="699">
      <c r="A699" s="43" t="s">
        <v>447</v>
      </c>
      <c r="B699" s="26">
        <v>46245</v>
      </c>
      <c r="C699" s="43" t="str">
        <v>Tuesday</v>
      </c>
      <c r="D699" s="50" t="s">
        <v>448</v>
      </c>
      <c r="E699" s="20">
        <f t="shared" ref="E699:E704" si="122">24*MOD(TIMEVALUE(TRIM(MID(D699,FIND("-",D699)+1,LEN(D699)))) - TIMEVALUE(TRIM(LEFT(D699,FIND("-",D699)-1))),1)</f>
      </c>
      <c r="F699" s="48"/>
      <c r="G699" s="96"/>
      <c r="H699" s="233" t="s">
        <v>30</v>
      </c>
      <c r="I699" s="48" t="s">
        <v>8</v>
      </c>
      <c r="J699" s="46"/>
      <c r="K699" s="22"/>
      <c r="L699" s="22"/>
      <c r="M699" s="22"/>
      <c r="N699" s="22"/>
      <c r="O699" s="22"/>
      <c r="P699" s="22"/>
    </row>
    <row r="700">
      <c r="A700" s="43" t="s">
        <v>447</v>
      </c>
      <c r="B700" s="26">
        <v>46245</v>
      </c>
      <c r="C700" s="43" t="str">
        <v>Tuesday</v>
      </c>
      <c r="D700" s="50" t="s">
        <v>449</v>
      </c>
      <c r="E700" s="20">
        <f t="shared" si="122"/>
      </c>
      <c r="F700" s="48"/>
      <c r="G700" s="80"/>
      <c r="H700" s="233" t="s">
        <v>30</v>
      </c>
      <c r="I700" s="48" t="s">
        <v>8</v>
      </c>
      <c r="J700" s="46"/>
      <c r="K700" s="22"/>
      <c r="L700" s="22"/>
      <c r="M700" s="22"/>
      <c r="N700" s="22"/>
      <c r="O700" s="22"/>
      <c r="P700" s="22"/>
    </row>
    <row r="701">
      <c r="A701" s="43" t="s">
        <v>447</v>
      </c>
      <c r="B701" s="26">
        <v>46246</v>
      </c>
      <c r="C701" s="43" t="str">
        <v>Wednesday</v>
      </c>
      <c r="D701" s="50" t="s">
        <v>450</v>
      </c>
      <c r="E701" s="20">
        <f t="shared" si="122"/>
      </c>
      <c r="F701" s="48"/>
      <c r="G701" s="80"/>
      <c r="H701" s="233" t="s">
        <v>30</v>
      </c>
      <c r="I701" s="48" t="s">
        <v>8</v>
      </c>
      <c r="J701" s="46"/>
      <c r="K701" s="22"/>
      <c r="L701" s="22"/>
      <c r="M701" s="22"/>
      <c r="N701" s="22"/>
      <c r="O701" s="22"/>
      <c r="P701" s="22"/>
    </row>
    <row r="702">
      <c r="A702" s="43" t="s">
        <v>447</v>
      </c>
      <c r="B702" s="43">
        <v>46234</v>
      </c>
      <c r="C702" s="43" t="str">
        <v>Friday</v>
      </c>
      <c r="D702" s="25" t="s">
        <v>451</v>
      </c>
      <c r="E702" s="20">
        <f t="shared" si="122"/>
      </c>
      <c r="F702" s="48"/>
      <c r="G702" s="80"/>
      <c r="H702" s="233" t="s">
        <v>30</v>
      </c>
      <c r="I702" s="48" t="s">
        <v>28</v>
      </c>
      <c r="J702" s="46"/>
      <c r="K702" s="22"/>
      <c r="L702" s="22"/>
      <c r="M702" s="22"/>
      <c r="N702" s="22"/>
      <c r="O702" s="22"/>
      <c r="P702" s="22"/>
    </row>
    <row r="703">
      <c r="A703" s="43" t="s">
        <v>447</v>
      </c>
      <c r="B703" s="43">
        <v>46220</v>
      </c>
      <c r="C703" s="43" t="str">
        <v>Friday</v>
      </c>
      <c r="D703" s="20" t="s">
        <v>452</v>
      </c>
      <c r="E703" s="20">
        <f t="shared" si="122"/>
      </c>
      <c r="F703" s="48"/>
      <c r="G703" s="80"/>
      <c r="H703" s="233" t="s">
        <v>30</v>
      </c>
      <c r="I703" s="48" t="s">
        <v>28</v>
      </c>
      <c r="J703" s="46"/>
      <c r="K703" s="22"/>
      <c r="L703" s="22"/>
      <c r="M703" s="22"/>
      <c r="N703" s="22"/>
      <c r="O703" s="22"/>
      <c r="P703" s="22"/>
    </row>
    <row r="704">
      <c r="A704" s="43" t="s">
        <v>447</v>
      </c>
      <c r="B704" s="43">
        <v>46219</v>
      </c>
      <c r="C704" s="43" t="str">
        <v>Thursday</v>
      </c>
      <c r="D704" s="20" t="s">
        <v>453</v>
      </c>
      <c r="E704" s="20">
        <f t="shared" si="122"/>
      </c>
      <c r="F704" s="48"/>
      <c r="G704" s="80"/>
      <c r="H704" s="233" t="s">
        <v>30</v>
      </c>
      <c r="I704" s="48" t="s">
        <v>28</v>
      </c>
      <c r="J704" s="46"/>
      <c r="K704" s="22"/>
      <c r="L704" s="22"/>
      <c r="M704" s="22"/>
      <c r="N704" s="22"/>
      <c r="O704" s="22"/>
      <c r="P704" s="22"/>
    </row>
    <row r="705">
      <c r="A705" s="362"/>
      <c r="B705" s="362"/>
      <c r="C705" s="362"/>
      <c r="D705" s="362"/>
      <c r="E705" s="362"/>
      <c r="F705" s="362"/>
      <c r="G705" s="363"/>
      <c r="H705" s="362"/>
      <c r="I705" s="362"/>
      <c r="J705" s="362"/>
      <c r="K705" s="22"/>
      <c r="L705" s="22"/>
      <c r="M705" s="22"/>
      <c r="N705" s="22"/>
      <c r="O705" s="22"/>
      <c r="P705" s="22"/>
    </row>
    <row r="706">
      <c r="A706" s="53"/>
      <c r="B706" s="53"/>
      <c r="C706" s="53"/>
      <c r="D706" s="152"/>
      <c r="E706" s="53"/>
      <c r="F706" s="53"/>
      <c r="G706" s="53"/>
      <c r="H706" s="53"/>
      <c r="I706" s="53"/>
      <c r="J706" s="53"/>
      <c r="K706" s="98"/>
      <c r="L706" s="98"/>
      <c r="M706" s="98"/>
      <c r="N706" s="98"/>
      <c r="O706" s="98"/>
      <c r="P706" s="98"/>
    </row>
    <row r="707">
      <c r="A707" s="476" t="s">
        <v>454</v>
      </c>
      <c r="B707" s="477"/>
      <c r="C707" s="476"/>
      <c r="D707" s="476"/>
      <c r="E707" s="476"/>
      <c r="F707" s="476"/>
      <c r="G707" s="476"/>
      <c r="H707" s="476"/>
      <c r="I707" s="476"/>
      <c r="J707" s="478"/>
      <c r="K707" s="408"/>
      <c r="L707" s="408"/>
      <c r="M707" s="408"/>
      <c r="N707" s="408"/>
      <c r="O707" s="408"/>
      <c r="P707" s="408"/>
    </row>
    <row r="708">
      <c r="A708" s="296" t="s">
        <v>454</v>
      </c>
      <c r="B708" s="297" t="s">
        <v>17</v>
      </c>
      <c r="C708" s="297"/>
      <c r="D708" s="298" t="s">
        <v>18</v>
      </c>
      <c r="E708" s="298" t="s">
        <v>19</v>
      </c>
      <c r="F708" s="298" t="s">
        <v>20</v>
      </c>
      <c r="G708" s="299" t="s">
        <v>33</v>
      </c>
      <c r="H708" s="298" t="s">
        <v>22</v>
      </c>
      <c r="I708" s="298" t="s">
        <v>23</v>
      </c>
      <c r="J708" s="300" t="s">
        <v>24</v>
      </c>
      <c r="K708" s="42"/>
      <c r="L708" s="42"/>
      <c r="M708" s="42"/>
      <c r="N708" s="42"/>
      <c r="O708" s="42"/>
      <c r="P708" s="42"/>
    </row>
    <row r="709">
      <c r="A709" s="43" t="s">
        <v>454</v>
      </c>
      <c r="B709" s="26">
        <v>46301</v>
      </c>
      <c r="C709" s="63" t="str">
        <v>Tuesday</v>
      </c>
      <c r="D709" s="25" t="s">
        <v>282</v>
      </c>
      <c r="E709" s="119">
        <f t="shared" ref="E709:E722" si="123">24*MOD(TIMEVALUE(TRIM(MID(D709,FIND("-",D709)+1,LEN(D709)))) - TIMEVALUE(TRIM(LEFT(D709,FIND("-",D709)-1))),1)</f>
      </c>
      <c r="F709" s="48" t="s">
        <v>367</v>
      </c>
      <c r="G709" s="107"/>
      <c r="H709" s="119" t="s">
        <v>30</v>
      </c>
      <c r="I709" s="48" t="s">
        <v>8</v>
      </c>
      <c r="J709" s="195"/>
      <c r="K709" s="22"/>
      <c r="L709" s="22"/>
      <c r="M709" s="22"/>
      <c r="N709" s="22"/>
      <c r="O709" s="22"/>
      <c r="P709" s="22"/>
    </row>
    <row r="710">
      <c r="A710" s="479" t="s">
        <v>455</v>
      </c>
      <c r="B710" s="480">
        <v>46301</v>
      </c>
      <c r="C710" s="479" t="str">
        <v>Tuesday</v>
      </c>
      <c r="D710" s="481" t="s">
        <v>451</v>
      </c>
      <c r="E710" s="482">
        <f t="shared" si="123"/>
      </c>
      <c r="F710" s="482" t="s">
        <v>456</v>
      </c>
      <c r="G710" s="483"/>
      <c r="H710" s="484" t="s">
        <v>30</v>
      </c>
      <c r="I710" s="82" t="s">
        <v>8</v>
      </c>
      <c r="J710" s="485"/>
      <c r="K710" s="22"/>
      <c r="L710" s="22"/>
      <c r="M710" s="22"/>
      <c r="N710" s="22"/>
      <c r="O710" s="22"/>
      <c r="P710" s="22"/>
    </row>
    <row r="711">
      <c r="A711" s="43" t="s">
        <v>454</v>
      </c>
      <c r="B711" s="26">
        <v>46302</v>
      </c>
      <c r="C711" s="43" t="str">
        <v>Wednesday</v>
      </c>
      <c r="D711" s="25" t="s">
        <v>282</v>
      </c>
      <c r="E711" s="119">
        <f t="shared" si="123"/>
      </c>
      <c r="F711" s="48" t="s">
        <v>367</v>
      </c>
      <c r="G711" s="96"/>
      <c r="H711" s="48" t="s">
        <v>30</v>
      </c>
      <c r="I711" s="48" t="s">
        <v>8</v>
      </c>
      <c r="J711" s="46"/>
      <c r="K711" s="22"/>
      <c r="L711" s="22"/>
      <c r="M711" s="22"/>
      <c r="N711" s="22"/>
      <c r="O711" s="22"/>
      <c r="P711" s="22"/>
    </row>
    <row r="712">
      <c r="A712" s="479" t="s">
        <v>455</v>
      </c>
      <c r="B712" s="486">
        <v>46302</v>
      </c>
      <c r="C712" s="479" t="str">
        <v>Wednesday</v>
      </c>
      <c r="D712" s="481" t="s">
        <v>451</v>
      </c>
      <c r="E712" s="482">
        <f t="shared" si="123"/>
      </c>
      <c r="F712" s="482" t="s">
        <v>456</v>
      </c>
      <c r="G712" s="483"/>
      <c r="H712" s="484" t="s">
        <v>30</v>
      </c>
      <c r="I712" s="82" t="s">
        <v>8</v>
      </c>
      <c r="J712" s="485"/>
      <c r="K712" s="22"/>
      <c r="L712" s="22"/>
      <c r="M712" s="22"/>
      <c r="N712" s="22"/>
      <c r="O712" s="22"/>
      <c r="P712" s="22"/>
    </row>
    <row r="713">
      <c r="A713" s="43" t="s">
        <v>454</v>
      </c>
      <c r="B713" s="144">
        <v>46303</v>
      </c>
      <c r="C713" s="43" t="str">
        <v>Thursday</v>
      </c>
      <c r="D713" s="25" t="s">
        <v>282</v>
      </c>
      <c r="E713" s="119">
        <f t="shared" si="123"/>
      </c>
      <c r="F713" s="48" t="s">
        <v>363</v>
      </c>
      <c r="G713" s="96"/>
      <c r="H713" s="48" t="s">
        <v>30</v>
      </c>
      <c r="I713" s="48" t="s">
        <v>28</v>
      </c>
      <c r="J713" s="46"/>
      <c r="K713" s="22"/>
      <c r="L713" s="22"/>
      <c r="M713" s="22"/>
      <c r="N713" s="22"/>
      <c r="O713" s="22"/>
      <c r="P713" s="22"/>
    </row>
    <row r="714">
      <c r="A714" s="479" t="s">
        <v>455</v>
      </c>
      <c r="B714" s="486">
        <v>46303</v>
      </c>
      <c r="C714" s="479" t="str">
        <v>Thursday</v>
      </c>
      <c r="D714" s="481" t="s">
        <v>451</v>
      </c>
      <c r="E714" s="482">
        <f t="shared" si="123"/>
      </c>
      <c r="F714" s="482" t="s">
        <v>456</v>
      </c>
      <c r="G714" s="483"/>
      <c r="H714" s="484" t="s">
        <v>30</v>
      </c>
      <c r="I714" s="82" t="s">
        <v>8</v>
      </c>
      <c r="J714" s="485"/>
      <c r="K714" s="22"/>
      <c r="L714" s="22"/>
      <c r="M714" s="22"/>
      <c r="N714" s="22"/>
      <c r="O714" s="22"/>
      <c r="P714" s="22"/>
    </row>
    <row r="715">
      <c r="A715" s="43" t="s">
        <v>454</v>
      </c>
      <c r="B715" s="144">
        <v>46304</v>
      </c>
      <c r="C715" s="43" t="str">
        <v>Friday</v>
      </c>
      <c r="D715" s="25" t="s">
        <v>282</v>
      </c>
      <c r="E715" s="119">
        <f t="shared" si="123"/>
      </c>
      <c r="F715" s="48" t="s">
        <v>363</v>
      </c>
      <c r="G715" s="96"/>
      <c r="H715" s="119" t="s">
        <v>30</v>
      </c>
      <c r="I715" s="82" t="s">
        <v>28</v>
      </c>
      <c r="J715" s="485"/>
      <c r="K715" s="22"/>
      <c r="L715" s="22"/>
      <c r="M715" s="22"/>
      <c r="N715" s="22"/>
      <c r="O715" s="22"/>
      <c r="P715" s="22"/>
    </row>
    <row r="716">
      <c r="A716" s="479" t="s">
        <v>455</v>
      </c>
      <c r="B716" s="486">
        <v>46304</v>
      </c>
      <c r="C716" s="479" t="str">
        <v>Friday</v>
      </c>
      <c r="D716" s="481" t="s">
        <v>451</v>
      </c>
      <c r="E716" s="482">
        <f t="shared" si="123"/>
      </c>
      <c r="F716" s="482" t="s">
        <v>456</v>
      </c>
      <c r="G716" s="483"/>
      <c r="H716" s="482" t="s">
        <v>30</v>
      </c>
      <c r="I716" s="82" t="s">
        <v>8</v>
      </c>
      <c r="J716" s="46"/>
      <c r="K716" s="22"/>
      <c r="L716" s="22"/>
      <c r="M716" s="22"/>
      <c r="N716" s="22"/>
      <c r="O716" s="22"/>
      <c r="P716" s="22"/>
    </row>
    <row r="717">
      <c r="A717" s="43" t="s">
        <v>454</v>
      </c>
      <c r="B717" s="26">
        <v>46305</v>
      </c>
      <c r="C717" s="43" t="str">
        <v>Saturday</v>
      </c>
      <c r="D717" s="25" t="s">
        <v>282</v>
      </c>
      <c r="E717" s="119">
        <f t="shared" si="123"/>
      </c>
      <c r="F717" s="48" t="s">
        <v>363</v>
      </c>
      <c r="G717" s="96"/>
      <c r="H717" s="119" t="s">
        <v>30</v>
      </c>
      <c r="I717" s="48" t="s">
        <v>28</v>
      </c>
      <c r="J717" s="485"/>
      <c r="K717" s="22"/>
      <c r="L717" s="22"/>
      <c r="M717" s="22"/>
      <c r="N717" s="22"/>
      <c r="O717" s="22"/>
      <c r="P717" s="22"/>
    </row>
    <row customHeight="true" ht="18.452380952380953" r="718">
      <c r="A718" s="479" t="s">
        <v>455</v>
      </c>
      <c r="B718" s="480">
        <v>46305</v>
      </c>
      <c r="C718" s="487" t="str">
        <v>Saturday</v>
      </c>
      <c r="D718" s="488" t="s">
        <v>451</v>
      </c>
      <c r="E718" s="482">
        <f t="shared" si="123"/>
      </c>
      <c r="F718" s="482" t="s">
        <v>365</v>
      </c>
      <c r="G718" s="96"/>
      <c r="H718" s="315" t="s">
        <v>30</v>
      </c>
      <c r="I718" s="82" t="s">
        <v>28</v>
      </c>
      <c r="J718" s="485"/>
      <c r="K718" s="22"/>
      <c r="L718" s="22"/>
      <c r="M718" s="22"/>
      <c r="N718" s="22"/>
      <c r="O718" s="22"/>
      <c r="P718" s="22"/>
    </row>
    <row r="719">
      <c r="A719" s="43" t="s">
        <v>454</v>
      </c>
      <c r="B719" s="26">
        <v>46306</v>
      </c>
      <c r="C719" s="43" t="str">
        <v>Sunday</v>
      </c>
      <c r="D719" s="25" t="s">
        <v>420</v>
      </c>
      <c r="E719" s="119">
        <f t="shared" si="123"/>
      </c>
      <c r="F719" s="48" t="s">
        <v>363</v>
      </c>
      <c r="G719" s="96"/>
      <c r="H719" s="119" t="s">
        <v>30</v>
      </c>
      <c r="I719" s="48" t="s">
        <v>28</v>
      </c>
      <c r="J719" s="485"/>
      <c r="K719" s="22"/>
      <c r="L719" s="22"/>
      <c r="M719" s="22"/>
      <c r="N719" s="22"/>
      <c r="O719" s="22"/>
      <c r="P719" s="22"/>
    </row>
    <row customHeight="true" ht="18.452380952380953" r="720">
      <c r="A720" s="43" t="s">
        <v>454</v>
      </c>
      <c r="B720" s="26">
        <v>46306</v>
      </c>
      <c r="C720" s="43" t="str">
        <v>Sunday</v>
      </c>
      <c r="D720" s="25" t="s">
        <v>305</v>
      </c>
      <c r="E720" s="119">
        <f t="shared" si="123"/>
      </c>
      <c r="F720" s="48" t="s">
        <v>367</v>
      </c>
      <c r="G720" s="96"/>
      <c r="H720" s="119" t="s">
        <v>30</v>
      </c>
      <c r="I720" s="48" t="s">
        <v>8</v>
      </c>
      <c r="J720" s="485"/>
      <c r="K720" s="22"/>
      <c r="L720" s="22"/>
      <c r="M720" s="22"/>
      <c r="N720" s="22"/>
      <c r="O720" s="22"/>
      <c r="P720" s="22"/>
    </row>
    <row r="721">
      <c r="A721" s="479" t="s">
        <v>455</v>
      </c>
      <c r="B721" s="480">
        <v>46306</v>
      </c>
      <c r="C721" s="487" t="str">
        <v>Sunday</v>
      </c>
      <c r="D721" s="488" t="s">
        <v>457</v>
      </c>
      <c r="E721" s="482">
        <f t="shared" si="123"/>
      </c>
      <c r="F721" s="482" t="s">
        <v>456</v>
      </c>
      <c r="G721" s="96"/>
      <c r="H721" s="119"/>
      <c r="I721" s="82" t="s">
        <v>8</v>
      </c>
      <c r="J721" s="485"/>
      <c r="K721" s="22"/>
      <c r="L721" s="22"/>
      <c r="M721" s="22"/>
      <c r="N721" s="22"/>
      <c r="O721" s="22"/>
      <c r="P721" s="22"/>
    </row>
    <row r="722">
      <c r="A722" s="479" t="s">
        <v>455</v>
      </c>
      <c r="B722" s="480">
        <v>46306</v>
      </c>
      <c r="C722" s="487" t="str">
        <v>Sunday</v>
      </c>
      <c r="D722" s="488" t="s">
        <v>458</v>
      </c>
      <c r="E722" s="482">
        <f t="shared" si="123"/>
      </c>
      <c r="F722" s="482" t="s">
        <v>365</v>
      </c>
      <c r="G722" s="96"/>
      <c r="H722" s="315" t="s">
        <v>30</v>
      </c>
      <c r="I722" s="82" t="s">
        <v>28</v>
      </c>
      <c r="J722" s="485"/>
      <c r="K722" s="22"/>
      <c r="L722" s="22"/>
      <c r="M722" s="22"/>
      <c r="N722" s="22"/>
      <c r="O722" s="22"/>
      <c r="P722" s="22"/>
    </row>
    <row r="723">
      <c r="A723" s="489"/>
      <c r="B723" s="144"/>
      <c r="C723" s="63"/>
      <c r="D723" s="145"/>
      <c r="E723" s="145"/>
      <c r="F723" s="119"/>
      <c r="G723" s="118"/>
      <c r="H723" s="48"/>
      <c r="I723" s="82"/>
      <c r="J723" s="21"/>
    </row>
    <row r="724">
      <c r="A724" s="490" t="s">
        <v>455</v>
      </c>
      <c r="B724" s="26">
        <v>46305</v>
      </c>
      <c r="C724" s="43" t="str">
        <v>Saturday</v>
      </c>
      <c r="D724" s="25" t="s">
        <v>183</v>
      </c>
      <c r="E724" s="119">
        <f t="shared" ref="E724:E725" si="124">24*MOD(TIMEVALUE(TRIM(MID(D724,FIND("-",D724)+1,LEN(D724)))) - TIMEVALUE(TRIM(LEFT(D724,FIND("-",D724)-1))),1)</f>
      </c>
      <c r="F724" s="119" t="s">
        <v>365</v>
      </c>
      <c r="G724" s="118"/>
      <c r="H724" s="315" t="s">
        <v>30</v>
      </c>
      <c r="I724" s="82" t="s">
        <v>28</v>
      </c>
      <c r="J724" s="21"/>
    </row>
    <row r="725">
      <c r="A725" s="43" t="s">
        <v>459</v>
      </c>
      <c r="B725" s="144">
        <v>46303</v>
      </c>
      <c r="C725" s="43" t="str">
        <v>Thursday</v>
      </c>
      <c r="D725" s="25" t="s">
        <v>182</v>
      </c>
      <c r="E725" s="119">
        <f t="shared" si="124"/>
      </c>
      <c r="F725" s="48" t="s">
        <v>363</v>
      </c>
      <c r="G725" s="96"/>
      <c r="H725" s="48" t="s">
        <v>30</v>
      </c>
      <c r="I725" s="48" t="s">
        <v>28</v>
      </c>
      <c r="J725" s="46"/>
      <c r="K725" s="22"/>
      <c r="L725" s="22"/>
      <c r="M725" s="22"/>
      <c r="N725" s="22"/>
      <c r="O725" s="22"/>
      <c r="P725" s="22"/>
    </row>
    <row customHeight="true" ht="16.071428571428573" r="726">
      <c r="A726" s="489"/>
      <c r="B726" s="144"/>
      <c r="C726" s="63"/>
      <c r="D726" s="145"/>
      <c r="E726" s="145"/>
      <c r="F726" s="119"/>
      <c r="G726" s="118"/>
      <c r="H726" s="48"/>
      <c r="I726" s="82"/>
      <c r="J726" s="21"/>
    </row>
  </sheetData>
  <autoFilter ref="A1:J726"/>
  <mergeCells>
    <mergeCell ref="B483:C483"/>
    <mergeCell ref="B468:C468"/>
    <mergeCell ref="B329:C329"/>
    <mergeCell ref="B310:C310"/>
    <mergeCell ref="B285:C285"/>
    <mergeCell ref="B248:C248"/>
    <mergeCell ref="A115:A116"/>
    <mergeCell ref="B115:B116"/>
    <mergeCell ref="C115:D116"/>
    <mergeCell ref="E115:G116"/>
    <mergeCell ref="A117:A118"/>
    <mergeCell ref="B117:C118"/>
    <mergeCell ref="D117:D118"/>
    <mergeCell ref="E117:E118"/>
    <mergeCell ref="F117:F118"/>
    <mergeCell ref="G117:G118"/>
    <mergeCell ref="H117:H118"/>
    <mergeCell ref="A91:A92"/>
    <mergeCell ref="B91:B92"/>
    <mergeCell ref="C91:D92"/>
    <mergeCell ref="E91:G92"/>
    <mergeCell ref="A93:A94"/>
    <mergeCell ref="B93:C94"/>
    <mergeCell ref="D93:D94"/>
    <mergeCell ref="E93:E94"/>
    <mergeCell ref="F93:F94"/>
    <mergeCell ref="G93:G94"/>
    <mergeCell ref="H93:H94"/>
    <mergeCell ref="B55:C55"/>
    <mergeCell ref="A22:J22"/>
    <mergeCell ref="B13:C13"/>
    <mergeCell ref="A9:J9"/>
    <mergeCell ref="A2:J2"/>
    <mergeCell ref="A3:J3"/>
    <mergeCell ref="B25:C25"/>
    <mergeCell ref="A24:F24"/>
  </mergeCells>
  <dataValidations count="3">
    <dataValidation allowBlank="true" errorStyle="stop" showErrorMessage="true" sqref="H4:H8 H10:H12 H14:H21 H26:H35 H37:H44 H49:H53 H56:H90 H95:H114 H119:H135 H138:H171 H175:H181 H184:H202 H205:H223 H226:H246 H249:H263 H267:H283 H286:H299 H301:H308 H311:H326 H330:H366 H370:H394 H396:H423 H427:H445 H448:H481 H484:H509 H512:H565 H569:H572 H578:H602 H605:H638 H641:H650 H655:H664 H667:H675 H679:H704 H718:H718 H722:H722 H724:H724" type="list">
      <formula1>"8461 Higuera Street,3619 Eastham Drive"</formula1>
    </dataValidation>
    <dataValidation allowBlank="true" errorStyle="stop" showErrorMessage="true" sqref="I4:I8 I10:I12 I14:I21 I26:I35 I37:I44 I49:I53 I119:I135 I138:I171 I175:I181 I184:I202 I205:I223 I226:I246 I249:I252 I254:I263 I283:I283 I286:I295 I299:I299 I301:I308 I311:I316 I319:I326 I330:I366 I370:I394 I396:I423 I427:I445 I448:I481 I484:I509 I512:I565 I569:I572 I578:I602 I605:I638 I641:I650 I655:I664 I667:I675 I679:I704 I708:I726" type="list">
      <formula1>"YES,PENDING"</formula1>
    </dataValidation>
    <dataValidation allowBlank="true" errorStyle="stop" showErrorMessage="true" sqref="I56:I90 I95:I114 I253:I253 I267:I282 I296:I298 I317:I318 I575:I575" type="list">
      <formula1>"PENDING,YES"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4" min="14" style="0" width="11.211267605633802"/>
    <col collapsed="false" customWidth="true" hidden="false" max="2" min="2" style="0" width="14.47887323943662"/>
    <col collapsed="false" customWidth="true" hidden="false" max="6" min="6" style="0" width="29.464788732394368"/>
    <col collapsed="false" customWidth="true" hidden="false" max="10" min="10" style="0" width="47.859154929577464"/>
    <col collapsed="false" customWidth="true" hidden="false" max="15" min="15" style="0" width="11.211267605633802"/>
    <col collapsed="false" customWidth="true" hidden="false" max="3" min="3" style="0" width="14.47887323943662"/>
    <col collapsed="false" customWidth="true" hidden="false" max="7" min="7" style="0" width="24.412157153446994"/>
    <col collapsed="false" customWidth="true" hidden="false" max="11" min="11" style="0" width="11.211267605633802"/>
    <col collapsed="false" customWidth="true" hidden="false" max="16" min="16" style="0" width="11.211267605633802"/>
    <col collapsed="false" customWidth="true" hidden="false" max="4" min="4" style="0" width="21.577464788732396"/>
    <col collapsed="false" customWidth="true" hidden="false" max="8" min="8" style="0" width="22.929577464788732"/>
    <col collapsed="false" customWidth="true" hidden="false" max="12" min="12" style="0" width="11.211267605633802"/>
    <col collapsed="false" customWidth="true" hidden="false" max="13" min="13" style="0" width="11.211267605633802"/>
    <col collapsed="false" customWidth="true" hidden="false" max="1" min="1" style="0" width="30.816901408450704"/>
    <col collapsed="false" customWidth="true" hidden="false" max="5" min="5" style="0" width="14.47887323943662"/>
    <col collapsed="false" customWidth="true" hidden="false" max="9" min="9" style="0" width="15.605633802816902"/>
  </cols>
  <sheetData>
    <row r="1">
      <c r="A1" s="491"/>
      <c r="B1" s="492"/>
      <c r="C1" s="492"/>
      <c r="D1" s="493"/>
      <c r="E1" s="492"/>
      <c r="F1" s="494" t="s">
        <v>460</v>
      </c>
      <c r="G1" s="492"/>
      <c r="H1" s="493"/>
      <c r="I1" s="492"/>
      <c r="J1" s="495"/>
      <c r="K1" s="496"/>
      <c r="L1" s="496"/>
      <c r="M1" s="496"/>
      <c r="N1" s="496"/>
      <c r="O1" s="496"/>
      <c r="P1" s="496"/>
    </row>
    <row customHeight="true" ht="21.146616128578824" r="2">
      <c r="A2" s="497"/>
      <c r="B2" s="498"/>
      <c r="C2" s="498"/>
      <c r="D2" s="498"/>
      <c r="E2" s="498"/>
      <c r="F2" s="498"/>
      <c r="G2" s="498"/>
      <c r="H2" s="498"/>
      <c r="I2" s="498"/>
      <c r="J2" s="498"/>
      <c r="K2" s="499"/>
      <c r="L2" s="499"/>
      <c r="M2" s="499"/>
      <c r="N2" s="499"/>
      <c r="O2" s="499"/>
      <c r="P2" s="499"/>
    </row>
    <row customHeight="true" ht="42.073934453802075" r="3">
      <c r="A3" s="500" t="s">
        <v>461</v>
      </c>
      <c r="B3" s="501"/>
      <c r="C3" s="501"/>
      <c r="D3" s="501"/>
      <c r="E3" s="501"/>
      <c r="F3" s="501"/>
      <c r="G3" s="501"/>
      <c r="H3" s="501"/>
      <c r="I3" s="501"/>
      <c r="J3" s="501"/>
      <c r="K3" s="502"/>
      <c r="L3" s="502"/>
      <c r="M3" s="502"/>
      <c r="N3" s="502"/>
      <c r="O3" s="502"/>
      <c r="P3" s="502"/>
    </row>
    <row r="4">
      <c r="A4" s="503" t="s">
        <v>462</v>
      </c>
      <c r="B4" s="504">
        <v>46296</v>
      </c>
      <c r="C4" s="505" t="s">
        <v>463</v>
      </c>
      <c r="D4" s="506" t="s">
        <v>464</v>
      </c>
      <c r="E4" s="507">
        <v>2.5</v>
      </c>
      <c r="F4" s="508" t="s">
        <v>465</v>
      </c>
      <c r="G4" s="509" t="s">
        <v>466</v>
      </c>
      <c r="H4" s="510" t="s">
        <v>467</v>
      </c>
      <c r="I4" s="510" t="s">
        <v>468</v>
      </c>
      <c r="J4" s="511"/>
      <c r="K4" s="512"/>
      <c r="L4" s="512"/>
      <c r="M4" s="512"/>
      <c r="N4" s="512"/>
      <c r="O4" s="512"/>
      <c r="P4" s="512"/>
    </row>
    <row customHeight="true" ht="18.452380952380953" r="5">
      <c r="A5" s="513" t="s">
        <v>462</v>
      </c>
      <c r="B5" s="514">
        <v>46299</v>
      </c>
      <c r="C5" s="515" t="s">
        <v>469</v>
      </c>
      <c r="D5" s="506" t="s">
        <v>470</v>
      </c>
      <c r="E5" s="507">
        <v>1.5</v>
      </c>
      <c r="F5" s="508" t="s">
        <v>471</v>
      </c>
      <c r="G5" s="509" t="s">
        <v>466</v>
      </c>
      <c r="H5" s="510" t="s">
        <v>467</v>
      </c>
      <c r="I5" s="510" t="s">
        <v>468</v>
      </c>
      <c r="J5" s="511"/>
      <c r="K5" s="512"/>
      <c r="L5" s="512"/>
      <c r="M5" s="512"/>
      <c r="N5" s="512"/>
      <c r="O5" s="512"/>
      <c r="P5" s="512"/>
    </row>
    <row customHeight="true" ht="18.452380952380953" r="6">
      <c r="A6" s="503" t="s">
        <v>462</v>
      </c>
      <c r="B6" s="504"/>
      <c r="C6" s="515"/>
      <c r="D6" s="506" t="s">
        <v>464</v>
      </c>
      <c r="E6" s="507">
        <v>2.5</v>
      </c>
      <c r="F6" s="508"/>
      <c r="G6" s="509" t="s">
        <v>466</v>
      </c>
      <c r="H6" s="510" t="s">
        <v>467</v>
      </c>
      <c r="I6" s="510"/>
      <c r="J6" s="511"/>
      <c r="K6" s="512"/>
      <c r="L6" s="512"/>
      <c r="M6" s="512"/>
      <c r="N6" s="512"/>
      <c r="O6" s="512"/>
      <c r="P6" s="512"/>
    </row>
    <row customHeight="true" ht="19.235588972431085" r="7">
      <c r="A7" s="503" t="s">
        <v>462</v>
      </c>
      <c r="B7" s="504"/>
      <c r="C7" s="516"/>
      <c r="D7" s="506" t="s">
        <v>464</v>
      </c>
      <c r="E7" s="507">
        <v>2.5</v>
      </c>
      <c r="F7" s="508"/>
      <c r="G7" s="509" t="s">
        <v>466</v>
      </c>
      <c r="H7" s="510" t="s">
        <v>467</v>
      </c>
      <c r="I7" s="510"/>
      <c r="J7" s="511"/>
      <c r="K7" s="512"/>
      <c r="L7" s="512"/>
      <c r="M7" s="512"/>
      <c r="N7" s="512"/>
      <c r="O7" s="512"/>
      <c r="P7" s="512"/>
    </row>
    <row customHeight="true" ht="18.452380952380953" r="8">
      <c r="A8" s="501" t="s">
        <v>472</v>
      </c>
      <c r="B8" s="501"/>
      <c r="C8" s="501"/>
      <c r="D8" s="501"/>
      <c r="E8" s="501"/>
      <c r="F8" s="501"/>
      <c r="G8" s="501"/>
      <c r="H8" s="501"/>
      <c r="I8" s="501"/>
      <c r="J8" s="517"/>
      <c r="K8" s="502"/>
      <c r="L8" s="502"/>
      <c r="M8" s="502"/>
      <c r="N8" s="502"/>
      <c r="O8" s="502"/>
      <c r="P8" s="502"/>
      <c r="Q8" s="518"/>
      <c r="R8" s="518"/>
    </row>
    <row customHeight="true" ht="18.452380952380953" r="9">
      <c r="A9" s="513" t="s">
        <v>472</v>
      </c>
      <c r="B9" s="519">
        <v>46293</v>
      </c>
      <c r="C9" s="504" t="s">
        <v>473</v>
      </c>
      <c r="D9" s="520" t="s">
        <v>474</v>
      </c>
      <c r="E9" s="521">
        <v>5</v>
      </c>
      <c r="F9" s="522" t="s">
        <v>475</v>
      </c>
      <c r="G9" s="523" t="s">
        <v>466</v>
      </c>
      <c r="H9" s="510" t="s">
        <v>467</v>
      </c>
      <c r="I9" s="524" t="s">
        <v>468</v>
      </c>
      <c r="J9" s="525"/>
      <c r="K9" s="512"/>
      <c r="L9" s="512"/>
      <c r="M9" s="512"/>
      <c r="N9" s="512"/>
      <c r="O9" s="512"/>
      <c r="P9" s="512"/>
      <c r="Q9" s="518"/>
      <c r="R9" s="518"/>
    </row>
    <row customHeight="true" ht="18.452380952380953" r="10">
      <c r="A10" s="513" t="s">
        <v>472</v>
      </c>
      <c r="B10" s="504">
        <v>46296</v>
      </c>
      <c r="C10" s="505" t="s">
        <v>463</v>
      </c>
      <c r="D10" s="526" t="s">
        <v>476</v>
      </c>
      <c r="E10" s="520">
        <v>6</v>
      </c>
      <c r="F10" s="522" t="s">
        <v>475</v>
      </c>
      <c r="G10" s="523" t="s">
        <v>466</v>
      </c>
      <c r="H10" s="510" t="s">
        <v>467</v>
      </c>
      <c r="I10" s="524" t="s">
        <v>468</v>
      </c>
      <c r="J10" s="525"/>
      <c r="K10" s="512"/>
      <c r="L10" s="512"/>
      <c r="M10" s="512"/>
      <c r="N10" s="512"/>
      <c r="O10" s="512"/>
      <c r="P10" s="512"/>
      <c r="Q10" s="518"/>
      <c r="R10" s="518"/>
    </row>
    <row customHeight="true" ht="18.452380952380953" r="11">
      <c r="A11" s="513" t="s">
        <v>472</v>
      </c>
      <c r="B11" s="504">
        <v>46299</v>
      </c>
      <c r="C11" s="504" t="s">
        <v>469</v>
      </c>
      <c r="D11" s="520" t="s">
        <v>477</v>
      </c>
      <c r="E11" s="520">
        <v>4</v>
      </c>
      <c r="F11" s="522" t="s">
        <v>475</v>
      </c>
      <c r="G11" s="523" t="s">
        <v>466</v>
      </c>
      <c r="H11" s="510" t="s">
        <v>467</v>
      </c>
      <c r="I11" s="524" t="s">
        <v>468</v>
      </c>
      <c r="J11" s="525"/>
      <c r="K11" s="512"/>
      <c r="L11" s="512"/>
      <c r="M11" s="512"/>
      <c r="N11" s="512"/>
      <c r="O11" s="512"/>
      <c r="P11" s="512"/>
      <c r="Q11" s="518"/>
      <c r="R11" s="518"/>
    </row>
    <row customHeight="true" ht="39.88095238095238" r="12">
      <c r="A12" s="527" t="s">
        <v>478</v>
      </c>
      <c r="B12" s="528" t="s">
        <v>479</v>
      </c>
      <c r="C12" s="528"/>
      <c r="D12" s="529" t="s">
        <v>480</v>
      </c>
      <c r="E12" s="530" t="s">
        <v>481</v>
      </c>
      <c r="F12" s="529" t="s">
        <v>482</v>
      </c>
      <c r="G12" s="531" t="s">
        <v>483</v>
      </c>
      <c r="H12" s="529" t="s">
        <v>484</v>
      </c>
      <c r="I12" s="529" t="s">
        <v>485</v>
      </c>
      <c r="J12" s="530" t="s">
        <v>486</v>
      </c>
      <c r="K12" s="532"/>
      <c r="L12" s="532"/>
      <c r="M12" s="532"/>
      <c r="N12" s="532"/>
      <c r="O12" s="532"/>
      <c r="P12" s="532"/>
      <c r="Q12" s="518"/>
      <c r="R12" s="518"/>
    </row>
    <row r="13">
      <c r="A13" s="533" t="s">
        <v>487</v>
      </c>
      <c r="B13" s="533"/>
      <c r="C13" s="533"/>
      <c r="D13" s="510"/>
      <c r="E13" s="511"/>
      <c r="F13" s="534"/>
      <c r="G13" s="535" t="s">
        <v>488</v>
      </c>
      <c r="H13" s="510"/>
      <c r="I13" s="510" t="s">
        <v>468</v>
      </c>
      <c r="J13" s="536"/>
      <c r="K13" s="512"/>
      <c r="L13" s="512"/>
      <c r="M13" s="512"/>
      <c r="N13" s="512"/>
      <c r="O13" s="512"/>
      <c r="P13" s="512"/>
      <c r="Q13" s="518"/>
      <c r="R13" s="518"/>
    </row>
    <row r="14">
      <c r="A14" s="533" t="s">
        <v>487</v>
      </c>
      <c r="B14" s="533"/>
      <c r="C14" s="533"/>
      <c r="D14" s="537"/>
      <c r="E14" s="511"/>
      <c r="F14" s="534"/>
      <c r="G14" s="535"/>
      <c r="H14" s="510"/>
      <c r="I14" s="538" t="s">
        <v>468</v>
      </c>
      <c r="J14" s="536"/>
      <c r="K14" s="512"/>
      <c r="L14" s="512"/>
      <c r="M14" s="512"/>
      <c r="N14" s="512"/>
      <c r="O14" s="512"/>
      <c r="P14" s="512"/>
    </row>
    <row r="15">
      <c r="A15" s="533" t="s">
        <v>489</v>
      </c>
      <c r="B15" s="533"/>
      <c r="C15" s="533"/>
      <c r="D15" s="510"/>
      <c r="E15" s="511"/>
      <c r="F15" s="534"/>
      <c r="G15" s="535"/>
      <c r="H15" s="510"/>
      <c r="I15" s="510" t="s">
        <v>490</v>
      </c>
      <c r="J15" s="536"/>
      <c r="K15" s="512"/>
      <c r="L15" s="512"/>
      <c r="M15" s="512"/>
      <c r="N15" s="512"/>
      <c r="O15" s="512"/>
      <c r="P15" s="512"/>
    </row>
    <row r="16">
      <c r="A16" s="533" t="s">
        <v>489</v>
      </c>
      <c r="B16" s="533"/>
      <c r="C16" s="533"/>
      <c r="D16" s="510"/>
      <c r="E16" s="511"/>
      <c r="F16" s="534"/>
      <c r="G16" s="539" t="s">
        <v>491</v>
      </c>
      <c r="H16" s="510"/>
      <c r="I16" s="510" t="s">
        <v>490</v>
      </c>
      <c r="J16" s="536"/>
      <c r="K16" s="512"/>
      <c r="L16" s="512"/>
      <c r="M16" s="512"/>
      <c r="N16" s="512"/>
      <c r="O16" s="512"/>
      <c r="P16" s="512"/>
    </row>
    <row customHeight="true" ht="18.452380952380953" r="17">
      <c r="A17" s="540" t="s">
        <v>492</v>
      </c>
      <c r="B17" s="515"/>
      <c r="C17" s="533"/>
      <c r="D17" s="541"/>
      <c r="E17" s="538"/>
      <c r="F17" s="542"/>
      <c r="G17" s="543"/>
      <c r="H17" s="538" t="s">
        <v>493</v>
      </c>
      <c r="I17" s="538" t="s">
        <v>468</v>
      </c>
      <c r="J17" s="511"/>
      <c r="K17" s="544"/>
      <c r="L17" s="544"/>
      <c r="M17" s="544"/>
      <c r="N17" s="544"/>
      <c r="O17" s="544"/>
      <c r="P17" s="544"/>
      <c r="Q17" s="544"/>
      <c r="R17" s="544"/>
    </row>
    <row customHeight="true" ht="18.452380952380953" r="18">
      <c r="A18" s="540" t="s">
        <v>492</v>
      </c>
      <c r="B18" s="533"/>
      <c r="C18" s="533"/>
      <c r="D18" s="510"/>
      <c r="E18" s="538"/>
      <c r="F18" s="542"/>
      <c r="G18" s="543"/>
      <c r="H18" s="538" t="s">
        <v>493</v>
      </c>
      <c r="I18" s="538" t="s">
        <v>468</v>
      </c>
      <c r="J18" s="511"/>
      <c r="K18" s="544"/>
      <c r="L18" s="544"/>
      <c r="M18" s="544"/>
      <c r="N18" s="544"/>
      <c r="O18" s="544"/>
      <c r="P18" s="544"/>
      <c r="Q18" s="544"/>
      <c r="R18" s="544"/>
    </row>
    <row customHeight="true" ht="18.452380952380953" r="19">
      <c r="A19" s="533"/>
      <c r="B19" s="515"/>
      <c r="C19" s="533"/>
      <c r="D19" s="510"/>
      <c r="E19" s="511"/>
      <c r="F19" s="542"/>
      <c r="G19" s="535"/>
      <c r="H19" s="510"/>
      <c r="I19" s="510"/>
      <c r="J19" s="536"/>
      <c r="K19" s="512"/>
      <c r="L19" s="512"/>
      <c r="M19" s="512"/>
      <c r="N19" s="512"/>
      <c r="O19" s="512"/>
      <c r="P19" s="512"/>
    </row>
    <row customHeight="true" ht="18.452380952380953" r="20">
      <c r="A20" s="533"/>
      <c r="B20" s="515"/>
      <c r="C20" s="533"/>
      <c r="D20" s="510"/>
      <c r="E20" s="511"/>
      <c r="F20" s="542"/>
      <c r="G20" s="535"/>
      <c r="H20" s="510"/>
      <c r="I20" s="510"/>
      <c r="J20" s="536"/>
      <c r="K20" s="512"/>
      <c r="L20" s="512"/>
      <c r="M20" s="512"/>
      <c r="N20" s="512"/>
      <c r="O20" s="512"/>
      <c r="P20" s="512"/>
    </row>
    <row r="21">
      <c r="A21" s="498"/>
      <c r="B21" s="498"/>
      <c r="C21" s="498"/>
      <c r="D21" s="498"/>
      <c r="E21" s="498"/>
      <c r="F21" s="498"/>
      <c r="G21" s="498"/>
      <c r="H21" s="498"/>
      <c r="I21" s="498"/>
      <c r="J21" s="498"/>
      <c r="K21" s="499"/>
      <c r="L21" s="499"/>
      <c r="M21" s="499"/>
      <c r="N21" s="499"/>
      <c r="O21" s="499"/>
      <c r="P21" s="499"/>
    </row>
    <row r="22">
      <c r="A22" s="545" t="s">
        <v>494</v>
      </c>
      <c r="B22" s="545"/>
      <c r="C22" s="545"/>
      <c r="D22" s="545"/>
      <c r="E22" s="545"/>
      <c r="F22" s="545"/>
      <c r="G22" s="545"/>
      <c r="H22" s="545"/>
      <c r="I22" s="545"/>
      <c r="J22" s="546"/>
      <c r="K22" s="547"/>
      <c r="L22" s="547"/>
      <c r="M22" s="547"/>
      <c r="N22" s="547"/>
      <c r="O22" s="547"/>
      <c r="P22" s="547"/>
    </row>
    <row r="23">
      <c r="A23" s="548" t="s">
        <v>478</v>
      </c>
      <c r="B23" s="549" t="s">
        <v>479</v>
      </c>
      <c r="C23" s="549"/>
      <c r="D23" s="550" t="s">
        <v>480</v>
      </c>
      <c r="E23" s="550" t="s">
        <v>481</v>
      </c>
      <c r="F23" s="550" t="s">
        <v>482</v>
      </c>
      <c r="G23" s="551" t="s">
        <v>495</v>
      </c>
      <c r="H23" s="550" t="s">
        <v>484</v>
      </c>
      <c r="I23" s="550" t="s">
        <v>485</v>
      </c>
      <c r="J23" s="552" t="s">
        <v>486</v>
      </c>
      <c r="K23" s="532"/>
      <c r="L23" s="532"/>
      <c r="M23" s="532"/>
      <c r="N23" s="532"/>
      <c r="O23" s="532"/>
      <c r="P23" s="532"/>
    </row>
    <row customHeight="true" ht="18.452380952380953" r="24">
      <c r="A24" s="533" t="s">
        <v>496</v>
      </c>
      <c r="B24" s="515">
        <v>46293</v>
      </c>
      <c r="C24" s="533" t="str">
        <v>Monday</v>
      </c>
      <c r="D24" s="506" t="s">
        <v>497</v>
      </c>
      <c r="E24" s="538">
        <f t="shared" ref="E24:E34" si="73">24*MOD(TIMEVALUE(TRIM(MID(D24,FIND("-",D24)+1,LEN(D24)))) - TIMEVALUE(TRIM(LEFT(D24,FIND("-",D24)-1))),1)</f>
      </c>
      <c r="F24" s="538" t="s">
        <v>498</v>
      </c>
      <c r="G24" s="553" t="s">
        <v>499</v>
      </c>
      <c r="H24" s="554"/>
      <c r="I24" s="538"/>
      <c r="J24" s="536"/>
      <c r="K24" s="512"/>
      <c r="L24" s="512"/>
      <c r="M24" s="512"/>
      <c r="N24" s="512"/>
      <c r="O24" s="512"/>
      <c r="P24" s="512"/>
    </row>
    <row customHeight="true" ht="18.452380952380953" r="25">
      <c r="A25" s="533" t="s">
        <v>496</v>
      </c>
      <c r="B25" s="515">
        <v>46293</v>
      </c>
      <c r="C25" s="533" t="str">
        <v>Monday</v>
      </c>
      <c r="D25" s="506" t="s">
        <v>500</v>
      </c>
      <c r="E25" s="538">
        <f t="shared" si="73"/>
      </c>
      <c r="F25" s="510" t="s">
        <v>501</v>
      </c>
      <c r="G25" s="553" t="s">
        <v>502</v>
      </c>
      <c r="H25" s="554"/>
      <c r="I25" s="538"/>
      <c r="J25" s="536"/>
      <c r="K25" s="512"/>
      <c r="L25" s="512"/>
      <c r="M25" s="512"/>
      <c r="N25" s="512"/>
      <c r="O25" s="512"/>
      <c r="P25" s="512"/>
    </row>
    <row customHeight="true" ht="18.452380952380953" r="26">
      <c r="A26" s="533" t="s">
        <v>496</v>
      </c>
      <c r="B26" s="515">
        <v>46293</v>
      </c>
      <c r="C26" s="533" t="str">
        <v>Monday</v>
      </c>
      <c r="D26" s="506" t="s">
        <v>503</v>
      </c>
      <c r="E26" s="538">
        <f t="shared" si="73"/>
      </c>
      <c r="F26" s="538" t="s">
        <v>498</v>
      </c>
      <c r="G26" s="553" t="s">
        <v>499</v>
      </c>
      <c r="H26" s="554"/>
      <c r="I26" s="538"/>
      <c r="J26" s="536"/>
      <c r="K26" s="512"/>
      <c r="L26" s="512"/>
      <c r="M26" s="512"/>
      <c r="N26" s="512"/>
      <c r="O26" s="512"/>
      <c r="P26" s="512"/>
    </row>
    <row customHeight="true" ht="18.452380952380953" r="27">
      <c r="A27" s="533" t="s">
        <v>496</v>
      </c>
      <c r="B27" s="515">
        <v>46294</v>
      </c>
      <c r="C27" s="533" t="str">
        <v>Tuesday</v>
      </c>
      <c r="D27" s="506" t="s">
        <v>497</v>
      </c>
      <c r="E27" s="538">
        <f t="shared" si="73"/>
      </c>
      <c r="F27" s="538" t="s">
        <v>498</v>
      </c>
      <c r="G27" s="553" t="s">
        <v>499</v>
      </c>
      <c r="H27" s="554"/>
      <c r="I27" s="538"/>
      <c r="J27" s="536"/>
      <c r="K27" s="512"/>
      <c r="L27" s="512"/>
      <c r="M27" s="512"/>
      <c r="N27" s="512"/>
      <c r="O27" s="512"/>
      <c r="P27" s="512"/>
    </row>
    <row customHeight="true" ht="18.452380952380953" r="28">
      <c r="A28" s="533" t="s">
        <v>496</v>
      </c>
      <c r="B28" s="515">
        <v>46294</v>
      </c>
      <c r="C28" s="533" t="str">
        <v>Tuesday</v>
      </c>
      <c r="D28" s="506" t="s">
        <v>500</v>
      </c>
      <c r="E28" s="538">
        <f t="shared" si="73"/>
      </c>
      <c r="F28" s="510" t="s">
        <v>501</v>
      </c>
      <c r="G28" s="553" t="s">
        <v>499</v>
      </c>
      <c r="H28" s="554"/>
      <c r="I28" s="538"/>
      <c r="J28" s="536"/>
      <c r="K28" s="512"/>
      <c r="L28" s="512"/>
      <c r="M28" s="512"/>
      <c r="N28" s="512"/>
      <c r="O28" s="512"/>
      <c r="P28" s="512"/>
    </row>
    <row customHeight="true" ht="18.452380952380953" r="29">
      <c r="A29" s="533" t="s">
        <v>496</v>
      </c>
      <c r="B29" s="515">
        <v>46294</v>
      </c>
      <c r="C29" s="533" t="str">
        <v>Tuesday</v>
      </c>
      <c r="D29" s="506" t="s">
        <v>503</v>
      </c>
      <c r="E29" s="538">
        <f t="shared" si="73"/>
      </c>
      <c r="F29" s="510" t="s">
        <v>498</v>
      </c>
      <c r="G29" s="553" t="s">
        <v>504</v>
      </c>
      <c r="H29" s="554"/>
      <c r="I29" s="538"/>
      <c r="J29" s="536"/>
      <c r="K29" s="512"/>
      <c r="L29" s="512"/>
      <c r="M29" s="512"/>
      <c r="N29" s="512"/>
      <c r="O29" s="512"/>
      <c r="P29" s="512"/>
    </row>
    <row customHeight="true" ht="18.452380952380953" r="30">
      <c r="A30" s="533" t="s">
        <v>496</v>
      </c>
      <c r="B30" s="515">
        <v>46295</v>
      </c>
      <c r="C30" s="533" t="str">
        <v>Wednesday</v>
      </c>
      <c r="D30" s="506" t="s">
        <v>505</v>
      </c>
      <c r="E30" s="538">
        <f t="shared" si="73"/>
      </c>
      <c r="F30" s="538" t="s">
        <v>498</v>
      </c>
      <c r="G30" s="553" t="s">
        <v>506</v>
      </c>
      <c r="H30" s="554"/>
      <c r="I30" s="538"/>
      <c r="J30" s="536"/>
      <c r="K30" s="512"/>
      <c r="L30" s="512"/>
      <c r="M30" s="512"/>
      <c r="N30" s="512"/>
      <c r="O30" s="512"/>
      <c r="P30" s="512"/>
    </row>
    <row customHeight="true" ht="18.452380952380953" r="31">
      <c r="A31" s="533" t="s">
        <v>496</v>
      </c>
      <c r="B31" s="515">
        <v>46295</v>
      </c>
      <c r="C31" s="533" t="str">
        <v>Wednesday</v>
      </c>
      <c r="D31" s="506" t="s">
        <v>500</v>
      </c>
      <c r="E31" s="538">
        <f t="shared" si="73"/>
      </c>
      <c r="F31" s="510" t="s">
        <v>507</v>
      </c>
      <c r="G31" s="553" t="s">
        <v>499</v>
      </c>
      <c r="H31" s="554"/>
      <c r="I31" s="538"/>
      <c r="J31" s="536"/>
      <c r="K31" s="512"/>
      <c r="L31" s="512"/>
      <c r="M31" s="512"/>
      <c r="N31" s="512"/>
      <c r="O31" s="512"/>
      <c r="P31" s="512"/>
    </row>
    <row customHeight="true" ht="18.452380952380953" r="32">
      <c r="A32" s="533" t="s">
        <v>496</v>
      </c>
      <c r="B32" s="515">
        <v>46295</v>
      </c>
      <c r="C32" s="533" t="str">
        <v>Wednesday</v>
      </c>
      <c r="D32" s="506" t="s">
        <v>508</v>
      </c>
      <c r="E32" s="538">
        <f t="shared" si="73"/>
      </c>
      <c r="F32" s="538" t="s">
        <v>498</v>
      </c>
      <c r="G32" s="553" t="s">
        <v>499</v>
      </c>
      <c r="H32" s="554"/>
      <c r="I32" s="538"/>
      <c r="J32" s="536"/>
      <c r="K32" s="512"/>
      <c r="L32" s="512"/>
      <c r="M32" s="512"/>
      <c r="N32" s="512"/>
      <c r="O32" s="512"/>
      <c r="P32" s="512"/>
    </row>
    <row customHeight="true" ht="18.452380952380953" r="33">
      <c r="A33" s="533" t="s">
        <v>496</v>
      </c>
      <c r="B33" s="515">
        <v>46297</v>
      </c>
      <c r="C33" s="533" t="str">
        <v>Friday</v>
      </c>
      <c r="D33" s="506" t="s">
        <v>509</v>
      </c>
      <c r="E33" s="538">
        <f t="shared" si="73"/>
      </c>
      <c r="F33" s="538" t="s">
        <v>501</v>
      </c>
      <c r="G33" s="553" t="s">
        <v>502</v>
      </c>
      <c r="H33" s="555"/>
      <c r="I33" s="538"/>
      <c r="J33" s="536"/>
      <c r="K33" s="512"/>
      <c r="L33" s="512"/>
      <c r="M33" s="512"/>
      <c r="N33" s="512"/>
      <c r="O33" s="512"/>
      <c r="P33" s="512"/>
    </row>
    <row customHeight="true" ht="18.452380952380953" r="34">
      <c r="A34" s="533" t="s">
        <v>496</v>
      </c>
      <c r="B34" s="515">
        <v>46299</v>
      </c>
      <c r="C34" s="533" t="str">
        <v>Sunday</v>
      </c>
      <c r="D34" s="506" t="s">
        <v>510</v>
      </c>
      <c r="E34" s="538">
        <f t="shared" si="73"/>
      </c>
      <c r="F34" s="538" t="s">
        <v>501</v>
      </c>
      <c r="G34" s="553" t="s">
        <v>511</v>
      </c>
      <c r="H34" s="554"/>
      <c r="I34" s="538"/>
      <c r="J34" s="536"/>
      <c r="K34" s="512"/>
      <c r="L34" s="512"/>
      <c r="M34" s="512"/>
      <c r="N34" s="512"/>
      <c r="O34" s="512"/>
      <c r="P34" s="512"/>
    </row>
    <row customHeight="true" ht="18.452380952380953" r="35">
      <c r="A35" s="533"/>
      <c r="B35" s="515"/>
      <c r="C35" s="533"/>
      <c r="D35" s="506"/>
      <c r="E35" s="538"/>
      <c r="F35" s="510"/>
      <c r="G35" s="543"/>
      <c r="H35" s="554"/>
      <c r="I35" s="538"/>
      <c r="J35" s="536"/>
      <c r="K35" s="512"/>
      <c r="L35" s="512"/>
      <c r="M35" s="512"/>
      <c r="N35" s="512"/>
      <c r="O35" s="512"/>
      <c r="P35" s="512"/>
    </row>
    <row customHeight="true" ht="18.452380952380953" r="36">
      <c r="A36" s="533"/>
      <c r="B36" s="515"/>
      <c r="C36" s="533"/>
      <c r="D36" s="506"/>
      <c r="E36" s="538"/>
      <c r="F36" s="538"/>
      <c r="G36" s="553"/>
      <c r="H36" s="554"/>
      <c r="I36" s="538"/>
      <c r="J36" s="536"/>
      <c r="K36" s="512"/>
      <c r="L36" s="512"/>
      <c r="M36" s="512"/>
      <c r="N36" s="512"/>
      <c r="O36" s="512"/>
      <c r="P36" s="512"/>
    </row>
    <row customHeight="true" ht="18.452380952380953" r="37">
      <c r="A37" s="533"/>
      <c r="B37" s="515"/>
      <c r="C37" s="533"/>
      <c r="D37" s="506"/>
      <c r="E37" s="538"/>
      <c r="F37" s="538"/>
      <c r="G37" s="553"/>
      <c r="H37" s="554"/>
      <c r="I37" s="538"/>
      <c r="J37" s="536"/>
      <c r="K37" s="512"/>
      <c r="L37" s="512"/>
      <c r="M37" s="512"/>
      <c r="N37" s="512"/>
      <c r="O37" s="512"/>
      <c r="P37" s="512"/>
    </row>
    <row customHeight="true" ht="18.452380952380953" r="38">
      <c r="A38" s="533"/>
      <c r="B38" s="515"/>
      <c r="C38" s="533"/>
      <c r="D38" s="506"/>
      <c r="E38" s="538"/>
      <c r="F38" s="538"/>
      <c r="G38" s="553"/>
      <c r="H38" s="554"/>
      <c r="I38" s="538"/>
      <c r="J38" s="536"/>
      <c r="K38" s="512"/>
      <c r="L38" s="512"/>
      <c r="M38" s="512"/>
      <c r="N38" s="512"/>
      <c r="O38" s="512"/>
      <c r="P38" s="512"/>
    </row>
    <row customHeight="true" ht="18.452380952380953" r="39">
      <c r="A39" s="533"/>
      <c r="B39" s="515"/>
      <c r="C39" s="533"/>
      <c r="D39" s="506"/>
      <c r="E39" s="538"/>
      <c r="F39" s="538"/>
      <c r="G39" s="553"/>
      <c r="H39" s="554"/>
      <c r="I39" s="538"/>
      <c r="J39" s="536"/>
      <c r="K39" s="512"/>
      <c r="L39" s="512"/>
      <c r="M39" s="512"/>
      <c r="N39" s="512"/>
      <c r="O39" s="512"/>
      <c r="P39" s="512"/>
    </row>
    <row customHeight="true" ht="18.452380952380953" r="40">
      <c r="A40" s="556" t="s">
        <v>512</v>
      </c>
      <c r="B40" s="557">
        <v>46293</v>
      </c>
      <c r="C40" s="556" t="str">
        <v>Monday</v>
      </c>
      <c r="D40" s="558" t="s">
        <v>497</v>
      </c>
      <c r="E40" s="559">
        <f t="shared" ref="E40:E50" si="74">24*MOD(TIMEVALUE(TRIM(MID(D40,FIND("-",D40)+1,LEN(D40)))) - TIMEVALUE(TRIM(LEFT(D40,FIND("-",D40)-1))),1)</f>
      </c>
      <c r="F40" s="559" t="s">
        <v>513</v>
      </c>
      <c r="G40" s="560"/>
      <c r="H40" s="561"/>
      <c r="I40" s="559"/>
      <c r="J40" s="562"/>
      <c r="K40" s="512"/>
      <c r="L40" s="512"/>
      <c r="M40" s="512"/>
      <c r="N40" s="512"/>
      <c r="O40" s="512"/>
      <c r="P40" s="512"/>
    </row>
    <row customHeight="true" ht="18.452380952380953" r="41">
      <c r="A41" s="556" t="s">
        <v>512</v>
      </c>
      <c r="B41" s="557">
        <v>46293</v>
      </c>
      <c r="C41" s="556" t="str">
        <v>Monday</v>
      </c>
      <c r="D41" s="558" t="s">
        <v>500</v>
      </c>
      <c r="E41" s="559">
        <f t="shared" si="74"/>
      </c>
      <c r="F41" s="559" t="s">
        <v>514</v>
      </c>
      <c r="G41" s="560"/>
      <c r="H41" s="561"/>
      <c r="I41" s="559"/>
      <c r="J41" s="562"/>
      <c r="K41" s="512"/>
      <c r="L41" s="512"/>
      <c r="M41" s="512"/>
      <c r="N41" s="512"/>
      <c r="O41" s="512"/>
      <c r="P41" s="512"/>
    </row>
    <row customHeight="true" ht="18.452380952380953" r="42">
      <c r="A42" s="556" t="s">
        <v>512</v>
      </c>
      <c r="B42" s="557">
        <v>46293</v>
      </c>
      <c r="C42" s="556" t="str">
        <v>Monday</v>
      </c>
      <c r="D42" s="558" t="s">
        <v>503</v>
      </c>
      <c r="E42" s="559">
        <f t="shared" si="74"/>
      </c>
      <c r="F42" s="559" t="s">
        <v>513</v>
      </c>
      <c r="G42" s="560"/>
      <c r="H42" s="561"/>
      <c r="I42" s="559"/>
      <c r="J42" s="562"/>
      <c r="K42" s="512"/>
      <c r="L42" s="512"/>
      <c r="M42" s="512"/>
      <c r="N42" s="512"/>
      <c r="O42" s="512"/>
      <c r="P42" s="512"/>
    </row>
    <row customHeight="true" ht="18.452380952380953" r="43">
      <c r="A43" s="556" t="s">
        <v>512</v>
      </c>
      <c r="B43" s="557">
        <v>46294</v>
      </c>
      <c r="C43" s="556" t="str">
        <v>Tuesday</v>
      </c>
      <c r="D43" s="558" t="s">
        <v>515</v>
      </c>
      <c r="E43" s="559">
        <f t="shared" si="74"/>
      </c>
      <c r="F43" s="559" t="s">
        <v>513</v>
      </c>
      <c r="G43" s="560"/>
      <c r="H43" s="561"/>
      <c r="I43" s="559"/>
      <c r="J43" s="562"/>
      <c r="K43" s="512"/>
      <c r="L43" s="512"/>
      <c r="M43" s="512"/>
      <c r="N43" s="512"/>
      <c r="O43" s="512"/>
      <c r="P43" s="512"/>
    </row>
    <row customHeight="true" ht="18.452380952380953" r="44">
      <c r="A44" s="556" t="s">
        <v>512</v>
      </c>
      <c r="B44" s="557">
        <v>46294</v>
      </c>
      <c r="C44" s="556" t="str">
        <v>Tuesday</v>
      </c>
      <c r="D44" s="558" t="s">
        <v>516</v>
      </c>
      <c r="E44" s="559">
        <f t="shared" si="74"/>
      </c>
      <c r="F44" s="559" t="s">
        <v>517</v>
      </c>
      <c r="G44" s="560"/>
      <c r="H44" s="561"/>
      <c r="I44" s="559"/>
      <c r="J44" s="562"/>
      <c r="K44" s="512"/>
      <c r="L44" s="512"/>
      <c r="M44" s="512"/>
      <c r="N44" s="512"/>
      <c r="O44" s="512"/>
      <c r="P44" s="512"/>
    </row>
    <row customHeight="true" ht="18.452380952380953" r="45">
      <c r="A45" s="556" t="s">
        <v>512</v>
      </c>
      <c r="B45" s="557">
        <v>46294</v>
      </c>
      <c r="C45" s="556" t="str">
        <v>Tuesday</v>
      </c>
      <c r="D45" s="558" t="s">
        <v>518</v>
      </c>
      <c r="E45" s="559">
        <f t="shared" si="74"/>
      </c>
      <c r="F45" s="559" t="s">
        <v>513</v>
      </c>
      <c r="G45" s="560"/>
      <c r="H45" s="561"/>
      <c r="I45" s="559"/>
      <c r="J45" s="562"/>
      <c r="K45" s="512"/>
      <c r="L45" s="512"/>
      <c r="M45" s="512"/>
      <c r="N45" s="512"/>
      <c r="O45" s="512"/>
      <c r="P45" s="512"/>
    </row>
    <row customHeight="true" ht="18.452380952380953" r="46">
      <c r="A46" s="556" t="s">
        <v>512</v>
      </c>
      <c r="B46" s="557">
        <v>46295</v>
      </c>
      <c r="C46" s="556" t="str">
        <v>Wednesday</v>
      </c>
      <c r="D46" s="558" t="s">
        <v>519</v>
      </c>
      <c r="E46" s="559">
        <f t="shared" si="74"/>
      </c>
      <c r="F46" s="559" t="s">
        <v>513</v>
      </c>
      <c r="G46" s="560"/>
      <c r="H46" s="561"/>
      <c r="I46" s="559"/>
      <c r="J46" s="562"/>
      <c r="K46" s="512"/>
      <c r="L46" s="512"/>
      <c r="M46" s="512"/>
      <c r="N46" s="512"/>
      <c r="O46" s="512"/>
      <c r="P46" s="512"/>
    </row>
    <row customHeight="true" ht="18.452380952380953" r="47">
      <c r="A47" s="556" t="s">
        <v>512</v>
      </c>
      <c r="B47" s="557">
        <v>46295</v>
      </c>
      <c r="C47" s="556" t="str">
        <v>Wednesday</v>
      </c>
      <c r="D47" s="558" t="s">
        <v>520</v>
      </c>
      <c r="E47" s="559">
        <f t="shared" si="74"/>
      </c>
      <c r="F47" s="559" t="s">
        <v>517</v>
      </c>
      <c r="G47" s="563"/>
      <c r="H47" s="559"/>
      <c r="I47" s="559"/>
      <c r="J47" s="562"/>
      <c r="K47" s="512"/>
      <c r="L47" s="512"/>
      <c r="M47" s="512"/>
      <c r="N47" s="512"/>
      <c r="O47" s="512"/>
      <c r="P47" s="512"/>
      <c r="Q47" s="564"/>
      <c r="R47" s="564"/>
    </row>
    <row customHeight="true" ht="18.452380952380953" r="48">
      <c r="A48" s="556" t="s">
        <v>512</v>
      </c>
      <c r="B48" s="557">
        <v>46295</v>
      </c>
      <c r="C48" s="556" t="str">
        <v>Wednesday</v>
      </c>
      <c r="D48" s="558" t="s">
        <v>521</v>
      </c>
      <c r="E48" s="559">
        <f t="shared" si="74"/>
      </c>
      <c r="F48" s="559" t="s">
        <v>513</v>
      </c>
      <c r="G48" s="563"/>
      <c r="H48" s="559"/>
      <c r="I48" s="559"/>
      <c r="J48" s="562"/>
      <c r="K48" s="512"/>
      <c r="L48" s="512"/>
      <c r="M48" s="512"/>
      <c r="N48" s="512"/>
      <c r="O48" s="512"/>
      <c r="P48" s="512"/>
      <c r="Q48" s="564"/>
      <c r="R48" s="564"/>
    </row>
    <row customHeight="true" ht="18.452380952380953" r="49">
      <c r="A49" s="556" t="s">
        <v>512</v>
      </c>
      <c r="B49" s="557">
        <v>46297</v>
      </c>
      <c r="C49" s="556" t="str">
        <v>Friday</v>
      </c>
      <c r="D49" s="558" t="s">
        <v>522</v>
      </c>
      <c r="E49" s="559">
        <f t="shared" si="74"/>
      </c>
      <c r="F49" s="559" t="s">
        <v>514</v>
      </c>
      <c r="G49" s="563"/>
      <c r="H49" s="559"/>
      <c r="I49" s="559"/>
      <c r="J49" s="562"/>
      <c r="K49" s="512"/>
      <c r="L49" s="512"/>
      <c r="M49" s="512"/>
      <c r="N49" s="512"/>
      <c r="O49" s="512"/>
      <c r="P49" s="512"/>
      <c r="Q49" s="564"/>
      <c r="R49" s="564"/>
    </row>
    <row customHeight="true" ht="16.071428571428573" r="50">
      <c r="A50" s="556" t="s">
        <v>512</v>
      </c>
      <c r="B50" s="557">
        <v>46299</v>
      </c>
      <c r="C50" s="556" t="str">
        <v>Sunday</v>
      </c>
      <c r="D50" s="558" t="s">
        <v>510</v>
      </c>
      <c r="E50" s="559">
        <f t="shared" si="74"/>
      </c>
      <c r="F50" s="559" t="s">
        <v>523</v>
      </c>
      <c r="G50" s="563"/>
      <c r="H50" s="559"/>
      <c r="I50" s="559"/>
      <c r="J50" s="562"/>
      <c r="K50" s="512"/>
      <c r="L50" s="512"/>
      <c r="M50" s="512"/>
      <c r="N50" s="512"/>
      <c r="O50" s="512"/>
      <c r="P50" s="512"/>
      <c r="Q50" s="564"/>
      <c r="R50" s="564"/>
    </row>
    <row customHeight="true" ht="16.071428571428573" r="51">
      <c r="A51" s="556"/>
      <c r="B51" s="557"/>
      <c r="C51" s="556"/>
      <c r="D51" s="558"/>
      <c r="E51" s="559"/>
      <c r="F51" s="559"/>
      <c r="G51" s="563"/>
      <c r="H51" s="559"/>
      <c r="I51" s="559"/>
      <c r="J51" s="562"/>
      <c r="K51" s="512"/>
      <c r="L51" s="512"/>
      <c r="M51" s="512"/>
      <c r="N51" s="512"/>
      <c r="O51" s="512"/>
      <c r="P51" s="512"/>
      <c r="Q51" s="564"/>
      <c r="R51" s="564"/>
    </row>
    <row customHeight="true" ht="16.071428571428573" r="52">
      <c r="A52" s="556"/>
      <c r="B52" s="557"/>
      <c r="C52" s="556"/>
      <c r="D52" s="558"/>
      <c r="E52" s="559"/>
      <c r="F52" s="559"/>
      <c r="G52" s="563"/>
      <c r="H52" s="559"/>
      <c r="I52" s="559"/>
      <c r="J52" s="562"/>
      <c r="K52" s="512"/>
      <c r="L52" s="512"/>
      <c r="M52" s="512"/>
      <c r="N52" s="512"/>
      <c r="O52" s="512"/>
      <c r="P52" s="512"/>
      <c r="Q52" s="564"/>
      <c r="R52" s="564"/>
    </row>
    <row customHeight="true" ht="16.071428571428573" r="53">
      <c r="A53" s="556"/>
      <c r="B53" s="565"/>
      <c r="C53" s="566"/>
      <c r="D53" s="567"/>
      <c r="E53" s="568"/>
      <c r="F53" s="559"/>
      <c r="G53" s="563"/>
      <c r="H53" s="559"/>
      <c r="I53" s="559"/>
      <c r="J53" s="562"/>
      <c r="K53" s="512"/>
      <c r="L53" s="512"/>
      <c r="M53" s="512"/>
      <c r="N53" s="512"/>
      <c r="O53" s="512"/>
      <c r="P53" s="512"/>
      <c r="Q53" s="564"/>
      <c r="R53" s="564"/>
    </row>
    <row customHeight="true" ht="16.071428571428573" r="54">
      <c r="A54" s="556" t="s">
        <v>524</v>
      </c>
      <c r="B54" s="565">
        <v>46293</v>
      </c>
      <c r="C54" s="566" t="str">
        <v>Monday</v>
      </c>
      <c r="D54" s="567" t="s">
        <v>525</v>
      </c>
      <c r="E54" s="568">
        <f t="shared" ref="E54:E63" si="75">24*MOD(TIMEVALUE(TRIM(MID(D54,FIND("-",D54)+1,LEN(D54)))) - TIMEVALUE(TRIM(LEFT(D54,FIND("-",D54)-1))),1)</f>
      </c>
      <c r="F54" s="559" t="s">
        <v>517</v>
      </c>
      <c r="G54" s="563"/>
      <c r="H54" s="559"/>
      <c r="I54" s="559"/>
      <c r="J54" s="562"/>
      <c r="K54" s="512"/>
      <c r="L54" s="512"/>
      <c r="M54" s="512"/>
      <c r="N54" s="512"/>
      <c r="O54" s="512"/>
      <c r="P54" s="512"/>
      <c r="Q54" s="564"/>
      <c r="R54" s="564"/>
    </row>
    <row customHeight="true" ht="16.071428571428573" r="55">
      <c r="A55" s="556" t="s">
        <v>524</v>
      </c>
      <c r="B55" s="565">
        <v>46294</v>
      </c>
      <c r="C55" s="566" t="str">
        <v>Tuesday</v>
      </c>
      <c r="D55" s="567" t="s">
        <v>526</v>
      </c>
      <c r="E55" s="568">
        <f t="shared" si="75"/>
      </c>
      <c r="F55" s="559" t="s">
        <v>523</v>
      </c>
      <c r="G55" s="563"/>
      <c r="H55" s="559"/>
      <c r="I55" s="559"/>
      <c r="J55" s="562"/>
      <c r="K55" s="512"/>
      <c r="L55" s="512"/>
      <c r="M55" s="512"/>
      <c r="N55" s="512"/>
      <c r="O55" s="512"/>
      <c r="P55" s="512"/>
      <c r="Q55" s="564"/>
      <c r="R55" s="564"/>
    </row>
    <row customHeight="true" ht="16.071428571428573" r="56">
      <c r="A56" s="556" t="s">
        <v>524</v>
      </c>
      <c r="B56" s="565">
        <v>46294</v>
      </c>
      <c r="C56" s="566" t="str">
        <v>Tuesday</v>
      </c>
      <c r="D56" s="567" t="s">
        <v>527</v>
      </c>
      <c r="E56" s="568">
        <f t="shared" si="75"/>
      </c>
      <c r="F56" s="559" t="s">
        <v>517</v>
      </c>
      <c r="G56" s="563"/>
      <c r="H56" s="559"/>
      <c r="I56" s="559"/>
      <c r="J56" s="562"/>
      <c r="K56" s="512"/>
      <c r="L56" s="512"/>
      <c r="M56" s="512"/>
      <c r="N56" s="512"/>
      <c r="O56" s="512"/>
      <c r="P56" s="512"/>
      <c r="Q56" s="564"/>
      <c r="R56" s="564"/>
    </row>
    <row customHeight="true" ht="16.071428571428573" r="57">
      <c r="A57" s="556" t="s">
        <v>524</v>
      </c>
      <c r="B57" s="565">
        <v>46294</v>
      </c>
      <c r="C57" s="566" t="str">
        <v>Tuesday</v>
      </c>
      <c r="D57" s="567" t="s">
        <v>528</v>
      </c>
      <c r="E57" s="568">
        <f t="shared" si="75"/>
      </c>
      <c r="F57" s="559" t="s">
        <v>517</v>
      </c>
      <c r="G57" s="563"/>
      <c r="H57" s="559"/>
      <c r="I57" s="559"/>
      <c r="J57" s="562"/>
      <c r="K57" s="512"/>
      <c r="L57" s="512"/>
      <c r="M57" s="512"/>
      <c r="N57" s="512"/>
      <c r="O57" s="512"/>
      <c r="P57" s="512"/>
      <c r="Q57" s="564"/>
      <c r="R57" s="564"/>
    </row>
    <row customHeight="true" ht="16.071428571428573" r="58">
      <c r="A58" s="566" t="s">
        <v>524</v>
      </c>
      <c r="B58" s="566">
        <v>46294</v>
      </c>
      <c r="C58" s="566" t="str">
        <v>Tuesday</v>
      </c>
      <c r="D58" s="568" t="s">
        <v>529</v>
      </c>
      <c r="E58" s="568">
        <f t="shared" si="75"/>
      </c>
      <c r="F58" s="568" t="s">
        <v>530</v>
      </c>
      <c r="G58" s="563"/>
      <c r="H58" s="559"/>
      <c r="I58" s="559"/>
      <c r="J58" s="562"/>
      <c r="K58" s="512"/>
      <c r="L58" s="512"/>
      <c r="M58" s="512"/>
      <c r="N58" s="512"/>
      <c r="O58" s="512"/>
      <c r="P58" s="512"/>
      <c r="Q58" s="564"/>
      <c r="R58" s="564"/>
    </row>
    <row customHeight="true" ht="16.071428571428573" r="59">
      <c r="A59" s="556" t="s">
        <v>524</v>
      </c>
      <c r="B59" s="565">
        <v>46295</v>
      </c>
      <c r="C59" s="566" t="str">
        <v>Wednesday</v>
      </c>
      <c r="D59" s="567" t="s">
        <v>519</v>
      </c>
      <c r="E59" s="568">
        <f t="shared" si="75"/>
      </c>
      <c r="F59" s="559" t="s">
        <v>517</v>
      </c>
      <c r="G59" s="563"/>
      <c r="H59" s="559"/>
      <c r="I59" s="559"/>
      <c r="J59" s="562"/>
      <c r="K59" s="512"/>
      <c r="L59" s="512"/>
      <c r="M59" s="512"/>
      <c r="N59" s="512"/>
      <c r="O59" s="512"/>
      <c r="P59" s="512"/>
      <c r="Q59" s="564"/>
      <c r="R59" s="564"/>
    </row>
    <row customHeight="true" ht="16.071428571428573" r="60">
      <c r="A60" s="556" t="s">
        <v>524</v>
      </c>
      <c r="B60" s="565">
        <v>46295</v>
      </c>
      <c r="C60" s="566" t="str">
        <v>Wednesday</v>
      </c>
      <c r="D60" s="567" t="s">
        <v>531</v>
      </c>
      <c r="E60" s="568">
        <f t="shared" si="75"/>
      </c>
      <c r="F60" s="559" t="s">
        <v>517</v>
      </c>
      <c r="G60" s="563"/>
      <c r="H60" s="559"/>
      <c r="I60" s="559"/>
      <c r="J60" s="562"/>
      <c r="K60" s="512"/>
      <c r="L60" s="512"/>
      <c r="M60" s="512"/>
      <c r="N60" s="512"/>
      <c r="O60" s="512"/>
      <c r="P60" s="512"/>
      <c r="Q60" s="564"/>
      <c r="R60" s="564"/>
    </row>
    <row customHeight="true" ht="16.071428571428573" r="61">
      <c r="A61" s="556" t="s">
        <v>524</v>
      </c>
      <c r="B61" s="565">
        <v>46296</v>
      </c>
      <c r="C61" s="566" t="str">
        <v>Thursday</v>
      </c>
      <c r="D61" s="567" t="s">
        <v>532</v>
      </c>
      <c r="E61" s="568">
        <f t="shared" si="75"/>
      </c>
      <c r="F61" s="559" t="s">
        <v>517</v>
      </c>
      <c r="G61" s="563"/>
      <c r="H61" s="559"/>
      <c r="I61" s="559"/>
      <c r="J61" s="562"/>
      <c r="K61" s="512"/>
      <c r="L61" s="512"/>
      <c r="M61" s="512"/>
      <c r="N61" s="512"/>
      <c r="O61" s="512"/>
      <c r="P61" s="512"/>
      <c r="Q61" s="564"/>
      <c r="R61" s="564"/>
    </row>
    <row customHeight="true" ht="16.071428571428573" r="62">
      <c r="A62" s="556" t="s">
        <v>524</v>
      </c>
      <c r="B62" s="565">
        <v>46297</v>
      </c>
      <c r="C62" s="566" t="str">
        <v>Friday</v>
      </c>
      <c r="D62" s="567" t="s">
        <v>533</v>
      </c>
      <c r="E62" s="568">
        <f t="shared" si="75"/>
      </c>
      <c r="F62" s="559" t="s">
        <v>517</v>
      </c>
      <c r="G62" s="563"/>
      <c r="H62" s="559"/>
      <c r="I62" s="559"/>
      <c r="J62" s="562"/>
      <c r="K62" s="512"/>
      <c r="L62" s="512"/>
      <c r="M62" s="512"/>
      <c r="N62" s="512"/>
      <c r="O62" s="512"/>
      <c r="P62" s="512"/>
      <c r="Q62" s="564"/>
      <c r="R62" s="564"/>
    </row>
    <row customHeight="true" ht="16.071428571428573" r="63">
      <c r="A63" s="556" t="s">
        <v>524</v>
      </c>
      <c r="B63" s="565">
        <v>46299</v>
      </c>
      <c r="C63" s="566" t="str">
        <v>Sunday</v>
      </c>
      <c r="D63" s="567" t="s">
        <v>534</v>
      </c>
      <c r="E63" s="568">
        <f t="shared" si="75"/>
      </c>
      <c r="F63" s="559" t="s">
        <v>517</v>
      </c>
      <c r="G63" s="563"/>
      <c r="H63" s="559"/>
      <c r="I63" s="559"/>
      <c r="J63" s="562"/>
      <c r="K63" s="512"/>
      <c r="L63" s="512"/>
      <c r="M63" s="512"/>
      <c r="N63" s="512"/>
      <c r="O63" s="512"/>
      <c r="P63" s="512"/>
      <c r="Q63" s="564"/>
      <c r="R63" s="564"/>
    </row>
    <row customHeight="true" ht="16.071428571428573" r="64">
      <c r="A64" s="556"/>
      <c r="B64" s="565"/>
      <c r="C64" s="566"/>
      <c r="D64" s="567"/>
      <c r="E64" s="568"/>
      <c r="F64" s="559"/>
      <c r="G64" s="563"/>
      <c r="H64" s="559"/>
      <c r="I64" s="559"/>
      <c r="J64" s="562"/>
      <c r="K64" s="512"/>
      <c r="L64" s="512"/>
      <c r="M64" s="512"/>
      <c r="N64" s="512"/>
      <c r="O64" s="512"/>
      <c r="P64" s="512"/>
      <c r="Q64" s="564"/>
      <c r="R64" s="564"/>
    </row>
    <row customHeight="true" ht="16.071428571428573" r="65">
      <c r="A65" s="556"/>
      <c r="B65" s="565"/>
      <c r="C65" s="566"/>
      <c r="D65" s="567"/>
      <c r="E65" s="568"/>
      <c r="F65" s="559"/>
      <c r="G65" s="563"/>
      <c r="H65" s="559"/>
      <c r="I65" s="559"/>
      <c r="J65" s="562"/>
      <c r="K65" s="512"/>
      <c r="L65" s="512"/>
      <c r="M65" s="512"/>
      <c r="N65" s="512"/>
      <c r="O65" s="512"/>
      <c r="P65" s="512"/>
      <c r="Q65" s="564"/>
      <c r="R65" s="564"/>
    </row>
    <row customHeight="true" ht="16.071428571428573" r="66">
      <c r="A66" s="566"/>
      <c r="B66" s="566"/>
      <c r="C66" s="566"/>
      <c r="D66" s="568"/>
      <c r="E66" s="568"/>
      <c r="F66" s="568"/>
      <c r="G66" s="563"/>
      <c r="H66" s="559"/>
      <c r="I66" s="559"/>
      <c r="J66" s="562"/>
      <c r="K66" s="512"/>
      <c r="L66" s="512"/>
      <c r="M66" s="512"/>
      <c r="N66" s="512"/>
      <c r="O66" s="512"/>
      <c r="P66" s="512"/>
      <c r="Q66" s="564"/>
      <c r="R66" s="564"/>
    </row>
    <row r="67"/>
    <row r="68">
      <c r="A68" s="569" t="s">
        <v>535</v>
      </c>
      <c r="B68" s="569"/>
      <c r="C68" s="569"/>
      <c r="D68" s="569"/>
      <c r="E68" s="569"/>
      <c r="F68" s="569"/>
      <c r="G68" s="570"/>
      <c r="H68" s="570"/>
      <c r="I68" s="570"/>
      <c r="J68" s="571"/>
      <c r="K68" s="547"/>
      <c r="L68" s="547"/>
      <c r="M68" s="547"/>
      <c r="N68" s="547"/>
      <c r="O68" s="547"/>
      <c r="P68" s="547"/>
    </row>
    <row r="69">
      <c r="A69" s="572" t="s">
        <v>478</v>
      </c>
      <c r="B69" s="573" t="s">
        <v>479</v>
      </c>
      <c r="C69" s="573"/>
      <c r="D69" s="572" t="s">
        <v>480</v>
      </c>
      <c r="E69" s="574" t="s">
        <v>536</v>
      </c>
      <c r="F69" s="572" t="s">
        <v>482</v>
      </c>
      <c r="G69" s="575" t="s">
        <v>495</v>
      </c>
      <c r="H69" s="572" t="s">
        <v>484</v>
      </c>
      <c r="I69" s="572" t="s">
        <v>485</v>
      </c>
      <c r="J69" s="576" t="s">
        <v>486</v>
      </c>
      <c r="K69" s="532"/>
      <c r="L69" s="532"/>
      <c r="M69" s="532"/>
      <c r="N69" s="532"/>
      <c r="O69" s="532"/>
      <c r="P69" s="532"/>
    </row>
    <row customHeight="true" ht="18.452380952380953" r="70">
      <c r="A70" s="577" t="s">
        <v>537</v>
      </c>
      <c r="B70" s="578">
        <v>46293</v>
      </c>
      <c r="C70" s="579" t="str">
        <v>Monday</v>
      </c>
      <c r="D70" s="580" t="s">
        <v>538</v>
      </c>
      <c r="E70" s="581">
        <f t="shared" ref="E70:E75" si="76">24*MOD(TIMEVALUE(TRIM(MID(D70,FIND("-",D70)+1,LEN(D70)))) - TIMEVALUE(TRIM(LEFT(D70,FIND("-",D70)-1))),1)</f>
      </c>
      <c r="F70" s="581" t="s">
        <v>539</v>
      </c>
      <c r="G70" s="582"/>
      <c r="H70" s="581" t="s">
        <v>493</v>
      </c>
      <c r="I70" s="581" t="s">
        <v>468</v>
      </c>
      <c r="J70" s="583"/>
      <c r="K70" s="512"/>
      <c r="L70" s="512"/>
      <c r="M70" s="512"/>
      <c r="N70" s="512"/>
      <c r="O70" s="512"/>
      <c r="P70" s="512"/>
      <c r="Q70" s="564"/>
      <c r="R70" s="564"/>
    </row>
    <row customHeight="true" ht="18.452380952380953" r="71">
      <c r="A71" s="577" t="s">
        <v>537</v>
      </c>
      <c r="B71" s="578">
        <v>46293</v>
      </c>
      <c r="C71" s="579" t="str">
        <v>Monday</v>
      </c>
      <c r="D71" s="580" t="s">
        <v>540</v>
      </c>
      <c r="E71" s="581">
        <f t="shared" si="76"/>
      </c>
      <c r="F71" s="581" t="s">
        <v>541</v>
      </c>
      <c r="G71" s="582"/>
      <c r="H71" s="581" t="s">
        <v>493</v>
      </c>
      <c r="I71" s="581" t="s">
        <v>468</v>
      </c>
      <c r="J71" s="583"/>
      <c r="K71" s="512"/>
      <c r="L71" s="512"/>
      <c r="M71" s="512"/>
      <c r="N71" s="512"/>
      <c r="O71" s="512"/>
      <c r="P71" s="512"/>
      <c r="Q71" s="564"/>
      <c r="R71" s="564"/>
    </row>
    <row customHeight="true" ht="18.452380952380953" r="72">
      <c r="A72" s="577" t="s">
        <v>537</v>
      </c>
      <c r="B72" s="578">
        <v>46293</v>
      </c>
      <c r="C72" s="579" t="str">
        <v>Monday</v>
      </c>
      <c r="D72" s="580" t="s">
        <v>542</v>
      </c>
      <c r="E72" s="581">
        <f t="shared" si="76"/>
      </c>
      <c r="F72" s="581" t="s">
        <v>543</v>
      </c>
      <c r="G72" s="582"/>
      <c r="H72" s="581" t="s">
        <v>493</v>
      </c>
      <c r="I72" s="581" t="s">
        <v>468</v>
      </c>
      <c r="J72" s="583"/>
      <c r="K72" s="512"/>
      <c r="L72" s="512"/>
      <c r="M72" s="512"/>
      <c r="N72" s="512"/>
      <c r="O72" s="512"/>
      <c r="P72" s="512"/>
      <c r="Q72" s="564"/>
      <c r="R72" s="564"/>
    </row>
    <row customHeight="true" ht="18.452380952380953" r="73">
      <c r="A73" s="577" t="s">
        <v>537</v>
      </c>
      <c r="B73" s="578">
        <v>46293</v>
      </c>
      <c r="C73" s="579" t="str">
        <v>Monday</v>
      </c>
      <c r="D73" s="580" t="s">
        <v>544</v>
      </c>
      <c r="E73" s="581">
        <f t="shared" si="76"/>
      </c>
      <c r="F73" s="584" t="s">
        <v>545</v>
      </c>
      <c r="G73" s="582"/>
      <c r="H73" s="581" t="s">
        <v>493</v>
      </c>
      <c r="I73" s="581" t="s">
        <v>468</v>
      </c>
      <c r="J73" s="583"/>
      <c r="K73" s="512"/>
      <c r="L73" s="512"/>
      <c r="M73" s="512"/>
      <c r="N73" s="512"/>
      <c r="O73" s="512"/>
      <c r="P73" s="512"/>
      <c r="Q73" s="564"/>
      <c r="R73" s="564"/>
    </row>
    <row customHeight="true" ht="18.452380952380953" r="74">
      <c r="A74" s="577" t="s">
        <v>537</v>
      </c>
      <c r="B74" s="578">
        <v>46294</v>
      </c>
      <c r="C74" s="579" t="str">
        <v>Tuesday</v>
      </c>
      <c r="D74" s="580" t="s">
        <v>546</v>
      </c>
      <c r="E74" s="581">
        <f t="shared" si="76"/>
      </c>
      <c r="F74" s="585" t="s">
        <v>547</v>
      </c>
      <c r="G74" s="582"/>
      <c r="H74" s="581" t="s">
        <v>493</v>
      </c>
      <c r="I74" s="581" t="s">
        <v>468</v>
      </c>
      <c r="J74" s="583"/>
      <c r="K74" s="512"/>
      <c r="L74" s="512"/>
      <c r="M74" s="512"/>
      <c r="N74" s="512"/>
      <c r="O74" s="512"/>
      <c r="P74" s="512"/>
      <c r="Q74" s="564"/>
      <c r="R74" s="564"/>
    </row>
    <row customHeight="true" ht="18.452380952380953" r="75">
      <c r="A75" s="577" t="s">
        <v>537</v>
      </c>
      <c r="B75" s="578">
        <v>46296</v>
      </c>
      <c r="C75" s="579" t="str">
        <v>Thursday</v>
      </c>
      <c r="D75" s="580" t="s">
        <v>548</v>
      </c>
      <c r="E75" s="581">
        <f t="shared" si="76"/>
      </c>
      <c r="F75" s="581" t="s">
        <v>549</v>
      </c>
      <c r="G75" s="582"/>
      <c r="H75" s="581" t="s">
        <v>493</v>
      </c>
      <c r="I75" s="581" t="s">
        <v>468</v>
      </c>
      <c r="J75" s="583"/>
      <c r="K75" s="512"/>
      <c r="L75" s="512"/>
      <c r="M75" s="512"/>
      <c r="N75" s="512"/>
      <c r="O75" s="512"/>
      <c r="P75" s="512"/>
      <c r="Q75" s="564"/>
      <c r="R75" s="564"/>
    </row>
    <row customHeight="true" ht="14.880952380952381" r="76">
      <c r="K76" s="564"/>
      <c r="L76" s="564"/>
      <c r="M76" s="564"/>
      <c r="N76" s="564"/>
      <c r="O76" s="564"/>
      <c r="P76" s="564"/>
      <c r="Q76" s="564"/>
      <c r="R76" s="564"/>
    </row>
    <row customHeight="true" ht="18.452380952380953" r="77">
      <c r="A77" s="586" t="s">
        <v>535</v>
      </c>
      <c r="B77" s="587">
        <v>46293</v>
      </c>
      <c r="C77" s="588" t="str">
        <v>Monday</v>
      </c>
      <c r="D77" s="589" t="s">
        <v>550</v>
      </c>
      <c r="E77" s="522">
        <f t="shared" ref="E77:E81" si="77">24*MOD(TIMEVALUE(TRIM(MID(D77,FIND("-",D77)+1,LEN(D77)))) - TIMEVALUE(TRIM(LEFT(D77,FIND("-",D77)-1))),1)</f>
      </c>
      <c r="F77" s="522" t="s">
        <v>539</v>
      </c>
      <c r="G77" s="590" t="s">
        <v>551</v>
      </c>
      <c r="H77" s="522" t="s">
        <v>493</v>
      </c>
      <c r="I77" s="522" t="s">
        <v>468</v>
      </c>
      <c r="J77" s="591"/>
      <c r="K77" s="512"/>
      <c r="L77" s="512"/>
      <c r="M77" s="512"/>
      <c r="N77" s="512"/>
      <c r="O77" s="512"/>
      <c r="P77" s="512"/>
      <c r="Q77" s="564"/>
      <c r="R77" s="564"/>
    </row>
    <row customHeight="true" ht="18.452380952380953" r="78">
      <c r="A78" s="586" t="s">
        <v>535</v>
      </c>
      <c r="B78" s="587">
        <v>46293</v>
      </c>
      <c r="C78" s="588" t="str">
        <v>Monday</v>
      </c>
      <c r="D78" s="589" t="s">
        <v>552</v>
      </c>
      <c r="E78" s="522">
        <f t="shared" si="77"/>
      </c>
      <c r="F78" s="508" t="s">
        <v>545</v>
      </c>
      <c r="G78" s="590" t="s">
        <v>553</v>
      </c>
      <c r="H78" s="522" t="s">
        <v>493</v>
      </c>
      <c r="I78" s="522" t="s">
        <v>468</v>
      </c>
      <c r="J78" s="591"/>
      <c r="K78" s="512"/>
      <c r="L78" s="512"/>
      <c r="M78" s="512"/>
      <c r="N78" s="512"/>
      <c r="O78" s="512"/>
      <c r="P78" s="512"/>
      <c r="Q78" s="564"/>
      <c r="R78" s="564"/>
    </row>
    <row customHeight="true" ht="18.452380952380953" r="79">
      <c r="A79" s="586" t="s">
        <v>535</v>
      </c>
      <c r="B79" s="587">
        <v>46293</v>
      </c>
      <c r="C79" s="588" t="str">
        <v>Monday</v>
      </c>
      <c r="D79" s="589" t="s">
        <v>554</v>
      </c>
      <c r="E79" s="522">
        <f t="shared" si="77"/>
      </c>
      <c r="F79" s="522" t="s">
        <v>539</v>
      </c>
      <c r="G79" s="590" t="s">
        <v>551</v>
      </c>
      <c r="H79" s="522" t="s">
        <v>493</v>
      </c>
      <c r="I79" s="522" t="s">
        <v>468</v>
      </c>
      <c r="J79" s="591"/>
      <c r="K79" s="512"/>
      <c r="L79" s="512"/>
      <c r="M79" s="512"/>
      <c r="N79" s="512"/>
      <c r="O79" s="512"/>
      <c r="P79" s="512"/>
      <c r="Q79" s="564"/>
      <c r="R79" s="564"/>
    </row>
    <row customHeight="true" ht="18.452380952380953" r="80">
      <c r="A80" s="586" t="s">
        <v>535</v>
      </c>
      <c r="B80" s="587">
        <v>46293</v>
      </c>
      <c r="C80" s="588" t="str">
        <v>Monday</v>
      </c>
      <c r="D80" s="589" t="s">
        <v>555</v>
      </c>
      <c r="E80" s="522">
        <f t="shared" si="77"/>
      </c>
      <c r="F80" s="538" t="s">
        <v>541</v>
      </c>
      <c r="G80" s="590"/>
      <c r="H80" s="522" t="s">
        <v>493</v>
      </c>
      <c r="I80" s="522" t="s">
        <v>468</v>
      </c>
      <c r="J80" s="590" t="s">
        <v>556</v>
      </c>
      <c r="K80" s="512"/>
      <c r="L80" s="512"/>
      <c r="M80" s="512"/>
      <c r="N80" s="512"/>
      <c r="O80" s="512"/>
      <c r="P80" s="512"/>
      <c r="Q80" s="564"/>
      <c r="R80" s="564"/>
    </row>
    <row customHeight="true" ht="18.452380952380953" r="81">
      <c r="A81" s="586" t="s">
        <v>535</v>
      </c>
      <c r="B81" s="587">
        <v>46293</v>
      </c>
      <c r="C81" s="588" t="str">
        <v>Monday</v>
      </c>
      <c r="D81" s="589" t="s">
        <v>557</v>
      </c>
      <c r="E81" s="522">
        <f t="shared" si="77"/>
      </c>
      <c r="F81" s="522" t="s">
        <v>558</v>
      </c>
      <c r="G81" s="590"/>
      <c r="H81" s="522" t="s">
        <v>493</v>
      </c>
      <c r="I81" s="522" t="s">
        <v>468</v>
      </c>
      <c r="J81" s="590" t="s">
        <v>559</v>
      </c>
      <c r="K81" s="512"/>
      <c r="L81" s="512"/>
      <c r="M81" s="512"/>
      <c r="N81" s="512"/>
      <c r="O81" s="512"/>
      <c r="P81" s="512"/>
      <c r="Q81" s="564"/>
      <c r="R81" s="564"/>
    </row>
    <row customHeight="true" ht="11.904761904761905" r="82"/>
    <row customHeight="true" ht="18.452380952380953" r="83">
      <c r="A83" s="577" t="s">
        <v>535</v>
      </c>
      <c r="B83" s="578">
        <v>46294</v>
      </c>
      <c r="C83" s="579" t="str">
        <v>Tuesday</v>
      </c>
      <c r="D83" s="580" t="s">
        <v>560</v>
      </c>
      <c r="E83" s="581">
        <f t="shared" ref="E83:E89" si="78">24*MOD(TIMEVALUE(TRIM(MID(D83,FIND("-",D83)+1,LEN(D83)))) - TIMEVALUE(TRIM(LEFT(D83,FIND("-",D83)-1))),1)</f>
      </c>
      <c r="F83" s="581" t="s">
        <v>543</v>
      </c>
      <c r="G83" s="582" t="s">
        <v>561</v>
      </c>
      <c r="H83" s="581" t="s">
        <v>493</v>
      </c>
      <c r="I83" s="581" t="s">
        <v>468</v>
      </c>
      <c r="J83" s="582" t="s">
        <v>562</v>
      </c>
      <c r="K83" s="512"/>
      <c r="L83" s="512"/>
      <c r="M83" s="512"/>
      <c r="N83" s="512"/>
      <c r="O83" s="512"/>
      <c r="P83" s="512"/>
      <c r="Q83" s="564"/>
      <c r="R83" s="564"/>
    </row>
    <row customHeight="true" ht="18.452380952380953" r="84">
      <c r="A84" s="577" t="s">
        <v>535</v>
      </c>
      <c r="B84" s="578">
        <v>46294</v>
      </c>
      <c r="C84" s="579" t="str">
        <v>Tuesday</v>
      </c>
      <c r="D84" s="580" t="s">
        <v>563</v>
      </c>
      <c r="E84" s="581">
        <f t="shared" si="78"/>
      </c>
      <c r="F84" s="581" t="s">
        <v>539</v>
      </c>
      <c r="G84" s="582" t="s">
        <v>564</v>
      </c>
      <c r="H84" s="581" t="s">
        <v>493</v>
      </c>
      <c r="I84" s="581" t="s">
        <v>468</v>
      </c>
      <c r="J84" s="582" t="s">
        <v>565</v>
      </c>
      <c r="K84" s="512"/>
      <c r="L84" s="512"/>
      <c r="M84" s="512"/>
      <c r="N84" s="512"/>
      <c r="O84" s="512"/>
      <c r="P84" s="512"/>
      <c r="Q84" s="564"/>
      <c r="R84" s="564"/>
    </row>
    <row customHeight="true" ht="18.452380952380953" r="85">
      <c r="A85" s="577" t="s">
        <v>535</v>
      </c>
      <c r="B85" s="578">
        <v>46294</v>
      </c>
      <c r="C85" s="579" t="str">
        <v>Tuesday</v>
      </c>
      <c r="D85" s="580" t="s">
        <v>566</v>
      </c>
      <c r="E85" s="581">
        <f t="shared" si="78"/>
      </c>
      <c r="F85" s="581" t="s">
        <v>567</v>
      </c>
      <c r="G85" s="582"/>
      <c r="H85" s="581" t="s">
        <v>493</v>
      </c>
      <c r="I85" s="581" t="s">
        <v>468</v>
      </c>
      <c r="J85" s="582" t="s">
        <v>568</v>
      </c>
      <c r="K85" s="512"/>
      <c r="L85" s="512"/>
      <c r="M85" s="512"/>
      <c r="N85" s="512"/>
      <c r="O85" s="512"/>
      <c r="P85" s="512"/>
      <c r="Q85" s="564"/>
      <c r="R85" s="564"/>
    </row>
    <row customHeight="true" ht="18.452380952380953" r="86">
      <c r="A86" s="577" t="s">
        <v>535</v>
      </c>
      <c r="B86" s="578">
        <v>46294</v>
      </c>
      <c r="C86" s="579" t="str">
        <v>Tuesday</v>
      </c>
      <c r="D86" s="580" t="s">
        <v>569</v>
      </c>
      <c r="E86" s="581">
        <f t="shared" si="78"/>
      </c>
      <c r="F86" s="585" t="s">
        <v>547</v>
      </c>
      <c r="G86" s="582"/>
      <c r="H86" s="581" t="s">
        <v>493</v>
      </c>
      <c r="I86" s="581" t="s">
        <v>468</v>
      </c>
      <c r="J86" s="582" t="s">
        <v>570</v>
      </c>
      <c r="K86" s="512"/>
      <c r="L86" s="512"/>
      <c r="M86" s="512"/>
      <c r="N86" s="512"/>
      <c r="O86" s="512"/>
      <c r="P86" s="512"/>
      <c r="Q86" s="564"/>
      <c r="R86" s="564"/>
    </row>
    <row customHeight="true" ht="18.452380952380953" r="87">
      <c r="A87" s="577" t="s">
        <v>535</v>
      </c>
      <c r="B87" s="578">
        <v>46294</v>
      </c>
      <c r="C87" s="579" t="str">
        <v>Tuesday</v>
      </c>
      <c r="D87" s="580" t="s">
        <v>571</v>
      </c>
      <c r="E87" s="581">
        <f t="shared" si="78"/>
      </c>
      <c r="F87" s="581" t="s">
        <v>572</v>
      </c>
      <c r="G87" s="582"/>
      <c r="H87" s="581" t="s">
        <v>493</v>
      </c>
      <c r="I87" s="581" t="s">
        <v>468</v>
      </c>
      <c r="J87" s="582" t="s">
        <v>573</v>
      </c>
      <c r="K87" s="512"/>
      <c r="L87" s="512"/>
      <c r="M87" s="512"/>
      <c r="N87" s="512"/>
      <c r="O87" s="512"/>
      <c r="P87" s="512"/>
      <c r="Q87" s="564"/>
      <c r="R87" s="564"/>
    </row>
    <row customHeight="true" ht="18.452380952380953" r="88">
      <c r="A88" s="577" t="s">
        <v>535</v>
      </c>
      <c r="B88" s="578">
        <v>46294</v>
      </c>
      <c r="C88" s="579" t="str">
        <v>Tuesday</v>
      </c>
      <c r="D88" s="580" t="s">
        <v>555</v>
      </c>
      <c r="E88" s="581">
        <f t="shared" si="78"/>
      </c>
      <c r="F88" s="581" t="s">
        <v>567</v>
      </c>
      <c r="G88" s="582"/>
      <c r="H88" s="581" t="s">
        <v>493</v>
      </c>
      <c r="I88" s="581" t="s">
        <v>468</v>
      </c>
      <c r="J88" s="582" t="s">
        <v>568</v>
      </c>
      <c r="K88" s="512"/>
      <c r="L88" s="512"/>
      <c r="M88" s="512"/>
      <c r="N88" s="512"/>
      <c r="O88" s="512"/>
      <c r="P88" s="512"/>
      <c r="Q88" s="564"/>
      <c r="R88" s="564"/>
    </row>
    <row customHeight="true" ht="18.452380952380953" r="89">
      <c r="A89" s="577" t="s">
        <v>535</v>
      </c>
      <c r="B89" s="578">
        <v>46294</v>
      </c>
      <c r="C89" s="579" t="str">
        <v>Tuesday</v>
      </c>
      <c r="D89" s="580" t="s">
        <v>574</v>
      </c>
      <c r="E89" s="581">
        <f t="shared" si="78"/>
      </c>
      <c r="F89" s="581" t="s">
        <v>543</v>
      </c>
      <c r="G89" s="582"/>
      <c r="H89" s="581" t="s">
        <v>493</v>
      </c>
      <c r="I89" s="581" t="s">
        <v>468</v>
      </c>
      <c r="J89" s="582" t="s">
        <v>575</v>
      </c>
      <c r="K89" s="512"/>
      <c r="L89" s="512"/>
      <c r="M89" s="512"/>
      <c r="N89" s="512"/>
      <c r="O89" s="512"/>
      <c r="P89" s="512"/>
      <c r="Q89" s="564"/>
      <c r="R89" s="564"/>
    </row>
    <row customHeight="true" ht="11.904761904761905" r="90"/>
    <row customHeight="true" ht="18.452380952380953" r="91">
      <c r="A91" s="586" t="s">
        <v>535</v>
      </c>
      <c r="B91" s="587">
        <v>46295</v>
      </c>
      <c r="C91" s="588" t="str">
        <v>Wednesday</v>
      </c>
      <c r="D91" s="589" t="s">
        <v>576</v>
      </c>
      <c r="E91" s="522">
        <f t="shared" ref="E91:E99" si="79">24*MOD(TIMEVALUE(TRIM(MID(D91,FIND("-",D91)+1,LEN(D91)))) - TIMEVALUE(TRIM(LEFT(D91,FIND("-",D91)-1))),1)</f>
      </c>
      <c r="F91" s="522" t="s">
        <v>543</v>
      </c>
      <c r="G91" s="590"/>
      <c r="H91" s="522" t="s">
        <v>493</v>
      </c>
      <c r="I91" s="522" t="s">
        <v>468</v>
      </c>
      <c r="J91" s="590" t="s">
        <v>577</v>
      </c>
      <c r="K91" s="512"/>
      <c r="L91" s="512"/>
      <c r="M91" s="512"/>
      <c r="N91" s="512"/>
      <c r="O91" s="512"/>
      <c r="P91" s="512"/>
      <c r="Q91" s="564"/>
      <c r="R91" s="564"/>
    </row>
    <row customHeight="true" ht="18.452380952380953" r="92">
      <c r="A92" s="586" t="s">
        <v>535</v>
      </c>
      <c r="B92" s="587">
        <v>46295</v>
      </c>
      <c r="C92" s="588" t="str">
        <v>Wednesday</v>
      </c>
      <c r="D92" s="589" t="s">
        <v>578</v>
      </c>
      <c r="E92" s="522">
        <f t="shared" si="79"/>
      </c>
      <c r="F92" s="592" t="s">
        <v>579</v>
      </c>
      <c r="G92" s="590"/>
      <c r="H92" s="522" t="s">
        <v>493</v>
      </c>
      <c r="I92" s="522" t="s">
        <v>468</v>
      </c>
      <c r="J92" s="590" t="s">
        <v>580</v>
      </c>
      <c r="K92" s="512"/>
      <c r="L92" s="512"/>
      <c r="M92" s="512"/>
      <c r="N92" s="512"/>
      <c r="O92" s="512"/>
      <c r="P92" s="512"/>
      <c r="Q92" s="564"/>
      <c r="R92" s="564"/>
    </row>
    <row customHeight="true" ht="18.452380952380953" r="93">
      <c r="A93" s="586" t="s">
        <v>535</v>
      </c>
      <c r="B93" s="587">
        <v>46295</v>
      </c>
      <c r="C93" s="588" t="str">
        <v>Wednesday</v>
      </c>
      <c r="D93" s="589" t="s">
        <v>563</v>
      </c>
      <c r="E93" s="522">
        <f t="shared" si="79"/>
      </c>
      <c r="F93" s="522" t="s">
        <v>539</v>
      </c>
      <c r="G93" s="590"/>
      <c r="H93" s="522" t="s">
        <v>493</v>
      </c>
      <c r="I93" s="522" t="s">
        <v>468</v>
      </c>
      <c r="J93" s="590" t="s">
        <v>581</v>
      </c>
      <c r="K93" s="512"/>
      <c r="L93" s="512"/>
      <c r="M93" s="512"/>
      <c r="N93" s="512"/>
      <c r="O93" s="512"/>
      <c r="P93" s="512"/>
      <c r="Q93" s="564"/>
      <c r="R93" s="564"/>
    </row>
    <row customHeight="true" ht="18.452380952380953" r="94">
      <c r="A94" s="586" t="s">
        <v>535</v>
      </c>
      <c r="B94" s="587">
        <v>46295</v>
      </c>
      <c r="C94" s="588" t="str">
        <v>Wednesday</v>
      </c>
      <c r="D94" s="589" t="s">
        <v>566</v>
      </c>
      <c r="E94" s="522">
        <f t="shared" si="79"/>
      </c>
      <c r="F94" s="522" t="s">
        <v>567</v>
      </c>
      <c r="G94" s="590"/>
      <c r="H94" s="522" t="s">
        <v>493</v>
      </c>
      <c r="I94" s="522" t="s">
        <v>468</v>
      </c>
      <c r="J94" s="590" t="s">
        <v>568</v>
      </c>
      <c r="K94" s="512"/>
      <c r="L94" s="512"/>
      <c r="M94" s="512"/>
      <c r="N94" s="512"/>
      <c r="O94" s="512"/>
      <c r="P94" s="512"/>
      <c r="Q94" s="564"/>
      <c r="R94" s="564"/>
    </row>
    <row customHeight="true" ht="18.452380952380953" r="95">
      <c r="A95" s="586" t="s">
        <v>535</v>
      </c>
      <c r="B95" s="587">
        <v>46295</v>
      </c>
      <c r="C95" s="588" t="str">
        <v>Wednesday</v>
      </c>
      <c r="D95" s="589" t="s">
        <v>582</v>
      </c>
      <c r="E95" s="522">
        <f t="shared" si="79"/>
      </c>
      <c r="F95" s="592" t="s">
        <v>579</v>
      </c>
      <c r="G95" s="590"/>
      <c r="H95" s="522" t="s">
        <v>493</v>
      </c>
      <c r="I95" s="522" t="s">
        <v>468</v>
      </c>
      <c r="J95" s="590" t="s">
        <v>583</v>
      </c>
      <c r="K95" s="512"/>
      <c r="L95" s="512"/>
      <c r="M95" s="512"/>
      <c r="N95" s="512"/>
      <c r="O95" s="512"/>
      <c r="P95" s="512"/>
      <c r="Q95" s="564"/>
      <c r="R95" s="564"/>
    </row>
    <row customHeight="true" ht="18.452380952380953" r="96">
      <c r="A96" s="586" t="s">
        <v>535</v>
      </c>
      <c r="B96" s="587">
        <v>46295</v>
      </c>
      <c r="C96" s="588" t="str">
        <v>Wednesday</v>
      </c>
      <c r="D96" s="589" t="s">
        <v>584</v>
      </c>
      <c r="E96" s="522">
        <f t="shared" si="79"/>
      </c>
      <c r="F96" s="522" t="s">
        <v>558</v>
      </c>
      <c r="G96" s="590"/>
      <c r="H96" s="522" t="s">
        <v>493</v>
      </c>
      <c r="I96" s="522" t="s">
        <v>468</v>
      </c>
      <c r="J96" s="590" t="s">
        <v>585</v>
      </c>
      <c r="K96" s="512"/>
      <c r="L96" s="512"/>
      <c r="M96" s="512"/>
      <c r="N96" s="512"/>
      <c r="O96" s="512"/>
      <c r="P96" s="512"/>
      <c r="Q96" s="564"/>
      <c r="R96" s="564"/>
    </row>
    <row customHeight="true" ht="18.452380952380953" r="97">
      <c r="A97" s="586" t="s">
        <v>535</v>
      </c>
      <c r="B97" s="587">
        <v>46295</v>
      </c>
      <c r="C97" s="588" t="str">
        <v>Wednesday</v>
      </c>
      <c r="D97" s="589" t="s">
        <v>571</v>
      </c>
      <c r="E97" s="522">
        <f t="shared" si="79"/>
      </c>
      <c r="F97" s="522" t="s">
        <v>572</v>
      </c>
      <c r="G97" s="590"/>
      <c r="H97" s="522" t="s">
        <v>493</v>
      </c>
      <c r="I97" s="522" t="s">
        <v>468</v>
      </c>
      <c r="J97" s="590" t="s">
        <v>586</v>
      </c>
      <c r="K97" s="512"/>
      <c r="L97" s="512"/>
      <c r="M97" s="512"/>
      <c r="N97" s="512"/>
      <c r="O97" s="512"/>
      <c r="P97" s="512"/>
      <c r="Q97" s="564"/>
      <c r="R97" s="564"/>
    </row>
    <row r="98">
      <c r="A98" s="586" t="s">
        <v>535</v>
      </c>
      <c r="B98" s="587">
        <v>46295</v>
      </c>
      <c r="C98" s="588" t="str">
        <v>Wednesday</v>
      </c>
      <c r="D98" s="589" t="s">
        <v>555</v>
      </c>
      <c r="E98" s="522">
        <f t="shared" si="79"/>
      </c>
      <c r="F98" s="522" t="s">
        <v>567</v>
      </c>
      <c r="G98" s="590"/>
      <c r="H98" s="522" t="s">
        <v>493</v>
      </c>
      <c r="I98" s="522" t="s">
        <v>468</v>
      </c>
      <c r="J98" s="590" t="s">
        <v>568</v>
      </c>
      <c r="K98" s="512"/>
      <c r="L98" s="512"/>
      <c r="M98" s="512"/>
      <c r="N98" s="512"/>
      <c r="O98" s="512"/>
      <c r="P98" s="512"/>
      <c r="Q98" s="564"/>
      <c r="R98" s="564"/>
    </row>
    <row customHeight="true" ht="18.452380952380953" r="99">
      <c r="A99" s="586" t="s">
        <v>535</v>
      </c>
      <c r="B99" s="587">
        <v>46295</v>
      </c>
      <c r="C99" s="588" t="str">
        <v>Wednesday</v>
      </c>
      <c r="D99" s="589" t="s">
        <v>574</v>
      </c>
      <c r="E99" s="522">
        <f t="shared" si="79"/>
      </c>
      <c r="F99" s="522" t="s">
        <v>558</v>
      </c>
      <c r="G99" s="590"/>
      <c r="H99" s="522" t="s">
        <v>493</v>
      </c>
      <c r="I99" s="522" t="s">
        <v>468</v>
      </c>
      <c r="J99" s="590" t="s">
        <v>575</v>
      </c>
      <c r="K99" s="512"/>
      <c r="L99" s="512"/>
      <c r="M99" s="512"/>
      <c r="N99" s="512"/>
      <c r="O99" s="512"/>
      <c r="P99" s="512"/>
      <c r="Q99" s="564"/>
      <c r="R99" s="564"/>
    </row>
    <row customHeight="true" ht="11.904761904761905" r="100"/>
    <row r="101">
      <c r="A101" s="577" t="s">
        <v>535</v>
      </c>
      <c r="B101" s="578">
        <v>46296</v>
      </c>
      <c r="C101" s="579" t="str">
        <v>Thursday</v>
      </c>
      <c r="D101" s="580" t="s">
        <v>548</v>
      </c>
      <c r="E101" s="581">
        <f t="shared" ref="E101:E107" si="80">24*MOD(TIMEVALUE(TRIM(MID(D101,FIND("-",D101)+1,LEN(D101)))) - TIMEVALUE(TRIM(LEFT(D101,FIND("-",D101)-1))),1)</f>
      </c>
      <c r="F101" s="581" t="s">
        <v>572</v>
      </c>
      <c r="G101" s="582" t="s">
        <v>587</v>
      </c>
      <c r="H101" s="581" t="s">
        <v>493</v>
      </c>
      <c r="I101" s="581" t="s">
        <v>468</v>
      </c>
      <c r="J101" s="583"/>
      <c r="K101" s="512"/>
      <c r="L101" s="512"/>
      <c r="M101" s="512"/>
      <c r="N101" s="512"/>
      <c r="O101" s="512"/>
      <c r="P101" s="512"/>
      <c r="Q101" s="564"/>
      <c r="R101" s="564"/>
    </row>
    <row customHeight="true" ht="18.452380952380953" r="102">
      <c r="A102" s="577" t="s">
        <v>535</v>
      </c>
      <c r="B102" s="578">
        <v>46296</v>
      </c>
      <c r="C102" s="579" t="str">
        <v>Thursday</v>
      </c>
      <c r="D102" s="580" t="s">
        <v>588</v>
      </c>
      <c r="E102" s="581">
        <f t="shared" si="80"/>
      </c>
      <c r="F102" s="581" t="s">
        <v>567</v>
      </c>
      <c r="G102" s="582" t="s">
        <v>568</v>
      </c>
      <c r="H102" s="581" t="s">
        <v>493</v>
      </c>
      <c r="I102" s="581" t="s">
        <v>468</v>
      </c>
      <c r="J102" s="583"/>
      <c r="K102" s="512"/>
      <c r="L102" s="512"/>
      <c r="M102" s="512"/>
      <c r="N102" s="512"/>
      <c r="O102" s="512"/>
      <c r="P102" s="512"/>
      <c r="Q102" s="564"/>
      <c r="R102" s="564"/>
    </row>
    <row customHeight="true" ht="18.452380952380953" r="103">
      <c r="A103" s="586" t="s">
        <v>535</v>
      </c>
      <c r="B103" s="587">
        <v>46297</v>
      </c>
      <c r="C103" s="588" t="str">
        <v>Friday</v>
      </c>
      <c r="D103" s="589" t="s">
        <v>548</v>
      </c>
      <c r="E103" s="522">
        <f t="shared" si="80"/>
      </c>
      <c r="F103" s="522" t="s">
        <v>572</v>
      </c>
      <c r="G103" s="590" t="s">
        <v>587</v>
      </c>
      <c r="H103" s="522" t="s">
        <v>493</v>
      </c>
      <c r="I103" s="522" t="s">
        <v>468</v>
      </c>
      <c r="J103" s="591"/>
      <c r="K103" s="512"/>
      <c r="L103" s="512"/>
      <c r="M103" s="512"/>
      <c r="N103" s="512"/>
      <c r="O103" s="512"/>
      <c r="P103" s="512"/>
      <c r="Q103" s="564"/>
      <c r="R103" s="564"/>
    </row>
    <row customHeight="true" ht="18.452380952380953" r="104">
      <c r="A104" s="586" t="s">
        <v>535</v>
      </c>
      <c r="B104" s="587">
        <v>46297</v>
      </c>
      <c r="C104" s="588" t="str">
        <v>Friday</v>
      </c>
      <c r="D104" s="589" t="s">
        <v>588</v>
      </c>
      <c r="E104" s="522">
        <f t="shared" si="80"/>
      </c>
      <c r="F104" s="522" t="s">
        <v>567</v>
      </c>
      <c r="G104" s="590" t="s">
        <v>568</v>
      </c>
      <c r="H104" s="522" t="s">
        <v>493</v>
      </c>
      <c r="I104" s="522" t="s">
        <v>468</v>
      </c>
      <c r="J104" s="591"/>
      <c r="K104" s="512"/>
      <c r="L104" s="512"/>
      <c r="M104" s="512"/>
      <c r="N104" s="512"/>
      <c r="O104" s="512"/>
      <c r="P104" s="512"/>
      <c r="Q104" s="564"/>
      <c r="R104" s="564"/>
    </row>
    <row customHeight="true" ht="18.452380952380953" r="105">
      <c r="A105" s="577" t="s">
        <v>535</v>
      </c>
      <c r="B105" s="578">
        <v>46298</v>
      </c>
      <c r="C105" s="579" t="str">
        <v>Saturday</v>
      </c>
      <c r="D105" s="580" t="s">
        <v>548</v>
      </c>
      <c r="E105" s="581">
        <f t="shared" si="80"/>
      </c>
      <c r="F105" s="581" t="s">
        <v>547</v>
      </c>
      <c r="G105" s="582" t="s">
        <v>587</v>
      </c>
      <c r="H105" s="581" t="s">
        <v>493</v>
      </c>
      <c r="I105" s="581" t="s">
        <v>468</v>
      </c>
      <c r="J105" s="583"/>
      <c r="K105" s="512"/>
      <c r="L105" s="512"/>
      <c r="M105" s="512"/>
      <c r="N105" s="512"/>
      <c r="O105" s="512"/>
      <c r="P105" s="512"/>
      <c r="Q105" s="564"/>
      <c r="R105" s="564"/>
    </row>
    <row customHeight="true" ht="18.452380952380953" r="106">
      <c r="A106" s="577" t="s">
        <v>535</v>
      </c>
      <c r="B106" s="578">
        <v>46298</v>
      </c>
      <c r="C106" s="579" t="str">
        <v>Saturday</v>
      </c>
      <c r="D106" s="580" t="s">
        <v>588</v>
      </c>
      <c r="E106" s="581">
        <f t="shared" si="80"/>
      </c>
      <c r="F106" s="581" t="s">
        <v>567</v>
      </c>
      <c r="G106" s="582" t="s">
        <v>568</v>
      </c>
      <c r="H106" s="581" t="s">
        <v>493</v>
      </c>
      <c r="I106" s="581" t="s">
        <v>468</v>
      </c>
      <c r="J106" s="583"/>
      <c r="K106" s="512"/>
      <c r="L106" s="512"/>
      <c r="M106" s="512"/>
      <c r="N106" s="512"/>
      <c r="O106" s="512"/>
      <c r="P106" s="512"/>
      <c r="Q106" s="564"/>
      <c r="R106" s="564"/>
    </row>
    <row customHeight="true" ht="18.452380952380953" r="107">
      <c r="A107" s="586" t="s">
        <v>535</v>
      </c>
      <c r="B107" s="587">
        <v>46299</v>
      </c>
      <c r="C107" s="588" t="str">
        <v>Sunday</v>
      </c>
      <c r="D107" s="589" t="s">
        <v>588</v>
      </c>
      <c r="E107" s="522">
        <f t="shared" si="80"/>
      </c>
      <c r="F107" s="522" t="s">
        <v>567</v>
      </c>
      <c r="G107" s="590" t="s">
        <v>568</v>
      </c>
      <c r="H107" s="522" t="s">
        <v>493</v>
      </c>
      <c r="I107" s="522" t="s">
        <v>468</v>
      </c>
      <c r="J107" s="591"/>
      <c r="K107" s="512"/>
      <c r="L107" s="512"/>
      <c r="M107" s="512"/>
      <c r="N107" s="512"/>
      <c r="O107" s="512"/>
      <c r="P107" s="512"/>
      <c r="Q107" s="564"/>
      <c r="R107" s="564"/>
    </row>
    <row customHeight="true" ht="14.880952380952381" r="108">
      <c r="A108" s="564"/>
      <c r="B108" s="564"/>
      <c r="C108" s="564"/>
      <c r="D108" s="564"/>
      <c r="E108" s="564"/>
      <c r="F108" s="564"/>
      <c r="G108" s="564"/>
      <c r="H108" s="564"/>
      <c r="I108" s="564"/>
      <c r="J108" s="564"/>
      <c r="K108" s="564"/>
      <c r="L108" s="564"/>
      <c r="M108" s="564"/>
      <c r="N108" s="564"/>
      <c r="O108" s="564"/>
      <c r="P108" s="564"/>
      <c r="Q108" s="564"/>
      <c r="R108" s="564"/>
    </row>
    <row customHeight="true" ht="18.452380952380953" r="109">
      <c r="A109" s="577" t="s">
        <v>589</v>
      </c>
      <c r="B109" s="578">
        <v>46293</v>
      </c>
      <c r="C109" s="579" t="str">
        <v>Monday</v>
      </c>
      <c r="D109" s="580" t="s">
        <v>590</v>
      </c>
      <c r="E109" s="581">
        <f t="shared" ref="E109:E117" si="81">24*MOD(TIMEVALUE(TRIM(MID(D109,FIND("-",D109)+1,LEN(D109)))) - TIMEVALUE(TRIM(LEFT(D109,FIND("-",D109)-1))),1)</f>
      </c>
      <c r="F109" s="581" t="s">
        <v>591</v>
      </c>
      <c r="G109" s="582"/>
      <c r="H109" s="581" t="s">
        <v>493</v>
      </c>
      <c r="I109" s="581" t="s">
        <v>468</v>
      </c>
      <c r="J109" s="583"/>
      <c r="K109" s="512"/>
      <c r="L109" s="512"/>
      <c r="M109" s="512"/>
      <c r="N109" s="512"/>
      <c r="O109" s="512"/>
      <c r="P109" s="512"/>
      <c r="Q109" s="564"/>
      <c r="R109" s="564"/>
    </row>
    <row customHeight="true" ht="18.452380952380953" r="110">
      <c r="A110" s="577" t="s">
        <v>589</v>
      </c>
      <c r="B110" s="578">
        <v>46293</v>
      </c>
      <c r="C110" s="579" t="str">
        <v>Monday</v>
      </c>
      <c r="D110" s="580" t="s">
        <v>592</v>
      </c>
      <c r="E110" s="581">
        <f t="shared" si="81"/>
      </c>
      <c r="F110" s="581" t="s">
        <v>593</v>
      </c>
      <c r="G110" s="582"/>
      <c r="H110" s="581" t="s">
        <v>493</v>
      </c>
      <c r="I110" s="581" t="s">
        <v>468</v>
      </c>
      <c r="J110" s="583"/>
      <c r="K110" s="512"/>
      <c r="L110" s="512"/>
      <c r="M110" s="512"/>
      <c r="N110" s="512"/>
      <c r="O110" s="512"/>
      <c r="P110" s="512"/>
      <c r="Q110" s="564"/>
      <c r="R110" s="564"/>
    </row>
    <row customHeight="true" ht="18.452380952380953" r="111">
      <c r="A111" s="577" t="s">
        <v>589</v>
      </c>
      <c r="B111" s="578">
        <v>46293</v>
      </c>
      <c r="C111" s="579" t="str">
        <v>Monday</v>
      </c>
      <c r="D111" s="580" t="s">
        <v>594</v>
      </c>
      <c r="E111" s="581">
        <f t="shared" si="81"/>
      </c>
      <c r="F111" s="581" t="s">
        <v>591</v>
      </c>
      <c r="G111" s="582"/>
      <c r="H111" s="581" t="s">
        <v>493</v>
      </c>
      <c r="I111" s="581" t="s">
        <v>468</v>
      </c>
      <c r="J111" s="583"/>
      <c r="K111" s="512"/>
      <c r="L111" s="512"/>
      <c r="M111" s="512"/>
      <c r="N111" s="512"/>
      <c r="O111" s="512"/>
      <c r="P111" s="512"/>
      <c r="Q111" s="564"/>
      <c r="R111" s="564"/>
    </row>
    <row customHeight="true" ht="18.452380952380953" r="112">
      <c r="A112" s="577" t="s">
        <v>589</v>
      </c>
      <c r="B112" s="578">
        <v>46294</v>
      </c>
      <c r="C112" s="579" t="str">
        <v>Tuesday</v>
      </c>
      <c r="D112" s="580" t="s">
        <v>569</v>
      </c>
      <c r="E112" s="581">
        <f t="shared" si="81"/>
      </c>
      <c r="F112" s="581" t="s">
        <v>593</v>
      </c>
      <c r="G112" s="582"/>
      <c r="H112" s="581" t="s">
        <v>493</v>
      </c>
      <c r="I112" s="581" t="s">
        <v>468</v>
      </c>
      <c r="J112" s="583"/>
      <c r="K112" s="512"/>
      <c r="L112" s="512"/>
      <c r="M112" s="512"/>
      <c r="N112" s="512"/>
      <c r="O112" s="512"/>
      <c r="P112" s="512"/>
      <c r="Q112" s="564"/>
      <c r="R112" s="564"/>
    </row>
    <row customHeight="true" ht="18.452380952380953" r="113">
      <c r="A113" s="577" t="s">
        <v>589</v>
      </c>
      <c r="B113" s="578">
        <v>46295</v>
      </c>
      <c r="C113" s="579" t="str">
        <v>Wednesday</v>
      </c>
      <c r="D113" s="580" t="s">
        <v>595</v>
      </c>
      <c r="E113" s="581">
        <f t="shared" si="81"/>
      </c>
      <c r="F113" s="581" t="s">
        <v>593</v>
      </c>
      <c r="G113" s="582"/>
      <c r="H113" s="581" t="s">
        <v>493</v>
      </c>
      <c r="I113" s="581" t="s">
        <v>468</v>
      </c>
      <c r="J113" s="583"/>
      <c r="K113" s="512"/>
      <c r="L113" s="512"/>
      <c r="M113" s="512"/>
      <c r="N113" s="512"/>
      <c r="O113" s="512"/>
      <c r="P113" s="512"/>
      <c r="Q113" s="564"/>
      <c r="R113" s="564"/>
    </row>
    <row customHeight="true" ht="18.452380952380953" r="114">
      <c r="A114" s="577" t="s">
        <v>589</v>
      </c>
      <c r="B114" s="578">
        <v>46296</v>
      </c>
      <c r="C114" s="579" t="str">
        <v>Thursday</v>
      </c>
      <c r="D114" s="580" t="s">
        <v>596</v>
      </c>
      <c r="E114" s="581">
        <f t="shared" si="81"/>
      </c>
      <c r="F114" s="581" t="s">
        <v>593</v>
      </c>
      <c r="G114" s="582"/>
      <c r="H114" s="581" t="s">
        <v>493</v>
      </c>
      <c r="I114" s="581" t="s">
        <v>468</v>
      </c>
      <c r="J114" s="583"/>
      <c r="K114" s="512"/>
      <c r="L114" s="512"/>
      <c r="M114" s="512"/>
      <c r="N114" s="512"/>
      <c r="O114" s="512"/>
      <c r="P114" s="512"/>
      <c r="Q114" s="564"/>
      <c r="R114" s="564"/>
    </row>
    <row customHeight="true" ht="18.452380952380953" r="115">
      <c r="A115" s="577" t="s">
        <v>589</v>
      </c>
      <c r="B115" s="578">
        <v>46298</v>
      </c>
      <c r="C115" s="579" t="str">
        <v>Saturday</v>
      </c>
      <c r="D115" s="580" t="s">
        <v>597</v>
      </c>
      <c r="E115" s="581">
        <f t="shared" si="81"/>
      </c>
      <c r="F115" s="581" t="s">
        <v>591</v>
      </c>
      <c r="G115" s="582"/>
      <c r="H115" s="581" t="s">
        <v>493</v>
      </c>
      <c r="I115" s="581" t="s">
        <v>468</v>
      </c>
      <c r="J115" s="583"/>
      <c r="K115" s="512"/>
      <c r="L115" s="512"/>
      <c r="M115" s="512"/>
      <c r="N115" s="512"/>
      <c r="O115" s="512"/>
      <c r="P115" s="512"/>
      <c r="Q115" s="564"/>
      <c r="R115" s="564"/>
    </row>
    <row customHeight="true" ht="18.452380952380953" r="116">
      <c r="A116" s="577" t="s">
        <v>589</v>
      </c>
      <c r="B116" s="578">
        <v>46298</v>
      </c>
      <c r="C116" s="579" t="str">
        <v>Saturday</v>
      </c>
      <c r="D116" s="580" t="s">
        <v>588</v>
      </c>
      <c r="E116" s="581">
        <f t="shared" si="81"/>
      </c>
      <c r="F116" s="581" t="s">
        <v>593</v>
      </c>
      <c r="G116" s="582"/>
      <c r="H116" s="581" t="s">
        <v>493</v>
      </c>
      <c r="I116" s="581" t="s">
        <v>468</v>
      </c>
      <c r="J116" s="583"/>
      <c r="K116" s="512"/>
      <c r="L116" s="512"/>
      <c r="M116" s="512"/>
      <c r="N116" s="512"/>
      <c r="O116" s="512"/>
      <c r="P116" s="512"/>
      <c r="Q116" s="564"/>
      <c r="R116" s="564"/>
    </row>
    <row customHeight="true" ht="18.452380952380953" r="117">
      <c r="A117" s="577" t="s">
        <v>589</v>
      </c>
      <c r="B117" s="578">
        <v>46299</v>
      </c>
      <c r="C117" s="579" t="str">
        <v>Sunday</v>
      </c>
      <c r="D117" s="580" t="s">
        <v>588</v>
      </c>
      <c r="E117" s="581">
        <f t="shared" si="81"/>
      </c>
      <c r="F117" s="581" t="s">
        <v>593</v>
      </c>
      <c r="G117" s="582"/>
      <c r="H117" s="581" t="s">
        <v>493</v>
      </c>
      <c r="I117" s="581" t="s">
        <v>468</v>
      </c>
      <c r="J117" s="583"/>
      <c r="K117" s="512"/>
      <c r="L117" s="512"/>
      <c r="M117" s="512"/>
      <c r="N117" s="512"/>
      <c r="O117" s="512"/>
      <c r="P117" s="512"/>
      <c r="Q117" s="564"/>
      <c r="R117" s="564"/>
    </row>
    <row customHeight="true" ht="16.071428571428573" r="118"/>
    <row r="119">
      <c r="A119" s="593" t="s">
        <v>598</v>
      </c>
      <c r="B119" s="593"/>
      <c r="C119" s="593"/>
      <c r="D119" s="593"/>
      <c r="E119" s="593"/>
      <c r="F119" s="593"/>
      <c r="G119" s="594"/>
      <c r="H119" s="594"/>
      <c r="I119" s="594"/>
      <c r="J119" s="595"/>
      <c r="K119" s="547"/>
      <c r="L119" s="547"/>
      <c r="M119" s="547"/>
      <c r="N119" s="547"/>
      <c r="O119" s="547"/>
      <c r="P119" s="547"/>
    </row>
    <row r="120">
      <c r="A120" s="596" t="s">
        <v>478</v>
      </c>
      <c r="B120" s="597" t="s">
        <v>479</v>
      </c>
      <c r="C120" s="597"/>
      <c r="D120" s="596" t="s">
        <v>480</v>
      </c>
      <c r="E120" s="598" t="s">
        <v>536</v>
      </c>
      <c r="F120" s="596" t="s">
        <v>482</v>
      </c>
      <c r="G120" s="599" t="s">
        <v>495</v>
      </c>
      <c r="H120" s="596" t="s">
        <v>484</v>
      </c>
      <c r="I120" s="596" t="s">
        <v>485</v>
      </c>
      <c r="J120" s="600" t="s">
        <v>486</v>
      </c>
      <c r="K120" s="532"/>
      <c r="L120" s="601" t="s">
        <v>460</v>
      </c>
      <c r="M120" s="532"/>
      <c r="N120" s="532"/>
      <c r="O120" s="532"/>
      <c r="P120" s="532"/>
    </row>
    <row r="121">
      <c r="A121" s="503" t="s">
        <v>598</v>
      </c>
      <c r="B121" s="504">
        <v>46294</v>
      </c>
      <c r="C121" s="503" t="str">
        <v>Tuesday</v>
      </c>
      <c r="D121" s="602" t="s">
        <v>599</v>
      </c>
      <c r="E121" s="603">
        <f t="shared" ref="E121:E122" si="82">24*MOD(TIMEVALUE(TRIM(MID(D121,FIND("-",D121)+1,LEN(D121)))) - TIMEVALUE(TRIM(LEFT(D121,FIND("-",D121)-1))),1)</f>
      </c>
      <c r="F121" s="603" t="s">
        <v>572</v>
      </c>
      <c r="G121" s="523"/>
      <c r="H121" s="603" t="s">
        <v>493</v>
      </c>
      <c r="I121" s="603" t="s">
        <v>468</v>
      </c>
      <c r="J121" s="604" t="s">
        <v>600</v>
      </c>
      <c r="K121" s="512"/>
      <c r="L121" s="512"/>
      <c r="M121" s="512"/>
      <c r="N121" s="512"/>
      <c r="O121" s="512"/>
      <c r="P121" s="512"/>
    </row>
    <row r="122">
      <c r="A122" s="503" t="s">
        <v>598</v>
      </c>
      <c r="B122" s="504">
        <v>46295</v>
      </c>
      <c r="C122" s="503" t="str">
        <v>Wednesday</v>
      </c>
      <c r="D122" s="602" t="s">
        <v>599</v>
      </c>
      <c r="E122" s="603">
        <f t="shared" si="82"/>
      </c>
      <c r="F122" s="603" t="s">
        <v>572</v>
      </c>
      <c r="G122" s="523"/>
      <c r="H122" s="603" t="s">
        <v>493</v>
      </c>
      <c r="I122" s="603" t="s">
        <v>468</v>
      </c>
      <c r="J122" s="604" t="s">
        <v>600</v>
      </c>
      <c r="K122" s="512"/>
      <c r="L122" s="512"/>
      <c r="M122" s="512"/>
      <c r="N122" s="512"/>
      <c r="O122" s="512"/>
      <c r="P122" s="512"/>
    </row>
    <row customHeight="true" ht="14.880952380952381" r="123"/>
    <row r="124">
      <c r="A124" s="503" t="s">
        <v>601</v>
      </c>
      <c r="B124" s="504">
        <v>46294</v>
      </c>
      <c r="C124" s="503" t="str">
        <v>Tuesday</v>
      </c>
      <c r="D124" s="602" t="s">
        <v>602</v>
      </c>
      <c r="E124" s="603">
        <f t="shared" ref="E124:E125" si="83">24*MOD(TIMEVALUE(TRIM(MID(D124,FIND("-",D124)+1,LEN(D124)))) - TIMEVALUE(TRIM(LEFT(D124,FIND("-",D124)-1))),1)</f>
      </c>
      <c r="F124" s="603" t="s">
        <v>593</v>
      </c>
      <c r="G124" s="523"/>
      <c r="H124" s="603" t="s">
        <v>493</v>
      </c>
      <c r="I124" s="603" t="s">
        <v>468</v>
      </c>
      <c r="J124" s="604" t="s">
        <v>600</v>
      </c>
      <c r="K124" s="512"/>
      <c r="L124" s="512"/>
      <c r="M124" s="512"/>
      <c r="N124" s="512"/>
      <c r="O124" s="512"/>
      <c r="P124" s="512"/>
    </row>
    <row r="125">
      <c r="A125" s="503" t="s">
        <v>601</v>
      </c>
      <c r="B125" s="504">
        <v>46295</v>
      </c>
      <c r="C125" s="503" t="str">
        <v>Wednesday</v>
      </c>
      <c r="D125" s="602" t="s">
        <v>603</v>
      </c>
      <c r="E125" s="603">
        <f t="shared" si="83"/>
      </c>
      <c r="F125" s="603" t="s">
        <v>593</v>
      </c>
      <c r="G125" s="523"/>
      <c r="H125" s="603" t="s">
        <v>493</v>
      </c>
      <c r="I125" s="603" t="s">
        <v>468</v>
      </c>
      <c r="J125" s="604" t="s">
        <v>600</v>
      </c>
      <c r="K125" s="512"/>
      <c r="L125" s="512"/>
      <c r="M125" s="512"/>
      <c r="N125" s="512"/>
      <c r="O125" s="512"/>
      <c r="P125" s="512"/>
    </row>
    <row customHeight="true" ht="16.071428571428573" r="126"/>
    <row r="127">
      <c r="A127" s="605" t="s">
        <v>604</v>
      </c>
      <c r="B127" s="605"/>
      <c r="C127" s="605"/>
      <c r="D127" s="605"/>
      <c r="E127" s="605"/>
      <c r="F127" s="605"/>
      <c r="G127" s="605"/>
      <c r="H127" s="605" t="s">
        <v>605</v>
      </c>
      <c r="I127" s="605"/>
      <c r="J127" s="606"/>
      <c r="K127" s="547"/>
      <c r="L127" s="547"/>
      <c r="M127" s="547"/>
      <c r="N127" s="547"/>
      <c r="O127" s="547"/>
      <c r="P127" s="547"/>
    </row>
    <row r="128">
      <c r="A128" s="607" t="s">
        <v>478</v>
      </c>
      <c r="B128" s="608" t="s">
        <v>479</v>
      </c>
      <c r="C128" s="608"/>
      <c r="D128" s="609" t="s">
        <v>480</v>
      </c>
      <c r="E128" s="610" t="s">
        <v>481</v>
      </c>
      <c r="F128" s="610" t="s">
        <v>482</v>
      </c>
      <c r="G128" s="611" t="s">
        <v>495</v>
      </c>
      <c r="H128" s="612" t="s">
        <v>484</v>
      </c>
      <c r="I128" s="612" t="s">
        <v>485</v>
      </c>
      <c r="J128" s="613" t="s">
        <v>486</v>
      </c>
      <c r="K128" s="532"/>
      <c r="L128" s="532"/>
      <c r="M128" s="532"/>
      <c r="N128" s="532"/>
      <c r="O128" s="532"/>
      <c r="P128" s="532"/>
    </row>
    <row customHeight="true" ht="18.452380952380953" r="129">
      <c r="A129" s="533" t="s">
        <v>604</v>
      </c>
      <c r="B129" s="515">
        <v>46293</v>
      </c>
      <c r="C129" s="533" t="str">
        <v>Monday</v>
      </c>
      <c r="D129" s="541" t="s">
        <v>606</v>
      </c>
      <c r="E129" s="510">
        <f t="shared" ref="E129:E132" si="84">24*MOD(TIMEVALUE(TRIM(MID(D129,FIND("-",D129)+1,LEN(D129)))) - TIMEVALUE(TRIM(LEFT(D129,FIND("-",D129)-1))),1)</f>
      </c>
      <c r="F129" s="510" t="s">
        <v>607</v>
      </c>
      <c r="G129" s="614"/>
      <c r="H129" s="510" t="s">
        <v>467</v>
      </c>
      <c r="I129" s="603" t="s">
        <v>468</v>
      </c>
      <c r="J129" s="615"/>
      <c r="K129" s="512"/>
      <c r="L129" s="512"/>
      <c r="M129" s="512"/>
      <c r="N129" s="512"/>
      <c r="O129" s="512"/>
      <c r="P129" s="512"/>
    </row>
    <row r="130">
      <c r="A130" s="533" t="s">
        <v>604</v>
      </c>
      <c r="B130" s="515">
        <v>46294</v>
      </c>
      <c r="C130" s="533" t="str">
        <v>Tuesday</v>
      </c>
      <c r="D130" s="616" t="s">
        <v>608</v>
      </c>
      <c r="E130" s="510">
        <f t="shared" si="84"/>
      </c>
      <c r="F130" s="510" t="s">
        <v>607</v>
      </c>
      <c r="G130" s="617"/>
      <c r="H130" s="510" t="s">
        <v>467</v>
      </c>
      <c r="I130" s="538" t="s">
        <v>468</v>
      </c>
      <c r="J130" s="615"/>
      <c r="K130" s="512"/>
      <c r="L130" s="512"/>
      <c r="M130" s="512"/>
      <c r="N130" s="512"/>
      <c r="O130" s="512"/>
      <c r="P130" s="512"/>
    </row>
    <row customHeight="true" ht="18.452380952380953" r="131">
      <c r="A131" s="533" t="s">
        <v>604</v>
      </c>
      <c r="B131" s="515">
        <v>46295</v>
      </c>
      <c r="C131" s="533" t="str">
        <v>Wednesday</v>
      </c>
      <c r="D131" s="616" t="s">
        <v>609</v>
      </c>
      <c r="E131" s="510">
        <f t="shared" si="84"/>
      </c>
      <c r="F131" s="510" t="s">
        <v>607</v>
      </c>
      <c r="G131" s="614"/>
      <c r="H131" s="510" t="s">
        <v>467</v>
      </c>
      <c r="I131" s="538" t="s">
        <v>468</v>
      </c>
      <c r="J131" s="615"/>
      <c r="K131" s="512"/>
      <c r="L131" s="512"/>
      <c r="M131" s="512"/>
      <c r="N131" s="512"/>
      <c r="O131" s="512"/>
      <c r="P131" s="512"/>
    </row>
    <row customHeight="true" ht="18.452380952380953" r="132">
      <c r="A132" s="533" t="s">
        <v>604</v>
      </c>
      <c r="B132" s="515">
        <v>46297</v>
      </c>
      <c r="C132" s="533" t="str">
        <v>Friday</v>
      </c>
      <c r="D132" s="618" t="s">
        <v>610</v>
      </c>
      <c r="E132" s="510">
        <f t="shared" si="84"/>
      </c>
      <c r="F132" s="510" t="s">
        <v>607</v>
      </c>
      <c r="G132" s="614"/>
      <c r="H132" s="510" t="s">
        <v>467</v>
      </c>
      <c r="I132" s="603" t="s">
        <v>468</v>
      </c>
      <c r="J132" s="615"/>
      <c r="K132" s="512"/>
      <c r="L132" s="512"/>
      <c r="M132" s="512"/>
      <c r="N132" s="512"/>
      <c r="O132" s="512"/>
      <c r="P132" s="512"/>
    </row>
    <row customHeight="true" ht="18.452380952380953" r="133">
      <c r="A133" s="533"/>
      <c r="B133" s="515"/>
      <c r="C133" s="533"/>
      <c r="D133" s="619"/>
      <c r="E133" s="510"/>
      <c r="F133" s="510"/>
      <c r="G133" s="614"/>
      <c r="H133" s="510"/>
      <c r="I133" s="603"/>
      <c r="J133" s="615"/>
      <c r="K133" s="512"/>
      <c r="L133" s="512"/>
      <c r="M133" s="512"/>
      <c r="N133" s="512"/>
      <c r="O133" s="512"/>
      <c r="P133" s="512"/>
    </row>
    <row r="134">
      <c r="A134" s="533" t="s">
        <v>604</v>
      </c>
      <c r="B134" s="533">
        <v>46293</v>
      </c>
      <c r="C134" s="533" t="str">
        <v>Monday</v>
      </c>
      <c r="D134" s="620" t="s">
        <v>611</v>
      </c>
      <c r="E134" s="510">
        <f t="shared" ref="E134:E137" si="85">24*MOD(TIMEVALUE(TRIM(MID(D134,FIND("-",D134)+1,LEN(D134)))) - TIMEVALUE(TRIM(LEFT(D134,FIND("-",D134)-1))),1)</f>
      </c>
      <c r="F134" s="510" t="s">
        <v>612</v>
      </c>
      <c r="G134" s="617"/>
      <c r="H134" s="510" t="s">
        <v>467</v>
      </c>
      <c r="I134" s="538" t="s">
        <v>468</v>
      </c>
      <c r="J134" s="615"/>
      <c r="K134" s="512"/>
      <c r="L134" s="512"/>
      <c r="M134" s="512"/>
      <c r="N134" s="512"/>
      <c r="O134" s="512"/>
      <c r="P134" s="512"/>
    </row>
    <row customHeight="true" ht="18.452380952380953" r="135">
      <c r="A135" s="533" t="s">
        <v>604</v>
      </c>
      <c r="B135" s="533">
        <v>46294</v>
      </c>
      <c r="C135" s="533" t="str">
        <v>Tuesday</v>
      </c>
      <c r="D135" s="621" t="s">
        <v>608</v>
      </c>
      <c r="E135" s="510">
        <f t="shared" si="85"/>
      </c>
      <c r="F135" s="510" t="s">
        <v>613</v>
      </c>
      <c r="G135" s="614"/>
      <c r="H135" s="510" t="s">
        <v>467</v>
      </c>
      <c r="I135" s="538" t="s">
        <v>468</v>
      </c>
      <c r="J135" s="622" t="s">
        <v>614</v>
      </c>
      <c r="K135" s="512"/>
      <c r="L135" s="512"/>
      <c r="M135" s="512"/>
      <c r="N135" s="512"/>
      <c r="O135" s="512"/>
      <c r="P135" s="512"/>
    </row>
    <row customHeight="true" ht="18.452380952380953" r="136">
      <c r="A136" s="533" t="s">
        <v>604</v>
      </c>
      <c r="B136" s="533">
        <v>46295</v>
      </c>
      <c r="C136" s="533" t="str">
        <v>Wednesday</v>
      </c>
      <c r="D136" s="621" t="s">
        <v>609</v>
      </c>
      <c r="E136" s="510">
        <f t="shared" si="85"/>
      </c>
      <c r="F136" s="510" t="s">
        <v>613</v>
      </c>
      <c r="G136" s="617"/>
      <c r="H136" s="510" t="s">
        <v>467</v>
      </c>
      <c r="I136" s="538" t="s">
        <v>468</v>
      </c>
      <c r="J136" s="615"/>
      <c r="K136" s="512"/>
      <c r="L136" s="512"/>
      <c r="M136" s="623" t="s">
        <v>460</v>
      </c>
      <c r="N136" s="512"/>
      <c r="O136" s="512"/>
      <c r="P136" s="512"/>
    </row>
    <row customHeight="true" ht="18.452380952380953" r="137">
      <c r="A137" s="533" t="s">
        <v>604</v>
      </c>
      <c r="B137" s="533">
        <v>46296</v>
      </c>
      <c r="C137" s="533" t="str">
        <v>Thursday</v>
      </c>
      <c r="D137" s="618" t="s">
        <v>610</v>
      </c>
      <c r="E137" s="510">
        <f t="shared" si="85"/>
      </c>
      <c r="F137" s="510" t="s">
        <v>613</v>
      </c>
      <c r="G137" s="617"/>
      <c r="H137" s="510" t="s">
        <v>467</v>
      </c>
      <c r="I137" s="538" t="s">
        <v>468</v>
      </c>
      <c r="J137" s="615"/>
      <c r="K137" s="512"/>
      <c r="L137" s="512"/>
      <c r="M137" s="512"/>
      <c r="N137" s="512"/>
      <c r="O137" s="512"/>
      <c r="P137" s="512"/>
    </row>
    <row customHeight="true" ht="18.452380952380953" r="138">
      <c r="A138" s="586"/>
      <c r="B138" s="515"/>
      <c r="C138" s="586"/>
      <c r="D138" s="624"/>
      <c r="E138" s="624"/>
      <c r="F138" s="625"/>
      <c r="G138" s="626"/>
      <c r="H138" s="510"/>
      <c r="I138" s="538"/>
      <c r="J138" s="627"/>
      <c r="K138" s="512"/>
      <c r="L138" s="512"/>
      <c r="M138" s="512"/>
      <c r="N138" s="512"/>
      <c r="O138" s="512"/>
      <c r="P138" s="512"/>
      <c r="Q138" s="564"/>
      <c r="R138" s="564"/>
    </row>
    <row customHeight="true" ht="18.452380952380953" r="139">
      <c r="A139" s="586"/>
      <c r="B139" s="515"/>
      <c r="C139" s="533"/>
      <c r="D139" s="624"/>
      <c r="E139" s="624"/>
      <c r="F139" s="625"/>
      <c r="G139" s="626"/>
      <c r="H139" s="510"/>
      <c r="I139" s="538"/>
      <c r="J139" s="627"/>
      <c r="K139" s="512"/>
      <c r="L139" s="512"/>
      <c r="M139" s="512"/>
      <c r="N139" s="512"/>
      <c r="O139" s="512"/>
      <c r="P139" s="512"/>
      <c r="Q139" s="564"/>
      <c r="R139" s="564"/>
    </row>
    <row customHeight="true" ht="18.452380952380953" r="140">
      <c r="A140" s="628"/>
      <c r="B140" s="515"/>
      <c r="C140" s="533"/>
      <c r="D140" s="541"/>
      <c r="E140" s="506"/>
      <c r="F140" s="510"/>
      <c r="G140" s="629"/>
      <c r="H140" s="510"/>
      <c r="I140" s="538"/>
      <c r="J140" s="630"/>
      <c r="K140" s="631"/>
      <c r="L140" s="631"/>
      <c r="M140" s="631"/>
      <c r="N140" s="631"/>
      <c r="O140" s="631"/>
      <c r="P140" s="631"/>
    </row>
    <row customHeight="true" ht="44.53125130089467" r="141">
      <c r="A141" s="632" t="s">
        <v>615</v>
      </c>
      <c r="B141" s="633" t="s">
        <v>616</v>
      </c>
      <c r="C141" s="634"/>
      <c r="D141" s="634"/>
      <c r="E141" s="634"/>
      <c r="F141" s="634"/>
      <c r="G141" s="634"/>
      <c r="H141" s="634"/>
      <c r="I141" s="634"/>
      <c r="J141" s="635"/>
      <c r="K141" s="636"/>
      <c r="L141" s="636"/>
      <c r="M141" s="636"/>
      <c r="N141" s="636"/>
      <c r="O141" s="636"/>
      <c r="P141" s="636"/>
    </row>
    <row customHeight="true" ht="35.701590283918534" r="142">
      <c r="A142" s="637" t="s">
        <v>478</v>
      </c>
      <c r="B142" s="638" t="s">
        <v>479</v>
      </c>
      <c r="C142" s="638"/>
      <c r="D142" s="639" t="s">
        <v>480</v>
      </c>
      <c r="E142" s="639" t="s">
        <v>481</v>
      </c>
      <c r="F142" s="639" t="s">
        <v>482</v>
      </c>
      <c r="G142" s="640" t="s">
        <v>495</v>
      </c>
      <c r="H142" s="639" t="s">
        <v>484</v>
      </c>
      <c r="I142" s="639" t="s">
        <v>485</v>
      </c>
      <c r="J142" s="641" t="s">
        <v>486</v>
      </c>
      <c r="K142" s="532"/>
      <c r="L142" s="532"/>
      <c r="M142" s="532"/>
      <c r="N142" s="532"/>
      <c r="O142" s="532"/>
      <c r="P142" s="532"/>
    </row>
    <row customHeight="true" ht="18.452380952380953" r="143">
      <c r="A143" s="628" t="s">
        <v>615</v>
      </c>
      <c r="B143" s="515">
        <v>46293</v>
      </c>
      <c r="C143" s="533" t="str">
        <v>Monday</v>
      </c>
      <c r="D143" s="541" t="s">
        <v>617</v>
      </c>
      <c r="E143" s="506">
        <f t="shared" ref="E143:E144" si="86">24*MOD(TIMEVALUE(TRIM(MID(D143,FIND("-",D143)+1,LEN(D143)))) - TIMEVALUE(TRIM(LEFT(D143,FIND("-",D143)-1))),1)</f>
      </c>
      <c r="F143" s="510" t="s">
        <v>618</v>
      </c>
      <c r="G143" s="642"/>
      <c r="H143" s="510" t="s">
        <v>493</v>
      </c>
      <c r="I143" s="538" t="s">
        <v>490</v>
      </c>
      <c r="J143" s="630"/>
      <c r="K143" s="643"/>
      <c r="L143" s="643"/>
      <c r="M143" s="643"/>
      <c r="N143" s="643"/>
      <c r="O143" s="643"/>
      <c r="P143" s="643"/>
      <c r="Q143" s="544"/>
      <c r="R143" s="544"/>
    </row>
    <row customHeight="true" ht="18.452380952380953" r="144">
      <c r="A144" s="628" t="s">
        <v>615</v>
      </c>
      <c r="B144" s="515">
        <v>46294</v>
      </c>
      <c r="C144" s="533" t="str">
        <v>Tuesday</v>
      </c>
      <c r="D144" s="541" t="s">
        <v>617</v>
      </c>
      <c r="E144" s="506">
        <f t="shared" si="86"/>
      </c>
      <c r="F144" s="510" t="s">
        <v>501</v>
      </c>
      <c r="G144" s="644"/>
      <c r="H144" s="510" t="s">
        <v>493</v>
      </c>
      <c r="I144" s="538" t="s">
        <v>490</v>
      </c>
      <c r="J144" s="630"/>
      <c r="K144" s="631"/>
      <c r="L144" s="631"/>
      <c r="M144" s="631"/>
      <c r="N144" s="631"/>
      <c r="O144" s="631"/>
      <c r="P144" s="631"/>
    </row>
    <row customHeight="true" ht="18.452380952380953" r="145">
      <c r="A145" s="628"/>
      <c r="B145" s="515"/>
      <c r="C145" s="533"/>
      <c r="D145" s="541"/>
      <c r="E145" s="506"/>
      <c r="F145" s="510"/>
      <c r="G145" s="642"/>
      <c r="H145" s="510"/>
      <c r="I145" s="538"/>
      <c r="J145" s="630"/>
      <c r="K145" s="643"/>
      <c r="L145" s="643"/>
      <c r="M145" s="643"/>
      <c r="N145" s="643"/>
      <c r="O145" s="643"/>
      <c r="P145" s="643"/>
      <c r="Q145" s="544"/>
      <c r="R145" s="544"/>
    </row>
    <row customHeight="true" ht="18.452380952380953" r="146">
      <c r="A146" s="645" t="s">
        <v>615</v>
      </c>
      <c r="B146" s="646">
        <v>46296</v>
      </c>
      <c r="C146" s="647" t="str">
        <v>Thursday</v>
      </c>
      <c r="D146" s="648" t="s">
        <v>617</v>
      </c>
      <c r="E146" s="648">
        <f t="shared" ref="E146:E147" si="87">24*MOD(TIMEVALUE(TRIM(MID(D146,FIND("-",D146)+1,LEN(D146)))) - TIMEVALUE(TRIM(LEFT(D146,FIND("-",D146)-1))),1)</f>
      </c>
      <c r="F146" s="649" t="s">
        <v>507</v>
      </c>
      <c r="G146" s="650" t="s">
        <v>619</v>
      </c>
      <c r="H146" s="649" t="s">
        <v>493</v>
      </c>
      <c r="I146" s="649" t="s">
        <v>468</v>
      </c>
      <c r="J146" s="651"/>
      <c r="K146" s="652"/>
      <c r="L146" s="652"/>
      <c r="M146" s="652"/>
      <c r="N146" s="652"/>
      <c r="O146" s="652"/>
      <c r="P146" s="652"/>
      <c r="Q146" s="653"/>
      <c r="R146" s="653"/>
    </row>
    <row customHeight="true" ht="18.452380952380953" r="147">
      <c r="A147" s="654" t="s">
        <v>615</v>
      </c>
      <c r="B147" s="515">
        <v>46297</v>
      </c>
      <c r="C147" s="533" t="str">
        <v>Friday</v>
      </c>
      <c r="D147" s="541" t="s">
        <v>617</v>
      </c>
      <c r="E147" s="506">
        <f t="shared" si="87"/>
      </c>
      <c r="F147" s="510" t="s">
        <v>501</v>
      </c>
      <c r="G147" s="629"/>
      <c r="H147" s="510" t="s">
        <v>493</v>
      </c>
      <c r="I147" s="538" t="s">
        <v>468</v>
      </c>
      <c r="J147" s="655"/>
      <c r="K147" s="631"/>
      <c r="L147" s="631"/>
      <c r="M147" s="631"/>
      <c r="N147" s="631"/>
      <c r="O147" s="631"/>
      <c r="P147" s="631"/>
    </row>
    <row customHeight="true" ht="18.452380952380953" r="148">
      <c r="A148" s="628" t="s">
        <v>615</v>
      </c>
      <c r="B148" s="515">
        <v>46299</v>
      </c>
      <c r="C148" s="533" t="str">
        <v>Sunday</v>
      </c>
      <c r="D148" s="541" t="s">
        <v>620</v>
      </c>
      <c r="E148" s="506">
        <v>2</v>
      </c>
      <c r="F148" s="656" t="s">
        <v>507</v>
      </c>
      <c r="G148" s="629"/>
      <c r="H148" s="510" t="s">
        <v>493</v>
      </c>
      <c r="I148" s="538" t="s">
        <v>468</v>
      </c>
      <c r="J148" s="630"/>
      <c r="K148" s="631"/>
      <c r="L148" s="631"/>
      <c r="M148" s="631"/>
      <c r="N148" s="631"/>
      <c r="O148" s="631"/>
      <c r="P148" s="631"/>
    </row>
    <row customHeight="true" ht="18.452380952380953" r="149">
      <c r="A149" s="628"/>
      <c r="B149" s="515"/>
      <c r="C149" s="533"/>
      <c r="D149" s="541"/>
      <c r="E149" s="506"/>
      <c r="F149" s="510"/>
      <c r="G149" s="644"/>
      <c r="H149" s="510"/>
      <c r="I149" s="538"/>
      <c r="J149" s="630"/>
      <c r="K149" s="631"/>
      <c r="L149" s="631"/>
      <c r="M149" s="631"/>
      <c r="N149" s="631"/>
      <c r="O149" s="631"/>
      <c r="P149" s="631"/>
    </row>
    <row customHeight="true" ht="18.452380952380953" r="150">
      <c r="A150" s="628"/>
      <c r="B150" s="515"/>
      <c r="C150" s="533"/>
      <c r="D150" s="541"/>
      <c r="E150" s="506"/>
      <c r="F150" s="510"/>
      <c r="G150" s="642"/>
      <c r="H150" s="510"/>
      <c r="I150" s="538"/>
      <c r="J150" s="630"/>
      <c r="K150" s="643"/>
      <c r="L150" s="643"/>
      <c r="M150" s="643"/>
      <c r="N150" s="643"/>
      <c r="O150" s="643"/>
      <c r="P150" s="643"/>
      <c r="Q150" s="544"/>
      <c r="R150" s="544"/>
    </row>
    <row customHeight="true" ht="18.452380952380953" r="151">
      <c r="A151" s="628" t="s">
        <v>615</v>
      </c>
      <c r="B151" s="515">
        <v>46293</v>
      </c>
      <c r="C151" s="533" t="str">
        <v>Monday</v>
      </c>
      <c r="D151" s="541" t="s">
        <v>621</v>
      </c>
      <c r="E151" s="506">
        <f t="shared" ref="E151:E154" si="88">24*MOD(TIMEVALUE(TRIM(MID(D151,FIND("-",D151)+1,LEN(D151)))) - TIMEVALUE(TRIM(LEFT(D151,FIND("-",D151)-1))),1)</f>
      </c>
      <c r="F151" s="510" t="s">
        <v>618</v>
      </c>
      <c r="G151" s="642"/>
      <c r="H151" s="510" t="s">
        <v>493</v>
      </c>
      <c r="I151" s="538" t="s">
        <v>490</v>
      </c>
      <c r="J151" s="630"/>
      <c r="K151" s="643"/>
      <c r="L151" s="643"/>
      <c r="M151" s="643"/>
      <c r="N151" s="643"/>
      <c r="O151" s="643"/>
      <c r="P151" s="643"/>
      <c r="Q151" s="544"/>
      <c r="R151" s="544"/>
    </row>
    <row customHeight="true" ht="18.452380952380953" r="152">
      <c r="A152" s="628" t="s">
        <v>615</v>
      </c>
      <c r="B152" s="515">
        <v>46295</v>
      </c>
      <c r="C152" s="533" t="str">
        <v>Wednesday</v>
      </c>
      <c r="D152" s="541" t="s">
        <v>621</v>
      </c>
      <c r="E152" s="506">
        <f t="shared" si="88"/>
      </c>
      <c r="F152" s="510" t="s">
        <v>618</v>
      </c>
      <c r="G152" s="642"/>
      <c r="H152" s="510" t="s">
        <v>493</v>
      </c>
      <c r="I152" s="538" t="s">
        <v>490</v>
      </c>
      <c r="J152" s="630"/>
      <c r="K152" s="643"/>
      <c r="L152" s="643"/>
      <c r="M152" s="643"/>
      <c r="N152" s="643"/>
      <c r="O152" s="643"/>
      <c r="P152" s="643"/>
      <c r="Q152" s="544"/>
      <c r="R152" s="544"/>
    </row>
    <row customHeight="true" ht="18.452380952380953" r="153">
      <c r="A153" s="654" t="s">
        <v>615</v>
      </c>
      <c r="B153" s="515">
        <v>46296</v>
      </c>
      <c r="C153" s="533" t="str">
        <v>Thursday</v>
      </c>
      <c r="D153" s="541" t="s">
        <v>621</v>
      </c>
      <c r="E153" s="506">
        <f t="shared" si="88"/>
      </c>
      <c r="F153" s="510" t="s">
        <v>618</v>
      </c>
      <c r="G153" s="629"/>
      <c r="H153" s="510" t="s">
        <v>493</v>
      </c>
      <c r="I153" s="538" t="s">
        <v>468</v>
      </c>
      <c r="J153" s="655"/>
      <c r="K153" s="631"/>
      <c r="L153" s="631"/>
      <c r="M153" s="631"/>
      <c r="N153" s="631"/>
      <c r="O153" s="631"/>
      <c r="P153" s="631"/>
    </row>
    <row customHeight="true" ht="18.452380952380953" r="154">
      <c r="A154" s="654" t="s">
        <v>615</v>
      </c>
      <c r="B154" s="515">
        <v>46297</v>
      </c>
      <c r="C154" s="533" t="str">
        <v>Friday</v>
      </c>
      <c r="D154" s="541" t="s">
        <v>621</v>
      </c>
      <c r="E154" s="506">
        <f t="shared" si="88"/>
      </c>
      <c r="F154" s="510" t="s">
        <v>618</v>
      </c>
      <c r="G154" s="629"/>
      <c r="H154" s="510" t="s">
        <v>493</v>
      </c>
      <c r="I154" s="538" t="s">
        <v>468</v>
      </c>
      <c r="J154" s="655"/>
      <c r="K154" s="631"/>
      <c r="L154" s="631"/>
      <c r="M154" s="631"/>
      <c r="N154" s="631"/>
      <c r="O154" s="631"/>
      <c r="P154" s="631"/>
    </row>
    <row customHeight="true" ht="18.452380952380953" r="155">
      <c r="A155" s="628" t="s">
        <v>615</v>
      </c>
      <c r="B155" s="515">
        <v>46298</v>
      </c>
      <c r="C155" s="533" t="str">
        <v>Saturday</v>
      </c>
      <c r="D155" s="541" t="s">
        <v>622</v>
      </c>
      <c r="E155" s="506">
        <v>4</v>
      </c>
      <c r="F155" s="510" t="s">
        <v>618</v>
      </c>
      <c r="G155" s="629"/>
      <c r="H155" s="510" t="s">
        <v>493</v>
      </c>
      <c r="I155" s="538" t="s">
        <v>468</v>
      </c>
      <c r="J155" s="630"/>
      <c r="K155" s="631"/>
      <c r="L155" s="631"/>
      <c r="M155" s="631"/>
      <c r="N155" s="631"/>
      <c r="O155" s="631"/>
      <c r="P155" s="631"/>
    </row>
    <row customHeight="true" ht="18.452380952380953" r="156">
      <c r="A156" s="628"/>
      <c r="B156" s="515"/>
      <c r="C156" s="533"/>
      <c r="D156" s="541"/>
      <c r="E156" s="506"/>
      <c r="F156" s="510"/>
      <c r="G156" s="642"/>
      <c r="H156" s="510"/>
      <c r="I156" s="538"/>
      <c r="J156" s="630"/>
      <c r="K156" s="643"/>
      <c r="L156" s="643"/>
      <c r="M156" s="643"/>
      <c r="N156" s="643"/>
      <c r="O156" s="643"/>
      <c r="P156" s="643"/>
      <c r="Q156" s="544"/>
      <c r="R156" s="544"/>
    </row>
    <row customHeight="true" ht="18.452380952380953" r="157">
      <c r="A157" s="628"/>
      <c r="B157" s="515"/>
      <c r="C157" s="533"/>
      <c r="D157" s="541"/>
      <c r="E157" s="506"/>
      <c r="F157" s="510"/>
      <c r="G157" s="642"/>
      <c r="H157" s="510"/>
      <c r="I157" s="538"/>
      <c r="J157" s="630"/>
      <c r="K157" s="643"/>
      <c r="L157" s="643"/>
      <c r="M157" s="643"/>
      <c r="N157" s="643"/>
      <c r="O157" s="643"/>
      <c r="P157" s="643"/>
      <c r="Q157" s="544"/>
      <c r="R157" s="544"/>
    </row>
    <row customHeight="true" ht="18.452380952380953" r="158">
      <c r="A158" s="628" t="s">
        <v>623</v>
      </c>
      <c r="B158" s="515">
        <v>46293</v>
      </c>
      <c r="C158" s="533" t="str">
        <v>Monday</v>
      </c>
      <c r="D158" s="541" t="s">
        <v>617</v>
      </c>
      <c r="E158" s="506">
        <f t="shared" ref="E158:E163" si="89">24*MOD(TIMEVALUE(TRIM(MID(D158,FIND("-",D158)+1,LEN(D158)))) - TIMEVALUE(TRIM(LEFT(D158,FIND("-",D158)-1))),1)</f>
      </c>
      <c r="F158" s="510" t="s">
        <v>523</v>
      </c>
      <c r="G158" s="642"/>
      <c r="H158" s="510" t="s">
        <v>493</v>
      </c>
      <c r="I158" s="538" t="s">
        <v>490</v>
      </c>
      <c r="J158" s="630"/>
      <c r="K158" s="643"/>
      <c r="L158" s="643"/>
      <c r="M158" s="643"/>
      <c r="N158" s="643"/>
      <c r="O158" s="643"/>
      <c r="P158" s="643"/>
      <c r="Q158" s="544"/>
      <c r="R158" s="544"/>
    </row>
    <row customHeight="true" ht="18.452380952380953" r="159">
      <c r="A159" s="628" t="s">
        <v>623</v>
      </c>
      <c r="B159" s="515">
        <v>46294</v>
      </c>
      <c r="C159" s="533" t="str">
        <v>Tuesday</v>
      </c>
      <c r="D159" s="541" t="s">
        <v>617</v>
      </c>
      <c r="E159" s="506">
        <f t="shared" si="89"/>
      </c>
      <c r="F159" s="510" t="s">
        <v>523</v>
      </c>
      <c r="G159" s="642"/>
      <c r="H159" s="510" t="s">
        <v>493</v>
      </c>
      <c r="I159" s="538" t="s">
        <v>490</v>
      </c>
      <c r="J159" s="630"/>
      <c r="K159" s="643"/>
      <c r="L159" s="643"/>
      <c r="M159" s="643"/>
      <c r="N159" s="643"/>
      <c r="O159" s="643"/>
      <c r="P159" s="643"/>
      <c r="Q159" s="544"/>
      <c r="R159" s="544"/>
    </row>
    <row customHeight="true" ht="18.452380952380953" r="160">
      <c r="A160" s="645" t="s">
        <v>623</v>
      </c>
      <c r="B160" s="646">
        <v>46295</v>
      </c>
      <c r="C160" s="647" t="str">
        <v>Wednesday</v>
      </c>
      <c r="D160" s="648" t="s">
        <v>617</v>
      </c>
      <c r="E160" s="648">
        <f t="shared" si="89"/>
      </c>
      <c r="F160" s="649" t="s">
        <v>624</v>
      </c>
      <c r="G160" s="650" t="s">
        <v>619</v>
      </c>
      <c r="H160" s="649" t="s">
        <v>493</v>
      </c>
      <c r="I160" s="649" t="s">
        <v>490</v>
      </c>
      <c r="J160" s="651"/>
      <c r="K160" s="652"/>
      <c r="L160" s="652"/>
      <c r="M160" s="652"/>
      <c r="N160" s="652"/>
      <c r="O160" s="652"/>
      <c r="P160" s="652"/>
      <c r="Q160" s="652"/>
      <c r="R160" s="652"/>
    </row>
    <row customHeight="true" ht="18.452380952380953" r="161">
      <c r="A161" s="645" t="s">
        <v>623</v>
      </c>
      <c r="B161" s="646">
        <v>46296</v>
      </c>
      <c r="C161" s="647" t="str">
        <v>Thursday</v>
      </c>
      <c r="D161" s="648" t="s">
        <v>617</v>
      </c>
      <c r="E161" s="648">
        <f t="shared" si="89"/>
      </c>
      <c r="F161" s="649" t="s">
        <v>625</v>
      </c>
      <c r="G161" s="650" t="s">
        <v>619</v>
      </c>
      <c r="H161" s="649" t="s">
        <v>493</v>
      </c>
      <c r="I161" s="649" t="s">
        <v>468</v>
      </c>
      <c r="J161" s="651"/>
      <c r="K161" s="652"/>
      <c r="L161" s="652"/>
      <c r="M161" s="652"/>
      <c r="N161" s="652"/>
      <c r="O161" s="652"/>
      <c r="P161" s="652"/>
      <c r="Q161" s="653"/>
      <c r="R161" s="653"/>
    </row>
    <row customHeight="true" ht="18.452380952380953" r="162">
      <c r="A162" s="628" t="s">
        <v>623</v>
      </c>
      <c r="B162" s="515">
        <v>46297</v>
      </c>
      <c r="C162" s="533" t="str">
        <v>Friday</v>
      </c>
      <c r="D162" s="541" t="s">
        <v>617</v>
      </c>
      <c r="E162" s="506">
        <f t="shared" si="89"/>
      </c>
      <c r="F162" s="510" t="s">
        <v>625</v>
      </c>
      <c r="G162" s="629"/>
      <c r="H162" s="510" t="s">
        <v>493</v>
      </c>
      <c r="I162" s="538" t="s">
        <v>468</v>
      </c>
      <c r="J162" s="655"/>
      <c r="K162" s="631"/>
      <c r="L162" s="631"/>
      <c r="M162" s="631"/>
      <c r="N162" s="631"/>
      <c r="O162" s="631"/>
      <c r="P162" s="631"/>
    </row>
    <row customHeight="true" ht="18.452380952380953" r="163">
      <c r="A163" s="628" t="s">
        <v>623</v>
      </c>
      <c r="B163" s="515">
        <v>46299</v>
      </c>
      <c r="C163" s="533" t="str">
        <v>Sunday</v>
      </c>
      <c r="D163" s="541" t="s">
        <v>617</v>
      </c>
      <c r="E163" s="506">
        <f t="shared" si="89"/>
      </c>
      <c r="F163" s="510" t="s">
        <v>626</v>
      </c>
      <c r="G163" s="657"/>
      <c r="H163" s="510" t="s">
        <v>493</v>
      </c>
      <c r="I163" s="538" t="s">
        <v>468</v>
      </c>
      <c r="J163" s="630"/>
      <c r="K163" s="643"/>
      <c r="L163" s="643"/>
      <c r="M163" s="643"/>
      <c r="N163" s="643"/>
      <c r="O163" s="643"/>
      <c r="P163" s="643"/>
      <c r="Q163" s="544"/>
      <c r="R163" s="544"/>
    </row>
    <row customHeight="true" ht="18.452380952380953" r="164">
      <c r="A164" s="628"/>
      <c r="B164" s="515"/>
      <c r="C164" s="533"/>
      <c r="D164" s="541"/>
      <c r="E164" s="506"/>
      <c r="F164" s="510"/>
      <c r="G164" s="642"/>
      <c r="H164" s="510"/>
      <c r="I164" s="538"/>
      <c r="J164" s="630"/>
      <c r="K164" s="643"/>
      <c r="L164" s="643"/>
      <c r="M164" s="643"/>
      <c r="N164" s="643"/>
      <c r="O164" s="643"/>
      <c r="P164" s="643"/>
      <c r="Q164" s="544"/>
      <c r="R164" s="544"/>
    </row>
    <row customHeight="true" ht="18.452380952380953" r="165">
      <c r="A165" s="628" t="s">
        <v>623</v>
      </c>
      <c r="B165" s="515">
        <v>46293</v>
      </c>
      <c r="C165" s="533" t="str">
        <v>Monday</v>
      </c>
      <c r="D165" s="541" t="s">
        <v>621</v>
      </c>
      <c r="E165" s="506">
        <f>24*MOD(TIMEVALUE(TRIM(MID(D165,FIND("-",D165)+1,LEN(D165)))) - TIMEVALUE(TRIM(LEFT(D165,FIND("-",D165)-1))),1)</f>
      </c>
      <c r="F165" s="510" t="s">
        <v>523</v>
      </c>
      <c r="G165" s="642"/>
      <c r="H165" s="510" t="s">
        <v>493</v>
      </c>
      <c r="I165" s="538" t="s">
        <v>490</v>
      </c>
      <c r="J165" s="630"/>
      <c r="K165" s="643"/>
      <c r="L165" s="643"/>
      <c r="M165" s="643"/>
      <c r="N165" s="643"/>
      <c r="O165" s="643"/>
      <c r="P165" s="643"/>
      <c r="Q165" s="544"/>
      <c r="R165" s="544"/>
    </row>
    <row customHeight="true" ht="18.452380952380953" r="166">
      <c r="A166" s="628" t="s">
        <v>623</v>
      </c>
      <c r="B166" s="515">
        <v>46295</v>
      </c>
      <c r="C166" s="533" t="str">
        <v>Wednesday</v>
      </c>
      <c r="D166" s="541" t="s">
        <v>627</v>
      </c>
      <c r="E166" s="506">
        <v>3</v>
      </c>
      <c r="F166" s="510" t="s">
        <v>628</v>
      </c>
      <c r="G166" s="642"/>
      <c r="H166" s="510" t="s">
        <v>493</v>
      </c>
      <c r="I166" s="538" t="s">
        <v>490</v>
      </c>
      <c r="J166" s="630"/>
      <c r="K166" s="643"/>
      <c r="L166" s="643"/>
      <c r="M166" s="643"/>
      <c r="N166" s="643"/>
      <c r="O166" s="643"/>
      <c r="P166" s="643"/>
      <c r="Q166" s="544"/>
      <c r="R166" s="544"/>
    </row>
    <row customHeight="true" ht="18.452380952380953" r="167">
      <c r="A167" s="628" t="s">
        <v>623</v>
      </c>
      <c r="B167" s="515">
        <v>46295</v>
      </c>
      <c r="C167" s="533" t="str">
        <v>Wednesday</v>
      </c>
      <c r="D167" s="541" t="s">
        <v>629</v>
      </c>
      <c r="E167" s="506">
        <v>1</v>
      </c>
      <c r="F167" s="629" t="s">
        <v>630</v>
      </c>
      <c r="G167" s="642"/>
      <c r="H167" s="510" t="s">
        <v>493</v>
      </c>
      <c r="I167" s="538" t="s">
        <v>490</v>
      </c>
      <c r="J167" s="630"/>
      <c r="K167" s="643"/>
      <c r="L167" s="643"/>
      <c r="M167" s="643"/>
      <c r="N167" s="643"/>
      <c r="O167" s="643"/>
      <c r="P167" s="643"/>
      <c r="Q167" s="544"/>
      <c r="R167" s="544"/>
    </row>
    <row customHeight="true" ht="18.452380952380953" r="168">
      <c r="A168" s="628" t="s">
        <v>623</v>
      </c>
      <c r="B168" s="515">
        <v>46296</v>
      </c>
      <c r="C168" s="533" t="str">
        <v>Thursday</v>
      </c>
      <c r="D168" s="541" t="s">
        <v>621</v>
      </c>
      <c r="E168" s="506">
        <f t="shared" ref="E168:E172" si="90">24*MOD(TIMEVALUE(TRIM(MID(D168,FIND("-",D168)+1,LEN(D168)))) - TIMEVALUE(TRIM(LEFT(D168,FIND("-",D168)-1))),1)</f>
      </c>
      <c r="F168" s="510" t="s">
        <v>613</v>
      </c>
      <c r="G168" s="629"/>
      <c r="H168" s="510" t="s">
        <v>493</v>
      </c>
      <c r="I168" s="538" t="s">
        <v>468</v>
      </c>
      <c r="J168" s="655"/>
      <c r="K168" s="631"/>
      <c r="L168" s="631"/>
      <c r="M168" s="631"/>
      <c r="N168" s="631"/>
      <c r="O168" s="631"/>
      <c r="P168" s="631"/>
    </row>
    <row customHeight="true" ht="18.452380952380953" r="169">
      <c r="A169" s="628" t="s">
        <v>623</v>
      </c>
      <c r="B169" s="533">
        <v>46296</v>
      </c>
      <c r="C169" s="533" t="str">
        <v>Thursday</v>
      </c>
      <c r="D169" s="541" t="s">
        <v>631</v>
      </c>
      <c r="E169" s="538">
        <f t="shared" si="90"/>
      </c>
      <c r="F169" s="510" t="s">
        <v>613</v>
      </c>
      <c r="G169" s="629" t="s">
        <v>632</v>
      </c>
      <c r="H169" s="510" t="s">
        <v>493</v>
      </c>
      <c r="I169" s="538" t="s">
        <v>468</v>
      </c>
      <c r="J169" s="655"/>
      <c r="K169" s="643"/>
      <c r="L169" s="643"/>
      <c r="M169" s="643"/>
      <c r="N169" s="643"/>
      <c r="O169" s="643"/>
      <c r="P169" s="643"/>
      <c r="Q169" s="544"/>
      <c r="R169" s="544"/>
    </row>
    <row customHeight="true" ht="18.452380952380953" r="170">
      <c r="A170" s="628" t="s">
        <v>623</v>
      </c>
      <c r="B170" s="515">
        <v>46297</v>
      </c>
      <c r="C170" s="533" t="str">
        <v>Friday</v>
      </c>
      <c r="D170" s="541" t="s">
        <v>621</v>
      </c>
      <c r="E170" s="506">
        <f t="shared" si="90"/>
      </c>
      <c r="F170" s="510" t="s">
        <v>523</v>
      </c>
      <c r="G170" s="629"/>
      <c r="H170" s="510" t="s">
        <v>493</v>
      </c>
      <c r="I170" s="538" t="s">
        <v>468</v>
      </c>
      <c r="J170" s="655"/>
      <c r="K170" s="631"/>
      <c r="L170" s="631"/>
      <c r="M170" s="631"/>
      <c r="N170" s="631"/>
      <c r="O170" s="631"/>
      <c r="P170" s="631"/>
    </row>
    <row customHeight="true" ht="18.452380952380953" r="171">
      <c r="A171" s="628" t="s">
        <v>623</v>
      </c>
      <c r="B171" s="515">
        <v>46297</v>
      </c>
      <c r="C171" s="533" t="str">
        <v>Friday</v>
      </c>
      <c r="D171" s="541" t="s">
        <v>633</v>
      </c>
      <c r="E171" s="506">
        <f t="shared" si="90"/>
      </c>
      <c r="F171" s="510" t="s">
        <v>523</v>
      </c>
      <c r="G171" s="629"/>
      <c r="H171" s="510" t="s">
        <v>493</v>
      </c>
      <c r="I171" s="538" t="s">
        <v>468</v>
      </c>
      <c r="J171" s="655"/>
      <c r="K171" s="631"/>
      <c r="L171" s="631"/>
      <c r="M171" s="631"/>
      <c r="N171" s="631"/>
      <c r="O171" s="631"/>
      <c r="P171" s="631"/>
    </row>
    <row customHeight="true" ht="18.452380952380953" r="172">
      <c r="A172" s="645" t="s">
        <v>623</v>
      </c>
      <c r="B172" s="645">
        <v>46298</v>
      </c>
      <c r="C172" s="645" t="str">
        <v>Saturday</v>
      </c>
      <c r="D172" s="658" t="s">
        <v>505</v>
      </c>
      <c r="E172" s="645">
        <f t="shared" si="90"/>
      </c>
      <c r="F172" s="645" t="s">
        <v>613</v>
      </c>
      <c r="G172" s="658" t="s">
        <v>634</v>
      </c>
      <c r="H172" s="645" t="s">
        <v>493</v>
      </c>
      <c r="I172" s="645" t="s">
        <v>468</v>
      </c>
      <c r="J172" s="645"/>
      <c r="K172" s="645"/>
      <c r="L172" s="645"/>
      <c r="M172" s="645"/>
      <c r="N172" s="645"/>
      <c r="O172" s="645"/>
      <c r="P172" s="645"/>
      <c r="Q172" s="645"/>
      <c r="R172" s="645"/>
    </row>
    <row customHeight="true" ht="18.452380952380953" r="173">
      <c r="A173" s="628" t="s">
        <v>623</v>
      </c>
      <c r="B173" s="515">
        <v>46298</v>
      </c>
      <c r="C173" s="533" t="str">
        <v>Saturday</v>
      </c>
      <c r="D173" s="541" t="s">
        <v>635</v>
      </c>
      <c r="E173" s="506">
        <v>1.25</v>
      </c>
      <c r="F173" s="510" t="s">
        <v>523</v>
      </c>
      <c r="G173" s="629"/>
      <c r="H173" s="510" t="s">
        <v>493</v>
      </c>
      <c r="I173" s="538" t="s">
        <v>468</v>
      </c>
      <c r="J173" s="655"/>
      <c r="K173" s="631"/>
      <c r="L173" s="631"/>
      <c r="M173" s="631"/>
      <c r="N173" s="631"/>
      <c r="O173" s="631"/>
      <c r="P173" s="631"/>
    </row>
    <row customHeight="true" ht="18.452380952380953" r="174">
      <c r="A174" s="628" t="s">
        <v>623</v>
      </c>
      <c r="B174" s="515">
        <v>46299</v>
      </c>
      <c r="C174" s="533" t="str">
        <v>Sunday</v>
      </c>
      <c r="D174" s="541" t="s">
        <v>636</v>
      </c>
      <c r="E174" s="506">
        <v>4</v>
      </c>
      <c r="F174" s="510" t="s">
        <v>613</v>
      </c>
      <c r="G174" s="629"/>
      <c r="H174" s="510" t="s">
        <v>493</v>
      </c>
      <c r="I174" s="538" t="s">
        <v>468</v>
      </c>
      <c r="J174" s="630"/>
      <c r="K174" s="631"/>
      <c r="L174" s="631"/>
      <c r="M174" s="631"/>
      <c r="N174" s="631"/>
      <c r="O174" s="631"/>
      <c r="P174" s="631"/>
    </row>
    <row customHeight="true" ht="18.452380952380953" r="175">
      <c r="A175" s="628"/>
      <c r="B175" s="515"/>
      <c r="C175" s="533"/>
      <c r="D175" s="541"/>
      <c r="E175" s="506"/>
      <c r="F175" s="510"/>
      <c r="G175" s="629"/>
      <c r="H175" s="510"/>
      <c r="I175" s="538"/>
      <c r="J175" s="630"/>
      <c r="K175" s="631"/>
      <c r="L175" s="631"/>
      <c r="M175" s="631"/>
      <c r="N175" s="631"/>
      <c r="O175" s="631"/>
      <c r="P175" s="631"/>
    </row>
    <row customHeight="true" ht="18.452380952380953" r="176">
      <c r="A176" s="628"/>
      <c r="B176" s="515"/>
      <c r="C176" s="533"/>
      <c r="D176" s="541"/>
      <c r="E176" s="506"/>
      <c r="F176" s="510"/>
      <c r="G176" s="629"/>
      <c r="H176" s="510"/>
      <c r="I176" s="538"/>
      <c r="J176" s="630"/>
      <c r="K176" s="631"/>
      <c r="L176" s="631"/>
      <c r="M176" s="631"/>
      <c r="N176" s="631"/>
      <c r="O176" s="631"/>
      <c r="P176" s="631"/>
    </row>
    <row customHeight="true" ht="18.452380952380953" r="177">
      <c r="A177" s="628" t="s">
        <v>637</v>
      </c>
      <c r="B177" s="515">
        <v>46294</v>
      </c>
      <c r="C177" s="533" t="str">
        <v>Tuesday</v>
      </c>
      <c r="D177" s="541" t="s">
        <v>638</v>
      </c>
      <c r="E177" s="506">
        <v>3</v>
      </c>
      <c r="F177" s="510" t="s">
        <v>507</v>
      </c>
      <c r="G177" s="629"/>
      <c r="H177" s="510"/>
      <c r="I177" s="538"/>
      <c r="J177" s="630"/>
      <c r="K177" s="631"/>
      <c r="L177" s="631"/>
      <c r="M177" s="631"/>
      <c r="N177" s="631"/>
      <c r="O177" s="631"/>
      <c r="P177" s="631"/>
    </row>
    <row customHeight="true" ht="18.452380952380953" r="178">
      <c r="A178" s="628" t="s">
        <v>637</v>
      </c>
      <c r="B178" s="515">
        <v>46295</v>
      </c>
      <c r="C178" s="533" t="str">
        <v>Wednesday</v>
      </c>
      <c r="D178" s="541" t="s">
        <v>639</v>
      </c>
      <c r="E178" s="506">
        <v>2</v>
      </c>
      <c r="F178" s="510" t="s">
        <v>507</v>
      </c>
      <c r="G178" s="629"/>
      <c r="H178" s="510"/>
      <c r="I178" s="538"/>
      <c r="J178" s="630"/>
      <c r="K178" s="631"/>
      <c r="L178" s="631"/>
      <c r="M178" s="631"/>
      <c r="N178" s="631"/>
      <c r="O178" s="631"/>
      <c r="P178" s="631"/>
    </row>
    <row customHeight="true" ht="18.452380952380953" r="179">
      <c r="A179" s="628" t="s">
        <v>637</v>
      </c>
      <c r="B179" s="515">
        <v>46295</v>
      </c>
      <c r="C179" s="533" t="str">
        <v>Wednesday</v>
      </c>
      <c r="D179" s="541" t="s">
        <v>516</v>
      </c>
      <c r="E179" s="506">
        <v>1</v>
      </c>
      <c r="F179" s="510" t="s">
        <v>507</v>
      </c>
      <c r="G179" s="629"/>
      <c r="H179" s="510"/>
      <c r="I179" s="538"/>
      <c r="J179" s="630"/>
      <c r="K179" s="631"/>
      <c r="L179" s="631"/>
      <c r="M179" s="631"/>
      <c r="N179" s="631"/>
      <c r="O179" s="631"/>
      <c r="P179" s="631"/>
    </row>
    <row customHeight="true" ht="18.452380952380953" r="180">
      <c r="A180" s="628" t="s">
        <v>637</v>
      </c>
      <c r="B180" s="515">
        <v>46294</v>
      </c>
      <c r="C180" s="533" t="str">
        <v>Tuesday</v>
      </c>
      <c r="D180" s="541" t="s">
        <v>640</v>
      </c>
      <c r="E180" s="506">
        <f>24*MOD(TIMEVALUE(TRIM(MID(D180,FIND("-",D180)+1,LEN(D180)))) - TIMEVALUE(TRIM(LEFT(D180,FIND("-",D180)-1))),1)</f>
      </c>
      <c r="F180" s="510" t="s">
        <v>641</v>
      </c>
      <c r="G180" s="629"/>
      <c r="H180" s="510"/>
      <c r="I180" s="538"/>
      <c r="J180" s="630"/>
      <c r="K180" s="631"/>
      <c r="L180" s="631"/>
      <c r="M180" s="631"/>
      <c r="N180" s="631"/>
      <c r="O180" s="631"/>
      <c r="P180" s="631"/>
    </row>
    <row customHeight="true" ht="18.452380952380953" r="181">
      <c r="A181" s="628" t="s">
        <v>637</v>
      </c>
      <c r="B181" s="515">
        <v>46298</v>
      </c>
      <c r="C181" s="533" t="str">
        <v>Saturday</v>
      </c>
      <c r="D181" s="541" t="s">
        <v>515</v>
      </c>
      <c r="E181" s="506">
        <v>4</v>
      </c>
      <c r="F181" s="510" t="s">
        <v>642</v>
      </c>
      <c r="G181" s="629"/>
      <c r="H181" s="510"/>
      <c r="I181" s="538"/>
      <c r="J181" s="630"/>
      <c r="K181" s="631"/>
      <c r="L181" s="631"/>
      <c r="M181" s="631"/>
      <c r="N181" s="631"/>
      <c r="O181" s="631"/>
      <c r="P181" s="631"/>
    </row>
    <row customHeight="true" ht="18.452380952380953" r="182">
      <c r="A182" s="628" t="s">
        <v>637</v>
      </c>
      <c r="B182" s="515">
        <v>46296</v>
      </c>
      <c r="C182" s="533" t="str">
        <v>Thursday</v>
      </c>
      <c r="D182" s="541" t="s">
        <v>629</v>
      </c>
      <c r="E182" s="506">
        <f t="shared" ref="E182:E186" si="91">24*MOD(TIMEVALUE(TRIM(MID(D182,FIND("-",D182)+1,LEN(D182)))) - TIMEVALUE(TRIM(LEFT(D182,FIND("-",D182)-1))),1)</f>
      </c>
      <c r="F182" s="510" t="s">
        <v>625</v>
      </c>
      <c r="G182" s="657"/>
      <c r="H182" s="510" t="s">
        <v>493</v>
      </c>
      <c r="I182" s="538" t="s">
        <v>468</v>
      </c>
      <c r="J182" s="630"/>
      <c r="K182" s="643"/>
      <c r="L182" s="643"/>
      <c r="M182" s="643"/>
      <c r="N182" s="643"/>
      <c r="O182" s="643"/>
      <c r="P182" s="643"/>
      <c r="Q182" s="544"/>
      <c r="R182" s="544"/>
    </row>
    <row r="183">
      <c r="A183" s="628" t="s">
        <v>637</v>
      </c>
      <c r="B183" s="659">
        <v>46293</v>
      </c>
      <c r="C183" s="533" t="str">
        <v>Monday</v>
      </c>
      <c r="D183" s="537" t="s">
        <v>643</v>
      </c>
      <c r="E183" s="506">
        <f t="shared" si="91"/>
      </c>
      <c r="F183" s="510" t="s">
        <v>612</v>
      </c>
      <c r="G183" s="657"/>
      <c r="H183" s="510" t="s">
        <v>493</v>
      </c>
      <c r="I183" s="538" t="s">
        <v>468</v>
      </c>
      <c r="J183" s="630"/>
      <c r="K183" s="643"/>
      <c r="L183" s="643"/>
      <c r="M183" s="643"/>
      <c r="N183" s="643"/>
      <c r="O183" s="643"/>
      <c r="P183" s="643"/>
      <c r="Q183" s="544"/>
      <c r="R183" s="544"/>
    </row>
    <row r="184">
      <c r="A184" s="628" t="s">
        <v>637</v>
      </c>
      <c r="B184" s="659">
        <v>46294</v>
      </c>
      <c r="C184" s="533" t="str">
        <v>Tuesday</v>
      </c>
      <c r="D184" s="537" t="s">
        <v>644</v>
      </c>
      <c r="E184" s="506">
        <f t="shared" si="91"/>
      </c>
      <c r="F184" s="510" t="s">
        <v>612</v>
      </c>
      <c r="G184" s="657"/>
      <c r="H184" s="510" t="s">
        <v>493</v>
      </c>
      <c r="I184" s="538" t="s">
        <v>468</v>
      </c>
      <c r="J184" s="630"/>
      <c r="K184" s="643"/>
      <c r="L184" s="643"/>
      <c r="M184" s="643"/>
      <c r="N184" s="643"/>
      <c r="O184" s="643"/>
      <c r="P184" s="643"/>
      <c r="Q184" s="544"/>
      <c r="R184" s="544"/>
    </row>
    <row r="185">
      <c r="A185" s="628" t="s">
        <v>637</v>
      </c>
      <c r="B185" s="659">
        <v>46295</v>
      </c>
      <c r="C185" s="533" t="str">
        <v>Wednesday</v>
      </c>
      <c r="D185" s="537" t="s">
        <v>645</v>
      </c>
      <c r="E185" s="506">
        <f t="shared" si="91"/>
      </c>
      <c r="F185" s="510" t="s">
        <v>612</v>
      </c>
      <c r="G185" s="657"/>
      <c r="H185" s="510" t="s">
        <v>493</v>
      </c>
      <c r="I185" s="538" t="s">
        <v>468</v>
      </c>
      <c r="J185" s="630"/>
      <c r="K185" s="643"/>
      <c r="L185" s="643"/>
      <c r="M185" s="643"/>
      <c r="N185" s="643"/>
      <c r="O185" s="643"/>
      <c r="P185" s="643"/>
      <c r="Q185" s="544"/>
      <c r="R185" s="544"/>
    </row>
    <row r="186">
      <c r="A186" s="628" t="s">
        <v>637</v>
      </c>
      <c r="B186" s="659">
        <v>46296</v>
      </c>
      <c r="C186" s="533" t="str">
        <v>Thursday</v>
      </c>
      <c r="D186" s="537" t="s">
        <v>646</v>
      </c>
      <c r="E186" s="506">
        <f t="shared" si="91"/>
      </c>
      <c r="F186" s="510" t="s">
        <v>612</v>
      </c>
      <c r="G186" s="657"/>
      <c r="H186" s="510" t="s">
        <v>493</v>
      </c>
      <c r="I186" s="538" t="s">
        <v>468</v>
      </c>
      <c r="J186" s="630"/>
      <c r="K186" s="643"/>
      <c r="L186" s="643"/>
      <c r="M186" s="643"/>
      <c r="N186" s="643"/>
      <c r="O186" s="643"/>
      <c r="P186" s="643"/>
      <c r="Q186" s="544"/>
      <c r="R186" s="544"/>
    </row>
    <row customHeight="true" ht="18.452380952380953" r="187">
      <c r="A187" s="660" t="s">
        <v>647</v>
      </c>
      <c r="B187" s="661"/>
      <c r="C187" s="662"/>
      <c r="D187" s="662"/>
      <c r="E187" s="662"/>
      <c r="F187" s="662"/>
      <c r="G187" s="662"/>
      <c r="H187" s="662"/>
      <c r="I187" s="662"/>
      <c r="J187" s="663"/>
      <c r="K187" s="631"/>
      <c r="L187" s="631"/>
      <c r="M187" s="631"/>
      <c r="N187" s="631"/>
      <c r="O187" s="631"/>
      <c r="P187" s="631"/>
    </row>
    <row customHeight="true" ht="18.452380952380953" r="188">
      <c r="A188" s="660"/>
      <c r="B188" s="661"/>
      <c r="C188" s="662"/>
      <c r="D188" s="662"/>
      <c r="E188" s="662"/>
      <c r="F188" s="662"/>
      <c r="G188" s="662"/>
      <c r="H188" s="662"/>
      <c r="I188" s="662"/>
      <c r="J188" s="663"/>
      <c r="K188" s="631"/>
      <c r="L188" s="631"/>
      <c r="M188" s="631"/>
      <c r="N188" s="631"/>
      <c r="O188" s="631"/>
      <c r="P188" s="631"/>
    </row>
    <row customHeight="true" ht="18.452380952380953" r="189">
      <c r="A189" s="664" t="s">
        <v>478</v>
      </c>
      <c r="B189" s="665" t="s">
        <v>479</v>
      </c>
      <c r="C189" s="665"/>
      <c r="D189" s="666" t="s">
        <v>480</v>
      </c>
      <c r="E189" s="666" t="s">
        <v>481</v>
      </c>
      <c r="F189" s="666" t="s">
        <v>482</v>
      </c>
      <c r="G189" s="667" t="s">
        <v>495</v>
      </c>
      <c r="H189" s="666" t="s">
        <v>484</v>
      </c>
      <c r="I189" s="666" t="s">
        <v>485</v>
      </c>
      <c r="J189" s="668" t="s">
        <v>486</v>
      </c>
      <c r="K189" s="631"/>
      <c r="L189" s="631"/>
      <c r="M189" s="631"/>
      <c r="N189" s="631"/>
      <c r="O189" s="631"/>
      <c r="P189" s="631"/>
    </row>
    <row customHeight="true" ht="18.452380952380953" r="190">
      <c r="A190" s="664"/>
      <c r="B190" s="665"/>
      <c r="C190" s="665"/>
      <c r="D190" s="666"/>
      <c r="E190" s="666"/>
      <c r="F190" s="666"/>
      <c r="G190" s="667"/>
      <c r="H190" s="666"/>
      <c r="I190" s="666"/>
      <c r="J190" s="668"/>
      <c r="K190" s="631"/>
      <c r="L190" s="631"/>
      <c r="M190" s="631"/>
      <c r="N190" s="631"/>
      <c r="O190" s="631"/>
      <c r="P190" s="631"/>
    </row>
    <row customHeight="true" ht="18.452380952380953" r="191">
      <c r="A191" s="628" t="s">
        <v>647</v>
      </c>
      <c r="B191" s="515">
        <v>46293</v>
      </c>
      <c r="C191" s="533" t="str">
        <v>Monday</v>
      </c>
      <c r="D191" s="541" t="s">
        <v>648</v>
      </c>
      <c r="E191" s="538">
        <f t="shared" ref="E191:E194" si="92">24*MOD(TIMEVALUE(TRIM(MID(D191,FIND("-",D191)+1,LEN(D191)))) - TIMEVALUE(TRIM(LEFT(D191,FIND("-",D191)-1))),1)</f>
      </c>
      <c r="F191" s="510" t="s">
        <v>618</v>
      </c>
      <c r="G191" s="642"/>
      <c r="H191" s="510" t="s">
        <v>493</v>
      </c>
      <c r="I191" s="538" t="s">
        <v>490</v>
      </c>
      <c r="J191" s="630"/>
      <c r="K191" s="547"/>
      <c r="L191" s="547"/>
      <c r="M191" s="547"/>
      <c r="N191" s="547"/>
      <c r="O191" s="547"/>
      <c r="P191" s="547"/>
    </row>
    <row customHeight="true" ht="18.452380952380953" r="192">
      <c r="A192" s="628" t="s">
        <v>647</v>
      </c>
      <c r="B192" s="515">
        <v>46295</v>
      </c>
      <c r="C192" s="533" t="str">
        <v>Wednesday</v>
      </c>
      <c r="D192" s="541" t="s">
        <v>648</v>
      </c>
      <c r="E192" s="538">
        <f t="shared" si="92"/>
      </c>
      <c r="F192" s="510" t="s">
        <v>618</v>
      </c>
      <c r="G192" s="642"/>
      <c r="H192" s="510" t="s">
        <v>493</v>
      </c>
      <c r="I192" s="538" t="s">
        <v>490</v>
      </c>
      <c r="J192" s="630"/>
      <c r="K192" s="669"/>
      <c r="L192" s="669"/>
      <c r="M192" s="669"/>
      <c r="N192" s="669"/>
      <c r="O192" s="669"/>
      <c r="P192" s="669"/>
      <c r="Q192" s="544"/>
      <c r="R192" s="544"/>
    </row>
    <row customHeight="true" ht="18.452380952380953" r="193">
      <c r="A193" s="628" t="s">
        <v>647</v>
      </c>
      <c r="B193" s="515">
        <v>46296</v>
      </c>
      <c r="C193" s="533" t="str">
        <v>Thursday</v>
      </c>
      <c r="D193" s="541" t="s">
        <v>648</v>
      </c>
      <c r="E193" s="538">
        <f t="shared" si="92"/>
      </c>
      <c r="F193" s="510" t="s">
        <v>618</v>
      </c>
      <c r="G193" s="629"/>
      <c r="H193" s="510" t="s">
        <v>493</v>
      </c>
      <c r="I193" s="538" t="s">
        <v>468</v>
      </c>
      <c r="J193" s="655"/>
      <c r="K193" s="669"/>
      <c r="L193" s="669"/>
      <c r="M193" s="669"/>
      <c r="N193" s="669"/>
      <c r="O193" s="669"/>
      <c r="P193" s="669"/>
      <c r="Q193" s="544"/>
      <c r="R193" s="544"/>
    </row>
    <row customHeight="true" ht="18.452380952380953" r="194">
      <c r="A194" s="645" t="s">
        <v>647</v>
      </c>
      <c r="B194" s="645">
        <v>46298</v>
      </c>
      <c r="C194" s="645" t="str">
        <v>Saturday</v>
      </c>
      <c r="D194" s="645" t="s">
        <v>648</v>
      </c>
      <c r="E194" s="645">
        <f t="shared" si="92"/>
      </c>
      <c r="F194" s="645" t="s">
        <v>649</v>
      </c>
      <c r="G194" s="658" t="s">
        <v>634</v>
      </c>
      <c r="H194" s="645" t="s">
        <v>493</v>
      </c>
      <c r="I194" s="645" t="s">
        <v>468</v>
      </c>
      <c r="J194" s="645"/>
      <c r="K194" s="645"/>
      <c r="L194" s="645"/>
      <c r="M194" s="645"/>
      <c r="N194" s="645"/>
      <c r="O194" s="645"/>
      <c r="P194" s="645"/>
      <c r="Q194" s="645"/>
      <c r="R194" s="645"/>
    </row>
    <row customHeight="true" ht="18.452380952380953" r="195">
      <c r="A195" s="628"/>
      <c r="B195" s="515"/>
      <c r="C195" s="533"/>
      <c r="D195" s="541"/>
      <c r="E195" s="538"/>
      <c r="F195" s="510"/>
      <c r="G195" s="629"/>
      <c r="H195" s="510"/>
      <c r="I195" s="538"/>
      <c r="J195" s="655"/>
      <c r="K195" s="669"/>
      <c r="L195" s="669"/>
      <c r="M195" s="669"/>
      <c r="N195" s="669"/>
      <c r="O195" s="669"/>
      <c r="P195" s="669"/>
      <c r="Q195" s="544"/>
      <c r="R195" s="544"/>
    </row>
    <row customHeight="true" ht="18.452380952380953" r="196">
      <c r="A196" s="628" t="s">
        <v>637</v>
      </c>
      <c r="B196" s="515">
        <v>46293</v>
      </c>
      <c r="C196" s="533" t="str">
        <v>Monday</v>
      </c>
      <c r="D196" s="541" t="s">
        <v>650</v>
      </c>
      <c r="E196" s="506">
        <f>24*MOD(TIMEVALUE(TRIM(MID(D196,FIND("-",D196)+1,LEN(D196)))) - TIMEVALUE(TRIM(LEFT(D196,FIND("-",D196)-1))),1)</f>
      </c>
      <c r="F196" s="510" t="s">
        <v>618</v>
      </c>
      <c r="G196" s="629"/>
      <c r="H196" s="510"/>
      <c r="I196" s="538"/>
      <c r="J196" s="630"/>
      <c r="K196" s="631"/>
      <c r="L196" s="631"/>
      <c r="M196" s="631"/>
      <c r="N196" s="631"/>
      <c r="O196" s="631"/>
      <c r="P196" s="631"/>
    </row>
    <row customHeight="true" ht="18.452380952380953" r="197">
      <c r="A197" s="628"/>
      <c r="B197" s="515"/>
      <c r="C197" s="533"/>
      <c r="D197" s="541"/>
      <c r="E197" s="506"/>
      <c r="F197" s="510"/>
      <c r="G197" s="614"/>
      <c r="H197" s="510"/>
      <c r="I197" s="538"/>
      <c r="J197" s="615"/>
      <c r="K197" s="512"/>
      <c r="L197" s="512"/>
      <c r="M197" s="512"/>
      <c r="N197" s="512"/>
      <c r="O197" s="512"/>
      <c r="P197" s="512"/>
    </row>
    <row customHeight="true" ht="18.452380952380953" r="198">
      <c r="A198" s="628"/>
      <c r="B198" s="515"/>
      <c r="C198" s="533"/>
      <c r="D198" s="541"/>
      <c r="E198" s="538"/>
      <c r="F198" s="510"/>
      <c r="G198" s="614"/>
      <c r="H198" s="510"/>
      <c r="I198" s="538"/>
      <c r="J198" s="615"/>
      <c r="K198" s="512"/>
      <c r="L198" s="512"/>
      <c r="M198" s="512"/>
      <c r="N198" s="512"/>
      <c r="O198" s="512"/>
      <c r="P198" s="512"/>
    </row>
    <row customHeight="true" ht="18.452380952380953" r="199">
      <c r="A199" s="628"/>
      <c r="B199" s="515"/>
      <c r="C199" s="533"/>
      <c r="D199" s="541"/>
      <c r="E199" s="538"/>
      <c r="F199" s="510"/>
      <c r="G199" s="614"/>
      <c r="H199" s="510"/>
      <c r="I199" s="538"/>
      <c r="J199" s="615"/>
      <c r="K199" s="512"/>
      <c r="L199" s="512"/>
      <c r="M199" s="512"/>
      <c r="N199" s="512"/>
      <c r="O199" s="512"/>
      <c r="P199" s="512"/>
    </row>
    <row customHeight="true" ht="18.452380952380953" r="200">
      <c r="A200" s="628" t="s">
        <v>651</v>
      </c>
      <c r="B200" s="515">
        <v>46293</v>
      </c>
      <c r="C200" s="533" t="str">
        <v>Monday</v>
      </c>
      <c r="D200" s="541" t="s">
        <v>648</v>
      </c>
      <c r="E200" s="538">
        <f>24*MOD(TIMEVALUE(TRIM(MID(D200,FIND("-",D200)+1,LEN(D200)))) - TIMEVALUE(TRIM(LEFT(D200,FIND("-",D200)-1))),1)</f>
      </c>
      <c r="F200" s="510" t="s">
        <v>523</v>
      </c>
      <c r="G200" s="614"/>
      <c r="H200" s="510"/>
      <c r="I200" s="538"/>
      <c r="J200" s="615"/>
      <c r="K200" s="512"/>
      <c r="L200" s="512"/>
      <c r="M200" s="512"/>
      <c r="N200" s="512"/>
      <c r="O200" s="512"/>
      <c r="P200" s="512"/>
    </row>
    <row customHeight="true" ht="18.452380952380953" r="201">
      <c r="A201" s="628"/>
      <c r="B201" s="515"/>
      <c r="C201" s="533"/>
      <c r="D201" s="541"/>
      <c r="E201" s="538"/>
      <c r="F201" s="510"/>
      <c r="G201" s="614"/>
      <c r="H201" s="510"/>
      <c r="I201" s="538"/>
      <c r="J201" s="615"/>
      <c r="K201" s="512"/>
      <c r="L201" s="512"/>
      <c r="M201" s="512"/>
      <c r="N201" s="512"/>
      <c r="O201" s="512"/>
      <c r="P201" s="512"/>
    </row>
    <row customHeight="true" ht="18.452380952380953" r="202">
      <c r="A202" s="628" t="s">
        <v>651</v>
      </c>
      <c r="B202" s="515">
        <v>46295</v>
      </c>
      <c r="C202" s="533" t="str">
        <v>Wednesday</v>
      </c>
      <c r="D202" s="541" t="s">
        <v>648</v>
      </c>
      <c r="E202" s="538">
        <f t="shared" ref="E202:E204" si="93">24*MOD(TIMEVALUE(TRIM(MID(D202,FIND("-",D202)+1,LEN(D202)))) - TIMEVALUE(TRIM(LEFT(D202,FIND("-",D202)-1))),1)</f>
      </c>
      <c r="F202" s="510" t="s">
        <v>523</v>
      </c>
      <c r="G202" s="614"/>
      <c r="H202" s="510"/>
      <c r="I202" s="538"/>
      <c r="J202" s="615"/>
      <c r="K202" s="512"/>
      <c r="L202" s="512"/>
      <c r="M202" s="512"/>
      <c r="N202" s="512"/>
      <c r="O202" s="512"/>
      <c r="P202" s="512"/>
    </row>
    <row customHeight="true" ht="18.452380952380953" r="203">
      <c r="A203" s="628" t="s">
        <v>651</v>
      </c>
      <c r="B203" s="515">
        <v>46296</v>
      </c>
      <c r="C203" s="533" t="str">
        <v>Thursday</v>
      </c>
      <c r="D203" s="541" t="s">
        <v>648</v>
      </c>
      <c r="E203" s="538">
        <f t="shared" si="93"/>
      </c>
      <c r="F203" s="617" t="s">
        <v>652</v>
      </c>
      <c r="G203" s="617"/>
      <c r="H203" s="510"/>
      <c r="I203" s="538"/>
      <c r="J203" s="615"/>
      <c r="K203" s="512"/>
      <c r="L203" s="512"/>
      <c r="M203" s="512"/>
      <c r="N203" s="512"/>
      <c r="O203" s="512"/>
      <c r="P203" s="512"/>
    </row>
    <row customHeight="true" ht="18.452380952380953" r="204">
      <c r="A204" s="628" t="s">
        <v>651</v>
      </c>
      <c r="B204" s="515">
        <v>46298</v>
      </c>
      <c r="C204" s="533" t="str">
        <v>Saturday</v>
      </c>
      <c r="D204" s="541" t="s">
        <v>648</v>
      </c>
      <c r="E204" s="538">
        <f t="shared" si="93"/>
      </c>
      <c r="F204" s="510"/>
      <c r="G204" s="617" t="s">
        <v>653</v>
      </c>
      <c r="H204" s="510"/>
      <c r="I204" s="538"/>
      <c r="J204" s="615"/>
      <c r="K204" s="512"/>
      <c r="L204" s="512"/>
      <c r="M204" s="512"/>
      <c r="N204" s="512"/>
      <c r="O204" s="512"/>
      <c r="P204" s="512"/>
    </row>
    <row customHeight="true" ht="18.452380952380953" r="205">
      <c r="A205" s="628" t="s">
        <v>651</v>
      </c>
      <c r="B205" s="515">
        <v>46297</v>
      </c>
      <c r="C205" s="533" t="str">
        <v>Friday</v>
      </c>
      <c r="D205" s="541" t="s">
        <v>654</v>
      </c>
      <c r="E205" s="506">
        <v>1</v>
      </c>
      <c r="F205" s="510" t="s">
        <v>613</v>
      </c>
      <c r="G205" s="617" t="s">
        <v>632</v>
      </c>
      <c r="H205" s="510"/>
      <c r="I205" s="538"/>
      <c r="J205" s="615"/>
      <c r="K205" s="512"/>
      <c r="L205" s="512"/>
      <c r="M205" s="512"/>
      <c r="N205" s="512"/>
      <c r="O205" s="512"/>
      <c r="P205" s="512"/>
    </row>
    <row customHeight="true" ht="18.452380952380953" r="206">
      <c r="A206" s="628"/>
      <c r="B206" s="515"/>
      <c r="C206" s="533"/>
      <c r="D206" s="541"/>
      <c r="E206" s="506"/>
      <c r="F206" s="510"/>
      <c r="G206" s="629"/>
      <c r="H206" s="510"/>
      <c r="I206" s="538"/>
      <c r="J206" s="630"/>
      <c r="K206" s="631"/>
      <c r="L206" s="631"/>
      <c r="M206" s="631"/>
      <c r="N206" s="631"/>
      <c r="O206" s="631"/>
      <c r="P206" s="631"/>
    </row>
    <row customHeight="true" ht="18.452380952380953" r="207">
      <c r="A207" s="628"/>
      <c r="B207" s="515"/>
      <c r="C207" s="533"/>
      <c r="D207" s="541"/>
      <c r="E207" s="506"/>
      <c r="F207" s="510"/>
      <c r="G207" s="629"/>
      <c r="H207" s="510"/>
      <c r="I207" s="538"/>
      <c r="J207" s="630"/>
      <c r="K207" s="631"/>
      <c r="L207" s="631"/>
      <c r="M207" s="631"/>
      <c r="N207" s="631"/>
      <c r="O207" s="631"/>
      <c r="P207" s="631"/>
    </row>
    <row customHeight="true" ht="25.619829274037762" r="208">
      <c r="A208" s="670" t="s">
        <v>655</v>
      </c>
      <c r="B208" s="671"/>
      <c r="C208" s="671"/>
      <c r="D208" s="672"/>
      <c r="E208" s="672"/>
      <c r="F208" s="672"/>
      <c r="G208" s="673"/>
      <c r="H208" s="672"/>
      <c r="I208" s="672"/>
      <c r="J208" s="674"/>
      <c r="K208" s="532"/>
      <c r="L208" s="532"/>
      <c r="M208" s="532"/>
      <c r="N208" s="532"/>
      <c r="O208" s="532"/>
      <c r="P208" s="532"/>
    </row>
    <row customHeight="true" ht="28.50617249056963" r="209">
      <c r="A209" s="675" t="s">
        <v>478</v>
      </c>
      <c r="B209" s="671" t="s">
        <v>479</v>
      </c>
      <c r="C209" s="671"/>
      <c r="D209" s="672" t="s">
        <v>480</v>
      </c>
      <c r="E209" s="672" t="s">
        <v>481</v>
      </c>
      <c r="F209" s="672" t="s">
        <v>482</v>
      </c>
      <c r="G209" s="673" t="s">
        <v>495</v>
      </c>
      <c r="H209" s="672" t="s">
        <v>484</v>
      </c>
      <c r="I209" s="672" t="s">
        <v>485</v>
      </c>
      <c r="J209" s="674" t="s">
        <v>486</v>
      </c>
      <c r="K209" s="532"/>
      <c r="L209" s="532"/>
      <c r="M209" s="532"/>
      <c r="N209" s="532"/>
      <c r="O209" s="532"/>
      <c r="P209" s="532"/>
    </row>
    <row customHeight="true" ht="18.452380952380953" r="210">
      <c r="A210" s="533" t="s">
        <v>655</v>
      </c>
      <c r="B210" s="515">
        <v>46293</v>
      </c>
      <c r="C210" s="533" t="str">
        <v>Monday</v>
      </c>
      <c r="D210" s="506" t="s">
        <v>656</v>
      </c>
      <c r="E210" s="510">
        <f t="shared" ref="E210:E216" si="94">24*MOD(TIMEVALUE(TRIM(MID(D210,FIND("-",D210)+1,LEN(D210)))) - TIMEVALUE(TRIM(LEFT(D210,FIND("-",D210)-1))),1)</f>
      </c>
      <c r="F210" s="510" t="s">
        <v>657</v>
      </c>
      <c r="G210" s="617"/>
      <c r="H210" s="510" t="s">
        <v>493</v>
      </c>
      <c r="I210" s="538"/>
      <c r="J210" s="536"/>
      <c r="K210" s="512"/>
      <c r="L210" s="512"/>
      <c r="M210" s="512"/>
      <c r="N210" s="512"/>
      <c r="O210" s="512"/>
      <c r="P210" s="512"/>
    </row>
    <row customHeight="true" ht="18.452380952380953" r="211">
      <c r="A211" s="533" t="s">
        <v>655</v>
      </c>
      <c r="B211" s="515">
        <v>46294</v>
      </c>
      <c r="C211" s="533" t="str">
        <v>Tuesday</v>
      </c>
      <c r="D211" s="506" t="s">
        <v>656</v>
      </c>
      <c r="E211" s="510">
        <f t="shared" si="94"/>
      </c>
      <c r="F211" s="510" t="s">
        <v>657</v>
      </c>
      <c r="G211" s="617"/>
      <c r="H211" s="510" t="s">
        <v>493</v>
      </c>
      <c r="I211" s="538"/>
      <c r="J211" s="536"/>
      <c r="K211" s="512"/>
      <c r="L211" s="512"/>
      <c r="M211" s="512"/>
      <c r="N211" s="512"/>
      <c r="O211" s="512"/>
      <c r="P211" s="512"/>
    </row>
    <row customHeight="true" ht="18.452380952380953" r="212">
      <c r="A212" s="533" t="s">
        <v>655</v>
      </c>
      <c r="B212" s="515">
        <v>46295</v>
      </c>
      <c r="C212" s="533" t="str">
        <v>Wednesday</v>
      </c>
      <c r="D212" s="506" t="s">
        <v>656</v>
      </c>
      <c r="E212" s="510">
        <f t="shared" si="94"/>
      </c>
      <c r="F212" s="510" t="s">
        <v>657</v>
      </c>
      <c r="G212" s="617"/>
      <c r="H212" s="510" t="s">
        <v>493</v>
      </c>
      <c r="I212" s="538"/>
      <c r="J212" s="536"/>
      <c r="K212" s="512"/>
      <c r="L212" s="512"/>
      <c r="M212" s="512"/>
      <c r="N212" s="512"/>
      <c r="O212" s="512"/>
      <c r="P212" s="512"/>
    </row>
    <row customHeight="true" ht="18.452380952380953" r="213">
      <c r="A213" s="533" t="s">
        <v>655</v>
      </c>
      <c r="B213" s="515">
        <v>46296</v>
      </c>
      <c r="C213" s="533" t="str">
        <v>Thursday</v>
      </c>
      <c r="D213" s="506" t="s">
        <v>658</v>
      </c>
      <c r="E213" s="510">
        <f t="shared" si="94"/>
      </c>
      <c r="F213" s="510" t="s">
        <v>657</v>
      </c>
      <c r="G213" s="617"/>
      <c r="H213" s="510" t="s">
        <v>493</v>
      </c>
      <c r="I213" s="538"/>
      <c r="J213" s="536"/>
      <c r="K213" s="512"/>
      <c r="L213" s="512"/>
      <c r="M213" s="512"/>
      <c r="N213" s="512"/>
      <c r="O213" s="512"/>
      <c r="P213" s="512"/>
    </row>
    <row customHeight="true" ht="18.452380952380953" r="214">
      <c r="A214" s="586" t="s">
        <v>655</v>
      </c>
      <c r="B214" s="515">
        <v>46297</v>
      </c>
      <c r="C214" s="586" t="str">
        <v>Friday</v>
      </c>
      <c r="D214" s="506" t="s">
        <v>659</v>
      </c>
      <c r="E214" s="656">
        <f t="shared" si="94"/>
      </c>
      <c r="F214" s="510" t="s">
        <v>572</v>
      </c>
      <c r="G214" s="626" t="s">
        <v>660</v>
      </c>
      <c r="H214" s="656" t="s">
        <v>493</v>
      </c>
      <c r="I214" s="522" t="s">
        <v>468</v>
      </c>
      <c r="J214" s="676"/>
      <c r="K214" s="512"/>
      <c r="L214" s="512"/>
      <c r="M214" s="512"/>
      <c r="N214" s="512"/>
      <c r="O214" s="512"/>
      <c r="P214" s="512"/>
      <c r="Q214" s="564"/>
      <c r="R214" s="564"/>
    </row>
    <row customHeight="true" ht="18.452380952380953" r="215">
      <c r="A215" s="586" t="s">
        <v>655</v>
      </c>
      <c r="B215" s="515">
        <v>46298</v>
      </c>
      <c r="C215" s="586" t="str">
        <v>Saturday</v>
      </c>
      <c r="D215" s="506" t="s">
        <v>661</v>
      </c>
      <c r="E215" s="656">
        <f t="shared" si="94"/>
      </c>
      <c r="F215" s="510" t="s">
        <v>618</v>
      </c>
      <c r="G215" s="626"/>
      <c r="H215" s="656" t="s">
        <v>493</v>
      </c>
      <c r="I215" s="522"/>
      <c r="J215" s="676"/>
      <c r="K215" s="512"/>
      <c r="L215" s="512"/>
      <c r="M215" s="512"/>
      <c r="N215" s="512"/>
      <c r="O215" s="512"/>
      <c r="P215" s="512"/>
      <c r="Q215" s="564"/>
      <c r="R215" s="564"/>
    </row>
    <row customHeight="true" ht="18.452380952380953" r="216">
      <c r="A216" s="586" t="s">
        <v>655</v>
      </c>
      <c r="B216" s="515">
        <v>46299</v>
      </c>
      <c r="C216" s="586" t="str">
        <v>Sunday</v>
      </c>
      <c r="D216" s="506" t="s">
        <v>617</v>
      </c>
      <c r="E216" s="656">
        <f t="shared" si="94"/>
      </c>
      <c r="F216" s="510" t="s">
        <v>642</v>
      </c>
      <c r="G216" s="626"/>
      <c r="H216" s="656" t="s">
        <v>493</v>
      </c>
      <c r="I216" s="522" t="s">
        <v>490</v>
      </c>
      <c r="J216" s="676"/>
      <c r="K216" s="512"/>
      <c r="L216" s="512"/>
      <c r="M216" s="512"/>
      <c r="N216" s="512"/>
      <c r="O216" s="512"/>
      <c r="P216" s="512"/>
      <c r="Q216" s="564"/>
      <c r="R216" s="564"/>
    </row>
    <row customHeight="true" ht="18.452380952380953" r="217">
      <c r="A217" s="533"/>
      <c r="B217" s="515"/>
      <c r="C217" s="533"/>
      <c r="D217" s="506"/>
      <c r="E217" s="510"/>
      <c r="F217" s="677"/>
      <c r="G217" s="614"/>
      <c r="H217" s="510"/>
      <c r="I217" s="510"/>
      <c r="J217" s="536"/>
      <c r="K217" s="669"/>
      <c r="L217" s="669"/>
      <c r="M217" s="669"/>
      <c r="N217" s="669"/>
      <c r="O217" s="669"/>
      <c r="P217" s="669"/>
    </row>
    <row customHeight="true" ht="18.452380952380953" r="218">
      <c r="A218" s="533"/>
      <c r="B218" s="515"/>
      <c r="C218" s="533"/>
      <c r="D218" s="506"/>
      <c r="E218" s="510"/>
      <c r="F218" s="677"/>
      <c r="G218" s="617"/>
      <c r="H218" s="510"/>
      <c r="I218" s="538"/>
      <c r="J218" s="536"/>
      <c r="K218" s="512"/>
      <c r="L218" s="512"/>
      <c r="M218" s="512"/>
      <c r="N218" s="512"/>
      <c r="O218" s="512"/>
      <c r="P218" s="512"/>
    </row>
    <row customHeight="true" ht="18.452380952380953" r="219">
      <c r="A219" s="533"/>
      <c r="B219" s="515"/>
      <c r="C219" s="533"/>
      <c r="D219" s="506"/>
      <c r="E219" s="510"/>
      <c r="F219" s="677"/>
      <c r="G219" s="617"/>
      <c r="H219" s="510"/>
      <c r="I219" s="538"/>
      <c r="J219" s="536"/>
      <c r="K219" s="512"/>
      <c r="L219" s="512"/>
      <c r="M219" s="512"/>
      <c r="N219" s="512"/>
      <c r="O219" s="512"/>
      <c r="P219" s="512"/>
    </row>
    <row customHeight="true" ht="18.452380952380953" r="220">
      <c r="A220" s="533"/>
      <c r="B220" s="515"/>
      <c r="C220" s="533"/>
      <c r="D220" s="506"/>
      <c r="E220" s="510"/>
      <c r="F220" s="677"/>
      <c r="G220" s="617"/>
      <c r="H220" s="510"/>
      <c r="I220" s="538"/>
      <c r="J220" s="536"/>
      <c r="K220" s="512"/>
      <c r="L220" s="512"/>
      <c r="M220" s="512"/>
      <c r="N220" s="512"/>
      <c r="O220" s="512"/>
      <c r="P220" s="512"/>
    </row>
    <row customHeight="true" ht="18.452380952380953" r="221">
      <c r="A221" s="533"/>
      <c r="B221" s="515"/>
      <c r="C221" s="533"/>
      <c r="D221" s="506"/>
      <c r="E221" s="510"/>
      <c r="F221" s="677"/>
      <c r="G221" s="617"/>
      <c r="H221" s="510"/>
      <c r="I221" s="538"/>
      <c r="J221" s="536"/>
      <c r="K221" s="512"/>
      <c r="L221" s="512"/>
      <c r="M221" s="512"/>
      <c r="N221" s="512"/>
      <c r="O221" s="512"/>
      <c r="P221" s="512"/>
    </row>
    <row customHeight="true" ht="18.452380952380953" r="222">
      <c r="A222" s="533" t="s">
        <v>662</v>
      </c>
      <c r="B222" s="515">
        <v>46293</v>
      </c>
      <c r="C222" s="533" t="str">
        <v>Monday</v>
      </c>
      <c r="D222" s="506" t="s">
        <v>656</v>
      </c>
      <c r="E222" s="510">
        <f t="shared" ref="E222:E227" si="95">24*MOD(TIMEVALUE(TRIM(MID(D222,FIND("-",D222)+1,LEN(D222)))) - TIMEVALUE(TRIM(LEFT(D222,FIND("-",D222)-1))),1)</f>
      </c>
      <c r="F222" s="510" t="s">
        <v>624</v>
      </c>
      <c r="G222" s="617"/>
      <c r="H222" s="510" t="s">
        <v>493</v>
      </c>
      <c r="I222" s="538"/>
      <c r="J222" s="536"/>
      <c r="K222" s="512"/>
      <c r="L222" s="512"/>
      <c r="M222" s="512"/>
      <c r="N222" s="512"/>
      <c r="O222" s="512"/>
      <c r="P222" s="512"/>
    </row>
    <row customHeight="true" ht="18.452380952380953" r="223">
      <c r="A223" s="533" t="s">
        <v>662</v>
      </c>
      <c r="B223" s="515">
        <v>46294</v>
      </c>
      <c r="C223" s="533" t="str">
        <v>Tuesday</v>
      </c>
      <c r="D223" s="506" t="s">
        <v>656</v>
      </c>
      <c r="E223" s="510">
        <f t="shared" si="95"/>
      </c>
      <c r="F223" s="510" t="s">
        <v>613</v>
      </c>
      <c r="G223" s="617"/>
      <c r="H223" s="510" t="s">
        <v>493</v>
      </c>
      <c r="I223" s="538"/>
      <c r="J223" s="536"/>
      <c r="K223" s="512"/>
      <c r="L223" s="512"/>
      <c r="M223" s="512"/>
      <c r="N223" s="512"/>
      <c r="O223" s="512"/>
      <c r="P223" s="512"/>
    </row>
    <row customHeight="true" ht="18.452380952380953" r="224">
      <c r="A224" s="533" t="s">
        <v>662</v>
      </c>
      <c r="B224" s="515">
        <v>46295</v>
      </c>
      <c r="C224" s="533" t="str">
        <v>Wednesday</v>
      </c>
      <c r="D224" s="506" t="s">
        <v>656</v>
      </c>
      <c r="E224" s="510">
        <f t="shared" si="95"/>
      </c>
      <c r="F224" s="510" t="s">
        <v>613</v>
      </c>
      <c r="G224" s="617"/>
      <c r="H224" s="510" t="s">
        <v>493</v>
      </c>
      <c r="I224" s="538"/>
      <c r="J224" s="536"/>
      <c r="K224" s="512"/>
      <c r="L224" s="512"/>
      <c r="M224" s="512"/>
      <c r="N224" s="512"/>
      <c r="O224" s="512"/>
      <c r="P224" s="512"/>
    </row>
    <row customHeight="true" ht="18.452380952380953" r="225">
      <c r="A225" s="533" t="s">
        <v>662</v>
      </c>
      <c r="B225" s="515">
        <v>46296</v>
      </c>
      <c r="C225" s="533" t="str">
        <v>Thursday</v>
      </c>
      <c r="D225" s="506" t="s">
        <v>658</v>
      </c>
      <c r="E225" s="510">
        <f t="shared" si="95"/>
      </c>
      <c r="F225" s="510" t="s">
        <v>624</v>
      </c>
      <c r="G225" s="617"/>
      <c r="H225" s="510" t="s">
        <v>493</v>
      </c>
      <c r="I225" s="538"/>
      <c r="J225" s="536"/>
      <c r="K225" s="512"/>
      <c r="L225" s="512"/>
      <c r="M225" s="512"/>
      <c r="N225" s="512"/>
      <c r="O225" s="512"/>
      <c r="P225" s="512"/>
    </row>
    <row customHeight="true" ht="18.452380952380953" r="226">
      <c r="A226" s="533" t="s">
        <v>662</v>
      </c>
      <c r="B226" s="515">
        <v>46297</v>
      </c>
      <c r="C226" s="586" t="str">
        <v>Friday</v>
      </c>
      <c r="D226" s="506" t="s">
        <v>663</v>
      </c>
      <c r="E226" s="656">
        <f t="shared" si="95"/>
      </c>
      <c r="F226" s="510" t="s">
        <v>613</v>
      </c>
      <c r="G226" s="617"/>
      <c r="H226" s="510" t="s">
        <v>493</v>
      </c>
      <c r="I226" s="538"/>
      <c r="J226" s="536"/>
      <c r="K226" s="512"/>
      <c r="L226" s="512"/>
      <c r="M226" s="512"/>
      <c r="N226" s="512"/>
      <c r="O226" s="512"/>
      <c r="P226" s="512"/>
    </row>
    <row customHeight="true" ht="18.452380952380953" r="227">
      <c r="A227" s="533" t="s">
        <v>662</v>
      </c>
      <c r="B227" s="515">
        <v>46298</v>
      </c>
      <c r="C227" s="586" t="str">
        <v>Saturday</v>
      </c>
      <c r="D227" s="506" t="s">
        <v>661</v>
      </c>
      <c r="E227" s="656">
        <f t="shared" si="95"/>
      </c>
      <c r="F227" s="510" t="s">
        <v>523</v>
      </c>
      <c r="G227" s="617"/>
      <c r="H227" s="510" t="s">
        <v>493</v>
      </c>
      <c r="I227" s="538"/>
      <c r="J227" s="536"/>
      <c r="K227" s="512"/>
      <c r="L227" s="512"/>
      <c r="M227" s="512"/>
      <c r="N227" s="512"/>
      <c r="O227" s="512"/>
      <c r="P227" s="512"/>
    </row>
    <row customHeight="true" ht="18.452380952380953" r="228">
      <c r="A228" s="533" t="s">
        <v>662</v>
      </c>
      <c r="B228" s="515">
        <v>46298</v>
      </c>
      <c r="C228" s="586" t="str">
        <v>Saturday</v>
      </c>
      <c r="D228" s="506" t="s">
        <v>664</v>
      </c>
      <c r="E228" s="624">
        <v>0.5</v>
      </c>
      <c r="F228" s="510" t="s">
        <v>523</v>
      </c>
      <c r="G228" s="617" t="s">
        <v>665</v>
      </c>
      <c r="H228" s="510"/>
      <c r="I228" s="538"/>
      <c r="J228" s="536"/>
      <c r="K228" s="512"/>
      <c r="L228" s="512"/>
      <c r="M228" s="512"/>
      <c r="N228" s="512"/>
      <c r="O228" s="512"/>
      <c r="P228" s="512"/>
    </row>
    <row customHeight="true" ht="18.452380952380953" r="229">
      <c r="A229" s="533" t="s">
        <v>662</v>
      </c>
      <c r="B229" s="515">
        <v>46299</v>
      </c>
      <c r="C229" s="586" t="str">
        <v>Sunday</v>
      </c>
      <c r="D229" s="506" t="s">
        <v>617</v>
      </c>
      <c r="E229" s="656">
        <f t="shared" ref="E229:E230" si="96">24*MOD(TIMEVALUE(TRIM(MID(D229,FIND("-",D229)+1,LEN(D229)))) - TIMEVALUE(TRIM(LEFT(D229,FIND("-",D229)-1))),1)</f>
      </c>
      <c r="F229" s="510" t="s">
        <v>666</v>
      </c>
      <c r="G229" s="617"/>
      <c r="H229" s="510" t="s">
        <v>493</v>
      </c>
      <c r="I229" s="538"/>
      <c r="J229" s="536"/>
      <c r="K229" s="512"/>
      <c r="L229" s="512"/>
      <c r="M229" s="512"/>
      <c r="N229" s="512"/>
      <c r="O229" s="512"/>
      <c r="P229" s="512"/>
    </row>
    <row customHeight="true" ht="18.452380952380953" r="230">
      <c r="A230" s="533" t="s">
        <v>662</v>
      </c>
      <c r="B230" s="515">
        <v>46297</v>
      </c>
      <c r="C230" s="586" t="str">
        <v>Friday</v>
      </c>
      <c r="D230" s="506" t="s">
        <v>667</v>
      </c>
      <c r="E230" s="656">
        <f t="shared" si="96"/>
      </c>
      <c r="F230" s="510" t="s">
        <v>613</v>
      </c>
      <c r="G230" s="617" t="s">
        <v>665</v>
      </c>
      <c r="H230" s="510" t="s">
        <v>493</v>
      </c>
      <c r="I230" s="538"/>
      <c r="J230" s="536"/>
      <c r="K230" s="512"/>
      <c r="L230" s="512"/>
      <c r="M230" s="512"/>
      <c r="N230" s="512"/>
      <c r="O230" s="512"/>
      <c r="P230" s="512"/>
    </row>
    <row customHeight="true" ht="18.452380952380953" r="231">
      <c r="A231" s="533"/>
      <c r="B231" s="515"/>
      <c r="C231" s="586"/>
      <c r="D231" s="506"/>
      <c r="E231" s="538"/>
      <c r="F231" s="510"/>
      <c r="G231" s="617"/>
      <c r="H231" s="510" t="s">
        <v>493</v>
      </c>
      <c r="I231" s="538"/>
      <c r="J231" s="536"/>
      <c r="K231" s="512"/>
      <c r="L231" s="512"/>
      <c r="M231" s="512"/>
      <c r="N231" s="512"/>
      <c r="O231" s="512"/>
      <c r="P231" s="512"/>
    </row>
    <row customHeight="true" ht="18.452380952380953" r="232">
      <c r="A232" s="628"/>
      <c r="B232" s="515"/>
      <c r="C232" s="533"/>
      <c r="D232" s="541"/>
      <c r="E232" s="506"/>
      <c r="F232" s="510"/>
      <c r="G232" s="629"/>
      <c r="H232" s="510"/>
      <c r="I232" s="538"/>
      <c r="J232" s="630"/>
      <c r="K232" s="631"/>
      <c r="L232" s="631"/>
      <c r="M232" s="631"/>
      <c r="N232" s="631"/>
      <c r="O232" s="631"/>
      <c r="P232" s="631"/>
    </row>
    <row customHeight="true" ht="18.452380952380953" r="233">
      <c r="A233" s="628"/>
      <c r="B233" s="515"/>
      <c r="C233" s="533"/>
      <c r="D233" s="541"/>
      <c r="E233" s="506"/>
      <c r="F233" s="510"/>
      <c r="G233" s="629"/>
      <c r="H233" s="510"/>
      <c r="I233" s="538"/>
      <c r="J233" s="630"/>
      <c r="K233" s="631"/>
      <c r="L233" s="631"/>
      <c r="M233" s="631"/>
      <c r="N233" s="631"/>
      <c r="O233" s="631"/>
      <c r="P233" s="631"/>
    </row>
    <row r="234">
      <c r="A234" s="544"/>
      <c r="B234" s="544"/>
      <c r="C234" s="544"/>
      <c r="D234" s="678"/>
      <c r="E234" s="544"/>
      <c r="F234" s="544"/>
      <c r="G234" s="544"/>
      <c r="H234" s="544"/>
      <c r="I234" s="544"/>
      <c r="J234" s="544"/>
      <c r="K234" s="631"/>
      <c r="L234" s="631"/>
      <c r="M234" s="631"/>
      <c r="N234" s="631"/>
      <c r="O234" s="631"/>
      <c r="P234" s="631"/>
    </row>
    <row customHeight="true" ht="18.452380952380953" r="235">
      <c r="A235" s="533"/>
      <c r="B235" s="533"/>
      <c r="C235" s="533"/>
      <c r="D235" s="506"/>
      <c r="E235" s="506"/>
      <c r="F235" s="617"/>
      <c r="G235" s="626"/>
      <c r="H235" s="510"/>
      <c r="I235" s="538"/>
      <c r="J235" s="615"/>
      <c r="K235" s="512"/>
      <c r="L235" s="512"/>
      <c r="M235" s="512"/>
      <c r="N235" s="512"/>
      <c r="O235" s="512"/>
      <c r="P235" s="512"/>
    </row>
    <row r="236">
      <c r="A236" s="679" t="s">
        <v>668</v>
      </c>
      <c r="B236" s="680" t="s">
        <v>669</v>
      </c>
      <c r="C236" s="679"/>
      <c r="D236" s="679"/>
      <c r="E236" s="679"/>
      <c r="F236" s="679"/>
      <c r="G236" s="679"/>
      <c r="H236" s="679"/>
      <c r="I236" s="679"/>
      <c r="J236" s="681"/>
      <c r="K236" s="547"/>
      <c r="L236" s="547"/>
      <c r="M236" s="547"/>
      <c r="N236" s="547"/>
      <c r="O236" s="547"/>
      <c r="P236" s="547"/>
    </row>
    <row r="237">
      <c r="A237" s="682" t="s">
        <v>478</v>
      </c>
      <c r="B237" s="683" t="s">
        <v>479</v>
      </c>
      <c r="C237" s="683"/>
      <c r="D237" s="684" t="s">
        <v>480</v>
      </c>
      <c r="E237" s="685" t="s">
        <v>481</v>
      </c>
      <c r="F237" s="685" t="s">
        <v>482</v>
      </c>
      <c r="G237" s="686" t="s">
        <v>670</v>
      </c>
      <c r="H237" s="687" t="s">
        <v>484</v>
      </c>
      <c r="I237" s="687" t="s">
        <v>485</v>
      </c>
      <c r="J237" s="688" t="s">
        <v>486</v>
      </c>
      <c r="K237" s="532"/>
      <c r="L237" s="532"/>
      <c r="M237" s="532"/>
      <c r="N237" s="532"/>
      <c r="O237" s="532"/>
      <c r="P237" s="532"/>
    </row>
    <row customHeight="true" ht="18.452380952380953" r="238">
      <c r="A238" s="586" t="s">
        <v>668</v>
      </c>
      <c r="B238" s="515">
        <v>46293</v>
      </c>
      <c r="C238" s="586" t="str">
        <v>Monday</v>
      </c>
      <c r="D238" s="506" t="s">
        <v>671</v>
      </c>
      <c r="E238" s="624">
        <v>2</v>
      </c>
      <c r="F238" s="625" t="s">
        <v>672</v>
      </c>
      <c r="G238" s="689" t="s">
        <v>673</v>
      </c>
      <c r="H238" s="510" t="s">
        <v>467</v>
      </c>
      <c r="I238" s="538" t="s">
        <v>468</v>
      </c>
      <c r="J238" s="506" t="s">
        <v>674</v>
      </c>
      <c r="K238" s="512"/>
      <c r="L238" s="512"/>
      <c r="M238" s="512"/>
      <c r="N238" s="512"/>
      <c r="O238" s="512"/>
      <c r="P238" s="512"/>
      <c r="Q238" s="564"/>
      <c r="R238" s="564"/>
    </row>
    <row customHeight="true" ht="18.452380952380953" r="239">
      <c r="A239" s="586" t="s">
        <v>668</v>
      </c>
      <c r="B239" s="515">
        <v>46294</v>
      </c>
      <c r="C239" s="586" t="str">
        <v>Tuesday</v>
      </c>
      <c r="D239" s="506" t="s">
        <v>675</v>
      </c>
      <c r="E239" s="624">
        <v>1.5</v>
      </c>
      <c r="F239" s="625" t="s">
        <v>676</v>
      </c>
      <c r="G239" s="689" t="s">
        <v>673</v>
      </c>
      <c r="H239" s="510" t="s">
        <v>467</v>
      </c>
      <c r="I239" s="538" t="s">
        <v>468</v>
      </c>
      <c r="J239" s="506" t="s">
        <v>674</v>
      </c>
      <c r="K239" s="512"/>
      <c r="L239" s="512"/>
      <c r="M239" s="512"/>
      <c r="N239" s="512"/>
      <c r="O239" s="512"/>
      <c r="P239" s="512"/>
      <c r="Q239" s="564"/>
      <c r="R239" s="564"/>
    </row>
    <row customHeight="true" ht="18.452380952380953" r="240">
      <c r="A240" s="586" t="s">
        <v>668</v>
      </c>
      <c r="B240" s="515">
        <v>46295</v>
      </c>
      <c r="C240" s="586" t="str">
        <v>Wednesday</v>
      </c>
      <c r="D240" s="506" t="s">
        <v>677</v>
      </c>
      <c r="E240" s="624">
        <v>2</v>
      </c>
      <c r="F240" s="625" t="s">
        <v>676</v>
      </c>
      <c r="G240" s="689" t="s">
        <v>673</v>
      </c>
      <c r="H240" s="510" t="s">
        <v>467</v>
      </c>
      <c r="I240" s="538" t="s">
        <v>468</v>
      </c>
      <c r="J240" s="627"/>
      <c r="K240" s="512"/>
      <c r="L240" s="512"/>
      <c r="M240" s="512"/>
      <c r="N240" s="512"/>
      <c r="O240" s="512"/>
      <c r="P240" s="512"/>
      <c r="Q240" s="564"/>
      <c r="R240" s="564"/>
    </row>
    <row customHeight="true" ht="18.452380952380953" r="241">
      <c r="A241" s="586"/>
      <c r="B241" s="515"/>
      <c r="C241" s="586"/>
      <c r="D241" s="624"/>
      <c r="E241" s="624"/>
      <c r="F241" s="625"/>
      <c r="G241" s="626"/>
      <c r="H241" s="510"/>
      <c r="I241" s="538"/>
      <c r="J241" s="615"/>
      <c r="K241" s="512"/>
      <c r="L241" s="512"/>
      <c r="M241" s="512"/>
      <c r="N241" s="512"/>
      <c r="O241" s="512"/>
      <c r="P241" s="512"/>
    </row>
    <row customHeight="true" ht="18.452380952380953" r="242">
      <c r="A242" s="533" t="s">
        <v>678</v>
      </c>
      <c r="B242" s="515">
        <v>46293</v>
      </c>
      <c r="C242" s="586" t="str">
        <v>Monday</v>
      </c>
      <c r="D242" s="506" t="s">
        <v>679</v>
      </c>
      <c r="E242" s="624">
        <v>1.5</v>
      </c>
      <c r="F242" s="625" t="s">
        <v>676</v>
      </c>
      <c r="G242" s="689" t="s">
        <v>673</v>
      </c>
      <c r="H242" s="510" t="s">
        <v>467</v>
      </c>
      <c r="I242" s="538" t="s">
        <v>468</v>
      </c>
      <c r="J242" s="506" t="s">
        <v>674</v>
      </c>
      <c r="K242" s="512"/>
      <c r="L242" s="512"/>
      <c r="M242" s="512"/>
      <c r="N242" s="512"/>
      <c r="O242" s="512"/>
      <c r="P242" s="512"/>
      <c r="Q242" s="564"/>
      <c r="R242" s="564"/>
    </row>
    <row customHeight="true" ht="18.452380952380953" r="243">
      <c r="A243" s="533"/>
      <c r="B243" s="515"/>
      <c r="C243" s="533"/>
      <c r="D243" s="506"/>
      <c r="E243" s="506"/>
      <c r="F243" s="626"/>
      <c r="G243" s="626"/>
      <c r="H243" s="510"/>
      <c r="I243" s="538"/>
      <c r="J243" s="615"/>
      <c r="K243" s="512"/>
      <c r="L243" s="512"/>
      <c r="M243" s="512"/>
      <c r="N243" s="512"/>
      <c r="O243" s="512"/>
      <c r="P243" s="512"/>
    </row>
    <row customHeight="true" ht="18.452380952380953" r="244">
      <c r="A244" s="533"/>
      <c r="B244" s="515"/>
      <c r="C244" s="533"/>
      <c r="D244" s="506"/>
      <c r="E244" s="506"/>
      <c r="F244" s="626"/>
      <c r="G244" s="626"/>
      <c r="H244" s="510"/>
      <c r="I244" s="538"/>
      <c r="J244" s="615"/>
      <c r="K244" s="512"/>
      <c r="L244" s="512"/>
      <c r="M244" s="512"/>
      <c r="N244" s="512"/>
      <c r="O244" s="512"/>
      <c r="P244" s="512"/>
    </row>
    <row customHeight="true" ht="18.452380952380953" r="245">
      <c r="A245" s="533" t="s">
        <v>680</v>
      </c>
      <c r="B245" s="515">
        <v>46293</v>
      </c>
      <c r="C245" s="586" t="str">
        <v>Monday</v>
      </c>
      <c r="D245" s="506" t="s">
        <v>681</v>
      </c>
      <c r="E245" s="506">
        <v>2</v>
      </c>
      <c r="F245" s="626" t="s">
        <v>682</v>
      </c>
      <c r="G245" s="626"/>
      <c r="H245" s="510"/>
      <c r="I245" s="538"/>
      <c r="J245" s="615"/>
      <c r="K245" s="512"/>
      <c r="L245" s="512"/>
      <c r="M245" s="512"/>
      <c r="N245" s="512"/>
      <c r="O245" s="512"/>
      <c r="P245" s="512"/>
    </row>
    <row customHeight="true" ht="18.452380952380953" r="246">
      <c r="A246" s="533" t="s">
        <v>680</v>
      </c>
      <c r="B246" s="515">
        <v>46294</v>
      </c>
      <c r="C246" s="586" t="str">
        <v>Tuesday</v>
      </c>
      <c r="D246" s="506" t="s">
        <v>683</v>
      </c>
      <c r="E246" s="624">
        <v>2.17</v>
      </c>
      <c r="F246" s="510" t="s">
        <v>684</v>
      </c>
      <c r="G246" s="626" t="s">
        <v>685</v>
      </c>
      <c r="H246" s="510"/>
      <c r="I246" s="538"/>
      <c r="J246" s="626" t="s">
        <v>686</v>
      </c>
      <c r="K246" s="512"/>
      <c r="L246" s="512"/>
      <c r="M246" s="512"/>
      <c r="N246" s="512"/>
      <c r="O246" s="512"/>
      <c r="P246" s="512"/>
      <c r="Q246" s="564"/>
      <c r="R246" s="564"/>
    </row>
    <row customHeight="true" ht="18.520278912492792" r="247">
      <c r="A247" s="533" t="s">
        <v>680</v>
      </c>
      <c r="B247" s="515">
        <v>46295</v>
      </c>
      <c r="C247" s="586" t="str">
        <v>Wednesday</v>
      </c>
      <c r="D247" s="506" t="s">
        <v>687</v>
      </c>
      <c r="E247" s="624">
        <v>2</v>
      </c>
      <c r="F247" s="626" t="s">
        <v>682</v>
      </c>
      <c r="G247" s="626"/>
      <c r="H247" s="510"/>
      <c r="I247" s="538"/>
      <c r="J247" s="615"/>
      <c r="K247" s="512"/>
      <c r="L247" s="512"/>
      <c r="M247" s="512"/>
      <c r="N247" s="512"/>
      <c r="O247" s="512"/>
      <c r="P247" s="512"/>
    </row>
    <row customHeight="true" ht="18.452380952380953" r="248">
      <c r="A248" s="533" t="s">
        <v>680</v>
      </c>
      <c r="B248" s="515">
        <v>46297</v>
      </c>
      <c r="C248" s="586" t="str">
        <v>Friday</v>
      </c>
      <c r="D248" s="506" t="s">
        <v>688</v>
      </c>
      <c r="E248" s="624">
        <v>1</v>
      </c>
      <c r="F248" s="510" t="s">
        <v>684</v>
      </c>
      <c r="G248" s="626" t="s">
        <v>632</v>
      </c>
      <c r="H248" s="510"/>
      <c r="I248" s="538"/>
      <c r="J248" s="626" t="s">
        <v>686</v>
      </c>
      <c r="K248" s="512"/>
      <c r="L248" s="512"/>
      <c r="M248" s="512"/>
      <c r="N248" s="512"/>
      <c r="O248" s="512"/>
      <c r="P248" s="512"/>
      <c r="Q248" s="564"/>
      <c r="R248" s="564"/>
    </row>
    <row customHeight="true" ht="23.80952380952381" r="249">
      <c r="A249" s="690" t="s">
        <v>689</v>
      </c>
      <c r="B249" s="691" t="s">
        <v>669</v>
      </c>
      <c r="C249" s="690"/>
      <c r="D249" s="690"/>
      <c r="E249" s="690"/>
      <c r="F249" s="690"/>
      <c r="G249" s="690"/>
      <c r="H249" s="690"/>
      <c r="I249" s="690"/>
      <c r="J249" s="692"/>
      <c r="K249" s="693"/>
      <c r="L249" s="512"/>
      <c r="M249" s="512"/>
      <c r="N249" s="512"/>
      <c r="O249" s="512"/>
      <c r="P249" s="512"/>
    </row>
    <row customHeight="true" ht="23.80952380952381" r="250">
      <c r="A250" s="694" t="s">
        <v>478</v>
      </c>
      <c r="B250" s="695" t="s">
        <v>479</v>
      </c>
      <c r="C250" s="695"/>
      <c r="D250" s="696" t="s">
        <v>480</v>
      </c>
      <c r="E250" s="697" t="s">
        <v>481</v>
      </c>
      <c r="F250" s="697" t="s">
        <v>482</v>
      </c>
      <c r="G250" s="698" t="s">
        <v>670</v>
      </c>
      <c r="H250" s="699" t="s">
        <v>484</v>
      </c>
      <c r="I250" s="699" t="s">
        <v>485</v>
      </c>
      <c r="J250" s="700" t="s">
        <v>486</v>
      </c>
      <c r="K250" s="701"/>
      <c r="L250" s="512"/>
      <c r="M250" s="512"/>
      <c r="N250" s="512"/>
      <c r="O250" s="512"/>
      <c r="P250" s="512"/>
    </row>
    <row customHeight="true" ht="23.80952380952381" r="251">
      <c r="A251" s="533" t="s">
        <v>690</v>
      </c>
      <c r="B251" s="515">
        <v>46293</v>
      </c>
      <c r="C251" s="586" t="str">
        <v>Monday</v>
      </c>
      <c r="D251" s="624" t="s">
        <v>691</v>
      </c>
      <c r="E251" s="656">
        <f>24*MOD(TIMEVALUE(TRIM(MID(D251,FIND("-",D251)+1,LEN(D251)))) - TIMEVALUE(TRIM(LEFT(D251,FIND("-",D251)-1))),1)</f>
      </c>
      <c r="F251" s="510" t="s">
        <v>657</v>
      </c>
      <c r="G251" s="626"/>
      <c r="H251" s="510"/>
      <c r="I251" s="538"/>
      <c r="J251" s="615"/>
      <c r="K251" s="512"/>
      <c r="L251" s="512"/>
      <c r="M251" s="512"/>
      <c r="N251" s="512"/>
      <c r="O251" s="512"/>
      <c r="P251" s="512"/>
    </row>
    <row customHeight="true" ht="23.80952380952381" r="252">
      <c r="A252" s="533" t="s">
        <v>690</v>
      </c>
      <c r="B252" s="515">
        <v>46293</v>
      </c>
      <c r="C252" s="586" t="str">
        <v>Monday</v>
      </c>
      <c r="D252" s="624" t="s">
        <v>692</v>
      </c>
      <c r="E252" s="506">
        <v>2</v>
      </c>
      <c r="F252" s="510" t="s">
        <v>693</v>
      </c>
      <c r="G252" s="626"/>
      <c r="H252" s="510"/>
      <c r="I252" s="538" t="s">
        <v>468</v>
      </c>
      <c r="J252" s="615"/>
      <c r="K252" s="512"/>
      <c r="L252" s="512"/>
      <c r="M252" s="512"/>
      <c r="N252" s="512"/>
      <c r="O252" s="512"/>
      <c r="P252" s="512"/>
    </row>
    <row customHeight="true" ht="23.80952380952381" r="253">
      <c r="A253" s="533" t="s">
        <v>690</v>
      </c>
      <c r="B253" s="515">
        <v>46293</v>
      </c>
      <c r="C253" s="586" t="str">
        <v>Monday</v>
      </c>
      <c r="D253" s="624" t="s">
        <v>627</v>
      </c>
      <c r="E253" s="506">
        <v>3</v>
      </c>
      <c r="F253" s="510" t="s">
        <v>628</v>
      </c>
      <c r="G253" s="626"/>
      <c r="H253" s="510"/>
      <c r="I253" s="538" t="s">
        <v>468</v>
      </c>
      <c r="J253" s="615"/>
      <c r="K253" s="512"/>
      <c r="L253" s="512"/>
      <c r="M253" s="512"/>
      <c r="N253" s="512"/>
      <c r="O253" s="512"/>
      <c r="P253" s="512"/>
    </row>
    <row customHeight="true" ht="23.80952380952381" r="254">
      <c r="A254" s="533" t="s">
        <v>690</v>
      </c>
      <c r="B254" s="515">
        <v>46293</v>
      </c>
      <c r="C254" s="586" t="str">
        <v>Monday</v>
      </c>
      <c r="D254" s="624" t="s">
        <v>692</v>
      </c>
      <c r="E254" s="506">
        <v>2</v>
      </c>
      <c r="F254" s="510" t="s">
        <v>694</v>
      </c>
      <c r="G254" s="626"/>
      <c r="H254" s="510"/>
      <c r="I254" s="538" t="s">
        <v>468</v>
      </c>
      <c r="J254" s="615"/>
      <c r="K254" s="512"/>
      <c r="L254" s="512"/>
      <c r="M254" s="512"/>
      <c r="N254" s="512"/>
      <c r="O254" s="512"/>
      <c r="P254" s="512"/>
    </row>
    <row customHeight="true" ht="23.80952380952381" r="255">
      <c r="A255" s="533" t="s">
        <v>690</v>
      </c>
      <c r="B255" s="515">
        <v>46294</v>
      </c>
      <c r="C255" s="586" t="str">
        <v>Tuesday</v>
      </c>
      <c r="D255" s="702" t="s">
        <v>695</v>
      </c>
      <c r="E255" s="506">
        <v>2</v>
      </c>
      <c r="F255" s="617" t="s">
        <v>696</v>
      </c>
      <c r="G255" s="626"/>
      <c r="H255" s="510"/>
      <c r="I255" s="538"/>
      <c r="J255" s="615"/>
      <c r="K255" s="512"/>
      <c r="L255" s="512"/>
      <c r="M255" s="512"/>
      <c r="N255" s="512"/>
      <c r="O255" s="512"/>
      <c r="P255" s="512"/>
    </row>
    <row customHeight="true" ht="23.80952380952381" r="256">
      <c r="A256" s="533" t="s">
        <v>690</v>
      </c>
      <c r="B256" s="515">
        <v>46294</v>
      </c>
      <c r="C256" s="586" t="str">
        <v>Tuesday</v>
      </c>
      <c r="D256" s="624" t="s">
        <v>697</v>
      </c>
      <c r="E256" s="506">
        <v>1.5</v>
      </c>
      <c r="F256" s="510" t="s">
        <v>657</v>
      </c>
      <c r="G256" s="626"/>
      <c r="H256" s="510"/>
      <c r="I256" s="538"/>
      <c r="J256" s="615"/>
      <c r="K256" s="512"/>
      <c r="L256" s="512"/>
      <c r="M256" s="512"/>
      <c r="N256" s="512"/>
      <c r="O256" s="512"/>
      <c r="P256" s="512"/>
    </row>
    <row customHeight="true" ht="23.80952380952381" r="257">
      <c r="A257" s="533" t="s">
        <v>690</v>
      </c>
      <c r="B257" s="515">
        <v>46294</v>
      </c>
      <c r="C257" s="586" t="str">
        <v>Tuesday</v>
      </c>
      <c r="D257" s="624" t="s">
        <v>698</v>
      </c>
      <c r="E257" s="506">
        <v>2.5</v>
      </c>
      <c r="F257" s="510" t="s">
        <v>628</v>
      </c>
      <c r="G257" s="626"/>
      <c r="H257" s="510"/>
      <c r="I257" s="538" t="s">
        <v>468</v>
      </c>
      <c r="J257" s="615"/>
      <c r="K257" s="512"/>
      <c r="L257" s="512"/>
      <c r="M257" s="512"/>
      <c r="N257" s="512"/>
      <c r="O257" s="512"/>
      <c r="P257" s="512"/>
    </row>
    <row customHeight="true" ht="23.80952380952381" r="258">
      <c r="A258" s="533" t="s">
        <v>690</v>
      </c>
      <c r="B258" s="533">
        <v>46294</v>
      </c>
      <c r="C258" s="533" t="str">
        <v>Tuesday</v>
      </c>
      <c r="D258" s="703" t="s">
        <v>699</v>
      </c>
      <c r="E258" s="538">
        <v>3</v>
      </c>
      <c r="F258" s="614" t="s">
        <v>641</v>
      </c>
      <c r="G258" s="543"/>
      <c r="H258" s="510"/>
      <c r="I258" s="538"/>
      <c r="J258" s="615"/>
      <c r="K258" s="669"/>
      <c r="L258" s="669"/>
      <c r="M258" s="669"/>
      <c r="N258" s="669"/>
      <c r="O258" s="669"/>
      <c r="P258" s="669"/>
      <c r="Q258" s="544"/>
      <c r="R258" s="544"/>
    </row>
    <row customHeight="true" ht="23.80952380952381" r="259">
      <c r="A259" s="533" t="s">
        <v>690</v>
      </c>
      <c r="B259" s="515">
        <v>46295</v>
      </c>
      <c r="C259" s="586" t="str">
        <v>Wednesday</v>
      </c>
      <c r="D259" s="702" t="s">
        <v>695</v>
      </c>
      <c r="E259" s="506">
        <v>2</v>
      </c>
      <c r="F259" s="614" t="s">
        <v>549</v>
      </c>
      <c r="G259" s="626"/>
      <c r="H259" s="656"/>
      <c r="I259" s="522" t="s">
        <v>468</v>
      </c>
      <c r="J259" s="622"/>
      <c r="K259" s="512"/>
      <c r="L259" s="512"/>
      <c r="M259" s="512"/>
      <c r="N259" s="512"/>
      <c r="O259" s="512"/>
      <c r="P259" s="512"/>
    </row>
    <row customHeight="true" ht="23.80952380952381" r="260">
      <c r="A260" s="533" t="s">
        <v>690</v>
      </c>
      <c r="B260" s="515">
        <v>46295</v>
      </c>
      <c r="C260" s="586" t="str">
        <v>Wednesday</v>
      </c>
      <c r="D260" s="702" t="s">
        <v>700</v>
      </c>
      <c r="E260" s="506">
        <v>2</v>
      </c>
      <c r="F260" s="614" t="s">
        <v>549</v>
      </c>
      <c r="G260" s="626"/>
      <c r="H260" s="656"/>
      <c r="I260" s="522" t="s">
        <v>468</v>
      </c>
      <c r="J260" s="615" t="s">
        <v>701</v>
      </c>
      <c r="K260" s="512"/>
      <c r="L260" s="512"/>
      <c r="M260" s="512"/>
      <c r="N260" s="512"/>
      <c r="O260" s="512"/>
      <c r="P260" s="512"/>
    </row>
    <row customHeight="true" ht="23.80952380952381" r="261">
      <c r="A261" s="533" t="s">
        <v>690</v>
      </c>
      <c r="B261" s="515">
        <v>46296</v>
      </c>
      <c r="C261" s="586" t="str">
        <v>Thursday</v>
      </c>
      <c r="D261" s="702" t="s">
        <v>700</v>
      </c>
      <c r="E261" s="506">
        <v>2</v>
      </c>
      <c r="F261" s="510" t="s">
        <v>694</v>
      </c>
      <c r="G261" s="626"/>
      <c r="H261" s="510"/>
      <c r="I261" s="538"/>
      <c r="J261" s="622" t="s">
        <v>701</v>
      </c>
      <c r="K261" s="512"/>
      <c r="L261" s="512"/>
      <c r="M261" s="512"/>
      <c r="N261" s="512"/>
      <c r="O261" s="512"/>
      <c r="P261" s="512"/>
    </row>
    <row customHeight="true" ht="23.80952380952381" r="262">
      <c r="A262" s="533" t="s">
        <v>690</v>
      </c>
      <c r="B262" s="515">
        <v>46296</v>
      </c>
      <c r="C262" s="586" t="str">
        <v>Thursday</v>
      </c>
      <c r="D262" s="702" t="s">
        <v>702</v>
      </c>
      <c r="E262" s="506">
        <v>2</v>
      </c>
      <c r="F262" s="510" t="s">
        <v>694</v>
      </c>
      <c r="G262" s="626"/>
      <c r="H262" s="510"/>
      <c r="I262" s="538"/>
      <c r="J262" s="615"/>
      <c r="K262" s="512"/>
      <c r="L262" s="512"/>
      <c r="M262" s="512"/>
      <c r="N262" s="512"/>
      <c r="O262" s="512"/>
      <c r="P262" s="512"/>
    </row>
    <row customHeight="true" ht="23.80952380952381" r="263">
      <c r="A263" s="533" t="s">
        <v>690</v>
      </c>
      <c r="B263" s="515">
        <v>46297</v>
      </c>
      <c r="C263" s="586" t="str">
        <v>Friday</v>
      </c>
      <c r="D263" s="624" t="s">
        <v>695</v>
      </c>
      <c r="E263" s="506">
        <v>2</v>
      </c>
      <c r="F263" s="617" t="s">
        <v>693</v>
      </c>
      <c r="G263" s="626"/>
      <c r="H263" s="510"/>
      <c r="I263" s="538" t="s">
        <v>468</v>
      </c>
      <c r="J263" s="615"/>
      <c r="K263" s="512"/>
      <c r="L263" s="512"/>
      <c r="M263" s="512"/>
      <c r="N263" s="512"/>
      <c r="O263" s="512"/>
      <c r="P263" s="512"/>
    </row>
    <row customHeight="true" ht="23.80952380952381" r="264">
      <c r="A264" s="533" t="s">
        <v>690</v>
      </c>
      <c r="B264" s="533">
        <v>46297</v>
      </c>
      <c r="C264" s="533" t="str">
        <v>Friday</v>
      </c>
      <c r="D264" s="538" t="s">
        <v>695</v>
      </c>
      <c r="E264" s="538">
        <v>2</v>
      </c>
      <c r="F264" s="614" t="s">
        <v>549</v>
      </c>
      <c r="G264" s="543"/>
      <c r="H264" s="656"/>
      <c r="I264" s="522" t="s">
        <v>468</v>
      </c>
      <c r="J264" s="615"/>
      <c r="K264" s="669"/>
      <c r="L264" s="512"/>
      <c r="M264" s="512"/>
      <c r="N264" s="512"/>
      <c r="O264" s="512"/>
      <c r="P264" s="512"/>
    </row>
    <row customHeight="true" ht="23.80952380952381" r="265">
      <c r="A265" s="533" t="s">
        <v>690</v>
      </c>
      <c r="B265" s="515">
        <v>46296</v>
      </c>
      <c r="C265" s="533" t="str">
        <v>Thursday</v>
      </c>
      <c r="D265" s="506" t="s">
        <v>703</v>
      </c>
      <c r="E265" s="538">
        <v>2</v>
      </c>
      <c r="F265" s="614" t="s">
        <v>626</v>
      </c>
      <c r="G265" s="543"/>
      <c r="H265" s="656"/>
      <c r="I265" s="522" t="s">
        <v>468</v>
      </c>
      <c r="J265" s="622" t="s">
        <v>704</v>
      </c>
      <c r="K265" s="669"/>
      <c r="L265" s="512"/>
      <c r="M265" s="512"/>
      <c r="N265" s="512"/>
      <c r="O265" s="512"/>
      <c r="P265" s="512"/>
    </row>
    <row customHeight="true" ht="23.80952380952381" r="266">
      <c r="A266" s="533" t="s">
        <v>690</v>
      </c>
      <c r="B266" s="515">
        <v>46297</v>
      </c>
      <c r="C266" s="533" t="str">
        <v>Friday</v>
      </c>
      <c r="D266" s="506" t="s">
        <v>705</v>
      </c>
      <c r="E266" s="506">
        <v>2.5</v>
      </c>
      <c r="F266" s="614" t="s">
        <v>672</v>
      </c>
      <c r="G266" s="543"/>
      <c r="H266" s="510"/>
      <c r="I266" s="538"/>
      <c r="J266" s="615"/>
      <c r="K266" s="669"/>
      <c r="L266" s="512"/>
      <c r="M266" s="512"/>
      <c r="N266" s="512"/>
      <c r="O266" s="512"/>
      <c r="P266" s="512"/>
    </row>
    <row customHeight="true" ht="23.80952380952381" r="267">
      <c r="A267" s="647" t="s">
        <v>690</v>
      </c>
      <c r="B267" s="646">
        <v>46297</v>
      </c>
      <c r="C267" s="647" t="str">
        <v>Friday</v>
      </c>
      <c r="D267" s="648" t="s">
        <v>706</v>
      </c>
      <c r="E267" s="649">
        <f>24*MOD(TIMEVALUE(TRIM(MID(D267,FIND("-",D267)+1,LEN(D267)))) - TIMEVALUE(TRIM(LEFT(D267,FIND("-",D267)-1))),1)</f>
      </c>
      <c r="F267" s="649" t="s">
        <v>707</v>
      </c>
      <c r="G267" s="704" t="s">
        <v>708</v>
      </c>
      <c r="H267" s="649"/>
      <c r="I267" s="649"/>
      <c r="J267" s="705"/>
      <c r="K267" s="706"/>
      <c r="L267" s="706"/>
      <c r="M267" s="706"/>
      <c r="N267" s="706"/>
      <c r="O267" s="706"/>
      <c r="P267" s="706"/>
      <c r="Q267" s="653"/>
      <c r="R267" s="653"/>
    </row>
    <row customHeight="true" ht="23.80952380952381" r="268">
      <c r="A268" s="533"/>
      <c r="B268" s="533"/>
      <c r="C268" s="586"/>
      <c r="D268" s="624"/>
      <c r="E268" s="506"/>
      <c r="F268" s="617"/>
      <c r="G268" s="626"/>
      <c r="H268" s="510"/>
      <c r="I268" s="538"/>
      <c r="J268" s="615"/>
      <c r="K268" s="512"/>
      <c r="L268" s="512"/>
      <c r="M268" s="512"/>
      <c r="N268" s="512"/>
      <c r="O268" s="512"/>
      <c r="P268" s="512"/>
    </row>
    <row customHeight="true" ht="23.80952380952381" r="269">
      <c r="A269" s="533" t="s">
        <v>689</v>
      </c>
      <c r="B269" s="515">
        <v>46295</v>
      </c>
      <c r="C269" s="586" t="str">
        <v>Wednesday</v>
      </c>
      <c r="D269" s="702" t="s">
        <v>700</v>
      </c>
      <c r="E269" s="506">
        <v>2</v>
      </c>
      <c r="F269" s="617" t="s">
        <v>657</v>
      </c>
      <c r="G269" s="626"/>
      <c r="H269" s="510"/>
      <c r="I269" s="538"/>
      <c r="J269" s="615"/>
      <c r="K269" s="512"/>
      <c r="L269" s="512"/>
      <c r="M269" s="512"/>
      <c r="N269" s="512"/>
      <c r="O269" s="512"/>
      <c r="P269" s="512"/>
    </row>
    <row customHeight="true" ht="23.80952380952381" r="270">
      <c r="A270" s="533" t="s">
        <v>689</v>
      </c>
      <c r="B270" s="515">
        <v>46296</v>
      </c>
      <c r="C270" s="586" t="str">
        <v>Thursday</v>
      </c>
      <c r="D270" s="702" t="s">
        <v>700</v>
      </c>
      <c r="E270" s="506">
        <v>2</v>
      </c>
      <c r="F270" s="617" t="s">
        <v>657</v>
      </c>
      <c r="G270" s="626"/>
      <c r="H270" s="510"/>
      <c r="I270" s="538"/>
      <c r="J270" s="615"/>
      <c r="K270" s="512"/>
      <c r="L270" s="512"/>
      <c r="M270" s="512"/>
      <c r="N270" s="512"/>
      <c r="O270" s="512"/>
      <c r="P270" s="512"/>
    </row>
    <row customHeight="true" ht="23.80952380952381" r="271">
      <c r="A271" s="533" t="s">
        <v>689</v>
      </c>
      <c r="B271" s="515">
        <v>46297</v>
      </c>
      <c r="C271" s="586" t="str">
        <v>Friday</v>
      </c>
      <c r="D271" s="702" t="s">
        <v>687</v>
      </c>
      <c r="E271" s="506">
        <v>2</v>
      </c>
      <c r="F271" s="617" t="s">
        <v>657</v>
      </c>
      <c r="G271" s="626"/>
      <c r="H271" s="510"/>
      <c r="I271" s="538"/>
      <c r="J271" s="615"/>
      <c r="K271" s="512"/>
      <c r="L271" s="512"/>
      <c r="M271" s="512"/>
      <c r="N271" s="512"/>
      <c r="O271" s="512"/>
      <c r="P271" s="512"/>
    </row>
    <row customHeight="true" ht="23.80952380952381" r="272">
      <c r="A272" s="533" t="s">
        <v>689</v>
      </c>
      <c r="B272" s="515">
        <v>46298</v>
      </c>
      <c r="C272" s="586" t="str">
        <v>Saturday</v>
      </c>
      <c r="D272" s="702" t="s">
        <v>677</v>
      </c>
      <c r="E272" s="506">
        <v>2</v>
      </c>
      <c r="F272" s="614" t="s">
        <v>672</v>
      </c>
      <c r="G272" s="626"/>
      <c r="H272" s="510"/>
      <c r="I272" s="538"/>
      <c r="J272" s="615"/>
      <c r="K272" s="512"/>
      <c r="L272" s="512"/>
      <c r="M272" s="512"/>
      <c r="N272" s="512"/>
      <c r="O272" s="512"/>
      <c r="P272" s="512"/>
    </row>
    <row customHeight="true" ht="23.80952380952381" r="273">
      <c r="A273" s="533"/>
      <c r="B273" s="515"/>
      <c r="C273" s="586"/>
      <c r="D273" s="702"/>
      <c r="E273" s="506"/>
      <c r="F273" s="617"/>
      <c r="G273" s="626"/>
      <c r="H273" s="510"/>
      <c r="I273" s="538"/>
      <c r="J273" s="615"/>
      <c r="K273" s="512"/>
      <c r="L273" s="512"/>
      <c r="M273" s="512"/>
      <c r="N273" s="512"/>
      <c r="O273" s="512"/>
      <c r="P273" s="512"/>
    </row>
    <row customHeight="true" ht="23.80952380952381" r="274">
      <c r="A274" s="533" t="s">
        <v>709</v>
      </c>
      <c r="B274" s="515">
        <v>46295</v>
      </c>
      <c r="C274" s="586" t="str">
        <v>Wednesday</v>
      </c>
      <c r="D274" s="702" t="s">
        <v>700</v>
      </c>
      <c r="E274" s="506">
        <v>2</v>
      </c>
      <c r="F274" s="510" t="s">
        <v>626</v>
      </c>
      <c r="G274" s="626"/>
      <c r="H274" s="510"/>
      <c r="I274" s="538"/>
      <c r="J274" s="615"/>
      <c r="K274" s="512"/>
      <c r="L274" s="512"/>
      <c r="M274" s="512"/>
      <c r="N274" s="512"/>
      <c r="O274" s="512"/>
      <c r="P274" s="512"/>
    </row>
    <row customHeight="true" ht="23.80952380952381" r="275">
      <c r="A275" s="533" t="s">
        <v>709</v>
      </c>
      <c r="B275" s="515">
        <v>46296</v>
      </c>
      <c r="C275" s="586" t="str">
        <v>Thursday</v>
      </c>
      <c r="D275" s="702" t="s">
        <v>700</v>
      </c>
      <c r="E275" s="506">
        <v>2</v>
      </c>
      <c r="F275" s="510"/>
      <c r="G275" s="626"/>
      <c r="H275" s="510"/>
      <c r="I275" s="538"/>
      <c r="J275" s="615"/>
      <c r="K275" s="512"/>
      <c r="L275" s="512"/>
      <c r="M275" s="512"/>
      <c r="N275" s="512"/>
      <c r="O275" s="512"/>
      <c r="P275" s="512"/>
    </row>
    <row customHeight="true" ht="23.80952380952381" r="276">
      <c r="A276" s="533" t="s">
        <v>709</v>
      </c>
      <c r="B276" s="515">
        <v>46297</v>
      </c>
      <c r="C276" s="586" t="str">
        <v>Friday</v>
      </c>
      <c r="D276" s="702" t="s">
        <v>710</v>
      </c>
      <c r="E276" s="506">
        <v>1.5</v>
      </c>
      <c r="F276" s="510" t="s">
        <v>626</v>
      </c>
      <c r="G276" s="626"/>
      <c r="H276" s="510"/>
      <c r="I276" s="538"/>
      <c r="J276" s="615"/>
      <c r="K276" s="512"/>
      <c r="L276" s="512"/>
      <c r="M276" s="512"/>
      <c r="N276" s="512"/>
      <c r="O276" s="512"/>
      <c r="P276" s="512"/>
    </row>
    <row customHeight="true" ht="23.80952380952381" r="277">
      <c r="A277" s="533"/>
      <c r="B277" s="515"/>
      <c r="C277" s="586"/>
      <c r="D277" s="702"/>
      <c r="E277" s="506"/>
      <c r="F277" s="617"/>
      <c r="G277" s="626"/>
      <c r="H277" s="510"/>
      <c r="I277" s="538"/>
      <c r="J277" s="615"/>
      <c r="K277" s="512"/>
      <c r="L277" s="512"/>
      <c r="M277" s="512"/>
      <c r="N277" s="512"/>
      <c r="O277" s="512"/>
      <c r="P277" s="512"/>
    </row>
    <row customHeight="true" ht="23.80952380952381" r="278">
      <c r="A278" s="707" t="s">
        <v>711</v>
      </c>
      <c r="B278" s="708" t="s">
        <v>669</v>
      </c>
      <c r="C278" s="707"/>
      <c r="D278" s="707"/>
      <c r="E278" s="707"/>
      <c r="F278" s="707"/>
      <c r="G278" s="707"/>
      <c r="H278" s="707"/>
      <c r="I278" s="707"/>
      <c r="J278" s="709"/>
      <c r="K278" s="710"/>
      <c r="L278" s="512"/>
      <c r="M278" s="512"/>
      <c r="N278" s="512"/>
      <c r="O278" s="512"/>
      <c r="P278" s="512"/>
    </row>
    <row customHeight="true" ht="23.80952380952381" r="279">
      <c r="A279" s="711" t="s">
        <v>478</v>
      </c>
      <c r="B279" s="712" t="s">
        <v>479</v>
      </c>
      <c r="C279" s="712"/>
      <c r="D279" s="713" t="s">
        <v>480</v>
      </c>
      <c r="E279" s="714" t="s">
        <v>481</v>
      </c>
      <c r="F279" s="714" t="s">
        <v>482</v>
      </c>
      <c r="G279" s="715" t="s">
        <v>670</v>
      </c>
      <c r="H279" s="716" t="s">
        <v>484</v>
      </c>
      <c r="I279" s="716" t="s">
        <v>485</v>
      </c>
      <c r="J279" s="717" t="s">
        <v>486</v>
      </c>
      <c r="K279" s="718"/>
      <c r="L279" s="512"/>
      <c r="M279" s="512"/>
      <c r="N279" s="512"/>
      <c r="O279" s="512"/>
      <c r="P279" s="512"/>
    </row>
    <row customHeight="true" ht="23.80952380952381" r="280">
      <c r="A280" s="647" t="s">
        <v>712</v>
      </c>
      <c r="B280" s="646">
        <v>46293</v>
      </c>
      <c r="C280" s="647" t="str">
        <v>Monday</v>
      </c>
      <c r="D280" s="719" t="s">
        <v>713</v>
      </c>
      <c r="E280" s="648">
        <v>1.5</v>
      </c>
      <c r="F280" s="704" t="s">
        <v>714</v>
      </c>
      <c r="G280" s="720" t="s">
        <v>634</v>
      </c>
      <c r="H280" s="649"/>
      <c r="I280" s="649"/>
      <c r="J280" s="721"/>
      <c r="K280" s="512"/>
      <c r="L280" s="512"/>
      <c r="M280" s="512"/>
      <c r="N280" s="512"/>
      <c r="O280" s="512"/>
      <c r="P280" s="512"/>
    </row>
    <row customHeight="true" ht="23.80952380952381" r="281">
      <c r="A281" s="533" t="s">
        <v>712</v>
      </c>
      <c r="B281" s="515">
        <v>46293</v>
      </c>
      <c r="C281" s="586" t="str">
        <v>Monday</v>
      </c>
      <c r="D281" s="702" t="s">
        <v>713</v>
      </c>
      <c r="E281" s="506">
        <v>1.5</v>
      </c>
      <c r="F281" s="617" t="s">
        <v>607</v>
      </c>
      <c r="G281" s="626"/>
      <c r="H281" s="510"/>
      <c r="I281" s="538"/>
      <c r="J281" s="615"/>
      <c r="K281" s="512"/>
      <c r="L281" s="512"/>
      <c r="M281" s="512"/>
      <c r="N281" s="512"/>
      <c r="O281" s="512"/>
      <c r="P281" s="512"/>
    </row>
    <row customHeight="true" ht="23.80952380952381" r="282">
      <c r="A282" s="533" t="s">
        <v>712</v>
      </c>
      <c r="B282" s="515">
        <v>46294</v>
      </c>
      <c r="C282" s="586" t="str">
        <v>Tuesday</v>
      </c>
      <c r="D282" s="702" t="s">
        <v>695</v>
      </c>
      <c r="E282" s="506">
        <v>2</v>
      </c>
      <c r="F282" s="617" t="s">
        <v>696</v>
      </c>
      <c r="G282" s="626"/>
      <c r="H282" s="510"/>
      <c r="I282" s="538"/>
      <c r="J282" s="615"/>
      <c r="K282" s="512"/>
      <c r="L282" s="512"/>
      <c r="M282" s="512"/>
      <c r="N282" s="512"/>
      <c r="O282" s="512"/>
      <c r="P282" s="512"/>
    </row>
    <row customHeight="true" ht="23.80952380952381" r="283">
      <c r="A283" s="533" t="s">
        <v>712</v>
      </c>
      <c r="B283" s="515">
        <v>46294</v>
      </c>
      <c r="C283" s="586" t="str">
        <v>Tuesday</v>
      </c>
      <c r="D283" s="702" t="s">
        <v>695</v>
      </c>
      <c r="E283" s="506">
        <v>2</v>
      </c>
      <c r="F283" s="617" t="s">
        <v>607</v>
      </c>
      <c r="G283" s="626"/>
      <c r="H283" s="510"/>
      <c r="I283" s="538"/>
      <c r="J283" s="615"/>
      <c r="K283" s="512"/>
      <c r="L283" s="512"/>
      <c r="M283" s="512"/>
      <c r="N283" s="512"/>
      <c r="O283" s="512"/>
      <c r="P283" s="512"/>
    </row>
    <row customHeight="true" ht="23.80952380952381" r="284">
      <c r="A284" s="533" t="s">
        <v>712</v>
      </c>
      <c r="B284" s="515">
        <v>46296</v>
      </c>
      <c r="C284" s="586" t="str">
        <v>Thursday</v>
      </c>
      <c r="D284" s="702" t="s">
        <v>715</v>
      </c>
      <c r="E284" s="506">
        <v>2</v>
      </c>
      <c r="F284" s="614" t="s">
        <v>549</v>
      </c>
      <c r="G284" s="626"/>
      <c r="H284" s="656"/>
      <c r="I284" s="522" t="s">
        <v>468</v>
      </c>
      <c r="J284" s="615"/>
      <c r="K284" s="512"/>
      <c r="L284" s="512"/>
      <c r="M284" s="512"/>
      <c r="N284" s="512"/>
      <c r="O284" s="512"/>
      <c r="P284" s="512"/>
    </row>
    <row customHeight="true" ht="23.80952380952381" r="285">
      <c r="A285" s="533" t="s">
        <v>712</v>
      </c>
      <c r="B285" s="515">
        <v>46297</v>
      </c>
      <c r="C285" s="586" t="str">
        <v>Friday</v>
      </c>
      <c r="D285" s="702" t="s">
        <v>702</v>
      </c>
      <c r="E285" s="506">
        <v>2</v>
      </c>
      <c r="F285" s="617" t="s">
        <v>696</v>
      </c>
      <c r="G285" s="626"/>
      <c r="H285" s="510"/>
      <c r="I285" s="538"/>
      <c r="J285" s="615"/>
      <c r="K285" s="512"/>
      <c r="L285" s="512"/>
      <c r="M285" s="512"/>
      <c r="N285" s="512"/>
      <c r="O285" s="512"/>
      <c r="P285" s="512"/>
    </row>
    <row customHeight="true" ht="23.80952380952381" r="286">
      <c r="A286" s="647" t="s">
        <v>712</v>
      </c>
      <c r="B286" s="646">
        <v>46297</v>
      </c>
      <c r="C286" s="647" t="str">
        <v>Friday</v>
      </c>
      <c r="D286" s="719" t="s">
        <v>716</v>
      </c>
      <c r="E286" s="648">
        <v>2</v>
      </c>
      <c r="F286" s="704" t="s">
        <v>707</v>
      </c>
      <c r="G286" s="704" t="s">
        <v>708</v>
      </c>
      <c r="H286" s="649"/>
      <c r="I286" s="649"/>
      <c r="J286" s="705"/>
      <c r="K286" s="706"/>
      <c r="L286" s="706"/>
      <c r="M286" s="706"/>
      <c r="N286" s="706"/>
      <c r="O286" s="706"/>
      <c r="P286" s="706"/>
      <c r="Q286" s="653"/>
      <c r="R286" s="653"/>
    </row>
    <row customHeight="true" ht="23.80952380952381" r="287">
      <c r="A287" s="533"/>
      <c r="B287" s="515"/>
      <c r="C287" s="586"/>
      <c r="D287" s="702"/>
      <c r="E287" s="506"/>
      <c r="F287" s="617"/>
      <c r="G287" s="626"/>
      <c r="H287" s="510"/>
      <c r="I287" s="538"/>
      <c r="J287" s="615"/>
      <c r="K287" s="512"/>
      <c r="L287" s="512"/>
      <c r="M287" s="512"/>
      <c r="N287" s="512"/>
      <c r="O287" s="512"/>
      <c r="P287" s="512"/>
    </row>
    <row customHeight="true" ht="23.80952380952381" r="288">
      <c r="A288" s="533"/>
      <c r="B288" s="515"/>
      <c r="C288" s="586"/>
      <c r="D288" s="702"/>
      <c r="E288" s="506"/>
      <c r="F288" s="617"/>
      <c r="G288" s="626"/>
      <c r="H288" s="510"/>
      <c r="I288" s="538"/>
      <c r="J288" s="615"/>
      <c r="K288" s="512"/>
      <c r="L288" s="512"/>
      <c r="M288" s="512"/>
      <c r="N288" s="512"/>
      <c r="O288" s="512"/>
      <c r="P288" s="512"/>
    </row>
    <row customHeight="true" ht="23.80952380952381" r="289">
      <c r="A289" s="533"/>
      <c r="B289" s="515"/>
      <c r="C289" s="586"/>
      <c r="D289" s="702"/>
      <c r="E289" s="506"/>
      <c r="F289" s="617"/>
      <c r="G289" s="626"/>
      <c r="H289" s="510"/>
      <c r="I289" s="538"/>
      <c r="J289" s="615"/>
      <c r="K289" s="512"/>
      <c r="L289" s="512"/>
      <c r="M289" s="512"/>
      <c r="N289" s="512"/>
      <c r="O289" s="512"/>
      <c r="P289" s="512"/>
    </row>
    <row customHeight="true" ht="23.80952380952381" r="290">
      <c r="A290" s="533"/>
      <c r="B290" s="515"/>
      <c r="C290" s="586"/>
      <c r="D290" s="702"/>
      <c r="E290" s="506"/>
      <c r="F290" s="617"/>
      <c r="G290" s="626"/>
      <c r="H290" s="510"/>
      <c r="I290" s="538"/>
      <c r="J290" s="615"/>
      <c r="K290" s="512"/>
      <c r="L290" s="512"/>
      <c r="M290" s="512"/>
      <c r="N290" s="512"/>
      <c r="O290" s="512"/>
      <c r="P290" s="512"/>
    </row>
    <row customHeight="true" ht="23.80952380952381" r="291">
      <c r="A291" s="533"/>
      <c r="B291" s="515"/>
      <c r="C291" s="586"/>
      <c r="D291" s="702"/>
      <c r="E291" s="506"/>
      <c r="F291" s="510"/>
      <c r="G291" s="626"/>
      <c r="H291" s="510"/>
      <c r="I291" s="538"/>
      <c r="J291" s="615"/>
      <c r="K291" s="512"/>
      <c r="L291" s="512"/>
      <c r="M291" s="512"/>
      <c r="N291" s="512"/>
      <c r="O291" s="512"/>
      <c r="P291" s="512"/>
    </row>
    <row customHeight="true" ht="23.80952380952381" r="292">
      <c r="A292" s="533"/>
      <c r="B292" s="515"/>
      <c r="C292" s="586"/>
      <c r="D292" s="702"/>
      <c r="E292" s="506"/>
      <c r="F292" s="510"/>
      <c r="G292" s="626"/>
      <c r="H292" s="510"/>
      <c r="I292" s="538"/>
      <c r="J292" s="615"/>
      <c r="K292" s="512"/>
      <c r="L292" s="512"/>
      <c r="M292" s="512"/>
      <c r="N292" s="512"/>
      <c r="O292" s="512"/>
      <c r="P292" s="512"/>
    </row>
    <row customHeight="true" ht="23.80952380952381" r="293">
      <c r="A293" s="533"/>
      <c r="B293" s="515"/>
      <c r="C293" s="586"/>
      <c r="D293" s="702"/>
      <c r="E293" s="506"/>
      <c r="F293" s="510"/>
      <c r="G293" s="626"/>
      <c r="H293" s="510"/>
      <c r="I293" s="538"/>
      <c r="J293" s="615"/>
      <c r="K293" s="512"/>
      <c r="L293" s="512"/>
      <c r="M293" s="512"/>
      <c r="N293" s="512"/>
      <c r="O293" s="512"/>
      <c r="P293" s="512"/>
    </row>
    <row customHeight="true" ht="23.80952380952381" r="294">
      <c r="A294" s="533"/>
      <c r="B294" s="515"/>
      <c r="C294" s="586"/>
      <c r="D294" s="702"/>
      <c r="E294" s="506"/>
      <c r="F294" s="617"/>
      <c r="G294" s="626"/>
      <c r="H294" s="510"/>
      <c r="I294" s="538"/>
      <c r="J294" s="615"/>
      <c r="K294" s="512"/>
      <c r="L294" s="512"/>
      <c r="M294" s="512"/>
      <c r="N294" s="512"/>
      <c r="O294" s="512"/>
      <c r="P294" s="512"/>
    </row>
    <row r="295">
      <c r="A295" s="722" t="s">
        <v>717</v>
      </c>
      <c r="B295" s="722"/>
      <c r="C295" s="722"/>
      <c r="D295" s="722"/>
      <c r="E295" s="723"/>
      <c r="F295" s="722"/>
      <c r="G295" s="723"/>
      <c r="H295" s="722"/>
      <c r="I295" s="722"/>
      <c r="J295" s="724"/>
      <c r="K295" s="547"/>
      <c r="L295" s="547"/>
      <c r="M295" s="547"/>
      <c r="N295" s="547"/>
      <c r="O295" s="547"/>
      <c r="P295" s="547"/>
    </row>
    <row r="296">
      <c r="A296" s="725" t="s">
        <v>478</v>
      </c>
      <c r="B296" s="726" t="s">
        <v>479</v>
      </c>
      <c r="C296" s="726"/>
      <c r="D296" s="727" t="s">
        <v>480</v>
      </c>
      <c r="E296" s="728" t="s">
        <v>481</v>
      </c>
      <c r="F296" s="728" t="s">
        <v>482</v>
      </c>
      <c r="G296" s="729" t="s">
        <v>495</v>
      </c>
      <c r="H296" s="730" t="s">
        <v>484</v>
      </c>
      <c r="I296" s="730" t="s">
        <v>485</v>
      </c>
      <c r="J296" s="731" t="s">
        <v>486</v>
      </c>
      <c r="K296" s="532"/>
      <c r="L296" s="532"/>
      <c r="M296" s="532"/>
      <c r="N296" s="532"/>
      <c r="O296" s="532"/>
      <c r="P296" s="532"/>
    </row>
    <row customHeight="true" ht="18.452380952380953" r="297">
      <c r="A297" s="586" t="s">
        <v>718</v>
      </c>
      <c r="B297" s="515">
        <v>46294</v>
      </c>
      <c r="C297" s="586" t="str">
        <v>Tuesday</v>
      </c>
      <c r="D297" s="702" t="s">
        <v>500</v>
      </c>
      <c r="E297" s="656">
        <f t="shared" ref="E297:E299" si="97">24*MOD(TIMEVALUE(TRIM(MID(D297,FIND("-",D297)+1,LEN(D297)))) - TIMEVALUE(TRIM(LEFT(D297,FIND("-",D297)-1))),1)</f>
      </c>
      <c r="F297" s="538" t="s">
        <v>558</v>
      </c>
      <c r="G297" s="626" t="s">
        <v>719</v>
      </c>
      <c r="H297" s="510" t="s">
        <v>467</v>
      </c>
      <c r="I297" s="538" t="s">
        <v>468</v>
      </c>
      <c r="J297" s="622"/>
      <c r="K297" s="512"/>
      <c r="L297" s="512"/>
      <c r="M297" s="512"/>
      <c r="N297" s="512"/>
      <c r="O297" s="512"/>
      <c r="P297" s="512"/>
    </row>
    <row customHeight="true" ht="18.452380952380953" r="298">
      <c r="A298" s="586" t="s">
        <v>720</v>
      </c>
      <c r="B298" s="515">
        <v>46293</v>
      </c>
      <c r="C298" s="586" t="str">
        <v>Monday</v>
      </c>
      <c r="D298" s="702" t="s">
        <v>721</v>
      </c>
      <c r="E298" s="656">
        <f t="shared" si="97"/>
      </c>
      <c r="F298" s="538" t="s">
        <v>558</v>
      </c>
      <c r="G298" s="626" t="s">
        <v>719</v>
      </c>
      <c r="H298" s="510" t="s">
        <v>467</v>
      </c>
      <c r="I298" s="538" t="s">
        <v>468</v>
      </c>
      <c r="J298" s="622"/>
      <c r="K298" s="512"/>
      <c r="L298" s="512"/>
      <c r="M298" s="512"/>
      <c r="N298" s="512"/>
      <c r="O298" s="512"/>
      <c r="P298" s="512"/>
    </row>
    <row customHeight="true" ht="18.452380952380953" r="299">
      <c r="A299" s="586" t="s">
        <v>720</v>
      </c>
      <c r="B299" s="515">
        <v>46294</v>
      </c>
      <c r="C299" s="586" t="str">
        <v>Tuesday</v>
      </c>
      <c r="D299" s="702" t="s">
        <v>520</v>
      </c>
      <c r="E299" s="656">
        <f t="shared" si="97"/>
      </c>
      <c r="F299" s="538" t="s">
        <v>558</v>
      </c>
      <c r="G299" s="626" t="s">
        <v>719</v>
      </c>
      <c r="H299" s="510" t="s">
        <v>467</v>
      </c>
      <c r="I299" s="538" t="s">
        <v>468</v>
      </c>
      <c r="J299" s="622"/>
      <c r="K299" s="512"/>
      <c r="L299" s="512"/>
      <c r="M299" s="512"/>
      <c r="N299" s="512"/>
      <c r="O299" s="512"/>
      <c r="P299" s="512"/>
    </row>
    <row customHeight="true" ht="18.452380952380953" r="300">
      <c r="A300" s="533"/>
      <c r="B300" s="659"/>
      <c r="C300" s="732"/>
      <c r="D300" s="733"/>
      <c r="E300" s="734"/>
      <c r="F300" s="510"/>
      <c r="G300" s="617"/>
      <c r="H300" s="510"/>
      <c r="I300" s="538"/>
      <c r="J300" s="615"/>
      <c r="K300" s="512"/>
      <c r="L300" s="512"/>
      <c r="M300" s="512"/>
      <c r="N300" s="512"/>
      <c r="O300" s="512"/>
      <c r="P300" s="512"/>
    </row>
    <row customHeight="true" ht="16.071428571428573" r="301">
      <c r="A301" s="735"/>
      <c r="B301" s="736"/>
      <c r="C301" s="736"/>
      <c r="D301" s="736"/>
      <c r="E301" s="737"/>
      <c r="F301" s="736"/>
      <c r="G301" s="737"/>
      <c r="H301" s="736"/>
      <c r="I301" s="736"/>
      <c r="J301" s="738"/>
      <c r="K301" s="547"/>
      <c r="L301" s="547"/>
      <c r="M301" s="547"/>
      <c r="N301" s="547"/>
      <c r="O301" s="547"/>
      <c r="P301" s="547"/>
      <c r="Q301" s="564"/>
      <c r="R301" s="564"/>
    </row>
    <row customHeight="true" ht="38.970588235277624" r="302">
      <c r="A302" s="739" t="s">
        <v>722</v>
      </c>
      <c r="B302" s="739" t="s">
        <v>723</v>
      </c>
      <c r="C302" s="740"/>
      <c r="D302" s="741"/>
      <c r="E302" s="740"/>
      <c r="F302" s="740"/>
      <c r="G302" s="740"/>
      <c r="H302" s="741"/>
      <c r="I302" s="740"/>
      <c r="J302" s="740"/>
      <c r="K302" s="631"/>
      <c r="L302" s="631"/>
      <c r="M302" s="631"/>
      <c r="N302" s="631"/>
      <c r="O302" s="631"/>
      <c r="P302" s="631"/>
    </row>
    <row customHeight="true" ht="65.32578205231651" r="303">
      <c r="A303" s="742" t="s">
        <v>478</v>
      </c>
      <c r="B303" s="743" t="s">
        <v>479</v>
      </c>
      <c r="C303" s="743"/>
      <c r="D303" s="744" t="s">
        <v>480</v>
      </c>
      <c r="E303" s="745" t="s">
        <v>481</v>
      </c>
      <c r="F303" s="745" t="s">
        <v>482</v>
      </c>
      <c r="G303" s="746" t="s">
        <v>495</v>
      </c>
      <c r="H303" s="745" t="s">
        <v>484</v>
      </c>
      <c r="I303" s="745" t="s">
        <v>485</v>
      </c>
      <c r="J303" s="747" t="s">
        <v>486</v>
      </c>
      <c r="K303" s="532"/>
      <c r="L303" s="532"/>
      <c r="M303" s="532"/>
      <c r="N303" s="532"/>
      <c r="O303" s="532"/>
      <c r="P303" s="532"/>
    </row>
    <row customHeight="true" ht="16.071428571428573" r="304">
      <c r="A304" s="533" t="s">
        <v>724</v>
      </c>
      <c r="B304" s="515">
        <v>46293</v>
      </c>
      <c r="C304" s="533" t="str">
        <v>Monday</v>
      </c>
      <c r="D304" s="624" t="s">
        <v>627</v>
      </c>
      <c r="E304" s="510">
        <f t="shared" ref="E304:E306" si="98">24*MOD(TIMEVALUE(TRIM(MID(D304,FIND("-",D304)+1,LEN(D304)))) - TIMEVALUE(TRIM(LEFT(D304,FIND("-",D304)-1))),1)</f>
      </c>
      <c r="F304" s="534" t="s">
        <v>558</v>
      </c>
      <c r="G304" s="626" t="s">
        <v>719</v>
      </c>
      <c r="H304" s="510" t="s">
        <v>467</v>
      </c>
      <c r="I304" s="538" t="s">
        <v>468</v>
      </c>
      <c r="J304" s="506"/>
      <c r="K304" s="669"/>
      <c r="L304" s="669"/>
      <c r="M304" s="669"/>
      <c r="N304" s="669"/>
      <c r="O304" s="669"/>
      <c r="P304" s="669"/>
      <c r="Q304" s="669"/>
      <c r="R304" s="669"/>
    </row>
    <row customHeight="true" ht="16.071428571428573" r="305">
      <c r="A305" s="533" t="s">
        <v>724</v>
      </c>
      <c r="B305" s="515">
        <v>46295</v>
      </c>
      <c r="C305" s="533" t="str">
        <v>Wednesday</v>
      </c>
      <c r="D305" s="624" t="s">
        <v>725</v>
      </c>
      <c r="E305" s="510">
        <f t="shared" si="98"/>
      </c>
      <c r="F305" s="534" t="s">
        <v>558</v>
      </c>
      <c r="G305" s="510"/>
      <c r="H305" s="510" t="s">
        <v>467</v>
      </c>
      <c r="I305" s="538" t="s">
        <v>490</v>
      </c>
      <c r="J305" s="506"/>
      <c r="K305" s="669"/>
      <c r="L305" s="669"/>
      <c r="M305" s="669"/>
      <c r="N305" s="669"/>
      <c r="O305" s="669"/>
      <c r="P305" s="669"/>
      <c r="Q305" s="669"/>
      <c r="R305" s="669"/>
    </row>
    <row customHeight="true" ht="16.071428571428573" r="306">
      <c r="A306" s="533" t="s">
        <v>724</v>
      </c>
      <c r="B306" s="515">
        <v>46297</v>
      </c>
      <c r="C306" s="533" t="str">
        <v>Friday</v>
      </c>
      <c r="D306" s="624" t="s">
        <v>725</v>
      </c>
      <c r="E306" s="510">
        <f t="shared" si="98"/>
      </c>
      <c r="F306" s="534" t="s">
        <v>726</v>
      </c>
      <c r="G306" s="510"/>
      <c r="H306" s="510" t="s">
        <v>467</v>
      </c>
      <c r="I306" s="538" t="s">
        <v>490</v>
      </c>
      <c r="J306" s="506"/>
      <c r="K306" s="669"/>
      <c r="L306" s="669"/>
      <c r="M306" s="669"/>
      <c r="N306" s="669"/>
      <c r="O306" s="669"/>
      <c r="P306" s="669"/>
      <c r="Q306" s="669"/>
      <c r="R306" s="669"/>
    </row>
    <row customHeight="true" ht="16.071428571428573" r="307">
      <c r="A307" s="533"/>
      <c r="B307" s="515"/>
      <c r="C307" s="533"/>
      <c r="D307" s="624"/>
      <c r="E307" s="510"/>
      <c r="F307" s="534"/>
      <c r="G307" s="510"/>
      <c r="H307" s="510"/>
      <c r="I307" s="538"/>
      <c r="J307" s="506"/>
      <c r="K307" s="669"/>
      <c r="L307" s="669"/>
      <c r="M307" s="669"/>
      <c r="N307" s="669"/>
      <c r="O307" s="669"/>
      <c r="P307" s="669"/>
      <c r="Q307" s="669"/>
      <c r="R307" s="669"/>
    </row>
    <row customHeight="true" ht="16.071428571428573" r="308">
      <c r="A308" s="533" t="s">
        <v>727</v>
      </c>
      <c r="B308" s="515">
        <v>46286</v>
      </c>
      <c r="C308" s="533" t="str">
        <v>Monday</v>
      </c>
      <c r="D308" s="624" t="s">
        <v>728</v>
      </c>
      <c r="E308" s="510">
        <f t="shared" ref="E308:E311" si="99">24*MOD(TIMEVALUE(TRIM(MID(D308,FIND("-",D308)+1,LEN(D308)))) - TIMEVALUE(TRIM(LEFT(D308,FIND("-",D308)-1))),1)</f>
      </c>
      <c r="F308" s="510" t="s">
        <v>684</v>
      </c>
      <c r="G308" s="626"/>
      <c r="H308" s="510" t="s">
        <v>467</v>
      </c>
      <c r="I308" s="538" t="s">
        <v>490</v>
      </c>
      <c r="J308" s="748"/>
      <c r="K308" s="512"/>
      <c r="L308" s="512"/>
      <c r="M308" s="512"/>
      <c r="N308" s="512"/>
      <c r="O308" s="512"/>
      <c r="P308" s="512"/>
      <c r="Q308" s="512"/>
      <c r="R308" s="512"/>
    </row>
    <row customHeight="true" ht="16.071428571428573" r="309">
      <c r="A309" s="533" t="s">
        <v>727</v>
      </c>
      <c r="B309" s="515">
        <v>46286</v>
      </c>
      <c r="C309" s="533" t="str">
        <v>Monday</v>
      </c>
      <c r="D309" s="624" t="s">
        <v>729</v>
      </c>
      <c r="E309" s="510">
        <f t="shared" si="99"/>
      </c>
      <c r="F309" s="534" t="s">
        <v>730</v>
      </c>
      <c r="G309" s="626"/>
      <c r="H309" s="510"/>
      <c r="I309" s="538"/>
      <c r="J309" s="748"/>
      <c r="K309" s="512"/>
      <c r="L309" s="512"/>
      <c r="M309" s="512"/>
      <c r="N309" s="512"/>
      <c r="O309" s="512"/>
      <c r="P309" s="512"/>
      <c r="Q309" s="512"/>
      <c r="R309" s="512"/>
    </row>
    <row customHeight="true" ht="16.071428571428573" r="310">
      <c r="A310" s="533" t="s">
        <v>727</v>
      </c>
      <c r="B310" s="515">
        <v>46295</v>
      </c>
      <c r="C310" s="533" t="str">
        <v>Wednesday</v>
      </c>
      <c r="D310" s="624" t="s">
        <v>519</v>
      </c>
      <c r="E310" s="510">
        <f t="shared" si="99"/>
      </c>
      <c r="F310" s="510" t="s">
        <v>684</v>
      </c>
      <c r="G310" s="626"/>
      <c r="H310" s="510" t="s">
        <v>467</v>
      </c>
      <c r="I310" s="538" t="s">
        <v>490</v>
      </c>
      <c r="J310" s="506"/>
      <c r="K310" s="512"/>
      <c r="L310" s="512"/>
      <c r="M310" s="512"/>
      <c r="N310" s="512"/>
      <c r="O310" s="512"/>
      <c r="P310" s="512"/>
      <c r="Q310" s="512"/>
      <c r="R310" s="512"/>
    </row>
    <row customHeight="true" ht="16.071428571428573" r="311">
      <c r="A311" s="533" t="s">
        <v>727</v>
      </c>
      <c r="B311" s="515">
        <v>46297</v>
      </c>
      <c r="C311" s="533" t="str">
        <v>Friday</v>
      </c>
      <c r="D311" s="624" t="s">
        <v>725</v>
      </c>
      <c r="E311" s="510">
        <f t="shared" si="99"/>
      </c>
      <c r="F311" s="510" t="s">
        <v>684</v>
      </c>
      <c r="G311" s="626"/>
      <c r="H311" s="510" t="s">
        <v>467</v>
      </c>
      <c r="I311" s="538" t="s">
        <v>490</v>
      </c>
      <c r="J311" s="656"/>
      <c r="K311" s="512"/>
      <c r="L311" s="512"/>
      <c r="M311" s="512"/>
      <c r="N311" s="512"/>
      <c r="O311" s="512"/>
      <c r="P311" s="512"/>
      <c r="Q311" s="512"/>
      <c r="R311" s="512"/>
    </row>
    <row customHeight="true" ht="16.071428571428573" r="312">
      <c r="A312" s="533"/>
      <c r="B312" s="515"/>
      <c r="C312" s="533"/>
      <c r="D312" s="624"/>
      <c r="E312" s="510"/>
      <c r="F312" s="534"/>
      <c r="G312" s="626"/>
      <c r="H312" s="656"/>
      <c r="I312" s="538"/>
      <c r="J312" s="506"/>
      <c r="K312" s="669"/>
      <c r="L312" s="669"/>
      <c r="M312" s="669"/>
      <c r="N312" s="669"/>
      <c r="O312" s="669"/>
      <c r="P312" s="669"/>
      <c r="Q312" s="669"/>
      <c r="R312" s="669"/>
    </row>
    <row customHeight="true" ht="28.641456582615668" r="313">
      <c r="A313" s="533" t="s">
        <v>731</v>
      </c>
      <c r="B313" s="515">
        <v>46295</v>
      </c>
      <c r="C313" s="533" t="str">
        <v>Wednesday</v>
      </c>
      <c r="D313" s="624" t="s">
        <v>732</v>
      </c>
      <c r="E313" s="510">
        <f t="shared" ref="E313:E321" si="100">24*MOD(TIMEVALUE(TRIM(MID(D313,FIND("-",D313)+1,LEN(D313)))) - TIMEVALUE(TRIM(LEFT(D313,FIND("-",D313)-1))),1)</f>
      </c>
      <c r="F313" s="534" t="s">
        <v>726</v>
      </c>
      <c r="G313" s="626" t="s">
        <v>733</v>
      </c>
      <c r="H313" s="656"/>
      <c r="I313" s="538"/>
      <c r="J313" s="506"/>
      <c r="K313" s="669"/>
      <c r="L313" s="669"/>
      <c r="M313" s="669"/>
      <c r="N313" s="669"/>
      <c r="O313" s="669"/>
      <c r="P313" s="669"/>
      <c r="Q313" s="669"/>
      <c r="R313" s="669"/>
    </row>
    <row customHeight="true" ht="28.571428571428573" r="314">
      <c r="A314" s="533" t="s">
        <v>731</v>
      </c>
      <c r="B314" s="515">
        <v>46295</v>
      </c>
      <c r="C314" s="533" t="str">
        <v>Wednesday</v>
      </c>
      <c r="D314" s="624" t="s">
        <v>734</v>
      </c>
      <c r="E314" s="510">
        <f t="shared" si="100"/>
      </c>
      <c r="F314" s="617" t="s">
        <v>735</v>
      </c>
      <c r="G314" s="626" t="s">
        <v>736</v>
      </c>
      <c r="H314" s="656"/>
      <c r="I314" s="538"/>
      <c r="J314" s="506"/>
      <c r="K314" s="669"/>
      <c r="L314" s="669"/>
      <c r="M314" s="669"/>
      <c r="N314" s="669"/>
      <c r="O314" s="669"/>
      <c r="P314" s="669"/>
      <c r="Q314" s="669"/>
      <c r="R314" s="669"/>
    </row>
    <row customHeight="true" ht="28.571428571428573" r="315">
      <c r="A315" s="533" t="s">
        <v>731</v>
      </c>
      <c r="B315" s="515">
        <v>46295</v>
      </c>
      <c r="C315" s="533" t="str">
        <v>Wednesday</v>
      </c>
      <c r="D315" s="624" t="s">
        <v>737</v>
      </c>
      <c r="E315" s="510">
        <f t="shared" si="100"/>
      </c>
      <c r="F315" s="510" t="s">
        <v>684</v>
      </c>
      <c r="G315" s="626" t="s">
        <v>738</v>
      </c>
      <c r="H315" s="656"/>
      <c r="I315" s="538"/>
      <c r="J315" s="506"/>
      <c r="K315" s="669"/>
      <c r="L315" s="669"/>
      <c r="M315" s="669"/>
      <c r="N315" s="669"/>
      <c r="O315" s="669"/>
      <c r="P315" s="669"/>
      <c r="Q315" s="669"/>
      <c r="R315" s="669"/>
    </row>
    <row customHeight="true" ht="28.571428571428573" r="316">
      <c r="A316" s="533" t="s">
        <v>731</v>
      </c>
      <c r="B316" s="515">
        <v>46296</v>
      </c>
      <c r="C316" s="533" t="str">
        <v>Thursday</v>
      </c>
      <c r="D316" s="624" t="s">
        <v>739</v>
      </c>
      <c r="E316" s="510">
        <f t="shared" si="100"/>
      </c>
      <c r="F316" s="534" t="s">
        <v>726</v>
      </c>
      <c r="G316" s="626" t="s">
        <v>740</v>
      </c>
      <c r="H316" s="656"/>
      <c r="I316" s="538"/>
      <c r="J316" s="506"/>
      <c r="K316" s="669"/>
      <c r="L316" s="669"/>
      <c r="M316" s="669"/>
      <c r="N316" s="669"/>
      <c r="O316" s="669"/>
      <c r="P316" s="669"/>
      <c r="Q316" s="669"/>
      <c r="R316" s="669"/>
    </row>
    <row customHeight="true" ht="28.571428571428573" r="317">
      <c r="A317" s="533" t="s">
        <v>731</v>
      </c>
      <c r="B317" s="515">
        <v>46296</v>
      </c>
      <c r="C317" s="533" t="str">
        <v>Thursday</v>
      </c>
      <c r="D317" s="624" t="s">
        <v>739</v>
      </c>
      <c r="E317" s="510">
        <f t="shared" si="100"/>
      </c>
      <c r="F317" s="510" t="s">
        <v>613</v>
      </c>
      <c r="G317" s="626"/>
      <c r="H317" s="656"/>
      <c r="I317" s="538"/>
      <c r="J317" s="506"/>
      <c r="K317" s="669"/>
      <c r="L317" s="669"/>
      <c r="M317" s="669"/>
      <c r="N317" s="669"/>
      <c r="O317" s="669"/>
      <c r="P317" s="669"/>
      <c r="Q317" s="669"/>
      <c r="R317" s="669"/>
    </row>
    <row customHeight="true" ht="28.571428571428573" r="318">
      <c r="A318" s="533" t="s">
        <v>731</v>
      </c>
      <c r="B318" s="515">
        <v>46297</v>
      </c>
      <c r="C318" s="533" t="str">
        <v>Friday</v>
      </c>
      <c r="D318" s="624" t="s">
        <v>741</v>
      </c>
      <c r="E318" s="510">
        <f t="shared" si="100"/>
      </c>
      <c r="F318" s="534" t="s">
        <v>726</v>
      </c>
      <c r="G318" s="626"/>
      <c r="H318" s="656"/>
      <c r="I318" s="538"/>
      <c r="J318" s="506"/>
      <c r="K318" s="669"/>
      <c r="L318" s="669"/>
      <c r="M318" s="669"/>
      <c r="N318" s="669"/>
      <c r="O318" s="669"/>
      <c r="P318" s="669"/>
      <c r="Q318" s="669"/>
      <c r="R318" s="669"/>
    </row>
    <row customHeight="true" ht="16.071428571428573" r="319">
      <c r="A319" s="533" t="s">
        <v>731</v>
      </c>
      <c r="B319" s="515">
        <v>46293</v>
      </c>
      <c r="C319" s="533" t="str">
        <v>Monday</v>
      </c>
      <c r="D319" s="624" t="s">
        <v>742</v>
      </c>
      <c r="E319" s="510">
        <f t="shared" si="100"/>
      </c>
      <c r="F319" s="508" t="s">
        <v>743</v>
      </c>
      <c r="G319" s="626" t="s">
        <v>744</v>
      </c>
      <c r="H319" s="510" t="s">
        <v>467</v>
      </c>
      <c r="I319" s="538" t="s">
        <v>468</v>
      </c>
      <c r="J319" s="506"/>
      <c r="K319" s="669"/>
      <c r="L319" s="669"/>
      <c r="M319" s="669"/>
      <c r="N319" s="669"/>
      <c r="O319" s="669"/>
      <c r="P319" s="669"/>
      <c r="Q319" s="669"/>
      <c r="R319" s="669"/>
    </row>
    <row customHeight="true" ht="16.071428571428573" r="320">
      <c r="A320" s="533" t="s">
        <v>731</v>
      </c>
      <c r="B320" s="515">
        <v>46295</v>
      </c>
      <c r="C320" s="533" t="str">
        <v>Wednesday</v>
      </c>
      <c r="D320" s="624" t="s">
        <v>745</v>
      </c>
      <c r="E320" s="510">
        <f t="shared" si="100"/>
      </c>
      <c r="F320" s="508" t="s">
        <v>743</v>
      </c>
      <c r="G320" s="626" t="s">
        <v>719</v>
      </c>
      <c r="H320" s="656"/>
      <c r="I320" s="538"/>
      <c r="J320" s="506"/>
      <c r="K320" s="669"/>
      <c r="L320" s="669"/>
      <c r="M320" s="669"/>
      <c r="N320" s="669"/>
      <c r="O320" s="669"/>
      <c r="P320" s="669"/>
      <c r="Q320" s="669"/>
      <c r="R320" s="669"/>
    </row>
    <row customHeight="true" ht="16.071428571428573" r="321">
      <c r="A321" s="533" t="s">
        <v>731</v>
      </c>
      <c r="B321" s="515">
        <v>46295</v>
      </c>
      <c r="C321" s="533" t="str">
        <v>Wednesday</v>
      </c>
      <c r="D321" s="624" t="s">
        <v>745</v>
      </c>
      <c r="E321" s="510">
        <f t="shared" si="100"/>
      </c>
      <c r="F321" s="510" t="s">
        <v>684</v>
      </c>
      <c r="G321" s="626"/>
      <c r="H321" s="656"/>
      <c r="I321" s="603"/>
      <c r="J321" s="506"/>
      <c r="K321" s="512"/>
      <c r="L321" s="512"/>
      <c r="M321" s="512"/>
      <c r="N321" s="512"/>
      <c r="O321" s="512"/>
      <c r="P321" s="512"/>
      <c r="Q321" s="512"/>
      <c r="R321" s="512"/>
    </row>
    <row customHeight="true" ht="16.071428571428573" r="322">
      <c r="A322" s="586"/>
      <c r="B322" s="749"/>
      <c r="C322" s="586"/>
      <c r="D322" s="624"/>
      <c r="E322" s="624"/>
      <c r="F322" s="656"/>
      <c r="G322" s="626"/>
      <c r="H322" s="656"/>
      <c r="I322" s="522"/>
      <c r="J322" s="656"/>
      <c r="K322" s="512"/>
      <c r="L322" s="512"/>
      <c r="M322" s="512"/>
      <c r="N322" s="512"/>
      <c r="O322" s="512"/>
      <c r="P322" s="512"/>
      <c r="Q322" s="512"/>
      <c r="R322" s="512"/>
    </row>
    <row customHeight="true" ht="35.224228580930884" r="323">
      <c r="A323" s="750" t="s">
        <v>746</v>
      </c>
      <c r="B323" s="690"/>
      <c r="C323" s="690"/>
      <c r="D323" s="690"/>
      <c r="E323" s="751"/>
      <c r="F323" s="690"/>
      <c r="G323" s="751"/>
      <c r="H323" s="690"/>
      <c r="I323" s="690"/>
      <c r="J323" s="692"/>
      <c r="K323" s="693"/>
      <c r="L323" s="693"/>
      <c r="M323" s="693"/>
      <c r="N323" s="693"/>
      <c r="O323" s="693"/>
      <c r="P323" s="693"/>
      <c r="Q323" s="752"/>
      <c r="R323" s="752"/>
    </row>
    <row customHeight="true" ht="39.285714285714285" r="324">
      <c r="A324" s="694" t="s">
        <v>478</v>
      </c>
      <c r="B324" s="695" t="s">
        <v>479</v>
      </c>
      <c r="C324" s="695"/>
      <c r="D324" s="696" t="s">
        <v>480</v>
      </c>
      <c r="E324" s="697" t="s">
        <v>481</v>
      </c>
      <c r="F324" s="697" t="s">
        <v>482</v>
      </c>
      <c r="G324" s="753" t="s">
        <v>495</v>
      </c>
      <c r="H324" s="699" t="s">
        <v>484</v>
      </c>
      <c r="I324" s="699" t="s">
        <v>485</v>
      </c>
      <c r="J324" s="700" t="s">
        <v>486</v>
      </c>
      <c r="K324" s="701"/>
      <c r="L324" s="701"/>
      <c r="M324" s="701"/>
      <c r="N324" s="701"/>
      <c r="O324" s="701"/>
      <c r="P324" s="701"/>
      <c r="Q324" s="752"/>
      <c r="R324" s="752"/>
    </row>
    <row customHeight="true" ht="16.071428571428573" r="325">
      <c r="A325" s="586" t="s">
        <v>747</v>
      </c>
      <c r="B325" s="659"/>
      <c r="C325" s="732"/>
      <c r="D325" s="733"/>
      <c r="E325" s="734"/>
      <c r="F325" s="508"/>
      <c r="G325" s="510"/>
      <c r="H325" s="656"/>
      <c r="I325" s="538"/>
      <c r="J325" s="624"/>
      <c r="K325" s="512"/>
      <c r="L325" s="512"/>
      <c r="M325" s="512"/>
      <c r="N325" s="512"/>
      <c r="O325" s="512"/>
      <c r="P325" s="512"/>
      <c r="Q325" s="512"/>
      <c r="R325" s="512"/>
    </row>
    <row customHeight="true" ht="16.071428571428573" r="326">
      <c r="A326" s="586"/>
      <c r="B326" s="659"/>
      <c r="C326" s="732"/>
      <c r="D326" s="733"/>
      <c r="E326" s="734"/>
      <c r="F326" s="508"/>
      <c r="G326" s="510"/>
      <c r="H326" s="656"/>
      <c r="I326" s="538"/>
      <c r="J326" s="624"/>
      <c r="K326" s="512"/>
      <c r="L326" s="512"/>
      <c r="M326" s="512"/>
      <c r="N326" s="512"/>
      <c r="O326" s="512"/>
      <c r="P326" s="512"/>
      <c r="Q326" s="512"/>
      <c r="R326" s="512"/>
    </row>
    <row customHeight="true" ht="16.071428571428573" r="327">
      <c r="A327" s="586"/>
      <c r="B327" s="659"/>
      <c r="C327" s="732"/>
      <c r="D327" s="733"/>
      <c r="E327" s="734"/>
      <c r="F327" s="508"/>
      <c r="G327" s="510"/>
      <c r="H327" s="656"/>
      <c r="I327" s="538"/>
      <c r="J327" s="624"/>
      <c r="K327" s="512"/>
      <c r="L327" s="512"/>
      <c r="M327" s="512"/>
      <c r="N327" s="512"/>
      <c r="O327" s="512"/>
      <c r="P327" s="512"/>
      <c r="Q327" s="512"/>
      <c r="R327" s="512"/>
    </row>
    <row customHeight="true" ht="41.001400560203585" r="328">
      <c r="A328" s="754" t="s">
        <v>748</v>
      </c>
      <c r="B328" s="754" t="s">
        <v>723</v>
      </c>
      <c r="C328" s="556"/>
      <c r="D328" s="558"/>
      <c r="E328" s="559"/>
      <c r="F328" s="559"/>
      <c r="G328" s="560"/>
      <c r="H328" s="559"/>
      <c r="I328" s="559"/>
      <c r="J328" s="562"/>
      <c r="K328" s="755"/>
      <c r="L328" s="755"/>
      <c r="M328" s="755"/>
      <c r="N328" s="755"/>
      <c r="O328" s="755"/>
      <c r="P328" s="755"/>
      <c r="Q328" s="756"/>
      <c r="R328" s="756"/>
    </row>
    <row customHeight="true" ht="40.10123434465338" r="329">
      <c r="A329" s="757" t="s">
        <v>478</v>
      </c>
      <c r="B329" s="758" t="s">
        <v>479</v>
      </c>
      <c r="C329" s="758"/>
      <c r="D329" s="759" t="s">
        <v>480</v>
      </c>
      <c r="E329" s="760" t="s">
        <v>481</v>
      </c>
      <c r="F329" s="760" t="s">
        <v>482</v>
      </c>
      <c r="G329" s="761" t="s">
        <v>495</v>
      </c>
      <c r="H329" s="760" t="s">
        <v>484</v>
      </c>
      <c r="I329" s="760" t="s">
        <v>485</v>
      </c>
      <c r="J329" s="762" t="s">
        <v>486</v>
      </c>
      <c r="K329" s="763"/>
      <c r="L329" s="763"/>
      <c r="M329" s="763"/>
      <c r="N329" s="763"/>
      <c r="O329" s="763"/>
      <c r="P329" s="763"/>
      <c r="Q329" s="756"/>
      <c r="R329" s="756"/>
    </row>
    <row customHeight="true" ht="16.071428571428573" r="330">
      <c r="A330" s="586" t="s">
        <v>748</v>
      </c>
      <c r="B330" s="659">
        <v>46293</v>
      </c>
      <c r="C330" s="732" t="str">
        <v>Monday</v>
      </c>
      <c r="D330" s="624" t="s">
        <v>661</v>
      </c>
      <c r="E330" s="510">
        <f t="shared" ref="E330:E332" si="101">24*MOD(TIMEVALUE(TRIM(MID(D330,FIND("-",D330)+1,LEN(D330)))) - TIMEVALUE(TRIM(LEFT(D330,FIND("-",D330)-1))),1)</f>
      </c>
      <c r="F330" s="510" t="s">
        <v>657</v>
      </c>
      <c r="G330" s="510" t="s">
        <v>684</v>
      </c>
      <c r="H330" s="656" t="s">
        <v>467</v>
      </c>
      <c r="I330" s="656" t="s">
        <v>468</v>
      </c>
      <c r="J330" s="622"/>
      <c r="K330" s="512"/>
      <c r="L330" s="512"/>
      <c r="M330" s="512"/>
      <c r="N330" s="512"/>
      <c r="O330" s="512"/>
      <c r="P330" s="512"/>
    </row>
    <row customHeight="true" ht="16.071428571428573" r="331">
      <c r="A331" s="647" t="s">
        <v>748</v>
      </c>
      <c r="B331" s="764">
        <v>46295</v>
      </c>
      <c r="C331" s="765" t="str">
        <v>Wednesday</v>
      </c>
      <c r="D331" s="648" t="s">
        <v>661</v>
      </c>
      <c r="E331" s="649">
        <f t="shared" si="101"/>
      </c>
      <c r="F331" s="649" t="s">
        <v>657</v>
      </c>
      <c r="G331" s="649" t="s">
        <v>684</v>
      </c>
      <c r="H331" s="649" t="s">
        <v>467</v>
      </c>
      <c r="I331" s="649" t="s">
        <v>468</v>
      </c>
      <c r="J331" s="721" t="s">
        <v>749</v>
      </c>
      <c r="K331" s="706"/>
      <c r="L331" s="706"/>
      <c r="M331" s="706"/>
      <c r="N331" s="706"/>
      <c r="O331" s="706"/>
      <c r="P331" s="706"/>
      <c r="Q331" s="653"/>
      <c r="R331" s="653"/>
    </row>
    <row customHeight="true" ht="16.071428571428573" r="332">
      <c r="A332" s="647" t="s">
        <v>748</v>
      </c>
      <c r="B332" s="646">
        <v>46297</v>
      </c>
      <c r="C332" s="647" t="str">
        <v>Friday</v>
      </c>
      <c r="D332" s="648" t="s">
        <v>721</v>
      </c>
      <c r="E332" s="649">
        <f t="shared" si="101"/>
      </c>
      <c r="F332" s="766" t="s">
        <v>607</v>
      </c>
      <c r="G332" s="649" t="s">
        <v>684</v>
      </c>
      <c r="H332" s="649" t="s">
        <v>467</v>
      </c>
      <c r="I332" s="649" t="s">
        <v>468</v>
      </c>
      <c r="J332" s="721"/>
      <c r="K332" s="706"/>
      <c r="L332" s="706"/>
      <c r="M332" s="706"/>
      <c r="N332" s="706"/>
      <c r="O332" s="706"/>
      <c r="P332" s="706"/>
      <c r="Q332" s="653"/>
      <c r="R332" s="653"/>
    </row>
    <row customHeight="true" ht="16.071428571428573" r="333">
      <c r="A333" s="533"/>
      <c r="B333" s="515"/>
      <c r="C333" s="586"/>
      <c r="D333" s="506"/>
      <c r="E333" s="541"/>
      <c r="F333" s="510"/>
      <c r="G333" s="510"/>
      <c r="H333" s="656"/>
      <c r="I333" s="656"/>
      <c r="J333" s="622"/>
      <c r="K333" s="512"/>
      <c r="L333" s="512"/>
      <c r="M333" s="512"/>
      <c r="N333" s="512"/>
      <c r="O333" s="512"/>
      <c r="P333" s="512"/>
    </row>
    <row customHeight="true" ht="16.071428571428573" r="334">
      <c r="A334" s="586" t="s">
        <v>750</v>
      </c>
      <c r="B334" s="659">
        <v>46293</v>
      </c>
      <c r="C334" s="732" t="str">
        <v>Monday</v>
      </c>
      <c r="D334" s="624" t="s">
        <v>606</v>
      </c>
      <c r="E334" s="510">
        <f t="shared" ref="E334:E336" si="102">24*MOD(TIMEVALUE(TRIM(MID(D334,FIND("-",D334)+1,LEN(D334)))) - TIMEVALUE(TRIM(LEFT(D334,FIND("-",D334)-1))),1)</f>
      </c>
      <c r="F334" s="510" t="s">
        <v>751</v>
      </c>
      <c r="G334" s="626"/>
      <c r="H334" s="656" t="s">
        <v>467</v>
      </c>
      <c r="I334" s="656" t="s">
        <v>468</v>
      </c>
      <c r="J334" s="622"/>
      <c r="K334" s="512"/>
      <c r="L334" s="512"/>
      <c r="M334" s="512"/>
      <c r="N334" s="512"/>
      <c r="O334" s="512"/>
      <c r="P334" s="512"/>
    </row>
    <row customHeight="true" ht="16.071428571428573" r="335">
      <c r="A335" s="647" t="s">
        <v>750</v>
      </c>
      <c r="B335" s="646">
        <v>46297</v>
      </c>
      <c r="C335" s="647" t="str">
        <v>Friday</v>
      </c>
      <c r="D335" s="648" t="s">
        <v>739</v>
      </c>
      <c r="E335" s="649">
        <f t="shared" si="102"/>
      </c>
      <c r="F335" s="649" t="s">
        <v>751</v>
      </c>
      <c r="G335" s="704"/>
      <c r="H335" s="649" t="s">
        <v>467</v>
      </c>
      <c r="I335" s="649" t="s">
        <v>468</v>
      </c>
      <c r="J335" s="721"/>
      <c r="K335" s="706"/>
      <c r="L335" s="706"/>
      <c r="M335" s="706"/>
      <c r="N335" s="706"/>
      <c r="O335" s="706"/>
      <c r="P335" s="706"/>
      <c r="Q335" s="653"/>
      <c r="R335" s="653"/>
    </row>
    <row customHeight="true" ht="16.071428571428573" r="336">
      <c r="A336" s="647" t="s">
        <v>752</v>
      </c>
      <c r="B336" s="646">
        <v>46297</v>
      </c>
      <c r="C336" s="647" t="str">
        <v>Friday</v>
      </c>
      <c r="D336" s="648" t="s">
        <v>739</v>
      </c>
      <c r="E336" s="649">
        <f t="shared" si="102"/>
      </c>
      <c r="F336" s="649" t="s">
        <v>657</v>
      </c>
      <c r="G336" s="766"/>
      <c r="H336" s="649" t="s">
        <v>467</v>
      </c>
      <c r="I336" s="649" t="s">
        <v>468</v>
      </c>
      <c r="J336" s="721"/>
      <c r="K336" s="706"/>
      <c r="L336" s="706"/>
      <c r="M336" s="706"/>
      <c r="N336" s="706"/>
      <c r="O336" s="706"/>
      <c r="P336" s="706"/>
      <c r="Q336" s="653"/>
      <c r="R336" s="653"/>
    </row>
    <row customHeight="true" ht="16.071428571428573" r="337">
      <c r="A337" s="586"/>
      <c r="B337" s="515"/>
      <c r="C337" s="533"/>
      <c r="D337" s="624"/>
      <c r="E337" s="510"/>
      <c r="F337" s="510"/>
      <c r="G337" s="625"/>
      <c r="H337" s="656"/>
      <c r="I337" s="656"/>
      <c r="J337" s="622"/>
      <c r="K337" s="512"/>
      <c r="L337" s="512"/>
      <c r="M337" s="512"/>
      <c r="N337" s="512"/>
      <c r="O337" s="512"/>
      <c r="P337" s="512"/>
    </row>
    <row customHeight="true" ht="16.071428571428573" r="338">
      <c r="A338" s="586" t="s">
        <v>753</v>
      </c>
      <c r="B338" s="659">
        <v>46293</v>
      </c>
      <c r="C338" s="732" t="str">
        <v>Monday</v>
      </c>
      <c r="D338" s="624" t="s">
        <v>754</v>
      </c>
      <c r="E338" s="510">
        <f t="shared" ref="E338:E340" si="103">24*MOD(TIMEVALUE(TRIM(MID(D338,FIND("-",D338)+1,LEN(D338)))) - TIMEVALUE(TRIM(LEFT(D338,FIND("-",D338)-1))),1)</f>
      </c>
      <c r="F338" s="510" t="s">
        <v>684</v>
      </c>
      <c r="G338" s="510"/>
      <c r="H338" s="656" t="s">
        <v>467</v>
      </c>
      <c r="I338" s="656" t="s">
        <v>468</v>
      </c>
      <c r="J338" s="622"/>
      <c r="K338" s="512"/>
      <c r="L338" s="512"/>
      <c r="M338" s="512"/>
      <c r="N338" s="512"/>
      <c r="O338" s="512"/>
      <c r="P338" s="512"/>
    </row>
    <row customHeight="true" ht="16.071428571428573" r="339">
      <c r="A339" s="647" t="s">
        <v>753</v>
      </c>
      <c r="B339" s="764">
        <v>46295</v>
      </c>
      <c r="C339" s="765" t="str">
        <v>Wednesday</v>
      </c>
      <c r="D339" s="648" t="s">
        <v>754</v>
      </c>
      <c r="E339" s="649">
        <f t="shared" si="103"/>
      </c>
      <c r="F339" s="649" t="s">
        <v>684</v>
      </c>
      <c r="G339" s="704"/>
      <c r="H339" s="649" t="s">
        <v>467</v>
      </c>
      <c r="I339" s="649" t="s">
        <v>468</v>
      </c>
      <c r="J339" s="721"/>
      <c r="K339" s="706"/>
      <c r="L339" s="706"/>
      <c r="M339" s="706"/>
      <c r="N339" s="706"/>
      <c r="O339" s="706"/>
      <c r="P339" s="706"/>
      <c r="Q339" s="653"/>
      <c r="R339" s="653"/>
    </row>
    <row customHeight="true" ht="16.071428571428573" r="340">
      <c r="A340" s="647" t="s">
        <v>753</v>
      </c>
      <c r="B340" s="646">
        <v>46297</v>
      </c>
      <c r="C340" s="647" t="str">
        <v>Friday</v>
      </c>
      <c r="D340" s="648" t="s">
        <v>755</v>
      </c>
      <c r="E340" s="649">
        <f t="shared" si="103"/>
      </c>
      <c r="F340" s="649" t="s">
        <v>684</v>
      </c>
      <c r="G340" s="704"/>
      <c r="H340" s="649" t="s">
        <v>467</v>
      </c>
      <c r="I340" s="649" t="s">
        <v>468</v>
      </c>
      <c r="J340" s="721" t="s">
        <v>756</v>
      </c>
      <c r="K340" s="706"/>
      <c r="L340" s="706"/>
      <c r="M340" s="706"/>
      <c r="N340" s="706"/>
      <c r="O340" s="706"/>
      <c r="P340" s="706"/>
      <c r="Q340" s="653"/>
      <c r="R340" s="653"/>
    </row>
    <row customHeight="true" ht="16.071428571428573" r="341">
      <c r="A341" s="533"/>
      <c r="B341" s="515"/>
      <c r="C341" s="533"/>
      <c r="D341" s="624"/>
      <c r="E341" s="510"/>
      <c r="F341" s="510"/>
      <c r="G341" s="617"/>
      <c r="H341" s="656"/>
      <c r="I341" s="656"/>
      <c r="J341" s="622"/>
      <c r="K341" s="512"/>
      <c r="L341" s="512"/>
      <c r="M341" s="512"/>
      <c r="N341" s="512"/>
      <c r="O341" s="512"/>
      <c r="P341" s="512"/>
    </row>
    <row customHeight="true" ht="16.071428571428573" r="342">
      <c r="A342" s="586" t="s">
        <v>750</v>
      </c>
      <c r="B342" s="659">
        <v>46293</v>
      </c>
      <c r="C342" s="732" t="str">
        <v>Monday</v>
      </c>
      <c r="D342" s="624" t="s">
        <v>529</v>
      </c>
      <c r="E342" s="510">
        <f t="shared" ref="E342:E343" si="104">24*MOD(TIMEVALUE(TRIM(MID(D342,FIND("-",D342)+1,LEN(D342)))) - TIMEVALUE(TRIM(LEFT(D342,FIND("-",D342)-1))),1)</f>
      </c>
      <c r="F342" s="625" t="s">
        <v>625</v>
      </c>
      <c r="G342" s="617"/>
      <c r="H342" s="656" t="s">
        <v>467</v>
      </c>
      <c r="I342" s="656" t="s">
        <v>468</v>
      </c>
      <c r="J342" s="622"/>
      <c r="K342" s="512"/>
      <c r="L342" s="512"/>
      <c r="M342" s="512"/>
      <c r="N342" s="512"/>
      <c r="O342" s="512"/>
      <c r="P342" s="512"/>
    </row>
    <row customHeight="true" ht="16.071428571428573" r="343">
      <c r="A343" s="586" t="s">
        <v>750</v>
      </c>
      <c r="B343" s="515">
        <v>46295</v>
      </c>
      <c r="C343" s="533" t="str">
        <v>Wednesday</v>
      </c>
      <c r="D343" s="624" t="s">
        <v>606</v>
      </c>
      <c r="E343" s="510">
        <f t="shared" si="104"/>
      </c>
      <c r="F343" s="510" t="s">
        <v>657</v>
      </c>
      <c r="G343" s="614"/>
      <c r="H343" s="656" t="s">
        <v>467</v>
      </c>
      <c r="I343" s="656" t="s">
        <v>468</v>
      </c>
      <c r="J343" s="622"/>
      <c r="K343" s="512"/>
      <c r="L343" s="512"/>
      <c r="M343" s="512"/>
      <c r="N343" s="512"/>
      <c r="O343" s="512"/>
      <c r="P343" s="512"/>
    </row>
    <row customHeight="true" ht="16.071428571428573" r="344">
      <c r="A344" s="533"/>
      <c r="B344" s="515"/>
      <c r="C344" s="533"/>
      <c r="D344" s="624"/>
      <c r="E344" s="510"/>
      <c r="F344" s="510"/>
      <c r="G344" s="614"/>
      <c r="H344" s="656"/>
      <c r="I344" s="656"/>
      <c r="J344" s="615"/>
      <c r="K344" s="512"/>
      <c r="L344" s="512"/>
      <c r="M344" s="512"/>
      <c r="N344" s="512"/>
      <c r="O344" s="512"/>
      <c r="P344" s="512"/>
    </row>
    <row customHeight="true" ht="16.071428571428573" r="345">
      <c r="A345" s="533"/>
      <c r="B345" s="515"/>
      <c r="C345" s="533"/>
      <c r="D345" s="624"/>
      <c r="E345" s="510"/>
      <c r="F345" s="510"/>
      <c r="G345" s="617"/>
      <c r="H345" s="656"/>
      <c r="I345" s="656"/>
      <c r="J345" s="615"/>
      <c r="K345" s="512"/>
      <c r="L345" s="512"/>
      <c r="M345" s="512"/>
      <c r="N345" s="512"/>
      <c r="O345" s="512"/>
      <c r="P345" s="512"/>
    </row>
    <row customHeight="true" ht="16.071428571428573" r="346">
      <c r="A346" s="533"/>
      <c r="B346" s="515"/>
      <c r="C346" s="533"/>
      <c r="D346" s="624"/>
      <c r="E346" s="510"/>
      <c r="F346" s="510"/>
      <c r="G346" s="617"/>
      <c r="H346" s="656"/>
      <c r="I346" s="656"/>
      <c r="J346" s="615"/>
      <c r="K346" s="512"/>
      <c r="L346" s="512"/>
      <c r="M346" s="512"/>
      <c r="N346" s="512"/>
      <c r="O346" s="512"/>
      <c r="P346" s="512"/>
    </row>
    <row customHeight="true" ht="41.666305271490145" r="347">
      <c r="A347" s="767" t="s">
        <v>757</v>
      </c>
      <c r="B347" s="768"/>
      <c r="C347" s="768"/>
      <c r="D347" s="768"/>
      <c r="E347" s="769"/>
      <c r="F347" s="768"/>
      <c r="G347" s="769"/>
      <c r="H347" s="768"/>
      <c r="I347" s="768"/>
      <c r="J347" s="770"/>
      <c r="K347" s="771"/>
      <c r="L347" s="771"/>
      <c r="M347" s="771"/>
      <c r="N347" s="771"/>
      <c r="O347" s="771"/>
      <c r="P347" s="771"/>
      <c r="Q347" s="772"/>
      <c r="R347" s="772"/>
    </row>
    <row customHeight="true" ht="30.357142857142858" r="348">
      <c r="A348" s="773" t="s">
        <v>478</v>
      </c>
      <c r="B348" s="774" t="s">
        <v>479</v>
      </c>
      <c r="C348" s="774"/>
      <c r="D348" s="775" t="s">
        <v>480</v>
      </c>
      <c r="E348" s="776" t="s">
        <v>481</v>
      </c>
      <c r="F348" s="776" t="s">
        <v>482</v>
      </c>
      <c r="G348" s="777" t="s">
        <v>495</v>
      </c>
      <c r="H348" s="778" t="s">
        <v>484</v>
      </c>
      <c r="I348" s="778" t="s">
        <v>485</v>
      </c>
      <c r="J348" s="779" t="s">
        <v>486</v>
      </c>
      <c r="K348" s="780"/>
      <c r="L348" s="780"/>
      <c r="M348" s="780"/>
      <c r="N348" s="780"/>
      <c r="O348" s="780"/>
      <c r="P348" s="780"/>
      <c r="Q348" s="772"/>
      <c r="R348" s="772"/>
    </row>
    <row customHeight="true" ht="16.071428571428573" r="349">
      <c r="A349" s="533" t="s">
        <v>758</v>
      </c>
      <c r="B349" s="515">
        <v>46296</v>
      </c>
      <c r="C349" s="533" t="str">
        <v>Thursday</v>
      </c>
      <c r="D349" s="624" t="s">
        <v>759</v>
      </c>
      <c r="E349" s="510">
        <f t="shared" ref="E349:E353" si="105">24*MOD(TIMEVALUE(TRIM(MID(D349,FIND("-",D349)+1,LEN(D349)))) - TIMEVALUE(TRIM(LEFT(D349,FIND("-",D349)-1))),1)</f>
      </c>
      <c r="F349" s="510" t="s">
        <v>607</v>
      </c>
      <c r="G349" s="510" t="s">
        <v>684</v>
      </c>
      <c r="H349" s="656" t="s">
        <v>467</v>
      </c>
      <c r="I349" s="656" t="s">
        <v>468</v>
      </c>
      <c r="J349" s="781"/>
      <c r="K349" s="512"/>
      <c r="L349" s="512"/>
      <c r="M349" s="512"/>
      <c r="N349" s="512"/>
      <c r="O349" s="512"/>
      <c r="P349" s="512"/>
      <c r="Q349" s="564"/>
      <c r="R349" s="564"/>
    </row>
    <row customHeight="true" ht="16.071428571428573" r="350">
      <c r="A350" s="533" t="s">
        <v>758</v>
      </c>
      <c r="B350" s="515">
        <v>46299</v>
      </c>
      <c r="C350" s="533" t="str">
        <v>Sunday</v>
      </c>
      <c r="D350" s="624" t="s">
        <v>661</v>
      </c>
      <c r="E350" s="510">
        <f t="shared" si="105"/>
      </c>
      <c r="F350" s="538" t="s">
        <v>558</v>
      </c>
      <c r="G350" s="626" t="s">
        <v>760</v>
      </c>
      <c r="H350" s="656" t="s">
        <v>467</v>
      </c>
      <c r="I350" s="656" t="s">
        <v>468</v>
      </c>
      <c r="J350" s="781"/>
      <c r="K350" s="512"/>
      <c r="L350" s="512"/>
      <c r="M350" s="512"/>
      <c r="N350" s="512"/>
      <c r="O350" s="512"/>
      <c r="P350" s="512"/>
      <c r="Q350" s="564"/>
      <c r="R350" s="564"/>
    </row>
    <row customHeight="true" ht="16.071428571428573" r="351">
      <c r="A351" s="533" t="s">
        <v>761</v>
      </c>
      <c r="B351" s="515">
        <v>46293</v>
      </c>
      <c r="C351" s="533" t="str">
        <v>Monday</v>
      </c>
      <c r="D351" s="624" t="s">
        <v>762</v>
      </c>
      <c r="E351" s="510">
        <f t="shared" si="105"/>
      </c>
      <c r="F351" s="510" t="s">
        <v>607</v>
      </c>
      <c r="G351" s="626" t="s">
        <v>763</v>
      </c>
      <c r="H351" s="656" t="s">
        <v>467</v>
      </c>
      <c r="I351" s="656" t="s">
        <v>490</v>
      </c>
      <c r="J351" s="781"/>
      <c r="K351" s="512"/>
      <c r="L351" s="512"/>
      <c r="M351" s="512"/>
      <c r="N351" s="512"/>
      <c r="O351" s="512"/>
      <c r="P351" s="512"/>
      <c r="Q351" s="564"/>
      <c r="R351" s="564"/>
    </row>
    <row customHeight="true" ht="16.071428571428573" r="352">
      <c r="A352" s="533" t="s">
        <v>761</v>
      </c>
      <c r="B352" s="515">
        <v>46298</v>
      </c>
      <c r="C352" s="533" t="str">
        <v>Saturday</v>
      </c>
      <c r="D352" s="624" t="s">
        <v>764</v>
      </c>
      <c r="E352" s="510">
        <f t="shared" si="105"/>
      </c>
      <c r="F352" s="538" t="s">
        <v>558</v>
      </c>
      <c r="G352" s="626"/>
      <c r="H352" s="656" t="s">
        <v>467</v>
      </c>
      <c r="I352" s="656" t="s">
        <v>490</v>
      </c>
      <c r="J352" s="622"/>
      <c r="K352" s="512"/>
      <c r="L352" s="512"/>
      <c r="M352" s="512"/>
      <c r="N352" s="512"/>
      <c r="O352" s="512"/>
      <c r="P352" s="512"/>
    </row>
    <row customHeight="true" ht="16.071428571428573" r="353">
      <c r="A353" s="533" t="s">
        <v>761</v>
      </c>
      <c r="B353" s="515">
        <v>46299</v>
      </c>
      <c r="C353" s="533" t="str">
        <v>Sunday</v>
      </c>
      <c r="D353" s="624" t="s">
        <v>765</v>
      </c>
      <c r="E353" s="510">
        <f t="shared" si="105"/>
      </c>
      <c r="F353" s="538" t="s">
        <v>558</v>
      </c>
      <c r="G353" s="626" t="s">
        <v>766</v>
      </c>
      <c r="H353" s="656"/>
      <c r="I353" s="656"/>
      <c r="J353" s="622"/>
      <c r="K353" s="512"/>
      <c r="L353" s="512"/>
      <c r="M353" s="512"/>
      <c r="N353" s="512"/>
      <c r="O353" s="512"/>
      <c r="P353" s="512"/>
    </row>
    <row customHeight="true" ht="16.071428571428573" r="354">
      <c r="A354" s="533"/>
      <c r="B354" s="515"/>
      <c r="C354" s="533"/>
      <c r="D354" s="624"/>
      <c r="E354" s="510"/>
      <c r="F354" s="508"/>
      <c r="G354" s="626"/>
      <c r="H354" s="538" t="s">
        <v>467</v>
      </c>
      <c r="I354" s="538" t="s">
        <v>490</v>
      </c>
      <c r="J354" s="622"/>
      <c r="K354" s="512"/>
      <c r="L354" s="512"/>
      <c r="M354" s="512"/>
      <c r="N354" s="512"/>
      <c r="O354" s="512"/>
      <c r="P354" s="512"/>
    </row>
    <row customHeight="true" ht="16.071428571428573" r="355">
      <c r="A355" s="533" t="s">
        <v>767</v>
      </c>
      <c r="B355" s="515">
        <v>46296</v>
      </c>
      <c r="C355" s="533" t="str">
        <v>Thursday</v>
      </c>
      <c r="D355" s="624" t="s">
        <v>768</v>
      </c>
      <c r="E355" s="510">
        <f t="shared" ref="E355:E356" si="106">24*MOD(TIMEVALUE(TRIM(MID(D355,FIND("-",D355)+1,LEN(D355)))) - TIMEVALUE(TRIM(LEFT(D355,FIND("-",D355)-1))),1)</f>
      </c>
      <c r="F355" s="510" t="s">
        <v>684</v>
      </c>
      <c r="G355" s="626"/>
      <c r="H355" s="538" t="s">
        <v>467</v>
      </c>
      <c r="I355" s="538" t="s">
        <v>490</v>
      </c>
      <c r="J355" s="622"/>
      <c r="K355" s="512"/>
      <c r="L355" s="512"/>
      <c r="M355" s="512"/>
      <c r="N355" s="512"/>
      <c r="O355" s="512"/>
      <c r="P355" s="512"/>
    </row>
    <row customHeight="true" ht="16.071428571428573" r="356">
      <c r="A356" s="533" t="s">
        <v>767</v>
      </c>
      <c r="B356" s="515">
        <v>46299</v>
      </c>
      <c r="C356" s="533" t="str">
        <v>Sunday</v>
      </c>
      <c r="D356" s="624" t="s">
        <v>769</v>
      </c>
      <c r="E356" s="510">
        <f t="shared" si="106"/>
      </c>
      <c r="F356" s="626" t="s">
        <v>770</v>
      </c>
      <c r="G356" s="626"/>
      <c r="H356" s="538" t="s">
        <v>467</v>
      </c>
      <c r="I356" s="538" t="s">
        <v>490</v>
      </c>
      <c r="J356" s="622"/>
      <c r="K356" s="512"/>
      <c r="L356" s="512"/>
      <c r="M356" s="512"/>
      <c r="N356" s="512"/>
      <c r="O356" s="512"/>
      <c r="P356" s="512"/>
    </row>
    <row customHeight="true" ht="16.071428571428573" r="357">
      <c r="A357" s="533"/>
      <c r="B357" s="515"/>
      <c r="C357" s="533"/>
      <c r="D357" s="506"/>
      <c r="E357" s="541"/>
      <c r="F357" s="656"/>
      <c r="G357" s="626"/>
      <c r="H357" s="656"/>
      <c r="I357" s="656"/>
      <c r="J357" s="622"/>
      <c r="K357" s="512"/>
      <c r="L357" s="512"/>
      <c r="M357" s="512"/>
      <c r="N357" s="512"/>
      <c r="O357" s="512"/>
      <c r="P357" s="512"/>
    </row>
    <row customHeight="true" ht="16.071428571428573" r="358">
      <c r="A358" s="533" t="s">
        <v>761</v>
      </c>
      <c r="B358" s="515">
        <v>46293</v>
      </c>
      <c r="C358" s="533" t="str">
        <v>Monday</v>
      </c>
      <c r="D358" s="624" t="s">
        <v>771</v>
      </c>
      <c r="E358" s="510">
        <f t="shared" ref="E358:E360" si="107">24*MOD(TIMEVALUE(TRIM(MID(D358,FIND("-",D358)+1,LEN(D358)))) - TIMEVALUE(TRIM(LEFT(D358,FIND("-",D358)-1))),1)</f>
      </c>
      <c r="F358" s="510" t="s">
        <v>684</v>
      </c>
      <c r="G358" s="626"/>
      <c r="H358" s="538" t="s">
        <v>467</v>
      </c>
      <c r="I358" s="538" t="s">
        <v>468</v>
      </c>
      <c r="J358" s="615"/>
      <c r="K358" s="512"/>
      <c r="L358" s="512"/>
      <c r="M358" s="512"/>
      <c r="N358" s="512"/>
      <c r="O358" s="512"/>
      <c r="P358" s="512"/>
    </row>
    <row customHeight="true" ht="16.071428571428573" r="359">
      <c r="A359" s="533" t="s">
        <v>761</v>
      </c>
      <c r="B359" s="515">
        <v>46294</v>
      </c>
      <c r="C359" s="533" t="str">
        <v>Tuesday</v>
      </c>
      <c r="D359" s="624" t="s">
        <v>721</v>
      </c>
      <c r="E359" s="510">
        <f t="shared" si="107"/>
      </c>
      <c r="F359" s="510" t="s">
        <v>684</v>
      </c>
      <c r="G359" s="626"/>
      <c r="H359" s="538" t="s">
        <v>467</v>
      </c>
      <c r="I359" s="538" t="s">
        <v>490</v>
      </c>
      <c r="J359" s="615"/>
      <c r="K359" s="512"/>
      <c r="L359" s="512"/>
      <c r="M359" s="512"/>
      <c r="N359" s="512"/>
      <c r="O359" s="512"/>
      <c r="P359" s="512"/>
    </row>
    <row customHeight="true" ht="16.071428571428573" r="360">
      <c r="A360" s="533" t="s">
        <v>761</v>
      </c>
      <c r="B360" s="515">
        <v>46295</v>
      </c>
      <c r="C360" s="533" t="str">
        <v>Wednesday</v>
      </c>
      <c r="D360" s="624" t="s">
        <v>772</v>
      </c>
      <c r="E360" s="510">
        <f t="shared" si="107"/>
      </c>
      <c r="F360" s="510" t="s">
        <v>607</v>
      </c>
      <c r="G360" s="626"/>
      <c r="H360" s="538" t="s">
        <v>467</v>
      </c>
      <c r="I360" s="538"/>
      <c r="J360" s="615"/>
      <c r="K360" s="512"/>
      <c r="L360" s="512"/>
      <c r="M360" s="512"/>
      <c r="N360" s="512"/>
      <c r="O360" s="512"/>
      <c r="P360" s="512"/>
    </row>
    <row customHeight="true" ht="16.071428571428573" r="361">
      <c r="A361" s="533"/>
      <c r="B361" s="515"/>
      <c r="C361" s="533"/>
      <c r="D361" s="624"/>
      <c r="E361" s="510"/>
      <c r="F361" s="510"/>
      <c r="G361" s="626"/>
      <c r="H361" s="538" t="s">
        <v>467</v>
      </c>
      <c r="I361" s="538" t="s">
        <v>490</v>
      </c>
      <c r="J361" s="615"/>
      <c r="K361" s="512"/>
      <c r="L361" s="512"/>
      <c r="M361" s="512"/>
      <c r="N361" s="512"/>
      <c r="O361" s="512"/>
      <c r="P361" s="512"/>
    </row>
    <row customHeight="true" ht="16.071428571428573" r="362">
      <c r="A362" s="533"/>
      <c r="B362" s="533"/>
      <c r="C362" s="533"/>
      <c r="D362" s="510"/>
      <c r="E362" s="510"/>
      <c r="F362" s="510"/>
      <c r="G362" s="614"/>
      <c r="H362" s="510"/>
      <c r="I362" s="538"/>
      <c r="J362" s="615"/>
      <c r="K362" s="512"/>
      <c r="L362" s="512"/>
      <c r="M362" s="512"/>
      <c r="N362" s="512"/>
      <c r="O362" s="512"/>
      <c r="P362" s="512"/>
    </row>
    <row customHeight="true" ht="16.071428571428573" r="363">
      <c r="A363" s="533"/>
      <c r="B363" s="533"/>
      <c r="C363" s="533"/>
      <c r="D363" s="510"/>
      <c r="E363" s="510"/>
      <c r="F363" s="510"/>
      <c r="G363" s="614"/>
      <c r="H363" s="510"/>
      <c r="I363" s="538"/>
      <c r="J363" s="615"/>
      <c r="K363" s="512"/>
      <c r="L363" s="512"/>
      <c r="M363" s="512"/>
      <c r="N363" s="512"/>
      <c r="O363" s="512"/>
      <c r="P363" s="512"/>
    </row>
    <row r="364">
      <c r="A364" s="782" t="s">
        <v>773</v>
      </c>
      <c r="B364" s="782"/>
      <c r="C364" s="782"/>
      <c r="D364" s="782"/>
      <c r="E364" s="782"/>
      <c r="F364" s="782"/>
      <c r="G364" s="782"/>
      <c r="H364" s="782"/>
      <c r="I364" s="782"/>
      <c r="J364" s="783"/>
      <c r="K364" s="547"/>
      <c r="L364" s="547"/>
      <c r="M364" s="547"/>
      <c r="N364" s="547"/>
      <c r="O364" s="547"/>
      <c r="P364" s="547"/>
    </row>
    <row r="365">
      <c r="A365" s="527" t="s">
        <v>478</v>
      </c>
      <c r="B365" s="528" t="s">
        <v>479</v>
      </c>
      <c r="C365" s="528"/>
      <c r="D365" s="529" t="s">
        <v>480</v>
      </c>
      <c r="E365" s="529" t="s">
        <v>481</v>
      </c>
      <c r="F365" s="529" t="s">
        <v>482</v>
      </c>
      <c r="G365" s="784" t="s">
        <v>495</v>
      </c>
      <c r="H365" s="529" t="s">
        <v>484</v>
      </c>
      <c r="I365" s="529" t="s">
        <v>485</v>
      </c>
      <c r="J365" s="530" t="s">
        <v>486</v>
      </c>
      <c r="K365" s="532"/>
      <c r="L365" s="532"/>
      <c r="M365" s="532"/>
      <c r="N365" s="532"/>
      <c r="O365" s="532"/>
      <c r="P365" s="532"/>
    </row>
    <row customHeight="true" ht="18.452380952380953" r="366">
      <c r="A366" s="586" t="s">
        <v>773</v>
      </c>
      <c r="B366" s="515">
        <v>46293</v>
      </c>
      <c r="C366" s="586" t="str">
        <v>Monday</v>
      </c>
      <c r="D366" s="702" t="s">
        <v>721</v>
      </c>
      <c r="E366" s="656">
        <f t="shared" ref="E366:E384" si="108">24*MOD(TIMEVALUE(TRIM(MID(D366,FIND("-",D366)+1,LEN(D366)))) - TIMEVALUE(TRIM(LEFT(D366,FIND("-",D366)-1))),1)</f>
      </c>
      <c r="F366" s="534" t="s">
        <v>501</v>
      </c>
      <c r="G366" s="626"/>
      <c r="H366" s="656" t="s">
        <v>493</v>
      </c>
      <c r="I366" s="656"/>
      <c r="J366" s="676"/>
      <c r="K366" s="512"/>
      <c r="L366" s="512"/>
      <c r="M366" s="512"/>
      <c r="N366" s="512"/>
      <c r="O366" s="512"/>
      <c r="P366" s="512"/>
      <c r="Q366" s="564"/>
      <c r="R366" s="564"/>
    </row>
    <row customHeight="true" ht="18.452380952380953" r="367">
      <c r="A367" s="586" t="s">
        <v>773</v>
      </c>
      <c r="B367" s="515">
        <v>46293</v>
      </c>
      <c r="C367" s="586" t="str">
        <v>Monday</v>
      </c>
      <c r="D367" s="702" t="s">
        <v>640</v>
      </c>
      <c r="E367" s="656">
        <f t="shared" si="108"/>
      </c>
      <c r="F367" s="508" t="s">
        <v>774</v>
      </c>
      <c r="G367" s="626"/>
      <c r="H367" s="656" t="s">
        <v>493</v>
      </c>
      <c r="I367" s="656"/>
      <c r="J367" s="676"/>
      <c r="K367" s="512"/>
      <c r="L367" s="512"/>
      <c r="M367" s="512"/>
      <c r="N367" s="512"/>
      <c r="O367" s="512"/>
      <c r="P367" s="512"/>
      <c r="Q367" s="564"/>
      <c r="R367" s="564"/>
    </row>
    <row customHeight="true" ht="18.452380952380953" r="368">
      <c r="A368" s="586" t="s">
        <v>773</v>
      </c>
      <c r="B368" s="515">
        <v>46294</v>
      </c>
      <c r="C368" s="586" t="str">
        <v>Tuesday</v>
      </c>
      <c r="D368" s="702" t="s">
        <v>721</v>
      </c>
      <c r="E368" s="656">
        <f t="shared" si="108"/>
      </c>
      <c r="F368" s="534" t="s">
        <v>501</v>
      </c>
      <c r="G368" s="626"/>
      <c r="H368" s="656" t="s">
        <v>493</v>
      </c>
      <c r="I368" s="656"/>
      <c r="J368" s="676"/>
      <c r="K368" s="512"/>
      <c r="L368" s="512"/>
      <c r="M368" s="512"/>
      <c r="N368" s="512"/>
      <c r="O368" s="512"/>
      <c r="P368" s="512"/>
      <c r="Q368" s="564"/>
      <c r="R368" s="564"/>
    </row>
    <row r="369">
      <c r="A369" s="533" t="s">
        <v>773</v>
      </c>
      <c r="B369" s="515">
        <v>46295</v>
      </c>
      <c r="C369" s="533" t="str">
        <v>Wednesday</v>
      </c>
      <c r="D369" s="702" t="s">
        <v>759</v>
      </c>
      <c r="E369" s="510">
        <f t="shared" si="108"/>
      </c>
      <c r="F369" s="508" t="s">
        <v>774</v>
      </c>
      <c r="G369" s="617"/>
      <c r="H369" s="538" t="s">
        <v>493</v>
      </c>
      <c r="I369" s="538"/>
      <c r="J369" s="511"/>
      <c r="K369" s="512"/>
      <c r="L369" s="512"/>
      <c r="M369" s="512"/>
      <c r="N369" s="512"/>
      <c r="O369" s="512"/>
      <c r="P369" s="512"/>
    </row>
    <row customHeight="true" ht="18.452380952380953" r="370">
      <c r="A370" s="533" t="s">
        <v>773</v>
      </c>
      <c r="B370" s="515">
        <v>46296</v>
      </c>
      <c r="C370" s="586" t="str">
        <v>Thursday</v>
      </c>
      <c r="D370" s="702" t="s">
        <v>721</v>
      </c>
      <c r="E370" s="510">
        <f t="shared" si="108"/>
      </c>
      <c r="F370" s="534" t="s">
        <v>501</v>
      </c>
      <c r="G370" s="617"/>
      <c r="H370" s="510" t="s">
        <v>493</v>
      </c>
      <c r="I370" s="538"/>
      <c r="J370" s="536"/>
      <c r="K370" s="512"/>
      <c r="L370" s="512"/>
      <c r="M370" s="512"/>
      <c r="N370" s="512"/>
      <c r="O370" s="512"/>
      <c r="P370" s="512"/>
    </row>
    <row customHeight="true" ht="18.452380952380953" r="371">
      <c r="A371" s="647" t="s">
        <v>773</v>
      </c>
      <c r="B371" s="646">
        <v>46297</v>
      </c>
      <c r="C371" s="647" t="str">
        <v>Friday</v>
      </c>
      <c r="D371" s="648" t="s">
        <v>627</v>
      </c>
      <c r="E371" s="649">
        <f t="shared" si="108"/>
      </c>
      <c r="F371" s="785" t="s">
        <v>501</v>
      </c>
      <c r="G371" s="704"/>
      <c r="H371" s="649" t="s">
        <v>493</v>
      </c>
      <c r="I371" s="649"/>
      <c r="J371" s="786"/>
      <c r="K371" s="706"/>
      <c r="L371" s="706"/>
      <c r="M371" s="706"/>
      <c r="N371" s="706"/>
      <c r="O371" s="706"/>
      <c r="P371" s="706"/>
      <c r="Q371" s="653"/>
      <c r="R371" s="653"/>
    </row>
    <row customHeight="true" ht="18.452380952380953" r="372">
      <c r="A372" s="533" t="s">
        <v>773</v>
      </c>
      <c r="B372" s="515">
        <v>46298</v>
      </c>
      <c r="C372" s="533" t="str">
        <v>Saturday</v>
      </c>
      <c r="D372" s="702" t="s">
        <v>721</v>
      </c>
      <c r="E372" s="510">
        <f t="shared" si="108"/>
      </c>
      <c r="F372" s="534" t="s">
        <v>774</v>
      </c>
      <c r="G372" s="614"/>
      <c r="H372" s="510" t="s">
        <v>493</v>
      </c>
      <c r="I372" s="538"/>
      <c r="J372" s="536"/>
      <c r="K372" s="669"/>
      <c r="L372" s="669"/>
      <c r="M372" s="669"/>
      <c r="N372" s="669"/>
      <c r="O372" s="669"/>
      <c r="P372" s="669"/>
      <c r="Q372" s="544"/>
      <c r="R372" s="544"/>
    </row>
    <row customHeight="true" ht="18.452380952380953" r="373">
      <c r="A373" s="647" t="s">
        <v>773</v>
      </c>
      <c r="B373" s="646">
        <v>46298</v>
      </c>
      <c r="C373" s="647" t="str">
        <v>Saturday</v>
      </c>
      <c r="D373" s="719" t="s">
        <v>627</v>
      </c>
      <c r="E373" s="649">
        <f t="shared" si="108"/>
      </c>
      <c r="F373" s="785" t="s">
        <v>775</v>
      </c>
      <c r="G373" s="787"/>
      <c r="H373" s="649" t="s">
        <v>493</v>
      </c>
      <c r="I373" s="649"/>
      <c r="J373" s="786"/>
      <c r="K373" s="706"/>
      <c r="L373" s="706"/>
      <c r="M373" s="706"/>
      <c r="N373" s="706"/>
      <c r="O373" s="706"/>
      <c r="P373" s="706"/>
      <c r="Q373" s="652"/>
      <c r="R373" s="652"/>
    </row>
    <row customHeight="true" ht="18.452380952380953" r="374">
      <c r="A374" s="533" t="s">
        <v>773</v>
      </c>
      <c r="B374" s="515">
        <v>46299</v>
      </c>
      <c r="C374" s="533" t="str">
        <v>Sunday</v>
      </c>
      <c r="D374" s="702" t="s">
        <v>627</v>
      </c>
      <c r="E374" s="510">
        <f t="shared" si="108"/>
      </c>
      <c r="F374" s="534" t="s">
        <v>775</v>
      </c>
      <c r="G374" s="614"/>
      <c r="H374" s="510" t="s">
        <v>493</v>
      </c>
      <c r="I374" s="538"/>
      <c r="J374" s="536"/>
      <c r="K374" s="669"/>
      <c r="L374" s="669"/>
      <c r="M374" s="669"/>
      <c r="N374" s="669"/>
      <c r="O374" s="669"/>
      <c r="P374" s="669"/>
      <c r="Q374" s="544"/>
      <c r="R374" s="544"/>
    </row>
    <row customHeight="true" ht="18.452380952380953" r="375">
      <c r="A375" s="533" t="s">
        <v>776</v>
      </c>
      <c r="B375" s="533">
        <v>46293</v>
      </c>
      <c r="C375" s="533" t="str">
        <v>Monday</v>
      </c>
      <c r="D375" s="703" t="s">
        <v>721</v>
      </c>
      <c r="E375" s="538">
        <f t="shared" si="108"/>
      </c>
      <c r="F375" s="534" t="s">
        <v>777</v>
      </c>
      <c r="G375" s="543"/>
      <c r="H375" s="538" t="s">
        <v>493</v>
      </c>
      <c r="I375" s="538"/>
      <c r="J375" s="511"/>
      <c r="K375" s="669"/>
      <c r="L375" s="669"/>
      <c r="M375" s="669"/>
      <c r="N375" s="669"/>
      <c r="O375" s="669"/>
      <c r="P375" s="669"/>
      <c r="Q375" s="643"/>
      <c r="R375" s="643"/>
    </row>
    <row customHeight="true" ht="18.452380952380953" r="376">
      <c r="A376" s="533" t="s">
        <v>776</v>
      </c>
      <c r="B376" s="533">
        <v>46293</v>
      </c>
      <c r="C376" s="533" t="str">
        <v>Monday</v>
      </c>
      <c r="D376" s="702" t="s">
        <v>778</v>
      </c>
      <c r="E376" s="538">
        <f t="shared" si="108"/>
      </c>
      <c r="F376" s="534" t="s">
        <v>779</v>
      </c>
      <c r="G376" s="543"/>
      <c r="H376" s="538" t="s">
        <v>493</v>
      </c>
      <c r="I376" s="538"/>
      <c r="J376" s="511"/>
      <c r="K376" s="669"/>
      <c r="L376" s="669"/>
      <c r="M376" s="669"/>
      <c r="N376" s="669"/>
      <c r="O376" s="669"/>
      <c r="P376" s="669"/>
      <c r="Q376" s="643"/>
      <c r="R376" s="643"/>
    </row>
    <row r="377">
      <c r="A377" s="533" t="s">
        <v>776</v>
      </c>
      <c r="B377" s="533">
        <v>46293</v>
      </c>
      <c r="C377" s="533" t="str">
        <v>Monday</v>
      </c>
      <c r="D377" s="702" t="s">
        <v>742</v>
      </c>
      <c r="E377" s="538">
        <f t="shared" si="108"/>
      </c>
      <c r="F377" s="534" t="s">
        <v>625</v>
      </c>
      <c r="G377" s="543"/>
      <c r="H377" s="538" t="s">
        <v>493</v>
      </c>
      <c r="I377" s="538"/>
      <c r="J377" s="511"/>
      <c r="K377" s="669"/>
      <c r="L377" s="669"/>
      <c r="M377" s="669"/>
      <c r="N377" s="669"/>
      <c r="O377" s="669"/>
      <c r="P377" s="669"/>
      <c r="Q377" s="643"/>
      <c r="R377" s="643"/>
    </row>
    <row customHeight="true" ht="18.452380952380953" r="378">
      <c r="A378" s="533" t="s">
        <v>776</v>
      </c>
      <c r="B378" s="533">
        <v>46294</v>
      </c>
      <c r="C378" s="533" t="str">
        <v>Tuesday</v>
      </c>
      <c r="D378" s="703" t="s">
        <v>721</v>
      </c>
      <c r="E378" s="538">
        <f t="shared" si="108"/>
      </c>
      <c r="F378" s="534" t="s">
        <v>777</v>
      </c>
      <c r="G378" s="543"/>
      <c r="H378" s="538" t="s">
        <v>493</v>
      </c>
      <c r="I378" s="538"/>
      <c r="J378" s="511"/>
      <c r="K378" s="669"/>
      <c r="L378" s="669"/>
      <c r="M378" s="669"/>
      <c r="N378" s="669"/>
      <c r="O378" s="669"/>
      <c r="P378" s="669"/>
      <c r="Q378" s="643"/>
      <c r="R378" s="643"/>
    </row>
    <row customHeight="true" ht="18.452380952380953" r="379">
      <c r="A379" s="533" t="s">
        <v>776</v>
      </c>
      <c r="B379" s="533">
        <v>46295</v>
      </c>
      <c r="C379" s="533" t="str">
        <v>Wednesday</v>
      </c>
      <c r="D379" s="702" t="s">
        <v>759</v>
      </c>
      <c r="E379" s="538">
        <f t="shared" si="108"/>
      </c>
      <c r="F379" s="534" t="s">
        <v>777</v>
      </c>
      <c r="G379" s="543"/>
      <c r="H379" s="510" t="s">
        <v>493</v>
      </c>
      <c r="I379" s="538"/>
      <c r="J379" s="511"/>
      <c r="K379" s="669"/>
      <c r="L379" s="669"/>
      <c r="M379" s="669"/>
      <c r="N379" s="669"/>
      <c r="O379" s="669"/>
      <c r="P379" s="669"/>
      <c r="Q379" s="643"/>
      <c r="R379" s="643"/>
    </row>
    <row r="380">
      <c r="A380" s="533" t="s">
        <v>776</v>
      </c>
      <c r="B380" s="533">
        <v>46296</v>
      </c>
      <c r="C380" s="533" t="str">
        <v>Thursday</v>
      </c>
      <c r="D380" s="702" t="s">
        <v>762</v>
      </c>
      <c r="E380" s="510">
        <f t="shared" si="108"/>
      </c>
      <c r="F380" s="534" t="s">
        <v>624</v>
      </c>
      <c r="G380" s="614"/>
      <c r="H380" s="538" t="s">
        <v>493</v>
      </c>
      <c r="I380" s="538"/>
      <c r="J380" s="511"/>
      <c r="K380" s="669"/>
      <c r="L380" s="669"/>
      <c r="M380" s="669"/>
      <c r="N380" s="669"/>
      <c r="O380" s="669"/>
      <c r="P380" s="669"/>
      <c r="Q380" s="544"/>
      <c r="R380" s="544"/>
    </row>
    <row customHeight="true" ht="18.452380952380953" r="381">
      <c r="A381" s="647" t="s">
        <v>776</v>
      </c>
      <c r="B381" s="647">
        <v>46297</v>
      </c>
      <c r="C381" s="647" t="str">
        <v>Friday</v>
      </c>
      <c r="D381" s="649" t="s">
        <v>627</v>
      </c>
      <c r="E381" s="649">
        <f t="shared" si="108"/>
      </c>
      <c r="F381" s="785" t="s">
        <v>625</v>
      </c>
      <c r="G381" s="787"/>
      <c r="H381" s="649" t="s">
        <v>493</v>
      </c>
      <c r="I381" s="649"/>
      <c r="J381" s="786"/>
      <c r="K381" s="706"/>
      <c r="L381" s="706"/>
      <c r="M381" s="706"/>
      <c r="N381" s="706"/>
      <c r="O381" s="706"/>
      <c r="P381" s="706"/>
      <c r="Q381" s="652"/>
      <c r="R381" s="652"/>
    </row>
    <row customHeight="true" ht="18.452380952380953" r="382">
      <c r="A382" s="533" t="s">
        <v>776</v>
      </c>
      <c r="B382" s="533">
        <v>46298</v>
      </c>
      <c r="C382" s="533" t="str">
        <v>Saturday</v>
      </c>
      <c r="D382" s="703" t="s">
        <v>721</v>
      </c>
      <c r="E382" s="510">
        <f t="shared" si="108"/>
      </c>
      <c r="F382" s="534" t="s">
        <v>625</v>
      </c>
      <c r="G382" s="614"/>
      <c r="H382" s="510" t="s">
        <v>493</v>
      </c>
      <c r="I382" s="538"/>
      <c r="J382" s="536"/>
      <c r="K382" s="669"/>
      <c r="L382" s="669"/>
      <c r="M382" s="669"/>
      <c r="N382" s="669"/>
      <c r="O382" s="669"/>
      <c r="P382" s="669"/>
      <c r="Q382" s="544"/>
      <c r="R382" s="544"/>
    </row>
    <row r="383">
      <c r="A383" s="647" t="s">
        <v>776</v>
      </c>
      <c r="B383" s="647">
        <v>46298</v>
      </c>
      <c r="C383" s="647" t="str">
        <v>Saturday</v>
      </c>
      <c r="D383" s="788" t="s">
        <v>627</v>
      </c>
      <c r="E383" s="649">
        <f t="shared" si="108"/>
      </c>
      <c r="F383" s="785" t="s">
        <v>625</v>
      </c>
      <c r="G383" s="787"/>
      <c r="H383" s="649" t="s">
        <v>493</v>
      </c>
      <c r="I383" s="649"/>
      <c r="J383" s="786"/>
      <c r="K383" s="706"/>
      <c r="L383" s="706"/>
      <c r="M383" s="706"/>
      <c r="N383" s="706"/>
      <c r="O383" s="706"/>
      <c r="P383" s="706"/>
      <c r="Q383" s="652"/>
      <c r="R383" s="652"/>
    </row>
    <row r="384">
      <c r="A384" s="533" t="s">
        <v>776</v>
      </c>
      <c r="B384" s="533">
        <v>46299</v>
      </c>
      <c r="C384" s="533" t="str">
        <v>Sunday</v>
      </c>
      <c r="D384" s="703" t="s">
        <v>627</v>
      </c>
      <c r="E384" s="510">
        <f t="shared" si="108"/>
      </c>
      <c r="F384" s="534" t="s">
        <v>779</v>
      </c>
      <c r="G384" s="614"/>
      <c r="H384" s="510" t="s">
        <v>493</v>
      </c>
      <c r="I384" s="538"/>
      <c r="J384" s="536"/>
      <c r="K384" s="669"/>
      <c r="L384" s="669"/>
      <c r="M384" s="669"/>
      <c r="N384" s="669"/>
      <c r="O384" s="669"/>
      <c r="P384" s="669"/>
      <c r="Q384" s="544"/>
      <c r="R384" s="544"/>
    </row>
    <row customHeight="true" ht="18.452380952380953" r="385">
      <c r="A385" s="533"/>
      <c r="B385" s="533"/>
      <c r="C385" s="533"/>
      <c r="D385" s="789"/>
      <c r="E385" s="790"/>
      <c r="F385" s="534"/>
      <c r="G385" s="791"/>
      <c r="H385" s="790"/>
      <c r="I385" s="792"/>
      <c r="J385" s="793"/>
      <c r="K385" s="794"/>
      <c r="L385" s="794"/>
      <c r="M385" s="794"/>
      <c r="N385" s="794"/>
      <c r="O385" s="794"/>
      <c r="P385" s="794"/>
      <c r="Q385" s="544"/>
      <c r="R385" s="544"/>
    </row>
    <row customHeight="true" ht="18.452380952380953" r="386">
      <c r="A386" s="533"/>
      <c r="B386" s="533"/>
      <c r="C386" s="533"/>
      <c r="D386" s="538"/>
      <c r="E386" s="538"/>
      <c r="F386" s="677"/>
      <c r="G386" s="543"/>
      <c r="H386" s="538"/>
      <c r="I386" s="538"/>
      <c r="J386" s="511"/>
      <c r="K386" s="512"/>
      <c r="L386" s="512"/>
      <c r="M386" s="512"/>
      <c r="N386" s="512"/>
      <c r="O386" s="512"/>
      <c r="P386" s="512"/>
    </row>
    <row r="387">
      <c r="A387" s="795" t="s">
        <v>478</v>
      </c>
      <c r="B387" s="796" t="s">
        <v>479</v>
      </c>
      <c r="C387" s="796"/>
      <c r="D387" s="797" t="s">
        <v>480</v>
      </c>
      <c r="E387" s="797" t="s">
        <v>481</v>
      </c>
      <c r="F387" s="797" t="s">
        <v>482</v>
      </c>
      <c r="G387" s="798" t="s">
        <v>495</v>
      </c>
      <c r="H387" s="797" t="s">
        <v>484</v>
      </c>
      <c r="I387" s="797" t="s">
        <v>485</v>
      </c>
      <c r="J387" s="799" t="s">
        <v>486</v>
      </c>
      <c r="K387" s="532"/>
      <c r="L387" s="532"/>
      <c r="M387" s="532"/>
      <c r="N387" s="532"/>
      <c r="O387" s="532"/>
      <c r="P387" s="532"/>
    </row>
    <row r="388">
      <c r="A388" s="586" t="s">
        <v>780</v>
      </c>
      <c r="B388" s="515">
        <v>46293</v>
      </c>
      <c r="C388" s="586" t="str">
        <v>Monday</v>
      </c>
      <c r="D388" s="624" t="s">
        <v>640</v>
      </c>
      <c r="E388" s="656">
        <f t="shared" ref="E388:E408" si="109">24*MOD(TIMEVALUE(TRIM(MID(D388,FIND("-",D388)+1,LEN(D388)))) - TIMEVALUE(TRIM(LEFT(D388,FIND("-",D388)-1))),1)</f>
      </c>
      <c r="F388" s="677" t="s">
        <v>781</v>
      </c>
      <c r="G388" s="626"/>
      <c r="H388" s="656"/>
      <c r="I388" s="656" t="s">
        <v>468</v>
      </c>
      <c r="J388" s="748"/>
      <c r="K388" s="623"/>
      <c r="L388" s="623"/>
      <c r="M388" s="623"/>
      <c r="N388" s="623"/>
      <c r="O388" s="623"/>
      <c r="P388" s="623"/>
    </row>
    <row customHeight="true" ht="20.238095238095237" r="389">
      <c r="A389" s="586" t="s">
        <v>780</v>
      </c>
      <c r="B389" s="515">
        <v>46293</v>
      </c>
      <c r="C389" s="586" t="str">
        <v>Monday</v>
      </c>
      <c r="D389" s="624" t="s">
        <v>508</v>
      </c>
      <c r="E389" s="656">
        <f t="shared" si="109"/>
      </c>
      <c r="F389" s="677" t="s">
        <v>774</v>
      </c>
      <c r="G389" s="626"/>
      <c r="H389" s="656"/>
      <c r="I389" s="656" t="s">
        <v>468</v>
      </c>
      <c r="J389" s="748"/>
      <c r="K389" s="623"/>
      <c r="L389" s="623"/>
      <c r="M389" s="623"/>
      <c r="N389" s="623"/>
      <c r="O389" s="623"/>
      <c r="P389" s="623"/>
    </row>
    <row customHeight="true" ht="18.452380952380953" r="390">
      <c r="A390" s="586" t="s">
        <v>780</v>
      </c>
      <c r="B390" s="515">
        <v>46294</v>
      </c>
      <c r="C390" s="586" t="str">
        <v>Tuesday</v>
      </c>
      <c r="D390" s="624" t="s">
        <v>782</v>
      </c>
      <c r="E390" s="656">
        <f t="shared" si="109"/>
      </c>
      <c r="F390" s="677" t="s">
        <v>774</v>
      </c>
      <c r="G390" s="626"/>
      <c r="H390" s="656"/>
      <c r="I390" s="656" t="s">
        <v>468</v>
      </c>
      <c r="J390" s="748"/>
      <c r="K390" s="623"/>
      <c r="L390" s="623"/>
      <c r="M390" s="623"/>
      <c r="N390" s="623"/>
      <c r="O390" s="623"/>
      <c r="P390" s="623"/>
    </row>
    <row customHeight="true" ht="18.452380952380953" r="391">
      <c r="A391" s="586" t="s">
        <v>780</v>
      </c>
      <c r="B391" s="515">
        <v>46295</v>
      </c>
      <c r="C391" s="586" t="str">
        <v>Wednesday</v>
      </c>
      <c r="D391" s="624" t="s">
        <v>783</v>
      </c>
      <c r="E391" s="656">
        <f t="shared" si="109"/>
      </c>
      <c r="F391" s="677" t="s">
        <v>774</v>
      </c>
      <c r="G391" s="626"/>
      <c r="H391" s="656"/>
      <c r="I391" s="656" t="s">
        <v>468</v>
      </c>
      <c r="J391" s="748"/>
      <c r="K391" s="623"/>
      <c r="L391" s="623"/>
      <c r="M391" s="623"/>
      <c r="N391" s="623"/>
      <c r="O391" s="623"/>
      <c r="P391" s="623"/>
    </row>
    <row customHeight="true" ht="18.452380952380953" r="392">
      <c r="A392" s="586" t="s">
        <v>780</v>
      </c>
      <c r="B392" s="515">
        <v>46296</v>
      </c>
      <c r="C392" s="586" t="str">
        <v>Thursday</v>
      </c>
      <c r="D392" s="624" t="s">
        <v>782</v>
      </c>
      <c r="E392" s="656">
        <f t="shared" si="109"/>
      </c>
      <c r="F392" s="677" t="s">
        <v>774</v>
      </c>
      <c r="G392" s="626"/>
      <c r="H392" s="656"/>
      <c r="I392" s="656" t="s">
        <v>468</v>
      </c>
      <c r="J392" s="748" t="s">
        <v>784</v>
      </c>
      <c r="K392" s="623"/>
      <c r="L392" s="623"/>
      <c r="M392" s="623"/>
      <c r="N392" s="623"/>
      <c r="O392" s="623"/>
      <c r="P392" s="623"/>
    </row>
    <row customHeight="true" ht="18.452380952380953" r="393">
      <c r="A393" s="586" t="s">
        <v>780</v>
      </c>
      <c r="B393" s="515">
        <v>46297</v>
      </c>
      <c r="C393" s="586" t="str">
        <v>Friday</v>
      </c>
      <c r="D393" s="624" t="s">
        <v>785</v>
      </c>
      <c r="E393" s="656">
        <f t="shared" si="109"/>
      </c>
      <c r="F393" s="677" t="s">
        <v>781</v>
      </c>
      <c r="G393" s="626"/>
      <c r="H393" s="656"/>
      <c r="I393" s="656" t="s">
        <v>468</v>
      </c>
      <c r="J393" s="748" t="s">
        <v>784</v>
      </c>
      <c r="K393" s="623"/>
      <c r="L393" s="623"/>
      <c r="M393" s="623"/>
      <c r="N393" s="623"/>
      <c r="O393" s="623"/>
      <c r="P393" s="623"/>
    </row>
    <row customHeight="true" ht="18.452380952380953" r="394">
      <c r="A394" s="586" t="s">
        <v>780</v>
      </c>
      <c r="B394" s="515">
        <v>46298</v>
      </c>
      <c r="C394" s="586" t="str">
        <v>Saturday</v>
      </c>
      <c r="D394" s="624" t="s">
        <v>608</v>
      </c>
      <c r="E394" s="656">
        <f t="shared" si="109"/>
      </c>
      <c r="F394" s="677" t="s">
        <v>774</v>
      </c>
      <c r="G394" s="626"/>
      <c r="H394" s="656"/>
      <c r="I394" s="656" t="s">
        <v>468</v>
      </c>
      <c r="J394" s="748" t="s">
        <v>784</v>
      </c>
      <c r="K394" s="623"/>
      <c r="L394" s="623"/>
      <c r="M394" s="623"/>
      <c r="N394" s="623"/>
      <c r="O394" s="623"/>
      <c r="P394" s="623"/>
    </row>
    <row customHeight="true" ht="18.452380952380953" r="395">
      <c r="A395" s="586" t="s">
        <v>780</v>
      </c>
      <c r="B395" s="515">
        <v>46298</v>
      </c>
      <c r="C395" s="586" t="str">
        <v>Saturday</v>
      </c>
      <c r="D395" s="624" t="s">
        <v>721</v>
      </c>
      <c r="E395" s="656">
        <f t="shared" si="109"/>
      </c>
      <c r="F395" s="677" t="s">
        <v>624</v>
      </c>
      <c r="G395" s="626"/>
      <c r="H395" s="656"/>
      <c r="I395" s="656" t="s">
        <v>468</v>
      </c>
      <c r="J395" s="748" t="s">
        <v>784</v>
      </c>
      <c r="K395" s="623"/>
      <c r="L395" s="623"/>
      <c r="M395" s="623"/>
      <c r="N395" s="623"/>
      <c r="O395" s="623"/>
      <c r="P395" s="623"/>
    </row>
    <row customHeight="true" ht="18.452380952380953" r="396">
      <c r="A396" s="586" t="s">
        <v>780</v>
      </c>
      <c r="B396" s="515">
        <v>46299</v>
      </c>
      <c r="C396" s="586" t="str">
        <v>Sunday</v>
      </c>
      <c r="D396" s="624" t="s">
        <v>785</v>
      </c>
      <c r="E396" s="656">
        <f t="shared" si="109"/>
      </c>
      <c r="F396" s="677" t="s">
        <v>774</v>
      </c>
      <c r="G396" s="626"/>
      <c r="H396" s="656"/>
      <c r="I396" s="656" t="s">
        <v>468</v>
      </c>
      <c r="J396" s="748" t="s">
        <v>784</v>
      </c>
      <c r="K396" s="623"/>
      <c r="L396" s="623"/>
      <c r="M396" s="623"/>
      <c r="N396" s="623"/>
      <c r="O396" s="623"/>
      <c r="P396" s="623"/>
    </row>
    <row customHeight="true" ht="18.452380952380953" r="397">
      <c r="A397" s="647" t="s">
        <v>786</v>
      </c>
      <c r="B397" s="646">
        <v>46297</v>
      </c>
      <c r="C397" s="647" t="str">
        <v>Friday</v>
      </c>
      <c r="D397" s="648" t="s">
        <v>745</v>
      </c>
      <c r="E397" s="649">
        <f t="shared" si="109"/>
      </c>
      <c r="F397" s="785" t="s">
        <v>787</v>
      </c>
      <c r="G397" s="704"/>
      <c r="H397" s="649"/>
      <c r="I397" s="649" t="s">
        <v>468</v>
      </c>
      <c r="J397" s="800" t="s">
        <v>784</v>
      </c>
      <c r="K397" s="801"/>
      <c r="L397" s="801"/>
      <c r="M397" s="801"/>
      <c r="N397" s="801"/>
      <c r="O397" s="801"/>
      <c r="P397" s="801"/>
      <c r="Q397" s="653"/>
      <c r="R397" s="653"/>
    </row>
    <row r="398">
      <c r="A398" s="533" t="s">
        <v>788</v>
      </c>
      <c r="B398" s="515">
        <v>46293</v>
      </c>
      <c r="C398" s="533" t="str">
        <v>Monday</v>
      </c>
      <c r="D398" s="624" t="s">
        <v>789</v>
      </c>
      <c r="E398" s="538">
        <f t="shared" si="109"/>
      </c>
      <c r="F398" s="677" t="s">
        <v>777</v>
      </c>
      <c r="G398" s="543"/>
      <c r="H398" s="538"/>
      <c r="I398" s="538" t="s">
        <v>468</v>
      </c>
      <c r="J398" s="507" t="s">
        <v>790</v>
      </c>
      <c r="K398" s="512"/>
      <c r="L398" s="512"/>
      <c r="M398" s="512"/>
      <c r="N398" s="512"/>
      <c r="O398" s="512"/>
      <c r="P398" s="512"/>
    </row>
    <row customHeight="true" ht="18.452380952380953" r="399">
      <c r="A399" s="533" t="s">
        <v>788</v>
      </c>
      <c r="B399" s="515">
        <v>46294</v>
      </c>
      <c r="C399" s="533" t="str">
        <v>Tuesday</v>
      </c>
      <c r="D399" s="624" t="s">
        <v>782</v>
      </c>
      <c r="E399" s="538">
        <f t="shared" si="109"/>
      </c>
      <c r="F399" s="677" t="s">
        <v>777</v>
      </c>
      <c r="G399" s="543"/>
      <c r="H399" s="538"/>
      <c r="I399" s="538" t="s">
        <v>468</v>
      </c>
      <c r="J399" s="507" t="s">
        <v>790</v>
      </c>
      <c r="K399" s="512"/>
      <c r="L399" s="512"/>
      <c r="M399" s="512"/>
      <c r="N399" s="512"/>
      <c r="O399" s="512"/>
      <c r="P399" s="512"/>
    </row>
    <row customHeight="true" ht="18.452380952380953" r="400">
      <c r="A400" s="533" t="s">
        <v>788</v>
      </c>
      <c r="B400" s="515">
        <v>46295</v>
      </c>
      <c r="C400" s="533" t="str">
        <v>Wednesday</v>
      </c>
      <c r="D400" s="624" t="s">
        <v>762</v>
      </c>
      <c r="E400" s="538">
        <f t="shared" si="109"/>
      </c>
      <c r="F400" s="677" t="s">
        <v>777</v>
      </c>
      <c r="G400" s="543"/>
      <c r="H400" s="538"/>
      <c r="I400" s="538" t="s">
        <v>468</v>
      </c>
      <c r="J400" s="507" t="s">
        <v>790</v>
      </c>
      <c r="K400" s="512"/>
      <c r="L400" s="512"/>
      <c r="M400" s="512"/>
      <c r="N400" s="512"/>
      <c r="O400" s="512"/>
      <c r="P400" s="512"/>
    </row>
    <row customHeight="true" ht="18.452380952380953" r="401">
      <c r="A401" s="533" t="s">
        <v>788</v>
      </c>
      <c r="B401" s="515">
        <v>46295</v>
      </c>
      <c r="C401" s="533" t="str">
        <v>Wednesday</v>
      </c>
      <c r="D401" s="624" t="s">
        <v>725</v>
      </c>
      <c r="E401" s="538">
        <f t="shared" si="109"/>
      </c>
      <c r="F401" s="677" t="s">
        <v>730</v>
      </c>
      <c r="G401" s="543"/>
      <c r="H401" s="538"/>
      <c r="I401" s="538" t="s">
        <v>468</v>
      </c>
      <c r="J401" s="507" t="s">
        <v>790</v>
      </c>
      <c r="K401" s="512"/>
      <c r="L401" s="512"/>
      <c r="M401" s="512"/>
      <c r="N401" s="512"/>
      <c r="O401" s="512"/>
      <c r="P401" s="512"/>
    </row>
    <row customHeight="true" ht="18.452380952380953" r="402">
      <c r="A402" s="533" t="s">
        <v>788</v>
      </c>
      <c r="B402" s="515">
        <v>46296</v>
      </c>
      <c r="C402" s="533" t="str">
        <v>Thursday</v>
      </c>
      <c r="D402" s="624" t="s">
        <v>627</v>
      </c>
      <c r="E402" s="538">
        <f t="shared" si="109"/>
      </c>
      <c r="F402" s="510" t="s">
        <v>625</v>
      </c>
      <c r="G402" s="543"/>
      <c r="H402" s="538"/>
      <c r="I402" s="538" t="s">
        <v>468</v>
      </c>
      <c r="J402" s="507" t="s">
        <v>790</v>
      </c>
      <c r="K402" s="512"/>
      <c r="L402" s="512"/>
      <c r="M402" s="512"/>
      <c r="N402" s="512"/>
      <c r="O402" s="512"/>
      <c r="P402" s="512"/>
    </row>
    <row customHeight="true" ht="18.452380952380953" r="403">
      <c r="A403" s="533" t="s">
        <v>788</v>
      </c>
      <c r="B403" s="515">
        <v>46297</v>
      </c>
      <c r="C403" s="533" t="str">
        <v>Friday</v>
      </c>
      <c r="D403" s="624" t="s">
        <v>791</v>
      </c>
      <c r="E403" s="538">
        <f t="shared" si="109"/>
      </c>
      <c r="F403" s="677" t="s">
        <v>792</v>
      </c>
      <c r="G403" s="543"/>
      <c r="H403" s="538"/>
      <c r="I403" s="538" t="s">
        <v>468</v>
      </c>
      <c r="J403" s="507" t="s">
        <v>790</v>
      </c>
      <c r="K403" s="512"/>
      <c r="L403" s="512"/>
      <c r="M403" s="512"/>
      <c r="N403" s="512"/>
      <c r="O403" s="512"/>
      <c r="P403" s="512"/>
    </row>
    <row customHeight="true" ht="18.452380952380953" r="404">
      <c r="A404" s="533" t="s">
        <v>788</v>
      </c>
      <c r="B404" s="515">
        <v>46297</v>
      </c>
      <c r="C404" s="533" t="str">
        <v>Friday</v>
      </c>
      <c r="D404" s="624" t="s">
        <v>755</v>
      </c>
      <c r="E404" s="538">
        <f t="shared" si="109"/>
      </c>
      <c r="F404" s="677" t="s">
        <v>730</v>
      </c>
      <c r="G404" s="543"/>
      <c r="H404" s="538"/>
      <c r="I404" s="538" t="s">
        <v>468</v>
      </c>
      <c r="J404" s="507" t="s">
        <v>790</v>
      </c>
      <c r="K404" s="512"/>
      <c r="L404" s="512"/>
      <c r="M404" s="512"/>
      <c r="N404" s="512"/>
      <c r="O404" s="512"/>
      <c r="P404" s="512"/>
    </row>
    <row customHeight="true" ht="18.452380952380953" r="405">
      <c r="A405" s="586" t="s">
        <v>788</v>
      </c>
      <c r="B405" s="515">
        <v>46298</v>
      </c>
      <c r="C405" s="586" t="str">
        <v>Saturday</v>
      </c>
      <c r="D405" s="624" t="s">
        <v>759</v>
      </c>
      <c r="E405" s="656">
        <f t="shared" si="109"/>
      </c>
      <c r="F405" s="677" t="s">
        <v>792</v>
      </c>
      <c r="G405" s="802"/>
      <c r="H405" s="656"/>
      <c r="I405" s="656" t="s">
        <v>468</v>
      </c>
      <c r="J405" s="676"/>
      <c r="K405" s="512"/>
      <c r="L405" s="512"/>
      <c r="M405" s="512"/>
      <c r="N405" s="512"/>
      <c r="O405" s="512"/>
      <c r="P405" s="512"/>
      <c r="Q405" s="564"/>
      <c r="R405" s="564"/>
    </row>
    <row customHeight="true" ht="18.452380952380953" r="406">
      <c r="A406" s="533" t="s">
        <v>788</v>
      </c>
      <c r="B406" s="515">
        <v>46298</v>
      </c>
      <c r="C406" s="533" t="str">
        <v>Saturday</v>
      </c>
      <c r="D406" s="624" t="s">
        <v>762</v>
      </c>
      <c r="E406" s="538">
        <f t="shared" si="109"/>
      </c>
      <c r="F406" s="677" t="s">
        <v>730</v>
      </c>
      <c r="G406" s="543"/>
      <c r="H406" s="538"/>
      <c r="I406" s="538" t="s">
        <v>468</v>
      </c>
      <c r="J406" s="507" t="s">
        <v>790</v>
      </c>
      <c r="K406" s="512"/>
      <c r="L406" s="512"/>
      <c r="M406" s="512"/>
      <c r="N406" s="512"/>
      <c r="O406" s="512"/>
      <c r="P406" s="512"/>
    </row>
    <row r="407">
      <c r="A407" s="533" t="s">
        <v>788</v>
      </c>
      <c r="B407" s="515">
        <v>46299</v>
      </c>
      <c r="C407" s="533" t="str">
        <v>Sunday</v>
      </c>
      <c r="D407" s="624" t="s">
        <v>785</v>
      </c>
      <c r="E407" s="538">
        <f t="shared" si="109"/>
      </c>
      <c r="F407" s="677" t="s">
        <v>792</v>
      </c>
      <c r="G407" s="543"/>
      <c r="H407" s="538"/>
      <c r="I407" s="538" t="s">
        <v>468</v>
      </c>
      <c r="J407" s="511"/>
      <c r="K407" s="512"/>
      <c r="L407" s="512"/>
      <c r="M407" s="512"/>
      <c r="N407" s="512"/>
      <c r="O407" s="512"/>
      <c r="P407" s="512"/>
    </row>
    <row customHeight="true" ht="18.452380952380953" r="408">
      <c r="A408" s="647" t="s">
        <v>788</v>
      </c>
      <c r="B408" s="646">
        <v>46299</v>
      </c>
      <c r="C408" s="647" t="str">
        <v>Sunday</v>
      </c>
      <c r="D408" s="648" t="s">
        <v>762</v>
      </c>
      <c r="E408" s="649">
        <f t="shared" si="109"/>
      </c>
      <c r="F408" s="785" t="s">
        <v>787</v>
      </c>
      <c r="G408" s="787"/>
      <c r="H408" s="649"/>
      <c r="I408" s="649" t="s">
        <v>468</v>
      </c>
      <c r="J408" s="786"/>
      <c r="K408" s="706"/>
      <c r="L408" s="706"/>
      <c r="M408" s="706"/>
      <c r="N408" s="706"/>
      <c r="O408" s="706"/>
      <c r="P408" s="706"/>
      <c r="Q408" s="653"/>
      <c r="R408" s="653"/>
    </row>
    <row customHeight="true" ht="18.452380952380953" r="409">
      <c r="A409" s="533"/>
      <c r="B409" s="515"/>
      <c r="C409" s="533"/>
      <c r="D409" s="624"/>
      <c r="E409" s="538"/>
      <c r="F409" s="542"/>
      <c r="G409" s="543"/>
      <c r="H409" s="538"/>
      <c r="I409" s="538"/>
      <c r="J409" s="511"/>
      <c r="K409" s="512"/>
      <c r="L409" s="512"/>
      <c r="M409" s="512"/>
      <c r="N409" s="512"/>
      <c r="O409" s="512"/>
      <c r="P409" s="512"/>
    </row>
    <row r="410">
      <c r="A410" s="803" t="s">
        <v>793</v>
      </c>
      <c r="B410" s="804"/>
      <c r="C410" s="804"/>
      <c r="D410" s="804"/>
      <c r="E410" s="804"/>
      <c r="F410" s="804"/>
      <c r="G410" s="804"/>
      <c r="H410" s="804"/>
      <c r="I410" s="804"/>
      <c r="J410" s="805"/>
      <c r="K410" s="547"/>
      <c r="L410" s="547"/>
      <c r="M410" s="547"/>
      <c r="N410" s="547"/>
      <c r="O410" s="547"/>
      <c r="P410" s="547"/>
    </row>
    <row r="411">
      <c r="A411" s="795" t="s">
        <v>478</v>
      </c>
      <c r="B411" s="796" t="s">
        <v>479</v>
      </c>
      <c r="C411" s="796"/>
      <c r="D411" s="797" t="s">
        <v>480</v>
      </c>
      <c r="E411" s="797" t="s">
        <v>481</v>
      </c>
      <c r="F411" s="797" t="s">
        <v>482</v>
      </c>
      <c r="G411" s="798" t="s">
        <v>495</v>
      </c>
      <c r="H411" s="797" t="s">
        <v>484</v>
      </c>
      <c r="I411" s="797" t="s">
        <v>485</v>
      </c>
      <c r="J411" s="799" t="s">
        <v>486</v>
      </c>
      <c r="K411" s="532"/>
      <c r="L411" s="532"/>
      <c r="M411" s="532"/>
      <c r="N411" s="532"/>
      <c r="O411" s="532"/>
      <c r="P411" s="532"/>
    </row>
    <row customHeight="true" ht="18.452380952380953" r="412">
      <c r="A412" s="533" t="s">
        <v>793</v>
      </c>
      <c r="B412" s="515">
        <v>46298</v>
      </c>
      <c r="C412" s="533" t="str">
        <v>Saturday</v>
      </c>
      <c r="D412" s="624" t="s">
        <v>794</v>
      </c>
      <c r="E412" s="538">
        <f t="shared" ref="E412:E414" si="110">24*MOD(TIMEVALUE(TRIM(MID(D412,FIND("-",D412)+1,LEN(D412)))) - TIMEVALUE(TRIM(LEFT(D412,FIND("-",D412)-1))),1)</f>
      </c>
      <c r="F412" s="542" t="s">
        <v>795</v>
      </c>
      <c r="G412" s="553" t="s">
        <v>796</v>
      </c>
      <c r="H412" s="538"/>
      <c r="I412" s="538" t="s">
        <v>468</v>
      </c>
      <c r="J412" s="511"/>
      <c r="K412" s="512"/>
      <c r="L412" s="512"/>
      <c r="M412" s="512"/>
      <c r="N412" s="512"/>
      <c r="O412" s="512"/>
      <c r="P412" s="512"/>
    </row>
    <row customHeight="true" ht="18.452380952380953" r="413">
      <c r="A413" s="533" t="s">
        <v>793</v>
      </c>
      <c r="B413" s="515">
        <v>46298</v>
      </c>
      <c r="C413" s="533" t="str">
        <v>Saturday</v>
      </c>
      <c r="D413" s="624" t="s">
        <v>794</v>
      </c>
      <c r="E413" s="538">
        <f t="shared" si="110"/>
      </c>
      <c r="F413" s="542" t="s">
        <v>624</v>
      </c>
      <c r="G413" s="553" t="s">
        <v>796</v>
      </c>
      <c r="H413" s="538"/>
      <c r="I413" s="538" t="s">
        <v>468</v>
      </c>
      <c r="J413" s="511"/>
      <c r="K413" s="512"/>
      <c r="L413" s="512"/>
      <c r="M413" s="512"/>
      <c r="N413" s="512"/>
      <c r="O413" s="512"/>
      <c r="P413" s="512"/>
    </row>
    <row customHeight="true" ht="18.452380952380953" r="414">
      <c r="A414" s="533" t="s">
        <v>793</v>
      </c>
      <c r="B414" s="515">
        <v>46298</v>
      </c>
      <c r="C414" s="533" t="str">
        <v>Saturday</v>
      </c>
      <c r="D414" s="624" t="s">
        <v>794</v>
      </c>
      <c r="E414" s="538">
        <f t="shared" si="110"/>
      </c>
      <c r="F414" s="542" t="s">
        <v>797</v>
      </c>
      <c r="G414" s="553" t="s">
        <v>796</v>
      </c>
      <c r="H414" s="538"/>
      <c r="I414" s="538" t="s">
        <v>468</v>
      </c>
      <c r="J414" s="511"/>
      <c r="K414" s="512"/>
      <c r="L414" s="512"/>
      <c r="M414" s="512"/>
      <c r="N414" s="512"/>
      <c r="O414" s="512"/>
      <c r="P414" s="512"/>
    </row>
    <row customHeight="true" ht="18.452380952380953" r="415">
      <c r="A415" s="533"/>
      <c r="B415" s="515"/>
      <c r="C415" s="533"/>
      <c r="D415" s="506"/>
      <c r="E415" s="538"/>
      <c r="F415" s="542"/>
      <c r="G415" s="553"/>
      <c r="H415" s="510"/>
      <c r="I415" s="538"/>
      <c r="J415" s="507"/>
      <c r="K415" s="512"/>
      <c r="L415" s="512"/>
      <c r="M415" s="512"/>
      <c r="N415" s="512"/>
      <c r="O415" s="512"/>
      <c r="P415" s="512"/>
    </row>
    <row customHeight="true" ht="18.452380952380953" r="416">
      <c r="A416" s="533"/>
      <c r="B416" s="515"/>
      <c r="C416" s="533"/>
      <c r="D416" s="506"/>
      <c r="E416" s="538"/>
      <c r="F416" s="542"/>
      <c r="G416" s="553"/>
      <c r="H416" s="510"/>
      <c r="I416" s="538"/>
      <c r="J416" s="507"/>
      <c r="K416" s="512"/>
      <c r="L416" s="512"/>
      <c r="M416" s="512"/>
      <c r="N416" s="512"/>
      <c r="O416" s="512"/>
      <c r="P416" s="512"/>
    </row>
    <row customHeight="true" ht="18.452380952380953" r="417">
      <c r="A417" s="533"/>
      <c r="B417" s="515"/>
      <c r="C417" s="533"/>
      <c r="D417" s="806"/>
      <c r="E417" s="538"/>
      <c r="F417" s="542"/>
      <c r="G417" s="543"/>
      <c r="H417" s="510"/>
      <c r="I417" s="538"/>
      <c r="J417" s="807"/>
      <c r="K417" s="512"/>
      <c r="L417" s="512"/>
      <c r="M417" s="512"/>
      <c r="N417" s="512"/>
      <c r="O417" s="512"/>
      <c r="P417" s="512"/>
    </row>
    <row customHeight="true" ht="18.452380952380953" r="418">
      <c r="A418" s="533"/>
      <c r="B418" s="515"/>
      <c r="C418" s="533"/>
      <c r="D418" s="506"/>
      <c r="E418" s="538"/>
      <c r="F418" s="542"/>
      <c r="G418" s="543"/>
      <c r="H418" s="510"/>
      <c r="I418" s="538"/>
      <c r="J418" s="507"/>
      <c r="K418" s="512"/>
      <c r="L418" s="512"/>
      <c r="M418" s="512"/>
      <c r="N418" s="512"/>
      <c r="O418" s="512"/>
      <c r="P418" s="512"/>
    </row>
    <row customHeight="true" ht="18.452380952380953" r="419">
      <c r="A419" s="533"/>
      <c r="B419" s="515"/>
      <c r="C419" s="533"/>
      <c r="D419" s="506"/>
      <c r="E419" s="538"/>
      <c r="F419" s="542"/>
      <c r="G419" s="553"/>
      <c r="H419" s="510"/>
      <c r="I419" s="538"/>
      <c r="J419" s="507"/>
      <c r="K419" s="512"/>
      <c r="L419" s="512"/>
      <c r="M419" s="512"/>
      <c r="N419" s="512"/>
      <c r="O419" s="512"/>
      <c r="P419" s="512"/>
    </row>
    <row r="420">
      <c r="A420" s="808" t="s">
        <v>798</v>
      </c>
      <c r="B420" s="809"/>
      <c r="C420" s="809"/>
      <c r="D420" s="809"/>
      <c r="E420" s="809"/>
      <c r="F420" s="809"/>
      <c r="G420" s="809"/>
      <c r="H420" s="809"/>
      <c r="I420" s="809"/>
      <c r="J420" s="810"/>
      <c r="K420" s="547"/>
      <c r="L420" s="547"/>
      <c r="M420" s="547"/>
      <c r="N420" s="547"/>
      <c r="O420" s="547"/>
      <c r="P420" s="547"/>
    </row>
    <row r="421">
      <c r="A421" s="811" t="s">
        <v>478</v>
      </c>
      <c r="B421" s="726" t="s">
        <v>479</v>
      </c>
      <c r="C421" s="726"/>
      <c r="D421" s="812" t="s">
        <v>480</v>
      </c>
      <c r="E421" s="812" t="s">
        <v>481</v>
      </c>
      <c r="F421" s="812" t="s">
        <v>482</v>
      </c>
      <c r="G421" s="813" t="s">
        <v>495</v>
      </c>
      <c r="H421" s="812" t="s">
        <v>484</v>
      </c>
      <c r="I421" s="812" t="s">
        <v>485</v>
      </c>
      <c r="J421" s="731" t="s">
        <v>486</v>
      </c>
      <c r="K421" s="532"/>
      <c r="L421" s="532"/>
      <c r="M421" s="532"/>
      <c r="N421" s="532"/>
      <c r="O421" s="532"/>
      <c r="P421" s="532"/>
    </row>
    <row customHeight="true" ht="18.452380952380953" r="422">
      <c r="A422" s="586"/>
      <c r="B422" s="749"/>
      <c r="C422" s="586"/>
      <c r="D422" s="624"/>
      <c r="E422" s="656"/>
      <c r="F422" s="656"/>
      <c r="G422" s="802"/>
      <c r="H422" s="656"/>
      <c r="I422" s="656"/>
      <c r="J422" s="676"/>
      <c r="K422" s="512"/>
      <c r="L422" s="512"/>
      <c r="M422" s="512"/>
      <c r="N422" s="512"/>
      <c r="O422" s="512"/>
      <c r="P422" s="512"/>
      <c r="Q422" s="631"/>
      <c r="R422" s="631"/>
    </row>
    <row r="423">
      <c r="A423" s="544"/>
      <c r="B423" s="749"/>
      <c r="C423" s="544"/>
      <c r="D423" s="506"/>
      <c r="E423" s="544"/>
      <c r="F423" s="544"/>
      <c r="G423" s="544"/>
      <c r="H423" s="544"/>
      <c r="I423" s="544"/>
      <c r="J423" s="544"/>
      <c r="K423" s="631"/>
      <c r="L423" s="631"/>
      <c r="M423" s="631"/>
      <c r="N423" s="631"/>
      <c r="O423" s="631"/>
      <c r="P423" s="631"/>
    </row>
    <row r="424">
      <c r="A424" s="814" t="s">
        <v>799</v>
      </c>
      <c r="B424" s="814"/>
      <c r="C424" s="814"/>
      <c r="D424" s="814"/>
      <c r="E424" s="814"/>
      <c r="F424" s="814"/>
      <c r="G424" s="814"/>
      <c r="H424" s="814"/>
      <c r="I424" s="814"/>
      <c r="J424" s="815"/>
      <c r="K424" s="547"/>
      <c r="L424" s="547"/>
      <c r="M424" s="547"/>
      <c r="N424" s="547"/>
      <c r="O424" s="547"/>
      <c r="P424" s="547"/>
    </row>
    <row r="425">
      <c r="A425" s="816" t="s">
        <v>478</v>
      </c>
      <c r="B425" s="817" t="s">
        <v>479</v>
      </c>
      <c r="C425" s="817"/>
      <c r="D425" s="818" t="s">
        <v>480</v>
      </c>
      <c r="E425" s="818" t="s">
        <v>481</v>
      </c>
      <c r="F425" s="818" t="s">
        <v>482</v>
      </c>
      <c r="G425" s="819" t="s">
        <v>495</v>
      </c>
      <c r="H425" s="818" t="s">
        <v>484</v>
      </c>
      <c r="I425" s="818" t="s">
        <v>485</v>
      </c>
      <c r="J425" s="820" t="s">
        <v>486</v>
      </c>
      <c r="K425" s="532"/>
      <c r="L425" s="532"/>
      <c r="M425" s="532"/>
      <c r="N425" s="532"/>
      <c r="O425" s="532"/>
      <c r="P425" s="532"/>
    </row>
    <row customHeight="true" ht="20.238095238095237" r="426">
      <c r="A426" s="533" t="s">
        <v>799</v>
      </c>
      <c r="B426" s="515">
        <v>46293</v>
      </c>
      <c r="C426" s="533" t="str">
        <v>Monday</v>
      </c>
      <c r="D426" s="624" t="s">
        <v>794</v>
      </c>
      <c r="E426" s="506">
        <f t="shared" ref="E426:E431" si="111">24*MOD(TIMEVALUE(TRIM(MID(D426,FIND("-",D426)+1,LEN(D426)))) - TIMEVALUE(TRIM(LEFT(D426,FIND("-",D426)-1))),1)</f>
      </c>
      <c r="F426" s="677" t="s">
        <v>501</v>
      </c>
      <c r="G426" s="553"/>
      <c r="H426" s="510" t="s">
        <v>467</v>
      </c>
      <c r="I426" s="538" t="s">
        <v>468</v>
      </c>
      <c r="J426" s="511"/>
      <c r="K426" s="512"/>
      <c r="L426" s="512"/>
      <c r="M426" s="512"/>
      <c r="N426" s="512"/>
      <c r="O426" s="512"/>
      <c r="P426" s="512"/>
    </row>
    <row r="427">
      <c r="A427" s="533" t="s">
        <v>799</v>
      </c>
      <c r="B427" s="515">
        <v>46294</v>
      </c>
      <c r="C427" s="533" t="str">
        <v>Tuesday</v>
      </c>
      <c r="D427" s="624" t="s">
        <v>794</v>
      </c>
      <c r="E427" s="506">
        <f t="shared" si="111"/>
      </c>
      <c r="F427" s="677" t="s">
        <v>501</v>
      </c>
      <c r="G427" s="553"/>
      <c r="H427" s="510" t="s">
        <v>467</v>
      </c>
      <c r="I427" s="538" t="s">
        <v>468</v>
      </c>
      <c r="J427" s="511"/>
      <c r="K427" s="512"/>
      <c r="L427" s="512"/>
      <c r="M427" s="512"/>
      <c r="N427" s="512"/>
      <c r="O427" s="512"/>
      <c r="P427" s="512"/>
    </row>
    <row customHeight="true" ht="22.61904761904762" r="428">
      <c r="A428" s="533" t="s">
        <v>799</v>
      </c>
      <c r="B428" s="515">
        <v>46296</v>
      </c>
      <c r="C428" s="533" t="str">
        <v>Thursday</v>
      </c>
      <c r="D428" s="624" t="s">
        <v>794</v>
      </c>
      <c r="E428" s="538">
        <f t="shared" si="111"/>
      </c>
      <c r="F428" s="677" t="s">
        <v>501</v>
      </c>
      <c r="G428" s="543"/>
      <c r="H428" s="510" t="s">
        <v>467</v>
      </c>
      <c r="I428" s="538" t="s">
        <v>468</v>
      </c>
      <c r="J428" s="511"/>
      <c r="K428" s="669"/>
      <c r="L428" s="669"/>
      <c r="M428" s="669"/>
      <c r="N428" s="669"/>
      <c r="O428" s="669"/>
      <c r="P428" s="669"/>
      <c r="Q428" s="544"/>
      <c r="R428" s="544"/>
    </row>
    <row customHeight="true" ht="22.61904761904762" r="429">
      <c r="A429" s="533" t="s">
        <v>799</v>
      </c>
      <c r="B429" s="515">
        <v>46297</v>
      </c>
      <c r="C429" s="533" t="str">
        <v>Friday</v>
      </c>
      <c r="D429" s="538" t="s">
        <v>794</v>
      </c>
      <c r="E429" s="538">
        <f t="shared" si="111"/>
      </c>
      <c r="F429" s="677" t="s">
        <v>625</v>
      </c>
      <c r="G429" s="543"/>
      <c r="H429" s="510" t="s">
        <v>467</v>
      </c>
      <c r="I429" s="538" t="s">
        <v>468</v>
      </c>
      <c r="J429" s="511"/>
      <c r="K429" s="669"/>
      <c r="L429" s="669"/>
      <c r="M429" s="669"/>
      <c r="N429" s="669"/>
      <c r="O429" s="669"/>
      <c r="P429" s="669"/>
      <c r="Q429" s="544"/>
      <c r="R429" s="544"/>
    </row>
    <row customHeight="true" ht="22.61904761904762" r="430">
      <c r="A430" s="533" t="s">
        <v>799</v>
      </c>
      <c r="B430" s="515">
        <v>46298</v>
      </c>
      <c r="C430" s="533" t="str">
        <v>Saturday</v>
      </c>
      <c r="D430" s="538" t="s">
        <v>794</v>
      </c>
      <c r="E430" s="538">
        <f t="shared" si="111"/>
      </c>
      <c r="F430" s="677" t="s">
        <v>625</v>
      </c>
      <c r="G430" s="543"/>
      <c r="H430" s="510" t="s">
        <v>467</v>
      </c>
      <c r="I430" s="538" t="s">
        <v>468</v>
      </c>
      <c r="J430" s="511"/>
      <c r="K430" s="669"/>
      <c r="L430" s="669"/>
      <c r="M430" s="669"/>
      <c r="N430" s="669"/>
      <c r="O430" s="669"/>
      <c r="P430" s="669"/>
      <c r="Q430" s="544"/>
      <c r="R430" s="544"/>
    </row>
    <row customHeight="true" ht="18.452380952380953" r="431">
      <c r="A431" s="533" t="s">
        <v>799</v>
      </c>
      <c r="B431" s="515">
        <v>46299</v>
      </c>
      <c r="C431" s="533" t="str">
        <v>Sunday</v>
      </c>
      <c r="D431" s="624" t="s">
        <v>739</v>
      </c>
      <c r="E431" s="506">
        <f t="shared" si="111"/>
      </c>
      <c r="F431" s="677" t="s">
        <v>501</v>
      </c>
      <c r="G431" s="553"/>
      <c r="H431" s="510" t="s">
        <v>467</v>
      </c>
      <c r="I431" s="538" t="s">
        <v>468</v>
      </c>
      <c r="J431" s="511"/>
      <c r="K431" s="512"/>
      <c r="L431" s="512"/>
      <c r="M431" s="512"/>
      <c r="N431" s="512"/>
      <c r="O431" s="512"/>
      <c r="P431" s="512"/>
    </row>
    <row customHeight="true" ht="18.452380952380953" r="432">
      <c r="A432" s="533"/>
      <c r="B432" s="515"/>
      <c r="C432" s="533"/>
      <c r="D432" s="624"/>
      <c r="E432" s="506"/>
      <c r="F432" s="677"/>
      <c r="G432" s="553"/>
      <c r="H432" s="510"/>
      <c r="I432" s="538"/>
      <c r="J432" s="511"/>
      <c r="K432" s="512"/>
      <c r="L432" s="512"/>
      <c r="M432" s="512"/>
      <c r="N432" s="512"/>
      <c r="O432" s="512"/>
      <c r="P432" s="512"/>
    </row>
    <row customHeight="true" ht="18.452380952380953" r="433">
      <c r="A433" s="533"/>
      <c r="B433" s="515"/>
      <c r="C433" s="533"/>
      <c r="D433" s="624"/>
      <c r="E433" s="506"/>
      <c r="F433" s="677"/>
      <c r="G433" s="553"/>
      <c r="H433" s="510"/>
      <c r="I433" s="538"/>
      <c r="J433" s="511"/>
      <c r="K433" s="512"/>
      <c r="L433" s="512"/>
      <c r="M433" s="512"/>
      <c r="N433" s="512"/>
      <c r="O433" s="512"/>
      <c r="P433" s="512"/>
    </row>
    <row customHeight="true" ht="20.238095238095237" r="434">
      <c r="A434" s="533" t="s">
        <v>800</v>
      </c>
      <c r="B434" s="515">
        <v>46293</v>
      </c>
      <c r="C434" s="533" t="str">
        <v>Monday</v>
      </c>
      <c r="D434" s="624" t="s">
        <v>794</v>
      </c>
      <c r="E434" s="506">
        <f t="shared" ref="E434:E439" si="112">24*MOD(TIMEVALUE(TRIM(MID(D434,FIND("-",D434)+1,LEN(D434)))) - TIMEVALUE(TRIM(LEFT(D434,FIND("-",D434)-1))),1)</f>
      </c>
      <c r="F434" s="677" t="s">
        <v>625</v>
      </c>
      <c r="G434" s="553"/>
      <c r="H434" s="510" t="s">
        <v>467</v>
      </c>
      <c r="I434" s="538" t="s">
        <v>468</v>
      </c>
      <c r="J434" s="511"/>
      <c r="K434" s="512"/>
      <c r="L434" s="512"/>
      <c r="M434" s="512"/>
      <c r="N434" s="512"/>
      <c r="O434" s="512"/>
      <c r="P434" s="512"/>
    </row>
    <row customHeight="true" ht="20.238095238095237" r="435">
      <c r="A435" s="533" t="s">
        <v>800</v>
      </c>
      <c r="B435" s="515">
        <v>46294</v>
      </c>
      <c r="C435" s="533" t="str">
        <v>Tuesday</v>
      </c>
      <c r="D435" s="624" t="s">
        <v>794</v>
      </c>
      <c r="E435" s="506">
        <f t="shared" si="112"/>
      </c>
      <c r="F435" s="677" t="s">
        <v>625</v>
      </c>
      <c r="G435" s="553"/>
      <c r="H435" s="510" t="s">
        <v>467</v>
      </c>
      <c r="I435" s="538" t="s">
        <v>468</v>
      </c>
      <c r="J435" s="511"/>
      <c r="K435" s="512"/>
      <c r="L435" s="512"/>
      <c r="M435" s="512"/>
      <c r="N435" s="512"/>
      <c r="O435" s="512"/>
      <c r="P435" s="512"/>
    </row>
    <row customHeight="true" ht="20.238095238095237" r="436">
      <c r="A436" s="533" t="s">
        <v>800</v>
      </c>
      <c r="B436" s="515">
        <v>46296</v>
      </c>
      <c r="C436" s="533" t="str">
        <v>Thursday</v>
      </c>
      <c r="D436" s="624" t="s">
        <v>794</v>
      </c>
      <c r="E436" s="506">
        <f t="shared" si="112"/>
      </c>
      <c r="F436" s="677" t="s">
        <v>625</v>
      </c>
      <c r="G436" s="553"/>
      <c r="H436" s="510" t="s">
        <v>467</v>
      </c>
      <c r="I436" s="538" t="s">
        <v>468</v>
      </c>
      <c r="J436" s="511"/>
      <c r="K436" s="512"/>
      <c r="L436" s="512"/>
      <c r="M436" s="512"/>
      <c r="N436" s="512"/>
      <c r="O436" s="512"/>
      <c r="P436" s="512"/>
    </row>
    <row customHeight="true" ht="20.238095238095237" r="437">
      <c r="A437" s="533" t="s">
        <v>800</v>
      </c>
      <c r="B437" s="515">
        <v>46297</v>
      </c>
      <c r="C437" s="533" t="str">
        <v>Friday</v>
      </c>
      <c r="D437" s="538" t="s">
        <v>794</v>
      </c>
      <c r="E437" s="506">
        <f t="shared" si="112"/>
      </c>
      <c r="F437" s="677" t="s">
        <v>792</v>
      </c>
      <c r="G437" s="553"/>
      <c r="H437" s="510" t="s">
        <v>467</v>
      </c>
      <c r="I437" s="538" t="s">
        <v>468</v>
      </c>
      <c r="J437" s="511"/>
      <c r="K437" s="512"/>
      <c r="L437" s="512"/>
      <c r="M437" s="512"/>
      <c r="N437" s="512"/>
      <c r="O437" s="512"/>
      <c r="P437" s="512"/>
    </row>
    <row customHeight="true" ht="20.238095238095237" r="438">
      <c r="A438" s="533" t="s">
        <v>800</v>
      </c>
      <c r="B438" s="515">
        <v>46298</v>
      </c>
      <c r="C438" s="533" t="str">
        <v>Saturday</v>
      </c>
      <c r="D438" s="538" t="s">
        <v>794</v>
      </c>
      <c r="E438" s="506">
        <f t="shared" si="112"/>
      </c>
      <c r="F438" s="677" t="s">
        <v>523</v>
      </c>
      <c r="G438" s="553"/>
      <c r="H438" s="510" t="s">
        <v>467</v>
      </c>
      <c r="I438" s="538" t="s">
        <v>468</v>
      </c>
      <c r="J438" s="507"/>
      <c r="K438" s="512"/>
      <c r="L438" s="512"/>
      <c r="M438" s="512"/>
      <c r="N438" s="512"/>
      <c r="O438" s="512"/>
      <c r="P438" s="512"/>
    </row>
    <row customHeight="true" ht="20.238095238095237" r="439">
      <c r="A439" s="533" t="s">
        <v>800</v>
      </c>
      <c r="B439" s="515">
        <v>46299</v>
      </c>
      <c r="C439" s="533" t="str">
        <v>Sunday</v>
      </c>
      <c r="D439" s="624" t="s">
        <v>739</v>
      </c>
      <c r="E439" s="506">
        <f t="shared" si="112"/>
      </c>
      <c r="F439" s="677" t="s">
        <v>523</v>
      </c>
      <c r="G439" s="553"/>
      <c r="H439" s="510" t="s">
        <v>467</v>
      </c>
      <c r="I439" s="538" t="s">
        <v>468</v>
      </c>
      <c r="J439" s="507"/>
      <c r="K439" s="512"/>
      <c r="L439" s="512"/>
      <c r="M439" s="512"/>
      <c r="N439" s="512"/>
      <c r="O439" s="512"/>
      <c r="P439" s="512"/>
    </row>
    <row customHeight="true" ht="18.452380952380953" r="440">
      <c r="A440" s="533"/>
      <c r="B440" s="515"/>
      <c r="C440" s="533"/>
      <c r="D440" s="624"/>
      <c r="E440" s="506"/>
      <c r="F440" s="677"/>
      <c r="G440" s="553"/>
      <c r="H440" s="538"/>
      <c r="I440" s="538"/>
      <c r="J440" s="511"/>
      <c r="K440" s="512"/>
      <c r="L440" s="512"/>
      <c r="M440" s="512"/>
      <c r="N440" s="512"/>
      <c r="O440" s="512"/>
      <c r="P440" s="512"/>
    </row>
    <row customHeight="true" ht="18.452380952380953" r="441">
      <c r="A441" s="533"/>
      <c r="B441" s="515"/>
      <c r="C441" s="533"/>
      <c r="D441" s="624"/>
      <c r="E441" s="506"/>
      <c r="F441" s="677"/>
      <c r="G441" s="553"/>
      <c r="H441" s="538"/>
      <c r="I441" s="538"/>
      <c r="J441" s="511"/>
      <c r="K441" s="512"/>
      <c r="L441" s="512"/>
      <c r="M441" s="512"/>
      <c r="N441" s="512"/>
      <c r="O441" s="512"/>
      <c r="P441" s="512"/>
    </row>
    <row customHeight="true" ht="18.452380952380953" r="442">
      <c r="A442" s="533"/>
      <c r="B442" s="515"/>
      <c r="C442" s="533"/>
      <c r="D442" s="624"/>
      <c r="E442" s="506"/>
      <c r="F442" s="677"/>
      <c r="G442" s="553"/>
      <c r="H442" s="538"/>
      <c r="I442" s="538"/>
      <c r="J442" s="511"/>
      <c r="K442" s="512"/>
      <c r="L442" s="512"/>
      <c r="M442" s="512"/>
      <c r="N442" s="512"/>
      <c r="O442" s="512"/>
      <c r="P442" s="512"/>
    </row>
    <row customHeight="true" ht="18.452380952380953" r="443">
      <c r="A443" s="533"/>
      <c r="B443" s="515"/>
      <c r="C443" s="533"/>
      <c r="D443" s="624"/>
      <c r="E443" s="506"/>
      <c r="F443" s="677"/>
      <c r="G443" s="553"/>
      <c r="H443" s="538"/>
      <c r="I443" s="538"/>
      <c r="J443" s="511"/>
      <c r="K443" s="512"/>
      <c r="L443" s="512"/>
      <c r="M443" s="512"/>
      <c r="N443" s="512"/>
      <c r="O443" s="512"/>
      <c r="P443" s="512"/>
    </row>
    <row customHeight="true" ht="18.452380952380953" r="444">
      <c r="A444" s="533"/>
      <c r="B444" s="515"/>
      <c r="C444" s="533"/>
      <c r="D444" s="624"/>
      <c r="E444" s="506"/>
      <c r="F444" s="677"/>
      <c r="G444" s="553"/>
      <c r="H444" s="538"/>
      <c r="I444" s="538"/>
      <c r="J444" s="511"/>
      <c r="K444" s="512"/>
      <c r="L444" s="512"/>
      <c r="M444" s="512"/>
      <c r="N444" s="512"/>
      <c r="O444" s="512"/>
      <c r="P444" s="512"/>
    </row>
    <row customHeight="true" ht="20.238095238095237" r="445">
      <c r="A445" s="533"/>
      <c r="B445" s="515"/>
      <c r="C445" s="533"/>
      <c r="D445" s="624"/>
      <c r="E445" s="506"/>
      <c r="F445" s="510"/>
      <c r="G445" s="553"/>
      <c r="H445" s="538"/>
      <c r="I445" s="538"/>
      <c r="J445" s="511"/>
      <c r="K445" s="512"/>
      <c r="L445" s="512"/>
      <c r="M445" s="512"/>
      <c r="N445" s="512"/>
      <c r="O445" s="512"/>
      <c r="P445" s="512"/>
    </row>
    <row customHeight="true" ht="20.238095238095237" r="446">
      <c r="A446" s="533"/>
      <c r="B446" s="515"/>
      <c r="C446" s="533"/>
      <c r="D446" s="506"/>
      <c r="E446" s="538"/>
      <c r="F446" s="510"/>
      <c r="G446" s="543"/>
      <c r="H446" s="538"/>
      <c r="I446" s="538"/>
      <c r="J446" s="511"/>
      <c r="K446" s="669"/>
      <c r="L446" s="669"/>
      <c r="M446" s="669"/>
      <c r="N446" s="669"/>
      <c r="O446" s="669"/>
      <c r="P446" s="669"/>
      <c r="Q446" s="544"/>
      <c r="R446" s="544"/>
    </row>
    <row r="447">
      <c r="A447" s="544"/>
      <c r="B447" s="544"/>
      <c r="C447" s="544"/>
      <c r="D447" s="678"/>
      <c r="E447" s="544"/>
      <c r="F447" s="544"/>
      <c r="G447" s="544"/>
      <c r="H447" s="678"/>
      <c r="I447" s="544"/>
      <c r="J447" s="544"/>
      <c r="K447" s="631"/>
      <c r="L447" s="631"/>
      <c r="M447" s="631"/>
      <c r="N447" s="631"/>
      <c r="O447" s="631"/>
      <c r="P447" s="631"/>
    </row>
    <row customHeight="true" ht="16.071428571428573" r="448">
      <c r="A448" s="544"/>
      <c r="B448" s="544"/>
      <c r="C448" s="544"/>
      <c r="D448" s="678"/>
      <c r="E448" s="544"/>
      <c r="F448" s="544"/>
      <c r="G448" s="544"/>
      <c r="H448" s="678"/>
      <c r="I448" s="544"/>
      <c r="J448" s="544"/>
      <c r="K448" s="631"/>
      <c r="L448" s="631"/>
      <c r="M448" s="631"/>
      <c r="N448" s="631"/>
      <c r="O448" s="631"/>
      <c r="P448" s="631"/>
    </row>
    <row customHeight="true" ht="16.071428571428573" r="449">
      <c r="A449" s="821" t="s">
        <v>801</v>
      </c>
      <c r="B449" s="822"/>
      <c r="C449" s="822"/>
      <c r="D449" s="823"/>
      <c r="E449" s="822"/>
      <c r="F449" s="822"/>
      <c r="G449" s="822"/>
      <c r="H449" s="823"/>
      <c r="I449" s="822"/>
      <c r="J449" s="822"/>
      <c r="K449" s="631"/>
      <c r="L449" s="631"/>
      <c r="M449" s="631"/>
      <c r="N449" s="631"/>
      <c r="O449" s="631"/>
      <c r="P449" s="631"/>
    </row>
    <row customHeight="true" ht="27.36318407963024" r="450">
      <c r="A450" s="824" t="s">
        <v>478</v>
      </c>
      <c r="B450" s="825" t="s">
        <v>479</v>
      </c>
      <c r="C450" s="825"/>
      <c r="D450" s="826" t="s">
        <v>480</v>
      </c>
      <c r="E450" s="827" t="s">
        <v>481</v>
      </c>
      <c r="F450" s="827" t="s">
        <v>482</v>
      </c>
      <c r="G450" s="828" t="s">
        <v>495</v>
      </c>
      <c r="H450" s="827" t="s">
        <v>484</v>
      </c>
      <c r="I450" s="827" t="s">
        <v>485</v>
      </c>
      <c r="J450" s="829" t="s">
        <v>486</v>
      </c>
      <c r="K450" s="532"/>
      <c r="L450" s="532"/>
      <c r="M450" s="532"/>
      <c r="N450" s="532"/>
      <c r="O450" s="532"/>
      <c r="P450" s="532"/>
    </row>
    <row customHeight="true" ht="16.071428571428573" r="451">
      <c r="A451" s="533"/>
      <c r="B451" s="515"/>
      <c r="C451" s="533"/>
      <c r="D451" s="506"/>
      <c r="E451" s="506"/>
      <c r="F451" s="510"/>
      <c r="G451" s="830"/>
      <c r="H451" s="538" t="s">
        <v>493</v>
      </c>
      <c r="I451" s="538" t="s">
        <v>490</v>
      </c>
      <c r="J451" s="831"/>
      <c r="K451" s="532"/>
      <c r="L451" s="532"/>
      <c r="M451" s="532"/>
      <c r="N451" s="532"/>
      <c r="O451" s="532"/>
      <c r="P451" s="532"/>
    </row>
    <row customHeight="true" ht="16.071428571428573" r="452">
      <c r="A452" s="533"/>
      <c r="B452" s="515"/>
      <c r="C452" s="533"/>
      <c r="D452" s="506"/>
      <c r="E452" s="506"/>
      <c r="F452" s="510"/>
      <c r="G452" s="830"/>
      <c r="H452" s="538" t="s">
        <v>493</v>
      </c>
      <c r="I452" s="538" t="s">
        <v>490</v>
      </c>
      <c r="J452" s="831"/>
      <c r="K452" s="532"/>
      <c r="L452" s="532"/>
      <c r="M452" s="532"/>
      <c r="N452" s="532"/>
      <c r="O452" s="532"/>
      <c r="P452" s="532"/>
    </row>
    <row customHeight="true" ht="16.071428571428573" r="453">
      <c r="A453" s="533"/>
      <c r="B453" s="515"/>
      <c r="C453" s="533"/>
      <c r="D453" s="506"/>
      <c r="E453" s="506"/>
      <c r="F453" s="510"/>
      <c r="G453" s="830"/>
      <c r="H453" s="538" t="s">
        <v>493</v>
      </c>
      <c r="I453" s="538" t="s">
        <v>490</v>
      </c>
      <c r="J453" s="831"/>
      <c r="K453" s="532"/>
      <c r="L453" s="532"/>
      <c r="M453" s="532"/>
      <c r="N453" s="532"/>
      <c r="O453" s="532"/>
      <c r="P453" s="532"/>
      <c r="Q453" s="518"/>
      <c r="R453" s="518"/>
    </row>
    <row customHeight="true" ht="16.071428571428573" r="454">
      <c r="A454" s="533"/>
      <c r="B454" s="515"/>
      <c r="C454" s="533"/>
      <c r="D454" s="506"/>
      <c r="E454" s="506"/>
      <c r="F454" s="510"/>
      <c r="G454" s="830"/>
      <c r="H454" s="538" t="s">
        <v>493</v>
      </c>
      <c r="I454" s="538" t="s">
        <v>490</v>
      </c>
      <c r="J454" s="831"/>
      <c r="K454" s="532"/>
      <c r="L454" s="532"/>
      <c r="M454" s="532"/>
      <c r="N454" s="532"/>
      <c r="O454" s="532"/>
      <c r="P454" s="532"/>
    </row>
    <row customHeight="true" ht="16.071428571428573" r="455">
      <c r="A455" s="533"/>
      <c r="B455" s="515"/>
      <c r="C455" s="533"/>
      <c r="D455" s="506"/>
      <c r="E455" s="506"/>
      <c r="F455" s="510"/>
      <c r="G455" s="830"/>
      <c r="H455" s="538" t="s">
        <v>493</v>
      </c>
      <c r="I455" s="538" t="s">
        <v>490</v>
      </c>
      <c r="J455" s="831"/>
      <c r="K455" s="532"/>
      <c r="L455" s="532"/>
      <c r="M455" s="532"/>
      <c r="N455" s="532"/>
      <c r="O455" s="532"/>
      <c r="P455" s="532"/>
    </row>
    <row customHeight="true" ht="16.071428571428573" r="456">
      <c r="A456" s="533"/>
      <c r="B456" s="515"/>
      <c r="C456" s="533"/>
      <c r="D456" s="506"/>
      <c r="E456" s="506"/>
      <c r="F456" s="510"/>
      <c r="G456" s="830"/>
      <c r="H456" s="538" t="s">
        <v>493</v>
      </c>
      <c r="I456" s="538" t="s">
        <v>468</v>
      </c>
      <c r="J456" s="831"/>
      <c r="K456" s="532"/>
      <c r="L456" s="532"/>
      <c r="M456" s="532"/>
      <c r="N456" s="532"/>
      <c r="O456" s="532"/>
      <c r="P456" s="532"/>
    </row>
    <row customHeight="true" ht="16.071428571428573" r="457">
      <c r="A457" s="533"/>
      <c r="B457" s="515"/>
      <c r="C457" s="533"/>
      <c r="D457" s="506"/>
      <c r="E457" s="506"/>
      <c r="F457" s="510"/>
      <c r="G457" s="830"/>
      <c r="H457" s="538" t="s">
        <v>493</v>
      </c>
      <c r="I457" s="538" t="s">
        <v>490</v>
      </c>
      <c r="J457" s="831"/>
      <c r="K457" s="532"/>
      <c r="L457" s="532"/>
      <c r="M457" s="532"/>
      <c r="N457" s="532"/>
      <c r="O457" s="532"/>
      <c r="P457" s="532"/>
    </row>
    <row customHeight="true" ht="16.071428571428573" r="458">
      <c r="A458" s="533"/>
      <c r="B458" s="515"/>
      <c r="C458" s="533"/>
      <c r="D458" s="506"/>
      <c r="E458" s="506"/>
      <c r="F458" s="542"/>
      <c r="G458" s="832"/>
      <c r="H458" s="538" t="s">
        <v>493</v>
      </c>
      <c r="I458" s="538" t="s">
        <v>468</v>
      </c>
      <c r="J458" s="833"/>
      <c r="K458" s="532"/>
      <c r="L458" s="532"/>
      <c r="M458" s="532"/>
      <c r="N458" s="532"/>
      <c r="O458" s="532"/>
      <c r="P458" s="532"/>
    </row>
    <row customHeight="true" ht="16.071428571428573" r="459">
      <c r="A459" s="533"/>
      <c r="B459" s="515"/>
      <c r="C459" s="533"/>
      <c r="D459" s="506"/>
      <c r="E459" s="506"/>
      <c r="F459" s="542"/>
      <c r="G459" s="832"/>
      <c r="H459" s="538" t="s">
        <v>493</v>
      </c>
      <c r="I459" s="538" t="s">
        <v>490</v>
      </c>
      <c r="J459" s="831"/>
      <c r="K459" s="532"/>
      <c r="L459" s="532"/>
      <c r="M459" s="532"/>
      <c r="N459" s="532"/>
      <c r="O459" s="532"/>
      <c r="P459" s="532"/>
    </row>
    <row customHeight="true" ht="16.071428571428573" r="460">
      <c r="A460" s="533"/>
      <c r="B460" s="515"/>
      <c r="C460" s="533"/>
      <c r="D460" s="506"/>
      <c r="E460" s="506"/>
      <c r="F460" s="834"/>
      <c r="G460" s="832"/>
      <c r="H460" s="538" t="s">
        <v>493</v>
      </c>
      <c r="I460" s="538" t="s">
        <v>468</v>
      </c>
      <c r="J460" s="507"/>
      <c r="K460" s="532"/>
      <c r="L460" s="532"/>
      <c r="M460" s="532"/>
      <c r="N460" s="532"/>
      <c r="O460" s="532"/>
      <c r="P460" s="532"/>
    </row>
    <row customHeight="true" ht="16.071428571428573" r="461">
      <c r="A461" s="533"/>
      <c r="B461" s="515"/>
      <c r="C461" s="533"/>
      <c r="D461" s="506"/>
      <c r="E461" s="506"/>
      <c r="F461" s="542"/>
      <c r="G461" s="832"/>
      <c r="H461" s="538" t="s">
        <v>493</v>
      </c>
      <c r="I461" s="538" t="s">
        <v>490</v>
      </c>
      <c r="J461" s="835"/>
      <c r="K461" s="532"/>
      <c r="L461" s="532"/>
      <c r="M461" s="532"/>
      <c r="N461" s="532"/>
      <c r="O461" s="532"/>
      <c r="P461" s="532"/>
    </row>
    <row customHeight="true" ht="16.071428571428573" r="462">
      <c r="A462" s="533"/>
      <c r="B462" s="515"/>
      <c r="C462" s="533"/>
      <c r="D462" s="506"/>
      <c r="E462" s="506"/>
      <c r="F462" s="542"/>
      <c r="G462" s="832"/>
      <c r="H462" s="538" t="s">
        <v>493</v>
      </c>
      <c r="I462" s="538" t="s">
        <v>490</v>
      </c>
      <c r="J462" s="831"/>
      <c r="K462" s="532"/>
      <c r="L462" s="532"/>
      <c r="M462" s="532"/>
      <c r="N462" s="532"/>
      <c r="O462" s="532"/>
      <c r="P462" s="532"/>
    </row>
    <row customHeight="true" ht="16.071428571428573" r="463">
      <c r="A463" s="533"/>
      <c r="B463" s="515"/>
      <c r="C463" s="533"/>
      <c r="D463" s="506"/>
      <c r="E463" s="506"/>
      <c r="F463" s="542"/>
      <c r="G463" s="832"/>
      <c r="H463" s="538" t="s">
        <v>493</v>
      </c>
      <c r="I463" s="538" t="s">
        <v>490</v>
      </c>
      <c r="J463" s="831"/>
      <c r="K463" s="532"/>
      <c r="L463" s="532"/>
      <c r="M463" s="532"/>
      <c r="N463" s="532"/>
      <c r="O463" s="532"/>
      <c r="P463" s="532"/>
    </row>
    <row customHeight="true" ht="16.071428571428573" r="464">
      <c r="A464" s="533"/>
      <c r="B464" s="515"/>
      <c r="C464" s="533"/>
      <c r="D464" s="506"/>
      <c r="E464" s="506"/>
      <c r="F464" s="834"/>
      <c r="G464" s="832"/>
      <c r="H464" s="538" t="s">
        <v>493</v>
      </c>
      <c r="I464" s="538" t="s">
        <v>490</v>
      </c>
      <c r="J464" s="835"/>
      <c r="K464" s="532"/>
      <c r="L464" s="532"/>
      <c r="M464" s="532"/>
      <c r="N464" s="532"/>
      <c r="O464" s="532"/>
      <c r="P464" s="532"/>
    </row>
    <row customHeight="true" ht="16.071428571428573" r="465">
      <c r="A465" s="533"/>
      <c r="B465" s="515"/>
      <c r="C465" s="533"/>
      <c r="D465" s="506"/>
      <c r="E465" s="506"/>
      <c r="F465" s="542"/>
      <c r="G465" s="832"/>
      <c r="H465" s="538"/>
      <c r="I465" s="538"/>
      <c r="J465" s="507"/>
      <c r="K465" s="532"/>
      <c r="L465" s="532"/>
      <c r="M465" s="532"/>
      <c r="N465" s="532"/>
      <c r="O465" s="532"/>
      <c r="P465" s="532"/>
    </row>
    <row customHeight="true" ht="25.221150023731926" r="466">
      <c r="A466" s="754" t="s">
        <v>802</v>
      </c>
      <c r="B466" s="836"/>
      <c r="C466" s="836"/>
      <c r="D466" s="836"/>
      <c r="E466" s="836"/>
      <c r="F466" s="836"/>
      <c r="G466" s="836"/>
      <c r="H466" s="837"/>
      <c r="I466" s="836"/>
      <c r="J466" s="836"/>
      <c r="K466" s="836"/>
      <c r="L466" s="836"/>
      <c r="M466" s="836"/>
      <c r="N466" s="836"/>
      <c r="O466" s="836"/>
      <c r="P466" s="836"/>
      <c r="Q466" s="756"/>
      <c r="R466" s="756"/>
    </row>
    <row customHeight="true" ht="31.17353097611288" r="467">
      <c r="A467" s="757" t="s">
        <v>478</v>
      </c>
      <c r="B467" s="758" t="s">
        <v>479</v>
      </c>
      <c r="C467" s="758"/>
      <c r="D467" s="759" t="s">
        <v>480</v>
      </c>
      <c r="E467" s="760" t="s">
        <v>481</v>
      </c>
      <c r="F467" s="760" t="s">
        <v>482</v>
      </c>
      <c r="G467" s="761" t="s">
        <v>495</v>
      </c>
      <c r="H467" s="760" t="s">
        <v>484</v>
      </c>
      <c r="I467" s="760" t="s">
        <v>485</v>
      </c>
      <c r="J467" s="762" t="s">
        <v>486</v>
      </c>
      <c r="K467" s="763"/>
      <c r="L467" s="763"/>
      <c r="M467" s="763"/>
      <c r="N467" s="763"/>
      <c r="O467" s="763"/>
      <c r="P467" s="763"/>
      <c r="Q467" s="756"/>
      <c r="R467" s="756"/>
    </row>
    <row customHeight="true" ht="16.071428571428573" r="468">
      <c r="A468" s="533" t="s">
        <v>802</v>
      </c>
      <c r="B468" s="515">
        <v>46294</v>
      </c>
      <c r="C468" s="533" t="str">
        <v>Tuesday</v>
      </c>
      <c r="D468" s="506" t="s">
        <v>640</v>
      </c>
      <c r="E468" s="506">
        <f t="shared" ref="E468:E481" si="113">24*MOD(TIMEVALUE(TRIM(MID(D468,FIND("-",D468)+1,LEN(D468)))) - TIMEVALUE(TRIM(LEFT(D468,FIND("-",D468)-1))),1)</f>
      </c>
      <c r="F468" s="510" t="s">
        <v>795</v>
      </c>
      <c r="G468" s="830"/>
      <c r="H468" s="538" t="s">
        <v>493</v>
      </c>
      <c r="I468" s="538" t="s">
        <v>490</v>
      </c>
      <c r="J468" s="831"/>
      <c r="K468" s="532"/>
      <c r="L468" s="532"/>
      <c r="M468" s="532"/>
      <c r="N468" s="532"/>
      <c r="O468" s="532"/>
      <c r="P468" s="532"/>
    </row>
    <row customHeight="true" ht="16.071428571428573" r="469">
      <c r="A469" s="533" t="s">
        <v>802</v>
      </c>
      <c r="B469" s="515">
        <v>46295</v>
      </c>
      <c r="C469" s="533" t="str">
        <v>Wednesday</v>
      </c>
      <c r="D469" s="506" t="s">
        <v>640</v>
      </c>
      <c r="E469" s="506">
        <f t="shared" si="113"/>
      </c>
      <c r="F469" s="510" t="s">
        <v>803</v>
      </c>
      <c r="G469" s="830"/>
      <c r="H469" s="538" t="s">
        <v>493</v>
      </c>
      <c r="I469" s="538" t="s">
        <v>490</v>
      </c>
      <c r="J469" s="831"/>
      <c r="K469" s="532"/>
      <c r="L469" s="532"/>
      <c r="M469" s="532"/>
      <c r="N469" s="532"/>
      <c r="O469" s="532"/>
      <c r="P469" s="532"/>
    </row>
    <row customHeight="true" ht="16.071428571428573" r="470">
      <c r="A470" s="533" t="s">
        <v>802</v>
      </c>
      <c r="B470" s="515">
        <v>46296</v>
      </c>
      <c r="C470" s="533" t="str">
        <v>Thursday</v>
      </c>
      <c r="D470" s="506" t="s">
        <v>640</v>
      </c>
      <c r="E470" s="506">
        <f t="shared" si="113"/>
      </c>
      <c r="F470" s="510" t="s">
        <v>803</v>
      </c>
      <c r="G470" s="830"/>
      <c r="H470" s="538" t="s">
        <v>493</v>
      </c>
      <c r="I470" s="538" t="s">
        <v>490</v>
      </c>
      <c r="J470" s="831"/>
      <c r="K470" s="532"/>
      <c r="L470" s="532"/>
      <c r="M470" s="532"/>
      <c r="N470" s="532"/>
      <c r="O470" s="532"/>
      <c r="P470" s="532"/>
    </row>
    <row customHeight="true" ht="16.071428571428573" r="471">
      <c r="A471" s="533" t="s">
        <v>802</v>
      </c>
      <c r="B471" s="515">
        <v>46297</v>
      </c>
      <c r="C471" s="533" t="str">
        <v>Friday</v>
      </c>
      <c r="D471" s="506" t="s">
        <v>721</v>
      </c>
      <c r="E471" s="506">
        <f t="shared" si="113"/>
      </c>
      <c r="F471" s="510" t="s">
        <v>507</v>
      </c>
      <c r="G471" s="830"/>
      <c r="H471" s="538" t="s">
        <v>493</v>
      </c>
      <c r="I471" s="538" t="s">
        <v>490</v>
      </c>
      <c r="J471" s="831"/>
      <c r="K471" s="532"/>
      <c r="L471" s="532"/>
      <c r="M471" s="532"/>
      <c r="N471" s="532"/>
      <c r="O471" s="532"/>
      <c r="P471" s="532"/>
    </row>
    <row customHeight="true" ht="16.071428571428573" r="472">
      <c r="A472" s="533" t="s">
        <v>802</v>
      </c>
      <c r="B472" s="515">
        <v>46298</v>
      </c>
      <c r="C472" s="533" t="str">
        <v>Saturday</v>
      </c>
      <c r="D472" s="506" t="s">
        <v>804</v>
      </c>
      <c r="E472" s="506">
        <f t="shared" si="113"/>
      </c>
      <c r="F472" s="510" t="s">
        <v>507</v>
      </c>
      <c r="G472" s="830"/>
      <c r="H472" s="538" t="s">
        <v>493</v>
      </c>
      <c r="I472" s="538" t="s">
        <v>490</v>
      </c>
      <c r="J472" s="831"/>
      <c r="K472" s="532"/>
      <c r="L472" s="532"/>
      <c r="M472" s="532"/>
      <c r="N472" s="532"/>
      <c r="O472" s="532"/>
      <c r="P472" s="532"/>
    </row>
    <row customHeight="true" ht="16.071428571428573" r="473">
      <c r="A473" s="533" t="s">
        <v>802</v>
      </c>
      <c r="B473" s="515">
        <v>46299</v>
      </c>
      <c r="C473" s="533" t="str">
        <v>Sunday</v>
      </c>
      <c r="D473" s="506" t="s">
        <v>805</v>
      </c>
      <c r="E473" s="506">
        <f t="shared" si="113"/>
      </c>
      <c r="F473" s="510" t="s">
        <v>795</v>
      </c>
      <c r="G473" s="830"/>
      <c r="H473" s="538" t="s">
        <v>493</v>
      </c>
      <c r="I473" s="538" t="s">
        <v>490</v>
      </c>
      <c r="J473" s="831"/>
      <c r="K473" s="532"/>
      <c r="L473" s="532"/>
      <c r="M473" s="532"/>
      <c r="N473" s="532"/>
      <c r="O473" s="532"/>
      <c r="P473" s="532"/>
    </row>
    <row customHeight="true" ht="16.071428571428573" r="474">
      <c r="A474" s="533" t="s">
        <v>806</v>
      </c>
      <c r="B474" s="515">
        <v>46294</v>
      </c>
      <c r="C474" s="533" t="str">
        <v>Tuesday</v>
      </c>
      <c r="D474" s="506" t="s">
        <v>804</v>
      </c>
      <c r="E474" s="506">
        <f t="shared" si="113"/>
      </c>
      <c r="F474" s="510" t="s">
        <v>507</v>
      </c>
      <c r="G474" s="830"/>
      <c r="H474" s="538" t="s">
        <v>493</v>
      </c>
      <c r="I474" s="538" t="s">
        <v>490</v>
      </c>
      <c r="J474" s="831"/>
      <c r="K474" s="532"/>
      <c r="L474" s="532"/>
      <c r="M474" s="532"/>
      <c r="N474" s="532"/>
      <c r="O474" s="532"/>
      <c r="P474" s="532"/>
    </row>
    <row customHeight="true" ht="16.071428571428573" r="475">
      <c r="A475" s="533" t="s">
        <v>806</v>
      </c>
      <c r="B475" s="515">
        <v>46294</v>
      </c>
      <c r="C475" s="533" t="str">
        <v>Tuesday</v>
      </c>
      <c r="D475" s="506" t="s">
        <v>807</v>
      </c>
      <c r="E475" s="506">
        <f t="shared" si="113"/>
      </c>
      <c r="F475" s="510" t="s">
        <v>507</v>
      </c>
      <c r="G475" s="830"/>
      <c r="H475" s="538" t="s">
        <v>493</v>
      </c>
      <c r="I475" s="538" t="s">
        <v>490</v>
      </c>
      <c r="J475" s="831"/>
      <c r="K475" s="532"/>
      <c r="L475" s="532"/>
      <c r="M475" s="532"/>
      <c r="N475" s="532"/>
      <c r="O475" s="532"/>
      <c r="P475" s="532"/>
    </row>
    <row customHeight="true" ht="16.071428571428573" r="476">
      <c r="A476" s="533" t="s">
        <v>808</v>
      </c>
      <c r="B476" s="515">
        <v>46294</v>
      </c>
      <c r="C476" s="533" t="str">
        <v>Tuesday</v>
      </c>
      <c r="D476" s="506" t="s">
        <v>809</v>
      </c>
      <c r="E476" s="506">
        <f t="shared" si="113"/>
      </c>
      <c r="F476" s="510" t="s">
        <v>530</v>
      </c>
      <c r="G476" s="830"/>
      <c r="H476" s="538" t="s">
        <v>493</v>
      </c>
      <c r="I476" s="538" t="s">
        <v>490</v>
      </c>
      <c r="J476" s="831"/>
      <c r="K476" s="532"/>
      <c r="L476" s="532"/>
      <c r="M476" s="532"/>
      <c r="N476" s="532"/>
      <c r="O476" s="532"/>
      <c r="P476" s="532"/>
    </row>
    <row customHeight="true" ht="18.63354037272118" r="477">
      <c r="A477" s="533" t="s">
        <v>808</v>
      </c>
      <c r="B477" s="515">
        <v>46295</v>
      </c>
      <c r="C477" s="533" t="str">
        <v>Wednesday</v>
      </c>
      <c r="D477" s="506" t="s">
        <v>809</v>
      </c>
      <c r="E477" s="506">
        <f t="shared" si="113"/>
      </c>
      <c r="F477" s="510" t="s">
        <v>613</v>
      </c>
      <c r="G477" s="830"/>
      <c r="H477" s="538" t="s">
        <v>493</v>
      </c>
      <c r="I477" s="538" t="s">
        <v>490</v>
      </c>
      <c r="J477" s="831"/>
      <c r="K477" s="532"/>
      <c r="L477" s="532"/>
      <c r="M477" s="532"/>
      <c r="N477" s="532"/>
      <c r="O477" s="532"/>
      <c r="P477" s="532"/>
    </row>
    <row customHeight="true" ht="16.071428571428573" r="478">
      <c r="A478" s="533" t="s">
        <v>808</v>
      </c>
      <c r="B478" s="515">
        <v>46296</v>
      </c>
      <c r="C478" s="533" t="str">
        <v>Thursday</v>
      </c>
      <c r="D478" s="506" t="s">
        <v>809</v>
      </c>
      <c r="E478" s="506">
        <f t="shared" si="113"/>
      </c>
      <c r="F478" s="510" t="s">
        <v>530</v>
      </c>
      <c r="G478" s="830"/>
      <c r="H478" s="538" t="s">
        <v>493</v>
      </c>
      <c r="I478" s="538" t="s">
        <v>490</v>
      </c>
      <c r="J478" s="831"/>
      <c r="K478" s="532"/>
      <c r="L478" s="532"/>
      <c r="M478" s="532"/>
      <c r="N478" s="532"/>
      <c r="O478" s="532"/>
      <c r="P478" s="532"/>
    </row>
    <row customHeight="true" ht="16.071428571428573" r="479">
      <c r="A479" s="533" t="s">
        <v>808</v>
      </c>
      <c r="B479" s="515">
        <v>46297</v>
      </c>
      <c r="C479" s="533" t="str">
        <v>Friday</v>
      </c>
      <c r="D479" s="506" t="s">
        <v>755</v>
      </c>
      <c r="E479" s="506">
        <f t="shared" si="113"/>
      </c>
      <c r="F479" s="510" t="s">
        <v>792</v>
      </c>
      <c r="G479" s="830"/>
      <c r="H479" s="538" t="s">
        <v>493</v>
      </c>
      <c r="I479" s="538" t="s">
        <v>490</v>
      </c>
      <c r="J479" s="831"/>
      <c r="K479" s="532"/>
      <c r="L479" s="532"/>
      <c r="M479" s="532"/>
      <c r="N479" s="532"/>
      <c r="O479" s="532"/>
      <c r="P479" s="532"/>
    </row>
    <row customHeight="true" ht="16.071428571428573" r="480">
      <c r="A480" s="533" t="s">
        <v>808</v>
      </c>
      <c r="B480" s="515">
        <v>46298</v>
      </c>
      <c r="C480" s="533" t="str">
        <v>Saturday</v>
      </c>
      <c r="D480" s="506" t="s">
        <v>810</v>
      </c>
      <c r="E480" s="506">
        <f t="shared" si="113"/>
      </c>
      <c r="F480" s="510" t="s">
        <v>530</v>
      </c>
      <c r="G480" s="830"/>
      <c r="H480" s="538" t="s">
        <v>493</v>
      </c>
      <c r="I480" s="538" t="s">
        <v>490</v>
      </c>
      <c r="J480" s="831"/>
      <c r="K480" s="532"/>
      <c r="L480" s="532"/>
      <c r="M480" s="532"/>
      <c r="N480" s="532"/>
      <c r="O480" s="532"/>
      <c r="P480" s="532"/>
    </row>
    <row customHeight="true" ht="16.071428571428573" r="481">
      <c r="A481" s="533" t="s">
        <v>808</v>
      </c>
      <c r="B481" s="515">
        <v>46299</v>
      </c>
      <c r="C481" s="533" t="str">
        <v>Sunday</v>
      </c>
      <c r="D481" s="506" t="s">
        <v>811</v>
      </c>
      <c r="E481" s="506">
        <f t="shared" si="113"/>
      </c>
      <c r="F481" s="510" t="s">
        <v>812</v>
      </c>
      <c r="G481" s="830"/>
      <c r="H481" s="538" t="s">
        <v>493</v>
      </c>
      <c r="I481" s="538" t="s">
        <v>490</v>
      </c>
      <c r="J481" s="831"/>
      <c r="K481" s="532"/>
      <c r="L481" s="532"/>
      <c r="M481" s="532"/>
      <c r="N481" s="532"/>
      <c r="O481" s="532"/>
      <c r="P481" s="532"/>
    </row>
    <row customHeight="true" ht="16.071428571428573" r="482">
      <c r="A482" s="533"/>
      <c r="B482" s="515"/>
      <c r="C482" s="533"/>
      <c r="D482" s="506"/>
      <c r="E482" s="506"/>
      <c r="F482" s="510"/>
      <c r="G482" s="830"/>
      <c r="H482" s="538"/>
      <c r="I482" s="538"/>
      <c r="J482" s="831"/>
      <c r="K482" s="532"/>
      <c r="L482" s="532"/>
      <c r="M482" s="532"/>
      <c r="N482" s="532"/>
      <c r="O482" s="532"/>
      <c r="P482" s="532"/>
    </row>
    <row customHeight="true" ht="16.071428571428573" r="483">
      <c r="A483" s="533"/>
      <c r="B483" s="533"/>
      <c r="C483" s="533"/>
      <c r="D483" s="506"/>
      <c r="E483" s="506"/>
      <c r="F483" s="834"/>
      <c r="G483" s="832"/>
      <c r="H483" s="538"/>
      <c r="I483" s="538"/>
      <c r="J483" s="833"/>
      <c r="K483" s="532"/>
      <c r="L483" s="532"/>
      <c r="M483" s="532"/>
      <c r="N483" s="532"/>
      <c r="O483" s="532"/>
      <c r="P483" s="532"/>
    </row>
    <row customHeight="true" ht="16.071428571428573" r="484">
      <c r="A484" s="544"/>
      <c r="B484" s="544"/>
      <c r="C484" s="544"/>
      <c r="D484" s="678"/>
      <c r="E484" s="544"/>
      <c r="F484" s="544"/>
      <c r="G484" s="544"/>
      <c r="H484" s="678"/>
      <c r="I484" s="544"/>
      <c r="J484" s="544"/>
      <c r="K484" s="631"/>
      <c r="L484" s="631"/>
      <c r="M484" s="631"/>
      <c r="N484" s="631"/>
      <c r="O484" s="631"/>
      <c r="P484" s="631"/>
    </row>
    <row customHeight="true" ht="37.219887955226724" r="485">
      <c r="A485" s="838" t="s">
        <v>813</v>
      </c>
      <c r="B485" s="838"/>
      <c r="C485" s="838"/>
      <c r="D485" s="838"/>
      <c r="E485" s="838"/>
      <c r="F485" s="838"/>
      <c r="G485" s="838"/>
      <c r="H485" s="838"/>
      <c r="I485" s="838"/>
      <c r="J485" s="839"/>
      <c r="K485" s="547"/>
      <c r="L485" s="547"/>
      <c r="M485" s="547"/>
      <c r="N485" s="547"/>
      <c r="O485" s="547"/>
      <c r="P485" s="547"/>
    </row>
    <row r="486">
      <c r="A486" s="840" t="s">
        <v>478</v>
      </c>
      <c r="B486" s="683" t="s">
        <v>479</v>
      </c>
      <c r="C486" s="683"/>
      <c r="D486" s="685" t="s">
        <v>480</v>
      </c>
      <c r="E486" s="841" t="s">
        <v>481</v>
      </c>
      <c r="F486" s="841" t="s">
        <v>482</v>
      </c>
      <c r="G486" s="842" t="s">
        <v>495</v>
      </c>
      <c r="H486" s="841" t="s">
        <v>484</v>
      </c>
      <c r="I486" s="688" t="s">
        <v>485</v>
      </c>
      <c r="J486" s="843" t="s">
        <v>486</v>
      </c>
      <c r="K486" s="532"/>
      <c r="L486" s="532"/>
      <c r="M486" s="532"/>
      <c r="N486" s="532"/>
      <c r="O486" s="532"/>
      <c r="P486" s="532"/>
    </row>
    <row r="487">
      <c r="A487" s="533" t="s">
        <v>814</v>
      </c>
      <c r="B487" s="515">
        <v>46293</v>
      </c>
      <c r="C487" s="533" t="str">
        <v>Monday</v>
      </c>
      <c r="D487" s="624" t="s">
        <v>656</v>
      </c>
      <c r="E487" s="510">
        <f t="shared" ref="E487:E492" si="114">24*MOD(TIMEVALUE(TRIM(MID(D487,FIND("-",D487)+1,LEN(D487)))) - TIMEVALUE(TRIM(LEFT(D487,FIND("-",D487)-1))),1)</f>
      </c>
      <c r="F487" s="844" t="s">
        <v>607</v>
      </c>
      <c r="G487" s="626"/>
      <c r="H487" s="510" t="s">
        <v>493</v>
      </c>
      <c r="I487" s="538" t="s">
        <v>468</v>
      </c>
      <c r="J487" s="524"/>
      <c r="K487" s="512"/>
      <c r="L487" s="512"/>
      <c r="M487" s="512"/>
      <c r="N487" s="512"/>
      <c r="O487" s="512"/>
      <c r="P487" s="512"/>
    </row>
    <row customHeight="true" ht="18.452380952380953" r="488">
      <c r="A488" s="533" t="s">
        <v>814</v>
      </c>
      <c r="B488" s="515">
        <v>46293</v>
      </c>
      <c r="C488" s="533" t="str">
        <v>Monday</v>
      </c>
      <c r="D488" s="624" t="s">
        <v>815</v>
      </c>
      <c r="E488" s="510">
        <f t="shared" si="114"/>
      </c>
      <c r="F488" s="845" t="s">
        <v>676</v>
      </c>
      <c r="G488" s="626"/>
      <c r="H488" s="510" t="s">
        <v>493</v>
      </c>
      <c r="I488" s="538" t="s">
        <v>468</v>
      </c>
      <c r="J488" s="524"/>
      <c r="K488" s="512"/>
      <c r="L488" s="512"/>
      <c r="M488" s="512"/>
      <c r="N488" s="512"/>
      <c r="O488" s="512"/>
      <c r="P488" s="512"/>
    </row>
    <row customHeight="true" ht="18.452380952380953" r="489">
      <c r="A489" s="533" t="s">
        <v>814</v>
      </c>
      <c r="B489" s="515">
        <v>46293</v>
      </c>
      <c r="C489" s="533" t="str">
        <v>Monday</v>
      </c>
      <c r="D489" s="624" t="s">
        <v>745</v>
      </c>
      <c r="E489" s="510">
        <f t="shared" si="114"/>
      </c>
      <c r="F489" s="538" t="s">
        <v>672</v>
      </c>
      <c r="G489" s="626"/>
      <c r="H489" s="510" t="s">
        <v>493</v>
      </c>
      <c r="I489" s="538" t="s">
        <v>468</v>
      </c>
      <c r="J489" s="524"/>
      <c r="K489" s="512"/>
      <c r="L489" s="512"/>
      <c r="M489" s="512"/>
      <c r="N489" s="512"/>
      <c r="O489" s="512"/>
      <c r="P489" s="512"/>
    </row>
    <row r="490">
      <c r="A490" s="533" t="s">
        <v>814</v>
      </c>
      <c r="B490" s="515">
        <v>46293</v>
      </c>
      <c r="C490" s="533" t="str">
        <v>Monday</v>
      </c>
      <c r="D490" s="624" t="s">
        <v>522</v>
      </c>
      <c r="E490" s="510">
        <f t="shared" si="114"/>
      </c>
      <c r="F490" s="538" t="s">
        <v>751</v>
      </c>
      <c r="G490" s="626"/>
      <c r="H490" s="510" t="s">
        <v>493</v>
      </c>
      <c r="I490" s="538" t="s">
        <v>468</v>
      </c>
      <c r="J490" s="524"/>
      <c r="K490" s="512"/>
      <c r="L490" s="512"/>
      <c r="M490" s="512"/>
      <c r="N490" s="512"/>
      <c r="O490" s="512"/>
      <c r="P490" s="512"/>
    </row>
    <row customHeight="true" ht="18.452380952380953" r="491">
      <c r="A491" s="533" t="s">
        <v>814</v>
      </c>
      <c r="B491" s="515">
        <v>46293</v>
      </c>
      <c r="C491" s="533" t="str">
        <v>Monday</v>
      </c>
      <c r="D491" s="624" t="s">
        <v>627</v>
      </c>
      <c r="E491" s="510">
        <f t="shared" si="114"/>
      </c>
      <c r="F491" s="845" t="s">
        <v>676</v>
      </c>
      <c r="G491" s="626"/>
      <c r="H491" s="510" t="s">
        <v>493</v>
      </c>
      <c r="I491" s="538" t="s">
        <v>468</v>
      </c>
      <c r="J491" s="524"/>
      <c r="K491" s="512"/>
      <c r="L491" s="512"/>
      <c r="M491" s="512"/>
      <c r="N491" s="512"/>
      <c r="O491" s="512"/>
      <c r="P491" s="512"/>
    </row>
    <row r="492">
      <c r="A492" s="533" t="s">
        <v>814</v>
      </c>
      <c r="B492" s="515">
        <v>46293</v>
      </c>
      <c r="C492" s="533" t="str">
        <v>Monday</v>
      </c>
      <c r="D492" s="624" t="s">
        <v>574</v>
      </c>
      <c r="E492" s="510">
        <f t="shared" si="114"/>
      </c>
      <c r="F492" s="656" t="s">
        <v>816</v>
      </c>
      <c r="G492" s="830"/>
      <c r="H492" s="510" t="s">
        <v>493</v>
      </c>
      <c r="I492" s="538" t="s">
        <v>468</v>
      </c>
      <c r="J492" s="524"/>
      <c r="K492" s="512"/>
      <c r="L492" s="512"/>
      <c r="M492" s="512"/>
      <c r="N492" s="512"/>
      <c r="O492" s="512"/>
      <c r="P492" s="512"/>
    </row>
    <row r="493">
      <c r="A493" s="533"/>
      <c r="B493" s="533"/>
      <c r="C493" s="533"/>
      <c r="D493" s="538"/>
      <c r="E493" s="510"/>
      <c r="F493" s="845"/>
      <c r="G493" s="846"/>
      <c r="H493" s="510"/>
      <c r="I493" s="538"/>
      <c r="J493" s="524"/>
      <c r="K493" s="512"/>
      <c r="L493" s="512"/>
      <c r="M493" s="512"/>
      <c r="N493" s="512"/>
      <c r="O493" s="512"/>
      <c r="P493" s="512"/>
    </row>
    <row customHeight="true" ht="18.452380952380953" r="494">
      <c r="A494" s="533" t="s">
        <v>817</v>
      </c>
      <c r="B494" s="515">
        <v>46293</v>
      </c>
      <c r="C494" s="533" t="str">
        <v>Monday</v>
      </c>
      <c r="D494" s="624" t="s">
        <v>759</v>
      </c>
      <c r="E494" s="703">
        <f t="shared" ref="E494:E498" si="115">24*MOD(TIMEVALUE(TRIM(MID(D494,FIND("-",D494)+1,LEN(D494)))) - TIMEVALUE(TRIM(LEFT(D494,FIND("-",D494)-1))),1)</f>
      </c>
      <c r="F494" s="656" t="s">
        <v>514</v>
      </c>
      <c r="G494" s="846"/>
      <c r="H494" s="510" t="s">
        <v>493</v>
      </c>
      <c r="I494" s="538" t="s">
        <v>468</v>
      </c>
      <c r="J494" s="524"/>
      <c r="K494" s="512"/>
      <c r="L494" s="512"/>
      <c r="M494" s="512"/>
      <c r="N494" s="512"/>
      <c r="O494" s="512"/>
      <c r="P494" s="512"/>
    </row>
    <row r="495">
      <c r="A495" s="533" t="s">
        <v>817</v>
      </c>
      <c r="B495" s="515">
        <v>46293</v>
      </c>
      <c r="C495" s="533" t="str">
        <v>Monday</v>
      </c>
      <c r="D495" s="624" t="s">
        <v>522</v>
      </c>
      <c r="E495" s="703">
        <f t="shared" si="115"/>
      </c>
      <c r="F495" s="656" t="s">
        <v>514</v>
      </c>
      <c r="G495" s="847"/>
      <c r="H495" s="734" t="s">
        <v>493</v>
      </c>
      <c r="I495" s="538" t="s">
        <v>468</v>
      </c>
      <c r="J495" s="524"/>
      <c r="K495" s="512"/>
      <c r="L495" s="512"/>
      <c r="M495" s="512"/>
      <c r="N495" s="512"/>
      <c r="O495" s="512"/>
      <c r="P495" s="512"/>
    </row>
    <row customHeight="true" ht="18.452380952380953" r="496">
      <c r="A496" s="533" t="s">
        <v>817</v>
      </c>
      <c r="B496" s="515">
        <v>46293</v>
      </c>
      <c r="C496" s="533" t="str">
        <v>Monday</v>
      </c>
      <c r="D496" s="506" t="s">
        <v>627</v>
      </c>
      <c r="E496" s="703">
        <f t="shared" si="115"/>
      </c>
      <c r="F496" s="656" t="s">
        <v>818</v>
      </c>
      <c r="G496" s="847"/>
      <c r="H496" s="734" t="s">
        <v>493</v>
      </c>
      <c r="I496" s="538" t="s">
        <v>468</v>
      </c>
      <c r="J496" s="524"/>
      <c r="K496" s="512"/>
      <c r="L496" s="512"/>
      <c r="M496" s="512"/>
      <c r="N496" s="512"/>
      <c r="O496" s="512"/>
      <c r="P496" s="512"/>
    </row>
    <row customHeight="true" ht="18.452380952380953" r="497">
      <c r="A497" s="533" t="s">
        <v>817</v>
      </c>
      <c r="B497" s="515">
        <v>46293</v>
      </c>
      <c r="C497" s="533" t="str">
        <v>Monday</v>
      </c>
      <c r="D497" s="506" t="s">
        <v>629</v>
      </c>
      <c r="E497" s="703">
        <f t="shared" si="115"/>
      </c>
      <c r="F497" s="522" t="s">
        <v>593</v>
      </c>
      <c r="G497" s="847"/>
      <c r="H497" s="734" t="s">
        <v>493</v>
      </c>
      <c r="I497" s="538" t="s">
        <v>468</v>
      </c>
      <c r="J497" s="524"/>
      <c r="K497" s="512"/>
      <c r="L497" s="512"/>
      <c r="M497" s="512"/>
      <c r="N497" s="512"/>
      <c r="O497" s="512"/>
      <c r="P497" s="512"/>
    </row>
    <row customHeight="true" ht="18.452380952380953" r="498">
      <c r="A498" s="533" t="s">
        <v>817</v>
      </c>
      <c r="B498" s="515">
        <v>46293</v>
      </c>
      <c r="C498" s="533" t="str">
        <v>Monday</v>
      </c>
      <c r="D498" s="506" t="s">
        <v>819</v>
      </c>
      <c r="E498" s="703">
        <f t="shared" si="115"/>
      </c>
      <c r="F498" s="656" t="s">
        <v>818</v>
      </c>
      <c r="G498" s="848"/>
      <c r="H498" s="510" t="s">
        <v>493</v>
      </c>
      <c r="I498" s="538" t="s">
        <v>468</v>
      </c>
      <c r="J498" s="524"/>
      <c r="K498" s="512"/>
      <c r="L498" s="512"/>
      <c r="M498" s="512"/>
      <c r="N498" s="512"/>
      <c r="O498" s="512"/>
      <c r="P498" s="512"/>
    </row>
    <row customHeight="true" ht="18.452380952380953" r="499">
      <c r="A499" s="533"/>
      <c r="B499" s="533"/>
      <c r="C499" s="533"/>
      <c r="D499" s="538"/>
      <c r="E499" s="703"/>
      <c r="F499" s="538"/>
      <c r="G499" s="848"/>
      <c r="H499" s="510"/>
      <c r="I499" s="538"/>
      <c r="J499" s="524"/>
      <c r="K499" s="512"/>
      <c r="L499" s="512"/>
      <c r="M499" s="512"/>
      <c r="N499" s="512"/>
      <c r="O499" s="512"/>
      <c r="P499" s="512"/>
    </row>
    <row customHeight="true" ht="18.452380952380953" r="500">
      <c r="A500" s="849" t="s">
        <v>814</v>
      </c>
      <c r="B500" s="850">
        <v>46294</v>
      </c>
      <c r="C500" s="849" t="str">
        <v>Tuesday</v>
      </c>
      <c r="D500" s="851" t="s">
        <v>820</v>
      </c>
      <c r="E500" s="852">
        <f t="shared" ref="E500:E505" si="116">24*MOD(TIMEVALUE(TRIM(MID(D500,FIND("-",D500)+1,LEN(D500)))) - TIMEVALUE(TRIM(LEFT(D500,FIND("-",D500)-1))),1)</f>
      </c>
      <c r="F500" s="853" t="s">
        <v>821</v>
      </c>
      <c r="G500" s="626"/>
      <c r="H500" s="510" t="s">
        <v>493</v>
      </c>
      <c r="I500" s="538" t="s">
        <v>468</v>
      </c>
      <c r="J500" s="524"/>
      <c r="K500" s="512"/>
      <c r="L500" s="512"/>
      <c r="M500" s="512"/>
      <c r="N500" s="512"/>
      <c r="O500" s="512"/>
      <c r="P500" s="512"/>
    </row>
    <row customHeight="true" ht="18.452380952380953" r="501">
      <c r="A501" s="647" t="s">
        <v>814</v>
      </c>
      <c r="B501" s="646">
        <v>46294</v>
      </c>
      <c r="C501" s="647" t="str">
        <v>Tuesday</v>
      </c>
      <c r="D501" s="648" t="s">
        <v>606</v>
      </c>
      <c r="E501" s="649">
        <f t="shared" si="116"/>
      </c>
      <c r="F501" s="649" t="s">
        <v>816</v>
      </c>
      <c r="G501" s="704"/>
      <c r="H501" s="649" t="s">
        <v>493</v>
      </c>
      <c r="I501" s="649" t="s">
        <v>468</v>
      </c>
      <c r="J501" s="854" t="s">
        <v>822</v>
      </c>
      <c r="K501" s="706"/>
      <c r="L501" s="706"/>
      <c r="M501" s="706"/>
      <c r="N501" s="706"/>
      <c r="O501" s="706"/>
      <c r="P501" s="706"/>
      <c r="Q501" s="653"/>
      <c r="R501" s="653"/>
    </row>
    <row customHeight="true" ht="18.452380952380953" r="502">
      <c r="A502" s="849" t="s">
        <v>814</v>
      </c>
      <c r="B502" s="850">
        <v>46294</v>
      </c>
      <c r="C502" s="849" t="str">
        <v>Tuesday</v>
      </c>
      <c r="D502" s="620" t="s">
        <v>755</v>
      </c>
      <c r="E502" s="852">
        <f t="shared" si="116"/>
      </c>
      <c r="F502" s="855" t="s">
        <v>676</v>
      </c>
      <c r="G502" s="626"/>
      <c r="H502" s="510" t="s">
        <v>493</v>
      </c>
      <c r="I502" s="538" t="s">
        <v>468</v>
      </c>
      <c r="J502" s="524"/>
      <c r="K502" s="512"/>
      <c r="L502" s="512"/>
      <c r="M502" s="512"/>
      <c r="N502" s="512"/>
      <c r="O502" s="512"/>
      <c r="P502" s="512"/>
    </row>
    <row customHeight="true" ht="18.452380952380953" r="503">
      <c r="A503" s="849" t="s">
        <v>814</v>
      </c>
      <c r="B503" s="850">
        <v>46294</v>
      </c>
      <c r="C503" s="849" t="str">
        <v>Tuesday</v>
      </c>
      <c r="D503" s="620" t="s">
        <v>725</v>
      </c>
      <c r="E503" s="852">
        <f t="shared" si="116"/>
      </c>
      <c r="F503" s="855" t="s">
        <v>558</v>
      </c>
      <c r="G503" s="626"/>
      <c r="H503" s="510" t="s">
        <v>493</v>
      </c>
      <c r="I503" s="538" t="s">
        <v>468</v>
      </c>
      <c r="J503" s="524"/>
      <c r="K503" s="512"/>
      <c r="L503" s="512"/>
      <c r="M503" s="512"/>
      <c r="N503" s="512"/>
      <c r="O503" s="512"/>
      <c r="P503" s="512"/>
    </row>
    <row customHeight="true" ht="18.452380952380953" r="504">
      <c r="A504" s="849" t="s">
        <v>814</v>
      </c>
      <c r="B504" s="850">
        <v>46294</v>
      </c>
      <c r="C504" s="849" t="str">
        <v>Tuesday</v>
      </c>
      <c r="D504" s="851" t="s">
        <v>627</v>
      </c>
      <c r="E504" s="852">
        <f t="shared" si="116"/>
      </c>
      <c r="F504" s="855" t="s">
        <v>672</v>
      </c>
      <c r="G504" s="626"/>
      <c r="H504" s="510" t="s">
        <v>493</v>
      </c>
      <c r="I504" s="538" t="s">
        <v>468</v>
      </c>
      <c r="J504" s="524"/>
      <c r="K504" s="512"/>
      <c r="L504" s="512"/>
      <c r="M504" s="512"/>
      <c r="N504" s="512"/>
      <c r="O504" s="512"/>
      <c r="P504" s="512"/>
    </row>
    <row customHeight="true" ht="18.452380952380953" r="505">
      <c r="A505" s="849" t="s">
        <v>814</v>
      </c>
      <c r="B505" s="850">
        <v>46294</v>
      </c>
      <c r="C505" s="849" t="str">
        <v>Tuesday</v>
      </c>
      <c r="D505" s="851" t="s">
        <v>574</v>
      </c>
      <c r="E505" s="852">
        <f t="shared" si="116"/>
      </c>
      <c r="F505" s="855" t="s">
        <v>558</v>
      </c>
      <c r="G505" s="830"/>
      <c r="H505" s="510" t="s">
        <v>493</v>
      </c>
      <c r="I505" s="538" t="s">
        <v>468</v>
      </c>
      <c r="J505" s="524"/>
      <c r="K505" s="512"/>
      <c r="L505" s="512"/>
      <c r="M505" s="512"/>
      <c r="N505" s="512"/>
      <c r="O505" s="512"/>
      <c r="P505" s="512"/>
    </row>
    <row customHeight="true" ht="18.452380952380953" r="506">
      <c r="A506" s="849"/>
      <c r="B506" s="849"/>
      <c r="C506" s="849"/>
      <c r="D506" s="852"/>
      <c r="E506" s="852"/>
      <c r="F506" s="855"/>
      <c r="G506" s="848"/>
      <c r="H506" s="510"/>
      <c r="I506" s="538"/>
      <c r="J506" s="524"/>
      <c r="K506" s="512"/>
      <c r="L506" s="512"/>
      <c r="M506" s="512"/>
      <c r="N506" s="512"/>
      <c r="O506" s="512"/>
      <c r="P506" s="512"/>
    </row>
    <row customHeight="true" ht="18.452380952380953" r="507">
      <c r="A507" s="856" t="s">
        <v>817</v>
      </c>
      <c r="B507" s="850">
        <v>46294</v>
      </c>
      <c r="C507" s="856" t="str">
        <v>Tuesday</v>
      </c>
      <c r="D507" s="851" t="s">
        <v>823</v>
      </c>
      <c r="E507" s="857">
        <f t="shared" ref="E507:E511" si="117">24*MOD(TIMEVALUE(TRIM(MID(D507,FIND("-",D507)+1,LEN(D507)))) - TIMEVALUE(TRIM(LEFT(D507,FIND("-",D507)-1))),1)</f>
      </c>
      <c r="F507" s="853" t="s">
        <v>824</v>
      </c>
      <c r="G507" s="846"/>
      <c r="H507" s="510" t="s">
        <v>493</v>
      </c>
      <c r="I507" s="538" t="s">
        <v>490</v>
      </c>
      <c r="J507" s="524"/>
      <c r="K507" s="512"/>
      <c r="L507" s="512"/>
      <c r="M507" s="512"/>
      <c r="N507" s="512"/>
      <c r="O507" s="512"/>
      <c r="P507" s="512"/>
    </row>
    <row customHeight="true" ht="18.452380952380953" r="508">
      <c r="A508" s="849" t="s">
        <v>817</v>
      </c>
      <c r="B508" s="850">
        <v>46294</v>
      </c>
      <c r="C508" s="856" t="str">
        <v>Tuesday</v>
      </c>
      <c r="D508" s="851" t="s">
        <v>661</v>
      </c>
      <c r="E508" s="858">
        <f t="shared" si="117"/>
      </c>
      <c r="F508" s="853" t="s">
        <v>514</v>
      </c>
      <c r="G508" s="848"/>
      <c r="H508" s="510" t="s">
        <v>493</v>
      </c>
      <c r="I508" s="538" t="s">
        <v>468</v>
      </c>
      <c r="J508" s="524"/>
      <c r="K508" s="512"/>
      <c r="L508" s="512"/>
      <c r="M508" s="512"/>
      <c r="N508" s="512"/>
      <c r="O508" s="512"/>
      <c r="P508" s="512"/>
    </row>
    <row customHeight="true" ht="18.452380952380953" r="509">
      <c r="A509" s="849" t="s">
        <v>817</v>
      </c>
      <c r="B509" s="850">
        <v>46294</v>
      </c>
      <c r="C509" s="856" t="str">
        <v>Tuesday</v>
      </c>
      <c r="D509" s="851" t="s">
        <v>825</v>
      </c>
      <c r="E509" s="858">
        <f t="shared" si="117"/>
      </c>
      <c r="F509" s="853" t="s">
        <v>824</v>
      </c>
      <c r="G509" s="848"/>
      <c r="H509" s="510" t="s">
        <v>493</v>
      </c>
      <c r="I509" s="538" t="s">
        <v>490</v>
      </c>
      <c r="J509" s="524"/>
      <c r="K509" s="512"/>
      <c r="L509" s="512"/>
      <c r="M509" s="512"/>
      <c r="N509" s="512"/>
      <c r="O509" s="512"/>
      <c r="P509" s="512"/>
    </row>
    <row customHeight="true" ht="18.452380952380953" r="510">
      <c r="A510" s="849" t="s">
        <v>817</v>
      </c>
      <c r="B510" s="850">
        <v>46294</v>
      </c>
      <c r="C510" s="856" t="str">
        <v>Tuesday</v>
      </c>
      <c r="D510" s="851" t="s">
        <v>826</v>
      </c>
      <c r="E510" s="858">
        <f t="shared" si="117"/>
      </c>
      <c r="F510" s="853" t="s">
        <v>514</v>
      </c>
      <c r="G510" s="848"/>
      <c r="H510" s="510" t="s">
        <v>493</v>
      </c>
      <c r="I510" s="538" t="s">
        <v>468</v>
      </c>
      <c r="J510" s="524"/>
      <c r="K510" s="512"/>
      <c r="L510" s="512"/>
      <c r="M510" s="512"/>
      <c r="N510" s="512"/>
      <c r="O510" s="512"/>
      <c r="P510" s="512"/>
    </row>
    <row customHeight="true" ht="18.452380952380953" r="511">
      <c r="A511" s="849" t="s">
        <v>817</v>
      </c>
      <c r="B511" s="850">
        <v>46294</v>
      </c>
      <c r="C511" s="856" t="str">
        <v>Tuesday</v>
      </c>
      <c r="D511" s="851" t="s">
        <v>827</v>
      </c>
      <c r="E511" s="858">
        <f t="shared" si="117"/>
      </c>
      <c r="F511" s="853" t="s">
        <v>818</v>
      </c>
      <c r="G511" s="848"/>
      <c r="H511" s="510" t="s">
        <v>493</v>
      </c>
      <c r="I511" s="538" t="s">
        <v>468</v>
      </c>
      <c r="J511" s="524"/>
      <c r="K511" s="512"/>
      <c r="L511" s="512"/>
      <c r="M511" s="512"/>
      <c r="N511" s="512"/>
      <c r="O511" s="512"/>
      <c r="P511" s="512"/>
    </row>
    <row customHeight="true" ht="18.452380952380953" r="512">
      <c r="A512" s="849"/>
      <c r="B512" s="850"/>
      <c r="C512" s="856"/>
      <c r="D512" s="851"/>
      <c r="E512" s="858"/>
      <c r="F512" s="853"/>
      <c r="G512" s="848"/>
      <c r="H512" s="510"/>
      <c r="I512" s="538"/>
      <c r="J512" s="524"/>
      <c r="K512" s="512"/>
      <c r="L512" s="512"/>
      <c r="M512" s="512"/>
      <c r="N512" s="512"/>
      <c r="O512" s="512"/>
      <c r="P512" s="512"/>
    </row>
    <row customHeight="true" ht="18.452380952380953" r="513">
      <c r="A513" s="533" t="s">
        <v>814</v>
      </c>
      <c r="B513" s="515">
        <v>46298</v>
      </c>
      <c r="C513" s="533" t="str">
        <v>Saturday</v>
      </c>
      <c r="D513" s="859" t="s">
        <v>828</v>
      </c>
      <c r="E513" s="536">
        <f t="shared" ref="E513:E518" si="118">24*MOD(TIMEVALUE(TRIM(MID(D513,FIND("-",D513)+1,LEN(D513)))) - TIMEVALUE(TRIM(LEFT(D513,FIND("-",D513)-1))),1)</f>
      </c>
      <c r="F513" s="522" t="s">
        <v>672</v>
      </c>
      <c r="G513" s="860"/>
      <c r="H513" s="510" t="s">
        <v>493</v>
      </c>
      <c r="I513" s="538" t="s">
        <v>468</v>
      </c>
      <c r="J513" s="536"/>
      <c r="K513" s="512"/>
      <c r="L513" s="512"/>
      <c r="M513" s="512"/>
      <c r="N513" s="512"/>
      <c r="O513" s="512"/>
      <c r="P513" s="512"/>
    </row>
    <row customHeight="true" ht="18.452380952380953" r="514">
      <c r="A514" s="533" t="s">
        <v>814</v>
      </c>
      <c r="B514" s="515">
        <v>46298</v>
      </c>
      <c r="C514" s="533" t="str">
        <v>Saturday</v>
      </c>
      <c r="D514" s="624" t="s">
        <v>606</v>
      </c>
      <c r="E514" s="510">
        <f t="shared" si="118"/>
      </c>
      <c r="F514" s="844" t="s">
        <v>693</v>
      </c>
      <c r="G514" s="861"/>
      <c r="H514" s="510" t="s">
        <v>493</v>
      </c>
      <c r="I514" s="538" t="s">
        <v>468</v>
      </c>
      <c r="J514" s="862"/>
      <c r="K514" s="512"/>
      <c r="L514" s="512"/>
      <c r="M514" s="512"/>
      <c r="N514" s="512"/>
      <c r="O514" s="512"/>
      <c r="P514" s="512"/>
    </row>
    <row customHeight="true" ht="18.452380952380953" r="515">
      <c r="A515" s="533" t="s">
        <v>814</v>
      </c>
      <c r="B515" s="515">
        <v>46298</v>
      </c>
      <c r="C515" s="533" t="str">
        <v>Saturday</v>
      </c>
      <c r="D515" s="624" t="s">
        <v>762</v>
      </c>
      <c r="E515" s="510">
        <f t="shared" si="118"/>
      </c>
      <c r="F515" s="844" t="s">
        <v>558</v>
      </c>
      <c r="G515" s="846"/>
      <c r="H515" s="510" t="s">
        <v>493</v>
      </c>
      <c r="I515" s="538" t="s">
        <v>468</v>
      </c>
      <c r="J515" s="862"/>
      <c r="K515" s="512"/>
      <c r="L515" s="512"/>
      <c r="M515" s="512"/>
      <c r="N515" s="512"/>
      <c r="O515" s="512"/>
      <c r="P515" s="512"/>
    </row>
    <row customHeight="true" ht="18.452380952380953" r="516">
      <c r="A516" s="533" t="s">
        <v>814</v>
      </c>
      <c r="B516" s="515">
        <v>46298</v>
      </c>
      <c r="C516" s="533" t="str">
        <v>Saturday</v>
      </c>
      <c r="D516" s="624" t="s">
        <v>725</v>
      </c>
      <c r="E516" s="510">
        <f t="shared" si="118"/>
      </c>
      <c r="F516" s="844" t="s">
        <v>676</v>
      </c>
      <c r="G516" s="846"/>
      <c r="H516" s="510" t="s">
        <v>493</v>
      </c>
      <c r="I516" s="538" t="s">
        <v>468</v>
      </c>
      <c r="J516" s="862"/>
      <c r="K516" s="512"/>
      <c r="L516" s="512"/>
      <c r="M516" s="512"/>
      <c r="N516" s="512"/>
      <c r="O516" s="512"/>
      <c r="P516" s="512"/>
    </row>
    <row customHeight="true" ht="18.452380952380953" r="517">
      <c r="A517" s="533" t="s">
        <v>814</v>
      </c>
      <c r="B517" s="515">
        <v>46298</v>
      </c>
      <c r="C517" s="533" t="str">
        <v>Saturday</v>
      </c>
      <c r="D517" s="624" t="s">
        <v>627</v>
      </c>
      <c r="E517" s="510">
        <f t="shared" si="118"/>
      </c>
      <c r="F517" s="844" t="s">
        <v>558</v>
      </c>
      <c r="G517" s="861"/>
      <c r="H517" s="510" t="s">
        <v>493</v>
      </c>
      <c r="I517" s="538" t="s">
        <v>468</v>
      </c>
      <c r="J517" s="862"/>
      <c r="K517" s="512"/>
      <c r="L517" s="512"/>
      <c r="M517" s="512"/>
      <c r="N517" s="512"/>
      <c r="O517" s="512"/>
      <c r="P517" s="512"/>
    </row>
    <row customHeight="true" ht="18.452380952380953" r="518">
      <c r="A518" s="533" t="s">
        <v>814</v>
      </c>
      <c r="B518" s="515">
        <v>46298</v>
      </c>
      <c r="C518" s="533" t="str">
        <v>Saturday</v>
      </c>
      <c r="D518" s="624" t="s">
        <v>574</v>
      </c>
      <c r="E518" s="510">
        <f t="shared" si="118"/>
      </c>
      <c r="F518" s="656" t="s">
        <v>816</v>
      </c>
      <c r="G518" s="861"/>
      <c r="H518" s="510" t="s">
        <v>493</v>
      </c>
      <c r="I518" s="538" t="s">
        <v>468</v>
      </c>
      <c r="J518" s="862"/>
      <c r="K518" s="512"/>
      <c r="L518" s="512"/>
      <c r="M518" s="512"/>
      <c r="N518" s="512"/>
      <c r="O518" s="512"/>
      <c r="P518" s="512"/>
    </row>
    <row customHeight="true" ht="18.452380952380953" r="519">
      <c r="A519" s="533"/>
      <c r="B519" s="515"/>
      <c r="C519" s="533"/>
      <c r="D519" s="624"/>
      <c r="E519" s="510"/>
      <c r="F519" s="844"/>
      <c r="G519" s="861"/>
      <c r="H519" s="510"/>
      <c r="I519" s="538"/>
      <c r="J519" s="862"/>
      <c r="K519" s="512"/>
      <c r="L519" s="512"/>
      <c r="M519" s="512"/>
      <c r="N519" s="512"/>
      <c r="O519" s="512"/>
      <c r="P519" s="512"/>
    </row>
    <row customHeight="true" ht="18.452380952380953" r="520">
      <c r="A520" s="533" t="s">
        <v>817</v>
      </c>
      <c r="B520" s="515">
        <v>46298</v>
      </c>
      <c r="C520" s="533" t="str">
        <v>Saturday</v>
      </c>
      <c r="D520" s="624" t="s">
        <v>829</v>
      </c>
      <c r="E520" s="703">
        <f t="shared" ref="E520:E525" si="119">24*MOD(TIMEVALUE(TRIM(MID(D520,FIND("-",D520)+1,LEN(D520)))) - TIMEVALUE(TRIM(LEFT(D520,FIND("-",D520)-1))),1)</f>
      </c>
      <c r="F520" s="656"/>
      <c r="G520" s="863"/>
      <c r="H520" s="510" t="s">
        <v>493</v>
      </c>
      <c r="I520" s="538" t="s">
        <v>490</v>
      </c>
      <c r="J520" s="862"/>
      <c r="K520" s="512"/>
      <c r="L520" s="512"/>
      <c r="M520" s="512"/>
      <c r="N520" s="512"/>
      <c r="O520" s="512"/>
      <c r="P520" s="512"/>
    </row>
    <row customHeight="true" ht="18.452380952380953" r="521">
      <c r="A521" s="533" t="s">
        <v>817</v>
      </c>
      <c r="B521" s="515">
        <v>46298</v>
      </c>
      <c r="C521" s="533" t="str">
        <v>Saturday</v>
      </c>
      <c r="D521" s="624" t="s">
        <v>659</v>
      </c>
      <c r="E521" s="703">
        <f t="shared" si="119"/>
      </c>
      <c r="F521" s="834" t="s">
        <v>543</v>
      </c>
      <c r="G521" s="863"/>
      <c r="H521" s="510" t="s">
        <v>493</v>
      </c>
      <c r="I521" s="538" t="s">
        <v>490</v>
      </c>
      <c r="J521" s="862"/>
      <c r="K521" s="512"/>
      <c r="L521" s="512"/>
      <c r="M521" s="512"/>
      <c r="N521" s="512"/>
      <c r="O521" s="512"/>
      <c r="P521" s="512"/>
    </row>
    <row customHeight="true" ht="18.452380952380953" r="522">
      <c r="A522" s="533" t="s">
        <v>817</v>
      </c>
      <c r="B522" s="515">
        <v>46298</v>
      </c>
      <c r="C522" s="533" t="str">
        <v>Saturday</v>
      </c>
      <c r="D522" s="624" t="s">
        <v>721</v>
      </c>
      <c r="E522" s="703">
        <f t="shared" si="119"/>
      </c>
      <c r="F522" s="656" t="s">
        <v>514</v>
      </c>
      <c r="G522" s="863"/>
      <c r="H522" s="510" t="s">
        <v>493</v>
      </c>
      <c r="I522" s="538" t="s">
        <v>468</v>
      </c>
      <c r="J522" s="862"/>
      <c r="K522" s="512"/>
      <c r="L522" s="512"/>
      <c r="M522" s="512"/>
      <c r="N522" s="512"/>
      <c r="O522" s="512"/>
      <c r="P522" s="512"/>
    </row>
    <row customHeight="true" ht="18.452380952380953" r="523">
      <c r="A523" s="533" t="s">
        <v>817</v>
      </c>
      <c r="B523" s="515">
        <v>46298</v>
      </c>
      <c r="C523" s="533" t="str">
        <v>Saturday</v>
      </c>
      <c r="D523" s="624" t="s">
        <v>725</v>
      </c>
      <c r="E523" s="703">
        <f t="shared" si="119"/>
      </c>
      <c r="F523" s="656" t="s">
        <v>818</v>
      </c>
      <c r="G523" s="863"/>
      <c r="H523" s="510" t="s">
        <v>493</v>
      </c>
      <c r="I523" s="538" t="s">
        <v>468</v>
      </c>
      <c r="J523" s="862"/>
      <c r="K523" s="512"/>
      <c r="L523" s="512"/>
      <c r="M523" s="512"/>
      <c r="N523" s="512"/>
      <c r="O523" s="512"/>
      <c r="P523" s="512"/>
    </row>
    <row customHeight="true" ht="18.452380952380953" r="524">
      <c r="A524" s="533" t="s">
        <v>817</v>
      </c>
      <c r="B524" s="515">
        <v>46298</v>
      </c>
      <c r="C524" s="533" t="str">
        <v>Saturday</v>
      </c>
      <c r="D524" s="624" t="s">
        <v>627</v>
      </c>
      <c r="E524" s="703">
        <f t="shared" si="119"/>
      </c>
      <c r="F524" s="656" t="s">
        <v>514</v>
      </c>
      <c r="G524" s="863"/>
      <c r="H524" s="510" t="s">
        <v>493</v>
      </c>
      <c r="I524" s="538" t="s">
        <v>468</v>
      </c>
      <c r="J524" s="862"/>
      <c r="K524" s="512"/>
      <c r="L524" s="512"/>
      <c r="M524" s="512"/>
      <c r="N524" s="512"/>
      <c r="O524" s="512"/>
      <c r="P524" s="512"/>
    </row>
    <row customHeight="true" ht="18.452380952380953" r="525">
      <c r="A525" s="533" t="s">
        <v>817</v>
      </c>
      <c r="B525" s="515">
        <v>46298</v>
      </c>
      <c r="C525" s="533" t="str">
        <v>Saturday</v>
      </c>
      <c r="D525" s="624" t="s">
        <v>574</v>
      </c>
      <c r="E525" s="703">
        <f t="shared" si="119"/>
      </c>
      <c r="F525" s="656" t="s">
        <v>818</v>
      </c>
      <c r="G525" s="863"/>
      <c r="H525" s="510" t="s">
        <v>493</v>
      </c>
      <c r="I525" s="538" t="s">
        <v>468</v>
      </c>
      <c r="J525" s="862"/>
      <c r="K525" s="512"/>
      <c r="L525" s="512"/>
      <c r="M525" s="512"/>
      <c r="N525" s="512"/>
      <c r="O525" s="512"/>
      <c r="P525" s="512"/>
    </row>
    <row customHeight="true" ht="18.452380952380953" r="526">
      <c r="A526" s="533"/>
      <c r="B526" s="533"/>
      <c r="C526" s="533"/>
      <c r="D526" s="624"/>
      <c r="E526" s="703"/>
      <c r="F526" s="656"/>
      <c r="G526" s="863"/>
      <c r="H526" s="510"/>
      <c r="I526" s="538"/>
      <c r="J526" s="862"/>
      <c r="K526" s="512"/>
      <c r="L526" s="512"/>
      <c r="M526" s="512"/>
      <c r="N526" s="512"/>
      <c r="O526" s="512"/>
      <c r="P526" s="512"/>
    </row>
    <row customHeight="true" ht="18.452380952380953" r="527">
      <c r="A527" s="849" t="s">
        <v>814</v>
      </c>
      <c r="B527" s="850">
        <v>46299</v>
      </c>
      <c r="C527" s="849" t="str">
        <v>Sunday</v>
      </c>
      <c r="D527" s="851" t="s">
        <v>656</v>
      </c>
      <c r="E527" s="852">
        <f t="shared" ref="E527:E533" si="120">24*MOD(TIMEVALUE(TRIM(MID(D527,FIND("-",D527)+1,LEN(D527)))) - TIMEVALUE(TRIM(LEFT(D527,FIND("-",D527)-1))),1)</f>
      </c>
      <c r="F527" s="864" t="s">
        <v>672</v>
      </c>
      <c r="G527" s="865"/>
      <c r="H527" s="510" t="s">
        <v>493</v>
      </c>
      <c r="I527" s="538" t="s">
        <v>468</v>
      </c>
      <c r="J527" s="862"/>
      <c r="K527" s="512"/>
      <c r="L527" s="512"/>
      <c r="M527" s="512"/>
      <c r="N527" s="512"/>
      <c r="O527" s="512"/>
      <c r="P527" s="512"/>
    </row>
    <row customHeight="true" ht="18.452380952380953" r="528">
      <c r="A528" s="849" t="s">
        <v>814</v>
      </c>
      <c r="B528" s="850">
        <v>46299</v>
      </c>
      <c r="C528" s="849" t="str">
        <v>Sunday</v>
      </c>
      <c r="D528" s="851" t="s">
        <v>608</v>
      </c>
      <c r="E528" s="852">
        <f t="shared" si="120"/>
      </c>
      <c r="F528" s="864" t="s">
        <v>676</v>
      </c>
      <c r="G528" s="865"/>
      <c r="H528" s="510" t="s">
        <v>493</v>
      </c>
      <c r="I528" s="538" t="s">
        <v>468</v>
      </c>
      <c r="J528" s="862"/>
      <c r="K528" s="512"/>
      <c r="L528" s="512"/>
      <c r="M528" s="512"/>
      <c r="N528" s="512"/>
      <c r="O528" s="512"/>
      <c r="P528" s="512"/>
    </row>
    <row customHeight="true" ht="18.452380952380953" r="529">
      <c r="A529" s="849" t="s">
        <v>814</v>
      </c>
      <c r="B529" s="849">
        <v>46299</v>
      </c>
      <c r="C529" s="849" t="str">
        <v>Sunday</v>
      </c>
      <c r="D529" s="866" t="s">
        <v>745</v>
      </c>
      <c r="E529" s="852">
        <f t="shared" si="120"/>
      </c>
      <c r="F529" s="864" t="s">
        <v>672</v>
      </c>
      <c r="G529" s="867"/>
      <c r="H529" s="510" t="s">
        <v>493</v>
      </c>
      <c r="I529" s="538" t="s">
        <v>468</v>
      </c>
      <c r="J529" s="862"/>
      <c r="K529" s="669"/>
      <c r="L529" s="669"/>
      <c r="M529" s="669"/>
      <c r="N529" s="669"/>
      <c r="O529" s="669"/>
      <c r="P529" s="669"/>
      <c r="Q529" s="544"/>
      <c r="R529" s="544"/>
    </row>
    <row customHeight="true" ht="18.452380952380953" r="530">
      <c r="A530" s="849" t="s">
        <v>814</v>
      </c>
      <c r="B530" s="850">
        <v>46299</v>
      </c>
      <c r="C530" s="849" t="str">
        <v>Sunday</v>
      </c>
      <c r="D530" s="868" t="s">
        <v>830</v>
      </c>
      <c r="E530" s="852">
        <f t="shared" si="120"/>
      </c>
      <c r="F530" s="864" t="s">
        <v>676</v>
      </c>
      <c r="G530" s="865"/>
      <c r="H530" s="510" t="s">
        <v>493</v>
      </c>
      <c r="I530" s="538" t="s">
        <v>468</v>
      </c>
      <c r="J530" s="862"/>
      <c r="K530" s="512"/>
      <c r="L530" s="512"/>
      <c r="M530" s="512"/>
      <c r="N530" s="512"/>
      <c r="O530" s="512"/>
      <c r="P530" s="512"/>
    </row>
    <row customHeight="true" ht="18.452380952380953" r="531">
      <c r="A531" s="849" t="s">
        <v>814</v>
      </c>
      <c r="B531" s="850">
        <v>46299</v>
      </c>
      <c r="C531" s="849" t="str">
        <v>Sunday</v>
      </c>
      <c r="D531" s="851" t="s">
        <v>794</v>
      </c>
      <c r="E531" s="852">
        <f t="shared" si="120"/>
      </c>
      <c r="F531" s="864" t="s">
        <v>693</v>
      </c>
      <c r="G531" s="865"/>
      <c r="H531" s="510" t="s">
        <v>493</v>
      </c>
      <c r="I531" s="538" t="s">
        <v>468</v>
      </c>
      <c r="J531" s="862"/>
      <c r="K531" s="512"/>
      <c r="L531" s="512"/>
      <c r="M531" s="512"/>
      <c r="N531" s="512"/>
      <c r="O531" s="512"/>
      <c r="P531" s="512"/>
    </row>
    <row customHeight="true" ht="18.452380952380953" r="532">
      <c r="A532" s="849" t="s">
        <v>814</v>
      </c>
      <c r="B532" s="850">
        <v>46299</v>
      </c>
      <c r="C532" s="849" t="str">
        <v>Sunday</v>
      </c>
      <c r="D532" s="851" t="s">
        <v>627</v>
      </c>
      <c r="E532" s="852">
        <f t="shared" si="120"/>
      </c>
      <c r="F532" s="853" t="s">
        <v>816</v>
      </c>
      <c r="G532" s="865"/>
      <c r="H532" s="510" t="s">
        <v>493</v>
      </c>
      <c r="I532" s="538" t="s">
        <v>468</v>
      </c>
      <c r="J532" s="862"/>
      <c r="K532" s="512"/>
      <c r="L532" s="512"/>
      <c r="M532" s="512"/>
      <c r="N532" s="512"/>
      <c r="O532" s="512"/>
      <c r="P532" s="512"/>
    </row>
    <row customHeight="true" ht="18.452380952380953" r="533">
      <c r="A533" s="849" t="s">
        <v>814</v>
      </c>
      <c r="B533" s="850">
        <v>46299</v>
      </c>
      <c r="C533" s="849" t="str">
        <v>Sunday</v>
      </c>
      <c r="D533" s="851" t="s">
        <v>574</v>
      </c>
      <c r="E533" s="852">
        <f t="shared" si="120"/>
      </c>
      <c r="F533" s="864" t="s">
        <v>693</v>
      </c>
      <c r="G533" s="865"/>
      <c r="H533" s="510" t="s">
        <v>493</v>
      </c>
      <c r="I533" s="538" t="s">
        <v>468</v>
      </c>
      <c r="J533" s="862"/>
      <c r="K533" s="512"/>
      <c r="L533" s="512"/>
      <c r="M533" s="512"/>
      <c r="N533" s="512"/>
      <c r="O533" s="512"/>
      <c r="P533" s="512"/>
    </row>
    <row customHeight="true" ht="18.452380952380953" r="534">
      <c r="A534" s="849"/>
      <c r="B534" s="850"/>
      <c r="C534" s="849"/>
      <c r="D534" s="866"/>
      <c r="E534" s="852"/>
      <c r="F534" s="864"/>
      <c r="G534" s="865"/>
      <c r="H534" s="510"/>
      <c r="I534" s="538"/>
      <c r="J534" s="862"/>
      <c r="K534" s="512"/>
      <c r="L534" s="512"/>
      <c r="M534" s="512"/>
      <c r="N534" s="512"/>
      <c r="O534" s="512"/>
      <c r="P534" s="512"/>
    </row>
    <row customHeight="true" ht="18.452380952380953" r="535">
      <c r="A535" s="849" t="s">
        <v>817</v>
      </c>
      <c r="B535" s="850">
        <v>46299</v>
      </c>
      <c r="C535" s="856" t="str">
        <v>Sunday</v>
      </c>
      <c r="D535" s="851" t="s">
        <v>829</v>
      </c>
      <c r="E535" s="857">
        <f t="shared" ref="E535:E540" si="121">24*MOD(TIMEVALUE(TRIM(MID(D535,FIND("-",D535)+1,LEN(D535)))) - TIMEVALUE(TRIM(LEFT(D535,FIND("-",D535)-1))),1)</f>
      </c>
      <c r="F535" s="853"/>
      <c r="G535" s="867"/>
      <c r="H535" s="510" t="s">
        <v>493</v>
      </c>
      <c r="I535" s="538" t="s">
        <v>490</v>
      </c>
      <c r="J535" s="862"/>
      <c r="K535" s="512"/>
      <c r="L535" s="512"/>
      <c r="M535" s="512"/>
      <c r="N535" s="512"/>
      <c r="O535" s="512"/>
      <c r="P535" s="512"/>
    </row>
    <row customHeight="true" ht="18.452380952380953" r="536">
      <c r="A536" s="849" t="s">
        <v>817</v>
      </c>
      <c r="B536" s="850">
        <v>46299</v>
      </c>
      <c r="C536" s="856" t="str">
        <v>Sunday</v>
      </c>
      <c r="D536" s="851" t="s">
        <v>659</v>
      </c>
      <c r="E536" s="857">
        <f t="shared" si="121"/>
      </c>
      <c r="F536" s="857" t="s">
        <v>543</v>
      </c>
      <c r="G536" s="869"/>
      <c r="H536" s="734" t="s">
        <v>493</v>
      </c>
      <c r="I536" s="538" t="s">
        <v>490</v>
      </c>
      <c r="J536" s="862"/>
      <c r="K536" s="512"/>
      <c r="L536" s="512"/>
      <c r="M536" s="512"/>
      <c r="N536" s="512"/>
      <c r="O536" s="512"/>
      <c r="P536" s="512"/>
    </row>
    <row customHeight="true" ht="18.452380952380953" r="537">
      <c r="A537" s="849" t="s">
        <v>817</v>
      </c>
      <c r="B537" s="850">
        <v>46299</v>
      </c>
      <c r="C537" s="856" t="str">
        <v>Sunday</v>
      </c>
      <c r="D537" s="851" t="s">
        <v>804</v>
      </c>
      <c r="E537" s="857">
        <f t="shared" si="121"/>
      </c>
      <c r="F537" s="853" t="s">
        <v>514</v>
      </c>
      <c r="G537" s="867"/>
      <c r="H537" s="510" t="s">
        <v>493</v>
      </c>
      <c r="I537" s="538" t="s">
        <v>468</v>
      </c>
      <c r="J537" s="862"/>
      <c r="K537" s="512"/>
      <c r="L537" s="512"/>
      <c r="M537" s="512"/>
      <c r="N537" s="512"/>
      <c r="O537" s="512"/>
      <c r="P537" s="512"/>
    </row>
    <row customHeight="true" ht="18.452380952380953" r="538">
      <c r="A538" s="849" t="s">
        <v>817</v>
      </c>
      <c r="B538" s="850">
        <v>46299</v>
      </c>
      <c r="C538" s="856" t="str">
        <v>Sunday</v>
      </c>
      <c r="D538" s="851" t="s">
        <v>497</v>
      </c>
      <c r="E538" s="857">
        <f t="shared" si="121"/>
      </c>
      <c r="F538" s="853" t="s">
        <v>818</v>
      </c>
      <c r="G538" s="865"/>
      <c r="H538" s="510" t="s">
        <v>493</v>
      </c>
      <c r="I538" s="538" t="s">
        <v>468</v>
      </c>
      <c r="J538" s="862"/>
      <c r="K538" s="512"/>
      <c r="L538" s="512"/>
      <c r="M538" s="512"/>
      <c r="N538" s="512"/>
      <c r="O538" s="512"/>
      <c r="P538" s="512"/>
    </row>
    <row customHeight="true" ht="18.452380952380953" r="539">
      <c r="A539" s="849" t="s">
        <v>817</v>
      </c>
      <c r="B539" s="850">
        <v>46299</v>
      </c>
      <c r="C539" s="856" t="str">
        <v>Sunday</v>
      </c>
      <c r="D539" s="851" t="s">
        <v>831</v>
      </c>
      <c r="E539" s="857">
        <f t="shared" si="121"/>
      </c>
      <c r="F539" s="853" t="s">
        <v>514</v>
      </c>
      <c r="G539" s="867"/>
      <c r="H539" s="510" t="s">
        <v>493</v>
      </c>
      <c r="I539" s="538" t="s">
        <v>468</v>
      </c>
      <c r="J539" s="862"/>
      <c r="K539" s="512"/>
      <c r="L539" s="512"/>
      <c r="M539" s="512"/>
      <c r="N539" s="512"/>
      <c r="O539" s="512"/>
      <c r="P539" s="512"/>
    </row>
    <row customHeight="true" ht="18.452380952380953" r="540">
      <c r="A540" s="849" t="s">
        <v>817</v>
      </c>
      <c r="B540" s="850">
        <v>46299</v>
      </c>
      <c r="C540" s="856" t="str">
        <v>Sunday</v>
      </c>
      <c r="D540" s="851" t="s">
        <v>574</v>
      </c>
      <c r="E540" s="857">
        <f t="shared" si="121"/>
      </c>
      <c r="F540" s="853" t="s">
        <v>818</v>
      </c>
      <c r="G540" s="867"/>
      <c r="H540" s="510" t="s">
        <v>493</v>
      </c>
      <c r="I540" s="538" t="s">
        <v>468</v>
      </c>
      <c r="J540" s="862"/>
      <c r="K540" s="512"/>
      <c r="L540" s="512"/>
      <c r="M540" s="512"/>
      <c r="N540" s="512"/>
      <c r="O540" s="512"/>
      <c r="P540" s="512"/>
    </row>
    <row customHeight="true" ht="16.071428571428573" r="541">
      <c r="A541" s="870"/>
      <c r="B541" s="533"/>
      <c r="C541" s="533"/>
      <c r="D541" s="510"/>
      <c r="E541" s="510"/>
      <c r="F541" s="510"/>
      <c r="G541" s="871"/>
      <c r="H541" s="510"/>
      <c r="I541" s="656"/>
      <c r="J541" s="872"/>
      <c r="K541" s="512"/>
      <c r="L541" s="512"/>
      <c r="M541" s="512"/>
      <c r="N541" s="512"/>
      <c r="O541" s="512"/>
      <c r="P541" s="512"/>
    </row>
    <row customHeight="true" ht="16.071428571428573" r="542">
      <c r="A542" s="870" t="s">
        <v>817</v>
      </c>
      <c r="B542" s="515">
        <v>46297</v>
      </c>
      <c r="C542" s="533" t="str">
        <v>Friday</v>
      </c>
      <c r="D542" s="624" t="s">
        <v>739</v>
      </c>
      <c r="E542" s="510">
        <f>24*MOD(TIMEVALUE(TRIM(MID(D542,FIND("-",D542)+1,LEN(D542)))) - TIMEVALUE(TRIM(LEFT(D542,FIND("-",D542)-1))),1)</f>
      </c>
      <c r="F542" s="510" t="s">
        <v>824</v>
      </c>
      <c r="G542" s="871"/>
      <c r="H542" s="510"/>
      <c r="I542" s="656"/>
      <c r="J542" s="872"/>
      <c r="K542" s="512"/>
      <c r="L542" s="512"/>
      <c r="M542" s="512"/>
      <c r="N542" s="512"/>
      <c r="O542" s="512"/>
      <c r="P542" s="512"/>
    </row>
    <row r="543">
      <c r="A543" s="873"/>
      <c r="B543" s="873"/>
      <c r="C543" s="873"/>
      <c r="D543" s="678"/>
      <c r="E543" s="873"/>
      <c r="F543" s="873"/>
      <c r="G543" s="874"/>
      <c r="H543" s="873"/>
      <c r="I543" s="873"/>
      <c r="J543" s="873"/>
      <c r="K543" s="512"/>
      <c r="L543" s="512"/>
      <c r="M543" s="512"/>
      <c r="N543" s="512"/>
      <c r="O543" s="512"/>
      <c r="P543" s="512"/>
    </row>
    <row r="544">
      <c r="A544" s="838" t="s">
        <v>832</v>
      </c>
      <c r="B544" s="838"/>
      <c r="C544" s="838"/>
      <c r="D544" s="838"/>
      <c r="E544" s="838"/>
      <c r="F544" s="838"/>
      <c r="G544" s="838"/>
      <c r="H544" s="838"/>
      <c r="I544" s="838"/>
      <c r="J544" s="875"/>
      <c r="K544" s="547"/>
      <c r="L544" s="547"/>
      <c r="M544" s="547"/>
      <c r="N544" s="547"/>
      <c r="O544" s="547"/>
      <c r="P544" s="547"/>
    </row>
    <row r="545">
      <c r="A545" s="840" t="s">
        <v>478</v>
      </c>
      <c r="B545" s="683" t="s">
        <v>479</v>
      </c>
      <c r="C545" s="683"/>
      <c r="D545" s="685" t="s">
        <v>480</v>
      </c>
      <c r="E545" s="841" t="s">
        <v>481</v>
      </c>
      <c r="F545" s="841" t="s">
        <v>482</v>
      </c>
      <c r="G545" s="842" t="s">
        <v>495</v>
      </c>
      <c r="H545" s="841" t="s">
        <v>484</v>
      </c>
      <c r="I545" s="841" t="s">
        <v>485</v>
      </c>
      <c r="J545" s="688" t="s">
        <v>486</v>
      </c>
      <c r="K545" s="532"/>
      <c r="L545" s="532"/>
      <c r="M545" s="532"/>
      <c r="N545" s="532"/>
      <c r="O545" s="532"/>
      <c r="P545" s="532"/>
    </row>
    <row customHeight="true" ht="16.071428571428573" r="546">
      <c r="A546" s="870" t="s">
        <v>833</v>
      </c>
      <c r="B546" s="515">
        <v>46295</v>
      </c>
      <c r="C546" s="533" t="str">
        <v>Wednesday</v>
      </c>
      <c r="D546" s="541" t="s">
        <v>834</v>
      </c>
      <c r="E546" s="510">
        <f t="shared" ref="E546:E548" si="122">24*MOD(TIMEVALUE(TRIM(MID(D546,FIND("-",D546)+1,LEN(D546)))) - TIMEVALUE(TRIM(LEFT(D546,FIND("-",D546)-1))),1)</f>
      </c>
      <c r="F546" s="656" t="s">
        <v>607</v>
      </c>
      <c r="G546" s="876"/>
      <c r="H546" s="510"/>
      <c r="I546" s="603" t="s">
        <v>468</v>
      </c>
      <c r="J546" s="872"/>
      <c r="K546" s="512"/>
      <c r="L546" s="512"/>
      <c r="M546" s="512"/>
      <c r="N546" s="512"/>
      <c r="O546" s="512"/>
      <c r="P546" s="512"/>
    </row>
    <row customHeight="true" ht="16.071428571428573" r="547">
      <c r="A547" s="870" t="s">
        <v>833</v>
      </c>
      <c r="B547" s="515">
        <v>46297</v>
      </c>
      <c r="C547" s="533" t="str">
        <v>Friday</v>
      </c>
      <c r="D547" s="541" t="s">
        <v>835</v>
      </c>
      <c r="E547" s="510">
        <f t="shared" si="122"/>
      </c>
      <c r="F547" s="656" t="s">
        <v>676</v>
      </c>
      <c r="G547" s="876"/>
      <c r="H547" s="510"/>
      <c r="I547" s="538" t="s">
        <v>468</v>
      </c>
      <c r="J547" s="872"/>
      <c r="K547" s="512"/>
      <c r="L547" s="512"/>
      <c r="M547" s="512"/>
      <c r="N547" s="512"/>
      <c r="O547" s="512"/>
      <c r="P547" s="512"/>
    </row>
    <row customHeight="true" ht="16.071428571428573" r="548">
      <c r="A548" s="870" t="s">
        <v>836</v>
      </c>
      <c r="B548" s="515">
        <v>46297</v>
      </c>
      <c r="C548" s="533" t="str">
        <v>Friday</v>
      </c>
      <c r="D548" s="541" t="s">
        <v>835</v>
      </c>
      <c r="E548" s="510">
        <f t="shared" si="122"/>
      </c>
      <c r="F548" s="656" t="s">
        <v>818</v>
      </c>
      <c r="G548" s="876"/>
      <c r="H548" s="510"/>
      <c r="I548" s="538" t="s">
        <v>468</v>
      </c>
      <c r="J548" s="872"/>
      <c r="K548" s="512"/>
      <c r="L548" s="512"/>
      <c r="M548" s="512"/>
      <c r="N548" s="512"/>
      <c r="O548" s="512"/>
      <c r="P548" s="512"/>
    </row>
    <row customHeight="true" ht="16.071428571428573" r="549">
      <c r="A549" s="873"/>
      <c r="B549" s="873"/>
      <c r="C549" s="873"/>
      <c r="D549" s="678"/>
      <c r="E549" s="873"/>
      <c r="F549" s="873"/>
      <c r="G549" s="874"/>
      <c r="H549" s="873"/>
      <c r="I549" s="603"/>
      <c r="J549" s="873"/>
      <c r="K549" s="512"/>
      <c r="L549" s="512"/>
      <c r="M549" s="512"/>
      <c r="N549" s="512"/>
      <c r="O549" s="512"/>
      <c r="P549" s="512"/>
    </row>
    <row customHeight="true" ht="16.071428571428573" r="550">
      <c r="A550" s="873"/>
      <c r="B550" s="873"/>
      <c r="C550" s="873"/>
      <c r="D550" s="678"/>
      <c r="E550" s="873"/>
      <c r="F550" s="873"/>
      <c r="G550" s="874"/>
      <c r="H550" s="873"/>
      <c r="I550" s="873"/>
      <c r="J550" s="873"/>
      <c r="K550" s="512"/>
      <c r="L550" s="512"/>
      <c r="M550" s="512"/>
      <c r="N550" s="512"/>
      <c r="O550" s="512"/>
      <c r="P550" s="512"/>
    </row>
    <row r="551">
      <c r="A551" s="533"/>
      <c r="B551" s="533"/>
      <c r="C551" s="533"/>
      <c r="D551" s="538"/>
      <c r="E551" s="538"/>
      <c r="F551" s="542"/>
      <c r="G551" s="614"/>
      <c r="H551" s="510"/>
      <c r="I551" s="538"/>
      <c r="J551" s="536"/>
      <c r="K551" s="512"/>
      <c r="L551" s="512"/>
      <c r="M551" s="512"/>
      <c r="N551" s="512"/>
      <c r="O551" s="512"/>
      <c r="P551" s="512"/>
    </row>
    <row r="552">
      <c r="A552" s="877" t="s">
        <v>837</v>
      </c>
      <c r="B552" s="877"/>
      <c r="C552" s="877"/>
      <c r="D552" s="877"/>
      <c r="E552" s="877"/>
      <c r="F552" s="877"/>
      <c r="G552" s="877"/>
      <c r="H552" s="877"/>
      <c r="I552" s="877"/>
      <c r="J552" s="878"/>
      <c r="K552" s="547"/>
      <c r="L552" s="547"/>
      <c r="M552" s="547"/>
      <c r="N552" s="547"/>
      <c r="O552" s="547"/>
      <c r="P552" s="547"/>
    </row>
    <row r="553">
      <c r="A553" s="879" t="s">
        <v>478</v>
      </c>
      <c r="B553" s="880" t="s">
        <v>479</v>
      </c>
      <c r="C553" s="880"/>
      <c r="D553" s="881" t="s">
        <v>480</v>
      </c>
      <c r="E553" s="881" t="s">
        <v>481</v>
      </c>
      <c r="F553" s="881" t="s">
        <v>482</v>
      </c>
      <c r="G553" s="882" t="s">
        <v>495</v>
      </c>
      <c r="H553" s="881" t="s">
        <v>484</v>
      </c>
      <c r="I553" s="881" t="s">
        <v>485</v>
      </c>
      <c r="J553" s="883" t="s">
        <v>486</v>
      </c>
      <c r="K553" s="532"/>
      <c r="L553" s="532"/>
      <c r="M553" s="532"/>
      <c r="N553" s="532"/>
      <c r="O553" s="532"/>
      <c r="P553" s="532"/>
    </row>
    <row customHeight="true" ht="18.452380952380953" r="554">
      <c r="A554" s="856" t="s">
        <v>838</v>
      </c>
      <c r="B554" s="884">
        <v>46294</v>
      </c>
      <c r="C554" s="856" t="str">
        <v>Tuesday</v>
      </c>
      <c r="D554" s="851" t="s">
        <v>627</v>
      </c>
      <c r="E554" s="853">
        <f t="shared" ref="E554:E555" si="123">24*MOD(TIMEVALUE(TRIM(MID(D554,FIND("-",D554)+1,LEN(D554)))) - TIMEVALUE(TRIM(LEFT(D554,FIND("-",D554)-1))),1)</f>
      </c>
      <c r="F554" s="853" t="s">
        <v>839</v>
      </c>
      <c r="G554" s="802"/>
      <c r="H554" s="656" t="s">
        <v>467</v>
      </c>
      <c r="I554" s="656" t="s">
        <v>468</v>
      </c>
      <c r="J554" s="676"/>
      <c r="K554" s="512"/>
      <c r="L554" s="512"/>
      <c r="M554" s="512"/>
      <c r="N554" s="512"/>
      <c r="O554" s="512"/>
      <c r="P554" s="512"/>
      <c r="Q554" s="564"/>
      <c r="R554" s="564"/>
    </row>
    <row r="555">
      <c r="A555" s="647" t="s">
        <v>840</v>
      </c>
      <c r="B555" s="646">
        <v>46294</v>
      </c>
      <c r="C555" s="647" t="str">
        <v>Tuesday</v>
      </c>
      <c r="D555" s="885" t="s">
        <v>841</v>
      </c>
      <c r="E555" s="649">
        <f t="shared" si="123"/>
      </c>
      <c r="F555" s="649" t="s">
        <v>842</v>
      </c>
      <c r="G555" s="787"/>
      <c r="H555" s="649" t="s">
        <v>467</v>
      </c>
      <c r="I555" s="649" t="s">
        <v>468</v>
      </c>
      <c r="J555" s="800" t="s">
        <v>843</v>
      </c>
      <c r="K555" s="801"/>
      <c r="L555" s="801"/>
      <c r="M555" s="801"/>
      <c r="N555" s="801"/>
      <c r="O555" s="801"/>
      <c r="P555" s="801"/>
      <c r="Q555" s="653"/>
      <c r="R555" s="653"/>
    </row>
    <row customHeight="true" ht="18.452380952380953" r="556">
      <c r="A556" s="586"/>
      <c r="B556" s="749"/>
      <c r="C556" s="586"/>
      <c r="D556" s="624"/>
      <c r="E556" s="656"/>
      <c r="F556" s="656"/>
      <c r="G556" s="802"/>
      <c r="H556" s="656"/>
      <c r="I556" s="656"/>
      <c r="J556" s="676"/>
      <c r="K556" s="512"/>
      <c r="L556" s="512"/>
      <c r="M556" s="512"/>
      <c r="N556" s="512"/>
      <c r="O556" s="512"/>
      <c r="P556" s="512"/>
      <c r="Q556" s="564"/>
      <c r="R556" s="564"/>
    </row>
    <row r="557">
      <c r="A557" s="849" t="s">
        <v>838</v>
      </c>
      <c r="B557" s="850">
        <v>46295</v>
      </c>
      <c r="C557" s="849" t="str">
        <v>Wednesday</v>
      </c>
      <c r="D557" s="866" t="s">
        <v>627</v>
      </c>
      <c r="E557" s="852">
        <f>24*MOD(TIMEVALUE(TRIM(MID(D557,FIND("-",D557)+1,LEN(D557)))) - TIMEVALUE(TRIM(LEFT(D557,FIND("-",D557)-1))),1)</f>
      </c>
      <c r="F557" s="852" t="s">
        <v>844</v>
      </c>
      <c r="G557" s="802"/>
      <c r="H557" s="656" t="s">
        <v>467</v>
      </c>
      <c r="I557" s="538" t="s">
        <v>468</v>
      </c>
      <c r="J557" s="676"/>
      <c r="K557" s="512"/>
      <c r="L557" s="512"/>
      <c r="M557" s="512"/>
      <c r="N557" s="512"/>
      <c r="O557" s="512"/>
      <c r="P557" s="512"/>
    </row>
    <row customHeight="true" ht="18.452380952380953" r="558">
      <c r="A558" s="586" t="s">
        <v>840</v>
      </c>
      <c r="B558" s="749">
        <v>46295</v>
      </c>
      <c r="C558" s="586" t="str">
        <v>Wednesday</v>
      </c>
      <c r="D558" s="886" t="s">
        <v>841</v>
      </c>
      <c r="E558" s="624">
        <v>3</v>
      </c>
      <c r="F558" s="656" t="s">
        <v>845</v>
      </c>
      <c r="G558" s="626" t="s">
        <v>846</v>
      </c>
      <c r="H558" s="656" t="s">
        <v>467</v>
      </c>
      <c r="I558" s="656" t="s">
        <v>468</v>
      </c>
      <c r="J558" s="748"/>
      <c r="K558" s="512"/>
      <c r="L558" s="512"/>
      <c r="M558" s="512"/>
      <c r="N558" s="512"/>
      <c r="O558" s="512"/>
      <c r="P558" s="512"/>
      <c r="Q558" s="564"/>
      <c r="R558" s="564"/>
    </row>
    <row customHeight="true" ht="18.452380952380953" r="559">
      <c r="A559" s="586"/>
      <c r="B559" s="749"/>
      <c r="C559" s="586"/>
      <c r="D559" s="624"/>
      <c r="E559" s="656"/>
      <c r="F559" s="656"/>
      <c r="G559" s="802"/>
      <c r="H559" s="656"/>
      <c r="I559" s="656"/>
      <c r="J559" s="676"/>
      <c r="K559" s="512"/>
      <c r="L559" s="512"/>
      <c r="M559" s="512"/>
      <c r="N559" s="512"/>
      <c r="O559" s="512"/>
      <c r="P559" s="512"/>
      <c r="Q559" s="564"/>
      <c r="R559" s="564"/>
    </row>
    <row customHeight="true" ht="18.452380952380953" r="560">
      <c r="A560" s="586"/>
      <c r="B560" s="515"/>
      <c r="C560" s="533"/>
      <c r="D560" s="887"/>
      <c r="E560" s="538"/>
      <c r="F560" s="538"/>
      <c r="G560" s="802"/>
      <c r="H560" s="656"/>
      <c r="I560" s="656"/>
      <c r="J560" s="676"/>
      <c r="K560" s="512"/>
      <c r="L560" s="512"/>
      <c r="M560" s="512"/>
      <c r="N560" s="512"/>
      <c r="O560" s="512"/>
      <c r="P560" s="512"/>
      <c r="Q560" s="564"/>
      <c r="R560" s="564"/>
    </row>
    <row customHeight="true" ht="18.452380952380953" r="561">
      <c r="A561" s="586"/>
      <c r="B561" s="749"/>
      <c r="C561" s="586"/>
      <c r="D561" s="624"/>
      <c r="E561" s="656"/>
      <c r="F561" s="656"/>
      <c r="G561" s="802"/>
      <c r="H561" s="656"/>
      <c r="I561" s="656"/>
      <c r="J561" s="888"/>
      <c r="K561" s="889"/>
      <c r="L561" s="889"/>
      <c r="M561" s="889"/>
      <c r="N561" s="889"/>
      <c r="O561" s="889"/>
      <c r="P561" s="889"/>
      <c r="Q561" s="564"/>
      <c r="R561" s="564"/>
    </row>
    <row customHeight="true" ht="18.452380952380953" r="562">
      <c r="A562" s="533"/>
      <c r="B562" s="515"/>
      <c r="C562" s="533"/>
      <c r="D562" s="887"/>
      <c r="E562" s="538"/>
      <c r="F562" s="656"/>
      <c r="G562" s="802"/>
      <c r="H562" s="656"/>
      <c r="I562" s="656"/>
      <c r="J562" s="888"/>
      <c r="K562" s="889"/>
      <c r="L562" s="889"/>
      <c r="M562" s="889"/>
      <c r="N562" s="889"/>
      <c r="O562" s="889"/>
      <c r="P562" s="889"/>
    </row>
    <row customHeight="true" ht="16.071428571428573" r="563">
      <c r="A563" s="890"/>
      <c r="B563" s="586"/>
      <c r="C563" s="586"/>
      <c r="D563" s="887"/>
      <c r="E563" s="538"/>
      <c r="F563" s="656"/>
      <c r="G563" s="802"/>
      <c r="H563" s="656"/>
      <c r="I563" s="656"/>
      <c r="J563" s="676"/>
      <c r="K563" s="512"/>
      <c r="L563" s="512"/>
      <c r="M563" s="512"/>
      <c r="N563" s="512"/>
      <c r="O563" s="512"/>
      <c r="P563" s="512"/>
    </row>
    <row customHeight="true" ht="42.261904761904766" r="564">
      <c r="A564" s="891"/>
      <c r="B564" s="891"/>
      <c r="C564" s="891"/>
      <c r="D564" s="891"/>
      <c r="E564" s="891"/>
      <c r="F564" s="891"/>
      <c r="G564" s="891"/>
      <c r="H564" s="891"/>
      <c r="I564" s="891"/>
      <c r="J564" s="892"/>
      <c r="K564" s="547"/>
      <c r="L564" s="547"/>
      <c r="M564" s="547"/>
      <c r="N564" s="547"/>
      <c r="O564" s="547"/>
      <c r="P564" s="547"/>
    </row>
    <row customHeight="true" ht="33.333333333333336" r="565">
      <c r="A565" s="893"/>
      <c r="B565" s="894"/>
      <c r="C565" s="894"/>
      <c r="D565" s="895"/>
      <c r="E565" s="895"/>
      <c r="F565" s="895"/>
      <c r="G565" s="896"/>
      <c r="H565" s="895"/>
      <c r="I565" s="895"/>
      <c r="J565" s="897"/>
      <c r="K565" s="532"/>
      <c r="L565" s="532"/>
      <c r="M565" s="532"/>
      <c r="N565" s="532"/>
      <c r="O565" s="532"/>
      <c r="P565" s="532"/>
    </row>
    <row customHeight="true" ht="16.071428571428573" r="566">
      <c r="A566" s="898"/>
      <c r="B566" s="899"/>
      <c r="C566" s="900"/>
      <c r="D566" s="901"/>
      <c r="E566" s="902"/>
      <c r="F566" s="903"/>
      <c r="G566" s="904"/>
      <c r="H566" s="902"/>
      <c r="I566" s="902"/>
      <c r="J566" s="905"/>
      <c r="K566" s="905"/>
      <c r="L566" s="905"/>
      <c r="M566" s="905"/>
      <c r="N566" s="905"/>
      <c r="O566" s="905"/>
      <c r="P566" s="905"/>
      <c r="Q566" s="906"/>
      <c r="R566" s="906"/>
    </row>
    <row customHeight="true" ht="22.023809523809526" r="567">
      <c r="A567" s="586"/>
      <c r="B567" s="749"/>
      <c r="C567" s="586"/>
      <c r="D567" s="886"/>
      <c r="E567" s="656"/>
      <c r="F567" s="656"/>
      <c r="G567" s="802"/>
      <c r="H567" s="656"/>
      <c r="I567" s="656"/>
      <c r="J567" s="676"/>
      <c r="K567" s="512"/>
      <c r="L567" s="512"/>
      <c r="M567" s="512"/>
      <c r="N567" s="512"/>
      <c r="O567" s="512"/>
      <c r="P567" s="512"/>
      <c r="Q567" s="564"/>
      <c r="R567" s="564"/>
    </row>
    <row customHeight="true" ht="22.25056689342507" r="568">
      <c r="A568" s="898"/>
      <c r="B568" s="899"/>
      <c r="C568" s="900"/>
      <c r="D568" s="901"/>
      <c r="E568" s="902"/>
      <c r="F568" s="903"/>
      <c r="G568" s="907"/>
      <c r="H568" s="902"/>
      <c r="I568" s="902"/>
      <c r="J568" s="908"/>
      <c r="K568" s="905"/>
      <c r="L568" s="905"/>
      <c r="M568" s="905"/>
      <c r="N568" s="905"/>
      <c r="O568" s="905"/>
      <c r="P568" s="905"/>
      <c r="Q568" s="906"/>
      <c r="R568" s="906"/>
    </row>
    <row customHeight="true" ht="22.023809523809526" r="569">
      <c r="A569" s="909"/>
      <c r="B569" s="910"/>
      <c r="C569" s="909"/>
      <c r="D569" s="911"/>
      <c r="E569" s="912"/>
      <c r="F569" s="913"/>
      <c r="G569" s="914"/>
      <c r="H569" s="912"/>
      <c r="I569" s="912"/>
      <c r="J569" s="915"/>
      <c r="K569" s="512"/>
      <c r="L569" s="512"/>
      <c r="M569" s="512"/>
      <c r="N569" s="512"/>
      <c r="O569" s="512"/>
      <c r="P569" s="512"/>
    </row>
    <row customHeight="true" ht="16.071428571428573" r="570">
      <c r="A570" s="586"/>
      <c r="B570" s="749"/>
      <c r="C570" s="586"/>
      <c r="D570" s="886"/>
      <c r="E570" s="656"/>
      <c r="F570" s="656"/>
      <c r="G570" s="802"/>
      <c r="H570" s="656"/>
      <c r="I570" s="656"/>
      <c r="J570" s="676"/>
      <c r="K570" s="512"/>
      <c r="L570" s="512"/>
      <c r="M570" s="512"/>
      <c r="N570" s="512"/>
      <c r="O570" s="512"/>
      <c r="P570" s="512"/>
      <c r="Q570" s="564"/>
      <c r="R570" s="564"/>
    </row>
    <row customHeight="true" ht="16.071428571428573" r="571">
      <c r="A571" s="909"/>
      <c r="B571" s="910"/>
      <c r="C571" s="909"/>
      <c r="D571" s="911"/>
      <c r="E571" s="912"/>
      <c r="F571" s="913"/>
      <c r="G571" s="914"/>
      <c r="H571" s="912"/>
      <c r="I571" s="912"/>
      <c r="J571" s="915"/>
      <c r="K571" s="512"/>
      <c r="L571" s="512"/>
      <c r="M571" s="512"/>
      <c r="N571" s="512"/>
      <c r="O571" s="512"/>
      <c r="P571" s="512"/>
    </row>
    <row customHeight="true" ht="16.071428571428573" r="572">
      <c r="A572" s="533"/>
      <c r="B572" s="515"/>
      <c r="C572" s="749"/>
      <c r="D572" s="541"/>
      <c r="E572" s="538"/>
      <c r="F572" s="510"/>
      <c r="G572" s="617"/>
      <c r="H572" s="510"/>
      <c r="I572" s="656"/>
      <c r="J572" s="536"/>
      <c r="K572" s="512"/>
      <c r="L572" s="512"/>
      <c r="M572" s="512"/>
      <c r="N572" s="512"/>
      <c r="O572" s="512"/>
      <c r="P572" s="512"/>
    </row>
    <row customHeight="true" ht="16.071428571428573" r="573">
      <c r="A573" s="533"/>
      <c r="B573" s="515"/>
      <c r="C573" s="533"/>
      <c r="D573" s="887"/>
      <c r="E573" s="538"/>
      <c r="F573" s="510"/>
      <c r="G573" s="802"/>
      <c r="H573" s="656"/>
      <c r="I573" s="656"/>
      <c r="J573" s="676"/>
      <c r="K573" s="512"/>
      <c r="L573" s="512"/>
      <c r="M573" s="512"/>
      <c r="N573" s="512"/>
      <c r="O573" s="512"/>
      <c r="P573" s="512"/>
    </row>
    <row customHeight="true" ht="16.071428571428573" r="574">
      <c r="A574" s="533"/>
      <c r="B574" s="515"/>
      <c r="C574" s="533"/>
      <c r="D574" s="887"/>
      <c r="E574" s="538"/>
      <c r="F574" s="510"/>
      <c r="G574" s="802"/>
      <c r="H574" s="656"/>
      <c r="I574" s="656"/>
      <c r="J574" s="676"/>
      <c r="K574" s="512"/>
      <c r="L574" s="512"/>
      <c r="M574" s="512"/>
      <c r="N574" s="512"/>
      <c r="O574" s="512"/>
      <c r="P574" s="512"/>
    </row>
    <row customHeight="true" ht="16.071428571428573" r="575">
      <c r="A575" s="533"/>
      <c r="B575" s="515"/>
      <c r="C575" s="533"/>
      <c r="D575" s="887"/>
      <c r="E575" s="538"/>
      <c r="F575" s="510"/>
      <c r="G575" s="802"/>
      <c r="H575" s="656"/>
      <c r="I575" s="656"/>
      <c r="J575" s="676"/>
      <c r="K575" s="512"/>
      <c r="L575" s="512"/>
      <c r="M575" s="512"/>
      <c r="N575" s="512"/>
      <c r="O575" s="512"/>
      <c r="P575" s="512"/>
    </row>
    <row customHeight="true" ht="16.071428571428573" r="576">
      <c r="A576" s="533"/>
      <c r="B576" s="515"/>
      <c r="C576" s="533"/>
      <c r="D576" s="887"/>
      <c r="E576" s="538"/>
      <c r="F576" s="510"/>
      <c r="G576" s="802"/>
      <c r="H576" s="656"/>
      <c r="I576" s="656"/>
      <c r="J576" s="676"/>
      <c r="K576" s="512"/>
      <c r="L576" s="512"/>
      <c r="M576" s="512"/>
      <c r="N576" s="512"/>
      <c r="O576" s="512"/>
      <c r="P576" s="512"/>
    </row>
    <row customHeight="true" ht="16.071428571428573" r="577">
      <c r="A577" s="533"/>
      <c r="B577" s="515"/>
      <c r="C577" s="533"/>
      <c r="D577" s="541"/>
      <c r="E577" s="510"/>
      <c r="F577" s="542"/>
      <c r="G577" s="543"/>
      <c r="H577" s="510"/>
      <c r="I577" s="656"/>
      <c r="J577" s="511"/>
      <c r="K577" s="669"/>
      <c r="L577" s="669"/>
      <c r="M577" s="669"/>
      <c r="N577" s="669"/>
      <c r="O577" s="669"/>
      <c r="P577" s="669"/>
      <c r="Q577" s="544"/>
      <c r="R577" s="544"/>
    </row>
    <row customHeight="true" ht="16.071428571428573" r="578">
      <c r="A578" s="533"/>
      <c r="B578" s="515"/>
      <c r="C578" s="533"/>
      <c r="D578" s="887"/>
      <c r="E578" s="538"/>
      <c r="F578" s="510"/>
      <c r="G578" s="626"/>
      <c r="H578" s="510"/>
      <c r="I578" s="656"/>
      <c r="J578" s="676"/>
      <c r="K578" s="512"/>
      <c r="L578" s="512"/>
      <c r="M578" s="512"/>
      <c r="N578" s="512"/>
      <c r="O578" s="512"/>
      <c r="P578" s="512"/>
    </row>
    <row customHeight="true" ht="16.071428571428573" r="579">
      <c r="A579" s="909"/>
      <c r="B579" s="910"/>
      <c r="C579" s="909"/>
      <c r="D579" s="911"/>
      <c r="E579" s="912"/>
      <c r="F579" s="913"/>
      <c r="G579" s="914"/>
      <c r="H579" s="912"/>
      <c r="I579" s="656"/>
      <c r="J579" s="915"/>
      <c r="K579" s="512"/>
      <c r="L579" s="512"/>
      <c r="M579" s="512"/>
      <c r="N579" s="512"/>
      <c r="O579" s="512"/>
      <c r="P579" s="512"/>
    </row>
    <row customHeight="true" ht="16.071428571428573" r="580">
      <c r="A580" s="533"/>
      <c r="B580" s="515"/>
      <c r="C580" s="533"/>
      <c r="D580" s="541"/>
      <c r="E580" s="510"/>
      <c r="F580" s="542"/>
      <c r="G580" s="543"/>
      <c r="H580" s="510"/>
      <c r="I580" s="656"/>
      <c r="J580" s="511"/>
      <c r="K580" s="669"/>
      <c r="L580" s="669"/>
      <c r="M580" s="669"/>
      <c r="N580" s="669"/>
      <c r="O580" s="669"/>
      <c r="P580" s="669"/>
      <c r="Q580" s="544"/>
      <c r="R580" s="544"/>
    </row>
    <row customHeight="true" ht="16.071428571428573" r="581">
      <c r="D581" s="916"/>
    </row>
    <row customHeight="true" ht="16.071428571428573" r="582">
      <c r="D582" s="916"/>
    </row>
    <row customHeight="true" ht="16.071428571428573" r="583">
      <c r="D583" s="916"/>
    </row>
    <row customHeight="true" ht="16.071428571428573" r="584">
      <c r="D584" s="916"/>
    </row>
    <row customHeight="true" ht="16.071428571428573" r="585">
      <c r="D585" s="916"/>
    </row>
    <row customHeight="true" ht="16.071428571428573" r="586">
      <c r="D586" s="916"/>
    </row>
    <row customHeight="true" ht="16.071428571428573" r="587">
      <c r="A587" s="533"/>
      <c r="B587" s="749"/>
      <c r="C587" s="586"/>
      <c r="D587" s="541"/>
      <c r="E587" s="510"/>
      <c r="F587" s="542"/>
      <c r="G587" s="802"/>
      <c r="H587" s="656"/>
      <c r="I587" s="656"/>
      <c r="J587" s="676"/>
      <c r="K587" s="512"/>
      <c r="L587" s="512"/>
      <c r="M587" s="512"/>
      <c r="N587" s="512"/>
      <c r="O587" s="512"/>
      <c r="P587" s="512"/>
    </row>
    <row customHeight="true" ht="16.071428571428573" r="588">
      <c r="A588" s="533"/>
      <c r="B588" s="749"/>
      <c r="C588" s="586"/>
      <c r="D588" s="541"/>
      <c r="E588" s="510"/>
      <c r="F588" s="542"/>
      <c r="G588" s="802"/>
      <c r="H588" s="656"/>
      <c r="I588" s="656"/>
      <c r="J588" s="676"/>
      <c r="K588" s="512"/>
      <c r="L588" s="512"/>
      <c r="M588" s="512"/>
      <c r="N588" s="512"/>
      <c r="O588" s="512"/>
      <c r="P588" s="512"/>
    </row>
    <row customHeight="true" ht="16.071428571428573" r="589">
      <c r="A589" s="533"/>
      <c r="B589" s="749"/>
      <c r="C589" s="586"/>
      <c r="D589" s="541"/>
      <c r="E589" s="510"/>
      <c r="F589" s="542"/>
      <c r="G589" s="802"/>
      <c r="H589" s="656"/>
      <c r="I589" s="656"/>
      <c r="J589" s="676"/>
      <c r="K589" s="512"/>
      <c r="L589" s="512"/>
      <c r="M589" s="512"/>
      <c r="N589" s="512"/>
      <c r="O589" s="512"/>
      <c r="P589" s="512"/>
    </row>
    <row customHeight="true" ht="16.071428571428573" r="590">
      <c r="A590" s="890"/>
      <c r="B590" s="586"/>
      <c r="C590" s="586"/>
      <c r="D590" s="656"/>
      <c r="E590" s="656"/>
      <c r="F590" s="656"/>
      <c r="G590" s="802"/>
      <c r="H590" s="656"/>
      <c r="I590" s="656"/>
      <c r="J590" s="676"/>
      <c r="K590" s="512"/>
      <c r="L590" s="512"/>
      <c r="M590" s="512"/>
      <c r="N590" s="512"/>
      <c r="O590" s="512"/>
      <c r="P590" s="512"/>
    </row>
    <row customHeight="true" ht="32.73809523809524" r="591">
      <c r="A591" s="917" t="s">
        <v>847</v>
      </c>
      <c r="B591" s="917"/>
      <c r="C591" s="917"/>
      <c r="D591" s="917"/>
      <c r="E591" s="917"/>
      <c r="F591" s="917"/>
      <c r="G591" s="917"/>
      <c r="H591" s="917"/>
      <c r="I591" s="917"/>
      <c r="J591" s="918"/>
      <c r="K591" s="919"/>
      <c r="L591" s="919"/>
      <c r="M591" s="919"/>
      <c r="N591" s="919"/>
      <c r="O591" s="919"/>
      <c r="P591" s="919"/>
      <c r="Q591" s="920"/>
      <c r="R591" s="920"/>
    </row>
    <row customHeight="true" ht="32.73809523809524" r="592">
      <c r="A592" s="921" t="s">
        <v>478</v>
      </c>
      <c r="B592" s="922" t="s">
        <v>479</v>
      </c>
      <c r="C592" s="922"/>
      <c r="D592" s="923" t="s">
        <v>480</v>
      </c>
      <c r="E592" s="923" t="s">
        <v>481</v>
      </c>
      <c r="F592" s="923" t="s">
        <v>482</v>
      </c>
      <c r="G592" s="924" t="s">
        <v>495</v>
      </c>
      <c r="H592" s="923" t="s">
        <v>484</v>
      </c>
      <c r="I592" s="923" t="s">
        <v>485</v>
      </c>
      <c r="J592" s="925" t="s">
        <v>486</v>
      </c>
      <c r="K592" s="926"/>
      <c r="L592" s="926"/>
      <c r="M592" s="926"/>
      <c r="N592" s="926"/>
      <c r="O592" s="926"/>
      <c r="P592" s="926"/>
      <c r="Q592" s="920"/>
      <c r="R592" s="920"/>
    </row>
    <row customHeight="true" ht="16.071428571428573" r="593">
      <c r="A593" s="870"/>
      <c r="B593" s="515"/>
      <c r="C593" s="533"/>
      <c r="D593" s="541"/>
      <c r="E593" s="538"/>
      <c r="F593" s="536"/>
      <c r="G593" s="626"/>
      <c r="H593" s="927"/>
      <c r="I593" s="538"/>
      <c r="J593" s="873"/>
      <c r="K593" s="512"/>
      <c r="L593" s="512"/>
      <c r="M593" s="512"/>
      <c r="N593" s="512"/>
      <c r="O593" s="512"/>
      <c r="P593" s="512"/>
    </row>
    <row customHeight="true" ht="16.071428571428573" r="594">
      <c r="A594" s="928"/>
      <c r="B594" s="557"/>
      <c r="C594" s="556"/>
      <c r="D594" s="558"/>
      <c r="E594" s="538"/>
      <c r="F594" s="562"/>
      <c r="G594" s="929"/>
      <c r="H594" s="930"/>
      <c r="I594" s="559"/>
      <c r="J594" s="755"/>
      <c r="K594" s="755"/>
      <c r="L594" s="755"/>
      <c r="M594" s="755"/>
      <c r="N594" s="755"/>
      <c r="O594" s="755"/>
      <c r="P594" s="755"/>
      <c r="Q594" s="756"/>
      <c r="R594" s="756"/>
    </row>
    <row customHeight="true" ht="16.071428571428573" r="595">
      <c r="A595" s="870"/>
      <c r="B595" s="515"/>
      <c r="C595" s="586"/>
      <c r="D595" s="541"/>
      <c r="E595" s="538"/>
      <c r="F595" s="536"/>
      <c r="G595" s="626"/>
      <c r="H595" s="927"/>
      <c r="I595" s="538"/>
      <c r="J595" s="536"/>
      <c r="K595" s="512"/>
      <c r="L595" s="512"/>
      <c r="M595" s="512"/>
      <c r="N595" s="512"/>
      <c r="O595" s="512"/>
      <c r="P595" s="512"/>
    </row>
    <row customHeight="true" ht="16.071428571428573" r="596">
      <c r="A596" s="928"/>
      <c r="B596" s="557"/>
      <c r="C596" s="556"/>
      <c r="D596" s="558"/>
      <c r="E596" s="538"/>
      <c r="F596" s="562"/>
      <c r="G596" s="560"/>
      <c r="H596" s="930"/>
      <c r="I596" s="559"/>
      <c r="J596" s="562"/>
      <c r="K596" s="755"/>
      <c r="L596" s="755"/>
      <c r="M596" s="755"/>
      <c r="N596" s="755"/>
      <c r="O596" s="755"/>
      <c r="P596" s="755"/>
      <c r="Q596" s="756"/>
      <c r="R596" s="756"/>
    </row>
    <row customHeight="true" ht="16.071428571428573" r="597">
      <c r="A597" s="928"/>
      <c r="B597" s="557"/>
      <c r="C597" s="556"/>
      <c r="D597" s="558"/>
      <c r="E597" s="538"/>
      <c r="F597" s="562"/>
      <c r="G597" s="560"/>
      <c r="H597" s="930"/>
      <c r="I597" s="559"/>
      <c r="J597" s="562"/>
      <c r="K597" s="755"/>
      <c r="L597" s="755"/>
      <c r="M597" s="755"/>
      <c r="N597" s="755"/>
      <c r="O597" s="755"/>
      <c r="P597" s="755"/>
      <c r="Q597" s="756"/>
      <c r="R597" s="756"/>
    </row>
    <row customHeight="true" ht="16.071428571428573" r="598">
      <c r="A598" s="870"/>
      <c r="B598" s="515"/>
      <c r="C598" s="586"/>
      <c r="D598" s="541"/>
      <c r="E598" s="538"/>
      <c r="F598" s="536"/>
      <c r="G598" s="626"/>
      <c r="H598" s="927"/>
      <c r="I598" s="538"/>
      <c r="J598" s="536"/>
      <c r="K598" s="512"/>
      <c r="L598" s="512"/>
      <c r="M598" s="512"/>
      <c r="N598" s="512"/>
      <c r="O598" s="512"/>
      <c r="P598" s="512"/>
    </row>
    <row customHeight="true" ht="16.071428571428573" r="599">
      <c r="A599" s="928"/>
      <c r="B599" s="557"/>
      <c r="C599" s="556"/>
      <c r="D599" s="558"/>
      <c r="E599" s="538"/>
      <c r="F599" s="562"/>
      <c r="G599" s="560"/>
      <c r="H599" s="930"/>
      <c r="I599" s="559"/>
      <c r="J599" s="562"/>
      <c r="K599" s="755"/>
      <c r="L599" s="755"/>
      <c r="M599" s="755"/>
      <c r="N599" s="755"/>
      <c r="O599" s="755"/>
      <c r="P599" s="755"/>
      <c r="Q599" s="756"/>
      <c r="R599" s="756"/>
    </row>
    <row customHeight="true" ht="16.071428571428573" r="600">
      <c r="A600" s="928"/>
      <c r="B600" s="557"/>
      <c r="C600" s="556"/>
      <c r="D600" s="558"/>
      <c r="E600" s="538"/>
      <c r="F600" s="562"/>
      <c r="G600" s="560"/>
      <c r="H600" s="930"/>
      <c r="I600" s="559"/>
      <c r="J600" s="562"/>
      <c r="K600" s="755"/>
      <c r="L600" s="755"/>
      <c r="M600" s="755"/>
      <c r="N600" s="755"/>
      <c r="O600" s="755"/>
      <c r="P600" s="755"/>
      <c r="Q600" s="756"/>
      <c r="R600" s="756"/>
    </row>
    <row customHeight="true" ht="16.071428571428573" r="601">
      <c r="A601" s="931"/>
      <c r="B601" s="749"/>
      <c r="C601" s="586"/>
      <c r="D601" s="624"/>
      <c r="E601" s="656"/>
      <c r="F601" s="626"/>
      <c r="G601" s="626"/>
      <c r="H601" s="932"/>
      <c r="I601" s="656"/>
      <c r="J601" s="676"/>
      <c r="K601" s="512"/>
      <c r="L601" s="512"/>
      <c r="M601" s="512"/>
      <c r="N601" s="512"/>
      <c r="O601" s="512"/>
      <c r="P601" s="512"/>
      <c r="Q601" s="564"/>
      <c r="R601" s="564"/>
    </row>
    <row customHeight="true" ht="16.071428571428573" r="602">
      <c r="A602" s="933"/>
      <c r="B602" s="934"/>
      <c r="C602" s="934"/>
      <c r="D602" s="935"/>
      <c r="E602" s="936"/>
      <c r="F602" s="937"/>
      <c r="G602" s="938"/>
      <c r="H602" s="939"/>
      <c r="I602" s="936"/>
      <c r="J602" s="937"/>
      <c r="K602" s="940"/>
      <c r="L602" s="940"/>
      <c r="M602" s="940"/>
      <c r="N602" s="940"/>
      <c r="O602" s="940"/>
      <c r="P602" s="940"/>
      <c r="Q602" s="772"/>
      <c r="R602" s="772"/>
    </row>
    <row customHeight="true" ht="16.071428571428573" r="603">
      <c r="A603" s="933"/>
      <c r="B603" s="934"/>
      <c r="C603" s="934"/>
      <c r="D603" s="935"/>
      <c r="E603" s="935"/>
      <c r="F603" s="937"/>
      <c r="G603" s="941"/>
      <c r="H603" s="939"/>
      <c r="I603" s="936"/>
      <c r="J603" s="937"/>
      <c r="K603" s="940"/>
      <c r="L603" s="940"/>
      <c r="M603" s="940"/>
      <c r="N603" s="940"/>
      <c r="O603" s="940"/>
      <c r="P603" s="940"/>
      <c r="Q603" s="772"/>
      <c r="R603" s="772"/>
    </row>
    <row customHeight="true" ht="16.071428571428573" r="604">
      <c r="A604" s="890"/>
      <c r="B604" s="749"/>
      <c r="C604" s="586"/>
      <c r="D604" s="624"/>
      <c r="E604" s="656"/>
      <c r="F604" s="656"/>
      <c r="G604" s="626"/>
      <c r="H604" s="932"/>
      <c r="I604" s="656"/>
      <c r="J604" s="676"/>
      <c r="K604" s="512"/>
      <c r="L604" s="512"/>
      <c r="M604" s="512"/>
      <c r="N604" s="512"/>
      <c r="O604" s="512"/>
      <c r="P604" s="512"/>
      <c r="Q604" s="564"/>
      <c r="R604" s="564"/>
    </row>
    <row customHeight="true" ht="16.071428571428573" r="605">
      <c r="A605" s="890"/>
      <c r="B605" s="749"/>
      <c r="C605" s="586"/>
      <c r="D605" s="510"/>
      <c r="E605" s="656"/>
      <c r="F605" s="542"/>
      <c r="G605" s="802"/>
      <c r="H605" s="656"/>
      <c r="I605" s="656"/>
      <c r="J605" s="676"/>
      <c r="K605" s="512"/>
      <c r="L605" s="512"/>
      <c r="M605" s="512"/>
      <c r="N605" s="512"/>
      <c r="O605" s="512"/>
      <c r="P605" s="512"/>
    </row>
    <row customHeight="true" ht="16.071428571428573" r="606">
      <c r="A606" s="890"/>
      <c r="B606" s="586"/>
      <c r="C606" s="586"/>
      <c r="D606" s="656"/>
      <c r="E606" s="656"/>
      <c r="F606" s="656"/>
      <c r="G606" s="802"/>
      <c r="H606" s="656"/>
      <c r="I606" s="656"/>
      <c r="J606" s="676"/>
      <c r="K606" s="512"/>
      <c r="L606" s="512"/>
      <c r="M606" s="512"/>
      <c r="N606" s="512"/>
      <c r="O606" s="512"/>
      <c r="P606" s="512"/>
    </row>
    <row r="607">
      <c r="A607" s="942" t="s">
        <v>848</v>
      </c>
      <c r="B607" s="942"/>
      <c r="C607" s="942"/>
      <c r="D607" s="942"/>
      <c r="E607" s="942"/>
      <c r="F607" s="942"/>
      <c r="G607" s="942"/>
      <c r="H607" s="942"/>
      <c r="I607" s="942"/>
      <c r="J607" s="943"/>
      <c r="K607" s="547"/>
      <c r="L607" s="547"/>
      <c r="M607" s="547"/>
      <c r="N607" s="547"/>
      <c r="O607" s="547"/>
      <c r="P607" s="547"/>
    </row>
    <row r="608">
      <c r="A608" s="944" t="s">
        <v>478</v>
      </c>
      <c r="B608" s="945" t="s">
        <v>479</v>
      </c>
      <c r="C608" s="945"/>
      <c r="D608" s="946" t="s">
        <v>480</v>
      </c>
      <c r="E608" s="946" t="s">
        <v>481</v>
      </c>
      <c r="F608" s="946" t="s">
        <v>482</v>
      </c>
      <c r="G608" s="947" t="s">
        <v>495</v>
      </c>
      <c r="H608" s="946" t="s">
        <v>484</v>
      </c>
      <c r="I608" s="946" t="s">
        <v>485</v>
      </c>
      <c r="J608" s="948" t="s">
        <v>486</v>
      </c>
      <c r="K608" s="601" t="s">
        <v>849</v>
      </c>
      <c r="L608" s="532"/>
      <c r="M608" s="532"/>
      <c r="N608" s="532"/>
      <c r="O608" s="532"/>
      <c r="P608" s="532"/>
    </row>
    <row customHeight="true" ht="18.452380952380953" r="609">
      <c r="A609" s="533" t="s">
        <v>850</v>
      </c>
      <c r="B609" s="515">
        <v>46294</v>
      </c>
      <c r="C609" s="533" t="str">
        <v>Tuesday</v>
      </c>
      <c r="D609" s="624" t="s">
        <v>725</v>
      </c>
      <c r="E609" s="656">
        <f t="shared" ref="E609:E642" si="124">24*MOD(TIMEVALUE(TRIM(MID(D609,FIND("-",D609)+1,LEN(D609)))) - TIMEVALUE(TRIM(LEFT(D609,FIND("-",D609)-1))),1)</f>
      </c>
      <c r="F609" s="538" t="s">
        <v>851</v>
      </c>
      <c r="G609" s="614"/>
      <c r="H609" s="510" t="s">
        <v>467</v>
      </c>
      <c r="I609" s="510" t="s">
        <v>468</v>
      </c>
      <c r="J609" s="536"/>
      <c r="K609" s="623" t="s">
        <v>852</v>
      </c>
      <c r="L609" s="512"/>
      <c r="M609" s="512"/>
      <c r="N609" s="512"/>
      <c r="O609" s="512"/>
      <c r="P609" s="512"/>
    </row>
    <row customHeight="true" ht="18.452380952380953" r="610">
      <c r="A610" s="533" t="s">
        <v>850</v>
      </c>
      <c r="B610" s="515">
        <v>46294</v>
      </c>
      <c r="C610" s="533" t="str">
        <v>Tuesday</v>
      </c>
      <c r="D610" s="624" t="s">
        <v>742</v>
      </c>
      <c r="E610" s="656">
        <f t="shared" si="124"/>
      </c>
      <c r="F610" s="538" t="s">
        <v>853</v>
      </c>
      <c r="G610" s="614"/>
      <c r="H610" s="510" t="s">
        <v>467</v>
      </c>
      <c r="I610" s="510" t="s">
        <v>468</v>
      </c>
      <c r="J610" s="536"/>
      <c r="K610" s="623" t="s">
        <v>852</v>
      </c>
      <c r="L610" s="512"/>
      <c r="M610" s="512"/>
      <c r="N610" s="512"/>
      <c r="O610" s="512"/>
      <c r="P610" s="512"/>
    </row>
    <row customHeight="true" ht="18.452380952380953" r="611">
      <c r="A611" s="533" t="s">
        <v>747</v>
      </c>
      <c r="B611" s="515">
        <v>46294</v>
      </c>
      <c r="C611" s="533" t="str">
        <v>Tuesday</v>
      </c>
      <c r="D611" s="624" t="s">
        <v>854</v>
      </c>
      <c r="E611" s="656">
        <f t="shared" si="124"/>
      </c>
      <c r="F611" s="656" t="s">
        <v>666</v>
      </c>
      <c r="G611" s="614"/>
      <c r="H611" s="510" t="s">
        <v>467</v>
      </c>
      <c r="I611" s="510" t="s">
        <v>468</v>
      </c>
      <c r="J611" s="536"/>
      <c r="K611" s="623"/>
      <c r="L611" s="512"/>
      <c r="M611" s="512"/>
      <c r="N611" s="512"/>
      <c r="O611" s="512"/>
      <c r="P611" s="512"/>
    </row>
    <row customHeight="true" ht="18.452380952380953" r="612">
      <c r="A612" s="849" t="s">
        <v>855</v>
      </c>
      <c r="B612" s="850">
        <v>46294</v>
      </c>
      <c r="C612" s="849" t="str">
        <v>Tuesday</v>
      </c>
      <c r="D612" s="949" t="s">
        <v>856</v>
      </c>
      <c r="E612" s="852">
        <f t="shared" si="124"/>
      </c>
      <c r="F612" s="852" t="s">
        <v>857</v>
      </c>
      <c r="G612" s="950"/>
      <c r="H612" s="852" t="s">
        <v>467</v>
      </c>
      <c r="I612" s="852" t="s">
        <v>468</v>
      </c>
      <c r="J612" s="951"/>
      <c r="K612" s="623" t="s">
        <v>852</v>
      </c>
      <c r="L612" s="512"/>
      <c r="M612" s="512"/>
      <c r="N612" s="512"/>
      <c r="O612" s="512"/>
      <c r="P612" s="512"/>
    </row>
    <row customHeight="true" ht="18.452380952380953" r="613">
      <c r="A613" s="849" t="s">
        <v>855</v>
      </c>
      <c r="B613" s="850">
        <v>46294</v>
      </c>
      <c r="C613" s="849" t="str">
        <v>Tuesday</v>
      </c>
      <c r="D613" s="949" t="s">
        <v>858</v>
      </c>
      <c r="E613" s="852">
        <f t="shared" si="124"/>
      </c>
      <c r="F613" s="852"/>
      <c r="G613" s="950" t="s">
        <v>859</v>
      </c>
      <c r="H613" s="852" t="s">
        <v>467</v>
      </c>
      <c r="I613" s="852" t="s">
        <v>468</v>
      </c>
      <c r="J613" s="951"/>
      <c r="K613" s="623" t="s">
        <v>852</v>
      </c>
      <c r="L613" s="512"/>
      <c r="M613" s="512"/>
      <c r="N613" s="512"/>
      <c r="O613" s="512"/>
      <c r="P613" s="512"/>
    </row>
    <row customHeight="true" ht="18.452380952380953" r="614">
      <c r="A614" s="849" t="s">
        <v>855</v>
      </c>
      <c r="B614" s="850">
        <v>46294</v>
      </c>
      <c r="C614" s="849" t="str">
        <v>Tuesday</v>
      </c>
      <c r="D614" s="949" t="s">
        <v>860</v>
      </c>
      <c r="E614" s="852">
        <f t="shared" si="124"/>
      </c>
      <c r="F614" s="852" t="s">
        <v>857</v>
      </c>
      <c r="G614" s="950"/>
      <c r="H614" s="852" t="s">
        <v>467</v>
      </c>
      <c r="I614" s="852" t="s">
        <v>468</v>
      </c>
      <c r="J614" s="951"/>
      <c r="K614" s="623" t="s">
        <v>852</v>
      </c>
      <c r="L614" s="512"/>
      <c r="M614" s="512"/>
      <c r="N614" s="512"/>
      <c r="O614" s="512"/>
      <c r="P614" s="512"/>
    </row>
    <row customHeight="true" ht="18.452380952380953" r="615">
      <c r="A615" s="586" t="s">
        <v>850</v>
      </c>
      <c r="B615" s="749">
        <v>46295</v>
      </c>
      <c r="C615" s="586" t="str">
        <v>Wednesday</v>
      </c>
      <c r="D615" s="541" t="s">
        <v>725</v>
      </c>
      <c r="E615" s="510">
        <f t="shared" si="124"/>
      </c>
      <c r="F615" s="538" t="s">
        <v>851</v>
      </c>
      <c r="G615" s="626"/>
      <c r="H615" s="656" t="s">
        <v>467</v>
      </c>
      <c r="I615" s="656" t="s">
        <v>468</v>
      </c>
      <c r="J615" s="676"/>
      <c r="K615" s="623" t="s">
        <v>852</v>
      </c>
      <c r="L615" s="512"/>
      <c r="M615" s="512"/>
      <c r="N615" s="512"/>
      <c r="O615" s="512"/>
      <c r="P615" s="512"/>
      <c r="Q615" s="564"/>
      <c r="R615" s="564"/>
    </row>
    <row customHeight="true" ht="18.452380952380953" r="616">
      <c r="A616" s="586" t="s">
        <v>850</v>
      </c>
      <c r="B616" s="749">
        <v>46295</v>
      </c>
      <c r="C616" s="586" t="str">
        <v>Wednesday</v>
      </c>
      <c r="D616" s="541" t="s">
        <v>742</v>
      </c>
      <c r="E616" s="510">
        <f t="shared" si="124"/>
      </c>
      <c r="F616" s="538" t="s">
        <v>607</v>
      </c>
      <c r="G616" s="626"/>
      <c r="H616" s="656" t="s">
        <v>467</v>
      </c>
      <c r="I616" s="656" t="s">
        <v>468</v>
      </c>
      <c r="J616" s="676"/>
      <c r="K616" s="623" t="s">
        <v>852</v>
      </c>
      <c r="L616" s="512"/>
      <c r="M616" s="512"/>
      <c r="N616" s="512"/>
      <c r="O616" s="512"/>
      <c r="P616" s="512"/>
      <c r="Q616" s="564"/>
      <c r="R616" s="564"/>
    </row>
    <row customHeight="true" ht="18.452380952380953" r="617">
      <c r="A617" s="849" t="s">
        <v>855</v>
      </c>
      <c r="B617" s="952">
        <v>46295</v>
      </c>
      <c r="C617" s="849" t="str">
        <v>Wednesday</v>
      </c>
      <c r="D617" s="866" t="s">
        <v>856</v>
      </c>
      <c r="E617" s="852">
        <f t="shared" si="124"/>
      </c>
      <c r="F617" s="852" t="s">
        <v>857</v>
      </c>
      <c r="G617" s="950"/>
      <c r="H617" s="853" t="s">
        <v>467</v>
      </c>
      <c r="I617" s="853" t="s">
        <v>468</v>
      </c>
      <c r="J617" s="953"/>
      <c r="K617" s="623" t="s">
        <v>852</v>
      </c>
      <c r="L617" s="512"/>
      <c r="M617" s="512"/>
      <c r="N617" s="512"/>
      <c r="O617" s="512"/>
      <c r="P617" s="512"/>
      <c r="Q617" s="564"/>
      <c r="R617" s="564"/>
    </row>
    <row customHeight="true" ht="18.452380952380953" r="618">
      <c r="A618" s="849" t="s">
        <v>855</v>
      </c>
      <c r="B618" s="952">
        <v>46295</v>
      </c>
      <c r="C618" s="849" t="str">
        <v>Wednesday</v>
      </c>
      <c r="D618" s="866" t="s">
        <v>858</v>
      </c>
      <c r="E618" s="852">
        <f t="shared" si="124"/>
      </c>
      <c r="F618" s="852"/>
      <c r="G618" s="950" t="s">
        <v>861</v>
      </c>
      <c r="H618" s="853" t="s">
        <v>467</v>
      </c>
      <c r="I618" s="853" t="s">
        <v>468</v>
      </c>
      <c r="J618" s="953"/>
      <c r="K618" s="623"/>
      <c r="L618" s="512"/>
      <c r="M618" s="512"/>
      <c r="N618" s="512"/>
      <c r="O618" s="512"/>
      <c r="P618" s="512"/>
      <c r="Q618" s="564"/>
      <c r="R618" s="564"/>
    </row>
    <row customHeight="true" ht="18.452380952380953" r="619">
      <c r="A619" s="849" t="s">
        <v>855</v>
      </c>
      <c r="B619" s="952">
        <v>46295</v>
      </c>
      <c r="C619" s="849" t="str">
        <v>Wednesday</v>
      </c>
      <c r="D619" s="866" t="s">
        <v>860</v>
      </c>
      <c r="E619" s="852">
        <f t="shared" si="124"/>
      </c>
      <c r="F619" s="852" t="s">
        <v>857</v>
      </c>
      <c r="G619" s="950"/>
      <c r="H619" s="853" t="s">
        <v>467</v>
      </c>
      <c r="I619" s="853" t="s">
        <v>468</v>
      </c>
      <c r="J619" s="953"/>
      <c r="K619" s="623" t="s">
        <v>852</v>
      </c>
      <c r="L619" s="512"/>
      <c r="M619" s="512"/>
      <c r="N619" s="512"/>
      <c r="O619" s="512"/>
      <c r="P619" s="512"/>
      <c r="Q619" s="564"/>
      <c r="R619" s="564"/>
    </row>
    <row customHeight="true" ht="18.452380952380953" r="620">
      <c r="A620" s="849" t="s">
        <v>747</v>
      </c>
      <c r="B620" s="952">
        <v>46295</v>
      </c>
      <c r="C620" s="849" t="str">
        <v>Wednesday</v>
      </c>
      <c r="D620" s="866" t="s">
        <v>862</v>
      </c>
      <c r="E620" s="852">
        <f t="shared" si="124"/>
      </c>
      <c r="F620" s="852" t="s">
        <v>863</v>
      </c>
      <c r="G620" s="950"/>
      <c r="H620" s="853" t="s">
        <v>467</v>
      </c>
      <c r="I620" s="853" t="s">
        <v>468</v>
      </c>
      <c r="J620" s="953"/>
      <c r="K620" s="623"/>
      <c r="L620" s="512"/>
      <c r="M620" s="512"/>
      <c r="N620" s="512"/>
      <c r="O620" s="512"/>
      <c r="P620" s="512"/>
      <c r="Q620" s="564"/>
      <c r="R620" s="564"/>
    </row>
    <row customHeight="true" ht="18.452380952380953" r="621">
      <c r="A621" s="586" t="s">
        <v>850</v>
      </c>
      <c r="B621" s="954">
        <v>46296</v>
      </c>
      <c r="C621" s="586" t="str">
        <v>Thursday</v>
      </c>
      <c r="D621" s="624" t="s">
        <v>762</v>
      </c>
      <c r="E621" s="656">
        <f t="shared" si="124"/>
      </c>
      <c r="F621" s="656" t="s">
        <v>864</v>
      </c>
      <c r="G621" s="626" t="s">
        <v>865</v>
      </c>
      <c r="H621" s="656" t="s">
        <v>467</v>
      </c>
      <c r="I621" s="656" t="s">
        <v>468</v>
      </c>
      <c r="J621" s="676"/>
      <c r="K621" s="623" t="s">
        <v>852</v>
      </c>
      <c r="L621" s="512"/>
      <c r="M621" s="512"/>
      <c r="N621" s="512"/>
      <c r="O621" s="512"/>
      <c r="P621" s="512"/>
      <c r="Q621" s="564"/>
      <c r="R621" s="564"/>
    </row>
    <row customHeight="true" ht="18.452380952380953" r="622">
      <c r="A622" s="586" t="s">
        <v>850</v>
      </c>
      <c r="B622" s="749">
        <v>46296</v>
      </c>
      <c r="C622" s="586" t="str">
        <v>Thursday</v>
      </c>
      <c r="D622" s="624" t="s">
        <v>725</v>
      </c>
      <c r="E622" s="656">
        <f t="shared" si="124"/>
      </c>
      <c r="F622" s="538" t="s">
        <v>851</v>
      </c>
      <c r="G622" s="626" t="s">
        <v>866</v>
      </c>
      <c r="H622" s="656" t="s">
        <v>467</v>
      </c>
      <c r="I622" s="656" t="s">
        <v>468</v>
      </c>
      <c r="J622" s="676"/>
      <c r="K622" s="623" t="s">
        <v>852</v>
      </c>
      <c r="L622" s="512"/>
      <c r="M622" s="512"/>
      <c r="N622" s="512"/>
      <c r="O622" s="512"/>
      <c r="P622" s="512"/>
      <c r="Q622" s="564"/>
      <c r="R622" s="564"/>
    </row>
    <row r="623">
      <c r="A623" s="647" t="s">
        <v>855</v>
      </c>
      <c r="B623" s="646">
        <v>46296</v>
      </c>
      <c r="C623" s="647" t="str">
        <v>Thursday</v>
      </c>
      <c r="D623" s="649" t="s">
        <v>867</v>
      </c>
      <c r="E623" s="649">
        <f t="shared" si="124"/>
      </c>
      <c r="F623" s="649" t="s">
        <v>857</v>
      </c>
      <c r="G623" s="704"/>
      <c r="H623" s="649" t="s">
        <v>467</v>
      </c>
      <c r="I623" s="649" t="s">
        <v>468</v>
      </c>
      <c r="J623" s="800" t="s">
        <v>868</v>
      </c>
      <c r="K623" s="623" t="s">
        <v>852</v>
      </c>
      <c r="L623" s="623"/>
      <c r="M623" s="623"/>
      <c r="N623" s="623"/>
      <c r="O623" s="623"/>
      <c r="P623" s="623"/>
      <c r="Q623" s="564"/>
      <c r="R623" s="564"/>
    </row>
    <row customHeight="true" ht="18.452380952380953" r="624">
      <c r="A624" s="856" t="s">
        <v>855</v>
      </c>
      <c r="B624" s="884">
        <v>46296</v>
      </c>
      <c r="C624" s="856" t="str">
        <v>Thursday</v>
      </c>
      <c r="D624" s="852" t="s">
        <v>869</v>
      </c>
      <c r="E624" s="852">
        <f t="shared" si="124"/>
      </c>
      <c r="F624" s="852"/>
      <c r="G624" s="950"/>
      <c r="H624" s="853" t="s">
        <v>467</v>
      </c>
      <c r="I624" s="853" t="s">
        <v>468</v>
      </c>
      <c r="J624" s="955"/>
      <c r="K624" s="623" t="s">
        <v>852</v>
      </c>
      <c r="L624" s="623"/>
      <c r="M624" s="623"/>
      <c r="N624" s="623"/>
      <c r="O624" s="623"/>
      <c r="P624" s="623"/>
      <c r="Q624" s="564"/>
      <c r="R624" s="564"/>
    </row>
    <row customHeight="true" ht="18.452380952380953" r="625">
      <c r="A625" s="647" t="s">
        <v>855</v>
      </c>
      <c r="B625" s="646">
        <v>46296</v>
      </c>
      <c r="C625" s="647" t="str">
        <v>Thursday</v>
      </c>
      <c r="D625" s="649" t="s">
        <v>870</v>
      </c>
      <c r="E625" s="649">
        <f t="shared" si="124"/>
      </c>
      <c r="F625" s="649" t="s">
        <v>857</v>
      </c>
      <c r="G625" s="704"/>
      <c r="H625" s="649" t="s">
        <v>467</v>
      </c>
      <c r="I625" s="649" t="s">
        <v>468</v>
      </c>
      <c r="J625" s="800" t="s">
        <v>868</v>
      </c>
      <c r="K625" s="623"/>
      <c r="L625" s="623"/>
      <c r="M625" s="623"/>
      <c r="N625" s="623"/>
      <c r="O625" s="623"/>
      <c r="P625" s="623"/>
      <c r="Q625" s="564"/>
      <c r="R625" s="564"/>
    </row>
    <row customHeight="true" ht="18.452380952380953" r="626">
      <c r="A626" s="856" t="s">
        <v>747</v>
      </c>
      <c r="B626" s="884">
        <v>46296</v>
      </c>
      <c r="C626" s="856" t="str">
        <v>Thursday</v>
      </c>
      <c r="D626" s="866" t="s">
        <v>505</v>
      </c>
      <c r="E626" s="852">
        <f t="shared" si="124"/>
      </c>
      <c r="F626" s="852" t="s">
        <v>871</v>
      </c>
      <c r="G626" s="956"/>
      <c r="H626" s="853" t="s">
        <v>467</v>
      </c>
      <c r="I626" s="853" t="s">
        <v>468</v>
      </c>
      <c r="J626" s="955"/>
      <c r="K626" s="623"/>
      <c r="L626" s="623"/>
      <c r="M626" s="623"/>
      <c r="N626" s="623"/>
      <c r="O626" s="623"/>
      <c r="P626" s="623"/>
      <c r="Q626" s="564"/>
      <c r="R626" s="564"/>
    </row>
    <row customHeight="true" ht="18.452380952380953" r="627">
      <c r="A627" s="647" t="s">
        <v>747</v>
      </c>
      <c r="B627" s="646">
        <v>46296</v>
      </c>
      <c r="C627" s="647" t="str">
        <v>Thursday</v>
      </c>
      <c r="D627" s="648" t="s">
        <v>771</v>
      </c>
      <c r="E627" s="649">
        <f t="shared" si="124"/>
      </c>
      <c r="F627" s="649" t="s">
        <v>666</v>
      </c>
      <c r="G627" s="704" t="s">
        <v>872</v>
      </c>
      <c r="H627" s="649" t="s">
        <v>467</v>
      </c>
      <c r="I627" s="649" t="s">
        <v>468</v>
      </c>
      <c r="J627" s="800" t="s">
        <v>873</v>
      </c>
      <c r="K627" s="623"/>
      <c r="L627" s="623"/>
      <c r="M627" s="623"/>
      <c r="N627" s="623"/>
      <c r="O627" s="623"/>
      <c r="P627" s="623"/>
      <c r="Q627" s="564"/>
      <c r="R627" s="564"/>
    </row>
    <row customHeight="true" ht="18.452380952380953" r="628">
      <c r="A628" s="586" t="s">
        <v>850</v>
      </c>
      <c r="B628" s="749">
        <v>46297</v>
      </c>
      <c r="C628" s="586" t="str">
        <v>Friday</v>
      </c>
      <c r="D628" s="624" t="s">
        <v>762</v>
      </c>
      <c r="E628" s="656">
        <f t="shared" si="124"/>
      </c>
      <c r="F628" s="656" t="s">
        <v>864</v>
      </c>
      <c r="G628" s="626"/>
      <c r="H628" s="656" t="s">
        <v>467</v>
      </c>
      <c r="I628" s="656" t="s">
        <v>468</v>
      </c>
      <c r="J628" s="676"/>
      <c r="K628" s="623" t="s">
        <v>852</v>
      </c>
      <c r="L628" s="512"/>
      <c r="M628" s="512"/>
      <c r="N628" s="512"/>
      <c r="O628" s="512"/>
      <c r="P628" s="512"/>
      <c r="Q628" s="564"/>
      <c r="R628" s="564"/>
    </row>
    <row customHeight="true" ht="18.452380952380953" r="629">
      <c r="A629" s="586" t="s">
        <v>850</v>
      </c>
      <c r="B629" s="749">
        <v>46297</v>
      </c>
      <c r="C629" s="586" t="str">
        <v>Friday</v>
      </c>
      <c r="D629" s="624" t="s">
        <v>725</v>
      </c>
      <c r="E629" s="656">
        <f t="shared" si="124"/>
      </c>
      <c r="F629" s="538" t="s">
        <v>851</v>
      </c>
      <c r="G629" s="553"/>
      <c r="H629" s="656" t="s">
        <v>467</v>
      </c>
      <c r="I629" s="656" t="s">
        <v>468</v>
      </c>
      <c r="J629" s="676"/>
      <c r="K629" s="623" t="s">
        <v>852</v>
      </c>
      <c r="L629" s="512"/>
      <c r="M629" s="512"/>
      <c r="N629" s="512"/>
      <c r="O629" s="512"/>
      <c r="P629" s="512"/>
      <c r="Q629" s="564"/>
      <c r="R629" s="564"/>
    </row>
    <row r="630">
      <c r="A630" s="849" t="s">
        <v>855</v>
      </c>
      <c r="B630" s="850">
        <v>46297</v>
      </c>
      <c r="C630" s="849" t="str">
        <v>Friday</v>
      </c>
      <c r="D630" s="852" t="s">
        <v>867</v>
      </c>
      <c r="E630" s="852">
        <f t="shared" si="124"/>
      </c>
      <c r="F630" s="852" t="s">
        <v>666</v>
      </c>
      <c r="G630" s="950"/>
      <c r="H630" s="852" t="s">
        <v>467</v>
      </c>
      <c r="I630" s="852" t="s">
        <v>468</v>
      </c>
      <c r="J630" s="951"/>
      <c r="K630" s="623" t="s">
        <v>852</v>
      </c>
      <c r="L630" s="512"/>
      <c r="M630" s="512"/>
      <c r="N630" s="512"/>
      <c r="O630" s="512"/>
      <c r="P630" s="512"/>
      <c r="Q630" s="564"/>
      <c r="R630" s="564"/>
    </row>
    <row customHeight="true" ht="18.452380952380953" r="631">
      <c r="A631" s="849" t="s">
        <v>855</v>
      </c>
      <c r="B631" s="850">
        <v>46297</v>
      </c>
      <c r="C631" s="849" t="str">
        <v>Friday</v>
      </c>
      <c r="D631" s="852" t="s">
        <v>869</v>
      </c>
      <c r="E631" s="852">
        <f t="shared" si="124"/>
      </c>
      <c r="F631" s="852"/>
      <c r="G631" s="950" t="s">
        <v>874</v>
      </c>
      <c r="H631" s="852" t="s">
        <v>467</v>
      </c>
      <c r="I631" s="852" t="s">
        <v>468</v>
      </c>
      <c r="J631" s="951"/>
      <c r="K631" s="623" t="s">
        <v>852</v>
      </c>
      <c r="L631" s="512"/>
      <c r="M631" s="512"/>
      <c r="N631" s="512"/>
      <c r="O631" s="512"/>
      <c r="P631" s="512"/>
      <c r="Q631" s="564"/>
      <c r="R631" s="564"/>
    </row>
    <row customHeight="true" ht="18.452380952380953" r="632">
      <c r="A632" s="849" t="s">
        <v>855</v>
      </c>
      <c r="B632" s="850">
        <v>46297</v>
      </c>
      <c r="C632" s="849" t="str">
        <v>Friday</v>
      </c>
      <c r="D632" s="852" t="s">
        <v>870</v>
      </c>
      <c r="E632" s="852">
        <f t="shared" si="124"/>
      </c>
      <c r="F632" s="852" t="s">
        <v>666</v>
      </c>
      <c r="G632" s="950"/>
      <c r="H632" s="852" t="s">
        <v>467</v>
      </c>
      <c r="I632" s="852" t="s">
        <v>468</v>
      </c>
      <c r="J632" s="951"/>
      <c r="K632" s="623"/>
      <c r="L632" s="512"/>
      <c r="M632" s="512"/>
      <c r="N632" s="512"/>
      <c r="O632" s="512"/>
      <c r="P632" s="512"/>
      <c r="Q632" s="564"/>
      <c r="R632" s="564"/>
    </row>
    <row customHeight="true" ht="18.452380952380953" r="633">
      <c r="A633" s="533" t="s">
        <v>850</v>
      </c>
      <c r="B633" s="515">
        <v>46298</v>
      </c>
      <c r="C633" s="533" t="str">
        <v>Saturday</v>
      </c>
      <c r="D633" s="624" t="s">
        <v>739</v>
      </c>
      <c r="E633" s="656">
        <f t="shared" si="124"/>
      </c>
      <c r="F633" s="656" t="s">
        <v>864</v>
      </c>
      <c r="G633" s="626" t="s">
        <v>875</v>
      </c>
      <c r="H633" s="510" t="s">
        <v>467</v>
      </c>
      <c r="I633" s="656" t="s">
        <v>468</v>
      </c>
      <c r="J633" s="536"/>
      <c r="K633" s="623" t="s">
        <v>852</v>
      </c>
      <c r="L633" s="512"/>
      <c r="M633" s="512"/>
      <c r="N633" s="512"/>
      <c r="O633" s="512"/>
      <c r="P633" s="512"/>
    </row>
    <row customHeight="true" ht="18.452380952380953" r="634">
      <c r="A634" s="533" t="s">
        <v>850</v>
      </c>
      <c r="B634" s="515">
        <v>46298</v>
      </c>
      <c r="C634" s="533" t="str">
        <v>Saturday</v>
      </c>
      <c r="D634" s="624" t="s">
        <v>497</v>
      </c>
      <c r="E634" s="656">
        <f t="shared" si="124"/>
      </c>
      <c r="F634" s="538" t="s">
        <v>851</v>
      </c>
      <c r="G634" s="626" t="s">
        <v>876</v>
      </c>
      <c r="H634" s="510" t="s">
        <v>467</v>
      </c>
      <c r="I634" s="510" t="s">
        <v>468</v>
      </c>
      <c r="J634" s="536"/>
      <c r="K634" s="623" t="s">
        <v>852</v>
      </c>
      <c r="L634" s="512"/>
      <c r="M634" s="512"/>
      <c r="N634" s="512"/>
      <c r="O634" s="512"/>
      <c r="P634" s="512"/>
    </row>
    <row r="635">
      <c r="A635" s="647" t="s">
        <v>855</v>
      </c>
      <c r="B635" s="646">
        <v>46298</v>
      </c>
      <c r="C635" s="647" t="str">
        <v>Saturday</v>
      </c>
      <c r="D635" s="648" t="s">
        <v>877</v>
      </c>
      <c r="E635" s="649">
        <f t="shared" si="124"/>
      </c>
      <c r="F635" s="649" t="s">
        <v>871</v>
      </c>
      <c r="G635" s="704"/>
      <c r="H635" s="649" t="s">
        <v>467</v>
      </c>
      <c r="I635" s="649" t="s">
        <v>468</v>
      </c>
      <c r="J635" s="786"/>
      <c r="K635" s="801" t="s">
        <v>852</v>
      </c>
      <c r="L635" s="706"/>
      <c r="M635" s="706"/>
      <c r="N635" s="706"/>
      <c r="O635" s="706"/>
      <c r="P635" s="706"/>
      <c r="Q635" s="653"/>
      <c r="R635" s="653"/>
    </row>
    <row customHeight="true" ht="18.452380952380953" r="636">
      <c r="A636" s="647" t="s">
        <v>855</v>
      </c>
      <c r="B636" s="646">
        <v>46298</v>
      </c>
      <c r="C636" s="647" t="str">
        <v>Saturday</v>
      </c>
      <c r="D636" s="648" t="s">
        <v>878</v>
      </c>
      <c r="E636" s="649">
        <f t="shared" si="124"/>
      </c>
      <c r="F636" s="649"/>
      <c r="G636" s="704" t="s">
        <v>879</v>
      </c>
      <c r="H636" s="649" t="s">
        <v>467</v>
      </c>
      <c r="I636" s="649" t="s">
        <v>468</v>
      </c>
      <c r="J636" s="786"/>
      <c r="K636" s="801" t="s">
        <v>852</v>
      </c>
      <c r="L636" s="706"/>
      <c r="M636" s="706"/>
      <c r="N636" s="706"/>
      <c r="O636" s="706"/>
      <c r="P636" s="706"/>
      <c r="Q636" s="653"/>
      <c r="R636" s="653"/>
    </row>
    <row customHeight="true" ht="18.452380952380953" r="637">
      <c r="A637" s="647" t="s">
        <v>855</v>
      </c>
      <c r="B637" s="646">
        <v>46298</v>
      </c>
      <c r="C637" s="647" t="str">
        <v>Saturday</v>
      </c>
      <c r="D637" s="648" t="s">
        <v>880</v>
      </c>
      <c r="E637" s="649">
        <f t="shared" si="124"/>
      </c>
      <c r="F637" s="649" t="s">
        <v>871</v>
      </c>
      <c r="G637" s="704"/>
      <c r="H637" s="649" t="s">
        <v>467</v>
      </c>
      <c r="I637" s="649" t="s">
        <v>468</v>
      </c>
      <c r="J637" s="786"/>
      <c r="K637" s="801"/>
      <c r="L637" s="706"/>
      <c r="M637" s="706"/>
      <c r="N637" s="706"/>
      <c r="O637" s="706"/>
      <c r="P637" s="706"/>
      <c r="Q637" s="653"/>
      <c r="R637" s="653"/>
    </row>
    <row customHeight="true" ht="18.452380952380953" r="638">
      <c r="A638" s="533" t="s">
        <v>850</v>
      </c>
      <c r="B638" s="515">
        <v>46299</v>
      </c>
      <c r="C638" s="533" t="str">
        <v>Sunday</v>
      </c>
      <c r="D638" s="624" t="s">
        <v>739</v>
      </c>
      <c r="E638" s="656">
        <f t="shared" si="124"/>
      </c>
      <c r="F638" s="656" t="s">
        <v>864</v>
      </c>
      <c r="G638" s="626" t="s">
        <v>881</v>
      </c>
      <c r="H638" s="510" t="s">
        <v>467</v>
      </c>
      <c r="I638" s="656" t="s">
        <v>468</v>
      </c>
      <c r="J638" s="536"/>
      <c r="K638" s="623" t="s">
        <v>852</v>
      </c>
      <c r="L638" s="512"/>
      <c r="M638" s="512"/>
      <c r="N638" s="512"/>
      <c r="O638" s="512"/>
      <c r="P638" s="512"/>
    </row>
    <row customHeight="true" ht="18.452380952380953" r="639">
      <c r="A639" s="533" t="s">
        <v>850</v>
      </c>
      <c r="B639" s="515">
        <v>46299</v>
      </c>
      <c r="C639" s="533" t="str">
        <v>Sunday</v>
      </c>
      <c r="D639" s="624" t="s">
        <v>497</v>
      </c>
      <c r="E639" s="656">
        <f t="shared" si="124"/>
      </c>
      <c r="F639" s="538" t="s">
        <v>851</v>
      </c>
      <c r="G639" s="626" t="s">
        <v>882</v>
      </c>
      <c r="H639" s="510" t="s">
        <v>467</v>
      </c>
      <c r="I639" s="510" t="s">
        <v>468</v>
      </c>
      <c r="J639" s="536"/>
      <c r="K639" s="623" t="s">
        <v>852</v>
      </c>
      <c r="L639" s="512"/>
      <c r="M639" s="512"/>
      <c r="N639" s="512"/>
      <c r="O639" s="512"/>
      <c r="P639" s="512"/>
    </row>
    <row r="640">
      <c r="A640" s="647" t="s">
        <v>855</v>
      </c>
      <c r="B640" s="646">
        <v>46299</v>
      </c>
      <c r="C640" s="647" t="str">
        <v>Sunday</v>
      </c>
      <c r="D640" s="648" t="s">
        <v>877</v>
      </c>
      <c r="E640" s="649">
        <f t="shared" si="124"/>
      </c>
      <c r="F640" s="649" t="s">
        <v>857</v>
      </c>
      <c r="G640" s="704"/>
      <c r="H640" s="649" t="s">
        <v>467</v>
      </c>
      <c r="I640" s="649" t="s">
        <v>468</v>
      </c>
      <c r="J640" s="786"/>
      <c r="K640" s="801" t="s">
        <v>852</v>
      </c>
      <c r="L640" s="706"/>
      <c r="M640" s="706"/>
      <c r="N640" s="706"/>
      <c r="O640" s="706"/>
      <c r="P640" s="706"/>
      <c r="Q640" s="653"/>
      <c r="R640" s="653"/>
    </row>
    <row r="641">
      <c r="A641" s="647" t="s">
        <v>855</v>
      </c>
      <c r="B641" s="646">
        <v>46299</v>
      </c>
      <c r="C641" s="647" t="str">
        <v>Sunday</v>
      </c>
      <c r="D641" s="648" t="s">
        <v>878</v>
      </c>
      <c r="E641" s="649">
        <f t="shared" si="124"/>
      </c>
      <c r="F641" s="649"/>
      <c r="G641" s="704" t="s">
        <v>883</v>
      </c>
      <c r="H641" s="649" t="s">
        <v>467</v>
      </c>
      <c r="I641" s="649" t="s">
        <v>468</v>
      </c>
      <c r="J641" s="786"/>
      <c r="K641" s="801" t="s">
        <v>852</v>
      </c>
      <c r="L641" s="706"/>
      <c r="M641" s="706"/>
      <c r="N641" s="706"/>
      <c r="O641" s="706"/>
      <c r="P641" s="706"/>
      <c r="Q641" s="653"/>
      <c r="R641" s="653"/>
    </row>
    <row customHeight="true" ht="18.452380952380953" r="642">
      <c r="A642" s="647" t="s">
        <v>855</v>
      </c>
      <c r="B642" s="646">
        <v>46299</v>
      </c>
      <c r="C642" s="647" t="str">
        <v>Sunday</v>
      </c>
      <c r="D642" s="648" t="s">
        <v>880</v>
      </c>
      <c r="E642" s="649">
        <f t="shared" si="124"/>
      </c>
      <c r="F642" s="649" t="s">
        <v>857</v>
      </c>
      <c r="G642" s="704"/>
      <c r="H642" s="649" t="s">
        <v>467</v>
      </c>
      <c r="I642" s="649" t="s">
        <v>468</v>
      </c>
      <c r="J642" s="786"/>
      <c r="K642" s="801" t="s">
        <v>852</v>
      </c>
      <c r="L642" s="706"/>
      <c r="M642" s="706"/>
      <c r="N642" s="706"/>
      <c r="O642" s="706"/>
      <c r="P642" s="706"/>
      <c r="Q642" s="653"/>
      <c r="R642" s="653"/>
    </row>
    <row customHeight="true" ht="16.071428571428573" r="643">
      <c r="A643" s="533"/>
      <c r="B643" s="533"/>
      <c r="C643" s="533"/>
      <c r="D643" s="510"/>
      <c r="E643" s="510"/>
      <c r="F643" s="538"/>
      <c r="G643" s="614"/>
      <c r="H643" s="538"/>
      <c r="I643" s="510"/>
      <c r="J643" s="511"/>
      <c r="K643" s="512"/>
      <c r="L643" s="512"/>
      <c r="M643" s="512"/>
      <c r="N643" s="512"/>
      <c r="O643" s="512"/>
      <c r="P643" s="512"/>
    </row>
    <row r="644">
      <c r="A644" s="957" t="s">
        <v>884</v>
      </c>
      <c r="B644" s="958"/>
      <c r="C644" s="958"/>
      <c r="D644" s="958"/>
      <c r="E644" s="958"/>
      <c r="F644" s="958"/>
      <c r="G644" s="958"/>
      <c r="H644" s="958"/>
      <c r="I644" s="958"/>
      <c r="J644" s="959"/>
      <c r="K644" s="960" t="s">
        <v>849</v>
      </c>
      <c r="L644" s="961"/>
      <c r="M644" s="961"/>
      <c r="N644" s="961"/>
      <c r="O644" s="961"/>
      <c r="P644" s="961"/>
    </row>
    <row r="645">
      <c r="A645" s="962" t="s">
        <v>478</v>
      </c>
      <c r="B645" s="963" t="s">
        <v>479</v>
      </c>
      <c r="C645" s="963"/>
      <c r="D645" s="964" t="s">
        <v>480</v>
      </c>
      <c r="E645" s="964" t="s">
        <v>481</v>
      </c>
      <c r="F645" s="964" t="s">
        <v>482</v>
      </c>
      <c r="G645" s="965" t="s">
        <v>495</v>
      </c>
      <c r="H645" s="964" t="s">
        <v>484</v>
      </c>
      <c r="I645" s="966" t="s">
        <v>885</v>
      </c>
      <c r="J645" s="967" t="s">
        <v>486</v>
      </c>
      <c r="K645" s="601" t="s">
        <v>849</v>
      </c>
      <c r="L645" s="532"/>
      <c r="M645" s="532"/>
      <c r="N645" s="532"/>
      <c r="O645" s="532"/>
      <c r="P645" s="532"/>
    </row>
    <row customHeight="true" ht="16.071428571428573" r="646">
      <c r="A646" s="533"/>
      <c r="B646" s="510"/>
      <c r="C646" s="510"/>
      <c r="D646" s="536"/>
      <c r="E646" s="510"/>
      <c r="F646" s="510"/>
      <c r="G646" s="871"/>
      <c r="H646" s="510"/>
      <c r="I646" s="510"/>
      <c r="J646" s="872"/>
      <c r="K646" s="512"/>
      <c r="L646" s="512"/>
      <c r="M646" s="512"/>
      <c r="N646" s="512"/>
      <c r="O646" s="512"/>
      <c r="P646" s="512"/>
      <c r="Q646" s="564"/>
      <c r="R646" s="564"/>
    </row>
    <row r="647">
      <c r="A647" s="533"/>
      <c r="B647" s="510"/>
      <c r="C647" s="510"/>
      <c r="D647" s="536"/>
      <c r="E647" s="510"/>
      <c r="F647" s="510"/>
      <c r="G647" s="871"/>
      <c r="H647" s="510"/>
      <c r="I647" s="510"/>
      <c r="J647" s="872"/>
      <c r="K647" s="512"/>
      <c r="L647" s="512"/>
      <c r="M647" s="512"/>
      <c r="N647" s="512"/>
      <c r="O647" s="512"/>
      <c r="P647" s="512"/>
      <c r="Q647" s="564"/>
      <c r="R647" s="564"/>
    </row>
    <row customHeight="true" ht="16.071428571428573" r="648">
      <c r="A648" s="968" t="s">
        <v>886</v>
      </c>
      <c r="B648" s="969"/>
      <c r="C648" s="969"/>
      <c r="D648" s="969"/>
      <c r="E648" s="969"/>
      <c r="F648" s="969"/>
      <c r="G648" s="969"/>
      <c r="H648" s="969"/>
      <c r="I648" s="969"/>
      <c r="J648" s="970"/>
      <c r="K648" s="512"/>
      <c r="L648" s="512"/>
      <c r="M648" s="512"/>
      <c r="N648" s="512"/>
      <c r="O648" s="512"/>
      <c r="P648" s="512"/>
      <c r="Q648" s="564"/>
      <c r="R648" s="564"/>
    </row>
    <row customHeight="true" ht="16.071428571428573" r="649">
      <c r="A649" s="971" t="s">
        <v>886</v>
      </c>
      <c r="B649" s="972" t="s">
        <v>479</v>
      </c>
      <c r="C649" s="972"/>
      <c r="D649" s="973" t="s">
        <v>480</v>
      </c>
      <c r="E649" s="973" t="s">
        <v>481</v>
      </c>
      <c r="F649" s="973"/>
      <c r="G649" s="974"/>
      <c r="H649" s="973" t="s">
        <v>484</v>
      </c>
      <c r="I649" s="973" t="s">
        <v>485</v>
      </c>
      <c r="J649" s="975" t="s">
        <v>486</v>
      </c>
      <c r="K649" s="512"/>
      <c r="L649" s="512"/>
      <c r="M649" s="512"/>
      <c r="N649" s="512"/>
      <c r="O649" s="512"/>
      <c r="P649" s="512"/>
      <c r="Q649" s="564"/>
      <c r="R649" s="564"/>
    </row>
    <row customHeight="true" ht="16.071428571428573" r="650">
      <c r="A650" s="647" t="s">
        <v>886</v>
      </c>
      <c r="B650" s="646">
        <v>46294</v>
      </c>
      <c r="C650" s="647" t="str">
        <v>Tuesday</v>
      </c>
      <c r="D650" s="648" t="s">
        <v>521</v>
      </c>
      <c r="E650" s="649">
        <f t="shared" ref="E650:E663" si="125">24*MOD(TIMEVALUE(TRIM(MID(D650,FIND("-",D650)+1,LEN(D650)))) - TIMEVALUE(TRIM(LEFT(D650,FIND("-",D650)-1))),1)</f>
      </c>
      <c r="F650" s="649" t="s">
        <v>851</v>
      </c>
      <c r="G650" s="704"/>
      <c r="H650" s="649" t="s">
        <v>493</v>
      </c>
      <c r="I650" s="649" t="s">
        <v>468</v>
      </c>
      <c r="J650" s="800" t="s">
        <v>887</v>
      </c>
      <c r="K650" s="512"/>
      <c r="L650" s="512"/>
      <c r="M650" s="512"/>
      <c r="N650" s="512"/>
      <c r="O650" s="512"/>
      <c r="P650" s="512"/>
      <c r="Q650" s="564"/>
      <c r="R650" s="564"/>
    </row>
    <row customHeight="true" ht="16.071428571428573" r="651">
      <c r="A651" s="647" t="s">
        <v>888</v>
      </c>
      <c r="B651" s="647">
        <v>46294</v>
      </c>
      <c r="C651" s="647" t="str">
        <v>Tuesday</v>
      </c>
      <c r="D651" s="648" t="s">
        <v>889</v>
      </c>
      <c r="E651" s="649">
        <f t="shared" si="125"/>
      </c>
      <c r="F651" s="649" t="s">
        <v>666</v>
      </c>
      <c r="G651" s="704" t="s">
        <v>890</v>
      </c>
      <c r="H651" s="649" t="s">
        <v>493</v>
      </c>
      <c r="I651" s="649" t="s">
        <v>468</v>
      </c>
      <c r="J651" s="800" t="s">
        <v>891</v>
      </c>
      <c r="K651" s="669"/>
      <c r="L651" s="669"/>
      <c r="M651" s="669"/>
      <c r="N651" s="669"/>
      <c r="O651" s="669"/>
      <c r="P651" s="669"/>
      <c r="Q651" s="643"/>
      <c r="R651" s="643"/>
    </row>
    <row customHeight="true" ht="16.071428571428573" r="652">
      <c r="A652" s="647" t="s">
        <v>892</v>
      </c>
      <c r="B652" s="646">
        <v>46294</v>
      </c>
      <c r="C652" s="647" t="str">
        <v>Tuesday</v>
      </c>
      <c r="D652" s="648" t="s">
        <v>893</v>
      </c>
      <c r="E652" s="649">
        <f t="shared" si="125"/>
      </c>
      <c r="F652" s="649" t="s">
        <v>666</v>
      </c>
      <c r="G652" s="787"/>
      <c r="H652" s="649" t="s">
        <v>493</v>
      </c>
      <c r="I652" s="649" t="s">
        <v>468</v>
      </c>
      <c r="J652" s="800" t="s">
        <v>891</v>
      </c>
      <c r="K652" s="669"/>
      <c r="L652" s="669"/>
      <c r="M652" s="669"/>
      <c r="N652" s="669"/>
      <c r="O652" s="669"/>
      <c r="P652" s="669"/>
      <c r="Q652" s="643"/>
      <c r="R652" s="643"/>
    </row>
    <row customHeight="true" ht="16.071428571428573" r="653">
      <c r="A653" s="647" t="s">
        <v>886</v>
      </c>
      <c r="B653" s="646">
        <v>46295</v>
      </c>
      <c r="C653" s="647" t="str">
        <v>Wednesday</v>
      </c>
      <c r="D653" s="648" t="s">
        <v>627</v>
      </c>
      <c r="E653" s="649">
        <f t="shared" si="125"/>
      </c>
      <c r="F653" s="649" t="s">
        <v>547</v>
      </c>
      <c r="G653" s="787"/>
      <c r="H653" s="649" t="s">
        <v>493</v>
      </c>
      <c r="I653" s="649" t="s">
        <v>468</v>
      </c>
      <c r="J653" s="800" t="s">
        <v>887</v>
      </c>
      <c r="K653" s="512"/>
      <c r="L653" s="512"/>
      <c r="M653" s="512"/>
      <c r="N653" s="512"/>
      <c r="O653" s="512"/>
      <c r="P653" s="512"/>
      <c r="Q653" s="564"/>
      <c r="R653" s="564"/>
    </row>
    <row customHeight="true" ht="16.071428571428573" r="654">
      <c r="A654" s="647" t="s">
        <v>892</v>
      </c>
      <c r="B654" s="646">
        <v>46295</v>
      </c>
      <c r="C654" s="647" t="str">
        <v>Wednesday</v>
      </c>
      <c r="D654" s="648" t="s">
        <v>894</v>
      </c>
      <c r="E654" s="649">
        <f t="shared" si="125"/>
      </c>
      <c r="F654" s="649" t="s">
        <v>895</v>
      </c>
      <c r="G654" s="787"/>
      <c r="H654" s="649" t="s">
        <v>493</v>
      </c>
      <c r="I654" s="649" t="s">
        <v>468</v>
      </c>
      <c r="J654" s="800" t="s">
        <v>887</v>
      </c>
      <c r="K654" s="512"/>
      <c r="L654" s="512"/>
      <c r="M654" s="512"/>
      <c r="N654" s="512"/>
      <c r="O654" s="512"/>
      <c r="P654" s="512"/>
      <c r="Q654" s="564"/>
      <c r="R654" s="564"/>
    </row>
    <row customHeight="true" ht="16.071428571428573" r="655">
      <c r="A655" s="647" t="s">
        <v>886</v>
      </c>
      <c r="B655" s="646">
        <v>46296</v>
      </c>
      <c r="C655" s="647" t="str">
        <v>Thursday</v>
      </c>
      <c r="D655" s="648" t="s">
        <v>627</v>
      </c>
      <c r="E655" s="649">
        <f t="shared" si="125"/>
      </c>
      <c r="F655" s="649" t="s">
        <v>547</v>
      </c>
      <c r="G655" s="787"/>
      <c r="H655" s="649" t="s">
        <v>493</v>
      </c>
      <c r="I655" s="649" t="s">
        <v>468</v>
      </c>
      <c r="J655" s="800" t="s">
        <v>887</v>
      </c>
      <c r="K655" s="512"/>
      <c r="L655" s="512"/>
      <c r="M655" s="512"/>
      <c r="N655" s="512"/>
      <c r="O655" s="512"/>
      <c r="P655" s="512"/>
      <c r="Q655" s="564"/>
      <c r="R655" s="564"/>
    </row>
    <row customHeight="true" ht="16.071428571428573" r="656">
      <c r="A656" s="647" t="s">
        <v>892</v>
      </c>
      <c r="B656" s="646">
        <v>46296</v>
      </c>
      <c r="C656" s="647" t="str">
        <v>Thursday</v>
      </c>
      <c r="D656" s="648" t="s">
        <v>894</v>
      </c>
      <c r="E656" s="649">
        <f t="shared" si="125"/>
      </c>
      <c r="F656" s="649" t="s">
        <v>666</v>
      </c>
      <c r="G656" s="787"/>
      <c r="H656" s="649" t="s">
        <v>493</v>
      </c>
      <c r="I656" s="649" t="s">
        <v>468</v>
      </c>
      <c r="J656" s="800" t="s">
        <v>887</v>
      </c>
      <c r="K656" s="512"/>
      <c r="L656" s="512"/>
      <c r="M656" s="512"/>
      <c r="N656" s="512"/>
      <c r="O656" s="512"/>
      <c r="P656" s="512"/>
      <c r="Q656" s="564"/>
      <c r="R656" s="564"/>
    </row>
    <row customHeight="true" ht="16.071428571428573" r="657">
      <c r="A657" s="647" t="s">
        <v>886</v>
      </c>
      <c r="B657" s="646">
        <v>46297</v>
      </c>
      <c r="C657" s="647" t="str">
        <v>Friday</v>
      </c>
      <c r="D657" s="648" t="s">
        <v>521</v>
      </c>
      <c r="E657" s="649">
        <f t="shared" si="125"/>
      </c>
      <c r="F657" s="649" t="s">
        <v>851</v>
      </c>
      <c r="G657" s="787"/>
      <c r="H657" s="649" t="s">
        <v>493</v>
      </c>
      <c r="I657" s="649" t="s">
        <v>468</v>
      </c>
      <c r="J657" s="800" t="s">
        <v>887</v>
      </c>
      <c r="K657" s="512"/>
      <c r="L657" s="512"/>
      <c r="M657" s="512"/>
      <c r="N657" s="512"/>
      <c r="O657" s="512"/>
      <c r="P657" s="512"/>
      <c r="Q657" s="564"/>
      <c r="R657" s="564"/>
    </row>
    <row customHeight="true" ht="16.071428571428573" r="658">
      <c r="A658" s="647" t="s">
        <v>888</v>
      </c>
      <c r="B658" s="646">
        <v>46297</v>
      </c>
      <c r="C658" s="647" t="str">
        <v>Friday</v>
      </c>
      <c r="D658" s="648" t="s">
        <v>889</v>
      </c>
      <c r="E658" s="649">
        <f t="shared" si="125"/>
      </c>
      <c r="F658" s="649" t="s">
        <v>896</v>
      </c>
      <c r="G658" s="704" t="s">
        <v>897</v>
      </c>
      <c r="H658" s="649" t="s">
        <v>493</v>
      </c>
      <c r="I658" s="649" t="s">
        <v>468</v>
      </c>
      <c r="J658" s="800" t="s">
        <v>887</v>
      </c>
      <c r="K658" s="512"/>
      <c r="L658" s="512"/>
      <c r="M658" s="512"/>
      <c r="N658" s="512"/>
      <c r="O658" s="512"/>
      <c r="P658" s="512"/>
      <c r="Q658" s="564"/>
      <c r="R658" s="564"/>
    </row>
    <row customHeight="true" ht="16.071428571428573" r="659">
      <c r="A659" s="647" t="s">
        <v>892</v>
      </c>
      <c r="B659" s="646">
        <v>46297</v>
      </c>
      <c r="C659" s="647" t="str">
        <v>Friday</v>
      </c>
      <c r="D659" s="648" t="s">
        <v>893</v>
      </c>
      <c r="E659" s="649">
        <f t="shared" si="125"/>
      </c>
      <c r="F659" s="649" t="s">
        <v>896</v>
      </c>
      <c r="G659" s="787"/>
      <c r="H659" s="649" t="s">
        <v>493</v>
      </c>
      <c r="I659" s="649" t="s">
        <v>468</v>
      </c>
      <c r="J659" s="800" t="s">
        <v>887</v>
      </c>
      <c r="K659" s="512"/>
      <c r="L659" s="512"/>
      <c r="M659" s="512"/>
      <c r="N659" s="512"/>
      <c r="O659" s="512"/>
      <c r="P659" s="512"/>
      <c r="Q659" s="564"/>
      <c r="R659" s="564"/>
    </row>
    <row customHeight="true" ht="16.071428571428573" r="660">
      <c r="A660" s="647" t="s">
        <v>886</v>
      </c>
      <c r="B660" s="646">
        <v>46298</v>
      </c>
      <c r="C660" s="647" t="str">
        <v>Saturday</v>
      </c>
      <c r="D660" s="648" t="s">
        <v>627</v>
      </c>
      <c r="E660" s="649">
        <f t="shared" si="125"/>
      </c>
      <c r="F660" s="649" t="s">
        <v>547</v>
      </c>
      <c r="G660" s="787"/>
      <c r="H660" s="649" t="s">
        <v>493</v>
      </c>
      <c r="I660" s="649" t="s">
        <v>468</v>
      </c>
      <c r="J660" s="800" t="s">
        <v>887</v>
      </c>
      <c r="K660" s="512"/>
      <c r="L660" s="512"/>
      <c r="M660" s="512"/>
      <c r="N660" s="512"/>
      <c r="O660" s="512"/>
      <c r="P660" s="512"/>
      <c r="Q660" s="564"/>
      <c r="R660" s="564"/>
    </row>
    <row customHeight="true" ht="16.071428571428573" r="661">
      <c r="A661" s="647" t="s">
        <v>892</v>
      </c>
      <c r="B661" s="646">
        <v>46298</v>
      </c>
      <c r="C661" s="647" t="str">
        <v>Saturday</v>
      </c>
      <c r="D661" s="648" t="s">
        <v>894</v>
      </c>
      <c r="E661" s="649">
        <f t="shared" si="125"/>
      </c>
      <c r="F661" s="649" t="s">
        <v>895</v>
      </c>
      <c r="G661" s="787"/>
      <c r="H661" s="649" t="s">
        <v>493</v>
      </c>
      <c r="I661" s="649" t="s">
        <v>468</v>
      </c>
      <c r="J661" s="800" t="s">
        <v>887</v>
      </c>
      <c r="K661" s="512"/>
      <c r="L661" s="512"/>
      <c r="M661" s="512"/>
      <c r="N661" s="512"/>
      <c r="O661" s="512"/>
      <c r="P661" s="512"/>
      <c r="Q661" s="564"/>
      <c r="R661" s="564"/>
    </row>
    <row customHeight="true" ht="16.071428571428573" r="662">
      <c r="A662" s="647" t="s">
        <v>886</v>
      </c>
      <c r="B662" s="646">
        <v>46299</v>
      </c>
      <c r="C662" s="647" t="str">
        <v>Sunday</v>
      </c>
      <c r="D662" s="648" t="s">
        <v>627</v>
      </c>
      <c r="E662" s="649">
        <f t="shared" si="125"/>
      </c>
      <c r="F662" s="649" t="s">
        <v>547</v>
      </c>
      <c r="G662" s="787"/>
      <c r="H662" s="649" t="s">
        <v>493</v>
      </c>
      <c r="I662" s="649" t="s">
        <v>468</v>
      </c>
      <c r="J662" s="800" t="s">
        <v>887</v>
      </c>
      <c r="K662" s="512"/>
      <c r="L662" s="512"/>
      <c r="M662" s="512"/>
      <c r="N662" s="512"/>
      <c r="O662" s="512"/>
      <c r="P662" s="512"/>
      <c r="Q662" s="564"/>
      <c r="R662" s="564"/>
    </row>
    <row customHeight="true" ht="16.071428571428573" r="663">
      <c r="A663" s="647" t="s">
        <v>892</v>
      </c>
      <c r="B663" s="646">
        <v>46299</v>
      </c>
      <c r="C663" s="647" t="str">
        <v>Sunday</v>
      </c>
      <c r="D663" s="648" t="s">
        <v>894</v>
      </c>
      <c r="E663" s="649">
        <f t="shared" si="125"/>
      </c>
      <c r="F663" s="649" t="s">
        <v>895</v>
      </c>
      <c r="G663" s="787"/>
      <c r="H663" s="649" t="s">
        <v>493</v>
      </c>
      <c r="I663" s="649" t="s">
        <v>468</v>
      </c>
      <c r="J663" s="800" t="s">
        <v>887</v>
      </c>
      <c r="K663" s="512"/>
      <c r="L663" s="512"/>
      <c r="M663" s="512"/>
      <c r="N663" s="512"/>
      <c r="O663" s="512"/>
      <c r="P663" s="512"/>
      <c r="Q663" s="564"/>
      <c r="R663" s="564"/>
    </row>
    <row customHeight="true" ht="16.071428571428573" r="664">
      <c r="A664" s="586"/>
      <c r="B664" s="586"/>
      <c r="C664" s="586"/>
      <c r="D664" s="624"/>
      <c r="E664" s="656"/>
      <c r="F664" s="656"/>
      <c r="G664" s="802"/>
      <c r="H664" s="656" t="s">
        <v>493</v>
      </c>
      <c r="I664" s="656"/>
      <c r="J664" s="676"/>
      <c r="K664" s="512"/>
      <c r="L664" s="512"/>
      <c r="M664" s="512"/>
      <c r="N664" s="512"/>
      <c r="O664" s="512"/>
      <c r="P664" s="512"/>
      <c r="Q664" s="564"/>
      <c r="R664" s="564"/>
    </row>
    <row customHeight="true" ht="16.071428571428573" r="665">
      <c r="A665" s="533" t="s">
        <v>898</v>
      </c>
      <c r="B665" s="515">
        <v>46294</v>
      </c>
      <c r="C665" s="533" t="str">
        <v>Tuesday</v>
      </c>
      <c r="D665" s="506" t="s">
        <v>899</v>
      </c>
      <c r="E665" s="538">
        <f t="shared" ref="E665:E670" si="126">24*MOD(TIMEVALUE(TRIM(MID(D665,FIND("-",D665)+1,LEN(D665)))) - TIMEVALUE(TRIM(LEFT(D665,FIND("-",D665)-1))),1)</f>
      </c>
      <c r="F665" s="976" t="s">
        <v>900</v>
      </c>
      <c r="G665" s="533"/>
      <c r="H665" s="510" t="s">
        <v>493</v>
      </c>
      <c r="I665" s="977"/>
      <c r="J665" s="732"/>
      <c r="K665" s="512"/>
      <c r="L665" s="512"/>
      <c r="M665" s="512"/>
      <c r="N665" s="512"/>
      <c r="O665" s="512"/>
      <c r="P665" s="512"/>
      <c r="Q665" s="564"/>
      <c r="R665" s="564"/>
    </row>
    <row customHeight="true" ht="16.071428571428573" r="666">
      <c r="A666" s="533" t="s">
        <v>898</v>
      </c>
      <c r="B666" s="515">
        <v>46295</v>
      </c>
      <c r="C666" s="533" t="str">
        <v>Wednesday</v>
      </c>
      <c r="D666" s="506" t="s">
        <v>901</v>
      </c>
      <c r="E666" s="538">
        <f t="shared" si="126"/>
      </c>
      <c r="F666" s="976"/>
      <c r="G666" s="533"/>
      <c r="H666" s="510" t="s">
        <v>493</v>
      </c>
      <c r="I666" s="977"/>
      <c r="J666" s="732"/>
      <c r="K666" s="512"/>
      <c r="L666" s="512"/>
      <c r="M666" s="512"/>
      <c r="N666" s="512"/>
      <c r="O666" s="512"/>
      <c r="P666" s="512"/>
      <c r="Q666" s="564"/>
      <c r="R666" s="564"/>
    </row>
    <row customHeight="true" ht="16.071428571428573" r="667">
      <c r="A667" s="533" t="s">
        <v>898</v>
      </c>
      <c r="B667" s="515">
        <v>46296</v>
      </c>
      <c r="C667" s="533" t="str">
        <v>Thursday</v>
      </c>
      <c r="D667" s="506" t="s">
        <v>902</v>
      </c>
      <c r="E667" s="538">
        <f t="shared" si="126"/>
      </c>
      <c r="F667" s="533"/>
      <c r="G667" s="533"/>
      <c r="H667" s="510" t="s">
        <v>493</v>
      </c>
      <c r="I667" s="977"/>
      <c r="J667" s="732"/>
      <c r="K667" s="512"/>
      <c r="L667" s="512"/>
      <c r="M667" s="512"/>
      <c r="N667" s="512"/>
      <c r="O667" s="512"/>
      <c r="P667" s="512"/>
      <c r="Q667" s="564"/>
      <c r="R667" s="564"/>
    </row>
    <row customHeight="true" ht="16.071428571428573" r="668">
      <c r="A668" s="533" t="s">
        <v>898</v>
      </c>
      <c r="B668" s="515">
        <v>46297</v>
      </c>
      <c r="C668" s="533" t="str">
        <v>Friday</v>
      </c>
      <c r="D668" s="506" t="s">
        <v>903</v>
      </c>
      <c r="E668" s="538">
        <f t="shared" si="126"/>
      </c>
      <c r="F668" s="533"/>
      <c r="G668" s="533"/>
      <c r="H668" s="510" t="s">
        <v>493</v>
      </c>
      <c r="I668" s="977"/>
      <c r="J668" s="732"/>
      <c r="K668" s="512"/>
      <c r="L668" s="512"/>
      <c r="M668" s="512"/>
      <c r="N668" s="512"/>
      <c r="O668" s="512"/>
      <c r="P668" s="512"/>
      <c r="Q668" s="564"/>
      <c r="R668" s="564"/>
    </row>
    <row customHeight="true" ht="16.071428571428573" r="669">
      <c r="A669" s="533" t="s">
        <v>898</v>
      </c>
      <c r="B669" s="515">
        <v>46298</v>
      </c>
      <c r="C669" s="533" t="str">
        <v>Saturday</v>
      </c>
      <c r="D669" s="506" t="s">
        <v>903</v>
      </c>
      <c r="E669" s="538">
        <f t="shared" si="126"/>
      </c>
      <c r="F669" s="533"/>
      <c r="G669" s="533"/>
      <c r="H669" s="510" t="s">
        <v>493</v>
      </c>
      <c r="I669" s="977"/>
      <c r="J669" s="732"/>
      <c r="K669" s="512"/>
      <c r="L669" s="512"/>
      <c r="M669" s="512"/>
      <c r="N669" s="512"/>
      <c r="O669" s="512"/>
      <c r="P669" s="512"/>
      <c r="Q669" s="564"/>
      <c r="R669" s="564"/>
    </row>
    <row customHeight="true" ht="16.071428571428573" r="670">
      <c r="A670" s="533" t="s">
        <v>898</v>
      </c>
      <c r="B670" s="515">
        <v>46299</v>
      </c>
      <c r="C670" s="533" t="str">
        <v>Sunday</v>
      </c>
      <c r="D670" s="506" t="s">
        <v>904</v>
      </c>
      <c r="E670" s="538">
        <f t="shared" si="126"/>
      </c>
      <c r="F670" s="510"/>
      <c r="G670" s="871"/>
      <c r="H670" s="510" t="s">
        <v>493</v>
      </c>
      <c r="I670" s="510"/>
      <c r="J670" s="872"/>
      <c r="K670" s="512"/>
      <c r="L670" s="512"/>
      <c r="M670" s="512"/>
      <c r="N670" s="512"/>
      <c r="O670" s="512"/>
      <c r="P670" s="512"/>
      <c r="Q670" s="564"/>
      <c r="R670" s="564"/>
    </row>
    <row customHeight="true" ht="16.071428571428573" r="671">
      <c r="A671" s="533"/>
      <c r="B671" s="510"/>
      <c r="C671" s="510"/>
      <c r="D671" s="536"/>
      <c r="E671" s="510"/>
      <c r="F671" s="510"/>
      <c r="G671" s="871"/>
      <c r="H671" s="510"/>
      <c r="I671" s="510"/>
      <c r="J671" s="872"/>
      <c r="K671" s="512"/>
      <c r="L671" s="512"/>
      <c r="M671" s="512"/>
      <c r="N671" s="512"/>
      <c r="O671" s="512"/>
      <c r="P671" s="512"/>
      <c r="Q671" s="564"/>
      <c r="R671" s="564"/>
    </row>
    <row r="672">
      <c r="A672" s="978" t="s">
        <v>905</v>
      </c>
      <c r="B672" s="978"/>
      <c r="C672" s="978"/>
      <c r="D672" s="978"/>
      <c r="E672" s="978"/>
      <c r="F672" s="978"/>
      <c r="G672" s="978"/>
      <c r="H672" s="978"/>
      <c r="I672" s="978"/>
      <c r="J672" s="979"/>
      <c r="K672" s="636"/>
      <c r="L672" s="636"/>
      <c r="M672" s="636"/>
      <c r="N672" s="636"/>
      <c r="O672" s="636"/>
      <c r="P672" s="636"/>
      <c r="Q672" s="564"/>
      <c r="R672" s="564"/>
    </row>
    <row r="673">
      <c r="A673" s="980" t="s">
        <v>478</v>
      </c>
      <c r="B673" s="981" t="s">
        <v>479</v>
      </c>
      <c r="C673" s="981"/>
      <c r="D673" s="982" t="s">
        <v>480</v>
      </c>
      <c r="E673" s="982" t="s">
        <v>481</v>
      </c>
      <c r="F673" s="982" t="s">
        <v>482</v>
      </c>
      <c r="G673" s="983" t="s">
        <v>906</v>
      </c>
      <c r="H673" s="982" t="s">
        <v>484</v>
      </c>
      <c r="I673" s="982" t="s">
        <v>485</v>
      </c>
      <c r="J673" s="984"/>
      <c r="K673" s="532"/>
      <c r="L673" s="532"/>
      <c r="M673" s="532"/>
      <c r="N673" s="532"/>
      <c r="O673" s="532"/>
      <c r="P673" s="532"/>
    </row>
    <row r="674">
      <c r="A674" s="533"/>
      <c r="B674" s="533"/>
      <c r="C674" s="533"/>
      <c r="D674" s="510"/>
      <c r="E674" s="510"/>
      <c r="F674" s="510"/>
      <c r="G674" s="614"/>
      <c r="H674" s="510" t="s">
        <v>467</v>
      </c>
      <c r="I674" s="510" t="s">
        <v>468</v>
      </c>
      <c r="J674" s="536"/>
      <c r="K674" s="512"/>
      <c r="L674" s="512"/>
      <c r="M674" s="512"/>
      <c r="N674" s="512"/>
      <c r="O674" s="512"/>
      <c r="P674" s="512"/>
    </row>
    <row r="675">
      <c r="A675" s="533"/>
      <c r="B675" s="533"/>
      <c r="C675" s="533"/>
      <c r="D675" s="510"/>
      <c r="E675" s="510"/>
      <c r="F675" s="510"/>
      <c r="G675" s="614"/>
      <c r="H675" s="510" t="s">
        <v>467</v>
      </c>
      <c r="I675" s="510" t="s">
        <v>468</v>
      </c>
      <c r="J675" s="536"/>
      <c r="K675" s="512"/>
      <c r="L675" s="512"/>
      <c r="M675" s="512"/>
      <c r="N675" s="512"/>
      <c r="O675" s="512"/>
      <c r="P675" s="512"/>
    </row>
    <row r="676">
      <c r="A676" s="533"/>
      <c r="B676" s="533"/>
      <c r="C676" s="533"/>
      <c r="D676" s="510"/>
      <c r="E676" s="510"/>
      <c r="F676" s="510"/>
      <c r="G676" s="614"/>
      <c r="H676" s="510" t="s">
        <v>467</v>
      </c>
      <c r="I676" s="510" t="s">
        <v>468</v>
      </c>
      <c r="J676" s="536" t="s">
        <v>907</v>
      </c>
      <c r="K676" s="512"/>
      <c r="L676" s="512"/>
      <c r="M676" s="512"/>
      <c r="N676" s="512"/>
      <c r="O676" s="512"/>
      <c r="P676" s="512"/>
    </row>
    <row r="677">
      <c r="A677" s="544"/>
      <c r="B677" s="544"/>
      <c r="C677" s="544"/>
      <c r="D677" s="678"/>
      <c r="E677" s="544"/>
      <c r="F677" s="544"/>
      <c r="G677" s="544"/>
      <c r="H677" s="544"/>
      <c r="I677" s="544"/>
      <c r="J677" s="544"/>
      <c r="K677" s="631"/>
      <c r="L677" s="631"/>
      <c r="M677" s="631"/>
      <c r="N677" s="631"/>
      <c r="O677" s="631"/>
      <c r="P677" s="631"/>
    </row>
    <row r="678">
      <c r="D678" s="916"/>
      <c r="J678" s="518"/>
      <c r="K678" s="564"/>
      <c r="L678" s="564"/>
      <c r="M678" s="564"/>
      <c r="N678" s="564"/>
      <c r="O678" s="564"/>
      <c r="P678" s="564"/>
    </row>
    <row r="679">
      <c r="A679" s="544"/>
      <c r="B679" s="544"/>
      <c r="C679" s="544"/>
      <c r="D679" s="678"/>
      <c r="E679" s="544"/>
      <c r="F679" s="544"/>
      <c r="G679" s="544"/>
      <c r="H679" s="678"/>
      <c r="I679" s="544"/>
      <c r="J679" s="544"/>
      <c r="K679" s="631"/>
      <c r="L679" s="631"/>
      <c r="M679" s="631"/>
      <c r="N679" s="631"/>
      <c r="O679" s="631"/>
      <c r="P679" s="631"/>
    </row>
    <row customHeight="true" ht="35.714285714285715" r="680">
      <c r="A680" s="985" t="s">
        <v>908</v>
      </c>
      <c r="B680" s="985"/>
      <c r="C680" s="985"/>
      <c r="D680" s="985"/>
      <c r="E680" s="985"/>
      <c r="F680" s="985"/>
      <c r="G680" s="985"/>
      <c r="H680" s="985"/>
      <c r="I680" s="985"/>
      <c r="J680" s="986"/>
      <c r="K680" s="547"/>
      <c r="L680" s="547"/>
      <c r="M680" s="547"/>
      <c r="N680" s="547"/>
      <c r="O680" s="547"/>
      <c r="P680" s="547"/>
    </row>
    <row r="681">
      <c r="A681" s="987" t="s">
        <v>478</v>
      </c>
      <c r="B681" s="988" t="s">
        <v>479</v>
      </c>
      <c r="C681" s="988"/>
      <c r="D681" s="989" t="s">
        <v>480</v>
      </c>
      <c r="E681" s="990" t="s">
        <v>481</v>
      </c>
      <c r="F681" s="990" t="s">
        <v>482</v>
      </c>
      <c r="G681" s="991" t="s">
        <v>495</v>
      </c>
      <c r="H681" s="990" t="s">
        <v>484</v>
      </c>
      <c r="I681" s="992" t="s">
        <v>485</v>
      </c>
      <c r="J681" s="993" t="s">
        <v>486</v>
      </c>
      <c r="K681" s="532"/>
      <c r="L681" s="532"/>
      <c r="M681" s="532"/>
      <c r="N681" s="532"/>
      <c r="O681" s="532"/>
      <c r="P681" s="532"/>
    </row>
    <row customHeight="true" ht="18.452380952380953" r="682">
      <c r="A682" s="586" t="s">
        <v>908</v>
      </c>
      <c r="B682" s="749">
        <v>46296</v>
      </c>
      <c r="C682" s="586" t="str">
        <v>Thursday</v>
      </c>
      <c r="D682" s="624" t="s">
        <v>909</v>
      </c>
      <c r="E682" s="656">
        <f t="shared" ref="E682:E684" si="127">24*MOD(TIMEVALUE(TRIM(MID(D682,FIND("-",D682)+1,LEN(D682)))) - TIMEVALUE(TRIM(LEFT(D682,FIND("-",D682)-1))),1)</f>
      </c>
      <c r="F682" s="538" t="s">
        <v>707</v>
      </c>
      <c r="G682" s="626"/>
      <c r="H682" s="656" t="s">
        <v>493</v>
      </c>
      <c r="I682" s="676" t="s">
        <v>468</v>
      </c>
      <c r="J682" s="592"/>
      <c r="K682" s="512"/>
      <c r="L682" s="512"/>
      <c r="M682" s="512"/>
      <c r="N682" s="512"/>
      <c r="O682" s="512"/>
      <c r="P682" s="512"/>
      <c r="Q682" s="564"/>
      <c r="R682" s="564"/>
    </row>
    <row customHeight="true" ht="18.452380952380953" r="683">
      <c r="A683" s="586" t="s">
        <v>908</v>
      </c>
      <c r="B683" s="749">
        <v>46297</v>
      </c>
      <c r="C683" s="586" t="str">
        <v>Friday</v>
      </c>
      <c r="D683" s="624" t="s">
        <v>909</v>
      </c>
      <c r="E683" s="656">
        <f t="shared" si="127"/>
      </c>
      <c r="F683" s="656" t="s">
        <v>910</v>
      </c>
      <c r="G683" s="626"/>
      <c r="H683" s="656" t="s">
        <v>493</v>
      </c>
      <c r="I683" s="676" t="s">
        <v>468</v>
      </c>
      <c r="J683" s="592"/>
      <c r="K683" s="512"/>
      <c r="L683" s="512"/>
      <c r="M683" s="512"/>
      <c r="N683" s="512"/>
      <c r="O683" s="512"/>
      <c r="P683" s="512"/>
    </row>
    <row customHeight="true" ht="18.452380952380953" r="684">
      <c r="A684" s="586" t="s">
        <v>908</v>
      </c>
      <c r="B684" s="749">
        <v>46298</v>
      </c>
      <c r="C684" s="586" t="str">
        <v>Saturday</v>
      </c>
      <c r="D684" s="624" t="s">
        <v>909</v>
      </c>
      <c r="E684" s="656">
        <f t="shared" si="127"/>
      </c>
      <c r="F684" s="538" t="s">
        <v>572</v>
      </c>
      <c r="G684" s="626"/>
      <c r="H684" s="656" t="s">
        <v>493</v>
      </c>
      <c r="I684" s="676" t="s">
        <v>468</v>
      </c>
      <c r="J684" s="592"/>
      <c r="K684" s="512"/>
      <c r="L684" s="512"/>
      <c r="M684" s="512"/>
      <c r="N684" s="512"/>
      <c r="O684" s="512"/>
      <c r="P684" s="512"/>
    </row>
    <row r="685">
      <c r="A685" s="533"/>
      <c r="B685" s="533"/>
      <c r="C685" s="533"/>
      <c r="D685" s="510"/>
      <c r="E685" s="510"/>
      <c r="F685" s="510"/>
      <c r="G685" s="614"/>
      <c r="H685" s="538"/>
      <c r="I685" s="538"/>
      <c r="J685" s="615"/>
      <c r="K685" s="512"/>
      <c r="L685" s="512"/>
      <c r="M685" s="512"/>
      <c r="N685" s="512"/>
      <c r="O685" s="512"/>
      <c r="P685" s="512"/>
    </row>
    <row customHeight="true" ht="18.452380952380953" r="686">
      <c r="A686" s="856" t="s">
        <v>911</v>
      </c>
      <c r="B686" s="884">
        <v>46296</v>
      </c>
      <c r="C686" s="994" t="str">
        <v>Thursday</v>
      </c>
      <c r="D686" s="851" t="s">
        <v>912</v>
      </c>
      <c r="E686" s="853">
        <f t="shared" ref="E686:E688" si="128">24*MOD(TIMEVALUE(TRIM(MID(D686,FIND("-",D686)+1,LEN(D686)))) - TIMEVALUE(TRIM(LEFT(D686,FIND("-",D686)-1))),1)</f>
      </c>
      <c r="F686" s="853" t="s">
        <v>913</v>
      </c>
      <c r="G686" s="995"/>
      <c r="H686" s="853"/>
      <c r="I686" s="853" t="s">
        <v>468</v>
      </c>
      <c r="J686" s="996"/>
      <c r="K686" s="997"/>
      <c r="L686" s="997"/>
      <c r="M686" s="997"/>
      <c r="N686" s="997"/>
      <c r="O686" s="997"/>
      <c r="P686" s="997"/>
      <c r="Q686" s="998"/>
      <c r="R686" s="998"/>
    </row>
    <row r="687">
      <c r="A687" s="849" t="s">
        <v>911</v>
      </c>
      <c r="B687" s="884">
        <v>46297</v>
      </c>
      <c r="C687" s="856" t="str">
        <v>Friday</v>
      </c>
      <c r="D687" s="851" t="s">
        <v>515</v>
      </c>
      <c r="E687" s="858">
        <f t="shared" si="128"/>
      </c>
      <c r="F687" s="853" t="s">
        <v>824</v>
      </c>
      <c r="G687" s="999"/>
      <c r="H687" s="858" t="s">
        <v>493</v>
      </c>
      <c r="I687" s="853" t="s">
        <v>468</v>
      </c>
      <c r="J687" s="1000"/>
      <c r="K687" s="1001"/>
      <c r="L687" s="1001"/>
      <c r="M687" s="1001"/>
      <c r="N687" s="1001"/>
      <c r="O687" s="1001"/>
      <c r="P687" s="1001"/>
    </row>
    <row customHeight="true" ht="18.452380952380953" r="688">
      <c r="A688" s="849" t="s">
        <v>911</v>
      </c>
      <c r="B688" s="884">
        <v>46298</v>
      </c>
      <c r="C688" s="856" t="str">
        <v>Saturday</v>
      </c>
      <c r="D688" s="851" t="s">
        <v>912</v>
      </c>
      <c r="E688" s="858">
        <f t="shared" si="128"/>
      </c>
      <c r="F688" s="853" t="s">
        <v>913</v>
      </c>
      <c r="G688" s="999"/>
      <c r="H688" s="858" t="s">
        <v>493</v>
      </c>
      <c r="I688" s="853" t="s">
        <v>468</v>
      </c>
      <c r="J688" s="1000"/>
      <c r="K688" s="1001"/>
      <c r="L688" s="1001"/>
      <c r="M688" s="1001"/>
      <c r="N688" s="1001"/>
      <c r="O688" s="1001"/>
      <c r="P688" s="1001"/>
    </row>
    <row customHeight="true" ht="18.452380952380953" r="689">
      <c r="A689" s="533"/>
      <c r="B689" s="533"/>
      <c r="C689" s="533"/>
      <c r="D689" s="538"/>
      <c r="E689" s="538"/>
      <c r="F689" s="538"/>
      <c r="G689" s="543"/>
      <c r="H689" s="538"/>
      <c r="I689" s="538"/>
      <c r="J689" s="511"/>
      <c r="K689" s="512"/>
      <c r="L689" s="512"/>
      <c r="M689" s="512"/>
      <c r="N689" s="512"/>
      <c r="O689" s="512"/>
      <c r="P689" s="512"/>
    </row>
    <row r="690">
      <c r="A690" s="533" t="s">
        <v>914</v>
      </c>
      <c r="B690" s="749">
        <v>46297</v>
      </c>
      <c r="C690" s="586" t="str">
        <v>Friday</v>
      </c>
      <c r="D690" s="624" t="s">
        <v>759</v>
      </c>
      <c r="E690" s="603">
        <f t="shared" ref="E690:E691" si="129">24*MOD(TIMEVALUE(TRIM(MID(D690,FIND("-",D690)+1,LEN(D690)))) - TIMEVALUE(TRIM(LEFT(D690,FIND("-",D690)-1))),1)</f>
      </c>
      <c r="F690" s="538" t="s">
        <v>547</v>
      </c>
      <c r="G690" s="543"/>
      <c r="H690" s="927"/>
      <c r="I690" s="538" t="s">
        <v>468</v>
      </c>
      <c r="J690" s="511"/>
      <c r="K690" s="512"/>
      <c r="L690" s="512"/>
      <c r="M690" s="512"/>
      <c r="N690" s="512"/>
      <c r="O690" s="512"/>
      <c r="P690" s="512"/>
    </row>
    <row customHeight="true" ht="18.452380952380953" r="691">
      <c r="A691" s="533" t="s">
        <v>911</v>
      </c>
      <c r="B691" s="749">
        <v>46296</v>
      </c>
      <c r="C691" s="586" t="str">
        <v>Thursday</v>
      </c>
      <c r="D691" s="624" t="s">
        <v>915</v>
      </c>
      <c r="E691" s="603">
        <f t="shared" si="129"/>
      </c>
      <c r="F691" s="538" t="s">
        <v>824</v>
      </c>
      <c r="G691" s="543"/>
      <c r="H691" s="927"/>
      <c r="I691" s="538"/>
      <c r="J691" s="511"/>
      <c r="K691" s="512"/>
      <c r="L691" s="512"/>
      <c r="M691" s="512"/>
      <c r="N691" s="512"/>
      <c r="O691" s="512"/>
      <c r="P691" s="512"/>
    </row>
    <row customHeight="true" ht="16.071428571428573" r="692">
      <c r="A692" s="533"/>
      <c r="B692" s="533"/>
      <c r="C692" s="533"/>
      <c r="D692" s="538"/>
      <c r="E692" s="510"/>
      <c r="F692" s="538"/>
      <c r="G692" s="543"/>
      <c r="H692" s="927"/>
      <c r="I692" s="538"/>
      <c r="J692" s="511"/>
      <c r="K692" s="512"/>
      <c r="L692" s="512"/>
      <c r="M692" s="512"/>
      <c r="N692" s="512"/>
      <c r="O692" s="512"/>
      <c r="P692" s="512"/>
    </row>
    <row customHeight="true" ht="38.17663024813209" r="693">
      <c r="A693" s="1002" t="s">
        <v>916</v>
      </c>
      <c r="B693" s="1002"/>
      <c r="C693" s="1002"/>
      <c r="D693" s="1002"/>
      <c r="E693" s="1002"/>
      <c r="F693" s="1002"/>
      <c r="G693" s="1002"/>
      <c r="H693" s="1002"/>
      <c r="I693" s="1002"/>
      <c r="J693" s="1002"/>
      <c r="K693" s="512"/>
      <c r="L693" s="512"/>
      <c r="M693" s="512"/>
      <c r="N693" s="512"/>
      <c r="O693" s="512"/>
      <c r="P693" s="512"/>
    </row>
    <row customHeight="true" ht="28.571428571428573" r="694">
      <c r="A694" s="1003" t="s">
        <v>478</v>
      </c>
      <c r="B694" s="1004" t="s">
        <v>479</v>
      </c>
      <c r="C694" s="1004"/>
      <c r="D694" s="1005" t="s">
        <v>480</v>
      </c>
      <c r="E694" s="1006" t="s">
        <v>481</v>
      </c>
      <c r="F694" s="1006" t="s">
        <v>482</v>
      </c>
      <c r="G694" s="1007" t="s">
        <v>495</v>
      </c>
      <c r="H694" s="1006" t="s">
        <v>484</v>
      </c>
      <c r="I694" s="1006" t="s">
        <v>485</v>
      </c>
      <c r="J694" s="1008" t="s">
        <v>486</v>
      </c>
      <c r="K694" s="512"/>
      <c r="L694" s="512"/>
      <c r="M694" s="512"/>
      <c r="N694" s="512"/>
      <c r="O694" s="512"/>
      <c r="P694" s="512"/>
    </row>
    <row customHeight="true" ht="16.071428571428573" r="695">
      <c r="A695" s="586" t="s">
        <v>916</v>
      </c>
      <c r="B695" s="515">
        <v>46297</v>
      </c>
      <c r="C695" s="533" t="str">
        <v>Friday</v>
      </c>
      <c r="D695" s="592" t="s">
        <v>917</v>
      </c>
      <c r="E695" s="538">
        <f t="shared" ref="E695:E697" si="130">24*MOD(TIMEVALUE(TRIM(MID(D695,FIND("-",D695)+1,LEN(D695)))) - TIMEVALUE(TRIM(LEFT(D695,FIND("-",D695)-1))),1)</f>
      </c>
      <c r="F695" s="538" t="s">
        <v>707</v>
      </c>
      <c r="G695" s="553"/>
      <c r="H695" s="927" t="s">
        <v>493</v>
      </c>
      <c r="I695" s="522" t="s">
        <v>468</v>
      </c>
      <c r="J695" s="507"/>
      <c r="K695" s="512"/>
      <c r="L695" s="512"/>
      <c r="M695" s="512"/>
      <c r="N695" s="512"/>
      <c r="O695" s="512"/>
      <c r="P695" s="512"/>
    </row>
    <row customHeight="true" ht="16.071428571428573" r="696">
      <c r="A696" s="586" t="s">
        <v>916</v>
      </c>
      <c r="B696" s="515">
        <v>46298</v>
      </c>
      <c r="C696" s="533" t="str">
        <v>Saturday</v>
      </c>
      <c r="D696" s="592" t="s">
        <v>917</v>
      </c>
      <c r="E696" s="932">
        <f t="shared" si="130"/>
      </c>
      <c r="F696" s="538" t="s">
        <v>572</v>
      </c>
      <c r="G696" s="553"/>
      <c r="H696" s="927" t="s">
        <v>493</v>
      </c>
      <c r="I696" s="522" t="s">
        <v>468</v>
      </c>
      <c r="J696" s="626"/>
      <c r="K696" s="512"/>
      <c r="L696" s="512"/>
      <c r="M696" s="512"/>
      <c r="N696" s="512"/>
      <c r="O696" s="512"/>
      <c r="P696" s="512"/>
    </row>
    <row customHeight="true" ht="16.071428571428573" r="697">
      <c r="A697" s="586" t="s">
        <v>916</v>
      </c>
      <c r="B697" s="515">
        <v>46299</v>
      </c>
      <c r="C697" s="533" t="str">
        <v>Sunday</v>
      </c>
      <c r="D697" s="1009" t="s">
        <v>917</v>
      </c>
      <c r="E697" s="932">
        <f t="shared" si="130"/>
      </c>
      <c r="F697" s="538" t="s">
        <v>541</v>
      </c>
      <c r="G697" s="553"/>
      <c r="H697" s="927" t="s">
        <v>493</v>
      </c>
      <c r="I697" s="522" t="s">
        <v>468</v>
      </c>
      <c r="J697" s="626"/>
      <c r="K697" s="512"/>
      <c r="L697" s="512"/>
      <c r="M697" s="512"/>
      <c r="N697" s="512"/>
      <c r="O697" s="512"/>
      <c r="P697" s="512"/>
    </row>
    <row customHeight="true" ht="16.071428571428573" r="698">
      <c r="A698" s="533"/>
      <c r="B698" s="515"/>
      <c r="C698" s="533"/>
      <c r="D698" s="538"/>
      <c r="E698" s="510"/>
      <c r="F698" s="538"/>
      <c r="G698" s="543"/>
      <c r="H698" s="927"/>
      <c r="I698" s="538"/>
      <c r="J698" s="511"/>
      <c r="K698" s="512"/>
      <c r="L698" s="512"/>
      <c r="M698" s="512"/>
      <c r="N698" s="512"/>
      <c r="O698" s="512"/>
      <c r="P698" s="512"/>
    </row>
    <row customHeight="true" ht="16.071428571428573" r="699">
      <c r="A699" s="849" t="s">
        <v>918</v>
      </c>
      <c r="B699" s="1010">
        <v>46297</v>
      </c>
      <c r="C699" s="856" t="str">
        <v>Friday</v>
      </c>
      <c r="D699" s="866" t="s">
        <v>919</v>
      </c>
      <c r="E699" s="852">
        <f t="shared" ref="E699:E701" si="131">24*MOD(TIMEVALUE(TRIM(MID(D699,FIND("-",D699)+1,LEN(D699)))) - TIMEVALUE(TRIM(LEFT(D699,FIND("-",D699)-1))),1)</f>
      </c>
      <c r="F699" s="853" t="s">
        <v>824</v>
      </c>
      <c r="G699" s="950"/>
      <c r="H699" s="852" t="s">
        <v>493</v>
      </c>
      <c r="I699" s="853" t="s">
        <v>468</v>
      </c>
      <c r="J699" s="953"/>
      <c r="K699" s="512"/>
      <c r="L699" s="512"/>
      <c r="M699" s="512"/>
      <c r="N699" s="512"/>
      <c r="O699" s="512"/>
      <c r="P699" s="512"/>
    </row>
    <row customHeight="true" ht="16.071428571428573" r="700">
      <c r="A700" s="849" t="s">
        <v>918</v>
      </c>
      <c r="B700" s="1010">
        <v>46298</v>
      </c>
      <c r="C700" s="856" t="str">
        <v>Saturday</v>
      </c>
      <c r="D700" s="866" t="s">
        <v>920</v>
      </c>
      <c r="E700" s="852">
        <f t="shared" si="131"/>
      </c>
      <c r="F700" s="852" t="s">
        <v>895</v>
      </c>
      <c r="G700" s="950"/>
      <c r="H700" s="852" t="s">
        <v>493</v>
      </c>
      <c r="I700" s="853" t="s">
        <v>468</v>
      </c>
      <c r="J700" s="951"/>
      <c r="K700" s="512"/>
      <c r="L700" s="512"/>
      <c r="M700" s="512"/>
      <c r="N700" s="512"/>
      <c r="O700" s="512"/>
      <c r="P700" s="512"/>
    </row>
    <row customHeight="true" ht="16.071428571428573" r="701">
      <c r="A701" s="849" t="s">
        <v>918</v>
      </c>
      <c r="B701" s="1010">
        <v>46299</v>
      </c>
      <c r="C701" s="856" t="str">
        <v>Sunday</v>
      </c>
      <c r="D701" s="866" t="s">
        <v>919</v>
      </c>
      <c r="E701" s="852">
        <f t="shared" si="131"/>
      </c>
      <c r="F701" s="852" t="s">
        <v>895</v>
      </c>
      <c r="G701" s="950"/>
      <c r="H701" s="852" t="s">
        <v>493</v>
      </c>
      <c r="I701" s="853" t="s">
        <v>468</v>
      </c>
      <c r="J701" s="951"/>
      <c r="K701" s="512"/>
      <c r="L701" s="512"/>
      <c r="M701" s="512"/>
      <c r="N701" s="512"/>
      <c r="O701" s="512"/>
      <c r="P701" s="512"/>
    </row>
    <row customHeight="true" ht="16.071428571428573" r="702">
      <c r="A702" s="586"/>
      <c r="B702" s="749"/>
      <c r="C702" s="586"/>
      <c r="D702" s="624"/>
      <c r="E702" s="656"/>
      <c r="F702" s="656"/>
      <c r="G702" s="626"/>
      <c r="H702" s="656"/>
      <c r="I702" s="656"/>
      <c r="J702" s="676"/>
      <c r="K702" s="512"/>
      <c r="L702" s="512"/>
      <c r="M702" s="512"/>
      <c r="N702" s="512"/>
      <c r="O702" s="512"/>
      <c r="P702" s="512"/>
      <c r="Q702" s="564"/>
      <c r="R702" s="564"/>
    </row>
    <row r="703">
      <c r="A703" s="533"/>
      <c r="B703" s="533"/>
      <c r="C703" s="533"/>
      <c r="D703" s="510"/>
      <c r="E703" s="510"/>
      <c r="F703" s="510"/>
      <c r="G703" s="614"/>
      <c r="H703" s="510"/>
      <c r="I703" s="510"/>
      <c r="J703" s="536"/>
      <c r="K703" s="512"/>
      <c r="L703" s="512"/>
      <c r="M703" s="512"/>
      <c r="N703" s="512"/>
      <c r="O703" s="512"/>
      <c r="P703" s="512"/>
    </row>
    <row r="704">
      <c r="A704" s="1011" t="s">
        <v>921</v>
      </c>
      <c r="B704" s="1011"/>
      <c r="C704" s="1011"/>
      <c r="D704" s="1011"/>
      <c r="E704" s="1011"/>
      <c r="F704" s="1011"/>
      <c r="G704" s="1011"/>
      <c r="H704" s="1011"/>
      <c r="I704" s="1011"/>
      <c r="J704" s="1012"/>
      <c r="K704" s="961"/>
      <c r="L704" s="961"/>
      <c r="M704" s="961"/>
      <c r="N704" s="961"/>
      <c r="O704" s="961"/>
      <c r="P704" s="961"/>
    </row>
    <row r="705">
      <c r="A705" s="1013" t="s">
        <v>478</v>
      </c>
      <c r="B705" s="1014" t="s">
        <v>479</v>
      </c>
      <c r="C705" s="1014"/>
      <c r="D705" s="1015" t="s">
        <v>480</v>
      </c>
      <c r="E705" s="1015" t="s">
        <v>481</v>
      </c>
      <c r="F705" s="1015" t="s">
        <v>482</v>
      </c>
      <c r="G705" s="1016" t="s">
        <v>495</v>
      </c>
      <c r="H705" s="1015" t="s">
        <v>484</v>
      </c>
      <c r="I705" s="1015" t="s">
        <v>485</v>
      </c>
      <c r="J705" s="1017" t="s">
        <v>486</v>
      </c>
      <c r="K705" s="532"/>
      <c r="L705" s="532"/>
      <c r="M705" s="532"/>
      <c r="N705" s="532"/>
      <c r="O705" s="532"/>
      <c r="P705" s="532"/>
    </row>
    <row r="706">
      <c r="A706" s="533" t="s">
        <v>921</v>
      </c>
      <c r="B706" s="515">
        <v>46245</v>
      </c>
      <c r="C706" s="533" t="str">
        <v>Tuesday</v>
      </c>
      <c r="D706" s="506" t="s">
        <v>922</v>
      </c>
      <c r="E706" s="538">
        <f t="shared" ref="E706:E707" si="132">24*MOD(TIMEVALUE(TRIM(MID(D706,FIND("-",D706)+1,LEN(D706)))) - TIMEVALUE(TRIM(LEFT(D706,FIND("-",D706)-1))),1)</f>
      </c>
      <c r="F706" s="510"/>
      <c r="G706" s="553"/>
      <c r="H706" s="927" t="s">
        <v>493</v>
      </c>
      <c r="I706" s="538" t="s">
        <v>468</v>
      </c>
      <c r="J706" s="511"/>
      <c r="K706" s="512"/>
      <c r="L706" s="512"/>
      <c r="M706" s="512"/>
      <c r="N706" s="512"/>
      <c r="O706" s="512"/>
      <c r="P706" s="512"/>
    </row>
    <row r="707">
      <c r="A707" s="1018" t="s">
        <v>923</v>
      </c>
      <c r="B707" s="1019">
        <v>46245</v>
      </c>
      <c r="C707" s="1018" t="str">
        <v>Tuesday</v>
      </c>
      <c r="D707" s="1020" t="s">
        <v>924</v>
      </c>
      <c r="E707" s="1021">
        <f t="shared" si="132"/>
      </c>
      <c r="F707" s="1021"/>
      <c r="G707" s="1022"/>
      <c r="H707" s="1023" t="s">
        <v>493</v>
      </c>
      <c r="I707" s="538" t="s">
        <v>468</v>
      </c>
      <c r="J707" s="1024"/>
      <c r="K707" s="512"/>
      <c r="L707" s="512"/>
      <c r="M707" s="512"/>
      <c r="N707" s="512"/>
      <c r="O707" s="512"/>
      <c r="P707" s="512"/>
    </row>
    <row r="708">
      <c r="A708" s="533" t="s">
        <v>921</v>
      </c>
      <c r="B708" s="533"/>
      <c r="C708" s="533"/>
      <c r="D708" s="538"/>
      <c r="E708" s="1025">
        <f>3</f>
      </c>
      <c r="F708" s="510"/>
      <c r="G708" s="543"/>
      <c r="H708" s="927"/>
      <c r="I708" s="510"/>
      <c r="J708" s="511"/>
      <c r="K708" s="512"/>
      <c r="L708" s="512"/>
      <c r="M708" s="512"/>
      <c r="N708" s="512"/>
      <c r="O708" s="512"/>
      <c r="P708" s="512"/>
    </row>
    <row r="709">
      <c r="A709" s="533" t="s">
        <v>921</v>
      </c>
      <c r="B709" s="515">
        <v>46246</v>
      </c>
      <c r="C709" s="533" t="str">
        <v>Wednesday</v>
      </c>
      <c r="D709" s="506" t="s">
        <v>640</v>
      </c>
      <c r="E709" s="538">
        <f t="shared" ref="E709:E710" si="133">24*MOD(TIMEVALUE(TRIM(MID(D709,FIND("-",D709)+1,LEN(D709)))) - TIMEVALUE(TRIM(LEFT(D709,FIND("-",D709)-1))),1)</f>
      </c>
      <c r="F709" s="510"/>
      <c r="G709" s="553"/>
      <c r="H709" s="927" t="s">
        <v>493</v>
      </c>
      <c r="I709" s="603" t="s">
        <v>468</v>
      </c>
      <c r="J709" s="511"/>
      <c r="K709" s="512"/>
      <c r="L709" s="512"/>
      <c r="M709" s="512"/>
      <c r="N709" s="512"/>
      <c r="O709" s="512"/>
      <c r="P709" s="512"/>
    </row>
    <row r="710">
      <c r="A710" s="1018" t="s">
        <v>923</v>
      </c>
      <c r="B710" s="1019">
        <v>46246</v>
      </c>
      <c r="C710" s="1018" t="str">
        <v>Wednesday</v>
      </c>
      <c r="D710" s="1020" t="s">
        <v>925</v>
      </c>
      <c r="E710" s="1021">
        <f t="shared" si="133"/>
      </c>
      <c r="F710" s="1021"/>
      <c r="G710" s="1022"/>
      <c r="H710" s="1023" t="s">
        <v>493</v>
      </c>
      <c r="I710" s="538" t="s">
        <v>468</v>
      </c>
      <c r="J710" s="1026"/>
      <c r="K710" s="623"/>
      <c r="L710" s="623"/>
      <c r="M710" s="623"/>
      <c r="N710" s="623"/>
      <c r="O710" s="623"/>
      <c r="P710" s="623"/>
    </row>
    <row r="711">
      <c r="A711" s="533" t="s">
        <v>921</v>
      </c>
      <c r="B711" s="533"/>
      <c r="C711" s="533"/>
      <c r="D711" s="538"/>
      <c r="E711" s="1025">
        <f>3</f>
      </c>
      <c r="F711" s="510"/>
      <c r="G711" s="543"/>
      <c r="H711" s="927"/>
      <c r="I711" s="510"/>
      <c r="J711" s="511"/>
      <c r="K711" s="512"/>
      <c r="L711" s="512"/>
      <c r="M711" s="512"/>
      <c r="N711" s="512"/>
      <c r="O711" s="512"/>
      <c r="P711" s="512"/>
    </row>
    <row r="712">
      <c r="A712" s="533" t="s">
        <v>921</v>
      </c>
      <c r="B712" s="515">
        <v>46247</v>
      </c>
      <c r="C712" s="533" t="str">
        <v>Thursday</v>
      </c>
      <c r="D712" s="506" t="s">
        <v>922</v>
      </c>
      <c r="E712" s="538">
        <f t="shared" ref="E712:E713" si="134">24*MOD(TIMEVALUE(TRIM(MID(D712,FIND("-",D712)+1,LEN(D712)))) - TIMEVALUE(TRIM(LEFT(D712,FIND("-",D712)-1))),1)</f>
      </c>
      <c r="F712" s="510"/>
      <c r="G712" s="553"/>
      <c r="H712" s="927" t="s">
        <v>493</v>
      </c>
      <c r="I712" s="538" t="s">
        <v>468</v>
      </c>
      <c r="J712" s="511"/>
      <c r="K712" s="512"/>
      <c r="L712" s="512"/>
      <c r="M712" s="512"/>
      <c r="N712" s="512"/>
      <c r="O712" s="512"/>
      <c r="P712" s="512"/>
    </row>
    <row r="713">
      <c r="A713" s="1018" t="s">
        <v>923</v>
      </c>
      <c r="B713" s="1019">
        <v>46247</v>
      </c>
      <c r="C713" s="1018" t="str">
        <v>Thursday</v>
      </c>
      <c r="D713" s="1020" t="s">
        <v>926</v>
      </c>
      <c r="E713" s="1021">
        <f t="shared" si="134"/>
      </c>
      <c r="F713" s="1021"/>
      <c r="G713" s="1022"/>
      <c r="H713" s="1023" t="s">
        <v>493</v>
      </c>
      <c r="I713" s="538" t="s">
        <v>468</v>
      </c>
      <c r="J713" s="1024"/>
      <c r="K713" s="512"/>
      <c r="L713" s="512"/>
      <c r="M713" s="512"/>
      <c r="N713" s="512"/>
      <c r="O713" s="512"/>
      <c r="P713" s="512"/>
    </row>
    <row r="714">
      <c r="A714" s="533" t="s">
        <v>921</v>
      </c>
      <c r="B714" s="533"/>
      <c r="C714" s="533"/>
      <c r="D714" s="538"/>
      <c r="E714" s="1025">
        <f>3</f>
      </c>
      <c r="F714" s="510"/>
      <c r="G714" s="543"/>
      <c r="H714" s="927"/>
      <c r="I714" s="510"/>
      <c r="J714" s="511"/>
      <c r="K714" s="512"/>
      <c r="L714" s="512"/>
      <c r="M714" s="512"/>
      <c r="N714" s="512"/>
      <c r="O714" s="512"/>
      <c r="P714" s="512"/>
    </row>
    <row r="715">
      <c r="A715" s="533" t="s">
        <v>921</v>
      </c>
      <c r="B715" s="515">
        <v>46248</v>
      </c>
      <c r="C715" s="533" t="str">
        <v>Friday</v>
      </c>
      <c r="D715" s="506" t="s">
        <v>721</v>
      </c>
      <c r="E715" s="538">
        <f t="shared" ref="E715:E716" si="135">24*MOD(TIMEVALUE(TRIM(MID(D715,FIND("-",D715)+1,LEN(D715)))) - TIMEVALUE(TRIM(LEFT(D715,FIND("-",D715)-1))),1)</f>
      </c>
      <c r="F715" s="510"/>
      <c r="G715" s="553"/>
      <c r="H715" s="927" t="s">
        <v>493</v>
      </c>
      <c r="I715" s="538" t="s">
        <v>468</v>
      </c>
      <c r="J715" s="511"/>
      <c r="K715" s="512"/>
      <c r="L715" s="512"/>
      <c r="M715" s="512"/>
      <c r="N715" s="512"/>
      <c r="O715" s="512"/>
      <c r="P715" s="512"/>
    </row>
    <row r="716">
      <c r="A716" s="1018" t="s">
        <v>923</v>
      </c>
      <c r="B716" s="1019">
        <v>46248</v>
      </c>
      <c r="C716" s="1018" t="str">
        <v>Friday</v>
      </c>
      <c r="D716" s="1020" t="s">
        <v>927</v>
      </c>
      <c r="E716" s="1021">
        <f t="shared" si="135"/>
      </c>
      <c r="F716" s="1021"/>
      <c r="G716" s="1022"/>
      <c r="H716" s="1023" t="s">
        <v>493</v>
      </c>
      <c r="I716" s="538" t="s">
        <v>468</v>
      </c>
      <c r="J716" s="1024"/>
      <c r="K716" s="512"/>
      <c r="L716" s="512"/>
      <c r="M716" s="512"/>
      <c r="N716" s="512"/>
      <c r="O716" s="512"/>
      <c r="P716" s="512"/>
    </row>
    <row r="717">
      <c r="A717" s="533" t="s">
        <v>921</v>
      </c>
      <c r="B717" s="533"/>
      <c r="C717" s="533"/>
      <c r="D717" s="538"/>
      <c r="E717" s="1025">
        <f>3</f>
      </c>
      <c r="F717" s="510"/>
      <c r="G717" s="543"/>
      <c r="H717" s="927"/>
      <c r="I717" s="510"/>
      <c r="J717" s="511"/>
      <c r="K717" s="512"/>
      <c r="L717" s="512"/>
      <c r="M717" s="512"/>
      <c r="N717" s="512"/>
      <c r="O717" s="512"/>
      <c r="P717" s="512"/>
    </row>
    <row r="718">
      <c r="A718" s="533" t="s">
        <v>921</v>
      </c>
      <c r="B718" s="515">
        <v>46249</v>
      </c>
      <c r="C718" s="533" t="str">
        <v>Saturday</v>
      </c>
      <c r="D718" s="506" t="s">
        <v>928</v>
      </c>
      <c r="E718" s="538">
        <f t="shared" ref="E718:E719" si="136">24*MOD(TIMEVALUE(TRIM(MID(D718,FIND("-",D718)+1,LEN(D718)))) - TIMEVALUE(TRIM(LEFT(D718,FIND("-",D718)-1))),1)</f>
      </c>
      <c r="F718" s="510"/>
      <c r="G718" s="553"/>
      <c r="H718" s="927" t="s">
        <v>493</v>
      </c>
      <c r="I718" s="538" t="s">
        <v>468</v>
      </c>
      <c r="J718" s="511"/>
      <c r="K718" s="512"/>
      <c r="L718" s="512"/>
      <c r="M718" s="512"/>
      <c r="N718" s="512"/>
      <c r="O718" s="512"/>
      <c r="P718" s="512"/>
    </row>
    <row r="719">
      <c r="A719" s="1018" t="s">
        <v>923</v>
      </c>
      <c r="B719" s="1019">
        <v>46249</v>
      </c>
      <c r="C719" s="1018" t="str">
        <v>Saturday</v>
      </c>
      <c r="D719" s="1020" t="s">
        <v>928</v>
      </c>
      <c r="E719" s="1021">
        <f t="shared" si="136"/>
      </c>
      <c r="F719" s="1021"/>
      <c r="G719" s="1022"/>
      <c r="H719" s="1023" t="s">
        <v>493</v>
      </c>
      <c r="I719" s="538" t="s">
        <v>468</v>
      </c>
      <c r="J719" s="1024"/>
      <c r="K719" s="512"/>
      <c r="L719" s="512"/>
      <c r="M719" s="512"/>
      <c r="N719" s="512"/>
      <c r="O719" s="512"/>
      <c r="P719" s="512"/>
    </row>
    <row r="720">
      <c r="A720" s="533" t="s">
        <v>921</v>
      </c>
      <c r="B720" s="533"/>
      <c r="C720" s="533"/>
      <c r="D720" s="538"/>
      <c r="E720" s="1025">
        <f>3</f>
      </c>
      <c r="F720" s="510"/>
      <c r="G720" s="543"/>
      <c r="H720" s="927"/>
      <c r="I720" s="510"/>
      <c r="J720" s="511"/>
      <c r="K720" s="512"/>
      <c r="L720" s="512"/>
      <c r="M720" s="512"/>
      <c r="N720" s="512"/>
      <c r="O720" s="512"/>
      <c r="P720" s="512"/>
    </row>
    <row customHeight="true" ht="18.452380952380953" r="721">
      <c r="A721" s="533" t="s">
        <v>921</v>
      </c>
      <c r="B721" s="515">
        <v>46250</v>
      </c>
      <c r="C721" s="533" t="str">
        <v>Sunday</v>
      </c>
      <c r="D721" s="506" t="s">
        <v>929</v>
      </c>
      <c r="E721" s="538">
        <f t="shared" ref="E721:E722" si="137">24*MOD(TIMEVALUE(TRIM(MID(D721,FIND("-",D721)+1,LEN(D721)))) - TIMEVALUE(TRIM(LEFT(D721,FIND("-",D721)-1))),1)</f>
      </c>
      <c r="F721" s="510"/>
      <c r="G721" s="553"/>
      <c r="H721" s="927" t="s">
        <v>493</v>
      </c>
      <c r="I721" s="538" t="s">
        <v>468</v>
      </c>
      <c r="J721" s="511"/>
      <c r="K721" s="512"/>
      <c r="L721" s="512"/>
      <c r="M721" s="512"/>
      <c r="N721" s="512"/>
      <c r="O721" s="512"/>
      <c r="P721" s="512"/>
    </row>
    <row customHeight="true" ht="18.452380952380953" r="722">
      <c r="A722" s="1018" t="s">
        <v>923</v>
      </c>
      <c r="B722" s="1019">
        <v>46250</v>
      </c>
      <c r="C722" s="1018" t="str">
        <v>Sunday</v>
      </c>
      <c r="D722" s="1020" t="s">
        <v>930</v>
      </c>
      <c r="E722" s="1021">
        <f t="shared" si="137"/>
      </c>
      <c r="F722" s="1021"/>
      <c r="G722" s="1022"/>
      <c r="H722" s="1023" t="s">
        <v>493</v>
      </c>
      <c r="I722" s="538" t="s">
        <v>490</v>
      </c>
      <c r="J722" s="1024"/>
      <c r="K722" s="512"/>
      <c r="L722" s="512"/>
      <c r="M722" s="512"/>
      <c r="N722" s="512"/>
      <c r="O722" s="512"/>
      <c r="P722" s="512"/>
    </row>
    <row customHeight="true" ht="18.452380952380953" r="723">
      <c r="A723" s="533" t="s">
        <v>921</v>
      </c>
      <c r="B723" s="533"/>
      <c r="C723" s="533"/>
      <c r="D723" s="538"/>
      <c r="E723" s="1025">
        <f>3</f>
      </c>
      <c r="F723" s="510"/>
      <c r="G723" s="543"/>
      <c r="H723" s="927"/>
      <c r="I723" s="510"/>
      <c r="J723" s="511"/>
      <c r="K723" s="512"/>
      <c r="L723" s="512"/>
      <c r="M723" s="512"/>
      <c r="N723" s="512"/>
      <c r="O723" s="512"/>
      <c r="P723" s="512"/>
    </row>
    <row r="724">
      <c r="A724" s="654"/>
      <c r="B724" s="533"/>
      <c r="C724" s="533"/>
      <c r="D724" s="538"/>
      <c r="E724" s="538"/>
      <c r="F724" s="538"/>
      <c r="G724" s="543"/>
      <c r="H724" s="927"/>
      <c r="I724" s="538"/>
      <c r="J724" s="511"/>
      <c r="K724" s="512"/>
      <c r="L724" s="512"/>
      <c r="M724" s="512"/>
      <c r="N724" s="512"/>
      <c r="O724" s="512"/>
      <c r="P724" s="512"/>
    </row>
    <row r="725">
      <c r="A725" s="533"/>
      <c r="B725" s="533"/>
      <c r="C725" s="533"/>
      <c r="D725" s="538"/>
      <c r="E725" s="538"/>
      <c r="F725" s="538"/>
      <c r="G725" s="543"/>
      <c r="H725" s="927"/>
      <c r="I725" s="538"/>
      <c r="J725" s="511"/>
      <c r="K725" s="512"/>
      <c r="L725" s="512"/>
      <c r="M725" s="512"/>
      <c r="N725" s="512"/>
      <c r="O725" s="512"/>
      <c r="P725" s="512"/>
    </row>
    <row r="726">
      <c r="A726" s="533" t="s">
        <v>931</v>
      </c>
      <c r="B726" s="515">
        <v>46245</v>
      </c>
      <c r="C726" s="533" t="str">
        <v>Tuesday</v>
      </c>
      <c r="D726" s="541" t="s">
        <v>734</v>
      </c>
      <c r="E726" s="510">
        <f t="shared" ref="E726:E731" si="138">24*MOD(TIMEVALUE(TRIM(MID(D726,FIND("-",D726)+1,LEN(D726)))) - TIMEVALUE(TRIM(LEFT(D726,FIND("-",D726)-1))),1)</f>
      </c>
      <c r="F726" s="538"/>
      <c r="G726" s="617"/>
      <c r="H726" s="734" t="s">
        <v>493</v>
      </c>
      <c r="I726" s="538" t="s">
        <v>468</v>
      </c>
      <c r="J726" s="536"/>
      <c r="K726" s="512"/>
      <c r="L726" s="512"/>
      <c r="M726" s="512"/>
      <c r="N726" s="512"/>
      <c r="O726" s="512"/>
      <c r="P726" s="512"/>
    </row>
    <row r="727">
      <c r="A727" s="533" t="s">
        <v>931</v>
      </c>
      <c r="B727" s="515">
        <v>46245</v>
      </c>
      <c r="C727" s="533" t="str">
        <v>Tuesday</v>
      </c>
      <c r="D727" s="541" t="s">
        <v>737</v>
      </c>
      <c r="E727" s="510">
        <f t="shared" si="138"/>
      </c>
      <c r="F727" s="538"/>
      <c r="G727" s="614"/>
      <c r="H727" s="734" t="s">
        <v>493</v>
      </c>
      <c r="I727" s="538" t="s">
        <v>468</v>
      </c>
      <c r="J727" s="536"/>
      <c r="K727" s="512"/>
      <c r="L727" s="512"/>
      <c r="M727" s="512"/>
      <c r="N727" s="512"/>
      <c r="O727" s="512"/>
      <c r="P727" s="512"/>
    </row>
    <row r="728">
      <c r="A728" s="533" t="s">
        <v>931</v>
      </c>
      <c r="B728" s="515">
        <v>46246</v>
      </c>
      <c r="C728" s="533" t="str">
        <v>Wednesday</v>
      </c>
      <c r="D728" s="541" t="s">
        <v>932</v>
      </c>
      <c r="E728" s="510">
        <f t="shared" si="138"/>
      </c>
      <c r="F728" s="538"/>
      <c r="G728" s="614"/>
      <c r="H728" s="734" t="s">
        <v>493</v>
      </c>
      <c r="I728" s="538" t="s">
        <v>468</v>
      </c>
      <c r="J728" s="536"/>
      <c r="K728" s="512"/>
      <c r="L728" s="512"/>
      <c r="M728" s="512"/>
      <c r="N728" s="512"/>
      <c r="O728" s="512"/>
      <c r="P728" s="512"/>
    </row>
    <row r="729">
      <c r="A729" s="533" t="s">
        <v>931</v>
      </c>
      <c r="B729" s="533">
        <v>46234</v>
      </c>
      <c r="C729" s="533" t="str">
        <v>Friday</v>
      </c>
      <c r="D729" s="506" t="s">
        <v>894</v>
      </c>
      <c r="E729" s="510">
        <f t="shared" si="138"/>
      </c>
      <c r="F729" s="538"/>
      <c r="G729" s="614"/>
      <c r="H729" s="734" t="s">
        <v>493</v>
      </c>
      <c r="I729" s="538" t="s">
        <v>490</v>
      </c>
      <c r="J729" s="536"/>
      <c r="K729" s="512"/>
      <c r="L729" s="512"/>
      <c r="M729" s="512"/>
      <c r="N729" s="512"/>
      <c r="O729" s="512"/>
      <c r="P729" s="512"/>
    </row>
    <row r="730">
      <c r="A730" s="533" t="s">
        <v>931</v>
      </c>
      <c r="B730" s="533">
        <v>46220</v>
      </c>
      <c r="C730" s="533" t="str">
        <v>Friday</v>
      </c>
      <c r="D730" s="510" t="s">
        <v>933</v>
      </c>
      <c r="E730" s="510">
        <f t="shared" si="138"/>
      </c>
      <c r="F730" s="538"/>
      <c r="G730" s="614"/>
      <c r="H730" s="734" t="s">
        <v>493</v>
      </c>
      <c r="I730" s="538" t="s">
        <v>490</v>
      </c>
      <c r="J730" s="536"/>
      <c r="K730" s="512"/>
      <c r="L730" s="512"/>
      <c r="M730" s="512"/>
      <c r="N730" s="512"/>
      <c r="O730" s="512"/>
      <c r="P730" s="512"/>
    </row>
    <row r="731">
      <c r="A731" s="533" t="s">
        <v>931</v>
      </c>
      <c r="B731" s="533">
        <v>46219</v>
      </c>
      <c r="C731" s="533" t="str">
        <v>Thursday</v>
      </c>
      <c r="D731" s="510" t="s">
        <v>934</v>
      </c>
      <c r="E731" s="510">
        <f t="shared" si="138"/>
      </c>
      <c r="F731" s="538"/>
      <c r="G731" s="614"/>
      <c r="H731" s="734" t="s">
        <v>493</v>
      </c>
      <c r="I731" s="538" t="s">
        <v>490</v>
      </c>
      <c r="J731" s="536"/>
      <c r="K731" s="512"/>
      <c r="L731" s="512"/>
      <c r="M731" s="512"/>
      <c r="N731" s="512"/>
      <c r="O731" s="512"/>
      <c r="P731" s="512"/>
    </row>
    <row r="732">
      <c r="A732" s="873"/>
      <c r="B732" s="873"/>
      <c r="C732" s="873"/>
      <c r="D732" s="873"/>
      <c r="E732" s="873"/>
      <c r="F732" s="873"/>
      <c r="G732" s="874"/>
      <c r="H732" s="873"/>
      <c r="I732" s="873"/>
      <c r="J732" s="873"/>
      <c r="K732" s="512"/>
      <c r="L732" s="512"/>
      <c r="M732" s="512"/>
      <c r="N732" s="512"/>
      <c r="O732" s="512"/>
      <c r="P732" s="512"/>
    </row>
    <row r="733">
      <c r="A733" s="544"/>
      <c r="B733" s="544"/>
      <c r="C733" s="544"/>
      <c r="D733" s="678"/>
      <c r="E733" s="544"/>
      <c r="F733" s="544"/>
      <c r="G733" s="544"/>
      <c r="H733" s="544"/>
      <c r="I733" s="544"/>
      <c r="J733" s="544"/>
      <c r="K733" s="631"/>
      <c r="L733" s="631"/>
      <c r="M733" s="631"/>
      <c r="N733" s="631"/>
      <c r="O733" s="631"/>
      <c r="P733" s="631"/>
    </row>
    <row r="734">
      <c r="A734" s="1027" t="s">
        <v>935</v>
      </c>
      <c r="B734" s="1028"/>
      <c r="C734" s="1027"/>
      <c r="D734" s="1027"/>
      <c r="E734" s="1027"/>
      <c r="F734" s="1027"/>
      <c r="G734" s="1027"/>
      <c r="H734" s="1027"/>
      <c r="I734" s="1027"/>
      <c r="J734" s="1029"/>
      <c r="K734" s="961"/>
      <c r="L734" s="961"/>
      <c r="M734" s="961"/>
      <c r="N734" s="961"/>
      <c r="O734" s="961"/>
      <c r="P734" s="961"/>
    </row>
    <row r="735">
      <c r="A735" s="795" t="s">
        <v>935</v>
      </c>
      <c r="B735" s="796" t="s">
        <v>479</v>
      </c>
      <c r="C735" s="796"/>
      <c r="D735" s="797" t="s">
        <v>480</v>
      </c>
      <c r="E735" s="797" t="s">
        <v>481</v>
      </c>
      <c r="F735" s="797" t="s">
        <v>482</v>
      </c>
      <c r="G735" s="798" t="s">
        <v>495</v>
      </c>
      <c r="H735" s="797" t="s">
        <v>484</v>
      </c>
      <c r="I735" s="797" t="s">
        <v>485</v>
      </c>
      <c r="J735" s="799" t="s">
        <v>486</v>
      </c>
      <c r="K735" s="532"/>
      <c r="L735" s="532"/>
      <c r="M735" s="532"/>
      <c r="N735" s="532"/>
      <c r="O735" s="532"/>
      <c r="P735" s="532"/>
    </row>
    <row r="736">
      <c r="A736" s="533" t="s">
        <v>935</v>
      </c>
      <c r="B736" s="515">
        <v>46294</v>
      </c>
      <c r="C736" s="586" t="str">
        <v>Tuesday</v>
      </c>
      <c r="D736" s="506" t="s">
        <v>627</v>
      </c>
      <c r="E736" s="656">
        <f t="shared" ref="E736:E747" si="139">24*MOD(TIMEVALUE(TRIM(MID(D736,FIND("-",D736)+1,LEN(D736)))) - TIMEVALUE(TRIM(LEFT(D736,FIND("-",D736)-1))),1)</f>
      </c>
      <c r="F736" s="538" t="s">
        <v>543</v>
      </c>
      <c r="G736" s="553"/>
      <c r="H736" s="656" t="s">
        <v>493</v>
      </c>
      <c r="I736" s="603" t="s">
        <v>468</v>
      </c>
      <c r="J736" s="676"/>
      <c r="K736" s="512"/>
      <c r="L736" s="512"/>
      <c r="M736" s="512"/>
      <c r="N736" s="512"/>
      <c r="O736" s="512"/>
      <c r="P736" s="512"/>
    </row>
    <row r="737">
      <c r="A737" s="1030" t="s">
        <v>936</v>
      </c>
      <c r="B737" s="1031">
        <v>46294</v>
      </c>
      <c r="C737" s="1030" t="str">
        <v>Tuesday</v>
      </c>
      <c r="D737" s="1032" t="s">
        <v>894</v>
      </c>
      <c r="E737" s="1033">
        <f t="shared" si="139"/>
      </c>
      <c r="F737" s="1033" t="s">
        <v>937</v>
      </c>
      <c r="G737" s="1034"/>
      <c r="H737" s="1035" t="s">
        <v>493</v>
      </c>
      <c r="I737" s="603" t="s">
        <v>490</v>
      </c>
      <c r="J737" s="1036"/>
      <c r="K737" s="512"/>
      <c r="L737" s="512"/>
      <c r="M737" s="512"/>
      <c r="N737" s="512"/>
      <c r="O737" s="512"/>
      <c r="P737" s="512"/>
    </row>
    <row r="738">
      <c r="A738" s="533" t="s">
        <v>935</v>
      </c>
      <c r="B738" s="515">
        <v>46295</v>
      </c>
      <c r="C738" s="533" t="str">
        <v>Wednesday</v>
      </c>
      <c r="D738" s="506" t="s">
        <v>627</v>
      </c>
      <c r="E738" s="656">
        <f t="shared" si="139"/>
      </c>
      <c r="F738" s="538" t="s">
        <v>543</v>
      </c>
      <c r="G738" s="617"/>
      <c r="H738" s="538" t="s">
        <v>493</v>
      </c>
      <c r="I738" s="603" t="s">
        <v>490</v>
      </c>
      <c r="J738" s="536"/>
      <c r="K738" s="512"/>
      <c r="L738" s="512"/>
      <c r="M738" s="512"/>
      <c r="N738" s="512"/>
      <c r="O738" s="512"/>
      <c r="P738" s="512"/>
    </row>
    <row r="739">
      <c r="A739" s="1030" t="s">
        <v>936</v>
      </c>
      <c r="B739" s="1037">
        <v>46295</v>
      </c>
      <c r="C739" s="1030" t="str">
        <v>Wednesday</v>
      </c>
      <c r="D739" s="1032" t="s">
        <v>894</v>
      </c>
      <c r="E739" s="1033">
        <f t="shared" si="139"/>
      </c>
      <c r="F739" s="1033" t="s">
        <v>937</v>
      </c>
      <c r="G739" s="1034"/>
      <c r="H739" s="1035" t="s">
        <v>493</v>
      </c>
      <c r="I739" s="603" t="s">
        <v>490</v>
      </c>
      <c r="J739" s="1036"/>
      <c r="K739" s="512"/>
      <c r="L739" s="512"/>
      <c r="M739" s="512"/>
      <c r="N739" s="512"/>
      <c r="O739" s="512"/>
      <c r="P739" s="512"/>
    </row>
    <row r="740">
      <c r="A740" s="533" t="s">
        <v>935</v>
      </c>
      <c r="B740" s="749">
        <v>46296</v>
      </c>
      <c r="C740" s="533" t="str">
        <v>Thursday</v>
      </c>
      <c r="D740" s="506" t="s">
        <v>627</v>
      </c>
      <c r="E740" s="656">
        <f t="shared" si="139"/>
      </c>
      <c r="F740" s="538" t="s">
        <v>543</v>
      </c>
      <c r="G740" s="617" t="s">
        <v>938</v>
      </c>
      <c r="H740" s="538" t="s">
        <v>493</v>
      </c>
      <c r="I740" s="603" t="s">
        <v>468</v>
      </c>
      <c r="J740" s="536"/>
      <c r="K740" s="512"/>
      <c r="L740" s="512"/>
      <c r="M740" s="512"/>
      <c r="N740" s="512"/>
      <c r="O740" s="512"/>
      <c r="P740" s="512"/>
    </row>
    <row r="741">
      <c r="A741" s="1030" t="s">
        <v>936</v>
      </c>
      <c r="B741" s="1037">
        <v>46296</v>
      </c>
      <c r="C741" s="1030" t="str">
        <v>Thursday</v>
      </c>
      <c r="D741" s="1032" t="s">
        <v>894</v>
      </c>
      <c r="E741" s="1033">
        <f t="shared" si="139"/>
      </c>
      <c r="F741" s="1033" t="s">
        <v>937</v>
      </c>
      <c r="G741" s="1034"/>
      <c r="H741" s="1035" t="s">
        <v>493</v>
      </c>
      <c r="I741" s="603" t="s">
        <v>490</v>
      </c>
      <c r="J741" s="1036"/>
      <c r="K741" s="512"/>
      <c r="L741" s="512"/>
      <c r="M741" s="512"/>
      <c r="N741" s="512"/>
      <c r="O741" s="512"/>
      <c r="P741" s="512"/>
    </row>
    <row r="742">
      <c r="A742" s="533" t="s">
        <v>935</v>
      </c>
      <c r="B742" s="515">
        <v>46297</v>
      </c>
      <c r="C742" s="533" t="str">
        <v>Friday</v>
      </c>
      <c r="D742" s="506" t="s">
        <v>627</v>
      </c>
      <c r="E742" s="656">
        <f t="shared" si="139"/>
      </c>
      <c r="F742" s="538" t="s">
        <v>558</v>
      </c>
      <c r="G742" s="617"/>
      <c r="H742" s="656" t="s">
        <v>493</v>
      </c>
      <c r="I742" s="603" t="s">
        <v>490</v>
      </c>
      <c r="J742" s="1036"/>
      <c r="K742" s="512"/>
      <c r="L742" s="512"/>
      <c r="M742" s="512"/>
      <c r="N742" s="512"/>
      <c r="O742" s="512"/>
      <c r="P742" s="512"/>
    </row>
    <row r="743">
      <c r="A743" s="1030" t="s">
        <v>936</v>
      </c>
      <c r="B743" s="1037">
        <v>46297</v>
      </c>
      <c r="C743" s="1030" t="str">
        <v>Friday</v>
      </c>
      <c r="D743" s="1032" t="s">
        <v>894</v>
      </c>
      <c r="E743" s="1033">
        <f t="shared" si="139"/>
      </c>
      <c r="F743" s="1033" t="s">
        <v>937</v>
      </c>
      <c r="G743" s="1034"/>
      <c r="H743" s="1033" t="s">
        <v>493</v>
      </c>
      <c r="I743" s="603" t="s">
        <v>490</v>
      </c>
      <c r="J743" s="536"/>
      <c r="K743" s="512"/>
      <c r="L743" s="512"/>
      <c r="M743" s="512"/>
      <c r="N743" s="512"/>
      <c r="O743" s="512"/>
      <c r="P743" s="512"/>
    </row>
    <row r="744">
      <c r="A744" s="533" t="s">
        <v>935</v>
      </c>
      <c r="B744" s="515">
        <v>46298</v>
      </c>
      <c r="C744" s="533" t="str">
        <v>Saturday</v>
      </c>
      <c r="D744" s="506" t="s">
        <v>627</v>
      </c>
      <c r="E744" s="656">
        <f t="shared" si="139"/>
      </c>
      <c r="F744" s="538" t="s">
        <v>543</v>
      </c>
      <c r="G744" s="617"/>
      <c r="H744" s="656" t="s">
        <v>493</v>
      </c>
      <c r="I744" s="603" t="s">
        <v>468</v>
      </c>
      <c r="J744" s="1036"/>
      <c r="K744" s="512"/>
      <c r="L744" s="512"/>
      <c r="M744" s="512"/>
      <c r="N744" s="512"/>
      <c r="O744" s="512"/>
      <c r="P744" s="512"/>
    </row>
    <row customHeight="true" ht="18.452380952380953" r="745">
      <c r="A745" s="1030" t="s">
        <v>936</v>
      </c>
      <c r="B745" s="1031">
        <v>46298</v>
      </c>
      <c r="C745" s="1038" t="str">
        <v>Saturday</v>
      </c>
      <c r="D745" s="1039" t="s">
        <v>894</v>
      </c>
      <c r="E745" s="1033">
        <f t="shared" si="139"/>
      </c>
      <c r="F745" s="1033" t="s">
        <v>937</v>
      </c>
      <c r="G745" s="617"/>
      <c r="H745" s="656"/>
      <c r="I745" s="603"/>
      <c r="J745" s="1036"/>
      <c r="K745" s="512"/>
      <c r="L745" s="512"/>
      <c r="M745" s="512"/>
      <c r="N745" s="512"/>
      <c r="O745" s="512"/>
      <c r="P745" s="512"/>
    </row>
    <row r="746">
      <c r="A746" s="533" t="s">
        <v>935</v>
      </c>
      <c r="B746" s="515">
        <v>46299</v>
      </c>
      <c r="C746" s="533" t="str">
        <v>Sunday</v>
      </c>
      <c r="D746" s="506" t="s">
        <v>627</v>
      </c>
      <c r="E746" s="656">
        <f t="shared" si="139"/>
      </c>
      <c r="F746" s="538" t="s">
        <v>543</v>
      </c>
      <c r="J746" s="518"/>
      <c r="K746" s="564"/>
      <c r="L746" s="564"/>
      <c r="M746" s="564"/>
      <c r="N746" s="564"/>
      <c r="O746" s="564"/>
      <c r="P746" s="564"/>
    </row>
    <row r="747">
      <c r="A747" s="1030" t="s">
        <v>936</v>
      </c>
      <c r="B747" s="1031">
        <v>46299</v>
      </c>
      <c r="C747" s="1038" t="str">
        <v>Sunday</v>
      </c>
      <c r="D747" s="1039" t="s">
        <v>894</v>
      </c>
      <c r="E747" s="1033">
        <f t="shared" si="139"/>
      </c>
      <c r="F747" s="1033" t="s">
        <v>937</v>
      </c>
      <c r="G747" s="802"/>
      <c r="H747" s="538"/>
      <c r="I747" s="603"/>
      <c r="J747" s="511"/>
    </row>
    <row r="748">
      <c r="A748" s="1040"/>
      <c r="B748" s="749"/>
      <c r="C748" s="586"/>
      <c r="D748" s="624"/>
      <c r="E748" s="624"/>
      <c r="F748" s="656"/>
      <c r="G748" s="802"/>
      <c r="H748" s="538"/>
      <c r="I748" s="603"/>
      <c r="J748" s="511"/>
    </row>
    <row r="749">
      <c r="A749" s="1040"/>
      <c r="B749" s="749"/>
      <c r="C749" s="586"/>
      <c r="D749" s="624"/>
      <c r="E749" s="624"/>
      <c r="F749" s="656"/>
      <c r="G749" s="802"/>
      <c r="H749" s="538"/>
      <c r="I749" s="603"/>
      <c r="J749" s="511"/>
    </row>
    <row r="750">
      <c r="A750" s="1040"/>
      <c r="B750" s="749"/>
      <c r="C750" s="586"/>
      <c r="D750" s="624"/>
      <c r="E750" s="624"/>
      <c r="F750" s="656"/>
      <c r="G750" s="802"/>
      <c r="H750" s="538"/>
      <c r="I750" s="603"/>
      <c r="J750" s="511"/>
    </row>
    <row r="751">
      <c r="A751" s="1040"/>
      <c r="B751" s="749"/>
      <c r="C751" s="586"/>
      <c r="D751" s="624"/>
      <c r="E751" s="624"/>
      <c r="F751" s="656"/>
      <c r="G751" s="802"/>
      <c r="H751" s="538"/>
      <c r="I751" s="603"/>
      <c r="J751" s="511"/>
    </row>
    <row r="752">
      <c r="A752" s="1040"/>
      <c r="B752" s="749"/>
      <c r="C752" s="586"/>
      <c r="D752" s="624"/>
      <c r="E752" s="624"/>
      <c r="F752" s="656"/>
      <c r="G752" s="802"/>
      <c r="H752" s="538"/>
      <c r="I752" s="603"/>
      <c r="J752" s="511"/>
    </row>
    <row r="753">
      <c r="A753" s="1041"/>
      <c r="B753" s="1042"/>
      <c r="C753" s="1043"/>
      <c r="D753" s="1044"/>
      <c r="E753" s="1044"/>
      <c r="F753" s="1045"/>
      <c r="G753" s="802"/>
      <c r="H753" s="538"/>
      <c r="I753" s="603"/>
      <c r="J753" s="511"/>
    </row>
  </sheetData>
  <autoFilter ref="A1:R753"/>
  <mergeCells>
    <mergeCell ref="A2:J2"/>
    <mergeCell ref="A3:J3"/>
    <mergeCell ref="B23:C23"/>
    <mergeCell ref="A21:J21"/>
    <mergeCell ref="A22:I22"/>
    <mergeCell ref="B12:C12"/>
    <mergeCell ref="A8:J8"/>
    <mergeCell ref="A68:F68"/>
    <mergeCell ref="B69:C69"/>
    <mergeCell ref="B142:C142"/>
    <mergeCell ref="A119:F119"/>
    <mergeCell ref="B120:C120"/>
    <mergeCell ref="B296:C296"/>
    <mergeCell ref="B348:C348"/>
    <mergeCell ref="B324:C324"/>
    <mergeCell ref="H189:H190"/>
    <mergeCell ref="G189:G190"/>
    <mergeCell ref="E189:E190"/>
    <mergeCell ref="D189:D190"/>
    <mergeCell ref="B189:C190"/>
    <mergeCell ref="A189:A190"/>
    <mergeCell ref="C187:D188"/>
    <mergeCell ref="B187:B188"/>
    <mergeCell ref="A187:A188"/>
  </mergeCells>
  <dataValidations count="4">
    <dataValidation allowBlank="true" errorStyle="stop" showErrorMessage="true" sqref="I676:I676 J676:J676" type="list">
      <formula1>"PENDING,YES,Back up"</formula1>
    </dataValidation>
    <dataValidation allowBlank="true" errorStyle="stop" showErrorMessage="true" sqref="I130:I131 I134:I137 I140:I140 I143:I186 I191:I207 I225:I233 I300:I300 I304:I320 I325:I327 I415:I416 I551:I551 I673:I675 J673:J675" type="list">
      <formula1>"PENDING,YES"</formula1>
    </dataValidation>
    <dataValidation allowBlank="true" errorStyle="stop" showErrorMessage="true" sqref="H4:H7 H9:H11 H13:H20 H24:H66 H70:H75 H77:H81 H83:H89 H91:H99 H101:H107 H109:H117 H121:H122 H124:H125 H129:H140 H143:H186 H191:H207 H210:H233 H235:H235 H238:H248 H251:H277 H280:H294 H297:H300 H304:H322 H325:H328 H330:H346 H349:H361 H366:H386 H388:H409 H412:H419 H422:H422 H426:H446 H451:H465 H468:H483 H487:H542 H546:H548 H554:H563 H566:H580 H587:H590 H593:H606 H609:H643 H646:H671 H673:H676 H682:H692 H695:H702 H706:H731" type="list">
      <formula1>"8461 Higuera Street,3619 Eastham Drive"</formula1>
    </dataValidation>
    <dataValidation allowBlank="true" errorStyle="stop" showErrorMessage="true" sqref="I4:I7 I9:I11 I13:I20 I24:I66 I70:I75 I77:I81 I83:I89 I91:I99 I101:I107 I109:I117 I121:I122 I124:I125 I129:I129 I132:I133 I138:I139 I210:I224 I235:I235 I238:I248 I251:I277 I280:I294 I297:I299 I321:I322 I328:I328 I330:I346 I349:I361 I366:I386 I388:I409 I412:I414 I417:I419 I422:I422 I426:I446 I451:I465 I468:I483 I487:I542 I546:I549 I554:I563 I566:I580 I587:I590 I593:I606 I609:I643 I646:I671 I682:I692 I695:I702 I706:I731 I735:I745 I747:I753" type="list">
      <formula1>"YES,PENDING"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21.577464788732396"/>
    <col collapsed="false" customWidth="true" hidden="false" max="8" min="8" style="0" width="22.929577464788732"/>
    <col collapsed="false" customWidth="true" hidden="false" max="16" min="16" style="0" width="11.211267605633802"/>
    <col collapsed="false" customWidth="true" hidden="false" max="1" min="1" style="0" width="30.816901408450704"/>
    <col collapsed="false" customWidth="true" hidden="false" max="5" min="5" style="0" width="12.788732394366198"/>
    <col collapsed="false" customWidth="true" hidden="false" max="9" min="9" style="0" width="15.605633802816902"/>
    <col collapsed="false" customWidth="true" hidden="false" max="13" min="13" style="0" width="11.211267605633802"/>
    <col collapsed="false" customWidth="true" hidden="false" max="2" min="2" style="0" width="14.47887323943662"/>
    <col collapsed="false" customWidth="true" hidden="false" max="6" min="6" style="0" width="29.464788732394368"/>
    <col collapsed="false" customWidth="true" hidden="false" max="10" min="10" style="0" width="47.859154929577464"/>
    <col collapsed="false" customWidth="true" hidden="false" max="11" min="11" style="0" width="11.211267605633802"/>
    <col collapsed="false" customWidth="true" hidden="false" max="14" min="14" style="0" width="11.211267605633802"/>
    <col collapsed="false" customWidth="true" hidden="false" max="3" min="3" style="0" width="14.47887323943662"/>
    <col collapsed="false" customWidth="true" hidden="false" max="7" min="7" style="0" width="29.191146881287736"/>
    <col collapsed="false" customWidth="true" hidden="false" max="12" min="12" style="0" width="11.211267605633802"/>
    <col collapsed="false" customWidth="true" hidden="false" max="15" min="15" style="0" width="11.211267605633802"/>
  </cols>
  <sheetData>
    <row r="1">
      <c r="A1" s="1046"/>
      <c r="B1" s="1047"/>
      <c r="C1" s="1047"/>
      <c r="D1" s="1048"/>
      <c r="E1" s="1047"/>
      <c r="F1" s="1049"/>
      <c r="G1" s="1047"/>
      <c r="H1" s="1048"/>
      <c r="I1" s="1047"/>
      <c r="J1" s="1050"/>
      <c r="K1" s="1051"/>
      <c r="L1" s="1051"/>
      <c r="M1" s="1051"/>
      <c r="N1" s="1051"/>
      <c r="O1" s="1051"/>
      <c r="P1" s="1051"/>
    </row>
    <row customHeight="true" ht="21.146616128578824" r="2">
      <c r="A2" s="1052"/>
      <c r="B2" s="1053"/>
      <c r="C2" s="1053"/>
      <c r="D2" s="1053"/>
      <c r="E2" s="1053"/>
      <c r="F2" s="1053"/>
      <c r="G2" s="1053"/>
      <c r="H2" s="1053"/>
      <c r="I2" s="1053"/>
      <c r="J2" s="1053"/>
      <c r="K2" s="1054"/>
      <c r="L2" s="1054"/>
      <c r="M2" s="1054"/>
      <c r="N2" s="1054"/>
      <c r="O2" s="1054"/>
      <c r="P2" s="1054"/>
    </row>
    <row customHeight="true" ht="42.073934453802075" r="3">
      <c r="A3" s="1055" t="s">
        <v>939</v>
      </c>
      <c r="B3" s="1056"/>
      <c r="C3" s="1056"/>
      <c r="D3" s="1056"/>
      <c r="E3" s="1056"/>
      <c r="F3" s="1056"/>
      <c r="G3" s="1056"/>
      <c r="H3" s="1056"/>
      <c r="I3" s="1056"/>
      <c r="J3" s="1056"/>
      <c r="K3" s="1057"/>
      <c r="L3" s="1057"/>
      <c r="M3" s="1057"/>
      <c r="N3" s="1057"/>
      <c r="O3" s="1057"/>
      <c r="P3" s="1057"/>
    </row>
    <row r="4">
      <c r="A4" s="1058" t="s">
        <v>940</v>
      </c>
      <c r="B4" s="1059">
        <v>46286</v>
      </c>
      <c r="C4" s="1060" t="s">
        <v>941</v>
      </c>
      <c r="D4" s="1061" t="s">
        <v>942</v>
      </c>
      <c r="E4" s="1062">
        <v>2.5</v>
      </c>
      <c r="F4" s="1063" t="s">
        <v>943</v>
      </c>
      <c r="G4" s="1064" t="s">
        <v>944</v>
      </c>
      <c r="H4" s="1065" t="s">
        <v>945</v>
      </c>
      <c r="I4" s="1065" t="s">
        <v>946</v>
      </c>
      <c r="J4" s="1066"/>
      <c r="K4" s="1067"/>
      <c r="L4" s="1067"/>
      <c r="M4" s="1067"/>
      <c r="N4" s="1067"/>
      <c r="O4" s="1067"/>
      <c r="P4" s="1067"/>
    </row>
    <row customHeight="true" ht="18.452380952380953" r="5">
      <c r="A5" s="1068" t="s">
        <v>940</v>
      </c>
      <c r="B5" s="1069">
        <v>46293</v>
      </c>
      <c r="C5" s="1070" t="s">
        <v>947</v>
      </c>
      <c r="D5" s="1061" t="s">
        <v>948</v>
      </c>
      <c r="E5" s="1062">
        <v>2</v>
      </c>
      <c r="F5" s="1063" t="s">
        <v>949</v>
      </c>
      <c r="G5" s="1064" t="s">
        <v>944</v>
      </c>
      <c r="H5" s="1065" t="s">
        <v>945</v>
      </c>
      <c r="I5" s="1065" t="s">
        <v>946</v>
      </c>
      <c r="J5" s="1066"/>
      <c r="K5" s="1067"/>
      <c r="L5" s="1067"/>
      <c r="M5" s="1067"/>
      <c r="N5" s="1067"/>
      <c r="O5" s="1067"/>
      <c r="P5" s="1067"/>
    </row>
    <row customHeight="true" ht="18.452380952380953" r="6">
      <c r="A6" s="1058" t="s">
        <v>940</v>
      </c>
      <c r="B6" s="1071">
        <v>46293</v>
      </c>
      <c r="C6" s="1070" t="s">
        <v>947</v>
      </c>
      <c r="D6" s="1061" t="s">
        <v>942</v>
      </c>
      <c r="E6" s="1062">
        <v>2.5</v>
      </c>
      <c r="F6" s="1063" t="s">
        <v>950</v>
      </c>
      <c r="G6" s="1064" t="s">
        <v>944</v>
      </c>
      <c r="H6" s="1065" t="s">
        <v>945</v>
      </c>
      <c r="I6" s="1065" t="s">
        <v>946</v>
      </c>
      <c r="J6" s="1066"/>
      <c r="K6" s="1067"/>
      <c r="L6" s="1067"/>
      <c r="M6" s="1067"/>
      <c r="N6" s="1067"/>
      <c r="O6" s="1067"/>
      <c r="P6" s="1067"/>
    </row>
    <row customHeight="true" ht="18.452380952380953" r="7">
      <c r="A7" s="1058" t="s">
        <v>940</v>
      </c>
      <c r="B7" s="1071">
        <v>46293</v>
      </c>
      <c r="C7" s="1070" t="s">
        <v>947</v>
      </c>
      <c r="D7" s="1061" t="s">
        <v>942</v>
      </c>
      <c r="E7" s="1062">
        <v>2.5</v>
      </c>
      <c r="F7" s="1063" t="s">
        <v>951</v>
      </c>
      <c r="G7" s="1064" t="s">
        <v>944</v>
      </c>
      <c r="H7" s="1065" t="s">
        <v>945</v>
      </c>
      <c r="I7" s="1065" t="s">
        <v>946</v>
      </c>
      <c r="J7" s="1066"/>
      <c r="K7" s="1067"/>
      <c r="L7" s="1067"/>
      <c r="M7" s="1067"/>
      <c r="N7" s="1067"/>
      <c r="O7" s="1067"/>
      <c r="P7" s="1067"/>
    </row>
    <row customHeight="true" ht="19.235588972431085" r="8">
      <c r="A8" s="1058" t="s">
        <v>940</v>
      </c>
      <c r="B8" s="1059"/>
      <c r="C8" s="1060"/>
      <c r="D8" s="1061" t="s">
        <v>942</v>
      </c>
      <c r="E8" s="1062">
        <v>2.5</v>
      </c>
      <c r="F8" s="1063"/>
      <c r="G8" s="1064" t="s">
        <v>944</v>
      </c>
      <c r="H8" s="1065" t="s">
        <v>945</v>
      </c>
      <c r="I8" s="1065"/>
      <c r="J8" s="1066"/>
      <c r="K8" s="1067"/>
      <c r="L8" s="1067"/>
      <c r="M8" s="1067"/>
      <c r="N8" s="1067"/>
      <c r="O8" s="1067"/>
      <c r="P8" s="1067"/>
    </row>
    <row customHeight="true" ht="18.452380952380953" r="9">
      <c r="A9" s="1056" t="s">
        <v>952</v>
      </c>
      <c r="B9" s="1056"/>
      <c r="C9" s="1056"/>
      <c r="D9" s="1056"/>
      <c r="E9" s="1056"/>
      <c r="F9" s="1056"/>
      <c r="G9" s="1056"/>
      <c r="H9" s="1056"/>
      <c r="I9" s="1056"/>
      <c r="J9" s="1072"/>
      <c r="K9" s="1057"/>
      <c r="L9" s="1057"/>
      <c r="M9" s="1057"/>
      <c r="N9" s="1057"/>
      <c r="O9" s="1057"/>
      <c r="P9" s="1057"/>
      <c r="Q9" s="1073"/>
      <c r="R9" s="1073"/>
    </row>
    <row customHeight="true" ht="18.452380952380953" r="10">
      <c r="A10" s="1068" t="s">
        <v>952</v>
      </c>
      <c r="B10" s="1071">
        <v>46274</v>
      </c>
      <c r="C10" s="1059" t="s">
        <v>953</v>
      </c>
      <c r="D10" s="1074" t="s">
        <v>954</v>
      </c>
      <c r="E10" s="1075">
        <v>5</v>
      </c>
      <c r="F10" s="1076"/>
      <c r="G10" s="1077" t="s">
        <v>944</v>
      </c>
      <c r="H10" s="1065" t="s">
        <v>945</v>
      </c>
      <c r="I10" s="1078" t="s">
        <v>946</v>
      </c>
      <c r="J10" s="1079"/>
      <c r="K10" s="1067"/>
      <c r="L10" s="1067"/>
      <c r="M10" s="1067"/>
      <c r="N10" s="1067"/>
      <c r="O10" s="1067"/>
      <c r="P10" s="1067"/>
      <c r="Q10" s="1073"/>
      <c r="R10" s="1073"/>
    </row>
    <row customHeight="true" ht="18.452380952380953" r="11">
      <c r="A11" s="1068" t="s">
        <v>952</v>
      </c>
      <c r="B11" s="1059">
        <v>46275</v>
      </c>
      <c r="C11" s="1080" t="s">
        <v>955</v>
      </c>
      <c r="D11" s="1081" t="s">
        <v>956</v>
      </c>
      <c r="E11" s="1074">
        <v>8</v>
      </c>
      <c r="F11" s="1076"/>
      <c r="G11" s="1077" t="s">
        <v>944</v>
      </c>
      <c r="H11" s="1065" t="s">
        <v>945</v>
      </c>
      <c r="I11" s="1078" t="s">
        <v>946</v>
      </c>
      <c r="J11" s="1079"/>
      <c r="K11" s="1067"/>
      <c r="L11" s="1067"/>
      <c r="M11" s="1067"/>
      <c r="N11" s="1067"/>
      <c r="O11" s="1067"/>
      <c r="P11" s="1067"/>
      <c r="Q11" s="1073"/>
      <c r="R11" s="1073"/>
    </row>
    <row r="12">
      <c r="A12" s="1068" t="s">
        <v>952</v>
      </c>
      <c r="B12" s="1059">
        <v>46276</v>
      </c>
      <c r="C12" s="1059" t="s">
        <v>957</v>
      </c>
      <c r="D12" s="1074" t="s">
        <v>956</v>
      </c>
      <c r="E12" s="1074">
        <v>8</v>
      </c>
      <c r="F12" s="1076"/>
      <c r="G12" s="1077" t="s">
        <v>944</v>
      </c>
      <c r="H12" s="1065" t="s">
        <v>945</v>
      </c>
      <c r="I12" s="1078" t="s">
        <v>946</v>
      </c>
      <c r="J12" s="1079"/>
      <c r="K12" s="1067"/>
      <c r="L12" s="1067"/>
      <c r="M12" s="1067"/>
      <c r="N12" s="1067"/>
      <c r="O12" s="1067"/>
      <c r="P12" s="1067"/>
      <c r="Q12" s="1073"/>
      <c r="R12" s="1073"/>
    </row>
    <row customHeight="true" ht="39.88095238095238" r="13">
      <c r="A13" s="1082" t="s">
        <v>958</v>
      </c>
      <c r="B13" s="1083" t="s">
        <v>959</v>
      </c>
      <c r="C13" s="1083"/>
      <c r="D13" s="1084" t="s">
        <v>960</v>
      </c>
      <c r="E13" s="1085" t="s">
        <v>961</v>
      </c>
      <c r="F13" s="1084" t="s">
        <v>962</v>
      </c>
      <c r="G13" s="1086" t="s">
        <v>963</v>
      </c>
      <c r="H13" s="1084" t="s">
        <v>964</v>
      </c>
      <c r="I13" s="1084" t="s">
        <v>965</v>
      </c>
      <c r="J13" s="1085" t="s">
        <v>966</v>
      </c>
      <c r="K13" s="1087"/>
      <c r="L13" s="1087"/>
      <c r="M13" s="1087"/>
      <c r="N13" s="1087"/>
      <c r="O13" s="1087"/>
      <c r="P13" s="1087"/>
      <c r="Q13" s="1073"/>
      <c r="R13" s="1073"/>
    </row>
    <row r="14">
      <c r="A14" s="1088" t="s">
        <v>967</v>
      </c>
      <c r="B14" s="1088"/>
      <c r="C14" s="1088"/>
      <c r="D14" s="1065"/>
      <c r="E14" s="1066"/>
      <c r="F14" s="1089"/>
      <c r="G14" s="1090" t="s">
        <v>968</v>
      </c>
      <c r="H14" s="1065"/>
      <c r="I14" s="1065" t="s">
        <v>946</v>
      </c>
      <c r="J14" s="1091"/>
      <c r="K14" s="1067"/>
      <c r="L14" s="1067"/>
      <c r="M14" s="1067"/>
      <c r="N14" s="1067"/>
      <c r="O14" s="1067"/>
      <c r="P14" s="1067"/>
      <c r="Q14" s="1073"/>
      <c r="R14" s="1073"/>
    </row>
    <row r="15">
      <c r="A15" s="1088" t="s">
        <v>967</v>
      </c>
      <c r="B15" s="1088"/>
      <c r="C15" s="1088"/>
      <c r="D15" s="1092"/>
      <c r="E15" s="1066"/>
      <c r="F15" s="1089"/>
      <c r="G15" s="1090"/>
      <c r="H15" s="1065"/>
      <c r="I15" s="1093" t="s">
        <v>946</v>
      </c>
      <c r="J15" s="1091"/>
      <c r="K15" s="1067"/>
      <c r="L15" s="1067"/>
      <c r="M15" s="1067"/>
      <c r="N15" s="1067"/>
      <c r="O15" s="1067"/>
      <c r="P15" s="1067"/>
    </row>
    <row r="16">
      <c r="A16" s="1088" t="s">
        <v>969</v>
      </c>
      <c r="B16" s="1088"/>
      <c r="C16" s="1088"/>
      <c r="D16" s="1065"/>
      <c r="E16" s="1066"/>
      <c r="F16" s="1089"/>
      <c r="G16" s="1090"/>
      <c r="H16" s="1065"/>
      <c r="I16" s="1065" t="s">
        <v>970</v>
      </c>
      <c r="J16" s="1091"/>
      <c r="K16" s="1067"/>
      <c r="L16" s="1067"/>
      <c r="M16" s="1067"/>
      <c r="N16" s="1067"/>
      <c r="O16" s="1067"/>
      <c r="P16" s="1067"/>
    </row>
    <row r="17">
      <c r="A17" s="1088" t="s">
        <v>969</v>
      </c>
      <c r="B17" s="1088"/>
      <c r="C17" s="1088"/>
      <c r="D17" s="1065"/>
      <c r="E17" s="1066"/>
      <c r="F17" s="1089"/>
      <c r="G17" s="1090"/>
      <c r="H17" s="1065"/>
      <c r="I17" s="1065" t="s">
        <v>970</v>
      </c>
      <c r="J17" s="1091"/>
      <c r="K17" s="1067"/>
      <c r="L17" s="1067"/>
      <c r="M17" s="1067"/>
      <c r="N17" s="1067"/>
      <c r="O17" s="1067"/>
      <c r="P17" s="1067"/>
    </row>
    <row customHeight="true" ht="18.452380952380953" r="18">
      <c r="A18" s="1094" t="s">
        <v>971</v>
      </c>
      <c r="B18" s="1070"/>
      <c r="C18" s="1088"/>
      <c r="D18" s="1095"/>
      <c r="E18" s="1093"/>
      <c r="F18" s="1096"/>
      <c r="G18" s="1097"/>
      <c r="H18" s="1093" t="s">
        <v>972</v>
      </c>
      <c r="I18" s="1093" t="s">
        <v>946</v>
      </c>
      <c r="J18" s="1066"/>
      <c r="K18" s="1098"/>
      <c r="L18" s="1098"/>
      <c r="M18" s="1098"/>
      <c r="N18" s="1098"/>
      <c r="O18" s="1098"/>
      <c r="P18" s="1098"/>
      <c r="Q18" s="1098"/>
      <c r="R18" s="1098"/>
    </row>
    <row customHeight="true" ht="18.452380952380953" r="19">
      <c r="A19" s="1094" t="s">
        <v>971</v>
      </c>
      <c r="B19" s="1088"/>
      <c r="C19" s="1088"/>
      <c r="D19" s="1065"/>
      <c r="E19" s="1093"/>
      <c r="F19" s="1096"/>
      <c r="G19" s="1097"/>
      <c r="H19" s="1093" t="s">
        <v>972</v>
      </c>
      <c r="I19" s="1093" t="s">
        <v>946</v>
      </c>
      <c r="J19" s="1066"/>
      <c r="K19" s="1098"/>
      <c r="L19" s="1098"/>
      <c r="M19" s="1098"/>
      <c r="N19" s="1098"/>
      <c r="O19" s="1098"/>
      <c r="P19" s="1098"/>
      <c r="Q19" s="1098"/>
      <c r="R19" s="1098"/>
    </row>
    <row customHeight="true" ht="18.452380952380953" r="20">
      <c r="A20" s="1088"/>
      <c r="B20" s="1070"/>
      <c r="C20" s="1088"/>
      <c r="D20" s="1065"/>
      <c r="E20" s="1066"/>
      <c r="F20" s="1096"/>
      <c r="G20" s="1090"/>
      <c r="H20" s="1065"/>
      <c r="I20" s="1065"/>
      <c r="J20" s="1091"/>
      <c r="K20" s="1067"/>
      <c r="L20" s="1067"/>
      <c r="M20" s="1067"/>
      <c r="N20" s="1067"/>
      <c r="O20" s="1067"/>
      <c r="P20" s="1067"/>
    </row>
    <row customHeight="true" ht="18.452380952380953" r="21">
      <c r="A21" s="1088"/>
      <c r="B21" s="1070"/>
      <c r="C21" s="1088"/>
      <c r="D21" s="1065"/>
      <c r="E21" s="1066"/>
      <c r="F21" s="1096"/>
      <c r="G21" s="1090"/>
      <c r="H21" s="1065"/>
      <c r="I21" s="1065"/>
      <c r="J21" s="1091"/>
      <c r="K21" s="1067"/>
      <c r="L21" s="1067"/>
      <c r="M21" s="1067"/>
      <c r="N21" s="1067"/>
      <c r="O21" s="1067"/>
      <c r="P21" s="1067"/>
    </row>
    <row r="22">
      <c r="A22" s="1053"/>
      <c r="B22" s="1053"/>
      <c r="C22" s="1053"/>
      <c r="D22" s="1053"/>
      <c r="E22" s="1053"/>
      <c r="F22" s="1053"/>
      <c r="G22" s="1053"/>
      <c r="H22" s="1053"/>
      <c r="I22" s="1053"/>
      <c r="J22" s="1053"/>
      <c r="K22" s="1054"/>
      <c r="L22" s="1054"/>
      <c r="M22" s="1054"/>
      <c r="N22" s="1054"/>
      <c r="O22" s="1054"/>
      <c r="P22" s="1054"/>
    </row>
    <row r="23">
      <c r="A23" s="1099" t="s">
        <v>973</v>
      </c>
      <c r="B23" s="1099"/>
      <c r="C23" s="1099"/>
      <c r="D23" s="1099"/>
      <c r="E23" s="1099"/>
      <c r="F23" s="1099"/>
      <c r="G23" s="1099"/>
      <c r="H23" s="1099"/>
      <c r="I23" s="1099"/>
      <c r="J23" s="1100"/>
      <c r="K23" s="1101"/>
      <c r="L23" s="1101"/>
      <c r="M23" s="1101"/>
      <c r="N23" s="1101"/>
      <c r="O23" s="1101"/>
      <c r="P23" s="1101"/>
    </row>
    <row r="24">
      <c r="A24" s="1102" t="s">
        <v>958</v>
      </c>
      <c r="B24" s="1103" t="s">
        <v>959</v>
      </c>
      <c r="C24" s="1103"/>
      <c r="D24" s="1104" t="s">
        <v>960</v>
      </c>
      <c r="E24" s="1104" t="s">
        <v>961</v>
      </c>
      <c r="F24" s="1104" t="s">
        <v>962</v>
      </c>
      <c r="G24" s="1105" t="s">
        <v>974</v>
      </c>
      <c r="H24" s="1104" t="s">
        <v>964</v>
      </c>
      <c r="I24" s="1104" t="s">
        <v>965</v>
      </c>
      <c r="J24" s="1106" t="s">
        <v>966</v>
      </c>
      <c r="K24" s="1087"/>
      <c r="L24" s="1087"/>
      <c r="M24" s="1087"/>
      <c r="N24" s="1087"/>
      <c r="O24" s="1087"/>
      <c r="P24" s="1087"/>
    </row>
    <row customHeight="true" ht="18.452380952380953" r="25">
      <c r="A25" s="1088" t="s">
        <v>975</v>
      </c>
      <c r="B25" s="1070">
        <v>46286</v>
      </c>
      <c r="C25" s="1088" t="str">
        <v>Monday</v>
      </c>
      <c r="D25" s="1061" t="s">
        <v>976</v>
      </c>
      <c r="E25" s="1093">
        <f t="shared" ref="E25:E37" si="71">24*MOD(TIMEVALUE(TRIM(MID(D25,FIND("-",D25)+1,LEN(D25)))) - TIMEVALUE(TRIM(LEFT(D25,FIND("-",D25)-1))),1)</f>
      </c>
      <c r="F25" s="1093" t="s">
        <v>977</v>
      </c>
      <c r="G25" s="1107" t="s">
        <v>978</v>
      </c>
      <c r="H25" s="1108"/>
      <c r="I25" s="1093"/>
      <c r="J25" s="1091"/>
      <c r="K25" s="1067"/>
      <c r="L25" s="1067"/>
      <c r="M25" s="1067"/>
      <c r="N25" s="1067"/>
      <c r="O25" s="1067"/>
      <c r="P25" s="1067"/>
    </row>
    <row customHeight="true" ht="18.452380952380953" r="26">
      <c r="A26" s="1088" t="s">
        <v>975</v>
      </c>
      <c r="B26" s="1070">
        <v>46286</v>
      </c>
      <c r="C26" s="1088" t="str">
        <v>Monday</v>
      </c>
      <c r="D26" s="1061" t="s">
        <v>979</v>
      </c>
      <c r="E26" s="1093">
        <f t="shared" si="71"/>
      </c>
      <c r="F26" s="1065" t="s">
        <v>980</v>
      </c>
      <c r="G26" s="1107" t="s">
        <v>981</v>
      </c>
      <c r="H26" s="1108"/>
      <c r="I26" s="1093"/>
      <c r="J26" s="1091"/>
      <c r="K26" s="1067"/>
      <c r="L26" s="1067"/>
      <c r="M26" s="1067"/>
      <c r="N26" s="1067"/>
      <c r="O26" s="1067"/>
      <c r="P26" s="1067"/>
    </row>
    <row customHeight="true" ht="18.452380952380953" r="27">
      <c r="A27" s="1088" t="s">
        <v>975</v>
      </c>
      <c r="B27" s="1070">
        <v>46286</v>
      </c>
      <c r="C27" s="1088" t="str">
        <v>Monday</v>
      </c>
      <c r="D27" s="1061" t="s">
        <v>982</v>
      </c>
      <c r="E27" s="1093">
        <f t="shared" si="71"/>
      </c>
      <c r="F27" s="1093" t="s">
        <v>977</v>
      </c>
      <c r="G27" s="1107" t="s">
        <v>983</v>
      </c>
      <c r="H27" s="1108"/>
      <c r="I27" s="1093"/>
      <c r="J27" s="1091"/>
      <c r="K27" s="1067"/>
      <c r="L27" s="1067"/>
      <c r="M27" s="1067"/>
      <c r="N27" s="1067"/>
      <c r="O27" s="1067"/>
      <c r="P27" s="1067"/>
    </row>
    <row customHeight="true" ht="18.452380952380953" r="28">
      <c r="A28" s="1088" t="s">
        <v>975</v>
      </c>
      <c r="B28" s="1070">
        <v>46287</v>
      </c>
      <c r="C28" s="1088" t="str">
        <v>Tuesday</v>
      </c>
      <c r="D28" s="1061" t="s">
        <v>976</v>
      </c>
      <c r="E28" s="1093">
        <f t="shared" si="71"/>
      </c>
      <c r="F28" s="1093" t="s">
        <v>977</v>
      </c>
      <c r="G28" s="1107" t="s">
        <v>978</v>
      </c>
      <c r="H28" s="1108"/>
      <c r="I28" s="1093"/>
      <c r="J28" s="1091"/>
      <c r="K28" s="1067"/>
      <c r="L28" s="1067"/>
      <c r="M28" s="1067"/>
      <c r="N28" s="1067"/>
      <c r="O28" s="1067"/>
      <c r="P28" s="1067"/>
    </row>
    <row customHeight="true" ht="18.452380952380953" r="29">
      <c r="A29" s="1088" t="s">
        <v>975</v>
      </c>
      <c r="B29" s="1070">
        <v>46287</v>
      </c>
      <c r="C29" s="1088" t="str">
        <v>Tuesday</v>
      </c>
      <c r="D29" s="1061" t="s">
        <v>979</v>
      </c>
      <c r="E29" s="1093">
        <f t="shared" si="71"/>
      </c>
      <c r="F29" s="1065" t="s">
        <v>980</v>
      </c>
      <c r="G29" s="1107" t="s">
        <v>978</v>
      </c>
      <c r="H29" s="1108"/>
      <c r="I29" s="1093"/>
      <c r="J29" s="1091"/>
      <c r="K29" s="1067"/>
      <c r="L29" s="1067"/>
      <c r="M29" s="1067"/>
      <c r="N29" s="1067"/>
      <c r="O29" s="1067"/>
      <c r="P29" s="1067"/>
    </row>
    <row customHeight="true" ht="18.452380952380953" r="30">
      <c r="A30" s="1088" t="s">
        <v>975</v>
      </c>
      <c r="B30" s="1070">
        <v>46287</v>
      </c>
      <c r="C30" s="1088" t="str">
        <v>Tuesday</v>
      </c>
      <c r="D30" s="1061" t="s">
        <v>982</v>
      </c>
      <c r="E30" s="1093">
        <f t="shared" si="71"/>
      </c>
      <c r="F30" s="1065" t="s">
        <v>977</v>
      </c>
      <c r="G30" s="1107" t="s">
        <v>984</v>
      </c>
      <c r="H30" s="1108"/>
      <c r="I30" s="1093"/>
      <c r="J30" s="1091"/>
      <c r="K30" s="1067"/>
      <c r="L30" s="1067"/>
      <c r="M30" s="1067"/>
      <c r="N30" s="1067"/>
      <c r="O30" s="1067"/>
      <c r="P30" s="1067"/>
    </row>
    <row customHeight="true" ht="18.452380952380953" r="31">
      <c r="A31" s="1088" t="s">
        <v>975</v>
      </c>
      <c r="B31" s="1070">
        <v>46288</v>
      </c>
      <c r="C31" s="1088" t="str">
        <v>Wednesday</v>
      </c>
      <c r="D31" s="1061" t="s">
        <v>985</v>
      </c>
      <c r="E31" s="1093">
        <f t="shared" si="71"/>
      </c>
      <c r="F31" s="1093" t="s">
        <v>977</v>
      </c>
      <c r="G31" s="1107" t="s">
        <v>978</v>
      </c>
      <c r="H31" s="1108"/>
      <c r="I31" s="1093"/>
      <c r="J31" s="1091"/>
      <c r="K31" s="1067"/>
      <c r="L31" s="1067"/>
      <c r="M31" s="1067"/>
      <c r="N31" s="1067"/>
      <c r="O31" s="1067"/>
      <c r="P31" s="1067"/>
    </row>
    <row customHeight="true" ht="18.452380952380953" r="32">
      <c r="A32" s="1088" t="s">
        <v>975</v>
      </c>
      <c r="B32" s="1070">
        <v>46288</v>
      </c>
      <c r="C32" s="1088" t="str">
        <v>Wednesday</v>
      </c>
      <c r="D32" s="1061" t="s">
        <v>979</v>
      </c>
      <c r="E32" s="1093">
        <f t="shared" si="71"/>
      </c>
      <c r="F32" s="1065" t="s">
        <v>980</v>
      </c>
      <c r="G32" s="1107" t="s">
        <v>986</v>
      </c>
      <c r="H32" s="1108"/>
      <c r="I32" s="1093"/>
      <c r="J32" s="1091"/>
      <c r="K32" s="1067"/>
      <c r="L32" s="1067"/>
      <c r="M32" s="1067"/>
      <c r="N32" s="1067"/>
      <c r="O32" s="1067"/>
      <c r="P32" s="1067"/>
    </row>
    <row customHeight="true" ht="18.452380952380953" r="33">
      <c r="A33" s="1088" t="s">
        <v>975</v>
      </c>
      <c r="B33" s="1070">
        <v>46288</v>
      </c>
      <c r="C33" s="1088" t="str">
        <v>Wednesday</v>
      </c>
      <c r="D33" s="1061" t="s">
        <v>982</v>
      </c>
      <c r="E33" s="1093">
        <f t="shared" si="71"/>
      </c>
      <c r="F33" s="1093" t="s">
        <v>977</v>
      </c>
      <c r="G33" s="1107" t="s">
        <v>978</v>
      </c>
      <c r="H33" s="1108"/>
      <c r="I33" s="1093"/>
      <c r="J33" s="1091"/>
      <c r="K33" s="1067"/>
      <c r="L33" s="1067"/>
      <c r="M33" s="1067"/>
      <c r="N33" s="1067"/>
      <c r="O33" s="1067"/>
      <c r="P33" s="1067"/>
    </row>
    <row customHeight="true" ht="18.452380952380953" r="34">
      <c r="A34" s="1088" t="s">
        <v>975</v>
      </c>
      <c r="B34" s="1070">
        <v>46289</v>
      </c>
      <c r="C34" s="1088" t="str">
        <v>Thursday</v>
      </c>
      <c r="D34" s="1061" t="s">
        <v>985</v>
      </c>
      <c r="E34" s="1093">
        <f t="shared" si="71"/>
      </c>
      <c r="F34" s="1093" t="s">
        <v>977</v>
      </c>
      <c r="G34" s="1107" t="s">
        <v>978</v>
      </c>
      <c r="H34" s="1109"/>
      <c r="I34" s="1093"/>
      <c r="J34" s="1091"/>
      <c r="K34" s="1067"/>
      <c r="L34" s="1067"/>
      <c r="M34" s="1067"/>
      <c r="N34" s="1067"/>
      <c r="O34" s="1067"/>
      <c r="P34" s="1067"/>
    </row>
    <row customHeight="true" ht="18.452380952380953" r="35">
      <c r="A35" s="1088" t="s">
        <v>975</v>
      </c>
      <c r="B35" s="1070">
        <v>46290</v>
      </c>
      <c r="C35" s="1088" t="str">
        <v>Friday</v>
      </c>
      <c r="D35" s="1061" t="s">
        <v>987</v>
      </c>
      <c r="E35" s="1093">
        <f t="shared" si="71"/>
      </c>
      <c r="F35" s="1093" t="s">
        <v>980</v>
      </c>
      <c r="G35" s="1107" t="s">
        <v>978</v>
      </c>
      <c r="H35" s="1108"/>
      <c r="I35" s="1093"/>
      <c r="J35" s="1091"/>
      <c r="K35" s="1067"/>
      <c r="L35" s="1067"/>
      <c r="M35" s="1067"/>
      <c r="N35" s="1067"/>
      <c r="O35" s="1067"/>
      <c r="P35" s="1067"/>
    </row>
    <row customHeight="true" ht="18.452380952380953" r="36">
      <c r="A36" s="1110" t="s">
        <v>975</v>
      </c>
      <c r="B36" s="1111">
        <v>46290</v>
      </c>
      <c r="C36" s="1110" t="str">
        <v>Friday</v>
      </c>
      <c r="D36" s="1112" t="s">
        <v>988</v>
      </c>
      <c r="E36" s="1113">
        <f t="shared" si="71"/>
      </c>
      <c r="F36" s="1113" t="s">
        <v>989</v>
      </c>
      <c r="G36" s="1114" t="s">
        <v>978</v>
      </c>
      <c r="H36" s="1115"/>
      <c r="I36" s="1113"/>
      <c r="J36" s="1116" t="s">
        <v>990</v>
      </c>
      <c r="K36" s="1067"/>
      <c r="L36" s="1067"/>
      <c r="M36" s="1067"/>
      <c r="N36" s="1067"/>
      <c r="O36" s="1067"/>
      <c r="P36" s="1067"/>
    </row>
    <row customHeight="true" ht="18.452380952380953" r="37">
      <c r="A37" s="1088" t="s">
        <v>975</v>
      </c>
      <c r="B37" s="1070">
        <v>46290</v>
      </c>
      <c r="C37" s="1088" t="str">
        <v>Friday</v>
      </c>
      <c r="D37" s="1061" t="s">
        <v>991</v>
      </c>
      <c r="E37" s="1093">
        <f t="shared" si="71"/>
      </c>
      <c r="F37" s="1065" t="s">
        <v>989</v>
      </c>
      <c r="G37" s="1107" t="s">
        <v>978</v>
      </c>
      <c r="H37" s="1108"/>
      <c r="I37" s="1093"/>
      <c r="J37" s="1091"/>
      <c r="K37" s="1067"/>
      <c r="L37" s="1067"/>
      <c r="M37" s="1067"/>
      <c r="N37" s="1067"/>
      <c r="O37" s="1067"/>
      <c r="P37" s="1067"/>
    </row>
    <row customHeight="true" ht="18.452380952380953" r="38">
      <c r="A38" s="1088"/>
      <c r="B38" s="1070"/>
      <c r="C38" s="1088"/>
      <c r="D38" s="1061"/>
      <c r="E38" s="1093"/>
      <c r="F38" s="1093"/>
      <c r="G38" s="1107"/>
      <c r="H38" s="1108"/>
      <c r="I38" s="1093"/>
      <c r="J38" s="1091"/>
      <c r="K38" s="1067"/>
      <c r="L38" s="1067"/>
      <c r="M38" s="1067"/>
      <c r="N38" s="1067"/>
      <c r="O38" s="1067"/>
      <c r="P38" s="1067"/>
    </row>
    <row customHeight="true" ht="18.452380952380953" r="39">
      <c r="A39" s="1088"/>
      <c r="B39" s="1070"/>
      <c r="C39" s="1088"/>
      <c r="D39" s="1061"/>
      <c r="E39" s="1093"/>
      <c r="F39" s="1093"/>
      <c r="G39" s="1107"/>
      <c r="H39" s="1108"/>
      <c r="I39" s="1093"/>
      <c r="J39" s="1091"/>
      <c r="K39" s="1067"/>
      <c r="L39" s="1067"/>
      <c r="M39" s="1067"/>
      <c r="N39" s="1067"/>
      <c r="O39" s="1067"/>
      <c r="P39" s="1067"/>
    </row>
    <row customHeight="true" ht="18.452380952380953" r="40">
      <c r="A40" s="1088"/>
      <c r="B40" s="1070"/>
      <c r="C40" s="1088"/>
      <c r="D40" s="1061"/>
      <c r="E40" s="1093"/>
      <c r="F40" s="1093"/>
      <c r="G40" s="1107"/>
      <c r="H40" s="1108"/>
      <c r="I40" s="1093"/>
      <c r="J40" s="1091"/>
      <c r="K40" s="1067"/>
      <c r="L40" s="1067"/>
      <c r="M40" s="1067"/>
      <c r="N40" s="1067"/>
      <c r="O40" s="1067"/>
      <c r="P40" s="1067"/>
    </row>
    <row customHeight="true" ht="18.452380952380953" r="41">
      <c r="A41" s="1117" t="s">
        <v>992</v>
      </c>
      <c r="B41" s="1118">
        <v>46286</v>
      </c>
      <c r="C41" s="1117" t="str">
        <v>Monday</v>
      </c>
      <c r="D41" s="1119" t="s">
        <v>993</v>
      </c>
      <c r="E41" s="1120">
        <f t="shared" ref="E41:E51" si="72">24*MOD(TIMEVALUE(TRIM(MID(D41,FIND("-",D41)+1,LEN(D41)))) - TIMEVALUE(TRIM(LEFT(D41,FIND("-",D41)-1))),1)</f>
      </c>
      <c r="F41" s="1120" t="s">
        <v>994</v>
      </c>
      <c r="G41" s="1121"/>
      <c r="H41" s="1122"/>
      <c r="I41" s="1120"/>
      <c r="J41" s="1123"/>
      <c r="K41" s="1067"/>
      <c r="L41" s="1067"/>
      <c r="M41" s="1067"/>
      <c r="N41" s="1067"/>
      <c r="O41" s="1067"/>
      <c r="P41" s="1067"/>
    </row>
    <row customHeight="true" ht="18.452380952380953" r="42">
      <c r="A42" s="1117" t="s">
        <v>992</v>
      </c>
      <c r="B42" s="1118">
        <v>46286</v>
      </c>
      <c r="C42" s="1117" t="str">
        <v>Monday</v>
      </c>
      <c r="D42" s="1119" t="s">
        <v>995</v>
      </c>
      <c r="E42" s="1120">
        <f t="shared" si="72"/>
      </c>
      <c r="F42" s="1120" t="s">
        <v>996</v>
      </c>
      <c r="G42" s="1121"/>
      <c r="H42" s="1122"/>
      <c r="I42" s="1120"/>
      <c r="J42" s="1123"/>
      <c r="K42" s="1067"/>
      <c r="L42" s="1067"/>
      <c r="M42" s="1067"/>
      <c r="N42" s="1067"/>
      <c r="O42" s="1067"/>
      <c r="P42" s="1067"/>
    </row>
    <row customHeight="true" ht="18.452380952380953" r="43">
      <c r="A43" s="1117" t="s">
        <v>992</v>
      </c>
      <c r="B43" s="1118">
        <v>46287</v>
      </c>
      <c r="C43" s="1117" t="str">
        <v>Tuesday</v>
      </c>
      <c r="D43" s="1119" t="s">
        <v>997</v>
      </c>
      <c r="E43" s="1120">
        <f t="shared" si="72"/>
      </c>
      <c r="F43" s="1120" t="s">
        <v>994</v>
      </c>
      <c r="G43" s="1121"/>
      <c r="H43" s="1122"/>
      <c r="I43" s="1120"/>
      <c r="J43" s="1123"/>
      <c r="K43" s="1067"/>
      <c r="L43" s="1067"/>
      <c r="M43" s="1067"/>
      <c r="N43" s="1067"/>
      <c r="O43" s="1067"/>
      <c r="P43" s="1067"/>
    </row>
    <row customHeight="true" ht="18.452380952380953" r="44">
      <c r="A44" s="1117" t="s">
        <v>992</v>
      </c>
      <c r="B44" s="1118">
        <v>46287</v>
      </c>
      <c r="C44" s="1117" t="str">
        <v>Tuesday</v>
      </c>
      <c r="D44" s="1119" t="s">
        <v>998</v>
      </c>
      <c r="E44" s="1120">
        <f t="shared" si="72"/>
      </c>
      <c r="F44" s="1120" t="s">
        <v>986</v>
      </c>
      <c r="G44" s="1121"/>
      <c r="H44" s="1122"/>
      <c r="I44" s="1120"/>
      <c r="J44" s="1123"/>
      <c r="K44" s="1067"/>
      <c r="L44" s="1067"/>
      <c r="M44" s="1067"/>
      <c r="N44" s="1067"/>
      <c r="O44" s="1067"/>
      <c r="P44" s="1067"/>
    </row>
    <row customHeight="true" ht="18.452380952380953" r="45">
      <c r="A45" s="1117" t="s">
        <v>992</v>
      </c>
      <c r="B45" s="1118">
        <v>46287</v>
      </c>
      <c r="C45" s="1117" t="str">
        <v>Tuesday</v>
      </c>
      <c r="D45" s="1119" t="s">
        <v>999</v>
      </c>
      <c r="E45" s="1120">
        <f t="shared" si="72"/>
      </c>
      <c r="F45" s="1120" t="s">
        <v>994</v>
      </c>
      <c r="G45" s="1121"/>
      <c r="H45" s="1122"/>
      <c r="I45" s="1120"/>
      <c r="J45" s="1123"/>
      <c r="K45" s="1067"/>
      <c r="L45" s="1067"/>
      <c r="M45" s="1067"/>
      <c r="N45" s="1067"/>
      <c r="O45" s="1067"/>
      <c r="P45" s="1067"/>
    </row>
    <row customHeight="true" ht="18.452380952380953" r="46">
      <c r="A46" s="1117" t="s">
        <v>992</v>
      </c>
      <c r="B46" s="1118">
        <v>46288</v>
      </c>
      <c r="C46" s="1117" t="str">
        <v>Wednesday</v>
      </c>
      <c r="D46" s="1119" t="s">
        <v>1000</v>
      </c>
      <c r="E46" s="1120">
        <f t="shared" si="72"/>
      </c>
      <c r="F46" s="1120" t="s">
        <v>994</v>
      </c>
      <c r="G46" s="1121"/>
      <c r="H46" s="1122"/>
      <c r="I46" s="1120"/>
      <c r="J46" s="1123"/>
      <c r="K46" s="1067"/>
      <c r="L46" s="1067"/>
      <c r="M46" s="1067"/>
      <c r="N46" s="1067"/>
      <c r="O46" s="1067"/>
      <c r="P46" s="1067"/>
    </row>
    <row customHeight="true" ht="18.452380952380953" r="47">
      <c r="A47" s="1117" t="s">
        <v>992</v>
      </c>
      <c r="B47" s="1118">
        <v>46288</v>
      </c>
      <c r="C47" s="1117" t="str">
        <v>Wednesday</v>
      </c>
      <c r="D47" s="1119" t="s">
        <v>1001</v>
      </c>
      <c r="E47" s="1120">
        <f t="shared" si="72"/>
      </c>
      <c r="F47" s="1120" t="s">
        <v>986</v>
      </c>
      <c r="G47" s="1124"/>
      <c r="H47" s="1120"/>
      <c r="I47" s="1120"/>
      <c r="J47" s="1123"/>
      <c r="K47" s="1067"/>
      <c r="L47" s="1067"/>
      <c r="M47" s="1067"/>
      <c r="N47" s="1067"/>
      <c r="O47" s="1067"/>
      <c r="P47" s="1067"/>
      <c r="Q47" s="1125"/>
      <c r="R47" s="1125"/>
    </row>
    <row customHeight="true" ht="18.452380952380953" r="48">
      <c r="A48" s="1117" t="s">
        <v>992</v>
      </c>
      <c r="B48" s="1118">
        <v>46288</v>
      </c>
      <c r="C48" s="1117" t="str">
        <v>Wednesday</v>
      </c>
      <c r="D48" s="1119" t="s">
        <v>1002</v>
      </c>
      <c r="E48" s="1120">
        <f t="shared" si="72"/>
      </c>
      <c r="F48" s="1120" t="s">
        <v>994</v>
      </c>
      <c r="G48" s="1124"/>
      <c r="H48" s="1120"/>
      <c r="I48" s="1120"/>
      <c r="J48" s="1123"/>
      <c r="K48" s="1067"/>
      <c r="L48" s="1067"/>
      <c r="M48" s="1067"/>
      <c r="N48" s="1067"/>
      <c r="O48" s="1067"/>
      <c r="P48" s="1067"/>
      <c r="Q48" s="1125"/>
      <c r="R48" s="1125"/>
    </row>
    <row customHeight="true" ht="18.452380952380953" r="49">
      <c r="A49" s="1117" t="s">
        <v>992</v>
      </c>
      <c r="B49" s="1118">
        <v>46289</v>
      </c>
      <c r="C49" s="1117" t="str">
        <v>Thursday</v>
      </c>
      <c r="D49" s="1119" t="s">
        <v>985</v>
      </c>
      <c r="E49" s="1120">
        <f t="shared" si="72"/>
      </c>
      <c r="F49" s="1120" t="s">
        <v>994</v>
      </c>
      <c r="G49" s="1124"/>
      <c r="H49" s="1120"/>
      <c r="I49" s="1120"/>
      <c r="J49" s="1123"/>
      <c r="K49" s="1067"/>
      <c r="L49" s="1067"/>
      <c r="M49" s="1067"/>
      <c r="N49" s="1067"/>
      <c r="O49" s="1067"/>
      <c r="P49" s="1067"/>
      <c r="Q49" s="1125"/>
      <c r="R49" s="1125"/>
    </row>
    <row customHeight="true" ht="16.071428571428573" r="50">
      <c r="A50" s="1117" t="s">
        <v>992</v>
      </c>
      <c r="B50" s="1118">
        <v>46290</v>
      </c>
      <c r="C50" s="1117" t="str">
        <v>Friday</v>
      </c>
      <c r="D50" s="1119" t="s">
        <v>1003</v>
      </c>
      <c r="E50" s="1120">
        <f t="shared" si="72"/>
      </c>
      <c r="F50" s="1120" t="s">
        <v>994</v>
      </c>
      <c r="G50" s="1124"/>
      <c r="H50" s="1120"/>
      <c r="I50" s="1120"/>
      <c r="J50" s="1123"/>
      <c r="K50" s="1067"/>
      <c r="L50" s="1067"/>
      <c r="M50" s="1067"/>
      <c r="N50" s="1067"/>
      <c r="O50" s="1067"/>
      <c r="P50" s="1067"/>
      <c r="Q50" s="1125"/>
      <c r="R50" s="1125"/>
    </row>
    <row customHeight="true" ht="16.071428571428573" r="51">
      <c r="A51" s="1117" t="s">
        <v>992</v>
      </c>
      <c r="B51" s="1118">
        <v>46290</v>
      </c>
      <c r="C51" s="1117" t="str">
        <v>Friday</v>
      </c>
      <c r="D51" s="1119" t="s">
        <v>1004</v>
      </c>
      <c r="E51" s="1120">
        <f t="shared" si="72"/>
      </c>
      <c r="F51" s="1120" t="s">
        <v>994</v>
      </c>
      <c r="G51" s="1124"/>
      <c r="H51" s="1120"/>
      <c r="I51" s="1120"/>
      <c r="J51" s="1123"/>
      <c r="K51" s="1067"/>
      <c r="L51" s="1067"/>
      <c r="M51" s="1067"/>
      <c r="N51" s="1067"/>
      <c r="O51" s="1067"/>
      <c r="P51" s="1067"/>
      <c r="Q51" s="1125"/>
      <c r="R51" s="1125"/>
    </row>
    <row customHeight="true" ht="16.071428571428573" r="52">
      <c r="A52" s="1117"/>
      <c r="B52" s="1118"/>
      <c r="C52" s="1117"/>
      <c r="D52" s="1119"/>
      <c r="E52" s="1120"/>
      <c r="F52" s="1120"/>
      <c r="G52" s="1124"/>
      <c r="H52" s="1120"/>
      <c r="I52" s="1120"/>
      <c r="J52" s="1123"/>
      <c r="K52" s="1067"/>
      <c r="L52" s="1067"/>
      <c r="M52" s="1067"/>
      <c r="N52" s="1067"/>
      <c r="O52" s="1067"/>
      <c r="P52" s="1067"/>
      <c r="Q52" s="1125"/>
      <c r="R52" s="1125"/>
    </row>
    <row customHeight="true" ht="16.071428571428573" r="53">
      <c r="A53" s="1117"/>
      <c r="B53" s="1118"/>
      <c r="C53" s="1117"/>
      <c r="D53" s="1119"/>
      <c r="E53" s="1120"/>
      <c r="F53" s="1120"/>
      <c r="G53" s="1124"/>
      <c r="H53" s="1120"/>
      <c r="I53" s="1120"/>
      <c r="J53" s="1123"/>
      <c r="K53" s="1067"/>
      <c r="L53" s="1067"/>
      <c r="M53" s="1067"/>
      <c r="N53" s="1067"/>
      <c r="O53" s="1067"/>
      <c r="P53" s="1067"/>
      <c r="Q53" s="1125"/>
      <c r="R53" s="1125"/>
    </row>
    <row customHeight="true" ht="16.071428571428573" r="54">
      <c r="A54" s="1117"/>
      <c r="B54" s="1118"/>
      <c r="C54" s="1117"/>
      <c r="D54" s="1119"/>
      <c r="E54" s="1120"/>
      <c r="F54" s="1120"/>
      <c r="G54" s="1124"/>
      <c r="H54" s="1120"/>
      <c r="I54" s="1120"/>
      <c r="J54" s="1123"/>
      <c r="K54" s="1067"/>
      <c r="L54" s="1067"/>
      <c r="M54" s="1067"/>
      <c r="N54" s="1067"/>
      <c r="O54" s="1067"/>
      <c r="P54" s="1067"/>
      <c r="Q54" s="1125"/>
      <c r="R54" s="1125"/>
    </row>
    <row customHeight="true" ht="16.071428571428573" r="55">
      <c r="A55" s="1117"/>
      <c r="B55" s="1118"/>
      <c r="C55" s="1117"/>
      <c r="D55" s="1119"/>
      <c r="E55" s="1120"/>
      <c r="F55" s="1120"/>
      <c r="G55" s="1124"/>
      <c r="H55" s="1120"/>
      <c r="I55" s="1120"/>
      <c r="J55" s="1123"/>
      <c r="K55" s="1067"/>
      <c r="L55" s="1067"/>
      <c r="M55" s="1067"/>
      <c r="N55" s="1067"/>
      <c r="O55" s="1067"/>
      <c r="P55" s="1067"/>
      <c r="Q55" s="1125"/>
      <c r="R55" s="1125"/>
    </row>
    <row customHeight="true" ht="16.071428571428573" r="56">
      <c r="A56" s="1126" t="s">
        <v>1005</v>
      </c>
      <c r="B56" s="1127">
        <v>46286</v>
      </c>
      <c r="C56" s="1126" t="str">
        <v>Monday</v>
      </c>
      <c r="D56" s="1128" t="s">
        <v>1006</v>
      </c>
      <c r="E56" s="1129">
        <f t="shared" ref="E56:E64" si="73">24*MOD(TIMEVALUE(TRIM(MID(D56,FIND("-",D56)+1,LEN(D56)))) - TIMEVALUE(TRIM(LEFT(D56,FIND("-",D56)-1))),1)</f>
      </c>
      <c r="F56" s="1120" t="s">
        <v>986</v>
      </c>
      <c r="G56" s="1124"/>
      <c r="H56" s="1120"/>
      <c r="I56" s="1120"/>
      <c r="J56" s="1123"/>
      <c r="K56" s="1067"/>
      <c r="L56" s="1067"/>
      <c r="M56" s="1067"/>
      <c r="N56" s="1067"/>
      <c r="O56" s="1067"/>
      <c r="P56" s="1067"/>
      <c r="Q56" s="1125"/>
      <c r="R56" s="1125"/>
    </row>
    <row customHeight="true" ht="16.071428571428573" r="57">
      <c r="A57" s="1126" t="s">
        <v>1005</v>
      </c>
      <c r="B57" s="1127">
        <v>46286</v>
      </c>
      <c r="C57" s="1126" t="str">
        <v>Monday</v>
      </c>
      <c r="D57" s="1128" t="s">
        <v>1007</v>
      </c>
      <c r="E57" s="1129">
        <f t="shared" si="73"/>
      </c>
      <c r="F57" s="1120" t="s">
        <v>986</v>
      </c>
      <c r="G57" s="1124"/>
      <c r="H57" s="1120"/>
      <c r="I57" s="1120"/>
      <c r="J57" s="1123"/>
      <c r="K57" s="1067"/>
      <c r="L57" s="1067"/>
      <c r="M57" s="1067"/>
      <c r="N57" s="1067"/>
      <c r="O57" s="1067"/>
      <c r="P57" s="1067"/>
      <c r="Q57" s="1125"/>
      <c r="R57" s="1125"/>
    </row>
    <row customHeight="true" ht="16.071428571428573" r="58">
      <c r="A58" s="1126" t="s">
        <v>1005</v>
      </c>
      <c r="B58" s="1127">
        <v>46287</v>
      </c>
      <c r="C58" s="1126" t="str">
        <v>Tuesday</v>
      </c>
      <c r="D58" s="1128" t="s">
        <v>1008</v>
      </c>
      <c r="E58" s="1129">
        <f t="shared" si="73"/>
      </c>
      <c r="F58" s="1120" t="s">
        <v>986</v>
      </c>
      <c r="G58" s="1124"/>
      <c r="H58" s="1120"/>
      <c r="I58" s="1120"/>
      <c r="J58" s="1123"/>
      <c r="K58" s="1067"/>
      <c r="L58" s="1067"/>
      <c r="M58" s="1067"/>
      <c r="N58" s="1067"/>
      <c r="O58" s="1067"/>
      <c r="P58" s="1067"/>
      <c r="Q58" s="1125"/>
      <c r="R58" s="1125"/>
    </row>
    <row customHeight="true" ht="16.071428571428573" r="59">
      <c r="A59" s="1126" t="s">
        <v>1005</v>
      </c>
      <c r="B59" s="1127">
        <v>46287</v>
      </c>
      <c r="C59" s="1126" t="str">
        <v>Tuesday</v>
      </c>
      <c r="D59" s="1128" t="s">
        <v>1009</v>
      </c>
      <c r="E59" s="1129">
        <f t="shared" si="73"/>
      </c>
      <c r="F59" s="1129" t="s">
        <v>986</v>
      </c>
      <c r="G59" s="1124"/>
      <c r="H59" s="1120"/>
      <c r="I59" s="1120"/>
      <c r="J59" s="1123"/>
      <c r="K59" s="1067"/>
      <c r="L59" s="1067"/>
      <c r="M59" s="1067"/>
      <c r="N59" s="1067"/>
      <c r="O59" s="1067"/>
      <c r="P59" s="1067"/>
      <c r="Q59" s="1125"/>
      <c r="R59" s="1125"/>
    </row>
    <row customHeight="true" ht="16.071428571428573" r="60">
      <c r="A60" s="1126" t="s">
        <v>1005</v>
      </c>
      <c r="B60" s="1127">
        <v>46288</v>
      </c>
      <c r="C60" s="1126" t="str">
        <v>Wednesday</v>
      </c>
      <c r="D60" s="1128" t="s">
        <v>1010</v>
      </c>
      <c r="E60" s="1129">
        <f t="shared" si="73"/>
      </c>
      <c r="F60" s="1120" t="s">
        <v>986</v>
      </c>
      <c r="G60" s="1124"/>
      <c r="H60" s="1120"/>
      <c r="I60" s="1120"/>
      <c r="J60" s="1123"/>
      <c r="K60" s="1067"/>
      <c r="L60" s="1067"/>
      <c r="M60" s="1067"/>
      <c r="N60" s="1067"/>
      <c r="O60" s="1067"/>
      <c r="P60" s="1067"/>
      <c r="Q60" s="1125"/>
      <c r="R60" s="1125"/>
    </row>
    <row customHeight="true" ht="16.071428571428573" r="61">
      <c r="A61" s="1126" t="s">
        <v>1005</v>
      </c>
      <c r="B61" s="1127">
        <v>46288</v>
      </c>
      <c r="C61" s="1126" t="str">
        <v>Wednesday</v>
      </c>
      <c r="D61" s="1128" t="s">
        <v>1011</v>
      </c>
      <c r="E61" s="1129">
        <f t="shared" si="73"/>
      </c>
      <c r="F61" s="1120" t="s">
        <v>986</v>
      </c>
      <c r="G61" s="1124"/>
      <c r="H61" s="1120"/>
      <c r="I61" s="1120"/>
      <c r="J61" s="1123"/>
      <c r="K61" s="1067"/>
      <c r="L61" s="1067"/>
      <c r="M61" s="1067"/>
      <c r="N61" s="1067"/>
      <c r="O61" s="1067"/>
      <c r="P61" s="1067"/>
      <c r="Q61" s="1125"/>
      <c r="R61" s="1125"/>
    </row>
    <row customHeight="true" ht="16.071428571428573" r="62">
      <c r="A62" s="1126" t="s">
        <v>1005</v>
      </c>
      <c r="B62" s="1127">
        <v>46289</v>
      </c>
      <c r="C62" s="1126" t="str">
        <v>Thursday</v>
      </c>
      <c r="D62" s="1128" t="s">
        <v>1012</v>
      </c>
      <c r="E62" s="1129">
        <f t="shared" si="73"/>
      </c>
      <c r="F62" s="1120" t="s">
        <v>986</v>
      </c>
      <c r="G62" s="1124"/>
      <c r="H62" s="1120"/>
      <c r="I62" s="1120"/>
      <c r="J62" s="1123"/>
      <c r="K62" s="1067"/>
      <c r="L62" s="1067"/>
      <c r="M62" s="1067"/>
      <c r="N62" s="1067"/>
      <c r="O62" s="1067"/>
      <c r="P62" s="1067"/>
      <c r="Q62" s="1125"/>
      <c r="R62" s="1125"/>
    </row>
    <row customHeight="true" ht="16.071428571428573" r="63">
      <c r="A63" s="1126" t="s">
        <v>1005</v>
      </c>
      <c r="B63" s="1127">
        <v>46290</v>
      </c>
      <c r="C63" s="1126" t="str">
        <v>Friday</v>
      </c>
      <c r="D63" s="1128" t="s">
        <v>1013</v>
      </c>
      <c r="E63" s="1129">
        <f t="shared" si="73"/>
      </c>
      <c r="F63" s="1120" t="s">
        <v>986</v>
      </c>
      <c r="G63" s="1124"/>
      <c r="H63" s="1120"/>
      <c r="I63" s="1120"/>
      <c r="J63" s="1123"/>
      <c r="K63" s="1067"/>
      <c r="L63" s="1067"/>
      <c r="M63" s="1067"/>
      <c r="N63" s="1067"/>
      <c r="O63" s="1067"/>
      <c r="P63" s="1067"/>
      <c r="Q63" s="1125"/>
      <c r="R63" s="1125"/>
    </row>
    <row customHeight="true" ht="16.071428571428573" r="64">
      <c r="A64" s="1126" t="s">
        <v>1005</v>
      </c>
      <c r="B64" s="1127">
        <v>46291</v>
      </c>
      <c r="C64" s="1126" t="str">
        <v>Saturday</v>
      </c>
      <c r="D64" s="1128" t="s">
        <v>1014</v>
      </c>
      <c r="E64" s="1129">
        <f t="shared" si="73"/>
      </c>
      <c r="F64" s="1120" t="s">
        <v>986</v>
      </c>
      <c r="G64" s="1124"/>
      <c r="H64" s="1120"/>
      <c r="I64" s="1120"/>
      <c r="J64" s="1123"/>
      <c r="K64" s="1067"/>
      <c r="L64" s="1067"/>
      <c r="M64" s="1067"/>
      <c r="N64" s="1067"/>
      <c r="O64" s="1067"/>
      <c r="P64" s="1067"/>
      <c r="Q64" s="1125"/>
      <c r="R64" s="1125"/>
    </row>
    <row customHeight="true" ht="16.071428571428573" r="65">
      <c r="A65" s="1117"/>
      <c r="B65" s="1118"/>
      <c r="C65" s="1117"/>
      <c r="D65" s="1119"/>
      <c r="E65" s="1120"/>
      <c r="F65" s="1120"/>
      <c r="G65" s="1124"/>
      <c r="H65" s="1120"/>
      <c r="I65" s="1120"/>
      <c r="J65" s="1123"/>
      <c r="K65" s="1067"/>
      <c r="L65" s="1067"/>
      <c r="M65" s="1067"/>
      <c r="N65" s="1067"/>
      <c r="O65" s="1067"/>
      <c r="P65" s="1067"/>
      <c r="Q65" s="1125"/>
      <c r="R65" s="1125"/>
    </row>
    <row customHeight="true" ht="16.071428571428573" r="66">
      <c r="A66" s="1117"/>
      <c r="B66" s="1118"/>
      <c r="C66" s="1117"/>
      <c r="D66" s="1119"/>
      <c r="E66" s="1120"/>
      <c r="F66" s="1120"/>
      <c r="G66" s="1124"/>
      <c r="H66" s="1120"/>
      <c r="I66" s="1120"/>
      <c r="J66" s="1123"/>
      <c r="K66" s="1067"/>
      <c r="L66" s="1067"/>
      <c r="M66" s="1067"/>
      <c r="N66" s="1067"/>
      <c r="O66" s="1067"/>
      <c r="P66" s="1067"/>
      <c r="Q66" s="1125"/>
      <c r="R66" s="1125"/>
    </row>
    <row customHeight="true" ht="16.071428571428573" r="67">
      <c r="A67" s="1117"/>
      <c r="B67" s="1118"/>
      <c r="C67" s="1117"/>
      <c r="D67" s="1119"/>
      <c r="E67" s="1120"/>
      <c r="F67" s="1120"/>
      <c r="G67" s="1124"/>
      <c r="H67" s="1120"/>
      <c r="I67" s="1120"/>
      <c r="J67" s="1123"/>
      <c r="K67" s="1067"/>
      <c r="L67" s="1067"/>
      <c r="M67" s="1067"/>
      <c r="N67" s="1067"/>
      <c r="O67" s="1067"/>
      <c r="P67" s="1067"/>
      <c r="Q67" s="1125"/>
      <c r="R67" s="1125"/>
    </row>
    <row customHeight="true" ht="16.071428571428573" r="68">
      <c r="A68" s="1117"/>
      <c r="B68" s="1118"/>
      <c r="C68" s="1117"/>
      <c r="D68" s="1119"/>
      <c r="E68" s="1120"/>
      <c r="F68" s="1120"/>
      <c r="G68" s="1124"/>
      <c r="H68" s="1120"/>
      <c r="I68" s="1120"/>
      <c r="J68" s="1123"/>
      <c r="K68" s="1067"/>
      <c r="L68" s="1067"/>
      <c r="M68" s="1067"/>
      <c r="N68" s="1067"/>
      <c r="O68" s="1067"/>
      <c r="P68" s="1067"/>
      <c r="Q68" s="1125"/>
      <c r="R68" s="1125"/>
    </row>
    <row customHeight="true" ht="16.071428571428573" r="69">
      <c r="A69" s="1126"/>
      <c r="B69" s="1126"/>
      <c r="C69" s="1126"/>
      <c r="D69" s="1129"/>
      <c r="E69" s="1129"/>
      <c r="F69" s="1129"/>
      <c r="G69" s="1124"/>
      <c r="H69" s="1120"/>
      <c r="I69" s="1120"/>
      <c r="J69" s="1123"/>
      <c r="K69" s="1067"/>
      <c r="L69" s="1067"/>
      <c r="M69" s="1067"/>
      <c r="N69" s="1067"/>
      <c r="O69" s="1067"/>
      <c r="P69" s="1067"/>
      <c r="Q69" s="1125"/>
      <c r="R69" s="1125"/>
    </row>
    <row r="70"/>
    <row r="71">
      <c r="A71" s="1130" t="s">
        <v>1015</v>
      </c>
      <c r="B71" s="1130"/>
      <c r="C71" s="1130"/>
      <c r="D71" s="1130"/>
      <c r="E71" s="1130"/>
      <c r="F71" s="1130"/>
      <c r="G71" s="1131"/>
      <c r="H71" s="1131"/>
      <c r="I71" s="1131"/>
      <c r="J71" s="1132"/>
      <c r="K71" s="1101"/>
      <c r="L71" s="1101"/>
      <c r="M71" s="1101"/>
      <c r="N71" s="1101"/>
      <c r="O71" s="1101"/>
      <c r="P71" s="1101"/>
    </row>
    <row r="72">
      <c r="A72" s="1133" t="s">
        <v>958</v>
      </c>
      <c r="B72" s="1134" t="s">
        <v>959</v>
      </c>
      <c r="C72" s="1134"/>
      <c r="D72" s="1133" t="s">
        <v>960</v>
      </c>
      <c r="E72" s="1135" t="s">
        <v>1016</v>
      </c>
      <c r="F72" s="1133" t="s">
        <v>962</v>
      </c>
      <c r="G72" s="1136" t="s">
        <v>974</v>
      </c>
      <c r="H72" s="1133" t="s">
        <v>964</v>
      </c>
      <c r="I72" s="1133" t="s">
        <v>965</v>
      </c>
      <c r="J72" s="1137" t="s">
        <v>966</v>
      </c>
      <c r="K72" s="1087"/>
      <c r="L72" s="1087"/>
      <c r="M72" s="1087"/>
      <c r="N72" s="1087"/>
      <c r="O72" s="1087"/>
      <c r="P72" s="1087"/>
    </row>
    <row customHeight="true" ht="18.452380952380953" r="73">
      <c r="A73" s="1088" t="s">
        <v>1015</v>
      </c>
      <c r="B73" s="1138">
        <v>46287</v>
      </c>
      <c r="C73" s="1139" t="str">
        <v>Tuesday</v>
      </c>
      <c r="D73" s="1140" t="s">
        <v>1017</v>
      </c>
      <c r="E73" s="1076">
        <f t="shared" ref="E73:E84" si="74">24*MOD(TIMEVALUE(TRIM(MID(D73,FIND("-",D73)+1,LEN(D73)))) - TIMEVALUE(TRIM(LEFT(D73,FIND("-",D73)-1))),1)</f>
      </c>
      <c r="F73" s="1076" t="s">
        <v>1018</v>
      </c>
      <c r="G73" s="1141" t="s">
        <v>1019</v>
      </c>
      <c r="H73" s="1076" t="s">
        <v>972</v>
      </c>
      <c r="I73" s="1076" t="s">
        <v>946</v>
      </c>
      <c r="J73" s="1142" t="s">
        <v>1020</v>
      </c>
      <c r="K73" s="1067"/>
      <c r="L73" s="1067"/>
      <c r="M73" s="1067"/>
      <c r="N73" s="1067"/>
      <c r="O73" s="1067"/>
      <c r="P73" s="1067"/>
      <c r="Q73" s="1125"/>
      <c r="R73" s="1125"/>
    </row>
    <row r="74">
      <c r="A74" s="1088" t="s">
        <v>1015</v>
      </c>
      <c r="B74" s="1138">
        <v>46287</v>
      </c>
      <c r="C74" s="1139" t="str">
        <v>Tuesday</v>
      </c>
      <c r="D74" s="1140" t="s">
        <v>1021</v>
      </c>
      <c r="E74" s="1076">
        <f t="shared" si="74"/>
      </c>
      <c r="F74" s="1076" t="s">
        <v>1022</v>
      </c>
      <c r="G74" s="1141" t="s">
        <v>1023</v>
      </c>
      <c r="H74" s="1076" t="s">
        <v>972</v>
      </c>
      <c r="I74" s="1076" t="s">
        <v>946</v>
      </c>
      <c r="J74" s="1142" t="s">
        <v>1020</v>
      </c>
      <c r="K74" s="1067"/>
      <c r="L74" s="1067"/>
      <c r="M74" s="1067"/>
      <c r="N74" s="1067"/>
      <c r="O74" s="1067"/>
      <c r="P74" s="1067"/>
      <c r="Q74" s="1125"/>
      <c r="R74" s="1125"/>
    </row>
    <row customHeight="true" ht="18.452380952380953" r="75">
      <c r="A75" s="1143" t="s">
        <v>1015</v>
      </c>
      <c r="B75" s="1144">
        <v>46288</v>
      </c>
      <c r="C75" s="1145" t="str">
        <v>Wednesday</v>
      </c>
      <c r="D75" s="1146" t="s">
        <v>1024</v>
      </c>
      <c r="E75" s="1147">
        <f t="shared" si="74"/>
      </c>
      <c r="F75" s="1147" t="s">
        <v>1025</v>
      </c>
      <c r="G75" s="1148" t="s">
        <v>1026</v>
      </c>
      <c r="H75" s="1147" t="s">
        <v>972</v>
      </c>
      <c r="I75" s="1147" t="s">
        <v>946</v>
      </c>
      <c r="J75" s="1149" t="s">
        <v>1020</v>
      </c>
      <c r="K75" s="1067"/>
      <c r="L75" s="1067"/>
      <c r="M75" s="1067"/>
      <c r="N75" s="1067"/>
      <c r="O75" s="1067"/>
      <c r="P75" s="1067"/>
      <c r="Q75" s="1125"/>
      <c r="R75" s="1125"/>
    </row>
    <row r="76">
      <c r="A76" s="1143" t="s">
        <v>1015</v>
      </c>
      <c r="B76" s="1144">
        <v>46288</v>
      </c>
      <c r="C76" s="1145" t="str">
        <v>Wednesday</v>
      </c>
      <c r="D76" s="1146" t="s">
        <v>1027</v>
      </c>
      <c r="E76" s="1147">
        <f t="shared" si="74"/>
      </c>
      <c r="F76" s="1147" t="s">
        <v>1022</v>
      </c>
      <c r="G76" s="1150" t="s">
        <v>1028</v>
      </c>
      <c r="H76" s="1147" t="s">
        <v>972</v>
      </c>
      <c r="I76" s="1147" t="s">
        <v>946</v>
      </c>
      <c r="J76" s="1149" t="s">
        <v>1020</v>
      </c>
      <c r="K76" s="1067"/>
      <c r="L76" s="1067"/>
      <c r="M76" s="1067"/>
      <c r="N76" s="1067"/>
      <c r="O76" s="1067"/>
      <c r="P76" s="1067"/>
      <c r="Q76" s="1125"/>
      <c r="R76" s="1125"/>
    </row>
    <row r="77">
      <c r="A77" s="1088" t="s">
        <v>1015</v>
      </c>
      <c r="B77" s="1138">
        <v>46289</v>
      </c>
      <c r="C77" s="1139" t="str">
        <v>Thursday</v>
      </c>
      <c r="D77" s="1140" t="s">
        <v>1024</v>
      </c>
      <c r="E77" s="1076">
        <f t="shared" si="74"/>
      </c>
      <c r="F77" s="1076" t="s">
        <v>1029</v>
      </c>
      <c r="G77" s="1141" t="s">
        <v>1026</v>
      </c>
      <c r="H77" s="1076" t="s">
        <v>972</v>
      </c>
      <c r="I77" s="1076" t="s">
        <v>946</v>
      </c>
      <c r="J77" s="1142" t="s">
        <v>1020</v>
      </c>
      <c r="K77" s="1067"/>
      <c r="L77" s="1067"/>
      <c r="M77" s="1067"/>
      <c r="N77" s="1067"/>
      <c r="O77" s="1067"/>
      <c r="P77" s="1067"/>
      <c r="Q77" s="1125"/>
      <c r="R77" s="1125"/>
    </row>
    <row customHeight="true" ht="18.452380952380953" r="78">
      <c r="A78" s="1088" t="s">
        <v>1015</v>
      </c>
      <c r="B78" s="1138">
        <v>46289</v>
      </c>
      <c r="C78" s="1139" t="str">
        <v>Thursday</v>
      </c>
      <c r="D78" s="1140" t="s">
        <v>1027</v>
      </c>
      <c r="E78" s="1076">
        <f t="shared" si="74"/>
      </c>
      <c r="F78" s="1076" t="s">
        <v>1022</v>
      </c>
      <c r="G78" s="1141" t="s">
        <v>1028</v>
      </c>
      <c r="H78" s="1076" t="s">
        <v>972</v>
      </c>
      <c r="I78" s="1076" t="s">
        <v>946</v>
      </c>
      <c r="J78" s="1142" t="s">
        <v>1020</v>
      </c>
      <c r="K78" s="1067"/>
      <c r="L78" s="1067"/>
      <c r="M78" s="1067"/>
      <c r="N78" s="1067"/>
      <c r="O78" s="1067"/>
      <c r="P78" s="1067"/>
      <c r="Q78" s="1125"/>
      <c r="R78" s="1125"/>
    </row>
    <row customHeight="true" ht="18.452380952380953" r="79">
      <c r="A79" s="1143" t="s">
        <v>1015</v>
      </c>
      <c r="B79" s="1144">
        <v>46290</v>
      </c>
      <c r="C79" s="1145" t="str">
        <v>Friday</v>
      </c>
      <c r="D79" s="1146" t="s">
        <v>1024</v>
      </c>
      <c r="E79" s="1147">
        <f t="shared" si="74"/>
      </c>
      <c r="F79" s="1147" t="s">
        <v>1029</v>
      </c>
      <c r="G79" s="1148" t="s">
        <v>1026</v>
      </c>
      <c r="H79" s="1147" t="s">
        <v>972</v>
      </c>
      <c r="I79" s="1147" t="s">
        <v>946</v>
      </c>
      <c r="J79" s="1149" t="s">
        <v>1020</v>
      </c>
      <c r="K79" s="1067"/>
      <c r="L79" s="1067"/>
      <c r="M79" s="1067"/>
      <c r="N79" s="1067"/>
      <c r="O79" s="1067"/>
      <c r="P79" s="1067"/>
      <c r="Q79" s="1125"/>
      <c r="R79" s="1125"/>
    </row>
    <row customHeight="true" ht="18.452380952380953" r="80">
      <c r="A80" s="1143" t="s">
        <v>1015</v>
      </c>
      <c r="B80" s="1144">
        <v>46290</v>
      </c>
      <c r="C80" s="1145" t="str">
        <v>Friday</v>
      </c>
      <c r="D80" s="1146" t="s">
        <v>1027</v>
      </c>
      <c r="E80" s="1147">
        <f t="shared" si="74"/>
      </c>
      <c r="F80" s="1147" t="s">
        <v>1022</v>
      </c>
      <c r="G80" s="1148" t="s">
        <v>1028</v>
      </c>
      <c r="H80" s="1147" t="s">
        <v>972</v>
      </c>
      <c r="I80" s="1147" t="s">
        <v>946</v>
      </c>
      <c r="J80" s="1149" t="s">
        <v>1020</v>
      </c>
      <c r="K80" s="1067"/>
      <c r="L80" s="1067"/>
      <c r="M80" s="1067"/>
      <c r="N80" s="1067"/>
      <c r="O80" s="1067"/>
      <c r="P80" s="1067"/>
      <c r="Q80" s="1125"/>
      <c r="R80" s="1125"/>
    </row>
    <row customHeight="true" ht="18.452380952380953" r="81">
      <c r="A81" s="1088" t="s">
        <v>1015</v>
      </c>
      <c r="B81" s="1138">
        <v>46291</v>
      </c>
      <c r="C81" s="1139" t="str">
        <v>Saturday</v>
      </c>
      <c r="D81" s="1140" t="s">
        <v>1024</v>
      </c>
      <c r="E81" s="1076">
        <f t="shared" si="74"/>
      </c>
      <c r="F81" s="1076" t="s">
        <v>1029</v>
      </c>
      <c r="G81" s="1141" t="s">
        <v>1026</v>
      </c>
      <c r="H81" s="1076" t="s">
        <v>972</v>
      </c>
      <c r="I81" s="1076" t="s">
        <v>946</v>
      </c>
      <c r="J81" s="1142" t="s">
        <v>1020</v>
      </c>
      <c r="K81" s="1067"/>
      <c r="L81" s="1067"/>
      <c r="M81" s="1067"/>
      <c r="N81" s="1067"/>
      <c r="O81" s="1067"/>
      <c r="P81" s="1067"/>
      <c r="Q81" s="1125"/>
      <c r="R81" s="1125"/>
    </row>
    <row customHeight="true" ht="18.452380952380953" r="82">
      <c r="A82" s="1088" t="s">
        <v>1015</v>
      </c>
      <c r="B82" s="1138">
        <v>46291</v>
      </c>
      <c r="C82" s="1139" t="str">
        <v>Saturday</v>
      </c>
      <c r="D82" s="1140" t="s">
        <v>1027</v>
      </c>
      <c r="E82" s="1076">
        <f t="shared" si="74"/>
      </c>
      <c r="F82" s="1076" t="s">
        <v>1022</v>
      </c>
      <c r="G82" s="1141" t="s">
        <v>1028</v>
      </c>
      <c r="H82" s="1076" t="s">
        <v>972</v>
      </c>
      <c r="I82" s="1076" t="s">
        <v>946</v>
      </c>
      <c r="J82" s="1142" t="s">
        <v>1020</v>
      </c>
      <c r="K82" s="1067"/>
      <c r="L82" s="1067"/>
      <c r="M82" s="1067"/>
      <c r="N82" s="1067"/>
      <c r="O82" s="1067"/>
      <c r="P82" s="1067"/>
      <c r="Q82" s="1125"/>
      <c r="R82" s="1125"/>
    </row>
    <row customHeight="true" ht="18.452380952380953" r="83">
      <c r="A83" s="1143" t="s">
        <v>1015</v>
      </c>
      <c r="B83" s="1144">
        <v>46292</v>
      </c>
      <c r="C83" s="1145" t="str">
        <v>Sunday</v>
      </c>
      <c r="D83" s="1146" t="s">
        <v>1017</v>
      </c>
      <c r="E83" s="1147">
        <f t="shared" si="74"/>
      </c>
      <c r="F83" s="1147" t="s">
        <v>1018</v>
      </c>
      <c r="G83" s="1148" t="s">
        <v>1019</v>
      </c>
      <c r="H83" s="1147" t="s">
        <v>972</v>
      </c>
      <c r="I83" s="1147" t="s">
        <v>946</v>
      </c>
      <c r="J83" s="1149" t="s">
        <v>1020</v>
      </c>
      <c r="K83" s="1067"/>
      <c r="L83" s="1067"/>
      <c r="M83" s="1067"/>
      <c r="N83" s="1067"/>
      <c r="O83" s="1067"/>
      <c r="P83" s="1067"/>
      <c r="Q83" s="1125"/>
      <c r="R83" s="1125"/>
    </row>
    <row customHeight="true" ht="18.452380952380953" r="84">
      <c r="A84" s="1143" t="s">
        <v>1015</v>
      </c>
      <c r="B84" s="1144">
        <v>46292</v>
      </c>
      <c r="C84" s="1145" t="str">
        <v>Sunday</v>
      </c>
      <c r="D84" s="1146" t="s">
        <v>1021</v>
      </c>
      <c r="E84" s="1147">
        <f t="shared" si="74"/>
      </c>
      <c r="F84" s="1147" t="s">
        <v>1022</v>
      </c>
      <c r="G84" s="1148" t="s">
        <v>1023</v>
      </c>
      <c r="H84" s="1147" t="s">
        <v>972</v>
      </c>
      <c r="I84" s="1147" t="s">
        <v>946</v>
      </c>
      <c r="J84" s="1149" t="s">
        <v>1020</v>
      </c>
      <c r="K84" s="1067"/>
      <c r="L84" s="1067"/>
      <c r="M84" s="1067"/>
      <c r="N84" s="1067"/>
      <c r="O84" s="1067"/>
      <c r="P84" s="1067"/>
      <c r="Q84" s="1125"/>
      <c r="R84" s="1125"/>
    </row>
    <row customHeight="true" ht="14.880952380952381" r="85"/>
    <row customHeight="true" ht="18.452380952380953" r="86">
      <c r="A86" s="1143" t="s">
        <v>1030</v>
      </c>
      <c r="B86" s="1144">
        <v>46287</v>
      </c>
      <c r="C86" s="1145" t="str">
        <v>Tuesday</v>
      </c>
      <c r="D86" s="1146" t="s">
        <v>1031</v>
      </c>
      <c r="E86" s="1147">
        <f>24*MOD(TIMEVALUE(TRIM(MID(D86,FIND("-",D86)+1,LEN(D86)))) - TIMEVALUE(TRIM(LEFT(D86,FIND("-",D86)-1))),1)</f>
      </c>
      <c r="F86" s="1147" t="s">
        <v>1018</v>
      </c>
      <c r="G86" s="1148" t="s">
        <v>1023</v>
      </c>
      <c r="H86" s="1147" t="s">
        <v>972</v>
      </c>
      <c r="I86" s="1147" t="s">
        <v>946</v>
      </c>
      <c r="J86" s="1149" t="s">
        <v>1020</v>
      </c>
      <c r="K86" s="1067"/>
      <c r="L86" s="1067"/>
      <c r="M86" s="1067"/>
      <c r="N86" s="1067"/>
      <c r="O86" s="1067"/>
      <c r="P86" s="1067"/>
      <c r="Q86" s="1125"/>
      <c r="R86" s="1125"/>
    </row>
    <row customHeight="true" ht="16.071428571428573" r="87"/>
    <row r="88">
      <c r="A88" s="1151" t="s">
        <v>1032</v>
      </c>
      <c r="B88" s="1151"/>
      <c r="C88" s="1151"/>
      <c r="D88" s="1151"/>
      <c r="E88" s="1151"/>
      <c r="F88" s="1151"/>
      <c r="G88" s="1152"/>
      <c r="H88" s="1152"/>
      <c r="I88" s="1152"/>
      <c r="J88" s="1153"/>
      <c r="K88" s="1101"/>
      <c r="L88" s="1101"/>
      <c r="M88" s="1101"/>
      <c r="N88" s="1101"/>
      <c r="O88" s="1101"/>
      <c r="P88" s="1101"/>
      <c r="Q88" s="1125"/>
      <c r="R88" s="1125"/>
    </row>
    <row r="89">
      <c r="A89" s="1154" t="s">
        <v>958</v>
      </c>
      <c r="B89" s="1155" t="s">
        <v>959</v>
      </c>
      <c r="C89" s="1155"/>
      <c r="D89" s="1154" t="s">
        <v>960</v>
      </c>
      <c r="E89" s="1156" t="s">
        <v>1016</v>
      </c>
      <c r="F89" s="1154" t="s">
        <v>962</v>
      </c>
      <c r="G89" s="1157" t="s">
        <v>974</v>
      </c>
      <c r="H89" s="1154" t="s">
        <v>964</v>
      </c>
      <c r="I89" s="1154" t="s">
        <v>965</v>
      </c>
      <c r="J89" s="1158" t="s">
        <v>966</v>
      </c>
      <c r="K89" s="1087"/>
      <c r="L89" s="1087"/>
      <c r="M89" s="1087"/>
      <c r="N89" s="1087"/>
      <c r="O89" s="1087"/>
      <c r="P89" s="1087"/>
    </row>
    <row customHeight="true" ht="18.452380952380953" r="90">
      <c r="A90" s="1159" t="s">
        <v>1032</v>
      </c>
      <c r="B90" s="1160">
        <v>46287</v>
      </c>
      <c r="C90" s="1159" t="str">
        <v>Tuesday</v>
      </c>
      <c r="D90" s="1161" t="s">
        <v>1033</v>
      </c>
      <c r="E90" s="1162">
        <f t="shared" ref="E90:E95" si="75">24*MOD(TIMEVALUE(TRIM(MID(D90,FIND("-",D90)+1,LEN(D90)))) - TIMEVALUE(TRIM(LEFT(D90,FIND("-",D90)-1))),1)</f>
      </c>
      <c r="F90" s="1162" t="s">
        <v>1018</v>
      </c>
      <c r="G90" s="1163"/>
      <c r="H90" s="1162" t="s">
        <v>972</v>
      </c>
      <c r="I90" s="1162" t="s">
        <v>946</v>
      </c>
      <c r="J90" s="1164" t="s">
        <v>1034</v>
      </c>
      <c r="K90" s="1067"/>
      <c r="L90" s="1067"/>
      <c r="M90" s="1067"/>
      <c r="N90" s="1067"/>
      <c r="O90" s="1067"/>
      <c r="P90" s="1067"/>
      <c r="Q90" s="1125"/>
      <c r="R90" s="1125"/>
    </row>
    <row customHeight="true" ht="18.452380952380953" r="91">
      <c r="A91" s="1159" t="s">
        <v>1032</v>
      </c>
      <c r="B91" s="1160">
        <v>46288</v>
      </c>
      <c r="C91" s="1159" t="str">
        <v>Wednesday</v>
      </c>
      <c r="D91" s="1161" t="s">
        <v>1035</v>
      </c>
      <c r="E91" s="1162">
        <f t="shared" si="75"/>
      </c>
      <c r="F91" s="1162" t="s">
        <v>1018</v>
      </c>
      <c r="G91" s="1163"/>
      <c r="H91" s="1162" t="s">
        <v>972</v>
      </c>
      <c r="I91" s="1162" t="s">
        <v>946</v>
      </c>
      <c r="J91" s="1164" t="s">
        <v>1036</v>
      </c>
      <c r="K91" s="1067"/>
      <c r="L91" s="1067"/>
      <c r="M91" s="1067"/>
      <c r="N91" s="1067"/>
      <c r="O91" s="1067"/>
      <c r="P91" s="1067"/>
      <c r="Q91" s="1125"/>
      <c r="R91" s="1125"/>
    </row>
    <row customHeight="true" ht="18.452380952380953" r="92">
      <c r="A92" s="1159" t="s">
        <v>1032</v>
      </c>
      <c r="B92" s="1160">
        <v>46289</v>
      </c>
      <c r="C92" s="1159" t="str">
        <v>Thursday</v>
      </c>
      <c r="D92" s="1161" t="s">
        <v>1035</v>
      </c>
      <c r="E92" s="1162">
        <f t="shared" si="75"/>
      </c>
      <c r="F92" s="1162" t="s">
        <v>1018</v>
      </c>
      <c r="G92" s="1163"/>
      <c r="H92" s="1162" t="s">
        <v>972</v>
      </c>
      <c r="I92" s="1162" t="s">
        <v>946</v>
      </c>
      <c r="J92" s="1164" t="s">
        <v>1036</v>
      </c>
      <c r="K92" s="1067"/>
      <c r="L92" s="1067"/>
      <c r="M92" s="1067"/>
      <c r="N92" s="1067"/>
      <c r="O92" s="1067"/>
      <c r="P92" s="1067"/>
    </row>
    <row customHeight="true" ht="18.452380952380953" r="93">
      <c r="A93" s="1159" t="s">
        <v>1032</v>
      </c>
      <c r="B93" s="1160">
        <v>46290</v>
      </c>
      <c r="C93" s="1159" t="str">
        <v>Friday</v>
      </c>
      <c r="D93" s="1161" t="s">
        <v>1037</v>
      </c>
      <c r="E93" s="1162">
        <f t="shared" si="75"/>
      </c>
      <c r="F93" s="1162" t="s">
        <v>1038</v>
      </c>
      <c r="G93" s="1163"/>
      <c r="H93" s="1162" t="s">
        <v>972</v>
      </c>
      <c r="I93" s="1162" t="s">
        <v>946</v>
      </c>
      <c r="J93" s="1164" t="s">
        <v>1036</v>
      </c>
      <c r="K93" s="1067"/>
      <c r="L93" s="1067"/>
      <c r="M93" s="1067"/>
      <c r="N93" s="1067"/>
      <c r="O93" s="1067"/>
      <c r="P93" s="1067"/>
    </row>
    <row customHeight="true" ht="18.452380952380953" r="94">
      <c r="A94" s="1159" t="s">
        <v>1032</v>
      </c>
      <c r="B94" s="1160">
        <v>46291</v>
      </c>
      <c r="C94" s="1159" t="str">
        <v>Saturday</v>
      </c>
      <c r="D94" s="1161" t="s">
        <v>1037</v>
      </c>
      <c r="E94" s="1162">
        <f t="shared" si="75"/>
      </c>
      <c r="F94" s="1162" t="s">
        <v>1039</v>
      </c>
      <c r="G94" s="1163"/>
      <c r="H94" s="1162" t="s">
        <v>972</v>
      </c>
      <c r="I94" s="1162" t="s">
        <v>946</v>
      </c>
      <c r="J94" s="1164" t="s">
        <v>1036</v>
      </c>
      <c r="K94" s="1067"/>
      <c r="L94" s="1067"/>
      <c r="M94" s="1067"/>
      <c r="N94" s="1067"/>
      <c r="O94" s="1067"/>
      <c r="P94" s="1067"/>
    </row>
    <row customHeight="true" ht="18.452380952380953" r="95">
      <c r="A95" s="1159" t="s">
        <v>1032</v>
      </c>
      <c r="B95" s="1160">
        <v>46292</v>
      </c>
      <c r="C95" s="1159" t="str">
        <v>Sunday</v>
      </c>
      <c r="D95" s="1161" t="s">
        <v>1033</v>
      </c>
      <c r="E95" s="1162">
        <f t="shared" si="75"/>
      </c>
      <c r="F95" s="1162" t="s">
        <v>1039</v>
      </c>
      <c r="G95" s="1163"/>
      <c r="H95" s="1162" t="s">
        <v>972</v>
      </c>
      <c r="I95" s="1162" t="s">
        <v>946</v>
      </c>
      <c r="J95" s="1164" t="s">
        <v>1036</v>
      </c>
      <c r="K95" s="1067"/>
      <c r="L95" s="1067"/>
      <c r="M95" s="1067"/>
      <c r="N95" s="1067"/>
      <c r="O95" s="1067"/>
      <c r="P95" s="1067"/>
    </row>
    <row customHeight="true" ht="16.071428571428573" r="96"/>
    <row r="97">
      <c r="A97" s="1165" t="s">
        <v>1040</v>
      </c>
      <c r="B97" s="1165"/>
      <c r="C97" s="1165"/>
      <c r="D97" s="1165"/>
      <c r="E97" s="1165"/>
      <c r="F97" s="1165"/>
      <c r="G97" s="1166"/>
      <c r="H97" s="1166"/>
      <c r="I97" s="1166"/>
      <c r="J97" s="1167"/>
      <c r="K97" s="1057" t="s">
        <v>1041</v>
      </c>
      <c r="L97" s="1101"/>
      <c r="M97" s="1101"/>
      <c r="N97" s="1101"/>
      <c r="O97" s="1101"/>
      <c r="P97" s="1101"/>
    </row>
    <row r="98">
      <c r="A98" s="1168" t="s">
        <v>958</v>
      </c>
      <c r="B98" s="1169" t="s">
        <v>959</v>
      </c>
      <c r="C98" s="1169"/>
      <c r="D98" s="1168" t="s">
        <v>960</v>
      </c>
      <c r="E98" s="1170" t="s">
        <v>1016</v>
      </c>
      <c r="F98" s="1168" t="s">
        <v>962</v>
      </c>
      <c r="G98" s="1171" t="s">
        <v>974</v>
      </c>
      <c r="H98" s="1168" t="s">
        <v>964</v>
      </c>
      <c r="I98" s="1168" t="s">
        <v>965</v>
      </c>
      <c r="J98" s="1172" t="s">
        <v>966</v>
      </c>
      <c r="K98" s="1087"/>
      <c r="L98" s="1087"/>
      <c r="M98" s="1087"/>
      <c r="N98" s="1087"/>
      <c r="O98" s="1087"/>
      <c r="P98" s="1087"/>
    </row>
    <row customHeight="true" ht="18.452380952380953" r="99">
      <c r="A99" s="1058" t="s">
        <v>1040</v>
      </c>
      <c r="B99" s="1059">
        <v>46287</v>
      </c>
      <c r="C99" s="1058" t="str">
        <v>Tuesday</v>
      </c>
      <c r="D99" s="1173" t="s">
        <v>1042</v>
      </c>
      <c r="E99" s="1174">
        <f t="shared" ref="E99:E102" si="76">24*MOD(TIMEVALUE(TRIM(MID(D99,FIND("-",D99)+1,LEN(D99)))) - TIMEVALUE(TRIM(LEFT(D99,FIND("-",D99)-1))),1)</f>
      </c>
      <c r="F99" s="1174" t="s">
        <v>1043</v>
      </c>
      <c r="G99" s="1077"/>
      <c r="H99" s="1174" t="s">
        <v>972</v>
      </c>
      <c r="I99" s="1174" t="s">
        <v>946</v>
      </c>
      <c r="J99" s="1164" t="s">
        <v>1044</v>
      </c>
      <c r="K99" s="1067"/>
      <c r="L99" s="1067"/>
      <c r="M99" s="1067"/>
      <c r="N99" s="1067"/>
      <c r="O99" s="1067"/>
      <c r="P99" s="1067"/>
    </row>
    <row customHeight="true" ht="18.452380952380953" r="100">
      <c r="A100" s="1058" t="s">
        <v>1040</v>
      </c>
      <c r="B100" s="1059">
        <v>46288</v>
      </c>
      <c r="C100" s="1058" t="str">
        <v>Wednesday</v>
      </c>
      <c r="D100" s="1173" t="s">
        <v>1042</v>
      </c>
      <c r="E100" s="1174">
        <f t="shared" si="76"/>
      </c>
      <c r="F100" s="1174" t="s">
        <v>1043</v>
      </c>
      <c r="G100" s="1077"/>
      <c r="H100" s="1174" t="s">
        <v>972</v>
      </c>
      <c r="I100" s="1174" t="s">
        <v>946</v>
      </c>
      <c r="J100" s="1164" t="s">
        <v>1044</v>
      </c>
      <c r="K100" s="1067"/>
      <c r="L100" s="1067"/>
      <c r="M100" s="1067"/>
      <c r="N100" s="1067"/>
      <c r="O100" s="1067"/>
      <c r="P100" s="1067"/>
    </row>
    <row r="101">
      <c r="A101" s="1058" t="s">
        <v>1040</v>
      </c>
      <c r="B101" s="1059">
        <v>46290</v>
      </c>
      <c r="C101" s="1058" t="str">
        <v>Friday</v>
      </c>
      <c r="D101" s="1173" t="s">
        <v>1042</v>
      </c>
      <c r="E101" s="1174">
        <f t="shared" si="76"/>
      </c>
      <c r="F101" s="1174" t="s">
        <v>1043</v>
      </c>
      <c r="G101" s="1077"/>
      <c r="H101" s="1174" t="s">
        <v>972</v>
      </c>
      <c r="I101" s="1174" t="s">
        <v>946</v>
      </c>
      <c r="J101" s="1164" t="s">
        <v>1044</v>
      </c>
      <c r="K101" s="1067"/>
      <c r="L101" s="1067"/>
      <c r="M101" s="1067"/>
      <c r="N101" s="1067"/>
      <c r="O101" s="1067"/>
      <c r="P101" s="1067"/>
    </row>
    <row r="102">
      <c r="A102" s="1058" t="s">
        <v>1040</v>
      </c>
      <c r="B102" s="1059">
        <v>46291</v>
      </c>
      <c r="C102" s="1058" t="str">
        <v>Saturday</v>
      </c>
      <c r="D102" s="1173" t="s">
        <v>1042</v>
      </c>
      <c r="E102" s="1174">
        <f t="shared" si="76"/>
      </c>
      <c r="F102" s="1174" t="s">
        <v>1043</v>
      </c>
      <c r="G102" s="1077"/>
      <c r="H102" s="1174" t="s">
        <v>972</v>
      </c>
      <c r="I102" s="1174" t="s">
        <v>946</v>
      </c>
      <c r="J102" s="1164" t="s">
        <v>1044</v>
      </c>
      <c r="K102" s="1067"/>
      <c r="L102" s="1067"/>
      <c r="M102" s="1067"/>
      <c r="N102" s="1067"/>
      <c r="O102" s="1067"/>
      <c r="P102" s="1067"/>
    </row>
    <row customHeight="true" ht="14.880952380952381" r="103">
      <c r="A103" s="1073"/>
    </row>
    <row r="104">
      <c r="A104" s="1058" t="s">
        <v>1045</v>
      </c>
      <c r="B104" s="1175">
        <v>46287</v>
      </c>
      <c r="C104" s="1058" t="str">
        <v>Tuesday</v>
      </c>
      <c r="D104" s="1173" t="s">
        <v>1046</v>
      </c>
      <c r="E104" s="1174">
        <f t="shared" ref="E104:E107" si="77">24*MOD(TIMEVALUE(TRIM(MID(D104,FIND("-",D104)+1,LEN(D104)))) - TIMEVALUE(TRIM(LEFT(D104,FIND("-",D104)-1))),1)</f>
      </c>
      <c r="F104" s="1174" t="s">
        <v>1047</v>
      </c>
      <c r="G104" s="1077"/>
      <c r="H104" s="1174" t="s">
        <v>972</v>
      </c>
      <c r="I104" s="1174" t="s">
        <v>946</v>
      </c>
      <c r="J104" s="1164" t="s">
        <v>1044</v>
      </c>
      <c r="K104" s="1067"/>
      <c r="L104" s="1067"/>
      <c r="M104" s="1067"/>
      <c r="N104" s="1067"/>
      <c r="O104" s="1067"/>
      <c r="P104" s="1067"/>
    </row>
    <row r="105">
      <c r="A105" s="1068" t="s">
        <v>1045</v>
      </c>
      <c r="B105" s="1059">
        <v>46288</v>
      </c>
      <c r="C105" s="1058" t="str">
        <v>Wednesday</v>
      </c>
      <c r="D105" s="1173" t="s">
        <v>1048</v>
      </c>
      <c r="E105" s="1174">
        <f t="shared" si="77"/>
      </c>
      <c r="F105" s="1174" t="s">
        <v>1047</v>
      </c>
      <c r="G105" s="1077"/>
      <c r="H105" s="1174" t="s">
        <v>972</v>
      </c>
      <c r="I105" s="1174" t="s">
        <v>946</v>
      </c>
      <c r="J105" s="1164" t="s">
        <v>1044</v>
      </c>
      <c r="K105" s="1067"/>
      <c r="L105" s="1067"/>
      <c r="M105" s="1067"/>
      <c r="N105" s="1067"/>
      <c r="O105" s="1067"/>
      <c r="P105" s="1067"/>
    </row>
    <row r="106">
      <c r="A106" s="1058" t="s">
        <v>1045</v>
      </c>
      <c r="B106" s="1059">
        <v>46290</v>
      </c>
      <c r="C106" s="1058" t="str">
        <v>Friday</v>
      </c>
      <c r="D106" s="1173" t="s">
        <v>1048</v>
      </c>
      <c r="E106" s="1174">
        <f t="shared" si="77"/>
      </c>
      <c r="F106" s="1174" t="s">
        <v>1047</v>
      </c>
      <c r="G106" s="1077"/>
      <c r="H106" s="1174" t="s">
        <v>972</v>
      </c>
      <c r="I106" s="1174" t="s">
        <v>946</v>
      </c>
      <c r="J106" s="1164" t="s">
        <v>1044</v>
      </c>
      <c r="K106" s="1067"/>
      <c r="L106" s="1067"/>
      <c r="M106" s="1067"/>
      <c r="N106" s="1067"/>
      <c r="O106" s="1067"/>
      <c r="P106" s="1067"/>
    </row>
    <row r="107">
      <c r="A107" s="1058" t="s">
        <v>1045</v>
      </c>
      <c r="B107" s="1059">
        <v>46291</v>
      </c>
      <c r="C107" s="1058" t="str">
        <v>Saturday</v>
      </c>
      <c r="D107" s="1173" t="s">
        <v>1048</v>
      </c>
      <c r="E107" s="1174">
        <f t="shared" si="77"/>
      </c>
      <c r="F107" s="1174" t="s">
        <v>1047</v>
      </c>
      <c r="G107" s="1077"/>
      <c r="H107" s="1174" t="s">
        <v>972</v>
      </c>
      <c r="I107" s="1174" t="s">
        <v>946</v>
      </c>
      <c r="J107" s="1164" t="s">
        <v>1044</v>
      </c>
      <c r="K107" s="1067"/>
      <c r="L107" s="1067"/>
      <c r="M107" s="1067"/>
      <c r="N107" s="1067"/>
      <c r="O107" s="1067"/>
      <c r="P107" s="1067"/>
    </row>
    <row customHeight="true" ht="14.880952380952381" r="108"/>
    <row customHeight="true" ht="18.452380952380953" r="109">
      <c r="A109" s="1058" t="s">
        <v>1049</v>
      </c>
      <c r="B109" s="1175">
        <v>46287</v>
      </c>
      <c r="C109" s="1058" t="str">
        <v>Tuesday</v>
      </c>
      <c r="D109" s="1173" t="s">
        <v>1046</v>
      </c>
      <c r="E109" s="1174">
        <f t="shared" ref="E109:E110" si="78">24*MOD(TIMEVALUE(TRIM(MID(D109,FIND("-",D109)+1,LEN(D109)))) - TIMEVALUE(TRIM(LEFT(D109,FIND("-",D109)-1))),1)</f>
      </c>
      <c r="F109" s="1174" t="s">
        <v>1050</v>
      </c>
      <c r="G109" s="1077"/>
      <c r="H109" s="1174" t="s">
        <v>972</v>
      </c>
      <c r="I109" s="1174" t="s">
        <v>946</v>
      </c>
      <c r="J109" s="1164"/>
      <c r="K109" s="1067"/>
      <c r="L109" s="1067"/>
      <c r="M109" s="1067"/>
      <c r="N109" s="1067"/>
      <c r="O109" s="1067"/>
      <c r="P109" s="1067"/>
    </row>
    <row customHeight="true" ht="18.452380952380953" r="110">
      <c r="A110" s="1058" t="s">
        <v>1049</v>
      </c>
      <c r="B110" s="1175">
        <v>46288</v>
      </c>
      <c r="C110" s="1058" t="str">
        <v>Wednesday</v>
      </c>
      <c r="D110" s="1173" t="s">
        <v>1048</v>
      </c>
      <c r="E110" s="1174">
        <f t="shared" si="78"/>
      </c>
      <c r="F110" s="1174" t="s">
        <v>1050</v>
      </c>
      <c r="G110" s="1077"/>
      <c r="H110" s="1174" t="s">
        <v>972</v>
      </c>
      <c r="I110" s="1174" t="s">
        <v>946</v>
      </c>
      <c r="J110" s="1164"/>
      <c r="K110" s="1067"/>
      <c r="L110" s="1067"/>
      <c r="M110" s="1067"/>
      <c r="N110" s="1067"/>
      <c r="O110" s="1067"/>
      <c r="P110" s="1067"/>
    </row>
    <row customHeight="true" ht="16.071428571428573" r="111"/>
    <row r="112">
      <c r="A112" s="1176" t="s">
        <v>1051</v>
      </c>
      <c r="B112" s="1176"/>
      <c r="C112" s="1176"/>
      <c r="D112" s="1176"/>
      <c r="E112" s="1176"/>
      <c r="F112" s="1176"/>
      <c r="G112" s="1177"/>
      <c r="H112" s="1177"/>
      <c r="I112" s="1177"/>
      <c r="J112" s="1178"/>
      <c r="K112" s="1101"/>
      <c r="M112" s="1101"/>
      <c r="N112" s="1101"/>
      <c r="O112" s="1101"/>
      <c r="P112" s="1101"/>
    </row>
    <row r="113">
      <c r="A113" s="1179" t="s">
        <v>958</v>
      </c>
      <c r="B113" s="1180" t="s">
        <v>959</v>
      </c>
      <c r="C113" s="1180"/>
      <c r="D113" s="1179" t="s">
        <v>960</v>
      </c>
      <c r="E113" s="1181" t="s">
        <v>1016</v>
      </c>
      <c r="F113" s="1179" t="s">
        <v>962</v>
      </c>
      <c r="G113" s="1182" t="s">
        <v>974</v>
      </c>
      <c r="H113" s="1179" t="s">
        <v>964</v>
      </c>
      <c r="I113" s="1179" t="s">
        <v>965</v>
      </c>
      <c r="J113" s="1183" t="s">
        <v>966</v>
      </c>
      <c r="K113" s="1087"/>
      <c r="L113" s="1101"/>
      <c r="M113" s="1087"/>
      <c r="N113" s="1087"/>
      <c r="O113" s="1087"/>
      <c r="P113" s="1087"/>
    </row>
    <row r="114">
      <c r="A114" s="1088" t="s">
        <v>1051</v>
      </c>
      <c r="B114" s="1088">
        <v>46288</v>
      </c>
      <c r="C114" s="1088" t="str">
        <v>Wednesday</v>
      </c>
      <c r="D114" s="1184" t="s">
        <v>1052</v>
      </c>
      <c r="E114" s="1093">
        <f t="shared" ref="E114:E118" si="79">24*MOD(TIMEVALUE(TRIM(MID(D114,FIND("-",D114)+1,LEN(D114)))) - TIMEVALUE(TRIM(LEFT(D114,FIND("-",D114)-1))),1)</f>
      </c>
      <c r="F114" s="1093" t="s">
        <v>1043</v>
      </c>
      <c r="G114" s="1097"/>
      <c r="H114" s="1093" t="s">
        <v>972</v>
      </c>
      <c r="I114" s="1093" t="s">
        <v>946</v>
      </c>
      <c r="J114" s="1066" t="s">
        <v>1044</v>
      </c>
      <c r="K114" s="1185"/>
      <c r="L114" s="1185"/>
      <c r="M114" s="1185"/>
      <c r="N114" s="1185"/>
      <c r="O114" s="1185"/>
      <c r="P114" s="1185"/>
      <c r="Q114" s="1098"/>
      <c r="R114" s="1098"/>
    </row>
    <row customHeight="true" ht="18.452380952380953" r="115">
      <c r="A115" s="1088" t="s">
        <v>1051</v>
      </c>
      <c r="B115" s="1088">
        <v>46289</v>
      </c>
      <c r="C115" s="1088" t="str">
        <v>Thursday</v>
      </c>
      <c r="D115" s="1184" t="s">
        <v>1053</v>
      </c>
      <c r="E115" s="1093">
        <f t="shared" si="79"/>
      </c>
      <c r="F115" s="1093" t="s">
        <v>1043</v>
      </c>
      <c r="G115" s="1097"/>
      <c r="H115" s="1093" t="s">
        <v>972</v>
      </c>
      <c r="I115" s="1093" t="s">
        <v>946</v>
      </c>
      <c r="J115" s="1066" t="s">
        <v>1044</v>
      </c>
      <c r="K115" s="1185"/>
      <c r="L115" s="1185"/>
      <c r="M115" s="1185"/>
      <c r="N115" s="1185"/>
      <c r="O115" s="1185"/>
      <c r="P115" s="1185"/>
      <c r="Q115" s="1098"/>
      <c r="R115" s="1098"/>
    </row>
    <row customHeight="true" ht="18.452380952380953" r="116">
      <c r="A116" s="1088" t="s">
        <v>1051</v>
      </c>
      <c r="B116" s="1088">
        <v>46290</v>
      </c>
      <c r="C116" s="1088" t="str">
        <v>Friday</v>
      </c>
      <c r="D116" s="1184" t="s">
        <v>1052</v>
      </c>
      <c r="E116" s="1093">
        <f t="shared" si="79"/>
      </c>
      <c r="F116" s="1093" t="s">
        <v>1043</v>
      </c>
      <c r="G116" s="1097"/>
      <c r="H116" s="1093" t="s">
        <v>972</v>
      </c>
      <c r="I116" s="1093" t="s">
        <v>946</v>
      </c>
      <c r="J116" s="1066" t="s">
        <v>1044</v>
      </c>
      <c r="K116" s="1185"/>
      <c r="L116" s="1185"/>
      <c r="M116" s="1185"/>
      <c r="N116" s="1185"/>
      <c r="O116" s="1185"/>
      <c r="P116" s="1185"/>
      <c r="Q116" s="1098"/>
      <c r="R116" s="1098"/>
    </row>
    <row customHeight="true" ht="18.452380952380953" r="117">
      <c r="A117" s="1110" t="s">
        <v>1051</v>
      </c>
      <c r="B117" s="1110">
        <v>46291</v>
      </c>
      <c r="C117" s="1110" t="str">
        <v>Saturday</v>
      </c>
      <c r="D117" s="1186" t="s">
        <v>1052</v>
      </c>
      <c r="E117" s="1113">
        <f t="shared" si="79"/>
      </c>
      <c r="F117" s="1113" t="s">
        <v>1054</v>
      </c>
      <c r="G117" s="1187"/>
      <c r="H117" s="1113" t="s">
        <v>972</v>
      </c>
      <c r="I117" s="1113" t="s">
        <v>970</v>
      </c>
      <c r="J117" s="1164" t="s">
        <v>1055</v>
      </c>
      <c r="K117" s="1185"/>
      <c r="L117" s="1185"/>
      <c r="M117" s="1185"/>
      <c r="N117" s="1185"/>
      <c r="O117" s="1185"/>
      <c r="P117" s="1185"/>
      <c r="Q117" s="1098"/>
      <c r="R117" s="1098"/>
    </row>
    <row r="118">
      <c r="A118" s="1110" t="s">
        <v>1051</v>
      </c>
      <c r="B118" s="1110">
        <v>46292</v>
      </c>
      <c r="C118" s="1110" t="str">
        <v>Sunday</v>
      </c>
      <c r="D118" s="1186" t="s">
        <v>1052</v>
      </c>
      <c r="E118" s="1113">
        <f t="shared" si="79"/>
      </c>
      <c r="F118" s="1113" t="s">
        <v>1054</v>
      </c>
      <c r="G118" s="1187"/>
      <c r="H118" s="1113" t="s">
        <v>972</v>
      </c>
      <c r="I118" s="1113" t="s">
        <v>970</v>
      </c>
      <c r="J118" s="1164" t="s">
        <v>1055</v>
      </c>
      <c r="K118" s="1185"/>
      <c r="L118" s="1185"/>
      <c r="M118" s="1185"/>
      <c r="N118" s="1185"/>
      <c r="O118" s="1185"/>
      <c r="P118" s="1185"/>
      <c r="Q118" s="1098"/>
      <c r="R118" s="1098"/>
    </row>
    <row customHeight="true" ht="14.880952380952381" r="119"/>
    <row r="120">
      <c r="A120" s="1058" t="s">
        <v>1056</v>
      </c>
      <c r="B120" s="1059">
        <v>46288</v>
      </c>
      <c r="C120" s="1058" t="str">
        <v>Wednesday</v>
      </c>
      <c r="D120" s="1173" t="s">
        <v>1057</v>
      </c>
      <c r="E120" s="1174">
        <f t="shared" ref="E120:E124" si="80">24*MOD(TIMEVALUE(TRIM(MID(D120,FIND("-",D120)+1,LEN(D120)))) - TIMEVALUE(TRIM(LEFT(D120,FIND("-",D120)-1))),1)</f>
      </c>
      <c r="F120" s="1174" t="s">
        <v>1047</v>
      </c>
      <c r="G120" s="1077"/>
      <c r="H120" s="1174" t="s">
        <v>972</v>
      </c>
      <c r="I120" s="1174" t="s">
        <v>946</v>
      </c>
      <c r="J120" s="1164" t="s">
        <v>1044</v>
      </c>
      <c r="K120" s="1067"/>
      <c r="L120" s="1067"/>
      <c r="M120" s="1067"/>
      <c r="N120" s="1067"/>
      <c r="O120" s="1067"/>
      <c r="P120" s="1067"/>
    </row>
    <row r="121">
      <c r="A121" s="1058" t="s">
        <v>1056</v>
      </c>
      <c r="B121" s="1059">
        <v>46289</v>
      </c>
      <c r="C121" s="1058" t="str">
        <v>Thursday</v>
      </c>
      <c r="D121" s="1173" t="s">
        <v>1058</v>
      </c>
      <c r="E121" s="1174">
        <f t="shared" si="80"/>
      </c>
      <c r="F121" s="1093" t="s">
        <v>1050</v>
      </c>
      <c r="G121" s="1077"/>
      <c r="H121" s="1174" t="s">
        <v>972</v>
      </c>
      <c r="I121" s="1174" t="s">
        <v>946</v>
      </c>
      <c r="J121" s="1164" t="s">
        <v>1044</v>
      </c>
      <c r="K121" s="1067"/>
      <c r="L121" s="1067"/>
      <c r="M121" s="1067"/>
      <c r="N121" s="1067"/>
      <c r="O121" s="1067"/>
      <c r="P121" s="1067"/>
    </row>
    <row r="122">
      <c r="A122" s="1058" t="s">
        <v>1056</v>
      </c>
      <c r="B122" s="1059">
        <v>46290</v>
      </c>
      <c r="C122" s="1058" t="str">
        <v>Friday</v>
      </c>
      <c r="D122" s="1173" t="s">
        <v>1057</v>
      </c>
      <c r="E122" s="1174">
        <f t="shared" si="80"/>
      </c>
      <c r="F122" s="1174" t="s">
        <v>1047</v>
      </c>
      <c r="G122" s="1077"/>
      <c r="H122" s="1174" t="s">
        <v>972</v>
      </c>
      <c r="I122" s="1174" t="s">
        <v>946</v>
      </c>
      <c r="J122" s="1164" t="s">
        <v>1044</v>
      </c>
      <c r="K122" s="1067"/>
      <c r="L122" s="1067"/>
      <c r="M122" s="1067"/>
      <c r="N122" s="1067"/>
      <c r="O122" s="1067"/>
      <c r="P122" s="1067"/>
    </row>
    <row r="123">
      <c r="A123" s="1159" t="s">
        <v>1056</v>
      </c>
      <c r="B123" s="1160">
        <v>46291</v>
      </c>
      <c r="C123" s="1159" t="str">
        <v>Saturday</v>
      </c>
      <c r="D123" s="1161" t="s">
        <v>1057</v>
      </c>
      <c r="E123" s="1162">
        <f t="shared" si="80"/>
      </c>
      <c r="F123" s="1162" t="s">
        <v>1047</v>
      </c>
      <c r="G123" s="1163"/>
      <c r="H123" s="1162" t="s">
        <v>972</v>
      </c>
      <c r="I123" s="1162" t="s">
        <v>946</v>
      </c>
      <c r="J123" s="1164" t="s">
        <v>1059</v>
      </c>
      <c r="K123" s="1067"/>
      <c r="L123" s="1067"/>
      <c r="M123" s="1067"/>
      <c r="N123" s="1067"/>
      <c r="O123" s="1067"/>
      <c r="P123" s="1067"/>
    </row>
    <row r="124">
      <c r="A124" s="1159" t="s">
        <v>1056</v>
      </c>
      <c r="B124" s="1160">
        <v>46292</v>
      </c>
      <c r="C124" s="1159" t="str">
        <v>Sunday</v>
      </c>
      <c r="D124" s="1161" t="s">
        <v>1057</v>
      </c>
      <c r="E124" s="1162">
        <f t="shared" si="80"/>
      </c>
      <c r="F124" s="1162" t="s">
        <v>1047</v>
      </c>
      <c r="G124" s="1163"/>
      <c r="H124" s="1162" t="s">
        <v>972</v>
      </c>
      <c r="I124" s="1162" t="s">
        <v>946</v>
      </c>
      <c r="J124" s="1164" t="s">
        <v>1059</v>
      </c>
      <c r="K124" s="1067"/>
      <c r="L124" s="1067"/>
      <c r="M124" s="1067"/>
      <c r="N124" s="1067"/>
      <c r="O124" s="1067"/>
      <c r="P124" s="1067"/>
    </row>
    <row customHeight="true" ht="14.880952380952381" r="125"/>
    <row customHeight="true" ht="18.452380952380953" r="126">
      <c r="A126" s="1058" t="s">
        <v>1060</v>
      </c>
      <c r="B126" s="1059">
        <v>46288</v>
      </c>
      <c r="C126" s="1058" t="str">
        <v>Wednesday</v>
      </c>
      <c r="D126" s="1173" t="s">
        <v>1061</v>
      </c>
      <c r="E126" s="1174">
        <f t="shared" ref="E126:E128" si="81">24*MOD(TIMEVALUE(TRIM(MID(D126,FIND("-",D126)+1,LEN(D126)))) - TIMEVALUE(TRIM(LEFT(D126,FIND("-",D126)-1))),1)</f>
      </c>
      <c r="F126" s="1093" t="s">
        <v>1043</v>
      </c>
      <c r="G126" s="1077"/>
      <c r="H126" s="1174" t="s">
        <v>972</v>
      </c>
      <c r="I126" s="1174" t="s">
        <v>946</v>
      </c>
      <c r="J126" s="1164" t="s">
        <v>1044</v>
      </c>
      <c r="K126" s="1067"/>
      <c r="L126" s="1067"/>
      <c r="M126" s="1067"/>
      <c r="N126" s="1067"/>
      <c r="O126" s="1067"/>
      <c r="P126" s="1067"/>
    </row>
    <row customHeight="true" ht="18.452380952380953" r="127">
      <c r="A127" s="1058" t="s">
        <v>1060</v>
      </c>
      <c r="B127" s="1059">
        <v>46288</v>
      </c>
      <c r="C127" s="1058" t="str">
        <v>Wednesday</v>
      </c>
      <c r="D127" s="1173" t="s">
        <v>1057</v>
      </c>
      <c r="E127" s="1174">
        <f t="shared" si="81"/>
      </c>
      <c r="F127" s="1093" t="s">
        <v>1050</v>
      </c>
      <c r="G127" s="1077"/>
      <c r="H127" s="1174" t="s">
        <v>972</v>
      </c>
      <c r="I127" s="1174" t="s">
        <v>946</v>
      </c>
      <c r="J127" s="1164" t="s">
        <v>1044</v>
      </c>
      <c r="K127" s="1067"/>
      <c r="L127" s="1067"/>
      <c r="M127" s="1067"/>
      <c r="N127" s="1067"/>
      <c r="O127" s="1067"/>
      <c r="P127" s="1067"/>
    </row>
    <row customHeight="true" ht="18.452380952380953" r="128">
      <c r="A128" s="1159" t="s">
        <v>1060</v>
      </c>
      <c r="B128" s="1160">
        <v>46290</v>
      </c>
      <c r="C128" s="1159" t="str">
        <v>Friday</v>
      </c>
      <c r="D128" s="1161" t="s">
        <v>1052</v>
      </c>
      <c r="E128" s="1162">
        <f t="shared" si="81"/>
      </c>
      <c r="F128" s="1162" t="s">
        <v>1054</v>
      </c>
      <c r="G128" s="1163"/>
      <c r="H128" s="1162" t="s">
        <v>972</v>
      </c>
      <c r="I128" s="1162" t="s">
        <v>970</v>
      </c>
      <c r="J128" s="1164" t="s">
        <v>1055</v>
      </c>
      <c r="K128" s="1067"/>
      <c r="L128" s="1067"/>
      <c r="M128" s="1067"/>
      <c r="N128" s="1067"/>
      <c r="O128" s="1067"/>
      <c r="P128" s="1067"/>
    </row>
    <row customHeight="true" ht="16.071428571428573" r="129"/>
    <row r="130">
      <c r="A130" s="1188" t="s">
        <v>1062</v>
      </c>
      <c r="B130" s="1189" t="s">
        <v>1063</v>
      </c>
      <c r="C130" s="1190"/>
      <c r="D130" s="1190"/>
      <c r="E130" s="1190"/>
      <c r="F130" s="1190"/>
      <c r="G130" s="1190"/>
      <c r="H130" s="1190"/>
      <c r="I130" s="1190"/>
      <c r="J130" s="1191"/>
      <c r="K130" s="1192"/>
      <c r="L130" s="1192"/>
      <c r="M130" s="1192"/>
      <c r="N130" s="1192"/>
      <c r="O130" s="1192"/>
      <c r="P130" s="1192"/>
    </row>
    <row r="131">
      <c r="A131" s="1193" t="s">
        <v>958</v>
      </c>
      <c r="B131" s="1194" t="s">
        <v>959</v>
      </c>
      <c r="C131" s="1194"/>
      <c r="D131" s="1195" t="s">
        <v>960</v>
      </c>
      <c r="E131" s="1195" t="s">
        <v>961</v>
      </c>
      <c r="F131" s="1195" t="s">
        <v>962</v>
      </c>
      <c r="G131" s="1196" t="s">
        <v>974</v>
      </c>
      <c r="H131" s="1195" t="s">
        <v>964</v>
      </c>
      <c r="I131" s="1195" t="s">
        <v>965</v>
      </c>
      <c r="J131" s="1197" t="s">
        <v>966</v>
      </c>
      <c r="K131" s="1087"/>
      <c r="L131" s="1087"/>
      <c r="M131" s="1087"/>
      <c r="N131" s="1087"/>
      <c r="O131" s="1087"/>
      <c r="P131" s="1087"/>
    </row>
    <row customHeight="true" ht="18.452380952380953" r="132">
      <c r="A132" s="1198" t="s">
        <v>1062</v>
      </c>
      <c r="B132" s="1070">
        <v>46286</v>
      </c>
      <c r="C132" s="1088" t="str">
        <v>Monday</v>
      </c>
      <c r="D132" s="1095" t="s">
        <v>1064</v>
      </c>
      <c r="E132" s="1061">
        <f t="shared" ref="E132:E139" si="82">24*MOD(TIMEVALUE(TRIM(MID(D132,FIND("-",D132)+1,LEN(D132)))) - TIMEVALUE(TRIM(LEFT(D132,FIND("-",D132)-1))),1)</f>
      </c>
      <c r="F132" s="1065" t="s">
        <v>1065</v>
      </c>
      <c r="G132" s="1199"/>
      <c r="H132" s="1065" t="s">
        <v>972</v>
      </c>
      <c r="I132" s="1093" t="s">
        <v>970</v>
      </c>
      <c r="J132" s="1200"/>
      <c r="K132" s="1201"/>
      <c r="L132" s="1201"/>
      <c r="M132" s="1201"/>
      <c r="N132" s="1201"/>
      <c r="O132" s="1201"/>
      <c r="P132" s="1201"/>
      <c r="Q132" s="1098"/>
      <c r="R132" s="1098"/>
    </row>
    <row customHeight="true" ht="18.452380952380953" r="133">
      <c r="A133" s="1198" t="s">
        <v>1062</v>
      </c>
      <c r="B133" s="1070">
        <v>46287</v>
      </c>
      <c r="C133" s="1088" t="str">
        <v>Tuesday</v>
      </c>
      <c r="D133" s="1095" t="s">
        <v>1066</v>
      </c>
      <c r="E133" s="1061">
        <f t="shared" si="82"/>
      </c>
      <c r="F133" s="1065" t="s">
        <v>980</v>
      </c>
      <c r="G133" s="1202"/>
      <c r="H133" s="1065" t="s">
        <v>972</v>
      </c>
      <c r="I133" s="1093" t="s">
        <v>970</v>
      </c>
      <c r="J133" s="1200"/>
      <c r="K133" s="1203"/>
      <c r="L133" s="1203"/>
      <c r="M133" s="1203"/>
      <c r="N133" s="1203"/>
      <c r="O133" s="1203"/>
      <c r="P133" s="1203"/>
    </row>
    <row customHeight="true" ht="18.452380952380953" r="134">
      <c r="A134" s="1198" t="s">
        <v>1062</v>
      </c>
      <c r="B134" s="1070">
        <v>46288</v>
      </c>
      <c r="C134" s="1088" t="str">
        <v>Wednesday</v>
      </c>
      <c r="D134" s="1095" t="s">
        <v>1064</v>
      </c>
      <c r="E134" s="1061">
        <f t="shared" si="82"/>
      </c>
      <c r="F134" s="1065" t="s">
        <v>1065</v>
      </c>
      <c r="G134" s="1199"/>
      <c r="H134" s="1065" t="s">
        <v>972</v>
      </c>
      <c r="I134" s="1093" t="s">
        <v>970</v>
      </c>
      <c r="J134" s="1200"/>
      <c r="K134" s="1201"/>
      <c r="L134" s="1201"/>
      <c r="M134" s="1201"/>
      <c r="N134" s="1201"/>
      <c r="O134" s="1201"/>
      <c r="P134" s="1201"/>
      <c r="Q134" s="1098"/>
      <c r="R134" s="1098"/>
    </row>
    <row customHeight="true" ht="18.452380952380953" r="135">
      <c r="A135" s="1204" t="s">
        <v>1062</v>
      </c>
      <c r="B135" s="1070">
        <v>46289</v>
      </c>
      <c r="C135" s="1088" t="str">
        <v>Thursday</v>
      </c>
      <c r="D135" s="1095" t="s">
        <v>1064</v>
      </c>
      <c r="E135" s="1061">
        <f t="shared" si="82"/>
      </c>
      <c r="F135" s="1065" t="s">
        <v>1065</v>
      </c>
      <c r="G135" s="1205"/>
      <c r="H135" s="1065" t="s">
        <v>972</v>
      </c>
      <c r="I135" s="1093" t="s">
        <v>946</v>
      </c>
      <c r="J135" s="1206"/>
      <c r="K135" s="1203"/>
      <c r="L135" s="1203"/>
      <c r="M135" s="1203"/>
      <c r="N135" s="1203"/>
      <c r="O135" s="1203"/>
      <c r="P135" s="1203"/>
    </row>
    <row r="136">
      <c r="A136" s="1204" t="s">
        <v>1062</v>
      </c>
      <c r="B136" s="1070">
        <v>46290</v>
      </c>
      <c r="C136" s="1088" t="str">
        <v>Friday</v>
      </c>
      <c r="D136" s="1095" t="s">
        <v>1064</v>
      </c>
      <c r="E136" s="1061">
        <f t="shared" si="82"/>
      </c>
      <c r="F136" s="1065" t="s">
        <v>1065</v>
      </c>
      <c r="G136" s="1205"/>
      <c r="H136" s="1065" t="s">
        <v>972</v>
      </c>
      <c r="I136" s="1093" t="s">
        <v>946</v>
      </c>
      <c r="J136" s="1206"/>
      <c r="K136" s="1203"/>
      <c r="L136" s="1203"/>
      <c r="M136" s="1203"/>
      <c r="N136" s="1203"/>
      <c r="O136" s="1203"/>
      <c r="P136" s="1203"/>
    </row>
    <row customHeight="true" ht="18.452380952380953" r="137">
      <c r="A137" s="1198" t="s">
        <v>1062</v>
      </c>
      <c r="B137" s="1070">
        <v>46291</v>
      </c>
      <c r="C137" s="1088" t="str">
        <v>Saturday</v>
      </c>
      <c r="D137" s="1095" t="s">
        <v>976</v>
      </c>
      <c r="E137" s="1061">
        <f t="shared" si="82"/>
      </c>
      <c r="F137" s="1065" t="s">
        <v>1065</v>
      </c>
      <c r="G137" s="1205"/>
      <c r="H137" s="1065" t="s">
        <v>972</v>
      </c>
      <c r="I137" s="1093" t="s">
        <v>946</v>
      </c>
      <c r="J137" s="1200"/>
      <c r="K137" s="1203"/>
      <c r="L137" s="1203"/>
      <c r="M137" s="1203"/>
      <c r="N137" s="1203"/>
      <c r="O137" s="1203"/>
      <c r="P137" s="1203"/>
    </row>
    <row customHeight="true" ht="18.452380952380953" r="138">
      <c r="A138" s="1198" t="s">
        <v>1062</v>
      </c>
      <c r="B138" s="1070">
        <v>46291</v>
      </c>
      <c r="C138" s="1088" t="str">
        <v>Saturday</v>
      </c>
      <c r="D138" s="1095" t="s">
        <v>1067</v>
      </c>
      <c r="E138" s="1061">
        <f t="shared" si="82"/>
      </c>
      <c r="F138" s="1065" t="s">
        <v>1068</v>
      </c>
      <c r="G138" s="1207"/>
      <c r="H138" s="1065" t="s">
        <v>972</v>
      </c>
      <c r="I138" s="1093" t="s">
        <v>946</v>
      </c>
      <c r="J138" s="1200"/>
      <c r="K138" s="1201"/>
      <c r="L138" s="1201"/>
      <c r="M138" s="1201"/>
      <c r="N138" s="1201"/>
      <c r="O138" s="1201"/>
      <c r="P138" s="1201"/>
      <c r="Q138" s="1098"/>
      <c r="R138" s="1098"/>
    </row>
    <row customHeight="true" ht="18.452380952380953" r="139">
      <c r="A139" s="1198" t="s">
        <v>1062</v>
      </c>
      <c r="B139" s="1070">
        <v>46292</v>
      </c>
      <c r="C139" s="1088" t="str">
        <v>Sunday</v>
      </c>
      <c r="D139" s="1095" t="s">
        <v>1064</v>
      </c>
      <c r="E139" s="1061">
        <f t="shared" si="82"/>
      </c>
      <c r="F139" s="1065" t="s">
        <v>1068</v>
      </c>
      <c r="G139" s="1205"/>
      <c r="H139" s="1065" t="s">
        <v>972</v>
      </c>
      <c r="I139" s="1093" t="s">
        <v>946</v>
      </c>
      <c r="J139" s="1200"/>
      <c r="K139" s="1203"/>
      <c r="L139" s="1203"/>
      <c r="M139" s="1203"/>
      <c r="N139" s="1203"/>
      <c r="O139" s="1203"/>
      <c r="P139" s="1203"/>
    </row>
    <row customHeight="true" ht="18.452380952380953" r="140">
      <c r="A140" s="1198"/>
      <c r="B140" s="1070"/>
      <c r="C140" s="1088"/>
      <c r="D140" s="1095"/>
      <c r="E140" s="1061"/>
      <c r="F140" s="1065"/>
      <c r="G140" s="1202"/>
      <c r="H140" s="1065"/>
      <c r="I140" s="1093"/>
      <c r="J140" s="1200"/>
      <c r="K140" s="1203"/>
      <c r="L140" s="1203"/>
      <c r="M140" s="1203"/>
      <c r="N140" s="1203"/>
      <c r="O140" s="1203"/>
      <c r="P140" s="1203"/>
    </row>
    <row customHeight="true" ht="18.452380952380953" r="141">
      <c r="A141" s="1198" t="s">
        <v>1069</v>
      </c>
      <c r="B141" s="1070">
        <v>46289</v>
      </c>
      <c r="C141" s="1088" t="str">
        <v>Thursday</v>
      </c>
      <c r="D141" s="1095" t="s">
        <v>1070</v>
      </c>
      <c r="E141" s="1061">
        <f t="shared" ref="E141:E142" si="83">24*MOD(TIMEVALUE(TRIM(MID(D141,FIND("-",D141)+1,LEN(D141)))) - TIMEVALUE(TRIM(LEFT(D141,FIND("-",D141)-1))),1)</f>
      </c>
      <c r="F141" s="1065" t="s">
        <v>1071</v>
      </c>
      <c r="G141" s="1202"/>
      <c r="H141" s="1065" t="s">
        <v>972</v>
      </c>
      <c r="I141" s="1093" t="s">
        <v>946</v>
      </c>
      <c r="J141" s="1200"/>
      <c r="K141" s="1203"/>
      <c r="L141" s="1203"/>
      <c r="M141" s="1203"/>
      <c r="N141" s="1203"/>
      <c r="O141" s="1203"/>
      <c r="P141" s="1203"/>
    </row>
    <row customHeight="true" ht="18.452380952380953" r="142">
      <c r="A142" s="1198" t="s">
        <v>1069</v>
      </c>
      <c r="B142" s="1070">
        <v>46292</v>
      </c>
      <c r="C142" s="1088" t="str">
        <v>Sunday</v>
      </c>
      <c r="D142" s="1095" t="s">
        <v>1072</v>
      </c>
      <c r="E142" s="1061">
        <f t="shared" si="83"/>
      </c>
      <c r="F142" s="1065" t="s">
        <v>1071</v>
      </c>
      <c r="G142" s="1202"/>
      <c r="H142" s="1065" t="s">
        <v>972</v>
      </c>
      <c r="I142" s="1093" t="s">
        <v>946</v>
      </c>
      <c r="J142" s="1200"/>
      <c r="K142" s="1203"/>
      <c r="L142" s="1203"/>
      <c r="M142" s="1203"/>
      <c r="N142" s="1203"/>
      <c r="O142" s="1203"/>
      <c r="P142" s="1203"/>
    </row>
    <row customHeight="true" ht="18.452380952380953" r="143">
      <c r="A143" s="1198"/>
      <c r="B143" s="1070"/>
      <c r="C143" s="1088"/>
      <c r="D143" s="1095"/>
      <c r="E143" s="1061"/>
      <c r="F143" s="1065"/>
      <c r="G143" s="1202"/>
      <c r="H143" s="1065"/>
      <c r="I143" s="1093"/>
      <c r="J143" s="1200"/>
      <c r="K143" s="1203"/>
      <c r="L143" s="1203"/>
      <c r="M143" s="1203"/>
      <c r="N143" s="1203"/>
      <c r="O143" s="1203"/>
      <c r="P143" s="1203"/>
    </row>
    <row customHeight="true" ht="18.452380952380953" r="144">
      <c r="A144" s="1198" t="s">
        <v>1073</v>
      </c>
      <c r="B144" s="1070">
        <v>46286</v>
      </c>
      <c r="C144" s="1088" t="str">
        <v>Monday</v>
      </c>
      <c r="D144" s="1095" t="s">
        <v>1064</v>
      </c>
      <c r="E144" s="1061">
        <f t="shared" ref="E144:E155" si="84">24*MOD(TIMEVALUE(TRIM(MID(D144,FIND("-",D144)+1,LEN(D144)))) - TIMEVALUE(TRIM(LEFT(D144,FIND("-",D144)-1))),1)</f>
      </c>
      <c r="F144" s="1065" t="s">
        <v>1074</v>
      </c>
      <c r="G144" s="1202"/>
      <c r="H144" s="1065" t="s">
        <v>972</v>
      </c>
      <c r="I144" s="1093" t="s">
        <v>946</v>
      </c>
      <c r="J144" s="1200"/>
      <c r="K144" s="1203"/>
      <c r="L144" s="1203"/>
      <c r="M144" s="1203"/>
      <c r="N144" s="1203"/>
      <c r="O144" s="1203"/>
      <c r="P144" s="1203"/>
    </row>
    <row customHeight="true" ht="18.452380952380953" r="145">
      <c r="A145" s="1198" t="s">
        <v>1073</v>
      </c>
      <c r="B145" s="1070">
        <v>46287</v>
      </c>
      <c r="C145" s="1088" t="str">
        <v>Tuesday</v>
      </c>
      <c r="D145" s="1095" t="s">
        <v>1066</v>
      </c>
      <c r="E145" s="1061">
        <f t="shared" si="84"/>
      </c>
      <c r="F145" s="1065" t="s">
        <v>1074</v>
      </c>
      <c r="G145" s="1199"/>
      <c r="H145" s="1065" t="s">
        <v>972</v>
      </c>
      <c r="I145" s="1093" t="s">
        <v>946</v>
      </c>
      <c r="J145" s="1200"/>
      <c r="K145" s="1203"/>
      <c r="L145" s="1203"/>
      <c r="M145" s="1203"/>
      <c r="N145" s="1203"/>
      <c r="O145" s="1203"/>
      <c r="P145" s="1203"/>
    </row>
    <row customHeight="true" ht="18.452380952380953" r="146">
      <c r="A146" s="1198" t="s">
        <v>1073</v>
      </c>
      <c r="B146" s="1070">
        <v>46288</v>
      </c>
      <c r="C146" s="1088" t="str">
        <v>Wednesday</v>
      </c>
      <c r="D146" s="1065" t="s">
        <v>1075</v>
      </c>
      <c r="E146" s="1061">
        <f t="shared" si="84"/>
      </c>
      <c r="F146" s="1065" t="s">
        <v>1074</v>
      </c>
      <c r="G146" s="1199"/>
      <c r="H146" s="1065" t="s">
        <v>972</v>
      </c>
      <c r="I146" s="1093" t="s">
        <v>946</v>
      </c>
      <c r="J146" s="1200"/>
      <c r="K146" s="1203"/>
      <c r="L146" s="1203"/>
      <c r="M146" s="1203"/>
      <c r="N146" s="1203"/>
      <c r="O146" s="1203"/>
      <c r="P146" s="1203"/>
    </row>
    <row customHeight="true" ht="18.452380952380953" r="147">
      <c r="A147" s="1198" t="s">
        <v>1073</v>
      </c>
      <c r="B147" s="1070">
        <v>46289</v>
      </c>
      <c r="C147" s="1088" t="str">
        <v>Thursday</v>
      </c>
      <c r="D147" s="1095" t="s">
        <v>1064</v>
      </c>
      <c r="E147" s="1061">
        <f t="shared" si="84"/>
      </c>
      <c r="F147" s="1065" t="s">
        <v>1074</v>
      </c>
      <c r="G147" s="1199"/>
      <c r="H147" s="1065" t="s">
        <v>972</v>
      </c>
      <c r="I147" s="1093" t="s">
        <v>946</v>
      </c>
      <c r="J147" s="1200"/>
      <c r="K147" s="1203"/>
      <c r="L147" s="1203"/>
      <c r="M147" s="1203"/>
      <c r="N147" s="1203"/>
      <c r="O147" s="1203"/>
      <c r="P147" s="1203"/>
    </row>
    <row customHeight="true" ht="18.452380952380953" r="148">
      <c r="A148" s="1198" t="s">
        <v>1073</v>
      </c>
      <c r="B148" s="1070">
        <v>46289</v>
      </c>
      <c r="C148" s="1088" t="str">
        <v>Thursday</v>
      </c>
      <c r="D148" s="1095" t="s">
        <v>1070</v>
      </c>
      <c r="E148" s="1061">
        <f t="shared" si="84"/>
      </c>
      <c r="F148" s="1065" t="s">
        <v>1074</v>
      </c>
      <c r="G148" s="1202" t="s">
        <v>1076</v>
      </c>
      <c r="H148" s="1065" t="s">
        <v>972</v>
      </c>
      <c r="I148" s="1093" t="s">
        <v>946</v>
      </c>
      <c r="J148" s="1200"/>
      <c r="K148" s="1203"/>
      <c r="L148" s="1203"/>
      <c r="M148" s="1203"/>
      <c r="N148" s="1203"/>
      <c r="O148" s="1203"/>
      <c r="P148" s="1203"/>
    </row>
    <row customHeight="true" ht="18.452380952380953" r="149">
      <c r="A149" s="1198" t="s">
        <v>1073</v>
      </c>
      <c r="B149" s="1070">
        <v>46290</v>
      </c>
      <c r="C149" s="1088" t="str">
        <v>Friday</v>
      </c>
      <c r="D149" s="1095" t="s">
        <v>1064</v>
      </c>
      <c r="E149" s="1061">
        <f t="shared" si="84"/>
      </c>
      <c r="F149" s="1065" t="s">
        <v>1077</v>
      </c>
      <c r="G149" s="1199"/>
      <c r="H149" s="1065"/>
      <c r="I149" s="1093"/>
      <c r="J149" s="1200"/>
      <c r="K149" s="1203"/>
      <c r="L149" s="1203"/>
      <c r="M149" s="1203"/>
      <c r="N149" s="1203"/>
      <c r="O149" s="1203"/>
      <c r="P149" s="1203"/>
    </row>
    <row customHeight="true" ht="18.452380952380953" r="150">
      <c r="A150" s="1198" t="s">
        <v>1073</v>
      </c>
      <c r="B150" s="1070">
        <v>46291</v>
      </c>
      <c r="C150" s="1088" t="str">
        <v>Saturday</v>
      </c>
      <c r="D150" s="1095" t="s">
        <v>976</v>
      </c>
      <c r="E150" s="1061">
        <f t="shared" si="84"/>
      </c>
      <c r="F150" s="1065" t="s">
        <v>1074</v>
      </c>
      <c r="G150" s="1199"/>
      <c r="H150" s="1065"/>
      <c r="I150" s="1093"/>
      <c r="J150" s="1200"/>
      <c r="K150" s="1203"/>
      <c r="L150" s="1203"/>
      <c r="M150" s="1203"/>
      <c r="N150" s="1203"/>
      <c r="O150" s="1203"/>
      <c r="P150" s="1203"/>
    </row>
    <row customHeight="true" ht="18.452380952380953" r="151">
      <c r="A151" s="1198" t="s">
        <v>1073</v>
      </c>
      <c r="B151" s="1070">
        <v>46291</v>
      </c>
      <c r="C151" s="1088" t="str">
        <v>Saturday</v>
      </c>
      <c r="D151" s="1095" t="s">
        <v>1067</v>
      </c>
      <c r="E151" s="1061">
        <f t="shared" si="84"/>
      </c>
      <c r="F151" s="1065" t="s">
        <v>1077</v>
      </c>
      <c r="G151" s="1199"/>
      <c r="H151" s="1065"/>
      <c r="I151" s="1093"/>
      <c r="J151" s="1200"/>
      <c r="K151" s="1203"/>
      <c r="L151" s="1203"/>
      <c r="M151" s="1203"/>
      <c r="N151" s="1203"/>
      <c r="O151" s="1203"/>
      <c r="P151" s="1203"/>
    </row>
    <row customHeight="true" ht="18.452380952380953" r="152">
      <c r="A152" s="1198" t="s">
        <v>1073</v>
      </c>
      <c r="B152" s="1070">
        <v>46292</v>
      </c>
      <c r="C152" s="1088" t="str">
        <v>Sunday</v>
      </c>
      <c r="D152" s="1095" t="s">
        <v>1064</v>
      </c>
      <c r="E152" s="1061">
        <f t="shared" si="84"/>
      </c>
      <c r="F152" s="1065" t="s">
        <v>1077</v>
      </c>
      <c r="G152" s="1199"/>
      <c r="H152" s="1065"/>
      <c r="I152" s="1093"/>
      <c r="J152" s="1200"/>
      <c r="K152" s="1203"/>
      <c r="L152" s="1203"/>
      <c r="M152" s="1203"/>
      <c r="N152" s="1203"/>
      <c r="O152" s="1203"/>
      <c r="P152" s="1203"/>
    </row>
    <row customHeight="true" ht="18.452380952380953" r="153">
      <c r="A153" s="1198" t="s">
        <v>1069</v>
      </c>
      <c r="B153" s="1070">
        <v>46286</v>
      </c>
      <c r="C153" s="1088" t="str">
        <v>Monday</v>
      </c>
      <c r="D153" s="1095" t="s">
        <v>1078</v>
      </c>
      <c r="E153" s="1061">
        <f t="shared" si="84"/>
      </c>
      <c r="F153" s="1065" t="s">
        <v>1079</v>
      </c>
      <c r="G153" s="1202"/>
      <c r="H153" s="1065" t="s">
        <v>972</v>
      </c>
      <c r="I153" s="1093" t="s">
        <v>946</v>
      </c>
      <c r="J153" s="1200"/>
      <c r="K153" s="1203"/>
      <c r="L153" s="1203"/>
      <c r="M153" s="1203"/>
      <c r="N153" s="1203"/>
      <c r="O153" s="1203"/>
      <c r="P153" s="1203"/>
    </row>
    <row customHeight="true" ht="18.452380952380953" r="154">
      <c r="A154" s="1198" t="s">
        <v>1069</v>
      </c>
      <c r="B154" s="1070">
        <v>46287</v>
      </c>
      <c r="C154" s="1088" t="str">
        <v>Tuesday</v>
      </c>
      <c r="D154" s="1095" t="s">
        <v>1078</v>
      </c>
      <c r="E154" s="1093">
        <f t="shared" si="84"/>
      </c>
      <c r="F154" s="1065" t="s">
        <v>1079</v>
      </c>
      <c r="G154" s="1199"/>
      <c r="H154" s="1065" t="s">
        <v>972</v>
      </c>
      <c r="I154" s="1093" t="s">
        <v>946</v>
      </c>
      <c r="J154" s="1200"/>
      <c r="K154" s="1201"/>
      <c r="L154" s="1201"/>
      <c r="M154" s="1201"/>
      <c r="N154" s="1201"/>
      <c r="O154" s="1201"/>
      <c r="P154" s="1201"/>
      <c r="Q154" s="1098"/>
      <c r="R154" s="1098"/>
    </row>
    <row customHeight="true" ht="18.452380952380953" r="155">
      <c r="A155" s="1198" t="s">
        <v>1069</v>
      </c>
      <c r="B155" s="1070">
        <v>46292</v>
      </c>
      <c r="C155" s="1088" t="str">
        <v>Sunday</v>
      </c>
      <c r="D155" s="1095" t="s">
        <v>1002</v>
      </c>
      <c r="E155" s="1061">
        <f t="shared" si="84"/>
      </c>
      <c r="F155" s="1065" t="s">
        <v>1079</v>
      </c>
      <c r="G155" s="1202"/>
      <c r="H155" s="1065" t="s">
        <v>972</v>
      </c>
      <c r="I155" s="1093" t="s">
        <v>946</v>
      </c>
      <c r="J155" s="1200"/>
      <c r="K155" s="1203"/>
      <c r="L155" s="1203"/>
      <c r="M155" s="1203"/>
      <c r="N155" s="1203"/>
      <c r="O155" s="1203"/>
      <c r="P155" s="1203"/>
    </row>
    <row customHeight="true" ht="18.452380952380953" r="156">
      <c r="A156" s="1208" t="s">
        <v>1080</v>
      </c>
      <c r="B156" s="1209" t="s">
        <v>1081</v>
      </c>
      <c r="C156" s="1210"/>
      <c r="D156" s="1210"/>
      <c r="E156" s="1210"/>
      <c r="F156" s="1210"/>
      <c r="G156" s="1210"/>
      <c r="H156" s="1210"/>
      <c r="I156" s="1210"/>
      <c r="J156" s="1211"/>
      <c r="K156" s="1203"/>
      <c r="L156" s="1203"/>
      <c r="M156" s="1203"/>
      <c r="N156" s="1203"/>
      <c r="O156" s="1203"/>
      <c r="P156" s="1203"/>
    </row>
    <row customHeight="true" ht="18.452380952380953" r="157">
      <c r="A157" s="1208"/>
      <c r="B157" s="1209"/>
      <c r="C157" s="1210"/>
      <c r="D157" s="1210"/>
      <c r="E157" s="1210"/>
      <c r="F157" s="1210"/>
      <c r="G157" s="1210"/>
      <c r="H157" s="1210"/>
      <c r="I157" s="1210"/>
      <c r="J157" s="1211"/>
      <c r="K157" s="1203"/>
      <c r="L157" s="1203"/>
      <c r="M157" s="1203"/>
      <c r="N157" s="1203"/>
      <c r="O157" s="1203"/>
      <c r="P157" s="1203"/>
    </row>
    <row customHeight="true" ht="18.452380952380953" r="158">
      <c r="A158" s="1212" t="s">
        <v>958</v>
      </c>
      <c r="B158" s="1213" t="s">
        <v>959</v>
      </c>
      <c r="C158" s="1213"/>
      <c r="D158" s="1214" t="s">
        <v>960</v>
      </c>
      <c r="E158" s="1214" t="s">
        <v>961</v>
      </c>
      <c r="F158" s="1214" t="s">
        <v>962</v>
      </c>
      <c r="G158" s="1215" t="s">
        <v>974</v>
      </c>
      <c r="H158" s="1214" t="s">
        <v>964</v>
      </c>
      <c r="I158" s="1214" t="s">
        <v>965</v>
      </c>
      <c r="J158" s="1216" t="s">
        <v>966</v>
      </c>
      <c r="K158" s="1203"/>
      <c r="L158" s="1203"/>
      <c r="M158" s="1203"/>
      <c r="N158" s="1203"/>
      <c r="O158" s="1203"/>
      <c r="P158" s="1203"/>
    </row>
    <row customHeight="true" ht="18.452380952380953" r="159">
      <c r="A159" s="1212"/>
      <c r="B159" s="1213"/>
      <c r="C159" s="1213"/>
      <c r="D159" s="1214"/>
      <c r="E159" s="1214"/>
      <c r="F159" s="1214"/>
      <c r="G159" s="1215"/>
      <c r="H159" s="1214"/>
      <c r="I159" s="1214"/>
      <c r="J159" s="1216"/>
      <c r="K159" s="1203"/>
      <c r="L159" s="1203"/>
      <c r="M159" s="1203"/>
      <c r="N159" s="1203"/>
      <c r="O159" s="1203"/>
      <c r="P159" s="1203"/>
    </row>
    <row r="160">
      <c r="A160" s="1198" t="s">
        <v>1080</v>
      </c>
      <c r="B160" s="1070">
        <v>46288</v>
      </c>
      <c r="C160" s="1088" t="str">
        <v>Wednesday</v>
      </c>
      <c r="D160" s="1095" t="s">
        <v>1082</v>
      </c>
      <c r="E160" s="1061">
        <v>2</v>
      </c>
      <c r="F160" s="1065" t="s">
        <v>1068</v>
      </c>
      <c r="G160" s="1199"/>
      <c r="H160" s="1065" t="s">
        <v>972</v>
      </c>
      <c r="I160" s="1093" t="s">
        <v>970</v>
      </c>
      <c r="J160" s="1200"/>
      <c r="K160" s="1101"/>
      <c r="L160" s="1101"/>
      <c r="M160" s="1101"/>
      <c r="N160" s="1101"/>
      <c r="O160" s="1101"/>
      <c r="P160" s="1101"/>
    </row>
    <row r="161">
      <c r="A161" s="1198" t="s">
        <v>1080</v>
      </c>
      <c r="B161" s="1070">
        <v>46289</v>
      </c>
      <c r="C161" s="1088" t="str">
        <v>Thursday</v>
      </c>
      <c r="D161" s="1095" t="s">
        <v>1004</v>
      </c>
      <c r="E161" s="1061">
        <v>2</v>
      </c>
      <c r="F161" s="1065" t="s">
        <v>1068</v>
      </c>
      <c r="G161" s="1202"/>
      <c r="H161" s="1065" t="s">
        <v>972</v>
      </c>
      <c r="I161" s="1093" t="s">
        <v>970</v>
      </c>
      <c r="J161" s="1200"/>
      <c r="K161" s="1087"/>
      <c r="L161" s="1087"/>
      <c r="M161" s="1087"/>
      <c r="N161" s="1087"/>
      <c r="O161" s="1087"/>
      <c r="P161" s="1087"/>
    </row>
    <row customHeight="true" ht="18.452380952380953" r="162">
      <c r="A162" s="1198" t="s">
        <v>1080</v>
      </c>
      <c r="B162" s="1070">
        <v>46290</v>
      </c>
      <c r="C162" s="1088" t="str">
        <v>Friday</v>
      </c>
      <c r="D162" s="1095" t="s">
        <v>1082</v>
      </c>
      <c r="E162" s="1061">
        <v>2</v>
      </c>
      <c r="F162" s="1065" t="s">
        <v>1068</v>
      </c>
      <c r="G162" s="1199"/>
      <c r="H162" s="1065" t="s">
        <v>972</v>
      </c>
      <c r="I162" s="1093" t="s">
        <v>970</v>
      </c>
      <c r="J162" s="1200"/>
      <c r="K162" s="1185"/>
      <c r="L162" s="1185"/>
      <c r="M162" s="1185"/>
      <c r="N162" s="1185"/>
      <c r="O162" s="1185"/>
      <c r="P162" s="1185"/>
      <c r="Q162" s="1098"/>
      <c r="R162" s="1098"/>
    </row>
    <row customHeight="true" ht="18.452380952380953" r="163">
      <c r="A163" s="1198" t="s">
        <v>1080</v>
      </c>
      <c r="B163" s="1070">
        <v>46291</v>
      </c>
      <c r="C163" s="1088" t="str">
        <v>Saturday</v>
      </c>
      <c r="D163" s="1095" t="s">
        <v>1004</v>
      </c>
      <c r="E163" s="1061">
        <v>2</v>
      </c>
      <c r="F163" s="1065" t="s">
        <v>1068</v>
      </c>
      <c r="G163" s="1205"/>
      <c r="H163" s="1065" t="s">
        <v>972</v>
      </c>
      <c r="I163" s="1093" t="s">
        <v>946</v>
      </c>
      <c r="J163" s="1206"/>
      <c r="K163" s="1185"/>
      <c r="L163" s="1185"/>
      <c r="M163" s="1185"/>
      <c r="N163" s="1185"/>
      <c r="O163" s="1185"/>
      <c r="P163" s="1185"/>
      <c r="Q163" s="1098"/>
      <c r="R163" s="1098"/>
    </row>
    <row customHeight="true" ht="18.452380952380953" r="164">
      <c r="A164" s="1198" t="s">
        <v>1080</v>
      </c>
      <c r="B164" s="1070">
        <v>46292</v>
      </c>
      <c r="C164" s="1088" t="str">
        <v>Sunday</v>
      </c>
      <c r="D164" s="1095" t="s">
        <v>1004</v>
      </c>
      <c r="E164" s="1061">
        <v>2</v>
      </c>
      <c r="F164" s="1065" t="s">
        <v>1068</v>
      </c>
      <c r="G164" s="1205"/>
      <c r="H164" s="1065" t="s">
        <v>972</v>
      </c>
      <c r="I164" s="1093" t="s">
        <v>946</v>
      </c>
      <c r="J164" s="1206"/>
      <c r="K164" s="1185"/>
      <c r="L164" s="1185"/>
      <c r="M164" s="1185"/>
      <c r="N164" s="1185"/>
      <c r="O164" s="1185"/>
      <c r="P164" s="1185"/>
      <c r="Q164" s="1098"/>
      <c r="R164" s="1098"/>
    </row>
    <row customHeight="true" ht="16.071428571428573" r="165">
      <c r="A165" s="1198" t="s">
        <v>1083</v>
      </c>
      <c r="B165" s="1070">
        <v>46288</v>
      </c>
      <c r="C165" s="1088" t="str">
        <v>Wednesday</v>
      </c>
      <c r="D165" s="1095" t="s">
        <v>1082</v>
      </c>
      <c r="E165" s="1061">
        <v>2</v>
      </c>
      <c r="F165" s="1065" t="s">
        <v>1074</v>
      </c>
      <c r="G165" s="1217"/>
      <c r="H165" s="1065"/>
      <c r="I165" s="1093"/>
      <c r="J165" s="1218"/>
      <c r="K165" s="1067"/>
      <c r="L165" s="1067"/>
      <c r="M165" s="1067"/>
      <c r="N165" s="1067"/>
      <c r="O165" s="1067"/>
      <c r="P165" s="1067"/>
    </row>
    <row customHeight="true" ht="16.071428571428573" r="166">
      <c r="A166" s="1198" t="s">
        <v>1083</v>
      </c>
      <c r="B166" s="1070">
        <v>46289</v>
      </c>
      <c r="C166" s="1088" t="str">
        <v>Thursday</v>
      </c>
      <c r="D166" s="1095" t="s">
        <v>1004</v>
      </c>
      <c r="E166" s="1061">
        <v>2</v>
      </c>
      <c r="F166" s="1065" t="s">
        <v>1074</v>
      </c>
      <c r="G166" s="1217"/>
      <c r="H166" s="1065"/>
      <c r="I166" s="1093"/>
      <c r="J166" s="1218"/>
      <c r="K166" s="1067"/>
      <c r="L166" s="1067"/>
      <c r="M166" s="1067"/>
      <c r="N166" s="1067"/>
      <c r="O166" s="1067"/>
      <c r="P166" s="1067"/>
    </row>
    <row customHeight="true" ht="16.071428571428573" r="167">
      <c r="A167" s="1198" t="s">
        <v>1083</v>
      </c>
      <c r="B167" s="1070">
        <v>46290</v>
      </c>
      <c r="C167" s="1088" t="str">
        <v>Friday</v>
      </c>
      <c r="D167" s="1095" t="s">
        <v>1082</v>
      </c>
      <c r="E167" s="1061">
        <v>2</v>
      </c>
      <c r="F167" s="1065" t="s">
        <v>1084</v>
      </c>
      <c r="G167" s="1217"/>
      <c r="H167" s="1065"/>
      <c r="I167" s="1093"/>
      <c r="J167" s="1218"/>
      <c r="K167" s="1067"/>
      <c r="L167" s="1067"/>
      <c r="M167" s="1067"/>
      <c r="N167" s="1067"/>
      <c r="O167" s="1067"/>
      <c r="P167" s="1067"/>
    </row>
    <row customHeight="true" ht="16.071428571428573" r="168">
      <c r="A168" s="1198" t="s">
        <v>1083</v>
      </c>
      <c r="B168" s="1070">
        <v>46291</v>
      </c>
      <c r="C168" s="1088" t="str">
        <v>Saturday</v>
      </c>
      <c r="D168" s="1095" t="s">
        <v>1004</v>
      </c>
      <c r="E168" s="1093">
        <f t="shared" ref="E168:E169" si="85">24*MOD(TIMEVALUE(TRIM(MID(D168,FIND("-",D168)+1,LEN(D168)))) - TIMEVALUE(TRIM(LEFT(D168,FIND("-",D168)-1))),1)</f>
      </c>
      <c r="F168" s="1065" t="s">
        <v>1074</v>
      </c>
      <c r="G168" s="1217"/>
      <c r="H168" s="1065"/>
      <c r="I168" s="1093"/>
      <c r="J168" s="1219"/>
      <c r="K168" s="1067"/>
      <c r="L168" s="1067"/>
      <c r="M168" s="1067"/>
      <c r="N168" s="1067"/>
      <c r="O168" s="1067"/>
      <c r="P168" s="1067"/>
    </row>
    <row customHeight="true" ht="16.071428571428573" r="169">
      <c r="A169" s="1198" t="s">
        <v>1083</v>
      </c>
      <c r="B169" s="1070">
        <v>46292</v>
      </c>
      <c r="C169" s="1088" t="str">
        <v>Sunday</v>
      </c>
      <c r="D169" s="1095" t="s">
        <v>1004</v>
      </c>
      <c r="E169" s="1093">
        <f t="shared" si="85"/>
      </c>
      <c r="F169" s="1065"/>
      <c r="G169" s="1220"/>
      <c r="H169" s="1065"/>
      <c r="I169" s="1093"/>
      <c r="J169" s="1219"/>
      <c r="K169" s="1067"/>
      <c r="L169" s="1067"/>
      <c r="M169" s="1067"/>
      <c r="N169" s="1067"/>
      <c r="O169" s="1067"/>
      <c r="P169" s="1067"/>
    </row>
    <row r="170">
      <c r="A170" s="1098"/>
      <c r="B170" s="1098"/>
      <c r="C170" s="1098"/>
      <c r="D170" s="1221"/>
      <c r="E170" s="1098"/>
      <c r="F170" s="1098"/>
      <c r="G170" s="1098"/>
      <c r="H170" s="1098"/>
      <c r="I170" s="1098"/>
      <c r="J170" s="1098"/>
      <c r="K170" s="1203"/>
      <c r="L170" s="1203"/>
      <c r="M170" s="1203"/>
      <c r="N170" s="1203"/>
      <c r="O170" s="1203"/>
      <c r="P170" s="1203"/>
    </row>
    <row r="171">
      <c r="A171" s="1222" t="s">
        <v>1085</v>
      </c>
      <c r="B171" s="1222"/>
      <c r="C171" s="1222"/>
      <c r="D171" s="1222"/>
      <c r="E171" s="1222"/>
      <c r="F171" s="1222"/>
      <c r="G171" s="1222"/>
      <c r="H171" s="1222" t="s">
        <v>1086</v>
      </c>
      <c r="I171" s="1222"/>
      <c r="J171" s="1223"/>
      <c r="K171" s="1101"/>
      <c r="L171" s="1101"/>
      <c r="M171" s="1101"/>
      <c r="N171" s="1101"/>
      <c r="O171" s="1101"/>
      <c r="P171" s="1101"/>
    </row>
    <row r="172">
      <c r="A172" s="1224" t="s">
        <v>958</v>
      </c>
      <c r="B172" s="1225" t="s">
        <v>959</v>
      </c>
      <c r="C172" s="1225"/>
      <c r="D172" s="1226" t="s">
        <v>960</v>
      </c>
      <c r="E172" s="1227" t="s">
        <v>961</v>
      </c>
      <c r="F172" s="1227" t="s">
        <v>962</v>
      </c>
      <c r="G172" s="1228" t="s">
        <v>974</v>
      </c>
      <c r="H172" s="1229" t="s">
        <v>964</v>
      </c>
      <c r="I172" s="1229" t="s">
        <v>965</v>
      </c>
      <c r="J172" s="1230" t="s">
        <v>966</v>
      </c>
      <c r="K172" s="1087"/>
      <c r="L172" s="1087"/>
      <c r="M172" s="1087"/>
      <c r="N172" s="1087"/>
      <c r="O172" s="1087"/>
      <c r="P172" s="1087"/>
    </row>
    <row customHeight="true" ht="18.452380952380953" r="173">
      <c r="A173" s="1088" t="s">
        <v>1085</v>
      </c>
      <c r="B173" s="1070">
        <v>46286</v>
      </c>
      <c r="C173" s="1088" t="str">
        <v>Monday</v>
      </c>
      <c r="D173" s="1095" t="s">
        <v>1087</v>
      </c>
      <c r="E173" s="1065">
        <f t="shared" ref="E173:E176" si="86">24*MOD(TIMEVALUE(TRIM(MID(D173,FIND("-",D173)+1,LEN(D173)))) - TIMEVALUE(TRIM(LEFT(D173,FIND("-",D173)-1))),1)</f>
      </c>
      <c r="F173" s="1065" t="s">
        <v>1088</v>
      </c>
      <c r="G173" s="1217"/>
      <c r="H173" s="1065" t="s">
        <v>945</v>
      </c>
      <c r="I173" s="1174" t="s">
        <v>946</v>
      </c>
      <c r="J173" s="1218"/>
      <c r="K173" s="1067"/>
      <c r="L173" s="1067"/>
      <c r="M173" s="1067"/>
      <c r="N173" s="1067"/>
      <c r="O173" s="1067"/>
      <c r="P173" s="1067"/>
    </row>
    <row r="174">
      <c r="A174" s="1088" t="s">
        <v>1085</v>
      </c>
      <c r="B174" s="1070">
        <v>46287</v>
      </c>
      <c r="C174" s="1088" t="str">
        <v>Tuesday</v>
      </c>
      <c r="D174" s="1231" t="s">
        <v>1087</v>
      </c>
      <c r="E174" s="1065">
        <f t="shared" si="86"/>
      </c>
      <c r="F174" s="1065" t="s">
        <v>1088</v>
      </c>
      <c r="G174" s="1220"/>
      <c r="H174" s="1065" t="s">
        <v>945</v>
      </c>
      <c r="I174" s="1093" t="s">
        <v>946</v>
      </c>
      <c r="J174" s="1218"/>
      <c r="K174" s="1067"/>
      <c r="L174" s="1067"/>
      <c r="M174" s="1067"/>
      <c r="N174" s="1067"/>
      <c r="O174" s="1067"/>
      <c r="P174" s="1067"/>
    </row>
    <row customHeight="true" ht="18.452380952380953" r="175">
      <c r="A175" s="1110" t="s">
        <v>1085</v>
      </c>
      <c r="B175" s="1111">
        <v>46288</v>
      </c>
      <c r="C175" s="1110" t="str">
        <v>Wednesday</v>
      </c>
      <c r="D175" s="1232" t="s">
        <v>1089</v>
      </c>
      <c r="E175" s="1113">
        <f t="shared" si="86"/>
      </c>
      <c r="F175" s="1113" t="s">
        <v>1088</v>
      </c>
      <c r="G175" s="1187"/>
      <c r="H175" s="1113" t="s">
        <v>945</v>
      </c>
      <c r="I175" s="1113" t="s">
        <v>946</v>
      </c>
      <c r="J175" s="1233"/>
      <c r="K175" s="1234"/>
      <c r="L175" s="1234"/>
      <c r="M175" s="1234"/>
      <c r="N175" s="1234"/>
      <c r="O175" s="1234"/>
      <c r="P175" s="1234"/>
      <c r="Q175" s="1235"/>
      <c r="R175" s="1235"/>
    </row>
    <row customHeight="true" ht="18.452380952380953" r="176">
      <c r="A176" s="1088" t="s">
        <v>1085</v>
      </c>
      <c r="B176" s="1070">
        <v>46290</v>
      </c>
      <c r="C176" s="1088" t="str">
        <v>Friday</v>
      </c>
      <c r="D176" s="1231" t="s">
        <v>1090</v>
      </c>
      <c r="E176" s="1065">
        <f t="shared" si="86"/>
      </c>
      <c r="F176" s="1065" t="s">
        <v>1088</v>
      </c>
      <c r="G176" s="1217"/>
      <c r="H176" s="1065" t="s">
        <v>945</v>
      </c>
      <c r="I176" s="1174" t="s">
        <v>946</v>
      </c>
      <c r="J176" s="1218"/>
      <c r="K176" s="1067"/>
      <c r="L176" s="1067"/>
      <c r="M176" s="1067"/>
      <c r="N176" s="1067"/>
      <c r="O176" s="1067"/>
      <c r="P176" s="1067"/>
    </row>
    <row customHeight="true" ht="18.452380952380953" r="177">
      <c r="A177" s="1088"/>
      <c r="B177" s="1070"/>
      <c r="C177" s="1088"/>
      <c r="D177" s="1236"/>
      <c r="E177" s="1065"/>
      <c r="F177" s="1065"/>
      <c r="G177" s="1217"/>
      <c r="H177" s="1065"/>
      <c r="I177" s="1174"/>
      <c r="J177" s="1218"/>
      <c r="K177" s="1067"/>
      <c r="L177" s="1067"/>
      <c r="M177" s="1067"/>
      <c r="N177" s="1067"/>
      <c r="O177" s="1067"/>
      <c r="P177" s="1067"/>
    </row>
    <row r="178">
      <c r="A178" s="1088" t="s">
        <v>1085</v>
      </c>
      <c r="B178" s="1070">
        <v>46286</v>
      </c>
      <c r="C178" s="1088" t="str">
        <v>Monday</v>
      </c>
      <c r="D178" s="1095" t="s">
        <v>1087</v>
      </c>
      <c r="E178" s="1065">
        <f t="shared" ref="E178:E181" si="87">24*MOD(TIMEVALUE(TRIM(MID(D178,FIND("-",D178)+1,LEN(D178)))) - TIMEVALUE(TRIM(LEFT(D178,FIND("-",D178)-1))),1)</f>
      </c>
      <c r="F178" s="1065" t="s">
        <v>1074</v>
      </c>
      <c r="G178" s="1220"/>
      <c r="H178" s="1065" t="s">
        <v>945</v>
      </c>
      <c r="I178" s="1093" t="s">
        <v>946</v>
      </c>
      <c r="J178" s="1218"/>
      <c r="K178" s="1067"/>
      <c r="L178" s="1067"/>
      <c r="M178" s="1067"/>
      <c r="N178" s="1067"/>
      <c r="O178" s="1067"/>
      <c r="P178" s="1067"/>
    </row>
    <row customHeight="true" ht="18.452380952380953" r="179">
      <c r="A179" s="1088" t="s">
        <v>1085</v>
      </c>
      <c r="B179" s="1070">
        <v>46287</v>
      </c>
      <c r="C179" s="1088" t="str">
        <v>Tuesday</v>
      </c>
      <c r="D179" s="1237" t="s">
        <v>1091</v>
      </c>
      <c r="E179" s="1065">
        <f t="shared" si="87"/>
      </c>
      <c r="F179" s="1065" t="s">
        <v>1084</v>
      </c>
      <c r="G179" s="1217"/>
      <c r="H179" s="1065" t="s">
        <v>945</v>
      </c>
      <c r="I179" s="1093" t="s">
        <v>946</v>
      </c>
      <c r="J179" s="1219" t="s">
        <v>1092</v>
      </c>
      <c r="K179" s="1067"/>
      <c r="L179" s="1067"/>
      <c r="M179" s="1067"/>
      <c r="N179" s="1067"/>
      <c r="O179" s="1067"/>
      <c r="P179" s="1067"/>
    </row>
    <row customHeight="true" ht="18.452380952380953" r="180">
      <c r="A180" s="1088" t="s">
        <v>1085</v>
      </c>
      <c r="B180" s="1070">
        <v>46288</v>
      </c>
      <c r="C180" s="1088" t="str">
        <v>Wednesday</v>
      </c>
      <c r="D180" s="1237" t="s">
        <v>1089</v>
      </c>
      <c r="E180" s="1065">
        <f t="shared" si="87"/>
      </c>
      <c r="F180" s="1065" t="s">
        <v>1074</v>
      </c>
      <c r="G180" s="1220"/>
      <c r="H180" s="1065" t="s">
        <v>945</v>
      </c>
      <c r="I180" s="1093" t="s">
        <v>946</v>
      </c>
      <c r="J180" s="1218"/>
      <c r="K180" s="1067"/>
      <c r="L180" s="1067"/>
      <c r="M180" s="1238" t="s">
        <v>1041</v>
      </c>
      <c r="N180" s="1067"/>
      <c r="O180" s="1067"/>
      <c r="P180" s="1067"/>
    </row>
    <row customHeight="true" ht="18.452380952380953" r="181">
      <c r="A181" s="1088" t="s">
        <v>1085</v>
      </c>
      <c r="B181" s="1070">
        <v>46290</v>
      </c>
      <c r="C181" s="1088" t="str">
        <v>Friday</v>
      </c>
      <c r="D181" s="1237" t="s">
        <v>1090</v>
      </c>
      <c r="E181" s="1065">
        <f t="shared" si="87"/>
      </c>
      <c r="F181" s="1065" t="s">
        <v>1084</v>
      </c>
      <c r="G181" s="1220"/>
      <c r="H181" s="1065" t="s">
        <v>945</v>
      </c>
      <c r="I181" s="1093" t="s">
        <v>946</v>
      </c>
      <c r="J181" s="1218"/>
      <c r="K181" s="1067"/>
      <c r="L181" s="1067"/>
      <c r="M181" s="1067"/>
      <c r="N181" s="1067"/>
      <c r="O181" s="1067"/>
      <c r="P181" s="1067"/>
    </row>
    <row customHeight="true" ht="18.452380952380953" r="182">
      <c r="A182" s="1239"/>
      <c r="B182" s="1070"/>
      <c r="C182" s="1239"/>
      <c r="D182" s="1240"/>
      <c r="E182" s="1240"/>
      <c r="F182" s="1241"/>
      <c r="G182" s="1242"/>
      <c r="H182" s="1065"/>
      <c r="I182" s="1093"/>
      <c r="J182" s="1243"/>
      <c r="K182" s="1067"/>
      <c r="L182" s="1067"/>
      <c r="M182" s="1067"/>
      <c r="N182" s="1067"/>
      <c r="O182" s="1067"/>
      <c r="P182" s="1067"/>
      <c r="Q182" s="1125"/>
      <c r="R182" s="1125"/>
    </row>
    <row customHeight="true" ht="18.452380952380953" r="183">
      <c r="A183" s="1239"/>
      <c r="B183" s="1070"/>
      <c r="C183" s="1088"/>
      <c r="D183" s="1240"/>
      <c r="E183" s="1240"/>
      <c r="F183" s="1241"/>
      <c r="G183" s="1242"/>
      <c r="H183" s="1065"/>
      <c r="I183" s="1093"/>
      <c r="J183" s="1243"/>
      <c r="K183" s="1067"/>
      <c r="L183" s="1067"/>
      <c r="M183" s="1067"/>
      <c r="N183" s="1067"/>
      <c r="O183" s="1067"/>
      <c r="P183" s="1067"/>
      <c r="Q183" s="1125"/>
      <c r="R183" s="1125"/>
    </row>
    <row customHeight="true" ht="18.452380952380953" r="184">
      <c r="A184" s="1088"/>
      <c r="B184" s="1088"/>
      <c r="C184" s="1088"/>
      <c r="D184" s="1061"/>
      <c r="E184" s="1061"/>
      <c r="F184" s="1220"/>
      <c r="G184" s="1242"/>
      <c r="H184" s="1065"/>
      <c r="I184" s="1093"/>
      <c r="J184" s="1218"/>
      <c r="K184" s="1067"/>
      <c r="L184" s="1067"/>
      <c r="M184" s="1067"/>
      <c r="N184" s="1067"/>
      <c r="O184" s="1067"/>
      <c r="P184" s="1067"/>
    </row>
    <row r="185">
      <c r="A185" s="1244" t="s">
        <v>1093</v>
      </c>
      <c r="B185" s="1244"/>
      <c r="C185" s="1244"/>
      <c r="D185" s="1244"/>
      <c r="E185" s="1244"/>
      <c r="F185" s="1244"/>
      <c r="G185" s="1244"/>
      <c r="H185" s="1244"/>
      <c r="I185" s="1244"/>
      <c r="J185" s="1245"/>
      <c r="K185" s="1101"/>
      <c r="L185" s="1101"/>
      <c r="M185" s="1101"/>
      <c r="N185" s="1101"/>
      <c r="O185" s="1101"/>
      <c r="P185" s="1101"/>
    </row>
    <row r="186">
      <c r="A186" s="1246" t="s">
        <v>958</v>
      </c>
      <c r="B186" s="1247" t="s">
        <v>959</v>
      </c>
      <c r="C186" s="1247"/>
      <c r="D186" s="1248" t="s">
        <v>960</v>
      </c>
      <c r="E186" s="1249" t="s">
        <v>961</v>
      </c>
      <c r="F186" s="1249" t="s">
        <v>962</v>
      </c>
      <c r="G186" s="1250" t="s">
        <v>1094</v>
      </c>
      <c r="H186" s="1251" t="s">
        <v>964</v>
      </c>
      <c r="I186" s="1251" t="s">
        <v>965</v>
      </c>
      <c r="J186" s="1252" t="s">
        <v>966</v>
      </c>
      <c r="K186" s="1087"/>
      <c r="L186" s="1087"/>
      <c r="M186" s="1087"/>
      <c r="N186" s="1087"/>
      <c r="O186" s="1087"/>
      <c r="P186" s="1087"/>
    </row>
    <row customHeight="true" ht="18.452380952380953" r="187">
      <c r="A187" s="1239" t="s">
        <v>1093</v>
      </c>
      <c r="B187" s="1070">
        <v>46289</v>
      </c>
      <c r="C187" s="1239" t="str">
        <v>Thursday</v>
      </c>
      <c r="D187" s="1061" t="s">
        <v>1095</v>
      </c>
      <c r="E187" s="1240">
        <v>2</v>
      </c>
      <c r="F187" s="1241" t="s">
        <v>1096</v>
      </c>
      <c r="G187" s="1253" t="s">
        <v>1097</v>
      </c>
      <c r="H187" s="1065" t="s">
        <v>945</v>
      </c>
      <c r="I187" s="1093" t="s">
        <v>946</v>
      </c>
      <c r="J187" s="1061" t="s">
        <v>1098</v>
      </c>
      <c r="K187" s="1067"/>
      <c r="L187" s="1067"/>
      <c r="M187" s="1067"/>
      <c r="N187" s="1067"/>
      <c r="O187" s="1067"/>
      <c r="P187" s="1067"/>
      <c r="Q187" s="1125"/>
      <c r="R187" s="1125"/>
    </row>
    <row customHeight="true" ht="18.452380952380953" r="188">
      <c r="A188" s="1239" t="s">
        <v>1093</v>
      </c>
      <c r="B188" s="1070">
        <v>46290</v>
      </c>
      <c r="C188" s="1239" t="str">
        <v>Friday</v>
      </c>
      <c r="D188" s="1240" t="s">
        <v>1099</v>
      </c>
      <c r="E188" s="1240">
        <v>2</v>
      </c>
      <c r="F188" s="1241" t="s">
        <v>1100</v>
      </c>
      <c r="G188" s="1253" t="s">
        <v>1097</v>
      </c>
      <c r="H188" s="1065" t="s">
        <v>945</v>
      </c>
      <c r="I188" s="1093" t="s">
        <v>946</v>
      </c>
      <c r="J188" s="1061" t="s">
        <v>1098</v>
      </c>
      <c r="K188" s="1067"/>
      <c r="L188" s="1067"/>
      <c r="M188" s="1067"/>
      <c r="N188" s="1067"/>
      <c r="O188" s="1067"/>
      <c r="P188" s="1067"/>
      <c r="Q188" s="1125"/>
      <c r="R188" s="1125"/>
    </row>
    <row customHeight="true" ht="18.452380952380953" r="189">
      <c r="A189" s="1239" t="s">
        <v>1093</v>
      </c>
      <c r="B189" s="1070">
        <v>46291</v>
      </c>
      <c r="C189" s="1239" t="str">
        <v>Saturday</v>
      </c>
      <c r="D189" s="1240" t="s">
        <v>1101</v>
      </c>
      <c r="E189" s="1240">
        <v>2</v>
      </c>
      <c r="F189" s="1241" t="s">
        <v>1100</v>
      </c>
      <c r="G189" s="1253" t="s">
        <v>1097</v>
      </c>
      <c r="H189" s="1065" t="s">
        <v>945</v>
      </c>
      <c r="I189" s="1093" t="s">
        <v>946</v>
      </c>
      <c r="J189" s="1243"/>
      <c r="K189" s="1067"/>
      <c r="L189" s="1067"/>
      <c r="M189" s="1067"/>
      <c r="N189" s="1067"/>
      <c r="O189" s="1067"/>
      <c r="P189" s="1067"/>
      <c r="Q189" s="1125"/>
      <c r="R189" s="1125"/>
    </row>
    <row customHeight="true" ht="18.452380952380953" r="190">
      <c r="A190" s="1239"/>
      <c r="B190" s="1070"/>
      <c r="C190" s="1239"/>
      <c r="D190" s="1240"/>
      <c r="E190" s="1061"/>
      <c r="F190" s="1241"/>
      <c r="G190" s="1242"/>
      <c r="H190" s="1065"/>
      <c r="I190" s="1093"/>
      <c r="J190" s="1218"/>
      <c r="K190" s="1067"/>
      <c r="L190" s="1067"/>
      <c r="M190" s="1067"/>
      <c r="N190" s="1067"/>
      <c r="O190" s="1067"/>
      <c r="P190" s="1067"/>
    </row>
    <row customHeight="true" ht="18.452380952380953" r="191">
      <c r="A191" s="1239" t="s">
        <v>1102</v>
      </c>
      <c r="B191" s="1070">
        <v>46286</v>
      </c>
      <c r="C191" s="1239" t="str">
        <v>Monday</v>
      </c>
      <c r="D191" s="1240" t="s">
        <v>1103</v>
      </c>
      <c r="E191" s="1061">
        <v>1</v>
      </c>
      <c r="F191" s="1241" t="s">
        <v>1104</v>
      </c>
      <c r="G191" s="1242" t="s">
        <v>1105</v>
      </c>
      <c r="H191" s="1065" t="s">
        <v>945</v>
      </c>
      <c r="I191" s="1093" t="s">
        <v>946</v>
      </c>
      <c r="J191" s="1218"/>
      <c r="K191" s="1067"/>
      <c r="L191" s="1067"/>
      <c r="M191" s="1067"/>
      <c r="N191" s="1067"/>
      <c r="O191" s="1067"/>
      <c r="P191" s="1067"/>
    </row>
    <row customHeight="true" ht="18.452380952380953" r="192">
      <c r="A192" s="1239" t="s">
        <v>1102</v>
      </c>
      <c r="B192" s="1070">
        <v>46288</v>
      </c>
      <c r="C192" s="1239" t="str">
        <v>Wednesday</v>
      </c>
      <c r="D192" s="1240" t="s">
        <v>1106</v>
      </c>
      <c r="E192" s="1240">
        <v>1.5</v>
      </c>
      <c r="F192" s="1241" t="s">
        <v>1107</v>
      </c>
      <c r="G192" s="1242" t="s">
        <v>1108</v>
      </c>
      <c r="H192" s="1065" t="s">
        <v>945</v>
      </c>
      <c r="I192" s="1093" t="s">
        <v>946</v>
      </c>
      <c r="J192" s="1218"/>
      <c r="K192" s="1067"/>
      <c r="L192" s="1067"/>
      <c r="M192" s="1067"/>
      <c r="N192" s="1067"/>
      <c r="O192" s="1067"/>
      <c r="P192" s="1067"/>
    </row>
    <row customHeight="true" ht="18.452380952380953" r="193">
      <c r="A193" s="1239" t="s">
        <v>1102</v>
      </c>
      <c r="B193" s="1070">
        <v>46290</v>
      </c>
      <c r="C193" s="1239" t="str">
        <v>Friday</v>
      </c>
      <c r="D193" s="1240" t="s">
        <v>1109</v>
      </c>
      <c r="E193" s="1240">
        <v>1.5</v>
      </c>
      <c r="F193" s="1241" t="s">
        <v>1104</v>
      </c>
      <c r="G193" s="1242" t="s">
        <v>1110</v>
      </c>
      <c r="H193" s="1065" t="s">
        <v>945</v>
      </c>
      <c r="I193" s="1093" t="s">
        <v>946</v>
      </c>
      <c r="J193" s="1218"/>
      <c r="K193" s="1067"/>
      <c r="L193" s="1067"/>
      <c r="M193" s="1067"/>
      <c r="N193" s="1067"/>
      <c r="O193" s="1067"/>
      <c r="P193" s="1067"/>
    </row>
    <row customHeight="true" ht="18.452380952380953" r="194">
      <c r="A194" s="1239"/>
      <c r="B194" s="1070"/>
      <c r="C194" s="1239"/>
      <c r="D194" s="1240"/>
      <c r="E194" s="1240"/>
      <c r="F194" s="1241"/>
      <c r="G194" s="1242"/>
      <c r="H194" s="1065"/>
      <c r="I194" s="1093"/>
      <c r="J194" s="1218"/>
      <c r="K194" s="1067"/>
      <c r="L194" s="1067"/>
      <c r="M194" s="1067"/>
      <c r="N194" s="1067"/>
      <c r="O194" s="1067"/>
      <c r="P194" s="1067"/>
    </row>
    <row customHeight="true" ht="18.452380952380953" r="195">
      <c r="A195" s="1239" t="s">
        <v>1111</v>
      </c>
      <c r="B195" s="1070">
        <v>46286</v>
      </c>
      <c r="C195" s="1239" t="str">
        <v>Monday</v>
      </c>
      <c r="D195" s="1240" t="s">
        <v>1112</v>
      </c>
      <c r="E195" s="1061">
        <v>2</v>
      </c>
      <c r="F195" s="1241" t="s">
        <v>1104</v>
      </c>
      <c r="G195" s="1242" t="s">
        <v>1113</v>
      </c>
      <c r="H195" s="1065" t="s">
        <v>945</v>
      </c>
      <c r="I195" s="1093" t="s">
        <v>946</v>
      </c>
      <c r="J195" s="1218"/>
      <c r="K195" s="1067"/>
      <c r="L195" s="1067"/>
      <c r="M195" s="1067"/>
      <c r="N195" s="1067"/>
      <c r="O195" s="1067"/>
      <c r="P195" s="1067"/>
    </row>
    <row customHeight="true" ht="18.452380952380953" r="196">
      <c r="A196" s="1239" t="s">
        <v>1111</v>
      </c>
      <c r="B196" s="1070">
        <v>46288</v>
      </c>
      <c r="C196" s="1088" t="str">
        <v>Wednesday</v>
      </c>
      <c r="D196" s="1240" t="s">
        <v>1114</v>
      </c>
      <c r="E196" s="1061">
        <v>2</v>
      </c>
      <c r="F196" s="1093" t="s">
        <v>1115</v>
      </c>
      <c r="G196" s="1242" t="s">
        <v>1116</v>
      </c>
      <c r="H196" s="1065" t="s">
        <v>945</v>
      </c>
      <c r="I196" s="1093" t="s">
        <v>946</v>
      </c>
      <c r="J196" s="1218"/>
      <c r="K196" s="1067"/>
      <c r="L196" s="1067"/>
      <c r="M196" s="1067"/>
      <c r="N196" s="1067"/>
      <c r="O196" s="1067"/>
      <c r="P196" s="1067"/>
    </row>
    <row customHeight="true" ht="18.452380952380953" r="197">
      <c r="A197" s="1239" t="s">
        <v>1111</v>
      </c>
      <c r="B197" s="1070">
        <v>46286</v>
      </c>
      <c r="C197" s="1239" t="str">
        <v>Monday</v>
      </c>
      <c r="D197" s="1240" t="s">
        <v>1117</v>
      </c>
      <c r="E197" s="1061">
        <v>4.5</v>
      </c>
      <c r="F197" s="1093" t="s">
        <v>1118</v>
      </c>
      <c r="G197" s="1242" t="s">
        <v>1119</v>
      </c>
      <c r="H197" s="1065" t="s">
        <v>945</v>
      </c>
      <c r="I197" s="1093" t="s">
        <v>946</v>
      </c>
      <c r="J197" s="1218"/>
      <c r="K197" s="1067"/>
      <c r="L197" s="1067"/>
      <c r="M197" s="1067"/>
      <c r="N197" s="1067"/>
      <c r="O197" s="1067"/>
      <c r="P197" s="1067"/>
    </row>
    <row customHeight="true" ht="18.452380952380953" r="198">
      <c r="A198" s="1088" t="s">
        <v>1111</v>
      </c>
      <c r="B198" s="1070">
        <v>46288</v>
      </c>
      <c r="C198" s="1088" t="str">
        <v>Wednesday</v>
      </c>
      <c r="D198" s="1240" t="s">
        <v>1120</v>
      </c>
      <c r="E198" s="1065">
        <f t="shared" ref="E198:E199" si="88">24*MOD(TIMEVALUE(TRIM(MID(D198,FIND("-",D198)+1,LEN(D198)))) - TIMEVALUE(TRIM(LEFT(D198,FIND("-",D198)-1))),1)</f>
      </c>
      <c r="F198" s="1096" t="s">
        <v>1118</v>
      </c>
      <c r="G198" s="1097" t="s">
        <v>1121</v>
      </c>
      <c r="H198" s="1065" t="s">
        <v>945</v>
      </c>
      <c r="I198" s="1093" t="s">
        <v>946</v>
      </c>
      <c r="J198" s="1219" t="s">
        <v>1122</v>
      </c>
      <c r="K198" s="1185"/>
      <c r="L198" s="1185"/>
      <c r="M198" s="1185"/>
      <c r="N198" s="1185"/>
      <c r="O198" s="1185"/>
      <c r="P198" s="1185"/>
      <c r="Q198" s="1098"/>
      <c r="R198" s="1098"/>
    </row>
    <row customHeight="true" ht="18.452380952380953" r="199">
      <c r="A199" s="1088" t="s">
        <v>1111</v>
      </c>
      <c r="B199" s="1070">
        <v>46288</v>
      </c>
      <c r="C199" s="1239" t="str">
        <v>Wednesday</v>
      </c>
      <c r="D199" s="1240" t="s">
        <v>1123</v>
      </c>
      <c r="E199" s="1065">
        <f t="shared" si="88"/>
      </c>
      <c r="F199" s="1096" t="s">
        <v>1118</v>
      </c>
      <c r="G199" s="1097" t="s">
        <v>1124</v>
      </c>
      <c r="H199" s="1065" t="s">
        <v>945</v>
      </c>
      <c r="I199" s="1093" t="s">
        <v>946</v>
      </c>
      <c r="J199" s="1219" t="s">
        <v>1122</v>
      </c>
      <c r="K199" s="1185"/>
      <c r="L199" s="1185"/>
      <c r="M199" s="1185"/>
      <c r="N199" s="1185"/>
      <c r="O199" s="1185"/>
      <c r="P199" s="1185"/>
      <c r="Q199" s="1098"/>
      <c r="R199" s="1098"/>
    </row>
    <row customHeight="true" ht="18.452380952380953" r="200">
      <c r="A200" s="1239" t="s">
        <v>1111</v>
      </c>
      <c r="B200" s="1070">
        <v>46290</v>
      </c>
      <c r="C200" s="1239" t="str">
        <v>Friday</v>
      </c>
      <c r="D200" s="1240" t="s">
        <v>1125</v>
      </c>
      <c r="E200" s="1061">
        <v>1.5</v>
      </c>
      <c r="F200" s="1241" t="s">
        <v>1104</v>
      </c>
      <c r="G200" s="1242" t="s">
        <v>1126</v>
      </c>
      <c r="H200" s="1065" t="s">
        <v>945</v>
      </c>
      <c r="I200" s="1093" t="s">
        <v>946</v>
      </c>
      <c r="J200" s="1218"/>
      <c r="K200" s="1067"/>
      <c r="L200" s="1067"/>
      <c r="M200" s="1067"/>
      <c r="N200" s="1067"/>
      <c r="O200" s="1067"/>
      <c r="P200" s="1067"/>
    </row>
    <row customHeight="true" ht="18.452380952380953" r="201">
      <c r="A201" s="1239" t="s">
        <v>1127</v>
      </c>
      <c r="B201" s="1070">
        <v>46290</v>
      </c>
      <c r="C201" s="1239" t="str">
        <v>Friday</v>
      </c>
      <c r="D201" s="1240" t="s">
        <v>1109</v>
      </c>
      <c r="E201" s="1061">
        <v>1.5</v>
      </c>
      <c r="F201" s="1241" t="s">
        <v>1104</v>
      </c>
      <c r="G201" s="1242" t="s">
        <v>1128</v>
      </c>
      <c r="H201" s="1065" t="s">
        <v>945</v>
      </c>
      <c r="I201" s="1093" t="s">
        <v>946</v>
      </c>
      <c r="J201" s="1218"/>
      <c r="K201" s="1067"/>
      <c r="L201" s="1067"/>
      <c r="M201" s="1067"/>
      <c r="N201" s="1067"/>
      <c r="O201" s="1067"/>
      <c r="P201" s="1067"/>
    </row>
    <row customHeight="true" ht="18.452380952380953" r="202">
      <c r="A202" s="1088" t="s">
        <v>1111</v>
      </c>
      <c r="B202" s="1070">
        <v>46290</v>
      </c>
      <c r="C202" s="1088" t="str">
        <v>Friday</v>
      </c>
      <c r="D202" s="1240" t="s">
        <v>1129</v>
      </c>
      <c r="E202" s="1240">
        <v>1</v>
      </c>
      <c r="F202" s="1241" t="s">
        <v>1100</v>
      </c>
      <c r="G202" s="1242" t="s">
        <v>1130</v>
      </c>
      <c r="H202" s="1065" t="s">
        <v>945</v>
      </c>
      <c r="I202" s="1093" t="s">
        <v>946</v>
      </c>
      <c r="J202" s="1218"/>
      <c r="K202" s="1067"/>
      <c r="L202" s="1067"/>
      <c r="M202" s="1067"/>
      <c r="N202" s="1067"/>
      <c r="O202" s="1067"/>
      <c r="P202" s="1067"/>
    </row>
    <row customHeight="true" ht="18.452380952380953" r="203">
      <c r="A203" s="1088" t="s">
        <v>1111</v>
      </c>
      <c r="B203" s="1070">
        <v>46288</v>
      </c>
      <c r="C203" s="1088" t="str">
        <v>Wednesday</v>
      </c>
      <c r="D203" s="1240" t="s">
        <v>1131</v>
      </c>
      <c r="E203" s="1240">
        <v>1</v>
      </c>
      <c r="F203" s="1241" t="s">
        <v>1100</v>
      </c>
      <c r="G203" s="1242" t="s">
        <v>1130</v>
      </c>
      <c r="H203" s="1065" t="s">
        <v>945</v>
      </c>
      <c r="I203" s="1093" t="s">
        <v>946</v>
      </c>
      <c r="J203" s="1218"/>
      <c r="K203" s="1067"/>
      <c r="L203" s="1067"/>
      <c r="M203" s="1067"/>
      <c r="N203" s="1067"/>
      <c r="O203" s="1067"/>
      <c r="P203" s="1067"/>
    </row>
    <row customHeight="true" ht="18.452380952380953" r="204">
      <c r="A204" s="1088" t="s">
        <v>1111</v>
      </c>
      <c r="B204" s="1070">
        <v>46289</v>
      </c>
      <c r="C204" s="1239" t="str">
        <v>Thursday</v>
      </c>
      <c r="D204" s="1240" t="s">
        <v>1132</v>
      </c>
      <c r="E204" s="1240">
        <v>2</v>
      </c>
      <c r="F204" s="1241" t="s">
        <v>1096</v>
      </c>
      <c r="G204" s="1242" t="s">
        <v>1130</v>
      </c>
      <c r="H204" s="1065" t="s">
        <v>945</v>
      </c>
      <c r="I204" s="1093" t="s">
        <v>946</v>
      </c>
      <c r="J204" s="1219"/>
      <c r="K204" s="1067"/>
      <c r="L204" s="1067"/>
      <c r="M204" s="1067"/>
      <c r="N204" s="1067"/>
      <c r="O204" s="1067"/>
      <c r="P204" s="1067"/>
    </row>
    <row customHeight="true" ht="18.452380952380953" r="205">
      <c r="A205" s="1088" t="s">
        <v>1111</v>
      </c>
      <c r="B205" s="1070">
        <v>46288</v>
      </c>
      <c r="C205" s="1088" t="str">
        <v>Wednesday</v>
      </c>
      <c r="D205" s="1240" t="s">
        <v>1133</v>
      </c>
      <c r="E205" s="1240">
        <v>2.5</v>
      </c>
      <c r="F205" s="1241" t="s">
        <v>1096</v>
      </c>
      <c r="G205" s="1242" t="s">
        <v>1130</v>
      </c>
      <c r="H205" s="1065" t="s">
        <v>945</v>
      </c>
      <c r="I205" s="1093" t="s">
        <v>946</v>
      </c>
      <c r="J205" s="1218" t="s">
        <v>1134</v>
      </c>
      <c r="K205" s="1067"/>
      <c r="L205" s="1067"/>
      <c r="M205" s="1067"/>
      <c r="N205" s="1067"/>
      <c r="O205" s="1067"/>
      <c r="P205" s="1067"/>
    </row>
    <row customHeight="true" ht="18.452380952380953" r="206">
      <c r="A206" s="1088" t="s">
        <v>1111</v>
      </c>
      <c r="B206" s="1070">
        <v>46288</v>
      </c>
      <c r="C206" s="1239" t="str">
        <v>Wednesday</v>
      </c>
      <c r="D206" s="1240" t="s">
        <v>1133</v>
      </c>
      <c r="E206" s="1240">
        <v>2.5</v>
      </c>
      <c r="F206" s="1241" t="s">
        <v>1107</v>
      </c>
      <c r="G206" s="1242" t="s">
        <v>1135</v>
      </c>
      <c r="H206" s="1065" t="s">
        <v>945</v>
      </c>
      <c r="I206" s="1093" t="s">
        <v>946</v>
      </c>
      <c r="J206" s="1218"/>
      <c r="K206" s="1067"/>
      <c r="L206" s="1067"/>
      <c r="M206" s="1067"/>
      <c r="N206" s="1067"/>
      <c r="O206" s="1067"/>
      <c r="P206" s="1067"/>
    </row>
    <row customHeight="true" ht="18.452380952380953" r="207">
      <c r="A207" s="1088"/>
      <c r="B207" s="1070"/>
      <c r="C207" s="1088"/>
      <c r="D207" s="1061"/>
      <c r="E207" s="1061"/>
      <c r="F207" s="1242"/>
      <c r="G207" s="1242"/>
      <c r="H207" s="1065"/>
      <c r="I207" s="1093"/>
      <c r="J207" s="1218"/>
      <c r="K207" s="1067"/>
      <c r="L207" s="1067"/>
      <c r="M207" s="1067"/>
      <c r="N207" s="1067"/>
      <c r="O207" s="1067"/>
      <c r="P207" s="1067"/>
    </row>
    <row customHeight="true" ht="18.452380952380953" r="208">
      <c r="A208" s="1088" t="s">
        <v>1136</v>
      </c>
      <c r="B208" s="1070">
        <v>46289</v>
      </c>
      <c r="C208" s="1088" t="str">
        <v>Thursday</v>
      </c>
      <c r="D208" s="1061" t="s">
        <v>1095</v>
      </c>
      <c r="E208" s="1061">
        <v>2</v>
      </c>
      <c r="F208" s="1242" t="s">
        <v>1137</v>
      </c>
      <c r="G208" s="1242"/>
      <c r="H208" s="1065"/>
      <c r="I208" s="1093"/>
      <c r="J208" s="1218"/>
      <c r="K208" s="1067"/>
      <c r="L208" s="1067"/>
      <c r="M208" s="1067"/>
      <c r="N208" s="1067"/>
      <c r="O208" s="1067"/>
      <c r="P208" s="1067"/>
    </row>
    <row customHeight="true" ht="18.520278912492792" r="209">
      <c r="A209" s="1088" t="s">
        <v>1136</v>
      </c>
      <c r="B209" s="1070">
        <v>46290</v>
      </c>
      <c r="C209" s="1239" t="str">
        <v>Friday</v>
      </c>
      <c r="D209" s="1240" t="s">
        <v>1099</v>
      </c>
      <c r="E209" s="1240">
        <v>2</v>
      </c>
      <c r="F209" s="1242" t="s">
        <v>1138</v>
      </c>
      <c r="G209" s="1242"/>
      <c r="H209" s="1065"/>
      <c r="I209" s="1093"/>
      <c r="J209" s="1243"/>
      <c r="K209" s="1067"/>
      <c r="L209" s="1067"/>
      <c r="M209" s="1067"/>
      <c r="N209" s="1067"/>
      <c r="O209" s="1067"/>
      <c r="P209" s="1067"/>
      <c r="Q209" s="1125"/>
      <c r="R209" s="1125"/>
    </row>
    <row customHeight="true" ht="18.452380952380953" r="210">
      <c r="A210" s="1088" t="s">
        <v>1136</v>
      </c>
      <c r="B210" s="1070">
        <v>46291</v>
      </c>
      <c r="C210" s="1239" t="str">
        <v>Saturday</v>
      </c>
      <c r="D210" s="1240" t="s">
        <v>1101</v>
      </c>
      <c r="E210" s="1240">
        <v>2</v>
      </c>
      <c r="F210" s="1242" t="s">
        <v>1139</v>
      </c>
      <c r="G210" s="1242"/>
      <c r="H210" s="1065"/>
      <c r="I210" s="1093"/>
      <c r="J210" s="1218"/>
      <c r="K210" s="1067"/>
      <c r="L210" s="1067"/>
      <c r="M210" s="1067"/>
      <c r="N210" s="1067"/>
      <c r="O210" s="1067"/>
      <c r="P210" s="1067"/>
    </row>
    <row customHeight="true" ht="18.452380952380953" r="211">
      <c r="A211" s="1088"/>
      <c r="B211" s="1088"/>
      <c r="C211" s="1239"/>
      <c r="D211" s="1240"/>
      <c r="E211" s="1061"/>
      <c r="F211" s="1220"/>
      <c r="G211" s="1242"/>
      <c r="H211" s="1065"/>
      <c r="I211" s="1093"/>
      <c r="J211" s="1218"/>
      <c r="K211" s="1067"/>
      <c r="L211" s="1067"/>
      <c r="M211" s="1067"/>
      <c r="N211" s="1067"/>
      <c r="O211" s="1067"/>
      <c r="P211" s="1067"/>
    </row>
    <row customHeight="true" ht="18.452380952380953" r="212">
      <c r="A212" s="1088"/>
      <c r="B212" s="1070"/>
      <c r="C212" s="1088"/>
      <c r="D212" s="1061"/>
      <c r="E212" s="1061"/>
      <c r="F212" s="1220"/>
      <c r="G212" s="1242"/>
      <c r="H212" s="1065"/>
      <c r="I212" s="1093"/>
      <c r="J212" s="1218"/>
      <c r="K212" s="1067"/>
      <c r="L212" s="1067"/>
      <c r="M212" s="1067"/>
      <c r="N212" s="1067"/>
      <c r="O212" s="1067"/>
      <c r="P212" s="1067"/>
    </row>
    <row r="213">
      <c r="A213" s="1254" t="s">
        <v>1140</v>
      </c>
      <c r="B213" s="1254"/>
      <c r="C213" s="1254"/>
      <c r="D213" s="1254"/>
      <c r="E213" s="1255"/>
      <c r="F213" s="1254"/>
      <c r="G213" s="1255"/>
      <c r="H213" s="1254"/>
      <c r="I213" s="1254"/>
      <c r="J213" s="1256"/>
      <c r="K213" s="1101"/>
      <c r="L213" s="1101"/>
      <c r="M213" s="1101"/>
      <c r="N213" s="1101"/>
      <c r="O213" s="1101"/>
      <c r="P213" s="1101"/>
    </row>
    <row r="214">
      <c r="A214" s="1257" t="s">
        <v>958</v>
      </c>
      <c r="B214" s="1258" t="s">
        <v>959</v>
      </c>
      <c r="C214" s="1258"/>
      <c r="D214" s="1259" t="s">
        <v>960</v>
      </c>
      <c r="E214" s="1260" t="s">
        <v>961</v>
      </c>
      <c r="F214" s="1260" t="s">
        <v>962</v>
      </c>
      <c r="G214" s="1261" t="s">
        <v>974</v>
      </c>
      <c r="H214" s="1262" t="s">
        <v>964</v>
      </c>
      <c r="I214" s="1262" t="s">
        <v>965</v>
      </c>
      <c r="J214" s="1263" t="s">
        <v>966</v>
      </c>
      <c r="K214" s="1087"/>
      <c r="L214" s="1087"/>
      <c r="M214" s="1087"/>
      <c r="N214" s="1087"/>
      <c r="O214" s="1087"/>
      <c r="P214" s="1087"/>
    </row>
    <row customHeight="true" ht="18.452380952380953" r="215">
      <c r="A215" s="1239" t="s">
        <v>1141</v>
      </c>
      <c r="B215" s="1070">
        <v>46288</v>
      </c>
      <c r="C215" s="1088" t="str">
        <v>Wednesday</v>
      </c>
      <c r="D215" s="1240" t="s">
        <v>1142</v>
      </c>
      <c r="E215" s="1065">
        <f t="shared" ref="E215:E216" si="89">24*MOD(TIMEVALUE(TRIM(MID(D215,FIND("-",D215)+1,LEN(D215)))) - TIMEVALUE(TRIM(LEFT(D215,FIND("-",D215)-1))),1)</f>
      </c>
      <c r="F215" s="1093" t="s">
        <v>1118</v>
      </c>
      <c r="G215" s="1242" t="s">
        <v>1143</v>
      </c>
      <c r="H215" s="1065" t="s">
        <v>945</v>
      </c>
      <c r="I215" s="1093" t="s">
        <v>946</v>
      </c>
      <c r="J215" s="1219" t="s">
        <v>1144</v>
      </c>
      <c r="K215" s="1067"/>
      <c r="L215" s="1067"/>
      <c r="M215" s="1067"/>
      <c r="N215" s="1067"/>
      <c r="O215" s="1067"/>
      <c r="P215" s="1067"/>
    </row>
    <row customHeight="true" ht="18.452380952380953" r="216">
      <c r="A216" s="1239" t="s">
        <v>1141</v>
      </c>
      <c r="B216" s="1070">
        <v>46288</v>
      </c>
      <c r="C216" s="1088" t="str">
        <v>Wednesday</v>
      </c>
      <c r="D216" s="1240" t="s">
        <v>1145</v>
      </c>
      <c r="E216" s="1065">
        <f t="shared" si="89"/>
      </c>
      <c r="F216" s="1093" t="s">
        <v>1118</v>
      </c>
      <c r="G216" s="1242" t="s">
        <v>1143</v>
      </c>
      <c r="H216" s="1065" t="s">
        <v>945</v>
      </c>
      <c r="I216" s="1093" t="s">
        <v>946</v>
      </c>
      <c r="J216" s="1219" t="s">
        <v>1146</v>
      </c>
      <c r="K216" s="1067"/>
      <c r="L216" s="1067"/>
      <c r="M216" s="1067"/>
      <c r="N216" s="1067"/>
      <c r="O216" s="1067"/>
      <c r="P216" s="1067"/>
    </row>
    <row customHeight="true" ht="18.452380952380953" r="217">
      <c r="A217" s="1088"/>
      <c r="B217" s="1264"/>
      <c r="C217" s="1265"/>
      <c r="D217" s="1266"/>
      <c r="E217" s="1267"/>
      <c r="F217" s="1065"/>
      <c r="G217" s="1220"/>
      <c r="H217" s="1065"/>
      <c r="I217" s="1093"/>
      <c r="J217" s="1218"/>
      <c r="K217" s="1067"/>
      <c r="L217" s="1067"/>
      <c r="M217" s="1067"/>
      <c r="N217" s="1067"/>
      <c r="O217" s="1067"/>
      <c r="P217" s="1067"/>
    </row>
    <row customHeight="true" ht="18.452380952380953" r="218">
      <c r="A218" s="1088"/>
      <c r="B218" s="1264"/>
      <c r="C218" s="1265"/>
      <c r="D218" s="1266"/>
      <c r="E218" s="1267"/>
      <c r="F218" s="1065"/>
      <c r="G218" s="1220"/>
      <c r="H218" s="1065"/>
      <c r="I218" s="1093"/>
      <c r="J218" s="1218"/>
      <c r="K218" s="1067"/>
      <c r="L218" s="1067"/>
      <c r="M218" s="1067"/>
      <c r="N218" s="1067"/>
      <c r="O218" s="1067"/>
      <c r="P218" s="1067"/>
    </row>
    <row customHeight="true" ht="16.071428571428573" r="219">
      <c r="A219" s="1268"/>
      <c r="B219" s="1269"/>
      <c r="C219" s="1269"/>
      <c r="D219" s="1269"/>
      <c r="E219" s="1270"/>
      <c r="F219" s="1269"/>
      <c r="G219" s="1270"/>
      <c r="H219" s="1269"/>
      <c r="I219" s="1269"/>
      <c r="J219" s="1271"/>
      <c r="K219" s="1101"/>
      <c r="L219" s="1101"/>
      <c r="M219" s="1101"/>
      <c r="N219" s="1101"/>
      <c r="O219" s="1101"/>
      <c r="P219" s="1101"/>
      <c r="Q219" s="1125"/>
      <c r="R219" s="1125"/>
    </row>
    <row customHeight="true" ht="16.071428571428573" r="220">
      <c r="A220" s="1272"/>
      <c r="B220" s="1273"/>
      <c r="C220" s="1273"/>
      <c r="D220" s="1274"/>
      <c r="E220" s="1273"/>
      <c r="F220" s="1273"/>
      <c r="G220" s="1273"/>
      <c r="H220" s="1274"/>
      <c r="I220" s="1273"/>
      <c r="J220" s="1273"/>
      <c r="K220" s="1203"/>
      <c r="L220" s="1203"/>
      <c r="M220" s="1203"/>
      <c r="N220" s="1203"/>
      <c r="O220" s="1203"/>
      <c r="P220" s="1203"/>
    </row>
    <row customHeight="true" ht="65.32578205231651" r="221">
      <c r="A221" s="1275" t="s">
        <v>958</v>
      </c>
      <c r="B221" s="1276" t="s">
        <v>959</v>
      </c>
      <c r="C221" s="1276"/>
      <c r="D221" s="1277" t="s">
        <v>960</v>
      </c>
      <c r="E221" s="1278" t="s">
        <v>961</v>
      </c>
      <c r="F221" s="1278" t="s">
        <v>962</v>
      </c>
      <c r="G221" s="1279" t="s">
        <v>974</v>
      </c>
      <c r="H221" s="1278" t="s">
        <v>964</v>
      </c>
      <c r="I221" s="1278" t="s">
        <v>965</v>
      </c>
      <c r="J221" s="1280" t="s">
        <v>966</v>
      </c>
      <c r="K221" s="1087"/>
      <c r="L221" s="1087"/>
      <c r="M221" s="1087"/>
      <c r="N221" s="1087"/>
      <c r="O221" s="1087"/>
      <c r="P221" s="1087"/>
    </row>
    <row customHeight="true" ht="16.071428571428573" r="222">
      <c r="A222" s="1239" t="s">
        <v>1147</v>
      </c>
      <c r="B222" s="1070">
        <v>46286</v>
      </c>
      <c r="C222" s="1088" t="str">
        <v>Monday</v>
      </c>
      <c r="D222" s="1240" t="s">
        <v>1148</v>
      </c>
      <c r="E222" s="1065">
        <f>24*MOD(TIMEVALUE(TRIM(MID(D222,FIND("-",D222)+1,LEN(D222)))) - TIMEVALUE(TRIM(LEFT(D222,FIND("-",D222)-1))),1)</f>
      </c>
      <c r="F222" s="1089" t="s">
        <v>1018</v>
      </c>
      <c r="G222" s="1065" t="s">
        <v>1084</v>
      </c>
      <c r="H222" s="1065" t="s">
        <v>945</v>
      </c>
      <c r="I222" s="1093" t="s">
        <v>946</v>
      </c>
      <c r="J222" s="1061"/>
      <c r="K222" s="1185"/>
      <c r="L222" s="1185"/>
      <c r="M222" s="1185"/>
      <c r="N222" s="1185"/>
      <c r="O222" s="1185"/>
      <c r="P222" s="1185"/>
      <c r="Q222" s="1185"/>
      <c r="R222" s="1185"/>
    </row>
    <row customHeight="true" ht="16.071428571428573" r="223">
      <c r="A223" s="1239" t="s">
        <v>1147</v>
      </c>
      <c r="B223" s="1264">
        <v>46288</v>
      </c>
      <c r="C223" s="1265" t="str">
        <v>Wednesday</v>
      </c>
      <c r="D223" s="1266" t="s">
        <v>1149</v>
      </c>
      <c r="E223" s="1281">
        <v>3</v>
      </c>
      <c r="F223" s="1089" t="s">
        <v>1038</v>
      </c>
      <c r="G223" s="1065" t="s">
        <v>1084</v>
      </c>
      <c r="H223" s="1065" t="s">
        <v>945</v>
      </c>
      <c r="I223" s="1076" t="s">
        <v>946</v>
      </c>
      <c r="J223" s="1061"/>
      <c r="K223" s="1067"/>
      <c r="L223" s="1067"/>
      <c r="M223" s="1067"/>
      <c r="N223" s="1067"/>
      <c r="O223" s="1067"/>
      <c r="P223" s="1067"/>
    </row>
    <row customHeight="true" ht="16.071428571428573" r="224">
      <c r="A224" s="1239" t="s">
        <v>1147</v>
      </c>
      <c r="B224" s="1070">
        <v>46291</v>
      </c>
      <c r="C224" s="1088" t="str">
        <v>Saturday</v>
      </c>
      <c r="D224" s="1240" t="s">
        <v>976</v>
      </c>
      <c r="E224" s="1065">
        <f>24*MOD(TIMEVALUE(TRIM(MID(D224,FIND("-",D224)+1,LEN(D224)))) - TIMEVALUE(TRIM(LEFT(D224,FIND("-",D224)-1))),1)</f>
      </c>
      <c r="F224" s="1089" t="s">
        <v>1018</v>
      </c>
      <c r="G224" s="1065" t="s">
        <v>1084</v>
      </c>
      <c r="H224" s="1065" t="s">
        <v>945</v>
      </c>
      <c r="I224" s="1093" t="s">
        <v>946</v>
      </c>
      <c r="J224" s="1061"/>
      <c r="K224" s="1185"/>
      <c r="L224" s="1185"/>
      <c r="M224" s="1185"/>
      <c r="N224" s="1185"/>
      <c r="O224" s="1185"/>
      <c r="P224" s="1185"/>
      <c r="Q224" s="1185"/>
      <c r="R224" s="1185"/>
    </row>
    <row customHeight="true" ht="16.071428571428573" r="225">
      <c r="A225" s="1239"/>
      <c r="B225" s="1264"/>
      <c r="C225" s="1265"/>
      <c r="D225" s="1266"/>
      <c r="E225" s="1267"/>
      <c r="F225" s="1089"/>
      <c r="G225" s="1242"/>
      <c r="H225" s="1282"/>
      <c r="I225" s="1076"/>
      <c r="J225" s="1282"/>
      <c r="K225" s="1067"/>
      <c r="L225" s="1067"/>
      <c r="M225" s="1067"/>
      <c r="N225" s="1067"/>
      <c r="O225" s="1067"/>
      <c r="P225" s="1067"/>
      <c r="Q225" s="1067"/>
      <c r="R225" s="1067"/>
    </row>
    <row customHeight="true" ht="16.071428571428573" r="226">
      <c r="A226" s="1239" t="s">
        <v>1150</v>
      </c>
      <c r="B226" s="1070">
        <v>46286</v>
      </c>
      <c r="C226" s="1088" t="str">
        <v>Monday</v>
      </c>
      <c r="D226" s="1240" t="s">
        <v>1148</v>
      </c>
      <c r="E226" s="1065">
        <f>24*MOD(TIMEVALUE(TRIM(MID(D226,FIND("-",D226)+1,LEN(D226)))) - TIMEVALUE(TRIM(LEFT(D226,FIND("-",D226)-1))),1)</f>
      </c>
      <c r="F226" s="1065" t="s">
        <v>1084</v>
      </c>
      <c r="G226" s="1242"/>
      <c r="H226" s="1065" t="s">
        <v>945</v>
      </c>
      <c r="I226" s="1076" t="s">
        <v>946</v>
      </c>
      <c r="J226" s="1283"/>
      <c r="K226" s="1067"/>
      <c r="L226" s="1067"/>
      <c r="M226" s="1067"/>
      <c r="N226" s="1067"/>
      <c r="O226" s="1067"/>
      <c r="P226" s="1067"/>
      <c r="Q226" s="1067"/>
      <c r="R226" s="1067"/>
    </row>
    <row customHeight="true" ht="16.071428571428573" r="227">
      <c r="A227" s="1239" t="s">
        <v>1150</v>
      </c>
      <c r="B227" s="1264">
        <v>46288</v>
      </c>
      <c r="C227" s="1265" t="str">
        <v>Wednesday</v>
      </c>
      <c r="D227" s="1266" t="s">
        <v>1149</v>
      </c>
      <c r="E227" s="1281">
        <v>3</v>
      </c>
      <c r="F227" s="1065" t="s">
        <v>1084</v>
      </c>
      <c r="G227" s="1242"/>
      <c r="H227" s="1065" t="s">
        <v>945</v>
      </c>
      <c r="I227" s="1076" t="s">
        <v>946</v>
      </c>
      <c r="J227" s="1061"/>
      <c r="K227" s="1067"/>
      <c r="L227" s="1067"/>
      <c r="M227" s="1067"/>
      <c r="N227" s="1067"/>
      <c r="O227" s="1067"/>
      <c r="P227" s="1067"/>
      <c r="Q227" s="1067"/>
      <c r="R227" s="1067"/>
    </row>
    <row customHeight="true" ht="16.071428571428573" r="228">
      <c r="A228" s="1239" t="s">
        <v>1150</v>
      </c>
      <c r="B228" s="1070">
        <v>46291</v>
      </c>
      <c r="C228" s="1088" t="str">
        <v>Saturday</v>
      </c>
      <c r="D228" s="1240" t="s">
        <v>1151</v>
      </c>
      <c r="E228" s="1065">
        <f>24*MOD(TIMEVALUE(TRIM(MID(D228,FIND("-",D228)+1,LEN(D228)))) - TIMEVALUE(TRIM(LEFT(D228,FIND("-",D228)-1))),1)</f>
      </c>
      <c r="F228" s="1065" t="s">
        <v>1084</v>
      </c>
      <c r="G228" s="1242"/>
      <c r="H228" s="1065" t="s">
        <v>945</v>
      </c>
      <c r="I228" s="1076" t="s">
        <v>946</v>
      </c>
      <c r="J228" s="1282"/>
      <c r="K228" s="1067"/>
      <c r="L228" s="1067"/>
      <c r="M228" s="1067"/>
      <c r="N228" s="1067"/>
      <c r="O228" s="1067"/>
      <c r="P228" s="1067"/>
      <c r="Q228" s="1067"/>
      <c r="R228" s="1067"/>
    </row>
    <row customHeight="true" ht="16.071428571428573" r="229">
      <c r="A229" s="1088"/>
      <c r="B229" s="1070"/>
      <c r="C229" s="1088"/>
      <c r="D229" s="1240"/>
      <c r="E229" s="1065"/>
      <c r="F229" s="1089"/>
      <c r="G229" s="1242"/>
      <c r="H229" s="1093"/>
      <c r="I229" s="1093"/>
      <c r="J229" s="1061"/>
      <c r="K229" s="1185"/>
      <c r="L229" s="1185"/>
      <c r="M229" s="1185"/>
      <c r="N229" s="1185"/>
      <c r="O229" s="1185"/>
      <c r="P229" s="1185"/>
      <c r="Q229" s="1185"/>
      <c r="R229" s="1185"/>
    </row>
    <row customHeight="true" ht="16.071428571428573" r="230">
      <c r="A230" s="1088" t="s">
        <v>1152</v>
      </c>
      <c r="B230" s="1070">
        <v>46286</v>
      </c>
      <c r="C230" s="1088" t="str">
        <v>Monday</v>
      </c>
      <c r="D230" s="1240" t="s">
        <v>1148</v>
      </c>
      <c r="E230" s="1065">
        <f t="shared" ref="E230:E233" si="90">24*MOD(TIMEVALUE(TRIM(MID(D230,FIND("-",D230)+1,LEN(D230)))) - TIMEVALUE(TRIM(LEFT(D230,FIND("-",D230)-1))),1)</f>
      </c>
      <c r="F230" s="1089" t="s">
        <v>1107</v>
      </c>
      <c r="G230" s="1242"/>
      <c r="H230" s="1282" t="s">
        <v>945</v>
      </c>
      <c r="I230" s="1093" t="s">
        <v>970</v>
      </c>
      <c r="J230" s="1061" t="s">
        <v>1153</v>
      </c>
      <c r="K230" s="1185"/>
      <c r="L230" s="1185"/>
      <c r="M230" s="1185"/>
      <c r="N230" s="1185"/>
      <c r="O230" s="1185"/>
      <c r="P230" s="1185"/>
      <c r="Q230" s="1185"/>
      <c r="R230" s="1185"/>
    </row>
    <row customHeight="true" ht="16.071428571428573" r="231">
      <c r="A231" s="1088" t="s">
        <v>1152</v>
      </c>
      <c r="B231" s="1070">
        <v>46286</v>
      </c>
      <c r="C231" s="1088" t="str">
        <v>Monday</v>
      </c>
      <c r="D231" s="1240" t="s">
        <v>1154</v>
      </c>
      <c r="E231" s="1065">
        <f t="shared" si="90"/>
      </c>
      <c r="F231" s="1089" t="s">
        <v>1107</v>
      </c>
      <c r="G231" s="1242" t="s">
        <v>1155</v>
      </c>
      <c r="H231" s="1282"/>
      <c r="I231" s="1093"/>
      <c r="J231" s="1061"/>
      <c r="K231" s="1185"/>
      <c r="L231" s="1185"/>
      <c r="M231" s="1185"/>
      <c r="N231" s="1185"/>
      <c r="O231" s="1185"/>
      <c r="P231" s="1185"/>
      <c r="Q231" s="1185"/>
      <c r="R231" s="1185"/>
    </row>
    <row customHeight="true" ht="16.071428571428573" r="232">
      <c r="A232" s="1088" t="s">
        <v>1152</v>
      </c>
      <c r="B232" s="1070">
        <v>46286</v>
      </c>
      <c r="C232" s="1088" t="str">
        <v>Monday</v>
      </c>
      <c r="D232" s="1240" t="s">
        <v>1145</v>
      </c>
      <c r="E232" s="1065">
        <f t="shared" si="90"/>
      </c>
      <c r="F232" s="1065" t="s">
        <v>1084</v>
      </c>
      <c r="G232" s="1242" t="s">
        <v>1155</v>
      </c>
      <c r="H232" s="1282" t="s">
        <v>945</v>
      </c>
      <c r="I232" s="1093" t="s">
        <v>970</v>
      </c>
      <c r="J232" s="1061" t="s">
        <v>1156</v>
      </c>
      <c r="K232" s="1067"/>
      <c r="L232" s="1067"/>
      <c r="M232" s="1067"/>
      <c r="N232" s="1067"/>
      <c r="O232" s="1067"/>
      <c r="P232" s="1067"/>
      <c r="Q232" s="1067"/>
      <c r="R232" s="1067"/>
    </row>
    <row customHeight="true" ht="16.071428571428573" r="233">
      <c r="A233" s="1088" t="s">
        <v>1152</v>
      </c>
      <c r="B233" s="1070">
        <v>46286</v>
      </c>
      <c r="C233" s="1088" t="str">
        <v>Monday</v>
      </c>
      <c r="D233" s="1240" t="s">
        <v>1157</v>
      </c>
      <c r="E233" s="1065">
        <f t="shared" si="90"/>
      </c>
      <c r="F233" s="1065" t="s">
        <v>1084</v>
      </c>
      <c r="G233" s="1242" t="s">
        <v>1143</v>
      </c>
      <c r="H233" s="1282" t="s">
        <v>945</v>
      </c>
      <c r="I233" s="1093" t="s">
        <v>970</v>
      </c>
      <c r="J233" s="1061"/>
      <c r="K233" s="1067"/>
      <c r="L233" s="1067"/>
      <c r="M233" s="1067"/>
      <c r="N233" s="1067"/>
      <c r="O233" s="1067"/>
      <c r="P233" s="1067"/>
      <c r="Q233" s="1067"/>
      <c r="R233" s="1067"/>
    </row>
    <row customHeight="true" ht="16.071428571428573" r="234">
      <c r="A234" s="1088"/>
      <c r="B234" s="1070"/>
      <c r="C234" s="1088"/>
      <c r="D234" s="1240"/>
      <c r="E234" s="1065"/>
      <c r="F234" s="1065"/>
      <c r="G234" s="1242"/>
      <c r="H234" s="1282"/>
      <c r="I234" s="1174"/>
      <c r="J234" s="1061"/>
      <c r="K234" s="1067"/>
      <c r="L234" s="1067"/>
      <c r="M234" s="1067"/>
      <c r="N234" s="1067"/>
      <c r="O234" s="1067"/>
      <c r="P234" s="1067"/>
      <c r="Q234" s="1067"/>
      <c r="R234" s="1067"/>
    </row>
    <row customHeight="true" ht="16.071428571428573" r="235">
      <c r="A235" s="1239" t="s">
        <v>1152</v>
      </c>
      <c r="B235" s="1070">
        <v>46288</v>
      </c>
      <c r="C235" s="1088" t="str">
        <v>Wednesday</v>
      </c>
      <c r="D235" s="1240" t="s">
        <v>1158</v>
      </c>
      <c r="E235" s="1065">
        <f t="shared" ref="E235:E236" si="91">24*MOD(TIMEVALUE(TRIM(MID(D235,FIND("-",D235)+1,LEN(D235)))) - TIMEVALUE(TRIM(LEFT(D235,FIND("-",D235)-1))),1)</f>
      </c>
      <c r="F235" s="1089" t="s">
        <v>1107</v>
      </c>
      <c r="G235" s="1065" t="s">
        <v>1084</v>
      </c>
      <c r="H235" s="1282" t="s">
        <v>945</v>
      </c>
      <c r="I235" s="1093" t="s">
        <v>970</v>
      </c>
      <c r="J235" s="1061" t="s">
        <v>1159</v>
      </c>
      <c r="K235" s="1185"/>
      <c r="L235" s="1185"/>
      <c r="M235" s="1185"/>
      <c r="N235" s="1185"/>
      <c r="O235" s="1185"/>
      <c r="P235" s="1185"/>
      <c r="Q235" s="1185"/>
      <c r="R235" s="1185"/>
    </row>
    <row customHeight="true" ht="16.071428571428573" r="236">
      <c r="A236" s="1239" t="s">
        <v>1152</v>
      </c>
      <c r="B236" s="1070">
        <v>46288</v>
      </c>
      <c r="C236" s="1088" t="str">
        <v>Wednesday</v>
      </c>
      <c r="D236" s="1240" t="s">
        <v>1158</v>
      </c>
      <c r="E236" s="1065">
        <f t="shared" si="91"/>
      </c>
      <c r="F236" s="1065" t="s">
        <v>1084</v>
      </c>
      <c r="G236" s="1065"/>
      <c r="H236" s="1282" t="s">
        <v>945</v>
      </c>
      <c r="I236" s="1093" t="s">
        <v>970</v>
      </c>
      <c r="J236" s="1061"/>
      <c r="K236" s="1185"/>
      <c r="L236" s="1185"/>
      <c r="M236" s="1185"/>
      <c r="N236" s="1185"/>
      <c r="O236" s="1185"/>
      <c r="P236" s="1185"/>
      <c r="Q236" s="1185"/>
      <c r="R236" s="1185"/>
    </row>
    <row customHeight="true" ht="16.071428571428573" r="237">
      <c r="A237" s="1239" t="s">
        <v>1152</v>
      </c>
      <c r="B237" s="1264">
        <v>46288</v>
      </c>
      <c r="C237" s="1265" t="str">
        <v>Wednesday</v>
      </c>
      <c r="D237" s="1266" t="s">
        <v>1160</v>
      </c>
      <c r="E237" s="1281">
        <v>0.5</v>
      </c>
      <c r="F237" s="1089" t="s">
        <v>1038</v>
      </c>
      <c r="G237" s="1065" t="s">
        <v>1084</v>
      </c>
      <c r="H237" s="1065" t="s">
        <v>945</v>
      </c>
      <c r="I237" s="1076" t="s">
        <v>946</v>
      </c>
      <c r="J237" s="1061" t="s">
        <v>1161</v>
      </c>
      <c r="K237" s="1067"/>
      <c r="L237" s="1067"/>
      <c r="M237" s="1067"/>
      <c r="N237" s="1067"/>
      <c r="O237" s="1067"/>
      <c r="P237" s="1067"/>
    </row>
    <row customHeight="true" ht="16.071428571428573" r="238">
      <c r="A238" s="1239" t="s">
        <v>1152</v>
      </c>
      <c r="B238" s="1264">
        <v>46289</v>
      </c>
      <c r="C238" s="1265" t="str">
        <v>Thursday</v>
      </c>
      <c r="D238" s="1266" t="s">
        <v>1162</v>
      </c>
      <c r="E238" s="1281">
        <v>2.5</v>
      </c>
      <c r="F238" s="1089" t="s">
        <v>1107</v>
      </c>
      <c r="G238" s="1065"/>
      <c r="H238" s="1065"/>
      <c r="I238" s="1093"/>
      <c r="J238" s="1061"/>
      <c r="K238" s="1067"/>
      <c r="L238" s="1067"/>
      <c r="M238" s="1067"/>
      <c r="N238" s="1067"/>
      <c r="O238" s="1067"/>
      <c r="P238" s="1067"/>
    </row>
    <row customHeight="true" ht="16.071428571428573" r="239">
      <c r="A239" s="1239" t="s">
        <v>1152</v>
      </c>
      <c r="B239" s="1264">
        <v>46289</v>
      </c>
      <c r="C239" s="1265" t="str">
        <v>Thursday</v>
      </c>
      <c r="D239" s="1266" t="s">
        <v>1163</v>
      </c>
      <c r="E239" s="1281">
        <v>2.75</v>
      </c>
      <c r="F239" s="1065" t="s">
        <v>1084</v>
      </c>
      <c r="G239" s="1065"/>
      <c r="H239" s="1065"/>
      <c r="I239" s="1093"/>
      <c r="J239" s="1061"/>
      <c r="K239" s="1067"/>
      <c r="L239" s="1067"/>
      <c r="M239" s="1067"/>
      <c r="N239" s="1067"/>
      <c r="O239" s="1067"/>
      <c r="P239" s="1067"/>
    </row>
    <row customHeight="true" ht="16.071428571428573" r="240">
      <c r="A240" s="1239"/>
      <c r="B240" s="1284"/>
      <c r="C240" s="1239"/>
      <c r="D240" s="1240"/>
      <c r="E240" s="1240"/>
      <c r="F240" s="1282"/>
      <c r="G240" s="1242"/>
      <c r="H240" s="1282"/>
      <c r="I240" s="1076"/>
      <c r="J240" s="1282"/>
      <c r="K240" s="1067"/>
      <c r="L240" s="1067"/>
      <c r="M240" s="1067"/>
      <c r="N240" s="1067"/>
      <c r="O240" s="1067"/>
      <c r="P240" s="1067"/>
      <c r="Q240" s="1067"/>
      <c r="R240" s="1067"/>
    </row>
    <row customHeight="true" ht="16.071428571428573" r="241">
      <c r="A241" s="1285" t="s">
        <v>1164</v>
      </c>
      <c r="B241" s="1286"/>
      <c r="C241" s="1287"/>
      <c r="D241" s="1288"/>
      <c r="E241" s="1289"/>
      <c r="F241" s="1289"/>
      <c r="G241" s="1290"/>
      <c r="H241" s="1289"/>
      <c r="I241" s="1289"/>
      <c r="J241" s="1291"/>
      <c r="K241" s="1292"/>
      <c r="L241" s="1292"/>
      <c r="M241" s="1292"/>
      <c r="N241" s="1292"/>
      <c r="O241" s="1292"/>
      <c r="P241" s="1292"/>
      <c r="Q241" s="1293"/>
      <c r="R241" s="1293"/>
    </row>
    <row customHeight="true" ht="39.285714285714285" r="242">
      <c r="A242" s="1294" t="s">
        <v>958</v>
      </c>
      <c r="B242" s="1295" t="s">
        <v>959</v>
      </c>
      <c r="C242" s="1295"/>
      <c r="D242" s="1296" t="s">
        <v>960</v>
      </c>
      <c r="E242" s="1297" t="s">
        <v>961</v>
      </c>
      <c r="F242" s="1297" t="s">
        <v>962</v>
      </c>
      <c r="G242" s="1298" t="s">
        <v>974</v>
      </c>
      <c r="H242" s="1297" t="s">
        <v>964</v>
      </c>
      <c r="I242" s="1297" t="s">
        <v>965</v>
      </c>
      <c r="J242" s="1299" t="s">
        <v>966</v>
      </c>
      <c r="K242" s="1300"/>
      <c r="L242" s="1300"/>
      <c r="M242" s="1300"/>
      <c r="N242" s="1300"/>
      <c r="O242" s="1300"/>
      <c r="P242" s="1300"/>
      <c r="Q242" s="1293"/>
      <c r="R242" s="1293"/>
    </row>
    <row customHeight="true" ht="16.071428571428573" r="243">
      <c r="A243" s="1239"/>
      <c r="B243" s="1264"/>
      <c r="C243" s="1265"/>
      <c r="D243" s="1266"/>
      <c r="E243" s="1267"/>
      <c r="F243" s="1063"/>
      <c r="G243" s="1065"/>
      <c r="H243" s="1282"/>
      <c r="I243" s="1093"/>
      <c r="J243" s="1240"/>
      <c r="K243" s="1067"/>
      <c r="L243" s="1067"/>
      <c r="M243" s="1067"/>
      <c r="N243" s="1067"/>
      <c r="O243" s="1067"/>
      <c r="P243" s="1067"/>
      <c r="Q243" s="1067"/>
      <c r="R243" s="1067"/>
    </row>
    <row customHeight="true" ht="16.071428571428573" r="244">
      <c r="A244" s="1239"/>
      <c r="B244" s="1264"/>
      <c r="C244" s="1265"/>
      <c r="D244" s="1266"/>
      <c r="E244" s="1267"/>
      <c r="F244" s="1063"/>
      <c r="G244" s="1065"/>
      <c r="H244" s="1282"/>
      <c r="I244" s="1093"/>
      <c r="J244" s="1240"/>
      <c r="K244" s="1067"/>
      <c r="L244" s="1067"/>
      <c r="M244" s="1067"/>
      <c r="N244" s="1067"/>
      <c r="O244" s="1067"/>
      <c r="P244" s="1067"/>
      <c r="Q244" s="1067"/>
      <c r="R244" s="1067"/>
    </row>
    <row customHeight="true" ht="16.071428571428573" r="245">
      <c r="A245" s="1239"/>
      <c r="B245" s="1264"/>
      <c r="C245" s="1265"/>
      <c r="D245" s="1266"/>
      <c r="E245" s="1267"/>
      <c r="F245" s="1063"/>
      <c r="G245" s="1065"/>
      <c r="H245" s="1282"/>
      <c r="I245" s="1093"/>
      <c r="J245" s="1240"/>
      <c r="K245" s="1067"/>
      <c r="L245" s="1067"/>
      <c r="M245" s="1067"/>
      <c r="N245" s="1067"/>
      <c r="O245" s="1067"/>
      <c r="P245" s="1067"/>
      <c r="Q245" s="1067"/>
      <c r="R245" s="1067"/>
    </row>
    <row customHeight="true" ht="16.071428571428573" r="246">
      <c r="A246" s="1301" t="s">
        <v>1165</v>
      </c>
      <c r="B246" s="1118"/>
      <c r="C246" s="1117"/>
      <c r="D246" s="1119"/>
      <c r="E246" s="1120"/>
      <c r="F246" s="1120"/>
      <c r="G246" s="1121"/>
      <c r="H246" s="1120"/>
      <c r="I246" s="1120"/>
      <c r="J246" s="1123"/>
      <c r="K246" s="1302"/>
      <c r="L246" s="1302"/>
      <c r="M246" s="1302"/>
      <c r="N246" s="1302"/>
      <c r="O246" s="1302"/>
      <c r="P246" s="1302"/>
      <c r="Q246" s="1303"/>
      <c r="R246" s="1303"/>
    </row>
    <row customHeight="true" ht="40.10123434465338" r="247">
      <c r="A247" s="1304" t="s">
        <v>958</v>
      </c>
      <c r="B247" s="1305" t="s">
        <v>959</v>
      </c>
      <c r="C247" s="1305"/>
      <c r="D247" s="1306" t="s">
        <v>960</v>
      </c>
      <c r="E247" s="1307" t="s">
        <v>961</v>
      </c>
      <c r="F247" s="1307" t="s">
        <v>962</v>
      </c>
      <c r="G247" s="1308" t="s">
        <v>974</v>
      </c>
      <c r="H247" s="1307" t="s">
        <v>964</v>
      </c>
      <c r="I247" s="1307" t="s">
        <v>965</v>
      </c>
      <c r="J247" s="1309" t="s">
        <v>966</v>
      </c>
      <c r="K247" s="1310"/>
      <c r="L247" s="1310"/>
      <c r="M247" s="1310"/>
      <c r="N247" s="1310"/>
      <c r="O247" s="1310"/>
      <c r="P247" s="1310"/>
      <c r="Q247" s="1303"/>
      <c r="R247" s="1303"/>
    </row>
    <row customHeight="true" ht="16.071428571428573" r="248">
      <c r="A248" s="1088" t="s">
        <v>1165</v>
      </c>
      <c r="B248" s="1264">
        <v>46288</v>
      </c>
      <c r="C248" s="1265" t="str">
        <v>Wednesday</v>
      </c>
      <c r="D248" s="1266" t="s">
        <v>987</v>
      </c>
      <c r="E248" s="1281">
        <v>2</v>
      </c>
      <c r="F248" s="1065" t="s">
        <v>1166</v>
      </c>
      <c r="G248" s="1065" t="s">
        <v>1084</v>
      </c>
      <c r="H248" s="1282" t="s">
        <v>945</v>
      </c>
      <c r="I248" s="1282" t="s">
        <v>946</v>
      </c>
      <c r="J248" s="1219"/>
      <c r="K248" s="1067"/>
      <c r="L248" s="1067"/>
      <c r="M248" s="1067"/>
      <c r="N248" s="1067"/>
      <c r="O248" s="1067"/>
      <c r="P248" s="1067"/>
    </row>
    <row customHeight="true" ht="16.071428571428573" r="249">
      <c r="A249" s="1088" t="s">
        <v>1165</v>
      </c>
      <c r="B249" s="1264">
        <v>46290</v>
      </c>
      <c r="C249" s="1265" t="str">
        <v>Friday</v>
      </c>
      <c r="D249" s="1266" t="s">
        <v>987</v>
      </c>
      <c r="E249" s="1281">
        <v>2</v>
      </c>
      <c r="F249" s="1241" t="s">
        <v>1088</v>
      </c>
      <c r="G249" s="1065" t="s">
        <v>1084</v>
      </c>
      <c r="H249" s="1282" t="s">
        <v>945</v>
      </c>
      <c r="I249" s="1282" t="s">
        <v>946</v>
      </c>
      <c r="J249" s="1219"/>
      <c r="K249" s="1067"/>
      <c r="L249" s="1067"/>
      <c r="M249" s="1067"/>
      <c r="N249" s="1067"/>
      <c r="O249" s="1067"/>
      <c r="P249" s="1067"/>
    </row>
    <row customHeight="true" ht="16.071428571428573" r="250">
      <c r="A250" s="1088"/>
      <c r="B250" s="1070"/>
      <c r="C250" s="1239"/>
      <c r="D250" s="1061"/>
      <c r="E250" s="1095"/>
      <c r="F250" s="1065"/>
      <c r="G250" s="1065"/>
      <c r="H250" s="1282"/>
      <c r="I250" s="1282"/>
      <c r="J250" s="1219"/>
      <c r="K250" s="1067"/>
      <c r="L250" s="1067"/>
      <c r="M250" s="1067"/>
      <c r="N250" s="1067"/>
      <c r="O250" s="1067"/>
      <c r="P250" s="1067"/>
    </row>
    <row customHeight="true" ht="16.071428571428573" r="251">
      <c r="A251" s="1088" t="s">
        <v>1167</v>
      </c>
      <c r="B251" s="1070">
        <v>46288</v>
      </c>
      <c r="C251" s="1088" t="str">
        <v>Wednesday</v>
      </c>
      <c r="D251" s="1240" t="s">
        <v>1168</v>
      </c>
      <c r="E251" s="1065">
        <f t="shared" ref="E251:E252" si="92">24*MOD(TIMEVALUE(TRIM(MID(D251,FIND("-",D251)+1,LEN(D251)))) - TIMEVALUE(TRIM(LEFT(D251,FIND("-",D251)-1))),1)</f>
      </c>
      <c r="F251" s="1065" t="s">
        <v>1166</v>
      </c>
      <c r="G251" s="1065"/>
      <c r="H251" s="1282" t="s">
        <v>945</v>
      </c>
      <c r="I251" s="1282" t="s">
        <v>970</v>
      </c>
      <c r="J251" s="1219"/>
      <c r="K251" s="1067"/>
      <c r="L251" s="1067"/>
      <c r="M251" s="1067"/>
      <c r="N251" s="1067"/>
      <c r="O251" s="1067"/>
      <c r="P251" s="1067"/>
    </row>
    <row customHeight="true" ht="16.071428571428573" r="252">
      <c r="A252" s="1088" t="s">
        <v>1167</v>
      </c>
      <c r="B252" s="1264">
        <v>46290</v>
      </c>
      <c r="C252" s="1265" t="str">
        <v>Friday</v>
      </c>
      <c r="D252" s="1240" t="s">
        <v>1168</v>
      </c>
      <c r="E252" s="1065">
        <f t="shared" si="92"/>
      </c>
      <c r="F252" s="1241" t="s">
        <v>1088</v>
      </c>
      <c r="G252" s="1065"/>
      <c r="H252" s="1282" t="s">
        <v>945</v>
      </c>
      <c r="I252" s="1282" t="s">
        <v>970</v>
      </c>
      <c r="J252" s="1219"/>
      <c r="K252" s="1067"/>
      <c r="L252" s="1067"/>
      <c r="M252" s="1067"/>
      <c r="N252" s="1067"/>
      <c r="O252" s="1067"/>
      <c r="P252" s="1067"/>
    </row>
    <row customHeight="true" ht="16.071428571428573" r="253">
      <c r="A253" s="1088"/>
      <c r="B253" s="1070"/>
      <c r="C253" s="1088"/>
      <c r="D253" s="1061"/>
      <c r="E253" s="1065"/>
      <c r="F253" s="1241"/>
      <c r="G253" s="1065"/>
      <c r="H253" s="1282"/>
      <c r="I253" s="1282"/>
      <c r="J253" s="1219"/>
      <c r="K253" s="1067"/>
      <c r="L253" s="1067"/>
      <c r="M253" s="1067"/>
      <c r="N253" s="1067"/>
      <c r="O253" s="1067"/>
      <c r="P253" s="1067"/>
    </row>
    <row customHeight="true" ht="16.071428571428573" r="254">
      <c r="A254" s="1088"/>
      <c r="B254" s="1070"/>
      <c r="C254" s="1088"/>
      <c r="D254" s="1240"/>
      <c r="E254" s="1065"/>
      <c r="F254" s="1065"/>
      <c r="G254" s="1242"/>
      <c r="H254" s="1282"/>
      <c r="I254" s="1282"/>
      <c r="J254" s="1061"/>
      <c r="K254" s="1067"/>
      <c r="L254" s="1067"/>
      <c r="M254" s="1067"/>
      <c r="N254" s="1067"/>
      <c r="O254" s="1067"/>
      <c r="P254" s="1067"/>
      <c r="Q254" s="1067"/>
      <c r="R254" s="1067"/>
    </row>
    <row customHeight="true" ht="16.071428571428573" r="255">
      <c r="A255" s="1088" t="s">
        <v>1167</v>
      </c>
      <c r="B255" s="1070">
        <v>46286</v>
      </c>
      <c r="C255" s="1088" t="str">
        <v>Monday</v>
      </c>
      <c r="D255" s="1240" t="s">
        <v>1169</v>
      </c>
      <c r="E255" s="1065">
        <f t="shared" ref="E255:E258" si="93">24*MOD(TIMEVALUE(TRIM(MID(D255,FIND("-",D255)+1,LEN(D255)))) - TIMEVALUE(TRIM(LEFT(D255,FIND("-",D255)-1))),1)</f>
      </c>
      <c r="F255" s="1065" t="s">
        <v>1166</v>
      </c>
      <c r="G255" s="1220" t="s">
        <v>1170</v>
      </c>
      <c r="H255" s="1282" t="s">
        <v>945</v>
      </c>
      <c r="I255" s="1282" t="s">
        <v>970</v>
      </c>
      <c r="J255" s="1219"/>
      <c r="K255" s="1067"/>
      <c r="L255" s="1067"/>
      <c r="M255" s="1067"/>
      <c r="N255" s="1067"/>
      <c r="O255" s="1067"/>
      <c r="P255" s="1067"/>
    </row>
    <row customHeight="true" ht="16.071428571428573" r="256">
      <c r="A256" s="1088" t="s">
        <v>1167</v>
      </c>
      <c r="B256" s="1070">
        <v>46286</v>
      </c>
      <c r="C256" s="1088" t="str">
        <v>Monday</v>
      </c>
      <c r="D256" s="1240" t="s">
        <v>1169</v>
      </c>
      <c r="E256" s="1065">
        <f t="shared" si="93"/>
      </c>
      <c r="F256" s="1241" t="s">
        <v>1088</v>
      </c>
      <c r="G256" s="1220" t="s">
        <v>1170</v>
      </c>
      <c r="H256" s="1282" t="s">
        <v>945</v>
      </c>
      <c r="I256" s="1282" t="s">
        <v>970</v>
      </c>
      <c r="J256" s="1219"/>
      <c r="K256" s="1067"/>
      <c r="L256" s="1067"/>
      <c r="M256" s="1067"/>
      <c r="N256" s="1067"/>
      <c r="O256" s="1067"/>
      <c r="P256" s="1067"/>
    </row>
    <row customHeight="true" ht="16.071428571428573" r="257">
      <c r="A257" s="1088" t="s">
        <v>1167</v>
      </c>
      <c r="B257" s="1070">
        <v>46287</v>
      </c>
      <c r="C257" s="1088" t="str">
        <v>Tuesday</v>
      </c>
      <c r="D257" s="1240" t="s">
        <v>1171</v>
      </c>
      <c r="E257" s="1065">
        <f t="shared" si="93"/>
      </c>
      <c r="F257" s="1065" t="s">
        <v>1166</v>
      </c>
      <c r="G257" s="1220" t="s">
        <v>1172</v>
      </c>
      <c r="H257" s="1282" t="s">
        <v>945</v>
      </c>
      <c r="I257" s="1282" t="s">
        <v>970</v>
      </c>
      <c r="J257" s="1219"/>
      <c r="K257" s="1067"/>
      <c r="L257" s="1067"/>
      <c r="M257" s="1067"/>
      <c r="N257" s="1067"/>
      <c r="O257" s="1067"/>
      <c r="P257" s="1067"/>
    </row>
    <row customHeight="true" ht="16.071428571428573" r="258">
      <c r="A258" s="1088" t="s">
        <v>1167</v>
      </c>
      <c r="B258" s="1070">
        <v>46287</v>
      </c>
      <c r="C258" s="1088" t="str">
        <v>Tuesday</v>
      </c>
      <c r="D258" s="1240" t="s">
        <v>1173</v>
      </c>
      <c r="E258" s="1065">
        <f t="shared" si="93"/>
      </c>
      <c r="F258" s="1241" t="s">
        <v>1088</v>
      </c>
      <c r="G258" s="1220" t="s">
        <v>1172</v>
      </c>
      <c r="H258" s="1282" t="s">
        <v>945</v>
      </c>
      <c r="I258" s="1282" t="s">
        <v>970</v>
      </c>
      <c r="J258" s="1219"/>
      <c r="K258" s="1067"/>
      <c r="L258" s="1067"/>
      <c r="M258" s="1067"/>
      <c r="N258" s="1067"/>
      <c r="O258" s="1067"/>
      <c r="P258" s="1067"/>
    </row>
    <row customHeight="true" ht="16.071428571428573" r="259">
      <c r="A259" s="1088"/>
      <c r="B259" s="1070"/>
      <c r="C259" s="1088"/>
      <c r="D259" s="1240"/>
      <c r="E259" s="1065"/>
      <c r="F259" s="1065"/>
      <c r="G259" s="1220"/>
      <c r="H259" s="1282"/>
      <c r="I259" s="1282"/>
      <c r="J259" s="1218"/>
      <c r="K259" s="1067"/>
      <c r="L259" s="1067"/>
      <c r="M259" s="1067"/>
      <c r="N259" s="1067"/>
      <c r="O259" s="1067"/>
      <c r="P259" s="1067"/>
    </row>
    <row customHeight="true" ht="16.071428571428573" r="260">
      <c r="A260" s="1088" t="s">
        <v>1167</v>
      </c>
      <c r="B260" s="1070">
        <v>46288</v>
      </c>
      <c r="C260" s="1088" t="str">
        <v>Wednesday</v>
      </c>
      <c r="D260" s="1240" t="s">
        <v>1174</v>
      </c>
      <c r="E260" s="1065">
        <f>24*MOD(TIMEVALUE(TRIM(MID(D260,FIND("-",D260)+1,LEN(D260)))) - TIMEVALUE(TRIM(LEFT(D260,FIND("-",D260)-1))),1)</f>
      </c>
      <c r="F260" s="1065" t="s">
        <v>1074</v>
      </c>
      <c r="G260" s="1220"/>
      <c r="H260" s="1282"/>
      <c r="I260" s="1282"/>
      <c r="J260" s="1218"/>
      <c r="K260" s="1067"/>
      <c r="L260" s="1067"/>
      <c r="M260" s="1067"/>
      <c r="N260" s="1067"/>
      <c r="O260" s="1067"/>
      <c r="P260" s="1067"/>
    </row>
    <row customHeight="true" ht="16.071428571428573" r="261">
      <c r="A261" s="1088"/>
      <c r="B261" s="1070"/>
      <c r="C261" s="1088"/>
      <c r="D261" s="1240"/>
      <c r="E261" s="1065"/>
      <c r="F261" s="1065"/>
      <c r="G261" s="1220"/>
      <c r="H261" s="1282"/>
      <c r="I261" s="1282"/>
      <c r="J261" s="1218"/>
      <c r="K261" s="1067"/>
      <c r="L261" s="1067"/>
      <c r="M261" s="1067"/>
      <c r="N261" s="1067"/>
      <c r="O261" s="1067"/>
      <c r="P261" s="1067"/>
    </row>
    <row customHeight="true" ht="16.071428571428573" r="262">
      <c r="A262" s="1088"/>
      <c r="B262" s="1070"/>
      <c r="C262" s="1088"/>
      <c r="D262" s="1061"/>
      <c r="E262" s="1065"/>
      <c r="F262" s="1065"/>
      <c r="G262" s="1217"/>
      <c r="H262" s="1282"/>
      <c r="I262" s="1282"/>
      <c r="J262" s="1219"/>
      <c r="K262" s="1067"/>
      <c r="L262" s="1067"/>
      <c r="M262" s="1067"/>
      <c r="N262" s="1067"/>
      <c r="O262" s="1067"/>
      <c r="P262" s="1067"/>
    </row>
    <row customHeight="true" ht="16.071428571428573" r="263">
      <c r="A263" s="1088" t="s">
        <v>1175</v>
      </c>
      <c r="B263" s="1070">
        <v>46288</v>
      </c>
      <c r="C263" s="1088" t="str">
        <v>Wednesday</v>
      </c>
      <c r="D263" s="1240" t="s">
        <v>1003</v>
      </c>
      <c r="E263" s="1065">
        <f t="shared" ref="E263:E264" si="94">24*MOD(TIMEVALUE(TRIM(MID(D263,FIND("-",D263)+1,LEN(D263)))) - TIMEVALUE(TRIM(LEFT(D263,FIND("-",D263)-1))),1)</f>
      </c>
      <c r="F263" s="1065" t="s">
        <v>1084</v>
      </c>
      <c r="G263" s="1217"/>
      <c r="H263" s="1282" t="s">
        <v>945</v>
      </c>
      <c r="I263" s="1282" t="s">
        <v>970</v>
      </c>
      <c r="J263" s="1218"/>
      <c r="K263" s="1067"/>
      <c r="L263" s="1067"/>
      <c r="M263" s="1067"/>
      <c r="N263" s="1067"/>
      <c r="O263" s="1067"/>
      <c r="P263" s="1067"/>
    </row>
    <row customHeight="true" ht="16.071428571428573" r="264">
      <c r="A264" s="1088" t="s">
        <v>1175</v>
      </c>
      <c r="B264" s="1070">
        <v>46290</v>
      </c>
      <c r="C264" s="1088" t="str">
        <v>Friday</v>
      </c>
      <c r="D264" s="1240" t="s">
        <v>1003</v>
      </c>
      <c r="E264" s="1065">
        <f t="shared" si="94"/>
      </c>
      <c r="F264" s="1065" t="s">
        <v>1084</v>
      </c>
      <c r="G264" s="1220"/>
      <c r="H264" s="1282" t="s">
        <v>945</v>
      </c>
      <c r="I264" s="1282" t="s">
        <v>970</v>
      </c>
      <c r="J264" s="1218"/>
      <c r="K264" s="1067"/>
      <c r="L264" s="1067"/>
      <c r="M264" s="1067"/>
      <c r="N264" s="1067"/>
      <c r="O264" s="1067"/>
      <c r="P264" s="1067"/>
    </row>
    <row customHeight="true" ht="16.071428571428573" r="265">
      <c r="A265" s="1088"/>
      <c r="B265" s="1070"/>
      <c r="C265" s="1088"/>
      <c r="D265" s="1240"/>
      <c r="E265" s="1065"/>
      <c r="F265" s="1065"/>
      <c r="G265" s="1220"/>
      <c r="H265" s="1282"/>
      <c r="I265" s="1282"/>
      <c r="J265" s="1218"/>
      <c r="K265" s="1067"/>
      <c r="L265" s="1067"/>
      <c r="M265" s="1067"/>
      <c r="N265" s="1067"/>
      <c r="O265" s="1067"/>
      <c r="P265" s="1067"/>
    </row>
    <row customHeight="true" ht="41.666305271490145" r="266">
      <c r="A266" s="1311" t="s">
        <v>1176</v>
      </c>
      <c r="B266" s="1312"/>
      <c r="C266" s="1312"/>
      <c r="D266" s="1312"/>
      <c r="E266" s="1313"/>
      <c r="F266" s="1312"/>
      <c r="G266" s="1313"/>
      <c r="H266" s="1312"/>
      <c r="I266" s="1312"/>
      <c r="J266" s="1314"/>
      <c r="K266" s="1315"/>
      <c r="L266" s="1315"/>
      <c r="M266" s="1315"/>
      <c r="N266" s="1315"/>
      <c r="O266" s="1315"/>
      <c r="P266" s="1315"/>
      <c r="Q266" s="1316"/>
      <c r="R266" s="1316"/>
    </row>
    <row customHeight="true" ht="30.357142857142858" r="267">
      <c r="A267" s="1317" t="s">
        <v>958</v>
      </c>
      <c r="B267" s="1318" t="s">
        <v>959</v>
      </c>
      <c r="C267" s="1318"/>
      <c r="D267" s="1319" t="s">
        <v>960</v>
      </c>
      <c r="E267" s="1320" t="s">
        <v>961</v>
      </c>
      <c r="F267" s="1320" t="s">
        <v>962</v>
      </c>
      <c r="G267" s="1321" t="s">
        <v>974</v>
      </c>
      <c r="H267" s="1322" t="s">
        <v>964</v>
      </c>
      <c r="I267" s="1322" t="s">
        <v>965</v>
      </c>
      <c r="J267" s="1323" t="s">
        <v>966</v>
      </c>
      <c r="K267" s="1324"/>
      <c r="L267" s="1324"/>
      <c r="M267" s="1324"/>
      <c r="N267" s="1324"/>
      <c r="O267" s="1324"/>
      <c r="P267" s="1324"/>
      <c r="Q267" s="1316"/>
      <c r="R267" s="1316"/>
    </row>
    <row customHeight="true" ht="16.071428571428573" r="268">
      <c r="A268" s="1239" t="s">
        <v>1177</v>
      </c>
      <c r="B268" s="1284">
        <v>46287</v>
      </c>
      <c r="C268" s="1239" t="str">
        <v>Tuesday</v>
      </c>
      <c r="D268" s="1240" t="s">
        <v>1178</v>
      </c>
      <c r="E268" s="1282">
        <f t="shared" ref="E268:E269" si="95">24*MOD(TIMEVALUE(TRIM(MID(D268,FIND("-",D268)+1,LEN(D268)))) - TIMEVALUE(TRIM(LEFT(D268,FIND("-",D268)-1))),1)</f>
      </c>
      <c r="F268" s="1325" t="s">
        <v>1179</v>
      </c>
      <c r="G268" s="1242"/>
      <c r="H268" s="1282" t="s">
        <v>945</v>
      </c>
      <c r="I268" s="1282" t="s">
        <v>946</v>
      </c>
      <c r="J268" s="1326"/>
      <c r="K268" s="1067"/>
      <c r="L268" s="1067"/>
      <c r="M268" s="1067"/>
      <c r="N268" s="1067"/>
      <c r="O268" s="1067"/>
      <c r="P268" s="1067"/>
      <c r="Q268" s="1125"/>
      <c r="R268" s="1125"/>
    </row>
    <row customHeight="true" ht="16.071428571428573" r="269">
      <c r="A269" s="1088" t="s">
        <v>1177</v>
      </c>
      <c r="B269" s="1070">
        <v>46287</v>
      </c>
      <c r="C269" s="1088" t="str">
        <v>Tuesday</v>
      </c>
      <c r="D269" s="1240" t="s">
        <v>1180</v>
      </c>
      <c r="E269" s="1065">
        <f t="shared" si="95"/>
      </c>
      <c r="F269" s="1241" t="s">
        <v>1088</v>
      </c>
      <c r="G269" s="1242"/>
      <c r="H269" s="1093" t="s">
        <v>945</v>
      </c>
      <c r="I269" s="1093" t="s">
        <v>946</v>
      </c>
      <c r="J269" s="1219"/>
      <c r="K269" s="1067"/>
      <c r="L269" s="1067"/>
      <c r="M269" s="1067"/>
      <c r="N269" s="1067"/>
      <c r="O269" s="1067"/>
      <c r="P269" s="1067"/>
    </row>
    <row customHeight="true" ht="16.071428571428573" r="270">
      <c r="A270" s="1088"/>
      <c r="B270" s="1070"/>
      <c r="C270" s="1088"/>
      <c r="D270" s="1240"/>
      <c r="E270" s="1065"/>
      <c r="F270" s="1063"/>
      <c r="G270" s="1242"/>
      <c r="H270" s="1093"/>
      <c r="I270" s="1093"/>
      <c r="J270" s="1218"/>
      <c r="K270" s="1067"/>
      <c r="L270" s="1067"/>
      <c r="M270" s="1067"/>
      <c r="N270" s="1067"/>
      <c r="O270" s="1067"/>
      <c r="P270" s="1067"/>
    </row>
    <row customHeight="true" ht="16.071428571428573" r="271">
      <c r="A271" s="1088" t="s">
        <v>1177</v>
      </c>
      <c r="B271" s="1070">
        <v>46289</v>
      </c>
      <c r="C271" s="1088" t="str">
        <v>Thursday</v>
      </c>
      <c r="D271" s="1240" t="s">
        <v>1181</v>
      </c>
      <c r="E271" s="1065">
        <f t="shared" ref="E271:E273" si="96">24*MOD(TIMEVALUE(TRIM(MID(D271,FIND("-",D271)+1,LEN(D271)))) - TIMEVALUE(TRIM(LEFT(D271,FIND("-",D271)-1))),1)</f>
      </c>
      <c r="F271" s="1241" t="s">
        <v>1088</v>
      </c>
      <c r="G271" s="1242"/>
      <c r="H271" s="1282" t="s">
        <v>945</v>
      </c>
      <c r="I271" s="1282" t="s">
        <v>970</v>
      </c>
      <c r="J271" s="1219"/>
      <c r="K271" s="1067"/>
      <c r="L271" s="1067"/>
      <c r="M271" s="1067"/>
      <c r="N271" s="1067"/>
      <c r="O271" s="1067"/>
      <c r="P271" s="1067"/>
    </row>
    <row customHeight="true" ht="16.071428571428573" r="272">
      <c r="A272" s="1088" t="s">
        <v>1177</v>
      </c>
      <c r="B272" s="1070">
        <v>46289</v>
      </c>
      <c r="C272" s="1088" t="str">
        <v>Thursday</v>
      </c>
      <c r="D272" s="1240" t="s">
        <v>1182</v>
      </c>
      <c r="E272" s="1065">
        <f t="shared" si="96"/>
      </c>
      <c r="F272" s="1063" t="s">
        <v>1179</v>
      </c>
      <c r="G272" s="1242"/>
      <c r="H272" s="1093" t="s">
        <v>945</v>
      </c>
      <c r="I272" s="1093" t="s">
        <v>970</v>
      </c>
      <c r="J272" s="1219"/>
      <c r="K272" s="1067"/>
      <c r="L272" s="1067"/>
      <c r="M272" s="1067"/>
      <c r="N272" s="1067"/>
      <c r="O272" s="1067"/>
      <c r="P272" s="1067"/>
    </row>
    <row customHeight="true" ht="16.071428571428573" r="273">
      <c r="A273" s="1088" t="s">
        <v>1177</v>
      </c>
      <c r="B273" s="1070">
        <v>46289</v>
      </c>
      <c r="C273" s="1088" t="str">
        <v>Thursday</v>
      </c>
      <c r="D273" s="1240" t="s">
        <v>1095</v>
      </c>
      <c r="E273" s="1065">
        <f t="shared" si="96"/>
      </c>
      <c r="F273" s="1063" t="s">
        <v>1183</v>
      </c>
      <c r="G273" s="1242"/>
      <c r="H273" s="1093" t="s">
        <v>945</v>
      </c>
      <c r="I273" s="1093" t="s">
        <v>970</v>
      </c>
      <c r="J273" s="1219"/>
      <c r="K273" s="1067"/>
      <c r="L273" s="1067"/>
      <c r="M273" s="1067"/>
      <c r="N273" s="1067"/>
      <c r="O273" s="1067"/>
      <c r="P273" s="1067"/>
    </row>
    <row customHeight="true" ht="16.071428571428573" r="274">
      <c r="A274" s="1088" t="s">
        <v>1177</v>
      </c>
      <c r="B274" s="1264">
        <v>46290</v>
      </c>
      <c r="C274" s="1265" t="str">
        <v>Friday</v>
      </c>
      <c r="D274" s="1266" t="s">
        <v>988</v>
      </c>
      <c r="E274" s="1281">
        <v>1</v>
      </c>
      <c r="F274" s="1241" t="s">
        <v>1088</v>
      </c>
      <c r="G274" s="1242"/>
      <c r="H274" s="1093" t="s">
        <v>945</v>
      </c>
      <c r="I274" s="1093" t="s">
        <v>970</v>
      </c>
      <c r="J274" s="1219"/>
      <c r="K274" s="1067"/>
      <c r="L274" s="1067"/>
      <c r="M274" s="1067"/>
      <c r="N274" s="1067"/>
      <c r="O274" s="1067"/>
      <c r="P274" s="1067"/>
    </row>
    <row customHeight="true" ht="16.071428571428573" r="275">
      <c r="A275" s="1088"/>
      <c r="B275" s="1070"/>
      <c r="C275" s="1088"/>
      <c r="D275" s="1061"/>
      <c r="E275" s="1095"/>
      <c r="F275" s="1282"/>
      <c r="G275" s="1242"/>
      <c r="H275" s="1282"/>
      <c r="I275" s="1282"/>
      <c r="J275" s="1219"/>
      <c r="K275" s="1067"/>
      <c r="L275" s="1067"/>
      <c r="M275" s="1067"/>
      <c r="N275" s="1067"/>
      <c r="O275" s="1067"/>
      <c r="P275" s="1067"/>
    </row>
    <row customHeight="true" ht="16.071428571428573" r="276">
      <c r="A276" s="1088" t="s">
        <v>1177</v>
      </c>
      <c r="B276" s="1070">
        <v>46287</v>
      </c>
      <c r="C276" s="1088" t="str">
        <v>Tuesday</v>
      </c>
      <c r="D276" s="1240" t="s">
        <v>1184</v>
      </c>
      <c r="E276" s="1065">
        <f t="shared" ref="E276:E280" si="97">24*MOD(TIMEVALUE(TRIM(MID(D276,FIND("-",D276)+1,LEN(D276)))) - TIMEVALUE(TRIM(LEFT(D276,FIND("-",D276)-1))),1)</f>
      </c>
      <c r="F276" s="1065" t="s">
        <v>1084</v>
      </c>
      <c r="G276" s="1242"/>
      <c r="H276" s="1093" t="s">
        <v>945</v>
      </c>
      <c r="I276" s="1093" t="s">
        <v>946</v>
      </c>
      <c r="J276" s="1218"/>
      <c r="K276" s="1067"/>
      <c r="L276" s="1067"/>
      <c r="M276" s="1067"/>
      <c r="N276" s="1067"/>
      <c r="O276" s="1067"/>
      <c r="P276" s="1067"/>
    </row>
    <row customHeight="true" ht="16.071428571428573" r="277">
      <c r="A277" s="1088" t="s">
        <v>1177</v>
      </c>
      <c r="B277" s="1070">
        <v>46287</v>
      </c>
      <c r="C277" s="1088" t="str">
        <v>Tuesday</v>
      </c>
      <c r="D277" s="1240" t="s">
        <v>1184</v>
      </c>
      <c r="E277" s="1065">
        <f t="shared" si="97"/>
      </c>
      <c r="F277" s="1065" t="s">
        <v>1118</v>
      </c>
      <c r="G277" s="1242"/>
      <c r="H277" s="1093" t="s">
        <v>945</v>
      </c>
      <c r="I277" s="1093" t="s">
        <v>946</v>
      </c>
      <c r="J277" s="1218"/>
      <c r="K277" s="1067"/>
      <c r="L277" s="1067"/>
      <c r="M277" s="1067"/>
      <c r="N277" s="1067"/>
      <c r="O277" s="1067"/>
      <c r="P277" s="1067"/>
    </row>
    <row customHeight="true" ht="16.071428571428573" r="278">
      <c r="A278" s="1088" t="s">
        <v>1177</v>
      </c>
      <c r="B278" s="1070">
        <v>46288</v>
      </c>
      <c r="C278" s="1088" t="str">
        <v>Wednesday</v>
      </c>
      <c r="D278" s="1240" t="s">
        <v>987</v>
      </c>
      <c r="E278" s="1065">
        <f t="shared" si="97"/>
      </c>
      <c r="F278" s="1065" t="s">
        <v>1074</v>
      </c>
      <c r="G278" s="1242"/>
      <c r="H278" s="1093" t="s">
        <v>945</v>
      </c>
      <c r="I278" s="1093" t="s">
        <v>946</v>
      </c>
      <c r="J278" s="1218"/>
      <c r="K278" s="1067"/>
      <c r="L278" s="1067"/>
      <c r="M278" s="1067"/>
      <c r="N278" s="1067"/>
      <c r="O278" s="1067"/>
      <c r="P278" s="1067"/>
    </row>
    <row customHeight="true" ht="16.071428571428573" r="279">
      <c r="A279" s="1088" t="s">
        <v>1177</v>
      </c>
      <c r="B279" s="1070">
        <v>46289</v>
      </c>
      <c r="C279" s="1088" t="str">
        <v>Thursday</v>
      </c>
      <c r="D279" s="1240" t="s">
        <v>1185</v>
      </c>
      <c r="E279" s="1065">
        <f t="shared" si="97"/>
      </c>
      <c r="F279" s="1065" t="s">
        <v>1084</v>
      </c>
      <c r="G279" s="1242"/>
      <c r="H279" s="1093" t="s">
        <v>945</v>
      </c>
      <c r="I279" s="1093" t="s">
        <v>946</v>
      </c>
      <c r="J279" s="1218"/>
      <c r="K279" s="1067"/>
      <c r="L279" s="1067"/>
      <c r="M279" s="1067"/>
      <c r="N279" s="1067"/>
      <c r="O279" s="1067"/>
      <c r="P279" s="1067"/>
    </row>
    <row customHeight="true" ht="16.071428571428573" r="280">
      <c r="A280" s="1088" t="s">
        <v>1177</v>
      </c>
      <c r="B280" s="1070">
        <v>46289</v>
      </c>
      <c r="C280" s="1088" t="str">
        <v>Thursday</v>
      </c>
      <c r="D280" s="1240" t="s">
        <v>1186</v>
      </c>
      <c r="E280" s="1065">
        <f t="shared" si="97"/>
      </c>
      <c r="F280" s="1065" t="s">
        <v>1118</v>
      </c>
      <c r="G280" s="1242"/>
      <c r="H280" s="1093" t="s">
        <v>945</v>
      </c>
      <c r="I280" s="1093" t="s">
        <v>970</v>
      </c>
      <c r="J280" s="1218"/>
      <c r="K280" s="1067"/>
      <c r="L280" s="1067"/>
      <c r="M280" s="1067"/>
      <c r="N280" s="1067"/>
      <c r="O280" s="1067"/>
      <c r="P280" s="1067"/>
    </row>
    <row customHeight="true" ht="16.071428571428573" r="281">
      <c r="A281" s="1088"/>
      <c r="B281" s="1088"/>
      <c r="C281" s="1088"/>
      <c r="D281" s="1065"/>
      <c r="E281" s="1065"/>
      <c r="F281" s="1065"/>
      <c r="G281" s="1217"/>
      <c r="H281" s="1065"/>
      <c r="I281" s="1093"/>
      <c r="J281" s="1218"/>
      <c r="K281" s="1067"/>
      <c r="L281" s="1067"/>
      <c r="M281" s="1067"/>
      <c r="N281" s="1067"/>
      <c r="O281" s="1067"/>
      <c r="P281" s="1067"/>
    </row>
    <row customHeight="true" ht="16.071428571428573" r="282">
      <c r="A282" s="1088"/>
      <c r="B282" s="1088"/>
      <c r="C282" s="1088"/>
      <c r="D282" s="1065"/>
      <c r="E282" s="1065"/>
      <c r="F282" s="1065"/>
      <c r="G282" s="1217"/>
      <c r="H282" s="1065"/>
      <c r="I282" s="1093"/>
      <c r="J282" s="1218"/>
      <c r="K282" s="1067"/>
      <c r="L282" s="1067"/>
      <c r="M282" s="1067"/>
      <c r="N282" s="1067"/>
      <c r="O282" s="1067"/>
      <c r="P282" s="1067"/>
    </row>
    <row r="283">
      <c r="A283" s="1327" t="s">
        <v>1187</v>
      </c>
      <c r="B283" s="1327"/>
      <c r="C283" s="1327"/>
      <c r="D283" s="1327"/>
      <c r="E283" s="1327"/>
      <c r="F283" s="1327"/>
      <c r="G283" s="1327"/>
      <c r="H283" s="1327"/>
      <c r="I283" s="1327"/>
      <c r="J283" s="1328"/>
      <c r="K283" s="1101"/>
      <c r="L283" s="1101"/>
      <c r="M283" s="1101"/>
      <c r="N283" s="1101"/>
      <c r="O283" s="1101"/>
      <c r="P283" s="1101"/>
    </row>
    <row r="284">
      <c r="A284" s="1082" t="s">
        <v>958</v>
      </c>
      <c r="B284" s="1083" t="s">
        <v>959</v>
      </c>
      <c r="C284" s="1083"/>
      <c r="D284" s="1084" t="s">
        <v>960</v>
      </c>
      <c r="E284" s="1084" t="s">
        <v>961</v>
      </c>
      <c r="F284" s="1084" t="s">
        <v>962</v>
      </c>
      <c r="G284" s="1329" t="s">
        <v>974</v>
      </c>
      <c r="H284" s="1084" t="s">
        <v>964</v>
      </c>
      <c r="I284" s="1084" t="s">
        <v>965</v>
      </c>
      <c r="J284" s="1085" t="s">
        <v>966</v>
      </c>
      <c r="K284" s="1087"/>
      <c r="L284" s="1087"/>
      <c r="M284" s="1087"/>
      <c r="N284" s="1087"/>
      <c r="O284" s="1087"/>
      <c r="P284" s="1087"/>
    </row>
    <row customHeight="true" ht="18.452380952380953" r="285">
      <c r="A285" s="1239" t="s">
        <v>1187</v>
      </c>
      <c r="B285" s="1070">
        <v>46286</v>
      </c>
      <c r="C285" s="1239" t="str">
        <v>Monday</v>
      </c>
      <c r="D285" s="1330" t="s">
        <v>1148</v>
      </c>
      <c r="E285" s="1282">
        <f t="shared" ref="E285:E305" si="98">24*MOD(TIMEVALUE(TRIM(MID(D285,FIND("-",D285)+1,LEN(D285)))) - TIMEVALUE(TRIM(LEFT(D285,FIND("-",D285)-1))),1)</f>
      </c>
      <c r="F285" s="1063" t="s">
        <v>1188</v>
      </c>
      <c r="G285" s="1242"/>
      <c r="H285" s="1282" t="s">
        <v>972</v>
      </c>
      <c r="I285" s="1282"/>
      <c r="J285" s="1331"/>
      <c r="K285" s="1067"/>
      <c r="L285" s="1067"/>
      <c r="M285" s="1067"/>
      <c r="N285" s="1067"/>
      <c r="O285" s="1067"/>
      <c r="P285" s="1067"/>
      <c r="Q285" s="1125"/>
      <c r="R285" s="1125"/>
    </row>
    <row customHeight="true" ht="18.452380952380953" r="286">
      <c r="A286" s="1239" t="s">
        <v>1187</v>
      </c>
      <c r="B286" s="1070">
        <v>46287</v>
      </c>
      <c r="C286" s="1239" t="str">
        <v>Tuesday</v>
      </c>
      <c r="D286" s="1330" t="s">
        <v>1189</v>
      </c>
      <c r="E286" s="1282">
        <f t="shared" si="98"/>
      </c>
      <c r="F286" s="1063" t="s">
        <v>1188</v>
      </c>
      <c r="G286" s="1242"/>
      <c r="H286" s="1282" t="s">
        <v>972</v>
      </c>
      <c r="I286" s="1282"/>
      <c r="J286" s="1331"/>
      <c r="K286" s="1067"/>
      <c r="L286" s="1067"/>
      <c r="M286" s="1067"/>
      <c r="N286" s="1067"/>
      <c r="O286" s="1067"/>
      <c r="P286" s="1067"/>
      <c r="Q286" s="1125"/>
      <c r="R286" s="1125"/>
    </row>
    <row customHeight="true" ht="18.452380952380953" r="287">
      <c r="A287" s="1239" t="s">
        <v>1187</v>
      </c>
      <c r="B287" s="1070">
        <v>46287</v>
      </c>
      <c r="C287" s="1239" t="str">
        <v>Tuesday</v>
      </c>
      <c r="D287" s="1330" t="s">
        <v>1190</v>
      </c>
      <c r="E287" s="1282">
        <f t="shared" si="98"/>
      </c>
      <c r="F287" s="1063" t="s">
        <v>1188</v>
      </c>
      <c r="G287" s="1242"/>
      <c r="H287" s="1065" t="s">
        <v>972</v>
      </c>
      <c r="I287" s="1282"/>
      <c r="J287" s="1331"/>
      <c r="K287" s="1067"/>
      <c r="L287" s="1067"/>
      <c r="M287" s="1067"/>
      <c r="N287" s="1067"/>
      <c r="O287" s="1067"/>
      <c r="P287" s="1067"/>
      <c r="Q287" s="1125"/>
      <c r="R287" s="1125"/>
    </row>
    <row customHeight="true" ht="18.452380952380953" r="288">
      <c r="A288" s="1088" t="s">
        <v>1187</v>
      </c>
      <c r="B288" s="1070">
        <v>46288</v>
      </c>
      <c r="C288" s="1088" t="str">
        <v>Wednesday</v>
      </c>
      <c r="D288" s="1330" t="s">
        <v>1191</v>
      </c>
      <c r="E288" s="1065">
        <f t="shared" si="98"/>
      </c>
      <c r="F288" s="1063" t="s">
        <v>1188</v>
      </c>
      <c r="G288" s="1220"/>
      <c r="H288" s="1093" t="s">
        <v>972</v>
      </c>
      <c r="I288" s="1093"/>
      <c r="J288" s="1066"/>
      <c r="K288" s="1067"/>
      <c r="L288" s="1067"/>
      <c r="M288" s="1067"/>
      <c r="N288" s="1067"/>
      <c r="O288" s="1067"/>
      <c r="P288" s="1067"/>
    </row>
    <row r="289">
      <c r="A289" s="1088" t="s">
        <v>1187</v>
      </c>
      <c r="B289" s="1070">
        <v>46288</v>
      </c>
      <c r="C289" s="1088" t="str">
        <v>Wednesday</v>
      </c>
      <c r="D289" s="1330" t="s">
        <v>1192</v>
      </c>
      <c r="E289" s="1065">
        <f t="shared" si="98"/>
      </c>
      <c r="F289" s="1063" t="s">
        <v>1188</v>
      </c>
      <c r="G289" s="1220"/>
      <c r="H289" s="1093" t="s">
        <v>972</v>
      </c>
      <c r="I289" s="1093"/>
      <c r="J289" s="1066"/>
      <c r="K289" s="1067"/>
      <c r="L289" s="1067"/>
      <c r="M289" s="1067"/>
      <c r="N289" s="1067"/>
      <c r="O289" s="1067"/>
      <c r="P289" s="1067"/>
    </row>
    <row customHeight="true" ht="18.452380952380953" r="290">
      <c r="A290" s="1088" t="s">
        <v>1187</v>
      </c>
      <c r="B290" s="1070">
        <v>46289</v>
      </c>
      <c r="C290" s="1239" t="str">
        <v>Thursday</v>
      </c>
      <c r="D290" s="1061" t="s">
        <v>1193</v>
      </c>
      <c r="E290" s="1065">
        <f t="shared" si="98"/>
      </c>
      <c r="F290" s="1063" t="s">
        <v>1188</v>
      </c>
      <c r="G290" s="1220"/>
      <c r="H290" s="1065" t="s">
        <v>972</v>
      </c>
      <c r="I290" s="1093"/>
      <c r="J290" s="1091"/>
      <c r="K290" s="1067"/>
      <c r="L290" s="1067"/>
      <c r="M290" s="1067"/>
      <c r="N290" s="1067"/>
      <c r="O290" s="1067"/>
      <c r="P290" s="1067"/>
    </row>
    <row customHeight="true" ht="18.452380952380953" r="291">
      <c r="A291" s="1088" t="s">
        <v>1187</v>
      </c>
      <c r="B291" s="1070">
        <v>46289</v>
      </c>
      <c r="C291" s="1088" t="str">
        <v>Thursday</v>
      </c>
      <c r="D291" s="1061" t="s">
        <v>1194</v>
      </c>
      <c r="E291" s="1065">
        <f t="shared" si="98"/>
      </c>
      <c r="F291" s="1089" t="s">
        <v>1195</v>
      </c>
      <c r="G291" s="1220"/>
      <c r="H291" s="1065" t="s">
        <v>972</v>
      </c>
      <c r="I291" s="1093"/>
      <c r="J291" s="1091"/>
      <c r="K291" s="1067"/>
      <c r="L291" s="1067"/>
      <c r="M291" s="1067"/>
      <c r="N291" s="1067"/>
      <c r="O291" s="1067"/>
      <c r="P291" s="1067"/>
    </row>
    <row customHeight="true" ht="18.452380952380953" r="292">
      <c r="A292" s="1088" t="s">
        <v>1187</v>
      </c>
      <c r="B292" s="1070">
        <v>46290</v>
      </c>
      <c r="C292" s="1088" t="str">
        <v>Friday</v>
      </c>
      <c r="D292" s="1061" t="s">
        <v>1196</v>
      </c>
      <c r="E292" s="1065">
        <f t="shared" si="98"/>
      </c>
      <c r="F292" s="1063" t="s">
        <v>1188</v>
      </c>
      <c r="G292" s="1220"/>
      <c r="H292" s="1065" t="s">
        <v>972</v>
      </c>
      <c r="I292" s="1093"/>
      <c r="J292" s="1091"/>
      <c r="K292" s="1067"/>
      <c r="L292" s="1067"/>
      <c r="M292" s="1067"/>
      <c r="N292" s="1067"/>
      <c r="O292" s="1067"/>
      <c r="P292" s="1067"/>
    </row>
    <row customHeight="true" ht="18.452380952380953" r="293">
      <c r="A293" s="1088" t="s">
        <v>1187</v>
      </c>
      <c r="B293" s="1070">
        <v>46290</v>
      </c>
      <c r="C293" s="1088" t="str">
        <v>Friday</v>
      </c>
      <c r="D293" s="1061" t="s">
        <v>1190</v>
      </c>
      <c r="E293" s="1065">
        <f t="shared" si="98"/>
      </c>
      <c r="F293" s="1063" t="s">
        <v>980</v>
      </c>
      <c r="G293" s="1220"/>
      <c r="H293" s="1065" t="s">
        <v>972</v>
      </c>
      <c r="I293" s="1093"/>
      <c r="J293" s="1091"/>
      <c r="K293" s="1067"/>
      <c r="L293" s="1067"/>
      <c r="M293" s="1067"/>
      <c r="N293" s="1067"/>
      <c r="O293" s="1067"/>
      <c r="P293" s="1067"/>
    </row>
    <row customHeight="true" ht="18.452380952380953" r="294">
      <c r="A294" s="1088" t="s">
        <v>1187</v>
      </c>
      <c r="B294" s="1070">
        <v>46292</v>
      </c>
      <c r="C294" s="1088" t="str">
        <v>Sunday</v>
      </c>
      <c r="D294" s="1061" t="s">
        <v>1197</v>
      </c>
      <c r="E294" s="1065">
        <f t="shared" si="98"/>
      </c>
      <c r="F294" s="1063" t="s">
        <v>980</v>
      </c>
      <c r="G294" s="1220"/>
      <c r="H294" s="1065" t="s">
        <v>972</v>
      </c>
      <c r="I294" s="1093"/>
      <c r="J294" s="1091"/>
      <c r="K294" s="1067"/>
      <c r="L294" s="1067"/>
      <c r="M294" s="1067"/>
      <c r="N294" s="1067"/>
      <c r="O294" s="1067"/>
      <c r="P294" s="1067"/>
    </row>
    <row r="295">
      <c r="A295" s="1088" t="s">
        <v>1198</v>
      </c>
      <c r="B295" s="1070">
        <v>46286</v>
      </c>
      <c r="C295" s="1088" t="str">
        <v>Monday</v>
      </c>
      <c r="D295" s="1061">
        <f t="shared" ref="D295:D298" si="135">D285</f>
      </c>
      <c r="E295" s="1065">
        <f t="shared" si="98"/>
      </c>
      <c r="F295" s="1065" t="s">
        <v>1199</v>
      </c>
      <c r="G295" s="1217"/>
      <c r="H295" s="1093" t="s">
        <v>972</v>
      </c>
      <c r="I295" s="1093"/>
      <c r="J295" s="1066"/>
      <c r="K295" s="1067"/>
      <c r="L295" s="1067"/>
      <c r="M295" s="1067"/>
      <c r="N295" s="1067"/>
      <c r="O295" s="1067"/>
      <c r="P295" s="1067"/>
    </row>
    <row customHeight="true" ht="18.452380952380953" r="296">
      <c r="A296" s="1088" t="s">
        <v>1198</v>
      </c>
      <c r="B296" s="1070">
        <v>46287</v>
      </c>
      <c r="C296" s="1088" t="str">
        <v>Tuesday</v>
      </c>
      <c r="D296" s="1061">
        <f t="shared" si="135"/>
      </c>
      <c r="E296" s="1065">
        <f t="shared" si="98"/>
      </c>
      <c r="F296" s="1065" t="s">
        <v>1199</v>
      </c>
      <c r="G296" s="1217"/>
      <c r="H296" s="1065" t="s">
        <v>972</v>
      </c>
      <c r="I296" s="1093"/>
      <c r="J296" s="1066"/>
      <c r="K296" s="1067"/>
      <c r="L296" s="1067"/>
      <c r="M296" s="1067"/>
      <c r="N296" s="1067"/>
      <c r="O296" s="1067"/>
      <c r="P296" s="1067"/>
    </row>
    <row customHeight="true" ht="18.452380952380953" r="297">
      <c r="A297" s="1088" t="s">
        <v>1198</v>
      </c>
      <c r="B297" s="1088">
        <v>46287</v>
      </c>
      <c r="C297" s="1088" t="str">
        <v>Tuesday</v>
      </c>
      <c r="D297" s="1061">
        <f t="shared" si="135"/>
      </c>
      <c r="E297" s="1065">
        <f t="shared" si="98"/>
      </c>
      <c r="F297" s="1065" t="s">
        <v>1199</v>
      </c>
      <c r="G297" s="1217"/>
      <c r="H297" s="1065" t="s">
        <v>972</v>
      </c>
      <c r="I297" s="1093"/>
      <c r="J297" s="1066"/>
      <c r="K297" s="1067"/>
      <c r="L297" s="1067"/>
      <c r="M297" s="1067"/>
      <c r="N297" s="1067"/>
      <c r="O297" s="1067"/>
      <c r="P297" s="1067"/>
    </row>
    <row customHeight="true" ht="18.452380952380953" r="298">
      <c r="A298" s="1088" t="s">
        <v>1198</v>
      </c>
      <c r="B298" s="1088">
        <v>46288</v>
      </c>
      <c r="C298" s="1088" t="str">
        <v>Wednesday</v>
      </c>
      <c r="D298" s="1061">
        <f t="shared" si="135"/>
      </c>
      <c r="E298" s="1065">
        <f t="shared" si="98"/>
      </c>
      <c r="F298" s="1065" t="s">
        <v>1199</v>
      </c>
      <c r="G298" s="1217"/>
      <c r="H298" s="1093" t="s">
        <v>972</v>
      </c>
      <c r="I298" s="1093"/>
      <c r="J298" s="1066"/>
      <c r="K298" s="1185"/>
      <c r="L298" s="1185"/>
      <c r="M298" s="1185"/>
      <c r="N298" s="1185"/>
      <c r="O298" s="1185"/>
      <c r="P298" s="1185"/>
      <c r="Q298" s="1098"/>
      <c r="R298" s="1098"/>
    </row>
    <row r="299">
      <c r="A299" s="1088" t="s">
        <v>1198</v>
      </c>
      <c r="B299" s="1070">
        <v>46288</v>
      </c>
      <c r="C299" s="1088" t="str">
        <v>Wednesday</v>
      </c>
      <c r="D299" s="1330" t="s">
        <v>1200</v>
      </c>
      <c r="E299" s="1065">
        <f t="shared" si="98"/>
      </c>
      <c r="F299" s="1065" t="s">
        <v>1201</v>
      </c>
      <c r="G299" s="1217"/>
      <c r="H299" s="1093" t="s">
        <v>972</v>
      </c>
      <c r="I299" s="1093"/>
      <c r="J299" s="1066"/>
      <c r="K299" s="1067"/>
      <c r="L299" s="1067"/>
      <c r="M299" s="1067"/>
      <c r="N299" s="1067"/>
      <c r="O299" s="1067"/>
      <c r="P299" s="1067"/>
    </row>
    <row customHeight="true" ht="18.452380952380953" r="300">
      <c r="A300" s="1088" t="s">
        <v>1198</v>
      </c>
      <c r="B300" s="1070">
        <v>46288</v>
      </c>
      <c r="C300" s="1088" t="str">
        <v>Wednesday</v>
      </c>
      <c r="D300" s="1330" t="s">
        <v>1202</v>
      </c>
      <c r="E300" s="1065">
        <f t="shared" si="98"/>
      </c>
      <c r="F300" s="1065" t="s">
        <v>1077</v>
      </c>
      <c r="G300" s="1217"/>
      <c r="H300" s="1093" t="s">
        <v>972</v>
      </c>
      <c r="I300" s="1093"/>
      <c r="J300" s="1066"/>
      <c r="K300" s="1067"/>
      <c r="L300" s="1067"/>
      <c r="M300" s="1067"/>
      <c r="N300" s="1067"/>
      <c r="O300" s="1067"/>
      <c r="P300" s="1067"/>
    </row>
    <row customHeight="true" ht="18.452380952380953" r="301">
      <c r="A301" s="1088" t="s">
        <v>1198</v>
      </c>
      <c r="B301" s="1070">
        <v>46289</v>
      </c>
      <c r="C301" s="1239" t="str">
        <v>Thursday</v>
      </c>
      <c r="D301" s="1061" t="s">
        <v>1193</v>
      </c>
      <c r="E301" s="1065">
        <f t="shared" si="98"/>
      </c>
      <c r="F301" s="1065" t="s">
        <v>1199</v>
      </c>
      <c r="G301" s="1217"/>
      <c r="H301" s="1065" t="s">
        <v>972</v>
      </c>
      <c r="I301" s="1093"/>
      <c r="J301" s="1066"/>
      <c r="K301" s="1067"/>
      <c r="L301" s="1067"/>
      <c r="M301" s="1067"/>
      <c r="N301" s="1067"/>
      <c r="O301" s="1067"/>
      <c r="P301" s="1067"/>
    </row>
    <row customHeight="true" ht="18.452380952380953" r="302">
      <c r="A302" s="1088" t="s">
        <v>1198</v>
      </c>
      <c r="B302" s="1070">
        <v>46289</v>
      </c>
      <c r="C302" s="1088" t="str">
        <v>Thursday</v>
      </c>
      <c r="D302" s="1061">
        <f t="shared" ref="D302:D303" si="0">D291</f>
      </c>
      <c r="E302" s="1065">
        <f t="shared" si="98"/>
      </c>
      <c r="F302" s="1065" t="s">
        <v>1203</v>
      </c>
      <c r="G302" s="1217"/>
      <c r="H302" s="1065" t="s">
        <v>972</v>
      </c>
      <c r="I302" s="1093"/>
      <c r="J302" s="1066"/>
      <c r="K302" s="1067"/>
      <c r="L302" s="1067"/>
      <c r="M302" s="1067"/>
      <c r="N302" s="1067"/>
      <c r="O302" s="1067"/>
      <c r="P302" s="1067"/>
    </row>
    <row r="303">
      <c r="A303" s="1088" t="s">
        <v>1198</v>
      </c>
      <c r="B303" s="1070">
        <v>46290</v>
      </c>
      <c r="C303" s="1088" t="str">
        <v>Friday</v>
      </c>
      <c r="D303" s="1061">
        <f t="shared" si="0"/>
      </c>
      <c r="E303" s="1065">
        <f t="shared" si="98"/>
      </c>
      <c r="F303" s="1065" t="s">
        <v>1077</v>
      </c>
      <c r="G303" s="1217"/>
      <c r="H303" s="1065" t="s">
        <v>972</v>
      </c>
      <c r="I303" s="1093"/>
      <c r="J303" s="1066"/>
      <c r="K303" s="1067"/>
      <c r="L303" s="1067"/>
      <c r="M303" s="1067"/>
      <c r="N303" s="1067"/>
      <c r="O303" s="1067"/>
      <c r="P303" s="1067"/>
    </row>
    <row r="304">
      <c r="A304" s="1088" t="s">
        <v>1198</v>
      </c>
      <c r="B304" s="1070">
        <v>46290</v>
      </c>
      <c r="C304" s="1088" t="str">
        <v>Friday</v>
      </c>
      <c r="D304" s="1061" t="s">
        <v>1194</v>
      </c>
      <c r="E304" s="1065">
        <f t="shared" si="98"/>
      </c>
      <c r="F304" s="1063" t="s">
        <v>1203</v>
      </c>
      <c r="G304" s="1220"/>
      <c r="H304" s="1065" t="s">
        <v>972</v>
      </c>
      <c r="I304" s="1093"/>
      <c r="J304" s="1091"/>
      <c r="K304" s="1067"/>
      <c r="L304" s="1067"/>
      <c r="M304" s="1067"/>
      <c r="N304" s="1067"/>
      <c r="O304" s="1067"/>
      <c r="P304" s="1067"/>
    </row>
    <row customHeight="true" ht="18.452380952380953" r="305">
      <c r="A305" s="1088" t="s">
        <v>1198</v>
      </c>
      <c r="B305" s="1070">
        <v>46292</v>
      </c>
      <c r="C305" s="1088" t="str">
        <v>Sunday</v>
      </c>
      <c r="D305" s="1061">
        <f>D294</f>
      </c>
      <c r="E305" s="1065">
        <f t="shared" si="98"/>
      </c>
      <c r="F305" s="1065" t="s">
        <v>1199</v>
      </c>
      <c r="G305" s="1217"/>
      <c r="H305" s="1065" t="s">
        <v>972</v>
      </c>
      <c r="I305" s="1093"/>
      <c r="J305" s="1091"/>
      <c r="K305" s="1185"/>
      <c r="L305" s="1185"/>
      <c r="M305" s="1185"/>
      <c r="N305" s="1185"/>
      <c r="O305" s="1185"/>
      <c r="P305" s="1185"/>
      <c r="Q305" s="1098"/>
      <c r="R305" s="1098"/>
    </row>
    <row r="306">
      <c r="A306" s="1098"/>
      <c r="B306" s="1332"/>
      <c r="C306" s="1098"/>
      <c r="D306" s="1221"/>
      <c r="E306" s="1098"/>
      <c r="F306" s="1333"/>
      <c r="G306" s="1334"/>
      <c r="H306" s="1221"/>
      <c r="I306" s="1098"/>
      <c r="J306" s="1098"/>
      <c r="K306" s="1203"/>
      <c r="L306" s="1203"/>
      <c r="M306" s="1203"/>
      <c r="N306" s="1203"/>
      <c r="O306" s="1203"/>
      <c r="P306" s="1203"/>
    </row>
    <row r="307">
      <c r="A307" s="1098"/>
      <c r="B307" s="1098"/>
      <c r="C307" s="1098"/>
      <c r="D307" s="1221"/>
      <c r="E307" s="1098"/>
      <c r="F307" s="1333"/>
      <c r="G307" s="1334"/>
      <c r="H307" s="1221"/>
      <c r="I307" s="1098"/>
      <c r="J307" s="1098"/>
      <c r="K307" s="1203"/>
      <c r="L307" s="1203"/>
      <c r="M307" s="1203"/>
      <c r="N307" s="1203"/>
      <c r="O307" s="1203"/>
      <c r="P307" s="1203"/>
    </row>
    <row r="308">
      <c r="A308" s="1335" t="s">
        <v>1204</v>
      </c>
      <c r="B308" s="1335"/>
      <c r="C308" s="1335"/>
      <c r="D308" s="1335"/>
      <c r="E308" s="1335"/>
      <c r="F308" s="1335"/>
      <c r="G308" s="1335"/>
      <c r="H308" s="1335"/>
      <c r="I308" s="1335"/>
      <c r="J308" s="1336"/>
      <c r="K308" s="1192"/>
      <c r="L308" s="1192"/>
      <c r="M308" s="1192"/>
      <c r="N308" s="1192"/>
      <c r="O308" s="1192"/>
      <c r="P308" s="1192"/>
    </row>
    <row r="309">
      <c r="A309" s="1337" t="s">
        <v>958</v>
      </c>
      <c r="B309" s="1338" t="s">
        <v>959</v>
      </c>
      <c r="C309" s="1338"/>
      <c r="D309" s="1339" t="s">
        <v>960</v>
      </c>
      <c r="E309" s="1339" t="s">
        <v>961</v>
      </c>
      <c r="F309" s="1339" t="s">
        <v>962</v>
      </c>
      <c r="G309" s="1340" t="s">
        <v>974</v>
      </c>
      <c r="H309" s="1339" t="s">
        <v>964</v>
      </c>
      <c r="I309" s="1339" t="s">
        <v>965</v>
      </c>
      <c r="J309" s="1341" t="s">
        <v>966</v>
      </c>
      <c r="K309" s="1087"/>
      <c r="L309" s="1087"/>
      <c r="M309" s="1087"/>
      <c r="N309" s="1087"/>
      <c r="O309" s="1087"/>
      <c r="P309" s="1087"/>
    </row>
    <row r="310">
      <c r="A310" s="1088" t="s">
        <v>1205</v>
      </c>
      <c r="B310" s="1070">
        <v>46286</v>
      </c>
      <c r="C310" s="1088" t="str">
        <v>Monday</v>
      </c>
      <c r="D310" s="1061" t="s">
        <v>1206</v>
      </c>
      <c r="E310" s="1065">
        <f t="shared" ref="E310:E337" si="99">24*MOD(TIMEVALUE(TRIM(MID(D310,FIND("-",D310)+1,LEN(D310)))) - TIMEVALUE(TRIM(LEFT(D310,FIND("-",D310)-1))),1)</f>
      </c>
      <c r="F310" s="1065" t="s">
        <v>1166</v>
      </c>
      <c r="G310" s="1220"/>
      <c r="H310" s="1065" t="s">
        <v>972</v>
      </c>
      <c r="I310" s="1093"/>
      <c r="J310" s="1091"/>
      <c r="K310" s="1067"/>
      <c r="L310" s="1067"/>
      <c r="M310" s="1067"/>
      <c r="N310" s="1067"/>
      <c r="O310" s="1067"/>
      <c r="P310" s="1067"/>
    </row>
    <row customHeight="true" ht="18.452380952380953" r="311">
      <c r="A311" s="1088" t="s">
        <v>1205</v>
      </c>
      <c r="B311" s="1070">
        <v>46286</v>
      </c>
      <c r="C311" s="1088" t="str">
        <v>Monday</v>
      </c>
      <c r="D311" s="1061" t="s">
        <v>1196</v>
      </c>
      <c r="E311" s="1065">
        <f t="shared" si="99"/>
      </c>
      <c r="F311" s="1065" t="s">
        <v>980</v>
      </c>
      <c r="G311" s="1220"/>
      <c r="H311" s="1065" t="s">
        <v>972</v>
      </c>
      <c r="I311" s="1093"/>
      <c r="J311" s="1091"/>
      <c r="K311" s="1067"/>
      <c r="L311" s="1067"/>
      <c r="M311" s="1067"/>
      <c r="N311" s="1067"/>
      <c r="O311" s="1067"/>
      <c r="P311" s="1067"/>
    </row>
    <row customHeight="true" ht="18.452380952380953" r="312">
      <c r="A312" s="1088" t="s">
        <v>1205</v>
      </c>
      <c r="B312" s="1070">
        <v>46287</v>
      </c>
      <c r="C312" s="1088" t="str">
        <v>Tuesday</v>
      </c>
      <c r="D312" s="1061" t="s">
        <v>1206</v>
      </c>
      <c r="E312" s="1065">
        <f t="shared" si="99"/>
      </c>
      <c r="F312" s="1065" t="s">
        <v>1166</v>
      </c>
      <c r="G312" s="1220"/>
      <c r="H312" s="1065" t="s">
        <v>972</v>
      </c>
      <c r="I312" s="1093"/>
      <c r="J312" s="1091"/>
      <c r="K312" s="1067"/>
      <c r="L312" s="1067"/>
      <c r="M312" s="1067"/>
      <c r="N312" s="1067"/>
      <c r="O312" s="1067"/>
      <c r="P312" s="1067"/>
    </row>
    <row customHeight="true" ht="18.452380952380953" r="313">
      <c r="A313" s="1088" t="s">
        <v>1205</v>
      </c>
      <c r="B313" s="1070">
        <v>46287</v>
      </c>
      <c r="C313" s="1088" t="str">
        <v>Tuesday</v>
      </c>
      <c r="D313" s="1061" t="s">
        <v>1196</v>
      </c>
      <c r="E313" s="1065">
        <f t="shared" si="99"/>
      </c>
      <c r="F313" s="1065" t="s">
        <v>1188</v>
      </c>
      <c r="G313" s="1220"/>
      <c r="H313" s="1065" t="s">
        <v>972</v>
      </c>
      <c r="I313" s="1093"/>
      <c r="J313" s="1091"/>
      <c r="K313" s="1067"/>
      <c r="L313" s="1067"/>
      <c r="M313" s="1067"/>
      <c r="N313" s="1067"/>
      <c r="O313" s="1067"/>
      <c r="P313" s="1067"/>
    </row>
    <row customHeight="true" ht="18.452380952380953" r="314">
      <c r="A314" s="1239" t="s">
        <v>1205</v>
      </c>
      <c r="B314" s="1070">
        <v>46288</v>
      </c>
      <c r="C314" s="1239" t="str">
        <v>Wednesday</v>
      </c>
      <c r="D314" s="1061" t="s">
        <v>1206</v>
      </c>
      <c r="E314" s="1282">
        <f t="shared" si="99"/>
      </c>
      <c r="F314" s="1065" t="s">
        <v>1166</v>
      </c>
      <c r="G314" s="1242"/>
      <c r="H314" s="1282" t="s">
        <v>972</v>
      </c>
      <c r="I314" s="1076"/>
      <c r="J314" s="1331"/>
      <c r="K314" s="1067"/>
      <c r="L314" s="1067"/>
      <c r="M314" s="1067"/>
      <c r="N314" s="1067"/>
      <c r="O314" s="1067"/>
      <c r="P314" s="1067"/>
      <c r="Q314" s="1125"/>
      <c r="R314" s="1125"/>
    </row>
    <row customHeight="true" ht="18.452380952380953" r="315">
      <c r="A315" s="1239" t="s">
        <v>1205</v>
      </c>
      <c r="B315" s="1070">
        <v>46288</v>
      </c>
      <c r="C315" s="1239" t="str">
        <v>Wednesday</v>
      </c>
      <c r="D315" s="1061" t="s">
        <v>1207</v>
      </c>
      <c r="E315" s="1282">
        <f t="shared" si="99"/>
      </c>
      <c r="F315" s="1065" t="s">
        <v>980</v>
      </c>
      <c r="G315" s="1242"/>
      <c r="H315" s="1282" t="s">
        <v>972</v>
      </c>
      <c r="I315" s="1076"/>
      <c r="J315" s="1331"/>
      <c r="K315" s="1067"/>
      <c r="L315" s="1067"/>
      <c r="M315" s="1067"/>
      <c r="N315" s="1067"/>
      <c r="O315" s="1067"/>
      <c r="P315" s="1067"/>
      <c r="Q315" s="1125"/>
      <c r="R315" s="1125"/>
    </row>
    <row customHeight="true" ht="18.452380952380953" r="316">
      <c r="A316" s="1239" t="s">
        <v>1205</v>
      </c>
      <c r="B316" s="1070">
        <v>46289</v>
      </c>
      <c r="C316" s="1239" t="str">
        <v>Thursday</v>
      </c>
      <c r="D316" s="1061" t="s">
        <v>1206</v>
      </c>
      <c r="E316" s="1282">
        <f t="shared" si="99"/>
      </c>
      <c r="F316" s="1065" t="s">
        <v>1166</v>
      </c>
      <c r="G316" s="1242"/>
      <c r="H316" s="1282" t="s">
        <v>972</v>
      </c>
      <c r="I316" s="1076"/>
      <c r="J316" s="1331"/>
      <c r="K316" s="1067"/>
      <c r="L316" s="1067"/>
      <c r="M316" s="1067"/>
      <c r="N316" s="1067"/>
      <c r="O316" s="1067"/>
      <c r="P316" s="1067"/>
      <c r="Q316" s="1125"/>
      <c r="R316" s="1125"/>
    </row>
    <row customHeight="true" ht="18.452380952380953" r="317">
      <c r="A317" s="1239" t="s">
        <v>1205</v>
      </c>
      <c r="B317" s="1070">
        <v>46289</v>
      </c>
      <c r="C317" s="1239" t="str">
        <v>Thursday</v>
      </c>
      <c r="D317" s="1061" t="s">
        <v>1196</v>
      </c>
      <c r="E317" s="1282">
        <f t="shared" si="99"/>
      </c>
      <c r="F317" s="1065" t="s">
        <v>1065</v>
      </c>
      <c r="G317" s="1242"/>
      <c r="H317" s="1282" t="s">
        <v>972</v>
      </c>
      <c r="I317" s="1076"/>
      <c r="J317" s="1331"/>
      <c r="K317" s="1067"/>
      <c r="L317" s="1067"/>
      <c r="M317" s="1067"/>
      <c r="N317" s="1067"/>
      <c r="O317" s="1067"/>
      <c r="P317" s="1067"/>
      <c r="Q317" s="1125"/>
      <c r="R317" s="1125"/>
    </row>
    <row customHeight="true" ht="18.452380952380953" r="318">
      <c r="A318" s="1088" t="s">
        <v>1205</v>
      </c>
      <c r="B318" s="1070">
        <v>46290</v>
      </c>
      <c r="C318" s="1088" t="str">
        <v>Friday</v>
      </c>
      <c r="D318" s="1061" t="s">
        <v>1206</v>
      </c>
      <c r="E318" s="1065">
        <f t="shared" si="99"/>
      </c>
      <c r="F318" s="1065" t="s">
        <v>1166</v>
      </c>
      <c r="G318" s="1220"/>
      <c r="H318" s="1065" t="s">
        <v>972</v>
      </c>
      <c r="I318" s="1174"/>
      <c r="J318" s="1091"/>
      <c r="K318" s="1067"/>
      <c r="L318" s="1067"/>
      <c r="M318" s="1067"/>
      <c r="N318" s="1067"/>
      <c r="O318" s="1067"/>
      <c r="P318" s="1067"/>
    </row>
    <row customHeight="true" ht="18.452380952380953" r="319">
      <c r="A319" s="1088" t="s">
        <v>1205</v>
      </c>
      <c r="B319" s="1070">
        <v>46290</v>
      </c>
      <c r="C319" s="1088" t="str">
        <v>Friday</v>
      </c>
      <c r="D319" s="1061" t="s">
        <v>1196</v>
      </c>
      <c r="E319" s="1065">
        <f t="shared" si="99"/>
      </c>
      <c r="F319" s="1065" t="s">
        <v>1065</v>
      </c>
      <c r="G319" s="1220"/>
      <c r="H319" s="1065" t="s">
        <v>972</v>
      </c>
      <c r="I319" s="1174"/>
      <c r="J319" s="1091"/>
      <c r="K319" s="1067"/>
      <c r="L319" s="1067"/>
      <c r="M319" s="1067"/>
      <c r="N319" s="1067"/>
      <c r="O319" s="1067"/>
      <c r="P319" s="1067"/>
    </row>
    <row customHeight="true" ht="18.452380952380953" r="320">
      <c r="A320" s="1239" t="s">
        <v>1205</v>
      </c>
      <c r="B320" s="1070">
        <v>46291</v>
      </c>
      <c r="C320" s="1239" t="str">
        <v>Saturday</v>
      </c>
      <c r="D320" s="1061" t="s">
        <v>1208</v>
      </c>
      <c r="E320" s="1282">
        <f t="shared" si="99"/>
      </c>
      <c r="F320" s="1096" t="s">
        <v>1068</v>
      </c>
      <c r="G320" s="1342"/>
      <c r="H320" s="1282" t="s">
        <v>972</v>
      </c>
      <c r="I320" s="1076"/>
      <c r="J320" s="1331"/>
      <c r="K320" s="1067"/>
      <c r="L320" s="1067"/>
      <c r="M320" s="1067"/>
      <c r="N320" s="1067"/>
      <c r="O320" s="1067"/>
      <c r="P320" s="1067"/>
      <c r="Q320" s="1203"/>
      <c r="R320" s="1203"/>
    </row>
    <row customHeight="true" ht="18.452380952380953" r="321">
      <c r="A321" s="1239" t="s">
        <v>1205</v>
      </c>
      <c r="B321" s="1070">
        <v>46291</v>
      </c>
      <c r="C321" s="1239" t="str">
        <v>Saturday</v>
      </c>
      <c r="D321" s="1061" t="s">
        <v>1182</v>
      </c>
      <c r="E321" s="1282">
        <f t="shared" si="99"/>
      </c>
      <c r="F321" s="1096" t="s">
        <v>1065</v>
      </c>
      <c r="G321" s="1342"/>
      <c r="H321" s="1282" t="s">
        <v>972</v>
      </c>
      <c r="I321" s="1076"/>
      <c r="J321" s="1331"/>
      <c r="K321" s="1067"/>
      <c r="L321" s="1067"/>
      <c r="M321" s="1067"/>
      <c r="N321" s="1067"/>
      <c r="O321" s="1067"/>
      <c r="P321" s="1067"/>
      <c r="Q321" s="1203"/>
      <c r="R321" s="1203"/>
    </row>
    <row customHeight="true" ht="18.452380952380953" r="322">
      <c r="A322" s="1088" t="s">
        <v>1205</v>
      </c>
      <c r="B322" s="1070">
        <v>46292</v>
      </c>
      <c r="C322" s="1088" t="str">
        <v>Sunday</v>
      </c>
      <c r="D322" s="1061" t="s">
        <v>1066</v>
      </c>
      <c r="E322" s="1282">
        <f t="shared" si="99"/>
      </c>
      <c r="F322" s="1065" t="s">
        <v>1068</v>
      </c>
      <c r="G322" s="1342"/>
      <c r="H322" s="1282" t="s">
        <v>972</v>
      </c>
      <c r="I322" s="1282"/>
      <c r="J322" s="1331"/>
      <c r="K322" s="1067"/>
      <c r="L322" s="1067"/>
      <c r="M322" s="1067"/>
      <c r="N322" s="1067"/>
      <c r="O322" s="1067"/>
      <c r="P322" s="1067"/>
      <c r="Q322" s="1203"/>
      <c r="R322" s="1203"/>
    </row>
    <row customHeight="true" ht="18.452380952380953" r="323">
      <c r="A323" s="1088" t="s">
        <v>1205</v>
      </c>
      <c r="B323" s="1070">
        <v>46292</v>
      </c>
      <c r="C323" s="1088" t="str">
        <v>Sunday</v>
      </c>
      <c r="D323" s="1061" t="s">
        <v>987</v>
      </c>
      <c r="E323" s="1282">
        <f t="shared" si="99"/>
      </c>
      <c r="F323" s="1065" t="s">
        <v>980</v>
      </c>
      <c r="G323" s="1342"/>
      <c r="H323" s="1282" t="s">
        <v>972</v>
      </c>
      <c r="I323" s="1282"/>
      <c r="J323" s="1331"/>
      <c r="K323" s="1067"/>
      <c r="L323" s="1067"/>
      <c r="M323" s="1067"/>
      <c r="N323" s="1067"/>
      <c r="O323" s="1067"/>
      <c r="P323" s="1067"/>
      <c r="Q323" s="1203"/>
      <c r="R323" s="1203"/>
    </row>
    <row customHeight="true" ht="18.452380952380953" r="324">
      <c r="A324" s="1088" t="s">
        <v>1209</v>
      </c>
      <c r="B324" s="1070">
        <v>46286</v>
      </c>
      <c r="C324" s="1088" t="str">
        <v>Monday</v>
      </c>
      <c r="D324" s="1061" t="s">
        <v>1210</v>
      </c>
      <c r="E324" s="1065">
        <f t="shared" si="99"/>
      </c>
      <c r="F324" s="1343" t="s">
        <v>1211</v>
      </c>
      <c r="G324" s="1217"/>
      <c r="H324" s="1065" t="s">
        <v>972</v>
      </c>
      <c r="I324" s="1065"/>
      <c r="J324" s="1091"/>
      <c r="K324" s="1185"/>
      <c r="L324" s="1185"/>
      <c r="M324" s="1185"/>
      <c r="N324" s="1185"/>
      <c r="O324" s="1185"/>
      <c r="P324" s="1185"/>
    </row>
    <row customHeight="true" ht="18.452380952380953" r="325">
      <c r="A325" s="1088" t="s">
        <v>1209</v>
      </c>
      <c r="B325" s="1070">
        <v>46287</v>
      </c>
      <c r="C325" s="1088" t="str">
        <v>Tuesday</v>
      </c>
      <c r="D325" s="1061" t="s">
        <v>1212</v>
      </c>
      <c r="E325" s="1065">
        <f t="shared" si="99"/>
      </c>
      <c r="F325" s="1065" t="s">
        <v>1203</v>
      </c>
      <c r="G325" s="1220"/>
      <c r="H325" s="1065" t="s">
        <v>972</v>
      </c>
      <c r="I325" s="1093"/>
      <c r="J325" s="1091"/>
      <c r="K325" s="1067"/>
      <c r="L325" s="1067"/>
      <c r="M325" s="1067"/>
      <c r="N325" s="1067"/>
      <c r="O325" s="1067"/>
      <c r="P325" s="1067"/>
    </row>
    <row customHeight="true" ht="18.452380952380953" r="326">
      <c r="A326" s="1088" t="s">
        <v>1213</v>
      </c>
      <c r="B326" s="1070">
        <v>46287</v>
      </c>
      <c r="C326" s="1088" t="str">
        <v>Tuesday</v>
      </c>
      <c r="D326" s="1061" t="s">
        <v>1158</v>
      </c>
      <c r="E326" s="1065">
        <f t="shared" si="99"/>
      </c>
      <c r="F326" s="1343" t="s">
        <v>1214</v>
      </c>
      <c r="G326" s="1220"/>
      <c r="H326" s="1065" t="s">
        <v>972</v>
      </c>
      <c r="I326" s="1093"/>
      <c r="J326" s="1091"/>
      <c r="K326" s="1067"/>
      <c r="L326" s="1067"/>
      <c r="M326" s="1067"/>
      <c r="N326" s="1067"/>
      <c r="O326" s="1067"/>
      <c r="P326" s="1067"/>
    </row>
    <row customHeight="true" ht="18.452380952380953" r="327">
      <c r="A327" s="1088" t="s">
        <v>1209</v>
      </c>
      <c r="B327" s="1070">
        <v>46287</v>
      </c>
      <c r="C327" s="1088" t="str">
        <v>Tuesday</v>
      </c>
      <c r="D327" s="1061" t="s">
        <v>1215</v>
      </c>
      <c r="E327" s="1065">
        <f t="shared" si="99"/>
      </c>
      <c r="F327" s="1343" t="s">
        <v>1214</v>
      </c>
      <c r="G327" s="1220"/>
      <c r="H327" s="1065" t="s">
        <v>972</v>
      </c>
      <c r="I327" s="1093"/>
      <c r="J327" s="1091"/>
      <c r="K327" s="1067"/>
      <c r="L327" s="1067"/>
      <c r="M327" s="1067"/>
      <c r="N327" s="1067"/>
      <c r="O327" s="1067"/>
      <c r="P327" s="1067"/>
    </row>
    <row customHeight="true" ht="18.452380952380953" r="328">
      <c r="A328" s="1088" t="s">
        <v>1209</v>
      </c>
      <c r="B328" s="1070">
        <v>46288</v>
      </c>
      <c r="C328" s="1239" t="str">
        <v>Wednesday</v>
      </c>
      <c r="D328" s="1061" t="s">
        <v>1216</v>
      </c>
      <c r="E328" s="1065">
        <f t="shared" si="99"/>
      </c>
      <c r="F328" s="1065" t="s">
        <v>1084</v>
      </c>
      <c r="G328" s="1220"/>
      <c r="H328" s="1065" t="s">
        <v>972</v>
      </c>
      <c r="I328" s="1093"/>
      <c r="J328" s="1091"/>
      <c r="K328" s="1067"/>
      <c r="L328" s="1067"/>
      <c r="M328" s="1067"/>
      <c r="N328" s="1067"/>
      <c r="O328" s="1067"/>
      <c r="P328" s="1067"/>
    </row>
    <row customHeight="true" ht="18.452380952380953" r="329">
      <c r="A329" s="1088" t="s">
        <v>1209</v>
      </c>
      <c r="B329" s="1070">
        <v>46288</v>
      </c>
      <c r="C329" s="1239" t="str">
        <v>Wednesday</v>
      </c>
      <c r="D329" s="1093" t="s">
        <v>1196</v>
      </c>
      <c r="E329" s="1065">
        <f t="shared" si="99"/>
      </c>
      <c r="F329" s="1343" t="s">
        <v>1211</v>
      </c>
      <c r="G329" s="1220"/>
      <c r="H329" s="1065" t="s">
        <v>972</v>
      </c>
      <c r="I329" s="1093"/>
      <c r="J329" s="1091"/>
      <c r="K329" s="1067"/>
      <c r="L329" s="1067"/>
      <c r="M329" s="1067"/>
      <c r="N329" s="1067"/>
      <c r="O329" s="1067"/>
      <c r="P329" s="1067"/>
    </row>
    <row customHeight="true" ht="18.452380952380953" r="330">
      <c r="A330" s="1088" t="s">
        <v>1209</v>
      </c>
      <c r="B330" s="1070">
        <v>46289</v>
      </c>
      <c r="C330" s="1239" t="str">
        <v>Thursday</v>
      </c>
      <c r="D330" s="1061" t="s">
        <v>1212</v>
      </c>
      <c r="E330" s="1093">
        <f t="shared" si="99"/>
      </c>
      <c r="F330" s="1065" t="s">
        <v>996</v>
      </c>
      <c r="G330" s="1220"/>
      <c r="H330" s="1065" t="s">
        <v>972</v>
      </c>
      <c r="I330" s="1093"/>
      <c r="J330" s="1091"/>
      <c r="K330" s="1067"/>
      <c r="L330" s="1067"/>
      <c r="M330" s="1067"/>
      <c r="N330" s="1067"/>
      <c r="O330" s="1067"/>
      <c r="P330" s="1067"/>
    </row>
    <row customHeight="true" ht="18.452380952380953" r="331">
      <c r="A331" s="1088" t="s">
        <v>1209</v>
      </c>
      <c r="B331" s="1070">
        <v>46289</v>
      </c>
      <c r="C331" s="1239" t="str">
        <v>Thursday</v>
      </c>
      <c r="D331" s="1061" t="s">
        <v>1215</v>
      </c>
      <c r="E331" s="1093">
        <f t="shared" si="99"/>
      </c>
      <c r="F331" s="1065" t="s">
        <v>1203</v>
      </c>
      <c r="G331" s="1220"/>
      <c r="H331" s="1065" t="s">
        <v>972</v>
      </c>
      <c r="I331" s="1093"/>
      <c r="J331" s="1091"/>
      <c r="K331" s="1067"/>
      <c r="L331" s="1067"/>
      <c r="M331" s="1067"/>
      <c r="N331" s="1067"/>
      <c r="O331" s="1067"/>
      <c r="P331" s="1067"/>
    </row>
    <row customHeight="true" ht="18.452380952380953" r="332">
      <c r="A332" s="1088" t="s">
        <v>1209</v>
      </c>
      <c r="B332" s="1070">
        <v>46290</v>
      </c>
      <c r="C332" s="1088" t="str">
        <v>Friday</v>
      </c>
      <c r="D332" s="1061" t="s">
        <v>1206</v>
      </c>
      <c r="E332" s="1093">
        <f t="shared" si="99"/>
      </c>
      <c r="F332" s="1343" t="s">
        <v>1077</v>
      </c>
      <c r="G332" s="1220"/>
      <c r="H332" s="1065" t="s">
        <v>972</v>
      </c>
      <c r="I332" s="1093"/>
      <c r="J332" s="1091"/>
      <c r="K332" s="1067"/>
      <c r="L332" s="1067"/>
      <c r="M332" s="1067"/>
      <c r="N332" s="1067"/>
      <c r="O332" s="1067"/>
      <c r="P332" s="1067"/>
    </row>
    <row customHeight="true" ht="18.452380952380953" r="333">
      <c r="A333" s="1088" t="s">
        <v>1209</v>
      </c>
      <c r="B333" s="1070">
        <v>46290</v>
      </c>
      <c r="C333" s="1088" t="str">
        <v>Friday</v>
      </c>
      <c r="D333" s="1061" t="s">
        <v>1196</v>
      </c>
      <c r="E333" s="1093">
        <f t="shared" si="99"/>
      </c>
      <c r="F333" s="1096" t="s">
        <v>1214</v>
      </c>
      <c r="G333" s="1220"/>
      <c r="H333" s="1065" t="s">
        <v>972</v>
      </c>
      <c r="I333" s="1093"/>
      <c r="J333" s="1091"/>
      <c r="K333" s="1067"/>
      <c r="L333" s="1067"/>
      <c r="M333" s="1067"/>
      <c r="N333" s="1067"/>
      <c r="O333" s="1067"/>
      <c r="P333" s="1067"/>
    </row>
    <row customHeight="true" ht="18.452380952380953" r="334">
      <c r="A334" s="1088" t="s">
        <v>1209</v>
      </c>
      <c r="B334" s="1070">
        <v>46291</v>
      </c>
      <c r="C334" s="1239" t="str">
        <v>Saturday</v>
      </c>
      <c r="D334" s="1061" t="s">
        <v>1066</v>
      </c>
      <c r="E334" s="1093">
        <f t="shared" si="99"/>
      </c>
      <c r="F334" s="1065" t="s">
        <v>996</v>
      </c>
      <c r="G334" s="1220"/>
      <c r="H334" s="1065" t="s">
        <v>972</v>
      </c>
      <c r="I334" s="1093"/>
      <c r="J334" s="1091"/>
      <c r="K334" s="1067"/>
      <c r="L334" s="1067"/>
      <c r="M334" s="1067"/>
      <c r="N334" s="1067"/>
      <c r="O334" s="1067"/>
      <c r="P334" s="1067"/>
    </row>
    <row customHeight="true" ht="18.452380952380953" r="335">
      <c r="A335" s="1088" t="s">
        <v>1209</v>
      </c>
      <c r="B335" s="1070">
        <v>46291</v>
      </c>
      <c r="C335" s="1239" t="str">
        <v>Saturday</v>
      </c>
      <c r="D335" s="1061" t="s">
        <v>987</v>
      </c>
      <c r="E335" s="1093">
        <f t="shared" si="99"/>
      </c>
      <c r="F335" s="1065" t="s">
        <v>1203</v>
      </c>
      <c r="G335" s="1220"/>
      <c r="H335" s="1065" t="s">
        <v>972</v>
      </c>
      <c r="I335" s="1093"/>
      <c r="J335" s="1091"/>
      <c r="K335" s="1067"/>
      <c r="L335" s="1067"/>
      <c r="M335" s="1067"/>
      <c r="N335" s="1067"/>
      <c r="O335" s="1067"/>
      <c r="P335" s="1067"/>
    </row>
    <row customHeight="true" ht="18.452380952380953" r="336">
      <c r="A336" s="1088" t="s">
        <v>1209</v>
      </c>
      <c r="B336" s="1070">
        <v>46292</v>
      </c>
      <c r="C336" s="1088" t="str">
        <v>Sunday</v>
      </c>
      <c r="D336" s="1061" t="s">
        <v>1208</v>
      </c>
      <c r="E336" s="1093">
        <f t="shared" si="99"/>
      </c>
      <c r="F336" s="1065" t="s">
        <v>1201</v>
      </c>
      <c r="G336" s="1220"/>
      <c r="H336" s="1065" t="s">
        <v>972</v>
      </c>
      <c r="I336" s="1093"/>
      <c r="J336" s="1091"/>
      <c r="K336" s="1067"/>
      <c r="L336" s="1067"/>
      <c r="M336" s="1067"/>
      <c r="N336" s="1067"/>
      <c r="O336" s="1067"/>
      <c r="P336" s="1067"/>
    </row>
    <row customHeight="true" ht="18.452380952380953" r="337">
      <c r="A337" s="1088" t="s">
        <v>1209</v>
      </c>
      <c r="B337" s="1070">
        <v>46292</v>
      </c>
      <c r="C337" s="1088" t="str">
        <v>Sunday</v>
      </c>
      <c r="D337" s="1061" t="s">
        <v>1182</v>
      </c>
      <c r="E337" s="1093">
        <f t="shared" si="99"/>
      </c>
      <c r="F337" s="1343" t="s">
        <v>1077</v>
      </c>
      <c r="G337" s="1097"/>
      <c r="H337" s="1065" t="s">
        <v>972</v>
      </c>
      <c r="I337" s="1093"/>
      <c r="J337" s="1066"/>
      <c r="K337" s="1067"/>
      <c r="L337" s="1067"/>
      <c r="M337" s="1067"/>
      <c r="N337" s="1067"/>
      <c r="O337" s="1067"/>
      <c r="P337" s="1067"/>
    </row>
    <row customHeight="true" ht="18.452380952380953" r="338">
      <c r="A338" s="1088"/>
      <c r="B338" s="1088"/>
      <c r="C338" s="1088"/>
      <c r="D338" s="1093"/>
      <c r="E338" s="1093"/>
      <c r="F338" s="1343"/>
      <c r="G338" s="1097"/>
      <c r="H338" s="1093"/>
      <c r="I338" s="1093"/>
      <c r="J338" s="1066"/>
      <c r="K338" s="1067"/>
      <c r="L338" s="1067"/>
      <c r="M338" s="1067"/>
      <c r="N338" s="1067"/>
      <c r="O338" s="1067"/>
      <c r="P338" s="1067"/>
    </row>
    <row r="339">
      <c r="A339" s="1344" t="s">
        <v>958</v>
      </c>
      <c r="B339" s="1345" t="s">
        <v>959</v>
      </c>
      <c r="C339" s="1345"/>
      <c r="D339" s="1346" t="s">
        <v>960</v>
      </c>
      <c r="E339" s="1346" t="s">
        <v>961</v>
      </c>
      <c r="F339" s="1346" t="s">
        <v>962</v>
      </c>
      <c r="G339" s="1347" t="s">
        <v>974</v>
      </c>
      <c r="H339" s="1346" t="s">
        <v>964</v>
      </c>
      <c r="I339" s="1346" t="s">
        <v>965</v>
      </c>
      <c r="J339" s="1348" t="s">
        <v>966</v>
      </c>
      <c r="K339" s="1087"/>
      <c r="L339" s="1087"/>
      <c r="M339" s="1087"/>
      <c r="N339" s="1087"/>
      <c r="O339" s="1087"/>
      <c r="P339" s="1087"/>
    </row>
    <row r="340">
      <c r="A340" s="1239" t="s">
        <v>1217</v>
      </c>
      <c r="B340" s="1070">
        <v>46286</v>
      </c>
      <c r="C340" s="1239" t="str">
        <v>Monday</v>
      </c>
      <c r="D340" s="1240" t="s">
        <v>1004</v>
      </c>
      <c r="E340" s="1282">
        <f t="shared" ref="E340:E369" si="100">24*MOD(TIMEVALUE(TRIM(MID(D340,FIND("-",D340)+1,LEN(D340)))) - TIMEVALUE(TRIM(LEFT(D340,FIND("-",D340)-1))),1)</f>
      </c>
      <c r="F340" s="1343" t="s">
        <v>1218</v>
      </c>
      <c r="G340" s="1242" t="s">
        <v>1219</v>
      </c>
      <c r="H340" s="1282"/>
      <c r="I340" s="1282" t="s">
        <v>946</v>
      </c>
      <c r="J340" s="1283"/>
      <c r="K340" s="1238"/>
      <c r="L340" s="1238"/>
      <c r="M340" s="1238"/>
      <c r="N340" s="1238"/>
      <c r="O340" s="1238"/>
      <c r="P340" s="1238"/>
    </row>
    <row customHeight="true" ht="18.452380952380953" r="341">
      <c r="A341" s="1239" t="s">
        <v>1217</v>
      </c>
      <c r="B341" s="1070">
        <v>46286</v>
      </c>
      <c r="C341" s="1239" t="str">
        <v>Monday</v>
      </c>
      <c r="D341" s="1240" t="s">
        <v>1220</v>
      </c>
      <c r="E341" s="1282">
        <f t="shared" si="100"/>
      </c>
      <c r="F341" s="1343" t="s">
        <v>1211</v>
      </c>
      <c r="G341" s="1242"/>
      <c r="H341" s="1282"/>
      <c r="I341" s="1282" t="s">
        <v>946</v>
      </c>
      <c r="J341" s="1283"/>
      <c r="K341" s="1238"/>
      <c r="L341" s="1238"/>
      <c r="M341" s="1238"/>
      <c r="N341" s="1238"/>
      <c r="O341" s="1238"/>
      <c r="P341" s="1238"/>
    </row>
    <row customHeight="true" ht="18.452380952380953" r="342">
      <c r="A342" s="1239" t="s">
        <v>1217</v>
      </c>
      <c r="B342" s="1070">
        <v>46286</v>
      </c>
      <c r="C342" s="1239" t="str">
        <v>Monday</v>
      </c>
      <c r="D342" s="1240" t="s">
        <v>1190</v>
      </c>
      <c r="E342" s="1282">
        <f t="shared" si="100"/>
      </c>
      <c r="F342" s="1343" t="s">
        <v>1218</v>
      </c>
      <c r="G342" s="1242"/>
      <c r="H342" s="1282"/>
      <c r="I342" s="1282" t="s">
        <v>946</v>
      </c>
      <c r="J342" s="1283"/>
      <c r="K342" s="1238"/>
      <c r="L342" s="1238"/>
      <c r="M342" s="1238"/>
      <c r="N342" s="1238"/>
      <c r="O342" s="1238"/>
      <c r="P342" s="1238"/>
    </row>
    <row customHeight="true" ht="18.452380952380953" r="343">
      <c r="A343" s="1239" t="s">
        <v>1217</v>
      </c>
      <c r="B343" s="1070">
        <v>46287</v>
      </c>
      <c r="C343" s="1239" t="str">
        <v>Tuesday</v>
      </c>
      <c r="D343" s="1240" t="s">
        <v>1004</v>
      </c>
      <c r="E343" s="1282">
        <f t="shared" si="100"/>
      </c>
      <c r="F343" s="1343" t="s">
        <v>1218</v>
      </c>
      <c r="G343" s="1242" t="s">
        <v>1219</v>
      </c>
      <c r="H343" s="1282"/>
      <c r="I343" s="1282" t="s">
        <v>946</v>
      </c>
      <c r="J343" s="1283" t="s">
        <v>1221</v>
      </c>
      <c r="K343" s="1238"/>
      <c r="L343" s="1238"/>
      <c r="M343" s="1238"/>
      <c r="N343" s="1238"/>
      <c r="O343" s="1238"/>
      <c r="P343" s="1238"/>
    </row>
    <row customHeight="true" ht="18.452380952380953" r="344">
      <c r="A344" s="1239" t="s">
        <v>1217</v>
      </c>
      <c r="B344" s="1070">
        <v>46287</v>
      </c>
      <c r="C344" s="1239" t="str">
        <v>Tuesday</v>
      </c>
      <c r="D344" s="1240" t="s">
        <v>1220</v>
      </c>
      <c r="E344" s="1282">
        <f t="shared" si="100"/>
      </c>
      <c r="F344" s="1343" t="s">
        <v>1211</v>
      </c>
      <c r="G344" s="1242"/>
      <c r="H344" s="1282"/>
      <c r="I344" s="1282" t="s">
        <v>946</v>
      </c>
      <c r="J344" s="1283" t="s">
        <v>1221</v>
      </c>
      <c r="K344" s="1238"/>
      <c r="L344" s="1238"/>
      <c r="M344" s="1238"/>
      <c r="N344" s="1238"/>
      <c r="O344" s="1238"/>
      <c r="P344" s="1238"/>
    </row>
    <row customHeight="true" ht="18.452380952380953" r="345">
      <c r="A345" s="1239" t="s">
        <v>1217</v>
      </c>
      <c r="B345" s="1070">
        <v>46287</v>
      </c>
      <c r="C345" s="1239" t="str">
        <v>Tuesday</v>
      </c>
      <c r="D345" s="1240" t="s">
        <v>1190</v>
      </c>
      <c r="E345" s="1282">
        <f t="shared" si="100"/>
      </c>
      <c r="F345" s="1343" t="s">
        <v>1218</v>
      </c>
      <c r="G345" s="1242"/>
      <c r="H345" s="1282"/>
      <c r="I345" s="1282" t="s">
        <v>946</v>
      </c>
      <c r="J345" s="1283" t="s">
        <v>1221</v>
      </c>
      <c r="K345" s="1238"/>
      <c r="L345" s="1238"/>
      <c r="M345" s="1238"/>
      <c r="N345" s="1238"/>
      <c r="O345" s="1238"/>
      <c r="P345" s="1238"/>
    </row>
    <row customHeight="true" ht="18.452380952380953" r="346">
      <c r="A346" s="1239" t="s">
        <v>1217</v>
      </c>
      <c r="B346" s="1070">
        <v>46288</v>
      </c>
      <c r="C346" s="1239" t="str">
        <v>Wednesday</v>
      </c>
      <c r="D346" s="1240" t="s">
        <v>1004</v>
      </c>
      <c r="E346" s="1282">
        <f t="shared" si="100"/>
      </c>
      <c r="F346" s="1343" t="s">
        <v>1218</v>
      </c>
      <c r="G346" s="1242" t="s">
        <v>1219</v>
      </c>
      <c r="H346" s="1282"/>
      <c r="I346" s="1282" t="s">
        <v>946</v>
      </c>
      <c r="J346" s="1283" t="s">
        <v>1221</v>
      </c>
      <c r="K346" s="1238"/>
      <c r="L346" s="1238"/>
      <c r="M346" s="1238"/>
      <c r="N346" s="1238"/>
      <c r="O346" s="1238"/>
      <c r="P346" s="1238"/>
    </row>
    <row customHeight="true" ht="18.452380952380953" r="347">
      <c r="A347" s="1239" t="s">
        <v>1217</v>
      </c>
      <c r="B347" s="1070">
        <v>46288</v>
      </c>
      <c r="C347" s="1239" t="str">
        <v>Wednesday</v>
      </c>
      <c r="D347" s="1240" t="s">
        <v>1220</v>
      </c>
      <c r="E347" s="1282">
        <f t="shared" si="100"/>
      </c>
      <c r="F347" s="1343" t="s">
        <v>1211</v>
      </c>
      <c r="G347" s="1242"/>
      <c r="H347" s="1282"/>
      <c r="I347" s="1282" t="s">
        <v>946</v>
      </c>
      <c r="J347" s="1283" t="s">
        <v>1221</v>
      </c>
      <c r="K347" s="1238"/>
      <c r="L347" s="1238"/>
      <c r="M347" s="1238"/>
      <c r="N347" s="1238"/>
      <c r="O347" s="1238"/>
      <c r="P347" s="1238"/>
    </row>
    <row customHeight="true" ht="18.452380952380953" r="348">
      <c r="A348" s="1239" t="s">
        <v>1217</v>
      </c>
      <c r="B348" s="1070">
        <v>46288</v>
      </c>
      <c r="C348" s="1239" t="str">
        <v>Wednesday</v>
      </c>
      <c r="D348" s="1240" t="s">
        <v>1190</v>
      </c>
      <c r="E348" s="1282">
        <f t="shared" si="100"/>
      </c>
      <c r="F348" s="1343" t="s">
        <v>1218</v>
      </c>
      <c r="G348" s="1242"/>
      <c r="H348" s="1282"/>
      <c r="I348" s="1282" t="s">
        <v>946</v>
      </c>
      <c r="J348" s="1283" t="s">
        <v>1221</v>
      </c>
      <c r="K348" s="1238"/>
      <c r="L348" s="1238"/>
      <c r="M348" s="1238"/>
      <c r="N348" s="1238"/>
      <c r="O348" s="1238"/>
      <c r="P348" s="1238"/>
    </row>
    <row customHeight="true" ht="18.452380952380953" r="349">
      <c r="A349" s="1239" t="s">
        <v>1217</v>
      </c>
      <c r="B349" s="1070">
        <v>46289</v>
      </c>
      <c r="C349" s="1239" t="str">
        <v>Thursday</v>
      </c>
      <c r="D349" s="1240" t="s">
        <v>1149</v>
      </c>
      <c r="E349" s="1282">
        <f t="shared" si="100"/>
      </c>
      <c r="F349" s="1343" t="s">
        <v>1188</v>
      </c>
      <c r="G349" s="1242" t="s">
        <v>1219</v>
      </c>
      <c r="H349" s="1282"/>
      <c r="I349" s="1282" t="s">
        <v>946</v>
      </c>
      <c r="J349" s="1283" t="s">
        <v>1221</v>
      </c>
      <c r="K349" s="1238"/>
      <c r="L349" s="1238"/>
      <c r="M349" s="1238"/>
      <c r="N349" s="1238"/>
      <c r="O349" s="1238"/>
      <c r="P349" s="1238"/>
    </row>
    <row customHeight="true" ht="18.452380952380953" r="350">
      <c r="A350" s="1239" t="s">
        <v>1217</v>
      </c>
      <c r="B350" s="1070">
        <v>46289</v>
      </c>
      <c r="C350" s="1239" t="str">
        <v>Thursday</v>
      </c>
      <c r="D350" s="1240" t="s">
        <v>1190</v>
      </c>
      <c r="E350" s="1282">
        <f t="shared" si="100"/>
      </c>
      <c r="F350" s="1343" t="s">
        <v>1218</v>
      </c>
      <c r="G350" s="1242"/>
      <c r="H350" s="1282"/>
      <c r="I350" s="1282" t="s">
        <v>946</v>
      </c>
      <c r="J350" s="1283" t="s">
        <v>1221</v>
      </c>
      <c r="K350" s="1238"/>
      <c r="L350" s="1238"/>
      <c r="M350" s="1238"/>
      <c r="N350" s="1238"/>
      <c r="O350" s="1238"/>
      <c r="P350" s="1238"/>
    </row>
    <row customHeight="true" ht="18.452380952380953" r="351">
      <c r="A351" s="1239" t="s">
        <v>1217</v>
      </c>
      <c r="B351" s="1070">
        <v>46290</v>
      </c>
      <c r="C351" s="1239" t="str">
        <v>Friday</v>
      </c>
      <c r="D351" s="1240" t="s">
        <v>1222</v>
      </c>
      <c r="E351" s="1282">
        <f t="shared" si="100"/>
      </c>
      <c r="F351" s="1343" t="s">
        <v>1218</v>
      </c>
      <c r="G351" s="1242"/>
      <c r="H351" s="1282"/>
      <c r="I351" s="1282" t="s">
        <v>946</v>
      </c>
      <c r="J351" s="1283" t="s">
        <v>1221</v>
      </c>
      <c r="K351" s="1238"/>
      <c r="L351" s="1238"/>
      <c r="M351" s="1238"/>
      <c r="N351" s="1238"/>
      <c r="O351" s="1238"/>
      <c r="P351" s="1238"/>
    </row>
    <row customHeight="true" ht="18.452380952380953" r="352">
      <c r="A352" s="1088" t="s">
        <v>1217</v>
      </c>
      <c r="B352" s="1070">
        <v>46291</v>
      </c>
      <c r="C352" s="1088" t="str">
        <v>Saturday</v>
      </c>
      <c r="D352" s="1240" t="s">
        <v>1223</v>
      </c>
      <c r="E352" s="1093">
        <f t="shared" si="100"/>
      </c>
      <c r="F352" s="1343" t="s">
        <v>1224</v>
      </c>
      <c r="G352" s="1107" t="s">
        <v>1219</v>
      </c>
      <c r="H352" s="1093"/>
      <c r="I352" s="1093" t="s">
        <v>946</v>
      </c>
      <c r="J352" s="1066"/>
      <c r="K352" s="1067"/>
      <c r="L352" s="1067"/>
      <c r="M352" s="1067"/>
      <c r="N352" s="1067"/>
      <c r="O352" s="1067"/>
      <c r="P352" s="1067"/>
    </row>
    <row customHeight="true" ht="18.452380952380953" r="353">
      <c r="A353" s="1088" t="s">
        <v>1217</v>
      </c>
      <c r="B353" s="1070">
        <v>46291</v>
      </c>
      <c r="C353" s="1088" t="str">
        <v>Saturday</v>
      </c>
      <c r="D353" s="1240" t="s">
        <v>1095</v>
      </c>
      <c r="E353" s="1093">
        <f t="shared" si="100"/>
      </c>
      <c r="F353" s="1343" t="s">
        <v>1211</v>
      </c>
      <c r="G353" s="1107"/>
      <c r="H353" s="1093"/>
      <c r="I353" s="1093" t="s">
        <v>946</v>
      </c>
      <c r="J353" s="1066"/>
      <c r="K353" s="1067"/>
      <c r="L353" s="1067"/>
      <c r="M353" s="1067"/>
      <c r="N353" s="1067"/>
      <c r="O353" s="1067"/>
      <c r="P353" s="1067"/>
    </row>
    <row customHeight="true" ht="18.452380952380953" r="354">
      <c r="A354" s="1088" t="s">
        <v>1217</v>
      </c>
      <c r="B354" s="1070">
        <v>46292</v>
      </c>
      <c r="C354" s="1088" t="str">
        <v>Sunday</v>
      </c>
      <c r="D354" s="1240" t="s">
        <v>976</v>
      </c>
      <c r="E354" s="1093">
        <f t="shared" si="100"/>
      </c>
      <c r="F354" s="1343" t="s">
        <v>1218</v>
      </c>
      <c r="G354" s="1107"/>
      <c r="H354" s="1093"/>
      <c r="I354" s="1093" t="s">
        <v>946</v>
      </c>
      <c r="J354" s="1066"/>
      <c r="K354" s="1067"/>
      <c r="L354" s="1067"/>
      <c r="M354" s="1067"/>
      <c r="N354" s="1067"/>
      <c r="O354" s="1067"/>
      <c r="P354" s="1067"/>
    </row>
    <row customHeight="true" ht="18.452380952380953" r="355">
      <c r="A355" s="1088" t="s">
        <v>1217</v>
      </c>
      <c r="B355" s="1070">
        <v>46292</v>
      </c>
      <c r="C355" s="1088" t="str">
        <v>Sunday</v>
      </c>
      <c r="D355" s="1240" t="s">
        <v>1067</v>
      </c>
      <c r="E355" s="1093">
        <f t="shared" si="100"/>
      </c>
      <c r="F355" s="1343" t="s">
        <v>1224</v>
      </c>
      <c r="G355" s="1107"/>
      <c r="H355" s="1093"/>
      <c r="I355" s="1093" t="s">
        <v>946</v>
      </c>
      <c r="J355" s="1066"/>
      <c r="K355" s="1067"/>
      <c r="L355" s="1067"/>
      <c r="M355" s="1067"/>
      <c r="N355" s="1067"/>
      <c r="O355" s="1067"/>
      <c r="P355" s="1067"/>
    </row>
    <row r="356">
      <c r="A356" s="1088" t="s">
        <v>1225</v>
      </c>
      <c r="B356" s="1284">
        <v>46286</v>
      </c>
      <c r="C356" s="1088" t="str">
        <v>Monday</v>
      </c>
      <c r="D356" s="1240" t="s">
        <v>1004</v>
      </c>
      <c r="E356" s="1093">
        <f t="shared" si="100"/>
      </c>
      <c r="F356" s="1343" t="s">
        <v>1211</v>
      </c>
      <c r="G356" s="1097"/>
      <c r="H356" s="1093"/>
      <c r="I356" s="1093" t="s">
        <v>946</v>
      </c>
      <c r="J356" s="1062" t="s">
        <v>1226</v>
      </c>
      <c r="K356" s="1067"/>
      <c r="L356" s="1067"/>
      <c r="M356" s="1067"/>
      <c r="N356" s="1067"/>
      <c r="O356" s="1067"/>
      <c r="P356" s="1067"/>
    </row>
    <row customHeight="true" ht="20.238095238095237" r="357">
      <c r="A357" s="1088" t="s">
        <v>1225</v>
      </c>
      <c r="B357" s="1284">
        <v>46286</v>
      </c>
      <c r="C357" s="1088" t="str">
        <v>Monday</v>
      </c>
      <c r="D357" s="1240" t="s">
        <v>1227</v>
      </c>
      <c r="E357" s="1093">
        <f t="shared" si="100"/>
      </c>
      <c r="F357" s="1343" t="s">
        <v>1228</v>
      </c>
      <c r="G357" s="1097"/>
      <c r="H357" s="1093"/>
      <c r="I357" s="1093" t="s">
        <v>946</v>
      </c>
      <c r="J357" s="1062" t="s">
        <v>1226</v>
      </c>
      <c r="K357" s="1067"/>
      <c r="L357" s="1067"/>
      <c r="M357" s="1067"/>
      <c r="N357" s="1067"/>
      <c r="O357" s="1067"/>
      <c r="P357" s="1067"/>
    </row>
    <row customHeight="true" ht="18.452380952380953" r="358">
      <c r="A358" s="1088" t="s">
        <v>1225</v>
      </c>
      <c r="B358" s="1284">
        <v>46287</v>
      </c>
      <c r="C358" s="1088" t="str">
        <v>Tuesday</v>
      </c>
      <c r="D358" s="1240" t="s">
        <v>1004</v>
      </c>
      <c r="E358" s="1093">
        <f t="shared" si="100"/>
      </c>
      <c r="F358" s="1343" t="s">
        <v>1211</v>
      </c>
      <c r="G358" s="1097"/>
      <c r="H358" s="1093"/>
      <c r="I358" s="1093" t="s">
        <v>946</v>
      </c>
      <c r="J358" s="1062" t="s">
        <v>1226</v>
      </c>
      <c r="K358" s="1067"/>
      <c r="L358" s="1067"/>
      <c r="M358" s="1067"/>
      <c r="N358" s="1067"/>
      <c r="O358" s="1067"/>
      <c r="P358" s="1067"/>
    </row>
    <row customHeight="true" ht="18.452380952380953" r="359">
      <c r="A359" s="1088" t="s">
        <v>1225</v>
      </c>
      <c r="B359" s="1284">
        <v>46287</v>
      </c>
      <c r="C359" s="1088" t="str">
        <v>Tuesday</v>
      </c>
      <c r="D359" s="1240" t="s">
        <v>1227</v>
      </c>
      <c r="E359" s="1093">
        <f t="shared" si="100"/>
      </c>
      <c r="F359" s="1343" t="s">
        <v>1228</v>
      </c>
      <c r="G359" s="1097"/>
      <c r="H359" s="1093"/>
      <c r="I359" s="1093" t="s">
        <v>946</v>
      </c>
      <c r="J359" s="1062" t="s">
        <v>1226</v>
      </c>
      <c r="K359" s="1067"/>
      <c r="L359" s="1067"/>
      <c r="M359" s="1067"/>
      <c r="N359" s="1067"/>
      <c r="O359" s="1067"/>
      <c r="P359" s="1067"/>
    </row>
    <row customHeight="true" ht="18.452380952380953" r="360">
      <c r="A360" s="1088" t="s">
        <v>1225</v>
      </c>
      <c r="B360" s="1284">
        <v>46288</v>
      </c>
      <c r="C360" s="1088" t="str">
        <v>Wednesday</v>
      </c>
      <c r="D360" s="1240" t="s">
        <v>1004</v>
      </c>
      <c r="E360" s="1093">
        <f t="shared" si="100"/>
      </c>
      <c r="F360" s="1343" t="s">
        <v>1211</v>
      </c>
      <c r="G360" s="1097"/>
      <c r="H360" s="1093"/>
      <c r="I360" s="1093" t="s">
        <v>946</v>
      </c>
      <c r="J360" s="1062" t="s">
        <v>1226</v>
      </c>
      <c r="K360" s="1067"/>
      <c r="L360" s="1067"/>
      <c r="M360" s="1067"/>
      <c r="N360" s="1067"/>
      <c r="O360" s="1067"/>
      <c r="P360" s="1067"/>
    </row>
    <row customHeight="true" ht="18.452380952380953" r="361">
      <c r="A361" s="1088" t="s">
        <v>1225</v>
      </c>
      <c r="B361" s="1284">
        <v>46288</v>
      </c>
      <c r="C361" s="1088" t="str">
        <v>Wednesday</v>
      </c>
      <c r="D361" s="1240" t="s">
        <v>1227</v>
      </c>
      <c r="E361" s="1093">
        <f t="shared" si="100"/>
      </c>
      <c r="F361" s="1343" t="s">
        <v>1199</v>
      </c>
      <c r="G361" s="1097"/>
      <c r="H361" s="1093"/>
      <c r="I361" s="1093" t="s">
        <v>946</v>
      </c>
      <c r="J361" s="1062" t="s">
        <v>1226</v>
      </c>
      <c r="K361" s="1067"/>
      <c r="L361" s="1067"/>
      <c r="M361" s="1067"/>
      <c r="N361" s="1067"/>
      <c r="O361" s="1067"/>
      <c r="P361" s="1067"/>
    </row>
    <row customHeight="true" ht="18.452380952380953" r="362">
      <c r="A362" s="1239" t="s">
        <v>1225</v>
      </c>
      <c r="B362" s="1284">
        <v>46289</v>
      </c>
      <c r="C362" s="1239" t="str">
        <v>Thursday</v>
      </c>
      <c r="D362" s="1240" t="s">
        <v>1229</v>
      </c>
      <c r="E362" s="1282">
        <f t="shared" si="100"/>
      </c>
      <c r="F362" s="1343" t="s">
        <v>1211</v>
      </c>
      <c r="G362" s="1342"/>
      <c r="H362" s="1282"/>
      <c r="I362" s="1282" t="s">
        <v>946</v>
      </c>
      <c r="J362" s="1331"/>
      <c r="K362" s="1067"/>
      <c r="L362" s="1067"/>
      <c r="M362" s="1067"/>
      <c r="N362" s="1067"/>
      <c r="O362" s="1067"/>
      <c r="P362" s="1067"/>
      <c r="Q362" s="1125"/>
      <c r="R362" s="1125"/>
    </row>
    <row customHeight="true" ht="18.452380952380953" r="363">
      <c r="A363" s="1239" t="s">
        <v>1225</v>
      </c>
      <c r="B363" s="1284">
        <v>46289</v>
      </c>
      <c r="C363" s="1239" t="str">
        <v>Thursday</v>
      </c>
      <c r="D363" s="1240" t="s">
        <v>1230</v>
      </c>
      <c r="E363" s="1282">
        <f t="shared" si="100"/>
      </c>
      <c r="F363" s="1096" t="s">
        <v>1199</v>
      </c>
      <c r="G363" s="1342"/>
      <c r="H363" s="1282"/>
      <c r="I363" s="1282" t="s">
        <v>946</v>
      </c>
      <c r="J363" s="1331"/>
      <c r="K363" s="1067"/>
      <c r="L363" s="1067"/>
      <c r="M363" s="1067"/>
      <c r="N363" s="1067"/>
      <c r="O363" s="1067"/>
      <c r="P363" s="1067"/>
      <c r="Q363" s="1125"/>
      <c r="R363" s="1125"/>
    </row>
    <row r="364">
      <c r="A364" s="1088" t="s">
        <v>1225</v>
      </c>
      <c r="B364" s="1070">
        <v>46290</v>
      </c>
      <c r="C364" s="1088" t="str">
        <v>Friday</v>
      </c>
      <c r="D364" s="1240" t="s">
        <v>1149</v>
      </c>
      <c r="E364" s="1093">
        <f t="shared" si="100"/>
      </c>
      <c r="F364" s="1096" t="s">
        <v>1214</v>
      </c>
      <c r="G364" s="1097"/>
      <c r="H364" s="1093"/>
      <c r="I364" s="1093" t="s">
        <v>946</v>
      </c>
      <c r="J364" s="1066"/>
      <c r="K364" s="1067"/>
      <c r="L364" s="1067"/>
      <c r="M364" s="1067"/>
      <c r="N364" s="1067"/>
      <c r="O364" s="1067"/>
      <c r="P364" s="1067"/>
    </row>
    <row customHeight="true" ht="18.452380952380953" r="365">
      <c r="A365" s="1088" t="s">
        <v>1225</v>
      </c>
      <c r="B365" s="1070">
        <v>46290</v>
      </c>
      <c r="C365" s="1088" t="str">
        <v>Friday</v>
      </c>
      <c r="D365" s="1240" t="s">
        <v>1190</v>
      </c>
      <c r="E365" s="1093">
        <f t="shared" si="100"/>
      </c>
      <c r="F365" s="1096" t="s">
        <v>1201</v>
      </c>
      <c r="G365" s="1097"/>
      <c r="H365" s="1093"/>
      <c r="I365" s="1093" t="s">
        <v>946</v>
      </c>
      <c r="J365" s="1066"/>
      <c r="K365" s="1067"/>
      <c r="L365" s="1067"/>
      <c r="M365" s="1067"/>
      <c r="N365" s="1067"/>
      <c r="O365" s="1067"/>
      <c r="P365" s="1067"/>
    </row>
    <row customHeight="true" ht="18.452380952380953" r="366">
      <c r="A366" s="1088" t="s">
        <v>1225</v>
      </c>
      <c r="B366" s="1070">
        <v>46291</v>
      </c>
      <c r="C366" s="1088" t="str">
        <v>Saturday</v>
      </c>
      <c r="D366" s="1240" t="s">
        <v>1223</v>
      </c>
      <c r="E366" s="1093">
        <f t="shared" si="100"/>
      </c>
      <c r="F366" s="1343" t="s">
        <v>1211</v>
      </c>
      <c r="G366" s="1097"/>
      <c r="H366" s="1093"/>
      <c r="I366" s="1093" t="s">
        <v>946</v>
      </c>
      <c r="J366" s="1066"/>
      <c r="K366" s="1067"/>
      <c r="L366" s="1067"/>
      <c r="M366" s="1067"/>
      <c r="N366" s="1067"/>
      <c r="O366" s="1067"/>
      <c r="P366" s="1067"/>
    </row>
    <row customHeight="true" ht="18.452380952380953" r="367">
      <c r="A367" s="1088" t="s">
        <v>1225</v>
      </c>
      <c r="B367" s="1070">
        <v>46291</v>
      </c>
      <c r="C367" s="1088" t="str">
        <v>Saturday</v>
      </c>
      <c r="D367" s="1240" t="s">
        <v>1095</v>
      </c>
      <c r="E367" s="1093">
        <f t="shared" si="100"/>
      </c>
      <c r="F367" s="1096" t="s">
        <v>1077</v>
      </c>
      <c r="G367" s="1097"/>
      <c r="H367" s="1093"/>
      <c r="I367" s="1093" t="s">
        <v>946</v>
      </c>
      <c r="J367" s="1066"/>
      <c r="K367" s="1067"/>
      <c r="L367" s="1067"/>
      <c r="M367" s="1067"/>
      <c r="N367" s="1067"/>
      <c r="O367" s="1067"/>
      <c r="P367" s="1067"/>
    </row>
    <row customHeight="true" ht="18.452380952380953" r="368">
      <c r="A368" s="1088" t="s">
        <v>1225</v>
      </c>
      <c r="B368" s="1070">
        <v>46292</v>
      </c>
      <c r="C368" s="1088" t="str">
        <v>Sunday</v>
      </c>
      <c r="D368" s="1240" t="s">
        <v>976</v>
      </c>
      <c r="E368" s="1093">
        <f t="shared" si="100"/>
      </c>
      <c r="F368" s="1096" t="s">
        <v>1214</v>
      </c>
      <c r="G368" s="1097"/>
      <c r="H368" s="1093"/>
      <c r="I368" s="1093" t="s">
        <v>946</v>
      </c>
      <c r="J368" s="1066"/>
      <c r="K368" s="1067"/>
      <c r="L368" s="1067"/>
      <c r="M368" s="1067"/>
      <c r="N368" s="1067"/>
      <c r="O368" s="1067"/>
      <c r="P368" s="1067"/>
    </row>
    <row customHeight="true" ht="18.452380952380953" r="369">
      <c r="A369" s="1088" t="s">
        <v>1225</v>
      </c>
      <c r="B369" s="1070">
        <v>46292</v>
      </c>
      <c r="C369" s="1088" t="str">
        <v>Sunday</v>
      </c>
      <c r="D369" s="1240" t="s">
        <v>1067</v>
      </c>
      <c r="E369" s="1093">
        <f t="shared" si="100"/>
      </c>
      <c r="F369" s="1096" t="s">
        <v>1199</v>
      </c>
      <c r="G369" s="1097"/>
      <c r="H369" s="1093"/>
      <c r="I369" s="1093" t="s">
        <v>946</v>
      </c>
      <c r="J369" s="1066"/>
      <c r="K369" s="1067"/>
      <c r="L369" s="1067"/>
      <c r="M369" s="1067"/>
      <c r="N369" s="1067"/>
      <c r="O369" s="1067"/>
      <c r="P369" s="1067"/>
    </row>
    <row customHeight="true" ht="18.452380952380953" r="370">
      <c r="A370" s="1088"/>
      <c r="B370" s="1070"/>
      <c r="C370" s="1088"/>
      <c r="D370" s="1240"/>
      <c r="E370" s="1093"/>
      <c r="F370" s="1096"/>
      <c r="G370" s="1097"/>
      <c r="H370" s="1093"/>
      <c r="I370" s="1093"/>
      <c r="J370" s="1066"/>
      <c r="K370" s="1067"/>
      <c r="L370" s="1067"/>
      <c r="M370" s="1067"/>
      <c r="N370" s="1067"/>
      <c r="O370" s="1067"/>
      <c r="P370" s="1067"/>
    </row>
    <row r="371">
      <c r="A371" s="1349" t="s">
        <v>1231</v>
      </c>
      <c r="B371" s="1350"/>
      <c r="C371" s="1350"/>
      <c r="D371" s="1350"/>
      <c r="E371" s="1350"/>
      <c r="F371" s="1350"/>
      <c r="G371" s="1350"/>
      <c r="H371" s="1350"/>
      <c r="I371" s="1350"/>
      <c r="J371" s="1351"/>
      <c r="K371" s="1101"/>
      <c r="L371" s="1101"/>
      <c r="M371" s="1101"/>
      <c r="N371" s="1101"/>
      <c r="O371" s="1101"/>
      <c r="P371" s="1101"/>
    </row>
    <row r="372">
      <c r="A372" s="1344" t="s">
        <v>958</v>
      </c>
      <c r="B372" s="1345" t="s">
        <v>959</v>
      </c>
      <c r="C372" s="1345"/>
      <c r="D372" s="1346" t="s">
        <v>960</v>
      </c>
      <c r="E372" s="1346" t="s">
        <v>961</v>
      </c>
      <c r="F372" s="1346" t="s">
        <v>962</v>
      </c>
      <c r="G372" s="1347" t="s">
        <v>974</v>
      </c>
      <c r="H372" s="1346" t="s">
        <v>964</v>
      </c>
      <c r="I372" s="1346" t="s">
        <v>965</v>
      </c>
      <c r="J372" s="1348" t="s">
        <v>966</v>
      </c>
      <c r="K372" s="1087"/>
      <c r="L372" s="1087"/>
      <c r="M372" s="1087"/>
      <c r="N372" s="1087"/>
      <c r="O372" s="1087"/>
      <c r="P372" s="1087"/>
    </row>
    <row customHeight="true" ht="18.452380952380953" r="373">
      <c r="A373" s="1088"/>
      <c r="B373" s="1070"/>
      <c r="C373" s="1088"/>
      <c r="D373" s="1061"/>
      <c r="E373" s="1093"/>
      <c r="F373" s="1352"/>
      <c r="G373" s="1107"/>
      <c r="H373" s="1065"/>
      <c r="I373" s="1093"/>
      <c r="J373" s="1062"/>
      <c r="K373" s="1067"/>
      <c r="L373" s="1067"/>
      <c r="M373" s="1067"/>
      <c r="N373" s="1067"/>
      <c r="O373" s="1067"/>
      <c r="P373" s="1067"/>
    </row>
    <row customHeight="true" ht="18.452380952380953" r="374">
      <c r="A374" s="1088"/>
      <c r="B374" s="1070"/>
      <c r="C374" s="1088"/>
      <c r="D374" s="1061"/>
      <c r="E374" s="1093"/>
      <c r="F374" s="1352"/>
      <c r="G374" s="1107"/>
      <c r="H374" s="1065"/>
      <c r="I374" s="1093"/>
      <c r="J374" s="1062"/>
      <c r="K374" s="1067"/>
      <c r="L374" s="1067"/>
      <c r="M374" s="1067"/>
      <c r="N374" s="1067"/>
      <c r="O374" s="1067"/>
      <c r="P374" s="1067"/>
    </row>
    <row customHeight="true" ht="18.452380952380953" r="375">
      <c r="A375" s="1088"/>
      <c r="B375" s="1070"/>
      <c r="C375" s="1088"/>
      <c r="D375" s="1061"/>
      <c r="E375" s="1093"/>
      <c r="F375" s="1352"/>
      <c r="G375" s="1107"/>
      <c r="H375" s="1065"/>
      <c r="I375" s="1093"/>
      <c r="J375" s="1062"/>
      <c r="K375" s="1067"/>
      <c r="L375" s="1067"/>
      <c r="M375" s="1067"/>
      <c r="N375" s="1067"/>
      <c r="O375" s="1067"/>
      <c r="P375" s="1067"/>
    </row>
    <row customHeight="true" ht="18.452380952380953" r="376">
      <c r="A376" s="1088"/>
      <c r="B376" s="1070"/>
      <c r="C376" s="1088"/>
      <c r="D376" s="1061"/>
      <c r="E376" s="1093"/>
      <c r="F376" s="1096"/>
      <c r="G376" s="1107"/>
      <c r="H376" s="1065"/>
      <c r="I376" s="1093"/>
      <c r="J376" s="1062"/>
      <c r="K376" s="1067"/>
      <c r="L376" s="1067"/>
      <c r="M376" s="1067"/>
      <c r="N376" s="1067"/>
      <c r="O376" s="1067"/>
      <c r="P376" s="1067"/>
    </row>
    <row customHeight="true" ht="18.452380952380953" r="377">
      <c r="A377" s="1088"/>
      <c r="B377" s="1070"/>
      <c r="C377" s="1088"/>
      <c r="D377" s="1061"/>
      <c r="E377" s="1093"/>
      <c r="F377" s="1096"/>
      <c r="G377" s="1107"/>
      <c r="H377" s="1065"/>
      <c r="I377" s="1093"/>
      <c r="J377" s="1062"/>
      <c r="K377" s="1067"/>
      <c r="L377" s="1067"/>
      <c r="M377" s="1067"/>
      <c r="N377" s="1067"/>
      <c r="O377" s="1067"/>
      <c r="P377" s="1067"/>
    </row>
    <row customHeight="true" ht="18.452380952380953" r="378">
      <c r="A378" s="1088"/>
      <c r="B378" s="1070"/>
      <c r="C378" s="1088"/>
      <c r="D378" s="1353"/>
      <c r="E378" s="1093"/>
      <c r="F378" s="1096"/>
      <c r="G378" s="1097"/>
      <c r="H378" s="1065"/>
      <c r="I378" s="1093"/>
      <c r="J378" s="1354"/>
      <c r="K378" s="1067"/>
      <c r="L378" s="1067"/>
      <c r="M378" s="1067"/>
      <c r="N378" s="1067"/>
      <c r="O378" s="1067"/>
      <c r="P378" s="1067"/>
    </row>
    <row customHeight="true" ht="18.452380952380953" r="379">
      <c r="A379" s="1088"/>
      <c r="B379" s="1070"/>
      <c r="C379" s="1088"/>
      <c r="D379" s="1061"/>
      <c r="E379" s="1093"/>
      <c r="F379" s="1096"/>
      <c r="G379" s="1097"/>
      <c r="H379" s="1065"/>
      <c r="I379" s="1093"/>
      <c r="J379" s="1062"/>
      <c r="K379" s="1067"/>
      <c r="L379" s="1067"/>
      <c r="M379" s="1067"/>
      <c r="N379" s="1067"/>
      <c r="O379" s="1067"/>
      <c r="P379" s="1067"/>
    </row>
    <row customHeight="true" ht="18.452380952380953" r="380">
      <c r="A380" s="1088"/>
      <c r="B380" s="1070"/>
      <c r="C380" s="1088"/>
      <c r="D380" s="1061"/>
      <c r="E380" s="1093"/>
      <c r="F380" s="1096"/>
      <c r="G380" s="1107"/>
      <c r="H380" s="1065"/>
      <c r="I380" s="1093"/>
      <c r="J380" s="1062"/>
      <c r="K380" s="1067"/>
      <c r="L380" s="1067"/>
      <c r="M380" s="1067"/>
      <c r="N380" s="1067"/>
      <c r="O380" s="1067"/>
      <c r="P380" s="1067"/>
    </row>
    <row r="381">
      <c r="A381" s="1355" t="s">
        <v>1232</v>
      </c>
      <c r="B381" s="1356"/>
      <c r="C381" s="1356"/>
      <c r="D381" s="1356"/>
      <c r="E381" s="1356"/>
      <c r="F381" s="1356"/>
      <c r="G381" s="1356"/>
      <c r="H381" s="1356"/>
      <c r="I381" s="1356"/>
      <c r="J381" s="1357"/>
      <c r="K381" s="1101"/>
      <c r="L381" s="1101"/>
      <c r="M381" s="1101"/>
      <c r="N381" s="1101"/>
      <c r="O381" s="1101"/>
      <c r="P381" s="1101"/>
    </row>
    <row r="382">
      <c r="A382" s="1358" t="s">
        <v>958</v>
      </c>
      <c r="B382" s="1258" t="s">
        <v>959</v>
      </c>
      <c r="C382" s="1258"/>
      <c r="D382" s="1359" t="s">
        <v>960</v>
      </c>
      <c r="E382" s="1359" t="s">
        <v>961</v>
      </c>
      <c r="F382" s="1359" t="s">
        <v>962</v>
      </c>
      <c r="G382" s="1360" t="s">
        <v>974</v>
      </c>
      <c r="H382" s="1359" t="s">
        <v>964</v>
      </c>
      <c r="I382" s="1359" t="s">
        <v>965</v>
      </c>
      <c r="J382" s="1263" t="s">
        <v>966</v>
      </c>
      <c r="K382" s="1087"/>
      <c r="L382" s="1087"/>
      <c r="M382" s="1087"/>
      <c r="N382" s="1087"/>
      <c r="O382" s="1087"/>
      <c r="P382" s="1087"/>
    </row>
    <row customHeight="true" ht="18.452380952380953" r="383">
      <c r="A383" s="1110" t="s">
        <v>1232</v>
      </c>
      <c r="B383" s="1111">
        <v>46286</v>
      </c>
      <c r="C383" s="1110" t="str">
        <v>Monday</v>
      </c>
      <c r="D383" s="1112" t="s">
        <v>1233</v>
      </c>
      <c r="E383" s="1113">
        <f t="shared" ref="E383:E397" si="101">24*MOD(TIMEVALUE(TRIM(MID(D383,FIND("-",D383)+1,LEN(D383)))) - TIMEVALUE(TRIM(LEFT(D383,FIND("-",D383)-1))),1)</f>
      </c>
      <c r="F383" s="1361" t="s">
        <v>1188</v>
      </c>
      <c r="G383" s="1187"/>
      <c r="H383" s="1113" t="s">
        <v>972</v>
      </c>
      <c r="I383" s="1113"/>
      <c r="J383" s="1362"/>
      <c r="K383" s="1234"/>
      <c r="L383" s="1234"/>
      <c r="M383" s="1234"/>
      <c r="N383" s="1234"/>
      <c r="O383" s="1234"/>
      <c r="P383" s="1234"/>
      <c r="Q383" s="1363"/>
      <c r="R383" s="1363"/>
    </row>
    <row customHeight="true" ht="18.452380952380953" r="384">
      <c r="A384" s="1110" t="s">
        <v>1232</v>
      </c>
      <c r="B384" s="1111">
        <v>46287</v>
      </c>
      <c r="C384" s="1110" t="str">
        <v>Tuesday</v>
      </c>
      <c r="D384" s="1112" t="s">
        <v>1004</v>
      </c>
      <c r="E384" s="1113">
        <f t="shared" si="101"/>
      </c>
      <c r="F384" s="1361" t="s">
        <v>1188</v>
      </c>
      <c r="G384" s="1187"/>
      <c r="H384" s="1113" t="s">
        <v>972</v>
      </c>
      <c r="I384" s="1113"/>
      <c r="J384" s="1362"/>
      <c r="K384" s="1234"/>
      <c r="L384" s="1234"/>
      <c r="M384" s="1234"/>
      <c r="N384" s="1234"/>
      <c r="O384" s="1234"/>
      <c r="P384" s="1234"/>
      <c r="Q384" s="1363"/>
      <c r="R384" s="1363"/>
    </row>
    <row customHeight="true" ht="18.452380952380953" r="385">
      <c r="A385" s="1110" t="s">
        <v>1232</v>
      </c>
      <c r="B385" s="1111">
        <v>46288</v>
      </c>
      <c r="C385" s="1110" t="str">
        <v>Wednesday</v>
      </c>
      <c r="D385" s="1112" t="s">
        <v>1178</v>
      </c>
      <c r="E385" s="1113">
        <f t="shared" si="101"/>
      </c>
      <c r="F385" s="1361" t="s">
        <v>1188</v>
      </c>
      <c r="G385" s="1187"/>
      <c r="H385" s="1113" t="s">
        <v>972</v>
      </c>
      <c r="I385" s="1113"/>
      <c r="J385" s="1362"/>
      <c r="K385" s="1234"/>
      <c r="L385" s="1234"/>
      <c r="M385" s="1234"/>
      <c r="N385" s="1234"/>
      <c r="O385" s="1234"/>
      <c r="P385" s="1234"/>
      <c r="Q385" s="1363"/>
      <c r="R385" s="1363"/>
    </row>
    <row customHeight="true" ht="18.452380952380953" r="386">
      <c r="A386" s="1110" t="s">
        <v>1232</v>
      </c>
      <c r="B386" s="1111">
        <v>46289</v>
      </c>
      <c r="C386" s="1110" t="str">
        <v>Thursday</v>
      </c>
      <c r="D386" s="1112" t="s">
        <v>1082</v>
      </c>
      <c r="E386" s="1113">
        <f t="shared" si="101"/>
      </c>
      <c r="F386" s="1361" t="s">
        <v>989</v>
      </c>
      <c r="G386" s="1187"/>
      <c r="H386" s="1113" t="s">
        <v>972</v>
      </c>
      <c r="I386" s="1113"/>
      <c r="J386" s="1362"/>
      <c r="K386" s="1234"/>
      <c r="L386" s="1234"/>
      <c r="M386" s="1234"/>
      <c r="N386" s="1234"/>
      <c r="O386" s="1234"/>
      <c r="P386" s="1234"/>
      <c r="Q386" s="1363"/>
      <c r="R386" s="1363"/>
    </row>
    <row customHeight="true" ht="18.452380952380953" r="387">
      <c r="A387" s="1110" t="s">
        <v>1232</v>
      </c>
      <c r="B387" s="1111">
        <v>46290</v>
      </c>
      <c r="C387" s="1110" t="str">
        <v>Friday</v>
      </c>
      <c r="D387" s="1112" t="s">
        <v>1189</v>
      </c>
      <c r="E387" s="1113">
        <f t="shared" si="101"/>
      </c>
      <c r="F387" s="1361" t="s">
        <v>1065</v>
      </c>
      <c r="G387" s="1187"/>
      <c r="H387" s="1113" t="s">
        <v>972</v>
      </c>
      <c r="I387" s="1113"/>
      <c r="J387" s="1362"/>
      <c r="K387" s="1234"/>
      <c r="L387" s="1234"/>
      <c r="M387" s="1234"/>
      <c r="N387" s="1234"/>
      <c r="O387" s="1234"/>
      <c r="P387" s="1234"/>
      <c r="Q387" s="1363"/>
      <c r="R387" s="1363"/>
    </row>
    <row customHeight="true" ht="18.452380952380953" r="388">
      <c r="A388" s="1110" t="s">
        <v>1232</v>
      </c>
      <c r="B388" s="1111">
        <v>46291</v>
      </c>
      <c r="C388" s="1110" t="str">
        <v>Saturday</v>
      </c>
      <c r="D388" s="1112" t="s">
        <v>1189</v>
      </c>
      <c r="E388" s="1113">
        <f t="shared" si="101"/>
      </c>
      <c r="F388" s="1361" t="s">
        <v>989</v>
      </c>
      <c r="G388" s="1187"/>
      <c r="H388" s="1113" t="s">
        <v>972</v>
      </c>
      <c r="I388" s="1113"/>
      <c r="J388" s="1362"/>
      <c r="K388" s="1234"/>
      <c r="L388" s="1234"/>
      <c r="M388" s="1234"/>
      <c r="N388" s="1234"/>
      <c r="O388" s="1234"/>
      <c r="P388" s="1234"/>
      <c r="Q388" s="1363"/>
      <c r="R388" s="1363"/>
    </row>
    <row customHeight="true" ht="18.452380952380953" r="389">
      <c r="A389" s="1110" t="s">
        <v>1232</v>
      </c>
      <c r="B389" s="1111">
        <v>46292</v>
      </c>
      <c r="C389" s="1110" t="str">
        <v>Sunday</v>
      </c>
      <c r="D389" s="1112" t="s">
        <v>1234</v>
      </c>
      <c r="E389" s="1113">
        <f t="shared" si="101"/>
      </c>
      <c r="F389" s="1361" t="s">
        <v>989</v>
      </c>
      <c r="G389" s="1187"/>
      <c r="H389" s="1113" t="s">
        <v>972</v>
      </c>
      <c r="I389" s="1113"/>
      <c r="J389" s="1362"/>
      <c r="K389" s="1234"/>
      <c r="L389" s="1234"/>
      <c r="M389" s="1234"/>
      <c r="N389" s="1234"/>
      <c r="O389" s="1234"/>
      <c r="P389" s="1234"/>
      <c r="Q389" s="1363"/>
      <c r="R389" s="1363"/>
    </row>
    <row r="390">
      <c r="A390" s="1110" t="s">
        <v>1235</v>
      </c>
      <c r="B390" s="1111">
        <v>46286</v>
      </c>
      <c r="C390" s="1110" t="str">
        <v>Monday</v>
      </c>
      <c r="D390" s="1112">
        <f t="shared" ref="D390:D393" si="1">D383</f>
      </c>
      <c r="E390" s="1113">
        <f t="shared" si="101"/>
      </c>
      <c r="F390" s="1113" t="s">
        <v>1199</v>
      </c>
      <c r="G390" s="1187"/>
      <c r="H390" s="1113" t="s">
        <v>972</v>
      </c>
      <c r="I390" s="1113"/>
      <c r="J390" s="1362"/>
      <c r="K390" s="1234"/>
      <c r="L390" s="1234"/>
      <c r="M390" s="1234"/>
      <c r="N390" s="1234"/>
      <c r="O390" s="1234"/>
      <c r="P390" s="1234"/>
      <c r="Q390" s="1363"/>
      <c r="R390" s="1363"/>
    </row>
    <row customHeight="true" ht="18.452380952380953" r="391">
      <c r="A391" s="1110" t="s">
        <v>1235</v>
      </c>
      <c r="B391" s="1111">
        <v>46287</v>
      </c>
      <c r="C391" s="1110" t="str">
        <v>Tuesday</v>
      </c>
      <c r="D391" s="1112">
        <f t="shared" si="1"/>
      </c>
      <c r="E391" s="1113">
        <f t="shared" si="101"/>
      </c>
      <c r="F391" s="1113" t="s">
        <v>1199</v>
      </c>
      <c r="G391" s="1187"/>
      <c r="H391" s="1113" t="s">
        <v>972</v>
      </c>
      <c r="I391" s="1113"/>
      <c r="J391" s="1362"/>
      <c r="K391" s="1234"/>
      <c r="L391" s="1234"/>
      <c r="M391" s="1234"/>
      <c r="N391" s="1234"/>
      <c r="O391" s="1234"/>
      <c r="P391" s="1234"/>
      <c r="Q391" s="1363"/>
      <c r="R391" s="1363"/>
    </row>
    <row customHeight="true" ht="18.452380952380953" r="392">
      <c r="A392" s="1110" t="s">
        <v>1235</v>
      </c>
      <c r="B392" s="1111">
        <v>46288</v>
      </c>
      <c r="C392" s="1110" t="str">
        <v>Wednesday</v>
      </c>
      <c r="D392" s="1112">
        <f t="shared" si="1"/>
      </c>
      <c r="E392" s="1113">
        <f t="shared" si="101"/>
      </c>
      <c r="F392" s="1113" t="s">
        <v>1199</v>
      </c>
      <c r="G392" s="1187"/>
      <c r="H392" s="1113" t="s">
        <v>972</v>
      </c>
      <c r="I392" s="1113"/>
      <c r="J392" s="1362"/>
      <c r="K392" s="1234"/>
      <c r="L392" s="1234"/>
      <c r="M392" s="1234"/>
      <c r="N392" s="1234"/>
      <c r="O392" s="1234"/>
      <c r="P392" s="1234"/>
      <c r="Q392" s="1363"/>
      <c r="R392" s="1363"/>
    </row>
    <row customHeight="true" ht="18.452380952380953" r="393">
      <c r="A393" s="1110" t="s">
        <v>1235</v>
      </c>
      <c r="B393" s="1111">
        <v>46289</v>
      </c>
      <c r="C393" s="1110" t="str">
        <v>Thursday</v>
      </c>
      <c r="D393" s="1112">
        <f t="shared" si="1"/>
      </c>
      <c r="E393" s="1113">
        <f t="shared" si="101"/>
      </c>
      <c r="F393" s="1113" t="s">
        <v>1199</v>
      </c>
      <c r="G393" s="1187"/>
      <c r="H393" s="1113" t="s">
        <v>972</v>
      </c>
      <c r="I393" s="1113"/>
      <c r="J393" s="1362"/>
      <c r="K393" s="1234"/>
      <c r="L393" s="1234"/>
      <c r="M393" s="1234"/>
      <c r="N393" s="1234"/>
      <c r="O393" s="1234"/>
      <c r="P393" s="1234"/>
      <c r="Q393" s="1363"/>
      <c r="R393" s="1363"/>
    </row>
    <row customHeight="true" ht="18.452380952380953" r="394">
      <c r="A394" s="1110" t="s">
        <v>1235</v>
      </c>
      <c r="B394" s="1111">
        <v>46290</v>
      </c>
      <c r="C394" s="1110" t="str">
        <v>Friday</v>
      </c>
      <c r="D394" s="1112" t="s">
        <v>1189</v>
      </c>
      <c r="E394" s="1113">
        <f t="shared" si="101"/>
      </c>
      <c r="F394" s="1113" t="s">
        <v>1201</v>
      </c>
      <c r="G394" s="1187"/>
      <c r="H394" s="1113" t="s">
        <v>972</v>
      </c>
      <c r="I394" s="1113"/>
      <c r="J394" s="1362"/>
      <c r="K394" s="1234"/>
      <c r="L394" s="1234"/>
      <c r="M394" s="1234"/>
      <c r="N394" s="1234"/>
      <c r="O394" s="1234"/>
      <c r="P394" s="1234"/>
      <c r="Q394" s="1363"/>
      <c r="R394" s="1363"/>
    </row>
    <row customHeight="true" ht="18.452380952380953" r="395">
      <c r="A395" s="1110" t="s">
        <v>1236</v>
      </c>
      <c r="B395" s="1111">
        <v>46290</v>
      </c>
      <c r="C395" s="1110" t="str">
        <v>Friday</v>
      </c>
      <c r="D395" s="1112" t="s">
        <v>1178</v>
      </c>
      <c r="E395" s="1113">
        <f t="shared" si="101"/>
      </c>
      <c r="F395" s="1113" t="s">
        <v>1237</v>
      </c>
      <c r="G395" s="1187"/>
      <c r="H395" s="1113" t="s">
        <v>972</v>
      </c>
      <c r="I395" s="1113"/>
      <c r="J395" s="1362"/>
      <c r="K395" s="1234"/>
      <c r="L395" s="1234"/>
      <c r="M395" s="1234"/>
      <c r="N395" s="1234"/>
      <c r="O395" s="1234"/>
      <c r="P395" s="1234"/>
      <c r="Q395" s="1363"/>
      <c r="R395" s="1363"/>
    </row>
    <row customHeight="true" ht="18.452380952380953" r="396">
      <c r="A396" s="1110" t="s">
        <v>1235</v>
      </c>
      <c r="B396" s="1111">
        <v>46291</v>
      </c>
      <c r="C396" s="1110" t="str">
        <v>Saturday</v>
      </c>
      <c r="D396" s="1112" t="s">
        <v>1189</v>
      </c>
      <c r="E396" s="1113">
        <f t="shared" si="101"/>
      </c>
      <c r="F396" s="1113" t="s">
        <v>1237</v>
      </c>
      <c r="G396" s="1187"/>
      <c r="H396" s="1113" t="s">
        <v>972</v>
      </c>
      <c r="I396" s="1113"/>
      <c r="J396" s="1362"/>
      <c r="K396" s="1234"/>
      <c r="L396" s="1234"/>
      <c r="M396" s="1234"/>
      <c r="N396" s="1234"/>
      <c r="O396" s="1234"/>
      <c r="P396" s="1234"/>
      <c r="Q396" s="1363"/>
      <c r="R396" s="1363"/>
    </row>
    <row customHeight="true" ht="18.452380952380953" r="397">
      <c r="A397" s="1110" t="s">
        <v>1235</v>
      </c>
      <c r="B397" s="1111">
        <v>46292</v>
      </c>
      <c r="C397" s="1110" t="str">
        <v>Sunday</v>
      </c>
      <c r="D397" s="1112" t="s">
        <v>1234</v>
      </c>
      <c r="E397" s="1113">
        <f t="shared" si="101"/>
      </c>
      <c r="F397" s="1113" t="s">
        <v>1199</v>
      </c>
      <c r="G397" s="1187"/>
      <c r="H397" s="1113" t="s">
        <v>972</v>
      </c>
      <c r="I397" s="1113"/>
      <c r="J397" s="1362"/>
      <c r="K397" s="1234"/>
      <c r="L397" s="1234"/>
      <c r="M397" s="1234"/>
      <c r="N397" s="1234"/>
      <c r="O397" s="1234"/>
      <c r="P397" s="1234"/>
      <c r="Q397" s="1363"/>
      <c r="R397" s="1363"/>
    </row>
    <row r="398">
      <c r="A398" s="1098"/>
      <c r="B398" s="1284"/>
      <c r="C398" s="1098"/>
      <c r="D398" s="1061"/>
      <c r="E398" s="1098"/>
      <c r="F398" s="1098"/>
      <c r="G398" s="1098"/>
      <c r="H398" s="1098"/>
      <c r="I398" s="1098"/>
      <c r="J398" s="1098"/>
      <c r="K398" s="1203"/>
      <c r="L398" s="1203"/>
      <c r="M398" s="1203"/>
      <c r="N398" s="1203"/>
      <c r="O398" s="1203"/>
      <c r="P398" s="1203"/>
    </row>
    <row r="399">
      <c r="A399" s="1364" t="s">
        <v>1238</v>
      </c>
      <c r="B399" s="1364"/>
      <c r="C399" s="1364"/>
      <c r="D399" s="1364"/>
      <c r="E399" s="1364"/>
      <c r="F399" s="1364"/>
      <c r="G399" s="1364"/>
      <c r="H399" s="1364"/>
      <c r="I399" s="1364"/>
      <c r="J399" s="1365"/>
      <c r="K399" s="1101"/>
      <c r="L399" s="1101"/>
      <c r="M399" s="1101"/>
      <c r="N399" s="1101"/>
      <c r="O399" s="1101"/>
      <c r="P399" s="1101"/>
    </row>
    <row r="400">
      <c r="A400" s="1366" t="s">
        <v>958</v>
      </c>
      <c r="B400" s="1367" t="s">
        <v>959</v>
      </c>
      <c r="C400" s="1367"/>
      <c r="D400" s="1368" t="s">
        <v>960</v>
      </c>
      <c r="E400" s="1368" t="s">
        <v>961</v>
      </c>
      <c r="F400" s="1368" t="s">
        <v>962</v>
      </c>
      <c r="G400" s="1369" t="s">
        <v>974</v>
      </c>
      <c r="H400" s="1368" t="s">
        <v>964</v>
      </c>
      <c r="I400" s="1368" t="s">
        <v>965</v>
      </c>
      <c r="J400" s="1370" t="s">
        <v>966</v>
      </c>
      <c r="K400" s="1087"/>
      <c r="L400" s="1087"/>
      <c r="M400" s="1087"/>
      <c r="N400" s="1087"/>
      <c r="O400" s="1087"/>
      <c r="P400" s="1087"/>
    </row>
    <row r="401">
      <c r="A401" s="1088" t="s">
        <v>1238</v>
      </c>
      <c r="B401" s="1070">
        <v>46287</v>
      </c>
      <c r="C401" s="1088" t="str">
        <v>Tuesday</v>
      </c>
      <c r="D401" s="1240" t="s">
        <v>1239</v>
      </c>
      <c r="E401" s="1061">
        <f t="shared" ref="E401:E408" si="102">24*MOD(TIMEVALUE(TRIM(MID(D401,FIND("-",D401)+1,LEN(D401)))) - TIMEVALUE(TRIM(LEFT(D401,FIND("-",D401)-1))),1)</f>
      </c>
      <c r="F401" s="1343" t="s">
        <v>980</v>
      </c>
      <c r="G401" s="1107"/>
      <c r="H401" s="1065" t="s">
        <v>945</v>
      </c>
      <c r="I401" s="1093" t="s">
        <v>946</v>
      </c>
      <c r="J401" s="1066"/>
      <c r="K401" s="1067"/>
      <c r="L401" s="1067"/>
      <c r="M401" s="1067"/>
      <c r="N401" s="1067"/>
      <c r="O401" s="1067"/>
      <c r="P401" s="1067"/>
    </row>
    <row customHeight="true" ht="20.238095238095237" r="402">
      <c r="A402" s="1088" t="s">
        <v>1238</v>
      </c>
      <c r="B402" s="1070">
        <v>46287</v>
      </c>
      <c r="C402" s="1088" t="str">
        <v>Tuesday</v>
      </c>
      <c r="D402" s="1240" t="s">
        <v>1240</v>
      </c>
      <c r="E402" s="1061">
        <f t="shared" si="102"/>
      </c>
      <c r="F402" s="1343" t="s">
        <v>1203</v>
      </c>
      <c r="G402" s="1107"/>
      <c r="H402" s="1065" t="s">
        <v>945</v>
      </c>
      <c r="I402" s="1093" t="s">
        <v>946</v>
      </c>
      <c r="J402" s="1066"/>
      <c r="K402" s="1067"/>
      <c r="L402" s="1067"/>
      <c r="M402" s="1067"/>
      <c r="N402" s="1067"/>
      <c r="O402" s="1067"/>
      <c r="P402" s="1067"/>
    </row>
    <row customHeight="true" ht="20.238095238095237" r="403">
      <c r="A403" s="1088" t="s">
        <v>1238</v>
      </c>
      <c r="B403" s="1070">
        <v>46287</v>
      </c>
      <c r="C403" s="1088" t="str">
        <v>Tuesday</v>
      </c>
      <c r="D403" s="1240" t="s">
        <v>1241</v>
      </c>
      <c r="E403" s="1061">
        <f t="shared" si="102"/>
      </c>
      <c r="F403" s="1343" t="s">
        <v>980</v>
      </c>
      <c r="G403" s="1107"/>
      <c r="H403" s="1065" t="s">
        <v>945</v>
      </c>
      <c r="I403" s="1093" t="s">
        <v>946</v>
      </c>
      <c r="J403" s="1066"/>
      <c r="K403" s="1067"/>
      <c r="L403" s="1067"/>
      <c r="M403" s="1067"/>
      <c r="N403" s="1067"/>
      <c r="O403" s="1067"/>
      <c r="P403" s="1067"/>
    </row>
    <row r="404">
      <c r="A404" s="1088" t="s">
        <v>1238</v>
      </c>
      <c r="B404" s="1070">
        <v>46288</v>
      </c>
      <c r="C404" s="1088" t="str">
        <v>Wednesday</v>
      </c>
      <c r="D404" s="1240" t="s">
        <v>1242</v>
      </c>
      <c r="E404" s="1061">
        <f t="shared" si="102"/>
      </c>
      <c r="F404" s="1343" t="s">
        <v>980</v>
      </c>
      <c r="G404" s="1107"/>
      <c r="H404" s="1065" t="s">
        <v>945</v>
      </c>
      <c r="I404" s="1093" t="s">
        <v>946</v>
      </c>
      <c r="J404" s="1066"/>
      <c r="K404" s="1067"/>
      <c r="L404" s="1067"/>
      <c r="M404" s="1067"/>
      <c r="N404" s="1067"/>
      <c r="O404" s="1067"/>
      <c r="P404" s="1067"/>
    </row>
    <row r="405">
      <c r="A405" s="1088" t="s">
        <v>1238</v>
      </c>
      <c r="B405" s="1070">
        <v>46289</v>
      </c>
      <c r="C405" s="1088" t="str">
        <v>Thursday</v>
      </c>
      <c r="D405" s="1240" t="s">
        <v>1242</v>
      </c>
      <c r="E405" s="1061">
        <f t="shared" si="102"/>
      </c>
      <c r="F405" s="1343" t="s">
        <v>1203</v>
      </c>
      <c r="G405" s="1107"/>
      <c r="H405" s="1065" t="s">
        <v>945</v>
      </c>
      <c r="I405" s="1093" t="s">
        <v>946</v>
      </c>
      <c r="J405" s="1066"/>
      <c r="K405" s="1067"/>
      <c r="L405" s="1067"/>
      <c r="M405" s="1067"/>
      <c r="N405" s="1067"/>
      <c r="O405" s="1067"/>
      <c r="P405" s="1067"/>
    </row>
    <row customHeight="true" ht="22.61904761904762" r="406">
      <c r="A406" s="1088" t="s">
        <v>1238</v>
      </c>
      <c r="B406" s="1070">
        <v>46290</v>
      </c>
      <c r="C406" s="1088" t="str">
        <v>Friday</v>
      </c>
      <c r="D406" s="1240" t="s">
        <v>1243</v>
      </c>
      <c r="E406" s="1093">
        <f t="shared" si="102"/>
      </c>
      <c r="F406" s="1343" t="s">
        <v>980</v>
      </c>
      <c r="G406" s="1097"/>
      <c r="H406" s="1065" t="s">
        <v>945</v>
      </c>
      <c r="I406" s="1093" t="s">
        <v>946</v>
      </c>
      <c r="J406" s="1066"/>
      <c r="K406" s="1185"/>
      <c r="L406" s="1185"/>
      <c r="M406" s="1185"/>
      <c r="N406" s="1185"/>
      <c r="O406" s="1185"/>
      <c r="P406" s="1185"/>
      <c r="Q406" s="1098"/>
      <c r="R406" s="1098"/>
    </row>
    <row customHeight="true" ht="22.61904761904762" r="407">
      <c r="A407" s="1088" t="s">
        <v>1238</v>
      </c>
      <c r="B407" s="1070">
        <v>46291</v>
      </c>
      <c r="C407" s="1088" t="str">
        <v>Saturday</v>
      </c>
      <c r="D407" s="1240" t="s">
        <v>1242</v>
      </c>
      <c r="E407" s="1061">
        <f t="shared" si="102"/>
      </c>
      <c r="F407" s="1343" t="s">
        <v>1203</v>
      </c>
      <c r="G407" s="1107"/>
      <c r="H407" s="1065" t="s">
        <v>945</v>
      </c>
      <c r="I407" s="1093" t="s">
        <v>946</v>
      </c>
      <c r="J407" s="1066"/>
      <c r="K407" s="1067"/>
      <c r="L407" s="1067"/>
      <c r="M407" s="1067"/>
      <c r="N407" s="1067"/>
      <c r="O407" s="1067"/>
      <c r="P407" s="1067"/>
    </row>
    <row customHeight="true" ht="18.452380952380953" r="408">
      <c r="A408" s="1088" t="s">
        <v>1238</v>
      </c>
      <c r="B408" s="1070">
        <v>46292</v>
      </c>
      <c r="C408" s="1088" t="str">
        <v>Sunday</v>
      </c>
      <c r="D408" s="1240" t="s">
        <v>1004</v>
      </c>
      <c r="E408" s="1061">
        <f t="shared" si="102"/>
      </c>
      <c r="F408" s="1343" t="s">
        <v>980</v>
      </c>
      <c r="G408" s="1107"/>
      <c r="H408" s="1065" t="s">
        <v>945</v>
      </c>
      <c r="I408" s="1093" t="s">
        <v>946</v>
      </c>
      <c r="J408" s="1066"/>
      <c r="K408" s="1067"/>
      <c r="L408" s="1067"/>
      <c r="M408" s="1067"/>
      <c r="N408" s="1067"/>
      <c r="O408" s="1067"/>
      <c r="P408" s="1067"/>
    </row>
    <row customHeight="true" ht="18.452380952380953" r="409">
      <c r="A409" s="1088" t="s">
        <v>1244</v>
      </c>
      <c r="B409" s="1070"/>
      <c r="C409" s="1088"/>
      <c r="D409" s="1061"/>
      <c r="E409" s="1061"/>
      <c r="F409" s="1343"/>
      <c r="G409" s="1107"/>
      <c r="H409" s="1065" t="s">
        <v>945</v>
      </c>
      <c r="I409" s="1093" t="s">
        <v>946</v>
      </c>
      <c r="J409" s="1066"/>
      <c r="K409" s="1067"/>
      <c r="L409" s="1067"/>
      <c r="M409" s="1067"/>
      <c r="N409" s="1067"/>
      <c r="O409" s="1067"/>
      <c r="P409" s="1067"/>
    </row>
    <row customHeight="true" ht="20.238095238095237" r="410">
      <c r="A410" s="1088" t="s">
        <v>1245</v>
      </c>
      <c r="B410" s="1070">
        <v>46287</v>
      </c>
      <c r="C410" s="1088" t="str">
        <v>Tuesday</v>
      </c>
      <c r="D410" s="1240" t="s">
        <v>1149</v>
      </c>
      <c r="E410" s="1061">
        <f t="shared" ref="E410:E416" si="103">24*MOD(TIMEVALUE(TRIM(MID(D410,FIND("-",D410)+1,LEN(D410)))) - TIMEVALUE(TRIM(LEFT(D410,FIND("-",D410)-1))),1)</f>
      </c>
      <c r="F410" s="1343" t="s">
        <v>1203</v>
      </c>
      <c r="G410" s="1107"/>
      <c r="H410" s="1065" t="s">
        <v>945</v>
      </c>
      <c r="I410" s="1093" t="s">
        <v>946</v>
      </c>
      <c r="J410" s="1066"/>
      <c r="K410" s="1067"/>
      <c r="L410" s="1067"/>
      <c r="M410" s="1067"/>
      <c r="N410" s="1067"/>
      <c r="O410" s="1067"/>
      <c r="P410" s="1067"/>
    </row>
    <row customHeight="true" ht="20.238095238095237" r="411">
      <c r="A411" s="1088" t="s">
        <v>1245</v>
      </c>
      <c r="B411" s="1070">
        <v>46287</v>
      </c>
      <c r="C411" s="1088" t="str">
        <v>Tuesday</v>
      </c>
      <c r="D411" s="1240" t="s">
        <v>1190</v>
      </c>
      <c r="E411" s="1061">
        <f t="shared" si="103"/>
      </c>
      <c r="F411" s="1343" t="s">
        <v>1077</v>
      </c>
      <c r="G411" s="1107"/>
      <c r="H411" s="1065" t="s">
        <v>945</v>
      </c>
      <c r="I411" s="1093" t="s">
        <v>946</v>
      </c>
      <c r="J411" s="1066"/>
      <c r="K411" s="1067"/>
      <c r="L411" s="1067"/>
      <c r="M411" s="1067"/>
      <c r="N411" s="1067"/>
      <c r="O411" s="1067"/>
      <c r="P411" s="1067"/>
    </row>
    <row customHeight="true" ht="20.238095238095237" r="412">
      <c r="A412" s="1088" t="s">
        <v>1245</v>
      </c>
      <c r="B412" s="1070">
        <v>46288</v>
      </c>
      <c r="C412" s="1088" t="str">
        <v>Wednesday</v>
      </c>
      <c r="D412" s="1240" t="s">
        <v>1242</v>
      </c>
      <c r="E412" s="1061">
        <f t="shared" si="103"/>
      </c>
      <c r="F412" s="1343" t="s">
        <v>1077</v>
      </c>
      <c r="G412" s="1107"/>
      <c r="H412" s="1065" t="s">
        <v>945</v>
      </c>
      <c r="I412" s="1093" t="s">
        <v>946</v>
      </c>
      <c r="J412" s="1066"/>
      <c r="K412" s="1067"/>
      <c r="L412" s="1067"/>
      <c r="M412" s="1067"/>
      <c r="N412" s="1067"/>
      <c r="O412" s="1067"/>
      <c r="P412" s="1067"/>
    </row>
    <row customHeight="true" ht="20.238095238095237" r="413">
      <c r="A413" s="1088" t="s">
        <v>1245</v>
      </c>
      <c r="B413" s="1070">
        <v>46289</v>
      </c>
      <c r="C413" s="1088" t="str">
        <v>Thursday</v>
      </c>
      <c r="D413" s="1240" t="s">
        <v>1242</v>
      </c>
      <c r="E413" s="1061">
        <f t="shared" si="103"/>
      </c>
      <c r="F413" s="1343" t="s">
        <v>1077</v>
      </c>
      <c r="G413" s="1107"/>
      <c r="H413" s="1065" t="s">
        <v>945</v>
      </c>
      <c r="I413" s="1093" t="s">
        <v>946</v>
      </c>
      <c r="J413" s="1066"/>
      <c r="K413" s="1067"/>
      <c r="L413" s="1067"/>
      <c r="M413" s="1067"/>
      <c r="N413" s="1067"/>
      <c r="O413" s="1067"/>
      <c r="P413" s="1067"/>
    </row>
    <row customHeight="true" ht="20.238095238095237" r="414">
      <c r="A414" s="1088" t="s">
        <v>1245</v>
      </c>
      <c r="B414" s="1070">
        <v>46290</v>
      </c>
      <c r="C414" s="1088" t="str">
        <v>Friday</v>
      </c>
      <c r="D414" s="1240" t="s">
        <v>1243</v>
      </c>
      <c r="E414" s="1061">
        <f t="shared" si="103"/>
      </c>
      <c r="F414" s="1343" t="s">
        <v>1203</v>
      </c>
      <c r="G414" s="1107"/>
      <c r="H414" s="1065" t="s">
        <v>945</v>
      </c>
      <c r="I414" s="1093" t="s">
        <v>946</v>
      </c>
      <c r="J414" s="1062"/>
      <c r="K414" s="1067"/>
      <c r="L414" s="1067"/>
      <c r="M414" s="1067"/>
      <c r="N414" s="1067"/>
      <c r="O414" s="1067"/>
      <c r="P414" s="1067"/>
    </row>
    <row customHeight="true" ht="20.238095238095237" r="415">
      <c r="A415" s="1088" t="s">
        <v>1245</v>
      </c>
      <c r="B415" s="1070">
        <v>46291</v>
      </c>
      <c r="C415" s="1088" t="str">
        <v>Saturday</v>
      </c>
      <c r="D415" s="1240" t="s">
        <v>1242</v>
      </c>
      <c r="E415" s="1061">
        <f t="shared" si="103"/>
      </c>
      <c r="F415" s="1343" t="s">
        <v>1077</v>
      </c>
      <c r="G415" s="1107"/>
      <c r="H415" s="1065" t="s">
        <v>945</v>
      </c>
      <c r="I415" s="1093" t="s">
        <v>946</v>
      </c>
      <c r="J415" s="1062"/>
      <c r="K415" s="1067"/>
      <c r="L415" s="1067"/>
      <c r="M415" s="1067"/>
      <c r="N415" s="1067"/>
      <c r="O415" s="1067"/>
      <c r="P415" s="1067"/>
    </row>
    <row customHeight="true" ht="20.238095238095237" r="416">
      <c r="A416" s="1088" t="s">
        <v>1245</v>
      </c>
      <c r="B416" s="1070">
        <v>46292</v>
      </c>
      <c r="C416" s="1088" t="str">
        <v>Sunday</v>
      </c>
      <c r="D416" s="1240" t="s">
        <v>1004</v>
      </c>
      <c r="E416" s="1061">
        <f t="shared" si="103"/>
      </c>
      <c r="F416" s="1343" t="s">
        <v>1077</v>
      </c>
      <c r="G416" s="1107"/>
      <c r="H416" s="1065" t="s">
        <v>945</v>
      </c>
      <c r="I416" s="1093" t="s">
        <v>946</v>
      </c>
      <c r="J416" s="1066"/>
      <c r="K416" s="1067"/>
      <c r="L416" s="1067"/>
      <c r="M416" s="1067"/>
      <c r="N416" s="1067"/>
      <c r="O416" s="1067"/>
      <c r="P416" s="1067"/>
    </row>
    <row customHeight="true" ht="18.452380952380953" r="417">
      <c r="A417" s="1088"/>
      <c r="B417" s="1070"/>
      <c r="C417" s="1088"/>
      <c r="D417" s="1240"/>
      <c r="E417" s="1061"/>
      <c r="F417" s="1343"/>
      <c r="G417" s="1107"/>
      <c r="H417" s="1093"/>
      <c r="I417" s="1093"/>
      <c r="J417" s="1066"/>
      <c r="K417" s="1067"/>
      <c r="L417" s="1067"/>
      <c r="M417" s="1067"/>
      <c r="N417" s="1067"/>
      <c r="O417" s="1067"/>
      <c r="P417" s="1067"/>
    </row>
    <row customHeight="true" ht="18.452380952380953" r="418">
      <c r="A418" s="1088"/>
      <c r="B418" s="1070"/>
      <c r="C418" s="1088"/>
      <c r="D418" s="1240"/>
      <c r="E418" s="1061"/>
      <c r="F418" s="1343"/>
      <c r="G418" s="1107"/>
      <c r="H418" s="1093"/>
      <c r="I418" s="1093"/>
      <c r="J418" s="1066"/>
      <c r="K418" s="1067"/>
      <c r="L418" s="1067"/>
      <c r="M418" s="1067"/>
      <c r="N418" s="1067"/>
      <c r="O418" s="1067"/>
      <c r="P418" s="1067"/>
    </row>
    <row customHeight="true" ht="18.452380952380953" r="419">
      <c r="A419" s="1088"/>
      <c r="B419" s="1070"/>
      <c r="C419" s="1088"/>
      <c r="D419" s="1240"/>
      <c r="E419" s="1061"/>
      <c r="F419" s="1343"/>
      <c r="G419" s="1107"/>
      <c r="H419" s="1093"/>
      <c r="I419" s="1093"/>
      <c r="J419" s="1066"/>
      <c r="K419" s="1067"/>
      <c r="L419" s="1067"/>
      <c r="M419" s="1067"/>
      <c r="N419" s="1067"/>
      <c r="O419" s="1067"/>
      <c r="P419" s="1067"/>
    </row>
    <row customHeight="true" ht="18.452380952380953" r="420">
      <c r="A420" s="1088"/>
      <c r="B420" s="1070"/>
      <c r="C420" s="1088"/>
      <c r="D420" s="1240"/>
      <c r="E420" s="1061"/>
      <c r="F420" s="1343"/>
      <c r="G420" s="1107"/>
      <c r="H420" s="1093"/>
      <c r="I420" s="1093"/>
      <c r="J420" s="1066"/>
      <c r="K420" s="1067"/>
      <c r="L420" s="1067"/>
      <c r="M420" s="1067"/>
      <c r="N420" s="1067"/>
      <c r="O420" s="1067"/>
      <c r="P420" s="1067"/>
    </row>
    <row customHeight="true" ht="18.452380952380953" r="421">
      <c r="A421" s="1088"/>
      <c r="B421" s="1070"/>
      <c r="C421" s="1088"/>
      <c r="D421" s="1240"/>
      <c r="E421" s="1061"/>
      <c r="F421" s="1343"/>
      <c r="G421" s="1107"/>
      <c r="H421" s="1093"/>
      <c r="I421" s="1093"/>
      <c r="J421" s="1066"/>
      <c r="K421" s="1067"/>
      <c r="L421" s="1067"/>
      <c r="M421" s="1067"/>
      <c r="N421" s="1067"/>
      <c r="O421" s="1067"/>
      <c r="P421" s="1067"/>
    </row>
    <row customHeight="true" ht="20.238095238095237" r="422">
      <c r="A422" s="1088"/>
      <c r="B422" s="1070"/>
      <c r="C422" s="1088"/>
      <c r="D422" s="1240"/>
      <c r="E422" s="1061"/>
      <c r="F422" s="1065"/>
      <c r="G422" s="1107"/>
      <c r="H422" s="1093"/>
      <c r="I422" s="1093"/>
      <c r="J422" s="1066"/>
      <c r="K422" s="1067"/>
      <c r="L422" s="1067"/>
      <c r="M422" s="1067"/>
      <c r="N422" s="1067"/>
      <c r="O422" s="1067"/>
      <c r="P422" s="1067"/>
    </row>
    <row customHeight="true" ht="20.238095238095237" r="423">
      <c r="A423" s="1088"/>
      <c r="B423" s="1070"/>
      <c r="C423" s="1088"/>
      <c r="D423" s="1061"/>
      <c r="E423" s="1093"/>
      <c r="F423" s="1065"/>
      <c r="G423" s="1097"/>
      <c r="H423" s="1093"/>
      <c r="I423" s="1093"/>
      <c r="J423" s="1066"/>
      <c r="K423" s="1185"/>
      <c r="L423" s="1185"/>
      <c r="M423" s="1185"/>
      <c r="N423" s="1185"/>
      <c r="O423" s="1185"/>
      <c r="P423" s="1185"/>
      <c r="Q423" s="1098"/>
      <c r="R423" s="1098"/>
    </row>
    <row r="424">
      <c r="A424" s="1098"/>
      <c r="B424" s="1098"/>
      <c r="C424" s="1098"/>
      <c r="D424" s="1221"/>
      <c r="E424" s="1098"/>
      <c r="F424" s="1098"/>
      <c r="G424" s="1098"/>
      <c r="H424" s="1221"/>
      <c r="I424" s="1098"/>
      <c r="J424" s="1098"/>
      <c r="K424" s="1203"/>
      <c r="L424" s="1203"/>
      <c r="M424" s="1203"/>
      <c r="N424" s="1203"/>
      <c r="O424" s="1203"/>
      <c r="P424" s="1203"/>
    </row>
    <row customHeight="true" ht="16.071428571428573" r="425">
      <c r="A425" s="1098"/>
      <c r="B425" s="1098"/>
      <c r="C425" s="1098"/>
      <c r="D425" s="1221"/>
      <c r="E425" s="1098"/>
      <c r="F425" s="1098"/>
      <c r="G425" s="1098"/>
      <c r="H425" s="1221"/>
      <c r="I425" s="1098"/>
      <c r="J425" s="1098"/>
      <c r="K425" s="1203"/>
      <c r="L425" s="1203"/>
      <c r="M425" s="1203"/>
      <c r="N425" s="1203"/>
      <c r="O425" s="1203"/>
      <c r="P425" s="1203"/>
    </row>
    <row customHeight="true" ht="16.071428571428573" r="426">
      <c r="A426" s="1371" t="s">
        <v>1246</v>
      </c>
      <c r="B426" s="1372"/>
      <c r="C426" s="1372"/>
      <c r="D426" s="1373"/>
      <c r="E426" s="1372"/>
      <c r="F426" s="1372"/>
      <c r="G426" s="1372"/>
      <c r="H426" s="1373"/>
      <c r="I426" s="1372"/>
      <c r="J426" s="1372"/>
      <c r="K426" s="1203"/>
      <c r="L426" s="1203"/>
      <c r="M426" s="1203"/>
      <c r="N426" s="1203"/>
      <c r="O426" s="1203"/>
      <c r="P426" s="1203"/>
    </row>
    <row customHeight="true" ht="27.36318407963024" r="427">
      <c r="A427" s="1374" t="s">
        <v>958</v>
      </c>
      <c r="B427" s="1375" t="s">
        <v>959</v>
      </c>
      <c r="C427" s="1375"/>
      <c r="D427" s="1376" t="s">
        <v>960</v>
      </c>
      <c r="E427" s="1377" t="s">
        <v>961</v>
      </c>
      <c r="F427" s="1377" t="s">
        <v>962</v>
      </c>
      <c r="G427" s="1378" t="s">
        <v>974</v>
      </c>
      <c r="H427" s="1377" t="s">
        <v>964</v>
      </c>
      <c r="I427" s="1377" t="s">
        <v>965</v>
      </c>
      <c r="J427" s="1379" t="s">
        <v>966</v>
      </c>
      <c r="K427" s="1087"/>
      <c r="L427" s="1087"/>
      <c r="M427" s="1087"/>
      <c r="N427" s="1087"/>
      <c r="O427" s="1087"/>
      <c r="P427" s="1087"/>
    </row>
    <row customHeight="true" ht="16.071428571428573" r="428">
      <c r="A428" s="1088" t="s">
        <v>1246</v>
      </c>
      <c r="B428" s="1070">
        <v>46272</v>
      </c>
      <c r="C428" s="1088" t="str">
        <v>Monday</v>
      </c>
      <c r="D428" s="1061" t="s">
        <v>1087</v>
      </c>
      <c r="E428" s="1061"/>
      <c r="F428" s="1065"/>
      <c r="G428" s="1380" t="s">
        <v>1247</v>
      </c>
      <c r="H428" s="1093" t="s">
        <v>972</v>
      </c>
      <c r="I428" s="1093" t="s">
        <v>970</v>
      </c>
      <c r="J428" s="1381"/>
      <c r="K428" s="1087"/>
      <c r="L428" s="1087"/>
      <c r="M428" s="1087"/>
      <c r="N428" s="1087"/>
      <c r="O428" s="1087"/>
      <c r="P428" s="1087"/>
    </row>
    <row customHeight="true" ht="16.071428571428573" r="429">
      <c r="A429" s="1088" t="s">
        <v>1246</v>
      </c>
      <c r="B429" s="1070">
        <v>46273</v>
      </c>
      <c r="C429" s="1088" t="str">
        <v>Tuesday</v>
      </c>
      <c r="D429" s="1061" t="s">
        <v>1087</v>
      </c>
      <c r="E429" s="1061"/>
      <c r="F429" s="1065"/>
      <c r="G429" s="1380" t="s">
        <v>1247</v>
      </c>
      <c r="H429" s="1093" t="s">
        <v>972</v>
      </c>
      <c r="I429" s="1093" t="s">
        <v>970</v>
      </c>
      <c r="J429" s="1381"/>
      <c r="K429" s="1087"/>
      <c r="L429" s="1087"/>
      <c r="M429" s="1087"/>
      <c r="N429" s="1087"/>
      <c r="O429" s="1087"/>
      <c r="P429" s="1087"/>
    </row>
    <row customHeight="true" ht="16.071428571428573" r="430">
      <c r="A430" s="1088" t="s">
        <v>1246</v>
      </c>
      <c r="B430" s="1070">
        <v>46274</v>
      </c>
      <c r="C430" s="1088" t="str">
        <v>Wednesday</v>
      </c>
      <c r="D430" s="1061" t="s">
        <v>1087</v>
      </c>
      <c r="E430" s="1061"/>
      <c r="F430" s="1065"/>
      <c r="G430" s="1380" t="s">
        <v>1248</v>
      </c>
      <c r="H430" s="1093" t="s">
        <v>972</v>
      </c>
      <c r="I430" s="1093" t="s">
        <v>970</v>
      </c>
      <c r="J430" s="1381"/>
      <c r="K430" s="1087"/>
      <c r="L430" s="1087"/>
      <c r="M430" s="1087"/>
      <c r="N430" s="1087"/>
      <c r="O430" s="1087"/>
      <c r="P430" s="1087"/>
      <c r="Q430" s="1073"/>
      <c r="R430" s="1073"/>
    </row>
    <row customHeight="true" ht="16.071428571428573" r="431">
      <c r="A431" s="1088" t="s">
        <v>1246</v>
      </c>
      <c r="B431" s="1070">
        <v>46275</v>
      </c>
      <c r="C431" s="1088" t="str">
        <v>Thursday</v>
      </c>
      <c r="D431" s="1061" t="s">
        <v>1087</v>
      </c>
      <c r="E431" s="1061"/>
      <c r="F431" s="1065"/>
      <c r="G431" s="1380" t="s">
        <v>1247</v>
      </c>
      <c r="H431" s="1093" t="s">
        <v>972</v>
      </c>
      <c r="I431" s="1093" t="s">
        <v>970</v>
      </c>
      <c r="J431" s="1381"/>
      <c r="K431" s="1087"/>
      <c r="L431" s="1087"/>
      <c r="M431" s="1087"/>
      <c r="N431" s="1087"/>
      <c r="O431" s="1087"/>
      <c r="P431" s="1087"/>
    </row>
    <row customHeight="true" ht="16.071428571428573" r="432">
      <c r="A432" s="1088" t="s">
        <v>1246</v>
      </c>
      <c r="B432" s="1070">
        <v>46276</v>
      </c>
      <c r="C432" s="1088" t="str">
        <v>Friday</v>
      </c>
      <c r="D432" s="1061" t="s">
        <v>1087</v>
      </c>
      <c r="E432" s="1061"/>
      <c r="F432" s="1065"/>
      <c r="G432" s="1380" t="s">
        <v>1247</v>
      </c>
      <c r="H432" s="1093" t="s">
        <v>972</v>
      </c>
      <c r="I432" s="1093" t="s">
        <v>970</v>
      </c>
      <c r="J432" s="1381"/>
      <c r="K432" s="1087"/>
      <c r="L432" s="1087"/>
      <c r="M432" s="1087"/>
      <c r="N432" s="1087"/>
      <c r="O432" s="1087"/>
      <c r="P432" s="1087"/>
    </row>
    <row customHeight="true" ht="16.071428571428573" r="433">
      <c r="A433" s="1088" t="s">
        <v>1246</v>
      </c>
      <c r="B433" s="1070">
        <v>46277</v>
      </c>
      <c r="C433" s="1088" t="str">
        <v>Saturday</v>
      </c>
      <c r="D433" s="1061" t="s">
        <v>1087</v>
      </c>
      <c r="E433" s="1061"/>
      <c r="F433" s="1065"/>
      <c r="G433" s="1380" t="s">
        <v>1249</v>
      </c>
      <c r="H433" s="1093" t="s">
        <v>972</v>
      </c>
      <c r="I433" s="1093" t="s">
        <v>946</v>
      </c>
      <c r="J433" s="1381"/>
      <c r="K433" s="1087"/>
      <c r="L433" s="1087"/>
      <c r="M433" s="1087"/>
      <c r="N433" s="1087"/>
      <c r="O433" s="1087"/>
      <c r="P433" s="1087"/>
    </row>
    <row customHeight="true" ht="16.071428571428573" r="434">
      <c r="A434" s="1088" t="s">
        <v>1246</v>
      </c>
      <c r="B434" s="1070">
        <v>46278</v>
      </c>
      <c r="C434" s="1088" t="str">
        <v>Sunday</v>
      </c>
      <c r="D434" s="1061" t="s">
        <v>1087</v>
      </c>
      <c r="E434" s="1061"/>
      <c r="F434" s="1065"/>
      <c r="G434" s="1380" t="s">
        <v>1248</v>
      </c>
      <c r="H434" s="1093" t="s">
        <v>972</v>
      </c>
      <c r="I434" s="1093" t="s">
        <v>970</v>
      </c>
      <c r="J434" s="1381"/>
      <c r="K434" s="1087"/>
      <c r="L434" s="1087"/>
      <c r="M434" s="1087"/>
      <c r="N434" s="1087"/>
      <c r="O434" s="1087"/>
      <c r="P434" s="1087"/>
    </row>
    <row customHeight="true" ht="16.071428571428573" r="435">
      <c r="A435" s="1088" t="s">
        <v>1250</v>
      </c>
      <c r="B435" s="1070">
        <v>46272</v>
      </c>
      <c r="C435" s="1088" t="str">
        <v>Monday</v>
      </c>
      <c r="D435" s="1061" t="s">
        <v>1087</v>
      </c>
      <c r="E435" s="1061">
        <f t="shared" ref="E435:E441" si="104">24*MOD(TIMEVALUE(TRIM(MID(D435,FIND("-",D435)+1,LEN(D435)))) - TIMEVALUE(TRIM(LEFT(D435,FIND("-",D435)-1))),1)</f>
      </c>
      <c r="F435" s="1096"/>
      <c r="G435" s="1382"/>
      <c r="H435" s="1093" t="s">
        <v>972</v>
      </c>
      <c r="I435" s="1093" t="s">
        <v>946</v>
      </c>
      <c r="J435" s="1383"/>
      <c r="K435" s="1087"/>
      <c r="L435" s="1087"/>
      <c r="M435" s="1087"/>
      <c r="N435" s="1087"/>
      <c r="O435" s="1087"/>
      <c r="P435" s="1087"/>
    </row>
    <row customHeight="true" ht="16.071428571428573" r="436">
      <c r="A436" s="1088" t="s">
        <v>1250</v>
      </c>
      <c r="B436" s="1070">
        <v>46273</v>
      </c>
      <c r="C436" s="1088" t="str">
        <v>Tuesday</v>
      </c>
      <c r="D436" s="1061" t="s">
        <v>1087</v>
      </c>
      <c r="E436" s="1061">
        <f t="shared" si="104"/>
      </c>
      <c r="F436" s="1096"/>
      <c r="G436" s="1382"/>
      <c r="H436" s="1093" t="s">
        <v>972</v>
      </c>
      <c r="I436" s="1093" t="s">
        <v>970</v>
      </c>
      <c r="J436" s="1381"/>
      <c r="K436" s="1087"/>
      <c r="L436" s="1087"/>
      <c r="M436" s="1087"/>
      <c r="N436" s="1087"/>
      <c r="O436" s="1087"/>
      <c r="P436" s="1087"/>
    </row>
    <row customHeight="true" ht="16.071428571428573" r="437">
      <c r="A437" s="1088" t="s">
        <v>1250</v>
      </c>
      <c r="B437" s="1070">
        <v>46274</v>
      </c>
      <c r="C437" s="1088" t="str">
        <v>Wednesday</v>
      </c>
      <c r="D437" s="1061" t="s">
        <v>1087</v>
      </c>
      <c r="E437" s="1061">
        <f t="shared" si="104"/>
      </c>
      <c r="F437" s="1384"/>
      <c r="G437" s="1382"/>
      <c r="H437" s="1093" t="s">
        <v>972</v>
      </c>
      <c r="I437" s="1093" t="s">
        <v>946</v>
      </c>
      <c r="J437" s="1062"/>
      <c r="K437" s="1087"/>
      <c r="L437" s="1087"/>
      <c r="M437" s="1087"/>
      <c r="N437" s="1087"/>
      <c r="O437" s="1087"/>
      <c r="P437" s="1087"/>
    </row>
    <row customHeight="true" ht="16.071428571428573" r="438">
      <c r="A438" s="1088" t="s">
        <v>1250</v>
      </c>
      <c r="B438" s="1070">
        <v>46275</v>
      </c>
      <c r="C438" s="1088" t="str">
        <v>Thursday</v>
      </c>
      <c r="D438" s="1061" t="s">
        <v>1087</v>
      </c>
      <c r="E438" s="1061">
        <f t="shared" si="104"/>
      </c>
      <c r="F438" s="1096"/>
      <c r="G438" s="1382"/>
      <c r="H438" s="1093" t="s">
        <v>972</v>
      </c>
      <c r="I438" s="1093" t="s">
        <v>970</v>
      </c>
      <c r="J438" s="1385"/>
      <c r="K438" s="1087"/>
      <c r="L438" s="1087"/>
      <c r="M438" s="1087"/>
      <c r="N438" s="1087"/>
      <c r="O438" s="1087"/>
      <c r="P438" s="1087"/>
    </row>
    <row customHeight="true" ht="16.071428571428573" r="439">
      <c r="A439" s="1088" t="s">
        <v>1250</v>
      </c>
      <c r="B439" s="1070">
        <v>46276</v>
      </c>
      <c r="C439" s="1088" t="str">
        <v>Friday</v>
      </c>
      <c r="D439" s="1061" t="s">
        <v>1087</v>
      </c>
      <c r="E439" s="1061">
        <f t="shared" si="104"/>
      </c>
      <c r="F439" s="1096"/>
      <c r="G439" s="1382"/>
      <c r="H439" s="1093" t="s">
        <v>972</v>
      </c>
      <c r="I439" s="1093" t="s">
        <v>970</v>
      </c>
      <c r="J439" s="1381"/>
      <c r="K439" s="1087"/>
      <c r="L439" s="1087"/>
      <c r="M439" s="1087"/>
      <c r="N439" s="1087"/>
      <c r="O439" s="1087"/>
      <c r="P439" s="1087"/>
    </row>
    <row customHeight="true" ht="16.071428571428573" r="440">
      <c r="A440" s="1088" t="s">
        <v>1250</v>
      </c>
      <c r="B440" s="1070">
        <v>46277</v>
      </c>
      <c r="C440" s="1088" t="str">
        <v>Saturday</v>
      </c>
      <c r="D440" s="1061" t="s">
        <v>1087</v>
      </c>
      <c r="E440" s="1061">
        <f t="shared" si="104"/>
      </c>
      <c r="F440" s="1096"/>
      <c r="G440" s="1382"/>
      <c r="H440" s="1093" t="s">
        <v>972</v>
      </c>
      <c r="I440" s="1093" t="s">
        <v>970</v>
      </c>
      <c r="J440" s="1381"/>
      <c r="K440" s="1087"/>
      <c r="L440" s="1087"/>
      <c r="M440" s="1087"/>
      <c r="N440" s="1087"/>
      <c r="O440" s="1087"/>
      <c r="P440" s="1087"/>
    </row>
    <row customHeight="true" ht="16.071428571428573" r="441">
      <c r="A441" s="1088" t="s">
        <v>1250</v>
      </c>
      <c r="B441" s="1070">
        <v>46278</v>
      </c>
      <c r="C441" s="1088" t="str">
        <v>Sunday</v>
      </c>
      <c r="D441" s="1061" t="s">
        <v>1087</v>
      </c>
      <c r="E441" s="1061">
        <f t="shared" si="104"/>
      </c>
      <c r="F441" s="1384"/>
      <c r="G441" s="1382"/>
      <c r="H441" s="1093" t="s">
        <v>972</v>
      </c>
      <c r="I441" s="1093" t="s">
        <v>970</v>
      </c>
      <c r="J441" s="1385"/>
      <c r="K441" s="1087"/>
      <c r="L441" s="1087"/>
      <c r="M441" s="1087"/>
      <c r="N441" s="1087"/>
      <c r="O441" s="1087"/>
      <c r="P441" s="1087"/>
    </row>
    <row customHeight="true" ht="16.071428571428573" r="442">
      <c r="A442" s="1088"/>
      <c r="B442" s="1070"/>
      <c r="C442" s="1088"/>
      <c r="D442" s="1061"/>
      <c r="E442" s="1061"/>
      <c r="F442" s="1096"/>
      <c r="G442" s="1382"/>
      <c r="H442" s="1093"/>
      <c r="I442" s="1093"/>
      <c r="J442" s="1062"/>
      <c r="K442" s="1087"/>
      <c r="L442" s="1087"/>
      <c r="M442" s="1087"/>
      <c r="N442" s="1087"/>
      <c r="O442" s="1087"/>
      <c r="P442" s="1087"/>
    </row>
    <row customHeight="true" ht="25.221150023731926" r="443">
      <c r="A443" s="1301" t="s">
        <v>1251</v>
      </c>
      <c r="B443" s="1386"/>
      <c r="C443" s="1386"/>
      <c r="D443" s="1386"/>
      <c r="E443" s="1386"/>
      <c r="F443" s="1386"/>
      <c r="G443" s="1386"/>
      <c r="H443" s="1387"/>
      <c r="I443" s="1386"/>
      <c r="J443" s="1386"/>
      <c r="K443" s="1386"/>
      <c r="L443" s="1386"/>
      <c r="M443" s="1386"/>
      <c r="N443" s="1386"/>
      <c r="O443" s="1386"/>
      <c r="P443" s="1386"/>
      <c r="Q443" s="1303"/>
      <c r="R443" s="1303"/>
    </row>
    <row customHeight="true" ht="31.17353097611288" r="444">
      <c r="A444" s="1304" t="s">
        <v>958</v>
      </c>
      <c r="B444" s="1305" t="s">
        <v>959</v>
      </c>
      <c r="C444" s="1305"/>
      <c r="D444" s="1306" t="s">
        <v>960</v>
      </c>
      <c r="E444" s="1307" t="s">
        <v>961</v>
      </c>
      <c r="F444" s="1307" t="s">
        <v>962</v>
      </c>
      <c r="G444" s="1308" t="s">
        <v>974</v>
      </c>
      <c r="H444" s="1307" t="s">
        <v>964</v>
      </c>
      <c r="I444" s="1307" t="s">
        <v>965</v>
      </c>
      <c r="J444" s="1309" t="s">
        <v>966</v>
      </c>
      <c r="K444" s="1310"/>
      <c r="L444" s="1310"/>
      <c r="M444" s="1310"/>
      <c r="N444" s="1310"/>
      <c r="O444" s="1310"/>
      <c r="P444" s="1310"/>
      <c r="Q444" s="1303"/>
      <c r="R444" s="1303"/>
    </row>
    <row customHeight="true" ht="16.071428571428573" r="445">
      <c r="A445" s="1088" t="s">
        <v>1251</v>
      </c>
      <c r="B445" s="1070">
        <v>46287</v>
      </c>
      <c r="C445" s="1088" t="str">
        <v>Tuesday</v>
      </c>
      <c r="D445" s="1061" t="s">
        <v>1252</v>
      </c>
      <c r="E445" s="1061">
        <f t="shared" ref="E445:E460" si="105">24*MOD(TIMEVALUE(TRIM(MID(D445,FIND("-",D445)+1,LEN(D445)))) - TIMEVALUE(TRIM(LEFT(D445,FIND("-",D445)-1))),1)</f>
      </c>
      <c r="F445" s="1065" t="s">
        <v>1253</v>
      </c>
      <c r="G445" s="1380"/>
      <c r="H445" s="1093" t="s">
        <v>972</v>
      </c>
      <c r="I445" s="1093" t="s">
        <v>970</v>
      </c>
      <c r="J445" s="1381"/>
      <c r="K445" s="1087"/>
      <c r="L445" s="1087"/>
      <c r="M445" s="1087"/>
      <c r="N445" s="1087"/>
      <c r="O445" s="1087"/>
      <c r="P445" s="1087"/>
    </row>
    <row customHeight="true" ht="16.071428571428573" r="446">
      <c r="A446" s="1088" t="s">
        <v>1251</v>
      </c>
      <c r="B446" s="1070">
        <v>46288</v>
      </c>
      <c r="C446" s="1088" t="str">
        <v>Wednesday</v>
      </c>
      <c r="D446" s="1061" t="s">
        <v>1252</v>
      </c>
      <c r="E446" s="1061">
        <f t="shared" si="105"/>
      </c>
      <c r="F446" s="1065" t="s">
        <v>1253</v>
      </c>
      <c r="G446" s="1380"/>
      <c r="H446" s="1093" t="s">
        <v>972</v>
      </c>
      <c r="I446" s="1093" t="s">
        <v>970</v>
      </c>
      <c r="J446" s="1381"/>
      <c r="K446" s="1087"/>
      <c r="L446" s="1087"/>
      <c r="M446" s="1087"/>
      <c r="N446" s="1087"/>
      <c r="O446" s="1087"/>
      <c r="P446" s="1087"/>
    </row>
    <row customHeight="true" ht="16.071428571428573" r="447">
      <c r="A447" s="1088" t="s">
        <v>1251</v>
      </c>
      <c r="B447" s="1070">
        <v>46289</v>
      </c>
      <c r="C447" s="1088" t="str">
        <v>Thursday</v>
      </c>
      <c r="D447" s="1061" t="s">
        <v>1254</v>
      </c>
      <c r="E447" s="1061">
        <f t="shared" si="105"/>
      </c>
      <c r="F447" s="1065" t="s">
        <v>989</v>
      </c>
      <c r="G447" s="1380"/>
      <c r="H447" s="1093" t="s">
        <v>972</v>
      </c>
      <c r="I447" s="1093" t="s">
        <v>970</v>
      </c>
      <c r="J447" s="1381"/>
      <c r="K447" s="1087"/>
      <c r="L447" s="1087"/>
      <c r="M447" s="1087"/>
      <c r="N447" s="1087"/>
      <c r="O447" s="1087"/>
      <c r="P447" s="1087"/>
    </row>
    <row customHeight="true" ht="16.071428571428573" r="448">
      <c r="A448" s="1088" t="s">
        <v>1251</v>
      </c>
      <c r="B448" s="1070">
        <v>46290</v>
      </c>
      <c r="C448" s="1088" t="str">
        <v>Friday</v>
      </c>
      <c r="D448" s="1061" t="s">
        <v>1252</v>
      </c>
      <c r="E448" s="1061">
        <f t="shared" si="105"/>
      </c>
      <c r="F448" s="1065" t="s">
        <v>1255</v>
      </c>
      <c r="G448" s="1380"/>
      <c r="H448" s="1093" t="s">
        <v>972</v>
      </c>
      <c r="I448" s="1093" t="s">
        <v>970</v>
      </c>
      <c r="J448" s="1381"/>
      <c r="K448" s="1087"/>
      <c r="L448" s="1087"/>
      <c r="M448" s="1087"/>
      <c r="N448" s="1087"/>
      <c r="O448" s="1087"/>
      <c r="P448" s="1087"/>
    </row>
    <row customHeight="true" ht="16.071428571428573" r="449">
      <c r="A449" s="1088" t="s">
        <v>1251</v>
      </c>
      <c r="B449" s="1070">
        <v>46291</v>
      </c>
      <c r="C449" s="1088" t="str">
        <v>Saturday</v>
      </c>
      <c r="D449" s="1061" t="s">
        <v>1014</v>
      </c>
      <c r="E449" s="1061">
        <f t="shared" si="105"/>
      </c>
      <c r="F449" s="1065" t="s">
        <v>989</v>
      </c>
      <c r="G449" s="1380"/>
      <c r="H449" s="1093" t="s">
        <v>972</v>
      </c>
      <c r="I449" s="1093" t="s">
        <v>970</v>
      </c>
      <c r="J449" s="1381"/>
      <c r="K449" s="1087"/>
      <c r="L449" s="1087"/>
      <c r="M449" s="1087"/>
      <c r="N449" s="1087"/>
      <c r="O449" s="1087"/>
      <c r="P449" s="1087"/>
    </row>
    <row customHeight="true" ht="16.071428571428573" r="450">
      <c r="A450" s="1088" t="s">
        <v>1251</v>
      </c>
      <c r="B450" s="1070">
        <v>46292</v>
      </c>
      <c r="C450" s="1088" t="str">
        <v>Sunday</v>
      </c>
      <c r="D450" s="1061" t="s">
        <v>1256</v>
      </c>
      <c r="E450" s="1061">
        <f t="shared" si="105"/>
      </c>
      <c r="F450" s="1065" t="s">
        <v>1255</v>
      </c>
      <c r="G450" s="1380"/>
      <c r="H450" s="1093" t="s">
        <v>972</v>
      </c>
      <c r="I450" s="1093" t="s">
        <v>970</v>
      </c>
      <c r="J450" s="1381"/>
      <c r="K450" s="1087"/>
      <c r="L450" s="1087"/>
      <c r="M450" s="1087"/>
      <c r="N450" s="1087"/>
      <c r="O450" s="1087"/>
      <c r="P450" s="1087"/>
    </row>
    <row customHeight="true" ht="16.071428571428573" r="451">
      <c r="A451" s="1088" t="s">
        <v>1257</v>
      </c>
      <c r="B451" s="1070">
        <v>46287</v>
      </c>
      <c r="C451" s="1088" t="str">
        <v>Tuesday</v>
      </c>
      <c r="D451" s="1061" t="s">
        <v>1258</v>
      </c>
      <c r="E451" s="1061">
        <f t="shared" si="105"/>
      </c>
      <c r="F451" s="1065" t="s">
        <v>1255</v>
      </c>
      <c r="G451" s="1380"/>
      <c r="H451" s="1093" t="s">
        <v>972</v>
      </c>
      <c r="I451" s="1093" t="s">
        <v>970</v>
      </c>
      <c r="J451" s="1381"/>
      <c r="K451" s="1087"/>
      <c r="L451" s="1087"/>
      <c r="M451" s="1087"/>
      <c r="N451" s="1087"/>
      <c r="O451" s="1087"/>
      <c r="P451" s="1087"/>
    </row>
    <row customHeight="true" ht="16.071428571428573" r="452">
      <c r="A452" s="1088" t="s">
        <v>1257</v>
      </c>
      <c r="B452" s="1070">
        <v>46289</v>
      </c>
      <c r="C452" s="1088" t="str">
        <v>Thursday</v>
      </c>
      <c r="D452" s="1061" t="s">
        <v>1254</v>
      </c>
      <c r="E452" s="1061">
        <f t="shared" si="105"/>
      </c>
      <c r="F452" s="1065" t="s">
        <v>1074</v>
      </c>
      <c r="G452" s="1380"/>
      <c r="H452" s="1093" t="s">
        <v>972</v>
      </c>
      <c r="I452" s="1093" t="s">
        <v>970</v>
      </c>
      <c r="J452" s="1381"/>
      <c r="K452" s="1087"/>
      <c r="L452" s="1087"/>
      <c r="M452" s="1087"/>
      <c r="N452" s="1087"/>
      <c r="O452" s="1087"/>
      <c r="P452" s="1087"/>
    </row>
    <row customHeight="true" ht="16.071428571428573" r="453">
      <c r="A453" s="1088" t="s">
        <v>1257</v>
      </c>
      <c r="B453" s="1070">
        <v>46289</v>
      </c>
      <c r="C453" s="1088" t="str">
        <v>Thursday</v>
      </c>
      <c r="D453" s="1061" t="s">
        <v>991</v>
      </c>
      <c r="E453" s="1061">
        <f t="shared" si="105"/>
      </c>
      <c r="F453" s="1065" t="s">
        <v>1199</v>
      </c>
      <c r="G453" s="1380"/>
      <c r="H453" s="1093" t="s">
        <v>972</v>
      </c>
      <c r="I453" s="1093" t="s">
        <v>970</v>
      </c>
      <c r="J453" s="1381"/>
      <c r="K453" s="1087"/>
      <c r="L453" s="1087"/>
      <c r="M453" s="1087"/>
      <c r="N453" s="1087"/>
      <c r="O453" s="1087"/>
      <c r="P453" s="1087"/>
    </row>
    <row customHeight="true" ht="16.071428571428573" r="454">
      <c r="A454" s="1088" t="s">
        <v>1259</v>
      </c>
      <c r="B454" s="1070">
        <v>46290</v>
      </c>
      <c r="C454" s="1088" t="str">
        <v>Friday</v>
      </c>
      <c r="D454" s="1061" t="s">
        <v>1260</v>
      </c>
      <c r="E454" s="1061">
        <f t="shared" si="105"/>
      </c>
      <c r="F454" s="1065" t="s">
        <v>989</v>
      </c>
      <c r="G454" s="1380"/>
      <c r="H454" s="1093" t="s">
        <v>972</v>
      </c>
      <c r="I454" s="1093" t="s">
        <v>970</v>
      </c>
      <c r="J454" s="1381"/>
      <c r="K454" s="1087"/>
      <c r="L454" s="1087"/>
      <c r="M454" s="1087"/>
      <c r="N454" s="1087"/>
      <c r="O454" s="1087"/>
      <c r="P454" s="1087"/>
    </row>
    <row customHeight="true" ht="16.071428571428573" r="455">
      <c r="A455" s="1088" t="s">
        <v>1261</v>
      </c>
      <c r="B455" s="1070">
        <v>46287</v>
      </c>
      <c r="C455" s="1088" t="str">
        <v>Tuesday</v>
      </c>
      <c r="D455" s="1061" t="s">
        <v>1262</v>
      </c>
      <c r="E455" s="1061">
        <f t="shared" si="105"/>
      </c>
      <c r="F455" s="1065" t="s">
        <v>1263</v>
      </c>
      <c r="G455" s="1380" t="s">
        <v>1264</v>
      </c>
      <c r="H455" s="1093" t="s">
        <v>972</v>
      </c>
      <c r="I455" s="1093" t="s">
        <v>970</v>
      </c>
      <c r="J455" s="1381"/>
      <c r="K455" s="1087"/>
      <c r="L455" s="1087"/>
      <c r="M455" s="1087"/>
      <c r="N455" s="1087"/>
      <c r="O455" s="1087"/>
      <c r="P455" s="1087"/>
    </row>
    <row customHeight="true" ht="18.63354037272118" r="456">
      <c r="A456" s="1088" t="s">
        <v>1261</v>
      </c>
      <c r="B456" s="1070">
        <v>46288</v>
      </c>
      <c r="C456" s="1088" t="str">
        <v>Wednesday</v>
      </c>
      <c r="D456" s="1061" t="s">
        <v>1265</v>
      </c>
      <c r="E456" s="1061">
        <f t="shared" si="105"/>
      </c>
      <c r="F456" s="1065" t="s">
        <v>1263</v>
      </c>
      <c r="G456" s="1380" t="s">
        <v>1264</v>
      </c>
      <c r="H456" s="1093" t="s">
        <v>972</v>
      </c>
      <c r="I456" s="1093" t="s">
        <v>970</v>
      </c>
      <c r="J456" s="1381"/>
      <c r="K456" s="1087"/>
      <c r="L456" s="1087"/>
      <c r="M456" s="1087"/>
      <c r="N456" s="1087"/>
      <c r="O456" s="1087"/>
      <c r="P456" s="1087"/>
    </row>
    <row customHeight="true" ht="16.071428571428573" r="457">
      <c r="A457" s="1088" t="s">
        <v>1261</v>
      </c>
      <c r="B457" s="1070">
        <v>46289</v>
      </c>
      <c r="C457" s="1088" t="str">
        <v>Thursday</v>
      </c>
      <c r="D457" s="1061" t="s">
        <v>1266</v>
      </c>
      <c r="E457" s="1061">
        <f t="shared" si="105"/>
      </c>
      <c r="F457" s="1065" t="s">
        <v>1263</v>
      </c>
      <c r="G457" s="1380" t="s">
        <v>1264</v>
      </c>
      <c r="H457" s="1093" t="s">
        <v>972</v>
      </c>
      <c r="I457" s="1093" t="s">
        <v>970</v>
      </c>
      <c r="J457" s="1381"/>
      <c r="K457" s="1087"/>
      <c r="L457" s="1087"/>
      <c r="M457" s="1087"/>
      <c r="N457" s="1087"/>
      <c r="O457" s="1087"/>
      <c r="P457" s="1087"/>
    </row>
    <row customHeight="true" ht="16.071428571428573" r="458">
      <c r="A458" s="1088" t="s">
        <v>1261</v>
      </c>
      <c r="B458" s="1070">
        <v>46290</v>
      </c>
      <c r="C458" s="1088" t="str">
        <v>Friday</v>
      </c>
      <c r="D458" s="1061" t="s">
        <v>1262</v>
      </c>
      <c r="E458" s="1061">
        <f t="shared" si="105"/>
      </c>
      <c r="F458" s="1065" t="s">
        <v>1267</v>
      </c>
      <c r="G458" s="1380" t="s">
        <v>1264</v>
      </c>
      <c r="H458" s="1093" t="s">
        <v>972</v>
      </c>
      <c r="I458" s="1093" t="s">
        <v>970</v>
      </c>
      <c r="J458" s="1381"/>
      <c r="K458" s="1087"/>
      <c r="L458" s="1087"/>
      <c r="M458" s="1087"/>
      <c r="N458" s="1087"/>
      <c r="O458" s="1087"/>
      <c r="P458" s="1087"/>
    </row>
    <row customHeight="true" ht="16.071428571428573" r="459">
      <c r="A459" s="1088" t="s">
        <v>1261</v>
      </c>
      <c r="B459" s="1070">
        <v>46291</v>
      </c>
      <c r="C459" s="1088" t="str">
        <v>Saturday</v>
      </c>
      <c r="D459" s="1061" t="s">
        <v>1268</v>
      </c>
      <c r="E459" s="1061">
        <f t="shared" si="105"/>
      </c>
      <c r="F459" s="1065" t="s">
        <v>1269</v>
      </c>
      <c r="G459" s="1380"/>
      <c r="H459" s="1093" t="s">
        <v>972</v>
      </c>
      <c r="I459" s="1093" t="s">
        <v>970</v>
      </c>
      <c r="J459" s="1381"/>
      <c r="K459" s="1087"/>
      <c r="L459" s="1087"/>
      <c r="M459" s="1087"/>
      <c r="N459" s="1087"/>
      <c r="O459" s="1087"/>
      <c r="P459" s="1087"/>
    </row>
    <row customHeight="true" ht="16.071428571428573" r="460">
      <c r="A460" s="1088" t="s">
        <v>1261</v>
      </c>
      <c r="B460" s="1070">
        <v>46292</v>
      </c>
      <c r="C460" s="1088" t="str">
        <v>Sunday</v>
      </c>
      <c r="D460" s="1061" t="s">
        <v>1270</v>
      </c>
      <c r="E460" s="1061">
        <f t="shared" si="105"/>
      </c>
      <c r="F460" s="1065" t="s">
        <v>1074</v>
      </c>
      <c r="G460" s="1380"/>
      <c r="H460" s="1093" t="s">
        <v>972</v>
      </c>
      <c r="I460" s="1093" t="s">
        <v>970</v>
      </c>
      <c r="J460" s="1381"/>
      <c r="K460" s="1087"/>
      <c r="L460" s="1087"/>
      <c r="M460" s="1087"/>
      <c r="N460" s="1087"/>
      <c r="O460" s="1087"/>
      <c r="P460" s="1087"/>
    </row>
    <row customHeight="true" ht="16.071428571428573" r="461">
      <c r="A461" s="1088"/>
      <c r="B461" s="1070"/>
      <c r="C461" s="1088"/>
      <c r="D461" s="1061"/>
      <c r="E461" s="1061"/>
      <c r="F461" s="1065"/>
      <c r="G461" s="1380"/>
      <c r="H461" s="1093"/>
      <c r="I461" s="1093"/>
      <c r="J461" s="1381"/>
      <c r="K461" s="1087"/>
      <c r="L461" s="1087"/>
      <c r="M461" s="1087"/>
      <c r="N461" s="1087"/>
      <c r="O461" s="1087"/>
      <c r="P461" s="1087"/>
    </row>
    <row customHeight="true" ht="16.071428571428573" r="462">
      <c r="A462" s="1088"/>
      <c r="B462" s="1088"/>
      <c r="C462" s="1088"/>
      <c r="D462" s="1061"/>
      <c r="E462" s="1061"/>
      <c r="F462" s="1384"/>
      <c r="G462" s="1382"/>
      <c r="H462" s="1093"/>
      <c r="I462" s="1093"/>
      <c r="J462" s="1383"/>
      <c r="K462" s="1087"/>
      <c r="L462" s="1087"/>
      <c r="M462" s="1087"/>
      <c r="N462" s="1087"/>
      <c r="O462" s="1087"/>
      <c r="P462" s="1087"/>
    </row>
    <row customHeight="true" ht="16.071428571428573" r="463">
      <c r="A463" s="1098"/>
      <c r="B463" s="1098"/>
      <c r="C463" s="1098"/>
      <c r="D463" s="1221"/>
      <c r="E463" s="1098"/>
      <c r="F463" s="1098"/>
      <c r="G463" s="1098"/>
      <c r="H463" s="1221"/>
      <c r="I463" s="1098"/>
      <c r="J463" s="1098"/>
      <c r="K463" s="1203"/>
      <c r="L463" s="1203"/>
      <c r="M463" s="1203"/>
      <c r="N463" s="1203"/>
      <c r="O463" s="1203"/>
      <c r="P463" s="1203"/>
    </row>
    <row customHeight="true" ht="37.219887955226724" r="464">
      <c r="A464" s="1388" t="s">
        <v>1271</v>
      </c>
      <c r="B464" s="1388"/>
      <c r="C464" s="1388"/>
      <c r="D464" s="1388"/>
      <c r="E464" s="1388"/>
      <c r="F464" s="1388"/>
      <c r="G464" s="1388"/>
      <c r="H464" s="1388"/>
      <c r="I464" s="1388"/>
      <c r="J464" s="1389"/>
      <c r="K464" s="1101"/>
      <c r="L464" s="1101"/>
      <c r="M464" s="1101"/>
      <c r="N464" s="1101"/>
      <c r="O464" s="1101"/>
      <c r="P464" s="1101"/>
    </row>
    <row r="465">
      <c r="A465" s="1390" t="s">
        <v>958</v>
      </c>
      <c r="B465" s="1247" t="s">
        <v>959</v>
      </c>
      <c r="C465" s="1247"/>
      <c r="D465" s="1249" t="s">
        <v>960</v>
      </c>
      <c r="E465" s="1391" t="s">
        <v>961</v>
      </c>
      <c r="F465" s="1391" t="s">
        <v>962</v>
      </c>
      <c r="G465" s="1392" t="s">
        <v>974</v>
      </c>
      <c r="H465" s="1391" t="s">
        <v>964</v>
      </c>
      <c r="I465" s="1252" t="s">
        <v>965</v>
      </c>
      <c r="J465" s="1393" t="s">
        <v>966</v>
      </c>
      <c r="K465" s="1087"/>
      <c r="L465" s="1087"/>
      <c r="M465" s="1087"/>
      <c r="N465" s="1087"/>
      <c r="O465" s="1087"/>
      <c r="P465" s="1087"/>
    </row>
    <row r="466">
      <c r="A466" s="1088" t="s">
        <v>1272</v>
      </c>
      <c r="B466" s="1070">
        <v>46291</v>
      </c>
      <c r="C466" s="1088" t="str">
        <v>Saturday</v>
      </c>
      <c r="D466" s="1240" t="s">
        <v>1206</v>
      </c>
      <c r="E466" s="1065">
        <f t="shared" ref="E466:E471" si="106">24*MOD(TIMEVALUE(TRIM(MID(D466,FIND("-",D466)+1,LEN(D466)))) - TIMEVALUE(TRIM(LEFT(D466,FIND("-",D466)-1))),1)</f>
      </c>
      <c r="F466" s="1394" t="s">
        <v>1100</v>
      </c>
      <c r="G466" s="1242"/>
      <c r="H466" s="1065" t="s">
        <v>972</v>
      </c>
      <c r="I466" s="1093" t="s">
        <v>946</v>
      </c>
      <c r="J466" s="1078"/>
      <c r="K466" s="1067"/>
      <c r="L466" s="1067"/>
      <c r="M466" s="1067"/>
      <c r="N466" s="1067"/>
      <c r="O466" s="1067"/>
      <c r="P466" s="1067"/>
    </row>
    <row customHeight="true" ht="18.452380952380953" r="467">
      <c r="A467" s="1088" t="s">
        <v>1272</v>
      </c>
      <c r="B467" s="1070">
        <v>46291</v>
      </c>
      <c r="C467" s="1088" t="str">
        <v>Saturday</v>
      </c>
      <c r="D467" s="1240" t="s">
        <v>1123</v>
      </c>
      <c r="E467" s="1065">
        <f t="shared" si="106"/>
      </c>
      <c r="F467" s="1394" t="s">
        <v>1273</v>
      </c>
      <c r="G467" s="1242"/>
      <c r="H467" s="1065" t="s">
        <v>972</v>
      </c>
      <c r="I467" s="1174" t="s">
        <v>946</v>
      </c>
      <c r="J467" s="1078"/>
      <c r="K467" s="1067"/>
      <c r="L467" s="1067"/>
      <c r="M467" s="1067"/>
      <c r="N467" s="1067"/>
      <c r="O467" s="1067"/>
      <c r="P467" s="1067"/>
    </row>
    <row customHeight="true" ht="18.452380952380953" r="468">
      <c r="A468" s="1088" t="s">
        <v>1272</v>
      </c>
      <c r="B468" s="1070">
        <v>46291</v>
      </c>
      <c r="C468" s="1088" t="str">
        <v>Saturday</v>
      </c>
      <c r="D468" s="1240" t="s">
        <v>987</v>
      </c>
      <c r="E468" s="1065">
        <f t="shared" si="106"/>
      </c>
      <c r="F468" s="1093" t="s">
        <v>1018</v>
      </c>
      <c r="G468" s="1242"/>
      <c r="H468" s="1065" t="s">
        <v>972</v>
      </c>
      <c r="I468" s="1174" t="s">
        <v>946</v>
      </c>
      <c r="J468" s="1078"/>
      <c r="K468" s="1067"/>
      <c r="L468" s="1067"/>
      <c r="M468" s="1067"/>
      <c r="N468" s="1067"/>
      <c r="O468" s="1067"/>
      <c r="P468" s="1067"/>
    </row>
    <row r="469">
      <c r="A469" s="1088" t="s">
        <v>1272</v>
      </c>
      <c r="B469" s="1070">
        <v>46291</v>
      </c>
      <c r="C469" s="1088" t="str">
        <v>Saturday</v>
      </c>
      <c r="D469" s="1240" t="s">
        <v>1149</v>
      </c>
      <c r="E469" s="1065">
        <f t="shared" si="106"/>
      </c>
      <c r="F469" s="1093" t="s">
        <v>1115</v>
      </c>
      <c r="G469" s="1242"/>
      <c r="H469" s="1065" t="s">
        <v>972</v>
      </c>
      <c r="I469" s="1174" t="s">
        <v>946</v>
      </c>
      <c r="J469" s="1078"/>
      <c r="K469" s="1067"/>
      <c r="L469" s="1067"/>
      <c r="M469" s="1067"/>
      <c r="N469" s="1067"/>
      <c r="O469" s="1067"/>
      <c r="P469" s="1067"/>
    </row>
    <row customHeight="true" ht="18.452380952380953" r="470">
      <c r="A470" s="1088" t="s">
        <v>1272</v>
      </c>
      <c r="B470" s="1070">
        <v>46291</v>
      </c>
      <c r="C470" s="1088" t="str">
        <v>Saturday</v>
      </c>
      <c r="D470" s="1240" t="s">
        <v>1190</v>
      </c>
      <c r="E470" s="1065">
        <f t="shared" si="106"/>
      </c>
      <c r="F470" s="1395" t="s">
        <v>1274</v>
      </c>
      <c r="G470" s="1242"/>
      <c r="H470" s="1065" t="s">
        <v>972</v>
      </c>
      <c r="I470" s="1174" t="s">
        <v>946</v>
      </c>
      <c r="J470" s="1078"/>
      <c r="K470" s="1067"/>
      <c r="L470" s="1067"/>
      <c r="M470" s="1067"/>
      <c r="N470" s="1067"/>
      <c r="O470" s="1067"/>
      <c r="P470" s="1067"/>
    </row>
    <row r="471">
      <c r="A471" s="1088" t="s">
        <v>1272</v>
      </c>
      <c r="B471" s="1070">
        <v>46291</v>
      </c>
      <c r="C471" s="1088" t="str">
        <v>Saturday</v>
      </c>
      <c r="D471" s="1240" t="s">
        <v>1275</v>
      </c>
      <c r="E471" s="1065">
        <f t="shared" si="106"/>
      </c>
      <c r="F471" s="1093" t="s">
        <v>1018</v>
      </c>
      <c r="G471" s="1380"/>
      <c r="H471" s="1065" t="s">
        <v>972</v>
      </c>
      <c r="I471" s="1174" t="s">
        <v>946</v>
      </c>
      <c r="J471" s="1078"/>
      <c r="K471" s="1067"/>
      <c r="L471" s="1067"/>
      <c r="M471" s="1067"/>
      <c r="N471" s="1067"/>
      <c r="O471" s="1067"/>
      <c r="P471" s="1067"/>
    </row>
    <row r="472">
      <c r="A472" s="1088"/>
      <c r="B472" s="1088"/>
      <c r="C472" s="1088"/>
      <c r="D472" s="1093"/>
      <c r="E472" s="1065"/>
      <c r="F472" s="1395"/>
      <c r="G472" s="1396"/>
      <c r="H472" s="1065"/>
      <c r="I472" s="1174"/>
      <c r="J472" s="1078"/>
      <c r="K472" s="1067"/>
      <c r="L472" s="1067"/>
      <c r="M472" s="1067"/>
      <c r="N472" s="1067"/>
      <c r="O472" s="1067"/>
      <c r="P472" s="1067"/>
    </row>
    <row customHeight="true" ht="18.452380952380953" r="473">
      <c r="A473" s="1088" t="s">
        <v>1276</v>
      </c>
      <c r="B473" s="1070">
        <v>46291</v>
      </c>
      <c r="C473" s="1088" t="str">
        <v>Saturday</v>
      </c>
      <c r="D473" s="1061" t="s">
        <v>1206</v>
      </c>
      <c r="E473" s="1397">
        <f t="shared" ref="E473:E478" si="107">24*MOD(TIMEVALUE(TRIM(MID(D473,FIND("-",D473)+1,LEN(D473)))) - TIMEVALUE(TRIM(LEFT(D473,FIND("-",D473)-1))),1)</f>
      </c>
      <c r="F473" s="1282" t="s">
        <v>1277</v>
      </c>
      <c r="G473" s="1396"/>
      <c r="H473" s="1065" t="s">
        <v>972</v>
      </c>
      <c r="I473" s="1174" t="s">
        <v>946</v>
      </c>
      <c r="J473" s="1078"/>
      <c r="K473" s="1067"/>
      <c r="L473" s="1067"/>
      <c r="M473" s="1067"/>
      <c r="N473" s="1067"/>
      <c r="O473" s="1067"/>
      <c r="P473" s="1067"/>
    </row>
    <row customHeight="true" ht="18.452380952380953" r="474">
      <c r="A474" s="1088" t="s">
        <v>1276</v>
      </c>
      <c r="B474" s="1070">
        <v>46291</v>
      </c>
      <c r="C474" s="1088" t="str">
        <v>Saturday</v>
      </c>
      <c r="D474" s="1061" t="s">
        <v>1123</v>
      </c>
      <c r="E474" s="1397">
        <f t="shared" si="107"/>
      </c>
      <c r="F474" s="1282" t="s">
        <v>1278</v>
      </c>
      <c r="G474" s="1398"/>
      <c r="H474" s="1065" t="s">
        <v>972</v>
      </c>
      <c r="I474" s="1174" t="s">
        <v>946</v>
      </c>
      <c r="J474" s="1078"/>
      <c r="K474" s="1067"/>
      <c r="L474" s="1067"/>
      <c r="M474" s="1067"/>
      <c r="N474" s="1067"/>
      <c r="O474" s="1067"/>
      <c r="P474" s="1067"/>
    </row>
    <row customHeight="true" ht="18.452380952380953" r="475">
      <c r="A475" s="1088" t="s">
        <v>1276</v>
      </c>
      <c r="B475" s="1070">
        <v>46291</v>
      </c>
      <c r="C475" s="1088" t="str">
        <v>Saturday</v>
      </c>
      <c r="D475" s="1061" t="s">
        <v>987</v>
      </c>
      <c r="E475" s="1397">
        <f t="shared" si="107"/>
      </c>
      <c r="F475" s="1282" t="s">
        <v>1278</v>
      </c>
      <c r="G475" s="1398"/>
      <c r="H475" s="1065" t="s">
        <v>972</v>
      </c>
      <c r="I475" s="1174" t="s">
        <v>946</v>
      </c>
      <c r="J475" s="1078"/>
      <c r="K475" s="1067"/>
      <c r="L475" s="1067"/>
      <c r="M475" s="1067"/>
      <c r="N475" s="1067"/>
      <c r="O475" s="1067"/>
      <c r="P475" s="1067"/>
    </row>
    <row r="476">
      <c r="A476" s="1088" t="s">
        <v>1276</v>
      </c>
      <c r="B476" s="1070">
        <v>46291</v>
      </c>
      <c r="C476" s="1088" t="str">
        <v>Saturday</v>
      </c>
      <c r="D476" s="1061" t="s">
        <v>1149</v>
      </c>
      <c r="E476" s="1397">
        <f t="shared" si="107"/>
      </c>
      <c r="F476" s="1282" t="s">
        <v>1279</v>
      </c>
      <c r="G476" s="1399"/>
      <c r="H476" s="1267" t="s">
        <v>972</v>
      </c>
      <c r="I476" s="1174" t="s">
        <v>946</v>
      </c>
      <c r="J476" s="1078"/>
      <c r="K476" s="1067"/>
      <c r="L476" s="1067"/>
      <c r="M476" s="1067"/>
      <c r="N476" s="1067"/>
      <c r="O476" s="1067"/>
      <c r="P476" s="1067"/>
    </row>
    <row customHeight="true" ht="18.452380952380953" r="477">
      <c r="A477" s="1088" t="s">
        <v>1276</v>
      </c>
      <c r="B477" s="1070">
        <v>46291</v>
      </c>
      <c r="C477" s="1088" t="str">
        <v>Saturday</v>
      </c>
      <c r="D477" s="1061" t="s">
        <v>1190</v>
      </c>
      <c r="E477" s="1397">
        <f t="shared" si="107"/>
      </c>
      <c r="F477" s="1282" t="s">
        <v>1277</v>
      </c>
      <c r="G477" s="1396"/>
      <c r="H477" s="1065" t="s">
        <v>972</v>
      </c>
      <c r="I477" s="1174" t="s">
        <v>946</v>
      </c>
      <c r="J477" s="1078"/>
      <c r="K477" s="1067"/>
      <c r="L477" s="1067"/>
      <c r="M477" s="1067"/>
      <c r="N477" s="1067"/>
      <c r="O477" s="1067"/>
      <c r="P477" s="1067"/>
    </row>
    <row customHeight="true" ht="18.452380952380953" r="478">
      <c r="A478" s="1088" t="s">
        <v>1276</v>
      </c>
      <c r="B478" s="1070">
        <v>46291</v>
      </c>
      <c r="C478" s="1088" t="str">
        <v>Saturday</v>
      </c>
      <c r="D478" s="1061" t="s">
        <v>1275</v>
      </c>
      <c r="E478" s="1397">
        <f t="shared" si="107"/>
      </c>
      <c r="F478" s="1282" t="s">
        <v>1279</v>
      </c>
      <c r="G478" s="1398"/>
      <c r="H478" s="1065" t="s">
        <v>972</v>
      </c>
      <c r="I478" s="1174" t="s">
        <v>946</v>
      </c>
      <c r="J478" s="1078"/>
      <c r="K478" s="1067"/>
      <c r="L478" s="1067"/>
      <c r="M478" s="1067"/>
      <c r="N478" s="1067"/>
      <c r="O478" s="1067"/>
      <c r="P478" s="1067"/>
    </row>
    <row customHeight="true" ht="18.452380952380953" r="479">
      <c r="A479" s="1088"/>
      <c r="B479" s="1088"/>
      <c r="C479" s="1088"/>
      <c r="D479" s="1093"/>
      <c r="E479" s="1397"/>
      <c r="F479" s="1093"/>
      <c r="G479" s="1398"/>
      <c r="H479" s="1065"/>
      <c r="I479" s="1174"/>
      <c r="J479" s="1078"/>
      <c r="K479" s="1067"/>
      <c r="L479" s="1067"/>
      <c r="M479" s="1067"/>
      <c r="N479" s="1067"/>
      <c r="O479" s="1067"/>
      <c r="P479" s="1067"/>
    </row>
    <row customHeight="true" ht="18.452380952380953" r="480">
      <c r="A480" s="1400" t="s">
        <v>1272</v>
      </c>
      <c r="B480" s="1401">
        <v>46292</v>
      </c>
      <c r="C480" s="1400" t="str">
        <v>Sunday</v>
      </c>
      <c r="D480" s="1402" t="s">
        <v>1280</v>
      </c>
      <c r="E480" s="1403">
        <f t="shared" ref="E480:E485" si="108">24*MOD(TIMEVALUE(TRIM(MID(D480,FIND("-",D480)+1,LEN(D480)))) - TIMEVALUE(TRIM(LEFT(D480,FIND("-",D480)-1))),1)</f>
      </c>
      <c r="F480" s="1404" t="s">
        <v>1100</v>
      </c>
      <c r="G480" s="1242" t="s">
        <v>1281</v>
      </c>
      <c r="H480" s="1065" t="s">
        <v>972</v>
      </c>
      <c r="I480" s="1093" t="s">
        <v>946</v>
      </c>
      <c r="J480" s="1078"/>
      <c r="K480" s="1067"/>
      <c r="L480" s="1067"/>
      <c r="M480" s="1067"/>
      <c r="N480" s="1067"/>
      <c r="O480" s="1067"/>
      <c r="P480" s="1067"/>
    </row>
    <row customHeight="true" ht="18.452380952380953" r="481">
      <c r="A481" s="1400" t="s">
        <v>1272</v>
      </c>
      <c r="B481" s="1401">
        <v>46292</v>
      </c>
      <c r="C481" s="1400" t="str">
        <v>Sunday</v>
      </c>
      <c r="D481" s="1402" t="s">
        <v>1282</v>
      </c>
      <c r="E481" s="1403">
        <f t="shared" si="108"/>
      </c>
      <c r="F481" s="1405" t="s">
        <v>1115</v>
      </c>
      <c r="G481" s="1242"/>
      <c r="H481" s="1065" t="s">
        <v>972</v>
      </c>
      <c r="I481" s="1174" t="s">
        <v>946</v>
      </c>
      <c r="J481" s="1078"/>
      <c r="K481" s="1067"/>
      <c r="L481" s="1067"/>
      <c r="M481" s="1067"/>
      <c r="N481" s="1067"/>
      <c r="O481" s="1067"/>
      <c r="P481" s="1067"/>
    </row>
    <row customHeight="true" ht="18.452380952380953" r="482">
      <c r="A482" s="1400" t="s">
        <v>1272</v>
      </c>
      <c r="B482" s="1401">
        <v>46292</v>
      </c>
      <c r="C482" s="1400" t="str">
        <v>Sunday</v>
      </c>
      <c r="D482" s="1402" t="s">
        <v>1233</v>
      </c>
      <c r="E482" s="1403">
        <f t="shared" si="108"/>
      </c>
      <c r="F482" s="1404" t="s">
        <v>1018</v>
      </c>
      <c r="G482" s="1242"/>
      <c r="H482" s="1065" t="s">
        <v>972</v>
      </c>
      <c r="I482" s="1174" t="s">
        <v>946</v>
      </c>
      <c r="J482" s="1078"/>
      <c r="K482" s="1067"/>
      <c r="L482" s="1067"/>
      <c r="M482" s="1067"/>
      <c r="N482" s="1067"/>
      <c r="O482" s="1067"/>
      <c r="P482" s="1067"/>
    </row>
    <row customHeight="true" ht="18.452380952380953" r="483">
      <c r="A483" s="1400" t="s">
        <v>1272</v>
      </c>
      <c r="B483" s="1401">
        <v>46292</v>
      </c>
      <c r="C483" s="1400" t="str">
        <v>Sunday</v>
      </c>
      <c r="D483" s="1402" t="s">
        <v>1260</v>
      </c>
      <c r="E483" s="1403">
        <f t="shared" si="108"/>
      </c>
      <c r="F483" s="1404" t="s">
        <v>1273</v>
      </c>
      <c r="G483" s="1242"/>
      <c r="H483" s="1065" t="s">
        <v>972</v>
      </c>
      <c r="I483" s="1174" t="s">
        <v>946</v>
      </c>
      <c r="J483" s="1078"/>
      <c r="K483" s="1067"/>
      <c r="L483" s="1067"/>
      <c r="M483" s="1067"/>
      <c r="N483" s="1067"/>
      <c r="O483" s="1067"/>
      <c r="P483" s="1067"/>
    </row>
    <row customHeight="true" ht="18.452380952380953" r="484">
      <c r="A484" s="1400" t="s">
        <v>1272</v>
      </c>
      <c r="B484" s="1401">
        <v>46292</v>
      </c>
      <c r="C484" s="1400" t="str">
        <v>Sunday</v>
      </c>
      <c r="D484" s="1402" t="s">
        <v>1283</v>
      </c>
      <c r="E484" s="1403">
        <f t="shared" si="108"/>
      </c>
      <c r="F484" s="1405" t="s">
        <v>1284</v>
      </c>
      <c r="G484" s="1242"/>
      <c r="H484" s="1065" t="s">
        <v>972</v>
      </c>
      <c r="I484" s="1174" t="s">
        <v>946</v>
      </c>
      <c r="J484" s="1078"/>
      <c r="K484" s="1067"/>
      <c r="L484" s="1067"/>
      <c r="M484" s="1067"/>
      <c r="N484" s="1067"/>
      <c r="O484" s="1067"/>
      <c r="P484" s="1067"/>
    </row>
    <row customHeight="true" ht="18.452380952380953" r="485">
      <c r="A485" s="1400" t="s">
        <v>1272</v>
      </c>
      <c r="B485" s="1401">
        <v>46292</v>
      </c>
      <c r="C485" s="1400" t="str">
        <v>Sunday</v>
      </c>
      <c r="D485" s="1402" t="s">
        <v>1275</v>
      </c>
      <c r="E485" s="1403">
        <f t="shared" si="108"/>
      </c>
      <c r="F485" s="1404" t="s">
        <v>1018</v>
      </c>
      <c r="G485" s="1380"/>
      <c r="H485" s="1065" t="s">
        <v>972</v>
      </c>
      <c r="I485" s="1174" t="s">
        <v>946</v>
      </c>
      <c r="J485" s="1078"/>
      <c r="K485" s="1067"/>
      <c r="L485" s="1067"/>
      <c r="M485" s="1067"/>
      <c r="N485" s="1067"/>
      <c r="O485" s="1067"/>
      <c r="P485" s="1067"/>
    </row>
    <row customHeight="true" ht="18.452380952380953" r="486">
      <c r="A486" s="1400"/>
      <c r="B486" s="1400"/>
      <c r="C486" s="1400"/>
      <c r="D486" s="1403"/>
      <c r="E486" s="1403"/>
      <c r="F486" s="1404"/>
      <c r="G486" s="1398"/>
      <c r="H486" s="1065"/>
      <c r="I486" s="1174"/>
      <c r="J486" s="1078"/>
      <c r="K486" s="1067"/>
      <c r="L486" s="1067"/>
      <c r="M486" s="1067"/>
      <c r="N486" s="1067"/>
      <c r="O486" s="1067"/>
      <c r="P486" s="1067"/>
    </row>
    <row customHeight="true" ht="18.452380952380953" r="487">
      <c r="A487" s="1400" t="s">
        <v>1276</v>
      </c>
      <c r="B487" s="1401">
        <v>46292</v>
      </c>
      <c r="C487" s="1400" t="s">
        <v>947</v>
      </c>
      <c r="D487" s="1402" t="s">
        <v>1196</v>
      </c>
      <c r="E487" s="1406">
        <f t="shared" ref="E487:E491" si="109">24*MOD(TIMEVALUE(TRIM(MID(D487,FIND("-",D487)+1,LEN(D487)))) - TIMEVALUE(TRIM(LEFT(D487,FIND("-",D487)-1))),1)</f>
      </c>
      <c r="F487" s="1405" t="s">
        <v>1278</v>
      </c>
      <c r="G487" s="1398"/>
      <c r="H487" s="1065" t="s">
        <v>972</v>
      </c>
      <c r="I487" s="1174" t="s">
        <v>946</v>
      </c>
      <c r="J487" s="1078"/>
      <c r="K487" s="1067"/>
      <c r="L487" s="1067"/>
      <c r="M487" s="1067"/>
      <c r="N487" s="1067"/>
      <c r="O487" s="1067"/>
      <c r="P487" s="1067"/>
    </row>
    <row customHeight="true" ht="18.452380952380953" r="488">
      <c r="A488" s="1400" t="s">
        <v>1276</v>
      </c>
      <c r="B488" s="1401">
        <v>46292</v>
      </c>
      <c r="C488" s="1400" t="s">
        <v>947</v>
      </c>
      <c r="D488" s="1402" t="s">
        <v>1095</v>
      </c>
      <c r="E488" s="1406">
        <f t="shared" si="109"/>
      </c>
      <c r="F488" s="1405" t="s">
        <v>1214</v>
      </c>
      <c r="G488" s="1398"/>
      <c r="H488" s="1065" t="s">
        <v>972</v>
      </c>
      <c r="I488" s="1174" t="s">
        <v>946</v>
      </c>
      <c r="J488" s="1078"/>
      <c r="K488" s="1067"/>
      <c r="L488" s="1067"/>
      <c r="M488" s="1067"/>
      <c r="N488" s="1067"/>
      <c r="O488" s="1067"/>
      <c r="P488" s="1067"/>
    </row>
    <row customHeight="true" ht="18.452380952380953" r="489">
      <c r="A489" s="1400" t="s">
        <v>1276</v>
      </c>
      <c r="B489" s="1401">
        <v>46292</v>
      </c>
      <c r="C489" s="1400" t="s">
        <v>947</v>
      </c>
      <c r="D489" s="1402" t="s">
        <v>976</v>
      </c>
      <c r="E489" s="1406">
        <f t="shared" si="109"/>
      </c>
      <c r="F489" s="1405" t="s">
        <v>1279</v>
      </c>
      <c r="G489" s="1398"/>
      <c r="H489" s="1065" t="s">
        <v>972</v>
      </c>
      <c r="I489" s="1174" t="s">
        <v>946</v>
      </c>
      <c r="J489" s="1078"/>
      <c r="K489" s="1067"/>
      <c r="L489" s="1067"/>
      <c r="M489" s="1067"/>
      <c r="N489" s="1067"/>
      <c r="O489" s="1067"/>
      <c r="P489" s="1067"/>
    </row>
    <row customHeight="true" ht="18.452380952380953" r="490">
      <c r="A490" s="1400" t="s">
        <v>1276</v>
      </c>
      <c r="B490" s="1401">
        <v>46292</v>
      </c>
      <c r="C490" s="1400" t="s">
        <v>947</v>
      </c>
      <c r="D490" s="1402" t="s">
        <v>1283</v>
      </c>
      <c r="E490" s="1406">
        <f t="shared" si="109"/>
      </c>
      <c r="F490" s="1405" t="s">
        <v>1278</v>
      </c>
      <c r="G490" s="1398"/>
      <c r="H490" s="1065" t="s">
        <v>972</v>
      </c>
      <c r="I490" s="1174" t="s">
        <v>946</v>
      </c>
      <c r="J490" s="1078"/>
      <c r="K490" s="1067"/>
      <c r="L490" s="1067"/>
      <c r="M490" s="1067"/>
      <c r="N490" s="1067"/>
      <c r="O490" s="1067"/>
      <c r="P490" s="1067"/>
    </row>
    <row customHeight="true" ht="18.452380952380953" r="491">
      <c r="A491" s="1400" t="s">
        <v>1276</v>
      </c>
      <c r="B491" s="1401">
        <v>46292</v>
      </c>
      <c r="C491" s="1400" t="s">
        <v>947</v>
      </c>
      <c r="D491" s="1402" t="s">
        <v>1275</v>
      </c>
      <c r="E491" s="1406">
        <f t="shared" si="109"/>
      </c>
      <c r="F491" s="1405" t="s">
        <v>1279</v>
      </c>
      <c r="G491" s="1398"/>
      <c r="H491" s="1065" t="s">
        <v>972</v>
      </c>
      <c r="I491" s="1174" t="s">
        <v>946</v>
      </c>
      <c r="J491" s="1078"/>
      <c r="K491" s="1067"/>
      <c r="L491" s="1067"/>
      <c r="M491" s="1067"/>
      <c r="N491" s="1067"/>
      <c r="O491" s="1067"/>
      <c r="P491" s="1067"/>
    </row>
    <row customHeight="true" ht="18.452380952380953" r="492">
      <c r="A492" s="1400"/>
      <c r="B492" s="1401"/>
      <c r="C492" s="1400"/>
      <c r="D492" s="1407"/>
      <c r="E492" s="1408"/>
      <c r="F492" s="1405"/>
      <c r="G492" s="1398"/>
      <c r="H492" s="1065"/>
      <c r="I492" s="1079"/>
      <c r="J492" s="1078"/>
      <c r="K492" s="1067"/>
      <c r="L492" s="1067"/>
      <c r="M492" s="1067"/>
      <c r="N492" s="1067"/>
      <c r="O492" s="1067"/>
      <c r="P492" s="1067"/>
    </row>
    <row customHeight="true" ht="18.452380952380953" r="493">
      <c r="A493" s="1400"/>
      <c r="B493" s="1401"/>
      <c r="C493" s="1400"/>
      <c r="D493" s="1407"/>
      <c r="E493" s="1408"/>
      <c r="F493" s="1409"/>
      <c r="G493" s="1399"/>
      <c r="H493" s="1267"/>
      <c r="I493" s="1079"/>
      <c r="J493" s="1078"/>
      <c r="K493" s="1067"/>
      <c r="L493" s="1067"/>
      <c r="M493" s="1067"/>
      <c r="N493" s="1067"/>
      <c r="O493" s="1067"/>
      <c r="P493" s="1067"/>
    </row>
    <row r="494">
      <c r="A494" s="1410"/>
      <c r="B494" s="1410"/>
      <c r="C494" s="1410"/>
      <c r="D494" s="1410"/>
      <c r="E494" s="1410"/>
      <c r="F494" s="1410"/>
      <c r="G494" s="1410"/>
      <c r="H494" s="1410"/>
      <c r="I494" s="1410"/>
      <c r="J494" s="1333"/>
      <c r="K494" s="1067"/>
      <c r="L494" s="1067"/>
      <c r="M494" s="1067"/>
      <c r="N494" s="1067"/>
      <c r="O494" s="1067"/>
      <c r="P494" s="1067"/>
    </row>
    <row r="495">
      <c r="A495" s="1388" t="s">
        <v>1285</v>
      </c>
      <c r="B495" s="1388"/>
      <c r="C495" s="1388"/>
      <c r="D495" s="1388"/>
      <c r="E495" s="1388"/>
      <c r="F495" s="1388"/>
      <c r="G495" s="1388"/>
      <c r="H495" s="1388"/>
      <c r="I495" s="1388"/>
      <c r="J495" s="1411"/>
      <c r="K495" s="1101"/>
      <c r="L495" s="1101"/>
      <c r="M495" s="1101"/>
      <c r="N495" s="1101"/>
      <c r="O495" s="1101"/>
      <c r="P495" s="1101"/>
    </row>
    <row r="496">
      <c r="A496" s="1390" t="s">
        <v>958</v>
      </c>
      <c r="B496" s="1247" t="s">
        <v>959</v>
      </c>
      <c r="C496" s="1247"/>
      <c r="D496" s="1249" t="s">
        <v>960</v>
      </c>
      <c r="E496" s="1391" t="s">
        <v>961</v>
      </c>
      <c r="F496" s="1391" t="s">
        <v>962</v>
      </c>
      <c r="G496" s="1392" t="s">
        <v>974</v>
      </c>
      <c r="H496" s="1391" t="s">
        <v>964</v>
      </c>
      <c r="I496" s="1391" t="s">
        <v>965</v>
      </c>
      <c r="J496" s="1252" t="s">
        <v>966</v>
      </c>
      <c r="K496" s="1087"/>
      <c r="L496" s="1087"/>
      <c r="M496" s="1087"/>
      <c r="N496" s="1087"/>
      <c r="O496" s="1087"/>
      <c r="P496" s="1087"/>
    </row>
    <row r="497">
      <c r="A497" s="1412" t="s">
        <v>1286</v>
      </c>
      <c r="B497" s="1070">
        <v>46287</v>
      </c>
      <c r="C497" s="1088" t="str">
        <v>Tuesday</v>
      </c>
      <c r="D497" s="1095" t="s">
        <v>1287</v>
      </c>
      <c r="E497" s="1065">
        <f t="shared" ref="E497:E504" si="110">24*MOD(TIMEVALUE(TRIM(MID(D497,FIND("-",D497)+1,LEN(D497)))) - TIMEVALUE(TRIM(LEFT(D497,FIND("-",D497)-1))),1)</f>
      </c>
      <c r="F497" s="1282" t="s">
        <v>1115</v>
      </c>
      <c r="G497" s="1413"/>
      <c r="H497" s="1065"/>
      <c r="I497" s="1174" t="s">
        <v>946</v>
      </c>
      <c r="J497" s="1414"/>
      <c r="K497" s="1067"/>
      <c r="L497" s="1067"/>
      <c r="M497" s="1067"/>
      <c r="N497" s="1067"/>
      <c r="O497" s="1067"/>
      <c r="P497" s="1067"/>
    </row>
    <row r="498">
      <c r="A498" s="1412" t="s">
        <v>1286</v>
      </c>
      <c r="B498" s="1070">
        <v>46288</v>
      </c>
      <c r="C498" s="1088" t="str">
        <v>Wednesday</v>
      </c>
      <c r="D498" s="1095" t="s">
        <v>1287</v>
      </c>
      <c r="E498" s="1065">
        <f t="shared" si="110"/>
      </c>
      <c r="F498" s="1282" t="s">
        <v>1018</v>
      </c>
      <c r="G498" s="1413"/>
      <c r="H498" s="1065"/>
      <c r="I498" s="1174" t="s">
        <v>946</v>
      </c>
      <c r="J498" s="1414"/>
      <c r="K498" s="1067"/>
      <c r="L498" s="1067"/>
      <c r="M498" s="1067"/>
      <c r="N498" s="1067"/>
      <c r="O498" s="1067"/>
      <c r="P498" s="1067"/>
    </row>
    <row customHeight="true" ht="18.452380952380953" r="499">
      <c r="A499" s="1412" t="s">
        <v>1286</v>
      </c>
      <c r="B499" s="1070">
        <v>46290</v>
      </c>
      <c r="C499" s="1088" t="str">
        <v>Friday</v>
      </c>
      <c r="D499" s="1095" t="s">
        <v>1288</v>
      </c>
      <c r="E499" s="1065">
        <f t="shared" si="110"/>
      </c>
      <c r="F499" s="1282" t="s">
        <v>1273</v>
      </c>
      <c r="G499" s="1413"/>
      <c r="H499" s="1065"/>
      <c r="I499" s="1093" t="s">
        <v>946</v>
      </c>
      <c r="J499" s="1414"/>
      <c r="K499" s="1067"/>
      <c r="L499" s="1067"/>
      <c r="M499" s="1067"/>
      <c r="N499" s="1067"/>
      <c r="O499" s="1067"/>
      <c r="P499" s="1067"/>
    </row>
    <row r="500">
      <c r="A500" s="1412" t="s">
        <v>1289</v>
      </c>
      <c r="B500" s="1070">
        <v>46287</v>
      </c>
      <c r="C500" s="1088" t="str">
        <v>Tuesday</v>
      </c>
      <c r="D500" s="1095" t="s">
        <v>1290</v>
      </c>
      <c r="E500" s="1065">
        <f t="shared" si="110"/>
      </c>
      <c r="F500" s="1282" t="s">
        <v>1279</v>
      </c>
      <c r="G500" s="1413"/>
      <c r="H500" s="1065"/>
      <c r="I500" s="1093" t="s">
        <v>946</v>
      </c>
      <c r="J500" s="1414"/>
      <c r="K500" s="1067"/>
      <c r="L500" s="1067"/>
      <c r="M500" s="1067"/>
      <c r="N500" s="1067"/>
      <c r="O500" s="1067"/>
      <c r="P500" s="1067"/>
    </row>
    <row customHeight="true" ht="18.452380952380953" r="501">
      <c r="A501" s="1412" t="s">
        <v>1289</v>
      </c>
      <c r="B501" s="1070">
        <v>46288</v>
      </c>
      <c r="C501" s="1088" t="str">
        <v>Wednesday</v>
      </c>
      <c r="D501" s="1095" t="s">
        <v>1290</v>
      </c>
      <c r="E501" s="1065">
        <f t="shared" si="110"/>
      </c>
      <c r="F501" s="1282" t="s">
        <v>1279</v>
      </c>
      <c r="G501" s="1413"/>
      <c r="H501" s="1065"/>
      <c r="I501" s="1093" t="s">
        <v>946</v>
      </c>
      <c r="J501" s="1414"/>
      <c r="K501" s="1067"/>
      <c r="L501" s="1067"/>
      <c r="M501" s="1067"/>
      <c r="N501" s="1067"/>
      <c r="O501" s="1067"/>
      <c r="P501" s="1067"/>
    </row>
    <row customHeight="true" ht="18.452380952380953" r="502">
      <c r="A502" s="1412" t="s">
        <v>1289</v>
      </c>
      <c r="B502" s="1070">
        <v>46290</v>
      </c>
      <c r="C502" s="1088" t="str">
        <v>Friday</v>
      </c>
      <c r="D502" s="1095" t="s">
        <v>1291</v>
      </c>
      <c r="E502" s="1065">
        <f t="shared" si="110"/>
      </c>
      <c r="F502" s="1282" t="s">
        <v>1279</v>
      </c>
      <c r="G502" s="1413"/>
      <c r="H502" s="1065"/>
      <c r="I502" s="1093" t="s">
        <v>946</v>
      </c>
      <c r="J502" s="1414"/>
      <c r="K502" s="1067"/>
      <c r="L502" s="1067"/>
      <c r="M502" s="1067"/>
      <c r="N502" s="1067"/>
      <c r="O502" s="1067"/>
      <c r="P502" s="1067"/>
    </row>
    <row customHeight="true" ht="18.452380952380953" r="503">
      <c r="A503" s="1412" t="s">
        <v>1292</v>
      </c>
      <c r="B503" s="1070">
        <v>46288</v>
      </c>
      <c r="C503" s="1088" t="str">
        <v>Wednesday</v>
      </c>
      <c r="D503" s="1095" t="s">
        <v>1031</v>
      </c>
      <c r="E503" s="1065">
        <f t="shared" si="110"/>
      </c>
      <c r="F503" s="1282" t="s">
        <v>1018</v>
      </c>
      <c r="G503" s="1413"/>
      <c r="H503" s="1065"/>
      <c r="I503" s="1174" t="s">
        <v>946</v>
      </c>
      <c r="J503" s="1414"/>
      <c r="K503" s="1067"/>
      <c r="L503" s="1067"/>
      <c r="M503" s="1067"/>
      <c r="N503" s="1067"/>
      <c r="O503" s="1067"/>
      <c r="P503" s="1067"/>
    </row>
    <row customHeight="true" ht="16.071428571428573" r="504">
      <c r="A504" s="1412" t="s">
        <v>1292</v>
      </c>
      <c r="B504" s="1070">
        <v>46290</v>
      </c>
      <c r="C504" s="1088" t="str">
        <v>Friday</v>
      </c>
      <c r="D504" s="1095" t="s">
        <v>1293</v>
      </c>
      <c r="E504" s="1065">
        <f t="shared" si="110"/>
      </c>
      <c r="F504" s="1282" t="s">
        <v>1273</v>
      </c>
      <c r="G504" s="1413"/>
      <c r="H504" s="1065"/>
      <c r="I504" s="1093" t="s">
        <v>946</v>
      </c>
      <c r="J504" s="1414"/>
      <c r="K504" s="1067"/>
      <c r="L504" s="1067"/>
      <c r="M504" s="1067"/>
      <c r="N504" s="1067"/>
      <c r="O504" s="1067"/>
      <c r="P504" s="1067"/>
    </row>
    <row customHeight="true" ht="16.071428571428573" r="505">
      <c r="A505" s="1412"/>
      <c r="B505" s="1088"/>
      <c r="C505" s="1088"/>
      <c r="D505" s="1065"/>
      <c r="E505" s="1065"/>
      <c r="F505" s="1065"/>
      <c r="G505" s="1415"/>
      <c r="H505" s="1065"/>
      <c r="I505" s="1282"/>
      <c r="J505" s="1414"/>
      <c r="K505" s="1067"/>
      <c r="L505" s="1067"/>
      <c r="M505" s="1067"/>
      <c r="N505" s="1067"/>
      <c r="O505" s="1067"/>
      <c r="P505" s="1067"/>
    </row>
    <row r="506">
      <c r="A506" s="1333"/>
      <c r="B506" s="1333"/>
      <c r="C506" s="1333"/>
      <c r="D506" s="1221"/>
      <c r="E506" s="1333"/>
      <c r="F506" s="1333"/>
      <c r="G506" s="1416"/>
      <c r="H506" s="1333"/>
      <c r="I506" s="1333"/>
      <c r="J506" s="1333"/>
      <c r="K506" s="1067"/>
      <c r="L506" s="1067"/>
      <c r="M506" s="1067"/>
      <c r="N506" s="1067"/>
      <c r="O506" s="1067"/>
      <c r="P506" s="1067"/>
    </row>
    <row r="507">
      <c r="A507" s="1088"/>
      <c r="B507" s="1088"/>
      <c r="C507" s="1088"/>
      <c r="D507" s="1093"/>
      <c r="E507" s="1093"/>
      <c r="F507" s="1096"/>
      <c r="G507" s="1217"/>
      <c r="H507" s="1065"/>
      <c r="I507" s="1093"/>
      <c r="J507" s="1091"/>
      <c r="K507" s="1067"/>
      <c r="L507" s="1067"/>
      <c r="M507" s="1067"/>
      <c r="N507" s="1067"/>
      <c r="O507" s="1067"/>
      <c r="P507" s="1067"/>
    </row>
    <row r="508">
      <c r="A508" s="1417" t="s">
        <v>1294</v>
      </c>
      <c r="B508" s="1417"/>
      <c r="C508" s="1417"/>
      <c r="D508" s="1417"/>
      <c r="E508" s="1417"/>
      <c r="F508" s="1417"/>
      <c r="G508" s="1417"/>
      <c r="H508" s="1417"/>
      <c r="I508" s="1417"/>
      <c r="J508" s="1418"/>
      <c r="K508" s="1101"/>
      <c r="L508" s="1101"/>
      <c r="M508" s="1101"/>
      <c r="N508" s="1101"/>
      <c r="O508" s="1101"/>
      <c r="P508" s="1101"/>
    </row>
    <row r="509">
      <c r="A509" s="1419" t="s">
        <v>958</v>
      </c>
      <c r="B509" s="1420" t="s">
        <v>959</v>
      </c>
      <c r="C509" s="1420"/>
      <c r="D509" s="1421" t="s">
        <v>960</v>
      </c>
      <c r="E509" s="1421" t="s">
        <v>961</v>
      </c>
      <c r="F509" s="1421" t="s">
        <v>962</v>
      </c>
      <c r="G509" s="1422" t="s">
        <v>974</v>
      </c>
      <c r="H509" s="1421" t="s">
        <v>964</v>
      </c>
      <c r="I509" s="1421" t="s">
        <v>965</v>
      </c>
      <c r="J509" s="1423" t="s">
        <v>966</v>
      </c>
      <c r="K509" s="1087"/>
      <c r="L509" s="1087"/>
      <c r="M509" s="1087"/>
      <c r="N509" s="1087"/>
      <c r="O509" s="1087"/>
      <c r="P509" s="1087"/>
    </row>
    <row customHeight="true" ht="18.452380952380953" r="510">
      <c r="A510" s="1424" t="s">
        <v>1295</v>
      </c>
      <c r="B510" s="1425">
        <v>46287</v>
      </c>
      <c r="C510" s="1424" t="str">
        <v>Tuesday</v>
      </c>
      <c r="D510" s="1402" t="s">
        <v>1190</v>
      </c>
      <c r="E510" s="1405">
        <f t="shared" ref="E510:E511" si="111">24*MOD(TIMEVALUE(TRIM(MID(D510,FIND("-",D510)+1,LEN(D510)))) - TIMEVALUE(TRIM(LEFT(D510,FIND("-",D510)-1))),1)</f>
      </c>
      <c r="F510" s="1405" t="s">
        <v>1296</v>
      </c>
      <c r="G510" s="1342"/>
      <c r="H510" s="1282" t="s">
        <v>945</v>
      </c>
      <c r="I510" s="1282" t="s">
        <v>946</v>
      </c>
      <c r="J510" s="1331"/>
      <c r="K510" s="1067"/>
      <c r="L510" s="1067"/>
      <c r="M510" s="1067"/>
      <c r="N510" s="1067"/>
      <c r="O510" s="1067"/>
      <c r="P510" s="1067"/>
      <c r="Q510" s="1125"/>
      <c r="R510" s="1125"/>
    </row>
    <row r="511">
      <c r="A511" s="1088" t="s">
        <v>1297</v>
      </c>
      <c r="B511" s="1070">
        <v>46287</v>
      </c>
      <c r="C511" s="1088" t="str">
        <v>Tuesday</v>
      </c>
      <c r="D511" s="1426" t="s">
        <v>1298</v>
      </c>
      <c r="E511" s="1093">
        <f t="shared" si="111"/>
      </c>
      <c r="F511" s="1282" t="s">
        <v>1299</v>
      </c>
      <c r="G511" s="1342"/>
      <c r="H511" s="1282" t="s">
        <v>945</v>
      </c>
      <c r="I511" s="1282" t="s">
        <v>946</v>
      </c>
      <c r="J511" s="1283"/>
      <c r="K511" s="1238"/>
      <c r="L511" s="1238"/>
      <c r="M511" s="1238"/>
      <c r="N511" s="1238"/>
      <c r="O511" s="1238"/>
      <c r="P511" s="1238"/>
    </row>
    <row customHeight="true" ht="18.452380952380953" r="512">
      <c r="A512" s="1239"/>
      <c r="B512" s="1284"/>
      <c r="C512" s="1239"/>
      <c r="D512" s="1240"/>
      <c r="E512" s="1282"/>
      <c r="F512" s="1282"/>
      <c r="G512" s="1342"/>
      <c r="H512" s="1282"/>
      <c r="I512" s="1282"/>
      <c r="J512" s="1331"/>
      <c r="K512" s="1067"/>
      <c r="L512" s="1067"/>
      <c r="M512" s="1067"/>
      <c r="N512" s="1067"/>
      <c r="O512" s="1067"/>
      <c r="P512" s="1067"/>
      <c r="Q512" s="1125"/>
      <c r="R512" s="1125"/>
    </row>
    <row r="513">
      <c r="A513" s="1400" t="s">
        <v>1295</v>
      </c>
      <c r="B513" s="1401">
        <v>46288</v>
      </c>
      <c r="C513" s="1400" t="str">
        <v>Wednesday</v>
      </c>
      <c r="D513" s="1407" t="s">
        <v>1227</v>
      </c>
      <c r="E513" s="1403">
        <f>24*MOD(TIMEVALUE(TRIM(MID(D513,FIND("-",D513)+1,LEN(D513)))) - TIMEVALUE(TRIM(LEFT(D513,FIND("-",D513)-1))),1)</f>
      </c>
      <c r="F513" s="1403" t="s">
        <v>1296</v>
      </c>
      <c r="G513" s="1342"/>
      <c r="H513" s="1282" t="s">
        <v>945</v>
      </c>
      <c r="I513" s="1093"/>
      <c r="J513" s="1331"/>
      <c r="K513" s="1067"/>
      <c r="L513" s="1067"/>
      <c r="M513" s="1067"/>
      <c r="N513" s="1067"/>
      <c r="O513" s="1067"/>
      <c r="P513" s="1067"/>
    </row>
    <row customHeight="true" ht="18.452380952380953" r="514">
      <c r="A514" s="1110" t="s">
        <v>1297</v>
      </c>
      <c r="B514" s="1111">
        <v>46288</v>
      </c>
      <c r="C514" s="1110" t="str">
        <v>Wednesday</v>
      </c>
      <c r="D514" s="1427" t="s">
        <v>1300</v>
      </c>
      <c r="E514" s="1112">
        <v>3</v>
      </c>
      <c r="F514" s="1113" t="s">
        <v>1301</v>
      </c>
      <c r="G514" s="1114" t="s">
        <v>1302</v>
      </c>
      <c r="H514" s="1113" t="s">
        <v>945</v>
      </c>
      <c r="I514" s="1113"/>
      <c r="J514" s="1116" t="s">
        <v>1303</v>
      </c>
      <c r="K514" s="1234"/>
      <c r="L514" s="1234"/>
      <c r="M514" s="1234"/>
      <c r="N514" s="1234"/>
      <c r="O514" s="1234"/>
      <c r="P514" s="1234"/>
      <c r="Q514" s="1235"/>
      <c r="R514" s="1235"/>
    </row>
    <row r="515">
      <c r="A515" s="1088" t="s">
        <v>1297</v>
      </c>
      <c r="B515" s="1070">
        <v>46288</v>
      </c>
      <c r="C515" s="1088" t="str">
        <v>Wednesday</v>
      </c>
      <c r="D515" s="1426" t="s">
        <v>1304</v>
      </c>
      <c r="E515" s="1093">
        <f>24*MOD(TIMEVALUE(TRIM(MID(D515,FIND("-",D515)+1,LEN(D515)))) - TIMEVALUE(TRIM(LEFT(D515,FIND("-",D515)-1))),1)</f>
      </c>
      <c r="F515" s="1282" t="s">
        <v>1299</v>
      </c>
      <c r="G515" s="1342"/>
      <c r="H515" s="1282" t="s">
        <v>945</v>
      </c>
      <c r="I515" s="1093"/>
      <c r="J515" s="1331"/>
      <c r="K515" s="1067"/>
      <c r="L515" s="1067"/>
      <c r="M515" s="1067"/>
      <c r="N515" s="1067"/>
      <c r="O515" s="1067"/>
      <c r="P515" s="1067"/>
    </row>
    <row customHeight="true" ht="18.452380952380953" r="516">
      <c r="A516" s="1239"/>
      <c r="B516" s="1284"/>
      <c r="C516" s="1239"/>
      <c r="D516" s="1240"/>
      <c r="E516" s="1093"/>
      <c r="F516" s="1282"/>
      <c r="G516" s="1342"/>
      <c r="H516" s="1282"/>
      <c r="I516" s="1282"/>
      <c r="J516" s="1331"/>
      <c r="K516" s="1067"/>
      <c r="L516" s="1067"/>
      <c r="M516" s="1067"/>
      <c r="N516" s="1067"/>
      <c r="O516" s="1067"/>
      <c r="P516" s="1067"/>
      <c r="Q516" s="1125"/>
      <c r="R516" s="1125"/>
    </row>
    <row customHeight="true" ht="18.452380952380953" r="517">
      <c r="A517" s="1239" t="s">
        <v>1305</v>
      </c>
      <c r="B517" s="1070">
        <v>46289</v>
      </c>
      <c r="C517" s="1088" t="str">
        <v>Thursday</v>
      </c>
      <c r="D517" s="1426" t="s">
        <v>1306</v>
      </c>
      <c r="E517" s="1093">
        <f t="shared" ref="E517:E519" si="112">24*MOD(TIMEVALUE(TRIM(MID(D517,FIND("-",D517)+1,LEN(D517)))) - TIMEVALUE(TRIM(LEFT(D517,FIND("-",D517)-1))),1)</f>
      </c>
      <c r="F517" s="1282" t="s">
        <v>1296</v>
      </c>
      <c r="G517" s="1342"/>
      <c r="H517" s="1282"/>
      <c r="I517" s="1282"/>
      <c r="J517" s="1331"/>
      <c r="K517" s="1067"/>
      <c r="L517" s="1067"/>
      <c r="M517" s="1067"/>
      <c r="N517" s="1067"/>
      <c r="O517" s="1067"/>
      <c r="P517" s="1067"/>
      <c r="Q517" s="1125"/>
      <c r="R517" s="1125"/>
    </row>
    <row customHeight="true" ht="18.452380952380953" r="518">
      <c r="A518" s="1400" t="s">
        <v>1295</v>
      </c>
      <c r="B518" s="1401">
        <v>46289</v>
      </c>
      <c r="C518" s="1400" t="str">
        <v>Thursday</v>
      </c>
      <c r="D518" s="1407" t="s">
        <v>1064</v>
      </c>
      <c r="E518" s="1403">
        <f t="shared" si="112"/>
      </c>
      <c r="F518" s="1403" t="s">
        <v>1296</v>
      </c>
      <c r="G518" s="1342"/>
      <c r="H518" s="1282" t="s">
        <v>945</v>
      </c>
      <c r="I518" s="1282"/>
      <c r="J518" s="1331"/>
      <c r="K518" s="1067"/>
      <c r="L518" s="1067"/>
      <c r="M518" s="1067"/>
      <c r="N518" s="1067"/>
      <c r="O518" s="1067"/>
      <c r="P518" s="1067"/>
    </row>
    <row customHeight="true" ht="18.452380952380953" r="519">
      <c r="A519" s="1088" t="s">
        <v>1297</v>
      </c>
      <c r="B519" s="1070">
        <v>46289</v>
      </c>
      <c r="C519" s="1088" t="str">
        <v>Thursday</v>
      </c>
      <c r="D519" s="1426" t="s">
        <v>1307</v>
      </c>
      <c r="E519" s="1093">
        <f t="shared" si="112"/>
      </c>
      <c r="F519" s="1282" t="s">
        <v>1299</v>
      </c>
      <c r="G519" s="1342"/>
      <c r="H519" s="1282" t="s">
        <v>945</v>
      </c>
      <c r="I519" s="1282"/>
      <c r="J519" s="1283" t="s">
        <v>1308</v>
      </c>
      <c r="K519" s="1067"/>
      <c r="L519" s="1067"/>
      <c r="M519" s="1067"/>
      <c r="N519" s="1067"/>
      <c r="O519" s="1067"/>
      <c r="P519" s="1067"/>
    </row>
    <row customHeight="true" ht="18.452380952380953" r="520">
      <c r="A520" s="1239"/>
      <c r="B520" s="1070"/>
      <c r="C520" s="1088"/>
      <c r="D520" s="1426"/>
      <c r="E520" s="1093"/>
      <c r="F520" s="1093"/>
      <c r="G520" s="1342"/>
      <c r="H520" s="1282"/>
      <c r="I520" s="1282"/>
      <c r="J520" s="1331"/>
      <c r="K520" s="1067"/>
      <c r="L520" s="1067"/>
      <c r="M520" s="1067"/>
      <c r="N520" s="1067"/>
      <c r="O520" s="1067"/>
      <c r="P520" s="1067"/>
      <c r="Q520" s="1125"/>
      <c r="R520" s="1125"/>
    </row>
    <row customHeight="true" ht="18.452380952380953" r="521">
      <c r="A521" s="1110" t="s">
        <v>1305</v>
      </c>
      <c r="B521" s="1111">
        <v>46290</v>
      </c>
      <c r="C521" s="1110" t="str">
        <v>Friday</v>
      </c>
      <c r="D521" s="1427" t="s">
        <v>1220</v>
      </c>
      <c r="E521" s="1113">
        <f t="shared" ref="E521:E525" si="113">24*MOD(TIMEVALUE(TRIM(MID(D521,FIND("-",D521)+1,LEN(D521)))) - TIMEVALUE(TRIM(LEFT(D521,FIND("-",D521)-1))),1)</f>
      </c>
      <c r="F521" s="1113" t="s">
        <v>1309</v>
      </c>
      <c r="G521" s="1187"/>
      <c r="H521" s="1113" t="s">
        <v>945</v>
      </c>
      <c r="I521" s="1113"/>
      <c r="J521" s="1116" t="s">
        <v>1310</v>
      </c>
      <c r="K521" s="1234"/>
      <c r="L521" s="1234"/>
      <c r="M521" s="1234"/>
      <c r="N521" s="1234"/>
      <c r="O521" s="1234"/>
      <c r="P521" s="1234"/>
      <c r="Q521" s="1235"/>
      <c r="R521" s="1235"/>
    </row>
    <row customHeight="true" ht="18.452380952380953" r="522">
      <c r="A522" s="1239" t="s">
        <v>1295</v>
      </c>
      <c r="B522" s="1284">
        <v>46290</v>
      </c>
      <c r="C522" s="1239" t="str">
        <v>Friday</v>
      </c>
      <c r="D522" s="1240" t="s">
        <v>1149</v>
      </c>
      <c r="E522" s="1282">
        <f t="shared" si="113"/>
      </c>
      <c r="F522" s="1282" t="s">
        <v>1296</v>
      </c>
      <c r="G522" s="1342"/>
      <c r="H522" s="1282"/>
      <c r="I522" s="1282"/>
      <c r="J522" s="1331"/>
      <c r="K522" s="1067"/>
      <c r="L522" s="1067"/>
      <c r="M522" s="1067"/>
      <c r="N522" s="1067"/>
      <c r="O522" s="1067"/>
      <c r="P522" s="1067"/>
      <c r="Q522" s="1125"/>
      <c r="R522" s="1125"/>
    </row>
    <row r="523">
      <c r="A523" s="1239" t="s">
        <v>1295</v>
      </c>
      <c r="B523" s="1284">
        <v>46290</v>
      </c>
      <c r="C523" s="1239" t="str">
        <v>Friday</v>
      </c>
      <c r="D523" s="1240" t="s">
        <v>1298</v>
      </c>
      <c r="E523" s="1282">
        <f t="shared" si="113"/>
      </c>
      <c r="F523" s="1282" t="s">
        <v>1309</v>
      </c>
      <c r="G523" s="1342"/>
      <c r="H523" s="1282" t="s">
        <v>945</v>
      </c>
      <c r="I523" s="1282"/>
      <c r="J523" s="1331"/>
      <c r="K523" s="1067"/>
      <c r="L523" s="1067"/>
      <c r="M523" s="1067"/>
      <c r="N523" s="1067"/>
      <c r="O523" s="1067"/>
      <c r="P523" s="1067"/>
      <c r="Q523" s="1125"/>
      <c r="R523" s="1125"/>
    </row>
    <row customHeight="true" ht="18.452380952380953" r="524">
      <c r="A524" s="1239" t="s">
        <v>1297</v>
      </c>
      <c r="B524" s="1284">
        <v>46290</v>
      </c>
      <c r="C524" s="1239" t="str">
        <v>Friday</v>
      </c>
      <c r="D524" s="1428" t="s">
        <v>1300</v>
      </c>
      <c r="E524" s="1282">
        <f t="shared" si="113"/>
      </c>
      <c r="F524" s="1282" t="s">
        <v>1301</v>
      </c>
      <c r="G524" s="1342"/>
      <c r="H524" s="1282"/>
      <c r="I524" s="1282"/>
      <c r="J524" s="1331"/>
      <c r="K524" s="1067"/>
      <c r="L524" s="1067"/>
      <c r="M524" s="1067"/>
      <c r="N524" s="1067"/>
      <c r="O524" s="1067"/>
      <c r="P524" s="1067"/>
      <c r="Q524" s="1125"/>
      <c r="R524" s="1125"/>
    </row>
    <row r="525">
      <c r="A525" s="1239" t="s">
        <v>1297</v>
      </c>
      <c r="B525" s="1284">
        <v>46290</v>
      </c>
      <c r="C525" s="1239" t="str">
        <v>Friday</v>
      </c>
      <c r="D525" s="1428" t="s">
        <v>1298</v>
      </c>
      <c r="E525" s="1282">
        <f t="shared" si="113"/>
      </c>
      <c r="F525" s="1282" t="s">
        <v>1299</v>
      </c>
      <c r="G525" s="1342"/>
      <c r="H525" s="1282" t="s">
        <v>945</v>
      </c>
      <c r="I525" s="1282"/>
      <c r="J525" s="1331"/>
      <c r="K525" s="1067"/>
      <c r="L525" s="1067"/>
      <c r="M525" s="1067"/>
      <c r="N525" s="1067"/>
      <c r="O525" s="1067"/>
      <c r="P525" s="1067"/>
      <c r="Q525" s="1125"/>
      <c r="R525" s="1125"/>
    </row>
    <row customHeight="true" ht="18.452380952380953" r="526">
      <c r="A526" s="1239"/>
      <c r="B526" s="1284"/>
      <c r="C526" s="1239"/>
      <c r="D526" s="1240"/>
      <c r="E526" s="1282"/>
      <c r="F526" s="1282"/>
      <c r="G526" s="1342"/>
      <c r="H526" s="1282"/>
      <c r="I526" s="1282"/>
      <c r="J526" s="1429"/>
      <c r="K526" s="1430"/>
      <c r="L526" s="1430"/>
      <c r="M526" s="1430"/>
      <c r="N526" s="1430"/>
      <c r="O526" s="1430"/>
      <c r="P526" s="1430"/>
      <c r="Q526" s="1125"/>
      <c r="R526" s="1125"/>
    </row>
    <row r="527">
      <c r="A527" s="1424" t="s">
        <v>1295</v>
      </c>
      <c r="B527" s="1425">
        <v>46291</v>
      </c>
      <c r="C527" s="1424" t="str">
        <v>Saturday</v>
      </c>
      <c r="D527" s="1402" t="s">
        <v>1004</v>
      </c>
      <c r="E527" s="1405">
        <f t="shared" ref="E527:E529" si="114">24*MOD(TIMEVALUE(TRIM(MID(D527,FIND("-",D527)+1,LEN(D527)))) - TIMEVALUE(TRIM(LEFT(D527,FIND("-",D527)-1))),1)</f>
      </c>
      <c r="F527" s="1403" t="s">
        <v>1296</v>
      </c>
      <c r="G527" s="1342"/>
      <c r="H527" s="1282" t="s">
        <v>945</v>
      </c>
      <c r="I527" s="1282"/>
      <c r="J527" s="1429"/>
      <c r="K527" s="1430"/>
      <c r="L527" s="1430"/>
      <c r="M527" s="1430"/>
      <c r="N527" s="1430"/>
      <c r="O527" s="1430"/>
      <c r="P527" s="1430"/>
      <c r="Q527" s="1125"/>
      <c r="R527" s="1125"/>
    </row>
    <row customHeight="true" ht="18.452380952380953" r="528">
      <c r="A528" s="1088" t="s">
        <v>1295</v>
      </c>
      <c r="B528" s="1431">
        <v>46291</v>
      </c>
      <c r="C528" s="1088" t="str">
        <v>Saturday</v>
      </c>
      <c r="D528" s="1402" t="s">
        <v>1227</v>
      </c>
      <c r="E528" s="1405">
        <f t="shared" si="114"/>
      </c>
      <c r="F528" s="1405" t="s">
        <v>1309</v>
      </c>
      <c r="G528" s="1342"/>
      <c r="H528" s="1282"/>
      <c r="I528" s="1282"/>
      <c r="J528" s="1429"/>
      <c r="K528" s="1430"/>
      <c r="L528" s="1430"/>
      <c r="M528" s="1430"/>
      <c r="N528" s="1430"/>
      <c r="O528" s="1430"/>
      <c r="P528" s="1430"/>
    </row>
    <row customHeight="true" ht="18.452380952380953" r="529">
      <c r="A529" s="1088" t="s">
        <v>1297</v>
      </c>
      <c r="B529" s="1070">
        <v>46291</v>
      </c>
      <c r="C529" s="1088" t="str">
        <v>Saturday</v>
      </c>
      <c r="D529" s="1426" t="s">
        <v>1311</v>
      </c>
      <c r="E529" s="1093">
        <f t="shared" si="114"/>
      </c>
      <c r="F529" s="1282" t="s">
        <v>1299</v>
      </c>
      <c r="G529" s="1342"/>
      <c r="H529" s="1282" t="s">
        <v>945</v>
      </c>
      <c r="I529" s="1282"/>
      <c r="J529" s="1429"/>
      <c r="K529" s="1430"/>
      <c r="L529" s="1430"/>
      <c r="M529" s="1430"/>
      <c r="N529" s="1430"/>
      <c r="O529" s="1430"/>
      <c r="P529" s="1430"/>
    </row>
    <row customHeight="true" ht="18.452380952380953" r="530">
      <c r="A530" s="1088"/>
      <c r="B530" s="1070"/>
      <c r="C530" s="1088"/>
      <c r="D530" s="1426"/>
      <c r="E530" s="1093"/>
      <c r="F530" s="1282"/>
      <c r="G530" s="1342"/>
      <c r="H530" s="1282"/>
      <c r="I530" s="1282"/>
      <c r="J530" s="1429"/>
      <c r="K530" s="1430"/>
      <c r="L530" s="1430"/>
      <c r="M530" s="1430"/>
      <c r="N530" s="1430"/>
      <c r="O530" s="1430"/>
      <c r="P530" s="1430"/>
    </row>
    <row r="531">
      <c r="A531" s="1424" t="s">
        <v>1295</v>
      </c>
      <c r="B531" s="1425">
        <v>46292</v>
      </c>
      <c r="C531" s="1424" t="str">
        <v>Sunday</v>
      </c>
      <c r="D531" s="1402" t="s">
        <v>1190</v>
      </c>
      <c r="E531" s="1405">
        <f t="shared" ref="E531:E532" si="115">24*MOD(TIMEVALUE(TRIM(MID(D531,FIND("-",D531)+1,LEN(D531)))) - TIMEVALUE(TRIM(LEFT(D531,FIND("-",D531)-1))),1)</f>
      </c>
      <c r="F531" s="1405" t="s">
        <v>1309</v>
      </c>
      <c r="G531" s="1432"/>
      <c r="H531" s="1405" t="s">
        <v>945</v>
      </c>
      <c r="I531" s="1405"/>
      <c r="J531" s="1433"/>
      <c r="K531" s="1434"/>
      <c r="L531" s="1434"/>
      <c r="M531" s="1434"/>
      <c r="N531" s="1434"/>
      <c r="O531" s="1434"/>
      <c r="P531" s="1434"/>
      <c r="Q531" s="1435"/>
      <c r="R531" s="1435"/>
    </row>
    <row customHeight="true" ht="18.452380952380953" r="532">
      <c r="A532" s="1239" t="s">
        <v>1297</v>
      </c>
      <c r="B532" s="1070">
        <v>46292</v>
      </c>
      <c r="C532" s="1088" t="str">
        <v>Sunday</v>
      </c>
      <c r="D532" s="1426" t="s">
        <v>1298</v>
      </c>
      <c r="E532" s="1093">
        <f t="shared" si="115"/>
      </c>
      <c r="F532" s="1282" t="s">
        <v>1299</v>
      </c>
      <c r="G532" s="1342"/>
      <c r="H532" s="1282"/>
      <c r="I532" s="1282"/>
      <c r="J532" s="1429"/>
      <c r="K532" s="1430"/>
      <c r="L532" s="1430"/>
      <c r="M532" s="1430"/>
      <c r="N532" s="1430"/>
      <c r="O532" s="1430"/>
      <c r="P532" s="1430"/>
    </row>
    <row customHeight="true" ht="16.071428571428573" r="533">
      <c r="A533" s="1436"/>
      <c r="B533" s="1239"/>
      <c r="C533" s="1239"/>
      <c r="D533" s="1426"/>
      <c r="E533" s="1093"/>
      <c r="F533" s="1282"/>
      <c r="G533" s="1342"/>
      <c r="H533" s="1282"/>
      <c r="I533" s="1282"/>
      <c r="J533" s="1331"/>
      <c r="K533" s="1067"/>
      <c r="L533" s="1067"/>
      <c r="M533" s="1067"/>
      <c r="N533" s="1067"/>
      <c r="O533" s="1067"/>
      <c r="P533" s="1067"/>
    </row>
    <row customHeight="true" ht="42.261904761904766" r="534">
      <c r="A534" s="1437"/>
      <c r="B534" s="1437"/>
      <c r="C534" s="1437"/>
      <c r="D534" s="1437"/>
      <c r="E534" s="1437"/>
      <c r="F534" s="1437"/>
      <c r="G534" s="1437"/>
      <c r="H534" s="1437"/>
      <c r="I534" s="1437"/>
      <c r="J534" s="1438"/>
      <c r="K534" s="1101"/>
      <c r="L534" s="1101"/>
      <c r="M534" s="1101"/>
      <c r="N534" s="1101"/>
      <c r="O534" s="1101"/>
      <c r="P534" s="1101"/>
    </row>
    <row customHeight="true" ht="33.333333333333336" r="535">
      <c r="A535" s="1439"/>
      <c r="B535" s="1440"/>
      <c r="C535" s="1440"/>
      <c r="D535" s="1441"/>
      <c r="E535" s="1441"/>
      <c r="F535" s="1441"/>
      <c r="G535" s="1442"/>
      <c r="H535" s="1441"/>
      <c r="I535" s="1441"/>
      <c r="J535" s="1443"/>
      <c r="K535" s="1087"/>
      <c r="L535" s="1087"/>
      <c r="M535" s="1087"/>
      <c r="N535" s="1087"/>
      <c r="O535" s="1087"/>
      <c r="P535" s="1087"/>
    </row>
    <row customHeight="true" ht="16.071428571428573" r="536">
      <c r="A536" s="1444"/>
      <c r="B536" s="1445"/>
      <c r="C536" s="1446"/>
      <c r="D536" s="1447"/>
      <c r="E536" s="1448"/>
      <c r="F536" s="1449"/>
      <c r="G536" s="1450"/>
      <c r="H536" s="1448"/>
      <c r="I536" s="1448"/>
      <c r="J536" s="1451"/>
      <c r="K536" s="1451"/>
      <c r="L536" s="1451"/>
      <c r="M536" s="1451"/>
      <c r="N536" s="1451"/>
      <c r="O536" s="1451"/>
      <c r="P536" s="1451"/>
      <c r="Q536" s="1452"/>
      <c r="R536" s="1452"/>
    </row>
    <row customHeight="true" ht="22.023809523809526" r="537">
      <c r="A537" s="1239"/>
      <c r="B537" s="1284"/>
      <c r="C537" s="1239"/>
      <c r="D537" s="1428"/>
      <c r="E537" s="1282"/>
      <c r="F537" s="1282"/>
      <c r="G537" s="1342"/>
      <c r="H537" s="1282"/>
      <c r="I537" s="1282"/>
      <c r="J537" s="1331"/>
      <c r="K537" s="1067"/>
      <c r="L537" s="1067"/>
      <c r="M537" s="1067"/>
      <c r="N537" s="1067"/>
      <c r="O537" s="1067"/>
      <c r="P537" s="1067"/>
      <c r="Q537" s="1125"/>
      <c r="R537" s="1125"/>
    </row>
    <row customHeight="true" ht="22.25056689342507" r="538">
      <c r="A538" s="1444"/>
      <c r="B538" s="1445"/>
      <c r="C538" s="1446"/>
      <c r="D538" s="1447"/>
      <c r="E538" s="1448"/>
      <c r="F538" s="1449"/>
      <c r="G538" s="1453"/>
      <c r="H538" s="1448"/>
      <c r="I538" s="1448"/>
      <c r="J538" s="1454"/>
      <c r="K538" s="1451"/>
      <c r="L538" s="1451"/>
      <c r="M538" s="1451"/>
      <c r="N538" s="1451"/>
      <c r="O538" s="1451"/>
      <c r="P538" s="1451"/>
      <c r="Q538" s="1452"/>
      <c r="R538" s="1452"/>
    </row>
    <row customHeight="true" ht="22.023809523809526" r="539">
      <c r="A539" s="1455"/>
      <c r="B539" s="1456"/>
      <c r="C539" s="1455"/>
      <c r="D539" s="1457"/>
      <c r="E539" s="1458"/>
      <c r="F539" s="1459"/>
      <c r="G539" s="1460"/>
      <c r="H539" s="1458"/>
      <c r="I539" s="1458"/>
      <c r="J539" s="1461"/>
      <c r="K539" s="1067"/>
      <c r="L539" s="1067"/>
      <c r="M539" s="1067"/>
      <c r="N539" s="1067"/>
      <c r="O539" s="1067"/>
      <c r="P539" s="1067"/>
    </row>
    <row customHeight="true" ht="16.071428571428573" r="540">
      <c r="A540" s="1239"/>
      <c r="B540" s="1284"/>
      <c r="C540" s="1239"/>
      <c r="D540" s="1428"/>
      <c r="E540" s="1282"/>
      <c r="F540" s="1282"/>
      <c r="G540" s="1342"/>
      <c r="H540" s="1282"/>
      <c r="I540" s="1282"/>
      <c r="J540" s="1331"/>
      <c r="K540" s="1067"/>
      <c r="L540" s="1067"/>
      <c r="M540" s="1067"/>
      <c r="N540" s="1067"/>
      <c r="O540" s="1067"/>
      <c r="P540" s="1067"/>
      <c r="Q540" s="1125"/>
      <c r="R540" s="1125"/>
    </row>
    <row customHeight="true" ht="16.071428571428573" r="541">
      <c r="A541" s="1455"/>
      <c r="B541" s="1456"/>
      <c r="C541" s="1455"/>
      <c r="D541" s="1457"/>
      <c r="E541" s="1458"/>
      <c r="F541" s="1459"/>
      <c r="G541" s="1460"/>
      <c r="H541" s="1458"/>
      <c r="I541" s="1458"/>
      <c r="J541" s="1461"/>
      <c r="K541" s="1067"/>
      <c r="L541" s="1067"/>
      <c r="M541" s="1067"/>
      <c r="N541" s="1067"/>
      <c r="O541" s="1067"/>
      <c r="P541" s="1067"/>
    </row>
    <row customHeight="true" ht="16.071428571428573" r="542">
      <c r="A542" s="1088"/>
      <c r="B542" s="1070"/>
      <c r="C542" s="1284"/>
      <c r="D542" s="1095"/>
      <c r="E542" s="1093"/>
      <c r="F542" s="1065"/>
      <c r="G542" s="1220"/>
      <c r="H542" s="1065"/>
      <c r="I542" s="1282"/>
      <c r="J542" s="1091"/>
      <c r="K542" s="1067"/>
      <c r="L542" s="1067"/>
      <c r="M542" s="1067"/>
      <c r="N542" s="1067"/>
      <c r="O542" s="1067"/>
      <c r="P542" s="1067"/>
    </row>
    <row customHeight="true" ht="16.071428571428573" r="543">
      <c r="A543" s="1088"/>
      <c r="B543" s="1070"/>
      <c r="C543" s="1088"/>
      <c r="D543" s="1426"/>
      <c r="E543" s="1093"/>
      <c r="F543" s="1065"/>
      <c r="G543" s="1342"/>
      <c r="H543" s="1282"/>
      <c r="I543" s="1282"/>
      <c r="J543" s="1331"/>
      <c r="K543" s="1067"/>
      <c r="L543" s="1067"/>
      <c r="M543" s="1067"/>
      <c r="N543" s="1067"/>
      <c r="O543" s="1067"/>
      <c r="P543" s="1067"/>
    </row>
    <row customHeight="true" ht="16.071428571428573" r="544">
      <c r="A544" s="1088"/>
      <c r="B544" s="1070"/>
      <c r="C544" s="1088"/>
      <c r="D544" s="1426"/>
      <c r="E544" s="1093"/>
      <c r="F544" s="1065"/>
      <c r="G544" s="1342"/>
      <c r="H544" s="1282"/>
      <c r="I544" s="1282"/>
      <c r="J544" s="1331"/>
      <c r="K544" s="1067"/>
      <c r="L544" s="1067"/>
      <c r="M544" s="1067"/>
      <c r="N544" s="1067"/>
      <c r="O544" s="1067"/>
      <c r="P544" s="1067"/>
    </row>
    <row customHeight="true" ht="16.071428571428573" r="545">
      <c r="A545" s="1088"/>
      <c r="B545" s="1070"/>
      <c r="C545" s="1088"/>
      <c r="D545" s="1426"/>
      <c r="E545" s="1093"/>
      <c r="F545" s="1065"/>
      <c r="G545" s="1342"/>
      <c r="H545" s="1282"/>
      <c r="I545" s="1282"/>
      <c r="J545" s="1331"/>
      <c r="K545" s="1067"/>
      <c r="L545" s="1067"/>
      <c r="M545" s="1067"/>
      <c r="N545" s="1067"/>
      <c r="O545" s="1067"/>
      <c r="P545" s="1067"/>
    </row>
    <row customHeight="true" ht="16.071428571428573" r="546">
      <c r="A546" s="1088"/>
      <c r="B546" s="1070"/>
      <c r="C546" s="1088"/>
      <c r="D546" s="1426"/>
      <c r="E546" s="1093"/>
      <c r="F546" s="1065"/>
      <c r="G546" s="1342"/>
      <c r="H546" s="1282"/>
      <c r="I546" s="1282"/>
      <c r="J546" s="1331"/>
      <c r="K546" s="1067"/>
      <c r="L546" s="1067"/>
      <c r="M546" s="1067"/>
      <c r="N546" s="1067"/>
      <c r="O546" s="1067"/>
      <c r="P546" s="1067"/>
    </row>
    <row customHeight="true" ht="16.071428571428573" r="547">
      <c r="A547" s="1088"/>
      <c r="B547" s="1070"/>
      <c r="C547" s="1088"/>
      <c r="D547" s="1095"/>
      <c r="E547" s="1065"/>
      <c r="F547" s="1096"/>
      <c r="G547" s="1097"/>
      <c r="H547" s="1065"/>
      <c r="I547" s="1282"/>
      <c r="J547" s="1066"/>
      <c r="K547" s="1185"/>
      <c r="L547" s="1185"/>
      <c r="M547" s="1185"/>
      <c r="N547" s="1185"/>
      <c r="O547" s="1185"/>
      <c r="P547" s="1185"/>
      <c r="Q547" s="1098"/>
      <c r="R547" s="1098"/>
    </row>
    <row customHeight="true" ht="16.071428571428573" r="548">
      <c r="A548" s="1088"/>
      <c r="B548" s="1070"/>
      <c r="C548" s="1088"/>
      <c r="D548" s="1426"/>
      <c r="E548" s="1093"/>
      <c r="F548" s="1065"/>
      <c r="G548" s="1242"/>
      <c r="H548" s="1065"/>
      <c r="I548" s="1282"/>
      <c r="J548" s="1331"/>
      <c r="K548" s="1067"/>
      <c r="L548" s="1067"/>
      <c r="M548" s="1067"/>
      <c r="N548" s="1067"/>
      <c r="O548" s="1067"/>
      <c r="P548" s="1067"/>
    </row>
    <row customHeight="true" ht="16.071428571428573" r="549">
      <c r="A549" s="1455"/>
      <c r="B549" s="1456"/>
      <c r="C549" s="1455"/>
      <c r="D549" s="1457"/>
      <c r="E549" s="1458"/>
      <c r="F549" s="1459"/>
      <c r="G549" s="1460"/>
      <c r="H549" s="1458"/>
      <c r="I549" s="1282"/>
      <c r="J549" s="1461"/>
      <c r="K549" s="1067"/>
      <c r="L549" s="1067"/>
      <c r="M549" s="1067"/>
      <c r="N549" s="1067"/>
      <c r="O549" s="1067"/>
      <c r="P549" s="1067"/>
    </row>
    <row customHeight="true" ht="16.071428571428573" r="550">
      <c r="A550" s="1088"/>
      <c r="B550" s="1070"/>
      <c r="C550" s="1088"/>
      <c r="D550" s="1095"/>
      <c r="E550" s="1065"/>
      <c r="F550" s="1096"/>
      <c r="G550" s="1097"/>
      <c r="H550" s="1065"/>
      <c r="I550" s="1282"/>
      <c r="J550" s="1066"/>
      <c r="K550" s="1185"/>
      <c r="L550" s="1185"/>
      <c r="M550" s="1185"/>
      <c r="N550" s="1185"/>
      <c r="O550" s="1185"/>
      <c r="P550" s="1185"/>
      <c r="Q550" s="1098"/>
      <c r="R550" s="1098"/>
    </row>
    <row customHeight="true" ht="16.071428571428573" r="551">
      <c r="D551" s="1462"/>
    </row>
    <row customHeight="true" ht="16.071428571428573" r="552">
      <c r="D552" s="1462"/>
    </row>
    <row customHeight="true" ht="16.071428571428573" r="553">
      <c r="D553" s="1462"/>
    </row>
    <row customHeight="true" ht="16.071428571428573" r="554">
      <c r="D554" s="1462"/>
    </row>
    <row customHeight="true" ht="16.071428571428573" r="555">
      <c r="D555" s="1462"/>
    </row>
    <row customHeight="true" ht="16.071428571428573" r="556">
      <c r="D556" s="1462"/>
    </row>
    <row customHeight="true" ht="16.071428571428573" r="557">
      <c r="A557" s="1088"/>
      <c r="B557" s="1284"/>
      <c r="C557" s="1239"/>
      <c r="D557" s="1095"/>
      <c r="E557" s="1065"/>
      <c r="F557" s="1096"/>
      <c r="G557" s="1342"/>
      <c r="H557" s="1282"/>
      <c r="I557" s="1282"/>
      <c r="J557" s="1331"/>
      <c r="K557" s="1067"/>
      <c r="L557" s="1067"/>
      <c r="M557" s="1067"/>
      <c r="N557" s="1067"/>
      <c r="O557" s="1067"/>
      <c r="P557" s="1067"/>
    </row>
    <row customHeight="true" ht="16.071428571428573" r="558">
      <c r="A558" s="1088"/>
      <c r="B558" s="1284"/>
      <c r="C558" s="1239"/>
      <c r="D558" s="1095"/>
      <c r="E558" s="1065"/>
      <c r="F558" s="1096"/>
      <c r="G558" s="1342"/>
      <c r="H558" s="1282"/>
      <c r="I558" s="1282"/>
      <c r="J558" s="1331"/>
      <c r="K558" s="1067"/>
      <c r="L558" s="1067"/>
      <c r="M558" s="1067"/>
      <c r="N558" s="1067"/>
      <c r="O558" s="1067"/>
      <c r="P558" s="1067"/>
    </row>
    <row customHeight="true" ht="16.071428571428573" r="559">
      <c r="A559" s="1088"/>
      <c r="B559" s="1284"/>
      <c r="C559" s="1239"/>
      <c r="D559" s="1095"/>
      <c r="E559" s="1065"/>
      <c r="F559" s="1096"/>
      <c r="G559" s="1342"/>
      <c r="H559" s="1282"/>
      <c r="I559" s="1282"/>
      <c r="J559" s="1331"/>
      <c r="K559" s="1067"/>
      <c r="L559" s="1067"/>
      <c r="M559" s="1067"/>
      <c r="N559" s="1067"/>
      <c r="O559" s="1067"/>
      <c r="P559" s="1067"/>
    </row>
    <row customHeight="true" ht="16.071428571428573" r="560">
      <c r="A560" s="1436"/>
      <c r="B560" s="1239"/>
      <c r="C560" s="1239"/>
      <c r="D560" s="1282"/>
      <c r="E560" s="1282"/>
      <c r="F560" s="1282"/>
      <c r="G560" s="1342"/>
      <c r="H560" s="1282"/>
      <c r="I560" s="1282"/>
      <c r="J560" s="1331"/>
      <c r="K560" s="1067"/>
      <c r="L560" s="1067"/>
      <c r="M560" s="1067"/>
      <c r="N560" s="1067"/>
      <c r="O560" s="1067"/>
      <c r="P560" s="1067"/>
    </row>
    <row customHeight="true" ht="32.73809523809524" r="561">
      <c r="A561" s="1463" t="s">
        <v>1312</v>
      </c>
      <c r="B561" s="1463"/>
      <c r="C561" s="1463"/>
      <c r="D561" s="1463"/>
      <c r="E561" s="1463"/>
      <c r="F561" s="1463"/>
      <c r="G561" s="1463"/>
      <c r="H561" s="1463"/>
      <c r="I561" s="1463"/>
      <c r="J561" s="1464"/>
      <c r="K561" s="1465"/>
      <c r="L561" s="1465"/>
      <c r="M561" s="1465"/>
      <c r="N561" s="1465"/>
      <c r="O561" s="1465"/>
      <c r="P561" s="1465"/>
      <c r="Q561" s="1466"/>
      <c r="R561" s="1466"/>
    </row>
    <row customHeight="true" ht="32.73809523809524" r="562">
      <c r="A562" s="1467" t="s">
        <v>958</v>
      </c>
      <c r="B562" s="1468" t="s">
        <v>959</v>
      </c>
      <c r="C562" s="1468"/>
      <c r="D562" s="1469" t="s">
        <v>960</v>
      </c>
      <c r="E562" s="1469" t="s">
        <v>961</v>
      </c>
      <c r="F562" s="1469" t="s">
        <v>962</v>
      </c>
      <c r="G562" s="1470" t="s">
        <v>974</v>
      </c>
      <c r="H562" s="1469" t="s">
        <v>964</v>
      </c>
      <c r="I562" s="1469" t="s">
        <v>965</v>
      </c>
      <c r="J562" s="1471" t="s">
        <v>966</v>
      </c>
      <c r="K562" s="1472"/>
      <c r="L562" s="1472"/>
      <c r="M562" s="1472"/>
      <c r="N562" s="1472"/>
      <c r="O562" s="1472"/>
      <c r="P562" s="1472"/>
      <c r="Q562" s="1466"/>
      <c r="R562" s="1466"/>
    </row>
    <row customHeight="true" ht="16.071428571428573" r="563">
      <c r="A563" s="1412"/>
      <c r="B563" s="1070"/>
      <c r="C563" s="1088"/>
      <c r="D563" s="1095"/>
      <c r="E563" s="1093"/>
      <c r="F563" s="1091"/>
      <c r="G563" s="1242"/>
      <c r="H563" s="1473"/>
      <c r="I563" s="1093"/>
      <c r="J563" s="1333"/>
      <c r="K563" s="1067"/>
      <c r="L563" s="1067"/>
      <c r="M563" s="1067"/>
      <c r="N563" s="1067"/>
      <c r="O563" s="1067"/>
      <c r="P563" s="1067"/>
    </row>
    <row customHeight="true" ht="16.071428571428573" r="564">
      <c r="A564" s="1474"/>
      <c r="B564" s="1118"/>
      <c r="C564" s="1117"/>
      <c r="D564" s="1119"/>
      <c r="E564" s="1093"/>
      <c r="F564" s="1123"/>
      <c r="G564" s="1475"/>
      <c r="H564" s="1476"/>
      <c r="I564" s="1120"/>
      <c r="J564" s="1302"/>
      <c r="K564" s="1302"/>
      <c r="L564" s="1302"/>
      <c r="M564" s="1302"/>
      <c r="N564" s="1302"/>
      <c r="O564" s="1302"/>
      <c r="P564" s="1302"/>
      <c r="Q564" s="1303"/>
      <c r="R564" s="1303"/>
    </row>
    <row customHeight="true" ht="16.071428571428573" r="565">
      <c r="A565" s="1412"/>
      <c r="B565" s="1070"/>
      <c r="C565" s="1239"/>
      <c r="D565" s="1095"/>
      <c r="E565" s="1093"/>
      <c r="F565" s="1091"/>
      <c r="G565" s="1242"/>
      <c r="H565" s="1473"/>
      <c r="I565" s="1093"/>
      <c r="J565" s="1091"/>
      <c r="K565" s="1067"/>
      <c r="L565" s="1067"/>
      <c r="M565" s="1067"/>
      <c r="N565" s="1067"/>
      <c r="O565" s="1067"/>
      <c r="P565" s="1067"/>
    </row>
    <row customHeight="true" ht="16.071428571428573" r="566">
      <c r="A566" s="1474"/>
      <c r="B566" s="1118"/>
      <c r="C566" s="1117"/>
      <c r="D566" s="1119"/>
      <c r="E566" s="1093"/>
      <c r="F566" s="1123"/>
      <c r="G566" s="1121"/>
      <c r="H566" s="1476"/>
      <c r="I566" s="1120"/>
      <c r="J566" s="1123"/>
      <c r="K566" s="1302"/>
      <c r="L566" s="1302"/>
      <c r="M566" s="1302"/>
      <c r="N566" s="1302"/>
      <c r="O566" s="1302"/>
      <c r="P566" s="1302"/>
      <c r="Q566" s="1303"/>
      <c r="R566" s="1303"/>
    </row>
    <row customHeight="true" ht="16.071428571428573" r="567">
      <c r="A567" s="1474"/>
      <c r="B567" s="1118"/>
      <c r="C567" s="1117"/>
      <c r="D567" s="1119"/>
      <c r="E567" s="1093"/>
      <c r="F567" s="1123"/>
      <c r="G567" s="1121"/>
      <c r="H567" s="1476"/>
      <c r="I567" s="1120"/>
      <c r="J567" s="1123"/>
      <c r="K567" s="1302"/>
      <c r="L567" s="1302"/>
      <c r="M567" s="1302"/>
      <c r="N567" s="1302"/>
      <c r="O567" s="1302"/>
      <c r="P567" s="1302"/>
      <c r="Q567" s="1303"/>
      <c r="R567" s="1303"/>
    </row>
    <row customHeight="true" ht="16.071428571428573" r="568">
      <c r="A568" s="1412"/>
      <c r="B568" s="1070"/>
      <c r="C568" s="1239"/>
      <c r="D568" s="1095"/>
      <c r="E568" s="1093"/>
      <c r="F568" s="1091"/>
      <c r="G568" s="1242"/>
      <c r="H568" s="1473"/>
      <c r="I568" s="1093"/>
      <c r="J568" s="1091"/>
      <c r="K568" s="1067"/>
      <c r="L568" s="1067"/>
      <c r="M568" s="1067"/>
      <c r="N568" s="1067"/>
      <c r="O568" s="1067"/>
      <c r="P568" s="1067"/>
    </row>
    <row customHeight="true" ht="16.071428571428573" r="569">
      <c r="A569" s="1474"/>
      <c r="B569" s="1118"/>
      <c r="C569" s="1117"/>
      <c r="D569" s="1119"/>
      <c r="E569" s="1093"/>
      <c r="F569" s="1123"/>
      <c r="G569" s="1121"/>
      <c r="H569" s="1476"/>
      <c r="I569" s="1120"/>
      <c r="J569" s="1123"/>
      <c r="K569" s="1302"/>
      <c r="L569" s="1302"/>
      <c r="M569" s="1302"/>
      <c r="N569" s="1302"/>
      <c r="O569" s="1302"/>
      <c r="P569" s="1302"/>
      <c r="Q569" s="1303"/>
      <c r="R569" s="1303"/>
    </row>
    <row customHeight="true" ht="16.071428571428573" r="570">
      <c r="A570" s="1474"/>
      <c r="B570" s="1118"/>
      <c r="C570" s="1117"/>
      <c r="D570" s="1119"/>
      <c r="E570" s="1093"/>
      <c r="F570" s="1123"/>
      <c r="G570" s="1121"/>
      <c r="H570" s="1476"/>
      <c r="I570" s="1120"/>
      <c r="J570" s="1123"/>
      <c r="K570" s="1302"/>
      <c r="L570" s="1302"/>
      <c r="M570" s="1302"/>
      <c r="N570" s="1302"/>
      <c r="O570" s="1302"/>
      <c r="P570" s="1302"/>
      <c r="Q570" s="1303"/>
      <c r="R570" s="1303"/>
    </row>
    <row customHeight="true" ht="16.071428571428573" r="571">
      <c r="A571" s="1477"/>
      <c r="B571" s="1284"/>
      <c r="C571" s="1239"/>
      <c r="D571" s="1240"/>
      <c r="E571" s="1282"/>
      <c r="F571" s="1242"/>
      <c r="G571" s="1242"/>
      <c r="H571" s="1478"/>
      <c r="I571" s="1282"/>
      <c r="J571" s="1331"/>
      <c r="K571" s="1067"/>
      <c r="L571" s="1067"/>
      <c r="M571" s="1067"/>
      <c r="N571" s="1067"/>
      <c r="O571" s="1067"/>
      <c r="P571" s="1067"/>
      <c r="Q571" s="1125"/>
      <c r="R571" s="1125"/>
    </row>
    <row customHeight="true" ht="16.071428571428573" r="572">
      <c r="A572" s="1479"/>
      <c r="B572" s="1480"/>
      <c r="C572" s="1480"/>
      <c r="D572" s="1481"/>
      <c r="E572" s="1482"/>
      <c r="F572" s="1483"/>
      <c r="G572" s="1484"/>
      <c r="H572" s="1485"/>
      <c r="I572" s="1482"/>
      <c r="J572" s="1483"/>
      <c r="K572" s="1486"/>
      <c r="L572" s="1486"/>
      <c r="M572" s="1486"/>
      <c r="N572" s="1486"/>
      <c r="O572" s="1486"/>
      <c r="P572" s="1486"/>
      <c r="Q572" s="1316"/>
      <c r="R572" s="1316"/>
    </row>
    <row customHeight="true" ht="16.071428571428573" r="573">
      <c r="A573" s="1479"/>
      <c r="B573" s="1480"/>
      <c r="C573" s="1480"/>
      <c r="D573" s="1481"/>
      <c r="E573" s="1481"/>
      <c r="F573" s="1483"/>
      <c r="G573" s="1487"/>
      <c r="H573" s="1485"/>
      <c r="I573" s="1482"/>
      <c r="J573" s="1483"/>
      <c r="K573" s="1486"/>
      <c r="L573" s="1486"/>
      <c r="M573" s="1486"/>
      <c r="N573" s="1486"/>
      <c r="O573" s="1486"/>
      <c r="P573" s="1486"/>
      <c r="Q573" s="1316"/>
      <c r="R573" s="1316"/>
    </row>
    <row customHeight="true" ht="16.071428571428573" r="574">
      <c r="A574" s="1436"/>
      <c r="B574" s="1284"/>
      <c r="C574" s="1239"/>
      <c r="D574" s="1240"/>
      <c r="E574" s="1282"/>
      <c r="F574" s="1282"/>
      <c r="G574" s="1242"/>
      <c r="H574" s="1478"/>
      <c r="I574" s="1282"/>
      <c r="J574" s="1331"/>
      <c r="K574" s="1067"/>
      <c r="L574" s="1067"/>
      <c r="M574" s="1067"/>
      <c r="N574" s="1067"/>
      <c r="O574" s="1067"/>
      <c r="P574" s="1067"/>
      <c r="Q574" s="1125"/>
      <c r="R574" s="1125"/>
    </row>
    <row customHeight="true" ht="16.071428571428573" r="575">
      <c r="A575" s="1436"/>
      <c r="B575" s="1284"/>
      <c r="C575" s="1239"/>
      <c r="D575" s="1065"/>
      <c r="E575" s="1282"/>
      <c r="F575" s="1096"/>
      <c r="G575" s="1342"/>
      <c r="H575" s="1282"/>
      <c r="I575" s="1282"/>
      <c r="J575" s="1331"/>
      <c r="K575" s="1067"/>
      <c r="L575" s="1067"/>
      <c r="M575" s="1067"/>
      <c r="N575" s="1067"/>
      <c r="O575" s="1067"/>
      <c r="P575" s="1067"/>
    </row>
    <row customHeight="true" ht="16.071428571428573" r="576">
      <c r="A576" s="1436"/>
      <c r="B576" s="1239"/>
      <c r="C576" s="1239"/>
      <c r="D576" s="1282"/>
      <c r="E576" s="1282"/>
      <c r="F576" s="1282"/>
      <c r="G576" s="1342"/>
      <c r="H576" s="1282"/>
      <c r="I576" s="1282"/>
      <c r="J576" s="1331"/>
      <c r="K576" s="1067"/>
      <c r="L576" s="1067"/>
      <c r="M576" s="1067"/>
      <c r="N576" s="1067"/>
      <c r="O576" s="1067"/>
      <c r="P576" s="1067"/>
    </row>
    <row r="577">
      <c r="A577" s="1488" t="s">
        <v>1313</v>
      </c>
      <c r="B577" s="1488"/>
      <c r="C577" s="1488"/>
      <c r="D577" s="1488"/>
      <c r="E577" s="1488"/>
      <c r="F577" s="1488"/>
      <c r="G577" s="1488"/>
      <c r="H577" s="1488"/>
      <c r="I577" s="1488"/>
      <c r="J577" s="1489"/>
      <c r="K577" s="1101"/>
      <c r="L577" s="1101"/>
      <c r="M577" s="1101"/>
      <c r="N577" s="1101"/>
      <c r="O577" s="1101"/>
      <c r="P577" s="1101"/>
    </row>
    <row r="578">
      <c r="A578" s="1490" t="s">
        <v>958</v>
      </c>
      <c r="B578" s="1491" t="s">
        <v>959</v>
      </c>
      <c r="C578" s="1491"/>
      <c r="D578" s="1492" t="s">
        <v>960</v>
      </c>
      <c r="E578" s="1492" t="s">
        <v>961</v>
      </c>
      <c r="F578" s="1492" t="s">
        <v>962</v>
      </c>
      <c r="G578" s="1493" t="s">
        <v>974</v>
      </c>
      <c r="H578" s="1492" t="s">
        <v>964</v>
      </c>
      <c r="I578" s="1492" t="s">
        <v>965</v>
      </c>
      <c r="J578" s="1494" t="s">
        <v>966</v>
      </c>
      <c r="K578" s="1495" t="s">
        <v>1314</v>
      </c>
      <c r="L578" s="1087"/>
      <c r="M578" s="1087"/>
      <c r="N578" s="1087"/>
      <c r="O578" s="1087"/>
      <c r="P578" s="1087"/>
    </row>
    <row customHeight="true" ht="18.452380952380953" r="579">
      <c r="A579" s="1088" t="s">
        <v>1315</v>
      </c>
      <c r="B579" s="1070">
        <v>46287</v>
      </c>
      <c r="C579" s="1088" t="str">
        <v>Tuesday</v>
      </c>
      <c r="D579" s="1095" t="s">
        <v>1316</v>
      </c>
      <c r="E579" s="1065">
        <f t="shared" ref="E579:E614" si="116">24*MOD(TIMEVALUE(TRIM(MID(D579,FIND("-",D579)+1,LEN(D579)))) - TIMEVALUE(TRIM(LEFT(D579,FIND("-",D579)-1))),1)</f>
      </c>
      <c r="F579" s="1093" t="s">
        <v>1317</v>
      </c>
      <c r="G579" s="1217"/>
      <c r="H579" s="1065" t="s">
        <v>945</v>
      </c>
      <c r="I579" s="1065" t="s">
        <v>946</v>
      </c>
      <c r="J579" s="1091"/>
      <c r="K579" s="1238" t="s">
        <v>1318</v>
      </c>
      <c r="L579" s="1067"/>
      <c r="M579" s="1067"/>
      <c r="N579" s="1067"/>
      <c r="O579" s="1067"/>
      <c r="P579" s="1067"/>
    </row>
    <row customHeight="true" ht="18.452380952380953" r="580">
      <c r="A580" s="1088" t="s">
        <v>1315</v>
      </c>
      <c r="B580" s="1070">
        <v>46287</v>
      </c>
      <c r="C580" s="1088" t="str">
        <v>Tuesday</v>
      </c>
      <c r="D580" s="1095" t="s">
        <v>1319</v>
      </c>
      <c r="E580" s="1065">
        <f t="shared" si="116"/>
      </c>
      <c r="F580" s="1093" t="s">
        <v>1320</v>
      </c>
      <c r="G580" s="1217"/>
      <c r="H580" s="1065" t="s">
        <v>945</v>
      </c>
      <c r="I580" s="1065" t="s">
        <v>946</v>
      </c>
      <c r="J580" s="1496" t="s">
        <v>1321</v>
      </c>
      <c r="K580" s="1238" t="s">
        <v>1318</v>
      </c>
      <c r="L580" s="1067"/>
      <c r="M580" s="1067"/>
      <c r="N580" s="1067"/>
      <c r="O580" s="1067"/>
      <c r="P580" s="1067"/>
    </row>
    <row customHeight="true" ht="18.452380952380953" r="581">
      <c r="A581" s="1400" t="s">
        <v>1322</v>
      </c>
      <c r="B581" s="1401">
        <v>46287</v>
      </c>
      <c r="C581" s="1400" t="str">
        <v>Tuesday</v>
      </c>
      <c r="D581" s="1497" t="s">
        <v>1323</v>
      </c>
      <c r="E581" s="1403">
        <f t="shared" si="116"/>
      </c>
      <c r="F581" s="1403" t="s">
        <v>1324</v>
      </c>
      <c r="G581" s="1498" t="s">
        <v>1325</v>
      </c>
      <c r="H581" s="1403" t="s">
        <v>945</v>
      </c>
      <c r="I581" s="1403" t="s">
        <v>946</v>
      </c>
      <c r="J581" s="1499"/>
      <c r="K581" s="1238" t="s">
        <v>1318</v>
      </c>
      <c r="L581" s="1067"/>
      <c r="M581" s="1067"/>
      <c r="N581" s="1067"/>
      <c r="O581" s="1067"/>
      <c r="P581" s="1067"/>
    </row>
    <row customHeight="true" ht="18.452380952380953" r="582">
      <c r="A582" s="1400" t="s">
        <v>1322</v>
      </c>
      <c r="B582" s="1401">
        <v>46287</v>
      </c>
      <c r="C582" s="1400" t="str">
        <v>Tuesday</v>
      </c>
      <c r="D582" s="1497" t="s">
        <v>1326</v>
      </c>
      <c r="E582" s="1403">
        <f t="shared" si="116"/>
      </c>
      <c r="F582" s="1403"/>
      <c r="G582" s="1498" t="s">
        <v>1327</v>
      </c>
      <c r="H582" s="1403" t="s">
        <v>945</v>
      </c>
      <c r="I582" s="1403" t="s">
        <v>946</v>
      </c>
      <c r="J582" s="1499"/>
      <c r="K582" s="1238" t="s">
        <v>1318</v>
      </c>
      <c r="L582" s="1067"/>
      <c r="M582" s="1067"/>
      <c r="N582" s="1067"/>
      <c r="O582" s="1067"/>
      <c r="P582" s="1067"/>
    </row>
    <row customHeight="true" ht="18.452380952380953" r="583">
      <c r="A583" s="1400" t="s">
        <v>1322</v>
      </c>
      <c r="B583" s="1401">
        <v>46287</v>
      </c>
      <c r="C583" s="1400" t="str">
        <v>Tuesday</v>
      </c>
      <c r="D583" s="1497" t="s">
        <v>1328</v>
      </c>
      <c r="E583" s="1403">
        <f t="shared" si="116"/>
      </c>
      <c r="F583" s="1403" t="s">
        <v>1324</v>
      </c>
      <c r="G583" s="1498" t="s">
        <v>1329</v>
      </c>
      <c r="H583" s="1403" t="s">
        <v>945</v>
      </c>
      <c r="I583" s="1403" t="s">
        <v>946</v>
      </c>
      <c r="J583" s="1499"/>
      <c r="K583" s="1238" t="s">
        <v>1318</v>
      </c>
      <c r="L583" s="1067"/>
      <c r="M583" s="1067"/>
      <c r="N583" s="1067"/>
      <c r="O583" s="1067"/>
      <c r="P583" s="1067"/>
    </row>
    <row customHeight="true" ht="18.452380952380953" r="584">
      <c r="A584" s="1500" t="s">
        <v>1330</v>
      </c>
      <c r="B584" s="1501">
        <v>46287</v>
      </c>
      <c r="C584" s="1500" t="str">
        <v>Tuesday</v>
      </c>
      <c r="D584" s="1502" t="s">
        <v>1331</v>
      </c>
      <c r="E584" s="1503">
        <f t="shared" si="116"/>
      </c>
      <c r="F584" s="1503" t="s">
        <v>1332</v>
      </c>
      <c r="G584" s="1504" t="s">
        <v>1333</v>
      </c>
      <c r="H584" s="1503" t="s">
        <v>945</v>
      </c>
      <c r="I584" s="1503" t="s">
        <v>946</v>
      </c>
      <c r="J584" s="1505"/>
      <c r="K584" s="1238" t="s">
        <v>1318</v>
      </c>
      <c r="L584" s="1067"/>
      <c r="M584" s="1067"/>
      <c r="N584" s="1067"/>
      <c r="O584" s="1067"/>
      <c r="P584" s="1067"/>
      <c r="Q584" s="1125"/>
      <c r="R584" s="1125"/>
    </row>
    <row customHeight="true" ht="18.452380952380953" r="585">
      <c r="A585" s="1500" t="s">
        <v>1330</v>
      </c>
      <c r="B585" s="1501">
        <v>46287</v>
      </c>
      <c r="C585" s="1500" t="str">
        <v>Tuesday</v>
      </c>
      <c r="D585" s="1502" t="s">
        <v>1331</v>
      </c>
      <c r="E585" s="1503">
        <f t="shared" si="116"/>
      </c>
      <c r="F585" s="1503" t="s">
        <v>1334</v>
      </c>
      <c r="G585" s="1504" t="s">
        <v>1335</v>
      </c>
      <c r="H585" s="1503" t="s">
        <v>945</v>
      </c>
      <c r="I585" s="1503" t="s">
        <v>946</v>
      </c>
      <c r="J585" s="1505"/>
      <c r="K585" s="1238" t="s">
        <v>1318</v>
      </c>
      <c r="L585" s="1067"/>
      <c r="M585" s="1067"/>
      <c r="N585" s="1067"/>
      <c r="O585" s="1067"/>
      <c r="P585" s="1067"/>
      <c r="Q585" s="1125"/>
      <c r="R585" s="1125"/>
    </row>
    <row customHeight="true" ht="18.452380952380953" r="586">
      <c r="A586" s="1239" t="s">
        <v>1315</v>
      </c>
      <c r="B586" s="1284">
        <v>46288</v>
      </c>
      <c r="C586" s="1239" t="str">
        <v>Wednesday</v>
      </c>
      <c r="D586" s="1095" t="s">
        <v>1233</v>
      </c>
      <c r="E586" s="1065">
        <f t="shared" si="116"/>
      </c>
      <c r="F586" s="1093" t="s">
        <v>1317</v>
      </c>
      <c r="G586" s="1242"/>
      <c r="H586" s="1282" t="s">
        <v>945</v>
      </c>
      <c r="I586" s="1282" t="s">
        <v>946</v>
      </c>
      <c r="J586" s="1331"/>
      <c r="K586" s="1238" t="s">
        <v>1318</v>
      </c>
      <c r="L586" s="1067"/>
      <c r="M586" s="1067"/>
      <c r="N586" s="1067"/>
      <c r="O586" s="1067"/>
      <c r="P586" s="1067"/>
      <c r="Q586" s="1125"/>
      <c r="R586" s="1125"/>
    </row>
    <row customHeight="true" ht="18.452380952380953" r="587">
      <c r="A587" s="1239" t="s">
        <v>1315</v>
      </c>
      <c r="B587" s="1284">
        <v>46288</v>
      </c>
      <c r="C587" s="1239" t="str">
        <v>Wednesday</v>
      </c>
      <c r="D587" s="1095" t="s">
        <v>1260</v>
      </c>
      <c r="E587" s="1065">
        <f t="shared" si="116"/>
      </c>
      <c r="F587" s="1093" t="s">
        <v>1320</v>
      </c>
      <c r="G587" s="1242"/>
      <c r="H587" s="1282" t="s">
        <v>945</v>
      </c>
      <c r="I587" s="1282" t="s">
        <v>946</v>
      </c>
      <c r="J587" s="1331"/>
      <c r="K587" s="1238" t="s">
        <v>1318</v>
      </c>
      <c r="L587" s="1067"/>
      <c r="M587" s="1067"/>
      <c r="N587" s="1067"/>
      <c r="O587" s="1067"/>
      <c r="P587" s="1067"/>
      <c r="Q587" s="1125"/>
      <c r="R587" s="1125"/>
    </row>
    <row customHeight="true" ht="18.452380952380953" r="588">
      <c r="A588" s="1400" t="s">
        <v>1322</v>
      </c>
      <c r="B588" s="1506">
        <v>46288</v>
      </c>
      <c r="C588" s="1400" t="str">
        <v>Wednesday</v>
      </c>
      <c r="D588" s="1407" t="s">
        <v>1336</v>
      </c>
      <c r="E588" s="1403">
        <f t="shared" si="116"/>
      </c>
      <c r="F588" s="1403" t="s">
        <v>1324</v>
      </c>
      <c r="G588" s="1498" t="s">
        <v>1325</v>
      </c>
      <c r="H588" s="1405" t="s">
        <v>945</v>
      </c>
      <c r="I588" s="1405" t="s">
        <v>946</v>
      </c>
      <c r="J588" s="1507"/>
      <c r="K588" s="1238" t="s">
        <v>1318</v>
      </c>
      <c r="L588" s="1067"/>
      <c r="M588" s="1067"/>
      <c r="N588" s="1067"/>
      <c r="O588" s="1067"/>
      <c r="P588" s="1067"/>
      <c r="Q588" s="1125"/>
      <c r="R588" s="1125"/>
    </row>
    <row customHeight="true" ht="18.452380952380953" r="589">
      <c r="A589" s="1400" t="s">
        <v>1322</v>
      </c>
      <c r="B589" s="1506">
        <v>46288</v>
      </c>
      <c r="C589" s="1400" t="str">
        <v>Wednesday</v>
      </c>
      <c r="D589" s="1407" t="s">
        <v>1337</v>
      </c>
      <c r="E589" s="1403">
        <f t="shared" si="116"/>
      </c>
      <c r="F589" s="1403"/>
      <c r="G589" s="1498" t="s">
        <v>1338</v>
      </c>
      <c r="H589" s="1405" t="s">
        <v>945</v>
      </c>
      <c r="I589" s="1405" t="s">
        <v>946</v>
      </c>
      <c r="J589" s="1507"/>
      <c r="K589" s="1238" t="s">
        <v>1318</v>
      </c>
      <c r="L589" s="1067"/>
      <c r="M589" s="1067"/>
      <c r="N589" s="1067"/>
      <c r="O589" s="1067"/>
      <c r="P589" s="1067"/>
      <c r="Q589" s="1125"/>
      <c r="R589" s="1125"/>
    </row>
    <row customHeight="true" ht="18.452380952380953" r="590">
      <c r="A590" s="1110" t="s">
        <v>1322</v>
      </c>
      <c r="B590" s="1508">
        <v>46288</v>
      </c>
      <c r="C590" s="1110" t="str">
        <v>Wednesday</v>
      </c>
      <c r="D590" s="1112" t="s">
        <v>1339</v>
      </c>
      <c r="E590" s="1113">
        <f t="shared" si="116"/>
      </c>
      <c r="F590" s="1113" t="s">
        <v>1324</v>
      </c>
      <c r="G590" s="1114" t="s">
        <v>1329</v>
      </c>
      <c r="H590" s="1113" t="s">
        <v>945</v>
      </c>
      <c r="I590" s="1113" t="s">
        <v>946</v>
      </c>
      <c r="J590" s="1116"/>
      <c r="K590" s="1238" t="s">
        <v>1318</v>
      </c>
      <c r="L590" s="1067"/>
      <c r="M590" s="1067"/>
      <c r="N590" s="1067"/>
      <c r="O590" s="1067"/>
      <c r="P590" s="1067"/>
      <c r="Q590" s="1125"/>
      <c r="R590" s="1125"/>
    </row>
    <row customHeight="true" ht="18.452380952380953" r="591">
      <c r="A591" s="1239" t="s">
        <v>1315</v>
      </c>
      <c r="B591" s="1509">
        <v>46289</v>
      </c>
      <c r="C591" s="1239" t="str">
        <v>Thursday</v>
      </c>
      <c r="D591" s="1240" t="s">
        <v>987</v>
      </c>
      <c r="E591" s="1282">
        <f t="shared" si="116"/>
      </c>
      <c r="F591" s="1282" t="s">
        <v>1340</v>
      </c>
      <c r="G591" s="1242" t="s">
        <v>1341</v>
      </c>
      <c r="H591" s="1282" t="s">
        <v>945</v>
      </c>
      <c r="I591" s="1282" t="s">
        <v>946</v>
      </c>
      <c r="J591" s="1331"/>
      <c r="K591" s="1238" t="s">
        <v>1318</v>
      </c>
      <c r="L591" s="1067"/>
      <c r="M591" s="1067"/>
      <c r="N591" s="1067"/>
      <c r="O591" s="1067"/>
      <c r="P591" s="1067"/>
      <c r="Q591" s="1125"/>
      <c r="R591" s="1125"/>
    </row>
    <row customHeight="true" ht="18.452380952380953" r="592">
      <c r="A592" s="1239" t="s">
        <v>1315</v>
      </c>
      <c r="B592" s="1284">
        <v>46289</v>
      </c>
      <c r="C592" s="1239" t="str">
        <v>Thursday</v>
      </c>
      <c r="D592" s="1240" t="s">
        <v>1149</v>
      </c>
      <c r="E592" s="1282">
        <f t="shared" si="116"/>
      </c>
      <c r="F592" s="1093" t="s">
        <v>1317</v>
      </c>
      <c r="G592" s="1242" t="s">
        <v>1341</v>
      </c>
      <c r="H592" s="1282" t="s">
        <v>945</v>
      </c>
      <c r="I592" s="1282" t="s">
        <v>946</v>
      </c>
      <c r="J592" s="1331"/>
      <c r="K592" s="1238" t="s">
        <v>1318</v>
      </c>
      <c r="L592" s="1067"/>
      <c r="M592" s="1067"/>
      <c r="N592" s="1067"/>
      <c r="O592" s="1067"/>
      <c r="P592" s="1067"/>
      <c r="Q592" s="1125"/>
      <c r="R592" s="1125"/>
    </row>
    <row r="593">
      <c r="A593" s="1110" t="s">
        <v>1322</v>
      </c>
      <c r="B593" s="1111">
        <v>46289</v>
      </c>
      <c r="C593" s="1110" t="str">
        <v>Thursday</v>
      </c>
      <c r="D593" s="1112" t="s">
        <v>1342</v>
      </c>
      <c r="E593" s="1113">
        <f t="shared" si="116"/>
      </c>
      <c r="F593" s="1113" t="s">
        <v>1324</v>
      </c>
      <c r="G593" s="1114" t="s">
        <v>1325</v>
      </c>
      <c r="H593" s="1113" t="s">
        <v>945</v>
      </c>
      <c r="I593" s="1113" t="s">
        <v>946</v>
      </c>
      <c r="J593" s="1116"/>
      <c r="K593" s="1238" t="s">
        <v>1318</v>
      </c>
      <c r="L593" s="1238"/>
      <c r="M593" s="1238"/>
      <c r="N593" s="1238"/>
      <c r="O593" s="1238"/>
      <c r="P593" s="1238"/>
      <c r="Q593" s="1125"/>
      <c r="R593" s="1125"/>
    </row>
    <row customHeight="true" ht="18.452380952380953" r="594">
      <c r="A594" s="1400" t="s">
        <v>1322</v>
      </c>
      <c r="B594" s="1401">
        <v>46289</v>
      </c>
      <c r="C594" s="1400" t="str">
        <v>Thursday</v>
      </c>
      <c r="D594" s="1407" t="s">
        <v>1343</v>
      </c>
      <c r="E594" s="1403">
        <f t="shared" si="116"/>
      </c>
      <c r="F594" s="1403"/>
      <c r="G594" s="1498" t="s">
        <v>1344</v>
      </c>
      <c r="H594" s="1403" t="s">
        <v>945</v>
      </c>
      <c r="I594" s="1403" t="s">
        <v>946</v>
      </c>
      <c r="J594" s="1507"/>
      <c r="K594" s="1238" t="s">
        <v>1318</v>
      </c>
      <c r="L594" s="1238"/>
      <c r="M594" s="1238"/>
      <c r="N594" s="1238"/>
      <c r="O594" s="1238"/>
      <c r="P594" s="1238"/>
      <c r="Q594" s="1125"/>
      <c r="R594" s="1125"/>
    </row>
    <row customHeight="true" ht="18.452380952380953" r="595">
      <c r="A595" s="1110" t="s">
        <v>1322</v>
      </c>
      <c r="B595" s="1111">
        <v>46289</v>
      </c>
      <c r="C595" s="1110" t="str">
        <v>Thursday</v>
      </c>
      <c r="D595" s="1112" t="s">
        <v>1345</v>
      </c>
      <c r="E595" s="1113">
        <f t="shared" si="116"/>
      </c>
      <c r="F595" s="1113" t="s">
        <v>1324</v>
      </c>
      <c r="G595" s="1114" t="s">
        <v>1346</v>
      </c>
      <c r="H595" s="1113" t="s">
        <v>945</v>
      </c>
      <c r="I595" s="1113" t="s">
        <v>946</v>
      </c>
      <c r="J595" s="1116"/>
      <c r="K595" s="1238" t="s">
        <v>1318</v>
      </c>
      <c r="L595" s="1238"/>
      <c r="M595" s="1238"/>
      <c r="N595" s="1238"/>
      <c r="O595" s="1238"/>
      <c r="P595" s="1238"/>
      <c r="Q595" s="1125"/>
      <c r="R595" s="1125"/>
    </row>
    <row customHeight="true" ht="18.452380952380953" r="596">
      <c r="A596" s="1239" t="s">
        <v>1315</v>
      </c>
      <c r="B596" s="1284">
        <v>46290</v>
      </c>
      <c r="C596" s="1239" t="str">
        <v>Friday</v>
      </c>
      <c r="D596" s="1240" t="s">
        <v>987</v>
      </c>
      <c r="E596" s="1282">
        <f t="shared" si="116"/>
      </c>
      <c r="F596" s="1282" t="s">
        <v>1340</v>
      </c>
      <c r="G596" s="1242"/>
      <c r="H596" s="1282" t="s">
        <v>945</v>
      </c>
      <c r="I596" s="1282" t="s">
        <v>946</v>
      </c>
      <c r="J596" s="1331"/>
      <c r="K596" s="1238" t="s">
        <v>1318</v>
      </c>
      <c r="L596" s="1067"/>
      <c r="M596" s="1067"/>
      <c r="N596" s="1067"/>
      <c r="O596" s="1067"/>
      <c r="P596" s="1067"/>
      <c r="Q596" s="1125"/>
      <c r="R596" s="1125"/>
    </row>
    <row customHeight="true" ht="18.452380952380953" r="597">
      <c r="A597" s="1239" t="s">
        <v>1315</v>
      </c>
      <c r="B597" s="1284">
        <v>46290</v>
      </c>
      <c r="C597" s="1239" t="str">
        <v>Friday</v>
      </c>
      <c r="D597" s="1240" t="s">
        <v>1149</v>
      </c>
      <c r="E597" s="1282">
        <f t="shared" si="116"/>
      </c>
      <c r="F597" s="1093" t="s">
        <v>1317</v>
      </c>
      <c r="G597" s="1107"/>
      <c r="H597" s="1282" t="s">
        <v>945</v>
      </c>
      <c r="I597" s="1282" t="s">
        <v>946</v>
      </c>
      <c r="J597" s="1331"/>
      <c r="K597" s="1238" t="s">
        <v>1318</v>
      </c>
      <c r="L597" s="1067"/>
      <c r="M597" s="1067"/>
      <c r="N597" s="1067"/>
      <c r="O597" s="1067"/>
      <c r="P597" s="1067"/>
      <c r="Q597" s="1125"/>
      <c r="R597" s="1125"/>
    </row>
    <row r="598">
      <c r="A598" s="1400" t="s">
        <v>1322</v>
      </c>
      <c r="B598" s="1401">
        <v>46290</v>
      </c>
      <c r="C598" s="1400" t="str">
        <v>Friday</v>
      </c>
      <c r="D598" s="1407" t="s">
        <v>1347</v>
      </c>
      <c r="E598" s="1403">
        <f t="shared" si="116"/>
      </c>
      <c r="F598" s="1403" t="s">
        <v>1348</v>
      </c>
      <c r="G598" s="1498" t="s">
        <v>1325</v>
      </c>
      <c r="H598" s="1403" t="s">
        <v>945</v>
      </c>
      <c r="I598" s="1403" t="s">
        <v>946</v>
      </c>
      <c r="J598" s="1499"/>
      <c r="K598" s="1238" t="s">
        <v>1318</v>
      </c>
      <c r="L598" s="1067"/>
      <c r="M598" s="1067"/>
      <c r="N598" s="1067"/>
      <c r="O598" s="1067"/>
      <c r="P598" s="1067"/>
      <c r="Q598" s="1125"/>
      <c r="R598" s="1125"/>
    </row>
    <row customHeight="true" ht="18.452380952380953" r="599">
      <c r="A599" s="1400" t="s">
        <v>1322</v>
      </c>
      <c r="B599" s="1401">
        <v>46290</v>
      </c>
      <c r="C599" s="1400" t="str">
        <v>Friday</v>
      </c>
      <c r="D599" s="1407" t="s">
        <v>1200</v>
      </c>
      <c r="E599" s="1403">
        <f t="shared" si="116"/>
      </c>
      <c r="F599" s="1403"/>
      <c r="G599" s="1498" t="s">
        <v>1349</v>
      </c>
      <c r="H599" s="1403" t="s">
        <v>945</v>
      </c>
      <c r="I599" s="1403" t="s">
        <v>946</v>
      </c>
      <c r="J599" s="1499"/>
      <c r="K599" s="1238" t="s">
        <v>1318</v>
      </c>
      <c r="L599" s="1067"/>
      <c r="M599" s="1067"/>
      <c r="N599" s="1067"/>
      <c r="O599" s="1067"/>
      <c r="P599" s="1067"/>
      <c r="Q599" s="1125"/>
      <c r="R599" s="1125"/>
    </row>
    <row customHeight="true" ht="18.452380952380953" r="600">
      <c r="A600" s="1110" t="s">
        <v>1330</v>
      </c>
      <c r="B600" s="1111">
        <v>46290</v>
      </c>
      <c r="C600" s="1110" t="str">
        <v>Friday</v>
      </c>
      <c r="D600" s="1112" t="s">
        <v>997</v>
      </c>
      <c r="E600" s="1113">
        <f t="shared" si="116"/>
      </c>
      <c r="F600" s="1113" t="s">
        <v>1332</v>
      </c>
      <c r="G600" s="1114" t="s">
        <v>1350</v>
      </c>
      <c r="H600" s="1113" t="s">
        <v>945</v>
      </c>
      <c r="I600" s="1113" t="s">
        <v>946</v>
      </c>
      <c r="J600" s="1362"/>
      <c r="K600" s="1238" t="s">
        <v>1318</v>
      </c>
      <c r="L600" s="1067"/>
      <c r="M600" s="1067"/>
      <c r="N600" s="1067"/>
      <c r="O600" s="1067"/>
      <c r="P600" s="1067"/>
      <c r="Q600" s="1125"/>
      <c r="R600" s="1125"/>
    </row>
    <row customHeight="true" ht="18.452380952380953" r="601">
      <c r="A601" s="1500" t="s">
        <v>1330</v>
      </c>
      <c r="B601" s="1501">
        <v>46290</v>
      </c>
      <c r="C601" s="1500" t="str">
        <v>Friday</v>
      </c>
      <c r="D601" s="1502" t="s">
        <v>997</v>
      </c>
      <c r="E601" s="1503">
        <f t="shared" si="116"/>
      </c>
      <c r="F601" s="1503" t="s">
        <v>1334</v>
      </c>
      <c r="G601" s="1504" t="s">
        <v>1351</v>
      </c>
      <c r="H601" s="1503" t="s">
        <v>945</v>
      </c>
      <c r="I601" s="1503" t="s">
        <v>946</v>
      </c>
      <c r="J601" s="1505"/>
      <c r="K601" s="1238" t="s">
        <v>1318</v>
      </c>
      <c r="L601" s="1067"/>
      <c r="M601" s="1067"/>
      <c r="N601" s="1067"/>
      <c r="O601" s="1067"/>
      <c r="P601" s="1067"/>
      <c r="Q601" s="1125"/>
      <c r="R601" s="1125"/>
    </row>
    <row customHeight="true" ht="18.452380952380953" r="602">
      <c r="A602" s="1088" t="s">
        <v>1315</v>
      </c>
      <c r="B602" s="1070">
        <v>46291</v>
      </c>
      <c r="C602" s="1088" t="str">
        <v>Saturday</v>
      </c>
      <c r="D602" s="1240" t="s">
        <v>987</v>
      </c>
      <c r="E602" s="1282">
        <f t="shared" si="116"/>
      </c>
      <c r="F602" s="1282" t="s">
        <v>1340</v>
      </c>
      <c r="G602" s="1242" t="s">
        <v>1352</v>
      </c>
      <c r="H602" s="1065" t="s">
        <v>945</v>
      </c>
      <c r="I602" s="1065" t="s">
        <v>946</v>
      </c>
      <c r="J602" s="1091"/>
      <c r="K602" s="1238" t="s">
        <v>1318</v>
      </c>
      <c r="L602" s="1067"/>
      <c r="M602" s="1067"/>
      <c r="N602" s="1067"/>
      <c r="O602" s="1067"/>
      <c r="P602" s="1067"/>
    </row>
    <row customHeight="true" ht="18.452380952380953" r="603">
      <c r="A603" s="1088" t="s">
        <v>1315</v>
      </c>
      <c r="B603" s="1070">
        <v>46291</v>
      </c>
      <c r="C603" s="1088" t="str">
        <v>Saturday</v>
      </c>
      <c r="D603" s="1240" t="s">
        <v>1149</v>
      </c>
      <c r="E603" s="1282">
        <f t="shared" si="116"/>
      </c>
      <c r="F603" s="1093" t="s">
        <v>1317</v>
      </c>
      <c r="G603" s="1242" t="s">
        <v>1353</v>
      </c>
      <c r="H603" s="1065" t="s">
        <v>945</v>
      </c>
      <c r="I603" s="1065" t="s">
        <v>946</v>
      </c>
      <c r="J603" s="1091"/>
      <c r="K603" s="1238" t="s">
        <v>1318</v>
      </c>
      <c r="L603" s="1067"/>
      <c r="M603" s="1067"/>
      <c r="N603" s="1067"/>
      <c r="O603" s="1067"/>
      <c r="P603" s="1067"/>
    </row>
    <row r="604">
      <c r="A604" s="1110" t="s">
        <v>1322</v>
      </c>
      <c r="B604" s="1111">
        <v>46291</v>
      </c>
      <c r="C604" s="1110" t="str">
        <v>Saturday</v>
      </c>
      <c r="D604" s="1112" t="s">
        <v>1342</v>
      </c>
      <c r="E604" s="1113">
        <f t="shared" si="116"/>
      </c>
      <c r="F604" s="1113" t="s">
        <v>1324</v>
      </c>
      <c r="G604" s="1114" t="s">
        <v>1325</v>
      </c>
      <c r="H604" s="1113" t="s">
        <v>945</v>
      </c>
      <c r="I604" s="1113" t="s">
        <v>946</v>
      </c>
      <c r="J604" s="1362"/>
      <c r="K604" s="1238" t="s">
        <v>1318</v>
      </c>
      <c r="L604" s="1067"/>
      <c r="M604" s="1067"/>
      <c r="N604" s="1067"/>
      <c r="O604" s="1067"/>
      <c r="P604" s="1067"/>
    </row>
    <row customHeight="true" ht="18.452380952380953" r="605">
      <c r="A605" s="1110" t="s">
        <v>1322</v>
      </c>
      <c r="B605" s="1111">
        <v>46291</v>
      </c>
      <c r="C605" s="1110" t="str">
        <v>Saturday</v>
      </c>
      <c r="D605" s="1112" t="s">
        <v>1343</v>
      </c>
      <c r="E605" s="1113">
        <f t="shared" si="116"/>
      </c>
      <c r="F605" s="1113"/>
      <c r="G605" s="1114" t="s">
        <v>1354</v>
      </c>
      <c r="H605" s="1113" t="s">
        <v>945</v>
      </c>
      <c r="I605" s="1113" t="s">
        <v>946</v>
      </c>
      <c r="J605" s="1362"/>
      <c r="K605" s="1238" t="s">
        <v>1318</v>
      </c>
      <c r="L605" s="1067"/>
      <c r="M605" s="1067"/>
      <c r="N605" s="1067"/>
      <c r="O605" s="1067"/>
      <c r="P605" s="1067"/>
    </row>
    <row r="606">
      <c r="A606" s="1110" t="s">
        <v>1322</v>
      </c>
      <c r="B606" s="1111">
        <v>46291</v>
      </c>
      <c r="C606" s="1110" t="str">
        <v>Saturday</v>
      </c>
      <c r="D606" s="1112" t="s">
        <v>1355</v>
      </c>
      <c r="E606" s="1113">
        <f t="shared" si="116"/>
      </c>
      <c r="F606" s="1113" t="s">
        <v>1324</v>
      </c>
      <c r="G606" s="1114" t="s">
        <v>1356</v>
      </c>
      <c r="H606" s="1113" t="s">
        <v>945</v>
      </c>
      <c r="I606" s="1113" t="s">
        <v>946</v>
      </c>
      <c r="J606" s="1362"/>
      <c r="K606" s="1238" t="s">
        <v>1318</v>
      </c>
      <c r="L606" s="1067"/>
      <c r="M606" s="1067"/>
      <c r="N606" s="1067"/>
      <c r="O606" s="1067"/>
      <c r="P606" s="1067"/>
    </row>
    <row customHeight="true" ht="18.452380952380953" r="607">
      <c r="A607" s="1088" t="s">
        <v>1315</v>
      </c>
      <c r="B607" s="1070">
        <v>46292</v>
      </c>
      <c r="C607" s="1088" t="str">
        <v>Sunday</v>
      </c>
      <c r="D607" s="1240" t="s">
        <v>1066</v>
      </c>
      <c r="E607" s="1282">
        <f t="shared" si="116"/>
      </c>
      <c r="F607" s="1282" t="s">
        <v>1340</v>
      </c>
      <c r="G607" s="1242"/>
      <c r="H607" s="1065" t="s">
        <v>945</v>
      </c>
      <c r="I607" s="1065" t="s">
        <v>946</v>
      </c>
      <c r="J607" s="1091"/>
      <c r="K607" s="1238" t="s">
        <v>1318</v>
      </c>
      <c r="L607" s="1067"/>
      <c r="M607" s="1067"/>
      <c r="N607" s="1067"/>
      <c r="O607" s="1067"/>
      <c r="P607" s="1067"/>
    </row>
    <row customHeight="true" ht="18.452380952380953" r="608">
      <c r="A608" s="1088" t="s">
        <v>1315</v>
      </c>
      <c r="B608" s="1070">
        <v>46292</v>
      </c>
      <c r="C608" s="1088" t="str">
        <v>Sunday</v>
      </c>
      <c r="D608" s="1240" t="s">
        <v>1072</v>
      </c>
      <c r="E608" s="1282">
        <f t="shared" si="116"/>
      </c>
      <c r="F608" s="1093" t="s">
        <v>1317</v>
      </c>
      <c r="G608" s="1242"/>
      <c r="H608" s="1065" t="s">
        <v>945</v>
      </c>
      <c r="I608" s="1065" t="s">
        <v>946</v>
      </c>
      <c r="J608" s="1091"/>
      <c r="K608" s="1238" t="s">
        <v>1318</v>
      </c>
      <c r="L608" s="1067"/>
      <c r="M608" s="1067"/>
      <c r="N608" s="1067"/>
      <c r="O608" s="1067"/>
      <c r="P608" s="1067"/>
    </row>
    <row customHeight="true" ht="18.452380952380953" r="609">
      <c r="A609" s="1088" t="s">
        <v>1315</v>
      </c>
      <c r="B609" s="1070">
        <v>46292</v>
      </c>
      <c r="C609" s="1088" t="str">
        <v>Sunday</v>
      </c>
      <c r="D609" s="1240" t="s">
        <v>1260</v>
      </c>
      <c r="E609" s="1282">
        <f t="shared" si="116"/>
      </c>
      <c r="F609" s="1093" t="s">
        <v>1357</v>
      </c>
      <c r="G609" s="1107"/>
      <c r="H609" s="1065" t="s">
        <v>945</v>
      </c>
      <c r="I609" s="1065" t="s">
        <v>946</v>
      </c>
      <c r="J609" s="1091"/>
      <c r="K609" s="1238" t="s">
        <v>1318</v>
      </c>
      <c r="L609" s="1067"/>
      <c r="M609" s="1067"/>
      <c r="N609" s="1067"/>
      <c r="O609" s="1067"/>
      <c r="P609" s="1067"/>
    </row>
    <row r="610">
      <c r="A610" s="1400" t="s">
        <v>1322</v>
      </c>
      <c r="B610" s="1425">
        <v>46292</v>
      </c>
      <c r="C610" s="1400" t="str">
        <v>Sunday</v>
      </c>
      <c r="D610" s="1407" t="s">
        <v>1358</v>
      </c>
      <c r="E610" s="1403">
        <f t="shared" si="116"/>
      </c>
      <c r="F610" s="1403" t="s">
        <v>1359</v>
      </c>
      <c r="G610" s="1498" t="s">
        <v>1360</v>
      </c>
      <c r="H610" s="1403" t="s">
        <v>945</v>
      </c>
      <c r="I610" s="1403" t="s">
        <v>946</v>
      </c>
      <c r="J610" s="1499"/>
      <c r="K610" s="1238" t="s">
        <v>1318</v>
      </c>
      <c r="L610" s="1067"/>
      <c r="M610" s="1067"/>
      <c r="N610" s="1067"/>
      <c r="O610" s="1067"/>
      <c r="P610" s="1067"/>
    </row>
    <row r="611">
      <c r="A611" s="1110" t="s">
        <v>1322</v>
      </c>
      <c r="B611" s="1111">
        <v>46292</v>
      </c>
      <c r="C611" s="1110" t="str">
        <v>Sunday</v>
      </c>
      <c r="D611" s="1112" t="s">
        <v>1191</v>
      </c>
      <c r="E611" s="1113">
        <f t="shared" si="116"/>
      </c>
      <c r="F611" s="1113" t="s">
        <v>1324</v>
      </c>
      <c r="G611" s="1114"/>
      <c r="H611" s="1113" t="s">
        <v>945</v>
      </c>
      <c r="I611" s="1113" t="s">
        <v>946</v>
      </c>
      <c r="J611" s="1362"/>
      <c r="K611" s="1238" t="s">
        <v>1318</v>
      </c>
      <c r="L611" s="1067"/>
      <c r="M611" s="1067"/>
      <c r="N611" s="1067"/>
      <c r="O611" s="1067"/>
      <c r="P611" s="1067"/>
    </row>
    <row customHeight="true" ht="18.452380952380953" r="612">
      <c r="A612" s="1400" t="s">
        <v>1322</v>
      </c>
      <c r="B612" s="1425">
        <v>46292</v>
      </c>
      <c r="C612" s="1400" t="str">
        <v>Sunday</v>
      </c>
      <c r="D612" s="1407" t="s">
        <v>1191</v>
      </c>
      <c r="E612" s="1403">
        <f t="shared" si="116"/>
      </c>
      <c r="F612" s="1403" t="s">
        <v>1348</v>
      </c>
      <c r="G612" s="1498"/>
      <c r="H612" s="1403"/>
      <c r="I612" s="1403" t="s">
        <v>946</v>
      </c>
      <c r="J612" s="1499"/>
      <c r="K612" s="1238"/>
      <c r="L612" s="1067"/>
      <c r="M612" s="1067"/>
      <c r="N612" s="1067"/>
      <c r="O612" s="1067"/>
      <c r="P612" s="1067"/>
    </row>
    <row customHeight="true" ht="18.452380952380953" r="613">
      <c r="A613" s="1400" t="s">
        <v>1322</v>
      </c>
      <c r="B613" s="1425">
        <v>46292</v>
      </c>
      <c r="C613" s="1400" t="str">
        <v>Sunday</v>
      </c>
      <c r="D613" s="1407" t="s">
        <v>1361</v>
      </c>
      <c r="E613" s="1403">
        <f t="shared" si="116"/>
      </c>
      <c r="F613" s="1403" t="s">
        <v>1359</v>
      </c>
      <c r="G613" s="1498" t="s">
        <v>1329</v>
      </c>
      <c r="H613" s="1403" t="s">
        <v>945</v>
      </c>
      <c r="I613" s="1403" t="s">
        <v>946</v>
      </c>
      <c r="J613" s="1499"/>
      <c r="K613" s="1238"/>
      <c r="L613" s="1067"/>
      <c r="M613" s="1067"/>
      <c r="N613" s="1067"/>
      <c r="O613" s="1067"/>
      <c r="P613" s="1067"/>
    </row>
    <row customHeight="true" ht="18.452380952380953" r="614">
      <c r="A614" s="1500" t="s">
        <v>1330</v>
      </c>
      <c r="B614" s="1501">
        <v>46292</v>
      </c>
      <c r="C614" s="1500" t="str">
        <v>Sunday</v>
      </c>
      <c r="D614" s="1502" t="s">
        <v>1362</v>
      </c>
      <c r="E614" s="1503">
        <f t="shared" si="116"/>
      </c>
      <c r="F614" s="1503" t="s">
        <v>1334</v>
      </c>
      <c r="G614" s="1504" t="s">
        <v>1363</v>
      </c>
      <c r="H614" s="1503" t="s">
        <v>945</v>
      </c>
      <c r="I614" s="1503" t="s">
        <v>946</v>
      </c>
      <c r="J614" s="1505"/>
      <c r="K614" s="1238"/>
      <c r="L614" s="1067"/>
      <c r="M614" s="1067"/>
      <c r="N614" s="1067"/>
      <c r="O614" s="1067"/>
      <c r="P614" s="1067"/>
    </row>
    <row customHeight="true" ht="16.071428571428573" r="615">
      <c r="A615" s="1088"/>
      <c r="B615" s="1088"/>
      <c r="C615" s="1088"/>
      <c r="D615" s="1065"/>
      <c r="E615" s="1065"/>
      <c r="F615" s="1093"/>
      <c r="G615" s="1217"/>
      <c r="H615" s="1093"/>
      <c r="I615" s="1065"/>
      <c r="J615" s="1066"/>
      <c r="K615" s="1067"/>
      <c r="L615" s="1067"/>
      <c r="M615" s="1067"/>
      <c r="N615" s="1067"/>
      <c r="O615" s="1067"/>
      <c r="P615" s="1067"/>
    </row>
    <row r="616">
      <c r="A616" s="1510" t="s">
        <v>1364</v>
      </c>
      <c r="B616" s="1511"/>
      <c r="C616" s="1511"/>
      <c r="D616" s="1511"/>
      <c r="E616" s="1511"/>
      <c r="F616" s="1511"/>
      <c r="G616" s="1511"/>
      <c r="H616" s="1511"/>
      <c r="I616" s="1511"/>
      <c r="J616" s="1512"/>
      <c r="K616" s="1513" t="s">
        <v>1314</v>
      </c>
      <c r="L616" s="1514"/>
      <c r="M616" s="1514"/>
      <c r="N616" s="1514"/>
      <c r="O616" s="1514"/>
      <c r="P616" s="1514"/>
    </row>
    <row r="617">
      <c r="A617" s="1515" t="s">
        <v>958</v>
      </c>
      <c r="B617" s="1516" t="s">
        <v>959</v>
      </c>
      <c r="C617" s="1516"/>
      <c r="D617" s="1517" t="s">
        <v>960</v>
      </c>
      <c r="E617" s="1517" t="s">
        <v>961</v>
      </c>
      <c r="F617" s="1517" t="s">
        <v>962</v>
      </c>
      <c r="G617" s="1518" t="s">
        <v>974</v>
      </c>
      <c r="H617" s="1517" t="s">
        <v>964</v>
      </c>
      <c r="I617" s="1519" t="s">
        <v>1365</v>
      </c>
      <c r="J617" s="1520" t="s">
        <v>966</v>
      </c>
      <c r="K617" s="1495" t="s">
        <v>1314</v>
      </c>
      <c r="L617" s="1087"/>
      <c r="M617" s="1087"/>
      <c r="N617" s="1087"/>
      <c r="O617" s="1087"/>
      <c r="P617" s="1087"/>
    </row>
    <row customHeight="true" ht="16.071428571428573" r="618">
      <c r="A618" s="1521" t="s">
        <v>1364</v>
      </c>
      <c r="B618" s="1070">
        <v>46292</v>
      </c>
      <c r="C618" s="1088" t="str">
        <v>Sunday</v>
      </c>
      <c r="D618" s="1061" t="s">
        <v>1064</v>
      </c>
      <c r="E618" s="1093">
        <f t="shared" ref="E618:E619" si="117">24*MOD(TIMEVALUE(TRIM(MID(D618,FIND("-",D618)+1,LEN(D618)))) - TIMEVALUE(TRIM(LEFT(D618,FIND("-",D618)-1))),1)</f>
      </c>
      <c r="F618" s="1093" t="s">
        <v>1317</v>
      </c>
      <c r="G618" s="1380"/>
      <c r="H618" s="1065" t="s">
        <v>945</v>
      </c>
      <c r="I618" s="1065" t="s">
        <v>946</v>
      </c>
      <c r="J618" s="1522"/>
      <c r="K618" s="1238" t="s">
        <v>1366</v>
      </c>
      <c r="L618" s="1523"/>
      <c r="M618" s="1523"/>
      <c r="N618" s="1523"/>
      <c r="O618" s="1523"/>
      <c r="P618" s="1523"/>
      <c r="Q618" s="1125"/>
      <c r="R618" s="1125"/>
    </row>
    <row customHeight="true" ht="16.071428571428573" r="619">
      <c r="A619" s="1524" t="s">
        <v>1367</v>
      </c>
      <c r="B619" s="1525">
        <v>46292</v>
      </c>
      <c r="C619" s="1526" t="str">
        <v>Sunday</v>
      </c>
      <c r="D619" s="1527" t="s">
        <v>1368</v>
      </c>
      <c r="E619" s="1528">
        <f t="shared" si="117"/>
      </c>
      <c r="F619" s="1528" t="s">
        <v>1348</v>
      </c>
      <c r="G619" s="1529" t="s">
        <v>1369</v>
      </c>
      <c r="H619" s="1530" t="s">
        <v>945</v>
      </c>
      <c r="I619" s="1531" t="s">
        <v>946</v>
      </c>
      <c r="J619" s="1532"/>
      <c r="K619" s="1238" t="s">
        <v>1366</v>
      </c>
      <c r="L619" s="1523"/>
      <c r="M619" s="1523"/>
      <c r="N619" s="1523"/>
      <c r="O619" s="1523"/>
      <c r="P619" s="1523"/>
      <c r="Q619" s="1203"/>
      <c r="R619" s="1203"/>
    </row>
    <row customHeight="true" ht="16.071428571428573" r="620">
      <c r="A620" s="1088"/>
      <c r="B620" s="1065"/>
      <c r="C620" s="1065"/>
      <c r="D620" s="1091"/>
      <c r="E620" s="1065"/>
      <c r="F620" s="1065"/>
      <c r="G620" s="1415"/>
      <c r="H620" s="1065"/>
      <c r="I620" s="1065"/>
      <c r="J620" s="1414"/>
      <c r="K620" s="1067"/>
      <c r="L620" s="1067"/>
      <c r="M620" s="1067"/>
      <c r="N620" s="1067"/>
      <c r="O620" s="1067"/>
      <c r="P620" s="1067"/>
      <c r="Q620" s="1125"/>
      <c r="R620" s="1125"/>
    </row>
    <row r="621">
      <c r="A621" s="1088"/>
      <c r="B621" s="1065"/>
      <c r="C621" s="1065"/>
      <c r="D621" s="1091"/>
      <c r="E621" s="1065"/>
      <c r="F621" s="1065"/>
      <c r="G621" s="1415"/>
      <c r="H621" s="1065"/>
      <c r="I621" s="1065"/>
      <c r="J621" s="1414"/>
      <c r="K621" s="1067"/>
      <c r="L621" s="1067"/>
      <c r="M621" s="1067"/>
      <c r="N621" s="1067"/>
      <c r="O621" s="1067"/>
      <c r="P621" s="1067"/>
      <c r="Q621" s="1125"/>
      <c r="R621" s="1125"/>
    </row>
    <row customHeight="true" ht="16.071428571428573" r="622">
      <c r="A622" s="1533" t="s">
        <v>1370</v>
      </c>
      <c r="B622" s="1534"/>
      <c r="C622" s="1534"/>
      <c r="D622" s="1534"/>
      <c r="E622" s="1534"/>
      <c r="F622" s="1534"/>
      <c r="G622" s="1534"/>
      <c r="H622" s="1534"/>
      <c r="I622" s="1534"/>
      <c r="J622" s="1535"/>
      <c r="K622" s="1067"/>
      <c r="L622" s="1067"/>
      <c r="M622" s="1067"/>
      <c r="N622" s="1067"/>
      <c r="O622" s="1067"/>
      <c r="P622" s="1067"/>
      <c r="Q622" s="1125"/>
      <c r="R622" s="1125"/>
    </row>
    <row customHeight="true" ht="16.071428571428573" r="623">
      <c r="A623" s="1536" t="s">
        <v>1370</v>
      </c>
      <c r="B623" s="1537" t="s">
        <v>959</v>
      </c>
      <c r="C623" s="1537"/>
      <c r="D623" s="1538" t="s">
        <v>960</v>
      </c>
      <c r="E623" s="1538" t="s">
        <v>961</v>
      </c>
      <c r="F623" s="1538"/>
      <c r="G623" s="1539"/>
      <c r="H623" s="1538" t="s">
        <v>964</v>
      </c>
      <c r="I623" s="1538" t="s">
        <v>965</v>
      </c>
      <c r="J623" s="1540" t="s">
        <v>966</v>
      </c>
      <c r="K623" s="1067"/>
      <c r="L623" s="1067"/>
      <c r="M623" s="1067"/>
      <c r="N623" s="1067"/>
      <c r="O623" s="1067"/>
      <c r="P623" s="1067"/>
      <c r="Q623" s="1125"/>
      <c r="R623" s="1125"/>
    </row>
    <row customHeight="true" ht="16.071428571428573" r="624">
      <c r="A624" s="1088" t="s">
        <v>1370</v>
      </c>
      <c r="B624" s="1088">
        <v>46287</v>
      </c>
      <c r="C624" s="1088" t="str">
        <v>Tuesday</v>
      </c>
      <c r="D624" s="1061" t="s">
        <v>1190</v>
      </c>
      <c r="E624" s="1093">
        <f t="shared" ref="E624:E636" si="118">24*MOD(TIMEVALUE(TRIM(MID(D624,FIND("-",D624)+1,LEN(D624)))) - TIMEVALUE(TRIM(LEFT(D624,FIND("-",D624)-1))),1)</f>
      </c>
      <c r="F624" s="1093" t="s">
        <v>1317</v>
      </c>
      <c r="G624" s="1107" t="s">
        <v>1371</v>
      </c>
      <c r="H624" s="1093" t="s">
        <v>972</v>
      </c>
      <c r="I624" s="1065" t="s">
        <v>946</v>
      </c>
      <c r="J624" s="1066"/>
      <c r="K624" s="1067"/>
      <c r="L624" s="1067"/>
      <c r="M624" s="1067"/>
      <c r="N624" s="1067"/>
      <c r="O624" s="1067"/>
      <c r="P624" s="1067"/>
      <c r="Q624" s="1125"/>
      <c r="R624" s="1125"/>
    </row>
    <row customHeight="true" ht="16.071428571428573" r="625">
      <c r="A625" s="1110" t="s">
        <v>1372</v>
      </c>
      <c r="B625" s="1110">
        <v>46287</v>
      </c>
      <c r="C625" s="1110" t="str">
        <v>Tuesday</v>
      </c>
      <c r="D625" s="1112" t="s">
        <v>1373</v>
      </c>
      <c r="E625" s="1113">
        <f t="shared" si="118"/>
      </c>
      <c r="F625" s="1113" t="s">
        <v>1374</v>
      </c>
      <c r="G625" s="1187"/>
      <c r="H625" s="1113" t="s">
        <v>972</v>
      </c>
      <c r="I625" s="1113" t="s">
        <v>946</v>
      </c>
      <c r="J625" s="1116" t="s">
        <v>1375</v>
      </c>
      <c r="K625" s="1067"/>
      <c r="L625" s="1067"/>
      <c r="M625" s="1067"/>
      <c r="N625" s="1067"/>
      <c r="O625" s="1067"/>
      <c r="P625" s="1067"/>
      <c r="Q625" s="1125"/>
      <c r="R625" s="1125"/>
    </row>
    <row customHeight="true" ht="16.071428571428573" r="626">
      <c r="A626" s="1541" t="s">
        <v>1372</v>
      </c>
      <c r="B626" s="1542">
        <v>46287</v>
      </c>
      <c r="C626" s="1541" t="str">
        <v>Tuesday</v>
      </c>
      <c r="D626" s="1543" t="s">
        <v>1376</v>
      </c>
      <c r="E626" s="1544">
        <f t="shared" si="118"/>
      </c>
      <c r="F626" s="1544" t="s">
        <v>1277</v>
      </c>
      <c r="G626" s="1545"/>
      <c r="H626" s="1544" t="s">
        <v>972</v>
      </c>
      <c r="I626" s="1544" t="s">
        <v>946</v>
      </c>
      <c r="J626" s="1546"/>
      <c r="K626" s="1185"/>
      <c r="L626" s="1185"/>
      <c r="M626" s="1185"/>
      <c r="N626" s="1185"/>
      <c r="O626" s="1185"/>
      <c r="P626" s="1185"/>
      <c r="Q626" s="1201"/>
      <c r="R626" s="1201"/>
    </row>
    <row customHeight="true" ht="16.071428571428573" r="627">
      <c r="A627" s="1088" t="s">
        <v>1370</v>
      </c>
      <c r="B627" s="1088">
        <v>46288</v>
      </c>
      <c r="C627" s="1088" t="str">
        <v>Wednesday</v>
      </c>
      <c r="D627" s="1061" t="s">
        <v>1377</v>
      </c>
      <c r="E627" s="1093">
        <f t="shared" si="118"/>
      </c>
      <c r="F627" s="1093" t="s">
        <v>1317</v>
      </c>
      <c r="G627" s="1097"/>
      <c r="H627" s="1093" t="s">
        <v>972</v>
      </c>
      <c r="I627" s="1065" t="s">
        <v>946</v>
      </c>
      <c r="J627" s="1066"/>
      <c r="K627" s="1067"/>
      <c r="L627" s="1067"/>
      <c r="M627" s="1067"/>
      <c r="N627" s="1067"/>
      <c r="O627" s="1067"/>
      <c r="P627" s="1067"/>
      <c r="Q627" s="1125"/>
      <c r="R627" s="1125"/>
    </row>
    <row customHeight="true" ht="16.071428571428573" r="628">
      <c r="A628" s="1541" t="s">
        <v>1372</v>
      </c>
      <c r="B628" s="1541">
        <v>46288</v>
      </c>
      <c r="C628" s="1541" t="str">
        <v>Wednesday</v>
      </c>
      <c r="D628" s="1543" t="s">
        <v>1378</v>
      </c>
      <c r="E628" s="1544">
        <f t="shared" si="118"/>
      </c>
      <c r="F628" s="1547" t="s">
        <v>1277</v>
      </c>
      <c r="G628" s="1545"/>
      <c r="H628" s="1544" t="s">
        <v>972</v>
      </c>
      <c r="I628" s="1544" t="s">
        <v>946</v>
      </c>
      <c r="J628" s="1546"/>
      <c r="K628" s="1067"/>
      <c r="L628" s="1067"/>
      <c r="M628" s="1067"/>
      <c r="N628" s="1067"/>
      <c r="O628" s="1067"/>
      <c r="P628" s="1067"/>
      <c r="Q628" s="1125"/>
      <c r="R628" s="1125"/>
    </row>
    <row customHeight="true" ht="16.071428571428573" r="629">
      <c r="A629" s="1088" t="s">
        <v>1370</v>
      </c>
      <c r="B629" s="1088">
        <v>46289</v>
      </c>
      <c r="C629" s="1088" t="str">
        <v>Thursday</v>
      </c>
      <c r="D629" s="1093" t="s">
        <v>1067</v>
      </c>
      <c r="E629" s="1093">
        <f t="shared" si="118"/>
      </c>
      <c r="F629" s="1093" t="s">
        <v>1317</v>
      </c>
      <c r="G629" s="1097"/>
      <c r="H629" s="1093" t="s">
        <v>972</v>
      </c>
      <c r="I629" s="1065" t="s">
        <v>946</v>
      </c>
      <c r="J629" s="1066"/>
      <c r="K629" s="1067"/>
      <c r="L629" s="1067"/>
      <c r="M629" s="1067"/>
      <c r="N629" s="1067"/>
      <c r="O629" s="1067"/>
      <c r="P629" s="1067"/>
      <c r="Q629" s="1125"/>
      <c r="R629" s="1125"/>
    </row>
    <row customHeight="true" ht="16.071428571428573" r="630">
      <c r="A630" s="1541" t="s">
        <v>1372</v>
      </c>
      <c r="B630" s="1541">
        <v>46289</v>
      </c>
      <c r="C630" s="1541" t="str">
        <v>Thursday</v>
      </c>
      <c r="D630" s="1544" t="s">
        <v>1379</v>
      </c>
      <c r="E630" s="1544">
        <f t="shared" si="118"/>
      </c>
      <c r="F630" s="1548" t="s">
        <v>1277</v>
      </c>
      <c r="G630" s="1545"/>
      <c r="H630" s="1544" t="s">
        <v>972</v>
      </c>
      <c r="I630" s="1544" t="s">
        <v>946</v>
      </c>
      <c r="J630" s="1546"/>
      <c r="K630" s="1067"/>
      <c r="L630" s="1067"/>
      <c r="M630" s="1067"/>
      <c r="N630" s="1067"/>
      <c r="O630" s="1067"/>
      <c r="P630" s="1067"/>
      <c r="Q630" s="1125"/>
      <c r="R630" s="1125"/>
    </row>
    <row customHeight="true" ht="16.071428571428573" r="631">
      <c r="A631" s="1088" t="s">
        <v>1370</v>
      </c>
      <c r="B631" s="1088">
        <v>46290</v>
      </c>
      <c r="C631" s="1088" t="str">
        <v>Friday</v>
      </c>
      <c r="D631" s="1061" t="s">
        <v>1067</v>
      </c>
      <c r="E631" s="1093">
        <f t="shared" si="118"/>
      </c>
      <c r="F631" s="1093" t="s">
        <v>1317</v>
      </c>
      <c r="G631" s="1217"/>
      <c r="H631" s="1065" t="s">
        <v>972</v>
      </c>
      <c r="I631" s="1065" t="s">
        <v>946</v>
      </c>
      <c r="J631" s="1091"/>
      <c r="K631" s="1067"/>
      <c r="L631" s="1067"/>
      <c r="M631" s="1067"/>
      <c r="N631" s="1067"/>
      <c r="O631" s="1067"/>
      <c r="P631" s="1067"/>
      <c r="Q631" s="1125"/>
      <c r="R631" s="1125"/>
    </row>
    <row customHeight="true" ht="16.071428571428573" r="632">
      <c r="A632" s="1541" t="s">
        <v>1372</v>
      </c>
      <c r="B632" s="1541">
        <v>46290</v>
      </c>
      <c r="C632" s="1541" t="str">
        <v>Friday</v>
      </c>
      <c r="D632" s="1544" t="s">
        <v>1379</v>
      </c>
      <c r="E632" s="1544">
        <f t="shared" si="118"/>
      </c>
      <c r="F632" s="1547" t="s">
        <v>1380</v>
      </c>
      <c r="G632" s="1545"/>
      <c r="H632" s="1544" t="s">
        <v>972</v>
      </c>
      <c r="I632" s="1544" t="s">
        <v>946</v>
      </c>
      <c r="J632" s="1546"/>
      <c r="K632" s="1067"/>
      <c r="L632" s="1067"/>
      <c r="M632" s="1067"/>
      <c r="N632" s="1067"/>
      <c r="O632" s="1067"/>
      <c r="P632" s="1067"/>
      <c r="Q632" s="1125"/>
      <c r="R632" s="1125"/>
    </row>
    <row customHeight="true" ht="16.071428571428573" r="633">
      <c r="A633" s="1088" t="s">
        <v>1370</v>
      </c>
      <c r="B633" s="1088">
        <v>46291</v>
      </c>
      <c r="C633" s="1088" t="str">
        <v>Saturday</v>
      </c>
      <c r="D633" s="1061" t="s">
        <v>1067</v>
      </c>
      <c r="E633" s="1093">
        <f t="shared" si="118"/>
      </c>
      <c r="F633" s="1093" t="s">
        <v>1317</v>
      </c>
      <c r="G633" s="1217"/>
      <c r="H633" s="1065" t="s">
        <v>972</v>
      </c>
      <c r="I633" s="1065" t="s">
        <v>946</v>
      </c>
      <c r="J633" s="1091"/>
      <c r="K633" s="1067"/>
      <c r="L633" s="1067"/>
      <c r="M633" s="1067"/>
      <c r="N633" s="1067"/>
      <c r="O633" s="1067"/>
      <c r="P633" s="1067"/>
      <c r="Q633" s="1125"/>
      <c r="R633" s="1125"/>
    </row>
    <row customHeight="true" ht="16.071428571428573" r="634">
      <c r="A634" s="1541" t="s">
        <v>1372</v>
      </c>
      <c r="B634" s="1541">
        <v>46291</v>
      </c>
      <c r="C634" s="1541" t="str">
        <v>Saturday</v>
      </c>
      <c r="D634" s="1543" t="s">
        <v>1379</v>
      </c>
      <c r="E634" s="1544">
        <f t="shared" si="118"/>
      </c>
      <c r="F634" s="1547" t="s">
        <v>1380</v>
      </c>
      <c r="G634" s="1545"/>
      <c r="H634" s="1544" t="s">
        <v>972</v>
      </c>
      <c r="I634" s="1544" t="s">
        <v>946</v>
      </c>
      <c r="J634" s="1546"/>
      <c r="K634" s="1067"/>
      <c r="L634" s="1067"/>
      <c r="M634" s="1067"/>
      <c r="N634" s="1067"/>
      <c r="O634" s="1067"/>
      <c r="P634" s="1067"/>
      <c r="Q634" s="1125"/>
      <c r="R634" s="1125"/>
    </row>
    <row customHeight="true" ht="16.071428571428573" r="635">
      <c r="A635" s="1088" t="s">
        <v>1370</v>
      </c>
      <c r="B635" s="1088">
        <v>46292</v>
      </c>
      <c r="C635" s="1088" t="str">
        <v>Sunday</v>
      </c>
      <c r="D635" s="1061" t="s">
        <v>976</v>
      </c>
      <c r="E635" s="1093">
        <f t="shared" si="118"/>
      </c>
      <c r="F635" s="1093" t="s">
        <v>1029</v>
      </c>
      <c r="G635" s="1217"/>
      <c r="H635" s="1065" t="s">
        <v>972</v>
      </c>
      <c r="I635" s="1549" t="s">
        <v>946</v>
      </c>
      <c r="J635" s="1091"/>
      <c r="K635" s="1067"/>
      <c r="L635" s="1067"/>
      <c r="M635" s="1067"/>
      <c r="N635" s="1067"/>
      <c r="O635" s="1067"/>
      <c r="P635" s="1067"/>
      <c r="Q635" s="1125"/>
      <c r="R635" s="1125"/>
    </row>
    <row customHeight="true" ht="16.071428571428573" r="636">
      <c r="A636" s="1541" t="s">
        <v>1372</v>
      </c>
      <c r="B636" s="1541">
        <v>46292</v>
      </c>
      <c r="C636" s="1541" t="str">
        <v>Sunday</v>
      </c>
      <c r="D636" s="1543" t="s">
        <v>1381</v>
      </c>
      <c r="E636" s="1544">
        <f t="shared" si="118"/>
      </c>
      <c r="F636" s="1547" t="s">
        <v>1380</v>
      </c>
      <c r="G636" s="1545"/>
      <c r="H636" s="1544" t="s">
        <v>972</v>
      </c>
      <c r="I636" s="1544" t="s">
        <v>946</v>
      </c>
      <c r="J636" s="1546"/>
      <c r="K636" s="1067"/>
      <c r="L636" s="1067"/>
      <c r="M636" s="1067"/>
      <c r="N636" s="1067"/>
      <c r="O636" s="1067"/>
      <c r="P636" s="1067"/>
      <c r="Q636" s="1125"/>
      <c r="R636" s="1125"/>
    </row>
    <row customHeight="true" ht="16.071428571428573" r="637">
      <c r="A637" s="1239"/>
      <c r="B637" s="1239"/>
      <c r="C637" s="1239"/>
      <c r="D637" s="1240"/>
      <c r="E637" s="1282"/>
      <c r="F637" s="1282"/>
      <c r="G637" s="1342"/>
      <c r="H637" s="1282" t="s">
        <v>972</v>
      </c>
      <c r="I637" s="1282"/>
      <c r="J637" s="1331"/>
      <c r="K637" s="1067"/>
      <c r="L637" s="1067"/>
      <c r="M637" s="1067"/>
      <c r="N637" s="1067"/>
      <c r="O637" s="1067"/>
      <c r="P637" s="1067"/>
      <c r="Q637" s="1125"/>
      <c r="R637" s="1125"/>
    </row>
    <row customHeight="true" ht="16.071428571428573" r="638">
      <c r="A638" s="1088" t="s">
        <v>1382</v>
      </c>
      <c r="B638" s="1070">
        <v>46289</v>
      </c>
      <c r="C638" s="1088" t="str">
        <v>Thursday</v>
      </c>
      <c r="D638" s="1061" t="s">
        <v>1283</v>
      </c>
      <c r="E638" s="1093">
        <f t="shared" ref="E638:E644" si="119">24*MOD(TIMEVALUE(TRIM(MID(D638,FIND("-",D638)+1,LEN(D638)))) - TIMEVALUE(TRIM(LEFT(D638,FIND("-",D638)-1))),1)</f>
      </c>
      <c r="F638" s="1088" t="s">
        <v>1383</v>
      </c>
      <c r="G638" s="1088"/>
      <c r="H638" s="1065" t="s">
        <v>972</v>
      </c>
      <c r="I638" s="1282" t="s">
        <v>946</v>
      </c>
      <c r="J638" s="1265"/>
      <c r="K638" s="1067"/>
      <c r="L638" s="1067"/>
      <c r="M638" s="1067"/>
      <c r="N638" s="1067"/>
      <c r="O638" s="1067"/>
      <c r="P638" s="1067"/>
      <c r="Q638" s="1125"/>
      <c r="R638" s="1125"/>
    </row>
    <row customHeight="true" ht="16.071428571428573" r="639">
      <c r="A639" s="1088" t="s">
        <v>1384</v>
      </c>
      <c r="B639" s="1070">
        <v>46287</v>
      </c>
      <c r="C639" s="1088" t="str">
        <v>Tuesday</v>
      </c>
      <c r="D639" s="1061" t="s">
        <v>1385</v>
      </c>
      <c r="E639" s="1093">
        <f t="shared" si="119"/>
      </c>
      <c r="F639" s="1550" t="s">
        <v>1386</v>
      </c>
      <c r="G639" s="1088"/>
      <c r="H639" s="1065" t="s">
        <v>972</v>
      </c>
      <c r="I639" s="1282" t="s">
        <v>946</v>
      </c>
      <c r="J639" s="1265"/>
      <c r="K639" s="1067"/>
      <c r="L639" s="1067"/>
      <c r="M639" s="1067"/>
      <c r="N639" s="1067"/>
      <c r="O639" s="1067"/>
      <c r="P639" s="1067"/>
      <c r="Q639" s="1125"/>
      <c r="R639" s="1125"/>
    </row>
    <row customHeight="true" ht="16.071428571428573" r="640">
      <c r="A640" s="1088" t="s">
        <v>1384</v>
      </c>
      <c r="B640" s="1070">
        <v>46288</v>
      </c>
      <c r="C640" s="1088" t="str">
        <v>Wednesday</v>
      </c>
      <c r="D640" s="1061" t="s">
        <v>1387</v>
      </c>
      <c r="E640" s="1093">
        <f t="shared" si="119"/>
      </c>
      <c r="F640" s="1550" t="s">
        <v>1386</v>
      </c>
      <c r="G640" s="1088"/>
      <c r="H640" s="1065" t="s">
        <v>972</v>
      </c>
      <c r="I640" s="1282" t="s">
        <v>946</v>
      </c>
      <c r="J640" s="1265"/>
      <c r="K640" s="1067"/>
      <c r="L640" s="1067"/>
      <c r="M640" s="1067"/>
      <c r="N640" s="1067"/>
      <c r="O640" s="1067"/>
      <c r="P640" s="1067"/>
      <c r="Q640" s="1125"/>
      <c r="R640" s="1125"/>
    </row>
    <row customHeight="true" ht="16.071428571428573" r="641">
      <c r="A641" s="1088" t="s">
        <v>1384</v>
      </c>
      <c r="B641" s="1070">
        <v>46289</v>
      </c>
      <c r="C641" s="1088" t="str">
        <v>Thursday</v>
      </c>
      <c r="D641" s="1061" t="s">
        <v>1388</v>
      </c>
      <c r="E641" s="1093">
        <f t="shared" si="119"/>
      </c>
      <c r="F641" s="1550" t="s">
        <v>1386</v>
      </c>
      <c r="G641" s="1088"/>
      <c r="H641" s="1065" t="s">
        <v>972</v>
      </c>
      <c r="I641" s="1282" t="s">
        <v>946</v>
      </c>
      <c r="J641" s="1265"/>
      <c r="K641" s="1067"/>
      <c r="L641" s="1067"/>
      <c r="M641" s="1067"/>
      <c r="N641" s="1067"/>
      <c r="O641" s="1067"/>
      <c r="P641" s="1067"/>
      <c r="Q641" s="1125"/>
      <c r="R641" s="1125"/>
    </row>
    <row customHeight="true" ht="16.071428571428573" r="642">
      <c r="A642" s="1088" t="s">
        <v>1384</v>
      </c>
      <c r="B642" s="1070">
        <v>46290</v>
      </c>
      <c r="C642" s="1088" t="str">
        <v>Friday</v>
      </c>
      <c r="D642" s="1061" t="s">
        <v>1389</v>
      </c>
      <c r="E642" s="1093">
        <f t="shared" si="119"/>
      </c>
      <c r="F642" s="1550" t="s">
        <v>1386</v>
      </c>
      <c r="G642" s="1088"/>
      <c r="H642" s="1065" t="s">
        <v>972</v>
      </c>
      <c r="I642" s="1282" t="s">
        <v>946</v>
      </c>
      <c r="J642" s="1265"/>
      <c r="K642" s="1067"/>
      <c r="L642" s="1067"/>
      <c r="M642" s="1067"/>
      <c r="N642" s="1067"/>
      <c r="O642" s="1067"/>
      <c r="P642" s="1067"/>
      <c r="Q642" s="1125"/>
      <c r="R642" s="1125"/>
    </row>
    <row customHeight="true" ht="16.071428571428573" r="643">
      <c r="A643" s="1088" t="s">
        <v>1384</v>
      </c>
      <c r="B643" s="1070">
        <v>46291</v>
      </c>
      <c r="C643" s="1088" t="str">
        <v>Saturday</v>
      </c>
      <c r="D643" s="1061" t="s">
        <v>1390</v>
      </c>
      <c r="E643" s="1093">
        <f t="shared" si="119"/>
      </c>
      <c r="F643" s="1550" t="s">
        <v>1386</v>
      </c>
      <c r="G643" s="1088"/>
      <c r="H643" s="1065" t="s">
        <v>972</v>
      </c>
      <c r="I643" s="1282" t="s">
        <v>946</v>
      </c>
      <c r="J643" s="1265"/>
      <c r="K643" s="1067"/>
      <c r="L643" s="1067"/>
      <c r="M643" s="1067"/>
      <c r="N643" s="1067"/>
      <c r="O643" s="1067"/>
      <c r="P643" s="1067"/>
      <c r="Q643" s="1125"/>
      <c r="R643" s="1125"/>
    </row>
    <row customHeight="true" ht="16.071428571428573" r="644">
      <c r="A644" s="1088" t="s">
        <v>1384</v>
      </c>
      <c r="B644" s="1070">
        <v>46292</v>
      </c>
      <c r="C644" s="1088" t="str">
        <v>Sunday</v>
      </c>
      <c r="D644" s="1061" t="s">
        <v>1391</v>
      </c>
      <c r="E644" s="1093">
        <f t="shared" si="119"/>
      </c>
      <c r="F644" s="1550" t="s">
        <v>1386</v>
      </c>
      <c r="G644" s="1415"/>
      <c r="H644" s="1065" t="s">
        <v>972</v>
      </c>
      <c r="I644" s="1282" t="s">
        <v>946</v>
      </c>
      <c r="J644" s="1414"/>
      <c r="K644" s="1067"/>
      <c r="L644" s="1067"/>
      <c r="M644" s="1067"/>
      <c r="N644" s="1067"/>
      <c r="O644" s="1067"/>
      <c r="P644" s="1067"/>
      <c r="Q644" s="1125"/>
      <c r="R644" s="1125"/>
    </row>
    <row customHeight="true" ht="16.071428571428573" r="645">
      <c r="A645" s="1088"/>
      <c r="B645" s="1065"/>
      <c r="C645" s="1065"/>
      <c r="D645" s="1091"/>
      <c r="E645" s="1065"/>
      <c r="F645" s="1065"/>
      <c r="G645" s="1415"/>
      <c r="H645" s="1065"/>
      <c r="I645" s="1065"/>
      <c r="J645" s="1414"/>
      <c r="K645" s="1067"/>
      <c r="L645" s="1067"/>
      <c r="M645" s="1067"/>
      <c r="N645" s="1067"/>
      <c r="O645" s="1067"/>
      <c r="P645" s="1067"/>
      <c r="Q645" s="1125"/>
      <c r="R645" s="1125"/>
    </row>
    <row r="646">
      <c r="A646" s="1551" t="s">
        <v>1392</v>
      </c>
      <c r="B646" s="1551"/>
      <c r="C646" s="1551"/>
      <c r="D646" s="1551"/>
      <c r="E646" s="1551"/>
      <c r="F646" s="1551"/>
      <c r="G646" s="1551"/>
      <c r="H646" s="1551"/>
      <c r="I646" s="1551"/>
      <c r="J646" s="1552"/>
      <c r="K646" s="1192"/>
      <c r="L646" s="1192"/>
      <c r="M646" s="1192"/>
      <c r="N646" s="1192"/>
      <c r="O646" s="1192"/>
      <c r="P646" s="1192"/>
      <c r="Q646" s="1125"/>
      <c r="R646" s="1125"/>
    </row>
    <row r="647">
      <c r="A647" s="1553" t="s">
        <v>958</v>
      </c>
      <c r="B647" s="1554" t="s">
        <v>959</v>
      </c>
      <c r="C647" s="1554"/>
      <c r="D647" s="1555" t="s">
        <v>960</v>
      </c>
      <c r="E647" s="1555" t="s">
        <v>961</v>
      </c>
      <c r="F647" s="1555" t="s">
        <v>962</v>
      </c>
      <c r="G647" s="1556" t="s">
        <v>1393</v>
      </c>
      <c r="H647" s="1555" t="s">
        <v>964</v>
      </c>
      <c r="I647" s="1555" t="s">
        <v>965</v>
      </c>
      <c r="J647" s="1557"/>
      <c r="K647" s="1087"/>
      <c r="L647" s="1087"/>
      <c r="M647" s="1087"/>
      <c r="N647" s="1087"/>
      <c r="O647" s="1087"/>
      <c r="P647" s="1087"/>
    </row>
    <row r="648">
      <c r="A648" s="1088"/>
      <c r="B648" s="1088"/>
      <c r="C648" s="1088"/>
      <c r="D648" s="1065"/>
      <c r="E648" s="1065"/>
      <c r="F648" s="1065"/>
      <c r="G648" s="1217"/>
      <c r="H648" s="1065" t="s">
        <v>945</v>
      </c>
      <c r="I648" s="1065" t="s">
        <v>946</v>
      </c>
      <c r="J648" s="1091"/>
      <c r="K648" s="1067"/>
      <c r="L648" s="1067"/>
      <c r="M648" s="1067"/>
      <c r="N648" s="1067"/>
      <c r="O648" s="1067"/>
      <c r="P648" s="1067"/>
    </row>
    <row r="649">
      <c r="A649" s="1088"/>
      <c r="B649" s="1088"/>
      <c r="C649" s="1088"/>
      <c r="D649" s="1065"/>
      <c r="E649" s="1065"/>
      <c r="F649" s="1065"/>
      <c r="G649" s="1217"/>
      <c r="H649" s="1065" t="s">
        <v>945</v>
      </c>
      <c r="I649" s="1065" t="s">
        <v>946</v>
      </c>
      <c r="J649" s="1091"/>
      <c r="K649" s="1067"/>
      <c r="L649" s="1067"/>
      <c r="M649" s="1067"/>
      <c r="N649" s="1067"/>
      <c r="O649" s="1067"/>
      <c r="P649" s="1067"/>
    </row>
    <row r="650">
      <c r="A650" s="1088"/>
      <c r="B650" s="1088"/>
      <c r="C650" s="1088"/>
      <c r="D650" s="1065"/>
      <c r="E650" s="1065"/>
      <c r="F650" s="1065"/>
      <c r="G650" s="1217"/>
      <c r="H650" s="1065" t="s">
        <v>945</v>
      </c>
      <c r="I650" s="1065" t="s">
        <v>946</v>
      </c>
      <c r="J650" s="1091" t="s">
        <v>1394</v>
      </c>
      <c r="K650" s="1067"/>
      <c r="L650" s="1067"/>
      <c r="M650" s="1067"/>
      <c r="N650" s="1067"/>
      <c r="O650" s="1067"/>
      <c r="P650" s="1067"/>
    </row>
    <row r="651">
      <c r="A651" s="1098"/>
      <c r="B651" s="1098"/>
      <c r="C651" s="1098"/>
      <c r="D651" s="1221"/>
      <c r="E651" s="1098"/>
      <c r="F651" s="1098"/>
      <c r="G651" s="1098"/>
      <c r="H651" s="1098"/>
      <c r="I651" s="1098"/>
      <c r="J651" s="1098"/>
      <c r="K651" s="1203"/>
      <c r="L651" s="1203"/>
      <c r="M651" s="1203"/>
      <c r="N651" s="1203"/>
      <c r="O651" s="1203"/>
      <c r="P651" s="1203"/>
    </row>
    <row r="652">
      <c r="D652" s="1462"/>
      <c r="J652" s="1073"/>
      <c r="K652" s="1125"/>
      <c r="L652" s="1125"/>
      <c r="M652" s="1125"/>
      <c r="N652" s="1125"/>
      <c r="O652" s="1125"/>
      <c r="P652" s="1125"/>
    </row>
    <row r="653">
      <c r="A653" s="1098"/>
      <c r="B653" s="1098"/>
      <c r="C653" s="1098"/>
      <c r="D653" s="1221"/>
      <c r="E653" s="1098"/>
      <c r="F653" s="1098"/>
      <c r="G653" s="1098"/>
      <c r="H653" s="1221"/>
      <c r="I653" s="1098"/>
      <c r="J653" s="1098"/>
      <c r="K653" s="1203"/>
      <c r="L653" s="1203"/>
      <c r="M653" s="1203"/>
      <c r="N653" s="1203"/>
      <c r="O653" s="1203"/>
      <c r="P653" s="1203"/>
    </row>
    <row customHeight="true" ht="35.714285714285715" r="654">
      <c r="A654" s="1558" t="s">
        <v>1395</v>
      </c>
      <c r="B654" s="1558"/>
      <c r="C654" s="1558"/>
      <c r="D654" s="1558"/>
      <c r="E654" s="1558"/>
      <c r="F654" s="1558"/>
      <c r="G654" s="1558"/>
      <c r="H654" s="1558"/>
      <c r="I654" s="1558"/>
      <c r="J654" s="1559"/>
      <c r="K654" s="1101"/>
      <c r="L654" s="1101"/>
      <c r="M654" s="1101"/>
      <c r="N654" s="1101"/>
      <c r="O654" s="1101"/>
      <c r="P654" s="1101"/>
    </row>
    <row r="655">
      <c r="A655" s="1560" t="s">
        <v>958</v>
      </c>
      <c r="B655" s="1561" t="s">
        <v>959</v>
      </c>
      <c r="C655" s="1561"/>
      <c r="D655" s="1562" t="s">
        <v>960</v>
      </c>
      <c r="E655" s="1563" t="s">
        <v>961</v>
      </c>
      <c r="F655" s="1563" t="s">
        <v>962</v>
      </c>
      <c r="G655" s="1564" t="s">
        <v>974</v>
      </c>
      <c r="H655" s="1563" t="s">
        <v>964</v>
      </c>
      <c r="I655" s="1565" t="s">
        <v>965</v>
      </c>
      <c r="J655" s="1566" t="s">
        <v>966</v>
      </c>
      <c r="K655" s="1087"/>
      <c r="L655" s="1087"/>
      <c r="M655" s="1087"/>
      <c r="N655" s="1087"/>
      <c r="O655" s="1087"/>
      <c r="P655" s="1087"/>
    </row>
    <row customHeight="true" ht="18.452380952380953" r="656">
      <c r="A656" s="1239" t="s">
        <v>1395</v>
      </c>
      <c r="B656" s="1284">
        <v>46288</v>
      </c>
      <c r="C656" s="1239" t="str">
        <v>Wednesday</v>
      </c>
      <c r="D656" s="1240" t="s">
        <v>1396</v>
      </c>
      <c r="E656" s="1282">
        <f t="shared" ref="E656:E660" si="120">24*MOD(TIMEVALUE(TRIM(MID(D656,FIND("-",D656)+1,LEN(D656)))) - TIMEVALUE(TRIM(LEFT(D656,FIND("-",D656)-1))),1)</f>
      </c>
      <c r="F656" s="1282" t="s">
        <v>1397</v>
      </c>
      <c r="G656" s="1242"/>
      <c r="H656" s="1282" t="s">
        <v>972</v>
      </c>
      <c r="I656" s="1331" t="s">
        <v>946</v>
      </c>
      <c r="J656" s="1567"/>
      <c r="K656" s="1067"/>
      <c r="L656" s="1067"/>
      <c r="M656" s="1067"/>
      <c r="N656" s="1067"/>
      <c r="O656" s="1067"/>
      <c r="P656" s="1067"/>
      <c r="Q656" s="1125"/>
      <c r="R656" s="1125"/>
    </row>
    <row customHeight="true" ht="18.452380952380953" r="657">
      <c r="A657" s="1239" t="s">
        <v>1395</v>
      </c>
      <c r="B657" s="1284">
        <v>46289</v>
      </c>
      <c r="C657" s="1239" t="str">
        <v>Thursday</v>
      </c>
      <c r="D657" s="1240" t="s">
        <v>1398</v>
      </c>
      <c r="E657" s="1282">
        <f t="shared" si="120"/>
      </c>
      <c r="F657" s="1282"/>
      <c r="G657" s="1242"/>
      <c r="H657" s="1282" t="s">
        <v>972</v>
      </c>
      <c r="I657" s="1331" t="s">
        <v>946</v>
      </c>
      <c r="J657" s="1567"/>
      <c r="K657" s="1067"/>
      <c r="L657" s="1067"/>
      <c r="M657" s="1067"/>
      <c r="N657" s="1067"/>
      <c r="O657" s="1067"/>
      <c r="P657" s="1067"/>
    </row>
    <row customHeight="true" ht="18.452380952380953" r="658">
      <c r="A658" s="1239" t="s">
        <v>1395</v>
      </c>
      <c r="B658" s="1284">
        <v>46290</v>
      </c>
      <c r="C658" s="1239" t="str">
        <v>Friday</v>
      </c>
      <c r="D658" s="1240" t="s">
        <v>1398</v>
      </c>
      <c r="E658" s="1282">
        <f t="shared" si="120"/>
      </c>
      <c r="F658" s="1093"/>
      <c r="G658" s="1242"/>
      <c r="H658" s="1282" t="s">
        <v>972</v>
      </c>
      <c r="I658" s="1331" t="s">
        <v>946</v>
      </c>
      <c r="J658" s="1567"/>
      <c r="K658" s="1067"/>
      <c r="L658" s="1067"/>
      <c r="M658" s="1067"/>
      <c r="N658" s="1067"/>
      <c r="O658" s="1067"/>
      <c r="P658" s="1067"/>
    </row>
    <row r="659">
      <c r="A659" s="1239" t="s">
        <v>1395</v>
      </c>
      <c r="B659" s="1284">
        <v>46291</v>
      </c>
      <c r="C659" s="1239" t="str">
        <v>Saturday</v>
      </c>
      <c r="D659" s="1240" t="s">
        <v>1398</v>
      </c>
      <c r="E659" s="1282">
        <f t="shared" si="120"/>
      </c>
      <c r="F659" s="1282"/>
      <c r="G659" s="1242"/>
      <c r="H659" s="1282" t="s">
        <v>972</v>
      </c>
      <c r="I659" s="1331" t="s">
        <v>946</v>
      </c>
      <c r="J659" s="1076"/>
      <c r="K659" s="1067"/>
      <c r="L659" s="1067"/>
      <c r="M659" s="1067"/>
      <c r="N659" s="1067"/>
      <c r="O659" s="1067"/>
      <c r="P659" s="1067"/>
    </row>
    <row customHeight="true" ht="18.452380952380953" r="660">
      <c r="A660" s="1239" t="s">
        <v>1395</v>
      </c>
      <c r="B660" s="1284">
        <v>46292</v>
      </c>
      <c r="C660" s="1239" t="str">
        <v>Sunday</v>
      </c>
      <c r="D660" s="1240" t="s">
        <v>1398</v>
      </c>
      <c r="E660" s="1282">
        <f t="shared" si="120"/>
      </c>
      <c r="F660" s="1093"/>
      <c r="G660" s="1242"/>
      <c r="H660" s="1282" t="s">
        <v>972</v>
      </c>
      <c r="I660" s="1331" t="s">
        <v>946</v>
      </c>
      <c r="J660" s="1076"/>
      <c r="K660" s="1067"/>
      <c r="L660" s="1067"/>
      <c r="M660" s="1067"/>
      <c r="N660" s="1067"/>
      <c r="O660" s="1067"/>
      <c r="P660" s="1067"/>
    </row>
    <row r="661">
      <c r="A661" s="1088"/>
      <c r="B661" s="1088"/>
      <c r="C661" s="1088"/>
      <c r="D661" s="1065"/>
      <c r="E661" s="1065"/>
      <c r="F661" s="1065"/>
      <c r="G661" s="1217"/>
      <c r="H661" s="1093"/>
      <c r="I661" s="1093"/>
      <c r="J661" s="1218"/>
      <c r="K661" s="1067"/>
      <c r="L661" s="1067"/>
      <c r="M661" s="1067"/>
      <c r="N661" s="1067"/>
      <c r="O661" s="1067"/>
      <c r="P661" s="1067"/>
    </row>
    <row customHeight="true" ht="18.452380952380953" r="662">
      <c r="A662" s="1424" t="s">
        <v>1399</v>
      </c>
      <c r="B662" s="1425">
        <v>46288</v>
      </c>
      <c r="C662" s="1568" t="str">
        <v>Wednesday</v>
      </c>
      <c r="D662" s="1402" t="s">
        <v>1400</v>
      </c>
      <c r="E662" s="1405">
        <f t="shared" ref="E662:E666" si="121">24*MOD(TIMEVALUE(TRIM(MID(D662,FIND("-",D662)+1,LEN(D662)))) - TIMEVALUE(TRIM(LEFT(D662,FIND("-",D662)-1))),1)</f>
      </c>
      <c r="F662" s="1405"/>
      <c r="G662" s="1569"/>
      <c r="H662" s="1405"/>
      <c r="I662" s="1405" t="s">
        <v>946</v>
      </c>
      <c r="J662" s="1570"/>
      <c r="K662" s="1571"/>
      <c r="L662" s="1571"/>
      <c r="M662" s="1571"/>
      <c r="N662" s="1571"/>
      <c r="O662" s="1571"/>
      <c r="P662" s="1571"/>
      <c r="Q662" s="1435"/>
      <c r="R662" s="1435"/>
    </row>
    <row r="663">
      <c r="A663" s="1400" t="s">
        <v>1399</v>
      </c>
      <c r="B663" s="1425">
        <v>46289</v>
      </c>
      <c r="C663" s="1424" t="str">
        <v>Thursday</v>
      </c>
      <c r="D663" s="1402" t="s">
        <v>1400</v>
      </c>
      <c r="E663" s="1406">
        <f t="shared" si="121"/>
      </c>
      <c r="F663" s="1405"/>
      <c r="G663" s="1572"/>
      <c r="H663" s="1406" t="s">
        <v>972</v>
      </c>
      <c r="I663" s="1405" t="s">
        <v>946</v>
      </c>
      <c r="J663" s="1573"/>
      <c r="K663" s="1523"/>
      <c r="L663" s="1523"/>
      <c r="M663" s="1523"/>
      <c r="N663" s="1523"/>
      <c r="O663" s="1523"/>
      <c r="P663" s="1523"/>
    </row>
    <row customHeight="true" ht="18.452380952380953" r="664">
      <c r="A664" s="1400" t="s">
        <v>1399</v>
      </c>
      <c r="B664" s="1425">
        <v>46290</v>
      </c>
      <c r="C664" s="1424" t="str">
        <v>Friday</v>
      </c>
      <c r="D664" s="1402" t="s">
        <v>1400</v>
      </c>
      <c r="E664" s="1406">
        <f t="shared" si="121"/>
      </c>
      <c r="F664" s="1574"/>
      <c r="G664" s="1572"/>
      <c r="H664" s="1406" t="s">
        <v>972</v>
      </c>
      <c r="I664" s="1405" t="s">
        <v>970</v>
      </c>
      <c r="J664" s="1573"/>
      <c r="K664" s="1523"/>
      <c r="L664" s="1523"/>
      <c r="M664" s="1523"/>
      <c r="N664" s="1523"/>
      <c r="O664" s="1523"/>
      <c r="P664" s="1523"/>
    </row>
    <row customHeight="true" ht="18.452380952380953" r="665">
      <c r="A665" s="1400" t="s">
        <v>1399</v>
      </c>
      <c r="B665" s="1425">
        <v>46291</v>
      </c>
      <c r="C665" s="1424" t="str">
        <v>Saturday</v>
      </c>
      <c r="D665" s="1402" t="s">
        <v>1400</v>
      </c>
      <c r="E665" s="1406">
        <f t="shared" si="121"/>
      </c>
      <c r="F665" s="1405"/>
      <c r="G665" s="1572"/>
      <c r="H665" s="1406" t="s">
        <v>972</v>
      </c>
      <c r="I665" s="1405" t="s">
        <v>946</v>
      </c>
      <c r="J665" s="1573"/>
      <c r="K665" s="1523"/>
      <c r="L665" s="1523"/>
      <c r="M665" s="1523"/>
      <c r="N665" s="1523"/>
      <c r="O665" s="1523"/>
      <c r="P665" s="1523"/>
    </row>
    <row r="666">
      <c r="A666" s="1400" t="s">
        <v>1399</v>
      </c>
      <c r="B666" s="1425">
        <v>46292</v>
      </c>
      <c r="C666" s="1424" t="str">
        <v>Sunday</v>
      </c>
      <c r="D666" s="1402" t="s">
        <v>1400</v>
      </c>
      <c r="E666" s="1403">
        <f t="shared" si="121"/>
      </c>
      <c r="F666" s="1405"/>
      <c r="G666" s="1575"/>
      <c r="H666" s="1403" t="s">
        <v>972</v>
      </c>
      <c r="I666" s="1405" t="s">
        <v>946</v>
      </c>
      <c r="J666" s="1499"/>
      <c r="K666" s="1067"/>
      <c r="L666" s="1067"/>
      <c r="M666" s="1067"/>
      <c r="N666" s="1067"/>
      <c r="O666" s="1067"/>
      <c r="P666" s="1067"/>
    </row>
    <row customHeight="true" ht="18.452380952380953" r="667">
      <c r="A667" s="1088"/>
      <c r="B667" s="1088"/>
      <c r="C667" s="1088"/>
      <c r="D667" s="1093"/>
      <c r="E667" s="1093"/>
      <c r="F667" s="1093"/>
      <c r="G667" s="1097"/>
      <c r="H667" s="1093"/>
      <c r="I667" s="1093"/>
      <c r="J667" s="1066"/>
      <c r="K667" s="1067"/>
      <c r="L667" s="1067"/>
      <c r="M667" s="1067"/>
      <c r="N667" s="1067"/>
      <c r="O667" s="1067"/>
      <c r="P667" s="1067"/>
    </row>
    <row r="668">
      <c r="A668" s="1088" t="s">
        <v>1401</v>
      </c>
      <c r="B668" s="1284">
        <v>46290</v>
      </c>
      <c r="C668" s="1239" t="str">
        <v>Friday</v>
      </c>
      <c r="D668" s="1240" t="s">
        <v>1402</v>
      </c>
      <c r="E668" s="1174">
        <f t="shared" ref="E668:E671" si="122">24*MOD(TIMEVALUE(TRIM(MID(D668,FIND("-",D668)+1,LEN(D668)))) - TIMEVALUE(TRIM(LEFT(D668,FIND("-",D668)-1))),1)</f>
      </c>
      <c r="F668" s="1093" t="s">
        <v>1383</v>
      </c>
      <c r="G668" s="1097"/>
      <c r="H668" s="1473"/>
      <c r="I668" s="1093" t="s">
        <v>946</v>
      </c>
      <c r="J668" s="1066"/>
      <c r="K668" s="1067"/>
      <c r="L668" s="1067"/>
      <c r="M668" s="1067"/>
      <c r="N668" s="1067"/>
      <c r="O668" s="1067"/>
      <c r="P668" s="1067"/>
    </row>
    <row customHeight="true" ht="18.452380952380953" r="669">
      <c r="A669" s="1088" t="s">
        <v>1403</v>
      </c>
      <c r="B669" s="1284">
        <v>46288</v>
      </c>
      <c r="C669" s="1239" t="str">
        <v>Wednesday</v>
      </c>
      <c r="D669" s="1240" t="s">
        <v>1404</v>
      </c>
      <c r="E669" s="1174">
        <f t="shared" si="122"/>
      </c>
      <c r="F669" s="1576" t="s">
        <v>1277</v>
      </c>
      <c r="G669" s="1097"/>
      <c r="H669" s="1473"/>
      <c r="I669" s="1093"/>
      <c r="J669" s="1066"/>
      <c r="K669" s="1067"/>
      <c r="L669" s="1067"/>
      <c r="M669" s="1067"/>
      <c r="N669" s="1067"/>
      <c r="O669" s="1067"/>
      <c r="P669" s="1067"/>
    </row>
    <row customHeight="true" ht="18.452380952380953" r="670">
      <c r="A670" s="1088" t="s">
        <v>1403</v>
      </c>
      <c r="B670" s="1284">
        <v>46290</v>
      </c>
      <c r="C670" s="1239" t="str">
        <v>Friday</v>
      </c>
      <c r="D670" s="1240" t="s">
        <v>987</v>
      </c>
      <c r="E670" s="1174">
        <f t="shared" si="122"/>
      </c>
      <c r="F670" s="1576" t="s">
        <v>1277</v>
      </c>
      <c r="G670" s="1097"/>
      <c r="H670" s="1473"/>
      <c r="I670" s="1093"/>
      <c r="J670" s="1066"/>
      <c r="K670" s="1067"/>
      <c r="L670" s="1067"/>
      <c r="M670" s="1067"/>
      <c r="N670" s="1067"/>
      <c r="O670" s="1067"/>
      <c r="P670" s="1067"/>
    </row>
    <row customHeight="true" ht="18.452380952380953" r="671">
      <c r="A671" s="1088" t="s">
        <v>1401</v>
      </c>
      <c r="B671" s="1284">
        <v>46292</v>
      </c>
      <c r="C671" s="1239" t="str">
        <v>Sunday</v>
      </c>
      <c r="D671" s="1240" t="s">
        <v>976</v>
      </c>
      <c r="E671" s="1174">
        <f t="shared" si="122"/>
      </c>
      <c r="F671" s="1093" t="s">
        <v>1383</v>
      </c>
      <c r="G671" s="1097"/>
      <c r="H671" s="1473"/>
      <c r="I671" s="1093" t="s">
        <v>946</v>
      </c>
      <c r="J671" s="1066"/>
      <c r="K671" s="1067"/>
      <c r="L671" s="1067"/>
      <c r="M671" s="1067"/>
      <c r="N671" s="1067"/>
      <c r="O671" s="1067"/>
      <c r="P671" s="1067"/>
    </row>
    <row customHeight="true" ht="16.071428571428573" r="672">
      <c r="A672" s="1088"/>
      <c r="B672" s="1088"/>
      <c r="C672" s="1088"/>
      <c r="D672" s="1093"/>
      <c r="E672" s="1065"/>
      <c r="F672" s="1093"/>
      <c r="G672" s="1097"/>
      <c r="H672" s="1473"/>
      <c r="I672" s="1093"/>
      <c r="J672" s="1066"/>
      <c r="K672" s="1067"/>
      <c r="L672" s="1067"/>
      <c r="M672" s="1067"/>
      <c r="N672" s="1067"/>
      <c r="O672" s="1067"/>
      <c r="P672" s="1067"/>
    </row>
    <row customHeight="true" ht="38.17663024813209" r="673">
      <c r="A673" s="1577" t="s">
        <v>1405</v>
      </c>
      <c r="B673" s="1577"/>
      <c r="C673" s="1577"/>
      <c r="D673" s="1577"/>
      <c r="E673" s="1577"/>
      <c r="F673" s="1577"/>
      <c r="G673" s="1577"/>
      <c r="H673" s="1577"/>
      <c r="I673" s="1577"/>
      <c r="J673" s="1577"/>
      <c r="K673" s="1067"/>
      <c r="L673" s="1067"/>
      <c r="M673" s="1067"/>
      <c r="N673" s="1067"/>
      <c r="O673" s="1067"/>
      <c r="P673" s="1067"/>
    </row>
    <row customHeight="true" ht="28.571428571428573" r="674">
      <c r="A674" s="1578" t="s">
        <v>958</v>
      </c>
      <c r="B674" s="1579" t="s">
        <v>959</v>
      </c>
      <c r="C674" s="1579"/>
      <c r="D674" s="1580" t="s">
        <v>960</v>
      </c>
      <c r="E674" s="1581" t="s">
        <v>961</v>
      </c>
      <c r="F674" s="1581" t="s">
        <v>962</v>
      </c>
      <c r="G674" s="1582" t="s">
        <v>974</v>
      </c>
      <c r="H674" s="1581" t="s">
        <v>964</v>
      </c>
      <c r="I674" s="1581" t="s">
        <v>965</v>
      </c>
      <c r="J674" s="1583" t="s">
        <v>966</v>
      </c>
      <c r="K674" s="1067"/>
      <c r="L674" s="1067"/>
      <c r="M674" s="1067"/>
      <c r="N674" s="1067"/>
      <c r="O674" s="1067"/>
      <c r="P674" s="1067"/>
    </row>
    <row customHeight="true" ht="16.071428571428573" r="675">
      <c r="A675" s="1239" t="s">
        <v>1405</v>
      </c>
      <c r="B675" s="1070">
        <v>46288</v>
      </c>
      <c r="C675" s="1088" t="str">
        <v>Wednesday</v>
      </c>
      <c r="D675" s="1567" t="s">
        <v>1406</v>
      </c>
      <c r="E675" s="1093">
        <f t="shared" ref="E675:E679" si="123">24*MOD(TIMEVALUE(TRIM(MID(D675,FIND("-",D675)+1,LEN(D675)))) - TIMEVALUE(TRIM(LEFT(D675,FIND("-",D675)-1))),1)</f>
      </c>
      <c r="F675" s="1093" t="s">
        <v>1397</v>
      </c>
      <c r="G675" s="1107"/>
      <c r="H675" s="1473" t="s">
        <v>972</v>
      </c>
      <c r="I675" s="1076" t="s">
        <v>946</v>
      </c>
      <c r="J675" s="1062"/>
      <c r="K675" s="1067"/>
      <c r="L675" s="1067"/>
      <c r="M675" s="1067"/>
      <c r="N675" s="1067"/>
      <c r="O675" s="1067"/>
      <c r="P675" s="1067"/>
    </row>
    <row customHeight="true" ht="16.071428571428573" r="676">
      <c r="A676" s="1239" t="s">
        <v>1405</v>
      </c>
      <c r="B676" s="1070">
        <v>46289</v>
      </c>
      <c r="C676" s="1088" t="str">
        <v>Thursday</v>
      </c>
      <c r="D676" s="1567" t="s">
        <v>1406</v>
      </c>
      <c r="E676" s="1093">
        <f t="shared" si="123"/>
      </c>
      <c r="F676" s="1093" t="s">
        <v>1397</v>
      </c>
      <c r="G676" s="1107"/>
      <c r="H676" s="1473" t="s">
        <v>972</v>
      </c>
      <c r="I676" s="1076" t="s">
        <v>946</v>
      </c>
      <c r="J676" s="1062"/>
      <c r="K676" s="1067"/>
      <c r="L676" s="1067"/>
      <c r="M676" s="1067"/>
      <c r="N676" s="1067"/>
      <c r="O676" s="1067"/>
      <c r="P676" s="1067"/>
    </row>
    <row customHeight="true" ht="16.071428571428573" r="677">
      <c r="A677" s="1239" t="s">
        <v>1405</v>
      </c>
      <c r="B677" s="1070">
        <v>46290</v>
      </c>
      <c r="C677" s="1088" t="str">
        <v>Friday</v>
      </c>
      <c r="D677" s="1567" t="s">
        <v>1407</v>
      </c>
      <c r="E677" s="1478">
        <f t="shared" si="123"/>
      </c>
      <c r="F677" s="1093" t="s">
        <v>1397</v>
      </c>
      <c r="G677" s="1107"/>
      <c r="H677" s="1473" t="s">
        <v>972</v>
      </c>
      <c r="I677" s="1076" t="s">
        <v>946</v>
      </c>
      <c r="J677" s="1242"/>
      <c r="K677" s="1067"/>
      <c r="L677" s="1067"/>
      <c r="M677" s="1067"/>
      <c r="N677" s="1067"/>
      <c r="O677" s="1067"/>
      <c r="P677" s="1067"/>
    </row>
    <row customHeight="true" ht="16.071428571428573" r="678">
      <c r="A678" s="1239" t="s">
        <v>1405</v>
      </c>
      <c r="B678" s="1070">
        <v>46291</v>
      </c>
      <c r="C678" s="1088" t="str">
        <v>Saturday</v>
      </c>
      <c r="D678" s="1584" t="s">
        <v>1406</v>
      </c>
      <c r="E678" s="1478">
        <f t="shared" si="123"/>
      </c>
      <c r="F678" s="1093" t="s">
        <v>1043</v>
      </c>
      <c r="G678" s="1107"/>
      <c r="H678" s="1473" t="s">
        <v>972</v>
      </c>
      <c r="I678" s="1076" t="s">
        <v>946</v>
      </c>
      <c r="J678" s="1242"/>
      <c r="K678" s="1067"/>
      <c r="L678" s="1067"/>
      <c r="M678" s="1067"/>
      <c r="N678" s="1067"/>
      <c r="O678" s="1067"/>
      <c r="P678" s="1067"/>
    </row>
    <row customHeight="true" ht="16.071428571428573" r="679">
      <c r="A679" s="1239" t="s">
        <v>1405</v>
      </c>
      <c r="B679" s="1070">
        <v>46292</v>
      </c>
      <c r="C679" s="1088" t="str">
        <v>Sunday</v>
      </c>
      <c r="D679" s="1567" t="s">
        <v>1406</v>
      </c>
      <c r="E679" s="1478">
        <f t="shared" si="123"/>
      </c>
      <c r="F679" s="1093" t="s">
        <v>1025</v>
      </c>
      <c r="G679" s="1107"/>
      <c r="H679" s="1473" t="s">
        <v>972</v>
      </c>
      <c r="I679" s="1076" t="s">
        <v>946</v>
      </c>
      <c r="J679" s="1242"/>
      <c r="K679" s="1067"/>
      <c r="L679" s="1067"/>
      <c r="M679" s="1067"/>
      <c r="N679" s="1067"/>
      <c r="O679" s="1067"/>
      <c r="P679" s="1067"/>
    </row>
    <row customHeight="true" ht="16.071428571428573" r="680">
      <c r="A680" s="1088"/>
      <c r="B680" s="1070"/>
      <c r="C680" s="1088"/>
      <c r="D680" s="1093"/>
      <c r="E680" s="1065"/>
      <c r="F680" s="1093"/>
      <c r="G680" s="1097"/>
      <c r="H680" s="1473"/>
      <c r="I680" s="1093"/>
      <c r="J680" s="1066"/>
      <c r="K680" s="1067"/>
      <c r="L680" s="1067"/>
      <c r="M680" s="1067"/>
      <c r="N680" s="1067"/>
      <c r="O680" s="1067"/>
      <c r="P680" s="1067"/>
    </row>
    <row customHeight="true" ht="16.071428571428573" r="681">
      <c r="A681" s="1400" t="s">
        <v>1408</v>
      </c>
      <c r="B681" s="1585">
        <v>46288</v>
      </c>
      <c r="C681" s="1424" t="str">
        <v>Wednesday</v>
      </c>
      <c r="D681" s="1407" t="s">
        <v>1409</v>
      </c>
      <c r="E681" s="1403">
        <f t="shared" ref="E681:E685" si="124">24*MOD(TIMEVALUE(TRIM(MID(D681,FIND("-",D681)+1,LEN(D681)))) - TIMEVALUE(TRIM(LEFT(D681,FIND("-",D681)-1))),1)</f>
      </c>
      <c r="F681" s="1403" t="s">
        <v>1410</v>
      </c>
      <c r="G681" s="1498"/>
      <c r="H681" s="1403" t="s">
        <v>972</v>
      </c>
      <c r="I681" s="1405" t="s">
        <v>946</v>
      </c>
      <c r="J681" s="1507"/>
      <c r="K681" s="1067"/>
      <c r="L681" s="1067"/>
      <c r="M681" s="1067"/>
      <c r="N681" s="1067"/>
      <c r="O681" s="1067"/>
      <c r="P681" s="1067"/>
    </row>
    <row customHeight="true" ht="16.071428571428573" r="682">
      <c r="A682" s="1400" t="s">
        <v>1408</v>
      </c>
      <c r="B682" s="1425">
        <v>46289</v>
      </c>
      <c r="C682" s="1424" t="str">
        <v>Thursday</v>
      </c>
      <c r="D682" s="1407" t="s">
        <v>1409</v>
      </c>
      <c r="E682" s="1403">
        <f t="shared" si="124"/>
      </c>
      <c r="F682" s="1403" t="s">
        <v>1410</v>
      </c>
      <c r="G682" s="1498"/>
      <c r="H682" s="1403" t="s">
        <v>972</v>
      </c>
      <c r="I682" s="1405" t="s">
        <v>970</v>
      </c>
      <c r="J682" s="1507"/>
      <c r="K682" s="1067"/>
      <c r="L682" s="1067"/>
      <c r="M682" s="1067"/>
      <c r="N682" s="1067"/>
      <c r="O682" s="1067"/>
      <c r="P682" s="1067"/>
    </row>
    <row customHeight="true" ht="16.071428571428573" r="683">
      <c r="A683" s="1400" t="s">
        <v>1408</v>
      </c>
      <c r="B683" s="1425">
        <v>46290</v>
      </c>
      <c r="C683" s="1424" t="str">
        <v>Friday</v>
      </c>
      <c r="D683" s="1407" t="s">
        <v>1411</v>
      </c>
      <c r="E683" s="1403">
        <f t="shared" si="124"/>
      </c>
      <c r="F683" s="1403" t="s">
        <v>1380</v>
      </c>
      <c r="G683" s="1498"/>
      <c r="H683" s="1403" t="s">
        <v>972</v>
      </c>
      <c r="I683" s="1405" t="s">
        <v>946</v>
      </c>
      <c r="J683" s="1499"/>
      <c r="K683" s="1067"/>
      <c r="L683" s="1067"/>
      <c r="M683" s="1067"/>
      <c r="N683" s="1067"/>
      <c r="O683" s="1067"/>
      <c r="P683" s="1067"/>
    </row>
    <row customHeight="true" ht="16.071428571428573" r="684">
      <c r="A684" s="1400" t="s">
        <v>1408</v>
      </c>
      <c r="B684" s="1425">
        <v>46291</v>
      </c>
      <c r="C684" s="1424" t="str">
        <v>Saturday</v>
      </c>
      <c r="D684" s="1407" t="s">
        <v>1409</v>
      </c>
      <c r="E684" s="1403">
        <f t="shared" si="124"/>
      </c>
      <c r="F684" s="1403" t="s">
        <v>1380</v>
      </c>
      <c r="G684" s="1498"/>
      <c r="H684" s="1403" t="s">
        <v>972</v>
      </c>
      <c r="I684" s="1405" t="s">
        <v>946</v>
      </c>
      <c r="J684" s="1499"/>
      <c r="K684" s="1067"/>
      <c r="L684" s="1067"/>
      <c r="M684" s="1067"/>
      <c r="N684" s="1067"/>
      <c r="O684" s="1067"/>
      <c r="P684" s="1067"/>
    </row>
    <row customHeight="true" ht="16.071428571428573" r="685">
      <c r="A685" s="1400" t="s">
        <v>1408</v>
      </c>
      <c r="B685" s="1425">
        <v>46292</v>
      </c>
      <c r="C685" s="1424" t="str">
        <v>Sunday</v>
      </c>
      <c r="D685" s="1407" t="s">
        <v>1412</v>
      </c>
      <c r="E685" s="1403">
        <f t="shared" si="124"/>
      </c>
      <c r="F685" s="1403" t="s">
        <v>1380</v>
      </c>
      <c r="G685" s="1498"/>
      <c r="H685" s="1403" t="s">
        <v>972</v>
      </c>
      <c r="I685" s="1405" t="s">
        <v>946</v>
      </c>
      <c r="J685" s="1499"/>
      <c r="K685" s="1067"/>
      <c r="L685" s="1067"/>
      <c r="M685" s="1067"/>
      <c r="N685" s="1067"/>
      <c r="O685" s="1067"/>
      <c r="P685" s="1067"/>
    </row>
    <row customHeight="true" ht="16.071428571428573" r="686">
      <c r="A686" s="1239"/>
      <c r="B686" s="1284"/>
      <c r="C686" s="1239"/>
      <c r="D686" s="1240"/>
      <c r="E686" s="1282"/>
      <c r="F686" s="1282"/>
      <c r="G686" s="1242"/>
      <c r="H686" s="1282"/>
      <c r="I686" s="1282"/>
      <c r="J686" s="1331"/>
      <c r="K686" s="1067"/>
      <c r="L686" s="1067"/>
      <c r="M686" s="1067"/>
      <c r="N686" s="1067"/>
      <c r="O686" s="1067"/>
      <c r="P686" s="1067"/>
      <c r="Q686" s="1125"/>
      <c r="R686" s="1125"/>
    </row>
    <row r="687">
      <c r="A687" s="1586" t="s">
        <v>1413</v>
      </c>
      <c r="B687" s="1586"/>
      <c r="C687" s="1586"/>
      <c r="D687" s="1586"/>
      <c r="E687" s="1586"/>
      <c r="F687" s="1586"/>
      <c r="G687" s="1586"/>
      <c r="H687" s="1586"/>
      <c r="I687" s="1586"/>
      <c r="J687" s="1587"/>
      <c r="K687" s="1514"/>
      <c r="L687" s="1514"/>
      <c r="M687" s="1514"/>
      <c r="N687" s="1514"/>
      <c r="O687" s="1514"/>
      <c r="P687" s="1514"/>
    </row>
    <row r="688">
      <c r="A688" s="1588" t="s">
        <v>958</v>
      </c>
      <c r="B688" s="1589" t="s">
        <v>959</v>
      </c>
      <c r="C688" s="1589"/>
      <c r="D688" s="1590" t="s">
        <v>960</v>
      </c>
      <c r="E688" s="1590" t="s">
        <v>961</v>
      </c>
      <c r="F688" s="1590" t="s">
        <v>962</v>
      </c>
      <c r="G688" s="1591" t="s">
        <v>974</v>
      </c>
      <c r="H688" s="1590" t="s">
        <v>964</v>
      </c>
      <c r="I688" s="1590" t="s">
        <v>965</v>
      </c>
      <c r="J688" s="1592" t="s">
        <v>966</v>
      </c>
      <c r="K688" s="1087"/>
      <c r="L688" s="1087"/>
      <c r="M688" s="1087"/>
      <c r="N688" s="1087"/>
      <c r="O688" s="1087"/>
      <c r="P688" s="1087"/>
    </row>
    <row r="689">
      <c r="A689" s="1088" t="s">
        <v>1413</v>
      </c>
      <c r="B689" s="1070">
        <v>46245</v>
      </c>
      <c r="C689" s="1088" t="str">
        <v>Tuesday</v>
      </c>
      <c r="D689" s="1061" t="s">
        <v>1414</v>
      </c>
      <c r="E689" s="1093">
        <f t="shared" ref="E689:E690" si="125">24*MOD(TIMEVALUE(TRIM(MID(D689,FIND("-",D689)+1,LEN(D689)))) - TIMEVALUE(TRIM(LEFT(D689,FIND("-",D689)-1))),1)</f>
      </c>
      <c r="F689" s="1065"/>
      <c r="G689" s="1107"/>
      <c r="H689" s="1473" t="s">
        <v>972</v>
      </c>
      <c r="I689" s="1093" t="s">
        <v>946</v>
      </c>
      <c r="J689" s="1066"/>
      <c r="K689" s="1067"/>
      <c r="L689" s="1067"/>
      <c r="M689" s="1067"/>
      <c r="N689" s="1067"/>
      <c r="O689" s="1067"/>
      <c r="P689" s="1067"/>
    </row>
    <row r="690">
      <c r="A690" s="1593" t="s">
        <v>1415</v>
      </c>
      <c r="B690" s="1594">
        <v>46245</v>
      </c>
      <c r="C690" s="1593" t="str">
        <v>Tuesday</v>
      </c>
      <c r="D690" s="1595" t="s">
        <v>1416</v>
      </c>
      <c r="E690" s="1596">
        <f t="shared" si="125"/>
      </c>
      <c r="F690" s="1596"/>
      <c r="G690" s="1597"/>
      <c r="H690" s="1598" t="s">
        <v>972</v>
      </c>
      <c r="I690" s="1093" t="s">
        <v>946</v>
      </c>
      <c r="J690" s="1599"/>
      <c r="K690" s="1067"/>
      <c r="L690" s="1067"/>
      <c r="M690" s="1067"/>
      <c r="N690" s="1067"/>
      <c r="O690" s="1067"/>
      <c r="P690" s="1067"/>
    </row>
    <row r="691">
      <c r="A691" s="1088" t="s">
        <v>1413</v>
      </c>
      <c r="B691" s="1088"/>
      <c r="C691" s="1088"/>
      <c r="D691" s="1093"/>
      <c r="E691" s="1600">
        <f>3</f>
      </c>
      <c r="F691" s="1065"/>
      <c r="G691" s="1097"/>
      <c r="H691" s="1473"/>
      <c r="I691" s="1065"/>
      <c r="J691" s="1066"/>
      <c r="K691" s="1067"/>
      <c r="L691" s="1067"/>
      <c r="M691" s="1067"/>
      <c r="N691" s="1067"/>
      <c r="O691" s="1067"/>
      <c r="P691" s="1067"/>
    </row>
    <row r="692">
      <c r="A692" s="1088" t="s">
        <v>1413</v>
      </c>
      <c r="B692" s="1070">
        <v>46246</v>
      </c>
      <c r="C692" s="1088" t="str">
        <v>Wednesday</v>
      </c>
      <c r="D692" s="1061" t="s">
        <v>1252</v>
      </c>
      <c r="E692" s="1093">
        <f t="shared" ref="E692:E693" si="126">24*MOD(TIMEVALUE(TRIM(MID(D692,FIND("-",D692)+1,LEN(D692)))) - TIMEVALUE(TRIM(LEFT(D692,FIND("-",D692)-1))),1)</f>
      </c>
      <c r="F692" s="1065"/>
      <c r="G692" s="1107"/>
      <c r="H692" s="1473" t="s">
        <v>972</v>
      </c>
      <c r="I692" s="1174" t="s">
        <v>946</v>
      </c>
      <c r="J692" s="1066"/>
      <c r="K692" s="1067"/>
      <c r="L692" s="1067"/>
      <c r="M692" s="1067"/>
      <c r="N692" s="1067"/>
      <c r="O692" s="1067"/>
      <c r="P692" s="1067"/>
    </row>
    <row r="693">
      <c r="A693" s="1593" t="s">
        <v>1415</v>
      </c>
      <c r="B693" s="1594">
        <v>46246</v>
      </c>
      <c r="C693" s="1593" t="str">
        <v>Wednesday</v>
      </c>
      <c r="D693" s="1595" t="s">
        <v>1417</v>
      </c>
      <c r="E693" s="1596">
        <f t="shared" si="126"/>
      </c>
      <c r="F693" s="1596"/>
      <c r="G693" s="1597"/>
      <c r="H693" s="1598" t="s">
        <v>972</v>
      </c>
      <c r="I693" s="1093" t="s">
        <v>946</v>
      </c>
      <c r="J693" s="1601"/>
      <c r="K693" s="1238"/>
      <c r="L693" s="1238"/>
      <c r="M693" s="1238"/>
      <c r="N693" s="1238"/>
      <c r="O693" s="1238"/>
      <c r="P693" s="1238"/>
    </row>
    <row r="694">
      <c r="A694" s="1088" t="s">
        <v>1413</v>
      </c>
      <c r="B694" s="1088"/>
      <c r="C694" s="1088"/>
      <c r="D694" s="1093"/>
      <c r="E694" s="1600">
        <f>3</f>
      </c>
      <c r="F694" s="1065"/>
      <c r="G694" s="1097"/>
      <c r="H694" s="1473"/>
      <c r="I694" s="1065"/>
      <c r="J694" s="1066"/>
      <c r="K694" s="1067"/>
      <c r="L694" s="1067"/>
      <c r="M694" s="1067"/>
      <c r="N694" s="1067"/>
      <c r="O694" s="1067"/>
      <c r="P694" s="1067"/>
    </row>
    <row r="695">
      <c r="A695" s="1088" t="s">
        <v>1413</v>
      </c>
      <c r="B695" s="1070">
        <v>46247</v>
      </c>
      <c r="C695" s="1088" t="str">
        <v>Thursday</v>
      </c>
      <c r="D695" s="1061" t="s">
        <v>1414</v>
      </c>
      <c r="E695" s="1093">
        <f t="shared" ref="E695:E696" si="127">24*MOD(TIMEVALUE(TRIM(MID(D695,FIND("-",D695)+1,LEN(D695)))) - TIMEVALUE(TRIM(LEFT(D695,FIND("-",D695)-1))),1)</f>
      </c>
      <c r="F695" s="1065"/>
      <c r="G695" s="1107"/>
      <c r="H695" s="1473" t="s">
        <v>972</v>
      </c>
      <c r="I695" s="1093" t="s">
        <v>946</v>
      </c>
      <c r="J695" s="1066"/>
      <c r="K695" s="1067"/>
      <c r="L695" s="1067"/>
      <c r="M695" s="1067"/>
      <c r="N695" s="1067"/>
      <c r="O695" s="1067"/>
      <c r="P695" s="1067"/>
    </row>
    <row r="696">
      <c r="A696" s="1593" t="s">
        <v>1415</v>
      </c>
      <c r="B696" s="1594">
        <v>46247</v>
      </c>
      <c r="C696" s="1593" t="str">
        <v>Thursday</v>
      </c>
      <c r="D696" s="1595" t="s">
        <v>1418</v>
      </c>
      <c r="E696" s="1596">
        <f t="shared" si="127"/>
      </c>
      <c r="F696" s="1596"/>
      <c r="G696" s="1597"/>
      <c r="H696" s="1598" t="s">
        <v>972</v>
      </c>
      <c r="I696" s="1093" t="s">
        <v>946</v>
      </c>
      <c r="J696" s="1599"/>
      <c r="K696" s="1067"/>
      <c r="L696" s="1067"/>
      <c r="M696" s="1067"/>
      <c r="N696" s="1067"/>
      <c r="O696" s="1067"/>
      <c r="P696" s="1067"/>
    </row>
    <row r="697">
      <c r="A697" s="1088" t="s">
        <v>1413</v>
      </c>
      <c r="B697" s="1088"/>
      <c r="C697" s="1088"/>
      <c r="D697" s="1093"/>
      <c r="E697" s="1600">
        <f>3</f>
      </c>
      <c r="F697" s="1065"/>
      <c r="G697" s="1097"/>
      <c r="H697" s="1473"/>
      <c r="I697" s="1065"/>
      <c r="J697" s="1066"/>
      <c r="K697" s="1067"/>
      <c r="L697" s="1067"/>
      <c r="M697" s="1067"/>
      <c r="N697" s="1067"/>
      <c r="O697" s="1067"/>
      <c r="P697" s="1067"/>
    </row>
    <row r="698">
      <c r="A698" s="1088" t="s">
        <v>1413</v>
      </c>
      <c r="B698" s="1070">
        <v>46248</v>
      </c>
      <c r="C698" s="1088" t="str">
        <v>Friday</v>
      </c>
      <c r="D698" s="1061" t="s">
        <v>1182</v>
      </c>
      <c r="E698" s="1093">
        <f t="shared" ref="E698:E699" si="128">24*MOD(TIMEVALUE(TRIM(MID(D698,FIND("-",D698)+1,LEN(D698)))) - TIMEVALUE(TRIM(LEFT(D698,FIND("-",D698)-1))),1)</f>
      </c>
      <c r="F698" s="1065"/>
      <c r="G698" s="1107"/>
      <c r="H698" s="1473" t="s">
        <v>972</v>
      </c>
      <c r="I698" s="1093" t="s">
        <v>946</v>
      </c>
      <c r="J698" s="1066"/>
      <c r="K698" s="1067"/>
      <c r="L698" s="1067"/>
      <c r="M698" s="1067"/>
      <c r="N698" s="1067"/>
      <c r="O698" s="1067"/>
      <c r="P698" s="1067"/>
    </row>
    <row r="699">
      <c r="A699" s="1593" t="s">
        <v>1415</v>
      </c>
      <c r="B699" s="1594">
        <v>46248</v>
      </c>
      <c r="C699" s="1593" t="str">
        <v>Friday</v>
      </c>
      <c r="D699" s="1595" t="s">
        <v>1419</v>
      </c>
      <c r="E699" s="1596">
        <f t="shared" si="128"/>
      </c>
      <c r="F699" s="1596"/>
      <c r="G699" s="1597"/>
      <c r="H699" s="1598" t="s">
        <v>972</v>
      </c>
      <c r="I699" s="1093" t="s">
        <v>946</v>
      </c>
      <c r="J699" s="1599"/>
      <c r="K699" s="1067"/>
      <c r="L699" s="1067"/>
      <c r="M699" s="1067"/>
      <c r="N699" s="1067"/>
      <c r="O699" s="1067"/>
      <c r="P699" s="1067"/>
    </row>
    <row r="700">
      <c r="A700" s="1088" t="s">
        <v>1413</v>
      </c>
      <c r="B700" s="1088"/>
      <c r="C700" s="1088"/>
      <c r="D700" s="1093"/>
      <c r="E700" s="1600">
        <f>3</f>
      </c>
      <c r="F700" s="1065"/>
      <c r="G700" s="1097"/>
      <c r="H700" s="1473"/>
      <c r="I700" s="1065"/>
      <c r="J700" s="1066"/>
      <c r="K700" s="1067"/>
      <c r="L700" s="1067"/>
      <c r="M700" s="1067"/>
      <c r="N700" s="1067"/>
      <c r="O700" s="1067"/>
      <c r="P700" s="1067"/>
    </row>
    <row r="701">
      <c r="A701" s="1088" t="s">
        <v>1413</v>
      </c>
      <c r="B701" s="1070">
        <v>46249</v>
      </c>
      <c r="C701" s="1088" t="str">
        <v>Saturday</v>
      </c>
      <c r="D701" s="1061" t="s">
        <v>1191</v>
      </c>
      <c r="E701" s="1093">
        <f t="shared" ref="E701:E702" si="129">24*MOD(TIMEVALUE(TRIM(MID(D701,FIND("-",D701)+1,LEN(D701)))) - TIMEVALUE(TRIM(LEFT(D701,FIND("-",D701)-1))),1)</f>
      </c>
      <c r="F701" s="1065"/>
      <c r="G701" s="1107"/>
      <c r="H701" s="1473" t="s">
        <v>972</v>
      </c>
      <c r="I701" s="1093" t="s">
        <v>946</v>
      </c>
      <c r="J701" s="1066"/>
      <c r="K701" s="1067"/>
      <c r="L701" s="1067"/>
      <c r="M701" s="1067"/>
      <c r="N701" s="1067"/>
      <c r="O701" s="1067"/>
      <c r="P701" s="1067"/>
    </row>
    <row r="702">
      <c r="A702" s="1593" t="s">
        <v>1415</v>
      </c>
      <c r="B702" s="1594">
        <v>46249</v>
      </c>
      <c r="C702" s="1593" t="str">
        <v>Saturday</v>
      </c>
      <c r="D702" s="1595" t="s">
        <v>1191</v>
      </c>
      <c r="E702" s="1596">
        <f t="shared" si="129"/>
      </c>
      <c r="F702" s="1596"/>
      <c r="G702" s="1597"/>
      <c r="H702" s="1598" t="s">
        <v>972</v>
      </c>
      <c r="I702" s="1093" t="s">
        <v>946</v>
      </c>
      <c r="J702" s="1599"/>
      <c r="K702" s="1067"/>
      <c r="L702" s="1067"/>
      <c r="M702" s="1067"/>
      <c r="N702" s="1067"/>
      <c r="O702" s="1067"/>
      <c r="P702" s="1067"/>
    </row>
    <row r="703">
      <c r="A703" s="1088" t="s">
        <v>1413</v>
      </c>
      <c r="B703" s="1088"/>
      <c r="C703" s="1088"/>
      <c r="D703" s="1093"/>
      <c r="E703" s="1600">
        <f>3</f>
      </c>
      <c r="F703" s="1065"/>
      <c r="G703" s="1097"/>
      <c r="H703" s="1473"/>
      <c r="I703" s="1065"/>
      <c r="J703" s="1066"/>
      <c r="K703" s="1067"/>
      <c r="L703" s="1067"/>
      <c r="M703" s="1067"/>
      <c r="N703" s="1067"/>
      <c r="O703" s="1067"/>
      <c r="P703" s="1067"/>
    </row>
    <row customHeight="true" ht="18.452380952380953" r="704">
      <c r="A704" s="1088" t="s">
        <v>1413</v>
      </c>
      <c r="B704" s="1070">
        <v>46250</v>
      </c>
      <c r="C704" s="1088" t="str">
        <v>Sunday</v>
      </c>
      <c r="D704" s="1061" t="s">
        <v>1233</v>
      </c>
      <c r="E704" s="1093">
        <f t="shared" ref="E704:E705" si="130">24*MOD(TIMEVALUE(TRIM(MID(D704,FIND("-",D704)+1,LEN(D704)))) - TIMEVALUE(TRIM(LEFT(D704,FIND("-",D704)-1))),1)</f>
      </c>
      <c r="F704" s="1065"/>
      <c r="G704" s="1107"/>
      <c r="H704" s="1473" t="s">
        <v>972</v>
      </c>
      <c r="I704" s="1093" t="s">
        <v>946</v>
      </c>
      <c r="J704" s="1066"/>
      <c r="K704" s="1067"/>
      <c r="L704" s="1067"/>
      <c r="M704" s="1067"/>
      <c r="N704" s="1067"/>
      <c r="O704" s="1067"/>
      <c r="P704" s="1067"/>
    </row>
    <row customHeight="true" ht="18.452380952380953" r="705">
      <c r="A705" s="1593" t="s">
        <v>1415</v>
      </c>
      <c r="B705" s="1594">
        <v>46250</v>
      </c>
      <c r="C705" s="1593" t="str">
        <v>Sunday</v>
      </c>
      <c r="D705" s="1595" t="s">
        <v>1420</v>
      </c>
      <c r="E705" s="1596">
        <f t="shared" si="130"/>
      </c>
      <c r="F705" s="1596"/>
      <c r="G705" s="1597"/>
      <c r="H705" s="1598" t="s">
        <v>972</v>
      </c>
      <c r="I705" s="1093" t="s">
        <v>970</v>
      </c>
      <c r="J705" s="1599"/>
      <c r="K705" s="1067"/>
      <c r="L705" s="1067"/>
      <c r="M705" s="1067"/>
      <c r="N705" s="1067"/>
      <c r="O705" s="1067"/>
      <c r="P705" s="1067"/>
    </row>
    <row customHeight="true" ht="18.452380952380953" r="706">
      <c r="A706" s="1088" t="s">
        <v>1413</v>
      </c>
      <c r="B706" s="1088"/>
      <c r="C706" s="1088"/>
      <c r="D706" s="1093"/>
      <c r="E706" s="1600">
        <f>3</f>
      </c>
      <c r="F706" s="1065"/>
      <c r="G706" s="1097"/>
      <c r="H706" s="1473"/>
      <c r="I706" s="1065"/>
      <c r="J706" s="1066"/>
      <c r="K706" s="1067"/>
      <c r="L706" s="1067"/>
      <c r="M706" s="1067"/>
      <c r="N706" s="1067"/>
      <c r="O706" s="1067"/>
      <c r="P706" s="1067"/>
    </row>
    <row r="707">
      <c r="A707" s="1204"/>
      <c r="B707" s="1088"/>
      <c r="C707" s="1088"/>
      <c r="D707" s="1093"/>
      <c r="E707" s="1093"/>
      <c r="F707" s="1093"/>
      <c r="G707" s="1097"/>
      <c r="H707" s="1473"/>
      <c r="I707" s="1093"/>
      <c r="J707" s="1066"/>
      <c r="K707" s="1067"/>
      <c r="L707" s="1067"/>
      <c r="M707" s="1067"/>
      <c r="N707" s="1067"/>
      <c r="O707" s="1067"/>
      <c r="P707" s="1067"/>
    </row>
    <row r="708">
      <c r="A708" s="1088"/>
      <c r="B708" s="1088"/>
      <c r="C708" s="1088"/>
      <c r="D708" s="1093"/>
      <c r="E708" s="1093"/>
      <c r="F708" s="1093"/>
      <c r="G708" s="1097"/>
      <c r="H708" s="1473"/>
      <c r="I708" s="1093"/>
      <c r="J708" s="1066"/>
      <c r="K708" s="1067"/>
      <c r="L708" s="1067"/>
      <c r="M708" s="1067"/>
      <c r="N708" s="1067"/>
      <c r="O708" s="1067"/>
      <c r="P708" s="1067"/>
    </row>
    <row r="709">
      <c r="A709" s="1088" t="s">
        <v>1421</v>
      </c>
      <c r="B709" s="1070">
        <v>46245</v>
      </c>
      <c r="C709" s="1088" t="str">
        <v>Tuesday</v>
      </c>
      <c r="D709" s="1095" t="s">
        <v>1160</v>
      </c>
      <c r="E709" s="1065">
        <f t="shared" ref="E709:E714" si="131">24*MOD(TIMEVALUE(TRIM(MID(D709,FIND("-",D709)+1,LEN(D709)))) - TIMEVALUE(TRIM(LEFT(D709,FIND("-",D709)-1))),1)</f>
      </c>
      <c r="F709" s="1093"/>
      <c r="G709" s="1220"/>
      <c r="H709" s="1267" t="s">
        <v>972</v>
      </c>
      <c r="I709" s="1093" t="s">
        <v>946</v>
      </c>
      <c r="J709" s="1091"/>
      <c r="K709" s="1067"/>
      <c r="L709" s="1067"/>
      <c r="M709" s="1067"/>
      <c r="N709" s="1067"/>
      <c r="O709" s="1067"/>
      <c r="P709" s="1067"/>
    </row>
    <row r="710">
      <c r="A710" s="1088" t="s">
        <v>1421</v>
      </c>
      <c r="B710" s="1070">
        <v>46245</v>
      </c>
      <c r="C710" s="1088" t="str">
        <v>Tuesday</v>
      </c>
      <c r="D710" s="1095" t="s">
        <v>1422</v>
      </c>
      <c r="E710" s="1065">
        <f t="shared" si="131"/>
      </c>
      <c r="F710" s="1093"/>
      <c r="G710" s="1217"/>
      <c r="H710" s="1267" t="s">
        <v>972</v>
      </c>
      <c r="I710" s="1093" t="s">
        <v>946</v>
      </c>
      <c r="J710" s="1091"/>
      <c r="K710" s="1067"/>
      <c r="L710" s="1067"/>
      <c r="M710" s="1067"/>
      <c r="N710" s="1067"/>
      <c r="O710" s="1067"/>
      <c r="P710" s="1067"/>
    </row>
    <row r="711">
      <c r="A711" s="1088" t="s">
        <v>1421</v>
      </c>
      <c r="B711" s="1070">
        <v>46246</v>
      </c>
      <c r="C711" s="1088" t="str">
        <v>Wednesday</v>
      </c>
      <c r="D711" s="1095" t="s">
        <v>1423</v>
      </c>
      <c r="E711" s="1065">
        <f t="shared" si="131"/>
      </c>
      <c r="F711" s="1093"/>
      <c r="G711" s="1217"/>
      <c r="H711" s="1267" t="s">
        <v>972</v>
      </c>
      <c r="I711" s="1093" t="s">
        <v>946</v>
      </c>
      <c r="J711" s="1091"/>
      <c r="K711" s="1067"/>
      <c r="L711" s="1067"/>
      <c r="M711" s="1067"/>
      <c r="N711" s="1067"/>
      <c r="O711" s="1067"/>
      <c r="P711" s="1067"/>
    </row>
    <row r="712">
      <c r="A712" s="1088" t="s">
        <v>1421</v>
      </c>
      <c r="B712" s="1088">
        <v>46234</v>
      </c>
      <c r="C712" s="1088" t="str">
        <v>Friday</v>
      </c>
      <c r="D712" s="1061" t="s">
        <v>1373</v>
      </c>
      <c r="E712" s="1065">
        <f t="shared" si="131"/>
      </c>
      <c r="F712" s="1093"/>
      <c r="G712" s="1217"/>
      <c r="H712" s="1267" t="s">
        <v>972</v>
      </c>
      <c r="I712" s="1093" t="s">
        <v>970</v>
      </c>
      <c r="J712" s="1091"/>
      <c r="K712" s="1067"/>
      <c r="L712" s="1067"/>
      <c r="M712" s="1067"/>
      <c r="N712" s="1067"/>
      <c r="O712" s="1067"/>
      <c r="P712" s="1067"/>
    </row>
    <row r="713">
      <c r="A713" s="1088" t="s">
        <v>1421</v>
      </c>
      <c r="B713" s="1088">
        <v>46220</v>
      </c>
      <c r="C713" s="1088" t="str">
        <v>Friday</v>
      </c>
      <c r="D713" s="1065" t="s">
        <v>1424</v>
      </c>
      <c r="E713" s="1065">
        <f t="shared" si="131"/>
      </c>
      <c r="F713" s="1093"/>
      <c r="G713" s="1217"/>
      <c r="H713" s="1267" t="s">
        <v>972</v>
      </c>
      <c r="I713" s="1093" t="s">
        <v>970</v>
      </c>
      <c r="J713" s="1091"/>
      <c r="K713" s="1067"/>
      <c r="L713" s="1067"/>
      <c r="M713" s="1067"/>
      <c r="N713" s="1067"/>
      <c r="O713" s="1067"/>
      <c r="P713" s="1067"/>
    </row>
    <row r="714">
      <c r="A714" s="1088" t="s">
        <v>1421</v>
      </c>
      <c r="B714" s="1088">
        <v>46219</v>
      </c>
      <c r="C714" s="1088" t="str">
        <v>Thursday</v>
      </c>
      <c r="D714" s="1065" t="s">
        <v>1425</v>
      </c>
      <c r="E714" s="1065">
        <f t="shared" si="131"/>
      </c>
      <c r="F714" s="1093"/>
      <c r="G714" s="1217"/>
      <c r="H714" s="1267" t="s">
        <v>972</v>
      </c>
      <c r="I714" s="1093" t="s">
        <v>970</v>
      </c>
      <c r="J714" s="1091"/>
      <c r="K714" s="1067"/>
      <c r="L714" s="1067"/>
      <c r="M714" s="1067"/>
      <c r="N714" s="1067"/>
      <c r="O714" s="1067"/>
      <c r="P714" s="1067"/>
    </row>
    <row r="715">
      <c r="A715" s="1333"/>
      <c r="B715" s="1333"/>
      <c r="C715" s="1333"/>
      <c r="D715" s="1333"/>
      <c r="E715" s="1333"/>
      <c r="F715" s="1333"/>
      <c r="G715" s="1416"/>
      <c r="H715" s="1333"/>
      <c r="I715" s="1333"/>
      <c r="J715" s="1333"/>
      <c r="K715" s="1067"/>
      <c r="L715" s="1067"/>
      <c r="M715" s="1067"/>
      <c r="N715" s="1067"/>
      <c r="O715" s="1067"/>
      <c r="P715" s="1067"/>
    </row>
    <row r="716">
      <c r="A716" s="1098"/>
      <c r="B716" s="1098"/>
      <c r="C716" s="1098"/>
      <c r="D716" s="1221"/>
      <c r="E716" s="1098"/>
      <c r="F716" s="1098"/>
      <c r="G716" s="1098"/>
      <c r="H716" s="1098"/>
      <c r="I716" s="1098"/>
      <c r="J716" s="1098"/>
      <c r="K716" s="1203"/>
      <c r="L716" s="1203"/>
      <c r="M716" s="1203"/>
      <c r="N716" s="1203"/>
      <c r="O716" s="1203"/>
      <c r="P716" s="1203"/>
    </row>
    <row r="717">
      <c r="A717" s="1602" t="s">
        <v>1426</v>
      </c>
      <c r="B717" s="1603"/>
      <c r="C717" s="1602"/>
      <c r="D717" s="1602"/>
      <c r="E717" s="1602"/>
      <c r="F717" s="1602"/>
      <c r="G717" s="1602"/>
      <c r="H717" s="1602"/>
      <c r="I717" s="1602"/>
      <c r="J717" s="1604"/>
      <c r="K717" s="1514"/>
      <c r="L717" s="1514"/>
      <c r="M717" s="1514"/>
      <c r="N717" s="1514"/>
      <c r="O717" s="1514"/>
      <c r="P717" s="1514"/>
    </row>
    <row r="718">
      <c r="A718" s="1344" t="s">
        <v>1426</v>
      </c>
      <c r="B718" s="1345" t="s">
        <v>959</v>
      </c>
      <c r="C718" s="1345"/>
      <c r="D718" s="1346" t="s">
        <v>960</v>
      </c>
      <c r="E718" s="1346" t="s">
        <v>961</v>
      </c>
      <c r="F718" s="1346" t="s">
        <v>962</v>
      </c>
      <c r="G718" s="1347" t="s">
        <v>974</v>
      </c>
      <c r="H718" s="1346" t="s">
        <v>964</v>
      </c>
      <c r="I718" s="1346" t="s">
        <v>965</v>
      </c>
      <c r="J718" s="1348" t="s">
        <v>966</v>
      </c>
      <c r="K718" s="1087"/>
      <c r="L718" s="1087"/>
      <c r="M718" s="1087"/>
      <c r="N718" s="1087"/>
      <c r="O718" s="1087"/>
      <c r="P718" s="1087"/>
    </row>
    <row customHeight="true" ht="18.452380952380953" r="719">
      <c r="A719" s="1088" t="s">
        <v>1426</v>
      </c>
      <c r="B719" s="1070">
        <v>46287</v>
      </c>
      <c r="C719" s="1088" t="str">
        <v>Tuesday</v>
      </c>
      <c r="D719" s="1061" t="s">
        <v>1001</v>
      </c>
      <c r="E719" s="1282">
        <f t="shared" ref="E719:E721" si="132">24*MOD(TIMEVALUE(TRIM(MID(D719,FIND("-",D719)+1,LEN(D719)))) - TIMEVALUE(TRIM(LEFT(D719,FIND("-",D719)-1))),1)</f>
      </c>
      <c r="F719" s="1093" t="s">
        <v>1427</v>
      </c>
      <c r="G719" s="1107"/>
      <c r="H719" s="1282"/>
      <c r="I719" s="1174"/>
      <c r="J719" s="1331"/>
      <c r="K719" s="1067"/>
      <c r="L719" s="1067"/>
      <c r="M719" s="1067"/>
      <c r="N719" s="1067"/>
      <c r="O719" s="1067"/>
      <c r="P719" s="1067"/>
    </row>
    <row r="720">
      <c r="A720" s="1088" t="s">
        <v>1426</v>
      </c>
      <c r="B720" s="1070">
        <v>46287</v>
      </c>
      <c r="C720" s="1239" t="str">
        <v>Tuesday</v>
      </c>
      <c r="D720" s="1061" t="s">
        <v>1283</v>
      </c>
      <c r="E720" s="1282">
        <f t="shared" si="132"/>
      </c>
      <c r="F720" s="1093" t="s">
        <v>1018</v>
      </c>
      <c r="G720" s="1107"/>
      <c r="H720" s="1282" t="s">
        <v>972</v>
      </c>
      <c r="I720" s="1174" t="s">
        <v>946</v>
      </c>
      <c r="J720" s="1331"/>
      <c r="K720" s="1067"/>
      <c r="L720" s="1067"/>
      <c r="M720" s="1067"/>
      <c r="N720" s="1067"/>
      <c r="O720" s="1067"/>
      <c r="P720" s="1067"/>
    </row>
    <row r="721">
      <c r="A721" s="1605" t="s">
        <v>1428</v>
      </c>
      <c r="B721" s="1606">
        <v>46287</v>
      </c>
      <c r="C721" s="1605" t="str">
        <v>Tuesday</v>
      </c>
      <c r="D721" s="1607" t="s">
        <v>1373</v>
      </c>
      <c r="E721" s="1608">
        <f t="shared" si="132"/>
      </c>
      <c r="F721" s="1608" t="s">
        <v>1429</v>
      </c>
      <c r="G721" s="1609"/>
      <c r="H721" s="1610" t="s">
        <v>972</v>
      </c>
      <c r="I721" s="1174" t="s">
        <v>970</v>
      </c>
      <c r="J721" s="1611"/>
      <c r="K721" s="1067"/>
      <c r="L721" s="1067"/>
      <c r="M721" s="1067"/>
      <c r="N721" s="1067"/>
      <c r="O721" s="1067"/>
      <c r="P721" s="1067"/>
    </row>
    <row customHeight="true" ht="18.452380952380953" r="722">
      <c r="A722" s="1088" t="s">
        <v>1426</v>
      </c>
      <c r="B722" s="1070">
        <v>46288</v>
      </c>
      <c r="C722" s="1088" t="str">
        <v>Wednesday</v>
      </c>
      <c r="D722" s="1061" t="s">
        <v>1001</v>
      </c>
      <c r="E722" s="1240">
        <v>1</v>
      </c>
      <c r="F722" s="1093" t="s">
        <v>1427</v>
      </c>
      <c r="G722" s="1220"/>
      <c r="H722" s="1093"/>
      <c r="I722" s="1174" t="s">
        <v>970</v>
      </c>
      <c r="J722" s="1091"/>
      <c r="K722" s="1067"/>
      <c r="L722" s="1067"/>
      <c r="M722" s="1067"/>
      <c r="N722" s="1067"/>
      <c r="O722" s="1067"/>
      <c r="P722" s="1067"/>
    </row>
    <row r="723">
      <c r="A723" s="1088" t="s">
        <v>1426</v>
      </c>
      <c r="B723" s="1070">
        <v>46288</v>
      </c>
      <c r="C723" s="1088" t="str">
        <v>Wednesday</v>
      </c>
      <c r="D723" s="1061" t="s">
        <v>1283</v>
      </c>
      <c r="E723" s="1282">
        <f t="shared" ref="E723:E730" si="133">24*MOD(TIMEVALUE(TRIM(MID(D723,FIND("-",D723)+1,LEN(D723)))) - TIMEVALUE(TRIM(LEFT(D723,FIND("-",D723)-1))),1)</f>
      </c>
      <c r="F723" s="1093" t="s">
        <v>1410</v>
      </c>
      <c r="G723" s="1220"/>
      <c r="H723" s="1093" t="s">
        <v>972</v>
      </c>
      <c r="I723" s="1174" t="s">
        <v>970</v>
      </c>
      <c r="J723" s="1091"/>
      <c r="K723" s="1067"/>
      <c r="L723" s="1067"/>
      <c r="M723" s="1067"/>
      <c r="N723" s="1067"/>
      <c r="O723" s="1067"/>
      <c r="P723" s="1067"/>
    </row>
    <row r="724">
      <c r="A724" s="1605" t="s">
        <v>1428</v>
      </c>
      <c r="B724" s="1612">
        <v>46288</v>
      </c>
      <c r="C724" s="1605" t="str">
        <v>Wednesday</v>
      </c>
      <c r="D724" s="1607" t="s">
        <v>1373</v>
      </c>
      <c r="E724" s="1608">
        <f t="shared" si="133"/>
      </c>
      <c r="F724" s="1608" t="s">
        <v>1429</v>
      </c>
      <c r="G724" s="1609"/>
      <c r="H724" s="1610" t="s">
        <v>972</v>
      </c>
      <c r="I724" s="1174" t="s">
        <v>970</v>
      </c>
      <c r="J724" s="1611"/>
      <c r="K724" s="1067"/>
      <c r="L724" s="1067"/>
      <c r="M724" s="1067"/>
      <c r="N724" s="1067"/>
      <c r="O724" s="1067"/>
      <c r="P724" s="1067"/>
    </row>
    <row r="725">
      <c r="A725" s="1088" t="s">
        <v>1426</v>
      </c>
      <c r="B725" s="1284">
        <v>46289</v>
      </c>
      <c r="C725" s="1088" t="str">
        <v>Thursday</v>
      </c>
      <c r="D725" s="1061" t="s">
        <v>1190</v>
      </c>
      <c r="E725" s="1282">
        <f t="shared" si="133"/>
      </c>
      <c r="F725" s="1093" t="s">
        <v>1018</v>
      </c>
      <c r="G725" s="1220" t="s">
        <v>1430</v>
      </c>
      <c r="H725" s="1093" t="s">
        <v>972</v>
      </c>
      <c r="I725" s="1174" t="s">
        <v>946</v>
      </c>
      <c r="J725" s="1091"/>
      <c r="K725" s="1067"/>
      <c r="L725" s="1067"/>
      <c r="M725" s="1067"/>
      <c r="N725" s="1067"/>
      <c r="O725" s="1067"/>
      <c r="P725" s="1067"/>
    </row>
    <row r="726">
      <c r="A726" s="1605" t="s">
        <v>1428</v>
      </c>
      <c r="B726" s="1612">
        <v>46289</v>
      </c>
      <c r="C726" s="1605" t="str">
        <v>Thursday</v>
      </c>
      <c r="D726" s="1607" t="s">
        <v>1373</v>
      </c>
      <c r="E726" s="1608">
        <f t="shared" si="133"/>
      </c>
      <c r="F726" s="1608" t="s">
        <v>1429</v>
      </c>
      <c r="G726" s="1609"/>
      <c r="H726" s="1610" t="s">
        <v>972</v>
      </c>
      <c r="I726" s="1174" t="s">
        <v>970</v>
      </c>
      <c r="J726" s="1611"/>
      <c r="K726" s="1067"/>
      <c r="L726" s="1067"/>
      <c r="M726" s="1067"/>
      <c r="N726" s="1067"/>
      <c r="O726" s="1067"/>
      <c r="P726" s="1067"/>
    </row>
    <row r="727">
      <c r="A727" s="1088" t="s">
        <v>1426</v>
      </c>
      <c r="B727" s="1070">
        <v>46290</v>
      </c>
      <c r="C727" s="1088" t="str">
        <v>Friday</v>
      </c>
      <c r="D727" s="1061" t="s">
        <v>1190</v>
      </c>
      <c r="E727" s="1282">
        <f t="shared" si="133"/>
      </c>
      <c r="F727" s="1093" t="s">
        <v>1410</v>
      </c>
      <c r="G727" s="1220"/>
      <c r="H727" s="1282" t="s">
        <v>972</v>
      </c>
      <c r="I727" s="1174" t="s">
        <v>970</v>
      </c>
      <c r="J727" s="1611"/>
      <c r="K727" s="1067"/>
      <c r="L727" s="1067"/>
      <c r="M727" s="1067"/>
      <c r="N727" s="1067"/>
      <c r="O727" s="1067"/>
      <c r="P727" s="1067"/>
    </row>
    <row r="728">
      <c r="A728" s="1605" t="s">
        <v>1428</v>
      </c>
      <c r="B728" s="1612">
        <v>46290</v>
      </c>
      <c r="C728" s="1605" t="str">
        <v>Friday</v>
      </c>
      <c r="D728" s="1607" t="s">
        <v>1373</v>
      </c>
      <c r="E728" s="1608">
        <f t="shared" si="133"/>
      </c>
      <c r="F728" s="1608" t="s">
        <v>1429</v>
      </c>
      <c r="G728" s="1609"/>
      <c r="H728" s="1608" t="s">
        <v>972</v>
      </c>
      <c r="I728" s="1174" t="s">
        <v>970</v>
      </c>
      <c r="J728" s="1091"/>
      <c r="K728" s="1067"/>
      <c r="L728" s="1067"/>
      <c r="M728" s="1067"/>
      <c r="N728" s="1067"/>
      <c r="O728" s="1067"/>
      <c r="P728" s="1067"/>
    </row>
    <row r="729">
      <c r="A729" s="1088" t="s">
        <v>1426</v>
      </c>
      <c r="B729" s="1070">
        <v>46291</v>
      </c>
      <c r="C729" s="1088" t="str">
        <v>Saturday</v>
      </c>
      <c r="D729" s="1061" t="s">
        <v>1431</v>
      </c>
      <c r="E729" s="1282">
        <f t="shared" si="133"/>
      </c>
      <c r="F729" s="1093" t="s">
        <v>1284</v>
      </c>
      <c r="G729" s="1220"/>
      <c r="H729" s="1282" t="s">
        <v>972</v>
      </c>
      <c r="I729" s="1174" t="s">
        <v>946</v>
      </c>
      <c r="J729" s="1611"/>
      <c r="K729" s="1067"/>
      <c r="L729" s="1067"/>
      <c r="M729" s="1067"/>
      <c r="N729" s="1067"/>
      <c r="O729" s="1067"/>
      <c r="P729" s="1067"/>
    </row>
    <row customHeight="true" ht="18.452380952380953" r="730">
      <c r="A730" s="1605" t="s">
        <v>1428</v>
      </c>
      <c r="B730" s="1606">
        <v>46291</v>
      </c>
      <c r="C730" s="1613" t="str">
        <v>Saturday</v>
      </c>
      <c r="D730" s="1614" t="s">
        <v>1432</v>
      </c>
      <c r="E730" s="1608">
        <f t="shared" si="133"/>
      </c>
      <c r="F730" s="1608" t="s">
        <v>1429</v>
      </c>
      <c r="G730" s="1220"/>
      <c r="H730" s="1282"/>
      <c r="I730" s="1174"/>
      <c r="J730" s="1611"/>
      <c r="K730" s="1067"/>
      <c r="L730" s="1067"/>
      <c r="M730" s="1067"/>
      <c r="N730" s="1067"/>
      <c r="O730" s="1067"/>
      <c r="P730" s="1067"/>
    </row>
    <row r="731">
      <c r="D731" s="1462"/>
      <c r="J731" s="1073"/>
      <c r="K731" s="1125"/>
      <c r="L731" s="1125"/>
      <c r="M731" s="1125"/>
      <c r="N731" s="1125"/>
      <c r="O731" s="1125"/>
      <c r="P731" s="1125"/>
    </row>
    <row r="732">
      <c r="A732" s="1615" t="s">
        <v>1433</v>
      </c>
      <c r="B732" s="1615"/>
      <c r="C732" s="1615"/>
      <c r="D732" s="1615"/>
      <c r="E732" s="1615"/>
      <c r="F732" s="1615"/>
      <c r="G732" s="1615"/>
      <c r="H732" s="1615"/>
      <c r="I732" s="1615"/>
      <c r="J732" s="1616"/>
      <c r="K732" s="1514"/>
      <c r="L732" s="1514"/>
      <c r="M732" s="1514"/>
      <c r="N732" s="1514"/>
      <c r="O732" s="1514"/>
      <c r="P732" s="1514"/>
    </row>
    <row r="733">
      <c r="A733" s="1617" t="s">
        <v>1433</v>
      </c>
      <c r="B733" s="1618" t="s">
        <v>959</v>
      </c>
      <c r="C733" s="1618"/>
      <c r="D733" s="1619" t="s">
        <v>960</v>
      </c>
      <c r="E733" s="1619" t="s">
        <v>961</v>
      </c>
      <c r="F733" s="1619" t="s">
        <v>962</v>
      </c>
      <c r="G733" s="1620" t="s">
        <v>974</v>
      </c>
      <c r="H733" s="1621" t="s">
        <v>964</v>
      </c>
      <c r="I733" s="1621" t="s">
        <v>965</v>
      </c>
      <c r="J733" s="1622" t="s">
        <v>966</v>
      </c>
      <c r="K733" s="1067"/>
      <c r="L733" s="1067"/>
      <c r="M733" s="1067"/>
      <c r="N733" s="1067"/>
      <c r="O733" s="1067"/>
      <c r="P733" s="1067"/>
    </row>
    <row r="734">
      <c r="A734" s="1617" t="s">
        <v>1433</v>
      </c>
      <c r="B734" s="1111">
        <v>46287</v>
      </c>
      <c r="C734" s="1110" t="str">
        <v>Tuesday</v>
      </c>
      <c r="D734" s="1112" t="s">
        <v>1095</v>
      </c>
      <c r="E734" s="1113">
        <f t="shared" ref="E734:E741" si="134">24*MOD(TIMEVALUE(TRIM(MID(D734,FIND("-",D734)+1,LEN(D734)))) - TIMEVALUE(TRIM(LEFT(D734,FIND("-",D734)-1))),1)</f>
      </c>
      <c r="F734" s="1113" t="s">
        <v>1434</v>
      </c>
      <c r="G734" s="1107"/>
      <c r="H734" s="1093" t="s">
        <v>972</v>
      </c>
      <c r="I734" s="1174" t="s">
        <v>946</v>
      </c>
      <c r="J734" s="1062" t="s">
        <v>1435</v>
      </c>
      <c r="K734" s="1067"/>
      <c r="L734" s="1067"/>
      <c r="M734" s="1067"/>
      <c r="N734" s="1067"/>
      <c r="O734" s="1067"/>
      <c r="P734" s="1067"/>
    </row>
    <row customHeight="true" ht="18.452380952380953" r="735">
      <c r="A735" s="1617" t="s">
        <v>1436</v>
      </c>
      <c r="B735" s="1111">
        <v>46287</v>
      </c>
      <c r="C735" s="1110" t="str">
        <v>Tuesday</v>
      </c>
      <c r="D735" s="1112" t="s">
        <v>1437</v>
      </c>
      <c r="E735" s="1623">
        <f t="shared" si="134"/>
      </c>
      <c r="F735" s="1113" t="s">
        <v>1278</v>
      </c>
      <c r="G735" s="1242"/>
      <c r="H735" s="1282" t="s">
        <v>972</v>
      </c>
      <c r="I735" s="1174" t="s">
        <v>946</v>
      </c>
      <c r="J735" s="1062"/>
      <c r="K735" s="1067"/>
      <c r="L735" s="1067"/>
      <c r="M735" s="1067"/>
      <c r="N735" s="1067"/>
      <c r="O735" s="1067"/>
      <c r="P735" s="1067"/>
    </row>
    <row customHeight="true" ht="18.452380952380953" r="736">
      <c r="A736" s="1617" t="s">
        <v>1433</v>
      </c>
      <c r="B736" s="1111">
        <v>46288</v>
      </c>
      <c r="C736" s="1110" t="str">
        <v>Wednesday</v>
      </c>
      <c r="D736" s="1112" t="s">
        <v>1095</v>
      </c>
      <c r="E736" s="1113">
        <f t="shared" si="134"/>
      </c>
      <c r="F736" s="1113" t="s">
        <v>1438</v>
      </c>
      <c r="G736" s="1242"/>
      <c r="H736" s="1282"/>
      <c r="I736" s="1174" t="s">
        <v>946</v>
      </c>
      <c r="J736" s="1062"/>
      <c r="K736" s="1067"/>
      <c r="L736" s="1067"/>
      <c r="M736" s="1067"/>
      <c r="N736" s="1067"/>
      <c r="O736" s="1067"/>
      <c r="P736" s="1067"/>
      <c r="Q736" s="1125"/>
      <c r="R736" s="1125"/>
    </row>
    <row customHeight="true" ht="18.452380952380953" r="737">
      <c r="A737" s="1617" t="s">
        <v>1436</v>
      </c>
      <c r="B737" s="1111">
        <v>46288</v>
      </c>
      <c r="C737" s="1110" t="str">
        <v>Wednesday</v>
      </c>
      <c r="D737" s="1112" t="s">
        <v>1437</v>
      </c>
      <c r="E737" s="1113">
        <f t="shared" si="134"/>
      </c>
      <c r="F737" s="1113" t="s">
        <v>1278</v>
      </c>
      <c r="G737" s="1242"/>
      <c r="H737" s="1282"/>
      <c r="I737" s="1174" t="s">
        <v>946</v>
      </c>
      <c r="J737" s="1066"/>
      <c r="K737" s="1067"/>
      <c r="L737" s="1067"/>
      <c r="M737" s="1067"/>
      <c r="N737" s="1067"/>
      <c r="O737" s="1067"/>
      <c r="P737" s="1067"/>
      <c r="Q737" s="1125"/>
      <c r="R737" s="1125"/>
    </row>
    <row customHeight="true" ht="18.452380952380953" r="738">
      <c r="A738" s="1617" t="s">
        <v>1433</v>
      </c>
      <c r="B738" s="1111">
        <v>46289</v>
      </c>
      <c r="C738" s="1110" t="str">
        <v>Thursday</v>
      </c>
      <c r="D738" s="1112" t="s">
        <v>1095</v>
      </c>
      <c r="E738" s="1113">
        <f t="shared" si="134"/>
      </c>
      <c r="F738" s="1113" t="s">
        <v>1438</v>
      </c>
      <c r="G738" s="1242"/>
      <c r="H738" s="1093" t="s">
        <v>972</v>
      </c>
      <c r="I738" s="1174" t="s">
        <v>946</v>
      </c>
      <c r="J738" s="1066"/>
      <c r="K738" s="1067"/>
      <c r="L738" s="1067"/>
      <c r="M738" s="1067"/>
      <c r="N738" s="1067"/>
      <c r="O738" s="1067"/>
      <c r="P738" s="1067"/>
    </row>
    <row customHeight="true" ht="18.055555555555546" r="739">
      <c r="A739" s="1617" t="s">
        <v>1436</v>
      </c>
      <c r="B739" s="1111">
        <v>46289</v>
      </c>
      <c r="C739" s="1110" t="str">
        <v>Thursday</v>
      </c>
      <c r="D739" s="1112" t="s">
        <v>1437</v>
      </c>
      <c r="E739" s="1113">
        <f t="shared" si="134"/>
      </c>
      <c r="F739" s="1113" t="s">
        <v>1278</v>
      </c>
      <c r="G739" s="1342"/>
      <c r="H739" s="1093" t="s">
        <v>972</v>
      </c>
      <c r="I739" s="1174" t="s">
        <v>946</v>
      </c>
      <c r="J739" s="1066"/>
      <c r="K739" s="1067"/>
      <c r="L739" s="1067"/>
      <c r="M739" s="1067"/>
      <c r="N739" s="1067"/>
      <c r="O739" s="1067"/>
      <c r="P739" s="1067"/>
    </row>
    <row customHeight="true" ht="18.452380952380953" r="740">
      <c r="A740" s="1617" t="s">
        <v>1433</v>
      </c>
      <c r="B740" s="1111">
        <v>46290</v>
      </c>
      <c r="C740" s="1110" t="str">
        <v>Friday</v>
      </c>
      <c r="D740" s="1112" t="s">
        <v>1095</v>
      </c>
      <c r="E740" s="1113">
        <f t="shared" si="134"/>
      </c>
      <c r="F740" s="1113" t="s">
        <v>1438</v>
      </c>
      <c r="G740" s="1242" t="s">
        <v>1430</v>
      </c>
      <c r="H740" s="1093" t="s">
        <v>972</v>
      </c>
      <c r="I740" s="1174" t="s">
        <v>946</v>
      </c>
      <c r="J740" s="1066"/>
      <c r="K740" s="1067"/>
      <c r="L740" s="1067"/>
      <c r="M740" s="1067"/>
      <c r="N740" s="1067"/>
      <c r="O740" s="1067"/>
      <c r="P740" s="1067"/>
    </row>
    <row customHeight="true" ht="18.452380952380953" r="741">
      <c r="A741" s="1617" t="s">
        <v>1433</v>
      </c>
      <c r="B741" s="1111">
        <v>46291</v>
      </c>
      <c r="C741" s="1110" t="str">
        <v>Saturday</v>
      </c>
      <c r="D741" s="1112" t="s">
        <v>1095</v>
      </c>
      <c r="E741" s="1113">
        <f t="shared" si="134"/>
      </c>
      <c r="F741" s="1113" t="s">
        <v>1438</v>
      </c>
      <c r="G741" s="1242"/>
      <c r="H741" s="1093"/>
      <c r="I741" s="1174" t="s">
        <v>946</v>
      </c>
      <c r="J741" s="1066"/>
      <c r="K741" s="1067"/>
      <c r="L741" s="1067"/>
      <c r="M741" s="1067"/>
      <c r="N741" s="1067"/>
      <c r="O741" s="1067"/>
      <c r="P741" s="1067"/>
    </row>
    <row r="742">
      <c r="A742" s="1617" t="s">
        <v>1433</v>
      </c>
      <c r="B742" s="1111">
        <v>46292</v>
      </c>
      <c r="C742" s="1110" t="str">
        <v>Sunday</v>
      </c>
      <c r="D742" s="1112" t="s">
        <v>1095</v>
      </c>
      <c r="E742" s="1112">
        <v>2</v>
      </c>
      <c r="F742" s="1113" t="s">
        <v>1434</v>
      </c>
      <c r="G742" s="1242" t="s">
        <v>1430</v>
      </c>
      <c r="H742" s="1093" t="s">
        <v>972</v>
      </c>
      <c r="I742" s="1174" t="s">
        <v>946</v>
      </c>
      <c r="J742" s="1066"/>
    </row>
    <row r="743">
      <c r="A743" s="1617" t="s">
        <v>1436</v>
      </c>
      <c r="B743" s="1111">
        <v>46292</v>
      </c>
      <c r="C743" s="1110" t="str">
        <v>Sunday</v>
      </c>
      <c r="D743" s="1112" t="s">
        <v>1437</v>
      </c>
      <c r="E743" s="1112">
        <v>2</v>
      </c>
      <c r="F743" s="1113" t="s">
        <v>1278</v>
      </c>
      <c r="G743" s="1342"/>
      <c r="H743" s="1093" t="s">
        <v>972</v>
      </c>
      <c r="I743" s="1174" t="s">
        <v>946</v>
      </c>
      <c r="J743" s="1066"/>
    </row>
    <row r="744">
      <c r="A744" s="1617"/>
      <c r="B744" s="1111"/>
      <c r="C744" s="1110"/>
      <c r="D744" s="1112"/>
      <c r="E744" s="1112"/>
      <c r="F744" s="1113"/>
      <c r="G744" s="1342"/>
      <c r="H744" s="1093"/>
      <c r="I744" s="1174"/>
      <c r="J744" s="1066"/>
    </row>
    <row r="745">
      <c r="A745" s="1624"/>
      <c r="B745" s="1284"/>
      <c r="C745" s="1239"/>
      <c r="D745" s="1240"/>
      <c r="E745" s="1240"/>
      <c r="F745" s="1282"/>
      <c r="G745" s="1342"/>
      <c r="H745" s="1093"/>
      <c r="I745" s="1174"/>
      <c r="J745" s="1066"/>
    </row>
    <row r="746">
      <c r="A746" s="1624"/>
      <c r="B746" s="1284"/>
      <c r="C746" s="1239"/>
      <c r="D746" s="1240"/>
      <c r="E746" s="1240"/>
      <c r="F746" s="1282"/>
      <c r="G746" s="1342"/>
      <c r="H746" s="1093"/>
      <c r="I746" s="1174"/>
      <c r="J746" s="1066"/>
    </row>
    <row r="747">
      <c r="A747" s="1624"/>
      <c r="B747" s="1284"/>
      <c r="C747" s="1239"/>
      <c r="D747" s="1240"/>
      <c r="E747" s="1240"/>
      <c r="F747" s="1282"/>
      <c r="G747" s="1342"/>
      <c r="H747" s="1093"/>
      <c r="I747" s="1174"/>
      <c r="J747" s="1066"/>
    </row>
    <row r="748">
      <c r="A748" s="1624"/>
      <c r="B748" s="1284"/>
      <c r="C748" s="1239"/>
      <c r="D748" s="1240"/>
      <c r="E748" s="1240"/>
      <c r="F748" s="1282"/>
      <c r="G748" s="1342"/>
      <c r="H748" s="1093"/>
      <c r="I748" s="1174"/>
      <c r="J748" s="1066"/>
    </row>
    <row r="749">
      <c r="A749" s="1624"/>
      <c r="B749" s="1284"/>
      <c r="C749" s="1239"/>
      <c r="D749" s="1240"/>
      <c r="E749" s="1240"/>
      <c r="F749" s="1282"/>
      <c r="G749" s="1342"/>
      <c r="H749" s="1093"/>
      <c r="I749" s="1174"/>
      <c r="J749" s="1066"/>
    </row>
    <row r="750">
      <c r="A750" s="1624"/>
      <c r="B750" s="1284"/>
      <c r="C750" s="1239"/>
      <c r="D750" s="1240"/>
      <c r="E750" s="1240"/>
      <c r="F750" s="1282"/>
      <c r="G750" s="1342"/>
      <c r="H750" s="1093"/>
      <c r="I750" s="1174"/>
      <c r="J750" s="1066"/>
    </row>
    <row r="751">
      <c r="A751" s="1625"/>
      <c r="B751" s="1626"/>
      <c r="C751" s="1627"/>
      <c r="D751" s="1628"/>
      <c r="E751" s="1628"/>
      <c r="F751" s="1629"/>
      <c r="G751" s="1342"/>
      <c r="H751" s="1093"/>
      <c r="I751" s="1174"/>
      <c r="J751" s="1066"/>
    </row>
  </sheetData>
  <autoFilter ref="A1:R751"/>
  <mergeCells>
    <mergeCell ref="B214:C214"/>
    <mergeCell ref="B267:C267"/>
    <mergeCell ref="A156:A157"/>
    <mergeCell ref="B156:B157"/>
    <mergeCell ref="C156:D157"/>
    <mergeCell ref="E156:G157"/>
    <mergeCell ref="A158:A159"/>
    <mergeCell ref="B158:C159"/>
    <mergeCell ref="D158:D159"/>
    <mergeCell ref="E158:E159"/>
    <mergeCell ref="F158:F159"/>
    <mergeCell ref="G158:G159"/>
    <mergeCell ref="H158:H159"/>
    <mergeCell ref="B131:C131"/>
    <mergeCell ref="A112:F112"/>
    <mergeCell ref="B113:C113"/>
    <mergeCell ref="A97:F97"/>
    <mergeCell ref="B98:C98"/>
    <mergeCell ref="B89:C89"/>
    <mergeCell ref="A88:F88"/>
    <mergeCell ref="A71:F71"/>
    <mergeCell ref="B72:C72"/>
    <mergeCell ref="B24:C24"/>
    <mergeCell ref="A22:J22"/>
    <mergeCell ref="A23:I23"/>
    <mergeCell ref="B13:C13"/>
    <mergeCell ref="A9:J9"/>
    <mergeCell ref="A2:J2"/>
    <mergeCell ref="A3:J3"/>
  </mergeCells>
  <dataValidations count="4">
    <dataValidation allowBlank="true" errorStyle="stop" showErrorMessage="true" sqref="H4:H8 H10:H12 H14:H21 H25:H69 H73:H84 H86:H86 H90:H95 H99:H102 H104:H107 H109:H110 H114:H118 H120:H124 H126:H128 H132:H155 H160:H169 H173:H184 H187:H212 H215:H218 H222:H241 H243:H246 H248:H265 H268:H280 H285:H305 H310:H338 H340:H370 H373:H380 H383:H397 H401:H423 H428:H442 H445:H462 H466:H493 H497:H505 H510:H533 H536:H550 H557:H560 H563:H576 H579:H615 H618:H645 H647:H650 H656:H672 H675:H686 H689:H714" type="list">
      <formula1>"8461 Higuera Street,3619 Eastham Drive"</formula1>
    </dataValidation>
    <dataValidation allowBlank="true" errorStyle="stop" showErrorMessage="true" sqref="I132:I155 I160:I169 I174:I175 I178:I181 I217:I218 I222:I222 I224:I224 I230:I233 I235:I236 I238:I239 I243:I245 I330:I336 I373:I377 I507:I507 I647:I649 J647:J649" type="list">
      <formula1>"PENDING,YES"</formula1>
    </dataValidation>
    <dataValidation allowBlank="true" errorStyle="stop" showErrorMessage="true" sqref="I650:I650 J650:J650" type="list">
      <formula1>"PENDING,YES,Back up"</formula1>
    </dataValidation>
    <dataValidation allowBlank="true" errorStyle="stop" showErrorMessage="true" sqref="I4:I8 I10:I12 I14:I21 I25:I69 I73:I84 I86:I86 I90:I95 I99:I102 I104:I107 I109:I110 I114:I118 I120:I124 I126:I128 I173:I173 I176:I177 I182:I184 I187:I212 I215:I216 I223:I223 I225:I229 I234:I234 I237:I237 I240:I241 I246:I246 I248:I265 I268:I280 I285:I305 I310:I329 I337:I338 I340:I370 I378:I380 I383:I397 I401:I423 I428:I442 I445:I462 I466:I493 I497:I505 I510:I533 I536:I550 I557:I560 I563:I576 I579:I615 I618:I645 I656:I672 I675:I686 I689:I714 I718:I730 I733:I751" type="list">
      <formula1>"YES,PENDING"</formula1>
    </dataValidation>
  </dataValidation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4.47887323943662"/>
    <col collapsed="false" customWidth="true" hidden="false" max="7" min="7" style="0" width="29.191146881287736"/>
    <col collapsed="false" customWidth="true" hidden="false" max="11" min="11" style="0" width="11.211267605633802"/>
    <col collapsed="false" customWidth="true" hidden="false" max="16" min="16" style="0" width="11.211267605633802"/>
    <col collapsed="false" customWidth="true" hidden="false" max="2" min="2" style="0" width="14.47887323943662"/>
    <col collapsed="false" customWidth="true" hidden="false" max="6" min="6" style="0" width="29.464788732394368"/>
    <col collapsed="false" customWidth="true" hidden="false" max="10" min="10" style="0" width="47.859154929577464"/>
    <col collapsed="false" customWidth="true" hidden="false" max="15" min="15" style="0" width="11.211267605633802"/>
    <col collapsed="false" customWidth="true" hidden="false" max="1" min="1" style="0" width="30.816901408450704"/>
    <col collapsed="false" customWidth="true" hidden="false" max="5" min="5" style="0" width="12.804828973843067"/>
    <col collapsed="false" customWidth="true" hidden="false" max="9" min="9" style="0" width="15.605633802816902"/>
    <col collapsed="false" customWidth="true" hidden="false" max="14" min="14" style="0" width="11.211267605633802"/>
    <col collapsed="false" customWidth="true" hidden="false" max="4" min="4" style="0" width="21.577464788732396"/>
    <col collapsed="false" customWidth="true" hidden="false" max="8" min="8" style="0" width="22.929577464788732"/>
    <col collapsed="false" customWidth="true" hidden="false" max="12" min="12" style="0" width="11.211267605633802"/>
    <col collapsed="false" customWidth="true" hidden="false" max="13" min="13" style="0" width="11.211267605633802"/>
  </cols>
  <sheetData>
    <row r="1">
      <c r="A1" s="1630"/>
      <c r="B1" s="1631"/>
      <c r="C1" s="1631"/>
      <c r="D1" s="1632"/>
      <c r="E1" s="1632"/>
      <c r="F1" s="1633"/>
      <c r="G1" s="1631"/>
      <c r="H1" s="1632"/>
      <c r="I1" s="1631"/>
      <c r="J1" s="1634"/>
      <c r="K1" s="1635"/>
      <c r="L1" s="1635"/>
      <c r="M1" s="1635"/>
      <c r="N1" s="1635"/>
      <c r="O1" s="1635"/>
      <c r="P1" s="1635"/>
    </row>
    <row customHeight="true" ht="21.146616128578824" r="2">
      <c r="A2" s="1636"/>
      <c r="B2" s="1637"/>
      <c r="C2" s="1637"/>
      <c r="D2" s="1637"/>
      <c r="E2" s="1637"/>
      <c r="F2" s="1637"/>
      <c r="G2" s="1637"/>
      <c r="H2" s="1637"/>
      <c r="I2" s="1637"/>
      <c r="J2" s="1637"/>
      <c r="K2" s="1638"/>
      <c r="L2" s="1638"/>
      <c r="M2" s="1638"/>
      <c r="N2" s="1638"/>
      <c r="O2" s="1638"/>
      <c r="P2" s="1638"/>
    </row>
    <row customHeight="true" ht="42.073934453802075" r="3">
      <c r="A3" s="1639" t="s">
        <v>1439</v>
      </c>
      <c r="B3" s="1640"/>
      <c r="C3" s="1640"/>
      <c r="D3" s="1640"/>
      <c r="E3" s="1640"/>
      <c r="F3" s="1640"/>
      <c r="G3" s="1640"/>
      <c r="H3" s="1640"/>
      <c r="I3" s="1640"/>
      <c r="J3" s="1640"/>
      <c r="K3" s="1641"/>
      <c r="L3" s="1641"/>
      <c r="M3" s="1641"/>
      <c r="N3" s="1641"/>
      <c r="O3" s="1641"/>
      <c r="P3" s="1641"/>
    </row>
    <row r="4">
      <c r="A4" s="1642" t="s">
        <v>1440</v>
      </c>
      <c r="B4" s="1643">
        <v>46279</v>
      </c>
      <c r="C4" s="1644" t="s">
        <v>1441</v>
      </c>
      <c r="D4" s="1645" t="s">
        <v>1442</v>
      </c>
      <c r="E4" s="1646">
        <v>2.5</v>
      </c>
      <c r="F4" s="1647" t="s">
        <v>1443</v>
      </c>
      <c r="G4" s="1648" t="s">
        <v>1444</v>
      </c>
      <c r="H4" s="1649" t="s">
        <v>1445</v>
      </c>
      <c r="I4" s="1649" t="s">
        <v>1446</v>
      </c>
      <c r="J4" s="1650"/>
      <c r="K4" s="1651"/>
      <c r="L4" s="1651"/>
      <c r="M4" s="1651"/>
      <c r="N4" s="1651"/>
      <c r="O4" s="1651"/>
      <c r="P4" s="1651"/>
    </row>
    <row customHeight="true" ht="18.452380952380953" r="5">
      <c r="A5" s="1642" t="s">
        <v>1440</v>
      </c>
      <c r="B5" s="1643">
        <v>46279</v>
      </c>
      <c r="C5" s="1644" t="s">
        <v>1441</v>
      </c>
      <c r="D5" s="1645" t="s">
        <v>1442</v>
      </c>
      <c r="E5" s="1646">
        <v>2.5</v>
      </c>
      <c r="F5" s="1647" t="s">
        <v>1447</v>
      </c>
      <c r="G5" s="1648" t="s">
        <v>1444</v>
      </c>
      <c r="H5" s="1649" t="s">
        <v>1445</v>
      </c>
      <c r="I5" s="1649" t="s">
        <v>1446</v>
      </c>
      <c r="J5" s="1650"/>
      <c r="K5" s="1651"/>
      <c r="L5" s="1651"/>
      <c r="M5" s="1651"/>
      <c r="N5" s="1651"/>
      <c r="O5" s="1651"/>
      <c r="P5" s="1651"/>
    </row>
    <row customHeight="true" ht="18.452380952380953" r="6">
      <c r="A6" s="1642" t="s">
        <v>1440</v>
      </c>
      <c r="B6" s="1643">
        <v>46279</v>
      </c>
      <c r="C6" s="1644" t="s">
        <v>1441</v>
      </c>
      <c r="D6" s="1645" t="s">
        <v>1442</v>
      </c>
      <c r="E6" s="1646">
        <v>2.5</v>
      </c>
      <c r="F6" s="1647" t="s">
        <v>1448</v>
      </c>
      <c r="G6" s="1648" t="s">
        <v>1444</v>
      </c>
      <c r="H6" s="1649" t="s">
        <v>1445</v>
      </c>
      <c r="I6" s="1649" t="s">
        <v>1446</v>
      </c>
      <c r="J6" s="1650"/>
      <c r="K6" s="1651"/>
      <c r="L6" s="1651"/>
      <c r="M6" s="1651"/>
      <c r="N6" s="1651"/>
      <c r="O6" s="1651"/>
      <c r="P6" s="1651"/>
    </row>
    <row customHeight="true" ht="18.452380952380953" r="7">
      <c r="A7" s="1642" t="s">
        <v>1440</v>
      </c>
      <c r="B7" s="1652">
        <v>46282</v>
      </c>
      <c r="C7" s="1644" t="s">
        <v>1449</v>
      </c>
      <c r="D7" s="1645" t="s">
        <v>1442</v>
      </c>
      <c r="E7" s="1646">
        <v>2.5</v>
      </c>
      <c r="F7" s="1647" t="s">
        <v>1450</v>
      </c>
      <c r="G7" s="1648" t="s">
        <v>1444</v>
      </c>
      <c r="H7" s="1649" t="s">
        <v>1445</v>
      </c>
      <c r="I7" s="1649" t="s">
        <v>1446</v>
      </c>
      <c r="J7" s="1650"/>
      <c r="K7" s="1651"/>
      <c r="L7" s="1651"/>
      <c r="M7" s="1651"/>
      <c r="N7" s="1651"/>
      <c r="O7" s="1651"/>
      <c r="P7" s="1651"/>
    </row>
    <row customHeight="true" ht="19.235588972431085" r="8">
      <c r="A8" s="1642" t="s">
        <v>1440</v>
      </c>
      <c r="B8" s="1652">
        <v>46282</v>
      </c>
      <c r="C8" s="1644" t="s">
        <v>1449</v>
      </c>
      <c r="D8" s="1645" t="s">
        <v>1442</v>
      </c>
      <c r="E8" s="1646">
        <v>2.5</v>
      </c>
      <c r="F8" s="1647" t="s">
        <v>1451</v>
      </c>
      <c r="G8" s="1648" t="s">
        <v>1444</v>
      </c>
      <c r="H8" s="1649" t="s">
        <v>1445</v>
      </c>
      <c r="I8" s="1649" t="s">
        <v>1446</v>
      </c>
      <c r="J8" s="1650"/>
      <c r="K8" s="1651"/>
      <c r="L8" s="1651"/>
      <c r="M8" s="1651"/>
      <c r="N8" s="1651"/>
      <c r="O8" s="1651"/>
      <c r="P8" s="1651"/>
    </row>
    <row customHeight="true" ht="18.452380952380953" r="9">
      <c r="A9" s="1640" t="s">
        <v>1452</v>
      </c>
      <c r="B9" s="1640"/>
      <c r="C9" s="1640"/>
      <c r="D9" s="1640"/>
      <c r="E9" s="1640"/>
      <c r="F9" s="1640"/>
      <c r="G9" s="1640"/>
      <c r="H9" s="1640"/>
      <c r="I9" s="1640"/>
      <c r="J9" s="1653"/>
      <c r="K9" s="1641"/>
      <c r="L9" s="1641"/>
      <c r="M9" s="1641"/>
      <c r="N9" s="1641"/>
      <c r="O9" s="1641"/>
      <c r="P9" s="1641"/>
      <c r="Q9" s="1654"/>
      <c r="R9" s="1654"/>
    </row>
    <row customHeight="true" ht="18.452380952380953" r="10">
      <c r="A10" s="1655" t="s">
        <v>1452</v>
      </c>
      <c r="B10" s="1643">
        <v>46274</v>
      </c>
      <c r="C10" s="1652" t="s">
        <v>1453</v>
      </c>
      <c r="D10" s="1656" t="s">
        <v>1454</v>
      </c>
      <c r="E10" s="1657">
        <v>5</v>
      </c>
      <c r="F10" s="1658"/>
      <c r="G10" s="1659" t="s">
        <v>1444</v>
      </c>
      <c r="H10" s="1649" t="s">
        <v>1445</v>
      </c>
      <c r="I10" s="1660" t="s">
        <v>1446</v>
      </c>
      <c r="J10" s="1661"/>
      <c r="K10" s="1651"/>
      <c r="L10" s="1651"/>
      <c r="M10" s="1651"/>
      <c r="N10" s="1651"/>
      <c r="O10" s="1651"/>
      <c r="P10" s="1651"/>
      <c r="Q10" s="1654"/>
      <c r="R10" s="1654"/>
    </row>
    <row customHeight="true" ht="18.452380952380953" r="11">
      <c r="A11" s="1655" t="s">
        <v>1452</v>
      </c>
      <c r="B11" s="1652">
        <v>46275</v>
      </c>
      <c r="C11" s="1662" t="s">
        <v>1455</v>
      </c>
      <c r="D11" s="1663" t="s">
        <v>1456</v>
      </c>
      <c r="E11" s="1656">
        <v>8</v>
      </c>
      <c r="F11" s="1658"/>
      <c r="G11" s="1659" t="s">
        <v>1444</v>
      </c>
      <c r="H11" s="1649" t="s">
        <v>1445</v>
      </c>
      <c r="I11" s="1660" t="s">
        <v>1446</v>
      </c>
      <c r="J11" s="1661"/>
      <c r="K11" s="1651"/>
      <c r="L11" s="1651"/>
      <c r="M11" s="1651"/>
      <c r="N11" s="1651"/>
      <c r="O11" s="1651"/>
      <c r="P11" s="1651"/>
      <c r="Q11" s="1654"/>
      <c r="R11" s="1654"/>
    </row>
    <row r="12">
      <c r="A12" s="1655" t="s">
        <v>1452</v>
      </c>
      <c r="B12" s="1652">
        <v>46276</v>
      </c>
      <c r="C12" s="1652" t="s">
        <v>1449</v>
      </c>
      <c r="D12" s="1656" t="s">
        <v>1456</v>
      </c>
      <c r="E12" s="1656">
        <v>8</v>
      </c>
      <c r="F12" s="1658"/>
      <c r="G12" s="1659" t="s">
        <v>1444</v>
      </c>
      <c r="H12" s="1649" t="s">
        <v>1445</v>
      </c>
      <c r="I12" s="1660" t="s">
        <v>1446</v>
      </c>
      <c r="J12" s="1661"/>
      <c r="K12" s="1651"/>
      <c r="L12" s="1651"/>
      <c r="M12" s="1651"/>
      <c r="N12" s="1651"/>
      <c r="O12" s="1651"/>
      <c r="P12" s="1651"/>
      <c r="Q12" s="1654"/>
      <c r="R12" s="1654"/>
    </row>
    <row customHeight="true" ht="39.88095238095238" r="13">
      <c r="A13" s="1664" t="s">
        <v>1457</v>
      </c>
      <c r="B13" s="1665" t="s">
        <v>1458</v>
      </c>
      <c r="C13" s="1665"/>
      <c r="D13" s="1666" t="s">
        <v>1459</v>
      </c>
      <c r="E13" s="1667" t="s">
        <v>1460</v>
      </c>
      <c r="F13" s="1666" t="s">
        <v>1461</v>
      </c>
      <c r="G13" s="1668" t="s">
        <v>1462</v>
      </c>
      <c r="H13" s="1666" t="s">
        <v>1463</v>
      </c>
      <c r="I13" s="1666" t="s">
        <v>1464</v>
      </c>
      <c r="J13" s="1667" t="s">
        <v>1465</v>
      </c>
      <c r="K13" s="1669"/>
      <c r="L13" s="1669"/>
      <c r="M13" s="1669"/>
      <c r="N13" s="1669"/>
      <c r="O13" s="1669"/>
      <c r="P13" s="1669"/>
      <c r="Q13" s="1654"/>
      <c r="R13" s="1654"/>
    </row>
    <row r="14">
      <c r="A14" s="1670" t="s">
        <v>1466</v>
      </c>
      <c r="B14" s="1670"/>
      <c r="C14" s="1670"/>
      <c r="D14" s="1649"/>
      <c r="E14" s="1650"/>
      <c r="F14" s="1671"/>
      <c r="G14" s="1672" t="s">
        <v>1467</v>
      </c>
      <c r="H14" s="1649"/>
      <c r="I14" s="1649" t="s">
        <v>1446</v>
      </c>
      <c r="J14" s="1673"/>
      <c r="K14" s="1651"/>
      <c r="L14" s="1651"/>
      <c r="M14" s="1651"/>
      <c r="N14" s="1651"/>
      <c r="O14" s="1651"/>
      <c r="P14" s="1651"/>
      <c r="Q14" s="1654"/>
      <c r="R14" s="1654"/>
    </row>
    <row r="15">
      <c r="A15" s="1670" t="s">
        <v>1466</v>
      </c>
      <c r="B15" s="1670"/>
      <c r="C15" s="1670"/>
      <c r="D15" s="1674"/>
      <c r="E15" s="1650"/>
      <c r="F15" s="1671"/>
      <c r="G15" s="1672"/>
      <c r="H15" s="1649"/>
      <c r="I15" s="1675" t="s">
        <v>1446</v>
      </c>
      <c r="J15" s="1673"/>
      <c r="K15" s="1651"/>
      <c r="L15" s="1651"/>
      <c r="M15" s="1651"/>
      <c r="N15" s="1651"/>
      <c r="O15" s="1651"/>
      <c r="P15" s="1651"/>
    </row>
    <row r="16">
      <c r="A16" s="1670" t="s">
        <v>1468</v>
      </c>
      <c r="B16" s="1670"/>
      <c r="C16" s="1670"/>
      <c r="D16" s="1649"/>
      <c r="E16" s="1650"/>
      <c r="F16" s="1671"/>
      <c r="G16" s="1672"/>
      <c r="H16" s="1649"/>
      <c r="I16" s="1649" t="s">
        <v>1469</v>
      </c>
      <c r="J16" s="1673"/>
      <c r="K16" s="1651"/>
      <c r="L16" s="1651"/>
      <c r="M16" s="1651"/>
      <c r="N16" s="1651"/>
      <c r="O16" s="1651"/>
      <c r="P16" s="1651"/>
    </row>
    <row r="17">
      <c r="A17" s="1670" t="s">
        <v>1468</v>
      </c>
      <c r="B17" s="1670"/>
      <c r="C17" s="1670"/>
      <c r="D17" s="1649"/>
      <c r="E17" s="1650"/>
      <c r="F17" s="1671"/>
      <c r="G17" s="1672"/>
      <c r="H17" s="1649"/>
      <c r="I17" s="1649" t="s">
        <v>1469</v>
      </c>
      <c r="J17" s="1673"/>
      <c r="K17" s="1651"/>
      <c r="L17" s="1651"/>
      <c r="M17" s="1651"/>
      <c r="N17" s="1651"/>
      <c r="O17" s="1651"/>
      <c r="P17" s="1651"/>
    </row>
    <row customHeight="true" ht="18.452380952380953" r="18">
      <c r="A18" s="1676" t="s">
        <v>1470</v>
      </c>
      <c r="B18" s="1644"/>
      <c r="C18" s="1670"/>
      <c r="D18" s="1677"/>
      <c r="E18" s="1675"/>
      <c r="F18" s="1678"/>
      <c r="G18" s="1679"/>
      <c r="H18" s="1675" t="s">
        <v>1471</v>
      </c>
      <c r="I18" s="1675" t="s">
        <v>1446</v>
      </c>
      <c r="J18" s="1650"/>
      <c r="K18" s="1680"/>
      <c r="L18" s="1680"/>
      <c r="M18" s="1680"/>
      <c r="N18" s="1680"/>
      <c r="O18" s="1680"/>
      <c r="P18" s="1680"/>
      <c r="Q18" s="1680"/>
      <c r="R18" s="1680"/>
    </row>
    <row customHeight="true" ht="18.452380952380953" r="19">
      <c r="A19" s="1676" t="s">
        <v>1470</v>
      </c>
      <c r="B19" s="1670"/>
      <c r="C19" s="1670"/>
      <c r="D19" s="1649"/>
      <c r="E19" s="1675"/>
      <c r="F19" s="1678"/>
      <c r="G19" s="1679"/>
      <c r="H19" s="1675" t="s">
        <v>1471</v>
      </c>
      <c r="I19" s="1675" t="s">
        <v>1446</v>
      </c>
      <c r="J19" s="1650"/>
      <c r="K19" s="1680"/>
      <c r="L19" s="1680"/>
      <c r="M19" s="1680"/>
      <c r="N19" s="1680"/>
      <c r="O19" s="1680"/>
      <c r="P19" s="1680"/>
      <c r="Q19" s="1680"/>
      <c r="R19" s="1680"/>
    </row>
    <row customHeight="true" ht="18.452380952380953" r="20">
      <c r="A20" s="1670"/>
      <c r="B20" s="1644"/>
      <c r="C20" s="1670"/>
      <c r="D20" s="1649"/>
      <c r="E20" s="1650"/>
      <c r="F20" s="1678"/>
      <c r="G20" s="1672"/>
      <c r="H20" s="1649"/>
      <c r="I20" s="1649"/>
      <c r="J20" s="1673"/>
      <c r="K20" s="1651"/>
      <c r="L20" s="1651"/>
      <c r="M20" s="1651"/>
      <c r="N20" s="1651"/>
      <c r="O20" s="1651"/>
      <c r="P20" s="1651"/>
    </row>
    <row customHeight="true" ht="18.452380952380953" r="21">
      <c r="A21" s="1670"/>
      <c r="B21" s="1644"/>
      <c r="C21" s="1670"/>
      <c r="D21" s="1649"/>
      <c r="E21" s="1650"/>
      <c r="F21" s="1678"/>
      <c r="G21" s="1672"/>
      <c r="H21" s="1649"/>
      <c r="I21" s="1649"/>
      <c r="J21" s="1673"/>
      <c r="K21" s="1651"/>
      <c r="L21" s="1651"/>
      <c r="M21" s="1651"/>
      <c r="N21" s="1651"/>
      <c r="O21" s="1651"/>
      <c r="P21" s="1651"/>
    </row>
    <row r="22">
      <c r="A22" s="1637"/>
      <c r="B22" s="1637"/>
      <c r="C22" s="1637"/>
      <c r="D22" s="1637"/>
      <c r="E22" s="1637"/>
      <c r="F22" s="1637"/>
      <c r="G22" s="1637"/>
      <c r="H22" s="1637"/>
      <c r="I22" s="1637"/>
      <c r="J22" s="1637"/>
      <c r="K22" s="1638"/>
      <c r="L22" s="1638"/>
      <c r="M22" s="1638"/>
      <c r="N22" s="1638"/>
      <c r="O22" s="1638"/>
      <c r="P22" s="1638"/>
    </row>
    <row r="23">
      <c r="A23" s="1681" t="s">
        <v>1472</v>
      </c>
      <c r="B23" s="1681"/>
      <c r="C23" s="1681"/>
      <c r="D23" s="1681"/>
      <c r="E23" s="1681"/>
      <c r="F23" s="1681"/>
      <c r="G23" s="1681"/>
      <c r="H23" s="1681"/>
      <c r="I23" s="1681"/>
      <c r="J23" s="1682"/>
      <c r="K23" s="1683"/>
      <c r="L23" s="1683"/>
      <c r="M23" s="1683"/>
      <c r="N23" s="1683"/>
      <c r="O23" s="1683"/>
      <c r="P23" s="1683"/>
    </row>
    <row r="24">
      <c r="A24" s="1684" t="s">
        <v>1457</v>
      </c>
      <c r="B24" s="1685" t="s">
        <v>1458</v>
      </c>
      <c r="C24" s="1685"/>
      <c r="D24" s="1686" t="s">
        <v>1459</v>
      </c>
      <c r="E24" s="1686" t="s">
        <v>1460</v>
      </c>
      <c r="F24" s="1686" t="s">
        <v>1461</v>
      </c>
      <c r="G24" s="1687" t="s">
        <v>1473</v>
      </c>
      <c r="H24" s="1686" t="s">
        <v>1463</v>
      </c>
      <c r="I24" s="1686" t="s">
        <v>1464</v>
      </c>
      <c r="J24" s="1688" t="s">
        <v>1465</v>
      </c>
      <c r="K24" s="1669"/>
      <c r="L24" s="1669"/>
      <c r="M24" s="1669"/>
      <c r="N24" s="1669"/>
      <c r="O24" s="1669"/>
      <c r="P24" s="1669"/>
    </row>
    <row customHeight="true" ht="18.452380952380953" r="25">
      <c r="A25" s="1670" t="s">
        <v>1474</v>
      </c>
      <c r="B25" s="1644">
        <v>46279</v>
      </c>
      <c r="C25" s="1670" t="str">
        <v>Monday</v>
      </c>
      <c r="D25" s="1645" t="s">
        <v>1475</v>
      </c>
      <c r="E25" s="1675">
        <f t="shared" ref="E25:E38" si="66">24*MOD(TIMEVALUE(TRIM(MID(D25,FIND("-",D25)+1,LEN(D25)))) - TIMEVALUE(TRIM(LEFT(D25,FIND("-",D25)-1))),1)</f>
      </c>
      <c r="F25" s="1675" t="s">
        <v>1476</v>
      </c>
      <c r="G25" s="1689" t="s">
        <v>1477</v>
      </c>
      <c r="H25" s="1690"/>
      <c r="I25" s="1675"/>
      <c r="J25" s="1673"/>
      <c r="K25" s="1651"/>
      <c r="L25" s="1651"/>
      <c r="M25" s="1651"/>
      <c r="N25" s="1651"/>
      <c r="O25" s="1651"/>
      <c r="P25" s="1651"/>
    </row>
    <row customHeight="true" ht="18.452380952380953" r="26">
      <c r="A26" s="1670" t="s">
        <v>1474</v>
      </c>
      <c r="B26" s="1644">
        <v>46279</v>
      </c>
      <c r="C26" s="1670" t="str">
        <v>Monday</v>
      </c>
      <c r="D26" s="1645" t="s">
        <v>1478</v>
      </c>
      <c r="E26" s="1675">
        <f t="shared" si="66"/>
      </c>
      <c r="F26" s="1649" t="s">
        <v>1479</v>
      </c>
      <c r="G26" s="1689" t="s">
        <v>1480</v>
      </c>
      <c r="H26" s="1690"/>
      <c r="I26" s="1675"/>
      <c r="J26" s="1673"/>
      <c r="K26" s="1651"/>
      <c r="L26" s="1651"/>
      <c r="M26" s="1651"/>
      <c r="N26" s="1651"/>
      <c r="O26" s="1651"/>
      <c r="P26" s="1651"/>
    </row>
    <row customHeight="true" ht="18.452380952380953" r="27">
      <c r="A27" s="1670" t="s">
        <v>1474</v>
      </c>
      <c r="B27" s="1644">
        <v>46279</v>
      </c>
      <c r="C27" s="1670" t="str">
        <v>Monday</v>
      </c>
      <c r="D27" s="1645" t="s">
        <v>1481</v>
      </c>
      <c r="E27" s="1675">
        <f t="shared" si="66"/>
      </c>
      <c r="F27" s="1675" t="s">
        <v>1476</v>
      </c>
      <c r="G27" s="1689" t="s">
        <v>1477</v>
      </c>
      <c r="H27" s="1690"/>
      <c r="I27" s="1675"/>
      <c r="J27" s="1673"/>
      <c r="K27" s="1651"/>
      <c r="L27" s="1651"/>
      <c r="M27" s="1651"/>
      <c r="N27" s="1651"/>
      <c r="O27" s="1651"/>
      <c r="P27" s="1651"/>
    </row>
    <row customHeight="true" ht="18.452380952380953" r="28">
      <c r="A28" s="1670" t="s">
        <v>1474</v>
      </c>
      <c r="B28" s="1644">
        <v>46280</v>
      </c>
      <c r="C28" s="1670" t="str">
        <v>Tuesday</v>
      </c>
      <c r="D28" s="1645" t="s">
        <v>1475</v>
      </c>
      <c r="E28" s="1675">
        <f t="shared" si="66"/>
      </c>
      <c r="F28" s="1675" t="s">
        <v>1476</v>
      </c>
      <c r="G28" s="1689" t="s">
        <v>1477</v>
      </c>
      <c r="H28" s="1690"/>
      <c r="I28" s="1675"/>
      <c r="J28" s="1673"/>
      <c r="K28" s="1651"/>
      <c r="L28" s="1651"/>
      <c r="M28" s="1651"/>
      <c r="N28" s="1651"/>
      <c r="O28" s="1651"/>
      <c r="P28" s="1651"/>
    </row>
    <row customHeight="true" ht="18.452380952380953" r="29">
      <c r="A29" s="1670" t="s">
        <v>1474</v>
      </c>
      <c r="B29" s="1644">
        <v>46280</v>
      </c>
      <c r="C29" s="1670" t="str">
        <v>Tuesday</v>
      </c>
      <c r="D29" s="1645" t="s">
        <v>1478</v>
      </c>
      <c r="E29" s="1675">
        <f t="shared" si="66"/>
      </c>
      <c r="F29" s="1649" t="s">
        <v>1479</v>
      </c>
      <c r="G29" s="1689" t="s">
        <v>1477</v>
      </c>
      <c r="H29" s="1690"/>
      <c r="I29" s="1675"/>
      <c r="J29" s="1673"/>
      <c r="K29" s="1651"/>
      <c r="L29" s="1651"/>
      <c r="M29" s="1651"/>
      <c r="N29" s="1651"/>
      <c r="O29" s="1651"/>
      <c r="P29" s="1651"/>
    </row>
    <row customHeight="true" ht="18.452380952380953" r="30">
      <c r="A30" s="1670" t="s">
        <v>1474</v>
      </c>
      <c r="B30" s="1644">
        <v>46280</v>
      </c>
      <c r="C30" s="1670" t="str">
        <v>Tuesday</v>
      </c>
      <c r="D30" s="1645" t="s">
        <v>1481</v>
      </c>
      <c r="E30" s="1675">
        <f t="shared" si="66"/>
      </c>
      <c r="F30" s="1649" t="s">
        <v>1476</v>
      </c>
      <c r="G30" s="1689" t="s">
        <v>1482</v>
      </c>
      <c r="H30" s="1690"/>
      <c r="I30" s="1675"/>
      <c r="J30" s="1673"/>
      <c r="K30" s="1651"/>
      <c r="L30" s="1651"/>
      <c r="M30" s="1651"/>
      <c r="N30" s="1651"/>
      <c r="O30" s="1651"/>
      <c r="P30" s="1651"/>
    </row>
    <row customHeight="true" ht="18.452380952380953" r="31">
      <c r="A31" s="1670" t="s">
        <v>1474</v>
      </c>
      <c r="B31" s="1644">
        <v>46281</v>
      </c>
      <c r="C31" s="1670" t="str">
        <v>Wednesday</v>
      </c>
      <c r="D31" s="1645" t="s">
        <v>1483</v>
      </c>
      <c r="E31" s="1675">
        <f t="shared" si="66"/>
      </c>
      <c r="F31" s="1675" t="s">
        <v>1476</v>
      </c>
      <c r="G31" s="1689" t="s">
        <v>1480</v>
      </c>
      <c r="H31" s="1690"/>
      <c r="I31" s="1675"/>
      <c r="J31" s="1673"/>
      <c r="K31" s="1651"/>
      <c r="L31" s="1651"/>
      <c r="M31" s="1651"/>
      <c r="N31" s="1651"/>
      <c r="O31" s="1651"/>
      <c r="P31" s="1651"/>
    </row>
    <row customHeight="true" ht="18.452380952380953" r="32">
      <c r="A32" s="1670" t="s">
        <v>1474</v>
      </c>
      <c r="B32" s="1644">
        <v>46281</v>
      </c>
      <c r="C32" s="1670" t="str">
        <v>Wednesday</v>
      </c>
      <c r="D32" s="1645" t="s">
        <v>1478</v>
      </c>
      <c r="E32" s="1675">
        <f t="shared" si="66"/>
      </c>
      <c r="F32" s="1649" t="s">
        <v>1479</v>
      </c>
      <c r="G32" s="1689" t="s">
        <v>1480</v>
      </c>
      <c r="H32" s="1690"/>
      <c r="I32" s="1675"/>
      <c r="J32" s="1673"/>
      <c r="K32" s="1651"/>
      <c r="L32" s="1651"/>
      <c r="M32" s="1651"/>
      <c r="N32" s="1651"/>
      <c r="O32" s="1651"/>
      <c r="P32" s="1651"/>
    </row>
    <row customHeight="true" ht="18.452380952380953" r="33">
      <c r="A33" s="1670" t="s">
        <v>1474</v>
      </c>
      <c r="B33" s="1644">
        <v>46281</v>
      </c>
      <c r="C33" s="1670" t="str">
        <v>Wednesday</v>
      </c>
      <c r="D33" s="1645" t="s">
        <v>1481</v>
      </c>
      <c r="E33" s="1675">
        <f t="shared" si="66"/>
      </c>
      <c r="F33" s="1675" t="s">
        <v>1476</v>
      </c>
      <c r="G33" s="1689" t="s">
        <v>1484</v>
      </c>
      <c r="H33" s="1690"/>
      <c r="I33" s="1675"/>
      <c r="J33" s="1673"/>
      <c r="K33" s="1651"/>
      <c r="L33" s="1651"/>
      <c r="M33" s="1651"/>
      <c r="N33" s="1651"/>
      <c r="O33" s="1651"/>
      <c r="P33" s="1651"/>
    </row>
    <row customHeight="true" ht="18.452380952380953" r="34">
      <c r="A34" s="1670" t="s">
        <v>1474</v>
      </c>
      <c r="B34" s="1644">
        <v>46282</v>
      </c>
      <c r="C34" s="1670" t="str">
        <v>Thursday</v>
      </c>
      <c r="D34" s="1645" t="s">
        <v>1483</v>
      </c>
      <c r="E34" s="1675">
        <f t="shared" si="66"/>
      </c>
      <c r="F34" s="1675" t="s">
        <v>1476</v>
      </c>
      <c r="G34" s="1689" t="s">
        <v>1477</v>
      </c>
      <c r="H34" s="1691"/>
      <c r="I34" s="1675"/>
      <c r="J34" s="1673"/>
      <c r="K34" s="1651"/>
      <c r="L34" s="1651"/>
      <c r="M34" s="1651"/>
      <c r="N34" s="1651"/>
      <c r="O34" s="1651"/>
      <c r="P34" s="1651"/>
    </row>
    <row customHeight="true" ht="18.452380952380953" r="35">
      <c r="A35" s="1670" t="s">
        <v>1474</v>
      </c>
      <c r="B35" s="1644">
        <v>46282</v>
      </c>
      <c r="C35" s="1670" t="str">
        <v>Thursday</v>
      </c>
      <c r="D35" s="1645" t="s">
        <v>1478</v>
      </c>
      <c r="E35" s="1675">
        <f t="shared" si="66"/>
      </c>
      <c r="F35" s="1649" t="s">
        <v>1479</v>
      </c>
      <c r="G35" s="1689" t="s">
        <v>1484</v>
      </c>
      <c r="H35" s="1690"/>
      <c r="I35" s="1675"/>
      <c r="J35" s="1673"/>
      <c r="K35" s="1651"/>
      <c r="L35" s="1651"/>
      <c r="M35" s="1651"/>
      <c r="N35" s="1651"/>
      <c r="O35" s="1651"/>
      <c r="P35" s="1651"/>
    </row>
    <row customHeight="true" ht="18.452380952380953" r="36">
      <c r="A36" s="1670" t="s">
        <v>1474</v>
      </c>
      <c r="B36" s="1644">
        <v>46282</v>
      </c>
      <c r="C36" s="1670" t="str">
        <v>Thursday</v>
      </c>
      <c r="D36" s="1645" t="s">
        <v>1481</v>
      </c>
      <c r="E36" s="1675">
        <f t="shared" si="66"/>
      </c>
      <c r="F36" s="1675" t="s">
        <v>1476</v>
      </c>
      <c r="G36" s="1689" t="s">
        <v>1477</v>
      </c>
      <c r="H36" s="1690"/>
      <c r="I36" s="1675"/>
      <c r="J36" s="1673"/>
      <c r="K36" s="1651"/>
      <c r="L36" s="1651"/>
      <c r="M36" s="1651"/>
      <c r="N36" s="1651"/>
      <c r="O36" s="1651"/>
      <c r="P36" s="1651"/>
    </row>
    <row customHeight="true" ht="18.452380952380953" r="37">
      <c r="A37" s="1670" t="s">
        <v>1474</v>
      </c>
      <c r="B37" s="1644">
        <v>46285</v>
      </c>
      <c r="C37" s="1670" t="str">
        <v>Sunday</v>
      </c>
      <c r="D37" s="1645" t="s">
        <v>1485</v>
      </c>
      <c r="E37" s="1675">
        <f t="shared" si="66"/>
      </c>
      <c r="F37" s="1675" t="s">
        <v>1479</v>
      </c>
      <c r="G37" s="1689" t="s">
        <v>1480</v>
      </c>
      <c r="H37" s="1690"/>
      <c r="I37" s="1675"/>
      <c r="J37" s="1673"/>
      <c r="K37" s="1651"/>
      <c r="L37" s="1651"/>
      <c r="M37" s="1651"/>
      <c r="N37" s="1651"/>
      <c r="O37" s="1651"/>
      <c r="P37" s="1651"/>
    </row>
    <row customHeight="true" ht="18.452380952380953" r="38">
      <c r="A38" s="1670" t="s">
        <v>1474</v>
      </c>
      <c r="B38" s="1644">
        <v>46285</v>
      </c>
      <c r="C38" s="1670" t="str">
        <v>Sunday</v>
      </c>
      <c r="D38" s="1645" t="s">
        <v>1486</v>
      </c>
      <c r="E38" s="1675">
        <f t="shared" si="66"/>
      </c>
      <c r="F38" s="1649" t="s">
        <v>1487</v>
      </c>
      <c r="G38" s="1689" t="s">
        <v>1484</v>
      </c>
      <c r="H38" s="1690"/>
      <c r="I38" s="1675"/>
      <c r="J38" s="1673"/>
      <c r="K38" s="1651"/>
      <c r="L38" s="1651"/>
      <c r="M38" s="1651"/>
      <c r="N38" s="1651"/>
      <c r="O38" s="1651"/>
      <c r="P38" s="1651"/>
    </row>
    <row customHeight="true" ht="18.452380952380953" r="39">
      <c r="A39" s="1670"/>
      <c r="B39" s="1644"/>
      <c r="C39" s="1670"/>
      <c r="D39" s="1645"/>
      <c r="E39" s="1675"/>
      <c r="F39" s="1675"/>
      <c r="G39" s="1689"/>
      <c r="H39" s="1690"/>
      <c r="I39" s="1675"/>
      <c r="J39" s="1673"/>
      <c r="K39" s="1651"/>
      <c r="L39" s="1651"/>
      <c r="M39" s="1651"/>
      <c r="N39" s="1651"/>
      <c r="O39" s="1651"/>
      <c r="P39" s="1651"/>
    </row>
    <row customHeight="true" ht="18.452380952380953" r="40">
      <c r="A40" s="1670"/>
      <c r="B40" s="1644"/>
      <c r="C40" s="1670"/>
      <c r="D40" s="1645"/>
      <c r="E40" s="1675"/>
      <c r="F40" s="1675"/>
      <c r="G40" s="1689"/>
      <c r="H40" s="1690"/>
      <c r="I40" s="1675"/>
      <c r="J40" s="1673"/>
      <c r="K40" s="1651"/>
      <c r="L40" s="1651"/>
      <c r="M40" s="1651"/>
      <c r="N40" s="1651"/>
      <c r="O40" s="1651"/>
      <c r="P40" s="1651"/>
    </row>
    <row customHeight="true" ht="18.452380952380953" r="41">
      <c r="A41" s="1670"/>
      <c r="B41" s="1644"/>
      <c r="C41" s="1670"/>
      <c r="D41" s="1645"/>
      <c r="E41" s="1675"/>
      <c r="F41" s="1675"/>
      <c r="G41" s="1689"/>
      <c r="H41" s="1690"/>
      <c r="I41" s="1675"/>
      <c r="J41" s="1673"/>
      <c r="K41" s="1651"/>
      <c r="L41" s="1651"/>
      <c r="M41" s="1651"/>
      <c r="N41" s="1651"/>
      <c r="O41" s="1651"/>
      <c r="P41" s="1651"/>
    </row>
    <row customHeight="true" ht="18.452380952380953" r="42">
      <c r="A42" s="1670"/>
      <c r="B42" s="1644"/>
      <c r="C42" s="1670"/>
      <c r="D42" s="1645"/>
      <c r="E42" s="1675"/>
      <c r="F42" s="1675"/>
      <c r="G42" s="1689"/>
      <c r="H42" s="1690"/>
      <c r="I42" s="1675"/>
      <c r="J42" s="1673"/>
      <c r="K42" s="1651"/>
      <c r="L42" s="1651"/>
      <c r="M42" s="1651"/>
      <c r="N42" s="1651"/>
      <c r="O42" s="1651"/>
      <c r="P42" s="1651"/>
    </row>
    <row customHeight="true" ht="18.452380952380953" r="43">
      <c r="A43" s="1692" t="s">
        <v>1488</v>
      </c>
      <c r="B43" s="1693">
        <v>46279</v>
      </c>
      <c r="C43" s="1692" t="str">
        <v>Monday</v>
      </c>
      <c r="D43" s="1694" t="s">
        <v>1489</v>
      </c>
      <c r="E43" s="1695">
        <f t="shared" ref="E43:E54" si="67">24*MOD(TIMEVALUE(TRIM(MID(D43,FIND("-",D43)+1,LEN(D43)))) - TIMEVALUE(TRIM(LEFT(D43,FIND("-",D43)-1))),1)</f>
      </c>
      <c r="F43" s="1695" t="s">
        <v>1490</v>
      </c>
      <c r="G43" s="1696"/>
      <c r="H43" s="1697"/>
      <c r="I43" s="1695"/>
      <c r="J43" s="1698"/>
      <c r="K43" s="1651"/>
      <c r="L43" s="1651"/>
      <c r="M43" s="1651"/>
      <c r="N43" s="1651"/>
      <c r="O43" s="1651"/>
      <c r="P43" s="1651"/>
    </row>
    <row customHeight="true" ht="18.452380952380953" r="44">
      <c r="A44" s="1692" t="s">
        <v>1488</v>
      </c>
      <c r="B44" s="1693">
        <v>46279</v>
      </c>
      <c r="C44" s="1692" t="str">
        <v>Monday</v>
      </c>
      <c r="D44" s="1694" t="s">
        <v>1491</v>
      </c>
      <c r="E44" s="1695">
        <f t="shared" si="67"/>
      </c>
      <c r="F44" s="1695" t="s">
        <v>1490</v>
      </c>
      <c r="G44" s="1696"/>
      <c r="H44" s="1697"/>
      <c r="I44" s="1695"/>
      <c r="J44" s="1698"/>
      <c r="K44" s="1651"/>
      <c r="L44" s="1651"/>
      <c r="M44" s="1651"/>
      <c r="N44" s="1651"/>
      <c r="O44" s="1651"/>
      <c r="P44" s="1651"/>
    </row>
    <row customHeight="true" ht="18.452380952380953" r="45">
      <c r="A45" s="1692" t="s">
        <v>1488</v>
      </c>
      <c r="B45" s="1693">
        <v>46280</v>
      </c>
      <c r="C45" s="1692" t="str">
        <v>Tuesday</v>
      </c>
      <c r="D45" s="1694" t="s">
        <v>1492</v>
      </c>
      <c r="E45" s="1695">
        <f t="shared" si="67"/>
      </c>
      <c r="F45" s="1695" t="s">
        <v>1490</v>
      </c>
      <c r="G45" s="1696"/>
      <c r="H45" s="1697"/>
      <c r="I45" s="1695"/>
      <c r="J45" s="1698"/>
      <c r="K45" s="1651"/>
      <c r="L45" s="1651"/>
      <c r="M45" s="1651"/>
      <c r="N45" s="1651"/>
      <c r="O45" s="1651"/>
      <c r="P45" s="1651"/>
    </row>
    <row customHeight="true" ht="18.452380952380953" r="46">
      <c r="A46" s="1692" t="s">
        <v>1488</v>
      </c>
      <c r="B46" s="1693">
        <v>46280</v>
      </c>
      <c r="C46" s="1692" t="str">
        <v>Tuesday</v>
      </c>
      <c r="D46" s="1694" t="s">
        <v>1493</v>
      </c>
      <c r="E46" s="1695">
        <f t="shared" si="67"/>
      </c>
      <c r="F46" s="1695" t="s">
        <v>1480</v>
      </c>
      <c r="G46" s="1696"/>
      <c r="H46" s="1697"/>
      <c r="I46" s="1695"/>
      <c r="J46" s="1698"/>
      <c r="K46" s="1651"/>
      <c r="L46" s="1651"/>
      <c r="M46" s="1651"/>
      <c r="N46" s="1651"/>
      <c r="O46" s="1651"/>
      <c r="P46" s="1651"/>
    </row>
    <row customHeight="true" ht="18.452380952380953" r="47">
      <c r="A47" s="1692" t="s">
        <v>1488</v>
      </c>
      <c r="B47" s="1693">
        <v>46280</v>
      </c>
      <c r="C47" s="1692" t="str">
        <v>Tuesday</v>
      </c>
      <c r="D47" s="1694" t="s">
        <v>1494</v>
      </c>
      <c r="E47" s="1695">
        <f t="shared" si="67"/>
      </c>
      <c r="F47" s="1695" t="s">
        <v>1490</v>
      </c>
      <c r="G47" s="1696"/>
      <c r="H47" s="1697"/>
      <c r="I47" s="1695"/>
      <c r="J47" s="1698"/>
      <c r="K47" s="1651"/>
      <c r="L47" s="1651"/>
      <c r="M47" s="1651"/>
      <c r="N47" s="1651"/>
      <c r="O47" s="1651"/>
      <c r="P47" s="1651"/>
    </row>
    <row customHeight="true" ht="18.452380952380953" r="48">
      <c r="A48" s="1692" t="s">
        <v>1488</v>
      </c>
      <c r="B48" s="1693">
        <v>46281</v>
      </c>
      <c r="C48" s="1692" t="str">
        <v>Wednesday</v>
      </c>
      <c r="D48" s="1694" t="s">
        <v>1495</v>
      </c>
      <c r="E48" s="1695">
        <f t="shared" si="67"/>
      </c>
      <c r="F48" s="1695" t="s">
        <v>1480</v>
      </c>
      <c r="G48" s="1696"/>
      <c r="H48" s="1697"/>
      <c r="I48" s="1695"/>
      <c r="J48" s="1698"/>
      <c r="K48" s="1651"/>
      <c r="L48" s="1651"/>
      <c r="M48" s="1651"/>
      <c r="N48" s="1651"/>
      <c r="O48" s="1651"/>
      <c r="P48" s="1651"/>
    </row>
    <row customHeight="true" ht="18.452380952380953" r="49">
      <c r="A49" s="1692" t="s">
        <v>1488</v>
      </c>
      <c r="B49" s="1693">
        <v>46281</v>
      </c>
      <c r="C49" s="1692" t="str">
        <v>Wednesday</v>
      </c>
      <c r="D49" s="1694" t="s">
        <v>1496</v>
      </c>
      <c r="E49" s="1695">
        <f t="shared" si="67"/>
      </c>
      <c r="F49" s="1695" t="s">
        <v>1497</v>
      </c>
      <c r="G49" s="1699"/>
      <c r="H49" s="1695"/>
      <c r="I49" s="1695"/>
      <c r="J49" s="1698"/>
      <c r="K49" s="1651"/>
      <c r="L49" s="1651"/>
      <c r="M49" s="1651"/>
      <c r="N49" s="1651"/>
      <c r="O49" s="1651"/>
      <c r="P49" s="1651"/>
      <c r="Q49" s="1700"/>
      <c r="R49" s="1700"/>
    </row>
    <row customHeight="true" ht="18.452380952380953" r="50">
      <c r="A50" s="1692" t="s">
        <v>1488</v>
      </c>
      <c r="B50" s="1693">
        <v>46282</v>
      </c>
      <c r="C50" s="1692" t="str">
        <v>Thursday</v>
      </c>
      <c r="D50" s="1694" t="s">
        <v>1483</v>
      </c>
      <c r="E50" s="1695">
        <f t="shared" si="67"/>
      </c>
      <c r="F50" s="1695" t="s">
        <v>1490</v>
      </c>
      <c r="G50" s="1699"/>
      <c r="H50" s="1695"/>
      <c r="I50" s="1695"/>
      <c r="J50" s="1698"/>
      <c r="K50" s="1651"/>
      <c r="L50" s="1651"/>
      <c r="M50" s="1651"/>
      <c r="N50" s="1651"/>
      <c r="O50" s="1651"/>
      <c r="P50" s="1651"/>
      <c r="Q50" s="1700"/>
      <c r="R50" s="1700"/>
    </row>
    <row customHeight="true" ht="16.071428571428573" r="51">
      <c r="A51" s="1692" t="s">
        <v>1488</v>
      </c>
      <c r="B51" s="1693">
        <v>46282</v>
      </c>
      <c r="C51" s="1692" t="str">
        <v>Thursday</v>
      </c>
      <c r="D51" s="1694" t="s">
        <v>1478</v>
      </c>
      <c r="E51" s="1695">
        <f t="shared" si="67"/>
      </c>
      <c r="F51" s="1695" t="s">
        <v>1497</v>
      </c>
      <c r="G51" s="1699"/>
      <c r="H51" s="1695"/>
      <c r="I51" s="1695"/>
      <c r="J51" s="1698"/>
      <c r="K51" s="1651"/>
      <c r="L51" s="1651"/>
      <c r="M51" s="1651"/>
      <c r="N51" s="1651"/>
      <c r="O51" s="1651"/>
      <c r="P51" s="1651"/>
      <c r="Q51" s="1700"/>
      <c r="R51" s="1700"/>
    </row>
    <row customHeight="true" ht="16.071428571428573" r="52">
      <c r="A52" s="1692" t="s">
        <v>1488</v>
      </c>
      <c r="B52" s="1693">
        <v>46282</v>
      </c>
      <c r="C52" s="1692" t="str">
        <v>Thursday</v>
      </c>
      <c r="D52" s="1694" t="s">
        <v>1481</v>
      </c>
      <c r="E52" s="1695">
        <f t="shared" si="67"/>
      </c>
      <c r="F52" s="1695" t="s">
        <v>1490</v>
      </c>
      <c r="G52" s="1699"/>
      <c r="H52" s="1695"/>
      <c r="I52" s="1695"/>
      <c r="J52" s="1698"/>
      <c r="K52" s="1651"/>
      <c r="L52" s="1651"/>
      <c r="M52" s="1651"/>
      <c r="N52" s="1651"/>
      <c r="O52" s="1651"/>
      <c r="P52" s="1651"/>
      <c r="Q52" s="1700"/>
      <c r="R52" s="1700"/>
    </row>
    <row customHeight="true" ht="16.071428571428573" r="53">
      <c r="A53" s="1692" t="s">
        <v>1488</v>
      </c>
      <c r="B53" s="1693">
        <v>46285</v>
      </c>
      <c r="C53" s="1692" t="str">
        <v>Sunday</v>
      </c>
      <c r="D53" s="1694" t="s">
        <v>1498</v>
      </c>
      <c r="E53" s="1695">
        <f t="shared" si="67"/>
      </c>
      <c r="F53" s="1695" t="s">
        <v>1480</v>
      </c>
      <c r="G53" s="1699"/>
      <c r="H53" s="1695"/>
      <c r="I53" s="1695"/>
      <c r="J53" s="1698"/>
      <c r="K53" s="1651"/>
      <c r="L53" s="1651"/>
      <c r="M53" s="1651"/>
      <c r="N53" s="1651"/>
      <c r="O53" s="1651"/>
      <c r="P53" s="1651"/>
      <c r="Q53" s="1700"/>
      <c r="R53" s="1700"/>
    </row>
    <row customHeight="true" ht="16.071428571428573" r="54">
      <c r="A54" s="1692" t="s">
        <v>1488</v>
      </c>
      <c r="B54" s="1693">
        <v>46285</v>
      </c>
      <c r="C54" s="1692" t="str">
        <v>Sunday</v>
      </c>
      <c r="D54" s="1694" t="s">
        <v>1499</v>
      </c>
      <c r="E54" s="1695">
        <f t="shared" si="67"/>
      </c>
      <c r="F54" s="1695" t="s">
        <v>1497</v>
      </c>
      <c r="G54" s="1699"/>
      <c r="H54" s="1695"/>
      <c r="I54" s="1695"/>
      <c r="J54" s="1698"/>
      <c r="K54" s="1651"/>
      <c r="L54" s="1651"/>
      <c r="M54" s="1651"/>
      <c r="N54" s="1651"/>
      <c r="O54" s="1651"/>
      <c r="P54" s="1651"/>
      <c r="Q54" s="1700"/>
      <c r="R54" s="1700"/>
    </row>
    <row customHeight="true" ht="16.071428571428573" r="55">
      <c r="A55" s="1692"/>
      <c r="B55" s="1693"/>
      <c r="C55" s="1692"/>
      <c r="D55" s="1694"/>
      <c r="E55" s="1695"/>
      <c r="F55" s="1695"/>
      <c r="G55" s="1699"/>
      <c r="H55" s="1695"/>
      <c r="I55" s="1695"/>
      <c r="J55" s="1698"/>
      <c r="K55" s="1651"/>
      <c r="L55" s="1651"/>
      <c r="M55" s="1651"/>
      <c r="N55" s="1651"/>
      <c r="O55" s="1651"/>
      <c r="P55" s="1651"/>
      <c r="Q55" s="1700"/>
      <c r="R55" s="1700"/>
    </row>
    <row customHeight="true" ht="16.071428571428573" r="56">
      <c r="A56" s="1701"/>
      <c r="B56" s="1701"/>
      <c r="C56" s="1701"/>
      <c r="D56" s="1702"/>
      <c r="E56" s="1702"/>
      <c r="F56" s="1702"/>
      <c r="G56" s="1699"/>
      <c r="H56" s="1695"/>
      <c r="I56" s="1695"/>
      <c r="J56" s="1698"/>
      <c r="K56" s="1651"/>
      <c r="L56" s="1651"/>
      <c r="M56" s="1651"/>
      <c r="N56" s="1651"/>
      <c r="O56" s="1651"/>
      <c r="P56" s="1651"/>
      <c r="Q56" s="1700"/>
      <c r="R56" s="1700"/>
    </row>
    <row customHeight="true" ht="16.071428571428573" r="57">
      <c r="A57" s="1701"/>
      <c r="B57" s="1701"/>
      <c r="C57" s="1701"/>
      <c r="D57" s="1702"/>
      <c r="E57" s="1702"/>
      <c r="F57" s="1702"/>
      <c r="G57" s="1699"/>
      <c r="H57" s="1695"/>
      <c r="I57" s="1695"/>
      <c r="J57" s="1698"/>
      <c r="K57" s="1651"/>
      <c r="L57" s="1651"/>
      <c r="M57" s="1651"/>
      <c r="N57" s="1651"/>
      <c r="O57" s="1651"/>
      <c r="P57" s="1651"/>
      <c r="Q57" s="1700"/>
      <c r="R57" s="1700"/>
    </row>
    <row customHeight="true" ht="16.071428571428573" r="58">
      <c r="A58" s="1701"/>
      <c r="B58" s="1701"/>
      <c r="C58" s="1701"/>
      <c r="D58" s="1702"/>
      <c r="E58" s="1702"/>
      <c r="F58" s="1702"/>
      <c r="G58" s="1699"/>
      <c r="H58" s="1695"/>
      <c r="I58" s="1695"/>
      <c r="J58" s="1698"/>
      <c r="K58" s="1651"/>
      <c r="L58" s="1651"/>
      <c r="M58" s="1651"/>
      <c r="N58" s="1651"/>
      <c r="O58" s="1651"/>
      <c r="P58" s="1651"/>
      <c r="Q58" s="1700"/>
      <c r="R58" s="1700"/>
    </row>
    <row customHeight="true" ht="16.071428571428573" r="59">
      <c r="A59" s="1701"/>
      <c r="B59" s="1701"/>
      <c r="C59" s="1701"/>
      <c r="D59" s="1702"/>
      <c r="E59" s="1702"/>
      <c r="F59" s="1702"/>
      <c r="G59" s="1699"/>
      <c r="H59" s="1695"/>
      <c r="I59" s="1695"/>
      <c r="J59" s="1698"/>
      <c r="K59" s="1651"/>
      <c r="L59" s="1651"/>
      <c r="M59" s="1651"/>
      <c r="N59" s="1651"/>
      <c r="O59" s="1651"/>
      <c r="P59" s="1651"/>
      <c r="Q59" s="1700"/>
      <c r="R59" s="1700"/>
    </row>
    <row customHeight="true" ht="16.071428571428573" r="60">
      <c r="A60" s="1701" t="s">
        <v>1500</v>
      </c>
      <c r="B60" s="1703">
        <v>46279</v>
      </c>
      <c r="C60" s="1701" t="str">
        <v>Monday</v>
      </c>
      <c r="D60" s="1704" t="s">
        <v>1501</v>
      </c>
      <c r="E60" s="1702">
        <f t="shared" ref="E60:E68" si="68">24*MOD(TIMEVALUE(TRIM(MID(D60,FIND("-",D60)+1,LEN(D60)))) - TIMEVALUE(TRIM(LEFT(D60,FIND("-",D60)-1))),1)</f>
      </c>
      <c r="F60" s="1702" t="s">
        <v>1480</v>
      </c>
      <c r="G60" s="1699"/>
      <c r="H60" s="1695"/>
      <c r="I60" s="1695"/>
      <c r="J60" s="1698"/>
      <c r="K60" s="1651"/>
      <c r="L60" s="1651"/>
      <c r="M60" s="1651"/>
      <c r="N60" s="1651"/>
      <c r="O60" s="1651"/>
      <c r="P60" s="1651"/>
      <c r="Q60" s="1700"/>
      <c r="R60" s="1700"/>
    </row>
    <row customHeight="true" ht="16.071428571428573" r="61">
      <c r="A61" s="1701" t="s">
        <v>1500</v>
      </c>
      <c r="B61" s="1703">
        <v>46280</v>
      </c>
      <c r="C61" s="1701" t="str">
        <v>Tuesday</v>
      </c>
      <c r="D61" s="1704" t="s">
        <v>1502</v>
      </c>
      <c r="E61" s="1702">
        <f t="shared" si="68"/>
      </c>
      <c r="F61" s="1702" t="s">
        <v>1480</v>
      </c>
      <c r="G61" s="1699"/>
      <c r="H61" s="1695"/>
      <c r="I61" s="1695"/>
      <c r="J61" s="1698"/>
      <c r="K61" s="1651"/>
      <c r="L61" s="1651"/>
      <c r="M61" s="1651"/>
      <c r="N61" s="1651"/>
      <c r="O61" s="1651"/>
      <c r="P61" s="1651"/>
      <c r="Q61" s="1700"/>
      <c r="R61" s="1700"/>
    </row>
    <row customHeight="true" ht="16.071428571428573" r="62">
      <c r="A62" s="1701" t="s">
        <v>1500</v>
      </c>
      <c r="B62" s="1703">
        <v>46280</v>
      </c>
      <c r="C62" s="1701" t="str">
        <v>Tuesday</v>
      </c>
      <c r="D62" s="1704" t="s">
        <v>1503</v>
      </c>
      <c r="E62" s="1702">
        <f t="shared" si="68"/>
      </c>
      <c r="F62" s="1702" t="s">
        <v>1480</v>
      </c>
      <c r="G62" s="1699"/>
      <c r="H62" s="1695"/>
      <c r="I62" s="1695"/>
      <c r="J62" s="1698"/>
      <c r="K62" s="1651"/>
      <c r="L62" s="1651"/>
      <c r="M62" s="1651"/>
      <c r="N62" s="1651"/>
      <c r="O62" s="1651"/>
      <c r="P62" s="1651"/>
      <c r="Q62" s="1700"/>
      <c r="R62" s="1700"/>
    </row>
    <row customHeight="true" ht="16.071428571428573" r="63">
      <c r="A63" s="1701" t="s">
        <v>1500</v>
      </c>
      <c r="B63" s="1703">
        <v>46281</v>
      </c>
      <c r="C63" s="1701" t="str">
        <v>Wednesday</v>
      </c>
      <c r="D63" s="1704" t="s">
        <v>1504</v>
      </c>
      <c r="E63" s="1702">
        <f t="shared" si="68"/>
      </c>
      <c r="F63" s="1695" t="s">
        <v>1480</v>
      </c>
      <c r="G63" s="1699"/>
      <c r="H63" s="1695"/>
      <c r="I63" s="1695"/>
      <c r="J63" s="1698"/>
      <c r="K63" s="1651"/>
      <c r="L63" s="1651"/>
      <c r="M63" s="1651"/>
      <c r="N63" s="1651"/>
      <c r="O63" s="1651"/>
      <c r="P63" s="1651"/>
      <c r="Q63" s="1700"/>
      <c r="R63" s="1700"/>
    </row>
    <row customHeight="true" ht="16.071428571428573" r="64">
      <c r="A64" s="1701" t="s">
        <v>1500</v>
      </c>
      <c r="B64" s="1703">
        <v>46281</v>
      </c>
      <c r="C64" s="1701" t="str">
        <v>Wednesday</v>
      </c>
      <c r="D64" s="1704" t="s">
        <v>1505</v>
      </c>
      <c r="E64" s="1702">
        <f t="shared" si="68"/>
      </c>
      <c r="F64" s="1695" t="s">
        <v>1480</v>
      </c>
      <c r="G64" s="1699"/>
      <c r="H64" s="1695"/>
      <c r="I64" s="1695"/>
      <c r="J64" s="1698"/>
      <c r="K64" s="1651"/>
      <c r="L64" s="1651"/>
      <c r="M64" s="1651"/>
      <c r="N64" s="1651"/>
      <c r="O64" s="1651"/>
      <c r="P64" s="1651"/>
      <c r="Q64" s="1700"/>
      <c r="R64" s="1700"/>
    </row>
    <row customHeight="true" ht="16.071428571428573" r="65">
      <c r="A65" s="1701" t="s">
        <v>1500</v>
      </c>
      <c r="B65" s="1703">
        <v>46282</v>
      </c>
      <c r="C65" s="1701" t="str">
        <v>Thursday</v>
      </c>
      <c r="D65" s="1704" t="s">
        <v>1506</v>
      </c>
      <c r="E65" s="1702">
        <f t="shared" si="68"/>
      </c>
      <c r="F65" s="1695" t="s">
        <v>1480</v>
      </c>
      <c r="G65" s="1699"/>
      <c r="H65" s="1695"/>
      <c r="I65" s="1695"/>
      <c r="J65" s="1698"/>
      <c r="K65" s="1651"/>
      <c r="L65" s="1651"/>
      <c r="M65" s="1651"/>
      <c r="N65" s="1651"/>
      <c r="O65" s="1651"/>
      <c r="P65" s="1651"/>
      <c r="Q65" s="1700"/>
      <c r="R65" s="1700"/>
    </row>
    <row customHeight="true" ht="16.071428571428573" r="66">
      <c r="A66" s="1701" t="s">
        <v>1500</v>
      </c>
      <c r="B66" s="1703">
        <v>46282</v>
      </c>
      <c r="C66" s="1701" t="str">
        <v>Thursday</v>
      </c>
      <c r="D66" s="1704" t="s">
        <v>1507</v>
      </c>
      <c r="E66" s="1702">
        <f t="shared" si="68"/>
      </c>
      <c r="F66" s="1695" t="s">
        <v>1480</v>
      </c>
      <c r="G66" s="1699"/>
      <c r="H66" s="1695"/>
      <c r="I66" s="1695"/>
      <c r="J66" s="1698"/>
      <c r="K66" s="1651"/>
      <c r="L66" s="1651"/>
      <c r="M66" s="1651"/>
      <c r="N66" s="1651"/>
      <c r="O66" s="1651"/>
      <c r="P66" s="1651"/>
      <c r="Q66" s="1700"/>
      <c r="R66" s="1700"/>
    </row>
    <row customHeight="true" ht="16.071428571428573" r="67">
      <c r="A67" s="1701" t="s">
        <v>1500</v>
      </c>
      <c r="B67" s="1701">
        <v>46283</v>
      </c>
      <c r="C67" s="1701" t="str">
        <v>Friday</v>
      </c>
      <c r="D67" s="1702" t="s">
        <v>1508</v>
      </c>
      <c r="E67" s="1702">
        <f t="shared" si="68"/>
      </c>
      <c r="F67" s="1702" t="s">
        <v>1480</v>
      </c>
      <c r="G67" s="1699"/>
      <c r="H67" s="1695"/>
      <c r="I67" s="1695"/>
      <c r="J67" s="1698"/>
      <c r="K67" s="1651"/>
      <c r="L67" s="1651"/>
      <c r="M67" s="1651"/>
      <c r="N67" s="1651"/>
      <c r="O67" s="1651"/>
      <c r="P67" s="1651"/>
      <c r="Q67" s="1700"/>
      <c r="R67" s="1700"/>
    </row>
    <row customHeight="true" ht="16.071428571428573" r="68">
      <c r="A68" s="1701" t="s">
        <v>1500</v>
      </c>
      <c r="B68" s="1703">
        <v>46285</v>
      </c>
      <c r="C68" s="1701" t="str">
        <v>Sunday</v>
      </c>
      <c r="D68" s="1704" t="s">
        <v>1509</v>
      </c>
      <c r="E68" s="1702">
        <f t="shared" si="68"/>
      </c>
      <c r="F68" s="1695" t="s">
        <v>1480</v>
      </c>
      <c r="G68" s="1699"/>
      <c r="H68" s="1695"/>
      <c r="I68" s="1695"/>
      <c r="J68" s="1698"/>
      <c r="K68" s="1651"/>
      <c r="L68" s="1651"/>
      <c r="M68" s="1651"/>
      <c r="N68" s="1651"/>
      <c r="O68" s="1651"/>
      <c r="P68" s="1651"/>
      <c r="Q68" s="1700"/>
      <c r="R68" s="1700"/>
    </row>
    <row customHeight="true" ht="16.071428571428573" r="69">
      <c r="A69" s="1701"/>
      <c r="B69" s="1703"/>
      <c r="C69" s="1701"/>
      <c r="D69" s="1704"/>
      <c r="E69" s="1702"/>
      <c r="F69" s="1695"/>
      <c r="G69" s="1699"/>
      <c r="H69" s="1695"/>
      <c r="I69" s="1695"/>
      <c r="J69" s="1698"/>
      <c r="K69" s="1651"/>
      <c r="L69" s="1651"/>
      <c r="M69" s="1651"/>
      <c r="N69" s="1651"/>
      <c r="O69" s="1651"/>
      <c r="P69" s="1651"/>
      <c r="Q69" s="1700"/>
      <c r="R69" s="1700"/>
    </row>
    <row customHeight="true" ht="16.071428571428573" r="70">
      <c r="A70" s="1701"/>
      <c r="B70" s="1703"/>
      <c r="C70" s="1701"/>
      <c r="D70" s="1704"/>
      <c r="E70" s="1702"/>
      <c r="F70" s="1695"/>
      <c r="G70" s="1699"/>
      <c r="H70" s="1695"/>
      <c r="I70" s="1695"/>
      <c r="J70" s="1698"/>
      <c r="K70" s="1651"/>
      <c r="L70" s="1651"/>
      <c r="M70" s="1651"/>
      <c r="N70" s="1651"/>
      <c r="O70" s="1651"/>
      <c r="P70" s="1651"/>
      <c r="Q70" s="1700"/>
      <c r="R70" s="1700"/>
    </row>
    <row customHeight="true" ht="16.071428571428573" r="71">
      <c r="A71" s="1701"/>
      <c r="B71" s="1703"/>
      <c r="C71" s="1701"/>
      <c r="D71" s="1704"/>
      <c r="E71" s="1702"/>
      <c r="F71" s="1695"/>
      <c r="G71" s="1699"/>
      <c r="H71" s="1695"/>
      <c r="I71" s="1695"/>
      <c r="J71" s="1698"/>
      <c r="K71" s="1651"/>
      <c r="L71" s="1651"/>
      <c r="M71" s="1651"/>
      <c r="N71" s="1651"/>
      <c r="O71" s="1651"/>
      <c r="P71" s="1651"/>
      <c r="Q71" s="1700"/>
      <c r="R71" s="1700"/>
    </row>
    <row customHeight="true" ht="16.071428571428573" r="72">
      <c r="A72" s="1701"/>
      <c r="B72" s="1703"/>
      <c r="C72" s="1701"/>
      <c r="D72" s="1704"/>
      <c r="E72" s="1702"/>
      <c r="F72" s="1695"/>
      <c r="G72" s="1699"/>
      <c r="H72" s="1695"/>
      <c r="I72" s="1695"/>
      <c r="J72" s="1698"/>
      <c r="K72" s="1651"/>
      <c r="L72" s="1651"/>
      <c r="M72" s="1651"/>
      <c r="N72" s="1651"/>
      <c r="O72" s="1651"/>
      <c r="P72" s="1651"/>
      <c r="Q72" s="1700"/>
      <c r="R72" s="1700"/>
    </row>
    <row r="73">
      <c r="D73" s="1705"/>
    </row>
    <row r="74">
      <c r="A74" s="1706" t="s">
        <v>1510</v>
      </c>
      <c r="B74" s="1706"/>
      <c r="C74" s="1706"/>
      <c r="D74" s="1706"/>
      <c r="E74" s="1706"/>
      <c r="F74" s="1706"/>
      <c r="G74" s="1707"/>
      <c r="H74" s="1707"/>
      <c r="I74" s="1707"/>
      <c r="J74" s="1708"/>
      <c r="K74" s="1683"/>
      <c r="L74" s="1683"/>
      <c r="M74" s="1683"/>
      <c r="N74" s="1683"/>
      <c r="O74" s="1683"/>
      <c r="P74" s="1683"/>
    </row>
    <row r="75">
      <c r="A75" s="1709" t="s">
        <v>1457</v>
      </c>
      <c r="B75" s="1710" t="s">
        <v>1458</v>
      </c>
      <c r="C75" s="1710"/>
      <c r="D75" s="1709" t="s">
        <v>1459</v>
      </c>
      <c r="E75" s="1709" t="s">
        <v>1460</v>
      </c>
      <c r="F75" s="1709" t="s">
        <v>1461</v>
      </c>
      <c r="G75" s="1711" t="s">
        <v>1473</v>
      </c>
      <c r="H75" s="1709" t="s">
        <v>1463</v>
      </c>
      <c r="I75" s="1709" t="s">
        <v>1464</v>
      </c>
      <c r="J75" s="1712" t="s">
        <v>1465</v>
      </c>
      <c r="K75" s="1669"/>
      <c r="L75" s="1669"/>
      <c r="M75" s="1669"/>
      <c r="N75" s="1669"/>
      <c r="O75" s="1669"/>
      <c r="P75" s="1669"/>
    </row>
    <row r="76">
      <c r="A76" s="1713" t="s">
        <v>1510</v>
      </c>
      <c r="B76" s="1714">
        <v>46280</v>
      </c>
      <c r="C76" s="1713" t="str">
        <v>Tuesday</v>
      </c>
      <c r="D76" s="1715" t="s">
        <v>1511</v>
      </c>
      <c r="E76" s="1658">
        <f t="shared" ref="E76:E83" si="69">24*MOD(TIMEVALUE(TRIM(MID(D76,FIND("-",D76)+1,LEN(D76)))) - TIMEVALUE(TRIM(LEFT(D76,FIND("-",D76)-1))),1)</f>
      </c>
      <c r="F76" s="1658" t="s">
        <v>1512</v>
      </c>
      <c r="G76" s="1716" t="s">
        <v>1513</v>
      </c>
      <c r="H76" s="1658" t="s">
        <v>1471</v>
      </c>
      <c r="I76" s="1658" t="s">
        <v>1446</v>
      </c>
      <c r="J76" s="1717" t="s">
        <v>1514</v>
      </c>
      <c r="K76" s="1651"/>
      <c r="L76" s="1651"/>
      <c r="M76" s="1651"/>
      <c r="N76" s="1651"/>
      <c r="O76" s="1651"/>
      <c r="P76" s="1651"/>
      <c r="Q76" s="1700"/>
      <c r="R76" s="1700"/>
    </row>
    <row r="77">
      <c r="A77" s="1718" t="s">
        <v>1510</v>
      </c>
      <c r="B77" s="1719">
        <v>46281</v>
      </c>
      <c r="C77" s="1718" t="str">
        <v>Wednesday</v>
      </c>
      <c r="D77" s="1720" t="s">
        <v>1511</v>
      </c>
      <c r="E77" s="1721">
        <f t="shared" si="69"/>
      </c>
      <c r="F77" s="1721" t="s">
        <v>1512</v>
      </c>
      <c r="G77" s="1722" t="s">
        <v>1513</v>
      </c>
      <c r="H77" s="1721" t="s">
        <v>1471</v>
      </c>
      <c r="I77" s="1721" t="s">
        <v>1446</v>
      </c>
      <c r="J77" s="1723" t="s">
        <v>1514</v>
      </c>
      <c r="K77" s="1651"/>
      <c r="L77" s="1651"/>
      <c r="M77" s="1651"/>
      <c r="N77" s="1651"/>
      <c r="O77" s="1651"/>
      <c r="P77" s="1651"/>
      <c r="Q77" s="1700"/>
      <c r="R77" s="1700"/>
    </row>
    <row r="78">
      <c r="A78" s="1713" t="s">
        <v>1510</v>
      </c>
      <c r="B78" s="1714">
        <v>46282</v>
      </c>
      <c r="C78" s="1713" t="str">
        <v>Thursday</v>
      </c>
      <c r="D78" s="1715" t="s">
        <v>1515</v>
      </c>
      <c r="E78" s="1658">
        <f t="shared" si="69"/>
      </c>
      <c r="F78" s="1658" t="s">
        <v>1448</v>
      </c>
      <c r="G78" s="1716" t="s">
        <v>1516</v>
      </c>
      <c r="H78" s="1658" t="s">
        <v>1471</v>
      </c>
      <c r="I78" s="1658" t="s">
        <v>1446</v>
      </c>
      <c r="J78" s="1717" t="s">
        <v>1514</v>
      </c>
      <c r="K78" s="1651"/>
      <c r="L78" s="1651"/>
      <c r="M78" s="1651"/>
      <c r="N78" s="1651"/>
      <c r="O78" s="1651"/>
      <c r="P78" s="1651"/>
      <c r="Q78" s="1700"/>
      <c r="R78" s="1700"/>
    </row>
    <row customHeight="true" ht="18.452380952380953" r="79">
      <c r="A79" s="1713" t="s">
        <v>1510</v>
      </c>
      <c r="B79" s="1714">
        <v>46282</v>
      </c>
      <c r="C79" s="1713" t="str">
        <v>Thursday</v>
      </c>
      <c r="D79" s="1715" t="s">
        <v>1517</v>
      </c>
      <c r="E79" s="1658">
        <f t="shared" si="69"/>
      </c>
      <c r="F79" s="1658" t="s">
        <v>1512</v>
      </c>
      <c r="G79" s="1716" t="s">
        <v>1518</v>
      </c>
      <c r="H79" s="1658" t="s">
        <v>1471</v>
      </c>
      <c r="I79" s="1658" t="s">
        <v>1446</v>
      </c>
      <c r="J79" s="1717" t="s">
        <v>1514</v>
      </c>
      <c r="K79" s="1651"/>
      <c r="L79" s="1651"/>
      <c r="M79" s="1651"/>
      <c r="N79" s="1651"/>
      <c r="O79" s="1651"/>
      <c r="P79" s="1651"/>
      <c r="Q79" s="1700"/>
      <c r="R79" s="1700"/>
    </row>
    <row customHeight="true" ht="18.452380952380953" r="80">
      <c r="A80" s="1718" t="s">
        <v>1510</v>
      </c>
      <c r="B80" s="1719">
        <v>46283</v>
      </c>
      <c r="C80" s="1718" t="str">
        <v>Friday</v>
      </c>
      <c r="D80" s="1720" t="s">
        <v>1515</v>
      </c>
      <c r="E80" s="1721">
        <f t="shared" si="69"/>
      </c>
      <c r="F80" s="1721" t="s">
        <v>1519</v>
      </c>
      <c r="G80" s="1722" t="s">
        <v>1516</v>
      </c>
      <c r="H80" s="1721" t="s">
        <v>1471</v>
      </c>
      <c r="I80" s="1721" t="s">
        <v>1446</v>
      </c>
      <c r="J80" s="1723" t="s">
        <v>1514</v>
      </c>
      <c r="K80" s="1651"/>
      <c r="L80" s="1651"/>
      <c r="M80" s="1651"/>
      <c r="N80" s="1651"/>
      <c r="O80" s="1651"/>
      <c r="P80" s="1651"/>
      <c r="Q80" s="1700"/>
      <c r="R80" s="1700"/>
    </row>
    <row customHeight="true" ht="18.452380952380953" r="81">
      <c r="A81" s="1718" t="s">
        <v>1510</v>
      </c>
      <c r="B81" s="1719">
        <v>46283</v>
      </c>
      <c r="C81" s="1718" t="str">
        <v>Friday</v>
      </c>
      <c r="D81" s="1720" t="s">
        <v>1520</v>
      </c>
      <c r="E81" s="1721">
        <f t="shared" si="69"/>
      </c>
      <c r="F81" s="1721" t="s">
        <v>1512</v>
      </c>
      <c r="G81" s="1722" t="s">
        <v>1518</v>
      </c>
      <c r="H81" s="1721" t="s">
        <v>1471</v>
      </c>
      <c r="I81" s="1721" t="s">
        <v>1446</v>
      </c>
      <c r="J81" s="1723" t="s">
        <v>1514</v>
      </c>
      <c r="K81" s="1651"/>
      <c r="L81" s="1651"/>
      <c r="M81" s="1651"/>
      <c r="N81" s="1651"/>
      <c r="O81" s="1651"/>
      <c r="P81" s="1651"/>
      <c r="Q81" s="1700"/>
      <c r="R81" s="1700"/>
    </row>
    <row customHeight="true" ht="18.452380952380953" r="82">
      <c r="A82" s="1713" t="s">
        <v>1510</v>
      </c>
      <c r="B82" s="1714">
        <v>46284</v>
      </c>
      <c r="C82" s="1713" t="str">
        <v>Saturday</v>
      </c>
      <c r="D82" s="1715" t="s">
        <v>1520</v>
      </c>
      <c r="E82" s="1658">
        <f t="shared" si="69"/>
      </c>
      <c r="F82" s="1658" t="s">
        <v>1512</v>
      </c>
      <c r="G82" s="1716" t="s">
        <v>1518</v>
      </c>
      <c r="H82" s="1658" t="s">
        <v>1471</v>
      </c>
      <c r="I82" s="1658" t="s">
        <v>1446</v>
      </c>
      <c r="J82" s="1717" t="s">
        <v>1514</v>
      </c>
      <c r="K82" s="1651"/>
      <c r="L82" s="1651"/>
      <c r="M82" s="1651"/>
      <c r="N82" s="1651"/>
      <c r="O82" s="1651"/>
      <c r="P82" s="1651"/>
      <c r="Q82" s="1700"/>
      <c r="R82" s="1700"/>
    </row>
    <row customHeight="true" ht="18.452380952380953" r="83">
      <c r="A83" s="1718" t="s">
        <v>1510</v>
      </c>
      <c r="B83" s="1719">
        <v>46285</v>
      </c>
      <c r="C83" s="1718" t="str">
        <v>Sunday</v>
      </c>
      <c r="D83" s="1720" t="s">
        <v>1520</v>
      </c>
      <c r="E83" s="1721">
        <f t="shared" si="69"/>
      </c>
      <c r="F83" s="1721" t="s">
        <v>1512</v>
      </c>
      <c r="G83" s="1722" t="s">
        <v>1518</v>
      </c>
      <c r="H83" s="1721" t="s">
        <v>1471</v>
      </c>
      <c r="I83" s="1721" t="s">
        <v>1446</v>
      </c>
      <c r="J83" s="1723" t="s">
        <v>1514</v>
      </c>
      <c r="K83" s="1651"/>
      <c r="L83" s="1651"/>
      <c r="M83" s="1651"/>
      <c r="N83" s="1651"/>
      <c r="O83" s="1651"/>
      <c r="P83" s="1651"/>
      <c r="Q83" s="1700"/>
      <c r="R83" s="1700"/>
    </row>
    <row customHeight="true" ht="14.880952380952381" r="84"/>
    <row customHeight="true" ht="18.452380952380953" r="85">
      <c r="A85" s="1713" t="s">
        <v>1521</v>
      </c>
      <c r="B85" s="1714">
        <v>46280</v>
      </c>
      <c r="C85" s="1713" t="str">
        <v>Tuesday</v>
      </c>
      <c r="D85" s="1715" t="s">
        <v>1522</v>
      </c>
      <c r="E85" s="1658">
        <f>24*MOD(TIMEVALUE(TRIM(MID(D85,FIND("-",D85)+1,LEN(D85)))) - TIMEVALUE(TRIM(LEFT(D85,FIND("-",D85)-1))),1)</f>
      </c>
      <c r="F85" s="1658" t="s">
        <v>1448</v>
      </c>
      <c r="G85" s="1716"/>
      <c r="H85" s="1658" t="s">
        <v>1471</v>
      </c>
      <c r="I85" s="1658" t="s">
        <v>1446</v>
      </c>
      <c r="J85" s="1717" t="s">
        <v>1514</v>
      </c>
      <c r="K85" s="1651"/>
      <c r="L85" s="1651"/>
      <c r="M85" s="1651"/>
      <c r="N85" s="1651"/>
      <c r="O85" s="1651"/>
      <c r="P85" s="1651"/>
      <c r="Q85" s="1700"/>
      <c r="R85" s="1700"/>
    </row>
    <row customHeight="true" ht="16.071428571428573" r="86">
      <c r="D86" s="1705"/>
      <c r="J86" s="1654"/>
      <c r="K86" s="1700"/>
      <c r="L86" s="1700"/>
      <c r="M86" s="1700"/>
      <c r="N86" s="1700"/>
      <c r="O86" s="1700"/>
      <c r="P86" s="1700"/>
      <c r="Q86" s="1700"/>
      <c r="R86" s="1700"/>
    </row>
    <row r="87">
      <c r="A87" s="1724" t="s">
        <v>1523</v>
      </c>
      <c r="B87" s="1724"/>
      <c r="C87" s="1724"/>
      <c r="D87" s="1724"/>
      <c r="E87" s="1724"/>
      <c r="F87" s="1724"/>
      <c r="G87" s="1725"/>
      <c r="H87" s="1725"/>
      <c r="I87" s="1725"/>
      <c r="J87" s="1726"/>
      <c r="K87" s="1683"/>
      <c r="L87" s="1683"/>
      <c r="M87" s="1683"/>
      <c r="N87" s="1683"/>
      <c r="O87" s="1683"/>
      <c r="P87" s="1683"/>
      <c r="Q87" s="1700"/>
      <c r="R87" s="1700"/>
    </row>
    <row r="88">
      <c r="A88" s="1727" t="s">
        <v>1457</v>
      </c>
      <c r="B88" s="1728" t="s">
        <v>1458</v>
      </c>
      <c r="C88" s="1728"/>
      <c r="D88" s="1727" t="s">
        <v>1459</v>
      </c>
      <c r="E88" s="1727" t="s">
        <v>1460</v>
      </c>
      <c r="F88" s="1727" t="s">
        <v>1461</v>
      </c>
      <c r="G88" s="1729" t="s">
        <v>1473</v>
      </c>
      <c r="H88" s="1727" t="s">
        <v>1463</v>
      </c>
      <c r="I88" s="1727" t="s">
        <v>1464</v>
      </c>
      <c r="J88" s="1730" t="s">
        <v>1465</v>
      </c>
      <c r="K88" s="1669"/>
      <c r="L88" s="1669"/>
      <c r="M88" s="1669"/>
      <c r="N88" s="1669"/>
      <c r="O88" s="1669"/>
      <c r="P88" s="1669"/>
    </row>
    <row customHeight="true" ht="18.452380952380953" r="89">
      <c r="A89" s="1731" t="s">
        <v>1523</v>
      </c>
      <c r="B89" s="1732">
        <v>46280</v>
      </c>
      <c r="C89" s="1731" t="str">
        <v>Tuesday</v>
      </c>
      <c r="D89" s="1733" t="s">
        <v>1524</v>
      </c>
      <c r="E89" s="1734">
        <f t="shared" ref="E89:E94" si="70">24*MOD(TIMEVALUE(TRIM(MID(D89,FIND("-",D89)+1,LEN(D89)))) - TIMEVALUE(TRIM(LEFT(D89,FIND("-",D89)-1))),1)</f>
      </c>
      <c r="F89" s="1734" t="s">
        <v>1525</v>
      </c>
      <c r="G89" s="1735" t="s">
        <v>1526</v>
      </c>
      <c r="H89" s="1734" t="s">
        <v>1471</v>
      </c>
      <c r="I89" s="1734" t="s">
        <v>1446</v>
      </c>
      <c r="J89" s="1736" t="s">
        <v>1527</v>
      </c>
      <c r="K89" s="1651"/>
      <c r="L89" s="1651"/>
      <c r="M89" s="1651"/>
      <c r="N89" s="1651"/>
      <c r="O89" s="1651"/>
      <c r="P89" s="1651"/>
    </row>
    <row customHeight="true" ht="18.452380952380953" r="90">
      <c r="A90" s="1731" t="s">
        <v>1523</v>
      </c>
      <c r="B90" s="1732">
        <v>46281</v>
      </c>
      <c r="C90" s="1731" t="str">
        <v>Wednesday</v>
      </c>
      <c r="D90" s="1733" t="s">
        <v>1528</v>
      </c>
      <c r="E90" s="1734">
        <f t="shared" si="70"/>
      </c>
      <c r="F90" s="1734" t="s">
        <v>1525</v>
      </c>
      <c r="G90" s="1735"/>
      <c r="H90" s="1734" t="s">
        <v>1471</v>
      </c>
      <c r="I90" s="1734" t="s">
        <v>1446</v>
      </c>
      <c r="J90" s="1736" t="s">
        <v>1527</v>
      </c>
      <c r="K90" s="1651"/>
      <c r="L90" s="1651"/>
      <c r="M90" s="1651"/>
      <c r="N90" s="1651"/>
      <c r="O90" s="1651"/>
      <c r="P90" s="1651"/>
    </row>
    <row customHeight="true" ht="18.452380952380953" r="91">
      <c r="A91" s="1642" t="s">
        <v>1523</v>
      </c>
      <c r="B91" s="1652">
        <v>46282</v>
      </c>
      <c r="C91" s="1642" t="str">
        <v>Thursday</v>
      </c>
      <c r="D91" s="1737" t="s">
        <v>1528</v>
      </c>
      <c r="E91" s="1738">
        <f t="shared" si="70"/>
      </c>
      <c r="F91" s="1738" t="s">
        <v>1525</v>
      </c>
      <c r="G91" s="1659"/>
      <c r="H91" s="1738" t="s">
        <v>1471</v>
      </c>
      <c r="I91" s="1738" t="s">
        <v>1446</v>
      </c>
      <c r="J91" s="1736" t="s">
        <v>1514</v>
      </c>
      <c r="K91" s="1651"/>
      <c r="L91" s="1651"/>
      <c r="M91" s="1651"/>
      <c r="N91" s="1651"/>
      <c r="O91" s="1651"/>
      <c r="P91" s="1651"/>
    </row>
    <row customHeight="true" ht="18.452380952380953" r="92">
      <c r="A92" s="1642" t="s">
        <v>1523</v>
      </c>
      <c r="B92" s="1652">
        <v>46283</v>
      </c>
      <c r="C92" s="1642" t="str">
        <v>Friday</v>
      </c>
      <c r="D92" s="1737" t="s">
        <v>1528</v>
      </c>
      <c r="E92" s="1738">
        <f t="shared" si="70"/>
      </c>
      <c r="F92" s="1738" t="s">
        <v>1529</v>
      </c>
      <c r="G92" s="1659"/>
      <c r="H92" s="1738" t="s">
        <v>1471</v>
      </c>
      <c r="I92" s="1738" t="s">
        <v>1446</v>
      </c>
      <c r="J92" s="1736" t="s">
        <v>1514</v>
      </c>
      <c r="K92" s="1651"/>
      <c r="L92" s="1651"/>
      <c r="M92" s="1651"/>
      <c r="N92" s="1651"/>
      <c r="O92" s="1651"/>
      <c r="P92" s="1651"/>
    </row>
    <row customHeight="true" ht="18.452380952380953" r="93">
      <c r="A93" s="1642" t="s">
        <v>1523</v>
      </c>
      <c r="B93" s="1652">
        <v>46284</v>
      </c>
      <c r="C93" s="1642" t="str">
        <v>Saturday</v>
      </c>
      <c r="D93" s="1737" t="s">
        <v>1530</v>
      </c>
      <c r="E93" s="1738">
        <f t="shared" si="70"/>
      </c>
      <c r="F93" s="1675" t="s">
        <v>1531</v>
      </c>
      <c r="G93" s="1659" t="s">
        <v>1526</v>
      </c>
      <c r="H93" s="1738" t="s">
        <v>1471</v>
      </c>
      <c r="I93" s="1738" t="s">
        <v>1446</v>
      </c>
      <c r="J93" s="1736" t="s">
        <v>1514</v>
      </c>
      <c r="K93" s="1651"/>
      <c r="L93" s="1651"/>
      <c r="M93" s="1651"/>
      <c r="N93" s="1651"/>
      <c r="O93" s="1651"/>
      <c r="P93" s="1651"/>
    </row>
    <row customHeight="true" ht="18.452380952380953" r="94">
      <c r="A94" s="1642" t="s">
        <v>1523</v>
      </c>
      <c r="B94" s="1652">
        <v>46285</v>
      </c>
      <c r="C94" s="1642" t="str">
        <v>Sunday</v>
      </c>
      <c r="D94" s="1737" t="s">
        <v>1530</v>
      </c>
      <c r="E94" s="1738">
        <f t="shared" si="70"/>
      </c>
      <c r="F94" s="1675" t="s">
        <v>1531</v>
      </c>
      <c r="G94" s="1659"/>
      <c r="H94" s="1738" t="s">
        <v>1471</v>
      </c>
      <c r="I94" s="1738" t="s">
        <v>1446</v>
      </c>
      <c r="J94" s="1736" t="s">
        <v>1514</v>
      </c>
      <c r="K94" s="1651"/>
      <c r="L94" s="1651"/>
      <c r="M94" s="1651"/>
      <c r="N94" s="1651"/>
      <c r="O94" s="1651"/>
      <c r="P94" s="1651"/>
    </row>
    <row customHeight="true" ht="14.880952380952381" r="95">
      <c r="D95" s="1705"/>
    </row>
    <row customHeight="true" ht="18.452380952380953" r="96">
      <c r="A96" s="1731" t="s">
        <v>1532</v>
      </c>
      <c r="B96" s="1732">
        <v>46281</v>
      </c>
      <c r="C96" s="1731" t="str">
        <v>Wednesday</v>
      </c>
      <c r="D96" s="1733" t="s">
        <v>1533</v>
      </c>
      <c r="E96" s="1734">
        <f t="shared" ref="E96:E99" si="71">24*MOD(TIMEVALUE(TRIM(MID(D96,FIND("-",D96)+1,LEN(D96)))) - TIMEVALUE(TRIM(LEFT(D96,FIND("-",D96)-1))),1)</f>
      </c>
      <c r="F96" s="1734" t="s">
        <v>1534</v>
      </c>
      <c r="G96" s="1735"/>
      <c r="H96" s="1734" t="s">
        <v>1471</v>
      </c>
      <c r="I96" s="1734" t="s">
        <v>1446</v>
      </c>
      <c r="J96" s="1736" t="s">
        <v>1527</v>
      </c>
      <c r="K96" s="1651"/>
      <c r="L96" s="1651"/>
      <c r="M96" s="1651"/>
      <c r="N96" s="1651"/>
      <c r="O96" s="1651"/>
      <c r="P96" s="1651"/>
    </row>
    <row customHeight="true" ht="18.452380952380953" r="97">
      <c r="A97" s="1642" t="s">
        <v>1532</v>
      </c>
      <c r="B97" s="1652">
        <v>46282</v>
      </c>
      <c r="C97" s="1642" t="str">
        <v>Thursday</v>
      </c>
      <c r="D97" s="1737" t="s">
        <v>1533</v>
      </c>
      <c r="E97" s="1738">
        <f t="shared" si="71"/>
      </c>
      <c r="F97" s="1738" t="s">
        <v>1534</v>
      </c>
      <c r="G97" s="1659"/>
      <c r="H97" s="1738" t="s">
        <v>1471</v>
      </c>
      <c r="I97" s="1738" t="s">
        <v>1446</v>
      </c>
      <c r="J97" s="1736" t="s">
        <v>1514</v>
      </c>
      <c r="K97" s="1651"/>
      <c r="L97" s="1651"/>
      <c r="M97" s="1651"/>
      <c r="N97" s="1651"/>
      <c r="O97" s="1651"/>
      <c r="P97" s="1651"/>
    </row>
    <row customHeight="true" ht="18.452380952380953" r="98">
      <c r="A98" s="1642" t="s">
        <v>1532</v>
      </c>
      <c r="B98" s="1652">
        <v>46283</v>
      </c>
      <c r="C98" s="1642" t="str">
        <v>Friday</v>
      </c>
      <c r="D98" s="1737" t="s">
        <v>1533</v>
      </c>
      <c r="E98" s="1738">
        <f t="shared" si="71"/>
      </c>
      <c r="F98" s="1738" t="s">
        <v>1534</v>
      </c>
      <c r="G98" s="1659"/>
      <c r="H98" s="1738" t="s">
        <v>1471</v>
      </c>
      <c r="I98" s="1738" t="s">
        <v>1446</v>
      </c>
      <c r="J98" s="1736" t="s">
        <v>1514</v>
      </c>
      <c r="K98" s="1651"/>
      <c r="L98" s="1651"/>
      <c r="M98" s="1651"/>
      <c r="N98" s="1651"/>
      <c r="O98" s="1651"/>
      <c r="P98" s="1651"/>
    </row>
    <row customHeight="true" ht="18.452380952380953" r="99">
      <c r="A99" s="1642" t="s">
        <v>1532</v>
      </c>
      <c r="B99" s="1652">
        <v>46285</v>
      </c>
      <c r="C99" s="1642" t="str">
        <v>Sunday</v>
      </c>
      <c r="D99" s="1737" t="s">
        <v>1535</v>
      </c>
      <c r="E99" s="1738">
        <f t="shared" si="71"/>
      </c>
      <c r="F99" s="1738" t="s">
        <v>1534</v>
      </c>
      <c r="G99" s="1659"/>
      <c r="H99" s="1738" t="s">
        <v>1471</v>
      </c>
      <c r="I99" s="1738" t="s">
        <v>1446</v>
      </c>
      <c r="J99" s="1736" t="s">
        <v>1514</v>
      </c>
      <c r="K99" s="1651"/>
      <c r="L99" s="1651"/>
      <c r="M99" s="1651"/>
      <c r="N99" s="1651"/>
      <c r="O99" s="1651"/>
      <c r="P99" s="1651"/>
    </row>
    <row customHeight="true" ht="16.071428571428573" r="100"/>
    <row r="101">
      <c r="A101" s="1739" t="s">
        <v>1536</v>
      </c>
      <c r="B101" s="1739"/>
      <c r="C101" s="1739"/>
      <c r="D101" s="1739"/>
      <c r="E101" s="1739"/>
      <c r="F101" s="1739"/>
      <c r="G101" s="1740"/>
      <c r="H101" s="1740"/>
      <c r="I101" s="1740"/>
      <c r="J101" s="1741"/>
      <c r="K101" s="1683"/>
      <c r="L101" s="1683"/>
      <c r="M101" s="1683"/>
      <c r="N101" s="1683"/>
      <c r="O101" s="1683"/>
      <c r="P101" s="1683"/>
    </row>
    <row r="102">
      <c r="A102" s="1742" t="s">
        <v>1457</v>
      </c>
      <c r="B102" s="1743" t="s">
        <v>1458</v>
      </c>
      <c r="C102" s="1743"/>
      <c r="D102" s="1742" t="s">
        <v>1459</v>
      </c>
      <c r="E102" s="1742" t="s">
        <v>1460</v>
      </c>
      <c r="F102" s="1742" t="s">
        <v>1461</v>
      </c>
      <c r="G102" s="1744" t="s">
        <v>1473</v>
      </c>
      <c r="H102" s="1742" t="s">
        <v>1463</v>
      </c>
      <c r="I102" s="1742" t="s">
        <v>1464</v>
      </c>
      <c r="J102" s="1745" t="s">
        <v>1465</v>
      </c>
      <c r="K102" s="1669"/>
      <c r="L102" s="1746" t="s">
        <v>1537</v>
      </c>
      <c r="M102" s="1669"/>
      <c r="N102" s="1669"/>
      <c r="O102" s="1669"/>
      <c r="P102" s="1669"/>
    </row>
    <row r="103">
      <c r="A103" s="1731" t="s">
        <v>1536</v>
      </c>
      <c r="B103" s="1732">
        <v>46282</v>
      </c>
      <c r="C103" s="1731" t="str">
        <v>Thursday</v>
      </c>
      <c r="D103" s="1733" t="s">
        <v>1538</v>
      </c>
      <c r="E103" s="1734">
        <f t="shared" ref="E103:E106" si="72">24*MOD(TIMEVALUE(TRIM(MID(D103,FIND("-",D103)+1,LEN(D103)))) - TIMEVALUE(TRIM(LEFT(D103,FIND("-",D103)-1))),1)</f>
      </c>
      <c r="F103" s="1734" t="s">
        <v>1529</v>
      </c>
      <c r="G103" s="1735"/>
      <c r="H103" s="1734" t="s">
        <v>1471</v>
      </c>
      <c r="I103" s="1734" t="s">
        <v>1446</v>
      </c>
      <c r="J103" s="1736" t="s">
        <v>1539</v>
      </c>
      <c r="K103" s="1651"/>
      <c r="L103" s="1651"/>
      <c r="M103" s="1651"/>
      <c r="N103" s="1651"/>
      <c r="O103" s="1651"/>
      <c r="P103" s="1651"/>
    </row>
    <row customHeight="true" ht="18.452380952380953" r="104">
      <c r="A104" s="1731" t="s">
        <v>1536</v>
      </c>
      <c r="B104" s="1732">
        <v>46283</v>
      </c>
      <c r="C104" s="1731" t="str">
        <v>Friday</v>
      </c>
      <c r="D104" s="1733" t="s">
        <v>1538</v>
      </c>
      <c r="E104" s="1734">
        <f t="shared" si="72"/>
      </c>
      <c r="F104" s="1747" t="s">
        <v>1540</v>
      </c>
      <c r="G104" s="1735"/>
      <c r="H104" s="1734" t="s">
        <v>1471</v>
      </c>
      <c r="I104" s="1734" t="s">
        <v>1446</v>
      </c>
      <c r="J104" s="1736" t="s">
        <v>1539</v>
      </c>
      <c r="K104" s="1651"/>
      <c r="L104" s="1651"/>
      <c r="M104" s="1651"/>
      <c r="N104" s="1651"/>
      <c r="O104" s="1651"/>
      <c r="P104" s="1651"/>
    </row>
    <row customHeight="true" ht="18.452380952380953" r="105">
      <c r="A105" s="1731" t="s">
        <v>1536</v>
      </c>
      <c r="B105" s="1732">
        <v>46284</v>
      </c>
      <c r="C105" s="1731" t="str">
        <v>Saturday</v>
      </c>
      <c r="D105" s="1733" t="s">
        <v>1538</v>
      </c>
      <c r="E105" s="1734">
        <f t="shared" si="72"/>
      </c>
      <c r="F105" s="1747" t="s">
        <v>1540</v>
      </c>
      <c r="G105" s="1735"/>
      <c r="H105" s="1734" t="s">
        <v>1471</v>
      </c>
      <c r="I105" s="1734" t="s">
        <v>1446</v>
      </c>
      <c r="J105" s="1736" t="s">
        <v>1539</v>
      </c>
      <c r="K105" s="1651"/>
      <c r="L105" s="1651"/>
      <c r="M105" s="1651"/>
      <c r="N105" s="1651"/>
      <c r="O105" s="1651"/>
      <c r="P105" s="1651"/>
    </row>
    <row customHeight="true" ht="18.452380952380953" r="106">
      <c r="A106" s="1731" t="s">
        <v>1536</v>
      </c>
      <c r="B106" s="1732">
        <v>46285</v>
      </c>
      <c r="C106" s="1731" t="str">
        <v>Sunday</v>
      </c>
      <c r="D106" s="1733" t="s">
        <v>1538</v>
      </c>
      <c r="E106" s="1734">
        <f t="shared" si="72"/>
      </c>
      <c r="F106" s="1747" t="s">
        <v>1540</v>
      </c>
      <c r="G106" s="1735"/>
      <c r="H106" s="1734" t="s">
        <v>1471</v>
      </c>
      <c r="I106" s="1734" t="s">
        <v>1446</v>
      </c>
      <c r="J106" s="1736" t="s">
        <v>1539</v>
      </c>
      <c r="K106" s="1651"/>
      <c r="L106" s="1651"/>
      <c r="M106" s="1651"/>
      <c r="N106" s="1651"/>
      <c r="O106" s="1651"/>
      <c r="P106" s="1651"/>
    </row>
    <row customHeight="true" ht="14.880952380952381" r="107">
      <c r="D107" s="1705"/>
    </row>
    <row customHeight="true" ht="18.452380952380953" r="108">
      <c r="A108" s="1731" t="s">
        <v>1541</v>
      </c>
      <c r="B108" s="1732">
        <v>46282</v>
      </c>
      <c r="C108" s="1731" t="str">
        <v>Thursday</v>
      </c>
      <c r="D108" s="1733" t="s">
        <v>1542</v>
      </c>
      <c r="E108" s="1734">
        <f t="shared" ref="E108:E111" si="73">24*MOD(TIMEVALUE(TRIM(MID(D108,FIND("-",D108)+1,LEN(D108)))) - TIMEVALUE(TRIM(LEFT(D108,FIND("-",D108)-1))),1)</f>
      </c>
      <c r="F108" s="1734" t="s">
        <v>1534</v>
      </c>
      <c r="G108" s="1735"/>
      <c r="H108" s="1734" t="s">
        <v>1471</v>
      </c>
      <c r="I108" s="1734" t="s">
        <v>1446</v>
      </c>
      <c r="J108" s="1736" t="s">
        <v>1539</v>
      </c>
      <c r="K108" s="1651"/>
      <c r="L108" s="1651"/>
      <c r="M108" s="1651"/>
      <c r="N108" s="1651"/>
      <c r="O108" s="1651"/>
      <c r="P108" s="1651"/>
    </row>
    <row customHeight="true" ht="18.452380952380953" r="109">
      <c r="A109" s="1731" t="s">
        <v>1541</v>
      </c>
      <c r="B109" s="1732">
        <v>46283</v>
      </c>
      <c r="C109" s="1731" t="str">
        <v>Friday</v>
      </c>
      <c r="D109" s="1733" t="s">
        <v>1542</v>
      </c>
      <c r="E109" s="1734">
        <f t="shared" si="73"/>
      </c>
      <c r="F109" s="1734" t="s">
        <v>1534</v>
      </c>
      <c r="G109" s="1735"/>
      <c r="H109" s="1734" t="s">
        <v>1471</v>
      </c>
      <c r="I109" s="1734" t="s">
        <v>1446</v>
      </c>
      <c r="J109" s="1736" t="s">
        <v>1539</v>
      </c>
      <c r="K109" s="1651"/>
      <c r="L109" s="1651"/>
      <c r="M109" s="1651"/>
      <c r="N109" s="1651"/>
      <c r="O109" s="1651"/>
      <c r="P109" s="1651"/>
    </row>
    <row customHeight="true" ht="18.452380952380953" r="110">
      <c r="A110" s="1731" t="s">
        <v>1541</v>
      </c>
      <c r="B110" s="1732">
        <v>46284</v>
      </c>
      <c r="C110" s="1731" t="str">
        <v>Saturday</v>
      </c>
      <c r="D110" s="1733" t="s">
        <v>1542</v>
      </c>
      <c r="E110" s="1734">
        <f t="shared" si="73"/>
      </c>
      <c r="F110" s="1734" t="s">
        <v>1534</v>
      </c>
      <c r="G110" s="1735"/>
      <c r="H110" s="1734" t="s">
        <v>1471</v>
      </c>
      <c r="I110" s="1734" t="s">
        <v>1446</v>
      </c>
      <c r="J110" s="1736" t="s">
        <v>1539</v>
      </c>
      <c r="K110" s="1651"/>
      <c r="L110" s="1651"/>
      <c r="M110" s="1651"/>
      <c r="N110" s="1651"/>
      <c r="O110" s="1651"/>
      <c r="P110" s="1651"/>
    </row>
    <row customHeight="true" ht="18.452380952380953" r="111">
      <c r="A111" s="1731" t="s">
        <v>1541</v>
      </c>
      <c r="B111" s="1732">
        <v>46285</v>
      </c>
      <c r="C111" s="1731" t="str">
        <v>Sunday</v>
      </c>
      <c r="D111" s="1733" t="s">
        <v>1542</v>
      </c>
      <c r="E111" s="1734">
        <f t="shared" si="73"/>
      </c>
      <c r="F111" s="1734" t="s">
        <v>1534</v>
      </c>
      <c r="G111" s="1735"/>
      <c r="H111" s="1734" t="s">
        <v>1471</v>
      </c>
      <c r="I111" s="1734" t="s">
        <v>1446</v>
      </c>
      <c r="J111" s="1736" t="s">
        <v>1539</v>
      </c>
      <c r="K111" s="1651"/>
      <c r="L111" s="1651"/>
      <c r="M111" s="1651"/>
      <c r="N111" s="1651"/>
      <c r="O111" s="1651"/>
      <c r="P111" s="1651"/>
    </row>
    <row customHeight="true" ht="16.071428571428573" r="112"/>
    <row r="113">
      <c r="A113" s="1748" t="s">
        <v>1543</v>
      </c>
      <c r="B113" s="1748"/>
      <c r="C113" s="1748"/>
      <c r="D113" s="1748"/>
      <c r="E113" s="1748"/>
      <c r="F113" s="1748"/>
      <c r="G113" s="1749"/>
      <c r="H113" s="1749"/>
      <c r="I113" s="1749"/>
      <c r="J113" s="1750"/>
      <c r="K113" s="1641" t="s">
        <v>1537</v>
      </c>
      <c r="L113" s="1683"/>
      <c r="M113" s="1683"/>
      <c r="N113" s="1683"/>
      <c r="O113" s="1683"/>
      <c r="P113" s="1683"/>
    </row>
    <row r="114">
      <c r="A114" s="1751" t="s">
        <v>1457</v>
      </c>
      <c r="B114" s="1752" t="s">
        <v>1458</v>
      </c>
      <c r="C114" s="1752"/>
      <c r="D114" s="1751" t="s">
        <v>1459</v>
      </c>
      <c r="E114" s="1751" t="s">
        <v>1460</v>
      </c>
      <c r="F114" s="1751" t="s">
        <v>1461</v>
      </c>
      <c r="G114" s="1753" t="s">
        <v>1473</v>
      </c>
      <c r="H114" s="1751" t="s">
        <v>1463</v>
      </c>
      <c r="I114" s="1751" t="s">
        <v>1464</v>
      </c>
      <c r="J114" s="1754" t="s">
        <v>1465</v>
      </c>
      <c r="K114" s="1669"/>
      <c r="L114" s="1669"/>
      <c r="M114" s="1669"/>
      <c r="N114" s="1669"/>
      <c r="O114" s="1669"/>
      <c r="P114" s="1669"/>
    </row>
    <row customHeight="true" ht="18.452380952380953" r="115">
      <c r="A115" s="1642" t="s">
        <v>1543</v>
      </c>
      <c r="B115" s="1652">
        <v>46280</v>
      </c>
      <c r="C115" s="1642" t="str">
        <v>Tuesday</v>
      </c>
      <c r="D115" s="1737" t="s">
        <v>1524</v>
      </c>
      <c r="E115" s="1738">
        <f t="shared" ref="E115:E119" si="74">24*MOD(TIMEVALUE(TRIM(MID(D115,FIND("-",D115)+1,LEN(D115)))) - TIMEVALUE(TRIM(LEFT(D115,FIND("-",D115)-1))),1)</f>
      </c>
      <c r="F115" s="1738" t="s">
        <v>1529</v>
      </c>
      <c r="G115" s="1659"/>
      <c r="H115" s="1738" t="s">
        <v>1471</v>
      </c>
      <c r="I115" s="1738" t="s">
        <v>1446</v>
      </c>
      <c r="J115" s="1736" t="s">
        <v>1544</v>
      </c>
      <c r="K115" s="1651"/>
      <c r="L115" s="1651"/>
      <c r="M115" s="1651"/>
      <c r="N115" s="1651"/>
      <c r="O115" s="1651"/>
      <c r="P115" s="1651"/>
    </row>
    <row r="116">
      <c r="A116" s="1642" t="s">
        <v>1543</v>
      </c>
      <c r="B116" s="1652">
        <v>46281</v>
      </c>
      <c r="C116" s="1642" t="str">
        <v>Wednesday</v>
      </c>
      <c r="D116" s="1737" t="s">
        <v>1524</v>
      </c>
      <c r="E116" s="1738">
        <f t="shared" si="74"/>
      </c>
      <c r="F116" s="1738" t="s">
        <v>1525</v>
      </c>
      <c r="G116" s="1659"/>
      <c r="H116" s="1738" t="s">
        <v>1471</v>
      </c>
      <c r="I116" s="1738" t="s">
        <v>1446</v>
      </c>
      <c r="J116" s="1736" t="s">
        <v>1544</v>
      </c>
      <c r="K116" s="1651"/>
      <c r="L116" s="1651"/>
      <c r="M116" s="1651"/>
      <c r="N116" s="1651"/>
      <c r="O116" s="1651"/>
      <c r="P116" s="1651"/>
    </row>
    <row customHeight="true" ht="18.452380952380953" r="117">
      <c r="A117" s="1642" t="s">
        <v>1543</v>
      </c>
      <c r="B117" s="1652">
        <v>46281</v>
      </c>
      <c r="C117" s="1642" t="str">
        <v>Wednesday</v>
      </c>
      <c r="D117" s="1737" t="s">
        <v>1524</v>
      </c>
      <c r="E117" s="1738">
        <f t="shared" si="74"/>
      </c>
      <c r="F117" s="1738" t="s">
        <v>1529</v>
      </c>
      <c r="G117" s="1659"/>
      <c r="H117" s="1738" t="s">
        <v>1471</v>
      </c>
      <c r="I117" s="1738" t="s">
        <v>1446</v>
      </c>
      <c r="J117" s="1736" t="s">
        <v>1544</v>
      </c>
      <c r="K117" s="1651"/>
      <c r="L117" s="1651"/>
      <c r="M117" s="1651"/>
      <c r="N117" s="1651"/>
      <c r="O117" s="1651"/>
      <c r="P117" s="1651"/>
    </row>
    <row r="118">
      <c r="A118" s="1642" t="s">
        <v>1543</v>
      </c>
      <c r="B118" s="1652">
        <v>46282</v>
      </c>
      <c r="C118" s="1642" t="str">
        <v>Thursday</v>
      </c>
      <c r="D118" s="1737" t="s">
        <v>1524</v>
      </c>
      <c r="E118" s="1738">
        <f t="shared" si="74"/>
      </c>
      <c r="F118" s="1738" t="s">
        <v>1529</v>
      </c>
      <c r="G118" s="1659"/>
      <c r="H118" s="1738" t="s">
        <v>1471</v>
      </c>
      <c r="I118" s="1738" t="s">
        <v>1446</v>
      </c>
      <c r="J118" s="1736" t="s">
        <v>1544</v>
      </c>
      <c r="K118" s="1651"/>
      <c r="L118" s="1651"/>
      <c r="M118" s="1651"/>
      <c r="N118" s="1651"/>
      <c r="O118" s="1651"/>
      <c r="P118" s="1651"/>
    </row>
    <row r="119">
      <c r="A119" s="1642" t="s">
        <v>1543</v>
      </c>
      <c r="B119" s="1652">
        <v>46284</v>
      </c>
      <c r="C119" s="1642" t="str">
        <v>Saturday</v>
      </c>
      <c r="D119" s="1737" t="s">
        <v>1524</v>
      </c>
      <c r="E119" s="1738">
        <f t="shared" si="74"/>
      </c>
      <c r="F119" s="1738" t="s">
        <v>1529</v>
      </c>
      <c r="G119" s="1659"/>
      <c r="H119" s="1738" t="s">
        <v>1471</v>
      </c>
      <c r="I119" s="1738" t="s">
        <v>1446</v>
      </c>
      <c r="J119" s="1736" t="s">
        <v>1545</v>
      </c>
      <c r="K119" s="1651"/>
      <c r="L119" s="1651"/>
      <c r="M119" s="1651"/>
      <c r="N119" s="1651"/>
      <c r="O119" s="1651"/>
      <c r="P119" s="1651"/>
    </row>
    <row customHeight="true" ht="14.880952380952381" r="120"/>
    <row r="121">
      <c r="A121" s="1642" t="s">
        <v>1546</v>
      </c>
      <c r="B121" s="1652">
        <v>46280</v>
      </c>
      <c r="C121" s="1642" t="str">
        <v>Tuesday</v>
      </c>
      <c r="D121" s="1737" t="s">
        <v>1547</v>
      </c>
      <c r="E121" s="1738">
        <f t="shared" ref="E121:E124" si="75">24*MOD(TIMEVALUE(TRIM(MID(D121,FIND("-",D121)+1,LEN(D121)))) - TIMEVALUE(TRIM(LEFT(D121,FIND("-",D121)-1))),1)</f>
      </c>
      <c r="F121" s="1738" t="s">
        <v>1534</v>
      </c>
      <c r="G121" s="1659"/>
      <c r="H121" s="1738" t="s">
        <v>1471</v>
      </c>
      <c r="I121" s="1738" t="s">
        <v>1446</v>
      </c>
      <c r="J121" s="1736" t="s">
        <v>1544</v>
      </c>
      <c r="K121" s="1651"/>
      <c r="L121" s="1651"/>
      <c r="M121" s="1651"/>
      <c r="N121" s="1651"/>
      <c r="O121" s="1651"/>
      <c r="P121" s="1651"/>
    </row>
    <row r="122">
      <c r="A122" s="1655" t="s">
        <v>1546</v>
      </c>
      <c r="B122" s="1652">
        <v>46281</v>
      </c>
      <c r="C122" s="1642" t="str">
        <v>Wednesday</v>
      </c>
      <c r="D122" s="1737" t="s">
        <v>1547</v>
      </c>
      <c r="E122" s="1738">
        <f t="shared" si="75"/>
      </c>
      <c r="F122" s="1738" t="s">
        <v>1534</v>
      </c>
      <c r="G122" s="1659"/>
      <c r="H122" s="1738" t="s">
        <v>1471</v>
      </c>
      <c r="I122" s="1738" t="s">
        <v>1446</v>
      </c>
      <c r="J122" s="1736" t="s">
        <v>1544</v>
      </c>
      <c r="K122" s="1651"/>
      <c r="L122" s="1651"/>
      <c r="M122" s="1651"/>
      <c r="N122" s="1651"/>
      <c r="O122" s="1651"/>
      <c r="P122" s="1651"/>
    </row>
    <row r="123">
      <c r="A123" s="1642" t="s">
        <v>1546</v>
      </c>
      <c r="B123" s="1652">
        <v>46282</v>
      </c>
      <c r="C123" s="1642" t="str">
        <v>Thursday</v>
      </c>
      <c r="D123" s="1737" t="s">
        <v>1547</v>
      </c>
      <c r="E123" s="1738">
        <f t="shared" si="75"/>
      </c>
      <c r="F123" s="1738" t="s">
        <v>1534</v>
      </c>
      <c r="G123" s="1659"/>
      <c r="H123" s="1738" t="s">
        <v>1471</v>
      </c>
      <c r="I123" s="1738" t="s">
        <v>1446</v>
      </c>
      <c r="J123" s="1736" t="s">
        <v>1544</v>
      </c>
      <c r="K123" s="1651"/>
      <c r="L123" s="1651"/>
      <c r="M123" s="1651"/>
      <c r="N123" s="1651"/>
      <c r="O123" s="1651"/>
      <c r="P123" s="1651"/>
    </row>
    <row r="124">
      <c r="A124" s="1642" t="s">
        <v>1546</v>
      </c>
      <c r="B124" s="1652">
        <v>46284</v>
      </c>
      <c r="C124" s="1642" t="str">
        <v>Saturday</v>
      </c>
      <c r="D124" s="1737" t="s">
        <v>1547</v>
      </c>
      <c r="E124" s="1738">
        <f t="shared" si="75"/>
      </c>
      <c r="F124" s="1738" t="s">
        <v>1534</v>
      </c>
      <c r="G124" s="1659"/>
      <c r="H124" s="1738" t="s">
        <v>1471</v>
      </c>
      <c r="I124" s="1738" t="s">
        <v>1446</v>
      </c>
      <c r="J124" s="1736" t="s">
        <v>1544</v>
      </c>
      <c r="K124" s="1651"/>
      <c r="L124" s="1651"/>
      <c r="M124" s="1651"/>
      <c r="N124" s="1651"/>
      <c r="O124" s="1651"/>
      <c r="P124" s="1651"/>
    </row>
    <row customHeight="true" ht="16.071428571428573" r="125"/>
    <row customHeight="true" ht="16.071428571428573" r="126"/>
    <row r="127">
      <c r="A127" s="1755" t="s">
        <v>1548</v>
      </c>
      <c r="B127" s="1756" t="s">
        <v>1549</v>
      </c>
      <c r="C127" s="1757"/>
      <c r="D127" s="1757"/>
      <c r="E127" s="1757"/>
      <c r="F127" s="1757"/>
      <c r="G127" s="1757"/>
      <c r="H127" s="1757"/>
      <c r="I127" s="1757"/>
      <c r="J127" s="1758"/>
      <c r="K127" s="1759"/>
      <c r="L127" s="1759"/>
      <c r="M127" s="1759"/>
      <c r="N127" s="1759"/>
      <c r="O127" s="1759"/>
      <c r="P127" s="1759"/>
    </row>
    <row r="128">
      <c r="A128" s="1760" t="s">
        <v>1457</v>
      </c>
      <c r="B128" s="1761" t="s">
        <v>1458</v>
      </c>
      <c r="C128" s="1761"/>
      <c r="D128" s="1762" t="s">
        <v>1459</v>
      </c>
      <c r="E128" s="1762" t="s">
        <v>1460</v>
      </c>
      <c r="F128" s="1762" t="s">
        <v>1461</v>
      </c>
      <c r="G128" s="1763" t="s">
        <v>1473</v>
      </c>
      <c r="H128" s="1762" t="s">
        <v>1463</v>
      </c>
      <c r="I128" s="1762" t="s">
        <v>1464</v>
      </c>
      <c r="J128" s="1764" t="s">
        <v>1465</v>
      </c>
      <c r="K128" s="1669"/>
      <c r="L128" s="1669"/>
      <c r="M128" s="1669"/>
      <c r="N128" s="1669"/>
      <c r="O128" s="1669"/>
      <c r="P128" s="1669"/>
    </row>
    <row customHeight="true" ht="18.452380952380953" r="129">
      <c r="A129" s="1765" t="s">
        <v>1548</v>
      </c>
      <c r="B129" s="1644">
        <v>46279</v>
      </c>
      <c r="C129" s="1670" t="str">
        <v>Monday</v>
      </c>
      <c r="D129" s="1677" t="s">
        <v>1550</v>
      </c>
      <c r="E129" s="1645">
        <f t="shared" ref="E129:E149" si="76">24*MOD(TIMEVALUE(TRIM(MID(D129,FIND("-",D129)+1,LEN(D129)))) - TIMEVALUE(TRIM(LEFT(D129,FIND("-",D129)-1))),1)</f>
      </c>
      <c r="F129" s="1649" t="s">
        <v>1551</v>
      </c>
      <c r="G129" s="1766"/>
      <c r="H129" s="1649" t="s">
        <v>1471</v>
      </c>
      <c r="I129" s="1675" t="s">
        <v>1469</v>
      </c>
      <c r="J129" s="1767"/>
      <c r="K129" s="1768"/>
      <c r="L129" s="1768"/>
      <c r="M129" s="1768"/>
      <c r="N129" s="1768"/>
      <c r="O129" s="1768"/>
      <c r="P129" s="1768"/>
      <c r="Q129" s="1680"/>
      <c r="R129" s="1680"/>
    </row>
    <row customHeight="true" ht="18.452380952380953" r="130">
      <c r="A130" s="1765" t="s">
        <v>1548</v>
      </c>
      <c r="B130" s="1644">
        <v>46280</v>
      </c>
      <c r="C130" s="1670" t="str">
        <v>Tuesday</v>
      </c>
      <c r="D130" s="1677" t="s">
        <v>1552</v>
      </c>
      <c r="E130" s="1645">
        <f t="shared" si="76"/>
      </c>
      <c r="F130" s="1649" t="s">
        <v>1479</v>
      </c>
      <c r="G130" s="1769"/>
      <c r="H130" s="1649" t="s">
        <v>1471</v>
      </c>
      <c r="I130" s="1675" t="s">
        <v>1469</v>
      </c>
      <c r="J130" s="1767"/>
      <c r="K130" s="1770"/>
      <c r="L130" s="1770"/>
      <c r="M130" s="1770"/>
      <c r="N130" s="1770"/>
      <c r="O130" s="1770"/>
      <c r="P130" s="1770"/>
    </row>
    <row customHeight="true" ht="18.452380952380953" r="131">
      <c r="A131" s="1765" t="s">
        <v>1548</v>
      </c>
      <c r="B131" s="1644">
        <v>46281</v>
      </c>
      <c r="C131" s="1670" t="str">
        <v>Wednesday</v>
      </c>
      <c r="D131" s="1677" t="s">
        <v>1550</v>
      </c>
      <c r="E131" s="1645">
        <f t="shared" si="76"/>
      </c>
      <c r="F131" s="1649" t="s">
        <v>1553</v>
      </c>
      <c r="G131" s="1766"/>
      <c r="H131" s="1649" t="s">
        <v>1471</v>
      </c>
      <c r="I131" s="1675" t="s">
        <v>1469</v>
      </c>
      <c r="J131" s="1767"/>
      <c r="K131" s="1768"/>
      <c r="L131" s="1768"/>
      <c r="M131" s="1768"/>
      <c r="N131" s="1768"/>
      <c r="O131" s="1768"/>
      <c r="P131" s="1768"/>
      <c r="Q131" s="1680"/>
      <c r="R131" s="1680"/>
    </row>
    <row customHeight="true" ht="18.452380952380953" r="132">
      <c r="A132" s="1771" t="s">
        <v>1548</v>
      </c>
      <c r="B132" s="1644">
        <v>46282</v>
      </c>
      <c r="C132" s="1670" t="str">
        <v>Thursday</v>
      </c>
      <c r="D132" s="1677" t="s">
        <v>1550</v>
      </c>
      <c r="E132" s="1675">
        <f t="shared" si="76"/>
      </c>
      <c r="F132" s="1649" t="s">
        <v>1553</v>
      </c>
      <c r="G132" s="1772"/>
      <c r="H132" s="1649" t="s">
        <v>1471</v>
      </c>
      <c r="I132" s="1675" t="s">
        <v>1446</v>
      </c>
      <c r="J132" s="1773"/>
      <c r="K132" s="1770"/>
      <c r="L132" s="1770"/>
      <c r="M132" s="1770"/>
      <c r="N132" s="1770"/>
      <c r="O132" s="1770"/>
      <c r="P132" s="1770"/>
    </row>
    <row r="133">
      <c r="A133" s="1771" t="s">
        <v>1548</v>
      </c>
      <c r="B133" s="1644">
        <v>46283</v>
      </c>
      <c r="C133" s="1670" t="str">
        <v>Friday</v>
      </c>
      <c r="D133" s="1677" t="s">
        <v>1550</v>
      </c>
      <c r="E133" s="1675">
        <f t="shared" si="76"/>
      </c>
      <c r="F133" s="1649" t="s">
        <v>1553</v>
      </c>
      <c r="G133" s="1772"/>
      <c r="H133" s="1649" t="s">
        <v>1471</v>
      </c>
      <c r="I133" s="1675" t="s">
        <v>1446</v>
      </c>
      <c r="J133" s="1773"/>
      <c r="K133" s="1770"/>
      <c r="L133" s="1770"/>
      <c r="M133" s="1770"/>
      <c r="N133" s="1770"/>
      <c r="O133" s="1770"/>
      <c r="P133" s="1770"/>
    </row>
    <row customHeight="true" ht="18.452380952380953" r="134">
      <c r="A134" s="1765" t="s">
        <v>1548</v>
      </c>
      <c r="B134" s="1644">
        <v>46284</v>
      </c>
      <c r="C134" s="1670" t="str">
        <v>Saturday</v>
      </c>
      <c r="D134" s="1677" t="s">
        <v>1554</v>
      </c>
      <c r="E134" s="1675">
        <f t="shared" si="76"/>
      </c>
      <c r="F134" s="1649" t="s">
        <v>1551</v>
      </c>
      <c r="G134" s="1772"/>
      <c r="H134" s="1649" t="s">
        <v>1471</v>
      </c>
      <c r="I134" s="1675" t="s">
        <v>1446</v>
      </c>
      <c r="J134" s="1767"/>
      <c r="K134" s="1770"/>
      <c r="L134" s="1770"/>
      <c r="M134" s="1770"/>
      <c r="N134" s="1770"/>
      <c r="O134" s="1770"/>
      <c r="P134" s="1770"/>
    </row>
    <row customHeight="true" ht="18.452380952380953" r="135">
      <c r="A135" s="1765" t="s">
        <v>1548</v>
      </c>
      <c r="B135" s="1670">
        <v>46284</v>
      </c>
      <c r="C135" s="1670" t="str">
        <v>Saturday</v>
      </c>
      <c r="D135" s="1677" t="s">
        <v>1555</v>
      </c>
      <c r="E135" s="1675">
        <f t="shared" si="76"/>
      </c>
      <c r="F135" s="1649" t="s">
        <v>1553</v>
      </c>
      <c r="G135" s="1774"/>
      <c r="H135" s="1649" t="s">
        <v>1471</v>
      </c>
      <c r="I135" s="1675" t="s">
        <v>1446</v>
      </c>
      <c r="J135" s="1767"/>
      <c r="K135" s="1768"/>
      <c r="L135" s="1768"/>
      <c r="M135" s="1768"/>
      <c r="N135" s="1768"/>
      <c r="O135" s="1768"/>
      <c r="P135" s="1768"/>
      <c r="Q135" s="1680"/>
      <c r="R135" s="1680"/>
    </row>
    <row customHeight="true" ht="18.452380952380953" r="136">
      <c r="A136" s="1765" t="s">
        <v>1548</v>
      </c>
      <c r="B136" s="1644">
        <v>46285</v>
      </c>
      <c r="C136" s="1670" t="str">
        <v>Sunday</v>
      </c>
      <c r="D136" s="1677" t="s">
        <v>1555</v>
      </c>
      <c r="E136" s="1675">
        <f t="shared" si="76"/>
      </c>
      <c r="F136" s="1649" t="s">
        <v>1553</v>
      </c>
      <c r="G136" s="1772"/>
      <c r="H136" s="1649" t="s">
        <v>1471</v>
      </c>
      <c r="I136" s="1675" t="s">
        <v>1446</v>
      </c>
      <c r="J136" s="1767"/>
      <c r="K136" s="1770"/>
      <c r="L136" s="1770"/>
      <c r="M136" s="1770"/>
      <c r="N136" s="1770"/>
      <c r="O136" s="1770"/>
      <c r="P136" s="1770"/>
    </row>
    <row customHeight="true" ht="18.452380952380953" r="137">
      <c r="A137" s="1765" t="s">
        <v>1556</v>
      </c>
      <c r="B137" s="1644">
        <v>46279</v>
      </c>
      <c r="C137" s="1670" t="str">
        <v>Monday</v>
      </c>
      <c r="D137" s="1677" t="s">
        <v>1557</v>
      </c>
      <c r="E137" s="1675">
        <f t="shared" si="76"/>
      </c>
      <c r="F137" s="1649" t="s">
        <v>1558</v>
      </c>
      <c r="G137" s="1769"/>
      <c r="H137" s="1649" t="s">
        <v>1471</v>
      </c>
      <c r="I137" s="1675" t="s">
        <v>1469</v>
      </c>
      <c r="J137" s="1767"/>
      <c r="K137" s="1770"/>
      <c r="L137" s="1770"/>
      <c r="M137" s="1770"/>
      <c r="N137" s="1770"/>
      <c r="O137" s="1770"/>
      <c r="P137" s="1770"/>
    </row>
    <row customHeight="true" ht="18.452380952380953" r="138">
      <c r="A138" s="1765" t="s">
        <v>1556</v>
      </c>
      <c r="B138" s="1644">
        <v>46280</v>
      </c>
      <c r="C138" s="1670" t="str">
        <v>Tuesday</v>
      </c>
      <c r="D138" s="1677" t="s">
        <v>1559</v>
      </c>
      <c r="E138" s="1675">
        <f t="shared" si="76"/>
      </c>
      <c r="F138" s="1649" t="s">
        <v>1560</v>
      </c>
      <c r="G138" s="1766"/>
      <c r="H138" s="1649" t="s">
        <v>1471</v>
      </c>
      <c r="I138" s="1675" t="s">
        <v>1469</v>
      </c>
      <c r="J138" s="1767"/>
      <c r="K138" s="1770"/>
      <c r="L138" s="1770"/>
      <c r="M138" s="1770"/>
      <c r="N138" s="1770"/>
      <c r="O138" s="1770"/>
      <c r="P138" s="1770"/>
    </row>
    <row customHeight="true" ht="18.452380952380953" r="139">
      <c r="A139" s="1765" t="s">
        <v>1556</v>
      </c>
      <c r="B139" s="1644">
        <v>46281</v>
      </c>
      <c r="C139" s="1670" t="str">
        <v>Wednesday</v>
      </c>
      <c r="D139" s="1677" t="s">
        <v>1557</v>
      </c>
      <c r="E139" s="1675">
        <f t="shared" si="76"/>
      </c>
      <c r="F139" s="1649" t="s">
        <v>1558</v>
      </c>
      <c r="G139" s="1766"/>
      <c r="H139" s="1649" t="s">
        <v>1471</v>
      </c>
      <c r="I139" s="1675" t="s">
        <v>1469</v>
      </c>
      <c r="J139" s="1767"/>
      <c r="K139" s="1770"/>
      <c r="L139" s="1770"/>
      <c r="M139" s="1770"/>
      <c r="N139" s="1770"/>
      <c r="O139" s="1770"/>
      <c r="P139" s="1770"/>
    </row>
    <row customHeight="true" ht="18.452380952380953" r="140">
      <c r="A140" s="1765" t="s">
        <v>1556</v>
      </c>
      <c r="B140" s="1644">
        <v>46282</v>
      </c>
      <c r="C140" s="1670" t="str">
        <v>Thursday</v>
      </c>
      <c r="D140" s="1677" t="s">
        <v>1557</v>
      </c>
      <c r="E140" s="1675">
        <f t="shared" si="76"/>
      </c>
      <c r="F140" s="1649" t="s">
        <v>1558</v>
      </c>
      <c r="G140" s="1766"/>
      <c r="H140" s="1649" t="s">
        <v>1471</v>
      </c>
      <c r="I140" s="1675" t="s">
        <v>1469</v>
      </c>
      <c r="J140" s="1767"/>
      <c r="K140" s="1770"/>
      <c r="L140" s="1770"/>
      <c r="M140" s="1770"/>
      <c r="N140" s="1770"/>
      <c r="O140" s="1770"/>
      <c r="P140" s="1770"/>
    </row>
    <row customHeight="true" ht="18.452380952380953" r="141">
      <c r="A141" s="1765" t="s">
        <v>1556</v>
      </c>
      <c r="B141" s="1644">
        <v>46283</v>
      </c>
      <c r="C141" s="1670" t="str">
        <v>Friday</v>
      </c>
      <c r="D141" s="1677" t="s">
        <v>1561</v>
      </c>
      <c r="E141" s="1675">
        <f t="shared" si="76"/>
      </c>
      <c r="F141" s="1649" t="s">
        <v>1560</v>
      </c>
      <c r="G141" s="1766"/>
      <c r="H141" s="1649"/>
      <c r="I141" s="1675"/>
      <c r="J141" s="1767"/>
      <c r="K141" s="1770"/>
      <c r="L141" s="1770"/>
      <c r="M141" s="1770"/>
      <c r="N141" s="1770"/>
      <c r="O141" s="1770"/>
      <c r="P141" s="1770"/>
    </row>
    <row customHeight="true" ht="18.452380952380953" r="142">
      <c r="A142" s="1765" t="s">
        <v>1556</v>
      </c>
      <c r="B142" s="1644">
        <v>46284</v>
      </c>
      <c r="C142" s="1670" t="str">
        <v>Saturday</v>
      </c>
      <c r="D142" s="1677" t="s">
        <v>1562</v>
      </c>
      <c r="E142" s="1675">
        <f t="shared" si="76"/>
      </c>
      <c r="F142" s="1649" t="s">
        <v>1558</v>
      </c>
      <c r="G142" s="1766"/>
      <c r="H142" s="1649"/>
      <c r="I142" s="1675"/>
      <c r="J142" s="1767"/>
      <c r="K142" s="1770"/>
      <c r="L142" s="1770"/>
      <c r="M142" s="1770"/>
      <c r="N142" s="1770"/>
      <c r="O142" s="1770"/>
      <c r="P142" s="1770"/>
    </row>
    <row customHeight="true" ht="18.452380952380953" r="143">
      <c r="A143" s="1765" t="s">
        <v>1556</v>
      </c>
      <c r="B143" s="1670">
        <v>46284</v>
      </c>
      <c r="C143" s="1670" t="str">
        <v>Saturday</v>
      </c>
      <c r="D143" s="1677" t="s">
        <v>1555</v>
      </c>
      <c r="E143" s="1675">
        <f t="shared" si="76"/>
      </c>
      <c r="F143" s="1649" t="s">
        <v>1560</v>
      </c>
      <c r="G143" s="1766"/>
      <c r="H143" s="1649"/>
      <c r="I143" s="1675"/>
      <c r="J143" s="1767"/>
      <c r="K143" s="1770"/>
      <c r="L143" s="1770"/>
      <c r="M143" s="1770"/>
      <c r="N143" s="1770"/>
      <c r="O143" s="1770"/>
      <c r="P143" s="1770"/>
    </row>
    <row customHeight="true" ht="18.452380952380953" r="144">
      <c r="A144" s="1765" t="s">
        <v>1556</v>
      </c>
      <c r="B144" s="1644">
        <v>46285</v>
      </c>
      <c r="C144" s="1670" t="str">
        <v>Sunday</v>
      </c>
      <c r="D144" s="1677" t="s">
        <v>1563</v>
      </c>
      <c r="E144" s="1675">
        <f t="shared" si="76"/>
      </c>
      <c r="F144" s="1649" t="s">
        <v>1558</v>
      </c>
      <c r="G144" s="1766"/>
      <c r="H144" s="1649"/>
      <c r="I144" s="1675"/>
      <c r="J144" s="1767"/>
      <c r="K144" s="1770"/>
      <c r="L144" s="1770"/>
      <c r="M144" s="1770"/>
      <c r="N144" s="1770"/>
      <c r="O144" s="1770"/>
      <c r="P144" s="1770"/>
    </row>
    <row customHeight="true" ht="18.452380952380953" r="145">
      <c r="A145" s="1765" t="s">
        <v>1556</v>
      </c>
      <c r="B145" s="1644">
        <v>46285</v>
      </c>
      <c r="C145" s="1670" t="str">
        <v>Sunday</v>
      </c>
      <c r="D145" s="1677" t="s">
        <v>1555</v>
      </c>
      <c r="E145" s="1675">
        <f t="shared" si="76"/>
      </c>
      <c r="F145" s="1649" t="s">
        <v>1560</v>
      </c>
      <c r="G145" s="1766"/>
      <c r="H145" s="1649"/>
      <c r="I145" s="1675"/>
      <c r="J145" s="1767"/>
      <c r="K145" s="1770"/>
      <c r="L145" s="1770"/>
      <c r="M145" s="1770"/>
      <c r="N145" s="1770"/>
      <c r="O145" s="1770"/>
      <c r="P145" s="1770"/>
    </row>
    <row customHeight="true" ht="18.452380952380953" r="146">
      <c r="A146" s="1765" t="s">
        <v>1564</v>
      </c>
      <c r="B146" s="1644">
        <v>46279</v>
      </c>
      <c r="C146" s="1670" t="str">
        <v>Monday</v>
      </c>
      <c r="D146" s="1677" t="s">
        <v>1565</v>
      </c>
      <c r="E146" s="1675">
        <f t="shared" si="76"/>
      </c>
      <c r="F146" s="1649" t="s">
        <v>1566</v>
      </c>
      <c r="G146" s="1766"/>
      <c r="H146" s="1649"/>
      <c r="I146" s="1675"/>
      <c r="J146" s="1767"/>
      <c r="K146" s="1770"/>
      <c r="L146" s="1770"/>
      <c r="M146" s="1770"/>
      <c r="N146" s="1770"/>
      <c r="O146" s="1770"/>
      <c r="P146" s="1770"/>
    </row>
    <row customHeight="true" ht="18.452380952380953" r="147">
      <c r="A147" s="1765" t="s">
        <v>1564</v>
      </c>
      <c r="B147" s="1644">
        <v>46283</v>
      </c>
      <c r="C147" s="1670" t="str">
        <v>Friday</v>
      </c>
      <c r="D147" s="1677" t="s">
        <v>1565</v>
      </c>
      <c r="E147" s="1675">
        <f t="shared" si="76"/>
      </c>
      <c r="F147" s="1649" t="s">
        <v>1566</v>
      </c>
      <c r="G147" s="1766"/>
      <c r="H147" s="1649"/>
      <c r="I147" s="1675"/>
      <c r="J147" s="1767"/>
      <c r="K147" s="1770"/>
      <c r="L147" s="1770"/>
      <c r="M147" s="1770"/>
      <c r="N147" s="1770"/>
      <c r="O147" s="1770"/>
      <c r="P147" s="1770"/>
    </row>
    <row customHeight="true" ht="18.452380952380953" r="148">
      <c r="A148" s="1765" t="s">
        <v>1564</v>
      </c>
      <c r="B148" s="1644">
        <v>46283</v>
      </c>
      <c r="C148" s="1670" t="str">
        <v>Friday</v>
      </c>
      <c r="D148" s="1677" t="s">
        <v>1565</v>
      </c>
      <c r="E148" s="1675">
        <f t="shared" si="76"/>
      </c>
      <c r="F148" s="1649" t="s">
        <v>1566</v>
      </c>
      <c r="G148" s="1766"/>
      <c r="H148" s="1649"/>
      <c r="I148" s="1675"/>
      <c r="J148" s="1767"/>
      <c r="K148" s="1770"/>
      <c r="L148" s="1770"/>
      <c r="M148" s="1770"/>
      <c r="N148" s="1770"/>
      <c r="O148" s="1770"/>
      <c r="P148" s="1770"/>
    </row>
    <row customHeight="true" ht="18.452380952380953" r="149">
      <c r="A149" s="1765" t="s">
        <v>1564</v>
      </c>
      <c r="B149" s="1644">
        <v>46285</v>
      </c>
      <c r="C149" s="1670" t="str">
        <v>Sunday</v>
      </c>
      <c r="D149" s="1677" t="s">
        <v>1567</v>
      </c>
      <c r="E149" s="1675">
        <f t="shared" si="76"/>
      </c>
      <c r="F149" s="1649" t="s">
        <v>1566</v>
      </c>
      <c r="G149" s="1766"/>
      <c r="H149" s="1649"/>
      <c r="I149" s="1675"/>
      <c r="J149" s="1767"/>
      <c r="K149" s="1770"/>
      <c r="L149" s="1770"/>
      <c r="M149" s="1770"/>
      <c r="N149" s="1770"/>
      <c r="O149" s="1770"/>
      <c r="P149" s="1770"/>
    </row>
    <row r="150">
      <c r="A150" s="1775" t="s">
        <v>1568</v>
      </c>
      <c r="B150" s="1775" t="s">
        <v>1569</v>
      </c>
      <c r="C150" s="1775"/>
      <c r="D150" s="1775"/>
      <c r="E150" s="1775"/>
      <c r="F150" s="1775"/>
      <c r="G150" s="1775"/>
      <c r="H150" s="1775"/>
      <c r="I150" s="1775"/>
      <c r="J150" s="1776"/>
      <c r="K150" s="1683"/>
      <c r="L150" s="1683"/>
      <c r="M150" s="1683"/>
      <c r="N150" s="1683"/>
      <c r="O150" s="1683"/>
      <c r="P150" s="1683"/>
    </row>
    <row r="151">
      <c r="A151" s="1777" t="s">
        <v>1457</v>
      </c>
      <c r="B151" s="1778" t="s">
        <v>1458</v>
      </c>
      <c r="C151" s="1778"/>
      <c r="D151" s="1779" t="s">
        <v>1459</v>
      </c>
      <c r="E151" s="1780" t="s">
        <v>1460</v>
      </c>
      <c r="F151" s="1780" t="s">
        <v>1461</v>
      </c>
      <c r="G151" s="1781" t="s">
        <v>1473</v>
      </c>
      <c r="H151" s="1782" t="s">
        <v>1463</v>
      </c>
      <c r="I151" s="1782" t="s">
        <v>1464</v>
      </c>
      <c r="J151" s="1783" t="s">
        <v>1465</v>
      </c>
      <c r="K151" s="1669"/>
      <c r="L151" s="1669"/>
      <c r="M151" s="1669"/>
      <c r="N151" s="1669"/>
      <c r="O151" s="1669"/>
      <c r="P151" s="1669"/>
    </row>
    <row customHeight="true" ht="18.452380952380953" r="152">
      <c r="A152" s="1670"/>
      <c r="B152" s="1784"/>
      <c r="C152" s="1785"/>
      <c r="D152" s="1786"/>
      <c r="E152" s="1787"/>
      <c r="F152" s="1649"/>
      <c r="G152" s="1689"/>
      <c r="H152" s="1649"/>
      <c r="I152" s="1675"/>
      <c r="J152" s="1788"/>
      <c r="K152" s="1789"/>
      <c r="L152" s="1789"/>
      <c r="M152" s="1789"/>
      <c r="N152" s="1789"/>
      <c r="O152" s="1789"/>
      <c r="P152" s="1789"/>
      <c r="Q152" s="1680"/>
      <c r="R152" s="1680"/>
    </row>
    <row customHeight="true" ht="18.452380952380953" r="153">
      <c r="A153" s="1670"/>
      <c r="B153" s="1790"/>
      <c r="C153" s="1785"/>
      <c r="D153" s="1786"/>
      <c r="E153" s="1787"/>
      <c r="F153" s="1649"/>
      <c r="G153" s="1689"/>
      <c r="H153" s="1649"/>
      <c r="I153" s="1675"/>
      <c r="J153" s="1788"/>
      <c r="K153" s="1789"/>
      <c r="L153" s="1789"/>
      <c r="M153" s="1789"/>
      <c r="N153" s="1789"/>
      <c r="O153" s="1789"/>
      <c r="P153" s="1789"/>
      <c r="Q153" s="1680"/>
      <c r="R153" s="1680"/>
    </row>
    <row customHeight="true" ht="18.452380952380953" r="154">
      <c r="A154" s="1670"/>
      <c r="B154" s="1790"/>
      <c r="C154" s="1785"/>
      <c r="D154" s="1786"/>
      <c r="E154" s="1787"/>
      <c r="F154" s="1649"/>
      <c r="G154" s="1689"/>
      <c r="H154" s="1649"/>
      <c r="I154" s="1675"/>
      <c r="J154" s="1788"/>
      <c r="K154" s="1789"/>
      <c r="L154" s="1789"/>
      <c r="M154" s="1789"/>
      <c r="N154" s="1789"/>
      <c r="O154" s="1789"/>
      <c r="P154" s="1789"/>
      <c r="Q154" s="1680"/>
      <c r="R154" s="1680"/>
    </row>
    <row customHeight="true" ht="18.452380952380953" r="155">
      <c r="A155" s="1670"/>
      <c r="B155" s="1790"/>
      <c r="C155" s="1785"/>
      <c r="D155" s="1786"/>
      <c r="E155" s="1787"/>
      <c r="F155" s="1649"/>
      <c r="G155" s="1689"/>
      <c r="H155" s="1649"/>
      <c r="I155" s="1675"/>
      <c r="J155" s="1788"/>
      <c r="K155" s="1789"/>
      <c r="L155" s="1789"/>
      <c r="M155" s="1789"/>
      <c r="N155" s="1789"/>
      <c r="O155" s="1789"/>
      <c r="P155" s="1789"/>
      <c r="Q155" s="1680"/>
      <c r="R155" s="1680"/>
    </row>
    <row customHeight="true" ht="18.452380952380953" r="156">
      <c r="A156" s="1670"/>
      <c r="B156" s="1790"/>
      <c r="C156" s="1670"/>
      <c r="D156" s="1786"/>
      <c r="E156" s="1649"/>
      <c r="F156" s="1678"/>
      <c r="G156" s="1791"/>
      <c r="H156" s="1649"/>
      <c r="I156" s="1675"/>
      <c r="J156" s="1792"/>
      <c r="K156" s="1651"/>
      <c r="L156" s="1651"/>
      <c r="M156" s="1651"/>
      <c r="N156" s="1651"/>
      <c r="O156" s="1651"/>
      <c r="P156" s="1651"/>
    </row>
    <row customHeight="true" ht="18.452380952380953" r="157">
      <c r="A157" s="1670"/>
      <c r="B157" s="1790"/>
      <c r="C157" s="1670"/>
      <c r="D157" s="1786"/>
      <c r="E157" s="1649"/>
      <c r="F157" s="1678"/>
      <c r="G157" s="1791"/>
      <c r="H157" s="1649"/>
      <c r="I157" s="1675"/>
      <c r="J157" s="1792"/>
      <c r="K157" s="1651"/>
      <c r="L157" s="1651"/>
      <c r="M157" s="1651"/>
      <c r="N157" s="1651"/>
      <c r="O157" s="1651"/>
      <c r="P157" s="1651"/>
    </row>
    <row customHeight="true" ht="16.071428571428573" r="158">
      <c r="A158" s="1670"/>
      <c r="B158" s="1784"/>
      <c r="C158" s="1670"/>
      <c r="D158" s="1786"/>
      <c r="E158" s="1649"/>
      <c r="F158" s="1793"/>
      <c r="G158" s="1791"/>
      <c r="H158" s="1649"/>
      <c r="I158" s="1675"/>
      <c r="J158" s="1792"/>
      <c r="K158" s="1651"/>
      <c r="L158" s="1651"/>
      <c r="M158" s="1651"/>
      <c r="N158" s="1651"/>
      <c r="O158" s="1651"/>
      <c r="P158" s="1651"/>
    </row>
    <row customHeight="true" ht="16.071428571428573" r="159">
      <c r="A159" s="1670"/>
      <c r="B159" s="1790"/>
      <c r="C159" s="1670"/>
      <c r="D159" s="1786"/>
      <c r="E159" s="1649"/>
      <c r="F159" s="1793"/>
      <c r="G159" s="1791"/>
      <c r="H159" s="1649"/>
      <c r="I159" s="1675"/>
      <c r="J159" s="1792"/>
      <c r="K159" s="1651"/>
      <c r="L159" s="1651"/>
      <c r="M159" s="1651"/>
      <c r="N159" s="1651"/>
      <c r="O159" s="1651"/>
      <c r="P159" s="1651"/>
    </row>
    <row customHeight="true" ht="16.071428571428573" r="160">
      <c r="A160" s="1670"/>
      <c r="B160" s="1790"/>
      <c r="C160" s="1670"/>
      <c r="D160" s="1786"/>
      <c r="E160" s="1649"/>
      <c r="F160" s="1793"/>
      <c r="G160" s="1791"/>
      <c r="H160" s="1649"/>
      <c r="I160" s="1675"/>
      <c r="J160" s="1792"/>
      <c r="K160" s="1651"/>
      <c r="L160" s="1651"/>
      <c r="M160" s="1651"/>
      <c r="N160" s="1651"/>
      <c r="O160" s="1651"/>
      <c r="P160" s="1651"/>
    </row>
    <row customHeight="true" ht="16.071428571428573" r="161">
      <c r="A161" s="1670"/>
      <c r="B161" s="1790"/>
      <c r="C161" s="1670"/>
      <c r="D161" s="1786"/>
      <c r="E161" s="1649"/>
      <c r="F161" s="1793"/>
      <c r="G161" s="1791"/>
      <c r="H161" s="1649"/>
      <c r="I161" s="1675"/>
      <c r="J161" s="1788"/>
      <c r="K161" s="1651"/>
      <c r="L161" s="1651"/>
      <c r="M161" s="1651"/>
      <c r="N161" s="1651"/>
      <c r="O161" s="1651"/>
      <c r="P161" s="1651"/>
    </row>
    <row customHeight="true" ht="16.071428571428573" r="162">
      <c r="A162" s="1670"/>
      <c r="B162" s="1790"/>
      <c r="C162" s="1670"/>
      <c r="D162" s="1786"/>
      <c r="E162" s="1649"/>
      <c r="F162" s="1678"/>
      <c r="G162" s="1794"/>
      <c r="H162" s="1649"/>
      <c r="I162" s="1675"/>
      <c r="J162" s="1788"/>
      <c r="K162" s="1651"/>
      <c r="L162" s="1651"/>
      <c r="M162" s="1651"/>
      <c r="N162" s="1651"/>
      <c r="O162" s="1651"/>
      <c r="P162" s="1651"/>
    </row>
    <row r="163">
      <c r="A163" s="1680"/>
      <c r="B163" s="1680"/>
      <c r="C163" s="1680"/>
      <c r="D163" s="1795"/>
      <c r="E163" s="1680"/>
      <c r="F163" s="1680"/>
      <c r="G163" s="1680"/>
      <c r="H163" s="1680"/>
      <c r="I163" s="1680"/>
      <c r="J163" s="1680"/>
      <c r="K163" s="1770"/>
      <c r="L163" s="1770"/>
      <c r="M163" s="1770"/>
      <c r="N163" s="1770"/>
      <c r="O163" s="1770"/>
      <c r="P163" s="1770"/>
    </row>
    <row r="164">
      <c r="A164" s="1796" t="s">
        <v>1570</v>
      </c>
      <c r="B164" s="1796"/>
      <c r="C164" s="1796"/>
      <c r="D164" s="1796"/>
      <c r="E164" s="1796"/>
      <c r="F164" s="1796"/>
      <c r="G164" s="1796"/>
      <c r="H164" s="1796" t="s">
        <v>1571</v>
      </c>
      <c r="I164" s="1796"/>
      <c r="J164" s="1797"/>
      <c r="K164" s="1683"/>
      <c r="L164" s="1683"/>
      <c r="M164" s="1683"/>
      <c r="N164" s="1683"/>
      <c r="O164" s="1683"/>
      <c r="P164" s="1683"/>
    </row>
    <row r="165">
      <c r="A165" s="1798" t="s">
        <v>1457</v>
      </c>
      <c r="B165" s="1799" t="s">
        <v>1458</v>
      </c>
      <c r="C165" s="1799"/>
      <c r="D165" s="1800" t="s">
        <v>1459</v>
      </c>
      <c r="E165" s="1801" t="s">
        <v>1460</v>
      </c>
      <c r="F165" s="1801" t="s">
        <v>1461</v>
      </c>
      <c r="G165" s="1802" t="s">
        <v>1473</v>
      </c>
      <c r="H165" s="1803" t="s">
        <v>1463</v>
      </c>
      <c r="I165" s="1803" t="s">
        <v>1464</v>
      </c>
      <c r="J165" s="1804" t="s">
        <v>1465</v>
      </c>
      <c r="K165" s="1669"/>
      <c r="L165" s="1669"/>
      <c r="M165" s="1669"/>
      <c r="N165" s="1669"/>
      <c r="O165" s="1669"/>
      <c r="P165" s="1669"/>
    </row>
    <row customHeight="true" ht="18.452380952380953" r="166">
      <c r="A166" s="1670" t="s">
        <v>1570</v>
      </c>
      <c r="B166" s="1644">
        <v>46279</v>
      </c>
      <c r="C166" s="1670" t="str">
        <v>Monday</v>
      </c>
      <c r="D166" s="1677" t="s">
        <v>1572</v>
      </c>
      <c r="E166" s="1649">
        <f t="shared" ref="E166:E169" si="77">24*MOD(TIMEVALUE(TRIM(MID(D166,FIND("-",D166)+1,LEN(D166)))) - TIMEVALUE(TRIM(LEFT(D166,FIND("-",D166)-1))),1)</f>
      </c>
      <c r="F166" s="1649" t="s">
        <v>1573</v>
      </c>
      <c r="G166" s="1791"/>
      <c r="H166" s="1649" t="s">
        <v>1445</v>
      </c>
      <c r="I166" s="1738" t="s">
        <v>1446</v>
      </c>
      <c r="J166" s="1792"/>
      <c r="K166" s="1651"/>
      <c r="L166" s="1651"/>
      <c r="M166" s="1651"/>
      <c r="N166" s="1651"/>
      <c r="O166" s="1651"/>
      <c r="P166" s="1651"/>
    </row>
    <row r="167">
      <c r="A167" s="1670" t="s">
        <v>1570</v>
      </c>
      <c r="B167" s="1805">
        <v>46280</v>
      </c>
      <c r="C167" s="1670" t="str">
        <v>Tuesday</v>
      </c>
      <c r="D167" s="1806" t="s">
        <v>1574</v>
      </c>
      <c r="E167" s="1649">
        <f t="shared" si="77"/>
      </c>
      <c r="F167" s="1649" t="s">
        <v>1573</v>
      </c>
      <c r="G167" s="1794"/>
      <c r="H167" s="1649" t="s">
        <v>1445</v>
      </c>
      <c r="I167" s="1675" t="s">
        <v>1446</v>
      </c>
      <c r="J167" s="1792"/>
      <c r="K167" s="1651"/>
      <c r="L167" s="1651"/>
      <c r="M167" s="1651"/>
      <c r="N167" s="1651"/>
      <c r="O167" s="1651"/>
      <c r="P167" s="1651"/>
    </row>
    <row customHeight="true" ht="18.452380952380953" r="168">
      <c r="A168" s="1670" t="s">
        <v>1570</v>
      </c>
      <c r="B168" s="1805">
        <v>46281</v>
      </c>
      <c r="C168" s="1670" t="str">
        <v>Wednesday</v>
      </c>
      <c r="D168" s="1806" t="s">
        <v>1574</v>
      </c>
      <c r="E168" s="1649">
        <f t="shared" si="77"/>
      </c>
      <c r="F168" s="1649" t="s">
        <v>1573</v>
      </c>
      <c r="G168" s="1791"/>
      <c r="H168" s="1649" t="s">
        <v>1445</v>
      </c>
      <c r="I168" s="1675" t="s">
        <v>1446</v>
      </c>
      <c r="J168" s="1792"/>
      <c r="K168" s="1651"/>
      <c r="L168" s="1651"/>
      <c r="M168" s="1651"/>
      <c r="N168" s="1651"/>
      <c r="O168" s="1651"/>
      <c r="P168" s="1651"/>
    </row>
    <row customHeight="true" ht="18.452380952380953" r="169">
      <c r="A169" s="1670" t="s">
        <v>1570</v>
      </c>
      <c r="B169" s="1805">
        <v>46282</v>
      </c>
      <c r="C169" s="1670" t="str">
        <v>Thursday</v>
      </c>
      <c r="D169" s="1806" t="s">
        <v>1574</v>
      </c>
      <c r="E169" s="1649">
        <f t="shared" si="77"/>
      </c>
      <c r="F169" s="1649" t="s">
        <v>1573</v>
      </c>
      <c r="G169" s="1791"/>
      <c r="H169" s="1649" t="s">
        <v>1445</v>
      </c>
      <c r="I169" s="1738" t="s">
        <v>1446</v>
      </c>
      <c r="J169" s="1792"/>
      <c r="K169" s="1651"/>
      <c r="L169" s="1651"/>
      <c r="M169" s="1651"/>
      <c r="N169" s="1651"/>
      <c r="O169" s="1651"/>
      <c r="P169" s="1651"/>
    </row>
    <row customHeight="true" ht="18.452380952380953" r="170">
      <c r="A170" s="1670"/>
      <c r="B170" s="1644"/>
      <c r="C170" s="1670"/>
      <c r="D170" s="1677"/>
      <c r="E170" s="1649"/>
      <c r="F170" s="1649"/>
      <c r="G170" s="1791"/>
      <c r="H170" s="1649"/>
      <c r="I170" s="1738"/>
      <c r="J170" s="1792"/>
      <c r="K170" s="1651"/>
      <c r="L170" s="1651"/>
      <c r="M170" s="1651"/>
      <c r="N170" s="1651"/>
      <c r="O170" s="1651"/>
      <c r="P170" s="1651"/>
    </row>
    <row r="171">
      <c r="A171" s="1670" t="s">
        <v>1570</v>
      </c>
      <c r="B171" s="1644">
        <v>46279</v>
      </c>
      <c r="C171" s="1670" t="str">
        <v>Monday</v>
      </c>
      <c r="D171" s="1677" t="s">
        <v>1575</v>
      </c>
      <c r="E171" s="1649">
        <f t="shared" ref="E171:E174" si="78">24*MOD(TIMEVALUE(TRIM(MID(D171,FIND("-",D171)+1,LEN(D171)))) - TIMEVALUE(TRIM(LEFT(D171,FIND("-",D171)-1))),1)</f>
      </c>
      <c r="F171" s="1649" t="s">
        <v>1576</v>
      </c>
      <c r="G171" s="1794"/>
      <c r="H171" s="1649" t="s">
        <v>1445</v>
      </c>
      <c r="I171" s="1675" t="s">
        <v>1446</v>
      </c>
      <c r="J171" s="1792"/>
      <c r="K171" s="1651"/>
      <c r="L171" s="1651"/>
      <c r="M171" s="1651"/>
      <c r="N171" s="1651"/>
      <c r="O171" s="1651"/>
      <c r="P171" s="1651"/>
    </row>
    <row customHeight="true" ht="18.452380952380953" r="172">
      <c r="A172" s="1670" t="s">
        <v>1570</v>
      </c>
      <c r="B172" s="1805">
        <v>46280</v>
      </c>
      <c r="C172" s="1670" t="str">
        <v>Tuesday</v>
      </c>
      <c r="D172" s="1806" t="s">
        <v>1577</v>
      </c>
      <c r="E172" s="1649">
        <f t="shared" si="78"/>
      </c>
      <c r="F172" s="1649" t="s">
        <v>1576</v>
      </c>
      <c r="G172" s="1791"/>
      <c r="H172" s="1649" t="s">
        <v>1445</v>
      </c>
      <c r="I172" s="1675" t="s">
        <v>1446</v>
      </c>
      <c r="J172" s="1788" t="s">
        <v>1578</v>
      </c>
      <c r="K172" s="1651"/>
      <c r="L172" s="1651"/>
      <c r="M172" s="1651"/>
      <c r="N172" s="1651"/>
      <c r="O172" s="1651"/>
      <c r="P172" s="1651"/>
    </row>
    <row customHeight="true" ht="18.452380952380953" r="173">
      <c r="A173" s="1670" t="s">
        <v>1570</v>
      </c>
      <c r="B173" s="1805">
        <v>46281</v>
      </c>
      <c r="C173" s="1670" t="str">
        <v>Wednesday</v>
      </c>
      <c r="D173" s="1806" t="s">
        <v>1577</v>
      </c>
      <c r="E173" s="1649">
        <f t="shared" si="78"/>
      </c>
      <c r="F173" s="1649" t="s">
        <v>1558</v>
      </c>
      <c r="G173" s="1794"/>
      <c r="H173" s="1649" t="s">
        <v>1445</v>
      </c>
      <c r="I173" s="1675" t="s">
        <v>1446</v>
      </c>
      <c r="J173" s="1792"/>
      <c r="K173" s="1651"/>
      <c r="L173" s="1651"/>
      <c r="M173" s="1807" t="s">
        <v>1537</v>
      </c>
      <c r="N173" s="1651"/>
      <c r="O173" s="1651"/>
      <c r="P173" s="1651"/>
    </row>
    <row customHeight="true" ht="18.452380952380953" r="174">
      <c r="A174" s="1670" t="s">
        <v>1570</v>
      </c>
      <c r="B174" s="1805">
        <v>46282</v>
      </c>
      <c r="C174" s="1670" t="str">
        <v>Thursday</v>
      </c>
      <c r="D174" s="1806" t="s">
        <v>1577</v>
      </c>
      <c r="E174" s="1649">
        <f t="shared" si="78"/>
      </c>
      <c r="F174" s="1649" t="s">
        <v>1558</v>
      </c>
      <c r="G174" s="1794"/>
      <c r="H174" s="1649" t="s">
        <v>1445</v>
      </c>
      <c r="I174" s="1675" t="s">
        <v>1446</v>
      </c>
      <c r="J174" s="1792"/>
      <c r="K174" s="1651"/>
      <c r="L174" s="1651"/>
      <c r="M174" s="1651"/>
      <c r="N174" s="1651"/>
      <c r="O174" s="1651"/>
      <c r="P174" s="1651"/>
    </row>
    <row customHeight="true" ht="18.452380952380953" r="175">
      <c r="A175" s="1785"/>
      <c r="B175" s="1644"/>
      <c r="C175" s="1785"/>
      <c r="D175" s="1786"/>
      <c r="E175" s="1786"/>
      <c r="F175" s="1808"/>
      <c r="G175" s="1809"/>
      <c r="H175" s="1649"/>
      <c r="I175" s="1675"/>
      <c r="J175" s="1810"/>
      <c r="K175" s="1651"/>
      <c r="L175" s="1651"/>
      <c r="M175" s="1651"/>
      <c r="N175" s="1651"/>
      <c r="O175" s="1651"/>
      <c r="P175" s="1651"/>
      <c r="Q175" s="1700"/>
      <c r="R175" s="1700"/>
    </row>
    <row customHeight="true" ht="18.452380952380953" r="176">
      <c r="A176" s="1785"/>
      <c r="B176" s="1644"/>
      <c r="C176" s="1670"/>
      <c r="D176" s="1786"/>
      <c r="E176" s="1786"/>
      <c r="F176" s="1808"/>
      <c r="G176" s="1809"/>
      <c r="H176" s="1649"/>
      <c r="I176" s="1675"/>
      <c r="J176" s="1810"/>
      <c r="K176" s="1651"/>
      <c r="L176" s="1651"/>
      <c r="M176" s="1651"/>
      <c r="N176" s="1651"/>
      <c r="O176" s="1651"/>
      <c r="P176" s="1651"/>
      <c r="Q176" s="1700"/>
      <c r="R176" s="1700"/>
    </row>
    <row customHeight="true" ht="18.452380952380953" r="177">
      <c r="A177" s="1670"/>
      <c r="B177" s="1670"/>
      <c r="C177" s="1670"/>
      <c r="D177" s="1645"/>
      <c r="E177" s="1645"/>
      <c r="F177" s="1794"/>
      <c r="G177" s="1809"/>
      <c r="H177" s="1649"/>
      <c r="I177" s="1675"/>
      <c r="J177" s="1792"/>
      <c r="K177" s="1651"/>
      <c r="L177" s="1651"/>
      <c r="M177" s="1651"/>
      <c r="N177" s="1651"/>
      <c r="O177" s="1651"/>
      <c r="P177" s="1651"/>
    </row>
    <row r="178">
      <c r="A178" s="1811" t="s">
        <v>1579</v>
      </c>
      <c r="B178" s="1811"/>
      <c r="C178" s="1811"/>
      <c r="D178" s="1811"/>
      <c r="E178" s="1811"/>
      <c r="F178" s="1811"/>
      <c r="G178" s="1811"/>
      <c r="H178" s="1811"/>
      <c r="I178" s="1811"/>
      <c r="J178" s="1812"/>
      <c r="K178" s="1683"/>
      <c r="L178" s="1683"/>
      <c r="M178" s="1683"/>
      <c r="N178" s="1683"/>
      <c r="O178" s="1683"/>
      <c r="P178" s="1683"/>
    </row>
    <row r="179">
      <c r="A179" s="1813" t="s">
        <v>1457</v>
      </c>
      <c r="B179" s="1814" t="s">
        <v>1458</v>
      </c>
      <c r="C179" s="1814"/>
      <c r="D179" s="1815" t="s">
        <v>1459</v>
      </c>
      <c r="E179" s="1816" t="s">
        <v>1460</v>
      </c>
      <c r="F179" s="1816" t="s">
        <v>1461</v>
      </c>
      <c r="G179" s="1817" t="s">
        <v>1580</v>
      </c>
      <c r="H179" s="1818" t="s">
        <v>1463</v>
      </c>
      <c r="I179" s="1818" t="s">
        <v>1464</v>
      </c>
      <c r="J179" s="1819" t="s">
        <v>1465</v>
      </c>
      <c r="K179" s="1669"/>
      <c r="L179" s="1669"/>
      <c r="M179" s="1669"/>
      <c r="N179" s="1669"/>
      <c r="O179" s="1669"/>
      <c r="P179" s="1669"/>
    </row>
    <row r="180">
      <c r="A180" s="1670"/>
      <c r="B180" s="1644"/>
      <c r="C180" s="1670"/>
      <c r="D180" s="1786"/>
      <c r="E180" s="1645"/>
      <c r="F180" s="1808"/>
      <c r="G180" s="1794"/>
      <c r="H180" s="1649"/>
      <c r="I180" s="1675"/>
      <c r="J180" s="1645"/>
      <c r="K180" s="1651"/>
      <c r="L180" s="1651"/>
      <c r="M180" s="1651"/>
      <c r="N180" s="1651"/>
      <c r="O180" s="1651"/>
      <c r="P180" s="1651"/>
    </row>
    <row customHeight="true" ht="18.105158730161076" r="181">
      <c r="A181" s="1670" t="s">
        <v>1579</v>
      </c>
      <c r="B181" s="1644">
        <v>46280</v>
      </c>
      <c r="C181" s="1670" t="str">
        <v>Tuesday</v>
      </c>
      <c r="D181" s="1786" t="s">
        <v>1581</v>
      </c>
      <c r="E181" s="1786">
        <v>2</v>
      </c>
      <c r="F181" s="1808" t="s">
        <v>1582</v>
      </c>
      <c r="G181" s="1794" t="s">
        <v>1583</v>
      </c>
      <c r="H181" s="1649" t="s">
        <v>1445</v>
      </c>
      <c r="I181" s="1675" t="s">
        <v>1446</v>
      </c>
      <c r="J181" s="1645" t="s">
        <v>1584</v>
      </c>
      <c r="K181" s="1651"/>
      <c r="L181" s="1651"/>
      <c r="M181" s="1651"/>
      <c r="N181" s="1651"/>
      <c r="O181" s="1651"/>
      <c r="P181" s="1651"/>
    </row>
    <row r="182">
      <c r="A182" s="1670" t="s">
        <v>1579</v>
      </c>
      <c r="B182" s="1644">
        <v>46281</v>
      </c>
      <c r="C182" s="1670" t="str">
        <v>Wednesday</v>
      </c>
      <c r="D182" s="1786" t="s">
        <v>1486</v>
      </c>
      <c r="E182" s="1645">
        <v>2</v>
      </c>
      <c r="F182" s="1808" t="s">
        <v>1582</v>
      </c>
      <c r="G182" s="1820" t="s">
        <v>1585</v>
      </c>
      <c r="H182" s="1649" t="s">
        <v>1445</v>
      </c>
      <c r="I182" s="1675" t="s">
        <v>1446</v>
      </c>
      <c r="J182" s="1645" t="s">
        <v>1584</v>
      </c>
      <c r="K182" s="1651"/>
      <c r="L182" s="1651"/>
      <c r="M182" s="1651"/>
      <c r="N182" s="1651"/>
      <c r="O182" s="1651"/>
      <c r="P182" s="1651"/>
    </row>
    <row customHeight="true" ht="18.452380952380953" r="183">
      <c r="A183" s="1785" t="s">
        <v>1579</v>
      </c>
      <c r="B183" s="1644">
        <v>46282</v>
      </c>
      <c r="C183" s="1785" t="str">
        <v>Thursday</v>
      </c>
      <c r="D183" s="1645" t="s">
        <v>1581</v>
      </c>
      <c r="E183" s="1786">
        <v>2</v>
      </c>
      <c r="F183" s="1808" t="s">
        <v>1582</v>
      </c>
      <c r="G183" s="1820" t="s">
        <v>1585</v>
      </c>
      <c r="H183" s="1649" t="s">
        <v>1445</v>
      </c>
      <c r="I183" s="1675" t="s">
        <v>1446</v>
      </c>
      <c r="J183" s="1645" t="s">
        <v>1584</v>
      </c>
      <c r="K183" s="1651"/>
      <c r="L183" s="1651"/>
      <c r="M183" s="1651"/>
      <c r="N183" s="1651"/>
      <c r="O183" s="1651"/>
      <c r="P183" s="1651"/>
      <c r="Q183" s="1700"/>
      <c r="R183" s="1700"/>
    </row>
    <row customHeight="true" ht="18.452380952380953" r="184">
      <c r="A184" s="1785" t="s">
        <v>1579</v>
      </c>
      <c r="B184" s="1644">
        <v>46283</v>
      </c>
      <c r="C184" s="1785" t="str">
        <v>Friday</v>
      </c>
      <c r="D184" s="1786" t="s">
        <v>1486</v>
      </c>
      <c r="E184" s="1786">
        <v>2</v>
      </c>
      <c r="F184" s="1808" t="s">
        <v>1582</v>
      </c>
      <c r="G184" s="1820" t="s">
        <v>1585</v>
      </c>
      <c r="H184" s="1649" t="s">
        <v>1445</v>
      </c>
      <c r="I184" s="1675" t="s">
        <v>1446</v>
      </c>
      <c r="J184" s="1645" t="s">
        <v>1584</v>
      </c>
      <c r="K184" s="1651"/>
      <c r="L184" s="1651"/>
      <c r="M184" s="1651"/>
      <c r="N184" s="1651"/>
      <c r="O184" s="1651"/>
      <c r="P184" s="1651"/>
      <c r="Q184" s="1700"/>
      <c r="R184" s="1700"/>
    </row>
    <row customHeight="true" ht="18.452380952380953" r="185">
      <c r="A185" s="1785" t="s">
        <v>1579</v>
      </c>
      <c r="B185" s="1644">
        <v>46282</v>
      </c>
      <c r="C185" s="1785" t="str">
        <v>Thursday</v>
      </c>
      <c r="D185" s="1786" t="s">
        <v>1586</v>
      </c>
      <c r="E185" s="1786">
        <v>2</v>
      </c>
      <c r="F185" s="1808" t="s">
        <v>1587</v>
      </c>
      <c r="G185" s="1809" t="s">
        <v>1588</v>
      </c>
      <c r="H185" s="1649" t="s">
        <v>1445</v>
      </c>
      <c r="I185" s="1675" t="s">
        <v>1446</v>
      </c>
      <c r="J185" s="1810"/>
      <c r="K185" s="1651"/>
      <c r="L185" s="1651"/>
      <c r="M185" s="1651"/>
      <c r="N185" s="1651"/>
      <c r="O185" s="1651"/>
      <c r="P185" s="1651"/>
      <c r="Q185" s="1700"/>
      <c r="R185" s="1700"/>
    </row>
    <row customHeight="true" ht="18.452380952380953" r="186">
      <c r="A186" s="1785"/>
      <c r="B186" s="1644"/>
      <c r="C186" s="1785"/>
      <c r="D186" s="1786"/>
      <c r="E186" s="1645"/>
      <c r="F186" s="1808"/>
      <c r="G186" s="1809"/>
      <c r="H186" s="1649"/>
      <c r="I186" s="1675"/>
      <c r="J186" s="1792"/>
      <c r="K186" s="1651"/>
      <c r="L186" s="1651"/>
      <c r="M186" s="1651"/>
      <c r="N186" s="1651"/>
      <c r="O186" s="1651"/>
      <c r="P186" s="1651"/>
    </row>
    <row customHeight="true" ht="18.452380952380953" r="187">
      <c r="A187" s="1785" t="s">
        <v>1589</v>
      </c>
      <c r="B187" s="1644">
        <v>46282</v>
      </c>
      <c r="C187" s="1785" t="str">
        <v>Thursday</v>
      </c>
      <c r="D187" s="1821" t="s">
        <v>1590</v>
      </c>
      <c r="E187" s="1822">
        <v>1.5</v>
      </c>
      <c r="F187" s="1808" t="s">
        <v>1447</v>
      </c>
      <c r="G187" s="1809" t="s">
        <v>1591</v>
      </c>
      <c r="H187" s="1649" t="s">
        <v>1445</v>
      </c>
      <c r="I187" s="1675" t="s">
        <v>1446</v>
      </c>
      <c r="J187" s="1792"/>
      <c r="K187" s="1651"/>
      <c r="L187" s="1651"/>
      <c r="M187" s="1651"/>
      <c r="N187" s="1651"/>
      <c r="O187" s="1651"/>
      <c r="P187" s="1651"/>
    </row>
    <row customHeight="true" ht="18.452380952380953" r="188">
      <c r="A188" s="1670"/>
      <c r="B188" s="1644"/>
      <c r="C188" s="1670"/>
      <c r="D188" s="1786"/>
      <c r="E188" s="1645"/>
      <c r="F188" s="1809"/>
      <c r="G188" s="1809"/>
      <c r="H188" s="1649"/>
      <c r="I188" s="1675"/>
      <c r="J188" s="1792"/>
      <c r="K188" s="1651"/>
      <c r="L188" s="1651"/>
      <c r="M188" s="1651"/>
      <c r="N188" s="1651"/>
      <c r="O188" s="1651"/>
      <c r="P188" s="1651"/>
    </row>
    <row customHeight="true" ht="18.452380952380953" r="189">
      <c r="A189" s="1670" t="s">
        <v>1592</v>
      </c>
      <c r="B189" s="1644">
        <v>46280</v>
      </c>
      <c r="C189" s="1670" t="str">
        <v>Tuesday</v>
      </c>
      <c r="D189" s="1786" t="s">
        <v>1593</v>
      </c>
      <c r="E189" s="1786">
        <v>0.25</v>
      </c>
      <c r="F189" s="1808" t="s">
        <v>1582</v>
      </c>
      <c r="G189" s="1809" t="s">
        <v>1594</v>
      </c>
      <c r="H189" s="1649"/>
      <c r="I189" s="1675"/>
      <c r="J189" s="1792"/>
      <c r="K189" s="1651"/>
      <c r="L189" s="1651"/>
      <c r="M189" s="1651"/>
      <c r="N189" s="1651"/>
      <c r="O189" s="1651"/>
      <c r="P189" s="1651"/>
    </row>
    <row customHeight="true" ht="18.452380952380953" r="190">
      <c r="A190" s="1670" t="s">
        <v>1592</v>
      </c>
      <c r="B190" s="1644">
        <v>46282</v>
      </c>
      <c r="C190" s="1785" t="str">
        <v>Thursday</v>
      </c>
      <c r="D190" s="1786" t="s">
        <v>1595</v>
      </c>
      <c r="E190" s="1786">
        <v>0.5</v>
      </c>
      <c r="F190" s="1808" t="s">
        <v>1587</v>
      </c>
      <c r="G190" s="1809" t="s">
        <v>1596</v>
      </c>
      <c r="H190" s="1649"/>
      <c r="I190" s="1675"/>
      <c r="J190" s="1792"/>
      <c r="K190" s="1651"/>
      <c r="L190" s="1651"/>
      <c r="M190" s="1651"/>
      <c r="N190" s="1651"/>
      <c r="O190" s="1651"/>
      <c r="P190" s="1651"/>
    </row>
    <row customHeight="true" ht="18.452380952380953" r="191">
      <c r="A191" s="1670" t="s">
        <v>1592</v>
      </c>
      <c r="B191" s="1644">
        <v>46284</v>
      </c>
      <c r="C191" s="1644" t="s">
        <v>1597</v>
      </c>
      <c r="D191" s="1786" t="s">
        <v>1598</v>
      </c>
      <c r="E191" s="1786">
        <v>2</v>
      </c>
      <c r="F191" s="1808" t="s">
        <v>1599</v>
      </c>
      <c r="G191" s="1809" t="s">
        <v>1600</v>
      </c>
      <c r="H191" s="1649" t="s">
        <v>1445</v>
      </c>
      <c r="I191" s="1675" t="s">
        <v>1446</v>
      </c>
      <c r="J191" s="1792"/>
      <c r="K191" s="1651"/>
      <c r="L191" s="1651"/>
      <c r="M191" s="1651"/>
      <c r="N191" s="1651"/>
      <c r="O191" s="1651"/>
      <c r="P191" s="1651"/>
    </row>
    <row customHeight="true" ht="18.452380952380953" r="192">
      <c r="A192" s="1670" t="s">
        <v>1601</v>
      </c>
      <c r="B192" s="1644">
        <v>46280</v>
      </c>
      <c r="C192" s="1670" t="str">
        <v>Tuesday</v>
      </c>
      <c r="D192" s="1786" t="s">
        <v>1581</v>
      </c>
      <c r="E192" s="1786">
        <v>2</v>
      </c>
      <c r="F192" s="1809" t="s">
        <v>1602</v>
      </c>
      <c r="G192" s="1809"/>
      <c r="H192" s="1649"/>
      <c r="I192" s="1675"/>
      <c r="J192" s="1792"/>
      <c r="K192" s="1651"/>
      <c r="L192" s="1651"/>
      <c r="M192" s="1651"/>
      <c r="N192" s="1651"/>
      <c r="O192" s="1651"/>
      <c r="P192" s="1651"/>
    </row>
    <row customHeight="true" ht="18.452380952380953" r="193">
      <c r="A193" s="1670" t="s">
        <v>1601</v>
      </c>
      <c r="B193" s="1644">
        <v>46281</v>
      </c>
      <c r="C193" s="1670" t="str">
        <v>Wednesday</v>
      </c>
      <c r="D193" s="1786" t="s">
        <v>1486</v>
      </c>
      <c r="E193" s="1645">
        <v>2</v>
      </c>
      <c r="F193" s="1809" t="s">
        <v>1603</v>
      </c>
      <c r="G193" s="1809"/>
      <c r="H193" s="1649"/>
      <c r="I193" s="1675"/>
      <c r="J193" s="1792"/>
      <c r="K193" s="1651"/>
      <c r="L193" s="1651"/>
      <c r="M193" s="1651"/>
      <c r="N193" s="1651"/>
      <c r="O193" s="1651"/>
      <c r="P193" s="1651"/>
    </row>
    <row customHeight="true" ht="18.520278912492792" r="194">
      <c r="A194" s="1670" t="s">
        <v>1601</v>
      </c>
      <c r="B194" s="1644">
        <v>46282</v>
      </c>
      <c r="C194" s="1785" t="str">
        <v>Thursday</v>
      </c>
      <c r="D194" s="1645" t="s">
        <v>1581</v>
      </c>
      <c r="E194" s="1786">
        <v>2</v>
      </c>
      <c r="F194" s="1809" t="s">
        <v>1604</v>
      </c>
      <c r="G194" s="1809"/>
      <c r="H194" s="1649"/>
      <c r="I194" s="1675"/>
      <c r="J194" s="1810"/>
      <c r="K194" s="1651"/>
      <c r="L194" s="1651"/>
      <c r="M194" s="1651"/>
      <c r="N194" s="1651"/>
      <c r="O194" s="1651"/>
      <c r="P194" s="1651"/>
      <c r="Q194" s="1700"/>
      <c r="R194" s="1700"/>
    </row>
    <row customHeight="true" ht="18.452380952380953" r="195">
      <c r="A195" s="1670" t="s">
        <v>1601</v>
      </c>
      <c r="B195" s="1644">
        <v>46283</v>
      </c>
      <c r="C195" s="1785" t="str">
        <v>Friday</v>
      </c>
      <c r="D195" s="1786" t="s">
        <v>1605</v>
      </c>
      <c r="E195" s="1786">
        <v>0.5</v>
      </c>
      <c r="F195" s="1649" t="s">
        <v>1576</v>
      </c>
      <c r="G195" s="1809"/>
      <c r="H195" s="1649"/>
      <c r="I195" s="1675"/>
      <c r="J195" s="1792"/>
      <c r="K195" s="1651"/>
      <c r="L195" s="1651"/>
      <c r="M195" s="1651"/>
      <c r="N195" s="1651"/>
      <c r="O195" s="1651"/>
      <c r="P195" s="1651"/>
    </row>
    <row customHeight="true" ht="18.452380952380953" r="196">
      <c r="A196" s="1670"/>
      <c r="B196" s="1670"/>
      <c r="C196" s="1785"/>
      <c r="D196" s="1786"/>
      <c r="E196" s="1645"/>
      <c r="F196" s="1794"/>
      <c r="G196" s="1809"/>
      <c r="H196" s="1649"/>
      <c r="I196" s="1675"/>
      <c r="J196" s="1792"/>
      <c r="K196" s="1651"/>
      <c r="L196" s="1651"/>
      <c r="M196" s="1651"/>
      <c r="N196" s="1651"/>
      <c r="O196" s="1651"/>
      <c r="P196" s="1651"/>
    </row>
    <row customHeight="true" ht="18.452380952380953" r="197">
      <c r="A197" s="1670"/>
      <c r="B197" s="1644"/>
      <c r="C197" s="1670"/>
      <c r="D197" s="1645"/>
      <c r="E197" s="1645"/>
      <c r="F197" s="1794"/>
      <c r="G197" s="1809"/>
      <c r="H197" s="1649"/>
      <c r="I197" s="1675"/>
      <c r="J197" s="1792"/>
      <c r="K197" s="1651"/>
      <c r="L197" s="1651"/>
      <c r="M197" s="1651"/>
      <c r="N197" s="1651"/>
      <c r="O197" s="1651"/>
      <c r="P197" s="1651"/>
    </row>
    <row r="198">
      <c r="A198" s="1823" t="s">
        <v>1606</v>
      </c>
      <c r="B198" s="1823"/>
      <c r="C198" s="1823"/>
      <c r="D198" s="1823"/>
      <c r="E198" s="1824"/>
      <c r="F198" s="1823"/>
      <c r="G198" s="1824"/>
      <c r="H198" s="1823"/>
      <c r="I198" s="1823"/>
      <c r="J198" s="1825"/>
      <c r="K198" s="1683"/>
      <c r="L198" s="1683"/>
      <c r="M198" s="1683"/>
      <c r="N198" s="1683"/>
      <c r="O198" s="1683"/>
      <c r="P198" s="1683"/>
    </row>
    <row r="199">
      <c r="A199" s="1826" t="s">
        <v>1457</v>
      </c>
      <c r="B199" s="1827" t="s">
        <v>1458</v>
      </c>
      <c r="C199" s="1827"/>
      <c r="D199" s="1828" t="s">
        <v>1459</v>
      </c>
      <c r="E199" s="1829" t="s">
        <v>1460</v>
      </c>
      <c r="F199" s="1829" t="s">
        <v>1461</v>
      </c>
      <c r="G199" s="1830" t="s">
        <v>1473</v>
      </c>
      <c r="H199" s="1831" t="s">
        <v>1463</v>
      </c>
      <c r="I199" s="1831" t="s">
        <v>1464</v>
      </c>
      <c r="J199" s="1832" t="s">
        <v>1465</v>
      </c>
      <c r="K199" s="1669"/>
      <c r="L199" s="1669"/>
      <c r="M199" s="1669"/>
      <c r="N199" s="1669"/>
      <c r="O199" s="1669"/>
      <c r="P199" s="1669"/>
    </row>
    <row customHeight="true" ht="18.452380952380953" r="200">
      <c r="A200" s="1670" t="s">
        <v>1607</v>
      </c>
      <c r="B200" s="1805">
        <v>46280</v>
      </c>
      <c r="C200" s="1833" t="str">
        <v>Tuesday</v>
      </c>
      <c r="D200" s="1834" t="s">
        <v>1608</v>
      </c>
      <c r="E200" s="1835">
        <f t="shared" ref="E200:E201" si="79">24*MOD(TIMEVALUE(TRIM(MID(D200,FIND("-",D200)+1,LEN(D200)))) - TIMEVALUE(TRIM(LEFT(D200,FIND("-",D200)-1))),1)</f>
      </c>
      <c r="F200" s="1649" t="s">
        <v>1609</v>
      </c>
      <c r="G200" s="1794" t="s">
        <v>1610</v>
      </c>
      <c r="H200" s="1649" t="s">
        <v>1445</v>
      </c>
      <c r="I200" s="1675" t="s">
        <v>1446</v>
      </c>
      <c r="J200" s="1645" t="s">
        <v>1611</v>
      </c>
      <c r="K200" s="1651"/>
      <c r="L200" s="1651"/>
      <c r="M200" s="1651"/>
      <c r="N200" s="1651"/>
      <c r="O200" s="1651"/>
      <c r="P200" s="1651"/>
    </row>
    <row customHeight="true" ht="18.452380952380953" r="201">
      <c r="A201" s="1670" t="s">
        <v>1607</v>
      </c>
      <c r="B201" s="1805">
        <v>46280</v>
      </c>
      <c r="C201" s="1833" t="str">
        <v>Tuesday</v>
      </c>
      <c r="D201" s="1834" t="s">
        <v>1612</v>
      </c>
      <c r="E201" s="1835">
        <f t="shared" si="79"/>
      </c>
      <c r="F201" s="1649" t="s">
        <v>1609</v>
      </c>
      <c r="G201" s="1794" t="s">
        <v>1610</v>
      </c>
      <c r="H201" s="1649" t="s">
        <v>1445</v>
      </c>
      <c r="I201" s="1675" t="s">
        <v>1446</v>
      </c>
      <c r="J201" s="1645" t="s">
        <v>1611</v>
      </c>
      <c r="K201" s="1651"/>
      <c r="L201" s="1651"/>
      <c r="M201" s="1651"/>
      <c r="N201" s="1651"/>
      <c r="O201" s="1651"/>
      <c r="P201" s="1651"/>
    </row>
    <row customHeight="true" ht="18.452380952380953" r="202">
      <c r="A202" s="1670"/>
      <c r="B202" s="1805"/>
      <c r="C202" s="1833"/>
      <c r="D202" s="1834"/>
      <c r="E202" s="1835"/>
      <c r="F202" s="1649"/>
      <c r="G202" s="1794"/>
      <c r="H202" s="1649"/>
      <c r="I202" s="1675"/>
      <c r="J202" s="1645"/>
      <c r="K202" s="1651"/>
      <c r="L202" s="1651"/>
      <c r="M202" s="1651"/>
      <c r="N202" s="1651"/>
      <c r="O202" s="1651"/>
      <c r="P202" s="1651"/>
    </row>
    <row customHeight="true" ht="18.452380952380953" r="203">
      <c r="A203" s="1670" t="s">
        <v>1607</v>
      </c>
      <c r="B203" s="1805">
        <v>46281</v>
      </c>
      <c r="C203" s="1833" t="str">
        <v>Wednesday</v>
      </c>
      <c r="D203" s="1834" t="s">
        <v>1608</v>
      </c>
      <c r="E203" s="1835">
        <f t="shared" ref="E203:E204" si="80">24*MOD(TIMEVALUE(TRIM(MID(D203,FIND("-",D203)+1,LEN(D203)))) - TIMEVALUE(TRIM(LEFT(D203,FIND("-",D203)-1))),1)</f>
      </c>
      <c r="F203" s="1649" t="s">
        <v>1551</v>
      </c>
      <c r="G203" s="1794" t="s">
        <v>1610</v>
      </c>
      <c r="H203" s="1649" t="s">
        <v>1445</v>
      </c>
      <c r="I203" s="1675" t="s">
        <v>1446</v>
      </c>
      <c r="J203" s="1645" t="s">
        <v>1611</v>
      </c>
      <c r="K203" s="1651"/>
      <c r="L203" s="1651"/>
      <c r="M203" s="1651"/>
      <c r="N203" s="1651"/>
      <c r="O203" s="1651"/>
      <c r="P203" s="1651"/>
    </row>
    <row customHeight="true" ht="18.452380952380953" r="204">
      <c r="A204" s="1670" t="s">
        <v>1607</v>
      </c>
      <c r="B204" s="1805">
        <v>46281</v>
      </c>
      <c r="C204" s="1833" t="str">
        <v>Wednesday</v>
      </c>
      <c r="D204" s="1834" t="s">
        <v>1612</v>
      </c>
      <c r="E204" s="1835">
        <f t="shared" si="80"/>
      </c>
      <c r="F204" s="1649" t="s">
        <v>1551</v>
      </c>
      <c r="G204" s="1794" t="s">
        <v>1610</v>
      </c>
      <c r="H204" s="1649" t="s">
        <v>1445</v>
      </c>
      <c r="I204" s="1675" t="s">
        <v>1446</v>
      </c>
      <c r="J204" s="1645" t="s">
        <v>1611</v>
      </c>
      <c r="K204" s="1651"/>
      <c r="L204" s="1651"/>
      <c r="M204" s="1651"/>
      <c r="N204" s="1651"/>
      <c r="O204" s="1651"/>
      <c r="P204" s="1651"/>
    </row>
    <row customHeight="true" ht="18.452380952380953" r="205">
      <c r="A205" s="1670"/>
      <c r="B205" s="1805"/>
      <c r="C205" s="1670"/>
      <c r="D205" s="1836"/>
      <c r="E205" s="1677"/>
      <c r="F205" s="1674"/>
      <c r="G205" s="1791"/>
      <c r="H205" s="1787"/>
      <c r="I205" s="1738"/>
      <c r="J205" s="1792"/>
      <c r="K205" s="1651"/>
      <c r="L205" s="1651"/>
      <c r="M205" s="1651"/>
      <c r="N205" s="1651"/>
      <c r="O205" s="1651"/>
      <c r="P205" s="1651"/>
    </row>
    <row customHeight="true" ht="18.452380952380953" r="206">
      <c r="A206" s="1670"/>
      <c r="B206" s="1670"/>
      <c r="C206" s="1670"/>
      <c r="D206" s="1649"/>
      <c r="E206" s="1835"/>
      <c r="F206" s="1649"/>
      <c r="G206" s="1791"/>
      <c r="H206" s="1649"/>
      <c r="I206" s="1675"/>
      <c r="J206" s="1675"/>
      <c r="K206" s="1789"/>
      <c r="L206" s="1789"/>
      <c r="M206" s="1789"/>
      <c r="N206" s="1789"/>
      <c r="O206" s="1789"/>
      <c r="P206" s="1789"/>
      <c r="Q206" s="1680"/>
      <c r="R206" s="1680"/>
    </row>
    <row customHeight="true" ht="18.452380952380953" r="207">
      <c r="A207" s="1670" t="s">
        <v>1613</v>
      </c>
      <c r="B207" s="1805">
        <v>46279</v>
      </c>
      <c r="C207" s="1670" t="str">
        <v>Monday</v>
      </c>
      <c r="D207" s="1834" t="s">
        <v>1614</v>
      </c>
      <c r="E207" s="1835">
        <f t="shared" ref="E207:E214" si="81">24*MOD(TIMEVALUE(TRIM(MID(D207,FIND("-",D207)+1,LEN(D207)))) - TIMEVALUE(TRIM(LEFT(D207,FIND("-",D207)-1))),1)</f>
      </c>
      <c r="F207" s="1649" t="s">
        <v>1551</v>
      </c>
      <c r="G207" s="1794" t="s">
        <v>1610</v>
      </c>
      <c r="H207" s="1649" t="s">
        <v>1445</v>
      </c>
      <c r="I207" s="1675" t="s">
        <v>1446</v>
      </c>
      <c r="J207" s="1792"/>
      <c r="K207" s="1651"/>
      <c r="L207" s="1651"/>
      <c r="M207" s="1651"/>
      <c r="N207" s="1651"/>
      <c r="O207" s="1651"/>
      <c r="P207" s="1651"/>
    </row>
    <row customHeight="true" ht="18.452380952380953" r="208">
      <c r="A208" s="1670" t="s">
        <v>1613</v>
      </c>
      <c r="B208" s="1805">
        <v>46279</v>
      </c>
      <c r="C208" s="1670" t="str">
        <v>Monday</v>
      </c>
      <c r="D208" s="1834" t="s">
        <v>1615</v>
      </c>
      <c r="E208" s="1835">
        <f t="shared" si="81"/>
      </c>
      <c r="F208" s="1649" t="s">
        <v>1558</v>
      </c>
      <c r="G208" s="1794" t="s">
        <v>1610</v>
      </c>
      <c r="H208" s="1649" t="s">
        <v>1445</v>
      </c>
      <c r="I208" s="1675" t="s">
        <v>1446</v>
      </c>
      <c r="J208" s="1792"/>
      <c r="K208" s="1651"/>
      <c r="L208" s="1651"/>
      <c r="M208" s="1651"/>
      <c r="N208" s="1651"/>
      <c r="O208" s="1651"/>
      <c r="P208" s="1651"/>
    </row>
    <row customHeight="true" ht="18.452380952380953" r="209">
      <c r="A209" s="1670" t="s">
        <v>1613</v>
      </c>
      <c r="B209" s="1790">
        <v>46280</v>
      </c>
      <c r="C209" s="1785" t="str">
        <v>Tuesday</v>
      </c>
      <c r="D209" s="1834" t="s">
        <v>1616</v>
      </c>
      <c r="E209" s="1835">
        <f t="shared" si="81"/>
      </c>
      <c r="F209" s="1649" t="s">
        <v>1609</v>
      </c>
      <c r="G209" s="1794" t="s">
        <v>1610</v>
      </c>
      <c r="H209" s="1649" t="s">
        <v>1445</v>
      </c>
      <c r="I209" s="1675" t="s">
        <v>1446</v>
      </c>
      <c r="J209" s="1792"/>
      <c r="K209" s="1651"/>
      <c r="L209" s="1651"/>
      <c r="M209" s="1651"/>
      <c r="N209" s="1651"/>
      <c r="O209" s="1651"/>
      <c r="P209" s="1651"/>
    </row>
    <row customHeight="true" ht="18.452380952380953" r="210">
      <c r="A210" s="1670" t="s">
        <v>1613</v>
      </c>
      <c r="B210" s="1790">
        <v>46280</v>
      </c>
      <c r="C210" s="1785" t="str">
        <v>Tuesday</v>
      </c>
      <c r="D210" s="1834" t="s">
        <v>1617</v>
      </c>
      <c r="E210" s="1835">
        <f t="shared" si="81"/>
      </c>
      <c r="F210" s="1649" t="s">
        <v>1618</v>
      </c>
      <c r="G210" s="1794" t="s">
        <v>1610</v>
      </c>
      <c r="H210" s="1649" t="s">
        <v>1445</v>
      </c>
      <c r="I210" s="1675" t="s">
        <v>1446</v>
      </c>
      <c r="J210" s="1792"/>
      <c r="K210" s="1651"/>
      <c r="L210" s="1651"/>
      <c r="M210" s="1651"/>
      <c r="N210" s="1651"/>
      <c r="O210" s="1651"/>
      <c r="P210" s="1651"/>
    </row>
    <row customHeight="true" ht="18.452380952380953" r="211">
      <c r="A211" s="1670" t="s">
        <v>1613</v>
      </c>
      <c r="B211" s="1790">
        <v>46280</v>
      </c>
      <c r="C211" s="1785" t="str">
        <v>Tuesday</v>
      </c>
      <c r="D211" s="1834" t="s">
        <v>1619</v>
      </c>
      <c r="E211" s="1835">
        <f t="shared" si="81"/>
      </c>
      <c r="F211" s="1649" t="s">
        <v>1609</v>
      </c>
      <c r="G211" s="1794" t="s">
        <v>1610</v>
      </c>
      <c r="H211" s="1649" t="s">
        <v>1445</v>
      </c>
      <c r="I211" s="1675" t="s">
        <v>1446</v>
      </c>
      <c r="J211" s="1792"/>
      <c r="K211" s="1651"/>
      <c r="L211" s="1651"/>
      <c r="M211" s="1651"/>
      <c r="N211" s="1651"/>
      <c r="O211" s="1651"/>
      <c r="P211" s="1651"/>
    </row>
    <row customHeight="true" ht="18.452380952380953" r="212">
      <c r="A212" s="1670" t="s">
        <v>1613</v>
      </c>
      <c r="B212" s="1805">
        <v>46281</v>
      </c>
      <c r="C212" s="1833" t="str">
        <v>Wednesday</v>
      </c>
      <c r="D212" s="1834" t="s">
        <v>1619</v>
      </c>
      <c r="E212" s="1835">
        <f t="shared" si="81"/>
      </c>
      <c r="F212" s="1649" t="s">
        <v>1551</v>
      </c>
      <c r="G212" s="1794" t="s">
        <v>1610</v>
      </c>
      <c r="H212" s="1649" t="s">
        <v>1445</v>
      </c>
      <c r="I212" s="1675" t="s">
        <v>1446</v>
      </c>
      <c r="J212" s="1792"/>
      <c r="K212" s="1651"/>
      <c r="L212" s="1651"/>
      <c r="M212" s="1651"/>
      <c r="N212" s="1651"/>
      <c r="O212" s="1651"/>
      <c r="P212" s="1651"/>
    </row>
    <row customHeight="true" ht="18.452380952380953" r="213">
      <c r="A213" s="1670" t="s">
        <v>1613</v>
      </c>
      <c r="B213" s="1805">
        <v>46281</v>
      </c>
      <c r="C213" s="1833" t="str">
        <v>Wednesday</v>
      </c>
      <c r="D213" s="1834" t="s">
        <v>1620</v>
      </c>
      <c r="E213" s="1835">
        <f t="shared" si="81"/>
      </c>
      <c r="F213" s="1649" t="s">
        <v>1551</v>
      </c>
      <c r="G213" s="1794" t="s">
        <v>1610</v>
      </c>
      <c r="H213" s="1649" t="s">
        <v>1445</v>
      </c>
      <c r="I213" s="1675" t="s">
        <v>1446</v>
      </c>
      <c r="J213" s="1792"/>
      <c r="K213" s="1651"/>
      <c r="L213" s="1651"/>
      <c r="M213" s="1651"/>
      <c r="N213" s="1651"/>
      <c r="O213" s="1651"/>
      <c r="P213" s="1651"/>
    </row>
    <row customHeight="true" ht="18.452380952380953" r="214">
      <c r="A214" s="1670" t="s">
        <v>1621</v>
      </c>
      <c r="B214" s="1805">
        <v>46281</v>
      </c>
      <c r="C214" s="1833" t="str">
        <v>Wednesday</v>
      </c>
      <c r="D214" s="1834" t="s">
        <v>1622</v>
      </c>
      <c r="E214" s="1835">
        <f t="shared" si="81"/>
      </c>
      <c r="F214" s="1649" t="s">
        <v>1623</v>
      </c>
      <c r="G214" s="1794" t="s">
        <v>1610</v>
      </c>
      <c r="H214" s="1649" t="s">
        <v>1445</v>
      </c>
      <c r="I214" s="1675" t="s">
        <v>1446</v>
      </c>
      <c r="J214" s="1792"/>
      <c r="K214" s="1651"/>
      <c r="L214" s="1651"/>
      <c r="M214" s="1651"/>
      <c r="N214" s="1651"/>
      <c r="O214" s="1651"/>
      <c r="P214" s="1651"/>
    </row>
    <row customHeight="true" ht="16.071428571428573" r="215">
      <c r="A215" s="1837"/>
      <c r="B215" s="1838"/>
      <c r="C215" s="1838"/>
      <c r="D215" s="1838"/>
      <c r="E215" s="1839"/>
      <c r="F215" s="1838"/>
      <c r="G215" s="1839"/>
      <c r="H215" s="1838"/>
      <c r="I215" s="1838"/>
      <c r="J215" s="1840"/>
      <c r="K215" s="1683"/>
      <c r="L215" s="1683"/>
      <c r="M215" s="1683"/>
      <c r="N215" s="1683"/>
      <c r="O215" s="1683"/>
      <c r="P215" s="1683"/>
      <c r="Q215" s="1700"/>
      <c r="R215" s="1700"/>
    </row>
    <row customHeight="true" ht="16.071428571428573" r="216">
      <c r="A216" s="1841" t="s">
        <v>1624</v>
      </c>
      <c r="B216" s="1842"/>
      <c r="C216" s="1842"/>
      <c r="D216" s="1843"/>
      <c r="E216" s="1842"/>
      <c r="F216" s="1842"/>
      <c r="G216" s="1842"/>
      <c r="H216" s="1843"/>
      <c r="I216" s="1842"/>
      <c r="J216" s="1842"/>
      <c r="K216" s="1770"/>
      <c r="L216" s="1770"/>
      <c r="M216" s="1770"/>
      <c r="N216" s="1770"/>
      <c r="O216" s="1770"/>
      <c r="P216" s="1770"/>
    </row>
    <row customHeight="true" ht="65.32578205231651" r="217">
      <c r="A217" s="1844" t="s">
        <v>1457</v>
      </c>
      <c r="B217" s="1845" t="s">
        <v>1458</v>
      </c>
      <c r="C217" s="1845"/>
      <c r="D217" s="1846" t="s">
        <v>1459</v>
      </c>
      <c r="E217" s="1847" t="s">
        <v>1460</v>
      </c>
      <c r="F217" s="1847" t="s">
        <v>1461</v>
      </c>
      <c r="G217" s="1848" t="s">
        <v>1473</v>
      </c>
      <c r="H217" s="1847" t="s">
        <v>1463</v>
      </c>
      <c r="I217" s="1847" t="s">
        <v>1464</v>
      </c>
      <c r="J217" s="1849" t="s">
        <v>1465</v>
      </c>
      <c r="K217" s="1669"/>
      <c r="L217" s="1669"/>
      <c r="M217" s="1669"/>
      <c r="N217" s="1669"/>
      <c r="O217" s="1669"/>
      <c r="P217" s="1669"/>
    </row>
    <row customHeight="true" ht="16.071428571428573" r="218">
      <c r="A218" s="1785" t="s">
        <v>1625</v>
      </c>
      <c r="B218" s="1805">
        <v>46279</v>
      </c>
      <c r="C218" s="1833" t="str">
        <v>Monday</v>
      </c>
      <c r="D218" s="1834" t="s">
        <v>1626</v>
      </c>
      <c r="E218" s="1835">
        <f>24*MOD(TIMEVALUE(TRIM(MID(D218,FIND("-",D218)+1,LEN(D218)))) - TIMEVALUE(TRIM(LEFT(D218,FIND("-",D218)-1))),1)</f>
      </c>
      <c r="F218" s="1671" t="s">
        <v>1525</v>
      </c>
      <c r="G218" s="1649" t="s">
        <v>1576</v>
      </c>
      <c r="H218" s="1649" t="s">
        <v>1445</v>
      </c>
      <c r="I218" s="1675" t="s">
        <v>1446</v>
      </c>
      <c r="J218" s="1645"/>
      <c r="K218" s="1789"/>
      <c r="L218" s="1789"/>
      <c r="M218" s="1789"/>
      <c r="N218" s="1789"/>
      <c r="O218" s="1789"/>
      <c r="P218" s="1789"/>
      <c r="Q218" s="1789"/>
      <c r="R218" s="1789"/>
    </row>
    <row customHeight="true" ht="16.071428571428573" r="219">
      <c r="A219" s="1785" t="s">
        <v>1625</v>
      </c>
      <c r="B219" s="1805">
        <v>46281</v>
      </c>
      <c r="C219" s="1833" t="str">
        <v>Wednesday</v>
      </c>
      <c r="D219" s="1834" t="s">
        <v>1486</v>
      </c>
      <c r="E219" s="1850">
        <v>2</v>
      </c>
      <c r="F219" s="1671" t="s">
        <v>1627</v>
      </c>
      <c r="G219" s="1649" t="s">
        <v>1576</v>
      </c>
      <c r="H219" s="1649" t="s">
        <v>1445</v>
      </c>
      <c r="I219" s="1675" t="s">
        <v>1446</v>
      </c>
      <c r="J219" s="1645" t="s">
        <v>1628</v>
      </c>
      <c r="K219" s="1651"/>
      <c r="L219" s="1651"/>
      <c r="M219" s="1651"/>
      <c r="N219" s="1651"/>
      <c r="O219" s="1651"/>
      <c r="P219" s="1651"/>
    </row>
    <row customHeight="true" ht="16.071428571428573" r="220">
      <c r="A220" s="1785" t="s">
        <v>1625</v>
      </c>
      <c r="B220" s="1670">
        <v>46284</v>
      </c>
      <c r="C220" s="1833" t="str">
        <v>Saturday</v>
      </c>
      <c r="D220" s="1649" t="s">
        <v>1581</v>
      </c>
      <c r="E220" s="1835">
        <f>24*MOD(TIMEVALUE(TRIM(MID(D220,FIND("-",D220)+1,LEN(D220)))) - TIMEVALUE(TRIM(LEFT(D220,FIND("-",D220)-1))),1)</f>
      </c>
      <c r="F220" s="1671" t="s">
        <v>1531</v>
      </c>
      <c r="G220" s="1649"/>
      <c r="H220" s="1787" t="s">
        <v>1445</v>
      </c>
      <c r="I220" s="1675" t="s">
        <v>1469</v>
      </c>
      <c r="J220" s="1645" t="s">
        <v>1628</v>
      </c>
      <c r="K220" s="1789"/>
      <c r="L220" s="1789"/>
      <c r="M220" s="1789"/>
      <c r="N220" s="1789"/>
      <c r="O220" s="1789"/>
      <c r="P220" s="1789"/>
      <c r="Q220" s="1789"/>
      <c r="R220" s="1789"/>
    </row>
    <row customHeight="true" ht="16.071428571428573" r="221">
      <c r="A221" s="1785"/>
      <c r="B221" s="1805"/>
      <c r="C221" s="1833"/>
      <c r="D221" s="1834"/>
      <c r="E221" s="1835"/>
      <c r="F221" s="1671"/>
      <c r="G221" s="1809"/>
      <c r="H221" s="1787"/>
      <c r="I221" s="1658"/>
      <c r="J221" s="1787"/>
      <c r="K221" s="1651"/>
      <c r="L221" s="1651"/>
      <c r="M221" s="1651"/>
      <c r="N221" s="1651"/>
      <c r="O221" s="1651"/>
      <c r="P221" s="1651"/>
      <c r="Q221" s="1651"/>
      <c r="R221" s="1651"/>
    </row>
    <row customHeight="true" ht="16.071428571428573" r="222">
      <c r="A222" s="1785" t="s">
        <v>1629</v>
      </c>
      <c r="B222" s="1805">
        <v>46279</v>
      </c>
      <c r="C222" s="1833" t="str">
        <v>Monday</v>
      </c>
      <c r="D222" s="1834" t="s">
        <v>1630</v>
      </c>
      <c r="E222" s="1835">
        <f t="shared" ref="E222:E225" si="82">24*MOD(TIMEVALUE(TRIM(MID(D222,FIND("-",D222)+1,LEN(D222)))) - TIMEVALUE(TRIM(LEFT(D222,FIND("-",D222)-1))),1)</f>
      </c>
      <c r="F222" s="1649" t="s">
        <v>1576</v>
      </c>
      <c r="G222" s="1809"/>
      <c r="H222" s="1787" t="s">
        <v>1445</v>
      </c>
      <c r="I222" s="1738" t="s">
        <v>1446</v>
      </c>
      <c r="J222" s="1851"/>
      <c r="K222" s="1651"/>
      <c r="L222" s="1651"/>
      <c r="M222" s="1651"/>
      <c r="N222" s="1651"/>
      <c r="O222" s="1651"/>
      <c r="P222" s="1651"/>
      <c r="Q222" s="1651"/>
      <c r="R222" s="1651"/>
    </row>
    <row customHeight="true" ht="16.071428571428573" r="223">
      <c r="A223" s="1785" t="s">
        <v>1629</v>
      </c>
      <c r="B223" s="1805">
        <v>46281</v>
      </c>
      <c r="C223" s="1833" t="str">
        <v>Wednesday</v>
      </c>
      <c r="D223" s="1834" t="s">
        <v>1631</v>
      </c>
      <c r="E223" s="1835">
        <f t="shared" si="82"/>
      </c>
      <c r="F223" s="1649" t="s">
        <v>1576</v>
      </c>
      <c r="G223" s="1809"/>
      <c r="H223" s="1787" t="s">
        <v>1445</v>
      </c>
      <c r="I223" s="1738" t="s">
        <v>1446</v>
      </c>
      <c r="J223" s="1645"/>
      <c r="K223" s="1651"/>
      <c r="L223" s="1651"/>
      <c r="M223" s="1651"/>
      <c r="N223" s="1651"/>
      <c r="O223" s="1651"/>
      <c r="P223" s="1651"/>
      <c r="Q223" s="1651"/>
      <c r="R223" s="1651"/>
    </row>
    <row customHeight="true" ht="16.071428571428573" r="224">
      <c r="A224" s="1670" t="s">
        <v>1632</v>
      </c>
      <c r="B224" s="1644">
        <v>46283</v>
      </c>
      <c r="C224" s="1833" t="str">
        <v>Friday</v>
      </c>
      <c r="D224" s="1677" t="s">
        <v>1633</v>
      </c>
      <c r="E224" s="1835">
        <f t="shared" si="82"/>
      </c>
      <c r="F224" s="1649" t="s">
        <v>1576</v>
      </c>
      <c r="G224" s="1809"/>
      <c r="H224" s="1787"/>
      <c r="I224" s="1787"/>
      <c r="J224" s="1787"/>
      <c r="K224" s="1651"/>
      <c r="L224" s="1651"/>
      <c r="M224" s="1651"/>
      <c r="N224" s="1651"/>
      <c r="O224" s="1651"/>
      <c r="P224" s="1651"/>
      <c r="Q224" s="1651"/>
      <c r="R224" s="1651"/>
    </row>
    <row customHeight="true" ht="16.071428571428573" r="225">
      <c r="A225" s="1670" t="s">
        <v>1632</v>
      </c>
      <c r="B225" s="1670">
        <v>46284</v>
      </c>
      <c r="C225" s="1833" t="str">
        <v>Saturday</v>
      </c>
      <c r="D225" s="1677" t="s">
        <v>1634</v>
      </c>
      <c r="E225" s="1835">
        <f t="shared" si="82"/>
      </c>
      <c r="F225" s="1671" t="s">
        <v>1531</v>
      </c>
      <c r="G225" s="1649"/>
      <c r="H225" s="1675"/>
      <c r="I225" s="1675"/>
      <c r="J225" s="1645"/>
      <c r="K225" s="1789"/>
      <c r="L225" s="1789"/>
      <c r="M225" s="1789"/>
      <c r="N225" s="1789"/>
      <c r="O225" s="1789"/>
      <c r="P225" s="1789"/>
      <c r="Q225" s="1789"/>
      <c r="R225" s="1789"/>
    </row>
    <row customHeight="true" ht="16.071428571428573" r="226">
      <c r="A226" s="1670" t="s">
        <v>1632</v>
      </c>
      <c r="B226" s="1805">
        <v>46281</v>
      </c>
      <c r="C226" s="1833" t="str">
        <v>Wednesday</v>
      </c>
      <c r="D226" s="1645" t="s">
        <v>1504</v>
      </c>
      <c r="E226" s="1677">
        <v>2</v>
      </c>
      <c r="F226" s="1671" t="s">
        <v>1627</v>
      </c>
      <c r="G226" s="1649" t="s">
        <v>1558</v>
      </c>
      <c r="H226" s="1675" t="s">
        <v>1445</v>
      </c>
      <c r="I226" s="1675" t="s">
        <v>1446</v>
      </c>
      <c r="J226" s="1645" t="s">
        <v>1635</v>
      </c>
      <c r="K226" s="1789"/>
      <c r="L226" s="1789"/>
      <c r="M226" s="1789"/>
      <c r="N226" s="1789"/>
      <c r="O226" s="1789"/>
      <c r="P226" s="1789"/>
      <c r="Q226" s="1789"/>
      <c r="R226" s="1789"/>
    </row>
    <row customHeight="true" ht="16.071428571428573" r="227">
      <c r="A227" s="1670" t="s">
        <v>1632</v>
      </c>
      <c r="B227" s="1805">
        <v>46281</v>
      </c>
      <c r="C227" s="1833" t="str">
        <v>Wednesday</v>
      </c>
      <c r="D227" s="1645" t="s">
        <v>1504</v>
      </c>
      <c r="E227" s="1677">
        <v>2</v>
      </c>
      <c r="F227" s="1649" t="s">
        <v>1558</v>
      </c>
      <c r="G227" s="1809"/>
      <c r="H227" s="1787" t="s">
        <v>1445</v>
      </c>
      <c r="I227" s="1738" t="s">
        <v>1446</v>
      </c>
      <c r="J227" s="1645" t="s">
        <v>1636</v>
      </c>
      <c r="K227" s="1651"/>
      <c r="L227" s="1651"/>
      <c r="M227" s="1651"/>
      <c r="N227" s="1651"/>
      <c r="O227" s="1651"/>
      <c r="P227" s="1651"/>
      <c r="Q227" s="1651"/>
      <c r="R227" s="1651"/>
    </row>
    <row customHeight="true" ht="16.071428571428573" r="228">
      <c r="A228" s="1670" t="s">
        <v>1632</v>
      </c>
      <c r="B228" s="1670">
        <v>46284</v>
      </c>
      <c r="C228" s="1833" t="str">
        <v>Saturday</v>
      </c>
      <c r="D228" s="1677" t="s">
        <v>1637</v>
      </c>
      <c r="E228" s="1835">
        <f>24*MOD(TIMEVALUE(TRIM(MID(D228,FIND("-",D228)+1,LEN(D228)))) - TIMEVALUE(TRIM(LEFT(D228,FIND("-",D228)-1))),1)</f>
      </c>
      <c r="F228" s="1808" t="s">
        <v>1638</v>
      </c>
      <c r="G228" s="1809"/>
      <c r="H228" s="1787"/>
      <c r="I228" s="1738"/>
      <c r="J228" s="1645"/>
      <c r="K228" s="1651"/>
      <c r="L228" s="1651"/>
      <c r="M228" s="1651"/>
      <c r="N228" s="1651"/>
      <c r="O228" s="1651"/>
      <c r="P228" s="1651"/>
      <c r="Q228" s="1651"/>
      <c r="R228" s="1651"/>
    </row>
    <row customHeight="true" ht="16.071428571428573" r="229">
      <c r="A229" s="1670"/>
      <c r="B229" s="1670"/>
      <c r="C229" s="1833"/>
      <c r="D229" s="1677"/>
      <c r="E229" s="1835"/>
      <c r="F229" s="1808"/>
      <c r="G229" s="1809"/>
      <c r="H229" s="1787"/>
      <c r="I229" s="1738"/>
      <c r="J229" s="1645"/>
      <c r="K229" s="1651"/>
      <c r="L229" s="1651"/>
      <c r="M229" s="1651"/>
      <c r="N229" s="1651"/>
      <c r="O229" s="1651"/>
      <c r="P229" s="1651"/>
      <c r="Q229" s="1651"/>
      <c r="R229" s="1651"/>
    </row>
    <row customHeight="true" ht="16.071428571428573" r="230">
      <c r="A230" s="1785"/>
      <c r="B230" s="1790"/>
      <c r="C230" s="1785"/>
      <c r="D230" s="1786"/>
      <c r="E230" s="1786"/>
      <c r="F230" s="1852"/>
      <c r="G230" s="1809"/>
      <c r="H230" s="1787"/>
      <c r="I230" s="1658"/>
      <c r="J230" s="1787"/>
      <c r="K230" s="1651"/>
      <c r="L230" s="1651"/>
      <c r="M230" s="1651"/>
      <c r="N230" s="1651"/>
      <c r="O230" s="1651"/>
      <c r="P230" s="1651"/>
      <c r="Q230" s="1651"/>
      <c r="R230" s="1651"/>
    </row>
    <row customHeight="true" ht="16.071428571428573" r="231">
      <c r="A231" s="1785"/>
      <c r="B231" s="1790"/>
      <c r="C231" s="1785"/>
      <c r="D231" s="1786"/>
      <c r="E231" s="1786"/>
      <c r="F231" s="1787"/>
      <c r="G231" s="1809"/>
      <c r="H231" s="1787"/>
      <c r="I231" s="1658"/>
      <c r="J231" s="1787"/>
      <c r="K231" s="1651"/>
      <c r="L231" s="1651"/>
      <c r="M231" s="1651"/>
      <c r="N231" s="1651"/>
      <c r="O231" s="1651"/>
      <c r="P231" s="1651"/>
      <c r="Q231" s="1651"/>
      <c r="R231" s="1651"/>
    </row>
    <row customHeight="true" ht="16.071428571428573" r="232">
      <c r="A232" s="1853" t="s">
        <v>1639</v>
      </c>
      <c r="B232" s="1854"/>
      <c r="C232" s="1855"/>
      <c r="D232" s="1856"/>
      <c r="E232" s="1857"/>
      <c r="F232" s="1857"/>
      <c r="G232" s="1858"/>
      <c r="H232" s="1857"/>
      <c r="I232" s="1857"/>
      <c r="J232" s="1859"/>
      <c r="K232" s="1860"/>
      <c r="L232" s="1860"/>
      <c r="M232" s="1860"/>
      <c r="N232" s="1860"/>
      <c r="O232" s="1860"/>
      <c r="P232" s="1860"/>
      <c r="Q232" s="1861"/>
      <c r="R232" s="1861"/>
    </row>
    <row customHeight="true" ht="39.285714285714285" r="233">
      <c r="A233" s="1862" t="s">
        <v>1457</v>
      </c>
      <c r="B233" s="1863" t="s">
        <v>1458</v>
      </c>
      <c r="C233" s="1863"/>
      <c r="D233" s="1864" t="s">
        <v>1459</v>
      </c>
      <c r="E233" s="1865" t="s">
        <v>1460</v>
      </c>
      <c r="F233" s="1865" t="s">
        <v>1461</v>
      </c>
      <c r="G233" s="1866" t="s">
        <v>1473</v>
      </c>
      <c r="H233" s="1865" t="s">
        <v>1463</v>
      </c>
      <c r="I233" s="1865" t="s">
        <v>1464</v>
      </c>
      <c r="J233" s="1867" t="s">
        <v>1465</v>
      </c>
      <c r="K233" s="1868"/>
      <c r="L233" s="1868"/>
      <c r="M233" s="1868"/>
      <c r="N233" s="1868"/>
      <c r="O233" s="1868"/>
      <c r="P233" s="1868"/>
      <c r="Q233" s="1861"/>
      <c r="R233" s="1861"/>
    </row>
    <row customHeight="true" ht="16.071428571428573" r="234">
      <c r="A234" s="1785" t="s">
        <v>1639</v>
      </c>
      <c r="B234" s="1805">
        <v>46281</v>
      </c>
      <c r="C234" s="1833" t="str">
        <v>Wednesday</v>
      </c>
      <c r="D234" s="1834" t="s">
        <v>1640</v>
      </c>
      <c r="E234" s="1835">
        <f t="shared" ref="E234:E236" si="83">24*MOD(TIMEVALUE(TRIM(MID(D234,FIND("-",D234)+1,LEN(D234)))) - TIMEVALUE(TRIM(LEFT(D234,FIND("-",D234)-1))),1)</f>
      </c>
      <c r="F234" s="1647" t="s">
        <v>1641</v>
      </c>
      <c r="G234" s="1649" t="s">
        <v>1576</v>
      </c>
      <c r="H234" s="1787" t="s">
        <v>1445</v>
      </c>
      <c r="I234" s="1675" t="s">
        <v>1446</v>
      </c>
      <c r="J234" s="1786" t="s">
        <v>1628</v>
      </c>
      <c r="K234" s="1651"/>
      <c r="L234" s="1651"/>
      <c r="M234" s="1651"/>
      <c r="N234" s="1651"/>
      <c r="O234" s="1651"/>
      <c r="P234" s="1651"/>
      <c r="Q234" s="1651"/>
      <c r="R234" s="1651"/>
    </row>
    <row customHeight="true" ht="16.071428571428573" r="235">
      <c r="A235" s="1785" t="s">
        <v>1639</v>
      </c>
      <c r="B235" s="1805">
        <v>46282</v>
      </c>
      <c r="C235" s="1833" t="str">
        <v>Thursday</v>
      </c>
      <c r="D235" s="1834" t="s">
        <v>1640</v>
      </c>
      <c r="E235" s="1835">
        <f t="shared" si="83"/>
      </c>
      <c r="F235" s="1647" t="s">
        <v>1531</v>
      </c>
      <c r="G235" s="1649" t="s">
        <v>1576</v>
      </c>
      <c r="H235" s="1787" t="s">
        <v>1445</v>
      </c>
      <c r="I235" s="1675" t="s">
        <v>1446</v>
      </c>
      <c r="J235" s="1786" t="s">
        <v>1628</v>
      </c>
      <c r="K235" s="1651"/>
      <c r="L235" s="1651"/>
      <c r="M235" s="1651"/>
      <c r="N235" s="1651"/>
      <c r="O235" s="1651"/>
      <c r="P235" s="1651"/>
      <c r="Q235" s="1651"/>
      <c r="R235" s="1651"/>
    </row>
    <row customHeight="true" ht="16.071428571428573" r="236">
      <c r="A236" s="1785" t="s">
        <v>1639</v>
      </c>
      <c r="B236" s="1805">
        <v>46283</v>
      </c>
      <c r="C236" s="1833" t="str">
        <v>Friday</v>
      </c>
      <c r="D236" s="1834" t="s">
        <v>1640</v>
      </c>
      <c r="E236" s="1835">
        <f t="shared" si="83"/>
      </c>
      <c r="F236" s="1647" t="s">
        <v>1641</v>
      </c>
      <c r="G236" s="1649" t="s">
        <v>1576</v>
      </c>
      <c r="H236" s="1787" t="s">
        <v>1445</v>
      </c>
      <c r="I236" s="1675" t="s">
        <v>1446</v>
      </c>
      <c r="J236" s="1786" t="s">
        <v>1628</v>
      </c>
      <c r="K236" s="1651"/>
      <c r="L236" s="1651"/>
      <c r="M236" s="1651"/>
      <c r="N236" s="1651"/>
      <c r="O236" s="1651"/>
      <c r="P236" s="1651"/>
      <c r="Q236" s="1651"/>
      <c r="R236" s="1651"/>
    </row>
    <row customHeight="true" ht="16.071428571428573" r="237">
      <c r="A237" s="1785"/>
      <c r="B237" s="1644"/>
      <c r="C237" s="1670"/>
      <c r="D237" s="1677"/>
      <c r="E237" s="1649"/>
      <c r="F237" s="1647"/>
      <c r="G237" s="1809"/>
      <c r="H237" s="1787"/>
      <c r="I237" s="1738"/>
      <c r="J237" s="1786"/>
      <c r="K237" s="1651"/>
      <c r="L237" s="1651"/>
      <c r="M237" s="1651"/>
      <c r="N237" s="1651"/>
      <c r="O237" s="1651"/>
      <c r="P237" s="1651"/>
      <c r="Q237" s="1651"/>
      <c r="R237" s="1651"/>
    </row>
    <row customHeight="true" ht="16.071428571428573" r="238">
      <c r="A238" s="1785"/>
      <c r="B238" s="1644"/>
      <c r="C238" s="1670"/>
      <c r="D238" s="1677"/>
      <c r="E238" s="1649"/>
      <c r="F238" s="1647"/>
      <c r="G238" s="1649"/>
      <c r="H238" s="1787"/>
      <c r="I238" s="1675"/>
      <c r="J238" s="1787"/>
      <c r="K238" s="1651"/>
      <c r="L238" s="1651"/>
      <c r="M238" s="1651"/>
      <c r="N238" s="1651"/>
      <c r="O238" s="1651"/>
      <c r="P238" s="1651"/>
      <c r="Q238" s="1651"/>
      <c r="R238" s="1651"/>
    </row>
    <row customHeight="true" ht="16.071428571428573" r="239">
      <c r="A239" s="1785"/>
      <c r="B239" s="1644"/>
      <c r="C239" s="1670"/>
      <c r="D239" s="1645"/>
      <c r="E239" s="1677"/>
      <c r="F239" s="1647"/>
      <c r="G239" s="1809"/>
      <c r="H239" s="1787"/>
      <c r="I239" s="1738"/>
      <c r="J239" s="1787"/>
      <c r="K239" s="1651"/>
      <c r="L239" s="1651"/>
      <c r="M239" s="1651"/>
      <c r="N239" s="1651"/>
      <c r="O239" s="1651"/>
      <c r="P239" s="1651"/>
      <c r="Q239" s="1651"/>
      <c r="R239" s="1651"/>
    </row>
    <row customHeight="true" ht="16.071428571428573" r="240">
      <c r="A240" s="1785" t="s">
        <v>1642</v>
      </c>
      <c r="B240" s="1805">
        <v>46281</v>
      </c>
      <c r="C240" s="1833" t="str">
        <v>Wednesday</v>
      </c>
      <c r="D240" s="1834" t="s">
        <v>1643</v>
      </c>
      <c r="E240" s="1835">
        <f t="shared" ref="E240:E243" si="84">24*MOD(TIMEVALUE(TRIM(MID(D240,FIND("-",D240)+1,LEN(D240)))) - TIMEVALUE(TRIM(LEFT(D240,FIND("-",D240)-1))),1)</f>
      </c>
      <c r="F240" s="1647" t="s">
        <v>1641</v>
      </c>
      <c r="G240" s="1649"/>
      <c r="H240" s="1787" t="s">
        <v>1445</v>
      </c>
      <c r="I240" s="1675" t="s">
        <v>1446</v>
      </c>
      <c r="J240" s="1786" t="s">
        <v>1628</v>
      </c>
      <c r="K240" s="1651"/>
      <c r="L240" s="1651"/>
      <c r="M240" s="1651"/>
      <c r="N240" s="1651"/>
      <c r="O240" s="1651"/>
      <c r="P240" s="1651"/>
      <c r="Q240" s="1651"/>
      <c r="R240" s="1651"/>
    </row>
    <row customHeight="true" ht="16.071428571428573" r="241">
      <c r="A241" s="1785" t="s">
        <v>1644</v>
      </c>
      <c r="B241" s="1805">
        <v>46281</v>
      </c>
      <c r="C241" s="1833" t="str">
        <v>Wednesday</v>
      </c>
      <c r="D241" s="1834" t="s">
        <v>1645</v>
      </c>
      <c r="E241" s="1835">
        <f t="shared" si="84"/>
      </c>
      <c r="F241" s="1649" t="s">
        <v>1576</v>
      </c>
      <c r="G241" s="1809" t="s">
        <v>1610</v>
      </c>
      <c r="H241" s="1787" t="s">
        <v>1445</v>
      </c>
      <c r="I241" s="1675" t="s">
        <v>1446</v>
      </c>
      <c r="J241" s="1786" t="s">
        <v>1628</v>
      </c>
      <c r="K241" s="1651"/>
      <c r="L241" s="1651"/>
      <c r="M241" s="1651"/>
      <c r="N241" s="1651"/>
      <c r="O241" s="1651"/>
      <c r="P241" s="1651"/>
      <c r="Q241" s="1700"/>
      <c r="R241" s="1700"/>
    </row>
    <row customHeight="true" ht="16.071428571428573" r="242">
      <c r="A242" s="1785" t="s">
        <v>1644</v>
      </c>
      <c r="B242" s="1805">
        <v>46282</v>
      </c>
      <c r="C242" s="1833" t="str">
        <v>Thursday</v>
      </c>
      <c r="D242" s="1834" t="s">
        <v>1646</v>
      </c>
      <c r="E242" s="1835">
        <f t="shared" si="84"/>
      </c>
      <c r="F242" s="1649" t="s">
        <v>1576</v>
      </c>
      <c r="G242" s="1809"/>
      <c r="H242" s="1787" t="s">
        <v>1445</v>
      </c>
      <c r="I242" s="1675" t="s">
        <v>1446</v>
      </c>
      <c r="J242" s="1786" t="s">
        <v>1628</v>
      </c>
      <c r="K242" s="1651"/>
      <c r="L242" s="1651"/>
      <c r="M242" s="1651"/>
      <c r="N242" s="1651"/>
      <c r="O242" s="1651"/>
      <c r="P242" s="1651"/>
      <c r="Q242" s="1651"/>
      <c r="R242" s="1651"/>
    </row>
    <row customHeight="true" ht="16.071428571428573" r="243">
      <c r="A243" s="1785" t="s">
        <v>1644</v>
      </c>
      <c r="B243" s="1805">
        <v>46283</v>
      </c>
      <c r="C243" s="1833" t="str">
        <v>Friday</v>
      </c>
      <c r="D243" s="1834" t="s">
        <v>1646</v>
      </c>
      <c r="E243" s="1835">
        <f t="shared" si="84"/>
      </c>
      <c r="F243" s="1649" t="s">
        <v>1576</v>
      </c>
      <c r="G243" s="1809"/>
      <c r="H243" s="1787" t="s">
        <v>1445</v>
      </c>
      <c r="I243" s="1675" t="s">
        <v>1446</v>
      </c>
      <c r="J243" s="1786" t="s">
        <v>1628</v>
      </c>
      <c r="K243" s="1651"/>
      <c r="L243" s="1651"/>
      <c r="M243" s="1651"/>
      <c r="N243" s="1651"/>
      <c r="O243" s="1651"/>
      <c r="P243" s="1651"/>
      <c r="Q243" s="1651"/>
      <c r="R243" s="1651"/>
    </row>
    <row customHeight="true" ht="16.071428571428573" r="244">
      <c r="A244" s="1785"/>
      <c r="B244" s="1644"/>
      <c r="C244" s="1670"/>
      <c r="D244" s="1677"/>
      <c r="E244" s="1649"/>
      <c r="F244" s="1649"/>
      <c r="G244" s="1809"/>
      <c r="H244" s="1787"/>
      <c r="I244" s="1738"/>
      <c r="J244" s="1851"/>
      <c r="K244" s="1651"/>
      <c r="L244" s="1651"/>
      <c r="M244" s="1651"/>
      <c r="N244" s="1651"/>
      <c r="O244" s="1651"/>
      <c r="P244" s="1651"/>
      <c r="Q244" s="1700"/>
      <c r="R244" s="1700"/>
    </row>
    <row customHeight="true" ht="16.071428571428573" r="245">
      <c r="A245" s="1785"/>
      <c r="B245" s="1644"/>
      <c r="C245" s="1670"/>
      <c r="D245" s="1677"/>
      <c r="E245" s="1649"/>
      <c r="F245" s="1649"/>
      <c r="G245" s="1809"/>
      <c r="H245" s="1787"/>
      <c r="I245" s="1738"/>
      <c r="J245" s="1792"/>
      <c r="K245" s="1651"/>
      <c r="L245" s="1651"/>
      <c r="M245" s="1651"/>
      <c r="N245" s="1651"/>
      <c r="O245" s="1651"/>
      <c r="P245" s="1651"/>
    </row>
    <row customHeight="true" ht="16.071428571428573" r="246">
      <c r="A246" s="1785"/>
      <c r="B246" s="1644"/>
      <c r="C246" s="1670"/>
      <c r="D246" s="1645"/>
      <c r="E246" s="1677"/>
      <c r="F246" s="1649"/>
      <c r="G246" s="1809"/>
      <c r="H246" s="1787"/>
      <c r="I246" s="1738"/>
      <c r="J246" s="1869"/>
      <c r="K246" s="1651"/>
      <c r="L246" s="1651"/>
      <c r="M246" s="1651"/>
      <c r="N246" s="1651"/>
      <c r="O246" s="1651"/>
      <c r="P246" s="1651"/>
      <c r="Q246" s="1700"/>
      <c r="R246" s="1700"/>
    </row>
    <row customHeight="true" ht="16.071428571428573" r="247">
      <c r="A247" s="1670"/>
      <c r="B247" s="1670"/>
      <c r="C247" s="1670"/>
      <c r="D247" s="1649"/>
      <c r="E247" s="1649"/>
      <c r="F247" s="1649"/>
      <c r="G247" s="1791"/>
      <c r="H247" s="1649"/>
      <c r="I247" s="1675"/>
      <c r="J247" s="1792"/>
      <c r="K247" s="1651"/>
      <c r="L247" s="1651"/>
      <c r="M247" s="1651"/>
      <c r="N247" s="1651"/>
      <c r="O247" s="1651"/>
      <c r="P247" s="1651"/>
    </row>
    <row customHeight="true" ht="16.071428571428573" r="248">
      <c r="A248" s="1870" t="s">
        <v>1647</v>
      </c>
      <c r="B248" s="1693"/>
      <c r="C248" s="1692"/>
      <c r="D248" s="1694"/>
      <c r="E248" s="1695"/>
      <c r="F248" s="1695"/>
      <c r="G248" s="1696"/>
      <c r="H248" s="1695"/>
      <c r="I248" s="1695"/>
      <c r="J248" s="1698"/>
      <c r="K248" s="1871"/>
      <c r="L248" s="1871"/>
      <c r="M248" s="1871"/>
      <c r="N248" s="1871"/>
      <c r="O248" s="1871"/>
      <c r="P248" s="1871"/>
      <c r="Q248" s="1872"/>
      <c r="R248" s="1872"/>
    </row>
    <row customHeight="true" ht="40.10123434465338" r="249">
      <c r="A249" s="1873" t="s">
        <v>1457</v>
      </c>
      <c r="B249" s="1874" t="s">
        <v>1458</v>
      </c>
      <c r="C249" s="1874"/>
      <c r="D249" s="1875" t="s">
        <v>1459</v>
      </c>
      <c r="E249" s="1876" t="s">
        <v>1460</v>
      </c>
      <c r="F249" s="1876" t="s">
        <v>1461</v>
      </c>
      <c r="G249" s="1877" t="s">
        <v>1473</v>
      </c>
      <c r="H249" s="1876" t="s">
        <v>1463</v>
      </c>
      <c r="I249" s="1876" t="s">
        <v>1464</v>
      </c>
      <c r="J249" s="1878" t="s">
        <v>1465</v>
      </c>
      <c r="K249" s="1879"/>
      <c r="L249" s="1879"/>
      <c r="M249" s="1879"/>
      <c r="N249" s="1879"/>
      <c r="O249" s="1879"/>
      <c r="P249" s="1879"/>
      <c r="Q249" s="1872"/>
      <c r="R249" s="1872"/>
    </row>
    <row customHeight="true" ht="16.071428571428573" r="250">
      <c r="A250" s="1670" t="s">
        <v>1648</v>
      </c>
      <c r="B250" s="1644">
        <v>46283</v>
      </c>
      <c r="C250" s="1785" t="str">
        <v>Friday</v>
      </c>
      <c r="D250" s="1645" t="s">
        <v>1649</v>
      </c>
      <c r="E250" s="1677">
        <v>1</v>
      </c>
      <c r="F250" s="1649" t="s">
        <v>1609</v>
      </c>
      <c r="G250" s="1649"/>
      <c r="H250" s="1649"/>
      <c r="I250" s="1649"/>
      <c r="J250" s="1788"/>
      <c r="K250" s="1651"/>
      <c r="L250" s="1651"/>
      <c r="M250" s="1651"/>
      <c r="N250" s="1651"/>
      <c r="O250" s="1651"/>
      <c r="P250" s="1651"/>
    </row>
    <row customHeight="true" ht="16.071428571428573" r="251">
      <c r="A251" s="1670"/>
      <c r="B251" s="1644"/>
      <c r="C251" s="1670"/>
      <c r="D251" s="1645"/>
      <c r="E251" s="1649"/>
      <c r="F251" s="1808"/>
      <c r="G251" s="1649"/>
      <c r="H251" s="1649"/>
      <c r="I251" s="1649"/>
      <c r="J251" s="1788"/>
      <c r="K251" s="1651"/>
      <c r="L251" s="1651"/>
      <c r="M251" s="1651"/>
      <c r="N251" s="1651"/>
      <c r="O251" s="1651"/>
      <c r="P251" s="1651"/>
    </row>
    <row customHeight="true" ht="16.071428571428573" r="252">
      <c r="A252" s="1670" t="s">
        <v>1648</v>
      </c>
      <c r="B252" s="1644">
        <v>46285</v>
      </c>
      <c r="C252" s="1785" t="str">
        <v>Sunday</v>
      </c>
      <c r="D252" s="1645" t="s">
        <v>1650</v>
      </c>
      <c r="E252" s="1677">
        <v>2</v>
      </c>
      <c r="F252" s="1808" t="s">
        <v>1618</v>
      </c>
      <c r="G252" s="1649"/>
      <c r="H252" s="1649"/>
      <c r="I252" s="1649"/>
      <c r="J252" s="1788" t="s">
        <v>1651</v>
      </c>
      <c r="K252" s="1651"/>
      <c r="L252" s="1651"/>
      <c r="M252" s="1651"/>
      <c r="N252" s="1651"/>
      <c r="O252" s="1651"/>
      <c r="P252" s="1651"/>
    </row>
    <row customHeight="true" ht="16.071428571428573" r="253">
      <c r="A253" s="1670"/>
      <c r="B253" s="1644"/>
      <c r="C253" s="1670"/>
      <c r="D253" s="1645"/>
      <c r="E253" s="1649"/>
      <c r="F253" s="1649"/>
      <c r="G253" s="1791"/>
      <c r="H253" s="1649"/>
      <c r="I253" s="1649"/>
      <c r="J253" s="1788"/>
      <c r="K253" s="1651"/>
      <c r="L253" s="1651"/>
      <c r="M253" s="1651"/>
      <c r="N253" s="1651"/>
      <c r="O253" s="1651"/>
      <c r="P253" s="1651"/>
    </row>
    <row customHeight="true" ht="16.071428571428573" r="254">
      <c r="A254" s="1670"/>
      <c r="B254" s="1644"/>
      <c r="C254" s="1670"/>
      <c r="D254" s="1645"/>
      <c r="E254" s="1649"/>
      <c r="F254" s="1649"/>
      <c r="G254" s="1791"/>
      <c r="H254" s="1649"/>
      <c r="I254" s="1649"/>
      <c r="J254" s="1788"/>
      <c r="K254" s="1651"/>
      <c r="L254" s="1651"/>
      <c r="M254" s="1651"/>
      <c r="N254" s="1651"/>
      <c r="O254" s="1651"/>
      <c r="P254" s="1651"/>
    </row>
    <row customHeight="true" ht="16.071428571428573" r="255">
      <c r="A255" s="1670"/>
      <c r="B255" s="1644"/>
      <c r="C255" s="1670"/>
      <c r="D255" s="1645"/>
      <c r="E255" s="1649"/>
      <c r="F255" s="1649"/>
      <c r="G255" s="1791"/>
      <c r="H255" s="1649"/>
      <c r="I255" s="1649"/>
      <c r="J255" s="1788"/>
      <c r="K255" s="1651"/>
      <c r="L255" s="1651"/>
      <c r="M255" s="1651"/>
      <c r="N255" s="1651"/>
      <c r="O255" s="1651"/>
      <c r="P255" s="1651"/>
    </row>
    <row customHeight="true" ht="16.071428571428573" r="256">
      <c r="A256" s="1670"/>
      <c r="B256" s="1644"/>
      <c r="C256" s="1670"/>
      <c r="D256" s="1645"/>
      <c r="E256" s="1649"/>
      <c r="F256" s="1649"/>
      <c r="G256" s="1791"/>
      <c r="H256" s="1649"/>
      <c r="I256" s="1649"/>
      <c r="J256" s="1788"/>
      <c r="K256" s="1651"/>
      <c r="L256" s="1651"/>
      <c r="M256" s="1651"/>
      <c r="N256" s="1651"/>
      <c r="O256" s="1651"/>
      <c r="P256" s="1651"/>
    </row>
    <row customHeight="true" ht="16.071428571428573" r="257">
      <c r="A257" s="1670"/>
      <c r="B257" s="1644"/>
      <c r="C257" s="1670"/>
      <c r="D257" s="1645"/>
      <c r="E257" s="1649"/>
      <c r="F257" s="1649"/>
      <c r="G257" s="1791"/>
      <c r="H257" s="1649"/>
      <c r="I257" s="1649"/>
      <c r="J257" s="1788"/>
      <c r="K257" s="1651"/>
      <c r="L257" s="1651"/>
      <c r="M257" s="1651"/>
      <c r="N257" s="1651"/>
      <c r="O257" s="1651"/>
      <c r="P257" s="1651"/>
    </row>
    <row customHeight="true" ht="16.071428571428573" r="258">
      <c r="A258" s="1670"/>
      <c r="B258" s="1644"/>
      <c r="C258" s="1670"/>
      <c r="D258" s="1645"/>
      <c r="E258" s="1649"/>
      <c r="F258" s="1649"/>
      <c r="G258" s="1791"/>
      <c r="H258" s="1649"/>
      <c r="I258" s="1649"/>
      <c r="J258" s="1788"/>
      <c r="K258" s="1651"/>
      <c r="L258" s="1651"/>
      <c r="M258" s="1651"/>
      <c r="N258" s="1651"/>
      <c r="O258" s="1651"/>
      <c r="P258" s="1651"/>
    </row>
    <row customHeight="true" ht="16.071428571428573" r="259">
      <c r="A259" s="1670"/>
      <c r="B259" s="1670"/>
      <c r="C259" s="1670"/>
      <c r="D259" s="1649"/>
      <c r="E259" s="1649"/>
      <c r="F259" s="1649"/>
      <c r="G259" s="1791"/>
      <c r="H259" s="1649"/>
      <c r="I259" s="1675"/>
      <c r="J259" s="1792"/>
      <c r="K259" s="1651"/>
      <c r="L259" s="1651"/>
      <c r="M259" s="1651"/>
      <c r="N259" s="1651"/>
      <c r="O259" s="1651"/>
      <c r="P259" s="1651"/>
    </row>
    <row customHeight="true" ht="16.071428571428573" r="260">
      <c r="A260" s="1670"/>
      <c r="B260" s="1670"/>
      <c r="C260" s="1670"/>
      <c r="D260" s="1649"/>
      <c r="E260" s="1649"/>
      <c r="F260" s="1649"/>
      <c r="G260" s="1791"/>
      <c r="H260" s="1649"/>
      <c r="I260" s="1675"/>
      <c r="J260" s="1792"/>
      <c r="K260" s="1651"/>
      <c r="L260" s="1651"/>
      <c r="M260" s="1651"/>
      <c r="N260" s="1651"/>
      <c r="O260" s="1651"/>
      <c r="P260" s="1651"/>
    </row>
    <row customHeight="true" ht="41.666305271490145" r="261">
      <c r="A261" s="1880" t="s">
        <v>1652</v>
      </c>
      <c r="B261" s="1881"/>
      <c r="C261" s="1881"/>
      <c r="D261" s="1881"/>
      <c r="E261" s="1882"/>
      <c r="F261" s="1881"/>
      <c r="G261" s="1882"/>
      <c r="H261" s="1881"/>
      <c r="I261" s="1881"/>
      <c r="J261" s="1883"/>
      <c r="K261" s="1884"/>
      <c r="L261" s="1884"/>
      <c r="M261" s="1884"/>
      <c r="N261" s="1884"/>
      <c r="O261" s="1884"/>
      <c r="P261" s="1884"/>
      <c r="Q261" s="1885"/>
      <c r="R261" s="1885"/>
    </row>
    <row customHeight="true" ht="30.357142857142858" r="262">
      <c r="A262" s="1886" t="s">
        <v>1457</v>
      </c>
      <c r="B262" s="1887" t="s">
        <v>1458</v>
      </c>
      <c r="C262" s="1887"/>
      <c r="D262" s="1888" t="s">
        <v>1459</v>
      </c>
      <c r="E262" s="1889" t="s">
        <v>1460</v>
      </c>
      <c r="F262" s="1889" t="s">
        <v>1461</v>
      </c>
      <c r="G262" s="1890" t="s">
        <v>1473</v>
      </c>
      <c r="H262" s="1891" t="s">
        <v>1463</v>
      </c>
      <c r="I262" s="1891" t="s">
        <v>1464</v>
      </c>
      <c r="J262" s="1892" t="s">
        <v>1465</v>
      </c>
      <c r="K262" s="1893"/>
      <c r="L262" s="1893"/>
      <c r="M262" s="1893"/>
      <c r="N262" s="1893"/>
      <c r="O262" s="1893"/>
      <c r="P262" s="1893"/>
      <c r="Q262" s="1885"/>
      <c r="R262" s="1885"/>
    </row>
    <row customHeight="true" ht="16.071428571428573" r="263">
      <c r="A263" s="1670"/>
      <c r="B263" s="1644"/>
      <c r="C263" s="1670"/>
      <c r="D263" s="1645"/>
      <c r="E263" s="1649"/>
      <c r="F263" s="1647"/>
      <c r="G263" s="1794"/>
      <c r="H263" s="1787"/>
      <c r="I263" s="1787"/>
      <c r="J263" s="1792"/>
      <c r="K263" s="1651"/>
      <c r="L263" s="1651"/>
      <c r="M263" s="1651"/>
      <c r="N263" s="1651"/>
      <c r="O263" s="1651"/>
      <c r="P263" s="1651"/>
    </row>
    <row customHeight="true" ht="16.071428571428573" r="264">
      <c r="A264" s="1670" t="s">
        <v>1653</v>
      </c>
      <c r="B264" s="1805">
        <v>46280</v>
      </c>
      <c r="C264" s="1833" t="str">
        <v>Tuesday</v>
      </c>
      <c r="D264" s="1834" t="s">
        <v>1654</v>
      </c>
      <c r="E264" s="1835">
        <f t="shared" ref="E264:E266" si="85">24*MOD(TIMEVALUE(TRIM(MID(D264,FIND("-",D264)+1,LEN(D264)))) - TIMEVALUE(TRIM(LEFT(D264,FIND("-",D264)-1))),1)</f>
      </c>
      <c r="F264" s="1808" t="s">
        <v>1655</v>
      </c>
      <c r="G264" s="1649"/>
      <c r="H264" s="1675" t="s">
        <v>1445</v>
      </c>
      <c r="I264" s="1675" t="s">
        <v>1446</v>
      </c>
      <c r="J264" s="1788"/>
      <c r="K264" s="1651"/>
      <c r="L264" s="1651"/>
      <c r="M264" s="1651"/>
      <c r="N264" s="1651"/>
      <c r="O264" s="1651"/>
      <c r="P264" s="1651"/>
    </row>
    <row customHeight="true" ht="16.071428571428573" r="265">
      <c r="A265" s="1670" t="s">
        <v>1653</v>
      </c>
      <c r="B265" s="1805">
        <v>46281</v>
      </c>
      <c r="C265" s="1833" t="str">
        <v>Wednesday</v>
      </c>
      <c r="D265" s="1834" t="s">
        <v>1656</v>
      </c>
      <c r="E265" s="1835">
        <f t="shared" si="85"/>
      </c>
      <c r="F265" s="1808" t="s">
        <v>1655</v>
      </c>
      <c r="G265" s="1649"/>
      <c r="H265" s="1675" t="s">
        <v>1445</v>
      </c>
      <c r="I265" s="1675" t="s">
        <v>1446</v>
      </c>
      <c r="J265" s="1788"/>
      <c r="K265" s="1651"/>
      <c r="L265" s="1651"/>
      <c r="M265" s="1651"/>
      <c r="N265" s="1651"/>
      <c r="O265" s="1651"/>
      <c r="P265" s="1651"/>
    </row>
    <row customHeight="true" ht="16.071428571428573" r="266">
      <c r="A266" s="1670" t="s">
        <v>1653</v>
      </c>
      <c r="B266" s="1805">
        <v>46280</v>
      </c>
      <c r="C266" s="1833" t="str">
        <v>Tuesday</v>
      </c>
      <c r="D266" s="1834" t="s">
        <v>1657</v>
      </c>
      <c r="E266" s="1835">
        <f t="shared" si="85"/>
      </c>
      <c r="F266" s="1649" t="s">
        <v>1576</v>
      </c>
      <c r="G266" s="1649"/>
      <c r="H266" s="1675" t="s">
        <v>1445</v>
      </c>
      <c r="I266" s="1675" t="s">
        <v>1446</v>
      </c>
      <c r="J266" s="1788"/>
      <c r="K266" s="1651"/>
      <c r="L266" s="1651"/>
      <c r="M266" s="1651"/>
      <c r="N266" s="1651"/>
      <c r="O266" s="1651"/>
      <c r="P266" s="1651"/>
    </row>
    <row customHeight="true" ht="16.071428571428573" r="267">
      <c r="A267" s="1670"/>
      <c r="B267" s="1644"/>
      <c r="C267" s="1670"/>
      <c r="D267" s="1645"/>
      <c r="E267" s="1677"/>
      <c r="F267" s="1649"/>
      <c r="G267" s="1649"/>
      <c r="H267" s="1649"/>
      <c r="I267" s="1675"/>
      <c r="J267" s="1788"/>
      <c r="K267" s="1651"/>
      <c r="L267" s="1651"/>
      <c r="M267" s="1651"/>
      <c r="N267" s="1651"/>
      <c r="O267" s="1651"/>
      <c r="P267" s="1651"/>
    </row>
    <row customHeight="true" ht="16.071428571428573" r="268">
      <c r="A268" s="1670"/>
      <c r="B268" s="1644"/>
      <c r="C268" s="1670"/>
      <c r="D268" s="1645"/>
      <c r="E268" s="1677"/>
      <c r="F268" s="1649"/>
      <c r="G268" s="1649"/>
      <c r="H268" s="1649"/>
      <c r="I268" s="1675"/>
      <c r="J268" s="1788"/>
      <c r="K268" s="1651"/>
      <c r="L268" s="1651"/>
      <c r="M268" s="1651"/>
      <c r="N268" s="1651"/>
      <c r="O268" s="1651"/>
      <c r="P268" s="1651"/>
    </row>
    <row customHeight="true" ht="16.071428571428573" r="269">
      <c r="A269" s="1670"/>
      <c r="B269" s="1644"/>
      <c r="C269" s="1670"/>
      <c r="D269" s="1645"/>
      <c r="E269" s="1677"/>
      <c r="F269" s="1649"/>
      <c r="G269" s="1649"/>
      <c r="H269" s="1649"/>
      <c r="I269" s="1675"/>
      <c r="J269" s="1792"/>
      <c r="K269" s="1651"/>
      <c r="L269" s="1651"/>
      <c r="M269" s="1651"/>
      <c r="N269" s="1651"/>
      <c r="O269" s="1651"/>
      <c r="P269" s="1651"/>
    </row>
    <row customHeight="true" ht="16.071428571428573" r="270">
      <c r="A270" s="1670"/>
      <c r="B270" s="1644"/>
      <c r="C270" s="1670"/>
      <c r="D270" s="1645"/>
      <c r="E270" s="1677"/>
      <c r="F270" s="1649"/>
      <c r="G270" s="1649"/>
      <c r="H270" s="1649"/>
      <c r="I270" s="1675"/>
      <c r="J270" s="1788"/>
      <c r="K270" s="1651"/>
      <c r="L270" s="1651"/>
      <c r="M270" s="1651"/>
      <c r="N270" s="1651"/>
      <c r="O270" s="1651"/>
      <c r="P270" s="1651"/>
    </row>
    <row customHeight="true" ht="16.071428571428573" r="271">
      <c r="A271" s="1670"/>
      <c r="B271" s="1644"/>
      <c r="C271" s="1670"/>
      <c r="D271" s="1677"/>
      <c r="E271" s="1677"/>
      <c r="F271" s="1675"/>
      <c r="G271" s="1794"/>
      <c r="H271" s="1649"/>
      <c r="I271" s="1675"/>
      <c r="J271" s="1792"/>
      <c r="K271" s="1651"/>
      <c r="L271" s="1651"/>
      <c r="M271" s="1651"/>
      <c r="N271" s="1651"/>
      <c r="O271" s="1651"/>
      <c r="P271" s="1651"/>
    </row>
    <row customHeight="true" ht="16.071428571428573" r="272">
      <c r="A272" s="1670"/>
      <c r="B272" s="1670"/>
      <c r="C272" s="1670"/>
      <c r="D272" s="1649"/>
      <c r="E272" s="1649"/>
      <c r="F272" s="1649"/>
      <c r="G272" s="1791"/>
      <c r="H272" s="1649"/>
      <c r="I272" s="1675"/>
      <c r="J272" s="1792"/>
      <c r="K272" s="1651"/>
      <c r="L272" s="1651"/>
      <c r="M272" s="1651"/>
      <c r="N272" s="1651"/>
      <c r="O272" s="1651"/>
      <c r="P272" s="1651"/>
    </row>
    <row r="273">
      <c r="A273" s="1894" t="s">
        <v>1658</v>
      </c>
      <c r="B273" s="1894"/>
      <c r="C273" s="1894"/>
      <c r="D273" s="1894"/>
      <c r="E273" s="1894"/>
      <c r="F273" s="1894"/>
      <c r="G273" s="1894"/>
      <c r="H273" s="1894"/>
      <c r="I273" s="1894"/>
      <c r="J273" s="1895"/>
      <c r="K273" s="1683"/>
      <c r="L273" s="1683"/>
      <c r="M273" s="1683"/>
      <c r="N273" s="1683"/>
      <c r="O273" s="1683"/>
      <c r="P273" s="1683"/>
    </row>
    <row r="274">
      <c r="A274" s="1664" t="s">
        <v>1457</v>
      </c>
      <c r="B274" s="1665" t="s">
        <v>1458</v>
      </c>
      <c r="C274" s="1665"/>
      <c r="D274" s="1666" t="s">
        <v>1459</v>
      </c>
      <c r="E274" s="1666" t="s">
        <v>1460</v>
      </c>
      <c r="F274" s="1666" t="s">
        <v>1461</v>
      </c>
      <c r="G274" s="1896" t="s">
        <v>1473</v>
      </c>
      <c r="H274" s="1666" t="s">
        <v>1463</v>
      </c>
      <c r="I274" s="1666" t="s">
        <v>1464</v>
      </c>
      <c r="J274" s="1667" t="s">
        <v>1465</v>
      </c>
      <c r="K274" s="1669"/>
      <c r="L274" s="1669"/>
      <c r="M274" s="1669"/>
      <c r="N274" s="1669"/>
      <c r="O274" s="1669"/>
      <c r="P274" s="1669"/>
    </row>
    <row customHeight="true" ht="18.452380952380953" r="275">
      <c r="A275" s="1785" t="s">
        <v>1658</v>
      </c>
      <c r="B275" s="1644">
        <v>46279</v>
      </c>
      <c r="C275" s="1785" t="str">
        <v>Monday</v>
      </c>
      <c r="D275" s="1645" t="s">
        <v>1659</v>
      </c>
      <c r="E275" s="1787">
        <f t="shared" ref="E275:E282" si="86">24*MOD(TIMEVALUE(TRIM(MID(D275,FIND("-",D275)+1,LEN(D275)))) - TIMEVALUE(TRIM(LEFT(D275,FIND("-",D275)-1))),1)</f>
      </c>
      <c r="F275" s="1647" t="s">
        <v>1660</v>
      </c>
      <c r="G275" s="1809"/>
      <c r="H275" s="1787" t="s">
        <v>1471</v>
      </c>
      <c r="I275" s="1787"/>
      <c r="J275" s="1869"/>
      <c r="K275" s="1651"/>
      <c r="L275" s="1651"/>
      <c r="M275" s="1651"/>
      <c r="N275" s="1651"/>
      <c r="O275" s="1651"/>
      <c r="P275" s="1651"/>
      <c r="Q275" s="1700"/>
      <c r="R275" s="1700"/>
    </row>
    <row r="276">
      <c r="A276" s="1897" t="s">
        <v>1658</v>
      </c>
      <c r="B276" s="1898">
        <v>46280</v>
      </c>
      <c r="C276" s="1897" t="str">
        <v>Tuesday</v>
      </c>
      <c r="D276" s="1899" t="s">
        <v>1661</v>
      </c>
      <c r="E276" s="1747">
        <f t="shared" si="86"/>
      </c>
      <c r="F276" s="1900" t="s">
        <v>1662</v>
      </c>
      <c r="G276" s="1901"/>
      <c r="H276" s="1747" t="s">
        <v>1471</v>
      </c>
      <c r="I276" s="1747"/>
      <c r="J276" s="1902"/>
      <c r="K276" s="1903"/>
      <c r="L276" s="1903"/>
      <c r="M276" s="1903"/>
      <c r="N276" s="1903"/>
      <c r="O276" s="1903"/>
      <c r="P276" s="1903"/>
      <c r="Q276" s="1904"/>
      <c r="R276" s="1904"/>
    </row>
    <row r="277">
      <c r="A277" s="1670" t="s">
        <v>1658</v>
      </c>
      <c r="B277" s="1644">
        <v>46281</v>
      </c>
      <c r="C277" s="1670" t="str">
        <v>Wednesday</v>
      </c>
      <c r="D277" s="1645" t="s">
        <v>1663</v>
      </c>
      <c r="E277" s="1649">
        <f t="shared" si="86"/>
      </c>
      <c r="F277" s="1647" t="s">
        <v>1662</v>
      </c>
      <c r="G277" s="1794"/>
      <c r="H277" s="1675" t="s">
        <v>1471</v>
      </c>
      <c r="I277" s="1675"/>
      <c r="J277" s="1650"/>
      <c r="K277" s="1651"/>
      <c r="L277" s="1651"/>
      <c r="M277" s="1651"/>
      <c r="N277" s="1651"/>
      <c r="O277" s="1651"/>
      <c r="P277" s="1651"/>
    </row>
    <row customHeight="true" ht="18.452380952380953" r="278">
      <c r="A278" s="1670" t="s">
        <v>1658</v>
      </c>
      <c r="B278" s="1644">
        <v>46282</v>
      </c>
      <c r="C278" s="1670" t="str">
        <v>Thursday</v>
      </c>
      <c r="D278" s="1645" t="s">
        <v>1664</v>
      </c>
      <c r="E278" s="1649">
        <f t="shared" si="86"/>
      </c>
      <c r="F278" s="1647" t="s">
        <v>1662</v>
      </c>
      <c r="G278" s="1794"/>
      <c r="H278" s="1649" t="s">
        <v>1471</v>
      </c>
      <c r="I278" s="1675"/>
      <c r="J278" s="1673"/>
      <c r="K278" s="1651"/>
      <c r="L278" s="1651"/>
      <c r="M278" s="1651"/>
      <c r="N278" s="1651"/>
      <c r="O278" s="1651"/>
      <c r="P278" s="1651"/>
    </row>
    <row customHeight="true" ht="18.452380952380953" r="279">
      <c r="A279" s="1897" t="s">
        <v>1658</v>
      </c>
      <c r="B279" s="1898">
        <v>46282</v>
      </c>
      <c r="C279" s="1897" t="str">
        <v>Thursday</v>
      </c>
      <c r="D279" s="1899" t="s">
        <v>1661</v>
      </c>
      <c r="E279" s="1747">
        <f t="shared" si="86"/>
      </c>
      <c r="F279" s="1900" t="s">
        <v>1662</v>
      </c>
      <c r="G279" s="1901"/>
      <c r="H279" s="1747" t="s">
        <v>1471</v>
      </c>
      <c r="I279" s="1747"/>
      <c r="J279" s="1902"/>
      <c r="K279" s="1903"/>
      <c r="L279" s="1903"/>
      <c r="M279" s="1903"/>
      <c r="N279" s="1903"/>
      <c r="O279" s="1903"/>
      <c r="P279" s="1903"/>
      <c r="Q279" s="1904"/>
      <c r="R279" s="1904"/>
    </row>
    <row customHeight="true" ht="18.452380952380953" r="280">
      <c r="A280" s="1670" t="s">
        <v>1658</v>
      </c>
      <c r="B280" s="1644">
        <v>46283</v>
      </c>
      <c r="C280" s="1670" t="str">
        <v>Friday</v>
      </c>
      <c r="D280" s="1645" t="s">
        <v>1661</v>
      </c>
      <c r="E280" s="1649">
        <f t="shared" si="86"/>
      </c>
      <c r="F280" s="1647" t="s">
        <v>1662</v>
      </c>
      <c r="G280" s="1794"/>
      <c r="H280" s="1649" t="s">
        <v>1471</v>
      </c>
      <c r="I280" s="1675"/>
      <c r="J280" s="1673"/>
      <c r="K280" s="1651"/>
      <c r="L280" s="1651"/>
      <c r="M280" s="1651"/>
      <c r="N280" s="1651"/>
      <c r="O280" s="1651"/>
      <c r="P280" s="1651"/>
    </row>
    <row customHeight="true" ht="18.452380952380953" r="281">
      <c r="A281" s="1670" t="s">
        <v>1658</v>
      </c>
      <c r="B281" s="1644">
        <v>46284</v>
      </c>
      <c r="C281" s="1670" t="str">
        <v>Saturday</v>
      </c>
      <c r="D281" s="1645" t="s">
        <v>1665</v>
      </c>
      <c r="E281" s="1649">
        <f t="shared" si="86"/>
      </c>
      <c r="F281" s="1647" t="s">
        <v>1662</v>
      </c>
      <c r="G281" s="1794"/>
      <c r="H281" s="1649" t="s">
        <v>1471</v>
      </c>
      <c r="I281" s="1675"/>
      <c r="J281" s="1673"/>
      <c r="K281" s="1651"/>
      <c r="L281" s="1651"/>
      <c r="M281" s="1651"/>
      <c r="N281" s="1651"/>
      <c r="O281" s="1651"/>
      <c r="P281" s="1651"/>
    </row>
    <row customHeight="true" ht="18.452380952380953" r="282">
      <c r="A282" s="1670" t="s">
        <v>1658</v>
      </c>
      <c r="B282" s="1644">
        <v>46284</v>
      </c>
      <c r="C282" s="1670" t="str">
        <v>Saturday</v>
      </c>
      <c r="D282" s="1645" t="s">
        <v>1666</v>
      </c>
      <c r="E282" s="1649">
        <f t="shared" si="86"/>
      </c>
      <c r="F282" s="1647" t="s">
        <v>1662</v>
      </c>
      <c r="G282" s="1794"/>
      <c r="H282" s="1649" t="s">
        <v>1471</v>
      </c>
      <c r="I282" s="1675"/>
      <c r="J282" s="1673"/>
      <c r="K282" s="1651"/>
      <c r="L282" s="1651"/>
      <c r="M282" s="1651"/>
      <c r="N282" s="1651"/>
      <c r="O282" s="1651"/>
      <c r="P282" s="1651"/>
    </row>
    <row customHeight="true" ht="18.452380952380953" r="283">
      <c r="A283" s="1670" t="s">
        <v>1658</v>
      </c>
      <c r="B283" s="1644">
        <v>46285</v>
      </c>
      <c r="C283" s="1670" t="str">
        <v>Sunday</v>
      </c>
      <c r="D283" s="1645" t="s">
        <v>1665</v>
      </c>
      <c r="E283" s="1677">
        <v>3</v>
      </c>
      <c r="F283" s="1647" t="s">
        <v>1662</v>
      </c>
      <c r="G283" s="1794"/>
      <c r="H283" s="1649" t="s">
        <v>1471</v>
      </c>
      <c r="I283" s="1675"/>
      <c r="J283" s="1673"/>
      <c r="K283" s="1651"/>
      <c r="L283" s="1651"/>
      <c r="M283" s="1651"/>
      <c r="N283" s="1651"/>
      <c r="O283" s="1651"/>
      <c r="P283" s="1651"/>
    </row>
    <row r="284">
      <c r="A284" s="1670" t="s">
        <v>1667</v>
      </c>
      <c r="B284" s="1670">
        <v>46279</v>
      </c>
      <c r="C284" s="1670" t="str">
        <v>Monday</v>
      </c>
      <c r="D284" s="1645">
        <f>D275</f>
      </c>
      <c r="E284" s="1649">
        <f t="shared" ref="E284:E293" si="87">24*MOD(TIMEVALUE(TRIM(MID(D284,FIND("-",D284)+1,LEN(D284)))) - TIMEVALUE(TRIM(LEFT(D284,FIND("-",D284)-1))),1)</f>
      </c>
      <c r="F284" s="1649" t="s">
        <v>1618</v>
      </c>
      <c r="G284" s="1791"/>
      <c r="H284" s="1675" t="s">
        <v>1471</v>
      </c>
      <c r="I284" s="1675"/>
      <c r="J284" s="1650"/>
      <c r="K284" s="1651"/>
      <c r="L284" s="1651"/>
      <c r="M284" s="1651"/>
      <c r="N284" s="1651"/>
      <c r="O284" s="1651"/>
      <c r="P284" s="1651"/>
    </row>
    <row r="285">
      <c r="A285" s="1670" t="s">
        <v>1667</v>
      </c>
      <c r="B285" s="1670">
        <v>46280</v>
      </c>
      <c r="C285" s="1670" t="str">
        <v>Tuesday</v>
      </c>
      <c r="D285" s="1645" t="s">
        <v>1622</v>
      </c>
      <c r="E285" s="1649">
        <f t="shared" si="87"/>
      </c>
      <c r="F285" s="1649" t="s">
        <v>1560</v>
      </c>
      <c r="G285" s="1791"/>
      <c r="H285" s="1649" t="s">
        <v>1471</v>
      </c>
      <c r="I285" s="1675"/>
      <c r="J285" s="1650"/>
      <c r="K285" s="1651"/>
      <c r="L285" s="1651"/>
      <c r="M285" s="1651"/>
      <c r="N285" s="1651"/>
      <c r="O285" s="1651"/>
      <c r="P285" s="1651"/>
    </row>
    <row r="286">
      <c r="A286" s="1670" t="s">
        <v>1667</v>
      </c>
      <c r="B286" s="1670">
        <v>46281</v>
      </c>
      <c r="C286" s="1670" t="str">
        <v>Wednesday</v>
      </c>
      <c r="D286" s="1645">
        <f t="shared" ref="D286:D290" si="134">D277</f>
      </c>
      <c r="E286" s="1649">
        <f t="shared" si="87"/>
      </c>
      <c r="F286" s="1649" t="s">
        <v>1668</v>
      </c>
      <c r="G286" s="1791"/>
      <c r="H286" s="1675" t="s">
        <v>1471</v>
      </c>
      <c r="I286" s="1675"/>
      <c r="J286" s="1650"/>
      <c r="K286" s="1651"/>
      <c r="L286" s="1651"/>
      <c r="M286" s="1651"/>
      <c r="N286" s="1651"/>
      <c r="O286" s="1651"/>
      <c r="P286" s="1651"/>
    </row>
    <row customHeight="true" ht="18.452380952380953" r="287">
      <c r="A287" s="1670" t="s">
        <v>1667</v>
      </c>
      <c r="B287" s="1670">
        <v>46282</v>
      </c>
      <c r="C287" s="1670" t="str">
        <v>Thursday</v>
      </c>
      <c r="D287" s="1645">
        <f t="shared" si="134"/>
      </c>
      <c r="E287" s="1649">
        <f t="shared" si="87"/>
      </c>
      <c r="F287" s="1649" t="s">
        <v>1669</v>
      </c>
      <c r="G287" s="1791"/>
      <c r="H287" s="1649" t="s">
        <v>1471</v>
      </c>
      <c r="I287" s="1675"/>
      <c r="J287" s="1650"/>
      <c r="K287" s="1651"/>
      <c r="L287" s="1651"/>
      <c r="M287" s="1651"/>
      <c r="N287" s="1651"/>
      <c r="O287" s="1651"/>
      <c r="P287" s="1651"/>
    </row>
    <row r="288">
      <c r="A288" s="1897" t="s">
        <v>1667</v>
      </c>
      <c r="B288" s="1897">
        <v>46282</v>
      </c>
      <c r="C288" s="1897" t="str">
        <v>Thursday</v>
      </c>
      <c r="D288" s="1899">
        <f t="shared" si="134"/>
      </c>
      <c r="E288" s="1747">
        <f t="shared" si="87"/>
      </c>
      <c r="F288" s="1747" t="s">
        <v>1668</v>
      </c>
      <c r="G288" s="1905"/>
      <c r="H288" s="1747" t="s">
        <v>1471</v>
      </c>
      <c r="I288" s="1747"/>
      <c r="J288" s="1902"/>
      <c r="K288" s="1903"/>
      <c r="L288" s="1903"/>
      <c r="M288" s="1903"/>
      <c r="N288" s="1903"/>
      <c r="O288" s="1903"/>
      <c r="P288" s="1903"/>
      <c r="Q288" s="1904"/>
      <c r="R288" s="1904"/>
    </row>
    <row r="289">
      <c r="A289" s="1670" t="s">
        <v>1667</v>
      </c>
      <c r="B289" s="1670">
        <v>46283</v>
      </c>
      <c r="C289" s="1670" t="str">
        <v>Friday</v>
      </c>
      <c r="D289" s="1645">
        <f t="shared" si="134"/>
      </c>
      <c r="E289" s="1649">
        <f t="shared" si="87"/>
      </c>
      <c r="F289" s="1649" t="s">
        <v>1668</v>
      </c>
      <c r="G289" s="1791"/>
      <c r="H289" s="1649" t="s">
        <v>1471</v>
      </c>
      <c r="I289" s="1680"/>
      <c r="J289" s="1680"/>
      <c r="K289" s="1770"/>
      <c r="L289" s="1770"/>
      <c r="M289" s="1770"/>
      <c r="N289" s="1770"/>
      <c r="O289" s="1770"/>
      <c r="P289" s="1770"/>
    </row>
    <row customHeight="true" ht="18.452380952380953" r="290">
      <c r="A290" s="1670" t="s">
        <v>1667</v>
      </c>
      <c r="B290" s="1670">
        <v>46284</v>
      </c>
      <c r="C290" s="1670" t="str">
        <v>Saturday</v>
      </c>
      <c r="D290" s="1645">
        <f t="shared" si="134"/>
      </c>
      <c r="E290" s="1649">
        <f t="shared" si="87"/>
      </c>
      <c r="F290" s="1649" t="s">
        <v>1669</v>
      </c>
      <c r="G290" s="1791"/>
      <c r="H290" s="1649" t="s">
        <v>1471</v>
      </c>
      <c r="I290" s="1675"/>
      <c r="J290" s="1673"/>
      <c r="K290" s="1789"/>
      <c r="L290" s="1789"/>
      <c r="M290" s="1789"/>
      <c r="N290" s="1789"/>
      <c r="O290" s="1789"/>
      <c r="P290" s="1789"/>
      <c r="Q290" s="1680"/>
      <c r="R290" s="1680"/>
    </row>
    <row customHeight="true" ht="18.452380952380953" r="291">
      <c r="A291" s="1670" t="s">
        <v>1670</v>
      </c>
      <c r="B291" s="1670">
        <v>46284</v>
      </c>
      <c r="C291" s="1670" t="str">
        <v>Saturday</v>
      </c>
      <c r="D291" s="1645" t="s">
        <v>1671</v>
      </c>
      <c r="E291" s="1649">
        <f t="shared" si="87"/>
      </c>
      <c r="F291" s="1649" t="s">
        <v>1558</v>
      </c>
      <c r="G291" s="1791"/>
      <c r="H291" s="1649"/>
      <c r="I291" s="1675"/>
      <c r="J291" s="1673"/>
      <c r="K291" s="1789"/>
      <c r="L291" s="1789"/>
      <c r="M291" s="1789"/>
      <c r="N291" s="1789"/>
      <c r="O291" s="1789"/>
      <c r="P291" s="1789"/>
      <c r="Q291" s="1680"/>
      <c r="R291" s="1680"/>
    </row>
    <row customHeight="true" ht="18.452380952380953" r="292">
      <c r="A292" s="1670" t="s">
        <v>1667</v>
      </c>
      <c r="B292" s="1670">
        <v>46284</v>
      </c>
      <c r="C292" s="1670" t="str">
        <v>Saturday</v>
      </c>
      <c r="D292" s="1675" t="s">
        <v>1666</v>
      </c>
      <c r="E292" s="1649">
        <f t="shared" si="87"/>
      </c>
      <c r="F292" s="1649" t="s">
        <v>1558</v>
      </c>
      <c r="G292" s="1791"/>
      <c r="H292" s="1649" t="s">
        <v>1471</v>
      </c>
      <c r="I292" s="1675"/>
      <c r="J292" s="1673"/>
      <c r="K292" s="1789"/>
      <c r="L292" s="1789"/>
      <c r="M292" s="1789"/>
      <c r="N292" s="1789"/>
      <c r="O292" s="1789"/>
      <c r="P292" s="1789"/>
      <c r="Q292" s="1680"/>
      <c r="R292" s="1680"/>
    </row>
    <row customHeight="true" ht="18.452380952380953" r="293">
      <c r="A293" s="1670" t="s">
        <v>1667</v>
      </c>
      <c r="B293" s="1670">
        <v>46285</v>
      </c>
      <c r="C293" s="1670" t="str">
        <v>Sunday</v>
      </c>
      <c r="D293" s="1645">
        <f>D283</f>
      </c>
      <c r="E293" s="1649">
        <f t="shared" si="87"/>
      </c>
      <c r="F293" s="1649" t="s">
        <v>1669</v>
      </c>
      <c r="G293" s="1791"/>
      <c r="H293" s="1649" t="s">
        <v>1471</v>
      </c>
      <c r="I293" s="1680"/>
      <c r="J293" s="1680"/>
      <c r="K293" s="1770"/>
      <c r="L293" s="1770"/>
      <c r="M293" s="1770"/>
      <c r="N293" s="1770"/>
      <c r="O293" s="1770"/>
      <c r="P293" s="1770"/>
    </row>
    <row r="294">
      <c r="A294" s="1680"/>
      <c r="B294" s="1906"/>
      <c r="C294" s="1680"/>
      <c r="D294" s="1795"/>
      <c r="E294" s="1680"/>
      <c r="F294" s="1907"/>
      <c r="G294" s="1908"/>
      <c r="H294" s="1795"/>
      <c r="I294" s="1680"/>
      <c r="J294" s="1680"/>
      <c r="K294" s="1770"/>
      <c r="L294" s="1770"/>
      <c r="M294" s="1770"/>
      <c r="N294" s="1770"/>
      <c r="O294" s="1770"/>
      <c r="P294" s="1770"/>
    </row>
    <row r="295">
      <c r="A295" s="1680"/>
      <c r="B295" s="1680"/>
      <c r="C295" s="1680"/>
      <c r="D295" s="1795"/>
      <c r="E295" s="1680"/>
      <c r="F295" s="1907"/>
      <c r="G295" s="1908"/>
      <c r="H295" s="1795"/>
      <c r="I295" s="1680"/>
      <c r="J295" s="1680"/>
      <c r="K295" s="1770"/>
      <c r="L295" s="1770"/>
      <c r="M295" s="1770"/>
      <c r="N295" s="1770"/>
      <c r="O295" s="1770"/>
      <c r="P295" s="1770"/>
    </row>
    <row r="296">
      <c r="A296" s="1909" t="s">
        <v>1672</v>
      </c>
      <c r="B296" s="1909"/>
      <c r="C296" s="1909"/>
      <c r="D296" s="1909"/>
      <c r="E296" s="1909"/>
      <c r="F296" s="1909"/>
      <c r="G296" s="1909"/>
      <c r="H296" s="1909"/>
      <c r="I296" s="1909"/>
      <c r="J296" s="1910"/>
      <c r="K296" s="1759"/>
      <c r="L296" s="1759"/>
      <c r="M296" s="1759"/>
      <c r="N296" s="1759"/>
      <c r="O296" s="1759"/>
      <c r="P296" s="1759"/>
    </row>
    <row r="297">
      <c r="A297" s="1911" t="s">
        <v>1457</v>
      </c>
      <c r="B297" s="1912" t="s">
        <v>1458</v>
      </c>
      <c r="C297" s="1912"/>
      <c r="D297" s="1913" t="s">
        <v>1459</v>
      </c>
      <c r="E297" s="1913" t="s">
        <v>1460</v>
      </c>
      <c r="F297" s="1913" t="s">
        <v>1461</v>
      </c>
      <c r="G297" s="1914" t="s">
        <v>1473</v>
      </c>
      <c r="H297" s="1913" t="s">
        <v>1463</v>
      </c>
      <c r="I297" s="1913" t="s">
        <v>1464</v>
      </c>
      <c r="J297" s="1915" t="s">
        <v>1465</v>
      </c>
      <c r="K297" s="1669"/>
      <c r="L297" s="1669"/>
      <c r="M297" s="1669"/>
      <c r="N297" s="1669"/>
      <c r="O297" s="1669"/>
      <c r="P297" s="1669"/>
    </row>
    <row r="298">
      <c r="A298" s="1670" t="s">
        <v>1673</v>
      </c>
      <c r="B298" s="1644">
        <v>46279</v>
      </c>
      <c r="C298" s="1670" t="str">
        <v>Monday</v>
      </c>
      <c r="D298" s="1645" t="s">
        <v>1674</v>
      </c>
      <c r="E298" s="1649">
        <f t="shared" ref="E298:E321" si="88">24*MOD(TIMEVALUE(TRIM(MID(D298,FIND("-",D298)+1,LEN(D298)))) - TIMEVALUE(TRIM(LEFT(D298,FIND("-",D298)-1))),1)</f>
      </c>
      <c r="F298" s="1649" t="s">
        <v>1609</v>
      </c>
      <c r="G298" s="1794"/>
      <c r="H298" s="1649" t="s">
        <v>1471</v>
      </c>
      <c r="I298" s="1675" t="s">
        <v>1446</v>
      </c>
      <c r="J298" s="1673"/>
      <c r="K298" s="1651"/>
      <c r="L298" s="1651"/>
      <c r="M298" s="1651"/>
      <c r="N298" s="1651"/>
      <c r="O298" s="1651"/>
      <c r="P298" s="1651"/>
    </row>
    <row customHeight="true" ht="18.452380952380953" r="299">
      <c r="A299" s="1670" t="s">
        <v>1673</v>
      </c>
      <c r="B299" s="1644">
        <v>46279</v>
      </c>
      <c r="C299" s="1670" t="str">
        <v>Monday</v>
      </c>
      <c r="D299" s="1645" t="s">
        <v>1675</v>
      </c>
      <c r="E299" s="1649">
        <f t="shared" si="88"/>
      </c>
      <c r="F299" s="1649" t="s">
        <v>1479</v>
      </c>
      <c r="G299" s="1794"/>
      <c r="H299" s="1649" t="s">
        <v>1471</v>
      </c>
      <c r="I299" s="1675"/>
      <c r="J299" s="1673"/>
      <c r="K299" s="1651"/>
      <c r="L299" s="1651"/>
      <c r="M299" s="1651"/>
      <c r="N299" s="1651"/>
      <c r="O299" s="1651"/>
      <c r="P299" s="1651"/>
    </row>
    <row customHeight="true" ht="18.452380952380953" r="300">
      <c r="A300" s="1785" t="s">
        <v>1673</v>
      </c>
      <c r="B300" s="1790">
        <v>46280</v>
      </c>
      <c r="C300" s="1785" t="str">
        <v>Tuesday</v>
      </c>
      <c r="D300" s="1786" t="s">
        <v>1674</v>
      </c>
      <c r="E300" s="1787">
        <f t="shared" si="88"/>
      </c>
      <c r="F300" s="1787" t="s">
        <v>1609</v>
      </c>
      <c r="G300" s="1809"/>
      <c r="H300" s="1787" t="s">
        <v>1471</v>
      </c>
      <c r="I300" s="1658" t="s">
        <v>1446</v>
      </c>
      <c r="J300" s="1869"/>
      <c r="K300" s="1651"/>
      <c r="L300" s="1651"/>
      <c r="M300" s="1651"/>
      <c r="N300" s="1651"/>
      <c r="O300" s="1651"/>
      <c r="P300" s="1651"/>
      <c r="Q300" s="1700"/>
      <c r="R300" s="1700"/>
    </row>
    <row customHeight="true" ht="18.452380952380953" r="301">
      <c r="A301" s="1785" t="s">
        <v>1673</v>
      </c>
      <c r="B301" s="1790">
        <v>46280</v>
      </c>
      <c r="C301" s="1785" t="str">
        <v>Tuesday</v>
      </c>
      <c r="D301" s="1786" t="s">
        <v>1640</v>
      </c>
      <c r="E301" s="1787">
        <f t="shared" si="88"/>
      </c>
      <c r="F301" s="1787" t="s">
        <v>1551</v>
      </c>
      <c r="G301" s="1809"/>
      <c r="H301" s="1787" t="s">
        <v>1471</v>
      </c>
      <c r="I301" s="1658"/>
      <c r="J301" s="1869"/>
      <c r="K301" s="1651"/>
      <c r="L301" s="1651"/>
      <c r="M301" s="1651"/>
      <c r="N301" s="1651"/>
      <c r="O301" s="1651"/>
      <c r="P301" s="1651"/>
      <c r="Q301" s="1700"/>
      <c r="R301" s="1700"/>
    </row>
    <row customHeight="true" ht="18.452380952380953" r="302">
      <c r="A302" s="1670" t="s">
        <v>1673</v>
      </c>
      <c r="B302" s="1644">
        <v>46280</v>
      </c>
      <c r="C302" s="1670" t="str">
        <v>Tuesday</v>
      </c>
      <c r="D302" s="1786" t="s">
        <v>1485</v>
      </c>
      <c r="E302" s="1649">
        <f t="shared" si="88"/>
      </c>
      <c r="F302" s="1649" t="s">
        <v>1479</v>
      </c>
      <c r="G302" s="1794"/>
      <c r="H302" s="1649" t="s">
        <v>1471</v>
      </c>
      <c r="I302" s="1738"/>
      <c r="J302" s="1673"/>
      <c r="K302" s="1651"/>
      <c r="L302" s="1651"/>
      <c r="M302" s="1651"/>
      <c r="N302" s="1651"/>
      <c r="O302" s="1651"/>
      <c r="P302" s="1651"/>
    </row>
    <row customHeight="true" ht="18.452380952380953" r="303">
      <c r="A303" s="1785" t="s">
        <v>1673</v>
      </c>
      <c r="B303" s="1644">
        <v>46281</v>
      </c>
      <c r="C303" s="1785" t="str">
        <v>Wednesday</v>
      </c>
      <c r="D303" s="1786" t="s">
        <v>1674</v>
      </c>
      <c r="E303" s="1787">
        <f t="shared" si="88"/>
      </c>
      <c r="F303" s="1678" t="s">
        <v>1609</v>
      </c>
      <c r="G303" s="1916"/>
      <c r="H303" s="1787" t="s">
        <v>1471</v>
      </c>
      <c r="I303" s="1658" t="s">
        <v>1446</v>
      </c>
      <c r="J303" s="1869"/>
      <c r="K303" s="1651"/>
      <c r="L303" s="1651"/>
      <c r="M303" s="1651"/>
      <c r="N303" s="1651"/>
      <c r="O303" s="1651"/>
      <c r="P303" s="1651"/>
      <c r="Q303" s="1770"/>
      <c r="R303" s="1770"/>
    </row>
    <row customHeight="true" ht="18.452380952380953" r="304">
      <c r="A304" s="1670" t="s">
        <v>1673</v>
      </c>
      <c r="B304" s="1644">
        <v>46281</v>
      </c>
      <c r="C304" s="1670" t="str">
        <v>Wednesday</v>
      </c>
      <c r="D304" s="1786" t="s">
        <v>1675</v>
      </c>
      <c r="E304" s="1787">
        <f t="shared" si="88"/>
      </c>
      <c r="F304" s="1649" t="s">
        <v>1479</v>
      </c>
      <c r="G304" s="1916"/>
      <c r="H304" s="1787" t="s">
        <v>1471</v>
      </c>
      <c r="I304" s="1787"/>
      <c r="J304" s="1869"/>
      <c r="K304" s="1651"/>
      <c r="L304" s="1651"/>
      <c r="M304" s="1651"/>
      <c r="N304" s="1651"/>
      <c r="O304" s="1651"/>
      <c r="P304" s="1651"/>
      <c r="Q304" s="1770"/>
      <c r="R304" s="1770"/>
    </row>
    <row customHeight="true" ht="18.452380952380953" r="305">
      <c r="A305" s="1897" t="s">
        <v>1673</v>
      </c>
      <c r="B305" s="1898">
        <v>46282</v>
      </c>
      <c r="C305" s="1897" t="str">
        <v>Thursday</v>
      </c>
      <c r="D305" s="1899" t="s">
        <v>1676</v>
      </c>
      <c r="E305" s="1747">
        <f t="shared" si="88"/>
      </c>
      <c r="F305" s="1747" t="s">
        <v>1609</v>
      </c>
      <c r="G305" s="1901"/>
      <c r="H305" s="1747" t="s">
        <v>1471</v>
      </c>
      <c r="I305" s="1734" t="s">
        <v>1446</v>
      </c>
      <c r="J305" s="1902"/>
      <c r="K305" s="1903"/>
      <c r="L305" s="1903"/>
      <c r="M305" s="1903"/>
      <c r="N305" s="1903"/>
      <c r="O305" s="1903"/>
      <c r="P305" s="1903"/>
      <c r="Q305" s="1904"/>
      <c r="R305" s="1904"/>
    </row>
    <row customHeight="true" ht="18.452380952380953" r="306">
      <c r="A306" s="1785" t="s">
        <v>1673</v>
      </c>
      <c r="B306" s="1644">
        <v>46283</v>
      </c>
      <c r="C306" s="1785" t="str">
        <v>Friday</v>
      </c>
      <c r="D306" s="1786" t="s">
        <v>1677</v>
      </c>
      <c r="E306" s="1787">
        <f t="shared" si="88"/>
      </c>
      <c r="F306" s="1649" t="s">
        <v>1609</v>
      </c>
      <c r="G306" s="1809"/>
      <c r="H306" s="1787" t="s">
        <v>1471</v>
      </c>
      <c r="I306" s="1658" t="s">
        <v>1446</v>
      </c>
      <c r="J306" s="1869"/>
      <c r="K306" s="1651"/>
      <c r="L306" s="1651"/>
      <c r="M306" s="1651"/>
      <c r="N306" s="1651"/>
      <c r="O306" s="1651"/>
      <c r="P306" s="1651"/>
      <c r="Q306" s="1700"/>
      <c r="R306" s="1700"/>
    </row>
    <row customHeight="true" ht="18.452380952380953" r="307">
      <c r="A307" s="1670" t="s">
        <v>1673</v>
      </c>
      <c r="B307" s="1644">
        <v>46284</v>
      </c>
      <c r="C307" s="1670" t="str">
        <v>Saturday</v>
      </c>
      <c r="D307" s="1645" t="s">
        <v>1677</v>
      </c>
      <c r="E307" s="1649">
        <f t="shared" si="88"/>
      </c>
      <c r="F307" s="1649" t="s">
        <v>1553</v>
      </c>
      <c r="G307" s="1794"/>
      <c r="H307" s="1649" t="s">
        <v>1471</v>
      </c>
      <c r="I307" s="1675"/>
      <c r="J307" s="1673"/>
      <c r="K307" s="1651"/>
      <c r="L307" s="1651"/>
      <c r="M307" s="1651"/>
      <c r="N307" s="1651"/>
      <c r="O307" s="1651"/>
      <c r="P307" s="1651"/>
    </row>
    <row customHeight="true" ht="18.452380952380953" r="308">
      <c r="A308" s="1897" t="s">
        <v>1673</v>
      </c>
      <c r="B308" s="1898">
        <v>46285</v>
      </c>
      <c r="C308" s="1897" t="str">
        <v>Sunday</v>
      </c>
      <c r="D308" s="1899" t="s">
        <v>1677</v>
      </c>
      <c r="E308" s="1747">
        <f t="shared" si="88"/>
      </c>
      <c r="F308" s="1747" t="s">
        <v>1553</v>
      </c>
      <c r="G308" s="1905"/>
      <c r="H308" s="1747" t="s">
        <v>1471</v>
      </c>
      <c r="I308" s="1747"/>
      <c r="J308" s="1902"/>
      <c r="K308" s="1903"/>
      <c r="L308" s="1903"/>
      <c r="M308" s="1903"/>
      <c r="N308" s="1903"/>
      <c r="O308" s="1903"/>
      <c r="P308" s="1903"/>
      <c r="Q308" s="1917"/>
      <c r="R308" s="1917"/>
    </row>
    <row customHeight="true" ht="18.452380952380953" r="309">
      <c r="A309" s="1670" t="s">
        <v>1673</v>
      </c>
      <c r="B309" s="1644">
        <v>46285</v>
      </c>
      <c r="C309" s="1670" t="str">
        <v>Sunday</v>
      </c>
      <c r="D309" s="1645" t="s">
        <v>1678</v>
      </c>
      <c r="E309" s="1649">
        <f t="shared" si="88"/>
      </c>
      <c r="F309" s="1649" t="s">
        <v>1479</v>
      </c>
      <c r="G309" s="1791"/>
      <c r="H309" s="1649" t="s">
        <v>1471</v>
      </c>
      <c r="I309" s="1675"/>
      <c r="J309" s="1673"/>
      <c r="K309" s="1789"/>
      <c r="L309" s="1789"/>
      <c r="M309" s="1789"/>
      <c r="N309" s="1789"/>
      <c r="O309" s="1789"/>
      <c r="P309" s="1789"/>
      <c r="Q309" s="1680"/>
      <c r="R309" s="1680"/>
    </row>
    <row customHeight="true" ht="18.452380952380953" r="310">
      <c r="A310" s="1670" t="s">
        <v>1679</v>
      </c>
      <c r="B310" s="1644">
        <v>46279</v>
      </c>
      <c r="C310" s="1670" t="str">
        <v>Monday</v>
      </c>
      <c r="D310" s="1675" t="s">
        <v>1674</v>
      </c>
      <c r="E310" s="1649">
        <f t="shared" si="88"/>
      </c>
      <c r="F310" s="1918" t="s">
        <v>1618</v>
      </c>
      <c r="G310" s="1791"/>
      <c r="H310" s="1649" t="s">
        <v>1471</v>
      </c>
      <c r="I310" s="1649"/>
      <c r="J310" s="1673"/>
      <c r="K310" s="1789"/>
      <c r="L310" s="1789"/>
      <c r="M310" s="1789"/>
      <c r="N310" s="1789"/>
      <c r="O310" s="1789"/>
      <c r="P310" s="1789"/>
    </row>
    <row customHeight="true" ht="18.452380952380953" r="311">
      <c r="A311" s="1670" t="s">
        <v>1679</v>
      </c>
      <c r="B311" s="1644">
        <v>46279</v>
      </c>
      <c r="C311" s="1670" t="str">
        <v>Monday</v>
      </c>
      <c r="D311" s="1645" t="s">
        <v>1675</v>
      </c>
      <c r="E311" s="1649">
        <f t="shared" si="88"/>
      </c>
      <c r="F311" s="1649" t="s">
        <v>1680</v>
      </c>
      <c r="G311" s="1791"/>
      <c r="H311" s="1649" t="s">
        <v>1471</v>
      </c>
      <c r="I311" s="1649"/>
      <c r="J311" s="1673"/>
      <c r="K311" s="1789"/>
      <c r="L311" s="1789"/>
      <c r="M311" s="1789"/>
      <c r="N311" s="1789"/>
      <c r="O311" s="1789"/>
      <c r="P311" s="1789"/>
    </row>
    <row customHeight="true" ht="18.452380952380953" r="312">
      <c r="A312" s="1670" t="s">
        <v>1679</v>
      </c>
      <c r="B312" s="1644">
        <v>46280</v>
      </c>
      <c r="C312" s="1670" t="str">
        <v>Tuesday</v>
      </c>
      <c r="D312" s="1919" t="s">
        <v>1674</v>
      </c>
      <c r="E312" s="1649">
        <f t="shared" si="88"/>
      </c>
      <c r="F312" s="1678" t="s">
        <v>1681</v>
      </c>
      <c r="G312" s="1794"/>
      <c r="H312" s="1649" t="s">
        <v>1471</v>
      </c>
      <c r="I312" s="1675"/>
      <c r="J312" s="1673"/>
      <c r="K312" s="1651"/>
      <c r="L312" s="1651"/>
      <c r="M312" s="1651"/>
      <c r="N312" s="1651"/>
      <c r="O312" s="1651"/>
      <c r="P312" s="1651"/>
    </row>
    <row customHeight="true" ht="18.452380952380953" r="313">
      <c r="A313" s="1670" t="s">
        <v>1679</v>
      </c>
      <c r="B313" s="1644">
        <v>46280</v>
      </c>
      <c r="C313" s="1670" t="str">
        <v>Tuesday</v>
      </c>
      <c r="D313" s="1645" t="s">
        <v>1675</v>
      </c>
      <c r="E313" s="1649">
        <f t="shared" si="88"/>
      </c>
      <c r="F313" s="1649" t="s">
        <v>1618</v>
      </c>
      <c r="G313" s="1794"/>
      <c r="H313" s="1649" t="s">
        <v>1471</v>
      </c>
      <c r="I313" s="1675"/>
      <c r="J313" s="1673"/>
      <c r="K313" s="1651"/>
      <c r="L313" s="1651"/>
      <c r="M313" s="1651"/>
      <c r="N313" s="1651"/>
      <c r="O313" s="1651"/>
      <c r="P313" s="1651"/>
    </row>
    <row customHeight="true" ht="18.452380952380953" r="314">
      <c r="A314" s="1670" t="s">
        <v>1679</v>
      </c>
      <c r="B314" s="1644">
        <v>46281</v>
      </c>
      <c r="C314" s="1785" t="str">
        <v>Wednesday</v>
      </c>
      <c r="D314" s="1675" t="s">
        <v>1674</v>
      </c>
      <c r="E314" s="1649">
        <f t="shared" si="88"/>
      </c>
      <c r="F314" s="1678" t="s">
        <v>1681</v>
      </c>
      <c r="G314" s="1794"/>
      <c r="H314" s="1649" t="s">
        <v>1471</v>
      </c>
      <c r="I314" s="1675"/>
      <c r="J314" s="1673"/>
      <c r="K314" s="1651"/>
      <c r="L314" s="1651"/>
      <c r="M314" s="1651"/>
      <c r="N314" s="1651"/>
      <c r="O314" s="1651"/>
      <c r="P314" s="1651"/>
    </row>
    <row customHeight="true" ht="18.452380952380953" r="315">
      <c r="A315" s="1670" t="s">
        <v>1679</v>
      </c>
      <c r="B315" s="1644">
        <v>46281</v>
      </c>
      <c r="C315" s="1670" t="str">
        <v>Wednesday</v>
      </c>
      <c r="D315" s="1645" t="s">
        <v>1675</v>
      </c>
      <c r="E315" s="1649">
        <f t="shared" si="88"/>
      </c>
      <c r="F315" s="1649" t="s">
        <v>1680</v>
      </c>
      <c r="G315" s="1794"/>
      <c r="H315" s="1649" t="s">
        <v>1471</v>
      </c>
      <c r="I315" s="1675"/>
      <c r="J315" s="1673"/>
      <c r="K315" s="1651"/>
      <c r="L315" s="1651"/>
      <c r="M315" s="1651"/>
      <c r="N315" s="1651"/>
      <c r="O315" s="1651"/>
      <c r="P315" s="1651"/>
    </row>
    <row customHeight="true" ht="18.452380952380953" r="316">
      <c r="A316" s="1670" t="s">
        <v>1679</v>
      </c>
      <c r="B316" s="1644">
        <v>46282</v>
      </c>
      <c r="C316" s="1670" t="str">
        <v>Thursday</v>
      </c>
      <c r="D316" s="1786" t="s">
        <v>1682</v>
      </c>
      <c r="E316" s="1675">
        <f t="shared" si="88"/>
      </c>
      <c r="F316" s="1649" t="s">
        <v>1576</v>
      </c>
      <c r="G316" s="1794"/>
      <c r="H316" s="1649" t="s">
        <v>1471</v>
      </c>
      <c r="I316" s="1675" t="s">
        <v>1446</v>
      </c>
      <c r="J316" s="1673"/>
      <c r="K316" s="1651"/>
      <c r="L316" s="1651"/>
      <c r="M316" s="1651"/>
      <c r="N316" s="1651"/>
      <c r="O316" s="1651"/>
      <c r="P316" s="1651"/>
    </row>
    <row customHeight="true" ht="18.452380952380953" r="317">
      <c r="A317" s="1670" t="s">
        <v>1679</v>
      </c>
      <c r="B317" s="1644">
        <v>46283</v>
      </c>
      <c r="C317" s="1785" t="str">
        <v>Friday</v>
      </c>
      <c r="D317" s="1675" t="s">
        <v>1677</v>
      </c>
      <c r="E317" s="1675">
        <f t="shared" si="88"/>
      </c>
      <c r="F317" s="1918" t="s">
        <v>1618</v>
      </c>
      <c r="G317" s="1794"/>
      <c r="H317" s="1649" t="s">
        <v>1471</v>
      </c>
      <c r="I317" s="1738"/>
      <c r="J317" s="1673"/>
      <c r="K317" s="1651"/>
      <c r="L317" s="1651"/>
      <c r="M317" s="1651"/>
      <c r="N317" s="1651"/>
      <c r="O317" s="1651"/>
      <c r="P317" s="1651"/>
    </row>
    <row customHeight="true" ht="18.452380952380953" r="318">
      <c r="A318" s="1670" t="s">
        <v>1679</v>
      </c>
      <c r="B318" s="1644">
        <v>46284</v>
      </c>
      <c r="C318" s="1670" t="str">
        <v>Saturday</v>
      </c>
      <c r="D318" s="1675" t="s">
        <v>1677</v>
      </c>
      <c r="E318" s="1649">
        <f t="shared" si="88"/>
      </c>
      <c r="F318" s="1918" t="s">
        <v>1618</v>
      </c>
      <c r="G318" s="1794"/>
      <c r="H318" s="1649" t="s">
        <v>1471</v>
      </c>
      <c r="I318" s="1738"/>
      <c r="J318" s="1673"/>
      <c r="K318" s="1651"/>
      <c r="L318" s="1651"/>
      <c r="M318" s="1651"/>
      <c r="N318" s="1651"/>
      <c r="O318" s="1651"/>
      <c r="P318" s="1651"/>
    </row>
    <row customHeight="true" ht="18.452380952380953" r="319">
      <c r="A319" s="1670" t="s">
        <v>1679</v>
      </c>
      <c r="B319" s="1644">
        <v>46285</v>
      </c>
      <c r="C319" s="1670" t="str">
        <v>Sunday</v>
      </c>
      <c r="D319" s="1645" t="s">
        <v>1640</v>
      </c>
      <c r="E319" s="1675">
        <f t="shared" si="88"/>
      </c>
      <c r="F319" s="1649" t="s">
        <v>1560</v>
      </c>
      <c r="G319" s="1794"/>
      <c r="H319" s="1649" t="s">
        <v>1471</v>
      </c>
      <c r="I319" s="1738"/>
      <c r="J319" s="1673"/>
      <c r="K319" s="1651"/>
      <c r="L319" s="1651"/>
      <c r="M319" s="1651"/>
      <c r="N319" s="1651"/>
      <c r="O319" s="1651"/>
      <c r="P319" s="1651"/>
    </row>
    <row customHeight="true" ht="18.452380952380953" r="320">
      <c r="A320" s="1670" t="s">
        <v>1683</v>
      </c>
      <c r="B320" s="1644">
        <v>46279</v>
      </c>
      <c r="C320" s="1670" t="str">
        <v>Monday</v>
      </c>
      <c r="D320" s="1645" t="s">
        <v>1643</v>
      </c>
      <c r="E320" s="1649">
        <f t="shared" si="88"/>
      </c>
      <c r="F320" s="1649" t="s">
        <v>1576</v>
      </c>
      <c r="G320" s="1791"/>
      <c r="H320" s="1649" t="s">
        <v>1471</v>
      </c>
      <c r="I320" s="1675" t="s">
        <v>1446</v>
      </c>
      <c r="J320" s="1673"/>
      <c r="K320" s="1789"/>
      <c r="L320" s="1789"/>
      <c r="M320" s="1789"/>
      <c r="N320" s="1789"/>
      <c r="O320" s="1789"/>
      <c r="P320" s="1789"/>
    </row>
    <row customHeight="true" ht="18.452380952380953" r="321">
      <c r="A321" s="1670" t="s">
        <v>1683</v>
      </c>
      <c r="B321" s="1644">
        <v>46282</v>
      </c>
      <c r="C321" s="1670" t="str">
        <v>Thursday</v>
      </c>
      <c r="D321" s="1645" t="s">
        <v>1671</v>
      </c>
      <c r="E321" s="1649">
        <f t="shared" si="88"/>
      </c>
      <c r="F321" s="1649" t="s">
        <v>1684</v>
      </c>
      <c r="G321" s="1791"/>
      <c r="H321" s="1649" t="s">
        <v>1471</v>
      </c>
      <c r="I321" s="1675" t="s">
        <v>1446</v>
      </c>
      <c r="J321" s="1673"/>
      <c r="K321" s="1789"/>
      <c r="L321" s="1789"/>
      <c r="M321" s="1789"/>
      <c r="N321" s="1789"/>
      <c r="O321" s="1789"/>
      <c r="P321" s="1789"/>
    </row>
    <row customHeight="true" ht="18.452380952380953" r="322">
      <c r="A322" s="1670"/>
      <c r="B322" s="1670"/>
      <c r="C322" s="1670"/>
      <c r="D322" s="1675"/>
      <c r="E322" s="1675"/>
      <c r="F322" s="1793"/>
      <c r="G322" s="1679"/>
      <c r="H322" s="1675"/>
      <c r="I322" s="1675"/>
      <c r="J322" s="1650"/>
      <c r="K322" s="1651"/>
      <c r="L322" s="1651"/>
      <c r="M322" s="1651"/>
      <c r="N322" s="1651"/>
      <c r="O322" s="1651"/>
      <c r="P322" s="1651"/>
    </row>
    <row r="323">
      <c r="A323" s="1920" t="s">
        <v>1457</v>
      </c>
      <c r="B323" s="1921" t="s">
        <v>1458</v>
      </c>
      <c r="C323" s="1921"/>
      <c r="D323" s="1922" t="s">
        <v>1459</v>
      </c>
      <c r="E323" s="1922" t="s">
        <v>1460</v>
      </c>
      <c r="F323" s="1922" t="s">
        <v>1461</v>
      </c>
      <c r="G323" s="1923" t="s">
        <v>1473</v>
      </c>
      <c r="H323" s="1922" t="s">
        <v>1463</v>
      </c>
      <c r="I323" s="1922" t="s">
        <v>1464</v>
      </c>
      <c r="J323" s="1924" t="s">
        <v>1465</v>
      </c>
      <c r="K323" s="1669"/>
      <c r="L323" s="1669"/>
      <c r="M323" s="1669"/>
      <c r="N323" s="1669"/>
      <c r="O323" s="1669"/>
      <c r="P323" s="1669"/>
    </row>
    <row r="324">
      <c r="A324" s="1785" t="s">
        <v>1685</v>
      </c>
      <c r="B324" s="1790">
        <v>46279</v>
      </c>
      <c r="C324" s="1785" t="str">
        <v>Monday</v>
      </c>
      <c r="D324" s="1786" t="s">
        <v>1686</v>
      </c>
      <c r="E324" s="1787">
        <f t="shared" ref="E324:E344" si="89">24*MOD(TIMEVALUE(TRIM(MID(D324,FIND("-",D324)+1,LEN(D324)))) - TIMEVALUE(TRIM(LEFT(D324,FIND("-",D324)-1))),1)</f>
      </c>
      <c r="F324" s="1793" t="s">
        <v>1687</v>
      </c>
      <c r="G324" s="1809"/>
      <c r="H324" s="1787"/>
      <c r="I324" s="1787" t="s">
        <v>1446</v>
      </c>
      <c r="J324" s="1851"/>
      <c r="K324" s="1807"/>
      <c r="L324" s="1807"/>
      <c r="M324" s="1807"/>
      <c r="N324" s="1807"/>
      <c r="O324" s="1807"/>
      <c r="P324" s="1807"/>
    </row>
    <row customHeight="true" ht="18.452380952380953" r="325">
      <c r="A325" s="1785" t="s">
        <v>1685</v>
      </c>
      <c r="B325" s="1790">
        <v>46280</v>
      </c>
      <c r="C325" s="1785" t="str">
        <v>Tuesday</v>
      </c>
      <c r="D325" s="1786" t="s">
        <v>1555</v>
      </c>
      <c r="E325" s="1787">
        <f t="shared" si="89"/>
      </c>
      <c r="F325" s="1793" t="s">
        <v>1687</v>
      </c>
      <c r="G325" s="1809"/>
      <c r="H325" s="1787"/>
      <c r="I325" s="1787" t="s">
        <v>1446</v>
      </c>
      <c r="J325" s="1851" t="s">
        <v>1688</v>
      </c>
      <c r="K325" s="1807"/>
      <c r="L325" s="1807"/>
      <c r="M325" s="1807"/>
      <c r="N325" s="1807"/>
      <c r="O325" s="1807"/>
      <c r="P325" s="1807"/>
    </row>
    <row customHeight="true" ht="18.452380952380953" r="326">
      <c r="A326" s="1785" t="s">
        <v>1685</v>
      </c>
      <c r="B326" s="1790">
        <v>46281</v>
      </c>
      <c r="C326" s="1785" t="str">
        <v>Wednesday</v>
      </c>
      <c r="D326" s="1786" t="s">
        <v>1550</v>
      </c>
      <c r="E326" s="1787">
        <f t="shared" si="89"/>
      </c>
      <c r="F326" s="1793" t="s">
        <v>1687</v>
      </c>
      <c r="G326" s="1809"/>
      <c r="H326" s="1787"/>
      <c r="I326" s="1787" t="s">
        <v>1446</v>
      </c>
      <c r="J326" s="1851" t="s">
        <v>1688</v>
      </c>
      <c r="K326" s="1807"/>
      <c r="L326" s="1807"/>
      <c r="M326" s="1807"/>
      <c r="N326" s="1807"/>
      <c r="O326" s="1807"/>
      <c r="P326" s="1807"/>
    </row>
    <row customHeight="true" ht="18.452380952380953" r="327">
      <c r="A327" s="1785" t="s">
        <v>1685</v>
      </c>
      <c r="B327" s="1790">
        <v>46281</v>
      </c>
      <c r="C327" s="1785" t="str">
        <v>Wednesday</v>
      </c>
      <c r="D327" s="1786" t="s">
        <v>1494</v>
      </c>
      <c r="E327" s="1787">
        <f t="shared" si="89"/>
      </c>
      <c r="F327" s="1793" t="s">
        <v>1662</v>
      </c>
      <c r="G327" s="1809"/>
      <c r="H327" s="1787"/>
      <c r="I327" s="1787" t="s">
        <v>1446</v>
      </c>
      <c r="J327" s="1851" t="s">
        <v>1688</v>
      </c>
      <c r="K327" s="1807"/>
      <c r="L327" s="1807"/>
      <c r="M327" s="1807"/>
      <c r="N327" s="1807"/>
      <c r="O327" s="1807"/>
      <c r="P327" s="1807"/>
    </row>
    <row customHeight="true" ht="18.452380952380953" r="328">
      <c r="A328" s="1785" t="s">
        <v>1685</v>
      </c>
      <c r="B328" s="1790">
        <v>46282</v>
      </c>
      <c r="C328" s="1785" t="str">
        <v>Thursday</v>
      </c>
      <c r="D328" s="1786" t="s">
        <v>1509</v>
      </c>
      <c r="E328" s="1787">
        <f t="shared" si="89"/>
      </c>
      <c r="F328" s="1793" t="s">
        <v>1687</v>
      </c>
      <c r="G328" s="1809"/>
      <c r="H328" s="1787"/>
      <c r="I328" s="1787" t="s">
        <v>1446</v>
      </c>
      <c r="J328" s="1851" t="s">
        <v>1688</v>
      </c>
      <c r="K328" s="1807"/>
      <c r="L328" s="1807"/>
      <c r="M328" s="1807"/>
      <c r="N328" s="1807"/>
      <c r="O328" s="1807"/>
      <c r="P328" s="1807"/>
    </row>
    <row customHeight="true" ht="18.452380952380953" r="329">
      <c r="A329" s="1670" t="s">
        <v>1685</v>
      </c>
      <c r="B329" s="1644">
        <v>46283</v>
      </c>
      <c r="C329" s="1670" t="str">
        <v>Friday</v>
      </c>
      <c r="D329" s="1786" t="s">
        <v>1509</v>
      </c>
      <c r="E329" s="1675">
        <f t="shared" si="89"/>
      </c>
      <c r="F329" s="1793" t="s">
        <v>1687</v>
      </c>
      <c r="G329" s="1689"/>
      <c r="H329" s="1675"/>
      <c r="I329" s="1675" t="s">
        <v>1446</v>
      </c>
      <c r="J329" s="1650"/>
      <c r="K329" s="1651"/>
      <c r="L329" s="1651"/>
      <c r="M329" s="1651"/>
      <c r="N329" s="1651"/>
      <c r="O329" s="1651"/>
      <c r="P329" s="1651"/>
    </row>
    <row customHeight="true" ht="18.452380952380953" r="330">
      <c r="A330" s="1670" t="s">
        <v>1685</v>
      </c>
      <c r="B330" s="1644">
        <v>46284</v>
      </c>
      <c r="C330" s="1670" t="str">
        <v>Saturday</v>
      </c>
      <c r="D330" s="1786" t="s">
        <v>1689</v>
      </c>
      <c r="E330" s="1675">
        <f t="shared" si="89"/>
      </c>
      <c r="F330" s="1793" t="s">
        <v>1687</v>
      </c>
      <c r="G330" s="1689"/>
      <c r="H330" s="1675"/>
      <c r="I330" s="1675" t="s">
        <v>1446</v>
      </c>
      <c r="J330" s="1650"/>
      <c r="K330" s="1651"/>
      <c r="L330" s="1651"/>
      <c r="M330" s="1651"/>
      <c r="N330" s="1651"/>
      <c r="O330" s="1651"/>
      <c r="P330" s="1651"/>
    </row>
    <row customHeight="true" ht="18.452380952380953" r="331">
      <c r="A331" s="1670" t="s">
        <v>1685</v>
      </c>
      <c r="B331" s="1644">
        <v>46284</v>
      </c>
      <c r="C331" s="1670" t="str">
        <v>Saturday</v>
      </c>
      <c r="D331" s="1786" t="s">
        <v>1581</v>
      </c>
      <c r="E331" s="1675">
        <f t="shared" si="89"/>
      </c>
      <c r="F331" s="1793" t="s">
        <v>1662</v>
      </c>
      <c r="G331" s="1689"/>
      <c r="H331" s="1675"/>
      <c r="I331" s="1675" t="s">
        <v>1446</v>
      </c>
      <c r="J331" s="1650"/>
      <c r="K331" s="1651"/>
      <c r="L331" s="1651"/>
      <c r="M331" s="1651"/>
      <c r="N331" s="1651"/>
      <c r="O331" s="1651"/>
      <c r="P331" s="1651"/>
    </row>
    <row customHeight="true" ht="18.452380952380953" r="332">
      <c r="A332" s="1670" t="s">
        <v>1685</v>
      </c>
      <c r="B332" s="1644">
        <v>46285</v>
      </c>
      <c r="C332" s="1670" t="str">
        <v>Sunday</v>
      </c>
      <c r="D332" s="1786" t="s">
        <v>1509</v>
      </c>
      <c r="E332" s="1675">
        <f t="shared" si="89"/>
      </c>
      <c r="F332" s="1793" t="s">
        <v>1662</v>
      </c>
      <c r="G332" s="1689"/>
      <c r="H332" s="1675"/>
      <c r="I332" s="1675" t="s">
        <v>1446</v>
      </c>
      <c r="J332" s="1650"/>
      <c r="K332" s="1651"/>
      <c r="L332" s="1651"/>
      <c r="M332" s="1651"/>
      <c r="N332" s="1651"/>
      <c r="O332" s="1651"/>
      <c r="P332" s="1651"/>
    </row>
    <row r="333">
      <c r="A333" s="1670" t="s">
        <v>1690</v>
      </c>
      <c r="B333" s="1790">
        <v>46279</v>
      </c>
      <c r="C333" s="1670" t="str">
        <v>Monday</v>
      </c>
      <c r="D333" s="1786" t="s">
        <v>1691</v>
      </c>
      <c r="E333" s="1675">
        <f t="shared" si="89"/>
      </c>
      <c r="F333" s="1678" t="s">
        <v>1668</v>
      </c>
      <c r="G333" s="1679"/>
      <c r="H333" s="1675"/>
      <c r="I333" s="1675" t="s">
        <v>1446</v>
      </c>
      <c r="J333" s="1646" t="s">
        <v>1692</v>
      </c>
      <c r="K333" s="1651"/>
      <c r="L333" s="1651"/>
      <c r="M333" s="1651"/>
      <c r="N333" s="1651"/>
      <c r="O333" s="1651"/>
      <c r="P333" s="1651"/>
    </row>
    <row customHeight="true" ht="18.452380952380953" r="334">
      <c r="A334" s="1670" t="s">
        <v>1690</v>
      </c>
      <c r="B334" s="1790">
        <v>46280</v>
      </c>
      <c r="C334" s="1670" t="str">
        <v>Tuesday</v>
      </c>
      <c r="D334" s="1786" t="s">
        <v>1555</v>
      </c>
      <c r="E334" s="1675">
        <f t="shared" si="89"/>
      </c>
      <c r="F334" s="1678" t="s">
        <v>1668</v>
      </c>
      <c r="G334" s="1679"/>
      <c r="H334" s="1675"/>
      <c r="I334" s="1675" t="s">
        <v>1446</v>
      </c>
      <c r="J334" s="1646" t="s">
        <v>1692</v>
      </c>
      <c r="K334" s="1651"/>
      <c r="L334" s="1651"/>
      <c r="M334" s="1651"/>
      <c r="N334" s="1651"/>
      <c r="O334" s="1651"/>
      <c r="P334" s="1651"/>
    </row>
    <row customHeight="true" ht="18.452380952380953" r="335">
      <c r="A335" s="1670" t="s">
        <v>1690</v>
      </c>
      <c r="B335" s="1790">
        <v>46281</v>
      </c>
      <c r="C335" s="1670" t="str">
        <v>Wednesday</v>
      </c>
      <c r="D335" s="1786" t="s">
        <v>1550</v>
      </c>
      <c r="E335" s="1675">
        <f t="shared" si="89"/>
      </c>
      <c r="F335" s="1678" t="s">
        <v>1693</v>
      </c>
      <c r="G335" s="1679"/>
      <c r="H335" s="1675"/>
      <c r="I335" s="1675" t="s">
        <v>1446</v>
      </c>
      <c r="J335" s="1646" t="s">
        <v>1692</v>
      </c>
      <c r="K335" s="1651"/>
      <c r="L335" s="1651"/>
      <c r="M335" s="1651"/>
      <c r="N335" s="1651"/>
      <c r="O335" s="1651"/>
      <c r="P335" s="1651"/>
    </row>
    <row customHeight="true" ht="18.452380952380953" r="336">
      <c r="A336" s="1670" t="s">
        <v>1690</v>
      </c>
      <c r="B336" s="1790">
        <v>46281</v>
      </c>
      <c r="C336" s="1670" t="str">
        <v>Wednesday</v>
      </c>
      <c r="D336" s="1786" t="s">
        <v>1494</v>
      </c>
      <c r="E336" s="1675">
        <f t="shared" si="89"/>
      </c>
      <c r="F336" s="1678" t="s">
        <v>1668</v>
      </c>
      <c r="G336" s="1679"/>
      <c r="H336" s="1675"/>
      <c r="I336" s="1675" t="s">
        <v>1446</v>
      </c>
      <c r="J336" s="1646" t="s">
        <v>1692</v>
      </c>
      <c r="K336" s="1651"/>
      <c r="L336" s="1651"/>
      <c r="M336" s="1651"/>
      <c r="N336" s="1651"/>
      <c r="O336" s="1651"/>
      <c r="P336" s="1651"/>
    </row>
    <row customHeight="true" ht="18.452380952380953" r="337">
      <c r="A337" s="1785" t="s">
        <v>1690</v>
      </c>
      <c r="B337" s="1790">
        <v>46282</v>
      </c>
      <c r="C337" s="1785" t="str">
        <v>Thursday</v>
      </c>
      <c r="D337" s="1786" t="s">
        <v>1499</v>
      </c>
      <c r="E337" s="1787">
        <f t="shared" si="89"/>
      </c>
      <c r="F337" s="1678" t="s">
        <v>1684</v>
      </c>
      <c r="G337" s="1916"/>
      <c r="H337" s="1787"/>
      <c r="I337" s="1787" t="s">
        <v>1446</v>
      </c>
      <c r="J337" s="1869"/>
      <c r="K337" s="1651"/>
      <c r="L337" s="1651"/>
      <c r="M337" s="1651"/>
      <c r="N337" s="1651"/>
      <c r="O337" s="1651"/>
      <c r="P337" s="1651"/>
      <c r="Q337" s="1700"/>
      <c r="R337" s="1700"/>
    </row>
    <row customHeight="true" ht="18.452380952380953" r="338">
      <c r="A338" s="1785" t="s">
        <v>1690</v>
      </c>
      <c r="B338" s="1790">
        <v>46282</v>
      </c>
      <c r="C338" s="1785" t="str">
        <v>Thursday</v>
      </c>
      <c r="D338" s="1786" t="s">
        <v>1694</v>
      </c>
      <c r="E338" s="1787">
        <f t="shared" si="89"/>
      </c>
      <c r="F338" s="1678" t="s">
        <v>1693</v>
      </c>
      <c r="G338" s="1916"/>
      <c r="H338" s="1787"/>
      <c r="I338" s="1787" t="s">
        <v>1446</v>
      </c>
      <c r="J338" s="1869"/>
      <c r="K338" s="1651"/>
      <c r="L338" s="1651"/>
      <c r="M338" s="1651"/>
      <c r="N338" s="1651"/>
      <c r="O338" s="1651"/>
      <c r="P338" s="1651"/>
      <c r="Q338" s="1700"/>
      <c r="R338" s="1700"/>
    </row>
    <row r="339">
      <c r="A339" s="1670" t="s">
        <v>1690</v>
      </c>
      <c r="B339" s="1644">
        <v>46283</v>
      </c>
      <c r="C339" s="1670" t="str">
        <v>Friday</v>
      </c>
      <c r="D339" s="1786" t="s">
        <v>1695</v>
      </c>
      <c r="E339" s="1675">
        <f t="shared" si="89"/>
      </c>
      <c r="F339" s="1678" t="s">
        <v>1693</v>
      </c>
      <c r="G339" s="1679"/>
      <c r="H339" s="1675"/>
      <c r="I339" s="1675" t="s">
        <v>1446</v>
      </c>
      <c r="J339" s="1650"/>
      <c r="K339" s="1651"/>
      <c r="L339" s="1651"/>
      <c r="M339" s="1651"/>
      <c r="N339" s="1651"/>
      <c r="O339" s="1651"/>
      <c r="P339" s="1651"/>
    </row>
    <row customHeight="true" ht="18.452380952380953" r="340">
      <c r="A340" s="1670" t="s">
        <v>1690</v>
      </c>
      <c r="B340" s="1644">
        <v>46283</v>
      </c>
      <c r="C340" s="1670" t="str">
        <v>Friday</v>
      </c>
      <c r="D340" s="1786" t="s">
        <v>1696</v>
      </c>
      <c r="E340" s="1675">
        <f t="shared" si="89"/>
      </c>
      <c r="F340" s="1678" t="s">
        <v>1618</v>
      </c>
      <c r="G340" s="1679"/>
      <c r="H340" s="1675"/>
      <c r="I340" s="1675" t="s">
        <v>1446</v>
      </c>
      <c r="J340" s="1650"/>
      <c r="K340" s="1651"/>
      <c r="L340" s="1651"/>
      <c r="M340" s="1651"/>
      <c r="N340" s="1651"/>
      <c r="O340" s="1651"/>
      <c r="P340" s="1651"/>
    </row>
    <row customHeight="true" ht="18.452380952380953" r="341">
      <c r="A341" s="1670" t="s">
        <v>1690</v>
      </c>
      <c r="B341" s="1644">
        <v>46284</v>
      </c>
      <c r="C341" s="1670" t="str">
        <v>Saturday</v>
      </c>
      <c r="D341" s="1786" t="s">
        <v>1689</v>
      </c>
      <c r="E341" s="1675">
        <f t="shared" si="89"/>
      </c>
      <c r="F341" s="1678" t="s">
        <v>1560</v>
      </c>
      <c r="G341" s="1679"/>
      <c r="H341" s="1675"/>
      <c r="I341" s="1675" t="s">
        <v>1446</v>
      </c>
      <c r="J341" s="1650"/>
      <c r="K341" s="1651"/>
      <c r="L341" s="1651"/>
      <c r="M341" s="1651"/>
      <c r="N341" s="1651"/>
      <c r="O341" s="1651"/>
      <c r="P341" s="1651"/>
    </row>
    <row customHeight="true" ht="18.452380952380953" r="342">
      <c r="A342" s="1670" t="s">
        <v>1690</v>
      </c>
      <c r="B342" s="1644">
        <v>46284</v>
      </c>
      <c r="C342" s="1670" t="str">
        <v>Saturday</v>
      </c>
      <c r="D342" s="1786" t="s">
        <v>1581</v>
      </c>
      <c r="E342" s="1675">
        <f t="shared" si="89"/>
      </c>
      <c r="F342" s="1678" t="s">
        <v>1684</v>
      </c>
      <c r="G342" s="1679"/>
      <c r="H342" s="1675"/>
      <c r="I342" s="1675" t="s">
        <v>1446</v>
      </c>
      <c r="J342" s="1650"/>
      <c r="K342" s="1651"/>
      <c r="L342" s="1651"/>
      <c r="M342" s="1651"/>
      <c r="N342" s="1651"/>
      <c r="O342" s="1651"/>
      <c r="P342" s="1651"/>
    </row>
    <row customHeight="true" ht="18.452380952380953" r="343">
      <c r="A343" s="1670" t="s">
        <v>1690</v>
      </c>
      <c r="B343" s="1644">
        <v>46285</v>
      </c>
      <c r="C343" s="1670" t="str">
        <v>Sunday</v>
      </c>
      <c r="D343" s="1786" t="s">
        <v>1499</v>
      </c>
      <c r="E343" s="1675">
        <f t="shared" si="89"/>
      </c>
      <c r="F343" s="1678" t="s">
        <v>1684</v>
      </c>
      <c r="G343" s="1679"/>
      <c r="H343" s="1675"/>
      <c r="I343" s="1675" t="s">
        <v>1446</v>
      </c>
      <c r="J343" s="1650"/>
      <c r="K343" s="1651"/>
      <c r="L343" s="1651"/>
      <c r="M343" s="1651"/>
      <c r="N343" s="1651"/>
      <c r="O343" s="1651"/>
      <c r="P343" s="1651"/>
    </row>
    <row customHeight="true" ht="18.452380952380953" r="344">
      <c r="A344" s="1670" t="s">
        <v>1690</v>
      </c>
      <c r="B344" s="1644">
        <v>46285</v>
      </c>
      <c r="C344" s="1670" t="str">
        <v>Sunday</v>
      </c>
      <c r="D344" s="1786" t="s">
        <v>1694</v>
      </c>
      <c r="E344" s="1675">
        <f t="shared" si="89"/>
      </c>
      <c r="F344" s="1678" t="s">
        <v>1693</v>
      </c>
      <c r="G344" s="1679"/>
      <c r="H344" s="1675"/>
      <c r="I344" s="1675" t="s">
        <v>1446</v>
      </c>
      <c r="J344" s="1650"/>
      <c r="K344" s="1651"/>
      <c r="L344" s="1651"/>
      <c r="M344" s="1651"/>
      <c r="N344" s="1651"/>
      <c r="O344" s="1651"/>
      <c r="P344" s="1651"/>
    </row>
    <row customHeight="true" ht="18.452380952380953" r="345">
      <c r="A345" s="1670"/>
      <c r="B345" s="1644"/>
      <c r="C345" s="1670"/>
      <c r="D345" s="1786"/>
      <c r="E345" s="1675"/>
      <c r="F345" s="1678"/>
      <c r="G345" s="1679"/>
      <c r="H345" s="1675"/>
      <c r="I345" s="1675"/>
      <c r="J345" s="1650"/>
      <c r="K345" s="1651"/>
      <c r="L345" s="1651"/>
      <c r="M345" s="1651"/>
      <c r="N345" s="1651"/>
      <c r="O345" s="1651"/>
      <c r="P345" s="1651"/>
    </row>
    <row r="346">
      <c r="A346" s="1925" t="s">
        <v>1697</v>
      </c>
      <c r="B346" s="1926"/>
      <c r="C346" s="1926"/>
      <c r="D346" s="1926"/>
      <c r="E346" s="1926"/>
      <c r="F346" s="1926"/>
      <c r="G346" s="1926"/>
      <c r="H346" s="1926"/>
      <c r="I346" s="1926"/>
      <c r="J346" s="1927"/>
      <c r="K346" s="1683"/>
      <c r="L346" s="1683"/>
      <c r="M346" s="1683"/>
      <c r="N346" s="1683"/>
      <c r="O346" s="1683"/>
      <c r="P346" s="1683"/>
    </row>
    <row r="347">
      <c r="A347" s="1920" t="s">
        <v>1457</v>
      </c>
      <c r="B347" s="1921" t="s">
        <v>1458</v>
      </c>
      <c r="C347" s="1921"/>
      <c r="D347" s="1922" t="s">
        <v>1459</v>
      </c>
      <c r="E347" s="1922" t="s">
        <v>1460</v>
      </c>
      <c r="F347" s="1922" t="s">
        <v>1461</v>
      </c>
      <c r="G347" s="1923" t="s">
        <v>1473</v>
      </c>
      <c r="H347" s="1922" t="s">
        <v>1463</v>
      </c>
      <c r="I347" s="1922" t="s">
        <v>1464</v>
      </c>
      <c r="J347" s="1924" t="s">
        <v>1465</v>
      </c>
      <c r="K347" s="1669"/>
      <c r="L347" s="1669"/>
      <c r="M347" s="1669"/>
      <c r="N347" s="1669"/>
      <c r="O347" s="1669"/>
      <c r="P347" s="1669"/>
    </row>
    <row customHeight="true" ht="18.452380952380953" r="348">
      <c r="A348" s="1670"/>
      <c r="B348" s="1644"/>
      <c r="C348" s="1670"/>
      <c r="D348" s="1645"/>
      <c r="E348" s="1675"/>
      <c r="F348" s="1928"/>
      <c r="G348" s="1689"/>
      <c r="H348" s="1649"/>
      <c r="I348" s="1675"/>
      <c r="J348" s="1646"/>
      <c r="K348" s="1651"/>
      <c r="L348" s="1651"/>
      <c r="M348" s="1651"/>
      <c r="N348" s="1651"/>
      <c r="O348" s="1651"/>
      <c r="P348" s="1651"/>
    </row>
    <row customHeight="true" ht="18.452380952380953" r="349">
      <c r="A349" s="1670"/>
      <c r="B349" s="1644"/>
      <c r="C349" s="1670"/>
      <c r="D349" s="1645"/>
      <c r="E349" s="1675"/>
      <c r="F349" s="1928"/>
      <c r="G349" s="1689"/>
      <c r="H349" s="1649"/>
      <c r="I349" s="1675"/>
      <c r="J349" s="1646"/>
      <c r="K349" s="1651"/>
      <c r="L349" s="1651"/>
      <c r="M349" s="1651"/>
      <c r="N349" s="1651"/>
      <c r="O349" s="1651"/>
      <c r="P349" s="1651"/>
    </row>
    <row customHeight="true" ht="18.452380952380953" r="350">
      <c r="A350" s="1670"/>
      <c r="B350" s="1644"/>
      <c r="C350" s="1670"/>
      <c r="D350" s="1645"/>
      <c r="E350" s="1675"/>
      <c r="F350" s="1928"/>
      <c r="G350" s="1689"/>
      <c r="H350" s="1649"/>
      <c r="I350" s="1675"/>
      <c r="J350" s="1646"/>
      <c r="K350" s="1651"/>
      <c r="L350" s="1651"/>
      <c r="M350" s="1651"/>
      <c r="N350" s="1651"/>
      <c r="O350" s="1651"/>
      <c r="P350" s="1651"/>
    </row>
    <row customHeight="true" ht="18.452380952380953" r="351">
      <c r="A351" s="1670"/>
      <c r="B351" s="1644"/>
      <c r="C351" s="1670"/>
      <c r="D351" s="1645"/>
      <c r="E351" s="1675"/>
      <c r="F351" s="1678"/>
      <c r="G351" s="1689"/>
      <c r="H351" s="1649"/>
      <c r="I351" s="1675"/>
      <c r="J351" s="1646"/>
      <c r="K351" s="1651"/>
      <c r="L351" s="1651"/>
      <c r="M351" s="1651"/>
      <c r="N351" s="1651"/>
      <c r="O351" s="1651"/>
      <c r="P351" s="1651"/>
    </row>
    <row customHeight="true" ht="18.452380952380953" r="352">
      <c r="A352" s="1670"/>
      <c r="B352" s="1644"/>
      <c r="C352" s="1670"/>
      <c r="D352" s="1645"/>
      <c r="E352" s="1675"/>
      <c r="F352" s="1678"/>
      <c r="G352" s="1689"/>
      <c r="H352" s="1649"/>
      <c r="I352" s="1675"/>
      <c r="J352" s="1646"/>
      <c r="K352" s="1651"/>
      <c r="L352" s="1651"/>
      <c r="M352" s="1651"/>
      <c r="N352" s="1651"/>
      <c r="O352" s="1651"/>
      <c r="P352" s="1651"/>
    </row>
    <row customHeight="true" ht="18.452380952380953" r="353">
      <c r="A353" s="1670"/>
      <c r="B353" s="1644"/>
      <c r="C353" s="1670"/>
      <c r="D353" s="1919"/>
      <c r="E353" s="1675"/>
      <c r="F353" s="1678"/>
      <c r="G353" s="1679"/>
      <c r="H353" s="1649"/>
      <c r="I353" s="1675"/>
      <c r="J353" s="1929"/>
      <c r="K353" s="1651"/>
      <c r="L353" s="1651"/>
      <c r="M353" s="1651"/>
      <c r="N353" s="1651"/>
      <c r="O353" s="1651"/>
      <c r="P353" s="1651"/>
    </row>
    <row customHeight="true" ht="18.452380952380953" r="354">
      <c r="A354" s="1670"/>
      <c r="B354" s="1644"/>
      <c r="C354" s="1670"/>
      <c r="D354" s="1645"/>
      <c r="E354" s="1675"/>
      <c r="F354" s="1678"/>
      <c r="G354" s="1679"/>
      <c r="H354" s="1649"/>
      <c r="I354" s="1675"/>
      <c r="J354" s="1646"/>
      <c r="K354" s="1651"/>
      <c r="L354" s="1651"/>
      <c r="M354" s="1651"/>
      <c r="N354" s="1651"/>
      <c r="O354" s="1651"/>
      <c r="P354" s="1651"/>
    </row>
    <row customHeight="true" ht="18.452380952380953" r="355">
      <c r="A355" s="1670"/>
      <c r="B355" s="1644"/>
      <c r="C355" s="1670"/>
      <c r="D355" s="1645"/>
      <c r="E355" s="1675"/>
      <c r="F355" s="1678"/>
      <c r="G355" s="1689"/>
      <c r="H355" s="1649"/>
      <c r="I355" s="1675"/>
      <c r="J355" s="1646"/>
      <c r="K355" s="1651"/>
      <c r="L355" s="1651"/>
      <c r="M355" s="1651"/>
      <c r="N355" s="1651"/>
      <c r="O355" s="1651"/>
      <c r="P355" s="1651"/>
    </row>
    <row r="356">
      <c r="A356" s="1930" t="s">
        <v>1698</v>
      </c>
      <c r="B356" s="1931"/>
      <c r="C356" s="1931"/>
      <c r="D356" s="1931"/>
      <c r="E356" s="1931"/>
      <c r="F356" s="1931"/>
      <c r="G356" s="1931"/>
      <c r="H356" s="1931"/>
      <c r="I356" s="1931"/>
      <c r="J356" s="1932"/>
      <c r="K356" s="1683"/>
      <c r="L356" s="1683"/>
      <c r="M356" s="1683"/>
      <c r="N356" s="1683"/>
      <c r="O356" s="1683"/>
      <c r="P356" s="1683"/>
    </row>
    <row r="357">
      <c r="A357" s="1933" t="s">
        <v>1457</v>
      </c>
      <c r="B357" s="1827" t="s">
        <v>1458</v>
      </c>
      <c r="C357" s="1827"/>
      <c r="D357" s="1934" t="s">
        <v>1459</v>
      </c>
      <c r="E357" s="1934" t="s">
        <v>1460</v>
      </c>
      <c r="F357" s="1934" t="s">
        <v>1461</v>
      </c>
      <c r="G357" s="1935" t="s">
        <v>1473</v>
      </c>
      <c r="H357" s="1934" t="s">
        <v>1463</v>
      </c>
      <c r="I357" s="1934" t="s">
        <v>1464</v>
      </c>
      <c r="J357" s="1832" t="s">
        <v>1465</v>
      </c>
      <c r="K357" s="1669"/>
      <c r="L357" s="1669"/>
      <c r="M357" s="1669"/>
      <c r="N357" s="1669"/>
      <c r="O357" s="1669"/>
      <c r="P357" s="1669"/>
    </row>
    <row customHeight="true" ht="18.452380952380953" r="358">
      <c r="A358" s="1670" t="s">
        <v>1698</v>
      </c>
      <c r="B358" s="1790">
        <v>46279</v>
      </c>
      <c r="C358" s="1670" t="str">
        <v>Monday</v>
      </c>
      <c r="D358" s="1645" t="s">
        <v>1554</v>
      </c>
      <c r="E358" s="1675">
        <f t="shared" ref="E358:E373" si="90">24*MOD(TIMEVALUE(TRIM(MID(D358,FIND("-",D358)+1,LEN(D358)))) - TIMEVALUE(TRIM(LEFT(D358,FIND("-",D358)-1))),1)</f>
      </c>
      <c r="F358" s="1678" t="s">
        <v>1487</v>
      </c>
      <c r="G358" s="1679"/>
      <c r="H358" s="1675" t="s">
        <v>1471</v>
      </c>
      <c r="I358" s="1675"/>
      <c r="J358" s="1650"/>
      <c r="K358" s="1789"/>
      <c r="L358" s="1789"/>
      <c r="M358" s="1789"/>
      <c r="N358" s="1789"/>
      <c r="O358" s="1789"/>
      <c r="P358" s="1789"/>
      <c r="Q358" s="1680"/>
      <c r="R358" s="1680"/>
    </row>
    <row customHeight="true" ht="18.452380952380953" r="359">
      <c r="A359" s="1670" t="s">
        <v>1698</v>
      </c>
      <c r="B359" s="1790">
        <v>46280</v>
      </c>
      <c r="C359" s="1670" t="str">
        <v>Tuesday</v>
      </c>
      <c r="D359" s="1645" t="s">
        <v>1699</v>
      </c>
      <c r="E359" s="1675">
        <f t="shared" si="90"/>
      </c>
      <c r="F359" s="1678" t="s">
        <v>1487</v>
      </c>
      <c r="G359" s="1679"/>
      <c r="H359" s="1675" t="s">
        <v>1471</v>
      </c>
      <c r="I359" s="1675"/>
      <c r="J359" s="1650"/>
      <c r="K359" s="1789"/>
      <c r="L359" s="1789"/>
      <c r="M359" s="1789"/>
      <c r="N359" s="1789"/>
      <c r="O359" s="1789"/>
      <c r="P359" s="1789"/>
      <c r="Q359" s="1680"/>
      <c r="R359" s="1680"/>
    </row>
    <row customHeight="true" ht="18.452380952380953" r="360">
      <c r="A360" s="1670" t="s">
        <v>1698</v>
      </c>
      <c r="B360" s="1790">
        <v>46281</v>
      </c>
      <c r="C360" s="1670" t="str">
        <v>Wednesday</v>
      </c>
      <c r="D360" s="1645" t="s">
        <v>1614</v>
      </c>
      <c r="E360" s="1675">
        <f t="shared" si="90"/>
      </c>
      <c r="F360" s="1678" t="s">
        <v>1662</v>
      </c>
      <c r="G360" s="1679"/>
      <c r="H360" s="1675" t="s">
        <v>1471</v>
      </c>
      <c r="I360" s="1675"/>
      <c r="J360" s="1650"/>
      <c r="K360" s="1789"/>
      <c r="L360" s="1789"/>
      <c r="M360" s="1789"/>
      <c r="N360" s="1789"/>
      <c r="O360" s="1789"/>
      <c r="P360" s="1789"/>
      <c r="Q360" s="1680"/>
      <c r="R360" s="1680"/>
    </row>
    <row customHeight="true" ht="18.452380952380953" r="361">
      <c r="A361" s="1670" t="s">
        <v>1698</v>
      </c>
      <c r="B361" s="1790">
        <v>46282</v>
      </c>
      <c r="C361" s="1670" t="str">
        <v>Thursday</v>
      </c>
      <c r="D361" s="1645" t="s">
        <v>1499</v>
      </c>
      <c r="E361" s="1675">
        <f t="shared" si="90"/>
      </c>
      <c r="F361" s="1678" t="s">
        <v>1680</v>
      </c>
      <c r="G361" s="1679"/>
      <c r="H361" s="1675" t="s">
        <v>1471</v>
      </c>
      <c r="I361" s="1675"/>
      <c r="J361" s="1650"/>
      <c r="K361" s="1789"/>
      <c r="L361" s="1789"/>
      <c r="M361" s="1789"/>
      <c r="N361" s="1789"/>
      <c r="O361" s="1789"/>
      <c r="P361" s="1789"/>
      <c r="Q361" s="1680"/>
      <c r="R361" s="1680"/>
    </row>
    <row customHeight="true" ht="18.452380952380953" r="362">
      <c r="A362" s="1670" t="s">
        <v>1698</v>
      </c>
      <c r="B362" s="1644">
        <v>46283</v>
      </c>
      <c r="C362" s="1670" t="str">
        <v>Friday</v>
      </c>
      <c r="D362" s="1645" t="s">
        <v>1700</v>
      </c>
      <c r="E362" s="1675">
        <f t="shared" si="90"/>
      </c>
      <c r="F362" s="1678" t="s">
        <v>1662</v>
      </c>
      <c r="G362" s="1679"/>
      <c r="H362" s="1675" t="s">
        <v>1471</v>
      </c>
      <c r="I362" s="1675"/>
      <c r="J362" s="1650"/>
      <c r="K362" s="1789"/>
      <c r="L362" s="1789"/>
      <c r="M362" s="1789"/>
      <c r="N362" s="1789"/>
      <c r="O362" s="1789"/>
      <c r="P362" s="1789"/>
      <c r="Q362" s="1680"/>
      <c r="R362" s="1680"/>
    </row>
    <row customHeight="true" ht="18.452380952380953" r="363">
      <c r="A363" s="1670" t="s">
        <v>1698</v>
      </c>
      <c r="B363" s="1644">
        <v>46284</v>
      </c>
      <c r="C363" s="1670" t="str">
        <v>Saturday</v>
      </c>
      <c r="D363" s="1645" t="s">
        <v>1701</v>
      </c>
      <c r="E363" s="1675">
        <f t="shared" si="90"/>
      </c>
      <c r="F363" s="1678" t="s">
        <v>1487</v>
      </c>
      <c r="G363" s="1679"/>
      <c r="H363" s="1675" t="s">
        <v>1471</v>
      </c>
      <c r="I363" s="1675"/>
      <c r="J363" s="1650"/>
      <c r="K363" s="1789"/>
      <c r="L363" s="1789"/>
      <c r="M363" s="1789"/>
      <c r="N363" s="1789"/>
      <c r="O363" s="1789"/>
      <c r="P363" s="1789"/>
      <c r="Q363" s="1680"/>
      <c r="R363" s="1680"/>
    </row>
    <row customHeight="true" ht="18.452380952380953" r="364">
      <c r="A364" s="1670" t="s">
        <v>1698</v>
      </c>
      <c r="B364" s="1644">
        <v>46285</v>
      </c>
      <c r="C364" s="1670" t="str">
        <v>Sunday</v>
      </c>
      <c r="D364" s="1645" t="s">
        <v>1702</v>
      </c>
      <c r="E364" s="1675">
        <f t="shared" si="90"/>
      </c>
      <c r="F364" s="1678" t="s">
        <v>1662</v>
      </c>
      <c r="G364" s="1679"/>
      <c r="H364" s="1675" t="s">
        <v>1471</v>
      </c>
      <c r="I364" s="1675"/>
      <c r="J364" s="1650"/>
      <c r="K364" s="1789"/>
      <c r="L364" s="1789"/>
      <c r="M364" s="1789"/>
      <c r="N364" s="1789"/>
      <c r="O364" s="1789"/>
      <c r="P364" s="1789"/>
      <c r="Q364" s="1680"/>
      <c r="R364" s="1680"/>
    </row>
    <row customHeight="true" ht="18.452380952380953" r="365">
      <c r="A365" s="1897" t="s">
        <v>1698</v>
      </c>
      <c r="B365" s="1898">
        <v>46285</v>
      </c>
      <c r="C365" s="1897" t="str">
        <v>Sunday</v>
      </c>
      <c r="D365" s="1899" t="s">
        <v>1703</v>
      </c>
      <c r="E365" s="1747">
        <f t="shared" si="90"/>
      </c>
      <c r="F365" s="1936" t="s">
        <v>1487</v>
      </c>
      <c r="G365" s="1905"/>
      <c r="H365" s="1747" t="s">
        <v>1471</v>
      </c>
      <c r="I365" s="1747"/>
      <c r="J365" s="1902"/>
      <c r="K365" s="1903"/>
      <c r="L365" s="1903"/>
      <c r="M365" s="1903"/>
      <c r="N365" s="1903"/>
      <c r="O365" s="1903"/>
      <c r="P365" s="1903"/>
      <c r="Q365" s="1917"/>
      <c r="R365" s="1917"/>
    </row>
    <row r="366">
      <c r="A366" s="1670" t="s">
        <v>1704</v>
      </c>
      <c r="B366" s="1790">
        <v>46279</v>
      </c>
      <c r="C366" s="1670" t="str">
        <v>Monday</v>
      </c>
      <c r="D366" s="1645" t="s">
        <v>1554</v>
      </c>
      <c r="E366" s="1675">
        <f t="shared" si="90"/>
      </c>
      <c r="F366" s="1649" t="s">
        <v>1618</v>
      </c>
      <c r="G366" s="1679"/>
      <c r="H366" s="1675" t="s">
        <v>1471</v>
      </c>
      <c r="I366" s="1675"/>
      <c r="J366" s="1650"/>
      <c r="K366" s="1789"/>
      <c r="L366" s="1789"/>
      <c r="M366" s="1789"/>
      <c r="N366" s="1789"/>
      <c r="O366" s="1789"/>
      <c r="P366" s="1789"/>
      <c r="Q366" s="1680"/>
      <c r="R366" s="1680"/>
    </row>
    <row customHeight="true" ht="18.452380952380953" r="367">
      <c r="A367" s="1670" t="s">
        <v>1704</v>
      </c>
      <c r="B367" s="1790">
        <v>46280</v>
      </c>
      <c r="C367" s="1670" t="str">
        <v>Tuesday</v>
      </c>
      <c r="D367" s="1645" t="s">
        <v>1705</v>
      </c>
      <c r="E367" s="1675">
        <f t="shared" si="90"/>
      </c>
      <c r="F367" s="1649" t="s">
        <v>1668</v>
      </c>
      <c r="G367" s="1679"/>
      <c r="H367" s="1675" t="s">
        <v>1471</v>
      </c>
      <c r="I367" s="1675"/>
      <c r="J367" s="1650"/>
      <c r="K367" s="1789"/>
      <c r="L367" s="1789"/>
      <c r="M367" s="1789"/>
      <c r="N367" s="1789"/>
      <c r="O367" s="1789"/>
      <c r="P367" s="1789"/>
      <c r="Q367" s="1680"/>
      <c r="R367" s="1680"/>
    </row>
    <row customHeight="true" ht="18.452380952380953" r="368">
      <c r="A368" s="1670" t="s">
        <v>1704</v>
      </c>
      <c r="B368" s="1790">
        <v>46281</v>
      </c>
      <c r="C368" s="1670" t="str">
        <v>Wednesday</v>
      </c>
      <c r="D368" s="1645" t="s">
        <v>1614</v>
      </c>
      <c r="E368" s="1675">
        <f t="shared" si="90"/>
      </c>
      <c r="F368" s="1649" t="s">
        <v>1668</v>
      </c>
      <c r="G368" s="1679"/>
      <c r="H368" s="1675" t="s">
        <v>1471</v>
      </c>
      <c r="I368" s="1675"/>
      <c r="J368" s="1650"/>
      <c r="K368" s="1789"/>
      <c r="L368" s="1789"/>
      <c r="M368" s="1789"/>
      <c r="N368" s="1789"/>
      <c r="O368" s="1789"/>
      <c r="P368" s="1789"/>
      <c r="Q368" s="1680"/>
      <c r="R368" s="1680"/>
    </row>
    <row customHeight="true" ht="18.452380952380953" r="369">
      <c r="A369" s="1670" t="s">
        <v>1704</v>
      </c>
      <c r="B369" s="1790">
        <v>46282</v>
      </c>
      <c r="C369" s="1670" t="str">
        <v>Thursday</v>
      </c>
      <c r="D369" s="1645" t="s">
        <v>1499</v>
      </c>
      <c r="E369" s="1675">
        <f t="shared" si="90"/>
      </c>
      <c r="F369" s="1649" t="s">
        <v>1668</v>
      </c>
      <c r="G369" s="1679"/>
      <c r="H369" s="1675" t="s">
        <v>1471</v>
      </c>
      <c r="I369" s="1675"/>
      <c r="J369" s="1650"/>
      <c r="K369" s="1789"/>
      <c r="L369" s="1789"/>
      <c r="M369" s="1789"/>
      <c r="N369" s="1789"/>
      <c r="O369" s="1789"/>
      <c r="P369" s="1789"/>
      <c r="Q369" s="1680"/>
      <c r="R369" s="1680"/>
    </row>
    <row customHeight="true" ht="18.452380952380953" r="370">
      <c r="A370" s="1670" t="s">
        <v>1704</v>
      </c>
      <c r="B370" s="1644">
        <v>46283</v>
      </c>
      <c r="C370" s="1670" t="str">
        <v>Friday</v>
      </c>
      <c r="D370" s="1645" t="s">
        <v>1700</v>
      </c>
      <c r="E370" s="1675">
        <f t="shared" si="90"/>
      </c>
      <c r="F370" s="1649" t="s">
        <v>1668</v>
      </c>
      <c r="G370" s="1679"/>
      <c r="H370" s="1675" t="s">
        <v>1471</v>
      </c>
      <c r="I370" s="1675"/>
      <c r="J370" s="1650"/>
      <c r="K370" s="1789"/>
      <c r="L370" s="1789"/>
      <c r="M370" s="1789"/>
      <c r="N370" s="1789"/>
      <c r="O370" s="1789"/>
      <c r="P370" s="1789"/>
      <c r="Q370" s="1680"/>
      <c r="R370" s="1680"/>
    </row>
    <row customHeight="true" ht="18.452380952380953" r="371">
      <c r="A371" s="1670" t="s">
        <v>1704</v>
      </c>
      <c r="B371" s="1644">
        <v>46284</v>
      </c>
      <c r="C371" s="1670" t="str">
        <v>Saturday</v>
      </c>
      <c r="D371" s="1645" t="s">
        <v>1701</v>
      </c>
      <c r="E371" s="1675">
        <f t="shared" si="90"/>
      </c>
      <c r="F371" s="1649" t="s">
        <v>1693</v>
      </c>
      <c r="G371" s="1679"/>
      <c r="H371" s="1675" t="s">
        <v>1471</v>
      </c>
      <c r="I371" s="1675"/>
      <c r="J371" s="1650"/>
      <c r="K371" s="1789"/>
      <c r="L371" s="1789"/>
      <c r="M371" s="1789"/>
      <c r="N371" s="1789"/>
      <c r="O371" s="1789"/>
      <c r="P371" s="1789"/>
      <c r="Q371" s="1680"/>
      <c r="R371" s="1680"/>
    </row>
    <row customHeight="true" ht="18.452380952380953" r="372">
      <c r="A372" s="1670" t="s">
        <v>1704</v>
      </c>
      <c r="B372" s="1644">
        <v>46285</v>
      </c>
      <c r="C372" s="1670" t="str">
        <v>Sunday</v>
      </c>
      <c r="D372" s="1645" t="s">
        <v>1702</v>
      </c>
      <c r="E372" s="1675">
        <f t="shared" si="90"/>
      </c>
      <c r="F372" s="1649" t="s">
        <v>1693</v>
      </c>
      <c r="G372" s="1679"/>
      <c r="H372" s="1675" t="s">
        <v>1471</v>
      </c>
      <c r="I372" s="1675"/>
      <c r="J372" s="1650"/>
      <c r="K372" s="1789"/>
      <c r="L372" s="1789"/>
      <c r="M372" s="1789"/>
      <c r="N372" s="1789"/>
      <c r="O372" s="1789"/>
      <c r="P372" s="1789"/>
      <c r="Q372" s="1680"/>
      <c r="R372" s="1680"/>
    </row>
    <row customHeight="true" ht="18.452380952380953" r="373">
      <c r="A373" s="1670" t="s">
        <v>1706</v>
      </c>
      <c r="B373" s="1790">
        <v>46281</v>
      </c>
      <c r="C373" s="1670" t="str">
        <v>Wednesday</v>
      </c>
      <c r="D373" s="1645" t="s">
        <v>1614</v>
      </c>
      <c r="E373" s="1675">
        <f t="shared" si="90"/>
      </c>
      <c r="F373" s="1649" t="s">
        <v>1707</v>
      </c>
      <c r="G373" s="1679"/>
      <c r="H373" s="1675" t="s">
        <v>1471</v>
      </c>
      <c r="I373" s="1675"/>
      <c r="J373" s="1650"/>
      <c r="K373" s="1789"/>
      <c r="L373" s="1789"/>
      <c r="M373" s="1789"/>
      <c r="N373" s="1789"/>
      <c r="O373" s="1789"/>
      <c r="P373" s="1789"/>
      <c r="Q373" s="1680"/>
      <c r="R373" s="1680"/>
    </row>
    <row r="374">
      <c r="A374" s="1680"/>
      <c r="B374" s="1680"/>
      <c r="C374" s="1680"/>
      <c r="D374" s="1645"/>
      <c r="E374" s="1680"/>
      <c r="F374" s="1680"/>
      <c r="G374" s="1680"/>
      <c r="H374" s="1680"/>
      <c r="I374" s="1680"/>
      <c r="J374" s="1680"/>
      <c r="K374" s="1770"/>
      <c r="L374" s="1770"/>
      <c r="M374" s="1770"/>
      <c r="N374" s="1770"/>
      <c r="O374" s="1770"/>
      <c r="P374" s="1770"/>
    </row>
    <row r="375">
      <c r="A375" s="1937" t="s">
        <v>1708</v>
      </c>
      <c r="B375" s="1937"/>
      <c r="C375" s="1937"/>
      <c r="D375" s="1937"/>
      <c r="E375" s="1937"/>
      <c r="F375" s="1937"/>
      <c r="G375" s="1937"/>
      <c r="H375" s="1937"/>
      <c r="I375" s="1937"/>
      <c r="J375" s="1938"/>
      <c r="K375" s="1683"/>
      <c r="L375" s="1683"/>
      <c r="M375" s="1683"/>
      <c r="N375" s="1683"/>
      <c r="O375" s="1683"/>
      <c r="P375" s="1683"/>
    </row>
    <row r="376">
      <c r="A376" s="1939" t="s">
        <v>1457</v>
      </c>
      <c r="B376" s="1940" t="s">
        <v>1458</v>
      </c>
      <c r="C376" s="1940"/>
      <c r="D376" s="1941" t="s">
        <v>1459</v>
      </c>
      <c r="E376" s="1941" t="s">
        <v>1460</v>
      </c>
      <c r="F376" s="1941" t="s">
        <v>1461</v>
      </c>
      <c r="G376" s="1942" t="s">
        <v>1473</v>
      </c>
      <c r="H376" s="1941" t="s">
        <v>1463</v>
      </c>
      <c r="I376" s="1941" t="s">
        <v>1464</v>
      </c>
      <c r="J376" s="1943" t="s">
        <v>1465</v>
      </c>
      <c r="K376" s="1669"/>
      <c r="L376" s="1669"/>
      <c r="M376" s="1669"/>
      <c r="N376" s="1669"/>
      <c r="O376" s="1669"/>
      <c r="P376" s="1669"/>
    </row>
    <row r="377">
      <c r="A377" s="1670" t="s">
        <v>1708</v>
      </c>
      <c r="B377" s="1644">
        <v>46280</v>
      </c>
      <c r="C377" s="1670" t="str">
        <v>Tuesday</v>
      </c>
      <c r="D377" s="1786" t="s">
        <v>1709</v>
      </c>
      <c r="E377" s="1645">
        <f t="shared" ref="E377:E382" si="91">24*MOD(TIMEVALUE(TRIM(MID(D377,FIND("-",D377)+1,LEN(D377)))) - TIMEVALUE(TRIM(LEFT(D377,FIND("-",D377)-1))),1)</f>
      </c>
      <c r="F377" s="1793" t="s">
        <v>1479</v>
      </c>
      <c r="G377" s="1689"/>
      <c r="H377" s="1649" t="s">
        <v>1445</v>
      </c>
      <c r="I377" s="1675" t="s">
        <v>1446</v>
      </c>
      <c r="J377" s="1650"/>
      <c r="K377" s="1651"/>
      <c r="L377" s="1651"/>
      <c r="M377" s="1651"/>
      <c r="N377" s="1651"/>
      <c r="O377" s="1651"/>
      <c r="P377" s="1651"/>
    </row>
    <row r="378">
      <c r="A378" s="1670" t="s">
        <v>1708</v>
      </c>
      <c r="B378" s="1644">
        <v>46281</v>
      </c>
      <c r="C378" s="1670" t="str">
        <v>Wednesday</v>
      </c>
      <c r="D378" s="1786" t="s">
        <v>1709</v>
      </c>
      <c r="E378" s="1645">
        <f t="shared" si="91"/>
      </c>
      <c r="F378" s="1793" t="s">
        <v>1479</v>
      </c>
      <c r="G378" s="1689"/>
      <c r="H378" s="1649" t="s">
        <v>1445</v>
      </c>
      <c r="I378" s="1675" t="s">
        <v>1446</v>
      </c>
      <c r="J378" s="1650"/>
      <c r="K378" s="1651"/>
      <c r="L378" s="1651"/>
      <c r="M378" s="1651"/>
      <c r="N378" s="1651"/>
      <c r="O378" s="1651"/>
      <c r="P378" s="1651"/>
    </row>
    <row r="379">
      <c r="A379" s="1670" t="s">
        <v>1708</v>
      </c>
      <c r="B379" s="1644">
        <v>46282</v>
      </c>
      <c r="C379" s="1670" t="str">
        <v>Thursday</v>
      </c>
      <c r="D379" s="1786" t="s">
        <v>1709</v>
      </c>
      <c r="E379" s="1645">
        <f t="shared" si="91"/>
      </c>
      <c r="F379" s="1793" t="s">
        <v>1479</v>
      </c>
      <c r="G379" s="1689"/>
      <c r="H379" s="1649" t="s">
        <v>1445</v>
      </c>
      <c r="I379" s="1675" t="s">
        <v>1446</v>
      </c>
      <c r="J379" s="1650"/>
      <c r="K379" s="1651"/>
      <c r="L379" s="1651"/>
      <c r="M379" s="1651"/>
      <c r="N379" s="1651"/>
      <c r="O379" s="1651"/>
      <c r="P379" s="1651"/>
    </row>
    <row customHeight="true" ht="22.61904761904762" r="380">
      <c r="A380" s="1670" t="s">
        <v>1708</v>
      </c>
      <c r="B380" s="1644">
        <v>46283</v>
      </c>
      <c r="C380" s="1670" t="str">
        <v>Friday</v>
      </c>
      <c r="D380" s="1786" t="s">
        <v>1709</v>
      </c>
      <c r="E380" s="1675">
        <f t="shared" si="91"/>
      </c>
      <c r="F380" s="1793" t="s">
        <v>1618</v>
      </c>
      <c r="G380" s="1679"/>
      <c r="H380" s="1649" t="s">
        <v>1445</v>
      </c>
      <c r="I380" s="1675" t="s">
        <v>1446</v>
      </c>
      <c r="J380" s="1650"/>
      <c r="K380" s="1789"/>
      <c r="L380" s="1789"/>
      <c r="M380" s="1789"/>
      <c r="N380" s="1789"/>
      <c r="O380" s="1789"/>
      <c r="P380" s="1789"/>
      <c r="Q380" s="1680"/>
      <c r="R380" s="1680"/>
    </row>
    <row customHeight="true" ht="22.61904761904762" r="381">
      <c r="A381" s="1670" t="s">
        <v>1708</v>
      </c>
      <c r="B381" s="1644">
        <v>46284</v>
      </c>
      <c r="C381" s="1670" t="str">
        <v>Saturday</v>
      </c>
      <c r="D381" s="1786" t="s">
        <v>1499</v>
      </c>
      <c r="E381" s="1645">
        <f t="shared" si="91"/>
      </c>
      <c r="F381" s="1793" t="s">
        <v>1618</v>
      </c>
      <c r="G381" s="1689"/>
      <c r="H381" s="1649" t="s">
        <v>1445</v>
      </c>
      <c r="I381" s="1675" t="s">
        <v>1446</v>
      </c>
      <c r="J381" s="1650"/>
      <c r="K381" s="1651"/>
      <c r="L381" s="1651"/>
      <c r="M381" s="1651"/>
      <c r="N381" s="1651"/>
      <c r="O381" s="1651"/>
      <c r="P381" s="1651"/>
    </row>
    <row customHeight="true" ht="18.452380952380953" r="382">
      <c r="A382" s="1670" t="s">
        <v>1708</v>
      </c>
      <c r="B382" s="1644">
        <v>46285</v>
      </c>
      <c r="C382" s="1670" t="str">
        <v>Sunday</v>
      </c>
      <c r="D382" s="1786" t="s">
        <v>1486</v>
      </c>
      <c r="E382" s="1645">
        <f t="shared" si="91"/>
      </c>
      <c r="F382" s="1793" t="s">
        <v>1479</v>
      </c>
      <c r="G382" s="1689"/>
      <c r="H382" s="1649" t="s">
        <v>1445</v>
      </c>
      <c r="I382" s="1675" t="s">
        <v>1446</v>
      </c>
      <c r="J382" s="1650"/>
      <c r="K382" s="1651"/>
      <c r="L382" s="1651"/>
      <c r="M382" s="1651"/>
      <c r="N382" s="1651"/>
      <c r="O382" s="1651"/>
      <c r="P382" s="1651"/>
    </row>
    <row customHeight="true" ht="18.452380952380953" r="383">
      <c r="A383" s="1670" t="s">
        <v>1710</v>
      </c>
      <c r="B383" s="1644"/>
      <c r="C383" s="1670"/>
      <c r="D383" s="1645"/>
      <c r="E383" s="1645"/>
      <c r="F383" s="1793"/>
      <c r="G383" s="1689"/>
      <c r="H383" s="1649" t="s">
        <v>1445</v>
      </c>
      <c r="I383" s="1675" t="s">
        <v>1446</v>
      </c>
      <c r="J383" s="1650"/>
      <c r="K383" s="1651"/>
      <c r="L383" s="1651"/>
      <c r="M383" s="1651"/>
      <c r="N383" s="1651"/>
      <c r="O383" s="1651"/>
      <c r="P383" s="1651"/>
    </row>
    <row customHeight="true" ht="20.238095238095237" r="384">
      <c r="A384" s="1670" t="s">
        <v>1711</v>
      </c>
      <c r="B384" s="1644">
        <v>46280</v>
      </c>
      <c r="C384" s="1670" t="str">
        <v>Tuesday</v>
      </c>
      <c r="D384" s="1786" t="s">
        <v>1709</v>
      </c>
      <c r="E384" s="1645">
        <f t="shared" ref="E384:E392" si="92">24*MOD(TIMEVALUE(TRIM(MID(D384,FIND("-",D384)+1,LEN(D384)))) - TIMEVALUE(TRIM(LEFT(D384,FIND("-",D384)-1))),1)</f>
      </c>
      <c r="F384" s="1793" t="s">
        <v>1618</v>
      </c>
      <c r="G384" s="1689"/>
      <c r="H384" s="1649" t="s">
        <v>1445</v>
      </c>
      <c r="I384" s="1675" t="s">
        <v>1446</v>
      </c>
      <c r="J384" s="1650"/>
      <c r="K384" s="1651"/>
      <c r="L384" s="1651"/>
      <c r="M384" s="1651"/>
      <c r="N384" s="1651"/>
      <c r="O384" s="1651"/>
      <c r="P384" s="1651"/>
    </row>
    <row customHeight="true" ht="20.238095238095237" r="385">
      <c r="A385" s="1670" t="s">
        <v>1711</v>
      </c>
      <c r="B385" s="1644">
        <v>46281</v>
      </c>
      <c r="C385" s="1670" t="str">
        <v>Wednesday</v>
      </c>
      <c r="D385" s="1786" t="s">
        <v>1712</v>
      </c>
      <c r="E385" s="1645">
        <f t="shared" si="92"/>
      </c>
      <c r="F385" s="1793" t="s">
        <v>1623</v>
      </c>
      <c r="G385" s="1689"/>
      <c r="H385" s="1649" t="s">
        <v>1445</v>
      </c>
      <c r="I385" s="1675" t="s">
        <v>1446</v>
      </c>
      <c r="J385" s="1650"/>
      <c r="K385" s="1651"/>
      <c r="L385" s="1651"/>
      <c r="M385" s="1651"/>
      <c r="N385" s="1651"/>
      <c r="O385" s="1651"/>
      <c r="P385" s="1651"/>
    </row>
    <row customHeight="true" ht="20.238095238095237" r="386">
      <c r="A386" s="1670" t="s">
        <v>1711</v>
      </c>
      <c r="B386" s="1644">
        <v>46282</v>
      </c>
      <c r="C386" s="1670" t="str">
        <v>Thursday</v>
      </c>
      <c r="D386" s="1786" t="s">
        <v>1709</v>
      </c>
      <c r="E386" s="1645">
        <f t="shared" si="92"/>
      </c>
      <c r="F386" s="1793" t="s">
        <v>1618</v>
      </c>
      <c r="G386" s="1689"/>
      <c r="H386" s="1649" t="s">
        <v>1445</v>
      </c>
      <c r="I386" s="1675" t="s">
        <v>1446</v>
      </c>
      <c r="J386" s="1650"/>
      <c r="K386" s="1651"/>
      <c r="L386" s="1651"/>
      <c r="M386" s="1651"/>
      <c r="N386" s="1651"/>
      <c r="O386" s="1651"/>
      <c r="P386" s="1651"/>
    </row>
    <row customHeight="true" ht="20.238095238095237" r="387">
      <c r="A387" s="1670" t="s">
        <v>1711</v>
      </c>
      <c r="B387" s="1644">
        <v>46282</v>
      </c>
      <c r="C387" s="1670" t="str">
        <v>Thursday</v>
      </c>
      <c r="D387" s="1786" t="s">
        <v>1586</v>
      </c>
      <c r="E387" s="1645">
        <f t="shared" si="92"/>
      </c>
      <c r="F387" s="1793" t="s">
        <v>1623</v>
      </c>
      <c r="G387" s="1689"/>
      <c r="H387" s="1649" t="s">
        <v>1445</v>
      </c>
      <c r="I387" s="1675" t="s">
        <v>1446</v>
      </c>
      <c r="J387" s="1646" t="s">
        <v>1713</v>
      </c>
      <c r="K387" s="1651"/>
      <c r="L387" s="1651"/>
      <c r="M387" s="1651"/>
      <c r="N387" s="1651"/>
      <c r="O387" s="1651"/>
      <c r="P387" s="1651"/>
    </row>
    <row customHeight="true" ht="20.238095238095237" r="388">
      <c r="A388" s="1670" t="s">
        <v>1711</v>
      </c>
      <c r="B388" s="1644">
        <v>46283</v>
      </c>
      <c r="C388" s="1670" t="str">
        <v>Friday</v>
      </c>
      <c r="D388" s="1786" t="s">
        <v>1714</v>
      </c>
      <c r="E388" s="1645">
        <f t="shared" si="92"/>
      </c>
      <c r="F388" s="1793" t="s">
        <v>1623</v>
      </c>
      <c r="G388" s="1689"/>
      <c r="H388" s="1649" t="s">
        <v>1445</v>
      </c>
      <c r="I388" s="1675" t="s">
        <v>1446</v>
      </c>
      <c r="J388" s="1646" t="s">
        <v>1715</v>
      </c>
      <c r="K388" s="1651"/>
      <c r="L388" s="1651"/>
      <c r="M388" s="1651"/>
      <c r="N388" s="1651"/>
      <c r="O388" s="1651"/>
      <c r="P388" s="1651"/>
    </row>
    <row customHeight="true" ht="20.238095238095237" r="389">
      <c r="A389" s="1670" t="s">
        <v>1711</v>
      </c>
      <c r="B389" s="1644">
        <v>46283</v>
      </c>
      <c r="C389" s="1670" t="str">
        <v>Friday</v>
      </c>
      <c r="D389" s="1786" t="s">
        <v>1716</v>
      </c>
      <c r="E389" s="1645">
        <f t="shared" si="92"/>
      </c>
      <c r="F389" s="1793" t="s">
        <v>1618</v>
      </c>
      <c r="G389" s="1689"/>
      <c r="H389" s="1649" t="s">
        <v>1445</v>
      </c>
      <c r="I389" s="1675" t="s">
        <v>1446</v>
      </c>
      <c r="J389" s="1646" t="s">
        <v>1717</v>
      </c>
      <c r="K389" s="1651"/>
      <c r="L389" s="1651"/>
      <c r="M389" s="1651"/>
      <c r="N389" s="1651"/>
      <c r="O389" s="1651"/>
      <c r="P389" s="1651"/>
    </row>
    <row customHeight="true" ht="20.238095238095237" r="390">
      <c r="A390" s="1670" t="s">
        <v>1711</v>
      </c>
      <c r="B390" s="1644">
        <v>46284</v>
      </c>
      <c r="C390" s="1670" t="str">
        <v>Saturday</v>
      </c>
      <c r="D390" s="1786" t="s">
        <v>1718</v>
      </c>
      <c r="E390" s="1645">
        <f t="shared" si="92"/>
      </c>
      <c r="F390" s="1793" t="s">
        <v>1560</v>
      </c>
      <c r="G390" s="1689"/>
      <c r="H390" s="1649" t="s">
        <v>1445</v>
      </c>
      <c r="I390" s="1675" t="s">
        <v>1446</v>
      </c>
      <c r="J390" s="1646"/>
      <c r="K390" s="1651"/>
      <c r="L390" s="1651"/>
      <c r="M390" s="1651"/>
      <c r="N390" s="1651"/>
      <c r="O390" s="1651"/>
      <c r="P390" s="1651"/>
    </row>
    <row customHeight="true" ht="20.238095238095237" r="391">
      <c r="A391" s="1670" t="s">
        <v>1711</v>
      </c>
      <c r="B391" s="1644">
        <v>46284</v>
      </c>
      <c r="C391" s="1670" t="str">
        <v>Saturday</v>
      </c>
      <c r="D391" s="1786" t="s">
        <v>1719</v>
      </c>
      <c r="E391" s="1645">
        <f t="shared" si="92"/>
      </c>
      <c r="F391" s="1793" t="s">
        <v>1623</v>
      </c>
      <c r="G391" s="1689"/>
      <c r="H391" s="1649" t="s">
        <v>1445</v>
      </c>
      <c r="I391" s="1675" t="s">
        <v>1446</v>
      </c>
      <c r="J391" s="1646"/>
      <c r="K391" s="1651"/>
      <c r="L391" s="1651"/>
      <c r="M391" s="1651"/>
      <c r="N391" s="1651"/>
      <c r="O391" s="1651"/>
      <c r="P391" s="1651"/>
    </row>
    <row customHeight="true" ht="20.238095238095237" r="392">
      <c r="A392" s="1670" t="s">
        <v>1711</v>
      </c>
      <c r="B392" s="1644">
        <v>46285</v>
      </c>
      <c r="C392" s="1670" t="str">
        <v>Sunday</v>
      </c>
      <c r="D392" s="1786" t="s">
        <v>1486</v>
      </c>
      <c r="E392" s="1645">
        <f t="shared" si="92"/>
      </c>
      <c r="F392" s="1793" t="s">
        <v>1560</v>
      </c>
      <c r="G392" s="1689"/>
      <c r="H392" s="1649" t="s">
        <v>1445</v>
      </c>
      <c r="I392" s="1675" t="s">
        <v>1446</v>
      </c>
      <c r="J392" s="1650"/>
      <c r="K392" s="1651"/>
      <c r="L392" s="1651"/>
      <c r="M392" s="1651"/>
      <c r="N392" s="1651"/>
      <c r="O392" s="1651"/>
      <c r="P392" s="1651"/>
    </row>
    <row customHeight="true" ht="18.452380952380953" r="393">
      <c r="A393" s="1670"/>
      <c r="B393" s="1644"/>
      <c r="C393" s="1670"/>
      <c r="D393" s="1786"/>
      <c r="E393" s="1645"/>
      <c r="F393" s="1793"/>
      <c r="G393" s="1689"/>
      <c r="H393" s="1675"/>
      <c r="I393" s="1675"/>
      <c r="J393" s="1650"/>
      <c r="K393" s="1651"/>
      <c r="L393" s="1651"/>
      <c r="M393" s="1651"/>
      <c r="N393" s="1651"/>
      <c r="O393" s="1651"/>
      <c r="P393" s="1651"/>
    </row>
    <row customHeight="true" ht="18.452380952380953" r="394">
      <c r="A394" s="1670"/>
      <c r="B394" s="1644"/>
      <c r="C394" s="1670"/>
      <c r="D394" s="1786"/>
      <c r="E394" s="1645"/>
      <c r="F394" s="1793"/>
      <c r="G394" s="1689"/>
      <c r="H394" s="1675"/>
      <c r="I394" s="1675"/>
      <c r="J394" s="1650"/>
      <c r="K394" s="1651"/>
      <c r="L394" s="1651"/>
      <c r="M394" s="1651"/>
      <c r="N394" s="1651"/>
      <c r="O394" s="1651"/>
      <c r="P394" s="1651"/>
    </row>
    <row customHeight="true" ht="18.452380952380953" r="395">
      <c r="A395" s="1670"/>
      <c r="B395" s="1644"/>
      <c r="C395" s="1670"/>
      <c r="D395" s="1786"/>
      <c r="E395" s="1645"/>
      <c r="F395" s="1793"/>
      <c r="G395" s="1689"/>
      <c r="H395" s="1675"/>
      <c r="I395" s="1675"/>
      <c r="J395" s="1650"/>
      <c r="K395" s="1651"/>
      <c r="L395" s="1651"/>
      <c r="M395" s="1651"/>
      <c r="N395" s="1651"/>
      <c r="O395" s="1651"/>
      <c r="P395" s="1651"/>
    </row>
    <row customHeight="true" ht="18.452380952380953" r="396">
      <c r="A396" s="1670"/>
      <c r="B396" s="1644"/>
      <c r="C396" s="1670"/>
      <c r="D396" s="1786"/>
      <c r="E396" s="1645"/>
      <c r="F396" s="1793"/>
      <c r="G396" s="1689"/>
      <c r="H396" s="1675"/>
      <c r="I396" s="1675"/>
      <c r="J396" s="1650"/>
      <c r="K396" s="1651"/>
      <c r="L396" s="1651"/>
      <c r="M396" s="1651"/>
      <c r="N396" s="1651"/>
      <c r="O396" s="1651"/>
      <c r="P396" s="1651"/>
    </row>
    <row customHeight="true" ht="18.452380952380953" r="397">
      <c r="A397" s="1670"/>
      <c r="B397" s="1644"/>
      <c r="C397" s="1670"/>
      <c r="D397" s="1786"/>
      <c r="E397" s="1645"/>
      <c r="F397" s="1793"/>
      <c r="G397" s="1689"/>
      <c r="H397" s="1675"/>
      <c r="I397" s="1675"/>
      <c r="J397" s="1650"/>
      <c r="K397" s="1651"/>
      <c r="L397" s="1651"/>
      <c r="M397" s="1651"/>
      <c r="N397" s="1651"/>
      <c r="O397" s="1651"/>
      <c r="P397" s="1651"/>
    </row>
    <row customHeight="true" ht="20.238095238095237" r="398">
      <c r="A398" s="1670"/>
      <c r="B398" s="1644"/>
      <c r="C398" s="1670"/>
      <c r="D398" s="1786"/>
      <c r="E398" s="1645"/>
      <c r="F398" s="1649"/>
      <c r="G398" s="1689"/>
      <c r="H398" s="1675"/>
      <c r="I398" s="1675"/>
      <c r="J398" s="1650"/>
      <c r="K398" s="1651"/>
      <c r="L398" s="1651"/>
      <c r="M398" s="1651"/>
      <c r="N398" s="1651"/>
      <c r="O398" s="1651"/>
      <c r="P398" s="1651"/>
    </row>
    <row customHeight="true" ht="20.238095238095237" r="399">
      <c r="A399" s="1670"/>
      <c r="B399" s="1644"/>
      <c r="C399" s="1670"/>
      <c r="D399" s="1645"/>
      <c r="E399" s="1675"/>
      <c r="F399" s="1649"/>
      <c r="G399" s="1679"/>
      <c r="H399" s="1675"/>
      <c r="I399" s="1675"/>
      <c r="J399" s="1650"/>
      <c r="K399" s="1789"/>
      <c r="L399" s="1789"/>
      <c r="M399" s="1789"/>
      <c r="N399" s="1789"/>
      <c r="O399" s="1789"/>
      <c r="P399" s="1789"/>
      <c r="Q399" s="1680"/>
      <c r="R399" s="1680"/>
    </row>
    <row r="400">
      <c r="A400" s="1680"/>
      <c r="B400" s="1680"/>
      <c r="C400" s="1680"/>
      <c r="D400" s="1795"/>
      <c r="E400" s="1680"/>
      <c r="F400" s="1680"/>
      <c r="G400" s="1680"/>
      <c r="H400" s="1795"/>
      <c r="I400" s="1680"/>
      <c r="J400" s="1680"/>
      <c r="K400" s="1770"/>
      <c r="L400" s="1770"/>
      <c r="M400" s="1770"/>
      <c r="N400" s="1770"/>
      <c r="O400" s="1770"/>
      <c r="P400" s="1770"/>
    </row>
    <row customHeight="true" ht="16.071428571428573" r="401">
      <c r="A401" s="1680"/>
      <c r="B401" s="1680"/>
      <c r="C401" s="1680"/>
      <c r="D401" s="1795"/>
      <c r="E401" s="1680"/>
      <c r="F401" s="1680"/>
      <c r="G401" s="1680"/>
      <c r="H401" s="1795"/>
      <c r="I401" s="1680"/>
      <c r="J401" s="1680"/>
      <c r="K401" s="1770"/>
      <c r="L401" s="1770"/>
      <c r="M401" s="1770"/>
      <c r="N401" s="1770"/>
      <c r="O401" s="1770"/>
      <c r="P401" s="1770"/>
    </row>
    <row customHeight="true" ht="16.071428571428573" r="402">
      <c r="A402" s="1944" t="s">
        <v>1720</v>
      </c>
      <c r="B402" s="1945"/>
      <c r="C402" s="1945"/>
      <c r="D402" s="1946"/>
      <c r="E402" s="1945"/>
      <c r="F402" s="1945"/>
      <c r="G402" s="1945"/>
      <c r="H402" s="1946"/>
      <c r="I402" s="1945"/>
      <c r="J402" s="1945"/>
      <c r="K402" s="1770"/>
      <c r="L402" s="1770"/>
      <c r="M402" s="1770"/>
      <c r="N402" s="1770"/>
      <c r="O402" s="1770"/>
      <c r="P402" s="1770"/>
    </row>
    <row customHeight="true" ht="27.36318407963024" r="403">
      <c r="A403" s="1947" t="s">
        <v>1457</v>
      </c>
      <c r="B403" s="1948" t="s">
        <v>1458</v>
      </c>
      <c r="C403" s="1948"/>
      <c r="D403" s="1949" t="s">
        <v>1459</v>
      </c>
      <c r="E403" s="1950" t="s">
        <v>1460</v>
      </c>
      <c r="F403" s="1950" t="s">
        <v>1461</v>
      </c>
      <c r="G403" s="1951" t="s">
        <v>1473</v>
      </c>
      <c r="H403" s="1950" t="s">
        <v>1463</v>
      </c>
      <c r="I403" s="1950" t="s">
        <v>1464</v>
      </c>
      <c r="J403" s="1952" t="s">
        <v>1465</v>
      </c>
      <c r="K403" s="1669"/>
      <c r="L403" s="1669"/>
      <c r="M403" s="1669"/>
      <c r="N403" s="1669"/>
      <c r="O403" s="1669"/>
      <c r="P403" s="1669"/>
    </row>
    <row customHeight="true" ht="16.071428571428573" r="404">
      <c r="A404" s="1670" t="s">
        <v>1720</v>
      </c>
      <c r="B404" s="1644">
        <v>46272</v>
      </c>
      <c r="C404" s="1670" t="str">
        <v>Monday</v>
      </c>
      <c r="D404" s="1645" t="s">
        <v>1671</v>
      </c>
      <c r="E404" s="1645"/>
      <c r="F404" s="1649"/>
      <c r="G404" s="1953" t="s">
        <v>1721</v>
      </c>
      <c r="H404" s="1675" t="s">
        <v>1471</v>
      </c>
      <c r="I404" s="1675" t="s">
        <v>1469</v>
      </c>
      <c r="J404" s="1954"/>
      <c r="K404" s="1669"/>
      <c r="L404" s="1669"/>
      <c r="M404" s="1669"/>
      <c r="N404" s="1669"/>
      <c r="O404" s="1669"/>
      <c r="P404" s="1669"/>
    </row>
    <row customHeight="true" ht="16.071428571428573" r="405">
      <c r="A405" s="1670" t="s">
        <v>1720</v>
      </c>
      <c r="B405" s="1644">
        <v>46273</v>
      </c>
      <c r="C405" s="1670" t="str">
        <v>Tuesday</v>
      </c>
      <c r="D405" s="1645" t="s">
        <v>1671</v>
      </c>
      <c r="E405" s="1645"/>
      <c r="F405" s="1649"/>
      <c r="G405" s="1953" t="s">
        <v>1721</v>
      </c>
      <c r="H405" s="1675" t="s">
        <v>1471</v>
      </c>
      <c r="I405" s="1675" t="s">
        <v>1469</v>
      </c>
      <c r="J405" s="1954"/>
      <c r="K405" s="1669"/>
      <c r="L405" s="1669"/>
      <c r="M405" s="1669"/>
      <c r="N405" s="1669"/>
      <c r="O405" s="1669"/>
      <c r="P405" s="1669"/>
    </row>
    <row customHeight="true" ht="16.071428571428573" r="406">
      <c r="A406" s="1670" t="s">
        <v>1720</v>
      </c>
      <c r="B406" s="1644">
        <v>46274</v>
      </c>
      <c r="C406" s="1670" t="str">
        <v>Wednesday</v>
      </c>
      <c r="D406" s="1645" t="s">
        <v>1671</v>
      </c>
      <c r="E406" s="1645"/>
      <c r="F406" s="1649"/>
      <c r="G406" s="1953" t="s">
        <v>1722</v>
      </c>
      <c r="H406" s="1675" t="s">
        <v>1471</v>
      </c>
      <c r="I406" s="1675" t="s">
        <v>1469</v>
      </c>
      <c r="J406" s="1954"/>
      <c r="K406" s="1669"/>
      <c r="L406" s="1669"/>
      <c r="M406" s="1669"/>
      <c r="N406" s="1669"/>
      <c r="O406" s="1669"/>
      <c r="P406" s="1669"/>
      <c r="Q406" s="1654"/>
      <c r="R406" s="1654"/>
    </row>
    <row customHeight="true" ht="16.071428571428573" r="407">
      <c r="A407" s="1670" t="s">
        <v>1720</v>
      </c>
      <c r="B407" s="1644">
        <v>46275</v>
      </c>
      <c r="C407" s="1670" t="str">
        <v>Thursday</v>
      </c>
      <c r="D407" s="1645" t="s">
        <v>1671</v>
      </c>
      <c r="E407" s="1645"/>
      <c r="F407" s="1649"/>
      <c r="G407" s="1953" t="s">
        <v>1721</v>
      </c>
      <c r="H407" s="1675" t="s">
        <v>1471</v>
      </c>
      <c r="I407" s="1675" t="s">
        <v>1469</v>
      </c>
      <c r="J407" s="1954"/>
      <c r="K407" s="1669"/>
      <c r="L407" s="1669"/>
      <c r="M407" s="1669"/>
      <c r="N407" s="1669"/>
      <c r="O407" s="1669"/>
      <c r="P407" s="1669"/>
    </row>
    <row customHeight="true" ht="16.071428571428573" r="408">
      <c r="A408" s="1670" t="s">
        <v>1720</v>
      </c>
      <c r="B408" s="1644">
        <v>46276</v>
      </c>
      <c r="C408" s="1670" t="str">
        <v>Friday</v>
      </c>
      <c r="D408" s="1645" t="s">
        <v>1671</v>
      </c>
      <c r="E408" s="1645"/>
      <c r="F408" s="1649"/>
      <c r="G408" s="1953" t="s">
        <v>1721</v>
      </c>
      <c r="H408" s="1675" t="s">
        <v>1471</v>
      </c>
      <c r="I408" s="1675" t="s">
        <v>1469</v>
      </c>
      <c r="J408" s="1954"/>
      <c r="K408" s="1669"/>
      <c r="L408" s="1669"/>
      <c r="M408" s="1669"/>
      <c r="N408" s="1669"/>
      <c r="O408" s="1669"/>
      <c r="P408" s="1669"/>
    </row>
    <row customHeight="true" ht="16.071428571428573" r="409">
      <c r="A409" s="1670" t="s">
        <v>1720</v>
      </c>
      <c r="B409" s="1644">
        <v>46277</v>
      </c>
      <c r="C409" s="1670" t="str">
        <v>Saturday</v>
      </c>
      <c r="D409" s="1645" t="s">
        <v>1671</v>
      </c>
      <c r="E409" s="1645"/>
      <c r="F409" s="1649"/>
      <c r="G409" s="1953" t="s">
        <v>1681</v>
      </c>
      <c r="H409" s="1675" t="s">
        <v>1471</v>
      </c>
      <c r="I409" s="1675" t="s">
        <v>1446</v>
      </c>
      <c r="J409" s="1954"/>
      <c r="K409" s="1669"/>
      <c r="L409" s="1669"/>
      <c r="M409" s="1669"/>
      <c r="N409" s="1669"/>
      <c r="O409" s="1669"/>
      <c r="P409" s="1669"/>
    </row>
    <row customHeight="true" ht="16.071428571428573" r="410">
      <c r="A410" s="1670" t="s">
        <v>1720</v>
      </c>
      <c r="B410" s="1644">
        <v>46278</v>
      </c>
      <c r="C410" s="1670" t="str">
        <v>Sunday</v>
      </c>
      <c r="D410" s="1645" t="s">
        <v>1671</v>
      </c>
      <c r="E410" s="1645"/>
      <c r="F410" s="1649"/>
      <c r="G410" s="1953" t="s">
        <v>1722</v>
      </c>
      <c r="H410" s="1675" t="s">
        <v>1471</v>
      </c>
      <c r="I410" s="1675" t="s">
        <v>1469</v>
      </c>
      <c r="J410" s="1954"/>
      <c r="K410" s="1669"/>
      <c r="L410" s="1669"/>
      <c r="M410" s="1669"/>
      <c r="N410" s="1669"/>
      <c r="O410" s="1669"/>
      <c r="P410" s="1669"/>
    </row>
    <row customHeight="true" ht="16.071428571428573" r="411">
      <c r="A411" s="1670" t="s">
        <v>1723</v>
      </c>
      <c r="B411" s="1644">
        <v>46272</v>
      </c>
      <c r="C411" s="1670" t="str">
        <v>Monday</v>
      </c>
      <c r="D411" s="1645" t="s">
        <v>1671</v>
      </c>
      <c r="E411" s="1645">
        <f t="shared" ref="E411:E417" si="93">24*MOD(TIMEVALUE(TRIM(MID(D411,FIND("-",D411)+1,LEN(D411)))) - TIMEVALUE(TRIM(LEFT(D411,FIND("-",D411)-1))),1)</f>
      </c>
      <c r="F411" s="1678"/>
      <c r="G411" s="1955"/>
      <c r="H411" s="1675" t="s">
        <v>1471</v>
      </c>
      <c r="I411" s="1675" t="s">
        <v>1446</v>
      </c>
      <c r="J411" s="1956"/>
      <c r="K411" s="1669"/>
      <c r="L411" s="1669"/>
      <c r="M411" s="1669"/>
      <c r="N411" s="1669"/>
      <c r="O411" s="1669"/>
      <c r="P411" s="1669"/>
    </row>
    <row customHeight="true" ht="16.071428571428573" r="412">
      <c r="A412" s="1670" t="s">
        <v>1723</v>
      </c>
      <c r="B412" s="1644">
        <v>46273</v>
      </c>
      <c r="C412" s="1670" t="str">
        <v>Tuesday</v>
      </c>
      <c r="D412" s="1645" t="s">
        <v>1671</v>
      </c>
      <c r="E412" s="1645">
        <f t="shared" si="93"/>
      </c>
      <c r="F412" s="1678"/>
      <c r="G412" s="1955"/>
      <c r="H412" s="1675" t="s">
        <v>1471</v>
      </c>
      <c r="I412" s="1675" t="s">
        <v>1469</v>
      </c>
      <c r="J412" s="1954"/>
      <c r="K412" s="1669"/>
      <c r="L412" s="1669"/>
      <c r="M412" s="1669"/>
      <c r="N412" s="1669"/>
      <c r="O412" s="1669"/>
      <c r="P412" s="1669"/>
    </row>
    <row customHeight="true" ht="16.071428571428573" r="413">
      <c r="A413" s="1670" t="s">
        <v>1723</v>
      </c>
      <c r="B413" s="1644">
        <v>46274</v>
      </c>
      <c r="C413" s="1670" t="str">
        <v>Wednesday</v>
      </c>
      <c r="D413" s="1645" t="s">
        <v>1671</v>
      </c>
      <c r="E413" s="1645">
        <f t="shared" si="93"/>
      </c>
      <c r="F413" s="1957"/>
      <c r="G413" s="1955"/>
      <c r="H413" s="1675" t="s">
        <v>1471</v>
      </c>
      <c r="I413" s="1675" t="s">
        <v>1446</v>
      </c>
      <c r="J413" s="1646"/>
      <c r="K413" s="1669"/>
      <c r="L413" s="1669"/>
      <c r="M413" s="1669"/>
      <c r="N413" s="1669"/>
      <c r="O413" s="1669"/>
      <c r="P413" s="1669"/>
    </row>
    <row customHeight="true" ht="16.071428571428573" r="414">
      <c r="A414" s="1670" t="s">
        <v>1723</v>
      </c>
      <c r="B414" s="1644">
        <v>46275</v>
      </c>
      <c r="C414" s="1670" t="str">
        <v>Thursday</v>
      </c>
      <c r="D414" s="1645" t="s">
        <v>1671</v>
      </c>
      <c r="E414" s="1645">
        <f t="shared" si="93"/>
      </c>
      <c r="F414" s="1678"/>
      <c r="G414" s="1955"/>
      <c r="H414" s="1675" t="s">
        <v>1471</v>
      </c>
      <c r="I414" s="1675" t="s">
        <v>1469</v>
      </c>
      <c r="J414" s="1958"/>
      <c r="K414" s="1669"/>
      <c r="L414" s="1669"/>
      <c r="M414" s="1669"/>
      <c r="N414" s="1669"/>
      <c r="O414" s="1669"/>
      <c r="P414" s="1669"/>
    </row>
    <row customHeight="true" ht="16.071428571428573" r="415">
      <c r="A415" s="1670" t="s">
        <v>1723</v>
      </c>
      <c r="B415" s="1644">
        <v>46276</v>
      </c>
      <c r="C415" s="1670" t="str">
        <v>Friday</v>
      </c>
      <c r="D415" s="1645" t="s">
        <v>1671</v>
      </c>
      <c r="E415" s="1645">
        <f t="shared" si="93"/>
      </c>
      <c r="F415" s="1678"/>
      <c r="G415" s="1955"/>
      <c r="H415" s="1675" t="s">
        <v>1471</v>
      </c>
      <c r="I415" s="1675" t="s">
        <v>1469</v>
      </c>
      <c r="J415" s="1954"/>
      <c r="K415" s="1669"/>
      <c r="L415" s="1669"/>
      <c r="M415" s="1669"/>
      <c r="N415" s="1669"/>
      <c r="O415" s="1669"/>
      <c r="P415" s="1669"/>
    </row>
    <row customHeight="true" ht="16.071428571428573" r="416">
      <c r="A416" s="1670" t="s">
        <v>1723</v>
      </c>
      <c r="B416" s="1644">
        <v>46277</v>
      </c>
      <c r="C416" s="1670" t="str">
        <v>Saturday</v>
      </c>
      <c r="D416" s="1645" t="s">
        <v>1671</v>
      </c>
      <c r="E416" s="1645">
        <f t="shared" si="93"/>
      </c>
      <c r="F416" s="1678"/>
      <c r="G416" s="1955"/>
      <c r="H416" s="1675" t="s">
        <v>1471</v>
      </c>
      <c r="I416" s="1675" t="s">
        <v>1469</v>
      </c>
      <c r="J416" s="1954"/>
      <c r="K416" s="1669"/>
      <c r="L416" s="1669"/>
      <c r="M416" s="1669"/>
      <c r="N416" s="1669"/>
      <c r="O416" s="1669"/>
      <c r="P416" s="1669"/>
    </row>
    <row customHeight="true" ht="16.071428571428573" r="417">
      <c r="A417" s="1670" t="s">
        <v>1723</v>
      </c>
      <c r="B417" s="1644">
        <v>46278</v>
      </c>
      <c r="C417" s="1670" t="str">
        <v>Sunday</v>
      </c>
      <c r="D417" s="1645" t="s">
        <v>1671</v>
      </c>
      <c r="E417" s="1645">
        <f t="shared" si="93"/>
      </c>
      <c r="F417" s="1957"/>
      <c r="G417" s="1955"/>
      <c r="H417" s="1675" t="s">
        <v>1471</v>
      </c>
      <c r="I417" s="1675" t="s">
        <v>1469</v>
      </c>
      <c r="J417" s="1958"/>
      <c r="K417" s="1669"/>
      <c r="L417" s="1669"/>
      <c r="M417" s="1669"/>
      <c r="N417" s="1669"/>
      <c r="O417" s="1669"/>
      <c r="P417" s="1669"/>
    </row>
    <row customHeight="true" ht="16.071428571428573" r="418">
      <c r="A418" s="1670"/>
      <c r="B418" s="1644"/>
      <c r="C418" s="1670"/>
      <c r="D418" s="1645"/>
      <c r="E418" s="1645"/>
      <c r="F418" s="1678"/>
      <c r="G418" s="1955"/>
      <c r="H418" s="1675"/>
      <c r="I418" s="1675"/>
      <c r="J418" s="1646"/>
      <c r="K418" s="1669"/>
      <c r="L418" s="1669"/>
      <c r="M418" s="1669"/>
      <c r="N418" s="1669"/>
      <c r="O418" s="1669"/>
      <c r="P418" s="1669"/>
    </row>
    <row customHeight="true" ht="25.221150023731926" r="419">
      <c r="A419" s="1870" t="s">
        <v>1724</v>
      </c>
      <c r="B419" s="1959"/>
      <c r="C419" s="1959"/>
      <c r="D419" s="1959"/>
      <c r="E419" s="1959"/>
      <c r="F419" s="1959"/>
      <c r="G419" s="1959"/>
      <c r="H419" s="1960"/>
      <c r="I419" s="1959"/>
      <c r="J419" s="1959"/>
      <c r="K419" s="1959"/>
      <c r="L419" s="1959"/>
      <c r="M419" s="1959"/>
      <c r="N419" s="1959"/>
      <c r="O419" s="1959"/>
      <c r="P419" s="1959"/>
      <c r="Q419" s="1872"/>
      <c r="R419" s="1872"/>
    </row>
    <row customHeight="true" ht="31.17353097611288" r="420">
      <c r="A420" s="1873" t="s">
        <v>1457</v>
      </c>
      <c r="B420" s="1874" t="s">
        <v>1458</v>
      </c>
      <c r="C420" s="1874"/>
      <c r="D420" s="1875" t="s">
        <v>1459</v>
      </c>
      <c r="E420" s="1876" t="s">
        <v>1460</v>
      </c>
      <c r="F420" s="1876" t="s">
        <v>1461</v>
      </c>
      <c r="G420" s="1877" t="s">
        <v>1473</v>
      </c>
      <c r="H420" s="1876" t="s">
        <v>1463</v>
      </c>
      <c r="I420" s="1876" t="s">
        <v>1464</v>
      </c>
      <c r="J420" s="1878" t="s">
        <v>1465</v>
      </c>
      <c r="K420" s="1879"/>
      <c r="L420" s="1879"/>
      <c r="M420" s="1879"/>
      <c r="N420" s="1879"/>
      <c r="O420" s="1879"/>
      <c r="P420" s="1879"/>
      <c r="Q420" s="1872"/>
      <c r="R420" s="1872"/>
    </row>
    <row customHeight="true" ht="16.071428571428573" r="421">
      <c r="A421" s="1670" t="s">
        <v>1724</v>
      </c>
      <c r="B421" s="1644">
        <v>46282</v>
      </c>
      <c r="C421" s="1670" t="str">
        <v>Thursday</v>
      </c>
      <c r="D421" s="1645" t="s">
        <v>1665</v>
      </c>
      <c r="E421" s="1645">
        <f t="shared" ref="E421:E432" si="94">24*MOD(TIMEVALUE(TRIM(MID(D421,FIND("-",D421)+1,LEN(D421)))) - TIMEVALUE(TRIM(LEFT(D421,FIND("-",D421)-1))),1)</f>
      </c>
      <c r="F421" s="1649" t="s">
        <v>1487</v>
      </c>
      <c r="G421" s="1953" t="s">
        <v>1725</v>
      </c>
      <c r="H421" s="1675" t="s">
        <v>1471</v>
      </c>
      <c r="I421" s="1675" t="s">
        <v>1469</v>
      </c>
      <c r="J421" s="1954"/>
      <c r="K421" s="1669"/>
      <c r="L421" s="1669"/>
      <c r="M421" s="1669"/>
      <c r="N421" s="1669"/>
      <c r="O421" s="1669"/>
      <c r="P421" s="1669"/>
    </row>
    <row customHeight="true" ht="16.071428571428573" r="422">
      <c r="A422" s="1670" t="s">
        <v>1724</v>
      </c>
      <c r="B422" s="1644">
        <v>46283</v>
      </c>
      <c r="C422" s="1670" t="str">
        <v>Friday</v>
      </c>
      <c r="D422" s="1645" t="s">
        <v>1665</v>
      </c>
      <c r="E422" s="1645">
        <f t="shared" si="94"/>
      </c>
      <c r="F422" s="1649" t="s">
        <v>1487</v>
      </c>
      <c r="G422" s="1953" t="s">
        <v>1725</v>
      </c>
      <c r="H422" s="1675" t="s">
        <v>1471</v>
      </c>
      <c r="I422" s="1675" t="s">
        <v>1469</v>
      </c>
      <c r="J422" s="1954"/>
      <c r="K422" s="1669"/>
      <c r="L422" s="1669"/>
      <c r="M422" s="1669"/>
      <c r="N422" s="1669"/>
      <c r="O422" s="1669"/>
      <c r="P422" s="1669"/>
    </row>
    <row customHeight="true" ht="16.071428571428573" r="423">
      <c r="A423" s="1670" t="s">
        <v>1724</v>
      </c>
      <c r="B423" s="1644">
        <v>46284</v>
      </c>
      <c r="C423" s="1670" t="str">
        <v>Saturday</v>
      </c>
      <c r="D423" s="1645" t="s">
        <v>1555</v>
      </c>
      <c r="E423" s="1645">
        <f t="shared" si="94"/>
      </c>
      <c r="F423" s="1649" t="s">
        <v>1726</v>
      </c>
      <c r="G423" s="1953" t="s">
        <v>1725</v>
      </c>
      <c r="H423" s="1675" t="s">
        <v>1471</v>
      </c>
      <c r="I423" s="1675" t="s">
        <v>1469</v>
      </c>
      <c r="J423" s="1954"/>
      <c r="K423" s="1669"/>
      <c r="L423" s="1669"/>
      <c r="M423" s="1669"/>
      <c r="N423" s="1669"/>
      <c r="O423" s="1669"/>
      <c r="P423" s="1669"/>
    </row>
    <row customHeight="true" ht="16.071428571428573" r="424">
      <c r="A424" s="1670" t="s">
        <v>1724</v>
      </c>
      <c r="B424" s="1644">
        <v>46285</v>
      </c>
      <c r="C424" s="1670" t="str">
        <v>Sunday</v>
      </c>
      <c r="D424" s="1645" t="s">
        <v>1555</v>
      </c>
      <c r="E424" s="1645">
        <f t="shared" si="94"/>
      </c>
      <c r="F424" s="1649" t="s">
        <v>1726</v>
      </c>
      <c r="G424" s="1953" t="s">
        <v>1725</v>
      </c>
      <c r="H424" s="1675" t="s">
        <v>1471</v>
      </c>
      <c r="I424" s="1675" t="s">
        <v>1469</v>
      </c>
      <c r="J424" s="1954"/>
      <c r="K424" s="1669"/>
      <c r="L424" s="1669"/>
      <c r="M424" s="1669"/>
      <c r="N424" s="1669"/>
      <c r="O424" s="1669"/>
      <c r="P424" s="1669"/>
    </row>
    <row customHeight="true" ht="16.071428571428573" r="425">
      <c r="A425" s="1670" t="s">
        <v>1727</v>
      </c>
      <c r="B425" s="1644">
        <v>46280</v>
      </c>
      <c r="C425" s="1670" t="str">
        <v>Tuesday</v>
      </c>
      <c r="D425" s="1645" t="s">
        <v>1640</v>
      </c>
      <c r="E425" s="1645">
        <f t="shared" si="94"/>
      </c>
      <c r="F425" s="1649" t="s">
        <v>1487</v>
      </c>
      <c r="G425" s="1953"/>
      <c r="H425" s="1675" t="s">
        <v>1471</v>
      </c>
      <c r="I425" s="1675" t="s">
        <v>1469</v>
      </c>
      <c r="J425" s="1954"/>
      <c r="K425" s="1669"/>
      <c r="L425" s="1669"/>
      <c r="M425" s="1669"/>
      <c r="N425" s="1669"/>
      <c r="O425" s="1669"/>
      <c r="P425" s="1669"/>
    </row>
    <row customHeight="true" ht="16.071428571428573" r="426">
      <c r="A426" s="1670" t="s">
        <v>1727</v>
      </c>
      <c r="B426" s="1644">
        <v>46280</v>
      </c>
      <c r="C426" s="1670" t="str">
        <v>Tuesday</v>
      </c>
      <c r="D426" s="1645" t="s">
        <v>1640</v>
      </c>
      <c r="E426" s="1645">
        <f t="shared" si="94"/>
      </c>
      <c r="F426" s="1649" t="s">
        <v>1726</v>
      </c>
      <c r="G426" s="1953"/>
      <c r="H426" s="1675" t="s">
        <v>1471</v>
      </c>
      <c r="I426" s="1675" t="s">
        <v>1469</v>
      </c>
      <c r="J426" s="1954"/>
      <c r="K426" s="1669"/>
      <c r="L426" s="1669"/>
      <c r="M426" s="1669"/>
      <c r="N426" s="1669"/>
      <c r="O426" s="1669"/>
      <c r="P426" s="1669"/>
    </row>
    <row customHeight="true" ht="16.071428571428573" r="427">
      <c r="A427" s="1670" t="s">
        <v>1727</v>
      </c>
      <c r="B427" s="1644">
        <v>46283</v>
      </c>
      <c r="C427" s="1670" t="str">
        <v>Friday</v>
      </c>
      <c r="D427" s="1645" t="s">
        <v>1665</v>
      </c>
      <c r="E427" s="1645">
        <f t="shared" si="94"/>
      </c>
      <c r="F427" s="1649" t="s">
        <v>1726</v>
      </c>
      <c r="G427" s="1953"/>
      <c r="H427" s="1675" t="s">
        <v>1471</v>
      </c>
      <c r="I427" s="1675" t="s">
        <v>1469</v>
      </c>
      <c r="J427" s="1954"/>
      <c r="K427" s="1669"/>
      <c r="L427" s="1669"/>
      <c r="M427" s="1669"/>
      <c r="N427" s="1669"/>
      <c r="O427" s="1669"/>
      <c r="P427" s="1669"/>
    </row>
    <row customHeight="true" ht="16.071428571428573" r="428">
      <c r="A428" s="1670" t="s">
        <v>1728</v>
      </c>
      <c r="B428" s="1644">
        <v>46282</v>
      </c>
      <c r="C428" s="1670" t="str">
        <v>Thursday</v>
      </c>
      <c r="D428" s="1645" t="s">
        <v>1729</v>
      </c>
      <c r="E428" s="1645">
        <f t="shared" si="94"/>
      </c>
      <c r="F428" s="1649" t="s">
        <v>1730</v>
      </c>
      <c r="G428" s="1953"/>
      <c r="H428" s="1675" t="s">
        <v>1471</v>
      </c>
      <c r="I428" s="1675" t="s">
        <v>1469</v>
      </c>
      <c r="J428" s="1954"/>
      <c r="K428" s="1669"/>
      <c r="L428" s="1669"/>
      <c r="M428" s="1669"/>
      <c r="N428" s="1669"/>
      <c r="O428" s="1669"/>
      <c r="P428" s="1669"/>
    </row>
    <row customHeight="true" ht="16.071428571428573" r="429">
      <c r="A429" s="1670" t="s">
        <v>1728</v>
      </c>
      <c r="B429" s="1644">
        <v>46283</v>
      </c>
      <c r="C429" s="1670" t="str">
        <v>Friday</v>
      </c>
      <c r="D429" s="1645" t="s">
        <v>1729</v>
      </c>
      <c r="E429" s="1645">
        <f t="shared" si="94"/>
      </c>
      <c r="F429" s="1649" t="s">
        <v>1730</v>
      </c>
      <c r="G429" s="1953"/>
      <c r="H429" s="1675" t="s">
        <v>1471</v>
      </c>
      <c r="I429" s="1675" t="s">
        <v>1469</v>
      </c>
      <c r="J429" s="1954"/>
      <c r="K429" s="1669"/>
      <c r="L429" s="1669"/>
      <c r="M429" s="1669"/>
      <c r="N429" s="1669"/>
      <c r="O429" s="1669"/>
      <c r="P429" s="1669"/>
    </row>
    <row customHeight="true" ht="16.071428571428573" r="430">
      <c r="A430" s="1670" t="s">
        <v>1728</v>
      </c>
      <c r="B430" s="1644">
        <v>46284</v>
      </c>
      <c r="C430" s="1670" t="str">
        <v>Saturday</v>
      </c>
      <c r="D430" s="1645" t="s">
        <v>1731</v>
      </c>
      <c r="E430" s="1645">
        <f t="shared" si="94"/>
      </c>
      <c r="F430" s="1649" t="s">
        <v>1730</v>
      </c>
      <c r="G430" s="1953"/>
      <c r="H430" s="1675" t="s">
        <v>1471</v>
      </c>
      <c r="I430" s="1675" t="s">
        <v>1469</v>
      </c>
      <c r="J430" s="1954"/>
      <c r="K430" s="1669"/>
      <c r="L430" s="1669"/>
      <c r="M430" s="1669"/>
      <c r="N430" s="1669"/>
      <c r="O430" s="1669"/>
      <c r="P430" s="1669"/>
    </row>
    <row customHeight="true" ht="16.071428571428573" r="431">
      <c r="A431" s="1670" t="s">
        <v>1728</v>
      </c>
      <c r="B431" s="1644">
        <v>46283</v>
      </c>
      <c r="C431" s="1670" t="str">
        <v>Friday</v>
      </c>
      <c r="D431" s="1645" t="s">
        <v>1729</v>
      </c>
      <c r="E431" s="1645">
        <f t="shared" si="94"/>
      </c>
      <c r="F431" s="1649" t="s">
        <v>1732</v>
      </c>
      <c r="G431" s="1953"/>
      <c r="H431" s="1675" t="s">
        <v>1471</v>
      </c>
      <c r="I431" s="1675" t="s">
        <v>1469</v>
      </c>
      <c r="J431" s="1954"/>
      <c r="K431" s="1669"/>
      <c r="L431" s="1669"/>
      <c r="M431" s="1669"/>
      <c r="N431" s="1669"/>
      <c r="O431" s="1669"/>
      <c r="P431" s="1669"/>
    </row>
    <row customHeight="true" ht="16.071428571428573" r="432">
      <c r="A432" s="1670" t="s">
        <v>1728</v>
      </c>
      <c r="B432" s="1644">
        <v>46284</v>
      </c>
      <c r="C432" s="1670" t="str">
        <v>Saturday</v>
      </c>
      <c r="D432" s="1645" t="s">
        <v>1731</v>
      </c>
      <c r="E432" s="1645">
        <f t="shared" si="94"/>
      </c>
      <c r="F432" s="1649" t="s">
        <v>1732</v>
      </c>
      <c r="G432" s="1953"/>
      <c r="H432" s="1675" t="s">
        <v>1471</v>
      </c>
      <c r="I432" s="1675" t="s">
        <v>1469</v>
      </c>
      <c r="J432" s="1954"/>
      <c r="K432" s="1669"/>
      <c r="L432" s="1669"/>
      <c r="M432" s="1669"/>
      <c r="N432" s="1669"/>
      <c r="O432" s="1669"/>
      <c r="P432" s="1669"/>
    </row>
    <row customHeight="true" ht="16.071428571428573" r="433">
      <c r="A433" s="1670"/>
      <c r="B433" s="1670"/>
      <c r="C433" s="1670"/>
      <c r="D433" s="1645"/>
      <c r="E433" s="1645"/>
      <c r="F433" s="1957"/>
      <c r="G433" s="1955"/>
      <c r="H433" s="1675"/>
      <c r="I433" s="1675"/>
      <c r="J433" s="1956"/>
      <c r="K433" s="1669"/>
      <c r="L433" s="1669"/>
      <c r="M433" s="1669"/>
      <c r="N433" s="1669"/>
      <c r="O433" s="1669"/>
      <c r="P433" s="1669"/>
    </row>
    <row customHeight="true" ht="16.071428571428573" r="434">
      <c r="A434" s="1680"/>
      <c r="B434" s="1680"/>
      <c r="C434" s="1680"/>
      <c r="D434" s="1795"/>
      <c r="E434" s="1680"/>
      <c r="F434" s="1680"/>
      <c r="G434" s="1680"/>
      <c r="H434" s="1795"/>
      <c r="I434" s="1680"/>
      <c r="J434" s="1680"/>
      <c r="K434" s="1770"/>
      <c r="L434" s="1770"/>
      <c r="M434" s="1770"/>
      <c r="N434" s="1770"/>
      <c r="O434" s="1770"/>
      <c r="P434" s="1770"/>
    </row>
    <row customHeight="true" ht="37.219887955226724" r="435">
      <c r="A435" s="1961" t="s">
        <v>1733</v>
      </c>
      <c r="B435" s="1961"/>
      <c r="C435" s="1961"/>
      <c r="D435" s="1961"/>
      <c r="E435" s="1961"/>
      <c r="F435" s="1961"/>
      <c r="G435" s="1961"/>
      <c r="H435" s="1961"/>
      <c r="I435" s="1961"/>
      <c r="J435" s="1962"/>
      <c r="K435" s="1683"/>
      <c r="L435" s="1683"/>
      <c r="M435" s="1683"/>
      <c r="N435" s="1683"/>
      <c r="O435" s="1683"/>
      <c r="P435" s="1683"/>
    </row>
    <row r="436">
      <c r="A436" s="1963" t="s">
        <v>1457</v>
      </c>
      <c r="B436" s="1814" t="s">
        <v>1458</v>
      </c>
      <c r="C436" s="1814"/>
      <c r="D436" s="1816" t="s">
        <v>1459</v>
      </c>
      <c r="E436" s="1964" t="s">
        <v>1460</v>
      </c>
      <c r="F436" s="1964" t="s">
        <v>1461</v>
      </c>
      <c r="G436" s="1965" t="s">
        <v>1473</v>
      </c>
      <c r="H436" s="1964" t="s">
        <v>1463</v>
      </c>
      <c r="I436" s="1819" t="s">
        <v>1464</v>
      </c>
      <c r="J436" s="1966" t="s">
        <v>1465</v>
      </c>
      <c r="K436" s="1669"/>
      <c r="L436" s="1669"/>
      <c r="M436" s="1669"/>
      <c r="N436" s="1669"/>
      <c r="O436" s="1669"/>
      <c r="P436" s="1669"/>
    </row>
    <row customHeight="true" ht="18.452380952380953" r="437">
      <c r="A437" s="1670" t="s">
        <v>1734</v>
      </c>
      <c r="B437" s="1644">
        <v>46279</v>
      </c>
      <c r="C437" s="1670" t="str">
        <v>Monday</v>
      </c>
      <c r="D437" s="1645" t="s">
        <v>1735</v>
      </c>
      <c r="E437" s="1649">
        <f t="shared" ref="E437:E442" si="95">24*MOD(TIMEVALUE(TRIM(MID(D437,FIND("-",D437)+1,LEN(D437)))) - TIMEVALUE(TRIM(LEFT(D437,FIND("-",D437)-1))),1)</f>
      </c>
      <c r="F437" s="1967" t="s">
        <v>1573</v>
      </c>
      <c r="G437" s="1968"/>
      <c r="H437" s="1649" t="s">
        <v>1471</v>
      </c>
      <c r="I437" s="1738" t="s">
        <v>1446</v>
      </c>
      <c r="J437" s="1673"/>
      <c r="K437" s="1651"/>
      <c r="L437" s="1651"/>
      <c r="M437" s="1651"/>
      <c r="N437" s="1651"/>
      <c r="O437" s="1651"/>
      <c r="P437" s="1651"/>
    </row>
    <row customHeight="true" ht="18.452380952380953" r="438">
      <c r="A438" s="1670" t="s">
        <v>1734</v>
      </c>
      <c r="B438" s="1644">
        <v>46279</v>
      </c>
      <c r="C438" s="1670" t="str">
        <v>Monday</v>
      </c>
      <c r="D438" s="1645" t="s">
        <v>1736</v>
      </c>
      <c r="E438" s="1649">
        <f t="shared" si="95"/>
      </c>
      <c r="F438" s="1650" t="s">
        <v>1737</v>
      </c>
      <c r="G438" s="1834"/>
      <c r="H438" s="1835" t="s">
        <v>1471</v>
      </c>
      <c r="I438" s="1738" t="s">
        <v>1446</v>
      </c>
      <c r="J438" s="1673"/>
      <c r="K438" s="1651"/>
      <c r="L438" s="1651"/>
      <c r="M438" s="1651"/>
      <c r="N438" s="1651"/>
      <c r="O438" s="1651"/>
      <c r="P438" s="1651"/>
    </row>
    <row customHeight="true" ht="18.452380952380953" r="439">
      <c r="A439" s="1670" t="s">
        <v>1734</v>
      </c>
      <c r="B439" s="1644">
        <v>46279</v>
      </c>
      <c r="C439" s="1670" t="str">
        <v>Monday</v>
      </c>
      <c r="D439" s="1645" t="s">
        <v>1738</v>
      </c>
      <c r="E439" s="1649">
        <f t="shared" si="95"/>
      </c>
      <c r="F439" s="1969" t="s">
        <v>1587</v>
      </c>
      <c r="G439" s="1834"/>
      <c r="H439" s="1835" t="s">
        <v>1471</v>
      </c>
      <c r="I439" s="1738" t="s">
        <v>1446</v>
      </c>
      <c r="J439" s="1673"/>
      <c r="K439" s="1651"/>
      <c r="L439" s="1651"/>
      <c r="M439" s="1651"/>
      <c r="N439" s="1651"/>
      <c r="O439" s="1651"/>
      <c r="P439" s="1651"/>
    </row>
    <row customHeight="true" ht="18.452380952380953" r="440">
      <c r="A440" s="1670" t="s">
        <v>1734</v>
      </c>
      <c r="B440" s="1644">
        <v>46279</v>
      </c>
      <c r="C440" s="1670" t="str">
        <v>Monday</v>
      </c>
      <c r="D440" s="1645" t="s">
        <v>1475</v>
      </c>
      <c r="E440" s="1649">
        <f t="shared" si="95"/>
      </c>
      <c r="F440" s="1675" t="s">
        <v>1737</v>
      </c>
      <c r="G440" s="1794"/>
      <c r="H440" s="1649" t="s">
        <v>1471</v>
      </c>
      <c r="I440" s="1738" t="s">
        <v>1446</v>
      </c>
      <c r="J440" s="1673"/>
      <c r="K440" s="1651"/>
      <c r="L440" s="1651"/>
      <c r="M440" s="1651"/>
      <c r="N440" s="1651"/>
      <c r="O440" s="1651"/>
      <c r="P440" s="1651"/>
    </row>
    <row customHeight="true" ht="18.452380952380953" r="441">
      <c r="A441" s="1670" t="s">
        <v>1734</v>
      </c>
      <c r="B441" s="1644">
        <v>46279</v>
      </c>
      <c r="C441" s="1670" t="str">
        <v>Monday</v>
      </c>
      <c r="D441" s="1645" t="s">
        <v>1739</v>
      </c>
      <c r="E441" s="1649">
        <f t="shared" si="95"/>
      </c>
      <c r="F441" s="1675" t="s">
        <v>1740</v>
      </c>
      <c r="G441" s="1794"/>
      <c r="H441" s="1649" t="s">
        <v>1471</v>
      </c>
      <c r="I441" s="1738" t="s">
        <v>1446</v>
      </c>
      <c r="J441" s="1673"/>
      <c r="K441" s="1651"/>
      <c r="L441" s="1651"/>
      <c r="M441" s="1651"/>
      <c r="N441" s="1651"/>
      <c r="O441" s="1651"/>
      <c r="P441" s="1651"/>
    </row>
    <row customHeight="true" ht="18.452380952380953" r="442">
      <c r="A442" s="1670" t="s">
        <v>1734</v>
      </c>
      <c r="B442" s="1644">
        <v>46279</v>
      </c>
      <c r="C442" s="1670" t="str">
        <v>Monday</v>
      </c>
      <c r="D442" s="1645" t="s">
        <v>1741</v>
      </c>
      <c r="E442" s="1649">
        <f t="shared" si="95"/>
      </c>
      <c r="F442" s="1675" t="s">
        <v>1525</v>
      </c>
      <c r="G442" s="1794"/>
      <c r="H442" s="1649" t="s">
        <v>1471</v>
      </c>
      <c r="I442" s="1738" t="s">
        <v>1446</v>
      </c>
      <c r="J442" s="1673"/>
      <c r="K442" s="1651"/>
      <c r="L442" s="1651"/>
      <c r="M442" s="1651"/>
      <c r="N442" s="1651"/>
      <c r="O442" s="1651"/>
      <c r="P442" s="1651"/>
    </row>
    <row customHeight="true" ht="18.452380952380953" r="443">
      <c r="A443" s="1670"/>
      <c r="B443" s="1644"/>
      <c r="C443" s="1670"/>
      <c r="D443" s="1786"/>
      <c r="E443" s="1918"/>
      <c r="F443" s="1787"/>
      <c r="G443" s="1970"/>
      <c r="H443" s="1649"/>
      <c r="I443" s="1738"/>
      <c r="J443" s="1971"/>
      <c r="K443" s="1972"/>
      <c r="L443" s="1972"/>
      <c r="M443" s="1972"/>
      <c r="N443" s="1972"/>
      <c r="O443" s="1972"/>
      <c r="P443" s="1972"/>
    </row>
    <row customHeight="true" ht="18.452380952380953" r="444">
      <c r="A444" s="1670" t="s">
        <v>1742</v>
      </c>
      <c r="B444" s="1644">
        <v>46279</v>
      </c>
      <c r="C444" s="1670" t="str">
        <v>Monday</v>
      </c>
      <c r="D444" s="1645" t="s">
        <v>1743</v>
      </c>
      <c r="E444" s="1918">
        <f t="shared" ref="E444:E451" si="96">24*MOD(TIMEVALUE(TRIM(MID(D444,FIND("-",D444)+1,LEN(D444)))) - TIMEVALUE(TRIM(LEFT(D444,FIND("-",D444)-1))),1)</f>
      </c>
      <c r="F444" s="1787" t="s">
        <v>1744</v>
      </c>
      <c r="G444" s="1970"/>
      <c r="H444" s="1649" t="s">
        <v>1471</v>
      </c>
      <c r="I444" s="1738" t="s">
        <v>1446</v>
      </c>
      <c r="J444" s="1971"/>
      <c r="K444" s="1972"/>
      <c r="L444" s="1972"/>
      <c r="M444" s="1972"/>
      <c r="N444" s="1972"/>
      <c r="O444" s="1972"/>
      <c r="P444" s="1972"/>
    </row>
    <row customHeight="true" ht="18.452380952380953" r="445">
      <c r="A445" s="1670" t="s">
        <v>1742</v>
      </c>
      <c r="B445" s="1644">
        <v>46279</v>
      </c>
      <c r="C445" s="1670" t="str">
        <v>Monday</v>
      </c>
      <c r="D445" s="1645" t="s">
        <v>1736</v>
      </c>
      <c r="E445" s="1918">
        <f t="shared" si="96"/>
      </c>
      <c r="F445" s="1957" t="s">
        <v>1497</v>
      </c>
      <c r="G445" s="1973"/>
      <c r="H445" s="1649" t="s">
        <v>1471</v>
      </c>
      <c r="I445" s="1738" t="s">
        <v>1446</v>
      </c>
      <c r="J445" s="1971"/>
      <c r="K445" s="1972"/>
      <c r="L445" s="1972"/>
      <c r="M445" s="1972"/>
      <c r="N445" s="1972"/>
      <c r="O445" s="1972"/>
      <c r="P445" s="1972"/>
    </row>
    <row customHeight="true" ht="18.452380952380953" r="446">
      <c r="A446" s="1670" t="s">
        <v>1742</v>
      </c>
      <c r="B446" s="1644">
        <v>46279</v>
      </c>
      <c r="C446" s="1670" t="str">
        <v>Monday</v>
      </c>
      <c r="D446" s="1645" t="s">
        <v>1738</v>
      </c>
      <c r="E446" s="1918">
        <f t="shared" si="96"/>
      </c>
      <c r="F446" s="1957" t="s">
        <v>1745</v>
      </c>
      <c r="G446" s="1970"/>
      <c r="H446" s="1649" t="s">
        <v>1471</v>
      </c>
      <c r="I446" s="1738" t="s">
        <v>1446</v>
      </c>
      <c r="J446" s="1971"/>
      <c r="K446" s="1972"/>
      <c r="L446" s="1972"/>
      <c r="M446" s="1972"/>
      <c r="N446" s="1972"/>
      <c r="O446" s="1972"/>
      <c r="P446" s="1972"/>
    </row>
    <row customHeight="true" ht="18.452380952380953" r="447">
      <c r="A447" s="1670" t="s">
        <v>1742</v>
      </c>
      <c r="B447" s="1644">
        <v>46279</v>
      </c>
      <c r="C447" s="1670" t="str">
        <v>Monday</v>
      </c>
      <c r="D447" s="1645" t="s">
        <v>1554</v>
      </c>
      <c r="E447" s="1918">
        <f t="shared" si="96"/>
      </c>
      <c r="F447" s="1787" t="s">
        <v>1746</v>
      </c>
      <c r="G447" s="1970"/>
      <c r="H447" s="1649" t="s">
        <v>1471</v>
      </c>
      <c r="I447" s="1738" t="s">
        <v>1446</v>
      </c>
      <c r="J447" s="1971"/>
      <c r="K447" s="1972"/>
      <c r="L447" s="1972"/>
      <c r="M447" s="1972"/>
      <c r="N447" s="1972"/>
      <c r="O447" s="1972"/>
      <c r="P447" s="1972"/>
    </row>
    <row customHeight="true" ht="18.452380952380953" r="448">
      <c r="A448" s="1670" t="s">
        <v>1742</v>
      </c>
      <c r="B448" s="1644">
        <v>46279</v>
      </c>
      <c r="C448" s="1670" t="str">
        <v>Monday</v>
      </c>
      <c r="D448" s="1645" t="s">
        <v>1555</v>
      </c>
      <c r="E448" s="1918">
        <f t="shared" si="96"/>
      </c>
      <c r="F448" s="1957" t="s">
        <v>1745</v>
      </c>
      <c r="G448" s="1970"/>
      <c r="H448" s="1649" t="s">
        <v>1471</v>
      </c>
      <c r="I448" s="1738" t="s">
        <v>1446</v>
      </c>
      <c r="J448" s="1971"/>
      <c r="K448" s="1972"/>
      <c r="L448" s="1972"/>
      <c r="M448" s="1972"/>
      <c r="N448" s="1972"/>
      <c r="O448" s="1972"/>
      <c r="P448" s="1972"/>
    </row>
    <row customHeight="true" ht="18.452380952380953" r="449">
      <c r="A449" s="1670" t="s">
        <v>1742</v>
      </c>
      <c r="B449" s="1644">
        <v>46279</v>
      </c>
      <c r="C449" s="1670" t="str">
        <v>Monday</v>
      </c>
      <c r="D449" s="1645" t="s">
        <v>1741</v>
      </c>
      <c r="E449" s="1918">
        <f t="shared" si="96"/>
      </c>
      <c r="F449" s="1787" t="s">
        <v>1746</v>
      </c>
      <c r="G449" s="1970"/>
      <c r="H449" s="1649" t="s">
        <v>1471</v>
      </c>
      <c r="I449" s="1738" t="s">
        <v>1446</v>
      </c>
      <c r="J449" s="1971"/>
      <c r="K449" s="1972"/>
      <c r="L449" s="1972"/>
      <c r="M449" s="1972"/>
      <c r="N449" s="1972"/>
      <c r="O449" s="1972"/>
      <c r="P449" s="1972"/>
    </row>
    <row customHeight="true" ht="18.452380952380953" r="450">
      <c r="A450" s="1785" t="s">
        <v>1747</v>
      </c>
      <c r="B450" s="1790">
        <v>46279</v>
      </c>
      <c r="C450" s="1785" t="str">
        <v>Monday</v>
      </c>
      <c r="D450" s="1786" t="s">
        <v>1554</v>
      </c>
      <c r="E450" s="1787">
        <f t="shared" si="96"/>
      </c>
      <c r="F450" s="1967" t="s">
        <v>1748</v>
      </c>
      <c r="G450" s="1916"/>
      <c r="H450" s="1787" t="s">
        <v>1471</v>
      </c>
      <c r="I450" s="1787" t="s">
        <v>1446</v>
      </c>
      <c r="J450" s="1974"/>
      <c r="K450" s="1972"/>
      <c r="L450" s="1972"/>
      <c r="M450" s="1972"/>
      <c r="N450" s="1972"/>
      <c r="O450" s="1972"/>
      <c r="P450" s="1972"/>
      <c r="Q450" s="1770"/>
      <c r="R450" s="1770"/>
    </row>
    <row customHeight="true" ht="18.452380952380953" r="451">
      <c r="A451" s="1785" t="s">
        <v>1747</v>
      </c>
      <c r="B451" s="1790">
        <v>46279</v>
      </c>
      <c r="C451" s="1785" t="str">
        <v>Monday</v>
      </c>
      <c r="D451" s="1786" t="s">
        <v>1554</v>
      </c>
      <c r="E451" s="1787">
        <f t="shared" si="96"/>
      </c>
      <c r="F451" s="1967" t="s">
        <v>1749</v>
      </c>
      <c r="G451" s="1916"/>
      <c r="H451" s="1787" t="s">
        <v>1471</v>
      </c>
      <c r="I451" s="1738" t="s">
        <v>1446</v>
      </c>
      <c r="J451" s="1974"/>
      <c r="K451" s="1972"/>
      <c r="L451" s="1972"/>
      <c r="M451" s="1972"/>
      <c r="N451" s="1972"/>
      <c r="O451" s="1972"/>
      <c r="P451" s="1972"/>
      <c r="Q451" s="1770"/>
      <c r="R451" s="1770"/>
    </row>
    <row customHeight="true" ht="18.452380952380953" r="452">
      <c r="A452" s="1670"/>
      <c r="B452" s="1670"/>
      <c r="C452" s="1670"/>
      <c r="D452" s="1675"/>
      <c r="E452" s="1649"/>
      <c r="F452" s="1675"/>
      <c r="G452" s="1794"/>
      <c r="H452" s="1649"/>
      <c r="I452" s="1738"/>
      <c r="J452" s="1660"/>
      <c r="K452" s="1651"/>
      <c r="L452" s="1651"/>
      <c r="M452" s="1651"/>
      <c r="N452" s="1651"/>
      <c r="O452" s="1651"/>
      <c r="P452" s="1651"/>
    </row>
    <row customHeight="true" ht="18.452380952380953" r="453">
      <c r="A453" s="1975" t="s">
        <v>1734</v>
      </c>
      <c r="B453" s="1976">
        <v>46280</v>
      </c>
      <c r="C453" s="1975" t="str">
        <v>Tuesday</v>
      </c>
      <c r="D453" s="1977" t="s">
        <v>1750</v>
      </c>
      <c r="E453" s="1978">
        <f t="shared" ref="E453:E461" si="97">24*MOD(TIMEVALUE(TRIM(MID(D453,FIND("-",D453)+1,LEN(D453)))) - TIMEVALUE(TRIM(LEFT(D453,FIND("-",D453)-1))),1)</f>
      </c>
      <c r="F453" s="1978" t="s">
        <v>1573</v>
      </c>
      <c r="G453" s="1979" t="s">
        <v>1751</v>
      </c>
      <c r="H453" s="1649" t="s">
        <v>1471</v>
      </c>
      <c r="I453" s="1738" t="s">
        <v>1446</v>
      </c>
      <c r="J453" s="1980"/>
      <c r="K453" s="1972"/>
      <c r="L453" s="1972"/>
      <c r="M453" s="1972"/>
      <c r="N453" s="1972"/>
      <c r="O453" s="1972"/>
      <c r="P453" s="1972"/>
    </row>
    <row customHeight="true" ht="18.452380952380953" r="454">
      <c r="A454" s="1975" t="s">
        <v>1734</v>
      </c>
      <c r="B454" s="1976">
        <v>46280</v>
      </c>
      <c r="C454" s="1975" t="str">
        <v>Tuesday</v>
      </c>
      <c r="D454" s="1977" t="s">
        <v>1671</v>
      </c>
      <c r="E454" s="1978">
        <f t="shared" si="97"/>
      </c>
      <c r="F454" s="1981" t="s">
        <v>1752</v>
      </c>
      <c r="G454" s="1979" t="s">
        <v>1753</v>
      </c>
      <c r="H454" s="1649" t="s">
        <v>1471</v>
      </c>
      <c r="I454" s="1738" t="s">
        <v>1446</v>
      </c>
      <c r="J454" s="1980"/>
      <c r="K454" s="1972"/>
      <c r="L454" s="1972"/>
      <c r="M454" s="1972"/>
      <c r="N454" s="1972"/>
      <c r="O454" s="1972"/>
      <c r="P454" s="1972"/>
    </row>
    <row customHeight="true" ht="18.452380952380953" r="455">
      <c r="A455" s="1975" t="s">
        <v>1734</v>
      </c>
      <c r="B455" s="1976">
        <v>46280</v>
      </c>
      <c r="C455" s="1975" t="str">
        <v>Tuesday</v>
      </c>
      <c r="D455" s="1977" t="s">
        <v>1649</v>
      </c>
      <c r="E455" s="1978">
        <f t="shared" si="97"/>
      </c>
      <c r="F455" s="1981" t="s">
        <v>1748</v>
      </c>
      <c r="G455" s="1979" t="s">
        <v>1754</v>
      </c>
      <c r="H455" s="1649" t="s">
        <v>1471</v>
      </c>
      <c r="I455" s="1787" t="s">
        <v>1446</v>
      </c>
      <c r="J455" s="1980"/>
      <c r="K455" s="1972"/>
      <c r="L455" s="1972"/>
      <c r="M455" s="1972"/>
      <c r="N455" s="1972"/>
      <c r="O455" s="1972"/>
      <c r="P455" s="1972"/>
    </row>
    <row customHeight="true" ht="18.452380952380953" r="456">
      <c r="A456" s="1975" t="s">
        <v>1734</v>
      </c>
      <c r="B456" s="1976">
        <v>46280</v>
      </c>
      <c r="C456" s="1975" t="str">
        <v>Tuesday</v>
      </c>
      <c r="D456" s="1977" t="s">
        <v>1738</v>
      </c>
      <c r="E456" s="1978">
        <f t="shared" si="97"/>
      </c>
      <c r="F456" s="1982" t="s">
        <v>1755</v>
      </c>
      <c r="G456" s="1979" t="s">
        <v>1753</v>
      </c>
      <c r="H456" s="1649" t="s">
        <v>1471</v>
      </c>
      <c r="I456" s="1738" t="s">
        <v>1446</v>
      </c>
      <c r="J456" s="1980"/>
      <c r="K456" s="1972"/>
      <c r="L456" s="1972"/>
      <c r="M456" s="1972"/>
      <c r="N456" s="1972"/>
      <c r="O456" s="1972"/>
      <c r="P456" s="1972"/>
    </row>
    <row customHeight="true" ht="18.452380952380953" r="457">
      <c r="A457" s="1975" t="s">
        <v>1734</v>
      </c>
      <c r="B457" s="1976">
        <v>46280</v>
      </c>
      <c r="C457" s="1975" t="str">
        <v>Tuesday</v>
      </c>
      <c r="D457" s="1977" t="s">
        <v>1475</v>
      </c>
      <c r="E457" s="1978">
        <f t="shared" si="97"/>
      </c>
      <c r="F457" s="1983" t="s">
        <v>1740</v>
      </c>
      <c r="G457" s="1979" t="s">
        <v>1756</v>
      </c>
      <c r="H457" s="1787" t="s">
        <v>1471</v>
      </c>
      <c r="I457" s="1738" t="s">
        <v>1446</v>
      </c>
      <c r="J457" s="1980"/>
      <c r="K457" s="1972"/>
      <c r="L457" s="1972"/>
      <c r="M457" s="1972"/>
      <c r="N457" s="1972"/>
      <c r="O457" s="1972"/>
      <c r="P457" s="1972"/>
    </row>
    <row customHeight="true" ht="18.452380952380953" r="458">
      <c r="A458" s="1984" t="s">
        <v>1734</v>
      </c>
      <c r="B458" s="1976">
        <v>46280</v>
      </c>
      <c r="C458" s="1984" t="str">
        <v>Tuesday</v>
      </c>
      <c r="D458" s="1977" t="s">
        <v>1659</v>
      </c>
      <c r="E458" s="1982">
        <f t="shared" si="97"/>
      </c>
      <c r="F458" s="1982" t="s">
        <v>1525</v>
      </c>
      <c r="G458" s="1985" t="s">
        <v>1484</v>
      </c>
      <c r="H458" s="1787" t="s">
        <v>1471</v>
      </c>
      <c r="I458" s="1738" t="s">
        <v>1446</v>
      </c>
      <c r="J458" s="1986"/>
      <c r="K458" s="1987"/>
      <c r="L458" s="1987"/>
      <c r="M458" s="1987"/>
      <c r="N458" s="1987"/>
      <c r="O458" s="1987"/>
      <c r="P458" s="1987"/>
      <c r="Q458" s="1988"/>
      <c r="R458" s="1988"/>
    </row>
    <row customHeight="true" ht="18.452380952380953" r="459">
      <c r="A459" s="1975" t="s">
        <v>1734</v>
      </c>
      <c r="B459" s="1976">
        <v>46280</v>
      </c>
      <c r="C459" s="1975" t="str">
        <v>Tuesday</v>
      </c>
      <c r="D459" s="1977" t="s">
        <v>1757</v>
      </c>
      <c r="E459" s="1978">
        <f t="shared" si="97"/>
      </c>
      <c r="F459" s="1983" t="s">
        <v>1758</v>
      </c>
      <c r="G459" s="1979" t="s">
        <v>1756</v>
      </c>
      <c r="H459" s="1787" t="s">
        <v>1471</v>
      </c>
      <c r="I459" s="1738" t="s">
        <v>1446</v>
      </c>
      <c r="J459" s="1980"/>
      <c r="K459" s="1972"/>
      <c r="L459" s="1972"/>
      <c r="M459" s="1972"/>
      <c r="N459" s="1972"/>
      <c r="O459" s="1972"/>
      <c r="P459" s="1972"/>
    </row>
    <row customHeight="true" ht="18.452380952380953" r="460">
      <c r="A460" s="1975" t="s">
        <v>1747</v>
      </c>
      <c r="B460" s="1976">
        <v>46280</v>
      </c>
      <c r="C460" s="1975" t="str">
        <v>Tuesday</v>
      </c>
      <c r="D460" s="1977" t="s">
        <v>1671</v>
      </c>
      <c r="E460" s="1978">
        <f t="shared" si="97"/>
      </c>
      <c r="F460" s="1981" t="s">
        <v>1748</v>
      </c>
      <c r="G460" s="1979"/>
      <c r="H460" s="1649" t="s">
        <v>1471</v>
      </c>
      <c r="I460" s="1787" t="s">
        <v>1446</v>
      </c>
      <c r="J460" s="1980"/>
      <c r="K460" s="1972"/>
      <c r="L460" s="1972"/>
      <c r="M460" s="1972"/>
      <c r="N460" s="1972"/>
      <c r="O460" s="1972"/>
      <c r="P460" s="1972"/>
    </row>
    <row customHeight="true" ht="18.452380952380953" r="461">
      <c r="A461" s="1975" t="s">
        <v>1747</v>
      </c>
      <c r="B461" s="1976">
        <v>46280</v>
      </c>
      <c r="C461" s="1975" t="str">
        <v>Tuesday</v>
      </c>
      <c r="D461" s="1977" t="s">
        <v>1538</v>
      </c>
      <c r="E461" s="1989">
        <f t="shared" si="97"/>
      </c>
      <c r="F461" s="1983" t="s">
        <v>1758</v>
      </c>
      <c r="G461" s="1990"/>
      <c r="H461" s="1787" t="s">
        <v>1471</v>
      </c>
      <c r="I461" s="1738" t="s">
        <v>1446</v>
      </c>
      <c r="J461" s="1991"/>
      <c r="K461" s="1651"/>
      <c r="L461" s="1651"/>
      <c r="M461" s="1651"/>
      <c r="N461" s="1651"/>
      <c r="O461" s="1651"/>
      <c r="P461" s="1651"/>
    </row>
    <row customHeight="true" ht="18.452380952380953" r="462">
      <c r="A462" s="1975"/>
      <c r="B462" s="1976"/>
      <c r="C462" s="1975"/>
      <c r="D462" s="1977"/>
      <c r="E462" s="1989"/>
      <c r="F462" s="1983"/>
      <c r="G462" s="1990"/>
      <c r="H462" s="1787"/>
      <c r="I462" s="1738"/>
      <c r="J462" s="1991"/>
      <c r="K462" s="1651"/>
      <c r="L462" s="1651"/>
      <c r="M462" s="1651"/>
      <c r="N462" s="1651"/>
      <c r="O462" s="1651"/>
      <c r="P462" s="1651"/>
    </row>
    <row customHeight="true" ht="18.452380952380953" r="463">
      <c r="A463" s="1984" t="s">
        <v>1742</v>
      </c>
      <c r="B463" s="1976">
        <v>46280</v>
      </c>
      <c r="C463" s="1984" t="str">
        <v>Tuesday</v>
      </c>
      <c r="D463" s="1977" t="s">
        <v>1759</v>
      </c>
      <c r="E463" s="1992">
        <f t="shared" ref="E463:E469" si="98">24*MOD(TIMEVALUE(TRIM(MID(D463,FIND("-",D463)+1,LEN(D463)))) - TIMEVALUE(TRIM(LEFT(D463,FIND("-",D463)-1))),1)</f>
      </c>
      <c r="F463" s="1982" t="s">
        <v>1744</v>
      </c>
      <c r="G463" s="1993"/>
      <c r="H463" s="1787" t="s">
        <v>1471</v>
      </c>
      <c r="I463" s="1738" t="s">
        <v>1446</v>
      </c>
      <c r="J463" s="1994"/>
      <c r="K463" s="1987"/>
      <c r="L463" s="1987"/>
      <c r="M463" s="1987"/>
      <c r="N463" s="1987"/>
      <c r="O463" s="1987"/>
      <c r="P463" s="1987"/>
      <c r="Q463" s="1988"/>
      <c r="R463" s="1988"/>
    </row>
    <row customHeight="true" ht="18.452380952380953" r="464">
      <c r="A464" s="1984" t="s">
        <v>1742</v>
      </c>
      <c r="B464" s="1976">
        <v>46280</v>
      </c>
      <c r="C464" s="1984" t="str">
        <v>Tuesday</v>
      </c>
      <c r="D464" s="1977" t="s">
        <v>1671</v>
      </c>
      <c r="E464" s="1982">
        <f t="shared" si="98"/>
      </c>
      <c r="F464" s="1992" t="s">
        <v>1745</v>
      </c>
      <c r="G464" s="1995"/>
      <c r="H464" s="1787" t="s">
        <v>1471</v>
      </c>
      <c r="I464" s="1738" t="s">
        <v>1446</v>
      </c>
      <c r="J464" s="1996"/>
      <c r="K464" s="1997"/>
      <c r="L464" s="1997"/>
      <c r="M464" s="1997"/>
      <c r="N464" s="1997"/>
      <c r="O464" s="1997"/>
      <c r="P464" s="1997"/>
      <c r="Q464" s="1988"/>
      <c r="R464" s="1988"/>
    </row>
    <row customHeight="true" ht="18.452380952380953" r="465">
      <c r="A465" s="1984" t="s">
        <v>1742</v>
      </c>
      <c r="B465" s="1976">
        <v>46280</v>
      </c>
      <c r="C465" s="1984" t="str">
        <v>Tuesday</v>
      </c>
      <c r="D465" s="1977" t="s">
        <v>1649</v>
      </c>
      <c r="E465" s="1982">
        <f t="shared" si="98"/>
      </c>
      <c r="F465" s="1982"/>
      <c r="G465" s="1985" t="s">
        <v>1760</v>
      </c>
      <c r="H465" s="1787" t="s">
        <v>1471</v>
      </c>
      <c r="I465" s="1738"/>
      <c r="J465" s="1996"/>
      <c r="K465" s="1997"/>
      <c r="L465" s="1997"/>
      <c r="M465" s="1997"/>
      <c r="N465" s="1997"/>
      <c r="O465" s="1997"/>
      <c r="P465" s="1997"/>
      <c r="Q465" s="1988"/>
      <c r="R465" s="1988"/>
    </row>
    <row customHeight="true" ht="18.452380952380953" r="466">
      <c r="A466" s="1984" t="s">
        <v>1742</v>
      </c>
      <c r="B466" s="1976">
        <v>46280</v>
      </c>
      <c r="C466" s="1984" t="str">
        <v>Tuesday</v>
      </c>
      <c r="D466" s="1977" t="s">
        <v>1650</v>
      </c>
      <c r="E466" s="1982">
        <f t="shared" si="98"/>
      </c>
      <c r="F466" s="1992" t="s">
        <v>1745</v>
      </c>
      <c r="G466" s="1995"/>
      <c r="H466" s="1787" t="s">
        <v>1471</v>
      </c>
      <c r="I466" s="1738" t="s">
        <v>1446</v>
      </c>
      <c r="J466" s="1996"/>
      <c r="K466" s="1997"/>
      <c r="L466" s="1997"/>
      <c r="M466" s="1997"/>
      <c r="N466" s="1997"/>
      <c r="O466" s="1997"/>
      <c r="P466" s="1997"/>
      <c r="Q466" s="1988"/>
      <c r="R466" s="1988"/>
    </row>
    <row customHeight="true" ht="18.452380952380953" r="467">
      <c r="A467" s="1975" t="s">
        <v>1742</v>
      </c>
      <c r="B467" s="1976">
        <v>46280</v>
      </c>
      <c r="C467" s="1975" t="str">
        <v>Tuesday</v>
      </c>
      <c r="D467" s="1977" t="s">
        <v>1554</v>
      </c>
      <c r="E467" s="1989">
        <f t="shared" si="98"/>
      </c>
      <c r="F467" s="1982" t="s">
        <v>1746</v>
      </c>
      <c r="G467" s="1979"/>
      <c r="H467" s="1787" t="s">
        <v>1471</v>
      </c>
      <c r="I467" s="1738" t="s">
        <v>1446</v>
      </c>
      <c r="J467" s="1991"/>
      <c r="K467" s="1651"/>
      <c r="L467" s="1651"/>
      <c r="M467" s="1651"/>
      <c r="N467" s="1651"/>
      <c r="O467" s="1651"/>
      <c r="P467" s="1651"/>
    </row>
    <row customHeight="true" ht="18.452380952380953" r="468">
      <c r="A468" s="1975" t="s">
        <v>1742</v>
      </c>
      <c r="B468" s="1976">
        <v>46280</v>
      </c>
      <c r="C468" s="1975" t="str">
        <v>Tuesday</v>
      </c>
      <c r="D468" s="1977" t="s">
        <v>1694</v>
      </c>
      <c r="E468" s="1989">
        <f t="shared" si="98"/>
      </c>
      <c r="F468" s="1983" t="s">
        <v>1761</v>
      </c>
      <c r="G468" s="1990"/>
      <c r="H468" s="1787" t="s">
        <v>1471</v>
      </c>
      <c r="I468" s="1738" t="s">
        <v>1446</v>
      </c>
      <c r="J468" s="1991"/>
      <c r="K468" s="1651"/>
      <c r="L468" s="1651"/>
      <c r="M468" s="1651"/>
      <c r="N468" s="1651"/>
      <c r="O468" s="1651"/>
      <c r="P468" s="1651"/>
    </row>
    <row customHeight="true" ht="18.452380952380953" r="469">
      <c r="A469" s="1975" t="s">
        <v>1742</v>
      </c>
      <c r="B469" s="1976">
        <v>46280</v>
      </c>
      <c r="C469" s="1975" t="str">
        <v>Tuesday</v>
      </c>
      <c r="D469" s="1977" t="s">
        <v>1762</v>
      </c>
      <c r="E469" s="1989">
        <f t="shared" si="98"/>
      </c>
      <c r="F469" s="1982" t="s">
        <v>1746</v>
      </c>
      <c r="G469" s="1990"/>
      <c r="H469" s="1787"/>
      <c r="I469" s="1738" t="s">
        <v>1446</v>
      </c>
      <c r="J469" s="1991"/>
      <c r="K469" s="1651"/>
      <c r="L469" s="1651"/>
      <c r="M469" s="1651"/>
      <c r="N469" s="1651"/>
      <c r="O469" s="1651"/>
      <c r="P469" s="1651"/>
    </row>
    <row customHeight="true" ht="18.452380952380953" r="470">
      <c r="A470" s="1670"/>
      <c r="B470" s="1670"/>
      <c r="C470" s="1670"/>
      <c r="D470" s="1675"/>
      <c r="E470" s="1649"/>
      <c r="F470" s="1675"/>
      <c r="G470" s="1794"/>
      <c r="H470" s="1649"/>
      <c r="I470" s="1738"/>
      <c r="J470" s="1660"/>
      <c r="K470" s="1651"/>
      <c r="L470" s="1651"/>
      <c r="M470" s="1651"/>
      <c r="N470" s="1651"/>
      <c r="O470" s="1651"/>
      <c r="P470" s="1651"/>
    </row>
    <row customHeight="true" ht="18.452380952380953" r="471">
      <c r="A471" s="1785" t="s">
        <v>1747</v>
      </c>
      <c r="B471" s="1790">
        <v>46281</v>
      </c>
      <c r="C471" s="1785" t="str">
        <v>Wednesday</v>
      </c>
      <c r="D471" s="1786" t="s">
        <v>1675</v>
      </c>
      <c r="E471" s="1787">
        <f>24*MOD(TIMEVALUE(TRIM(MID(D471,FIND("-",D471)+1,LEN(D471)))) - TIMEVALUE(TRIM(LEFT(D471,FIND("-",D471)-1))),1)</f>
      </c>
      <c r="F471" s="1967" t="s">
        <v>1749</v>
      </c>
      <c r="G471" s="1916"/>
      <c r="H471" s="1787" t="s">
        <v>1471</v>
      </c>
      <c r="I471" s="1738" t="s">
        <v>1446</v>
      </c>
      <c r="J471" s="1974"/>
      <c r="K471" s="1972"/>
      <c r="L471" s="1972"/>
      <c r="M471" s="1972"/>
      <c r="N471" s="1972"/>
      <c r="O471" s="1972"/>
      <c r="P471" s="1972"/>
      <c r="Q471" s="1770"/>
      <c r="R471" s="1770"/>
    </row>
    <row customHeight="true" ht="18.452380952380953" r="472">
      <c r="A472" s="1670"/>
      <c r="B472" s="1670"/>
      <c r="C472" s="1670"/>
      <c r="D472" s="1675"/>
      <c r="E472" s="1649"/>
      <c r="F472" s="1675"/>
      <c r="G472" s="1794"/>
      <c r="H472" s="1649"/>
      <c r="I472" s="1738"/>
      <c r="J472" s="1660"/>
      <c r="K472" s="1651"/>
      <c r="L472" s="1651"/>
      <c r="M472" s="1651"/>
      <c r="N472" s="1651"/>
      <c r="O472" s="1651"/>
      <c r="P472" s="1651"/>
    </row>
    <row r="473">
      <c r="A473" s="1670" t="s">
        <v>1734</v>
      </c>
      <c r="B473" s="1670">
        <v>46282</v>
      </c>
      <c r="C473" s="1670" t="str">
        <v>Thursday</v>
      </c>
      <c r="D473" s="1675" t="s">
        <v>1763</v>
      </c>
      <c r="E473" s="1649">
        <f t="shared" ref="E473:E478" si="99">24*MOD(TIMEVALUE(TRIM(MID(D473,FIND("-",D473)+1,LEN(D473)))) - TIMEVALUE(TRIM(LEFT(D473,FIND("-",D473)-1))),1)</f>
      </c>
      <c r="F473" s="1675" t="s">
        <v>1573</v>
      </c>
      <c r="G473" s="1794" t="s">
        <v>1754</v>
      </c>
      <c r="H473" s="1649" t="s">
        <v>1471</v>
      </c>
      <c r="I473" s="1738" t="s">
        <v>1446</v>
      </c>
      <c r="J473" s="1660"/>
      <c r="K473" s="1651"/>
      <c r="L473" s="1651"/>
      <c r="M473" s="1651"/>
      <c r="N473" s="1651"/>
      <c r="O473" s="1651"/>
      <c r="P473" s="1651"/>
    </row>
    <row r="474">
      <c r="A474" s="1670" t="s">
        <v>1734</v>
      </c>
      <c r="B474" s="1670">
        <v>46282</v>
      </c>
      <c r="C474" s="1670" t="str">
        <v>Thursday</v>
      </c>
      <c r="D474" s="1675" t="s">
        <v>1665</v>
      </c>
      <c r="E474" s="1649">
        <f t="shared" si="99"/>
      </c>
      <c r="F474" s="1675" t="s">
        <v>1752</v>
      </c>
      <c r="G474" s="1806" t="s">
        <v>1753</v>
      </c>
      <c r="H474" s="1649" t="s">
        <v>1471</v>
      </c>
      <c r="I474" s="1738" t="s">
        <v>1446</v>
      </c>
      <c r="J474" s="1660"/>
      <c r="K474" s="1651"/>
      <c r="L474" s="1651"/>
      <c r="M474" s="1651"/>
      <c r="N474" s="1651"/>
      <c r="O474" s="1651"/>
      <c r="P474" s="1651"/>
    </row>
    <row customHeight="true" ht="18.452380952380953" r="475">
      <c r="A475" s="1670" t="s">
        <v>1734</v>
      </c>
      <c r="B475" s="1670">
        <v>46282</v>
      </c>
      <c r="C475" s="1670" t="str">
        <v>Thursday</v>
      </c>
      <c r="D475" s="1675" t="s">
        <v>1738</v>
      </c>
      <c r="E475" s="1649">
        <f t="shared" si="99"/>
      </c>
      <c r="F475" s="1675" t="s">
        <v>1755</v>
      </c>
      <c r="G475" s="1794" t="s">
        <v>1764</v>
      </c>
      <c r="H475" s="1649" t="s">
        <v>1471</v>
      </c>
      <c r="I475" s="1738" t="s">
        <v>1446</v>
      </c>
      <c r="J475" s="1660"/>
      <c r="K475" s="1651"/>
      <c r="L475" s="1651"/>
      <c r="M475" s="1651"/>
      <c r="N475" s="1651"/>
      <c r="O475" s="1651"/>
      <c r="P475" s="1651"/>
    </row>
    <row r="476">
      <c r="A476" s="1670" t="s">
        <v>1734</v>
      </c>
      <c r="B476" s="1670">
        <v>46282</v>
      </c>
      <c r="C476" s="1670" t="str">
        <v>Thursday</v>
      </c>
      <c r="D476" s="1645" t="s">
        <v>1475</v>
      </c>
      <c r="E476" s="1649">
        <f t="shared" si="99"/>
      </c>
      <c r="F476" s="1998" t="s">
        <v>1525</v>
      </c>
      <c r="G476" s="1794" t="s">
        <v>1484</v>
      </c>
      <c r="H476" s="1649" t="s">
        <v>1471</v>
      </c>
      <c r="I476" s="1738" t="s">
        <v>1446</v>
      </c>
      <c r="J476" s="1660"/>
      <c r="K476" s="1651"/>
      <c r="L476" s="1651"/>
      <c r="M476" s="1651"/>
      <c r="N476" s="1651"/>
      <c r="O476" s="1651"/>
      <c r="P476" s="1651"/>
    </row>
    <row customHeight="true" ht="18.452380952380953" r="477">
      <c r="A477" s="1670" t="s">
        <v>1734</v>
      </c>
      <c r="B477" s="1670">
        <v>46282</v>
      </c>
      <c r="C477" s="1670" t="str">
        <v>Thursday</v>
      </c>
      <c r="D477" s="1645" t="s">
        <v>1739</v>
      </c>
      <c r="E477" s="1649">
        <f t="shared" si="99"/>
      </c>
      <c r="F477" s="1675" t="s">
        <v>1752</v>
      </c>
      <c r="G477" s="1794" t="s">
        <v>1765</v>
      </c>
      <c r="H477" s="1649" t="s">
        <v>1471</v>
      </c>
      <c r="I477" s="1661" t="s">
        <v>1446</v>
      </c>
      <c r="J477" s="1660"/>
      <c r="K477" s="1651"/>
      <c r="L477" s="1651"/>
      <c r="M477" s="1651"/>
      <c r="N477" s="1651"/>
      <c r="O477" s="1651"/>
      <c r="P477" s="1651"/>
    </row>
    <row customHeight="true" ht="18.452380952380953" r="478">
      <c r="A478" s="1670" t="s">
        <v>1734</v>
      </c>
      <c r="B478" s="1670">
        <v>46282</v>
      </c>
      <c r="C478" s="1670" t="str">
        <v>Thursday</v>
      </c>
      <c r="D478" s="1645" t="s">
        <v>1741</v>
      </c>
      <c r="E478" s="1649">
        <f t="shared" si="99"/>
      </c>
      <c r="F478" s="1675" t="s">
        <v>1755</v>
      </c>
      <c r="G478" s="1973" t="s">
        <v>1756</v>
      </c>
      <c r="H478" s="1649" t="s">
        <v>1471</v>
      </c>
      <c r="I478" s="1661" t="s">
        <v>1446</v>
      </c>
      <c r="J478" s="1999"/>
      <c r="K478" s="1972"/>
      <c r="L478" s="1972"/>
      <c r="M478" s="1972"/>
      <c r="N478" s="1972"/>
      <c r="O478" s="1972"/>
      <c r="P478" s="1972"/>
    </row>
    <row customHeight="true" ht="18.452380952380953" r="479">
      <c r="A479" s="1785"/>
      <c r="B479" s="1790"/>
      <c r="C479" s="1785"/>
      <c r="D479" s="1786"/>
      <c r="E479" s="1957"/>
      <c r="F479" s="1967"/>
      <c r="G479" s="1916"/>
      <c r="H479" s="1787"/>
      <c r="I479" s="1658"/>
      <c r="J479" s="2000"/>
      <c r="K479" s="1651"/>
      <c r="L479" s="1651"/>
      <c r="M479" s="1651"/>
      <c r="N479" s="1651"/>
      <c r="O479" s="1651"/>
      <c r="P479" s="1651"/>
      <c r="Q479" s="1700"/>
      <c r="R479" s="1700"/>
    </row>
    <row customHeight="true" ht="18.452380952380953" r="480">
      <c r="A480" s="1670" t="s">
        <v>1742</v>
      </c>
      <c r="B480" s="1670">
        <v>46282</v>
      </c>
      <c r="C480" s="1670" t="str">
        <v>Thursday</v>
      </c>
      <c r="D480" s="1675" t="s">
        <v>1763</v>
      </c>
      <c r="E480" s="1918">
        <f t="shared" ref="E480:E485" si="100">24*MOD(TIMEVALUE(TRIM(MID(D480,FIND("-",D480)+1,LEN(D480)))) - TIMEVALUE(TRIM(LEFT(D480,FIND("-",D480)-1))),1)</f>
      </c>
      <c r="F480" s="1675"/>
      <c r="G480" s="1973" t="s">
        <v>1754</v>
      </c>
      <c r="H480" s="1649" t="s">
        <v>1471</v>
      </c>
      <c r="I480" s="1661"/>
      <c r="J480" s="1999"/>
      <c r="K480" s="1972"/>
      <c r="L480" s="1972"/>
      <c r="M480" s="1972"/>
      <c r="N480" s="1972"/>
      <c r="O480" s="1972"/>
      <c r="P480" s="1972"/>
    </row>
    <row customHeight="true" ht="18.452380952380953" r="481">
      <c r="A481" s="1897" t="s">
        <v>1742</v>
      </c>
      <c r="B481" s="1897">
        <v>46282</v>
      </c>
      <c r="C481" s="1897" t="str">
        <v>Thursday</v>
      </c>
      <c r="D481" s="1747" t="s">
        <v>1665</v>
      </c>
      <c r="E481" s="2001">
        <f t="shared" si="100"/>
      </c>
      <c r="F481" s="2001" t="s">
        <v>1745</v>
      </c>
      <c r="G481" s="2002"/>
      <c r="H481" s="1747" t="s">
        <v>1471</v>
      </c>
      <c r="I481" s="1734" t="s">
        <v>1446</v>
      </c>
      <c r="J481" s="2003" t="s">
        <v>1766</v>
      </c>
      <c r="K481" s="2004"/>
      <c r="L481" s="2004"/>
      <c r="M481" s="2004"/>
      <c r="N481" s="2004"/>
      <c r="O481" s="2004"/>
      <c r="P481" s="2004"/>
      <c r="Q481" s="1904"/>
      <c r="R481" s="1904"/>
    </row>
    <row customHeight="true" ht="18.452380952380953" r="482">
      <c r="A482" s="1897" t="s">
        <v>1742</v>
      </c>
      <c r="B482" s="1897">
        <v>46282</v>
      </c>
      <c r="C482" s="1897" t="str">
        <v>Thursday</v>
      </c>
      <c r="D482" s="1899" t="s">
        <v>1581</v>
      </c>
      <c r="E482" s="2001">
        <f t="shared" si="100"/>
      </c>
      <c r="F482" s="2001" t="s">
        <v>1745</v>
      </c>
      <c r="G482" s="2002"/>
      <c r="H482" s="1747" t="s">
        <v>1471</v>
      </c>
      <c r="I482" s="1734" t="s">
        <v>1446</v>
      </c>
      <c r="J482" s="2003" t="s">
        <v>1766</v>
      </c>
      <c r="K482" s="2004"/>
      <c r="L482" s="2004"/>
      <c r="M482" s="2004"/>
      <c r="N482" s="2004"/>
      <c r="O482" s="2004"/>
      <c r="P482" s="2004"/>
      <c r="Q482" s="1904"/>
      <c r="R482" s="1904"/>
    </row>
    <row customHeight="true" ht="18.452380952380953" r="483">
      <c r="A483" s="1670" t="s">
        <v>1742</v>
      </c>
      <c r="B483" s="1670">
        <v>46282</v>
      </c>
      <c r="C483" s="1670" t="str">
        <v>Thursday</v>
      </c>
      <c r="D483" s="1645" t="s">
        <v>1475</v>
      </c>
      <c r="E483" s="1918">
        <f t="shared" si="100"/>
      </c>
      <c r="F483" s="1787" t="s">
        <v>1497</v>
      </c>
      <c r="G483" s="1970"/>
      <c r="H483" s="1649" t="s">
        <v>1471</v>
      </c>
      <c r="I483" s="1738" t="s">
        <v>1446</v>
      </c>
      <c r="J483" s="1999"/>
      <c r="K483" s="1972"/>
      <c r="L483" s="1972"/>
      <c r="M483" s="1972"/>
      <c r="N483" s="1972"/>
      <c r="O483" s="1972"/>
      <c r="P483" s="1972"/>
    </row>
    <row customHeight="true" ht="18.452380952380953" r="484">
      <c r="A484" s="1670" t="s">
        <v>1742</v>
      </c>
      <c r="B484" s="1670">
        <v>46282</v>
      </c>
      <c r="C484" s="1670" t="str">
        <v>Thursday</v>
      </c>
      <c r="D484" s="1645" t="s">
        <v>1767</v>
      </c>
      <c r="E484" s="1918">
        <f t="shared" si="100"/>
      </c>
      <c r="F484" s="1675" t="s">
        <v>1746</v>
      </c>
      <c r="G484" s="1679"/>
      <c r="H484" s="1675" t="s">
        <v>1471</v>
      </c>
      <c r="I484" s="1661" t="s">
        <v>1446</v>
      </c>
      <c r="J484" s="1738"/>
      <c r="K484" s="1651"/>
      <c r="L484" s="1651"/>
      <c r="M484" s="1651"/>
      <c r="N484" s="1651"/>
      <c r="O484" s="1651"/>
      <c r="P484" s="1651"/>
    </row>
    <row customHeight="true" ht="18.452380952380953" r="485">
      <c r="A485" s="1670" t="s">
        <v>1742</v>
      </c>
      <c r="B485" s="1670">
        <v>46282</v>
      </c>
      <c r="C485" s="1670" t="str">
        <v>Thursday</v>
      </c>
      <c r="D485" s="1645" t="s">
        <v>1768</v>
      </c>
      <c r="E485" s="1918">
        <f t="shared" si="100"/>
      </c>
      <c r="F485" s="1675" t="s">
        <v>1746</v>
      </c>
      <c r="G485" s="1973"/>
      <c r="H485" s="1649" t="s">
        <v>1471</v>
      </c>
      <c r="I485" s="1661" t="s">
        <v>1446</v>
      </c>
      <c r="J485" s="1999"/>
      <c r="K485" s="1972"/>
      <c r="L485" s="1972"/>
      <c r="M485" s="1972"/>
      <c r="N485" s="1972"/>
      <c r="O485" s="1972"/>
      <c r="P485" s="1972"/>
    </row>
    <row customHeight="true" ht="18.452380952380953" r="486">
      <c r="A486" s="1670"/>
      <c r="B486" s="1670"/>
      <c r="C486" s="1670"/>
      <c r="D486" s="1675"/>
      <c r="E486" s="1918"/>
      <c r="F486" s="1675"/>
      <c r="G486" s="1679"/>
      <c r="H486" s="1675"/>
      <c r="I486" s="1661"/>
      <c r="J486" s="1738"/>
      <c r="K486" s="1651"/>
      <c r="L486" s="1651"/>
      <c r="M486" s="1651"/>
      <c r="N486" s="1651"/>
      <c r="O486" s="1651"/>
      <c r="P486" s="1651"/>
    </row>
    <row customHeight="true" ht="18.452380952380953" r="487">
      <c r="A487" s="1975" t="s">
        <v>1734</v>
      </c>
      <c r="B487" s="1975">
        <v>46283</v>
      </c>
      <c r="C487" s="1975" t="str">
        <v>Friday</v>
      </c>
      <c r="D487" s="1978" t="s">
        <v>1769</v>
      </c>
      <c r="E487" s="1978">
        <f t="shared" ref="E487:E495" si="101">24*MOD(TIMEVALUE(TRIM(MID(D487,FIND("-",D487)+1,LEN(D487)))) - TIMEVALUE(TRIM(LEFT(D487,FIND("-",D487)-1))),1)</f>
      </c>
      <c r="F487" s="1981" t="s">
        <v>1770</v>
      </c>
      <c r="G487" s="1809" t="s">
        <v>1771</v>
      </c>
      <c r="H487" s="1675" t="s">
        <v>1471</v>
      </c>
      <c r="I487" s="1661" t="s">
        <v>1446</v>
      </c>
      <c r="J487" s="1999"/>
      <c r="K487" s="1972"/>
      <c r="L487" s="1972"/>
      <c r="M487" s="1972"/>
      <c r="N487" s="1972"/>
      <c r="O487" s="1972"/>
      <c r="P487" s="1972"/>
    </row>
    <row r="488">
      <c r="A488" s="1975" t="s">
        <v>1734</v>
      </c>
      <c r="B488" s="1975">
        <v>46283</v>
      </c>
      <c r="C488" s="1975" t="str">
        <v>Friday</v>
      </c>
      <c r="D488" s="1978" t="s">
        <v>1772</v>
      </c>
      <c r="E488" s="1978">
        <f t="shared" si="101"/>
      </c>
      <c r="F488" s="1981" t="s">
        <v>1748</v>
      </c>
      <c r="G488" s="1809" t="s">
        <v>1773</v>
      </c>
      <c r="H488" s="1787" t="s">
        <v>1471</v>
      </c>
      <c r="I488" s="1787" t="s">
        <v>1446</v>
      </c>
      <c r="J488" s="2005"/>
      <c r="K488" s="1972"/>
      <c r="L488" s="1972"/>
      <c r="M488" s="1972"/>
      <c r="N488" s="1972"/>
      <c r="O488" s="1972"/>
      <c r="P488" s="1972"/>
    </row>
    <row r="489">
      <c r="A489" s="1975" t="s">
        <v>1734</v>
      </c>
      <c r="B489" s="1975">
        <v>46283</v>
      </c>
      <c r="C489" s="1975" t="str">
        <v>Friday</v>
      </c>
      <c r="D489" s="1978" t="s">
        <v>1774</v>
      </c>
      <c r="E489" s="1978">
        <f t="shared" si="101"/>
      </c>
      <c r="F489" s="1981" t="s">
        <v>1573</v>
      </c>
      <c r="G489" s="1809" t="s">
        <v>1754</v>
      </c>
      <c r="H489" s="1787" t="s">
        <v>1471</v>
      </c>
      <c r="I489" s="1738" t="s">
        <v>1446</v>
      </c>
      <c r="J489" s="2005"/>
      <c r="K489" s="1972"/>
      <c r="L489" s="1972"/>
      <c r="M489" s="1972"/>
      <c r="N489" s="1972"/>
      <c r="O489" s="1972"/>
      <c r="P489" s="1972"/>
    </row>
    <row customHeight="true" ht="18.452380952380953" r="490">
      <c r="A490" s="1975" t="s">
        <v>1734</v>
      </c>
      <c r="B490" s="1975">
        <v>46283</v>
      </c>
      <c r="C490" s="1975" t="str">
        <v>Friday</v>
      </c>
      <c r="D490" s="1978" t="s">
        <v>1763</v>
      </c>
      <c r="E490" s="1978">
        <f t="shared" si="101"/>
      </c>
      <c r="F490" s="1981" t="s">
        <v>1752</v>
      </c>
      <c r="G490" s="1809" t="s">
        <v>1751</v>
      </c>
      <c r="H490" s="1787" t="s">
        <v>1471</v>
      </c>
      <c r="I490" s="1738" t="s">
        <v>1446</v>
      </c>
      <c r="J490" s="2005"/>
      <c r="K490" s="1972"/>
      <c r="L490" s="1972"/>
      <c r="M490" s="1972"/>
      <c r="N490" s="1972"/>
      <c r="O490" s="1972"/>
      <c r="P490" s="1972"/>
    </row>
    <row r="491">
      <c r="A491" s="1975" t="s">
        <v>1734</v>
      </c>
      <c r="B491" s="1975">
        <v>46283</v>
      </c>
      <c r="C491" s="1975" t="str">
        <v>Friday</v>
      </c>
      <c r="D491" s="1978" t="s">
        <v>1671</v>
      </c>
      <c r="E491" s="1978">
        <f t="shared" si="101"/>
      </c>
      <c r="F491" s="1981" t="s">
        <v>1587</v>
      </c>
      <c r="G491" s="1809" t="s">
        <v>1775</v>
      </c>
      <c r="H491" s="1787" t="s">
        <v>1471</v>
      </c>
      <c r="I491" s="1738" t="s">
        <v>1446</v>
      </c>
      <c r="J491" s="2005"/>
      <c r="K491" s="1972"/>
      <c r="L491" s="1972"/>
      <c r="M491" s="1972"/>
      <c r="N491" s="1972"/>
      <c r="O491" s="1972"/>
      <c r="P491" s="1972"/>
    </row>
    <row r="492">
      <c r="A492" s="1975" t="s">
        <v>1734</v>
      </c>
      <c r="B492" s="1975">
        <v>46283</v>
      </c>
      <c r="C492" s="1975" t="str">
        <v>Friday</v>
      </c>
      <c r="D492" s="2006" t="s">
        <v>1776</v>
      </c>
      <c r="E492" s="1978">
        <f t="shared" si="101"/>
      </c>
      <c r="F492" s="1981" t="s">
        <v>1755</v>
      </c>
      <c r="G492" s="1809" t="s">
        <v>1751</v>
      </c>
      <c r="H492" s="1787" t="s">
        <v>1471</v>
      </c>
      <c r="I492" s="1738" t="s">
        <v>1446</v>
      </c>
      <c r="J492" s="2007"/>
      <c r="K492" s="1987"/>
      <c r="L492" s="1987"/>
      <c r="M492" s="1987"/>
      <c r="N492" s="1987"/>
      <c r="O492" s="1987"/>
      <c r="P492" s="1987"/>
      <c r="Q492" s="1988"/>
      <c r="R492" s="1988"/>
    </row>
    <row customHeight="true" ht="18.452380952380953" r="493">
      <c r="A493" s="1975" t="s">
        <v>1734</v>
      </c>
      <c r="B493" s="1975">
        <v>46283</v>
      </c>
      <c r="C493" s="1975" t="str">
        <v>Friday</v>
      </c>
      <c r="D493" s="2006" t="s">
        <v>1777</v>
      </c>
      <c r="E493" s="1978">
        <f t="shared" si="101"/>
      </c>
      <c r="F493" s="1981" t="s">
        <v>1740</v>
      </c>
      <c r="G493" s="1809" t="s">
        <v>1756</v>
      </c>
      <c r="H493" s="1787" t="s">
        <v>1471</v>
      </c>
      <c r="I493" s="1661" t="s">
        <v>1446</v>
      </c>
      <c r="J493" s="2005"/>
      <c r="K493" s="1972"/>
      <c r="L493" s="1972"/>
      <c r="M493" s="1972"/>
      <c r="N493" s="1972"/>
      <c r="O493" s="1972"/>
      <c r="P493" s="1972"/>
    </row>
    <row customHeight="true" ht="18.452380952380953" r="494">
      <c r="A494" s="1975" t="s">
        <v>1734</v>
      </c>
      <c r="B494" s="1975">
        <v>46283</v>
      </c>
      <c r="C494" s="1975" t="str">
        <v>Friday</v>
      </c>
      <c r="D494" s="1978" t="s">
        <v>1555</v>
      </c>
      <c r="E494" s="1978">
        <f t="shared" si="101"/>
      </c>
      <c r="F494" s="1982" t="s">
        <v>1778</v>
      </c>
      <c r="G494" s="1809" t="s">
        <v>1484</v>
      </c>
      <c r="H494" s="1675" t="s">
        <v>1471</v>
      </c>
      <c r="I494" s="1661" t="s">
        <v>1446</v>
      </c>
      <c r="J494" s="2005"/>
      <c r="K494" s="1972"/>
      <c r="L494" s="1972"/>
      <c r="M494" s="1972"/>
      <c r="N494" s="1972"/>
      <c r="O494" s="1972"/>
      <c r="P494" s="1972"/>
    </row>
    <row customHeight="true" ht="18.452380952380953" r="495">
      <c r="A495" s="1975" t="s">
        <v>1734</v>
      </c>
      <c r="B495" s="1975">
        <v>46283</v>
      </c>
      <c r="C495" s="1975" t="str">
        <v>Friday</v>
      </c>
      <c r="D495" s="1978" t="s">
        <v>1741</v>
      </c>
      <c r="E495" s="1978">
        <f t="shared" si="101"/>
      </c>
      <c r="F495" s="1981" t="s">
        <v>1755</v>
      </c>
      <c r="G495" s="1953" t="s">
        <v>1756</v>
      </c>
      <c r="H495" s="1787" t="s">
        <v>1471</v>
      </c>
      <c r="I495" s="1738" t="s">
        <v>1446</v>
      </c>
      <c r="J495" s="2005"/>
      <c r="K495" s="1987"/>
      <c r="L495" s="1987"/>
      <c r="M495" s="1987"/>
      <c r="N495" s="1987"/>
      <c r="O495" s="1987"/>
      <c r="P495" s="1987"/>
      <c r="Q495" s="1988"/>
      <c r="R495" s="1988"/>
    </row>
    <row customHeight="true" ht="18.452380952380953" r="496">
      <c r="A496" s="1975"/>
      <c r="B496" s="1975"/>
      <c r="C496" s="1975"/>
      <c r="D496" s="2006"/>
      <c r="E496" s="1978"/>
      <c r="F496" s="1981"/>
      <c r="G496" s="1973"/>
      <c r="H496" s="1675"/>
      <c r="I496" s="1661"/>
      <c r="J496" s="1999"/>
      <c r="K496" s="1972"/>
      <c r="L496" s="1972"/>
      <c r="M496" s="1972"/>
      <c r="N496" s="1972"/>
      <c r="O496" s="1972"/>
      <c r="P496" s="1972"/>
    </row>
    <row customHeight="true" ht="18.452380952380953" r="497">
      <c r="A497" s="1897" t="s">
        <v>1734</v>
      </c>
      <c r="B497" s="1897">
        <v>46283</v>
      </c>
      <c r="C497" s="1897" t="str">
        <v>Friday</v>
      </c>
      <c r="D497" s="1899" t="s">
        <v>1772</v>
      </c>
      <c r="E497" s="1747">
        <f>24*MOD(TIMEVALUE(TRIM(MID(D497,FIND("-",D497)+1,LEN(D497)))) - TIMEVALUE(TRIM(LEFT(D497,FIND("-",D497)-1))),1)</f>
      </c>
      <c r="F497" s="2008" t="s">
        <v>1770</v>
      </c>
      <c r="G497" s="2009" t="s">
        <v>1779</v>
      </c>
      <c r="H497" s="1747" t="s">
        <v>1471</v>
      </c>
      <c r="I497" s="2010" t="s">
        <v>1446</v>
      </c>
      <c r="J497" s="2003" t="s">
        <v>1780</v>
      </c>
      <c r="K497" s="2004"/>
      <c r="L497" s="2004"/>
      <c r="M497" s="2004"/>
      <c r="N497" s="2004"/>
      <c r="O497" s="2004"/>
      <c r="P497" s="2004"/>
      <c r="Q497" s="1904"/>
      <c r="R497" s="1904"/>
    </row>
    <row customHeight="true" ht="18.452380952380953" r="498">
      <c r="A498" s="1975"/>
      <c r="B498" s="1975"/>
      <c r="C498" s="1975"/>
      <c r="D498" s="1978"/>
      <c r="E498" s="1978"/>
      <c r="F498" s="1981"/>
      <c r="G498" s="1916"/>
      <c r="H498" s="1787"/>
      <c r="I498" s="1661"/>
      <c r="J498" s="1658"/>
      <c r="K498" s="1997"/>
      <c r="L498" s="1997"/>
      <c r="M498" s="1997"/>
      <c r="N498" s="1997"/>
      <c r="O498" s="1997"/>
      <c r="P498" s="1997"/>
      <c r="Q498" s="1988"/>
      <c r="R498" s="1988"/>
    </row>
    <row customHeight="true" ht="18.452380952380953" r="499">
      <c r="A499" s="1975" t="s">
        <v>1742</v>
      </c>
      <c r="B499" s="1975">
        <v>46283</v>
      </c>
      <c r="C499" s="1975" t="str">
        <v>Friday</v>
      </c>
      <c r="D499" s="1978" t="s">
        <v>1763</v>
      </c>
      <c r="E499" s="1978">
        <f t="shared" ref="E499:E504" si="102">24*MOD(TIMEVALUE(TRIM(MID(D499,FIND("-",D499)+1,LEN(D499)))) - TIMEVALUE(TRIM(LEFT(D499,FIND("-",D499)-1))),1)</f>
      </c>
      <c r="F499" s="1982" t="s">
        <v>1744</v>
      </c>
      <c r="G499" s="1916"/>
      <c r="H499" s="1787" t="s">
        <v>1471</v>
      </c>
      <c r="I499" s="1738" t="s">
        <v>1446</v>
      </c>
      <c r="J499" s="1658"/>
      <c r="K499" s="1651"/>
      <c r="L499" s="1651"/>
      <c r="M499" s="1651"/>
      <c r="N499" s="1651"/>
      <c r="O499" s="1651"/>
      <c r="P499" s="1651"/>
    </row>
    <row customHeight="true" ht="18.452380952380953" r="500">
      <c r="A500" s="1975" t="s">
        <v>1742</v>
      </c>
      <c r="B500" s="1975">
        <v>46283</v>
      </c>
      <c r="C500" s="1975" t="str">
        <v>Friday</v>
      </c>
      <c r="D500" s="1978" t="s">
        <v>1671</v>
      </c>
      <c r="E500" s="1978">
        <f t="shared" si="102"/>
      </c>
      <c r="F500" s="1982" t="s">
        <v>1761</v>
      </c>
      <c r="G500" s="1916"/>
      <c r="H500" s="1787" t="s">
        <v>1471</v>
      </c>
      <c r="I500" s="1661" t="s">
        <v>1446</v>
      </c>
      <c r="J500" s="1658"/>
      <c r="K500" s="1651"/>
      <c r="L500" s="1651"/>
      <c r="M500" s="1651"/>
      <c r="N500" s="1651"/>
      <c r="O500" s="1651"/>
      <c r="P500" s="1651"/>
    </row>
    <row r="501">
      <c r="A501" s="1975" t="s">
        <v>1742</v>
      </c>
      <c r="B501" s="1975">
        <v>46283</v>
      </c>
      <c r="C501" s="1975" t="str">
        <v>Friday</v>
      </c>
      <c r="D501" s="1978" t="s">
        <v>1675</v>
      </c>
      <c r="E501" s="1978">
        <f t="shared" si="102"/>
      </c>
      <c r="F501" s="1982" t="s">
        <v>1744</v>
      </c>
      <c r="G501" s="2011"/>
      <c r="H501" s="1787" t="s">
        <v>1471</v>
      </c>
      <c r="I501" s="1738" t="s">
        <v>1446</v>
      </c>
      <c r="J501" s="1658"/>
      <c r="K501" s="1651"/>
      <c r="L501" s="1651"/>
      <c r="M501" s="1651"/>
      <c r="N501" s="1651"/>
      <c r="O501" s="1651"/>
      <c r="P501" s="1651"/>
    </row>
    <row customHeight="true" ht="18.452380952380953" r="502">
      <c r="A502" s="1975" t="s">
        <v>1742</v>
      </c>
      <c r="B502" s="1975">
        <v>46283</v>
      </c>
      <c r="C502" s="1975" t="str">
        <v>Friday</v>
      </c>
      <c r="D502" s="1978" t="s">
        <v>1554</v>
      </c>
      <c r="E502" s="1978">
        <f t="shared" si="102"/>
      </c>
      <c r="F502" s="1978" t="s">
        <v>1746</v>
      </c>
      <c r="G502" s="2011"/>
      <c r="H502" s="1787" t="s">
        <v>1471</v>
      </c>
      <c r="I502" s="1661" t="s">
        <v>1446</v>
      </c>
      <c r="J502" s="1658"/>
      <c r="K502" s="1651"/>
      <c r="L502" s="1651"/>
      <c r="M502" s="1651"/>
      <c r="N502" s="1651"/>
      <c r="O502" s="1651"/>
      <c r="P502" s="1651"/>
    </row>
    <row customHeight="true" ht="18.452380952380953" r="503">
      <c r="A503" s="1975" t="s">
        <v>1742</v>
      </c>
      <c r="B503" s="1975">
        <v>46283</v>
      </c>
      <c r="C503" s="1975" t="str">
        <v>Friday</v>
      </c>
      <c r="D503" s="1978" t="s">
        <v>1555</v>
      </c>
      <c r="E503" s="1978">
        <f t="shared" si="102"/>
      </c>
      <c r="F503" s="1982" t="s">
        <v>1497</v>
      </c>
      <c r="G503" s="2011"/>
      <c r="H503" s="1649" t="s">
        <v>1471</v>
      </c>
      <c r="I503" s="1738" t="s">
        <v>1446</v>
      </c>
      <c r="J503" s="1660"/>
      <c r="K503" s="1651"/>
      <c r="L503" s="1651"/>
      <c r="M503" s="1651"/>
      <c r="N503" s="1651"/>
      <c r="O503" s="1651"/>
      <c r="P503" s="1651"/>
    </row>
    <row customHeight="true" ht="18.452380952380953" r="504">
      <c r="A504" s="1975" t="s">
        <v>1742</v>
      </c>
      <c r="B504" s="1975">
        <v>46283</v>
      </c>
      <c r="C504" s="1975" t="str">
        <v>Friday</v>
      </c>
      <c r="D504" s="1978" t="s">
        <v>1741</v>
      </c>
      <c r="E504" s="1978">
        <f t="shared" si="102"/>
      </c>
      <c r="F504" s="1978" t="s">
        <v>1746</v>
      </c>
      <c r="G504" s="2011"/>
      <c r="H504" s="1649" t="s">
        <v>1471</v>
      </c>
      <c r="I504" s="1661" t="s">
        <v>1446</v>
      </c>
      <c r="J504" s="1660"/>
      <c r="K504" s="1651"/>
      <c r="L504" s="1651"/>
      <c r="M504" s="1651"/>
      <c r="N504" s="1651"/>
      <c r="O504" s="1651"/>
      <c r="P504" s="1651"/>
    </row>
    <row customHeight="true" ht="18.452380952380953" r="505">
      <c r="A505" s="1975"/>
      <c r="B505" s="1975"/>
      <c r="C505" s="1975"/>
      <c r="D505" s="1978"/>
      <c r="E505" s="1989"/>
      <c r="F505" s="1978"/>
      <c r="G505" s="2012"/>
      <c r="H505" s="1649"/>
      <c r="I505" s="1661"/>
      <c r="J505" s="1660"/>
      <c r="K505" s="1651"/>
      <c r="L505" s="1651"/>
      <c r="M505" s="1651"/>
      <c r="N505" s="1651"/>
      <c r="O505" s="1651"/>
      <c r="P505" s="1651"/>
    </row>
    <row customHeight="true" ht="18.452380952380953" r="506">
      <c r="A506" s="1670" t="s">
        <v>1734</v>
      </c>
      <c r="B506" s="1670">
        <v>46284</v>
      </c>
      <c r="C506" s="1670" t="str">
        <v>Saturday</v>
      </c>
      <c r="D506" s="1675" t="s">
        <v>1769</v>
      </c>
      <c r="E506" s="1649">
        <f t="shared" ref="E506:E514" si="103">24*MOD(TIMEVALUE(TRIM(MID(D506,FIND("-",D506)+1,LEN(D506)))) - TIMEVALUE(TRIM(LEFT(D506,FIND("-",D506)-1))),1)</f>
      </c>
      <c r="F506" s="1998" t="s">
        <v>1770</v>
      </c>
      <c r="G506" s="1809" t="s">
        <v>1771</v>
      </c>
      <c r="H506" s="1649" t="s">
        <v>1471</v>
      </c>
      <c r="I506" s="1661" t="s">
        <v>1446</v>
      </c>
      <c r="J506" s="1660"/>
      <c r="K506" s="1651"/>
      <c r="L506" s="1651"/>
      <c r="M506" s="1651"/>
      <c r="N506" s="1651"/>
      <c r="O506" s="1651"/>
      <c r="P506" s="1651"/>
    </row>
    <row r="507">
      <c r="A507" s="1670" t="s">
        <v>1734</v>
      </c>
      <c r="B507" s="1670">
        <v>46284</v>
      </c>
      <c r="C507" s="1670" t="str">
        <v>Saturday</v>
      </c>
      <c r="D507" s="1675" t="s">
        <v>1772</v>
      </c>
      <c r="E507" s="1649">
        <f t="shared" si="103"/>
      </c>
      <c r="F507" s="1967" t="s">
        <v>1748</v>
      </c>
      <c r="G507" s="2013" t="s">
        <v>1781</v>
      </c>
      <c r="H507" s="1649" t="s">
        <v>1471</v>
      </c>
      <c r="I507" s="1787" t="s">
        <v>1446</v>
      </c>
      <c r="J507" s="1660"/>
      <c r="K507" s="1651"/>
      <c r="L507" s="1651"/>
      <c r="M507" s="1651"/>
      <c r="N507" s="1651"/>
      <c r="O507" s="1651"/>
      <c r="P507" s="1651"/>
    </row>
    <row customHeight="true" ht="18.452380952380953" r="508">
      <c r="A508" s="1670" t="s">
        <v>1734</v>
      </c>
      <c r="B508" s="1670">
        <v>46284</v>
      </c>
      <c r="C508" s="1670" t="str">
        <v>Saturday</v>
      </c>
      <c r="D508" s="1645" t="s">
        <v>1782</v>
      </c>
      <c r="E508" s="1649">
        <f t="shared" si="103"/>
      </c>
      <c r="F508" s="1998" t="s">
        <v>1587</v>
      </c>
      <c r="G508" s="2013" t="s">
        <v>1783</v>
      </c>
      <c r="H508" s="1649" t="s">
        <v>1471</v>
      </c>
      <c r="I508" s="1738" t="s">
        <v>1446</v>
      </c>
      <c r="J508" s="1660"/>
      <c r="K508" s="1651"/>
      <c r="L508" s="1651"/>
      <c r="M508" s="1651"/>
      <c r="N508" s="1651"/>
      <c r="O508" s="1651"/>
      <c r="P508" s="1651"/>
    </row>
    <row r="509">
      <c r="A509" s="1670" t="s">
        <v>1734</v>
      </c>
      <c r="B509" s="1670">
        <v>46284</v>
      </c>
      <c r="C509" s="1670" t="str">
        <v>Saturday</v>
      </c>
      <c r="D509" s="1645" t="s">
        <v>1750</v>
      </c>
      <c r="E509" s="1649">
        <f t="shared" si="103"/>
      </c>
      <c r="F509" s="1998" t="s">
        <v>1752</v>
      </c>
      <c r="G509" s="1809" t="s">
        <v>1751</v>
      </c>
      <c r="H509" s="1649" t="s">
        <v>1471</v>
      </c>
      <c r="I509" s="1738" t="s">
        <v>1446</v>
      </c>
      <c r="J509" s="1660"/>
      <c r="K509" s="1651"/>
      <c r="L509" s="1651"/>
      <c r="M509" s="1651"/>
      <c r="N509" s="1651"/>
      <c r="O509" s="1651"/>
      <c r="P509" s="1651"/>
    </row>
    <row customHeight="true" ht="18.452380952380953" r="510">
      <c r="A510" s="1670" t="s">
        <v>1734</v>
      </c>
      <c r="B510" s="1670">
        <v>46284</v>
      </c>
      <c r="C510" s="1670" t="str">
        <v>Saturday</v>
      </c>
      <c r="D510" s="1675" t="s">
        <v>1671</v>
      </c>
      <c r="E510" s="1649">
        <f t="shared" si="103"/>
      </c>
      <c r="F510" s="1967" t="s">
        <v>1740</v>
      </c>
      <c r="G510" s="1809" t="s">
        <v>1751</v>
      </c>
      <c r="H510" s="1649" t="s">
        <v>1471</v>
      </c>
      <c r="I510" s="1661" t="s">
        <v>1446</v>
      </c>
      <c r="J510" s="1660"/>
      <c r="K510" s="1651"/>
      <c r="L510" s="1651"/>
      <c r="M510" s="1651"/>
      <c r="N510" s="1651"/>
      <c r="O510" s="1651"/>
      <c r="P510" s="1651"/>
    </row>
    <row customHeight="true" ht="18.452380952380953" r="511">
      <c r="A511" s="1670" t="s">
        <v>1734</v>
      </c>
      <c r="B511" s="1670">
        <v>46284</v>
      </c>
      <c r="C511" s="1670" t="str">
        <v>Saturday</v>
      </c>
      <c r="D511" s="1645" t="s">
        <v>1675</v>
      </c>
      <c r="E511" s="1649">
        <f t="shared" si="103"/>
      </c>
      <c r="F511" s="1998" t="s">
        <v>1525</v>
      </c>
      <c r="G511" s="1809" t="s">
        <v>1484</v>
      </c>
      <c r="H511" s="1649" t="s">
        <v>1471</v>
      </c>
      <c r="I511" s="1738" t="s">
        <v>1446</v>
      </c>
      <c r="J511" s="1660"/>
      <c r="K511" s="1651"/>
      <c r="L511" s="1651"/>
      <c r="M511" s="1651"/>
      <c r="N511" s="1651"/>
      <c r="O511" s="1651"/>
      <c r="P511" s="1651"/>
    </row>
    <row r="512">
      <c r="A512" s="1670" t="s">
        <v>1734</v>
      </c>
      <c r="B512" s="1670">
        <v>46284</v>
      </c>
      <c r="C512" s="1670" t="str">
        <v>Saturday</v>
      </c>
      <c r="D512" s="1645" t="s">
        <v>1554</v>
      </c>
      <c r="E512" s="1649">
        <f t="shared" si="103"/>
      </c>
      <c r="F512" s="1998" t="s">
        <v>1755</v>
      </c>
      <c r="G512" s="1809" t="s">
        <v>1756</v>
      </c>
      <c r="H512" s="1649" t="s">
        <v>1471</v>
      </c>
      <c r="I512" s="1738" t="s">
        <v>1446</v>
      </c>
      <c r="J512" s="1660"/>
      <c r="K512" s="1651"/>
      <c r="L512" s="1651"/>
      <c r="M512" s="1651"/>
      <c r="N512" s="1651"/>
      <c r="O512" s="1651"/>
      <c r="P512" s="1651"/>
    </row>
    <row customHeight="true" ht="18.452380952380953" r="513">
      <c r="A513" s="1670" t="s">
        <v>1734</v>
      </c>
      <c r="B513" s="1670">
        <v>46284</v>
      </c>
      <c r="C513" s="1670" t="str">
        <v>Saturday</v>
      </c>
      <c r="D513" s="1645" t="s">
        <v>1555</v>
      </c>
      <c r="E513" s="1649">
        <f t="shared" si="103"/>
      </c>
      <c r="F513" s="1998" t="s">
        <v>1525</v>
      </c>
      <c r="G513" s="1809" t="s">
        <v>1484</v>
      </c>
      <c r="H513" s="1649" t="s">
        <v>1471</v>
      </c>
      <c r="I513" s="1738" t="s">
        <v>1446</v>
      </c>
      <c r="J513" s="1660"/>
      <c r="K513" s="1651"/>
      <c r="L513" s="1651"/>
      <c r="M513" s="1651"/>
      <c r="N513" s="1651"/>
      <c r="O513" s="1651"/>
      <c r="P513" s="1651"/>
    </row>
    <row r="514">
      <c r="A514" s="1670" t="s">
        <v>1734</v>
      </c>
      <c r="B514" s="1670">
        <v>46284</v>
      </c>
      <c r="C514" s="1670" t="str">
        <v>Saturday</v>
      </c>
      <c r="D514" s="1645" t="s">
        <v>1784</v>
      </c>
      <c r="E514" s="1649">
        <f t="shared" si="103"/>
      </c>
      <c r="F514" s="1675" t="s">
        <v>1778</v>
      </c>
      <c r="G514" s="1953" t="s">
        <v>1756</v>
      </c>
      <c r="H514" s="1649" t="s">
        <v>1471</v>
      </c>
      <c r="I514" s="1661" t="s">
        <v>1446</v>
      </c>
      <c r="J514" s="1660"/>
      <c r="K514" s="1651"/>
      <c r="L514" s="1651"/>
      <c r="M514" s="1651"/>
      <c r="N514" s="1651"/>
      <c r="O514" s="1651"/>
      <c r="P514" s="1651"/>
    </row>
    <row customHeight="true" ht="18.452380952380953" r="515">
      <c r="A515" s="1785"/>
      <c r="B515" s="1790"/>
      <c r="C515" s="1785"/>
      <c r="D515" s="1786"/>
      <c r="E515" s="1787"/>
      <c r="F515" s="1967"/>
      <c r="G515" s="1953"/>
      <c r="H515" s="1787"/>
      <c r="I515" s="2014"/>
      <c r="J515" s="2005"/>
      <c r="K515" s="1972"/>
      <c r="L515" s="1972"/>
      <c r="M515" s="1972"/>
      <c r="N515" s="1972"/>
      <c r="O515" s="1972"/>
      <c r="P515" s="1972"/>
      <c r="Q515" s="1700"/>
      <c r="R515" s="1700"/>
    </row>
    <row customHeight="true" ht="18.452380952380953" r="516">
      <c r="A516" s="1897" t="s">
        <v>1734</v>
      </c>
      <c r="B516" s="1898">
        <v>46284</v>
      </c>
      <c r="C516" s="1897" t="str">
        <v>Saturday</v>
      </c>
      <c r="D516" s="1899" t="s">
        <v>1772</v>
      </c>
      <c r="E516" s="1747">
        <f>24*MOD(TIMEVALUE(TRIM(MID(D516,FIND("-",D516)+1,LEN(D516)))) - TIMEVALUE(TRIM(LEFT(D516,FIND("-",D516)-1))),1)</f>
      </c>
      <c r="F516" s="2008" t="s">
        <v>1770</v>
      </c>
      <c r="G516" s="2009" t="s">
        <v>1779</v>
      </c>
      <c r="H516" s="1747" t="s">
        <v>1471</v>
      </c>
      <c r="I516" s="2010" t="s">
        <v>1446</v>
      </c>
      <c r="J516" s="2003" t="s">
        <v>1780</v>
      </c>
      <c r="K516" s="2004"/>
      <c r="L516" s="2004"/>
      <c r="M516" s="2004"/>
      <c r="N516" s="2004"/>
      <c r="O516" s="2004"/>
      <c r="P516" s="2004"/>
      <c r="Q516" s="1904"/>
      <c r="R516" s="1904"/>
    </row>
    <row r="517">
      <c r="A517" s="1670"/>
      <c r="B517" s="1670"/>
      <c r="C517" s="1670"/>
      <c r="D517" s="1675"/>
      <c r="E517" s="1649"/>
      <c r="F517" s="1998"/>
      <c r="G517" s="2011"/>
      <c r="H517" s="1649"/>
      <c r="I517" s="1661"/>
      <c r="J517" s="1660"/>
      <c r="K517" s="1651"/>
      <c r="L517" s="1651"/>
      <c r="M517" s="1651"/>
      <c r="N517" s="1651"/>
      <c r="O517" s="1651"/>
      <c r="P517" s="1651"/>
    </row>
    <row customHeight="true" ht="18.452380952380953" r="518">
      <c r="A518" s="1670" t="s">
        <v>1742</v>
      </c>
      <c r="B518" s="1670">
        <v>46284</v>
      </c>
      <c r="C518" s="1670" t="str">
        <v>Saturday</v>
      </c>
      <c r="D518" s="1645" t="s">
        <v>1785</v>
      </c>
      <c r="E518" s="1918">
        <f t="shared" ref="E518:E522" si="104">24*MOD(TIMEVALUE(TRIM(MID(D518,FIND("-",D518)+1,LEN(D518)))) - TIMEVALUE(TRIM(LEFT(D518,FIND("-",D518)-1))),1)</f>
      </c>
      <c r="F518" s="1787" t="s">
        <v>1744</v>
      </c>
      <c r="G518" s="2011"/>
      <c r="H518" s="1649" t="s">
        <v>1471</v>
      </c>
      <c r="I518" s="1738" t="s">
        <v>1446</v>
      </c>
      <c r="J518" s="1660"/>
      <c r="K518" s="1651"/>
      <c r="L518" s="1651"/>
      <c r="M518" s="1651"/>
      <c r="N518" s="1651"/>
      <c r="O518" s="1651"/>
      <c r="P518" s="1651"/>
    </row>
    <row customHeight="true" ht="18.452380952380953" r="519">
      <c r="A519" s="1670" t="s">
        <v>1742</v>
      </c>
      <c r="B519" s="1670">
        <v>46284</v>
      </c>
      <c r="C519" s="1670" t="str">
        <v>Saturday</v>
      </c>
      <c r="D519" s="1645" t="s">
        <v>1675</v>
      </c>
      <c r="E519" s="1918">
        <f t="shared" si="104"/>
      </c>
      <c r="F519" s="1787" t="s">
        <v>1497</v>
      </c>
      <c r="G519" s="2015"/>
      <c r="H519" s="1649" t="s">
        <v>1471</v>
      </c>
      <c r="I519" s="1738" t="s">
        <v>1446</v>
      </c>
      <c r="J519" s="1660"/>
      <c r="K519" s="1651"/>
      <c r="L519" s="1651"/>
      <c r="M519" s="1651"/>
      <c r="N519" s="1651"/>
      <c r="O519" s="1651"/>
      <c r="P519" s="1651"/>
    </row>
    <row r="520">
      <c r="A520" s="1670" t="s">
        <v>1742</v>
      </c>
      <c r="B520" s="1670">
        <v>46284</v>
      </c>
      <c r="C520" s="1670" t="str">
        <v>Saturday</v>
      </c>
      <c r="D520" s="1645" t="s">
        <v>1554</v>
      </c>
      <c r="E520" s="1918">
        <f t="shared" si="104"/>
      </c>
      <c r="F520" s="1787" t="s">
        <v>1746</v>
      </c>
      <c r="G520" s="2016"/>
      <c r="H520" s="1835" t="s">
        <v>1471</v>
      </c>
      <c r="I520" s="1661" t="s">
        <v>1446</v>
      </c>
      <c r="J520" s="1660"/>
      <c r="K520" s="1651"/>
      <c r="L520" s="1651"/>
      <c r="M520" s="1651"/>
      <c r="N520" s="1651"/>
      <c r="O520" s="1651"/>
      <c r="P520" s="1651"/>
    </row>
    <row customHeight="true" ht="18.452380952380953" r="521">
      <c r="A521" s="1670" t="s">
        <v>1742</v>
      </c>
      <c r="B521" s="1670">
        <v>46284</v>
      </c>
      <c r="C521" s="1670" t="str">
        <v>Saturday</v>
      </c>
      <c r="D521" s="1645" t="s">
        <v>1555</v>
      </c>
      <c r="E521" s="1918">
        <f t="shared" si="104"/>
      </c>
      <c r="F521" s="1787" t="s">
        <v>1497</v>
      </c>
      <c r="G521" s="2011"/>
      <c r="H521" s="1649" t="s">
        <v>1471</v>
      </c>
      <c r="I521" s="1738" t="s">
        <v>1446</v>
      </c>
      <c r="J521" s="1660"/>
      <c r="K521" s="1651"/>
      <c r="L521" s="1651"/>
      <c r="M521" s="1651"/>
      <c r="N521" s="1651"/>
      <c r="O521" s="1651"/>
      <c r="P521" s="1651"/>
    </row>
    <row customHeight="true" ht="18.452380952380953" r="522">
      <c r="A522" s="1670" t="s">
        <v>1742</v>
      </c>
      <c r="B522" s="1670">
        <v>46284</v>
      </c>
      <c r="C522" s="1670" t="str">
        <v>Saturday</v>
      </c>
      <c r="D522" s="1645" t="s">
        <v>1741</v>
      </c>
      <c r="E522" s="1918">
        <f t="shared" si="104"/>
      </c>
      <c r="F522" s="1787" t="s">
        <v>1746</v>
      </c>
      <c r="G522" s="2015"/>
      <c r="H522" s="1649" t="s">
        <v>1471</v>
      </c>
      <c r="I522" s="1661" t="s">
        <v>1446</v>
      </c>
      <c r="J522" s="1660"/>
      <c r="K522" s="1651"/>
      <c r="L522" s="1651"/>
      <c r="M522" s="1651"/>
      <c r="N522" s="1651"/>
      <c r="O522" s="1651"/>
      <c r="P522" s="1651"/>
    </row>
    <row customHeight="true" ht="18.452380952380953" r="523">
      <c r="A523" s="1670"/>
      <c r="B523" s="1670"/>
      <c r="C523" s="1670"/>
      <c r="D523" s="1675"/>
      <c r="E523" s="1918"/>
      <c r="F523" s="1675"/>
      <c r="G523" s="2015"/>
      <c r="H523" s="1649"/>
      <c r="I523" s="1661"/>
      <c r="J523" s="1660"/>
      <c r="K523" s="1651"/>
      <c r="L523" s="1651"/>
      <c r="M523" s="1651"/>
      <c r="N523" s="1651"/>
      <c r="O523" s="1651"/>
      <c r="P523" s="1651"/>
    </row>
    <row customHeight="true" ht="18.452380952380953" r="524">
      <c r="A524" s="1897" t="s">
        <v>1734</v>
      </c>
      <c r="B524" s="1897">
        <v>46285</v>
      </c>
      <c r="C524" s="1897" t="str">
        <v>Sunday</v>
      </c>
      <c r="D524" s="1747" t="s">
        <v>1769</v>
      </c>
      <c r="E524" s="1747">
        <f t="shared" ref="E524:E533" si="105">24*MOD(TIMEVALUE(TRIM(MID(D524,FIND("-",D524)+1,LEN(D524)))) - TIMEVALUE(TRIM(LEFT(D524,FIND("-",D524)-1))),1)</f>
      </c>
      <c r="F524" s="2008" t="s">
        <v>1770</v>
      </c>
      <c r="G524" s="1901" t="s">
        <v>1771</v>
      </c>
      <c r="H524" s="1747" t="s">
        <v>1471</v>
      </c>
      <c r="I524" s="2010" t="s">
        <v>1446</v>
      </c>
      <c r="J524" s="2017" t="s">
        <v>1786</v>
      </c>
      <c r="K524" s="1903"/>
      <c r="L524" s="1903"/>
      <c r="M524" s="1903"/>
      <c r="N524" s="1903"/>
      <c r="O524" s="1903"/>
      <c r="P524" s="1903"/>
      <c r="Q524" s="1904"/>
      <c r="R524" s="1904"/>
    </row>
    <row customHeight="true" ht="18.452380952380953" r="525">
      <c r="A525" s="1975" t="s">
        <v>1734</v>
      </c>
      <c r="B525" s="1975">
        <v>46285</v>
      </c>
      <c r="C525" s="1975" t="str">
        <v>Sunday</v>
      </c>
      <c r="D525" s="2006" t="s">
        <v>1787</v>
      </c>
      <c r="E525" s="1978">
        <f t="shared" si="105"/>
      </c>
      <c r="F525" s="1981" t="s">
        <v>1525</v>
      </c>
      <c r="G525" s="1809"/>
      <c r="H525" s="1649" t="s">
        <v>1471</v>
      </c>
      <c r="I525" s="1738" t="s">
        <v>1446</v>
      </c>
      <c r="J525" s="1660"/>
      <c r="K525" s="1651"/>
      <c r="L525" s="1651"/>
      <c r="M525" s="1651"/>
      <c r="N525" s="1651"/>
      <c r="O525" s="1651"/>
      <c r="P525" s="1651"/>
    </row>
    <row customHeight="true" ht="18.452380952380953" r="526">
      <c r="A526" s="1975" t="s">
        <v>1734</v>
      </c>
      <c r="B526" s="1975">
        <v>46285</v>
      </c>
      <c r="C526" s="1975" t="str">
        <v>Sunday</v>
      </c>
      <c r="D526" s="1978" t="s">
        <v>1772</v>
      </c>
      <c r="E526" s="1978">
        <f t="shared" si="105"/>
      </c>
      <c r="F526" s="1981" t="s">
        <v>1748</v>
      </c>
      <c r="G526" s="1809" t="s">
        <v>1773</v>
      </c>
      <c r="H526" s="1649" t="s">
        <v>1471</v>
      </c>
      <c r="I526" s="1787" t="s">
        <v>1446</v>
      </c>
      <c r="J526" s="1660"/>
      <c r="K526" s="1651"/>
      <c r="L526" s="1651"/>
      <c r="M526" s="1651"/>
      <c r="N526" s="1651"/>
      <c r="O526" s="1651"/>
      <c r="P526" s="1651"/>
    </row>
    <row customHeight="true" ht="18.452380952380953" r="527">
      <c r="A527" s="1897" t="s">
        <v>1734</v>
      </c>
      <c r="B527" s="1897">
        <v>46285</v>
      </c>
      <c r="C527" s="1897" t="str">
        <v>Sunday</v>
      </c>
      <c r="D527" s="1899" t="s">
        <v>1774</v>
      </c>
      <c r="E527" s="1747">
        <f t="shared" si="105"/>
      </c>
      <c r="F527" s="2008" t="s">
        <v>1770</v>
      </c>
      <c r="G527" s="1901" t="s">
        <v>1754</v>
      </c>
      <c r="H527" s="1747" t="s">
        <v>1471</v>
      </c>
      <c r="I527" s="2010" t="s">
        <v>1446</v>
      </c>
      <c r="J527" s="2017" t="s">
        <v>1786</v>
      </c>
      <c r="K527" s="1903"/>
      <c r="L527" s="1903"/>
      <c r="M527" s="1903"/>
      <c r="N527" s="1903"/>
      <c r="O527" s="1903"/>
      <c r="P527" s="1903"/>
      <c r="Q527" s="1904"/>
      <c r="R527" s="1904"/>
    </row>
    <row customHeight="true" ht="18.452380952380953" r="528">
      <c r="A528" s="1975" t="s">
        <v>1734</v>
      </c>
      <c r="B528" s="1975">
        <v>46285</v>
      </c>
      <c r="C528" s="1975" t="str">
        <v>Sunday</v>
      </c>
      <c r="D528" s="2006" t="s">
        <v>1763</v>
      </c>
      <c r="E528" s="1978">
        <f t="shared" si="105"/>
      </c>
      <c r="F528" s="1981" t="s">
        <v>1587</v>
      </c>
      <c r="G528" s="1809" t="s">
        <v>1751</v>
      </c>
      <c r="H528" s="1649" t="s">
        <v>1471</v>
      </c>
      <c r="I528" s="1738" t="s">
        <v>1446</v>
      </c>
      <c r="J528" s="1660"/>
      <c r="K528" s="1651"/>
      <c r="L528" s="1651"/>
      <c r="M528" s="1651"/>
      <c r="N528" s="1651"/>
      <c r="O528" s="1651"/>
      <c r="P528" s="1651"/>
    </row>
    <row customHeight="true" ht="18.452380952380953" r="529">
      <c r="A529" s="1975" t="s">
        <v>1734</v>
      </c>
      <c r="B529" s="1975">
        <v>46285</v>
      </c>
      <c r="C529" s="1975" t="str">
        <v>Sunday</v>
      </c>
      <c r="D529" s="2006" t="s">
        <v>1671</v>
      </c>
      <c r="E529" s="1978">
        <f t="shared" si="105"/>
      </c>
      <c r="F529" s="1981" t="s">
        <v>1740</v>
      </c>
      <c r="G529" s="1809" t="s">
        <v>1788</v>
      </c>
      <c r="H529" s="1649" t="s">
        <v>1471</v>
      </c>
      <c r="I529" s="1661" t="s">
        <v>1446</v>
      </c>
      <c r="J529" s="1660"/>
      <c r="K529" s="1651"/>
      <c r="L529" s="1651"/>
      <c r="M529" s="1651"/>
      <c r="N529" s="1651"/>
      <c r="O529" s="1651"/>
      <c r="P529" s="1651"/>
    </row>
    <row customHeight="true" ht="18.452380952380953" r="530">
      <c r="A530" s="1975" t="s">
        <v>1734</v>
      </c>
      <c r="B530" s="1975">
        <v>46285</v>
      </c>
      <c r="C530" s="1975" t="str">
        <v>Sunday</v>
      </c>
      <c r="D530" s="2006" t="s">
        <v>1675</v>
      </c>
      <c r="E530" s="1978">
        <f t="shared" si="105"/>
      </c>
      <c r="F530" s="1981" t="s">
        <v>1755</v>
      </c>
      <c r="G530" s="1809" t="s">
        <v>1484</v>
      </c>
      <c r="H530" s="1649" t="s">
        <v>1471</v>
      </c>
      <c r="I530" s="1738" t="s">
        <v>1446</v>
      </c>
      <c r="J530" s="1660"/>
      <c r="K530" s="1651"/>
      <c r="L530" s="1651"/>
      <c r="M530" s="1651"/>
      <c r="N530" s="1651"/>
      <c r="O530" s="1651"/>
      <c r="P530" s="1651"/>
    </row>
    <row customHeight="true" ht="18.452380952380953" r="531">
      <c r="A531" s="1975" t="s">
        <v>1734</v>
      </c>
      <c r="B531" s="1975">
        <v>46285</v>
      </c>
      <c r="C531" s="1975" t="str">
        <v>Sunday</v>
      </c>
      <c r="D531" s="2006" t="s">
        <v>1554</v>
      </c>
      <c r="E531" s="1978">
        <f t="shared" si="105"/>
      </c>
      <c r="F531" s="1981" t="s">
        <v>1525</v>
      </c>
      <c r="G531" s="1809" t="s">
        <v>1756</v>
      </c>
      <c r="H531" s="1649" t="s">
        <v>1471</v>
      </c>
      <c r="I531" s="1738" t="s">
        <v>1446</v>
      </c>
      <c r="J531" s="1660"/>
      <c r="K531" s="1651"/>
      <c r="L531" s="1651"/>
      <c r="M531" s="1651"/>
      <c r="N531" s="1651"/>
      <c r="O531" s="1651"/>
      <c r="P531" s="1651"/>
    </row>
    <row customHeight="true" ht="18.452380952380953" r="532">
      <c r="A532" s="1975" t="s">
        <v>1734</v>
      </c>
      <c r="B532" s="1975">
        <v>46285</v>
      </c>
      <c r="C532" s="1975" t="str">
        <v>Sunday</v>
      </c>
      <c r="D532" s="2006" t="s">
        <v>1555</v>
      </c>
      <c r="E532" s="1978">
        <f t="shared" si="105"/>
      </c>
      <c r="F532" s="1982" t="s">
        <v>1778</v>
      </c>
      <c r="G532" s="1809" t="s">
        <v>1789</v>
      </c>
      <c r="H532" s="1649" t="s">
        <v>1471</v>
      </c>
      <c r="I532" s="1661" t="s">
        <v>1446</v>
      </c>
      <c r="J532" s="1660"/>
      <c r="K532" s="1651"/>
      <c r="L532" s="1651"/>
      <c r="M532" s="1651"/>
      <c r="N532" s="1651"/>
      <c r="O532" s="1651"/>
      <c r="P532" s="1651"/>
    </row>
    <row customHeight="true" ht="18.452380952380953" r="533">
      <c r="A533" s="1975" t="s">
        <v>1734</v>
      </c>
      <c r="B533" s="1975">
        <v>46285</v>
      </c>
      <c r="C533" s="1975" t="str">
        <v>Sunday</v>
      </c>
      <c r="D533" s="2006" t="s">
        <v>1741</v>
      </c>
      <c r="E533" s="1978">
        <f t="shared" si="105"/>
      </c>
      <c r="F533" s="1981" t="s">
        <v>1525</v>
      </c>
      <c r="G533" s="1953" t="s">
        <v>1756</v>
      </c>
      <c r="H533" s="1649" t="s">
        <v>1471</v>
      </c>
      <c r="I533" s="1738" t="s">
        <v>1446</v>
      </c>
      <c r="J533" s="1660"/>
      <c r="K533" s="1651"/>
      <c r="L533" s="1651"/>
      <c r="M533" s="1651"/>
      <c r="N533" s="1651"/>
      <c r="O533" s="1651"/>
      <c r="P533" s="1651"/>
    </row>
    <row customHeight="true" ht="18.452380952380953" r="534">
      <c r="A534" s="1975"/>
      <c r="B534" s="1975"/>
      <c r="C534" s="1975"/>
      <c r="D534" s="2006"/>
      <c r="E534" s="1978"/>
      <c r="F534" s="1981"/>
      <c r="G534" s="1953"/>
      <c r="H534" s="1649"/>
      <c r="I534" s="1661"/>
      <c r="J534" s="1660"/>
      <c r="K534" s="1651"/>
      <c r="L534" s="1651"/>
      <c r="M534" s="1651"/>
      <c r="N534" s="1651"/>
      <c r="O534" s="1651"/>
      <c r="P534" s="1651"/>
    </row>
    <row customHeight="true" ht="18.452380952380953" r="535">
      <c r="A535" s="1984" t="s">
        <v>1734</v>
      </c>
      <c r="B535" s="2018">
        <v>46285</v>
      </c>
      <c r="C535" s="1984" t="str">
        <v>Sunday</v>
      </c>
      <c r="D535" s="1977" t="s">
        <v>1782</v>
      </c>
      <c r="E535" s="1982">
        <f>24*MOD(TIMEVALUE(TRIM(MID(D535,FIND("-",D535)+1,LEN(D535)))) - TIMEVALUE(TRIM(LEFT(D535,FIND("-",D535)-1))),1)</f>
      </c>
      <c r="F535" s="1981" t="s">
        <v>1748</v>
      </c>
      <c r="G535" s="1953" t="s">
        <v>1779</v>
      </c>
      <c r="H535" s="1787" t="s">
        <v>1471</v>
      </c>
      <c r="I535" s="2014" t="s">
        <v>1446</v>
      </c>
      <c r="J535" s="2005"/>
      <c r="K535" s="1972"/>
      <c r="L535" s="1972"/>
      <c r="M535" s="1972"/>
      <c r="N535" s="1972"/>
      <c r="O535" s="1972"/>
      <c r="P535" s="1972"/>
      <c r="Q535" s="1700"/>
      <c r="R535" s="1700"/>
    </row>
    <row customHeight="true" ht="18.452380952380953" r="536">
      <c r="A536" s="1975"/>
      <c r="B536" s="1975"/>
      <c r="C536" s="1975"/>
      <c r="D536" s="1978"/>
      <c r="E536" s="1978"/>
      <c r="F536" s="1981"/>
      <c r="G536" s="2015"/>
      <c r="H536" s="1649"/>
      <c r="I536" s="1661"/>
      <c r="J536" s="1660"/>
      <c r="K536" s="1651"/>
      <c r="L536" s="1651"/>
      <c r="M536" s="1651"/>
      <c r="N536" s="1651"/>
      <c r="O536" s="1651"/>
      <c r="P536" s="1651"/>
    </row>
    <row customHeight="true" ht="18.452380952380953" r="537">
      <c r="A537" s="1975" t="s">
        <v>1742</v>
      </c>
      <c r="B537" s="1975">
        <v>46285</v>
      </c>
      <c r="C537" s="1975" t="s">
        <v>1790</v>
      </c>
      <c r="D537" s="2006" t="s">
        <v>1763</v>
      </c>
      <c r="E537" s="1989">
        <f t="shared" ref="E537:E542" si="106">24*MOD(TIMEVALUE(TRIM(MID(D537,FIND("-",D537)+1,LEN(D537)))) - TIMEVALUE(TRIM(LEFT(D537,FIND("-",D537)-1))),1)</f>
      </c>
      <c r="F537" s="1982" t="s">
        <v>1744</v>
      </c>
      <c r="G537" s="2015"/>
      <c r="H537" s="1649" t="s">
        <v>1471</v>
      </c>
      <c r="I537" s="1738" t="s">
        <v>1446</v>
      </c>
      <c r="J537" s="1660"/>
      <c r="K537" s="1651"/>
      <c r="L537" s="1651"/>
      <c r="M537" s="1651"/>
      <c r="N537" s="1651"/>
      <c r="O537" s="1651"/>
      <c r="P537" s="1651"/>
    </row>
    <row customHeight="true" ht="18.452380952380953" r="538">
      <c r="A538" s="1975" t="s">
        <v>1742</v>
      </c>
      <c r="B538" s="1975">
        <v>46285</v>
      </c>
      <c r="C538" s="1975" t="s">
        <v>1790</v>
      </c>
      <c r="D538" s="2006" t="s">
        <v>1671</v>
      </c>
      <c r="E538" s="1989">
        <f t="shared" si="106"/>
      </c>
      <c r="F538" s="1982" t="s">
        <v>1761</v>
      </c>
      <c r="G538" s="2015"/>
      <c r="H538" s="1649" t="s">
        <v>1471</v>
      </c>
      <c r="I538" s="1661" t="s">
        <v>1446</v>
      </c>
      <c r="J538" s="1660"/>
      <c r="K538" s="1651"/>
      <c r="L538" s="1651"/>
      <c r="M538" s="1651"/>
      <c r="N538" s="1651"/>
      <c r="O538" s="1651"/>
      <c r="P538" s="1651"/>
    </row>
    <row customHeight="true" ht="18.452380952380953" r="539">
      <c r="A539" s="1975" t="s">
        <v>1742</v>
      </c>
      <c r="B539" s="1975">
        <v>46285</v>
      </c>
      <c r="C539" s="1975" t="s">
        <v>1790</v>
      </c>
      <c r="D539" s="2006" t="s">
        <v>1675</v>
      </c>
      <c r="E539" s="1989">
        <f t="shared" si="106"/>
      </c>
      <c r="F539" s="1982" t="s">
        <v>1497</v>
      </c>
      <c r="G539" s="2015"/>
      <c r="H539" s="1649" t="s">
        <v>1471</v>
      </c>
      <c r="I539" s="1738" t="s">
        <v>1446</v>
      </c>
      <c r="J539" s="1660"/>
      <c r="K539" s="1651"/>
      <c r="L539" s="1651"/>
      <c r="M539" s="1651"/>
      <c r="N539" s="1651"/>
      <c r="O539" s="1651"/>
      <c r="P539" s="1651"/>
    </row>
    <row customHeight="true" ht="18.452380952380953" r="540">
      <c r="A540" s="1975" t="s">
        <v>1742</v>
      </c>
      <c r="B540" s="1975">
        <v>46285</v>
      </c>
      <c r="C540" s="1975" t="s">
        <v>1790</v>
      </c>
      <c r="D540" s="2006" t="s">
        <v>1483</v>
      </c>
      <c r="E540" s="1989">
        <f t="shared" si="106"/>
      </c>
      <c r="F540" s="1982" t="s">
        <v>1746</v>
      </c>
      <c r="G540" s="2015"/>
      <c r="H540" s="1649" t="s">
        <v>1471</v>
      </c>
      <c r="I540" s="1661" t="s">
        <v>1446</v>
      </c>
      <c r="J540" s="1660"/>
      <c r="K540" s="1651"/>
      <c r="L540" s="1651"/>
      <c r="M540" s="1651"/>
      <c r="N540" s="1651"/>
      <c r="O540" s="1651"/>
      <c r="P540" s="1651"/>
    </row>
    <row customHeight="true" ht="18.452380952380953" r="541">
      <c r="A541" s="1975" t="s">
        <v>1742</v>
      </c>
      <c r="B541" s="1975">
        <v>46285</v>
      </c>
      <c r="C541" s="1975" t="s">
        <v>1790</v>
      </c>
      <c r="D541" s="2006" t="s">
        <v>1739</v>
      </c>
      <c r="E541" s="1989">
        <f t="shared" si="106"/>
      </c>
      <c r="F541" s="1982" t="s">
        <v>1761</v>
      </c>
      <c r="G541" s="2015"/>
      <c r="H541" s="1649" t="s">
        <v>1471</v>
      </c>
      <c r="I541" s="1661" t="s">
        <v>1446</v>
      </c>
      <c r="J541" s="1660"/>
      <c r="K541" s="1651"/>
      <c r="L541" s="1651"/>
      <c r="M541" s="1651"/>
      <c r="N541" s="1651"/>
      <c r="O541" s="1651"/>
      <c r="P541" s="1651"/>
    </row>
    <row customHeight="true" ht="18.452380952380953" r="542">
      <c r="A542" s="1975" t="s">
        <v>1742</v>
      </c>
      <c r="B542" s="1975">
        <v>46285</v>
      </c>
      <c r="C542" s="1975" t="s">
        <v>1790</v>
      </c>
      <c r="D542" s="2006" t="s">
        <v>1741</v>
      </c>
      <c r="E542" s="1989">
        <f t="shared" si="106"/>
      </c>
      <c r="F542" s="1982" t="s">
        <v>1746</v>
      </c>
      <c r="G542" s="2015"/>
      <c r="H542" s="1649" t="s">
        <v>1471</v>
      </c>
      <c r="I542" s="1661" t="s">
        <v>1446</v>
      </c>
      <c r="J542" s="1660"/>
      <c r="K542" s="1651"/>
      <c r="L542" s="1651"/>
      <c r="M542" s="1651"/>
      <c r="N542" s="1651"/>
      <c r="O542" s="1651"/>
      <c r="P542" s="1651"/>
    </row>
    <row customHeight="true" ht="18.452380952380953" r="543">
      <c r="A543" s="1975"/>
      <c r="B543" s="1976"/>
      <c r="C543" s="1975"/>
      <c r="D543" s="2006"/>
      <c r="E543" s="1992"/>
      <c r="F543" s="1982"/>
      <c r="G543" s="2015"/>
      <c r="H543" s="1649"/>
      <c r="I543" s="1661"/>
      <c r="J543" s="1660"/>
      <c r="K543" s="1651"/>
      <c r="L543" s="1651"/>
      <c r="M543" s="1651"/>
      <c r="N543" s="1651"/>
      <c r="O543" s="1651"/>
      <c r="P543" s="1651"/>
    </row>
    <row customHeight="true" ht="18.452380952380953" r="544">
      <c r="A544" s="1975"/>
      <c r="B544" s="1976"/>
      <c r="C544" s="1975"/>
      <c r="D544" s="2006"/>
      <c r="E544" s="1992"/>
      <c r="F544" s="2019"/>
      <c r="G544" s="2016"/>
      <c r="H544" s="1835"/>
      <c r="I544" s="1661"/>
      <c r="J544" s="1660"/>
      <c r="K544" s="1651"/>
      <c r="L544" s="1651"/>
      <c r="M544" s="1651"/>
      <c r="N544" s="1651"/>
      <c r="O544" s="1651"/>
      <c r="P544" s="1651"/>
    </row>
    <row r="545">
      <c r="A545" s="2020"/>
      <c r="B545" s="2020"/>
      <c r="C545" s="2020"/>
      <c r="D545" s="2020"/>
      <c r="E545" s="2020"/>
      <c r="F545" s="2020"/>
      <c r="G545" s="2020"/>
      <c r="H545" s="2020"/>
      <c r="I545" s="2020"/>
      <c r="J545" s="1907"/>
      <c r="K545" s="1651"/>
      <c r="L545" s="1651"/>
      <c r="M545" s="1651"/>
      <c r="N545" s="1651"/>
      <c r="O545" s="1651"/>
      <c r="P545" s="1651"/>
    </row>
    <row r="546">
      <c r="A546" s="1961" t="s">
        <v>1791</v>
      </c>
      <c r="B546" s="1961"/>
      <c r="C546" s="1961"/>
      <c r="D546" s="1961"/>
      <c r="E546" s="1961"/>
      <c r="F546" s="1961"/>
      <c r="G546" s="1961"/>
      <c r="H546" s="1961"/>
      <c r="I546" s="1961"/>
      <c r="J546" s="2021"/>
      <c r="K546" s="1683"/>
      <c r="L546" s="1683"/>
      <c r="M546" s="1683"/>
      <c r="N546" s="1683"/>
      <c r="O546" s="1683"/>
      <c r="P546" s="1683"/>
    </row>
    <row r="547">
      <c r="A547" s="1963" t="s">
        <v>1457</v>
      </c>
      <c r="B547" s="1814" t="s">
        <v>1458</v>
      </c>
      <c r="C547" s="1814"/>
      <c r="D547" s="1816" t="s">
        <v>1459</v>
      </c>
      <c r="E547" s="1964" t="s">
        <v>1460</v>
      </c>
      <c r="F547" s="1964" t="s">
        <v>1461</v>
      </c>
      <c r="G547" s="1965" t="s">
        <v>1473</v>
      </c>
      <c r="H547" s="1964" t="s">
        <v>1463</v>
      </c>
      <c r="I547" s="1964" t="s">
        <v>1464</v>
      </c>
      <c r="J547" s="1819" t="s">
        <v>1465</v>
      </c>
      <c r="K547" s="1669"/>
      <c r="L547" s="1669"/>
      <c r="M547" s="1669"/>
      <c r="N547" s="1669"/>
      <c r="O547" s="1669"/>
      <c r="P547" s="1669"/>
    </row>
    <row r="548">
      <c r="A548" s="2022" t="s">
        <v>1792</v>
      </c>
      <c r="B548" s="1644">
        <v>46274</v>
      </c>
      <c r="C548" s="1670" t="str">
        <v>Wednesday</v>
      </c>
      <c r="D548" s="1677" t="s">
        <v>1793</v>
      </c>
      <c r="E548" s="1649">
        <f t="shared" ref="E548:E551" si="107">24*MOD(TIMEVALUE(TRIM(MID(D548,FIND("-",D548)+1,LEN(D548)))) - TIMEVALUE(TRIM(LEFT(D548,FIND("-",D548)-1))),1)</f>
      </c>
      <c r="F548" s="1787"/>
      <c r="G548" s="2023"/>
      <c r="H548" s="1649"/>
      <c r="I548" s="1675" t="s">
        <v>1469</v>
      </c>
      <c r="J548" s="2024"/>
      <c r="K548" s="1651"/>
      <c r="L548" s="1651"/>
      <c r="M548" s="1651"/>
      <c r="N548" s="1651"/>
      <c r="O548" s="1651"/>
      <c r="P548" s="1651"/>
    </row>
    <row r="549">
      <c r="A549" s="2022" t="s">
        <v>1792</v>
      </c>
      <c r="B549" s="1644">
        <v>46276</v>
      </c>
      <c r="C549" s="1670" t="str">
        <v>Friday</v>
      </c>
      <c r="D549" s="1677" t="s">
        <v>1515</v>
      </c>
      <c r="E549" s="1649">
        <f t="shared" si="107"/>
      </c>
      <c r="F549" s="1787"/>
      <c r="G549" s="2023"/>
      <c r="H549" s="1649"/>
      <c r="I549" s="1675" t="s">
        <v>1469</v>
      </c>
      <c r="J549" s="2024"/>
      <c r="K549" s="1651"/>
      <c r="L549" s="1651"/>
      <c r="M549" s="1651"/>
      <c r="N549" s="1651"/>
      <c r="O549" s="1651"/>
      <c r="P549" s="1651"/>
    </row>
    <row customHeight="true" ht="18.452380952380953" r="550">
      <c r="A550" s="2022" t="s">
        <v>1794</v>
      </c>
      <c r="B550" s="1644">
        <v>46274</v>
      </c>
      <c r="C550" s="1670" t="str">
        <v>Wednesday</v>
      </c>
      <c r="D550" s="1677" t="s">
        <v>1795</v>
      </c>
      <c r="E550" s="1649">
        <f t="shared" si="107"/>
      </c>
      <c r="F550" s="1787"/>
      <c r="G550" s="2023"/>
      <c r="H550" s="1649"/>
      <c r="I550" s="1675" t="s">
        <v>1446</v>
      </c>
      <c r="J550" s="2024"/>
      <c r="K550" s="1651"/>
      <c r="L550" s="1651"/>
      <c r="M550" s="1651"/>
      <c r="N550" s="1651"/>
      <c r="O550" s="1651"/>
      <c r="P550" s="1651"/>
    </row>
    <row r="551">
      <c r="A551" s="2022" t="s">
        <v>1794</v>
      </c>
      <c r="B551" s="1644">
        <v>46276</v>
      </c>
      <c r="C551" s="1670" t="str">
        <v>Friday</v>
      </c>
      <c r="D551" s="1677" t="s">
        <v>1796</v>
      </c>
      <c r="E551" s="1649">
        <f t="shared" si="107"/>
      </c>
      <c r="F551" s="1787"/>
      <c r="G551" s="2023"/>
      <c r="H551" s="1649"/>
      <c r="I551" s="1675" t="s">
        <v>1446</v>
      </c>
      <c r="J551" s="2024"/>
      <c r="K551" s="1651"/>
      <c r="L551" s="1651"/>
      <c r="M551" s="1651"/>
      <c r="N551" s="1651"/>
      <c r="O551" s="1651"/>
      <c r="P551" s="1651"/>
    </row>
    <row customHeight="true" ht="16.071428571428573" r="552">
      <c r="A552" s="2022"/>
      <c r="B552" s="1670"/>
      <c r="C552" s="1670"/>
      <c r="D552" s="1649"/>
      <c r="E552" s="1649"/>
      <c r="F552" s="1649"/>
      <c r="G552" s="2025"/>
      <c r="H552" s="1649"/>
      <c r="I552" s="1787"/>
      <c r="J552" s="2024"/>
      <c r="K552" s="1651"/>
      <c r="L552" s="1651"/>
      <c r="M552" s="1651"/>
      <c r="N552" s="1651"/>
      <c r="O552" s="1651"/>
      <c r="P552" s="1651"/>
    </row>
    <row customHeight="true" ht="33.23485645144371" r="553">
      <c r="A553" s="2026" t="s">
        <v>1797</v>
      </c>
      <c r="B553" s="2026"/>
      <c r="C553" s="2026"/>
      <c r="D553" s="2026"/>
      <c r="E553" s="2026"/>
      <c r="F553" s="2026"/>
      <c r="G553" s="2026"/>
      <c r="H553" s="2026"/>
      <c r="I553" s="2026"/>
      <c r="J553" s="2027"/>
      <c r="K553" s="1683"/>
      <c r="L553" s="1683"/>
      <c r="M553" s="1683"/>
      <c r="N553" s="1683"/>
      <c r="O553" s="1683"/>
      <c r="P553" s="1683"/>
    </row>
    <row customHeight="true" ht="27.760108931548054" r="554">
      <c r="A554" s="2028" t="s">
        <v>1457</v>
      </c>
      <c r="B554" s="2029" t="s">
        <v>1458</v>
      </c>
      <c r="C554" s="2029"/>
      <c r="D554" s="2030" t="s">
        <v>1459</v>
      </c>
      <c r="E554" s="2030" t="s">
        <v>1460</v>
      </c>
      <c r="F554" s="2030" t="s">
        <v>1461</v>
      </c>
      <c r="G554" s="2031" t="s">
        <v>1473</v>
      </c>
      <c r="H554" s="2030" t="s">
        <v>1463</v>
      </c>
      <c r="I554" s="2030" t="s">
        <v>1464</v>
      </c>
      <c r="J554" s="2032" t="s">
        <v>1465</v>
      </c>
      <c r="K554" s="1669"/>
      <c r="L554" s="1669"/>
      <c r="M554" s="1669"/>
      <c r="N554" s="1669"/>
      <c r="O554" s="1669"/>
      <c r="P554" s="1669"/>
    </row>
    <row customHeight="true" ht="16.071428571428573" r="555">
      <c r="A555" s="1785" t="s">
        <v>1798</v>
      </c>
      <c r="B555" s="1790">
        <v>46269</v>
      </c>
      <c r="C555" s="1785" t="str">
        <v>Friday</v>
      </c>
      <c r="D555" s="2033" t="s">
        <v>1736</v>
      </c>
      <c r="E555" s="1957">
        <f t="shared" ref="E555:E558" si="108">24*MOD(TIMEVALUE(TRIM(MID(D555,FIND("-",D555)+1,LEN(D555)))) - TIMEVALUE(TRIM(LEFT(D555,FIND("-",D555)-1))),1)</f>
      </c>
      <c r="F555" s="1787"/>
      <c r="G555" s="2034"/>
      <c r="H555" s="1957" t="s">
        <v>1471</v>
      </c>
      <c r="I555" s="1787" t="s">
        <v>1469</v>
      </c>
      <c r="J555" s="1974"/>
      <c r="K555" s="1972"/>
      <c r="L555" s="1972"/>
      <c r="M555" s="1972"/>
      <c r="N555" s="1972"/>
      <c r="O555" s="1972"/>
      <c r="P555" s="1972"/>
      <c r="Q555" s="1700"/>
      <c r="R555" s="1700"/>
    </row>
    <row customHeight="true" ht="16.071428571428573" r="556">
      <c r="A556" s="1785" t="s">
        <v>1798</v>
      </c>
      <c r="B556" s="1790">
        <v>46274</v>
      </c>
      <c r="C556" s="1785" t="str">
        <v>Wednesday</v>
      </c>
      <c r="D556" s="1786" t="s">
        <v>1671</v>
      </c>
      <c r="E556" s="1787">
        <f t="shared" si="108"/>
      </c>
      <c r="F556" s="1787"/>
      <c r="G556" s="1916"/>
      <c r="H556" s="1787" t="s">
        <v>1471</v>
      </c>
      <c r="I556" s="1787" t="s">
        <v>1469</v>
      </c>
      <c r="J556" s="1869"/>
      <c r="K556" s="1651"/>
      <c r="L556" s="1651"/>
      <c r="M556" s="1651"/>
      <c r="N556" s="1651"/>
      <c r="O556" s="1651"/>
      <c r="P556" s="1651"/>
      <c r="Q556" s="1700"/>
      <c r="R556" s="1700"/>
    </row>
    <row customHeight="true" ht="16.071428571428573" r="557">
      <c r="A557" s="1785" t="s">
        <v>1798</v>
      </c>
      <c r="B557" s="1790">
        <v>46276</v>
      </c>
      <c r="C557" s="1785" t="str">
        <v>Friday</v>
      </c>
      <c r="D557" s="1786" t="s">
        <v>1671</v>
      </c>
      <c r="E557" s="1957">
        <f t="shared" si="108"/>
      </c>
      <c r="F557" s="1787"/>
      <c r="G557" s="2034"/>
      <c r="H557" s="1957" t="s">
        <v>1471</v>
      </c>
      <c r="I557" s="1787" t="s">
        <v>1469</v>
      </c>
      <c r="J557" s="1974"/>
      <c r="K557" s="1972"/>
      <c r="L557" s="1972"/>
      <c r="M557" s="1972"/>
      <c r="N557" s="1972"/>
      <c r="O557" s="1972"/>
      <c r="P557" s="1972"/>
      <c r="Q557" s="1700"/>
      <c r="R557" s="1700"/>
    </row>
    <row customHeight="true" ht="16.071428571428573" r="558">
      <c r="A558" s="1785" t="s">
        <v>1798</v>
      </c>
      <c r="B558" s="1790">
        <v>46278</v>
      </c>
      <c r="C558" s="1785" t="str">
        <v>Sunday</v>
      </c>
      <c r="D558" s="1786" t="s">
        <v>1671</v>
      </c>
      <c r="E558" s="1957">
        <f t="shared" si="108"/>
      </c>
      <c r="F558" s="1787"/>
      <c r="G558" s="2034"/>
      <c r="H558" s="1957" t="s">
        <v>1471</v>
      </c>
      <c r="I558" s="1787" t="s">
        <v>1469</v>
      </c>
      <c r="J558" s="1974"/>
      <c r="K558" s="1972"/>
      <c r="L558" s="1972"/>
      <c r="M558" s="1972"/>
      <c r="N558" s="1972"/>
      <c r="O558" s="1972"/>
      <c r="P558" s="1972"/>
      <c r="Q558" s="1700"/>
      <c r="R558" s="1700"/>
    </row>
    <row customHeight="true" ht="16.071428571428573" r="559">
      <c r="A559" s="1785"/>
      <c r="B559" s="1790"/>
      <c r="C559" s="1785"/>
      <c r="D559" s="1786"/>
      <c r="E559" s="1787"/>
      <c r="F559" s="1957"/>
      <c r="G559" s="1916"/>
      <c r="H559" s="1787"/>
      <c r="I559" s="1787"/>
      <c r="J559" s="1869"/>
      <c r="K559" s="1651"/>
      <c r="L559" s="1651"/>
      <c r="M559" s="1651"/>
      <c r="N559" s="1651"/>
      <c r="O559" s="1651"/>
      <c r="P559" s="1651"/>
      <c r="Q559" s="1700"/>
      <c r="R559" s="1700"/>
    </row>
    <row customHeight="true" ht="16.071428571428573" r="560">
      <c r="A560" s="1785" t="s">
        <v>1799</v>
      </c>
      <c r="B560" s="1790">
        <v>46274</v>
      </c>
      <c r="C560" s="1785" t="str">
        <v>Wednesday</v>
      </c>
      <c r="D560" s="1786" t="s">
        <v>1800</v>
      </c>
      <c r="E560" s="1787">
        <f t="shared" ref="E560:E563" si="109">24*MOD(TIMEVALUE(TRIM(MID(D560,FIND("-",D560)+1,LEN(D560)))) - TIMEVALUE(TRIM(LEFT(D560,FIND("-",D560)-1))),1)</f>
      </c>
      <c r="F560" s="1957"/>
      <c r="G560" s="1916"/>
      <c r="H560" s="1787" t="s">
        <v>1471</v>
      </c>
      <c r="I560" s="1658" t="s">
        <v>1469</v>
      </c>
      <c r="J560" s="1869"/>
      <c r="K560" s="1651"/>
      <c r="L560" s="1651"/>
      <c r="M560" s="1651"/>
      <c r="N560" s="1651"/>
      <c r="O560" s="1651"/>
      <c r="P560" s="1651"/>
      <c r="Q560" s="1700"/>
      <c r="R560" s="1700"/>
    </row>
    <row customHeight="true" ht="16.071428571428573" r="561">
      <c r="A561" s="1785" t="s">
        <v>1799</v>
      </c>
      <c r="B561" s="1790">
        <v>46276</v>
      </c>
      <c r="C561" s="1785" t="str">
        <v>Friday</v>
      </c>
      <c r="D561" s="1786" t="s">
        <v>1800</v>
      </c>
      <c r="E561" s="1787">
        <f t="shared" si="109"/>
      </c>
      <c r="F561" s="1957"/>
      <c r="G561" s="1916"/>
      <c r="H561" s="1787" t="s">
        <v>1471</v>
      </c>
      <c r="I561" s="1658" t="s">
        <v>1469</v>
      </c>
      <c r="J561" s="1956"/>
      <c r="K561" s="1651"/>
      <c r="L561" s="1651"/>
      <c r="M561" s="1651"/>
      <c r="N561" s="1651"/>
      <c r="O561" s="1651"/>
      <c r="P561" s="1651"/>
      <c r="Q561" s="1700"/>
      <c r="R561" s="1700"/>
    </row>
    <row customHeight="true" ht="16.071428571428573" r="562">
      <c r="A562" s="1785" t="s">
        <v>1799</v>
      </c>
      <c r="B562" s="1790">
        <v>46278</v>
      </c>
      <c r="C562" s="1785" t="str">
        <v>Sunday</v>
      </c>
      <c r="D562" s="1786" t="s">
        <v>1800</v>
      </c>
      <c r="E562" s="1787">
        <f t="shared" si="109"/>
      </c>
      <c r="F562" s="1957"/>
      <c r="G562" s="1916"/>
      <c r="H562" s="1787" t="s">
        <v>1471</v>
      </c>
      <c r="I562" s="1658" t="s">
        <v>1469</v>
      </c>
      <c r="J562" s="1869"/>
      <c r="K562" s="1651"/>
      <c r="L562" s="1651"/>
      <c r="M562" s="1651"/>
      <c r="N562" s="1651"/>
      <c r="O562" s="1651"/>
      <c r="P562" s="1651"/>
      <c r="Q562" s="1700"/>
      <c r="R562" s="1700"/>
    </row>
    <row customHeight="true" ht="16.071428571428573" r="563">
      <c r="A563" s="1785" t="s">
        <v>1799</v>
      </c>
      <c r="B563" s="1790">
        <v>46271</v>
      </c>
      <c r="C563" s="1785" t="str">
        <v>Sunday</v>
      </c>
      <c r="D563" s="1786" t="s">
        <v>1620</v>
      </c>
      <c r="E563" s="1787">
        <f t="shared" si="109"/>
      </c>
      <c r="F563" s="1957"/>
      <c r="G563" s="1916"/>
      <c r="H563" s="1787" t="s">
        <v>1471</v>
      </c>
      <c r="I563" s="1658" t="s">
        <v>1469</v>
      </c>
      <c r="J563" s="1851"/>
      <c r="K563" s="1651"/>
      <c r="L563" s="1651"/>
      <c r="M563" s="1651"/>
      <c r="N563" s="1651"/>
      <c r="O563" s="1651"/>
      <c r="P563" s="1651"/>
      <c r="Q563" s="1700"/>
      <c r="R563" s="1700"/>
    </row>
    <row customHeight="true" ht="16.071428571428573" r="564">
      <c r="A564" s="1785"/>
      <c r="B564" s="1790"/>
      <c r="C564" s="1785"/>
      <c r="D564" s="1787"/>
      <c r="E564" s="1787"/>
      <c r="F564" s="1957"/>
      <c r="G564" s="1916"/>
      <c r="H564" s="1787"/>
      <c r="I564" s="1675"/>
      <c r="J564" s="1869"/>
      <c r="K564" s="1651"/>
      <c r="L564" s="1651"/>
      <c r="M564" s="1651"/>
      <c r="N564" s="1651"/>
      <c r="O564" s="1651"/>
      <c r="P564" s="1651"/>
      <c r="Q564" s="1700"/>
      <c r="R564" s="1700"/>
    </row>
    <row customHeight="true" ht="16.071428571428573" r="565">
      <c r="A565" s="2022"/>
      <c r="B565" s="1670"/>
      <c r="C565" s="1670"/>
      <c r="D565" s="1649"/>
      <c r="E565" s="1649"/>
      <c r="F565" s="1649"/>
      <c r="G565" s="2025"/>
      <c r="H565" s="1649"/>
      <c r="I565" s="1787"/>
      <c r="J565" s="2024"/>
      <c r="K565" s="1651"/>
      <c r="L565" s="1651"/>
      <c r="M565" s="1651"/>
      <c r="N565" s="1651"/>
      <c r="O565" s="1651"/>
      <c r="P565" s="1651"/>
    </row>
    <row r="566">
      <c r="A566" s="1907"/>
      <c r="B566" s="1907"/>
      <c r="C566" s="1907"/>
      <c r="D566" s="1795"/>
      <c r="E566" s="1907"/>
      <c r="F566" s="1907"/>
      <c r="G566" s="2035"/>
      <c r="H566" s="1907"/>
      <c r="I566" s="1907"/>
      <c r="J566" s="1907"/>
      <c r="K566" s="1651"/>
      <c r="L566" s="1651"/>
      <c r="M566" s="1651"/>
      <c r="N566" s="1651"/>
      <c r="O566" s="1651"/>
      <c r="P566" s="1651"/>
    </row>
    <row r="567">
      <c r="A567" s="1670"/>
      <c r="B567" s="1670"/>
      <c r="C567" s="1670"/>
      <c r="D567" s="1675"/>
      <c r="E567" s="1675"/>
      <c r="F567" s="1678"/>
      <c r="G567" s="1791"/>
      <c r="H567" s="1649"/>
      <c r="I567" s="1675"/>
      <c r="J567" s="1673"/>
      <c r="K567" s="1651"/>
      <c r="L567" s="1651"/>
      <c r="M567" s="1651"/>
      <c r="N567" s="1651"/>
      <c r="O567" s="1651"/>
      <c r="P567" s="1651"/>
    </row>
    <row r="568">
      <c r="A568" s="2036" t="s">
        <v>1801</v>
      </c>
      <c r="B568" s="2036"/>
      <c r="C568" s="2036"/>
      <c r="D568" s="2036"/>
      <c r="E568" s="2036"/>
      <c r="F568" s="2036"/>
      <c r="G568" s="2036"/>
      <c r="H568" s="2036"/>
      <c r="I568" s="2036"/>
      <c r="J568" s="2037"/>
      <c r="K568" s="1683"/>
      <c r="L568" s="1683"/>
      <c r="M568" s="1683"/>
      <c r="N568" s="1683"/>
      <c r="O568" s="1683"/>
      <c r="P568" s="1683"/>
    </row>
    <row r="569">
      <c r="A569" s="2038" t="s">
        <v>1457</v>
      </c>
      <c r="B569" s="2039" t="s">
        <v>1458</v>
      </c>
      <c r="C569" s="2039"/>
      <c r="D569" s="2040" t="s">
        <v>1459</v>
      </c>
      <c r="E569" s="2040" t="s">
        <v>1460</v>
      </c>
      <c r="F569" s="2040" t="s">
        <v>1461</v>
      </c>
      <c r="G569" s="2041" t="s">
        <v>1473</v>
      </c>
      <c r="H569" s="2040" t="s">
        <v>1463</v>
      </c>
      <c r="I569" s="2040" t="s">
        <v>1464</v>
      </c>
      <c r="J569" s="2042" t="s">
        <v>1465</v>
      </c>
      <c r="K569" s="1669"/>
      <c r="L569" s="1669"/>
      <c r="M569" s="1669"/>
      <c r="N569" s="1669"/>
      <c r="O569" s="1669"/>
      <c r="P569" s="1669"/>
    </row>
    <row customHeight="true" ht="18.452380952380953" r="570">
      <c r="A570" s="1670" t="s">
        <v>1802</v>
      </c>
      <c r="B570" s="1644">
        <v>46281</v>
      </c>
      <c r="C570" s="1670" t="str">
        <v>Wednesday</v>
      </c>
      <c r="D570" s="2043" t="s">
        <v>1803</v>
      </c>
      <c r="E570" s="1675">
        <f t="shared" ref="E570:E580" si="110">24*MOD(TIMEVALUE(TRIM(MID(D570,FIND("-",D570)+1,LEN(D570)))) - TIMEVALUE(TRIM(LEFT(D570,FIND("-",D570)-1))),1)</f>
      </c>
      <c r="F570" s="1675" t="s">
        <v>1804</v>
      </c>
      <c r="G570" s="1679"/>
      <c r="H570" s="1675" t="s">
        <v>1445</v>
      </c>
      <c r="I570" s="1675" t="s">
        <v>1446</v>
      </c>
      <c r="J570" s="1650"/>
      <c r="K570" s="1789"/>
      <c r="L570" s="1789"/>
      <c r="M570" s="1789"/>
      <c r="N570" s="1789"/>
      <c r="O570" s="1789"/>
      <c r="P570" s="1789"/>
      <c r="Q570" s="1680"/>
      <c r="R570" s="1680"/>
    </row>
    <row customHeight="true" ht="18.452380952380953" r="571">
      <c r="A571" s="1975" t="s">
        <v>1805</v>
      </c>
      <c r="B571" s="1976">
        <v>46280</v>
      </c>
      <c r="C571" s="1975" t="str">
        <v>Tuesday</v>
      </c>
      <c r="D571" s="2006" t="s">
        <v>1806</v>
      </c>
      <c r="E571" s="1978">
        <f t="shared" si="110"/>
      </c>
      <c r="F571" s="1978" t="s">
        <v>1804</v>
      </c>
      <c r="G571" s="1916"/>
      <c r="H571" s="1787" t="s">
        <v>1445</v>
      </c>
      <c r="I571" s="1675" t="s">
        <v>1446</v>
      </c>
      <c r="J571" s="1869"/>
      <c r="K571" s="1651"/>
      <c r="L571" s="1651"/>
      <c r="M571" s="1651"/>
      <c r="N571" s="1651"/>
      <c r="O571" s="1651"/>
      <c r="P571" s="1651"/>
    </row>
    <row r="572">
      <c r="A572" s="1670" t="s">
        <v>1807</v>
      </c>
      <c r="B572" s="1644">
        <v>46280</v>
      </c>
      <c r="C572" s="1670" t="str">
        <v>Tuesday</v>
      </c>
      <c r="D572" s="2044" t="s">
        <v>1808</v>
      </c>
      <c r="E572" s="1675">
        <f t="shared" si="110"/>
      </c>
      <c r="F572" s="1787" t="s">
        <v>1809</v>
      </c>
      <c r="G572" s="1916"/>
      <c r="H572" s="1787" t="s">
        <v>1445</v>
      </c>
      <c r="I572" s="1787" t="s">
        <v>1446</v>
      </c>
      <c r="J572" s="1851" t="s">
        <v>1810</v>
      </c>
      <c r="K572" s="1807"/>
      <c r="L572" s="1807"/>
      <c r="M572" s="1807"/>
      <c r="N572" s="1807"/>
      <c r="O572" s="1807"/>
      <c r="P572" s="1807"/>
    </row>
    <row r="573">
      <c r="A573" s="1975" t="s">
        <v>1805</v>
      </c>
      <c r="B573" s="1976">
        <v>46281</v>
      </c>
      <c r="C573" s="1975" t="str">
        <v>Wednesday</v>
      </c>
      <c r="D573" s="2006" t="s">
        <v>1555</v>
      </c>
      <c r="E573" s="1978">
        <f t="shared" si="110"/>
      </c>
      <c r="F573" s="1978" t="s">
        <v>1804</v>
      </c>
      <c r="G573" s="1916"/>
      <c r="H573" s="1787" t="s">
        <v>1445</v>
      </c>
      <c r="I573" s="1675" t="s">
        <v>1446</v>
      </c>
      <c r="J573" s="1869"/>
      <c r="K573" s="1651"/>
      <c r="L573" s="1651"/>
      <c r="M573" s="1651"/>
      <c r="N573" s="1651"/>
      <c r="O573" s="1651"/>
      <c r="P573" s="1651"/>
    </row>
    <row r="574">
      <c r="A574" s="1670" t="s">
        <v>1807</v>
      </c>
      <c r="B574" s="1644">
        <v>46281</v>
      </c>
      <c r="C574" s="1670" t="str">
        <v>Wednesday</v>
      </c>
      <c r="D574" s="2044" t="s">
        <v>1811</v>
      </c>
      <c r="E574" s="1675">
        <f t="shared" si="110"/>
      </c>
      <c r="F574" s="1787" t="s">
        <v>1809</v>
      </c>
      <c r="G574" s="1916"/>
      <c r="H574" s="1787" t="s">
        <v>1445</v>
      </c>
      <c r="I574" s="1675" t="s">
        <v>1446</v>
      </c>
      <c r="J574" s="1869"/>
      <c r="K574" s="1651"/>
      <c r="L574" s="1651"/>
      <c r="M574" s="1651"/>
      <c r="N574" s="1651"/>
      <c r="O574" s="1651"/>
      <c r="P574" s="1651"/>
    </row>
    <row customHeight="true" ht="18.452380952380953" r="575">
      <c r="A575" s="1670" t="s">
        <v>1802</v>
      </c>
      <c r="B575" s="1644">
        <v>46282</v>
      </c>
      <c r="C575" s="1670" t="str">
        <v>Thursday</v>
      </c>
      <c r="D575" s="2044" t="s">
        <v>1812</v>
      </c>
      <c r="E575" s="1675">
        <f t="shared" si="110"/>
      </c>
      <c r="F575" s="1675" t="s">
        <v>1813</v>
      </c>
      <c r="G575" s="1916"/>
      <c r="H575" s="1787" t="s">
        <v>1445</v>
      </c>
      <c r="I575" s="1787"/>
      <c r="J575" s="1869"/>
      <c r="K575" s="1651"/>
      <c r="L575" s="1651"/>
      <c r="M575" s="1651"/>
      <c r="N575" s="1651"/>
      <c r="O575" s="1651"/>
      <c r="P575" s="1651"/>
    </row>
    <row customHeight="true" ht="18.452380952380953" r="576">
      <c r="A576" s="1975" t="s">
        <v>1805</v>
      </c>
      <c r="B576" s="1976">
        <v>46282</v>
      </c>
      <c r="C576" s="1975" t="str">
        <v>Thursday</v>
      </c>
      <c r="D576" s="2006" t="s">
        <v>1555</v>
      </c>
      <c r="E576" s="1978">
        <f t="shared" si="110"/>
      </c>
      <c r="F576" s="1978" t="s">
        <v>1813</v>
      </c>
      <c r="G576" s="1916"/>
      <c r="H576" s="1787" t="s">
        <v>1445</v>
      </c>
      <c r="I576" s="1787"/>
      <c r="J576" s="1869"/>
      <c r="K576" s="1651"/>
      <c r="L576" s="1651"/>
      <c r="M576" s="1651"/>
      <c r="N576" s="1651"/>
      <c r="O576" s="1651"/>
      <c r="P576" s="1651"/>
    </row>
    <row customHeight="true" ht="18.452380952380953" r="577">
      <c r="A577" s="1670" t="s">
        <v>1807</v>
      </c>
      <c r="B577" s="1644">
        <v>46282</v>
      </c>
      <c r="C577" s="1670" t="str">
        <v>Thursday</v>
      </c>
      <c r="D577" s="2044" t="s">
        <v>1811</v>
      </c>
      <c r="E577" s="1675">
        <f t="shared" si="110"/>
      </c>
      <c r="F577" s="1787" t="s">
        <v>1814</v>
      </c>
      <c r="G577" s="1916"/>
      <c r="H577" s="1787" t="s">
        <v>1445</v>
      </c>
      <c r="I577" s="1787" t="s">
        <v>1446</v>
      </c>
      <c r="J577" s="1869"/>
      <c r="K577" s="1651"/>
      <c r="L577" s="1651"/>
      <c r="M577" s="1651"/>
      <c r="N577" s="1651"/>
      <c r="O577" s="1651"/>
      <c r="P577" s="1651"/>
    </row>
    <row r="578">
      <c r="A578" s="1975" t="s">
        <v>1805</v>
      </c>
      <c r="B578" s="1976">
        <v>46283</v>
      </c>
      <c r="C578" s="1975" t="str">
        <v>Friday</v>
      </c>
      <c r="D578" s="2006" t="s">
        <v>1555</v>
      </c>
      <c r="E578" s="1978">
        <f t="shared" si="110"/>
      </c>
      <c r="F578" s="1978" t="s">
        <v>1804</v>
      </c>
      <c r="G578" s="1916"/>
      <c r="H578" s="1787" t="s">
        <v>1445</v>
      </c>
      <c r="I578" s="1675" t="s">
        <v>1446</v>
      </c>
      <c r="J578" s="1869"/>
      <c r="K578" s="1651"/>
      <c r="L578" s="1651"/>
      <c r="M578" s="1651"/>
      <c r="N578" s="1651"/>
      <c r="O578" s="1651"/>
      <c r="P578" s="1651"/>
    </row>
    <row r="579">
      <c r="A579" s="1670" t="s">
        <v>1807</v>
      </c>
      <c r="B579" s="1644">
        <v>46283</v>
      </c>
      <c r="C579" s="1670" t="str">
        <v>Friday</v>
      </c>
      <c r="D579" s="2044" t="s">
        <v>1811</v>
      </c>
      <c r="E579" s="1675">
        <f t="shared" si="110"/>
      </c>
      <c r="F579" s="1787" t="s">
        <v>1809</v>
      </c>
      <c r="G579" s="1916"/>
      <c r="H579" s="1787" t="s">
        <v>1445</v>
      </c>
      <c r="I579" s="1675" t="s">
        <v>1446</v>
      </c>
      <c r="J579" s="1869"/>
      <c r="K579" s="1651"/>
      <c r="L579" s="1651"/>
      <c r="M579" s="1651"/>
      <c r="N579" s="1651"/>
      <c r="O579" s="1651"/>
      <c r="P579" s="1651"/>
    </row>
    <row customHeight="true" ht="18.452380952380953" r="580">
      <c r="A580" s="1897" t="s">
        <v>1802</v>
      </c>
      <c r="B580" s="1898">
        <v>46284</v>
      </c>
      <c r="C580" s="1897" t="str">
        <v>Saturday</v>
      </c>
      <c r="D580" s="2045" t="s">
        <v>1812</v>
      </c>
      <c r="E580" s="1747">
        <f t="shared" si="110"/>
      </c>
      <c r="F580" s="1747" t="s">
        <v>1813</v>
      </c>
      <c r="G580" s="1905"/>
      <c r="H580" s="1747" t="s">
        <v>1445</v>
      </c>
      <c r="I580" s="1747"/>
      <c r="J580" s="2046" t="s">
        <v>1815</v>
      </c>
      <c r="K580" s="1903"/>
      <c r="L580" s="1903"/>
      <c r="M580" s="1903"/>
      <c r="N580" s="1903"/>
      <c r="O580" s="1903"/>
      <c r="P580" s="1903"/>
      <c r="Q580" s="1917"/>
      <c r="R580" s="1917"/>
    </row>
    <row customHeight="true" ht="18.452380952380953" r="581">
      <c r="A581" s="1670" t="s">
        <v>1805</v>
      </c>
      <c r="B581" s="1644">
        <v>46284</v>
      </c>
      <c r="C581" s="1670" t="str">
        <v>Saturday</v>
      </c>
      <c r="D581" s="2044" t="s">
        <v>1661</v>
      </c>
      <c r="E581" s="1645">
        <v>3</v>
      </c>
      <c r="F581" s="1675" t="s">
        <v>1755</v>
      </c>
      <c r="G581" s="1679"/>
      <c r="H581" s="1675"/>
      <c r="I581" s="1675"/>
      <c r="J581" s="1650"/>
      <c r="K581" s="1789"/>
      <c r="L581" s="1789"/>
      <c r="M581" s="1789"/>
      <c r="N581" s="1789"/>
      <c r="O581" s="1789"/>
      <c r="P581" s="1789"/>
      <c r="Q581" s="1680"/>
      <c r="R581" s="1680"/>
    </row>
    <row r="582">
      <c r="A582" s="1897" t="s">
        <v>1805</v>
      </c>
      <c r="B582" s="1898">
        <v>46284</v>
      </c>
      <c r="C582" s="1897" t="str">
        <v>Saturday</v>
      </c>
      <c r="D582" s="1899" t="s">
        <v>1555</v>
      </c>
      <c r="E582" s="1747">
        <f t="shared" ref="E582:E585" si="111">24*MOD(TIMEVALUE(TRIM(MID(D582,FIND("-",D582)+1,LEN(D582)))) - TIMEVALUE(TRIM(LEFT(D582,FIND("-",D582)-1))),1)</f>
      </c>
      <c r="F582" s="1747" t="s">
        <v>1813</v>
      </c>
      <c r="G582" s="1905"/>
      <c r="H582" s="1747" t="s">
        <v>1445</v>
      </c>
      <c r="I582" s="1747"/>
      <c r="J582" s="2046" t="s">
        <v>1815</v>
      </c>
      <c r="K582" s="2047"/>
      <c r="L582" s="2047"/>
      <c r="M582" s="2047"/>
      <c r="N582" s="2047"/>
      <c r="O582" s="2047"/>
      <c r="P582" s="2047"/>
      <c r="Q582" s="1904"/>
      <c r="R582" s="1904"/>
    </row>
    <row customHeight="true" ht="18.452380952380953" r="583">
      <c r="A583" s="1670" t="s">
        <v>1807</v>
      </c>
      <c r="B583" s="1644">
        <v>46284</v>
      </c>
      <c r="C583" s="1670" t="str">
        <v>Saturday</v>
      </c>
      <c r="D583" s="2044" t="s">
        <v>1816</v>
      </c>
      <c r="E583" s="1675">
        <f t="shared" si="111"/>
      </c>
      <c r="F583" s="1787" t="s">
        <v>1814</v>
      </c>
      <c r="G583" s="1916"/>
      <c r="H583" s="1787" t="s">
        <v>1445</v>
      </c>
      <c r="I583" s="1787" t="s">
        <v>1446</v>
      </c>
      <c r="J583" s="2048" t="s">
        <v>1817</v>
      </c>
      <c r="K583" s="2049"/>
      <c r="L583" s="2049"/>
      <c r="M583" s="2049"/>
      <c r="N583" s="2049"/>
      <c r="O583" s="2049"/>
      <c r="P583" s="2049"/>
    </row>
    <row r="584">
      <c r="A584" s="1897" t="s">
        <v>1805</v>
      </c>
      <c r="B584" s="1898">
        <v>46285</v>
      </c>
      <c r="C584" s="1897" t="str">
        <v>Sunday</v>
      </c>
      <c r="D584" s="1899" t="s">
        <v>1555</v>
      </c>
      <c r="E584" s="1747">
        <f t="shared" si="111"/>
      </c>
      <c r="F584" s="1747" t="s">
        <v>1813</v>
      </c>
      <c r="G584" s="1905"/>
      <c r="H584" s="1747" t="s">
        <v>1445</v>
      </c>
      <c r="I584" s="1747"/>
      <c r="J584" s="2046" t="s">
        <v>1815</v>
      </c>
      <c r="K584" s="2047"/>
      <c r="L584" s="2047"/>
      <c r="M584" s="2047"/>
      <c r="N584" s="2047"/>
      <c r="O584" s="2047"/>
      <c r="P584" s="2047"/>
      <c r="Q584" s="1904"/>
      <c r="R584" s="1904"/>
    </row>
    <row r="585">
      <c r="A585" s="1897" t="s">
        <v>1807</v>
      </c>
      <c r="B585" s="1898">
        <v>46285</v>
      </c>
      <c r="C585" s="1897" t="str">
        <v>Sunday</v>
      </c>
      <c r="D585" s="2045" t="s">
        <v>1811</v>
      </c>
      <c r="E585" s="1747">
        <f t="shared" si="111"/>
      </c>
      <c r="F585" s="1747" t="s">
        <v>1814</v>
      </c>
      <c r="G585" s="1905"/>
      <c r="H585" s="1747" t="s">
        <v>1445</v>
      </c>
      <c r="I585" s="1747" t="s">
        <v>1446</v>
      </c>
      <c r="J585" s="2046" t="s">
        <v>1818</v>
      </c>
      <c r="K585" s="2047"/>
      <c r="L585" s="2047"/>
      <c r="M585" s="2047"/>
      <c r="N585" s="2047"/>
      <c r="O585" s="2047"/>
      <c r="P585" s="2047"/>
      <c r="Q585" s="1904"/>
      <c r="R585" s="1904"/>
    </row>
    <row customHeight="true" ht="16.071428571428573" r="586">
      <c r="A586" s="2050"/>
      <c r="B586" s="1785"/>
      <c r="C586" s="1785"/>
      <c r="D586" s="2044"/>
      <c r="E586" s="1675"/>
      <c r="F586" s="1787"/>
      <c r="G586" s="1916"/>
      <c r="H586" s="1787"/>
      <c r="I586" s="1787"/>
      <c r="J586" s="1869"/>
      <c r="K586" s="1651"/>
      <c r="L586" s="1651"/>
      <c r="M586" s="1651"/>
      <c r="N586" s="1651"/>
      <c r="O586" s="1651"/>
      <c r="P586" s="1651"/>
    </row>
    <row customHeight="true" ht="42.261904761904766" r="587">
      <c r="A587" s="2026" t="s">
        <v>1819</v>
      </c>
      <c r="B587" s="2026"/>
      <c r="C587" s="2026"/>
      <c r="D587" s="2026"/>
      <c r="E587" s="2026"/>
      <c r="F587" s="2026"/>
      <c r="G587" s="2026"/>
      <c r="H587" s="2026"/>
      <c r="I587" s="2026"/>
      <c r="J587" s="2027"/>
      <c r="K587" s="1683"/>
      <c r="L587" s="1683"/>
      <c r="M587" s="1683"/>
      <c r="N587" s="1683"/>
      <c r="O587" s="1683"/>
      <c r="P587" s="1683"/>
    </row>
    <row customHeight="true" ht="33.333333333333336" r="588">
      <c r="A588" s="2028" t="s">
        <v>1457</v>
      </c>
      <c r="B588" s="2029" t="s">
        <v>1458</v>
      </c>
      <c r="C588" s="2029"/>
      <c r="D588" s="2030" t="s">
        <v>1459</v>
      </c>
      <c r="E588" s="2030" t="s">
        <v>1460</v>
      </c>
      <c r="F588" s="2030" t="s">
        <v>1461</v>
      </c>
      <c r="G588" s="2031" t="s">
        <v>1473</v>
      </c>
      <c r="H588" s="2030" t="s">
        <v>1463</v>
      </c>
      <c r="I588" s="2030" t="s">
        <v>1464</v>
      </c>
      <c r="J588" s="2032" t="s">
        <v>1465</v>
      </c>
      <c r="K588" s="1669"/>
      <c r="L588" s="1669"/>
      <c r="M588" s="1669"/>
      <c r="N588" s="1669"/>
      <c r="O588" s="1669"/>
      <c r="P588" s="1669"/>
    </row>
    <row customHeight="true" ht="16.071428571428573" r="589">
      <c r="A589" s="2051"/>
      <c r="B589" s="2052"/>
      <c r="C589" s="2052"/>
      <c r="D589" s="2053"/>
      <c r="E589" s="2054"/>
      <c r="F589" s="2055"/>
      <c r="G589" s="2056"/>
      <c r="H589" s="2054"/>
      <c r="I589" s="2054"/>
      <c r="J589" s="2057"/>
      <c r="K589" s="2057"/>
      <c r="L589" s="2057"/>
      <c r="M589" s="2057"/>
      <c r="N589" s="2057"/>
      <c r="O589" s="2057"/>
      <c r="P589" s="2057"/>
      <c r="Q589" s="2058"/>
      <c r="R589" s="2058"/>
    </row>
    <row customHeight="true" ht="22.023809523809526" r="590">
      <c r="A590" s="2059"/>
      <c r="B590" s="2059"/>
      <c r="C590" s="2059"/>
      <c r="D590" s="2060"/>
      <c r="E590" s="2061"/>
      <c r="F590" s="2061"/>
      <c r="G590" s="2062"/>
      <c r="H590" s="2061"/>
      <c r="I590" s="2061"/>
      <c r="J590" s="2063"/>
      <c r="K590" s="2064"/>
      <c r="L590" s="2064"/>
      <c r="M590" s="2064"/>
      <c r="N590" s="2064"/>
      <c r="O590" s="2064"/>
      <c r="P590" s="2064"/>
      <c r="Q590" s="2065"/>
      <c r="R590" s="2065"/>
    </row>
    <row customHeight="true" ht="22.25056689342507" r="591">
      <c r="A591" s="2051"/>
      <c r="B591" s="2052"/>
      <c r="C591" s="2052"/>
      <c r="D591" s="2053"/>
      <c r="E591" s="2054"/>
      <c r="F591" s="2055"/>
      <c r="G591" s="2066"/>
      <c r="H591" s="2054"/>
      <c r="I591" s="2054"/>
      <c r="J591" s="2067"/>
      <c r="K591" s="2057"/>
      <c r="L591" s="2057"/>
      <c r="M591" s="2057"/>
      <c r="N591" s="2057"/>
      <c r="O591" s="2057"/>
      <c r="P591" s="2057"/>
      <c r="Q591" s="2058"/>
      <c r="R591" s="2058"/>
    </row>
    <row customHeight="true" hidden="true" ht="22.023809523809526" r="592">
      <c r="A592" s="2068"/>
      <c r="B592" s="2068"/>
      <c r="C592" s="2068"/>
      <c r="D592" s="2069"/>
      <c r="E592" s="2069"/>
      <c r="F592" s="2070"/>
      <c r="G592" s="2071"/>
      <c r="H592" s="2069"/>
      <c r="I592" s="2069"/>
      <c r="J592" s="2072"/>
      <c r="K592" s="2064"/>
      <c r="L592" s="2064"/>
      <c r="M592" s="2064"/>
      <c r="N592" s="2064"/>
      <c r="O592" s="2064"/>
      <c r="P592" s="2064"/>
      <c r="Q592" s="2073"/>
      <c r="R592" s="2073"/>
    </row>
    <row customHeight="true" ht="16.071428571428573" r="593">
      <c r="A593" s="2059"/>
      <c r="B593" s="2059"/>
      <c r="C593" s="2059"/>
      <c r="D593" s="2060"/>
      <c r="E593" s="2061"/>
      <c r="F593" s="2061"/>
      <c r="G593" s="2062"/>
      <c r="H593" s="2061"/>
      <c r="I593" s="2061"/>
      <c r="J593" s="2063"/>
      <c r="K593" s="2064"/>
      <c r="L593" s="2064"/>
      <c r="M593" s="2064"/>
      <c r="N593" s="2064"/>
      <c r="O593" s="2064"/>
      <c r="P593" s="2064"/>
      <c r="Q593" s="2065"/>
      <c r="R593" s="2065"/>
    </row>
    <row customHeight="true" ht="16.071428571428573" r="594">
      <c r="A594" s="2074"/>
      <c r="B594" s="2075"/>
      <c r="C594" s="2074"/>
      <c r="D594" s="2076"/>
      <c r="E594" s="2077"/>
      <c r="F594" s="2078"/>
      <c r="G594" s="2079"/>
      <c r="H594" s="2077"/>
      <c r="I594" s="2077"/>
      <c r="J594" s="2080"/>
      <c r="K594" s="1651"/>
      <c r="L594" s="1651"/>
      <c r="M594" s="1651"/>
      <c r="N594" s="1651"/>
      <c r="O594" s="1651"/>
      <c r="P594" s="1651"/>
    </row>
    <row customHeight="true" ht="16.071428571428573" r="595">
      <c r="A595" s="2081"/>
      <c r="B595" s="2081"/>
      <c r="C595" s="2059"/>
      <c r="D595" s="2082"/>
      <c r="E595" s="2083"/>
      <c r="F595" s="2082"/>
      <c r="G595" s="2084"/>
      <c r="H595" s="2082"/>
      <c r="I595" s="2061"/>
      <c r="J595" s="2085"/>
      <c r="K595" s="2064"/>
      <c r="L595" s="2064"/>
      <c r="M595" s="2064"/>
      <c r="N595" s="2064"/>
      <c r="O595" s="2064"/>
      <c r="P595" s="2064"/>
      <c r="Q595" s="2073"/>
      <c r="R595" s="2073"/>
    </row>
    <row customHeight="true" ht="16.071428571428573" r="596">
      <c r="A596" s="2081"/>
      <c r="B596" s="2081"/>
      <c r="C596" s="2081"/>
      <c r="D596" s="2086"/>
      <c r="E596" s="2083"/>
      <c r="F596" s="2082"/>
      <c r="G596" s="2062"/>
      <c r="H596" s="2061"/>
      <c r="I596" s="2061"/>
      <c r="J596" s="2063"/>
      <c r="K596" s="2064"/>
      <c r="L596" s="2064"/>
      <c r="M596" s="2064"/>
      <c r="N596" s="2064"/>
      <c r="O596" s="2064"/>
      <c r="P596" s="2064"/>
      <c r="Q596" s="2073"/>
      <c r="R596" s="2073"/>
    </row>
    <row customHeight="true" ht="16.071428571428573" r="597">
      <c r="A597" s="2081"/>
      <c r="B597" s="2081"/>
      <c r="C597" s="2081"/>
      <c r="D597" s="2086"/>
      <c r="E597" s="2083"/>
      <c r="F597" s="2082"/>
      <c r="G597" s="2062"/>
      <c r="H597" s="2061"/>
      <c r="I597" s="2061"/>
      <c r="J597" s="2063"/>
      <c r="K597" s="2064"/>
      <c r="L597" s="2064"/>
      <c r="M597" s="2064"/>
      <c r="N597" s="2064"/>
      <c r="O597" s="2064"/>
      <c r="P597" s="2064"/>
      <c r="Q597" s="2073"/>
      <c r="R597" s="2073"/>
    </row>
    <row customHeight="true" ht="16.071428571428573" r="598">
      <c r="A598" s="2081"/>
      <c r="B598" s="2081"/>
      <c r="C598" s="2081"/>
      <c r="D598" s="2086"/>
      <c r="E598" s="2083"/>
      <c r="F598" s="2082"/>
      <c r="G598" s="2062"/>
      <c r="H598" s="2061"/>
      <c r="I598" s="2061"/>
      <c r="J598" s="2063"/>
      <c r="K598" s="2064"/>
      <c r="L598" s="2064"/>
      <c r="M598" s="2064"/>
      <c r="N598" s="2064"/>
      <c r="O598" s="2064"/>
      <c r="P598" s="2064"/>
      <c r="Q598" s="2073"/>
      <c r="R598" s="2073"/>
    </row>
    <row customHeight="true" ht="16.071428571428573" r="599">
      <c r="A599" s="2081"/>
      <c r="B599" s="2081"/>
      <c r="C599" s="2081"/>
      <c r="D599" s="2086"/>
      <c r="E599" s="2083"/>
      <c r="F599" s="2082"/>
      <c r="G599" s="2062"/>
      <c r="H599" s="2061"/>
      <c r="I599" s="2061"/>
      <c r="J599" s="2063"/>
      <c r="K599" s="2064"/>
      <c r="L599" s="2064"/>
      <c r="M599" s="2064"/>
      <c r="N599" s="2064"/>
      <c r="O599" s="2064"/>
      <c r="P599" s="2064"/>
      <c r="Q599" s="2073"/>
      <c r="R599" s="2073"/>
    </row>
    <row customHeight="true" ht="16.071428571428573" r="600">
      <c r="A600" s="1670"/>
      <c r="B600" s="1644"/>
      <c r="C600" s="1670"/>
      <c r="D600" s="1677"/>
      <c r="E600" s="1649"/>
      <c r="F600" s="1678"/>
      <c r="G600" s="1679"/>
      <c r="H600" s="1649"/>
      <c r="I600" s="1787"/>
      <c r="J600" s="1650"/>
      <c r="K600" s="1789"/>
      <c r="L600" s="1789"/>
      <c r="M600" s="1789"/>
      <c r="N600" s="1789"/>
      <c r="O600" s="1789"/>
      <c r="P600" s="1789"/>
      <c r="Q600" s="1680"/>
      <c r="R600" s="1680"/>
    </row>
    <row customHeight="true" ht="16.071428571428573" r="601">
      <c r="A601" s="1670" t="s">
        <v>1820</v>
      </c>
      <c r="B601" s="1644">
        <v>46279</v>
      </c>
      <c r="C601" s="1670" t="str">
        <v>Monday</v>
      </c>
      <c r="D601" s="2044" t="s">
        <v>1821</v>
      </c>
      <c r="E601" s="1675">
        <f t="shared" ref="E601:E602" si="112">24*MOD(TIMEVALUE(TRIM(MID(D601,FIND("-",D601)+1,LEN(D601)))) - TIMEVALUE(TRIM(LEFT(D601,FIND("-",D601)-1))),1)</f>
      </c>
      <c r="F601" s="1649" t="s">
        <v>1761</v>
      </c>
      <c r="G601" s="1809" t="s">
        <v>1822</v>
      </c>
      <c r="H601" s="1649"/>
      <c r="I601" s="1787"/>
      <c r="J601" s="1869"/>
      <c r="K601" s="1651"/>
      <c r="L601" s="1651"/>
      <c r="M601" s="1651"/>
      <c r="N601" s="1651"/>
      <c r="O601" s="1651"/>
      <c r="P601" s="1651"/>
    </row>
    <row customHeight="true" ht="16.071428571428573" r="602">
      <c r="A602" s="1670" t="s">
        <v>1820</v>
      </c>
      <c r="B602" s="1644">
        <v>46280</v>
      </c>
      <c r="C602" s="1670" t="str">
        <v>Tuesday</v>
      </c>
      <c r="D602" s="2044" t="s">
        <v>1823</v>
      </c>
      <c r="E602" s="1675">
        <f t="shared" si="112"/>
      </c>
      <c r="F602" s="1649" t="s">
        <v>1761</v>
      </c>
      <c r="G602" s="1809" t="s">
        <v>1822</v>
      </c>
      <c r="H602" s="1649"/>
      <c r="I602" s="1787"/>
      <c r="J602" s="1869"/>
      <c r="K602" s="1651"/>
      <c r="L602" s="1651"/>
      <c r="M602" s="1651"/>
      <c r="N602" s="1651"/>
      <c r="O602" s="1651"/>
      <c r="P602" s="1651"/>
    </row>
    <row customHeight="true" ht="16.071428571428573" r="603">
      <c r="A603" s="1670"/>
      <c r="B603" s="1644"/>
      <c r="C603" s="1670"/>
      <c r="D603" s="1677"/>
      <c r="E603" s="1649"/>
      <c r="F603" s="1678"/>
      <c r="G603" s="1679"/>
      <c r="H603" s="1649"/>
      <c r="I603" s="1787"/>
      <c r="J603" s="1650"/>
      <c r="K603" s="1789"/>
      <c r="L603" s="1789"/>
      <c r="M603" s="1789"/>
      <c r="N603" s="1789"/>
      <c r="O603" s="1789"/>
      <c r="P603" s="1789"/>
      <c r="Q603" s="1680"/>
      <c r="R603" s="1680"/>
    </row>
    <row customHeight="true" ht="16.071428571428573" r="604">
      <c r="D604" s="1705"/>
    </row>
    <row customHeight="true" ht="16.071428571428573" r="605">
      <c r="D605" s="1705"/>
    </row>
    <row customHeight="true" ht="16.071428571428573" r="606">
      <c r="D606" s="1705"/>
    </row>
    <row customHeight="true" ht="16.071428571428573" r="607">
      <c r="D607" s="1705"/>
    </row>
    <row customHeight="true" ht="16.071428571428573" r="608">
      <c r="D608" s="1705"/>
    </row>
    <row customHeight="true" ht="16.071428571428573" r="609">
      <c r="D609" s="1705"/>
    </row>
    <row customHeight="true" ht="16.071428571428573" r="610">
      <c r="A610" s="1670"/>
      <c r="B610" s="1790"/>
      <c r="C610" s="1785"/>
      <c r="D610" s="1677"/>
      <c r="E610" s="1649"/>
      <c r="F610" s="1678"/>
      <c r="G610" s="1916"/>
      <c r="H610" s="1787"/>
      <c r="I610" s="1787"/>
      <c r="J610" s="1869"/>
      <c r="K610" s="1651"/>
      <c r="L610" s="1651"/>
      <c r="M610" s="1651"/>
      <c r="N610" s="1651"/>
      <c r="O610" s="1651"/>
      <c r="P610" s="1651"/>
    </row>
    <row customHeight="true" ht="16.071428571428573" r="611">
      <c r="A611" s="1670"/>
      <c r="B611" s="1790"/>
      <c r="C611" s="1785"/>
      <c r="D611" s="1677"/>
      <c r="E611" s="1649"/>
      <c r="F611" s="1678"/>
      <c r="G611" s="1916"/>
      <c r="H611" s="1787"/>
      <c r="I611" s="1787"/>
      <c r="J611" s="1869"/>
      <c r="K611" s="1651"/>
      <c r="L611" s="1651"/>
      <c r="M611" s="1651"/>
      <c r="N611" s="1651"/>
      <c r="O611" s="1651"/>
      <c r="P611" s="1651"/>
    </row>
    <row customHeight="true" ht="16.071428571428573" r="612">
      <c r="A612" s="1670"/>
      <c r="B612" s="1790"/>
      <c r="C612" s="1785"/>
      <c r="D612" s="1677"/>
      <c r="E612" s="1649"/>
      <c r="F612" s="1678"/>
      <c r="G612" s="1916"/>
      <c r="H612" s="1787"/>
      <c r="I612" s="1787"/>
      <c r="J612" s="1869"/>
      <c r="K612" s="1651"/>
      <c r="L612" s="1651"/>
      <c r="M612" s="1651"/>
      <c r="N612" s="1651"/>
      <c r="O612" s="1651"/>
      <c r="P612" s="1651"/>
    </row>
    <row customHeight="true" ht="16.071428571428573" r="613">
      <c r="A613" s="2050"/>
      <c r="B613" s="1785"/>
      <c r="C613" s="1785"/>
      <c r="D613" s="1787"/>
      <c r="E613" s="1787"/>
      <c r="F613" s="1787"/>
      <c r="G613" s="1916"/>
      <c r="H613" s="1787"/>
      <c r="I613" s="1787"/>
      <c r="J613" s="1869"/>
      <c r="K613" s="1651"/>
      <c r="L613" s="1651"/>
      <c r="M613" s="1651"/>
      <c r="N613" s="1651"/>
      <c r="O613" s="1651"/>
      <c r="P613" s="1651"/>
    </row>
    <row customHeight="true" ht="32.73809523809524" r="614">
      <c r="A614" s="2087" t="s">
        <v>1824</v>
      </c>
      <c r="B614" s="2087"/>
      <c r="C614" s="2087"/>
      <c r="D614" s="2087"/>
      <c r="E614" s="2087"/>
      <c r="F614" s="2087"/>
      <c r="G614" s="2087"/>
      <c r="H614" s="2087"/>
      <c r="I614" s="2087"/>
      <c r="J614" s="2088"/>
      <c r="K614" s="2089"/>
      <c r="L614" s="2089"/>
      <c r="M614" s="2089"/>
      <c r="N614" s="2089"/>
      <c r="O614" s="2089"/>
      <c r="P614" s="2089"/>
      <c r="Q614" s="2090"/>
      <c r="R614" s="2090"/>
    </row>
    <row customHeight="true" ht="32.73809523809524" r="615">
      <c r="A615" s="2091" t="s">
        <v>1457</v>
      </c>
      <c r="B615" s="2092" t="s">
        <v>1458</v>
      </c>
      <c r="C615" s="2092"/>
      <c r="D615" s="2093" t="s">
        <v>1459</v>
      </c>
      <c r="E615" s="2093" t="s">
        <v>1460</v>
      </c>
      <c r="F615" s="2093" t="s">
        <v>1461</v>
      </c>
      <c r="G615" s="2094" t="s">
        <v>1473</v>
      </c>
      <c r="H615" s="2093" t="s">
        <v>1463</v>
      </c>
      <c r="I615" s="2093" t="s">
        <v>1464</v>
      </c>
      <c r="J615" s="2095" t="s">
        <v>1465</v>
      </c>
      <c r="K615" s="2096"/>
      <c r="L615" s="2096"/>
      <c r="M615" s="2096"/>
      <c r="N615" s="2096"/>
      <c r="O615" s="2096"/>
      <c r="P615" s="2096"/>
      <c r="Q615" s="2090"/>
      <c r="R615" s="2090"/>
    </row>
    <row customHeight="true" ht="16.071428571428573" r="616">
      <c r="A616" s="2022" t="s">
        <v>1825</v>
      </c>
      <c r="B616" s="1644">
        <v>46280</v>
      </c>
      <c r="C616" s="1670" t="str">
        <v>Tuesday</v>
      </c>
      <c r="D616" s="1677" t="s">
        <v>1826</v>
      </c>
      <c r="E616" s="1675">
        <f t="shared" ref="E616:E625" si="113">24*MOD(TIMEVALUE(TRIM(MID(D616,FIND("-",D616)+1,LEN(D616)))) - TIMEVALUE(TRIM(LEFT(D616,FIND("-",D616)-1))),1)</f>
      </c>
      <c r="F616" s="1673" t="s">
        <v>1687</v>
      </c>
      <c r="G616" s="1809"/>
      <c r="H616" s="2043" t="s">
        <v>1471</v>
      </c>
      <c r="I616" s="1675" t="s">
        <v>1446</v>
      </c>
      <c r="J616" s="1907"/>
      <c r="K616" s="1651"/>
      <c r="L616" s="1651"/>
      <c r="M616" s="1651"/>
      <c r="N616" s="1651"/>
      <c r="O616" s="1651"/>
      <c r="P616" s="1651"/>
    </row>
    <row customHeight="true" ht="16.071428571428573" r="617">
      <c r="A617" s="2097" t="s">
        <v>1827</v>
      </c>
      <c r="B617" s="1693">
        <v>46280</v>
      </c>
      <c r="C617" s="1692" t="str">
        <v>Tuesday</v>
      </c>
      <c r="D617" s="1694" t="s">
        <v>1515</v>
      </c>
      <c r="E617" s="1675">
        <f t="shared" si="113"/>
      </c>
      <c r="F617" s="1698" t="s">
        <v>1761</v>
      </c>
      <c r="G617" s="2098"/>
      <c r="H617" s="2099"/>
      <c r="I617" s="1695" t="s">
        <v>1446</v>
      </c>
      <c r="J617" s="1871"/>
      <c r="K617" s="1871"/>
      <c r="L617" s="1871"/>
      <c r="M617" s="1871"/>
      <c r="N617" s="1871"/>
      <c r="O617" s="1871"/>
      <c r="P617" s="1871"/>
      <c r="Q617" s="1872"/>
      <c r="R617" s="1872"/>
    </row>
    <row customHeight="true" ht="16.071428571428573" r="618">
      <c r="A618" s="2022" t="s">
        <v>1825</v>
      </c>
      <c r="B618" s="1644">
        <v>46281</v>
      </c>
      <c r="C618" s="1785" t="str">
        <v>Wednesday</v>
      </c>
      <c r="D618" s="1677" t="s">
        <v>1828</v>
      </c>
      <c r="E618" s="1675">
        <f t="shared" si="113"/>
      </c>
      <c r="F618" s="1673" t="s">
        <v>1687</v>
      </c>
      <c r="G618" s="1809"/>
      <c r="H618" s="2043" t="s">
        <v>1471</v>
      </c>
      <c r="I618" s="1675" t="s">
        <v>1446</v>
      </c>
      <c r="J618" s="1673"/>
      <c r="K618" s="1651"/>
      <c r="L618" s="1651"/>
      <c r="M618" s="1651"/>
      <c r="N618" s="1651"/>
      <c r="O618" s="1651"/>
      <c r="P618" s="1651"/>
    </row>
    <row customHeight="true" ht="16.071428571428573" r="619">
      <c r="A619" s="2100" t="s">
        <v>1827</v>
      </c>
      <c r="B619" s="1693">
        <v>46281</v>
      </c>
      <c r="C619" s="1693" t="str">
        <v>Wednesday</v>
      </c>
      <c r="D619" s="1694" t="s">
        <v>1829</v>
      </c>
      <c r="E619" s="1645">
        <f t="shared" si="113"/>
      </c>
      <c r="F619" s="2101" t="s">
        <v>1761</v>
      </c>
      <c r="G619" s="1696"/>
      <c r="H619" s="2102"/>
      <c r="I619" s="1694" t="s">
        <v>1446</v>
      </c>
      <c r="J619" s="2101"/>
      <c r="K619" s="2103"/>
      <c r="L619" s="2103"/>
      <c r="M619" s="2103"/>
      <c r="N619" s="2103"/>
      <c r="O619" s="2103"/>
      <c r="P619" s="2103"/>
      <c r="Q619" s="2104"/>
      <c r="R619" s="2104"/>
    </row>
    <row customHeight="true" ht="16.071428571428573" r="620">
      <c r="A620" s="2097" t="s">
        <v>1830</v>
      </c>
      <c r="B620" s="1693">
        <v>46281</v>
      </c>
      <c r="C620" s="1692" t="str">
        <v>Wednesday</v>
      </c>
      <c r="D620" s="1694" t="s">
        <v>1831</v>
      </c>
      <c r="E620" s="1675">
        <f t="shared" si="113"/>
      </c>
      <c r="F620" s="1698" t="s">
        <v>1684</v>
      </c>
      <c r="G620" s="1696"/>
      <c r="H620" s="2099"/>
      <c r="I620" s="1695" t="s">
        <v>1446</v>
      </c>
      <c r="J620" s="1698"/>
      <c r="K620" s="1871"/>
      <c r="L620" s="1871"/>
      <c r="M620" s="1871"/>
      <c r="N620" s="1871"/>
      <c r="O620" s="1871"/>
      <c r="P620" s="1871"/>
      <c r="Q620" s="1872"/>
      <c r="R620" s="1872"/>
    </row>
    <row customHeight="true" ht="16.071428571428573" r="621">
      <c r="A621" s="2022" t="s">
        <v>1825</v>
      </c>
      <c r="B621" s="1644">
        <v>46282</v>
      </c>
      <c r="C621" s="1785" t="str">
        <v>Thursday</v>
      </c>
      <c r="D621" s="1677" t="s">
        <v>1832</v>
      </c>
      <c r="E621" s="1675">
        <f t="shared" si="113"/>
      </c>
      <c r="F621" s="1673" t="s">
        <v>1687</v>
      </c>
      <c r="G621" s="1809"/>
      <c r="H621" s="2043" t="s">
        <v>1471</v>
      </c>
      <c r="I621" s="1675" t="s">
        <v>1446</v>
      </c>
      <c r="J621" s="1673"/>
      <c r="K621" s="1651"/>
      <c r="L621" s="1651"/>
      <c r="M621" s="1651"/>
      <c r="N621" s="1651"/>
      <c r="O621" s="1651"/>
      <c r="P621" s="1651"/>
    </row>
    <row customHeight="true" ht="16.071428571428573" r="622">
      <c r="A622" s="2097" t="s">
        <v>1827</v>
      </c>
      <c r="B622" s="1693">
        <v>46282</v>
      </c>
      <c r="C622" s="1692" t="str">
        <v>Thursday</v>
      </c>
      <c r="D622" s="1694" t="s">
        <v>1829</v>
      </c>
      <c r="E622" s="1675">
        <f t="shared" si="113"/>
      </c>
      <c r="F622" s="1698" t="s">
        <v>1684</v>
      </c>
      <c r="G622" s="1696"/>
      <c r="H622" s="2099"/>
      <c r="I622" s="1695"/>
      <c r="J622" s="1698"/>
      <c r="K622" s="1871"/>
      <c r="L622" s="1871"/>
      <c r="M622" s="1871"/>
      <c r="N622" s="1871"/>
      <c r="O622" s="1871"/>
      <c r="P622" s="1871"/>
      <c r="Q622" s="1872"/>
      <c r="R622" s="1872"/>
    </row>
    <row customHeight="true" ht="16.071428571428573" r="623">
      <c r="A623" s="2097" t="s">
        <v>1827</v>
      </c>
      <c r="B623" s="1693">
        <v>46282</v>
      </c>
      <c r="C623" s="1692" t="str">
        <v>Thursday</v>
      </c>
      <c r="D623" s="1694" t="s">
        <v>1524</v>
      </c>
      <c r="E623" s="1675">
        <f t="shared" si="113"/>
      </c>
      <c r="F623" s="1698" t="s">
        <v>1761</v>
      </c>
      <c r="G623" s="1696"/>
      <c r="H623" s="2099"/>
      <c r="I623" s="1695"/>
      <c r="J623" s="1698"/>
      <c r="K623" s="1871"/>
      <c r="L623" s="1871"/>
      <c r="M623" s="1871"/>
      <c r="N623" s="1871"/>
      <c r="O623" s="1871"/>
      <c r="P623" s="1871"/>
      <c r="Q623" s="1872"/>
      <c r="R623" s="1872"/>
    </row>
    <row customHeight="true" ht="16.071428571428573" r="624">
      <c r="A624" s="2022" t="s">
        <v>1825</v>
      </c>
      <c r="B624" s="1644">
        <v>46283</v>
      </c>
      <c r="C624" s="1785" t="str">
        <v>Friday</v>
      </c>
      <c r="D624" s="1677" t="s">
        <v>1833</v>
      </c>
      <c r="E624" s="1675">
        <f t="shared" si="113"/>
      </c>
      <c r="F624" s="1673" t="s">
        <v>1687</v>
      </c>
      <c r="G624" s="1809"/>
      <c r="H624" s="2043" t="s">
        <v>1471</v>
      </c>
      <c r="I624" s="1675" t="s">
        <v>1446</v>
      </c>
      <c r="J624" s="1673"/>
      <c r="K624" s="1651"/>
      <c r="L624" s="1651"/>
      <c r="M624" s="1651"/>
      <c r="N624" s="1651"/>
      <c r="O624" s="1651"/>
      <c r="P624" s="1651"/>
    </row>
    <row customHeight="true" ht="16.071428571428573" r="625">
      <c r="A625" s="2097" t="s">
        <v>1827</v>
      </c>
      <c r="B625" s="1693">
        <v>46283</v>
      </c>
      <c r="C625" s="1692" t="str">
        <v>Friday</v>
      </c>
      <c r="D625" s="1694" t="s">
        <v>1528</v>
      </c>
      <c r="E625" s="1675">
        <f t="shared" si="113"/>
      </c>
      <c r="F625" s="1698" t="s">
        <v>1761</v>
      </c>
      <c r="G625" s="1696"/>
      <c r="H625" s="2099"/>
      <c r="I625" s="1695"/>
      <c r="J625" s="1698"/>
      <c r="K625" s="1871"/>
      <c r="L625" s="1871"/>
      <c r="M625" s="1871"/>
      <c r="N625" s="1871"/>
      <c r="O625" s="1871"/>
      <c r="P625" s="1871"/>
      <c r="Q625" s="1872"/>
      <c r="R625" s="1872"/>
    </row>
    <row customHeight="true" ht="16.071428571428573" r="626">
      <c r="A626" s="2097"/>
      <c r="B626" s="1693"/>
      <c r="C626" s="1692"/>
      <c r="D626" s="1694"/>
      <c r="E626" s="1675"/>
      <c r="F626" s="1698"/>
      <c r="G626" s="1696"/>
      <c r="H626" s="2099"/>
      <c r="I626" s="1695"/>
      <c r="J626" s="1698"/>
      <c r="K626" s="1871"/>
      <c r="L626" s="1871"/>
      <c r="M626" s="1871"/>
      <c r="N626" s="1871"/>
      <c r="O626" s="1871"/>
      <c r="P626" s="1871"/>
      <c r="Q626" s="1872"/>
      <c r="R626" s="1872"/>
    </row>
    <row customHeight="true" ht="16.071428571428573" r="627">
      <c r="A627" s="2105" t="s">
        <v>1830</v>
      </c>
      <c r="B627" s="2106">
        <v>46280</v>
      </c>
      <c r="C627" s="2106" t="s">
        <v>1834</v>
      </c>
      <c r="D627" s="2107" t="s">
        <v>1831</v>
      </c>
      <c r="E627" s="2108">
        <f t="shared" ref="E627:E628" si="114">24*MOD(TIMEVALUE(TRIM(MID(D627,FIND("-",D627)+1,LEN(D627)))) - TIMEVALUE(TRIM(LEFT(D627,FIND("-",D627)-1))),1)</f>
      </c>
      <c r="F627" s="2109" t="s">
        <v>1687</v>
      </c>
      <c r="G627" s="2110"/>
      <c r="H627" s="2111" t="s">
        <v>1471</v>
      </c>
      <c r="I627" s="2108" t="s">
        <v>1469</v>
      </c>
      <c r="J627" s="2109"/>
      <c r="K627" s="2112"/>
      <c r="L627" s="2112"/>
      <c r="M627" s="2112"/>
      <c r="N627" s="2112"/>
      <c r="O627" s="2112"/>
      <c r="P627" s="2112"/>
      <c r="Q627" s="1885"/>
      <c r="R627" s="1885"/>
    </row>
    <row customHeight="true" ht="16.071428571428573" r="628">
      <c r="A628" s="2105" t="s">
        <v>1830</v>
      </c>
      <c r="B628" s="2106">
        <v>46280</v>
      </c>
      <c r="C628" s="2106" t="s">
        <v>1834</v>
      </c>
      <c r="D628" s="2107" t="s">
        <v>1528</v>
      </c>
      <c r="E628" s="1675">
        <f t="shared" si="114"/>
      </c>
      <c r="F628" s="2109" t="s">
        <v>1761</v>
      </c>
      <c r="G628" s="2113"/>
      <c r="H628" s="2111" t="s">
        <v>1471</v>
      </c>
      <c r="I628" s="2108" t="s">
        <v>1469</v>
      </c>
      <c r="J628" s="2109"/>
      <c r="K628" s="2112"/>
      <c r="L628" s="2112"/>
      <c r="M628" s="2112"/>
      <c r="N628" s="2112"/>
      <c r="O628" s="2112"/>
      <c r="P628" s="2112"/>
      <c r="Q628" s="1885"/>
      <c r="R628" s="1885"/>
    </row>
    <row customHeight="true" ht="16.071428571428573" r="629">
      <c r="A629" s="2050"/>
      <c r="B629" s="1790"/>
      <c r="C629" s="1785"/>
      <c r="D629" s="1786"/>
      <c r="E629" s="1787"/>
      <c r="F629" s="1787"/>
      <c r="G629" s="1809"/>
      <c r="H629" s="2114"/>
      <c r="I629" s="1787"/>
      <c r="J629" s="1869"/>
      <c r="K629" s="1651"/>
      <c r="L629" s="1651"/>
      <c r="M629" s="1651"/>
      <c r="N629" s="1651"/>
      <c r="O629" s="1651"/>
      <c r="P629" s="1651"/>
      <c r="Q629" s="1700"/>
      <c r="R629" s="1700"/>
    </row>
    <row customHeight="true" ht="23.214285714285715" r="630">
      <c r="A630" s="2097" t="s">
        <v>1827</v>
      </c>
      <c r="B630" s="1693">
        <v>46281</v>
      </c>
      <c r="C630" s="1692" t="str">
        <v>Wednesday</v>
      </c>
      <c r="D630" s="1694" t="s">
        <v>1835</v>
      </c>
      <c r="E630" s="1675">
        <f>24*MOD(TIMEVALUE(TRIM(MID(D630,FIND("-",D630)+1,LEN(D630)))) - TIMEVALUE(TRIM(LEFT(D630,FIND("-",D630)-1))),1)</f>
      </c>
      <c r="F630" s="1698" t="s">
        <v>1761</v>
      </c>
      <c r="G630" s="1696" t="s">
        <v>1836</v>
      </c>
      <c r="H630" s="2099"/>
      <c r="I630" s="1695" t="s">
        <v>1446</v>
      </c>
      <c r="J630" s="1698"/>
      <c r="K630" s="1871"/>
      <c r="L630" s="1871"/>
      <c r="M630" s="1871"/>
      <c r="N630" s="1871"/>
      <c r="O630" s="1871"/>
      <c r="P630" s="1871"/>
      <c r="Q630" s="1872"/>
      <c r="R630" s="1872"/>
    </row>
    <row customHeight="true" ht="16.071428571428573" r="631">
      <c r="A631" s="2050"/>
      <c r="B631" s="1785"/>
      <c r="C631" s="1785"/>
      <c r="D631" s="1787"/>
      <c r="E631" s="1787"/>
      <c r="F631" s="1787"/>
      <c r="G631" s="1916"/>
      <c r="H631" s="1787"/>
      <c r="I631" s="1787"/>
      <c r="J631" s="1869"/>
      <c r="K631" s="1651"/>
      <c r="L631" s="1651"/>
      <c r="M631" s="1651"/>
      <c r="N631" s="1651"/>
      <c r="O631" s="1651"/>
      <c r="P631" s="1651"/>
    </row>
    <row r="632">
      <c r="A632" s="2115" t="s">
        <v>1837</v>
      </c>
      <c r="B632" s="2115"/>
      <c r="C632" s="2115"/>
      <c r="D632" s="2115"/>
      <c r="E632" s="2115"/>
      <c r="F632" s="2115"/>
      <c r="G632" s="2115"/>
      <c r="H632" s="2115"/>
      <c r="I632" s="2115"/>
      <c r="J632" s="2116"/>
      <c r="K632" s="1683"/>
      <c r="L632" s="1683"/>
      <c r="M632" s="1683"/>
      <c r="N632" s="1683"/>
      <c r="O632" s="1683"/>
      <c r="P632" s="1683"/>
    </row>
    <row r="633">
      <c r="A633" s="2117" t="s">
        <v>1457</v>
      </c>
      <c r="B633" s="2118" t="s">
        <v>1458</v>
      </c>
      <c r="C633" s="2118"/>
      <c r="D633" s="2119" t="s">
        <v>1459</v>
      </c>
      <c r="E633" s="2119" t="s">
        <v>1460</v>
      </c>
      <c r="F633" s="2119" t="s">
        <v>1461</v>
      </c>
      <c r="G633" s="2120" t="s">
        <v>1473</v>
      </c>
      <c r="H633" s="2119" t="s">
        <v>1463</v>
      </c>
      <c r="I633" s="2119" t="s">
        <v>1464</v>
      </c>
      <c r="J633" s="2121" t="s">
        <v>1465</v>
      </c>
      <c r="K633" s="1746" t="s">
        <v>1838</v>
      </c>
      <c r="L633" s="1669"/>
      <c r="M633" s="1669"/>
      <c r="N633" s="1669"/>
      <c r="O633" s="1669"/>
      <c r="P633" s="1669"/>
    </row>
    <row customHeight="true" ht="18.452380952380953" r="634">
      <c r="A634" s="1670" t="s">
        <v>1839</v>
      </c>
      <c r="B634" s="1644">
        <v>46280</v>
      </c>
      <c r="C634" s="1670" t="str">
        <v>Tuesday</v>
      </c>
      <c r="D634" s="1677" t="s">
        <v>1695</v>
      </c>
      <c r="E634" s="1649">
        <f t="shared" ref="E634:E657" si="115">24*MOD(TIMEVALUE(TRIM(MID(D634,FIND("-",D634)+1,LEN(D634)))) - TIMEVALUE(TRIM(LEFT(D634,FIND("-",D634)-1))),1)</f>
      </c>
      <c r="F634" s="1787" t="s">
        <v>1627</v>
      </c>
      <c r="G634" s="1791"/>
      <c r="H634" s="1649" t="s">
        <v>1445</v>
      </c>
      <c r="I634" s="1649" t="s">
        <v>1446</v>
      </c>
      <c r="J634" s="1673"/>
      <c r="K634" s="1807" t="s">
        <v>1840</v>
      </c>
      <c r="L634" s="1651"/>
      <c r="M634" s="1651"/>
      <c r="N634" s="1651"/>
      <c r="O634" s="1651"/>
      <c r="P634" s="1651"/>
    </row>
    <row customHeight="true" ht="18.452380952380953" r="635">
      <c r="A635" s="1975" t="s">
        <v>1841</v>
      </c>
      <c r="B635" s="1976">
        <v>46280</v>
      </c>
      <c r="C635" s="1975" t="str">
        <v>Tuesday</v>
      </c>
      <c r="D635" s="2006" t="s">
        <v>1842</v>
      </c>
      <c r="E635" s="1978">
        <f t="shared" si="115"/>
      </c>
      <c r="F635" s="1978" t="s">
        <v>1843</v>
      </c>
      <c r="G635" s="1979" t="s">
        <v>1844</v>
      </c>
      <c r="H635" s="1978" t="s">
        <v>1445</v>
      </c>
      <c r="I635" s="1978"/>
      <c r="J635" s="2122"/>
      <c r="K635" s="1807" t="s">
        <v>1840</v>
      </c>
      <c r="L635" s="1651"/>
      <c r="M635" s="1651"/>
      <c r="N635" s="1651"/>
      <c r="O635" s="1651"/>
      <c r="P635" s="1651"/>
    </row>
    <row r="636">
      <c r="A636" s="1975" t="s">
        <v>1845</v>
      </c>
      <c r="B636" s="1976">
        <v>46280</v>
      </c>
      <c r="C636" s="1975" t="str">
        <v>Tuesday</v>
      </c>
      <c r="D636" s="2006" t="s">
        <v>1846</v>
      </c>
      <c r="E636" s="1978">
        <f t="shared" si="115"/>
      </c>
      <c r="F636" s="1982" t="s">
        <v>1847</v>
      </c>
      <c r="G636" s="1979" t="s">
        <v>1848</v>
      </c>
      <c r="H636" s="1978" t="s">
        <v>1445</v>
      </c>
      <c r="I636" s="1978" t="s">
        <v>1446</v>
      </c>
      <c r="J636" s="2122"/>
      <c r="K636" s="1807" t="s">
        <v>1840</v>
      </c>
      <c r="L636" s="1651"/>
      <c r="M636" s="1651"/>
      <c r="N636" s="1651"/>
      <c r="O636" s="1651"/>
      <c r="P636" s="1651"/>
    </row>
    <row customHeight="true" ht="18.452380952380953" r="637">
      <c r="A637" s="1785" t="s">
        <v>1839</v>
      </c>
      <c r="B637" s="1790">
        <v>46281</v>
      </c>
      <c r="C637" s="1785" t="str">
        <v>Wednesday</v>
      </c>
      <c r="D637" s="1786" t="s">
        <v>1650</v>
      </c>
      <c r="E637" s="1787">
        <f t="shared" si="115"/>
      </c>
      <c r="F637" s="1787" t="s">
        <v>1573</v>
      </c>
      <c r="G637" s="1809"/>
      <c r="H637" s="1787" t="s">
        <v>1445</v>
      </c>
      <c r="I637" s="1787" t="s">
        <v>1446</v>
      </c>
      <c r="J637" s="1869"/>
      <c r="K637" s="1807" t="s">
        <v>1840</v>
      </c>
      <c r="L637" s="1651"/>
      <c r="M637" s="1651"/>
      <c r="N637" s="1651"/>
      <c r="O637" s="1651"/>
      <c r="P637" s="1651"/>
    </row>
    <row customHeight="true" ht="18.452380952380953" r="638">
      <c r="A638" s="1785" t="s">
        <v>1839</v>
      </c>
      <c r="B638" s="1790">
        <v>46281</v>
      </c>
      <c r="C638" s="1785" t="str">
        <v>Wednesday</v>
      </c>
      <c r="D638" s="1786" t="s">
        <v>1486</v>
      </c>
      <c r="E638" s="1787">
        <f t="shared" si="115"/>
      </c>
      <c r="F638" s="1787" t="s">
        <v>1849</v>
      </c>
      <c r="G638" s="1809"/>
      <c r="H638" s="1787" t="s">
        <v>1445</v>
      </c>
      <c r="I638" s="1787" t="s">
        <v>1446</v>
      </c>
      <c r="J638" s="1869"/>
      <c r="K638" s="1807"/>
      <c r="L638" s="1651"/>
      <c r="M638" s="1651"/>
      <c r="N638" s="1651"/>
      <c r="O638" s="1651"/>
      <c r="P638" s="1651"/>
    </row>
    <row customHeight="true" ht="18.452380952380953" r="639">
      <c r="A639" s="1975" t="s">
        <v>1841</v>
      </c>
      <c r="B639" s="1976">
        <v>46281</v>
      </c>
      <c r="C639" s="1975" t="str">
        <v>Wednesday</v>
      </c>
      <c r="D639" s="2006" t="s">
        <v>1850</v>
      </c>
      <c r="E639" s="1978">
        <f t="shared" si="115"/>
      </c>
      <c r="F639" s="1978" t="s">
        <v>1843</v>
      </c>
      <c r="G639" s="1979" t="s">
        <v>1844</v>
      </c>
      <c r="H639" s="1982" t="s">
        <v>1445</v>
      </c>
      <c r="I639" s="1982" t="s">
        <v>1446</v>
      </c>
      <c r="J639" s="2123"/>
      <c r="K639" s="1807" t="s">
        <v>1840</v>
      </c>
      <c r="L639" s="1651"/>
      <c r="M639" s="1651"/>
      <c r="N639" s="1651"/>
      <c r="O639" s="1651"/>
      <c r="P639" s="1651"/>
    </row>
    <row customHeight="true" ht="18.452380952380953" r="640">
      <c r="A640" s="1785" t="s">
        <v>1839</v>
      </c>
      <c r="B640" s="1790">
        <v>46282</v>
      </c>
      <c r="C640" s="1785" t="str">
        <v>Thursday</v>
      </c>
      <c r="D640" s="1786" t="s">
        <v>1675</v>
      </c>
      <c r="E640" s="1787">
        <f t="shared" si="115"/>
      </c>
      <c r="F640" s="1787" t="s">
        <v>1851</v>
      </c>
      <c r="G640" s="1809"/>
      <c r="H640" s="1787" t="s">
        <v>1445</v>
      </c>
      <c r="I640" s="1787" t="s">
        <v>1446</v>
      </c>
      <c r="J640" s="1869"/>
      <c r="K640" s="1807" t="s">
        <v>1840</v>
      </c>
      <c r="L640" s="1651"/>
      <c r="M640" s="1651"/>
      <c r="N640" s="1651"/>
      <c r="O640" s="1651"/>
      <c r="P640" s="1651"/>
    </row>
    <row customHeight="true" ht="18.452380952380953" r="641">
      <c r="A641" s="1785" t="s">
        <v>1839</v>
      </c>
      <c r="B641" s="1790">
        <v>46282</v>
      </c>
      <c r="C641" s="1785" t="str">
        <v>Thursday</v>
      </c>
      <c r="D641" s="1786" t="s">
        <v>1554</v>
      </c>
      <c r="E641" s="1787">
        <f t="shared" si="115"/>
      </c>
      <c r="F641" s="1675" t="s">
        <v>1849</v>
      </c>
      <c r="G641" s="1689" t="s">
        <v>1852</v>
      </c>
      <c r="H641" s="1787" t="s">
        <v>1445</v>
      </c>
      <c r="I641" s="1787" t="s">
        <v>1446</v>
      </c>
      <c r="J641" s="1869"/>
      <c r="K641" s="1807" t="s">
        <v>1840</v>
      </c>
      <c r="L641" s="1651"/>
      <c r="M641" s="1651"/>
      <c r="N641" s="1651"/>
      <c r="O641" s="1651"/>
      <c r="P641" s="1651"/>
    </row>
    <row r="642">
      <c r="A642" s="1975" t="s">
        <v>1841</v>
      </c>
      <c r="B642" s="1976">
        <v>46282</v>
      </c>
      <c r="C642" s="1975" t="str">
        <v>Thursday</v>
      </c>
      <c r="D642" s="2006" t="s">
        <v>1853</v>
      </c>
      <c r="E642" s="1978">
        <f t="shared" si="115"/>
      </c>
      <c r="F642" s="1978" t="s">
        <v>1843</v>
      </c>
      <c r="G642" s="1979" t="s">
        <v>1854</v>
      </c>
      <c r="H642" s="1978" t="s">
        <v>1445</v>
      </c>
      <c r="I642" s="1978" t="s">
        <v>1446</v>
      </c>
      <c r="J642" s="2123"/>
      <c r="K642" s="1807" t="s">
        <v>1840</v>
      </c>
      <c r="L642" s="1807"/>
      <c r="M642" s="1807"/>
      <c r="N642" s="1807"/>
      <c r="O642" s="1807"/>
      <c r="P642" s="1807"/>
    </row>
    <row customHeight="true" ht="18.452380952380953" r="643">
      <c r="A643" s="1975" t="s">
        <v>1841</v>
      </c>
      <c r="B643" s="1976">
        <v>46282</v>
      </c>
      <c r="C643" s="1975" t="str">
        <v>Thursday</v>
      </c>
      <c r="D643" s="2006" t="s">
        <v>1855</v>
      </c>
      <c r="E643" s="1978">
        <f t="shared" si="115"/>
      </c>
      <c r="F643" s="1978"/>
      <c r="G643" s="1979" t="s">
        <v>1856</v>
      </c>
      <c r="H643" s="1978" t="s">
        <v>1445</v>
      </c>
      <c r="I643" s="1978" t="s">
        <v>1446</v>
      </c>
      <c r="J643" s="2123"/>
      <c r="K643" s="1807" t="s">
        <v>1840</v>
      </c>
      <c r="L643" s="1807"/>
      <c r="M643" s="1807"/>
      <c r="N643" s="1807"/>
      <c r="O643" s="1807"/>
      <c r="P643" s="1807"/>
    </row>
    <row customHeight="true" ht="18.452380952380953" r="644">
      <c r="A644" s="1975" t="s">
        <v>1841</v>
      </c>
      <c r="B644" s="1976">
        <v>46282</v>
      </c>
      <c r="C644" s="1975" t="str">
        <v>Thursday</v>
      </c>
      <c r="D644" s="2006" t="s">
        <v>1857</v>
      </c>
      <c r="E644" s="1978">
        <f t="shared" si="115"/>
      </c>
      <c r="F644" s="1978" t="s">
        <v>1843</v>
      </c>
      <c r="G644" s="1979" t="s">
        <v>1858</v>
      </c>
      <c r="H644" s="1978" t="s">
        <v>1445</v>
      </c>
      <c r="I644" s="1978" t="s">
        <v>1446</v>
      </c>
      <c r="J644" s="2123"/>
      <c r="K644" s="1807" t="s">
        <v>1840</v>
      </c>
      <c r="L644" s="1807"/>
      <c r="M644" s="1807"/>
      <c r="N644" s="1807"/>
      <c r="O644" s="1807"/>
      <c r="P644" s="1807"/>
    </row>
    <row customHeight="true" ht="18.452380952380953" r="645">
      <c r="A645" s="1785" t="s">
        <v>1839</v>
      </c>
      <c r="B645" s="1790">
        <v>46283</v>
      </c>
      <c r="C645" s="1785" t="str">
        <v>Friday</v>
      </c>
      <c r="D645" s="1786" t="s">
        <v>1859</v>
      </c>
      <c r="E645" s="1787">
        <f t="shared" si="115"/>
      </c>
      <c r="F645" s="1787" t="s">
        <v>1851</v>
      </c>
      <c r="G645" s="1809"/>
      <c r="H645" s="1787" t="s">
        <v>1445</v>
      </c>
      <c r="I645" s="1787" t="s">
        <v>1446</v>
      </c>
      <c r="J645" s="1869"/>
      <c r="K645" s="1807" t="s">
        <v>1840</v>
      </c>
      <c r="L645" s="1651"/>
      <c r="M645" s="1651"/>
      <c r="N645" s="1651"/>
      <c r="O645" s="1651"/>
      <c r="P645" s="1651"/>
    </row>
    <row customHeight="true" ht="18.452380952380953" r="646">
      <c r="A646" s="1785" t="s">
        <v>1839</v>
      </c>
      <c r="B646" s="1790">
        <v>46283</v>
      </c>
      <c r="C646" s="1785" t="str">
        <v>Friday</v>
      </c>
      <c r="D646" s="1786" t="s">
        <v>1860</v>
      </c>
      <c r="E646" s="1787">
        <f t="shared" si="115"/>
      </c>
      <c r="F646" s="1675" t="s">
        <v>1849</v>
      </c>
      <c r="G646" s="1689"/>
      <c r="H646" s="1787" t="s">
        <v>1445</v>
      </c>
      <c r="I646" s="1787" t="s">
        <v>1446</v>
      </c>
      <c r="J646" s="1869"/>
      <c r="K646" s="1807" t="s">
        <v>1840</v>
      </c>
      <c r="L646" s="1651"/>
      <c r="M646" s="1651"/>
      <c r="N646" s="1651"/>
      <c r="O646" s="1651"/>
      <c r="P646" s="1651"/>
    </row>
    <row r="647">
      <c r="A647" s="1975" t="s">
        <v>1841</v>
      </c>
      <c r="B647" s="1976">
        <v>46283</v>
      </c>
      <c r="C647" s="1975" t="str">
        <v>Friday</v>
      </c>
      <c r="D647" s="2006" t="s">
        <v>1861</v>
      </c>
      <c r="E647" s="1978">
        <f t="shared" si="115"/>
      </c>
      <c r="F647" s="1978" t="s">
        <v>1843</v>
      </c>
      <c r="G647" s="1979" t="s">
        <v>1854</v>
      </c>
      <c r="H647" s="1978" t="s">
        <v>1445</v>
      </c>
      <c r="I647" s="1978" t="s">
        <v>1446</v>
      </c>
      <c r="J647" s="2122"/>
      <c r="K647" s="1807" t="s">
        <v>1840</v>
      </c>
      <c r="L647" s="1651"/>
      <c r="M647" s="1651"/>
      <c r="N647" s="1651"/>
      <c r="O647" s="1651"/>
      <c r="P647" s="1651"/>
    </row>
    <row r="648">
      <c r="A648" s="1975" t="s">
        <v>1841</v>
      </c>
      <c r="B648" s="1976">
        <v>46283</v>
      </c>
      <c r="C648" s="1975" t="str">
        <v>Friday</v>
      </c>
      <c r="D648" s="2006" t="s">
        <v>1862</v>
      </c>
      <c r="E648" s="1978">
        <f t="shared" si="115"/>
      </c>
      <c r="F648" s="1978" t="s">
        <v>1847</v>
      </c>
      <c r="G648" s="1979" t="s">
        <v>1863</v>
      </c>
      <c r="H648" s="1978" t="s">
        <v>1445</v>
      </c>
      <c r="I648" s="1978" t="s">
        <v>1446</v>
      </c>
      <c r="J648" s="2122"/>
      <c r="K648" s="1807" t="s">
        <v>1840</v>
      </c>
      <c r="L648" s="1651"/>
      <c r="M648" s="1651"/>
      <c r="N648" s="1651"/>
      <c r="O648" s="1651"/>
      <c r="P648" s="1651"/>
    </row>
    <row customHeight="true" ht="18.452380952380953" r="649">
      <c r="A649" s="1975" t="s">
        <v>1841</v>
      </c>
      <c r="B649" s="1976">
        <v>46283</v>
      </c>
      <c r="C649" s="1975" t="str">
        <v>Friday</v>
      </c>
      <c r="D649" s="2006" t="s">
        <v>1489</v>
      </c>
      <c r="E649" s="1978">
        <f t="shared" si="115"/>
      </c>
      <c r="F649" s="1978"/>
      <c r="G649" s="1979" t="s">
        <v>1864</v>
      </c>
      <c r="H649" s="1978" t="s">
        <v>1445</v>
      </c>
      <c r="I649" s="1978" t="s">
        <v>1446</v>
      </c>
      <c r="J649" s="2122"/>
      <c r="K649" s="1807" t="s">
        <v>1840</v>
      </c>
      <c r="L649" s="1651"/>
      <c r="M649" s="1651"/>
      <c r="N649" s="1651"/>
      <c r="O649" s="1651"/>
      <c r="P649" s="1651"/>
    </row>
    <row customHeight="true" ht="18.452380952380953" r="650">
      <c r="A650" s="1670" t="s">
        <v>1839</v>
      </c>
      <c r="B650" s="1644">
        <v>46284</v>
      </c>
      <c r="C650" s="1670" t="str">
        <v>Saturday</v>
      </c>
      <c r="D650" s="1786" t="s">
        <v>1865</v>
      </c>
      <c r="E650" s="1787">
        <f t="shared" si="115"/>
      </c>
      <c r="F650" s="1787" t="s">
        <v>1851</v>
      </c>
      <c r="G650" s="1809"/>
      <c r="H650" s="1649" t="s">
        <v>1445</v>
      </c>
      <c r="I650" s="1649" t="s">
        <v>1446</v>
      </c>
      <c r="J650" s="2124" t="s">
        <v>1866</v>
      </c>
      <c r="K650" s="1807" t="s">
        <v>1840</v>
      </c>
      <c r="L650" s="1651"/>
      <c r="M650" s="1651"/>
      <c r="N650" s="1651"/>
      <c r="O650" s="1651"/>
      <c r="P650" s="1651"/>
    </row>
    <row customHeight="true" ht="18.452380952380953" r="651">
      <c r="A651" s="1670" t="s">
        <v>1839</v>
      </c>
      <c r="B651" s="1644">
        <v>46284</v>
      </c>
      <c r="C651" s="1670" t="str">
        <v>Saturday</v>
      </c>
      <c r="D651" s="1786" t="s">
        <v>1867</v>
      </c>
      <c r="E651" s="1787">
        <f t="shared" si="115"/>
      </c>
      <c r="F651" s="1675" t="s">
        <v>1849</v>
      </c>
      <c r="G651" s="1679"/>
      <c r="H651" s="1649" t="s">
        <v>1445</v>
      </c>
      <c r="I651" s="1649" t="s">
        <v>1446</v>
      </c>
      <c r="J651" s="2124" t="s">
        <v>1868</v>
      </c>
      <c r="K651" s="1807" t="s">
        <v>1840</v>
      </c>
      <c r="L651" s="1651"/>
      <c r="M651" s="1651"/>
      <c r="N651" s="1651"/>
      <c r="O651" s="1651"/>
      <c r="P651" s="1651"/>
    </row>
    <row r="652">
      <c r="A652" s="1975" t="s">
        <v>1841</v>
      </c>
      <c r="B652" s="2018">
        <v>46284</v>
      </c>
      <c r="C652" s="1975" t="str">
        <v>Saturday</v>
      </c>
      <c r="D652" s="2006" t="s">
        <v>1869</v>
      </c>
      <c r="E652" s="1978">
        <f t="shared" si="115"/>
      </c>
      <c r="F652" s="1982" t="s">
        <v>1847</v>
      </c>
      <c r="G652" s="1979" t="s">
        <v>1870</v>
      </c>
      <c r="H652" s="1978" t="s">
        <v>1445</v>
      </c>
      <c r="I652" s="1978" t="s">
        <v>1446</v>
      </c>
      <c r="J652" s="2122"/>
      <c r="K652" s="1807" t="s">
        <v>1840</v>
      </c>
      <c r="L652" s="1651"/>
      <c r="M652" s="1651"/>
      <c r="N652" s="1651"/>
      <c r="O652" s="1651"/>
      <c r="P652" s="1651"/>
    </row>
    <row customHeight="true" ht="18.452380952380953" r="653">
      <c r="A653" s="1975" t="s">
        <v>1841</v>
      </c>
      <c r="B653" s="2018">
        <v>46284</v>
      </c>
      <c r="C653" s="1975" t="str">
        <v>Saturday</v>
      </c>
      <c r="D653" s="2006" t="s">
        <v>1871</v>
      </c>
      <c r="E653" s="1978">
        <f t="shared" si="115"/>
      </c>
      <c r="F653" s="1982"/>
      <c r="G653" s="1979" t="s">
        <v>1872</v>
      </c>
      <c r="H653" s="1978" t="s">
        <v>1445</v>
      </c>
      <c r="I653" s="1978" t="s">
        <v>1446</v>
      </c>
      <c r="J653" s="2122"/>
      <c r="K653" s="1807" t="s">
        <v>1840</v>
      </c>
      <c r="L653" s="1651"/>
      <c r="M653" s="1651"/>
      <c r="N653" s="1651"/>
      <c r="O653" s="1651"/>
      <c r="P653" s="1651"/>
    </row>
    <row customHeight="true" ht="18.452380952380953" r="654">
      <c r="A654" s="1670" t="s">
        <v>1839</v>
      </c>
      <c r="B654" s="1644">
        <v>46285</v>
      </c>
      <c r="C654" s="1670" t="str">
        <v>Sunday</v>
      </c>
      <c r="D654" s="1786" t="s">
        <v>1650</v>
      </c>
      <c r="E654" s="1787">
        <f t="shared" si="115"/>
      </c>
      <c r="F654" s="1787" t="s">
        <v>1851</v>
      </c>
      <c r="G654" s="1809"/>
      <c r="H654" s="1649" t="s">
        <v>1445</v>
      </c>
      <c r="I654" s="1649" t="s">
        <v>1446</v>
      </c>
      <c r="J654" s="1673"/>
      <c r="K654" s="1807" t="s">
        <v>1840</v>
      </c>
      <c r="L654" s="1651"/>
      <c r="M654" s="1651"/>
      <c r="N654" s="1651"/>
      <c r="O654" s="1651"/>
      <c r="P654" s="1651"/>
    </row>
    <row customHeight="true" ht="18.452380952380953" r="655">
      <c r="A655" s="1670" t="s">
        <v>1839</v>
      </c>
      <c r="B655" s="1644">
        <v>46285</v>
      </c>
      <c r="C655" s="1670" t="str">
        <v>Sunday</v>
      </c>
      <c r="D655" s="1786" t="s">
        <v>1554</v>
      </c>
      <c r="E655" s="1787">
        <f t="shared" si="115"/>
      </c>
      <c r="F655" s="1675" t="s">
        <v>1849</v>
      </c>
      <c r="G655" s="1689"/>
      <c r="H655" s="1649" t="s">
        <v>1445</v>
      </c>
      <c r="I655" s="1649" t="s">
        <v>1446</v>
      </c>
      <c r="J655" s="1673"/>
      <c r="K655" s="1807" t="s">
        <v>1840</v>
      </c>
      <c r="L655" s="1651"/>
      <c r="M655" s="1651"/>
      <c r="N655" s="1651"/>
      <c r="O655" s="1651"/>
      <c r="P655" s="1651"/>
    </row>
    <row r="656">
      <c r="A656" s="1897" t="s">
        <v>1841</v>
      </c>
      <c r="B656" s="1898">
        <v>46285</v>
      </c>
      <c r="C656" s="1897" t="str">
        <v>Sunday</v>
      </c>
      <c r="D656" s="1899" t="s">
        <v>1869</v>
      </c>
      <c r="E656" s="1747">
        <f t="shared" si="115"/>
      </c>
      <c r="F656" s="1747" t="s">
        <v>1847</v>
      </c>
      <c r="G656" s="1901" t="s">
        <v>1873</v>
      </c>
      <c r="H656" s="1747" t="s">
        <v>1445</v>
      </c>
      <c r="I656" s="1747" t="s">
        <v>1446</v>
      </c>
      <c r="J656" s="2125" t="s">
        <v>1874</v>
      </c>
      <c r="K656" s="1807" t="s">
        <v>1840</v>
      </c>
      <c r="L656" s="1651"/>
      <c r="M656" s="1651"/>
      <c r="N656" s="1651"/>
      <c r="O656" s="1651"/>
      <c r="P656" s="1651"/>
      <c r="Q656" s="1700"/>
      <c r="R656" s="1700"/>
    </row>
    <row r="657">
      <c r="A657" s="1975" t="s">
        <v>1841</v>
      </c>
      <c r="B657" s="2018">
        <v>46285</v>
      </c>
      <c r="C657" s="1975" t="str">
        <v>Sunday</v>
      </c>
      <c r="D657" s="2006" t="s">
        <v>1875</v>
      </c>
      <c r="E657" s="1978">
        <f t="shared" si="115"/>
      </c>
      <c r="F657" s="1982"/>
      <c r="G657" s="1979" t="s">
        <v>1876</v>
      </c>
      <c r="H657" s="1978" t="s">
        <v>1445</v>
      </c>
      <c r="I657" s="1978" t="s">
        <v>1446</v>
      </c>
      <c r="J657" s="2122"/>
      <c r="K657" s="1807" t="s">
        <v>1840</v>
      </c>
      <c r="L657" s="1651"/>
      <c r="M657" s="1651"/>
      <c r="N657" s="1651"/>
      <c r="O657" s="1651"/>
      <c r="P657" s="1651"/>
    </row>
    <row customHeight="true" ht="16.071428571428573" r="658">
      <c r="A658" s="1670"/>
      <c r="B658" s="1670"/>
      <c r="C658" s="1670"/>
      <c r="D658" s="1649"/>
      <c r="E658" s="1649"/>
      <c r="F658" s="1675"/>
      <c r="G658" s="1791"/>
      <c r="H658" s="1675"/>
      <c r="I658" s="1649"/>
      <c r="J658" s="1650"/>
      <c r="K658" s="1651"/>
      <c r="L658" s="1651"/>
      <c r="M658" s="1651"/>
      <c r="N658" s="1651"/>
      <c r="O658" s="1651"/>
      <c r="P658" s="1651"/>
    </row>
    <row r="659">
      <c r="A659" s="2126" t="s">
        <v>1877</v>
      </c>
      <c r="B659" s="2127"/>
      <c r="C659" s="2127"/>
      <c r="D659" s="2127"/>
      <c r="E659" s="2127"/>
      <c r="F659" s="2127"/>
      <c r="G659" s="2127"/>
      <c r="H659" s="2127"/>
      <c r="I659" s="2127"/>
      <c r="J659" s="2128"/>
      <c r="K659" s="2129" t="s">
        <v>1838</v>
      </c>
      <c r="L659" s="2130"/>
      <c r="M659" s="2130"/>
      <c r="N659" s="2130"/>
      <c r="O659" s="2130"/>
      <c r="P659" s="2130"/>
    </row>
    <row r="660">
      <c r="A660" s="2131" t="s">
        <v>1457</v>
      </c>
      <c r="B660" s="2132" t="s">
        <v>1458</v>
      </c>
      <c r="C660" s="2132"/>
      <c r="D660" s="2133" t="s">
        <v>1459</v>
      </c>
      <c r="E660" s="2133" t="s">
        <v>1460</v>
      </c>
      <c r="F660" s="2133" t="s">
        <v>1461</v>
      </c>
      <c r="G660" s="2134" t="s">
        <v>1473</v>
      </c>
      <c r="H660" s="2133" t="s">
        <v>1463</v>
      </c>
      <c r="I660" s="2135" t="s">
        <v>1878</v>
      </c>
      <c r="J660" s="2136" t="s">
        <v>1465</v>
      </c>
      <c r="K660" s="1746" t="s">
        <v>1838</v>
      </c>
      <c r="L660" s="1669"/>
      <c r="M660" s="1669"/>
      <c r="N660" s="1669"/>
      <c r="O660" s="1669"/>
      <c r="P660" s="1669"/>
    </row>
    <row customHeight="true" ht="17.857142857142858" r="661">
      <c r="A661" s="2137" t="s">
        <v>1877</v>
      </c>
      <c r="B661" s="1898">
        <v>46280</v>
      </c>
      <c r="C661" s="1897" t="str">
        <v>Tuesday</v>
      </c>
      <c r="D661" s="1899" t="s">
        <v>1486</v>
      </c>
      <c r="E661" s="1747">
        <f t="shared" ref="E661:E684" si="116">24*MOD(TIMEVALUE(TRIM(MID(D661,FIND("-",D661)+1,LEN(D661)))) - TIMEVALUE(TRIM(LEFT(D661,FIND("-",D661)-1))),1)</f>
      </c>
      <c r="F661" s="1747" t="s">
        <v>1879</v>
      </c>
      <c r="G661" s="1905"/>
      <c r="H661" s="1747" t="s">
        <v>1445</v>
      </c>
      <c r="I661" s="1734"/>
      <c r="J661" s="2125"/>
      <c r="K661" s="1807" t="s">
        <v>1880</v>
      </c>
      <c r="L661" s="1972"/>
      <c r="M661" s="1972"/>
      <c r="N661" s="1972"/>
      <c r="O661" s="1972"/>
      <c r="P661" s="1972"/>
      <c r="Q661" s="1700"/>
      <c r="R661" s="1700"/>
    </row>
    <row customHeight="true" ht="17.857142857142858" r="662">
      <c r="A662" s="2137" t="s">
        <v>1877</v>
      </c>
      <c r="B662" s="1898">
        <v>46280</v>
      </c>
      <c r="C662" s="1897" t="str">
        <v>Tuesday</v>
      </c>
      <c r="D662" s="1899" t="s">
        <v>1694</v>
      </c>
      <c r="E662" s="1747">
        <f t="shared" si="116"/>
      </c>
      <c r="F662" s="1900" t="s">
        <v>1755</v>
      </c>
      <c r="G662" s="1905"/>
      <c r="H662" s="1747" t="s">
        <v>1445</v>
      </c>
      <c r="I662" s="1734"/>
      <c r="J662" s="2125"/>
      <c r="K662" s="1807" t="s">
        <v>1880</v>
      </c>
      <c r="L662" s="1972"/>
      <c r="M662" s="1972"/>
      <c r="N662" s="1972"/>
      <c r="O662" s="1972"/>
      <c r="P662" s="1972"/>
      <c r="Q662" s="1700"/>
      <c r="R662" s="1700"/>
    </row>
    <row customHeight="true" ht="17.857142857142858" r="663">
      <c r="A663" s="2137" t="s">
        <v>1881</v>
      </c>
      <c r="B663" s="1898">
        <v>46280</v>
      </c>
      <c r="C663" s="1897" t="str">
        <v>Tuesday</v>
      </c>
      <c r="D663" s="1899" t="s">
        <v>1882</v>
      </c>
      <c r="E663" s="1747">
        <f t="shared" si="116"/>
      </c>
      <c r="F663" s="1747" t="s">
        <v>1883</v>
      </c>
      <c r="G663" s="1901" t="s">
        <v>1884</v>
      </c>
      <c r="H663" s="1747" t="s">
        <v>1445</v>
      </c>
      <c r="I663" s="2001"/>
      <c r="J663" s="2125"/>
      <c r="K663" s="1807" t="s">
        <v>1880</v>
      </c>
      <c r="L663" s="1972"/>
      <c r="M663" s="1972"/>
      <c r="N663" s="1972"/>
      <c r="O663" s="1972"/>
      <c r="P663" s="1972"/>
      <c r="Q663" s="1770"/>
      <c r="R663" s="1770"/>
    </row>
    <row customHeight="true" ht="17.857142857142858" r="664">
      <c r="A664" s="2137" t="s">
        <v>1881</v>
      </c>
      <c r="B664" s="1898">
        <v>46280</v>
      </c>
      <c r="C664" s="1897" t="str">
        <v>Tuesday</v>
      </c>
      <c r="D664" s="1899" t="s">
        <v>1885</v>
      </c>
      <c r="E664" s="1747">
        <f t="shared" si="116"/>
      </c>
      <c r="F664" s="1747" t="s">
        <v>1843</v>
      </c>
      <c r="G664" s="1901" t="s">
        <v>1858</v>
      </c>
      <c r="H664" s="1747" t="s">
        <v>1445</v>
      </c>
      <c r="I664" s="2001"/>
      <c r="J664" s="2125"/>
      <c r="K664" s="1807" t="s">
        <v>1880</v>
      </c>
      <c r="L664" s="1972"/>
      <c r="M664" s="1972"/>
      <c r="N664" s="1972"/>
      <c r="O664" s="1972"/>
      <c r="P664" s="1972"/>
      <c r="Q664" s="1770"/>
      <c r="R664" s="1770"/>
    </row>
    <row customHeight="true" ht="17.857142857142858" r="665">
      <c r="A665" s="2137" t="s">
        <v>1877</v>
      </c>
      <c r="B665" s="1898">
        <v>46281</v>
      </c>
      <c r="C665" s="1897" t="str">
        <v>Wednesday</v>
      </c>
      <c r="D665" s="1899" t="s">
        <v>1738</v>
      </c>
      <c r="E665" s="1747">
        <f t="shared" si="116"/>
      </c>
      <c r="F665" s="1900" t="s">
        <v>1755</v>
      </c>
      <c r="G665" s="1905"/>
      <c r="H665" s="1747" t="s">
        <v>1445</v>
      </c>
      <c r="I665" s="1734"/>
      <c r="J665" s="2125"/>
      <c r="K665" s="1807" t="s">
        <v>1880</v>
      </c>
      <c r="L665" s="1972"/>
      <c r="M665" s="1972"/>
      <c r="N665" s="1972"/>
      <c r="O665" s="1972"/>
      <c r="P665" s="1972"/>
      <c r="Q665" s="1700"/>
      <c r="R665" s="1700"/>
    </row>
    <row customHeight="true" ht="17.857142857142858" r="666">
      <c r="A666" s="2138" t="s">
        <v>1877</v>
      </c>
      <c r="B666" s="1644">
        <v>46281</v>
      </c>
      <c r="C666" s="1670" t="str">
        <v>Wednesday</v>
      </c>
      <c r="D666" s="1645" t="s">
        <v>1694</v>
      </c>
      <c r="E666" s="1675">
        <f t="shared" si="116"/>
      </c>
      <c r="F666" s="1675" t="s">
        <v>1849</v>
      </c>
      <c r="G666" s="1689" t="s">
        <v>1886</v>
      </c>
      <c r="H666" s="1787" t="s">
        <v>1445</v>
      </c>
      <c r="I666" s="1738" t="s">
        <v>1446</v>
      </c>
      <c r="J666" s="1974"/>
      <c r="K666" s="1807" t="s">
        <v>1880</v>
      </c>
      <c r="L666" s="1972"/>
      <c r="M666" s="1972"/>
      <c r="N666" s="1972"/>
      <c r="O666" s="1972"/>
      <c r="P666" s="1972"/>
      <c r="Q666" s="1700"/>
      <c r="R666" s="1700"/>
    </row>
    <row customHeight="true" ht="17.857142857142858" r="667">
      <c r="A667" s="2137" t="s">
        <v>1881</v>
      </c>
      <c r="B667" s="1898">
        <v>46281</v>
      </c>
      <c r="C667" s="1897" t="str">
        <v>Wednesday</v>
      </c>
      <c r="D667" s="1899" t="s">
        <v>1887</v>
      </c>
      <c r="E667" s="1747">
        <f t="shared" si="116"/>
      </c>
      <c r="F667" s="1747" t="s">
        <v>1883</v>
      </c>
      <c r="G667" s="1901"/>
      <c r="H667" s="1747" t="s">
        <v>1445</v>
      </c>
      <c r="I667" s="1734"/>
      <c r="J667" s="2139" t="s">
        <v>1888</v>
      </c>
      <c r="K667" s="1807" t="s">
        <v>1880</v>
      </c>
      <c r="L667" s="1972"/>
      <c r="M667" s="1972"/>
      <c r="N667" s="1972"/>
      <c r="O667" s="1972"/>
      <c r="P667" s="1972"/>
      <c r="Q667" s="1700"/>
      <c r="R667" s="1700"/>
    </row>
    <row customHeight="true" ht="17.857142857142858" r="668">
      <c r="A668" s="2137" t="s">
        <v>1877</v>
      </c>
      <c r="B668" s="1898">
        <v>46282</v>
      </c>
      <c r="C668" s="1897" t="str">
        <v>Thursday</v>
      </c>
      <c r="D668" s="1899" t="s">
        <v>1738</v>
      </c>
      <c r="E668" s="1747">
        <f t="shared" si="116"/>
      </c>
      <c r="F668" s="1900" t="s">
        <v>1889</v>
      </c>
      <c r="G668" s="2009"/>
      <c r="H668" s="1747" t="s">
        <v>1445</v>
      </c>
      <c r="I668" s="1747"/>
      <c r="J668" s="2125"/>
      <c r="K668" s="1807" t="s">
        <v>1880</v>
      </c>
      <c r="L668" s="1972"/>
      <c r="M668" s="1972"/>
      <c r="N668" s="1972"/>
      <c r="O668" s="1972"/>
      <c r="P668" s="1972"/>
      <c r="Q668" s="1700"/>
      <c r="R668" s="1700"/>
    </row>
    <row customHeight="true" ht="17.857142857142858" r="669">
      <c r="A669" s="2140" t="s">
        <v>1877</v>
      </c>
      <c r="B669" s="1644">
        <v>46282</v>
      </c>
      <c r="C669" s="1670" t="str">
        <v>Thursday</v>
      </c>
      <c r="D669" s="1645" t="s">
        <v>1659</v>
      </c>
      <c r="E669" s="1675">
        <f t="shared" si="116"/>
      </c>
      <c r="F669" s="1675" t="s">
        <v>1849</v>
      </c>
      <c r="G669" s="1953"/>
      <c r="H669" s="1649" t="s">
        <v>1445</v>
      </c>
      <c r="I669" s="1649" t="s">
        <v>1446</v>
      </c>
      <c r="J669" s="1974"/>
      <c r="K669" s="1807" t="s">
        <v>1880</v>
      </c>
      <c r="L669" s="1972"/>
      <c r="M669" s="1972"/>
      <c r="N669" s="1972"/>
      <c r="O669" s="1972"/>
      <c r="P669" s="1972"/>
      <c r="Q669" s="1700"/>
      <c r="R669" s="1700"/>
    </row>
    <row customHeight="true" ht="17.857142857142858" r="670">
      <c r="A670" s="2141" t="s">
        <v>1881</v>
      </c>
      <c r="B670" s="2142">
        <v>46282</v>
      </c>
      <c r="C670" s="2143" t="str">
        <v>Thursday</v>
      </c>
      <c r="D670" s="2144" t="s">
        <v>1890</v>
      </c>
      <c r="E670" s="2145">
        <f t="shared" si="116"/>
      </c>
      <c r="F670" s="2145" t="s">
        <v>1843</v>
      </c>
      <c r="G670" s="2146" t="s">
        <v>1891</v>
      </c>
      <c r="H670" s="2147" t="s">
        <v>1445</v>
      </c>
      <c r="I670" s="2148" t="s">
        <v>1446</v>
      </c>
      <c r="J670" s="2149"/>
      <c r="K670" s="1807" t="s">
        <v>1880</v>
      </c>
      <c r="L670" s="1972"/>
      <c r="M670" s="1972"/>
      <c r="N670" s="1972"/>
      <c r="O670" s="1972"/>
      <c r="P670" s="1972"/>
      <c r="Q670" s="1770"/>
      <c r="R670" s="1770"/>
    </row>
    <row customHeight="true" ht="17.857142857142858" r="671">
      <c r="A671" s="2137" t="s">
        <v>1877</v>
      </c>
      <c r="B671" s="1898">
        <v>46283</v>
      </c>
      <c r="C671" s="1897" t="str">
        <v>Friday</v>
      </c>
      <c r="D671" s="1899" t="s">
        <v>1738</v>
      </c>
      <c r="E671" s="1747">
        <f t="shared" si="116"/>
      </c>
      <c r="F671" s="1900" t="s">
        <v>1889</v>
      </c>
      <c r="G671" s="2009" t="s">
        <v>1892</v>
      </c>
      <c r="H671" s="1747" t="s">
        <v>1445</v>
      </c>
      <c r="I671" s="1747"/>
      <c r="J671" s="2125"/>
      <c r="K671" s="1807" t="s">
        <v>1880</v>
      </c>
      <c r="L671" s="1972"/>
      <c r="M671" s="1972"/>
      <c r="N671" s="1972"/>
      <c r="O671" s="1972"/>
      <c r="P671" s="1972"/>
      <c r="Q671" s="1700"/>
      <c r="R671" s="1700"/>
    </row>
    <row customHeight="true" ht="17.857142857142858" r="672">
      <c r="A672" s="2137" t="s">
        <v>1877</v>
      </c>
      <c r="B672" s="1898">
        <v>46283</v>
      </c>
      <c r="C672" s="1897" t="str">
        <v>Friday</v>
      </c>
      <c r="D672" s="1899" t="s">
        <v>1555</v>
      </c>
      <c r="E672" s="1747">
        <f t="shared" si="116"/>
      </c>
      <c r="F672" s="1747" t="s">
        <v>1849</v>
      </c>
      <c r="G672" s="2009" t="s">
        <v>1893</v>
      </c>
      <c r="H672" s="1747" t="s">
        <v>1445</v>
      </c>
      <c r="I672" s="1747"/>
      <c r="J672" s="2125"/>
      <c r="K672" s="1807" t="s">
        <v>1880</v>
      </c>
      <c r="L672" s="1972"/>
      <c r="M672" s="1972"/>
      <c r="N672" s="1972"/>
      <c r="O672" s="1972"/>
      <c r="P672" s="1972"/>
      <c r="Q672" s="1700"/>
      <c r="R672" s="1700"/>
    </row>
    <row r="673">
      <c r="A673" s="2137" t="s">
        <v>1881</v>
      </c>
      <c r="B673" s="1898">
        <v>46283</v>
      </c>
      <c r="C673" s="1897" t="str">
        <v>Friday</v>
      </c>
      <c r="D673" s="1747" t="s">
        <v>1894</v>
      </c>
      <c r="E673" s="1747">
        <f t="shared" si="116"/>
      </c>
      <c r="F673" s="1747" t="s">
        <v>1883</v>
      </c>
      <c r="G673" s="1901" t="s">
        <v>1891</v>
      </c>
      <c r="H673" s="1747" t="s">
        <v>1445</v>
      </c>
      <c r="I673" s="2001"/>
      <c r="J673" s="2125"/>
      <c r="K673" s="1807" t="s">
        <v>1880</v>
      </c>
      <c r="L673" s="1972"/>
      <c r="M673" s="1972"/>
      <c r="N673" s="1972"/>
      <c r="O673" s="1972"/>
      <c r="P673" s="1972"/>
      <c r="Q673" s="1770"/>
      <c r="R673" s="1770"/>
    </row>
    <row r="674">
      <c r="A674" s="2137" t="s">
        <v>1881</v>
      </c>
      <c r="B674" s="1898">
        <v>46283</v>
      </c>
      <c r="C674" s="1897" t="str">
        <v>Friday</v>
      </c>
      <c r="D674" s="1899" t="s">
        <v>1895</v>
      </c>
      <c r="E674" s="1747">
        <f t="shared" si="116"/>
      </c>
      <c r="F674" s="1747" t="s">
        <v>1883</v>
      </c>
      <c r="G674" s="1901" t="s">
        <v>1891</v>
      </c>
      <c r="H674" s="1747" t="s">
        <v>1445</v>
      </c>
      <c r="I674" s="2001"/>
      <c r="J674" s="2125"/>
      <c r="K674" s="1807" t="s">
        <v>1880</v>
      </c>
      <c r="L674" s="1972"/>
      <c r="M674" s="1972"/>
      <c r="N674" s="1972"/>
      <c r="O674" s="1972"/>
      <c r="P674" s="1972"/>
      <c r="Q674" s="1770"/>
      <c r="R674" s="1770"/>
    </row>
    <row customHeight="true" ht="17.857142857142858" r="675">
      <c r="A675" s="2137" t="s">
        <v>1877</v>
      </c>
      <c r="B675" s="1898">
        <v>46284</v>
      </c>
      <c r="C675" s="1897" t="str">
        <v>Saturday</v>
      </c>
      <c r="D675" s="1899" t="s">
        <v>1475</v>
      </c>
      <c r="E675" s="1747">
        <f t="shared" si="116"/>
      </c>
      <c r="F675" s="1747" t="s">
        <v>1879</v>
      </c>
      <c r="G675" s="1905"/>
      <c r="H675" s="1747" t="s">
        <v>1445</v>
      </c>
      <c r="I675" s="1734"/>
      <c r="J675" s="2125"/>
      <c r="K675" s="1807" t="s">
        <v>1880</v>
      </c>
      <c r="L675" s="1972"/>
      <c r="M675" s="1972"/>
      <c r="N675" s="1972"/>
      <c r="O675" s="1972"/>
      <c r="P675" s="1972"/>
      <c r="Q675" s="1700"/>
      <c r="R675" s="1700"/>
    </row>
    <row customHeight="true" ht="17.857142857142858" r="676">
      <c r="A676" s="2137" t="s">
        <v>1877</v>
      </c>
      <c r="B676" s="1898">
        <v>46284</v>
      </c>
      <c r="C676" s="1897" t="str">
        <v>Saturday</v>
      </c>
      <c r="D676" s="1899" t="s">
        <v>1659</v>
      </c>
      <c r="E676" s="1747">
        <f t="shared" si="116"/>
      </c>
      <c r="F676" s="1747" t="s">
        <v>1849</v>
      </c>
      <c r="G676" s="1905"/>
      <c r="H676" s="1747" t="s">
        <v>1445</v>
      </c>
      <c r="I676" s="1734"/>
      <c r="J676" s="2125"/>
      <c r="K676" s="1807" t="s">
        <v>1880</v>
      </c>
      <c r="L676" s="1972"/>
      <c r="M676" s="1972"/>
      <c r="N676" s="1972"/>
      <c r="O676" s="1972"/>
      <c r="P676" s="1972"/>
      <c r="Q676" s="1700"/>
      <c r="R676" s="1700"/>
    </row>
    <row r="677">
      <c r="A677" s="2137" t="s">
        <v>1881</v>
      </c>
      <c r="B677" s="1898">
        <v>46284</v>
      </c>
      <c r="C677" s="1897" t="str">
        <v>Saturday</v>
      </c>
      <c r="D677" s="1899" t="s">
        <v>1896</v>
      </c>
      <c r="E677" s="1747">
        <f t="shared" si="116"/>
      </c>
      <c r="F677" s="1747" t="s">
        <v>1883</v>
      </c>
      <c r="G677" s="1901" t="s">
        <v>1884</v>
      </c>
      <c r="H677" s="1747" t="s">
        <v>1445</v>
      </c>
      <c r="I677" s="2001"/>
      <c r="J677" s="2125"/>
      <c r="K677" s="1807" t="s">
        <v>1880</v>
      </c>
      <c r="L677" s="1972"/>
      <c r="M677" s="1972"/>
      <c r="N677" s="1972"/>
      <c r="O677" s="1972"/>
      <c r="P677" s="1972"/>
      <c r="Q677" s="1770"/>
      <c r="R677" s="1770"/>
    </row>
    <row customHeight="true" ht="18.452380952380953" r="678">
      <c r="A678" s="2137" t="s">
        <v>1881</v>
      </c>
      <c r="B678" s="1898">
        <v>46284</v>
      </c>
      <c r="C678" s="1897" t="str">
        <v>Saturday</v>
      </c>
      <c r="D678" s="1899" t="s">
        <v>1617</v>
      </c>
      <c r="E678" s="1747">
        <f t="shared" si="116"/>
      </c>
      <c r="F678" s="1747"/>
      <c r="G678" s="1901" t="s">
        <v>1897</v>
      </c>
      <c r="H678" s="1747" t="s">
        <v>1445</v>
      </c>
      <c r="I678" s="2001"/>
      <c r="J678" s="2125"/>
      <c r="K678" s="1807" t="s">
        <v>1880</v>
      </c>
      <c r="L678" s="1972"/>
      <c r="M678" s="1972"/>
      <c r="N678" s="1972"/>
      <c r="O678" s="1972"/>
      <c r="P678" s="1972"/>
      <c r="Q678" s="1770"/>
      <c r="R678" s="1770"/>
    </row>
    <row customHeight="true" ht="18.452380952380953" r="679">
      <c r="A679" s="2137" t="s">
        <v>1881</v>
      </c>
      <c r="B679" s="1898">
        <v>46284</v>
      </c>
      <c r="C679" s="1897" t="str">
        <v>Saturday</v>
      </c>
      <c r="D679" s="1899" t="s">
        <v>1890</v>
      </c>
      <c r="E679" s="1747">
        <f t="shared" si="116"/>
      </c>
      <c r="F679" s="1747" t="s">
        <v>1883</v>
      </c>
      <c r="G679" s="1901" t="s">
        <v>1858</v>
      </c>
      <c r="H679" s="1747" t="s">
        <v>1445</v>
      </c>
      <c r="I679" s="2001"/>
      <c r="J679" s="2125"/>
      <c r="K679" s="1807" t="s">
        <v>1880</v>
      </c>
      <c r="L679" s="1972"/>
      <c r="M679" s="1972"/>
      <c r="N679" s="1972"/>
      <c r="O679" s="1972"/>
      <c r="P679" s="1972"/>
      <c r="Q679" s="1770"/>
      <c r="R679" s="1770"/>
    </row>
    <row customHeight="true" ht="17.857142857142858" r="680">
      <c r="A680" s="2137" t="s">
        <v>1877</v>
      </c>
      <c r="B680" s="1898">
        <v>46285</v>
      </c>
      <c r="C680" s="1897" t="str">
        <v>Sunday</v>
      </c>
      <c r="D680" s="1899" t="s">
        <v>1499</v>
      </c>
      <c r="E680" s="1747">
        <f t="shared" si="116"/>
      </c>
      <c r="F680" s="1900" t="s">
        <v>1755</v>
      </c>
      <c r="G680" s="1901"/>
      <c r="H680" s="1747" t="s">
        <v>1445</v>
      </c>
      <c r="I680" s="1734"/>
      <c r="J680" s="2125"/>
      <c r="K680" s="1807" t="s">
        <v>1880</v>
      </c>
      <c r="L680" s="1972"/>
      <c r="M680" s="1972"/>
      <c r="N680" s="1972"/>
      <c r="O680" s="1972"/>
      <c r="P680" s="1972"/>
      <c r="Q680" s="1770"/>
      <c r="R680" s="1770"/>
    </row>
    <row customHeight="true" ht="17.857142857142858" r="681">
      <c r="A681" s="2137" t="s">
        <v>1877</v>
      </c>
      <c r="B681" s="1898">
        <v>46285</v>
      </c>
      <c r="C681" s="1897" t="str">
        <v>Sunday</v>
      </c>
      <c r="D681" s="1899" t="s">
        <v>1694</v>
      </c>
      <c r="E681" s="1747">
        <f t="shared" si="116"/>
      </c>
      <c r="F681" s="1747" t="s">
        <v>1849</v>
      </c>
      <c r="G681" s="1901"/>
      <c r="H681" s="1747" t="s">
        <v>1445</v>
      </c>
      <c r="I681" s="2001"/>
      <c r="J681" s="2125"/>
      <c r="K681" s="1807" t="s">
        <v>1880</v>
      </c>
      <c r="L681" s="1972"/>
      <c r="M681" s="1972"/>
      <c r="N681" s="1972"/>
      <c r="O681" s="1972"/>
      <c r="P681" s="1972"/>
      <c r="Q681" s="1770"/>
      <c r="R681" s="1770"/>
    </row>
    <row customHeight="true" ht="17.857142857142858" r="682">
      <c r="A682" s="2137" t="s">
        <v>1881</v>
      </c>
      <c r="B682" s="1898">
        <v>46285</v>
      </c>
      <c r="C682" s="1897" t="str">
        <v>Sunday</v>
      </c>
      <c r="D682" s="1899" t="s">
        <v>1898</v>
      </c>
      <c r="E682" s="1747">
        <f t="shared" si="116"/>
      </c>
      <c r="F682" s="1747" t="s">
        <v>1883</v>
      </c>
      <c r="G682" s="1901" t="s">
        <v>1884</v>
      </c>
      <c r="H682" s="1747" t="s">
        <v>1445</v>
      </c>
      <c r="I682" s="2001"/>
      <c r="J682" s="2125"/>
      <c r="K682" s="1807" t="s">
        <v>1880</v>
      </c>
      <c r="L682" s="1972"/>
      <c r="M682" s="1972"/>
      <c r="N682" s="1972"/>
      <c r="O682" s="1972"/>
      <c r="P682" s="1972"/>
      <c r="Q682" s="1770"/>
      <c r="R682" s="1770"/>
    </row>
    <row customHeight="true" ht="17.857142857142858" r="683">
      <c r="A683" s="2137" t="s">
        <v>1881</v>
      </c>
      <c r="B683" s="1898">
        <v>46285</v>
      </c>
      <c r="C683" s="1897" t="str">
        <v>Sunday</v>
      </c>
      <c r="D683" s="1899" t="s">
        <v>1899</v>
      </c>
      <c r="E683" s="1747">
        <f t="shared" si="116"/>
      </c>
      <c r="F683" s="1747"/>
      <c r="G683" s="1901" t="s">
        <v>1900</v>
      </c>
      <c r="H683" s="1747" t="s">
        <v>1445</v>
      </c>
      <c r="I683" s="2001"/>
      <c r="J683" s="2125"/>
      <c r="K683" s="1807" t="s">
        <v>1880</v>
      </c>
      <c r="L683" s="1972"/>
      <c r="M683" s="1972"/>
      <c r="N683" s="1972"/>
      <c r="O683" s="1972"/>
      <c r="P683" s="1972"/>
      <c r="Q683" s="1770"/>
      <c r="R683" s="1770"/>
    </row>
    <row customHeight="true" ht="17.857142857142858" r="684">
      <c r="A684" s="2137" t="s">
        <v>1881</v>
      </c>
      <c r="B684" s="1898">
        <v>46285</v>
      </c>
      <c r="C684" s="1897" t="str">
        <v>Sunday</v>
      </c>
      <c r="D684" s="1899" t="s">
        <v>1887</v>
      </c>
      <c r="E684" s="1747">
        <f t="shared" si="116"/>
      </c>
      <c r="F684" s="1747" t="s">
        <v>1883</v>
      </c>
      <c r="G684" s="1901" t="s">
        <v>1858</v>
      </c>
      <c r="H684" s="1747" t="s">
        <v>1445</v>
      </c>
      <c r="I684" s="2001"/>
      <c r="J684" s="2125"/>
      <c r="K684" s="1807" t="s">
        <v>1880</v>
      </c>
      <c r="L684" s="1972"/>
      <c r="M684" s="1972"/>
      <c r="N684" s="1972"/>
      <c r="O684" s="1972"/>
      <c r="P684" s="1972"/>
      <c r="Q684" s="1770"/>
      <c r="R684" s="1770"/>
    </row>
    <row r="685">
      <c r="A685" s="1670"/>
      <c r="B685" s="1649"/>
      <c r="C685" s="1649"/>
      <c r="D685" s="1673"/>
      <c r="E685" s="1649"/>
      <c r="F685" s="1649"/>
      <c r="G685" s="2025"/>
      <c r="H685" s="1649"/>
      <c r="I685" s="1649"/>
      <c r="J685" s="2024"/>
      <c r="K685" s="1651"/>
      <c r="L685" s="1651"/>
      <c r="M685" s="1651"/>
      <c r="N685" s="1651"/>
      <c r="O685" s="1651"/>
      <c r="P685" s="1651"/>
      <c r="Q685" s="1700"/>
      <c r="R685" s="1700"/>
    </row>
    <row r="686">
      <c r="A686" s="2150" t="s">
        <v>1901</v>
      </c>
      <c r="B686" s="2150"/>
      <c r="C686" s="2150"/>
      <c r="D686" s="2150"/>
      <c r="E686" s="2150"/>
      <c r="F686" s="2150"/>
      <c r="G686" s="2150"/>
      <c r="H686" s="2150"/>
      <c r="I686" s="2150"/>
      <c r="J686" s="2151"/>
      <c r="K686" s="1759"/>
      <c r="L686" s="1759"/>
      <c r="M686" s="1759"/>
      <c r="N686" s="1759"/>
      <c r="O686" s="1759"/>
      <c r="P686" s="1759"/>
      <c r="Q686" s="1700"/>
      <c r="R686" s="1700"/>
    </row>
    <row r="687">
      <c r="A687" s="2152" t="s">
        <v>1457</v>
      </c>
      <c r="B687" s="2153" t="s">
        <v>1458</v>
      </c>
      <c r="C687" s="2153"/>
      <c r="D687" s="2154" t="s">
        <v>1459</v>
      </c>
      <c r="E687" s="2154" t="s">
        <v>1460</v>
      </c>
      <c r="F687" s="2154" t="s">
        <v>1461</v>
      </c>
      <c r="G687" s="2155" t="s">
        <v>1902</v>
      </c>
      <c r="H687" s="2154" t="s">
        <v>1463</v>
      </c>
      <c r="I687" s="2154" t="s">
        <v>1464</v>
      </c>
      <c r="J687" s="2156"/>
      <c r="K687" s="1669"/>
      <c r="L687" s="1669"/>
      <c r="M687" s="1669"/>
      <c r="N687" s="1669"/>
      <c r="O687" s="1669"/>
      <c r="P687" s="1669"/>
    </row>
    <row r="688">
      <c r="A688" s="1670"/>
      <c r="B688" s="1670"/>
      <c r="C688" s="1670"/>
      <c r="D688" s="1649"/>
      <c r="E688" s="1649"/>
      <c r="F688" s="1649"/>
      <c r="G688" s="1791"/>
      <c r="H688" s="1649" t="s">
        <v>1445</v>
      </c>
      <c r="I688" s="1649" t="s">
        <v>1446</v>
      </c>
      <c r="J688" s="1673"/>
      <c r="K688" s="1651"/>
      <c r="L688" s="1651"/>
      <c r="M688" s="1651"/>
      <c r="N688" s="1651"/>
      <c r="O688" s="1651"/>
      <c r="P688" s="1651"/>
    </row>
    <row r="689">
      <c r="A689" s="1670"/>
      <c r="B689" s="1670"/>
      <c r="C689" s="1670"/>
      <c r="D689" s="1649"/>
      <c r="E689" s="1649"/>
      <c r="F689" s="1649"/>
      <c r="G689" s="1791"/>
      <c r="H689" s="1649" t="s">
        <v>1445</v>
      </c>
      <c r="I689" s="1649" t="s">
        <v>1446</v>
      </c>
      <c r="J689" s="1673"/>
      <c r="K689" s="1651"/>
      <c r="L689" s="1651"/>
      <c r="M689" s="1651"/>
      <c r="N689" s="1651"/>
      <c r="O689" s="1651"/>
      <c r="P689" s="1651"/>
    </row>
    <row r="690">
      <c r="A690" s="1670"/>
      <c r="B690" s="1670"/>
      <c r="C690" s="1670"/>
      <c r="D690" s="1649"/>
      <c r="E690" s="1649"/>
      <c r="F690" s="1649"/>
      <c r="G690" s="1791"/>
      <c r="H690" s="1649" t="s">
        <v>1445</v>
      </c>
      <c r="I690" s="1649" t="s">
        <v>1446</v>
      </c>
      <c r="J690" s="1673" t="s">
        <v>1903</v>
      </c>
      <c r="K690" s="1651"/>
      <c r="L690" s="1651"/>
      <c r="M690" s="1651"/>
      <c r="N690" s="1651"/>
      <c r="O690" s="1651"/>
      <c r="P690" s="1651"/>
    </row>
    <row r="691">
      <c r="A691" s="1680"/>
      <c r="B691" s="1680"/>
      <c r="C691" s="1680"/>
      <c r="D691" s="1795"/>
      <c r="E691" s="1680"/>
      <c r="F691" s="1680"/>
      <c r="G691" s="1680"/>
      <c r="H691" s="1680"/>
      <c r="I691" s="1680"/>
      <c r="J691" s="1680"/>
      <c r="K691" s="1770"/>
      <c r="L691" s="1770"/>
      <c r="M691" s="1770"/>
      <c r="N691" s="1770"/>
      <c r="O691" s="1770"/>
      <c r="P691" s="1770"/>
    </row>
    <row r="692">
      <c r="D692" s="1705"/>
      <c r="J692" s="1654"/>
      <c r="K692" s="1700"/>
      <c r="L692" s="1700"/>
      <c r="M692" s="1700"/>
      <c r="N692" s="1700"/>
      <c r="O692" s="1700"/>
      <c r="P692" s="1700"/>
    </row>
    <row r="693">
      <c r="A693" s="1680"/>
      <c r="B693" s="1680"/>
      <c r="C693" s="1680"/>
      <c r="D693" s="1795"/>
      <c r="E693" s="1680"/>
      <c r="F693" s="1680"/>
      <c r="G693" s="1680"/>
      <c r="H693" s="1795"/>
      <c r="I693" s="1680"/>
      <c r="J693" s="1680"/>
      <c r="K693" s="1770"/>
      <c r="L693" s="1770"/>
      <c r="M693" s="1770"/>
      <c r="N693" s="1770"/>
      <c r="O693" s="1770"/>
      <c r="P693" s="1770"/>
    </row>
    <row customHeight="true" ht="35.714285714285715" r="694">
      <c r="A694" s="2157" t="s">
        <v>1904</v>
      </c>
      <c r="B694" s="2157"/>
      <c r="C694" s="2157"/>
      <c r="D694" s="2157"/>
      <c r="E694" s="2157"/>
      <c r="F694" s="2157"/>
      <c r="G694" s="2157"/>
      <c r="H694" s="2157"/>
      <c r="I694" s="2157"/>
      <c r="J694" s="2158"/>
      <c r="K694" s="1683"/>
      <c r="L694" s="1683"/>
      <c r="M694" s="1683"/>
      <c r="N694" s="1683"/>
      <c r="O694" s="1683"/>
      <c r="P694" s="1683"/>
    </row>
    <row r="695">
      <c r="A695" s="2159" t="s">
        <v>1457</v>
      </c>
      <c r="B695" s="2160" t="s">
        <v>1458</v>
      </c>
      <c r="C695" s="2160"/>
      <c r="D695" s="2161" t="s">
        <v>1459</v>
      </c>
      <c r="E695" s="2162" t="s">
        <v>1460</v>
      </c>
      <c r="F695" s="2162" t="s">
        <v>1461</v>
      </c>
      <c r="G695" s="2163" t="s">
        <v>1473</v>
      </c>
      <c r="H695" s="2162" t="s">
        <v>1463</v>
      </c>
      <c r="I695" s="2164" t="s">
        <v>1464</v>
      </c>
      <c r="J695" s="2165" t="s">
        <v>1465</v>
      </c>
      <c r="K695" s="1669"/>
      <c r="L695" s="1669"/>
      <c r="M695" s="1669"/>
      <c r="N695" s="1669"/>
      <c r="O695" s="1669"/>
      <c r="P695" s="1669"/>
    </row>
    <row customHeight="true" ht="18.452380952380953" r="696">
      <c r="A696" s="1785" t="s">
        <v>1904</v>
      </c>
      <c r="B696" s="1790">
        <v>46281</v>
      </c>
      <c r="C696" s="1785" t="str">
        <v>Wednesday</v>
      </c>
      <c r="D696" s="1786" t="s">
        <v>1905</v>
      </c>
      <c r="E696" s="1787">
        <f t="shared" ref="E696:E699" si="117">24*MOD(TIMEVALUE(TRIM(MID(D696,FIND("-",D696)+1,LEN(D696)))) - TIMEVALUE(TRIM(LEFT(D696,FIND("-",D696)-1))),1)</f>
      </c>
      <c r="F696" s="1787" t="s">
        <v>1906</v>
      </c>
      <c r="G696" s="1809"/>
      <c r="H696" s="1787" t="s">
        <v>1471</v>
      </c>
      <c r="I696" s="1869" t="s">
        <v>1446</v>
      </c>
      <c r="J696" s="2166"/>
      <c r="K696" s="1651"/>
      <c r="L696" s="1651"/>
      <c r="M696" s="1651"/>
      <c r="N696" s="1651"/>
      <c r="O696" s="1651"/>
      <c r="P696" s="1651"/>
      <c r="Q696" s="1700"/>
      <c r="R696" s="1700"/>
    </row>
    <row customHeight="true" ht="18.452380952380953" r="697">
      <c r="A697" s="1897" t="s">
        <v>1904</v>
      </c>
      <c r="B697" s="1898">
        <v>46283</v>
      </c>
      <c r="C697" s="1897" t="str">
        <v>Friday</v>
      </c>
      <c r="D697" s="1899" t="s">
        <v>1905</v>
      </c>
      <c r="E697" s="1747">
        <f t="shared" si="117"/>
      </c>
      <c r="F697" s="1747" t="s">
        <v>1529</v>
      </c>
      <c r="G697" s="1901"/>
      <c r="H697" s="1747" t="s">
        <v>1471</v>
      </c>
      <c r="I697" s="1734" t="s">
        <v>1446</v>
      </c>
      <c r="J697" s="2017"/>
      <c r="K697" s="1903"/>
      <c r="L697" s="1903"/>
      <c r="M697" s="1903"/>
      <c r="N697" s="1903"/>
      <c r="O697" s="1903"/>
      <c r="P697" s="1903"/>
      <c r="Q697" s="1904"/>
      <c r="R697" s="1904"/>
    </row>
    <row customHeight="true" ht="18.452380952380953" r="698">
      <c r="A698" s="1897" t="s">
        <v>1904</v>
      </c>
      <c r="B698" s="1898">
        <v>46284</v>
      </c>
      <c r="C698" s="1897" t="str">
        <v>Saturday</v>
      </c>
      <c r="D698" s="1899" t="s">
        <v>1905</v>
      </c>
      <c r="E698" s="1747">
        <f t="shared" si="117"/>
      </c>
      <c r="F698" s="1747" t="s">
        <v>1529</v>
      </c>
      <c r="G698" s="1901"/>
      <c r="H698" s="1747" t="s">
        <v>1471</v>
      </c>
      <c r="I698" s="1734" t="s">
        <v>1446</v>
      </c>
      <c r="J698" s="1734"/>
      <c r="K698" s="1903"/>
      <c r="L698" s="1903"/>
      <c r="M698" s="1903"/>
      <c r="N698" s="1903"/>
      <c r="O698" s="1903"/>
      <c r="P698" s="1903"/>
      <c r="Q698" s="1904"/>
      <c r="R698" s="1904"/>
    </row>
    <row r="699">
      <c r="A699" s="1897" t="s">
        <v>1904</v>
      </c>
      <c r="B699" s="1898">
        <v>46285</v>
      </c>
      <c r="C699" s="1897" t="str">
        <v>Sunday</v>
      </c>
      <c r="D699" s="1899" t="s">
        <v>1907</v>
      </c>
      <c r="E699" s="1747">
        <f t="shared" si="117"/>
      </c>
      <c r="F699" s="1734" t="s">
        <v>1879</v>
      </c>
      <c r="G699" s="1901"/>
      <c r="H699" s="1747" t="s">
        <v>1471</v>
      </c>
      <c r="I699" s="1902" t="s">
        <v>1446</v>
      </c>
      <c r="J699" s="1734"/>
      <c r="K699" s="1903"/>
      <c r="L699" s="1903"/>
      <c r="M699" s="1903"/>
      <c r="N699" s="1903"/>
      <c r="O699" s="1903"/>
      <c r="P699" s="1903"/>
      <c r="Q699" s="1904"/>
      <c r="R699" s="1904"/>
    </row>
    <row r="700">
      <c r="A700" s="1670"/>
      <c r="B700" s="1670"/>
      <c r="C700" s="1670"/>
      <c r="D700" s="1649"/>
      <c r="E700" s="1649"/>
      <c r="F700" s="1649"/>
      <c r="G700" s="1791"/>
      <c r="H700" s="1675"/>
      <c r="I700" s="1675"/>
      <c r="J700" s="1792"/>
      <c r="K700" s="1651"/>
      <c r="L700" s="1651"/>
      <c r="M700" s="1651"/>
      <c r="N700" s="1651"/>
      <c r="O700" s="1651"/>
      <c r="P700" s="1651"/>
    </row>
    <row customHeight="true" ht="18.452380952380953" r="701">
      <c r="A701" s="1984" t="s">
        <v>1908</v>
      </c>
      <c r="B701" s="2018">
        <v>46281</v>
      </c>
      <c r="C701" s="2167" t="str">
        <v>Wednesday</v>
      </c>
      <c r="D701" s="1977" t="s">
        <v>1909</v>
      </c>
      <c r="E701" s="1982">
        <f t="shared" ref="E701:E704" si="118">24*MOD(TIMEVALUE(TRIM(MID(D701,FIND("-",D701)+1,LEN(D701)))) - TIMEVALUE(TRIM(LEFT(D701,FIND("-",D701)-1))),1)</f>
      </c>
      <c r="F701" s="1982" t="s">
        <v>1910</v>
      </c>
      <c r="G701" s="2168"/>
      <c r="H701" s="1982"/>
      <c r="I701" s="1982" t="s">
        <v>1446</v>
      </c>
      <c r="J701" s="1994"/>
      <c r="K701" s="1987"/>
      <c r="L701" s="1987"/>
      <c r="M701" s="1987"/>
      <c r="N701" s="1987"/>
      <c r="O701" s="1987"/>
      <c r="P701" s="1987"/>
      <c r="Q701" s="1988"/>
      <c r="R701" s="1988"/>
    </row>
    <row r="702">
      <c r="A702" s="1975" t="s">
        <v>1908</v>
      </c>
      <c r="B702" s="2018">
        <v>46283</v>
      </c>
      <c r="C702" s="1984" t="str">
        <v>Friday</v>
      </c>
      <c r="D702" s="1977" t="s">
        <v>1909</v>
      </c>
      <c r="E702" s="1989">
        <f t="shared" si="118"/>
      </c>
      <c r="F702" s="1978" t="s">
        <v>1744</v>
      </c>
      <c r="G702" s="2169"/>
      <c r="H702" s="1989" t="s">
        <v>1471</v>
      </c>
      <c r="I702" s="1982" t="s">
        <v>1446</v>
      </c>
      <c r="J702" s="1980"/>
      <c r="K702" s="1972"/>
      <c r="L702" s="1972"/>
      <c r="M702" s="1972"/>
      <c r="N702" s="1972"/>
      <c r="O702" s="1972"/>
      <c r="P702" s="1972"/>
    </row>
    <row customHeight="true" ht="18.452380952380953" r="703">
      <c r="A703" s="1975" t="s">
        <v>1908</v>
      </c>
      <c r="B703" s="2018">
        <v>46284</v>
      </c>
      <c r="C703" s="1984" t="str">
        <v>Saturday</v>
      </c>
      <c r="D703" s="1977" t="s">
        <v>1616</v>
      </c>
      <c r="E703" s="1989">
        <f t="shared" si="118"/>
      </c>
      <c r="F703" s="1978"/>
      <c r="G703" s="2169"/>
      <c r="H703" s="1989" t="s">
        <v>1471</v>
      </c>
      <c r="I703" s="1982" t="s">
        <v>1469</v>
      </c>
      <c r="J703" s="1980"/>
      <c r="K703" s="1972"/>
      <c r="L703" s="1972"/>
      <c r="M703" s="1972"/>
      <c r="N703" s="1972"/>
      <c r="O703" s="1972"/>
      <c r="P703" s="1972"/>
    </row>
    <row r="704">
      <c r="A704" s="1975" t="s">
        <v>1908</v>
      </c>
      <c r="B704" s="2018">
        <v>46285</v>
      </c>
      <c r="C704" s="1984" t="str">
        <v>Sunday</v>
      </c>
      <c r="D704" s="1977" t="s">
        <v>1911</v>
      </c>
      <c r="E704" s="1978">
        <f t="shared" si="118"/>
      </c>
      <c r="F704" s="1982" t="s">
        <v>1912</v>
      </c>
      <c r="G704" s="1990"/>
      <c r="H704" s="1978" t="s">
        <v>1471</v>
      </c>
      <c r="I704" s="1982" t="s">
        <v>1446</v>
      </c>
      <c r="J704" s="2122"/>
      <c r="K704" s="1651"/>
      <c r="L704" s="1651"/>
      <c r="M704" s="1651"/>
      <c r="N704" s="1651"/>
      <c r="O704" s="1651"/>
      <c r="P704" s="1651"/>
    </row>
    <row customHeight="true" ht="18.452380952380953" r="705">
      <c r="A705" s="1670"/>
      <c r="B705" s="1670"/>
      <c r="C705" s="1670"/>
      <c r="D705" s="1675"/>
      <c r="E705" s="1675"/>
      <c r="F705" s="1675"/>
      <c r="G705" s="1679"/>
      <c r="H705" s="1675"/>
      <c r="I705" s="1675"/>
      <c r="J705" s="1650"/>
      <c r="K705" s="1651"/>
      <c r="L705" s="1651"/>
      <c r="M705" s="1651"/>
      <c r="N705" s="1651"/>
      <c r="O705" s="1651"/>
      <c r="P705" s="1651"/>
    </row>
    <row r="706">
      <c r="A706" s="1670" t="s">
        <v>1913</v>
      </c>
      <c r="B706" s="1790">
        <v>46281</v>
      </c>
      <c r="C706" s="1785" t="str">
        <v>Wednesday</v>
      </c>
      <c r="D706" s="1786" t="s">
        <v>1914</v>
      </c>
      <c r="E706" s="1738">
        <f t="shared" ref="E706:E709" si="119">24*MOD(TIMEVALUE(TRIM(MID(D706,FIND("-",D706)+1,LEN(D706)))) - TIMEVALUE(TRIM(LEFT(D706,FIND("-",D706)-1))),1)</f>
      </c>
      <c r="F706" s="1675" t="s">
        <v>1906</v>
      </c>
      <c r="G706" s="1679"/>
      <c r="H706" s="2043"/>
      <c r="I706" s="1675" t="s">
        <v>1446</v>
      </c>
      <c r="J706" s="1650"/>
      <c r="K706" s="1651"/>
      <c r="L706" s="1651"/>
      <c r="M706" s="1651"/>
      <c r="N706" s="1651"/>
      <c r="O706" s="1651"/>
      <c r="P706" s="1651"/>
    </row>
    <row customHeight="true" ht="18.452380952380953" r="707">
      <c r="A707" s="1670" t="s">
        <v>1913</v>
      </c>
      <c r="B707" s="1790">
        <v>46284</v>
      </c>
      <c r="C707" s="1785" t="str">
        <v>Saturday</v>
      </c>
      <c r="D707" s="1786" t="s">
        <v>1555</v>
      </c>
      <c r="E707" s="1738">
        <f t="shared" si="119"/>
      </c>
      <c r="F707" s="1647" t="s">
        <v>1448</v>
      </c>
      <c r="G707" s="1679"/>
      <c r="H707" s="2043"/>
      <c r="I707" s="2170" t="s">
        <v>1446</v>
      </c>
      <c r="J707" s="1650"/>
      <c r="K707" s="1651"/>
      <c r="L707" s="1651"/>
      <c r="M707" s="1651"/>
      <c r="N707" s="1651"/>
      <c r="O707" s="1651"/>
      <c r="P707" s="1651"/>
    </row>
    <row customHeight="true" ht="18.452380952380953" r="708">
      <c r="A708" s="1670" t="s">
        <v>1913</v>
      </c>
      <c r="B708" s="1790">
        <v>46285</v>
      </c>
      <c r="C708" s="1785" t="str">
        <v>Sunday</v>
      </c>
      <c r="D708" s="1786" t="s">
        <v>1665</v>
      </c>
      <c r="E708" s="1738">
        <f t="shared" si="119"/>
      </c>
      <c r="F708" s="1647"/>
      <c r="G708" s="1679"/>
      <c r="H708" s="2043"/>
      <c r="I708" s="1675"/>
      <c r="J708" s="1650"/>
      <c r="K708" s="1651"/>
      <c r="L708" s="1651"/>
      <c r="M708" s="1651"/>
      <c r="N708" s="1651"/>
      <c r="O708" s="1651"/>
      <c r="P708" s="1651"/>
    </row>
    <row customHeight="true" ht="18.452380952380953" r="709">
      <c r="A709" s="1670" t="s">
        <v>1908</v>
      </c>
      <c r="B709" s="1644">
        <v>46276</v>
      </c>
      <c r="C709" s="1670" t="str">
        <v>Friday</v>
      </c>
      <c r="D709" s="1645" t="s">
        <v>1492</v>
      </c>
      <c r="E709" s="1675">
        <f t="shared" si="119"/>
      </c>
      <c r="F709" s="1675"/>
      <c r="G709" s="1679"/>
      <c r="H709" s="2043"/>
      <c r="I709" s="1675"/>
      <c r="J709" s="1650"/>
      <c r="K709" s="1789"/>
      <c r="L709" s="1789"/>
      <c r="M709" s="1789"/>
      <c r="N709" s="1789"/>
      <c r="O709" s="1789"/>
      <c r="P709" s="1789"/>
      <c r="Q709" s="1680"/>
      <c r="R709" s="1680"/>
    </row>
    <row customHeight="true" ht="16.071428571428573" r="710">
      <c r="A710" s="1670"/>
      <c r="B710" s="1670"/>
      <c r="C710" s="1670"/>
      <c r="D710" s="1675"/>
      <c r="E710" s="1649"/>
      <c r="F710" s="1675"/>
      <c r="G710" s="1679"/>
      <c r="H710" s="2043"/>
      <c r="I710" s="1675"/>
      <c r="J710" s="1650"/>
      <c r="K710" s="1651"/>
      <c r="L710" s="1651"/>
      <c r="M710" s="1651"/>
      <c r="N710" s="1651"/>
      <c r="O710" s="1651"/>
      <c r="P710" s="1651"/>
    </row>
    <row customHeight="true" ht="38.17663024813209" r="711">
      <c r="A711" s="2171" t="s">
        <v>1915</v>
      </c>
      <c r="B711" s="2171"/>
      <c r="C711" s="2171"/>
      <c r="D711" s="2171"/>
      <c r="E711" s="2171"/>
      <c r="F711" s="2171"/>
      <c r="G711" s="2171"/>
      <c r="H711" s="2171"/>
      <c r="I711" s="2171"/>
      <c r="J711" s="2171"/>
      <c r="K711" s="1651"/>
      <c r="L711" s="1651"/>
      <c r="M711" s="1651"/>
      <c r="N711" s="1651"/>
      <c r="O711" s="1651"/>
      <c r="P711" s="1651"/>
    </row>
    <row customHeight="true" ht="28.571428571428573" r="712">
      <c r="A712" s="2172" t="s">
        <v>1457</v>
      </c>
      <c r="B712" s="2173" t="s">
        <v>1458</v>
      </c>
      <c r="C712" s="2173"/>
      <c r="D712" s="2174" t="s">
        <v>1459</v>
      </c>
      <c r="E712" s="2175" t="s">
        <v>1460</v>
      </c>
      <c r="F712" s="2175" t="s">
        <v>1461</v>
      </c>
      <c r="G712" s="2176" t="s">
        <v>1473</v>
      </c>
      <c r="H712" s="2175" t="s">
        <v>1463</v>
      </c>
      <c r="I712" s="2175" t="s">
        <v>1464</v>
      </c>
      <c r="J712" s="2177" t="s">
        <v>1465</v>
      </c>
      <c r="K712" s="1651"/>
      <c r="L712" s="1651"/>
      <c r="M712" s="1651"/>
      <c r="N712" s="1651"/>
      <c r="O712" s="1651"/>
      <c r="P712" s="1651"/>
    </row>
    <row customHeight="true" ht="16.071428571428573" r="713">
      <c r="A713" s="1785" t="s">
        <v>1915</v>
      </c>
      <c r="B713" s="1644">
        <v>46281</v>
      </c>
      <c r="C713" s="1670" t="str">
        <v>Wednesday</v>
      </c>
      <c r="D713" s="2166" t="s">
        <v>1729</v>
      </c>
      <c r="E713" s="1675">
        <f t="shared" ref="E713:E716" si="120">24*MOD(TIMEVALUE(TRIM(MID(D713,FIND("-",D713)+1,LEN(D713)))) - TIMEVALUE(TRIM(LEFT(D713,FIND("-",D713)-1))),1)</f>
      </c>
      <c r="F713" s="1675" t="s">
        <v>1519</v>
      </c>
      <c r="G713" s="1689"/>
      <c r="H713" s="2043" t="s">
        <v>1471</v>
      </c>
      <c r="I713" s="1658" t="s">
        <v>1446</v>
      </c>
      <c r="J713" s="1650"/>
      <c r="K713" s="1651"/>
      <c r="L713" s="1651"/>
      <c r="M713" s="1651"/>
      <c r="N713" s="1651"/>
      <c r="O713" s="1651"/>
      <c r="P713" s="1651"/>
    </row>
    <row customHeight="true" ht="16.071428571428573" r="714">
      <c r="A714" s="1785" t="s">
        <v>1915</v>
      </c>
      <c r="B714" s="1644">
        <v>46282</v>
      </c>
      <c r="C714" s="1670" t="str">
        <v>Thursday</v>
      </c>
      <c r="D714" s="2166" t="s">
        <v>1729</v>
      </c>
      <c r="E714" s="1675">
        <f t="shared" si="120"/>
      </c>
      <c r="F714" s="1675" t="s">
        <v>1906</v>
      </c>
      <c r="G714" s="1689"/>
      <c r="H714" s="2043" t="s">
        <v>1471</v>
      </c>
      <c r="I714" s="1658" t="s">
        <v>1446</v>
      </c>
      <c r="J714" s="1646"/>
      <c r="K714" s="1651"/>
      <c r="L714" s="1651"/>
      <c r="M714" s="1651"/>
      <c r="N714" s="1651"/>
      <c r="O714" s="1651"/>
      <c r="P714" s="1651"/>
    </row>
    <row customHeight="true" ht="16.071428571428573" r="715">
      <c r="A715" s="1785" t="s">
        <v>1915</v>
      </c>
      <c r="B715" s="1644">
        <v>46283</v>
      </c>
      <c r="C715" s="1670" t="str">
        <v>Friday</v>
      </c>
      <c r="D715" s="2166" t="s">
        <v>1916</v>
      </c>
      <c r="E715" s="2114">
        <f t="shared" si="120"/>
      </c>
      <c r="F715" s="1675" t="s">
        <v>1573</v>
      </c>
      <c r="G715" s="1689"/>
      <c r="H715" s="2043" t="s">
        <v>1471</v>
      </c>
      <c r="I715" s="1658" t="s">
        <v>1446</v>
      </c>
      <c r="J715" s="1809"/>
      <c r="K715" s="1651"/>
      <c r="L715" s="1651"/>
      <c r="M715" s="1651"/>
      <c r="N715" s="1651"/>
      <c r="O715" s="1651"/>
      <c r="P715" s="1651"/>
    </row>
    <row customHeight="true" ht="16.071428571428573" r="716">
      <c r="A716" s="1897" t="s">
        <v>1915</v>
      </c>
      <c r="B716" s="1898">
        <v>46285</v>
      </c>
      <c r="C716" s="1897" t="str">
        <v>Sunday</v>
      </c>
      <c r="D716" s="2017" t="s">
        <v>1917</v>
      </c>
      <c r="E716" s="2178">
        <f t="shared" si="120"/>
      </c>
      <c r="F716" s="1747" t="s">
        <v>1906</v>
      </c>
      <c r="G716" s="1901"/>
      <c r="H716" s="2178" t="s">
        <v>1471</v>
      </c>
      <c r="I716" s="1734" t="s">
        <v>1446</v>
      </c>
      <c r="J716" s="1901"/>
      <c r="K716" s="1903"/>
      <c r="L716" s="1903"/>
      <c r="M716" s="1903"/>
      <c r="N716" s="1903"/>
      <c r="O716" s="1903"/>
      <c r="P716" s="1903"/>
      <c r="Q716" s="1904"/>
      <c r="R716" s="1904"/>
    </row>
    <row customHeight="true" ht="16.071428571428573" r="717">
      <c r="A717" s="1670"/>
      <c r="B717" s="1644"/>
      <c r="C717" s="1670"/>
      <c r="D717" s="1675"/>
      <c r="E717" s="1649"/>
      <c r="F717" s="1675"/>
      <c r="G717" s="1679"/>
      <c r="H717" s="2043"/>
      <c r="I717" s="1675"/>
      <c r="J717" s="1650"/>
      <c r="K717" s="1651"/>
      <c r="L717" s="1651"/>
      <c r="M717" s="1651"/>
      <c r="N717" s="1651"/>
      <c r="O717" s="1651"/>
      <c r="P717" s="1651"/>
    </row>
    <row customHeight="true" ht="16.071428571428573" r="718">
      <c r="A718" s="1984" t="s">
        <v>1918</v>
      </c>
      <c r="B718" s="2018">
        <v>46281</v>
      </c>
      <c r="C718" s="1984" t="s">
        <v>1453</v>
      </c>
      <c r="D718" s="1977" t="s">
        <v>1919</v>
      </c>
      <c r="E718" s="1982">
        <f t="shared" ref="E718:E721" si="121">24*MOD(TIMEVALUE(TRIM(MID(D718,FIND("-",D718)+1,LEN(D718)))) - TIMEVALUE(TRIM(LEFT(D718,FIND("-",D718)-1))),1)</f>
      </c>
      <c r="F718" s="1978" t="s">
        <v>1920</v>
      </c>
      <c r="G718" s="1985"/>
      <c r="H718" s="1982" t="s">
        <v>1471</v>
      </c>
      <c r="I718" s="1982" t="s">
        <v>1446</v>
      </c>
      <c r="J718" s="1985"/>
      <c r="K718" s="1997"/>
      <c r="L718" s="1997"/>
      <c r="M718" s="1997"/>
      <c r="N718" s="1997"/>
      <c r="O718" s="1997"/>
      <c r="P718" s="1997"/>
      <c r="Q718" s="1988"/>
      <c r="R718" s="1988"/>
    </row>
    <row customHeight="true" ht="16.071428571428573" r="719">
      <c r="A719" s="1975" t="s">
        <v>1918</v>
      </c>
      <c r="B719" s="2018">
        <v>46282</v>
      </c>
      <c r="C719" s="1984" t="s">
        <v>1455</v>
      </c>
      <c r="D719" s="2006" t="s">
        <v>1919</v>
      </c>
      <c r="E719" s="1978">
        <f t="shared" si="121"/>
      </c>
      <c r="F719" s="1978" t="s">
        <v>1921</v>
      </c>
      <c r="G719" s="1979"/>
      <c r="H719" s="1978" t="s">
        <v>1471</v>
      </c>
      <c r="I719" s="1982" t="s">
        <v>1469</v>
      </c>
      <c r="J719" s="2123"/>
      <c r="K719" s="1651"/>
      <c r="L719" s="1651"/>
      <c r="M719" s="1651"/>
      <c r="N719" s="1651"/>
      <c r="O719" s="1651"/>
      <c r="P719" s="1651"/>
    </row>
    <row customHeight="true" ht="16.071428571428573" r="720">
      <c r="A720" s="1975" t="s">
        <v>1918</v>
      </c>
      <c r="B720" s="2018">
        <v>46283</v>
      </c>
      <c r="C720" s="1984" t="s">
        <v>1449</v>
      </c>
      <c r="D720" s="2006" t="s">
        <v>1922</v>
      </c>
      <c r="E720" s="1978">
        <f t="shared" si="121"/>
      </c>
      <c r="F720" s="1978" t="s">
        <v>1920</v>
      </c>
      <c r="G720" s="1979"/>
      <c r="H720" s="1978" t="s">
        <v>1471</v>
      </c>
      <c r="I720" s="1982" t="s">
        <v>1446</v>
      </c>
      <c r="J720" s="2122"/>
      <c r="K720" s="1651"/>
      <c r="L720" s="1651"/>
      <c r="M720" s="1651"/>
      <c r="N720" s="1651"/>
      <c r="O720" s="1651"/>
      <c r="P720" s="1651"/>
    </row>
    <row customHeight="true" ht="16.071428571428573" r="721">
      <c r="A721" s="1897" t="s">
        <v>1918</v>
      </c>
      <c r="B721" s="1898">
        <v>46285</v>
      </c>
      <c r="C721" s="1897" t="s">
        <v>1790</v>
      </c>
      <c r="D721" s="1899" t="s">
        <v>1923</v>
      </c>
      <c r="E721" s="1747">
        <f t="shared" si="121"/>
      </c>
      <c r="F721" s="1747" t="s">
        <v>1920</v>
      </c>
      <c r="G721" s="1901"/>
      <c r="H721" s="1747" t="s">
        <v>1471</v>
      </c>
      <c r="I721" s="1747" t="s">
        <v>1446</v>
      </c>
      <c r="J721" s="1902"/>
      <c r="K721" s="1903"/>
      <c r="L721" s="1903"/>
      <c r="M721" s="1903"/>
      <c r="N721" s="1903"/>
      <c r="O721" s="1903"/>
      <c r="P721" s="1903"/>
      <c r="Q721" s="1904"/>
      <c r="R721" s="1904"/>
    </row>
    <row customHeight="true" ht="16.071428571428573" r="722">
      <c r="A722" s="1785"/>
      <c r="B722" s="1790"/>
      <c r="C722" s="1785"/>
      <c r="D722" s="1786"/>
      <c r="E722" s="1787"/>
      <c r="F722" s="1787"/>
      <c r="G722" s="1809"/>
      <c r="H722" s="1787"/>
      <c r="I722" s="1787"/>
      <c r="J722" s="1869"/>
      <c r="K722" s="1651"/>
      <c r="L722" s="1651"/>
      <c r="M722" s="1651"/>
      <c r="N722" s="1651"/>
      <c r="O722" s="1651"/>
      <c r="P722" s="1651"/>
      <c r="Q722" s="1700"/>
      <c r="R722" s="1700"/>
    </row>
    <row r="723">
      <c r="A723" s="1670"/>
      <c r="B723" s="1670"/>
      <c r="C723" s="1670"/>
      <c r="D723" s="1649"/>
      <c r="E723" s="1649"/>
      <c r="F723" s="1649"/>
      <c r="G723" s="1791"/>
      <c r="H723" s="1649"/>
      <c r="I723" s="1649"/>
      <c r="J723" s="1673"/>
      <c r="K723" s="1651"/>
      <c r="L723" s="1651"/>
      <c r="M723" s="1651"/>
      <c r="N723" s="1651"/>
      <c r="O723" s="1651"/>
      <c r="P723" s="1651"/>
    </row>
    <row r="724">
      <c r="A724" s="2179" t="s">
        <v>1924</v>
      </c>
      <c r="B724" s="2179"/>
      <c r="C724" s="2179"/>
      <c r="D724" s="2179"/>
      <c r="E724" s="2179"/>
      <c r="F724" s="2179"/>
      <c r="G724" s="2179"/>
      <c r="H724" s="2179"/>
      <c r="I724" s="2179"/>
      <c r="J724" s="2180"/>
      <c r="K724" s="2130"/>
      <c r="L724" s="2130"/>
      <c r="M724" s="2130"/>
      <c r="N724" s="2130"/>
      <c r="O724" s="2130"/>
      <c r="P724" s="2130"/>
    </row>
    <row r="725">
      <c r="A725" s="2181" t="s">
        <v>1457</v>
      </c>
      <c r="B725" s="2182" t="s">
        <v>1458</v>
      </c>
      <c r="C725" s="2182"/>
      <c r="D725" s="2183" t="s">
        <v>1459</v>
      </c>
      <c r="E725" s="2183" t="s">
        <v>1460</v>
      </c>
      <c r="F725" s="2183" t="s">
        <v>1461</v>
      </c>
      <c r="G725" s="2184" t="s">
        <v>1473</v>
      </c>
      <c r="H725" s="2183" t="s">
        <v>1463</v>
      </c>
      <c r="I725" s="2183" t="s">
        <v>1464</v>
      </c>
      <c r="J725" s="2185" t="s">
        <v>1465</v>
      </c>
      <c r="K725" s="1669"/>
      <c r="L725" s="1669"/>
      <c r="M725" s="1669"/>
      <c r="N725" s="1669"/>
      <c r="O725" s="1669"/>
      <c r="P725" s="1669"/>
    </row>
    <row r="726">
      <c r="A726" s="1670" t="s">
        <v>1924</v>
      </c>
      <c r="B726" s="1644">
        <v>46245</v>
      </c>
      <c r="C726" s="1670" t="str">
        <v>Tuesday</v>
      </c>
      <c r="D726" s="1645" t="s">
        <v>1925</v>
      </c>
      <c r="E726" s="1675">
        <f t="shared" ref="E726:E727" si="122">24*MOD(TIMEVALUE(TRIM(MID(D726,FIND("-",D726)+1,LEN(D726)))) - TIMEVALUE(TRIM(LEFT(D726,FIND("-",D726)-1))),1)</f>
      </c>
      <c r="F726" s="1649"/>
      <c r="G726" s="1689"/>
      <c r="H726" s="2043" t="s">
        <v>1471</v>
      </c>
      <c r="I726" s="1675" t="s">
        <v>1446</v>
      </c>
      <c r="J726" s="1650"/>
      <c r="K726" s="1651"/>
      <c r="L726" s="1651"/>
      <c r="M726" s="1651"/>
      <c r="N726" s="1651"/>
      <c r="O726" s="1651"/>
      <c r="P726" s="1651"/>
    </row>
    <row r="727">
      <c r="A727" s="2186" t="s">
        <v>1926</v>
      </c>
      <c r="B727" s="2187">
        <v>46245</v>
      </c>
      <c r="C727" s="2186" t="str">
        <v>Tuesday</v>
      </c>
      <c r="D727" s="2188" t="s">
        <v>1927</v>
      </c>
      <c r="E727" s="2189">
        <f t="shared" si="122"/>
      </c>
      <c r="F727" s="2189"/>
      <c r="G727" s="2190"/>
      <c r="H727" s="2191" t="s">
        <v>1471</v>
      </c>
      <c r="I727" s="1675" t="s">
        <v>1446</v>
      </c>
      <c r="J727" s="2192"/>
      <c r="K727" s="1651"/>
      <c r="L727" s="1651"/>
      <c r="M727" s="1651"/>
      <c r="N727" s="1651"/>
      <c r="O727" s="1651"/>
      <c r="P727" s="1651"/>
    </row>
    <row r="728">
      <c r="A728" s="1670" t="s">
        <v>1924</v>
      </c>
      <c r="B728" s="1670"/>
      <c r="C728" s="1670"/>
      <c r="D728" s="1675"/>
      <c r="E728" s="2193">
        <f>3</f>
      </c>
      <c r="F728" s="1649"/>
      <c r="G728" s="1679"/>
      <c r="H728" s="2043"/>
      <c r="I728" s="1649"/>
      <c r="J728" s="1650"/>
      <c r="K728" s="1651"/>
      <c r="L728" s="1651"/>
      <c r="M728" s="1651"/>
      <c r="N728" s="1651"/>
      <c r="O728" s="1651"/>
      <c r="P728" s="1651"/>
    </row>
    <row r="729">
      <c r="A729" s="1670" t="s">
        <v>1924</v>
      </c>
      <c r="B729" s="1644">
        <v>46246</v>
      </c>
      <c r="C729" s="1670" t="str">
        <v>Wednesday</v>
      </c>
      <c r="D729" s="1645" t="s">
        <v>1663</v>
      </c>
      <c r="E729" s="1675">
        <f t="shared" ref="E729:E730" si="123">24*MOD(TIMEVALUE(TRIM(MID(D729,FIND("-",D729)+1,LEN(D729)))) - TIMEVALUE(TRIM(LEFT(D729,FIND("-",D729)-1))),1)</f>
      </c>
      <c r="F729" s="1649"/>
      <c r="G729" s="1689"/>
      <c r="H729" s="2043" t="s">
        <v>1471</v>
      </c>
      <c r="I729" s="1738" t="s">
        <v>1446</v>
      </c>
      <c r="J729" s="1650"/>
      <c r="K729" s="1651"/>
      <c r="L729" s="1651"/>
      <c r="M729" s="1651"/>
      <c r="N729" s="1651"/>
      <c r="O729" s="1651"/>
      <c r="P729" s="1651"/>
    </row>
    <row r="730">
      <c r="A730" s="2186" t="s">
        <v>1926</v>
      </c>
      <c r="B730" s="2187">
        <v>46246</v>
      </c>
      <c r="C730" s="2186" t="str">
        <v>Wednesday</v>
      </c>
      <c r="D730" s="2188" t="s">
        <v>1928</v>
      </c>
      <c r="E730" s="2189">
        <f t="shared" si="123"/>
      </c>
      <c r="F730" s="2189"/>
      <c r="G730" s="2190"/>
      <c r="H730" s="2191" t="s">
        <v>1471</v>
      </c>
      <c r="I730" s="1675" t="s">
        <v>1446</v>
      </c>
      <c r="J730" s="2194"/>
      <c r="K730" s="1807"/>
      <c r="L730" s="1807"/>
      <c r="M730" s="1807"/>
      <c r="N730" s="1807"/>
      <c r="O730" s="1807"/>
      <c r="P730" s="1807"/>
    </row>
    <row r="731">
      <c r="A731" s="1670" t="s">
        <v>1924</v>
      </c>
      <c r="B731" s="1670"/>
      <c r="C731" s="1670"/>
      <c r="D731" s="1675"/>
      <c r="E731" s="2193">
        <f>3</f>
      </c>
      <c r="F731" s="1649"/>
      <c r="G731" s="1679"/>
      <c r="H731" s="2043"/>
      <c r="I731" s="1649"/>
      <c r="J731" s="1650"/>
      <c r="K731" s="1651"/>
      <c r="L731" s="1651"/>
      <c r="M731" s="1651"/>
      <c r="N731" s="1651"/>
      <c r="O731" s="1651"/>
      <c r="P731" s="1651"/>
    </row>
    <row r="732">
      <c r="A732" s="1670" t="s">
        <v>1924</v>
      </c>
      <c r="B732" s="1644">
        <v>46247</v>
      </c>
      <c r="C732" s="1670" t="str">
        <v>Thursday</v>
      </c>
      <c r="D732" s="1645" t="s">
        <v>1925</v>
      </c>
      <c r="E732" s="1675">
        <f t="shared" ref="E732:E733" si="124">24*MOD(TIMEVALUE(TRIM(MID(D732,FIND("-",D732)+1,LEN(D732)))) - TIMEVALUE(TRIM(LEFT(D732,FIND("-",D732)-1))),1)</f>
      </c>
      <c r="F732" s="1649"/>
      <c r="G732" s="1689"/>
      <c r="H732" s="2043" t="s">
        <v>1471</v>
      </c>
      <c r="I732" s="1675" t="s">
        <v>1446</v>
      </c>
      <c r="J732" s="1650"/>
      <c r="K732" s="1651"/>
      <c r="L732" s="1651"/>
      <c r="M732" s="1651"/>
      <c r="N732" s="1651"/>
      <c r="O732" s="1651"/>
      <c r="P732" s="1651"/>
    </row>
    <row r="733">
      <c r="A733" s="2186" t="s">
        <v>1926</v>
      </c>
      <c r="B733" s="2187">
        <v>46247</v>
      </c>
      <c r="C733" s="2186" t="str">
        <v>Thursday</v>
      </c>
      <c r="D733" s="2188" t="s">
        <v>1929</v>
      </c>
      <c r="E733" s="2189">
        <f t="shared" si="124"/>
      </c>
      <c r="F733" s="2189"/>
      <c r="G733" s="2190"/>
      <c r="H733" s="2191" t="s">
        <v>1471</v>
      </c>
      <c r="I733" s="1675" t="s">
        <v>1446</v>
      </c>
      <c r="J733" s="2192"/>
      <c r="K733" s="1651"/>
      <c r="L733" s="1651"/>
      <c r="M733" s="1651"/>
      <c r="N733" s="1651"/>
      <c r="O733" s="1651"/>
      <c r="P733" s="1651"/>
    </row>
    <row r="734">
      <c r="A734" s="1670" t="s">
        <v>1924</v>
      </c>
      <c r="B734" s="1670"/>
      <c r="C734" s="1670"/>
      <c r="D734" s="1675"/>
      <c r="E734" s="2193">
        <f>3</f>
      </c>
      <c r="F734" s="1649"/>
      <c r="G734" s="1679"/>
      <c r="H734" s="2043"/>
      <c r="I734" s="1649"/>
      <c r="J734" s="1650"/>
      <c r="K734" s="1651"/>
      <c r="L734" s="1651"/>
      <c r="M734" s="1651"/>
      <c r="N734" s="1651"/>
      <c r="O734" s="1651"/>
      <c r="P734" s="1651"/>
    </row>
    <row r="735">
      <c r="A735" s="1670" t="s">
        <v>1924</v>
      </c>
      <c r="B735" s="1644">
        <v>46248</v>
      </c>
      <c r="C735" s="1670" t="str">
        <v>Friday</v>
      </c>
      <c r="D735" s="1645" t="s">
        <v>1675</v>
      </c>
      <c r="E735" s="1675">
        <f t="shared" ref="E735:E736" si="125">24*MOD(TIMEVALUE(TRIM(MID(D735,FIND("-",D735)+1,LEN(D735)))) - TIMEVALUE(TRIM(LEFT(D735,FIND("-",D735)-1))),1)</f>
      </c>
      <c r="F735" s="1649"/>
      <c r="G735" s="1689"/>
      <c r="H735" s="2043" t="s">
        <v>1471</v>
      </c>
      <c r="I735" s="1675" t="s">
        <v>1446</v>
      </c>
      <c r="J735" s="1650"/>
      <c r="K735" s="1651"/>
      <c r="L735" s="1651"/>
      <c r="M735" s="1651"/>
      <c r="N735" s="1651"/>
      <c r="O735" s="1651"/>
      <c r="P735" s="1651"/>
    </row>
    <row r="736">
      <c r="A736" s="2186" t="s">
        <v>1926</v>
      </c>
      <c r="B736" s="2187">
        <v>46248</v>
      </c>
      <c r="C736" s="2186" t="str">
        <v>Friday</v>
      </c>
      <c r="D736" s="2188" t="s">
        <v>1930</v>
      </c>
      <c r="E736" s="2189">
        <f t="shared" si="125"/>
      </c>
      <c r="F736" s="2189"/>
      <c r="G736" s="2190"/>
      <c r="H736" s="2191" t="s">
        <v>1471</v>
      </c>
      <c r="I736" s="1675" t="s">
        <v>1446</v>
      </c>
      <c r="J736" s="2192"/>
      <c r="K736" s="1651"/>
      <c r="L736" s="1651"/>
      <c r="M736" s="1651"/>
      <c r="N736" s="1651"/>
      <c r="O736" s="1651"/>
      <c r="P736" s="1651"/>
    </row>
    <row r="737">
      <c r="A737" s="1670" t="s">
        <v>1924</v>
      </c>
      <c r="B737" s="1670"/>
      <c r="C737" s="1670"/>
      <c r="D737" s="1675"/>
      <c r="E737" s="2193">
        <f>3</f>
      </c>
      <c r="F737" s="1649"/>
      <c r="G737" s="1679"/>
      <c r="H737" s="2043"/>
      <c r="I737" s="1649"/>
      <c r="J737" s="1650"/>
      <c r="K737" s="1651"/>
      <c r="L737" s="1651"/>
      <c r="M737" s="1651"/>
      <c r="N737" s="1651"/>
      <c r="O737" s="1651"/>
      <c r="P737" s="1651"/>
    </row>
    <row r="738">
      <c r="A738" s="1670" t="s">
        <v>1924</v>
      </c>
      <c r="B738" s="1644">
        <v>46249</v>
      </c>
      <c r="C738" s="1670" t="str">
        <v>Saturday</v>
      </c>
      <c r="D738" s="1645" t="s">
        <v>1738</v>
      </c>
      <c r="E738" s="1675">
        <f t="shared" ref="E738:E739" si="126">24*MOD(TIMEVALUE(TRIM(MID(D738,FIND("-",D738)+1,LEN(D738)))) - TIMEVALUE(TRIM(LEFT(D738,FIND("-",D738)-1))),1)</f>
      </c>
      <c r="F738" s="1649"/>
      <c r="G738" s="1689"/>
      <c r="H738" s="2043" t="s">
        <v>1471</v>
      </c>
      <c r="I738" s="1675" t="s">
        <v>1446</v>
      </c>
      <c r="J738" s="1650"/>
      <c r="K738" s="1651"/>
      <c r="L738" s="1651"/>
      <c r="M738" s="1651"/>
      <c r="N738" s="1651"/>
      <c r="O738" s="1651"/>
      <c r="P738" s="1651"/>
    </row>
    <row r="739">
      <c r="A739" s="2186" t="s">
        <v>1926</v>
      </c>
      <c r="B739" s="2187">
        <v>46249</v>
      </c>
      <c r="C739" s="2186" t="str">
        <v>Saturday</v>
      </c>
      <c r="D739" s="2188" t="s">
        <v>1738</v>
      </c>
      <c r="E739" s="2189">
        <f t="shared" si="126"/>
      </c>
      <c r="F739" s="2189"/>
      <c r="G739" s="2190"/>
      <c r="H739" s="2191" t="s">
        <v>1471</v>
      </c>
      <c r="I739" s="1675" t="s">
        <v>1446</v>
      </c>
      <c r="J739" s="2192"/>
      <c r="K739" s="1651"/>
      <c r="L739" s="1651"/>
      <c r="M739" s="1651"/>
      <c r="N739" s="1651"/>
      <c r="O739" s="1651"/>
      <c r="P739" s="1651"/>
    </row>
    <row r="740">
      <c r="A740" s="1670" t="s">
        <v>1924</v>
      </c>
      <c r="B740" s="1670"/>
      <c r="C740" s="1670"/>
      <c r="D740" s="1675"/>
      <c r="E740" s="2193">
        <f>3</f>
      </c>
      <c r="F740" s="1649"/>
      <c r="G740" s="1679"/>
      <c r="H740" s="2043"/>
      <c r="I740" s="1649"/>
      <c r="J740" s="1650"/>
      <c r="K740" s="1651"/>
      <c r="L740" s="1651"/>
      <c r="M740" s="1651"/>
      <c r="N740" s="1651"/>
      <c r="O740" s="1651"/>
      <c r="P740" s="1651"/>
    </row>
    <row customHeight="true" ht="18.452380952380953" r="741">
      <c r="A741" s="1670" t="s">
        <v>1924</v>
      </c>
      <c r="B741" s="1644">
        <v>46250</v>
      </c>
      <c r="C741" s="1670" t="str">
        <v>Sunday</v>
      </c>
      <c r="D741" s="1645" t="s">
        <v>1860</v>
      </c>
      <c r="E741" s="1675">
        <f t="shared" ref="E741:E742" si="127">24*MOD(TIMEVALUE(TRIM(MID(D741,FIND("-",D741)+1,LEN(D741)))) - TIMEVALUE(TRIM(LEFT(D741,FIND("-",D741)-1))),1)</f>
      </c>
      <c r="F741" s="1649"/>
      <c r="G741" s="1689"/>
      <c r="H741" s="2043" t="s">
        <v>1471</v>
      </c>
      <c r="I741" s="1675" t="s">
        <v>1446</v>
      </c>
      <c r="J741" s="1650"/>
      <c r="K741" s="1651"/>
      <c r="L741" s="1651"/>
      <c r="M741" s="1651"/>
      <c r="N741" s="1651"/>
      <c r="O741" s="1651"/>
      <c r="P741" s="1651"/>
    </row>
    <row customHeight="true" ht="18.452380952380953" r="742">
      <c r="A742" s="2186" t="s">
        <v>1926</v>
      </c>
      <c r="B742" s="2187">
        <v>46250</v>
      </c>
      <c r="C742" s="2186" t="str">
        <v>Sunday</v>
      </c>
      <c r="D742" s="2188" t="s">
        <v>1931</v>
      </c>
      <c r="E742" s="2189">
        <f t="shared" si="127"/>
      </c>
      <c r="F742" s="2189"/>
      <c r="G742" s="2190"/>
      <c r="H742" s="2191" t="s">
        <v>1471</v>
      </c>
      <c r="I742" s="1675" t="s">
        <v>1469</v>
      </c>
      <c r="J742" s="2192"/>
      <c r="K742" s="1651"/>
      <c r="L742" s="1651"/>
      <c r="M742" s="1651"/>
      <c r="N742" s="1651"/>
      <c r="O742" s="1651"/>
      <c r="P742" s="1651"/>
    </row>
    <row customHeight="true" ht="18.452380952380953" r="743">
      <c r="A743" s="1670" t="s">
        <v>1924</v>
      </c>
      <c r="B743" s="1670"/>
      <c r="C743" s="1670"/>
      <c r="D743" s="1675"/>
      <c r="E743" s="2193">
        <f>3</f>
      </c>
      <c r="F743" s="1649"/>
      <c r="G743" s="1679"/>
      <c r="H743" s="2043"/>
      <c r="I743" s="1649"/>
      <c r="J743" s="1650"/>
      <c r="K743" s="1651"/>
      <c r="L743" s="1651"/>
      <c r="M743" s="1651"/>
      <c r="N743" s="1651"/>
      <c r="O743" s="1651"/>
      <c r="P743" s="1651"/>
    </row>
    <row r="744">
      <c r="A744" s="1771"/>
      <c r="B744" s="1670"/>
      <c r="C744" s="1670"/>
      <c r="D744" s="1675"/>
      <c r="E744" s="1675"/>
      <c r="F744" s="1675"/>
      <c r="G744" s="1679"/>
      <c r="H744" s="2043"/>
      <c r="I744" s="1675"/>
      <c r="J744" s="1650"/>
      <c r="K744" s="1651"/>
      <c r="L744" s="1651"/>
      <c r="M744" s="1651"/>
      <c r="N744" s="1651"/>
      <c r="O744" s="1651"/>
      <c r="P744" s="1651"/>
    </row>
    <row r="745">
      <c r="A745" s="1670"/>
      <c r="B745" s="1670"/>
      <c r="C745" s="1670"/>
      <c r="D745" s="1675"/>
      <c r="E745" s="1675"/>
      <c r="F745" s="1675"/>
      <c r="G745" s="1679"/>
      <c r="H745" s="2043"/>
      <c r="I745" s="1675"/>
      <c r="J745" s="1650"/>
      <c r="K745" s="1651"/>
      <c r="L745" s="1651"/>
      <c r="M745" s="1651"/>
      <c r="N745" s="1651"/>
      <c r="O745" s="1651"/>
      <c r="P745" s="1651"/>
    </row>
    <row r="746">
      <c r="A746" s="1670" t="s">
        <v>1932</v>
      </c>
      <c r="B746" s="1644">
        <v>46245</v>
      </c>
      <c r="C746" s="1670" t="str">
        <v>Tuesday</v>
      </c>
      <c r="D746" s="1677" t="s">
        <v>1933</v>
      </c>
      <c r="E746" s="1649">
        <f t="shared" ref="E746:E751" si="128">24*MOD(TIMEVALUE(TRIM(MID(D746,FIND("-",D746)+1,LEN(D746)))) - TIMEVALUE(TRIM(LEFT(D746,FIND("-",D746)-1))),1)</f>
      </c>
      <c r="F746" s="1675"/>
      <c r="G746" s="1794"/>
      <c r="H746" s="1835" t="s">
        <v>1471</v>
      </c>
      <c r="I746" s="1675" t="s">
        <v>1446</v>
      </c>
      <c r="J746" s="1673"/>
      <c r="K746" s="1651"/>
      <c r="L746" s="1651"/>
      <c r="M746" s="1651"/>
      <c r="N746" s="1651"/>
      <c r="O746" s="1651"/>
      <c r="P746" s="1651"/>
    </row>
    <row r="747">
      <c r="A747" s="1670" t="s">
        <v>1932</v>
      </c>
      <c r="B747" s="1644">
        <v>46245</v>
      </c>
      <c r="C747" s="1670" t="str">
        <v>Tuesday</v>
      </c>
      <c r="D747" s="1677" t="s">
        <v>1934</v>
      </c>
      <c r="E747" s="1649">
        <f t="shared" si="128"/>
      </c>
      <c r="F747" s="1675"/>
      <c r="G747" s="1791"/>
      <c r="H747" s="1835" t="s">
        <v>1471</v>
      </c>
      <c r="I747" s="1675" t="s">
        <v>1446</v>
      </c>
      <c r="J747" s="1673"/>
      <c r="K747" s="1651"/>
      <c r="L747" s="1651"/>
      <c r="M747" s="1651"/>
      <c r="N747" s="1651"/>
      <c r="O747" s="1651"/>
      <c r="P747" s="1651"/>
    </row>
    <row r="748">
      <c r="A748" s="1670" t="s">
        <v>1932</v>
      </c>
      <c r="B748" s="1644">
        <v>46246</v>
      </c>
      <c r="C748" s="1670" t="str">
        <v>Wednesday</v>
      </c>
      <c r="D748" s="1677" t="s">
        <v>1605</v>
      </c>
      <c r="E748" s="1649">
        <f t="shared" si="128"/>
      </c>
      <c r="F748" s="1675"/>
      <c r="G748" s="1791"/>
      <c r="H748" s="1835" t="s">
        <v>1471</v>
      </c>
      <c r="I748" s="1675" t="s">
        <v>1446</v>
      </c>
      <c r="J748" s="1673"/>
      <c r="K748" s="1651"/>
      <c r="L748" s="1651"/>
      <c r="M748" s="1651"/>
      <c r="N748" s="1651"/>
      <c r="O748" s="1651"/>
      <c r="P748" s="1651"/>
    </row>
    <row r="749">
      <c r="A749" s="1670" t="s">
        <v>1932</v>
      </c>
      <c r="B749" s="1670">
        <v>46234</v>
      </c>
      <c r="C749" s="1670" t="str">
        <v>Friday</v>
      </c>
      <c r="D749" s="1645" t="s">
        <v>1731</v>
      </c>
      <c r="E749" s="1649">
        <f t="shared" si="128"/>
      </c>
      <c r="F749" s="1675"/>
      <c r="G749" s="1791"/>
      <c r="H749" s="1835" t="s">
        <v>1471</v>
      </c>
      <c r="I749" s="1675" t="s">
        <v>1469</v>
      </c>
      <c r="J749" s="1673"/>
      <c r="K749" s="1651"/>
      <c r="L749" s="1651"/>
      <c r="M749" s="1651"/>
      <c r="N749" s="1651"/>
      <c r="O749" s="1651"/>
      <c r="P749" s="1651"/>
    </row>
    <row r="750">
      <c r="A750" s="1670" t="s">
        <v>1932</v>
      </c>
      <c r="B750" s="1670">
        <v>46220</v>
      </c>
      <c r="C750" s="1670" t="str">
        <v>Friday</v>
      </c>
      <c r="D750" s="1649" t="s">
        <v>1634</v>
      </c>
      <c r="E750" s="1649">
        <f t="shared" si="128"/>
      </c>
      <c r="F750" s="1675"/>
      <c r="G750" s="1791"/>
      <c r="H750" s="1835" t="s">
        <v>1471</v>
      </c>
      <c r="I750" s="1675" t="s">
        <v>1469</v>
      </c>
      <c r="J750" s="1673"/>
      <c r="K750" s="1651"/>
      <c r="L750" s="1651"/>
      <c r="M750" s="1651"/>
      <c r="N750" s="1651"/>
      <c r="O750" s="1651"/>
      <c r="P750" s="1651"/>
    </row>
    <row r="751">
      <c r="A751" s="1670" t="s">
        <v>1932</v>
      </c>
      <c r="B751" s="1670">
        <v>46219</v>
      </c>
      <c r="C751" s="1670" t="str">
        <v>Thursday</v>
      </c>
      <c r="D751" s="1649" t="s">
        <v>1855</v>
      </c>
      <c r="E751" s="1649">
        <f t="shared" si="128"/>
      </c>
      <c r="F751" s="1675"/>
      <c r="G751" s="1791"/>
      <c r="H751" s="1835" t="s">
        <v>1471</v>
      </c>
      <c r="I751" s="1675" t="s">
        <v>1469</v>
      </c>
      <c r="J751" s="1673"/>
      <c r="K751" s="1651"/>
      <c r="L751" s="1651"/>
      <c r="M751" s="1651"/>
      <c r="N751" s="1651"/>
      <c r="O751" s="1651"/>
      <c r="P751" s="1651"/>
    </row>
    <row r="752">
      <c r="A752" s="1907"/>
      <c r="B752" s="1907"/>
      <c r="C752" s="1907"/>
      <c r="D752" s="1907"/>
      <c r="E752" s="1907"/>
      <c r="F752" s="1907"/>
      <c r="G752" s="2035"/>
      <c r="H752" s="1907"/>
      <c r="I752" s="1907"/>
      <c r="J752" s="1907"/>
      <c r="K752" s="1651"/>
      <c r="L752" s="1651"/>
      <c r="M752" s="1651"/>
      <c r="N752" s="1651"/>
      <c r="O752" s="1651"/>
      <c r="P752" s="1651"/>
    </row>
    <row r="753">
      <c r="A753" s="2195" t="s">
        <v>1935</v>
      </c>
      <c r="B753" s="2196"/>
      <c r="C753" s="2196"/>
      <c r="D753" s="2196"/>
      <c r="E753" s="2196"/>
      <c r="F753" s="2196"/>
      <c r="G753" s="2196"/>
      <c r="H753" s="2196"/>
      <c r="I753" s="2196"/>
      <c r="J753" s="2197"/>
      <c r="K753" s="2130"/>
      <c r="L753" s="2130"/>
      <c r="M753" s="2130"/>
      <c r="N753" s="2130"/>
      <c r="O753" s="2130"/>
      <c r="P753" s="2130"/>
    </row>
    <row r="754">
      <c r="A754" s="2198" t="s">
        <v>1935</v>
      </c>
      <c r="B754" s="2199" t="s">
        <v>1458</v>
      </c>
      <c r="C754" s="2199"/>
      <c r="D754" s="2200" t="s">
        <v>1459</v>
      </c>
      <c r="E754" s="2200" t="s">
        <v>1460</v>
      </c>
      <c r="F754" s="2200"/>
      <c r="G754" s="2201"/>
      <c r="H754" s="2200" t="s">
        <v>1463</v>
      </c>
      <c r="I754" s="2200" t="s">
        <v>1464</v>
      </c>
      <c r="J754" s="2202" t="s">
        <v>1465</v>
      </c>
      <c r="K754" s="1669"/>
      <c r="L754" s="1669"/>
      <c r="M754" s="1669"/>
      <c r="N754" s="1669"/>
      <c r="O754" s="1669"/>
      <c r="P754" s="1669"/>
    </row>
    <row r="755">
      <c r="A755" s="1785" t="s">
        <v>1935</v>
      </c>
      <c r="B755" s="1644">
        <v>46280</v>
      </c>
      <c r="C755" s="1670" t="str">
        <v>Tuesday</v>
      </c>
      <c r="D755" s="1645" t="s">
        <v>1659</v>
      </c>
      <c r="E755" s="1675">
        <f t="shared" ref="E755:E770" si="129">24*MOD(TIMEVALUE(TRIM(MID(D755,FIND("-",D755)+1,LEN(D755)))) - TIMEVALUE(TRIM(LEFT(D755,FIND("-",D755)-1))),1)</f>
      </c>
      <c r="F755" s="1787" t="s">
        <v>1936</v>
      </c>
      <c r="G755" s="1916"/>
      <c r="H755" s="1787" t="s">
        <v>1471</v>
      </c>
      <c r="I755" s="2203" t="s">
        <v>1446</v>
      </c>
      <c r="J755" s="1869"/>
      <c r="K755" s="1651"/>
      <c r="L755" s="1651"/>
      <c r="M755" s="1651"/>
      <c r="N755" s="1651"/>
      <c r="O755" s="1651"/>
      <c r="P755" s="1651"/>
    </row>
    <row r="756">
      <c r="A756" s="2204" t="s">
        <v>1937</v>
      </c>
      <c r="B756" s="2205">
        <v>46280</v>
      </c>
      <c r="C756" s="2204" t="str">
        <v>Tuesday</v>
      </c>
      <c r="D756" s="2206" t="s">
        <v>1938</v>
      </c>
      <c r="E756" s="2203">
        <f t="shared" si="129"/>
      </c>
      <c r="F756" s="2203" t="s">
        <v>1910</v>
      </c>
      <c r="G756" s="2207"/>
      <c r="H756" s="2203" t="s">
        <v>1471</v>
      </c>
      <c r="I756" s="2203" t="s">
        <v>1446</v>
      </c>
      <c r="J756" s="2208"/>
      <c r="K756" s="1651"/>
      <c r="L756" s="1651"/>
      <c r="M756" s="1651"/>
      <c r="N756" s="1651"/>
      <c r="O756" s="1651"/>
      <c r="P756" s="1651"/>
    </row>
    <row r="757">
      <c r="A757" s="1785" t="s">
        <v>1935</v>
      </c>
      <c r="B757" s="1790">
        <v>46281</v>
      </c>
      <c r="C757" s="1785" t="str">
        <v>Wednesday</v>
      </c>
      <c r="D757" s="1645" t="s">
        <v>1650</v>
      </c>
      <c r="E757" s="1787">
        <f t="shared" si="129"/>
      </c>
      <c r="F757" s="1787" t="s">
        <v>1529</v>
      </c>
      <c r="G757" s="1809"/>
      <c r="H757" s="1787" t="s">
        <v>1471</v>
      </c>
      <c r="I757" s="1738" t="s">
        <v>1446</v>
      </c>
      <c r="J757" s="1851"/>
      <c r="K757" s="1651"/>
      <c r="L757" s="1651"/>
      <c r="M757" s="1651"/>
      <c r="N757" s="1651"/>
      <c r="O757" s="1651"/>
      <c r="P757" s="1651"/>
    </row>
    <row r="758">
      <c r="A758" s="2204" t="s">
        <v>1937</v>
      </c>
      <c r="B758" s="2205">
        <v>46281</v>
      </c>
      <c r="C758" s="2204" t="str">
        <v>Wednesday</v>
      </c>
      <c r="D758" s="2206" t="s">
        <v>1939</v>
      </c>
      <c r="E758" s="2203">
        <f t="shared" si="129"/>
      </c>
      <c r="F758" s="2203" t="s">
        <v>1910</v>
      </c>
      <c r="G758" s="2207"/>
      <c r="H758" s="2170" t="s">
        <v>1471</v>
      </c>
      <c r="I758" s="2203" t="s">
        <v>1446</v>
      </c>
      <c r="J758" s="2208"/>
      <c r="K758" s="1651"/>
      <c r="L758" s="1651"/>
      <c r="M758" s="1651"/>
      <c r="N758" s="1651"/>
      <c r="O758" s="1651"/>
      <c r="P758" s="1651"/>
    </row>
    <row customHeight="true" ht="18.452380952380953" r="759">
      <c r="A759" s="1670" t="s">
        <v>1935</v>
      </c>
      <c r="B759" s="1670">
        <v>46281</v>
      </c>
      <c r="C759" s="1670" t="str">
        <v>Wednesday</v>
      </c>
      <c r="D759" s="1645" t="s">
        <v>1554</v>
      </c>
      <c r="E759" s="1675">
        <f t="shared" si="129"/>
      </c>
      <c r="F759" s="1675" t="s">
        <v>1519</v>
      </c>
      <c r="G759" s="1679"/>
      <c r="H759" s="1675" t="s">
        <v>1471</v>
      </c>
      <c r="I759" s="2170" t="s">
        <v>1446</v>
      </c>
      <c r="J759" s="1650"/>
      <c r="K759" s="1789"/>
      <c r="L759" s="1789"/>
      <c r="M759" s="1789"/>
      <c r="N759" s="1789"/>
      <c r="O759" s="1789"/>
      <c r="P759" s="1789"/>
      <c r="Q759" s="1680"/>
      <c r="R759" s="1680"/>
    </row>
    <row customHeight="true" ht="18.452380952380953" r="760">
      <c r="A760" s="2209" t="s">
        <v>1937</v>
      </c>
      <c r="B760" s="2209">
        <v>46281</v>
      </c>
      <c r="C760" s="2209" t="str">
        <v>Wednesday</v>
      </c>
      <c r="D760" s="2210" t="s">
        <v>1554</v>
      </c>
      <c r="E760" s="2170">
        <f t="shared" si="129"/>
      </c>
      <c r="F760" s="2170" t="s">
        <v>1920</v>
      </c>
      <c r="G760" s="2211"/>
      <c r="H760" s="2170" t="s">
        <v>1471</v>
      </c>
      <c r="I760" s="2170" t="s">
        <v>1446</v>
      </c>
      <c r="J760" s="2208"/>
      <c r="K760" s="1789"/>
      <c r="L760" s="1789"/>
      <c r="M760" s="1789"/>
      <c r="N760" s="1789"/>
      <c r="O760" s="1789"/>
      <c r="P760" s="1789"/>
      <c r="Q760" s="1680"/>
      <c r="R760" s="1680"/>
    </row>
    <row customHeight="true" ht="18.452380952380953" r="761">
      <c r="A761" s="1785" t="s">
        <v>1935</v>
      </c>
      <c r="B761" s="1644">
        <v>46282</v>
      </c>
      <c r="C761" s="1670" t="str">
        <v>Thursday</v>
      </c>
      <c r="D761" s="1645" t="s">
        <v>1650</v>
      </c>
      <c r="E761" s="1787">
        <f t="shared" si="129"/>
      </c>
      <c r="F761" s="1787" t="s">
        <v>1529</v>
      </c>
      <c r="G761" s="1794" t="s">
        <v>1940</v>
      </c>
      <c r="H761" s="1649" t="s">
        <v>1471</v>
      </c>
      <c r="I761" s="1738" t="s">
        <v>1446</v>
      </c>
      <c r="J761" s="1673"/>
      <c r="K761" s="1651"/>
      <c r="L761" s="1651"/>
      <c r="M761" s="1651"/>
      <c r="N761" s="1651"/>
      <c r="O761" s="1651"/>
      <c r="P761" s="1651"/>
    </row>
    <row customHeight="true" ht="18.452380952380953" r="762">
      <c r="A762" s="2204" t="s">
        <v>1937</v>
      </c>
      <c r="B762" s="2205">
        <v>46282</v>
      </c>
      <c r="C762" s="2204" t="str">
        <v>Thursday</v>
      </c>
      <c r="D762" s="2206" t="s">
        <v>1939</v>
      </c>
      <c r="E762" s="2203">
        <f t="shared" si="129"/>
      </c>
      <c r="F762" s="2203" t="s">
        <v>1761</v>
      </c>
      <c r="G762" s="2212"/>
      <c r="H762" s="2170" t="s">
        <v>1471</v>
      </c>
      <c r="I762" s="2203" t="s">
        <v>1446</v>
      </c>
      <c r="J762" s="2208"/>
      <c r="K762" s="1651"/>
      <c r="L762" s="1651"/>
      <c r="M762" s="1651"/>
      <c r="N762" s="1651"/>
      <c r="O762" s="1651"/>
      <c r="P762" s="1651"/>
    </row>
    <row r="763">
      <c r="A763" s="1785" t="s">
        <v>1935</v>
      </c>
      <c r="B763" s="1644">
        <v>46282</v>
      </c>
      <c r="C763" s="1670" t="str">
        <v>Thursday</v>
      </c>
      <c r="D763" s="1645" t="s">
        <v>1486</v>
      </c>
      <c r="E763" s="1787">
        <f t="shared" si="129"/>
      </c>
      <c r="F763" s="1787" t="s">
        <v>1879</v>
      </c>
      <c r="G763" s="1794" t="s">
        <v>1941</v>
      </c>
      <c r="H763" s="1649" t="s">
        <v>1471</v>
      </c>
      <c r="I763" s="2203" t="s">
        <v>1446</v>
      </c>
      <c r="J763" s="1673"/>
      <c r="K763" s="1651"/>
      <c r="L763" s="1651"/>
      <c r="M763" s="1651"/>
      <c r="N763" s="1651"/>
      <c r="O763" s="1651"/>
      <c r="P763" s="1651"/>
    </row>
    <row r="764">
      <c r="A764" s="2204" t="s">
        <v>1937</v>
      </c>
      <c r="B764" s="2205">
        <v>46282</v>
      </c>
      <c r="C764" s="2204" t="str">
        <v>Thursday</v>
      </c>
      <c r="D764" s="2206" t="s">
        <v>1942</v>
      </c>
      <c r="E764" s="2203">
        <f t="shared" si="129"/>
      </c>
      <c r="F764" s="2203" t="s">
        <v>1910</v>
      </c>
      <c r="G764" s="2207"/>
      <c r="H764" s="2170" t="s">
        <v>1471</v>
      </c>
      <c r="I764" s="2203" t="s">
        <v>1446</v>
      </c>
      <c r="J764" s="2208"/>
      <c r="K764" s="1651"/>
      <c r="L764" s="1651"/>
      <c r="M764" s="1651"/>
      <c r="N764" s="1651"/>
      <c r="O764" s="1651"/>
      <c r="P764" s="1651"/>
    </row>
    <row r="765">
      <c r="A765" s="1785" t="s">
        <v>1935</v>
      </c>
      <c r="B765" s="1644">
        <v>46283</v>
      </c>
      <c r="C765" s="1670" t="str">
        <v>Friday</v>
      </c>
      <c r="D765" s="1645" t="s">
        <v>1675</v>
      </c>
      <c r="E765" s="1787">
        <f t="shared" si="129"/>
      </c>
      <c r="F765" s="1787" t="s">
        <v>1519</v>
      </c>
      <c r="G765" s="1794"/>
      <c r="H765" s="1649" t="s">
        <v>1471</v>
      </c>
      <c r="I765" s="2203" t="s">
        <v>1446</v>
      </c>
      <c r="J765" s="1673"/>
      <c r="K765" s="1651"/>
      <c r="L765" s="1651"/>
      <c r="M765" s="1651"/>
      <c r="N765" s="1651"/>
      <c r="O765" s="1651"/>
      <c r="P765" s="1651"/>
    </row>
    <row r="766">
      <c r="A766" s="2204" t="s">
        <v>1937</v>
      </c>
      <c r="B766" s="2205">
        <v>46283</v>
      </c>
      <c r="C766" s="2204" t="str">
        <v>Friday</v>
      </c>
      <c r="D766" s="2206" t="s">
        <v>1675</v>
      </c>
      <c r="E766" s="2170">
        <f t="shared" si="129"/>
      </c>
      <c r="F766" s="2203" t="s">
        <v>1920</v>
      </c>
      <c r="G766" s="2207"/>
      <c r="H766" s="2170" t="s">
        <v>1471</v>
      </c>
      <c r="I766" s="2170" t="s">
        <v>1446</v>
      </c>
      <c r="J766" s="2208"/>
      <c r="K766" s="1651"/>
      <c r="L766" s="1651"/>
      <c r="M766" s="1651"/>
      <c r="N766" s="1651"/>
      <c r="O766" s="1651"/>
      <c r="P766" s="1651"/>
    </row>
    <row customHeight="true" ht="18.452380952380953" r="767">
      <c r="A767" s="1670" t="s">
        <v>1935</v>
      </c>
      <c r="B767" s="1670">
        <v>46284</v>
      </c>
      <c r="C767" s="1670" t="str">
        <v>Saturday</v>
      </c>
      <c r="D767" s="1645" t="s">
        <v>1943</v>
      </c>
      <c r="E767" s="1675">
        <f t="shared" si="129"/>
      </c>
      <c r="F767" s="1675" t="s">
        <v>1448</v>
      </c>
      <c r="G767" s="1791"/>
      <c r="H767" s="1649" t="s">
        <v>1471</v>
      </c>
      <c r="I767" s="2170" t="s">
        <v>1446</v>
      </c>
      <c r="J767" s="1673"/>
      <c r="K767" s="1789"/>
      <c r="L767" s="1789"/>
      <c r="M767" s="1789"/>
      <c r="N767" s="1789"/>
      <c r="O767" s="1789"/>
      <c r="P767" s="1789"/>
      <c r="Q767" s="1680"/>
      <c r="R767" s="1680"/>
    </row>
    <row customHeight="true" ht="18.452380952380953" r="768">
      <c r="A768" s="2209" t="s">
        <v>1937</v>
      </c>
      <c r="B768" s="2209">
        <v>46284</v>
      </c>
      <c r="C768" s="2209" t="str">
        <v>Saturday</v>
      </c>
      <c r="D768" s="2210" t="s">
        <v>1944</v>
      </c>
      <c r="E768" s="2170">
        <f t="shared" si="129"/>
      </c>
      <c r="F768" s="2170" t="s">
        <v>1920</v>
      </c>
      <c r="G768" s="2211"/>
      <c r="H768" s="2170" t="s">
        <v>1471</v>
      </c>
      <c r="I768" s="2170" t="s">
        <v>1446</v>
      </c>
      <c r="J768" s="2208"/>
      <c r="K768" s="1789"/>
      <c r="L768" s="1789"/>
      <c r="M768" s="1789"/>
      <c r="N768" s="1789"/>
      <c r="O768" s="1789"/>
      <c r="P768" s="1789"/>
      <c r="Q768" s="1680"/>
      <c r="R768" s="1680"/>
    </row>
    <row r="769">
      <c r="A769" s="1785" t="s">
        <v>1935</v>
      </c>
      <c r="B769" s="1644">
        <v>46285</v>
      </c>
      <c r="C769" s="1670" t="str">
        <v>Sunday</v>
      </c>
      <c r="D769" s="1645" t="s">
        <v>1860</v>
      </c>
      <c r="E769" s="1675">
        <f t="shared" si="129"/>
      </c>
      <c r="F769" s="1675" t="s">
        <v>1519</v>
      </c>
      <c r="G769" s="1794"/>
      <c r="H769" s="1649" t="s">
        <v>1471</v>
      </c>
      <c r="I769" s="2203" t="s">
        <v>1446</v>
      </c>
      <c r="J769" s="1673"/>
      <c r="K769" s="1651"/>
      <c r="L769" s="1651"/>
      <c r="M769" s="1651"/>
      <c r="N769" s="1651"/>
      <c r="O769" s="1651"/>
      <c r="P769" s="1651"/>
    </row>
    <row r="770">
      <c r="A770" s="1897" t="s">
        <v>1937</v>
      </c>
      <c r="B770" s="1898">
        <v>46285</v>
      </c>
      <c r="C770" s="1897" t="str">
        <v>Sunday</v>
      </c>
      <c r="D770" s="1899" t="s">
        <v>1931</v>
      </c>
      <c r="E770" s="1747">
        <f t="shared" si="129"/>
      </c>
      <c r="F770" s="1747" t="s">
        <v>1920</v>
      </c>
      <c r="G770" s="1905"/>
      <c r="H770" s="1747" t="s">
        <v>1471</v>
      </c>
      <c r="I770" s="1747" t="s">
        <v>1446</v>
      </c>
      <c r="J770" s="1902"/>
      <c r="K770" s="1903"/>
      <c r="L770" s="1903"/>
      <c r="M770" s="1903"/>
      <c r="N770" s="1903"/>
      <c r="O770" s="1903"/>
      <c r="P770" s="1903"/>
      <c r="Q770" s="1904"/>
      <c r="R770" s="1904"/>
    </row>
    <row r="771">
      <c r="A771" s="1670"/>
      <c r="B771" s="1670"/>
      <c r="C771" s="1670"/>
      <c r="D771" s="1670"/>
      <c r="E771" s="1670"/>
      <c r="F771" s="1670"/>
      <c r="G771" s="1670"/>
      <c r="H771" s="1670"/>
      <c r="I771" s="1670"/>
      <c r="J771" s="1833"/>
      <c r="K771" s="2213"/>
      <c r="L771" s="2213"/>
      <c r="M771" s="2213"/>
      <c r="N771" s="2213"/>
      <c r="O771" s="2213"/>
      <c r="P771" s="2213"/>
    </row>
    <row customHeight="true" ht="16.071428571428573" r="772">
      <c r="A772" s="1670" t="s">
        <v>1945</v>
      </c>
      <c r="B772" s="1644">
        <v>46280</v>
      </c>
      <c r="C772" s="1670" t="str">
        <v>Tuesday</v>
      </c>
      <c r="D772" s="1645" t="s">
        <v>1563</v>
      </c>
      <c r="E772" s="1675">
        <f t="shared" ref="E772:E781" si="130">24*MOD(TIMEVALUE(TRIM(MID(D772,FIND("-",D772)+1,LEN(D772)))) - TIMEVALUE(TRIM(LEFT(D772,FIND("-",D772)-1))),1)</f>
      </c>
      <c r="F772" s="1678" t="s">
        <v>1448</v>
      </c>
      <c r="G772" s="1644"/>
      <c r="H772" s="1649" t="s">
        <v>1471</v>
      </c>
      <c r="I772" s="2170" t="s">
        <v>1446</v>
      </c>
      <c r="J772" s="1833"/>
      <c r="K772" s="2213"/>
      <c r="L772" s="2213"/>
      <c r="M772" s="2213"/>
      <c r="N772" s="2213"/>
      <c r="O772" s="2213"/>
      <c r="P772" s="2213"/>
    </row>
    <row customHeight="true" ht="16.071428571428573" r="773">
      <c r="A773" s="1670" t="s">
        <v>1945</v>
      </c>
      <c r="B773" s="1644">
        <v>46283</v>
      </c>
      <c r="C773" s="1670" t="str">
        <v>Friday</v>
      </c>
      <c r="D773" s="1645" t="s">
        <v>1675</v>
      </c>
      <c r="E773" s="1675">
        <f t="shared" si="130"/>
      </c>
      <c r="F773" s="1670"/>
      <c r="G773" s="1670"/>
      <c r="H773" s="1649" t="s">
        <v>1471</v>
      </c>
      <c r="I773" s="2170" t="s">
        <v>1469</v>
      </c>
      <c r="J773" s="1833"/>
      <c r="K773" s="2213"/>
      <c r="L773" s="2213"/>
      <c r="M773" s="2213"/>
      <c r="N773" s="2213"/>
      <c r="O773" s="2213"/>
      <c r="P773" s="2213"/>
    </row>
    <row customHeight="true" ht="16.071428571428573" r="774">
      <c r="A774" s="1670" t="s">
        <v>1945</v>
      </c>
      <c r="B774" s="1644">
        <v>46267</v>
      </c>
      <c r="C774" s="1670" t="str">
        <v>Wednesday</v>
      </c>
      <c r="D774" s="1645" t="s">
        <v>1626</v>
      </c>
      <c r="E774" s="1675">
        <f t="shared" si="130"/>
      </c>
      <c r="F774" s="1670"/>
      <c r="G774" s="1644"/>
      <c r="H774" s="1649" t="s">
        <v>1471</v>
      </c>
      <c r="I774" s="2170" t="s">
        <v>1469</v>
      </c>
      <c r="J774" s="1833"/>
      <c r="K774" s="2213"/>
      <c r="L774" s="2213"/>
      <c r="M774" s="2213"/>
      <c r="N774" s="2213"/>
      <c r="O774" s="2213"/>
      <c r="P774" s="2213"/>
    </row>
    <row customHeight="true" ht="16.071428571428573" r="775">
      <c r="A775" s="1670" t="s">
        <v>1945</v>
      </c>
      <c r="B775" s="1644">
        <v>46267</v>
      </c>
      <c r="C775" s="1670" t="str">
        <v>Wednesday</v>
      </c>
      <c r="D775" s="1645" t="s">
        <v>1719</v>
      </c>
      <c r="E775" s="1690">
        <f t="shared" si="130"/>
      </c>
      <c r="F775" s="1670"/>
      <c r="G775" s="1644"/>
      <c r="H775" s="1649" t="s">
        <v>1471</v>
      </c>
      <c r="I775" s="2170" t="s">
        <v>1469</v>
      </c>
      <c r="J775" s="1833"/>
      <c r="K775" s="2213"/>
      <c r="L775" s="2213"/>
      <c r="M775" s="2213"/>
      <c r="N775" s="2213"/>
      <c r="O775" s="2213"/>
      <c r="P775" s="2213"/>
    </row>
    <row customHeight="true" ht="16.071428571428573" r="776">
      <c r="A776" s="1670" t="s">
        <v>1945</v>
      </c>
      <c r="B776" s="1644">
        <v>46283</v>
      </c>
      <c r="C776" s="1670" t="str">
        <v>Friday</v>
      </c>
      <c r="D776" s="1646" t="s">
        <v>1649</v>
      </c>
      <c r="E776" s="1658">
        <f t="shared" si="130"/>
      </c>
      <c r="F776" s="2214" t="s">
        <v>1849</v>
      </c>
      <c r="G776" s="1644"/>
      <c r="H776" s="1649"/>
      <c r="I776" s="2170" t="s">
        <v>1446</v>
      </c>
      <c r="J776" s="1833"/>
      <c r="K776" s="2213"/>
      <c r="L776" s="2213"/>
      <c r="M776" s="2213"/>
      <c r="N776" s="2213"/>
      <c r="O776" s="2213"/>
      <c r="P776" s="2213"/>
    </row>
    <row r="777">
      <c r="A777" s="1670" t="s">
        <v>1945</v>
      </c>
      <c r="B777" s="1644">
        <v>46280</v>
      </c>
      <c r="C777" s="1670" t="str">
        <v>Tuesday</v>
      </c>
      <c r="D777" s="1646" t="s">
        <v>1946</v>
      </c>
      <c r="E777" s="1658">
        <f t="shared" si="130"/>
      </c>
      <c r="F777" s="2214" t="s">
        <v>1947</v>
      </c>
      <c r="G777" s="1680"/>
      <c r="H777" s="1680"/>
      <c r="I777" s="1680"/>
      <c r="J777" s="1680"/>
      <c r="K777" s="1770"/>
      <c r="L777" s="1770"/>
      <c r="M777" s="1770"/>
      <c r="N777" s="1770"/>
      <c r="O777" s="1770"/>
      <c r="P777" s="1770"/>
    </row>
    <row customHeight="true" ht="16.071428571428573" r="778">
      <c r="A778" s="1670" t="s">
        <v>1945</v>
      </c>
      <c r="B778" s="1790">
        <v>46281</v>
      </c>
      <c r="C778" s="1785" t="str">
        <v>Wednesday</v>
      </c>
      <c r="D778" s="1646" t="s">
        <v>1508</v>
      </c>
      <c r="E778" s="1658">
        <f t="shared" si="130"/>
      </c>
      <c r="F778" s="2214" t="s">
        <v>1947</v>
      </c>
      <c r="G778" s="1680"/>
      <c r="H778" s="1680"/>
      <c r="I778" s="1680"/>
      <c r="J778" s="1680"/>
      <c r="K778" s="1770"/>
      <c r="L778" s="1770"/>
      <c r="M778" s="1770"/>
      <c r="N778" s="1770"/>
      <c r="O778" s="1770"/>
      <c r="P778" s="1770"/>
    </row>
    <row customHeight="true" ht="16.071428571428573" r="779">
      <c r="A779" s="1670" t="s">
        <v>1945</v>
      </c>
      <c r="B779" s="1644">
        <v>46283</v>
      </c>
      <c r="C779" s="1670" t="str">
        <v>Friday</v>
      </c>
      <c r="D779" s="1646" t="s">
        <v>1948</v>
      </c>
      <c r="E779" s="1658">
        <f t="shared" si="130"/>
      </c>
      <c r="F779" s="2214" t="s">
        <v>1947</v>
      </c>
      <c r="G779" s="1680"/>
      <c r="H779" s="1680"/>
      <c r="I779" s="1680"/>
      <c r="J779" s="1680"/>
      <c r="K779" s="1770"/>
      <c r="L779" s="1770"/>
      <c r="M779" s="1770"/>
      <c r="N779" s="1770"/>
      <c r="O779" s="1770"/>
      <c r="P779" s="1770"/>
    </row>
    <row customHeight="true" ht="16.071428571428573" r="780">
      <c r="A780" s="1670" t="s">
        <v>1945</v>
      </c>
      <c r="B780" s="1644">
        <v>46284</v>
      </c>
      <c r="C780" s="1670" t="str">
        <v>Saturday</v>
      </c>
      <c r="D780" s="1646" t="s">
        <v>1949</v>
      </c>
      <c r="E780" s="1658">
        <f t="shared" si="130"/>
      </c>
      <c r="F780" s="2214" t="s">
        <v>1947</v>
      </c>
      <c r="G780" s="1680"/>
      <c r="H780" s="1680"/>
      <c r="I780" s="1680"/>
      <c r="J780" s="1680"/>
      <c r="K780" s="1770"/>
      <c r="L780" s="1770"/>
      <c r="M780" s="1770"/>
      <c r="N780" s="1770"/>
      <c r="O780" s="1770"/>
      <c r="P780" s="1770"/>
    </row>
    <row customHeight="true" ht="16.071428571428573" r="781">
      <c r="A781" s="1670" t="s">
        <v>1945</v>
      </c>
      <c r="B781" s="1644">
        <v>46285</v>
      </c>
      <c r="C781" s="1670" t="str">
        <v>Sunday</v>
      </c>
      <c r="D781" s="1646" t="s">
        <v>1950</v>
      </c>
      <c r="E781" s="1658">
        <f t="shared" si="130"/>
      </c>
      <c r="F781" s="2214" t="s">
        <v>1947</v>
      </c>
      <c r="G781" s="1680"/>
      <c r="H781" s="1680"/>
      <c r="I781" s="1680"/>
      <c r="J781" s="1680"/>
      <c r="K781" s="1770"/>
      <c r="L781" s="1770"/>
      <c r="M781" s="1770"/>
      <c r="N781" s="1770"/>
      <c r="O781" s="1770"/>
      <c r="P781" s="1770"/>
    </row>
    <row customHeight="true" ht="16.071428571428573" r="782">
      <c r="A782" s="1680"/>
      <c r="B782" s="1680"/>
      <c r="C782" s="1680"/>
      <c r="D782" s="1795"/>
      <c r="E782" s="1680"/>
      <c r="F782" s="1680"/>
      <c r="G782" s="1680"/>
      <c r="H782" s="1680"/>
      <c r="I782" s="1680"/>
      <c r="J782" s="1680"/>
      <c r="K782" s="1770"/>
      <c r="L782" s="1770"/>
      <c r="M782" s="1770"/>
      <c r="N782" s="1770"/>
      <c r="O782" s="1770"/>
      <c r="P782" s="1770"/>
    </row>
    <row r="783">
      <c r="A783" s="2215" t="s">
        <v>1951</v>
      </c>
      <c r="B783" s="2216"/>
      <c r="C783" s="2215"/>
      <c r="D783" s="2215"/>
      <c r="E783" s="2215"/>
      <c r="F783" s="2215"/>
      <c r="G783" s="2215"/>
      <c r="H783" s="2215"/>
      <c r="I783" s="2215"/>
      <c r="J783" s="2217"/>
      <c r="K783" s="2130"/>
      <c r="L783" s="2130"/>
      <c r="M783" s="2130"/>
      <c r="N783" s="2130"/>
      <c r="O783" s="2130"/>
      <c r="P783" s="2130"/>
    </row>
    <row r="784">
      <c r="A784" s="1920" t="s">
        <v>1951</v>
      </c>
      <c r="B784" s="1921" t="s">
        <v>1458</v>
      </c>
      <c r="C784" s="1921"/>
      <c r="D784" s="1922" t="s">
        <v>1459</v>
      </c>
      <c r="E784" s="1922" t="s">
        <v>1460</v>
      </c>
      <c r="F784" s="1922" t="s">
        <v>1461</v>
      </c>
      <c r="G784" s="1923" t="s">
        <v>1473</v>
      </c>
      <c r="H784" s="1922" t="s">
        <v>1463</v>
      </c>
      <c r="I784" s="1922" t="s">
        <v>1464</v>
      </c>
      <c r="J784" s="1924" t="s">
        <v>1465</v>
      </c>
      <c r="K784" s="1669"/>
      <c r="L784" s="1669"/>
      <c r="M784" s="1669"/>
      <c r="N784" s="1669"/>
      <c r="O784" s="1669"/>
      <c r="P784" s="1669"/>
    </row>
    <row r="785">
      <c r="A785" s="1670" t="s">
        <v>1951</v>
      </c>
      <c r="B785" s="1644">
        <v>46280</v>
      </c>
      <c r="C785" s="1785" t="str">
        <v>Tuesday</v>
      </c>
      <c r="D785" s="1645" t="s">
        <v>1555</v>
      </c>
      <c r="E785" s="1787">
        <f t="shared" ref="E785:E786" si="131">24*MOD(TIMEVALUE(TRIM(MID(D785,FIND("-",D785)+1,LEN(D785)))) - TIMEVALUE(TRIM(LEFT(D785,FIND("-",D785)-1))),1)</f>
      </c>
      <c r="F785" s="1675" t="s">
        <v>1770</v>
      </c>
      <c r="G785" s="1689"/>
      <c r="H785" s="1787" t="s">
        <v>1471</v>
      </c>
      <c r="I785" s="1738" t="s">
        <v>1446</v>
      </c>
      <c r="J785" s="1869"/>
      <c r="K785" s="1651"/>
      <c r="L785" s="1651"/>
      <c r="M785" s="1651"/>
      <c r="N785" s="1651"/>
      <c r="O785" s="1651"/>
      <c r="P785" s="1651"/>
    </row>
    <row r="786">
      <c r="A786" s="2218" t="s">
        <v>1952</v>
      </c>
      <c r="B786" s="2219">
        <v>46280</v>
      </c>
      <c r="C786" s="2218" t="str">
        <v>Tuesday</v>
      </c>
      <c r="D786" s="2220" t="s">
        <v>1555</v>
      </c>
      <c r="E786" s="2221">
        <f t="shared" si="131"/>
      </c>
      <c r="F786" s="2221" t="s">
        <v>1953</v>
      </c>
      <c r="G786" s="2222"/>
      <c r="H786" s="2223" t="s">
        <v>1471</v>
      </c>
      <c r="I786" s="1738" t="s">
        <v>1446</v>
      </c>
      <c r="J786" s="2224"/>
      <c r="K786" s="1651"/>
      <c r="L786" s="1651"/>
      <c r="M786" s="1651"/>
      <c r="N786" s="1651"/>
      <c r="O786" s="1651"/>
      <c r="P786" s="1651"/>
    </row>
    <row customHeight="true" ht="18.452380952380953" r="787">
      <c r="A787" s="1670" t="s">
        <v>1951</v>
      </c>
      <c r="B787" s="1644">
        <v>46281</v>
      </c>
      <c r="C787" s="1670" t="str">
        <v>Wednesday</v>
      </c>
      <c r="D787" s="1645" t="s">
        <v>1954</v>
      </c>
      <c r="E787" s="1786">
        <v>1</v>
      </c>
      <c r="F787" s="1675" t="s">
        <v>1758</v>
      </c>
      <c r="G787" s="1794"/>
      <c r="H787" s="1675"/>
      <c r="I787" s="1738"/>
      <c r="J787" s="1673"/>
      <c r="K787" s="1651"/>
      <c r="L787" s="1651"/>
      <c r="M787" s="1651"/>
      <c r="N787" s="1651"/>
      <c r="O787" s="1651"/>
      <c r="P787" s="1651"/>
    </row>
    <row r="788">
      <c r="A788" s="1670" t="s">
        <v>1951</v>
      </c>
      <c r="B788" s="1644">
        <v>46281</v>
      </c>
      <c r="C788" s="1670" t="str">
        <v>Wednesday</v>
      </c>
      <c r="D788" s="1645" t="s">
        <v>1955</v>
      </c>
      <c r="E788" s="1787">
        <f t="shared" ref="E788:E797" si="132">24*MOD(TIMEVALUE(TRIM(MID(D788,FIND("-",D788)+1,LEN(D788)))) - TIMEVALUE(TRIM(LEFT(D788,FIND("-",D788)-1))),1)</f>
      </c>
      <c r="F788" s="1675" t="s">
        <v>1525</v>
      </c>
      <c r="G788" s="1794"/>
      <c r="H788" s="1675" t="s">
        <v>1471</v>
      </c>
      <c r="I788" s="1738" t="s">
        <v>1446</v>
      </c>
      <c r="J788" s="1673"/>
      <c r="K788" s="1651"/>
      <c r="L788" s="1651"/>
      <c r="M788" s="1651"/>
      <c r="N788" s="1651"/>
      <c r="O788" s="1651"/>
      <c r="P788" s="1651"/>
    </row>
    <row r="789">
      <c r="A789" s="2218" t="s">
        <v>1952</v>
      </c>
      <c r="B789" s="2225">
        <v>46281</v>
      </c>
      <c r="C789" s="2218" t="str">
        <v>Wednesday</v>
      </c>
      <c r="D789" s="2220" t="s">
        <v>1731</v>
      </c>
      <c r="E789" s="2221">
        <f t="shared" si="132"/>
      </c>
      <c r="F789" s="2221" t="s">
        <v>1953</v>
      </c>
      <c r="G789" s="2222"/>
      <c r="H789" s="2223" t="s">
        <v>1471</v>
      </c>
      <c r="I789" s="1738" t="s">
        <v>1446</v>
      </c>
      <c r="J789" s="2224"/>
      <c r="K789" s="1651"/>
      <c r="L789" s="1651"/>
      <c r="M789" s="1651"/>
      <c r="N789" s="1651"/>
      <c r="O789" s="1651"/>
      <c r="P789" s="1651"/>
    </row>
    <row r="790">
      <c r="A790" s="1670" t="s">
        <v>1951</v>
      </c>
      <c r="B790" s="1790">
        <v>46282</v>
      </c>
      <c r="C790" s="1670" t="str">
        <v>Thursday</v>
      </c>
      <c r="D790" s="1645" t="s">
        <v>1956</v>
      </c>
      <c r="E790" s="1787">
        <f t="shared" si="132"/>
      </c>
      <c r="F790" s="1675" t="s">
        <v>1921</v>
      </c>
      <c r="G790" s="1794" t="s">
        <v>1957</v>
      </c>
      <c r="H790" s="1675" t="s">
        <v>1471</v>
      </c>
      <c r="I790" s="1738" t="s">
        <v>1446</v>
      </c>
      <c r="J790" s="1673"/>
      <c r="K790" s="1651"/>
      <c r="L790" s="1651"/>
      <c r="M790" s="1651"/>
      <c r="N790" s="1651"/>
      <c r="O790" s="1651"/>
      <c r="P790" s="1651"/>
    </row>
    <row r="791">
      <c r="A791" s="2218" t="s">
        <v>1952</v>
      </c>
      <c r="B791" s="2225">
        <v>46282</v>
      </c>
      <c r="C791" s="2218" t="str">
        <v>Thursday</v>
      </c>
      <c r="D791" s="2220" t="s">
        <v>1958</v>
      </c>
      <c r="E791" s="2221">
        <f t="shared" si="132"/>
      </c>
      <c r="F791" s="2221" t="s">
        <v>1953</v>
      </c>
      <c r="G791" s="2222"/>
      <c r="H791" s="2223" t="s">
        <v>1471</v>
      </c>
      <c r="I791" s="1738" t="s">
        <v>1446</v>
      </c>
      <c r="J791" s="2224"/>
      <c r="K791" s="1651"/>
      <c r="L791" s="1651"/>
      <c r="M791" s="1651"/>
      <c r="N791" s="1651"/>
      <c r="O791" s="1651"/>
      <c r="P791" s="1651"/>
    </row>
    <row r="792">
      <c r="A792" s="1670" t="s">
        <v>1951</v>
      </c>
      <c r="B792" s="1644">
        <v>46283</v>
      </c>
      <c r="C792" s="1670" t="str">
        <v>Friday</v>
      </c>
      <c r="D792" s="1645" t="s">
        <v>1555</v>
      </c>
      <c r="E792" s="1787">
        <f t="shared" si="132"/>
      </c>
      <c r="F792" s="1675" t="s">
        <v>1921</v>
      </c>
      <c r="G792" s="1794"/>
      <c r="H792" s="1787" t="s">
        <v>1471</v>
      </c>
      <c r="I792" s="1738" t="s">
        <v>1446</v>
      </c>
      <c r="J792" s="2224"/>
      <c r="K792" s="1651"/>
      <c r="L792" s="1651"/>
      <c r="M792" s="1651"/>
      <c r="N792" s="1651"/>
      <c r="O792" s="1651"/>
      <c r="P792" s="1651"/>
    </row>
    <row r="793">
      <c r="A793" s="2218" t="s">
        <v>1952</v>
      </c>
      <c r="B793" s="2225">
        <v>46283</v>
      </c>
      <c r="C793" s="2218" t="str">
        <v>Friday</v>
      </c>
      <c r="D793" s="2220" t="s">
        <v>1731</v>
      </c>
      <c r="E793" s="2221">
        <f t="shared" si="132"/>
      </c>
      <c r="F793" s="2221" t="s">
        <v>1953</v>
      </c>
      <c r="G793" s="2222"/>
      <c r="H793" s="2221" t="s">
        <v>1471</v>
      </c>
      <c r="I793" s="1738" t="s">
        <v>1446</v>
      </c>
      <c r="J793" s="1673"/>
      <c r="K793" s="1651"/>
      <c r="L793" s="1651"/>
      <c r="M793" s="1651"/>
      <c r="N793" s="1651"/>
      <c r="O793" s="1651"/>
      <c r="P793" s="1651"/>
    </row>
    <row r="794">
      <c r="A794" s="1670" t="s">
        <v>1951</v>
      </c>
      <c r="B794" s="1644">
        <v>46284</v>
      </c>
      <c r="C794" s="1670" t="str">
        <v>Saturday</v>
      </c>
      <c r="D794" s="1645" t="s">
        <v>1959</v>
      </c>
      <c r="E794" s="1787">
        <f t="shared" si="132"/>
      </c>
      <c r="F794" s="1675" t="s">
        <v>1740</v>
      </c>
      <c r="G794" s="1794"/>
      <c r="H794" s="1787" t="s">
        <v>1471</v>
      </c>
      <c r="I794" s="1738" t="s">
        <v>1446</v>
      </c>
      <c r="J794" s="2224"/>
      <c r="K794" s="1651"/>
      <c r="L794" s="1651"/>
      <c r="M794" s="1651"/>
      <c r="N794" s="1651"/>
      <c r="O794" s="1651"/>
      <c r="P794" s="1651"/>
    </row>
    <row customHeight="true" ht="18.452380952380953" r="795">
      <c r="A795" s="2218" t="s">
        <v>1952</v>
      </c>
      <c r="B795" s="2219">
        <v>46284</v>
      </c>
      <c r="C795" s="2226" t="str">
        <v>Saturday</v>
      </c>
      <c r="D795" s="2227" t="s">
        <v>1960</v>
      </c>
      <c r="E795" s="2221">
        <f t="shared" si="132"/>
      </c>
      <c r="F795" s="2221" t="s">
        <v>1953</v>
      </c>
      <c r="G795" s="1794"/>
      <c r="H795" s="1787"/>
      <c r="I795" s="1738"/>
      <c r="J795" s="2224"/>
      <c r="K795" s="1651"/>
      <c r="L795" s="1651"/>
      <c r="M795" s="1651"/>
      <c r="N795" s="1651"/>
      <c r="O795" s="1651"/>
      <c r="P795" s="1651"/>
    </row>
    <row customHeight="true" ht="18.452380952380953" r="796">
      <c r="A796" s="1670" t="s">
        <v>1951</v>
      </c>
      <c r="B796" s="1644">
        <v>46284</v>
      </c>
      <c r="C796" s="1670" t="str">
        <v>Saturday</v>
      </c>
      <c r="D796" s="1645" t="s">
        <v>1499</v>
      </c>
      <c r="E796" s="1787">
        <f t="shared" si="132"/>
      </c>
      <c r="F796" s="1675" t="s">
        <v>1525</v>
      </c>
      <c r="G796" s="1794" t="s">
        <v>1957</v>
      </c>
      <c r="H796" s="1787"/>
      <c r="I796" s="1738" t="s">
        <v>1446</v>
      </c>
      <c r="J796" s="2224"/>
      <c r="K796" s="1651"/>
      <c r="L796" s="1651"/>
      <c r="M796" s="1651"/>
      <c r="N796" s="1651"/>
      <c r="O796" s="1651"/>
      <c r="P796" s="1651"/>
    </row>
    <row customHeight="true" ht="18.452380952380953" r="797">
      <c r="A797" s="1670" t="s">
        <v>1951</v>
      </c>
      <c r="B797" s="1644">
        <v>46284</v>
      </c>
      <c r="C797" s="1670" t="str">
        <v>Saturday</v>
      </c>
      <c r="D797" s="1645" t="s">
        <v>1694</v>
      </c>
      <c r="E797" s="1787">
        <f t="shared" si="132"/>
      </c>
      <c r="F797" s="1675" t="s">
        <v>1921</v>
      </c>
      <c r="G797" s="1794"/>
      <c r="H797" s="1787"/>
      <c r="I797" s="1738"/>
      <c r="J797" s="2224"/>
      <c r="K797" s="1651"/>
      <c r="L797" s="1651"/>
      <c r="M797" s="1651"/>
      <c r="N797" s="1651"/>
      <c r="O797" s="1651"/>
      <c r="P797" s="1651"/>
    </row>
    <row customHeight="true" ht="18.452380952380953" r="798">
      <c r="A798" s="2218" t="s">
        <v>1952</v>
      </c>
      <c r="B798" s="2219">
        <v>46284</v>
      </c>
      <c r="C798" s="2226" t="str">
        <v>Saturday</v>
      </c>
      <c r="D798" s="2227" t="s">
        <v>1694</v>
      </c>
      <c r="E798" s="2227">
        <v>4</v>
      </c>
      <c r="F798" s="2221" t="s">
        <v>1953</v>
      </c>
      <c r="G798" s="1794"/>
      <c r="H798" s="1787"/>
      <c r="I798" s="1738"/>
      <c r="J798" s="2224"/>
      <c r="K798" s="1651"/>
      <c r="L798" s="1651"/>
      <c r="M798" s="1651"/>
      <c r="N798" s="1651"/>
      <c r="O798" s="1651"/>
      <c r="P798" s="1651"/>
    </row>
    <row customHeight="true" ht="18.452380952380953" r="799">
      <c r="A799" s="1670" t="s">
        <v>1961</v>
      </c>
      <c r="B799" s="1644">
        <v>46280</v>
      </c>
      <c r="C799" s="1670" t="str">
        <v>Tuesday</v>
      </c>
      <c r="D799" s="1645" t="s">
        <v>1586</v>
      </c>
      <c r="E799" s="1787">
        <f>24*MOD(TIMEVALUE(TRIM(MID(D799,FIND("-",D799)+1,LEN(D799)))) - TIMEVALUE(TRIM(LEFT(D799,FIND("-",D799)-1))),1)</f>
      </c>
      <c r="F799" s="1675" t="s">
        <v>1758</v>
      </c>
      <c r="G799" s="1794"/>
      <c r="H799" s="1787"/>
      <c r="I799" s="1738"/>
      <c r="J799" s="2224"/>
      <c r="K799" s="1651"/>
      <c r="L799" s="1651"/>
      <c r="M799" s="1651"/>
      <c r="N799" s="1651"/>
      <c r="O799" s="1651"/>
      <c r="P799" s="1651"/>
    </row>
    <row r="800">
      <c r="D800" s="1705"/>
      <c r="J800" s="1654"/>
      <c r="K800" s="1700"/>
      <c r="L800" s="1700"/>
      <c r="M800" s="1700"/>
      <c r="N800" s="1700"/>
      <c r="O800" s="1700"/>
      <c r="P800" s="1700"/>
    </row>
    <row r="801">
      <c r="A801" s="2228" t="s">
        <v>1962</v>
      </c>
      <c r="B801" s="2228"/>
      <c r="C801" s="2228"/>
      <c r="D801" s="2228"/>
      <c r="E801" s="2228"/>
      <c r="F801" s="2228"/>
      <c r="G801" s="2228"/>
      <c r="H801" s="2228"/>
      <c r="I801" s="2228"/>
      <c r="J801" s="2229"/>
      <c r="K801" s="2130"/>
      <c r="L801" s="2130"/>
      <c r="M801" s="2130"/>
      <c r="N801" s="2130"/>
      <c r="O801" s="2130"/>
      <c r="P801" s="2130"/>
    </row>
    <row r="802">
      <c r="A802" s="2230" t="s">
        <v>1962</v>
      </c>
      <c r="B802" s="2231" t="s">
        <v>1458</v>
      </c>
      <c r="C802" s="2231"/>
      <c r="D802" s="2232" t="s">
        <v>1459</v>
      </c>
      <c r="E802" s="2232" t="s">
        <v>1460</v>
      </c>
      <c r="F802" s="2232" t="s">
        <v>1461</v>
      </c>
      <c r="G802" s="2233" t="s">
        <v>1473</v>
      </c>
      <c r="H802" s="2232" t="s">
        <v>1463</v>
      </c>
      <c r="I802" s="2232" t="s">
        <v>1464</v>
      </c>
      <c r="J802" s="2234" t="s">
        <v>1465</v>
      </c>
      <c r="K802" s="1651"/>
      <c r="L802" s="1651"/>
      <c r="M802" s="1651"/>
      <c r="N802" s="1651"/>
      <c r="O802" s="1651"/>
      <c r="P802" s="1651"/>
    </row>
    <row r="803">
      <c r="A803" s="1676" t="s">
        <v>1962</v>
      </c>
      <c r="B803" s="1644">
        <v>46280</v>
      </c>
      <c r="C803" s="1670" t="str">
        <v>Tuesday</v>
      </c>
      <c r="D803" s="1677" t="s">
        <v>1581</v>
      </c>
      <c r="E803" s="1786">
        <v>4</v>
      </c>
      <c r="F803" s="1675" t="s">
        <v>1889</v>
      </c>
      <c r="G803" s="1689"/>
      <c r="H803" s="1675" t="s">
        <v>1471</v>
      </c>
      <c r="I803" s="1738" t="s">
        <v>1446</v>
      </c>
      <c r="J803" s="1650"/>
      <c r="K803" s="1651"/>
      <c r="L803" s="1651"/>
      <c r="M803" s="1651"/>
      <c r="N803" s="1651"/>
      <c r="O803" s="1651"/>
      <c r="P803" s="1651"/>
    </row>
    <row customHeight="true" ht="18.452380952380953" r="804">
      <c r="A804" s="2230" t="s">
        <v>1963</v>
      </c>
      <c r="B804" s="2235">
        <v>46280</v>
      </c>
      <c r="C804" s="2236" t="str">
        <v>Tuesday</v>
      </c>
      <c r="D804" s="2237" t="s">
        <v>1964</v>
      </c>
      <c r="E804" s="2238">
        <f t="shared" ref="E804:E810" si="133">24*MOD(TIMEVALUE(TRIM(MID(D804,FIND("-",D804)+1,LEN(D804)))) - TIMEVALUE(TRIM(LEFT(D804,FIND("-",D804)-1))),1)</f>
      </c>
      <c r="F804" s="2239" t="s">
        <v>1497</v>
      </c>
      <c r="G804" s="1809"/>
      <c r="H804" s="1787" t="s">
        <v>1471</v>
      </c>
      <c r="I804" s="1738" t="s">
        <v>1446</v>
      </c>
      <c r="J804" s="1650"/>
      <c r="K804" s="1651"/>
      <c r="L804" s="1651"/>
      <c r="M804" s="1651"/>
      <c r="N804" s="1651"/>
      <c r="O804" s="1651"/>
      <c r="P804" s="1651"/>
    </row>
    <row customHeight="true" ht="18.452380952380953" r="805">
      <c r="A805" s="1676" t="s">
        <v>1962</v>
      </c>
      <c r="B805" s="1790">
        <v>46281</v>
      </c>
      <c r="C805" s="1670" t="str">
        <v>Wednesday</v>
      </c>
      <c r="D805" s="1786" t="s">
        <v>1615</v>
      </c>
      <c r="E805" s="1787">
        <f t="shared" si="133"/>
      </c>
      <c r="F805" s="1675" t="s">
        <v>1770</v>
      </c>
      <c r="G805" s="1809"/>
      <c r="H805" s="1787"/>
      <c r="I805" s="1738" t="s">
        <v>1446</v>
      </c>
      <c r="J805" s="1869"/>
      <c r="K805" s="1651"/>
      <c r="L805" s="1651"/>
      <c r="M805" s="1651"/>
      <c r="N805" s="1651"/>
      <c r="O805" s="1651"/>
      <c r="P805" s="1651"/>
      <c r="Q805" s="1700"/>
      <c r="R805" s="1700"/>
    </row>
    <row customHeight="true" ht="18.452380952380953" r="806">
      <c r="A806" s="2230" t="s">
        <v>1963</v>
      </c>
      <c r="B806" s="2235">
        <v>46281</v>
      </c>
      <c r="C806" s="2236" t="str">
        <v>Wednesday</v>
      </c>
      <c r="D806" s="2237" t="s">
        <v>1964</v>
      </c>
      <c r="E806" s="2239">
        <f t="shared" si="133"/>
      </c>
      <c r="F806" s="2239" t="s">
        <v>1497</v>
      </c>
      <c r="G806" s="1809"/>
      <c r="H806" s="1787"/>
      <c r="I806" s="1738" t="s">
        <v>1446</v>
      </c>
      <c r="J806" s="1869"/>
      <c r="K806" s="1651"/>
      <c r="L806" s="1651"/>
      <c r="M806" s="1651"/>
      <c r="N806" s="1651"/>
      <c r="O806" s="1651"/>
      <c r="P806" s="1651"/>
      <c r="Q806" s="1700"/>
      <c r="R806" s="1700"/>
    </row>
    <row customHeight="true" ht="18.452380952380953" r="807">
      <c r="A807" s="1676" t="s">
        <v>1962</v>
      </c>
      <c r="B807" s="1644">
        <v>46282</v>
      </c>
      <c r="C807" s="1785" t="str">
        <v>Thursday</v>
      </c>
      <c r="D807" s="1786" t="s">
        <v>1581</v>
      </c>
      <c r="E807" s="1787">
        <f t="shared" si="133"/>
      </c>
      <c r="F807" s="1675" t="s">
        <v>1889</v>
      </c>
      <c r="G807" s="1809"/>
      <c r="H807" s="1675" t="s">
        <v>1471</v>
      </c>
      <c r="I807" s="1738" t="s">
        <v>1446</v>
      </c>
      <c r="J807" s="1650"/>
      <c r="K807" s="1651"/>
      <c r="L807" s="1651"/>
      <c r="M807" s="1651"/>
      <c r="N807" s="1651"/>
      <c r="O807" s="1651"/>
      <c r="P807" s="1651"/>
    </row>
    <row customHeight="true" ht="18.452380952380953" r="808">
      <c r="A808" s="2230" t="s">
        <v>1963</v>
      </c>
      <c r="B808" s="2235">
        <v>46282</v>
      </c>
      <c r="C808" s="2236" t="str">
        <v>Thursday</v>
      </c>
      <c r="D808" s="2237" t="s">
        <v>1964</v>
      </c>
      <c r="E808" s="2239">
        <f t="shared" si="133"/>
      </c>
      <c r="F808" s="2239" t="s">
        <v>1497</v>
      </c>
      <c r="G808" s="1916"/>
      <c r="H808" s="1675" t="s">
        <v>1471</v>
      </c>
      <c r="I808" s="1738" t="s">
        <v>1446</v>
      </c>
      <c r="J808" s="1650"/>
      <c r="K808" s="1651"/>
      <c r="L808" s="1651"/>
      <c r="M808" s="1651"/>
      <c r="N808" s="1651"/>
      <c r="O808" s="1651"/>
      <c r="P808" s="1651"/>
    </row>
    <row customHeight="true" ht="18.452380952380953" r="809">
      <c r="A809" s="1676" t="s">
        <v>1962</v>
      </c>
      <c r="B809" s="1644">
        <v>46283</v>
      </c>
      <c r="C809" s="1785" t="str">
        <v>Friday</v>
      </c>
      <c r="D809" s="1786" t="s">
        <v>1581</v>
      </c>
      <c r="E809" s="1787">
        <f t="shared" si="133"/>
      </c>
      <c r="F809" s="1675" t="s">
        <v>1965</v>
      </c>
      <c r="G809" s="1809" t="s">
        <v>1957</v>
      </c>
      <c r="H809" s="1675" t="s">
        <v>1471</v>
      </c>
      <c r="I809" s="1738" t="s">
        <v>1446</v>
      </c>
      <c r="J809" s="1650"/>
      <c r="K809" s="1651"/>
      <c r="L809" s="1651"/>
      <c r="M809" s="1651"/>
      <c r="N809" s="1651"/>
      <c r="O809" s="1651"/>
      <c r="P809" s="1651"/>
    </row>
    <row customHeight="true" ht="18.452380952380953" r="810">
      <c r="A810" s="1676" t="s">
        <v>1962</v>
      </c>
      <c r="B810" s="1644">
        <v>46284</v>
      </c>
      <c r="C810" s="1785" t="str">
        <v>Saturday</v>
      </c>
      <c r="D810" s="1786" t="s">
        <v>1671</v>
      </c>
      <c r="E810" s="1787">
        <f t="shared" si="133"/>
      </c>
      <c r="F810" s="1675" t="s">
        <v>1965</v>
      </c>
      <c r="G810" s="1809"/>
      <c r="H810" s="1675"/>
      <c r="I810" s="1738" t="s">
        <v>1446</v>
      </c>
      <c r="J810" s="1650"/>
      <c r="K810" s="1651"/>
      <c r="L810" s="1651"/>
      <c r="M810" s="1651"/>
      <c r="N810" s="1651"/>
      <c r="O810" s="1651"/>
      <c r="P810" s="1651"/>
    </row>
    <row customHeight="true" ht="18.452380952380953" r="811">
      <c r="A811" s="2230" t="s">
        <v>1963</v>
      </c>
      <c r="B811" s="1644">
        <v>46284</v>
      </c>
      <c r="C811" s="1785" t="str">
        <v>Saturday</v>
      </c>
      <c r="D811" s="1786" t="s">
        <v>1671</v>
      </c>
      <c r="E811" s="1786">
        <v>2</v>
      </c>
      <c r="F811" s="2239" t="s">
        <v>1497</v>
      </c>
      <c r="G811" s="1809"/>
      <c r="H811" s="1675"/>
      <c r="I811" s="1738"/>
      <c r="J811" s="1650"/>
      <c r="K811" s="1651"/>
      <c r="L811" s="1651"/>
      <c r="M811" s="1651"/>
      <c r="N811" s="1651"/>
      <c r="O811" s="1651"/>
      <c r="P811" s="1651"/>
    </row>
    <row r="812">
      <c r="A812" s="1676" t="s">
        <v>1962</v>
      </c>
      <c r="B812" s="1644">
        <v>46271</v>
      </c>
      <c r="C812" s="1785" t="str">
        <v>Sunday</v>
      </c>
      <c r="D812" s="1786" t="s">
        <v>1581</v>
      </c>
      <c r="E812" s="1786">
        <v>2</v>
      </c>
      <c r="F812" s="1675" t="s">
        <v>1965</v>
      </c>
      <c r="G812" s="1809" t="s">
        <v>1957</v>
      </c>
      <c r="H812" s="1675" t="s">
        <v>1471</v>
      </c>
      <c r="I812" s="1738" t="s">
        <v>1446</v>
      </c>
      <c r="J812" s="1650"/>
    </row>
    <row r="813">
      <c r="A813" s="2230" t="s">
        <v>1963</v>
      </c>
      <c r="B813" s="2235">
        <v>46271</v>
      </c>
      <c r="C813" s="2236" t="str">
        <v>Sunday</v>
      </c>
      <c r="D813" s="2237" t="s">
        <v>1581</v>
      </c>
      <c r="E813" s="2237">
        <v>2</v>
      </c>
      <c r="F813" s="2239"/>
      <c r="G813" s="1916"/>
      <c r="H813" s="1675" t="s">
        <v>1471</v>
      </c>
      <c r="I813" s="1738" t="s">
        <v>1446</v>
      </c>
      <c r="J813" s="1650"/>
    </row>
    <row r="814">
      <c r="A814" s="2230"/>
      <c r="B814" s="2235"/>
      <c r="C814" s="2236"/>
      <c r="D814" s="2237"/>
      <c r="E814" s="2237"/>
      <c r="F814" s="2239"/>
      <c r="G814" s="1916"/>
      <c r="H814" s="1675"/>
      <c r="I814" s="1738"/>
      <c r="J814" s="1650"/>
    </row>
    <row r="815">
      <c r="A815" s="2240"/>
      <c r="B815" s="1790"/>
      <c r="C815" s="1785"/>
      <c r="D815" s="1786"/>
      <c r="E815" s="1786"/>
      <c r="F815" s="1787"/>
      <c r="G815" s="1916"/>
      <c r="H815" s="1675"/>
      <c r="I815" s="1738"/>
      <c r="J815" s="1650"/>
    </row>
    <row r="816">
      <c r="A816" s="2240"/>
      <c r="B816" s="1790"/>
      <c r="C816" s="1785"/>
      <c r="D816" s="1786"/>
      <c r="E816" s="1786"/>
      <c r="F816" s="1787"/>
      <c r="G816" s="1916"/>
      <c r="H816" s="1675"/>
      <c r="I816" s="1738"/>
      <c r="J816" s="1650"/>
    </row>
    <row r="817">
      <c r="A817" s="2240"/>
      <c r="B817" s="1790"/>
      <c r="C817" s="1785"/>
      <c r="D817" s="1786"/>
      <c r="E817" s="1786"/>
      <c r="F817" s="1787"/>
      <c r="G817" s="1916"/>
      <c r="H817" s="1675"/>
      <c r="I817" s="1738"/>
      <c r="J817" s="1650"/>
    </row>
    <row r="818">
      <c r="A818" s="2240"/>
      <c r="B818" s="1790"/>
      <c r="C818" s="1785"/>
      <c r="D818" s="1786"/>
      <c r="E818" s="1786"/>
      <c r="F818" s="1787"/>
      <c r="G818" s="1916"/>
      <c r="H818" s="1675"/>
      <c r="I818" s="1738"/>
      <c r="J818" s="1650"/>
    </row>
    <row r="819">
      <c r="A819" s="2240"/>
      <c r="B819" s="1790"/>
      <c r="C819" s="1785"/>
      <c r="D819" s="1786"/>
      <c r="E819" s="1786"/>
      <c r="F819" s="1787"/>
      <c r="G819" s="1916"/>
      <c r="H819" s="1675"/>
      <c r="I819" s="1738"/>
      <c r="J819" s="1650"/>
    </row>
    <row r="820">
      <c r="A820" s="2240"/>
      <c r="B820" s="1790"/>
      <c r="C820" s="1785"/>
      <c r="D820" s="1786"/>
      <c r="E820" s="1786"/>
      <c r="F820" s="1787"/>
      <c r="G820" s="1916"/>
      <c r="H820" s="1675"/>
      <c r="I820" s="1738"/>
      <c r="J820" s="1650"/>
    </row>
    <row r="821">
      <c r="A821" s="2230"/>
      <c r="B821" s="2235"/>
      <c r="C821" s="2236"/>
      <c r="D821" s="2237"/>
      <c r="E821" s="2237"/>
      <c r="F821" s="2239"/>
      <c r="G821" s="1916"/>
      <c r="H821" s="1675"/>
      <c r="I821" s="1738"/>
      <c r="J821" s="1650"/>
    </row>
  </sheetData>
  <autoFilter ref="A1:R821"/>
  <mergeCells>
    <mergeCell ref="A87:F87"/>
    <mergeCell ref="B88:C88"/>
    <mergeCell ref="B75:C75"/>
    <mergeCell ref="A74:F74"/>
    <mergeCell ref="A113:F113"/>
    <mergeCell ref="B114:C114"/>
    <mergeCell ref="A101:F101"/>
    <mergeCell ref="B102:C102"/>
    <mergeCell ref="B128:C128"/>
    <mergeCell ref="A3:J3"/>
    <mergeCell ref="A2:J2"/>
    <mergeCell ref="A9:J9"/>
    <mergeCell ref="B13:C13"/>
    <mergeCell ref="A23:I23"/>
    <mergeCell ref="A22:J22"/>
    <mergeCell ref="B24:C24"/>
    <mergeCell ref="B199:C199"/>
    <mergeCell ref="B262:C262"/>
  </mergeCells>
  <dataValidations count="4">
    <dataValidation allowBlank="true" errorStyle="stop" showErrorMessage="true" sqref="I4:I8 I10:I12 I14:I21 I25:I72 I76:I83 I85:I85 I89:I94 I96:I99 I103:I106 I108:I111 I115:I119 I121:I124 I166:I166 I169:I170 I175:I177 I180:I197 I205:I205 I221:I232 I237:I239 I244:I246 I248:I248 I250:I258 I263:I266 I275:I288 I290:I292 I298:I315 I317:I319 I322:I322 I324:I345 I353:I355 I358:I373 I377:I399 I404:I418 I421:I433 I437:I544 I548:I552 I555:I565 I570:I586 I589:I603 I610:I613 I616:I631 I634:I658 I661:I685 I696:I710 I713:I722 I726:I751 I754:I770 I772:I776 I784:I799 I802:I821" type="list">
      <formula1>"YES,PENDING"</formula1>
    </dataValidation>
    <dataValidation allowBlank="true" errorStyle="stop" showErrorMessage="true" sqref="H4:H8 H10:H12 H14:H21 H25:H72 H76:H83 H85:H85 H89:H94 H96:H99 H103:H106 H108:H111 H115:H119 H121:H124 H129:H149 H152:H162 H166:H177 H180:H197 H200:H214 H218:H232 H234:H246 H248:H248 H250:H258 H263:H271 H275:H293 H298:H322 H324:H345 H348:H355 H358:H373 H377:H399 H404:H418 H421:H433 H437:H544 H548:H552 H565:H565 H570:H586 H589:H603 H610:H613 H616:H631 H634:H658 H661:H685 H687:H690 H696:H710 H713:H722 H726:H751 H767:H767" type="list">
      <formula1>"8461 Higuera Street,3619 Eastham Drive"</formula1>
    </dataValidation>
    <dataValidation allowBlank="true" errorStyle="stop" showErrorMessage="true" sqref="I690:I690 J690:J690" type="list">
      <formula1>"PENDING,YES,Back up"</formula1>
    </dataValidation>
    <dataValidation allowBlank="true" errorStyle="stop" showErrorMessage="true" sqref="I129:I149 I152:I162 I167:I168 I171:I174 I200:I204 I206:I214 I218:I220 I234:I236 I240:I243 I267:I271 I316:I316 I320:I321 I348:I352 I567:I567 I687:I689 J687:J689" type="list">
      <formula1>"PENDING,YES"</formula1>
    </dataValidation>
  </dataValidation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21.577464788732396"/>
    <col collapsed="false" customWidth="true" hidden="false" max="8" min="8" style="0" width="22.92957746478873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3" min="3" style="0" width="14.47887323943662"/>
    <col collapsed="false" customWidth="true" hidden="false" max="7" min="7" style="0" width="21.786720321931593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2" min="2" style="0" width="14.47887323943662"/>
    <col collapsed="false" customWidth="true" hidden="false" max="6" min="6" style="0" width="29.464788732394368"/>
    <col collapsed="false" customWidth="true" hidden="false" max="10" min="10" style="0" width="47.859154929577464"/>
    <col collapsed="false" customWidth="true" hidden="false" max="14" min="14" style="0" width="11.211267605633802"/>
    <col collapsed="false" customWidth="true" hidden="false" max="1" min="1" style="0" width="29.464788732394368"/>
    <col collapsed="false" customWidth="true" hidden="false" max="5" min="5" style="0" width="12.788732394366198"/>
    <col collapsed="false" customWidth="true" hidden="false" max="9" min="9" style="0" width="15.605633802816902"/>
    <col collapsed="false" customWidth="true" hidden="false" max="13" min="13" style="0" width="11.211267605633802"/>
  </cols>
  <sheetData>
    <row r="1">
      <c r="A1" s="2241"/>
      <c r="B1" s="2242"/>
      <c r="C1" s="2242"/>
      <c r="D1" s="2242"/>
      <c r="E1" s="2242"/>
      <c r="F1" s="2243"/>
      <c r="G1" s="2242"/>
      <c r="H1" s="2244"/>
      <c r="I1" s="2242"/>
      <c r="J1" s="2245"/>
      <c r="K1" s="2246"/>
      <c r="L1" s="2246"/>
      <c r="M1" s="2246"/>
      <c r="N1" s="2246"/>
      <c r="O1" s="2246"/>
      <c r="P1" s="2246"/>
    </row>
    <row customHeight="true" ht="21.146616128578824" r="2">
      <c r="A2" s="2247"/>
      <c r="B2" s="2248"/>
      <c r="C2" s="2248"/>
      <c r="D2" s="2248"/>
      <c r="E2" s="2248"/>
      <c r="F2" s="2248"/>
      <c r="G2" s="2248"/>
      <c r="H2" s="2248"/>
      <c r="I2" s="2248"/>
      <c r="J2" s="2248"/>
      <c r="K2" s="2249"/>
      <c r="L2" s="2249"/>
      <c r="M2" s="2249"/>
      <c r="N2" s="2249"/>
      <c r="O2" s="2249"/>
      <c r="P2" s="2249"/>
    </row>
    <row customHeight="true" ht="42.073934453802075" r="3">
      <c r="A3" s="2250" t="s">
        <v>1966</v>
      </c>
      <c r="B3" s="2251"/>
      <c r="C3" s="2251"/>
      <c r="D3" s="2251"/>
      <c r="E3" s="2251"/>
      <c r="F3" s="2251"/>
      <c r="G3" s="2251"/>
      <c r="H3" s="2251"/>
      <c r="I3" s="2251"/>
      <c r="J3" s="2251"/>
      <c r="K3" s="2252"/>
      <c r="L3" s="2252"/>
      <c r="M3" s="2252"/>
      <c r="N3" s="2252"/>
      <c r="O3" s="2252"/>
      <c r="P3" s="2252"/>
    </row>
    <row r="4">
      <c r="A4" s="2253" t="s">
        <v>1966</v>
      </c>
      <c r="B4" s="2254">
        <v>46273</v>
      </c>
      <c r="C4" s="2255" t="s">
        <v>1967</v>
      </c>
      <c r="D4" s="2256" t="s">
        <v>1968</v>
      </c>
      <c r="E4" s="2257">
        <v>2.5</v>
      </c>
      <c r="F4" s="2258" t="s">
        <v>1969</v>
      </c>
      <c r="G4" s="2259" t="s">
        <v>1970</v>
      </c>
      <c r="H4" s="2260" t="s">
        <v>1971</v>
      </c>
      <c r="I4" s="2260" t="s">
        <v>1972</v>
      </c>
      <c r="J4" s="2261"/>
      <c r="K4" s="2262"/>
      <c r="L4" s="2262"/>
      <c r="M4" s="2262"/>
      <c r="N4" s="2262"/>
      <c r="O4" s="2262"/>
      <c r="P4" s="2262"/>
    </row>
    <row customHeight="true" ht="18.452380952380953" r="5">
      <c r="A5" s="2253" t="s">
        <v>1966</v>
      </c>
      <c r="B5" s="2254">
        <v>46273</v>
      </c>
      <c r="C5" s="2255" t="s">
        <v>1967</v>
      </c>
      <c r="D5" s="2256" t="s">
        <v>1968</v>
      </c>
      <c r="E5" s="2257">
        <v>2.5</v>
      </c>
      <c r="F5" s="2263" t="s">
        <v>1973</v>
      </c>
      <c r="G5" s="2259" t="s">
        <v>1970</v>
      </c>
      <c r="H5" s="2260" t="s">
        <v>1971</v>
      </c>
      <c r="I5" s="2260" t="s">
        <v>1972</v>
      </c>
      <c r="J5" s="2261"/>
      <c r="K5" s="2262"/>
      <c r="L5" s="2262"/>
      <c r="M5" s="2262"/>
      <c r="N5" s="2262"/>
      <c r="O5" s="2262"/>
      <c r="P5" s="2262"/>
    </row>
    <row customHeight="true" ht="18.452380952380953" r="6">
      <c r="A6" s="2253" t="s">
        <v>1966</v>
      </c>
      <c r="B6" s="2254">
        <v>46273</v>
      </c>
      <c r="C6" s="2255" t="s">
        <v>1967</v>
      </c>
      <c r="D6" s="2256" t="s">
        <v>1968</v>
      </c>
      <c r="E6" s="2257">
        <v>2.5</v>
      </c>
      <c r="F6" s="2263" t="s">
        <v>1974</v>
      </c>
      <c r="G6" s="2259" t="s">
        <v>1970</v>
      </c>
      <c r="H6" s="2260" t="s">
        <v>1971</v>
      </c>
      <c r="I6" s="2260" t="s">
        <v>1972</v>
      </c>
      <c r="J6" s="2261"/>
      <c r="K6" s="2262"/>
      <c r="L6" s="2262"/>
      <c r="M6" s="2262"/>
      <c r="N6" s="2262"/>
      <c r="O6" s="2262"/>
      <c r="P6" s="2262"/>
    </row>
    <row customHeight="true" ht="18.452380952380953" r="7">
      <c r="A7" s="2253" t="s">
        <v>1966</v>
      </c>
      <c r="B7" s="2254">
        <v>46273</v>
      </c>
      <c r="C7" s="2255" t="s">
        <v>1967</v>
      </c>
      <c r="D7" s="2256" t="s">
        <v>1968</v>
      </c>
      <c r="E7" s="2257">
        <v>2.5</v>
      </c>
      <c r="F7" s="2263" t="s">
        <v>1975</v>
      </c>
      <c r="G7" s="2259" t="s">
        <v>1970</v>
      </c>
      <c r="H7" s="2260" t="s">
        <v>1971</v>
      </c>
      <c r="I7" s="2260" t="s">
        <v>1972</v>
      </c>
      <c r="J7" s="2261"/>
      <c r="K7" s="2262"/>
      <c r="L7" s="2262"/>
      <c r="M7" s="2262"/>
      <c r="N7" s="2262"/>
      <c r="O7" s="2262"/>
      <c r="P7" s="2262"/>
    </row>
    <row customHeight="true" ht="19.047619047619047" r="8">
      <c r="A8" s="2253" t="s">
        <v>1966</v>
      </c>
      <c r="B8" s="2254">
        <v>46276</v>
      </c>
      <c r="C8" s="2264" t="s">
        <v>1976</v>
      </c>
      <c r="D8" s="2256" t="s">
        <v>1977</v>
      </c>
      <c r="E8" s="2257">
        <v>2</v>
      </c>
      <c r="F8" s="2263" t="s">
        <v>1978</v>
      </c>
      <c r="G8" s="2259" t="s">
        <v>1970</v>
      </c>
      <c r="H8" s="2260" t="s">
        <v>1971</v>
      </c>
      <c r="I8" s="2260" t="s">
        <v>1972</v>
      </c>
      <c r="J8" s="2261"/>
      <c r="K8" s="2262"/>
      <c r="L8" s="2262"/>
      <c r="M8" s="2262"/>
      <c r="N8" s="2262"/>
      <c r="O8" s="2262"/>
      <c r="P8" s="2262"/>
    </row>
    <row customHeight="true" ht="19.235588972431085" r="9">
      <c r="A9" s="2253" t="s">
        <v>1966</v>
      </c>
      <c r="B9" s="2254">
        <v>46276</v>
      </c>
      <c r="C9" s="2264" t="s">
        <v>1976</v>
      </c>
      <c r="D9" s="2256" t="s">
        <v>1977</v>
      </c>
      <c r="E9" s="2257">
        <v>2</v>
      </c>
      <c r="F9" s="2263" t="s">
        <v>1979</v>
      </c>
      <c r="G9" s="2259" t="s">
        <v>1970</v>
      </c>
      <c r="H9" s="2260" t="s">
        <v>1971</v>
      </c>
      <c r="I9" s="2260" t="s">
        <v>1972</v>
      </c>
      <c r="J9" s="2261"/>
      <c r="K9" s="2262"/>
      <c r="L9" s="2262"/>
      <c r="M9" s="2262"/>
      <c r="N9" s="2262"/>
      <c r="O9" s="2262"/>
      <c r="P9" s="2262"/>
    </row>
    <row customHeight="true" ht="19.047619047619047" r="10">
      <c r="A10" s="2253" t="s">
        <v>1966</v>
      </c>
      <c r="B10" s="2254">
        <v>46276</v>
      </c>
      <c r="C10" s="2264" t="s">
        <v>1976</v>
      </c>
      <c r="D10" s="2256" t="s">
        <v>1977</v>
      </c>
      <c r="E10" s="2257">
        <v>2</v>
      </c>
      <c r="F10" s="2263" t="s">
        <v>1980</v>
      </c>
      <c r="G10" s="2259" t="s">
        <v>1970</v>
      </c>
      <c r="H10" s="2260" t="s">
        <v>1971</v>
      </c>
      <c r="I10" s="2260" t="s">
        <v>1972</v>
      </c>
      <c r="J10" s="2261"/>
      <c r="K10" s="2262"/>
      <c r="L10" s="2262"/>
      <c r="M10" s="2262"/>
      <c r="N10" s="2262"/>
      <c r="O10" s="2262"/>
      <c r="P10" s="2262"/>
    </row>
    <row customHeight="true" ht="19.047619047619047" r="11">
      <c r="A11" s="2253" t="s">
        <v>1966</v>
      </c>
      <c r="B11" s="2254">
        <v>46276</v>
      </c>
      <c r="C11" s="2264" t="s">
        <v>1976</v>
      </c>
      <c r="D11" s="2256" t="s">
        <v>1977</v>
      </c>
      <c r="E11" s="2257">
        <v>2</v>
      </c>
      <c r="F11" s="2263" t="s">
        <v>1981</v>
      </c>
      <c r="G11" s="2259" t="s">
        <v>1970</v>
      </c>
      <c r="H11" s="2260" t="s">
        <v>1971</v>
      </c>
      <c r="I11" s="2260" t="s">
        <v>1972</v>
      </c>
      <c r="J11" s="2261"/>
      <c r="K11" s="2262"/>
      <c r="L11" s="2262"/>
      <c r="M11" s="2262"/>
      <c r="N11" s="2262"/>
      <c r="O11" s="2262"/>
      <c r="P11" s="2262"/>
    </row>
    <row customHeight="true" ht="18.452380952380953" r="12">
      <c r="A12" s="2251" t="s">
        <v>1982</v>
      </c>
      <c r="B12" s="2251"/>
      <c r="C12" s="2251"/>
      <c r="D12" s="2251"/>
      <c r="E12" s="2251"/>
      <c r="F12" s="2251"/>
      <c r="G12" s="2251"/>
      <c r="H12" s="2251"/>
      <c r="I12" s="2251"/>
      <c r="J12" s="2265"/>
      <c r="K12" s="2252"/>
      <c r="L12" s="2252"/>
      <c r="M12" s="2252"/>
      <c r="N12" s="2252"/>
      <c r="O12" s="2252"/>
      <c r="P12" s="2252"/>
      <c r="Q12" s="2266"/>
      <c r="R12" s="2266"/>
    </row>
    <row customHeight="true" ht="18.452380952380953" r="13">
      <c r="A13" s="2267" t="s">
        <v>1982</v>
      </c>
      <c r="B13" s="2268">
        <v>46274</v>
      </c>
      <c r="C13" s="2254" t="s">
        <v>1983</v>
      </c>
      <c r="D13" s="2269" t="s">
        <v>1984</v>
      </c>
      <c r="E13" s="2270">
        <v>5</v>
      </c>
      <c r="F13" s="2271" t="s">
        <v>1985</v>
      </c>
      <c r="G13" s="2272" t="s">
        <v>1970</v>
      </c>
      <c r="H13" s="2260" t="s">
        <v>1971</v>
      </c>
      <c r="I13" s="2273" t="s">
        <v>1972</v>
      </c>
      <c r="J13" s="2274"/>
      <c r="K13" s="2262"/>
      <c r="L13" s="2262"/>
      <c r="M13" s="2262"/>
      <c r="N13" s="2262"/>
      <c r="O13" s="2262"/>
      <c r="P13" s="2262"/>
      <c r="Q13" s="2266"/>
      <c r="R13" s="2266"/>
    </row>
    <row customHeight="true" ht="18.452380952380953" r="14">
      <c r="A14" s="2267" t="s">
        <v>1982</v>
      </c>
      <c r="B14" s="2254">
        <v>46275</v>
      </c>
      <c r="C14" s="2275" t="s">
        <v>1986</v>
      </c>
      <c r="D14" s="2276" t="s">
        <v>1987</v>
      </c>
      <c r="E14" s="2269">
        <v>5.25</v>
      </c>
      <c r="F14" s="2271" t="s">
        <v>1985</v>
      </c>
      <c r="G14" s="2272" t="s">
        <v>1970</v>
      </c>
      <c r="H14" s="2260" t="s">
        <v>1971</v>
      </c>
      <c r="I14" s="2273" t="s">
        <v>1972</v>
      </c>
      <c r="J14" s="2274"/>
      <c r="K14" s="2262"/>
      <c r="L14" s="2262"/>
      <c r="M14" s="2262"/>
      <c r="N14" s="2262"/>
      <c r="O14" s="2262"/>
      <c r="P14" s="2262"/>
      <c r="Q14" s="2266"/>
      <c r="R14" s="2266"/>
    </row>
    <row r="15">
      <c r="A15" s="2267" t="s">
        <v>1982</v>
      </c>
      <c r="B15" s="2254">
        <v>46276</v>
      </c>
      <c r="C15" s="2254" t="s">
        <v>1976</v>
      </c>
      <c r="D15" s="2269" t="s">
        <v>1988</v>
      </c>
      <c r="E15" s="2269">
        <v>7.25</v>
      </c>
      <c r="F15" s="2271" t="s">
        <v>1985</v>
      </c>
      <c r="G15" s="2272" t="s">
        <v>1970</v>
      </c>
      <c r="H15" s="2260" t="s">
        <v>1971</v>
      </c>
      <c r="I15" s="2273" t="s">
        <v>1972</v>
      </c>
      <c r="J15" s="2274"/>
      <c r="K15" s="2262"/>
      <c r="L15" s="2262"/>
      <c r="M15" s="2262"/>
      <c r="N15" s="2262"/>
      <c r="O15" s="2262"/>
      <c r="P15" s="2262"/>
      <c r="Q15" s="2266"/>
      <c r="R15" s="2266"/>
    </row>
    <row customHeight="true" ht="39.88095238095238" r="16">
      <c r="A16" s="2277" t="s">
        <v>1989</v>
      </c>
      <c r="B16" s="2278" t="s">
        <v>1990</v>
      </c>
      <c r="C16" s="2278"/>
      <c r="D16" s="2279" t="s">
        <v>1991</v>
      </c>
      <c r="E16" s="2280" t="s">
        <v>1992</v>
      </c>
      <c r="F16" s="2279" t="s">
        <v>1993</v>
      </c>
      <c r="G16" s="2281" t="s">
        <v>1994</v>
      </c>
      <c r="H16" s="2279" t="s">
        <v>1995</v>
      </c>
      <c r="I16" s="2279" t="s">
        <v>1996</v>
      </c>
      <c r="J16" s="2280" t="s">
        <v>1997</v>
      </c>
      <c r="K16" s="2282"/>
      <c r="L16" s="2282"/>
      <c r="M16" s="2282"/>
      <c r="N16" s="2282"/>
      <c r="O16" s="2282"/>
      <c r="P16" s="2282"/>
      <c r="Q16" s="2266"/>
      <c r="R16" s="2266"/>
    </row>
    <row r="17">
      <c r="A17" s="2283" t="s">
        <v>1998</v>
      </c>
      <c r="B17" s="2283">
        <v>46216</v>
      </c>
      <c r="C17" s="2283" t="str">
        <v>Monday</v>
      </c>
      <c r="D17" s="2260" t="s">
        <v>1999</v>
      </c>
      <c r="E17" s="2261">
        <f t="shared" ref="E17:E18" si="69">24*MOD(TIMEVALUE(TRIM(MID(D17,FIND("-",D17)+1,LEN(D17)))) - TIMEVALUE(TRIM(LEFT(D17,FIND("-",D17)-1))),1)</f>
      </c>
      <c r="F17" s="2284"/>
      <c r="G17" s="2285" t="s">
        <v>2000</v>
      </c>
      <c r="H17" s="2260"/>
      <c r="I17" s="2260" t="s">
        <v>1972</v>
      </c>
      <c r="J17" s="2286"/>
      <c r="K17" s="2262"/>
      <c r="L17" s="2262"/>
      <c r="M17" s="2262"/>
      <c r="N17" s="2262"/>
      <c r="O17" s="2262"/>
      <c r="P17" s="2262"/>
      <c r="Q17" s="2266"/>
      <c r="R17" s="2266"/>
    </row>
    <row r="18">
      <c r="A18" s="2283" t="s">
        <v>1998</v>
      </c>
      <c r="B18" s="2283">
        <v>46218</v>
      </c>
      <c r="C18" s="2283" t="str">
        <v>Wednesday</v>
      </c>
      <c r="D18" s="2287" t="s">
        <v>2001</v>
      </c>
      <c r="E18" s="2261">
        <f t="shared" si="69"/>
      </c>
      <c r="F18" s="2284"/>
      <c r="G18" s="2285"/>
      <c r="H18" s="2260"/>
      <c r="I18" s="2288" t="s">
        <v>1972</v>
      </c>
      <c r="J18" s="2286"/>
      <c r="K18" s="2262"/>
      <c r="L18" s="2262"/>
      <c r="M18" s="2262"/>
      <c r="N18" s="2262"/>
      <c r="O18" s="2262"/>
      <c r="P18" s="2262"/>
    </row>
    <row r="19">
      <c r="A19" s="2283"/>
      <c r="B19" s="2283"/>
      <c r="C19" s="2283"/>
      <c r="D19" s="2260"/>
      <c r="E19" s="2261"/>
      <c r="F19" s="2284"/>
      <c r="G19" s="2285"/>
      <c r="H19" s="2260"/>
      <c r="I19" s="2260"/>
      <c r="J19" s="2286"/>
      <c r="K19" s="2262"/>
      <c r="L19" s="2262"/>
      <c r="M19" s="2262"/>
      <c r="N19" s="2262"/>
      <c r="O19" s="2262"/>
      <c r="P19" s="2262"/>
    </row>
    <row r="20">
      <c r="A20" s="2283" t="s">
        <v>2002</v>
      </c>
      <c r="B20" s="2283">
        <v>46219</v>
      </c>
      <c r="C20" s="2283" t="str">
        <v>Thursday</v>
      </c>
      <c r="D20" s="2289" t="s">
        <v>2003</v>
      </c>
      <c r="E20" s="2257">
        <v>2</v>
      </c>
      <c r="F20" s="2284" t="s">
        <v>2004</v>
      </c>
      <c r="G20" s="2285"/>
      <c r="H20" s="2260"/>
      <c r="I20" s="2260" t="s">
        <v>2005</v>
      </c>
      <c r="J20" s="2286"/>
      <c r="K20" s="2262"/>
      <c r="L20" s="2262"/>
      <c r="M20" s="2262"/>
      <c r="N20" s="2262"/>
      <c r="O20" s="2262"/>
      <c r="P20" s="2262"/>
    </row>
    <row customHeight="true" ht="18.452380952380953" r="21">
      <c r="A21" s="2290" t="s">
        <v>2006</v>
      </c>
      <c r="B21" s="2255">
        <v>46274</v>
      </c>
      <c r="C21" s="2283" t="str">
        <v>Wednesday</v>
      </c>
      <c r="D21" s="2289" t="s">
        <v>2007</v>
      </c>
      <c r="E21" s="2288">
        <f t="shared" ref="E21:E22" si="70">24*MOD(TIMEVALUE(TRIM(MID(D21,FIND("-",D21)+1,LEN(D21)))) - TIMEVALUE(TRIM(LEFT(D21,FIND("-",D21)-1))),1)</f>
      </c>
      <c r="F21" s="2291" t="s">
        <v>2008</v>
      </c>
      <c r="G21" s="2292"/>
      <c r="H21" s="2288" t="s">
        <v>2009</v>
      </c>
      <c r="I21" s="2288" t="s">
        <v>1972</v>
      </c>
      <c r="J21" s="2261"/>
      <c r="K21" s="2293"/>
      <c r="L21" s="2293"/>
      <c r="M21" s="2293"/>
      <c r="N21" s="2293"/>
      <c r="O21" s="2293"/>
      <c r="P21" s="2293"/>
      <c r="Q21" s="2293"/>
      <c r="R21" s="2293"/>
    </row>
    <row customHeight="true" ht="18.452380952380953" r="22">
      <c r="A22" s="2290" t="s">
        <v>2006</v>
      </c>
      <c r="B22" s="2283">
        <v>46267</v>
      </c>
      <c r="C22" s="2283" t="str">
        <v>Wednesday</v>
      </c>
      <c r="D22" s="2260" t="s">
        <v>2010</v>
      </c>
      <c r="E22" s="2288">
        <f t="shared" si="70"/>
      </c>
      <c r="F22" s="2291"/>
      <c r="G22" s="2292"/>
      <c r="H22" s="2288" t="s">
        <v>2009</v>
      </c>
      <c r="I22" s="2288" t="s">
        <v>1972</v>
      </c>
      <c r="J22" s="2261"/>
      <c r="K22" s="2293"/>
      <c r="L22" s="2293"/>
      <c r="M22" s="2293"/>
      <c r="N22" s="2293"/>
      <c r="O22" s="2293"/>
      <c r="P22" s="2293"/>
      <c r="Q22" s="2293"/>
      <c r="R22" s="2293"/>
    </row>
    <row customHeight="true" ht="18.452380952380953" r="23">
      <c r="A23" s="2283"/>
      <c r="B23" s="2255"/>
      <c r="C23" s="2283"/>
      <c r="D23" s="2260"/>
      <c r="E23" s="2261"/>
      <c r="F23" s="2291"/>
      <c r="G23" s="2285"/>
      <c r="H23" s="2260"/>
      <c r="I23" s="2260"/>
      <c r="J23" s="2286"/>
      <c r="K23" s="2262"/>
      <c r="L23" s="2262"/>
      <c r="M23" s="2262"/>
      <c r="N23" s="2262"/>
      <c r="O23" s="2262"/>
      <c r="P23" s="2262"/>
    </row>
    <row customHeight="true" ht="18.452380952380953" r="24">
      <c r="A24" s="2283"/>
      <c r="B24" s="2255"/>
      <c r="C24" s="2283"/>
      <c r="D24" s="2260"/>
      <c r="E24" s="2261"/>
      <c r="F24" s="2291"/>
      <c r="G24" s="2285"/>
      <c r="H24" s="2260"/>
      <c r="I24" s="2260"/>
      <c r="J24" s="2286"/>
      <c r="K24" s="2262"/>
      <c r="L24" s="2262"/>
      <c r="M24" s="2262"/>
      <c r="N24" s="2262"/>
      <c r="O24" s="2262"/>
      <c r="P24" s="2262"/>
    </row>
    <row r="25">
      <c r="A25" s="2248"/>
      <c r="B25" s="2248"/>
      <c r="C25" s="2248"/>
      <c r="D25" s="2248"/>
      <c r="E25" s="2248"/>
      <c r="F25" s="2248"/>
      <c r="G25" s="2248"/>
      <c r="H25" s="2248"/>
      <c r="I25" s="2248"/>
      <c r="J25" s="2248"/>
      <c r="K25" s="2249"/>
      <c r="L25" s="2249"/>
      <c r="M25" s="2249"/>
      <c r="N25" s="2249"/>
      <c r="O25" s="2249"/>
      <c r="P25" s="2249"/>
    </row>
    <row r="26">
      <c r="A26" s="2294" t="s">
        <v>2011</v>
      </c>
      <c r="B26" s="2294"/>
      <c r="C26" s="2294"/>
      <c r="D26" s="2294"/>
      <c r="E26" s="2294"/>
      <c r="F26" s="2294"/>
      <c r="G26" s="2294"/>
      <c r="H26" s="2294"/>
      <c r="I26" s="2294"/>
      <c r="J26" s="2295"/>
      <c r="K26" s="2296"/>
      <c r="L26" s="2296"/>
      <c r="M26" s="2296"/>
      <c r="N26" s="2296"/>
      <c r="O26" s="2296"/>
      <c r="P26" s="2296"/>
    </row>
    <row r="27">
      <c r="A27" s="2297" t="s">
        <v>1989</v>
      </c>
      <c r="B27" s="2298" t="s">
        <v>1990</v>
      </c>
      <c r="C27" s="2298"/>
      <c r="D27" s="2299" t="s">
        <v>1991</v>
      </c>
      <c r="E27" s="2299" t="s">
        <v>1992</v>
      </c>
      <c r="F27" s="2299" t="s">
        <v>1993</v>
      </c>
      <c r="G27" s="2300" t="s">
        <v>2012</v>
      </c>
      <c r="H27" s="2299" t="s">
        <v>1995</v>
      </c>
      <c r="I27" s="2299" t="s">
        <v>1996</v>
      </c>
      <c r="J27" s="2301" t="s">
        <v>1997</v>
      </c>
      <c r="K27" s="2282"/>
      <c r="L27" s="2282"/>
      <c r="M27" s="2282"/>
      <c r="N27" s="2282"/>
      <c r="O27" s="2282"/>
      <c r="P27" s="2282"/>
    </row>
    <row customHeight="true" ht="18.452380952380953" r="28">
      <c r="A28" s="2283" t="s">
        <v>2013</v>
      </c>
      <c r="B28" s="2283">
        <v>46272</v>
      </c>
      <c r="C28" s="2283" t="str">
        <v>Monday</v>
      </c>
      <c r="D28" s="2256" t="s">
        <v>2014</v>
      </c>
      <c r="E28" s="2288">
        <f t="shared" ref="E28:E40" si="71">24*MOD(TIMEVALUE(TRIM(MID(D28,FIND("-",D28)+1,LEN(D28)))) - TIMEVALUE(TRIM(LEFT(D28,FIND("-",D28)-1))),1)</f>
      </c>
      <c r="F28" s="2288" t="s">
        <v>2015</v>
      </c>
      <c r="G28" s="2302" t="s">
        <v>2016</v>
      </c>
      <c r="H28" s="2271" t="s">
        <v>2009</v>
      </c>
      <c r="I28" s="2288" t="s">
        <v>1972</v>
      </c>
      <c r="J28" s="2286"/>
      <c r="K28" s="2262"/>
      <c r="L28" s="2262"/>
      <c r="M28" s="2262"/>
      <c r="N28" s="2262"/>
      <c r="O28" s="2262"/>
      <c r="P28" s="2262"/>
    </row>
    <row customHeight="true" ht="18.452380952380953" r="29">
      <c r="A29" s="2283" t="s">
        <v>2013</v>
      </c>
      <c r="B29" s="2283">
        <v>46272</v>
      </c>
      <c r="C29" s="2283" t="str">
        <v>Monday</v>
      </c>
      <c r="D29" s="2256" t="s">
        <v>2017</v>
      </c>
      <c r="E29" s="2288">
        <f t="shared" si="71"/>
      </c>
      <c r="F29" s="2260" t="s">
        <v>2018</v>
      </c>
      <c r="G29" s="2302" t="s">
        <v>2016</v>
      </c>
      <c r="H29" s="2271" t="s">
        <v>2019</v>
      </c>
      <c r="I29" s="2288" t="s">
        <v>1972</v>
      </c>
      <c r="J29" s="2286"/>
      <c r="K29" s="2262"/>
      <c r="L29" s="2262"/>
      <c r="M29" s="2262"/>
      <c r="N29" s="2262"/>
      <c r="O29" s="2262"/>
      <c r="P29" s="2262"/>
    </row>
    <row customHeight="true" ht="18.452380952380953" r="30">
      <c r="A30" s="2283" t="s">
        <v>2013</v>
      </c>
      <c r="B30" s="2283">
        <v>46272</v>
      </c>
      <c r="C30" s="2283" t="str">
        <v>Monday</v>
      </c>
      <c r="D30" s="2288" t="s">
        <v>2020</v>
      </c>
      <c r="E30" s="2288">
        <f t="shared" si="71"/>
      </c>
      <c r="F30" s="2288" t="s">
        <v>2015</v>
      </c>
      <c r="G30" s="2302" t="s">
        <v>2021</v>
      </c>
      <c r="H30" s="2271" t="s">
        <v>2022</v>
      </c>
      <c r="I30" s="2288" t="s">
        <v>1972</v>
      </c>
      <c r="J30" s="2286"/>
      <c r="K30" s="2262"/>
      <c r="L30" s="2262"/>
      <c r="M30" s="2262"/>
      <c r="N30" s="2262"/>
      <c r="O30" s="2262"/>
      <c r="P30" s="2262"/>
    </row>
    <row customHeight="true" ht="18.452380952380953" r="31">
      <c r="A31" s="2283" t="s">
        <v>2013</v>
      </c>
      <c r="B31" s="2283">
        <v>46272</v>
      </c>
      <c r="C31" s="2283" t="str">
        <v>Monday</v>
      </c>
      <c r="D31" s="2288" t="s">
        <v>2023</v>
      </c>
      <c r="E31" s="2288">
        <f t="shared" si="71"/>
      </c>
      <c r="F31" s="2288" t="s">
        <v>2024</v>
      </c>
      <c r="G31" s="2302" t="s">
        <v>2025</v>
      </c>
      <c r="H31" s="2271" t="s">
        <v>2026</v>
      </c>
      <c r="I31" s="2288" t="s">
        <v>1972</v>
      </c>
      <c r="J31" s="2286"/>
      <c r="K31" s="2262"/>
      <c r="L31" s="2262"/>
      <c r="M31" s="2262"/>
      <c r="N31" s="2262"/>
      <c r="O31" s="2262"/>
      <c r="P31" s="2262"/>
    </row>
    <row customHeight="true" ht="18.452380952380953" r="32">
      <c r="A32" s="2283" t="s">
        <v>2013</v>
      </c>
      <c r="B32" s="2283">
        <v>46272</v>
      </c>
      <c r="C32" s="2283" t="str">
        <v>Monday</v>
      </c>
      <c r="D32" s="2288" t="s">
        <v>2027</v>
      </c>
      <c r="E32" s="2288">
        <f t="shared" si="71"/>
      </c>
      <c r="F32" s="2288" t="s">
        <v>2015</v>
      </c>
      <c r="G32" s="2302" t="s">
        <v>2016</v>
      </c>
      <c r="H32" s="2271" t="s">
        <v>2028</v>
      </c>
      <c r="I32" s="2288" t="s">
        <v>1972</v>
      </c>
      <c r="J32" s="2286"/>
      <c r="K32" s="2262"/>
      <c r="L32" s="2262"/>
      <c r="M32" s="2262"/>
      <c r="N32" s="2262"/>
      <c r="O32" s="2262"/>
      <c r="P32" s="2262"/>
    </row>
    <row customHeight="true" ht="18.452380952380953" r="33">
      <c r="A33" s="2283" t="s">
        <v>2013</v>
      </c>
      <c r="B33" s="2283">
        <v>46273</v>
      </c>
      <c r="C33" s="2283" t="str">
        <v>Tuesday</v>
      </c>
      <c r="D33" s="2256" t="s">
        <v>2029</v>
      </c>
      <c r="E33" s="2288">
        <f t="shared" si="71"/>
      </c>
      <c r="F33" s="2288" t="s">
        <v>2015</v>
      </c>
      <c r="G33" s="2302" t="s">
        <v>2016</v>
      </c>
      <c r="H33" s="2271" t="s">
        <v>2030</v>
      </c>
      <c r="I33" s="2288" t="s">
        <v>1972</v>
      </c>
      <c r="J33" s="2286"/>
      <c r="K33" s="2262"/>
      <c r="L33" s="2262"/>
      <c r="M33" s="2262"/>
      <c r="N33" s="2262"/>
      <c r="O33" s="2262"/>
      <c r="P33" s="2262"/>
    </row>
    <row customHeight="true" ht="18.452380952380953" r="34">
      <c r="A34" s="2283" t="s">
        <v>2013</v>
      </c>
      <c r="B34" s="2283">
        <v>46274</v>
      </c>
      <c r="C34" s="2283" t="str">
        <v>Wednesday</v>
      </c>
      <c r="D34" s="2288" t="s">
        <v>2020</v>
      </c>
      <c r="E34" s="2288">
        <f t="shared" si="71"/>
      </c>
      <c r="F34" s="2288" t="s">
        <v>2015</v>
      </c>
      <c r="G34" s="2302" t="s">
        <v>2031</v>
      </c>
      <c r="H34" s="2271" t="s">
        <v>2032</v>
      </c>
      <c r="I34" s="2288" t="s">
        <v>1972</v>
      </c>
      <c r="J34" s="2286"/>
      <c r="K34" s="2262"/>
      <c r="L34" s="2262"/>
      <c r="M34" s="2262"/>
      <c r="N34" s="2262"/>
      <c r="O34" s="2262"/>
      <c r="P34" s="2262"/>
    </row>
    <row customHeight="true" ht="18.452380952380953" r="35">
      <c r="A35" s="2283" t="s">
        <v>2013</v>
      </c>
      <c r="B35" s="2283">
        <v>46274</v>
      </c>
      <c r="C35" s="2283" t="str">
        <v>Wednesday</v>
      </c>
      <c r="D35" s="2288" t="s">
        <v>2033</v>
      </c>
      <c r="E35" s="2288">
        <f t="shared" si="71"/>
      </c>
      <c r="F35" s="2288" t="s">
        <v>2024</v>
      </c>
      <c r="G35" s="2302" t="s">
        <v>2025</v>
      </c>
      <c r="H35" s="2271" t="s">
        <v>2034</v>
      </c>
      <c r="I35" s="2288" t="s">
        <v>1972</v>
      </c>
      <c r="J35" s="2286"/>
      <c r="K35" s="2262"/>
      <c r="L35" s="2262"/>
      <c r="M35" s="2262"/>
      <c r="N35" s="2262"/>
      <c r="O35" s="2262"/>
      <c r="P35" s="2262"/>
    </row>
    <row customHeight="true" ht="18.452380952380953" r="36">
      <c r="A36" s="2283" t="s">
        <v>2013</v>
      </c>
      <c r="B36" s="2283">
        <v>46274</v>
      </c>
      <c r="C36" s="2283" t="str">
        <v>Wednesday</v>
      </c>
      <c r="D36" s="2288" t="s">
        <v>2035</v>
      </c>
      <c r="E36" s="2288">
        <f t="shared" si="71"/>
      </c>
      <c r="F36" s="2288" t="s">
        <v>2015</v>
      </c>
      <c r="G36" s="2302" t="s">
        <v>2025</v>
      </c>
      <c r="H36" s="2271" t="s">
        <v>2036</v>
      </c>
      <c r="I36" s="2288" t="s">
        <v>1972</v>
      </c>
      <c r="J36" s="2286"/>
      <c r="K36" s="2262"/>
      <c r="L36" s="2262"/>
      <c r="M36" s="2262"/>
      <c r="N36" s="2262"/>
      <c r="O36" s="2262"/>
      <c r="P36" s="2262"/>
    </row>
    <row customHeight="true" ht="18.452380952380953" r="37">
      <c r="A37" s="2283" t="s">
        <v>2013</v>
      </c>
      <c r="B37" s="2283">
        <v>46276</v>
      </c>
      <c r="C37" s="2283" t="str">
        <v>Friday</v>
      </c>
      <c r="D37" s="2288" t="s">
        <v>2003</v>
      </c>
      <c r="E37" s="2288">
        <f t="shared" si="71"/>
      </c>
      <c r="F37" s="2288" t="s">
        <v>2015</v>
      </c>
      <c r="G37" s="2302" t="s">
        <v>2016</v>
      </c>
      <c r="H37" s="2271" t="s">
        <v>2037</v>
      </c>
      <c r="I37" s="2288" t="s">
        <v>1972</v>
      </c>
      <c r="J37" s="2286"/>
      <c r="K37" s="2262"/>
      <c r="L37" s="2262"/>
      <c r="M37" s="2262"/>
      <c r="N37" s="2262"/>
      <c r="O37" s="2262"/>
      <c r="P37" s="2262"/>
    </row>
    <row customHeight="true" ht="18.452380952380953" r="38">
      <c r="A38" s="2283" t="s">
        <v>2013</v>
      </c>
      <c r="B38" s="2283">
        <v>46276</v>
      </c>
      <c r="C38" s="2283" t="str">
        <v>Friday</v>
      </c>
      <c r="D38" s="2256" t="s">
        <v>2014</v>
      </c>
      <c r="E38" s="2288">
        <f t="shared" si="71"/>
      </c>
      <c r="F38" s="2260" t="s">
        <v>2018</v>
      </c>
      <c r="G38" s="2302" t="s">
        <v>2016</v>
      </c>
      <c r="H38" s="2271" t="s">
        <v>2038</v>
      </c>
      <c r="I38" s="2288" t="s">
        <v>1972</v>
      </c>
      <c r="J38" s="2286"/>
      <c r="K38" s="2262"/>
      <c r="L38" s="2262"/>
      <c r="M38" s="2262"/>
      <c r="N38" s="2262"/>
      <c r="O38" s="2262"/>
      <c r="P38" s="2262"/>
    </row>
    <row customHeight="true" ht="18.452380952380953" r="39">
      <c r="A39" s="2283" t="s">
        <v>2013</v>
      </c>
      <c r="B39" s="2283">
        <v>46277</v>
      </c>
      <c r="C39" s="2283" t="str">
        <v>Saturday</v>
      </c>
      <c r="D39" s="2288" t="s">
        <v>2039</v>
      </c>
      <c r="E39" s="2288">
        <f t="shared" si="71"/>
      </c>
      <c r="F39" s="2288" t="s">
        <v>2015</v>
      </c>
      <c r="G39" s="2302" t="s">
        <v>2016</v>
      </c>
      <c r="H39" s="2271" t="s">
        <v>2040</v>
      </c>
      <c r="I39" s="2288" t="s">
        <v>1972</v>
      </c>
      <c r="J39" s="2286"/>
      <c r="K39" s="2262"/>
      <c r="L39" s="2262"/>
      <c r="M39" s="2262"/>
      <c r="N39" s="2262"/>
      <c r="O39" s="2262"/>
      <c r="P39" s="2262"/>
    </row>
    <row customHeight="true" ht="18.452380952380953" r="40">
      <c r="A40" s="2303" t="s">
        <v>2013</v>
      </c>
      <c r="B40" s="2304">
        <v>46277</v>
      </c>
      <c r="C40" s="2303" t="str">
        <v>Saturday</v>
      </c>
      <c r="D40" s="2305" t="s">
        <v>2041</v>
      </c>
      <c r="E40" s="2306">
        <f t="shared" si="71"/>
      </c>
      <c r="F40" s="2306" t="s">
        <v>2024</v>
      </c>
      <c r="G40" s="2307" t="s">
        <v>2042</v>
      </c>
      <c r="H40" s="2308" t="s">
        <v>2043</v>
      </c>
      <c r="I40" s="2306" t="s">
        <v>2005</v>
      </c>
      <c r="J40" s="2309" t="s">
        <v>2044</v>
      </c>
      <c r="K40" s="2262"/>
      <c r="L40" s="2262"/>
      <c r="M40" s="2262"/>
      <c r="N40" s="2262"/>
      <c r="O40" s="2262"/>
      <c r="P40" s="2262"/>
    </row>
    <row customHeight="true" ht="18.452380952380953" r="41">
      <c r="A41" s="2283"/>
      <c r="B41" s="2255"/>
      <c r="C41" s="2283"/>
      <c r="D41" s="2256"/>
      <c r="E41" s="2288"/>
      <c r="F41" s="2288"/>
      <c r="G41" s="2302"/>
      <c r="H41" s="2310"/>
      <c r="I41" s="2288"/>
      <c r="J41" s="2286"/>
      <c r="K41" s="2262"/>
      <c r="L41" s="2262"/>
      <c r="M41" s="2262"/>
      <c r="N41" s="2262"/>
      <c r="O41" s="2262"/>
      <c r="P41" s="2262"/>
    </row>
    <row customHeight="true" ht="18.452380952380953" r="42">
      <c r="A42" s="2283"/>
      <c r="B42" s="2255"/>
      <c r="C42" s="2283"/>
      <c r="D42" s="2256"/>
      <c r="E42" s="2288"/>
      <c r="F42" s="2288"/>
      <c r="G42" s="2302"/>
      <c r="H42" s="2310"/>
      <c r="I42" s="2288"/>
      <c r="J42" s="2286"/>
      <c r="K42" s="2262"/>
      <c r="L42" s="2262"/>
      <c r="M42" s="2262"/>
      <c r="N42" s="2262"/>
      <c r="O42" s="2262"/>
      <c r="P42" s="2262"/>
    </row>
    <row customHeight="true" ht="18.452380952380953" r="43">
      <c r="A43" s="2283"/>
      <c r="B43" s="2255"/>
      <c r="C43" s="2283"/>
      <c r="D43" s="2256"/>
      <c r="E43" s="2288"/>
      <c r="F43" s="2288"/>
      <c r="G43" s="2302"/>
      <c r="H43" s="2310"/>
      <c r="I43" s="2288"/>
      <c r="J43" s="2286"/>
      <c r="K43" s="2262"/>
      <c r="L43" s="2262"/>
      <c r="M43" s="2262"/>
      <c r="N43" s="2262"/>
      <c r="O43" s="2262"/>
      <c r="P43" s="2262"/>
    </row>
    <row customHeight="true" ht="18.452380952380953" r="44">
      <c r="A44" s="2283"/>
      <c r="B44" s="2255"/>
      <c r="C44" s="2283"/>
      <c r="D44" s="2256"/>
      <c r="E44" s="2288"/>
      <c r="F44" s="2288"/>
      <c r="G44" s="2302"/>
      <c r="H44" s="2310"/>
      <c r="I44" s="2288"/>
      <c r="J44" s="2286"/>
      <c r="K44" s="2262"/>
      <c r="L44" s="2262"/>
      <c r="M44" s="2262"/>
      <c r="N44" s="2262"/>
      <c r="O44" s="2262"/>
      <c r="P44" s="2262"/>
    </row>
    <row customHeight="true" ht="18.452380952380953" r="45">
      <c r="A45" s="2311" t="s">
        <v>2045</v>
      </c>
      <c r="B45" s="2311">
        <v>46272</v>
      </c>
      <c r="C45" s="2311" t="str">
        <v>Monday</v>
      </c>
      <c r="D45" s="2312" t="s">
        <v>2046</v>
      </c>
      <c r="E45" s="2313">
        <f t="shared" ref="E45:E57" si="72">24*MOD(TIMEVALUE(TRIM(MID(D45,FIND("-",D45)+1,LEN(D45)))) - TIMEVALUE(TRIM(LEFT(D45,FIND("-",D45)-1))),1)</f>
      </c>
      <c r="F45" s="2313" t="s">
        <v>2047</v>
      </c>
      <c r="G45" s="2314"/>
      <c r="H45" s="2315" t="s">
        <v>2022</v>
      </c>
      <c r="I45" s="2313" t="s">
        <v>1972</v>
      </c>
      <c r="J45" s="2316"/>
      <c r="K45" s="2262"/>
      <c r="L45" s="2262"/>
      <c r="M45" s="2262"/>
      <c r="N45" s="2262"/>
      <c r="O45" s="2262"/>
      <c r="P45" s="2262"/>
    </row>
    <row customHeight="true" ht="18.452380952380953" r="46">
      <c r="A46" s="2311" t="s">
        <v>2045</v>
      </c>
      <c r="B46" s="2317">
        <v>46272</v>
      </c>
      <c r="C46" s="2311" t="str">
        <v>Monday</v>
      </c>
      <c r="D46" s="2312" t="s">
        <v>2048</v>
      </c>
      <c r="E46" s="2313">
        <f t="shared" si="72"/>
      </c>
      <c r="F46" s="2313" t="s">
        <v>2025</v>
      </c>
      <c r="G46" s="2314"/>
      <c r="H46" s="2315" t="s">
        <v>2026</v>
      </c>
      <c r="I46" s="2313" t="s">
        <v>1972</v>
      </c>
      <c r="J46" s="2316"/>
      <c r="K46" s="2262"/>
      <c r="L46" s="2262"/>
      <c r="M46" s="2262"/>
      <c r="N46" s="2262"/>
      <c r="O46" s="2262"/>
      <c r="P46" s="2262"/>
    </row>
    <row customHeight="true" ht="18.452380952380953" r="47">
      <c r="A47" s="2311" t="s">
        <v>2045</v>
      </c>
      <c r="B47" s="2317">
        <v>46272</v>
      </c>
      <c r="C47" s="2311" t="str">
        <v>Monday</v>
      </c>
      <c r="D47" s="2312" t="s">
        <v>2049</v>
      </c>
      <c r="E47" s="2313">
        <f t="shared" si="72"/>
      </c>
      <c r="F47" s="2313" t="s">
        <v>2047</v>
      </c>
      <c r="G47" s="2314"/>
      <c r="H47" s="2315" t="s">
        <v>2028</v>
      </c>
      <c r="I47" s="2313" t="s">
        <v>1972</v>
      </c>
      <c r="J47" s="2316"/>
      <c r="K47" s="2262"/>
      <c r="L47" s="2262"/>
      <c r="M47" s="2262"/>
      <c r="N47" s="2262"/>
      <c r="O47" s="2262"/>
      <c r="P47" s="2262"/>
    </row>
    <row customHeight="true" ht="18.452380952380953" r="48">
      <c r="A48" s="2311" t="s">
        <v>2045</v>
      </c>
      <c r="B48" s="2317">
        <v>46272</v>
      </c>
      <c r="C48" s="2311" t="str">
        <v>Monday</v>
      </c>
      <c r="D48" s="2312" t="s">
        <v>2023</v>
      </c>
      <c r="E48" s="2313">
        <f t="shared" si="72"/>
      </c>
      <c r="F48" s="2313" t="s">
        <v>2025</v>
      </c>
      <c r="G48" s="2314"/>
      <c r="H48" s="2315" t="s">
        <v>2030</v>
      </c>
      <c r="I48" s="2313" t="s">
        <v>1972</v>
      </c>
      <c r="J48" s="2316"/>
      <c r="K48" s="2262"/>
      <c r="L48" s="2262"/>
      <c r="M48" s="2262"/>
      <c r="N48" s="2262"/>
      <c r="O48" s="2262"/>
      <c r="P48" s="2262"/>
    </row>
    <row customHeight="true" ht="18.452380952380953" r="49">
      <c r="A49" s="2311" t="s">
        <v>2045</v>
      </c>
      <c r="B49" s="2317">
        <v>46272</v>
      </c>
      <c r="C49" s="2311" t="str">
        <v>Monday</v>
      </c>
      <c r="D49" s="2312" t="s">
        <v>2050</v>
      </c>
      <c r="E49" s="2313">
        <f t="shared" si="72"/>
      </c>
      <c r="F49" s="2313" t="s">
        <v>2047</v>
      </c>
      <c r="G49" s="2314"/>
      <c r="H49" s="2315" t="s">
        <v>2032</v>
      </c>
      <c r="I49" s="2313" t="s">
        <v>1972</v>
      </c>
      <c r="J49" s="2316"/>
      <c r="K49" s="2262"/>
      <c r="L49" s="2262"/>
      <c r="M49" s="2262"/>
      <c r="N49" s="2262"/>
      <c r="O49" s="2262"/>
      <c r="P49" s="2262"/>
    </row>
    <row customHeight="true" ht="18.452380952380953" r="50">
      <c r="A50" s="2311" t="s">
        <v>2045</v>
      </c>
      <c r="B50" s="2311">
        <v>46273</v>
      </c>
      <c r="C50" s="2311" t="str">
        <v>Tuesday</v>
      </c>
      <c r="D50" s="2312" t="s">
        <v>2029</v>
      </c>
      <c r="E50" s="2313">
        <f t="shared" si="72"/>
      </c>
      <c r="F50" s="2313" t="s">
        <v>2047</v>
      </c>
      <c r="G50" s="2314"/>
      <c r="H50" s="2315" t="s">
        <v>2034</v>
      </c>
      <c r="I50" s="2313" t="s">
        <v>1972</v>
      </c>
      <c r="J50" s="2316"/>
      <c r="K50" s="2262"/>
      <c r="L50" s="2262"/>
      <c r="M50" s="2262"/>
      <c r="N50" s="2262"/>
      <c r="O50" s="2262"/>
      <c r="P50" s="2262"/>
    </row>
    <row customHeight="true" ht="18.452380952380953" r="51">
      <c r="A51" s="2311" t="s">
        <v>2045</v>
      </c>
      <c r="B51" s="2311">
        <v>46274</v>
      </c>
      <c r="C51" s="2311" t="str">
        <v>Wednesday</v>
      </c>
      <c r="D51" s="2313" t="s">
        <v>2020</v>
      </c>
      <c r="E51" s="2313">
        <f t="shared" si="72"/>
      </c>
      <c r="F51" s="2313" t="s">
        <v>2051</v>
      </c>
      <c r="G51" s="2314"/>
      <c r="H51" s="2315" t="s">
        <v>2036</v>
      </c>
      <c r="I51" s="2313" t="s">
        <v>1972</v>
      </c>
      <c r="J51" s="2316"/>
      <c r="K51" s="2262"/>
      <c r="L51" s="2262"/>
      <c r="M51" s="2262"/>
      <c r="N51" s="2262"/>
      <c r="O51" s="2262"/>
      <c r="P51" s="2262"/>
    </row>
    <row customHeight="true" ht="18.452380952380953" r="52">
      <c r="A52" s="2311" t="s">
        <v>2045</v>
      </c>
      <c r="B52" s="2311">
        <v>46274</v>
      </c>
      <c r="C52" s="2311" t="str">
        <v>Wednesday</v>
      </c>
      <c r="D52" s="2313" t="s">
        <v>2033</v>
      </c>
      <c r="E52" s="2313">
        <f t="shared" si="72"/>
      </c>
      <c r="F52" s="2313" t="s">
        <v>2025</v>
      </c>
      <c r="G52" s="2318"/>
      <c r="H52" s="2315" t="s">
        <v>2037</v>
      </c>
      <c r="I52" s="2313" t="s">
        <v>1972</v>
      </c>
      <c r="J52" s="2316"/>
      <c r="K52" s="2262"/>
      <c r="L52" s="2262"/>
      <c r="M52" s="2262"/>
      <c r="N52" s="2262"/>
      <c r="O52" s="2262"/>
      <c r="P52" s="2262"/>
      <c r="Q52" s="2319"/>
      <c r="R52" s="2319"/>
    </row>
    <row customHeight="true" ht="18.452380952380953" r="53">
      <c r="A53" s="2303" t="s">
        <v>2045</v>
      </c>
      <c r="B53" s="2303">
        <v>46274</v>
      </c>
      <c r="C53" s="2303" t="str">
        <v>Wednesday</v>
      </c>
      <c r="D53" s="2306" t="s">
        <v>2035</v>
      </c>
      <c r="E53" s="2306">
        <f t="shared" si="72"/>
      </c>
      <c r="F53" s="2306" t="s">
        <v>2051</v>
      </c>
      <c r="G53" s="2320"/>
      <c r="H53" s="2308" t="s">
        <v>2038</v>
      </c>
      <c r="I53" s="2306"/>
      <c r="J53" s="2309" t="s">
        <v>2052</v>
      </c>
      <c r="K53" s="2262"/>
      <c r="L53" s="2262"/>
      <c r="M53" s="2262"/>
      <c r="N53" s="2262"/>
      <c r="O53" s="2262"/>
      <c r="P53" s="2262"/>
      <c r="Q53" s="2319"/>
      <c r="R53" s="2319"/>
    </row>
    <row customHeight="true" ht="18.452380952380953" r="54">
      <c r="A54" s="2311" t="s">
        <v>2045</v>
      </c>
      <c r="B54" s="2311">
        <v>46274</v>
      </c>
      <c r="C54" s="2311" t="str">
        <v>Wednesday</v>
      </c>
      <c r="D54" s="2312" t="s">
        <v>2053</v>
      </c>
      <c r="E54" s="2313">
        <f t="shared" si="72"/>
      </c>
      <c r="F54" s="2313" t="s">
        <v>2025</v>
      </c>
      <c r="G54" s="2318"/>
      <c r="H54" s="2315" t="s">
        <v>2040</v>
      </c>
      <c r="I54" s="2313" t="s">
        <v>1972</v>
      </c>
      <c r="J54" s="2321"/>
      <c r="K54" s="2262"/>
      <c r="L54" s="2262"/>
      <c r="M54" s="2262"/>
      <c r="N54" s="2262"/>
      <c r="O54" s="2262"/>
      <c r="P54" s="2262"/>
      <c r="Q54" s="2319"/>
      <c r="R54" s="2319"/>
    </row>
    <row customHeight="true" ht="16.071428571428573" r="55">
      <c r="A55" s="2311" t="s">
        <v>2045</v>
      </c>
      <c r="B55" s="2311">
        <v>46276</v>
      </c>
      <c r="C55" s="2311" t="str">
        <v>Friday</v>
      </c>
      <c r="D55" s="2312" t="s">
        <v>2054</v>
      </c>
      <c r="E55" s="2313">
        <f t="shared" si="72"/>
      </c>
      <c r="F55" s="2313" t="s">
        <v>2047</v>
      </c>
      <c r="G55" s="2318"/>
      <c r="H55" s="2315" t="s">
        <v>2043</v>
      </c>
      <c r="I55" s="2313" t="s">
        <v>1972</v>
      </c>
      <c r="J55" s="2316"/>
      <c r="K55" s="2262"/>
      <c r="L55" s="2262"/>
      <c r="M55" s="2262"/>
      <c r="N55" s="2262"/>
      <c r="O55" s="2262"/>
      <c r="P55" s="2262"/>
      <c r="Q55" s="2319"/>
      <c r="R55" s="2319"/>
    </row>
    <row customHeight="true" ht="16.071428571428573" r="56">
      <c r="A56" s="2311" t="s">
        <v>2045</v>
      </c>
      <c r="B56" s="2311">
        <v>46277</v>
      </c>
      <c r="C56" s="2311" t="str">
        <v>Saturday</v>
      </c>
      <c r="D56" s="2312" t="s">
        <v>2054</v>
      </c>
      <c r="E56" s="2313">
        <f t="shared" si="72"/>
      </c>
      <c r="F56" s="2313" t="s">
        <v>2047</v>
      </c>
      <c r="G56" s="2318"/>
      <c r="H56" s="2315" t="s">
        <v>2055</v>
      </c>
      <c r="I56" s="2313" t="s">
        <v>1972</v>
      </c>
      <c r="J56" s="2316"/>
      <c r="K56" s="2262"/>
      <c r="L56" s="2262"/>
      <c r="M56" s="2262"/>
      <c r="N56" s="2262"/>
      <c r="O56" s="2262"/>
      <c r="P56" s="2262"/>
      <c r="Q56" s="2319"/>
      <c r="R56" s="2319"/>
    </row>
    <row customHeight="true" ht="16.071428571428573" r="57">
      <c r="A57" s="2303" t="s">
        <v>2045</v>
      </c>
      <c r="B57" s="2303">
        <v>46277</v>
      </c>
      <c r="C57" s="2303" t="str">
        <v>Saturday</v>
      </c>
      <c r="D57" s="2305" t="s">
        <v>2041</v>
      </c>
      <c r="E57" s="2306">
        <f t="shared" si="72"/>
      </c>
      <c r="F57" s="2306" t="s">
        <v>2051</v>
      </c>
      <c r="G57" s="2320"/>
      <c r="H57" s="2308" t="s">
        <v>2055</v>
      </c>
      <c r="I57" s="2306" t="s">
        <v>2005</v>
      </c>
      <c r="J57" s="2309" t="s">
        <v>2044</v>
      </c>
      <c r="K57" s="2262"/>
      <c r="L57" s="2262"/>
      <c r="M57" s="2262"/>
      <c r="N57" s="2262"/>
      <c r="O57" s="2262"/>
      <c r="P57" s="2262"/>
      <c r="Q57" s="2319"/>
      <c r="R57" s="2319"/>
    </row>
    <row customHeight="true" ht="16.071428571428573" r="58">
      <c r="A58" s="2311"/>
      <c r="B58" s="2317"/>
      <c r="C58" s="2311"/>
      <c r="D58" s="2312"/>
      <c r="E58" s="2313"/>
      <c r="F58" s="2313"/>
      <c r="G58" s="2318"/>
      <c r="H58" s="2313"/>
      <c r="I58" s="2313"/>
      <c r="J58" s="2316"/>
      <c r="K58" s="2262"/>
      <c r="L58" s="2262"/>
      <c r="M58" s="2262"/>
      <c r="N58" s="2262"/>
      <c r="O58" s="2262"/>
      <c r="P58" s="2262"/>
      <c r="Q58" s="2319"/>
      <c r="R58" s="2319"/>
    </row>
    <row customHeight="true" ht="16.071428571428573" r="59">
      <c r="A59" s="2311"/>
      <c r="B59" s="2317"/>
      <c r="C59" s="2311"/>
      <c r="D59" s="2312"/>
      <c r="E59" s="2313"/>
      <c r="F59" s="2313"/>
      <c r="G59" s="2318"/>
      <c r="H59" s="2313"/>
      <c r="I59" s="2313"/>
      <c r="J59" s="2316"/>
      <c r="K59" s="2262"/>
      <c r="L59" s="2262"/>
      <c r="M59" s="2262"/>
      <c r="N59" s="2262"/>
      <c r="O59" s="2262"/>
      <c r="P59" s="2262"/>
      <c r="Q59" s="2319"/>
      <c r="R59" s="2319"/>
    </row>
    <row customHeight="true" ht="16.071428571428573" r="60">
      <c r="A60" s="2311"/>
      <c r="B60" s="2317"/>
      <c r="C60" s="2311"/>
      <c r="D60" s="2312"/>
      <c r="E60" s="2313"/>
      <c r="F60" s="2313"/>
      <c r="G60" s="2318"/>
      <c r="H60" s="2313"/>
      <c r="I60" s="2313"/>
      <c r="J60" s="2316"/>
      <c r="K60" s="2262"/>
      <c r="L60" s="2262"/>
      <c r="M60" s="2262"/>
      <c r="N60" s="2262"/>
      <c r="O60" s="2262"/>
      <c r="P60" s="2262"/>
      <c r="Q60" s="2319"/>
      <c r="R60" s="2319"/>
    </row>
    <row customHeight="true" ht="16.071428571428573" r="61">
      <c r="A61" s="2311"/>
      <c r="B61" s="2317"/>
      <c r="C61" s="2311"/>
      <c r="D61" s="2312"/>
      <c r="E61" s="2313"/>
      <c r="F61" s="2313"/>
      <c r="G61" s="2318"/>
      <c r="H61" s="2313"/>
      <c r="I61" s="2313"/>
      <c r="J61" s="2316"/>
      <c r="K61" s="2262"/>
      <c r="L61" s="2262"/>
      <c r="M61" s="2262"/>
      <c r="N61" s="2262"/>
      <c r="O61" s="2262"/>
      <c r="P61" s="2262"/>
      <c r="Q61" s="2319"/>
      <c r="R61" s="2319"/>
    </row>
    <row customHeight="true" ht="16.071428571428573" r="62">
      <c r="A62" s="2311" t="s">
        <v>2056</v>
      </c>
      <c r="B62" s="2311">
        <v>46272</v>
      </c>
      <c r="C62" s="2311" t="str">
        <v>Monday</v>
      </c>
      <c r="D62" s="2312" t="s">
        <v>2057</v>
      </c>
      <c r="E62" s="2313">
        <f t="shared" ref="E62:E69" si="73">24*MOD(TIMEVALUE(TRIM(MID(D62,FIND("-",D62)+1,LEN(D62)))) - TIMEVALUE(TRIM(LEFT(D62,FIND("-",D62)-1))),1)</f>
      </c>
      <c r="F62" s="2313" t="s">
        <v>2018</v>
      </c>
      <c r="G62" s="2318"/>
      <c r="H62" s="2313"/>
      <c r="I62" s="2313"/>
      <c r="J62" s="2316"/>
      <c r="K62" s="2262"/>
      <c r="L62" s="2262"/>
      <c r="M62" s="2262"/>
      <c r="N62" s="2262"/>
      <c r="O62" s="2262"/>
      <c r="P62" s="2262"/>
      <c r="Q62" s="2319"/>
      <c r="R62" s="2319"/>
    </row>
    <row customHeight="true" ht="16.071428571428573" r="63">
      <c r="A63" s="2311" t="s">
        <v>2056</v>
      </c>
      <c r="B63" s="2317">
        <v>46272</v>
      </c>
      <c r="C63" s="2311" t="str">
        <v>Monday</v>
      </c>
      <c r="D63" s="2312" t="s">
        <v>2058</v>
      </c>
      <c r="E63" s="2313">
        <f t="shared" si="73"/>
      </c>
      <c r="F63" s="2313" t="s">
        <v>2025</v>
      </c>
      <c r="G63" s="2318"/>
      <c r="H63" s="2313"/>
      <c r="I63" s="2313"/>
      <c r="J63" s="2316"/>
      <c r="K63" s="2262"/>
      <c r="L63" s="2262"/>
      <c r="M63" s="2262"/>
      <c r="N63" s="2262"/>
      <c r="O63" s="2262"/>
      <c r="P63" s="2262"/>
      <c r="Q63" s="2319"/>
      <c r="R63" s="2319"/>
    </row>
    <row customHeight="true" ht="16.071428571428573" r="64">
      <c r="A64" s="2311" t="s">
        <v>2056</v>
      </c>
      <c r="B64" s="2317">
        <v>46272</v>
      </c>
      <c r="C64" s="2311" t="str">
        <v>Monday</v>
      </c>
      <c r="D64" s="2312" t="s">
        <v>2049</v>
      </c>
      <c r="E64" s="2313">
        <f t="shared" si="73"/>
      </c>
      <c r="F64" s="2313" t="s">
        <v>2025</v>
      </c>
      <c r="G64" s="2318"/>
      <c r="H64" s="2313"/>
      <c r="I64" s="2313"/>
      <c r="J64" s="2316"/>
      <c r="K64" s="2262"/>
      <c r="L64" s="2262"/>
      <c r="M64" s="2262"/>
      <c r="N64" s="2262"/>
      <c r="O64" s="2262"/>
      <c r="P64" s="2262"/>
      <c r="Q64" s="2319"/>
      <c r="R64" s="2319"/>
    </row>
    <row customHeight="true" ht="16.071428571428573" r="65">
      <c r="A65" s="2311" t="s">
        <v>2056</v>
      </c>
      <c r="B65" s="2317">
        <v>46272</v>
      </c>
      <c r="C65" s="2311" t="str">
        <v>Monday</v>
      </c>
      <c r="D65" s="2312" t="s">
        <v>2050</v>
      </c>
      <c r="E65" s="2313">
        <f t="shared" si="73"/>
      </c>
      <c r="F65" s="2313" t="s">
        <v>2025</v>
      </c>
      <c r="G65" s="2318"/>
      <c r="H65" s="2313"/>
      <c r="I65" s="2313"/>
      <c r="J65" s="2316"/>
      <c r="K65" s="2262"/>
      <c r="L65" s="2262"/>
      <c r="M65" s="2262"/>
      <c r="N65" s="2262"/>
      <c r="O65" s="2262"/>
      <c r="P65" s="2262"/>
      <c r="Q65" s="2319"/>
      <c r="R65" s="2319"/>
    </row>
    <row customHeight="true" ht="16.071428571428573" r="66">
      <c r="A66" s="2311" t="s">
        <v>2056</v>
      </c>
      <c r="B66" s="2317">
        <v>46273</v>
      </c>
      <c r="C66" s="2311" t="str">
        <v>Tuesday</v>
      </c>
      <c r="D66" s="2312" t="s">
        <v>2059</v>
      </c>
      <c r="E66" s="2313">
        <f t="shared" si="73"/>
      </c>
      <c r="F66" s="2313" t="s">
        <v>2025</v>
      </c>
      <c r="G66" s="2318"/>
      <c r="H66" s="2313"/>
      <c r="I66" s="2313"/>
      <c r="J66" s="2316"/>
      <c r="K66" s="2262"/>
      <c r="L66" s="2262"/>
      <c r="M66" s="2262"/>
      <c r="N66" s="2262"/>
      <c r="O66" s="2262"/>
      <c r="P66" s="2262"/>
      <c r="Q66" s="2319"/>
      <c r="R66" s="2319"/>
    </row>
    <row customHeight="true" ht="16.071428571428573" r="67">
      <c r="A67" s="2322" t="s">
        <v>2056</v>
      </c>
      <c r="B67" s="2322">
        <v>46274</v>
      </c>
      <c r="C67" s="2322" t="str">
        <v>Wednesday</v>
      </c>
      <c r="D67" s="2323" t="s">
        <v>2060</v>
      </c>
      <c r="E67" s="2323">
        <f t="shared" si="73"/>
      </c>
      <c r="F67" s="2323" t="s">
        <v>2025</v>
      </c>
      <c r="G67" s="2318"/>
      <c r="H67" s="2313"/>
      <c r="I67" s="2313"/>
      <c r="J67" s="2316"/>
      <c r="K67" s="2262"/>
      <c r="L67" s="2262"/>
      <c r="M67" s="2262"/>
      <c r="N67" s="2262"/>
      <c r="O67" s="2262"/>
      <c r="P67" s="2262"/>
      <c r="Q67" s="2319"/>
      <c r="R67" s="2319"/>
    </row>
    <row customHeight="true" ht="16.071428571428573" r="68">
      <c r="A68" s="2322" t="s">
        <v>2056</v>
      </c>
      <c r="B68" s="2322">
        <v>46276</v>
      </c>
      <c r="C68" s="2322" t="str">
        <v>Friday</v>
      </c>
      <c r="D68" s="2323" t="s">
        <v>2061</v>
      </c>
      <c r="E68" s="2323">
        <f t="shared" si="73"/>
      </c>
      <c r="F68" s="2323" t="s">
        <v>2025</v>
      </c>
      <c r="G68" s="2318"/>
      <c r="H68" s="2313"/>
      <c r="I68" s="2313"/>
      <c r="J68" s="2316"/>
      <c r="K68" s="2262"/>
      <c r="L68" s="2262"/>
      <c r="M68" s="2262"/>
      <c r="N68" s="2262"/>
      <c r="O68" s="2262"/>
      <c r="P68" s="2262"/>
      <c r="Q68" s="2319"/>
      <c r="R68" s="2319"/>
    </row>
    <row customHeight="true" ht="16.071428571428573" r="69">
      <c r="A69" s="2322" t="s">
        <v>2056</v>
      </c>
      <c r="B69" s="2322">
        <v>46277</v>
      </c>
      <c r="C69" s="2322" t="str">
        <v>Saturday</v>
      </c>
      <c r="D69" s="2324" t="s">
        <v>2061</v>
      </c>
      <c r="E69" s="2323">
        <f t="shared" si="73"/>
      </c>
      <c r="F69" s="2323" t="s">
        <v>2025</v>
      </c>
      <c r="G69" s="2318"/>
      <c r="H69" s="2313"/>
      <c r="I69" s="2313"/>
      <c r="J69" s="2316"/>
      <c r="K69" s="2262"/>
      <c r="L69" s="2262"/>
      <c r="M69" s="2262"/>
      <c r="N69" s="2262"/>
      <c r="O69" s="2262"/>
      <c r="P69" s="2262"/>
      <c r="Q69" s="2319"/>
      <c r="R69" s="2319"/>
    </row>
    <row customHeight="true" ht="16.071428571428573" r="70">
      <c r="A70" s="2311"/>
      <c r="B70" s="2317"/>
      <c r="C70" s="2311"/>
      <c r="D70" s="2312"/>
      <c r="E70" s="2313"/>
      <c r="F70" s="2313"/>
      <c r="G70" s="2318"/>
      <c r="H70" s="2313"/>
      <c r="I70" s="2313"/>
      <c r="J70" s="2316"/>
      <c r="K70" s="2262"/>
      <c r="L70" s="2262"/>
      <c r="M70" s="2262"/>
      <c r="N70" s="2262"/>
      <c r="O70" s="2262"/>
      <c r="P70" s="2262"/>
      <c r="Q70" s="2319"/>
      <c r="R70" s="2319"/>
    </row>
    <row customHeight="true" ht="16.071428571428573" r="71">
      <c r="A71" s="2311"/>
      <c r="B71" s="2317"/>
      <c r="C71" s="2311"/>
      <c r="D71" s="2312"/>
      <c r="E71" s="2313"/>
      <c r="F71" s="2313"/>
      <c r="G71" s="2318"/>
      <c r="H71" s="2313"/>
      <c r="I71" s="2313"/>
      <c r="J71" s="2316"/>
      <c r="K71" s="2262"/>
      <c r="L71" s="2262"/>
      <c r="M71" s="2262"/>
      <c r="N71" s="2262"/>
      <c r="O71" s="2262"/>
      <c r="P71" s="2262"/>
      <c r="Q71" s="2319"/>
      <c r="R71" s="2319"/>
    </row>
    <row customHeight="true" ht="16.071428571428573" r="72">
      <c r="A72" s="2311"/>
      <c r="B72" s="2317"/>
      <c r="C72" s="2311"/>
      <c r="D72" s="2312"/>
      <c r="E72" s="2313"/>
      <c r="F72" s="2313"/>
      <c r="G72" s="2318"/>
      <c r="H72" s="2313"/>
      <c r="I72" s="2313"/>
      <c r="J72" s="2316"/>
      <c r="K72" s="2262"/>
      <c r="L72" s="2262"/>
      <c r="M72" s="2262"/>
      <c r="N72" s="2262"/>
      <c r="O72" s="2262"/>
      <c r="P72" s="2262"/>
      <c r="Q72" s="2319"/>
      <c r="R72" s="2319"/>
    </row>
    <row r="73"/>
    <row r="74">
      <c r="A74" s="2325" t="s">
        <v>2062</v>
      </c>
      <c r="B74" s="2325"/>
      <c r="C74" s="2325"/>
      <c r="D74" s="2325"/>
      <c r="E74" s="2325"/>
      <c r="F74" s="2325"/>
      <c r="G74" s="2326"/>
      <c r="H74" s="2326"/>
      <c r="I74" s="2326"/>
      <c r="J74" s="2327"/>
      <c r="K74" s="2296"/>
      <c r="L74" s="2296"/>
      <c r="M74" s="2296"/>
      <c r="N74" s="2296"/>
      <c r="O74" s="2296"/>
      <c r="P74" s="2296"/>
    </row>
    <row r="75">
      <c r="A75" s="2328" t="s">
        <v>1989</v>
      </c>
      <c r="B75" s="2329" t="s">
        <v>1990</v>
      </c>
      <c r="C75" s="2329"/>
      <c r="D75" s="2328" t="s">
        <v>1991</v>
      </c>
      <c r="E75" s="2328" t="s">
        <v>1992</v>
      </c>
      <c r="F75" s="2328" t="s">
        <v>1993</v>
      </c>
      <c r="G75" s="2330" t="s">
        <v>2012</v>
      </c>
      <c r="H75" s="2328" t="s">
        <v>1995</v>
      </c>
      <c r="I75" s="2328" t="s">
        <v>1996</v>
      </c>
      <c r="J75" s="2331" t="s">
        <v>1997</v>
      </c>
      <c r="K75" s="2282"/>
      <c r="L75" s="2282"/>
      <c r="M75" s="2282"/>
      <c r="N75" s="2282"/>
      <c r="O75" s="2282"/>
      <c r="P75" s="2282"/>
    </row>
    <row r="76">
      <c r="A76" s="2332" t="s">
        <v>2062</v>
      </c>
      <c r="B76" s="2333">
        <v>46273</v>
      </c>
      <c r="C76" s="2332" t="str">
        <v>Tuesday</v>
      </c>
      <c r="D76" s="2334" t="s">
        <v>2063</v>
      </c>
      <c r="E76" s="2271">
        <f t="shared" ref="E76:E83" si="74">24*MOD(TIMEVALUE(TRIM(MID(D76,FIND("-",D76)+1,LEN(D76)))) - TIMEVALUE(TRIM(LEFT(D76,FIND("-",D76)-1))),1)</f>
      </c>
      <c r="F76" s="2271" t="s">
        <v>2064</v>
      </c>
      <c r="G76" s="2335" t="s">
        <v>2065</v>
      </c>
      <c r="H76" s="2271" t="s">
        <v>2009</v>
      </c>
      <c r="I76" s="2271" t="s">
        <v>1972</v>
      </c>
      <c r="J76" s="2336" t="s">
        <v>2066</v>
      </c>
      <c r="K76" s="2262"/>
      <c r="L76" s="2262"/>
      <c r="M76" s="2262"/>
      <c r="N76" s="2262"/>
      <c r="O76" s="2262"/>
      <c r="P76" s="2262"/>
      <c r="Q76" s="2319"/>
      <c r="R76" s="2319"/>
    </row>
    <row r="77">
      <c r="A77" s="2332" t="s">
        <v>2062</v>
      </c>
      <c r="B77" s="2333">
        <v>46274</v>
      </c>
      <c r="C77" s="2332" t="str">
        <v>Wednesday</v>
      </c>
      <c r="D77" s="2334" t="s">
        <v>2063</v>
      </c>
      <c r="E77" s="2271">
        <f t="shared" si="74"/>
      </c>
      <c r="F77" s="2271" t="s">
        <v>2064</v>
      </c>
      <c r="G77" s="2335" t="s">
        <v>2065</v>
      </c>
      <c r="H77" s="2271" t="s">
        <v>2009</v>
      </c>
      <c r="I77" s="2271" t="s">
        <v>1972</v>
      </c>
      <c r="J77" s="2336" t="s">
        <v>2066</v>
      </c>
      <c r="K77" s="2337"/>
      <c r="L77" s="2262"/>
      <c r="M77" s="2262"/>
      <c r="N77" s="2262"/>
      <c r="O77" s="2262"/>
      <c r="P77" s="2262"/>
      <c r="Q77" s="2319"/>
      <c r="R77" s="2319"/>
    </row>
    <row r="78">
      <c r="A78" s="2332" t="s">
        <v>2062</v>
      </c>
      <c r="B78" s="2333">
        <v>46275</v>
      </c>
      <c r="C78" s="2332" t="str">
        <v>Thursday</v>
      </c>
      <c r="D78" s="2334" t="s">
        <v>2067</v>
      </c>
      <c r="E78" s="2271">
        <f t="shared" si="74"/>
      </c>
      <c r="F78" s="2271" t="s">
        <v>2064</v>
      </c>
      <c r="G78" s="2335" t="s">
        <v>2068</v>
      </c>
      <c r="H78" s="2271" t="s">
        <v>2009</v>
      </c>
      <c r="I78" s="2271" t="s">
        <v>1972</v>
      </c>
      <c r="J78" s="2336" t="s">
        <v>2066</v>
      </c>
      <c r="K78" s="2262"/>
      <c r="L78" s="2262"/>
      <c r="M78" s="2262"/>
      <c r="N78" s="2262"/>
      <c r="O78" s="2262"/>
      <c r="P78" s="2262"/>
      <c r="Q78" s="2319"/>
      <c r="R78" s="2319"/>
    </row>
    <row customHeight="true" ht="18.452380952380953" r="79">
      <c r="A79" s="2332" t="s">
        <v>2062</v>
      </c>
      <c r="B79" s="2333">
        <v>46276</v>
      </c>
      <c r="C79" s="2332" t="str">
        <v>Friday</v>
      </c>
      <c r="D79" s="2334" t="s">
        <v>2069</v>
      </c>
      <c r="E79" s="2271">
        <f t="shared" si="74"/>
      </c>
      <c r="F79" s="2271" t="s">
        <v>2064</v>
      </c>
      <c r="G79" s="2335" t="s">
        <v>2070</v>
      </c>
      <c r="H79" s="2271" t="s">
        <v>2009</v>
      </c>
      <c r="I79" s="2271" t="s">
        <v>1972</v>
      </c>
      <c r="J79" s="2336" t="s">
        <v>2066</v>
      </c>
      <c r="K79" s="2262"/>
      <c r="L79" s="2262"/>
      <c r="M79" s="2262"/>
      <c r="N79" s="2262"/>
      <c r="O79" s="2262"/>
      <c r="P79" s="2262"/>
      <c r="Q79" s="2319"/>
      <c r="R79" s="2319"/>
    </row>
    <row customHeight="true" ht="18.452380952380953" r="80">
      <c r="A80" s="2332" t="s">
        <v>2062</v>
      </c>
      <c r="B80" s="2333">
        <v>46276</v>
      </c>
      <c r="C80" s="2332" t="str">
        <v>Friday</v>
      </c>
      <c r="D80" s="2334" t="s">
        <v>2071</v>
      </c>
      <c r="E80" s="2271">
        <f t="shared" si="74"/>
      </c>
      <c r="F80" s="2271" t="s">
        <v>2072</v>
      </c>
      <c r="G80" s="2335" t="s">
        <v>2073</v>
      </c>
      <c r="H80" s="2271" t="s">
        <v>2009</v>
      </c>
      <c r="I80" s="2271" t="s">
        <v>1972</v>
      </c>
      <c r="J80" s="2336" t="s">
        <v>2066</v>
      </c>
      <c r="K80" s="2262"/>
      <c r="L80" s="2262"/>
      <c r="M80" s="2262"/>
      <c r="N80" s="2262"/>
      <c r="O80" s="2262"/>
      <c r="P80" s="2262"/>
      <c r="Q80" s="2319"/>
      <c r="R80" s="2319"/>
    </row>
    <row customHeight="true" ht="18.452380952380953" r="81">
      <c r="A81" s="2332" t="s">
        <v>2062</v>
      </c>
      <c r="B81" s="2333">
        <v>46277</v>
      </c>
      <c r="C81" s="2332" t="str">
        <v>Saturday</v>
      </c>
      <c r="D81" s="2334" t="s">
        <v>2074</v>
      </c>
      <c r="E81" s="2271">
        <f t="shared" si="74"/>
      </c>
      <c r="F81" s="2288" t="s">
        <v>2075</v>
      </c>
      <c r="G81" s="2335" t="s">
        <v>2076</v>
      </c>
      <c r="H81" s="2271" t="s">
        <v>2009</v>
      </c>
      <c r="I81" s="2271" t="s">
        <v>1972</v>
      </c>
      <c r="J81" s="2336" t="s">
        <v>2066</v>
      </c>
      <c r="K81" s="2262"/>
      <c r="L81" s="2262"/>
      <c r="M81" s="2262"/>
      <c r="N81" s="2262"/>
      <c r="O81" s="2262"/>
      <c r="P81" s="2262"/>
      <c r="Q81" s="2319"/>
      <c r="R81" s="2319"/>
    </row>
    <row customHeight="true" ht="18.452380952380953" r="82">
      <c r="A82" s="2332" t="s">
        <v>2062</v>
      </c>
      <c r="B82" s="2333">
        <v>46277</v>
      </c>
      <c r="C82" s="2332" t="str">
        <v>Saturday</v>
      </c>
      <c r="D82" s="2334" t="s">
        <v>2077</v>
      </c>
      <c r="E82" s="2271">
        <f t="shared" si="74"/>
      </c>
      <c r="F82" s="2271" t="s">
        <v>2064</v>
      </c>
      <c r="G82" s="2335" t="s">
        <v>2078</v>
      </c>
      <c r="H82" s="2271" t="s">
        <v>2009</v>
      </c>
      <c r="I82" s="2271" t="s">
        <v>1972</v>
      </c>
      <c r="J82" s="2336" t="s">
        <v>2066</v>
      </c>
      <c r="K82" s="2262"/>
      <c r="L82" s="2262"/>
      <c r="M82" s="2262"/>
      <c r="N82" s="2262"/>
      <c r="O82" s="2262"/>
      <c r="P82" s="2262"/>
      <c r="Q82" s="2319"/>
      <c r="R82" s="2319"/>
    </row>
    <row r="83">
      <c r="A83" s="2332" t="s">
        <v>2062</v>
      </c>
      <c r="B83" s="2333">
        <v>46278</v>
      </c>
      <c r="C83" s="2332" t="str">
        <v>Sunday</v>
      </c>
      <c r="D83" s="2334" t="s">
        <v>2063</v>
      </c>
      <c r="E83" s="2271">
        <f t="shared" si="74"/>
      </c>
      <c r="F83" s="2271" t="s">
        <v>2064</v>
      </c>
      <c r="G83" s="2335" t="s">
        <v>2065</v>
      </c>
      <c r="H83" s="2271" t="s">
        <v>2009</v>
      </c>
      <c r="I83" s="2271" t="s">
        <v>1972</v>
      </c>
      <c r="J83" s="2336" t="s">
        <v>2066</v>
      </c>
      <c r="K83" s="2262"/>
      <c r="L83" s="2262"/>
      <c r="M83" s="2262"/>
      <c r="N83" s="2262"/>
      <c r="O83" s="2262"/>
      <c r="P83" s="2262"/>
      <c r="Q83" s="2319"/>
      <c r="R83" s="2319"/>
    </row>
    <row customHeight="true" ht="16.071428571428573" r="84">
      <c r="J84" s="2266"/>
      <c r="K84" s="2319"/>
      <c r="L84" s="2319"/>
      <c r="M84" s="2319"/>
      <c r="N84" s="2319"/>
      <c r="O84" s="2319"/>
      <c r="P84" s="2319"/>
      <c r="Q84" s="2319"/>
      <c r="R84" s="2319"/>
    </row>
    <row r="85">
      <c r="A85" s="2338" t="s">
        <v>2079</v>
      </c>
      <c r="B85" s="2338"/>
      <c r="C85" s="2338"/>
      <c r="D85" s="2338"/>
      <c r="E85" s="2338"/>
      <c r="F85" s="2338"/>
      <c r="G85" s="2339"/>
      <c r="H85" s="2339"/>
      <c r="I85" s="2339"/>
      <c r="J85" s="2340"/>
      <c r="K85" s="2296"/>
      <c r="L85" s="2296"/>
      <c r="M85" s="2296"/>
      <c r="N85" s="2296"/>
      <c r="O85" s="2296"/>
      <c r="P85" s="2296"/>
      <c r="Q85" s="2319"/>
      <c r="R85" s="2319"/>
    </row>
    <row r="86">
      <c r="A86" s="2341" t="s">
        <v>1989</v>
      </c>
      <c r="B86" s="2342" t="s">
        <v>1990</v>
      </c>
      <c r="C86" s="2342"/>
      <c r="D86" s="2341" t="s">
        <v>1991</v>
      </c>
      <c r="E86" s="2341" t="s">
        <v>1992</v>
      </c>
      <c r="F86" s="2341" t="s">
        <v>1993</v>
      </c>
      <c r="G86" s="2343" t="s">
        <v>2012</v>
      </c>
      <c r="H86" s="2341" t="s">
        <v>1995</v>
      </c>
      <c r="I86" s="2341" t="s">
        <v>1996</v>
      </c>
      <c r="J86" s="2344" t="s">
        <v>1997</v>
      </c>
      <c r="K86" s="2282"/>
      <c r="L86" s="2282"/>
      <c r="M86" s="2282"/>
      <c r="N86" s="2282"/>
      <c r="O86" s="2282"/>
      <c r="P86" s="2282"/>
    </row>
    <row customHeight="true" ht="18.452380952380953" r="87">
      <c r="A87" s="2253" t="s">
        <v>2079</v>
      </c>
      <c r="B87" s="2254">
        <v>46273</v>
      </c>
      <c r="C87" s="2253" t="str">
        <v>Tuesday</v>
      </c>
      <c r="D87" s="2345" t="s">
        <v>2080</v>
      </c>
      <c r="E87" s="2346">
        <f t="shared" ref="E87:E92" si="75">24*MOD(TIMEVALUE(TRIM(MID(D87,FIND("-",D87)+1,LEN(D87)))) - TIMEVALUE(TRIM(LEFT(D87,FIND("-",D87)-1))),1)</f>
      </c>
      <c r="F87" s="2346" t="s">
        <v>2072</v>
      </c>
      <c r="G87" s="2272"/>
      <c r="H87" s="2346" t="s">
        <v>2009</v>
      </c>
      <c r="I87" s="2271" t="s">
        <v>1972</v>
      </c>
      <c r="J87" s="2347" t="s">
        <v>2066</v>
      </c>
      <c r="K87" s="2262"/>
      <c r="L87" s="2262"/>
      <c r="M87" s="2262"/>
      <c r="N87" s="2262"/>
      <c r="O87" s="2262"/>
      <c r="P87" s="2262"/>
    </row>
    <row customHeight="true" ht="18.452380952380953" r="88">
      <c r="A88" s="2253" t="s">
        <v>2079</v>
      </c>
      <c r="B88" s="2254">
        <v>46274</v>
      </c>
      <c r="C88" s="2253" t="str">
        <v>Wednesday</v>
      </c>
      <c r="D88" s="2345" t="s">
        <v>2081</v>
      </c>
      <c r="E88" s="2346">
        <f t="shared" si="75"/>
      </c>
      <c r="F88" s="2346" t="s">
        <v>2082</v>
      </c>
      <c r="G88" s="2272"/>
      <c r="H88" s="2346" t="s">
        <v>2009</v>
      </c>
      <c r="I88" s="2346" t="s">
        <v>1972</v>
      </c>
      <c r="J88" s="2347" t="s">
        <v>2066</v>
      </c>
      <c r="K88" s="2262"/>
      <c r="L88" s="2262"/>
      <c r="M88" s="2262"/>
      <c r="N88" s="2262"/>
      <c r="O88" s="2262"/>
      <c r="P88" s="2262"/>
    </row>
    <row customHeight="true" ht="18.452380952380953" r="89">
      <c r="A89" s="2253" t="s">
        <v>2079</v>
      </c>
      <c r="B89" s="2254">
        <v>46275</v>
      </c>
      <c r="C89" s="2253" t="str">
        <v>Thursday</v>
      </c>
      <c r="D89" s="2348" t="s">
        <v>2083</v>
      </c>
      <c r="E89" s="2346">
        <f t="shared" si="75"/>
      </c>
      <c r="F89" s="2346" t="s">
        <v>2082</v>
      </c>
      <c r="G89" s="2272"/>
      <c r="H89" s="2346" t="s">
        <v>2009</v>
      </c>
      <c r="I89" s="2346" t="s">
        <v>1972</v>
      </c>
      <c r="J89" s="2347" t="s">
        <v>2066</v>
      </c>
      <c r="K89" s="2262"/>
      <c r="L89" s="2262"/>
      <c r="M89" s="2262"/>
      <c r="N89" s="2262"/>
      <c r="O89" s="2262"/>
      <c r="P89" s="2262"/>
    </row>
    <row customHeight="true" ht="18.452380952380953" r="90">
      <c r="A90" s="2253" t="s">
        <v>2079</v>
      </c>
      <c r="B90" s="2254">
        <v>46276</v>
      </c>
      <c r="C90" s="2253" t="str">
        <v>Friday</v>
      </c>
      <c r="D90" s="2345" t="s">
        <v>2084</v>
      </c>
      <c r="E90" s="2346">
        <f t="shared" si="75"/>
      </c>
      <c r="F90" s="2288" t="s">
        <v>2072</v>
      </c>
      <c r="G90" s="2272"/>
      <c r="H90" s="2346" t="s">
        <v>2009</v>
      </c>
      <c r="I90" s="2271" t="s">
        <v>1972</v>
      </c>
      <c r="J90" s="2347" t="s">
        <v>2066</v>
      </c>
      <c r="K90" s="2262"/>
      <c r="L90" s="2262"/>
      <c r="M90" s="2262"/>
      <c r="N90" s="2262"/>
      <c r="O90" s="2262"/>
      <c r="P90" s="2262"/>
    </row>
    <row customHeight="true" ht="18.452380952380953" r="91">
      <c r="A91" s="2253" t="s">
        <v>2079</v>
      </c>
      <c r="B91" s="2254">
        <v>46277</v>
      </c>
      <c r="C91" s="2253" t="str">
        <v>Saturday</v>
      </c>
      <c r="D91" s="2345" t="s">
        <v>2085</v>
      </c>
      <c r="E91" s="2346">
        <f t="shared" si="75"/>
      </c>
      <c r="F91" s="2288" t="s">
        <v>2075</v>
      </c>
      <c r="G91" s="2272"/>
      <c r="H91" s="2346" t="s">
        <v>2009</v>
      </c>
      <c r="I91" s="2271" t="s">
        <v>1972</v>
      </c>
      <c r="J91" s="2347" t="s">
        <v>2066</v>
      </c>
      <c r="K91" s="2262"/>
      <c r="L91" s="2262"/>
      <c r="M91" s="2262"/>
      <c r="N91" s="2262"/>
      <c r="O91" s="2262"/>
      <c r="P91" s="2262"/>
    </row>
    <row customHeight="true" ht="18.452380952380953" r="92">
      <c r="A92" s="2253" t="s">
        <v>2079</v>
      </c>
      <c r="B92" s="2254">
        <v>46278</v>
      </c>
      <c r="C92" s="2253" t="str">
        <v>Sunday</v>
      </c>
      <c r="D92" s="2345" t="s">
        <v>2085</v>
      </c>
      <c r="E92" s="2346">
        <f t="shared" si="75"/>
      </c>
      <c r="F92" s="2288" t="s">
        <v>2075</v>
      </c>
      <c r="G92" s="2272"/>
      <c r="H92" s="2346" t="s">
        <v>2009</v>
      </c>
      <c r="I92" s="2271" t="s">
        <v>1972</v>
      </c>
      <c r="J92" s="2347" t="s">
        <v>2066</v>
      </c>
      <c r="K92" s="2262"/>
      <c r="L92" s="2262"/>
      <c r="M92" s="2262"/>
      <c r="N92" s="2262"/>
      <c r="O92" s="2262"/>
      <c r="P92" s="2262"/>
    </row>
    <row customHeight="true" ht="14.880952380952381" r="93"/>
    <row customHeight="true" ht="18.452380952380953" r="94">
      <c r="A94" s="2253" t="s">
        <v>2086</v>
      </c>
      <c r="B94" s="2254">
        <v>46273</v>
      </c>
      <c r="C94" s="2253" t="str">
        <v>Tuesday</v>
      </c>
      <c r="D94" s="2345" t="s">
        <v>2087</v>
      </c>
      <c r="E94" s="2346">
        <f t="shared" ref="E94:E99" si="76">24*MOD(TIMEVALUE(TRIM(MID(D94,FIND("-",D94)+1,LEN(D94)))) - TIMEVALUE(TRIM(LEFT(D94,FIND("-",D94)-1))),1)</f>
      </c>
      <c r="F94" s="2346" t="s">
        <v>2088</v>
      </c>
      <c r="G94" s="2272"/>
      <c r="H94" s="2346" t="s">
        <v>2009</v>
      </c>
      <c r="I94" s="2346" t="s">
        <v>1972</v>
      </c>
      <c r="J94" s="2347" t="s">
        <v>2066</v>
      </c>
      <c r="K94" s="2262"/>
      <c r="L94" s="2262"/>
      <c r="M94" s="2262"/>
      <c r="N94" s="2262"/>
      <c r="O94" s="2262"/>
      <c r="P94" s="2262"/>
    </row>
    <row customHeight="true" ht="18.452380952380953" r="95">
      <c r="A95" s="2253" t="s">
        <v>2086</v>
      </c>
      <c r="B95" s="2254">
        <v>46274</v>
      </c>
      <c r="C95" s="2253" t="str">
        <v>Wednesday</v>
      </c>
      <c r="D95" s="2345" t="s">
        <v>2089</v>
      </c>
      <c r="E95" s="2346">
        <f t="shared" si="76"/>
      </c>
      <c r="F95" s="2346" t="s">
        <v>2088</v>
      </c>
      <c r="G95" s="2272"/>
      <c r="H95" s="2346" t="s">
        <v>2009</v>
      </c>
      <c r="I95" s="2346" t="s">
        <v>1972</v>
      </c>
      <c r="J95" s="2347" t="s">
        <v>2066</v>
      </c>
      <c r="K95" s="2262"/>
      <c r="L95" s="2262"/>
      <c r="M95" s="2262"/>
      <c r="N95" s="2262"/>
      <c r="O95" s="2262"/>
      <c r="P95" s="2262"/>
    </row>
    <row customHeight="true" ht="18.452380952380953" r="96">
      <c r="A96" s="2253" t="s">
        <v>2086</v>
      </c>
      <c r="B96" s="2254">
        <v>46275</v>
      </c>
      <c r="C96" s="2253" t="str">
        <v>Thursday</v>
      </c>
      <c r="D96" s="2345" t="s">
        <v>2089</v>
      </c>
      <c r="E96" s="2346">
        <f t="shared" si="76"/>
      </c>
      <c r="F96" s="2349" t="s">
        <v>2090</v>
      </c>
      <c r="G96" s="2272"/>
      <c r="H96" s="2346" t="s">
        <v>2009</v>
      </c>
      <c r="I96" s="2346" t="s">
        <v>1972</v>
      </c>
      <c r="J96" s="2347" t="s">
        <v>2066</v>
      </c>
      <c r="K96" s="2262"/>
      <c r="L96" s="2262"/>
      <c r="M96" s="2262"/>
      <c r="N96" s="2262"/>
      <c r="O96" s="2262"/>
      <c r="P96" s="2262"/>
    </row>
    <row customHeight="true" ht="18.452380952380953" r="97">
      <c r="A97" s="2253" t="s">
        <v>2086</v>
      </c>
      <c r="B97" s="2254">
        <v>46276</v>
      </c>
      <c r="C97" s="2253" t="str">
        <v>Friday</v>
      </c>
      <c r="D97" s="2345" t="s">
        <v>2091</v>
      </c>
      <c r="E97" s="2346">
        <f t="shared" si="76"/>
      </c>
      <c r="F97" s="2346" t="s">
        <v>2088</v>
      </c>
      <c r="G97" s="2272"/>
      <c r="H97" s="2346" t="s">
        <v>2009</v>
      </c>
      <c r="I97" s="2346" t="s">
        <v>1972</v>
      </c>
      <c r="J97" s="2347" t="s">
        <v>2066</v>
      </c>
      <c r="K97" s="2262"/>
      <c r="L97" s="2262"/>
      <c r="M97" s="2262"/>
      <c r="N97" s="2262"/>
      <c r="O97" s="2262"/>
      <c r="P97" s="2262"/>
    </row>
    <row customHeight="true" ht="18.452380952380953" r="98">
      <c r="A98" s="2253" t="s">
        <v>2086</v>
      </c>
      <c r="B98" s="2254">
        <v>46277</v>
      </c>
      <c r="C98" s="2253" t="str">
        <v>Saturday</v>
      </c>
      <c r="D98" s="2345" t="s">
        <v>2092</v>
      </c>
      <c r="E98" s="2346">
        <f t="shared" si="76"/>
      </c>
      <c r="F98" s="2349" t="s">
        <v>2090</v>
      </c>
      <c r="G98" s="2272"/>
      <c r="H98" s="2346" t="s">
        <v>2009</v>
      </c>
      <c r="I98" s="2346" t="s">
        <v>1972</v>
      </c>
      <c r="J98" s="2347" t="s">
        <v>2066</v>
      </c>
      <c r="K98" s="2262"/>
      <c r="L98" s="2262"/>
      <c r="M98" s="2262"/>
      <c r="N98" s="2262"/>
      <c r="O98" s="2262"/>
      <c r="P98" s="2262"/>
    </row>
    <row customHeight="true" ht="18.452380952380953" r="99">
      <c r="A99" s="2253" t="s">
        <v>2086</v>
      </c>
      <c r="B99" s="2254">
        <v>46278</v>
      </c>
      <c r="C99" s="2253" t="str">
        <v>Sunday</v>
      </c>
      <c r="D99" s="2345" t="s">
        <v>2093</v>
      </c>
      <c r="E99" s="2346">
        <f t="shared" si="76"/>
      </c>
      <c r="F99" s="2349" t="s">
        <v>2090</v>
      </c>
      <c r="G99" s="2272"/>
      <c r="H99" s="2346" t="s">
        <v>2009</v>
      </c>
      <c r="I99" s="2346" t="s">
        <v>1972</v>
      </c>
      <c r="J99" s="2347" t="s">
        <v>2066</v>
      </c>
      <c r="K99" s="2262"/>
      <c r="L99" s="2262"/>
      <c r="M99" s="2262"/>
      <c r="N99" s="2262"/>
      <c r="O99" s="2262"/>
      <c r="P99" s="2262"/>
    </row>
    <row customHeight="true" ht="14.880952380952381" r="100"/>
    <row customHeight="true" ht="18.452380952380953" r="101">
      <c r="A101" s="2253" t="s">
        <v>2094</v>
      </c>
      <c r="B101" s="2254">
        <v>46275</v>
      </c>
      <c r="C101" s="2253" t="str">
        <v>Thursday</v>
      </c>
      <c r="D101" s="2345" t="s">
        <v>2080</v>
      </c>
      <c r="E101" s="2346">
        <f>24*MOD(TIMEVALUE(TRIM(MID(D101,FIND("-",D101)+1,LEN(D101)))) - TIMEVALUE(TRIM(LEFT(D101,FIND("-",D101)-1))),1)</f>
      </c>
      <c r="F101" s="2288" t="s">
        <v>2075</v>
      </c>
      <c r="G101" s="2272"/>
      <c r="H101" s="2346" t="s">
        <v>2009</v>
      </c>
      <c r="I101" s="2346" t="s">
        <v>1972</v>
      </c>
      <c r="J101" s="2347" t="s">
        <v>2066</v>
      </c>
      <c r="K101" s="2262"/>
      <c r="L101" s="2262"/>
      <c r="M101" s="2262"/>
      <c r="N101" s="2262"/>
      <c r="O101" s="2262"/>
      <c r="P101" s="2262"/>
    </row>
    <row customHeight="true" ht="16.071428571428573" r="102">
      <c r="J102" s="2266"/>
      <c r="K102" s="2319"/>
      <c r="L102" s="2319"/>
      <c r="M102" s="2319"/>
      <c r="N102" s="2319"/>
      <c r="O102" s="2319"/>
      <c r="P102" s="2319"/>
    </row>
    <row r="103">
      <c r="A103" s="2350" t="s">
        <v>2095</v>
      </c>
      <c r="B103" s="2350"/>
      <c r="C103" s="2350"/>
      <c r="D103" s="2350"/>
      <c r="E103" s="2350"/>
      <c r="F103" s="2350"/>
      <c r="G103" s="2351"/>
      <c r="H103" s="2351"/>
      <c r="I103" s="2351"/>
      <c r="J103" s="2352"/>
      <c r="K103" s="2296"/>
      <c r="L103" s="2296"/>
      <c r="M103" s="2296"/>
      <c r="N103" s="2296"/>
      <c r="O103" s="2296"/>
      <c r="P103" s="2296"/>
    </row>
    <row r="104">
      <c r="A104" s="2353" t="s">
        <v>1989</v>
      </c>
      <c r="B104" s="2354" t="s">
        <v>1990</v>
      </c>
      <c r="C104" s="2354"/>
      <c r="D104" s="2353" t="s">
        <v>1991</v>
      </c>
      <c r="E104" s="2353" t="s">
        <v>1992</v>
      </c>
      <c r="F104" s="2353" t="s">
        <v>1993</v>
      </c>
      <c r="G104" s="2355" t="s">
        <v>2012</v>
      </c>
      <c r="H104" s="2353" t="s">
        <v>1995</v>
      </c>
      <c r="I104" s="2353" t="s">
        <v>1996</v>
      </c>
      <c r="J104" s="2356" t="s">
        <v>1997</v>
      </c>
      <c r="K104" s="2282"/>
      <c r="L104" s="2357" t="s">
        <v>2096</v>
      </c>
      <c r="M104" s="2282"/>
      <c r="N104" s="2282"/>
      <c r="O104" s="2282"/>
      <c r="P104" s="2282"/>
    </row>
    <row customHeight="true" ht="18.452380952380953" r="105">
      <c r="A105" s="2253" t="s">
        <v>2095</v>
      </c>
      <c r="B105" s="2254">
        <v>46274</v>
      </c>
      <c r="C105" s="2253" t="str">
        <v>Wednesday</v>
      </c>
      <c r="D105" s="2345" t="s">
        <v>2097</v>
      </c>
      <c r="E105" s="2346">
        <f t="shared" ref="E105:E108" si="77">24*MOD(TIMEVALUE(TRIM(MID(D105,FIND("-",D105)+1,LEN(D105)))) - TIMEVALUE(TRIM(LEFT(D105,FIND("-",D105)-1))),1)</f>
      </c>
      <c r="F105" s="2346" t="s">
        <v>2072</v>
      </c>
      <c r="G105" s="2272"/>
      <c r="H105" s="2346" t="s">
        <v>2009</v>
      </c>
      <c r="I105" s="2271" t="s">
        <v>1972</v>
      </c>
      <c r="J105" s="2347" t="s">
        <v>2098</v>
      </c>
      <c r="K105" s="2262"/>
      <c r="L105" s="2262"/>
      <c r="M105" s="2262"/>
      <c r="N105" s="2262"/>
      <c r="O105" s="2262"/>
      <c r="P105" s="2262"/>
    </row>
    <row customHeight="true" ht="18.452380952380953" r="106">
      <c r="A106" s="2358" t="s">
        <v>2095</v>
      </c>
      <c r="B106" s="2359">
        <v>46276</v>
      </c>
      <c r="C106" s="2358" t="str">
        <v>Friday</v>
      </c>
      <c r="D106" s="2360" t="s">
        <v>2097</v>
      </c>
      <c r="E106" s="2308">
        <f t="shared" si="77"/>
      </c>
      <c r="F106" s="2306" t="s">
        <v>2099</v>
      </c>
      <c r="G106" s="2361"/>
      <c r="H106" s="2308" t="s">
        <v>2009</v>
      </c>
      <c r="I106" s="2308" t="s">
        <v>1972</v>
      </c>
      <c r="J106" s="2336" t="s">
        <v>2100</v>
      </c>
      <c r="K106" s="2262"/>
      <c r="L106" s="2262"/>
      <c r="M106" s="2262"/>
      <c r="N106" s="2262"/>
      <c r="O106" s="2262"/>
      <c r="P106" s="2262"/>
      <c r="Q106" s="2319"/>
      <c r="R106" s="2319"/>
    </row>
    <row customHeight="true" ht="18.452380952380953" r="107">
      <c r="A107" s="2358" t="s">
        <v>2095</v>
      </c>
      <c r="B107" s="2359">
        <v>46277</v>
      </c>
      <c r="C107" s="2358" t="str">
        <v>Saturday</v>
      </c>
      <c r="D107" s="2360" t="s">
        <v>2097</v>
      </c>
      <c r="E107" s="2308">
        <f t="shared" si="77"/>
      </c>
      <c r="F107" s="2306" t="s">
        <v>2099</v>
      </c>
      <c r="G107" s="2361"/>
      <c r="H107" s="2308" t="s">
        <v>2009</v>
      </c>
      <c r="I107" s="2308" t="s">
        <v>1972</v>
      </c>
      <c r="J107" s="2336" t="s">
        <v>2100</v>
      </c>
      <c r="K107" s="2262"/>
      <c r="L107" s="2262"/>
      <c r="M107" s="2262"/>
      <c r="N107" s="2262"/>
      <c r="O107" s="2262"/>
      <c r="P107" s="2262"/>
      <c r="Q107" s="2319"/>
      <c r="R107" s="2319"/>
    </row>
    <row customHeight="true" ht="18.452380952380953" r="108">
      <c r="A108" s="2358" t="s">
        <v>2095</v>
      </c>
      <c r="B108" s="2359">
        <v>46278</v>
      </c>
      <c r="C108" s="2358" t="str">
        <v>Sunday</v>
      </c>
      <c r="D108" s="2360" t="s">
        <v>2097</v>
      </c>
      <c r="E108" s="2308">
        <f t="shared" si="77"/>
      </c>
      <c r="F108" s="2306" t="s">
        <v>2099</v>
      </c>
      <c r="G108" s="2361"/>
      <c r="H108" s="2308" t="s">
        <v>2009</v>
      </c>
      <c r="I108" s="2308" t="s">
        <v>1972</v>
      </c>
      <c r="J108" s="2336" t="s">
        <v>2100</v>
      </c>
      <c r="K108" s="2262"/>
      <c r="L108" s="2262"/>
      <c r="M108" s="2262"/>
      <c r="N108" s="2262"/>
      <c r="O108" s="2262"/>
      <c r="P108" s="2262"/>
      <c r="Q108" s="2319"/>
      <c r="R108" s="2319"/>
    </row>
    <row customHeight="true" ht="14.880952380952381" r="109"/>
    <row customHeight="true" ht="18.452380952380953" r="110">
      <c r="A110" s="2253" t="s">
        <v>2101</v>
      </c>
      <c r="B110" s="2254">
        <v>46274</v>
      </c>
      <c r="C110" s="2253" t="str">
        <v>Wednesday</v>
      </c>
      <c r="D110" s="2345" t="s">
        <v>2102</v>
      </c>
      <c r="E110" s="2346">
        <f t="shared" ref="E110:E114" si="78">24*MOD(TIMEVALUE(TRIM(MID(D110,FIND("-",D110)+1,LEN(D110)))) - TIMEVALUE(TRIM(LEFT(D110,FIND("-",D110)-1))),1)</f>
      </c>
      <c r="F110" s="2349" t="s">
        <v>2090</v>
      </c>
      <c r="G110" s="2272"/>
      <c r="H110" s="2346" t="s">
        <v>2009</v>
      </c>
      <c r="I110" s="2346" t="s">
        <v>1972</v>
      </c>
      <c r="J110" s="2347" t="s">
        <v>2098</v>
      </c>
      <c r="K110" s="2262"/>
      <c r="L110" s="2262"/>
      <c r="M110" s="2262"/>
      <c r="N110" s="2262"/>
      <c r="O110" s="2262"/>
      <c r="P110" s="2262"/>
    </row>
    <row customHeight="true" ht="18.452380952380953" r="111">
      <c r="A111" s="2358" t="s">
        <v>2101</v>
      </c>
      <c r="B111" s="2359">
        <v>46275</v>
      </c>
      <c r="C111" s="2358" t="str">
        <v>Thursday</v>
      </c>
      <c r="D111" s="2360" t="s">
        <v>2103</v>
      </c>
      <c r="E111" s="2308">
        <f t="shared" si="78"/>
      </c>
      <c r="F111" s="2306" t="s">
        <v>2090</v>
      </c>
      <c r="G111" s="2361"/>
      <c r="H111" s="2308" t="s">
        <v>2009</v>
      </c>
      <c r="I111" s="2308" t="s">
        <v>1972</v>
      </c>
      <c r="J111" s="2347" t="s">
        <v>2104</v>
      </c>
      <c r="K111" s="2262"/>
      <c r="L111" s="2262"/>
      <c r="M111" s="2262"/>
      <c r="N111" s="2262"/>
      <c r="O111" s="2262"/>
      <c r="P111" s="2262"/>
    </row>
    <row customHeight="true" ht="18.452380952380953" r="112">
      <c r="A112" s="2358" t="s">
        <v>2101</v>
      </c>
      <c r="B112" s="2359">
        <v>46276</v>
      </c>
      <c r="C112" s="2358" t="str">
        <v>Friday</v>
      </c>
      <c r="D112" s="2360" t="s">
        <v>2103</v>
      </c>
      <c r="E112" s="2308">
        <f t="shared" si="78"/>
      </c>
      <c r="F112" s="2306" t="s">
        <v>2090</v>
      </c>
      <c r="G112" s="2361"/>
      <c r="H112" s="2308" t="s">
        <v>2009</v>
      </c>
      <c r="I112" s="2308" t="s">
        <v>1972</v>
      </c>
      <c r="J112" s="2336" t="s">
        <v>2100</v>
      </c>
      <c r="K112" s="2262"/>
      <c r="L112" s="2262"/>
      <c r="M112" s="2262"/>
      <c r="N112" s="2262"/>
      <c r="O112" s="2262"/>
      <c r="P112" s="2262"/>
    </row>
    <row customHeight="true" ht="18.452380952380953" r="113">
      <c r="A113" s="2358" t="s">
        <v>2101</v>
      </c>
      <c r="B113" s="2359">
        <v>46277</v>
      </c>
      <c r="C113" s="2358" t="str">
        <v>Saturday</v>
      </c>
      <c r="D113" s="2360" t="s">
        <v>2103</v>
      </c>
      <c r="E113" s="2308">
        <f t="shared" si="78"/>
      </c>
      <c r="F113" s="2308" t="s">
        <v>2088</v>
      </c>
      <c r="G113" s="2361"/>
      <c r="H113" s="2308" t="s">
        <v>2009</v>
      </c>
      <c r="I113" s="2308" t="s">
        <v>1972</v>
      </c>
      <c r="J113" s="2336" t="s">
        <v>2100</v>
      </c>
      <c r="K113" s="2262"/>
      <c r="L113" s="2262"/>
      <c r="M113" s="2262"/>
      <c r="N113" s="2262"/>
      <c r="O113" s="2262"/>
      <c r="P113" s="2262"/>
    </row>
    <row customHeight="true" ht="18.452380952380953" r="114">
      <c r="A114" s="2358" t="s">
        <v>2101</v>
      </c>
      <c r="B114" s="2359">
        <v>46278</v>
      </c>
      <c r="C114" s="2358" t="str">
        <v>Sunday</v>
      </c>
      <c r="D114" s="2360" t="s">
        <v>2103</v>
      </c>
      <c r="E114" s="2308">
        <f t="shared" si="78"/>
      </c>
      <c r="F114" s="2308" t="s">
        <v>2088</v>
      </c>
      <c r="G114" s="2361"/>
      <c r="H114" s="2308" t="s">
        <v>2009</v>
      </c>
      <c r="I114" s="2308" t="s">
        <v>1972</v>
      </c>
      <c r="J114" s="2336" t="s">
        <v>2100</v>
      </c>
      <c r="K114" s="2262"/>
      <c r="L114" s="2262"/>
      <c r="M114" s="2262"/>
      <c r="N114" s="2262"/>
      <c r="O114" s="2262"/>
      <c r="P114" s="2262"/>
    </row>
    <row customHeight="true" ht="14.880952380952381" r="115"/>
    <row customHeight="true" ht="18.452380952380953" r="116">
      <c r="A116" s="2253" t="s">
        <v>2105</v>
      </c>
      <c r="B116" s="2254">
        <v>46274</v>
      </c>
      <c r="C116" s="2253" t="str">
        <v>Wednesday</v>
      </c>
      <c r="D116" s="2345" t="s">
        <v>2097</v>
      </c>
      <c r="E116" s="2346">
        <f t="shared" ref="E116:E117" si="79">24*MOD(TIMEVALUE(TRIM(MID(D116,FIND("-",D116)+1,LEN(D116)))) - TIMEVALUE(TRIM(LEFT(D116,FIND("-",D116)-1))),1)</f>
      </c>
      <c r="F116" s="2288" t="s">
        <v>2099</v>
      </c>
      <c r="G116" s="2272"/>
      <c r="H116" s="2346" t="s">
        <v>2009</v>
      </c>
      <c r="I116" s="2346" t="s">
        <v>1972</v>
      </c>
      <c r="J116" s="2347" t="s">
        <v>2098</v>
      </c>
      <c r="K116" s="2262"/>
      <c r="L116" s="2262"/>
      <c r="M116" s="2262"/>
      <c r="N116" s="2262"/>
      <c r="O116" s="2262"/>
      <c r="P116" s="2262"/>
    </row>
    <row customHeight="true" ht="18.452380952380953" r="117">
      <c r="A117" s="2358" t="s">
        <v>2105</v>
      </c>
      <c r="B117" s="2359">
        <v>46275</v>
      </c>
      <c r="C117" s="2358" t="str">
        <v>Thursday</v>
      </c>
      <c r="D117" s="2360" t="s">
        <v>2097</v>
      </c>
      <c r="E117" s="2308">
        <f t="shared" si="79"/>
      </c>
      <c r="F117" s="2306" t="s">
        <v>2099</v>
      </c>
      <c r="G117" s="2361"/>
      <c r="H117" s="2308" t="s">
        <v>2009</v>
      </c>
      <c r="I117" s="2308" t="s">
        <v>1972</v>
      </c>
      <c r="J117" s="2347" t="s">
        <v>2104</v>
      </c>
      <c r="K117" s="2262"/>
      <c r="L117" s="2262"/>
      <c r="M117" s="2262"/>
      <c r="N117" s="2262"/>
      <c r="O117" s="2262"/>
      <c r="P117" s="2262"/>
    </row>
    <row customHeight="true" ht="16.071428571428573" r="118"/>
    <row r="119">
      <c r="A119" s="2362" t="s">
        <v>2106</v>
      </c>
      <c r="B119" s="2362"/>
      <c r="C119" s="2362"/>
      <c r="D119" s="2362"/>
      <c r="E119" s="2362"/>
      <c r="F119" s="2362"/>
      <c r="G119" s="2363"/>
      <c r="H119" s="2363"/>
      <c r="I119" s="2363"/>
      <c r="J119" s="2364"/>
      <c r="K119" s="2252" t="s">
        <v>2096</v>
      </c>
      <c r="L119" s="2296"/>
      <c r="M119" s="2296"/>
      <c r="N119" s="2296"/>
      <c r="O119" s="2296"/>
      <c r="P119" s="2296"/>
    </row>
    <row r="120">
      <c r="A120" s="2365" t="s">
        <v>1989</v>
      </c>
      <c r="B120" s="2366" t="s">
        <v>1990</v>
      </c>
      <c r="C120" s="2366"/>
      <c r="D120" s="2365" t="s">
        <v>1991</v>
      </c>
      <c r="E120" s="2365" t="s">
        <v>1992</v>
      </c>
      <c r="F120" s="2365" t="s">
        <v>1993</v>
      </c>
      <c r="G120" s="2367" t="s">
        <v>2012</v>
      </c>
      <c r="H120" s="2365" t="s">
        <v>1995</v>
      </c>
      <c r="I120" s="2365" t="s">
        <v>1996</v>
      </c>
      <c r="J120" s="2368" t="s">
        <v>1997</v>
      </c>
      <c r="K120" s="2282"/>
      <c r="L120" s="2282"/>
      <c r="M120" s="2282"/>
      <c r="N120" s="2282"/>
      <c r="O120" s="2282"/>
      <c r="P120" s="2282"/>
    </row>
    <row customHeight="true" ht="18.452380952380953" r="121">
      <c r="A121" s="2253" t="s">
        <v>2106</v>
      </c>
      <c r="B121" s="2254">
        <v>46273</v>
      </c>
      <c r="C121" s="2253" t="str">
        <v>Tuesday</v>
      </c>
      <c r="D121" s="2345" t="s">
        <v>2107</v>
      </c>
      <c r="E121" s="2346">
        <f t="shared" ref="E121:E125" si="80">24*MOD(TIMEVALUE(TRIM(MID(D121,FIND("-",D121)+1,LEN(D121)))) - TIMEVALUE(TRIM(LEFT(D121,FIND("-",D121)-1))),1)</f>
      </c>
      <c r="F121" s="2346" t="s">
        <v>2072</v>
      </c>
      <c r="G121" s="2272"/>
      <c r="H121" s="2346" t="s">
        <v>2009</v>
      </c>
      <c r="I121" s="2346" t="s">
        <v>1972</v>
      </c>
      <c r="J121" s="2347" t="s">
        <v>2098</v>
      </c>
      <c r="K121" s="2262"/>
      <c r="L121" s="2262"/>
      <c r="M121" s="2262"/>
      <c r="N121" s="2262"/>
      <c r="O121" s="2262"/>
      <c r="P121" s="2262"/>
    </row>
    <row r="122">
      <c r="A122" s="2253" t="s">
        <v>2106</v>
      </c>
      <c r="B122" s="2254">
        <v>46274</v>
      </c>
      <c r="C122" s="2253" t="str">
        <v>Wednesday</v>
      </c>
      <c r="D122" s="2345" t="s">
        <v>2108</v>
      </c>
      <c r="E122" s="2346">
        <f t="shared" si="80"/>
      </c>
      <c r="F122" s="2346" t="s">
        <v>2072</v>
      </c>
      <c r="G122" s="2272" t="s">
        <v>2109</v>
      </c>
      <c r="H122" s="2346" t="s">
        <v>2009</v>
      </c>
      <c r="I122" s="2271" t="s">
        <v>1972</v>
      </c>
      <c r="J122" s="2347" t="s">
        <v>2098</v>
      </c>
      <c r="K122" s="2262"/>
      <c r="L122" s="2262"/>
      <c r="M122" s="2262"/>
      <c r="N122" s="2262"/>
      <c r="O122" s="2262"/>
      <c r="P122" s="2262"/>
    </row>
    <row customHeight="true" ht="18.452380952380953" r="123">
      <c r="A123" s="2253" t="s">
        <v>2106</v>
      </c>
      <c r="B123" s="2254">
        <v>46276</v>
      </c>
      <c r="C123" s="2253" t="str">
        <v>Friday</v>
      </c>
      <c r="D123" s="2345" t="s">
        <v>2108</v>
      </c>
      <c r="E123" s="2346">
        <f t="shared" si="80"/>
      </c>
      <c r="F123" s="2346" t="s">
        <v>2110</v>
      </c>
      <c r="G123" s="2272"/>
      <c r="H123" s="2346" t="s">
        <v>2009</v>
      </c>
      <c r="I123" s="2346" t="s">
        <v>1972</v>
      </c>
      <c r="J123" s="2347" t="s">
        <v>2098</v>
      </c>
      <c r="K123" s="2262"/>
      <c r="L123" s="2262"/>
      <c r="M123" s="2262"/>
      <c r="N123" s="2262"/>
      <c r="O123" s="2262"/>
      <c r="P123" s="2262"/>
    </row>
    <row r="124">
      <c r="A124" s="2253" t="s">
        <v>2106</v>
      </c>
      <c r="B124" s="2254">
        <v>46277</v>
      </c>
      <c r="C124" s="2253" t="str">
        <v>Saturday</v>
      </c>
      <c r="D124" s="2348" t="s">
        <v>2111</v>
      </c>
      <c r="E124" s="2346">
        <f t="shared" si="80"/>
      </c>
      <c r="F124" s="2346" t="s">
        <v>2072</v>
      </c>
      <c r="G124" s="2272"/>
      <c r="H124" s="2346" t="s">
        <v>2009</v>
      </c>
      <c r="I124" s="2271" t="s">
        <v>1972</v>
      </c>
      <c r="J124" s="2347" t="s">
        <v>2098</v>
      </c>
      <c r="K124" s="2262"/>
      <c r="L124" s="2337"/>
      <c r="M124" s="2262"/>
      <c r="N124" s="2262"/>
      <c r="O124" s="2262"/>
      <c r="P124" s="2262"/>
    </row>
    <row customHeight="true" ht="18.452380952380953" r="125">
      <c r="A125" s="2253" t="s">
        <v>2106</v>
      </c>
      <c r="B125" s="2254">
        <v>46278</v>
      </c>
      <c r="C125" s="2253" t="str">
        <v>Sunday</v>
      </c>
      <c r="D125" s="2345" t="s">
        <v>2112</v>
      </c>
      <c r="E125" s="2346">
        <f t="shared" si="80"/>
      </c>
      <c r="F125" s="2346" t="s">
        <v>2082</v>
      </c>
      <c r="G125" s="2272"/>
      <c r="H125" s="2346" t="s">
        <v>2009</v>
      </c>
      <c r="I125" s="2271" t="s">
        <v>1972</v>
      </c>
      <c r="J125" s="2347" t="s">
        <v>2098</v>
      </c>
      <c r="K125" s="2262"/>
      <c r="L125" s="2337"/>
      <c r="M125" s="2262"/>
      <c r="N125" s="2262"/>
      <c r="O125" s="2262"/>
      <c r="P125" s="2262"/>
    </row>
    <row customHeight="true" ht="14.880952380952381" r="126"/>
    <row r="127">
      <c r="A127" s="2253" t="s">
        <v>2113</v>
      </c>
      <c r="B127" s="2254">
        <v>46273</v>
      </c>
      <c r="C127" s="2253" t="str">
        <v>Tuesday</v>
      </c>
      <c r="D127" s="2345" t="s">
        <v>2114</v>
      </c>
      <c r="E127" s="2346">
        <f t="shared" ref="E127:E131" si="81">24*MOD(TIMEVALUE(TRIM(MID(D127,FIND("-",D127)+1,LEN(D127)))) - TIMEVALUE(TRIM(LEFT(D127,FIND("-",D127)-1))),1)</f>
      </c>
      <c r="F127" s="2346" t="s">
        <v>2088</v>
      </c>
      <c r="G127" s="2272"/>
      <c r="H127" s="2346" t="s">
        <v>2009</v>
      </c>
      <c r="I127" s="2346" t="s">
        <v>1972</v>
      </c>
      <c r="J127" s="2347" t="s">
        <v>2098</v>
      </c>
      <c r="K127" s="2262"/>
      <c r="L127" s="2262"/>
      <c r="M127" s="2262"/>
      <c r="N127" s="2262"/>
      <c r="O127" s="2262"/>
      <c r="P127" s="2262"/>
    </row>
    <row r="128">
      <c r="A128" s="2253" t="s">
        <v>2113</v>
      </c>
      <c r="B128" s="2254">
        <v>46274</v>
      </c>
      <c r="C128" s="2253" t="str">
        <v>Wednesday</v>
      </c>
      <c r="D128" s="2345" t="s">
        <v>2115</v>
      </c>
      <c r="E128" s="2346">
        <f t="shared" si="81"/>
      </c>
      <c r="F128" s="2346" t="s">
        <v>2088</v>
      </c>
      <c r="G128" s="2272"/>
      <c r="H128" s="2346" t="s">
        <v>2009</v>
      </c>
      <c r="I128" s="2346" t="s">
        <v>1972</v>
      </c>
      <c r="J128" s="2347" t="s">
        <v>2098</v>
      </c>
      <c r="K128" s="2262"/>
      <c r="L128" s="2262"/>
      <c r="M128" s="2262"/>
      <c r="N128" s="2262"/>
      <c r="O128" s="2262"/>
      <c r="P128" s="2262"/>
    </row>
    <row r="129">
      <c r="A129" s="2253" t="s">
        <v>2113</v>
      </c>
      <c r="B129" s="2254">
        <v>46276</v>
      </c>
      <c r="C129" s="2253" t="str">
        <v>Friday</v>
      </c>
      <c r="D129" s="2345" t="s">
        <v>2116</v>
      </c>
      <c r="E129" s="2346">
        <f t="shared" si="81"/>
      </c>
      <c r="F129" s="2346" t="s">
        <v>2088</v>
      </c>
      <c r="G129" s="2272"/>
      <c r="H129" s="2346" t="s">
        <v>2009</v>
      </c>
      <c r="I129" s="2346" t="s">
        <v>1972</v>
      </c>
      <c r="J129" s="2347" t="s">
        <v>2098</v>
      </c>
      <c r="K129" s="2262"/>
      <c r="L129" s="2262"/>
      <c r="M129" s="2262"/>
      <c r="N129" s="2262"/>
      <c r="O129" s="2262"/>
      <c r="P129" s="2262"/>
    </row>
    <row r="130">
      <c r="A130" s="2253" t="s">
        <v>2113</v>
      </c>
      <c r="B130" s="2254">
        <v>46277</v>
      </c>
      <c r="C130" s="2253" t="str">
        <v>Saturday</v>
      </c>
      <c r="D130" s="2348" t="s">
        <v>2117</v>
      </c>
      <c r="E130" s="2346">
        <f t="shared" si="81"/>
      </c>
      <c r="F130" s="2346" t="s">
        <v>2088</v>
      </c>
      <c r="G130" s="2272"/>
      <c r="H130" s="2346" t="s">
        <v>2009</v>
      </c>
      <c r="I130" s="2346" t="s">
        <v>1972</v>
      </c>
      <c r="J130" s="2347" t="s">
        <v>2098</v>
      </c>
      <c r="K130" s="2262"/>
      <c r="L130" s="2262"/>
      <c r="M130" s="2262"/>
      <c r="N130" s="2262"/>
      <c r="O130" s="2262"/>
      <c r="P130" s="2262"/>
    </row>
    <row customHeight="true" ht="18.452380952380953" r="131">
      <c r="A131" s="2253" t="s">
        <v>2113</v>
      </c>
      <c r="B131" s="2254">
        <v>46278</v>
      </c>
      <c r="C131" s="2253" t="str">
        <v>Sunday</v>
      </c>
      <c r="D131" s="2345" t="s">
        <v>2118</v>
      </c>
      <c r="E131" s="2346">
        <f t="shared" si="81"/>
      </c>
      <c r="F131" s="2346" t="s">
        <v>2088</v>
      </c>
      <c r="G131" s="2272"/>
      <c r="H131" s="2346" t="s">
        <v>2009</v>
      </c>
      <c r="I131" s="2346" t="s">
        <v>1972</v>
      </c>
      <c r="J131" s="2347" t="s">
        <v>2098</v>
      </c>
      <c r="K131" s="2262"/>
      <c r="L131" s="2262"/>
      <c r="M131" s="2262"/>
      <c r="N131" s="2262"/>
      <c r="O131" s="2262"/>
      <c r="P131" s="2262"/>
    </row>
    <row customHeight="true" ht="14.880952380952381" r="132"/>
    <row customHeight="true" ht="18.452380952380953" r="133">
      <c r="A133" s="2253" t="s">
        <v>2119</v>
      </c>
      <c r="B133" s="2254">
        <v>46274</v>
      </c>
      <c r="C133" s="2253" t="str">
        <v>Wednesday</v>
      </c>
      <c r="D133" s="2345" t="s">
        <v>2120</v>
      </c>
      <c r="E133" s="2346">
        <f t="shared" ref="E133:E134" si="82">24*MOD(TIMEVALUE(TRIM(MID(D133,FIND("-",D133)+1,LEN(D133)))) - TIMEVALUE(TRIM(LEFT(D133,FIND("-",D133)-1))),1)</f>
      </c>
      <c r="F133" s="2346" t="s">
        <v>2110</v>
      </c>
      <c r="G133" s="2272"/>
      <c r="H133" s="2346" t="s">
        <v>2009</v>
      </c>
      <c r="I133" s="2346" t="s">
        <v>1972</v>
      </c>
      <c r="J133" s="2347"/>
      <c r="K133" s="2262"/>
      <c r="L133" s="2262"/>
      <c r="M133" s="2262"/>
      <c r="N133" s="2262"/>
      <c r="O133" s="2262"/>
      <c r="P133" s="2262"/>
    </row>
    <row customHeight="true" ht="16.071428571428573" r="134">
      <c r="A134" s="2253" t="s">
        <v>2119</v>
      </c>
      <c r="B134" s="2254">
        <v>46276</v>
      </c>
      <c r="C134" s="2253" t="str">
        <v>Friday</v>
      </c>
      <c r="D134" s="2345" t="s">
        <v>2121</v>
      </c>
      <c r="E134" s="2346">
        <f t="shared" si="82"/>
      </c>
      <c r="F134" s="2346" t="s">
        <v>2110</v>
      </c>
      <c r="G134" s="2272"/>
      <c r="H134" s="2346" t="s">
        <v>2009</v>
      </c>
      <c r="I134" s="2346" t="s">
        <v>1972</v>
      </c>
      <c r="J134" s="2347"/>
      <c r="K134" s="2262"/>
      <c r="L134" s="2262"/>
      <c r="M134" s="2262"/>
      <c r="N134" s="2262"/>
      <c r="O134" s="2262"/>
      <c r="P134" s="2262"/>
    </row>
    <row customHeight="true" ht="16.071428571428573" r="135">
      <c r="A135" s="2266"/>
      <c r="J135" s="2266"/>
      <c r="K135" s="2319"/>
      <c r="L135" s="2319"/>
      <c r="M135" s="2319"/>
      <c r="N135" s="2319"/>
      <c r="O135" s="2319"/>
      <c r="P135" s="2319"/>
    </row>
    <row r="136">
      <c r="A136" s="2369" t="s">
        <v>2122</v>
      </c>
      <c r="B136" s="2370" t="s">
        <v>2123</v>
      </c>
      <c r="C136" s="2371"/>
      <c r="D136" s="2371"/>
      <c r="E136" s="2371"/>
      <c r="F136" s="2371"/>
      <c r="G136" s="2371"/>
      <c r="H136" s="2371"/>
      <c r="I136" s="2371"/>
      <c r="J136" s="2372"/>
      <c r="K136" s="2373"/>
      <c r="L136" s="2373"/>
      <c r="M136" s="2373"/>
      <c r="N136" s="2373"/>
      <c r="O136" s="2373"/>
      <c r="P136" s="2373"/>
    </row>
    <row r="137">
      <c r="A137" s="2374" t="s">
        <v>1989</v>
      </c>
      <c r="B137" s="2375" t="s">
        <v>1990</v>
      </c>
      <c r="C137" s="2375"/>
      <c r="D137" s="2376" t="s">
        <v>1991</v>
      </c>
      <c r="E137" s="2376" t="s">
        <v>1992</v>
      </c>
      <c r="F137" s="2376" t="s">
        <v>1993</v>
      </c>
      <c r="G137" s="2377" t="s">
        <v>2012</v>
      </c>
      <c r="H137" s="2376" t="s">
        <v>1995</v>
      </c>
      <c r="I137" s="2376" t="s">
        <v>1996</v>
      </c>
      <c r="J137" s="2378" t="s">
        <v>1997</v>
      </c>
      <c r="K137" s="2282"/>
      <c r="L137" s="2282"/>
      <c r="M137" s="2282"/>
      <c r="N137" s="2282"/>
      <c r="O137" s="2282"/>
      <c r="P137" s="2282"/>
    </row>
    <row customHeight="true" ht="18.452380952380953" r="138">
      <c r="A138" s="2379" t="s">
        <v>2122</v>
      </c>
      <c r="B138" s="2255">
        <v>46272</v>
      </c>
      <c r="C138" s="2283" t="str">
        <v>Monday</v>
      </c>
      <c r="D138" s="2287" t="s">
        <v>2124</v>
      </c>
      <c r="E138" s="2256">
        <v>3</v>
      </c>
      <c r="F138" s="2260" t="s">
        <v>2024</v>
      </c>
      <c r="G138" s="2380"/>
      <c r="H138" s="2260" t="s">
        <v>2009</v>
      </c>
      <c r="I138" s="2288" t="s">
        <v>2005</v>
      </c>
      <c r="J138" s="2381"/>
      <c r="K138" s="2382"/>
      <c r="L138" s="2382"/>
      <c r="M138" s="2382"/>
      <c r="N138" s="2382"/>
      <c r="O138" s="2382"/>
      <c r="P138" s="2382"/>
      <c r="Q138" s="2293"/>
      <c r="R138" s="2293"/>
    </row>
    <row customHeight="true" ht="18.452380952380953" r="139">
      <c r="A139" s="2379" t="s">
        <v>2122</v>
      </c>
      <c r="B139" s="2255">
        <v>46273</v>
      </c>
      <c r="C139" s="2283" t="str">
        <v>Tuesday</v>
      </c>
      <c r="D139" s="2289" t="s">
        <v>2125</v>
      </c>
      <c r="E139" s="2288">
        <f>24*MOD(TIMEVALUE(TRIM(MID(D139,FIND("-",D139)+1,LEN(D139)))) - TIMEVALUE(TRIM(LEFT(D139,FIND("-",D139)-1))),1)</f>
      </c>
      <c r="F139" s="2260" t="s">
        <v>2024</v>
      </c>
      <c r="G139" s="2383"/>
      <c r="H139" s="2260" t="s">
        <v>2009</v>
      </c>
      <c r="I139" s="2288" t="s">
        <v>2005</v>
      </c>
      <c r="J139" s="2381"/>
      <c r="K139" s="2384"/>
      <c r="L139" s="2384"/>
      <c r="M139" s="2384"/>
      <c r="N139" s="2384"/>
      <c r="O139" s="2384"/>
      <c r="P139" s="2384"/>
    </row>
    <row customHeight="true" ht="18.452380952380953" r="140">
      <c r="A140" s="2379" t="s">
        <v>2122</v>
      </c>
      <c r="B140" s="2255">
        <v>46274</v>
      </c>
      <c r="C140" s="2283" t="str">
        <v>Wednesday</v>
      </c>
      <c r="D140" s="2289" t="s">
        <v>2125</v>
      </c>
      <c r="E140" s="2256">
        <v>3</v>
      </c>
      <c r="F140" s="2260" t="s">
        <v>2126</v>
      </c>
      <c r="G140" s="2380"/>
      <c r="H140" s="2260" t="s">
        <v>2009</v>
      </c>
      <c r="I140" s="2288" t="s">
        <v>2005</v>
      </c>
      <c r="J140" s="2381"/>
      <c r="K140" s="2382"/>
      <c r="L140" s="2382"/>
      <c r="M140" s="2382"/>
      <c r="N140" s="2382"/>
      <c r="O140" s="2382"/>
      <c r="P140" s="2382"/>
      <c r="Q140" s="2293"/>
      <c r="R140" s="2293"/>
    </row>
    <row customHeight="true" ht="18.452380952380953" r="141">
      <c r="A141" s="2385" t="s">
        <v>2122</v>
      </c>
      <c r="B141" s="2255">
        <v>46275</v>
      </c>
      <c r="C141" s="2283" t="str">
        <v>Thursday</v>
      </c>
      <c r="D141" s="2289" t="s">
        <v>2125</v>
      </c>
      <c r="E141" s="2288">
        <f t="shared" ref="E141:E142" si="83">24*MOD(TIMEVALUE(TRIM(MID(D141,FIND("-",D141)+1,LEN(D141)))) - TIMEVALUE(TRIM(LEFT(D141,FIND("-",D141)-1))),1)</f>
      </c>
      <c r="F141" s="2260" t="s">
        <v>2126</v>
      </c>
      <c r="G141" s="2386"/>
      <c r="H141" s="2260" t="s">
        <v>2009</v>
      </c>
      <c r="I141" s="2288" t="s">
        <v>1972</v>
      </c>
      <c r="J141" s="2387"/>
      <c r="K141" s="2384"/>
      <c r="L141" s="2384"/>
      <c r="M141" s="2384"/>
      <c r="N141" s="2384"/>
      <c r="O141" s="2384"/>
      <c r="P141" s="2384"/>
    </row>
    <row r="142">
      <c r="A142" s="2385" t="s">
        <v>2122</v>
      </c>
      <c r="B142" s="2255">
        <v>46276</v>
      </c>
      <c r="C142" s="2283" t="str">
        <v>Friday</v>
      </c>
      <c r="D142" s="2289" t="s">
        <v>2127</v>
      </c>
      <c r="E142" s="2288">
        <f t="shared" si="83"/>
      </c>
      <c r="F142" s="2260" t="s">
        <v>2024</v>
      </c>
      <c r="G142" s="2386"/>
      <c r="H142" s="2260" t="s">
        <v>2009</v>
      </c>
      <c r="I142" s="2288" t="s">
        <v>1972</v>
      </c>
      <c r="J142" s="2387"/>
      <c r="K142" s="2384"/>
      <c r="L142" s="2384"/>
      <c r="M142" s="2384"/>
      <c r="N142" s="2384"/>
      <c r="O142" s="2384"/>
      <c r="P142" s="2384"/>
    </row>
    <row customHeight="true" ht="18.452380952380953" r="143">
      <c r="A143" s="2379" t="s">
        <v>2122</v>
      </c>
      <c r="B143" s="2255">
        <v>46277</v>
      </c>
      <c r="C143" s="2283" t="str">
        <v>Saturday</v>
      </c>
      <c r="D143" s="2289" t="s">
        <v>2128</v>
      </c>
      <c r="E143" s="2256">
        <v>2</v>
      </c>
      <c r="F143" s="2260" t="s">
        <v>2024</v>
      </c>
      <c r="G143" s="2386"/>
      <c r="H143" s="2260" t="s">
        <v>2009</v>
      </c>
      <c r="I143" s="2288" t="s">
        <v>1972</v>
      </c>
      <c r="J143" s="2381"/>
      <c r="K143" s="2384"/>
      <c r="L143" s="2384"/>
      <c r="M143" s="2384"/>
      <c r="N143" s="2384"/>
      <c r="O143" s="2384"/>
      <c r="P143" s="2384"/>
    </row>
    <row customHeight="true" ht="18.452380952380953" r="144">
      <c r="A144" s="2379" t="s">
        <v>2122</v>
      </c>
      <c r="B144" s="2255">
        <v>46277</v>
      </c>
      <c r="C144" s="2283" t="str">
        <v>Saturday</v>
      </c>
      <c r="D144" s="2289" t="s">
        <v>2129</v>
      </c>
      <c r="E144" s="2256">
        <v>2</v>
      </c>
      <c r="F144" s="2260" t="s">
        <v>2126</v>
      </c>
      <c r="G144" s="2386"/>
      <c r="H144" s="2260" t="s">
        <v>2009</v>
      </c>
      <c r="I144" s="2288" t="s">
        <v>1972</v>
      </c>
      <c r="J144" s="2381"/>
      <c r="K144" s="2384"/>
      <c r="L144" s="2384"/>
      <c r="M144" s="2384"/>
      <c r="N144" s="2384"/>
      <c r="O144" s="2384"/>
      <c r="P144" s="2384"/>
    </row>
    <row customHeight="true" ht="18.452380952380953" r="145">
      <c r="A145" s="2379" t="s">
        <v>2122</v>
      </c>
      <c r="B145" s="2255">
        <v>46278</v>
      </c>
      <c r="C145" s="2283" t="str">
        <v>Sunday</v>
      </c>
      <c r="D145" s="2287" t="s">
        <v>2130</v>
      </c>
      <c r="E145" s="2288">
        <f t="shared" ref="E145:E161" si="84">24*MOD(TIMEVALUE(TRIM(MID(D145,FIND("-",D145)+1,LEN(D145)))) - TIMEVALUE(TRIM(LEFT(D145,FIND("-",D145)-1))),1)</f>
      </c>
      <c r="F145" s="2260" t="s">
        <v>2024</v>
      </c>
      <c r="G145" s="2383"/>
      <c r="H145" s="2260" t="s">
        <v>2009</v>
      </c>
      <c r="I145" s="2288" t="s">
        <v>2005</v>
      </c>
      <c r="J145" s="2381"/>
      <c r="K145" s="2384"/>
      <c r="L145" s="2384"/>
      <c r="M145" s="2384"/>
      <c r="N145" s="2384"/>
      <c r="O145" s="2384"/>
      <c r="P145" s="2384"/>
    </row>
    <row customHeight="true" ht="18.452380952380953" r="146">
      <c r="A146" s="2379" t="s">
        <v>2131</v>
      </c>
      <c r="B146" s="2283">
        <v>46272</v>
      </c>
      <c r="C146" s="2283" t="str">
        <v>Monday</v>
      </c>
      <c r="D146" s="2289" t="s">
        <v>2132</v>
      </c>
      <c r="E146" s="2288">
        <f t="shared" si="84"/>
      </c>
      <c r="F146" s="2260" t="s">
        <v>2133</v>
      </c>
      <c r="G146" s="2383"/>
      <c r="H146" s="2260" t="s">
        <v>2009</v>
      </c>
      <c r="I146" s="2288" t="s">
        <v>2005</v>
      </c>
      <c r="J146" s="2381"/>
      <c r="K146" s="2384"/>
      <c r="L146" s="2384"/>
      <c r="M146" s="2384"/>
      <c r="N146" s="2384"/>
      <c r="O146" s="2384"/>
      <c r="P146" s="2384"/>
    </row>
    <row customHeight="true" ht="18.452380952380953" r="147">
      <c r="A147" s="2379" t="s">
        <v>2131</v>
      </c>
      <c r="B147" s="2283">
        <v>46273</v>
      </c>
      <c r="C147" s="2283" t="str">
        <v>Tuesday</v>
      </c>
      <c r="D147" s="2289" t="s">
        <v>2134</v>
      </c>
      <c r="E147" s="2288">
        <f t="shared" si="84"/>
      </c>
      <c r="F147" s="2260" t="s">
        <v>2133</v>
      </c>
      <c r="G147" s="2380"/>
      <c r="H147" s="2260" t="s">
        <v>2009</v>
      </c>
      <c r="I147" s="2288" t="s">
        <v>2005</v>
      </c>
      <c r="J147" s="2381"/>
      <c r="K147" s="2384"/>
      <c r="L147" s="2384"/>
      <c r="M147" s="2384"/>
      <c r="N147" s="2384"/>
      <c r="O147" s="2384"/>
      <c r="P147" s="2384"/>
    </row>
    <row customHeight="true" ht="18.452380952380953" r="148">
      <c r="A148" s="2379" t="s">
        <v>2131</v>
      </c>
      <c r="B148" s="2283">
        <v>46274</v>
      </c>
      <c r="C148" s="2283" t="str">
        <v>Wednesday</v>
      </c>
      <c r="D148" s="2289" t="s">
        <v>2134</v>
      </c>
      <c r="E148" s="2288">
        <f t="shared" si="84"/>
      </c>
      <c r="F148" s="2260" t="s">
        <v>2133</v>
      </c>
      <c r="G148" s="2380"/>
      <c r="H148" s="2260" t="s">
        <v>2009</v>
      </c>
      <c r="I148" s="2288" t="s">
        <v>2005</v>
      </c>
      <c r="J148" s="2381"/>
      <c r="K148" s="2384"/>
      <c r="L148" s="2384"/>
      <c r="M148" s="2384"/>
      <c r="N148" s="2384"/>
      <c r="O148" s="2384"/>
      <c r="P148" s="2384"/>
    </row>
    <row customHeight="true" ht="18.452380952380953" r="149">
      <c r="A149" s="2379" t="s">
        <v>2131</v>
      </c>
      <c r="B149" s="2283">
        <v>46275</v>
      </c>
      <c r="C149" s="2283" t="str">
        <v>Thursday</v>
      </c>
      <c r="D149" s="2289" t="s">
        <v>2134</v>
      </c>
      <c r="E149" s="2288">
        <f t="shared" si="84"/>
      </c>
      <c r="F149" s="2260" t="s">
        <v>2133</v>
      </c>
      <c r="G149" s="2380"/>
      <c r="H149" s="2260" t="s">
        <v>2009</v>
      </c>
      <c r="I149" s="2288" t="s">
        <v>2005</v>
      </c>
      <c r="J149" s="2381"/>
      <c r="K149" s="2384"/>
      <c r="L149" s="2384"/>
      <c r="M149" s="2384"/>
      <c r="N149" s="2384"/>
      <c r="O149" s="2384"/>
      <c r="P149" s="2384"/>
    </row>
    <row customHeight="true" ht="18.452380952380953" r="150">
      <c r="A150" s="2379" t="s">
        <v>2131</v>
      </c>
      <c r="B150" s="2283">
        <v>46276</v>
      </c>
      <c r="C150" s="2283" t="str">
        <v>Friday</v>
      </c>
      <c r="D150" s="2289" t="s">
        <v>2135</v>
      </c>
      <c r="E150" s="2288">
        <f t="shared" si="84"/>
      </c>
      <c r="F150" s="2260" t="s">
        <v>2136</v>
      </c>
      <c r="G150" s="2380"/>
      <c r="H150" s="2260"/>
      <c r="I150" s="2288"/>
      <c r="J150" s="2381"/>
      <c r="K150" s="2384"/>
      <c r="L150" s="2384"/>
      <c r="M150" s="2384"/>
      <c r="N150" s="2384"/>
      <c r="O150" s="2384"/>
      <c r="P150" s="2384"/>
    </row>
    <row customHeight="true" ht="18.452380952380953" r="151">
      <c r="A151" s="2379" t="s">
        <v>2131</v>
      </c>
      <c r="B151" s="2283">
        <v>46277</v>
      </c>
      <c r="C151" s="2283" t="str">
        <v>Saturday</v>
      </c>
      <c r="D151" s="2388" t="s">
        <v>2137</v>
      </c>
      <c r="E151" s="2288">
        <f t="shared" si="84"/>
      </c>
      <c r="F151" s="2260" t="s">
        <v>2133</v>
      </c>
      <c r="G151" s="2380"/>
      <c r="H151" s="2260"/>
      <c r="I151" s="2288"/>
      <c r="J151" s="2381"/>
      <c r="K151" s="2384"/>
      <c r="L151" s="2384"/>
      <c r="M151" s="2384"/>
      <c r="N151" s="2384"/>
      <c r="O151" s="2384"/>
      <c r="P151" s="2384"/>
    </row>
    <row customHeight="true" ht="18.452380952380953" r="152">
      <c r="A152" s="2379" t="s">
        <v>2131</v>
      </c>
      <c r="B152" s="2283">
        <v>46278</v>
      </c>
      <c r="C152" s="2283" t="str">
        <v>Sunday</v>
      </c>
      <c r="D152" s="2287" t="s">
        <v>2138</v>
      </c>
      <c r="E152" s="2288">
        <f t="shared" si="84"/>
      </c>
      <c r="F152" s="2260" t="s">
        <v>2136</v>
      </c>
      <c r="G152" s="2380"/>
      <c r="H152" s="2260"/>
      <c r="I152" s="2288"/>
      <c r="J152" s="2381"/>
      <c r="K152" s="2384"/>
      <c r="L152" s="2384"/>
      <c r="M152" s="2384"/>
      <c r="N152" s="2384"/>
      <c r="O152" s="2384"/>
      <c r="P152" s="2384"/>
    </row>
    <row customHeight="true" ht="18.452380952380953" r="153">
      <c r="A153" s="2379" t="s">
        <v>2139</v>
      </c>
      <c r="B153" s="2255">
        <v>46273</v>
      </c>
      <c r="C153" s="2283" t="str">
        <v>Tuesday</v>
      </c>
      <c r="D153" s="2287" t="s">
        <v>2140</v>
      </c>
      <c r="E153" s="2288">
        <f t="shared" si="84"/>
      </c>
      <c r="F153" s="2260" t="s">
        <v>2141</v>
      </c>
      <c r="G153" s="2383"/>
      <c r="H153" s="2260" t="s">
        <v>2009</v>
      </c>
      <c r="I153" s="2288" t="s">
        <v>2005</v>
      </c>
      <c r="J153" s="2381"/>
      <c r="K153" s="2384"/>
      <c r="L153" s="2384"/>
      <c r="M153" s="2384"/>
      <c r="N153" s="2384"/>
      <c r="O153" s="2384"/>
      <c r="P153" s="2384"/>
    </row>
    <row customHeight="true" ht="18.452380952380953" r="154">
      <c r="A154" s="2379" t="s">
        <v>2139</v>
      </c>
      <c r="B154" s="2255">
        <v>46274</v>
      </c>
      <c r="C154" s="2283" t="str">
        <v>Wednesday</v>
      </c>
      <c r="D154" s="2287" t="s">
        <v>2142</v>
      </c>
      <c r="E154" s="2288">
        <f t="shared" si="84"/>
      </c>
      <c r="F154" s="2260" t="s">
        <v>2143</v>
      </c>
      <c r="G154" s="2383"/>
      <c r="H154" s="2260" t="s">
        <v>2009</v>
      </c>
      <c r="I154" s="2288" t="s">
        <v>2005</v>
      </c>
      <c r="J154" s="2381"/>
      <c r="K154" s="2384"/>
      <c r="L154" s="2384"/>
      <c r="M154" s="2384"/>
      <c r="N154" s="2384"/>
      <c r="O154" s="2384"/>
      <c r="P154" s="2384"/>
    </row>
    <row customHeight="true" ht="18.452380952380953" r="155">
      <c r="A155" s="2379" t="s">
        <v>2139</v>
      </c>
      <c r="B155" s="2255">
        <v>46274</v>
      </c>
      <c r="C155" s="2283" t="str">
        <v>Wednesday</v>
      </c>
      <c r="D155" s="2287" t="s">
        <v>2144</v>
      </c>
      <c r="E155" s="2288">
        <f t="shared" si="84"/>
      </c>
      <c r="F155" s="2260" t="s">
        <v>2136</v>
      </c>
      <c r="G155" s="2383"/>
      <c r="H155" s="2260" t="s">
        <v>2009</v>
      </c>
      <c r="I155" s="2288" t="s">
        <v>2005</v>
      </c>
      <c r="J155" s="2381"/>
      <c r="K155" s="2384"/>
      <c r="L155" s="2384"/>
      <c r="M155" s="2384"/>
      <c r="N155" s="2384"/>
      <c r="O155" s="2384"/>
      <c r="P155" s="2384"/>
    </row>
    <row customHeight="true" ht="18.452380952380953" r="156">
      <c r="A156" s="2379" t="s">
        <v>2139</v>
      </c>
      <c r="B156" s="2255">
        <v>46272</v>
      </c>
      <c r="C156" s="2283" t="str">
        <v>Monday</v>
      </c>
      <c r="D156" s="2287" t="s">
        <v>2145</v>
      </c>
      <c r="E156" s="2288">
        <f t="shared" si="84"/>
      </c>
      <c r="F156" s="2260" t="s">
        <v>2146</v>
      </c>
      <c r="G156" s="2383"/>
      <c r="H156" s="2260" t="s">
        <v>2009</v>
      </c>
      <c r="I156" s="2288" t="s">
        <v>2005</v>
      </c>
      <c r="J156" s="2381"/>
      <c r="K156" s="2384"/>
      <c r="L156" s="2384"/>
      <c r="M156" s="2384"/>
      <c r="N156" s="2384"/>
      <c r="O156" s="2384"/>
      <c r="P156" s="2384"/>
    </row>
    <row customHeight="true" ht="18.452380952380953" r="157">
      <c r="A157" s="2379" t="s">
        <v>2139</v>
      </c>
      <c r="B157" s="2255">
        <v>46273</v>
      </c>
      <c r="C157" s="2283" t="str">
        <v>Tuesday</v>
      </c>
      <c r="D157" s="2287" t="s">
        <v>2147</v>
      </c>
      <c r="E157" s="2288">
        <f t="shared" si="84"/>
      </c>
      <c r="F157" s="2260" t="s">
        <v>2146</v>
      </c>
      <c r="G157" s="2383"/>
      <c r="H157" s="2260" t="s">
        <v>2009</v>
      </c>
      <c r="I157" s="2288" t="s">
        <v>2005</v>
      </c>
      <c r="J157" s="2381"/>
      <c r="K157" s="2384"/>
      <c r="L157" s="2384"/>
      <c r="M157" s="2384"/>
      <c r="N157" s="2384"/>
      <c r="O157" s="2384"/>
      <c r="P157" s="2384"/>
    </row>
    <row customHeight="true" ht="18.452380952380953" r="158">
      <c r="A158" s="2379" t="s">
        <v>2139</v>
      </c>
      <c r="B158" s="2255">
        <v>46274</v>
      </c>
      <c r="C158" s="2283" t="str">
        <v>Wednesday</v>
      </c>
      <c r="D158" s="2287" t="s">
        <v>2148</v>
      </c>
      <c r="E158" s="2288">
        <f t="shared" si="84"/>
      </c>
      <c r="F158" s="2260" t="s">
        <v>2146</v>
      </c>
      <c r="G158" s="2383"/>
      <c r="H158" s="2260" t="s">
        <v>2009</v>
      </c>
      <c r="I158" s="2288" t="s">
        <v>2005</v>
      </c>
      <c r="J158" s="2381"/>
      <c r="K158" s="2384"/>
      <c r="L158" s="2384"/>
      <c r="M158" s="2384"/>
      <c r="N158" s="2384"/>
      <c r="O158" s="2384"/>
      <c r="P158" s="2384"/>
    </row>
    <row customHeight="true" ht="18.452380952380953" r="159">
      <c r="A159" s="2379" t="s">
        <v>2139</v>
      </c>
      <c r="B159" s="2255">
        <v>46276</v>
      </c>
      <c r="C159" s="2283" t="str">
        <v>Friday</v>
      </c>
      <c r="D159" s="2287" t="s">
        <v>2149</v>
      </c>
      <c r="E159" s="2288">
        <f t="shared" si="84"/>
      </c>
      <c r="F159" s="2260" t="s">
        <v>2146</v>
      </c>
      <c r="G159" s="2383"/>
      <c r="H159" s="2260" t="s">
        <v>2009</v>
      </c>
      <c r="I159" s="2288" t="s">
        <v>2005</v>
      </c>
      <c r="J159" s="2381"/>
      <c r="K159" s="2384"/>
      <c r="L159" s="2384"/>
      <c r="M159" s="2384"/>
      <c r="N159" s="2384"/>
      <c r="O159" s="2384"/>
      <c r="P159" s="2384"/>
    </row>
    <row customHeight="true" ht="18.452380952380953" r="160">
      <c r="A160" s="2379" t="s">
        <v>2139</v>
      </c>
      <c r="B160" s="2255">
        <v>46277</v>
      </c>
      <c r="C160" s="2283" t="str">
        <v>Saturday</v>
      </c>
      <c r="D160" s="2287" t="s">
        <v>2150</v>
      </c>
      <c r="E160" s="2288">
        <f t="shared" si="84"/>
      </c>
      <c r="F160" s="2260" t="s">
        <v>2146</v>
      </c>
      <c r="G160" s="2383"/>
      <c r="H160" s="2260" t="s">
        <v>2009</v>
      </c>
      <c r="I160" s="2288" t="s">
        <v>2005</v>
      </c>
      <c r="J160" s="2381"/>
      <c r="K160" s="2384"/>
      <c r="L160" s="2384"/>
      <c r="M160" s="2384"/>
      <c r="N160" s="2384"/>
      <c r="O160" s="2384"/>
      <c r="P160" s="2384"/>
    </row>
    <row customHeight="true" ht="18.452380952380953" r="161">
      <c r="A161" s="2379" t="s">
        <v>2139</v>
      </c>
      <c r="B161" s="2255">
        <v>46278</v>
      </c>
      <c r="C161" s="2283" t="str">
        <v>Sunday</v>
      </c>
      <c r="D161" s="2287" t="s">
        <v>2149</v>
      </c>
      <c r="E161" s="2288">
        <f t="shared" si="84"/>
      </c>
      <c r="F161" s="2260" t="s">
        <v>2146</v>
      </c>
      <c r="G161" s="2383"/>
      <c r="H161" s="2260" t="s">
        <v>2009</v>
      </c>
      <c r="I161" s="2288" t="s">
        <v>2005</v>
      </c>
      <c r="J161" s="2381"/>
      <c r="K161" s="2384"/>
      <c r="L161" s="2384"/>
      <c r="M161" s="2384"/>
      <c r="N161" s="2384"/>
      <c r="O161" s="2384"/>
      <c r="P161" s="2384"/>
    </row>
    <row r="162">
      <c r="A162" s="2389" t="s">
        <v>2151</v>
      </c>
      <c r="B162" s="2389" t="s">
        <v>2152</v>
      </c>
      <c r="C162" s="2389"/>
      <c r="D162" s="2389"/>
      <c r="E162" s="2389"/>
      <c r="F162" s="2389"/>
      <c r="G162" s="2389"/>
      <c r="H162" s="2389"/>
      <c r="I162" s="2389"/>
      <c r="J162" s="2390"/>
      <c r="K162" s="2296"/>
      <c r="L162" s="2296"/>
      <c r="M162" s="2296"/>
      <c r="N162" s="2296"/>
      <c r="O162" s="2296"/>
      <c r="P162" s="2296"/>
    </row>
    <row r="163">
      <c r="A163" s="2391" t="s">
        <v>1989</v>
      </c>
      <c r="B163" s="2392" t="s">
        <v>1990</v>
      </c>
      <c r="C163" s="2392"/>
      <c r="D163" s="2393" t="s">
        <v>1991</v>
      </c>
      <c r="E163" s="2394" t="s">
        <v>1992</v>
      </c>
      <c r="F163" s="2394" t="s">
        <v>1993</v>
      </c>
      <c r="G163" s="2395" t="s">
        <v>2012</v>
      </c>
      <c r="H163" s="2396" t="s">
        <v>1995</v>
      </c>
      <c r="I163" s="2396" t="s">
        <v>1996</v>
      </c>
      <c r="J163" s="2397" t="s">
        <v>1997</v>
      </c>
      <c r="K163" s="2282"/>
      <c r="L163" s="2282"/>
      <c r="M163" s="2282"/>
      <c r="N163" s="2282"/>
      <c r="O163" s="2282"/>
      <c r="P163" s="2282"/>
    </row>
    <row customHeight="true" ht="18.452380952380953" r="164">
      <c r="A164" s="2303" t="s">
        <v>2151</v>
      </c>
      <c r="B164" s="2398">
        <v>46273</v>
      </c>
      <c r="C164" s="2303" t="str">
        <v>Tuesday</v>
      </c>
      <c r="D164" s="2305" t="s">
        <v>2153</v>
      </c>
      <c r="E164" s="2306">
        <f t="shared" ref="E164:E167" si="85">24*MOD(TIMEVALUE(TRIM(MID(D164,FIND("-",D164)+1,LEN(D164)))) - TIMEVALUE(TRIM(LEFT(D164,FIND("-",D164)-1))),1)</f>
      </c>
      <c r="F164" s="2306" t="s">
        <v>2018</v>
      </c>
      <c r="G164" s="2307" t="s">
        <v>2154</v>
      </c>
      <c r="H164" s="2306" t="s">
        <v>1971</v>
      </c>
      <c r="I164" s="2306" t="s">
        <v>2005</v>
      </c>
      <c r="J164" s="2399" t="s">
        <v>2155</v>
      </c>
      <c r="K164" s="2400"/>
      <c r="L164" s="2400"/>
      <c r="M164" s="2400"/>
      <c r="N164" s="2400"/>
      <c r="O164" s="2400"/>
      <c r="P164" s="2400"/>
      <c r="Q164" s="2401"/>
      <c r="R164" s="2401"/>
    </row>
    <row customHeight="true" ht="18.452380952380953" r="165">
      <c r="A165" s="2303" t="s">
        <v>2151</v>
      </c>
      <c r="B165" s="2304">
        <v>46276</v>
      </c>
      <c r="C165" s="2303" t="str">
        <v>Friday</v>
      </c>
      <c r="D165" s="2305" t="s">
        <v>2156</v>
      </c>
      <c r="E165" s="2306">
        <f t="shared" si="85"/>
      </c>
      <c r="F165" s="2306" t="s">
        <v>2157</v>
      </c>
      <c r="G165" s="2307" t="s">
        <v>2154</v>
      </c>
      <c r="H165" s="2306" t="s">
        <v>1971</v>
      </c>
      <c r="I165" s="2306" t="s">
        <v>2005</v>
      </c>
      <c r="J165" s="2399" t="s">
        <v>2155</v>
      </c>
      <c r="K165" s="2400"/>
      <c r="L165" s="2400"/>
      <c r="M165" s="2400"/>
      <c r="N165" s="2400"/>
      <c r="O165" s="2400"/>
      <c r="P165" s="2400"/>
      <c r="Q165" s="2401"/>
      <c r="R165" s="2401"/>
    </row>
    <row customHeight="true" ht="18.452380952380953" r="166">
      <c r="A166" s="2303" t="s">
        <v>2151</v>
      </c>
      <c r="B166" s="2304">
        <v>46277</v>
      </c>
      <c r="C166" s="2303" t="str">
        <v>Saturday</v>
      </c>
      <c r="D166" s="2305" t="s">
        <v>2156</v>
      </c>
      <c r="E166" s="2306">
        <f t="shared" si="85"/>
      </c>
      <c r="F166" s="2306" t="s">
        <v>2157</v>
      </c>
      <c r="G166" s="2307" t="s">
        <v>2154</v>
      </c>
      <c r="H166" s="2306" t="s">
        <v>1971</v>
      </c>
      <c r="I166" s="2306" t="s">
        <v>2005</v>
      </c>
      <c r="J166" s="2399" t="s">
        <v>2155</v>
      </c>
      <c r="K166" s="2400"/>
      <c r="L166" s="2400"/>
      <c r="M166" s="2400"/>
      <c r="N166" s="2400"/>
      <c r="O166" s="2400"/>
      <c r="P166" s="2400"/>
      <c r="Q166" s="2401"/>
      <c r="R166" s="2401"/>
    </row>
    <row customHeight="true" ht="18.452380952380953" r="167">
      <c r="A167" s="2303" t="s">
        <v>2151</v>
      </c>
      <c r="B167" s="2304">
        <v>46278</v>
      </c>
      <c r="C167" s="2303" t="str">
        <v>Sunday</v>
      </c>
      <c r="D167" s="2305" t="s">
        <v>2156</v>
      </c>
      <c r="E167" s="2306">
        <f t="shared" si="85"/>
      </c>
      <c r="F167" s="2306" t="s">
        <v>2157</v>
      </c>
      <c r="G167" s="2307" t="s">
        <v>2154</v>
      </c>
      <c r="H167" s="2306" t="s">
        <v>1971</v>
      </c>
      <c r="I167" s="2306" t="s">
        <v>2005</v>
      </c>
      <c r="J167" s="2399" t="s">
        <v>2155</v>
      </c>
      <c r="K167" s="2400"/>
      <c r="L167" s="2400"/>
      <c r="M167" s="2400"/>
      <c r="N167" s="2400"/>
      <c r="O167" s="2400"/>
      <c r="P167" s="2400"/>
      <c r="Q167" s="2401"/>
      <c r="R167" s="2401"/>
    </row>
    <row customHeight="true" ht="18.452380952380953" r="168">
      <c r="A168" s="2283"/>
      <c r="B168" s="2402"/>
      <c r="C168" s="2283"/>
      <c r="D168" s="2403"/>
      <c r="E168" s="2260"/>
      <c r="F168" s="2291"/>
      <c r="G168" s="2404"/>
      <c r="H168" s="2260"/>
      <c r="I168" s="2288"/>
      <c r="J168" s="2405"/>
      <c r="K168" s="2262"/>
      <c r="L168" s="2262"/>
      <c r="M168" s="2262"/>
      <c r="N168" s="2262"/>
      <c r="O168" s="2262"/>
      <c r="P168" s="2262"/>
    </row>
    <row customHeight="true" ht="18.452380952380953" r="169">
      <c r="A169" s="2283"/>
      <c r="B169" s="2402"/>
      <c r="C169" s="2283"/>
      <c r="D169" s="2403"/>
      <c r="E169" s="2260"/>
      <c r="F169" s="2291"/>
      <c r="G169" s="2404"/>
      <c r="H169" s="2260"/>
      <c r="I169" s="2288"/>
      <c r="J169" s="2405"/>
      <c r="K169" s="2262"/>
      <c r="L169" s="2262"/>
      <c r="M169" s="2262"/>
      <c r="N169" s="2262"/>
      <c r="O169" s="2262"/>
      <c r="P169" s="2262"/>
    </row>
    <row customHeight="true" ht="16.071428571428573" r="170">
      <c r="A170" s="2303" t="s">
        <v>2158</v>
      </c>
      <c r="B170" s="2398">
        <v>46273</v>
      </c>
      <c r="C170" s="2303" t="str">
        <v>Tuesday</v>
      </c>
      <c r="D170" s="2305" t="s">
        <v>2153</v>
      </c>
      <c r="E170" s="2306">
        <f t="shared" ref="E170:E173" si="86">24*MOD(TIMEVALUE(TRIM(MID(D170,FIND("-",D170)+1,LEN(D170)))) - TIMEVALUE(TRIM(LEFT(D170,FIND("-",D170)-1))),1)</f>
      </c>
      <c r="F170" s="2406" t="s">
        <v>2159</v>
      </c>
      <c r="G170" s="2320"/>
      <c r="H170" s="2306" t="s">
        <v>1971</v>
      </c>
      <c r="I170" s="2306" t="s">
        <v>2005</v>
      </c>
      <c r="J170" s="2399" t="s">
        <v>2155</v>
      </c>
      <c r="K170" s="2400"/>
      <c r="L170" s="2400"/>
      <c r="M170" s="2400"/>
      <c r="N170" s="2400"/>
      <c r="O170" s="2400"/>
      <c r="P170" s="2400"/>
      <c r="Q170" s="2407"/>
      <c r="R170" s="2407"/>
    </row>
    <row customHeight="true" ht="16.071428571428573" r="171">
      <c r="A171" s="2303" t="s">
        <v>2158</v>
      </c>
      <c r="B171" s="2304">
        <v>46276</v>
      </c>
      <c r="C171" s="2303" t="str">
        <v>Friday</v>
      </c>
      <c r="D171" s="2305" t="s">
        <v>2156</v>
      </c>
      <c r="E171" s="2306">
        <f t="shared" si="86"/>
      </c>
      <c r="F171" s="2406" t="s">
        <v>2159</v>
      </c>
      <c r="G171" s="2320"/>
      <c r="H171" s="2306" t="s">
        <v>1971</v>
      </c>
      <c r="I171" s="2306" t="s">
        <v>2005</v>
      </c>
      <c r="J171" s="2399" t="s">
        <v>2155</v>
      </c>
      <c r="K171" s="2400"/>
      <c r="L171" s="2400"/>
      <c r="M171" s="2400"/>
      <c r="N171" s="2400"/>
      <c r="O171" s="2400"/>
      <c r="P171" s="2400"/>
      <c r="Q171" s="2407"/>
      <c r="R171" s="2407"/>
    </row>
    <row customHeight="true" ht="16.071428571428573" r="172">
      <c r="A172" s="2303" t="s">
        <v>2158</v>
      </c>
      <c r="B172" s="2304">
        <v>46277</v>
      </c>
      <c r="C172" s="2303" t="str">
        <v>Saturday</v>
      </c>
      <c r="D172" s="2305" t="s">
        <v>2156</v>
      </c>
      <c r="E172" s="2306">
        <f t="shared" si="86"/>
      </c>
      <c r="F172" s="2406" t="s">
        <v>2159</v>
      </c>
      <c r="G172" s="2320"/>
      <c r="H172" s="2306" t="s">
        <v>1971</v>
      </c>
      <c r="I172" s="2306" t="s">
        <v>2005</v>
      </c>
      <c r="J172" s="2399" t="s">
        <v>2155</v>
      </c>
      <c r="K172" s="2400"/>
      <c r="L172" s="2400"/>
      <c r="M172" s="2400"/>
      <c r="N172" s="2400"/>
      <c r="O172" s="2400"/>
      <c r="P172" s="2400"/>
      <c r="Q172" s="2407"/>
      <c r="R172" s="2407"/>
    </row>
    <row customHeight="true" ht="16.071428571428573" r="173">
      <c r="A173" s="2303" t="s">
        <v>2158</v>
      </c>
      <c r="B173" s="2304">
        <v>46278</v>
      </c>
      <c r="C173" s="2303" t="str">
        <v>Sunday</v>
      </c>
      <c r="D173" s="2305" t="s">
        <v>2156</v>
      </c>
      <c r="E173" s="2306">
        <f t="shared" si="86"/>
      </c>
      <c r="F173" s="2406" t="s">
        <v>2159</v>
      </c>
      <c r="G173" s="2320"/>
      <c r="H173" s="2306" t="s">
        <v>1971</v>
      </c>
      <c r="I173" s="2306" t="s">
        <v>2005</v>
      </c>
      <c r="J173" s="2399" t="s">
        <v>2155</v>
      </c>
      <c r="K173" s="2400"/>
      <c r="L173" s="2400"/>
      <c r="M173" s="2400"/>
      <c r="N173" s="2400"/>
      <c r="O173" s="2400"/>
      <c r="P173" s="2400"/>
      <c r="Q173" s="2407"/>
      <c r="R173" s="2407"/>
    </row>
    <row customHeight="true" ht="16.071428571428573" r="174">
      <c r="A174" s="2283"/>
      <c r="B174" s="2402"/>
      <c r="C174" s="2283"/>
      <c r="D174" s="2403"/>
      <c r="E174" s="2260"/>
      <c r="F174" s="2291"/>
      <c r="G174" s="2408"/>
      <c r="H174" s="2260"/>
      <c r="I174" s="2288"/>
      <c r="J174" s="2409"/>
      <c r="K174" s="2262"/>
      <c r="L174" s="2262"/>
      <c r="M174" s="2262"/>
      <c r="N174" s="2262"/>
      <c r="O174" s="2262"/>
      <c r="P174" s="2262"/>
    </row>
    <row r="175">
      <c r="A175" s="2293"/>
      <c r="B175" s="2293"/>
      <c r="C175" s="2293"/>
      <c r="D175" s="2293"/>
      <c r="E175" s="2293"/>
      <c r="F175" s="2293"/>
      <c r="G175" s="2293"/>
      <c r="H175" s="2293"/>
      <c r="I175" s="2293"/>
      <c r="J175" s="2293"/>
      <c r="K175" s="2384"/>
      <c r="L175" s="2384"/>
      <c r="M175" s="2384"/>
      <c r="N175" s="2384"/>
      <c r="O175" s="2384"/>
      <c r="P175" s="2384"/>
    </row>
    <row r="176">
      <c r="A176" s="2410" t="s">
        <v>2160</v>
      </c>
      <c r="B176" s="2410"/>
      <c r="C176" s="2410"/>
      <c r="D176" s="2410"/>
      <c r="E176" s="2410"/>
      <c r="F176" s="2410"/>
      <c r="G176" s="2410"/>
      <c r="H176" s="2410" t="s">
        <v>2161</v>
      </c>
      <c r="I176" s="2410"/>
      <c r="J176" s="2411"/>
      <c r="K176" s="2296"/>
      <c r="L176" s="2296"/>
      <c r="M176" s="2296"/>
      <c r="N176" s="2296"/>
      <c r="O176" s="2296"/>
      <c r="P176" s="2296"/>
    </row>
    <row r="177">
      <c r="A177" s="2412" t="s">
        <v>1989</v>
      </c>
      <c r="B177" s="2413" t="s">
        <v>1990</v>
      </c>
      <c r="C177" s="2413"/>
      <c r="D177" s="2414" t="s">
        <v>1991</v>
      </c>
      <c r="E177" s="2415" t="s">
        <v>1992</v>
      </c>
      <c r="F177" s="2415" t="s">
        <v>1993</v>
      </c>
      <c r="G177" s="2416" t="s">
        <v>2012</v>
      </c>
      <c r="H177" s="2417" t="s">
        <v>1995</v>
      </c>
      <c r="I177" s="2417" t="s">
        <v>1996</v>
      </c>
      <c r="J177" s="2418" t="s">
        <v>1997</v>
      </c>
      <c r="K177" s="2282"/>
      <c r="L177" s="2282"/>
      <c r="M177" s="2282"/>
      <c r="N177" s="2282"/>
      <c r="O177" s="2282"/>
      <c r="P177" s="2282"/>
    </row>
    <row customHeight="true" ht="18.452380952380953" r="178">
      <c r="A178" s="2283" t="s">
        <v>2160</v>
      </c>
      <c r="B178" s="2255">
        <v>46272</v>
      </c>
      <c r="C178" s="2283" t="str">
        <v>Monday</v>
      </c>
      <c r="D178" s="2289" t="s">
        <v>2162</v>
      </c>
      <c r="E178" s="2260">
        <f t="shared" ref="E178:E181" si="87">24*MOD(TIMEVALUE(TRIM(MID(D178,FIND("-",D178)+1,LEN(D178)))) - TIMEVALUE(TRIM(LEFT(D178,FIND("-",D178)-1))),1)</f>
      </c>
      <c r="F178" s="2260" t="s">
        <v>2163</v>
      </c>
      <c r="G178" s="2404"/>
      <c r="H178" s="2260" t="s">
        <v>1971</v>
      </c>
      <c r="I178" s="2346" t="s">
        <v>1972</v>
      </c>
      <c r="J178" s="2405"/>
      <c r="K178" s="2262"/>
      <c r="L178" s="2262"/>
      <c r="M178" s="2262"/>
      <c r="N178" s="2262"/>
      <c r="O178" s="2262"/>
      <c r="P178" s="2262"/>
    </row>
    <row r="179">
      <c r="A179" s="2283" t="s">
        <v>2160</v>
      </c>
      <c r="B179" s="2419">
        <v>46273</v>
      </c>
      <c r="C179" s="2283" t="str">
        <v>Tuesday</v>
      </c>
      <c r="D179" s="2420" t="s">
        <v>2164</v>
      </c>
      <c r="E179" s="2260">
        <f t="shared" si="87"/>
      </c>
      <c r="F179" s="2260" t="s">
        <v>2165</v>
      </c>
      <c r="G179" s="2408"/>
      <c r="H179" s="2260" t="s">
        <v>1971</v>
      </c>
      <c r="I179" s="2288" t="s">
        <v>1972</v>
      </c>
      <c r="J179" s="2405"/>
      <c r="K179" s="2262"/>
      <c r="L179" s="2262"/>
      <c r="M179" s="2262"/>
      <c r="N179" s="2262"/>
      <c r="O179" s="2262"/>
      <c r="P179" s="2262"/>
    </row>
    <row customHeight="true" ht="18.452380952380953" r="180">
      <c r="A180" s="2283" t="s">
        <v>2160</v>
      </c>
      <c r="B180" s="2419">
        <v>46275</v>
      </c>
      <c r="C180" s="2283" t="str">
        <v>Thursday</v>
      </c>
      <c r="D180" s="2260" t="s">
        <v>2003</v>
      </c>
      <c r="E180" s="2260">
        <f t="shared" si="87"/>
      </c>
      <c r="F180" s="2260" t="s">
        <v>2165</v>
      </c>
      <c r="G180" s="2404"/>
      <c r="H180" s="2260" t="s">
        <v>1971</v>
      </c>
      <c r="I180" s="2288" t="s">
        <v>1972</v>
      </c>
      <c r="J180" s="2405"/>
      <c r="K180" s="2262"/>
      <c r="L180" s="2262"/>
      <c r="M180" s="2262"/>
      <c r="N180" s="2262"/>
      <c r="O180" s="2262"/>
      <c r="P180" s="2262"/>
    </row>
    <row customHeight="true" ht="18.452380952380953" r="181">
      <c r="A181" s="2283" t="s">
        <v>2160</v>
      </c>
      <c r="B181" s="2419">
        <v>46276</v>
      </c>
      <c r="C181" s="2283" t="str">
        <v>Friday</v>
      </c>
      <c r="D181" s="2260" t="s">
        <v>2003</v>
      </c>
      <c r="E181" s="2260">
        <f t="shared" si="87"/>
      </c>
      <c r="F181" s="2260" t="s">
        <v>2165</v>
      </c>
      <c r="G181" s="2404"/>
      <c r="H181" s="2260" t="s">
        <v>1971</v>
      </c>
      <c r="I181" s="2346" t="s">
        <v>1972</v>
      </c>
      <c r="J181" s="2405"/>
      <c r="K181" s="2262"/>
      <c r="L181" s="2262"/>
      <c r="M181" s="2262"/>
      <c r="N181" s="2262"/>
      <c r="O181" s="2262"/>
      <c r="P181" s="2262"/>
    </row>
    <row customHeight="true" ht="18.452380952380953" r="182">
      <c r="A182" s="2283"/>
      <c r="B182" s="2255"/>
      <c r="C182" s="2283"/>
      <c r="D182" s="2289"/>
      <c r="E182" s="2260"/>
      <c r="F182" s="2260"/>
      <c r="G182" s="2404"/>
      <c r="H182" s="2260"/>
      <c r="I182" s="2346"/>
      <c r="J182" s="2405"/>
      <c r="K182" s="2262"/>
      <c r="L182" s="2262"/>
      <c r="M182" s="2262"/>
      <c r="N182" s="2262"/>
      <c r="O182" s="2262"/>
      <c r="P182" s="2262"/>
    </row>
    <row r="183">
      <c r="A183" s="2283" t="s">
        <v>2160</v>
      </c>
      <c r="B183" s="2255">
        <v>46272</v>
      </c>
      <c r="C183" s="2283" t="str">
        <v>Monday</v>
      </c>
      <c r="D183" s="2289" t="s">
        <v>2166</v>
      </c>
      <c r="E183" s="2260">
        <f t="shared" ref="E183:E186" si="88">24*MOD(TIMEVALUE(TRIM(MID(D183,FIND("-",D183)+1,LEN(D183)))) - TIMEVALUE(TRIM(LEFT(D183,FIND("-",D183)-1))),1)</f>
      </c>
      <c r="F183" s="2260" t="s">
        <v>2133</v>
      </c>
      <c r="G183" s="2408"/>
      <c r="H183" s="2260" t="s">
        <v>1971</v>
      </c>
      <c r="I183" s="2288" t="s">
        <v>1972</v>
      </c>
      <c r="J183" s="2409" t="s">
        <v>2167</v>
      </c>
      <c r="K183" s="2262"/>
      <c r="L183" s="2262"/>
      <c r="M183" s="2262"/>
      <c r="N183" s="2262"/>
      <c r="O183" s="2262"/>
      <c r="P183" s="2262"/>
    </row>
    <row customHeight="true" ht="18.452380952380953" r="184">
      <c r="A184" s="2283" t="s">
        <v>2160</v>
      </c>
      <c r="B184" s="2419">
        <v>46273</v>
      </c>
      <c r="C184" s="2283" t="str">
        <v>Tuesday</v>
      </c>
      <c r="D184" s="2289" t="s">
        <v>2166</v>
      </c>
      <c r="E184" s="2260">
        <f t="shared" si="88"/>
      </c>
      <c r="F184" s="2260" t="s">
        <v>2168</v>
      </c>
      <c r="G184" s="2404"/>
      <c r="H184" s="2260" t="s">
        <v>1971</v>
      </c>
      <c r="I184" s="2288" t="s">
        <v>1972</v>
      </c>
      <c r="J184" s="2409" t="s">
        <v>2169</v>
      </c>
      <c r="K184" s="2262"/>
      <c r="L184" s="2262"/>
      <c r="M184" s="2262"/>
      <c r="N184" s="2262"/>
      <c r="O184" s="2262"/>
      <c r="P184" s="2262"/>
    </row>
    <row customHeight="true" ht="18.452380952380953" r="185">
      <c r="A185" s="2283" t="s">
        <v>2160</v>
      </c>
      <c r="B185" s="2419">
        <v>46275</v>
      </c>
      <c r="C185" s="2283" t="str">
        <v>Thursday</v>
      </c>
      <c r="D185" s="2289" t="s">
        <v>2166</v>
      </c>
      <c r="E185" s="2260">
        <f t="shared" si="88"/>
      </c>
      <c r="F185" s="2260" t="s">
        <v>2168</v>
      </c>
      <c r="G185" s="2408"/>
      <c r="H185" s="2260" t="s">
        <v>1971</v>
      </c>
      <c r="I185" s="2288" t="s">
        <v>1972</v>
      </c>
      <c r="J185" s="2409" t="s">
        <v>2169</v>
      </c>
      <c r="K185" s="2262"/>
      <c r="L185" s="2262"/>
      <c r="M185" s="2337" t="s">
        <v>2096</v>
      </c>
      <c r="N185" s="2262"/>
      <c r="O185" s="2262"/>
      <c r="P185" s="2262"/>
    </row>
    <row customHeight="true" ht="18.452380952380953" r="186">
      <c r="A186" s="2283" t="s">
        <v>2160</v>
      </c>
      <c r="B186" s="2419">
        <v>46276</v>
      </c>
      <c r="C186" s="2283" t="str">
        <v>Friday</v>
      </c>
      <c r="D186" s="2289" t="s">
        <v>2166</v>
      </c>
      <c r="E186" s="2260">
        <f t="shared" si="88"/>
      </c>
      <c r="F186" s="2260" t="s">
        <v>2168</v>
      </c>
      <c r="G186" s="2408"/>
      <c r="H186" s="2260" t="s">
        <v>1971</v>
      </c>
      <c r="I186" s="2288" t="s">
        <v>1972</v>
      </c>
      <c r="J186" s="2409" t="s">
        <v>2169</v>
      </c>
      <c r="K186" s="2262"/>
      <c r="L186" s="2262"/>
      <c r="M186" s="2262"/>
      <c r="N186" s="2262"/>
      <c r="O186" s="2262"/>
      <c r="P186" s="2262"/>
    </row>
    <row customHeight="true" ht="25" r="187">
      <c r="A187" s="2421"/>
      <c r="B187" s="2421"/>
      <c r="C187" s="2421"/>
      <c r="D187" s="2421"/>
      <c r="E187" s="2421"/>
      <c r="F187" s="2421"/>
      <c r="G187" s="2421"/>
      <c r="H187" s="2421"/>
      <c r="I187" s="2421"/>
      <c r="J187" s="2422"/>
      <c r="K187" s="2296"/>
      <c r="L187" s="2296"/>
      <c r="M187" s="2296"/>
      <c r="N187" s="2296"/>
      <c r="O187" s="2296"/>
      <c r="P187" s="2296"/>
      <c r="Q187" s="2319"/>
      <c r="R187" s="2319"/>
    </row>
    <row r="188">
      <c r="A188" s="2423" t="s">
        <v>2170</v>
      </c>
      <c r="B188" s="2423"/>
      <c r="C188" s="2423"/>
      <c r="D188" s="2423"/>
      <c r="E188" s="2423"/>
      <c r="F188" s="2423"/>
      <c r="G188" s="2423"/>
      <c r="H188" s="2423"/>
      <c r="I188" s="2423"/>
      <c r="J188" s="2424"/>
      <c r="K188" s="2296"/>
      <c r="L188" s="2296"/>
      <c r="M188" s="2296"/>
      <c r="N188" s="2296"/>
      <c r="O188" s="2296"/>
      <c r="P188" s="2296"/>
    </row>
    <row r="189">
      <c r="A189" s="2425" t="s">
        <v>1989</v>
      </c>
      <c r="B189" s="2426" t="s">
        <v>1990</v>
      </c>
      <c r="C189" s="2426"/>
      <c r="D189" s="2427" t="s">
        <v>1991</v>
      </c>
      <c r="E189" s="2428" t="s">
        <v>1992</v>
      </c>
      <c r="F189" s="2428" t="s">
        <v>1993</v>
      </c>
      <c r="G189" s="2429" t="s">
        <v>2171</v>
      </c>
      <c r="H189" s="2430" t="s">
        <v>1995</v>
      </c>
      <c r="I189" s="2430" t="s">
        <v>1996</v>
      </c>
      <c r="J189" s="2431" t="s">
        <v>1997</v>
      </c>
      <c r="K189" s="2282"/>
      <c r="L189" s="2282"/>
      <c r="M189" s="2282"/>
      <c r="N189" s="2282"/>
      <c r="O189" s="2282"/>
      <c r="P189" s="2282"/>
    </row>
    <row customHeight="true" ht="17.857142857142858" r="190">
      <c r="A190" s="2432" t="s">
        <v>2170</v>
      </c>
      <c r="B190" s="2402">
        <v>46273</v>
      </c>
      <c r="C190" s="2432" t="str">
        <v>Tuesday</v>
      </c>
      <c r="D190" s="2256" t="s">
        <v>2172</v>
      </c>
      <c r="E190" s="2403">
        <v>2</v>
      </c>
      <c r="F190" s="2433" t="s">
        <v>2173</v>
      </c>
      <c r="G190" s="2434" t="s">
        <v>2174</v>
      </c>
      <c r="H190" s="2260" t="s">
        <v>1971</v>
      </c>
      <c r="I190" s="2288" t="s">
        <v>1972</v>
      </c>
      <c r="J190" s="2435"/>
      <c r="K190" s="2262"/>
      <c r="L190" s="2262"/>
      <c r="M190" s="2262"/>
      <c r="N190" s="2262"/>
      <c r="O190" s="2262"/>
      <c r="P190" s="2262"/>
      <c r="Q190" s="2319"/>
      <c r="R190" s="2319"/>
    </row>
    <row customHeight="true" ht="18.105158730161076" r="191">
      <c r="A191" s="2283" t="s">
        <v>2170</v>
      </c>
      <c r="B191" s="2255">
        <v>46274</v>
      </c>
      <c r="C191" s="2283" t="str">
        <v>Wednesday</v>
      </c>
      <c r="D191" s="2256" t="s">
        <v>2049</v>
      </c>
      <c r="E191" s="2403">
        <v>2</v>
      </c>
      <c r="F191" s="2436" t="s">
        <v>2175</v>
      </c>
      <c r="G191" s="2408" t="s">
        <v>2174</v>
      </c>
      <c r="H191" s="2260" t="s">
        <v>1971</v>
      </c>
      <c r="I191" s="2288" t="s">
        <v>1972</v>
      </c>
      <c r="J191" s="2405"/>
      <c r="K191" s="2262"/>
      <c r="L191" s="2262"/>
      <c r="M191" s="2262"/>
      <c r="N191" s="2262"/>
      <c r="O191" s="2262"/>
      <c r="P191" s="2262"/>
    </row>
    <row r="192">
      <c r="A192" s="2283" t="s">
        <v>2170</v>
      </c>
      <c r="B192" s="2255">
        <v>46275</v>
      </c>
      <c r="C192" s="2283" t="str">
        <v>Thursday</v>
      </c>
      <c r="D192" s="2256" t="s">
        <v>2176</v>
      </c>
      <c r="E192" s="2256">
        <v>2</v>
      </c>
      <c r="F192" s="2436" t="s">
        <v>2004</v>
      </c>
      <c r="G192" s="2408" t="s">
        <v>2174</v>
      </c>
      <c r="H192" s="2260" t="s">
        <v>1971</v>
      </c>
      <c r="I192" s="2288" t="s">
        <v>1972</v>
      </c>
      <c r="J192" s="2405"/>
      <c r="K192" s="2262"/>
      <c r="L192" s="2262"/>
      <c r="M192" s="2262"/>
      <c r="N192" s="2262"/>
      <c r="O192" s="2262"/>
      <c r="P192" s="2262"/>
    </row>
    <row customHeight="true" ht="18.452380952380953" r="193">
      <c r="A193" s="2303" t="s">
        <v>2170</v>
      </c>
      <c r="B193" s="2304">
        <v>46276</v>
      </c>
      <c r="C193" s="2303" t="str">
        <v>Friday</v>
      </c>
      <c r="D193" s="2305" t="s">
        <v>2049</v>
      </c>
      <c r="E193" s="2305">
        <v>2</v>
      </c>
      <c r="F193" s="2437" t="s">
        <v>2173</v>
      </c>
      <c r="G193" s="2307" t="s">
        <v>2174</v>
      </c>
      <c r="H193" s="2306" t="s">
        <v>1971</v>
      </c>
      <c r="I193" s="2306" t="s">
        <v>1972</v>
      </c>
      <c r="J193" s="2435" t="s">
        <v>2177</v>
      </c>
      <c r="K193" s="2400"/>
      <c r="L193" s="2400"/>
      <c r="M193" s="2400"/>
      <c r="N193" s="2400"/>
      <c r="O193" s="2400"/>
      <c r="P193" s="2400"/>
      <c r="Q193" s="2407"/>
      <c r="R193" s="2407"/>
    </row>
    <row customHeight="true" ht="18.452380952380953" r="194">
      <c r="A194" s="2303" t="s">
        <v>2170</v>
      </c>
      <c r="B194" s="2304">
        <v>46277</v>
      </c>
      <c r="C194" s="2303" t="str">
        <v>Saturday</v>
      </c>
      <c r="D194" s="2305" t="s">
        <v>2176</v>
      </c>
      <c r="E194" s="2305">
        <v>2</v>
      </c>
      <c r="F194" s="2438" t="s">
        <v>2004</v>
      </c>
      <c r="G194" s="2307" t="s">
        <v>2174</v>
      </c>
      <c r="H194" s="2306" t="s">
        <v>1971</v>
      </c>
      <c r="I194" s="2306" t="s">
        <v>1972</v>
      </c>
      <c r="J194" s="2399" t="s">
        <v>2178</v>
      </c>
      <c r="K194" s="2400"/>
      <c r="L194" s="2400"/>
      <c r="M194" s="2400"/>
      <c r="N194" s="2400"/>
      <c r="O194" s="2400"/>
      <c r="P194" s="2400"/>
      <c r="Q194" s="2407"/>
      <c r="R194" s="2407"/>
    </row>
    <row customHeight="true" ht="18.452380952380953" r="195">
      <c r="A195" s="2303" t="s">
        <v>2170</v>
      </c>
      <c r="B195" s="2304">
        <v>46278</v>
      </c>
      <c r="C195" s="2303" t="str">
        <v>Sunday</v>
      </c>
      <c r="D195" s="2305" t="s">
        <v>2176</v>
      </c>
      <c r="E195" s="2305">
        <v>2</v>
      </c>
      <c r="F195" s="2437" t="s">
        <v>2173</v>
      </c>
      <c r="G195" s="2307" t="s">
        <v>2174</v>
      </c>
      <c r="H195" s="2306" t="s">
        <v>1971</v>
      </c>
      <c r="I195" s="2306" t="s">
        <v>1972</v>
      </c>
      <c r="J195" s="2399" t="s">
        <v>2179</v>
      </c>
      <c r="K195" s="2400"/>
      <c r="L195" s="2400"/>
      <c r="M195" s="2400"/>
      <c r="N195" s="2400"/>
      <c r="O195" s="2400"/>
      <c r="P195" s="2400"/>
      <c r="Q195" s="2407"/>
      <c r="R195" s="2407"/>
    </row>
    <row customHeight="true" ht="18.452380952380953" r="196">
      <c r="A196" s="2432"/>
      <c r="B196" s="2402"/>
      <c r="C196" s="2432"/>
      <c r="D196" s="2403"/>
      <c r="E196" s="2403"/>
      <c r="F196" s="2436"/>
      <c r="G196" s="2434"/>
      <c r="H196" s="2260"/>
      <c r="I196" s="2288"/>
      <c r="J196" s="2435"/>
      <c r="K196" s="2262"/>
      <c r="L196" s="2262"/>
      <c r="M196" s="2262"/>
      <c r="N196" s="2262"/>
      <c r="O196" s="2262"/>
      <c r="P196" s="2262"/>
      <c r="Q196" s="2319"/>
      <c r="R196" s="2319"/>
    </row>
    <row customHeight="true" ht="18.452380952380953" r="197">
      <c r="A197" s="2432" t="s">
        <v>2180</v>
      </c>
      <c r="B197" s="2402">
        <v>46272</v>
      </c>
      <c r="C197" s="2432" t="str">
        <v>Monday</v>
      </c>
      <c r="D197" s="2256" t="s">
        <v>2181</v>
      </c>
      <c r="E197" s="2403">
        <v>1</v>
      </c>
      <c r="F197" s="2434" t="s">
        <v>2182</v>
      </c>
      <c r="G197" s="2434" t="s">
        <v>2183</v>
      </c>
      <c r="H197" s="2260" t="s">
        <v>1971</v>
      </c>
      <c r="I197" s="2288" t="s">
        <v>1972</v>
      </c>
      <c r="J197" s="2435"/>
      <c r="K197" s="2262"/>
      <c r="L197" s="2262"/>
      <c r="M197" s="2262"/>
      <c r="N197" s="2262"/>
      <c r="O197" s="2262"/>
      <c r="P197" s="2262"/>
      <c r="Q197" s="2319"/>
      <c r="R197" s="2319"/>
    </row>
    <row customHeight="true" ht="18.452380952380953" r="198">
      <c r="A198" s="2432" t="s">
        <v>2180</v>
      </c>
      <c r="B198" s="2402">
        <v>46272</v>
      </c>
      <c r="C198" s="2432" t="str">
        <v>Monday</v>
      </c>
      <c r="D198" s="2439" t="s">
        <v>2049</v>
      </c>
      <c r="E198" s="2403">
        <v>2</v>
      </c>
      <c r="F198" s="2436" t="s">
        <v>2184</v>
      </c>
      <c r="G198" s="2434" t="s">
        <v>2174</v>
      </c>
      <c r="H198" s="2260" t="s">
        <v>1971</v>
      </c>
      <c r="I198" s="2288" t="s">
        <v>1972</v>
      </c>
      <c r="J198" s="2435"/>
      <c r="K198" s="2262"/>
      <c r="L198" s="2262"/>
      <c r="M198" s="2262"/>
      <c r="N198" s="2262"/>
      <c r="O198" s="2262"/>
      <c r="P198" s="2262"/>
      <c r="Q198" s="2319"/>
      <c r="R198" s="2319"/>
    </row>
    <row customHeight="true" ht="18.452380952380953" r="199">
      <c r="A199" s="2303" t="s">
        <v>2180</v>
      </c>
      <c r="B199" s="2304">
        <v>46277</v>
      </c>
      <c r="C199" s="2303" t="str">
        <v>Saturday</v>
      </c>
      <c r="D199" s="2305" t="s">
        <v>2185</v>
      </c>
      <c r="E199" s="2305">
        <v>0.5</v>
      </c>
      <c r="F199" s="2438" t="s">
        <v>2004</v>
      </c>
      <c r="G199" s="2307" t="s">
        <v>2186</v>
      </c>
      <c r="H199" s="2306" t="s">
        <v>1971</v>
      </c>
      <c r="I199" s="2306" t="s">
        <v>1972</v>
      </c>
      <c r="J199" s="2399" t="s">
        <v>2178</v>
      </c>
      <c r="K199" s="2400"/>
      <c r="L199" s="2400"/>
      <c r="M199" s="2400"/>
      <c r="N199" s="2400"/>
      <c r="O199" s="2400"/>
      <c r="P199" s="2400"/>
      <c r="Q199" s="2407"/>
      <c r="R199" s="2407"/>
    </row>
    <row customHeight="true" ht="18.452380952380953" r="200">
      <c r="A200" s="2432"/>
      <c r="B200" s="2402"/>
      <c r="C200" s="2432"/>
      <c r="D200" s="2439"/>
      <c r="E200" s="2403"/>
      <c r="F200" s="2436"/>
      <c r="G200" s="2434"/>
      <c r="H200" s="2260"/>
      <c r="I200" s="2288"/>
      <c r="J200" s="2435"/>
      <c r="K200" s="2262"/>
      <c r="L200" s="2262"/>
      <c r="M200" s="2262"/>
      <c r="N200" s="2262"/>
      <c r="O200" s="2262"/>
      <c r="P200" s="2262"/>
      <c r="Q200" s="2319"/>
      <c r="R200" s="2319"/>
    </row>
    <row customHeight="true" ht="18.452380952380953" r="201">
      <c r="A201" s="2283" t="s">
        <v>2187</v>
      </c>
      <c r="B201" s="2402">
        <v>46273</v>
      </c>
      <c r="C201" s="2432" t="str">
        <v>Tuesday</v>
      </c>
      <c r="D201" s="2256" t="s">
        <v>2172</v>
      </c>
      <c r="E201" s="2256">
        <v>2</v>
      </c>
      <c r="F201" s="2408" t="s">
        <v>2188</v>
      </c>
      <c r="G201" s="2434" t="s">
        <v>2189</v>
      </c>
      <c r="H201" s="2260"/>
      <c r="I201" s="2288"/>
      <c r="J201" s="2405"/>
      <c r="K201" s="2262"/>
      <c r="L201" s="2262"/>
      <c r="M201" s="2262"/>
      <c r="N201" s="2262"/>
      <c r="O201" s="2262"/>
      <c r="P201" s="2262"/>
    </row>
    <row customHeight="true" ht="18.452380952380953" r="202">
      <c r="A202" s="2283" t="s">
        <v>2187</v>
      </c>
      <c r="B202" s="2255">
        <v>46274</v>
      </c>
      <c r="C202" s="2283" t="str">
        <v>Wednesday</v>
      </c>
      <c r="D202" s="2256" t="s">
        <v>2049</v>
      </c>
      <c r="E202" s="2256">
        <v>2</v>
      </c>
      <c r="F202" s="2408" t="s">
        <v>2190</v>
      </c>
      <c r="G202" s="2408"/>
      <c r="H202" s="2260" t="s">
        <v>1971</v>
      </c>
      <c r="I202" s="2288" t="s">
        <v>1972</v>
      </c>
      <c r="J202" s="2405"/>
      <c r="K202" s="2262"/>
      <c r="L202" s="2262"/>
      <c r="M202" s="2262"/>
      <c r="N202" s="2262"/>
      <c r="O202" s="2262"/>
      <c r="P202" s="2262"/>
    </row>
    <row customHeight="true" ht="18.452380952380953" r="203">
      <c r="A203" s="2283" t="s">
        <v>2187</v>
      </c>
      <c r="B203" s="2255">
        <v>46275</v>
      </c>
      <c r="C203" s="2283" t="str">
        <v>Thursday</v>
      </c>
      <c r="D203" s="2256" t="s">
        <v>2176</v>
      </c>
      <c r="E203" s="2256">
        <v>2</v>
      </c>
      <c r="F203" s="2408" t="s">
        <v>2191</v>
      </c>
      <c r="G203" s="2408"/>
      <c r="H203" s="2260" t="s">
        <v>1971</v>
      </c>
      <c r="I203" s="2288" t="s">
        <v>1972</v>
      </c>
      <c r="J203" s="2405"/>
      <c r="K203" s="2262"/>
      <c r="L203" s="2262"/>
      <c r="M203" s="2262"/>
      <c r="N203" s="2262"/>
      <c r="O203" s="2262"/>
      <c r="P203" s="2262"/>
    </row>
    <row customHeight="true" ht="18.452380952380953" r="204">
      <c r="A204" s="2432" t="s">
        <v>2187</v>
      </c>
      <c r="B204" s="2402">
        <v>46276</v>
      </c>
      <c r="C204" s="2432" t="str">
        <v>Friday</v>
      </c>
      <c r="D204" s="2403" t="s">
        <v>2192</v>
      </c>
      <c r="E204" s="2403">
        <v>2.5</v>
      </c>
      <c r="F204" s="2349" t="s">
        <v>2168</v>
      </c>
      <c r="G204" s="2434"/>
      <c r="H204" s="2349" t="s">
        <v>1971</v>
      </c>
      <c r="I204" s="2349" t="s">
        <v>1972</v>
      </c>
      <c r="J204" s="2435" t="s">
        <v>2193</v>
      </c>
      <c r="K204" s="2262"/>
      <c r="L204" s="2262"/>
      <c r="M204" s="2262"/>
      <c r="N204" s="2262"/>
      <c r="O204" s="2262"/>
      <c r="P204" s="2262"/>
      <c r="Q204" s="2319"/>
      <c r="R204" s="2319"/>
    </row>
    <row customHeight="true" ht="18.452380952380953" r="205">
      <c r="A205" s="2283" t="s">
        <v>2187</v>
      </c>
      <c r="B205" s="2255">
        <v>46277</v>
      </c>
      <c r="C205" s="2283" t="str">
        <v>Saturday</v>
      </c>
      <c r="D205" s="2403" t="s">
        <v>2176</v>
      </c>
      <c r="E205" s="2256">
        <v>2</v>
      </c>
      <c r="F205" s="2408" t="s">
        <v>2194</v>
      </c>
      <c r="G205" s="2408"/>
      <c r="H205" s="2260" t="s">
        <v>1971</v>
      </c>
      <c r="I205" s="2288" t="s">
        <v>2005</v>
      </c>
      <c r="J205" s="2405"/>
      <c r="K205" s="2262"/>
      <c r="L205" s="2262"/>
      <c r="M205" s="2262"/>
      <c r="N205" s="2262"/>
      <c r="O205" s="2262"/>
      <c r="P205" s="2262"/>
    </row>
    <row customHeight="true" ht="18.452380952380953" r="206">
      <c r="A206" s="2303" t="s">
        <v>2187</v>
      </c>
      <c r="B206" s="2304">
        <v>46278</v>
      </c>
      <c r="C206" s="2303" t="str">
        <v>Sunday</v>
      </c>
      <c r="D206" s="2305" t="s">
        <v>2049</v>
      </c>
      <c r="E206" s="2305">
        <v>2</v>
      </c>
      <c r="F206" s="2306" t="s">
        <v>2133</v>
      </c>
      <c r="G206" s="2307"/>
      <c r="H206" s="2306" t="s">
        <v>1971</v>
      </c>
      <c r="I206" s="2306" t="s">
        <v>1972</v>
      </c>
      <c r="J206" s="2399" t="s">
        <v>2195</v>
      </c>
      <c r="K206" s="2400"/>
      <c r="L206" s="2400"/>
      <c r="M206" s="2400"/>
      <c r="N206" s="2400"/>
      <c r="O206" s="2400"/>
      <c r="P206" s="2400"/>
      <c r="Q206" s="2407"/>
      <c r="R206" s="2407"/>
    </row>
    <row customHeight="true" ht="18.452380952380953" r="207">
      <c r="A207" s="2283"/>
      <c r="B207" s="2255"/>
      <c r="C207" s="2283"/>
      <c r="D207" s="2256"/>
      <c r="E207" s="2256"/>
      <c r="F207" s="2408"/>
      <c r="G207" s="2408"/>
      <c r="H207" s="2260"/>
      <c r="I207" s="2288"/>
      <c r="J207" s="2405"/>
      <c r="K207" s="2262"/>
      <c r="L207" s="2262"/>
      <c r="M207" s="2262"/>
      <c r="N207" s="2262"/>
      <c r="O207" s="2262"/>
      <c r="P207" s="2262"/>
    </row>
    <row r="208">
      <c r="A208" s="2440" t="s">
        <v>2196</v>
      </c>
      <c r="B208" s="2440"/>
      <c r="C208" s="2440"/>
      <c r="D208" s="2440"/>
      <c r="E208" s="2441"/>
      <c r="F208" s="2440"/>
      <c r="G208" s="2441"/>
      <c r="H208" s="2440"/>
      <c r="I208" s="2440"/>
      <c r="J208" s="2442"/>
      <c r="K208" s="2296"/>
      <c r="L208" s="2296"/>
      <c r="M208" s="2296"/>
      <c r="N208" s="2296"/>
      <c r="O208" s="2296"/>
      <c r="P208" s="2296"/>
    </row>
    <row r="209">
      <c r="A209" s="2443" t="s">
        <v>1989</v>
      </c>
      <c r="B209" s="2444" t="s">
        <v>1990</v>
      </c>
      <c r="C209" s="2444"/>
      <c r="D209" s="2445" t="s">
        <v>1991</v>
      </c>
      <c r="E209" s="2446" t="s">
        <v>1992</v>
      </c>
      <c r="F209" s="2446" t="s">
        <v>1993</v>
      </c>
      <c r="G209" s="2447" t="s">
        <v>2012</v>
      </c>
      <c r="H209" s="2448" t="s">
        <v>1995</v>
      </c>
      <c r="I209" s="2448" t="s">
        <v>1996</v>
      </c>
      <c r="J209" s="2449" t="s">
        <v>1997</v>
      </c>
      <c r="K209" s="2282"/>
      <c r="L209" s="2282"/>
      <c r="M209" s="2282"/>
      <c r="N209" s="2282"/>
      <c r="O209" s="2282"/>
      <c r="P209" s="2282"/>
    </row>
    <row r="210">
      <c r="A210" s="2283" t="s">
        <v>2197</v>
      </c>
      <c r="B210" s="2419">
        <v>46272</v>
      </c>
      <c r="C210" s="2283" t="str">
        <v>Monday</v>
      </c>
      <c r="D210" s="2450" t="s">
        <v>2198</v>
      </c>
      <c r="E210" s="2289">
        <v>1</v>
      </c>
      <c r="F210" s="2287" t="s">
        <v>2126</v>
      </c>
      <c r="G210" s="2408" t="s">
        <v>2199</v>
      </c>
      <c r="H210" s="2349" t="s">
        <v>1971</v>
      </c>
      <c r="I210" s="2288" t="s">
        <v>1972</v>
      </c>
      <c r="J210" s="2405"/>
      <c r="K210" s="2262"/>
      <c r="L210" s="2262"/>
      <c r="M210" s="2262"/>
      <c r="N210" s="2262"/>
      <c r="O210" s="2262"/>
      <c r="P210" s="2262"/>
    </row>
    <row customHeight="true" ht="18.452380952380953" r="211">
      <c r="A211" s="2283" t="s">
        <v>2200</v>
      </c>
      <c r="B211" s="2419">
        <v>46272</v>
      </c>
      <c r="C211" s="2283" t="str">
        <v>Monday</v>
      </c>
      <c r="D211" s="2450" t="s">
        <v>2201</v>
      </c>
      <c r="E211" s="2289">
        <v>3</v>
      </c>
      <c r="F211" s="2287" t="s">
        <v>2126</v>
      </c>
      <c r="G211" s="2404" t="s">
        <v>2199</v>
      </c>
      <c r="H211" s="2349" t="s">
        <v>1971</v>
      </c>
      <c r="I211" s="2288" t="s">
        <v>1972</v>
      </c>
      <c r="J211" s="2405"/>
      <c r="K211" s="2262"/>
      <c r="L211" s="2262"/>
      <c r="M211" s="2262"/>
      <c r="N211" s="2262"/>
      <c r="O211" s="2262"/>
      <c r="P211" s="2262"/>
    </row>
    <row customHeight="true" ht="16.071428571428573" r="212">
      <c r="A212" s="2283" t="s">
        <v>2197</v>
      </c>
      <c r="B212" s="2419">
        <v>46275</v>
      </c>
      <c r="C212" s="2283" t="str">
        <v>Thursday</v>
      </c>
      <c r="D212" s="2450" t="s">
        <v>2202</v>
      </c>
      <c r="E212" s="2289">
        <v>0.5</v>
      </c>
      <c r="F212" s="2287" t="s">
        <v>2126</v>
      </c>
      <c r="G212" s="2408" t="s">
        <v>2203</v>
      </c>
      <c r="H212" s="2349" t="s">
        <v>1971</v>
      </c>
      <c r="I212" s="2288" t="s">
        <v>1972</v>
      </c>
      <c r="J212" s="2409" t="s">
        <v>2204</v>
      </c>
      <c r="K212" s="2262"/>
      <c r="L212" s="2262"/>
      <c r="M212" s="2262"/>
      <c r="N212" s="2262"/>
      <c r="O212" s="2262"/>
      <c r="P212" s="2262"/>
    </row>
    <row customHeight="true" ht="16.071428571428573" r="213">
      <c r="A213" s="2283" t="s">
        <v>2200</v>
      </c>
      <c r="B213" s="2419">
        <v>46275</v>
      </c>
      <c r="C213" s="2283" t="str">
        <v>Thursday</v>
      </c>
      <c r="D213" s="2450" t="s">
        <v>2023</v>
      </c>
      <c r="E213" s="2289">
        <v>1</v>
      </c>
      <c r="F213" s="2287" t="s">
        <v>2126</v>
      </c>
      <c r="G213" s="2404" t="s">
        <v>2199</v>
      </c>
      <c r="H213" s="2349" t="s">
        <v>1971</v>
      </c>
      <c r="I213" s="2288" t="s">
        <v>1972</v>
      </c>
      <c r="J213" s="2409" t="s">
        <v>2204</v>
      </c>
      <c r="K213" s="2262"/>
      <c r="L213" s="2262"/>
      <c r="M213" s="2262"/>
      <c r="N213" s="2262"/>
      <c r="O213" s="2262"/>
      <c r="P213" s="2262"/>
    </row>
    <row customHeight="true" ht="16.071428571428573" r="214">
      <c r="A214" s="2283"/>
      <c r="B214" s="2419"/>
      <c r="C214" s="2283"/>
      <c r="D214" s="2450"/>
      <c r="E214" s="2289"/>
      <c r="F214" s="2287"/>
      <c r="G214" s="2404"/>
      <c r="H214" s="2349"/>
      <c r="I214" s="2288"/>
      <c r="J214" s="2409"/>
      <c r="K214" s="2262"/>
      <c r="L214" s="2262"/>
      <c r="M214" s="2262"/>
      <c r="N214" s="2262"/>
      <c r="O214" s="2262"/>
      <c r="P214" s="2262"/>
    </row>
    <row customHeight="true" ht="16.071428571428573" r="215">
      <c r="A215" s="2451" t="s">
        <v>2205</v>
      </c>
      <c r="B215" s="2452"/>
      <c r="C215" s="2452"/>
      <c r="D215" s="2452"/>
      <c r="E215" s="2452"/>
      <c r="F215" s="2452"/>
      <c r="G215" s="2452"/>
      <c r="H215" s="2453"/>
      <c r="I215" s="2452"/>
      <c r="J215" s="2452"/>
      <c r="K215" s="2384"/>
      <c r="L215" s="2384"/>
      <c r="M215" s="2384"/>
      <c r="N215" s="2384"/>
      <c r="O215" s="2384"/>
      <c r="P215" s="2384"/>
    </row>
    <row customHeight="true" ht="65.32578205231651" r="216">
      <c r="A216" s="2454" t="s">
        <v>1989</v>
      </c>
      <c r="B216" s="2455" t="s">
        <v>1990</v>
      </c>
      <c r="C216" s="2455"/>
      <c r="D216" s="2456" t="s">
        <v>1991</v>
      </c>
      <c r="E216" s="2457" t="s">
        <v>1992</v>
      </c>
      <c r="F216" s="2457" t="s">
        <v>1993</v>
      </c>
      <c r="G216" s="2458" t="s">
        <v>2012</v>
      </c>
      <c r="H216" s="2457" t="s">
        <v>1995</v>
      </c>
      <c r="I216" s="2457" t="s">
        <v>1996</v>
      </c>
      <c r="J216" s="2459" t="s">
        <v>1997</v>
      </c>
      <c r="K216" s="2282"/>
      <c r="L216" s="2282"/>
      <c r="M216" s="2282"/>
      <c r="N216" s="2282"/>
      <c r="O216" s="2282"/>
      <c r="P216" s="2282"/>
    </row>
    <row customHeight="true" ht="16.071428571428573" r="217">
      <c r="A217" s="2432" t="s">
        <v>2206</v>
      </c>
      <c r="B217" s="2255">
        <v>46274</v>
      </c>
      <c r="C217" s="2283" t="str">
        <v>Wednesday</v>
      </c>
      <c r="D217" s="2289" t="s">
        <v>2128</v>
      </c>
      <c r="E217" s="2260">
        <f t="shared" ref="E217:E221" si="89">24*MOD(TIMEVALUE(TRIM(MID(D217,FIND("-",D217)+1,LEN(D217)))) - TIMEVALUE(TRIM(LEFT(D217,FIND("-",D217)-1))),1)</f>
      </c>
      <c r="F217" s="2284" t="s">
        <v>2082</v>
      </c>
      <c r="G217" s="2260" t="s">
        <v>2168</v>
      </c>
      <c r="H217" s="2349" t="s">
        <v>1971</v>
      </c>
      <c r="I217" s="2346" t="s">
        <v>1972</v>
      </c>
      <c r="J217" s="2256" t="s">
        <v>2207</v>
      </c>
      <c r="K217" s="2460"/>
      <c r="L217" s="2460"/>
      <c r="M217" s="2460"/>
      <c r="N217" s="2460"/>
      <c r="O217" s="2460"/>
      <c r="P217" s="2460"/>
      <c r="Q217" s="2460"/>
      <c r="R217" s="2460"/>
    </row>
    <row customHeight="true" ht="16.071428571428573" r="218">
      <c r="A218" s="2303" t="s">
        <v>2206</v>
      </c>
      <c r="B218" s="2304">
        <v>46277</v>
      </c>
      <c r="C218" s="2303" t="str">
        <v>Saturday</v>
      </c>
      <c r="D218" s="2305" t="s">
        <v>2049</v>
      </c>
      <c r="E218" s="2306">
        <f t="shared" si="89"/>
      </c>
      <c r="F218" s="2461" t="s">
        <v>2004</v>
      </c>
      <c r="G218" s="2306" t="s">
        <v>2168</v>
      </c>
      <c r="H218" s="2306" t="s">
        <v>1971</v>
      </c>
      <c r="I218" s="2306" t="s">
        <v>1972</v>
      </c>
      <c r="J218" s="2399" t="s">
        <v>2178</v>
      </c>
      <c r="K218" s="2400"/>
      <c r="L218" s="2400"/>
      <c r="M218" s="2400"/>
      <c r="N218" s="2400"/>
      <c r="O218" s="2400"/>
      <c r="P218" s="2400"/>
      <c r="Q218" s="2400"/>
      <c r="R218" s="2400"/>
    </row>
    <row customHeight="true" ht="16.071428571428573" r="219">
      <c r="A219" s="2303" t="s">
        <v>2206</v>
      </c>
      <c r="B219" s="2304">
        <v>46278</v>
      </c>
      <c r="C219" s="2303" t="str">
        <v>Sunday</v>
      </c>
      <c r="D219" s="2305" t="s">
        <v>2014</v>
      </c>
      <c r="E219" s="2306">
        <f t="shared" si="89"/>
      </c>
      <c r="F219" s="2461" t="s">
        <v>2004</v>
      </c>
      <c r="G219" s="2306" t="s">
        <v>2133</v>
      </c>
      <c r="H219" s="2306" t="s">
        <v>1971</v>
      </c>
      <c r="I219" s="2306" t="s">
        <v>1972</v>
      </c>
      <c r="J219" s="2399" t="s">
        <v>2178</v>
      </c>
      <c r="K219" s="2400"/>
      <c r="L219" s="2400"/>
      <c r="M219" s="2400"/>
      <c r="N219" s="2400"/>
      <c r="O219" s="2400"/>
      <c r="P219" s="2400"/>
      <c r="Q219" s="2400"/>
      <c r="R219" s="2400"/>
    </row>
    <row customHeight="true" ht="16.071428571428573" r="220">
      <c r="A220" s="2432" t="s">
        <v>2206</v>
      </c>
      <c r="B220" s="2255">
        <v>46278</v>
      </c>
      <c r="C220" s="2283" t="str">
        <v>Sunday</v>
      </c>
      <c r="D220" s="2289" t="s">
        <v>2208</v>
      </c>
      <c r="E220" s="2260">
        <f t="shared" si="89"/>
      </c>
      <c r="F220" s="2260" t="s">
        <v>2209</v>
      </c>
      <c r="G220" s="2434" t="s">
        <v>2210</v>
      </c>
      <c r="H220" s="2349" t="s">
        <v>1971</v>
      </c>
      <c r="I220" s="2346" t="s">
        <v>1972</v>
      </c>
      <c r="J220" s="2462" t="s">
        <v>2211</v>
      </c>
      <c r="K220" s="2262"/>
      <c r="L220" s="2262"/>
      <c r="M220" s="2262"/>
      <c r="N220" s="2262"/>
      <c r="O220" s="2262"/>
      <c r="P220" s="2262"/>
      <c r="Q220" s="2262"/>
      <c r="R220" s="2262"/>
    </row>
    <row customHeight="true" ht="16.071428571428573" r="221">
      <c r="A221" s="2432" t="s">
        <v>2212</v>
      </c>
      <c r="B221" s="2255">
        <v>46278</v>
      </c>
      <c r="C221" s="2283" t="str">
        <v>Sunday</v>
      </c>
      <c r="D221" s="2289" t="s">
        <v>2213</v>
      </c>
      <c r="E221" s="2260">
        <f t="shared" si="89"/>
      </c>
      <c r="F221" s="2260" t="s">
        <v>2209</v>
      </c>
      <c r="G221" s="2434" t="s">
        <v>2210</v>
      </c>
      <c r="H221" s="2349" t="s">
        <v>1971</v>
      </c>
      <c r="I221" s="2346" t="s">
        <v>1972</v>
      </c>
      <c r="J221" s="2462" t="s">
        <v>2211</v>
      </c>
      <c r="K221" s="2262"/>
      <c r="L221" s="2262"/>
      <c r="M221" s="2262"/>
      <c r="N221" s="2262"/>
      <c r="O221" s="2262"/>
      <c r="P221" s="2262"/>
      <c r="Q221" s="2262"/>
      <c r="R221" s="2262"/>
    </row>
    <row customHeight="true" ht="16.071428571428573" r="222">
      <c r="A222" s="2432"/>
      <c r="B222" s="2402"/>
      <c r="C222" s="2432"/>
      <c r="D222" s="2403"/>
      <c r="E222" s="2403"/>
      <c r="F222" s="2463"/>
      <c r="G222" s="2434"/>
      <c r="H222" s="2349"/>
      <c r="I222" s="2271"/>
      <c r="J222" s="2349"/>
      <c r="K222" s="2262"/>
      <c r="L222" s="2262"/>
      <c r="M222" s="2262"/>
      <c r="N222" s="2262"/>
      <c r="O222" s="2262"/>
      <c r="P222" s="2262"/>
      <c r="Q222" s="2262"/>
      <c r="R222" s="2262"/>
    </row>
    <row customHeight="true" ht="16.071428571428573" r="223">
      <c r="A223" s="2432" t="s">
        <v>2214</v>
      </c>
      <c r="B223" s="2255">
        <v>46274</v>
      </c>
      <c r="C223" s="2283" t="str">
        <v>Wednesday</v>
      </c>
      <c r="D223" s="2289" t="s">
        <v>2215</v>
      </c>
      <c r="E223" s="2260">
        <f t="shared" ref="E223:E226" si="90">24*MOD(TIMEVALUE(TRIM(MID(D223,FIND("-",D223)+1,LEN(D223)))) - TIMEVALUE(TRIM(LEFT(D223,FIND("-",D223)-1))),1)</f>
      </c>
      <c r="F223" s="2260" t="s">
        <v>2168</v>
      </c>
      <c r="G223" s="2434"/>
      <c r="H223" s="2349" t="s">
        <v>1971</v>
      </c>
      <c r="I223" s="2346" t="s">
        <v>1972</v>
      </c>
      <c r="J223" s="2462" t="s">
        <v>2207</v>
      </c>
      <c r="K223" s="2262"/>
      <c r="L223" s="2262"/>
      <c r="M223" s="2262"/>
      <c r="N223" s="2262"/>
      <c r="O223" s="2262"/>
      <c r="P223" s="2262"/>
      <c r="Q223" s="2262"/>
      <c r="R223" s="2262"/>
    </row>
    <row customHeight="true" ht="16.071428571428573" r="224">
      <c r="A224" s="2432" t="s">
        <v>2214</v>
      </c>
      <c r="B224" s="2255">
        <v>46278</v>
      </c>
      <c r="C224" s="2283" t="str">
        <v>Sunday</v>
      </c>
      <c r="D224" s="2289" t="s">
        <v>2216</v>
      </c>
      <c r="E224" s="2260">
        <f t="shared" si="90"/>
      </c>
      <c r="F224" s="2260" t="s">
        <v>2168</v>
      </c>
      <c r="G224" s="2434" t="s">
        <v>2210</v>
      </c>
      <c r="H224" s="2349" t="s">
        <v>1971</v>
      </c>
      <c r="I224" s="2346" t="s">
        <v>1972</v>
      </c>
      <c r="J224" s="2256" t="s">
        <v>2217</v>
      </c>
      <c r="K224" s="2262"/>
      <c r="L224" s="2262"/>
      <c r="M224" s="2262"/>
      <c r="N224" s="2262"/>
      <c r="O224" s="2262"/>
      <c r="P224" s="2262"/>
      <c r="Q224" s="2262"/>
      <c r="R224" s="2262"/>
    </row>
    <row customHeight="true" ht="16.071428571428573" r="225">
      <c r="A225" s="2432" t="s">
        <v>2214</v>
      </c>
      <c r="B225" s="2255">
        <v>46278</v>
      </c>
      <c r="C225" s="2283" t="str">
        <v>Sunday</v>
      </c>
      <c r="D225" s="2289" t="s">
        <v>2138</v>
      </c>
      <c r="E225" s="2260">
        <f t="shared" si="90"/>
      </c>
      <c r="F225" s="2260" t="s">
        <v>2133</v>
      </c>
      <c r="G225" s="2434" t="s">
        <v>2210</v>
      </c>
      <c r="H225" s="2349" t="s">
        <v>1971</v>
      </c>
      <c r="I225" s="2346" t="s">
        <v>1972</v>
      </c>
      <c r="J225" s="2462" t="s">
        <v>2218</v>
      </c>
      <c r="K225" s="2262"/>
      <c r="L225" s="2262"/>
      <c r="M225" s="2262"/>
      <c r="N225" s="2262"/>
      <c r="O225" s="2262"/>
      <c r="P225" s="2262"/>
      <c r="Q225" s="2262"/>
      <c r="R225" s="2262"/>
    </row>
    <row customHeight="true" ht="16.071428571428573" r="226">
      <c r="A226" s="2432" t="s">
        <v>2212</v>
      </c>
      <c r="B226" s="2255">
        <v>46278</v>
      </c>
      <c r="C226" s="2283" t="str">
        <v>Sunday</v>
      </c>
      <c r="D226" s="2289" t="s">
        <v>2033</v>
      </c>
      <c r="E226" s="2260">
        <f t="shared" si="90"/>
      </c>
      <c r="F226" s="2260" t="s">
        <v>2133</v>
      </c>
      <c r="G226" s="2434" t="s">
        <v>2210</v>
      </c>
      <c r="H226" s="2349" t="s">
        <v>1971</v>
      </c>
      <c r="I226" s="2346" t="s">
        <v>1972</v>
      </c>
      <c r="J226" s="2462" t="s">
        <v>2211</v>
      </c>
      <c r="K226" s="2262"/>
      <c r="L226" s="2262"/>
      <c r="M226" s="2262"/>
      <c r="N226" s="2262"/>
      <c r="O226" s="2262"/>
      <c r="P226" s="2262"/>
      <c r="Q226" s="2262"/>
      <c r="R226" s="2262"/>
    </row>
    <row customHeight="true" ht="16.071428571428573" r="227">
      <c r="A227" s="2283"/>
      <c r="B227" s="2283"/>
      <c r="C227" s="2283"/>
      <c r="D227" s="2288"/>
      <c r="E227" s="2260"/>
      <c r="F227" s="2291"/>
      <c r="G227" s="2292"/>
      <c r="H227" s="2288"/>
      <c r="I227" s="2288"/>
      <c r="J227" s="2288"/>
      <c r="K227" s="2460"/>
      <c r="L227" s="2460"/>
      <c r="M227" s="2460"/>
      <c r="N227" s="2460"/>
      <c r="O227" s="2460"/>
      <c r="P227" s="2460"/>
      <c r="Q227" s="2460"/>
      <c r="R227" s="2460"/>
    </row>
    <row customHeight="true" ht="16.071428571428573" r="228">
      <c r="A228" s="2303" t="s">
        <v>2212</v>
      </c>
      <c r="B228" s="2304">
        <v>46273</v>
      </c>
      <c r="C228" s="2303" t="str">
        <v>Tuesday</v>
      </c>
      <c r="D228" s="2305" t="s">
        <v>2017</v>
      </c>
      <c r="E228" s="2306">
        <f>24*MOD(TIMEVALUE(TRIM(MID(D228,FIND("-",D228)+1,LEN(D228)))) - TIMEVALUE(TRIM(LEFT(D228,FIND("-",D228)-1))),1)</f>
      </c>
      <c r="F228" s="2461" t="s">
        <v>2209</v>
      </c>
      <c r="G228" s="2307"/>
      <c r="H228" s="2306" t="s">
        <v>1971</v>
      </c>
      <c r="I228" s="2308" t="s">
        <v>2005</v>
      </c>
      <c r="J228" s="2399" t="s">
        <v>2178</v>
      </c>
      <c r="K228" s="2400"/>
      <c r="L228" s="2400"/>
      <c r="M228" s="2400"/>
      <c r="N228" s="2400"/>
      <c r="O228" s="2400"/>
      <c r="P228" s="2400"/>
      <c r="Q228" s="2400"/>
      <c r="R228" s="2400"/>
    </row>
    <row customHeight="true" ht="16.071428571428573" r="229">
      <c r="A229" s="2432"/>
      <c r="B229" s="2402"/>
      <c r="C229" s="2432"/>
      <c r="D229" s="2403"/>
      <c r="E229" s="2403"/>
      <c r="F229" s="2463"/>
      <c r="G229" s="2434"/>
      <c r="H229" s="2349"/>
      <c r="I229" s="2271"/>
      <c r="J229" s="2349"/>
      <c r="K229" s="2262"/>
      <c r="L229" s="2262"/>
      <c r="M229" s="2262"/>
      <c r="N229" s="2262"/>
      <c r="O229" s="2262"/>
      <c r="P229" s="2262"/>
      <c r="Q229" s="2262"/>
      <c r="R229" s="2262"/>
    </row>
    <row customHeight="true" ht="16.071428571428573" r="230">
      <c r="A230" s="2432"/>
      <c r="B230" s="2402"/>
      <c r="C230" s="2432"/>
      <c r="D230" s="2403"/>
      <c r="E230" s="2403"/>
      <c r="F230" s="2349"/>
      <c r="G230" s="2434"/>
      <c r="H230" s="2349"/>
      <c r="I230" s="2271"/>
      <c r="J230" s="2349"/>
      <c r="K230" s="2262"/>
      <c r="L230" s="2262"/>
      <c r="M230" s="2262"/>
      <c r="N230" s="2262"/>
      <c r="O230" s="2262"/>
      <c r="P230" s="2262"/>
      <c r="Q230" s="2262"/>
      <c r="R230" s="2262"/>
    </row>
    <row customHeight="true" ht="16.071428571428573" r="231">
      <c r="A231" s="2464" t="s">
        <v>2219</v>
      </c>
      <c r="B231" s="2465"/>
      <c r="C231" s="2466"/>
      <c r="D231" s="2467"/>
      <c r="E231" s="2468"/>
      <c r="F231" s="2468"/>
      <c r="G231" s="2469"/>
      <c r="H231" s="2468"/>
      <c r="I231" s="2468"/>
      <c r="J231" s="2470"/>
      <c r="K231" s="2471"/>
      <c r="L231" s="2471"/>
      <c r="M231" s="2471"/>
      <c r="N231" s="2471"/>
      <c r="O231" s="2471"/>
      <c r="P231" s="2471"/>
      <c r="Q231" s="2472"/>
      <c r="R231" s="2472"/>
    </row>
    <row customHeight="true" ht="39.285714285714285" r="232">
      <c r="A232" s="2473" t="s">
        <v>1989</v>
      </c>
      <c r="B232" s="2474" t="s">
        <v>1990</v>
      </c>
      <c r="C232" s="2474"/>
      <c r="D232" s="2475" t="s">
        <v>1991</v>
      </c>
      <c r="E232" s="2476" t="s">
        <v>1992</v>
      </c>
      <c r="F232" s="2476" t="s">
        <v>1993</v>
      </c>
      <c r="G232" s="2477" t="s">
        <v>2012</v>
      </c>
      <c r="H232" s="2476" t="s">
        <v>1995</v>
      </c>
      <c r="I232" s="2476" t="s">
        <v>1996</v>
      </c>
      <c r="J232" s="2478" t="s">
        <v>1997</v>
      </c>
      <c r="K232" s="2479"/>
      <c r="L232" s="2479"/>
      <c r="M232" s="2479"/>
      <c r="N232" s="2479"/>
      <c r="O232" s="2479"/>
      <c r="P232" s="2479"/>
      <c r="Q232" s="2472"/>
      <c r="R232" s="2472"/>
    </row>
    <row customHeight="true" ht="16.071428571428573" r="233">
      <c r="A233" s="2432" t="s">
        <v>2219</v>
      </c>
      <c r="B233" s="2255">
        <v>46272</v>
      </c>
      <c r="C233" s="2283" t="str">
        <v>Monday</v>
      </c>
      <c r="D233" s="2256" t="s">
        <v>2041</v>
      </c>
      <c r="E233" s="2289">
        <v>2</v>
      </c>
      <c r="F233" s="2263" t="s">
        <v>2163</v>
      </c>
      <c r="G233" s="2260" t="s">
        <v>2133</v>
      </c>
      <c r="H233" s="2349" t="s">
        <v>1971</v>
      </c>
      <c r="I233" s="2288" t="s">
        <v>1972</v>
      </c>
      <c r="J233" s="2349"/>
      <c r="K233" s="2262"/>
      <c r="L233" s="2262"/>
      <c r="M233" s="2262"/>
      <c r="N233" s="2262"/>
      <c r="O233" s="2262"/>
      <c r="P233" s="2262"/>
      <c r="Q233" s="2262"/>
      <c r="R233" s="2262"/>
    </row>
    <row customHeight="true" ht="16.071428571428573" r="234">
      <c r="A234" s="2432" t="s">
        <v>2219</v>
      </c>
      <c r="B234" s="2255">
        <v>46273</v>
      </c>
      <c r="C234" s="2283" t="str">
        <v>Tuesday</v>
      </c>
      <c r="D234" s="2289" t="s">
        <v>2014</v>
      </c>
      <c r="E234" s="2260">
        <f t="shared" ref="E234:E235" si="91">24*MOD(TIMEVALUE(TRIM(MID(D234,FIND("-",D234)+1,LEN(D234)))) - TIMEVALUE(TRIM(LEFT(D234,FIND("-",D234)-1))),1)</f>
      </c>
      <c r="F234" s="2284" t="s">
        <v>2082</v>
      </c>
      <c r="G234" s="2260" t="s">
        <v>2133</v>
      </c>
      <c r="H234" s="2349" t="s">
        <v>1971</v>
      </c>
      <c r="I234" s="2346" t="s">
        <v>1972</v>
      </c>
      <c r="J234" s="2349"/>
      <c r="K234" s="2262"/>
      <c r="L234" s="2262"/>
      <c r="M234" s="2262"/>
      <c r="N234" s="2262"/>
      <c r="O234" s="2262"/>
      <c r="P234" s="2262"/>
      <c r="Q234" s="2262"/>
      <c r="R234" s="2262"/>
    </row>
    <row customHeight="true" ht="16.071428571428573" r="235">
      <c r="A235" s="2432" t="s">
        <v>2219</v>
      </c>
      <c r="B235" s="2255">
        <v>46275</v>
      </c>
      <c r="C235" s="2283" t="str">
        <v>Thursday</v>
      </c>
      <c r="D235" s="2289" t="s">
        <v>2014</v>
      </c>
      <c r="E235" s="2260">
        <f t="shared" si="91"/>
      </c>
      <c r="F235" s="2263" t="s">
        <v>2163</v>
      </c>
      <c r="G235" s="2260" t="s">
        <v>2133</v>
      </c>
      <c r="H235" s="2349" t="s">
        <v>1971</v>
      </c>
      <c r="I235" s="2288" t="s">
        <v>1972</v>
      </c>
      <c r="J235" s="2349"/>
      <c r="K235" s="2262"/>
      <c r="L235" s="2262"/>
      <c r="M235" s="2262"/>
      <c r="N235" s="2262"/>
      <c r="O235" s="2262"/>
      <c r="P235" s="2262"/>
      <c r="Q235" s="2262"/>
      <c r="R235" s="2262"/>
    </row>
    <row customHeight="true" ht="16.071428571428573" r="236">
      <c r="A236" s="2432"/>
      <c r="B236" s="2255"/>
      <c r="C236" s="2283"/>
      <c r="D236" s="2289"/>
      <c r="E236" s="2260"/>
      <c r="F236" s="2349"/>
      <c r="G236" s="2260"/>
      <c r="H236" s="2349"/>
      <c r="I236" s="2346"/>
      <c r="J236" s="2349"/>
      <c r="K236" s="2262"/>
      <c r="L236" s="2262"/>
      <c r="M236" s="2262"/>
      <c r="N236" s="2262"/>
      <c r="O236" s="2262"/>
      <c r="P236" s="2262"/>
      <c r="Q236" s="2262"/>
      <c r="R236" s="2262"/>
    </row>
    <row customHeight="true" ht="16.071428571428573" r="237">
      <c r="A237" s="2432"/>
      <c r="B237" s="2255"/>
      <c r="C237" s="2283"/>
      <c r="D237" s="2256"/>
      <c r="E237" s="2289"/>
      <c r="F237" s="2263"/>
      <c r="G237" s="2434"/>
      <c r="H237" s="2349"/>
      <c r="I237" s="2346"/>
      <c r="J237" s="2349"/>
      <c r="K237" s="2262"/>
      <c r="L237" s="2262"/>
      <c r="M237" s="2262"/>
      <c r="N237" s="2262"/>
      <c r="O237" s="2262"/>
      <c r="P237" s="2262"/>
      <c r="Q237" s="2262"/>
      <c r="R237" s="2262"/>
    </row>
    <row customHeight="true" ht="16.071428571428573" r="238">
      <c r="A238" s="2432" t="s">
        <v>2220</v>
      </c>
      <c r="B238" s="2255">
        <v>46275</v>
      </c>
      <c r="C238" s="2283" t="str">
        <v>Thursday</v>
      </c>
      <c r="D238" s="2289" t="s">
        <v>2221</v>
      </c>
      <c r="E238" s="2260">
        <f>24*MOD(TIMEVALUE(TRIM(MID(D238,FIND("-",D238)+1,LEN(D238)))) - TIMEVALUE(TRIM(LEFT(D238,FIND("-",D238)-1))),1)</f>
      </c>
      <c r="F238" s="2349" t="s">
        <v>2222</v>
      </c>
      <c r="G238" s="2434" t="s">
        <v>2223</v>
      </c>
      <c r="H238" s="2349" t="s">
        <v>1971</v>
      </c>
      <c r="I238" s="2288" t="s">
        <v>1972</v>
      </c>
      <c r="J238" s="2349"/>
      <c r="K238" s="2262"/>
      <c r="L238" s="2262"/>
      <c r="M238" s="2262"/>
      <c r="N238" s="2262"/>
      <c r="O238" s="2262"/>
      <c r="P238" s="2262"/>
      <c r="Q238" s="2262"/>
      <c r="R238" s="2262"/>
    </row>
    <row customHeight="true" ht="16.071428571428573" r="239">
      <c r="A239" s="2432" t="s">
        <v>2224</v>
      </c>
      <c r="B239" s="2255">
        <v>46272</v>
      </c>
      <c r="C239" s="2283" t="str">
        <v>Monday</v>
      </c>
      <c r="D239" s="2289" t="s">
        <v>2049</v>
      </c>
      <c r="E239" s="2289">
        <v>2</v>
      </c>
      <c r="F239" s="2260" t="s">
        <v>2133</v>
      </c>
      <c r="G239" s="2434" t="s">
        <v>2223</v>
      </c>
      <c r="H239" s="2349" t="s">
        <v>1971</v>
      </c>
      <c r="I239" s="2288" t="s">
        <v>1972</v>
      </c>
      <c r="J239" s="2349"/>
      <c r="K239" s="2262"/>
      <c r="L239" s="2262"/>
      <c r="M239" s="2262"/>
      <c r="N239" s="2262"/>
      <c r="O239" s="2262"/>
      <c r="P239" s="2262"/>
      <c r="Q239" s="2262"/>
      <c r="R239" s="2262"/>
    </row>
    <row customHeight="true" ht="16.071428571428573" r="240">
      <c r="A240" s="2432" t="s">
        <v>2224</v>
      </c>
      <c r="B240" s="2255">
        <v>46275</v>
      </c>
      <c r="C240" s="2283" t="str">
        <v>Thursday</v>
      </c>
      <c r="D240" s="2289" t="s">
        <v>2225</v>
      </c>
      <c r="E240" s="2289">
        <v>1.5</v>
      </c>
      <c r="F240" s="2260" t="s">
        <v>2133</v>
      </c>
      <c r="G240" s="2434" t="s">
        <v>2223</v>
      </c>
      <c r="H240" s="2349" t="s">
        <v>1971</v>
      </c>
      <c r="I240" s="2288" t="s">
        <v>1972</v>
      </c>
      <c r="J240" s="2349"/>
      <c r="K240" s="2262"/>
      <c r="L240" s="2262"/>
      <c r="M240" s="2262"/>
      <c r="N240" s="2262"/>
      <c r="O240" s="2262"/>
      <c r="P240" s="2262"/>
      <c r="Q240" s="2262"/>
      <c r="R240" s="2262"/>
    </row>
    <row customHeight="true" ht="16.071428571428573" r="241">
      <c r="A241" s="2432" t="s">
        <v>2226</v>
      </c>
      <c r="B241" s="2255">
        <v>46272</v>
      </c>
      <c r="C241" s="2283" t="str">
        <v>Monday</v>
      </c>
      <c r="D241" s="2256" t="s">
        <v>2227</v>
      </c>
      <c r="E241" s="2289">
        <v>2.5</v>
      </c>
      <c r="F241" s="2260" t="s">
        <v>2133</v>
      </c>
      <c r="G241" s="2434" t="s">
        <v>2223</v>
      </c>
      <c r="H241" s="2349" t="s">
        <v>1971</v>
      </c>
      <c r="I241" s="2346" t="s">
        <v>1972</v>
      </c>
      <c r="J241" s="2462" t="s">
        <v>2207</v>
      </c>
      <c r="K241" s="2262"/>
      <c r="L241" s="2262"/>
      <c r="M241" s="2262"/>
      <c r="N241" s="2262"/>
      <c r="O241" s="2262"/>
      <c r="P241" s="2262"/>
      <c r="Q241" s="2319"/>
      <c r="R241" s="2319"/>
    </row>
    <row customHeight="true" ht="16.071428571428573" r="242">
      <c r="A242" s="2432" t="s">
        <v>2226</v>
      </c>
      <c r="B242" s="2255">
        <v>46272</v>
      </c>
      <c r="C242" s="2283" t="str">
        <v>Monday</v>
      </c>
      <c r="D242" s="2256" t="s">
        <v>2227</v>
      </c>
      <c r="E242" s="2289">
        <v>2.5</v>
      </c>
      <c r="F242" s="2260" t="s">
        <v>2133</v>
      </c>
      <c r="G242" s="2434" t="s">
        <v>2223</v>
      </c>
      <c r="H242" s="2349" t="s">
        <v>1971</v>
      </c>
      <c r="I242" s="2346" t="s">
        <v>1972</v>
      </c>
      <c r="J242" s="2462" t="s">
        <v>2207</v>
      </c>
      <c r="K242" s="2262"/>
      <c r="L242" s="2262"/>
      <c r="M242" s="2262"/>
      <c r="N242" s="2262"/>
      <c r="O242" s="2262"/>
      <c r="P242" s="2262"/>
      <c r="Q242" s="2319"/>
      <c r="R242" s="2319"/>
    </row>
    <row customHeight="true" ht="16.071428571428573" r="243">
      <c r="A243" s="2432" t="s">
        <v>2226</v>
      </c>
      <c r="B243" s="2255">
        <v>46273</v>
      </c>
      <c r="C243" s="2283" t="str">
        <v>Tuesday</v>
      </c>
      <c r="D243" s="2289" t="s">
        <v>2228</v>
      </c>
      <c r="E243" s="2260">
        <f t="shared" ref="E243:E244" si="92">24*MOD(TIMEVALUE(TRIM(MID(D243,FIND("-",D243)+1,LEN(D243)))) - TIMEVALUE(TRIM(LEFT(D243,FIND("-",D243)-1))),1)</f>
      </c>
      <c r="F243" s="2260" t="s">
        <v>2133</v>
      </c>
      <c r="G243" s="2434" t="s">
        <v>2223</v>
      </c>
      <c r="H243" s="2349" t="s">
        <v>1971</v>
      </c>
      <c r="I243" s="2346" t="s">
        <v>1972</v>
      </c>
      <c r="J243" s="2462" t="s">
        <v>2207</v>
      </c>
      <c r="K243" s="2262"/>
      <c r="L243" s="2262"/>
      <c r="M243" s="2262"/>
      <c r="N243" s="2262"/>
      <c r="O243" s="2262"/>
      <c r="P243" s="2262"/>
      <c r="Q243" s="2319"/>
      <c r="R243" s="2319"/>
    </row>
    <row customHeight="true" ht="16.071428571428573" r="244">
      <c r="A244" s="2432" t="s">
        <v>2226</v>
      </c>
      <c r="B244" s="2255">
        <v>46275</v>
      </c>
      <c r="C244" s="2283" t="str">
        <v>Thursday</v>
      </c>
      <c r="D244" s="2289" t="s">
        <v>2228</v>
      </c>
      <c r="E244" s="2260">
        <f t="shared" si="92"/>
      </c>
      <c r="F244" s="2260" t="s">
        <v>2133</v>
      </c>
      <c r="G244" s="2434" t="s">
        <v>2223</v>
      </c>
      <c r="H244" s="2349" t="s">
        <v>1971</v>
      </c>
      <c r="I244" s="2346" t="s">
        <v>1972</v>
      </c>
      <c r="J244" s="2462" t="s">
        <v>2229</v>
      </c>
      <c r="K244" s="2262"/>
      <c r="L244" s="2262"/>
      <c r="M244" s="2262"/>
      <c r="N244" s="2262"/>
      <c r="O244" s="2262"/>
      <c r="P244" s="2262"/>
    </row>
    <row customHeight="true" ht="16.071428571428573" r="245">
      <c r="A245" s="2432" t="s">
        <v>2220</v>
      </c>
      <c r="B245" s="2283">
        <v>46276</v>
      </c>
      <c r="C245" s="2283" t="str">
        <v>Friday</v>
      </c>
      <c r="D245" s="2288" t="s">
        <v>2003</v>
      </c>
      <c r="E245" s="2260">
        <v>2</v>
      </c>
      <c r="F245" s="2288" t="s">
        <v>2222</v>
      </c>
      <c r="G245" s="2260"/>
      <c r="H245" s="2288" t="s">
        <v>1971</v>
      </c>
      <c r="I245" s="2288" t="s">
        <v>1972</v>
      </c>
      <c r="J245" s="2405"/>
      <c r="K245" s="2460"/>
      <c r="L245" s="2460"/>
      <c r="M245" s="2460"/>
      <c r="N245" s="2460"/>
      <c r="O245" s="2460"/>
      <c r="P245" s="2460"/>
      <c r="Q245" s="2293"/>
      <c r="R245" s="2293"/>
    </row>
    <row customHeight="true" ht="16.071428571428573" r="246">
      <c r="A246" s="2283"/>
      <c r="B246" s="2283"/>
      <c r="C246" s="2283"/>
      <c r="D246" s="2260"/>
      <c r="E246" s="2260"/>
      <c r="F246" s="2260"/>
      <c r="G246" s="2404"/>
      <c r="H246" s="2260"/>
      <c r="I246" s="2288"/>
      <c r="J246" s="2405"/>
      <c r="K246" s="2262"/>
      <c r="L246" s="2262"/>
      <c r="M246" s="2262"/>
      <c r="N246" s="2262"/>
      <c r="O246" s="2262"/>
      <c r="P246" s="2262"/>
    </row>
    <row customHeight="true" ht="16.071428571428573" r="247">
      <c r="A247" s="2480" t="s">
        <v>2230</v>
      </c>
      <c r="B247" s="2317"/>
      <c r="C247" s="2311"/>
      <c r="D247" s="2312"/>
      <c r="E247" s="2313"/>
      <c r="F247" s="2313"/>
      <c r="G247" s="2314"/>
      <c r="H247" s="2313"/>
      <c r="I247" s="2313"/>
      <c r="J247" s="2316"/>
      <c r="K247" s="2481"/>
      <c r="L247" s="2481"/>
      <c r="M247" s="2481"/>
      <c r="N247" s="2481"/>
      <c r="O247" s="2481"/>
      <c r="P247" s="2481"/>
      <c r="Q247" s="2482"/>
      <c r="R247" s="2482"/>
    </row>
    <row customHeight="true" ht="40.10123434465338" r="248">
      <c r="A248" s="2483" t="s">
        <v>1989</v>
      </c>
      <c r="B248" s="2484" t="s">
        <v>1990</v>
      </c>
      <c r="C248" s="2484"/>
      <c r="D248" s="2485" t="s">
        <v>1991</v>
      </c>
      <c r="E248" s="2486" t="s">
        <v>1992</v>
      </c>
      <c r="F248" s="2486" t="s">
        <v>1993</v>
      </c>
      <c r="G248" s="2487" t="s">
        <v>2012</v>
      </c>
      <c r="H248" s="2486" t="s">
        <v>1995</v>
      </c>
      <c r="I248" s="2486" t="s">
        <v>1996</v>
      </c>
      <c r="J248" s="2488" t="s">
        <v>1997</v>
      </c>
      <c r="K248" s="2489"/>
      <c r="L248" s="2489"/>
      <c r="M248" s="2489"/>
      <c r="N248" s="2489"/>
      <c r="O248" s="2489"/>
      <c r="P248" s="2489"/>
      <c r="Q248" s="2482"/>
      <c r="R248" s="2482"/>
    </row>
    <row customHeight="true" ht="16.071428571428573" r="249">
      <c r="A249" s="2303" t="s">
        <v>2230</v>
      </c>
      <c r="B249" s="2304">
        <v>46275</v>
      </c>
      <c r="C249" s="2303" t="str">
        <v>Thursday</v>
      </c>
      <c r="D249" s="2305" t="s">
        <v>2129</v>
      </c>
      <c r="E249" s="2306">
        <f t="shared" ref="E249:E250" si="93">24*MOD(TIMEVALUE(TRIM(MID(D249,FIND("-",D249)+1,LEN(D249)))) - TIMEVALUE(TRIM(LEFT(D249,FIND("-",D249)-1))),1)</f>
      </c>
      <c r="F249" s="2306" t="s">
        <v>2165</v>
      </c>
      <c r="G249" s="2306"/>
      <c r="H249" s="2306" t="s">
        <v>1971</v>
      </c>
      <c r="I249" s="2306" t="s">
        <v>2005</v>
      </c>
      <c r="J249" s="2399" t="s">
        <v>2231</v>
      </c>
      <c r="K249" s="2400"/>
      <c r="L249" s="2400"/>
      <c r="M249" s="2400"/>
      <c r="N249" s="2400"/>
      <c r="O249" s="2400"/>
      <c r="P249" s="2400"/>
      <c r="Q249" s="2407"/>
      <c r="R249" s="2407"/>
    </row>
    <row customHeight="true" ht="16.071428571428573" r="250">
      <c r="A250" s="2303" t="s">
        <v>2230</v>
      </c>
      <c r="B250" s="2304">
        <v>46276</v>
      </c>
      <c r="C250" s="2303" t="str">
        <v>Friday</v>
      </c>
      <c r="D250" s="2305" t="s">
        <v>2176</v>
      </c>
      <c r="E250" s="2306">
        <f t="shared" si="93"/>
      </c>
      <c r="F250" s="2306" t="s">
        <v>2163</v>
      </c>
      <c r="G250" s="2307" t="s">
        <v>2210</v>
      </c>
      <c r="H250" s="2306" t="s">
        <v>1971</v>
      </c>
      <c r="I250" s="2306" t="s">
        <v>2005</v>
      </c>
      <c r="J250" s="2399" t="s">
        <v>2231</v>
      </c>
      <c r="K250" s="2400"/>
      <c r="L250" s="2400"/>
      <c r="M250" s="2400"/>
      <c r="N250" s="2400"/>
      <c r="O250" s="2400"/>
      <c r="P250" s="2400"/>
      <c r="Q250" s="2407"/>
      <c r="R250" s="2407"/>
    </row>
    <row customHeight="true" ht="16.071428571428573" r="251">
      <c r="A251" s="2283"/>
      <c r="B251" s="2255"/>
      <c r="C251" s="2283"/>
      <c r="D251" s="2256"/>
      <c r="E251" s="2260"/>
      <c r="F251" s="2260"/>
      <c r="G251" s="2404"/>
      <c r="H251" s="2260"/>
      <c r="I251" s="2260"/>
      <c r="J251" s="2405"/>
      <c r="K251" s="2262"/>
      <c r="L251" s="2262"/>
      <c r="M251" s="2262"/>
      <c r="N251" s="2262"/>
      <c r="O251" s="2262"/>
      <c r="P251" s="2262"/>
    </row>
    <row customHeight="true" ht="16.071428571428573" r="252">
      <c r="A252" s="2283" t="s">
        <v>2232</v>
      </c>
      <c r="B252" s="2255">
        <v>46272</v>
      </c>
      <c r="C252" s="2283" t="str">
        <v>Monday</v>
      </c>
      <c r="D252" s="2256" t="s">
        <v>2058</v>
      </c>
      <c r="E252" s="2260">
        <f t="shared" ref="E252:E256" si="94">24*MOD(TIMEVALUE(TRIM(MID(D252,FIND("-",D252)+1,LEN(D252)))) - TIMEVALUE(TRIM(LEFT(D252,FIND("-",D252)-1))),1)</f>
      </c>
      <c r="F252" s="2260" t="s">
        <v>2165</v>
      </c>
      <c r="G252" s="2404"/>
      <c r="H252" s="2260" t="s">
        <v>1971</v>
      </c>
      <c r="I252" s="2260" t="s">
        <v>2005</v>
      </c>
      <c r="J252" s="2409" t="s">
        <v>2233</v>
      </c>
      <c r="K252" s="2262"/>
      <c r="L252" s="2262"/>
      <c r="M252" s="2262"/>
      <c r="N252" s="2262"/>
      <c r="O252" s="2262"/>
      <c r="P252" s="2262"/>
    </row>
    <row customHeight="true" ht="16.071428571428573" r="253">
      <c r="A253" s="2283" t="s">
        <v>2232</v>
      </c>
      <c r="B253" s="2255">
        <v>46273</v>
      </c>
      <c r="C253" s="2283" t="str">
        <v>Tuesday</v>
      </c>
      <c r="D253" s="2256" t="s">
        <v>2014</v>
      </c>
      <c r="E253" s="2260">
        <f t="shared" si="94"/>
      </c>
      <c r="F253" s="2260" t="s">
        <v>2163</v>
      </c>
      <c r="G253" s="2404"/>
      <c r="H253" s="2260" t="s">
        <v>1971</v>
      </c>
      <c r="I253" s="2260" t="s">
        <v>2005</v>
      </c>
      <c r="J253" s="2409" t="s">
        <v>2233</v>
      </c>
      <c r="K253" s="2262"/>
      <c r="L253" s="2262"/>
      <c r="M253" s="2262"/>
      <c r="N253" s="2262"/>
      <c r="O253" s="2262"/>
      <c r="P253" s="2262"/>
    </row>
    <row customHeight="true" ht="16.071428571428573" r="254">
      <c r="A254" s="2283" t="s">
        <v>2232</v>
      </c>
      <c r="B254" s="2255">
        <v>46274</v>
      </c>
      <c r="C254" s="2283" t="str">
        <v>Wednesday</v>
      </c>
      <c r="D254" s="2256" t="s">
        <v>2128</v>
      </c>
      <c r="E254" s="2260">
        <f t="shared" si="94"/>
      </c>
      <c r="F254" s="2260" t="s">
        <v>2165</v>
      </c>
      <c r="G254" s="2404"/>
      <c r="H254" s="2260" t="s">
        <v>1971</v>
      </c>
      <c r="I254" s="2260" t="s">
        <v>2005</v>
      </c>
      <c r="J254" s="2409" t="s">
        <v>2233</v>
      </c>
      <c r="K254" s="2262"/>
      <c r="L254" s="2262"/>
      <c r="M254" s="2262"/>
      <c r="N254" s="2262"/>
      <c r="O254" s="2262"/>
      <c r="P254" s="2262"/>
    </row>
    <row customHeight="true" ht="16.071428571428573" r="255">
      <c r="A255" s="2432" t="s">
        <v>2232</v>
      </c>
      <c r="B255" s="2402">
        <v>46274</v>
      </c>
      <c r="C255" s="2432" t="str">
        <v>Wednesday</v>
      </c>
      <c r="D255" s="2403" t="s">
        <v>2234</v>
      </c>
      <c r="E255" s="2349">
        <f t="shared" si="94"/>
      </c>
      <c r="F255" s="2349" t="s">
        <v>2168</v>
      </c>
      <c r="G255" s="2404"/>
      <c r="H255" s="2260"/>
      <c r="I255" s="2260"/>
      <c r="J255" s="2409"/>
      <c r="K255" s="2262"/>
      <c r="L255" s="2262"/>
      <c r="M255" s="2262"/>
      <c r="N255" s="2262"/>
      <c r="O255" s="2262"/>
      <c r="P255" s="2262"/>
    </row>
    <row customHeight="true" ht="16.071428571428573" r="256">
      <c r="A256" s="2432" t="s">
        <v>2232</v>
      </c>
      <c r="B256" s="2402">
        <v>46274</v>
      </c>
      <c r="C256" s="2432" t="str">
        <v>Wednesday</v>
      </c>
      <c r="D256" s="2403" t="s">
        <v>2235</v>
      </c>
      <c r="E256" s="2349">
        <f t="shared" si="94"/>
      </c>
      <c r="F256" s="2349" t="s">
        <v>2168</v>
      </c>
      <c r="G256" s="2404"/>
      <c r="H256" s="2260"/>
      <c r="I256" s="2260"/>
      <c r="J256" s="2409"/>
      <c r="K256" s="2262"/>
      <c r="L256" s="2262"/>
      <c r="M256" s="2262"/>
      <c r="N256" s="2262"/>
      <c r="O256" s="2262"/>
      <c r="P256" s="2262"/>
    </row>
    <row customHeight="true" ht="16.071428571428573" r="257">
      <c r="A257" s="2283"/>
      <c r="B257" s="2255"/>
      <c r="C257" s="2283"/>
      <c r="D257" s="2256"/>
      <c r="E257" s="2260"/>
      <c r="F257" s="2260"/>
      <c r="G257" s="2404"/>
      <c r="H257" s="2260"/>
      <c r="I257" s="2260"/>
      <c r="J257" s="2409"/>
      <c r="K257" s="2262"/>
      <c r="L257" s="2262"/>
      <c r="M257" s="2262"/>
      <c r="N257" s="2262"/>
      <c r="O257" s="2262"/>
      <c r="P257" s="2262"/>
    </row>
    <row customHeight="true" ht="16.071428571428573" r="258">
      <c r="A258" s="2283" t="s">
        <v>2236</v>
      </c>
      <c r="B258" s="2255">
        <v>46275</v>
      </c>
      <c r="C258" s="2283" t="str">
        <v>Thursday</v>
      </c>
      <c r="D258" s="2256" t="s">
        <v>2237</v>
      </c>
      <c r="E258" s="2260">
        <f t="shared" ref="E258:E259" si="95">24*MOD(TIMEVALUE(TRIM(MID(D258,FIND("-",D258)+1,LEN(D258)))) - TIMEVALUE(TRIM(LEFT(D258,FIND("-",D258)-1))),1)</f>
      </c>
      <c r="F258" s="2260" t="s">
        <v>2168</v>
      </c>
      <c r="G258" s="2404"/>
      <c r="H258" s="2349" t="s">
        <v>1971</v>
      </c>
      <c r="I258" s="2346" t="s">
        <v>2005</v>
      </c>
      <c r="J258" s="2409"/>
      <c r="K258" s="2262"/>
      <c r="L258" s="2262"/>
      <c r="M258" s="2262"/>
      <c r="N258" s="2262"/>
      <c r="O258" s="2262"/>
      <c r="P258" s="2262"/>
    </row>
    <row customHeight="true" ht="16.071428571428573" r="259">
      <c r="A259" s="2283" t="s">
        <v>2236</v>
      </c>
      <c r="B259" s="2255">
        <v>46275</v>
      </c>
      <c r="C259" s="2283" t="str">
        <v>Thursday</v>
      </c>
      <c r="D259" s="2256" t="s">
        <v>2238</v>
      </c>
      <c r="E259" s="2260">
        <f t="shared" si="95"/>
      </c>
      <c r="F259" s="2260" t="s">
        <v>2239</v>
      </c>
      <c r="G259" s="2408" t="s">
        <v>2210</v>
      </c>
      <c r="H259" s="2260" t="s">
        <v>1971</v>
      </c>
      <c r="I259" s="2288" t="s">
        <v>1972</v>
      </c>
      <c r="J259" s="2405"/>
      <c r="K259" s="2262"/>
      <c r="L259" s="2262"/>
      <c r="M259" s="2262"/>
      <c r="N259" s="2262"/>
      <c r="O259" s="2262"/>
      <c r="P259" s="2262"/>
    </row>
    <row customHeight="true" ht="16.071428571428573" r="260">
      <c r="A260" s="2283"/>
      <c r="B260" s="2283"/>
      <c r="C260" s="2283"/>
      <c r="D260" s="2260"/>
      <c r="E260" s="2260"/>
      <c r="F260" s="2260"/>
      <c r="G260" s="2404"/>
      <c r="H260" s="2260"/>
      <c r="I260" s="2288"/>
      <c r="J260" s="2405"/>
      <c r="K260" s="2262"/>
      <c r="L260" s="2262"/>
      <c r="M260" s="2262"/>
      <c r="N260" s="2262"/>
      <c r="O260" s="2262"/>
      <c r="P260" s="2262"/>
    </row>
    <row customHeight="true" ht="16.071428571428573" r="261">
      <c r="A261" s="2283"/>
      <c r="B261" s="2283"/>
      <c r="C261" s="2283"/>
      <c r="D261" s="2260"/>
      <c r="E261" s="2260"/>
      <c r="F261" s="2260"/>
      <c r="G261" s="2404"/>
      <c r="H261" s="2260"/>
      <c r="I261" s="2288"/>
      <c r="J261" s="2405"/>
      <c r="K261" s="2262"/>
      <c r="L261" s="2262"/>
      <c r="M261" s="2262"/>
      <c r="N261" s="2262"/>
      <c r="O261" s="2262"/>
      <c r="P261" s="2262"/>
    </row>
    <row customHeight="true" ht="23.040083476482344" r="262">
      <c r="A262" s="2490" t="s">
        <v>2240</v>
      </c>
      <c r="B262" s="2491"/>
      <c r="C262" s="2491"/>
      <c r="D262" s="2491"/>
      <c r="E262" s="2492"/>
      <c r="F262" s="2491"/>
      <c r="G262" s="2492"/>
      <c r="H262" s="2491"/>
      <c r="I262" s="2491"/>
      <c r="J262" s="2493"/>
      <c r="K262" s="2494"/>
      <c r="L262" s="2494"/>
      <c r="M262" s="2494"/>
      <c r="N262" s="2494"/>
      <c r="O262" s="2494"/>
      <c r="P262" s="2494"/>
      <c r="Q262" s="2495"/>
      <c r="R262" s="2495"/>
    </row>
    <row customHeight="true" ht="30.357142857142858" r="263">
      <c r="A263" s="2496" t="s">
        <v>1989</v>
      </c>
      <c r="B263" s="2497" t="s">
        <v>1990</v>
      </c>
      <c r="C263" s="2497"/>
      <c r="D263" s="2498" t="s">
        <v>1991</v>
      </c>
      <c r="E263" s="2499" t="s">
        <v>1992</v>
      </c>
      <c r="F263" s="2499" t="s">
        <v>1993</v>
      </c>
      <c r="G263" s="2500" t="s">
        <v>2012</v>
      </c>
      <c r="H263" s="2501" t="s">
        <v>1995</v>
      </c>
      <c r="I263" s="2501" t="s">
        <v>1996</v>
      </c>
      <c r="J263" s="2502" t="s">
        <v>1997</v>
      </c>
      <c r="K263" s="2503"/>
      <c r="L263" s="2503"/>
      <c r="M263" s="2503"/>
      <c r="N263" s="2503"/>
      <c r="O263" s="2503"/>
      <c r="P263" s="2503"/>
      <c r="Q263" s="2495"/>
      <c r="R263" s="2495"/>
    </row>
    <row customHeight="true" ht="16.071428571428573" r="264">
      <c r="A264" s="2504"/>
      <c r="B264" s="2505"/>
      <c r="C264" s="2504"/>
      <c r="D264" s="2506"/>
      <c r="E264" s="2507"/>
      <c r="F264" s="2507"/>
      <c r="G264" s="2508"/>
      <c r="H264" s="2507"/>
      <c r="I264" s="2507"/>
      <c r="J264" s="2509"/>
      <c r="K264" s="2510"/>
      <c r="L264" s="2510"/>
      <c r="M264" s="2510"/>
      <c r="N264" s="2510"/>
      <c r="O264" s="2510"/>
      <c r="P264" s="2510"/>
      <c r="Q264" s="2511"/>
      <c r="R264" s="2511"/>
    </row>
    <row customHeight="true" ht="16.071428571428573" r="265">
      <c r="A265" s="2283"/>
      <c r="B265" s="2255"/>
      <c r="C265" s="2283"/>
      <c r="D265" s="2289"/>
      <c r="E265" s="2260"/>
      <c r="F265" s="2284"/>
      <c r="G265" s="2260"/>
      <c r="H265" s="2260"/>
      <c r="I265" s="2288"/>
      <c r="J265" s="2409"/>
      <c r="K265" s="2262"/>
      <c r="L265" s="2262"/>
      <c r="M265" s="2262"/>
      <c r="N265" s="2262"/>
      <c r="O265" s="2262"/>
      <c r="P265" s="2262"/>
    </row>
    <row customHeight="true" ht="16.071428571428573" r="266">
      <c r="A266" s="2283" t="s">
        <v>2241</v>
      </c>
      <c r="B266" s="2255">
        <v>46276</v>
      </c>
      <c r="C266" s="2283" t="str">
        <v>Friday</v>
      </c>
      <c r="D266" s="2289" t="s">
        <v>2242</v>
      </c>
      <c r="E266" s="2260">
        <f>24*MOD(TIMEVALUE(TRIM(MID(D266,FIND("-",D266)+1,LEN(D266)))) - TIMEVALUE(TRIM(LEFT(D266,FIND("-",D266)-1))),1)</f>
      </c>
      <c r="F266" s="2260" t="s">
        <v>2165</v>
      </c>
      <c r="G266" s="2260"/>
      <c r="H266" s="2349" t="s">
        <v>1971</v>
      </c>
      <c r="I266" s="2349" t="s">
        <v>1972</v>
      </c>
      <c r="J266" s="2409"/>
      <c r="K266" s="2262"/>
      <c r="L266" s="2262"/>
      <c r="M266" s="2262"/>
      <c r="N266" s="2262"/>
      <c r="O266" s="2262"/>
      <c r="P266" s="2262"/>
    </row>
    <row customHeight="true" ht="16.071428571428573" r="267">
      <c r="A267" s="2283"/>
      <c r="B267" s="2255"/>
      <c r="C267" s="2283"/>
      <c r="D267" s="2256"/>
      <c r="E267" s="2289"/>
      <c r="F267" s="2349"/>
      <c r="G267" s="2260"/>
      <c r="H267" s="2349"/>
      <c r="I267" s="2349"/>
      <c r="J267" s="2409"/>
      <c r="K267" s="2262"/>
      <c r="L267" s="2262"/>
      <c r="M267" s="2262"/>
      <c r="N267" s="2262"/>
      <c r="O267" s="2262"/>
      <c r="P267" s="2262"/>
    </row>
    <row customHeight="true" ht="16.071428571428573" r="268">
      <c r="A268" s="2283"/>
      <c r="B268" s="2283"/>
      <c r="C268" s="2283"/>
      <c r="D268" s="2289"/>
      <c r="E268" s="2260"/>
      <c r="F268" s="2260"/>
      <c r="G268" s="2292"/>
      <c r="H268" s="2288"/>
      <c r="I268" s="2288"/>
      <c r="J268" s="2405"/>
      <c r="K268" s="2460"/>
      <c r="L268" s="2460"/>
      <c r="M268" s="2460"/>
      <c r="N268" s="2460"/>
      <c r="O268" s="2460"/>
      <c r="P268" s="2460"/>
      <c r="Q268" s="2293"/>
      <c r="R268" s="2293"/>
    </row>
    <row customHeight="true" ht="16.071428571428573" r="269">
      <c r="A269" s="2283"/>
      <c r="B269" s="2255"/>
      <c r="C269" s="2283"/>
      <c r="D269" s="2256"/>
      <c r="E269" s="2289"/>
      <c r="F269" s="2260"/>
      <c r="G269" s="2260"/>
      <c r="H269" s="2260"/>
      <c r="I269" s="2288"/>
      <c r="J269" s="2409"/>
      <c r="K269" s="2262"/>
      <c r="L269" s="2262"/>
      <c r="M269" s="2262"/>
      <c r="N269" s="2262"/>
      <c r="O269" s="2262"/>
      <c r="P269" s="2262"/>
    </row>
    <row customHeight="true" ht="16.071428571428573" r="270">
      <c r="A270" s="2283"/>
      <c r="B270" s="2255"/>
      <c r="C270" s="2283"/>
      <c r="D270" s="2256"/>
      <c r="E270" s="2289"/>
      <c r="F270" s="2260"/>
      <c r="G270" s="2260"/>
      <c r="H270" s="2260"/>
      <c r="I270" s="2288"/>
      <c r="J270" s="2405"/>
      <c r="K270" s="2262"/>
      <c r="L270" s="2262"/>
      <c r="M270" s="2262"/>
      <c r="N270" s="2262"/>
      <c r="O270" s="2262"/>
      <c r="P270" s="2262"/>
    </row>
    <row customHeight="true" ht="16.071428571428573" r="271">
      <c r="A271" s="2283"/>
      <c r="B271" s="2255"/>
      <c r="C271" s="2283"/>
      <c r="D271" s="2256"/>
      <c r="E271" s="2289"/>
      <c r="F271" s="2260"/>
      <c r="G271" s="2260"/>
      <c r="H271" s="2260"/>
      <c r="I271" s="2288"/>
      <c r="J271" s="2409"/>
      <c r="K271" s="2262"/>
      <c r="L271" s="2262"/>
      <c r="M271" s="2262"/>
      <c r="N271" s="2262"/>
      <c r="O271" s="2262"/>
      <c r="P271" s="2262"/>
    </row>
    <row customHeight="true" ht="16.071428571428573" r="272">
      <c r="A272" s="2283"/>
      <c r="B272" s="2255"/>
      <c r="C272" s="2283"/>
      <c r="D272" s="2289"/>
      <c r="E272" s="2289"/>
      <c r="F272" s="2288"/>
      <c r="G272" s="2408"/>
      <c r="H272" s="2260"/>
      <c r="I272" s="2288"/>
      <c r="J272" s="2405"/>
      <c r="K272" s="2262"/>
      <c r="L272" s="2262"/>
      <c r="M272" s="2262"/>
      <c r="N272" s="2262"/>
      <c r="O272" s="2262"/>
      <c r="P272" s="2262"/>
    </row>
    <row customHeight="true" ht="16.071428571428573" r="273">
      <c r="A273" s="2283"/>
      <c r="B273" s="2283"/>
      <c r="C273" s="2283"/>
      <c r="D273" s="2260"/>
      <c r="E273" s="2260"/>
      <c r="F273" s="2260"/>
      <c r="G273" s="2404"/>
      <c r="H273" s="2260"/>
      <c r="I273" s="2288"/>
      <c r="J273" s="2405"/>
      <c r="K273" s="2262"/>
      <c r="L273" s="2262"/>
      <c r="M273" s="2262"/>
      <c r="N273" s="2262"/>
      <c r="O273" s="2262"/>
      <c r="P273" s="2262"/>
    </row>
    <row r="274">
      <c r="A274" s="2512" t="s">
        <v>2243</v>
      </c>
      <c r="B274" s="2512"/>
      <c r="C274" s="2512"/>
      <c r="D274" s="2512"/>
      <c r="E274" s="2512"/>
      <c r="F274" s="2512"/>
      <c r="G274" s="2512"/>
      <c r="H274" s="2512"/>
      <c r="I274" s="2512"/>
      <c r="J274" s="2513"/>
      <c r="K274" s="2296"/>
      <c r="L274" s="2296"/>
      <c r="M274" s="2296"/>
      <c r="N274" s="2296"/>
      <c r="O274" s="2296"/>
      <c r="P274" s="2296"/>
    </row>
    <row r="275">
      <c r="A275" s="2277" t="s">
        <v>1989</v>
      </c>
      <c r="B275" s="2278" t="s">
        <v>1990</v>
      </c>
      <c r="C275" s="2278"/>
      <c r="D275" s="2279" t="s">
        <v>1991</v>
      </c>
      <c r="E275" s="2279" t="s">
        <v>1992</v>
      </c>
      <c r="F275" s="2279" t="s">
        <v>1993</v>
      </c>
      <c r="G275" s="2514" t="s">
        <v>2012</v>
      </c>
      <c r="H275" s="2279" t="s">
        <v>1995</v>
      </c>
      <c r="I275" s="2279" t="s">
        <v>1996</v>
      </c>
      <c r="J275" s="2280" t="s">
        <v>1997</v>
      </c>
      <c r="K275" s="2282"/>
      <c r="L275" s="2282"/>
      <c r="M275" s="2282"/>
      <c r="N275" s="2282"/>
      <c r="O275" s="2282"/>
      <c r="P275" s="2282"/>
    </row>
    <row r="276">
      <c r="A276" s="2283" t="s">
        <v>2243</v>
      </c>
      <c r="B276" s="2255">
        <v>46273</v>
      </c>
      <c r="C276" s="2283" t="str">
        <v>Tuesday</v>
      </c>
      <c r="D276" s="2256" t="s">
        <v>2244</v>
      </c>
      <c r="E276" s="2260">
        <f t="shared" ref="E276:E282" si="96">24*MOD(TIMEVALUE(TRIM(MID(D276,FIND("-",D276)+1,LEN(D276)))) - TIMEVALUE(TRIM(LEFT(D276,FIND("-",D276)-1))),1)</f>
      </c>
      <c r="F276" s="2291" t="s">
        <v>2245</v>
      </c>
      <c r="G276" s="2408"/>
      <c r="H276" s="2260" t="s">
        <v>2009</v>
      </c>
      <c r="I276" s="2260"/>
      <c r="J276" s="2286"/>
      <c r="K276" s="2262"/>
      <c r="L276" s="2262"/>
      <c r="M276" s="2262"/>
      <c r="N276" s="2262"/>
      <c r="O276" s="2262"/>
      <c r="P276" s="2262"/>
    </row>
    <row customHeight="true" ht="18.452380952380953" r="277">
      <c r="A277" s="2283" t="s">
        <v>2243</v>
      </c>
      <c r="B277" s="2255">
        <v>46273</v>
      </c>
      <c r="C277" s="2283" t="str">
        <v>Tuesday</v>
      </c>
      <c r="D277" s="2288" t="s">
        <v>2027</v>
      </c>
      <c r="E277" s="2288">
        <f t="shared" si="96"/>
      </c>
      <c r="F277" s="2284" t="s">
        <v>2141</v>
      </c>
      <c r="G277" s="2302" t="s">
        <v>2246</v>
      </c>
      <c r="H277" s="2288" t="s">
        <v>2009</v>
      </c>
      <c r="I277" s="2288"/>
      <c r="J277" s="2261"/>
      <c r="K277" s="2460"/>
      <c r="L277" s="2460"/>
      <c r="M277" s="2460"/>
      <c r="N277" s="2460"/>
      <c r="O277" s="2460"/>
      <c r="P277" s="2460"/>
      <c r="Q277" s="2382"/>
      <c r="R277" s="2382"/>
    </row>
    <row customHeight="true" ht="18.452380952380953" r="278">
      <c r="A278" s="2283" t="s">
        <v>2243</v>
      </c>
      <c r="B278" s="2255">
        <v>46274</v>
      </c>
      <c r="C278" s="2283" t="str">
        <v>Wednesday</v>
      </c>
      <c r="D278" s="2256" t="s">
        <v>2058</v>
      </c>
      <c r="E278" s="2260">
        <f t="shared" si="96"/>
      </c>
      <c r="F278" s="2291" t="s">
        <v>2245</v>
      </c>
      <c r="G278" s="2408"/>
      <c r="H278" s="2288" t="s">
        <v>2009</v>
      </c>
      <c r="I278" s="2288"/>
      <c r="J278" s="2261"/>
      <c r="K278" s="2262"/>
      <c r="L278" s="2262"/>
      <c r="M278" s="2262"/>
      <c r="N278" s="2262"/>
      <c r="O278" s="2262"/>
      <c r="P278" s="2262"/>
    </row>
    <row customHeight="true" ht="18.452380952380953" r="279">
      <c r="A279" s="2283" t="s">
        <v>2243</v>
      </c>
      <c r="B279" s="2255">
        <v>46275</v>
      </c>
      <c r="C279" s="2283" t="str">
        <v>Thursday</v>
      </c>
      <c r="D279" s="2288" t="s">
        <v>2058</v>
      </c>
      <c r="E279" s="2260">
        <f t="shared" si="96"/>
      </c>
      <c r="F279" s="2291" t="s">
        <v>2245</v>
      </c>
      <c r="G279" s="2408"/>
      <c r="H279" s="2260" t="s">
        <v>2009</v>
      </c>
      <c r="I279" s="2288"/>
      <c r="J279" s="2286"/>
      <c r="K279" s="2262"/>
      <c r="L279" s="2262"/>
      <c r="M279" s="2262"/>
      <c r="N279" s="2262"/>
      <c r="O279" s="2262"/>
      <c r="P279" s="2262"/>
    </row>
    <row customHeight="true" ht="18.452380952380953" r="280">
      <c r="A280" s="2283" t="s">
        <v>2243</v>
      </c>
      <c r="B280" s="2255">
        <v>46275</v>
      </c>
      <c r="C280" s="2283" t="str">
        <v>Thursday</v>
      </c>
      <c r="D280" s="2256" t="s">
        <v>2027</v>
      </c>
      <c r="E280" s="2260">
        <f t="shared" si="96"/>
      </c>
      <c r="F280" s="2263" t="s">
        <v>2247</v>
      </c>
      <c r="G280" s="2408"/>
      <c r="H280" s="2260" t="s">
        <v>2009</v>
      </c>
      <c r="I280" s="2288"/>
      <c r="J280" s="2286"/>
      <c r="K280" s="2262"/>
      <c r="L280" s="2262"/>
      <c r="M280" s="2262"/>
      <c r="N280" s="2262"/>
      <c r="O280" s="2262"/>
      <c r="P280" s="2262"/>
    </row>
    <row customHeight="true" ht="18.452380952380953" r="281">
      <c r="A281" s="2283" t="s">
        <v>2243</v>
      </c>
      <c r="B281" s="2255">
        <v>46276</v>
      </c>
      <c r="C281" s="2283" t="str">
        <v>Friday</v>
      </c>
      <c r="D281" s="2288" t="s">
        <v>2058</v>
      </c>
      <c r="E281" s="2260">
        <f t="shared" si="96"/>
      </c>
      <c r="F281" s="2291" t="s">
        <v>2245</v>
      </c>
      <c r="G281" s="2408"/>
      <c r="H281" s="2260" t="s">
        <v>2009</v>
      </c>
      <c r="I281" s="2288"/>
      <c r="J281" s="2286"/>
      <c r="K281" s="2262"/>
      <c r="L281" s="2262"/>
      <c r="M281" s="2262"/>
      <c r="N281" s="2262"/>
      <c r="O281" s="2262"/>
      <c r="P281" s="2262"/>
    </row>
    <row customHeight="true" ht="18.452380952380953" r="282">
      <c r="A282" s="2283" t="s">
        <v>2243</v>
      </c>
      <c r="B282" s="2255">
        <v>46277</v>
      </c>
      <c r="C282" s="2283" t="str">
        <v>Saturday</v>
      </c>
      <c r="D282" s="2256" t="s">
        <v>2248</v>
      </c>
      <c r="E282" s="2260">
        <f t="shared" si="96"/>
      </c>
      <c r="F282" s="2291" t="s">
        <v>2245</v>
      </c>
      <c r="G282" s="2408"/>
      <c r="H282" s="2260" t="s">
        <v>2009</v>
      </c>
      <c r="I282" s="2288"/>
      <c r="J282" s="2286"/>
      <c r="K282" s="2262"/>
      <c r="L282" s="2262"/>
      <c r="M282" s="2262"/>
      <c r="N282" s="2262"/>
      <c r="O282" s="2262"/>
      <c r="P282" s="2262"/>
    </row>
    <row customHeight="true" ht="18.452380952380953" r="283">
      <c r="A283" s="2283" t="s">
        <v>2243</v>
      </c>
      <c r="B283" s="2255">
        <v>46278</v>
      </c>
      <c r="C283" s="2283" t="str">
        <v>Sunday</v>
      </c>
      <c r="D283" s="2256" t="s">
        <v>2248</v>
      </c>
      <c r="E283" s="2289">
        <v>3</v>
      </c>
      <c r="F283" s="2291" t="s">
        <v>2245</v>
      </c>
      <c r="G283" s="2408"/>
      <c r="H283" s="2260" t="s">
        <v>2009</v>
      </c>
      <c r="I283" s="2288"/>
      <c r="J283" s="2286"/>
      <c r="K283" s="2262"/>
      <c r="L283" s="2262"/>
      <c r="M283" s="2262"/>
      <c r="N283" s="2262"/>
      <c r="O283" s="2262"/>
      <c r="P283" s="2262"/>
    </row>
    <row r="284">
      <c r="A284" s="2283" t="s">
        <v>2249</v>
      </c>
      <c r="B284" s="2255">
        <v>46272</v>
      </c>
      <c r="C284" s="2283" t="str">
        <v>Monday</v>
      </c>
      <c r="D284" s="2256" t="s">
        <v>2027</v>
      </c>
      <c r="E284" s="2260">
        <f t="shared" ref="E284:E293" si="97">24*MOD(TIMEVALUE(TRIM(MID(D284,FIND("-",D284)+1,LEN(D284)))) - TIMEVALUE(TRIM(LEFT(D284,FIND("-",D284)-1))),1)</f>
      </c>
      <c r="F284" s="2260" t="s">
        <v>2250</v>
      </c>
      <c r="G284" s="2404"/>
      <c r="H284" s="2288"/>
      <c r="I284" s="2288"/>
      <c r="J284" s="2261"/>
      <c r="K284" s="2262"/>
      <c r="L284" s="2262"/>
      <c r="M284" s="2262"/>
      <c r="N284" s="2262"/>
      <c r="O284" s="2262"/>
      <c r="P284" s="2262"/>
    </row>
    <row r="285">
      <c r="A285" s="2283" t="s">
        <v>2249</v>
      </c>
      <c r="B285" s="2255">
        <v>46273</v>
      </c>
      <c r="C285" s="2283" t="str">
        <v>Tuesday</v>
      </c>
      <c r="D285" s="2256" t="s">
        <v>2244</v>
      </c>
      <c r="E285" s="2260">
        <f t="shared" si="97"/>
      </c>
      <c r="F285" s="2260" t="s">
        <v>2251</v>
      </c>
      <c r="G285" s="2404"/>
      <c r="H285" s="2288"/>
      <c r="I285" s="2288"/>
      <c r="J285" s="2261"/>
      <c r="K285" s="2262"/>
      <c r="L285" s="2262"/>
      <c r="M285" s="2262"/>
      <c r="N285" s="2262"/>
      <c r="O285" s="2262"/>
      <c r="P285" s="2262"/>
    </row>
    <row r="286">
      <c r="A286" s="2283" t="s">
        <v>2249</v>
      </c>
      <c r="B286" s="2255">
        <v>46274</v>
      </c>
      <c r="C286" s="2283" t="str">
        <v>Wednesday</v>
      </c>
      <c r="D286" s="2288" t="s">
        <v>2058</v>
      </c>
      <c r="E286" s="2260">
        <f t="shared" si="97"/>
      </c>
      <c r="F286" s="2260" t="s">
        <v>2250</v>
      </c>
      <c r="G286" s="2404"/>
      <c r="H286" s="2288"/>
      <c r="I286" s="2288"/>
      <c r="J286" s="2261"/>
      <c r="K286" s="2262"/>
      <c r="L286" s="2262"/>
      <c r="M286" s="2262"/>
      <c r="N286" s="2262"/>
      <c r="O286" s="2262"/>
      <c r="P286" s="2262"/>
    </row>
    <row customHeight="true" ht="18.452380952380953" r="287">
      <c r="A287" s="2283" t="s">
        <v>2249</v>
      </c>
      <c r="B287" s="2255">
        <v>46275</v>
      </c>
      <c r="C287" s="2283" t="str">
        <v>Thursday</v>
      </c>
      <c r="D287" s="2256" t="s">
        <v>2014</v>
      </c>
      <c r="E287" s="2260">
        <f t="shared" si="97"/>
      </c>
      <c r="F287" s="2291" t="s">
        <v>2251</v>
      </c>
      <c r="G287" s="2404"/>
      <c r="H287" s="2288"/>
      <c r="I287" s="2288"/>
      <c r="J287" s="2261"/>
      <c r="K287" s="2262"/>
      <c r="L287" s="2262"/>
      <c r="M287" s="2262"/>
      <c r="N287" s="2262"/>
      <c r="O287" s="2262"/>
      <c r="P287" s="2262"/>
    </row>
    <row r="288">
      <c r="A288" s="2283" t="s">
        <v>2249</v>
      </c>
      <c r="B288" s="2255">
        <v>46275</v>
      </c>
      <c r="C288" s="2283" t="str">
        <v>Thursday</v>
      </c>
      <c r="D288" s="2256" t="s">
        <v>2017</v>
      </c>
      <c r="E288" s="2260">
        <f t="shared" si="97"/>
      </c>
      <c r="F288" s="2291" t="s">
        <v>2250</v>
      </c>
      <c r="G288" s="2404"/>
      <c r="H288" s="2288"/>
      <c r="I288" s="2288"/>
      <c r="J288" s="2261"/>
      <c r="K288" s="2262"/>
      <c r="L288" s="2262"/>
      <c r="M288" s="2262"/>
      <c r="N288" s="2262"/>
      <c r="O288" s="2262"/>
      <c r="P288" s="2262"/>
    </row>
    <row customHeight="true" ht="18.452380952380953" r="289">
      <c r="A289" s="2283" t="s">
        <v>2249</v>
      </c>
      <c r="B289" s="2255">
        <v>46275</v>
      </c>
      <c r="C289" s="2283" t="str">
        <v>Thursday</v>
      </c>
      <c r="D289" s="2256" t="s">
        <v>2027</v>
      </c>
      <c r="E289" s="2260">
        <f t="shared" si="97"/>
      </c>
      <c r="F289" s="2260" t="s">
        <v>2239</v>
      </c>
      <c r="G289" s="2404"/>
      <c r="H289" s="2288"/>
      <c r="I289" s="2288"/>
      <c r="J289" s="2261"/>
      <c r="K289" s="2262"/>
      <c r="L289" s="2262"/>
      <c r="M289" s="2262"/>
      <c r="N289" s="2262"/>
      <c r="O289" s="2262"/>
      <c r="P289" s="2262"/>
    </row>
    <row r="290">
      <c r="A290" s="2283" t="s">
        <v>2249</v>
      </c>
      <c r="B290" s="2255">
        <v>46276</v>
      </c>
      <c r="C290" s="2283" t="str">
        <v>Friday</v>
      </c>
      <c r="D290" s="2288" t="s">
        <v>2058</v>
      </c>
      <c r="E290" s="2260">
        <f t="shared" si="97"/>
      </c>
      <c r="F290" s="2260" t="s">
        <v>2250</v>
      </c>
      <c r="G290" s="2404"/>
      <c r="H290" s="2288"/>
      <c r="I290" s="2293"/>
      <c r="J290" s="2293"/>
      <c r="K290" s="2384"/>
      <c r="L290" s="2384"/>
      <c r="M290" s="2384"/>
      <c r="N290" s="2384"/>
      <c r="O290" s="2384"/>
      <c r="P290" s="2384"/>
    </row>
    <row customHeight="true" ht="18.452380952380953" r="291">
      <c r="A291" s="2283" t="s">
        <v>2252</v>
      </c>
      <c r="B291" s="2255">
        <v>46276</v>
      </c>
      <c r="C291" s="2283" t="str">
        <v>Friday</v>
      </c>
      <c r="D291" s="2256" t="s">
        <v>2253</v>
      </c>
      <c r="E291" s="2260">
        <f t="shared" si="97"/>
      </c>
      <c r="F291" s="2260" t="s">
        <v>2168</v>
      </c>
      <c r="G291" s="2404"/>
      <c r="H291" s="2288"/>
      <c r="I291" s="2293"/>
      <c r="J291" s="2293"/>
      <c r="K291" s="2384"/>
      <c r="L291" s="2384"/>
      <c r="M291" s="2384"/>
      <c r="N291" s="2384"/>
      <c r="O291" s="2384"/>
      <c r="P291" s="2384"/>
    </row>
    <row customHeight="true" ht="18.452380952380953" r="292">
      <c r="A292" s="2283" t="s">
        <v>2249</v>
      </c>
      <c r="B292" s="2255">
        <v>46277</v>
      </c>
      <c r="C292" s="2283" t="str">
        <v>Saturday</v>
      </c>
      <c r="D292" s="2256" t="s">
        <v>2248</v>
      </c>
      <c r="E292" s="2260">
        <f t="shared" si="97"/>
      </c>
      <c r="F292" s="2260" t="s">
        <v>2251</v>
      </c>
      <c r="G292" s="2404"/>
      <c r="H292" s="2260"/>
      <c r="I292" s="2288"/>
      <c r="J292" s="2286"/>
      <c r="K292" s="2460"/>
      <c r="L292" s="2460"/>
      <c r="M292" s="2460"/>
      <c r="N292" s="2460"/>
      <c r="O292" s="2460"/>
      <c r="P292" s="2460"/>
      <c r="Q292" s="2293"/>
      <c r="R292" s="2293"/>
    </row>
    <row customHeight="true" ht="18.452380952380953" r="293">
      <c r="A293" s="2283" t="s">
        <v>2249</v>
      </c>
      <c r="B293" s="2255">
        <v>46278</v>
      </c>
      <c r="C293" s="2283" t="str">
        <v>Sunday</v>
      </c>
      <c r="D293" s="2256" t="s">
        <v>2248</v>
      </c>
      <c r="E293" s="2260">
        <f t="shared" si="97"/>
      </c>
      <c r="F293" s="2260" t="s">
        <v>2251</v>
      </c>
      <c r="G293" s="2404"/>
      <c r="H293" s="2288"/>
      <c r="I293" s="2293"/>
      <c r="J293" s="2293"/>
      <c r="K293" s="2384"/>
      <c r="L293" s="2384"/>
      <c r="M293" s="2384"/>
      <c r="N293" s="2384"/>
      <c r="O293" s="2384"/>
      <c r="P293" s="2384"/>
    </row>
    <row r="294">
      <c r="A294" s="2293"/>
      <c r="B294" s="2515"/>
      <c r="C294" s="2293"/>
      <c r="D294" s="2293"/>
      <c r="E294" s="2293"/>
      <c r="F294" s="2516"/>
      <c r="G294" s="2517"/>
      <c r="H294" s="2518"/>
      <c r="I294" s="2293"/>
      <c r="J294" s="2293"/>
      <c r="K294" s="2384"/>
      <c r="L294" s="2384"/>
      <c r="M294" s="2384"/>
      <c r="N294" s="2384"/>
      <c r="O294" s="2384"/>
      <c r="P294" s="2384"/>
    </row>
    <row r="295">
      <c r="A295" s="2293"/>
      <c r="B295" s="2293"/>
      <c r="C295" s="2293"/>
      <c r="D295" s="2293"/>
      <c r="E295" s="2293"/>
      <c r="F295" s="2516"/>
      <c r="G295" s="2517"/>
      <c r="H295" s="2518"/>
      <c r="I295" s="2293"/>
      <c r="J295" s="2293"/>
      <c r="K295" s="2384"/>
      <c r="L295" s="2384"/>
      <c r="M295" s="2384"/>
      <c r="N295" s="2384"/>
      <c r="O295" s="2384"/>
      <c r="P295" s="2384"/>
    </row>
    <row r="296">
      <c r="A296" s="2519" t="s">
        <v>2254</v>
      </c>
      <c r="B296" s="2519"/>
      <c r="C296" s="2519"/>
      <c r="D296" s="2519"/>
      <c r="E296" s="2519"/>
      <c r="F296" s="2519"/>
      <c r="G296" s="2519"/>
      <c r="H296" s="2519"/>
      <c r="I296" s="2519"/>
      <c r="J296" s="2520"/>
      <c r="K296" s="2373"/>
      <c r="L296" s="2373"/>
      <c r="M296" s="2373"/>
      <c r="N296" s="2373"/>
      <c r="O296" s="2373"/>
      <c r="P296" s="2373"/>
    </row>
    <row r="297">
      <c r="A297" s="2521" t="s">
        <v>1989</v>
      </c>
      <c r="B297" s="2522" t="s">
        <v>1990</v>
      </c>
      <c r="C297" s="2522"/>
      <c r="D297" s="2523" t="s">
        <v>1991</v>
      </c>
      <c r="E297" s="2523" t="s">
        <v>1992</v>
      </c>
      <c r="F297" s="2523" t="s">
        <v>1993</v>
      </c>
      <c r="G297" s="2524" t="s">
        <v>2012</v>
      </c>
      <c r="H297" s="2523" t="s">
        <v>1995</v>
      </c>
      <c r="I297" s="2523" t="s">
        <v>1996</v>
      </c>
      <c r="J297" s="2525" t="s">
        <v>1997</v>
      </c>
      <c r="K297" s="2282"/>
      <c r="L297" s="2282"/>
      <c r="M297" s="2282"/>
      <c r="N297" s="2282"/>
      <c r="O297" s="2282"/>
      <c r="P297" s="2282"/>
    </row>
    <row r="298">
      <c r="A298" s="2283" t="s">
        <v>2255</v>
      </c>
      <c r="B298" s="2255">
        <v>46272</v>
      </c>
      <c r="C298" s="2283" t="str">
        <v>Monday</v>
      </c>
      <c r="D298" s="2256" t="s">
        <v>2256</v>
      </c>
      <c r="E298" s="2260">
        <f t="shared" ref="E298:E326" si="98">24*MOD(TIMEVALUE(TRIM(MID(D298,FIND("-",D298)+1,LEN(D298)))) - TIMEVALUE(TRIM(LEFT(D298,FIND("-",D298)-1))),1)</f>
      </c>
      <c r="F298" s="2260" t="s">
        <v>2163</v>
      </c>
      <c r="G298" s="2408"/>
      <c r="H298" s="2260" t="s">
        <v>2009</v>
      </c>
      <c r="I298" s="2288"/>
      <c r="J298" s="2286"/>
      <c r="K298" s="2262"/>
      <c r="L298" s="2262"/>
      <c r="M298" s="2262"/>
      <c r="N298" s="2262"/>
      <c r="O298" s="2262"/>
      <c r="P298" s="2262"/>
    </row>
    <row customHeight="true" ht="18.452380952380953" r="299">
      <c r="A299" s="2283" t="s">
        <v>2255</v>
      </c>
      <c r="B299" s="2255">
        <v>46273</v>
      </c>
      <c r="C299" s="2283" t="str">
        <v>Tuesday</v>
      </c>
      <c r="D299" s="2256" t="s">
        <v>2257</v>
      </c>
      <c r="E299" s="2260">
        <f t="shared" si="98"/>
      </c>
      <c r="F299" s="2260" t="s">
        <v>2163</v>
      </c>
      <c r="G299" s="2408"/>
      <c r="H299" s="2260" t="s">
        <v>2009</v>
      </c>
      <c r="I299" s="2346"/>
      <c r="J299" s="2286"/>
      <c r="K299" s="2262"/>
      <c r="L299" s="2262"/>
      <c r="M299" s="2262"/>
      <c r="N299" s="2262"/>
      <c r="O299" s="2262"/>
      <c r="P299" s="2262"/>
    </row>
    <row customHeight="true" ht="18.452380952380953" r="300">
      <c r="A300" s="2432" t="s">
        <v>2255</v>
      </c>
      <c r="B300" s="2255">
        <v>46274</v>
      </c>
      <c r="C300" s="2432" t="str">
        <v>Wednesday</v>
      </c>
      <c r="D300" s="2403" t="s">
        <v>2007</v>
      </c>
      <c r="E300" s="2349">
        <f t="shared" si="98"/>
      </c>
      <c r="F300" s="2291" t="s">
        <v>2126</v>
      </c>
      <c r="G300" s="2526"/>
      <c r="H300" s="2349" t="s">
        <v>2009</v>
      </c>
      <c r="I300" s="2349"/>
      <c r="J300" s="2527"/>
      <c r="K300" s="2262"/>
      <c r="L300" s="2262"/>
      <c r="M300" s="2262"/>
      <c r="N300" s="2262"/>
      <c r="O300" s="2262"/>
      <c r="P300" s="2262"/>
      <c r="Q300" s="2384"/>
      <c r="R300" s="2384"/>
    </row>
    <row customHeight="true" ht="18.452380952380953" r="301">
      <c r="A301" s="2283" t="s">
        <v>2255</v>
      </c>
      <c r="B301" s="2283">
        <v>46274</v>
      </c>
      <c r="C301" s="2283" t="str">
        <v>Wednesday</v>
      </c>
      <c r="D301" s="2403" t="s">
        <v>2014</v>
      </c>
      <c r="E301" s="2349">
        <f t="shared" si="98"/>
      </c>
      <c r="F301" s="2260" t="s">
        <v>2141</v>
      </c>
      <c r="G301" s="2526"/>
      <c r="H301" s="2349" t="s">
        <v>2009</v>
      </c>
      <c r="I301" s="2349"/>
      <c r="J301" s="2527"/>
      <c r="K301" s="2262"/>
      <c r="L301" s="2262"/>
      <c r="M301" s="2262"/>
      <c r="N301" s="2262"/>
      <c r="O301" s="2262"/>
      <c r="P301" s="2262"/>
      <c r="Q301" s="2384"/>
      <c r="R301" s="2384"/>
    </row>
    <row customHeight="true" ht="18.452380952380953" r="302">
      <c r="A302" s="2283" t="s">
        <v>2255</v>
      </c>
      <c r="B302" s="2255">
        <v>46275</v>
      </c>
      <c r="C302" s="2283" t="str">
        <v>Thursday</v>
      </c>
      <c r="D302" s="2403" t="s">
        <v>2258</v>
      </c>
      <c r="E302" s="2260">
        <f t="shared" si="98"/>
      </c>
      <c r="F302" s="2260" t="s">
        <v>2163</v>
      </c>
      <c r="G302" s="2408"/>
      <c r="H302" s="2260" t="s">
        <v>2009</v>
      </c>
      <c r="I302" s="2260"/>
      <c r="J302" s="2286"/>
      <c r="K302" s="2262"/>
      <c r="L302" s="2262"/>
      <c r="M302" s="2262"/>
      <c r="N302" s="2262"/>
      <c r="O302" s="2262"/>
      <c r="P302" s="2262"/>
    </row>
    <row customHeight="true" ht="18.452380952380953" r="303">
      <c r="A303" s="2283" t="s">
        <v>2255</v>
      </c>
      <c r="B303" s="2255">
        <v>46275</v>
      </c>
      <c r="C303" s="2283" t="str">
        <v>Thursday</v>
      </c>
      <c r="D303" s="2403" t="s">
        <v>2221</v>
      </c>
      <c r="E303" s="2260">
        <f t="shared" si="98"/>
      </c>
      <c r="F303" s="2260" t="s">
        <v>2141</v>
      </c>
      <c r="G303" s="2408"/>
      <c r="H303" s="2260" t="s">
        <v>2009</v>
      </c>
      <c r="I303" s="2260"/>
      <c r="J303" s="2286"/>
      <c r="K303" s="2262"/>
      <c r="L303" s="2262"/>
      <c r="M303" s="2262"/>
      <c r="N303" s="2262"/>
      <c r="O303" s="2262"/>
      <c r="P303" s="2262"/>
    </row>
    <row customHeight="true" ht="18.452380952380953" r="304">
      <c r="A304" s="2432" t="s">
        <v>2255</v>
      </c>
      <c r="B304" s="2255">
        <v>46276</v>
      </c>
      <c r="C304" s="2432" t="str">
        <v>Friday</v>
      </c>
      <c r="D304" s="2403" t="s">
        <v>2259</v>
      </c>
      <c r="E304" s="2349">
        <f t="shared" si="98"/>
      </c>
      <c r="F304" s="2260" t="s">
        <v>2163</v>
      </c>
      <c r="G304" s="2434"/>
      <c r="H304" s="2349" t="s">
        <v>2009</v>
      </c>
      <c r="I304" s="2349"/>
      <c r="J304" s="2527"/>
      <c r="K304" s="2262"/>
      <c r="L304" s="2262"/>
      <c r="M304" s="2262"/>
      <c r="N304" s="2262"/>
      <c r="O304" s="2262"/>
      <c r="P304" s="2262"/>
      <c r="Q304" s="2319"/>
      <c r="R304" s="2319"/>
    </row>
    <row customHeight="true" ht="18.452380952380953" r="305">
      <c r="A305" s="2432" t="s">
        <v>2255</v>
      </c>
      <c r="B305" s="2255">
        <v>46276</v>
      </c>
      <c r="C305" s="2432" t="str">
        <v>Friday</v>
      </c>
      <c r="D305" s="2403" t="s">
        <v>2260</v>
      </c>
      <c r="E305" s="2349">
        <f t="shared" si="98"/>
      </c>
      <c r="F305" s="2260" t="s">
        <v>2141</v>
      </c>
      <c r="G305" s="2434"/>
      <c r="H305" s="2349" t="s">
        <v>2009</v>
      </c>
      <c r="I305" s="2349"/>
      <c r="J305" s="2527"/>
      <c r="K305" s="2262"/>
      <c r="L305" s="2262"/>
      <c r="M305" s="2262"/>
      <c r="N305" s="2262"/>
      <c r="O305" s="2262"/>
      <c r="P305" s="2262"/>
      <c r="Q305" s="2319"/>
      <c r="R305" s="2319"/>
    </row>
    <row customHeight="true" ht="18.452380952380953" r="306">
      <c r="A306" s="2283" t="s">
        <v>2255</v>
      </c>
      <c r="B306" s="2255">
        <v>46277</v>
      </c>
      <c r="C306" s="2283" t="str">
        <v>Saturday</v>
      </c>
      <c r="D306" s="2256" t="s">
        <v>2261</v>
      </c>
      <c r="E306" s="2260">
        <f t="shared" si="98"/>
      </c>
      <c r="F306" s="2260" t="s">
        <v>2262</v>
      </c>
      <c r="G306" s="2408"/>
      <c r="H306" s="2260" t="s">
        <v>2009</v>
      </c>
      <c r="I306" s="2288"/>
      <c r="J306" s="2286"/>
      <c r="K306" s="2262"/>
      <c r="L306" s="2262"/>
      <c r="M306" s="2262"/>
      <c r="N306" s="2262"/>
      <c r="O306" s="2262"/>
      <c r="P306" s="2262"/>
    </row>
    <row customHeight="true" ht="18.452380952380953" r="307">
      <c r="A307" s="2283" t="s">
        <v>2255</v>
      </c>
      <c r="B307" s="2283">
        <v>46277</v>
      </c>
      <c r="C307" s="2283" t="str">
        <v>Saturday</v>
      </c>
      <c r="D307" s="2256" t="s">
        <v>2263</v>
      </c>
      <c r="E307" s="2288">
        <f t="shared" si="98"/>
      </c>
      <c r="F307" s="2288" t="s">
        <v>2024</v>
      </c>
      <c r="G307" s="2292"/>
      <c r="H307" s="2288" t="s">
        <v>2009</v>
      </c>
      <c r="I307" s="2288"/>
      <c r="J307" s="2261"/>
      <c r="K307" s="2460"/>
      <c r="L307" s="2460"/>
      <c r="M307" s="2460"/>
      <c r="N307" s="2460"/>
      <c r="O307" s="2460"/>
      <c r="P307" s="2460"/>
      <c r="Q307" s="2382"/>
      <c r="R307" s="2382"/>
    </row>
    <row customHeight="true" ht="18.452380952380953" r="308">
      <c r="A308" s="2303" t="s">
        <v>2255</v>
      </c>
      <c r="B308" s="2303">
        <v>46277</v>
      </c>
      <c r="C308" s="2303" t="str">
        <v>Saturday</v>
      </c>
      <c r="D308" s="2305" t="s">
        <v>2237</v>
      </c>
      <c r="E308" s="2306">
        <f t="shared" si="98"/>
      </c>
      <c r="F308" s="2306" t="s">
        <v>2264</v>
      </c>
      <c r="G308" s="2307"/>
      <c r="H308" s="2306" t="s">
        <v>2009</v>
      </c>
      <c r="I308" s="2306"/>
      <c r="J308" s="2528"/>
      <c r="K308" s="2400"/>
      <c r="L308" s="2400"/>
      <c r="M308" s="2400"/>
      <c r="N308" s="2400"/>
      <c r="O308" s="2400"/>
      <c r="P308" s="2400"/>
      <c r="Q308" s="2407"/>
      <c r="R308" s="2407"/>
    </row>
    <row customHeight="true" ht="18.452380952380953" r="309">
      <c r="A309" s="2432" t="s">
        <v>2255</v>
      </c>
      <c r="B309" s="2283">
        <v>46277</v>
      </c>
      <c r="C309" s="2283" t="str">
        <v>Saturday</v>
      </c>
      <c r="D309" s="2403" t="s">
        <v>2265</v>
      </c>
      <c r="E309" s="2349">
        <f t="shared" si="98"/>
      </c>
      <c r="F309" s="2260" t="s">
        <v>2072</v>
      </c>
      <c r="G309" s="2434"/>
      <c r="H309" s="2349" t="s">
        <v>2009</v>
      </c>
      <c r="I309" s="2271" t="s">
        <v>1972</v>
      </c>
      <c r="J309" s="2527"/>
      <c r="K309" s="2262"/>
      <c r="L309" s="2262"/>
      <c r="M309" s="2262"/>
      <c r="N309" s="2262"/>
      <c r="O309" s="2262"/>
      <c r="P309" s="2262"/>
      <c r="Q309" s="2319"/>
      <c r="R309" s="2319"/>
    </row>
    <row customHeight="true" ht="18.452380952380953" r="310">
      <c r="A310" s="2283" t="s">
        <v>2255</v>
      </c>
      <c r="B310" s="2255">
        <v>46278</v>
      </c>
      <c r="C310" s="2283" t="str">
        <v>Sunday</v>
      </c>
      <c r="D310" s="2256" t="s">
        <v>2266</v>
      </c>
      <c r="E310" s="2260">
        <f t="shared" si="98"/>
      </c>
      <c r="F310" s="2260" t="s">
        <v>2262</v>
      </c>
      <c r="G310" s="2404"/>
      <c r="H310" s="2260" t="s">
        <v>2009</v>
      </c>
      <c r="I310" s="2288"/>
      <c r="J310" s="2286"/>
      <c r="K310" s="2460"/>
      <c r="L310" s="2460"/>
      <c r="M310" s="2460"/>
      <c r="N310" s="2460"/>
      <c r="O310" s="2460"/>
      <c r="P310" s="2460"/>
      <c r="Q310" s="2293"/>
      <c r="R310" s="2293"/>
    </row>
    <row customHeight="true" ht="18.452380952380953" r="311">
      <c r="A311" s="2283" t="s">
        <v>2255</v>
      </c>
      <c r="B311" s="2255">
        <v>46278</v>
      </c>
      <c r="C311" s="2283" t="str">
        <v>Sunday</v>
      </c>
      <c r="D311" s="2256" t="s">
        <v>2267</v>
      </c>
      <c r="E311" s="2288">
        <f t="shared" si="98"/>
      </c>
      <c r="F311" s="2260" t="s">
        <v>2141</v>
      </c>
      <c r="G311" s="2292"/>
      <c r="H311" s="2288" t="s">
        <v>2009</v>
      </c>
      <c r="I311" s="2288"/>
      <c r="J311" s="2261"/>
      <c r="K311" s="2460"/>
      <c r="L311" s="2460"/>
      <c r="M311" s="2460"/>
      <c r="N311" s="2460"/>
      <c r="O311" s="2460"/>
      <c r="P311" s="2460"/>
      <c r="Q311" s="2382"/>
      <c r="R311" s="2382"/>
    </row>
    <row customHeight="true" ht="18.452380952380953" r="312">
      <c r="A312" s="2283" t="s">
        <v>2268</v>
      </c>
      <c r="B312" s="2283">
        <v>46272</v>
      </c>
      <c r="C312" s="2283" t="str">
        <v>Monday</v>
      </c>
      <c r="D312" s="2256" t="s">
        <v>2257</v>
      </c>
      <c r="E312" s="2260">
        <f t="shared" si="98"/>
      </c>
      <c r="F312" s="2529" t="s">
        <v>2269</v>
      </c>
      <c r="G312" s="2404"/>
      <c r="H312" s="2260" t="s">
        <v>2009</v>
      </c>
      <c r="I312" s="2260"/>
      <c r="J312" s="2286"/>
      <c r="K312" s="2460"/>
      <c r="L312" s="2460"/>
      <c r="M312" s="2460"/>
      <c r="N312" s="2460"/>
      <c r="O312" s="2460"/>
      <c r="P312" s="2460"/>
    </row>
    <row customHeight="true" ht="18.452380952380953" r="313">
      <c r="A313" s="2283" t="s">
        <v>2268</v>
      </c>
      <c r="B313" s="2283">
        <v>46273</v>
      </c>
      <c r="C313" s="2283" t="str">
        <v>Tuesday</v>
      </c>
      <c r="D313" s="2256" t="s">
        <v>2257</v>
      </c>
      <c r="E313" s="2260">
        <f t="shared" si="98"/>
      </c>
      <c r="F313" s="2260" t="s">
        <v>2239</v>
      </c>
      <c r="G313" s="2404"/>
      <c r="H313" s="2260" t="s">
        <v>2009</v>
      </c>
      <c r="I313" s="2260"/>
      <c r="J313" s="2286"/>
      <c r="K313" s="2460"/>
      <c r="L313" s="2460"/>
      <c r="M313" s="2460"/>
      <c r="N313" s="2460"/>
      <c r="O313" s="2460"/>
      <c r="P313" s="2460"/>
    </row>
    <row customHeight="true" ht="18.452380952380953" r="314">
      <c r="A314" s="2283" t="s">
        <v>2268</v>
      </c>
      <c r="B314" s="2255">
        <v>46274</v>
      </c>
      <c r="C314" s="2432" t="str">
        <v>Wednesday</v>
      </c>
      <c r="D314" s="2403" t="s">
        <v>2007</v>
      </c>
      <c r="E314" s="2260">
        <f t="shared" si="98"/>
      </c>
      <c r="F314" s="2260" t="s">
        <v>2239</v>
      </c>
      <c r="G314" s="2408"/>
      <c r="H314" s="2260" t="s">
        <v>2009</v>
      </c>
      <c r="I314" s="2288"/>
      <c r="J314" s="2286"/>
      <c r="K314" s="2262"/>
      <c r="L314" s="2262"/>
      <c r="M314" s="2262"/>
      <c r="N314" s="2262"/>
      <c r="O314" s="2262"/>
      <c r="P314" s="2262"/>
    </row>
    <row customHeight="true" ht="18.452380952380953" r="315">
      <c r="A315" s="2283" t="s">
        <v>2268</v>
      </c>
      <c r="B315" s="2283">
        <v>46274</v>
      </c>
      <c r="C315" s="2283" t="str">
        <v>Wednesday</v>
      </c>
      <c r="D315" s="2403" t="s">
        <v>2014</v>
      </c>
      <c r="E315" s="2260">
        <f t="shared" si="98"/>
      </c>
      <c r="F315" s="2529" t="s">
        <v>2269</v>
      </c>
      <c r="G315" s="2408"/>
      <c r="H315" s="2260"/>
      <c r="I315" s="2288"/>
      <c r="J315" s="2286"/>
      <c r="K315" s="2262"/>
      <c r="L315" s="2262"/>
      <c r="M315" s="2262"/>
      <c r="N315" s="2262"/>
      <c r="O315" s="2262"/>
      <c r="P315" s="2262"/>
    </row>
    <row customHeight="true" ht="18.452380952380953" r="316">
      <c r="A316" s="2283" t="s">
        <v>2268</v>
      </c>
      <c r="B316" s="2255">
        <v>46275</v>
      </c>
      <c r="C316" s="2283" t="str">
        <v>Thursday</v>
      </c>
      <c r="D316" s="2403" t="s">
        <v>2270</v>
      </c>
      <c r="E316" s="2260">
        <f t="shared" si="98"/>
      </c>
      <c r="F316" s="2260" t="s">
        <v>2250</v>
      </c>
      <c r="G316" s="2408"/>
      <c r="H316" s="2260" t="s">
        <v>2009</v>
      </c>
      <c r="I316" s="2288"/>
      <c r="J316" s="2286"/>
      <c r="K316" s="2262"/>
      <c r="L316" s="2262"/>
      <c r="M316" s="2262"/>
      <c r="N316" s="2262"/>
      <c r="O316" s="2262"/>
      <c r="P316" s="2262"/>
    </row>
    <row customHeight="true" ht="18.452380952380953" r="317">
      <c r="A317" s="2283" t="s">
        <v>2268</v>
      </c>
      <c r="B317" s="2255">
        <v>46275</v>
      </c>
      <c r="C317" s="2283" t="str">
        <v>Thursday</v>
      </c>
      <c r="D317" s="2403" t="s">
        <v>2039</v>
      </c>
      <c r="E317" s="2260">
        <f t="shared" si="98"/>
      </c>
      <c r="F317" s="2260" t="s">
        <v>2239</v>
      </c>
      <c r="G317" s="2408"/>
      <c r="H317" s="2260"/>
      <c r="I317" s="2288"/>
      <c r="J317" s="2286"/>
      <c r="K317" s="2262"/>
      <c r="L317" s="2262"/>
      <c r="M317" s="2262"/>
      <c r="N317" s="2262"/>
      <c r="O317" s="2262"/>
      <c r="P317" s="2262"/>
    </row>
    <row customHeight="true" ht="18.452380952380953" r="318">
      <c r="A318" s="2283" t="s">
        <v>2268</v>
      </c>
      <c r="B318" s="2283">
        <v>46276</v>
      </c>
      <c r="C318" s="2283" t="str">
        <v>Friday</v>
      </c>
      <c r="D318" s="2256" t="s">
        <v>2258</v>
      </c>
      <c r="E318" s="2288">
        <f t="shared" si="98"/>
      </c>
      <c r="F318" s="2260" t="s">
        <v>2250</v>
      </c>
      <c r="G318" s="2408"/>
      <c r="H318" s="2260" t="s">
        <v>2009</v>
      </c>
      <c r="I318" s="2346"/>
      <c r="J318" s="2286"/>
      <c r="K318" s="2262"/>
      <c r="L318" s="2262"/>
      <c r="M318" s="2262"/>
      <c r="N318" s="2262"/>
      <c r="O318" s="2262"/>
      <c r="P318" s="2262"/>
    </row>
    <row customHeight="true" ht="18.452380952380953" r="319">
      <c r="A319" s="2283" t="s">
        <v>2268</v>
      </c>
      <c r="B319" s="2283">
        <v>46276</v>
      </c>
      <c r="C319" s="2283" t="str">
        <v>Friday</v>
      </c>
      <c r="D319" s="2256" t="s">
        <v>2128</v>
      </c>
      <c r="E319" s="2288">
        <f t="shared" si="98"/>
      </c>
      <c r="F319" s="2260" t="s">
        <v>2239</v>
      </c>
      <c r="G319" s="2408"/>
      <c r="H319" s="2260" t="s">
        <v>2009</v>
      </c>
      <c r="I319" s="2346"/>
      <c r="J319" s="2286"/>
      <c r="K319" s="2262"/>
      <c r="L319" s="2262"/>
      <c r="M319" s="2262"/>
      <c r="N319" s="2262"/>
      <c r="O319" s="2262"/>
      <c r="P319" s="2262"/>
    </row>
    <row customHeight="true" ht="18.452380952380953" r="320">
      <c r="A320" s="2283" t="s">
        <v>2268</v>
      </c>
      <c r="B320" s="2283">
        <v>46276</v>
      </c>
      <c r="C320" s="2283" t="str">
        <v>Friday</v>
      </c>
      <c r="D320" s="2256" t="s">
        <v>2271</v>
      </c>
      <c r="E320" s="2288">
        <f t="shared" si="98"/>
      </c>
      <c r="F320" s="2530" t="s">
        <v>2269</v>
      </c>
      <c r="G320" s="2408"/>
      <c r="H320" s="2260"/>
      <c r="I320" s="2346"/>
      <c r="J320" s="2286"/>
      <c r="K320" s="2262"/>
      <c r="L320" s="2262"/>
      <c r="M320" s="2262"/>
      <c r="N320" s="2262"/>
      <c r="O320" s="2262"/>
      <c r="P320" s="2262"/>
    </row>
    <row customHeight="true" ht="18.452380952380953" r="321">
      <c r="A321" s="2283" t="s">
        <v>2268</v>
      </c>
      <c r="B321" s="2283">
        <v>46277</v>
      </c>
      <c r="C321" s="2283" t="str">
        <v>Saturday</v>
      </c>
      <c r="D321" s="2256" t="s">
        <v>2272</v>
      </c>
      <c r="E321" s="2260">
        <f t="shared" si="98"/>
      </c>
      <c r="F321" s="2260" t="s">
        <v>2239</v>
      </c>
      <c r="G321" s="2408"/>
      <c r="H321" s="2260" t="s">
        <v>2009</v>
      </c>
      <c r="I321" s="2346"/>
      <c r="J321" s="2286"/>
      <c r="K321" s="2262"/>
      <c r="L321" s="2262"/>
      <c r="M321" s="2262"/>
      <c r="N321" s="2262"/>
      <c r="O321" s="2262"/>
      <c r="P321" s="2262"/>
    </row>
    <row customHeight="true" ht="18.452380952380953" r="322">
      <c r="A322" s="2303" t="s">
        <v>2268</v>
      </c>
      <c r="B322" s="2303">
        <v>46277</v>
      </c>
      <c r="C322" s="2303" t="str">
        <v>Saturday</v>
      </c>
      <c r="D322" s="2305" t="s">
        <v>2260</v>
      </c>
      <c r="E322" s="2306">
        <f t="shared" si="98"/>
      </c>
      <c r="F322" s="2306" t="s">
        <v>2051</v>
      </c>
      <c r="G322" s="2307"/>
      <c r="H322" s="2306"/>
      <c r="I322" s="2308"/>
      <c r="J322" s="2528"/>
      <c r="K322" s="2400"/>
      <c r="L322" s="2400"/>
      <c r="M322" s="2400"/>
      <c r="N322" s="2400"/>
      <c r="O322" s="2400"/>
      <c r="P322" s="2400"/>
      <c r="Q322" s="2407"/>
      <c r="R322" s="2407"/>
    </row>
    <row customHeight="true" ht="18.452380952380953" r="323">
      <c r="A323" s="2303" t="s">
        <v>2268</v>
      </c>
      <c r="B323" s="2303">
        <v>46278</v>
      </c>
      <c r="C323" s="2303" t="str">
        <v>Sunday</v>
      </c>
      <c r="D323" s="2306" t="s">
        <v>2259</v>
      </c>
      <c r="E323" s="2306">
        <f t="shared" si="98"/>
      </c>
      <c r="F323" s="2306" t="s">
        <v>2051</v>
      </c>
      <c r="G323" s="2307"/>
      <c r="H323" s="2306" t="s">
        <v>2009</v>
      </c>
      <c r="I323" s="2306"/>
      <c r="J323" s="2528"/>
      <c r="K323" s="2400"/>
      <c r="L323" s="2400"/>
      <c r="M323" s="2400"/>
      <c r="N323" s="2400"/>
      <c r="O323" s="2400"/>
      <c r="P323" s="2400"/>
      <c r="Q323" s="2407"/>
      <c r="R323" s="2407"/>
    </row>
    <row customHeight="true" ht="18.452380952380953" r="324">
      <c r="A324" s="2283" t="s">
        <v>2268</v>
      </c>
      <c r="B324" s="2432">
        <v>46278</v>
      </c>
      <c r="C324" s="2432" t="str">
        <v>Sunday</v>
      </c>
      <c r="D324" s="2349" t="s">
        <v>2259</v>
      </c>
      <c r="E324" s="2349">
        <f t="shared" si="98"/>
      </c>
      <c r="F324" s="2349" t="s">
        <v>2159</v>
      </c>
      <c r="G324" s="2434"/>
      <c r="H324" s="2349" t="s">
        <v>2009</v>
      </c>
    </row>
    <row customHeight="true" ht="18.452380952380953" r="325">
      <c r="A325" s="2283" t="s">
        <v>2268</v>
      </c>
      <c r="B325" s="2283">
        <v>46278</v>
      </c>
      <c r="C325" s="2283" t="str">
        <v>Sunday</v>
      </c>
      <c r="D325" s="2288" t="s">
        <v>2244</v>
      </c>
      <c r="E325" s="2288">
        <f t="shared" si="98"/>
      </c>
      <c r="F325" s="2260" t="s">
        <v>2239</v>
      </c>
      <c r="G325" s="2408"/>
      <c r="H325" s="2260"/>
      <c r="I325" s="2260"/>
      <c r="J325" s="2286"/>
      <c r="K325" s="2262"/>
      <c r="L325" s="2262"/>
      <c r="M325" s="2262"/>
      <c r="N325" s="2262"/>
      <c r="O325" s="2262"/>
      <c r="P325" s="2262"/>
    </row>
    <row customHeight="true" ht="18.452380952380953" r="326">
      <c r="A326" s="2283" t="s">
        <v>2273</v>
      </c>
      <c r="B326" s="2255">
        <v>46276</v>
      </c>
      <c r="C326" s="2283" t="str">
        <v>Friday</v>
      </c>
      <c r="D326" s="2403" t="s">
        <v>2007</v>
      </c>
      <c r="E326" s="2260">
        <f t="shared" si="98"/>
      </c>
      <c r="F326" s="2531" t="s">
        <v>2274</v>
      </c>
      <c r="G326" s="2408" t="s">
        <v>2250</v>
      </c>
      <c r="H326" s="2260"/>
      <c r="I326" s="2288"/>
      <c r="J326" s="2286"/>
      <c r="K326" s="2262"/>
      <c r="L326" s="2262"/>
      <c r="M326" s="2262"/>
      <c r="N326" s="2262"/>
      <c r="O326" s="2262"/>
      <c r="P326" s="2262"/>
    </row>
    <row customHeight="true" ht="18.452380952380953" r="327">
      <c r="A327" s="2283"/>
      <c r="B327" s="2283"/>
      <c r="C327" s="2283"/>
      <c r="D327" s="2288"/>
      <c r="E327" s="2288"/>
      <c r="F327" s="2532"/>
      <c r="G327" s="2292"/>
      <c r="H327" s="2288"/>
      <c r="I327" s="2288"/>
      <c r="J327" s="2261"/>
      <c r="K327" s="2262"/>
      <c r="L327" s="2262"/>
      <c r="M327" s="2262"/>
      <c r="N327" s="2262"/>
      <c r="O327" s="2262"/>
      <c r="P327" s="2262"/>
    </row>
    <row r="328">
      <c r="A328" s="2533" t="s">
        <v>1989</v>
      </c>
      <c r="B328" s="2534" t="s">
        <v>1990</v>
      </c>
      <c r="C328" s="2534"/>
      <c r="D328" s="2535" t="s">
        <v>1991</v>
      </c>
      <c r="E328" s="2535" t="s">
        <v>1992</v>
      </c>
      <c r="F328" s="2535" t="s">
        <v>1993</v>
      </c>
      <c r="G328" s="2536" t="s">
        <v>2012</v>
      </c>
      <c r="H328" s="2535" t="s">
        <v>1995</v>
      </c>
      <c r="I328" s="2535" t="s">
        <v>1996</v>
      </c>
      <c r="J328" s="2537" t="s">
        <v>1997</v>
      </c>
      <c r="K328" s="2282"/>
      <c r="L328" s="2282"/>
      <c r="M328" s="2282"/>
      <c r="N328" s="2282"/>
      <c r="O328" s="2282"/>
      <c r="P328" s="2282"/>
    </row>
    <row r="329">
      <c r="A329" s="2432" t="s">
        <v>2275</v>
      </c>
      <c r="B329" s="2402">
        <v>46272</v>
      </c>
      <c r="C329" s="2432" t="str">
        <v>Monday</v>
      </c>
      <c r="D329" s="2403" t="s">
        <v>2276</v>
      </c>
      <c r="E329" s="2349">
        <f t="shared" ref="E329:E364" si="99">24*MOD(TIMEVALUE(TRIM(MID(D329,FIND("-",D329)+1,LEN(D329)))) - TIMEVALUE(TRIM(LEFT(D329,FIND("-",D329)-1))),1)</f>
      </c>
      <c r="F329" s="2532" t="s">
        <v>2277</v>
      </c>
      <c r="G329" s="2434"/>
      <c r="H329" s="2349"/>
      <c r="I329" s="2349" t="s">
        <v>1972</v>
      </c>
      <c r="J329" s="2462"/>
      <c r="K329" s="2337"/>
      <c r="L329" s="2337"/>
      <c r="M329" s="2337"/>
      <c r="N329" s="2337"/>
      <c r="O329" s="2337"/>
      <c r="P329" s="2337"/>
    </row>
    <row customHeight="true" ht="18.452380952380953" r="330">
      <c r="A330" s="2432" t="s">
        <v>2275</v>
      </c>
      <c r="B330" s="2402">
        <v>46273</v>
      </c>
      <c r="C330" s="2432" t="str">
        <v>Tuesday</v>
      </c>
      <c r="D330" s="2403" t="s">
        <v>2208</v>
      </c>
      <c r="E330" s="2349">
        <f t="shared" si="99"/>
      </c>
      <c r="F330" s="2532" t="s">
        <v>2277</v>
      </c>
      <c r="G330" s="2434"/>
      <c r="H330" s="2349"/>
      <c r="I330" s="2349" t="s">
        <v>1972</v>
      </c>
      <c r="J330" s="2462" t="s">
        <v>2278</v>
      </c>
      <c r="K330" s="2337"/>
      <c r="L330" s="2337"/>
      <c r="M330" s="2337"/>
      <c r="N330" s="2337"/>
      <c r="O330" s="2337"/>
      <c r="P330" s="2337"/>
    </row>
    <row customHeight="true" ht="18.452380952380953" r="331">
      <c r="A331" s="2432" t="s">
        <v>2275</v>
      </c>
      <c r="B331" s="2402">
        <v>46273</v>
      </c>
      <c r="C331" s="2432" t="str">
        <v>Tuesday</v>
      </c>
      <c r="D331" s="2403" t="s">
        <v>2127</v>
      </c>
      <c r="E331" s="2349">
        <f t="shared" si="99"/>
      </c>
      <c r="F331" s="2532" t="s">
        <v>2245</v>
      </c>
      <c r="G331" s="2434"/>
      <c r="H331" s="2349"/>
      <c r="I331" s="2349" t="s">
        <v>1972</v>
      </c>
      <c r="J331" s="2462" t="s">
        <v>2278</v>
      </c>
      <c r="K331" s="2337"/>
      <c r="L331" s="2337"/>
      <c r="M331" s="2337"/>
      <c r="N331" s="2337"/>
      <c r="O331" s="2337"/>
      <c r="P331" s="2337"/>
    </row>
    <row customHeight="true" ht="18.452380952380953" r="332">
      <c r="A332" s="2432" t="s">
        <v>2275</v>
      </c>
      <c r="B332" s="2402">
        <v>46273</v>
      </c>
      <c r="C332" s="2432" t="str">
        <v>Tuesday</v>
      </c>
      <c r="D332" s="2403" t="s">
        <v>2279</v>
      </c>
      <c r="E332" s="2349">
        <f t="shared" si="99"/>
      </c>
      <c r="F332" s="2532" t="s">
        <v>2277</v>
      </c>
      <c r="G332" s="2434"/>
      <c r="H332" s="2349"/>
      <c r="I332" s="2349" t="s">
        <v>1972</v>
      </c>
      <c r="J332" s="2462" t="s">
        <v>2278</v>
      </c>
      <c r="K332" s="2337"/>
      <c r="L332" s="2337"/>
      <c r="M332" s="2337"/>
      <c r="N332" s="2337"/>
      <c r="O332" s="2337"/>
      <c r="P332" s="2337"/>
    </row>
    <row customHeight="true" ht="18.452380952380953" r="333">
      <c r="A333" s="2283" t="s">
        <v>2275</v>
      </c>
      <c r="B333" s="2255">
        <v>46274</v>
      </c>
      <c r="C333" s="2283" t="str">
        <v>Wednesday</v>
      </c>
      <c r="D333" s="2403" t="s">
        <v>2058</v>
      </c>
      <c r="E333" s="2288">
        <f t="shared" si="99"/>
      </c>
      <c r="F333" s="2532" t="s">
        <v>2277</v>
      </c>
      <c r="G333" s="2302"/>
      <c r="H333" s="2288"/>
      <c r="I333" s="2288" t="s">
        <v>1972</v>
      </c>
      <c r="J333" s="2261"/>
      <c r="K333" s="2262"/>
      <c r="L333" s="2262"/>
      <c r="M333" s="2262"/>
      <c r="N333" s="2262"/>
      <c r="O333" s="2262"/>
      <c r="P333" s="2262"/>
    </row>
    <row customHeight="true" ht="18.452380952380953" r="334">
      <c r="A334" s="2283" t="s">
        <v>2275</v>
      </c>
      <c r="B334" s="2255">
        <v>46274</v>
      </c>
      <c r="C334" s="2283" t="str">
        <v>Wednesday</v>
      </c>
      <c r="D334" s="2403" t="s">
        <v>2020</v>
      </c>
      <c r="E334" s="2288">
        <f t="shared" si="99"/>
      </c>
      <c r="F334" s="2532" t="s">
        <v>2264</v>
      </c>
      <c r="G334" s="2302"/>
      <c r="H334" s="2288"/>
      <c r="I334" s="2288" t="s">
        <v>1972</v>
      </c>
      <c r="J334" s="2261"/>
      <c r="K334" s="2262"/>
      <c r="L334" s="2262"/>
      <c r="M334" s="2262"/>
      <c r="N334" s="2262"/>
      <c r="O334" s="2262"/>
      <c r="P334" s="2262"/>
    </row>
    <row customHeight="true" ht="18.452380952380953" r="335">
      <c r="A335" s="2283" t="s">
        <v>2275</v>
      </c>
      <c r="B335" s="2255">
        <v>46274</v>
      </c>
      <c r="C335" s="2283" t="str">
        <v>Wednesday</v>
      </c>
      <c r="D335" s="2403" t="s">
        <v>2280</v>
      </c>
      <c r="E335" s="2288">
        <f t="shared" si="99"/>
      </c>
      <c r="F335" s="2532" t="s">
        <v>2277</v>
      </c>
      <c r="G335" s="2302"/>
      <c r="H335" s="2288"/>
      <c r="I335" s="2288" t="s">
        <v>1972</v>
      </c>
      <c r="J335" s="2261"/>
      <c r="K335" s="2262"/>
      <c r="L335" s="2262"/>
      <c r="M335" s="2262"/>
      <c r="N335" s="2262"/>
      <c r="O335" s="2262"/>
      <c r="P335" s="2262"/>
    </row>
    <row customHeight="true" ht="20.238095238095237" r="336">
      <c r="A336" s="2432" t="s">
        <v>2275</v>
      </c>
      <c r="B336" s="2402">
        <v>46275</v>
      </c>
      <c r="C336" s="2432" t="str">
        <v>Thursday</v>
      </c>
      <c r="D336" s="2403" t="s">
        <v>2244</v>
      </c>
      <c r="E336" s="2349">
        <f t="shared" si="99"/>
      </c>
      <c r="F336" s="2532" t="s">
        <v>2277</v>
      </c>
      <c r="G336" s="2434"/>
      <c r="H336" s="2349"/>
      <c r="I336" s="2349" t="s">
        <v>1972</v>
      </c>
      <c r="J336" s="2527"/>
      <c r="K336" s="2262"/>
      <c r="L336" s="2262"/>
      <c r="M336" s="2262"/>
      <c r="N336" s="2262"/>
      <c r="O336" s="2262"/>
      <c r="P336" s="2262"/>
      <c r="Q336" s="2319"/>
      <c r="R336" s="2319"/>
    </row>
    <row customHeight="true" ht="20.238095238095237" r="337">
      <c r="A337" s="2432" t="s">
        <v>2275</v>
      </c>
      <c r="B337" s="2402">
        <v>46275</v>
      </c>
      <c r="C337" s="2432" t="str">
        <v>Thursday</v>
      </c>
      <c r="D337" s="2403" t="s">
        <v>2281</v>
      </c>
      <c r="E337" s="2349">
        <f t="shared" si="99"/>
      </c>
      <c r="F337" s="2532" t="s">
        <v>2245</v>
      </c>
      <c r="G337" s="2434"/>
      <c r="H337" s="2349"/>
      <c r="I337" s="2349" t="s">
        <v>1972</v>
      </c>
      <c r="J337" s="2527"/>
      <c r="K337" s="2262"/>
      <c r="L337" s="2262"/>
      <c r="M337" s="2262"/>
      <c r="N337" s="2262"/>
      <c r="O337" s="2262"/>
      <c r="P337" s="2262"/>
      <c r="Q337" s="2319"/>
      <c r="R337" s="2319"/>
    </row>
    <row customHeight="true" ht="20.238095238095237" r="338">
      <c r="A338" s="2283" t="s">
        <v>2275</v>
      </c>
      <c r="B338" s="2402">
        <v>46276</v>
      </c>
      <c r="C338" s="2283" t="str">
        <v>Friday</v>
      </c>
      <c r="D338" s="2403" t="s">
        <v>2058</v>
      </c>
      <c r="E338" s="2288">
        <f t="shared" si="99"/>
      </c>
      <c r="F338" s="2532" t="s">
        <v>2277</v>
      </c>
      <c r="G338" s="2302"/>
      <c r="H338" s="2288"/>
      <c r="I338" s="2288" t="s">
        <v>1972</v>
      </c>
      <c r="J338" s="2261"/>
      <c r="K338" s="2262"/>
      <c r="L338" s="2262"/>
      <c r="M338" s="2262"/>
      <c r="N338" s="2262"/>
      <c r="O338" s="2262"/>
      <c r="P338" s="2262"/>
    </row>
    <row customHeight="true" ht="20.238095238095237" r="339">
      <c r="A339" s="2283" t="s">
        <v>2275</v>
      </c>
      <c r="B339" s="2402">
        <v>46276</v>
      </c>
      <c r="C339" s="2283" t="str">
        <v>Friday</v>
      </c>
      <c r="D339" s="2403" t="s">
        <v>2282</v>
      </c>
      <c r="E339" s="2288">
        <f t="shared" si="99"/>
      </c>
      <c r="F339" s="2532" t="s">
        <v>2264</v>
      </c>
      <c r="G339" s="2302"/>
      <c r="H339" s="2288"/>
      <c r="I339" s="2288" t="s">
        <v>1972</v>
      </c>
      <c r="J339" s="2261"/>
      <c r="K339" s="2262"/>
      <c r="L339" s="2262"/>
      <c r="M339" s="2262"/>
      <c r="N339" s="2262"/>
      <c r="O339" s="2262"/>
      <c r="P339" s="2262"/>
    </row>
    <row customHeight="true" ht="20.238095238095237" r="340">
      <c r="A340" s="2283" t="s">
        <v>2275</v>
      </c>
      <c r="B340" s="2402">
        <v>46276</v>
      </c>
      <c r="C340" s="2283" t="str">
        <v>Friday</v>
      </c>
      <c r="D340" s="2403" t="s">
        <v>2127</v>
      </c>
      <c r="E340" s="2288">
        <f t="shared" si="99"/>
      </c>
      <c r="F340" s="2532" t="s">
        <v>2277</v>
      </c>
      <c r="G340" s="2302"/>
      <c r="H340" s="2288"/>
      <c r="I340" s="2288" t="s">
        <v>1972</v>
      </c>
      <c r="J340" s="2261"/>
      <c r="K340" s="2262"/>
      <c r="L340" s="2262"/>
      <c r="M340" s="2262"/>
      <c r="N340" s="2262"/>
      <c r="O340" s="2262"/>
      <c r="P340" s="2262"/>
    </row>
    <row customHeight="true" ht="20.238095238095237" r="341">
      <c r="A341" s="2283" t="s">
        <v>2275</v>
      </c>
      <c r="B341" s="2255">
        <v>46277</v>
      </c>
      <c r="C341" s="2283" t="str">
        <v>Saturday</v>
      </c>
      <c r="D341" s="2403" t="s">
        <v>2283</v>
      </c>
      <c r="E341" s="2288">
        <f t="shared" si="99"/>
      </c>
      <c r="F341" s="2532" t="s">
        <v>2245</v>
      </c>
      <c r="G341" s="2302"/>
      <c r="H341" s="2288"/>
      <c r="I341" s="2288" t="s">
        <v>1972</v>
      </c>
      <c r="J341" s="2261"/>
      <c r="K341" s="2262"/>
      <c r="L341" s="2262"/>
      <c r="M341" s="2262"/>
      <c r="N341" s="2262"/>
      <c r="O341" s="2262"/>
      <c r="P341" s="2262"/>
    </row>
    <row customHeight="true" ht="20.238095238095237" r="342">
      <c r="A342" s="2283" t="s">
        <v>2275</v>
      </c>
      <c r="B342" s="2255">
        <v>46277</v>
      </c>
      <c r="C342" s="2283" t="str">
        <v>Saturday</v>
      </c>
      <c r="D342" s="2403" t="s">
        <v>2284</v>
      </c>
      <c r="E342" s="2288">
        <f t="shared" si="99"/>
      </c>
      <c r="F342" s="2532" t="s">
        <v>2277</v>
      </c>
      <c r="G342" s="2302"/>
      <c r="H342" s="2288"/>
      <c r="I342" s="2288" t="s">
        <v>1972</v>
      </c>
      <c r="J342" s="2261"/>
      <c r="K342" s="2262"/>
      <c r="L342" s="2262"/>
      <c r="M342" s="2262"/>
      <c r="N342" s="2262"/>
      <c r="O342" s="2262"/>
      <c r="P342" s="2262"/>
    </row>
    <row customHeight="true" ht="20.238095238095237" r="343">
      <c r="A343" s="2283" t="s">
        <v>2275</v>
      </c>
      <c r="B343" s="2255">
        <v>46278</v>
      </c>
      <c r="C343" s="2283" t="str">
        <v>Sunday</v>
      </c>
      <c r="D343" s="2256" t="s">
        <v>2285</v>
      </c>
      <c r="E343" s="2288">
        <f t="shared" si="99"/>
      </c>
      <c r="F343" s="2532" t="s">
        <v>2277</v>
      </c>
      <c r="G343" s="2302"/>
      <c r="H343" s="2288"/>
      <c r="I343" s="2288" t="s">
        <v>1972</v>
      </c>
      <c r="J343" s="2261"/>
      <c r="K343" s="2262"/>
      <c r="L343" s="2262"/>
      <c r="M343" s="2262"/>
      <c r="N343" s="2262"/>
      <c r="O343" s="2262"/>
      <c r="P343" s="2262"/>
    </row>
    <row customHeight="true" ht="20.238095238095237" r="344">
      <c r="A344" s="2303" t="s">
        <v>2275</v>
      </c>
      <c r="B344" s="2304">
        <v>46278</v>
      </c>
      <c r="C344" s="2303" t="str">
        <v>Sunday</v>
      </c>
      <c r="D344" s="2305" t="s">
        <v>2127</v>
      </c>
      <c r="E344" s="2306">
        <f t="shared" si="99"/>
      </c>
      <c r="F344" s="2406" t="s">
        <v>2264</v>
      </c>
      <c r="G344" s="2307"/>
      <c r="H344" s="2306"/>
      <c r="I344" s="2306" t="s">
        <v>1972</v>
      </c>
      <c r="J344" s="2528"/>
      <c r="K344" s="2400"/>
      <c r="L344" s="2400"/>
      <c r="M344" s="2400"/>
      <c r="N344" s="2400"/>
      <c r="O344" s="2400"/>
      <c r="P344" s="2400"/>
      <c r="Q344" s="2407"/>
      <c r="R344" s="2407"/>
    </row>
    <row r="345">
      <c r="A345" s="2283" t="s">
        <v>2286</v>
      </c>
      <c r="B345" s="2402">
        <v>46272</v>
      </c>
      <c r="C345" s="2283" t="str">
        <v>Monday</v>
      </c>
      <c r="D345" s="2403" t="s">
        <v>2276</v>
      </c>
      <c r="E345" s="2288">
        <f t="shared" si="99"/>
      </c>
      <c r="F345" s="2291" t="s">
        <v>2251</v>
      </c>
      <c r="G345" s="2292"/>
      <c r="H345" s="2288"/>
      <c r="I345" s="2288" t="s">
        <v>1972</v>
      </c>
      <c r="J345" s="2257" t="s">
        <v>2287</v>
      </c>
      <c r="K345" s="2262"/>
      <c r="L345" s="2262"/>
      <c r="M345" s="2262"/>
      <c r="N345" s="2262"/>
      <c r="O345" s="2262"/>
      <c r="P345" s="2262"/>
    </row>
    <row customHeight="true" ht="18.452380952380953" r="346">
      <c r="A346" s="2283" t="s">
        <v>2286</v>
      </c>
      <c r="B346" s="2402">
        <v>46273</v>
      </c>
      <c r="C346" s="2283" t="str">
        <v>Tuesday</v>
      </c>
      <c r="D346" s="2403" t="s">
        <v>2208</v>
      </c>
      <c r="E346" s="2288">
        <f t="shared" si="99"/>
      </c>
      <c r="F346" s="2291" t="s">
        <v>2288</v>
      </c>
      <c r="G346" s="2292"/>
      <c r="H346" s="2288"/>
      <c r="I346" s="2288" t="s">
        <v>1972</v>
      </c>
      <c r="J346" s="2257" t="s">
        <v>2287</v>
      </c>
      <c r="K346" s="2262"/>
      <c r="L346" s="2262"/>
      <c r="M346" s="2262"/>
      <c r="N346" s="2262"/>
      <c r="O346" s="2262"/>
      <c r="P346" s="2262"/>
    </row>
    <row customHeight="true" ht="18.452380952380953" r="347">
      <c r="A347" s="2283" t="s">
        <v>2286</v>
      </c>
      <c r="B347" s="2402">
        <v>46273</v>
      </c>
      <c r="C347" s="2283" t="str">
        <v>Tuesday</v>
      </c>
      <c r="D347" s="2403" t="s">
        <v>2127</v>
      </c>
      <c r="E347" s="2288">
        <f t="shared" si="99"/>
      </c>
      <c r="F347" s="2291" t="s">
        <v>2159</v>
      </c>
      <c r="G347" s="2292"/>
      <c r="H347" s="2288"/>
      <c r="I347" s="2288" t="s">
        <v>1972</v>
      </c>
      <c r="J347" s="2257" t="s">
        <v>2287</v>
      </c>
      <c r="K347" s="2262"/>
      <c r="L347" s="2262"/>
      <c r="M347" s="2262"/>
      <c r="N347" s="2262"/>
      <c r="O347" s="2262"/>
      <c r="P347" s="2262"/>
    </row>
    <row customHeight="true" ht="18.452380952380953" r="348">
      <c r="A348" s="2283" t="s">
        <v>2286</v>
      </c>
      <c r="B348" s="2402">
        <v>46273</v>
      </c>
      <c r="C348" s="2283" t="str">
        <v>Tuesday</v>
      </c>
      <c r="D348" s="2403" t="s">
        <v>2279</v>
      </c>
      <c r="E348" s="2288">
        <f t="shared" si="99"/>
      </c>
      <c r="F348" s="2291" t="s">
        <v>2251</v>
      </c>
      <c r="G348" s="2292"/>
      <c r="H348" s="2288"/>
      <c r="I348" s="2288" t="s">
        <v>1972</v>
      </c>
      <c r="J348" s="2257" t="s">
        <v>2287</v>
      </c>
      <c r="K348" s="2262"/>
      <c r="L348" s="2262"/>
      <c r="M348" s="2262"/>
      <c r="N348" s="2262"/>
      <c r="O348" s="2262"/>
      <c r="P348" s="2262"/>
    </row>
    <row customHeight="true" ht="18.452380952380953" r="349">
      <c r="A349" s="2283" t="s">
        <v>2286</v>
      </c>
      <c r="B349" s="2402">
        <v>46274</v>
      </c>
      <c r="C349" s="2283" t="str">
        <v>Wednesday</v>
      </c>
      <c r="D349" s="2403" t="s">
        <v>2058</v>
      </c>
      <c r="E349" s="2288">
        <f t="shared" si="99"/>
      </c>
      <c r="F349" s="2291" t="s">
        <v>2289</v>
      </c>
      <c r="G349" s="2292"/>
      <c r="H349" s="2288"/>
      <c r="I349" s="2288" t="s">
        <v>1972</v>
      </c>
      <c r="J349" s="2257" t="s">
        <v>2287</v>
      </c>
      <c r="K349" s="2262"/>
      <c r="L349" s="2262"/>
      <c r="M349" s="2262"/>
      <c r="N349" s="2262"/>
      <c r="O349" s="2262"/>
      <c r="P349" s="2262"/>
    </row>
    <row customHeight="true" ht="18.452380952380953" r="350">
      <c r="A350" s="2283" t="s">
        <v>2286</v>
      </c>
      <c r="B350" s="2402">
        <v>46274</v>
      </c>
      <c r="C350" s="2283" t="str">
        <v>Wednesday</v>
      </c>
      <c r="D350" s="2403" t="s">
        <v>2020</v>
      </c>
      <c r="E350" s="2288">
        <f t="shared" si="99"/>
      </c>
      <c r="F350" s="2291" t="s">
        <v>2290</v>
      </c>
      <c r="G350" s="2292"/>
      <c r="H350" s="2288"/>
      <c r="I350" s="2288" t="s">
        <v>1972</v>
      </c>
      <c r="J350" s="2257" t="s">
        <v>2287</v>
      </c>
      <c r="K350" s="2262"/>
      <c r="L350" s="2262"/>
      <c r="M350" s="2262"/>
      <c r="N350" s="2262"/>
      <c r="O350" s="2262"/>
      <c r="P350" s="2262"/>
    </row>
    <row customHeight="true" ht="18.452380952380953" r="351">
      <c r="A351" s="2432" t="s">
        <v>2286</v>
      </c>
      <c r="B351" s="2402">
        <v>46274</v>
      </c>
      <c r="C351" s="2432" t="str">
        <v>Wednesday</v>
      </c>
      <c r="D351" s="2403" t="s">
        <v>2033</v>
      </c>
      <c r="E351" s="2349">
        <f t="shared" si="99"/>
      </c>
      <c r="F351" s="2531" t="s">
        <v>2159</v>
      </c>
      <c r="G351" s="2526"/>
      <c r="H351" s="2349"/>
      <c r="I351" s="2349" t="s">
        <v>1972</v>
      </c>
      <c r="J351" s="2462" t="s">
        <v>2287</v>
      </c>
      <c r="K351" s="2262"/>
      <c r="L351" s="2262"/>
      <c r="M351" s="2262"/>
      <c r="N351" s="2262"/>
      <c r="O351" s="2262"/>
      <c r="P351" s="2262"/>
      <c r="Q351" s="2319"/>
      <c r="R351" s="2319"/>
    </row>
    <row customHeight="true" ht="18.452380952380953" r="352">
      <c r="A352" s="2303" t="s">
        <v>2286</v>
      </c>
      <c r="B352" s="2304">
        <v>46274</v>
      </c>
      <c r="C352" s="2303" t="str">
        <v>Wednesday</v>
      </c>
      <c r="D352" s="2305" t="s">
        <v>2033</v>
      </c>
      <c r="E352" s="2306">
        <f t="shared" si="99"/>
      </c>
      <c r="F352" s="2461" t="s">
        <v>2269</v>
      </c>
      <c r="G352" s="2320"/>
      <c r="H352" s="2306"/>
      <c r="I352" s="2306" t="s">
        <v>1972</v>
      </c>
      <c r="J352" s="2309" t="s">
        <v>2287</v>
      </c>
      <c r="K352" s="2400"/>
      <c r="L352" s="2400"/>
      <c r="M352" s="2400"/>
      <c r="N352" s="2400"/>
      <c r="O352" s="2400"/>
      <c r="P352" s="2400"/>
      <c r="Q352" s="2407"/>
      <c r="R352" s="2407"/>
    </row>
    <row customHeight="true" ht="18.452380952380953" r="353">
      <c r="A353" s="2283" t="s">
        <v>2286</v>
      </c>
      <c r="B353" s="2402">
        <v>46275</v>
      </c>
      <c r="C353" s="2283" t="str">
        <v>Thursday</v>
      </c>
      <c r="D353" s="2403" t="s">
        <v>2058</v>
      </c>
      <c r="E353" s="2288">
        <f t="shared" si="99"/>
      </c>
      <c r="F353" s="2291" t="s">
        <v>2289</v>
      </c>
      <c r="G353" s="2292"/>
      <c r="H353" s="2288"/>
      <c r="I353" s="2288" t="s">
        <v>1972</v>
      </c>
      <c r="J353" s="2257" t="s">
        <v>2287</v>
      </c>
      <c r="K353" s="2262"/>
      <c r="L353" s="2262"/>
      <c r="M353" s="2262"/>
      <c r="N353" s="2262"/>
      <c r="O353" s="2262"/>
      <c r="P353" s="2262"/>
    </row>
    <row customHeight="true" ht="18.452380952380953" r="354">
      <c r="A354" s="2283" t="s">
        <v>2286</v>
      </c>
      <c r="B354" s="2402">
        <v>46275</v>
      </c>
      <c r="C354" s="2283" t="str">
        <v>Thursday</v>
      </c>
      <c r="D354" s="2403" t="s">
        <v>2020</v>
      </c>
      <c r="E354" s="2288">
        <f t="shared" si="99"/>
      </c>
      <c r="F354" s="2291" t="s">
        <v>2290</v>
      </c>
      <c r="G354" s="2292"/>
      <c r="H354" s="2288"/>
      <c r="I354" s="2288" t="s">
        <v>1972</v>
      </c>
      <c r="J354" s="2257" t="s">
        <v>2287</v>
      </c>
      <c r="K354" s="2262"/>
      <c r="L354" s="2262"/>
      <c r="M354" s="2262"/>
      <c r="N354" s="2262"/>
      <c r="O354" s="2262"/>
      <c r="P354" s="2262"/>
    </row>
    <row customHeight="true" ht="18.452380952380953" r="355">
      <c r="A355" s="2283" t="s">
        <v>2286</v>
      </c>
      <c r="B355" s="2402">
        <v>46275</v>
      </c>
      <c r="C355" s="2283" t="str">
        <v>Thursday</v>
      </c>
      <c r="D355" s="2403" t="s">
        <v>2033</v>
      </c>
      <c r="E355" s="2288">
        <f t="shared" si="99"/>
      </c>
      <c r="F355" s="2291" t="s">
        <v>2251</v>
      </c>
      <c r="G355" s="2292"/>
      <c r="H355" s="2288"/>
      <c r="I355" s="2288" t="s">
        <v>1972</v>
      </c>
      <c r="J355" s="2257" t="s">
        <v>2287</v>
      </c>
      <c r="K355" s="2262"/>
      <c r="L355" s="2262"/>
      <c r="M355" s="2262"/>
      <c r="N355" s="2262"/>
      <c r="O355" s="2262"/>
      <c r="P355" s="2262"/>
    </row>
    <row customHeight="true" ht="18.452380952380953" r="356">
      <c r="A356" s="2283" t="s">
        <v>2286</v>
      </c>
      <c r="B356" s="2402">
        <v>46276</v>
      </c>
      <c r="C356" s="2283" t="str">
        <v>Friday</v>
      </c>
      <c r="D356" s="2403" t="s">
        <v>2058</v>
      </c>
      <c r="E356" s="2288">
        <f t="shared" si="99"/>
      </c>
      <c r="F356" s="2291" t="s">
        <v>2289</v>
      </c>
      <c r="G356" s="2292"/>
      <c r="H356" s="2288"/>
      <c r="I356" s="2288" t="s">
        <v>1972</v>
      </c>
      <c r="J356" s="2257" t="s">
        <v>2287</v>
      </c>
      <c r="K356" s="2262"/>
      <c r="L356" s="2262"/>
      <c r="M356" s="2262"/>
      <c r="N356" s="2262"/>
      <c r="O356" s="2262"/>
      <c r="P356" s="2262"/>
    </row>
    <row customHeight="true" ht="18.452380952380953" r="357">
      <c r="A357" s="2283" t="s">
        <v>2286</v>
      </c>
      <c r="B357" s="2402">
        <v>46276</v>
      </c>
      <c r="C357" s="2283" t="str">
        <v>Friday</v>
      </c>
      <c r="D357" s="2403" t="s">
        <v>2020</v>
      </c>
      <c r="E357" s="2288">
        <f t="shared" si="99"/>
      </c>
      <c r="F357" s="2291" t="s">
        <v>2290</v>
      </c>
      <c r="G357" s="2292"/>
      <c r="H357" s="2288"/>
      <c r="I357" s="2288" t="s">
        <v>1972</v>
      </c>
      <c r="J357" s="2257" t="s">
        <v>2287</v>
      </c>
      <c r="K357" s="2262"/>
      <c r="L357" s="2262"/>
      <c r="M357" s="2262"/>
      <c r="N357" s="2262"/>
      <c r="O357" s="2262"/>
      <c r="P357" s="2262"/>
    </row>
    <row customHeight="true" ht="18.452380952380953" r="358">
      <c r="A358" s="2432" t="s">
        <v>2286</v>
      </c>
      <c r="B358" s="2402">
        <v>46276</v>
      </c>
      <c r="C358" s="2432" t="str">
        <v>Friday</v>
      </c>
      <c r="D358" s="2403" t="s">
        <v>2033</v>
      </c>
      <c r="E358" s="2349">
        <f t="shared" si="99"/>
      </c>
      <c r="F358" s="2531" t="s">
        <v>2239</v>
      </c>
      <c r="G358" s="2526"/>
      <c r="H358" s="2349"/>
      <c r="I358" s="2349" t="s">
        <v>1972</v>
      </c>
      <c r="J358" s="2462" t="s">
        <v>2287</v>
      </c>
      <c r="K358" s="2262"/>
      <c r="L358" s="2262"/>
      <c r="M358" s="2262"/>
      <c r="N358" s="2262"/>
      <c r="O358" s="2262"/>
      <c r="P358" s="2262"/>
      <c r="Q358" s="2319"/>
      <c r="R358" s="2319"/>
    </row>
    <row customHeight="true" ht="18.452380952380953" r="359">
      <c r="A359" s="2303" t="s">
        <v>2286</v>
      </c>
      <c r="B359" s="2304">
        <v>46276</v>
      </c>
      <c r="C359" s="2303" t="str">
        <v>Friday</v>
      </c>
      <c r="D359" s="2305" t="s">
        <v>2033</v>
      </c>
      <c r="E359" s="2306">
        <f t="shared" si="99"/>
      </c>
      <c r="F359" s="2461" t="s">
        <v>2269</v>
      </c>
      <c r="G359" s="2320"/>
      <c r="H359" s="2306"/>
      <c r="I359" s="2306" t="s">
        <v>1972</v>
      </c>
      <c r="J359" s="2309" t="s">
        <v>2287</v>
      </c>
      <c r="K359" s="2400"/>
      <c r="L359" s="2400"/>
      <c r="M359" s="2400"/>
      <c r="N359" s="2400"/>
      <c r="O359" s="2400"/>
      <c r="P359" s="2400"/>
      <c r="Q359" s="2407"/>
      <c r="R359" s="2407"/>
    </row>
    <row customHeight="true" ht="18.452380952380953" r="360">
      <c r="A360" s="2283" t="s">
        <v>2286</v>
      </c>
      <c r="B360" s="2402">
        <v>46277</v>
      </c>
      <c r="C360" s="2283" t="str">
        <v>Saturday</v>
      </c>
      <c r="D360" s="2403" t="s">
        <v>2291</v>
      </c>
      <c r="E360" s="2288">
        <f t="shared" si="99"/>
      </c>
      <c r="F360" s="2291" t="s">
        <v>2290</v>
      </c>
      <c r="G360" s="2292"/>
      <c r="H360" s="2288"/>
      <c r="I360" s="2288" t="s">
        <v>1972</v>
      </c>
      <c r="J360" s="2257" t="s">
        <v>2287</v>
      </c>
      <c r="K360" s="2262"/>
      <c r="L360" s="2262"/>
      <c r="M360" s="2262"/>
      <c r="N360" s="2262"/>
      <c r="O360" s="2262"/>
      <c r="P360" s="2262"/>
    </row>
    <row customHeight="true" ht="18.452380952380953" r="361">
      <c r="A361" s="2283" t="s">
        <v>2286</v>
      </c>
      <c r="B361" s="2402">
        <v>46277</v>
      </c>
      <c r="C361" s="2283" t="str">
        <v>Saturday</v>
      </c>
      <c r="D361" s="2403" t="s">
        <v>2292</v>
      </c>
      <c r="E361" s="2288">
        <f t="shared" si="99"/>
      </c>
      <c r="F361" s="2291" t="s">
        <v>2251</v>
      </c>
      <c r="G361" s="2292"/>
      <c r="H361" s="2288"/>
      <c r="I361" s="2288" t="s">
        <v>1972</v>
      </c>
      <c r="J361" s="2261"/>
      <c r="K361" s="2262"/>
      <c r="L361" s="2262"/>
      <c r="M361" s="2262"/>
      <c r="N361" s="2262"/>
      <c r="O361" s="2262"/>
      <c r="P361" s="2262"/>
    </row>
    <row customHeight="true" ht="18.452380952380953" r="362">
      <c r="A362" s="2432" t="s">
        <v>2286</v>
      </c>
      <c r="B362" s="2402">
        <v>46278</v>
      </c>
      <c r="C362" s="2432" t="str">
        <v>Sunday</v>
      </c>
      <c r="D362" s="2403" t="s">
        <v>2058</v>
      </c>
      <c r="E362" s="2349">
        <f t="shared" si="99"/>
      </c>
      <c r="F362" s="2291" t="s">
        <v>2289</v>
      </c>
      <c r="G362" s="2526"/>
      <c r="H362" s="2349"/>
      <c r="I362" s="2349" t="s">
        <v>1972</v>
      </c>
      <c r="J362" s="2527"/>
      <c r="K362" s="2262"/>
      <c r="L362" s="2262"/>
      <c r="M362" s="2262"/>
      <c r="N362" s="2262"/>
      <c r="O362" s="2262"/>
      <c r="P362" s="2262"/>
      <c r="Q362" s="2319"/>
      <c r="R362" s="2319"/>
    </row>
    <row r="363">
      <c r="A363" s="2283" t="s">
        <v>2286</v>
      </c>
      <c r="B363" s="2402">
        <v>46278</v>
      </c>
      <c r="C363" s="2283" t="str">
        <v>Sunday</v>
      </c>
      <c r="D363" s="2403" t="s">
        <v>2020</v>
      </c>
      <c r="E363" s="2288">
        <f t="shared" si="99"/>
      </c>
      <c r="F363" s="2291" t="s">
        <v>2159</v>
      </c>
      <c r="G363" s="2292"/>
      <c r="H363" s="2288"/>
      <c r="I363" s="2288" t="s">
        <v>1972</v>
      </c>
      <c r="J363" s="2261"/>
      <c r="K363" s="2262"/>
      <c r="L363" s="2262"/>
      <c r="M363" s="2262"/>
      <c r="N363" s="2262"/>
      <c r="O363" s="2262"/>
      <c r="P363" s="2262"/>
    </row>
    <row customHeight="true" ht="18.452380952380953" r="364">
      <c r="A364" s="2283" t="s">
        <v>2286</v>
      </c>
      <c r="B364" s="2255">
        <v>46278</v>
      </c>
      <c r="C364" s="2283" t="str">
        <v>Sunday</v>
      </c>
      <c r="D364" s="2403" t="s">
        <v>2033</v>
      </c>
      <c r="E364" s="2288">
        <f t="shared" si="99"/>
      </c>
      <c r="F364" s="2291" t="s">
        <v>2251</v>
      </c>
      <c r="G364" s="2292"/>
      <c r="H364" s="2288"/>
      <c r="I364" s="2288" t="s">
        <v>1972</v>
      </c>
      <c r="J364" s="2261"/>
      <c r="K364" s="2262"/>
      <c r="L364" s="2262"/>
      <c r="M364" s="2262"/>
      <c r="N364" s="2262"/>
      <c r="O364" s="2262"/>
      <c r="P364" s="2262"/>
    </row>
    <row r="365">
      <c r="A365" s="2293"/>
      <c r="B365" s="2293"/>
      <c r="C365" s="2293"/>
      <c r="D365" s="2293"/>
      <c r="E365" s="2293"/>
      <c r="F365" s="2293"/>
      <c r="G365" s="2293"/>
      <c r="H365" s="2518"/>
      <c r="I365" s="2293"/>
      <c r="J365" s="2293"/>
      <c r="K365" s="2384"/>
      <c r="L365" s="2384"/>
      <c r="M365" s="2384"/>
      <c r="N365" s="2384"/>
      <c r="O365" s="2384"/>
      <c r="P365" s="2384"/>
    </row>
    <row r="366">
      <c r="A366" s="2538" t="s">
        <v>2293</v>
      </c>
      <c r="B366" s="2539"/>
      <c r="C366" s="2539"/>
      <c r="D366" s="2539"/>
      <c r="E366" s="2539"/>
      <c r="F366" s="2539"/>
      <c r="G366" s="2539"/>
      <c r="H366" s="2539"/>
      <c r="I366" s="2539"/>
      <c r="J366" s="2540"/>
      <c r="K366" s="2296"/>
      <c r="L366" s="2296"/>
      <c r="M366" s="2296"/>
      <c r="N366" s="2296"/>
      <c r="O366" s="2296"/>
      <c r="P366" s="2296"/>
    </row>
    <row r="367">
      <c r="A367" s="2533" t="s">
        <v>1989</v>
      </c>
      <c r="B367" s="2534" t="s">
        <v>1990</v>
      </c>
      <c r="C367" s="2534"/>
      <c r="D367" s="2535" t="s">
        <v>1991</v>
      </c>
      <c r="E367" s="2535" t="s">
        <v>1992</v>
      </c>
      <c r="F367" s="2535" t="s">
        <v>1993</v>
      </c>
      <c r="G367" s="2536" t="s">
        <v>2012</v>
      </c>
      <c r="H367" s="2535" t="s">
        <v>1995</v>
      </c>
      <c r="I367" s="2535" t="s">
        <v>1996</v>
      </c>
      <c r="J367" s="2537" t="s">
        <v>1997</v>
      </c>
      <c r="K367" s="2282"/>
      <c r="L367" s="2282"/>
      <c r="M367" s="2282"/>
      <c r="N367" s="2282"/>
      <c r="O367" s="2282"/>
      <c r="P367" s="2282"/>
    </row>
    <row r="368">
      <c r="A368" s="2283" t="s">
        <v>2293</v>
      </c>
      <c r="B368" s="2255">
        <v>46272</v>
      </c>
      <c r="C368" s="2283" t="str">
        <v>Monday</v>
      </c>
      <c r="D368" s="2256" t="s">
        <v>2221</v>
      </c>
      <c r="E368" s="2288">
        <f t="shared" ref="E368:E382" si="100">24*MOD(TIMEVALUE(TRIM(MID(D368,FIND("-",D368)+1,LEN(D368)))) - TIMEVALUE(TRIM(LEFT(D368,FIND("-",D368)-1))),1)</f>
      </c>
      <c r="F368" s="2541" t="s">
        <v>2294</v>
      </c>
      <c r="G368" s="2302" t="s">
        <v>2295</v>
      </c>
      <c r="H368" s="2288" t="s">
        <v>1971</v>
      </c>
      <c r="I368" s="2288" t="s">
        <v>2005</v>
      </c>
      <c r="J368" s="2257"/>
      <c r="K368" s="2337"/>
      <c r="L368" s="2337"/>
      <c r="M368" s="2337"/>
      <c r="N368" s="2337"/>
      <c r="O368" s="2337"/>
      <c r="P368" s="2337"/>
    </row>
    <row customHeight="true" ht="18.452380952380953" r="369">
      <c r="A369" s="2283" t="s">
        <v>2293</v>
      </c>
      <c r="B369" s="2255">
        <v>46273</v>
      </c>
      <c r="C369" s="2283" t="str">
        <v>Tuesday</v>
      </c>
      <c r="D369" s="2256" t="s">
        <v>2221</v>
      </c>
      <c r="E369" s="2288">
        <f t="shared" si="100"/>
      </c>
      <c r="F369" s="2541" t="s">
        <v>2209</v>
      </c>
      <c r="G369" s="2302" t="s">
        <v>2295</v>
      </c>
      <c r="H369" s="2260" t="s">
        <v>1971</v>
      </c>
      <c r="I369" s="2288" t="s">
        <v>2005</v>
      </c>
      <c r="J369" s="2257"/>
      <c r="K369" s="2262"/>
      <c r="L369" s="2262"/>
      <c r="M369" s="2262"/>
      <c r="N369" s="2262"/>
      <c r="O369" s="2262"/>
      <c r="P369" s="2262"/>
    </row>
    <row customHeight="true" ht="18.452380952380953" r="370">
      <c r="A370" s="2303" t="s">
        <v>2293</v>
      </c>
      <c r="B370" s="2304">
        <v>46274</v>
      </c>
      <c r="C370" s="2303" t="str">
        <v>Wednesday</v>
      </c>
      <c r="D370" s="2305" t="s">
        <v>2221</v>
      </c>
      <c r="E370" s="2306">
        <f t="shared" si="100"/>
      </c>
      <c r="F370" s="2542" t="s">
        <v>2294</v>
      </c>
      <c r="G370" s="2307" t="s">
        <v>2295</v>
      </c>
      <c r="H370" s="2306" t="s">
        <v>1971</v>
      </c>
      <c r="I370" s="2306" t="s">
        <v>2005</v>
      </c>
      <c r="J370" s="2309" t="s">
        <v>2296</v>
      </c>
      <c r="K370" s="2543"/>
      <c r="L370" s="2543"/>
      <c r="M370" s="2543"/>
      <c r="N370" s="2543"/>
      <c r="O370" s="2543"/>
      <c r="P370" s="2543"/>
      <c r="Q370" s="2407"/>
      <c r="R370" s="2407"/>
    </row>
    <row customHeight="true" ht="18.452380952380953" r="371">
      <c r="A371" s="2303" t="s">
        <v>2293</v>
      </c>
      <c r="B371" s="2304">
        <v>46275</v>
      </c>
      <c r="C371" s="2303" t="str">
        <v>Thursday</v>
      </c>
      <c r="D371" s="2305" t="s">
        <v>2221</v>
      </c>
      <c r="E371" s="2306">
        <f t="shared" si="100"/>
      </c>
      <c r="F371" s="2542" t="s">
        <v>2297</v>
      </c>
      <c r="G371" s="2307"/>
      <c r="H371" s="2306" t="s">
        <v>1971</v>
      </c>
      <c r="I371" s="2306" t="s">
        <v>2005</v>
      </c>
      <c r="J371" s="2309" t="s">
        <v>2296</v>
      </c>
      <c r="K371" s="2543"/>
      <c r="L371" s="2543"/>
      <c r="M371" s="2543"/>
      <c r="N371" s="2543"/>
      <c r="O371" s="2543"/>
      <c r="P371" s="2543"/>
      <c r="Q371" s="2407"/>
      <c r="R371" s="2407"/>
    </row>
    <row customHeight="true" ht="18.452380952380953" r="372">
      <c r="A372" s="2303" t="s">
        <v>2293</v>
      </c>
      <c r="B372" s="2304">
        <v>46276</v>
      </c>
      <c r="C372" s="2303" t="str">
        <v>Friday</v>
      </c>
      <c r="D372" s="2305" t="s">
        <v>2248</v>
      </c>
      <c r="E372" s="2306">
        <f t="shared" si="100"/>
      </c>
      <c r="F372" s="2542" t="s">
        <v>2209</v>
      </c>
      <c r="G372" s="2307" t="s">
        <v>2298</v>
      </c>
      <c r="H372" s="2306" t="s">
        <v>1971</v>
      </c>
      <c r="I372" s="2306" t="s">
        <v>2005</v>
      </c>
      <c r="J372" s="2309" t="s">
        <v>2296</v>
      </c>
      <c r="K372" s="2543"/>
      <c r="L372" s="2543"/>
      <c r="M372" s="2543"/>
      <c r="N372" s="2543"/>
      <c r="O372" s="2543"/>
      <c r="P372" s="2543"/>
      <c r="Q372" s="2407"/>
      <c r="R372" s="2407"/>
    </row>
    <row customHeight="true" ht="18.452380952380953" r="373">
      <c r="A373" s="2303" t="s">
        <v>2293</v>
      </c>
      <c r="B373" s="2304">
        <v>46277</v>
      </c>
      <c r="C373" s="2303" t="str">
        <v>Saturday</v>
      </c>
      <c r="D373" s="2305" t="s">
        <v>2221</v>
      </c>
      <c r="E373" s="2306">
        <f t="shared" si="100"/>
      </c>
      <c r="F373" s="2542" t="s">
        <v>2294</v>
      </c>
      <c r="G373" s="2307" t="s">
        <v>2154</v>
      </c>
      <c r="H373" s="2306" t="s">
        <v>1971</v>
      </c>
      <c r="I373" s="2306" t="s">
        <v>2005</v>
      </c>
      <c r="J373" s="2309" t="s">
        <v>2296</v>
      </c>
      <c r="K373" s="2543"/>
      <c r="L373" s="2543"/>
      <c r="M373" s="2543"/>
      <c r="N373" s="2543"/>
      <c r="O373" s="2543"/>
      <c r="P373" s="2543"/>
      <c r="Q373" s="2407"/>
      <c r="R373" s="2407"/>
    </row>
    <row customHeight="true" ht="18.452380952380953" r="374">
      <c r="A374" s="2303" t="s">
        <v>2293</v>
      </c>
      <c r="B374" s="2304">
        <v>46278</v>
      </c>
      <c r="C374" s="2303" t="str">
        <v>Sunday</v>
      </c>
      <c r="D374" s="2305" t="s">
        <v>2221</v>
      </c>
      <c r="E374" s="2306">
        <f t="shared" si="100"/>
      </c>
      <c r="F374" s="2542" t="s">
        <v>2294</v>
      </c>
      <c r="G374" s="2307" t="s">
        <v>2154</v>
      </c>
      <c r="H374" s="2306" t="s">
        <v>1971</v>
      </c>
      <c r="I374" s="2308" t="s">
        <v>2005</v>
      </c>
      <c r="J374" s="2309" t="s">
        <v>2296</v>
      </c>
      <c r="K374" s="2400"/>
      <c r="L374" s="2400"/>
      <c r="M374" s="2400"/>
      <c r="N374" s="2400"/>
      <c r="O374" s="2400"/>
      <c r="P374" s="2400"/>
      <c r="Q374" s="2407"/>
      <c r="R374" s="2407"/>
    </row>
    <row customHeight="true" ht="18.452380952380953" r="375">
      <c r="A375" s="2283" t="s">
        <v>2299</v>
      </c>
      <c r="B375" s="2255">
        <v>46272</v>
      </c>
      <c r="C375" s="2283" t="str">
        <v>Monday</v>
      </c>
      <c r="D375" s="2256" t="s">
        <v>2221</v>
      </c>
      <c r="E375" s="2288">
        <f t="shared" si="100"/>
      </c>
      <c r="F375" s="2541" t="s">
        <v>2297</v>
      </c>
      <c r="G375" s="2292"/>
      <c r="H375" s="2260" t="s">
        <v>1971</v>
      </c>
      <c r="I375" s="2288" t="s">
        <v>2005</v>
      </c>
      <c r="J375" s="2261"/>
      <c r="K375" s="2262"/>
      <c r="L375" s="2262"/>
      <c r="M375" s="2262"/>
      <c r="N375" s="2262"/>
      <c r="O375" s="2262"/>
      <c r="P375" s="2262"/>
    </row>
    <row customHeight="true" ht="18.452380952380953" r="376">
      <c r="A376" s="2283" t="s">
        <v>2299</v>
      </c>
      <c r="B376" s="2255">
        <v>46272</v>
      </c>
      <c r="C376" s="2283" t="str">
        <v>Monday</v>
      </c>
      <c r="D376" s="2256" t="s">
        <v>2202</v>
      </c>
      <c r="E376" s="2288">
        <f t="shared" si="100"/>
      </c>
      <c r="F376" s="2291" t="s">
        <v>2288</v>
      </c>
      <c r="G376" s="2292"/>
      <c r="H376" s="2260" t="s">
        <v>1971</v>
      </c>
      <c r="I376" s="2288" t="s">
        <v>2005</v>
      </c>
      <c r="J376" s="2257" t="s">
        <v>2300</v>
      </c>
      <c r="K376" s="2262"/>
      <c r="L376" s="2262"/>
      <c r="M376" s="2262"/>
      <c r="N376" s="2262"/>
      <c r="O376" s="2262"/>
      <c r="P376" s="2262"/>
    </row>
    <row customHeight="true" ht="18.452380952380953" r="377">
      <c r="A377" s="2283" t="s">
        <v>2299</v>
      </c>
      <c r="B377" s="2255">
        <v>46273</v>
      </c>
      <c r="C377" s="2283" t="str">
        <v>Tuesday</v>
      </c>
      <c r="D377" s="2256" t="s">
        <v>2221</v>
      </c>
      <c r="E377" s="2288">
        <f t="shared" si="100"/>
      </c>
      <c r="F377" s="2541" t="s">
        <v>2297</v>
      </c>
      <c r="G377" s="2292"/>
      <c r="H377" s="2260" t="s">
        <v>1971</v>
      </c>
      <c r="I377" s="2288" t="s">
        <v>2005</v>
      </c>
      <c r="J377" s="2257"/>
      <c r="K377" s="2262"/>
      <c r="L377" s="2262"/>
      <c r="M377" s="2262"/>
      <c r="N377" s="2262"/>
      <c r="O377" s="2262"/>
      <c r="P377" s="2262"/>
    </row>
    <row customHeight="true" ht="18.452380952380953" r="378">
      <c r="A378" s="2303" t="s">
        <v>2299</v>
      </c>
      <c r="B378" s="2304">
        <v>46274</v>
      </c>
      <c r="C378" s="2303" t="str">
        <v>Wednesday</v>
      </c>
      <c r="D378" s="2305" t="s">
        <v>2221</v>
      </c>
      <c r="E378" s="2306">
        <f t="shared" si="100"/>
      </c>
      <c r="F378" s="2542" t="s">
        <v>2297</v>
      </c>
      <c r="G378" s="2320"/>
      <c r="H378" s="2306" t="s">
        <v>1971</v>
      </c>
      <c r="I378" s="2306" t="s">
        <v>2005</v>
      </c>
      <c r="J378" s="2309" t="s">
        <v>2296</v>
      </c>
      <c r="K378" s="2543"/>
      <c r="L378" s="2543"/>
      <c r="M378" s="2543"/>
      <c r="N378" s="2543"/>
      <c r="O378" s="2543"/>
      <c r="P378" s="2543"/>
      <c r="Q378" s="2407"/>
      <c r="R378" s="2407"/>
    </row>
    <row customHeight="true" ht="18.452380952380953" r="379">
      <c r="A379" s="2303" t="s">
        <v>2299</v>
      </c>
      <c r="B379" s="2304">
        <v>46275</v>
      </c>
      <c r="C379" s="2303" t="str">
        <v>Thursday</v>
      </c>
      <c r="D379" s="2305" t="s">
        <v>2221</v>
      </c>
      <c r="E379" s="2306">
        <f t="shared" si="100"/>
      </c>
      <c r="F379" s="2542"/>
      <c r="G379" s="2320"/>
      <c r="H379" s="2306" t="s">
        <v>1971</v>
      </c>
      <c r="I379" s="2306" t="s">
        <v>2005</v>
      </c>
      <c r="J379" s="2309" t="s">
        <v>2296</v>
      </c>
      <c r="K379" s="2400"/>
      <c r="L379" s="2400"/>
      <c r="M379" s="2400"/>
      <c r="N379" s="2400"/>
      <c r="O379" s="2400"/>
      <c r="P379" s="2400"/>
      <c r="Q379" s="2407"/>
      <c r="R379" s="2407"/>
    </row>
    <row customHeight="true" ht="18.452380952380953" r="380">
      <c r="A380" s="2303" t="s">
        <v>2299</v>
      </c>
      <c r="B380" s="2304">
        <v>46276</v>
      </c>
      <c r="C380" s="2303" t="str">
        <v>Friday</v>
      </c>
      <c r="D380" s="2305" t="s">
        <v>2248</v>
      </c>
      <c r="E380" s="2306">
        <f t="shared" si="100"/>
      </c>
      <c r="F380" s="2544" t="s">
        <v>2269</v>
      </c>
      <c r="G380" s="2320"/>
      <c r="H380" s="2306" t="s">
        <v>1971</v>
      </c>
      <c r="I380" s="2306" t="s">
        <v>2005</v>
      </c>
      <c r="J380" s="2309" t="s">
        <v>2296</v>
      </c>
      <c r="K380" s="2400"/>
      <c r="L380" s="2400"/>
      <c r="M380" s="2400"/>
      <c r="N380" s="2400"/>
      <c r="O380" s="2400"/>
      <c r="P380" s="2400"/>
      <c r="Q380" s="2407"/>
      <c r="R380" s="2407"/>
    </row>
    <row customHeight="true" ht="18.452380952380953" r="381">
      <c r="A381" s="2303" t="s">
        <v>2299</v>
      </c>
      <c r="B381" s="2304">
        <v>46277</v>
      </c>
      <c r="C381" s="2303" t="str">
        <v>Saturday</v>
      </c>
      <c r="D381" s="2305" t="s">
        <v>2221</v>
      </c>
      <c r="E381" s="2306">
        <f t="shared" si="100"/>
      </c>
      <c r="F381" s="2406" t="s">
        <v>2159</v>
      </c>
      <c r="G381" s="2320"/>
      <c r="H381" s="2306" t="s">
        <v>1971</v>
      </c>
      <c r="I381" s="2306" t="s">
        <v>2005</v>
      </c>
      <c r="J381" s="2309" t="s">
        <v>2296</v>
      </c>
      <c r="K381" s="2400"/>
      <c r="L381" s="2400"/>
      <c r="M381" s="2400"/>
      <c r="N381" s="2400"/>
      <c r="O381" s="2400"/>
      <c r="P381" s="2400"/>
      <c r="Q381" s="2407"/>
      <c r="R381" s="2407"/>
    </row>
    <row customHeight="true" ht="18.452380952380953" r="382">
      <c r="A382" s="2303" t="s">
        <v>2299</v>
      </c>
      <c r="B382" s="2304">
        <v>46278</v>
      </c>
      <c r="C382" s="2303" t="str">
        <v>Sunday</v>
      </c>
      <c r="D382" s="2305" t="s">
        <v>2221</v>
      </c>
      <c r="E382" s="2306">
        <f t="shared" si="100"/>
      </c>
      <c r="F382" s="2406" t="s">
        <v>2159</v>
      </c>
      <c r="G382" s="2320"/>
      <c r="H382" s="2306" t="s">
        <v>1971</v>
      </c>
      <c r="I382" s="2306" t="s">
        <v>2005</v>
      </c>
      <c r="J382" s="2309" t="s">
        <v>2296</v>
      </c>
      <c r="K382" s="2400"/>
      <c r="L382" s="2400"/>
      <c r="M382" s="2400"/>
      <c r="N382" s="2400"/>
      <c r="O382" s="2400"/>
      <c r="P382" s="2400"/>
      <c r="Q382" s="2407"/>
      <c r="R382" s="2407"/>
    </row>
    <row customHeight="true" ht="18.452380952380953" r="383">
      <c r="A383" s="2283"/>
      <c r="B383" s="2255"/>
      <c r="C383" s="2283"/>
      <c r="D383" s="2256"/>
      <c r="E383" s="2288"/>
      <c r="F383" s="2284"/>
      <c r="G383" s="2302"/>
      <c r="H383" s="2260"/>
      <c r="I383" s="2346"/>
      <c r="J383" s="2261"/>
      <c r="K383" s="2262"/>
      <c r="L383" s="2262"/>
      <c r="M383" s="2262"/>
      <c r="N383" s="2262"/>
      <c r="O383" s="2262"/>
      <c r="P383" s="2262"/>
    </row>
    <row customHeight="true" ht="18.452380952380953" r="384">
      <c r="A384" s="2283"/>
      <c r="B384" s="2255"/>
      <c r="C384" s="2283"/>
      <c r="D384" s="2256"/>
      <c r="E384" s="2288"/>
      <c r="F384" s="2541"/>
      <c r="G384" s="2302"/>
      <c r="H384" s="2260"/>
      <c r="I384" s="2288"/>
      <c r="J384" s="2257"/>
      <c r="K384" s="2262"/>
      <c r="L384" s="2262"/>
      <c r="M384" s="2262"/>
      <c r="N384" s="2262"/>
      <c r="O384" s="2262"/>
      <c r="P384" s="2262"/>
    </row>
    <row customHeight="true" ht="18.452380952380953" r="385">
      <c r="A385" s="2283"/>
      <c r="B385" s="2255"/>
      <c r="C385" s="2283"/>
      <c r="D385" s="2256"/>
      <c r="E385" s="2288"/>
      <c r="F385" s="2541"/>
      <c r="G385" s="2302"/>
      <c r="H385" s="2260"/>
      <c r="I385" s="2288"/>
      <c r="J385" s="2257"/>
      <c r="K385" s="2262"/>
      <c r="L385" s="2262"/>
      <c r="M385" s="2262"/>
      <c r="N385" s="2262"/>
      <c r="O385" s="2262"/>
      <c r="P385" s="2262"/>
    </row>
    <row customHeight="true" ht="18.452380952380953" r="386">
      <c r="A386" s="2283"/>
      <c r="B386" s="2255"/>
      <c r="C386" s="2283"/>
      <c r="D386" s="2256"/>
      <c r="E386" s="2288"/>
      <c r="F386" s="2541"/>
      <c r="G386" s="2302"/>
      <c r="H386" s="2260"/>
      <c r="I386" s="2288"/>
      <c r="J386" s="2257"/>
      <c r="K386" s="2262"/>
      <c r="L386" s="2262"/>
      <c r="M386" s="2262"/>
      <c r="N386" s="2262"/>
      <c r="O386" s="2262"/>
      <c r="P386" s="2262"/>
    </row>
    <row customHeight="true" ht="18.452380952380953" r="387">
      <c r="A387" s="2283"/>
      <c r="B387" s="2255"/>
      <c r="C387" s="2283"/>
      <c r="D387" s="2256"/>
      <c r="E387" s="2288"/>
      <c r="F387" s="2291"/>
      <c r="G387" s="2302"/>
      <c r="H387" s="2260"/>
      <c r="I387" s="2288"/>
      <c r="J387" s="2257"/>
      <c r="K387" s="2262"/>
      <c r="L387" s="2262"/>
      <c r="M387" s="2262"/>
      <c r="N387" s="2262"/>
      <c r="O387" s="2262"/>
      <c r="P387" s="2262"/>
    </row>
    <row customHeight="true" ht="18.452380952380953" r="388">
      <c r="A388" s="2283"/>
      <c r="B388" s="2255"/>
      <c r="C388" s="2283"/>
      <c r="D388" s="2256"/>
      <c r="E388" s="2288"/>
      <c r="F388" s="2291"/>
      <c r="G388" s="2302"/>
      <c r="H388" s="2260"/>
      <c r="I388" s="2288"/>
      <c r="J388" s="2257"/>
      <c r="K388" s="2262"/>
      <c r="L388" s="2262"/>
      <c r="M388" s="2262"/>
      <c r="N388" s="2262"/>
      <c r="O388" s="2262"/>
      <c r="P388" s="2262"/>
    </row>
    <row customHeight="true" ht="18.452380952380953" r="389">
      <c r="A389" s="2283"/>
      <c r="B389" s="2255"/>
      <c r="C389" s="2283"/>
      <c r="D389" s="2450"/>
      <c r="E389" s="2288"/>
      <c r="F389" s="2291"/>
      <c r="G389" s="2292"/>
      <c r="H389" s="2260"/>
      <c r="I389" s="2288"/>
      <c r="J389" s="2545"/>
      <c r="K389" s="2262"/>
      <c r="L389" s="2262"/>
      <c r="M389" s="2262"/>
      <c r="N389" s="2262"/>
      <c r="O389" s="2262"/>
      <c r="P389" s="2262"/>
    </row>
    <row customHeight="true" ht="18.452380952380953" r="390">
      <c r="A390" s="2283"/>
      <c r="B390" s="2255"/>
      <c r="C390" s="2283"/>
      <c r="D390" s="2256"/>
      <c r="E390" s="2288"/>
      <c r="F390" s="2291"/>
      <c r="G390" s="2292"/>
      <c r="H390" s="2260"/>
      <c r="I390" s="2288"/>
      <c r="J390" s="2257"/>
      <c r="K390" s="2262"/>
      <c r="L390" s="2262"/>
      <c r="M390" s="2262"/>
      <c r="N390" s="2262"/>
      <c r="O390" s="2262"/>
      <c r="P390" s="2262"/>
    </row>
    <row customHeight="true" ht="18.452380952380953" r="391">
      <c r="A391" s="2283"/>
      <c r="B391" s="2255"/>
      <c r="C391" s="2283"/>
      <c r="D391" s="2256"/>
      <c r="E391" s="2288"/>
      <c r="F391" s="2291"/>
      <c r="G391" s="2302"/>
      <c r="H391" s="2260"/>
      <c r="I391" s="2288"/>
      <c r="J391" s="2257"/>
      <c r="K391" s="2262"/>
      <c r="L391" s="2262"/>
      <c r="M391" s="2262"/>
      <c r="N391" s="2262"/>
      <c r="O391" s="2262"/>
      <c r="P391" s="2262"/>
    </row>
    <row r="392">
      <c r="A392" s="2546" t="s">
        <v>2301</v>
      </c>
      <c r="B392" s="2547"/>
      <c r="C392" s="2547"/>
      <c r="D392" s="2547"/>
      <c r="E392" s="2547"/>
      <c r="F392" s="2547"/>
      <c r="G392" s="2547"/>
      <c r="H392" s="2547"/>
      <c r="I392" s="2547"/>
      <c r="J392" s="2548"/>
      <c r="K392" s="2296"/>
      <c r="L392" s="2296"/>
      <c r="M392" s="2296"/>
      <c r="N392" s="2296"/>
      <c r="O392" s="2296"/>
      <c r="P392" s="2296"/>
    </row>
    <row r="393">
      <c r="A393" s="2549" t="s">
        <v>1989</v>
      </c>
      <c r="B393" s="2444" t="s">
        <v>1990</v>
      </c>
      <c r="C393" s="2444"/>
      <c r="D393" s="2550" t="s">
        <v>1991</v>
      </c>
      <c r="E393" s="2550" t="s">
        <v>1992</v>
      </c>
      <c r="F393" s="2550" t="s">
        <v>1993</v>
      </c>
      <c r="G393" s="2551" t="s">
        <v>2012</v>
      </c>
      <c r="H393" s="2550" t="s">
        <v>1995</v>
      </c>
      <c r="I393" s="2550" t="s">
        <v>1996</v>
      </c>
      <c r="J393" s="2449" t="s">
        <v>1997</v>
      </c>
      <c r="K393" s="2282"/>
      <c r="L393" s="2282"/>
      <c r="M393" s="2282"/>
      <c r="N393" s="2282"/>
      <c r="O393" s="2282"/>
      <c r="P393" s="2282"/>
    </row>
    <row customHeight="true" ht="18.452380952380953" r="394">
      <c r="A394" s="2283" t="s">
        <v>2301</v>
      </c>
      <c r="B394" s="2255">
        <v>46272</v>
      </c>
      <c r="C394" s="2283" t="str">
        <v>Monday</v>
      </c>
      <c r="D394" s="2256" t="s">
        <v>2283</v>
      </c>
      <c r="E394" s="2288">
        <f t="shared" ref="E394:E416" si="101">24*MOD(TIMEVALUE(TRIM(MID(D394,FIND("-",D394)+1,LEN(D394)))) - TIMEVALUE(TRIM(LEFT(D394,FIND("-",D394)-1))),1)</f>
      </c>
      <c r="F394" s="2291" t="s">
        <v>2297</v>
      </c>
      <c r="G394" s="2292"/>
      <c r="H394" s="2288" t="s">
        <v>2009</v>
      </c>
      <c r="I394" s="2288"/>
      <c r="J394" s="2261"/>
      <c r="K394" s="2460"/>
      <c r="L394" s="2460"/>
      <c r="M394" s="2460"/>
      <c r="N394" s="2460"/>
      <c r="O394" s="2460"/>
      <c r="P394" s="2460"/>
      <c r="Q394" s="2293"/>
      <c r="R394" s="2293"/>
    </row>
    <row customHeight="true" ht="18.452380952380953" r="395">
      <c r="A395" s="2303" t="s">
        <v>2301</v>
      </c>
      <c r="B395" s="2304">
        <v>46273</v>
      </c>
      <c r="C395" s="2303" t="str">
        <v>Tuesday</v>
      </c>
      <c r="D395" s="2305" t="s">
        <v>2041</v>
      </c>
      <c r="E395" s="2306">
        <f t="shared" si="101"/>
      </c>
      <c r="F395" s="2461"/>
      <c r="G395" s="2320"/>
      <c r="H395" s="2306" t="s">
        <v>2009</v>
      </c>
      <c r="I395" s="2306"/>
      <c r="J395" s="2528"/>
      <c r="K395" s="2400"/>
      <c r="L395" s="2400"/>
      <c r="M395" s="2400"/>
      <c r="N395" s="2400"/>
      <c r="O395" s="2400"/>
      <c r="P395" s="2400"/>
      <c r="Q395" s="2401"/>
      <c r="R395" s="2401"/>
    </row>
    <row customHeight="true" ht="18.452380952380953" r="396">
      <c r="A396" s="2283" t="s">
        <v>2301</v>
      </c>
      <c r="B396" s="2255">
        <v>46273</v>
      </c>
      <c r="C396" s="2283" t="str">
        <v>Tuesday</v>
      </c>
      <c r="D396" s="2256" t="s">
        <v>2060</v>
      </c>
      <c r="E396" s="2288">
        <f t="shared" si="101"/>
      </c>
      <c r="F396" s="2291" t="s">
        <v>2297</v>
      </c>
      <c r="G396" s="2292"/>
      <c r="H396" s="2288" t="s">
        <v>2009</v>
      </c>
      <c r="I396" s="2288"/>
      <c r="J396" s="2261"/>
      <c r="K396" s="2460"/>
      <c r="L396" s="2460"/>
      <c r="M396" s="2460"/>
      <c r="N396" s="2460"/>
      <c r="O396" s="2460"/>
      <c r="P396" s="2460"/>
      <c r="Q396" s="2293"/>
      <c r="R396" s="2293"/>
    </row>
    <row customHeight="true" ht="18.452380952380953" r="397">
      <c r="A397" s="2283" t="s">
        <v>2301</v>
      </c>
      <c r="B397" s="2255">
        <v>46274</v>
      </c>
      <c r="C397" s="2283" t="str">
        <v>Wednesday</v>
      </c>
      <c r="D397" s="2256" t="s">
        <v>2225</v>
      </c>
      <c r="E397" s="2288">
        <f t="shared" si="101"/>
      </c>
      <c r="F397" s="2291" t="s">
        <v>2297</v>
      </c>
      <c r="G397" s="2292"/>
      <c r="H397" s="2288" t="s">
        <v>2009</v>
      </c>
      <c r="I397" s="2288"/>
      <c r="J397" s="2261"/>
      <c r="K397" s="2460"/>
      <c r="L397" s="2460"/>
      <c r="M397" s="2460"/>
      <c r="N397" s="2460"/>
      <c r="O397" s="2460"/>
      <c r="P397" s="2460"/>
      <c r="Q397" s="2293"/>
      <c r="R397" s="2293"/>
    </row>
    <row customHeight="true" ht="18.452380952380953" r="398">
      <c r="A398" s="2283" t="s">
        <v>2301</v>
      </c>
      <c r="B398" s="2255">
        <v>46274</v>
      </c>
      <c r="C398" s="2283" t="str">
        <v>Wednesday</v>
      </c>
      <c r="D398" s="2256" t="s">
        <v>2302</v>
      </c>
      <c r="E398" s="2288">
        <f t="shared" si="101"/>
      </c>
      <c r="F398" s="2291" t="s">
        <v>2245</v>
      </c>
      <c r="G398" s="2292"/>
      <c r="H398" s="2288" t="s">
        <v>2009</v>
      </c>
      <c r="I398" s="2288"/>
      <c r="J398" s="2261"/>
      <c r="K398" s="2460"/>
      <c r="L398" s="2460"/>
      <c r="M398" s="2460"/>
      <c r="N398" s="2460"/>
      <c r="O398" s="2460"/>
      <c r="P398" s="2460"/>
      <c r="Q398" s="2293"/>
      <c r="R398" s="2293"/>
    </row>
    <row customHeight="true" ht="18.452380952380953" r="399">
      <c r="A399" s="2303" t="s">
        <v>2301</v>
      </c>
      <c r="B399" s="2304">
        <v>46275</v>
      </c>
      <c r="C399" s="2303" t="str">
        <v>Thursday</v>
      </c>
      <c r="D399" s="2305" t="s">
        <v>2041</v>
      </c>
      <c r="E399" s="2306">
        <f t="shared" si="101"/>
      </c>
      <c r="F399" s="2461" t="s">
        <v>2141</v>
      </c>
      <c r="G399" s="2320"/>
      <c r="H399" s="2306" t="s">
        <v>2009</v>
      </c>
      <c r="I399" s="2306"/>
      <c r="J399" s="2528"/>
      <c r="K399" s="2400"/>
      <c r="L399" s="2400"/>
      <c r="M399" s="2400"/>
      <c r="N399" s="2400"/>
      <c r="O399" s="2400"/>
      <c r="P399" s="2400"/>
      <c r="Q399" s="2401"/>
      <c r="R399" s="2401"/>
    </row>
    <row customHeight="true" ht="18.452380952380953" r="400">
      <c r="A400" s="2283" t="s">
        <v>2301</v>
      </c>
      <c r="B400" s="2255">
        <v>46275</v>
      </c>
      <c r="C400" s="2283" t="str">
        <v>Thursday</v>
      </c>
      <c r="D400" s="2256" t="s">
        <v>2049</v>
      </c>
      <c r="E400" s="2288">
        <f t="shared" si="101"/>
      </c>
      <c r="F400" s="2291" t="s">
        <v>2297</v>
      </c>
      <c r="G400" s="2292"/>
      <c r="H400" s="2288" t="s">
        <v>2009</v>
      </c>
      <c r="I400" s="2288"/>
      <c r="J400" s="2261"/>
      <c r="K400" s="2460"/>
      <c r="L400" s="2460"/>
      <c r="M400" s="2460"/>
      <c r="N400" s="2460"/>
      <c r="O400" s="2460"/>
      <c r="P400" s="2460"/>
      <c r="Q400" s="2293"/>
      <c r="R400" s="2293"/>
    </row>
    <row customHeight="true" ht="18.452380952380953" r="401">
      <c r="A401" s="2283" t="s">
        <v>2301</v>
      </c>
      <c r="B401" s="2255">
        <v>46276</v>
      </c>
      <c r="C401" s="2283" t="str">
        <v>Friday</v>
      </c>
      <c r="D401" s="2256" t="s">
        <v>2303</v>
      </c>
      <c r="E401" s="2288">
        <f t="shared" si="101"/>
      </c>
      <c r="F401" s="2291" t="s">
        <v>2245</v>
      </c>
      <c r="G401" s="2292"/>
      <c r="H401" s="2288" t="s">
        <v>2009</v>
      </c>
      <c r="I401" s="2288"/>
      <c r="J401" s="2261"/>
      <c r="K401" s="2460"/>
      <c r="L401" s="2460"/>
      <c r="M401" s="2460"/>
      <c r="N401" s="2460"/>
      <c r="O401" s="2460"/>
      <c r="P401" s="2460"/>
      <c r="Q401" s="2293"/>
      <c r="R401" s="2293"/>
    </row>
    <row customHeight="true" ht="18.452380952380953" r="402">
      <c r="A402" s="2283" t="s">
        <v>2301</v>
      </c>
      <c r="B402" s="2255">
        <v>46277</v>
      </c>
      <c r="C402" s="2283" t="str">
        <v>Saturday</v>
      </c>
      <c r="D402" s="2256" t="s">
        <v>2041</v>
      </c>
      <c r="E402" s="2288">
        <f t="shared" si="101"/>
      </c>
      <c r="F402" s="2291" t="s">
        <v>2018</v>
      </c>
      <c r="G402" s="2292"/>
      <c r="H402" s="2288" t="s">
        <v>2009</v>
      </c>
      <c r="I402" s="2288"/>
      <c r="J402" s="2261"/>
      <c r="K402" s="2460"/>
      <c r="L402" s="2460"/>
      <c r="M402" s="2460"/>
      <c r="N402" s="2460"/>
      <c r="O402" s="2460"/>
      <c r="P402" s="2460"/>
      <c r="Q402" s="2293"/>
      <c r="R402" s="2293"/>
    </row>
    <row customHeight="true" ht="18.452380952380953" r="403">
      <c r="A403" s="2283" t="s">
        <v>2301</v>
      </c>
      <c r="B403" s="2255">
        <v>46277</v>
      </c>
      <c r="C403" s="2283" t="str">
        <v>Saturday</v>
      </c>
      <c r="D403" s="2256" t="s">
        <v>2049</v>
      </c>
      <c r="E403" s="2288">
        <f t="shared" si="101"/>
      </c>
      <c r="F403" s="2291" t="s">
        <v>2126</v>
      </c>
      <c r="G403" s="2292"/>
      <c r="H403" s="2288" t="s">
        <v>2009</v>
      </c>
      <c r="I403" s="2288"/>
      <c r="J403" s="2261"/>
      <c r="K403" s="2460"/>
      <c r="L403" s="2460"/>
      <c r="M403" s="2460"/>
      <c r="N403" s="2460"/>
      <c r="O403" s="2460"/>
      <c r="P403" s="2460"/>
      <c r="Q403" s="2293"/>
      <c r="R403" s="2293"/>
    </row>
    <row customHeight="true" ht="18.452380952380953" r="404">
      <c r="A404" s="2283" t="s">
        <v>2301</v>
      </c>
      <c r="B404" s="2255">
        <v>46278</v>
      </c>
      <c r="C404" s="2283" t="str">
        <v>Sunday</v>
      </c>
      <c r="D404" s="2256" t="s">
        <v>2283</v>
      </c>
      <c r="E404" s="2288">
        <f t="shared" si="101"/>
      </c>
      <c r="F404" s="2291" t="s">
        <v>2018</v>
      </c>
      <c r="G404" s="2292"/>
      <c r="H404" s="2288" t="s">
        <v>2009</v>
      </c>
      <c r="I404" s="2288"/>
      <c r="J404" s="2261"/>
      <c r="K404" s="2460"/>
      <c r="L404" s="2460"/>
      <c r="M404" s="2460"/>
      <c r="N404" s="2460"/>
      <c r="O404" s="2460"/>
      <c r="P404" s="2460"/>
      <c r="Q404" s="2293"/>
      <c r="R404" s="2293"/>
    </row>
    <row r="405">
      <c r="A405" s="2283" t="s">
        <v>2304</v>
      </c>
      <c r="B405" s="2255">
        <v>46272</v>
      </c>
      <c r="C405" s="2283" t="str">
        <v>Monday</v>
      </c>
      <c r="D405" s="2256" t="s">
        <v>2041</v>
      </c>
      <c r="E405" s="2288">
        <f t="shared" si="101"/>
      </c>
      <c r="F405" s="2260" t="s">
        <v>2239</v>
      </c>
      <c r="G405" s="2292"/>
      <c r="H405" s="2288" t="s">
        <v>2009</v>
      </c>
      <c r="I405" s="2288"/>
      <c r="J405" s="2261"/>
      <c r="K405" s="2460"/>
      <c r="L405" s="2460"/>
      <c r="M405" s="2460"/>
      <c r="N405" s="2460"/>
      <c r="O405" s="2460"/>
      <c r="P405" s="2460"/>
      <c r="Q405" s="2293"/>
      <c r="R405" s="2293"/>
    </row>
    <row customHeight="true" ht="18.452380952380953" r="406">
      <c r="A406" s="2283" t="s">
        <v>2304</v>
      </c>
      <c r="B406" s="2255">
        <v>46272</v>
      </c>
      <c r="C406" s="2283" t="str">
        <v>Monday</v>
      </c>
      <c r="D406" s="2256" t="s">
        <v>2049</v>
      </c>
      <c r="E406" s="2288">
        <f t="shared" si="101"/>
      </c>
      <c r="F406" s="2260" t="s">
        <v>2251</v>
      </c>
      <c r="G406" s="2292"/>
      <c r="H406" s="2288" t="s">
        <v>2009</v>
      </c>
      <c r="I406" s="2288"/>
      <c r="J406" s="2261"/>
      <c r="K406" s="2460"/>
      <c r="L406" s="2460"/>
      <c r="M406" s="2460"/>
      <c r="N406" s="2460"/>
      <c r="O406" s="2460"/>
      <c r="P406" s="2460"/>
      <c r="Q406" s="2293"/>
      <c r="R406" s="2293"/>
    </row>
    <row customHeight="true" ht="18.452380952380953" r="407">
      <c r="A407" s="2283" t="s">
        <v>2304</v>
      </c>
      <c r="B407" s="2255">
        <v>46273</v>
      </c>
      <c r="C407" s="2283" t="str">
        <v>Tuesday</v>
      </c>
      <c r="D407" s="2256" t="s">
        <v>2305</v>
      </c>
      <c r="E407" s="2288">
        <f t="shared" si="101"/>
      </c>
      <c r="F407" s="2260" t="s">
        <v>2239</v>
      </c>
      <c r="G407" s="2292"/>
      <c r="H407" s="2288" t="s">
        <v>2009</v>
      </c>
      <c r="I407" s="2288"/>
      <c r="J407" s="2261"/>
      <c r="K407" s="2460"/>
      <c r="L407" s="2460"/>
      <c r="M407" s="2460"/>
      <c r="N407" s="2460"/>
      <c r="O407" s="2460"/>
      <c r="P407" s="2460"/>
      <c r="Q407" s="2293"/>
      <c r="R407" s="2293"/>
    </row>
    <row customHeight="true" ht="18.452380952380953" r="408">
      <c r="A408" s="2283" t="s">
        <v>2304</v>
      </c>
      <c r="B408" s="2255">
        <v>46273</v>
      </c>
      <c r="C408" s="2283" t="str">
        <v>Tuesday</v>
      </c>
      <c r="D408" s="2256" t="s">
        <v>2306</v>
      </c>
      <c r="E408" s="2288">
        <f t="shared" si="101"/>
      </c>
      <c r="F408" s="2260" t="s">
        <v>2250</v>
      </c>
      <c r="G408" s="2292"/>
      <c r="H408" s="2288" t="s">
        <v>2009</v>
      </c>
      <c r="I408" s="2288"/>
      <c r="J408" s="2261"/>
      <c r="K408" s="2460"/>
      <c r="L408" s="2460"/>
      <c r="M408" s="2460"/>
      <c r="N408" s="2460"/>
      <c r="O408" s="2460"/>
      <c r="P408" s="2460"/>
      <c r="Q408" s="2293"/>
      <c r="R408" s="2293"/>
    </row>
    <row customHeight="true" ht="18.452380952380953" r="409">
      <c r="A409" s="2283" t="s">
        <v>2304</v>
      </c>
      <c r="B409" s="2255">
        <v>46273</v>
      </c>
      <c r="C409" s="2283" t="str">
        <v>Tuesday</v>
      </c>
      <c r="D409" s="2256" t="s">
        <v>2307</v>
      </c>
      <c r="E409" s="2288">
        <f t="shared" si="101"/>
      </c>
      <c r="F409" s="2260" t="s">
        <v>2251</v>
      </c>
      <c r="G409" s="2292"/>
      <c r="H409" s="2288" t="s">
        <v>2009</v>
      </c>
      <c r="I409" s="2288"/>
      <c r="J409" s="2261"/>
      <c r="K409" s="2460"/>
      <c r="L409" s="2460"/>
      <c r="M409" s="2460"/>
      <c r="N409" s="2460"/>
      <c r="O409" s="2460"/>
      <c r="P409" s="2460"/>
      <c r="Q409" s="2293"/>
      <c r="R409" s="2293"/>
    </row>
    <row customHeight="true" ht="18.452380952380953" r="410">
      <c r="A410" s="2283" t="s">
        <v>2304</v>
      </c>
      <c r="B410" s="2255">
        <v>46274</v>
      </c>
      <c r="C410" s="2283" t="str">
        <v>Wednesday</v>
      </c>
      <c r="D410" s="2256" t="s">
        <v>2041</v>
      </c>
      <c r="E410" s="2288">
        <f t="shared" si="101"/>
      </c>
      <c r="F410" s="2260" t="s">
        <v>2239</v>
      </c>
      <c r="G410" s="2292"/>
      <c r="H410" s="2288" t="s">
        <v>2009</v>
      </c>
      <c r="I410" s="2288"/>
      <c r="J410" s="2261"/>
      <c r="K410" s="2460"/>
      <c r="L410" s="2460"/>
      <c r="M410" s="2460"/>
      <c r="N410" s="2460"/>
      <c r="O410" s="2460"/>
      <c r="P410" s="2460"/>
      <c r="Q410" s="2293"/>
      <c r="R410" s="2293"/>
    </row>
    <row customHeight="true" ht="18.452380952380953" r="411">
      <c r="A411" s="2283" t="s">
        <v>2304</v>
      </c>
      <c r="B411" s="2255">
        <v>46274</v>
      </c>
      <c r="C411" s="2283" t="str">
        <v>Wednesday</v>
      </c>
      <c r="D411" s="2256" t="s">
        <v>2181</v>
      </c>
      <c r="E411" s="2288">
        <f t="shared" si="101"/>
      </c>
      <c r="F411" s="2260" t="s">
        <v>2159</v>
      </c>
      <c r="G411" s="2292"/>
      <c r="H411" s="2288" t="s">
        <v>2009</v>
      </c>
      <c r="I411" s="2288"/>
      <c r="J411" s="2261"/>
      <c r="K411" s="2460"/>
      <c r="L411" s="2460"/>
      <c r="M411" s="2460"/>
      <c r="N411" s="2460"/>
      <c r="O411" s="2460"/>
      <c r="P411" s="2460"/>
      <c r="Q411" s="2293"/>
      <c r="R411" s="2293"/>
    </row>
    <row customHeight="true" ht="18.452380952380953" r="412">
      <c r="A412" s="2283" t="s">
        <v>2304</v>
      </c>
      <c r="B412" s="2255">
        <v>46274</v>
      </c>
      <c r="C412" s="2283" t="str">
        <v>Wednesday</v>
      </c>
      <c r="D412" s="2256" t="s">
        <v>2238</v>
      </c>
      <c r="E412" s="2288">
        <f t="shared" si="101"/>
      </c>
      <c r="F412" s="2260" t="s">
        <v>2250</v>
      </c>
      <c r="G412" s="2292"/>
      <c r="H412" s="2288" t="s">
        <v>2009</v>
      </c>
      <c r="I412" s="2288"/>
      <c r="J412" s="2261"/>
      <c r="K412" s="2460"/>
      <c r="L412" s="2460"/>
      <c r="M412" s="2460"/>
      <c r="N412" s="2460"/>
      <c r="O412" s="2460"/>
      <c r="P412" s="2460"/>
      <c r="Q412" s="2293"/>
      <c r="R412" s="2293"/>
    </row>
    <row customHeight="true" ht="18.452380952380953" r="413">
      <c r="A413" s="2283" t="s">
        <v>2304</v>
      </c>
      <c r="B413" s="2255">
        <v>46275</v>
      </c>
      <c r="C413" s="2283" t="str">
        <v>Thursday</v>
      </c>
      <c r="D413" s="2256" t="s">
        <v>2049</v>
      </c>
      <c r="E413" s="2288">
        <f t="shared" si="101"/>
      </c>
      <c r="F413" s="2260" t="s">
        <v>2159</v>
      </c>
      <c r="G413" s="2292"/>
      <c r="H413" s="2288" t="s">
        <v>2009</v>
      </c>
      <c r="I413" s="2288"/>
      <c r="J413" s="2261"/>
      <c r="K413" s="2460"/>
      <c r="L413" s="2460"/>
      <c r="M413" s="2460"/>
      <c r="N413" s="2460"/>
      <c r="O413" s="2460"/>
      <c r="P413" s="2460"/>
      <c r="Q413" s="2293"/>
      <c r="R413" s="2293"/>
    </row>
    <row customHeight="true" ht="18.452380952380953" r="414">
      <c r="A414" s="2283" t="s">
        <v>2304</v>
      </c>
      <c r="B414" s="2255">
        <v>46276</v>
      </c>
      <c r="C414" s="2283" t="str">
        <v>Friday</v>
      </c>
      <c r="D414" s="2256" t="s">
        <v>2303</v>
      </c>
      <c r="E414" s="2288">
        <f t="shared" si="101"/>
      </c>
      <c r="F414" s="2260" t="s">
        <v>2159</v>
      </c>
      <c r="G414" s="2302"/>
      <c r="H414" s="2288" t="s">
        <v>2009</v>
      </c>
      <c r="I414" s="2288"/>
      <c r="J414" s="2261"/>
      <c r="K414" s="2460"/>
      <c r="L414" s="2460"/>
      <c r="M414" s="2460"/>
      <c r="N414" s="2460"/>
      <c r="O414" s="2460"/>
      <c r="P414" s="2460"/>
      <c r="Q414" s="2293"/>
      <c r="R414" s="2293"/>
    </row>
    <row customHeight="true" ht="18.452380952380953" r="415">
      <c r="A415" s="2283" t="s">
        <v>2304</v>
      </c>
      <c r="B415" s="2255">
        <v>46277</v>
      </c>
      <c r="C415" s="2283" t="str">
        <v>Saturday</v>
      </c>
      <c r="D415" s="2256" t="s">
        <v>2283</v>
      </c>
      <c r="E415" s="2288">
        <f t="shared" si="101"/>
      </c>
      <c r="F415" s="2260" t="s">
        <v>2251</v>
      </c>
      <c r="G415" s="2292"/>
      <c r="H415" s="2288" t="s">
        <v>2009</v>
      </c>
      <c r="I415" s="2288"/>
      <c r="J415" s="2261"/>
      <c r="K415" s="2460"/>
      <c r="L415" s="2460"/>
      <c r="M415" s="2460"/>
      <c r="N415" s="2460"/>
      <c r="O415" s="2460"/>
      <c r="P415" s="2460"/>
      <c r="Q415" s="2293"/>
      <c r="R415" s="2293"/>
    </row>
    <row customHeight="true" ht="18.452380952380953" r="416">
      <c r="A416" s="2283" t="s">
        <v>2304</v>
      </c>
      <c r="B416" s="2255">
        <v>46278</v>
      </c>
      <c r="C416" s="2283" t="str">
        <v>Sunday</v>
      </c>
      <c r="D416" s="2256" t="s">
        <v>2283</v>
      </c>
      <c r="E416" s="2288">
        <f t="shared" si="101"/>
      </c>
      <c r="F416" s="2260" t="s">
        <v>2251</v>
      </c>
      <c r="G416" s="2292"/>
      <c r="H416" s="2288" t="s">
        <v>2009</v>
      </c>
      <c r="I416" s="2288"/>
      <c r="J416" s="2261"/>
      <c r="K416" s="2460"/>
      <c r="L416" s="2460"/>
      <c r="M416" s="2460"/>
      <c r="N416" s="2460"/>
      <c r="O416" s="2460"/>
      <c r="P416" s="2460"/>
      <c r="Q416" s="2293"/>
      <c r="R416" s="2293"/>
    </row>
    <row r="417">
      <c r="A417" s="2293"/>
      <c r="B417" s="2293"/>
      <c r="C417" s="2293"/>
      <c r="D417" s="2293"/>
      <c r="E417" s="2293"/>
      <c r="F417" s="2293"/>
      <c r="G417" s="2293"/>
      <c r="H417" s="2293"/>
      <c r="I417" s="2293"/>
      <c r="J417" s="2293"/>
      <c r="K417" s="2384"/>
      <c r="L417" s="2384"/>
      <c r="M417" s="2384"/>
      <c r="N417" s="2384"/>
      <c r="O417" s="2384"/>
      <c r="P417" s="2384"/>
    </row>
    <row r="418">
      <c r="A418" s="2552" t="s">
        <v>2308</v>
      </c>
      <c r="B418" s="2552"/>
      <c r="C418" s="2552"/>
      <c r="D418" s="2552"/>
      <c r="E418" s="2552"/>
      <c r="F418" s="2552"/>
      <c r="G418" s="2552"/>
      <c r="H418" s="2552"/>
      <c r="I418" s="2552"/>
      <c r="J418" s="2553"/>
      <c r="K418" s="2296"/>
      <c r="L418" s="2296"/>
      <c r="M418" s="2296"/>
      <c r="N418" s="2296"/>
      <c r="O418" s="2296"/>
      <c r="P418" s="2296"/>
    </row>
    <row r="419">
      <c r="A419" s="2554" t="s">
        <v>1989</v>
      </c>
      <c r="B419" s="2555" t="s">
        <v>1990</v>
      </c>
      <c r="C419" s="2555"/>
      <c r="D419" s="2556" t="s">
        <v>1991</v>
      </c>
      <c r="E419" s="2556" t="s">
        <v>1992</v>
      </c>
      <c r="F419" s="2556" t="s">
        <v>1993</v>
      </c>
      <c r="G419" s="2557" t="s">
        <v>2012</v>
      </c>
      <c r="H419" s="2556" t="s">
        <v>1995</v>
      </c>
      <c r="I419" s="2556" t="s">
        <v>1996</v>
      </c>
      <c r="J419" s="2558" t="s">
        <v>1997</v>
      </c>
      <c r="K419" s="2282"/>
      <c r="L419" s="2282"/>
      <c r="M419" s="2282"/>
      <c r="N419" s="2282"/>
      <c r="O419" s="2282"/>
      <c r="P419" s="2282"/>
    </row>
    <row r="420">
      <c r="A420" s="2283" t="s">
        <v>2308</v>
      </c>
      <c r="B420" s="2255">
        <v>46272</v>
      </c>
      <c r="C420" s="2283" t="str">
        <v>Monday</v>
      </c>
      <c r="D420" s="2403" t="s">
        <v>2309</v>
      </c>
      <c r="E420" s="2256">
        <f t="shared" ref="E420:E440" si="102">24*MOD(TIMEVALUE(TRIM(MID(D420,FIND("-",D420)+1,LEN(D420)))) - TIMEVALUE(TRIM(LEFT(D420,FIND("-",D420)-1))),1)</f>
      </c>
      <c r="F420" s="2532" t="s">
        <v>2239</v>
      </c>
      <c r="G420" s="2302"/>
      <c r="H420" s="2260" t="s">
        <v>1971</v>
      </c>
      <c r="I420" s="2288" t="s">
        <v>1972</v>
      </c>
      <c r="J420" s="2261"/>
      <c r="K420" s="2262"/>
      <c r="L420" s="2262"/>
      <c r="M420" s="2262"/>
      <c r="N420" s="2262"/>
      <c r="O420" s="2262"/>
      <c r="P420" s="2262"/>
    </row>
    <row r="421">
      <c r="A421" s="2283" t="s">
        <v>2308</v>
      </c>
      <c r="B421" s="2255">
        <v>46273</v>
      </c>
      <c r="C421" s="2283" t="str">
        <v>Tuesday</v>
      </c>
      <c r="D421" s="2403" t="s">
        <v>2309</v>
      </c>
      <c r="E421" s="2256">
        <f t="shared" si="102"/>
      </c>
      <c r="F421" s="2532" t="s">
        <v>2141</v>
      </c>
      <c r="G421" s="2302"/>
      <c r="H421" s="2260" t="s">
        <v>1971</v>
      </c>
      <c r="I421" s="2288" t="s">
        <v>1972</v>
      </c>
      <c r="J421" s="2261"/>
      <c r="K421" s="2262"/>
      <c r="L421" s="2262"/>
      <c r="M421" s="2262"/>
      <c r="N421" s="2262"/>
      <c r="O421" s="2262"/>
      <c r="P421" s="2262"/>
    </row>
    <row r="422">
      <c r="A422" s="2283" t="s">
        <v>2308</v>
      </c>
      <c r="B422" s="2255">
        <v>46274</v>
      </c>
      <c r="C422" s="2283" t="str">
        <v>Wednesday</v>
      </c>
      <c r="D422" s="2403" t="s">
        <v>2309</v>
      </c>
      <c r="E422" s="2256">
        <f t="shared" si="102"/>
      </c>
      <c r="F422" s="2532" t="s">
        <v>2141</v>
      </c>
      <c r="G422" s="2302"/>
      <c r="H422" s="2260" t="s">
        <v>1971</v>
      </c>
      <c r="I422" s="2288" t="s">
        <v>1972</v>
      </c>
      <c r="J422" s="2261"/>
      <c r="K422" s="2262"/>
      <c r="L422" s="2262"/>
      <c r="M422" s="2262"/>
      <c r="N422" s="2262"/>
      <c r="O422" s="2262"/>
      <c r="P422" s="2262"/>
    </row>
    <row customHeight="true" ht="22.61904761904762" r="423">
      <c r="A423" s="2283" t="s">
        <v>2308</v>
      </c>
      <c r="B423" s="2255">
        <v>46275</v>
      </c>
      <c r="C423" s="2283" t="str">
        <v>Thursday</v>
      </c>
      <c r="D423" s="2403" t="s">
        <v>2309</v>
      </c>
      <c r="E423" s="2288">
        <f t="shared" si="102"/>
      </c>
      <c r="F423" s="2532" t="s">
        <v>2141</v>
      </c>
      <c r="G423" s="2292"/>
      <c r="H423" s="2260" t="s">
        <v>1971</v>
      </c>
      <c r="I423" s="2288" t="s">
        <v>1972</v>
      </c>
      <c r="J423" s="2261"/>
      <c r="K423" s="2460"/>
      <c r="L423" s="2460"/>
      <c r="M423" s="2460"/>
      <c r="N423" s="2460"/>
      <c r="O423" s="2460"/>
      <c r="P423" s="2460"/>
      <c r="Q423" s="2293"/>
      <c r="R423" s="2293"/>
    </row>
    <row customHeight="true" ht="22.61904761904762" r="424">
      <c r="A424" s="2283" t="s">
        <v>2308</v>
      </c>
      <c r="B424" s="2255">
        <v>46276</v>
      </c>
      <c r="C424" s="2283" t="str">
        <v>Friday</v>
      </c>
      <c r="D424" s="2403" t="s">
        <v>2309</v>
      </c>
      <c r="E424" s="2256">
        <f t="shared" si="102"/>
      </c>
      <c r="F424" s="2532" t="s">
        <v>2141</v>
      </c>
      <c r="G424" s="2302"/>
      <c r="H424" s="2260" t="s">
        <v>1971</v>
      </c>
      <c r="I424" s="2288" t="s">
        <v>1972</v>
      </c>
      <c r="J424" s="2261"/>
      <c r="K424" s="2262"/>
      <c r="L424" s="2262"/>
      <c r="M424" s="2262"/>
      <c r="N424" s="2262"/>
      <c r="O424" s="2262"/>
      <c r="P424" s="2262"/>
    </row>
    <row customHeight="true" ht="18.452380952380953" r="425">
      <c r="A425" s="2283" t="s">
        <v>2308</v>
      </c>
      <c r="B425" s="2255">
        <v>46277</v>
      </c>
      <c r="C425" s="2283" t="str">
        <v>Saturday</v>
      </c>
      <c r="D425" s="2403" t="s">
        <v>2310</v>
      </c>
      <c r="E425" s="2256">
        <f t="shared" si="102"/>
      </c>
      <c r="F425" s="2532" t="s">
        <v>2239</v>
      </c>
      <c r="G425" s="2302"/>
      <c r="H425" s="2260" t="s">
        <v>1971</v>
      </c>
      <c r="I425" s="2288" t="s">
        <v>1972</v>
      </c>
      <c r="J425" s="2261"/>
      <c r="K425" s="2262"/>
      <c r="L425" s="2262"/>
      <c r="M425" s="2262"/>
      <c r="N425" s="2262"/>
      <c r="O425" s="2262"/>
      <c r="P425" s="2262"/>
    </row>
    <row customHeight="true" ht="18.452380952380953" r="426">
      <c r="A426" s="2303" t="s">
        <v>2308</v>
      </c>
      <c r="B426" s="2304">
        <v>46278</v>
      </c>
      <c r="C426" s="2303" t="str">
        <v>Sunday</v>
      </c>
      <c r="D426" s="2305" t="s">
        <v>2309</v>
      </c>
      <c r="E426" s="2305">
        <f t="shared" si="102"/>
      </c>
      <c r="F426" s="2406" t="s">
        <v>2141</v>
      </c>
      <c r="G426" s="2307"/>
      <c r="H426" s="2306" t="s">
        <v>1971</v>
      </c>
      <c r="I426" s="2306"/>
      <c r="J426" s="2528"/>
      <c r="K426" s="2400"/>
      <c r="L426" s="2400"/>
      <c r="M426" s="2400"/>
      <c r="N426" s="2400"/>
      <c r="O426" s="2400"/>
      <c r="P426" s="2400"/>
      <c r="Q426" s="2407"/>
      <c r="R426" s="2407"/>
    </row>
    <row customHeight="true" ht="18.452380952380953" r="427">
      <c r="A427" s="2283" t="s">
        <v>2311</v>
      </c>
      <c r="B427" s="2255">
        <v>46274</v>
      </c>
      <c r="C427" s="2283" t="str">
        <v>Wednesday</v>
      </c>
      <c r="D427" s="2403" t="s">
        <v>2312</v>
      </c>
      <c r="E427" s="2256">
        <f t="shared" si="102"/>
      </c>
      <c r="F427" s="2532" t="s">
        <v>2313</v>
      </c>
      <c r="G427" s="2302"/>
      <c r="H427" s="2260" t="s">
        <v>1971</v>
      </c>
      <c r="I427" s="2288" t="s">
        <v>1972</v>
      </c>
      <c r="J427" s="2261"/>
      <c r="K427" s="2262"/>
      <c r="L427" s="2262"/>
      <c r="M427" s="2262"/>
      <c r="N427" s="2262"/>
      <c r="O427" s="2262"/>
      <c r="P427" s="2262"/>
    </row>
    <row customHeight="true" ht="18.452380952380953" r="428">
      <c r="A428" s="2283" t="s">
        <v>2311</v>
      </c>
      <c r="B428" s="2255">
        <v>46277</v>
      </c>
      <c r="C428" s="2283" t="str">
        <v>Saturday</v>
      </c>
      <c r="D428" s="2403" t="s">
        <v>2314</v>
      </c>
      <c r="E428" s="2256">
        <f t="shared" si="102"/>
      </c>
      <c r="F428" s="2532" t="s">
        <v>2239</v>
      </c>
      <c r="G428" s="2302"/>
      <c r="H428" s="2260" t="s">
        <v>1971</v>
      </c>
      <c r="I428" s="2288" t="s">
        <v>1972</v>
      </c>
      <c r="J428" s="2261"/>
      <c r="K428" s="2262"/>
      <c r="L428" s="2262"/>
      <c r="M428" s="2262"/>
      <c r="N428" s="2262"/>
      <c r="O428" s="2262"/>
      <c r="P428" s="2262"/>
    </row>
    <row customHeight="true" ht="20.238095238095237" r="429">
      <c r="A429" s="2283" t="s">
        <v>2315</v>
      </c>
      <c r="B429" s="2255">
        <v>46272</v>
      </c>
      <c r="C429" s="2283" t="str">
        <v>Monday</v>
      </c>
      <c r="D429" s="2403" t="s">
        <v>2316</v>
      </c>
      <c r="E429" s="2256">
        <f t="shared" si="102"/>
      </c>
      <c r="F429" s="2532" t="s">
        <v>2289</v>
      </c>
      <c r="G429" s="2302"/>
      <c r="H429" s="2260" t="s">
        <v>1971</v>
      </c>
      <c r="I429" s="2288" t="s">
        <v>1972</v>
      </c>
      <c r="J429" s="2261"/>
      <c r="K429" s="2262"/>
      <c r="L429" s="2262"/>
      <c r="M429" s="2262"/>
      <c r="N429" s="2262"/>
      <c r="O429" s="2262"/>
      <c r="P429" s="2262"/>
    </row>
    <row customHeight="true" ht="20.238095238095237" r="430">
      <c r="A430" s="2283" t="s">
        <v>2315</v>
      </c>
      <c r="B430" s="2255">
        <v>46273</v>
      </c>
      <c r="C430" s="2283" t="str">
        <v>Tuesday</v>
      </c>
      <c r="D430" s="2403" t="s">
        <v>2309</v>
      </c>
      <c r="E430" s="2256">
        <f t="shared" si="102"/>
      </c>
      <c r="F430" s="2532" t="s">
        <v>2239</v>
      </c>
      <c r="G430" s="2302"/>
      <c r="H430" s="2260" t="s">
        <v>1971</v>
      </c>
      <c r="I430" s="2288" t="s">
        <v>1972</v>
      </c>
      <c r="J430" s="2261"/>
      <c r="K430" s="2262"/>
      <c r="L430" s="2262"/>
      <c r="M430" s="2262"/>
      <c r="N430" s="2262"/>
      <c r="O430" s="2262"/>
      <c r="P430" s="2262"/>
    </row>
    <row customHeight="true" ht="20.238095238095237" r="431">
      <c r="A431" s="2283" t="s">
        <v>2315</v>
      </c>
      <c r="B431" s="2255">
        <v>46274</v>
      </c>
      <c r="C431" s="2283" t="str">
        <v>Wednesday</v>
      </c>
      <c r="D431" s="2403" t="s">
        <v>2309</v>
      </c>
      <c r="E431" s="2256">
        <f t="shared" si="102"/>
      </c>
      <c r="F431" s="2532" t="s">
        <v>2239</v>
      </c>
      <c r="G431" s="2302"/>
      <c r="H431" s="2260" t="s">
        <v>1971</v>
      </c>
      <c r="I431" s="2288" t="s">
        <v>1972</v>
      </c>
      <c r="J431" s="2261"/>
      <c r="K431" s="2262"/>
      <c r="L431" s="2262"/>
      <c r="M431" s="2262"/>
      <c r="N431" s="2262"/>
      <c r="O431" s="2262"/>
      <c r="P431" s="2262"/>
    </row>
    <row customHeight="true" ht="20.238095238095237" r="432">
      <c r="A432" s="2283" t="s">
        <v>2315</v>
      </c>
      <c r="B432" s="2255">
        <v>46274</v>
      </c>
      <c r="C432" s="2283" t="str">
        <v>Wednesday</v>
      </c>
      <c r="D432" s="2403" t="s">
        <v>2317</v>
      </c>
      <c r="E432" s="2256">
        <f t="shared" si="102"/>
      </c>
      <c r="F432" s="2532" t="s">
        <v>2289</v>
      </c>
      <c r="G432" s="2302"/>
      <c r="H432" s="2260" t="s">
        <v>1971</v>
      </c>
      <c r="I432" s="2288" t="s">
        <v>1972</v>
      </c>
      <c r="J432" s="2257" t="s">
        <v>2318</v>
      </c>
      <c r="K432" s="2262"/>
      <c r="L432" s="2262"/>
      <c r="M432" s="2262"/>
      <c r="N432" s="2262"/>
      <c r="O432" s="2262"/>
      <c r="P432" s="2262"/>
    </row>
    <row customHeight="true" ht="20.238095238095237" r="433">
      <c r="A433" s="2283" t="s">
        <v>2315</v>
      </c>
      <c r="B433" s="2255">
        <v>46274</v>
      </c>
      <c r="C433" s="2283" t="str">
        <v>Wednesday</v>
      </c>
      <c r="D433" s="2403" t="s">
        <v>2319</v>
      </c>
      <c r="E433" s="2256">
        <f t="shared" si="102"/>
      </c>
      <c r="F433" s="2532" t="s">
        <v>2289</v>
      </c>
      <c r="G433" s="2302"/>
      <c r="H433" s="2260" t="s">
        <v>1971</v>
      </c>
      <c r="I433" s="2288" t="s">
        <v>1972</v>
      </c>
      <c r="J433" s="2257" t="s">
        <v>2320</v>
      </c>
      <c r="K433" s="2262"/>
      <c r="L433" s="2262"/>
      <c r="M433" s="2262"/>
      <c r="N433" s="2262"/>
      <c r="O433" s="2262"/>
      <c r="P433" s="2262"/>
    </row>
    <row customHeight="true" ht="20.238095238095237" r="434">
      <c r="A434" s="2283" t="s">
        <v>2315</v>
      </c>
      <c r="B434" s="2255">
        <v>46275</v>
      </c>
      <c r="C434" s="2283" t="str">
        <v>Thursday</v>
      </c>
      <c r="D434" s="2403" t="s">
        <v>2309</v>
      </c>
      <c r="E434" s="2256">
        <f t="shared" si="102"/>
      </c>
      <c r="F434" s="2532" t="s">
        <v>2239</v>
      </c>
      <c r="G434" s="2302"/>
      <c r="H434" s="2260" t="s">
        <v>1971</v>
      </c>
      <c r="I434" s="2288" t="s">
        <v>1972</v>
      </c>
      <c r="J434" s="2257"/>
      <c r="K434" s="2262"/>
      <c r="L434" s="2262"/>
      <c r="M434" s="2262"/>
      <c r="N434" s="2262"/>
      <c r="O434" s="2262"/>
      <c r="P434" s="2262"/>
    </row>
    <row customHeight="true" ht="20.238095238095237" r="435">
      <c r="A435" s="2283" t="s">
        <v>2315</v>
      </c>
      <c r="B435" s="2255">
        <v>46275</v>
      </c>
      <c r="C435" s="2283" t="str">
        <v>Thursday</v>
      </c>
      <c r="D435" s="2403" t="s">
        <v>2319</v>
      </c>
      <c r="E435" s="2256">
        <f t="shared" si="102"/>
      </c>
      <c r="F435" s="2532" t="s">
        <v>2289</v>
      </c>
      <c r="G435" s="2302"/>
      <c r="H435" s="2260" t="s">
        <v>1971</v>
      </c>
      <c r="I435" s="2288" t="s">
        <v>1972</v>
      </c>
      <c r="J435" s="2257" t="s">
        <v>2321</v>
      </c>
      <c r="K435" s="2262"/>
      <c r="L435" s="2262"/>
      <c r="M435" s="2262"/>
      <c r="N435" s="2262"/>
      <c r="O435" s="2262"/>
      <c r="P435" s="2262"/>
    </row>
    <row customHeight="true" ht="20.238095238095237" r="436">
      <c r="A436" s="2283" t="s">
        <v>2315</v>
      </c>
      <c r="B436" s="2255">
        <v>46276</v>
      </c>
      <c r="C436" s="2283" t="str">
        <v>Friday</v>
      </c>
      <c r="D436" s="2403" t="s">
        <v>2322</v>
      </c>
      <c r="E436" s="2256">
        <f t="shared" si="102"/>
      </c>
      <c r="F436" s="2532" t="s">
        <v>2239</v>
      </c>
      <c r="G436" s="2302"/>
      <c r="H436" s="2260" t="s">
        <v>1971</v>
      </c>
      <c r="I436" s="2288" t="s">
        <v>1972</v>
      </c>
      <c r="J436" s="2257"/>
      <c r="K436" s="2262"/>
      <c r="L436" s="2262"/>
      <c r="M436" s="2262"/>
      <c r="N436" s="2262"/>
      <c r="O436" s="2262"/>
      <c r="P436" s="2262"/>
    </row>
    <row customHeight="true" ht="20.238095238095237" r="437">
      <c r="A437" s="2283" t="s">
        <v>2315</v>
      </c>
      <c r="B437" s="2255">
        <v>46276</v>
      </c>
      <c r="C437" s="2283" t="str">
        <v>Friday</v>
      </c>
      <c r="D437" s="2403" t="s">
        <v>2319</v>
      </c>
      <c r="E437" s="2256">
        <f t="shared" si="102"/>
      </c>
      <c r="F437" s="2532" t="s">
        <v>2289</v>
      </c>
      <c r="G437" s="2302"/>
      <c r="H437" s="2260" t="s">
        <v>1971</v>
      </c>
      <c r="I437" s="2288" t="s">
        <v>1972</v>
      </c>
      <c r="J437" s="2257"/>
      <c r="K437" s="2262"/>
      <c r="L437" s="2262"/>
      <c r="M437" s="2262"/>
      <c r="N437" s="2262"/>
      <c r="O437" s="2262"/>
      <c r="P437" s="2262"/>
    </row>
    <row customHeight="true" ht="20.238095238095237" r="438">
      <c r="A438" s="2283" t="s">
        <v>2315</v>
      </c>
      <c r="B438" s="2255">
        <v>46277</v>
      </c>
      <c r="C438" s="2283" t="str">
        <v>Saturday</v>
      </c>
      <c r="D438" s="2403" t="s">
        <v>2127</v>
      </c>
      <c r="E438" s="2256">
        <f t="shared" si="102"/>
      </c>
      <c r="F438" s="2260" t="s">
        <v>2289</v>
      </c>
      <c r="G438" s="2302"/>
      <c r="H438" s="2260" t="s">
        <v>1971</v>
      </c>
      <c r="I438" s="2288" t="s">
        <v>1972</v>
      </c>
      <c r="J438" s="2261"/>
      <c r="K438" s="2262"/>
      <c r="L438" s="2262"/>
      <c r="M438" s="2262"/>
      <c r="N438" s="2262"/>
      <c r="O438" s="2262"/>
      <c r="P438" s="2262"/>
    </row>
    <row customHeight="true" ht="20.238095238095237" r="439">
      <c r="A439" s="2283" t="s">
        <v>2315</v>
      </c>
      <c r="B439" s="2255">
        <v>46278</v>
      </c>
      <c r="C439" s="2283" t="str">
        <v>Sunday</v>
      </c>
      <c r="D439" s="2403" t="s">
        <v>2282</v>
      </c>
      <c r="E439" s="2256">
        <f t="shared" si="102"/>
      </c>
      <c r="F439" s="2260" t="s">
        <v>2289</v>
      </c>
      <c r="G439" s="2302"/>
      <c r="H439" s="2260" t="s">
        <v>1971</v>
      </c>
      <c r="I439" s="2288" t="s">
        <v>1972</v>
      </c>
      <c r="J439" s="2257" t="s">
        <v>2323</v>
      </c>
      <c r="K439" s="2262"/>
      <c r="L439" s="2262"/>
      <c r="M439" s="2262"/>
      <c r="N439" s="2262"/>
      <c r="O439" s="2262"/>
      <c r="P439" s="2262"/>
    </row>
    <row customHeight="true" ht="20.238095238095237" r="440">
      <c r="A440" s="2303" t="s">
        <v>2315</v>
      </c>
      <c r="B440" s="2304">
        <v>46278</v>
      </c>
      <c r="C440" s="2303" t="str">
        <v>Sunday</v>
      </c>
      <c r="D440" s="2305" t="s">
        <v>2309</v>
      </c>
      <c r="E440" s="2305">
        <f t="shared" si="102"/>
      </c>
      <c r="F440" s="2406" t="s">
        <v>2239</v>
      </c>
      <c r="G440" s="2307"/>
      <c r="H440" s="2306" t="s">
        <v>1971</v>
      </c>
      <c r="I440" s="2306" t="s">
        <v>1972</v>
      </c>
      <c r="J440" s="2528"/>
      <c r="K440" s="2400"/>
      <c r="L440" s="2400"/>
      <c r="M440" s="2400"/>
      <c r="N440" s="2400"/>
      <c r="O440" s="2400"/>
      <c r="P440" s="2400"/>
      <c r="Q440" s="2407"/>
      <c r="R440" s="2407"/>
    </row>
    <row customHeight="true" ht="18.452380952380953" r="441">
      <c r="A441" s="2283"/>
      <c r="B441" s="2255"/>
      <c r="C441" s="2283"/>
      <c r="D441" s="2403"/>
      <c r="E441" s="2256"/>
      <c r="F441" s="2532"/>
      <c r="G441" s="2302"/>
      <c r="H441" s="2288"/>
      <c r="I441" s="2288"/>
      <c r="J441" s="2261"/>
      <c r="K441" s="2262"/>
      <c r="L441" s="2262"/>
      <c r="M441" s="2262"/>
      <c r="N441" s="2262"/>
      <c r="O441" s="2262"/>
      <c r="P441" s="2262"/>
    </row>
    <row customHeight="true" ht="18.452380952380953" r="442">
      <c r="A442" s="2283"/>
      <c r="B442" s="2255"/>
      <c r="C442" s="2283"/>
      <c r="D442" s="2403"/>
      <c r="E442" s="2256"/>
      <c r="F442" s="2532"/>
      <c r="G442" s="2302"/>
      <c r="H442" s="2288"/>
      <c r="I442" s="2288"/>
      <c r="J442" s="2261"/>
      <c r="K442" s="2262"/>
      <c r="L442" s="2262"/>
      <c r="M442" s="2262"/>
      <c r="N442" s="2262"/>
      <c r="O442" s="2262"/>
      <c r="P442" s="2262"/>
    </row>
    <row customHeight="true" ht="18.452380952380953" r="443">
      <c r="A443" s="2283"/>
      <c r="B443" s="2255"/>
      <c r="C443" s="2283"/>
      <c r="D443" s="2403"/>
      <c r="E443" s="2256"/>
      <c r="F443" s="2532"/>
      <c r="G443" s="2302"/>
      <c r="H443" s="2288"/>
      <c r="I443" s="2288"/>
      <c r="J443" s="2261"/>
      <c r="K443" s="2262"/>
      <c r="L443" s="2262"/>
      <c r="M443" s="2262"/>
      <c r="N443" s="2262"/>
      <c r="O443" s="2262"/>
      <c r="P443" s="2262"/>
    </row>
    <row customHeight="true" ht="18.452380952380953" r="444">
      <c r="A444" s="2283"/>
      <c r="B444" s="2255"/>
      <c r="C444" s="2283"/>
      <c r="D444" s="2403"/>
      <c r="E444" s="2256"/>
      <c r="F444" s="2532"/>
      <c r="G444" s="2302"/>
      <c r="H444" s="2288"/>
      <c r="I444" s="2288"/>
      <c r="J444" s="2261"/>
      <c r="K444" s="2262"/>
      <c r="L444" s="2262"/>
      <c r="M444" s="2262"/>
      <c r="N444" s="2262"/>
      <c r="O444" s="2262"/>
      <c r="P444" s="2262"/>
    </row>
    <row customHeight="true" ht="18.452380952380953" r="445">
      <c r="A445" s="2283"/>
      <c r="B445" s="2255"/>
      <c r="C445" s="2283"/>
      <c r="D445" s="2403"/>
      <c r="E445" s="2256"/>
      <c r="F445" s="2532"/>
      <c r="G445" s="2302"/>
      <c r="H445" s="2288"/>
      <c r="I445" s="2288"/>
      <c r="J445" s="2261"/>
      <c r="K445" s="2262"/>
      <c r="L445" s="2262"/>
      <c r="M445" s="2262"/>
      <c r="N445" s="2262"/>
      <c r="O445" s="2262"/>
      <c r="P445" s="2262"/>
    </row>
    <row customHeight="true" ht="20.238095238095237" r="446">
      <c r="A446" s="2283"/>
      <c r="B446" s="2255"/>
      <c r="C446" s="2283"/>
      <c r="D446" s="2403"/>
      <c r="E446" s="2256"/>
      <c r="F446" s="2260"/>
      <c r="G446" s="2302"/>
      <c r="H446" s="2288"/>
      <c r="I446" s="2288"/>
      <c r="J446" s="2261"/>
      <c r="K446" s="2262"/>
      <c r="L446" s="2262"/>
      <c r="M446" s="2262"/>
      <c r="N446" s="2262"/>
      <c r="O446" s="2262"/>
      <c r="P446" s="2262"/>
    </row>
    <row customHeight="true" ht="20.238095238095237" r="447">
      <c r="A447" s="2283"/>
      <c r="B447" s="2255"/>
      <c r="C447" s="2283"/>
      <c r="D447" s="2256"/>
      <c r="E447" s="2288"/>
      <c r="F447" s="2260"/>
      <c r="G447" s="2292"/>
      <c r="H447" s="2288"/>
      <c r="I447" s="2288"/>
      <c r="J447" s="2261"/>
      <c r="K447" s="2460"/>
      <c r="L447" s="2460"/>
      <c r="M447" s="2460"/>
      <c r="N447" s="2460"/>
      <c r="O447" s="2460"/>
      <c r="P447" s="2460"/>
      <c r="Q447" s="2293"/>
      <c r="R447" s="2293"/>
    </row>
    <row r="448">
      <c r="A448" s="2293"/>
      <c r="B448" s="2293"/>
      <c r="C448" s="2293"/>
      <c r="D448" s="2293"/>
      <c r="E448" s="2293"/>
      <c r="F448" s="2293"/>
      <c r="G448" s="2293"/>
      <c r="H448" s="2518"/>
      <c r="I448" s="2293"/>
      <c r="J448" s="2293"/>
      <c r="K448" s="2384"/>
      <c r="L448" s="2384"/>
      <c r="M448" s="2384"/>
      <c r="N448" s="2384"/>
      <c r="O448" s="2384"/>
      <c r="P448" s="2384"/>
    </row>
    <row customHeight="true" ht="16.071428571428573" r="449">
      <c r="A449" s="2293"/>
      <c r="B449" s="2293"/>
      <c r="C449" s="2293"/>
      <c r="D449" s="2293"/>
      <c r="E449" s="2293"/>
      <c r="F449" s="2293"/>
      <c r="G449" s="2293"/>
      <c r="H449" s="2518"/>
      <c r="I449" s="2293"/>
      <c r="J449" s="2293"/>
      <c r="K449" s="2384"/>
      <c r="L449" s="2384"/>
      <c r="M449" s="2384"/>
      <c r="N449" s="2384"/>
      <c r="O449" s="2384"/>
      <c r="P449" s="2384"/>
    </row>
    <row customHeight="true" ht="16.071428571428573" r="450">
      <c r="A450" s="2559" t="s">
        <v>2324</v>
      </c>
      <c r="B450" s="2560"/>
      <c r="C450" s="2560"/>
      <c r="D450" s="2560"/>
      <c r="E450" s="2560"/>
      <c r="F450" s="2560"/>
      <c r="G450" s="2560"/>
      <c r="H450" s="2561"/>
      <c r="I450" s="2560"/>
      <c r="J450" s="2560"/>
      <c r="K450" s="2384"/>
      <c r="L450" s="2384"/>
      <c r="M450" s="2384"/>
      <c r="N450" s="2384"/>
      <c r="O450" s="2384"/>
      <c r="P450" s="2384"/>
    </row>
    <row customHeight="true" ht="27.36318407963024" r="451">
      <c r="A451" s="2562" t="s">
        <v>1989</v>
      </c>
      <c r="B451" s="2563" t="s">
        <v>1990</v>
      </c>
      <c r="C451" s="2563"/>
      <c r="D451" s="2564" t="s">
        <v>1991</v>
      </c>
      <c r="E451" s="2565" t="s">
        <v>1992</v>
      </c>
      <c r="F451" s="2565" t="s">
        <v>1993</v>
      </c>
      <c r="G451" s="2566" t="s">
        <v>2012</v>
      </c>
      <c r="H451" s="2565" t="s">
        <v>1995</v>
      </c>
      <c r="I451" s="2565" t="s">
        <v>1996</v>
      </c>
      <c r="J451" s="2567" t="s">
        <v>1997</v>
      </c>
      <c r="K451" s="2282"/>
      <c r="L451" s="2282"/>
      <c r="M451" s="2282"/>
      <c r="N451" s="2282"/>
      <c r="O451" s="2282"/>
      <c r="P451" s="2282"/>
    </row>
    <row customHeight="true" ht="16.071428571428573" r="452">
      <c r="A452" s="2283" t="s">
        <v>2324</v>
      </c>
      <c r="B452" s="2255">
        <v>46272</v>
      </c>
      <c r="C452" s="2283" t="str">
        <v>Monday</v>
      </c>
      <c r="D452" s="2256" t="s">
        <v>2003</v>
      </c>
      <c r="E452" s="2256">
        <f t="shared" ref="E452:E465" si="103">24*MOD(TIMEVALUE(TRIM(MID(D452,FIND("-",D452)+1,LEN(D452)))) - TIMEVALUE(TRIM(LEFT(D452,FIND("-",D452)-1))),1)</f>
      </c>
      <c r="F452" s="2260" t="s">
        <v>2018</v>
      </c>
      <c r="G452" s="2568" t="s">
        <v>2325</v>
      </c>
      <c r="H452" s="2288" t="s">
        <v>2009</v>
      </c>
      <c r="I452" s="2288" t="s">
        <v>2005</v>
      </c>
      <c r="J452" s="2569"/>
      <c r="K452" s="2282"/>
      <c r="L452" s="2282"/>
      <c r="M452" s="2282"/>
      <c r="N452" s="2282"/>
      <c r="O452" s="2282"/>
      <c r="P452" s="2282"/>
    </row>
    <row customHeight="true" ht="16.071428571428573" r="453">
      <c r="A453" s="2283" t="s">
        <v>2324</v>
      </c>
      <c r="B453" s="2255">
        <v>46273</v>
      </c>
      <c r="C453" s="2283" t="str">
        <v>Tuesday</v>
      </c>
      <c r="D453" s="2256" t="s">
        <v>2003</v>
      </c>
      <c r="E453" s="2256">
        <f t="shared" si="103"/>
      </c>
      <c r="F453" s="2260" t="s">
        <v>2018</v>
      </c>
      <c r="G453" s="2568" t="s">
        <v>2325</v>
      </c>
      <c r="H453" s="2288" t="s">
        <v>2009</v>
      </c>
      <c r="I453" s="2288" t="s">
        <v>2005</v>
      </c>
      <c r="J453" s="2569"/>
      <c r="K453" s="2282"/>
      <c r="L453" s="2282"/>
      <c r="M453" s="2282"/>
      <c r="N453" s="2282"/>
      <c r="O453" s="2282"/>
      <c r="P453" s="2282"/>
    </row>
    <row customHeight="true" ht="16.071428571428573" r="454">
      <c r="A454" s="2303" t="s">
        <v>2324</v>
      </c>
      <c r="B454" s="2304">
        <v>46274</v>
      </c>
      <c r="C454" s="2303" t="str">
        <v>Wednesday</v>
      </c>
      <c r="D454" s="2305" t="s">
        <v>2003</v>
      </c>
      <c r="E454" s="2305">
        <f t="shared" si="103"/>
      </c>
      <c r="F454" s="2306" t="s">
        <v>2018</v>
      </c>
      <c r="G454" s="2570" t="s">
        <v>2298</v>
      </c>
      <c r="H454" s="2306" t="s">
        <v>2009</v>
      </c>
      <c r="I454" s="2306" t="s">
        <v>2005</v>
      </c>
      <c r="J454" s="2571" t="s">
        <v>2326</v>
      </c>
      <c r="K454" s="2572"/>
      <c r="L454" s="2572"/>
      <c r="M454" s="2572"/>
      <c r="N454" s="2572"/>
      <c r="O454" s="2572"/>
      <c r="P454" s="2572"/>
      <c r="Q454" s="2407"/>
      <c r="R454" s="2407"/>
    </row>
    <row customHeight="true" ht="16.071428571428573" r="455">
      <c r="A455" s="2303" t="s">
        <v>2324</v>
      </c>
      <c r="B455" s="2304">
        <v>46275</v>
      </c>
      <c r="C455" s="2303" t="str">
        <v>Thursday</v>
      </c>
      <c r="D455" s="2305" t="s">
        <v>2003</v>
      </c>
      <c r="E455" s="2305">
        <f t="shared" si="103"/>
      </c>
      <c r="F455" s="2306" t="s">
        <v>2018</v>
      </c>
      <c r="G455" s="2570" t="s">
        <v>2325</v>
      </c>
      <c r="H455" s="2306" t="s">
        <v>2009</v>
      </c>
      <c r="I455" s="2306" t="s">
        <v>2005</v>
      </c>
      <c r="J455" s="2571" t="s">
        <v>2327</v>
      </c>
      <c r="K455" s="2572"/>
      <c r="L455" s="2572"/>
      <c r="M455" s="2572"/>
      <c r="N455" s="2572"/>
      <c r="O455" s="2572"/>
      <c r="P455" s="2572"/>
      <c r="Q455" s="2407"/>
      <c r="R455" s="2407"/>
    </row>
    <row customHeight="true" ht="16.071428571428573" r="456">
      <c r="A456" s="2303" t="s">
        <v>2324</v>
      </c>
      <c r="B456" s="2304">
        <v>46276</v>
      </c>
      <c r="C456" s="2303" t="str">
        <v>Friday</v>
      </c>
      <c r="D456" s="2305" t="s">
        <v>2003</v>
      </c>
      <c r="E456" s="2305">
        <f t="shared" si="103"/>
      </c>
      <c r="F456" s="2306" t="s">
        <v>2018</v>
      </c>
      <c r="G456" s="2570" t="s">
        <v>2325</v>
      </c>
      <c r="H456" s="2306" t="s">
        <v>2009</v>
      </c>
      <c r="I456" s="2306" t="s">
        <v>2005</v>
      </c>
      <c r="J456" s="2571" t="s">
        <v>2327</v>
      </c>
      <c r="K456" s="2572"/>
      <c r="L456" s="2572"/>
      <c r="M456" s="2572"/>
      <c r="N456" s="2572"/>
      <c r="O456" s="2572"/>
      <c r="P456" s="2572"/>
      <c r="Q456" s="2407"/>
      <c r="R456" s="2407"/>
    </row>
    <row customHeight="true" ht="16.071428571428573" r="457">
      <c r="A457" s="2303" t="s">
        <v>2324</v>
      </c>
      <c r="B457" s="2304">
        <v>46277</v>
      </c>
      <c r="C457" s="2303" t="str">
        <v>Saturday</v>
      </c>
      <c r="D457" s="2305" t="s">
        <v>2003</v>
      </c>
      <c r="E457" s="2305">
        <f t="shared" si="103"/>
      </c>
      <c r="F457" s="2306" t="s">
        <v>2018</v>
      </c>
      <c r="G457" s="2570" t="s">
        <v>2274</v>
      </c>
      <c r="H457" s="2306" t="s">
        <v>2009</v>
      </c>
      <c r="I457" s="2306" t="s">
        <v>1972</v>
      </c>
      <c r="J457" s="2571" t="s">
        <v>2327</v>
      </c>
      <c r="K457" s="2572"/>
      <c r="L457" s="2572"/>
      <c r="M457" s="2572"/>
      <c r="N457" s="2572"/>
      <c r="O457" s="2572"/>
      <c r="P457" s="2572"/>
      <c r="Q457" s="2407"/>
      <c r="R457" s="2407"/>
    </row>
    <row customHeight="true" ht="16.071428571428573" r="458">
      <c r="A458" s="2303" t="s">
        <v>2324</v>
      </c>
      <c r="B458" s="2304">
        <v>46278</v>
      </c>
      <c r="C458" s="2303" t="str">
        <v>Sunday</v>
      </c>
      <c r="D458" s="2305" t="s">
        <v>2003</v>
      </c>
      <c r="E458" s="2305">
        <f t="shared" si="103"/>
      </c>
      <c r="F458" s="2306" t="s">
        <v>2018</v>
      </c>
      <c r="G458" s="2570" t="s">
        <v>2298</v>
      </c>
      <c r="H458" s="2306" t="s">
        <v>2009</v>
      </c>
      <c r="I458" s="2306" t="s">
        <v>2005</v>
      </c>
      <c r="J458" s="2571" t="s">
        <v>2327</v>
      </c>
      <c r="K458" s="2572"/>
      <c r="L458" s="2572"/>
      <c r="M458" s="2572"/>
      <c r="N458" s="2572"/>
      <c r="O458" s="2572"/>
      <c r="P458" s="2572"/>
      <c r="Q458" s="2407"/>
      <c r="R458" s="2407"/>
    </row>
    <row customHeight="true" ht="16.071428571428573" r="459">
      <c r="A459" s="2283" t="s">
        <v>2328</v>
      </c>
      <c r="B459" s="2255">
        <v>46272</v>
      </c>
      <c r="C459" s="2283" t="str">
        <v>Monday</v>
      </c>
      <c r="D459" s="2450" t="s">
        <v>2329</v>
      </c>
      <c r="E459" s="2256">
        <f t="shared" si="103"/>
      </c>
      <c r="F459" s="2291" t="s">
        <v>2288</v>
      </c>
      <c r="G459" s="2573"/>
      <c r="H459" s="2288" t="s">
        <v>2009</v>
      </c>
      <c r="I459" s="2288" t="s">
        <v>1972</v>
      </c>
      <c r="J459" s="2574" t="s">
        <v>2330</v>
      </c>
      <c r="K459" s="2282"/>
      <c r="L459" s="2282"/>
      <c r="M459" s="2282"/>
      <c r="N459" s="2282"/>
      <c r="O459" s="2282"/>
      <c r="P459" s="2282"/>
    </row>
    <row customHeight="true" ht="16.071428571428573" r="460">
      <c r="A460" s="2283" t="s">
        <v>2328</v>
      </c>
      <c r="B460" s="2255">
        <v>46273</v>
      </c>
      <c r="C460" s="2283" t="str">
        <v>Tuesday</v>
      </c>
      <c r="D460" s="2256" t="s">
        <v>2331</v>
      </c>
      <c r="E460" s="2256">
        <f t="shared" si="103"/>
      </c>
      <c r="F460" s="2291" t="s">
        <v>2288</v>
      </c>
      <c r="G460" s="2573"/>
      <c r="H460" s="2288" t="s">
        <v>2009</v>
      </c>
      <c r="I460" s="2288" t="s">
        <v>2005</v>
      </c>
      <c r="J460" s="2574" t="s">
        <v>2332</v>
      </c>
      <c r="K460" s="2282"/>
      <c r="L460" s="2282"/>
      <c r="M460" s="2282"/>
      <c r="N460" s="2282"/>
      <c r="O460" s="2282"/>
      <c r="P460" s="2282"/>
    </row>
    <row customHeight="true" ht="16.071428571428573" r="461">
      <c r="A461" s="2303" t="s">
        <v>2328</v>
      </c>
      <c r="B461" s="2304">
        <v>46274</v>
      </c>
      <c r="C461" s="2303" t="str">
        <v>Wednesday</v>
      </c>
      <c r="D461" s="2305" t="s">
        <v>2003</v>
      </c>
      <c r="E461" s="2305">
        <f t="shared" si="103"/>
      </c>
      <c r="F461" s="2544" t="s">
        <v>2269</v>
      </c>
      <c r="G461" s="2575"/>
      <c r="H461" s="2306" t="s">
        <v>2009</v>
      </c>
      <c r="I461" s="2306" t="s">
        <v>1972</v>
      </c>
      <c r="J461" s="2571" t="s">
        <v>2326</v>
      </c>
      <c r="K461" s="2572"/>
      <c r="L461" s="2572"/>
      <c r="M461" s="2572"/>
      <c r="N461" s="2572"/>
      <c r="O461" s="2572"/>
      <c r="P461" s="2572"/>
      <c r="Q461" s="2407"/>
      <c r="R461" s="2407"/>
    </row>
    <row customHeight="true" ht="16.071428571428573" r="462">
      <c r="A462" s="2303" t="s">
        <v>2328</v>
      </c>
      <c r="B462" s="2304">
        <v>46275</v>
      </c>
      <c r="C462" s="2303" t="str">
        <v>Thursday</v>
      </c>
      <c r="D462" s="2305" t="s">
        <v>2003</v>
      </c>
      <c r="E462" s="2305">
        <f t="shared" si="103"/>
      </c>
      <c r="F462" s="2461" t="s">
        <v>2288</v>
      </c>
      <c r="G462" s="2575"/>
      <c r="H462" s="2306" t="s">
        <v>2009</v>
      </c>
      <c r="I462" s="2306" t="s">
        <v>2005</v>
      </c>
      <c r="J462" s="2571" t="s">
        <v>2327</v>
      </c>
      <c r="K462" s="2572"/>
      <c r="L462" s="2572"/>
      <c r="M462" s="2572"/>
      <c r="N462" s="2572"/>
      <c r="O462" s="2572"/>
      <c r="P462" s="2572"/>
      <c r="Q462" s="2407"/>
      <c r="R462" s="2407"/>
    </row>
    <row customHeight="true" ht="16.071428571428573" r="463">
      <c r="A463" s="2303" t="s">
        <v>2328</v>
      </c>
      <c r="B463" s="2304">
        <v>46276</v>
      </c>
      <c r="C463" s="2303" t="str">
        <v>Friday</v>
      </c>
      <c r="D463" s="2305" t="s">
        <v>2003</v>
      </c>
      <c r="E463" s="2305">
        <f t="shared" si="103"/>
      </c>
      <c r="F463" s="2461" t="s">
        <v>2288</v>
      </c>
      <c r="G463" s="2575"/>
      <c r="H463" s="2306" t="s">
        <v>2009</v>
      </c>
      <c r="I463" s="2306" t="s">
        <v>2005</v>
      </c>
      <c r="J463" s="2571" t="s">
        <v>2327</v>
      </c>
      <c r="K463" s="2572"/>
      <c r="L463" s="2572"/>
      <c r="M463" s="2572"/>
      <c r="N463" s="2572"/>
      <c r="O463" s="2572"/>
      <c r="P463" s="2572"/>
      <c r="Q463" s="2407"/>
      <c r="R463" s="2407"/>
    </row>
    <row customHeight="true" ht="16.071428571428573" r="464">
      <c r="A464" s="2303" t="s">
        <v>2328</v>
      </c>
      <c r="B464" s="2304">
        <v>46277</v>
      </c>
      <c r="C464" s="2303" t="str">
        <v>Saturday</v>
      </c>
      <c r="D464" s="2305" t="s">
        <v>2003</v>
      </c>
      <c r="E464" s="2305">
        <f t="shared" si="103"/>
      </c>
      <c r="F464" s="2461" t="s">
        <v>2274</v>
      </c>
      <c r="G464" s="2575"/>
      <c r="H464" s="2306" t="s">
        <v>2009</v>
      </c>
      <c r="I464" s="2306" t="s">
        <v>2005</v>
      </c>
      <c r="J464" s="2571" t="s">
        <v>2327</v>
      </c>
      <c r="K464" s="2572"/>
      <c r="L464" s="2572"/>
      <c r="M464" s="2572"/>
      <c r="N464" s="2572"/>
      <c r="O464" s="2572"/>
      <c r="P464" s="2572"/>
      <c r="Q464" s="2407"/>
      <c r="R464" s="2407"/>
    </row>
    <row customHeight="true" ht="16.071428571428573" r="465">
      <c r="A465" s="2303" t="s">
        <v>2328</v>
      </c>
      <c r="B465" s="2304">
        <v>46278</v>
      </c>
      <c r="C465" s="2303" t="str">
        <v>Sunday</v>
      </c>
      <c r="D465" s="2305" t="s">
        <v>2003</v>
      </c>
      <c r="E465" s="2305">
        <f t="shared" si="103"/>
      </c>
      <c r="F465" s="2544" t="s">
        <v>2269</v>
      </c>
      <c r="G465" s="2575"/>
      <c r="H465" s="2306" t="s">
        <v>2009</v>
      </c>
      <c r="I465" s="2306" t="s">
        <v>2005</v>
      </c>
      <c r="J465" s="2571" t="s">
        <v>2327</v>
      </c>
      <c r="K465" s="2572"/>
      <c r="L465" s="2572"/>
      <c r="M465" s="2572"/>
      <c r="N465" s="2572"/>
      <c r="O465" s="2572"/>
      <c r="P465" s="2572"/>
      <c r="Q465" s="2407"/>
      <c r="R465" s="2407"/>
    </row>
    <row customHeight="true" ht="16.071428571428573" r="466">
      <c r="A466" s="2283"/>
      <c r="B466" s="2255"/>
      <c r="C466" s="2283"/>
      <c r="D466" s="2256"/>
      <c r="E466" s="2256"/>
      <c r="F466" s="2291"/>
      <c r="G466" s="2573"/>
      <c r="H466" s="2288"/>
      <c r="I466" s="2288"/>
      <c r="J466" s="2257"/>
      <c r="K466" s="2282"/>
      <c r="L466" s="2282"/>
      <c r="M466" s="2282"/>
      <c r="N466" s="2282"/>
      <c r="O466" s="2282"/>
      <c r="P466" s="2282"/>
    </row>
    <row customHeight="true" ht="16.071428571428573" r="467">
      <c r="A467" s="2283"/>
      <c r="B467" s="2283"/>
      <c r="C467" s="2283"/>
      <c r="D467" s="2256"/>
      <c r="E467" s="2256"/>
      <c r="F467" s="2291"/>
      <c r="G467" s="2573"/>
      <c r="H467" s="2288"/>
      <c r="I467" s="2288"/>
      <c r="J467" s="2569"/>
      <c r="K467" s="2282"/>
      <c r="L467" s="2282"/>
      <c r="M467" s="2282"/>
      <c r="N467" s="2282"/>
      <c r="O467" s="2282"/>
      <c r="P467" s="2282"/>
    </row>
    <row customHeight="true" ht="16.071428571428573" r="468">
      <c r="A468" s="2283"/>
      <c r="B468" s="2283"/>
      <c r="C468" s="2283"/>
      <c r="D468" s="2256"/>
      <c r="E468" s="2256"/>
      <c r="F468" s="2291"/>
      <c r="G468" s="2573"/>
      <c r="H468" s="2288"/>
      <c r="I468" s="2288"/>
      <c r="J468" s="2569"/>
      <c r="K468" s="2282"/>
      <c r="L468" s="2282"/>
      <c r="M468" s="2282"/>
      <c r="N468" s="2282"/>
      <c r="O468" s="2282"/>
      <c r="P468" s="2282"/>
    </row>
    <row customHeight="true" ht="16.071428571428573" r="469">
      <c r="A469" s="2283"/>
      <c r="B469" s="2283"/>
      <c r="C469" s="2283"/>
      <c r="D469" s="2256"/>
      <c r="E469" s="2256"/>
      <c r="F469" s="2291"/>
      <c r="G469" s="2573"/>
      <c r="H469" s="2288"/>
      <c r="I469" s="2288"/>
      <c r="J469" s="2569"/>
      <c r="K469" s="2282"/>
      <c r="L469" s="2282"/>
      <c r="M469" s="2282"/>
      <c r="N469" s="2282"/>
      <c r="O469" s="2282"/>
      <c r="P469" s="2282"/>
    </row>
    <row customHeight="true" ht="16.071428571428573" r="470">
      <c r="A470" s="2283"/>
      <c r="B470" s="2283"/>
      <c r="C470" s="2283"/>
      <c r="D470" s="2256"/>
      <c r="E470" s="2256"/>
      <c r="F470" s="2291"/>
      <c r="G470" s="2573"/>
      <c r="H470" s="2288"/>
      <c r="I470" s="2288"/>
      <c r="J470" s="2569"/>
      <c r="K470" s="2282"/>
      <c r="L470" s="2282"/>
      <c r="M470" s="2282"/>
      <c r="N470" s="2282"/>
      <c r="O470" s="2282"/>
      <c r="P470" s="2282"/>
    </row>
    <row customHeight="true" ht="16.071428571428573" r="471">
      <c r="A471" s="2283"/>
      <c r="B471" s="2283"/>
      <c r="C471" s="2283"/>
      <c r="D471" s="2256"/>
      <c r="E471" s="2256"/>
      <c r="F471" s="2291"/>
      <c r="G471" s="2573"/>
      <c r="H471" s="2288"/>
      <c r="I471" s="2288"/>
      <c r="J471" s="2569"/>
      <c r="K471" s="2282"/>
      <c r="L471" s="2282"/>
      <c r="M471" s="2282"/>
      <c r="N471" s="2282"/>
      <c r="O471" s="2282"/>
      <c r="P471" s="2282"/>
    </row>
    <row customHeight="true" ht="16.071428571428573" r="472">
      <c r="A472" s="2283"/>
      <c r="B472" s="2283"/>
      <c r="C472" s="2283"/>
      <c r="D472" s="2256"/>
      <c r="E472" s="2256"/>
      <c r="F472" s="2291"/>
      <c r="G472" s="2573"/>
      <c r="H472" s="2288"/>
      <c r="I472" s="2288"/>
      <c r="J472" s="2569"/>
      <c r="K472" s="2282"/>
      <c r="L472" s="2282"/>
      <c r="M472" s="2282"/>
      <c r="N472" s="2282"/>
      <c r="O472" s="2282"/>
      <c r="P472" s="2282"/>
    </row>
    <row customHeight="true" ht="16.071428571428573" r="473">
      <c r="A473" s="2283"/>
      <c r="B473" s="2283"/>
      <c r="C473" s="2283"/>
      <c r="D473" s="2256"/>
      <c r="E473" s="2256"/>
      <c r="F473" s="2263"/>
      <c r="G473" s="2573"/>
      <c r="H473" s="2288"/>
      <c r="I473" s="2288"/>
      <c r="J473" s="2576"/>
      <c r="K473" s="2282"/>
      <c r="L473" s="2282"/>
      <c r="M473" s="2282"/>
      <c r="N473" s="2282"/>
      <c r="O473" s="2282"/>
      <c r="P473" s="2282"/>
    </row>
    <row customHeight="true" ht="16.071428571428573" r="474">
      <c r="A474" s="2283"/>
      <c r="B474" s="2283"/>
      <c r="C474" s="2283"/>
      <c r="D474" s="2256"/>
      <c r="E474" s="2256"/>
      <c r="F474" s="2530"/>
      <c r="G474" s="2573"/>
      <c r="H474" s="2288"/>
      <c r="I474" s="2288"/>
      <c r="J474" s="2574"/>
      <c r="K474" s="2282"/>
      <c r="L474" s="2282"/>
      <c r="M474" s="2282"/>
      <c r="N474" s="2282"/>
      <c r="O474" s="2282"/>
      <c r="P474" s="2282"/>
    </row>
    <row customHeight="true" ht="16.071428571428573" r="475">
      <c r="A475" s="2480" t="s">
        <v>2333</v>
      </c>
      <c r="B475" s="2577"/>
      <c r="C475" s="2577"/>
      <c r="D475" s="2577"/>
      <c r="E475" s="2577"/>
      <c r="F475" s="2577"/>
      <c r="G475" s="2577"/>
      <c r="H475" s="2578"/>
      <c r="I475" s="2577"/>
      <c r="J475" s="2577"/>
      <c r="K475" s="2577"/>
      <c r="L475" s="2577"/>
      <c r="M475" s="2577"/>
      <c r="N475" s="2577"/>
      <c r="O475" s="2577"/>
      <c r="P475" s="2577"/>
      <c r="Q475" s="2482"/>
      <c r="R475" s="2482"/>
    </row>
    <row customHeight="true" ht="16.071428571428573" r="476">
      <c r="A476" s="2483" t="s">
        <v>1989</v>
      </c>
      <c r="B476" s="2484" t="s">
        <v>1990</v>
      </c>
      <c r="C476" s="2484"/>
      <c r="D476" s="2485" t="s">
        <v>1991</v>
      </c>
      <c r="E476" s="2486" t="s">
        <v>1992</v>
      </c>
      <c r="F476" s="2486" t="s">
        <v>1993</v>
      </c>
      <c r="G476" s="2487" t="s">
        <v>2012</v>
      </c>
      <c r="H476" s="2486" t="s">
        <v>1995</v>
      </c>
      <c r="I476" s="2486" t="s">
        <v>1996</v>
      </c>
      <c r="J476" s="2488" t="s">
        <v>1997</v>
      </c>
      <c r="K476" s="2489"/>
      <c r="L476" s="2489"/>
      <c r="M476" s="2489"/>
      <c r="N476" s="2489"/>
      <c r="O476" s="2489"/>
      <c r="P476" s="2489"/>
      <c r="Q476" s="2482"/>
      <c r="R476" s="2482"/>
    </row>
    <row customHeight="true" ht="16.071428571428573" r="477">
      <c r="A477" s="2283" t="s">
        <v>2334</v>
      </c>
      <c r="B477" s="2255">
        <v>46276</v>
      </c>
      <c r="C477" s="2283" t="str">
        <v>Friday</v>
      </c>
      <c r="D477" s="2256" t="s">
        <v>2041</v>
      </c>
      <c r="E477" s="2256">
        <f t="shared" ref="E477:E479" si="104">24*MOD(TIMEVALUE(TRIM(MID(D477,FIND("-",D477)+1,LEN(D477)))) - TIMEVALUE(TRIM(LEFT(D477,FIND("-",D477)-1))),1)</f>
      </c>
      <c r="F477" s="2260" t="s">
        <v>2018</v>
      </c>
      <c r="G477" s="2568"/>
      <c r="H477" s="2288" t="s">
        <v>2009</v>
      </c>
      <c r="I477" s="2288" t="s">
        <v>2005</v>
      </c>
      <c r="J477" s="2569"/>
      <c r="K477" s="2282"/>
      <c r="L477" s="2282"/>
      <c r="M477" s="2282"/>
      <c r="N477" s="2282"/>
      <c r="O477" s="2282"/>
      <c r="P477" s="2282"/>
    </row>
    <row customHeight="true" ht="17.261904761904763" r="478">
      <c r="A478" s="2283" t="s">
        <v>2334</v>
      </c>
      <c r="B478" s="2255">
        <v>46276</v>
      </c>
      <c r="C478" s="2283" t="str">
        <v>Friday</v>
      </c>
      <c r="D478" s="2256" t="s">
        <v>2041</v>
      </c>
      <c r="E478" s="2256">
        <f t="shared" si="104"/>
      </c>
      <c r="F478" s="2260" t="s">
        <v>1975</v>
      </c>
      <c r="G478" s="2568"/>
      <c r="H478" s="2288" t="s">
        <v>2009</v>
      </c>
      <c r="I478" s="2288" t="s">
        <v>2005</v>
      </c>
      <c r="J478" s="2569"/>
      <c r="K478" s="2282"/>
      <c r="L478" s="2282"/>
      <c r="M478" s="2282"/>
      <c r="N478" s="2282"/>
      <c r="O478" s="2282"/>
      <c r="P478" s="2282"/>
    </row>
    <row customHeight="true" ht="16.071428571428573" r="479">
      <c r="A479" s="2283" t="s">
        <v>2334</v>
      </c>
      <c r="B479" s="2255">
        <v>46278</v>
      </c>
      <c r="C479" s="2283" t="str">
        <v>Sunday</v>
      </c>
      <c r="D479" s="2256" t="s">
        <v>2317</v>
      </c>
      <c r="E479" s="2256">
        <f t="shared" si="104"/>
      </c>
      <c r="F479" s="2260" t="s">
        <v>2141</v>
      </c>
      <c r="G479" s="2568"/>
      <c r="H479" s="2288" t="s">
        <v>2009</v>
      </c>
      <c r="I479" s="2288" t="s">
        <v>2005</v>
      </c>
      <c r="J479" s="2569"/>
      <c r="K479" s="2282"/>
      <c r="L479" s="2282"/>
      <c r="M479" s="2282"/>
      <c r="N479" s="2282"/>
      <c r="O479" s="2282"/>
      <c r="P479" s="2282"/>
    </row>
    <row customHeight="true" ht="16.071428571428573" r="480">
      <c r="A480" s="2283"/>
      <c r="B480" s="2255"/>
      <c r="C480" s="2283"/>
      <c r="D480" s="2256"/>
      <c r="E480" s="2256"/>
      <c r="F480" s="2260"/>
      <c r="G480" s="2568"/>
      <c r="H480" s="2288"/>
      <c r="I480" s="2288"/>
      <c r="J480" s="2569"/>
      <c r="K480" s="2282"/>
      <c r="L480" s="2282"/>
      <c r="M480" s="2282"/>
      <c r="N480" s="2282"/>
      <c r="O480" s="2282"/>
      <c r="P480" s="2282"/>
    </row>
    <row r="481">
      <c r="A481" s="2579" t="s">
        <v>2335</v>
      </c>
      <c r="B481" s="2579"/>
      <c r="C481" s="2579"/>
      <c r="D481" s="2579"/>
      <c r="E481" s="2579"/>
      <c r="F481" s="2579"/>
      <c r="G481" s="2579"/>
      <c r="H481" s="2579"/>
      <c r="I481" s="2579"/>
      <c r="J481" s="2580"/>
      <c r="K481" s="2296"/>
      <c r="L481" s="2296"/>
      <c r="M481" s="2296"/>
      <c r="N481" s="2296"/>
      <c r="O481" s="2296"/>
      <c r="P481" s="2296"/>
    </row>
    <row r="482">
      <c r="A482" s="2581" t="s">
        <v>1989</v>
      </c>
      <c r="B482" s="2426" t="s">
        <v>1990</v>
      </c>
      <c r="C482" s="2426"/>
      <c r="D482" s="2428" t="s">
        <v>1991</v>
      </c>
      <c r="E482" s="2582" t="s">
        <v>1992</v>
      </c>
      <c r="F482" s="2582" t="s">
        <v>1993</v>
      </c>
      <c r="G482" s="2583" t="s">
        <v>2012</v>
      </c>
      <c r="H482" s="2582" t="s">
        <v>1995</v>
      </c>
      <c r="I482" s="2582" t="s">
        <v>1996</v>
      </c>
      <c r="J482" s="2431" t="s">
        <v>1997</v>
      </c>
      <c r="K482" s="2282"/>
      <c r="L482" s="2282"/>
      <c r="M482" s="2282"/>
      <c r="N482" s="2282"/>
      <c r="O482" s="2282"/>
      <c r="P482" s="2282"/>
    </row>
    <row r="483">
      <c r="A483" s="2283" t="s">
        <v>2336</v>
      </c>
      <c r="B483" s="2255">
        <v>46272</v>
      </c>
      <c r="C483" s="2283" t="str">
        <v>Monday</v>
      </c>
      <c r="D483" s="2256" t="s">
        <v>2258</v>
      </c>
      <c r="E483" s="2260">
        <f t="shared" ref="E483:E487" si="105">24*MOD(TIMEVALUE(TRIM(MID(D483,FIND("-",D483)+1,LEN(D483)))) - TIMEVALUE(TRIM(LEFT(D483,FIND("-",D483)-1))),1)</f>
      </c>
      <c r="F483" s="2288" t="s">
        <v>2165</v>
      </c>
      <c r="G483" s="2408"/>
      <c r="H483" s="2260" t="s">
        <v>2009</v>
      </c>
      <c r="I483" s="2346" t="s">
        <v>1972</v>
      </c>
      <c r="J483" s="2286"/>
      <c r="K483" s="2262"/>
      <c r="L483" s="2262"/>
      <c r="M483" s="2262"/>
      <c r="N483" s="2262"/>
      <c r="O483" s="2262"/>
      <c r="P483" s="2262"/>
    </row>
    <row r="484">
      <c r="A484" s="2283" t="s">
        <v>2336</v>
      </c>
      <c r="B484" s="2255">
        <v>46272</v>
      </c>
      <c r="C484" s="2283" t="str">
        <v>Monday</v>
      </c>
      <c r="D484" s="2256" t="s">
        <v>2221</v>
      </c>
      <c r="E484" s="2260">
        <f t="shared" si="105"/>
      </c>
      <c r="F484" s="2288" t="s">
        <v>2082</v>
      </c>
      <c r="G484" s="2584"/>
      <c r="H484" s="2260" t="s">
        <v>2009</v>
      </c>
      <c r="I484" s="2346" t="s">
        <v>1972</v>
      </c>
      <c r="J484" s="2286"/>
      <c r="K484" s="2262"/>
      <c r="L484" s="2262"/>
      <c r="M484" s="2262"/>
      <c r="N484" s="2262"/>
      <c r="O484" s="2262"/>
      <c r="P484" s="2262"/>
    </row>
    <row customHeight="true" ht="18.452380952380953" r="485">
      <c r="A485" s="2283" t="s">
        <v>2336</v>
      </c>
      <c r="B485" s="2255">
        <v>46272</v>
      </c>
      <c r="C485" s="2283" t="str">
        <v>Monday</v>
      </c>
      <c r="D485" s="2256" t="s">
        <v>2283</v>
      </c>
      <c r="E485" s="2260">
        <f t="shared" si="105"/>
      </c>
      <c r="F485" s="2585" t="s">
        <v>2337</v>
      </c>
      <c r="G485" s="2408"/>
      <c r="H485" s="2260" t="s">
        <v>2009</v>
      </c>
      <c r="I485" s="2346" t="s">
        <v>1972</v>
      </c>
      <c r="J485" s="2286"/>
      <c r="K485" s="2262"/>
      <c r="L485" s="2262"/>
      <c r="M485" s="2262"/>
      <c r="N485" s="2262"/>
      <c r="O485" s="2262"/>
      <c r="P485" s="2262"/>
    </row>
    <row r="486">
      <c r="A486" s="2283" t="s">
        <v>2336</v>
      </c>
      <c r="B486" s="2255">
        <v>46272</v>
      </c>
      <c r="C486" s="2283" t="str">
        <v>Monday</v>
      </c>
      <c r="D486" s="2256" t="s">
        <v>2280</v>
      </c>
      <c r="E486" s="2260">
        <f t="shared" si="105"/>
      </c>
      <c r="F486" s="2288" t="s">
        <v>2082</v>
      </c>
      <c r="G486" s="2408"/>
      <c r="H486" s="2260" t="s">
        <v>2009</v>
      </c>
      <c r="I486" s="2346" t="s">
        <v>1972</v>
      </c>
      <c r="J486" s="2286"/>
      <c r="K486" s="2262"/>
      <c r="L486" s="2262"/>
      <c r="M486" s="2262"/>
      <c r="N486" s="2262"/>
      <c r="O486" s="2262"/>
      <c r="P486" s="2262"/>
    </row>
    <row customHeight="true" ht="18.452380952380953" r="487">
      <c r="A487" s="2283" t="s">
        <v>2336</v>
      </c>
      <c r="B487" s="2255">
        <v>46272</v>
      </c>
      <c r="C487" s="2283" t="str">
        <v>Monday</v>
      </c>
      <c r="D487" s="2256" t="s">
        <v>2338</v>
      </c>
      <c r="E487" s="2260">
        <f t="shared" si="105"/>
      </c>
      <c r="F487" s="2349" t="s">
        <v>2339</v>
      </c>
      <c r="G487" s="2408"/>
      <c r="H487" s="2260" t="s">
        <v>2009</v>
      </c>
      <c r="I487" s="2346" t="s">
        <v>1972</v>
      </c>
      <c r="J487" s="2286"/>
      <c r="K487" s="2262"/>
      <c r="L487" s="2262"/>
      <c r="M487" s="2262"/>
      <c r="N487" s="2262"/>
      <c r="O487" s="2262"/>
      <c r="P487" s="2262"/>
    </row>
    <row customHeight="true" ht="18.452380952380953" r="488">
      <c r="A488" s="2283"/>
      <c r="B488" s="2255"/>
      <c r="C488" s="2283"/>
      <c r="D488" s="2403"/>
      <c r="E488" s="2529"/>
      <c r="F488" s="2349"/>
      <c r="G488" s="2586"/>
      <c r="H488" s="2260"/>
      <c r="I488" s="2346"/>
      <c r="J488" s="2587"/>
      <c r="K488" s="2588"/>
      <c r="L488" s="2588"/>
      <c r="M488" s="2588"/>
      <c r="N488" s="2588"/>
      <c r="O488" s="2588"/>
      <c r="P488" s="2588"/>
    </row>
    <row customHeight="true" ht="18.452380952380953" r="489">
      <c r="A489" s="2283" t="s">
        <v>2340</v>
      </c>
      <c r="B489" s="2255">
        <v>46272</v>
      </c>
      <c r="C489" s="2283" t="str">
        <v>Monday</v>
      </c>
      <c r="D489" s="2256" t="s">
        <v>2341</v>
      </c>
      <c r="E489" s="2529">
        <f t="shared" ref="E489:E494" si="106">24*MOD(TIMEVALUE(TRIM(MID(D489,FIND("-",D489)+1,LEN(D489)))) - TIMEVALUE(TRIM(LEFT(D489,FIND("-",D489)-1))),1)</f>
      </c>
      <c r="F489" s="2349" t="s">
        <v>2342</v>
      </c>
      <c r="G489" s="2586"/>
      <c r="H489" s="2260" t="s">
        <v>2009</v>
      </c>
      <c r="I489" s="2346" t="s">
        <v>1972</v>
      </c>
      <c r="J489" s="2587"/>
      <c r="K489" s="2588"/>
      <c r="L489" s="2588"/>
      <c r="M489" s="2588"/>
      <c r="N489" s="2588"/>
      <c r="O489" s="2588"/>
      <c r="P489" s="2588"/>
    </row>
    <row customHeight="true" ht="18.452380952380953" r="490">
      <c r="A490" s="2283" t="s">
        <v>2340</v>
      </c>
      <c r="B490" s="2255">
        <v>46272</v>
      </c>
      <c r="C490" s="2283" t="str">
        <v>Monday</v>
      </c>
      <c r="D490" s="2256" t="s">
        <v>2221</v>
      </c>
      <c r="E490" s="2529">
        <f t="shared" si="106"/>
      </c>
      <c r="F490" s="2349" t="s">
        <v>2090</v>
      </c>
      <c r="G490" s="2586"/>
      <c r="H490" s="2260" t="s">
        <v>2009</v>
      </c>
      <c r="I490" s="2346" t="s">
        <v>1972</v>
      </c>
      <c r="J490" s="2587"/>
      <c r="K490" s="2588"/>
      <c r="L490" s="2588"/>
      <c r="M490" s="2588"/>
      <c r="N490" s="2588"/>
      <c r="O490" s="2588"/>
      <c r="P490" s="2588"/>
    </row>
    <row customHeight="true" ht="18.452380952380953" r="491">
      <c r="A491" s="2283" t="s">
        <v>2340</v>
      </c>
      <c r="B491" s="2255">
        <v>46272</v>
      </c>
      <c r="C491" s="2283" t="str">
        <v>Monday</v>
      </c>
      <c r="D491" s="2256" t="s">
        <v>2041</v>
      </c>
      <c r="E491" s="2529">
        <f t="shared" si="106"/>
      </c>
      <c r="F491" s="2349" t="s">
        <v>2343</v>
      </c>
      <c r="G491" s="2586"/>
      <c r="H491" s="2260" t="s">
        <v>2009</v>
      </c>
      <c r="I491" s="2346" t="s">
        <v>1972</v>
      </c>
      <c r="J491" s="2587"/>
      <c r="K491" s="2588"/>
      <c r="L491" s="2588"/>
      <c r="M491" s="2588"/>
      <c r="N491" s="2588"/>
      <c r="O491" s="2588"/>
      <c r="P491" s="2588"/>
    </row>
    <row customHeight="true" ht="18.452380952380953" r="492">
      <c r="A492" s="2283" t="s">
        <v>2340</v>
      </c>
      <c r="B492" s="2255">
        <v>46272</v>
      </c>
      <c r="C492" s="2283" t="str">
        <v>Monday</v>
      </c>
      <c r="D492" s="2256" t="s">
        <v>2344</v>
      </c>
      <c r="E492" s="2529">
        <f t="shared" si="106"/>
      </c>
      <c r="F492" s="2530" t="s">
        <v>2345</v>
      </c>
      <c r="G492" s="2586"/>
      <c r="H492" s="2260" t="s">
        <v>2009</v>
      </c>
      <c r="I492" s="2346" t="s">
        <v>1972</v>
      </c>
      <c r="J492" s="2587"/>
      <c r="K492" s="2588"/>
      <c r="L492" s="2588"/>
      <c r="M492" s="2588"/>
      <c r="N492" s="2588"/>
      <c r="O492" s="2588"/>
      <c r="P492" s="2588"/>
    </row>
    <row customHeight="true" ht="18.452380952380953" r="493">
      <c r="A493" s="2283" t="s">
        <v>2340</v>
      </c>
      <c r="B493" s="2255">
        <v>46272</v>
      </c>
      <c r="C493" s="2283" t="str">
        <v>Monday</v>
      </c>
      <c r="D493" s="2256" t="s">
        <v>2346</v>
      </c>
      <c r="E493" s="2529">
        <f t="shared" si="106"/>
      </c>
      <c r="F493" s="2349" t="s">
        <v>2343</v>
      </c>
      <c r="G493" s="2586"/>
      <c r="H493" s="2260" t="s">
        <v>2009</v>
      </c>
      <c r="I493" s="2346" t="s">
        <v>1972</v>
      </c>
      <c r="J493" s="2587"/>
      <c r="K493" s="2588"/>
      <c r="L493" s="2588"/>
      <c r="M493" s="2588"/>
      <c r="N493" s="2588"/>
      <c r="O493" s="2588"/>
      <c r="P493" s="2588"/>
    </row>
    <row r="494">
      <c r="A494" s="2283" t="s">
        <v>2340</v>
      </c>
      <c r="B494" s="2255">
        <v>46272</v>
      </c>
      <c r="C494" s="2283" t="str">
        <v>Monday</v>
      </c>
      <c r="D494" s="2256" t="s">
        <v>2338</v>
      </c>
      <c r="E494" s="2529">
        <f t="shared" si="106"/>
      </c>
      <c r="F494" s="2349" t="s">
        <v>2090</v>
      </c>
      <c r="G494" s="2586"/>
      <c r="H494" s="2260" t="s">
        <v>2009</v>
      </c>
      <c r="I494" s="2346" t="s">
        <v>1972</v>
      </c>
      <c r="J494" s="2587"/>
      <c r="K494" s="2588"/>
      <c r="L494" s="2588"/>
      <c r="M494" s="2588"/>
      <c r="N494" s="2588"/>
      <c r="O494" s="2588"/>
      <c r="P494" s="2588"/>
    </row>
    <row customHeight="true" ht="18.452380952380953" r="495">
      <c r="A495" s="2283"/>
      <c r="B495" s="2283"/>
      <c r="C495" s="2283"/>
      <c r="D495" s="2403"/>
      <c r="E495" s="2529"/>
      <c r="F495" s="2349"/>
      <c r="G495" s="2586"/>
      <c r="H495" s="2260"/>
      <c r="I495" s="2346"/>
      <c r="J495" s="2587"/>
      <c r="K495" s="2588"/>
      <c r="L495" s="2588"/>
      <c r="M495" s="2588"/>
      <c r="N495" s="2588"/>
      <c r="O495" s="2588"/>
      <c r="P495" s="2588"/>
    </row>
    <row r="496">
      <c r="A496" s="2589" t="s">
        <v>2336</v>
      </c>
      <c r="B496" s="2590">
        <v>46273</v>
      </c>
      <c r="C496" s="2589" t="str">
        <v>Tuesday</v>
      </c>
      <c r="D496" s="2591" t="s">
        <v>2258</v>
      </c>
      <c r="E496" s="2592">
        <f t="shared" ref="E496:E501" si="107">24*MOD(TIMEVALUE(TRIM(MID(D496,FIND("-",D496)+1,LEN(D496)))) - TIMEVALUE(TRIM(LEFT(D496,FIND("-",D496)-1))),1)</f>
      </c>
      <c r="F496" s="2592" t="s">
        <v>2347</v>
      </c>
      <c r="G496" s="2593"/>
      <c r="H496" s="2260" t="s">
        <v>2009</v>
      </c>
      <c r="I496" s="2346" t="s">
        <v>1972</v>
      </c>
      <c r="J496" s="2594"/>
      <c r="K496" s="2588"/>
      <c r="L496" s="2588"/>
      <c r="M496" s="2588"/>
      <c r="N496" s="2588"/>
      <c r="O496" s="2588"/>
      <c r="P496" s="2588"/>
    </row>
    <row r="497">
      <c r="A497" s="2589" t="s">
        <v>2336</v>
      </c>
      <c r="B497" s="2590">
        <v>46273</v>
      </c>
      <c r="C497" s="2589" t="str">
        <v>Tuesday</v>
      </c>
      <c r="D497" s="2591" t="s">
        <v>2128</v>
      </c>
      <c r="E497" s="2592">
        <f t="shared" si="107"/>
      </c>
      <c r="F497" s="2595" t="s">
        <v>2348</v>
      </c>
      <c r="G497" s="2593"/>
      <c r="H497" s="2260" t="s">
        <v>2009</v>
      </c>
      <c r="I497" s="2346" t="s">
        <v>1972</v>
      </c>
      <c r="J497" s="2594"/>
      <c r="K497" s="2588"/>
      <c r="L497" s="2588"/>
      <c r="M497" s="2588"/>
      <c r="N497" s="2588"/>
      <c r="O497" s="2588"/>
      <c r="P497" s="2588"/>
    </row>
    <row customHeight="true" ht="18.452380952380953" r="498">
      <c r="A498" s="2589" t="s">
        <v>2336</v>
      </c>
      <c r="B498" s="2590">
        <v>46273</v>
      </c>
      <c r="C498" s="2589" t="str">
        <v>Tuesday</v>
      </c>
      <c r="D498" s="2591" t="s">
        <v>2349</v>
      </c>
      <c r="E498" s="2592">
        <f t="shared" si="107"/>
      </c>
      <c r="F498" s="2596" t="s">
        <v>2337</v>
      </c>
      <c r="G498" s="2593"/>
      <c r="H498" s="2260" t="s">
        <v>2009</v>
      </c>
      <c r="I498" s="2346" t="s">
        <v>1972</v>
      </c>
      <c r="J498" s="2594"/>
      <c r="K498" s="2588"/>
      <c r="L498" s="2588"/>
      <c r="M498" s="2588"/>
      <c r="N498" s="2588"/>
      <c r="O498" s="2588"/>
      <c r="P498" s="2588"/>
    </row>
    <row r="499">
      <c r="A499" s="2589" t="s">
        <v>2336</v>
      </c>
      <c r="B499" s="2590">
        <v>46273</v>
      </c>
      <c r="C499" s="2589" t="str">
        <v>Tuesday</v>
      </c>
      <c r="D499" s="2591" t="s">
        <v>2125</v>
      </c>
      <c r="E499" s="2592">
        <f t="shared" si="107"/>
      </c>
      <c r="F499" s="2595" t="s">
        <v>2082</v>
      </c>
      <c r="G499" s="2593"/>
      <c r="H499" s="2349" t="s">
        <v>2009</v>
      </c>
      <c r="I499" s="2346" t="s">
        <v>1972</v>
      </c>
      <c r="J499" s="2594"/>
      <c r="K499" s="2588"/>
      <c r="L499" s="2588"/>
      <c r="M499" s="2588"/>
      <c r="N499" s="2588"/>
      <c r="O499" s="2588"/>
      <c r="P499" s="2588"/>
    </row>
    <row r="500">
      <c r="A500" s="2597" t="s">
        <v>2336</v>
      </c>
      <c r="B500" s="2590">
        <v>46273</v>
      </c>
      <c r="C500" s="2597" t="str">
        <v>Tuesday</v>
      </c>
      <c r="D500" s="2591" t="s">
        <v>2027</v>
      </c>
      <c r="E500" s="2596">
        <f t="shared" si="107"/>
      </c>
      <c r="F500" s="2596" t="s">
        <v>2339</v>
      </c>
      <c r="G500" s="2598"/>
      <c r="H500" s="2349" t="s">
        <v>2009</v>
      </c>
      <c r="I500" s="2346" t="s">
        <v>1972</v>
      </c>
      <c r="J500" s="2599"/>
      <c r="K500" s="2600"/>
      <c r="L500" s="2600"/>
      <c r="M500" s="2600"/>
      <c r="N500" s="2600"/>
      <c r="O500" s="2600"/>
      <c r="P500" s="2600"/>
      <c r="Q500" s="2601"/>
      <c r="R500" s="2601"/>
    </row>
    <row customHeight="true" ht="18.452380952380953" r="501">
      <c r="A501" s="2589" t="s">
        <v>2336</v>
      </c>
      <c r="B501" s="2590">
        <v>46273</v>
      </c>
      <c r="C501" s="2589" t="str">
        <v>Tuesday</v>
      </c>
      <c r="D501" s="2591" t="s">
        <v>2350</v>
      </c>
      <c r="E501" s="2592">
        <f t="shared" si="107"/>
      </c>
      <c r="F501" s="2595" t="s">
        <v>2351</v>
      </c>
      <c r="G501" s="2593"/>
      <c r="H501" s="2349" t="s">
        <v>2009</v>
      </c>
      <c r="I501" s="2346" t="s">
        <v>1972</v>
      </c>
      <c r="J501" s="2594"/>
      <c r="K501" s="2588"/>
      <c r="L501" s="2588"/>
      <c r="M501" s="2588"/>
      <c r="N501" s="2588"/>
      <c r="O501" s="2588"/>
      <c r="P501" s="2588"/>
    </row>
    <row customHeight="true" ht="18.452380952380953" r="502">
      <c r="A502" s="2589"/>
      <c r="B502" s="2590"/>
      <c r="C502" s="2589"/>
      <c r="D502" s="2591"/>
      <c r="E502" s="2592"/>
      <c r="F502" s="2595"/>
      <c r="G502" s="2593"/>
      <c r="H502" s="2349"/>
      <c r="I502" s="2346"/>
      <c r="J502" s="2594"/>
      <c r="K502" s="2588"/>
      <c r="L502" s="2588"/>
      <c r="M502" s="2588"/>
      <c r="N502" s="2588"/>
      <c r="O502" s="2588"/>
      <c r="P502" s="2588"/>
    </row>
    <row customHeight="true" ht="18.452380952380953" r="503">
      <c r="A503" s="2597" t="s">
        <v>2340</v>
      </c>
      <c r="B503" s="2602">
        <v>46273</v>
      </c>
      <c r="C503" s="2597" t="str">
        <v>Tuesday</v>
      </c>
      <c r="D503" s="2591" t="s">
        <v>2341</v>
      </c>
      <c r="E503" s="2603">
        <f t="shared" ref="E503:E508" si="108">24*MOD(TIMEVALUE(TRIM(MID(D503,FIND("-",D503)+1,LEN(D503)))) - TIMEVALUE(TRIM(LEFT(D503,FIND("-",D503)-1))),1)</f>
      </c>
      <c r="F503" s="2596" t="s">
        <v>2342</v>
      </c>
      <c r="G503" s="2604"/>
      <c r="H503" s="2349" t="s">
        <v>2009</v>
      </c>
      <c r="I503" s="2346" t="s">
        <v>1972</v>
      </c>
      <c r="J503" s="2605"/>
      <c r="K503" s="2600"/>
      <c r="L503" s="2600"/>
      <c r="M503" s="2600"/>
      <c r="N503" s="2600"/>
      <c r="O503" s="2600"/>
      <c r="P503" s="2600"/>
      <c r="Q503" s="2601"/>
      <c r="R503" s="2601"/>
    </row>
    <row customHeight="true" ht="18.452380952380953" r="504">
      <c r="A504" s="2597" t="s">
        <v>2340</v>
      </c>
      <c r="B504" s="2602">
        <v>46273</v>
      </c>
      <c r="C504" s="2597" t="str">
        <v>Tuesday</v>
      </c>
      <c r="D504" s="2591" t="s">
        <v>2128</v>
      </c>
      <c r="E504" s="2596">
        <f t="shared" si="108"/>
      </c>
      <c r="F504" s="2592" t="s">
        <v>2343</v>
      </c>
      <c r="G504" s="2606"/>
      <c r="H504" s="2349" t="s">
        <v>2009</v>
      </c>
      <c r="I504" s="2346" t="s">
        <v>1972</v>
      </c>
      <c r="J504" s="2607"/>
      <c r="K504" s="2608"/>
      <c r="L504" s="2608"/>
      <c r="M504" s="2608"/>
      <c r="N504" s="2608"/>
      <c r="O504" s="2608"/>
      <c r="P504" s="2608"/>
      <c r="Q504" s="2601"/>
      <c r="R504" s="2601"/>
    </row>
    <row customHeight="true" ht="18.452380952380953" r="505">
      <c r="A505" s="2597" t="s">
        <v>2340</v>
      </c>
      <c r="B505" s="2602">
        <v>46273</v>
      </c>
      <c r="C505" s="2597" t="str">
        <v>Tuesday</v>
      </c>
      <c r="D505" s="2591" t="s">
        <v>2129</v>
      </c>
      <c r="E505" s="2596">
        <f t="shared" si="108"/>
      </c>
      <c r="F505" s="2592" t="s">
        <v>2136</v>
      </c>
      <c r="G505" s="2606"/>
      <c r="H505" s="2349" t="s">
        <v>2009</v>
      </c>
      <c r="I505" s="2346" t="s">
        <v>1972</v>
      </c>
      <c r="J505" s="2607"/>
      <c r="K505" s="2608"/>
      <c r="L505" s="2608"/>
      <c r="M505" s="2608"/>
      <c r="N505" s="2608"/>
      <c r="O505" s="2608"/>
      <c r="P505" s="2608"/>
      <c r="Q505" s="2601"/>
      <c r="R505" s="2601"/>
    </row>
    <row r="506">
      <c r="A506" s="2597" t="s">
        <v>2340</v>
      </c>
      <c r="B506" s="2602">
        <v>46273</v>
      </c>
      <c r="C506" s="2597" t="str">
        <v>Tuesday</v>
      </c>
      <c r="D506" s="2591" t="s">
        <v>2020</v>
      </c>
      <c r="E506" s="2596">
        <f t="shared" si="108"/>
      </c>
      <c r="F506" s="2596" t="s">
        <v>2090</v>
      </c>
      <c r="G506" s="2606"/>
      <c r="H506" s="2349" t="s">
        <v>2009</v>
      </c>
      <c r="I506" s="2346" t="s">
        <v>1972</v>
      </c>
      <c r="J506" s="2607"/>
      <c r="K506" s="2608"/>
      <c r="L506" s="2608"/>
      <c r="M506" s="2608"/>
      <c r="N506" s="2608"/>
      <c r="O506" s="2608"/>
      <c r="P506" s="2608"/>
      <c r="Q506" s="2601"/>
      <c r="R506" s="2601"/>
    </row>
    <row r="507">
      <c r="A507" s="2589" t="s">
        <v>2340</v>
      </c>
      <c r="B507" s="2602">
        <v>46273</v>
      </c>
      <c r="C507" s="2589" t="str">
        <v>Tuesday</v>
      </c>
      <c r="D507" s="2591" t="s">
        <v>2280</v>
      </c>
      <c r="E507" s="2609">
        <f t="shared" si="108"/>
      </c>
      <c r="F507" s="2592" t="s">
        <v>2136</v>
      </c>
      <c r="G507" s="2593"/>
      <c r="H507" s="2349" t="s">
        <v>2009</v>
      </c>
      <c r="I507" s="2346" t="s">
        <v>1972</v>
      </c>
      <c r="J507" s="2610"/>
      <c r="K507" s="2262"/>
      <c r="L507" s="2262"/>
      <c r="M507" s="2262"/>
      <c r="N507" s="2262"/>
      <c r="O507" s="2262"/>
      <c r="P507" s="2262"/>
    </row>
    <row customHeight="true" ht="18.452380952380953" r="508">
      <c r="A508" s="2589" t="s">
        <v>2340</v>
      </c>
      <c r="B508" s="2602">
        <v>46273</v>
      </c>
      <c r="C508" s="2589" t="str">
        <v>Tuesday</v>
      </c>
      <c r="D508" s="2591" t="s">
        <v>2338</v>
      </c>
      <c r="E508" s="2609">
        <f t="shared" si="108"/>
      </c>
      <c r="F508" s="2596" t="s">
        <v>2090</v>
      </c>
      <c r="G508" s="2611"/>
      <c r="H508" s="2349" t="s">
        <v>2009</v>
      </c>
      <c r="I508" s="2346" t="s">
        <v>1972</v>
      </c>
      <c r="J508" s="2610"/>
      <c r="K508" s="2262"/>
      <c r="L508" s="2262"/>
      <c r="M508" s="2262"/>
      <c r="N508" s="2262"/>
      <c r="O508" s="2262"/>
      <c r="P508" s="2262"/>
    </row>
    <row customHeight="true" ht="18.452380952380953" r="509">
      <c r="A509" s="2589"/>
      <c r="B509" s="2589"/>
      <c r="C509" s="2589"/>
      <c r="D509" s="2612"/>
      <c r="E509" s="2609"/>
      <c r="F509" s="2592"/>
      <c r="G509" s="2611"/>
      <c r="H509" s="2260"/>
      <c r="I509" s="2346"/>
      <c r="J509" s="2613"/>
      <c r="K509" s="2262"/>
      <c r="L509" s="2262"/>
      <c r="M509" s="2262"/>
      <c r="N509" s="2262"/>
      <c r="O509" s="2262"/>
      <c r="P509" s="2262"/>
    </row>
    <row r="510">
      <c r="A510" s="2283" t="s">
        <v>2336</v>
      </c>
      <c r="B510" s="2255">
        <v>46277</v>
      </c>
      <c r="C510" s="2283" t="str">
        <v>Saturday</v>
      </c>
      <c r="D510" s="2403" t="s">
        <v>2258</v>
      </c>
      <c r="E510" s="2260">
        <f t="shared" ref="E510:E515" si="109">24*MOD(TIMEVALUE(TRIM(MID(D510,FIND("-",D510)+1,LEN(D510)))) - TIMEVALUE(TRIM(LEFT(D510,FIND("-",D510)-1))),1)</f>
      </c>
      <c r="F510" s="2585" t="s">
        <v>2173</v>
      </c>
      <c r="G510" s="2614"/>
      <c r="H510" s="2260" t="s">
        <v>2009</v>
      </c>
      <c r="I510" s="2288" t="s">
        <v>1972</v>
      </c>
      <c r="J510" s="2286"/>
      <c r="K510" s="2262"/>
      <c r="L510" s="2262"/>
      <c r="M510" s="2262"/>
      <c r="N510" s="2262"/>
      <c r="O510" s="2262"/>
      <c r="P510" s="2262"/>
    </row>
    <row customHeight="true" ht="18.452380952380953" r="511">
      <c r="A511" s="2283" t="s">
        <v>2336</v>
      </c>
      <c r="B511" s="2255">
        <v>46277</v>
      </c>
      <c r="C511" s="2283" t="str">
        <v>Saturday</v>
      </c>
      <c r="D511" s="2403" t="s">
        <v>2128</v>
      </c>
      <c r="E511" s="2260">
        <f t="shared" si="109"/>
      </c>
      <c r="F511" s="2585" t="s">
        <v>2348</v>
      </c>
      <c r="G511" s="2614"/>
      <c r="H511" s="2260" t="s">
        <v>2009</v>
      </c>
      <c r="I511" s="2346" t="s">
        <v>1972</v>
      </c>
      <c r="J511" s="2615"/>
      <c r="K511" s="2262"/>
      <c r="L511" s="2262"/>
      <c r="M511" s="2262"/>
      <c r="N511" s="2262"/>
      <c r="O511" s="2262"/>
      <c r="P511" s="2262"/>
    </row>
    <row customHeight="true" ht="18.452380952380953" r="512">
      <c r="A512" s="2283" t="s">
        <v>2336</v>
      </c>
      <c r="B512" s="2255">
        <v>46277</v>
      </c>
      <c r="C512" s="2283" t="str">
        <v>Saturday</v>
      </c>
      <c r="D512" s="2403" t="s">
        <v>2129</v>
      </c>
      <c r="E512" s="2260">
        <f t="shared" si="109"/>
      </c>
      <c r="F512" s="2585" t="s">
        <v>2082</v>
      </c>
      <c r="G512" s="2616"/>
      <c r="H512" s="2260" t="s">
        <v>2009</v>
      </c>
      <c r="I512" s="2346" t="s">
        <v>1972</v>
      </c>
      <c r="J512" s="2615"/>
      <c r="K512" s="2262"/>
      <c r="L512" s="2262"/>
      <c r="M512" s="2262"/>
      <c r="N512" s="2262"/>
      <c r="O512" s="2262"/>
      <c r="P512" s="2262"/>
    </row>
    <row customHeight="true" ht="18.452380952380953" r="513">
      <c r="A513" s="2283" t="s">
        <v>2336</v>
      </c>
      <c r="B513" s="2255">
        <v>46277</v>
      </c>
      <c r="C513" s="2283" t="str">
        <v>Saturday</v>
      </c>
      <c r="D513" s="2403" t="s">
        <v>2020</v>
      </c>
      <c r="E513" s="2260">
        <f t="shared" si="109"/>
      </c>
      <c r="F513" s="2585" t="s">
        <v>2337</v>
      </c>
      <c r="G513" s="2616"/>
      <c r="H513" s="2260" t="s">
        <v>2009</v>
      </c>
      <c r="I513" s="2346" t="s">
        <v>1972</v>
      </c>
      <c r="J513" s="2615"/>
      <c r="K513" s="2262"/>
      <c r="L513" s="2262"/>
      <c r="M513" s="2262"/>
      <c r="N513" s="2262"/>
      <c r="O513" s="2262"/>
      <c r="P513" s="2262"/>
    </row>
    <row r="514">
      <c r="A514" s="2283" t="s">
        <v>2336</v>
      </c>
      <c r="B514" s="2255">
        <v>46277</v>
      </c>
      <c r="C514" s="2283" t="str">
        <v>Saturday</v>
      </c>
      <c r="D514" s="2403" t="s">
        <v>2280</v>
      </c>
      <c r="E514" s="2260">
        <f t="shared" si="109"/>
      </c>
      <c r="F514" s="2585" t="s">
        <v>2082</v>
      </c>
      <c r="G514" s="2614"/>
      <c r="H514" s="2260" t="s">
        <v>2009</v>
      </c>
      <c r="I514" s="2346" t="s">
        <v>1972</v>
      </c>
      <c r="J514" s="2615"/>
      <c r="K514" s="2262"/>
      <c r="L514" s="2262"/>
      <c r="M514" s="2262"/>
      <c r="N514" s="2262"/>
      <c r="O514" s="2262"/>
      <c r="P514" s="2262"/>
    </row>
    <row customHeight="true" ht="18.452380952380953" r="515">
      <c r="A515" s="2283" t="s">
        <v>2336</v>
      </c>
      <c r="B515" s="2255">
        <v>46277</v>
      </c>
      <c r="C515" s="2283" t="str">
        <v>Saturday</v>
      </c>
      <c r="D515" s="2403" t="s">
        <v>2338</v>
      </c>
      <c r="E515" s="2260">
        <f t="shared" si="109"/>
      </c>
      <c r="F515" s="2585" t="s">
        <v>2351</v>
      </c>
      <c r="G515" s="2614"/>
      <c r="H515" s="2260" t="s">
        <v>2009</v>
      </c>
      <c r="I515" s="2346" t="s">
        <v>1972</v>
      </c>
      <c r="J515" s="2615"/>
      <c r="K515" s="2262"/>
      <c r="L515" s="2262"/>
      <c r="M515" s="2262"/>
      <c r="N515" s="2262"/>
      <c r="O515" s="2262"/>
      <c r="P515" s="2262"/>
    </row>
    <row customHeight="true" ht="18.452380952380953" r="516">
      <c r="A516" s="2283"/>
      <c r="B516" s="2255"/>
      <c r="C516" s="2283"/>
      <c r="D516" s="2403"/>
      <c r="E516" s="2260"/>
      <c r="F516" s="2585"/>
      <c r="G516" s="2614"/>
      <c r="H516" s="2260"/>
      <c r="I516" s="2346"/>
      <c r="J516" s="2615"/>
      <c r="K516" s="2262"/>
      <c r="L516" s="2262"/>
      <c r="M516" s="2262"/>
      <c r="N516" s="2262"/>
      <c r="O516" s="2262"/>
      <c r="P516" s="2262"/>
    </row>
    <row r="517">
      <c r="A517" s="2283" t="s">
        <v>2340</v>
      </c>
      <c r="B517" s="2255">
        <v>46277</v>
      </c>
      <c r="C517" s="2283" t="str">
        <v>Saturday</v>
      </c>
      <c r="D517" s="2256" t="s">
        <v>2352</v>
      </c>
      <c r="E517" s="2529">
        <f t="shared" ref="E517:E522" si="110">24*MOD(TIMEVALUE(TRIM(MID(D517,FIND("-",D517)+1,LEN(D517)))) - TIMEVALUE(TRIM(LEFT(D517,FIND("-",D517)-1))),1)</f>
      </c>
      <c r="F517" s="2349" t="s">
        <v>2342</v>
      </c>
      <c r="G517" s="2617"/>
      <c r="H517" s="2260" t="s">
        <v>2009</v>
      </c>
      <c r="I517" s="2346" t="s">
        <v>1972</v>
      </c>
      <c r="J517" s="2615"/>
      <c r="K517" s="2262"/>
      <c r="L517" s="2262"/>
      <c r="M517" s="2262"/>
      <c r="N517" s="2262"/>
      <c r="O517" s="2262"/>
      <c r="P517" s="2262"/>
    </row>
    <row customHeight="true" ht="18.452380952380953" r="518">
      <c r="A518" s="2283" t="s">
        <v>2340</v>
      </c>
      <c r="B518" s="2255">
        <v>46277</v>
      </c>
      <c r="C518" s="2283" t="str">
        <v>Saturday</v>
      </c>
      <c r="D518" s="2256" t="s">
        <v>2007</v>
      </c>
      <c r="E518" s="2529">
        <f t="shared" si="110"/>
      </c>
      <c r="F518" s="2349" t="s">
        <v>2343</v>
      </c>
      <c r="G518" s="2617"/>
      <c r="H518" s="2260" t="s">
        <v>2009</v>
      </c>
      <c r="I518" s="2346" t="s">
        <v>1972</v>
      </c>
      <c r="J518" s="2615"/>
      <c r="K518" s="2262"/>
      <c r="L518" s="2262"/>
      <c r="M518" s="2262"/>
      <c r="N518" s="2262"/>
      <c r="O518" s="2262"/>
      <c r="P518" s="2262"/>
    </row>
    <row r="519">
      <c r="A519" s="2283" t="s">
        <v>2340</v>
      </c>
      <c r="B519" s="2255">
        <v>46277</v>
      </c>
      <c r="C519" s="2283" t="str">
        <v>Saturday</v>
      </c>
      <c r="D519" s="2256" t="s">
        <v>2058</v>
      </c>
      <c r="E519" s="2529">
        <f t="shared" si="110"/>
      </c>
      <c r="F519" s="2349" t="s">
        <v>2136</v>
      </c>
      <c r="G519" s="2617"/>
      <c r="H519" s="2260" t="s">
        <v>2009</v>
      </c>
      <c r="I519" s="2346" t="s">
        <v>1972</v>
      </c>
      <c r="J519" s="2615"/>
      <c r="K519" s="2262"/>
      <c r="L519" s="2262"/>
      <c r="M519" s="2262"/>
      <c r="N519" s="2262"/>
      <c r="O519" s="2262"/>
      <c r="P519" s="2262"/>
    </row>
    <row customHeight="true" ht="18.452380952380953" r="520">
      <c r="A520" s="2283" t="s">
        <v>2340</v>
      </c>
      <c r="B520" s="2255">
        <v>46277</v>
      </c>
      <c r="C520" s="2283" t="str">
        <v>Saturday</v>
      </c>
      <c r="D520" s="2256" t="s">
        <v>2353</v>
      </c>
      <c r="E520" s="2529">
        <f t="shared" si="110"/>
      </c>
      <c r="F520" s="2349" t="s">
        <v>2090</v>
      </c>
      <c r="G520" s="2617"/>
      <c r="H520" s="2260" t="s">
        <v>2009</v>
      </c>
      <c r="I520" s="2346" t="s">
        <v>1972</v>
      </c>
      <c r="J520" s="2615"/>
      <c r="K520" s="2262"/>
      <c r="L520" s="2262"/>
      <c r="M520" s="2262"/>
      <c r="N520" s="2262"/>
      <c r="O520" s="2262"/>
      <c r="P520" s="2262"/>
    </row>
    <row customHeight="true" ht="18.452380952380953" r="521">
      <c r="A521" s="2283" t="s">
        <v>2340</v>
      </c>
      <c r="B521" s="2255">
        <v>46277</v>
      </c>
      <c r="C521" s="2283" t="str">
        <v>Saturday</v>
      </c>
      <c r="D521" s="2256" t="s">
        <v>2280</v>
      </c>
      <c r="E521" s="2529">
        <f t="shared" si="110"/>
      </c>
      <c r="F521" s="2349"/>
      <c r="G521" s="2617"/>
      <c r="H521" s="2260" t="s">
        <v>2009</v>
      </c>
      <c r="I521" s="2346" t="s">
        <v>2005</v>
      </c>
      <c r="J521" s="2615"/>
      <c r="K521" s="2262"/>
      <c r="L521" s="2262"/>
      <c r="M521" s="2262"/>
      <c r="N521" s="2262"/>
      <c r="O521" s="2262"/>
      <c r="P521" s="2262"/>
    </row>
    <row r="522">
      <c r="A522" s="2283" t="s">
        <v>2340</v>
      </c>
      <c r="B522" s="2255">
        <v>46277</v>
      </c>
      <c r="C522" s="2283" t="str">
        <v>Saturday</v>
      </c>
      <c r="D522" s="2403" t="s">
        <v>2354</v>
      </c>
      <c r="E522" s="2529">
        <f t="shared" si="110"/>
      </c>
      <c r="F522" s="2349" t="s">
        <v>2090</v>
      </c>
      <c r="G522" s="2617"/>
      <c r="H522" s="2260" t="s">
        <v>2009</v>
      </c>
      <c r="I522" s="2346" t="s">
        <v>1972</v>
      </c>
      <c r="J522" s="2615"/>
      <c r="K522" s="2262"/>
      <c r="L522" s="2262"/>
      <c r="M522" s="2262"/>
      <c r="N522" s="2262"/>
      <c r="O522" s="2262"/>
      <c r="P522" s="2262"/>
    </row>
    <row customHeight="true" ht="18.452380952380953" r="523">
      <c r="A523" s="2283"/>
      <c r="B523" s="2283"/>
      <c r="C523" s="2283"/>
      <c r="D523" s="2403"/>
      <c r="E523" s="2529"/>
      <c r="F523" s="2349"/>
      <c r="G523" s="2617"/>
      <c r="H523" s="2260"/>
      <c r="I523" s="2346"/>
      <c r="J523" s="2615"/>
      <c r="K523" s="2262"/>
      <c r="L523" s="2262"/>
      <c r="M523" s="2262"/>
      <c r="N523" s="2262"/>
      <c r="O523" s="2262"/>
      <c r="P523" s="2262"/>
    </row>
    <row r="524">
      <c r="A524" s="2589" t="s">
        <v>2336</v>
      </c>
      <c r="B524" s="2590">
        <v>46278</v>
      </c>
      <c r="C524" s="2589" t="str">
        <v>Sunday</v>
      </c>
      <c r="D524" s="2591" t="s">
        <v>2258</v>
      </c>
      <c r="E524" s="2592">
        <f t="shared" ref="E524:E529" si="111">24*MOD(TIMEVALUE(TRIM(MID(D524,FIND("-",D524)+1,LEN(D524)))) - TIMEVALUE(TRIM(LEFT(D524,FIND("-",D524)-1))),1)</f>
      </c>
      <c r="F524" s="2595" t="s">
        <v>2173</v>
      </c>
      <c r="G524" s="2618"/>
      <c r="H524" s="2260" t="s">
        <v>2009</v>
      </c>
      <c r="I524" s="2288" t="s">
        <v>1972</v>
      </c>
      <c r="J524" s="2615"/>
      <c r="K524" s="2262"/>
      <c r="L524" s="2262"/>
      <c r="M524" s="2262"/>
      <c r="N524" s="2262"/>
      <c r="O524" s="2262"/>
      <c r="P524" s="2262"/>
    </row>
    <row r="525">
      <c r="A525" s="2589" t="s">
        <v>2336</v>
      </c>
      <c r="B525" s="2590">
        <v>46278</v>
      </c>
      <c r="C525" s="2589" t="str">
        <v>Sunday</v>
      </c>
      <c r="D525" s="2591" t="s">
        <v>2221</v>
      </c>
      <c r="E525" s="2592">
        <f t="shared" si="111"/>
      </c>
      <c r="F525" s="2595" t="s">
        <v>2337</v>
      </c>
      <c r="G525" s="2618"/>
      <c r="H525" s="2260" t="s">
        <v>2009</v>
      </c>
      <c r="I525" s="2346" t="s">
        <v>1972</v>
      </c>
      <c r="J525" s="2615"/>
      <c r="K525" s="2262"/>
      <c r="L525" s="2262"/>
      <c r="M525" s="2262"/>
      <c r="N525" s="2262"/>
      <c r="O525" s="2262"/>
      <c r="P525" s="2262"/>
    </row>
    <row customHeight="true" ht="18.452380952380953" r="526">
      <c r="A526" s="2589" t="s">
        <v>2336</v>
      </c>
      <c r="B526" s="2590">
        <v>46278</v>
      </c>
      <c r="C526" s="2589" t="str">
        <v>Sunday</v>
      </c>
      <c r="D526" s="2591" t="s">
        <v>2041</v>
      </c>
      <c r="E526" s="2592">
        <f t="shared" si="111"/>
      </c>
      <c r="F526" s="2595" t="s">
        <v>2348</v>
      </c>
      <c r="G526" s="2618"/>
      <c r="H526" s="2260" t="s">
        <v>2009</v>
      </c>
      <c r="I526" s="2346" t="s">
        <v>1972</v>
      </c>
      <c r="J526" s="2615"/>
      <c r="K526" s="2262"/>
      <c r="L526" s="2262"/>
      <c r="M526" s="2262"/>
      <c r="N526" s="2262"/>
      <c r="O526" s="2262"/>
      <c r="P526" s="2262"/>
    </row>
    <row customHeight="true" ht="18.452380952380953" r="527">
      <c r="A527" s="2589" t="s">
        <v>2336</v>
      </c>
      <c r="B527" s="2590">
        <v>46278</v>
      </c>
      <c r="C527" s="2589" t="str">
        <v>Sunday</v>
      </c>
      <c r="D527" s="2591" t="s">
        <v>2049</v>
      </c>
      <c r="E527" s="2592">
        <f t="shared" si="111"/>
      </c>
      <c r="F527" s="2595" t="s">
        <v>2337</v>
      </c>
      <c r="G527" s="2618"/>
      <c r="H527" s="2260" t="s">
        <v>2009</v>
      </c>
      <c r="I527" s="2346" t="s">
        <v>1972</v>
      </c>
      <c r="J527" s="2615"/>
      <c r="K527" s="2262"/>
      <c r="L527" s="2262"/>
      <c r="M527" s="2262"/>
      <c r="N527" s="2262"/>
      <c r="O527" s="2262"/>
      <c r="P527" s="2262"/>
    </row>
    <row r="528">
      <c r="A528" s="2589" t="s">
        <v>2336</v>
      </c>
      <c r="B528" s="2590">
        <v>46278</v>
      </c>
      <c r="C528" s="2589" t="str">
        <v>Sunday</v>
      </c>
      <c r="D528" s="2591" t="s">
        <v>2280</v>
      </c>
      <c r="E528" s="2592">
        <f t="shared" si="111"/>
      </c>
      <c r="F528" s="2595" t="s">
        <v>2082</v>
      </c>
      <c r="G528" s="2618"/>
      <c r="H528" s="2260" t="s">
        <v>2009</v>
      </c>
      <c r="I528" s="2346" t="s">
        <v>1972</v>
      </c>
      <c r="J528" s="2615"/>
      <c r="K528" s="2262"/>
      <c r="L528" s="2262"/>
      <c r="M528" s="2262"/>
      <c r="N528" s="2262"/>
      <c r="O528" s="2262"/>
      <c r="P528" s="2262"/>
    </row>
    <row r="529">
      <c r="A529" s="2589" t="s">
        <v>2336</v>
      </c>
      <c r="B529" s="2590">
        <v>46278</v>
      </c>
      <c r="C529" s="2589" t="str">
        <v>Sunday</v>
      </c>
      <c r="D529" s="2591" t="s">
        <v>2338</v>
      </c>
      <c r="E529" s="2592">
        <f t="shared" si="111"/>
      </c>
      <c r="F529" s="2592" t="s">
        <v>2339</v>
      </c>
      <c r="G529" s="2618"/>
      <c r="H529" s="2260" t="s">
        <v>2009</v>
      </c>
      <c r="I529" s="2346" t="s">
        <v>1972</v>
      </c>
      <c r="J529" s="2615"/>
      <c r="K529" s="2262"/>
      <c r="L529" s="2262"/>
      <c r="M529" s="2262"/>
      <c r="N529" s="2262"/>
      <c r="O529" s="2262"/>
      <c r="P529" s="2262"/>
    </row>
    <row customHeight="true" ht="18.452380952380953" r="530">
      <c r="A530" s="2589"/>
      <c r="B530" s="2590"/>
      <c r="C530" s="2589"/>
      <c r="D530" s="2612"/>
      <c r="E530" s="2592"/>
      <c r="F530" s="2595"/>
      <c r="G530" s="2618"/>
      <c r="H530" s="2260"/>
      <c r="I530" s="2346"/>
      <c r="J530" s="2615"/>
      <c r="K530" s="2262"/>
      <c r="L530" s="2262"/>
      <c r="M530" s="2262"/>
      <c r="N530" s="2262"/>
      <c r="O530" s="2262"/>
      <c r="P530" s="2262"/>
    </row>
    <row customHeight="true" ht="18.452380952380953" r="531">
      <c r="A531" s="2589" t="s">
        <v>2340</v>
      </c>
      <c r="B531" s="2590">
        <v>46278</v>
      </c>
      <c r="C531" s="2589" t="s">
        <v>2355</v>
      </c>
      <c r="D531" s="2612" t="s">
        <v>2352</v>
      </c>
      <c r="E531" s="2603">
        <f t="shared" ref="E531:E536" si="112">24*MOD(TIMEVALUE(TRIM(MID(D531,FIND("-",D531)+1,LEN(D531)))) - TIMEVALUE(TRIM(LEFT(D531,FIND("-",D531)-1))),1)</f>
      </c>
      <c r="F531" s="2596" t="s">
        <v>2342</v>
      </c>
      <c r="G531" s="2619"/>
      <c r="H531" s="2260" t="s">
        <v>2009</v>
      </c>
      <c r="I531" s="2346" t="s">
        <v>1972</v>
      </c>
      <c r="J531" s="2615"/>
      <c r="K531" s="2262"/>
      <c r="L531" s="2262"/>
      <c r="M531" s="2262"/>
      <c r="N531" s="2262"/>
      <c r="O531" s="2262"/>
      <c r="P531" s="2262"/>
    </row>
    <row r="532">
      <c r="A532" s="2589" t="s">
        <v>2340</v>
      </c>
      <c r="B532" s="2590">
        <v>46278</v>
      </c>
      <c r="C532" s="2589" t="s">
        <v>2355</v>
      </c>
      <c r="D532" s="2612" t="s">
        <v>2007</v>
      </c>
      <c r="E532" s="2603">
        <f t="shared" si="112"/>
      </c>
      <c r="F532" s="2603" t="s">
        <v>2343</v>
      </c>
      <c r="G532" s="2620"/>
      <c r="H532" s="2621" t="s">
        <v>2009</v>
      </c>
      <c r="I532" s="2346" t="s">
        <v>1972</v>
      </c>
      <c r="J532" s="2615"/>
      <c r="K532" s="2262"/>
      <c r="L532" s="2262"/>
      <c r="M532" s="2262"/>
      <c r="N532" s="2262"/>
      <c r="O532" s="2262"/>
      <c r="P532" s="2262"/>
    </row>
    <row customHeight="true" ht="18.452380952380953" r="533">
      <c r="A533" s="2589" t="s">
        <v>2340</v>
      </c>
      <c r="B533" s="2590">
        <v>46278</v>
      </c>
      <c r="C533" s="2589" t="s">
        <v>2355</v>
      </c>
      <c r="D533" s="2612" t="s">
        <v>2046</v>
      </c>
      <c r="E533" s="2603">
        <f t="shared" si="112"/>
      </c>
      <c r="F533" s="2596" t="s">
        <v>2356</v>
      </c>
      <c r="G533" s="2618"/>
      <c r="H533" s="2260" t="s">
        <v>2009</v>
      </c>
      <c r="I533" s="2346" t="s">
        <v>2005</v>
      </c>
      <c r="J533" s="2615"/>
      <c r="K533" s="2262"/>
      <c r="L533" s="2262"/>
      <c r="M533" s="2262"/>
      <c r="N533" s="2262"/>
      <c r="O533" s="2262"/>
      <c r="P533" s="2262"/>
    </row>
    <row customHeight="true" ht="18.452380952380953" r="534">
      <c r="A534" s="2589" t="s">
        <v>2340</v>
      </c>
      <c r="B534" s="2590">
        <v>46278</v>
      </c>
      <c r="C534" s="2589" t="s">
        <v>2355</v>
      </c>
      <c r="D534" s="2612" t="s">
        <v>2020</v>
      </c>
      <c r="E534" s="2603">
        <f t="shared" si="112"/>
      </c>
      <c r="F534" s="2596" t="s">
        <v>2090</v>
      </c>
      <c r="G534" s="2619"/>
      <c r="H534" s="2260" t="s">
        <v>2009</v>
      </c>
      <c r="I534" s="2346" t="s">
        <v>1972</v>
      </c>
      <c r="J534" s="2615"/>
      <c r="K534" s="2262"/>
      <c r="L534" s="2262"/>
      <c r="M534" s="2262"/>
      <c r="N534" s="2262"/>
      <c r="O534" s="2262"/>
      <c r="P534" s="2262"/>
    </row>
    <row customHeight="true" ht="18.452380952380953" r="535">
      <c r="A535" s="2589" t="s">
        <v>2340</v>
      </c>
      <c r="B535" s="2590">
        <v>46278</v>
      </c>
      <c r="C535" s="2589" t="s">
        <v>2355</v>
      </c>
      <c r="D535" s="2612" t="s">
        <v>2033</v>
      </c>
      <c r="E535" s="2603">
        <f t="shared" si="112"/>
      </c>
      <c r="F535" s="2603"/>
      <c r="G535" s="2618" t="s">
        <v>2357</v>
      </c>
      <c r="H535" s="2260" t="s">
        <v>2009</v>
      </c>
      <c r="I535" s="2346" t="s">
        <v>2005</v>
      </c>
      <c r="J535" s="2615"/>
      <c r="K535" s="2262"/>
      <c r="L535" s="2262"/>
      <c r="M535" s="2262"/>
      <c r="N535" s="2262"/>
      <c r="O535" s="2262"/>
      <c r="P535" s="2262"/>
    </row>
    <row customHeight="true" ht="18.452380952380953" r="536">
      <c r="A536" s="2589" t="s">
        <v>2340</v>
      </c>
      <c r="B536" s="2590">
        <v>46278</v>
      </c>
      <c r="C536" s="2589" t="s">
        <v>2355</v>
      </c>
      <c r="D536" s="2612" t="s">
        <v>2053</v>
      </c>
      <c r="E536" s="2603">
        <f t="shared" si="112"/>
      </c>
      <c r="F536" s="2596" t="s">
        <v>2090</v>
      </c>
      <c r="G536" s="2619"/>
      <c r="H536" s="2260" t="s">
        <v>2009</v>
      </c>
      <c r="I536" s="2346" t="s">
        <v>1972</v>
      </c>
      <c r="J536" s="2615"/>
      <c r="K536" s="2262"/>
      <c r="L536" s="2262"/>
      <c r="M536" s="2262"/>
      <c r="N536" s="2262"/>
      <c r="O536" s="2262"/>
      <c r="P536" s="2262"/>
    </row>
    <row customHeight="true" ht="18.452380952380953" r="537">
      <c r="A537" s="2589"/>
      <c r="B537" s="2590"/>
      <c r="C537" s="2589"/>
      <c r="D537" s="2612"/>
      <c r="E537" s="2603"/>
      <c r="F537" s="2596"/>
      <c r="G537" s="2619"/>
      <c r="H537" s="2260"/>
      <c r="I537" s="2346"/>
      <c r="J537" s="2615"/>
      <c r="K537" s="2262"/>
      <c r="L537" s="2262"/>
      <c r="M537" s="2262"/>
      <c r="N537" s="2262"/>
      <c r="O537" s="2262"/>
      <c r="P537" s="2262"/>
    </row>
    <row customHeight="true" ht="18.452380952380953" r="538">
      <c r="A538" s="2283" t="s">
        <v>2358</v>
      </c>
      <c r="B538" s="2255">
        <v>46274</v>
      </c>
      <c r="C538" s="2283" t="str">
        <v>Wednesday</v>
      </c>
      <c r="D538" s="2256" t="s">
        <v>2041</v>
      </c>
      <c r="E538" s="2529">
        <f t="shared" ref="E538:E544" si="113">24*MOD(TIMEVALUE(TRIM(MID(D538,FIND("-",D538)+1,LEN(D538)))) - TIMEVALUE(TRIM(LEFT(D538,FIND("-",D538)-1))),1)</f>
      </c>
      <c r="F538" s="2585" t="s">
        <v>2359</v>
      </c>
      <c r="G538" s="2292"/>
      <c r="H538" s="2288" t="s">
        <v>2009</v>
      </c>
      <c r="I538" s="2288" t="s">
        <v>2005</v>
      </c>
      <c r="J538" s="2261"/>
      <c r="K538" s="2460"/>
      <c r="L538" s="2460"/>
      <c r="M538" s="2460"/>
      <c r="N538" s="2460"/>
      <c r="O538" s="2460"/>
      <c r="P538" s="2460"/>
      <c r="Q538" s="2293"/>
      <c r="R538" s="2293"/>
    </row>
    <row customHeight="true" ht="18.452380952380953" r="539">
      <c r="A539" s="2303" t="s">
        <v>2358</v>
      </c>
      <c r="B539" s="2304">
        <v>46277</v>
      </c>
      <c r="C539" s="2303" t="str">
        <v>Saturday</v>
      </c>
      <c r="D539" s="2305" t="s">
        <v>2282</v>
      </c>
      <c r="E539" s="2544">
        <f t="shared" si="113"/>
      </c>
      <c r="F539" s="2622" t="s">
        <v>2359</v>
      </c>
      <c r="G539" s="2320"/>
      <c r="H539" s="2306" t="s">
        <v>2009</v>
      </c>
      <c r="I539" s="2306" t="s">
        <v>2005</v>
      </c>
      <c r="J539" s="2309" t="s">
        <v>2360</v>
      </c>
      <c r="K539" s="2400"/>
      <c r="L539" s="2400"/>
      <c r="M539" s="2400"/>
      <c r="N539" s="2400"/>
      <c r="O539" s="2400"/>
      <c r="P539" s="2400"/>
      <c r="Q539" s="2401"/>
      <c r="R539" s="2401"/>
    </row>
    <row customHeight="true" ht="18.452380952380953" r="540">
      <c r="A540" s="2432" t="s">
        <v>2358</v>
      </c>
      <c r="B540" s="2402">
        <v>46277</v>
      </c>
      <c r="C540" s="2432" t="str">
        <v>Saturday</v>
      </c>
      <c r="D540" s="2403" t="s">
        <v>2361</v>
      </c>
      <c r="E540" s="2530">
        <f t="shared" si="113"/>
      </c>
      <c r="F540" s="2585" t="s">
        <v>2359</v>
      </c>
      <c r="G540" s="2526"/>
      <c r="H540" s="2349" t="s">
        <v>2009</v>
      </c>
      <c r="I540" s="2349" t="s">
        <v>2005</v>
      </c>
      <c r="J540" s="2462"/>
      <c r="K540" s="2262"/>
      <c r="L540" s="2262"/>
      <c r="M540" s="2262"/>
      <c r="N540" s="2262"/>
      <c r="O540" s="2262"/>
      <c r="P540" s="2262"/>
      <c r="Q540" s="2384"/>
      <c r="R540" s="2384"/>
    </row>
    <row customHeight="true" ht="18.452380952380953" r="541">
      <c r="A541" s="2283" t="s">
        <v>2358</v>
      </c>
      <c r="B541" s="2255">
        <v>46274</v>
      </c>
      <c r="C541" s="2283" t="str">
        <v>Wednesday</v>
      </c>
      <c r="D541" s="2256" t="s">
        <v>2362</v>
      </c>
      <c r="E541" s="2529">
        <f t="shared" si="113"/>
      </c>
      <c r="F541" s="2585" t="s">
        <v>2363</v>
      </c>
      <c r="G541" s="2292"/>
      <c r="H541" s="2288" t="s">
        <v>2009</v>
      </c>
      <c r="I541" s="2288" t="s">
        <v>2005</v>
      </c>
      <c r="J541" s="2261"/>
      <c r="K541" s="2460"/>
      <c r="L541" s="2460"/>
      <c r="M541" s="2460"/>
      <c r="N541" s="2460"/>
      <c r="O541" s="2460"/>
      <c r="P541" s="2460"/>
      <c r="Q541" s="2293"/>
      <c r="R541" s="2293"/>
    </row>
    <row customHeight="true" ht="18.452380952380953" r="542">
      <c r="A542" s="2283" t="s">
        <v>2358</v>
      </c>
      <c r="B542" s="2255">
        <v>46276</v>
      </c>
      <c r="C542" s="2283" t="str">
        <v>Friday</v>
      </c>
      <c r="D542" s="2256" t="s">
        <v>2014</v>
      </c>
      <c r="E542" s="2529">
        <f t="shared" si="113"/>
      </c>
      <c r="F542" s="2585" t="s">
        <v>2363</v>
      </c>
      <c r="G542" s="2292"/>
      <c r="H542" s="2288" t="s">
        <v>2009</v>
      </c>
      <c r="I542" s="2288" t="s">
        <v>2005</v>
      </c>
      <c r="J542" s="2261"/>
      <c r="K542" s="2460"/>
      <c r="L542" s="2460"/>
      <c r="M542" s="2460"/>
      <c r="N542" s="2460"/>
      <c r="O542" s="2460"/>
      <c r="P542" s="2460"/>
      <c r="Q542" s="2293"/>
      <c r="R542" s="2293"/>
    </row>
    <row customHeight="true" ht="18.452380952380953" r="543">
      <c r="A543" s="2283" t="s">
        <v>2358</v>
      </c>
      <c r="B543" s="2255">
        <v>46277</v>
      </c>
      <c r="C543" s="2283" t="str">
        <v>Saturday</v>
      </c>
      <c r="D543" s="2256" t="s">
        <v>2282</v>
      </c>
      <c r="E543" s="2529">
        <f t="shared" si="113"/>
      </c>
      <c r="F543" s="2585" t="s">
        <v>2363</v>
      </c>
      <c r="G543" s="2292"/>
      <c r="H543" s="2288" t="s">
        <v>2009</v>
      </c>
      <c r="I543" s="2288" t="s">
        <v>2005</v>
      </c>
      <c r="J543" s="2261"/>
      <c r="K543" s="2460"/>
      <c r="L543" s="2460"/>
      <c r="M543" s="2460"/>
      <c r="N543" s="2460"/>
      <c r="O543" s="2460"/>
      <c r="P543" s="2460"/>
      <c r="Q543" s="2293"/>
      <c r="R543" s="2293"/>
    </row>
    <row customHeight="true" ht="18.452380952380953" r="544">
      <c r="A544" s="2283" t="s">
        <v>2364</v>
      </c>
      <c r="B544" s="2255">
        <v>46276</v>
      </c>
      <c r="C544" s="2283" t="str">
        <v>Friday</v>
      </c>
      <c r="D544" s="2256" t="s">
        <v>2048</v>
      </c>
      <c r="E544" s="2529">
        <f t="shared" si="113"/>
      </c>
      <c r="F544" s="2585" t="s">
        <v>2082</v>
      </c>
      <c r="G544" s="2292"/>
      <c r="H544" s="2288"/>
      <c r="I544" s="2288"/>
      <c r="J544" s="2261"/>
      <c r="K544" s="2460"/>
      <c r="L544" s="2460"/>
      <c r="M544" s="2460"/>
      <c r="N544" s="2460"/>
      <c r="O544" s="2460"/>
      <c r="P544" s="2460"/>
      <c r="Q544" s="2293"/>
      <c r="R544" s="2293"/>
    </row>
    <row r="545">
      <c r="A545" s="2623"/>
      <c r="B545" s="2623"/>
      <c r="C545" s="2623"/>
      <c r="D545" s="2623"/>
      <c r="E545" s="2623"/>
      <c r="F545" s="2623"/>
      <c r="G545" s="2623"/>
      <c r="H545" s="2623"/>
      <c r="I545" s="2623"/>
      <c r="J545" s="2516"/>
      <c r="K545" s="2262"/>
      <c r="L545" s="2262"/>
      <c r="M545" s="2262"/>
      <c r="N545" s="2262"/>
      <c r="O545" s="2262"/>
      <c r="P545" s="2262"/>
    </row>
    <row r="546">
      <c r="A546" s="2579" t="s">
        <v>2365</v>
      </c>
      <c r="B546" s="2579"/>
      <c r="C546" s="2579"/>
      <c r="D546" s="2579"/>
      <c r="E546" s="2579"/>
      <c r="F546" s="2579"/>
      <c r="G546" s="2579"/>
      <c r="H546" s="2579"/>
      <c r="I546" s="2579"/>
      <c r="J546" s="2580"/>
      <c r="K546" s="2296"/>
      <c r="L546" s="2296"/>
      <c r="M546" s="2296"/>
      <c r="N546" s="2296"/>
      <c r="O546" s="2296"/>
      <c r="P546" s="2296"/>
    </row>
    <row r="547">
      <c r="A547" s="2581" t="s">
        <v>1989</v>
      </c>
      <c r="B547" s="2426" t="s">
        <v>1990</v>
      </c>
      <c r="C547" s="2426"/>
      <c r="D547" s="2428" t="s">
        <v>1991</v>
      </c>
      <c r="E547" s="2582" t="s">
        <v>1992</v>
      </c>
      <c r="F547" s="2582" t="s">
        <v>1993</v>
      </c>
      <c r="G547" s="2583" t="s">
        <v>2012</v>
      </c>
      <c r="H547" s="2582" t="s">
        <v>1995</v>
      </c>
      <c r="I547" s="2582" t="s">
        <v>1996</v>
      </c>
      <c r="J547" s="2431" t="s">
        <v>1997</v>
      </c>
      <c r="K547" s="2282"/>
      <c r="L547" s="2282"/>
      <c r="M547" s="2282"/>
      <c r="N547" s="2282"/>
      <c r="O547" s="2282"/>
      <c r="P547" s="2282"/>
    </row>
    <row r="548">
      <c r="A548" s="2624" t="s">
        <v>2366</v>
      </c>
      <c r="B548" s="2255">
        <v>46274</v>
      </c>
      <c r="C548" s="2283" t="str">
        <v>Wednesday</v>
      </c>
      <c r="D548" s="2289" t="s">
        <v>2367</v>
      </c>
      <c r="E548" s="2260">
        <f t="shared" ref="E548:E552" si="114">24*MOD(TIMEVALUE(TRIM(MID(D548,FIND("-",D548)+1,LEN(D548)))) - TIMEVALUE(TRIM(LEFT(D548,FIND("-",D548)-1))),1)</f>
      </c>
      <c r="F548" s="2349" t="s">
        <v>2368</v>
      </c>
      <c r="G548" s="2625"/>
      <c r="H548" s="2260"/>
      <c r="I548" s="2288" t="s">
        <v>1972</v>
      </c>
      <c r="J548" s="2626"/>
      <c r="K548" s="2262"/>
      <c r="L548" s="2262"/>
      <c r="M548" s="2262"/>
      <c r="N548" s="2262"/>
      <c r="O548" s="2262"/>
      <c r="P548" s="2262"/>
    </row>
    <row r="549">
      <c r="A549" s="2624" t="s">
        <v>2366</v>
      </c>
      <c r="B549" s="2255">
        <v>46276</v>
      </c>
      <c r="C549" s="2283" t="str">
        <v>Friday</v>
      </c>
      <c r="D549" s="2289" t="s">
        <v>2369</v>
      </c>
      <c r="E549" s="2260">
        <f t="shared" si="114"/>
      </c>
      <c r="F549" s="2349" t="s">
        <v>2165</v>
      </c>
      <c r="G549" s="2625"/>
      <c r="H549" s="2260"/>
      <c r="I549" s="2288" t="s">
        <v>1972</v>
      </c>
      <c r="J549" s="2626"/>
      <c r="K549" s="2262"/>
      <c r="L549" s="2262"/>
      <c r="M549" s="2262"/>
      <c r="N549" s="2262"/>
      <c r="O549" s="2262"/>
      <c r="P549" s="2262"/>
    </row>
    <row customHeight="true" ht="18.452380952380953" r="550">
      <c r="A550" s="2624" t="s">
        <v>2370</v>
      </c>
      <c r="B550" s="2255">
        <v>46274</v>
      </c>
      <c r="C550" s="2283" t="str">
        <v>Wednesday</v>
      </c>
      <c r="D550" s="2289" t="s">
        <v>2371</v>
      </c>
      <c r="E550" s="2260">
        <f t="shared" si="114"/>
      </c>
      <c r="F550" s="2349" t="s">
        <v>2090</v>
      </c>
      <c r="G550" s="2625"/>
      <c r="H550" s="2260"/>
      <c r="I550" s="2288" t="s">
        <v>1972</v>
      </c>
      <c r="J550" s="2626"/>
      <c r="K550" s="2262"/>
      <c r="L550" s="2262"/>
      <c r="M550" s="2262"/>
      <c r="N550" s="2262"/>
      <c r="O550" s="2262"/>
      <c r="P550" s="2262"/>
    </row>
    <row r="551">
      <c r="A551" s="2624" t="s">
        <v>2370</v>
      </c>
      <c r="B551" s="2255">
        <v>46276</v>
      </c>
      <c r="C551" s="2283" t="str">
        <v>Friday</v>
      </c>
      <c r="D551" s="2289" t="s">
        <v>2372</v>
      </c>
      <c r="E551" s="2260">
        <f t="shared" si="114"/>
      </c>
      <c r="F551" s="2349" t="s">
        <v>2090</v>
      </c>
      <c r="G551" s="2625"/>
      <c r="H551" s="2260"/>
      <c r="I551" s="2288" t="s">
        <v>1972</v>
      </c>
      <c r="J551" s="2626"/>
      <c r="K551" s="2262"/>
      <c r="L551" s="2262"/>
      <c r="M551" s="2262"/>
      <c r="N551" s="2262"/>
      <c r="O551" s="2262"/>
      <c r="P551" s="2262"/>
    </row>
    <row customHeight="true" ht="18.452380952380953" r="552">
      <c r="A552" s="2624" t="s">
        <v>2358</v>
      </c>
      <c r="B552" s="2255">
        <v>46274</v>
      </c>
      <c r="C552" s="2283" t="str">
        <v>Wednesday</v>
      </c>
      <c r="D552" s="2289" t="s">
        <v>2373</v>
      </c>
      <c r="E552" s="2260">
        <f t="shared" si="114"/>
      </c>
      <c r="F552" s="2349" t="s">
        <v>2090</v>
      </c>
      <c r="G552" s="2625"/>
      <c r="H552" s="2260"/>
      <c r="I552" s="2288" t="s">
        <v>1972</v>
      </c>
      <c r="J552" s="2626"/>
      <c r="K552" s="2262"/>
      <c r="L552" s="2262"/>
      <c r="M552" s="2262"/>
      <c r="N552" s="2262"/>
      <c r="O552" s="2262"/>
      <c r="P552" s="2262"/>
    </row>
    <row customHeight="true" ht="16.071428571428573" r="553">
      <c r="A553" s="2624"/>
      <c r="B553" s="2283"/>
      <c r="C553" s="2283"/>
      <c r="D553" s="2260"/>
      <c r="E553" s="2260"/>
      <c r="F553" s="2260"/>
      <c r="G553" s="2627"/>
      <c r="H553" s="2260"/>
      <c r="I553" s="2592"/>
      <c r="J553" s="2626"/>
      <c r="K553" s="2262"/>
      <c r="L553" s="2262"/>
      <c r="M553" s="2262"/>
      <c r="N553" s="2262"/>
      <c r="O553" s="2262"/>
      <c r="P553" s="2262"/>
    </row>
    <row customHeight="true" ht="33.23485645144371" r="554">
      <c r="A554" s="2628" t="s">
        <v>2374</v>
      </c>
      <c r="B554" s="2628"/>
      <c r="C554" s="2628"/>
      <c r="D554" s="2628"/>
      <c r="E554" s="2628"/>
      <c r="F554" s="2628"/>
      <c r="G554" s="2628"/>
      <c r="H554" s="2628"/>
      <c r="I554" s="2628"/>
      <c r="J554" s="2629"/>
      <c r="K554" s="2296"/>
      <c r="L554" s="2296"/>
      <c r="M554" s="2296"/>
      <c r="N554" s="2296"/>
      <c r="O554" s="2296"/>
      <c r="P554" s="2296"/>
    </row>
    <row customHeight="true" ht="27.760108931548054" r="555">
      <c r="A555" s="2630" t="s">
        <v>1989</v>
      </c>
      <c r="B555" s="2631" t="s">
        <v>1990</v>
      </c>
      <c r="C555" s="2631"/>
      <c r="D555" s="2632" t="s">
        <v>1991</v>
      </c>
      <c r="E555" s="2632" t="s">
        <v>1992</v>
      </c>
      <c r="F555" s="2632" t="s">
        <v>1993</v>
      </c>
      <c r="G555" s="2633" t="s">
        <v>2012</v>
      </c>
      <c r="H555" s="2632" t="s">
        <v>1995</v>
      </c>
      <c r="I555" s="2632" t="s">
        <v>1996</v>
      </c>
      <c r="J555" s="2634" t="s">
        <v>1997</v>
      </c>
      <c r="K555" s="2282"/>
      <c r="L555" s="2282"/>
      <c r="M555" s="2282"/>
      <c r="N555" s="2282"/>
      <c r="O555" s="2282"/>
      <c r="P555" s="2282"/>
    </row>
    <row customHeight="true" ht="16.071428571428573" r="556">
      <c r="A556" s="2432" t="s">
        <v>2375</v>
      </c>
      <c r="B556" s="2402">
        <v>46272</v>
      </c>
      <c r="C556" s="2432" t="str">
        <v>Monday</v>
      </c>
      <c r="D556" s="2635" t="s">
        <v>2014</v>
      </c>
      <c r="E556" s="2530">
        <f t="shared" ref="E556:E559" si="115">24*MOD(TIMEVALUE(TRIM(MID(D556,FIND("-",D556)+1,LEN(D556)))) - TIMEVALUE(TRIM(LEFT(D556,FIND("-",D556)-1))),1)</f>
      </c>
      <c r="F556" s="2349" t="s">
        <v>2376</v>
      </c>
      <c r="G556" s="2636"/>
      <c r="H556" s="2530" t="s">
        <v>2009</v>
      </c>
      <c r="I556" s="2349" t="s">
        <v>1972</v>
      </c>
      <c r="J556" s="2637"/>
      <c r="K556" s="2588"/>
      <c r="L556" s="2588"/>
      <c r="M556" s="2588"/>
      <c r="N556" s="2588"/>
      <c r="O556" s="2588"/>
      <c r="P556" s="2588"/>
      <c r="Q556" s="2319"/>
      <c r="R556" s="2319"/>
    </row>
    <row customHeight="true" ht="16.071428571428573" r="557">
      <c r="A557" s="2432" t="s">
        <v>2375</v>
      </c>
      <c r="B557" s="2402">
        <v>46274</v>
      </c>
      <c r="C557" s="2432" t="str">
        <v>Wednesday</v>
      </c>
      <c r="D557" s="2403" t="s">
        <v>2003</v>
      </c>
      <c r="E557" s="2349">
        <f t="shared" si="115"/>
      </c>
      <c r="F557" s="2349" t="s">
        <v>2376</v>
      </c>
      <c r="G557" s="2526"/>
      <c r="H557" s="2349" t="s">
        <v>2009</v>
      </c>
      <c r="I557" s="2349" t="s">
        <v>1972</v>
      </c>
      <c r="J557" s="2527"/>
      <c r="K557" s="2262"/>
      <c r="L557" s="2262"/>
      <c r="M557" s="2262"/>
      <c r="N557" s="2262"/>
      <c r="O557" s="2262"/>
      <c r="P557" s="2262"/>
      <c r="Q557" s="2319"/>
      <c r="R557" s="2319"/>
    </row>
    <row customHeight="true" ht="16.071428571428573" r="558">
      <c r="A558" s="2432" t="s">
        <v>2375</v>
      </c>
      <c r="B558" s="2402">
        <v>46276</v>
      </c>
      <c r="C558" s="2432" t="str">
        <v>Friday</v>
      </c>
      <c r="D558" s="2403" t="s">
        <v>2003</v>
      </c>
      <c r="E558" s="2530">
        <f t="shared" si="115"/>
      </c>
      <c r="F558" s="2349" t="s">
        <v>2376</v>
      </c>
      <c r="G558" s="2636"/>
      <c r="H558" s="2530" t="s">
        <v>2009</v>
      </c>
      <c r="I558" s="2349" t="s">
        <v>1972</v>
      </c>
      <c r="J558" s="2637"/>
      <c r="K558" s="2588"/>
      <c r="L558" s="2588"/>
      <c r="M558" s="2588"/>
      <c r="N558" s="2588"/>
      <c r="O558" s="2588"/>
      <c r="P558" s="2588"/>
      <c r="Q558" s="2319"/>
      <c r="R558" s="2319"/>
    </row>
    <row customHeight="true" ht="16.071428571428573" r="559">
      <c r="A559" s="2432" t="s">
        <v>2375</v>
      </c>
      <c r="B559" s="2402">
        <v>46278</v>
      </c>
      <c r="C559" s="2432" t="str">
        <v>Sunday</v>
      </c>
      <c r="D559" s="2403" t="s">
        <v>2003</v>
      </c>
      <c r="E559" s="2530">
        <f t="shared" si="115"/>
      </c>
      <c r="F559" s="2349" t="s">
        <v>2377</v>
      </c>
      <c r="G559" s="2636"/>
      <c r="H559" s="2530" t="s">
        <v>2009</v>
      </c>
      <c r="I559" s="2349" t="s">
        <v>1972</v>
      </c>
      <c r="J559" s="2637"/>
      <c r="K559" s="2588"/>
      <c r="L559" s="2588"/>
      <c r="M559" s="2588"/>
      <c r="N559" s="2588"/>
      <c r="O559" s="2588"/>
      <c r="P559" s="2588"/>
      <c r="Q559" s="2319"/>
      <c r="R559" s="2319"/>
    </row>
    <row customHeight="true" ht="16.071428571428573" r="560">
      <c r="A560" s="2432"/>
      <c r="B560" s="2402"/>
      <c r="C560" s="2432"/>
      <c r="D560" s="2403"/>
      <c r="E560" s="2349"/>
      <c r="F560" s="2530"/>
      <c r="G560" s="2526"/>
      <c r="H560" s="2349"/>
      <c r="I560" s="2349"/>
      <c r="J560" s="2527"/>
      <c r="K560" s="2262"/>
      <c r="L560" s="2262"/>
      <c r="M560" s="2262"/>
      <c r="N560" s="2262"/>
      <c r="O560" s="2262"/>
      <c r="P560" s="2262"/>
      <c r="Q560" s="2319"/>
      <c r="R560" s="2319"/>
    </row>
    <row customHeight="true" ht="16.071428571428573" r="561">
      <c r="A561" s="2432" t="s">
        <v>2378</v>
      </c>
      <c r="B561" s="2402">
        <v>46272</v>
      </c>
      <c r="C561" s="2432" t="str">
        <v>Monday</v>
      </c>
      <c r="D561" s="2635" t="s">
        <v>2379</v>
      </c>
      <c r="E561" s="2530">
        <f t="shared" ref="E561:E564" si="116">24*MOD(TIMEVALUE(TRIM(MID(D561,FIND("-",D561)+1,LEN(D561)))) - TIMEVALUE(TRIM(LEFT(D561,FIND("-",D561)-1))),1)</f>
      </c>
      <c r="F561" s="2530" t="s">
        <v>2345</v>
      </c>
      <c r="G561" s="2636"/>
      <c r="H561" s="2530" t="s">
        <v>2009</v>
      </c>
      <c r="I561" s="2349" t="s">
        <v>1972</v>
      </c>
      <c r="J561" s="2637"/>
      <c r="K561" s="2588"/>
      <c r="L561" s="2588"/>
      <c r="M561" s="2588"/>
      <c r="N561" s="2588"/>
      <c r="O561" s="2588"/>
      <c r="P561" s="2588"/>
      <c r="Q561" s="2319"/>
      <c r="R561" s="2319"/>
    </row>
    <row customHeight="true" ht="16.071428571428573" r="562">
      <c r="A562" s="2432" t="s">
        <v>2378</v>
      </c>
      <c r="B562" s="2402">
        <v>46274</v>
      </c>
      <c r="C562" s="2432" t="str">
        <v>Wednesday</v>
      </c>
      <c r="D562" s="2403" t="s">
        <v>2380</v>
      </c>
      <c r="E562" s="2349">
        <f t="shared" si="116"/>
      </c>
      <c r="F562" s="2530" t="s">
        <v>2345</v>
      </c>
      <c r="G562" s="2526"/>
      <c r="H562" s="2349" t="s">
        <v>2009</v>
      </c>
      <c r="I562" s="2349" t="s">
        <v>1972</v>
      </c>
      <c r="J562" s="2527"/>
      <c r="K562" s="2262"/>
      <c r="L562" s="2262"/>
      <c r="M562" s="2262"/>
      <c r="N562" s="2262"/>
      <c r="O562" s="2262"/>
      <c r="P562" s="2262"/>
      <c r="Q562" s="2319"/>
      <c r="R562" s="2319"/>
    </row>
    <row customHeight="true" ht="16.071428571428573" r="563">
      <c r="A563" s="2432" t="s">
        <v>2378</v>
      </c>
      <c r="B563" s="2402">
        <v>46276</v>
      </c>
      <c r="C563" s="2432" t="str">
        <v>Friday</v>
      </c>
      <c r="D563" s="2403" t="s">
        <v>2380</v>
      </c>
      <c r="E563" s="2349">
        <f t="shared" si="116"/>
      </c>
      <c r="F563" s="2530" t="s">
        <v>2345</v>
      </c>
      <c r="G563" s="2526"/>
      <c r="H563" s="2349" t="s">
        <v>2009</v>
      </c>
      <c r="I563" s="2349" t="s">
        <v>1972</v>
      </c>
      <c r="J563" s="2574"/>
      <c r="K563" s="2262"/>
      <c r="L563" s="2262"/>
      <c r="M563" s="2262"/>
      <c r="N563" s="2262"/>
      <c r="O563" s="2262"/>
      <c r="P563" s="2262"/>
      <c r="Q563" s="2319"/>
      <c r="R563" s="2319"/>
    </row>
    <row customHeight="true" ht="16.071428571428573" r="564">
      <c r="A564" s="2432" t="s">
        <v>2378</v>
      </c>
      <c r="B564" s="2402">
        <v>46278</v>
      </c>
      <c r="C564" s="2432" t="str">
        <v>Sunday</v>
      </c>
      <c r="D564" s="2403" t="s">
        <v>2380</v>
      </c>
      <c r="E564" s="2349">
        <f t="shared" si="116"/>
      </c>
      <c r="F564" s="2530" t="s">
        <v>2345</v>
      </c>
      <c r="G564" s="2526"/>
      <c r="H564" s="2349" t="s">
        <v>2009</v>
      </c>
      <c r="I564" s="2349" t="s">
        <v>1972</v>
      </c>
      <c r="J564" s="2527"/>
      <c r="K564" s="2262"/>
      <c r="L564" s="2262"/>
      <c r="M564" s="2262"/>
      <c r="N564" s="2262"/>
      <c r="O564" s="2262"/>
      <c r="P564" s="2262"/>
      <c r="Q564" s="2319"/>
      <c r="R564" s="2319"/>
    </row>
    <row customHeight="true" ht="16.071428571428573" r="565">
      <c r="A565" s="2432"/>
      <c r="B565" s="2402"/>
      <c r="C565" s="2432"/>
      <c r="D565" s="2403"/>
      <c r="E565" s="2349"/>
      <c r="F565" s="2530"/>
      <c r="G565" s="2526"/>
      <c r="H565" s="2349"/>
      <c r="I565" s="2271"/>
      <c r="J565" s="2462"/>
      <c r="K565" s="2262"/>
      <c r="L565" s="2262"/>
      <c r="M565" s="2262"/>
      <c r="N565" s="2262"/>
      <c r="O565" s="2262"/>
      <c r="P565" s="2262"/>
      <c r="Q565" s="2319"/>
      <c r="R565" s="2319"/>
    </row>
    <row customHeight="true" ht="16.071428571428573" r="566">
      <c r="A566" s="2432"/>
      <c r="B566" s="2402"/>
      <c r="C566" s="2432"/>
      <c r="D566" s="2349"/>
      <c r="E566" s="2349"/>
      <c r="F566" s="2530"/>
      <c r="G566" s="2526"/>
      <c r="H566" s="2349"/>
      <c r="I566" s="2288"/>
      <c r="J566" s="2527"/>
      <c r="K566" s="2262"/>
      <c r="L566" s="2262"/>
      <c r="M566" s="2262"/>
      <c r="N566" s="2262"/>
      <c r="O566" s="2262"/>
      <c r="P566" s="2262"/>
      <c r="Q566" s="2319"/>
      <c r="R566" s="2319"/>
    </row>
    <row customHeight="true" ht="16.071428571428573" r="567">
      <c r="A567" s="2624"/>
      <c r="B567" s="2283"/>
      <c r="C567" s="2283"/>
      <c r="D567" s="2260"/>
      <c r="E567" s="2260"/>
      <c r="F567" s="2260"/>
      <c r="G567" s="2627"/>
      <c r="H567" s="2260"/>
      <c r="I567" s="2349"/>
      <c r="J567" s="2626"/>
      <c r="K567" s="2262"/>
      <c r="L567" s="2262"/>
      <c r="M567" s="2262"/>
      <c r="N567" s="2262"/>
      <c r="O567" s="2262"/>
      <c r="P567" s="2262"/>
    </row>
    <row r="568">
      <c r="A568" s="2516"/>
      <c r="B568" s="2516"/>
      <c r="C568" s="2516"/>
      <c r="D568" s="2293"/>
      <c r="E568" s="2516"/>
      <c r="F568" s="2516"/>
      <c r="G568" s="2638"/>
      <c r="H568" s="2516"/>
      <c r="I568" s="2516"/>
      <c r="J568" s="2516"/>
      <c r="K568" s="2262"/>
      <c r="L568" s="2262"/>
      <c r="M568" s="2262"/>
      <c r="N568" s="2262"/>
      <c r="O568" s="2262"/>
      <c r="P568" s="2262"/>
    </row>
    <row r="569">
      <c r="A569" s="2283"/>
      <c r="B569" s="2283"/>
      <c r="C569" s="2283"/>
      <c r="D569" s="2288"/>
      <c r="E569" s="2288"/>
      <c r="F569" s="2291"/>
      <c r="G569" s="2404"/>
      <c r="H569" s="2260"/>
      <c r="I569" s="2288"/>
      <c r="J569" s="2286"/>
      <c r="K569" s="2262"/>
      <c r="L569" s="2262"/>
      <c r="M569" s="2262"/>
      <c r="N569" s="2262"/>
      <c r="O569" s="2262"/>
      <c r="P569" s="2262"/>
    </row>
    <row r="570">
      <c r="A570" s="2639" t="s">
        <v>2381</v>
      </c>
      <c r="B570" s="2639"/>
      <c r="C570" s="2639"/>
      <c r="D570" s="2639"/>
      <c r="E570" s="2639"/>
      <c r="F570" s="2639"/>
      <c r="G570" s="2639"/>
      <c r="H570" s="2639"/>
      <c r="I570" s="2639"/>
      <c r="J570" s="2640"/>
      <c r="K570" s="2296"/>
      <c r="L570" s="2296"/>
      <c r="M570" s="2296"/>
      <c r="N570" s="2296"/>
      <c r="O570" s="2296"/>
      <c r="P570" s="2296"/>
    </row>
    <row r="571">
      <c r="A571" s="2641" t="s">
        <v>1989</v>
      </c>
      <c r="B571" s="2642" t="s">
        <v>1990</v>
      </c>
      <c r="C571" s="2642"/>
      <c r="D571" s="2643" t="s">
        <v>1991</v>
      </c>
      <c r="E571" s="2643" t="s">
        <v>1992</v>
      </c>
      <c r="F571" s="2643" t="s">
        <v>1993</v>
      </c>
      <c r="G571" s="2644" t="s">
        <v>2012</v>
      </c>
      <c r="H571" s="2643" t="s">
        <v>1995</v>
      </c>
      <c r="I571" s="2643" t="s">
        <v>1996</v>
      </c>
      <c r="J571" s="2645" t="s">
        <v>1997</v>
      </c>
      <c r="K571" s="2282"/>
      <c r="L571" s="2282"/>
      <c r="M571" s="2282"/>
      <c r="N571" s="2282"/>
      <c r="O571" s="2282"/>
      <c r="P571" s="2282"/>
    </row>
    <row customHeight="true" ht="18.452380952380953" r="572">
      <c r="A572" s="2303" t="s">
        <v>2382</v>
      </c>
      <c r="B572" s="2304">
        <v>46273</v>
      </c>
      <c r="C572" s="2303" t="str">
        <v>Tuesday</v>
      </c>
      <c r="D572" s="2305" t="s">
        <v>2282</v>
      </c>
      <c r="E572" s="2306">
        <f t="shared" ref="E572:E599" si="117">24*MOD(TIMEVALUE(TRIM(MID(D572,FIND("-",D572)+1,LEN(D572)))) - TIMEVALUE(TRIM(LEFT(D572,FIND("-",D572)-1))),1)</f>
      </c>
      <c r="F572" s="2306" t="s">
        <v>2383</v>
      </c>
      <c r="G572" s="2320"/>
      <c r="H572" s="2306" t="s">
        <v>1971</v>
      </c>
      <c r="I572" s="2306"/>
      <c r="J572" s="2309" t="s">
        <v>2384</v>
      </c>
      <c r="K572" s="2400"/>
      <c r="L572" s="2400"/>
      <c r="M572" s="2400"/>
      <c r="N572" s="2400"/>
      <c r="O572" s="2400"/>
      <c r="P572" s="2400"/>
      <c r="Q572" s="2407"/>
      <c r="R572" s="2407"/>
    </row>
    <row customHeight="true" ht="18.452380952380953" r="573">
      <c r="A573" s="2589" t="s">
        <v>2382</v>
      </c>
      <c r="B573" s="2590">
        <v>46273</v>
      </c>
      <c r="C573" s="2589" t="str">
        <v>Tuesday</v>
      </c>
      <c r="D573" s="2612" t="s">
        <v>2319</v>
      </c>
      <c r="E573" s="2592">
        <f t="shared" si="117"/>
      </c>
      <c r="F573" s="2592" t="s">
        <v>2385</v>
      </c>
      <c r="G573" s="2526"/>
      <c r="H573" s="2349" t="s">
        <v>1971</v>
      </c>
      <c r="I573" s="2349"/>
      <c r="J573" s="2527"/>
      <c r="K573" s="2262"/>
      <c r="L573" s="2262"/>
      <c r="M573" s="2262"/>
      <c r="N573" s="2262"/>
      <c r="O573" s="2262"/>
      <c r="P573" s="2262"/>
    </row>
    <row r="574">
      <c r="A574" s="2303" t="s">
        <v>2386</v>
      </c>
      <c r="B574" s="2304">
        <v>46273</v>
      </c>
      <c r="C574" s="2303" t="str">
        <v>Tuesday</v>
      </c>
      <c r="D574" s="2646" t="s">
        <v>2387</v>
      </c>
      <c r="E574" s="2306">
        <f t="shared" si="117"/>
      </c>
      <c r="F574" s="2306" t="s">
        <v>2385</v>
      </c>
      <c r="G574" s="2320"/>
      <c r="H574" s="2306" t="s">
        <v>1971</v>
      </c>
      <c r="I574" s="2306"/>
      <c r="J574" s="2309" t="s">
        <v>2388</v>
      </c>
      <c r="K574" s="2543"/>
      <c r="L574" s="2543"/>
      <c r="M574" s="2543"/>
      <c r="N574" s="2543"/>
      <c r="O574" s="2543"/>
      <c r="P574" s="2543"/>
      <c r="Q574" s="2407"/>
      <c r="R574" s="2407"/>
    </row>
    <row r="575">
      <c r="A575" s="2283" t="s">
        <v>2386</v>
      </c>
      <c r="B575" s="2255">
        <v>46273</v>
      </c>
      <c r="C575" s="2283" t="str">
        <v>Tuesday</v>
      </c>
      <c r="D575" s="2647" t="s">
        <v>2319</v>
      </c>
      <c r="E575" s="2288">
        <f t="shared" si="117"/>
      </c>
      <c r="F575" s="2349" t="s">
        <v>2389</v>
      </c>
      <c r="G575" s="2526"/>
      <c r="H575" s="2349" t="s">
        <v>1971</v>
      </c>
      <c r="I575" s="2349"/>
      <c r="J575" s="2527"/>
      <c r="K575" s="2262"/>
      <c r="L575" s="2262"/>
      <c r="M575" s="2262"/>
      <c r="N575" s="2262"/>
      <c r="O575" s="2262"/>
      <c r="P575" s="2262"/>
    </row>
    <row r="576">
      <c r="A576" s="2589" t="s">
        <v>2382</v>
      </c>
      <c r="B576" s="2590">
        <v>46274</v>
      </c>
      <c r="C576" s="2589" t="str">
        <v>Wednesday</v>
      </c>
      <c r="D576" s="2612" t="s">
        <v>2020</v>
      </c>
      <c r="E576" s="2592">
        <f t="shared" si="117"/>
      </c>
      <c r="F576" s="2592" t="s">
        <v>2390</v>
      </c>
      <c r="G576" s="2526"/>
      <c r="H576" s="2349" t="s">
        <v>1971</v>
      </c>
      <c r="I576" s="2288" t="s">
        <v>1972</v>
      </c>
      <c r="J576" s="2527"/>
      <c r="K576" s="2262"/>
      <c r="L576" s="2262"/>
      <c r="M576" s="2262"/>
      <c r="N576" s="2262"/>
      <c r="O576" s="2262"/>
      <c r="P576" s="2262"/>
    </row>
    <row customHeight="true" ht="18.452380952380953" r="577">
      <c r="A577" s="2303" t="s">
        <v>2382</v>
      </c>
      <c r="B577" s="2304">
        <v>46274</v>
      </c>
      <c r="C577" s="2303" t="str">
        <v>Wednesday</v>
      </c>
      <c r="D577" s="2305" t="s">
        <v>2023</v>
      </c>
      <c r="E577" s="2306">
        <f t="shared" si="117"/>
      </c>
      <c r="F577" s="2306" t="s">
        <v>2385</v>
      </c>
      <c r="G577" s="2320"/>
      <c r="H577" s="2306" t="s">
        <v>1971</v>
      </c>
      <c r="I577" s="2306"/>
      <c r="J577" s="2309" t="s">
        <v>2391</v>
      </c>
      <c r="K577" s="2400"/>
      <c r="L577" s="2400"/>
      <c r="M577" s="2400"/>
      <c r="N577" s="2400"/>
      <c r="O577" s="2400"/>
      <c r="P577" s="2400"/>
      <c r="Q577" s="2407"/>
      <c r="R577" s="2407"/>
    </row>
    <row r="578">
      <c r="A578" s="2303" t="s">
        <v>2382</v>
      </c>
      <c r="B578" s="2304">
        <v>46274</v>
      </c>
      <c r="C578" s="2303" t="str">
        <v>Wednesday</v>
      </c>
      <c r="D578" s="2305" t="s">
        <v>2023</v>
      </c>
      <c r="E578" s="2306">
        <f t="shared" si="117"/>
      </c>
      <c r="F578" s="2306" t="s">
        <v>2383</v>
      </c>
      <c r="G578" s="2320"/>
      <c r="H578" s="2306" t="s">
        <v>1971</v>
      </c>
      <c r="I578" s="2306"/>
      <c r="J578" s="2309" t="s">
        <v>2384</v>
      </c>
      <c r="K578" s="2400"/>
      <c r="L578" s="2400"/>
      <c r="M578" s="2400"/>
      <c r="N578" s="2400"/>
      <c r="O578" s="2400"/>
      <c r="P578" s="2400"/>
      <c r="Q578" s="2407"/>
      <c r="R578" s="2407"/>
    </row>
    <row r="579">
      <c r="A579" s="2303" t="s">
        <v>2386</v>
      </c>
      <c r="B579" s="2304">
        <v>46274</v>
      </c>
      <c r="C579" s="2303" t="str">
        <v>Wednesday</v>
      </c>
      <c r="D579" s="2646" t="s">
        <v>2282</v>
      </c>
      <c r="E579" s="2306">
        <f t="shared" si="117"/>
      </c>
      <c r="F579" s="2306" t="s">
        <v>2383</v>
      </c>
      <c r="G579" s="2320"/>
      <c r="H579" s="2306" t="s">
        <v>1971</v>
      </c>
      <c r="I579" s="2306"/>
      <c r="J579" s="2309" t="s">
        <v>2384</v>
      </c>
      <c r="K579" s="2400"/>
      <c r="L579" s="2400"/>
      <c r="M579" s="2400"/>
      <c r="N579" s="2400"/>
      <c r="O579" s="2400"/>
      <c r="P579" s="2400"/>
      <c r="Q579" s="2407"/>
      <c r="R579" s="2407"/>
    </row>
    <row customHeight="true" ht="18.452380952380953" r="580">
      <c r="A580" s="2283" t="s">
        <v>2386</v>
      </c>
      <c r="B580" s="2255">
        <v>46274</v>
      </c>
      <c r="C580" s="2283" t="str">
        <v>Wednesday</v>
      </c>
      <c r="D580" s="2647" t="s">
        <v>2392</v>
      </c>
      <c r="E580" s="2288">
        <f t="shared" si="117"/>
      </c>
      <c r="F580" s="2288" t="s">
        <v>2385</v>
      </c>
      <c r="G580" s="2526"/>
      <c r="H580" s="2349" t="s">
        <v>1971</v>
      </c>
      <c r="I580" s="2349"/>
      <c r="J580" s="2527"/>
      <c r="K580" s="2262"/>
      <c r="L580" s="2262"/>
      <c r="M580" s="2262"/>
      <c r="N580" s="2262"/>
      <c r="O580" s="2262"/>
      <c r="P580" s="2262"/>
    </row>
    <row r="581">
      <c r="A581" s="2283" t="s">
        <v>2386</v>
      </c>
      <c r="B581" s="2255">
        <v>46274</v>
      </c>
      <c r="C581" s="2283" t="str">
        <v>Wednesday</v>
      </c>
      <c r="D581" s="2647" t="s">
        <v>2393</v>
      </c>
      <c r="E581" s="2288">
        <f t="shared" si="117"/>
      </c>
      <c r="F581" s="2349" t="s">
        <v>2389</v>
      </c>
      <c r="G581" s="2526"/>
      <c r="H581" s="2349" t="s">
        <v>1971</v>
      </c>
      <c r="I581" s="2349"/>
      <c r="J581" s="2462" t="s">
        <v>2394</v>
      </c>
      <c r="K581" s="2262"/>
      <c r="L581" s="2262"/>
      <c r="M581" s="2262"/>
      <c r="N581" s="2262"/>
      <c r="O581" s="2262"/>
      <c r="P581" s="2262"/>
    </row>
    <row customHeight="true" ht="18.452380952380953" r="582">
      <c r="A582" s="2589" t="s">
        <v>2382</v>
      </c>
      <c r="B582" s="2590">
        <v>46275</v>
      </c>
      <c r="C582" s="2589" t="str">
        <v>Thursday</v>
      </c>
      <c r="D582" s="2612" t="s">
        <v>2020</v>
      </c>
      <c r="E582" s="2592">
        <f t="shared" si="117"/>
      </c>
      <c r="F582" s="2592" t="s">
        <v>2390</v>
      </c>
      <c r="G582" s="2526"/>
      <c r="H582" s="2349" t="s">
        <v>1971</v>
      </c>
      <c r="I582" s="2349" t="s">
        <v>1972</v>
      </c>
      <c r="J582" s="2527"/>
      <c r="K582" s="2262"/>
      <c r="L582" s="2262"/>
      <c r="M582" s="2262"/>
      <c r="N582" s="2262"/>
      <c r="O582" s="2262"/>
      <c r="P582" s="2262"/>
    </row>
    <row customHeight="true" ht="18.452380952380953" r="583">
      <c r="A583" s="2589" t="s">
        <v>2382</v>
      </c>
      <c r="B583" s="2590">
        <v>46275</v>
      </c>
      <c r="C583" s="2589" t="str">
        <v>Thursday</v>
      </c>
      <c r="D583" s="2612" t="s">
        <v>2033</v>
      </c>
      <c r="E583" s="2592">
        <f t="shared" si="117"/>
      </c>
      <c r="F583" s="2592" t="s">
        <v>2385</v>
      </c>
      <c r="G583" s="2526"/>
      <c r="H583" s="2349" t="s">
        <v>1971</v>
      </c>
      <c r="I583" s="2349"/>
      <c r="J583" s="2527"/>
      <c r="K583" s="2262"/>
      <c r="L583" s="2262"/>
      <c r="M583" s="2262"/>
      <c r="N583" s="2262"/>
      <c r="O583" s="2262"/>
      <c r="P583" s="2262"/>
    </row>
    <row customHeight="true" ht="18.452380952380953" r="584">
      <c r="A584" s="2283" t="s">
        <v>2386</v>
      </c>
      <c r="B584" s="2255">
        <v>46275</v>
      </c>
      <c r="C584" s="2283" t="str">
        <v>Thursday</v>
      </c>
      <c r="D584" s="2647" t="s">
        <v>2395</v>
      </c>
      <c r="E584" s="2288">
        <f t="shared" si="117"/>
      </c>
      <c r="F584" s="2288" t="s">
        <v>2385</v>
      </c>
      <c r="G584" s="2526"/>
      <c r="H584" s="2349" t="s">
        <v>1971</v>
      </c>
      <c r="I584" s="2349"/>
      <c r="J584" s="2527"/>
      <c r="K584" s="2262"/>
      <c r="L584" s="2262"/>
      <c r="M584" s="2262"/>
      <c r="N584" s="2262"/>
      <c r="O584" s="2262"/>
      <c r="P584" s="2262"/>
    </row>
    <row r="585">
      <c r="A585" s="2283" t="s">
        <v>2386</v>
      </c>
      <c r="B585" s="2255">
        <v>46275</v>
      </c>
      <c r="C585" s="2283" t="str">
        <v>Thursday</v>
      </c>
      <c r="D585" s="2647" t="s">
        <v>2396</v>
      </c>
      <c r="E585" s="2288">
        <f t="shared" si="117"/>
      </c>
      <c r="F585" s="2349" t="s">
        <v>2389</v>
      </c>
      <c r="G585" s="2526"/>
      <c r="H585" s="2349" t="s">
        <v>1971</v>
      </c>
      <c r="I585" s="2349"/>
      <c r="J585" s="2527"/>
      <c r="K585" s="2262"/>
      <c r="L585" s="2262"/>
      <c r="M585" s="2262"/>
      <c r="N585" s="2262"/>
      <c r="O585" s="2262"/>
      <c r="P585" s="2262"/>
    </row>
    <row r="586">
      <c r="A586" s="2303" t="s">
        <v>2382</v>
      </c>
      <c r="B586" s="2304">
        <v>46276</v>
      </c>
      <c r="C586" s="2303" t="str">
        <v>Friday</v>
      </c>
      <c r="D586" s="2305" t="s">
        <v>2397</v>
      </c>
      <c r="E586" s="2306">
        <f t="shared" si="117"/>
      </c>
      <c r="F586" s="2306" t="s">
        <v>2383</v>
      </c>
      <c r="G586" s="2320"/>
      <c r="H586" s="2306" t="s">
        <v>1971</v>
      </c>
      <c r="I586" s="2306"/>
      <c r="J586" s="2309" t="s">
        <v>2384</v>
      </c>
      <c r="K586" s="2400"/>
      <c r="L586" s="2400"/>
      <c r="M586" s="2400"/>
      <c r="N586" s="2400"/>
      <c r="O586" s="2400"/>
      <c r="P586" s="2400"/>
      <c r="Q586" s="2407"/>
      <c r="R586" s="2407"/>
    </row>
    <row customHeight="true" ht="18.452380952380953" r="587">
      <c r="A587" s="2589" t="s">
        <v>2382</v>
      </c>
      <c r="B587" s="2590">
        <v>46276</v>
      </c>
      <c r="C587" s="2589" t="str">
        <v>Friday</v>
      </c>
      <c r="D587" s="2612" t="s">
        <v>2020</v>
      </c>
      <c r="E587" s="2592">
        <f t="shared" si="117"/>
      </c>
      <c r="F587" s="2592" t="s">
        <v>2390</v>
      </c>
      <c r="G587" s="2526"/>
      <c r="H587" s="2349" t="s">
        <v>1971</v>
      </c>
      <c r="I587" s="2349" t="s">
        <v>1972</v>
      </c>
      <c r="J587" s="2527"/>
      <c r="K587" s="2262"/>
      <c r="L587" s="2262"/>
      <c r="M587" s="2262"/>
      <c r="N587" s="2262"/>
      <c r="O587" s="2262"/>
      <c r="P587" s="2262"/>
    </row>
    <row r="588">
      <c r="A588" s="2589" t="s">
        <v>2382</v>
      </c>
      <c r="B588" s="2590">
        <v>46276</v>
      </c>
      <c r="C588" s="2589" t="str">
        <v>Friday</v>
      </c>
      <c r="D588" s="2612" t="s">
        <v>2033</v>
      </c>
      <c r="E588" s="2592">
        <f t="shared" si="117"/>
      </c>
      <c r="F588" s="2592" t="s">
        <v>2385</v>
      </c>
      <c r="G588" s="2526"/>
      <c r="H588" s="2349" t="s">
        <v>1971</v>
      </c>
      <c r="I588" s="2349"/>
      <c r="J588" s="2527"/>
      <c r="K588" s="2262"/>
      <c r="L588" s="2262"/>
      <c r="M588" s="2262"/>
      <c r="N588" s="2262"/>
      <c r="O588" s="2262"/>
      <c r="P588" s="2262"/>
    </row>
    <row r="589">
      <c r="A589" s="2283" t="s">
        <v>2386</v>
      </c>
      <c r="B589" s="2255">
        <v>46276</v>
      </c>
      <c r="C589" s="2283" t="str">
        <v>Friday</v>
      </c>
      <c r="D589" s="2647" t="s">
        <v>2395</v>
      </c>
      <c r="E589" s="2288">
        <f t="shared" si="117"/>
      </c>
      <c r="F589" s="2288" t="s">
        <v>2385</v>
      </c>
      <c r="G589" s="2526"/>
      <c r="H589" s="2349" t="s">
        <v>1971</v>
      </c>
      <c r="I589" s="2349"/>
      <c r="J589" s="2527"/>
      <c r="K589" s="2262"/>
      <c r="L589" s="2262"/>
      <c r="M589" s="2262"/>
      <c r="N589" s="2262"/>
      <c r="O589" s="2262"/>
      <c r="P589" s="2262"/>
    </row>
    <row r="590">
      <c r="A590" s="2303" t="s">
        <v>2386</v>
      </c>
      <c r="B590" s="2304">
        <v>46276</v>
      </c>
      <c r="C590" s="2303" t="str">
        <v>Friday</v>
      </c>
      <c r="D590" s="2646" t="s">
        <v>2396</v>
      </c>
      <c r="E590" s="2306">
        <f t="shared" si="117"/>
      </c>
      <c r="F590" s="2306" t="s">
        <v>2398</v>
      </c>
      <c r="G590" s="2320"/>
      <c r="H590" s="2306" t="s">
        <v>1971</v>
      </c>
      <c r="I590" s="2306" t="s">
        <v>1972</v>
      </c>
      <c r="J590" s="2648" t="s">
        <v>2399</v>
      </c>
      <c r="K590" s="2649"/>
      <c r="L590" s="2649"/>
      <c r="M590" s="2649"/>
      <c r="N590" s="2649"/>
      <c r="O590" s="2649"/>
      <c r="P590" s="2649"/>
      <c r="Q590" s="2407"/>
      <c r="R590" s="2407"/>
    </row>
    <row customHeight="true" ht="18.452380952380953" r="591">
      <c r="A591" s="2283" t="s">
        <v>2386</v>
      </c>
      <c r="B591" s="2255">
        <v>46276</v>
      </c>
      <c r="C591" s="2283" t="str">
        <v>Friday</v>
      </c>
      <c r="D591" s="2647" t="s">
        <v>2396</v>
      </c>
      <c r="E591" s="2288">
        <f t="shared" si="117"/>
      </c>
      <c r="F591" s="2349" t="s">
        <v>2389</v>
      </c>
      <c r="G591" s="2526"/>
      <c r="H591" s="2349" t="s">
        <v>1971</v>
      </c>
      <c r="I591" s="2349" t="s">
        <v>1972</v>
      </c>
      <c r="J591" s="2650"/>
      <c r="K591" s="2651"/>
      <c r="L591" s="2651"/>
      <c r="M591" s="2651"/>
      <c r="N591" s="2651"/>
      <c r="O591" s="2651"/>
      <c r="P591" s="2651"/>
    </row>
    <row customHeight="true" ht="18.452380952380953" r="592">
      <c r="A592" s="2283" t="s">
        <v>2400</v>
      </c>
      <c r="B592" s="2255">
        <v>46276</v>
      </c>
      <c r="C592" s="2283" t="str">
        <v>Friday</v>
      </c>
      <c r="D592" s="2647" t="s">
        <v>2202</v>
      </c>
      <c r="E592" s="2288">
        <f t="shared" si="117"/>
      </c>
      <c r="F592" s="2288" t="s">
        <v>2385</v>
      </c>
      <c r="G592" s="2526"/>
      <c r="H592" s="2349"/>
      <c r="I592" s="2349"/>
      <c r="J592" s="2650"/>
      <c r="K592" s="2651"/>
      <c r="L592" s="2651"/>
      <c r="M592" s="2651"/>
      <c r="N592" s="2651"/>
      <c r="O592" s="2651"/>
      <c r="P592" s="2651"/>
    </row>
    <row r="593">
      <c r="A593" s="2303" t="s">
        <v>2382</v>
      </c>
      <c r="B593" s="2304">
        <v>46277</v>
      </c>
      <c r="C593" s="2303" t="str">
        <v>Saturday</v>
      </c>
      <c r="D593" s="2305" t="s">
        <v>2282</v>
      </c>
      <c r="E593" s="2306">
        <f t="shared" si="117"/>
      </c>
      <c r="F593" s="2306" t="s">
        <v>2383</v>
      </c>
      <c r="G593" s="2320"/>
      <c r="H593" s="2306" t="s">
        <v>1971</v>
      </c>
      <c r="I593" s="2306"/>
      <c r="J593" s="2309" t="s">
        <v>2384</v>
      </c>
      <c r="K593" s="2652"/>
      <c r="L593" s="2652"/>
      <c r="M593" s="2652"/>
      <c r="N593" s="2652"/>
      <c r="O593" s="2652"/>
      <c r="P593" s="2652"/>
      <c r="Q593" s="2407"/>
      <c r="R593" s="2407"/>
    </row>
    <row r="594">
      <c r="A594" s="2303" t="s">
        <v>2382</v>
      </c>
      <c r="B594" s="2304">
        <v>46277</v>
      </c>
      <c r="C594" s="2303" t="str">
        <v>Saturday</v>
      </c>
      <c r="D594" s="2305" t="s">
        <v>2319</v>
      </c>
      <c r="E594" s="2306">
        <f t="shared" si="117"/>
      </c>
      <c r="F594" s="2306" t="s">
        <v>2385</v>
      </c>
      <c r="G594" s="2320"/>
      <c r="H594" s="2306" t="s">
        <v>1971</v>
      </c>
      <c r="I594" s="2306"/>
      <c r="J594" s="2653" t="s">
        <v>2401</v>
      </c>
      <c r="K594" s="2652"/>
      <c r="L594" s="2652"/>
      <c r="M594" s="2652"/>
      <c r="N594" s="2652"/>
      <c r="O594" s="2652"/>
      <c r="P594" s="2652"/>
      <c r="Q594" s="2407"/>
      <c r="R594" s="2407"/>
    </row>
    <row customHeight="true" ht="18.452380952380953" r="595">
      <c r="A595" s="2303" t="s">
        <v>2386</v>
      </c>
      <c r="B595" s="2304">
        <v>46277</v>
      </c>
      <c r="C595" s="2303" t="str">
        <v>Saturday</v>
      </c>
      <c r="D595" s="2646" t="s">
        <v>2387</v>
      </c>
      <c r="E595" s="2306">
        <f t="shared" si="117"/>
      </c>
      <c r="F595" s="2306" t="s">
        <v>2385</v>
      </c>
      <c r="G595" s="2320"/>
      <c r="H595" s="2306" t="s">
        <v>1971</v>
      </c>
      <c r="I595" s="2306"/>
      <c r="J595" s="2648" t="s">
        <v>2388</v>
      </c>
      <c r="K595" s="2652"/>
      <c r="L595" s="2652"/>
      <c r="M595" s="2652"/>
      <c r="N595" s="2652"/>
      <c r="O595" s="2652"/>
      <c r="P595" s="2652"/>
      <c r="Q595" s="2407"/>
      <c r="R595" s="2407"/>
    </row>
    <row customHeight="true" ht="18.452380952380953" r="596">
      <c r="A596" s="2303" t="s">
        <v>2386</v>
      </c>
      <c r="B596" s="2304">
        <v>46277</v>
      </c>
      <c r="C596" s="2303" t="str">
        <v>Saturday</v>
      </c>
      <c r="D596" s="2646" t="s">
        <v>2402</v>
      </c>
      <c r="E596" s="2306">
        <f t="shared" si="117"/>
      </c>
      <c r="F596" s="2306" t="s">
        <v>2398</v>
      </c>
      <c r="G596" s="2307"/>
      <c r="H596" s="2306" t="s">
        <v>1971</v>
      </c>
      <c r="I596" s="2306" t="s">
        <v>1972</v>
      </c>
      <c r="J596" s="2653" t="s">
        <v>2401</v>
      </c>
      <c r="K596" s="2652"/>
      <c r="L596" s="2652"/>
      <c r="M596" s="2652"/>
      <c r="N596" s="2652"/>
      <c r="O596" s="2652"/>
      <c r="P596" s="2652"/>
      <c r="Q596" s="2407"/>
      <c r="R596" s="2407"/>
    </row>
    <row r="597">
      <c r="A597" s="2303" t="s">
        <v>2382</v>
      </c>
      <c r="B597" s="2304">
        <v>46278</v>
      </c>
      <c r="C597" s="2303" t="str">
        <v>Sunday</v>
      </c>
      <c r="D597" s="2305" t="s">
        <v>2282</v>
      </c>
      <c r="E597" s="2306">
        <f t="shared" si="117"/>
      </c>
      <c r="F597" s="2306" t="s">
        <v>2383</v>
      </c>
      <c r="G597" s="2320"/>
      <c r="H597" s="2306" t="s">
        <v>1971</v>
      </c>
      <c r="I597" s="2306"/>
      <c r="J597" s="2309" t="s">
        <v>2384</v>
      </c>
      <c r="K597" s="2652"/>
      <c r="L597" s="2652"/>
      <c r="M597" s="2652"/>
      <c r="N597" s="2652"/>
      <c r="O597" s="2652"/>
      <c r="P597" s="2652"/>
      <c r="Q597" s="2407"/>
      <c r="R597" s="2407"/>
    </row>
    <row r="598">
      <c r="A598" s="2303" t="s">
        <v>2382</v>
      </c>
      <c r="B598" s="2304">
        <v>46278</v>
      </c>
      <c r="C598" s="2303" t="str">
        <v>Sunday</v>
      </c>
      <c r="D598" s="2305" t="s">
        <v>2319</v>
      </c>
      <c r="E598" s="2306">
        <f t="shared" si="117"/>
      </c>
      <c r="F598" s="2306" t="s">
        <v>2385</v>
      </c>
      <c r="G598" s="2320"/>
      <c r="H598" s="2306" t="s">
        <v>1971</v>
      </c>
      <c r="I598" s="2306"/>
      <c r="J598" s="2653" t="s">
        <v>2401</v>
      </c>
      <c r="K598" s="2652"/>
      <c r="L598" s="2652"/>
      <c r="M598" s="2652"/>
      <c r="N598" s="2652"/>
      <c r="O598" s="2652"/>
      <c r="P598" s="2652"/>
      <c r="Q598" s="2407"/>
      <c r="R598" s="2407"/>
    </row>
    <row r="599">
      <c r="A599" s="2303" t="s">
        <v>2386</v>
      </c>
      <c r="B599" s="2304">
        <v>46278</v>
      </c>
      <c r="C599" s="2303" t="str">
        <v>Sunday</v>
      </c>
      <c r="D599" s="2646" t="s">
        <v>2402</v>
      </c>
      <c r="E599" s="2306">
        <f t="shared" si="117"/>
      </c>
      <c r="F599" s="2306" t="s">
        <v>2398</v>
      </c>
      <c r="G599" s="2320"/>
      <c r="H599" s="2306" t="s">
        <v>1971</v>
      </c>
      <c r="I599" s="2306" t="s">
        <v>1972</v>
      </c>
      <c r="J599" s="2653" t="s">
        <v>2401</v>
      </c>
      <c r="K599" s="2652"/>
      <c r="L599" s="2652"/>
      <c r="M599" s="2652"/>
      <c r="N599" s="2652"/>
      <c r="O599" s="2652"/>
      <c r="P599" s="2652"/>
      <c r="Q599" s="2407"/>
      <c r="R599" s="2407"/>
    </row>
    <row customHeight="true" ht="16.071428571428573" r="600">
      <c r="A600" s="2654"/>
      <c r="B600" s="2432"/>
      <c r="C600" s="2432"/>
      <c r="D600" s="2647"/>
      <c r="E600" s="2288"/>
      <c r="F600" s="2349"/>
      <c r="G600" s="2526"/>
      <c r="H600" s="2349"/>
      <c r="I600" s="2349"/>
      <c r="J600" s="2527"/>
      <c r="K600" s="2262"/>
      <c r="L600" s="2262"/>
      <c r="M600" s="2262"/>
      <c r="N600" s="2262"/>
      <c r="O600" s="2262"/>
      <c r="P600" s="2262"/>
    </row>
    <row customHeight="true" ht="16.071428571428573" r="601">
      <c r="A601" s="2589" t="s">
        <v>2382</v>
      </c>
      <c r="B601" s="2590">
        <v>46277</v>
      </c>
      <c r="C601" s="2589" t="str">
        <v>Saturday</v>
      </c>
      <c r="D601" s="2612" t="s">
        <v>2280</v>
      </c>
      <c r="E601" s="2592">
        <f t="shared" ref="E601:E604" si="118">24*MOD(TIMEVALUE(TRIM(MID(D601,FIND("-",D601)+1,LEN(D601)))) - TIMEVALUE(TRIM(LEFT(D601,FIND("-",D601)-1))),1)</f>
      </c>
      <c r="F601" s="2592" t="s">
        <v>2385</v>
      </c>
      <c r="G601" s="2526"/>
      <c r="H601" s="2349" t="s">
        <v>1971</v>
      </c>
      <c r="I601" s="2349"/>
      <c r="J601" s="2527"/>
      <c r="K601" s="2262"/>
      <c r="L601" s="2262"/>
      <c r="M601" s="2262"/>
      <c r="N601" s="2262"/>
      <c r="O601" s="2262"/>
      <c r="P601" s="2262"/>
    </row>
    <row customHeight="true" ht="16.071428571428573" r="602">
      <c r="A602" s="2283" t="s">
        <v>2386</v>
      </c>
      <c r="B602" s="2255">
        <v>46277</v>
      </c>
      <c r="C602" s="2283" t="str">
        <v>Saturday</v>
      </c>
      <c r="D602" s="2647" t="s">
        <v>2403</v>
      </c>
      <c r="E602" s="2288">
        <f t="shared" si="118"/>
      </c>
      <c r="F602" s="2349" t="s">
        <v>2398</v>
      </c>
      <c r="G602" s="2526"/>
      <c r="H602" s="2349" t="s">
        <v>1971</v>
      </c>
      <c r="I602" s="2349"/>
      <c r="J602" s="2527"/>
      <c r="K602" s="2262"/>
      <c r="L602" s="2262"/>
      <c r="M602" s="2262"/>
      <c r="N602" s="2262"/>
      <c r="O602" s="2262"/>
      <c r="P602" s="2262"/>
    </row>
    <row customHeight="true" ht="16.071428571428573" r="603">
      <c r="A603" s="2589" t="s">
        <v>2382</v>
      </c>
      <c r="B603" s="2590">
        <v>46278</v>
      </c>
      <c r="C603" s="2589" t="str">
        <v>Sunday</v>
      </c>
      <c r="D603" s="2612" t="s">
        <v>2280</v>
      </c>
      <c r="E603" s="2592">
        <f t="shared" si="118"/>
      </c>
      <c r="F603" s="2592" t="s">
        <v>2385</v>
      </c>
      <c r="G603" s="2526"/>
      <c r="H603" s="2349" t="s">
        <v>1971</v>
      </c>
      <c r="I603" s="2349"/>
      <c r="J603" s="2527"/>
      <c r="K603" s="2262"/>
      <c r="L603" s="2262"/>
      <c r="M603" s="2262"/>
      <c r="N603" s="2262"/>
      <c r="O603" s="2262"/>
      <c r="P603" s="2262"/>
    </row>
    <row customHeight="true" ht="16.071428571428573" r="604">
      <c r="A604" s="2283" t="s">
        <v>2386</v>
      </c>
      <c r="B604" s="2255">
        <v>46278</v>
      </c>
      <c r="C604" s="2283" t="str">
        <v>Sunday</v>
      </c>
      <c r="D604" s="2647" t="s">
        <v>2403</v>
      </c>
      <c r="E604" s="2288">
        <f t="shared" si="118"/>
      </c>
      <c r="F604" s="2349" t="s">
        <v>2398</v>
      </c>
      <c r="G604" s="2526"/>
      <c r="H604" s="2349" t="s">
        <v>1971</v>
      </c>
      <c r="I604" s="2349"/>
      <c r="J604" s="2527"/>
      <c r="K604" s="2262"/>
      <c r="L604" s="2262"/>
      <c r="M604" s="2262"/>
      <c r="N604" s="2262"/>
      <c r="O604" s="2262"/>
      <c r="P604" s="2262"/>
    </row>
    <row customHeight="true" ht="32.73809523809524" r="605">
      <c r="A605" s="2655" t="s">
        <v>2404</v>
      </c>
      <c r="B605" s="2655"/>
      <c r="C605" s="2655"/>
      <c r="D605" s="2655"/>
      <c r="E605" s="2655"/>
      <c r="F605" s="2655"/>
      <c r="G605" s="2655"/>
      <c r="H605" s="2655"/>
      <c r="I605" s="2655"/>
      <c r="J605" s="2656"/>
      <c r="K605" s="2657"/>
      <c r="L605" s="2657"/>
      <c r="M605" s="2657"/>
      <c r="N605" s="2657"/>
      <c r="O605" s="2657"/>
      <c r="P605" s="2657"/>
      <c r="Q605" s="2658"/>
      <c r="R605" s="2658"/>
    </row>
    <row customHeight="true" ht="32.73809523809524" r="606">
      <c r="A606" s="2659" t="s">
        <v>1989</v>
      </c>
      <c r="B606" s="2660" t="s">
        <v>1990</v>
      </c>
      <c r="C606" s="2660"/>
      <c r="D606" s="2661" t="s">
        <v>1991</v>
      </c>
      <c r="E606" s="2661" t="s">
        <v>1992</v>
      </c>
      <c r="F606" s="2661" t="s">
        <v>1993</v>
      </c>
      <c r="G606" s="2662" t="s">
        <v>2012</v>
      </c>
      <c r="H606" s="2661" t="s">
        <v>1995</v>
      </c>
      <c r="I606" s="2661" t="s">
        <v>1996</v>
      </c>
      <c r="J606" s="2663" t="s">
        <v>1997</v>
      </c>
      <c r="K606" s="2664"/>
      <c r="L606" s="2664"/>
      <c r="M606" s="2664"/>
      <c r="N606" s="2664"/>
      <c r="O606" s="2664"/>
      <c r="P606" s="2664"/>
      <c r="Q606" s="2658"/>
      <c r="R606" s="2658"/>
    </row>
    <row customHeight="true" ht="16.071428571428573" r="607">
      <c r="A607" s="2665"/>
      <c r="B607" s="2666"/>
      <c r="C607" s="2666"/>
      <c r="D607" s="2667"/>
      <c r="E607" s="2667"/>
      <c r="F607" s="2668"/>
      <c r="G607" s="2668"/>
      <c r="H607" s="2669"/>
      <c r="I607" s="2667"/>
      <c r="J607" s="2670"/>
      <c r="K607" s="2671"/>
      <c r="L607" s="2671"/>
      <c r="M607" s="2671"/>
      <c r="N607" s="2671"/>
      <c r="O607" s="2671"/>
      <c r="P607" s="2671"/>
      <c r="Q607" s="2672"/>
      <c r="R607" s="2672"/>
    </row>
    <row customHeight="true" ht="16.071428571428573" r="608">
      <c r="A608" s="2673" t="s">
        <v>2405</v>
      </c>
      <c r="B608" s="2402">
        <v>46273</v>
      </c>
      <c r="C608" s="2402" t="s">
        <v>1967</v>
      </c>
      <c r="D608" s="2403" t="s">
        <v>2406</v>
      </c>
      <c r="E608" s="2403">
        <f>24*MOD(TIMEVALUE(TRIM(MID(D608,FIND("-",D608)+1,LEN(D608)))) - TIMEVALUE(TRIM(LEFT(D608,FIND("-",D608)-1))),1)</f>
      </c>
      <c r="F608" s="2462" t="s">
        <v>2264</v>
      </c>
      <c r="G608" s="2434"/>
      <c r="H608" s="2674" t="s">
        <v>2009</v>
      </c>
      <c r="I608" s="2403" t="s">
        <v>2005</v>
      </c>
      <c r="J608" s="2462"/>
      <c r="K608" s="2337"/>
      <c r="L608" s="2337"/>
      <c r="M608" s="2337"/>
      <c r="N608" s="2337"/>
      <c r="O608" s="2337"/>
      <c r="P608" s="2337"/>
      <c r="Q608" s="2675"/>
      <c r="R608" s="2675"/>
    </row>
    <row customHeight="true" ht="16.071428571428573" r="609">
      <c r="A609" s="2676"/>
      <c r="B609" s="2677"/>
      <c r="C609" s="2677"/>
      <c r="D609" s="2678"/>
      <c r="E609" s="2678"/>
      <c r="F609" s="2679"/>
      <c r="G609" s="2680"/>
      <c r="H609" s="2681"/>
      <c r="I609" s="2678"/>
      <c r="J609" s="2682"/>
      <c r="K609" s="2683"/>
      <c r="L609" s="2683"/>
      <c r="M609" s="2683"/>
      <c r="N609" s="2683"/>
      <c r="O609" s="2683"/>
      <c r="P609" s="2683"/>
      <c r="Q609" s="2684"/>
      <c r="R609" s="2684"/>
    </row>
    <row customHeight="true" ht="16.071428571428573" r="610">
      <c r="A610" s="2676"/>
      <c r="B610" s="2677"/>
      <c r="C610" s="2677"/>
      <c r="D610" s="2678"/>
      <c r="E610" s="2678"/>
      <c r="F610" s="2678"/>
      <c r="G610" s="2680"/>
      <c r="H610" s="2681"/>
      <c r="I610" s="2678"/>
      <c r="J610" s="2682"/>
      <c r="K610" s="2683"/>
      <c r="L610" s="2683"/>
      <c r="M610" s="2683"/>
      <c r="N610" s="2683"/>
      <c r="O610" s="2683"/>
      <c r="P610" s="2683"/>
      <c r="Q610" s="2684"/>
      <c r="R610" s="2684"/>
    </row>
    <row customHeight="true" ht="16.071428571428573" r="611">
      <c r="A611" s="2654"/>
      <c r="B611" s="2402"/>
      <c r="C611" s="2432"/>
      <c r="D611" s="2260"/>
      <c r="E611" s="2349"/>
      <c r="F611" s="2291"/>
      <c r="G611" s="2526"/>
      <c r="H611" s="2349"/>
      <c r="I611" s="2349"/>
      <c r="J611" s="2527"/>
      <c r="K611" s="2262"/>
      <c r="L611" s="2262"/>
      <c r="M611" s="2262"/>
      <c r="N611" s="2262"/>
      <c r="O611" s="2262"/>
      <c r="P611" s="2262"/>
    </row>
    <row customHeight="true" ht="16.071428571428573" r="612">
      <c r="A612" s="2654"/>
      <c r="B612" s="2432"/>
      <c r="C612" s="2432"/>
      <c r="D612" s="2349"/>
      <c r="E612" s="2349"/>
      <c r="F612" s="2349"/>
      <c r="G612" s="2526"/>
      <c r="H612" s="2349"/>
      <c r="I612" s="2349"/>
      <c r="J612" s="2527"/>
      <c r="K612" s="2262"/>
      <c r="L612" s="2262"/>
      <c r="M612" s="2262"/>
      <c r="N612" s="2262"/>
      <c r="O612" s="2262"/>
      <c r="P612" s="2262"/>
    </row>
    <row r="613">
      <c r="A613" s="2685" t="s">
        <v>2407</v>
      </c>
      <c r="B613" s="2685"/>
      <c r="C613" s="2685"/>
      <c r="D613" s="2685"/>
      <c r="E613" s="2685"/>
      <c r="F613" s="2685"/>
      <c r="G613" s="2685"/>
      <c r="H613" s="2685"/>
      <c r="I613" s="2685"/>
      <c r="J613" s="2686"/>
      <c r="K613" s="2296"/>
      <c r="L613" s="2296"/>
      <c r="M613" s="2296"/>
      <c r="N613" s="2296"/>
      <c r="O613" s="2296"/>
      <c r="P613" s="2296"/>
    </row>
    <row r="614">
      <c r="A614" s="2687" t="s">
        <v>1989</v>
      </c>
      <c r="B614" s="2688" t="s">
        <v>1990</v>
      </c>
      <c r="C614" s="2688"/>
      <c r="D614" s="2689" t="s">
        <v>1991</v>
      </c>
      <c r="E614" s="2689" t="s">
        <v>1992</v>
      </c>
      <c r="F614" s="2689" t="s">
        <v>1993</v>
      </c>
      <c r="G614" s="2690" t="s">
        <v>2012</v>
      </c>
      <c r="H614" s="2689" t="s">
        <v>1995</v>
      </c>
      <c r="I614" s="2689" t="s">
        <v>1996</v>
      </c>
      <c r="J614" s="2691" t="s">
        <v>1997</v>
      </c>
      <c r="K614" s="2357" t="s">
        <v>2408</v>
      </c>
      <c r="L614" s="2282"/>
      <c r="M614" s="2282"/>
      <c r="N614" s="2282"/>
      <c r="O614" s="2282"/>
      <c r="P614" s="2282"/>
    </row>
    <row customHeight="true" ht="18.452380952380953" r="615">
      <c r="A615" s="2283" t="s">
        <v>2409</v>
      </c>
      <c r="B615" s="2255">
        <v>46273</v>
      </c>
      <c r="C615" s="2283" t="str">
        <v>Tuesday</v>
      </c>
      <c r="D615" s="2289" t="s">
        <v>2129</v>
      </c>
      <c r="E615" s="2260">
        <f t="shared" ref="E615:E623" si="119">24*MOD(TIMEVALUE(TRIM(MID(D615,FIND("-",D615)+1,LEN(D615)))) - TIMEVALUE(TRIM(LEFT(D615,FIND("-",D615)-1))),1)</f>
      </c>
      <c r="F615" s="2349" t="s">
        <v>2165</v>
      </c>
      <c r="G615" s="2404"/>
      <c r="H615" s="2260" t="s">
        <v>1971</v>
      </c>
      <c r="I615" s="2260" t="s">
        <v>1972</v>
      </c>
      <c r="J615" s="2286"/>
      <c r="K615" s="2337" t="s">
        <v>2410</v>
      </c>
      <c r="L615" s="2262"/>
      <c r="M615" s="2262"/>
      <c r="N615" s="2262"/>
      <c r="O615" s="2262"/>
      <c r="P615" s="2262"/>
    </row>
    <row customHeight="true" ht="18.452380952380953" r="616">
      <c r="A616" s="2283" t="s">
        <v>2409</v>
      </c>
      <c r="B616" s="2255">
        <v>46273</v>
      </c>
      <c r="C616" s="2283" t="str">
        <v>Tuesday</v>
      </c>
      <c r="D616" s="2289" t="s">
        <v>2282</v>
      </c>
      <c r="E616" s="2260">
        <f t="shared" si="119"/>
      </c>
      <c r="F616" s="2349" t="s">
        <v>2008</v>
      </c>
      <c r="G616" s="2404"/>
      <c r="H616" s="2260" t="s">
        <v>1971</v>
      </c>
      <c r="I616" s="2260" t="s">
        <v>1972</v>
      </c>
      <c r="J616" s="2286"/>
      <c r="K616" s="2337" t="s">
        <v>2410</v>
      </c>
      <c r="L616" s="2262"/>
      <c r="M616" s="2262"/>
      <c r="N616" s="2262"/>
      <c r="O616" s="2262"/>
      <c r="P616" s="2262"/>
    </row>
    <row customHeight="true" ht="18.452380952380953" r="617">
      <c r="A617" s="2589" t="s">
        <v>2411</v>
      </c>
      <c r="B617" s="2590">
        <v>46273</v>
      </c>
      <c r="C617" s="2589" t="str">
        <v>Tuesday</v>
      </c>
      <c r="D617" s="2612" t="s">
        <v>2412</v>
      </c>
      <c r="E617" s="2592">
        <f t="shared" si="119"/>
      </c>
      <c r="F617" s="2592" t="s">
        <v>2413</v>
      </c>
      <c r="G617" s="2593" t="s">
        <v>2414</v>
      </c>
      <c r="H617" s="2592" t="s">
        <v>1971</v>
      </c>
      <c r="I617" s="2592" t="s">
        <v>1972</v>
      </c>
      <c r="J617" s="2613"/>
      <c r="K617" s="2337" t="s">
        <v>2410</v>
      </c>
      <c r="L617" s="2262"/>
      <c r="M617" s="2262"/>
      <c r="N617" s="2262"/>
      <c r="O617" s="2262"/>
      <c r="P617" s="2262"/>
    </row>
    <row customHeight="true" ht="18.452380952380953" r="618">
      <c r="A618" s="2432" t="s">
        <v>2409</v>
      </c>
      <c r="B618" s="2402">
        <v>46274</v>
      </c>
      <c r="C618" s="2432" t="str">
        <v>Wednesday</v>
      </c>
      <c r="D618" s="2403" t="s">
        <v>2129</v>
      </c>
      <c r="E618" s="2349">
        <f t="shared" si="119"/>
      </c>
      <c r="F618" s="2349" t="s">
        <v>2376</v>
      </c>
      <c r="G618" s="2434"/>
      <c r="H618" s="2349" t="s">
        <v>1971</v>
      </c>
      <c r="I618" s="2349" t="s">
        <v>1972</v>
      </c>
      <c r="J618" s="2527"/>
      <c r="K618" s="2337" t="s">
        <v>2410</v>
      </c>
      <c r="L618" s="2262"/>
      <c r="M618" s="2262"/>
      <c r="N618" s="2262"/>
      <c r="O618" s="2262"/>
      <c r="P618" s="2262"/>
    </row>
    <row customHeight="true" ht="18.452380952380953" r="619">
      <c r="A619" s="2432" t="s">
        <v>2409</v>
      </c>
      <c r="B619" s="2402">
        <v>46274</v>
      </c>
      <c r="C619" s="2432" t="str">
        <v>Wednesday</v>
      </c>
      <c r="D619" s="2403" t="s">
        <v>2282</v>
      </c>
      <c r="E619" s="2349">
        <f t="shared" si="119"/>
      </c>
      <c r="F619" s="2349" t="s">
        <v>2165</v>
      </c>
      <c r="G619" s="2434"/>
      <c r="H619" s="2349" t="s">
        <v>1971</v>
      </c>
      <c r="I619" s="2349" t="s">
        <v>1972</v>
      </c>
      <c r="J619" s="2527"/>
      <c r="K619" s="2337" t="s">
        <v>2410</v>
      </c>
      <c r="L619" s="2262"/>
      <c r="M619" s="2262"/>
      <c r="N619" s="2262"/>
      <c r="O619" s="2262"/>
      <c r="P619" s="2262"/>
    </row>
    <row customHeight="true" ht="18.452380952380953" r="620">
      <c r="A620" s="2589" t="s">
        <v>2411</v>
      </c>
      <c r="B620" s="2590">
        <v>46274</v>
      </c>
      <c r="C620" s="2589" t="str">
        <v>Wednesday</v>
      </c>
      <c r="D620" s="2612" t="s">
        <v>2412</v>
      </c>
      <c r="E620" s="2592">
        <f t="shared" si="119"/>
      </c>
      <c r="F620" s="2592" t="s">
        <v>2413</v>
      </c>
      <c r="G620" s="2593" t="s">
        <v>2414</v>
      </c>
      <c r="H620" s="2596" t="s">
        <v>1971</v>
      </c>
      <c r="I620" s="2596" t="s">
        <v>1972</v>
      </c>
      <c r="J620" s="2692"/>
      <c r="K620" s="2337" t="s">
        <v>2410</v>
      </c>
      <c r="L620" s="2262"/>
      <c r="M620" s="2262"/>
      <c r="N620" s="2262"/>
      <c r="O620" s="2262"/>
      <c r="P620" s="2262"/>
    </row>
    <row customHeight="true" ht="18.452380952380953" r="621">
      <c r="A621" s="2432" t="s">
        <v>2409</v>
      </c>
      <c r="B621" s="2402">
        <v>46275</v>
      </c>
      <c r="C621" s="2432" t="str">
        <v>Thursday</v>
      </c>
      <c r="D621" s="2403" t="s">
        <v>2130</v>
      </c>
      <c r="E621" s="2349">
        <f t="shared" si="119"/>
      </c>
      <c r="F621" s="2349" t="s">
        <v>2415</v>
      </c>
      <c r="G621" s="2434"/>
      <c r="H621" s="2349" t="s">
        <v>1971</v>
      </c>
      <c r="I621" s="2349" t="s">
        <v>1972</v>
      </c>
      <c r="J621" s="2527"/>
      <c r="K621" s="2337" t="s">
        <v>2410</v>
      </c>
      <c r="L621" s="2262"/>
      <c r="M621" s="2262"/>
      <c r="N621" s="2262"/>
      <c r="O621" s="2262"/>
      <c r="P621" s="2262"/>
    </row>
    <row r="622">
      <c r="A622" s="2589" t="s">
        <v>2411</v>
      </c>
      <c r="B622" s="2590">
        <v>46275</v>
      </c>
      <c r="C622" s="2589" t="str">
        <v>Thursday</v>
      </c>
      <c r="D622" s="2612" t="s">
        <v>2412</v>
      </c>
      <c r="E622" s="2592">
        <f t="shared" si="119"/>
      </c>
      <c r="F622" s="2592" t="s">
        <v>2413</v>
      </c>
      <c r="G622" s="2593" t="s">
        <v>2414</v>
      </c>
      <c r="H622" s="2592" t="s">
        <v>1971</v>
      </c>
      <c r="I622" s="2592" t="s">
        <v>1972</v>
      </c>
      <c r="J622" s="2692"/>
      <c r="K622" s="2337" t="s">
        <v>2410</v>
      </c>
      <c r="L622" s="2337"/>
      <c r="M622" s="2337"/>
      <c r="N622" s="2337"/>
      <c r="O622" s="2337"/>
      <c r="P622" s="2337"/>
    </row>
    <row r="623">
      <c r="A623" s="2693" t="s">
        <v>2416</v>
      </c>
      <c r="B623" s="2694">
        <v>46275</v>
      </c>
      <c r="C623" s="2693" t="str">
        <v>Thursday</v>
      </c>
      <c r="D623" s="2695" t="s">
        <v>2235</v>
      </c>
      <c r="E623" s="2696">
        <f t="shared" si="119"/>
      </c>
      <c r="F623" s="2696" t="s">
        <v>2413</v>
      </c>
      <c r="G623" s="2697" t="s">
        <v>2417</v>
      </c>
      <c r="H623" s="2696" t="s">
        <v>1971</v>
      </c>
      <c r="I623" s="2696" t="s">
        <v>1972</v>
      </c>
      <c r="J623" s="2698"/>
      <c r="K623" s="2337" t="s">
        <v>2410</v>
      </c>
      <c r="L623" s="2337"/>
      <c r="M623" s="2337"/>
      <c r="N623" s="2337"/>
      <c r="O623" s="2337"/>
      <c r="P623" s="2337"/>
    </row>
    <row customHeight="true" ht="32.142857142857146" r="624">
      <c r="A624" s="2693" t="s">
        <v>2416</v>
      </c>
      <c r="B624" s="2694">
        <v>46275</v>
      </c>
      <c r="C624" s="2693" t="str">
        <v>Thursday</v>
      </c>
      <c r="D624" s="2695" t="s">
        <v>2418</v>
      </c>
      <c r="E624" s="2695">
        <v>1</v>
      </c>
      <c r="F624" s="2696" t="s">
        <v>2413</v>
      </c>
      <c r="G624" s="2697" t="s">
        <v>2419</v>
      </c>
      <c r="H624" s="2696" t="s">
        <v>1971</v>
      </c>
      <c r="I624" s="2696" t="s">
        <v>1972</v>
      </c>
      <c r="J624" s="2698"/>
      <c r="K624" s="2337"/>
      <c r="L624" s="2337"/>
      <c r="M624" s="2337"/>
      <c r="N624" s="2337"/>
      <c r="O624" s="2337"/>
      <c r="P624" s="2337"/>
    </row>
    <row customHeight="true" ht="18.452380952380953" r="625">
      <c r="A625" s="2432" t="s">
        <v>2409</v>
      </c>
      <c r="B625" s="2402">
        <v>46276</v>
      </c>
      <c r="C625" s="2432" t="str">
        <v>Friday</v>
      </c>
      <c r="D625" s="2403" t="s">
        <v>2129</v>
      </c>
      <c r="E625" s="2349">
        <f>24*MOD(TIMEVALUE(TRIM(MID(D625,FIND("-",D625)+1,LEN(D625)))) - TIMEVALUE(TRIM(LEFT(D625,FIND("-",D625)-1))),1)</f>
      </c>
      <c r="F625" s="2349" t="s">
        <v>2376</v>
      </c>
      <c r="G625" s="2434"/>
      <c r="H625" s="2349" t="s">
        <v>1971</v>
      </c>
      <c r="I625" s="2349" t="s">
        <v>1972</v>
      </c>
      <c r="J625" s="2527"/>
      <c r="K625" s="2337" t="s">
        <v>2410</v>
      </c>
      <c r="L625" s="2262"/>
      <c r="M625" s="2262"/>
      <c r="N625" s="2262"/>
      <c r="O625" s="2262"/>
      <c r="P625" s="2262"/>
    </row>
    <row customHeight="true" ht="18.452380952380953" r="626">
      <c r="A626" s="2432" t="s">
        <v>2409</v>
      </c>
      <c r="B626" s="2402">
        <v>46276</v>
      </c>
      <c r="C626" s="2432" t="str">
        <v>Friday</v>
      </c>
      <c r="D626" s="2403" t="s">
        <v>2282</v>
      </c>
      <c r="E626" s="2403">
        <v>2</v>
      </c>
      <c r="F626" s="2288" t="s">
        <v>2415</v>
      </c>
      <c r="G626" s="2434"/>
      <c r="H626" s="2349" t="s">
        <v>1971</v>
      </c>
      <c r="I626" s="2349" t="s">
        <v>1972</v>
      </c>
      <c r="J626" s="2527"/>
      <c r="K626" s="2337"/>
      <c r="L626" s="2262"/>
      <c r="M626" s="2262"/>
      <c r="N626" s="2262"/>
      <c r="O626" s="2262"/>
      <c r="P626" s="2262"/>
    </row>
    <row r="627">
      <c r="A627" s="2589" t="s">
        <v>2411</v>
      </c>
      <c r="B627" s="2590">
        <v>46276</v>
      </c>
      <c r="C627" s="2589" t="str">
        <v>Friday</v>
      </c>
      <c r="D627" s="2612" t="s">
        <v>2412</v>
      </c>
      <c r="E627" s="2592">
        <f t="shared" ref="E627:E634" si="120">24*MOD(TIMEVALUE(TRIM(MID(D627,FIND("-",D627)+1,LEN(D627)))) - TIMEVALUE(TRIM(LEFT(D627,FIND("-",D627)-1))),1)</f>
      </c>
      <c r="F627" s="2592" t="s">
        <v>2413</v>
      </c>
      <c r="G627" s="2593" t="s">
        <v>2420</v>
      </c>
      <c r="H627" s="2592" t="s">
        <v>1971</v>
      </c>
      <c r="I627" s="2592" t="s">
        <v>1972</v>
      </c>
      <c r="J627" s="2613"/>
      <c r="K627" s="2337" t="s">
        <v>2410</v>
      </c>
      <c r="L627" s="2262"/>
      <c r="M627" s="2262"/>
      <c r="N627" s="2262"/>
      <c r="O627" s="2262"/>
      <c r="P627" s="2262"/>
    </row>
    <row r="628">
      <c r="A628" s="2589" t="s">
        <v>2416</v>
      </c>
      <c r="B628" s="2590">
        <v>46276</v>
      </c>
      <c r="C628" s="2589" t="str">
        <v>Friday</v>
      </c>
      <c r="D628" s="2612" t="s">
        <v>2421</v>
      </c>
      <c r="E628" s="2592">
        <f t="shared" si="120"/>
      </c>
      <c r="F628" s="2592" t="s">
        <v>2413</v>
      </c>
      <c r="G628" s="2593" t="s">
        <v>2422</v>
      </c>
      <c r="H628" s="2592" t="s">
        <v>1971</v>
      </c>
      <c r="I628" s="2592" t="s">
        <v>1972</v>
      </c>
      <c r="J628" s="2613"/>
      <c r="K628" s="2337"/>
      <c r="L628" s="2262"/>
      <c r="M628" s="2262"/>
      <c r="N628" s="2262"/>
      <c r="O628" s="2262"/>
      <c r="P628" s="2262"/>
    </row>
    <row customHeight="true" ht="18.452380952380953" r="629">
      <c r="A629" s="2589" t="s">
        <v>2416</v>
      </c>
      <c r="B629" s="2590">
        <v>46276</v>
      </c>
      <c r="C629" s="2589" t="str">
        <v>Friday</v>
      </c>
      <c r="D629" s="2612" t="s">
        <v>2041</v>
      </c>
      <c r="E629" s="2592">
        <f t="shared" si="120"/>
      </c>
      <c r="F629" s="2592" t="s">
        <v>2423</v>
      </c>
      <c r="G629" s="2593" t="s">
        <v>2420</v>
      </c>
      <c r="H629" s="2592" t="s">
        <v>1971</v>
      </c>
      <c r="I629" s="2592" t="s">
        <v>1972</v>
      </c>
      <c r="J629" s="2613"/>
      <c r="K629" s="2460" t="s">
        <v>2410</v>
      </c>
      <c r="L629" s="2460"/>
      <c r="M629" s="2460"/>
      <c r="N629" s="2460"/>
      <c r="O629" s="2460"/>
      <c r="P629" s="2460"/>
      <c r="Q629" s="2293"/>
      <c r="R629" s="2293"/>
    </row>
    <row customHeight="true" ht="18.452380952380953" r="630">
      <c r="A630" s="2283" t="s">
        <v>2409</v>
      </c>
      <c r="B630" s="2255">
        <v>46277</v>
      </c>
      <c r="C630" s="2283" t="str">
        <v>Saturday</v>
      </c>
      <c r="D630" s="2256" t="s">
        <v>2039</v>
      </c>
      <c r="E630" s="2260">
        <f t="shared" si="120"/>
      </c>
      <c r="F630" s="2349" t="s">
        <v>2376</v>
      </c>
      <c r="G630" s="2292"/>
      <c r="H630" s="2260" t="s">
        <v>1971</v>
      </c>
      <c r="I630" s="2260" t="s">
        <v>1972</v>
      </c>
      <c r="J630" s="2286"/>
      <c r="K630" s="2337" t="s">
        <v>2410</v>
      </c>
      <c r="L630" s="2262"/>
      <c r="M630" s="2262"/>
      <c r="N630" s="2262"/>
      <c r="O630" s="2262"/>
      <c r="P630" s="2262"/>
    </row>
    <row r="631">
      <c r="A631" s="2589" t="s">
        <v>2411</v>
      </c>
      <c r="B631" s="2602">
        <v>46277</v>
      </c>
      <c r="C631" s="2589" t="str">
        <v>Saturday</v>
      </c>
      <c r="D631" s="2699" t="s">
        <v>2424</v>
      </c>
      <c r="E631" s="2592">
        <f t="shared" si="120"/>
      </c>
      <c r="F631" s="2596" t="s">
        <v>2423</v>
      </c>
      <c r="G631" s="2593" t="s">
        <v>2425</v>
      </c>
      <c r="H631" s="2592" t="s">
        <v>1971</v>
      </c>
      <c r="I631" s="2592" t="s">
        <v>1972</v>
      </c>
      <c r="J631" s="2613"/>
      <c r="K631" s="2337" t="s">
        <v>2410</v>
      </c>
      <c r="L631" s="2262"/>
      <c r="M631" s="2262"/>
      <c r="N631" s="2262"/>
      <c r="O631" s="2262"/>
      <c r="P631" s="2262"/>
    </row>
    <row customHeight="true" ht="18.452380952380953" r="632">
      <c r="A632" s="2700" t="s">
        <v>2416</v>
      </c>
      <c r="B632" s="2701">
        <v>46277</v>
      </c>
      <c r="C632" s="2700" t="str">
        <v>Saturday</v>
      </c>
      <c r="D632" s="2702" t="s">
        <v>2426</v>
      </c>
      <c r="E632" s="2703">
        <f t="shared" si="120"/>
      </c>
      <c r="F632" s="2703" t="s">
        <v>2413</v>
      </c>
      <c r="G632" s="2704" t="s">
        <v>2427</v>
      </c>
      <c r="H632" s="2703" t="s">
        <v>1971</v>
      </c>
      <c r="I632" s="2703" t="s">
        <v>1972</v>
      </c>
      <c r="J632" s="2705"/>
      <c r="K632" s="2337" t="s">
        <v>2410</v>
      </c>
      <c r="L632" s="2460"/>
      <c r="M632" s="2460"/>
      <c r="N632" s="2460"/>
      <c r="O632" s="2460"/>
      <c r="P632" s="2460"/>
      <c r="Q632" s="2293"/>
      <c r="R632" s="2293"/>
    </row>
    <row customHeight="true" ht="18.452380952380953" r="633">
      <c r="A633" s="2283" t="s">
        <v>2409</v>
      </c>
      <c r="B633" s="2255">
        <v>46278</v>
      </c>
      <c r="C633" s="2283" t="str">
        <v>Sunday</v>
      </c>
      <c r="D633" s="2256" t="s">
        <v>2130</v>
      </c>
      <c r="E633" s="2260">
        <f t="shared" si="120"/>
      </c>
      <c r="F633" s="2288" t="s">
        <v>2415</v>
      </c>
      <c r="G633" s="2302"/>
      <c r="H633" s="2260" t="s">
        <v>1971</v>
      </c>
      <c r="I633" s="2260" t="s">
        <v>1972</v>
      </c>
      <c r="J633" s="2286"/>
      <c r="K633" s="2337" t="s">
        <v>2410</v>
      </c>
      <c r="L633" s="2262"/>
      <c r="M633" s="2262"/>
      <c r="N633" s="2262"/>
      <c r="O633" s="2262"/>
      <c r="P633" s="2262"/>
    </row>
    <row r="634">
      <c r="A634" s="2589" t="s">
        <v>2411</v>
      </c>
      <c r="B634" s="2602">
        <v>46278</v>
      </c>
      <c r="C634" s="2589" t="str">
        <v>Sunday</v>
      </c>
      <c r="D634" s="2612" t="s">
        <v>2412</v>
      </c>
      <c r="E634" s="2592">
        <f t="shared" si="120"/>
      </c>
      <c r="F634" s="2592" t="s">
        <v>2413</v>
      </c>
      <c r="G634" s="2593" t="s">
        <v>2414</v>
      </c>
      <c r="H634" s="2592" t="s">
        <v>1971</v>
      </c>
      <c r="I634" s="2592" t="s">
        <v>1972</v>
      </c>
      <c r="J634" s="2706"/>
      <c r="K634" s="2337" t="s">
        <v>2410</v>
      </c>
      <c r="L634" s="2337"/>
      <c r="M634" s="2337"/>
      <c r="N634" s="2337"/>
      <c r="O634" s="2337"/>
      <c r="P634" s="2337"/>
    </row>
    <row r="635">
      <c r="A635" s="2283"/>
      <c r="B635" s="2283"/>
      <c r="C635" s="2283"/>
      <c r="D635" s="2260"/>
      <c r="E635" s="2260"/>
      <c r="F635" s="2288"/>
      <c r="G635" s="2404"/>
      <c r="H635" s="2288"/>
      <c r="I635" s="2260"/>
      <c r="J635" s="2261"/>
      <c r="K635" s="2262"/>
      <c r="L635" s="2262"/>
      <c r="M635" s="2262"/>
      <c r="N635" s="2262"/>
      <c r="O635" s="2262"/>
      <c r="P635" s="2262"/>
    </row>
    <row customHeight="true" ht="16.071428571428573" r="636">
      <c r="A636" s="2283"/>
      <c r="B636" s="2283"/>
      <c r="C636" s="2283"/>
      <c r="D636" s="2260"/>
      <c r="E636" s="2260"/>
      <c r="F636" s="2288"/>
      <c r="G636" s="2404"/>
      <c r="H636" s="2288"/>
      <c r="I636" s="2260"/>
      <c r="J636" s="2261"/>
      <c r="K636" s="2262"/>
      <c r="L636" s="2262"/>
      <c r="M636" s="2262"/>
      <c r="N636" s="2262"/>
      <c r="O636" s="2262"/>
      <c r="P636" s="2262"/>
    </row>
    <row r="637">
      <c r="A637" s="2707" t="s">
        <v>2428</v>
      </c>
      <c r="B637" s="2708"/>
      <c r="C637" s="2708"/>
      <c r="D637" s="2708"/>
      <c r="E637" s="2708"/>
      <c r="F637" s="2708"/>
      <c r="G637" s="2708"/>
      <c r="H637" s="2708"/>
      <c r="I637" s="2708"/>
      <c r="J637" s="2709"/>
      <c r="K637" s="2710" t="s">
        <v>2408</v>
      </c>
      <c r="L637" s="2711"/>
      <c r="M637" s="2711"/>
      <c r="N637" s="2711"/>
      <c r="O637" s="2711"/>
      <c r="P637" s="2711"/>
    </row>
    <row r="638">
      <c r="A638" s="2712" t="s">
        <v>1989</v>
      </c>
      <c r="B638" s="2713" t="s">
        <v>1990</v>
      </c>
      <c r="C638" s="2713"/>
      <c r="D638" s="2714" t="s">
        <v>1991</v>
      </c>
      <c r="E638" s="2714" t="s">
        <v>1992</v>
      </c>
      <c r="F638" s="2714" t="s">
        <v>1993</v>
      </c>
      <c r="G638" s="2715" t="s">
        <v>2012</v>
      </c>
      <c r="H638" s="2714" t="s">
        <v>1995</v>
      </c>
      <c r="I638" s="2716" t="s">
        <v>2429</v>
      </c>
      <c r="J638" s="2717" t="s">
        <v>1997</v>
      </c>
      <c r="K638" s="2357" t="s">
        <v>2408</v>
      </c>
      <c r="L638" s="2282"/>
      <c r="M638" s="2282"/>
      <c r="N638" s="2282"/>
      <c r="O638" s="2282"/>
      <c r="P638" s="2282"/>
    </row>
    <row customHeight="true" ht="17.857142857142858" r="639">
      <c r="A639" s="2718" t="s">
        <v>2428</v>
      </c>
      <c r="B639" s="2402">
        <v>46273</v>
      </c>
      <c r="C639" s="2432" t="str">
        <v>Tuesday</v>
      </c>
      <c r="D639" s="2403" t="s">
        <v>2349</v>
      </c>
      <c r="E639" s="2349">
        <f t="shared" ref="E639:E668" si="121">24*MOD(TIMEVALUE(TRIM(MID(D639,FIND("-",D639)+1,LEN(D639)))) - TIMEVALUE(TRIM(LEFT(D639,FIND("-",D639)-1))),1)</f>
      </c>
      <c r="F639" s="2349" t="s">
        <v>2430</v>
      </c>
      <c r="G639" s="2526"/>
      <c r="H639" s="2349" t="s">
        <v>1971</v>
      </c>
      <c r="I639" s="2346" t="s">
        <v>1972</v>
      </c>
      <c r="J639" s="2462"/>
      <c r="K639" s="2337" t="s">
        <v>2431</v>
      </c>
      <c r="L639" s="2588"/>
      <c r="M639" s="2588"/>
      <c r="N639" s="2588"/>
      <c r="O639" s="2588"/>
      <c r="P639" s="2588"/>
    </row>
    <row r="640">
      <c r="A640" s="2718" t="s">
        <v>2428</v>
      </c>
      <c r="B640" s="2402">
        <v>46273</v>
      </c>
      <c r="C640" s="2432" t="str">
        <v>Tuesday</v>
      </c>
      <c r="D640" s="2439" t="s">
        <v>2181</v>
      </c>
      <c r="E640" s="2349">
        <f t="shared" si="121"/>
      </c>
      <c r="F640" s="2260" t="s">
        <v>2377</v>
      </c>
      <c r="G640" s="2627"/>
      <c r="H640" s="2260" t="s">
        <v>1971</v>
      </c>
      <c r="I640" s="2349" t="s">
        <v>1972</v>
      </c>
      <c r="J640" s="2626"/>
      <c r="K640" s="2337" t="s">
        <v>2431</v>
      </c>
      <c r="L640" s="2262"/>
      <c r="M640" s="2262"/>
      <c r="N640" s="2262"/>
      <c r="O640" s="2262"/>
      <c r="P640" s="2262"/>
      <c r="Q640" s="2319"/>
      <c r="R640" s="2319"/>
    </row>
    <row customHeight="true" ht="17.857142857142858" r="641">
      <c r="A641" s="2718" t="s">
        <v>2428</v>
      </c>
      <c r="B641" s="2402">
        <v>46273</v>
      </c>
      <c r="C641" s="2432" t="str">
        <v>Tuesday</v>
      </c>
      <c r="D641" s="2439" t="s">
        <v>2432</v>
      </c>
      <c r="E641" s="2349">
        <f t="shared" si="121"/>
      </c>
      <c r="F641" s="2263" t="s">
        <v>2337</v>
      </c>
      <c r="G641" s="2526"/>
      <c r="H641" s="2349" t="s">
        <v>1971</v>
      </c>
      <c r="I641" s="2346" t="s">
        <v>1972</v>
      </c>
      <c r="J641" s="2462"/>
      <c r="K641" s="2337" t="s">
        <v>2431</v>
      </c>
      <c r="L641" s="2588"/>
      <c r="M641" s="2588"/>
      <c r="N641" s="2588"/>
      <c r="O641" s="2588"/>
      <c r="P641" s="2588"/>
    </row>
    <row customHeight="true" ht="17.857142857142858" r="642">
      <c r="A642" s="2719" t="s">
        <v>2433</v>
      </c>
      <c r="B642" s="2720">
        <v>46273</v>
      </c>
      <c r="C642" s="2721" t="str">
        <v>Tuesday</v>
      </c>
      <c r="D642" s="2722" t="s">
        <v>2434</v>
      </c>
      <c r="E642" s="2723">
        <f t="shared" si="121"/>
      </c>
      <c r="F642" s="2724" t="s">
        <v>2435</v>
      </c>
      <c r="G642" s="2725" t="s">
        <v>2425</v>
      </c>
      <c r="H642" s="2724" t="s">
        <v>1971</v>
      </c>
      <c r="I642" s="2726" t="s">
        <v>1972</v>
      </c>
      <c r="J642" s="2727"/>
      <c r="K642" s="2337" t="s">
        <v>2431</v>
      </c>
      <c r="L642" s="2588"/>
      <c r="M642" s="2588"/>
      <c r="N642" s="2588"/>
      <c r="O642" s="2588"/>
      <c r="P642" s="2588"/>
      <c r="Q642" s="2384"/>
      <c r="R642" s="2384"/>
    </row>
    <row customHeight="true" ht="17.857142857142858" r="643">
      <c r="A643" s="2719" t="s">
        <v>2433</v>
      </c>
      <c r="B643" s="2720">
        <v>46273</v>
      </c>
      <c r="C643" s="2721" t="str">
        <v>Tuesday</v>
      </c>
      <c r="D643" s="2722" t="s">
        <v>2436</v>
      </c>
      <c r="E643" s="2723">
        <f t="shared" si="121"/>
      </c>
      <c r="F643" s="2723" t="s">
        <v>2423</v>
      </c>
      <c r="G643" s="2728" t="s">
        <v>2437</v>
      </c>
      <c r="H643" s="2724" t="s">
        <v>1971</v>
      </c>
      <c r="I643" s="2726" t="s">
        <v>1972</v>
      </c>
      <c r="J643" s="2727"/>
      <c r="K643" s="2337" t="s">
        <v>2431</v>
      </c>
      <c r="L643" s="2588"/>
      <c r="M643" s="2588"/>
      <c r="N643" s="2588"/>
      <c r="O643" s="2588"/>
      <c r="P643" s="2588"/>
      <c r="Q643" s="2384"/>
      <c r="R643" s="2384"/>
    </row>
    <row customHeight="true" ht="17.857142857142858" r="644">
      <c r="A644" s="2719" t="s">
        <v>2438</v>
      </c>
      <c r="B644" s="2720">
        <v>46273</v>
      </c>
      <c r="C644" s="2721" t="str">
        <v>Tuesday</v>
      </c>
      <c r="D644" s="2722" t="s">
        <v>2041</v>
      </c>
      <c r="E644" s="2723">
        <f t="shared" si="121"/>
      </c>
      <c r="F644" s="2723" t="s">
        <v>2423</v>
      </c>
      <c r="G644" s="2728" t="s">
        <v>2439</v>
      </c>
      <c r="H644" s="2724" t="s">
        <v>1971</v>
      </c>
      <c r="I644" s="2726" t="s">
        <v>1972</v>
      </c>
      <c r="J644" s="2727"/>
      <c r="K644" s="2337"/>
      <c r="L644" s="2588"/>
      <c r="M644" s="2588"/>
      <c r="N644" s="2588"/>
      <c r="O644" s="2588"/>
      <c r="P644" s="2588"/>
      <c r="Q644" s="2384"/>
      <c r="R644" s="2384"/>
    </row>
    <row customHeight="true" ht="17.857142857142858" r="645">
      <c r="A645" s="2719" t="s">
        <v>2433</v>
      </c>
      <c r="B645" s="2720">
        <v>46273</v>
      </c>
      <c r="C645" s="2721" t="str">
        <v>Tuesday</v>
      </c>
      <c r="D645" s="2722" t="s">
        <v>2440</v>
      </c>
      <c r="E645" s="2723">
        <f t="shared" si="121"/>
      </c>
      <c r="F645" s="2723" t="s">
        <v>2413</v>
      </c>
      <c r="G645" s="2728" t="s">
        <v>2441</v>
      </c>
      <c r="H645" s="2724" t="s">
        <v>1971</v>
      </c>
      <c r="I645" s="2726" t="s">
        <v>1972</v>
      </c>
      <c r="J645" s="2727"/>
      <c r="K645" s="2337"/>
      <c r="L645" s="2588"/>
      <c r="M645" s="2588"/>
      <c r="N645" s="2588"/>
      <c r="O645" s="2588"/>
      <c r="P645" s="2588"/>
      <c r="Q645" s="2384"/>
      <c r="R645" s="2384"/>
    </row>
    <row customHeight="true" ht="17.857142857142858" r="646">
      <c r="A646" s="2729" t="s">
        <v>2428</v>
      </c>
      <c r="B646" s="2255">
        <v>46274</v>
      </c>
      <c r="C646" s="2283" t="str">
        <v>Wednesday</v>
      </c>
      <c r="D646" s="2403" t="s">
        <v>2349</v>
      </c>
      <c r="E646" s="2349">
        <f t="shared" si="121"/>
      </c>
      <c r="F646" s="2349" t="s">
        <v>2337</v>
      </c>
      <c r="G646" s="2292"/>
      <c r="H646" s="2349" t="s">
        <v>1971</v>
      </c>
      <c r="I646" s="2346" t="s">
        <v>1972</v>
      </c>
      <c r="J646" s="2637"/>
      <c r="K646" s="2337" t="s">
        <v>2431</v>
      </c>
      <c r="L646" s="2588"/>
      <c r="M646" s="2588"/>
      <c r="N646" s="2588"/>
      <c r="O646" s="2588"/>
      <c r="P646" s="2588"/>
      <c r="Q646" s="2319"/>
      <c r="R646" s="2319"/>
    </row>
    <row customHeight="true" ht="17.857142857142858" r="647">
      <c r="A647" s="2729" t="s">
        <v>2428</v>
      </c>
      <c r="B647" s="2255">
        <v>46274</v>
      </c>
      <c r="C647" s="2283" t="str">
        <v>Wednesday</v>
      </c>
      <c r="D647" s="2403" t="s">
        <v>2125</v>
      </c>
      <c r="E647" s="2349">
        <f t="shared" si="121"/>
      </c>
      <c r="F647" s="2463" t="s">
        <v>2377</v>
      </c>
      <c r="G647" s="2292"/>
      <c r="H647" s="2349" t="s">
        <v>1971</v>
      </c>
      <c r="I647" s="2349" t="s">
        <v>1972</v>
      </c>
      <c r="J647" s="2637"/>
      <c r="K647" s="2337" t="s">
        <v>2431</v>
      </c>
      <c r="L647" s="2588"/>
      <c r="M647" s="2588"/>
      <c r="N647" s="2588"/>
      <c r="O647" s="2588"/>
      <c r="P647" s="2588"/>
      <c r="Q647" s="2319"/>
      <c r="R647" s="2319"/>
    </row>
    <row customHeight="true" ht="17.857142857142858" r="648">
      <c r="A648" s="2719" t="s">
        <v>2433</v>
      </c>
      <c r="B648" s="2720">
        <v>46274</v>
      </c>
      <c r="C648" s="2721" t="str">
        <v>Wednesday</v>
      </c>
      <c r="D648" s="2722" t="s">
        <v>2434</v>
      </c>
      <c r="E648" s="2723">
        <f t="shared" si="121"/>
      </c>
      <c r="F648" s="2724" t="s">
        <v>2435</v>
      </c>
      <c r="G648" s="2725" t="s">
        <v>2425</v>
      </c>
      <c r="H648" s="2724" t="s">
        <v>1971</v>
      </c>
      <c r="I648" s="2730" t="s">
        <v>1972</v>
      </c>
      <c r="J648" s="2731"/>
      <c r="K648" s="2337" t="s">
        <v>2431</v>
      </c>
      <c r="L648" s="2588"/>
      <c r="M648" s="2588"/>
      <c r="N648" s="2588"/>
      <c r="O648" s="2588"/>
      <c r="P648" s="2588"/>
      <c r="Q648" s="2319"/>
      <c r="R648" s="2319"/>
    </row>
    <row customHeight="true" ht="17.857142857142858" r="649">
      <c r="A649" s="2719" t="s">
        <v>2433</v>
      </c>
      <c r="B649" s="2720">
        <v>46274</v>
      </c>
      <c r="C649" s="2721" t="str">
        <v>Wednesday</v>
      </c>
      <c r="D649" s="2722" t="s">
        <v>2442</v>
      </c>
      <c r="E649" s="2723">
        <f t="shared" si="121"/>
      </c>
      <c r="F649" s="2723" t="s">
        <v>2423</v>
      </c>
      <c r="G649" s="2728" t="s">
        <v>2437</v>
      </c>
      <c r="H649" s="2724" t="s">
        <v>1971</v>
      </c>
      <c r="I649" s="2730" t="s">
        <v>1972</v>
      </c>
      <c r="J649" s="2731"/>
      <c r="K649" s="2337" t="s">
        <v>2431</v>
      </c>
      <c r="L649" s="2588"/>
      <c r="M649" s="2588"/>
      <c r="N649" s="2588"/>
      <c r="O649" s="2588"/>
      <c r="P649" s="2588"/>
      <c r="Q649" s="2319"/>
      <c r="R649" s="2319"/>
    </row>
    <row customHeight="true" ht="17.857142857142858" r="650">
      <c r="A650" s="2718" t="s">
        <v>2428</v>
      </c>
      <c r="B650" s="2255">
        <v>46275</v>
      </c>
      <c r="C650" s="2283" t="str">
        <v>Thursday</v>
      </c>
      <c r="D650" s="2256" t="s">
        <v>2020</v>
      </c>
      <c r="E650" s="2288">
        <f t="shared" si="121"/>
      </c>
      <c r="F650" s="2263" t="s">
        <v>2337</v>
      </c>
      <c r="G650" s="2636"/>
      <c r="H650" s="2260" t="s">
        <v>1971</v>
      </c>
      <c r="I650" s="2346" t="s">
        <v>1972</v>
      </c>
      <c r="J650" s="2637"/>
      <c r="K650" s="2337" t="s">
        <v>2431</v>
      </c>
      <c r="L650" s="2588"/>
      <c r="M650" s="2588"/>
      <c r="N650" s="2588"/>
      <c r="O650" s="2588"/>
      <c r="P650" s="2588"/>
      <c r="Q650" s="2319"/>
      <c r="R650" s="2319"/>
    </row>
    <row customHeight="true" ht="17.857142857142858" r="651">
      <c r="A651" s="2718" t="s">
        <v>2428</v>
      </c>
      <c r="B651" s="2255">
        <v>46275</v>
      </c>
      <c r="C651" s="2283" t="str">
        <v>Thursday</v>
      </c>
      <c r="D651" s="2256" t="s">
        <v>2280</v>
      </c>
      <c r="E651" s="2288">
        <f t="shared" si="121"/>
      </c>
      <c r="F651" s="2349" t="s">
        <v>2415</v>
      </c>
      <c r="G651" s="2636"/>
      <c r="H651" s="2260" t="s">
        <v>1971</v>
      </c>
      <c r="I651" s="2260" t="s">
        <v>1972</v>
      </c>
      <c r="J651" s="2637"/>
      <c r="K651" s="2337" t="s">
        <v>2431</v>
      </c>
      <c r="L651" s="2588"/>
      <c r="M651" s="2588"/>
      <c r="N651" s="2588"/>
      <c r="O651" s="2588"/>
      <c r="P651" s="2588"/>
      <c r="Q651" s="2319"/>
      <c r="R651" s="2319"/>
    </row>
    <row customHeight="true" ht="17.857142857142858" r="652">
      <c r="A652" s="2719" t="s">
        <v>2433</v>
      </c>
      <c r="B652" s="2720">
        <v>46275</v>
      </c>
      <c r="C652" s="2721" t="str">
        <v>Thursday</v>
      </c>
      <c r="D652" s="2722" t="s">
        <v>2283</v>
      </c>
      <c r="E652" s="2723">
        <f t="shared" si="121"/>
      </c>
      <c r="F652" s="2723" t="s">
        <v>2423</v>
      </c>
      <c r="G652" s="2725" t="s">
        <v>2443</v>
      </c>
      <c r="H652" s="2724" t="s">
        <v>1971</v>
      </c>
      <c r="I652" s="2726" t="s">
        <v>1972</v>
      </c>
      <c r="J652" s="2727"/>
      <c r="K652" s="2337" t="s">
        <v>2431</v>
      </c>
      <c r="L652" s="2588"/>
      <c r="M652" s="2588"/>
      <c r="N652" s="2588"/>
      <c r="O652" s="2588"/>
      <c r="P652" s="2588"/>
      <c r="Q652" s="2384"/>
      <c r="R652" s="2384"/>
    </row>
    <row customHeight="true" ht="17.857142857142858" r="653">
      <c r="A653" s="2719" t="s">
        <v>2433</v>
      </c>
      <c r="B653" s="2720">
        <v>46275</v>
      </c>
      <c r="C653" s="2721" t="str">
        <v>Thursday</v>
      </c>
      <c r="D653" s="2722" t="s">
        <v>2444</v>
      </c>
      <c r="E653" s="2723">
        <f t="shared" si="121"/>
      </c>
      <c r="F653" s="2723" t="s">
        <v>2413</v>
      </c>
      <c r="G653" s="2725"/>
      <c r="H653" s="2724" t="s">
        <v>1971</v>
      </c>
      <c r="I653" s="2726" t="s">
        <v>1972</v>
      </c>
      <c r="J653" s="2727"/>
      <c r="K653" s="2337" t="s">
        <v>2431</v>
      </c>
      <c r="L653" s="2588"/>
      <c r="M653" s="2588"/>
      <c r="N653" s="2588"/>
      <c r="O653" s="2588"/>
      <c r="P653" s="2588"/>
      <c r="Q653" s="2384"/>
      <c r="R653" s="2384"/>
    </row>
    <row customHeight="true" ht="17.857142857142858" r="654">
      <c r="A654" s="2719" t="s">
        <v>2433</v>
      </c>
      <c r="B654" s="2720">
        <v>46275</v>
      </c>
      <c r="C654" s="2721" t="str">
        <v>Thursday</v>
      </c>
      <c r="D654" s="2722" t="s">
        <v>2445</v>
      </c>
      <c r="E654" s="2723">
        <f t="shared" si="121"/>
      </c>
      <c r="F654" s="2723" t="s">
        <v>2423</v>
      </c>
      <c r="G654" s="2725"/>
      <c r="H654" s="2724" t="s">
        <v>1971</v>
      </c>
      <c r="I654" s="2726" t="s">
        <v>1972</v>
      </c>
      <c r="J654" s="2727"/>
      <c r="K654" s="2337" t="s">
        <v>2431</v>
      </c>
      <c r="L654" s="2588"/>
      <c r="M654" s="2588"/>
      <c r="N654" s="2588"/>
      <c r="O654" s="2588"/>
      <c r="P654" s="2588"/>
      <c r="Q654" s="2384"/>
      <c r="R654" s="2384"/>
    </row>
    <row customHeight="true" ht="17.857142857142858" r="655">
      <c r="A655" s="2719" t="s">
        <v>2433</v>
      </c>
      <c r="B655" s="2720">
        <v>46275</v>
      </c>
      <c r="C655" s="2721" t="str">
        <v>Thursday</v>
      </c>
      <c r="D655" s="2722" t="s">
        <v>2446</v>
      </c>
      <c r="E655" s="2723">
        <f t="shared" si="121"/>
      </c>
      <c r="F655" s="2723" t="s">
        <v>2413</v>
      </c>
      <c r="G655" s="2728" t="s">
        <v>2437</v>
      </c>
      <c r="H655" s="2724" t="s">
        <v>1971</v>
      </c>
      <c r="I655" s="2726" t="s">
        <v>1972</v>
      </c>
      <c r="J655" s="2727"/>
      <c r="K655" s="2337" t="s">
        <v>2431</v>
      </c>
      <c r="L655" s="2588"/>
      <c r="M655" s="2588"/>
      <c r="N655" s="2588"/>
      <c r="O655" s="2588"/>
      <c r="P655" s="2588"/>
      <c r="Q655" s="2384"/>
      <c r="R655" s="2384"/>
    </row>
    <row customHeight="true" ht="17.857142857142858" r="656">
      <c r="A656" s="2718" t="s">
        <v>2428</v>
      </c>
      <c r="B656" s="2255">
        <v>46276</v>
      </c>
      <c r="C656" s="2283" t="str">
        <v>Friday</v>
      </c>
      <c r="D656" s="2403" t="s">
        <v>2127</v>
      </c>
      <c r="E656" s="2288">
        <f t="shared" si="121"/>
      </c>
      <c r="F656" s="2463" t="s">
        <v>2415</v>
      </c>
      <c r="G656" s="2636"/>
      <c r="H656" s="2260" t="s">
        <v>1971</v>
      </c>
      <c r="I656" s="2260" t="s">
        <v>1972</v>
      </c>
      <c r="J656" s="2637"/>
      <c r="K656" s="2337" t="s">
        <v>2431</v>
      </c>
      <c r="L656" s="2588"/>
      <c r="M656" s="2588"/>
      <c r="N656" s="2588"/>
      <c r="O656" s="2588"/>
      <c r="P656" s="2588"/>
      <c r="Q656" s="2319"/>
      <c r="R656" s="2319"/>
    </row>
    <row customHeight="true" ht="17.857142857142858" r="657">
      <c r="A657" s="2718" t="s">
        <v>2428</v>
      </c>
      <c r="B657" s="2402">
        <v>46276</v>
      </c>
      <c r="C657" s="2432" t="str">
        <v>Friday</v>
      </c>
      <c r="D657" s="2403" t="s">
        <v>2035</v>
      </c>
      <c r="E657" s="2349">
        <f t="shared" si="121"/>
      </c>
      <c r="F657" s="2463" t="s">
        <v>2447</v>
      </c>
      <c r="G657" s="2636"/>
      <c r="H657" s="2349" t="s">
        <v>1971</v>
      </c>
      <c r="I657" s="2349" t="s">
        <v>1972</v>
      </c>
      <c r="J657" s="2637"/>
      <c r="K657" s="2337" t="s">
        <v>2431</v>
      </c>
      <c r="L657" s="2588"/>
      <c r="M657" s="2588"/>
      <c r="N657" s="2588"/>
      <c r="O657" s="2588"/>
      <c r="P657" s="2588"/>
      <c r="Q657" s="2319"/>
      <c r="R657" s="2319"/>
    </row>
    <row r="658">
      <c r="A658" s="2719" t="s">
        <v>2433</v>
      </c>
      <c r="B658" s="2720">
        <v>46276</v>
      </c>
      <c r="C658" s="2721" t="str">
        <v>Friday</v>
      </c>
      <c r="D658" s="2722" t="s">
        <v>2448</v>
      </c>
      <c r="E658" s="2723">
        <f t="shared" si="121"/>
      </c>
      <c r="F658" s="2723" t="s">
        <v>2423</v>
      </c>
      <c r="G658" s="2725" t="s">
        <v>2425</v>
      </c>
      <c r="H658" s="2723" t="s">
        <v>1971</v>
      </c>
      <c r="I658" s="2726" t="s">
        <v>1972</v>
      </c>
      <c r="J658" s="2727"/>
      <c r="K658" s="2337" t="s">
        <v>2431</v>
      </c>
      <c r="L658" s="2588"/>
      <c r="M658" s="2588"/>
      <c r="N658" s="2588"/>
      <c r="O658" s="2588"/>
      <c r="P658" s="2588"/>
      <c r="Q658" s="2384"/>
      <c r="R658" s="2384"/>
    </row>
    <row customHeight="true" ht="18.452380952380953" r="659">
      <c r="A659" s="2719" t="s">
        <v>2433</v>
      </c>
      <c r="B659" s="2720">
        <v>46276</v>
      </c>
      <c r="C659" s="2721" t="str">
        <v>Friday</v>
      </c>
      <c r="D659" s="2722" t="s">
        <v>2449</v>
      </c>
      <c r="E659" s="2723">
        <f t="shared" si="121"/>
      </c>
      <c r="F659" s="2723" t="s">
        <v>2413</v>
      </c>
      <c r="G659" s="2728" t="s">
        <v>2450</v>
      </c>
      <c r="H659" s="2723" t="s">
        <v>1971</v>
      </c>
      <c r="I659" s="2726" t="s">
        <v>1972</v>
      </c>
      <c r="J659" s="2727"/>
      <c r="K659" s="2337" t="s">
        <v>2431</v>
      </c>
      <c r="L659" s="2588"/>
      <c r="M659" s="2588"/>
      <c r="N659" s="2588"/>
      <c r="O659" s="2588"/>
      <c r="P659" s="2588"/>
      <c r="Q659" s="2384"/>
      <c r="R659" s="2384"/>
    </row>
    <row r="660">
      <c r="A660" s="2719" t="s">
        <v>2433</v>
      </c>
      <c r="B660" s="2720">
        <v>46276</v>
      </c>
      <c r="C660" s="2721" t="str">
        <v>Friday</v>
      </c>
      <c r="D660" s="2722" t="s">
        <v>2451</v>
      </c>
      <c r="E660" s="2723">
        <f t="shared" si="121"/>
      </c>
      <c r="F660" s="2723" t="s">
        <v>2423</v>
      </c>
      <c r="G660" s="2728" t="s">
        <v>2437</v>
      </c>
      <c r="H660" s="2724" t="s">
        <v>1971</v>
      </c>
      <c r="I660" s="2726" t="s">
        <v>1972</v>
      </c>
      <c r="J660" s="2727"/>
      <c r="K660" s="2337" t="s">
        <v>2431</v>
      </c>
      <c r="L660" s="2588"/>
      <c r="M660" s="2588"/>
      <c r="N660" s="2588"/>
      <c r="O660" s="2588"/>
      <c r="P660" s="2588"/>
      <c r="Q660" s="2384"/>
      <c r="R660" s="2384"/>
    </row>
    <row customHeight="true" ht="17.857142857142858" r="661">
      <c r="A661" s="2718" t="s">
        <v>2428</v>
      </c>
      <c r="B661" s="2402">
        <v>46277</v>
      </c>
      <c r="C661" s="2432" t="str">
        <v>Saturday</v>
      </c>
      <c r="D661" s="2403" t="s">
        <v>2319</v>
      </c>
      <c r="E661" s="2349">
        <f t="shared" si="121"/>
      </c>
      <c r="F661" s="2349" t="s">
        <v>2415</v>
      </c>
      <c r="G661" s="2526"/>
      <c r="H661" s="2349" t="s">
        <v>1971</v>
      </c>
      <c r="I661" s="2271" t="s">
        <v>1972</v>
      </c>
      <c r="J661" s="2637"/>
      <c r="K661" s="2337" t="s">
        <v>2431</v>
      </c>
      <c r="L661" s="2588"/>
      <c r="M661" s="2588"/>
      <c r="N661" s="2588"/>
      <c r="O661" s="2588"/>
      <c r="P661" s="2588"/>
      <c r="Q661" s="2319"/>
      <c r="R661" s="2319"/>
    </row>
    <row customHeight="true" ht="17.857142857142858" r="662">
      <c r="A662" s="2718" t="s">
        <v>2428</v>
      </c>
      <c r="B662" s="2255">
        <v>46277</v>
      </c>
      <c r="C662" s="2283" t="str">
        <v>Saturday</v>
      </c>
      <c r="D662" s="2289" t="s">
        <v>2452</v>
      </c>
      <c r="E662" s="2260">
        <f t="shared" si="121"/>
      </c>
      <c r="F662" s="2263" t="s">
        <v>2337</v>
      </c>
      <c r="G662" s="2292"/>
      <c r="H662" s="2260" t="s">
        <v>1971</v>
      </c>
      <c r="I662" s="2346" t="s">
        <v>1972</v>
      </c>
      <c r="J662" s="2637"/>
      <c r="K662" s="2337" t="s">
        <v>2431</v>
      </c>
      <c r="L662" s="2588"/>
      <c r="M662" s="2588"/>
      <c r="N662" s="2588"/>
      <c r="O662" s="2588"/>
      <c r="P662" s="2588"/>
      <c r="Q662" s="2319"/>
      <c r="R662" s="2319"/>
    </row>
    <row r="663">
      <c r="A663" s="2719" t="s">
        <v>2433</v>
      </c>
      <c r="B663" s="2720">
        <v>46277</v>
      </c>
      <c r="C663" s="2721" t="str">
        <v>Saturday</v>
      </c>
      <c r="D663" s="2732" t="s">
        <v>2453</v>
      </c>
      <c r="E663" s="2723">
        <f t="shared" si="121"/>
      </c>
      <c r="F663" s="2723" t="s">
        <v>2423</v>
      </c>
      <c r="G663" s="2725" t="s">
        <v>2425</v>
      </c>
      <c r="H663" s="2724" t="s">
        <v>1971</v>
      </c>
      <c r="I663" s="2726" t="s">
        <v>1972</v>
      </c>
      <c r="J663" s="2727"/>
      <c r="K663" s="2337" t="s">
        <v>2431</v>
      </c>
      <c r="L663" s="2588"/>
      <c r="M663" s="2588"/>
      <c r="N663" s="2588"/>
      <c r="O663" s="2588"/>
      <c r="P663" s="2588"/>
      <c r="Q663" s="2384"/>
      <c r="R663" s="2384"/>
    </row>
    <row customHeight="true" ht="18.452380952380953" r="664">
      <c r="A664" s="2719" t="s">
        <v>2433</v>
      </c>
      <c r="B664" s="2720">
        <v>46277</v>
      </c>
      <c r="C664" s="2721" t="str">
        <v>Saturday</v>
      </c>
      <c r="D664" s="2732" t="s">
        <v>2454</v>
      </c>
      <c r="E664" s="2723">
        <f t="shared" si="121"/>
      </c>
      <c r="F664" s="2724" t="s">
        <v>1985</v>
      </c>
      <c r="G664" s="2733" t="s">
        <v>2455</v>
      </c>
      <c r="H664" s="2724" t="s">
        <v>1971</v>
      </c>
      <c r="I664" s="2726" t="s">
        <v>1972</v>
      </c>
      <c r="J664" s="2727"/>
      <c r="K664" s="2337" t="s">
        <v>2431</v>
      </c>
      <c r="L664" s="2588"/>
      <c r="M664" s="2588"/>
      <c r="N664" s="2588"/>
      <c r="O664" s="2588"/>
      <c r="P664" s="2588"/>
      <c r="Q664" s="2384"/>
      <c r="R664" s="2384"/>
    </row>
    <row customHeight="true" ht="17.857142857142858" r="665">
      <c r="A665" s="2734" t="s">
        <v>2428</v>
      </c>
      <c r="B665" s="2304">
        <v>46278</v>
      </c>
      <c r="C665" s="2303" t="str">
        <v>Sunday</v>
      </c>
      <c r="D665" s="2305" t="s">
        <v>2049</v>
      </c>
      <c r="E665" s="2306">
        <f t="shared" si="121"/>
      </c>
      <c r="F665" s="2735" t="s">
        <v>2447</v>
      </c>
      <c r="G665" s="2307"/>
      <c r="H665" s="2306" t="s">
        <v>1971</v>
      </c>
      <c r="I665" s="2544" t="s">
        <v>1972</v>
      </c>
      <c r="J665" s="2571" t="s">
        <v>2456</v>
      </c>
      <c r="K665" s="2337" t="s">
        <v>2431</v>
      </c>
      <c r="L665" s="2588"/>
      <c r="M665" s="2588"/>
      <c r="N665" s="2588"/>
      <c r="O665" s="2588"/>
      <c r="P665" s="2588"/>
      <c r="Q665" s="2384"/>
      <c r="R665" s="2384"/>
    </row>
    <row customHeight="true" ht="17.857142857142858" r="666">
      <c r="A666" s="2718" t="s">
        <v>2428</v>
      </c>
      <c r="B666" s="2255">
        <v>46278</v>
      </c>
      <c r="C666" s="2283" t="str">
        <v>Sunday</v>
      </c>
      <c r="D666" s="2289" t="s">
        <v>2284</v>
      </c>
      <c r="E666" s="2260">
        <f t="shared" si="121"/>
      </c>
      <c r="F666" s="2349" t="s">
        <v>2415</v>
      </c>
      <c r="G666" s="2302"/>
      <c r="H666" s="2349" t="s">
        <v>1971</v>
      </c>
      <c r="I666" s="2530" t="s">
        <v>1972</v>
      </c>
      <c r="J666" s="2637"/>
      <c r="K666" s="2337" t="s">
        <v>2431</v>
      </c>
      <c r="L666" s="2588"/>
      <c r="M666" s="2588"/>
      <c r="N666" s="2588"/>
      <c r="O666" s="2588"/>
      <c r="P666" s="2588"/>
      <c r="Q666" s="2384"/>
      <c r="R666" s="2384"/>
    </row>
    <row r="667">
      <c r="A667" s="2719" t="s">
        <v>2433</v>
      </c>
      <c r="B667" s="2720">
        <v>46278</v>
      </c>
      <c r="C667" s="2721" t="str">
        <v>Sunday</v>
      </c>
      <c r="D667" s="2732" t="s">
        <v>2457</v>
      </c>
      <c r="E667" s="2723">
        <f t="shared" si="121"/>
      </c>
      <c r="F667" s="2723" t="s">
        <v>2413</v>
      </c>
      <c r="G667" s="2725" t="s">
        <v>2425</v>
      </c>
      <c r="H667" s="2724" t="s">
        <v>1971</v>
      </c>
      <c r="I667" s="2726" t="s">
        <v>1972</v>
      </c>
      <c r="J667" s="2727"/>
      <c r="K667" s="2337" t="s">
        <v>2431</v>
      </c>
      <c r="L667" s="2588"/>
      <c r="M667" s="2588"/>
      <c r="N667" s="2588"/>
      <c r="O667" s="2588"/>
      <c r="P667" s="2588"/>
      <c r="Q667" s="2384"/>
      <c r="R667" s="2384"/>
    </row>
    <row r="668">
      <c r="A668" s="2719" t="s">
        <v>2433</v>
      </c>
      <c r="B668" s="2720">
        <v>46278</v>
      </c>
      <c r="C668" s="2721" t="str">
        <v>Sunday</v>
      </c>
      <c r="D668" s="2732" t="s">
        <v>2458</v>
      </c>
      <c r="E668" s="2723">
        <f t="shared" si="121"/>
      </c>
      <c r="F668" s="2723" t="s">
        <v>2423</v>
      </c>
      <c r="G668" s="2725" t="s">
        <v>2425</v>
      </c>
      <c r="H668" s="2724" t="s">
        <v>1971</v>
      </c>
      <c r="I668" s="2726" t="s">
        <v>1972</v>
      </c>
      <c r="J668" s="2727"/>
      <c r="K668" s="2337" t="s">
        <v>2431</v>
      </c>
      <c r="L668" s="2588"/>
      <c r="M668" s="2588"/>
      <c r="N668" s="2588"/>
      <c r="O668" s="2588"/>
      <c r="P668" s="2588"/>
      <c r="Q668" s="2384"/>
      <c r="R668" s="2384"/>
    </row>
    <row customHeight="true" ht="18.452380952380953" r="669">
      <c r="A669" s="2718"/>
      <c r="B669" s="2402"/>
      <c r="C669" s="2432"/>
      <c r="D669" s="2439"/>
      <c r="E669" s="2349"/>
      <c r="F669" s="2260"/>
      <c r="G669" s="2627"/>
      <c r="H669" s="2260"/>
      <c r="I669" s="2260"/>
      <c r="J669" s="2626"/>
      <c r="K669" s="2262"/>
      <c r="L669" s="2262"/>
      <c r="M669" s="2262"/>
      <c r="N669" s="2262"/>
      <c r="O669" s="2262"/>
      <c r="P669" s="2262"/>
      <c r="Q669" s="2319"/>
      <c r="R669" s="2319"/>
    </row>
    <row r="670">
      <c r="A670" s="2736" t="s">
        <v>2459</v>
      </c>
      <c r="B670" s="2736"/>
      <c r="C670" s="2736"/>
      <c r="D670" s="2736"/>
      <c r="E670" s="2736"/>
      <c r="F670" s="2736"/>
      <c r="G670" s="2736"/>
      <c r="H670" s="2736"/>
      <c r="I670" s="2736"/>
      <c r="J670" s="2737"/>
      <c r="K670" s="2373"/>
      <c r="L670" s="2373"/>
      <c r="M670" s="2373"/>
      <c r="N670" s="2373"/>
      <c r="O670" s="2373"/>
      <c r="P670" s="2373"/>
      <c r="Q670" s="2319"/>
      <c r="R670" s="2319"/>
    </row>
    <row r="671">
      <c r="A671" s="2738" t="s">
        <v>1989</v>
      </c>
      <c r="B671" s="2739" t="s">
        <v>1990</v>
      </c>
      <c r="C671" s="2739"/>
      <c r="D671" s="2740" t="s">
        <v>1991</v>
      </c>
      <c r="E671" s="2740" t="s">
        <v>1992</v>
      </c>
      <c r="F671" s="2740" t="s">
        <v>1993</v>
      </c>
      <c r="G671" s="2741" t="s">
        <v>2460</v>
      </c>
      <c r="H671" s="2740" t="s">
        <v>1995</v>
      </c>
      <c r="I671" s="2740" t="s">
        <v>1996</v>
      </c>
      <c r="J671" s="2742"/>
      <c r="K671" s="2282"/>
      <c r="L671" s="2282"/>
      <c r="M671" s="2282"/>
      <c r="N671" s="2282"/>
      <c r="O671" s="2282"/>
      <c r="P671" s="2282"/>
    </row>
    <row r="672">
      <c r="A672" s="2283"/>
      <c r="B672" s="2283"/>
      <c r="C672" s="2283"/>
      <c r="D672" s="2260"/>
      <c r="E672" s="2260"/>
      <c r="F672" s="2260"/>
      <c r="G672" s="2404"/>
      <c r="H672" s="2260"/>
      <c r="I672" s="2260"/>
      <c r="J672" s="2286"/>
      <c r="K672" s="2262"/>
      <c r="L672" s="2262"/>
      <c r="M672" s="2262"/>
      <c r="N672" s="2262"/>
      <c r="O672" s="2262"/>
      <c r="P672" s="2262"/>
    </row>
    <row r="673">
      <c r="A673" s="2283"/>
      <c r="B673" s="2283"/>
      <c r="C673" s="2283"/>
      <c r="D673" s="2260"/>
      <c r="E673" s="2260"/>
      <c r="F673" s="2260"/>
      <c r="G673" s="2404"/>
      <c r="H673" s="2260"/>
      <c r="I673" s="2260"/>
      <c r="J673" s="2286"/>
      <c r="K673" s="2262"/>
      <c r="L673" s="2262"/>
      <c r="M673" s="2262"/>
      <c r="N673" s="2262"/>
      <c r="O673" s="2262"/>
      <c r="P673" s="2262"/>
    </row>
    <row r="674">
      <c r="A674" s="2283"/>
      <c r="B674" s="2283"/>
      <c r="C674" s="2283"/>
      <c r="D674" s="2260"/>
      <c r="E674" s="2260"/>
      <c r="F674" s="2260"/>
      <c r="G674" s="2404"/>
      <c r="H674" s="2260"/>
      <c r="I674" s="2260"/>
      <c r="J674" s="2286"/>
      <c r="K674" s="2262"/>
      <c r="L674" s="2262"/>
      <c r="M674" s="2262"/>
      <c r="N674" s="2262"/>
      <c r="O674" s="2262"/>
      <c r="P674" s="2262"/>
    </row>
    <row r="675">
      <c r="A675" s="2293"/>
      <c r="B675" s="2293"/>
      <c r="C675" s="2293"/>
      <c r="D675" s="2293"/>
      <c r="E675" s="2293"/>
      <c r="F675" s="2293"/>
      <c r="G675" s="2293"/>
      <c r="H675" s="2293"/>
      <c r="I675" s="2293"/>
      <c r="J675" s="2293"/>
      <c r="K675" s="2384"/>
      <c r="L675" s="2384"/>
      <c r="M675" s="2384"/>
      <c r="N675" s="2384"/>
      <c r="O675" s="2384"/>
      <c r="P675" s="2384"/>
    </row>
    <row r="676">
      <c r="J676" s="2266"/>
      <c r="K676" s="2319"/>
      <c r="L676" s="2319"/>
      <c r="M676" s="2319"/>
      <c r="N676" s="2319"/>
      <c r="O676" s="2319"/>
      <c r="P676" s="2319"/>
    </row>
    <row r="677">
      <c r="A677" s="2293"/>
      <c r="B677" s="2293"/>
      <c r="C677" s="2293"/>
      <c r="D677" s="2293"/>
      <c r="E677" s="2293"/>
      <c r="F677" s="2293"/>
      <c r="G677" s="2293"/>
      <c r="H677" s="2518"/>
      <c r="I677" s="2293"/>
      <c r="J677" s="2293"/>
      <c r="K677" s="2384"/>
      <c r="L677" s="2384"/>
      <c r="M677" s="2384"/>
      <c r="N677" s="2384"/>
      <c r="O677" s="2384"/>
      <c r="P677" s="2384"/>
    </row>
    <row customHeight="true" ht="35.714285714285715" r="678">
      <c r="A678" s="2743" t="s">
        <v>2461</v>
      </c>
      <c r="B678" s="2743"/>
      <c r="C678" s="2743"/>
      <c r="D678" s="2743"/>
      <c r="E678" s="2743"/>
      <c r="F678" s="2743"/>
      <c r="G678" s="2743"/>
      <c r="H678" s="2743"/>
      <c r="I678" s="2743"/>
      <c r="J678" s="2744"/>
      <c r="K678" s="2296"/>
      <c r="L678" s="2296"/>
      <c r="M678" s="2296"/>
      <c r="N678" s="2296"/>
      <c r="O678" s="2296"/>
      <c r="P678" s="2296"/>
    </row>
    <row r="679">
      <c r="A679" s="2745" t="s">
        <v>1989</v>
      </c>
      <c r="B679" s="2746" t="s">
        <v>1990</v>
      </c>
      <c r="C679" s="2746"/>
      <c r="D679" s="2747" t="s">
        <v>1991</v>
      </c>
      <c r="E679" s="2748" t="s">
        <v>1992</v>
      </c>
      <c r="F679" s="2748" t="s">
        <v>1993</v>
      </c>
      <c r="G679" s="2749" t="s">
        <v>2012</v>
      </c>
      <c r="H679" s="2748" t="s">
        <v>1995</v>
      </c>
      <c r="I679" s="2750" t="s">
        <v>1996</v>
      </c>
      <c r="J679" s="2751" t="s">
        <v>1997</v>
      </c>
      <c r="K679" s="2282"/>
      <c r="L679" s="2282"/>
      <c r="M679" s="2282"/>
      <c r="N679" s="2282"/>
      <c r="O679" s="2282"/>
      <c r="P679" s="2282"/>
    </row>
    <row customHeight="true" ht="18.452380952380953" r="680">
      <c r="A680" s="2432" t="s">
        <v>2461</v>
      </c>
      <c r="B680" s="2402">
        <v>46275</v>
      </c>
      <c r="C680" s="2432" t="str">
        <v>Thursday</v>
      </c>
      <c r="D680" s="2403" t="s">
        <v>2462</v>
      </c>
      <c r="E680" s="2349">
        <f t="shared" ref="E680:E683" si="122">24*MOD(TIMEVALUE(TRIM(MID(D680,FIND("-",D680)+1,LEN(D680)))) - TIMEVALUE(TRIM(LEFT(D680,FIND("-",D680)-1))),1)</f>
      </c>
      <c r="F680" s="2349" t="s">
        <v>2072</v>
      </c>
      <c r="G680" s="2434"/>
      <c r="H680" s="2349" t="s">
        <v>2009</v>
      </c>
      <c r="I680" s="2271" t="s">
        <v>1972</v>
      </c>
      <c r="J680" s="2752"/>
      <c r="K680" s="2262"/>
      <c r="L680" s="2262"/>
      <c r="M680" s="2262"/>
      <c r="N680" s="2262"/>
      <c r="O680" s="2262"/>
      <c r="P680" s="2262"/>
      <c r="Q680" s="2319"/>
      <c r="R680" s="2319"/>
    </row>
    <row customHeight="true" ht="18.452380952380953" r="681">
      <c r="A681" s="2432" t="s">
        <v>2461</v>
      </c>
      <c r="B681" s="2402">
        <v>46276</v>
      </c>
      <c r="C681" s="2432" t="str">
        <v>Friday</v>
      </c>
      <c r="D681" s="2403" t="s">
        <v>2462</v>
      </c>
      <c r="E681" s="2349">
        <f t="shared" si="122"/>
      </c>
      <c r="F681" s="2349" t="s">
        <v>2072</v>
      </c>
      <c r="G681" s="2434"/>
      <c r="H681" s="2349" t="s">
        <v>2009</v>
      </c>
      <c r="I681" s="2271" t="s">
        <v>1972</v>
      </c>
      <c r="J681" s="2752"/>
      <c r="K681" s="2262"/>
      <c r="L681" s="2262"/>
      <c r="M681" s="2262"/>
      <c r="N681" s="2262"/>
      <c r="O681" s="2262"/>
      <c r="P681" s="2262"/>
    </row>
    <row customHeight="true" ht="18.452380952380953" r="682">
      <c r="A682" s="2432" t="s">
        <v>2461</v>
      </c>
      <c r="B682" s="2402">
        <v>46277</v>
      </c>
      <c r="C682" s="2432" t="str">
        <v>Saturday</v>
      </c>
      <c r="D682" s="2403" t="s">
        <v>2238</v>
      </c>
      <c r="E682" s="2349">
        <f t="shared" si="122"/>
      </c>
      <c r="F682" s="2346" t="s">
        <v>2064</v>
      </c>
      <c r="G682" s="2434"/>
      <c r="H682" s="2349" t="s">
        <v>2009</v>
      </c>
      <c r="I682" s="2271" t="s">
        <v>1972</v>
      </c>
      <c r="J682" s="2271"/>
      <c r="K682" s="2262"/>
      <c r="L682" s="2262"/>
      <c r="M682" s="2262"/>
      <c r="N682" s="2262"/>
      <c r="O682" s="2262"/>
      <c r="P682" s="2262"/>
    </row>
    <row r="683">
      <c r="A683" s="2432" t="s">
        <v>2461</v>
      </c>
      <c r="B683" s="2402">
        <v>46278</v>
      </c>
      <c r="C683" s="2432" t="str">
        <v>Sunday</v>
      </c>
      <c r="D683" s="2403" t="s">
        <v>2462</v>
      </c>
      <c r="E683" s="2349">
        <f t="shared" si="122"/>
      </c>
      <c r="F683" s="2349" t="s">
        <v>2463</v>
      </c>
      <c r="G683" s="2434"/>
      <c r="H683" s="2349" t="s">
        <v>2009</v>
      </c>
      <c r="I683" s="2527" t="s">
        <v>1972</v>
      </c>
      <c r="J683" s="2271"/>
      <c r="K683" s="2262"/>
      <c r="L683" s="2262"/>
      <c r="M683" s="2262"/>
      <c r="N683" s="2262"/>
      <c r="O683" s="2262"/>
      <c r="P683" s="2262"/>
    </row>
    <row r="684">
      <c r="A684" s="2283"/>
      <c r="B684" s="2283"/>
      <c r="C684" s="2283"/>
      <c r="D684" s="2260"/>
      <c r="E684" s="2260"/>
      <c r="F684" s="2260"/>
      <c r="G684" s="2404"/>
      <c r="H684" s="2288"/>
      <c r="I684" s="2288"/>
      <c r="J684" s="2405"/>
      <c r="K684" s="2262"/>
      <c r="L684" s="2262"/>
      <c r="M684" s="2262"/>
      <c r="N684" s="2262"/>
      <c r="O684" s="2262"/>
      <c r="P684" s="2262"/>
    </row>
    <row customHeight="true" ht="18.452380952380953" r="685">
      <c r="A685" s="2597" t="s">
        <v>2464</v>
      </c>
      <c r="B685" s="2602">
        <v>46275</v>
      </c>
      <c r="C685" s="2597" t="str">
        <v>Thursday</v>
      </c>
      <c r="D685" s="2591" t="s">
        <v>2465</v>
      </c>
      <c r="E685" s="2603">
        <f t="shared" ref="E685:E688" si="123">24*MOD(TIMEVALUE(TRIM(MID(D685,FIND("-",D685)+1,LEN(D685)))) - TIMEVALUE(TRIM(LEFT(D685,FIND("-",D685)-1))),1)</f>
      </c>
      <c r="F685" s="2596" t="s">
        <v>2466</v>
      </c>
      <c r="G685" s="2753"/>
      <c r="H685" s="2596" t="s">
        <v>2009</v>
      </c>
      <c r="I685" s="2596" t="s">
        <v>1972</v>
      </c>
      <c r="J685" s="2605"/>
      <c r="K685" s="2600"/>
      <c r="L685" s="2600"/>
      <c r="M685" s="2600"/>
      <c r="N685" s="2600"/>
      <c r="O685" s="2600"/>
      <c r="P685" s="2600"/>
      <c r="Q685" s="2601"/>
      <c r="R685" s="2601"/>
    </row>
    <row r="686">
      <c r="A686" s="2589" t="s">
        <v>2464</v>
      </c>
      <c r="B686" s="2602">
        <v>46276</v>
      </c>
      <c r="C686" s="2597" t="str">
        <v>Friday</v>
      </c>
      <c r="D686" s="2591" t="s">
        <v>2465</v>
      </c>
      <c r="E686" s="2609">
        <f t="shared" si="123"/>
      </c>
      <c r="F686" s="2596" t="s">
        <v>2466</v>
      </c>
      <c r="G686" s="2754"/>
      <c r="H686" s="2609" t="s">
        <v>2009</v>
      </c>
      <c r="I686" s="2596" t="s">
        <v>1972</v>
      </c>
      <c r="J686" s="2594"/>
      <c r="K686" s="2588"/>
      <c r="L686" s="2588"/>
      <c r="M686" s="2588"/>
      <c r="N686" s="2588"/>
      <c r="O686" s="2588"/>
      <c r="P686" s="2588"/>
    </row>
    <row customHeight="true" ht="18.452380952380953" r="687">
      <c r="A687" s="2589" t="s">
        <v>2464</v>
      </c>
      <c r="B687" s="2602">
        <v>46277</v>
      </c>
      <c r="C687" s="2597" t="str">
        <v>Saturday</v>
      </c>
      <c r="D687" s="2612" t="s">
        <v>2302</v>
      </c>
      <c r="E687" s="2609">
        <f t="shared" si="123"/>
      </c>
      <c r="F687" s="2699" t="s">
        <v>2343</v>
      </c>
      <c r="G687" s="2754"/>
      <c r="H687" s="2609" t="s">
        <v>2009</v>
      </c>
      <c r="I687" s="2755" t="s">
        <v>1972</v>
      </c>
      <c r="J687" s="2594"/>
      <c r="K687" s="2588"/>
      <c r="L687" s="2588"/>
      <c r="M687" s="2588"/>
      <c r="N687" s="2588"/>
      <c r="O687" s="2588"/>
      <c r="P687" s="2588"/>
    </row>
    <row r="688">
      <c r="A688" s="2589" t="s">
        <v>2464</v>
      </c>
      <c r="B688" s="2602">
        <v>46278</v>
      </c>
      <c r="C688" s="2597" t="str">
        <v>Sunday</v>
      </c>
      <c r="D688" s="2591" t="s">
        <v>2467</v>
      </c>
      <c r="E688" s="2592">
        <f t="shared" si="123"/>
      </c>
      <c r="F688" s="2596" t="s">
        <v>2356</v>
      </c>
      <c r="G688" s="2611"/>
      <c r="H688" s="2592" t="s">
        <v>2009</v>
      </c>
      <c r="I688" s="2596" t="s">
        <v>1972</v>
      </c>
      <c r="J688" s="2613"/>
      <c r="K688" s="2262"/>
      <c r="L688" s="2262"/>
      <c r="M688" s="2262"/>
      <c r="N688" s="2262"/>
      <c r="O688" s="2262"/>
      <c r="P688" s="2262"/>
    </row>
    <row customHeight="true" ht="18.452380952380953" r="689">
      <c r="A689" s="2283"/>
      <c r="B689" s="2283"/>
      <c r="C689" s="2283"/>
      <c r="D689" s="2288"/>
      <c r="E689" s="2288"/>
      <c r="F689" s="2288"/>
      <c r="G689" s="2292"/>
      <c r="H689" s="2288"/>
      <c r="I689" s="2288"/>
      <c r="J689" s="2261"/>
      <c r="K689" s="2262"/>
      <c r="L689" s="2262"/>
      <c r="M689" s="2262"/>
      <c r="N689" s="2262"/>
      <c r="O689" s="2262"/>
      <c r="P689" s="2262"/>
    </row>
    <row r="690">
      <c r="A690" s="2283" t="s">
        <v>2468</v>
      </c>
      <c r="B690" s="2402">
        <v>46274</v>
      </c>
      <c r="C690" s="2432" t="str">
        <v>Wednesday</v>
      </c>
      <c r="D690" s="2403" t="s">
        <v>2316</v>
      </c>
      <c r="E690" s="2346">
        <f t="shared" ref="E690:E695" si="124">24*MOD(TIMEVALUE(TRIM(MID(D690,FIND("-",D690)+1,LEN(D690)))) - TIMEVALUE(TRIM(LEFT(D690,FIND("-",D690)-1))),1)</f>
      </c>
      <c r="F690" s="2288" t="s">
        <v>2469</v>
      </c>
      <c r="G690" s="2292"/>
      <c r="H690" s="2756"/>
      <c r="I690" s="2288"/>
      <c r="J690" s="2261"/>
      <c r="K690" s="2262"/>
      <c r="L690" s="2262"/>
      <c r="M690" s="2262"/>
      <c r="N690" s="2262"/>
      <c r="O690" s="2262"/>
      <c r="P690" s="2262"/>
    </row>
    <row customHeight="true" ht="18.452380952380953" r="691">
      <c r="A691" s="2283" t="s">
        <v>2468</v>
      </c>
      <c r="B691" s="2402">
        <v>46273</v>
      </c>
      <c r="C691" s="2432" t="str">
        <v>Tuesday</v>
      </c>
      <c r="D691" s="2403" t="s">
        <v>2248</v>
      </c>
      <c r="E691" s="2346">
        <f t="shared" si="124"/>
      </c>
      <c r="F691" s="2288" t="s">
        <v>2110</v>
      </c>
      <c r="G691" s="2292"/>
      <c r="H691" s="2346" t="s">
        <v>2009</v>
      </c>
      <c r="I691" s="2346" t="s">
        <v>1972</v>
      </c>
      <c r="J691" s="2261"/>
      <c r="K691" s="2262"/>
      <c r="L691" s="2262"/>
      <c r="M691" s="2262"/>
      <c r="N691" s="2262"/>
      <c r="O691" s="2262"/>
      <c r="P691" s="2262"/>
    </row>
    <row customHeight="true" ht="18.452380952380953" r="692">
      <c r="A692" s="2283" t="s">
        <v>2468</v>
      </c>
      <c r="B692" s="2402">
        <v>46275</v>
      </c>
      <c r="C692" s="2432" t="str">
        <v>Thursday</v>
      </c>
      <c r="D692" s="2403" t="s">
        <v>2470</v>
      </c>
      <c r="E692" s="2346">
        <f t="shared" si="124"/>
      </c>
      <c r="F692" s="2288" t="s">
        <v>2099</v>
      </c>
      <c r="G692" s="2292"/>
      <c r="H692" s="2346" t="s">
        <v>2009</v>
      </c>
      <c r="I692" s="2346" t="s">
        <v>1972</v>
      </c>
      <c r="J692" s="2261"/>
      <c r="K692" s="2262"/>
      <c r="L692" s="2262"/>
      <c r="M692" s="2262"/>
      <c r="N692" s="2262"/>
      <c r="O692" s="2262"/>
      <c r="P692" s="2262"/>
    </row>
    <row customHeight="true" ht="18.452380952380953" r="693">
      <c r="A693" s="2283" t="s">
        <v>2468</v>
      </c>
      <c r="B693" s="2402">
        <v>46277</v>
      </c>
      <c r="C693" s="2432" t="str">
        <v>Saturday</v>
      </c>
      <c r="D693" s="2403" t="s">
        <v>2192</v>
      </c>
      <c r="E693" s="2346">
        <f t="shared" si="124"/>
      </c>
      <c r="F693" s="2288" t="s">
        <v>2099</v>
      </c>
      <c r="G693" s="2292"/>
      <c r="H693" s="2346" t="s">
        <v>2009</v>
      </c>
      <c r="I693" s="2346" t="s">
        <v>1972</v>
      </c>
      <c r="J693" s="2261"/>
      <c r="K693" s="2262"/>
      <c r="L693" s="2262"/>
      <c r="M693" s="2262"/>
      <c r="N693" s="2262"/>
      <c r="O693" s="2262"/>
      <c r="P693" s="2262"/>
    </row>
    <row customHeight="true" ht="18.452380952380953" r="694">
      <c r="A694" s="2283" t="s">
        <v>2468</v>
      </c>
      <c r="B694" s="2402">
        <v>46275</v>
      </c>
      <c r="C694" s="2432" t="str">
        <v>Thursday</v>
      </c>
      <c r="D694" s="2403" t="s">
        <v>2471</v>
      </c>
      <c r="E694" s="2346">
        <f t="shared" si="124"/>
      </c>
      <c r="F694" s="2288" t="s">
        <v>2472</v>
      </c>
      <c r="G694" s="2292"/>
      <c r="H694" s="2346" t="s">
        <v>2009</v>
      </c>
      <c r="I694" s="2346" t="s">
        <v>1972</v>
      </c>
      <c r="J694" s="2261"/>
      <c r="K694" s="2262"/>
      <c r="L694" s="2262"/>
      <c r="M694" s="2262"/>
      <c r="N694" s="2262"/>
      <c r="O694" s="2262"/>
      <c r="P694" s="2262"/>
    </row>
    <row customHeight="true" ht="18.452380952380953" r="695">
      <c r="A695" s="2283" t="s">
        <v>2464</v>
      </c>
      <c r="B695" s="2255">
        <v>46276</v>
      </c>
      <c r="C695" s="2283" t="str">
        <v>Friday</v>
      </c>
      <c r="D695" s="2256" t="s">
        <v>2134</v>
      </c>
      <c r="E695" s="2288">
        <f t="shared" si="124"/>
      </c>
      <c r="F695" s="2288" t="s">
        <v>2342</v>
      </c>
      <c r="G695" s="2292"/>
      <c r="H695" s="2756"/>
      <c r="I695" s="2346" t="s">
        <v>1972</v>
      </c>
      <c r="J695" s="2261"/>
      <c r="K695" s="2460"/>
      <c r="L695" s="2460"/>
      <c r="M695" s="2460"/>
      <c r="N695" s="2460"/>
      <c r="O695" s="2460"/>
      <c r="P695" s="2460"/>
      <c r="Q695" s="2293"/>
      <c r="R695" s="2293"/>
    </row>
    <row customHeight="true" ht="16.071428571428573" r="696">
      <c r="A696" s="2283"/>
      <c r="B696" s="2283"/>
      <c r="C696" s="2283"/>
      <c r="D696" s="2288"/>
      <c r="E696" s="2260"/>
      <c r="F696" s="2288"/>
      <c r="G696" s="2292"/>
      <c r="H696" s="2756"/>
      <c r="I696" s="2288"/>
      <c r="J696" s="2261"/>
      <c r="K696" s="2262"/>
      <c r="L696" s="2262"/>
      <c r="M696" s="2262"/>
      <c r="N696" s="2262"/>
      <c r="O696" s="2262"/>
      <c r="P696" s="2262"/>
    </row>
    <row customHeight="true" ht="38.17663024813209" r="697">
      <c r="A697" s="2757" t="s">
        <v>2473</v>
      </c>
      <c r="B697" s="2757"/>
      <c r="C697" s="2757"/>
      <c r="D697" s="2757"/>
      <c r="E697" s="2757"/>
      <c r="F697" s="2757"/>
      <c r="G697" s="2757"/>
      <c r="H697" s="2757"/>
      <c r="I697" s="2757"/>
      <c r="J697" s="2757"/>
      <c r="K697" s="2262"/>
      <c r="L697" s="2262"/>
      <c r="M697" s="2262"/>
      <c r="N697" s="2262"/>
      <c r="O697" s="2262"/>
      <c r="P697" s="2262"/>
    </row>
    <row customHeight="true" ht="28.571428571428573" r="698">
      <c r="A698" s="2758" t="s">
        <v>1989</v>
      </c>
      <c r="B698" s="2759" t="s">
        <v>1990</v>
      </c>
      <c r="C698" s="2759"/>
      <c r="D698" s="2760" t="s">
        <v>1991</v>
      </c>
      <c r="E698" s="2761" t="s">
        <v>1992</v>
      </c>
      <c r="F698" s="2761" t="s">
        <v>1993</v>
      </c>
      <c r="G698" s="2762" t="s">
        <v>2012</v>
      </c>
      <c r="H698" s="2761" t="s">
        <v>1995</v>
      </c>
      <c r="I698" s="2761" t="s">
        <v>1996</v>
      </c>
      <c r="J698" s="2763" t="s">
        <v>1997</v>
      </c>
      <c r="K698" s="2262"/>
      <c r="L698" s="2262"/>
      <c r="M698" s="2262"/>
      <c r="N698" s="2262"/>
      <c r="O698" s="2262"/>
      <c r="P698" s="2262"/>
    </row>
    <row customHeight="true" ht="16.071428571428573" r="699">
      <c r="A699" s="2432" t="s">
        <v>2473</v>
      </c>
      <c r="B699" s="2255">
        <v>46275</v>
      </c>
      <c r="C699" s="2283" t="str">
        <v>Thursday</v>
      </c>
      <c r="D699" s="2752" t="s">
        <v>2474</v>
      </c>
      <c r="E699" s="2288">
        <f t="shared" ref="E699:E702" si="125">24*MOD(TIMEVALUE(TRIM(MID(D699,FIND("-",D699)+1,LEN(D699)))) - TIMEVALUE(TRIM(LEFT(D699,FIND("-",D699)-1))),1)</f>
      </c>
      <c r="F699" s="2288" t="s">
        <v>2347</v>
      </c>
      <c r="G699" s="2302"/>
      <c r="H699" s="2756" t="s">
        <v>2009</v>
      </c>
      <c r="I699" s="2346" t="s">
        <v>1972</v>
      </c>
      <c r="J699" s="2257"/>
      <c r="K699" s="2262"/>
      <c r="L699" s="2262"/>
      <c r="M699" s="2262"/>
      <c r="N699" s="2262"/>
      <c r="O699" s="2262"/>
      <c r="P699" s="2262"/>
    </row>
    <row customHeight="true" ht="16.071428571428573" r="700">
      <c r="A700" s="2432" t="s">
        <v>2473</v>
      </c>
      <c r="B700" s="2255">
        <v>46276</v>
      </c>
      <c r="C700" s="2283" t="str">
        <v>Friday</v>
      </c>
      <c r="D700" s="2752" t="s">
        <v>2474</v>
      </c>
      <c r="E700" s="2764">
        <f t="shared" si="125"/>
      </c>
      <c r="F700" s="2288" t="s">
        <v>2463</v>
      </c>
      <c r="G700" s="2302"/>
      <c r="H700" s="2756" t="s">
        <v>2009</v>
      </c>
      <c r="I700" s="2271" t="s">
        <v>1972</v>
      </c>
      <c r="J700" s="2434"/>
      <c r="K700" s="2262"/>
      <c r="L700" s="2262"/>
      <c r="M700" s="2262"/>
      <c r="N700" s="2262"/>
      <c r="O700" s="2262"/>
      <c r="P700" s="2262"/>
    </row>
    <row customHeight="true" ht="16.071428571428573" r="701">
      <c r="A701" s="2432" t="s">
        <v>2473</v>
      </c>
      <c r="B701" s="2255">
        <v>46277</v>
      </c>
      <c r="C701" s="2283" t="str">
        <v>Saturday</v>
      </c>
      <c r="D701" s="2752" t="s">
        <v>2475</v>
      </c>
      <c r="E701" s="2764">
        <f t="shared" si="125"/>
      </c>
      <c r="F701" s="2349" t="s">
        <v>2072</v>
      </c>
      <c r="G701" s="2302"/>
      <c r="H701" s="2756" t="s">
        <v>2009</v>
      </c>
      <c r="I701" s="2271" t="s">
        <v>1972</v>
      </c>
      <c r="J701" s="2434"/>
      <c r="K701" s="2262"/>
      <c r="L701" s="2262"/>
      <c r="M701" s="2262"/>
      <c r="N701" s="2262"/>
      <c r="O701" s="2262"/>
      <c r="P701" s="2262"/>
    </row>
    <row customHeight="true" ht="16.071428571428573" r="702">
      <c r="A702" s="2432" t="s">
        <v>2473</v>
      </c>
      <c r="B702" s="2255">
        <v>46278</v>
      </c>
      <c r="C702" s="2283" t="str">
        <v>Sunday</v>
      </c>
      <c r="D702" s="2752" t="s">
        <v>2474</v>
      </c>
      <c r="E702" s="2764">
        <f t="shared" si="125"/>
      </c>
      <c r="F702" s="2288" t="s">
        <v>2110</v>
      </c>
      <c r="G702" s="2302"/>
      <c r="H702" s="2756" t="s">
        <v>2009</v>
      </c>
      <c r="I702" s="2346" t="s">
        <v>1972</v>
      </c>
      <c r="J702" s="2434"/>
      <c r="K702" s="2262"/>
      <c r="L702" s="2262"/>
      <c r="M702" s="2262"/>
      <c r="N702" s="2262"/>
      <c r="O702" s="2262"/>
      <c r="P702" s="2262"/>
    </row>
    <row customHeight="true" ht="16.071428571428573" r="703">
      <c r="A703" s="2283"/>
      <c r="B703" s="2255"/>
      <c r="C703" s="2283"/>
      <c r="D703" s="2288"/>
      <c r="E703" s="2260"/>
      <c r="F703" s="2288"/>
      <c r="G703" s="2292"/>
      <c r="H703" s="2756"/>
      <c r="I703" s="2288"/>
      <c r="J703" s="2261"/>
      <c r="K703" s="2262"/>
      <c r="L703" s="2262"/>
      <c r="M703" s="2262"/>
      <c r="N703" s="2262"/>
      <c r="O703" s="2262"/>
      <c r="P703" s="2262"/>
    </row>
    <row customHeight="true" ht="16.071428571428573" r="704">
      <c r="A704" s="2589" t="s">
        <v>2476</v>
      </c>
      <c r="B704" s="2602">
        <v>46275</v>
      </c>
      <c r="C704" s="2597" t="s">
        <v>1986</v>
      </c>
      <c r="D704" s="2612" t="s">
        <v>2477</v>
      </c>
      <c r="E704" s="2592">
        <f t="shared" ref="E704:E707" si="126">24*MOD(TIMEVALUE(TRIM(MID(D704,FIND("-",D704)+1,LEN(D704)))) - TIMEVALUE(TRIM(LEFT(D704,FIND("-",D704)-1))),1)</f>
      </c>
      <c r="F704" s="2592" t="s">
        <v>2343</v>
      </c>
      <c r="G704" s="2593"/>
      <c r="H704" s="2592" t="s">
        <v>2009</v>
      </c>
      <c r="I704" s="2346" t="s">
        <v>1972</v>
      </c>
      <c r="J704" s="2692"/>
      <c r="K704" s="2262"/>
      <c r="L704" s="2262"/>
      <c r="M704" s="2262"/>
      <c r="N704" s="2262"/>
      <c r="O704" s="2262"/>
      <c r="P704" s="2262"/>
    </row>
    <row customHeight="true" ht="16.071428571428573" r="705">
      <c r="A705" s="2589" t="s">
        <v>2476</v>
      </c>
      <c r="B705" s="2602">
        <v>46276</v>
      </c>
      <c r="C705" s="2597" t="s">
        <v>1976</v>
      </c>
      <c r="D705" s="2612" t="s">
        <v>2477</v>
      </c>
      <c r="E705" s="2592">
        <f t="shared" si="126"/>
      </c>
      <c r="F705" s="2592" t="s">
        <v>2478</v>
      </c>
      <c r="G705" s="2593"/>
      <c r="H705" s="2592" t="s">
        <v>2009</v>
      </c>
      <c r="I705" s="2596" t="s">
        <v>1972</v>
      </c>
      <c r="J705" s="2613"/>
      <c r="K705" s="2262"/>
      <c r="L705" s="2262"/>
      <c r="M705" s="2262"/>
      <c r="N705" s="2262"/>
      <c r="O705" s="2262"/>
      <c r="P705" s="2262"/>
    </row>
    <row customHeight="true" ht="16.071428571428573" r="706">
      <c r="A706" s="2589" t="s">
        <v>2476</v>
      </c>
      <c r="B706" s="2602">
        <v>46277</v>
      </c>
      <c r="C706" s="2597" t="s">
        <v>2479</v>
      </c>
      <c r="D706" s="2612" t="s">
        <v>2480</v>
      </c>
      <c r="E706" s="2592">
        <f t="shared" si="126"/>
      </c>
      <c r="F706" s="2592" t="s">
        <v>2466</v>
      </c>
      <c r="G706" s="2593"/>
      <c r="H706" s="2592" t="s">
        <v>2009</v>
      </c>
      <c r="I706" s="2596" t="s">
        <v>2005</v>
      </c>
      <c r="J706" s="2613"/>
      <c r="K706" s="2262"/>
      <c r="L706" s="2262"/>
      <c r="M706" s="2262"/>
      <c r="N706" s="2262"/>
      <c r="O706" s="2262"/>
      <c r="P706" s="2262"/>
    </row>
    <row customHeight="true" ht="16.071428571428573" r="707">
      <c r="A707" s="2589" t="s">
        <v>2476</v>
      </c>
      <c r="B707" s="2602">
        <v>46278</v>
      </c>
      <c r="C707" s="2597" t="s">
        <v>2355</v>
      </c>
      <c r="D707" s="2612" t="s">
        <v>2477</v>
      </c>
      <c r="E707" s="2592">
        <f t="shared" si="126"/>
      </c>
      <c r="F707" s="2592" t="s">
        <v>2478</v>
      </c>
      <c r="G707" s="2593"/>
      <c r="H707" s="2592" t="s">
        <v>2009</v>
      </c>
      <c r="I707" s="2596" t="s">
        <v>1972</v>
      </c>
      <c r="J707" s="2613"/>
      <c r="K707" s="2262"/>
      <c r="L707" s="2262"/>
      <c r="M707" s="2262"/>
      <c r="N707" s="2262"/>
      <c r="O707" s="2262"/>
      <c r="P707" s="2262"/>
    </row>
    <row customHeight="true" ht="16.071428571428573" r="708">
      <c r="A708" s="2432"/>
      <c r="B708" s="2402"/>
      <c r="C708" s="2432"/>
      <c r="D708" s="2403"/>
      <c r="E708" s="2349"/>
      <c r="F708" s="2349"/>
      <c r="G708" s="2434"/>
      <c r="H708" s="2349"/>
      <c r="I708" s="2349"/>
      <c r="J708" s="2527"/>
      <c r="K708" s="2262"/>
      <c r="L708" s="2262"/>
      <c r="M708" s="2262"/>
      <c r="N708" s="2262"/>
      <c r="O708" s="2262"/>
      <c r="P708" s="2262"/>
      <c r="Q708" s="2319"/>
      <c r="R708" s="2319"/>
    </row>
    <row customHeight="true" ht="16.071428571428573" r="709">
      <c r="A709" s="2432" t="s">
        <v>2476</v>
      </c>
      <c r="B709" s="2402">
        <v>46276</v>
      </c>
      <c r="C709" s="2432" t="str">
        <v>Friday</v>
      </c>
      <c r="D709" s="2403" t="s">
        <v>2054</v>
      </c>
      <c r="E709" s="2346">
        <f t="shared" ref="E709:E710" si="127">24*MOD(TIMEVALUE(TRIM(MID(D709,FIND("-",D709)+1,LEN(D709)))) - TIMEVALUE(TRIM(LEFT(D709,FIND("-",D709)-1))),1)</f>
      </c>
      <c r="F709" s="2349" t="s">
        <v>2342</v>
      </c>
      <c r="G709" s="2292"/>
      <c r="H709" s="2756"/>
      <c r="I709" s="2346" t="s">
        <v>1972</v>
      </c>
      <c r="J709" s="2261"/>
      <c r="K709" s="2262"/>
      <c r="L709" s="2262"/>
      <c r="M709" s="2262"/>
      <c r="N709" s="2262"/>
      <c r="O709" s="2262"/>
      <c r="P709" s="2262"/>
    </row>
    <row customHeight="true" ht="16.071428571428573" r="710">
      <c r="A710" s="2432" t="s">
        <v>2476</v>
      </c>
      <c r="B710" s="2402">
        <v>46278</v>
      </c>
      <c r="C710" s="2432" t="str">
        <v>Sunday</v>
      </c>
      <c r="D710" s="2403" t="s">
        <v>2054</v>
      </c>
      <c r="E710" s="2346">
        <f t="shared" si="127"/>
      </c>
      <c r="F710" s="2349" t="s">
        <v>2342</v>
      </c>
      <c r="G710" s="2292"/>
      <c r="H710" s="2756"/>
      <c r="I710" s="2346" t="s">
        <v>1972</v>
      </c>
      <c r="J710" s="2261"/>
      <c r="K710" s="2262"/>
      <c r="L710" s="2262"/>
      <c r="M710" s="2262"/>
      <c r="N710" s="2262"/>
      <c r="O710" s="2262"/>
      <c r="P710" s="2262"/>
    </row>
    <row r="711">
      <c r="A711" s="2283"/>
      <c r="B711" s="2283"/>
      <c r="C711" s="2283"/>
      <c r="D711" s="2260"/>
      <c r="E711" s="2260"/>
      <c r="F711" s="2260"/>
      <c r="G711" s="2404"/>
      <c r="H711" s="2260"/>
      <c r="I711" s="2260"/>
      <c r="J711" s="2286"/>
      <c r="K711" s="2262"/>
      <c r="L711" s="2262"/>
      <c r="M711" s="2262"/>
      <c r="N711" s="2262"/>
      <c r="O711" s="2262"/>
      <c r="P711" s="2262"/>
    </row>
    <row r="712">
      <c r="A712" s="2765" t="s">
        <v>2481</v>
      </c>
      <c r="B712" s="2765"/>
      <c r="C712" s="2765"/>
      <c r="D712" s="2765"/>
      <c r="E712" s="2765"/>
      <c r="F712" s="2765"/>
      <c r="G712" s="2765"/>
      <c r="H712" s="2765"/>
      <c r="I712" s="2765"/>
      <c r="J712" s="2766"/>
      <c r="K712" s="2711"/>
      <c r="L712" s="2711"/>
      <c r="M712" s="2711"/>
      <c r="N712" s="2711"/>
      <c r="O712" s="2711"/>
      <c r="P712" s="2711"/>
    </row>
    <row r="713">
      <c r="A713" s="2767" t="s">
        <v>1989</v>
      </c>
      <c r="B713" s="2768" t="s">
        <v>1990</v>
      </c>
      <c r="C713" s="2768"/>
      <c r="D713" s="2769" t="s">
        <v>1991</v>
      </c>
      <c r="E713" s="2769" t="s">
        <v>1992</v>
      </c>
      <c r="F713" s="2769" t="s">
        <v>1993</v>
      </c>
      <c r="G713" s="2770" t="s">
        <v>2012</v>
      </c>
      <c r="H713" s="2769" t="s">
        <v>1995</v>
      </c>
      <c r="I713" s="2769" t="s">
        <v>1996</v>
      </c>
      <c r="J713" s="2771" t="s">
        <v>1997</v>
      </c>
      <c r="K713" s="2282"/>
      <c r="L713" s="2282"/>
      <c r="M713" s="2282"/>
      <c r="N713" s="2282"/>
      <c r="O713" s="2282"/>
      <c r="P713" s="2282"/>
    </row>
    <row r="714">
      <c r="A714" s="2283" t="s">
        <v>2481</v>
      </c>
      <c r="B714" s="2255">
        <v>46245</v>
      </c>
      <c r="C714" s="2283" t="str">
        <v>Tuesday</v>
      </c>
      <c r="D714" s="2256" t="s">
        <v>2124</v>
      </c>
      <c r="E714" s="2288">
        <f t="shared" ref="E714:E715" si="128">24*MOD(TIMEVALUE(TRIM(MID(D714,FIND("-",D714)+1,LEN(D714)))) - TIMEVALUE(TRIM(LEFT(D714,FIND("-",D714)-1))),1)</f>
      </c>
      <c r="F714" s="2260"/>
      <c r="G714" s="2302"/>
      <c r="H714" s="2756" t="s">
        <v>2009</v>
      </c>
      <c r="I714" s="2288" t="s">
        <v>1972</v>
      </c>
      <c r="J714" s="2261"/>
      <c r="K714" s="2262"/>
      <c r="L714" s="2262"/>
      <c r="M714" s="2262"/>
      <c r="N714" s="2262"/>
      <c r="O714" s="2262"/>
      <c r="P714" s="2262"/>
    </row>
    <row r="715">
      <c r="A715" s="2772" t="s">
        <v>2482</v>
      </c>
      <c r="B715" s="2773">
        <v>46245</v>
      </c>
      <c r="C715" s="2772" t="str">
        <v>Tuesday</v>
      </c>
      <c r="D715" s="2774" t="s">
        <v>2050</v>
      </c>
      <c r="E715" s="2775">
        <f t="shared" si="128"/>
      </c>
      <c r="F715" s="2775"/>
      <c r="G715" s="2776"/>
      <c r="H715" s="2777" t="s">
        <v>2009</v>
      </c>
      <c r="I715" s="2288" t="s">
        <v>1972</v>
      </c>
      <c r="J715" s="2778"/>
      <c r="K715" s="2262"/>
      <c r="L715" s="2262"/>
      <c r="M715" s="2262"/>
      <c r="N715" s="2262"/>
      <c r="O715" s="2262"/>
      <c r="P715" s="2262"/>
    </row>
    <row r="716">
      <c r="A716" s="2283" t="s">
        <v>2481</v>
      </c>
      <c r="B716" s="2283"/>
      <c r="C716" s="2283"/>
      <c r="D716" s="2288"/>
      <c r="E716" s="2779">
        <f>3</f>
      </c>
      <c r="F716" s="2260"/>
      <c r="G716" s="2292"/>
      <c r="H716" s="2756"/>
      <c r="I716" s="2260"/>
      <c r="J716" s="2261"/>
      <c r="K716" s="2262"/>
      <c r="L716" s="2262"/>
      <c r="M716" s="2262"/>
      <c r="N716" s="2262"/>
      <c r="O716" s="2262"/>
      <c r="P716" s="2262"/>
    </row>
    <row r="717">
      <c r="A717" s="2283" t="s">
        <v>2481</v>
      </c>
      <c r="B717" s="2255">
        <v>46246</v>
      </c>
      <c r="C717" s="2283" t="str">
        <v>Wednesday</v>
      </c>
      <c r="D717" s="2256" t="s">
        <v>2127</v>
      </c>
      <c r="E717" s="2288">
        <f t="shared" ref="E717:E718" si="129">24*MOD(TIMEVALUE(TRIM(MID(D717,FIND("-",D717)+1,LEN(D717)))) - TIMEVALUE(TRIM(LEFT(D717,FIND("-",D717)-1))),1)</f>
      </c>
      <c r="F717" s="2260"/>
      <c r="G717" s="2302"/>
      <c r="H717" s="2756" t="s">
        <v>2009</v>
      </c>
      <c r="I717" s="2346" t="s">
        <v>1972</v>
      </c>
      <c r="J717" s="2261"/>
      <c r="K717" s="2262"/>
      <c r="L717" s="2262"/>
      <c r="M717" s="2262"/>
      <c r="N717" s="2262"/>
      <c r="O717" s="2262"/>
      <c r="P717" s="2262"/>
    </row>
    <row r="718">
      <c r="A718" s="2772" t="s">
        <v>2482</v>
      </c>
      <c r="B718" s="2773">
        <v>46246</v>
      </c>
      <c r="C718" s="2772" t="str">
        <v>Wednesday</v>
      </c>
      <c r="D718" s="2774" t="s">
        <v>2483</v>
      </c>
      <c r="E718" s="2775">
        <f t="shared" si="129"/>
      </c>
      <c r="F718" s="2775"/>
      <c r="G718" s="2776"/>
      <c r="H718" s="2777" t="s">
        <v>2009</v>
      </c>
      <c r="I718" s="2288" t="s">
        <v>1972</v>
      </c>
      <c r="J718" s="2780"/>
      <c r="K718" s="2337"/>
      <c r="L718" s="2337"/>
      <c r="M718" s="2337"/>
      <c r="N718" s="2337"/>
      <c r="O718" s="2337"/>
      <c r="P718" s="2337"/>
    </row>
    <row r="719">
      <c r="A719" s="2283" t="s">
        <v>2481</v>
      </c>
      <c r="B719" s="2283"/>
      <c r="C719" s="2283"/>
      <c r="D719" s="2288"/>
      <c r="E719" s="2779">
        <f>3</f>
      </c>
      <c r="F719" s="2260"/>
      <c r="G719" s="2292"/>
      <c r="H719" s="2756"/>
      <c r="I719" s="2260"/>
      <c r="J719" s="2261"/>
      <c r="K719" s="2262"/>
      <c r="L719" s="2262"/>
      <c r="M719" s="2262"/>
      <c r="N719" s="2262"/>
      <c r="O719" s="2262"/>
      <c r="P719" s="2262"/>
    </row>
    <row r="720">
      <c r="A720" s="2283" t="s">
        <v>2481</v>
      </c>
      <c r="B720" s="2255">
        <v>46247</v>
      </c>
      <c r="C720" s="2283" t="str">
        <v>Thursday</v>
      </c>
      <c r="D720" s="2256" t="s">
        <v>2124</v>
      </c>
      <c r="E720" s="2288">
        <f t="shared" ref="E720:E721" si="130">24*MOD(TIMEVALUE(TRIM(MID(D720,FIND("-",D720)+1,LEN(D720)))) - TIMEVALUE(TRIM(LEFT(D720,FIND("-",D720)-1))),1)</f>
      </c>
      <c r="F720" s="2260"/>
      <c r="G720" s="2302"/>
      <c r="H720" s="2756" t="s">
        <v>2009</v>
      </c>
      <c r="I720" s="2288" t="s">
        <v>1972</v>
      </c>
      <c r="J720" s="2261"/>
      <c r="K720" s="2262"/>
      <c r="L720" s="2262"/>
      <c r="M720" s="2262"/>
      <c r="N720" s="2262"/>
      <c r="O720" s="2262"/>
      <c r="P720" s="2262"/>
    </row>
    <row r="721">
      <c r="A721" s="2772" t="s">
        <v>2482</v>
      </c>
      <c r="B721" s="2773">
        <v>46247</v>
      </c>
      <c r="C721" s="2772" t="str">
        <v>Thursday</v>
      </c>
      <c r="D721" s="2774" t="s">
        <v>2484</v>
      </c>
      <c r="E721" s="2775">
        <f t="shared" si="130"/>
      </c>
      <c r="F721" s="2775"/>
      <c r="G721" s="2776"/>
      <c r="H721" s="2777" t="s">
        <v>2009</v>
      </c>
      <c r="I721" s="2288" t="s">
        <v>1972</v>
      </c>
      <c r="J721" s="2778"/>
      <c r="K721" s="2262"/>
      <c r="L721" s="2262"/>
      <c r="M721" s="2262"/>
      <c r="N721" s="2262"/>
      <c r="O721" s="2262"/>
      <c r="P721" s="2262"/>
    </row>
    <row r="722">
      <c r="A722" s="2283" t="s">
        <v>2481</v>
      </c>
      <c r="B722" s="2283"/>
      <c r="C722" s="2283"/>
      <c r="D722" s="2288"/>
      <c r="E722" s="2779">
        <f>3</f>
      </c>
      <c r="F722" s="2260"/>
      <c r="G722" s="2292"/>
      <c r="H722" s="2756"/>
      <c r="I722" s="2260"/>
      <c r="J722" s="2261"/>
      <c r="K722" s="2262"/>
      <c r="L722" s="2262"/>
      <c r="M722" s="2262"/>
      <c r="N722" s="2262"/>
      <c r="O722" s="2262"/>
      <c r="P722" s="2262"/>
    </row>
    <row r="723">
      <c r="A723" s="2283" t="s">
        <v>2481</v>
      </c>
      <c r="B723" s="2255">
        <v>46248</v>
      </c>
      <c r="C723" s="2283" t="str">
        <v>Friday</v>
      </c>
      <c r="D723" s="2256" t="s">
        <v>2058</v>
      </c>
      <c r="E723" s="2288">
        <f t="shared" ref="E723:E724" si="131">24*MOD(TIMEVALUE(TRIM(MID(D723,FIND("-",D723)+1,LEN(D723)))) - TIMEVALUE(TRIM(LEFT(D723,FIND("-",D723)-1))),1)</f>
      </c>
      <c r="F723" s="2260"/>
      <c r="G723" s="2302"/>
      <c r="H723" s="2756" t="s">
        <v>2009</v>
      </c>
      <c r="I723" s="2288" t="s">
        <v>1972</v>
      </c>
      <c r="J723" s="2261"/>
      <c r="K723" s="2262"/>
      <c r="L723" s="2262"/>
      <c r="M723" s="2262"/>
      <c r="N723" s="2262"/>
      <c r="O723" s="2262"/>
      <c r="P723" s="2262"/>
    </row>
    <row r="724">
      <c r="A724" s="2772" t="s">
        <v>2482</v>
      </c>
      <c r="B724" s="2773">
        <v>46248</v>
      </c>
      <c r="C724" s="2772" t="str">
        <v>Friday</v>
      </c>
      <c r="D724" s="2774" t="s">
        <v>2485</v>
      </c>
      <c r="E724" s="2775">
        <f t="shared" si="131"/>
      </c>
      <c r="F724" s="2775"/>
      <c r="G724" s="2776"/>
      <c r="H724" s="2777" t="s">
        <v>2009</v>
      </c>
      <c r="I724" s="2288" t="s">
        <v>1972</v>
      </c>
      <c r="J724" s="2778"/>
      <c r="K724" s="2262"/>
      <c r="L724" s="2262"/>
      <c r="M724" s="2262"/>
      <c r="N724" s="2262"/>
      <c r="O724" s="2262"/>
      <c r="P724" s="2262"/>
    </row>
    <row r="725">
      <c r="A725" s="2283" t="s">
        <v>2481</v>
      </c>
      <c r="B725" s="2283"/>
      <c r="C725" s="2283"/>
      <c r="D725" s="2288"/>
      <c r="E725" s="2779">
        <f>3</f>
      </c>
      <c r="F725" s="2260"/>
      <c r="G725" s="2292"/>
      <c r="H725" s="2756"/>
      <c r="I725" s="2260"/>
      <c r="J725" s="2261"/>
      <c r="K725" s="2262"/>
      <c r="L725" s="2262"/>
      <c r="M725" s="2262"/>
      <c r="N725" s="2262"/>
      <c r="O725" s="2262"/>
      <c r="P725" s="2262"/>
    </row>
    <row r="726">
      <c r="A726" s="2283" t="s">
        <v>2481</v>
      </c>
      <c r="B726" s="2255">
        <v>46249</v>
      </c>
      <c r="C726" s="2283" t="str">
        <v>Saturday</v>
      </c>
      <c r="D726" s="2256" t="s">
        <v>2349</v>
      </c>
      <c r="E726" s="2288">
        <f t="shared" ref="E726:E727" si="132">24*MOD(TIMEVALUE(TRIM(MID(D726,FIND("-",D726)+1,LEN(D726)))) - TIMEVALUE(TRIM(LEFT(D726,FIND("-",D726)-1))),1)</f>
      </c>
      <c r="F726" s="2260"/>
      <c r="G726" s="2302"/>
      <c r="H726" s="2756" t="s">
        <v>2009</v>
      </c>
      <c r="I726" s="2288" t="s">
        <v>1972</v>
      </c>
      <c r="J726" s="2261"/>
      <c r="K726" s="2262"/>
      <c r="L726" s="2262"/>
      <c r="M726" s="2262"/>
      <c r="N726" s="2262"/>
      <c r="O726" s="2262"/>
      <c r="P726" s="2262"/>
    </row>
    <row r="727">
      <c r="A727" s="2772" t="s">
        <v>2482</v>
      </c>
      <c r="B727" s="2773">
        <v>46249</v>
      </c>
      <c r="C727" s="2772" t="str">
        <v>Saturday</v>
      </c>
      <c r="D727" s="2774" t="s">
        <v>2349</v>
      </c>
      <c r="E727" s="2775">
        <f t="shared" si="132"/>
      </c>
      <c r="F727" s="2775"/>
      <c r="G727" s="2776"/>
      <c r="H727" s="2777" t="s">
        <v>2009</v>
      </c>
      <c r="I727" s="2288" t="s">
        <v>1972</v>
      </c>
      <c r="J727" s="2778"/>
      <c r="K727" s="2262"/>
      <c r="L727" s="2262"/>
      <c r="M727" s="2262"/>
      <c r="N727" s="2262"/>
      <c r="O727" s="2262"/>
      <c r="P727" s="2262"/>
    </row>
    <row r="728">
      <c r="A728" s="2283" t="s">
        <v>2481</v>
      </c>
      <c r="B728" s="2283"/>
      <c r="C728" s="2283"/>
      <c r="D728" s="2288"/>
      <c r="E728" s="2779">
        <f>3</f>
      </c>
      <c r="F728" s="2260"/>
      <c r="G728" s="2292"/>
      <c r="H728" s="2756"/>
      <c r="I728" s="2260"/>
      <c r="J728" s="2261"/>
      <c r="K728" s="2262"/>
      <c r="L728" s="2262"/>
      <c r="M728" s="2262"/>
      <c r="N728" s="2262"/>
      <c r="O728" s="2262"/>
      <c r="P728" s="2262"/>
    </row>
    <row customHeight="true" ht="18.452380952380953" r="729">
      <c r="A729" s="2283" t="s">
        <v>2481</v>
      </c>
      <c r="B729" s="2255">
        <v>46250</v>
      </c>
      <c r="C729" s="2283" t="str">
        <v>Sunday</v>
      </c>
      <c r="D729" s="2256" t="s">
        <v>2208</v>
      </c>
      <c r="E729" s="2288">
        <f t="shared" ref="E729:E730" si="133">24*MOD(TIMEVALUE(TRIM(MID(D729,FIND("-",D729)+1,LEN(D729)))) - TIMEVALUE(TRIM(LEFT(D729,FIND("-",D729)-1))),1)</f>
      </c>
      <c r="F729" s="2260"/>
      <c r="G729" s="2302"/>
      <c r="H729" s="2756" t="s">
        <v>2009</v>
      </c>
      <c r="I729" s="2288" t="s">
        <v>1972</v>
      </c>
      <c r="J729" s="2261"/>
      <c r="K729" s="2262"/>
      <c r="L729" s="2262"/>
      <c r="M729" s="2262"/>
      <c r="N729" s="2262"/>
      <c r="O729" s="2262"/>
      <c r="P729" s="2262"/>
    </row>
    <row customHeight="true" ht="18.452380952380953" r="730">
      <c r="A730" s="2772" t="s">
        <v>2482</v>
      </c>
      <c r="B730" s="2773">
        <v>46250</v>
      </c>
      <c r="C730" s="2772" t="str">
        <v>Sunday</v>
      </c>
      <c r="D730" s="2774" t="s">
        <v>2486</v>
      </c>
      <c r="E730" s="2775">
        <f t="shared" si="133"/>
      </c>
      <c r="F730" s="2775"/>
      <c r="G730" s="2776"/>
      <c r="H730" s="2777" t="s">
        <v>2009</v>
      </c>
      <c r="I730" s="2288" t="s">
        <v>2005</v>
      </c>
      <c r="J730" s="2778"/>
      <c r="K730" s="2262"/>
      <c r="L730" s="2262"/>
      <c r="M730" s="2262"/>
      <c r="N730" s="2262"/>
      <c r="O730" s="2262"/>
      <c r="P730" s="2262"/>
    </row>
    <row customHeight="true" ht="18.452380952380953" r="731">
      <c r="A731" s="2283" t="s">
        <v>2481</v>
      </c>
      <c r="B731" s="2283"/>
      <c r="C731" s="2283"/>
      <c r="D731" s="2288"/>
      <c r="E731" s="2779">
        <f>3</f>
      </c>
      <c r="F731" s="2260"/>
      <c r="G731" s="2292"/>
      <c r="H731" s="2756"/>
      <c r="I731" s="2260"/>
      <c r="J731" s="2261"/>
      <c r="K731" s="2262"/>
      <c r="L731" s="2262"/>
      <c r="M731" s="2262"/>
      <c r="N731" s="2262"/>
      <c r="O731" s="2262"/>
      <c r="P731" s="2262"/>
    </row>
    <row r="732">
      <c r="A732" s="2385"/>
      <c r="B732" s="2283"/>
      <c r="C732" s="2283"/>
      <c r="D732" s="2288"/>
      <c r="E732" s="2288"/>
      <c r="F732" s="2288"/>
      <c r="G732" s="2292"/>
      <c r="H732" s="2756"/>
      <c r="I732" s="2288"/>
      <c r="J732" s="2261"/>
      <c r="K732" s="2262"/>
      <c r="L732" s="2262"/>
      <c r="M732" s="2262"/>
      <c r="N732" s="2262"/>
      <c r="O732" s="2262"/>
      <c r="P732" s="2262"/>
    </row>
    <row r="733">
      <c r="A733" s="2283"/>
      <c r="B733" s="2283"/>
      <c r="C733" s="2283"/>
      <c r="D733" s="2288"/>
      <c r="E733" s="2288"/>
      <c r="F733" s="2288"/>
      <c r="G733" s="2292"/>
      <c r="H733" s="2756"/>
      <c r="I733" s="2288"/>
      <c r="J733" s="2261"/>
      <c r="K733" s="2262"/>
      <c r="L733" s="2262"/>
      <c r="M733" s="2262"/>
      <c r="N733" s="2262"/>
      <c r="O733" s="2262"/>
      <c r="P733" s="2262"/>
    </row>
    <row r="734">
      <c r="A734" s="2283" t="s">
        <v>2487</v>
      </c>
      <c r="B734" s="2255">
        <v>46245</v>
      </c>
      <c r="C734" s="2283" t="str">
        <v>Tuesday</v>
      </c>
      <c r="D734" s="2289" t="s">
        <v>2185</v>
      </c>
      <c r="E734" s="2260">
        <f t="shared" ref="E734:E739" si="134">24*MOD(TIMEVALUE(TRIM(MID(D734,FIND("-",D734)+1,LEN(D734)))) - TIMEVALUE(TRIM(LEFT(D734,FIND("-",D734)-1))),1)</f>
      </c>
      <c r="F734" s="2288"/>
      <c r="G734" s="2408"/>
      <c r="H734" s="2621" t="s">
        <v>2009</v>
      </c>
      <c r="I734" s="2288" t="s">
        <v>1972</v>
      </c>
      <c r="J734" s="2286"/>
      <c r="K734" s="2262"/>
      <c r="L734" s="2262"/>
      <c r="M734" s="2262"/>
      <c r="N734" s="2262"/>
      <c r="O734" s="2262"/>
      <c r="P734" s="2262"/>
    </row>
    <row r="735">
      <c r="A735" s="2283" t="s">
        <v>2487</v>
      </c>
      <c r="B735" s="2255">
        <v>46245</v>
      </c>
      <c r="C735" s="2283" t="str">
        <v>Tuesday</v>
      </c>
      <c r="D735" s="2289" t="s">
        <v>2444</v>
      </c>
      <c r="E735" s="2260">
        <f t="shared" si="134"/>
      </c>
      <c r="F735" s="2288"/>
      <c r="G735" s="2404"/>
      <c r="H735" s="2621" t="s">
        <v>2009</v>
      </c>
      <c r="I735" s="2288" t="s">
        <v>1972</v>
      </c>
      <c r="J735" s="2286"/>
      <c r="K735" s="2262"/>
      <c r="L735" s="2262"/>
      <c r="M735" s="2262"/>
      <c r="N735" s="2262"/>
      <c r="O735" s="2262"/>
      <c r="P735" s="2262"/>
    </row>
    <row r="736">
      <c r="A736" s="2283" t="s">
        <v>2487</v>
      </c>
      <c r="B736" s="2255">
        <v>46246</v>
      </c>
      <c r="C736" s="2283" t="str">
        <v>Wednesday</v>
      </c>
      <c r="D736" s="2289" t="s">
        <v>2306</v>
      </c>
      <c r="E736" s="2260">
        <f t="shared" si="134"/>
      </c>
      <c r="F736" s="2288"/>
      <c r="G736" s="2404"/>
      <c r="H736" s="2621" t="s">
        <v>2009</v>
      </c>
      <c r="I736" s="2288" t="s">
        <v>1972</v>
      </c>
      <c r="J736" s="2286"/>
      <c r="K736" s="2262"/>
      <c r="L736" s="2262"/>
      <c r="M736" s="2262"/>
      <c r="N736" s="2262"/>
      <c r="O736" s="2262"/>
      <c r="P736" s="2262"/>
    </row>
    <row r="737">
      <c r="A737" s="2283" t="s">
        <v>2487</v>
      </c>
      <c r="B737" s="2283">
        <v>46234</v>
      </c>
      <c r="C737" s="2283" t="str">
        <v>Friday</v>
      </c>
      <c r="D737" s="2256" t="s">
        <v>2010</v>
      </c>
      <c r="E737" s="2260">
        <f t="shared" si="134"/>
      </c>
      <c r="F737" s="2288"/>
      <c r="G737" s="2404"/>
      <c r="H737" s="2621" t="s">
        <v>2009</v>
      </c>
      <c r="I737" s="2288" t="s">
        <v>2005</v>
      </c>
      <c r="J737" s="2286"/>
      <c r="K737" s="2262"/>
      <c r="L737" s="2262"/>
      <c r="M737" s="2262"/>
      <c r="N737" s="2262"/>
      <c r="O737" s="2262"/>
      <c r="P737" s="2262"/>
    </row>
    <row r="738">
      <c r="A738" s="2283" t="s">
        <v>2487</v>
      </c>
      <c r="B738" s="2283">
        <v>46220</v>
      </c>
      <c r="C738" s="2283" t="str">
        <v>Friday</v>
      </c>
      <c r="D738" s="2260" t="s">
        <v>2488</v>
      </c>
      <c r="E738" s="2260">
        <f t="shared" si="134"/>
      </c>
      <c r="F738" s="2288"/>
      <c r="G738" s="2404"/>
      <c r="H738" s="2621" t="s">
        <v>2009</v>
      </c>
      <c r="I738" s="2288" t="s">
        <v>2005</v>
      </c>
      <c r="J738" s="2286"/>
      <c r="K738" s="2262"/>
      <c r="L738" s="2262"/>
      <c r="M738" s="2262"/>
      <c r="N738" s="2262"/>
      <c r="O738" s="2262"/>
      <c r="P738" s="2262"/>
    </row>
    <row r="739">
      <c r="A739" s="2283" t="s">
        <v>2487</v>
      </c>
      <c r="B739" s="2283">
        <v>46219</v>
      </c>
      <c r="C739" s="2283" t="str">
        <v>Thursday</v>
      </c>
      <c r="D739" s="2260" t="s">
        <v>2489</v>
      </c>
      <c r="E739" s="2260">
        <f t="shared" si="134"/>
      </c>
      <c r="F739" s="2288"/>
      <c r="G739" s="2404"/>
      <c r="H739" s="2621" t="s">
        <v>2009</v>
      </c>
      <c r="I739" s="2288" t="s">
        <v>2005</v>
      </c>
      <c r="J739" s="2286"/>
      <c r="K739" s="2262"/>
      <c r="L739" s="2262"/>
      <c r="M739" s="2262"/>
      <c r="N739" s="2262"/>
      <c r="O739" s="2262"/>
      <c r="P739" s="2262"/>
    </row>
    <row r="740">
      <c r="A740" s="2516"/>
      <c r="B740" s="2516"/>
      <c r="C740" s="2516"/>
      <c r="D740" s="2516"/>
      <c r="E740" s="2516"/>
      <c r="F740" s="2516"/>
      <c r="G740" s="2638"/>
      <c r="H740" s="2516"/>
      <c r="I740" s="2516"/>
      <c r="J740" s="2516"/>
      <c r="K740" s="2262"/>
      <c r="L740" s="2262"/>
      <c r="M740" s="2262"/>
      <c r="N740" s="2262"/>
      <c r="O740" s="2262"/>
      <c r="P740" s="2262"/>
    </row>
    <row r="741">
      <c r="A741" s="2781" t="s">
        <v>2490</v>
      </c>
      <c r="B741" s="2782"/>
      <c r="C741" s="2782"/>
      <c r="D741" s="2782"/>
      <c r="E741" s="2782"/>
      <c r="F741" s="2782"/>
      <c r="G741" s="2782"/>
      <c r="H741" s="2782"/>
      <c r="I741" s="2782"/>
      <c r="J741" s="2783"/>
      <c r="K741" s="2711"/>
      <c r="L741" s="2711"/>
      <c r="M741" s="2711"/>
      <c r="N741" s="2711"/>
      <c r="O741" s="2711"/>
      <c r="P741" s="2711"/>
    </row>
    <row r="742">
      <c r="A742" s="2784" t="s">
        <v>2490</v>
      </c>
      <c r="B742" s="2785" t="s">
        <v>1990</v>
      </c>
      <c r="C742" s="2785"/>
      <c r="D742" s="2786" t="s">
        <v>1991</v>
      </c>
      <c r="E742" s="2786" t="s">
        <v>1992</v>
      </c>
      <c r="F742" s="2786"/>
      <c r="G742" s="2787"/>
      <c r="H742" s="2786" t="s">
        <v>1995</v>
      </c>
      <c r="I742" s="2786" t="s">
        <v>1996</v>
      </c>
      <c r="J742" s="2788" t="s">
        <v>1997</v>
      </c>
      <c r="K742" s="2282"/>
      <c r="L742" s="2282"/>
      <c r="M742" s="2282"/>
      <c r="N742" s="2282"/>
      <c r="O742" s="2282"/>
      <c r="P742" s="2282"/>
    </row>
    <row r="743">
      <c r="A743" s="2432" t="s">
        <v>2490</v>
      </c>
      <c r="B743" s="2255">
        <v>46273</v>
      </c>
      <c r="C743" s="2283" t="str">
        <v>Tuesday</v>
      </c>
      <c r="D743" s="2256" t="s">
        <v>2280</v>
      </c>
      <c r="E743" s="2288">
        <f t="shared" ref="E743:E754" si="135">24*MOD(TIMEVALUE(TRIM(MID(D743,FIND("-",D743)+1,LEN(D743)))) - TIMEVALUE(TRIM(LEFT(D743,FIND("-",D743)-1))),1)</f>
      </c>
      <c r="F743" s="2349" t="s">
        <v>2491</v>
      </c>
      <c r="G743" s="2434" t="s">
        <v>2492</v>
      </c>
      <c r="H743" s="2349" t="s">
        <v>2009</v>
      </c>
      <c r="I743" s="2789" t="s">
        <v>1972</v>
      </c>
      <c r="J743" s="2527"/>
      <c r="K743" s="2262"/>
      <c r="L743" s="2262"/>
      <c r="M743" s="2262"/>
      <c r="N743" s="2262"/>
      <c r="O743" s="2262"/>
      <c r="P743" s="2262"/>
    </row>
    <row r="744">
      <c r="A744" s="2790" t="s">
        <v>2493</v>
      </c>
      <c r="B744" s="2791">
        <v>46273</v>
      </c>
      <c r="C744" s="2790" t="str">
        <v>Tuesday</v>
      </c>
      <c r="D744" s="2792" t="s">
        <v>2010</v>
      </c>
      <c r="E744" s="2789">
        <f t="shared" si="135"/>
      </c>
      <c r="F744" s="2789"/>
      <c r="G744" s="2793"/>
      <c r="H744" s="2789" t="s">
        <v>2009</v>
      </c>
      <c r="I744" s="2789" t="s">
        <v>2005</v>
      </c>
      <c r="J744" s="2794"/>
      <c r="K744" s="2262"/>
      <c r="L744" s="2262"/>
      <c r="M744" s="2262"/>
      <c r="N744" s="2262"/>
      <c r="O744" s="2262"/>
      <c r="P744" s="2262"/>
    </row>
    <row r="745">
      <c r="A745" s="2432" t="s">
        <v>2490</v>
      </c>
      <c r="B745" s="2402">
        <v>46274</v>
      </c>
      <c r="C745" s="2432" t="str">
        <v>Wednesday</v>
      </c>
      <c r="D745" s="2256" t="s">
        <v>2033</v>
      </c>
      <c r="E745" s="2349">
        <f t="shared" si="135"/>
      </c>
      <c r="F745" s="2349" t="s">
        <v>2072</v>
      </c>
      <c r="G745" s="2434"/>
      <c r="H745" s="2349" t="s">
        <v>2009</v>
      </c>
      <c r="I745" s="2789" t="s">
        <v>1972</v>
      </c>
      <c r="J745" s="2462"/>
      <c r="K745" s="2262"/>
      <c r="L745" s="2262"/>
      <c r="M745" s="2262"/>
      <c r="N745" s="2262"/>
      <c r="O745" s="2262"/>
      <c r="P745" s="2262"/>
    </row>
    <row r="746">
      <c r="A746" s="2790" t="s">
        <v>2493</v>
      </c>
      <c r="B746" s="2791">
        <v>46274</v>
      </c>
      <c r="C746" s="2790" t="str">
        <v>Wednesday</v>
      </c>
      <c r="D746" s="2792" t="s">
        <v>2010</v>
      </c>
      <c r="E746" s="2789">
        <f t="shared" si="135"/>
      </c>
      <c r="F746" s="2789" t="s">
        <v>2478</v>
      </c>
      <c r="G746" s="2793"/>
      <c r="H746" s="2795" t="s">
        <v>2009</v>
      </c>
      <c r="I746" s="2789" t="s">
        <v>1972</v>
      </c>
      <c r="J746" s="2794"/>
      <c r="K746" s="2262"/>
      <c r="L746" s="2262"/>
      <c r="M746" s="2262"/>
      <c r="N746" s="2262"/>
      <c r="O746" s="2262"/>
      <c r="P746" s="2262"/>
    </row>
    <row r="747">
      <c r="A747" s="2432" t="s">
        <v>2490</v>
      </c>
      <c r="B747" s="2255">
        <v>46275</v>
      </c>
      <c r="C747" s="2283" t="str">
        <v>Thursday</v>
      </c>
      <c r="D747" s="2256" t="s">
        <v>2127</v>
      </c>
      <c r="E747" s="2349">
        <f t="shared" si="135"/>
      </c>
      <c r="F747" s="2349" t="s">
        <v>2277</v>
      </c>
      <c r="G747" s="2408" t="s">
        <v>2494</v>
      </c>
      <c r="H747" s="2260" t="s">
        <v>2009</v>
      </c>
      <c r="I747" s="2789" t="s">
        <v>1972</v>
      </c>
      <c r="J747" s="2286"/>
      <c r="K747" s="2262"/>
      <c r="L747" s="2262"/>
      <c r="M747" s="2262"/>
      <c r="N747" s="2262"/>
      <c r="O747" s="2262"/>
      <c r="P747" s="2262"/>
    </row>
    <row r="748">
      <c r="A748" s="2790" t="s">
        <v>2493</v>
      </c>
      <c r="B748" s="2791">
        <v>46275</v>
      </c>
      <c r="C748" s="2790" t="str">
        <v>Thursday</v>
      </c>
      <c r="D748" s="2792" t="s">
        <v>2033</v>
      </c>
      <c r="E748" s="2789">
        <f t="shared" si="135"/>
      </c>
      <c r="F748" s="2789" t="s">
        <v>2356</v>
      </c>
      <c r="G748" s="2793"/>
      <c r="H748" s="2795" t="s">
        <v>2009</v>
      </c>
      <c r="I748" s="2789" t="s">
        <v>1972</v>
      </c>
      <c r="J748" s="2794"/>
      <c r="K748" s="2262"/>
      <c r="L748" s="2262"/>
      <c r="M748" s="2262"/>
      <c r="N748" s="2262"/>
      <c r="O748" s="2262"/>
      <c r="P748" s="2262"/>
    </row>
    <row r="749">
      <c r="A749" s="2432" t="s">
        <v>2490</v>
      </c>
      <c r="B749" s="2255">
        <v>46276</v>
      </c>
      <c r="C749" s="2283" t="str">
        <v>Friday</v>
      </c>
      <c r="D749" s="2256" t="s">
        <v>2280</v>
      </c>
      <c r="E749" s="2349">
        <f t="shared" si="135"/>
      </c>
      <c r="F749" s="2349" t="s">
        <v>2463</v>
      </c>
      <c r="G749" s="2408"/>
      <c r="H749" s="2260" t="s">
        <v>2009</v>
      </c>
      <c r="I749" s="2789" t="s">
        <v>1972</v>
      </c>
      <c r="J749" s="2286"/>
      <c r="K749" s="2262"/>
      <c r="L749" s="2262"/>
      <c r="M749" s="2262"/>
      <c r="N749" s="2262"/>
      <c r="O749" s="2262"/>
      <c r="P749" s="2262"/>
    </row>
    <row r="750">
      <c r="A750" s="2790" t="s">
        <v>2493</v>
      </c>
      <c r="B750" s="2791">
        <v>46276</v>
      </c>
      <c r="C750" s="2790" t="str">
        <v>Friday</v>
      </c>
      <c r="D750" s="2792" t="s">
        <v>2010</v>
      </c>
      <c r="E750" s="2789">
        <f t="shared" si="135"/>
      </c>
      <c r="F750" s="2789" t="s">
        <v>2478</v>
      </c>
      <c r="G750" s="2793"/>
      <c r="H750" s="2795" t="s">
        <v>2009</v>
      </c>
      <c r="I750" s="2789" t="s">
        <v>1972</v>
      </c>
      <c r="J750" s="2794"/>
      <c r="K750" s="2262"/>
      <c r="L750" s="2262"/>
      <c r="M750" s="2262"/>
      <c r="N750" s="2262"/>
      <c r="O750" s="2262"/>
      <c r="P750" s="2262"/>
    </row>
    <row r="751">
      <c r="A751" s="2432" t="s">
        <v>2490</v>
      </c>
      <c r="B751" s="2255">
        <v>46277</v>
      </c>
      <c r="C751" s="2283" t="str">
        <v>Saturday</v>
      </c>
      <c r="D751" s="2256" t="s">
        <v>2380</v>
      </c>
      <c r="E751" s="2288">
        <f t="shared" si="135"/>
      </c>
      <c r="F751" s="2288" t="s">
        <v>2377</v>
      </c>
      <c r="G751" s="2404"/>
      <c r="H751" s="2260" t="s">
        <v>2009</v>
      </c>
      <c r="I751" s="2349" t="s">
        <v>1972</v>
      </c>
      <c r="J751" s="2286"/>
      <c r="K751" s="2262"/>
      <c r="L751" s="2262"/>
      <c r="M751" s="2262"/>
      <c r="N751" s="2262"/>
      <c r="O751" s="2262"/>
      <c r="P751" s="2262"/>
    </row>
    <row r="752">
      <c r="A752" s="2790" t="s">
        <v>2493</v>
      </c>
      <c r="B752" s="2791">
        <v>46277</v>
      </c>
      <c r="C752" s="2790" t="str">
        <v>Saturday</v>
      </c>
      <c r="D752" s="2792" t="s">
        <v>2495</v>
      </c>
      <c r="E752" s="2789">
        <f t="shared" si="135"/>
      </c>
      <c r="F752" s="2789" t="s">
        <v>2478</v>
      </c>
      <c r="G752" s="2796"/>
      <c r="H752" s="2795" t="s">
        <v>2009</v>
      </c>
      <c r="I752" s="2789" t="s">
        <v>1972</v>
      </c>
      <c r="J752" s="2794"/>
      <c r="K752" s="2262"/>
      <c r="L752" s="2262"/>
      <c r="M752" s="2262"/>
      <c r="N752" s="2262"/>
      <c r="O752" s="2262"/>
      <c r="P752" s="2262"/>
    </row>
    <row r="753">
      <c r="A753" s="2432" t="s">
        <v>2490</v>
      </c>
      <c r="B753" s="2255">
        <v>46278</v>
      </c>
      <c r="C753" s="2283" t="str">
        <v>Sunday</v>
      </c>
      <c r="D753" s="2256" t="s">
        <v>2058</v>
      </c>
      <c r="E753" s="2288">
        <f t="shared" si="135"/>
      </c>
      <c r="F753" s="2288" t="s">
        <v>2376</v>
      </c>
      <c r="G753" s="2408"/>
      <c r="H753" s="2260" t="s">
        <v>2009</v>
      </c>
      <c r="I753" s="2789" t="s">
        <v>1972</v>
      </c>
      <c r="J753" s="2286"/>
      <c r="K753" s="2262"/>
      <c r="L753" s="2262"/>
      <c r="M753" s="2262"/>
      <c r="N753" s="2262"/>
      <c r="O753" s="2262"/>
      <c r="P753" s="2262"/>
    </row>
    <row r="754">
      <c r="A754" s="2790" t="s">
        <v>2493</v>
      </c>
      <c r="B754" s="2791">
        <v>46278</v>
      </c>
      <c r="C754" s="2790" t="str">
        <v>Sunday</v>
      </c>
      <c r="D754" s="2792" t="s">
        <v>2485</v>
      </c>
      <c r="E754" s="2789">
        <f t="shared" si="135"/>
      </c>
      <c r="F754" s="2789" t="s">
        <v>2466</v>
      </c>
      <c r="G754" s="2796"/>
      <c r="H754" s="2795" t="s">
        <v>2009</v>
      </c>
      <c r="I754" s="2789" t="s">
        <v>2005</v>
      </c>
      <c r="J754" s="2794"/>
      <c r="K754" s="2262"/>
      <c r="L754" s="2262"/>
      <c r="M754" s="2262"/>
      <c r="N754" s="2262"/>
      <c r="O754" s="2262"/>
      <c r="P754" s="2262"/>
    </row>
    <row r="755">
      <c r="A755" s="2283"/>
      <c r="B755" s="2283"/>
      <c r="C755" s="2283"/>
      <c r="D755" s="2283"/>
      <c r="E755" s="2283"/>
      <c r="F755" s="2283"/>
      <c r="G755" s="2283"/>
      <c r="H755" s="2283"/>
      <c r="I755" s="2283"/>
      <c r="J755" s="2797"/>
      <c r="K755" s="2798"/>
      <c r="L755" s="2798"/>
      <c r="M755" s="2798"/>
      <c r="N755" s="2798"/>
      <c r="O755" s="2798"/>
      <c r="P755" s="2798"/>
    </row>
    <row customHeight="true" ht="16.071428571428573" r="756">
      <c r="A756" s="2283" t="s">
        <v>2496</v>
      </c>
      <c r="B756" s="2255">
        <v>46277</v>
      </c>
      <c r="C756" s="2283" t="str">
        <v>Saturday</v>
      </c>
      <c r="D756" s="2256" t="s">
        <v>2017</v>
      </c>
      <c r="E756" s="2288">
        <f t="shared" ref="E756:E768" si="136">24*MOD(TIMEVALUE(TRIM(MID(D756,FIND("-",D756)+1,LEN(D756)))) - TIMEVALUE(TRIM(LEFT(D756,FIND("-",D756)-1))),1)</f>
      </c>
      <c r="F756" s="2291" t="s">
        <v>2376</v>
      </c>
      <c r="G756" s="2255"/>
      <c r="H756" s="2260" t="s">
        <v>2009</v>
      </c>
      <c r="I756" s="2795" t="s">
        <v>1972</v>
      </c>
      <c r="J756" s="2797"/>
      <c r="K756" s="2798"/>
      <c r="L756" s="2798"/>
      <c r="M756" s="2798"/>
      <c r="N756" s="2798"/>
      <c r="O756" s="2798"/>
      <c r="P756" s="2798"/>
    </row>
    <row customHeight="true" ht="16.071428571428573" r="757">
      <c r="A757" s="2283" t="s">
        <v>2496</v>
      </c>
      <c r="B757" s="2255">
        <v>46274</v>
      </c>
      <c r="C757" s="2283" t="str">
        <v>Wednesday</v>
      </c>
      <c r="D757" s="2256" t="s">
        <v>2497</v>
      </c>
      <c r="E757" s="2288">
        <f t="shared" si="136"/>
      </c>
      <c r="F757" s="2283" t="s">
        <v>2478</v>
      </c>
      <c r="G757" s="2283"/>
      <c r="H757" s="2260" t="s">
        <v>2009</v>
      </c>
      <c r="I757" s="2789" t="s">
        <v>1972</v>
      </c>
      <c r="J757" s="2797"/>
      <c r="K757" s="2798"/>
      <c r="L757" s="2798"/>
      <c r="M757" s="2798"/>
      <c r="N757" s="2798"/>
      <c r="O757" s="2798"/>
      <c r="P757" s="2798"/>
    </row>
    <row customHeight="true" ht="16.071428571428573" r="758">
      <c r="A758" s="2283" t="s">
        <v>2496</v>
      </c>
      <c r="B758" s="2255">
        <v>46274</v>
      </c>
      <c r="C758" s="2283" t="str">
        <v>Wednesday</v>
      </c>
      <c r="D758" s="2256" t="s">
        <v>2498</v>
      </c>
      <c r="E758" s="2288">
        <f t="shared" si="136"/>
      </c>
      <c r="F758" s="2283" t="s">
        <v>2072</v>
      </c>
      <c r="G758" s="2283"/>
      <c r="H758" s="2260" t="s">
        <v>2009</v>
      </c>
      <c r="I758" s="2789" t="s">
        <v>1972</v>
      </c>
      <c r="J758" s="2797"/>
      <c r="K758" s="2798"/>
      <c r="L758" s="2798"/>
      <c r="M758" s="2798"/>
      <c r="N758" s="2798"/>
      <c r="O758" s="2798"/>
      <c r="P758" s="2798"/>
    </row>
    <row customHeight="true" ht="16.071428571428573" r="759">
      <c r="A759" s="2283" t="s">
        <v>2496</v>
      </c>
      <c r="B759" s="2255">
        <v>46274</v>
      </c>
      <c r="C759" s="2283" t="str">
        <v>Wednesday</v>
      </c>
      <c r="D759" s="2256" t="s">
        <v>2452</v>
      </c>
      <c r="E759" s="2288">
        <f t="shared" si="136"/>
      </c>
      <c r="F759" s="2283" t="s">
        <v>2356</v>
      </c>
      <c r="G759" s="2255"/>
      <c r="H759" s="2260" t="s">
        <v>2009</v>
      </c>
      <c r="I759" s="2795" t="s">
        <v>1972</v>
      </c>
      <c r="J759" s="2797"/>
      <c r="K759" s="2798"/>
      <c r="L759" s="2798"/>
      <c r="M759" s="2798"/>
      <c r="N759" s="2798"/>
      <c r="O759" s="2798"/>
      <c r="P759" s="2798"/>
    </row>
    <row customHeight="true" ht="16.071428571428573" r="760">
      <c r="A760" s="2283" t="s">
        <v>2496</v>
      </c>
      <c r="B760" s="2255">
        <v>46274</v>
      </c>
      <c r="C760" s="2283" t="str">
        <v>Wednesday</v>
      </c>
      <c r="D760" s="2256" t="s">
        <v>2048</v>
      </c>
      <c r="E760" s="2288">
        <f t="shared" si="136"/>
      </c>
      <c r="F760" s="2283" t="s">
        <v>2377</v>
      </c>
      <c r="G760" s="2255"/>
      <c r="H760" s="2260" t="s">
        <v>2009</v>
      </c>
      <c r="I760" s="2349" t="s">
        <v>1972</v>
      </c>
      <c r="J760" s="2797"/>
      <c r="K760" s="2798"/>
      <c r="L760" s="2798"/>
      <c r="M760" s="2798"/>
      <c r="N760" s="2798"/>
      <c r="O760" s="2798"/>
      <c r="P760" s="2798"/>
    </row>
    <row customHeight="true" ht="16.071428571428573" r="761">
      <c r="A761" s="2283" t="s">
        <v>2496</v>
      </c>
      <c r="B761" s="2255">
        <v>46273</v>
      </c>
      <c r="C761" s="2283" t="str">
        <v>Tuesday</v>
      </c>
      <c r="D761" s="2256" t="s">
        <v>2499</v>
      </c>
      <c r="E761" s="2288">
        <f t="shared" si="136"/>
      </c>
      <c r="F761" s="2283" t="s">
        <v>2500</v>
      </c>
      <c r="G761" s="2255"/>
      <c r="H761" s="2260" t="s">
        <v>2009</v>
      </c>
      <c r="I761" s="2795" t="s">
        <v>1972</v>
      </c>
      <c r="J761" s="2797"/>
      <c r="K761" s="2798"/>
      <c r="L761" s="2798"/>
      <c r="M761" s="2798"/>
      <c r="N761" s="2798"/>
      <c r="O761" s="2798"/>
      <c r="P761" s="2798"/>
    </row>
    <row customHeight="true" ht="16.071428571428573" r="762">
      <c r="A762" s="2283" t="s">
        <v>2496</v>
      </c>
      <c r="B762" s="2255">
        <v>46274</v>
      </c>
      <c r="C762" s="2283" t="str">
        <v>Wednesday</v>
      </c>
      <c r="D762" s="2256" t="s">
        <v>2499</v>
      </c>
      <c r="E762" s="2288">
        <f t="shared" si="136"/>
      </c>
      <c r="F762" s="2283" t="s">
        <v>2500</v>
      </c>
      <c r="G762" s="2255"/>
      <c r="H762" s="2260" t="s">
        <v>2009</v>
      </c>
      <c r="I762" s="2795" t="s">
        <v>1972</v>
      </c>
      <c r="J762" s="2797"/>
      <c r="K762" s="2798"/>
      <c r="L762" s="2798"/>
      <c r="M762" s="2798"/>
      <c r="N762" s="2798"/>
      <c r="O762" s="2798"/>
      <c r="P762" s="2798"/>
    </row>
    <row customHeight="true" ht="16.071428571428573" r="763">
      <c r="A763" s="2283" t="s">
        <v>2496</v>
      </c>
      <c r="B763" s="2255">
        <v>46275</v>
      </c>
      <c r="C763" s="2283" t="str">
        <v>Thursday</v>
      </c>
      <c r="D763" s="2256" t="s">
        <v>2499</v>
      </c>
      <c r="E763" s="2288">
        <f t="shared" si="136"/>
      </c>
      <c r="F763" s="2283" t="s">
        <v>2500</v>
      </c>
      <c r="G763" s="2255"/>
      <c r="H763" s="2260" t="s">
        <v>2009</v>
      </c>
      <c r="I763" s="2795" t="s">
        <v>1972</v>
      </c>
      <c r="J763" s="2797"/>
      <c r="K763" s="2798"/>
      <c r="L763" s="2798"/>
      <c r="M763" s="2798"/>
      <c r="N763" s="2798"/>
      <c r="O763" s="2798"/>
      <c r="P763" s="2798"/>
    </row>
    <row customHeight="true" ht="16.071428571428573" r="764">
      <c r="A764" s="2283" t="s">
        <v>2496</v>
      </c>
      <c r="B764" s="2255">
        <v>46276</v>
      </c>
      <c r="C764" s="2283" t="str">
        <v>Friday</v>
      </c>
      <c r="D764" s="2256" t="s">
        <v>2499</v>
      </c>
      <c r="E764" s="2288">
        <f t="shared" si="136"/>
      </c>
      <c r="F764" s="2283" t="s">
        <v>2500</v>
      </c>
      <c r="G764" s="2255"/>
      <c r="H764" s="2260" t="s">
        <v>2009</v>
      </c>
      <c r="I764" s="2795" t="s">
        <v>1972</v>
      </c>
      <c r="J764" s="2797"/>
      <c r="K764" s="2798"/>
      <c r="L764" s="2798"/>
      <c r="M764" s="2798"/>
      <c r="N764" s="2798"/>
      <c r="O764" s="2798"/>
      <c r="P764" s="2798"/>
    </row>
    <row customHeight="true" ht="16.071428571428573" r="765">
      <c r="A765" s="2283" t="s">
        <v>2496</v>
      </c>
      <c r="B765" s="2255">
        <v>46277</v>
      </c>
      <c r="C765" s="2283" t="str">
        <v>Saturday</v>
      </c>
      <c r="D765" s="2256" t="s">
        <v>2501</v>
      </c>
      <c r="E765" s="2288">
        <f t="shared" si="136"/>
      </c>
      <c r="F765" s="2283" t="s">
        <v>2500</v>
      </c>
      <c r="G765" s="2255"/>
      <c r="H765" s="2260" t="s">
        <v>2009</v>
      </c>
      <c r="I765" s="2795" t="s">
        <v>1972</v>
      </c>
      <c r="J765" s="2797"/>
      <c r="K765" s="2798"/>
      <c r="L765" s="2798"/>
      <c r="M765" s="2798"/>
      <c r="N765" s="2798"/>
      <c r="O765" s="2798"/>
      <c r="P765" s="2798"/>
    </row>
    <row customHeight="true" ht="16.071428571428573" r="766">
      <c r="A766" s="2283" t="s">
        <v>2496</v>
      </c>
      <c r="B766" s="2255">
        <v>46278</v>
      </c>
      <c r="C766" s="2283" t="str">
        <v>Sunday</v>
      </c>
      <c r="D766" s="2256" t="s">
        <v>2502</v>
      </c>
      <c r="E766" s="2288">
        <f t="shared" si="136"/>
      </c>
      <c r="F766" s="2283" t="s">
        <v>2500</v>
      </c>
      <c r="G766" s="2255"/>
      <c r="H766" s="2260" t="s">
        <v>2009</v>
      </c>
      <c r="I766" s="2795" t="s">
        <v>1972</v>
      </c>
      <c r="J766" s="2797"/>
      <c r="K766" s="2798"/>
      <c r="L766" s="2798"/>
      <c r="M766" s="2798"/>
      <c r="N766" s="2798"/>
      <c r="O766" s="2798"/>
      <c r="P766" s="2798"/>
    </row>
    <row customHeight="true" ht="16.071428571428573" r="767">
      <c r="A767" s="2283" t="s">
        <v>2496</v>
      </c>
      <c r="B767" s="2255">
        <v>46275</v>
      </c>
      <c r="C767" s="2283" t="str">
        <v>Thursday</v>
      </c>
      <c r="D767" s="2256" t="s">
        <v>2503</v>
      </c>
      <c r="E767" s="2288">
        <f t="shared" si="136"/>
      </c>
      <c r="F767" s="2283" t="s">
        <v>2504</v>
      </c>
      <c r="G767" s="2283"/>
      <c r="H767" s="2260" t="s">
        <v>2009</v>
      </c>
      <c r="I767" s="2795" t="s">
        <v>1972</v>
      </c>
      <c r="J767" s="2797"/>
      <c r="K767" s="2623"/>
      <c r="L767" s="2623"/>
      <c r="M767" s="2623"/>
      <c r="N767" s="2623"/>
      <c r="O767" s="2623"/>
      <c r="P767" s="2623"/>
      <c r="Q767" s="2293"/>
      <c r="R767" s="2293"/>
    </row>
    <row customHeight="true" ht="16.071428571428573" r="768">
      <c r="A768" s="2283" t="s">
        <v>2496</v>
      </c>
      <c r="B768" s="2255">
        <v>46276</v>
      </c>
      <c r="C768" s="2283" t="str">
        <v>Friday</v>
      </c>
      <c r="D768" s="2256" t="s">
        <v>2284</v>
      </c>
      <c r="E768" s="2288">
        <f t="shared" si="136"/>
      </c>
      <c r="F768" s="2283" t="s">
        <v>2504</v>
      </c>
      <c r="G768" s="2255"/>
      <c r="H768" s="2260" t="s">
        <v>2009</v>
      </c>
      <c r="I768" s="2795" t="s">
        <v>1972</v>
      </c>
      <c r="J768" s="2797"/>
      <c r="K768" s="2798"/>
      <c r="L768" s="2798"/>
      <c r="M768" s="2798"/>
      <c r="N768" s="2798"/>
      <c r="O768" s="2798"/>
      <c r="P768" s="2798"/>
    </row>
    <row customHeight="true" ht="16.071428571428573" r="769">
      <c r="A769" s="2283"/>
      <c r="B769" s="2255"/>
      <c r="C769" s="2283"/>
      <c r="D769" s="2256"/>
      <c r="E769" s="2288"/>
      <c r="F769" s="2283"/>
      <c r="G769" s="2255"/>
      <c r="H769" s="2260"/>
      <c r="I769" s="2795"/>
      <c r="J769" s="2797"/>
      <c r="K769" s="2798"/>
      <c r="L769" s="2798"/>
      <c r="M769" s="2798"/>
      <c r="N769" s="2798"/>
      <c r="O769" s="2798"/>
      <c r="P769" s="2798"/>
    </row>
    <row r="770">
      <c r="A770" s="2293"/>
      <c r="B770" s="2293"/>
      <c r="C770" s="2293"/>
      <c r="D770" s="2293"/>
      <c r="E770" s="2293"/>
      <c r="F770" s="2293"/>
      <c r="G770" s="2293"/>
      <c r="H770" s="2293"/>
      <c r="I770" s="2293"/>
      <c r="J770" s="2293"/>
      <c r="K770" s="2384"/>
      <c r="L770" s="2384"/>
      <c r="M770" s="2384"/>
      <c r="N770" s="2384"/>
      <c r="O770" s="2384"/>
      <c r="P770" s="2384"/>
    </row>
    <row r="771">
      <c r="A771" s="2799" t="s">
        <v>2505</v>
      </c>
      <c r="B771" s="2800"/>
      <c r="C771" s="2799"/>
      <c r="D771" s="2799"/>
      <c r="E771" s="2799"/>
      <c r="F771" s="2799"/>
      <c r="G771" s="2799"/>
      <c r="H771" s="2799"/>
      <c r="I771" s="2799"/>
      <c r="J771" s="2801"/>
      <c r="K771" s="2711"/>
      <c r="L771" s="2711"/>
      <c r="M771" s="2711"/>
      <c r="N771" s="2711"/>
      <c r="O771" s="2711"/>
      <c r="P771" s="2711"/>
    </row>
    <row r="772">
      <c r="A772" s="2533" t="s">
        <v>2505</v>
      </c>
      <c r="B772" s="2534" t="s">
        <v>1990</v>
      </c>
      <c r="C772" s="2534"/>
      <c r="D772" s="2535" t="s">
        <v>1991</v>
      </c>
      <c r="E772" s="2535" t="s">
        <v>1992</v>
      </c>
      <c r="F772" s="2535" t="s">
        <v>1993</v>
      </c>
      <c r="G772" s="2536" t="s">
        <v>2012</v>
      </c>
      <c r="H772" s="2535" t="s">
        <v>1995</v>
      </c>
      <c r="I772" s="2535" t="s">
        <v>1996</v>
      </c>
      <c r="J772" s="2537" t="s">
        <v>1997</v>
      </c>
      <c r="K772" s="2282"/>
      <c r="L772" s="2282"/>
      <c r="M772" s="2282"/>
      <c r="N772" s="2282"/>
      <c r="O772" s="2282"/>
      <c r="P772" s="2282"/>
    </row>
    <row r="773">
      <c r="A773" s="2283" t="s">
        <v>2505</v>
      </c>
      <c r="B773" s="2255">
        <v>46273</v>
      </c>
      <c r="C773" s="2432" t="str">
        <v>Tuesday</v>
      </c>
      <c r="D773" s="2256" t="s">
        <v>2432</v>
      </c>
      <c r="E773" s="2349">
        <f t="shared" ref="E773:E776" si="137">24*MOD(TIMEVALUE(TRIM(MID(D773,FIND("-",D773)+1,LEN(D773)))) - TIMEVALUE(TRIM(LEFT(D773,FIND("-",D773)-1))),1)</f>
      </c>
      <c r="F773" s="2288" t="s">
        <v>2343</v>
      </c>
      <c r="G773" s="2302"/>
      <c r="H773" s="2349" t="s">
        <v>2009</v>
      </c>
      <c r="I773" s="2346" t="s">
        <v>1972</v>
      </c>
      <c r="J773" s="2527"/>
      <c r="K773" s="2262"/>
      <c r="L773" s="2262"/>
      <c r="M773" s="2262"/>
      <c r="N773" s="2262"/>
      <c r="O773" s="2262"/>
      <c r="P773" s="2262"/>
    </row>
    <row customHeight="true" ht="18.452380952380953" r="774">
      <c r="A774" s="2283" t="s">
        <v>2505</v>
      </c>
      <c r="B774" s="2255">
        <v>46273</v>
      </c>
      <c r="C774" s="2432" t="str">
        <v>Tuesday</v>
      </c>
      <c r="D774" s="2256" t="s">
        <v>2452</v>
      </c>
      <c r="E774" s="2349">
        <f t="shared" si="137"/>
      </c>
      <c r="F774" s="2349" t="s">
        <v>2351</v>
      </c>
      <c r="G774" s="2302"/>
      <c r="H774" s="2349"/>
      <c r="I774" s="2346"/>
      <c r="J774" s="2527"/>
      <c r="K774" s="2262"/>
      <c r="L774" s="2262"/>
      <c r="M774" s="2262"/>
      <c r="N774" s="2262"/>
      <c r="O774" s="2262"/>
      <c r="P774" s="2262"/>
    </row>
    <row r="775">
      <c r="A775" s="2802" t="s">
        <v>2506</v>
      </c>
      <c r="B775" s="2803">
        <v>46273</v>
      </c>
      <c r="C775" s="2802" t="str">
        <v>Tuesday</v>
      </c>
      <c r="D775" s="2804" t="s">
        <v>2507</v>
      </c>
      <c r="E775" s="2805">
        <f t="shared" si="137"/>
      </c>
      <c r="F775" s="2805" t="s">
        <v>2508</v>
      </c>
      <c r="G775" s="2806" t="s">
        <v>2509</v>
      </c>
      <c r="H775" s="2807" t="s">
        <v>2009</v>
      </c>
      <c r="I775" s="2349" t="s">
        <v>1972</v>
      </c>
      <c r="J775" s="2808"/>
      <c r="K775" s="2262"/>
      <c r="L775" s="2262"/>
      <c r="M775" s="2262"/>
      <c r="N775" s="2262"/>
      <c r="O775" s="2262"/>
      <c r="P775" s="2262"/>
    </row>
    <row r="776">
      <c r="A776" s="2283" t="s">
        <v>2505</v>
      </c>
      <c r="B776" s="2255">
        <v>46274</v>
      </c>
      <c r="C776" s="2283" t="str">
        <v>Wednesday</v>
      </c>
      <c r="D776" s="2256" t="s">
        <v>2432</v>
      </c>
      <c r="E776" s="2349">
        <f t="shared" si="137"/>
      </c>
      <c r="F776" s="2288" t="s">
        <v>2082</v>
      </c>
      <c r="G776" s="2408"/>
      <c r="H776" s="2288" t="s">
        <v>2009</v>
      </c>
      <c r="I776" s="2346" t="s">
        <v>1972</v>
      </c>
      <c r="J776" s="2286"/>
      <c r="K776" s="2262"/>
      <c r="L776" s="2262"/>
      <c r="M776" s="2262"/>
      <c r="N776" s="2262"/>
      <c r="O776" s="2262"/>
      <c r="P776" s="2262"/>
    </row>
    <row customHeight="true" ht="18.452380952380953" r="777">
      <c r="A777" s="2283" t="s">
        <v>2505</v>
      </c>
      <c r="B777" s="2255">
        <v>46274</v>
      </c>
      <c r="C777" s="2283" t="str">
        <v>Wednesday</v>
      </c>
      <c r="D777" s="2256" t="s">
        <v>2452</v>
      </c>
      <c r="E777" s="2403">
        <v>2</v>
      </c>
      <c r="F777" s="2349" t="s">
        <v>2351</v>
      </c>
      <c r="G777" s="2408"/>
      <c r="H777" s="2288"/>
      <c r="I777" s="2349" t="s">
        <v>1972</v>
      </c>
      <c r="J777" s="2286"/>
      <c r="K777" s="2262"/>
      <c r="L777" s="2262"/>
      <c r="M777" s="2262"/>
      <c r="N777" s="2262"/>
      <c r="O777" s="2262"/>
      <c r="P777" s="2262"/>
    </row>
    <row r="778">
      <c r="A778" s="2802" t="s">
        <v>2506</v>
      </c>
      <c r="B778" s="2809">
        <v>46274</v>
      </c>
      <c r="C778" s="2802" t="str">
        <v>Wednesday</v>
      </c>
      <c r="D778" s="2804" t="s">
        <v>2507</v>
      </c>
      <c r="E778" s="2805">
        <f t="shared" ref="E778:E784" si="138">24*MOD(TIMEVALUE(TRIM(MID(D778,FIND("-",D778)+1,LEN(D778)))) - TIMEVALUE(TRIM(LEFT(D778,FIND("-",D778)-1))),1)</f>
      </c>
      <c r="F778" s="2805" t="s">
        <v>2508</v>
      </c>
      <c r="G778" s="2810"/>
      <c r="H778" s="2807" t="s">
        <v>2009</v>
      </c>
      <c r="I778" s="2349" t="s">
        <v>1972</v>
      </c>
      <c r="J778" s="2808"/>
      <c r="K778" s="2262"/>
      <c r="L778" s="2262"/>
      <c r="M778" s="2262"/>
      <c r="N778" s="2262"/>
      <c r="O778" s="2262"/>
      <c r="P778" s="2262"/>
    </row>
    <row r="779">
      <c r="A779" s="2283" t="s">
        <v>2505</v>
      </c>
      <c r="B779" s="2402">
        <v>46275</v>
      </c>
      <c r="C779" s="2283" t="str">
        <v>Thursday</v>
      </c>
      <c r="D779" s="2256" t="s">
        <v>2510</v>
      </c>
      <c r="E779" s="2349">
        <f t="shared" si="138"/>
      </c>
      <c r="F779" s="2288" t="s">
        <v>2082</v>
      </c>
      <c r="G779" s="2408" t="s">
        <v>2511</v>
      </c>
      <c r="H779" s="2288" t="s">
        <v>2009</v>
      </c>
      <c r="I779" s="2346" t="s">
        <v>1972</v>
      </c>
      <c r="J779" s="2286"/>
      <c r="K779" s="2262"/>
      <c r="L779" s="2262"/>
      <c r="M779" s="2262"/>
      <c r="N779" s="2262"/>
      <c r="O779" s="2262"/>
      <c r="P779" s="2262"/>
    </row>
    <row r="780">
      <c r="A780" s="2802" t="s">
        <v>2506</v>
      </c>
      <c r="B780" s="2809">
        <v>46275</v>
      </c>
      <c r="C780" s="2802" t="str">
        <v>Thursday</v>
      </c>
      <c r="D780" s="2804" t="s">
        <v>2512</v>
      </c>
      <c r="E780" s="2805">
        <f t="shared" si="138"/>
      </c>
      <c r="F780" s="2805" t="s">
        <v>2508</v>
      </c>
      <c r="G780" s="2810"/>
      <c r="H780" s="2807" t="s">
        <v>2009</v>
      </c>
      <c r="I780" s="2349" t="s">
        <v>1972</v>
      </c>
      <c r="J780" s="2808"/>
      <c r="K780" s="2262"/>
      <c r="L780" s="2262"/>
      <c r="M780" s="2262"/>
      <c r="N780" s="2262"/>
      <c r="O780" s="2262"/>
      <c r="P780" s="2262"/>
    </row>
    <row r="781">
      <c r="A781" s="2283" t="s">
        <v>2505</v>
      </c>
      <c r="B781" s="2255">
        <v>46276</v>
      </c>
      <c r="C781" s="2283" t="str">
        <v>Friday</v>
      </c>
      <c r="D781" s="2256" t="s">
        <v>2033</v>
      </c>
      <c r="E781" s="2349">
        <f t="shared" si="138"/>
      </c>
      <c r="F781" s="2288" t="s">
        <v>2343</v>
      </c>
      <c r="G781" s="2408"/>
      <c r="H781" s="2349" t="s">
        <v>2009</v>
      </c>
      <c r="I781" s="2346" t="s">
        <v>1972</v>
      </c>
      <c r="J781" s="2808"/>
      <c r="K781" s="2262"/>
      <c r="L781" s="2262"/>
      <c r="M781" s="2262"/>
      <c r="N781" s="2262"/>
      <c r="O781" s="2262"/>
      <c r="P781" s="2262"/>
    </row>
    <row r="782">
      <c r="A782" s="2802" t="s">
        <v>2506</v>
      </c>
      <c r="B782" s="2809">
        <v>46276</v>
      </c>
      <c r="C782" s="2802" t="str">
        <v>Friday</v>
      </c>
      <c r="D782" s="2804" t="s">
        <v>2033</v>
      </c>
      <c r="E782" s="2805">
        <f t="shared" si="138"/>
      </c>
      <c r="F782" s="2805" t="s">
        <v>2508</v>
      </c>
      <c r="G782" s="2810"/>
      <c r="H782" s="2805" t="s">
        <v>2009</v>
      </c>
      <c r="I782" s="2349" t="s">
        <v>1972</v>
      </c>
      <c r="J782" s="2286"/>
      <c r="K782" s="2262"/>
      <c r="L782" s="2262"/>
      <c r="M782" s="2262"/>
      <c r="N782" s="2262"/>
      <c r="O782" s="2262"/>
      <c r="P782" s="2262"/>
    </row>
    <row r="783">
      <c r="A783" s="2283" t="s">
        <v>2505</v>
      </c>
      <c r="B783" s="2255">
        <v>46277</v>
      </c>
      <c r="C783" s="2283" t="str">
        <v>Saturday</v>
      </c>
      <c r="D783" s="2256" t="s">
        <v>2503</v>
      </c>
      <c r="E783" s="2349">
        <f t="shared" si="138"/>
      </c>
      <c r="F783" s="2288" t="s">
        <v>2513</v>
      </c>
      <c r="G783" s="2408"/>
      <c r="H783" s="2349" t="s">
        <v>2009</v>
      </c>
      <c r="I783" s="2260" t="s">
        <v>1972</v>
      </c>
      <c r="J783" s="2808"/>
      <c r="K783" s="2262"/>
      <c r="L783" s="2262"/>
      <c r="M783" s="2262"/>
      <c r="N783" s="2262"/>
      <c r="O783" s="2262"/>
      <c r="P783" s="2262"/>
    </row>
    <row customHeight="true" ht="18.452380952380953" r="784">
      <c r="A784" s="2802" t="s">
        <v>2506</v>
      </c>
      <c r="B784" s="2809">
        <v>46277</v>
      </c>
      <c r="C784" s="2802" t="str">
        <v>Saturday</v>
      </c>
      <c r="D784" s="2804" t="s">
        <v>2507</v>
      </c>
      <c r="E784" s="2805">
        <f t="shared" si="138"/>
      </c>
      <c r="F784" s="2805" t="s">
        <v>2508</v>
      </c>
      <c r="G784" s="2810"/>
      <c r="H784" s="2807"/>
      <c r="I784" s="2349" t="s">
        <v>1972</v>
      </c>
      <c r="J784" s="2808"/>
      <c r="K784" s="2262"/>
      <c r="L784" s="2262"/>
      <c r="M784" s="2262"/>
      <c r="N784" s="2262"/>
      <c r="O784" s="2262"/>
      <c r="P784" s="2262"/>
    </row>
    <row customHeight="true" ht="18.452380952380953" r="785">
      <c r="A785" s="2802" t="s">
        <v>2514</v>
      </c>
      <c r="B785" s="2809">
        <v>46277</v>
      </c>
      <c r="C785" s="2802" t="str">
        <v>Saturday</v>
      </c>
      <c r="D785" s="2804" t="s">
        <v>2432</v>
      </c>
      <c r="E785" s="2811">
        <v>2</v>
      </c>
      <c r="F785" s="2288" t="s">
        <v>2359</v>
      </c>
      <c r="G785" s="2806" t="s">
        <v>2515</v>
      </c>
      <c r="H785" s="2807"/>
      <c r="I785" s="2349"/>
      <c r="J785" s="2808"/>
      <c r="K785" s="2262"/>
      <c r="L785" s="2262"/>
      <c r="M785" s="2262"/>
      <c r="N785" s="2262"/>
      <c r="O785" s="2262"/>
      <c r="P785" s="2262"/>
    </row>
    <row r="786">
      <c r="J786" s="2266"/>
      <c r="K786" s="2319"/>
      <c r="L786" s="2319"/>
      <c r="M786" s="2319"/>
      <c r="N786" s="2319"/>
      <c r="O786" s="2319"/>
      <c r="P786" s="2319"/>
    </row>
    <row r="787">
      <c r="A787" s="2812" t="s">
        <v>2516</v>
      </c>
      <c r="B787" s="2812"/>
      <c r="C787" s="2812"/>
      <c r="D787" s="2812"/>
      <c r="E787" s="2812"/>
      <c r="F787" s="2812"/>
      <c r="G787" s="2812"/>
      <c r="H787" s="2812"/>
      <c r="I787" s="2812"/>
      <c r="J787" s="2813"/>
      <c r="K787" s="2711"/>
      <c r="L787" s="2711"/>
      <c r="M787" s="2711"/>
      <c r="N787" s="2711"/>
      <c r="O787" s="2711"/>
      <c r="P787" s="2711"/>
    </row>
    <row r="788">
      <c r="A788" s="2814" t="s">
        <v>2516</v>
      </c>
      <c r="B788" s="2815" t="s">
        <v>1990</v>
      </c>
      <c r="C788" s="2815"/>
      <c r="D788" s="2816" t="s">
        <v>1991</v>
      </c>
      <c r="E788" s="2816" t="s">
        <v>1992</v>
      </c>
      <c r="F788" s="2816" t="s">
        <v>1993</v>
      </c>
      <c r="G788" s="2817" t="s">
        <v>2012</v>
      </c>
      <c r="H788" s="2816" t="s">
        <v>1995</v>
      </c>
      <c r="I788" s="2816" t="s">
        <v>1996</v>
      </c>
      <c r="J788" s="2818" t="s">
        <v>1997</v>
      </c>
      <c r="K788" s="2262"/>
      <c r="L788" s="2262"/>
      <c r="M788" s="2262"/>
      <c r="N788" s="2262"/>
      <c r="O788" s="2262"/>
      <c r="P788" s="2262"/>
    </row>
    <row r="789">
      <c r="A789" s="2290" t="s">
        <v>2516</v>
      </c>
      <c r="B789" s="2255">
        <v>46273</v>
      </c>
      <c r="C789" s="2283" t="str">
        <v>Tuesday</v>
      </c>
      <c r="D789" s="2289" t="s">
        <v>2041</v>
      </c>
      <c r="E789" s="2349">
        <f t="shared" ref="E789:E793" si="139">24*MOD(TIMEVALUE(TRIM(MID(D789,FIND("-",D789)+1,LEN(D789)))) - TIMEVALUE(TRIM(LEFT(D789,FIND("-",D789)-1))),1)</f>
      </c>
      <c r="F789" s="2288" t="s">
        <v>2351</v>
      </c>
      <c r="G789" s="2302"/>
      <c r="H789" s="2288" t="s">
        <v>2009</v>
      </c>
      <c r="I789" s="2346" t="s">
        <v>1972</v>
      </c>
      <c r="J789" s="2261"/>
      <c r="K789" s="2262"/>
      <c r="L789" s="2262"/>
      <c r="M789" s="2262"/>
      <c r="N789" s="2262"/>
      <c r="O789" s="2262"/>
      <c r="P789" s="2262"/>
    </row>
    <row customHeight="true" ht="18.452380952380953" r="790">
      <c r="A790" s="2814" t="s">
        <v>2517</v>
      </c>
      <c r="B790" s="2819">
        <v>46273</v>
      </c>
      <c r="C790" s="2820" t="str">
        <v>Tuesday</v>
      </c>
      <c r="D790" s="2821" t="s">
        <v>2518</v>
      </c>
      <c r="E790" s="2822">
        <f t="shared" si="139"/>
      </c>
      <c r="F790" s="2823" t="s">
        <v>2519</v>
      </c>
      <c r="G790" s="2434"/>
      <c r="H790" s="2349" t="s">
        <v>2009</v>
      </c>
      <c r="I790" s="2346" t="s">
        <v>1972</v>
      </c>
      <c r="J790" s="2261"/>
      <c r="K790" s="2262"/>
      <c r="L790" s="2262"/>
      <c r="M790" s="2262"/>
      <c r="N790" s="2262"/>
      <c r="O790" s="2262"/>
      <c r="P790" s="2262"/>
    </row>
    <row customHeight="true" ht="18.452380952380953" r="791">
      <c r="A791" s="2290" t="s">
        <v>2516</v>
      </c>
      <c r="B791" s="2402">
        <v>46274</v>
      </c>
      <c r="C791" s="2283" t="str">
        <v>Wednesday</v>
      </c>
      <c r="D791" s="2403" t="s">
        <v>2041</v>
      </c>
      <c r="E791" s="2349">
        <f t="shared" si="139"/>
      </c>
      <c r="F791" s="2288" t="s">
        <v>2351</v>
      </c>
      <c r="G791" s="2434"/>
      <c r="H791" s="2349"/>
      <c r="I791" s="2271"/>
      <c r="J791" s="2527"/>
      <c r="K791" s="2262"/>
      <c r="L791" s="2262"/>
      <c r="M791" s="2262"/>
      <c r="N791" s="2262"/>
      <c r="O791" s="2262"/>
      <c r="P791" s="2262"/>
      <c r="Q791" s="2319"/>
      <c r="R791" s="2319"/>
    </row>
    <row customHeight="true" ht="18.452380952380953" r="792">
      <c r="A792" s="2814" t="s">
        <v>2517</v>
      </c>
      <c r="B792" s="2819">
        <v>46274</v>
      </c>
      <c r="C792" s="2820" t="str">
        <v>Wednesday</v>
      </c>
      <c r="D792" s="2821" t="s">
        <v>2041</v>
      </c>
      <c r="E792" s="2823">
        <f t="shared" si="139"/>
      </c>
      <c r="F792" s="2823" t="s">
        <v>2136</v>
      </c>
      <c r="G792" s="2434"/>
      <c r="H792" s="2349"/>
      <c r="I792" s="2271"/>
      <c r="J792" s="2527"/>
      <c r="K792" s="2262"/>
      <c r="L792" s="2262"/>
      <c r="M792" s="2262"/>
      <c r="N792" s="2262"/>
      <c r="O792" s="2262"/>
      <c r="P792" s="2262"/>
      <c r="Q792" s="2319"/>
      <c r="R792" s="2319"/>
    </row>
    <row customHeight="true" ht="18.452380952380953" r="793">
      <c r="A793" s="2824" t="s">
        <v>2516</v>
      </c>
      <c r="B793" s="2304">
        <v>46275</v>
      </c>
      <c r="C793" s="2303" t="str">
        <v>Thursday</v>
      </c>
      <c r="D793" s="2305" t="s">
        <v>2129</v>
      </c>
      <c r="E793" s="2306">
        <f t="shared" si="139"/>
      </c>
      <c r="F793" s="2306" t="s">
        <v>2351</v>
      </c>
      <c r="G793" s="2434"/>
      <c r="H793" s="2288" t="s">
        <v>2009</v>
      </c>
      <c r="I793" s="2260" t="s">
        <v>1972</v>
      </c>
      <c r="J793" s="2257" t="s">
        <v>2520</v>
      </c>
      <c r="K793" s="2262"/>
      <c r="L793" s="2262"/>
      <c r="M793" s="2262"/>
      <c r="N793" s="2262"/>
      <c r="O793" s="2262"/>
      <c r="P793" s="2262"/>
    </row>
    <row customHeight="true" ht="18.452380952380953" r="794">
      <c r="A794" s="2824" t="s">
        <v>2517</v>
      </c>
      <c r="B794" s="2304">
        <v>46275</v>
      </c>
      <c r="C794" s="2303" t="str">
        <v>Thursday</v>
      </c>
      <c r="D794" s="2305" t="s">
        <v>2129</v>
      </c>
      <c r="E794" s="2305">
        <v>2</v>
      </c>
      <c r="F794" s="2306" t="s">
        <v>2136</v>
      </c>
      <c r="G794" s="2825"/>
      <c r="H794" s="2823"/>
      <c r="I794" s="2823"/>
      <c r="J794" s="2826" t="s">
        <v>2521</v>
      </c>
      <c r="K794" s="2827"/>
      <c r="L794" s="2827"/>
      <c r="M794" s="2827"/>
      <c r="N794" s="2827"/>
      <c r="O794" s="2827"/>
      <c r="P794" s="2827"/>
      <c r="Q794" s="2828"/>
      <c r="R794" s="2828"/>
    </row>
    <row customHeight="true" ht="18.452380952380953" r="795">
      <c r="A795" s="2290" t="s">
        <v>2516</v>
      </c>
      <c r="B795" s="2255">
        <v>46276</v>
      </c>
      <c r="C795" s="2432" t="str">
        <v>Friday</v>
      </c>
      <c r="D795" s="2403" t="s">
        <v>2041</v>
      </c>
      <c r="E795" s="2349">
        <f t="shared" ref="E795:E797" si="140">24*MOD(TIMEVALUE(TRIM(MID(D795,FIND("-",D795)+1,LEN(D795)))) - TIMEVALUE(TRIM(LEFT(D795,FIND("-",D795)-1))),1)</f>
      </c>
      <c r="F795" s="2288" t="s">
        <v>2075</v>
      </c>
      <c r="G795" s="2434"/>
      <c r="H795" s="2288" t="s">
        <v>2009</v>
      </c>
      <c r="I795" s="2260" t="s">
        <v>1972</v>
      </c>
      <c r="J795" s="2261"/>
      <c r="K795" s="2262"/>
      <c r="L795" s="2262"/>
      <c r="M795" s="2262"/>
      <c r="N795" s="2262"/>
      <c r="O795" s="2262"/>
      <c r="P795" s="2262"/>
    </row>
    <row customHeight="true" ht="18.452380952380953" r="796">
      <c r="A796" s="2814" t="s">
        <v>2517</v>
      </c>
      <c r="B796" s="2819">
        <v>46276</v>
      </c>
      <c r="C796" s="2820" t="str">
        <v>Friday</v>
      </c>
      <c r="D796" s="2821" t="s">
        <v>2041</v>
      </c>
      <c r="E796" s="2823">
        <f t="shared" si="140"/>
      </c>
      <c r="F796" s="2823" t="s">
        <v>2136</v>
      </c>
      <c r="G796" s="2526"/>
      <c r="H796" s="2288" t="s">
        <v>2009</v>
      </c>
      <c r="I796" s="2346" t="s">
        <v>1972</v>
      </c>
      <c r="J796" s="2261"/>
      <c r="K796" s="2262"/>
      <c r="L796" s="2262"/>
      <c r="M796" s="2262"/>
      <c r="N796" s="2262"/>
      <c r="O796" s="2262"/>
      <c r="P796" s="2262"/>
    </row>
    <row customHeight="true" ht="18.452380952380953" r="797">
      <c r="A797" s="2290" t="s">
        <v>2516</v>
      </c>
      <c r="B797" s="2255">
        <v>46277</v>
      </c>
      <c r="C797" s="2432" t="str">
        <v>Saturday</v>
      </c>
      <c r="D797" s="2403" t="s">
        <v>2041</v>
      </c>
      <c r="E797" s="2349">
        <f t="shared" si="140"/>
      </c>
      <c r="F797" s="2288" t="s">
        <v>2351</v>
      </c>
      <c r="G797" s="2434" t="s">
        <v>2511</v>
      </c>
      <c r="H797" s="2288" t="s">
        <v>2009</v>
      </c>
      <c r="I797" s="2260" t="s">
        <v>1972</v>
      </c>
      <c r="J797" s="2261"/>
      <c r="K797" s="2262"/>
      <c r="L797" s="2262"/>
      <c r="M797" s="2262"/>
      <c r="N797" s="2262"/>
      <c r="O797" s="2262"/>
      <c r="P797" s="2262"/>
    </row>
    <row customHeight="true" ht="18.452380952380953" r="798">
      <c r="A798" s="2814" t="s">
        <v>2517</v>
      </c>
      <c r="B798" s="2255">
        <v>46277</v>
      </c>
      <c r="C798" s="2432" t="str">
        <v>Saturday</v>
      </c>
      <c r="D798" s="2403" t="s">
        <v>2041</v>
      </c>
      <c r="E798" s="2403">
        <v>2</v>
      </c>
      <c r="F798" s="2823" t="s">
        <v>2136</v>
      </c>
      <c r="G798" s="2434"/>
      <c r="H798" s="2288"/>
      <c r="I798" s="2260"/>
      <c r="J798" s="2261"/>
      <c r="K798" s="2262"/>
      <c r="L798" s="2262"/>
      <c r="M798" s="2262"/>
      <c r="N798" s="2262"/>
      <c r="O798" s="2262"/>
      <c r="P798" s="2262"/>
    </row>
    <row r="799">
      <c r="A799" s="2290" t="s">
        <v>2516</v>
      </c>
      <c r="B799" s="2255">
        <v>46278</v>
      </c>
      <c r="C799" s="2432" t="str">
        <v>Sunday</v>
      </c>
      <c r="D799" s="2403" t="s">
        <v>2041</v>
      </c>
      <c r="E799" s="2403">
        <v>2</v>
      </c>
      <c r="F799" s="2288" t="s">
        <v>2075</v>
      </c>
      <c r="G799" s="2434" t="s">
        <v>2511</v>
      </c>
      <c r="H799" s="2288" t="s">
        <v>2009</v>
      </c>
      <c r="I799" s="2260"/>
      <c r="J799" s="2261"/>
    </row>
    <row r="800">
      <c r="A800" s="2814"/>
      <c r="B800" s="2819"/>
      <c r="C800" s="2820"/>
      <c r="D800" s="2821"/>
      <c r="E800" s="2821"/>
      <c r="F800" s="2823"/>
      <c r="G800" s="2526"/>
      <c r="H800" s="2288"/>
      <c r="I800" s="2346"/>
      <c r="J800" s="2261"/>
    </row>
    <row r="801">
      <c r="A801" s="2829"/>
      <c r="B801" s="2402"/>
      <c r="C801" s="2432"/>
      <c r="D801" s="2403"/>
      <c r="E801" s="2403"/>
      <c r="F801" s="2349"/>
      <c r="G801" s="2526"/>
      <c r="H801" s="2288"/>
      <c r="I801" s="2346"/>
      <c r="J801" s="2261"/>
    </row>
    <row r="802">
      <c r="A802" s="2829"/>
      <c r="B802" s="2402"/>
      <c r="C802" s="2432"/>
      <c r="D802" s="2403"/>
      <c r="E802" s="2403"/>
      <c r="F802" s="2349"/>
      <c r="G802" s="2526"/>
      <c r="H802" s="2288"/>
      <c r="I802" s="2346"/>
      <c r="J802" s="2261"/>
    </row>
    <row r="803">
      <c r="A803" s="2829"/>
      <c r="B803" s="2402"/>
      <c r="C803" s="2432"/>
      <c r="D803" s="2403"/>
      <c r="E803" s="2403"/>
      <c r="F803" s="2349"/>
      <c r="G803" s="2526"/>
      <c r="H803" s="2288"/>
      <c r="I803" s="2346"/>
      <c r="J803" s="2261"/>
    </row>
    <row r="804">
      <c r="A804" s="2829"/>
      <c r="B804" s="2402"/>
      <c r="C804" s="2432"/>
      <c r="D804" s="2403"/>
      <c r="E804" s="2403"/>
      <c r="F804" s="2349"/>
      <c r="G804" s="2526"/>
      <c r="H804" s="2288"/>
      <c r="I804" s="2346"/>
      <c r="J804" s="2261"/>
    </row>
    <row r="805">
      <c r="A805" s="2829"/>
      <c r="B805" s="2402"/>
      <c r="C805" s="2432"/>
      <c r="D805" s="2403"/>
      <c r="E805" s="2403"/>
      <c r="F805" s="2349"/>
      <c r="G805" s="2526"/>
      <c r="H805" s="2288"/>
      <c r="I805" s="2346"/>
      <c r="J805" s="2261"/>
    </row>
    <row r="806">
      <c r="A806" s="2829"/>
      <c r="B806" s="2402"/>
      <c r="C806" s="2432"/>
      <c r="D806" s="2403"/>
      <c r="E806" s="2403"/>
      <c r="F806" s="2349"/>
      <c r="G806" s="2526"/>
      <c r="H806" s="2288"/>
      <c r="I806" s="2346"/>
      <c r="J806" s="2261"/>
    </row>
    <row r="807">
      <c r="A807" s="2814"/>
      <c r="B807" s="2819"/>
      <c r="C807" s="2820"/>
      <c r="D807" s="2821"/>
      <c r="E807" s="2821"/>
      <c r="F807" s="2823"/>
      <c r="G807" s="2526"/>
      <c r="H807" s="2288"/>
      <c r="I807" s="2346"/>
      <c r="J807" s="2261"/>
    </row>
  </sheetData>
  <autoFilter ref="A1:R807"/>
  <mergeCells>
    <mergeCell ref="B137:C137"/>
    <mergeCell ref="B120:C120"/>
    <mergeCell ref="B104:C104"/>
    <mergeCell ref="A103:F103"/>
    <mergeCell ref="A119:F119"/>
    <mergeCell ref="B86:C86"/>
    <mergeCell ref="A85:F85"/>
    <mergeCell ref="B75:C75"/>
    <mergeCell ref="A74:F74"/>
    <mergeCell ref="A12:J12"/>
    <mergeCell ref="B16:C16"/>
    <mergeCell ref="A26:I26"/>
    <mergeCell ref="A25:J25"/>
    <mergeCell ref="B27:C27"/>
    <mergeCell ref="A2:J2"/>
    <mergeCell ref="A3:J3"/>
    <mergeCell ref="B263:C263"/>
    <mergeCell ref="B209:C209"/>
  </mergeCells>
  <dataValidations count="4">
    <dataValidation allowBlank="true" errorStyle="stop" showErrorMessage="true" sqref="I674:I674 J674:J674" type="list">
      <formula1>"PENDING,YES,Back up"</formula1>
    </dataValidation>
    <dataValidation allowBlank="true" errorStyle="stop" showErrorMessage="true" sqref="I4:I11 I13:I15 I17:I24 I28:I72 I76:I83 I87:I92 I94:I99 I101:I101 I105:I108 I110:I114 I116:I117 I121:I125 I127:I131 I133:I134 I178:I178 I181:I182 I190:I207 I210:I214 I217:I217 I219:I231 I234:I237 I241:I245 I247:I247 I249:I258 I264:I264 I266:I268 I276:I289 I292:I292 I298:I327 I329:I364 I374:I374 I383:I383 I389:I391 I394:I416 I420:I447 I452:I474 I477:I480 I483:I544 I548:I553 I556:I567 I572:I604 I607:I612 I615:I636 I639:I669 I680:I696 I699:I710 I714:I739 I742:I754 I756:I769 I772:I785 I788:I807" type="list">
      <formula1>"YES,PENDING"</formula1>
    </dataValidation>
    <dataValidation allowBlank="true" errorStyle="stop" showErrorMessage="true" sqref="H4:H11 H13:H15 H17:H24 H28:H72 H76:H83 H87:H92 H94:H99 H101:H101 H105:H108 H110:H114 H116:H117 H121:H125 H127:H131 H133:H134 H138:H161 H164:H174 H178:H186 H190:H207 H210:H214 H217:H231 H233:H245 H247:H247 H249:H259 H264:H272 H276:H293 H298:H327 H329:H364 H368:H391 H394:H416 H420:H447 H452:H474 H477:H480 H483:H544 H548:H553 H567:H567 H572:H604 H607:H612 H615:H636 H639:H669 H671:H674 H680:H696 H699:H710 H714:H739 H751:H751" type="list">
      <formula1>"8461 Higuera Street,3619 Eastham Drive"</formula1>
    </dataValidation>
    <dataValidation allowBlank="true" errorStyle="stop" showErrorMessage="true" sqref="I138:I161 I164:I174 I179:I180 I183:I186 I218:I218 I233:I233 I238:I240 I259:I259 I265:I265 I269:I272 I368:I373 I375:I382 I384:I388 I569:I569 I671:I673 J671:J673" type="list">
      <formula1>"PENDING,YES"</formula1>
    </dataValidation>
  </dataValidation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4.253521126760564"/>
    <col collapsed="false" customWidth="true" hidden="false" max="7" min="7" style="0" width="20.48289738430583"/>
    <col collapsed="false" customWidth="true" hidden="false" max="8" min="8" style="0" width="22.92957746478873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4" min="4" style="0" width="21.577464788732396"/>
    <col collapsed="false" customWidth="true" hidden="false" max="5" min="5" style="0" width="12.901408450704226"/>
    <col collapsed="false" customWidth="true" hidden="false" max="9" min="9" style="0" width="15.605633802816902"/>
    <col collapsed="false" customWidth="true" hidden="false" max="13" min="13" style="0" width="11.211267605633802"/>
    <col collapsed="false" customWidth="true" hidden="false" max="1" min="1" style="0" width="27.851742031134172"/>
    <col collapsed="false" customWidth="true" hidden="false" max="6" min="6" style="0" width="26.309859154929576"/>
    <col collapsed="false" customWidth="true" hidden="false" max="10" min="10" style="0" width="38.81690140845073"/>
    <col collapsed="false" customWidth="true" hidden="false" max="14" min="14" style="0" width="11.211267605633802"/>
    <col collapsed="false" customWidth="true" hidden="false" max="2" min="2" style="0" width="15.320978502594512"/>
    <col collapsed="false" customWidth="true" hidden="false" max="11" min="11" style="0" width="11.211267605633802"/>
    <col collapsed="false" customWidth="true" hidden="false" max="15" min="15" style="0" width="11.211267605633802"/>
  </cols>
  <sheetData>
    <row r="1">
      <c r="A1" s="2830"/>
      <c r="B1" s="2831"/>
      <c r="C1" s="2831"/>
      <c r="D1" s="2831"/>
      <c r="E1" s="2831"/>
      <c r="F1" s="2832"/>
      <c r="G1" s="2831"/>
      <c r="H1" s="2833"/>
      <c r="I1" s="2831"/>
      <c r="J1" s="2834"/>
      <c r="K1" s="2835"/>
      <c r="L1" s="2835"/>
      <c r="M1" s="2835"/>
      <c r="N1" s="2835"/>
      <c r="O1" s="2835"/>
      <c r="P1" s="2835"/>
    </row>
    <row customHeight="true" ht="21.146616128578824" r="2">
      <c r="A2" s="2836"/>
      <c r="B2" s="2837"/>
      <c r="C2" s="2837"/>
      <c r="D2" s="2837"/>
      <c r="E2" s="2837"/>
      <c r="F2" s="2837"/>
      <c r="G2" s="2837"/>
      <c r="H2" s="2837"/>
      <c r="I2" s="2837"/>
      <c r="J2" s="2837"/>
      <c r="K2" s="2838"/>
      <c r="L2" s="2838"/>
      <c r="M2" s="2838"/>
      <c r="N2" s="2838"/>
      <c r="O2" s="2838"/>
      <c r="P2" s="2838"/>
    </row>
    <row customHeight="true" ht="43.13909733158636" r="3">
      <c r="A3" s="2839" t="s">
        <v>2522</v>
      </c>
      <c r="B3" s="2840"/>
      <c r="C3" s="2840"/>
      <c r="D3" s="2840"/>
      <c r="E3" s="2840"/>
      <c r="F3" s="2840"/>
      <c r="G3" s="2840"/>
      <c r="H3" s="2840"/>
      <c r="I3" s="2840"/>
      <c r="J3" s="2840"/>
      <c r="K3" s="2841"/>
      <c r="L3" s="2841"/>
      <c r="M3" s="2841"/>
      <c r="N3" s="2841"/>
      <c r="O3" s="2841"/>
      <c r="P3" s="2841"/>
    </row>
    <row r="4">
      <c r="A4" s="2842" t="s">
        <v>2522</v>
      </c>
      <c r="B4" s="2843">
        <v>46265</v>
      </c>
      <c r="C4" s="2844" t="s">
        <v>2523</v>
      </c>
      <c r="D4" s="2845" t="s">
        <v>2524</v>
      </c>
      <c r="E4" s="2846">
        <v>2.5</v>
      </c>
      <c r="F4" s="2847" t="s">
        <v>2525</v>
      </c>
      <c r="G4" s="2848" t="s">
        <v>2526</v>
      </c>
      <c r="H4" s="2849" t="s">
        <v>2527</v>
      </c>
      <c r="I4" s="2849" t="s">
        <v>2528</v>
      </c>
      <c r="J4" s="2850"/>
      <c r="K4" s="2851"/>
      <c r="L4" s="2851"/>
      <c r="M4" s="2851"/>
      <c r="N4" s="2851"/>
      <c r="O4" s="2851"/>
      <c r="P4" s="2851"/>
    </row>
    <row customHeight="true" ht="18.452380952380953" r="5">
      <c r="A5" s="2842" t="s">
        <v>2522</v>
      </c>
      <c r="B5" s="2852">
        <v>46266</v>
      </c>
      <c r="C5" s="2844" t="s">
        <v>2529</v>
      </c>
      <c r="D5" s="2845" t="s">
        <v>2530</v>
      </c>
      <c r="E5" s="2846">
        <v>2.5</v>
      </c>
      <c r="F5" s="2847" t="s">
        <v>2531</v>
      </c>
      <c r="G5" s="2848" t="s">
        <v>2532</v>
      </c>
      <c r="H5" s="2849" t="s">
        <v>2527</v>
      </c>
      <c r="I5" s="2849"/>
      <c r="J5" s="2850"/>
      <c r="K5" s="2851"/>
      <c r="L5" s="2851"/>
      <c r="M5" s="2851"/>
      <c r="N5" s="2851"/>
      <c r="O5" s="2851"/>
      <c r="P5" s="2851"/>
    </row>
    <row customHeight="true" ht="18.452380952380953" r="6">
      <c r="A6" s="2842" t="s">
        <v>2522</v>
      </c>
      <c r="B6" s="2852">
        <v>46266</v>
      </c>
      <c r="C6" s="2844" t="s">
        <v>2529</v>
      </c>
      <c r="D6" s="2845" t="s">
        <v>2530</v>
      </c>
      <c r="E6" s="2846">
        <v>2.5</v>
      </c>
      <c r="F6" s="2847" t="s">
        <v>2533</v>
      </c>
      <c r="G6" s="2848" t="s">
        <v>2532</v>
      </c>
      <c r="H6" s="2849" t="s">
        <v>2527</v>
      </c>
      <c r="I6" s="2849" t="s">
        <v>2528</v>
      </c>
      <c r="J6" s="2850"/>
      <c r="K6" s="2851"/>
      <c r="L6" s="2851"/>
      <c r="M6" s="2851"/>
      <c r="N6" s="2851"/>
      <c r="O6" s="2851"/>
      <c r="P6" s="2851"/>
    </row>
    <row customHeight="true" ht="19.235588972431085" r="7">
      <c r="A7" s="2842" t="s">
        <v>2522</v>
      </c>
      <c r="B7" s="2843">
        <v>46266</v>
      </c>
      <c r="C7" s="2853" t="s">
        <v>2529</v>
      </c>
      <c r="D7" s="2845" t="s">
        <v>2534</v>
      </c>
      <c r="E7" s="2846">
        <v>2.5</v>
      </c>
      <c r="F7" s="2847" t="s">
        <v>2535</v>
      </c>
      <c r="G7" s="2848" t="s">
        <v>2532</v>
      </c>
      <c r="H7" s="2849" t="s">
        <v>2527</v>
      </c>
      <c r="I7" s="2849" t="s">
        <v>2528</v>
      </c>
      <c r="J7" s="2850"/>
      <c r="K7" s="2851"/>
      <c r="L7" s="2851"/>
      <c r="M7" s="2851"/>
      <c r="N7" s="2851"/>
      <c r="O7" s="2851"/>
      <c r="P7" s="2851"/>
    </row>
    <row customHeight="true" ht="18.452380952380953" r="8">
      <c r="A8" s="2842" t="s">
        <v>2522</v>
      </c>
      <c r="B8" s="2843">
        <v>46266</v>
      </c>
      <c r="C8" s="2853" t="s">
        <v>2529</v>
      </c>
      <c r="D8" s="2854" t="s">
        <v>2534</v>
      </c>
      <c r="E8" s="2846">
        <v>2.5</v>
      </c>
      <c r="F8" s="2847" t="s">
        <v>2536</v>
      </c>
      <c r="G8" s="2848" t="s">
        <v>2532</v>
      </c>
      <c r="H8" s="2849" t="s">
        <v>2527</v>
      </c>
      <c r="I8" s="2849" t="s">
        <v>2528</v>
      </c>
      <c r="J8" s="2850"/>
      <c r="K8" s="2851"/>
      <c r="L8" s="2851"/>
      <c r="M8" s="2851"/>
      <c r="N8" s="2851"/>
      <c r="O8" s="2851"/>
      <c r="P8" s="2851"/>
      <c r="Q8" s="2855"/>
      <c r="R8" s="2855"/>
    </row>
    <row r="9">
      <c r="A9" s="2842" t="s">
        <v>2522</v>
      </c>
      <c r="B9" s="2843">
        <v>46267</v>
      </c>
      <c r="C9" s="2844" t="s">
        <v>2537</v>
      </c>
      <c r="D9" s="2845" t="s">
        <v>2538</v>
      </c>
      <c r="E9" s="2846">
        <v>2.25</v>
      </c>
      <c r="F9" s="2847" t="s">
        <v>2539</v>
      </c>
      <c r="G9" s="2848" t="s">
        <v>2526</v>
      </c>
      <c r="H9" s="2849" t="s">
        <v>2527</v>
      </c>
      <c r="I9" s="2849" t="s">
        <v>2528</v>
      </c>
      <c r="J9" s="2850"/>
      <c r="K9" s="2851"/>
      <c r="L9" s="2851"/>
      <c r="M9" s="2851"/>
      <c r="N9" s="2851"/>
      <c r="O9" s="2851"/>
      <c r="P9" s="2851"/>
    </row>
    <row customHeight="true" ht="18.452380952380953" r="10">
      <c r="A10" s="2842" t="s">
        <v>2522</v>
      </c>
      <c r="B10" s="2843">
        <v>46267</v>
      </c>
      <c r="C10" s="2844" t="s">
        <v>2537</v>
      </c>
      <c r="D10" s="2845" t="s">
        <v>2538</v>
      </c>
      <c r="E10" s="2846">
        <v>2.25</v>
      </c>
      <c r="F10" s="2847" t="s">
        <v>2540</v>
      </c>
      <c r="G10" s="2848" t="s">
        <v>2526</v>
      </c>
      <c r="H10" s="2849" t="s">
        <v>2527</v>
      </c>
      <c r="I10" s="2849" t="s">
        <v>2528</v>
      </c>
      <c r="J10" s="2850"/>
      <c r="K10" s="2851"/>
      <c r="L10" s="2851"/>
      <c r="M10" s="2851"/>
      <c r="N10" s="2851"/>
      <c r="O10" s="2851"/>
      <c r="P10" s="2851"/>
    </row>
    <row customHeight="true" ht="18.452380952380953" r="11">
      <c r="A11" s="2842" t="s">
        <v>2522</v>
      </c>
      <c r="B11" s="2843">
        <v>46269</v>
      </c>
      <c r="C11" s="2844" t="s">
        <v>2541</v>
      </c>
      <c r="D11" s="2845" t="s">
        <v>2524</v>
      </c>
      <c r="E11" s="2846">
        <v>2.5</v>
      </c>
      <c r="F11" s="2847" t="s">
        <v>2542</v>
      </c>
      <c r="G11" s="2848" t="s">
        <v>2526</v>
      </c>
      <c r="H11" s="2849" t="s">
        <v>2527</v>
      </c>
      <c r="I11" s="2849" t="s">
        <v>2528</v>
      </c>
      <c r="J11" s="2850"/>
      <c r="K11" s="2851"/>
      <c r="L11" s="2851"/>
      <c r="M11" s="2851"/>
      <c r="N11" s="2851"/>
      <c r="O11" s="2851"/>
      <c r="P11" s="2851"/>
    </row>
    <row customHeight="true" ht="18.452380952380953" r="12">
      <c r="A12" s="2842" t="s">
        <v>2522</v>
      </c>
      <c r="B12" s="2843">
        <v>46269</v>
      </c>
      <c r="C12" s="2844" t="s">
        <v>2541</v>
      </c>
      <c r="D12" s="2845" t="s">
        <v>2543</v>
      </c>
      <c r="E12" s="2846">
        <v>2.5</v>
      </c>
      <c r="F12" s="2847" t="s">
        <v>2544</v>
      </c>
      <c r="G12" s="2848" t="s">
        <v>2526</v>
      </c>
      <c r="H12" s="2849" t="s">
        <v>2527</v>
      </c>
      <c r="I12" s="2849" t="s">
        <v>2528</v>
      </c>
      <c r="J12" s="2850"/>
      <c r="K12" s="2851"/>
      <c r="L12" s="2851"/>
      <c r="M12" s="2851"/>
      <c r="N12" s="2851"/>
      <c r="O12" s="2851"/>
      <c r="P12" s="2851"/>
    </row>
    <row customHeight="true" ht="18.452380952380953" r="13">
      <c r="A13" s="2840" t="s">
        <v>2545</v>
      </c>
      <c r="B13" s="2840"/>
      <c r="C13" s="2840"/>
      <c r="D13" s="2840"/>
      <c r="E13" s="2840"/>
      <c r="F13" s="2840"/>
      <c r="G13" s="2840"/>
      <c r="H13" s="2840"/>
      <c r="I13" s="2840"/>
      <c r="J13" s="2856"/>
      <c r="K13" s="2841"/>
      <c r="L13" s="2841"/>
      <c r="M13" s="2841"/>
      <c r="N13" s="2841"/>
      <c r="O13" s="2841"/>
      <c r="P13" s="2841"/>
      <c r="Q13" s="2855"/>
      <c r="R13" s="2855"/>
    </row>
    <row customHeight="true" ht="18.452380952380953" r="14">
      <c r="A14" s="2857" t="s">
        <v>2545</v>
      </c>
      <c r="B14" s="2843">
        <v>46265</v>
      </c>
      <c r="C14" s="2858" t="s">
        <v>2523</v>
      </c>
      <c r="D14" s="2859" t="s">
        <v>2546</v>
      </c>
      <c r="E14" s="2859">
        <v>8</v>
      </c>
      <c r="F14" s="2860" t="s">
        <v>2547</v>
      </c>
      <c r="G14" s="2861" t="s">
        <v>2526</v>
      </c>
      <c r="H14" s="2862"/>
      <c r="I14" s="2862" t="s">
        <v>2528</v>
      </c>
      <c r="J14" s="2863"/>
      <c r="K14" s="2851"/>
      <c r="L14" s="2851"/>
      <c r="M14" s="2851"/>
      <c r="N14" s="2851"/>
      <c r="O14" s="2851"/>
      <c r="P14" s="2851"/>
      <c r="Q14" s="2855"/>
      <c r="R14" s="2855"/>
    </row>
    <row customHeight="true" ht="18.452380952380953" r="15">
      <c r="A15" s="2857" t="s">
        <v>2545</v>
      </c>
      <c r="B15" s="2864">
        <v>46266</v>
      </c>
      <c r="C15" s="2843" t="s">
        <v>2529</v>
      </c>
      <c r="D15" s="2859" t="s">
        <v>2548</v>
      </c>
      <c r="E15" s="2859">
        <v>2.5</v>
      </c>
      <c r="F15" s="2860" t="s">
        <v>2547</v>
      </c>
      <c r="G15" s="2861" t="s">
        <v>2526</v>
      </c>
      <c r="H15" s="2862"/>
      <c r="I15" s="2862" t="s">
        <v>2528</v>
      </c>
      <c r="J15" s="2863"/>
      <c r="K15" s="2851"/>
      <c r="L15" s="2851"/>
      <c r="M15" s="2851"/>
      <c r="N15" s="2851"/>
      <c r="O15" s="2851"/>
      <c r="P15" s="2851"/>
      <c r="Q15" s="2855"/>
      <c r="R15" s="2855"/>
    </row>
    <row r="16">
      <c r="A16" s="2857" t="s">
        <v>2545</v>
      </c>
      <c r="B16" s="2864">
        <v>46266</v>
      </c>
      <c r="C16" s="2843" t="s">
        <v>2529</v>
      </c>
      <c r="D16" s="2859" t="s">
        <v>2549</v>
      </c>
      <c r="E16" s="2859">
        <v>5</v>
      </c>
      <c r="F16" s="2860" t="s">
        <v>2547</v>
      </c>
      <c r="G16" s="2861" t="s">
        <v>2526</v>
      </c>
      <c r="H16" s="2862"/>
      <c r="I16" s="2862" t="s">
        <v>2528</v>
      </c>
      <c r="J16" s="2863"/>
      <c r="K16" s="2851"/>
      <c r="L16" s="2851"/>
      <c r="M16" s="2851"/>
      <c r="N16" s="2851"/>
      <c r="O16" s="2851"/>
      <c r="P16" s="2851"/>
      <c r="Q16" s="2855"/>
      <c r="R16" s="2855"/>
    </row>
    <row customHeight="true" ht="18.452380952380953" r="17">
      <c r="A17" s="2857" t="s">
        <v>2545</v>
      </c>
      <c r="B17" s="2864">
        <v>46267</v>
      </c>
      <c r="C17" s="2852" t="s">
        <v>2537</v>
      </c>
      <c r="D17" s="2865" t="s">
        <v>2550</v>
      </c>
      <c r="E17" s="2866">
        <v>1</v>
      </c>
      <c r="F17" s="2860" t="s">
        <v>2547</v>
      </c>
      <c r="G17" s="2867" t="s">
        <v>2526</v>
      </c>
      <c r="H17" s="2868"/>
      <c r="I17" s="2862" t="s">
        <v>2528</v>
      </c>
      <c r="J17" s="2863"/>
      <c r="K17" s="2851"/>
      <c r="L17" s="2851"/>
      <c r="M17" s="2851"/>
      <c r="N17" s="2851"/>
      <c r="O17" s="2851"/>
      <c r="P17" s="2851"/>
      <c r="Q17" s="2855"/>
      <c r="R17" s="2855"/>
    </row>
    <row customHeight="true" ht="18.452380952380953" r="18">
      <c r="A18" s="2857" t="s">
        <v>2545</v>
      </c>
      <c r="B18" s="2864">
        <v>46267</v>
      </c>
      <c r="C18" s="2852" t="s">
        <v>2537</v>
      </c>
      <c r="D18" s="2865" t="s">
        <v>2551</v>
      </c>
      <c r="E18" s="2866">
        <v>3</v>
      </c>
      <c r="F18" s="2860" t="s">
        <v>2547</v>
      </c>
      <c r="G18" s="2867" t="s">
        <v>2526</v>
      </c>
      <c r="H18" s="2868"/>
      <c r="I18" s="2862" t="s">
        <v>2528</v>
      </c>
      <c r="J18" s="2863"/>
      <c r="K18" s="2851"/>
      <c r="L18" s="2851"/>
      <c r="M18" s="2851"/>
      <c r="N18" s="2851"/>
      <c r="O18" s="2851"/>
      <c r="P18" s="2851"/>
      <c r="Q18" s="2855"/>
      <c r="R18" s="2855"/>
    </row>
    <row customHeight="true" ht="18.452380952380953" r="19">
      <c r="A19" s="2857" t="s">
        <v>2545</v>
      </c>
      <c r="B19" s="2864">
        <v>46268</v>
      </c>
      <c r="C19" s="2852" t="s">
        <v>2552</v>
      </c>
      <c r="D19" s="2865" t="s">
        <v>2553</v>
      </c>
      <c r="E19" s="2866">
        <v>4.5</v>
      </c>
      <c r="F19" s="2860" t="s">
        <v>2547</v>
      </c>
      <c r="G19" s="2867" t="s">
        <v>2526</v>
      </c>
      <c r="H19" s="2868"/>
      <c r="I19" s="2862" t="s">
        <v>2528</v>
      </c>
      <c r="J19" s="2863"/>
      <c r="K19" s="2851"/>
      <c r="L19" s="2851"/>
      <c r="M19" s="2851"/>
      <c r="N19" s="2851"/>
      <c r="O19" s="2851"/>
      <c r="P19" s="2851"/>
      <c r="Q19" s="2855"/>
      <c r="R19" s="2855"/>
    </row>
    <row customHeight="true" ht="39.88095238095238" r="20">
      <c r="A20" s="2869" t="s">
        <v>2554</v>
      </c>
      <c r="B20" s="2870" t="s">
        <v>2555</v>
      </c>
      <c r="C20" s="2870"/>
      <c r="D20" s="2871" t="s">
        <v>2556</v>
      </c>
      <c r="E20" s="2872" t="s">
        <v>2557</v>
      </c>
      <c r="F20" s="2871" t="s">
        <v>2558</v>
      </c>
      <c r="G20" s="2873" t="s">
        <v>2559</v>
      </c>
      <c r="H20" s="2871" t="s">
        <v>2560</v>
      </c>
      <c r="I20" s="2871" t="s">
        <v>2561</v>
      </c>
      <c r="J20" s="2872" t="s">
        <v>2562</v>
      </c>
      <c r="K20" s="2874"/>
      <c r="L20" s="2874"/>
      <c r="M20" s="2874"/>
      <c r="N20" s="2874"/>
      <c r="O20" s="2874"/>
      <c r="P20" s="2874"/>
      <c r="Q20" s="2855"/>
      <c r="R20" s="2855"/>
    </row>
    <row r="21">
      <c r="A21" s="2875" t="s">
        <v>2563</v>
      </c>
      <c r="B21" s="2875">
        <v>46216</v>
      </c>
      <c r="C21" s="2875" t="str">
        <v>Monday</v>
      </c>
      <c r="D21" s="2849" t="s">
        <v>2564</v>
      </c>
      <c r="E21" s="2850">
        <f t="shared" ref="E21:E22" si="65">24*MOD(TIMEVALUE(TRIM(MID(D21,FIND("-",D21)+1,LEN(D21)))) - TIMEVALUE(TRIM(LEFT(D21,FIND("-",D21)-1))),1)</f>
      </c>
      <c r="F21" s="2876"/>
      <c r="G21" s="2877" t="s">
        <v>2565</v>
      </c>
      <c r="H21" s="2849"/>
      <c r="I21" s="2849" t="s">
        <v>2528</v>
      </c>
      <c r="J21" s="2878"/>
      <c r="K21" s="2851"/>
      <c r="L21" s="2851"/>
      <c r="M21" s="2851"/>
      <c r="N21" s="2851"/>
      <c r="O21" s="2851"/>
      <c r="P21" s="2851"/>
      <c r="Q21" s="2855"/>
      <c r="R21" s="2855"/>
    </row>
    <row r="22">
      <c r="A22" s="2875" t="s">
        <v>2563</v>
      </c>
      <c r="B22" s="2875">
        <v>46218</v>
      </c>
      <c r="C22" s="2875" t="str">
        <v>Wednesday</v>
      </c>
      <c r="D22" s="2879" t="s">
        <v>2566</v>
      </c>
      <c r="E22" s="2850">
        <f t="shared" si="65"/>
      </c>
      <c r="F22" s="2876"/>
      <c r="G22" s="2877"/>
      <c r="H22" s="2849"/>
      <c r="I22" s="2854" t="s">
        <v>2528</v>
      </c>
      <c r="J22" s="2878"/>
      <c r="K22" s="2851"/>
      <c r="L22" s="2851"/>
      <c r="M22" s="2851"/>
      <c r="N22" s="2851"/>
      <c r="O22" s="2851"/>
      <c r="P22" s="2851"/>
    </row>
    <row r="23">
      <c r="A23" s="2875" t="s">
        <v>2567</v>
      </c>
      <c r="B23" s="2875">
        <v>46218</v>
      </c>
      <c r="C23" s="2875" t="str">
        <v>Wednesday</v>
      </c>
      <c r="D23" s="2849"/>
      <c r="E23" s="2850"/>
      <c r="F23" s="2876"/>
      <c r="G23" s="2877"/>
      <c r="H23" s="2849"/>
      <c r="I23" s="2849" t="s">
        <v>2568</v>
      </c>
      <c r="J23" s="2878"/>
      <c r="K23" s="2851"/>
      <c r="L23" s="2851"/>
      <c r="M23" s="2851"/>
      <c r="N23" s="2851"/>
      <c r="O23" s="2851"/>
      <c r="P23" s="2851"/>
    </row>
    <row r="24">
      <c r="A24" s="2875" t="s">
        <v>2567</v>
      </c>
      <c r="B24" s="2875">
        <v>46219</v>
      </c>
      <c r="C24" s="2875" t="str">
        <v>Thursday</v>
      </c>
      <c r="D24" s="2849"/>
      <c r="E24" s="2850"/>
      <c r="F24" s="2876"/>
      <c r="G24" s="2877"/>
      <c r="H24" s="2849"/>
      <c r="I24" s="2849" t="s">
        <v>2568</v>
      </c>
      <c r="J24" s="2878"/>
      <c r="K24" s="2851"/>
      <c r="L24" s="2851"/>
      <c r="M24" s="2851"/>
      <c r="N24" s="2851"/>
      <c r="O24" s="2851"/>
      <c r="P24" s="2851"/>
    </row>
    <row customHeight="true" ht="18.452380952380953" r="25">
      <c r="A25" s="2880" t="s">
        <v>2569</v>
      </c>
      <c r="B25" s="2875">
        <v>46268</v>
      </c>
      <c r="C25" s="2875" t="str">
        <v>Thursday</v>
      </c>
      <c r="D25" s="2881" t="s">
        <v>2570</v>
      </c>
      <c r="E25" s="2854">
        <f t="shared" ref="E25:E26" si="66">24*MOD(TIMEVALUE(TRIM(MID(D25,FIND("-",D25)+1,LEN(D25)))) - TIMEVALUE(TRIM(LEFT(D25,FIND("-",D25)-1))),1)</f>
      </c>
      <c r="F25" s="2882" t="s">
        <v>2571</v>
      </c>
      <c r="G25" s="2883"/>
      <c r="H25" s="2854" t="s">
        <v>2572</v>
      </c>
      <c r="I25" s="2854" t="s">
        <v>2528</v>
      </c>
      <c r="J25" s="2850"/>
      <c r="K25" s="2884"/>
      <c r="L25" s="2884"/>
      <c r="M25" s="2884"/>
      <c r="N25" s="2884"/>
      <c r="O25" s="2884"/>
      <c r="P25" s="2884"/>
      <c r="Q25" s="2884"/>
      <c r="R25" s="2884"/>
    </row>
    <row customHeight="true" ht="18.452380952380953" r="26">
      <c r="A26" s="2880" t="s">
        <v>2569</v>
      </c>
      <c r="B26" s="2875">
        <v>46267</v>
      </c>
      <c r="C26" s="2875" t="str">
        <v>Wednesday</v>
      </c>
      <c r="D26" s="2849" t="s">
        <v>2573</v>
      </c>
      <c r="E26" s="2854">
        <f t="shared" si="66"/>
      </c>
      <c r="F26" s="2882" t="s">
        <v>2574</v>
      </c>
      <c r="G26" s="2883"/>
      <c r="H26" s="2854" t="s">
        <v>2572</v>
      </c>
      <c r="I26" s="2854" t="s">
        <v>2528</v>
      </c>
      <c r="J26" s="2850"/>
      <c r="K26" s="2884"/>
      <c r="L26" s="2884"/>
      <c r="M26" s="2884"/>
      <c r="N26" s="2884"/>
      <c r="O26" s="2884"/>
      <c r="P26" s="2884"/>
      <c r="Q26" s="2884"/>
      <c r="R26" s="2884"/>
    </row>
    <row customHeight="true" ht="18.452380952380953" r="27">
      <c r="A27" s="2880" t="s">
        <v>2569</v>
      </c>
      <c r="B27" s="2844">
        <v>46269</v>
      </c>
      <c r="C27" s="2875" t="str">
        <v>Friday</v>
      </c>
      <c r="D27" s="2881" t="s">
        <v>2575</v>
      </c>
      <c r="E27" s="2854"/>
      <c r="F27" s="2882"/>
      <c r="G27" s="2883"/>
      <c r="H27" s="2854"/>
      <c r="I27" s="2854"/>
      <c r="J27" s="2850"/>
      <c r="K27" s="2884"/>
      <c r="L27" s="2884"/>
      <c r="M27" s="2884"/>
      <c r="N27" s="2884"/>
      <c r="O27" s="2884"/>
      <c r="P27" s="2884"/>
      <c r="Q27" s="2884"/>
      <c r="R27" s="2884"/>
    </row>
    <row customHeight="true" ht="18.452380952380953" r="28">
      <c r="A28" s="2875"/>
      <c r="B28" s="2844"/>
      <c r="C28" s="2875"/>
      <c r="D28" s="2849"/>
      <c r="E28" s="2850"/>
      <c r="F28" s="2882"/>
      <c r="G28" s="2877"/>
      <c r="H28" s="2849"/>
      <c r="I28" s="2849"/>
      <c r="J28" s="2878"/>
      <c r="K28" s="2851"/>
      <c r="L28" s="2851"/>
      <c r="M28" s="2851"/>
      <c r="N28" s="2851"/>
      <c r="O28" s="2851"/>
      <c r="P28" s="2851"/>
    </row>
    <row customHeight="true" ht="18.452380952380953" r="29">
      <c r="A29" s="2875"/>
      <c r="B29" s="2844"/>
      <c r="C29" s="2875"/>
      <c r="D29" s="2849"/>
      <c r="E29" s="2850"/>
      <c r="F29" s="2882"/>
      <c r="G29" s="2877"/>
      <c r="H29" s="2849"/>
      <c r="I29" s="2849"/>
      <c r="J29" s="2878"/>
      <c r="K29" s="2851"/>
      <c r="L29" s="2851"/>
      <c r="M29" s="2851"/>
      <c r="N29" s="2851"/>
      <c r="O29" s="2851"/>
      <c r="P29" s="2851"/>
    </row>
    <row r="30">
      <c r="A30" s="2837"/>
      <c r="B30" s="2837"/>
      <c r="C30" s="2837"/>
      <c r="D30" s="2837"/>
      <c r="E30" s="2837"/>
      <c r="F30" s="2837"/>
      <c r="G30" s="2837"/>
      <c r="H30" s="2837"/>
      <c r="I30" s="2837"/>
      <c r="J30" s="2837"/>
      <c r="K30" s="2838"/>
      <c r="L30" s="2838"/>
      <c r="M30" s="2838"/>
      <c r="N30" s="2838"/>
      <c r="O30" s="2838"/>
      <c r="P30" s="2838"/>
    </row>
    <row r="31">
      <c r="A31" s="2885" t="s">
        <v>2576</v>
      </c>
      <c r="B31" s="2885"/>
      <c r="C31" s="2885"/>
      <c r="D31" s="2885"/>
      <c r="E31" s="2885"/>
      <c r="F31" s="2885"/>
      <c r="G31" s="2885"/>
      <c r="H31" s="2885"/>
      <c r="I31" s="2885"/>
      <c r="J31" s="2886"/>
      <c r="K31" s="2887"/>
      <c r="L31" s="2887"/>
      <c r="M31" s="2887"/>
      <c r="N31" s="2887"/>
      <c r="O31" s="2887"/>
      <c r="P31" s="2887"/>
    </row>
    <row r="32">
      <c r="A32" s="2888" t="s">
        <v>2554</v>
      </c>
      <c r="B32" s="2889" t="s">
        <v>2555</v>
      </c>
      <c r="C32" s="2889"/>
      <c r="D32" s="2890" t="s">
        <v>2556</v>
      </c>
      <c r="E32" s="2890" t="s">
        <v>2557</v>
      </c>
      <c r="F32" s="2890" t="s">
        <v>2558</v>
      </c>
      <c r="G32" s="2891" t="s">
        <v>2577</v>
      </c>
      <c r="H32" s="2890" t="s">
        <v>2560</v>
      </c>
      <c r="I32" s="2890" t="s">
        <v>2561</v>
      </c>
      <c r="J32" s="2892" t="s">
        <v>2562</v>
      </c>
      <c r="K32" s="2874"/>
      <c r="L32" s="2874"/>
      <c r="M32" s="2874"/>
      <c r="N32" s="2874"/>
      <c r="O32" s="2874"/>
      <c r="P32" s="2874"/>
    </row>
    <row customHeight="true" ht="18.452380952380953" r="33">
      <c r="A33" s="2875" t="s">
        <v>2578</v>
      </c>
      <c r="B33" s="2844">
        <v>46265</v>
      </c>
      <c r="C33" s="2875" t="str">
        <v>Monday</v>
      </c>
      <c r="D33" s="2845" t="s">
        <v>2579</v>
      </c>
      <c r="E33" s="2854">
        <f t="shared" ref="E33:E41" si="67">24*MOD(TIMEVALUE(TRIM(MID(D33,FIND("-",D33)+1,LEN(D33)))) - TIMEVALUE(TRIM(LEFT(D33,FIND("-",D33)-1))),1)</f>
      </c>
      <c r="F33" s="2854" t="s">
        <v>2580</v>
      </c>
      <c r="G33" s="2893" t="s">
        <v>2581</v>
      </c>
      <c r="H33" s="2894"/>
      <c r="I33" s="2854"/>
      <c r="J33" s="2878"/>
      <c r="K33" s="2851"/>
      <c r="L33" s="2851"/>
      <c r="M33" s="2851"/>
      <c r="N33" s="2851"/>
      <c r="O33" s="2851"/>
      <c r="P33" s="2851"/>
    </row>
    <row customHeight="true" ht="18.452380952380953" r="34">
      <c r="A34" s="2875" t="s">
        <v>2578</v>
      </c>
      <c r="B34" s="2844">
        <v>46268</v>
      </c>
      <c r="C34" s="2875" t="str">
        <v>Thursday</v>
      </c>
      <c r="D34" s="2845" t="s">
        <v>2582</v>
      </c>
      <c r="E34" s="2854">
        <f t="shared" si="67"/>
      </c>
      <c r="F34" s="2854" t="s">
        <v>2580</v>
      </c>
      <c r="G34" s="2893" t="s">
        <v>2583</v>
      </c>
      <c r="H34" s="2894"/>
      <c r="I34" s="2854"/>
      <c r="J34" s="2878"/>
      <c r="K34" s="2851"/>
      <c r="L34" s="2851"/>
      <c r="M34" s="2851"/>
      <c r="N34" s="2851"/>
      <c r="O34" s="2851"/>
      <c r="P34" s="2851"/>
    </row>
    <row customHeight="true" ht="18.452380952380953" r="35">
      <c r="A35" s="2875" t="s">
        <v>2578</v>
      </c>
      <c r="B35" s="2844">
        <v>46268</v>
      </c>
      <c r="C35" s="2895" t="str">
        <v>Thursday</v>
      </c>
      <c r="D35" s="2896" t="s">
        <v>2584</v>
      </c>
      <c r="E35" s="2897">
        <f t="shared" si="67"/>
      </c>
      <c r="F35" s="2854" t="s">
        <v>2585</v>
      </c>
      <c r="G35" s="2893" t="s">
        <v>2586</v>
      </c>
      <c r="H35" s="2894"/>
      <c r="I35" s="2854"/>
      <c r="J35" s="2878"/>
      <c r="K35" s="2851"/>
      <c r="L35" s="2851"/>
      <c r="M35" s="2851"/>
      <c r="N35" s="2851"/>
      <c r="O35" s="2851"/>
      <c r="P35" s="2851"/>
    </row>
    <row customHeight="true" ht="18.452380952380953" r="36">
      <c r="A36" s="2875" t="s">
        <v>2578</v>
      </c>
      <c r="B36" s="2844">
        <v>46268</v>
      </c>
      <c r="C36" s="2895" t="str">
        <v>Thursday</v>
      </c>
      <c r="D36" s="2896" t="s">
        <v>2587</v>
      </c>
      <c r="E36" s="2897">
        <f t="shared" si="67"/>
      </c>
      <c r="F36" s="2854" t="s">
        <v>2580</v>
      </c>
      <c r="G36" s="2893" t="s">
        <v>2588</v>
      </c>
      <c r="H36" s="2894"/>
      <c r="I36" s="2854"/>
      <c r="J36" s="2878"/>
      <c r="K36" s="2851"/>
      <c r="L36" s="2851"/>
      <c r="M36" s="2851"/>
      <c r="N36" s="2851"/>
      <c r="O36" s="2851"/>
      <c r="P36" s="2851"/>
    </row>
    <row customHeight="true" ht="18.452380952380953" r="37">
      <c r="A37" s="2898" t="s">
        <v>2578</v>
      </c>
      <c r="B37" s="2899">
        <v>46268</v>
      </c>
      <c r="C37" s="2898" t="str">
        <v>Thursday</v>
      </c>
      <c r="D37" s="2900" t="s">
        <v>2589</v>
      </c>
      <c r="E37" s="2901">
        <f t="shared" si="67"/>
      </c>
      <c r="F37" s="2901" t="s">
        <v>2590</v>
      </c>
      <c r="G37" s="2902" t="s">
        <v>2583</v>
      </c>
      <c r="H37" s="2903"/>
      <c r="I37" s="2901"/>
      <c r="J37" s="2904" t="s">
        <v>2591</v>
      </c>
      <c r="K37" s="2851"/>
      <c r="L37" s="2851"/>
      <c r="M37" s="2851"/>
      <c r="N37" s="2851"/>
      <c r="O37" s="2851"/>
      <c r="P37" s="2851"/>
    </row>
    <row customHeight="true" ht="18.452380952380953" r="38">
      <c r="A38" s="2875" t="s">
        <v>2578</v>
      </c>
      <c r="B38" s="2844">
        <v>46269</v>
      </c>
      <c r="C38" s="2895" t="str">
        <v>Friday</v>
      </c>
      <c r="D38" s="2896" t="s">
        <v>2582</v>
      </c>
      <c r="E38" s="2897">
        <f t="shared" si="67"/>
      </c>
      <c r="F38" s="2854" t="s">
        <v>2580</v>
      </c>
      <c r="G38" s="2893" t="s">
        <v>2583</v>
      </c>
      <c r="H38" s="2894"/>
      <c r="I38" s="2854"/>
      <c r="J38" s="2878"/>
      <c r="K38" s="2851"/>
      <c r="L38" s="2851"/>
      <c r="M38" s="2851"/>
      <c r="N38" s="2851"/>
      <c r="O38" s="2851"/>
      <c r="P38" s="2851"/>
    </row>
    <row customHeight="true" ht="18.452380952380953" r="39">
      <c r="A39" s="2875" t="s">
        <v>2578</v>
      </c>
      <c r="B39" s="2844">
        <v>46269</v>
      </c>
      <c r="C39" s="2895" t="str">
        <v>Friday</v>
      </c>
      <c r="D39" s="2896" t="s">
        <v>2592</v>
      </c>
      <c r="E39" s="2897">
        <f t="shared" si="67"/>
      </c>
      <c r="F39" s="2854" t="s">
        <v>2585</v>
      </c>
      <c r="G39" s="2893" t="s">
        <v>2586</v>
      </c>
      <c r="H39" s="2894"/>
      <c r="I39" s="2854"/>
      <c r="J39" s="2878"/>
      <c r="K39" s="2851"/>
      <c r="L39" s="2851"/>
      <c r="M39" s="2851"/>
      <c r="N39" s="2851"/>
      <c r="O39" s="2851"/>
      <c r="P39" s="2851"/>
    </row>
    <row customHeight="true" ht="18.452380952380953" r="40">
      <c r="A40" s="2875" t="s">
        <v>2578</v>
      </c>
      <c r="B40" s="2844">
        <v>46269</v>
      </c>
      <c r="C40" s="2895" t="str">
        <v>Friday</v>
      </c>
      <c r="D40" s="2896" t="s">
        <v>2575</v>
      </c>
      <c r="E40" s="2897">
        <f t="shared" si="67"/>
      </c>
      <c r="F40" s="2854" t="s">
        <v>2580</v>
      </c>
      <c r="G40" s="2893" t="s">
        <v>2588</v>
      </c>
      <c r="H40" s="2905"/>
      <c r="I40" s="2854"/>
      <c r="J40" s="2878"/>
      <c r="K40" s="2851"/>
      <c r="L40" s="2851"/>
      <c r="M40" s="2851"/>
      <c r="N40" s="2851"/>
      <c r="O40" s="2851"/>
      <c r="P40" s="2851"/>
    </row>
    <row customHeight="true" ht="18.452380952380953" r="41">
      <c r="A41" s="2875" t="s">
        <v>2578</v>
      </c>
      <c r="B41" s="2844">
        <v>46270</v>
      </c>
      <c r="C41" s="2895" t="str">
        <v>Saturday</v>
      </c>
      <c r="D41" s="2896" t="s">
        <v>2593</v>
      </c>
      <c r="E41" s="2897">
        <f t="shared" si="67"/>
      </c>
      <c r="F41" s="2854" t="s">
        <v>2590</v>
      </c>
      <c r="G41" s="2893" t="s">
        <v>2586</v>
      </c>
      <c r="H41" s="2894"/>
      <c r="I41" s="2854"/>
      <c r="J41" s="2878"/>
      <c r="K41" s="2851"/>
      <c r="L41" s="2851"/>
      <c r="M41" s="2851"/>
      <c r="N41" s="2851"/>
      <c r="O41" s="2851"/>
      <c r="P41" s="2851"/>
    </row>
    <row customHeight="true" ht="18.452380952380953" r="42">
      <c r="A42" s="2875"/>
      <c r="B42" s="2844"/>
      <c r="C42" s="2875"/>
      <c r="D42" s="2845"/>
      <c r="E42" s="2854"/>
      <c r="F42" s="2854"/>
      <c r="G42" s="2893"/>
      <c r="H42" s="2894"/>
      <c r="I42" s="2854"/>
      <c r="J42" s="2878"/>
      <c r="K42" s="2851"/>
      <c r="L42" s="2851"/>
      <c r="M42" s="2851"/>
      <c r="N42" s="2851"/>
      <c r="O42" s="2851"/>
      <c r="P42" s="2851"/>
    </row>
    <row customHeight="true" ht="18.452380952380953" r="43">
      <c r="A43" s="2875"/>
      <c r="B43" s="2844"/>
      <c r="C43" s="2875"/>
      <c r="D43" s="2845"/>
      <c r="E43" s="2854"/>
      <c r="F43" s="2854"/>
      <c r="G43" s="2893"/>
      <c r="H43" s="2894"/>
      <c r="I43" s="2854"/>
      <c r="J43" s="2878"/>
      <c r="K43" s="2851"/>
      <c r="L43" s="2851"/>
      <c r="M43" s="2851"/>
      <c r="N43" s="2851"/>
      <c r="O43" s="2851"/>
      <c r="P43" s="2851"/>
    </row>
    <row customHeight="true" ht="18.452380952380953" r="44">
      <c r="A44" s="2906" t="s">
        <v>2594</v>
      </c>
      <c r="B44" s="2907">
        <v>46265</v>
      </c>
      <c r="C44" s="2906" t="str">
        <v>Monday</v>
      </c>
      <c r="D44" s="2908" t="s">
        <v>2595</v>
      </c>
      <c r="E44" s="2909">
        <f t="shared" ref="E44:E47" si="68">24*MOD(TIMEVALUE(TRIM(MID(D44,FIND("-",D44)+1,LEN(D44)))) - TIMEVALUE(TRIM(LEFT(D44,FIND("-",D44)-1))),1)</f>
      </c>
      <c r="F44" s="2909" t="s">
        <v>2586</v>
      </c>
      <c r="G44" s="2910"/>
      <c r="H44" s="2911"/>
      <c r="I44" s="2909"/>
      <c r="J44" s="2912"/>
      <c r="K44" s="2851"/>
      <c r="L44" s="2851"/>
      <c r="M44" s="2851"/>
      <c r="N44" s="2851"/>
      <c r="O44" s="2851"/>
      <c r="P44" s="2851"/>
    </row>
    <row customHeight="true" ht="18.452380952380953" r="45">
      <c r="A45" s="2906" t="s">
        <v>2594</v>
      </c>
      <c r="B45" s="2907">
        <v>46265</v>
      </c>
      <c r="C45" s="2906" t="str">
        <v>Monday</v>
      </c>
      <c r="D45" s="2908" t="s">
        <v>2596</v>
      </c>
      <c r="E45" s="2909">
        <f t="shared" si="68"/>
      </c>
      <c r="F45" s="2909" t="s">
        <v>2597</v>
      </c>
      <c r="G45" s="2910"/>
      <c r="H45" s="2911"/>
      <c r="I45" s="2909"/>
      <c r="J45" s="2912"/>
      <c r="K45" s="2851"/>
      <c r="L45" s="2851"/>
      <c r="M45" s="2851"/>
      <c r="N45" s="2851"/>
      <c r="O45" s="2851"/>
      <c r="P45" s="2851"/>
    </row>
    <row customHeight="true" ht="18.452380952380953" r="46">
      <c r="A46" s="2906" t="s">
        <v>2594</v>
      </c>
      <c r="B46" s="2907">
        <v>46268</v>
      </c>
      <c r="C46" s="2906" t="str">
        <v>Thursday</v>
      </c>
      <c r="D46" s="2908" t="s">
        <v>2598</v>
      </c>
      <c r="E46" s="2909">
        <f t="shared" si="68"/>
      </c>
      <c r="F46" s="2909" t="s">
        <v>2599</v>
      </c>
      <c r="G46" s="2910"/>
      <c r="H46" s="2911"/>
      <c r="I46" s="2909"/>
      <c r="J46" s="2912"/>
      <c r="K46" s="2851"/>
      <c r="L46" s="2851"/>
      <c r="M46" s="2851"/>
      <c r="N46" s="2851"/>
      <c r="O46" s="2851"/>
      <c r="P46" s="2851"/>
    </row>
    <row customHeight="true" ht="18.452380952380953" r="47">
      <c r="A47" s="2906" t="s">
        <v>2594</v>
      </c>
      <c r="B47" s="2907">
        <v>46268</v>
      </c>
      <c r="C47" s="2906" t="str">
        <v>Thursday</v>
      </c>
      <c r="D47" s="2908" t="s">
        <v>2600</v>
      </c>
      <c r="E47" s="2909">
        <f t="shared" si="68"/>
      </c>
      <c r="F47" s="2909" t="s">
        <v>2586</v>
      </c>
      <c r="G47" s="2910"/>
      <c r="H47" s="2911"/>
      <c r="I47" s="2909"/>
      <c r="J47" s="2912"/>
      <c r="K47" s="2851"/>
      <c r="L47" s="2851"/>
      <c r="M47" s="2851"/>
      <c r="N47" s="2851"/>
      <c r="O47" s="2851"/>
      <c r="P47" s="2851"/>
    </row>
    <row customHeight="true" ht="18.452380952380953" r="48">
      <c r="A48" s="2906" t="s">
        <v>2594</v>
      </c>
      <c r="B48" s="2907">
        <v>46268</v>
      </c>
      <c r="C48" s="2906" t="str">
        <v>Thursday</v>
      </c>
      <c r="D48" s="2908" t="s">
        <v>2601</v>
      </c>
      <c r="E48" s="2908">
        <v>3</v>
      </c>
      <c r="F48" s="2909" t="s">
        <v>2599</v>
      </c>
      <c r="G48" s="2910"/>
      <c r="H48" s="2911"/>
      <c r="I48" s="2909"/>
      <c r="J48" s="2912"/>
      <c r="K48" s="2851"/>
      <c r="L48" s="2851"/>
      <c r="M48" s="2851"/>
      <c r="N48" s="2851"/>
      <c r="O48" s="2851"/>
      <c r="P48" s="2851"/>
    </row>
    <row customHeight="true" ht="18.452380952380953" r="49">
      <c r="A49" s="2906" t="s">
        <v>2594</v>
      </c>
      <c r="B49" s="2907">
        <v>46269</v>
      </c>
      <c r="C49" s="2906" t="str">
        <v>Friday</v>
      </c>
      <c r="D49" s="2908" t="s">
        <v>2582</v>
      </c>
      <c r="E49" s="2909">
        <f t="shared" ref="E49:E52" si="69">24*MOD(TIMEVALUE(TRIM(MID(D49,FIND("-",D49)+1,LEN(D49)))) - TIMEVALUE(TRIM(LEFT(D49,FIND("-",D49)-1))),1)</f>
      </c>
      <c r="F49" s="2909" t="s">
        <v>2599</v>
      </c>
      <c r="G49" s="2910"/>
      <c r="H49" s="2911"/>
      <c r="I49" s="2909"/>
      <c r="J49" s="2912"/>
      <c r="K49" s="2851"/>
      <c r="L49" s="2851"/>
      <c r="M49" s="2851"/>
      <c r="N49" s="2851"/>
      <c r="O49" s="2851"/>
      <c r="P49" s="2851"/>
    </row>
    <row customHeight="true" ht="18.452380952380953" r="50">
      <c r="A50" s="2906" t="s">
        <v>2594</v>
      </c>
      <c r="B50" s="2907">
        <v>46269</v>
      </c>
      <c r="C50" s="2906" t="str">
        <v>Friday</v>
      </c>
      <c r="D50" s="2908" t="s">
        <v>2584</v>
      </c>
      <c r="E50" s="2909">
        <f t="shared" si="69"/>
      </c>
      <c r="F50" s="2909" t="s">
        <v>2586</v>
      </c>
      <c r="G50" s="2913"/>
      <c r="H50" s="2909"/>
      <c r="I50" s="2909"/>
      <c r="J50" s="2912"/>
      <c r="K50" s="2851"/>
      <c r="L50" s="2851"/>
      <c r="M50" s="2851"/>
      <c r="N50" s="2851"/>
      <c r="O50" s="2851"/>
      <c r="P50" s="2851"/>
      <c r="Q50" s="2914"/>
      <c r="R50" s="2914"/>
    </row>
    <row customHeight="true" ht="18.452380952380953" r="51">
      <c r="A51" s="2906" t="s">
        <v>2594</v>
      </c>
      <c r="B51" s="2907">
        <v>46269</v>
      </c>
      <c r="C51" s="2906" t="str">
        <v>Friday</v>
      </c>
      <c r="D51" s="2908" t="s">
        <v>2596</v>
      </c>
      <c r="E51" s="2909">
        <f t="shared" si="69"/>
      </c>
      <c r="F51" s="2909" t="s">
        <v>2599</v>
      </c>
      <c r="G51" s="2913"/>
      <c r="H51" s="2909"/>
      <c r="I51" s="2909"/>
      <c r="J51" s="2912"/>
      <c r="K51" s="2851"/>
      <c r="L51" s="2851"/>
      <c r="M51" s="2851"/>
      <c r="N51" s="2851"/>
      <c r="O51" s="2851"/>
      <c r="P51" s="2851"/>
      <c r="Q51" s="2914"/>
      <c r="R51" s="2914"/>
    </row>
    <row customHeight="true" ht="16.071428571428573" r="52">
      <c r="A52" s="2906" t="s">
        <v>2594</v>
      </c>
      <c r="B52" s="2907">
        <v>46270</v>
      </c>
      <c r="C52" s="2906" t="str">
        <v>Saturday</v>
      </c>
      <c r="D52" s="2908" t="s">
        <v>2602</v>
      </c>
      <c r="E52" s="2909">
        <f t="shared" si="69"/>
      </c>
      <c r="F52" s="2909" t="s">
        <v>2586</v>
      </c>
      <c r="G52" s="2913"/>
      <c r="H52" s="2909"/>
      <c r="I52" s="2909"/>
      <c r="J52" s="2912"/>
      <c r="K52" s="2851"/>
      <c r="L52" s="2851"/>
      <c r="M52" s="2851"/>
      <c r="N52" s="2851"/>
      <c r="O52" s="2851"/>
      <c r="P52" s="2851"/>
      <c r="Q52" s="2914"/>
      <c r="R52" s="2914"/>
    </row>
    <row customHeight="true" ht="16.071428571428573" r="53">
      <c r="A53" s="2906"/>
      <c r="B53" s="2907"/>
      <c r="C53" s="2906"/>
      <c r="D53" s="2908"/>
      <c r="E53" s="2909"/>
      <c r="F53" s="2909"/>
      <c r="G53" s="2913"/>
      <c r="H53" s="2909"/>
      <c r="I53" s="2909"/>
      <c r="J53" s="2912"/>
      <c r="K53" s="2851"/>
      <c r="L53" s="2851"/>
      <c r="M53" s="2851"/>
      <c r="N53" s="2851"/>
      <c r="O53" s="2851"/>
      <c r="P53" s="2851"/>
      <c r="Q53" s="2914"/>
      <c r="R53" s="2914"/>
    </row>
    <row customHeight="true" ht="16.071428571428573" r="54">
      <c r="A54" s="2906"/>
      <c r="B54" s="2907"/>
      <c r="C54" s="2906"/>
      <c r="D54" s="2908"/>
      <c r="E54" s="2909"/>
      <c r="F54" s="2909"/>
      <c r="G54" s="2913"/>
      <c r="H54" s="2909"/>
      <c r="I54" s="2909"/>
      <c r="J54" s="2912"/>
      <c r="K54" s="2851"/>
      <c r="L54" s="2851"/>
      <c r="M54" s="2851"/>
      <c r="N54" s="2851"/>
      <c r="O54" s="2851"/>
      <c r="P54" s="2851"/>
      <c r="Q54" s="2914"/>
      <c r="R54" s="2914"/>
    </row>
    <row customHeight="true" ht="16.071428571428573" r="55">
      <c r="A55" s="2906"/>
      <c r="B55" s="2907"/>
      <c r="C55" s="2906"/>
      <c r="D55" s="2908"/>
      <c r="E55" s="2909"/>
      <c r="F55" s="2909"/>
      <c r="G55" s="2913"/>
      <c r="H55" s="2909"/>
      <c r="I55" s="2909"/>
      <c r="J55" s="2912"/>
      <c r="K55" s="2851"/>
      <c r="L55" s="2851"/>
      <c r="M55" s="2851"/>
      <c r="N55" s="2851"/>
      <c r="O55" s="2851"/>
      <c r="P55" s="2851"/>
      <c r="Q55" s="2914"/>
      <c r="R55" s="2914"/>
    </row>
    <row customHeight="true" ht="16.071428571428573" r="56">
      <c r="A56" s="2906" t="s">
        <v>2603</v>
      </c>
      <c r="B56" s="2907">
        <v>46265</v>
      </c>
      <c r="C56" s="2906" t="str">
        <v>Monday</v>
      </c>
      <c r="D56" s="2908" t="s">
        <v>2604</v>
      </c>
      <c r="E56" s="2909">
        <f t="shared" ref="E56:E69" si="70">24*MOD(TIMEVALUE(TRIM(MID(D56,FIND("-",D56)+1,LEN(D56)))) - TIMEVALUE(TRIM(LEFT(D56,FIND("-",D56)-1))),1)</f>
      </c>
      <c r="F56" s="2909" t="s">
        <v>2580</v>
      </c>
      <c r="G56" s="2913"/>
      <c r="H56" s="2909"/>
      <c r="I56" s="2909"/>
      <c r="J56" s="2915"/>
      <c r="K56" s="2851"/>
      <c r="L56" s="2851"/>
      <c r="M56" s="2851"/>
      <c r="N56" s="2851"/>
      <c r="O56" s="2851"/>
      <c r="P56" s="2851"/>
      <c r="Q56" s="2914"/>
      <c r="R56" s="2914"/>
    </row>
    <row customHeight="true" ht="16.071428571428573" r="57">
      <c r="A57" s="2906" t="s">
        <v>2603</v>
      </c>
      <c r="B57" s="2907">
        <v>46265</v>
      </c>
      <c r="C57" s="2906" t="str">
        <v>Monday</v>
      </c>
      <c r="D57" s="2908" t="s">
        <v>2605</v>
      </c>
      <c r="E57" s="2909">
        <f t="shared" si="70"/>
      </c>
      <c r="F57" s="2909" t="s">
        <v>2590</v>
      </c>
      <c r="G57" s="2913"/>
      <c r="H57" s="2909"/>
      <c r="I57" s="2909"/>
      <c r="J57" s="2912"/>
      <c r="K57" s="2851"/>
      <c r="L57" s="2851"/>
      <c r="M57" s="2851"/>
      <c r="N57" s="2851"/>
      <c r="O57" s="2851"/>
      <c r="P57" s="2851"/>
      <c r="Q57" s="2914"/>
      <c r="R57" s="2914"/>
    </row>
    <row customHeight="true" ht="16.071428571428573" r="58">
      <c r="A58" s="2898" t="s">
        <v>2603</v>
      </c>
      <c r="B58" s="2899">
        <v>46268</v>
      </c>
      <c r="C58" s="2898" t="str">
        <v>Thursday</v>
      </c>
      <c r="D58" s="2900" t="s">
        <v>2604</v>
      </c>
      <c r="E58" s="2901">
        <f t="shared" si="70"/>
      </c>
      <c r="F58" s="2901" t="s">
        <v>2590</v>
      </c>
      <c r="G58" s="2916"/>
      <c r="H58" s="2901"/>
      <c r="I58" s="2901"/>
      <c r="J58" s="2904" t="s">
        <v>2591</v>
      </c>
      <c r="K58" s="2851"/>
      <c r="L58" s="2851"/>
      <c r="M58" s="2851"/>
      <c r="N58" s="2851"/>
      <c r="O58" s="2851"/>
      <c r="P58" s="2851"/>
    </row>
    <row customHeight="true" ht="16.071428571428573" r="59">
      <c r="A59" s="2906" t="s">
        <v>2603</v>
      </c>
      <c r="B59" s="2907">
        <v>46268</v>
      </c>
      <c r="C59" s="2906" t="str">
        <v>Thursday</v>
      </c>
      <c r="D59" s="2908" t="s">
        <v>2592</v>
      </c>
      <c r="E59" s="2909">
        <f t="shared" si="70"/>
      </c>
      <c r="F59" s="2909" t="s">
        <v>2580</v>
      </c>
      <c r="G59" s="2913"/>
      <c r="H59" s="2909"/>
      <c r="I59" s="2909"/>
      <c r="J59" s="2912"/>
      <c r="K59" s="2851"/>
      <c r="L59" s="2851"/>
      <c r="M59" s="2851"/>
      <c r="N59" s="2851"/>
      <c r="O59" s="2851"/>
      <c r="P59" s="2851"/>
    </row>
    <row customHeight="true" ht="16.071428571428573" r="60">
      <c r="A60" s="2906" t="s">
        <v>2603</v>
      </c>
      <c r="B60" s="2907">
        <v>46268</v>
      </c>
      <c r="C60" s="2906" t="str">
        <v>Thursday</v>
      </c>
      <c r="D60" s="2908" t="s">
        <v>2606</v>
      </c>
      <c r="E60" s="2909">
        <f t="shared" si="70"/>
      </c>
      <c r="F60" s="2917" t="s">
        <v>2525</v>
      </c>
      <c r="G60" s="2913"/>
      <c r="H60" s="2909"/>
      <c r="I60" s="2909"/>
      <c r="J60" s="2912"/>
      <c r="K60" s="2851"/>
      <c r="L60" s="2851"/>
      <c r="M60" s="2851"/>
      <c r="N60" s="2851"/>
      <c r="O60" s="2851"/>
      <c r="P60" s="2851"/>
    </row>
    <row customHeight="true" ht="16.071428571428573" r="61">
      <c r="A61" s="2906" t="s">
        <v>2603</v>
      </c>
      <c r="B61" s="2907">
        <v>46265</v>
      </c>
      <c r="C61" s="2906" t="str">
        <v>Monday</v>
      </c>
      <c r="D61" s="2908" t="s">
        <v>2607</v>
      </c>
      <c r="E61" s="2909">
        <f t="shared" si="70"/>
      </c>
      <c r="F61" s="2909" t="s">
        <v>2586</v>
      </c>
      <c r="G61" s="2913"/>
      <c r="H61" s="2909"/>
      <c r="I61" s="2909"/>
      <c r="J61" s="2915" t="s">
        <v>2608</v>
      </c>
      <c r="K61" s="2851"/>
      <c r="L61" s="2851"/>
      <c r="M61" s="2851"/>
      <c r="N61" s="2851"/>
      <c r="O61" s="2851"/>
      <c r="P61" s="2851"/>
    </row>
    <row customHeight="true" ht="16.071428571428573" r="62">
      <c r="A62" s="2906" t="s">
        <v>2603</v>
      </c>
      <c r="B62" s="2907">
        <v>46266</v>
      </c>
      <c r="C62" s="2906" t="str">
        <v>Tuesday</v>
      </c>
      <c r="D62" s="2908" t="s">
        <v>2592</v>
      </c>
      <c r="E62" s="2909">
        <f t="shared" si="70"/>
      </c>
      <c r="F62" s="2909" t="s">
        <v>2586</v>
      </c>
      <c r="G62" s="2913"/>
      <c r="H62" s="2909"/>
      <c r="I62" s="2909"/>
      <c r="J62" s="2915" t="s">
        <v>2609</v>
      </c>
      <c r="K62" s="2851"/>
      <c r="L62" s="2851"/>
      <c r="M62" s="2851"/>
      <c r="N62" s="2851"/>
      <c r="O62" s="2851"/>
      <c r="P62" s="2851"/>
    </row>
    <row customHeight="true" ht="16.071428571428573" r="63">
      <c r="A63" s="2906" t="s">
        <v>2603</v>
      </c>
      <c r="B63" s="2907">
        <v>46266</v>
      </c>
      <c r="C63" s="2906" t="str">
        <v>Tuesday</v>
      </c>
      <c r="D63" s="2908" t="s">
        <v>2610</v>
      </c>
      <c r="E63" s="2909">
        <f t="shared" si="70"/>
      </c>
      <c r="F63" s="2909" t="s">
        <v>2586</v>
      </c>
      <c r="G63" s="2913"/>
      <c r="H63" s="2911"/>
      <c r="I63" s="2909"/>
      <c r="J63" s="2918" t="s">
        <v>2611</v>
      </c>
      <c r="K63" s="2851"/>
      <c r="L63" s="2851"/>
      <c r="M63" s="2851"/>
      <c r="N63" s="2851"/>
      <c r="O63" s="2851"/>
      <c r="P63" s="2851"/>
    </row>
    <row customHeight="true" ht="16.071428571428573" r="64">
      <c r="A64" s="2906" t="s">
        <v>2603</v>
      </c>
      <c r="B64" s="2907">
        <v>46268</v>
      </c>
      <c r="C64" s="2906" t="str">
        <v>Thursday</v>
      </c>
      <c r="D64" s="2908" t="s">
        <v>2598</v>
      </c>
      <c r="E64" s="2909">
        <f t="shared" si="70"/>
      </c>
      <c r="F64" s="2909" t="s">
        <v>2586</v>
      </c>
      <c r="G64" s="2919"/>
      <c r="H64" s="2920"/>
      <c r="I64" s="2919"/>
      <c r="J64" s="2921" t="s">
        <v>2612</v>
      </c>
      <c r="K64" s="2851"/>
      <c r="L64" s="2851"/>
      <c r="M64" s="2851"/>
      <c r="N64" s="2851"/>
      <c r="O64" s="2851"/>
      <c r="P64" s="2851"/>
    </row>
    <row customHeight="true" ht="16.071428571428573" r="65">
      <c r="A65" s="2906" t="s">
        <v>2603</v>
      </c>
      <c r="B65" s="2907">
        <v>46268</v>
      </c>
      <c r="C65" s="2906" t="str">
        <v>Thursday</v>
      </c>
      <c r="D65" s="2908" t="s">
        <v>2613</v>
      </c>
      <c r="E65" s="2909">
        <f t="shared" si="70"/>
      </c>
      <c r="F65" s="2909" t="s">
        <v>2586</v>
      </c>
      <c r="G65" s="2913"/>
      <c r="H65" s="2922"/>
      <c r="I65" s="2909"/>
      <c r="J65" s="2923" t="s">
        <v>2614</v>
      </c>
      <c r="K65" s="2851"/>
      <c r="L65" s="2851"/>
      <c r="M65" s="2851"/>
      <c r="N65" s="2851"/>
      <c r="O65" s="2851"/>
      <c r="P65" s="2851"/>
    </row>
    <row customHeight="true" ht="16.071428571428573" r="66">
      <c r="A66" s="2906" t="s">
        <v>2603</v>
      </c>
      <c r="B66" s="2907">
        <v>46269</v>
      </c>
      <c r="C66" s="2906" t="str">
        <v>Friday</v>
      </c>
      <c r="D66" s="2908" t="s">
        <v>2582</v>
      </c>
      <c r="E66" s="2909">
        <f t="shared" si="70"/>
      </c>
      <c r="F66" s="2909" t="s">
        <v>2586</v>
      </c>
      <c r="G66" s="2913"/>
      <c r="H66" s="2909"/>
      <c r="I66" s="2909"/>
      <c r="J66" s="2915" t="s">
        <v>2615</v>
      </c>
      <c r="K66" s="2851"/>
      <c r="L66" s="2851"/>
      <c r="M66" s="2851"/>
      <c r="N66" s="2851"/>
      <c r="O66" s="2851"/>
      <c r="P66" s="2851"/>
    </row>
    <row customHeight="true" ht="16.071428571428573" r="67">
      <c r="A67" s="2906" t="s">
        <v>2603</v>
      </c>
      <c r="B67" s="2907">
        <v>46269</v>
      </c>
      <c r="C67" s="2906" t="str">
        <v>Friday</v>
      </c>
      <c r="D67" s="2908" t="s">
        <v>2587</v>
      </c>
      <c r="E67" s="2909">
        <f t="shared" si="70"/>
      </c>
      <c r="F67" s="2909" t="s">
        <v>2586</v>
      </c>
      <c r="G67" s="2913"/>
      <c r="H67" s="2909"/>
      <c r="I67" s="2909"/>
      <c r="J67" s="2915" t="s">
        <v>2616</v>
      </c>
      <c r="K67" s="2851"/>
      <c r="L67" s="2851"/>
      <c r="M67" s="2851"/>
      <c r="N67" s="2851"/>
      <c r="O67" s="2851"/>
      <c r="P67" s="2851"/>
    </row>
    <row customHeight="true" ht="16.071428571428573" r="68">
      <c r="A68" s="2906" t="s">
        <v>2603</v>
      </c>
      <c r="B68" s="2907">
        <v>46270</v>
      </c>
      <c r="C68" s="2906" t="str">
        <v>Saturday</v>
      </c>
      <c r="D68" s="2908" t="s">
        <v>2596</v>
      </c>
      <c r="E68" s="2909">
        <f t="shared" si="70"/>
      </c>
      <c r="F68" s="2909" t="s">
        <v>2586</v>
      </c>
      <c r="G68" s="2913"/>
      <c r="H68" s="2909"/>
      <c r="I68" s="2909"/>
      <c r="J68" s="2915" t="s">
        <v>2617</v>
      </c>
      <c r="K68" s="2851"/>
      <c r="L68" s="2851"/>
      <c r="M68" s="2851"/>
      <c r="N68" s="2851"/>
      <c r="O68" s="2851"/>
      <c r="P68" s="2851"/>
    </row>
    <row customHeight="true" ht="16.071428571428573" r="69">
      <c r="A69" s="2906" t="s">
        <v>2603</v>
      </c>
      <c r="B69" s="2907">
        <v>46270</v>
      </c>
      <c r="C69" s="2906" t="str">
        <v>Saturday</v>
      </c>
      <c r="D69" s="2908" t="s">
        <v>2618</v>
      </c>
      <c r="E69" s="2909">
        <f t="shared" si="70"/>
      </c>
      <c r="F69" s="2909" t="s">
        <v>2586</v>
      </c>
      <c r="G69" s="2913"/>
      <c r="H69" s="2909"/>
      <c r="I69" s="2909"/>
      <c r="J69" s="2915" t="s">
        <v>2619</v>
      </c>
      <c r="K69" s="2851"/>
      <c r="L69" s="2851"/>
      <c r="M69" s="2851"/>
      <c r="N69" s="2851"/>
      <c r="O69" s="2851"/>
      <c r="P69" s="2851"/>
    </row>
    <row customHeight="true" ht="16.071428571428573" r="70">
      <c r="A70" s="2906"/>
      <c r="B70" s="2907"/>
      <c r="C70" s="2906"/>
      <c r="D70" s="2908"/>
      <c r="E70" s="2909"/>
      <c r="F70" s="2909"/>
      <c r="G70" s="2913"/>
      <c r="H70" s="2909"/>
      <c r="I70" s="2909"/>
      <c r="J70" s="2915"/>
      <c r="K70" s="2851"/>
      <c r="L70" s="2851"/>
      <c r="M70" s="2851"/>
      <c r="N70" s="2851"/>
      <c r="O70" s="2851"/>
      <c r="P70" s="2851"/>
    </row>
    <row customHeight="true" ht="16.071428571428573" r="71">
      <c r="A71" s="2906"/>
      <c r="B71" s="2907"/>
      <c r="C71" s="2906"/>
      <c r="D71" s="2908"/>
      <c r="E71" s="2909"/>
      <c r="F71" s="2909"/>
      <c r="G71" s="2913"/>
      <c r="H71" s="2909"/>
      <c r="I71" s="2909"/>
      <c r="J71" s="2915"/>
      <c r="K71" s="2851"/>
      <c r="L71" s="2851"/>
      <c r="M71" s="2851"/>
      <c r="N71" s="2851"/>
      <c r="O71" s="2851"/>
      <c r="P71" s="2851"/>
    </row>
    <row customHeight="true" ht="16.071428571428573" r="72">
      <c r="A72" s="2906"/>
      <c r="B72" s="2907"/>
      <c r="C72" s="2906"/>
      <c r="D72" s="2908"/>
      <c r="E72" s="2909"/>
      <c r="F72" s="2909"/>
      <c r="G72" s="2913"/>
      <c r="H72" s="2909"/>
      <c r="I72" s="2909"/>
      <c r="J72" s="2915"/>
      <c r="K72" s="2851"/>
      <c r="L72" s="2851"/>
      <c r="M72" s="2851"/>
      <c r="N72" s="2851"/>
      <c r="O72" s="2851"/>
      <c r="P72" s="2851"/>
    </row>
    <row customHeight="true" ht="16.071428571428573" r="73">
      <c r="A73" s="2906"/>
      <c r="B73" s="2907"/>
      <c r="C73" s="2906"/>
      <c r="D73" s="2908"/>
      <c r="E73" s="2909"/>
      <c r="F73" s="2909"/>
      <c r="G73" s="2913"/>
      <c r="H73" s="2909"/>
      <c r="I73" s="2909"/>
      <c r="J73" s="2915"/>
      <c r="K73" s="2851"/>
      <c r="L73" s="2851"/>
      <c r="M73" s="2851"/>
      <c r="N73" s="2851"/>
      <c r="O73" s="2851"/>
      <c r="P73" s="2851"/>
    </row>
    <row customHeight="true" ht="16.071428571428573" r="74">
      <c r="A74" s="2906"/>
      <c r="B74" s="2907"/>
      <c r="C74" s="2906"/>
      <c r="D74" s="2908"/>
      <c r="E74" s="2909"/>
      <c r="F74" s="2909"/>
      <c r="G74" s="2913"/>
      <c r="H74" s="2909"/>
      <c r="I74" s="2909"/>
      <c r="J74" s="2915"/>
      <c r="K74" s="2851"/>
      <c r="L74" s="2851"/>
      <c r="M74" s="2851"/>
      <c r="N74" s="2851"/>
      <c r="O74" s="2851"/>
      <c r="P74" s="2851"/>
    </row>
    <row r="75"/>
    <row r="76"/>
    <row r="77">
      <c r="A77" s="2924" t="s">
        <v>2620</v>
      </c>
      <c r="B77" s="2924"/>
      <c r="C77" s="2924"/>
      <c r="D77" s="2924"/>
      <c r="E77" s="2924"/>
      <c r="F77" s="2924"/>
      <c r="G77" s="2925"/>
      <c r="H77" s="2925"/>
      <c r="I77" s="2925"/>
      <c r="J77" s="2926"/>
      <c r="K77" s="2887"/>
      <c r="L77" s="2887"/>
      <c r="M77" s="2887"/>
      <c r="N77" s="2887"/>
      <c r="O77" s="2887"/>
      <c r="P77" s="2887"/>
    </row>
    <row r="78">
      <c r="A78" s="2927" t="s">
        <v>2554</v>
      </c>
      <c r="B78" s="2928" t="s">
        <v>2555</v>
      </c>
      <c r="C78" s="2928"/>
      <c r="D78" s="2927" t="s">
        <v>2556</v>
      </c>
      <c r="E78" s="2927" t="s">
        <v>2557</v>
      </c>
      <c r="F78" s="2927" t="s">
        <v>2558</v>
      </c>
      <c r="G78" s="2929" t="s">
        <v>2577</v>
      </c>
      <c r="H78" s="2927" t="s">
        <v>2560</v>
      </c>
      <c r="I78" s="2927" t="s">
        <v>2561</v>
      </c>
      <c r="J78" s="2930" t="s">
        <v>2562</v>
      </c>
      <c r="K78" s="2874"/>
      <c r="L78" s="2874"/>
      <c r="M78" s="2874"/>
      <c r="N78" s="2874"/>
      <c r="O78" s="2874"/>
      <c r="P78" s="2874"/>
    </row>
    <row customHeight="true" ht="18.452380952380953" r="79">
      <c r="A79" s="2931" t="s">
        <v>2620</v>
      </c>
      <c r="B79" s="2932">
        <v>46265</v>
      </c>
      <c r="C79" s="2931" t="str">
        <v>Monday</v>
      </c>
      <c r="D79" s="2933" t="s">
        <v>2621</v>
      </c>
      <c r="E79" s="2860">
        <f t="shared" ref="E79:E89" si="71">24*MOD(TIMEVALUE(TRIM(MID(D79,FIND("-",D79)+1,LEN(D79)))) - TIMEVALUE(TRIM(LEFT(D79,FIND("-",D79)-1))),1)</f>
      </c>
      <c r="F79" s="2860" t="s">
        <v>2622</v>
      </c>
      <c r="G79" s="2934"/>
      <c r="H79" s="2860" t="s">
        <v>2572</v>
      </c>
      <c r="I79" s="2860" t="s">
        <v>2528</v>
      </c>
      <c r="J79" s="2935" t="s">
        <v>2623</v>
      </c>
      <c r="K79" s="2851"/>
      <c r="L79" s="2851"/>
      <c r="M79" s="2851"/>
      <c r="N79" s="2851"/>
      <c r="O79" s="2851"/>
      <c r="P79" s="2851"/>
      <c r="Q79" s="2914"/>
      <c r="R79" s="2914"/>
    </row>
    <row r="80">
      <c r="A80" s="2936" t="s">
        <v>2620</v>
      </c>
      <c r="B80" s="2937">
        <v>46266</v>
      </c>
      <c r="C80" s="2936" t="str">
        <v>Tuesday</v>
      </c>
      <c r="D80" s="2938" t="s">
        <v>2621</v>
      </c>
      <c r="E80" s="2939">
        <f t="shared" si="71"/>
      </c>
      <c r="F80" s="2939" t="s">
        <v>2624</v>
      </c>
      <c r="G80" s="2940"/>
      <c r="H80" s="2939" t="s">
        <v>2572</v>
      </c>
      <c r="I80" s="2939" t="s">
        <v>2528</v>
      </c>
      <c r="J80" s="2941" t="s">
        <v>2623</v>
      </c>
      <c r="K80" s="2851"/>
      <c r="L80" s="2851"/>
      <c r="M80" s="2851"/>
      <c r="N80" s="2851"/>
      <c r="O80" s="2851"/>
      <c r="P80" s="2851"/>
      <c r="Q80" s="2914"/>
      <c r="R80" s="2914"/>
    </row>
    <row r="81">
      <c r="A81" s="2931" t="s">
        <v>2620</v>
      </c>
      <c r="B81" s="2932">
        <v>46267</v>
      </c>
      <c r="C81" s="2931" t="str">
        <v>Wednesday</v>
      </c>
      <c r="D81" s="2933" t="s">
        <v>2621</v>
      </c>
      <c r="E81" s="2860">
        <f t="shared" si="71"/>
      </c>
      <c r="F81" s="2860" t="s">
        <v>2624</v>
      </c>
      <c r="G81" s="2934"/>
      <c r="H81" s="2860" t="s">
        <v>2572</v>
      </c>
      <c r="I81" s="2860" t="s">
        <v>2528</v>
      </c>
      <c r="J81" s="2935" t="s">
        <v>2623</v>
      </c>
      <c r="K81" s="2851"/>
      <c r="L81" s="2851"/>
      <c r="M81" s="2851"/>
      <c r="N81" s="2851"/>
      <c r="O81" s="2851"/>
      <c r="P81" s="2851"/>
      <c r="Q81" s="2914"/>
      <c r="R81" s="2914"/>
    </row>
    <row customHeight="true" ht="18.452380952380953" r="82">
      <c r="A82" s="2936" t="s">
        <v>2620</v>
      </c>
      <c r="B82" s="2937">
        <v>46268</v>
      </c>
      <c r="C82" s="2936" t="str">
        <v>Thursday</v>
      </c>
      <c r="D82" s="2938" t="s">
        <v>2625</v>
      </c>
      <c r="E82" s="2939">
        <f t="shared" si="71"/>
      </c>
      <c r="F82" s="2939" t="s">
        <v>2624</v>
      </c>
      <c r="G82" s="2940"/>
      <c r="H82" s="2939" t="s">
        <v>2572</v>
      </c>
      <c r="I82" s="2939" t="s">
        <v>2528</v>
      </c>
      <c r="J82" s="2941" t="s">
        <v>2623</v>
      </c>
      <c r="K82" s="2851"/>
      <c r="L82" s="2851"/>
      <c r="M82" s="2851"/>
      <c r="N82" s="2851"/>
      <c r="O82" s="2851"/>
      <c r="P82" s="2851"/>
      <c r="Q82" s="2914"/>
      <c r="R82" s="2914"/>
    </row>
    <row r="83">
      <c r="A83" s="2936" t="s">
        <v>2620</v>
      </c>
      <c r="B83" s="2937">
        <v>46268</v>
      </c>
      <c r="C83" s="2936" t="str">
        <v>Thursday</v>
      </c>
      <c r="D83" s="2938" t="s">
        <v>2626</v>
      </c>
      <c r="E83" s="2939">
        <f t="shared" si="71"/>
      </c>
      <c r="F83" s="2939" t="s">
        <v>2574</v>
      </c>
      <c r="G83" s="2940"/>
      <c r="H83" s="2939" t="s">
        <v>2572</v>
      </c>
      <c r="I83" s="2939" t="s">
        <v>2528</v>
      </c>
      <c r="J83" s="2941" t="s">
        <v>2623</v>
      </c>
      <c r="K83" s="2851"/>
      <c r="L83" s="2851"/>
      <c r="M83" s="2851"/>
      <c r="N83" s="2851"/>
      <c r="O83" s="2851"/>
      <c r="P83" s="2851"/>
      <c r="Q83" s="2914"/>
      <c r="R83" s="2914"/>
    </row>
    <row customHeight="true" ht="18.452380952380953" r="84">
      <c r="A84" s="2931" t="s">
        <v>2620</v>
      </c>
      <c r="B84" s="2932">
        <v>46269</v>
      </c>
      <c r="C84" s="2931" t="str">
        <v>Friday</v>
      </c>
      <c r="D84" s="2933" t="s">
        <v>2627</v>
      </c>
      <c r="E84" s="2860">
        <f t="shared" si="71"/>
      </c>
      <c r="F84" s="2897" t="s">
        <v>2624</v>
      </c>
      <c r="G84" s="2934"/>
      <c r="H84" s="2860" t="s">
        <v>2572</v>
      </c>
      <c r="I84" s="2860" t="s">
        <v>2528</v>
      </c>
      <c r="J84" s="2935" t="s">
        <v>2623</v>
      </c>
      <c r="K84" s="2851"/>
      <c r="L84" s="2851"/>
      <c r="M84" s="2851"/>
      <c r="N84" s="2851"/>
      <c r="O84" s="2851"/>
      <c r="P84" s="2851"/>
      <c r="Q84" s="2914"/>
      <c r="R84" s="2914"/>
    </row>
    <row customHeight="true" ht="18.452380952380953" r="85">
      <c r="A85" s="2931" t="s">
        <v>2620</v>
      </c>
      <c r="B85" s="2932">
        <v>46269</v>
      </c>
      <c r="C85" s="2931" t="str">
        <v>Friday</v>
      </c>
      <c r="D85" s="2933" t="s">
        <v>2628</v>
      </c>
      <c r="E85" s="2860">
        <f t="shared" si="71"/>
      </c>
      <c r="F85" s="2897" t="s">
        <v>2574</v>
      </c>
      <c r="G85" s="2934"/>
      <c r="H85" s="2860" t="s">
        <v>2572</v>
      </c>
      <c r="I85" s="2860" t="s">
        <v>2528</v>
      </c>
      <c r="J85" s="2935" t="s">
        <v>2623</v>
      </c>
      <c r="K85" s="2851"/>
      <c r="L85" s="2851"/>
      <c r="M85" s="2851"/>
      <c r="N85" s="2851"/>
      <c r="O85" s="2851"/>
      <c r="P85" s="2851"/>
      <c r="Q85" s="2914"/>
      <c r="R85" s="2914"/>
    </row>
    <row r="86">
      <c r="A86" s="2936" t="s">
        <v>2620</v>
      </c>
      <c r="B86" s="2937">
        <v>46270</v>
      </c>
      <c r="C86" s="2936" t="str">
        <v>Saturday</v>
      </c>
      <c r="D86" s="2938" t="s">
        <v>2629</v>
      </c>
      <c r="E86" s="2939">
        <f t="shared" si="71"/>
      </c>
      <c r="F86" s="2942" t="s">
        <v>2624</v>
      </c>
      <c r="G86" s="2940"/>
      <c r="H86" s="2939" t="s">
        <v>2572</v>
      </c>
      <c r="I86" s="2939" t="s">
        <v>2528</v>
      </c>
      <c r="J86" s="2941" t="s">
        <v>2623</v>
      </c>
      <c r="K86" s="2851"/>
      <c r="L86" s="2851"/>
      <c r="M86" s="2851"/>
      <c r="N86" s="2851"/>
      <c r="O86" s="2851"/>
      <c r="P86" s="2851"/>
      <c r="Q86" s="2914"/>
      <c r="R86" s="2914"/>
    </row>
    <row customHeight="true" ht="18.452380952380953" r="87">
      <c r="A87" s="2936" t="s">
        <v>2620</v>
      </c>
      <c r="B87" s="2937">
        <v>46270</v>
      </c>
      <c r="C87" s="2936" t="str">
        <v>Saturday</v>
      </c>
      <c r="D87" s="2938" t="s">
        <v>2630</v>
      </c>
      <c r="E87" s="2939">
        <f t="shared" si="71"/>
      </c>
      <c r="F87" s="2942" t="s">
        <v>2574</v>
      </c>
      <c r="G87" s="2940"/>
      <c r="H87" s="2939" t="s">
        <v>2572</v>
      </c>
      <c r="I87" s="2939" t="s">
        <v>2528</v>
      </c>
      <c r="J87" s="2941" t="s">
        <v>2623</v>
      </c>
      <c r="K87" s="2851"/>
      <c r="L87" s="2851"/>
      <c r="M87" s="2851"/>
      <c r="N87" s="2851"/>
      <c r="O87" s="2851"/>
      <c r="P87" s="2851"/>
      <c r="Q87" s="2914"/>
      <c r="R87" s="2914"/>
    </row>
    <row customHeight="true" ht="18.452380952380953" r="88">
      <c r="A88" s="2931" t="s">
        <v>2620</v>
      </c>
      <c r="B88" s="2932">
        <v>46271</v>
      </c>
      <c r="C88" s="2931" t="str">
        <v>Sunday</v>
      </c>
      <c r="D88" s="2933" t="s">
        <v>2631</v>
      </c>
      <c r="E88" s="2860">
        <f t="shared" si="71"/>
      </c>
      <c r="F88" s="2897" t="s">
        <v>2632</v>
      </c>
      <c r="G88" s="2934"/>
      <c r="H88" s="2860" t="s">
        <v>2572</v>
      </c>
      <c r="I88" s="2860" t="s">
        <v>2528</v>
      </c>
      <c r="J88" s="2935" t="s">
        <v>2623</v>
      </c>
      <c r="K88" s="2851"/>
      <c r="L88" s="2851"/>
      <c r="M88" s="2851"/>
      <c r="N88" s="2851"/>
      <c r="O88" s="2851"/>
      <c r="P88" s="2851"/>
      <c r="Q88" s="2914"/>
      <c r="R88" s="2914"/>
    </row>
    <row r="89">
      <c r="A89" s="2931" t="s">
        <v>2620</v>
      </c>
      <c r="B89" s="2932">
        <v>46271</v>
      </c>
      <c r="C89" s="2931" t="str">
        <v>Sunday</v>
      </c>
      <c r="D89" s="2933" t="s">
        <v>2633</v>
      </c>
      <c r="E89" s="2860">
        <f t="shared" si="71"/>
      </c>
      <c r="F89" s="2860" t="s">
        <v>2624</v>
      </c>
      <c r="G89" s="2934"/>
      <c r="H89" s="2860" t="s">
        <v>2572</v>
      </c>
      <c r="I89" s="2860" t="s">
        <v>2528</v>
      </c>
      <c r="J89" s="2935" t="s">
        <v>2623</v>
      </c>
      <c r="K89" s="2851"/>
      <c r="L89" s="2851"/>
      <c r="M89" s="2851"/>
      <c r="N89" s="2851"/>
      <c r="O89" s="2851"/>
      <c r="P89" s="2851"/>
      <c r="Q89" s="2914"/>
      <c r="R89" s="2914"/>
    </row>
    <row customHeight="true" ht="14.880952380952381" r="90"/>
    <row customHeight="true" ht="18.452380952380953" r="91">
      <c r="A91" s="2931" t="s">
        <v>2634</v>
      </c>
      <c r="B91" s="2932">
        <v>46270</v>
      </c>
      <c r="C91" s="2931" t="str">
        <v>Saturday</v>
      </c>
      <c r="D91" s="2933" t="s">
        <v>2635</v>
      </c>
      <c r="E91" s="2860">
        <f t="shared" ref="E91:E92" si="72">24*MOD(TIMEVALUE(TRIM(MID(D91,FIND("-",D91)+1,LEN(D91)))) - TIMEVALUE(TRIM(LEFT(D91,FIND("-",D91)-1))),1)</f>
      </c>
      <c r="F91" s="2860" t="s">
        <v>2632</v>
      </c>
      <c r="G91" s="2934" t="s">
        <v>2636</v>
      </c>
      <c r="H91" s="2860" t="s">
        <v>2572</v>
      </c>
      <c r="I91" s="2860" t="s">
        <v>2528</v>
      </c>
      <c r="J91" s="2935" t="s">
        <v>2623</v>
      </c>
      <c r="K91" s="2851"/>
      <c r="L91" s="2851"/>
      <c r="M91" s="2851"/>
      <c r="N91" s="2851"/>
      <c r="O91" s="2851"/>
      <c r="P91" s="2851"/>
      <c r="Q91" s="2914"/>
      <c r="R91" s="2914"/>
    </row>
    <row customHeight="true" ht="18.452380952380953" r="92">
      <c r="A92" s="2931" t="s">
        <v>2634</v>
      </c>
      <c r="B92" s="2843">
        <v>46267</v>
      </c>
      <c r="C92" s="2842" t="str">
        <v>Wednesday</v>
      </c>
      <c r="D92" s="2933" t="s">
        <v>2637</v>
      </c>
      <c r="E92" s="2860">
        <f t="shared" si="72"/>
      </c>
      <c r="F92" s="2943" t="s">
        <v>2638</v>
      </c>
      <c r="G92" s="2934"/>
      <c r="H92" s="2860" t="s">
        <v>2572</v>
      </c>
      <c r="I92" s="2860" t="s">
        <v>2528</v>
      </c>
      <c r="J92" s="2935"/>
      <c r="K92" s="2851"/>
      <c r="L92" s="2851"/>
      <c r="M92" s="2851"/>
      <c r="N92" s="2851"/>
      <c r="O92" s="2851"/>
      <c r="P92" s="2851"/>
      <c r="Q92" s="2914"/>
      <c r="R92" s="2914"/>
    </row>
    <row customHeight="true" ht="16.071428571428573" r="93">
      <c r="J93" s="2855"/>
      <c r="K93" s="2914"/>
      <c r="L93" s="2914"/>
      <c r="M93" s="2914"/>
      <c r="N93" s="2914"/>
      <c r="O93" s="2914"/>
      <c r="P93" s="2914"/>
      <c r="Q93" s="2914"/>
      <c r="R93" s="2914"/>
    </row>
    <row r="94">
      <c r="A94" s="2944" t="s">
        <v>2639</v>
      </c>
      <c r="B94" s="2944"/>
      <c r="C94" s="2944"/>
      <c r="D94" s="2944"/>
      <c r="E94" s="2944"/>
      <c r="F94" s="2944"/>
      <c r="G94" s="2945"/>
      <c r="H94" s="2945"/>
      <c r="I94" s="2945"/>
      <c r="J94" s="2946"/>
      <c r="K94" s="2887"/>
      <c r="L94" s="2887"/>
      <c r="M94" s="2887"/>
      <c r="N94" s="2887"/>
      <c r="O94" s="2887"/>
      <c r="P94" s="2887"/>
      <c r="Q94" s="2914"/>
      <c r="R94" s="2914"/>
    </row>
    <row r="95">
      <c r="A95" s="2947" t="s">
        <v>2554</v>
      </c>
      <c r="B95" s="2948" t="s">
        <v>2555</v>
      </c>
      <c r="C95" s="2948"/>
      <c r="D95" s="2947" t="s">
        <v>2556</v>
      </c>
      <c r="E95" s="2947" t="s">
        <v>2557</v>
      </c>
      <c r="F95" s="2947" t="s">
        <v>2558</v>
      </c>
      <c r="G95" s="2949" t="s">
        <v>2577</v>
      </c>
      <c r="H95" s="2947" t="s">
        <v>2560</v>
      </c>
      <c r="I95" s="2947" t="s">
        <v>2561</v>
      </c>
      <c r="J95" s="2950" t="s">
        <v>2562</v>
      </c>
      <c r="K95" s="2874"/>
      <c r="L95" s="2874"/>
      <c r="M95" s="2874"/>
      <c r="N95" s="2874"/>
      <c r="O95" s="2874"/>
      <c r="P95" s="2874"/>
    </row>
    <row customHeight="true" ht="18.452380952380953" r="96">
      <c r="A96" s="2842" t="s">
        <v>2639</v>
      </c>
      <c r="B96" s="2843">
        <v>46266</v>
      </c>
      <c r="C96" s="2842" t="str">
        <v>Tuesday</v>
      </c>
      <c r="D96" s="2951" t="s">
        <v>2640</v>
      </c>
      <c r="E96" s="2943">
        <f t="shared" ref="E96:E101" si="73">24*MOD(TIMEVALUE(TRIM(MID(D96,FIND("-",D96)+1,LEN(D96)))) - TIMEVALUE(TRIM(LEFT(D96,FIND("-",D96)-1))),1)</f>
      </c>
      <c r="F96" s="2943" t="s">
        <v>2641</v>
      </c>
      <c r="G96" s="2861"/>
      <c r="H96" s="2943" t="s">
        <v>2572</v>
      </c>
      <c r="I96" s="2943" t="s">
        <v>2528</v>
      </c>
      <c r="J96" s="2952" t="s">
        <v>2623</v>
      </c>
      <c r="K96" s="2851"/>
      <c r="L96" s="2851"/>
      <c r="M96" s="2851"/>
      <c r="N96" s="2851"/>
      <c r="O96" s="2851"/>
      <c r="P96" s="2851"/>
    </row>
    <row customHeight="true" ht="18.452380952380953" r="97">
      <c r="A97" s="2842" t="s">
        <v>2639</v>
      </c>
      <c r="B97" s="2843">
        <v>46267</v>
      </c>
      <c r="C97" s="2842" t="str">
        <v>Wednesday</v>
      </c>
      <c r="D97" s="2951" t="s">
        <v>2642</v>
      </c>
      <c r="E97" s="2943">
        <f t="shared" si="73"/>
      </c>
      <c r="F97" s="2943" t="s">
        <v>2641</v>
      </c>
      <c r="G97" s="2861"/>
      <c r="H97" s="2943" t="s">
        <v>2572</v>
      </c>
      <c r="I97" s="2943" t="s">
        <v>2528</v>
      </c>
      <c r="J97" s="2952" t="s">
        <v>2623</v>
      </c>
      <c r="K97" s="2851"/>
      <c r="L97" s="2851"/>
      <c r="M97" s="2851"/>
      <c r="N97" s="2851"/>
      <c r="O97" s="2851"/>
      <c r="P97" s="2851"/>
    </row>
    <row customHeight="true" ht="18.452380952380953" r="98">
      <c r="A98" s="2842" t="s">
        <v>2639</v>
      </c>
      <c r="B98" s="2843">
        <v>46268</v>
      </c>
      <c r="C98" s="2842" t="str">
        <v>Thursday</v>
      </c>
      <c r="D98" s="2951" t="s">
        <v>2643</v>
      </c>
      <c r="E98" s="2943">
        <f t="shared" si="73"/>
      </c>
      <c r="F98" s="2943" t="s">
        <v>2644</v>
      </c>
      <c r="G98" s="2861"/>
      <c r="H98" s="2943" t="s">
        <v>2572</v>
      </c>
      <c r="I98" s="2943" t="s">
        <v>2528</v>
      </c>
      <c r="J98" s="2952" t="s">
        <v>2623</v>
      </c>
      <c r="K98" s="2851"/>
      <c r="L98" s="2851"/>
      <c r="M98" s="2851"/>
      <c r="N98" s="2851"/>
      <c r="O98" s="2851"/>
      <c r="P98" s="2851"/>
    </row>
    <row customHeight="true" ht="18.452380952380953" r="99">
      <c r="A99" s="2842" t="s">
        <v>2639</v>
      </c>
      <c r="B99" s="2843">
        <v>46269</v>
      </c>
      <c r="C99" s="2842" t="str">
        <v>Friday</v>
      </c>
      <c r="D99" s="2951" t="s">
        <v>2645</v>
      </c>
      <c r="E99" s="2943">
        <f t="shared" si="73"/>
      </c>
      <c r="F99" s="2854" t="s">
        <v>2646</v>
      </c>
      <c r="G99" s="2861"/>
      <c r="H99" s="2943" t="s">
        <v>2572</v>
      </c>
      <c r="I99" s="2943" t="s">
        <v>2528</v>
      </c>
      <c r="J99" s="2952" t="s">
        <v>2623</v>
      </c>
      <c r="K99" s="2851"/>
      <c r="L99" s="2851"/>
      <c r="M99" s="2851"/>
      <c r="N99" s="2851"/>
      <c r="O99" s="2851"/>
      <c r="P99" s="2851"/>
    </row>
    <row customHeight="true" ht="18.452380952380953" r="100">
      <c r="A100" s="2842" t="s">
        <v>2639</v>
      </c>
      <c r="B100" s="2843">
        <v>46270</v>
      </c>
      <c r="C100" s="2842" t="str">
        <v>Saturday</v>
      </c>
      <c r="D100" s="2951" t="s">
        <v>2647</v>
      </c>
      <c r="E100" s="2943">
        <f t="shared" si="73"/>
      </c>
      <c r="F100" s="2943" t="s">
        <v>2644</v>
      </c>
      <c r="G100" s="2861"/>
      <c r="H100" s="2943" t="s">
        <v>2572</v>
      </c>
      <c r="I100" s="2943" t="s">
        <v>2528</v>
      </c>
      <c r="J100" s="2952" t="s">
        <v>2623</v>
      </c>
      <c r="K100" s="2851"/>
      <c r="L100" s="2851"/>
      <c r="M100" s="2851"/>
      <c r="N100" s="2851"/>
      <c r="O100" s="2851"/>
      <c r="P100" s="2851"/>
    </row>
    <row customHeight="true" ht="18.452380952380953" r="101">
      <c r="A101" s="2842" t="s">
        <v>2639</v>
      </c>
      <c r="B101" s="2843">
        <v>46271</v>
      </c>
      <c r="C101" s="2842" t="str">
        <v>Sunday</v>
      </c>
      <c r="D101" s="2951" t="s">
        <v>2648</v>
      </c>
      <c r="E101" s="2943">
        <f t="shared" si="73"/>
      </c>
      <c r="F101" s="2943" t="s">
        <v>2649</v>
      </c>
      <c r="G101" s="2861"/>
      <c r="H101" s="2943" t="s">
        <v>2572</v>
      </c>
      <c r="I101" s="2943" t="s">
        <v>2528</v>
      </c>
      <c r="J101" s="2952" t="s">
        <v>2623</v>
      </c>
      <c r="K101" s="2851"/>
      <c r="L101" s="2851"/>
      <c r="M101" s="2851"/>
      <c r="N101" s="2851"/>
      <c r="O101" s="2851"/>
      <c r="P101" s="2851"/>
    </row>
    <row customHeight="true" ht="14.880952380952381" r="102"/>
    <row customHeight="true" ht="18.452380952380953" r="103">
      <c r="A103" s="2842" t="s">
        <v>2650</v>
      </c>
      <c r="B103" s="2843">
        <v>46266</v>
      </c>
      <c r="C103" s="2842" t="str">
        <v>Tuesday</v>
      </c>
      <c r="D103" s="2951" t="s">
        <v>2640</v>
      </c>
      <c r="E103" s="2943">
        <f t="shared" ref="E103:E108" si="74">24*MOD(TIMEVALUE(TRIM(MID(D103,FIND("-",D103)+1,LEN(D103)))) - TIMEVALUE(TRIM(LEFT(D103,FIND("-",D103)-1))),1)</f>
      </c>
      <c r="F103" s="2943" t="s">
        <v>2597</v>
      </c>
      <c r="G103" s="2861"/>
      <c r="H103" s="2943" t="s">
        <v>2572</v>
      </c>
      <c r="I103" s="2943" t="s">
        <v>2528</v>
      </c>
      <c r="J103" s="2952" t="s">
        <v>2623</v>
      </c>
      <c r="K103" s="2851"/>
      <c r="L103" s="2851"/>
      <c r="M103" s="2851"/>
      <c r="N103" s="2851"/>
      <c r="O103" s="2851"/>
      <c r="P103" s="2851"/>
    </row>
    <row customHeight="true" ht="18.452380952380953" r="104">
      <c r="A104" s="2842" t="s">
        <v>2650</v>
      </c>
      <c r="B104" s="2843">
        <v>46267</v>
      </c>
      <c r="C104" s="2842" t="str">
        <v>Wednesday</v>
      </c>
      <c r="D104" s="2951" t="s">
        <v>2651</v>
      </c>
      <c r="E104" s="2943">
        <f t="shared" si="74"/>
      </c>
      <c r="F104" s="2943" t="s">
        <v>2638</v>
      </c>
      <c r="G104" s="2861" t="s">
        <v>2652</v>
      </c>
      <c r="H104" s="2943" t="s">
        <v>2572</v>
      </c>
      <c r="I104" s="2860" t="s">
        <v>2528</v>
      </c>
      <c r="J104" s="2952" t="s">
        <v>2623</v>
      </c>
      <c r="K104" s="2851"/>
      <c r="L104" s="2851"/>
      <c r="M104" s="2851"/>
      <c r="N104" s="2851"/>
      <c r="O104" s="2851"/>
      <c r="P104" s="2851"/>
    </row>
    <row customHeight="true" ht="18.452380952380953" r="105">
      <c r="A105" s="2842" t="s">
        <v>2650</v>
      </c>
      <c r="B105" s="2843">
        <v>46268</v>
      </c>
      <c r="C105" s="2842" t="str">
        <v>Thursday</v>
      </c>
      <c r="D105" s="2951" t="s">
        <v>2653</v>
      </c>
      <c r="E105" s="2943">
        <f t="shared" si="74"/>
      </c>
      <c r="F105" s="2897" t="s">
        <v>2654</v>
      </c>
      <c r="G105" s="2861"/>
      <c r="H105" s="2943" t="s">
        <v>2572</v>
      </c>
      <c r="I105" s="2943" t="s">
        <v>2528</v>
      </c>
      <c r="J105" s="2952" t="s">
        <v>2623</v>
      </c>
      <c r="K105" s="2851"/>
      <c r="L105" s="2851"/>
      <c r="M105" s="2851"/>
      <c r="N105" s="2851"/>
      <c r="O105" s="2851"/>
      <c r="P105" s="2851"/>
    </row>
    <row customHeight="true" ht="18.452380952380953" r="106">
      <c r="A106" s="2842" t="s">
        <v>2650</v>
      </c>
      <c r="B106" s="2843">
        <v>46269</v>
      </c>
      <c r="C106" s="2842" t="str">
        <v>Friday</v>
      </c>
      <c r="D106" s="2951" t="s">
        <v>2653</v>
      </c>
      <c r="E106" s="2943">
        <f t="shared" si="74"/>
      </c>
      <c r="F106" s="2897" t="s">
        <v>2654</v>
      </c>
      <c r="G106" s="2861"/>
      <c r="H106" s="2943" t="s">
        <v>2572</v>
      </c>
      <c r="I106" s="2943" t="s">
        <v>2528</v>
      </c>
      <c r="J106" s="2952" t="s">
        <v>2623</v>
      </c>
      <c r="K106" s="2851"/>
      <c r="L106" s="2851"/>
      <c r="M106" s="2851"/>
      <c r="N106" s="2851"/>
      <c r="O106" s="2851"/>
      <c r="P106" s="2851"/>
    </row>
    <row customHeight="true" ht="18.452380952380953" r="107">
      <c r="A107" s="2842" t="s">
        <v>2650</v>
      </c>
      <c r="B107" s="2843">
        <v>46270</v>
      </c>
      <c r="C107" s="2842" t="str">
        <v>Saturday</v>
      </c>
      <c r="D107" s="2951" t="s">
        <v>2647</v>
      </c>
      <c r="E107" s="2943">
        <f t="shared" si="74"/>
      </c>
      <c r="F107" s="2943" t="s">
        <v>2597</v>
      </c>
      <c r="G107" s="2861"/>
      <c r="H107" s="2943" t="s">
        <v>2572</v>
      </c>
      <c r="I107" s="2943" t="s">
        <v>2528</v>
      </c>
      <c r="J107" s="2952" t="s">
        <v>2623</v>
      </c>
      <c r="K107" s="2851"/>
      <c r="L107" s="2851"/>
      <c r="M107" s="2851"/>
      <c r="N107" s="2851"/>
      <c r="O107" s="2851"/>
      <c r="P107" s="2851"/>
    </row>
    <row customHeight="true" ht="18.452380952380953" r="108">
      <c r="A108" s="2842" t="s">
        <v>2650</v>
      </c>
      <c r="B108" s="2843">
        <v>46271</v>
      </c>
      <c r="C108" s="2842" t="str">
        <v>Sunday</v>
      </c>
      <c r="D108" s="2951" t="s">
        <v>2648</v>
      </c>
      <c r="E108" s="2943">
        <f t="shared" si="74"/>
      </c>
      <c r="F108" s="2943" t="s">
        <v>2655</v>
      </c>
      <c r="G108" s="2861"/>
      <c r="H108" s="2943" t="s">
        <v>2572</v>
      </c>
      <c r="I108" s="2943" t="s">
        <v>2528</v>
      </c>
      <c r="J108" s="2952" t="s">
        <v>2623</v>
      </c>
      <c r="K108" s="2851"/>
      <c r="L108" s="2851"/>
      <c r="M108" s="2851"/>
      <c r="N108" s="2851"/>
      <c r="O108" s="2851"/>
      <c r="P108" s="2851"/>
    </row>
    <row customHeight="true" ht="16.071428571428573" r="109">
      <c r="J109" s="2855"/>
      <c r="K109" s="2914"/>
      <c r="L109" s="2914"/>
      <c r="M109" s="2914"/>
      <c r="N109" s="2914"/>
      <c r="O109" s="2914"/>
      <c r="P109" s="2914"/>
    </row>
    <row r="110">
      <c r="A110" s="2953" t="s">
        <v>2656</v>
      </c>
      <c r="B110" s="2953"/>
      <c r="C110" s="2953"/>
      <c r="D110" s="2953"/>
      <c r="E110" s="2953"/>
      <c r="F110" s="2953"/>
      <c r="G110" s="2954"/>
      <c r="H110" s="2954"/>
      <c r="I110" s="2954"/>
      <c r="J110" s="2955"/>
      <c r="K110" s="2887"/>
      <c r="L110" s="2887"/>
      <c r="M110" s="2887"/>
      <c r="N110" s="2887"/>
      <c r="O110" s="2887"/>
      <c r="P110" s="2887"/>
    </row>
    <row r="111">
      <c r="A111" s="2956" t="s">
        <v>2554</v>
      </c>
      <c r="B111" s="2957" t="s">
        <v>2555</v>
      </c>
      <c r="C111" s="2957"/>
      <c r="D111" s="2956" t="s">
        <v>2556</v>
      </c>
      <c r="E111" s="2956" t="s">
        <v>2557</v>
      </c>
      <c r="F111" s="2956" t="s">
        <v>2558</v>
      </c>
      <c r="G111" s="2958" t="s">
        <v>2577</v>
      </c>
      <c r="H111" s="2956" t="s">
        <v>2560</v>
      </c>
      <c r="I111" s="2956" t="s">
        <v>2561</v>
      </c>
      <c r="J111" s="2959" t="s">
        <v>2562</v>
      </c>
      <c r="K111" s="2874"/>
      <c r="L111" s="2960" t="s">
        <v>2657</v>
      </c>
      <c r="M111" s="2874"/>
      <c r="N111" s="2874"/>
      <c r="O111" s="2874"/>
      <c r="P111" s="2874"/>
    </row>
    <row customHeight="true" ht="18.452380952380953" r="112">
      <c r="A112" s="2842" t="s">
        <v>2656</v>
      </c>
      <c r="B112" s="2843">
        <v>46266</v>
      </c>
      <c r="C112" s="2842" t="str">
        <v>Tuesday</v>
      </c>
      <c r="D112" s="2951" t="s">
        <v>2658</v>
      </c>
      <c r="E112" s="2943">
        <f t="shared" ref="E112:E114" si="75">24*MOD(TIMEVALUE(TRIM(MID(D112,FIND("-",D112)+1,LEN(D112)))) - TIMEVALUE(TRIM(LEFT(D112,FIND("-",D112)-1))),1)</f>
      </c>
      <c r="F112" s="2943" t="s">
        <v>2646</v>
      </c>
      <c r="G112" s="2861"/>
      <c r="H112" s="2943" t="s">
        <v>2572</v>
      </c>
      <c r="I112" s="2943" t="s">
        <v>2528</v>
      </c>
      <c r="J112" s="2952" t="s">
        <v>2659</v>
      </c>
      <c r="K112" s="2851"/>
      <c r="L112" s="2851"/>
      <c r="M112" s="2851"/>
      <c r="N112" s="2851"/>
      <c r="O112" s="2851"/>
      <c r="P112" s="2851"/>
    </row>
    <row customHeight="true" ht="18.452380952380953" r="113">
      <c r="A113" s="2842" t="s">
        <v>2656</v>
      </c>
      <c r="B113" s="2843">
        <v>46268</v>
      </c>
      <c r="C113" s="2842" t="str">
        <v>Thursday</v>
      </c>
      <c r="D113" s="2951" t="s">
        <v>2660</v>
      </c>
      <c r="E113" s="2943">
        <f t="shared" si="75"/>
      </c>
      <c r="F113" s="2943" t="s">
        <v>2574</v>
      </c>
      <c r="G113" s="2861"/>
      <c r="H113" s="2943" t="s">
        <v>2572</v>
      </c>
      <c r="I113" s="2943" t="s">
        <v>2528</v>
      </c>
      <c r="J113" s="2952" t="s">
        <v>2659</v>
      </c>
      <c r="K113" s="2851"/>
      <c r="L113" s="2851"/>
      <c r="M113" s="2851"/>
      <c r="N113" s="2851"/>
      <c r="O113" s="2851"/>
      <c r="P113" s="2851"/>
    </row>
    <row customHeight="true" ht="18.452380952380953" r="114">
      <c r="A114" s="2842" t="s">
        <v>2656</v>
      </c>
      <c r="B114" s="2843">
        <v>46271</v>
      </c>
      <c r="C114" s="2842" t="str">
        <v>Sunday</v>
      </c>
      <c r="D114" s="2951" t="s">
        <v>2661</v>
      </c>
      <c r="E114" s="2943">
        <f t="shared" si="75"/>
      </c>
      <c r="F114" s="2943" t="s">
        <v>2649</v>
      </c>
      <c r="G114" s="2861"/>
      <c r="H114" s="2943" t="s">
        <v>2572</v>
      </c>
      <c r="I114" s="2943" t="s">
        <v>2528</v>
      </c>
      <c r="J114" s="2952" t="s">
        <v>2659</v>
      </c>
      <c r="K114" s="2851"/>
      <c r="L114" s="2851"/>
      <c r="M114" s="2851"/>
      <c r="N114" s="2851"/>
      <c r="O114" s="2851"/>
      <c r="P114" s="2851"/>
    </row>
    <row customHeight="true" ht="14.880952380952381" r="115"/>
    <row customHeight="true" ht="18.452380952380953" r="116">
      <c r="A116" s="2842" t="s">
        <v>2662</v>
      </c>
      <c r="B116" s="2843">
        <v>46266</v>
      </c>
      <c r="C116" s="2842" t="str">
        <v>Tuesday</v>
      </c>
      <c r="D116" s="2951" t="s">
        <v>2663</v>
      </c>
      <c r="E116" s="2943">
        <f t="shared" ref="E116:E119" si="76">24*MOD(TIMEVALUE(TRIM(MID(D116,FIND("-",D116)+1,LEN(D116)))) - TIMEVALUE(TRIM(LEFT(D116,FIND("-",D116)-1))),1)</f>
      </c>
      <c r="F116" s="2943" t="s">
        <v>2597</v>
      </c>
      <c r="G116" s="2861"/>
      <c r="H116" s="2943" t="s">
        <v>2572</v>
      </c>
      <c r="I116" s="2943" t="s">
        <v>2528</v>
      </c>
      <c r="J116" s="2952" t="s">
        <v>2659</v>
      </c>
      <c r="K116" s="2851"/>
      <c r="L116" s="2851"/>
      <c r="M116" s="2851"/>
      <c r="N116" s="2851"/>
      <c r="O116" s="2851"/>
      <c r="P116" s="2851"/>
    </row>
    <row customHeight="true" ht="18.452380952380953" r="117">
      <c r="A117" s="2842" t="s">
        <v>2662</v>
      </c>
      <c r="B117" s="2843">
        <v>46268</v>
      </c>
      <c r="C117" s="2842" t="str">
        <v>Thursday</v>
      </c>
      <c r="D117" s="2951" t="s">
        <v>2664</v>
      </c>
      <c r="E117" s="2943">
        <f t="shared" si="76"/>
      </c>
      <c r="F117" s="2943" t="s">
        <v>2638</v>
      </c>
      <c r="G117" s="2861" t="s">
        <v>2665</v>
      </c>
      <c r="H117" s="2943" t="s">
        <v>2572</v>
      </c>
      <c r="I117" s="2860" t="s">
        <v>2528</v>
      </c>
      <c r="J117" s="2952" t="s">
        <v>2659</v>
      </c>
      <c r="K117" s="2851"/>
      <c r="L117" s="2851"/>
      <c r="M117" s="2851"/>
      <c r="N117" s="2851"/>
      <c r="O117" s="2851"/>
      <c r="P117" s="2851"/>
    </row>
    <row customHeight="true" ht="18.452380952380953" r="118">
      <c r="A118" s="2961" t="s">
        <v>2662</v>
      </c>
      <c r="B118" s="2962">
        <v>46269</v>
      </c>
      <c r="C118" s="2961" t="str">
        <v>Friday</v>
      </c>
      <c r="D118" s="2963" t="s">
        <v>2661</v>
      </c>
      <c r="E118" s="2964">
        <f t="shared" si="76"/>
      </c>
      <c r="F118" s="2964" t="s">
        <v>2597</v>
      </c>
      <c r="G118" s="2965"/>
      <c r="H118" s="2964" t="s">
        <v>2572</v>
      </c>
      <c r="I118" s="2964" t="s">
        <v>2528</v>
      </c>
      <c r="J118" s="2952" t="s">
        <v>2666</v>
      </c>
      <c r="K118" s="2851"/>
      <c r="L118" s="2851"/>
      <c r="M118" s="2851"/>
      <c r="N118" s="2851"/>
      <c r="O118" s="2851"/>
      <c r="P118" s="2851"/>
    </row>
    <row customHeight="true" ht="18.452380952380953" r="119">
      <c r="A119" s="2842" t="s">
        <v>2662</v>
      </c>
      <c r="B119" s="2843">
        <v>46271</v>
      </c>
      <c r="C119" s="2842" t="str">
        <v>Sunday</v>
      </c>
      <c r="D119" s="2966" t="s">
        <v>2667</v>
      </c>
      <c r="E119" s="2943">
        <f t="shared" si="76"/>
      </c>
      <c r="F119" s="2943" t="s">
        <v>2668</v>
      </c>
      <c r="G119" s="2861"/>
      <c r="H119" s="2943" t="s">
        <v>2572</v>
      </c>
      <c r="I119" s="2897" t="s">
        <v>2528</v>
      </c>
      <c r="J119" s="2952" t="s">
        <v>2659</v>
      </c>
      <c r="K119" s="2851"/>
      <c r="L119" s="2851"/>
      <c r="M119" s="2851"/>
      <c r="N119" s="2851"/>
      <c r="O119" s="2851"/>
      <c r="P119" s="2851"/>
    </row>
    <row customHeight="true" ht="16.071428571428573" r="120"/>
    <row r="121">
      <c r="A121" s="2967" t="s">
        <v>2669</v>
      </c>
      <c r="B121" s="2967"/>
      <c r="C121" s="2967"/>
      <c r="D121" s="2967"/>
      <c r="E121" s="2967"/>
      <c r="F121" s="2967"/>
      <c r="G121" s="2968"/>
      <c r="H121" s="2968"/>
      <c r="I121" s="2968"/>
      <c r="J121" s="2969"/>
      <c r="K121" s="2841" t="s">
        <v>2657</v>
      </c>
      <c r="L121" s="2887"/>
      <c r="M121" s="2887"/>
      <c r="N121" s="2887"/>
      <c r="O121" s="2887"/>
      <c r="P121" s="2887"/>
    </row>
    <row r="122">
      <c r="A122" s="2970" t="s">
        <v>2554</v>
      </c>
      <c r="B122" s="2971" t="s">
        <v>2555</v>
      </c>
      <c r="C122" s="2971"/>
      <c r="D122" s="2970" t="s">
        <v>2556</v>
      </c>
      <c r="E122" s="2970" t="s">
        <v>2557</v>
      </c>
      <c r="F122" s="2970" t="s">
        <v>2558</v>
      </c>
      <c r="G122" s="2972" t="s">
        <v>2577</v>
      </c>
      <c r="H122" s="2970" t="s">
        <v>2560</v>
      </c>
      <c r="I122" s="2970" t="s">
        <v>2561</v>
      </c>
      <c r="J122" s="2973" t="s">
        <v>2562</v>
      </c>
      <c r="K122" s="2874"/>
      <c r="L122" s="2874"/>
      <c r="M122" s="2874"/>
      <c r="N122" s="2874"/>
      <c r="O122" s="2874"/>
      <c r="P122" s="2874"/>
    </row>
    <row r="123">
      <c r="A123" s="2842" t="s">
        <v>2669</v>
      </c>
      <c r="B123" s="2843">
        <v>46266</v>
      </c>
      <c r="C123" s="2842" t="str">
        <v>Tuesday</v>
      </c>
      <c r="D123" s="2951" t="s">
        <v>2640</v>
      </c>
      <c r="E123" s="2943">
        <f t="shared" ref="E123:E126" si="77">24*MOD(TIMEVALUE(TRIM(MID(D123,FIND("-",D123)+1,LEN(D123)))) - TIMEVALUE(TRIM(LEFT(D123,FIND("-",D123)-1))),1)</f>
      </c>
      <c r="F123" s="2943" t="s">
        <v>2644</v>
      </c>
      <c r="G123" s="2861"/>
      <c r="H123" s="2943" t="s">
        <v>2572</v>
      </c>
      <c r="I123" s="2943" t="s">
        <v>2528</v>
      </c>
      <c r="J123" s="2952" t="s">
        <v>2659</v>
      </c>
      <c r="K123" s="2851"/>
      <c r="L123" s="2851"/>
      <c r="M123" s="2851"/>
      <c r="N123" s="2851"/>
      <c r="O123" s="2851"/>
      <c r="P123" s="2851"/>
    </row>
    <row r="124">
      <c r="A124" s="2842" t="s">
        <v>2669</v>
      </c>
      <c r="B124" s="2843">
        <v>46268</v>
      </c>
      <c r="C124" s="2842" t="str">
        <v>Thursday</v>
      </c>
      <c r="D124" s="2951" t="s">
        <v>2670</v>
      </c>
      <c r="E124" s="2943">
        <f t="shared" si="77"/>
      </c>
      <c r="F124" s="2943" t="s">
        <v>2574</v>
      </c>
      <c r="G124" s="2861"/>
      <c r="H124" s="2943" t="s">
        <v>2572</v>
      </c>
      <c r="I124" s="2943" t="s">
        <v>2528</v>
      </c>
      <c r="J124" s="2952" t="s">
        <v>2659</v>
      </c>
      <c r="K124" s="2851"/>
      <c r="L124" s="2851"/>
      <c r="M124" s="2851"/>
      <c r="N124" s="2851"/>
      <c r="O124" s="2851"/>
      <c r="P124" s="2851"/>
    </row>
    <row r="125">
      <c r="A125" s="2842" t="s">
        <v>2669</v>
      </c>
      <c r="B125" s="2843">
        <v>46269</v>
      </c>
      <c r="C125" s="2842" t="str">
        <v>Friday</v>
      </c>
      <c r="D125" s="2951" t="s">
        <v>2648</v>
      </c>
      <c r="E125" s="2943">
        <f t="shared" si="77"/>
      </c>
      <c r="F125" s="2943" t="s">
        <v>2574</v>
      </c>
      <c r="G125" s="2861"/>
      <c r="H125" s="2943" t="s">
        <v>2572</v>
      </c>
      <c r="I125" s="2943" t="s">
        <v>2528</v>
      </c>
      <c r="J125" s="2952" t="s">
        <v>2659</v>
      </c>
      <c r="K125" s="2851"/>
      <c r="L125" s="2851"/>
      <c r="M125" s="2851"/>
      <c r="N125" s="2851"/>
      <c r="O125" s="2851"/>
      <c r="P125" s="2851"/>
    </row>
    <row r="126">
      <c r="A126" s="2842" t="s">
        <v>2669</v>
      </c>
      <c r="B126" s="2843">
        <v>46270</v>
      </c>
      <c r="C126" s="2842" t="str">
        <v>Saturday</v>
      </c>
      <c r="D126" s="2951" t="s">
        <v>2648</v>
      </c>
      <c r="E126" s="2943">
        <f t="shared" si="77"/>
      </c>
      <c r="F126" s="2943" t="s">
        <v>2574</v>
      </c>
      <c r="G126" s="2861"/>
      <c r="H126" s="2943" t="s">
        <v>2572</v>
      </c>
      <c r="I126" s="2943" t="s">
        <v>2528</v>
      </c>
      <c r="J126" s="2952" t="s">
        <v>2659</v>
      </c>
      <c r="K126" s="2851"/>
      <c r="L126" s="2851"/>
      <c r="M126" s="2851"/>
      <c r="N126" s="2851"/>
      <c r="O126" s="2851"/>
      <c r="P126" s="2851"/>
    </row>
    <row customHeight="true" ht="14.880952380952381" r="127"/>
    <row r="128">
      <c r="A128" s="2842" t="s">
        <v>2671</v>
      </c>
      <c r="B128" s="2843">
        <v>46266</v>
      </c>
      <c r="C128" s="2842" t="str">
        <v>Tuesday</v>
      </c>
      <c r="D128" s="2951" t="s">
        <v>2640</v>
      </c>
      <c r="E128" s="2943">
        <f t="shared" ref="E128:E132" si="78">24*MOD(TIMEVALUE(TRIM(MID(D128,FIND("-",D128)+1,LEN(D128)))) - TIMEVALUE(TRIM(LEFT(D128,FIND("-",D128)-1))),1)</f>
      </c>
      <c r="F128" s="2943" t="s">
        <v>2586</v>
      </c>
      <c r="G128" s="2861"/>
      <c r="H128" s="2943" t="s">
        <v>2572</v>
      </c>
      <c r="I128" s="2943" t="s">
        <v>2528</v>
      </c>
      <c r="J128" s="2952" t="s">
        <v>2659</v>
      </c>
      <c r="K128" s="2851"/>
      <c r="L128" s="2851"/>
      <c r="M128" s="2851"/>
      <c r="N128" s="2851"/>
      <c r="O128" s="2851"/>
      <c r="P128" s="2851"/>
    </row>
    <row customHeight="true" ht="18.452380952380953" r="129">
      <c r="A129" s="2842" t="s">
        <v>2671</v>
      </c>
      <c r="B129" s="2843">
        <v>46266</v>
      </c>
      <c r="C129" s="2842" t="str">
        <v>Tuesday</v>
      </c>
      <c r="D129" s="2951" t="s">
        <v>2672</v>
      </c>
      <c r="E129" s="2943">
        <f t="shared" si="78"/>
      </c>
      <c r="F129" s="2943" t="s">
        <v>2638</v>
      </c>
      <c r="G129" s="2861"/>
      <c r="H129" s="2943" t="s">
        <v>2572</v>
      </c>
      <c r="I129" s="2860" t="s">
        <v>2528</v>
      </c>
      <c r="J129" s="2952" t="s">
        <v>2659</v>
      </c>
      <c r="K129" s="2851"/>
      <c r="L129" s="2851"/>
      <c r="M129" s="2851"/>
      <c r="N129" s="2851"/>
      <c r="O129" s="2851"/>
      <c r="P129" s="2851"/>
    </row>
    <row r="130">
      <c r="A130" s="2842" t="s">
        <v>2671</v>
      </c>
      <c r="B130" s="2843">
        <v>46268</v>
      </c>
      <c r="C130" s="2842" t="str">
        <v>Thursday</v>
      </c>
      <c r="D130" s="2951" t="s">
        <v>2670</v>
      </c>
      <c r="E130" s="2943">
        <f t="shared" si="78"/>
      </c>
      <c r="F130" s="2943" t="s">
        <v>2668</v>
      </c>
      <c r="G130" s="2861"/>
      <c r="H130" s="2943" t="s">
        <v>2572</v>
      </c>
      <c r="I130" s="2897" t="s">
        <v>2528</v>
      </c>
      <c r="J130" s="2952" t="s">
        <v>2659</v>
      </c>
      <c r="K130" s="2851"/>
      <c r="L130" s="2851"/>
      <c r="M130" s="2851"/>
      <c r="N130" s="2851"/>
      <c r="O130" s="2851"/>
      <c r="P130" s="2851"/>
    </row>
    <row r="131">
      <c r="A131" s="2842" t="s">
        <v>2671</v>
      </c>
      <c r="B131" s="2843">
        <v>46269</v>
      </c>
      <c r="C131" s="2842" t="str">
        <v>Friday</v>
      </c>
      <c r="D131" s="2951" t="s">
        <v>2673</v>
      </c>
      <c r="E131" s="2943">
        <f t="shared" si="78"/>
      </c>
      <c r="F131" s="2943" t="s">
        <v>2638</v>
      </c>
      <c r="G131" s="2861" t="s">
        <v>2674</v>
      </c>
      <c r="H131" s="2943" t="s">
        <v>2572</v>
      </c>
      <c r="I131" s="2860" t="s">
        <v>2528</v>
      </c>
      <c r="J131" s="2952" t="s">
        <v>2659</v>
      </c>
      <c r="K131" s="2851"/>
      <c r="L131" s="2851"/>
      <c r="M131" s="2851"/>
      <c r="N131" s="2851"/>
      <c r="O131" s="2851"/>
      <c r="P131" s="2851"/>
    </row>
    <row r="132">
      <c r="A132" s="2842" t="s">
        <v>2671</v>
      </c>
      <c r="B132" s="2843">
        <v>46270</v>
      </c>
      <c r="C132" s="2842" t="str">
        <v>Saturday</v>
      </c>
      <c r="D132" s="2951" t="s">
        <v>2648</v>
      </c>
      <c r="E132" s="2943">
        <f t="shared" si="78"/>
      </c>
      <c r="F132" s="2943" t="s">
        <v>2597</v>
      </c>
      <c r="G132" s="2861"/>
      <c r="H132" s="2943" t="s">
        <v>2572</v>
      </c>
      <c r="I132" s="2943" t="s">
        <v>2528</v>
      </c>
      <c r="J132" s="2952" t="s">
        <v>2659</v>
      </c>
      <c r="K132" s="2851"/>
      <c r="L132" s="2851"/>
      <c r="M132" s="2851"/>
      <c r="N132" s="2851"/>
      <c r="O132" s="2851"/>
      <c r="P132" s="2851"/>
    </row>
    <row customHeight="true" ht="14.880952380952381" r="133"/>
    <row customHeight="true" ht="18.452380952380953" r="134">
      <c r="A134" s="2842" t="s">
        <v>2675</v>
      </c>
      <c r="B134" s="2843">
        <v>46270</v>
      </c>
      <c r="C134" s="2842" t="str">
        <v>Saturday</v>
      </c>
      <c r="D134" s="2951" t="s">
        <v>2676</v>
      </c>
      <c r="E134" s="2943">
        <f>24*MOD(TIMEVALUE(TRIM(MID(D134,FIND("-",D134)+1,LEN(D134)))) - TIMEVALUE(TRIM(LEFT(D134,FIND("-",D134)-1))),1)</f>
      </c>
      <c r="F134" s="2943" t="s">
        <v>2677</v>
      </c>
      <c r="G134" s="2861"/>
      <c r="H134" s="2943" t="s">
        <v>2572</v>
      </c>
      <c r="I134" s="2943" t="s">
        <v>2528</v>
      </c>
      <c r="J134" s="2952"/>
      <c r="K134" s="2851"/>
      <c r="L134" s="2851"/>
      <c r="M134" s="2851"/>
      <c r="N134" s="2851"/>
      <c r="O134" s="2851"/>
      <c r="P134" s="2851"/>
    </row>
    <row customHeight="true" ht="16.071428571428573" r="135">
      <c r="A135" s="2855"/>
    </row>
    <row customHeight="true" ht="16.071428571428573" r="136">
      <c r="A136" s="2855"/>
      <c r="J136" s="2855"/>
      <c r="K136" s="2914"/>
      <c r="L136" s="2914"/>
      <c r="M136" s="2914"/>
      <c r="N136" s="2914"/>
      <c r="O136" s="2914"/>
      <c r="P136" s="2914"/>
    </row>
    <row r="137">
      <c r="A137" s="2974" t="s">
        <v>2678</v>
      </c>
      <c r="B137" s="2975" t="s">
        <v>2679</v>
      </c>
      <c r="C137" s="2976"/>
      <c r="D137" s="2976"/>
      <c r="E137" s="2976"/>
      <c r="F137" s="2976"/>
      <c r="G137" s="2976"/>
      <c r="H137" s="2976"/>
      <c r="I137" s="2976"/>
      <c r="J137" s="2977"/>
      <c r="K137" s="2978"/>
      <c r="L137" s="2978"/>
      <c r="M137" s="2978"/>
      <c r="N137" s="2978"/>
      <c r="O137" s="2978"/>
      <c r="P137" s="2978"/>
    </row>
    <row r="138">
      <c r="A138" s="2979" t="s">
        <v>2554</v>
      </c>
      <c r="B138" s="2980" t="s">
        <v>2555</v>
      </c>
      <c r="C138" s="2980"/>
      <c r="D138" s="2981" t="s">
        <v>2556</v>
      </c>
      <c r="E138" s="2981" t="s">
        <v>2557</v>
      </c>
      <c r="F138" s="2981" t="s">
        <v>2558</v>
      </c>
      <c r="G138" s="2982" t="s">
        <v>2577</v>
      </c>
      <c r="H138" s="2981" t="s">
        <v>2560</v>
      </c>
      <c r="I138" s="2981" t="s">
        <v>2561</v>
      </c>
      <c r="J138" s="2983" t="s">
        <v>2562</v>
      </c>
      <c r="K138" s="2874"/>
      <c r="L138" s="2874"/>
      <c r="M138" s="2874"/>
      <c r="N138" s="2874"/>
      <c r="O138" s="2874"/>
      <c r="P138" s="2874"/>
    </row>
    <row customHeight="true" ht="18.452380952380953" r="139">
      <c r="A139" s="2984" t="s">
        <v>2678</v>
      </c>
      <c r="B139" s="2844">
        <v>46265</v>
      </c>
      <c r="C139" s="2875" t="str">
        <v>Monday</v>
      </c>
      <c r="D139" s="2881" t="s">
        <v>2680</v>
      </c>
      <c r="E139" s="2845">
        <v>2</v>
      </c>
      <c r="F139" s="2849" t="s">
        <v>2580</v>
      </c>
      <c r="G139" s="2985"/>
      <c r="H139" s="2849" t="s">
        <v>2572</v>
      </c>
      <c r="I139" s="2854" t="s">
        <v>2568</v>
      </c>
      <c r="J139" s="2986"/>
      <c r="K139" s="2987"/>
      <c r="L139" s="2987"/>
      <c r="M139" s="2987"/>
      <c r="N139" s="2987"/>
      <c r="O139" s="2987"/>
      <c r="P139" s="2987"/>
      <c r="Q139" s="2884"/>
      <c r="R139" s="2884"/>
    </row>
    <row customHeight="true" ht="18.452380952380953" r="140">
      <c r="A140" s="2984" t="s">
        <v>2678</v>
      </c>
      <c r="B140" s="2844">
        <v>46265</v>
      </c>
      <c r="C140" s="2875" t="str">
        <v>Monday</v>
      </c>
      <c r="D140" s="2881" t="s">
        <v>2681</v>
      </c>
      <c r="E140" s="2845">
        <v>2</v>
      </c>
      <c r="F140" s="2849" t="s">
        <v>2590</v>
      </c>
      <c r="G140" s="2988"/>
      <c r="H140" s="2849" t="s">
        <v>2572</v>
      </c>
      <c r="I140" s="2854" t="s">
        <v>2568</v>
      </c>
      <c r="J140" s="2986"/>
      <c r="K140" s="2989"/>
      <c r="L140" s="2989"/>
      <c r="M140" s="2989"/>
      <c r="N140" s="2989"/>
      <c r="O140" s="2989"/>
      <c r="P140" s="2989"/>
    </row>
    <row customHeight="true" ht="18.452380952380953" r="141">
      <c r="A141" s="2984" t="s">
        <v>2678</v>
      </c>
      <c r="B141" s="2844">
        <v>46266</v>
      </c>
      <c r="C141" s="2875" t="str">
        <v>Tuesday</v>
      </c>
      <c r="D141" s="2881" t="s">
        <v>2682</v>
      </c>
      <c r="E141" s="2854">
        <f t="shared" ref="E141:E147" si="79">24*MOD(TIMEVALUE(TRIM(MID(D141,FIND("-",D141)+1,LEN(D141)))) - TIMEVALUE(TRIM(LEFT(D141,FIND("-",D141)-1))),1)</f>
      </c>
      <c r="F141" s="2849" t="s">
        <v>2580</v>
      </c>
      <c r="G141" s="2988"/>
      <c r="H141" s="2849" t="s">
        <v>2572</v>
      </c>
      <c r="I141" s="2854" t="s">
        <v>2568</v>
      </c>
      <c r="J141" s="2986"/>
      <c r="K141" s="2989"/>
      <c r="L141" s="2989"/>
      <c r="M141" s="2989"/>
      <c r="N141" s="2989"/>
      <c r="O141" s="2989"/>
      <c r="P141" s="2989"/>
    </row>
    <row customHeight="true" ht="18.452380952380953" r="142">
      <c r="A142" s="2990" t="s">
        <v>2678</v>
      </c>
      <c r="B142" s="2844">
        <v>46267</v>
      </c>
      <c r="C142" s="2875" t="str">
        <v>Wednesday</v>
      </c>
      <c r="D142" s="2881" t="s">
        <v>2683</v>
      </c>
      <c r="E142" s="2854">
        <f t="shared" si="79"/>
      </c>
      <c r="F142" s="2849" t="s">
        <v>2684</v>
      </c>
      <c r="G142" s="2991"/>
      <c r="H142" s="2849" t="s">
        <v>2572</v>
      </c>
      <c r="I142" s="2854" t="s">
        <v>2528</v>
      </c>
      <c r="J142" s="2992"/>
      <c r="K142" s="2989"/>
      <c r="L142" s="2989"/>
      <c r="M142" s="2989"/>
      <c r="N142" s="2989"/>
      <c r="O142" s="2989"/>
      <c r="P142" s="2989"/>
    </row>
    <row customHeight="true" ht="18.452380952380953" r="143">
      <c r="A143" s="2990" t="s">
        <v>2685</v>
      </c>
      <c r="B143" s="2844">
        <v>46266</v>
      </c>
      <c r="C143" s="2875" t="str">
        <v>Tuesday</v>
      </c>
      <c r="D143" s="2881" t="s">
        <v>2686</v>
      </c>
      <c r="E143" s="2854">
        <f t="shared" si="79"/>
      </c>
      <c r="F143" s="2849" t="s">
        <v>2684</v>
      </c>
      <c r="G143" s="2991"/>
      <c r="H143" s="2849" t="s">
        <v>2572</v>
      </c>
      <c r="I143" s="2854" t="s">
        <v>2528</v>
      </c>
      <c r="J143" s="2992"/>
      <c r="K143" s="2989"/>
      <c r="L143" s="2989"/>
      <c r="M143" s="2989"/>
      <c r="N143" s="2989"/>
      <c r="O143" s="2989"/>
      <c r="P143" s="2989"/>
    </row>
    <row customHeight="true" ht="18.452380952380953" r="144">
      <c r="A144" s="2990" t="s">
        <v>2685</v>
      </c>
      <c r="B144" s="2844">
        <v>46267</v>
      </c>
      <c r="C144" s="2875" t="str">
        <v>Wednesday</v>
      </c>
      <c r="D144" s="2881" t="s">
        <v>2687</v>
      </c>
      <c r="E144" s="2854">
        <f t="shared" si="79"/>
      </c>
      <c r="F144" s="2849" t="s">
        <v>2684</v>
      </c>
      <c r="G144" s="2991"/>
      <c r="H144" s="2849" t="s">
        <v>2572</v>
      </c>
      <c r="I144" s="2854" t="s">
        <v>2528</v>
      </c>
      <c r="J144" s="2992"/>
      <c r="K144" s="2989"/>
      <c r="L144" s="2989"/>
      <c r="M144" s="2989"/>
      <c r="N144" s="2989"/>
      <c r="O144" s="2989"/>
      <c r="P144" s="2989"/>
    </row>
    <row customHeight="true" ht="18.452380952380953" r="145">
      <c r="A145" s="2990" t="s">
        <v>2678</v>
      </c>
      <c r="B145" s="2844">
        <v>46268</v>
      </c>
      <c r="C145" s="2875" t="str">
        <v>Thursday</v>
      </c>
      <c r="D145" s="2881" t="s">
        <v>2680</v>
      </c>
      <c r="E145" s="2854">
        <f t="shared" si="79"/>
      </c>
      <c r="F145" s="2849" t="s">
        <v>2580</v>
      </c>
      <c r="G145" s="2991"/>
      <c r="H145" s="2849" t="s">
        <v>2572</v>
      </c>
      <c r="I145" s="2854" t="s">
        <v>2528</v>
      </c>
      <c r="J145" s="2992"/>
      <c r="K145" s="2989"/>
      <c r="L145" s="2989"/>
      <c r="M145" s="2989"/>
      <c r="N145" s="2989"/>
      <c r="O145" s="2989"/>
      <c r="P145" s="2989"/>
    </row>
    <row customHeight="true" ht="18.452380952380953" r="146">
      <c r="A146" s="2990" t="s">
        <v>2678</v>
      </c>
      <c r="B146" s="2844">
        <v>46268</v>
      </c>
      <c r="C146" s="2875" t="str">
        <v>Thursday</v>
      </c>
      <c r="D146" s="2881" t="s">
        <v>2681</v>
      </c>
      <c r="E146" s="2854">
        <f t="shared" si="79"/>
      </c>
      <c r="F146" s="2849" t="s">
        <v>2590</v>
      </c>
      <c r="G146" s="2991"/>
      <c r="H146" s="2849" t="s">
        <v>2572</v>
      </c>
      <c r="I146" s="2854" t="s">
        <v>2528</v>
      </c>
      <c r="J146" s="2992"/>
      <c r="K146" s="2989"/>
      <c r="L146" s="2989"/>
      <c r="M146" s="2989"/>
      <c r="N146" s="2989"/>
      <c r="O146" s="2989"/>
      <c r="P146" s="2989"/>
    </row>
    <row r="147">
      <c r="A147" s="2990" t="s">
        <v>2678</v>
      </c>
      <c r="B147" s="2844">
        <v>46269</v>
      </c>
      <c r="C147" s="2875" t="str">
        <v>Friday</v>
      </c>
      <c r="D147" s="2881" t="s">
        <v>2688</v>
      </c>
      <c r="E147" s="2854">
        <f t="shared" si="79"/>
      </c>
      <c r="F147" s="2849" t="s">
        <v>2590</v>
      </c>
      <c r="G147" s="2991"/>
      <c r="H147" s="2849" t="s">
        <v>2572</v>
      </c>
      <c r="I147" s="2854" t="s">
        <v>2528</v>
      </c>
      <c r="J147" s="2992"/>
      <c r="K147" s="2989"/>
      <c r="L147" s="2989"/>
      <c r="M147" s="2989"/>
      <c r="N147" s="2989"/>
      <c r="O147" s="2989"/>
      <c r="P147" s="2989"/>
    </row>
    <row customHeight="true" ht="18.452380952380953" r="148">
      <c r="A148" s="2984" t="s">
        <v>2678</v>
      </c>
      <c r="B148" s="2844">
        <v>46270</v>
      </c>
      <c r="C148" s="2875" t="str">
        <v>Saturday</v>
      </c>
      <c r="D148" s="2881" t="s">
        <v>2689</v>
      </c>
      <c r="E148" s="2845">
        <v>4</v>
      </c>
      <c r="F148" s="2849" t="s">
        <v>2590</v>
      </c>
      <c r="G148" s="2991"/>
      <c r="H148" s="2849" t="s">
        <v>2572</v>
      </c>
      <c r="I148" s="2854" t="s">
        <v>2528</v>
      </c>
      <c r="J148" s="2986"/>
      <c r="K148" s="2989"/>
      <c r="L148" s="2989"/>
      <c r="M148" s="2989"/>
      <c r="N148" s="2989"/>
      <c r="O148" s="2989"/>
      <c r="P148" s="2989"/>
    </row>
    <row customHeight="true" ht="18.452380952380953" r="149">
      <c r="A149" s="2984" t="s">
        <v>2678</v>
      </c>
      <c r="B149" s="2844">
        <v>46271</v>
      </c>
      <c r="C149" s="2875" t="str">
        <v>Sunday</v>
      </c>
      <c r="D149" s="2881" t="s">
        <v>2689</v>
      </c>
      <c r="E149" s="2854">
        <f t="shared" ref="E149:E164" si="80">24*MOD(TIMEVALUE(TRIM(MID(D149,FIND("-",D149)+1,LEN(D149)))) - TIMEVALUE(TRIM(LEFT(D149,FIND("-",D149)-1))),1)</f>
      </c>
      <c r="F149" s="2849" t="s">
        <v>2590</v>
      </c>
      <c r="G149" s="2988"/>
      <c r="H149" s="2849" t="s">
        <v>2572</v>
      </c>
      <c r="I149" s="2854" t="s">
        <v>2568</v>
      </c>
      <c r="J149" s="2986"/>
      <c r="K149" s="2989"/>
      <c r="L149" s="2989"/>
      <c r="M149" s="2989"/>
      <c r="N149" s="2989"/>
      <c r="O149" s="2989"/>
      <c r="P149" s="2989"/>
    </row>
    <row customHeight="true" ht="18.452380952380953" r="150">
      <c r="A150" s="2984" t="s">
        <v>2690</v>
      </c>
      <c r="B150" s="2844">
        <v>46265</v>
      </c>
      <c r="C150" s="2875" t="str">
        <v>Monday</v>
      </c>
      <c r="D150" s="2881" t="s">
        <v>2691</v>
      </c>
      <c r="E150" s="2854">
        <f t="shared" si="80"/>
      </c>
      <c r="F150" s="2849" t="s">
        <v>2692</v>
      </c>
      <c r="G150" s="2988"/>
      <c r="H150" s="2849" t="s">
        <v>2572</v>
      </c>
      <c r="I150" s="2854" t="s">
        <v>2568</v>
      </c>
      <c r="J150" s="2986"/>
      <c r="K150" s="2989"/>
      <c r="L150" s="2989"/>
      <c r="M150" s="2989"/>
      <c r="N150" s="2989"/>
      <c r="O150" s="2989"/>
      <c r="P150" s="2989"/>
    </row>
    <row r="151">
      <c r="A151" s="2984" t="s">
        <v>2690</v>
      </c>
      <c r="B151" s="2844">
        <v>46266</v>
      </c>
      <c r="C151" s="2875" t="str">
        <v>Tuesday</v>
      </c>
      <c r="D151" s="2881" t="s">
        <v>2693</v>
      </c>
      <c r="E151" s="2854">
        <f t="shared" si="80"/>
      </c>
      <c r="F151" s="2879" t="s">
        <v>2694</v>
      </c>
      <c r="G151" s="2985"/>
      <c r="H151" s="2849" t="s">
        <v>2572</v>
      </c>
      <c r="I151" s="2854" t="s">
        <v>2568</v>
      </c>
      <c r="J151" s="2986"/>
      <c r="K151" s="2989"/>
      <c r="L151" s="2989"/>
      <c r="M151" s="2989"/>
      <c r="N151" s="2989"/>
      <c r="O151" s="2989"/>
      <c r="P151" s="2989"/>
    </row>
    <row customHeight="true" ht="18.452380952380953" r="152">
      <c r="A152" s="2984" t="s">
        <v>2690</v>
      </c>
      <c r="B152" s="2844">
        <v>46267</v>
      </c>
      <c r="C152" s="2875" t="str">
        <v>Wednesday</v>
      </c>
      <c r="D152" s="2881" t="s">
        <v>2695</v>
      </c>
      <c r="E152" s="2854">
        <f t="shared" si="80"/>
      </c>
      <c r="F152" s="2849" t="s">
        <v>2692</v>
      </c>
      <c r="G152" s="2985"/>
      <c r="H152" s="2849" t="s">
        <v>2572</v>
      </c>
      <c r="I152" s="2854" t="s">
        <v>2568</v>
      </c>
      <c r="J152" s="2986"/>
      <c r="K152" s="2989"/>
      <c r="L152" s="2989"/>
      <c r="M152" s="2989"/>
      <c r="N152" s="2989"/>
      <c r="O152" s="2989"/>
      <c r="P152" s="2989"/>
    </row>
    <row customHeight="true" ht="18.452380952380953" r="153">
      <c r="A153" s="2984" t="s">
        <v>2690</v>
      </c>
      <c r="B153" s="2844">
        <v>46268</v>
      </c>
      <c r="C153" s="2875" t="str">
        <v>Thursday</v>
      </c>
      <c r="D153" s="2881" t="s">
        <v>2691</v>
      </c>
      <c r="E153" s="2854">
        <f t="shared" si="80"/>
      </c>
      <c r="F153" s="2849" t="s">
        <v>2692</v>
      </c>
      <c r="G153" s="2985"/>
      <c r="H153" s="2849" t="s">
        <v>2572</v>
      </c>
      <c r="I153" s="2854" t="s">
        <v>2568</v>
      </c>
      <c r="J153" s="2986"/>
      <c r="K153" s="2989"/>
      <c r="L153" s="2989"/>
      <c r="M153" s="2989"/>
      <c r="N153" s="2989"/>
      <c r="O153" s="2989"/>
      <c r="P153" s="2989"/>
    </row>
    <row customHeight="true" ht="18.452380952380953" r="154">
      <c r="A154" s="2984" t="s">
        <v>2690</v>
      </c>
      <c r="B154" s="2844">
        <v>46269</v>
      </c>
      <c r="C154" s="2875" t="str">
        <v>Friday</v>
      </c>
      <c r="D154" s="2881" t="s">
        <v>2696</v>
      </c>
      <c r="E154" s="2854">
        <f t="shared" si="80"/>
      </c>
      <c r="F154" s="2849" t="s">
        <v>2692</v>
      </c>
      <c r="G154" s="2985"/>
      <c r="H154" s="2849" t="s">
        <v>2572</v>
      </c>
      <c r="I154" s="2854" t="s">
        <v>2568</v>
      </c>
      <c r="J154" s="2986"/>
      <c r="K154" s="2989"/>
      <c r="L154" s="2989"/>
      <c r="M154" s="2989"/>
      <c r="N154" s="2989"/>
      <c r="O154" s="2989"/>
      <c r="P154" s="2989"/>
    </row>
    <row customHeight="true" ht="18.452380952380953" r="155">
      <c r="A155" s="2984" t="s">
        <v>2690</v>
      </c>
      <c r="B155" s="2844">
        <v>46270</v>
      </c>
      <c r="C155" s="2875" t="str">
        <v>Saturday</v>
      </c>
      <c r="D155" s="2881" t="s">
        <v>2606</v>
      </c>
      <c r="E155" s="2854">
        <f t="shared" si="80"/>
      </c>
      <c r="F155" s="2882" t="s">
        <v>2697</v>
      </c>
      <c r="G155" s="2985"/>
      <c r="H155" s="2849" t="s">
        <v>2572</v>
      </c>
      <c r="I155" s="2854" t="s">
        <v>2568</v>
      </c>
      <c r="J155" s="2986"/>
      <c r="K155" s="2989"/>
      <c r="L155" s="2989"/>
      <c r="M155" s="2989"/>
      <c r="N155" s="2989"/>
      <c r="O155" s="2989"/>
      <c r="P155" s="2989"/>
    </row>
    <row customHeight="true" ht="18.452380952380953" r="156">
      <c r="A156" s="2984" t="s">
        <v>2690</v>
      </c>
      <c r="B156" s="2844">
        <v>46270</v>
      </c>
      <c r="C156" s="2875" t="str">
        <v>Saturday</v>
      </c>
      <c r="D156" s="2881" t="s">
        <v>2600</v>
      </c>
      <c r="E156" s="2854">
        <f t="shared" si="80"/>
      </c>
      <c r="F156" s="2897" t="s">
        <v>2698</v>
      </c>
      <c r="G156" s="2985"/>
      <c r="H156" s="2849" t="s">
        <v>2572</v>
      </c>
      <c r="I156" s="2854" t="s">
        <v>2568</v>
      </c>
      <c r="J156" s="2986"/>
      <c r="K156" s="2989"/>
      <c r="L156" s="2989"/>
      <c r="M156" s="2989"/>
      <c r="N156" s="2989"/>
      <c r="O156" s="2989"/>
      <c r="P156" s="2989"/>
    </row>
    <row customHeight="true" ht="18.452380952380953" r="157">
      <c r="A157" s="2984" t="s">
        <v>2690</v>
      </c>
      <c r="B157" s="2844">
        <v>46271</v>
      </c>
      <c r="C157" s="2875" t="str">
        <v>Sunday</v>
      </c>
      <c r="D157" s="2881" t="s">
        <v>2699</v>
      </c>
      <c r="E157" s="2854">
        <f t="shared" si="80"/>
      </c>
      <c r="F157" s="2849" t="s">
        <v>2692</v>
      </c>
      <c r="G157" s="2985"/>
      <c r="H157" s="2849" t="s">
        <v>2572</v>
      </c>
      <c r="I157" s="2854" t="s">
        <v>2568</v>
      </c>
      <c r="J157" s="2986"/>
      <c r="K157" s="2989"/>
      <c r="L157" s="2989"/>
      <c r="M157" s="2989"/>
      <c r="N157" s="2989"/>
      <c r="O157" s="2989"/>
      <c r="P157" s="2989"/>
    </row>
    <row customHeight="true" ht="18.452380952380953" r="158">
      <c r="A158" s="2984" t="s">
        <v>2685</v>
      </c>
      <c r="B158" s="2844">
        <v>46265</v>
      </c>
      <c r="C158" s="2875" t="str">
        <v>Monday</v>
      </c>
      <c r="D158" s="2881" t="s">
        <v>2700</v>
      </c>
      <c r="E158" s="2854">
        <f t="shared" si="80"/>
      </c>
      <c r="F158" s="2849" t="s">
        <v>2701</v>
      </c>
      <c r="G158" s="2988"/>
      <c r="H158" s="2849" t="s">
        <v>2572</v>
      </c>
      <c r="I158" s="2854" t="s">
        <v>2568</v>
      </c>
      <c r="J158" s="2986"/>
      <c r="K158" s="2989"/>
      <c r="L158" s="2989"/>
      <c r="M158" s="2989"/>
      <c r="N158" s="2989"/>
      <c r="O158" s="2989"/>
      <c r="P158" s="2989"/>
    </row>
    <row customHeight="true" ht="18.452380952380953" r="159">
      <c r="A159" s="2984" t="s">
        <v>2685</v>
      </c>
      <c r="B159" s="2844">
        <v>46266</v>
      </c>
      <c r="C159" s="2875" t="str">
        <v>Tuesday</v>
      </c>
      <c r="D159" s="2881" t="s">
        <v>2702</v>
      </c>
      <c r="E159" s="2854">
        <f t="shared" si="80"/>
      </c>
      <c r="F159" s="2849" t="s">
        <v>2701</v>
      </c>
      <c r="G159" s="2988"/>
      <c r="H159" s="2849" t="s">
        <v>2572</v>
      </c>
      <c r="I159" s="2854" t="s">
        <v>2568</v>
      </c>
      <c r="J159" s="2986"/>
      <c r="K159" s="2989"/>
      <c r="L159" s="2989"/>
      <c r="M159" s="2989"/>
      <c r="N159" s="2989"/>
      <c r="O159" s="2989"/>
      <c r="P159" s="2989"/>
    </row>
    <row customHeight="true" ht="18.452380952380953" r="160">
      <c r="A160" s="2984" t="s">
        <v>2685</v>
      </c>
      <c r="B160" s="2844">
        <v>46267</v>
      </c>
      <c r="C160" s="2875" t="str">
        <v>Wednesday</v>
      </c>
      <c r="D160" s="2881" t="s">
        <v>2703</v>
      </c>
      <c r="E160" s="2854">
        <f t="shared" si="80"/>
      </c>
      <c r="F160" s="2849" t="s">
        <v>2701</v>
      </c>
      <c r="G160" s="2988"/>
      <c r="H160" s="2849" t="s">
        <v>2572</v>
      </c>
      <c r="I160" s="2854" t="s">
        <v>2568</v>
      </c>
      <c r="J160" s="2986"/>
      <c r="K160" s="2989"/>
      <c r="L160" s="2989"/>
      <c r="M160" s="2989"/>
      <c r="N160" s="2989"/>
      <c r="O160" s="2989"/>
      <c r="P160" s="2989"/>
    </row>
    <row customHeight="true" ht="18.452380952380953" r="161">
      <c r="A161" s="2984" t="s">
        <v>2685</v>
      </c>
      <c r="B161" s="2844">
        <v>46267</v>
      </c>
      <c r="C161" s="2875" t="str">
        <v>Wednesday</v>
      </c>
      <c r="D161" s="2881" t="s">
        <v>2704</v>
      </c>
      <c r="E161" s="2854">
        <f t="shared" si="80"/>
      </c>
      <c r="F161" s="2849" t="s">
        <v>2701</v>
      </c>
      <c r="G161" s="2988"/>
      <c r="H161" s="2849" t="s">
        <v>2572</v>
      </c>
      <c r="I161" s="2854" t="s">
        <v>2568</v>
      </c>
      <c r="J161" s="2986"/>
      <c r="K161" s="2989"/>
      <c r="L161" s="2989"/>
      <c r="M161" s="2989"/>
      <c r="N161" s="2989"/>
      <c r="O161" s="2989"/>
      <c r="P161" s="2989"/>
    </row>
    <row customHeight="true" ht="18.452380952380953" r="162">
      <c r="A162" s="2984" t="s">
        <v>2685</v>
      </c>
      <c r="B162" s="2844">
        <v>46268</v>
      </c>
      <c r="C162" s="2875" t="str">
        <v>Thursday</v>
      </c>
      <c r="D162" s="2881" t="s">
        <v>2705</v>
      </c>
      <c r="E162" s="2854">
        <f t="shared" si="80"/>
      </c>
      <c r="F162" s="2849" t="s">
        <v>2701</v>
      </c>
      <c r="G162" s="2988"/>
      <c r="H162" s="2849" t="s">
        <v>2572</v>
      </c>
      <c r="I162" s="2854" t="s">
        <v>2568</v>
      </c>
      <c r="J162" s="2986"/>
      <c r="K162" s="2989"/>
      <c r="L162" s="2989"/>
      <c r="M162" s="2989"/>
      <c r="N162" s="2989"/>
      <c r="O162" s="2989"/>
      <c r="P162" s="2989"/>
    </row>
    <row customHeight="true" ht="18.452380952380953" r="163">
      <c r="A163" s="2984" t="s">
        <v>2685</v>
      </c>
      <c r="B163" s="2844">
        <v>46270</v>
      </c>
      <c r="C163" s="2875" t="str">
        <v>Saturday</v>
      </c>
      <c r="D163" s="2881" t="s">
        <v>2706</v>
      </c>
      <c r="E163" s="2854">
        <f t="shared" si="80"/>
      </c>
      <c r="F163" s="2849" t="s">
        <v>2701</v>
      </c>
      <c r="G163" s="2988"/>
      <c r="H163" s="2849" t="s">
        <v>2572</v>
      </c>
      <c r="I163" s="2854" t="s">
        <v>2568</v>
      </c>
      <c r="J163" s="2986"/>
      <c r="K163" s="2989"/>
      <c r="L163" s="2989"/>
      <c r="M163" s="2989"/>
      <c r="N163" s="2989"/>
      <c r="O163" s="2989"/>
      <c r="P163" s="2989"/>
    </row>
    <row customHeight="true" ht="18.452380952380953" r="164">
      <c r="A164" s="2984" t="s">
        <v>2685</v>
      </c>
      <c r="B164" s="2844">
        <v>46271</v>
      </c>
      <c r="C164" s="2875" t="str">
        <v>Sunday</v>
      </c>
      <c r="D164" s="2881" t="s">
        <v>2707</v>
      </c>
      <c r="E164" s="2854">
        <f t="shared" si="80"/>
      </c>
      <c r="F164" s="2849" t="s">
        <v>2701</v>
      </c>
      <c r="G164" s="2988"/>
      <c r="H164" s="2849" t="s">
        <v>2572</v>
      </c>
      <c r="I164" s="2854" t="s">
        <v>2568</v>
      </c>
      <c r="J164" s="2986"/>
      <c r="K164" s="2989"/>
      <c r="L164" s="2989"/>
      <c r="M164" s="2989"/>
      <c r="N164" s="2989"/>
      <c r="O164" s="2989"/>
      <c r="P164" s="2989"/>
    </row>
    <row r="165">
      <c r="A165" s="2993" t="s">
        <v>2708</v>
      </c>
      <c r="B165" s="2993" t="s">
        <v>2709</v>
      </c>
      <c r="C165" s="2993"/>
      <c r="D165" s="2993"/>
      <c r="E165" s="2993"/>
      <c r="F165" s="2993"/>
      <c r="G165" s="2993"/>
      <c r="H165" s="2993"/>
      <c r="I165" s="2993"/>
      <c r="J165" s="2994"/>
      <c r="K165" s="2887"/>
      <c r="L165" s="2887"/>
      <c r="M165" s="2887"/>
      <c r="N165" s="2887"/>
      <c r="O165" s="2887"/>
      <c r="P165" s="2887"/>
    </row>
    <row r="166">
      <c r="A166" s="2995" t="s">
        <v>2554</v>
      </c>
      <c r="B166" s="2996" t="s">
        <v>2555</v>
      </c>
      <c r="C166" s="2996"/>
      <c r="D166" s="2997" t="s">
        <v>2556</v>
      </c>
      <c r="E166" s="2998" t="s">
        <v>2557</v>
      </c>
      <c r="F166" s="2998" t="s">
        <v>2558</v>
      </c>
      <c r="G166" s="2999" t="s">
        <v>2577</v>
      </c>
      <c r="H166" s="3000" t="s">
        <v>2560</v>
      </c>
      <c r="I166" s="3000" t="s">
        <v>2561</v>
      </c>
      <c r="J166" s="3001" t="s">
        <v>2562</v>
      </c>
      <c r="K166" s="2874"/>
      <c r="L166" s="2874"/>
      <c r="M166" s="2874"/>
      <c r="N166" s="2874"/>
      <c r="O166" s="2874"/>
      <c r="P166" s="2874"/>
    </row>
    <row customHeight="true" ht="18.452380952380953" r="167">
      <c r="A167" s="2875" t="s">
        <v>2708</v>
      </c>
      <c r="B167" s="3002">
        <v>46268</v>
      </c>
      <c r="C167" s="2895" t="str">
        <v>Thursday</v>
      </c>
      <c r="D167" s="2896" t="s">
        <v>2710</v>
      </c>
      <c r="E167" s="2897">
        <f t="shared" ref="E167:E179" si="81">24*MOD(TIMEVALUE(TRIM(MID(D167,FIND("-",D167)+1,LEN(D167)))) - TIMEVALUE(TRIM(LEFT(D167,FIND("-",D167)-1))),1)</f>
      </c>
      <c r="F167" s="2849" t="s">
        <v>2711</v>
      </c>
      <c r="G167" s="3003" t="s">
        <v>2712</v>
      </c>
      <c r="H167" s="2849" t="s">
        <v>2527</v>
      </c>
      <c r="I167" s="2854" t="s">
        <v>2568</v>
      </c>
      <c r="J167" s="3004"/>
      <c r="K167" s="3005"/>
      <c r="L167" s="3005"/>
      <c r="M167" s="3005"/>
      <c r="N167" s="3005"/>
      <c r="O167" s="3005"/>
      <c r="P167" s="3005"/>
      <c r="Q167" s="2884"/>
      <c r="R167" s="2884"/>
    </row>
    <row customHeight="true" ht="18.452380952380953" r="168">
      <c r="A168" s="2875" t="s">
        <v>2708</v>
      </c>
      <c r="B168" s="3002">
        <v>46269</v>
      </c>
      <c r="C168" s="2895" t="str">
        <v>Friday</v>
      </c>
      <c r="D168" s="2896" t="s">
        <v>2710</v>
      </c>
      <c r="E168" s="2897">
        <f t="shared" si="81"/>
      </c>
      <c r="F168" s="2849" t="s">
        <v>2711</v>
      </c>
      <c r="G168" s="3003" t="s">
        <v>2713</v>
      </c>
      <c r="H168" s="2849" t="s">
        <v>2527</v>
      </c>
      <c r="I168" s="2854" t="s">
        <v>2568</v>
      </c>
      <c r="J168" s="3004"/>
      <c r="K168" s="3005"/>
      <c r="L168" s="3005"/>
      <c r="M168" s="3005"/>
      <c r="N168" s="3005"/>
      <c r="O168" s="3005"/>
      <c r="P168" s="3005"/>
      <c r="Q168" s="2884"/>
      <c r="R168" s="2884"/>
    </row>
    <row customHeight="true" ht="18.452380952380953" r="169">
      <c r="A169" s="2875" t="s">
        <v>2708</v>
      </c>
      <c r="B169" s="3002">
        <v>46270</v>
      </c>
      <c r="C169" s="2895" t="str">
        <v>Saturday</v>
      </c>
      <c r="D169" s="2896" t="s">
        <v>2710</v>
      </c>
      <c r="E169" s="2897">
        <f t="shared" si="81"/>
      </c>
      <c r="F169" s="2849" t="s">
        <v>2714</v>
      </c>
      <c r="G169" s="3003" t="s">
        <v>2715</v>
      </c>
      <c r="H169" s="2849" t="s">
        <v>2527</v>
      </c>
      <c r="I169" s="2854" t="s">
        <v>2568</v>
      </c>
      <c r="J169" s="3004"/>
      <c r="K169" s="3005"/>
      <c r="L169" s="3005"/>
      <c r="M169" s="3005"/>
      <c r="N169" s="3005"/>
      <c r="O169" s="3005"/>
      <c r="P169" s="3005"/>
      <c r="Q169" s="2884"/>
      <c r="R169" s="2884"/>
    </row>
    <row customHeight="true" ht="18.452380952380953" r="170">
      <c r="A170" s="2875" t="s">
        <v>2708</v>
      </c>
      <c r="B170" s="3002">
        <v>46271</v>
      </c>
      <c r="C170" s="2895" t="str">
        <v>Sunday</v>
      </c>
      <c r="D170" s="2896" t="s">
        <v>2710</v>
      </c>
      <c r="E170" s="2897">
        <f t="shared" si="81"/>
      </c>
      <c r="F170" s="2849" t="s">
        <v>2714</v>
      </c>
      <c r="G170" s="3003" t="s">
        <v>2716</v>
      </c>
      <c r="H170" s="2849" t="s">
        <v>2527</v>
      </c>
      <c r="I170" s="2854" t="s">
        <v>2568</v>
      </c>
      <c r="J170" s="3004"/>
      <c r="K170" s="3005"/>
      <c r="L170" s="3005"/>
      <c r="M170" s="3005"/>
      <c r="N170" s="3005"/>
      <c r="O170" s="3005"/>
      <c r="P170" s="3005"/>
      <c r="Q170" s="2884"/>
      <c r="R170" s="2884"/>
    </row>
    <row customHeight="true" ht="18.452380952380953" r="171">
      <c r="A171" s="2875" t="s">
        <v>2717</v>
      </c>
      <c r="B171" s="3002">
        <v>46268</v>
      </c>
      <c r="C171" s="2875" t="str">
        <v>Thursday</v>
      </c>
      <c r="D171" s="2896" t="s">
        <v>2680</v>
      </c>
      <c r="E171" s="2849">
        <f t="shared" si="81"/>
      </c>
      <c r="F171" s="2882" t="s">
        <v>2697</v>
      </c>
      <c r="G171" s="3006"/>
      <c r="H171" s="2849" t="s">
        <v>2527</v>
      </c>
      <c r="I171" s="2854" t="s">
        <v>2568</v>
      </c>
      <c r="J171" s="3007"/>
      <c r="K171" s="2851"/>
      <c r="L171" s="2851"/>
      <c r="M171" s="2851"/>
      <c r="N171" s="2851"/>
      <c r="O171" s="2851"/>
      <c r="P171" s="2851"/>
    </row>
    <row customHeight="true" ht="18.452380952380953" r="172">
      <c r="A172" s="2875" t="s">
        <v>2717</v>
      </c>
      <c r="B172" s="3002">
        <v>46268</v>
      </c>
      <c r="C172" s="2875" t="str">
        <v>Thursday</v>
      </c>
      <c r="D172" s="2896" t="s">
        <v>2575</v>
      </c>
      <c r="E172" s="2849">
        <f t="shared" si="81"/>
      </c>
      <c r="F172" s="2882" t="s">
        <v>2525</v>
      </c>
      <c r="G172" s="3003" t="s">
        <v>2718</v>
      </c>
      <c r="H172" s="2849" t="s">
        <v>2527</v>
      </c>
      <c r="I172" s="2854" t="s">
        <v>2568</v>
      </c>
      <c r="J172" s="3007"/>
      <c r="K172" s="2851"/>
      <c r="L172" s="2851"/>
      <c r="M172" s="2851"/>
      <c r="N172" s="2851"/>
      <c r="O172" s="2851"/>
      <c r="P172" s="2851"/>
    </row>
    <row customHeight="true" ht="18.452380952380953" r="173">
      <c r="A173" s="2875" t="s">
        <v>2719</v>
      </c>
      <c r="B173" s="3002">
        <v>46268</v>
      </c>
      <c r="C173" s="2875" t="str">
        <v>Thursday</v>
      </c>
      <c r="D173" s="2896" t="s">
        <v>2720</v>
      </c>
      <c r="E173" s="2849">
        <f t="shared" si="81"/>
      </c>
      <c r="F173" s="2882" t="s">
        <v>2721</v>
      </c>
      <c r="G173" s="3006"/>
      <c r="H173" s="2849" t="s">
        <v>2527</v>
      </c>
      <c r="I173" s="2854" t="s">
        <v>2568</v>
      </c>
      <c r="J173" s="3004" t="s">
        <v>2722</v>
      </c>
      <c r="K173" s="2851"/>
      <c r="L173" s="2851"/>
      <c r="M173" s="2851"/>
      <c r="N173" s="2851"/>
      <c r="O173" s="2851"/>
      <c r="P173" s="2851"/>
    </row>
    <row customHeight="true" ht="16.071428571428573" r="174">
      <c r="A174" s="2875" t="s">
        <v>2719</v>
      </c>
      <c r="B174" s="3002">
        <v>46268</v>
      </c>
      <c r="C174" s="2875" t="str">
        <v>Thursday</v>
      </c>
      <c r="D174" s="2896" t="s">
        <v>2710</v>
      </c>
      <c r="E174" s="2849">
        <f t="shared" si="81"/>
      </c>
      <c r="F174" s="2882" t="s">
        <v>2694</v>
      </c>
      <c r="G174" s="3006"/>
      <c r="H174" s="2849" t="s">
        <v>2527</v>
      </c>
      <c r="I174" s="2854" t="s">
        <v>2568</v>
      </c>
      <c r="J174" s="3007"/>
      <c r="K174" s="2851"/>
      <c r="L174" s="2851"/>
      <c r="M174" s="2851"/>
      <c r="N174" s="2851"/>
      <c r="O174" s="2851"/>
      <c r="P174" s="2851"/>
    </row>
    <row customHeight="true" ht="16.071428571428573" r="175">
      <c r="A175" s="2875" t="s">
        <v>2719</v>
      </c>
      <c r="B175" s="3002">
        <v>46269</v>
      </c>
      <c r="C175" s="2875" t="str">
        <v>Friday</v>
      </c>
      <c r="D175" s="2896" t="s">
        <v>2710</v>
      </c>
      <c r="E175" s="2849">
        <f t="shared" si="81"/>
      </c>
      <c r="F175" s="3008" t="s">
        <v>2723</v>
      </c>
      <c r="G175" s="3006"/>
      <c r="H175" s="2849" t="s">
        <v>2527</v>
      </c>
      <c r="I175" s="2854" t="s">
        <v>2568</v>
      </c>
      <c r="J175" s="3007"/>
      <c r="K175" s="2851"/>
      <c r="L175" s="2851"/>
      <c r="M175" s="2851"/>
      <c r="N175" s="2851"/>
      <c r="O175" s="2851"/>
      <c r="P175" s="2851"/>
    </row>
    <row customHeight="true" ht="16.071428571428573" r="176">
      <c r="A176" s="2875" t="s">
        <v>2717</v>
      </c>
      <c r="B176" s="3002">
        <v>46269</v>
      </c>
      <c r="C176" s="2875" t="str">
        <v>Friday</v>
      </c>
      <c r="D176" s="2896" t="s">
        <v>2724</v>
      </c>
      <c r="E176" s="2849">
        <f t="shared" si="81"/>
      </c>
      <c r="F176" s="3008" t="s">
        <v>2723</v>
      </c>
      <c r="G176" s="3006"/>
      <c r="H176" s="2849"/>
      <c r="I176" s="2854" t="s">
        <v>2528</v>
      </c>
      <c r="J176" s="3004" t="s">
        <v>2725</v>
      </c>
      <c r="K176" s="2851"/>
      <c r="L176" s="2851"/>
      <c r="M176" s="2851"/>
      <c r="N176" s="2851"/>
      <c r="O176" s="2851"/>
      <c r="P176" s="2851"/>
    </row>
    <row customHeight="true" ht="16.071428571428573" r="177">
      <c r="A177" s="2875" t="s">
        <v>2719</v>
      </c>
      <c r="B177" s="3002">
        <v>46270</v>
      </c>
      <c r="C177" s="2875" t="str">
        <v>Saturday</v>
      </c>
      <c r="D177" s="2896" t="s">
        <v>2710</v>
      </c>
      <c r="E177" s="2849">
        <f t="shared" si="81"/>
      </c>
      <c r="F177" s="3009" t="s">
        <v>2726</v>
      </c>
      <c r="G177" s="3006"/>
      <c r="H177" s="2849" t="s">
        <v>2527</v>
      </c>
      <c r="I177" s="2854" t="s">
        <v>2568</v>
      </c>
      <c r="J177" s="3007"/>
      <c r="K177" s="2851"/>
      <c r="L177" s="2851"/>
      <c r="M177" s="2851"/>
      <c r="N177" s="2851"/>
      <c r="O177" s="2851"/>
      <c r="P177" s="2851"/>
    </row>
    <row customHeight="true" ht="16.071428571428573" r="178">
      <c r="A178" s="2875" t="s">
        <v>2719</v>
      </c>
      <c r="B178" s="3002">
        <v>46271</v>
      </c>
      <c r="C178" s="2875" t="str">
        <v>Sunday</v>
      </c>
      <c r="D178" s="2896" t="s">
        <v>2710</v>
      </c>
      <c r="E178" s="2849">
        <f t="shared" si="81"/>
      </c>
      <c r="F178" s="2882" t="s">
        <v>2697</v>
      </c>
      <c r="G178" s="3006"/>
      <c r="H178" s="2849" t="s">
        <v>2527</v>
      </c>
      <c r="I178" s="2854" t="s">
        <v>2568</v>
      </c>
      <c r="J178" s="3004"/>
      <c r="K178" s="2851"/>
      <c r="L178" s="2851"/>
      <c r="M178" s="2851"/>
      <c r="N178" s="2851"/>
      <c r="O178" s="2851"/>
      <c r="P178" s="2851"/>
    </row>
    <row customHeight="true" ht="16.071428571428573" r="179">
      <c r="A179" s="2875" t="s">
        <v>2727</v>
      </c>
      <c r="B179" s="3002">
        <v>46266</v>
      </c>
      <c r="C179" s="2875" t="str">
        <v>Tuesday</v>
      </c>
      <c r="D179" s="2896" t="s">
        <v>2728</v>
      </c>
      <c r="E179" s="2849">
        <f t="shared" si="81"/>
      </c>
      <c r="F179" s="2882" t="s">
        <v>2726</v>
      </c>
      <c r="G179" s="3003" t="s">
        <v>2718</v>
      </c>
      <c r="H179" s="2849" t="s">
        <v>2527</v>
      </c>
      <c r="I179" s="2854" t="s">
        <v>2568</v>
      </c>
      <c r="J179" s="3004"/>
      <c r="K179" s="2851"/>
      <c r="L179" s="2851"/>
      <c r="M179" s="2851"/>
      <c r="N179" s="2851"/>
      <c r="O179" s="2851"/>
      <c r="P179" s="2851"/>
    </row>
    <row r="180">
      <c r="A180" s="2884"/>
      <c r="B180" s="2884"/>
      <c r="C180" s="2884"/>
      <c r="D180" s="2884"/>
      <c r="E180" s="2884"/>
      <c r="F180" s="2884"/>
      <c r="G180" s="2884"/>
      <c r="H180" s="2884"/>
      <c r="I180" s="2884"/>
      <c r="J180" s="2884"/>
      <c r="K180" s="2989"/>
      <c r="L180" s="2989"/>
      <c r="M180" s="2989"/>
      <c r="N180" s="2989"/>
      <c r="O180" s="2989"/>
      <c r="P180" s="2989"/>
    </row>
    <row r="181">
      <c r="A181" s="3010" t="s">
        <v>2729</v>
      </c>
      <c r="B181" s="3010"/>
      <c r="C181" s="3010"/>
      <c r="D181" s="3010"/>
      <c r="E181" s="3010"/>
      <c r="F181" s="3010"/>
      <c r="G181" s="3010"/>
      <c r="H181" s="3010" t="s">
        <v>2730</v>
      </c>
      <c r="I181" s="3010"/>
      <c r="J181" s="3011"/>
      <c r="K181" s="2887"/>
      <c r="L181" s="2887"/>
      <c r="M181" s="2887"/>
      <c r="N181" s="2887"/>
      <c r="O181" s="2887"/>
      <c r="P181" s="2887"/>
    </row>
    <row r="182">
      <c r="A182" s="3012" t="s">
        <v>2554</v>
      </c>
      <c r="B182" s="3013" t="s">
        <v>2555</v>
      </c>
      <c r="C182" s="3013"/>
      <c r="D182" s="3014" t="s">
        <v>2556</v>
      </c>
      <c r="E182" s="3015" t="s">
        <v>2557</v>
      </c>
      <c r="F182" s="3015" t="s">
        <v>2558</v>
      </c>
      <c r="G182" s="3016" t="s">
        <v>2577</v>
      </c>
      <c r="H182" s="3017" t="s">
        <v>2560</v>
      </c>
      <c r="I182" s="3017" t="s">
        <v>2561</v>
      </c>
      <c r="J182" s="3018" t="s">
        <v>2562</v>
      </c>
      <c r="K182" s="2874"/>
      <c r="L182" s="2874"/>
      <c r="M182" s="2874"/>
      <c r="N182" s="2874"/>
      <c r="O182" s="2874"/>
      <c r="P182" s="2874"/>
    </row>
    <row customHeight="true" ht="18.452380952380953" r="183">
      <c r="A183" s="2875" t="s">
        <v>2729</v>
      </c>
      <c r="B183" s="2844">
        <v>46265</v>
      </c>
      <c r="C183" s="2875" t="str">
        <v>Monday</v>
      </c>
      <c r="D183" s="2849" t="s">
        <v>2731</v>
      </c>
      <c r="E183" s="2849">
        <f t="shared" ref="E183:E186" si="82">24*MOD(TIMEVALUE(TRIM(MID(D183,FIND("-",D183)+1,LEN(D183)))) - TIMEVALUE(TRIM(LEFT(D183,FIND("-",D183)-1))),1)</f>
      </c>
      <c r="F183" s="2849" t="s">
        <v>2732</v>
      </c>
      <c r="G183" s="3006"/>
      <c r="H183" s="2849" t="s">
        <v>2527</v>
      </c>
      <c r="I183" s="2943" t="s">
        <v>2528</v>
      </c>
      <c r="J183" s="3007"/>
      <c r="K183" s="2851"/>
      <c r="L183" s="2851"/>
      <c r="M183" s="2851"/>
      <c r="N183" s="2851"/>
      <c r="O183" s="2851"/>
      <c r="P183" s="2851"/>
    </row>
    <row r="184">
      <c r="A184" s="2875" t="s">
        <v>2729</v>
      </c>
      <c r="B184" s="3019">
        <v>46266</v>
      </c>
      <c r="C184" s="2875" t="str">
        <v>Tuesday</v>
      </c>
      <c r="D184" s="3020" t="s">
        <v>2733</v>
      </c>
      <c r="E184" s="2849">
        <f t="shared" si="82"/>
      </c>
      <c r="F184" s="2849" t="s">
        <v>2644</v>
      </c>
      <c r="G184" s="3003"/>
      <c r="H184" s="2849" t="s">
        <v>2527</v>
      </c>
      <c r="I184" s="2854" t="s">
        <v>2528</v>
      </c>
      <c r="J184" s="3007"/>
      <c r="K184" s="2851"/>
      <c r="L184" s="2851"/>
      <c r="M184" s="2851"/>
      <c r="N184" s="2851"/>
      <c r="O184" s="2851"/>
      <c r="P184" s="2851"/>
    </row>
    <row customHeight="true" ht="18.452380952380953" r="185">
      <c r="A185" s="2875" t="s">
        <v>2729</v>
      </c>
      <c r="B185" s="3019">
        <v>46268</v>
      </c>
      <c r="C185" s="2875" t="str">
        <v>Thursday</v>
      </c>
      <c r="D185" s="2849" t="s">
        <v>2731</v>
      </c>
      <c r="E185" s="2849">
        <f t="shared" si="82"/>
      </c>
      <c r="F185" s="2849" t="s">
        <v>2734</v>
      </c>
      <c r="G185" s="3006"/>
      <c r="H185" s="2849" t="s">
        <v>2527</v>
      </c>
      <c r="I185" s="2854" t="s">
        <v>2528</v>
      </c>
      <c r="J185" s="3007"/>
      <c r="K185" s="2851"/>
      <c r="L185" s="2851"/>
      <c r="M185" s="2851"/>
      <c r="N185" s="2851"/>
      <c r="O185" s="2851"/>
      <c r="P185" s="2851"/>
    </row>
    <row customHeight="true" ht="18.452380952380953" r="186">
      <c r="A186" s="2875" t="s">
        <v>2729</v>
      </c>
      <c r="B186" s="3019">
        <v>46269</v>
      </c>
      <c r="C186" s="2875" t="str">
        <v>Friday</v>
      </c>
      <c r="D186" s="2849" t="s">
        <v>2731</v>
      </c>
      <c r="E186" s="2849">
        <f t="shared" si="82"/>
      </c>
      <c r="F186" s="2849" t="s">
        <v>2732</v>
      </c>
      <c r="G186" s="3006"/>
      <c r="H186" s="2849" t="s">
        <v>2527</v>
      </c>
      <c r="I186" s="2943" t="s">
        <v>2528</v>
      </c>
      <c r="J186" s="3007"/>
      <c r="K186" s="2851"/>
      <c r="L186" s="2851"/>
      <c r="M186" s="2851"/>
      <c r="N186" s="2851"/>
      <c r="O186" s="2851"/>
      <c r="P186" s="2851"/>
    </row>
    <row customHeight="true" ht="18.452380952380953" r="187">
      <c r="A187" s="2875"/>
      <c r="B187" s="2844"/>
      <c r="C187" s="2875"/>
      <c r="D187" s="2881"/>
      <c r="E187" s="2849"/>
      <c r="F187" s="2849"/>
      <c r="G187" s="3006"/>
      <c r="H187" s="2849"/>
      <c r="I187" s="2943"/>
      <c r="J187" s="3007"/>
      <c r="K187" s="2851"/>
      <c r="L187" s="2851"/>
      <c r="M187" s="2851"/>
      <c r="N187" s="2851"/>
      <c r="O187" s="2851"/>
      <c r="P187" s="2851"/>
    </row>
    <row r="188">
      <c r="A188" s="2875" t="s">
        <v>2729</v>
      </c>
      <c r="B188" s="2844">
        <v>46265</v>
      </c>
      <c r="C188" s="2875" t="str">
        <v>Monday</v>
      </c>
      <c r="D188" s="2881" t="s">
        <v>2735</v>
      </c>
      <c r="E188" s="2849">
        <f t="shared" ref="E188:E193" si="83">24*MOD(TIMEVALUE(TRIM(MID(D188,FIND("-",D188)+1,LEN(D188)))) - TIMEVALUE(TRIM(LEFT(D188,FIND("-",D188)-1))),1)</f>
      </c>
      <c r="F188" s="2849" t="s">
        <v>2692</v>
      </c>
      <c r="G188" s="3003"/>
      <c r="H188" s="2849" t="s">
        <v>2527</v>
      </c>
      <c r="I188" s="2854" t="s">
        <v>2528</v>
      </c>
      <c r="J188" s="3007"/>
      <c r="K188" s="2851"/>
      <c r="L188" s="2851"/>
      <c r="M188" s="2851"/>
      <c r="N188" s="2851"/>
      <c r="O188" s="2851"/>
      <c r="P188" s="2851"/>
    </row>
    <row customHeight="true" ht="18.452380952380953" r="189">
      <c r="A189" s="2875" t="s">
        <v>2729</v>
      </c>
      <c r="B189" s="3021">
        <v>46266</v>
      </c>
      <c r="C189" s="2875" t="str">
        <v>Tuesday</v>
      </c>
      <c r="D189" s="2881" t="s">
        <v>2735</v>
      </c>
      <c r="E189" s="2849">
        <f t="shared" si="83"/>
      </c>
      <c r="F189" s="2849" t="s">
        <v>2736</v>
      </c>
      <c r="G189" s="3006"/>
      <c r="H189" s="2849" t="s">
        <v>2527</v>
      </c>
      <c r="I189" s="2854" t="s">
        <v>2528</v>
      </c>
      <c r="J189" s="3004" t="s">
        <v>2737</v>
      </c>
      <c r="K189" s="2851"/>
      <c r="L189" s="2851"/>
      <c r="M189" s="2851"/>
      <c r="N189" s="2851"/>
      <c r="O189" s="2851"/>
      <c r="P189" s="2851"/>
    </row>
    <row customHeight="true" ht="18.452380952380953" r="190">
      <c r="A190" s="2875" t="s">
        <v>2729</v>
      </c>
      <c r="B190" s="3019">
        <v>46269</v>
      </c>
      <c r="C190" s="2875" t="str">
        <v>Friday</v>
      </c>
      <c r="D190" s="2881" t="s">
        <v>2735</v>
      </c>
      <c r="E190" s="2849">
        <f t="shared" si="83"/>
      </c>
      <c r="F190" s="2849" t="s">
        <v>2692</v>
      </c>
      <c r="G190" s="3003"/>
      <c r="H190" s="2849" t="s">
        <v>2527</v>
      </c>
      <c r="I190" s="2854" t="s">
        <v>2528</v>
      </c>
      <c r="J190" s="3007"/>
      <c r="K190" s="2851"/>
      <c r="L190" s="2851"/>
      <c r="M190" s="3022" t="s">
        <v>2657</v>
      </c>
      <c r="N190" s="2851"/>
      <c r="O190" s="2851"/>
      <c r="P190" s="2851"/>
    </row>
    <row customHeight="true" ht="18.452380952380953" r="191">
      <c r="A191" s="2875" t="s">
        <v>2729</v>
      </c>
      <c r="B191" s="3019">
        <v>46268</v>
      </c>
      <c r="C191" s="2875" t="str">
        <v>Thursday</v>
      </c>
      <c r="D191" s="2881" t="s">
        <v>2735</v>
      </c>
      <c r="E191" s="2849">
        <f t="shared" si="83"/>
      </c>
      <c r="F191" s="2849" t="s">
        <v>2736</v>
      </c>
      <c r="G191" s="3003"/>
      <c r="H191" s="2849" t="s">
        <v>2527</v>
      </c>
      <c r="I191" s="2854" t="s">
        <v>2528</v>
      </c>
      <c r="J191" s="3007"/>
      <c r="K191" s="2851"/>
      <c r="L191" s="2851"/>
      <c r="M191" s="2851"/>
      <c r="N191" s="2851"/>
      <c r="O191" s="2851"/>
      <c r="P191" s="2851"/>
    </row>
    <row customHeight="true" ht="18.452380952380953" r="192">
      <c r="A192" s="2875" t="s">
        <v>2738</v>
      </c>
      <c r="B192" s="2844">
        <v>46265</v>
      </c>
      <c r="C192" s="2875" t="str">
        <v>Monday</v>
      </c>
      <c r="D192" s="2881" t="s">
        <v>2731</v>
      </c>
      <c r="E192" s="2849">
        <f t="shared" si="83"/>
      </c>
      <c r="F192" s="2849" t="s">
        <v>2736</v>
      </c>
      <c r="G192" s="3003"/>
      <c r="H192" s="2849" t="s">
        <v>2527</v>
      </c>
      <c r="I192" s="2854" t="s">
        <v>2528</v>
      </c>
      <c r="J192" s="3007"/>
      <c r="K192" s="2851"/>
      <c r="L192" s="2851"/>
      <c r="M192" s="2851"/>
      <c r="N192" s="2851"/>
      <c r="O192" s="2851"/>
      <c r="P192" s="2851"/>
    </row>
    <row customHeight="true" ht="18.452380952380953" r="193">
      <c r="A193" s="2875" t="s">
        <v>2738</v>
      </c>
      <c r="B193" s="2844">
        <v>46269</v>
      </c>
      <c r="C193" s="2875" t="str">
        <v>Friday</v>
      </c>
      <c r="D193" s="2881" t="s">
        <v>2739</v>
      </c>
      <c r="E193" s="2849">
        <f t="shared" si="83"/>
      </c>
      <c r="F193" s="2849" t="s">
        <v>2701</v>
      </c>
      <c r="G193" s="3003"/>
      <c r="H193" s="2849" t="s">
        <v>2527</v>
      </c>
      <c r="I193" s="2854" t="s">
        <v>2528</v>
      </c>
      <c r="J193" s="3007"/>
      <c r="K193" s="2851"/>
      <c r="L193" s="2851"/>
      <c r="M193" s="2851"/>
      <c r="N193" s="2851"/>
      <c r="O193" s="2851"/>
      <c r="P193" s="2851"/>
    </row>
    <row r="194">
      <c r="A194" s="3023" t="s">
        <v>2740</v>
      </c>
      <c r="B194" s="3023"/>
      <c r="C194" s="3023"/>
      <c r="D194" s="3023"/>
      <c r="E194" s="3023"/>
      <c r="F194" s="3023"/>
      <c r="G194" s="3023"/>
      <c r="H194" s="3023"/>
      <c r="I194" s="3023"/>
      <c r="J194" s="3024"/>
      <c r="K194" s="2887"/>
      <c r="L194" s="2887"/>
      <c r="M194" s="2887"/>
      <c r="N194" s="2887"/>
      <c r="O194" s="2887"/>
      <c r="P194" s="2887"/>
    </row>
    <row r="195">
      <c r="A195" s="3025" t="s">
        <v>2554</v>
      </c>
      <c r="B195" s="3026" t="s">
        <v>2555</v>
      </c>
      <c r="C195" s="3026"/>
      <c r="D195" s="3027" t="s">
        <v>2556</v>
      </c>
      <c r="E195" s="3028" t="s">
        <v>2557</v>
      </c>
      <c r="F195" s="3028" t="s">
        <v>2558</v>
      </c>
      <c r="G195" s="3029" t="s">
        <v>2741</v>
      </c>
      <c r="H195" s="3030" t="s">
        <v>2560</v>
      </c>
      <c r="I195" s="3030" t="s">
        <v>2561</v>
      </c>
      <c r="J195" s="3031" t="s">
        <v>2562</v>
      </c>
      <c r="K195" s="2874"/>
      <c r="L195" s="2874"/>
      <c r="M195" s="2874"/>
      <c r="N195" s="2874"/>
      <c r="O195" s="2874"/>
      <c r="P195" s="2874"/>
    </row>
    <row customHeight="true" ht="18.452380952380953" r="196">
      <c r="A196" s="2875" t="s">
        <v>2740</v>
      </c>
      <c r="B196" s="2844">
        <v>46265</v>
      </c>
      <c r="C196" s="2875" t="str">
        <v>Monday</v>
      </c>
      <c r="D196" s="2845" t="s">
        <v>2605</v>
      </c>
      <c r="E196" s="2845">
        <v>2</v>
      </c>
      <c r="F196" s="3032" t="s">
        <v>2742</v>
      </c>
      <c r="G196" s="3003" t="s">
        <v>2743</v>
      </c>
      <c r="H196" s="2849" t="s">
        <v>2527</v>
      </c>
      <c r="I196" s="2854" t="s">
        <v>2528</v>
      </c>
      <c r="J196" s="3007"/>
      <c r="K196" s="2851"/>
      <c r="L196" s="2851"/>
      <c r="M196" s="2851"/>
      <c r="N196" s="2851"/>
      <c r="O196" s="2851"/>
      <c r="P196" s="2851"/>
    </row>
    <row r="197">
      <c r="A197" s="2875" t="s">
        <v>2740</v>
      </c>
      <c r="B197" s="2844">
        <v>46267</v>
      </c>
      <c r="C197" s="2875" t="str">
        <v>Wednesday</v>
      </c>
      <c r="D197" s="2845" t="s">
        <v>2605</v>
      </c>
      <c r="E197" s="2845">
        <v>2</v>
      </c>
      <c r="F197" s="3032" t="s">
        <v>2742</v>
      </c>
      <c r="G197" s="3003" t="s">
        <v>2743</v>
      </c>
      <c r="H197" s="2849" t="s">
        <v>2527</v>
      </c>
      <c r="I197" s="2854" t="s">
        <v>2528</v>
      </c>
      <c r="J197" s="3007"/>
      <c r="K197" s="2851"/>
      <c r="L197" s="2851"/>
      <c r="M197" s="2851"/>
      <c r="N197" s="2851"/>
      <c r="O197" s="2851"/>
      <c r="P197" s="2851"/>
    </row>
    <row customHeight="true" ht="18.105158730161076" r="198">
      <c r="A198" s="2875" t="s">
        <v>2740</v>
      </c>
      <c r="B198" s="2844">
        <v>46268</v>
      </c>
      <c r="C198" s="2875" t="str">
        <v>Thursday</v>
      </c>
      <c r="D198" s="2896" t="s">
        <v>2731</v>
      </c>
      <c r="E198" s="2896">
        <v>2</v>
      </c>
      <c r="F198" s="3032" t="s">
        <v>2742</v>
      </c>
      <c r="G198" s="3003" t="s">
        <v>2743</v>
      </c>
      <c r="H198" s="2849" t="s">
        <v>2527</v>
      </c>
      <c r="I198" s="2854" t="s">
        <v>2528</v>
      </c>
      <c r="J198" s="3007"/>
      <c r="K198" s="2851"/>
      <c r="L198" s="2851"/>
      <c r="M198" s="2851"/>
      <c r="N198" s="2851"/>
      <c r="O198" s="2851"/>
      <c r="P198" s="2851"/>
    </row>
    <row r="199">
      <c r="A199" s="2875" t="s">
        <v>2740</v>
      </c>
      <c r="B199" s="2844">
        <v>46269</v>
      </c>
      <c r="C199" s="2875" t="str">
        <v>Friday</v>
      </c>
      <c r="D199" s="2845" t="s">
        <v>2744</v>
      </c>
      <c r="E199" s="2845">
        <v>2</v>
      </c>
      <c r="F199" s="3033" t="s">
        <v>2646</v>
      </c>
      <c r="G199" s="3003" t="s">
        <v>2743</v>
      </c>
      <c r="H199" s="2849" t="s">
        <v>2527</v>
      </c>
      <c r="I199" s="2943" t="s">
        <v>2528</v>
      </c>
      <c r="J199" s="3007"/>
      <c r="K199" s="2851"/>
      <c r="L199" s="2851"/>
      <c r="M199" s="2851"/>
      <c r="N199" s="2851"/>
      <c r="O199" s="2851"/>
      <c r="P199" s="2851"/>
    </row>
    <row customHeight="true" ht="18.452380952380953" r="200">
      <c r="A200" s="2898" t="s">
        <v>2740</v>
      </c>
      <c r="B200" s="2899">
        <v>46270</v>
      </c>
      <c r="C200" s="2898" t="str">
        <v>Saturday</v>
      </c>
      <c r="D200" s="2900" t="s">
        <v>2605</v>
      </c>
      <c r="E200" s="2900">
        <v>2</v>
      </c>
      <c r="F200" s="3034" t="s">
        <v>2745</v>
      </c>
      <c r="G200" s="2902" t="s">
        <v>2743</v>
      </c>
      <c r="H200" s="2901" t="s">
        <v>2746</v>
      </c>
      <c r="I200" s="2964" t="s">
        <v>2568</v>
      </c>
      <c r="J200" s="3035" t="s">
        <v>2747</v>
      </c>
      <c r="K200" s="3036"/>
      <c r="L200" s="3036"/>
      <c r="M200" s="3036"/>
      <c r="N200" s="3036"/>
      <c r="O200" s="3036"/>
      <c r="P200" s="3036"/>
      <c r="Q200" s="3037"/>
      <c r="R200" s="3037"/>
    </row>
    <row customHeight="true" ht="18.452380952380953" r="201">
      <c r="A201" s="2898" t="s">
        <v>2748</v>
      </c>
      <c r="B201" s="2899">
        <v>46258</v>
      </c>
      <c r="C201" s="2898" t="str">
        <v>Monday</v>
      </c>
      <c r="D201" s="2900" t="s">
        <v>2605</v>
      </c>
      <c r="E201" s="2900">
        <v>2</v>
      </c>
      <c r="F201" s="3034" t="s">
        <v>2745</v>
      </c>
      <c r="G201" s="2902" t="s">
        <v>2743</v>
      </c>
      <c r="H201" s="2901" t="s">
        <v>2527</v>
      </c>
      <c r="I201" s="2901" t="s">
        <v>2568</v>
      </c>
      <c r="J201" s="3038"/>
      <c r="K201" s="3036"/>
      <c r="L201" s="3036"/>
      <c r="M201" s="3036"/>
      <c r="N201" s="3036"/>
      <c r="O201" s="3036"/>
      <c r="P201" s="3036"/>
      <c r="Q201" s="3037"/>
      <c r="R201" s="3037"/>
    </row>
    <row customHeight="true" ht="18.452380952380953" r="202">
      <c r="A202" s="2875" t="s">
        <v>2749</v>
      </c>
      <c r="B202" s="2844">
        <v>46265</v>
      </c>
      <c r="C202" s="2875" t="str">
        <v>Monday</v>
      </c>
      <c r="D202" s="2845" t="s">
        <v>2601</v>
      </c>
      <c r="E202" s="2845">
        <v>3</v>
      </c>
      <c r="F202" s="2879" t="s">
        <v>2692</v>
      </c>
      <c r="G202" s="3003" t="s">
        <v>2743</v>
      </c>
      <c r="H202" s="2849" t="s">
        <v>2527</v>
      </c>
      <c r="I202" s="2943"/>
      <c r="J202" s="3007"/>
      <c r="K202" s="2851"/>
      <c r="L202" s="2851"/>
      <c r="M202" s="2851"/>
      <c r="N202" s="2851"/>
      <c r="O202" s="2851"/>
      <c r="P202" s="2851"/>
    </row>
    <row customHeight="true" ht="18.452380952380953" r="203">
      <c r="A203" s="2875" t="s">
        <v>2749</v>
      </c>
      <c r="B203" s="2844">
        <v>46267</v>
      </c>
      <c r="C203" s="2875" t="str">
        <v>Wednesday</v>
      </c>
      <c r="D203" s="2845" t="s">
        <v>2605</v>
      </c>
      <c r="E203" s="2845">
        <v>2</v>
      </c>
      <c r="F203" s="2897" t="s">
        <v>2750</v>
      </c>
      <c r="G203" s="3003" t="s">
        <v>2743</v>
      </c>
      <c r="H203" s="2849" t="s">
        <v>2527</v>
      </c>
      <c r="I203" s="2943"/>
      <c r="J203" s="3007"/>
      <c r="K203" s="2851"/>
      <c r="L203" s="2851"/>
      <c r="M203" s="2851"/>
      <c r="N203" s="2851"/>
      <c r="O203" s="2851"/>
      <c r="P203" s="2851"/>
    </row>
    <row customHeight="true" ht="18.452380952380953" r="204">
      <c r="A204" s="2875" t="s">
        <v>2749</v>
      </c>
      <c r="B204" s="2844">
        <v>46268</v>
      </c>
      <c r="C204" s="2875" t="str">
        <v>Thursday</v>
      </c>
      <c r="D204" s="2896" t="s">
        <v>2751</v>
      </c>
      <c r="E204" s="2845">
        <v>2</v>
      </c>
      <c r="F204" s="2897" t="s">
        <v>2750</v>
      </c>
      <c r="G204" s="3003" t="s">
        <v>2743</v>
      </c>
      <c r="H204" s="2849" t="s">
        <v>2527</v>
      </c>
      <c r="I204" s="2943"/>
      <c r="J204" s="3007"/>
      <c r="K204" s="2851"/>
      <c r="L204" s="2851"/>
      <c r="M204" s="2851"/>
      <c r="N204" s="2851"/>
      <c r="O204" s="2851"/>
      <c r="P204" s="2851"/>
    </row>
    <row customHeight="true" ht="18.452380952380953" r="205">
      <c r="A205" s="2875" t="s">
        <v>2749</v>
      </c>
      <c r="B205" s="2844">
        <v>46269</v>
      </c>
      <c r="C205" s="2875" t="str">
        <v>Friday</v>
      </c>
      <c r="D205" s="2845" t="s">
        <v>2601</v>
      </c>
      <c r="E205" s="2845">
        <v>3</v>
      </c>
      <c r="F205" s="2849" t="s">
        <v>2736</v>
      </c>
      <c r="G205" s="3003"/>
      <c r="H205" s="2849" t="s">
        <v>2527</v>
      </c>
      <c r="I205" s="2854"/>
      <c r="J205" s="3039"/>
      <c r="K205" s="2851"/>
      <c r="L205" s="2851"/>
      <c r="M205" s="2851"/>
      <c r="N205" s="2851"/>
      <c r="O205" s="2851"/>
      <c r="P205" s="2851"/>
    </row>
    <row r="206">
      <c r="A206" s="3040" t="s">
        <v>2752</v>
      </c>
      <c r="B206" s="3040"/>
      <c r="C206" s="3040"/>
      <c r="D206" s="3040"/>
      <c r="E206" s="3041"/>
      <c r="F206" s="3040"/>
      <c r="G206" s="3041"/>
      <c r="H206" s="3040"/>
      <c r="I206" s="3040"/>
      <c r="J206" s="3042"/>
      <c r="K206" s="2887"/>
      <c r="L206" s="2887"/>
      <c r="M206" s="2887"/>
      <c r="N206" s="2887"/>
      <c r="O206" s="2887"/>
      <c r="P206" s="2887"/>
    </row>
    <row r="207">
      <c r="A207" s="3043" t="s">
        <v>2554</v>
      </c>
      <c r="B207" s="3044" t="s">
        <v>2555</v>
      </c>
      <c r="C207" s="3044"/>
      <c r="D207" s="3045" t="s">
        <v>2556</v>
      </c>
      <c r="E207" s="3046" t="s">
        <v>2557</v>
      </c>
      <c r="F207" s="3046" t="s">
        <v>2558</v>
      </c>
      <c r="G207" s="3047" t="s">
        <v>2577</v>
      </c>
      <c r="H207" s="3048" t="s">
        <v>2560</v>
      </c>
      <c r="I207" s="3048" t="s">
        <v>2561</v>
      </c>
      <c r="J207" s="3049" t="s">
        <v>2562</v>
      </c>
      <c r="K207" s="2874"/>
      <c r="L207" s="2874"/>
      <c r="M207" s="2874"/>
      <c r="N207" s="2874"/>
      <c r="O207" s="2874"/>
      <c r="P207" s="2874"/>
    </row>
    <row r="208">
      <c r="A208" s="2875" t="s">
        <v>2753</v>
      </c>
      <c r="B208" s="2844">
        <v>46266</v>
      </c>
      <c r="C208" s="2875" t="str">
        <v>Tuesday</v>
      </c>
      <c r="D208" s="2845" t="s">
        <v>2754</v>
      </c>
      <c r="E208" s="2881">
        <v>1</v>
      </c>
      <c r="F208" s="2849" t="s">
        <v>2684</v>
      </c>
      <c r="G208" s="3006"/>
      <c r="H208" s="2897" t="s">
        <v>2527</v>
      </c>
      <c r="I208" s="2845" t="s">
        <v>2755</v>
      </c>
      <c r="J208" s="3007"/>
      <c r="K208" s="2851"/>
      <c r="L208" s="2851"/>
      <c r="M208" s="2851"/>
      <c r="N208" s="2851"/>
      <c r="O208" s="2851"/>
      <c r="P208" s="2851"/>
    </row>
    <row customHeight="true" ht="18.452380952380953" r="209">
      <c r="A209" s="2875" t="s">
        <v>2756</v>
      </c>
      <c r="B209" s="2844">
        <v>46266</v>
      </c>
      <c r="C209" s="2875" t="str">
        <v>Tuesday</v>
      </c>
      <c r="D209" s="2845" t="s">
        <v>2601</v>
      </c>
      <c r="E209" s="2881">
        <v>3</v>
      </c>
      <c r="F209" s="2849" t="s">
        <v>2684</v>
      </c>
      <c r="G209" s="3006"/>
      <c r="H209" s="2897" t="s">
        <v>2527</v>
      </c>
      <c r="I209" s="2845" t="s">
        <v>2755</v>
      </c>
      <c r="J209" s="3007"/>
      <c r="K209" s="2851"/>
      <c r="L209" s="2851"/>
      <c r="M209" s="2851"/>
      <c r="N209" s="2851"/>
      <c r="O209" s="2851"/>
      <c r="P209" s="2851"/>
    </row>
    <row customHeight="true" ht="16.071428571428573" r="210">
      <c r="A210" s="3050"/>
      <c r="B210" s="3051"/>
      <c r="C210" s="3051"/>
      <c r="D210" s="3051"/>
      <c r="E210" s="3052"/>
      <c r="F210" s="3051"/>
      <c r="G210" s="3052"/>
      <c r="H210" s="3051"/>
      <c r="I210" s="3051"/>
      <c r="J210" s="3053"/>
      <c r="K210" s="2887"/>
      <c r="L210" s="2887"/>
      <c r="M210" s="2887"/>
      <c r="N210" s="2887"/>
      <c r="O210" s="2887"/>
      <c r="P210" s="2887"/>
      <c r="Q210" s="2914"/>
      <c r="R210" s="2914"/>
    </row>
    <row customHeight="true" ht="16.071428571428573" r="211">
      <c r="A211" s="3054" t="s">
        <v>2757</v>
      </c>
      <c r="B211" s="3055"/>
      <c r="C211" s="3055"/>
      <c r="D211" s="3055"/>
      <c r="E211" s="3056"/>
      <c r="F211" s="3055"/>
      <c r="G211" s="3056"/>
      <c r="H211" s="3055"/>
      <c r="I211" s="3055"/>
      <c r="J211" s="3057"/>
      <c r="K211" s="2887"/>
      <c r="L211" s="2887"/>
      <c r="M211" s="2887"/>
      <c r="N211" s="2887"/>
      <c r="O211" s="2887"/>
      <c r="P211" s="2887"/>
    </row>
    <row customHeight="true" ht="30.357142857142858" r="212">
      <c r="A212" s="3058" t="s">
        <v>2554</v>
      </c>
      <c r="B212" s="3059" t="s">
        <v>2555</v>
      </c>
      <c r="C212" s="3059"/>
      <c r="D212" s="3060" t="s">
        <v>2556</v>
      </c>
      <c r="E212" s="3061" t="s">
        <v>2557</v>
      </c>
      <c r="F212" s="3061" t="s">
        <v>2558</v>
      </c>
      <c r="G212" s="3062" t="s">
        <v>2577</v>
      </c>
      <c r="H212" s="3063" t="s">
        <v>2560</v>
      </c>
      <c r="I212" s="3063" t="s">
        <v>2561</v>
      </c>
      <c r="J212" s="3064" t="s">
        <v>2562</v>
      </c>
      <c r="K212" s="2874"/>
      <c r="L212" s="2874"/>
      <c r="M212" s="2874"/>
      <c r="N212" s="2874"/>
      <c r="O212" s="2874"/>
      <c r="P212" s="2874"/>
    </row>
    <row customHeight="true" ht="16.071428571428573" r="213">
      <c r="A213" s="2875" t="s">
        <v>2758</v>
      </c>
      <c r="B213" s="2844">
        <v>46267</v>
      </c>
      <c r="C213" s="2875" t="str">
        <v>Wednesday</v>
      </c>
      <c r="D213" s="2845" t="s">
        <v>2706</v>
      </c>
      <c r="E213" s="2881">
        <v>3</v>
      </c>
      <c r="F213" s="2854" t="s">
        <v>2759</v>
      </c>
      <c r="G213" s="2849" t="s">
        <v>2736</v>
      </c>
      <c r="H213" s="2849" t="s">
        <v>2572</v>
      </c>
      <c r="I213" s="2854" t="s">
        <v>2528</v>
      </c>
      <c r="J213" s="3004" t="s">
        <v>2760</v>
      </c>
      <c r="K213" s="2851"/>
      <c r="L213" s="2851"/>
      <c r="M213" s="2851"/>
      <c r="N213" s="2851"/>
      <c r="O213" s="2851"/>
      <c r="P213" s="2851"/>
    </row>
    <row customHeight="true" ht="16.071428571428573" r="214">
      <c r="A214" s="2875" t="s">
        <v>2758</v>
      </c>
      <c r="B214" s="2844">
        <v>46269</v>
      </c>
      <c r="C214" s="2875" t="str">
        <v>Friday</v>
      </c>
      <c r="D214" s="2845" t="s">
        <v>2706</v>
      </c>
      <c r="E214" s="2881">
        <v>3</v>
      </c>
      <c r="F214" s="2854" t="s">
        <v>2759</v>
      </c>
      <c r="G214" s="2849" t="s">
        <v>2736</v>
      </c>
      <c r="H214" s="2849" t="s">
        <v>2572</v>
      </c>
      <c r="I214" s="2854" t="s">
        <v>2528</v>
      </c>
      <c r="J214" s="3004" t="s">
        <v>2761</v>
      </c>
      <c r="K214" s="2851"/>
      <c r="L214" s="2851"/>
      <c r="M214" s="2851"/>
      <c r="N214" s="2851"/>
      <c r="O214" s="2851"/>
      <c r="P214" s="2851"/>
    </row>
    <row customHeight="true" ht="16.071428571428573" r="215">
      <c r="A215" s="2875" t="s">
        <v>2758</v>
      </c>
      <c r="B215" s="2844">
        <v>46270</v>
      </c>
      <c r="C215" s="2875" t="str">
        <v>Saturday</v>
      </c>
      <c r="D215" s="2845" t="s">
        <v>2762</v>
      </c>
      <c r="E215" s="2881">
        <v>2</v>
      </c>
      <c r="F215" s="2854" t="s">
        <v>2759</v>
      </c>
      <c r="G215" s="2849" t="s">
        <v>2763</v>
      </c>
      <c r="H215" s="2849" t="s">
        <v>2572</v>
      </c>
      <c r="I215" s="2854" t="s">
        <v>2528</v>
      </c>
      <c r="J215" s="3004" t="s">
        <v>2760</v>
      </c>
      <c r="K215" s="2851"/>
      <c r="L215" s="2851"/>
      <c r="M215" s="2851"/>
      <c r="N215" s="2851"/>
      <c r="O215" s="2851"/>
      <c r="P215" s="2851"/>
    </row>
    <row customHeight="true" ht="16.071428571428573" r="216">
      <c r="A216" s="2875"/>
      <c r="B216" s="2844"/>
      <c r="C216" s="2875"/>
      <c r="D216" s="2845"/>
      <c r="E216" s="2849"/>
      <c r="F216" s="2849"/>
      <c r="G216" s="3003"/>
      <c r="H216" s="2849"/>
      <c r="I216" s="2854"/>
      <c r="J216" s="3007"/>
      <c r="K216" s="2851"/>
      <c r="L216" s="2851"/>
      <c r="M216" s="2851"/>
      <c r="N216" s="2851"/>
      <c r="O216" s="2851"/>
      <c r="P216" s="2851"/>
    </row>
    <row customHeight="true" ht="16.071428571428573" r="217">
      <c r="A217" s="2875" t="s">
        <v>2764</v>
      </c>
      <c r="B217" s="2844">
        <v>46267</v>
      </c>
      <c r="C217" s="2875" t="str">
        <v>Wednesday</v>
      </c>
      <c r="D217" s="2845" t="s">
        <v>2765</v>
      </c>
      <c r="E217" s="2881">
        <v>3.5</v>
      </c>
      <c r="F217" s="2849" t="s">
        <v>2736</v>
      </c>
      <c r="G217" s="2849"/>
      <c r="H217" s="2849" t="s">
        <v>2572</v>
      </c>
      <c r="I217" s="2854" t="s">
        <v>2568</v>
      </c>
      <c r="J217" s="3004" t="s">
        <v>2766</v>
      </c>
      <c r="K217" s="2851"/>
      <c r="L217" s="2851"/>
      <c r="M217" s="2851"/>
      <c r="N217" s="2851"/>
      <c r="O217" s="2851"/>
      <c r="P217" s="2851"/>
    </row>
    <row customHeight="true" ht="16.071428571428573" r="218">
      <c r="A218" s="2875" t="s">
        <v>2764</v>
      </c>
      <c r="B218" s="2844">
        <v>46269</v>
      </c>
      <c r="C218" s="2875" t="str">
        <v>Friday</v>
      </c>
      <c r="D218" s="2845" t="s">
        <v>2765</v>
      </c>
      <c r="E218" s="2881">
        <v>3.5</v>
      </c>
      <c r="F218" s="2849" t="s">
        <v>2736</v>
      </c>
      <c r="G218" s="2849"/>
      <c r="H218" s="2849" t="s">
        <v>2572</v>
      </c>
      <c r="I218" s="2854" t="s">
        <v>2568</v>
      </c>
      <c r="J218" s="3004" t="s">
        <v>2766</v>
      </c>
      <c r="K218" s="2851"/>
      <c r="L218" s="2851"/>
      <c r="M218" s="2851"/>
      <c r="N218" s="2851"/>
      <c r="O218" s="2851"/>
      <c r="P218" s="2851"/>
    </row>
    <row customHeight="true" ht="16.071428571428573" r="219">
      <c r="A219" s="2875" t="s">
        <v>2764</v>
      </c>
      <c r="B219" s="2844">
        <v>46270</v>
      </c>
      <c r="C219" s="2875" t="str">
        <v>Saturday</v>
      </c>
      <c r="D219" s="2845" t="s">
        <v>2767</v>
      </c>
      <c r="E219" s="2881">
        <v>2.5</v>
      </c>
      <c r="F219" s="2849" t="s">
        <v>2763</v>
      </c>
      <c r="G219" s="2849"/>
      <c r="H219" s="2849" t="s">
        <v>2572</v>
      </c>
      <c r="I219" s="2854" t="s">
        <v>2568</v>
      </c>
      <c r="J219" s="3007"/>
      <c r="K219" s="2851"/>
      <c r="L219" s="2851"/>
      <c r="M219" s="2851"/>
      <c r="N219" s="2851"/>
      <c r="O219" s="2851"/>
      <c r="P219" s="2851"/>
    </row>
    <row customHeight="true" ht="16.071428571428573" r="220">
      <c r="A220" s="2875"/>
      <c r="B220" s="2844"/>
      <c r="C220" s="2875"/>
      <c r="D220" s="2845"/>
      <c r="E220" s="2881"/>
      <c r="F220" s="2849"/>
      <c r="G220" s="2849"/>
      <c r="H220" s="2849"/>
      <c r="I220" s="2854"/>
      <c r="J220" s="3004"/>
      <c r="K220" s="2851"/>
      <c r="L220" s="2851"/>
      <c r="M220" s="2851"/>
      <c r="N220" s="2851"/>
      <c r="O220" s="2851"/>
      <c r="P220" s="2851"/>
    </row>
    <row customHeight="true" ht="16.071428571428573" r="221">
      <c r="A221" s="2875"/>
      <c r="B221" s="2844"/>
      <c r="C221" s="2875"/>
      <c r="D221" s="2881"/>
      <c r="E221" s="2881"/>
      <c r="F221" s="2854"/>
      <c r="G221" s="3003"/>
      <c r="H221" s="2849"/>
      <c r="I221" s="2854"/>
      <c r="J221" s="3007"/>
      <c r="K221" s="2851"/>
      <c r="L221" s="2851"/>
      <c r="M221" s="2851"/>
      <c r="N221" s="2851"/>
      <c r="O221" s="2851"/>
      <c r="P221" s="2851"/>
    </row>
    <row customHeight="true" ht="16.071428571428573" r="222">
      <c r="A222" s="2875"/>
      <c r="B222" s="2875"/>
      <c r="C222" s="2875"/>
      <c r="D222" s="2849"/>
      <c r="E222" s="2849"/>
      <c r="F222" s="2849"/>
      <c r="G222" s="3006"/>
      <c r="H222" s="2849"/>
      <c r="I222" s="2854"/>
      <c r="J222" s="3007"/>
      <c r="K222" s="2851"/>
      <c r="L222" s="2851"/>
      <c r="M222" s="2851"/>
      <c r="N222" s="2851"/>
      <c r="O222" s="2851"/>
      <c r="P222" s="2851"/>
    </row>
    <row customHeight="true" ht="16.071428571428573" r="223">
      <c r="A223" s="3065" t="s">
        <v>2768</v>
      </c>
      <c r="B223" s="3066"/>
      <c r="C223" s="3066"/>
      <c r="D223" s="3066"/>
      <c r="E223" s="3066"/>
      <c r="F223" s="3066"/>
      <c r="G223" s="3066"/>
      <c r="H223" s="3067"/>
      <c r="I223" s="3066"/>
      <c r="J223" s="3066"/>
      <c r="K223" s="2989"/>
      <c r="L223" s="2989"/>
      <c r="M223" s="2989"/>
      <c r="N223" s="2989"/>
      <c r="O223" s="2989"/>
      <c r="P223" s="2989"/>
    </row>
    <row customHeight="true" ht="65.32578205231651" r="224">
      <c r="A224" s="3068" t="s">
        <v>2554</v>
      </c>
      <c r="B224" s="3069" t="s">
        <v>2555</v>
      </c>
      <c r="C224" s="3069"/>
      <c r="D224" s="3070" t="s">
        <v>2556</v>
      </c>
      <c r="E224" s="3071" t="s">
        <v>2557</v>
      </c>
      <c r="F224" s="3071" t="s">
        <v>2558</v>
      </c>
      <c r="G224" s="3072" t="s">
        <v>2577</v>
      </c>
      <c r="H224" s="3071" t="s">
        <v>2560</v>
      </c>
      <c r="I224" s="3071" t="s">
        <v>2561</v>
      </c>
      <c r="J224" s="3073" t="s">
        <v>2562</v>
      </c>
      <c r="K224" s="2874"/>
      <c r="L224" s="2874"/>
      <c r="M224" s="2874"/>
      <c r="N224" s="2874"/>
      <c r="O224" s="2874"/>
      <c r="P224" s="2874"/>
    </row>
    <row customHeight="true" ht="16.071428571428573" r="225">
      <c r="A225" s="2895" t="s">
        <v>2769</v>
      </c>
      <c r="B225" s="2844">
        <v>46268</v>
      </c>
      <c r="C225" s="2875" t="str">
        <v>Thursday</v>
      </c>
      <c r="D225" s="2845" t="s">
        <v>2596</v>
      </c>
      <c r="E225" s="2881">
        <v>2</v>
      </c>
      <c r="F225" s="2876" t="s">
        <v>2742</v>
      </c>
      <c r="G225" s="2849" t="s">
        <v>2736</v>
      </c>
      <c r="H225" s="2897" t="s">
        <v>2527</v>
      </c>
      <c r="I225" s="2943" t="s">
        <v>2528</v>
      </c>
      <c r="J225" s="2845" t="s">
        <v>2770</v>
      </c>
      <c r="K225" s="3005"/>
      <c r="L225" s="3005"/>
      <c r="M225" s="3005"/>
      <c r="N225" s="3005"/>
      <c r="O225" s="3005"/>
      <c r="P225" s="3005"/>
      <c r="Q225" s="3005"/>
      <c r="R225" s="3005"/>
    </row>
    <row customHeight="true" ht="16.071428571428573" r="226">
      <c r="A226" s="2895" t="s">
        <v>2769</v>
      </c>
      <c r="B226" s="2844">
        <v>46270</v>
      </c>
      <c r="C226" s="2875" t="str">
        <v>Saturday</v>
      </c>
      <c r="D226" s="2845" t="s">
        <v>2596</v>
      </c>
      <c r="E226" s="2881">
        <v>2</v>
      </c>
      <c r="F226" s="2876" t="s">
        <v>2644</v>
      </c>
      <c r="G226" s="2849" t="s">
        <v>2763</v>
      </c>
      <c r="H226" s="2897" t="s">
        <v>2527</v>
      </c>
      <c r="I226" s="2943" t="s">
        <v>2528</v>
      </c>
      <c r="J226" s="2845" t="s">
        <v>2770</v>
      </c>
      <c r="K226" s="3005"/>
      <c r="L226" s="3005"/>
      <c r="M226" s="3005"/>
      <c r="N226" s="3005"/>
      <c r="O226" s="3005"/>
      <c r="P226" s="3005"/>
      <c r="Q226" s="3005"/>
      <c r="R226" s="3005"/>
    </row>
    <row customHeight="true" ht="16.071428571428573" r="227">
      <c r="A227" s="2895"/>
      <c r="B227" s="3002"/>
      <c r="C227" s="2895"/>
      <c r="D227" s="2896"/>
      <c r="E227" s="2896"/>
      <c r="F227" s="3074"/>
      <c r="G227" s="3075"/>
      <c r="H227" s="2897"/>
      <c r="I227" s="2860"/>
      <c r="J227" s="2897"/>
      <c r="K227" s="2851"/>
      <c r="L227" s="2851"/>
      <c r="M227" s="2851"/>
      <c r="N227" s="2851"/>
      <c r="O227" s="2851"/>
      <c r="P227" s="2851"/>
      <c r="Q227" s="2851"/>
      <c r="R227" s="2851"/>
    </row>
    <row customHeight="true" ht="16.071428571428573" r="228">
      <c r="A228" s="2895" t="s">
        <v>2771</v>
      </c>
      <c r="B228" s="2844">
        <v>46268</v>
      </c>
      <c r="C228" s="2875" t="str">
        <v>Thursday</v>
      </c>
      <c r="D228" s="2845" t="s">
        <v>2772</v>
      </c>
      <c r="E228" s="2881">
        <v>2.5</v>
      </c>
      <c r="F228" s="2849" t="s">
        <v>2736</v>
      </c>
      <c r="G228" s="3075"/>
      <c r="H228" s="2897" t="s">
        <v>2527</v>
      </c>
      <c r="I228" s="2943" t="s">
        <v>2568</v>
      </c>
      <c r="J228" s="3076" t="s">
        <v>2770</v>
      </c>
      <c r="K228" s="2851"/>
      <c r="L228" s="2851"/>
      <c r="M228" s="2851"/>
      <c r="N228" s="2851"/>
      <c r="O228" s="2851"/>
      <c r="P228" s="2851"/>
      <c r="Q228" s="2851"/>
      <c r="R228" s="2851"/>
    </row>
    <row customHeight="true" ht="16.071428571428573" r="229">
      <c r="A229" s="2895" t="s">
        <v>2771</v>
      </c>
      <c r="B229" s="2844">
        <v>46270</v>
      </c>
      <c r="C229" s="2875" t="str">
        <v>Saturday</v>
      </c>
      <c r="D229" s="2845" t="s">
        <v>2772</v>
      </c>
      <c r="E229" s="2881">
        <v>2.5</v>
      </c>
      <c r="F229" s="2849" t="s">
        <v>2763</v>
      </c>
      <c r="G229" s="3075"/>
      <c r="H229" s="2897" t="s">
        <v>2527</v>
      </c>
      <c r="I229" s="2943" t="s">
        <v>2568</v>
      </c>
      <c r="J229" s="2845" t="s">
        <v>2770</v>
      </c>
      <c r="K229" s="2851"/>
      <c r="L229" s="2851"/>
      <c r="M229" s="2851"/>
      <c r="N229" s="2851"/>
      <c r="O229" s="2851"/>
      <c r="P229" s="2851"/>
      <c r="Q229" s="2851"/>
      <c r="R229" s="2851"/>
    </row>
    <row customHeight="true" ht="16.071428571428573" r="230">
      <c r="A230" s="2895"/>
      <c r="B230" s="2895"/>
      <c r="C230" s="2895"/>
      <c r="D230" s="2896"/>
      <c r="E230" s="2897"/>
      <c r="F230" s="3077"/>
      <c r="G230" s="3078"/>
      <c r="H230" s="2897"/>
      <c r="I230" s="2897"/>
      <c r="J230" s="2897"/>
      <c r="K230" s="2851"/>
      <c r="L230" s="2851"/>
      <c r="M230" s="2851"/>
      <c r="N230" s="2851"/>
      <c r="O230" s="2851"/>
      <c r="P230" s="2851"/>
      <c r="Q230" s="2851"/>
      <c r="R230" s="2851"/>
    </row>
    <row customHeight="true" ht="16.071428571428573" r="231">
      <c r="A231" s="2895" t="s">
        <v>2773</v>
      </c>
      <c r="B231" s="2844">
        <v>46267</v>
      </c>
      <c r="C231" s="2875" t="str">
        <v>Wednesday</v>
      </c>
      <c r="D231" s="2845" t="s">
        <v>2774</v>
      </c>
      <c r="E231" s="2881">
        <v>1.5</v>
      </c>
      <c r="F231" s="3077" t="s">
        <v>2641</v>
      </c>
      <c r="G231" s="3075" t="s">
        <v>2775</v>
      </c>
      <c r="H231" s="2897" t="s">
        <v>2527</v>
      </c>
      <c r="I231" s="2943" t="s">
        <v>2568</v>
      </c>
      <c r="J231" s="2845" t="s">
        <v>2776</v>
      </c>
      <c r="K231" s="2851"/>
      <c r="L231" s="2851"/>
      <c r="M231" s="2851"/>
      <c r="N231" s="2851"/>
      <c r="O231" s="2851"/>
      <c r="P231" s="2851"/>
      <c r="Q231" s="2851"/>
      <c r="R231" s="2851"/>
    </row>
    <row customHeight="true" ht="16.071428571428573" r="232">
      <c r="A232" s="2875" t="s">
        <v>2773</v>
      </c>
      <c r="B232" s="2875">
        <v>46270</v>
      </c>
      <c r="C232" s="2875" t="str">
        <v>Saturday</v>
      </c>
      <c r="D232" s="2845" t="s">
        <v>2777</v>
      </c>
      <c r="E232" s="2881">
        <v>2.5</v>
      </c>
      <c r="F232" s="2882" t="s">
        <v>2745</v>
      </c>
      <c r="G232" s="2883" t="s">
        <v>2775</v>
      </c>
      <c r="H232" s="2854" t="s">
        <v>2527</v>
      </c>
      <c r="I232" s="2854" t="s">
        <v>2568</v>
      </c>
      <c r="J232" s="2854" t="s">
        <v>2770</v>
      </c>
      <c r="K232" s="3005"/>
      <c r="L232" s="3005"/>
      <c r="M232" s="3005"/>
      <c r="N232" s="3005"/>
      <c r="O232" s="3005"/>
      <c r="P232" s="3005"/>
      <c r="Q232" s="3005"/>
      <c r="R232" s="3005"/>
    </row>
    <row customHeight="true" ht="16.071428571428573" r="233">
      <c r="A233" s="2895"/>
      <c r="B233" s="3002"/>
      <c r="C233" s="2895"/>
      <c r="D233" s="2896"/>
      <c r="E233" s="2896"/>
      <c r="F233" s="3074"/>
      <c r="G233" s="3075"/>
      <c r="H233" s="2897"/>
      <c r="I233" s="2860"/>
      <c r="J233" s="2897"/>
      <c r="K233" s="2851"/>
      <c r="L233" s="2851"/>
      <c r="M233" s="2851"/>
      <c r="N233" s="2851"/>
      <c r="O233" s="2851"/>
      <c r="P233" s="2851"/>
      <c r="Q233" s="2851"/>
      <c r="R233" s="2851"/>
    </row>
    <row customHeight="true" ht="16.071428571428573" r="234">
      <c r="A234" s="2895"/>
      <c r="B234" s="3002"/>
      <c r="C234" s="2895"/>
      <c r="D234" s="2896"/>
      <c r="E234" s="2896"/>
      <c r="F234" s="2897"/>
      <c r="G234" s="3075"/>
      <c r="H234" s="2897"/>
      <c r="I234" s="2860"/>
      <c r="J234" s="2897"/>
      <c r="K234" s="2851"/>
      <c r="L234" s="2851"/>
      <c r="M234" s="2851"/>
      <c r="N234" s="2851"/>
      <c r="O234" s="2851"/>
      <c r="P234" s="2851"/>
      <c r="Q234" s="2851"/>
      <c r="R234" s="2851"/>
    </row>
    <row customHeight="true" ht="16.071428571428573" r="235">
      <c r="A235" s="3079" t="s">
        <v>2778</v>
      </c>
      <c r="B235" s="3080"/>
      <c r="C235" s="3081"/>
      <c r="D235" s="3082"/>
      <c r="E235" s="3083"/>
      <c r="F235" s="3083"/>
      <c r="G235" s="3084"/>
      <c r="H235" s="3083"/>
      <c r="I235" s="3083"/>
      <c r="J235" s="3085"/>
      <c r="K235" s="3086"/>
      <c r="L235" s="3086"/>
      <c r="M235" s="3086"/>
      <c r="N235" s="3086"/>
      <c r="O235" s="3086"/>
      <c r="P235" s="3086"/>
      <c r="Q235" s="3087"/>
      <c r="R235" s="3087"/>
    </row>
    <row customHeight="true" ht="39.285714285714285" r="236">
      <c r="A236" s="3088" t="s">
        <v>2554</v>
      </c>
      <c r="B236" s="3089" t="s">
        <v>2555</v>
      </c>
      <c r="C236" s="3089"/>
      <c r="D236" s="3090" t="s">
        <v>2556</v>
      </c>
      <c r="E236" s="3091" t="s">
        <v>2557</v>
      </c>
      <c r="F236" s="3091" t="s">
        <v>2558</v>
      </c>
      <c r="G236" s="3092" t="s">
        <v>2577</v>
      </c>
      <c r="H236" s="3091" t="s">
        <v>2560</v>
      </c>
      <c r="I236" s="3091" t="s">
        <v>2561</v>
      </c>
      <c r="J236" s="3093" t="s">
        <v>2562</v>
      </c>
      <c r="K236" s="3094"/>
      <c r="L236" s="3094"/>
      <c r="M236" s="3094"/>
      <c r="N236" s="3094"/>
      <c r="O236" s="3094"/>
      <c r="P236" s="3094"/>
      <c r="Q236" s="3087"/>
      <c r="R236" s="3087"/>
    </row>
    <row customHeight="true" ht="16.071428571428573" r="237">
      <c r="A237" s="2895" t="s">
        <v>2778</v>
      </c>
      <c r="B237" s="2844">
        <v>46265</v>
      </c>
      <c r="C237" s="2875" t="str">
        <v>Monday</v>
      </c>
      <c r="D237" s="2845" t="s">
        <v>2584</v>
      </c>
      <c r="E237" s="2881">
        <v>2</v>
      </c>
      <c r="F237" s="2847" t="s">
        <v>2742</v>
      </c>
      <c r="G237" s="2849" t="s">
        <v>2736</v>
      </c>
      <c r="H237" s="2897" t="s">
        <v>2527</v>
      </c>
      <c r="I237" s="2854" t="s">
        <v>2528</v>
      </c>
      <c r="J237" s="2897"/>
      <c r="K237" s="2851"/>
      <c r="L237" s="2851"/>
      <c r="M237" s="2851"/>
      <c r="N237" s="2851"/>
      <c r="O237" s="2851"/>
      <c r="P237" s="2851"/>
      <c r="Q237" s="2851"/>
      <c r="R237" s="2851"/>
    </row>
    <row customHeight="true" ht="16.071428571428573" r="238">
      <c r="A238" s="2895" t="s">
        <v>2778</v>
      </c>
      <c r="B238" s="2844">
        <v>46267</v>
      </c>
      <c r="C238" s="2875" t="str">
        <v>Wednesday</v>
      </c>
      <c r="D238" s="2845" t="s">
        <v>2779</v>
      </c>
      <c r="E238" s="2881">
        <v>2</v>
      </c>
      <c r="F238" s="2847" t="s">
        <v>2734</v>
      </c>
      <c r="G238" s="2849" t="s">
        <v>2736</v>
      </c>
      <c r="H238" s="2897" t="s">
        <v>2527</v>
      </c>
      <c r="I238" s="2854" t="s">
        <v>2528</v>
      </c>
      <c r="J238" s="2897"/>
      <c r="K238" s="2851"/>
      <c r="L238" s="2851"/>
      <c r="M238" s="2851"/>
      <c r="N238" s="2851"/>
      <c r="O238" s="2851"/>
      <c r="P238" s="2851"/>
      <c r="Q238" s="2851"/>
      <c r="R238" s="2851"/>
    </row>
    <row customHeight="true" ht="16.071428571428573" r="239">
      <c r="A239" s="2895" t="s">
        <v>2778</v>
      </c>
      <c r="B239" s="2844">
        <v>46269</v>
      </c>
      <c r="C239" s="2875" t="str">
        <v>Friday</v>
      </c>
      <c r="D239" s="2845" t="s">
        <v>2606</v>
      </c>
      <c r="E239" s="2881">
        <v>2</v>
      </c>
      <c r="F239" s="2847" t="s">
        <v>2734</v>
      </c>
      <c r="G239" s="2849" t="s">
        <v>2763</v>
      </c>
      <c r="H239" s="2897" t="s">
        <v>2527</v>
      </c>
      <c r="I239" s="2854" t="s">
        <v>2528</v>
      </c>
      <c r="J239" s="2897"/>
      <c r="K239" s="2851"/>
      <c r="L239" s="2851"/>
      <c r="M239" s="2851"/>
      <c r="N239" s="2851"/>
      <c r="O239" s="2851"/>
      <c r="P239" s="2851"/>
      <c r="Q239" s="2851"/>
      <c r="R239" s="2851"/>
    </row>
    <row customHeight="true" ht="16.071428571428573" r="240">
      <c r="A240" s="2895"/>
      <c r="B240" s="2844"/>
      <c r="C240" s="2875"/>
      <c r="D240" s="2845"/>
      <c r="E240" s="2881"/>
      <c r="F240" s="2847"/>
      <c r="G240" s="3075"/>
      <c r="H240" s="2897"/>
      <c r="I240" s="2943"/>
      <c r="J240" s="2897"/>
      <c r="K240" s="2851"/>
      <c r="L240" s="2851"/>
      <c r="M240" s="2851"/>
      <c r="N240" s="2851"/>
      <c r="O240" s="2851"/>
      <c r="P240" s="2851"/>
      <c r="Q240" s="2851"/>
      <c r="R240" s="2851"/>
    </row>
    <row customHeight="true" ht="16.071428571428573" r="241">
      <c r="A241" s="2895" t="s">
        <v>2780</v>
      </c>
      <c r="B241" s="2844">
        <v>46265</v>
      </c>
      <c r="C241" s="2875" t="str">
        <v>Monday</v>
      </c>
      <c r="D241" s="2845" t="s">
        <v>2781</v>
      </c>
      <c r="E241" s="2881">
        <v>2.25</v>
      </c>
      <c r="F241" s="2849" t="s">
        <v>2736</v>
      </c>
      <c r="G241" s="3075" t="s">
        <v>2775</v>
      </c>
      <c r="H241" s="2897" t="s">
        <v>2527</v>
      </c>
      <c r="I241" s="2943" t="s">
        <v>2528</v>
      </c>
      <c r="J241" s="3076" t="s">
        <v>2770</v>
      </c>
      <c r="K241" s="2851"/>
      <c r="L241" s="2851"/>
      <c r="M241" s="2851"/>
      <c r="N241" s="2851"/>
      <c r="O241" s="2851"/>
      <c r="P241" s="2851"/>
      <c r="Q241" s="2914"/>
      <c r="R241" s="2914"/>
    </row>
    <row customHeight="true" ht="16.071428571428573" r="242">
      <c r="A242" s="2895" t="s">
        <v>2780</v>
      </c>
      <c r="B242" s="2844">
        <v>46267</v>
      </c>
      <c r="C242" s="2875" t="str">
        <v>Wednesday</v>
      </c>
      <c r="D242" s="2845" t="s">
        <v>2606</v>
      </c>
      <c r="E242" s="2881">
        <v>2</v>
      </c>
      <c r="F242" s="2849" t="s">
        <v>2736</v>
      </c>
      <c r="G242" s="3075"/>
      <c r="H242" s="2897" t="s">
        <v>2527</v>
      </c>
      <c r="I242" s="2943" t="s">
        <v>2528</v>
      </c>
      <c r="J242" s="3076" t="s">
        <v>2770</v>
      </c>
      <c r="K242" s="2851"/>
      <c r="L242" s="2851"/>
      <c r="M242" s="2851"/>
      <c r="N242" s="2851"/>
      <c r="O242" s="2851"/>
      <c r="P242" s="2851"/>
      <c r="Q242" s="2914"/>
      <c r="R242" s="2914"/>
    </row>
    <row customHeight="true" ht="16.071428571428573" r="243">
      <c r="A243" s="2895"/>
      <c r="B243" s="2844"/>
      <c r="C243" s="2875"/>
      <c r="D243" s="3095"/>
      <c r="E243" s="2881"/>
      <c r="F243" s="2849"/>
      <c r="G243" s="3075"/>
      <c r="H243" s="2897"/>
      <c r="I243" s="2943"/>
      <c r="J243" s="3007"/>
      <c r="K243" s="2851"/>
      <c r="L243" s="2851"/>
      <c r="M243" s="2851"/>
      <c r="N243" s="2851"/>
      <c r="O243" s="2851"/>
      <c r="P243" s="2851"/>
    </row>
    <row customHeight="true" ht="16.071428571428573" r="244">
      <c r="A244" s="2895" t="s">
        <v>2780</v>
      </c>
      <c r="B244" s="2844">
        <v>46269</v>
      </c>
      <c r="C244" s="2875" t="str">
        <v>Friday</v>
      </c>
      <c r="D244" s="2845" t="s">
        <v>2782</v>
      </c>
      <c r="E244" s="2881">
        <v>2.5</v>
      </c>
      <c r="F244" s="2849" t="s">
        <v>2763</v>
      </c>
      <c r="G244" s="3075"/>
      <c r="H244" s="2897" t="s">
        <v>2527</v>
      </c>
      <c r="I244" s="2943" t="s">
        <v>2568</v>
      </c>
      <c r="J244" s="3096"/>
      <c r="K244" s="2851"/>
      <c r="L244" s="2851"/>
      <c r="M244" s="2851"/>
      <c r="N244" s="2851"/>
      <c r="O244" s="2851"/>
      <c r="P244" s="2851"/>
      <c r="Q244" s="2914"/>
      <c r="R244" s="2914"/>
    </row>
    <row customHeight="true" ht="16.071428571428573" r="245">
      <c r="A245" s="2875"/>
      <c r="B245" s="2875"/>
      <c r="C245" s="2875"/>
      <c r="D245" s="2849"/>
      <c r="E245" s="2849"/>
      <c r="F245" s="2849"/>
      <c r="G245" s="3006"/>
      <c r="H245" s="2849"/>
      <c r="I245" s="2854"/>
      <c r="J245" s="3007"/>
      <c r="K245" s="2851"/>
      <c r="L245" s="2851"/>
      <c r="M245" s="2851"/>
      <c r="N245" s="2851"/>
      <c r="O245" s="2851"/>
      <c r="P245" s="2851"/>
    </row>
    <row customHeight="true" ht="16.071428571428573" r="246">
      <c r="A246" s="3097" t="s">
        <v>2783</v>
      </c>
      <c r="B246" s="2907"/>
      <c r="C246" s="2906"/>
      <c r="D246" s="2908"/>
      <c r="E246" s="2909"/>
      <c r="F246" s="2909"/>
      <c r="G246" s="2910"/>
      <c r="H246" s="2909"/>
      <c r="I246" s="2909"/>
      <c r="J246" s="2912"/>
      <c r="K246" s="3098"/>
      <c r="L246" s="3098"/>
      <c r="M246" s="3098"/>
      <c r="N246" s="3098"/>
      <c r="O246" s="3098"/>
      <c r="P246" s="3098"/>
      <c r="Q246" s="2919"/>
      <c r="R246" s="2919"/>
    </row>
    <row customHeight="true" ht="40.10123434465338" r="247">
      <c r="A247" s="3099" t="s">
        <v>2554</v>
      </c>
      <c r="B247" s="3100" t="s">
        <v>2555</v>
      </c>
      <c r="C247" s="3100"/>
      <c r="D247" s="3101" t="s">
        <v>2556</v>
      </c>
      <c r="E247" s="3102" t="s">
        <v>2557</v>
      </c>
      <c r="F247" s="3102" t="s">
        <v>2558</v>
      </c>
      <c r="G247" s="3103" t="s">
        <v>2577</v>
      </c>
      <c r="H247" s="3102" t="s">
        <v>2560</v>
      </c>
      <c r="I247" s="3102" t="s">
        <v>2561</v>
      </c>
      <c r="J247" s="3104" t="s">
        <v>2562</v>
      </c>
      <c r="K247" s="3105"/>
      <c r="L247" s="3105"/>
      <c r="M247" s="3105"/>
      <c r="N247" s="3105"/>
      <c r="O247" s="3105"/>
      <c r="P247" s="3105"/>
      <c r="Q247" s="2919"/>
      <c r="R247" s="2919"/>
    </row>
    <row customHeight="true" ht="16.071428571428573" r="248">
      <c r="A248" s="2875"/>
      <c r="B248" s="2875"/>
      <c r="C248" s="2875"/>
      <c r="D248" s="2849"/>
      <c r="E248" s="2849"/>
      <c r="F248" s="2849"/>
      <c r="G248" s="3006"/>
      <c r="H248" s="2849"/>
      <c r="I248" s="2854"/>
      <c r="J248" s="3007"/>
      <c r="K248" s="2851"/>
      <c r="L248" s="2851"/>
      <c r="M248" s="2851"/>
      <c r="N248" s="2851"/>
      <c r="O248" s="2851"/>
      <c r="P248" s="2851"/>
    </row>
    <row customHeight="true" ht="16.071428571428573" r="249">
      <c r="A249" s="2875"/>
      <c r="B249" s="2875"/>
      <c r="C249" s="2875"/>
      <c r="D249" s="2849"/>
      <c r="E249" s="2849"/>
      <c r="F249" s="2849"/>
      <c r="G249" s="3006"/>
      <c r="H249" s="2849"/>
      <c r="I249" s="2854"/>
      <c r="J249" s="3007"/>
      <c r="K249" s="2851"/>
      <c r="L249" s="2851"/>
      <c r="M249" s="2851"/>
      <c r="N249" s="2851"/>
      <c r="O249" s="2851"/>
      <c r="P249" s="2851"/>
    </row>
    <row customHeight="true" ht="16.071428571428573" r="250">
      <c r="A250" s="2875"/>
      <c r="B250" s="2875"/>
      <c r="C250" s="2875"/>
      <c r="D250" s="2849"/>
      <c r="E250" s="2849"/>
      <c r="F250" s="2849"/>
      <c r="G250" s="3006"/>
      <c r="H250" s="2849"/>
      <c r="I250" s="2854"/>
      <c r="J250" s="3007"/>
      <c r="K250" s="2851"/>
      <c r="L250" s="2851"/>
      <c r="M250" s="2851"/>
      <c r="N250" s="2851"/>
      <c r="O250" s="2851"/>
      <c r="P250" s="2851"/>
    </row>
    <row customHeight="true" ht="16.071428571428573" r="251">
      <c r="A251" s="2875"/>
      <c r="B251" s="2875"/>
      <c r="C251" s="2875"/>
      <c r="D251" s="2849"/>
      <c r="E251" s="2849"/>
      <c r="F251" s="2849"/>
      <c r="G251" s="3006"/>
      <c r="H251" s="2849"/>
      <c r="I251" s="2854"/>
      <c r="J251" s="3007"/>
      <c r="K251" s="2851"/>
      <c r="L251" s="2851"/>
      <c r="M251" s="2851"/>
      <c r="N251" s="2851"/>
      <c r="O251" s="2851"/>
      <c r="P251" s="2851"/>
    </row>
    <row customHeight="true" ht="16.071428571428573" r="252">
      <c r="A252" s="2875"/>
      <c r="B252" s="2875"/>
      <c r="C252" s="2875"/>
      <c r="D252" s="2849"/>
      <c r="E252" s="2849"/>
      <c r="F252" s="2849"/>
      <c r="G252" s="3006"/>
      <c r="H252" s="2849"/>
      <c r="I252" s="2854"/>
      <c r="J252" s="3007"/>
      <c r="K252" s="2851"/>
      <c r="L252" s="2851"/>
      <c r="M252" s="2851"/>
      <c r="N252" s="2851"/>
      <c r="O252" s="2851"/>
      <c r="P252" s="2851"/>
    </row>
    <row r="253">
      <c r="A253" s="3106" t="s">
        <v>2784</v>
      </c>
      <c r="B253" s="3106"/>
      <c r="C253" s="3106"/>
      <c r="D253" s="3106"/>
      <c r="E253" s="3106"/>
      <c r="F253" s="3106"/>
      <c r="G253" s="3106"/>
      <c r="H253" s="3106"/>
      <c r="I253" s="3106"/>
      <c r="J253" s="3107"/>
      <c r="K253" s="2887"/>
      <c r="L253" s="2887"/>
      <c r="M253" s="2887"/>
      <c r="N253" s="2887"/>
      <c r="O253" s="2887"/>
      <c r="P253" s="2887"/>
    </row>
    <row r="254">
      <c r="A254" s="2869" t="s">
        <v>2554</v>
      </c>
      <c r="B254" s="2870" t="s">
        <v>2555</v>
      </c>
      <c r="C254" s="2870"/>
      <c r="D254" s="2871" t="s">
        <v>2556</v>
      </c>
      <c r="E254" s="2871" t="s">
        <v>2557</v>
      </c>
      <c r="F254" s="2871" t="s">
        <v>2558</v>
      </c>
      <c r="G254" s="3108" t="s">
        <v>2577</v>
      </c>
      <c r="H254" s="2871" t="s">
        <v>2560</v>
      </c>
      <c r="I254" s="2871" t="s">
        <v>2561</v>
      </c>
      <c r="J254" s="2872" t="s">
        <v>2562</v>
      </c>
      <c r="K254" s="2874"/>
      <c r="L254" s="2874"/>
      <c r="M254" s="2874"/>
      <c r="N254" s="2874"/>
      <c r="O254" s="2874"/>
      <c r="P254" s="2874"/>
    </row>
    <row customHeight="true" ht="18.452380952380953" r="255">
      <c r="A255" s="2895" t="s">
        <v>2784</v>
      </c>
      <c r="B255" s="3002">
        <v>46265</v>
      </c>
      <c r="C255" s="2895" t="str">
        <v>Monday</v>
      </c>
      <c r="D255" s="2845" t="s">
        <v>2582</v>
      </c>
      <c r="E255" s="2897">
        <f t="shared" ref="E255:E260" si="84">24*MOD(TIMEVALUE(TRIM(MID(D255,FIND("-",D255)+1,LEN(D255)))) - TIMEVALUE(TRIM(LEFT(D255,FIND("-",D255)-1))),1)</f>
      </c>
      <c r="F255" s="2849" t="s">
        <v>2785</v>
      </c>
      <c r="G255" s="3075"/>
      <c r="H255" s="2897" t="s">
        <v>2572</v>
      </c>
      <c r="I255" s="2897"/>
      <c r="J255" s="3096"/>
      <c r="K255" s="2851"/>
      <c r="L255" s="2851"/>
      <c r="M255" s="2851"/>
      <c r="N255" s="2851"/>
      <c r="O255" s="2851"/>
      <c r="P255" s="2851"/>
      <c r="Q255" s="2914"/>
      <c r="R255" s="2914"/>
    </row>
    <row r="256">
      <c r="A256" s="2875" t="s">
        <v>2784</v>
      </c>
      <c r="B256" s="2844">
        <v>46266</v>
      </c>
      <c r="C256" s="2875" t="str">
        <v>Tuesday</v>
      </c>
      <c r="D256" s="2845" t="s">
        <v>2582</v>
      </c>
      <c r="E256" s="2849">
        <f t="shared" si="84"/>
      </c>
      <c r="F256" s="2882" t="s">
        <v>2684</v>
      </c>
      <c r="G256" s="3003"/>
      <c r="H256" s="2849" t="s">
        <v>2572</v>
      </c>
      <c r="I256" s="2849"/>
      <c r="J256" s="2878"/>
      <c r="K256" s="2851"/>
      <c r="L256" s="2851"/>
      <c r="M256" s="2851"/>
      <c r="N256" s="2851"/>
      <c r="O256" s="2851"/>
      <c r="P256" s="2851"/>
    </row>
    <row r="257">
      <c r="A257" s="2875" t="s">
        <v>2784</v>
      </c>
      <c r="B257" s="2844">
        <v>46267</v>
      </c>
      <c r="C257" s="2875" t="str">
        <v>Wednesday</v>
      </c>
      <c r="D257" s="2845" t="s">
        <v>2582</v>
      </c>
      <c r="E257" s="2849">
        <f t="shared" si="84"/>
      </c>
      <c r="F257" s="2849" t="s">
        <v>2785</v>
      </c>
      <c r="G257" s="3003"/>
      <c r="H257" s="2854" t="s">
        <v>2572</v>
      </c>
      <c r="I257" s="2854"/>
      <c r="J257" s="2850"/>
      <c r="K257" s="2851"/>
      <c r="L257" s="2851"/>
      <c r="M257" s="2851"/>
      <c r="N257" s="2851"/>
      <c r="O257" s="2851"/>
      <c r="P257" s="2851"/>
    </row>
    <row customHeight="true" ht="18.452380952380953" r="258">
      <c r="A258" s="2875" t="s">
        <v>2784</v>
      </c>
      <c r="B258" s="2844">
        <v>46268</v>
      </c>
      <c r="C258" s="2875" t="str">
        <v>Thursday</v>
      </c>
      <c r="D258" s="2845" t="s">
        <v>2582</v>
      </c>
      <c r="E258" s="2849">
        <f t="shared" si="84"/>
      </c>
      <c r="F258" s="2849" t="s">
        <v>2785</v>
      </c>
      <c r="G258" s="3003"/>
      <c r="H258" s="2849" t="s">
        <v>2572</v>
      </c>
      <c r="I258" s="2854"/>
      <c r="J258" s="2878"/>
      <c r="K258" s="2851"/>
      <c r="L258" s="2851"/>
      <c r="M258" s="2851"/>
      <c r="N258" s="2851"/>
      <c r="O258" s="2851"/>
      <c r="P258" s="2851"/>
    </row>
    <row customHeight="true" ht="18.452380952380953" r="259">
      <c r="A259" s="2875" t="s">
        <v>2784</v>
      </c>
      <c r="B259" s="2844">
        <v>46269</v>
      </c>
      <c r="C259" s="2875" t="str">
        <v>Friday</v>
      </c>
      <c r="D259" s="2845" t="s">
        <v>2582</v>
      </c>
      <c r="E259" s="2849">
        <f t="shared" si="84"/>
      </c>
      <c r="F259" s="2849" t="s">
        <v>2785</v>
      </c>
      <c r="G259" s="3003"/>
      <c r="H259" s="2849" t="s">
        <v>2572</v>
      </c>
      <c r="I259" s="2854"/>
      <c r="J259" s="2878"/>
      <c r="K259" s="2851"/>
      <c r="L259" s="2851"/>
      <c r="M259" s="2851"/>
      <c r="N259" s="2851"/>
      <c r="O259" s="2851"/>
      <c r="P259" s="2851"/>
    </row>
    <row customHeight="true" ht="18.452380952380953" r="260">
      <c r="A260" s="2898" t="s">
        <v>2784</v>
      </c>
      <c r="B260" s="2899">
        <v>46270</v>
      </c>
      <c r="C260" s="2898" t="str">
        <v>Saturday</v>
      </c>
      <c r="D260" s="2900" t="s">
        <v>2582</v>
      </c>
      <c r="E260" s="2901">
        <f t="shared" si="84"/>
      </c>
      <c r="F260" s="2901"/>
      <c r="G260" s="2902"/>
      <c r="H260" s="2901" t="s">
        <v>2572</v>
      </c>
      <c r="I260" s="2901"/>
      <c r="J260" s="3109"/>
      <c r="K260" s="3036"/>
      <c r="L260" s="3036"/>
      <c r="M260" s="3036"/>
      <c r="N260" s="3036"/>
      <c r="O260" s="3036"/>
      <c r="P260" s="3036"/>
      <c r="Q260" s="3037"/>
      <c r="R260" s="3037"/>
    </row>
    <row customHeight="true" ht="18.452380952380953" r="261">
      <c r="A261" s="2875" t="s">
        <v>2784</v>
      </c>
      <c r="B261" s="2844">
        <v>46271</v>
      </c>
      <c r="C261" s="2875" t="str">
        <v>Sunday</v>
      </c>
      <c r="D261" s="2845" t="s">
        <v>2710</v>
      </c>
      <c r="E261" s="2881">
        <v>3</v>
      </c>
      <c r="F261" s="2849" t="s">
        <v>2786</v>
      </c>
      <c r="G261" s="3003"/>
      <c r="H261" s="2849" t="s">
        <v>2572</v>
      </c>
      <c r="I261" s="2854"/>
      <c r="J261" s="2878"/>
      <c r="K261" s="2851"/>
      <c r="L261" s="2851"/>
      <c r="M261" s="2851"/>
      <c r="N261" s="2851"/>
      <c r="O261" s="2851"/>
      <c r="P261" s="2851"/>
    </row>
    <row customHeight="true" ht="18.452380952380953" r="262">
      <c r="A262" s="2875" t="s">
        <v>2787</v>
      </c>
      <c r="B262" s="2844">
        <v>46269</v>
      </c>
      <c r="C262" s="2875" t="str">
        <v>Friday</v>
      </c>
      <c r="D262" s="2845" t="s">
        <v>2582</v>
      </c>
      <c r="E262" s="2881">
        <v>3</v>
      </c>
      <c r="F262" s="2849" t="s">
        <v>2786</v>
      </c>
      <c r="G262" s="3003"/>
      <c r="H262" s="2849" t="s">
        <v>2572</v>
      </c>
      <c r="I262" s="2854"/>
      <c r="J262" s="2878"/>
      <c r="K262" s="2851"/>
      <c r="L262" s="2851"/>
      <c r="M262" s="2851"/>
      <c r="N262" s="2851"/>
      <c r="O262" s="2851"/>
      <c r="P262" s="2851"/>
    </row>
    <row customHeight="true" ht="18.452380952380953" r="263">
      <c r="A263" s="2875" t="s">
        <v>2788</v>
      </c>
      <c r="B263" s="2844">
        <v>46268</v>
      </c>
      <c r="C263" s="2875" t="str">
        <v>Thursday</v>
      </c>
      <c r="D263" s="2845" t="s">
        <v>2710</v>
      </c>
      <c r="E263" s="2849">
        <f t="shared" ref="E263:E271" si="85">24*MOD(TIMEVALUE(TRIM(MID(D263,FIND("-",D263)+1,LEN(D263)))) - TIMEVALUE(TRIM(LEFT(D263,FIND("-",D263)-1))),1)</f>
      </c>
      <c r="F263" s="2849" t="s">
        <v>2789</v>
      </c>
      <c r="G263" s="3006"/>
      <c r="H263" s="2854"/>
      <c r="I263" s="2884"/>
      <c r="J263" s="2884"/>
      <c r="K263" s="2989"/>
      <c r="L263" s="2989"/>
      <c r="M263" s="2989"/>
      <c r="N263" s="2989"/>
      <c r="O263" s="2989"/>
      <c r="P263" s="2989"/>
    </row>
    <row r="264">
      <c r="A264" s="2875" t="s">
        <v>2788</v>
      </c>
      <c r="B264" s="2875">
        <v>46265</v>
      </c>
      <c r="C264" s="2875" t="str">
        <v>Monday</v>
      </c>
      <c r="D264" s="2845" t="s">
        <v>2790</v>
      </c>
      <c r="E264" s="2849">
        <f t="shared" si="85"/>
      </c>
      <c r="F264" s="2849" t="s">
        <v>2791</v>
      </c>
      <c r="G264" s="3006"/>
      <c r="H264" s="2854"/>
      <c r="I264" s="2854"/>
      <c r="J264" s="2850"/>
      <c r="K264" s="2851"/>
      <c r="L264" s="2851"/>
      <c r="M264" s="2851"/>
      <c r="N264" s="2851"/>
      <c r="O264" s="2851"/>
      <c r="P264" s="2851"/>
    </row>
    <row r="265">
      <c r="A265" s="2875" t="s">
        <v>2788</v>
      </c>
      <c r="B265" s="2875">
        <v>46266</v>
      </c>
      <c r="C265" s="2875" t="str">
        <v>Tuesday</v>
      </c>
      <c r="D265" s="2845" t="s">
        <v>2790</v>
      </c>
      <c r="E265" s="2849">
        <f t="shared" si="85"/>
      </c>
      <c r="F265" s="2849" t="s">
        <v>2791</v>
      </c>
      <c r="G265" s="3006"/>
      <c r="H265" s="2854"/>
      <c r="I265" s="2854"/>
      <c r="J265" s="2850"/>
      <c r="K265" s="2851"/>
      <c r="L265" s="2851"/>
      <c r="M265" s="2851"/>
      <c r="N265" s="2851"/>
      <c r="O265" s="2851"/>
      <c r="P265" s="2851"/>
    </row>
    <row r="266">
      <c r="A266" s="2875" t="s">
        <v>2788</v>
      </c>
      <c r="B266" s="2875">
        <v>46267</v>
      </c>
      <c r="C266" s="2875" t="str">
        <v>Wednesday</v>
      </c>
      <c r="D266" s="2845" t="s">
        <v>2790</v>
      </c>
      <c r="E266" s="2849">
        <f t="shared" si="85"/>
      </c>
      <c r="F266" s="2849" t="s">
        <v>2791</v>
      </c>
      <c r="G266" s="3006"/>
      <c r="H266" s="2854"/>
      <c r="I266" s="2854"/>
      <c r="J266" s="2850"/>
      <c r="K266" s="2851"/>
      <c r="L266" s="2851"/>
      <c r="M266" s="2851"/>
      <c r="N266" s="2851"/>
      <c r="O266" s="2851"/>
      <c r="P266" s="2851"/>
    </row>
    <row r="267">
      <c r="A267" s="2875" t="s">
        <v>2788</v>
      </c>
      <c r="B267" s="2875">
        <v>46268</v>
      </c>
      <c r="C267" s="2875" t="str">
        <v>Thursday</v>
      </c>
      <c r="D267" s="2845" t="s">
        <v>2582</v>
      </c>
      <c r="E267" s="2849">
        <f t="shared" si="85"/>
      </c>
      <c r="F267" s="2849" t="s">
        <v>2789</v>
      </c>
      <c r="G267" s="3006"/>
      <c r="H267" s="2854"/>
      <c r="I267" s="2854"/>
      <c r="J267" s="2850"/>
      <c r="K267" s="2851"/>
      <c r="L267" s="2851"/>
      <c r="M267" s="2851"/>
      <c r="N267" s="2851"/>
      <c r="O267" s="2851"/>
      <c r="P267" s="2851"/>
    </row>
    <row r="268">
      <c r="A268" s="2875" t="s">
        <v>2788</v>
      </c>
      <c r="B268" s="2875">
        <v>46269</v>
      </c>
      <c r="C268" s="2875" t="str">
        <v>Friday</v>
      </c>
      <c r="D268" s="2845" t="s">
        <v>2790</v>
      </c>
      <c r="E268" s="2849">
        <f t="shared" si="85"/>
      </c>
      <c r="F268" s="2849" t="s">
        <v>2791</v>
      </c>
      <c r="G268" s="3006"/>
      <c r="H268" s="2854"/>
      <c r="I268" s="2884"/>
      <c r="J268" s="2884"/>
      <c r="K268" s="2989"/>
      <c r="L268" s="2989"/>
      <c r="M268" s="2989"/>
      <c r="N268" s="2989"/>
      <c r="O268" s="2989"/>
      <c r="P268" s="2989"/>
    </row>
    <row customHeight="true" ht="18.452380952380953" r="269">
      <c r="A269" s="2898" t="s">
        <v>2788</v>
      </c>
      <c r="B269" s="2898">
        <v>46270</v>
      </c>
      <c r="C269" s="2898" t="str">
        <v>Saturday</v>
      </c>
      <c r="D269" s="2900" t="s">
        <v>2790</v>
      </c>
      <c r="E269" s="2901">
        <f t="shared" si="85"/>
      </c>
      <c r="F269" s="2901"/>
      <c r="G269" s="2916"/>
      <c r="H269" s="2901"/>
      <c r="I269" s="2901"/>
      <c r="J269" s="3109"/>
      <c r="K269" s="3036"/>
      <c r="L269" s="3036"/>
      <c r="M269" s="3036"/>
      <c r="N269" s="3036"/>
      <c r="O269" s="3036"/>
      <c r="P269" s="3036"/>
      <c r="Q269" s="3110"/>
      <c r="R269" s="3110"/>
    </row>
    <row customHeight="true" ht="18.452380952380953" r="270">
      <c r="A270" s="2875" t="s">
        <v>2788</v>
      </c>
      <c r="B270" s="2875">
        <v>46271</v>
      </c>
      <c r="C270" s="2875" t="str">
        <v>Sunday</v>
      </c>
      <c r="D270" s="2845" t="s">
        <v>2710</v>
      </c>
      <c r="E270" s="2849">
        <f t="shared" si="85"/>
      </c>
      <c r="F270" s="2849" t="s">
        <v>2789</v>
      </c>
      <c r="G270" s="3006"/>
      <c r="H270" s="2854"/>
      <c r="I270" s="2884"/>
      <c r="J270" s="2884"/>
      <c r="K270" s="2989"/>
      <c r="L270" s="2989"/>
      <c r="M270" s="2989"/>
      <c r="N270" s="2989"/>
      <c r="O270" s="2989"/>
      <c r="P270" s="2989"/>
    </row>
    <row customHeight="true" ht="18.452380952380953" r="271">
      <c r="A271" s="2875" t="s">
        <v>2787</v>
      </c>
      <c r="B271" s="2844">
        <v>46268</v>
      </c>
      <c r="C271" s="2875" t="str">
        <v>Thursday</v>
      </c>
      <c r="D271" s="2845" t="s">
        <v>2792</v>
      </c>
      <c r="E271" s="2849">
        <f t="shared" si="85"/>
      </c>
      <c r="F271" s="2849" t="s">
        <v>2535</v>
      </c>
      <c r="G271" s="3006"/>
      <c r="H271" s="2854"/>
      <c r="I271" s="2884"/>
      <c r="J271" s="2884"/>
      <c r="K271" s="2989"/>
      <c r="L271" s="2989"/>
      <c r="M271" s="2989"/>
      <c r="N271" s="2989"/>
      <c r="O271" s="2989"/>
      <c r="P271" s="2989"/>
    </row>
    <row r="272">
      <c r="A272" s="2884"/>
      <c r="B272" s="3111"/>
      <c r="C272" s="2884"/>
      <c r="D272" s="2884"/>
      <c r="E272" s="2884"/>
      <c r="F272" s="3112"/>
      <c r="G272" s="3113"/>
      <c r="H272" s="3114"/>
      <c r="I272" s="2884"/>
      <c r="J272" s="2884"/>
      <c r="K272" s="2989"/>
      <c r="L272" s="2989"/>
      <c r="M272" s="2989"/>
      <c r="N272" s="2989"/>
      <c r="O272" s="2989"/>
      <c r="P272" s="2989"/>
    </row>
    <row r="273">
      <c r="A273" s="2884"/>
      <c r="B273" s="2884"/>
      <c r="C273" s="2884"/>
      <c r="D273" s="2884"/>
      <c r="E273" s="2884"/>
      <c r="F273" s="3112"/>
      <c r="G273" s="3113"/>
      <c r="H273" s="3114"/>
      <c r="I273" s="2884"/>
      <c r="J273" s="2884"/>
      <c r="K273" s="2989"/>
      <c r="L273" s="2989"/>
      <c r="M273" s="2989"/>
      <c r="N273" s="2989"/>
      <c r="O273" s="2989"/>
      <c r="P273" s="2989"/>
    </row>
    <row r="274">
      <c r="A274" s="3115" t="s">
        <v>2793</v>
      </c>
      <c r="B274" s="3115"/>
      <c r="C274" s="3115"/>
      <c r="D274" s="3115"/>
      <c r="E274" s="3115"/>
      <c r="F274" s="3115"/>
      <c r="G274" s="3115"/>
      <c r="H274" s="3115"/>
      <c r="I274" s="3115"/>
      <c r="J274" s="3116"/>
      <c r="K274" s="2978"/>
      <c r="L274" s="2978"/>
      <c r="M274" s="2978"/>
      <c r="N274" s="2978"/>
      <c r="O274" s="2978"/>
      <c r="P274" s="2978"/>
    </row>
    <row r="275">
      <c r="A275" s="3117" t="s">
        <v>2554</v>
      </c>
      <c r="B275" s="3118" t="s">
        <v>2555</v>
      </c>
      <c r="C275" s="3118"/>
      <c r="D275" s="3119" t="s">
        <v>2556</v>
      </c>
      <c r="E275" s="3119" t="s">
        <v>2557</v>
      </c>
      <c r="F275" s="3119" t="s">
        <v>2558</v>
      </c>
      <c r="G275" s="3120" t="s">
        <v>2577</v>
      </c>
      <c r="H275" s="3119" t="s">
        <v>2560</v>
      </c>
      <c r="I275" s="3119" t="s">
        <v>2561</v>
      </c>
      <c r="J275" s="3121" t="s">
        <v>2562</v>
      </c>
      <c r="K275" s="2874"/>
      <c r="L275" s="2874"/>
      <c r="M275" s="2874"/>
      <c r="N275" s="2874"/>
      <c r="O275" s="2874"/>
      <c r="P275" s="2874"/>
    </row>
    <row r="276">
      <c r="A276" s="2875" t="s">
        <v>2794</v>
      </c>
      <c r="B276" s="2844">
        <v>46265</v>
      </c>
      <c r="C276" s="2875" t="str">
        <v>Monday</v>
      </c>
      <c r="D276" s="2845" t="s">
        <v>2795</v>
      </c>
      <c r="E276" s="2849">
        <f t="shared" ref="E276:E289" si="86">24*MOD(TIMEVALUE(TRIM(MID(D276,FIND("-",D276)+1,LEN(D276)))) - TIMEVALUE(TRIM(LEFT(D276,FIND("-",D276)-1))),1)</f>
      </c>
      <c r="F276" s="2849" t="s">
        <v>2734</v>
      </c>
      <c r="G276" s="3003"/>
      <c r="H276" s="2849" t="s">
        <v>2572</v>
      </c>
      <c r="I276" s="2854"/>
      <c r="J276" s="2878"/>
      <c r="K276" s="2851"/>
      <c r="L276" s="2851"/>
      <c r="M276" s="2851"/>
      <c r="N276" s="2851"/>
      <c r="O276" s="2851"/>
      <c r="P276" s="2851"/>
    </row>
    <row customHeight="true" ht="18.452380952380953" r="277">
      <c r="A277" s="2875" t="s">
        <v>2794</v>
      </c>
      <c r="B277" s="2844">
        <v>46266</v>
      </c>
      <c r="C277" s="2875" t="str">
        <v>Tuesday</v>
      </c>
      <c r="D277" s="2845" t="s">
        <v>2796</v>
      </c>
      <c r="E277" s="2849">
        <f t="shared" si="86"/>
      </c>
      <c r="F277" s="2849" t="s">
        <v>2734</v>
      </c>
      <c r="G277" s="3003"/>
      <c r="H277" s="2849" t="s">
        <v>2572</v>
      </c>
      <c r="I277" s="2943"/>
      <c r="J277" s="2878"/>
      <c r="K277" s="2851"/>
      <c r="L277" s="2851"/>
      <c r="M277" s="2851"/>
      <c r="N277" s="2851"/>
      <c r="O277" s="2851"/>
      <c r="P277" s="2851"/>
    </row>
    <row customHeight="true" ht="18.452380952380953" r="278">
      <c r="A278" s="2895" t="s">
        <v>2794</v>
      </c>
      <c r="B278" s="3002">
        <v>46267</v>
      </c>
      <c r="C278" s="2895" t="str">
        <v>Wednesday</v>
      </c>
      <c r="D278" s="2896" t="s">
        <v>2796</v>
      </c>
      <c r="E278" s="2897">
        <f t="shared" si="86"/>
      </c>
      <c r="F278" s="2849" t="s">
        <v>2734</v>
      </c>
      <c r="G278" s="3078"/>
      <c r="H278" s="2897" t="s">
        <v>2572</v>
      </c>
      <c r="I278" s="2897"/>
      <c r="J278" s="3096"/>
      <c r="K278" s="2851"/>
      <c r="L278" s="2851"/>
      <c r="M278" s="2851"/>
      <c r="N278" s="2851"/>
      <c r="O278" s="2851"/>
      <c r="P278" s="2851"/>
      <c r="Q278" s="2989"/>
      <c r="R278" s="2989"/>
    </row>
    <row customHeight="true" ht="18.452380952380953" r="279">
      <c r="A279" s="2875" t="s">
        <v>2794</v>
      </c>
      <c r="B279" s="2844">
        <v>46268</v>
      </c>
      <c r="C279" s="2875" t="str">
        <v>Thursday</v>
      </c>
      <c r="D279" s="2845" t="s">
        <v>2796</v>
      </c>
      <c r="E279" s="2849">
        <f t="shared" si="86"/>
      </c>
      <c r="F279" s="2849" t="s">
        <v>2585</v>
      </c>
      <c r="G279" s="3003"/>
      <c r="H279" s="2849" t="s">
        <v>2572</v>
      </c>
      <c r="I279" s="2849"/>
      <c r="J279" s="2878"/>
      <c r="K279" s="2851"/>
      <c r="L279" s="2851"/>
      <c r="M279" s="2851"/>
      <c r="N279" s="2851"/>
      <c r="O279" s="2851"/>
      <c r="P279" s="2851"/>
    </row>
    <row customHeight="true" ht="18.452380952380953" r="280">
      <c r="A280" s="2895" t="s">
        <v>2794</v>
      </c>
      <c r="B280" s="3002">
        <v>46269</v>
      </c>
      <c r="C280" s="2895" t="str">
        <v>Friday</v>
      </c>
      <c r="D280" s="2896" t="s">
        <v>2796</v>
      </c>
      <c r="E280" s="2897">
        <f t="shared" si="86"/>
      </c>
      <c r="F280" s="2849" t="s">
        <v>2734</v>
      </c>
      <c r="G280" s="3075"/>
      <c r="H280" s="2897" t="s">
        <v>2572</v>
      </c>
      <c r="I280" s="2897"/>
      <c r="J280" s="3096"/>
      <c r="K280" s="2851"/>
      <c r="L280" s="2851"/>
      <c r="M280" s="2851"/>
      <c r="N280" s="2851"/>
      <c r="O280" s="2851"/>
      <c r="P280" s="2851"/>
      <c r="Q280" s="2914"/>
      <c r="R280" s="2914"/>
    </row>
    <row customHeight="true" ht="18.452380952380953" r="281">
      <c r="A281" s="2875" t="s">
        <v>2794</v>
      </c>
      <c r="B281" s="2844">
        <v>46270</v>
      </c>
      <c r="C281" s="2875" t="str">
        <v>Saturday</v>
      </c>
      <c r="D281" s="2845" t="s">
        <v>2796</v>
      </c>
      <c r="E281" s="2849">
        <f t="shared" si="86"/>
      </c>
      <c r="F281" s="2849" t="s">
        <v>2590</v>
      </c>
      <c r="G281" s="3003"/>
      <c r="H281" s="2849" t="s">
        <v>2572</v>
      </c>
      <c r="I281" s="2854"/>
      <c r="J281" s="2878"/>
      <c r="K281" s="2851"/>
      <c r="L281" s="2851"/>
      <c r="M281" s="2851"/>
      <c r="N281" s="2851"/>
      <c r="O281" s="2851"/>
      <c r="P281" s="2851"/>
    </row>
    <row customHeight="true" ht="18.452380952380953" r="282">
      <c r="A282" s="2875" t="s">
        <v>2794</v>
      </c>
      <c r="B282" s="2844">
        <v>46271</v>
      </c>
      <c r="C282" s="2875" t="str">
        <v>Sunday</v>
      </c>
      <c r="D282" s="2845" t="s">
        <v>2796</v>
      </c>
      <c r="E282" s="2849">
        <f t="shared" si="86"/>
      </c>
      <c r="F282" s="2849" t="s">
        <v>2590</v>
      </c>
      <c r="G282" s="3003"/>
      <c r="H282" s="2849" t="s">
        <v>2572</v>
      </c>
      <c r="I282" s="2854"/>
      <c r="J282" s="2878"/>
      <c r="K282" s="2851"/>
      <c r="L282" s="2851"/>
      <c r="M282" s="2851"/>
      <c r="N282" s="2851"/>
      <c r="O282" s="2851"/>
      <c r="P282" s="2851"/>
    </row>
    <row customHeight="true" ht="18.452380952380953" r="283">
      <c r="A283" s="2875" t="s">
        <v>2797</v>
      </c>
      <c r="B283" s="2875">
        <v>46265</v>
      </c>
      <c r="C283" s="2875" t="str">
        <v>Monday</v>
      </c>
      <c r="D283" s="2845" t="s">
        <v>2795</v>
      </c>
      <c r="E283" s="2849">
        <f t="shared" si="86"/>
      </c>
      <c r="F283" s="2849" t="s">
        <v>2789</v>
      </c>
      <c r="G283" s="3006"/>
      <c r="H283" s="2849" t="s">
        <v>2572</v>
      </c>
      <c r="I283" s="2849"/>
      <c r="J283" s="2878"/>
      <c r="K283" s="3005"/>
      <c r="L283" s="3005"/>
      <c r="M283" s="3005"/>
      <c r="N283" s="3005"/>
      <c r="O283" s="3005"/>
      <c r="P283" s="3005"/>
    </row>
    <row customHeight="true" ht="18.452380952380953" r="284">
      <c r="A284" s="2875" t="s">
        <v>2797</v>
      </c>
      <c r="B284" s="2875">
        <v>46266</v>
      </c>
      <c r="C284" s="2875" t="str">
        <v>Tuesday</v>
      </c>
      <c r="D284" s="2845" t="s">
        <v>2796</v>
      </c>
      <c r="E284" s="2849">
        <f t="shared" si="86"/>
      </c>
      <c r="F284" s="2849" t="s">
        <v>2789</v>
      </c>
      <c r="G284" s="3006"/>
      <c r="H284" s="2849" t="s">
        <v>2572</v>
      </c>
      <c r="I284" s="2849"/>
      <c r="J284" s="2878"/>
      <c r="K284" s="3005"/>
      <c r="L284" s="3005"/>
      <c r="M284" s="3005"/>
      <c r="N284" s="3005"/>
      <c r="O284" s="3005"/>
      <c r="P284" s="3005"/>
    </row>
    <row customHeight="true" ht="18.452380952380953" r="285">
      <c r="A285" s="2875" t="s">
        <v>2797</v>
      </c>
      <c r="B285" s="2875">
        <v>46267</v>
      </c>
      <c r="C285" s="2875" t="str">
        <v>Wednesday</v>
      </c>
      <c r="D285" s="2845" t="s">
        <v>2796</v>
      </c>
      <c r="E285" s="2849">
        <f t="shared" si="86"/>
      </c>
      <c r="F285" s="2849" t="s">
        <v>2789</v>
      </c>
      <c r="G285" s="3003"/>
      <c r="H285" s="2849" t="s">
        <v>2572</v>
      </c>
      <c r="I285" s="2854"/>
      <c r="J285" s="2878"/>
      <c r="K285" s="2851"/>
      <c r="L285" s="2851"/>
      <c r="M285" s="2851"/>
      <c r="N285" s="2851"/>
      <c r="O285" s="2851"/>
      <c r="P285" s="2851"/>
    </row>
    <row customHeight="true" ht="18.452380952380953" r="286">
      <c r="A286" s="2875" t="s">
        <v>2797</v>
      </c>
      <c r="B286" s="2875">
        <v>46268</v>
      </c>
      <c r="C286" s="2875" t="str">
        <v>Thursday</v>
      </c>
      <c r="D286" s="2845" t="s">
        <v>2796</v>
      </c>
      <c r="E286" s="2849">
        <f t="shared" si="86"/>
      </c>
      <c r="F286" s="2849" t="s">
        <v>2798</v>
      </c>
      <c r="G286" s="3003"/>
      <c r="H286" s="2849" t="s">
        <v>2572</v>
      </c>
      <c r="I286" s="2854"/>
      <c r="J286" s="2878"/>
      <c r="K286" s="2851"/>
      <c r="L286" s="2851"/>
      <c r="M286" s="2851"/>
      <c r="N286" s="2851"/>
      <c r="O286" s="2851"/>
      <c r="P286" s="2851"/>
    </row>
    <row customHeight="true" ht="18.452380952380953" r="287">
      <c r="A287" s="2875" t="s">
        <v>2797</v>
      </c>
      <c r="B287" s="2875">
        <v>46269</v>
      </c>
      <c r="C287" s="2875" t="str">
        <v>Friday</v>
      </c>
      <c r="D287" s="2845" t="s">
        <v>2796</v>
      </c>
      <c r="E287" s="2849">
        <f t="shared" si="86"/>
      </c>
      <c r="F287" s="3008" t="s">
        <v>2723</v>
      </c>
      <c r="G287" s="3003"/>
      <c r="H287" s="2849" t="s">
        <v>2572</v>
      </c>
      <c r="I287" s="2943" t="s">
        <v>2528</v>
      </c>
      <c r="J287" s="2878"/>
      <c r="K287" s="2851"/>
      <c r="L287" s="2851"/>
      <c r="M287" s="2851"/>
      <c r="N287" s="2851"/>
      <c r="O287" s="2851"/>
      <c r="P287" s="2851"/>
    </row>
    <row customHeight="true" ht="18.452380952380953" r="288">
      <c r="A288" s="2875" t="s">
        <v>2797</v>
      </c>
      <c r="B288" s="2875">
        <v>46270</v>
      </c>
      <c r="C288" s="2875" t="str">
        <v>Saturday</v>
      </c>
      <c r="D288" s="2845" t="s">
        <v>2796</v>
      </c>
      <c r="E288" s="2849">
        <f t="shared" si="86"/>
      </c>
      <c r="F288" s="2849" t="s">
        <v>2798</v>
      </c>
      <c r="G288" s="3003"/>
      <c r="H288" s="2849" t="s">
        <v>2572</v>
      </c>
      <c r="I288" s="2943"/>
      <c r="J288" s="2878"/>
      <c r="K288" s="2851"/>
      <c r="L288" s="2851"/>
      <c r="M288" s="2851"/>
      <c r="N288" s="2851"/>
      <c r="O288" s="2851"/>
      <c r="P288" s="2851"/>
    </row>
    <row customHeight="true" ht="18.452380952380953" r="289">
      <c r="A289" s="2875" t="s">
        <v>2797</v>
      </c>
      <c r="B289" s="2875">
        <v>46271</v>
      </c>
      <c r="C289" s="2875" t="str">
        <v>Sunday</v>
      </c>
      <c r="D289" s="2845" t="s">
        <v>2799</v>
      </c>
      <c r="E289" s="2849">
        <f t="shared" si="86"/>
      </c>
      <c r="F289" s="3008" t="s">
        <v>2723</v>
      </c>
      <c r="G289" s="3003"/>
      <c r="H289" s="2849" t="s">
        <v>2572</v>
      </c>
      <c r="I289" s="2849" t="s">
        <v>2528</v>
      </c>
      <c r="J289" s="2878"/>
      <c r="K289" s="2851"/>
      <c r="L289" s="2851"/>
      <c r="M289" s="2851"/>
      <c r="N289" s="2851"/>
      <c r="O289" s="2851"/>
      <c r="P289" s="2851"/>
    </row>
    <row customHeight="true" ht="18.452380952380953" r="290">
      <c r="A290" s="2875"/>
      <c r="B290" s="2875"/>
      <c r="C290" s="2875"/>
      <c r="D290" s="2854"/>
      <c r="E290" s="2854"/>
      <c r="F290" s="3122"/>
      <c r="G290" s="2883"/>
      <c r="H290" s="2854"/>
      <c r="I290" s="2854"/>
      <c r="J290" s="2850"/>
      <c r="K290" s="2851"/>
      <c r="L290" s="2851"/>
      <c r="M290" s="2851"/>
      <c r="N290" s="2851"/>
      <c r="O290" s="2851"/>
      <c r="P290" s="2851"/>
    </row>
    <row r="291">
      <c r="A291" s="3123" t="s">
        <v>2554</v>
      </c>
      <c r="B291" s="3124" t="s">
        <v>2555</v>
      </c>
      <c r="C291" s="3124"/>
      <c r="D291" s="3125" t="s">
        <v>2556</v>
      </c>
      <c r="E291" s="3125" t="s">
        <v>2557</v>
      </c>
      <c r="F291" s="3125" t="s">
        <v>2558</v>
      </c>
      <c r="G291" s="3126" t="s">
        <v>2577</v>
      </c>
      <c r="H291" s="3125" t="s">
        <v>2560</v>
      </c>
      <c r="I291" s="3125" t="s">
        <v>2561</v>
      </c>
      <c r="J291" s="3127" t="s">
        <v>2562</v>
      </c>
      <c r="K291" s="2874"/>
      <c r="L291" s="2874"/>
      <c r="M291" s="2874"/>
      <c r="N291" s="2874"/>
      <c r="O291" s="2874"/>
      <c r="P291" s="2874"/>
    </row>
    <row r="292">
      <c r="A292" s="2895" t="s">
        <v>2800</v>
      </c>
      <c r="B292" s="3002">
        <v>46265</v>
      </c>
      <c r="C292" s="2895" t="str">
        <v>Monday</v>
      </c>
      <c r="D292" s="2896" t="s">
        <v>2801</v>
      </c>
      <c r="E292" s="2897">
        <f t="shared" ref="E292:E305" si="87">24*MOD(TIMEVALUE(TRIM(MID(D292,FIND("-",D292)+1,LEN(D292)))) - TIMEVALUE(TRIM(LEFT(D292,FIND("-",D292)-1))),1)</f>
      </c>
      <c r="F292" s="3122" t="s">
        <v>2785</v>
      </c>
      <c r="G292" s="3075"/>
      <c r="H292" s="2897"/>
      <c r="I292" s="2897" t="s">
        <v>2528</v>
      </c>
      <c r="J292" s="3076"/>
      <c r="K292" s="3022"/>
      <c r="L292" s="3022"/>
      <c r="M292" s="3022"/>
      <c r="N292" s="3022"/>
      <c r="O292" s="3022"/>
      <c r="P292" s="3022"/>
    </row>
    <row customHeight="true" ht="18.452380952380953" r="293">
      <c r="A293" s="2895" t="s">
        <v>2800</v>
      </c>
      <c r="B293" s="3002">
        <v>46266</v>
      </c>
      <c r="C293" s="2895" t="str">
        <v>Tuesday</v>
      </c>
      <c r="D293" s="2896" t="s">
        <v>2601</v>
      </c>
      <c r="E293" s="2897">
        <f t="shared" si="87"/>
      </c>
      <c r="F293" s="3122" t="s">
        <v>2802</v>
      </c>
      <c r="G293" s="3075"/>
      <c r="H293" s="2897"/>
      <c r="I293" s="2897" t="s">
        <v>2528</v>
      </c>
      <c r="J293" s="3076" t="s">
        <v>2803</v>
      </c>
      <c r="K293" s="3022"/>
      <c r="L293" s="3022"/>
      <c r="M293" s="3022"/>
      <c r="N293" s="3022"/>
      <c r="O293" s="3022"/>
      <c r="P293" s="3022"/>
    </row>
    <row customHeight="true" ht="18.452380952380953" r="294">
      <c r="A294" s="2875" t="s">
        <v>2800</v>
      </c>
      <c r="B294" s="2844">
        <v>46267</v>
      </c>
      <c r="C294" s="2875" t="str">
        <v>Wednesday</v>
      </c>
      <c r="D294" s="2896" t="s">
        <v>2801</v>
      </c>
      <c r="E294" s="2854">
        <f t="shared" si="87"/>
      </c>
      <c r="F294" s="3122" t="s">
        <v>2785</v>
      </c>
      <c r="G294" s="2893"/>
      <c r="H294" s="2854"/>
      <c r="I294" s="2854" t="s">
        <v>2528</v>
      </c>
      <c r="J294" s="2850"/>
      <c r="K294" s="2851"/>
      <c r="L294" s="2851"/>
      <c r="M294" s="2851"/>
      <c r="N294" s="2851"/>
      <c r="O294" s="2851"/>
      <c r="P294" s="2851"/>
    </row>
    <row customHeight="true" ht="20.238095238095237" r="295">
      <c r="A295" s="2895" t="s">
        <v>2800</v>
      </c>
      <c r="B295" s="3002">
        <v>46268</v>
      </c>
      <c r="C295" s="2895" t="str">
        <v>Thursday</v>
      </c>
      <c r="D295" s="2896" t="s">
        <v>2801</v>
      </c>
      <c r="E295" s="2897">
        <f t="shared" si="87"/>
      </c>
      <c r="F295" s="3122" t="s">
        <v>2785</v>
      </c>
      <c r="G295" s="3075"/>
      <c r="H295" s="2897"/>
      <c r="I295" s="2897" t="s">
        <v>2528</v>
      </c>
      <c r="J295" s="3096"/>
      <c r="K295" s="2851"/>
      <c r="L295" s="2851"/>
      <c r="M295" s="2851"/>
      <c r="N295" s="2851"/>
      <c r="O295" s="2851"/>
      <c r="P295" s="2851"/>
      <c r="Q295" s="2914"/>
      <c r="R295" s="2914"/>
    </row>
    <row customHeight="true" ht="20.238095238095237" r="296">
      <c r="A296" s="2875" t="s">
        <v>2800</v>
      </c>
      <c r="B296" s="3002">
        <v>46269</v>
      </c>
      <c r="C296" s="2875" t="str">
        <v>Friday</v>
      </c>
      <c r="D296" s="2896" t="s">
        <v>2801</v>
      </c>
      <c r="E296" s="2854">
        <f t="shared" si="87"/>
      </c>
      <c r="F296" s="3122" t="s">
        <v>2785</v>
      </c>
      <c r="G296" s="2893"/>
      <c r="H296" s="2854"/>
      <c r="I296" s="2854" t="s">
        <v>2528</v>
      </c>
      <c r="J296" s="2850"/>
      <c r="K296" s="2851"/>
      <c r="L296" s="2851"/>
      <c r="M296" s="2851"/>
      <c r="N296" s="2851"/>
      <c r="O296" s="2851"/>
      <c r="P296" s="2851"/>
    </row>
    <row customHeight="true" ht="20.238095238095237" r="297">
      <c r="A297" s="2875" t="s">
        <v>2800</v>
      </c>
      <c r="B297" s="2844">
        <v>46270</v>
      </c>
      <c r="C297" s="2875" t="str">
        <v>Saturday</v>
      </c>
      <c r="D297" s="2896" t="s">
        <v>2801</v>
      </c>
      <c r="E297" s="2854">
        <f t="shared" si="87"/>
      </c>
      <c r="F297" s="3122" t="s">
        <v>2802</v>
      </c>
      <c r="G297" s="2893"/>
      <c r="H297" s="2854"/>
      <c r="I297" s="2854" t="s">
        <v>2528</v>
      </c>
      <c r="J297" s="2850"/>
      <c r="K297" s="2851"/>
      <c r="L297" s="2851"/>
      <c r="M297" s="2851"/>
      <c r="N297" s="2851"/>
      <c r="O297" s="2851"/>
      <c r="P297" s="2851"/>
    </row>
    <row customHeight="true" ht="20.238095238095237" r="298">
      <c r="A298" s="2875" t="s">
        <v>2800</v>
      </c>
      <c r="B298" s="2844">
        <v>46271</v>
      </c>
      <c r="C298" s="2875" t="str">
        <v>Sunday</v>
      </c>
      <c r="D298" s="2845" t="s">
        <v>2579</v>
      </c>
      <c r="E298" s="2854">
        <f t="shared" si="87"/>
      </c>
      <c r="F298" s="3122" t="s">
        <v>2802</v>
      </c>
      <c r="G298" s="2893"/>
      <c r="H298" s="2854"/>
      <c r="I298" s="2854" t="s">
        <v>2528</v>
      </c>
      <c r="J298" s="2850"/>
      <c r="K298" s="2851"/>
      <c r="L298" s="2851"/>
      <c r="M298" s="2851"/>
      <c r="N298" s="2851"/>
      <c r="O298" s="2851"/>
      <c r="P298" s="2851"/>
    </row>
    <row r="299">
      <c r="A299" s="2875" t="s">
        <v>2804</v>
      </c>
      <c r="B299" s="3002">
        <v>46265</v>
      </c>
      <c r="C299" s="2875" t="str">
        <v>Monday</v>
      </c>
      <c r="D299" s="2896" t="s">
        <v>2801</v>
      </c>
      <c r="E299" s="2854">
        <f t="shared" si="87"/>
      </c>
      <c r="F299" s="2882" t="s">
        <v>2571</v>
      </c>
      <c r="G299" s="2883"/>
      <c r="H299" s="2854"/>
      <c r="I299" s="2854" t="s">
        <v>2528</v>
      </c>
      <c r="J299" s="2846" t="s">
        <v>2805</v>
      </c>
      <c r="K299" s="2851"/>
      <c r="L299" s="2851"/>
      <c r="M299" s="2851"/>
      <c r="N299" s="2851"/>
      <c r="O299" s="2851"/>
      <c r="P299" s="2851"/>
    </row>
    <row customHeight="true" ht="18.452380952380953" r="300">
      <c r="A300" s="2875" t="s">
        <v>2804</v>
      </c>
      <c r="B300" s="3002">
        <v>46266</v>
      </c>
      <c r="C300" s="2875" t="str">
        <v>Tuesday</v>
      </c>
      <c r="D300" s="2896" t="s">
        <v>2601</v>
      </c>
      <c r="E300" s="2854">
        <f t="shared" si="87"/>
      </c>
      <c r="F300" s="2882" t="s">
        <v>2571</v>
      </c>
      <c r="G300" s="2883"/>
      <c r="H300" s="2854"/>
      <c r="I300" s="2854" t="s">
        <v>2528</v>
      </c>
      <c r="J300" s="2850"/>
      <c r="K300" s="2851"/>
      <c r="L300" s="2851"/>
      <c r="M300" s="2851"/>
      <c r="N300" s="2851"/>
      <c r="O300" s="2851"/>
      <c r="P300" s="2851"/>
    </row>
    <row r="301">
      <c r="A301" s="2875" t="s">
        <v>2804</v>
      </c>
      <c r="B301" s="2844">
        <v>46267</v>
      </c>
      <c r="C301" s="2875" t="str">
        <v>Wednesday</v>
      </c>
      <c r="D301" s="2896" t="s">
        <v>2688</v>
      </c>
      <c r="E301" s="2854">
        <f t="shared" si="87"/>
      </c>
      <c r="F301" s="2882" t="s">
        <v>2694</v>
      </c>
      <c r="G301" s="2883"/>
      <c r="H301" s="2854"/>
      <c r="I301" s="2854" t="s">
        <v>2528</v>
      </c>
      <c r="J301" s="2850"/>
      <c r="K301" s="2851"/>
      <c r="L301" s="2851"/>
      <c r="M301" s="2851"/>
      <c r="N301" s="2851"/>
      <c r="O301" s="2851"/>
      <c r="P301" s="2851"/>
    </row>
    <row customHeight="true" ht="18.452380952380953" r="302">
      <c r="A302" s="2895" t="s">
        <v>2804</v>
      </c>
      <c r="B302" s="3002">
        <v>46268</v>
      </c>
      <c r="C302" s="2895" t="str">
        <v>Thursday</v>
      </c>
      <c r="D302" s="2896" t="s">
        <v>2801</v>
      </c>
      <c r="E302" s="2897">
        <f t="shared" si="87"/>
      </c>
      <c r="F302" s="2882" t="s">
        <v>2571</v>
      </c>
      <c r="G302" s="3078"/>
      <c r="H302" s="2897"/>
      <c r="I302" s="2897" t="s">
        <v>2528</v>
      </c>
      <c r="J302" s="3096"/>
      <c r="K302" s="2851"/>
      <c r="L302" s="2851"/>
      <c r="M302" s="2851"/>
      <c r="N302" s="2851"/>
      <c r="O302" s="2851"/>
      <c r="P302" s="2851"/>
      <c r="Q302" s="2914"/>
      <c r="R302" s="2914"/>
    </row>
    <row r="303">
      <c r="A303" s="2875" t="s">
        <v>2804</v>
      </c>
      <c r="B303" s="3002">
        <v>46269</v>
      </c>
      <c r="C303" s="2875" t="str">
        <v>Friday</v>
      </c>
      <c r="D303" s="2896" t="s">
        <v>2801</v>
      </c>
      <c r="E303" s="2854">
        <f t="shared" si="87"/>
      </c>
      <c r="F303" s="2882" t="s">
        <v>2697</v>
      </c>
      <c r="G303" s="2883"/>
      <c r="H303" s="2854"/>
      <c r="I303" s="2854" t="s">
        <v>2528</v>
      </c>
      <c r="J303" s="2850"/>
      <c r="K303" s="2851"/>
      <c r="L303" s="2851"/>
      <c r="M303" s="2851"/>
      <c r="N303" s="2851"/>
      <c r="O303" s="2851"/>
      <c r="P303" s="2851"/>
    </row>
    <row customHeight="true" ht="18.452380952380953" r="304">
      <c r="A304" s="2875" t="s">
        <v>2804</v>
      </c>
      <c r="B304" s="2844">
        <v>46270</v>
      </c>
      <c r="C304" s="2875" t="str">
        <v>Saturday</v>
      </c>
      <c r="D304" s="2896" t="s">
        <v>2801</v>
      </c>
      <c r="E304" s="2854">
        <f t="shared" si="87"/>
      </c>
      <c r="F304" s="2882" t="s">
        <v>2697</v>
      </c>
      <c r="G304" s="2883"/>
      <c r="H304" s="2854"/>
      <c r="I304" s="2854" t="s">
        <v>2528</v>
      </c>
      <c r="J304" s="2850"/>
      <c r="K304" s="2851"/>
      <c r="L304" s="2851"/>
      <c r="M304" s="2851"/>
      <c r="N304" s="2851"/>
      <c r="O304" s="2851"/>
      <c r="P304" s="2851"/>
    </row>
    <row customHeight="true" ht="18.452380952380953" r="305">
      <c r="A305" s="2875" t="s">
        <v>2804</v>
      </c>
      <c r="B305" s="2844">
        <v>46271</v>
      </c>
      <c r="C305" s="2875" t="str">
        <v>Sunday</v>
      </c>
      <c r="D305" s="2845" t="s">
        <v>2579</v>
      </c>
      <c r="E305" s="2854">
        <f t="shared" si="87"/>
      </c>
      <c r="F305" s="2882" t="s">
        <v>2571</v>
      </c>
      <c r="G305" s="2883"/>
      <c r="H305" s="2854"/>
      <c r="I305" s="2854" t="s">
        <v>2528</v>
      </c>
      <c r="J305" s="2850"/>
      <c r="K305" s="2851"/>
      <c r="L305" s="2851"/>
      <c r="M305" s="2851"/>
      <c r="N305" s="2851"/>
      <c r="O305" s="2851"/>
      <c r="P305" s="2851"/>
    </row>
    <row r="306">
      <c r="A306" s="2884"/>
      <c r="B306" s="2884"/>
      <c r="C306" s="2884"/>
      <c r="D306" s="2884"/>
      <c r="E306" s="2884"/>
      <c r="F306" s="2884"/>
      <c r="G306" s="2884"/>
      <c r="H306" s="3114"/>
      <c r="I306" s="2884"/>
      <c r="J306" s="2884"/>
      <c r="K306" s="2989"/>
      <c r="L306" s="2989"/>
      <c r="M306" s="2989"/>
      <c r="N306" s="2989"/>
      <c r="O306" s="2989"/>
      <c r="P306" s="2989"/>
    </row>
    <row r="307">
      <c r="A307" s="3128" t="s">
        <v>2806</v>
      </c>
      <c r="B307" s="3129"/>
      <c r="C307" s="3129"/>
      <c r="D307" s="3129"/>
      <c r="E307" s="3129"/>
      <c r="F307" s="3129"/>
      <c r="G307" s="3129"/>
      <c r="H307" s="3129"/>
      <c r="I307" s="3129"/>
      <c r="J307" s="3130"/>
      <c r="K307" s="2887"/>
      <c r="L307" s="2887"/>
      <c r="M307" s="2887"/>
      <c r="N307" s="2887"/>
      <c r="O307" s="2887"/>
      <c r="P307" s="2887"/>
    </row>
    <row r="308">
      <c r="A308" s="3123" t="s">
        <v>2554</v>
      </c>
      <c r="B308" s="3124" t="s">
        <v>2555</v>
      </c>
      <c r="C308" s="3124"/>
      <c r="D308" s="3125" t="s">
        <v>2556</v>
      </c>
      <c r="E308" s="3125" t="s">
        <v>2557</v>
      </c>
      <c r="F308" s="3125" t="s">
        <v>2558</v>
      </c>
      <c r="G308" s="3126" t="s">
        <v>2577</v>
      </c>
      <c r="H308" s="3125" t="s">
        <v>2560</v>
      </c>
      <c r="I308" s="3125" t="s">
        <v>2561</v>
      </c>
      <c r="J308" s="3127" t="s">
        <v>2562</v>
      </c>
      <c r="K308" s="2874"/>
      <c r="L308" s="2874"/>
      <c r="M308" s="2874"/>
      <c r="N308" s="2874"/>
      <c r="O308" s="2874"/>
      <c r="P308" s="2874"/>
    </row>
    <row r="309">
      <c r="A309" s="2875" t="s">
        <v>2806</v>
      </c>
      <c r="B309" s="2844">
        <v>46265</v>
      </c>
      <c r="C309" s="2875" t="str">
        <v>Monday</v>
      </c>
      <c r="D309" s="2845" t="s">
        <v>2807</v>
      </c>
      <c r="E309" s="2854">
        <f t="shared" ref="E309:E332" si="88">24*MOD(TIMEVALUE(TRIM(MID(D309,FIND("-",D309)+1,LEN(D309)))) - TIMEVALUE(TRIM(LEFT(D309,FIND("-",D309)-1))),1)</f>
      </c>
      <c r="F309" s="3009" t="s">
        <v>2726</v>
      </c>
      <c r="G309" s="2893" t="s">
        <v>2718</v>
      </c>
      <c r="H309" s="2854" t="s">
        <v>2527</v>
      </c>
      <c r="I309" s="2854" t="s">
        <v>2568</v>
      </c>
      <c r="J309" s="2846"/>
      <c r="K309" s="3022"/>
      <c r="L309" s="3022"/>
      <c r="M309" s="3022"/>
      <c r="N309" s="3022"/>
      <c r="O309" s="3022"/>
      <c r="P309" s="3022"/>
    </row>
    <row customHeight="true" ht="18.452380952380953" r="310">
      <c r="A310" s="2875" t="s">
        <v>2806</v>
      </c>
      <c r="B310" s="2844">
        <v>46266</v>
      </c>
      <c r="C310" s="2875" t="str">
        <v>Tuesday</v>
      </c>
      <c r="D310" s="2845" t="s">
        <v>2807</v>
      </c>
      <c r="E310" s="2854">
        <f t="shared" si="88"/>
      </c>
      <c r="F310" s="3009" t="s">
        <v>2677</v>
      </c>
      <c r="G310" s="2893" t="s">
        <v>2808</v>
      </c>
      <c r="H310" s="2849" t="s">
        <v>2527</v>
      </c>
      <c r="I310" s="2854" t="s">
        <v>2568</v>
      </c>
      <c r="J310" s="2846"/>
      <c r="K310" s="2851"/>
      <c r="L310" s="2851"/>
      <c r="M310" s="2851"/>
      <c r="N310" s="2851"/>
      <c r="O310" s="2851"/>
      <c r="P310" s="2851"/>
    </row>
    <row customHeight="true" ht="18.452380952380953" r="311">
      <c r="A311" s="2875" t="s">
        <v>2806</v>
      </c>
      <c r="B311" s="2844">
        <v>46267</v>
      </c>
      <c r="C311" s="2875" t="str">
        <v>Wednesday</v>
      </c>
      <c r="D311" s="2845" t="s">
        <v>2807</v>
      </c>
      <c r="E311" s="2854">
        <f t="shared" si="88"/>
      </c>
      <c r="F311" s="3009" t="s">
        <v>2677</v>
      </c>
      <c r="G311" s="2893" t="s">
        <v>2808</v>
      </c>
      <c r="H311" s="2849" t="s">
        <v>2527</v>
      </c>
      <c r="I311" s="2854" t="s">
        <v>2568</v>
      </c>
      <c r="J311" s="2846"/>
      <c r="K311" s="3022"/>
      <c r="L311" s="3022"/>
      <c r="M311" s="3022"/>
      <c r="N311" s="3022"/>
      <c r="O311" s="3022"/>
      <c r="P311" s="3022"/>
    </row>
    <row customHeight="true" ht="18.452380952380953" r="312">
      <c r="A312" s="2875" t="s">
        <v>2806</v>
      </c>
      <c r="B312" s="2844">
        <v>46268</v>
      </c>
      <c r="C312" s="2875" t="str">
        <v>Thursday</v>
      </c>
      <c r="D312" s="2845" t="s">
        <v>2807</v>
      </c>
      <c r="E312" s="2854">
        <f t="shared" si="88"/>
      </c>
      <c r="F312" s="2876" t="s">
        <v>2726</v>
      </c>
      <c r="G312" s="2893" t="s">
        <v>2718</v>
      </c>
      <c r="H312" s="2849" t="s">
        <v>2527</v>
      </c>
      <c r="I312" s="2854" t="s">
        <v>2568</v>
      </c>
      <c r="J312" s="2846"/>
      <c r="K312" s="3022"/>
      <c r="L312" s="3022"/>
      <c r="M312" s="3022"/>
      <c r="N312" s="3022"/>
      <c r="O312" s="3022"/>
      <c r="P312" s="3022"/>
    </row>
    <row customHeight="true" ht="18.452380952380953" r="313">
      <c r="A313" s="2875" t="s">
        <v>2806</v>
      </c>
      <c r="B313" s="2844">
        <v>46270</v>
      </c>
      <c r="C313" s="2875" t="str">
        <v>Saturday</v>
      </c>
      <c r="D313" s="2845" t="s">
        <v>2807</v>
      </c>
      <c r="E313" s="2854">
        <f t="shared" si="88"/>
      </c>
      <c r="F313" s="3009" t="s">
        <v>2677</v>
      </c>
      <c r="G313" s="2893" t="s">
        <v>2808</v>
      </c>
      <c r="H313" s="2849" t="s">
        <v>2527</v>
      </c>
      <c r="I313" s="2854" t="s">
        <v>2568</v>
      </c>
      <c r="J313" s="2846"/>
      <c r="K313" s="3022"/>
      <c r="L313" s="3022"/>
      <c r="M313" s="3022"/>
      <c r="N313" s="3022"/>
      <c r="O313" s="3022"/>
      <c r="P313" s="3022"/>
    </row>
    <row customHeight="true" ht="18.452380952380953" r="314">
      <c r="A314" s="2875" t="s">
        <v>2806</v>
      </c>
      <c r="B314" s="2844">
        <v>46271</v>
      </c>
      <c r="C314" s="2875" t="str">
        <v>Sunday</v>
      </c>
      <c r="D314" s="2845" t="s">
        <v>2809</v>
      </c>
      <c r="E314" s="2854">
        <f t="shared" si="88"/>
      </c>
      <c r="F314" s="2882" t="s">
        <v>2649</v>
      </c>
      <c r="G314" s="3131" t="s">
        <v>2718</v>
      </c>
      <c r="H314" s="2849" t="s">
        <v>2527</v>
      </c>
      <c r="I314" s="2943" t="s">
        <v>2528</v>
      </c>
      <c r="J314" s="2846"/>
      <c r="K314" s="2851"/>
      <c r="L314" s="2851"/>
      <c r="M314" s="2851"/>
      <c r="N314" s="2851"/>
      <c r="O314" s="2851"/>
      <c r="P314" s="2851"/>
    </row>
    <row customHeight="true" ht="18.452380952380953" r="315">
      <c r="A315" s="2875" t="s">
        <v>2810</v>
      </c>
      <c r="B315" s="2844">
        <v>46265</v>
      </c>
      <c r="C315" s="2875" t="str">
        <v>Monday</v>
      </c>
      <c r="D315" s="2845" t="s">
        <v>2807</v>
      </c>
      <c r="E315" s="2854">
        <f t="shared" si="88"/>
      </c>
      <c r="F315" s="2882" t="s">
        <v>2721</v>
      </c>
      <c r="G315" s="2883"/>
      <c r="H315" s="2849" t="s">
        <v>2527</v>
      </c>
      <c r="I315" s="2854" t="s">
        <v>2568</v>
      </c>
      <c r="J315" s="2850"/>
      <c r="K315" s="2851"/>
      <c r="L315" s="2851"/>
      <c r="M315" s="2851"/>
      <c r="N315" s="2851"/>
      <c r="O315" s="2851"/>
      <c r="P315" s="2851"/>
    </row>
    <row customHeight="true" ht="18.452380952380953" r="316">
      <c r="A316" s="2875" t="s">
        <v>2810</v>
      </c>
      <c r="B316" s="2844">
        <v>46266</v>
      </c>
      <c r="C316" s="2875" t="str">
        <v>Tuesday</v>
      </c>
      <c r="D316" s="2845" t="s">
        <v>2811</v>
      </c>
      <c r="E316" s="2854">
        <f t="shared" si="88"/>
      </c>
      <c r="F316" s="3009" t="s">
        <v>2726</v>
      </c>
      <c r="G316" s="2883"/>
      <c r="H316" s="2849" t="s">
        <v>2527</v>
      </c>
      <c r="I316" s="2854" t="s">
        <v>2568</v>
      </c>
      <c r="J316" s="2846" t="s">
        <v>2812</v>
      </c>
      <c r="K316" s="2851"/>
      <c r="L316" s="2851"/>
      <c r="M316" s="2851"/>
      <c r="N316" s="2851"/>
      <c r="O316" s="2851"/>
      <c r="P316" s="2851"/>
    </row>
    <row customHeight="true" ht="18.452380952380953" r="317">
      <c r="A317" s="2875" t="s">
        <v>2810</v>
      </c>
      <c r="B317" s="2844">
        <v>46267</v>
      </c>
      <c r="C317" s="2875" t="str">
        <v>Wednesday</v>
      </c>
      <c r="D317" s="2845" t="s">
        <v>2807</v>
      </c>
      <c r="E317" s="2854">
        <f t="shared" si="88"/>
      </c>
      <c r="F317" s="3009" t="s">
        <v>2726</v>
      </c>
      <c r="G317" s="2883"/>
      <c r="H317" s="2849" t="s">
        <v>2527</v>
      </c>
      <c r="I317" s="2854" t="s">
        <v>2568</v>
      </c>
      <c r="J317" s="2846"/>
      <c r="K317" s="3022"/>
      <c r="L317" s="3022"/>
      <c r="M317" s="3022"/>
      <c r="N317" s="3022"/>
      <c r="O317" s="3022"/>
      <c r="P317" s="3022"/>
    </row>
    <row customHeight="true" ht="18.452380952380953" r="318">
      <c r="A318" s="2875" t="s">
        <v>2810</v>
      </c>
      <c r="B318" s="2844">
        <v>46268</v>
      </c>
      <c r="C318" s="2875" t="str">
        <v>Thursday</v>
      </c>
      <c r="D318" s="2845" t="s">
        <v>2807</v>
      </c>
      <c r="E318" s="2854">
        <f t="shared" si="88"/>
      </c>
      <c r="F318" s="2882" t="s">
        <v>2721</v>
      </c>
      <c r="G318" s="2883"/>
      <c r="H318" s="2849" t="s">
        <v>2527</v>
      </c>
      <c r="I318" s="2854" t="s">
        <v>2568</v>
      </c>
      <c r="J318" s="2846"/>
      <c r="K318" s="2851"/>
      <c r="L318" s="2851"/>
      <c r="M318" s="2851"/>
      <c r="N318" s="2851"/>
      <c r="O318" s="2851"/>
      <c r="P318" s="2851"/>
    </row>
    <row customHeight="true" ht="18.452380952380953" r="319">
      <c r="A319" s="2875" t="s">
        <v>2810</v>
      </c>
      <c r="B319" s="2844">
        <v>46269</v>
      </c>
      <c r="C319" s="2875" t="str">
        <v>Friday</v>
      </c>
      <c r="D319" s="2845" t="s">
        <v>2807</v>
      </c>
      <c r="E319" s="2854">
        <f t="shared" si="88"/>
      </c>
      <c r="F319" s="3008" t="s">
        <v>2723</v>
      </c>
      <c r="G319" s="2883"/>
      <c r="H319" s="2849" t="s">
        <v>2527</v>
      </c>
      <c r="I319" s="2854" t="s">
        <v>2568</v>
      </c>
      <c r="J319" s="2846" t="s">
        <v>2813</v>
      </c>
      <c r="K319" s="2851"/>
      <c r="L319" s="2851"/>
      <c r="M319" s="2851"/>
      <c r="N319" s="2851"/>
      <c r="O319" s="2851"/>
      <c r="P319" s="2851"/>
    </row>
    <row customHeight="true" ht="18.452380952380953" r="320">
      <c r="A320" s="2875" t="s">
        <v>2810</v>
      </c>
      <c r="B320" s="2844">
        <v>46270</v>
      </c>
      <c r="C320" s="2875" t="str">
        <v>Saturday</v>
      </c>
      <c r="D320" s="2845" t="s">
        <v>2807</v>
      </c>
      <c r="E320" s="2854">
        <f t="shared" si="88"/>
      </c>
      <c r="F320" s="3009" t="s">
        <v>2726</v>
      </c>
      <c r="G320" s="2883"/>
      <c r="H320" s="2849" t="s">
        <v>2527</v>
      </c>
      <c r="I320" s="2854" t="s">
        <v>2568</v>
      </c>
      <c r="J320" s="2846"/>
      <c r="K320" s="2851"/>
      <c r="L320" s="2851"/>
      <c r="M320" s="2851"/>
      <c r="N320" s="2851"/>
      <c r="O320" s="2851"/>
      <c r="P320" s="2851"/>
    </row>
    <row customHeight="true" ht="18.452380952380953" r="321">
      <c r="A321" s="2875" t="s">
        <v>2810</v>
      </c>
      <c r="B321" s="2844">
        <v>46271</v>
      </c>
      <c r="C321" s="2875" t="str">
        <v>Sunday</v>
      </c>
      <c r="D321" s="2845" t="s">
        <v>2814</v>
      </c>
      <c r="E321" s="2854">
        <f t="shared" si="88"/>
      </c>
      <c r="F321" s="2882" t="s">
        <v>2721</v>
      </c>
      <c r="G321" s="2883"/>
      <c r="H321" s="2849" t="s">
        <v>2527</v>
      </c>
      <c r="I321" s="2854" t="s">
        <v>2568</v>
      </c>
      <c r="J321" s="2846" t="s">
        <v>2815</v>
      </c>
      <c r="K321" s="2851"/>
      <c r="L321" s="2851"/>
      <c r="M321" s="2851"/>
      <c r="N321" s="2851"/>
      <c r="O321" s="2851"/>
      <c r="P321" s="2851"/>
    </row>
    <row customHeight="true" ht="18.452380952380953" r="322">
      <c r="A322" s="2875" t="s">
        <v>2816</v>
      </c>
      <c r="B322" s="2844">
        <v>46267</v>
      </c>
      <c r="C322" s="2875" t="str">
        <v>Wednesday</v>
      </c>
      <c r="D322" s="2845" t="s">
        <v>2600</v>
      </c>
      <c r="E322" s="2854">
        <f t="shared" si="88"/>
      </c>
      <c r="F322" s="2882" t="s">
        <v>2649</v>
      </c>
      <c r="G322" s="2893" t="s">
        <v>2718</v>
      </c>
      <c r="H322" s="2849" t="s">
        <v>2527</v>
      </c>
      <c r="I322" s="2943" t="s">
        <v>2528</v>
      </c>
      <c r="J322" s="2850"/>
      <c r="K322" s="2851"/>
      <c r="L322" s="2851"/>
      <c r="M322" s="2851"/>
      <c r="N322" s="2851"/>
      <c r="O322" s="2851"/>
      <c r="P322" s="2851"/>
    </row>
    <row customHeight="true" ht="18.452380952380953" r="323">
      <c r="A323" s="2875" t="s">
        <v>2816</v>
      </c>
      <c r="B323" s="2844">
        <v>46265</v>
      </c>
      <c r="C323" s="2875" t="str">
        <v>Monday</v>
      </c>
      <c r="D323" s="2845" t="s">
        <v>2817</v>
      </c>
      <c r="E323" s="2854">
        <f t="shared" si="88"/>
      </c>
      <c r="F323" s="3009" t="s">
        <v>2726</v>
      </c>
      <c r="G323" s="2893" t="s">
        <v>2718</v>
      </c>
      <c r="H323" s="2849" t="s">
        <v>2527</v>
      </c>
      <c r="I323" s="2854" t="s">
        <v>2568</v>
      </c>
      <c r="J323" s="2846" t="s">
        <v>2818</v>
      </c>
      <c r="K323" s="2851"/>
      <c r="L323" s="2851"/>
      <c r="M323" s="2851"/>
      <c r="N323" s="2851"/>
      <c r="O323" s="2851"/>
      <c r="P323" s="2851"/>
    </row>
    <row customHeight="true" ht="18.452380952380953" r="324">
      <c r="A324" s="2875" t="s">
        <v>2816</v>
      </c>
      <c r="B324" s="2844">
        <v>46267</v>
      </c>
      <c r="C324" s="2875" t="str">
        <v>Wednesday</v>
      </c>
      <c r="D324" s="2845" t="s">
        <v>2819</v>
      </c>
      <c r="E324" s="2854">
        <f t="shared" si="88"/>
      </c>
      <c r="F324" s="3009" t="s">
        <v>2677</v>
      </c>
      <c r="G324" s="2893" t="s">
        <v>2718</v>
      </c>
      <c r="H324" s="2849" t="s">
        <v>2527</v>
      </c>
      <c r="I324" s="2854" t="s">
        <v>2568</v>
      </c>
      <c r="J324" s="2846" t="s">
        <v>2820</v>
      </c>
      <c r="K324" s="2851"/>
      <c r="L324" s="2851"/>
      <c r="M324" s="2851"/>
      <c r="N324" s="2851"/>
      <c r="O324" s="2851"/>
      <c r="P324" s="2851"/>
    </row>
    <row customHeight="true" ht="18.452380952380953" r="325">
      <c r="A325" s="2875" t="s">
        <v>2821</v>
      </c>
      <c r="B325" s="2844">
        <v>46267</v>
      </c>
      <c r="C325" s="2875" t="str">
        <v>Wednesday</v>
      </c>
      <c r="D325" s="2845" t="s">
        <v>2822</v>
      </c>
      <c r="E325" s="2854">
        <f t="shared" si="88"/>
      </c>
      <c r="F325" s="3009" t="s">
        <v>2677</v>
      </c>
      <c r="G325" s="2893" t="s">
        <v>2718</v>
      </c>
      <c r="H325" s="2849" t="s">
        <v>2527</v>
      </c>
      <c r="I325" s="2854" t="s">
        <v>2568</v>
      </c>
      <c r="J325" s="2846"/>
      <c r="K325" s="2851"/>
      <c r="L325" s="2851"/>
      <c r="M325" s="2851"/>
      <c r="N325" s="2851"/>
      <c r="O325" s="2851"/>
      <c r="P325" s="2851"/>
    </row>
    <row customHeight="true" ht="18.452380952380953" r="326">
      <c r="A326" s="2875" t="s">
        <v>2810</v>
      </c>
      <c r="B326" s="2844">
        <v>46265</v>
      </c>
      <c r="C326" s="2875" t="str">
        <v>Monday</v>
      </c>
      <c r="D326" s="2845" t="s">
        <v>2720</v>
      </c>
      <c r="E326" s="2854">
        <f t="shared" si="88"/>
      </c>
      <c r="F326" s="2882" t="s">
        <v>2721</v>
      </c>
      <c r="G326" s="2893"/>
      <c r="H326" s="2849" t="s">
        <v>2527</v>
      </c>
      <c r="I326" s="2854" t="s">
        <v>2528</v>
      </c>
      <c r="J326" s="2846" t="s">
        <v>2823</v>
      </c>
      <c r="K326" s="2851"/>
      <c r="L326" s="2851"/>
      <c r="M326" s="2851"/>
      <c r="N326" s="2851"/>
      <c r="O326" s="2851"/>
      <c r="P326" s="2851"/>
    </row>
    <row customHeight="true" ht="18.452380952380953" r="327">
      <c r="A327" s="2875" t="s">
        <v>2810</v>
      </c>
      <c r="B327" s="2844">
        <v>46265</v>
      </c>
      <c r="C327" s="2875" t="str">
        <v>Monday</v>
      </c>
      <c r="D327" s="2845" t="s">
        <v>2824</v>
      </c>
      <c r="E327" s="2854">
        <f t="shared" si="88"/>
      </c>
      <c r="F327" s="2882" t="s">
        <v>2721</v>
      </c>
      <c r="G327" s="2893"/>
      <c r="H327" s="2849" t="s">
        <v>2527</v>
      </c>
      <c r="I327" s="2854" t="s">
        <v>2568</v>
      </c>
      <c r="J327" s="2846" t="s">
        <v>2825</v>
      </c>
      <c r="K327" s="2851"/>
      <c r="L327" s="2851"/>
      <c r="M327" s="2851"/>
      <c r="N327" s="2851"/>
      <c r="O327" s="2851"/>
      <c r="P327" s="2851"/>
    </row>
    <row customHeight="true" ht="18.452380952380953" r="328">
      <c r="A328" s="2875" t="s">
        <v>2810</v>
      </c>
      <c r="B328" s="2844">
        <v>46266</v>
      </c>
      <c r="C328" s="2875" t="str">
        <v>Tuesday</v>
      </c>
      <c r="D328" s="3132" t="s">
        <v>2826</v>
      </c>
      <c r="E328" s="2854">
        <f t="shared" si="88"/>
      </c>
      <c r="F328" s="2882" t="s">
        <v>2721</v>
      </c>
      <c r="G328" s="2883"/>
      <c r="H328" s="2849" t="s">
        <v>2527</v>
      </c>
      <c r="I328" s="2854" t="s">
        <v>2528</v>
      </c>
      <c r="J328" s="3133" t="s">
        <v>2827</v>
      </c>
      <c r="K328" s="2851"/>
      <c r="L328" s="2851"/>
      <c r="M328" s="2851"/>
      <c r="N328" s="2851"/>
      <c r="O328" s="2851"/>
      <c r="P328" s="2851"/>
    </row>
    <row customHeight="true" ht="18.452380952380953" r="329">
      <c r="A329" s="2875" t="s">
        <v>2810</v>
      </c>
      <c r="B329" s="2844">
        <v>46267</v>
      </c>
      <c r="C329" s="2875" t="str">
        <v>Wednesday</v>
      </c>
      <c r="D329" s="2845" t="s">
        <v>2828</v>
      </c>
      <c r="E329" s="2854">
        <f t="shared" si="88"/>
      </c>
      <c r="F329" s="2882" t="s">
        <v>2721</v>
      </c>
      <c r="G329" s="2883"/>
      <c r="H329" s="2849" t="s">
        <v>2527</v>
      </c>
      <c r="I329" s="2854" t="s">
        <v>2528</v>
      </c>
      <c r="J329" s="2846" t="s">
        <v>2829</v>
      </c>
      <c r="K329" s="2851"/>
      <c r="L329" s="2851"/>
      <c r="M329" s="2851"/>
      <c r="N329" s="2851"/>
      <c r="O329" s="2851"/>
      <c r="P329" s="2851"/>
    </row>
    <row customHeight="true" ht="18.452380952380953" r="330">
      <c r="A330" s="2875" t="s">
        <v>2810</v>
      </c>
      <c r="B330" s="2844">
        <v>46267</v>
      </c>
      <c r="C330" s="2875" t="str">
        <v>Wednesday</v>
      </c>
      <c r="D330" s="2845" t="s">
        <v>2830</v>
      </c>
      <c r="E330" s="2854">
        <f t="shared" si="88"/>
      </c>
      <c r="F330" s="2882" t="s">
        <v>2721</v>
      </c>
      <c r="G330" s="2893"/>
      <c r="H330" s="2849" t="s">
        <v>2527</v>
      </c>
      <c r="I330" s="2854" t="s">
        <v>2528</v>
      </c>
      <c r="J330" s="2846" t="s">
        <v>2831</v>
      </c>
      <c r="K330" s="2851"/>
      <c r="L330" s="2851"/>
      <c r="M330" s="2851"/>
      <c r="N330" s="2851"/>
      <c r="O330" s="2851"/>
      <c r="P330" s="2851"/>
    </row>
    <row customHeight="true" ht="18.452380952380953" r="331">
      <c r="A331" s="2875" t="s">
        <v>2810</v>
      </c>
      <c r="B331" s="2844">
        <v>46269</v>
      </c>
      <c r="C331" s="2875" t="str">
        <v>Friday</v>
      </c>
      <c r="D331" s="2845" t="s">
        <v>2832</v>
      </c>
      <c r="E331" s="2854">
        <f t="shared" si="88"/>
      </c>
      <c r="F331" s="2882" t="s">
        <v>2721</v>
      </c>
      <c r="G331" s="2893"/>
      <c r="H331" s="2849" t="s">
        <v>2527</v>
      </c>
      <c r="I331" s="2854" t="s">
        <v>2528</v>
      </c>
      <c r="J331" s="2846" t="s">
        <v>2833</v>
      </c>
      <c r="K331" s="2851"/>
      <c r="L331" s="2851"/>
      <c r="M331" s="2851"/>
      <c r="N331" s="2851"/>
      <c r="O331" s="2851"/>
      <c r="P331" s="2851"/>
    </row>
    <row customHeight="true" ht="18.452380952380953" r="332">
      <c r="A332" s="2875"/>
      <c r="B332" s="2844">
        <v>46270</v>
      </c>
      <c r="C332" s="2875" t="str">
        <v>Saturday</v>
      </c>
      <c r="D332" s="2845" t="s">
        <v>2605</v>
      </c>
      <c r="E332" s="2854">
        <f t="shared" si="88"/>
      </c>
      <c r="F332" s="2882" t="s">
        <v>2721</v>
      </c>
      <c r="G332" s="2893"/>
      <c r="H332" s="2849" t="s">
        <v>2527</v>
      </c>
      <c r="I332" s="2854"/>
      <c r="J332" s="2846" t="s">
        <v>2834</v>
      </c>
      <c r="K332" s="2851"/>
      <c r="L332" s="2851"/>
      <c r="M332" s="2851"/>
      <c r="N332" s="2851"/>
      <c r="O332" s="2851"/>
      <c r="P332" s="2851"/>
    </row>
    <row r="333">
      <c r="A333" s="3134" t="s">
        <v>2835</v>
      </c>
      <c r="B333" s="3135"/>
      <c r="C333" s="3135"/>
      <c r="D333" s="3134"/>
      <c r="E333" s="3135"/>
      <c r="F333" s="3135"/>
      <c r="G333" s="3135"/>
      <c r="H333" s="3135"/>
      <c r="I333" s="3135"/>
      <c r="J333" s="3136"/>
      <c r="K333" s="2887"/>
      <c r="L333" s="2887"/>
      <c r="M333" s="2887"/>
      <c r="N333" s="2887"/>
      <c r="O333" s="2887"/>
      <c r="P333" s="2887"/>
    </row>
    <row r="334">
      <c r="A334" s="3137" t="s">
        <v>2554</v>
      </c>
      <c r="B334" s="3044" t="s">
        <v>2555</v>
      </c>
      <c r="C334" s="3044"/>
      <c r="D334" s="3138" t="s">
        <v>2556</v>
      </c>
      <c r="E334" s="3138" t="s">
        <v>2557</v>
      </c>
      <c r="F334" s="3138" t="s">
        <v>2558</v>
      </c>
      <c r="G334" s="3139" t="s">
        <v>2577</v>
      </c>
      <c r="H334" s="3138" t="s">
        <v>2560</v>
      </c>
      <c r="I334" s="3138" t="s">
        <v>2561</v>
      </c>
      <c r="J334" s="3049" t="s">
        <v>2562</v>
      </c>
      <c r="K334" s="2874"/>
      <c r="L334" s="2874"/>
      <c r="M334" s="2874"/>
      <c r="N334" s="2874"/>
      <c r="O334" s="2874"/>
      <c r="P334" s="2874"/>
    </row>
    <row customHeight="true" ht="18.452380952380953" r="335">
      <c r="A335" s="2875" t="s">
        <v>2835</v>
      </c>
      <c r="B335" s="2844">
        <v>46265</v>
      </c>
      <c r="C335" s="2875" t="str">
        <v>Monday</v>
      </c>
      <c r="D335" s="2845" t="s">
        <v>2575</v>
      </c>
      <c r="E335" s="2854">
        <f>24*MOD(TIMEVALUE(TRIM(MID(D335,FIND("-",D335)+1,LEN(D335)))) - TIMEVALUE(TRIM(LEFT(D335,FIND("-",D335)-1))),1)</f>
      </c>
      <c r="F335" s="2882" t="s">
        <v>2684</v>
      </c>
      <c r="G335" s="2883"/>
      <c r="H335" s="2854" t="s">
        <v>2572</v>
      </c>
      <c r="I335" s="2854"/>
      <c r="J335" s="2850"/>
      <c r="K335" s="3005"/>
      <c r="L335" s="3005"/>
      <c r="M335" s="3005"/>
      <c r="N335" s="3005"/>
      <c r="O335" s="3005"/>
      <c r="P335" s="3005"/>
      <c r="Q335" s="2884"/>
      <c r="R335" s="2884"/>
    </row>
    <row customHeight="true" ht="18.452380952380953" r="336">
      <c r="A336" s="2875" t="s">
        <v>2836</v>
      </c>
      <c r="B336" s="2844">
        <v>46265</v>
      </c>
      <c r="C336" s="2875" t="str">
        <v>Monday</v>
      </c>
      <c r="D336" s="2845" t="s">
        <v>2837</v>
      </c>
      <c r="E336" s="2845">
        <v>1.5</v>
      </c>
      <c r="F336" s="2882" t="s">
        <v>2525</v>
      </c>
      <c r="G336" s="2883"/>
      <c r="H336" s="2854" t="s">
        <v>2572</v>
      </c>
      <c r="I336" s="2854"/>
      <c r="J336" s="2850"/>
      <c r="K336" s="3005"/>
      <c r="L336" s="3005"/>
      <c r="M336" s="3005"/>
      <c r="N336" s="3005"/>
      <c r="O336" s="3005"/>
      <c r="P336" s="3005"/>
      <c r="Q336" s="2884"/>
      <c r="R336" s="2884"/>
    </row>
    <row customHeight="true" ht="18.452380952380953" r="337">
      <c r="A337" s="2875" t="s">
        <v>2835</v>
      </c>
      <c r="B337" s="2844">
        <v>46267</v>
      </c>
      <c r="C337" s="2875" t="str">
        <v>Wednesday</v>
      </c>
      <c r="D337" s="2845" t="s">
        <v>2710</v>
      </c>
      <c r="E337" s="2854">
        <f t="shared" ref="E337:E347" si="89">24*MOD(TIMEVALUE(TRIM(MID(D337,FIND("-",D337)+1,LEN(D337)))) - TIMEVALUE(TRIM(LEFT(D337,FIND("-",D337)-1))),1)</f>
      </c>
      <c r="F337" s="2882" t="s">
        <v>2585</v>
      </c>
      <c r="G337" s="2883"/>
      <c r="H337" s="2854" t="s">
        <v>2572</v>
      </c>
      <c r="I337" s="2854"/>
      <c r="J337" s="2850"/>
      <c r="K337" s="3005"/>
      <c r="L337" s="3005"/>
      <c r="M337" s="3005"/>
      <c r="N337" s="3005"/>
      <c r="O337" s="3005"/>
      <c r="P337" s="3005"/>
      <c r="Q337" s="2884"/>
      <c r="R337" s="2884"/>
    </row>
    <row customHeight="true" ht="18.452380952380953" r="338">
      <c r="A338" s="2875" t="s">
        <v>2835</v>
      </c>
      <c r="B338" s="2844">
        <v>46268</v>
      </c>
      <c r="C338" s="2875" t="str">
        <v>Thursday</v>
      </c>
      <c r="D338" s="2845" t="s">
        <v>2838</v>
      </c>
      <c r="E338" s="2854">
        <f t="shared" si="89"/>
      </c>
      <c r="F338" s="2882" t="s">
        <v>2585</v>
      </c>
      <c r="G338" s="2883"/>
      <c r="H338" s="2854" t="s">
        <v>2572</v>
      </c>
      <c r="I338" s="2854"/>
      <c r="J338" s="2850"/>
      <c r="K338" s="3005"/>
      <c r="L338" s="3005"/>
      <c r="M338" s="3005"/>
      <c r="N338" s="3005"/>
      <c r="O338" s="3005"/>
      <c r="P338" s="3005"/>
      <c r="Q338" s="2884"/>
      <c r="R338" s="2884"/>
    </row>
    <row customHeight="true" ht="18.452380952380953" r="339">
      <c r="A339" s="2875" t="s">
        <v>2835</v>
      </c>
      <c r="B339" s="2844">
        <v>46269</v>
      </c>
      <c r="C339" s="2875" t="str">
        <v>Friday</v>
      </c>
      <c r="D339" s="2845" t="s">
        <v>2575</v>
      </c>
      <c r="E339" s="2854">
        <f t="shared" si="89"/>
      </c>
      <c r="F339" s="2882" t="s">
        <v>2684</v>
      </c>
      <c r="G339" s="2883"/>
      <c r="H339" s="2854" t="s">
        <v>2572</v>
      </c>
      <c r="I339" s="2854"/>
      <c r="J339" s="2850"/>
      <c r="K339" s="3005"/>
      <c r="L339" s="3005"/>
      <c r="M339" s="3005"/>
      <c r="N339" s="3005"/>
      <c r="O339" s="3005"/>
      <c r="P339" s="3005"/>
      <c r="Q339" s="2884"/>
      <c r="R339" s="2884"/>
    </row>
    <row customHeight="true" ht="18.452380952380953" r="340">
      <c r="A340" s="2875" t="s">
        <v>2835</v>
      </c>
      <c r="B340" s="2844">
        <v>46270</v>
      </c>
      <c r="C340" s="2875" t="str">
        <v>Saturday</v>
      </c>
      <c r="D340" s="2845" t="s">
        <v>2839</v>
      </c>
      <c r="E340" s="2854">
        <f t="shared" si="89"/>
      </c>
      <c r="F340" s="2882" t="s">
        <v>2525</v>
      </c>
      <c r="G340" s="2883"/>
      <c r="H340" s="2854" t="s">
        <v>2572</v>
      </c>
      <c r="I340" s="2854"/>
      <c r="J340" s="2850"/>
      <c r="K340" s="3005"/>
      <c r="L340" s="3005"/>
      <c r="M340" s="3005"/>
      <c r="N340" s="3005"/>
      <c r="O340" s="3005"/>
      <c r="P340" s="3005"/>
      <c r="Q340" s="2884"/>
      <c r="R340" s="2884"/>
    </row>
    <row r="341">
      <c r="A341" s="2875" t="s">
        <v>2840</v>
      </c>
      <c r="B341" s="2844">
        <v>46265</v>
      </c>
      <c r="C341" s="2875" t="str">
        <v>Monday</v>
      </c>
      <c r="D341" s="2845" t="s">
        <v>2575</v>
      </c>
      <c r="E341" s="2854">
        <f t="shared" si="89"/>
      </c>
      <c r="F341" s="2882" t="s">
        <v>2791</v>
      </c>
      <c r="G341" s="2883"/>
      <c r="H341" s="2854" t="s">
        <v>2572</v>
      </c>
      <c r="I341" s="2854"/>
      <c r="J341" s="2850"/>
      <c r="K341" s="3005"/>
      <c r="L341" s="3005"/>
      <c r="M341" s="3005"/>
      <c r="N341" s="3005"/>
      <c r="O341" s="3005"/>
      <c r="P341" s="3005"/>
      <c r="Q341" s="2884"/>
      <c r="R341" s="2884"/>
    </row>
    <row customHeight="true" ht="18.452380952380953" r="342">
      <c r="A342" s="2875" t="s">
        <v>2840</v>
      </c>
      <c r="B342" s="2844">
        <v>46267</v>
      </c>
      <c r="C342" s="2875" t="str">
        <v>Wednesday</v>
      </c>
      <c r="D342" s="2845" t="s">
        <v>2710</v>
      </c>
      <c r="E342" s="2854">
        <f t="shared" si="89"/>
      </c>
      <c r="F342" s="2882" t="s">
        <v>2791</v>
      </c>
      <c r="G342" s="2883"/>
      <c r="H342" s="2854" t="s">
        <v>2572</v>
      </c>
      <c r="I342" s="2854"/>
      <c r="J342" s="2850"/>
      <c r="K342" s="3005"/>
      <c r="L342" s="3005"/>
      <c r="M342" s="3005"/>
      <c r="N342" s="3005"/>
      <c r="O342" s="3005"/>
      <c r="P342" s="3005"/>
      <c r="Q342" s="2884"/>
      <c r="R342" s="2884"/>
    </row>
    <row customHeight="true" ht="18.452380952380953" r="343">
      <c r="A343" s="2875" t="s">
        <v>2840</v>
      </c>
      <c r="B343" s="2844">
        <v>46268</v>
      </c>
      <c r="C343" s="2875" t="str">
        <v>Thursday</v>
      </c>
      <c r="D343" s="2845" t="s">
        <v>2838</v>
      </c>
      <c r="E343" s="2854">
        <f t="shared" si="89"/>
      </c>
      <c r="F343" s="2882" t="s">
        <v>2798</v>
      </c>
      <c r="G343" s="2883"/>
      <c r="H343" s="2854" t="s">
        <v>2572</v>
      </c>
      <c r="I343" s="2854"/>
      <c r="J343" s="2850"/>
      <c r="K343" s="3005"/>
      <c r="L343" s="3005"/>
      <c r="M343" s="3005"/>
      <c r="N343" s="3005"/>
      <c r="O343" s="3005"/>
      <c r="P343" s="3005"/>
      <c r="Q343" s="2884"/>
      <c r="R343" s="2884"/>
    </row>
    <row customHeight="true" ht="18.452380952380953" r="344">
      <c r="A344" s="2875" t="s">
        <v>2840</v>
      </c>
      <c r="B344" s="2844">
        <v>46269</v>
      </c>
      <c r="C344" s="2875" t="str">
        <v>Friday</v>
      </c>
      <c r="D344" s="2845" t="s">
        <v>2575</v>
      </c>
      <c r="E344" s="2854">
        <f t="shared" si="89"/>
      </c>
      <c r="F344" s="2882" t="s">
        <v>2791</v>
      </c>
      <c r="G344" s="2883"/>
      <c r="H344" s="2854" t="s">
        <v>2572</v>
      </c>
      <c r="I344" s="2854"/>
      <c r="J344" s="2850"/>
      <c r="K344" s="3005"/>
      <c r="L344" s="3005"/>
      <c r="M344" s="3005"/>
      <c r="N344" s="3005"/>
      <c r="O344" s="3005"/>
      <c r="P344" s="3005"/>
      <c r="Q344" s="2884"/>
      <c r="R344" s="2884"/>
    </row>
    <row customHeight="true" ht="18.452380952380953" r="345">
      <c r="A345" s="2875" t="s">
        <v>2840</v>
      </c>
      <c r="B345" s="2844">
        <v>46270</v>
      </c>
      <c r="C345" s="2875" t="str">
        <v>Saturday</v>
      </c>
      <c r="D345" s="2845" t="s">
        <v>2839</v>
      </c>
      <c r="E345" s="2854">
        <f t="shared" si="89"/>
      </c>
      <c r="F345" s="2882" t="s">
        <v>2791</v>
      </c>
      <c r="G345" s="2883"/>
      <c r="H345" s="2854" t="s">
        <v>2572</v>
      </c>
      <c r="I345" s="2854"/>
      <c r="J345" s="2850"/>
      <c r="K345" s="3005"/>
      <c r="L345" s="3005"/>
      <c r="M345" s="3005"/>
      <c r="N345" s="3005"/>
      <c r="O345" s="3005"/>
      <c r="P345" s="3005"/>
      <c r="Q345" s="2884"/>
      <c r="R345" s="2884"/>
    </row>
    <row customHeight="true" ht="18.452380952380953" r="346">
      <c r="A346" s="2875" t="s">
        <v>2836</v>
      </c>
      <c r="B346" s="2844">
        <v>46265</v>
      </c>
      <c r="C346" s="2875" t="str">
        <v>Monday</v>
      </c>
      <c r="D346" s="2845" t="s">
        <v>2600</v>
      </c>
      <c r="E346" s="2854">
        <f t="shared" si="89"/>
      </c>
      <c r="F346" s="2879" t="s">
        <v>2692</v>
      </c>
      <c r="G346" s="2883"/>
      <c r="H346" s="2854" t="s">
        <v>2572</v>
      </c>
      <c r="I346" s="2854"/>
      <c r="J346" s="2850"/>
      <c r="K346" s="3005"/>
      <c r="L346" s="3005"/>
      <c r="M346" s="3005"/>
      <c r="N346" s="3005"/>
      <c r="O346" s="3005"/>
      <c r="P346" s="3005"/>
      <c r="Q346" s="2884"/>
      <c r="R346" s="2884"/>
    </row>
    <row customHeight="true" ht="18.452380952380953" r="347">
      <c r="A347" s="2875" t="s">
        <v>2836</v>
      </c>
      <c r="B347" s="2844">
        <v>46265</v>
      </c>
      <c r="C347" s="2875" t="str">
        <v>Monday</v>
      </c>
      <c r="D347" s="2845" t="s">
        <v>2841</v>
      </c>
      <c r="E347" s="2854">
        <f t="shared" si="89"/>
      </c>
      <c r="F347" s="2882" t="s">
        <v>2585</v>
      </c>
      <c r="G347" s="2883"/>
      <c r="H347" s="2854" t="s">
        <v>2572</v>
      </c>
      <c r="I347" s="2854"/>
      <c r="J347" s="2850"/>
      <c r="K347" s="3005"/>
      <c r="L347" s="3005"/>
      <c r="M347" s="3005"/>
      <c r="N347" s="3005"/>
      <c r="O347" s="3005"/>
      <c r="P347" s="3005"/>
      <c r="Q347" s="2884"/>
      <c r="R347" s="2884"/>
    </row>
    <row r="348">
      <c r="A348" s="2884"/>
      <c r="B348" s="2884"/>
      <c r="C348" s="2884"/>
      <c r="D348" s="2884"/>
      <c r="E348" s="2884"/>
      <c r="F348" s="2884"/>
      <c r="G348" s="2884"/>
      <c r="H348" s="2884"/>
      <c r="I348" s="2884"/>
      <c r="J348" s="2884"/>
      <c r="K348" s="2989"/>
      <c r="L348" s="2989"/>
      <c r="M348" s="2989"/>
      <c r="N348" s="2989"/>
      <c r="O348" s="2989"/>
      <c r="P348" s="2989"/>
    </row>
    <row r="349">
      <c r="A349" s="3140" t="s">
        <v>2842</v>
      </c>
      <c r="B349" s="3140"/>
      <c r="C349" s="3140"/>
      <c r="D349" s="3140"/>
      <c r="E349" s="3140"/>
      <c r="F349" s="3140"/>
      <c r="G349" s="3140"/>
      <c r="H349" s="3140"/>
      <c r="I349" s="3140"/>
      <c r="J349" s="3141"/>
      <c r="K349" s="2887"/>
      <c r="L349" s="2887"/>
      <c r="M349" s="2887"/>
      <c r="N349" s="2887"/>
      <c r="O349" s="2887"/>
      <c r="P349" s="2887"/>
    </row>
    <row r="350">
      <c r="A350" s="3142" t="s">
        <v>2554</v>
      </c>
      <c r="B350" s="3143" t="s">
        <v>2555</v>
      </c>
      <c r="C350" s="3143"/>
      <c r="D350" s="3144" t="s">
        <v>2556</v>
      </c>
      <c r="E350" s="3144" t="s">
        <v>2557</v>
      </c>
      <c r="F350" s="3144" t="s">
        <v>2558</v>
      </c>
      <c r="G350" s="3145" t="s">
        <v>2577</v>
      </c>
      <c r="H350" s="3144" t="s">
        <v>2560</v>
      </c>
      <c r="I350" s="3144" t="s">
        <v>2561</v>
      </c>
      <c r="J350" s="3146" t="s">
        <v>2562</v>
      </c>
      <c r="K350" s="2874"/>
      <c r="L350" s="2874"/>
      <c r="M350" s="2874"/>
      <c r="N350" s="2874"/>
      <c r="O350" s="2874"/>
      <c r="P350" s="2874"/>
    </row>
    <row r="351">
      <c r="A351" s="2875" t="s">
        <v>2842</v>
      </c>
      <c r="B351" s="2844">
        <v>46265</v>
      </c>
      <c r="C351" s="2875" t="str">
        <v>Monday</v>
      </c>
      <c r="D351" s="2845" t="s">
        <v>2605</v>
      </c>
      <c r="E351" s="2845">
        <f t="shared" ref="E351:E374" si="90">24*MOD(TIMEVALUE(TRIM(MID(D351,FIND("-",D351)+1,LEN(D351)))) - TIMEVALUE(TRIM(LEFT(D351,FIND("-",D351)-1))),1)</f>
      </c>
      <c r="F351" s="3122" t="s">
        <v>2789</v>
      </c>
      <c r="G351" s="2893"/>
      <c r="H351" s="2854"/>
      <c r="I351" s="2854" t="s">
        <v>2528</v>
      </c>
      <c r="J351" s="2850"/>
      <c r="K351" s="2851"/>
      <c r="L351" s="2851"/>
      <c r="M351" s="2851"/>
      <c r="N351" s="2851"/>
      <c r="O351" s="2851"/>
      <c r="P351" s="2851"/>
    </row>
    <row r="352">
      <c r="A352" s="2875" t="s">
        <v>2842</v>
      </c>
      <c r="B352" s="2844">
        <v>46266</v>
      </c>
      <c r="C352" s="2875" t="str">
        <v>Tuesday</v>
      </c>
      <c r="D352" s="2896" t="s">
        <v>2600</v>
      </c>
      <c r="E352" s="2845">
        <f t="shared" si="90"/>
      </c>
      <c r="F352" s="3122" t="s">
        <v>2789</v>
      </c>
      <c r="G352" s="2893"/>
      <c r="H352" s="2854"/>
      <c r="I352" s="2854" t="s">
        <v>2528</v>
      </c>
      <c r="J352" s="2850"/>
      <c r="K352" s="2851"/>
      <c r="L352" s="2851"/>
      <c r="M352" s="2851"/>
      <c r="N352" s="2851"/>
      <c r="O352" s="2851"/>
      <c r="P352" s="2851"/>
    </row>
    <row r="353">
      <c r="A353" s="2875" t="s">
        <v>2842</v>
      </c>
      <c r="B353" s="2844">
        <v>46267</v>
      </c>
      <c r="C353" s="2875" t="str">
        <v>Wednesday</v>
      </c>
      <c r="D353" s="2896" t="s">
        <v>2605</v>
      </c>
      <c r="E353" s="2845">
        <f t="shared" si="90"/>
      </c>
      <c r="F353" s="3122" t="s">
        <v>2585</v>
      </c>
      <c r="G353" s="2893"/>
      <c r="H353" s="2854"/>
      <c r="I353" s="2854" t="s">
        <v>2528</v>
      </c>
      <c r="J353" s="2850"/>
      <c r="K353" s="2851"/>
      <c r="L353" s="2851"/>
      <c r="M353" s="2851"/>
      <c r="N353" s="2851"/>
      <c r="O353" s="2851"/>
      <c r="P353" s="2851"/>
    </row>
    <row customHeight="true" ht="22.61904761904762" r="354">
      <c r="A354" s="2875" t="s">
        <v>2842</v>
      </c>
      <c r="B354" s="2844">
        <v>46269</v>
      </c>
      <c r="C354" s="2875" t="str">
        <v>Friday</v>
      </c>
      <c r="D354" s="2845" t="s">
        <v>2605</v>
      </c>
      <c r="E354" s="2854">
        <f t="shared" si="90"/>
      </c>
      <c r="F354" s="3122" t="s">
        <v>2585</v>
      </c>
      <c r="G354" s="2883"/>
      <c r="H354" s="2854"/>
      <c r="I354" s="2854" t="s">
        <v>2528</v>
      </c>
      <c r="J354" s="2850"/>
      <c r="K354" s="3005"/>
      <c r="L354" s="3005"/>
      <c r="M354" s="3005"/>
      <c r="N354" s="3005"/>
      <c r="O354" s="3005"/>
      <c r="P354" s="3005"/>
      <c r="Q354" s="2884"/>
      <c r="R354" s="2884"/>
    </row>
    <row customHeight="true" ht="22.61904761904762" r="355">
      <c r="A355" s="2875" t="s">
        <v>2842</v>
      </c>
      <c r="B355" s="2844">
        <v>46270</v>
      </c>
      <c r="C355" s="2875" t="str">
        <v>Saturday</v>
      </c>
      <c r="D355" s="2896" t="s">
        <v>2584</v>
      </c>
      <c r="E355" s="2845">
        <f t="shared" si="90"/>
      </c>
      <c r="F355" s="3122" t="s">
        <v>2843</v>
      </c>
      <c r="G355" s="2893"/>
      <c r="H355" s="2854"/>
      <c r="I355" s="2854" t="s">
        <v>2528</v>
      </c>
      <c r="J355" s="2850"/>
      <c r="K355" s="2851"/>
      <c r="L355" s="2851"/>
      <c r="M355" s="2851"/>
      <c r="N355" s="2851"/>
      <c r="O355" s="2851"/>
      <c r="P355" s="2851"/>
    </row>
    <row customHeight="true" ht="18.452380952380953" r="356">
      <c r="A356" s="2898" t="s">
        <v>2842</v>
      </c>
      <c r="B356" s="2899">
        <v>46271</v>
      </c>
      <c r="C356" s="2898" t="str">
        <v>Sunday</v>
      </c>
      <c r="D356" s="2900" t="s">
        <v>2605</v>
      </c>
      <c r="E356" s="2900">
        <f t="shared" si="90"/>
      </c>
      <c r="F356" s="3147" t="s">
        <v>2843</v>
      </c>
      <c r="G356" s="2902"/>
      <c r="H356" s="2901"/>
      <c r="I356" s="2901" t="s">
        <v>2528</v>
      </c>
      <c r="J356" s="2904" t="s">
        <v>2844</v>
      </c>
      <c r="K356" s="3036"/>
      <c r="L356" s="3036"/>
      <c r="M356" s="3036"/>
      <c r="N356" s="3036"/>
      <c r="O356" s="3036"/>
      <c r="P356" s="3036"/>
      <c r="Q356" s="3037"/>
      <c r="R356" s="3037"/>
    </row>
    <row customHeight="true" ht="18.452380952380953" r="357">
      <c r="A357" s="2875" t="s">
        <v>2842</v>
      </c>
      <c r="B357" s="2844">
        <v>46271</v>
      </c>
      <c r="C357" s="2875" t="str">
        <v>Sunday</v>
      </c>
      <c r="D357" s="2896" t="s">
        <v>2605</v>
      </c>
      <c r="E357" s="2845">
        <f t="shared" si="90"/>
      </c>
      <c r="F357" s="3122" t="s">
        <v>2789</v>
      </c>
      <c r="G357" s="2893"/>
      <c r="H357" s="2854"/>
      <c r="I357" s="2854" t="s">
        <v>2528</v>
      </c>
      <c r="J357" s="2850"/>
      <c r="K357" s="2851"/>
      <c r="L357" s="2851"/>
      <c r="M357" s="2851"/>
      <c r="N357" s="2851"/>
      <c r="O357" s="2851"/>
      <c r="P357" s="2851"/>
    </row>
    <row customHeight="true" ht="18.452380952380953" r="358">
      <c r="A358" s="2875" t="s">
        <v>2845</v>
      </c>
      <c r="B358" s="2844">
        <v>46265</v>
      </c>
      <c r="C358" s="2875" t="str">
        <v>Monday</v>
      </c>
      <c r="D358" s="2896" t="s">
        <v>2600</v>
      </c>
      <c r="E358" s="2845">
        <f t="shared" si="90"/>
      </c>
      <c r="F358" s="3122" t="s">
        <v>2843</v>
      </c>
      <c r="G358" s="2893"/>
      <c r="H358" s="2854"/>
      <c r="I358" s="2854" t="s">
        <v>2528</v>
      </c>
      <c r="J358" s="2850"/>
      <c r="K358" s="2851"/>
      <c r="L358" s="2851"/>
      <c r="M358" s="2851"/>
      <c r="N358" s="2851"/>
      <c r="O358" s="2851"/>
      <c r="P358" s="2851"/>
    </row>
    <row customHeight="true" ht="18.452380952380953" r="359">
      <c r="A359" s="2875" t="s">
        <v>2845</v>
      </c>
      <c r="B359" s="2844">
        <v>46265</v>
      </c>
      <c r="C359" s="2875" t="str">
        <v>Monday</v>
      </c>
      <c r="D359" s="2896" t="s">
        <v>2600</v>
      </c>
      <c r="E359" s="2845">
        <f t="shared" si="90"/>
      </c>
      <c r="F359" s="3122" t="s">
        <v>2585</v>
      </c>
      <c r="G359" s="2893"/>
      <c r="H359" s="2854"/>
      <c r="I359" s="2854" t="s">
        <v>2528</v>
      </c>
      <c r="J359" s="2850"/>
      <c r="K359" s="2851"/>
      <c r="L359" s="2851"/>
      <c r="M359" s="2851"/>
      <c r="N359" s="2851"/>
      <c r="O359" s="2851"/>
      <c r="P359" s="2851"/>
    </row>
    <row customHeight="true" ht="18.452380952380953" r="360">
      <c r="A360" s="2875" t="s">
        <v>2845</v>
      </c>
      <c r="B360" s="2844">
        <v>46265</v>
      </c>
      <c r="C360" s="2875" t="str">
        <v>Monday</v>
      </c>
      <c r="D360" s="2896" t="s">
        <v>2600</v>
      </c>
      <c r="E360" s="2845">
        <f t="shared" si="90"/>
      </c>
      <c r="F360" s="3122" t="s">
        <v>2789</v>
      </c>
      <c r="G360" s="2893"/>
      <c r="H360" s="2854"/>
      <c r="I360" s="2854" t="s">
        <v>2528</v>
      </c>
      <c r="J360" s="2850"/>
      <c r="K360" s="2851"/>
      <c r="L360" s="2851"/>
      <c r="M360" s="2851"/>
      <c r="N360" s="2851"/>
      <c r="O360" s="2851"/>
      <c r="P360" s="2851"/>
    </row>
    <row customHeight="true" ht="18.452380952380953" r="361">
      <c r="A361" s="2875" t="s">
        <v>2845</v>
      </c>
      <c r="B361" s="2844">
        <v>46267</v>
      </c>
      <c r="C361" s="2875" t="str">
        <v>Wednesday</v>
      </c>
      <c r="D361" s="2896" t="s">
        <v>2605</v>
      </c>
      <c r="E361" s="2845">
        <f t="shared" si="90"/>
      </c>
      <c r="F361" s="3122" t="s">
        <v>2843</v>
      </c>
      <c r="G361" s="2893"/>
      <c r="H361" s="2854"/>
      <c r="I361" s="2854" t="s">
        <v>2528</v>
      </c>
      <c r="J361" s="2850"/>
      <c r="K361" s="2851"/>
      <c r="L361" s="2851"/>
      <c r="M361" s="2851"/>
      <c r="N361" s="2851"/>
      <c r="O361" s="2851"/>
      <c r="P361" s="2851"/>
    </row>
    <row customHeight="true" ht="18.452380952380953" r="362">
      <c r="A362" s="2875" t="s">
        <v>2845</v>
      </c>
      <c r="B362" s="2844">
        <v>46265</v>
      </c>
      <c r="C362" s="2875" t="str">
        <v>Monday</v>
      </c>
      <c r="D362" s="2896" t="s">
        <v>2605</v>
      </c>
      <c r="E362" s="2845">
        <f t="shared" si="90"/>
      </c>
      <c r="F362" s="3122" t="s">
        <v>2697</v>
      </c>
      <c r="G362" s="2893"/>
      <c r="H362" s="2854"/>
      <c r="I362" s="2854" t="s">
        <v>2528</v>
      </c>
      <c r="J362" s="2850"/>
      <c r="K362" s="2851"/>
      <c r="L362" s="2851"/>
      <c r="M362" s="2851"/>
      <c r="N362" s="2851"/>
      <c r="O362" s="2851"/>
      <c r="P362" s="2851"/>
    </row>
    <row customHeight="true" ht="18.452380952380953" r="363">
      <c r="A363" s="2875" t="s">
        <v>2845</v>
      </c>
      <c r="B363" s="2844">
        <v>46271</v>
      </c>
      <c r="C363" s="2875" t="str">
        <v>Sunday</v>
      </c>
      <c r="D363" s="2896" t="s">
        <v>2605</v>
      </c>
      <c r="E363" s="2845">
        <f t="shared" si="90"/>
      </c>
      <c r="F363" s="3122" t="s">
        <v>2843</v>
      </c>
      <c r="G363" s="2893"/>
      <c r="H363" s="2854"/>
      <c r="I363" s="2854" t="s">
        <v>2528</v>
      </c>
      <c r="J363" s="2850"/>
      <c r="K363" s="2851"/>
      <c r="L363" s="2851"/>
      <c r="M363" s="2851"/>
      <c r="N363" s="2851"/>
      <c r="O363" s="2851"/>
      <c r="P363" s="2851"/>
    </row>
    <row customHeight="true" ht="18.452380952380953" r="364">
      <c r="A364" s="2875" t="s">
        <v>2846</v>
      </c>
      <c r="B364" s="2844">
        <v>46268</v>
      </c>
      <c r="C364" s="2875" t="str">
        <v>Thursday</v>
      </c>
      <c r="D364" s="2896" t="s">
        <v>2847</v>
      </c>
      <c r="E364" s="2845">
        <f t="shared" si="90"/>
      </c>
      <c r="F364" s="3122" t="s">
        <v>2789</v>
      </c>
      <c r="G364" s="2893"/>
      <c r="H364" s="2854"/>
      <c r="I364" s="2854" t="s">
        <v>2528</v>
      </c>
      <c r="J364" s="2850"/>
      <c r="K364" s="2851"/>
      <c r="L364" s="2851"/>
      <c r="M364" s="2851"/>
      <c r="N364" s="2851"/>
      <c r="O364" s="2851"/>
      <c r="P364" s="2851"/>
    </row>
    <row customHeight="true" ht="20.238095238095237" r="365">
      <c r="A365" s="2875" t="s">
        <v>2848</v>
      </c>
      <c r="B365" s="2844">
        <v>46265</v>
      </c>
      <c r="C365" s="2875" t="str">
        <v>Monday</v>
      </c>
      <c r="D365" s="2845" t="s">
        <v>2605</v>
      </c>
      <c r="E365" s="2845">
        <f t="shared" si="90"/>
      </c>
      <c r="F365" s="2849" t="s">
        <v>2694</v>
      </c>
      <c r="G365" s="2893"/>
      <c r="H365" s="2854"/>
      <c r="I365" s="2854" t="s">
        <v>2528</v>
      </c>
      <c r="J365" s="2850"/>
      <c r="K365" s="2851"/>
      <c r="L365" s="2851"/>
      <c r="M365" s="2851"/>
      <c r="N365" s="2851"/>
      <c r="O365" s="2851"/>
      <c r="P365" s="2851"/>
    </row>
    <row customHeight="true" ht="20.238095238095237" r="366">
      <c r="A366" s="2875" t="s">
        <v>2848</v>
      </c>
      <c r="B366" s="2844">
        <v>46265</v>
      </c>
      <c r="C366" s="2875" t="str">
        <v>Monday</v>
      </c>
      <c r="D366" s="2845" t="s">
        <v>2849</v>
      </c>
      <c r="E366" s="2845">
        <f t="shared" si="90"/>
      </c>
      <c r="F366" s="2849" t="s">
        <v>2850</v>
      </c>
      <c r="G366" s="2893"/>
      <c r="H366" s="2854"/>
      <c r="I366" s="2854" t="s">
        <v>2528</v>
      </c>
      <c r="J366" s="2850"/>
      <c r="K366" s="2851"/>
      <c r="L366" s="2851"/>
      <c r="M366" s="2851"/>
      <c r="N366" s="2851"/>
      <c r="O366" s="2851"/>
      <c r="P366" s="2851"/>
    </row>
    <row customHeight="true" ht="20.238095238095237" r="367">
      <c r="A367" s="2875" t="s">
        <v>2848</v>
      </c>
      <c r="B367" s="2844">
        <v>46266</v>
      </c>
      <c r="C367" s="2875" t="str">
        <v>Tuesday</v>
      </c>
      <c r="D367" s="2845" t="s">
        <v>2600</v>
      </c>
      <c r="E367" s="2845">
        <f t="shared" si="90"/>
      </c>
      <c r="F367" s="2849" t="s">
        <v>2694</v>
      </c>
      <c r="G367" s="2893"/>
      <c r="H367" s="2854"/>
      <c r="I367" s="2854" t="s">
        <v>2528</v>
      </c>
      <c r="J367" s="2850"/>
      <c r="K367" s="2851"/>
      <c r="L367" s="2851"/>
      <c r="M367" s="2851"/>
      <c r="N367" s="2851"/>
      <c r="O367" s="2851"/>
      <c r="P367" s="2851"/>
    </row>
    <row customHeight="true" ht="20.238095238095237" r="368">
      <c r="A368" s="2875" t="s">
        <v>2848</v>
      </c>
      <c r="B368" s="2844">
        <v>46267</v>
      </c>
      <c r="C368" s="2875" t="str">
        <v>Wednesday</v>
      </c>
      <c r="D368" s="2896" t="s">
        <v>2851</v>
      </c>
      <c r="E368" s="2845">
        <f t="shared" si="90"/>
      </c>
      <c r="F368" s="2849" t="s">
        <v>2850</v>
      </c>
      <c r="G368" s="2893"/>
      <c r="H368" s="2854"/>
      <c r="I368" s="2854" t="s">
        <v>2528</v>
      </c>
      <c r="J368" s="2846" t="s">
        <v>2852</v>
      </c>
      <c r="K368" s="2851"/>
      <c r="L368" s="2851"/>
      <c r="M368" s="2851"/>
      <c r="N368" s="2851"/>
      <c r="O368" s="2851"/>
      <c r="P368" s="2851"/>
    </row>
    <row customHeight="true" ht="20.238095238095237" r="369">
      <c r="A369" s="2875" t="s">
        <v>2848</v>
      </c>
      <c r="B369" s="2844">
        <v>46268</v>
      </c>
      <c r="C369" s="2875" t="str">
        <v>Thursday</v>
      </c>
      <c r="D369" s="2896" t="s">
        <v>2853</v>
      </c>
      <c r="E369" s="2845">
        <f t="shared" si="90"/>
      </c>
      <c r="F369" s="2849" t="s">
        <v>2850</v>
      </c>
      <c r="G369" s="2893"/>
      <c r="H369" s="2854"/>
      <c r="I369" s="2854" t="s">
        <v>2528</v>
      </c>
      <c r="J369" s="2846" t="s">
        <v>2854</v>
      </c>
      <c r="K369" s="2851"/>
      <c r="L369" s="2851"/>
      <c r="M369" s="2851"/>
      <c r="N369" s="2851"/>
      <c r="O369" s="2851"/>
      <c r="P369" s="2851"/>
    </row>
    <row customHeight="true" ht="20.238095238095237" r="370">
      <c r="A370" s="2875" t="s">
        <v>2848</v>
      </c>
      <c r="B370" s="2844">
        <v>46269</v>
      </c>
      <c r="C370" s="2875" t="str">
        <v>Friday</v>
      </c>
      <c r="D370" s="2845" t="s">
        <v>2855</v>
      </c>
      <c r="E370" s="2845">
        <f t="shared" si="90"/>
      </c>
      <c r="F370" s="2849" t="s">
        <v>2850</v>
      </c>
      <c r="G370" s="2893"/>
      <c r="H370" s="2854"/>
      <c r="I370" s="2854" t="s">
        <v>2528</v>
      </c>
      <c r="J370" s="2850"/>
      <c r="K370" s="2851"/>
      <c r="L370" s="2851"/>
      <c r="M370" s="2851"/>
      <c r="N370" s="2851"/>
      <c r="O370" s="2851"/>
      <c r="P370" s="2851"/>
    </row>
    <row customHeight="true" ht="20.238095238095237" r="371">
      <c r="A371" s="2875" t="s">
        <v>2848</v>
      </c>
      <c r="B371" s="2844">
        <v>46270</v>
      </c>
      <c r="C371" s="2875" t="str">
        <v>Saturday</v>
      </c>
      <c r="D371" s="2896" t="s">
        <v>2856</v>
      </c>
      <c r="E371" s="2845">
        <f t="shared" si="90"/>
      </c>
      <c r="F371" s="2882" t="s">
        <v>2850</v>
      </c>
      <c r="G371" s="2893"/>
      <c r="H371" s="2854"/>
      <c r="I371" s="2854" t="s">
        <v>2528</v>
      </c>
      <c r="J371" s="2850"/>
      <c r="K371" s="2851"/>
      <c r="L371" s="2851"/>
      <c r="M371" s="2851"/>
      <c r="N371" s="2851"/>
      <c r="O371" s="2851"/>
      <c r="P371" s="2851"/>
    </row>
    <row customHeight="true" ht="20.238095238095237" r="372">
      <c r="A372" s="2875" t="s">
        <v>2848</v>
      </c>
      <c r="B372" s="2844">
        <v>46271</v>
      </c>
      <c r="C372" s="2875" t="str">
        <v>Sunday</v>
      </c>
      <c r="D372" s="2896" t="s">
        <v>2857</v>
      </c>
      <c r="E372" s="2845">
        <f t="shared" si="90"/>
      </c>
      <c r="F372" s="2882" t="s">
        <v>2850</v>
      </c>
      <c r="G372" s="2893"/>
      <c r="H372" s="2854"/>
      <c r="I372" s="2854" t="s">
        <v>2528</v>
      </c>
      <c r="J372" s="2850"/>
      <c r="K372" s="2851"/>
      <c r="L372" s="2851"/>
      <c r="M372" s="2851"/>
      <c r="N372" s="2851"/>
      <c r="O372" s="2851"/>
      <c r="P372" s="2851"/>
    </row>
    <row customHeight="true" ht="20.238095238095237" r="373">
      <c r="A373" s="2875" t="s">
        <v>2848</v>
      </c>
      <c r="B373" s="2844">
        <v>46271</v>
      </c>
      <c r="C373" s="2875" t="str">
        <v>Sunday</v>
      </c>
      <c r="D373" s="2896" t="s">
        <v>2605</v>
      </c>
      <c r="E373" s="2845">
        <f t="shared" si="90"/>
      </c>
      <c r="F373" s="2849" t="s">
        <v>2697</v>
      </c>
      <c r="G373" s="2893"/>
      <c r="H373" s="2854"/>
      <c r="I373" s="2854" t="s">
        <v>2528</v>
      </c>
      <c r="J373" s="2850"/>
      <c r="K373" s="2851"/>
      <c r="L373" s="2851"/>
      <c r="M373" s="2851"/>
      <c r="N373" s="2851"/>
      <c r="O373" s="2851"/>
      <c r="P373" s="2851"/>
    </row>
    <row customHeight="true" ht="20.238095238095237" r="374">
      <c r="A374" s="2875" t="s">
        <v>2848</v>
      </c>
      <c r="B374" s="2844">
        <v>46268</v>
      </c>
      <c r="C374" s="2875" t="str">
        <v>Thursday</v>
      </c>
      <c r="D374" s="2845" t="s">
        <v>2847</v>
      </c>
      <c r="E374" s="2854">
        <f t="shared" si="90"/>
      </c>
      <c r="F374" s="2849" t="s">
        <v>2694</v>
      </c>
      <c r="G374" s="2883"/>
      <c r="H374" s="2854"/>
      <c r="I374" s="2854" t="s">
        <v>2528</v>
      </c>
      <c r="J374" s="2850"/>
      <c r="K374" s="3005"/>
      <c r="L374" s="3005"/>
      <c r="M374" s="3005"/>
      <c r="N374" s="3005"/>
      <c r="O374" s="3005"/>
      <c r="P374" s="3005"/>
      <c r="Q374" s="2884"/>
      <c r="R374" s="2884"/>
    </row>
    <row r="375">
      <c r="A375" s="2884"/>
      <c r="B375" s="2884"/>
      <c r="C375" s="2884"/>
      <c r="D375" s="2884"/>
      <c r="E375" s="2884"/>
      <c r="F375" s="2884"/>
      <c r="G375" s="2884"/>
      <c r="H375" s="3114"/>
      <c r="I375" s="2884"/>
      <c r="J375" s="2884"/>
      <c r="K375" s="2989"/>
      <c r="L375" s="2989"/>
      <c r="M375" s="2989"/>
      <c r="N375" s="2989"/>
      <c r="O375" s="2989"/>
      <c r="P375" s="2989"/>
    </row>
    <row customHeight="true" ht="16.071428571428573" r="376">
      <c r="A376" s="2884"/>
      <c r="B376" s="2884"/>
      <c r="C376" s="2884"/>
      <c r="D376" s="2884"/>
      <c r="E376" s="2884"/>
      <c r="F376" s="2884"/>
      <c r="G376" s="2884"/>
      <c r="H376" s="3114"/>
      <c r="I376" s="2884"/>
      <c r="J376" s="2884"/>
      <c r="K376" s="2989"/>
      <c r="L376" s="2989"/>
      <c r="M376" s="2989"/>
      <c r="N376" s="2989"/>
      <c r="O376" s="2989"/>
      <c r="P376" s="2989"/>
    </row>
    <row customHeight="true" ht="16.071428571428573" r="377">
      <c r="A377" s="3148" t="s">
        <v>2858</v>
      </c>
      <c r="B377" s="3149"/>
      <c r="C377" s="3149"/>
      <c r="D377" s="3149"/>
      <c r="E377" s="3149"/>
      <c r="F377" s="3149"/>
      <c r="G377" s="3149"/>
      <c r="H377" s="3150"/>
      <c r="I377" s="3149"/>
      <c r="J377" s="3149"/>
      <c r="K377" s="2989"/>
      <c r="L377" s="2989"/>
      <c r="M377" s="2989"/>
      <c r="N377" s="2989"/>
      <c r="O377" s="2989"/>
      <c r="P377" s="2989"/>
    </row>
    <row customHeight="true" ht="27.36318407963024" r="378">
      <c r="A378" s="3151" t="s">
        <v>2554</v>
      </c>
      <c r="B378" s="3152" t="s">
        <v>2555</v>
      </c>
      <c r="C378" s="3152"/>
      <c r="D378" s="3153" t="s">
        <v>2556</v>
      </c>
      <c r="E378" s="3154" t="s">
        <v>2557</v>
      </c>
      <c r="F378" s="3154" t="s">
        <v>2558</v>
      </c>
      <c r="G378" s="3155" t="s">
        <v>2577</v>
      </c>
      <c r="H378" s="3154" t="s">
        <v>2560</v>
      </c>
      <c r="I378" s="3154" t="s">
        <v>2561</v>
      </c>
      <c r="J378" s="3156" t="s">
        <v>2562</v>
      </c>
      <c r="K378" s="2874"/>
      <c r="L378" s="2874"/>
      <c r="M378" s="2874"/>
      <c r="N378" s="2874"/>
      <c r="O378" s="2874"/>
      <c r="P378" s="2874"/>
    </row>
    <row customHeight="true" ht="16.071428571428573" r="379">
      <c r="A379" s="2875" t="s">
        <v>2858</v>
      </c>
      <c r="B379" s="2844">
        <v>46265</v>
      </c>
      <c r="C379" s="2875" t="str">
        <v>Monday</v>
      </c>
      <c r="D379" s="3157" t="s">
        <v>2606</v>
      </c>
      <c r="E379" s="2845">
        <f t="shared" ref="E379:E392" si="91">24*MOD(TIMEVALUE(TRIM(MID(D379,FIND("-",D379)+1,LEN(D379)))) - TIMEVALUE(TRIM(LEFT(D379,FIND("-",D379)-1))),1)</f>
      </c>
      <c r="F379" s="3008"/>
      <c r="G379" s="3131"/>
      <c r="H379" s="2854" t="s">
        <v>2572</v>
      </c>
      <c r="I379" s="2854" t="s">
        <v>2568</v>
      </c>
      <c r="J379" s="3158"/>
      <c r="K379" s="2874"/>
      <c r="L379" s="2874"/>
      <c r="M379" s="2874"/>
      <c r="N379" s="2874"/>
      <c r="O379" s="2874"/>
      <c r="P379" s="2874"/>
    </row>
    <row customHeight="true" ht="16.071428571428573" r="380">
      <c r="A380" s="2875" t="s">
        <v>2858</v>
      </c>
      <c r="B380" s="2844">
        <v>46266</v>
      </c>
      <c r="C380" s="2875" t="str">
        <v>Tuesday</v>
      </c>
      <c r="D380" s="2845" t="s">
        <v>2606</v>
      </c>
      <c r="E380" s="2845">
        <f t="shared" si="91"/>
      </c>
      <c r="F380" s="2847"/>
      <c r="G380" s="3131"/>
      <c r="H380" s="2854" t="s">
        <v>2572</v>
      </c>
      <c r="I380" s="2854" t="s">
        <v>2568</v>
      </c>
      <c r="J380" s="3158"/>
      <c r="K380" s="2874"/>
      <c r="L380" s="2874"/>
      <c r="M380" s="2874"/>
      <c r="N380" s="2874"/>
      <c r="O380" s="2874"/>
      <c r="P380" s="2874"/>
    </row>
    <row customHeight="true" ht="16.071428571428573" r="381">
      <c r="A381" s="2875" t="s">
        <v>2858</v>
      </c>
      <c r="B381" s="2844">
        <v>46267</v>
      </c>
      <c r="C381" s="2875" t="str">
        <v>Wednesday</v>
      </c>
      <c r="D381" s="2845" t="s">
        <v>2731</v>
      </c>
      <c r="E381" s="2845">
        <f t="shared" si="91"/>
      </c>
      <c r="F381" s="2847"/>
      <c r="G381" s="3131"/>
      <c r="H381" s="2854" t="s">
        <v>2572</v>
      </c>
      <c r="I381" s="2854" t="s">
        <v>2568</v>
      </c>
      <c r="J381" s="3158" t="s">
        <v>2859</v>
      </c>
      <c r="K381" s="2874"/>
      <c r="L381" s="2874"/>
      <c r="M381" s="2874"/>
      <c r="N381" s="2874"/>
      <c r="O381" s="2874"/>
      <c r="P381" s="2874"/>
      <c r="Q381" s="2855"/>
      <c r="R381" s="2855"/>
    </row>
    <row customHeight="true" ht="16.071428571428573" r="382">
      <c r="A382" s="2875" t="s">
        <v>2858</v>
      </c>
      <c r="B382" s="2844">
        <v>46268</v>
      </c>
      <c r="C382" s="2875" t="str">
        <v>Thursday</v>
      </c>
      <c r="D382" s="2845" t="s">
        <v>2731</v>
      </c>
      <c r="E382" s="2845">
        <f t="shared" si="91"/>
      </c>
      <c r="F382" s="3008"/>
      <c r="G382" s="3131"/>
      <c r="H382" s="2854" t="s">
        <v>2572</v>
      </c>
      <c r="I382" s="2854" t="s">
        <v>2568</v>
      </c>
      <c r="J382" s="3158"/>
      <c r="K382" s="2874"/>
      <c r="L382" s="2874"/>
      <c r="M382" s="2874"/>
      <c r="N382" s="2874"/>
      <c r="O382" s="2874"/>
      <c r="P382" s="2874"/>
    </row>
    <row customHeight="true" ht="16.071428571428573" r="383">
      <c r="A383" s="2875" t="s">
        <v>2858</v>
      </c>
      <c r="B383" s="2844">
        <v>46269</v>
      </c>
      <c r="C383" s="2875" t="str">
        <v>Friday</v>
      </c>
      <c r="D383" s="2845" t="s">
        <v>2731</v>
      </c>
      <c r="E383" s="2845">
        <f t="shared" si="91"/>
      </c>
      <c r="F383" s="2876"/>
      <c r="G383" s="3131"/>
      <c r="H383" s="2854" t="s">
        <v>2572</v>
      </c>
      <c r="I383" s="2854" t="s">
        <v>2568</v>
      </c>
      <c r="J383" s="3158"/>
      <c r="K383" s="2874"/>
      <c r="L383" s="2874"/>
      <c r="M383" s="2874"/>
      <c r="N383" s="2874"/>
      <c r="O383" s="2874"/>
      <c r="P383" s="2874"/>
    </row>
    <row customHeight="true" ht="16.071428571428573" r="384">
      <c r="A384" s="2875" t="s">
        <v>2858</v>
      </c>
      <c r="B384" s="2844">
        <v>46270</v>
      </c>
      <c r="C384" s="2875" t="str">
        <v>Saturday</v>
      </c>
      <c r="D384" s="2845" t="s">
        <v>2731</v>
      </c>
      <c r="E384" s="2845">
        <f t="shared" si="91"/>
      </c>
      <c r="F384" s="2876"/>
      <c r="G384" s="3131"/>
      <c r="H384" s="2854" t="s">
        <v>2572</v>
      </c>
      <c r="I384" s="2854" t="s">
        <v>2528</v>
      </c>
      <c r="J384" s="3158"/>
      <c r="K384" s="2874"/>
      <c r="L384" s="2874"/>
      <c r="M384" s="2874"/>
      <c r="N384" s="2874"/>
      <c r="O384" s="2874"/>
      <c r="P384" s="2874"/>
    </row>
    <row customHeight="true" ht="16.071428571428573" r="385">
      <c r="A385" s="2875" t="s">
        <v>2858</v>
      </c>
      <c r="B385" s="2844">
        <v>46271</v>
      </c>
      <c r="C385" s="2875" t="str">
        <v>Sunday</v>
      </c>
      <c r="D385" s="2845" t="s">
        <v>2606</v>
      </c>
      <c r="E385" s="2845">
        <f t="shared" si="91"/>
      </c>
      <c r="F385" s="2876"/>
      <c r="G385" s="3131"/>
      <c r="H385" s="2854" t="s">
        <v>2572</v>
      </c>
      <c r="I385" s="2854" t="s">
        <v>2568</v>
      </c>
      <c r="J385" s="3158"/>
      <c r="K385" s="2874"/>
      <c r="L385" s="2874"/>
      <c r="M385" s="2874"/>
      <c r="N385" s="2874"/>
      <c r="O385" s="2874"/>
      <c r="P385" s="2874"/>
    </row>
    <row customHeight="true" ht="16.071428571428573" r="386">
      <c r="A386" s="2875" t="s">
        <v>2860</v>
      </c>
      <c r="B386" s="2844">
        <v>46265</v>
      </c>
      <c r="C386" s="2875" t="str">
        <v>Monday</v>
      </c>
      <c r="D386" s="3157" t="s">
        <v>2861</v>
      </c>
      <c r="E386" s="2845">
        <f t="shared" si="91"/>
      </c>
      <c r="F386" s="2882"/>
      <c r="G386" s="3159"/>
      <c r="H386" s="2854" t="s">
        <v>2572</v>
      </c>
      <c r="I386" s="2854" t="s">
        <v>2528</v>
      </c>
      <c r="J386" s="3160"/>
      <c r="K386" s="2874"/>
      <c r="L386" s="2874"/>
      <c r="M386" s="2874"/>
      <c r="N386" s="2874"/>
      <c r="O386" s="2874"/>
      <c r="P386" s="2874"/>
    </row>
    <row customHeight="true" ht="16.071428571428573" r="387">
      <c r="A387" s="2875" t="s">
        <v>2860</v>
      </c>
      <c r="B387" s="2844">
        <v>46266</v>
      </c>
      <c r="C387" s="2875" t="str">
        <v>Tuesday</v>
      </c>
      <c r="D387" s="3157" t="s">
        <v>2861</v>
      </c>
      <c r="E387" s="2845">
        <f t="shared" si="91"/>
      </c>
      <c r="F387" s="2882"/>
      <c r="G387" s="3159"/>
      <c r="H387" s="2854" t="s">
        <v>2572</v>
      </c>
      <c r="I387" s="2854" t="s">
        <v>2568</v>
      </c>
      <c r="J387" s="3158"/>
      <c r="K387" s="2874"/>
      <c r="L387" s="2874"/>
      <c r="M387" s="2874"/>
      <c r="N387" s="2874"/>
      <c r="O387" s="2874"/>
      <c r="P387" s="2874"/>
    </row>
    <row customHeight="true" ht="16.071428571428573" r="388">
      <c r="A388" s="2875" t="s">
        <v>2860</v>
      </c>
      <c r="B388" s="2844">
        <v>46267</v>
      </c>
      <c r="C388" s="2875" t="str">
        <v>Wednesday</v>
      </c>
      <c r="D388" s="2845" t="s">
        <v>2600</v>
      </c>
      <c r="E388" s="2845">
        <f t="shared" si="91"/>
      </c>
      <c r="F388" s="2882"/>
      <c r="G388" s="3159"/>
      <c r="H388" s="2854" t="s">
        <v>2572</v>
      </c>
      <c r="I388" s="2854" t="s">
        <v>2528</v>
      </c>
      <c r="J388" s="2846" t="s">
        <v>2862</v>
      </c>
      <c r="K388" s="2874"/>
      <c r="L388" s="2874"/>
      <c r="M388" s="2874"/>
      <c r="N388" s="2874"/>
      <c r="O388" s="2874"/>
      <c r="P388" s="2874"/>
    </row>
    <row customHeight="true" ht="16.071428571428573" r="389">
      <c r="A389" s="2875" t="s">
        <v>2860</v>
      </c>
      <c r="B389" s="2844">
        <v>46268</v>
      </c>
      <c r="C389" s="2875" t="str">
        <v>Thursday</v>
      </c>
      <c r="D389" s="3132" t="s">
        <v>2863</v>
      </c>
      <c r="E389" s="2845">
        <f t="shared" si="91"/>
      </c>
      <c r="F389" s="2882"/>
      <c r="G389" s="3159"/>
      <c r="H389" s="2854" t="s">
        <v>2572</v>
      </c>
      <c r="I389" s="2854" t="s">
        <v>2568</v>
      </c>
      <c r="J389" s="3161" t="s">
        <v>2864</v>
      </c>
      <c r="K389" s="2874"/>
      <c r="L389" s="2874"/>
      <c r="M389" s="2874"/>
      <c r="N389" s="2874"/>
      <c r="O389" s="2874"/>
      <c r="P389" s="2874"/>
    </row>
    <row customHeight="true" ht="16.071428571428573" r="390">
      <c r="A390" s="2875" t="s">
        <v>2860</v>
      </c>
      <c r="B390" s="2844">
        <v>46269</v>
      </c>
      <c r="C390" s="2875" t="str">
        <v>Friday</v>
      </c>
      <c r="D390" s="3132" t="s">
        <v>2865</v>
      </c>
      <c r="E390" s="2845">
        <f t="shared" si="91"/>
      </c>
      <c r="F390" s="2882"/>
      <c r="G390" s="3159"/>
      <c r="H390" s="2854" t="s">
        <v>2572</v>
      </c>
      <c r="I390" s="2854" t="s">
        <v>2568</v>
      </c>
      <c r="J390" s="3158"/>
      <c r="K390" s="2874"/>
      <c r="L390" s="2874"/>
      <c r="M390" s="2874"/>
      <c r="N390" s="2874"/>
      <c r="O390" s="2874"/>
      <c r="P390" s="2874"/>
    </row>
    <row customHeight="true" ht="16.071428571428573" r="391">
      <c r="A391" s="2875" t="s">
        <v>2860</v>
      </c>
      <c r="B391" s="2844">
        <v>46270</v>
      </c>
      <c r="C391" s="2875" t="str">
        <v>Saturday</v>
      </c>
      <c r="D391" s="2845" t="s">
        <v>2863</v>
      </c>
      <c r="E391" s="2845">
        <f t="shared" si="91"/>
      </c>
      <c r="F391" s="2882"/>
      <c r="G391" s="3159"/>
      <c r="H391" s="2854" t="s">
        <v>2572</v>
      </c>
      <c r="I391" s="2854" t="s">
        <v>2568</v>
      </c>
      <c r="J391" s="3158"/>
      <c r="K391" s="2874"/>
      <c r="L391" s="2874"/>
      <c r="M391" s="2874"/>
      <c r="N391" s="2874"/>
      <c r="O391" s="2874"/>
      <c r="P391" s="2874"/>
    </row>
    <row customHeight="true" ht="16.071428571428573" r="392">
      <c r="A392" s="2875" t="s">
        <v>2860</v>
      </c>
      <c r="B392" s="2844">
        <v>46271</v>
      </c>
      <c r="C392" s="2875" t="str">
        <v>Sunday</v>
      </c>
      <c r="D392" s="2845" t="s">
        <v>2731</v>
      </c>
      <c r="E392" s="2845">
        <f t="shared" si="91"/>
      </c>
      <c r="F392" s="3008"/>
      <c r="G392" s="3159"/>
      <c r="H392" s="2854" t="s">
        <v>2572</v>
      </c>
      <c r="I392" s="2854" t="s">
        <v>2568</v>
      </c>
      <c r="J392" s="3161"/>
      <c r="K392" s="2874"/>
      <c r="L392" s="2874"/>
      <c r="M392" s="2874"/>
      <c r="N392" s="2874"/>
      <c r="O392" s="2874"/>
      <c r="P392" s="2874"/>
    </row>
    <row customHeight="true" ht="16.071428571428573" r="393">
      <c r="A393" s="2875"/>
      <c r="B393" s="2844"/>
      <c r="C393" s="2875"/>
      <c r="D393" s="2845"/>
      <c r="E393" s="2845"/>
      <c r="F393" s="2882"/>
      <c r="G393" s="3159"/>
      <c r="H393" s="2854"/>
      <c r="I393" s="2854"/>
      <c r="J393" s="2846"/>
      <c r="K393" s="2874"/>
      <c r="L393" s="2874"/>
      <c r="M393" s="2874"/>
      <c r="N393" s="2874"/>
      <c r="O393" s="2874"/>
      <c r="P393" s="2874"/>
    </row>
    <row customHeight="true" ht="16.071428571428573" r="394">
      <c r="A394" s="2875"/>
      <c r="B394" s="2875"/>
      <c r="C394" s="2875"/>
      <c r="D394" s="2845"/>
      <c r="E394" s="2845"/>
      <c r="F394" s="2882"/>
      <c r="G394" s="3159"/>
      <c r="H394" s="2854"/>
      <c r="I394" s="2854"/>
      <c r="J394" s="3158"/>
      <c r="K394" s="2874"/>
      <c r="L394" s="2874"/>
      <c r="M394" s="2874"/>
      <c r="N394" s="2874"/>
      <c r="O394" s="2874"/>
      <c r="P394" s="2874"/>
    </row>
    <row customHeight="true" ht="16.071428571428573" r="395">
      <c r="A395" s="2875"/>
      <c r="B395" s="2875"/>
      <c r="C395" s="2875"/>
      <c r="D395" s="2845"/>
      <c r="E395" s="2845"/>
      <c r="F395" s="2882"/>
      <c r="G395" s="3159"/>
      <c r="H395" s="2854"/>
      <c r="I395" s="2854"/>
      <c r="J395" s="3158"/>
      <c r="K395" s="2874"/>
      <c r="L395" s="2874"/>
      <c r="M395" s="2874"/>
      <c r="N395" s="2874"/>
      <c r="O395" s="2874"/>
      <c r="P395" s="2874"/>
    </row>
    <row customHeight="true" ht="16.071428571428573" r="396">
      <c r="A396" s="2875"/>
      <c r="B396" s="2875"/>
      <c r="C396" s="2875"/>
      <c r="D396" s="2845"/>
      <c r="E396" s="2845"/>
      <c r="F396" s="2882"/>
      <c r="G396" s="3159"/>
      <c r="H396" s="2854"/>
      <c r="I396" s="2854"/>
      <c r="J396" s="3158"/>
      <c r="K396" s="2874"/>
      <c r="L396" s="2874"/>
      <c r="M396" s="2874"/>
      <c r="N396" s="2874"/>
      <c r="O396" s="2874"/>
      <c r="P396" s="2874"/>
    </row>
    <row customHeight="true" ht="16.071428571428573" r="397">
      <c r="A397" s="2875"/>
      <c r="B397" s="2875"/>
      <c r="C397" s="2875"/>
      <c r="D397" s="2845"/>
      <c r="E397" s="2845"/>
      <c r="F397" s="2882"/>
      <c r="G397" s="3159"/>
      <c r="H397" s="2854"/>
      <c r="I397" s="2854"/>
      <c r="J397" s="3158"/>
      <c r="K397" s="2874"/>
      <c r="L397" s="2874"/>
      <c r="M397" s="2874"/>
      <c r="N397" s="2874"/>
      <c r="O397" s="2874"/>
      <c r="P397" s="2874"/>
    </row>
    <row customHeight="true" ht="16.071428571428573" r="398">
      <c r="A398" s="2875"/>
      <c r="B398" s="2875"/>
      <c r="C398" s="2875"/>
      <c r="D398" s="2845"/>
      <c r="E398" s="2845"/>
      <c r="F398" s="2882"/>
      <c r="G398" s="3159"/>
      <c r="H398" s="2854"/>
      <c r="I398" s="2854"/>
      <c r="J398" s="3158"/>
      <c r="K398" s="2874"/>
      <c r="L398" s="2874"/>
      <c r="M398" s="2874"/>
      <c r="N398" s="2874"/>
      <c r="O398" s="2874"/>
      <c r="P398" s="2874"/>
    </row>
    <row customHeight="true" ht="16.071428571428573" r="399">
      <c r="A399" s="2875"/>
      <c r="B399" s="2875"/>
      <c r="C399" s="2875"/>
      <c r="D399" s="2845"/>
      <c r="E399" s="2845"/>
      <c r="F399" s="2882"/>
      <c r="G399" s="3159"/>
      <c r="H399" s="2854"/>
      <c r="I399" s="2854"/>
      <c r="J399" s="3158"/>
      <c r="K399" s="2874"/>
      <c r="L399" s="2874"/>
      <c r="M399" s="2874"/>
      <c r="N399" s="2874"/>
      <c r="O399" s="2874"/>
      <c r="P399" s="2874"/>
    </row>
    <row customHeight="true" ht="16.071428571428573" r="400">
      <c r="A400" s="2875"/>
      <c r="B400" s="2875"/>
      <c r="C400" s="2875"/>
      <c r="D400" s="2845"/>
      <c r="E400" s="2845"/>
      <c r="F400" s="2847"/>
      <c r="G400" s="3159"/>
      <c r="H400" s="2854"/>
      <c r="I400" s="2854"/>
      <c r="J400" s="3161"/>
      <c r="K400" s="2874"/>
      <c r="L400" s="2874"/>
      <c r="M400" s="2874"/>
      <c r="N400" s="2874"/>
      <c r="O400" s="2874"/>
      <c r="P400" s="2874"/>
    </row>
    <row customHeight="true" ht="16.071428571428573" r="401">
      <c r="A401" s="2875"/>
      <c r="B401" s="2875"/>
      <c r="C401" s="2875"/>
      <c r="D401" s="2845"/>
      <c r="E401" s="2845"/>
      <c r="F401" s="3008"/>
      <c r="G401" s="3159"/>
      <c r="H401" s="2854"/>
      <c r="I401" s="2854"/>
      <c r="J401" s="3160"/>
      <c r="K401" s="2874"/>
      <c r="L401" s="2874"/>
      <c r="M401" s="2874"/>
      <c r="N401" s="2874"/>
      <c r="O401" s="2874"/>
      <c r="P401" s="2874"/>
    </row>
    <row customHeight="true" ht="16.071428571428573" r="402">
      <c r="A402" s="2884"/>
      <c r="B402" s="2884"/>
      <c r="C402" s="2884"/>
      <c r="D402" s="2884"/>
      <c r="E402" s="2884"/>
      <c r="F402" s="2884"/>
      <c r="G402" s="2884"/>
      <c r="H402" s="3114"/>
      <c r="I402" s="2884"/>
      <c r="J402" s="2884"/>
      <c r="K402" s="2989"/>
      <c r="L402" s="2989"/>
      <c r="M402" s="2989"/>
      <c r="N402" s="2989"/>
      <c r="O402" s="2989"/>
      <c r="P402" s="2989"/>
    </row>
    <row r="403">
      <c r="A403" s="3162" t="s">
        <v>2866</v>
      </c>
      <c r="B403" s="3162"/>
      <c r="C403" s="3162"/>
      <c r="D403" s="3162"/>
      <c r="E403" s="3162"/>
      <c r="F403" s="3162"/>
      <c r="G403" s="3162"/>
      <c r="H403" s="3162"/>
      <c r="I403" s="3162"/>
      <c r="J403" s="3163"/>
      <c r="K403" s="2887"/>
      <c r="L403" s="2887"/>
      <c r="M403" s="2887"/>
      <c r="N403" s="2887"/>
      <c r="O403" s="2887"/>
      <c r="P403" s="2887"/>
    </row>
    <row r="404">
      <c r="A404" s="3164" t="s">
        <v>2554</v>
      </c>
      <c r="B404" s="3026" t="s">
        <v>2555</v>
      </c>
      <c r="C404" s="3026"/>
      <c r="D404" s="3028" t="s">
        <v>2556</v>
      </c>
      <c r="E404" s="3165" t="s">
        <v>2557</v>
      </c>
      <c r="F404" s="3165" t="s">
        <v>2558</v>
      </c>
      <c r="G404" s="3166" t="s">
        <v>2577</v>
      </c>
      <c r="H404" s="3165" t="s">
        <v>2560</v>
      </c>
      <c r="I404" s="3165" t="s">
        <v>2561</v>
      </c>
      <c r="J404" s="3031" t="s">
        <v>2562</v>
      </c>
      <c r="K404" s="2874"/>
      <c r="L404" s="2874"/>
      <c r="M404" s="2874"/>
      <c r="N404" s="2874"/>
      <c r="O404" s="2874"/>
      <c r="P404" s="2874"/>
    </row>
    <row r="405">
      <c r="A405" s="2875" t="s">
        <v>2867</v>
      </c>
      <c r="B405" s="2844">
        <v>46265</v>
      </c>
      <c r="C405" s="2875" t="str">
        <v>Monday</v>
      </c>
      <c r="D405" s="2845" t="s">
        <v>2868</v>
      </c>
      <c r="E405" s="2849">
        <f t="shared" ref="E405:E410" si="92">24*MOD(TIMEVALUE(TRIM(MID(D405,FIND("-",D405)+1,LEN(D405)))) - TIMEVALUE(TRIM(LEFT(D405,FIND("-",D405)-1))),1)</f>
      </c>
      <c r="F405" s="2854" t="s">
        <v>2869</v>
      </c>
      <c r="G405" s="3003"/>
      <c r="H405" s="2849" t="s">
        <v>2572</v>
      </c>
      <c r="I405" s="2943" t="s">
        <v>2528</v>
      </c>
      <c r="J405" s="2878"/>
      <c r="K405" s="2851"/>
      <c r="L405" s="2851"/>
      <c r="M405" s="2851"/>
      <c r="N405" s="2851"/>
      <c r="O405" s="2851"/>
      <c r="P405" s="2851"/>
    </row>
    <row r="406">
      <c r="A406" s="2875" t="s">
        <v>2867</v>
      </c>
      <c r="B406" s="2844">
        <v>46265</v>
      </c>
      <c r="C406" s="2875" t="str">
        <v>Monday</v>
      </c>
      <c r="D406" s="2845" t="s">
        <v>2807</v>
      </c>
      <c r="E406" s="2849">
        <f t="shared" si="92"/>
      </c>
      <c r="F406" s="2854" t="s">
        <v>2646</v>
      </c>
      <c r="G406" s="3167"/>
      <c r="H406" s="2849" t="s">
        <v>2572</v>
      </c>
      <c r="I406" s="2943" t="s">
        <v>2528</v>
      </c>
      <c r="J406" s="2878"/>
      <c r="K406" s="2851"/>
      <c r="L406" s="2851"/>
      <c r="M406" s="2851"/>
      <c r="N406" s="2851"/>
      <c r="O406" s="2851"/>
      <c r="P406" s="2851"/>
    </row>
    <row r="407">
      <c r="A407" s="2875" t="s">
        <v>2867</v>
      </c>
      <c r="B407" s="2844">
        <v>46265</v>
      </c>
      <c r="C407" s="2875" t="str">
        <v>Monday</v>
      </c>
      <c r="D407" s="2845" t="s">
        <v>2600</v>
      </c>
      <c r="E407" s="2849">
        <f t="shared" si="92"/>
      </c>
      <c r="F407" s="2854" t="s">
        <v>2759</v>
      </c>
      <c r="G407" s="3003"/>
      <c r="H407" s="2849" t="s">
        <v>2572</v>
      </c>
      <c r="I407" s="2943" t="s">
        <v>2528</v>
      </c>
      <c r="J407" s="2878"/>
      <c r="K407" s="2851"/>
      <c r="L407" s="2851"/>
      <c r="M407" s="2851"/>
      <c r="N407" s="2851"/>
      <c r="O407" s="2851"/>
      <c r="P407" s="2851"/>
    </row>
    <row customHeight="true" ht="18.452380952380953" r="408">
      <c r="A408" s="2875" t="s">
        <v>2867</v>
      </c>
      <c r="B408" s="2844">
        <v>46265</v>
      </c>
      <c r="C408" s="2875" t="str">
        <v>Monday</v>
      </c>
      <c r="D408" s="2845" t="s">
        <v>2601</v>
      </c>
      <c r="E408" s="2849">
        <f t="shared" si="92"/>
      </c>
      <c r="F408" s="3168" t="s">
        <v>2870</v>
      </c>
      <c r="G408" s="3003"/>
      <c r="H408" s="2849" t="s">
        <v>2572</v>
      </c>
      <c r="I408" s="2943" t="s">
        <v>2528</v>
      </c>
      <c r="J408" s="2878"/>
      <c r="K408" s="2851"/>
      <c r="L408" s="2851"/>
      <c r="M408" s="2851"/>
      <c r="N408" s="2851"/>
      <c r="O408" s="2851"/>
      <c r="P408" s="2851"/>
    </row>
    <row r="409">
      <c r="A409" s="2875" t="s">
        <v>2867</v>
      </c>
      <c r="B409" s="2844">
        <v>46265</v>
      </c>
      <c r="C409" s="2875" t="str">
        <v>Monday</v>
      </c>
      <c r="D409" s="2845" t="s">
        <v>2792</v>
      </c>
      <c r="E409" s="2849">
        <f t="shared" si="92"/>
      </c>
      <c r="F409" s="2854" t="s">
        <v>2759</v>
      </c>
      <c r="G409" s="3003"/>
      <c r="H409" s="2849" t="s">
        <v>2572</v>
      </c>
      <c r="I409" s="2943" t="s">
        <v>2528</v>
      </c>
      <c r="J409" s="2878"/>
      <c r="K409" s="2851"/>
      <c r="L409" s="2851"/>
      <c r="M409" s="2851"/>
      <c r="N409" s="2851"/>
      <c r="O409" s="2851"/>
      <c r="P409" s="2851"/>
    </row>
    <row customHeight="true" ht="18.452380952380953" r="410">
      <c r="A410" s="2875" t="s">
        <v>2867</v>
      </c>
      <c r="B410" s="2844">
        <v>46265</v>
      </c>
      <c r="C410" s="2875" t="str">
        <v>Monday</v>
      </c>
      <c r="D410" s="2845" t="s">
        <v>2871</v>
      </c>
      <c r="E410" s="2849">
        <f t="shared" si="92"/>
      </c>
      <c r="F410" s="3168" t="s">
        <v>2872</v>
      </c>
      <c r="G410" s="3003"/>
      <c r="H410" s="2849" t="s">
        <v>2572</v>
      </c>
      <c r="I410" s="2943" t="s">
        <v>2528</v>
      </c>
      <c r="J410" s="2878"/>
      <c r="K410" s="2851"/>
      <c r="L410" s="2851"/>
      <c r="M410" s="2851"/>
      <c r="N410" s="2851"/>
      <c r="O410" s="2851"/>
      <c r="P410" s="2851"/>
    </row>
    <row customHeight="true" ht="18.452380952380953" r="411">
      <c r="A411" s="2875"/>
      <c r="B411" s="2844"/>
      <c r="C411" s="2875"/>
      <c r="D411" s="2896"/>
      <c r="E411" s="3169"/>
      <c r="F411" s="2897"/>
      <c r="G411" s="3170"/>
      <c r="H411" s="2849"/>
      <c r="I411" s="2943"/>
      <c r="J411" s="3171"/>
      <c r="K411" s="3172"/>
      <c r="L411" s="3172"/>
      <c r="M411" s="3172"/>
      <c r="N411" s="3172"/>
      <c r="O411" s="3172"/>
      <c r="P411" s="3172"/>
    </row>
    <row customHeight="true" ht="18.452380952380953" r="412">
      <c r="A412" s="2875" t="s">
        <v>2873</v>
      </c>
      <c r="B412" s="2844">
        <v>46265</v>
      </c>
      <c r="C412" s="2875" t="str">
        <v>Monday</v>
      </c>
      <c r="D412" s="2845" t="s">
        <v>2874</v>
      </c>
      <c r="E412" s="3169">
        <f t="shared" ref="E412:E417" si="93">24*MOD(TIMEVALUE(TRIM(MID(D412,FIND("-",D412)+1,LEN(D412)))) - TIMEVALUE(TRIM(LEFT(D412,FIND("-",D412)-1))),1)</f>
      </c>
      <c r="F412" s="2897" t="s">
        <v>2875</v>
      </c>
      <c r="G412" s="3170"/>
      <c r="H412" s="2849" t="s">
        <v>2572</v>
      </c>
      <c r="I412" s="2943" t="s">
        <v>2528</v>
      </c>
      <c r="J412" s="3171"/>
      <c r="K412" s="3172"/>
      <c r="L412" s="3172"/>
      <c r="M412" s="3172"/>
      <c r="N412" s="3172"/>
      <c r="O412" s="3172"/>
      <c r="P412" s="3172"/>
    </row>
    <row customHeight="true" ht="18.452380952380953" r="413">
      <c r="A413" s="2875" t="s">
        <v>2873</v>
      </c>
      <c r="B413" s="2844">
        <v>46265</v>
      </c>
      <c r="C413" s="2875" t="str">
        <v>Monday</v>
      </c>
      <c r="D413" s="2845" t="s">
        <v>2807</v>
      </c>
      <c r="E413" s="3169">
        <f t="shared" si="93"/>
      </c>
      <c r="F413" s="2897" t="s">
        <v>2654</v>
      </c>
      <c r="G413" s="3170"/>
      <c r="H413" s="2849" t="s">
        <v>2572</v>
      </c>
      <c r="I413" s="2943" t="s">
        <v>2528</v>
      </c>
      <c r="J413" s="3171"/>
      <c r="K413" s="3172"/>
      <c r="L413" s="3172"/>
      <c r="M413" s="3172"/>
      <c r="N413" s="3172"/>
      <c r="O413" s="3172"/>
      <c r="P413" s="3172"/>
    </row>
    <row customHeight="true" ht="18.452380952380953" r="414">
      <c r="A414" s="2875" t="s">
        <v>2873</v>
      </c>
      <c r="B414" s="2844">
        <v>46265</v>
      </c>
      <c r="C414" s="2875" t="str">
        <v>Monday</v>
      </c>
      <c r="D414" s="2845" t="s">
        <v>2600</v>
      </c>
      <c r="E414" s="3169">
        <f t="shared" si="93"/>
      </c>
      <c r="F414" s="3008" t="s">
        <v>2655</v>
      </c>
      <c r="G414" s="3170"/>
      <c r="H414" s="2849" t="s">
        <v>2572</v>
      </c>
      <c r="I414" s="2943" t="s">
        <v>2528</v>
      </c>
      <c r="J414" s="3171"/>
      <c r="K414" s="3172"/>
      <c r="L414" s="3172"/>
      <c r="M414" s="3172"/>
      <c r="N414" s="3172"/>
      <c r="O414" s="3172"/>
      <c r="P414" s="3172"/>
    </row>
    <row customHeight="true" ht="18.452380952380953" r="415">
      <c r="A415" s="2875" t="s">
        <v>2873</v>
      </c>
      <c r="B415" s="2844">
        <v>46265</v>
      </c>
      <c r="C415" s="2875" t="str">
        <v>Monday</v>
      </c>
      <c r="D415" s="2845" t="s">
        <v>2601</v>
      </c>
      <c r="E415" s="3169">
        <f t="shared" si="93"/>
      </c>
      <c r="F415" s="3168" t="s">
        <v>2876</v>
      </c>
      <c r="G415" s="3170"/>
      <c r="H415" s="2849" t="s">
        <v>2572</v>
      </c>
      <c r="I415" s="2943" t="s">
        <v>2528</v>
      </c>
      <c r="J415" s="3171"/>
      <c r="K415" s="3172"/>
      <c r="L415" s="3172"/>
      <c r="M415" s="3172"/>
      <c r="N415" s="3172"/>
      <c r="O415" s="3172"/>
      <c r="P415" s="3172"/>
    </row>
    <row customHeight="true" ht="18.452380952380953" r="416">
      <c r="A416" s="2875" t="s">
        <v>2873</v>
      </c>
      <c r="B416" s="2844">
        <v>46265</v>
      </c>
      <c r="C416" s="2875" t="str">
        <v>Monday</v>
      </c>
      <c r="D416" s="2845" t="s">
        <v>2792</v>
      </c>
      <c r="E416" s="3169">
        <f t="shared" si="93"/>
      </c>
      <c r="F416" s="3008" t="s">
        <v>2655</v>
      </c>
      <c r="G416" s="3170"/>
      <c r="H416" s="2849" t="s">
        <v>2572</v>
      </c>
      <c r="I416" s="2943" t="s">
        <v>2528</v>
      </c>
      <c r="J416" s="3171"/>
      <c r="K416" s="3172"/>
      <c r="L416" s="3172"/>
      <c r="M416" s="3172"/>
      <c r="N416" s="3172"/>
      <c r="O416" s="3172"/>
      <c r="P416" s="3172"/>
    </row>
    <row r="417">
      <c r="A417" s="2875" t="s">
        <v>2873</v>
      </c>
      <c r="B417" s="2844">
        <v>46265</v>
      </c>
      <c r="C417" s="2875" t="str">
        <v>Monday</v>
      </c>
      <c r="D417" s="2845" t="s">
        <v>2871</v>
      </c>
      <c r="E417" s="3169">
        <f t="shared" si="93"/>
      </c>
      <c r="F417" s="2897" t="s">
        <v>2654</v>
      </c>
      <c r="G417" s="3170"/>
      <c r="H417" s="2849" t="s">
        <v>2572</v>
      </c>
      <c r="I417" s="2943" t="s">
        <v>2528</v>
      </c>
      <c r="J417" s="3171"/>
      <c r="K417" s="3172"/>
      <c r="L417" s="3172"/>
      <c r="M417" s="3172"/>
      <c r="N417" s="3172"/>
      <c r="O417" s="3172"/>
      <c r="P417" s="3172"/>
    </row>
    <row customHeight="true" ht="18.452380952380953" r="418">
      <c r="A418" s="2875"/>
      <c r="B418" s="2875"/>
      <c r="C418" s="2875"/>
      <c r="D418" s="2896"/>
      <c r="E418" s="3169"/>
      <c r="F418" s="2897"/>
      <c r="G418" s="3170"/>
      <c r="H418" s="2849"/>
      <c r="I418" s="2943"/>
      <c r="J418" s="3171"/>
      <c r="K418" s="3172"/>
      <c r="L418" s="3172"/>
      <c r="M418" s="3172"/>
      <c r="N418" s="3172"/>
      <c r="O418" s="3172"/>
      <c r="P418" s="3172"/>
    </row>
    <row r="419">
      <c r="A419" s="3173" t="s">
        <v>2867</v>
      </c>
      <c r="B419" s="3174">
        <v>46266</v>
      </c>
      <c r="C419" s="3173" t="str">
        <v>Tuesday</v>
      </c>
      <c r="D419" s="3175" t="s">
        <v>2868</v>
      </c>
      <c r="E419" s="3176">
        <f t="shared" ref="E419:E423" si="94">24*MOD(TIMEVALUE(TRIM(MID(D419,FIND("-",D419)+1,LEN(D419)))) - TIMEVALUE(TRIM(LEFT(D419,FIND("-",D419)-1))),1)</f>
      </c>
      <c r="F419" s="3176" t="s">
        <v>2759</v>
      </c>
      <c r="G419" s="3177" t="s">
        <v>2877</v>
      </c>
      <c r="H419" s="2849" t="s">
        <v>2572</v>
      </c>
      <c r="I419" s="2943" t="s">
        <v>2528</v>
      </c>
      <c r="J419" s="3178"/>
      <c r="K419" s="3172"/>
      <c r="L419" s="3172"/>
      <c r="M419" s="3172"/>
      <c r="N419" s="3172"/>
      <c r="O419" s="3172"/>
      <c r="P419" s="3172"/>
    </row>
    <row r="420">
      <c r="A420" s="3173" t="s">
        <v>2867</v>
      </c>
      <c r="B420" s="3174">
        <v>46266</v>
      </c>
      <c r="C420" s="3173" t="str">
        <v>Tuesday</v>
      </c>
      <c r="D420" s="3175" t="s">
        <v>2878</v>
      </c>
      <c r="E420" s="3176">
        <f t="shared" si="94"/>
      </c>
      <c r="F420" s="3179" t="s">
        <v>2870</v>
      </c>
      <c r="G420" s="3177"/>
      <c r="H420" s="2849" t="s">
        <v>2572</v>
      </c>
      <c r="I420" s="2943" t="s">
        <v>2528</v>
      </c>
      <c r="J420" s="3178"/>
      <c r="K420" s="3172"/>
      <c r="L420" s="3172"/>
      <c r="M420" s="3172"/>
      <c r="N420" s="3172"/>
      <c r="O420" s="3172"/>
      <c r="P420" s="3172"/>
    </row>
    <row r="421">
      <c r="A421" s="3173" t="s">
        <v>2867</v>
      </c>
      <c r="B421" s="3174">
        <v>46266</v>
      </c>
      <c r="C421" s="3173" t="str">
        <v>Tuesday</v>
      </c>
      <c r="D421" s="3175" t="s">
        <v>2587</v>
      </c>
      <c r="E421" s="3176">
        <f t="shared" si="94"/>
      </c>
      <c r="F421" s="3180" t="s">
        <v>2879</v>
      </c>
      <c r="G421" s="3177"/>
      <c r="H421" s="2849" t="s">
        <v>2572</v>
      </c>
      <c r="I421" s="2943" t="s">
        <v>2528</v>
      </c>
      <c r="J421" s="3178"/>
      <c r="K421" s="3172"/>
      <c r="L421" s="3172"/>
      <c r="M421" s="3172"/>
      <c r="N421" s="3172"/>
      <c r="O421" s="3172"/>
      <c r="P421" s="3172"/>
    </row>
    <row r="422">
      <c r="A422" s="2898" t="s">
        <v>2867</v>
      </c>
      <c r="B422" s="2899">
        <v>46266</v>
      </c>
      <c r="C422" s="2898" t="str">
        <v>Tuesday</v>
      </c>
      <c r="D422" s="2900" t="s">
        <v>2880</v>
      </c>
      <c r="E422" s="2901">
        <f t="shared" si="94"/>
      </c>
      <c r="F422" s="3181" t="s">
        <v>2644</v>
      </c>
      <c r="G422" s="2902"/>
      <c r="H422" s="2901" t="s">
        <v>2572</v>
      </c>
      <c r="I422" s="2964" t="s">
        <v>2528</v>
      </c>
      <c r="J422" s="3182" t="s">
        <v>2881</v>
      </c>
      <c r="K422" s="3183"/>
      <c r="L422" s="3183"/>
      <c r="M422" s="3183"/>
      <c r="N422" s="3183"/>
      <c r="O422" s="3183"/>
      <c r="P422" s="3183"/>
      <c r="Q422" s="3037"/>
      <c r="R422" s="3037"/>
    </row>
    <row customHeight="true" ht="18.452380952380953" r="423">
      <c r="A423" s="3173" t="s">
        <v>2867</v>
      </c>
      <c r="B423" s="3174">
        <v>46266</v>
      </c>
      <c r="C423" s="3173" t="str">
        <v>Tuesday</v>
      </c>
      <c r="D423" s="3175" t="s">
        <v>2882</v>
      </c>
      <c r="E423" s="3176">
        <f t="shared" si="94"/>
      </c>
      <c r="F423" s="3179" t="s">
        <v>2869</v>
      </c>
      <c r="G423" s="3177"/>
      <c r="H423" s="2897" t="s">
        <v>2572</v>
      </c>
      <c r="I423" s="2943" t="s">
        <v>2528</v>
      </c>
      <c r="J423" s="3178"/>
      <c r="K423" s="3172"/>
      <c r="L423" s="3172"/>
      <c r="M423" s="3172"/>
      <c r="N423" s="3172"/>
      <c r="O423" s="3172"/>
      <c r="P423" s="3172"/>
    </row>
    <row customHeight="true" ht="18.452380952380953" r="424">
      <c r="A424" s="3173"/>
      <c r="B424" s="3174"/>
      <c r="C424" s="3173"/>
      <c r="D424" s="3175"/>
      <c r="E424" s="3176"/>
      <c r="F424" s="3179"/>
      <c r="G424" s="3177"/>
      <c r="H424" s="2897"/>
      <c r="I424" s="2943"/>
      <c r="J424" s="3178"/>
      <c r="K424" s="3172"/>
      <c r="L424" s="3172"/>
      <c r="M424" s="3172"/>
      <c r="N424" s="3172"/>
      <c r="O424" s="3172"/>
      <c r="P424" s="3172"/>
    </row>
    <row customHeight="true" ht="18.452380952380953" r="425">
      <c r="A425" s="3184" t="s">
        <v>2873</v>
      </c>
      <c r="B425" s="3185">
        <v>46266</v>
      </c>
      <c r="C425" s="3184" t="str">
        <v>Tuesday</v>
      </c>
      <c r="D425" s="3175" t="s">
        <v>2883</v>
      </c>
      <c r="E425" s="3186">
        <f t="shared" ref="E425:E429" si="95">24*MOD(TIMEVALUE(TRIM(MID(D425,FIND("-",D425)+1,LEN(D425)))) - TIMEVALUE(TRIM(LEFT(D425,FIND("-",D425)-1))),1)</f>
      </c>
      <c r="F425" s="3180" t="s">
        <v>2884</v>
      </c>
      <c r="G425" s="3187"/>
      <c r="H425" s="3180" t="s">
        <v>2572</v>
      </c>
      <c r="I425" s="3188" t="s">
        <v>2528</v>
      </c>
      <c r="J425" s="3189"/>
      <c r="K425" s="3190"/>
      <c r="L425" s="3190"/>
      <c r="M425" s="3190"/>
      <c r="N425" s="3190"/>
      <c r="O425" s="3190"/>
      <c r="P425" s="3190"/>
      <c r="Q425" s="3191"/>
      <c r="R425" s="3191"/>
    </row>
    <row customHeight="true" ht="18.452380952380953" r="426">
      <c r="A426" s="3184" t="s">
        <v>2873</v>
      </c>
      <c r="B426" s="3174">
        <v>46266</v>
      </c>
      <c r="C426" s="3184" t="str">
        <v>Tuesday</v>
      </c>
      <c r="D426" s="3175" t="s">
        <v>2807</v>
      </c>
      <c r="E426" s="3180">
        <f t="shared" si="95"/>
      </c>
      <c r="F426" s="3180" t="s">
        <v>2571</v>
      </c>
      <c r="G426" s="3192"/>
      <c r="H426" s="2897" t="s">
        <v>2572</v>
      </c>
      <c r="I426" s="2943" t="s">
        <v>2528</v>
      </c>
      <c r="J426" s="3193"/>
      <c r="K426" s="3194"/>
      <c r="L426" s="3194"/>
      <c r="M426" s="3194"/>
      <c r="N426" s="3194"/>
      <c r="O426" s="3194"/>
      <c r="P426" s="3194"/>
      <c r="Q426" s="3191"/>
      <c r="R426" s="3191"/>
    </row>
    <row customHeight="true" ht="18.452380952380953" r="427">
      <c r="A427" s="3184" t="s">
        <v>2873</v>
      </c>
      <c r="B427" s="3174">
        <v>46266</v>
      </c>
      <c r="C427" s="3184" t="str">
        <v>Tuesday</v>
      </c>
      <c r="D427" s="3175" t="s">
        <v>2575</v>
      </c>
      <c r="E427" s="3180">
        <f t="shared" si="95"/>
      </c>
      <c r="F427" s="3186" t="s">
        <v>2885</v>
      </c>
      <c r="G427" s="3192"/>
      <c r="H427" s="2897" t="s">
        <v>2572</v>
      </c>
      <c r="I427" s="2943" t="s">
        <v>2528</v>
      </c>
      <c r="J427" s="3193"/>
      <c r="K427" s="3194"/>
      <c r="L427" s="3194"/>
      <c r="M427" s="3194"/>
      <c r="N427" s="3194"/>
      <c r="O427" s="3194"/>
      <c r="P427" s="3194"/>
      <c r="Q427" s="3191"/>
      <c r="R427" s="3191"/>
    </row>
    <row r="428">
      <c r="A428" s="3184" t="s">
        <v>2873</v>
      </c>
      <c r="B428" s="3174">
        <v>46266</v>
      </c>
      <c r="C428" s="3184" t="str">
        <v>Tuesday</v>
      </c>
      <c r="D428" s="3175" t="s">
        <v>2886</v>
      </c>
      <c r="E428" s="3180">
        <f t="shared" si="95"/>
      </c>
      <c r="F428" s="3180" t="s">
        <v>2654</v>
      </c>
      <c r="G428" s="3192"/>
      <c r="H428" s="2897" t="s">
        <v>2572</v>
      </c>
      <c r="I428" s="2943" t="s">
        <v>2528</v>
      </c>
      <c r="J428" s="3193"/>
      <c r="K428" s="3194"/>
      <c r="L428" s="3194"/>
      <c r="M428" s="3194"/>
      <c r="N428" s="3194"/>
      <c r="O428" s="3194"/>
      <c r="P428" s="3194"/>
      <c r="Q428" s="3191"/>
      <c r="R428" s="3191"/>
    </row>
    <row customHeight="true" ht="18.452380952380953" r="429">
      <c r="A429" s="3173" t="s">
        <v>2873</v>
      </c>
      <c r="B429" s="3174">
        <v>46266</v>
      </c>
      <c r="C429" s="3173" t="str">
        <v>Tuesday</v>
      </c>
      <c r="D429" s="3175" t="s">
        <v>2882</v>
      </c>
      <c r="E429" s="3195">
        <f t="shared" si="95"/>
      </c>
      <c r="F429" s="3180" t="s">
        <v>2654</v>
      </c>
      <c r="G429" s="3196"/>
      <c r="H429" s="2897" t="s">
        <v>2572</v>
      </c>
      <c r="I429" s="2943" t="s">
        <v>2528</v>
      </c>
      <c r="J429" s="3197"/>
      <c r="K429" s="2851"/>
      <c r="L429" s="2851"/>
      <c r="M429" s="2851"/>
      <c r="N429" s="2851"/>
      <c r="O429" s="2851"/>
      <c r="P429" s="2851"/>
    </row>
    <row customHeight="true" ht="18.452380952380953" r="430">
      <c r="A430" s="3173"/>
      <c r="B430" s="3173"/>
      <c r="C430" s="3173"/>
      <c r="D430" s="3198"/>
      <c r="E430" s="3195"/>
      <c r="F430" s="3176"/>
      <c r="G430" s="3196"/>
      <c r="H430" s="2849"/>
      <c r="I430" s="2943"/>
      <c r="J430" s="3199"/>
      <c r="K430" s="2851"/>
      <c r="L430" s="2851"/>
      <c r="M430" s="2851"/>
      <c r="N430" s="2851"/>
      <c r="O430" s="2851"/>
      <c r="P430" s="2851"/>
    </row>
    <row r="431">
      <c r="A431" s="2875" t="s">
        <v>2867</v>
      </c>
      <c r="B431" s="2844">
        <v>46270</v>
      </c>
      <c r="C431" s="2875" t="str">
        <v>Saturday</v>
      </c>
      <c r="D431" s="2845" t="s">
        <v>2868</v>
      </c>
      <c r="E431" s="2849">
        <f t="shared" ref="E431:E436" si="96">24*MOD(TIMEVALUE(TRIM(MID(D431,FIND("-",D431)+1,LEN(D431)))) - TIMEVALUE(TRIM(LEFT(D431,FIND("-",D431)-1))),1)</f>
      </c>
      <c r="F431" s="2854" t="s">
        <v>2759</v>
      </c>
      <c r="G431" s="3200"/>
      <c r="H431" s="2849" t="s">
        <v>2572</v>
      </c>
      <c r="I431" s="2943" t="s">
        <v>2528</v>
      </c>
      <c r="J431" s="2878"/>
      <c r="K431" s="2851"/>
      <c r="L431" s="2851"/>
      <c r="M431" s="2851"/>
      <c r="N431" s="2851"/>
      <c r="O431" s="2851"/>
      <c r="P431" s="2851"/>
    </row>
    <row customHeight="true" ht="18.452380952380953" r="432">
      <c r="A432" s="2875" t="s">
        <v>2867</v>
      </c>
      <c r="B432" s="2844">
        <v>46270</v>
      </c>
      <c r="C432" s="2875" t="str">
        <v>Saturday</v>
      </c>
      <c r="D432" s="2845" t="s">
        <v>2807</v>
      </c>
      <c r="E432" s="2849">
        <f t="shared" si="96"/>
      </c>
      <c r="F432" s="3168" t="s">
        <v>2872</v>
      </c>
      <c r="G432" s="3200"/>
      <c r="H432" s="2849" t="s">
        <v>2572</v>
      </c>
      <c r="I432" s="2943" t="s">
        <v>2528</v>
      </c>
      <c r="J432" s="3201"/>
      <c r="K432" s="2851"/>
      <c r="L432" s="2851"/>
      <c r="M432" s="2851"/>
      <c r="N432" s="2851"/>
      <c r="O432" s="2851"/>
      <c r="P432" s="2851"/>
    </row>
    <row customHeight="true" ht="18.452380952380953" r="433">
      <c r="A433" s="2875" t="s">
        <v>2867</v>
      </c>
      <c r="B433" s="2844">
        <v>46270</v>
      </c>
      <c r="C433" s="2875" t="str">
        <v>Saturday</v>
      </c>
      <c r="D433" s="2845" t="s">
        <v>2600</v>
      </c>
      <c r="E433" s="2849">
        <f t="shared" si="96"/>
      </c>
      <c r="F433" s="3168" t="s">
        <v>2870</v>
      </c>
      <c r="G433" s="3202"/>
      <c r="H433" s="2849" t="s">
        <v>2572</v>
      </c>
      <c r="I433" s="2943" t="s">
        <v>2528</v>
      </c>
      <c r="J433" s="3201"/>
      <c r="K433" s="2851"/>
      <c r="L433" s="2851"/>
      <c r="M433" s="2851"/>
      <c r="N433" s="2851"/>
      <c r="O433" s="2851"/>
      <c r="P433" s="2851"/>
    </row>
    <row customHeight="true" ht="18.452380952380953" r="434">
      <c r="A434" s="2875" t="s">
        <v>2867</v>
      </c>
      <c r="B434" s="2844">
        <v>46270</v>
      </c>
      <c r="C434" s="2875" t="str">
        <v>Saturday</v>
      </c>
      <c r="D434" s="2845" t="s">
        <v>2605</v>
      </c>
      <c r="E434" s="2849">
        <f t="shared" si="96"/>
      </c>
      <c r="F434" s="3168" t="s">
        <v>2732</v>
      </c>
      <c r="G434" s="3202"/>
      <c r="H434" s="2849" t="s">
        <v>2572</v>
      </c>
      <c r="I434" s="2943" t="s">
        <v>2528</v>
      </c>
      <c r="J434" s="3201"/>
      <c r="K434" s="2851"/>
      <c r="L434" s="2851"/>
      <c r="M434" s="2851"/>
      <c r="N434" s="2851"/>
      <c r="O434" s="2851"/>
      <c r="P434" s="2851"/>
    </row>
    <row r="435">
      <c r="A435" s="2875" t="s">
        <v>2867</v>
      </c>
      <c r="B435" s="2844">
        <v>46270</v>
      </c>
      <c r="C435" s="2875" t="str">
        <v>Saturday</v>
      </c>
      <c r="D435" s="2845" t="s">
        <v>2683</v>
      </c>
      <c r="E435" s="2849">
        <f t="shared" si="96"/>
      </c>
      <c r="F435" s="3168" t="s">
        <v>2644</v>
      </c>
      <c r="G435" s="3200"/>
      <c r="H435" s="2849" t="s">
        <v>2572</v>
      </c>
      <c r="I435" s="2943" t="s">
        <v>2528</v>
      </c>
      <c r="J435" s="3201"/>
      <c r="K435" s="2851"/>
      <c r="L435" s="2851"/>
      <c r="M435" s="2851"/>
      <c r="N435" s="2851"/>
      <c r="O435" s="2851"/>
      <c r="P435" s="2851"/>
    </row>
    <row customHeight="true" ht="18.452380952380953" r="436">
      <c r="A436" s="2875" t="s">
        <v>2867</v>
      </c>
      <c r="B436" s="2844">
        <v>46270</v>
      </c>
      <c r="C436" s="2875" t="str">
        <v>Saturday</v>
      </c>
      <c r="D436" s="2896" t="s">
        <v>2887</v>
      </c>
      <c r="E436" s="2849">
        <f t="shared" si="96"/>
      </c>
      <c r="F436" s="3168" t="s">
        <v>2632</v>
      </c>
      <c r="G436" s="3200"/>
      <c r="H436" s="2849" t="s">
        <v>2572</v>
      </c>
      <c r="I436" s="2943" t="s">
        <v>2568</v>
      </c>
      <c r="J436" s="3201"/>
      <c r="K436" s="2851"/>
      <c r="L436" s="2851"/>
      <c r="M436" s="2851"/>
      <c r="N436" s="2851"/>
      <c r="O436" s="2851"/>
      <c r="P436" s="2851"/>
    </row>
    <row customHeight="true" ht="18.452380952380953" r="437">
      <c r="A437" s="2875"/>
      <c r="B437" s="2844"/>
      <c r="C437" s="2875"/>
      <c r="D437" s="2896"/>
      <c r="E437" s="2849"/>
      <c r="F437" s="3168"/>
      <c r="G437" s="3200"/>
      <c r="H437" s="2849"/>
      <c r="I437" s="2943"/>
      <c r="J437" s="3201"/>
      <c r="K437" s="2851"/>
      <c r="L437" s="2851"/>
      <c r="M437" s="2851"/>
      <c r="N437" s="2851"/>
      <c r="O437" s="2851"/>
      <c r="P437" s="2851"/>
    </row>
    <row r="438">
      <c r="A438" s="2875" t="s">
        <v>2873</v>
      </c>
      <c r="B438" s="2844">
        <v>46270</v>
      </c>
      <c r="C438" s="2875" t="str">
        <v>Saturday</v>
      </c>
      <c r="D438" s="2845" t="s">
        <v>2874</v>
      </c>
      <c r="E438" s="3169">
        <f t="shared" ref="E438:E442" si="97">24*MOD(TIMEVALUE(TRIM(MID(D438,FIND("-",D438)+1,LEN(D438)))) - TIMEVALUE(TRIM(LEFT(D438,FIND("-",D438)-1))),1)</f>
      </c>
      <c r="F438" s="2897" t="s">
        <v>2875</v>
      </c>
      <c r="G438" s="3203"/>
      <c r="H438" s="2849" t="s">
        <v>2572</v>
      </c>
      <c r="I438" s="2943" t="s">
        <v>2528</v>
      </c>
      <c r="J438" s="3201"/>
      <c r="K438" s="2851"/>
      <c r="L438" s="2851"/>
      <c r="M438" s="2851"/>
      <c r="N438" s="2851"/>
      <c r="O438" s="2851"/>
      <c r="P438" s="2851"/>
    </row>
    <row customHeight="true" ht="18.452380952380953" r="439">
      <c r="A439" s="2875" t="s">
        <v>2873</v>
      </c>
      <c r="B439" s="2844">
        <v>46270</v>
      </c>
      <c r="C439" s="2875" t="str">
        <v>Saturday</v>
      </c>
      <c r="D439" s="2845" t="s">
        <v>2807</v>
      </c>
      <c r="E439" s="3169">
        <f t="shared" si="97"/>
      </c>
      <c r="F439" s="2897" t="s">
        <v>2655</v>
      </c>
      <c r="G439" s="3203"/>
      <c r="H439" s="2849" t="s">
        <v>2572</v>
      </c>
      <c r="I439" s="2943" t="s">
        <v>2528</v>
      </c>
      <c r="J439" s="3201"/>
      <c r="K439" s="2851"/>
      <c r="L439" s="2851"/>
      <c r="M439" s="2851"/>
      <c r="N439" s="2851"/>
      <c r="O439" s="2851"/>
      <c r="P439" s="2851"/>
    </row>
    <row r="440">
      <c r="A440" s="2875" t="s">
        <v>2873</v>
      </c>
      <c r="B440" s="2844">
        <v>46270</v>
      </c>
      <c r="C440" s="2875" t="str">
        <v>Saturday</v>
      </c>
      <c r="D440" s="2845" t="s">
        <v>2888</v>
      </c>
      <c r="E440" s="3169">
        <f t="shared" si="97"/>
      </c>
      <c r="F440" s="2897" t="s">
        <v>2654</v>
      </c>
      <c r="G440" s="3203"/>
      <c r="H440" s="2849" t="s">
        <v>2572</v>
      </c>
      <c r="I440" s="2943" t="s">
        <v>2528</v>
      </c>
      <c r="J440" s="3201"/>
      <c r="K440" s="2851"/>
      <c r="L440" s="2851"/>
      <c r="M440" s="2851"/>
      <c r="N440" s="2851"/>
      <c r="O440" s="2851"/>
      <c r="P440" s="2851"/>
    </row>
    <row customHeight="true" ht="18.452380952380953" r="441">
      <c r="A441" s="2875" t="s">
        <v>2873</v>
      </c>
      <c r="B441" s="2844">
        <v>46270</v>
      </c>
      <c r="C441" s="2875" t="str">
        <v>Saturday</v>
      </c>
      <c r="D441" s="2845" t="s">
        <v>2880</v>
      </c>
      <c r="E441" s="3169">
        <f t="shared" si="97"/>
      </c>
      <c r="F441" s="2897" t="s">
        <v>2655</v>
      </c>
      <c r="G441" s="3203"/>
      <c r="H441" s="2849" t="s">
        <v>2572</v>
      </c>
      <c r="I441" s="2943" t="s">
        <v>2528</v>
      </c>
      <c r="J441" s="3201"/>
      <c r="K441" s="2851"/>
      <c r="L441" s="2851"/>
      <c r="M441" s="2851"/>
      <c r="N441" s="2851"/>
      <c r="O441" s="2851"/>
      <c r="P441" s="2851"/>
    </row>
    <row r="442">
      <c r="A442" s="2875" t="s">
        <v>2873</v>
      </c>
      <c r="B442" s="2844">
        <v>46270</v>
      </c>
      <c r="C442" s="2875" t="str">
        <v>Saturday</v>
      </c>
      <c r="D442" s="2896" t="s">
        <v>2889</v>
      </c>
      <c r="E442" s="3169">
        <f t="shared" si="97"/>
      </c>
      <c r="F442" s="2897" t="s">
        <v>2654</v>
      </c>
      <c r="G442" s="3203"/>
      <c r="H442" s="2849" t="s">
        <v>2572</v>
      </c>
      <c r="I442" s="2943" t="s">
        <v>2528</v>
      </c>
      <c r="J442" s="3201"/>
      <c r="K442" s="2851"/>
      <c r="L442" s="2851"/>
      <c r="M442" s="2851"/>
      <c r="N442" s="2851"/>
      <c r="O442" s="2851"/>
      <c r="P442" s="2851"/>
    </row>
    <row customHeight="true" ht="18.452380952380953" r="443">
      <c r="A443" s="2875"/>
      <c r="B443" s="2875"/>
      <c r="C443" s="2875"/>
      <c r="D443" s="2896"/>
      <c r="E443" s="3169"/>
      <c r="F443" s="2897"/>
      <c r="G443" s="3203"/>
      <c r="H443" s="2849"/>
      <c r="I443" s="2943"/>
      <c r="J443" s="3201"/>
      <c r="K443" s="2851"/>
      <c r="L443" s="2851"/>
      <c r="M443" s="2851"/>
      <c r="N443" s="2851"/>
      <c r="O443" s="2851"/>
      <c r="P443" s="2851"/>
    </row>
    <row r="444">
      <c r="A444" s="3173" t="s">
        <v>2867</v>
      </c>
      <c r="B444" s="3174">
        <v>46271</v>
      </c>
      <c r="C444" s="3173" t="str">
        <v>Sunday</v>
      </c>
      <c r="D444" s="3198" t="s">
        <v>2868</v>
      </c>
      <c r="E444" s="3176">
        <f t="shared" ref="E444:E449" si="98">24*MOD(TIMEVALUE(TRIM(MID(D444,FIND("-",D444)+1,LEN(D444)))) - TIMEVALUE(TRIM(LEFT(D444,FIND("-",D444)-1))),1)</f>
      </c>
      <c r="F444" s="3179" t="s">
        <v>2870</v>
      </c>
      <c r="G444" s="3204"/>
      <c r="H444" s="2849" t="s">
        <v>2572</v>
      </c>
      <c r="I444" s="2943" t="s">
        <v>2528</v>
      </c>
      <c r="J444" s="3201"/>
      <c r="K444" s="2851"/>
      <c r="L444" s="2851"/>
      <c r="M444" s="2851"/>
      <c r="N444" s="2851"/>
      <c r="O444" s="2851"/>
      <c r="P444" s="2851"/>
    </row>
    <row r="445">
      <c r="A445" s="3173" t="s">
        <v>2867</v>
      </c>
      <c r="B445" s="3174">
        <v>46271</v>
      </c>
      <c r="C445" s="3173" t="str">
        <v>Sunday</v>
      </c>
      <c r="D445" s="3198" t="s">
        <v>2762</v>
      </c>
      <c r="E445" s="3176">
        <f t="shared" si="98"/>
      </c>
      <c r="F445" s="3179" t="s">
        <v>2732</v>
      </c>
      <c r="G445" s="3204"/>
      <c r="H445" s="2849" t="s">
        <v>2572</v>
      </c>
      <c r="I445" s="2943" t="s">
        <v>2528</v>
      </c>
      <c r="J445" s="3201"/>
      <c r="K445" s="2851"/>
      <c r="L445" s="2851"/>
      <c r="M445" s="2851"/>
      <c r="N445" s="2851"/>
      <c r="O445" s="2851"/>
      <c r="P445" s="2851"/>
    </row>
    <row customHeight="true" ht="18.452380952380953" r="446">
      <c r="A446" s="3173" t="s">
        <v>2867</v>
      </c>
      <c r="B446" s="3174">
        <v>46271</v>
      </c>
      <c r="C446" s="3173" t="str">
        <v>Sunday</v>
      </c>
      <c r="D446" s="3198" t="s">
        <v>2584</v>
      </c>
      <c r="E446" s="3176">
        <f t="shared" si="98"/>
      </c>
      <c r="F446" s="3179" t="s">
        <v>2870</v>
      </c>
      <c r="G446" s="3204"/>
      <c r="H446" s="2849" t="s">
        <v>2572</v>
      </c>
      <c r="I446" s="2943" t="s">
        <v>2528</v>
      </c>
      <c r="J446" s="3201"/>
      <c r="K446" s="2851"/>
      <c r="L446" s="2851"/>
      <c r="M446" s="2851"/>
      <c r="N446" s="2851"/>
      <c r="O446" s="2851"/>
      <c r="P446" s="2851"/>
    </row>
    <row customHeight="true" ht="18.452380952380953" r="447">
      <c r="A447" s="3173" t="s">
        <v>2867</v>
      </c>
      <c r="B447" s="3174">
        <v>46271</v>
      </c>
      <c r="C447" s="3173" t="str">
        <v>Sunday</v>
      </c>
      <c r="D447" s="3198" t="s">
        <v>2587</v>
      </c>
      <c r="E447" s="3176">
        <f t="shared" si="98"/>
      </c>
      <c r="F447" s="3179" t="s">
        <v>2644</v>
      </c>
      <c r="G447" s="3204"/>
      <c r="H447" s="2849" t="s">
        <v>2572</v>
      </c>
      <c r="I447" s="2943" t="s">
        <v>2528</v>
      </c>
      <c r="J447" s="3201"/>
      <c r="K447" s="2851"/>
      <c r="L447" s="2851"/>
      <c r="M447" s="2851"/>
      <c r="N447" s="2851"/>
      <c r="O447" s="2851"/>
      <c r="P447" s="2851"/>
    </row>
    <row r="448">
      <c r="A448" s="3173" t="s">
        <v>2867</v>
      </c>
      <c r="B448" s="3174">
        <v>46271</v>
      </c>
      <c r="C448" s="3173" t="str">
        <v>Sunday</v>
      </c>
      <c r="D448" s="3198" t="s">
        <v>2880</v>
      </c>
      <c r="E448" s="3176">
        <f t="shared" si="98"/>
      </c>
      <c r="F448" s="3176" t="s">
        <v>2879</v>
      </c>
      <c r="G448" s="3204"/>
      <c r="H448" s="2849" t="s">
        <v>2572</v>
      </c>
      <c r="I448" s="2943" t="s">
        <v>2528</v>
      </c>
      <c r="J448" s="3201"/>
      <c r="K448" s="2851"/>
      <c r="L448" s="2851"/>
      <c r="M448" s="2851"/>
      <c r="N448" s="2851"/>
      <c r="O448" s="2851"/>
      <c r="P448" s="2851"/>
    </row>
    <row r="449">
      <c r="A449" s="3173" t="s">
        <v>2867</v>
      </c>
      <c r="B449" s="3174">
        <v>46271</v>
      </c>
      <c r="C449" s="3173" t="str">
        <v>Sunday</v>
      </c>
      <c r="D449" s="3198" t="s">
        <v>2889</v>
      </c>
      <c r="E449" s="3176">
        <f t="shared" si="98"/>
      </c>
      <c r="F449" s="3179" t="s">
        <v>2644</v>
      </c>
      <c r="G449" s="3204"/>
      <c r="H449" s="2849" t="s">
        <v>2572</v>
      </c>
      <c r="I449" s="2943" t="s">
        <v>2528</v>
      </c>
      <c r="J449" s="3201"/>
      <c r="K449" s="2851"/>
      <c r="L449" s="2851"/>
      <c r="M449" s="2851"/>
      <c r="N449" s="2851"/>
      <c r="O449" s="2851"/>
      <c r="P449" s="2851"/>
    </row>
    <row customHeight="true" ht="18.452380952380953" r="450">
      <c r="A450" s="3173"/>
      <c r="B450" s="3174"/>
      <c r="C450" s="3173"/>
      <c r="D450" s="3198"/>
      <c r="E450" s="3176"/>
      <c r="F450" s="3179"/>
      <c r="G450" s="3204"/>
      <c r="H450" s="2849"/>
      <c r="I450" s="2943"/>
      <c r="J450" s="3201"/>
      <c r="K450" s="2851"/>
      <c r="L450" s="2851"/>
      <c r="M450" s="2851"/>
      <c r="N450" s="2851"/>
      <c r="O450" s="2851"/>
      <c r="P450" s="2851"/>
    </row>
    <row customHeight="true" ht="18.452380952380953" r="451">
      <c r="A451" s="3173" t="s">
        <v>2873</v>
      </c>
      <c r="B451" s="3174">
        <v>46271</v>
      </c>
      <c r="C451" s="3173" t="s">
        <v>2890</v>
      </c>
      <c r="D451" s="3198" t="s">
        <v>2874</v>
      </c>
      <c r="E451" s="3186">
        <f t="shared" ref="E451:E456" si="99">24*MOD(TIMEVALUE(TRIM(MID(D451,FIND("-",D451)+1,LEN(D451)))) - TIMEVALUE(TRIM(LEFT(D451,FIND("-",D451)-1))),1)</f>
      </c>
      <c r="F451" s="3180" t="s">
        <v>2875</v>
      </c>
      <c r="G451" s="3205"/>
      <c r="H451" s="2849" t="s">
        <v>2572</v>
      </c>
      <c r="I451" s="2943" t="s">
        <v>2528</v>
      </c>
      <c r="J451" s="3201"/>
      <c r="K451" s="2851"/>
      <c r="L451" s="2851"/>
      <c r="M451" s="2851"/>
      <c r="N451" s="2851"/>
      <c r="O451" s="2851"/>
      <c r="P451" s="2851"/>
    </row>
    <row r="452">
      <c r="A452" s="3173" t="s">
        <v>2873</v>
      </c>
      <c r="B452" s="3174">
        <v>46271</v>
      </c>
      <c r="C452" s="3173" t="s">
        <v>2890</v>
      </c>
      <c r="D452" s="3198" t="s">
        <v>2762</v>
      </c>
      <c r="E452" s="3186">
        <f t="shared" si="99"/>
      </c>
      <c r="F452" s="3180" t="s">
        <v>2571</v>
      </c>
      <c r="G452" s="3206"/>
      <c r="H452" s="3207" t="s">
        <v>2572</v>
      </c>
      <c r="I452" s="2943" t="s">
        <v>2528</v>
      </c>
      <c r="J452" s="3201"/>
      <c r="K452" s="2851"/>
      <c r="L452" s="2851"/>
      <c r="M452" s="2851"/>
      <c r="N452" s="2851"/>
      <c r="O452" s="2851"/>
      <c r="P452" s="2851"/>
    </row>
    <row customHeight="true" ht="18.452380952380953" r="453">
      <c r="A453" s="3173" t="s">
        <v>2873</v>
      </c>
      <c r="B453" s="3174">
        <v>46271</v>
      </c>
      <c r="C453" s="3173" t="s">
        <v>2890</v>
      </c>
      <c r="D453" s="3198" t="s">
        <v>2584</v>
      </c>
      <c r="E453" s="3186">
        <f t="shared" si="99"/>
      </c>
      <c r="F453" s="3186" t="s">
        <v>2885</v>
      </c>
      <c r="G453" s="3204"/>
      <c r="H453" s="2849" t="s">
        <v>2572</v>
      </c>
      <c r="I453" s="2943" t="s">
        <v>2528</v>
      </c>
      <c r="J453" s="3201"/>
      <c r="K453" s="2851"/>
      <c r="L453" s="2851"/>
      <c r="M453" s="2851"/>
      <c r="N453" s="2851"/>
      <c r="O453" s="2851"/>
      <c r="P453" s="2851"/>
    </row>
    <row customHeight="true" ht="18.452380952380953" r="454">
      <c r="A454" s="3173" t="s">
        <v>2873</v>
      </c>
      <c r="B454" s="3174">
        <v>46271</v>
      </c>
      <c r="C454" s="3173" t="s">
        <v>2890</v>
      </c>
      <c r="D454" s="3198" t="s">
        <v>2587</v>
      </c>
      <c r="E454" s="3186">
        <f t="shared" si="99"/>
      </c>
      <c r="F454" s="3180" t="s">
        <v>2654</v>
      </c>
      <c r="G454" s="3205"/>
      <c r="H454" s="2849" t="s">
        <v>2572</v>
      </c>
      <c r="I454" s="2943" t="s">
        <v>2528</v>
      </c>
      <c r="J454" s="3201"/>
      <c r="K454" s="2851"/>
      <c r="L454" s="2851"/>
      <c r="M454" s="2851"/>
      <c r="N454" s="2851"/>
      <c r="O454" s="2851"/>
      <c r="P454" s="2851"/>
    </row>
    <row customHeight="true" ht="18.452380952380953" r="455">
      <c r="A455" s="3173" t="s">
        <v>2873</v>
      </c>
      <c r="B455" s="3174">
        <v>46271</v>
      </c>
      <c r="C455" s="3173" t="s">
        <v>2890</v>
      </c>
      <c r="D455" s="3198" t="s">
        <v>2880</v>
      </c>
      <c r="E455" s="3186">
        <f t="shared" si="99"/>
      </c>
      <c r="F455" s="3180" t="s">
        <v>2655</v>
      </c>
      <c r="G455" s="3205"/>
      <c r="H455" s="2849" t="s">
        <v>2572</v>
      </c>
      <c r="I455" s="2943" t="s">
        <v>2528</v>
      </c>
      <c r="J455" s="3201"/>
      <c r="K455" s="2851"/>
      <c r="L455" s="2851"/>
      <c r="M455" s="2851"/>
      <c r="N455" s="2851"/>
      <c r="O455" s="2851"/>
      <c r="P455" s="2851"/>
    </row>
    <row customHeight="true" ht="18.452380952380953" r="456">
      <c r="A456" s="3173" t="s">
        <v>2873</v>
      </c>
      <c r="B456" s="3174">
        <v>46271</v>
      </c>
      <c r="C456" s="3173" t="s">
        <v>2890</v>
      </c>
      <c r="D456" s="3198" t="s">
        <v>2889</v>
      </c>
      <c r="E456" s="3186">
        <f t="shared" si="99"/>
      </c>
      <c r="F456" s="3180" t="s">
        <v>2654</v>
      </c>
      <c r="G456" s="3205"/>
      <c r="H456" s="2849" t="s">
        <v>2572</v>
      </c>
      <c r="I456" s="2943" t="s">
        <v>2528</v>
      </c>
      <c r="J456" s="3201"/>
      <c r="K456" s="2851"/>
      <c r="L456" s="2851"/>
      <c r="M456" s="2851"/>
      <c r="N456" s="2851"/>
      <c r="O456" s="2851"/>
      <c r="P456" s="2851"/>
    </row>
    <row customHeight="true" ht="18.452380952380953" r="457">
      <c r="A457" s="2895"/>
      <c r="B457" s="3002"/>
      <c r="C457" s="2895"/>
      <c r="D457" s="2896"/>
      <c r="E457" s="3008"/>
      <c r="F457" s="2897"/>
      <c r="G457" s="3208"/>
      <c r="H457" s="2897"/>
      <c r="I457" s="2860"/>
      <c r="J457" s="3209"/>
      <c r="K457" s="2851"/>
      <c r="L457" s="2851"/>
      <c r="M457" s="2851"/>
      <c r="N457" s="2851"/>
      <c r="O457" s="2851"/>
      <c r="P457" s="2851"/>
      <c r="Q457" s="2914"/>
      <c r="R457" s="2914"/>
    </row>
    <row customHeight="true" ht="18.452380952380953" r="458">
      <c r="A458" s="2895" t="s">
        <v>2891</v>
      </c>
      <c r="B458" s="2844">
        <v>46269</v>
      </c>
      <c r="C458" s="2875" t="str">
        <v>Friday</v>
      </c>
      <c r="D458" s="2896" t="s">
        <v>2587</v>
      </c>
      <c r="E458" s="3008">
        <f>24*MOD(TIMEVALUE(TRIM(MID(D458,FIND("-",D458)+1,LEN(D458)))) - TIMEVALUE(TRIM(LEFT(D458,FIND("-",D458)-1))),1)</f>
      </c>
      <c r="F458" s="3168" t="s">
        <v>2872</v>
      </c>
      <c r="G458" s="3208"/>
      <c r="H458" s="2897"/>
      <c r="I458" s="2860"/>
      <c r="J458" s="3209"/>
      <c r="K458" s="2851"/>
      <c r="L458" s="2851"/>
      <c r="M458" s="2851"/>
      <c r="N458" s="2851"/>
      <c r="O458" s="2851"/>
      <c r="P458" s="2851"/>
      <c r="Q458" s="2914"/>
      <c r="R458" s="2914"/>
    </row>
    <row r="459">
      <c r="A459" s="3210"/>
      <c r="B459" s="3210"/>
      <c r="C459" s="3210"/>
      <c r="D459" s="3210"/>
      <c r="E459" s="3210"/>
      <c r="F459" s="3210"/>
      <c r="G459" s="3210"/>
      <c r="H459" s="3210"/>
      <c r="I459" s="3210"/>
      <c r="J459" s="3112"/>
      <c r="K459" s="2851"/>
      <c r="L459" s="2851"/>
      <c r="M459" s="2851"/>
      <c r="N459" s="2851"/>
      <c r="O459" s="2851"/>
      <c r="P459" s="2851"/>
    </row>
    <row r="460">
      <c r="A460" s="3162" t="s">
        <v>2892</v>
      </c>
      <c r="B460" s="3162"/>
      <c r="C460" s="3162"/>
      <c r="D460" s="3162"/>
      <c r="E460" s="3162"/>
      <c r="F460" s="3162"/>
      <c r="G460" s="3162"/>
      <c r="H460" s="3162"/>
      <c r="I460" s="3162"/>
      <c r="J460" s="3163"/>
      <c r="K460" s="2887"/>
      <c r="L460" s="2887"/>
      <c r="M460" s="2887"/>
      <c r="N460" s="2887"/>
      <c r="O460" s="2887"/>
      <c r="P460" s="2887"/>
    </row>
    <row r="461">
      <c r="A461" s="3164" t="s">
        <v>2554</v>
      </c>
      <c r="B461" s="3026" t="s">
        <v>2555</v>
      </c>
      <c r="C461" s="3026"/>
      <c r="D461" s="3028" t="s">
        <v>2556</v>
      </c>
      <c r="E461" s="3165" t="s">
        <v>2557</v>
      </c>
      <c r="F461" s="3165" t="s">
        <v>2558</v>
      </c>
      <c r="G461" s="3166" t="s">
        <v>2577</v>
      </c>
      <c r="H461" s="3165" t="s">
        <v>2560</v>
      </c>
      <c r="I461" s="3165" t="s">
        <v>2561</v>
      </c>
      <c r="J461" s="3031" t="s">
        <v>2562</v>
      </c>
      <c r="K461" s="2874"/>
      <c r="L461" s="2874"/>
      <c r="M461" s="2874"/>
      <c r="N461" s="2874"/>
      <c r="O461" s="2874"/>
      <c r="P461" s="2874"/>
    </row>
    <row r="462">
      <c r="A462" s="3211" t="s">
        <v>2893</v>
      </c>
      <c r="B462" s="2844">
        <v>46268</v>
      </c>
      <c r="C462" s="2875" t="str">
        <v>Thursday</v>
      </c>
      <c r="D462" s="2881" t="s">
        <v>2663</v>
      </c>
      <c r="E462" s="2849">
        <f t="shared" ref="E462:E465" si="100">24*MOD(TIMEVALUE(TRIM(MID(D462,FIND("-",D462)+1,LEN(D462)))) - TIMEVALUE(TRIM(LEFT(D462,FIND("-",D462)-1))),1)</f>
      </c>
      <c r="F462" s="2897" t="s">
        <v>2872</v>
      </c>
      <c r="G462" s="3212"/>
      <c r="H462" s="2849"/>
      <c r="I462" s="2854" t="s">
        <v>2528</v>
      </c>
      <c r="J462" s="3213"/>
      <c r="K462" s="2851"/>
      <c r="L462" s="2851"/>
      <c r="M462" s="2851"/>
      <c r="N462" s="2851"/>
      <c r="O462" s="2851"/>
      <c r="P462" s="2851"/>
    </row>
    <row r="463">
      <c r="A463" s="3211" t="s">
        <v>2893</v>
      </c>
      <c r="B463" s="2844">
        <v>46271</v>
      </c>
      <c r="C463" s="2875" t="str">
        <v>Sunday</v>
      </c>
      <c r="D463" s="2881" t="s">
        <v>2651</v>
      </c>
      <c r="E463" s="2849">
        <f t="shared" si="100"/>
      </c>
      <c r="F463" s="2897" t="s">
        <v>2732</v>
      </c>
      <c r="G463" s="3212" t="s">
        <v>2877</v>
      </c>
      <c r="H463" s="2849"/>
      <c r="I463" s="2854" t="s">
        <v>2528</v>
      </c>
      <c r="J463" s="3213"/>
      <c r="K463" s="2851"/>
      <c r="L463" s="2851"/>
      <c r="M463" s="2851"/>
      <c r="N463" s="2851"/>
      <c r="O463" s="2851"/>
      <c r="P463" s="2851"/>
    </row>
    <row customHeight="true" ht="18.452380952380953" r="464">
      <c r="A464" s="3211" t="s">
        <v>2894</v>
      </c>
      <c r="B464" s="2844">
        <v>46268</v>
      </c>
      <c r="C464" s="2875" t="str">
        <v>Thursday</v>
      </c>
      <c r="D464" s="2881" t="s">
        <v>2895</v>
      </c>
      <c r="E464" s="2849">
        <f t="shared" si="100"/>
      </c>
      <c r="F464" s="2897" t="s">
        <v>2654</v>
      </c>
      <c r="G464" s="3212"/>
      <c r="H464" s="2849"/>
      <c r="I464" s="2854" t="s">
        <v>2528</v>
      </c>
      <c r="J464" s="3213"/>
      <c r="K464" s="2851"/>
      <c r="L464" s="2851"/>
      <c r="M464" s="2851"/>
      <c r="N464" s="2851"/>
      <c r="O464" s="2851"/>
      <c r="P464" s="2851"/>
    </row>
    <row r="465">
      <c r="A465" s="3211" t="s">
        <v>2896</v>
      </c>
      <c r="B465" s="2844">
        <v>46270</v>
      </c>
      <c r="C465" s="2875" t="str">
        <v>Saturday</v>
      </c>
      <c r="D465" s="2881" t="s">
        <v>2897</v>
      </c>
      <c r="E465" s="2849">
        <f t="shared" si="100"/>
      </c>
      <c r="F465" s="2897" t="s">
        <v>2732</v>
      </c>
      <c r="G465" s="3212"/>
      <c r="H465" s="2849"/>
      <c r="I465" s="2854" t="s">
        <v>2528</v>
      </c>
      <c r="J465" s="3213"/>
      <c r="K465" s="2851"/>
      <c r="L465" s="2851"/>
      <c r="M465" s="2851"/>
      <c r="N465" s="2851"/>
      <c r="O465" s="2851"/>
      <c r="P465" s="2851"/>
    </row>
    <row customHeight="true" ht="16.071428571428573" r="466">
      <c r="A466" s="3211"/>
      <c r="B466" s="2875"/>
      <c r="C466" s="2875"/>
      <c r="D466" s="2849"/>
      <c r="E466" s="2849"/>
      <c r="F466" s="2849"/>
      <c r="G466" s="3214"/>
      <c r="H466" s="2849"/>
      <c r="I466" s="3176"/>
      <c r="J466" s="3213"/>
      <c r="K466" s="2851"/>
      <c r="L466" s="2851"/>
      <c r="M466" s="2851"/>
      <c r="N466" s="2851"/>
      <c r="O466" s="2851"/>
      <c r="P466" s="2851"/>
    </row>
    <row customHeight="true" ht="33.23485645144371" r="467">
      <c r="A467" s="3215" t="s">
        <v>2898</v>
      </c>
      <c r="B467" s="3215"/>
      <c r="C467" s="3215"/>
      <c r="D467" s="3215"/>
      <c r="E467" s="3215"/>
      <c r="F467" s="3215"/>
      <c r="G467" s="3215"/>
      <c r="H467" s="3215"/>
      <c r="I467" s="3215"/>
      <c r="J467" s="3216"/>
      <c r="K467" s="2887"/>
      <c r="L467" s="2887"/>
      <c r="M467" s="2887"/>
      <c r="N467" s="2887"/>
      <c r="O467" s="2887"/>
      <c r="P467" s="2887"/>
    </row>
    <row customHeight="true" ht="27.760108931548054" r="468">
      <c r="A468" s="3217" t="s">
        <v>2554</v>
      </c>
      <c r="B468" s="3218" t="s">
        <v>2555</v>
      </c>
      <c r="C468" s="3218"/>
      <c r="D468" s="3219" t="s">
        <v>2556</v>
      </c>
      <c r="E468" s="3219" t="s">
        <v>2557</v>
      </c>
      <c r="F468" s="3219" t="s">
        <v>2558</v>
      </c>
      <c r="G468" s="3220" t="s">
        <v>2577</v>
      </c>
      <c r="H468" s="3219" t="s">
        <v>2560</v>
      </c>
      <c r="I468" s="3219" t="s">
        <v>2561</v>
      </c>
      <c r="J468" s="3221" t="s">
        <v>2562</v>
      </c>
      <c r="K468" s="2874"/>
      <c r="L468" s="2874"/>
      <c r="M468" s="2874"/>
      <c r="N468" s="2874"/>
      <c r="O468" s="2874"/>
      <c r="P468" s="2874"/>
    </row>
    <row customHeight="true" ht="16.071428571428573" r="469">
      <c r="A469" s="2895" t="s">
        <v>2899</v>
      </c>
      <c r="B469" s="3002">
        <v>46266</v>
      </c>
      <c r="C469" s="2895" t="str">
        <v>Tuesday</v>
      </c>
      <c r="D469" s="2896" t="s">
        <v>2731</v>
      </c>
      <c r="E469" s="2897">
        <f t="shared" ref="E469:E472" si="101">24*MOD(TIMEVALUE(TRIM(MID(D469,FIND("-",D469)+1,LEN(D469)))) - TIMEVALUE(TRIM(LEFT(D469,FIND("-",D469)-1))),1)</f>
      </c>
      <c r="F469" s="2897" t="s">
        <v>2900</v>
      </c>
      <c r="G469" s="3078"/>
      <c r="H469" s="2897" t="s">
        <v>2572</v>
      </c>
      <c r="I469" s="2897" t="s">
        <v>2528</v>
      </c>
      <c r="J469" s="3096"/>
      <c r="K469" s="2851"/>
      <c r="L469" s="2851"/>
      <c r="M469" s="2851"/>
      <c r="N469" s="2851"/>
      <c r="O469" s="2851"/>
      <c r="P469" s="2851"/>
      <c r="Q469" s="2914"/>
      <c r="R469" s="2914"/>
    </row>
    <row customHeight="true" ht="16.071428571428573" r="470">
      <c r="A470" s="2895" t="s">
        <v>2899</v>
      </c>
      <c r="B470" s="3002">
        <v>46268</v>
      </c>
      <c r="C470" s="2895" t="str">
        <v>Thursday</v>
      </c>
      <c r="D470" s="2896" t="s">
        <v>2731</v>
      </c>
      <c r="E470" s="3008">
        <f t="shared" si="101"/>
      </c>
      <c r="F470" s="2897" t="s">
        <v>2901</v>
      </c>
      <c r="G470" s="3222"/>
      <c r="H470" s="3008" t="s">
        <v>2572</v>
      </c>
      <c r="I470" s="2897" t="s">
        <v>2528</v>
      </c>
      <c r="J470" s="3223"/>
      <c r="K470" s="3172"/>
      <c r="L470" s="3172"/>
      <c r="M470" s="3172"/>
      <c r="N470" s="3172"/>
      <c r="O470" s="3172"/>
      <c r="P470" s="3172"/>
      <c r="Q470" s="2914"/>
      <c r="R470" s="2914"/>
    </row>
    <row customHeight="true" ht="16.071428571428573" r="471">
      <c r="A471" s="2895" t="s">
        <v>2899</v>
      </c>
      <c r="B471" s="3002">
        <v>46269</v>
      </c>
      <c r="C471" s="2895" t="str">
        <v>Friday</v>
      </c>
      <c r="D471" s="3224" t="s">
        <v>2762</v>
      </c>
      <c r="E471" s="3008">
        <f t="shared" si="101"/>
      </c>
      <c r="F471" s="2897" t="s">
        <v>2900</v>
      </c>
      <c r="G471" s="3222"/>
      <c r="H471" s="3008" t="s">
        <v>2572</v>
      </c>
      <c r="I471" s="2897" t="s">
        <v>2528</v>
      </c>
      <c r="J471" s="3223"/>
      <c r="K471" s="3172"/>
      <c r="L471" s="3172"/>
      <c r="M471" s="3172"/>
      <c r="N471" s="3172"/>
      <c r="O471" s="3172"/>
      <c r="P471" s="3172"/>
      <c r="Q471" s="2914"/>
      <c r="R471" s="2914"/>
    </row>
    <row customHeight="true" ht="16.071428571428573" r="472">
      <c r="A472" s="2898" t="s">
        <v>2899</v>
      </c>
      <c r="B472" s="2899">
        <v>46271</v>
      </c>
      <c r="C472" s="2898" t="str">
        <v>Sunday</v>
      </c>
      <c r="D472" s="3225" t="s">
        <v>2605</v>
      </c>
      <c r="E472" s="3226">
        <f t="shared" si="101"/>
      </c>
      <c r="F472" s="2901" t="s">
        <v>2745</v>
      </c>
      <c r="G472" s="3227"/>
      <c r="H472" s="3226" t="s">
        <v>2572</v>
      </c>
      <c r="I472" s="2901" t="s">
        <v>2568</v>
      </c>
      <c r="J472" s="3182" t="s">
        <v>2902</v>
      </c>
      <c r="K472" s="3183"/>
      <c r="L472" s="3183"/>
      <c r="M472" s="3183"/>
      <c r="N472" s="3183"/>
      <c r="O472" s="3183"/>
      <c r="P472" s="3183"/>
      <c r="Q472" s="3037"/>
      <c r="R472" s="3037"/>
    </row>
    <row customHeight="true" ht="16.071428571428573" r="473">
      <c r="A473" s="2895"/>
      <c r="B473" s="3002"/>
      <c r="C473" s="2895"/>
      <c r="D473" s="2896"/>
      <c r="E473" s="2897"/>
      <c r="F473" s="3008"/>
      <c r="G473" s="3078"/>
      <c r="H473" s="2897"/>
      <c r="I473" s="2897"/>
      <c r="J473" s="3096"/>
      <c r="K473" s="2851"/>
      <c r="L473" s="2851"/>
      <c r="M473" s="2851"/>
      <c r="N473" s="2851"/>
      <c r="O473" s="2851"/>
      <c r="P473" s="2851"/>
      <c r="Q473" s="2914"/>
      <c r="R473" s="2914"/>
    </row>
    <row customHeight="true" ht="16.071428571428573" r="474">
      <c r="A474" s="2895" t="s">
        <v>2903</v>
      </c>
      <c r="B474" s="3002">
        <v>46266</v>
      </c>
      <c r="C474" s="2895" t="str">
        <v>Tuesday</v>
      </c>
      <c r="D474" s="2896" t="s">
        <v>2904</v>
      </c>
      <c r="E474" s="2897">
        <f t="shared" ref="E474:E477" si="102">24*MOD(TIMEVALUE(TRIM(MID(D474,FIND("-",D474)+1,LEN(D474)))) - TIMEVALUE(TRIM(LEFT(D474,FIND("-",D474)-1))),1)</f>
      </c>
      <c r="F474" s="3008" t="s">
        <v>2885</v>
      </c>
      <c r="G474" s="3078"/>
      <c r="H474" s="2897" t="s">
        <v>2572</v>
      </c>
      <c r="I474" s="2860" t="s">
        <v>2568</v>
      </c>
      <c r="J474" s="3096"/>
      <c r="K474" s="2851"/>
      <c r="L474" s="2851"/>
      <c r="M474" s="2851"/>
      <c r="N474" s="2851"/>
      <c r="O474" s="2851"/>
      <c r="P474" s="2851"/>
      <c r="Q474" s="2914"/>
      <c r="R474" s="2914"/>
    </row>
    <row customHeight="true" ht="16.071428571428573" r="475">
      <c r="A475" s="2895" t="s">
        <v>2903</v>
      </c>
      <c r="B475" s="3002">
        <v>46268</v>
      </c>
      <c r="C475" s="2895" t="str">
        <v>Thursday</v>
      </c>
      <c r="D475" s="2896" t="s">
        <v>2904</v>
      </c>
      <c r="E475" s="2897">
        <f t="shared" si="102"/>
      </c>
      <c r="F475" s="3008" t="s">
        <v>2885</v>
      </c>
      <c r="G475" s="3078"/>
      <c r="H475" s="2897" t="s">
        <v>2572</v>
      </c>
      <c r="I475" s="2860" t="s">
        <v>2568</v>
      </c>
      <c r="J475" s="3160"/>
      <c r="K475" s="2851"/>
      <c r="L475" s="2851"/>
      <c r="M475" s="2851"/>
      <c r="N475" s="2851"/>
      <c r="O475" s="2851"/>
      <c r="P475" s="2851"/>
      <c r="Q475" s="2914"/>
      <c r="R475" s="2914"/>
    </row>
    <row customHeight="true" ht="16.071428571428573" r="476">
      <c r="A476" s="2895" t="s">
        <v>2903</v>
      </c>
      <c r="B476" s="3002">
        <v>46269</v>
      </c>
      <c r="C476" s="2895" t="str">
        <v>Friday</v>
      </c>
      <c r="D476" s="2896" t="s">
        <v>2566</v>
      </c>
      <c r="E476" s="2897">
        <f t="shared" si="102"/>
      </c>
      <c r="F476" s="3008" t="s">
        <v>2885</v>
      </c>
      <c r="G476" s="3078"/>
      <c r="H476" s="2897" t="s">
        <v>2572</v>
      </c>
      <c r="I476" s="2860" t="s">
        <v>2568</v>
      </c>
      <c r="J476" s="3096"/>
      <c r="K476" s="2851"/>
      <c r="L476" s="2851"/>
      <c r="M476" s="2851"/>
      <c r="N476" s="2851"/>
      <c r="O476" s="2851"/>
      <c r="P476" s="2851"/>
      <c r="Q476" s="2914"/>
      <c r="R476" s="2914"/>
    </row>
    <row customHeight="true" ht="16.071428571428573" r="477">
      <c r="A477" s="2895" t="s">
        <v>2903</v>
      </c>
      <c r="B477" s="3002">
        <v>46271</v>
      </c>
      <c r="C477" s="2895" t="str">
        <v>Sunday</v>
      </c>
      <c r="D477" s="2896" t="s">
        <v>2905</v>
      </c>
      <c r="E477" s="2897">
        <f t="shared" si="102"/>
      </c>
      <c r="F477" s="3008" t="s">
        <v>2885</v>
      </c>
      <c r="G477" s="3075" t="s">
        <v>2657</v>
      </c>
      <c r="H477" s="2897" t="s">
        <v>2572</v>
      </c>
      <c r="I477" s="2860" t="s">
        <v>2568</v>
      </c>
      <c r="J477" s="3076"/>
      <c r="K477" s="2851"/>
      <c r="L477" s="2851"/>
      <c r="M477" s="2851"/>
      <c r="N477" s="2851"/>
      <c r="O477" s="2851"/>
      <c r="P477" s="2851"/>
      <c r="Q477" s="2914"/>
      <c r="R477" s="2914"/>
    </row>
    <row customHeight="true" ht="16.071428571428573" r="478">
      <c r="A478" s="2895"/>
      <c r="B478" s="3002"/>
      <c r="C478" s="2895"/>
      <c r="D478" s="2897"/>
      <c r="E478" s="2897"/>
      <c r="F478" s="3008"/>
      <c r="G478" s="3078"/>
      <c r="H478" s="2897"/>
      <c r="I478" s="2854"/>
      <c r="J478" s="3096"/>
      <c r="K478" s="2851"/>
      <c r="L478" s="2851"/>
      <c r="M478" s="2851"/>
      <c r="N478" s="2851"/>
      <c r="O478" s="2851"/>
      <c r="P478" s="2851"/>
      <c r="Q478" s="2914"/>
      <c r="R478" s="2914"/>
    </row>
    <row customHeight="true" ht="16.071428571428573" r="479">
      <c r="A479" s="3211"/>
      <c r="B479" s="2875"/>
      <c r="C479" s="2875"/>
      <c r="D479" s="2849"/>
      <c r="E479" s="2849"/>
      <c r="F479" s="2849"/>
      <c r="G479" s="3214"/>
      <c r="H479" s="2849"/>
      <c r="I479" s="2897"/>
      <c r="J479" s="3213"/>
      <c r="K479" s="2851"/>
      <c r="L479" s="2851"/>
      <c r="M479" s="2851"/>
      <c r="N479" s="2851"/>
      <c r="O479" s="2851"/>
      <c r="P479" s="2851"/>
    </row>
    <row r="480">
      <c r="A480" s="3112"/>
      <c r="B480" s="3112"/>
      <c r="C480" s="3112"/>
      <c r="D480" s="2884"/>
      <c r="E480" s="3112"/>
      <c r="F480" s="3112"/>
      <c r="G480" s="3228"/>
      <c r="H480" s="3112"/>
      <c r="I480" s="3112"/>
      <c r="J480" s="3112"/>
      <c r="K480" s="2851"/>
      <c r="L480" s="2851"/>
      <c r="M480" s="2851"/>
      <c r="N480" s="2851"/>
      <c r="O480" s="2851"/>
      <c r="P480" s="2851"/>
    </row>
    <row r="481">
      <c r="A481" s="2875"/>
      <c r="B481" s="2875"/>
      <c r="C481" s="2875"/>
      <c r="D481" s="2854"/>
      <c r="E481" s="2854"/>
      <c r="F481" s="2882"/>
      <c r="G481" s="3006"/>
      <c r="H481" s="2849"/>
      <c r="I481" s="2854"/>
      <c r="J481" s="2878"/>
      <c r="K481" s="2851"/>
      <c r="L481" s="2851"/>
      <c r="M481" s="2851"/>
      <c r="N481" s="2851"/>
      <c r="O481" s="2851"/>
      <c r="P481" s="2851"/>
    </row>
    <row r="482">
      <c r="A482" s="3229" t="s">
        <v>2906</v>
      </c>
      <c r="B482" s="3229"/>
      <c r="C482" s="3229"/>
      <c r="D482" s="3229"/>
      <c r="E482" s="3229"/>
      <c r="F482" s="3229"/>
      <c r="G482" s="3229"/>
      <c r="H482" s="3229"/>
      <c r="I482" s="3229"/>
      <c r="J482" s="3230"/>
      <c r="K482" s="2887"/>
      <c r="L482" s="2887"/>
      <c r="M482" s="2887"/>
      <c r="N482" s="2887"/>
      <c r="O482" s="2887"/>
      <c r="P482" s="2887"/>
    </row>
    <row r="483">
      <c r="A483" s="3231" t="s">
        <v>2554</v>
      </c>
      <c r="B483" s="3232" t="s">
        <v>2555</v>
      </c>
      <c r="C483" s="3232"/>
      <c r="D483" s="3233" t="s">
        <v>2556</v>
      </c>
      <c r="E483" s="3233" t="s">
        <v>2557</v>
      </c>
      <c r="F483" s="3233" t="s">
        <v>2558</v>
      </c>
      <c r="G483" s="3234" t="s">
        <v>2577</v>
      </c>
      <c r="H483" s="3233" t="s">
        <v>2560</v>
      </c>
      <c r="I483" s="3233" t="s">
        <v>2561</v>
      </c>
      <c r="J483" s="3235" t="s">
        <v>2562</v>
      </c>
      <c r="K483" s="2874"/>
      <c r="L483" s="2874"/>
      <c r="M483" s="2874"/>
      <c r="N483" s="2874"/>
      <c r="O483" s="2874"/>
      <c r="P483" s="2874"/>
    </row>
    <row customHeight="true" ht="18.452380952380953" r="484">
      <c r="A484" s="2895" t="s">
        <v>2907</v>
      </c>
      <c r="B484" s="2844">
        <v>46266</v>
      </c>
      <c r="C484" s="2875" t="str">
        <v>Tuesday</v>
      </c>
      <c r="D484" s="3236" t="s">
        <v>2908</v>
      </c>
      <c r="E484" s="2897">
        <f t="shared" ref="E484:E514" si="103">24*MOD(TIMEVALUE(TRIM(MID(D484,FIND("-",D484)+1,LEN(D484)))) - TIMEVALUE(TRIM(LEFT(D484,FIND("-",D484)-1))),1)</f>
      </c>
      <c r="F484" s="2847" t="s">
        <v>2909</v>
      </c>
      <c r="G484" s="3078"/>
      <c r="H484" s="2897" t="s">
        <v>2527</v>
      </c>
      <c r="I484" s="2897" t="s">
        <v>2528</v>
      </c>
      <c r="J484" s="3076" t="s">
        <v>2910</v>
      </c>
      <c r="K484" s="2851"/>
      <c r="L484" s="2851"/>
      <c r="M484" s="2851"/>
      <c r="N484" s="2851"/>
      <c r="O484" s="2851"/>
      <c r="P484" s="2851"/>
      <c r="Q484" s="2914"/>
      <c r="R484" s="2914"/>
    </row>
    <row r="485">
      <c r="A485" s="2898" t="s">
        <v>2911</v>
      </c>
      <c r="B485" s="2899">
        <v>46266</v>
      </c>
      <c r="C485" s="2898" t="str">
        <v>Tuesday</v>
      </c>
      <c r="D485" s="2900" t="s">
        <v>2587</v>
      </c>
      <c r="E485" s="2901">
        <f t="shared" si="103"/>
      </c>
      <c r="F485" s="2901" t="s">
        <v>2912</v>
      </c>
      <c r="G485" s="2916"/>
      <c r="H485" s="2901" t="s">
        <v>2527</v>
      </c>
      <c r="I485" s="2901"/>
      <c r="J485" s="2904" t="s">
        <v>2913</v>
      </c>
      <c r="K485" s="3036"/>
      <c r="L485" s="3036"/>
      <c r="M485" s="3036"/>
      <c r="N485" s="3036"/>
      <c r="O485" s="3036"/>
      <c r="P485" s="3036"/>
      <c r="Q485" s="3037"/>
      <c r="R485" s="3037"/>
    </row>
    <row customHeight="true" ht="18.452380952380953" r="486">
      <c r="A486" s="3173" t="s">
        <v>2911</v>
      </c>
      <c r="B486" s="3174">
        <v>46266</v>
      </c>
      <c r="C486" s="3173" t="str">
        <v>Tuesday</v>
      </c>
      <c r="D486" s="3198" t="s">
        <v>2914</v>
      </c>
      <c r="E486" s="3176">
        <f t="shared" si="103"/>
      </c>
      <c r="F486" s="3176" t="s">
        <v>2915</v>
      </c>
      <c r="G486" s="3078"/>
      <c r="H486" s="2897" t="s">
        <v>2527</v>
      </c>
      <c r="I486" s="2897"/>
      <c r="J486" s="3096"/>
      <c r="K486" s="2851"/>
      <c r="L486" s="2851"/>
      <c r="M486" s="2851"/>
      <c r="N486" s="2851"/>
      <c r="O486" s="2851"/>
      <c r="P486" s="2851"/>
    </row>
    <row customHeight="true" ht="18.452380952380953" r="487">
      <c r="A487" s="3173" t="s">
        <v>2911</v>
      </c>
      <c r="B487" s="3174">
        <v>46266</v>
      </c>
      <c r="C487" s="3173" t="str">
        <v>Tuesday</v>
      </c>
      <c r="D487" s="3198" t="s">
        <v>2880</v>
      </c>
      <c r="E487" s="3176">
        <f t="shared" si="103"/>
      </c>
      <c r="F487" s="3237" t="s">
        <v>2909</v>
      </c>
      <c r="G487" s="3078"/>
      <c r="H487" s="2897" t="s">
        <v>2527</v>
      </c>
      <c r="I487" s="2897" t="s">
        <v>2528</v>
      </c>
      <c r="J487" s="3096"/>
      <c r="K487" s="2851"/>
      <c r="L487" s="2851"/>
      <c r="M487" s="2851"/>
      <c r="N487" s="2851"/>
      <c r="O487" s="2851"/>
      <c r="P487" s="2851"/>
    </row>
    <row r="488">
      <c r="A488" s="2875" t="s">
        <v>2916</v>
      </c>
      <c r="B488" s="2844">
        <v>46266</v>
      </c>
      <c r="C488" s="2875" t="str">
        <v>Tuesday</v>
      </c>
      <c r="D488" s="3236" t="s">
        <v>2917</v>
      </c>
      <c r="E488" s="2854">
        <f t="shared" si="103"/>
      </c>
      <c r="F488" s="2897" t="s">
        <v>2918</v>
      </c>
      <c r="G488" s="3078"/>
      <c r="H488" s="2897" t="s">
        <v>2527</v>
      </c>
      <c r="I488" s="2897" t="s">
        <v>2528</v>
      </c>
      <c r="J488" s="3076"/>
      <c r="K488" s="3022"/>
      <c r="L488" s="3022"/>
      <c r="M488" s="3022"/>
      <c r="N488" s="3022"/>
      <c r="O488" s="3022"/>
      <c r="P488" s="3022"/>
    </row>
    <row r="489">
      <c r="A489" s="2875" t="s">
        <v>2916</v>
      </c>
      <c r="B489" s="2844">
        <v>46266</v>
      </c>
      <c r="C489" s="2875" t="str">
        <v>Tuesday</v>
      </c>
      <c r="D489" s="3236" t="s">
        <v>2880</v>
      </c>
      <c r="E489" s="2854">
        <f t="shared" si="103"/>
      </c>
      <c r="F489" s="2854" t="s">
        <v>2915</v>
      </c>
      <c r="G489" s="3078"/>
      <c r="H489" s="2897" t="s">
        <v>2527</v>
      </c>
      <c r="I489" s="2897"/>
      <c r="J489" s="3096"/>
      <c r="K489" s="2851"/>
      <c r="L489" s="2851"/>
      <c r="M489" s="2851"/>
      <c r="N489" s="2851"/>
      <c r="O489" s="2851"/>
      <c r="P489" s="2851"/>
    </row>
    <row customHeight="true" ht="18.452380952380953" r="490">
      <c r="A490" s="2875" t="s">
        <v>2919</v>
      </c>
      <c r="B490" s="2844">
        <v>46266</v>
      </c>
      <c r="C490" s="2875" t="str">
        <v>Tuesday</v>
      </c>
      <c r="D490" s="3236" t="s">
        <v>2920</v>
      </c>
      <c r="E490" s="2854">
        <f t="shared" si="103"/>
      </c>
      <c r="F490" s="2854" t="s">
        <v>2915</v>
      </c>
      <c r="G490" s="3078"/>
      <c r="H490" s="2897" t="s">
        <v>2527</v>
      </c>
      <c r="I490" s="2897"/>
      <c r="J490" s="3096"/>
      <c r="K490" s="2851"/>
      <c r="L490" s="2851"/>
      <c r="M490" s="2851"/>
      <c r="N490" s="2851"/>
      <c r="O490" s="2851"/>
      <c r="P490" s="2851"/>
    </row>
    <row r="491">
      <c r="A491" s="3173" t="s">
        <v>2911</v>
      </c>
      <c r="B491" s="3174">
        <v>46267</v>
      </c>
      <c r="C491" s="3173" t="str">
        <v>Wednesday</v>
      </c>
      <c r="D491" s="3198" t="s">
        <v>2587</v>
      </c>
      <c r="E491" s="3176">
        <f t="shared" si="103"/>
      </c>
      <c r="F491" s="3176" t="s">
        <v>2915</v>
      </c>
      <c r="G491" s="3078"/>
      <c r="H491" s="2897" t="s">
        <v>2527</v>
      </c>
      <c r="I491" s="2854"/>
      <c r="J491" s="3096"/>
      <c r="K491" s="2851"/>
      <c r="L491" s="2851"/>
      <c r="M491" s="2851"/>
      <c r="N491" s="2851"/>
      <c r="O491" s="2851"/>
      <c r="P491" s="2851"/>
    </row>
    <row r="492">
      <c r="A492" s="3173" t="s">
        <v>2911</v>
      </c>
      <c r="B492" s="3174">
        <v>46267</v>
      </c>
      <c r="C492" s="3173" t="str">
        <v>Wednesday</v>
      </c>
      <c r="D492" s="3198" t="s">
        <v>2880</v>
      </c>
      <c r="E492" s="3176">
        <f t="shared" si="103"/>
      </c>
      <c r="F492" s="3237" t="s">
        <v>2909</v>
      </c>
      <c r="G492" s="3078"/>
      <c r="H492" s="2897" t="s">
        <v>2527</v>
      </c>
      <c r="I492" s="2897" t="s">
        <v>2528</v>
      </c>
      <c r="J492" s="3096"/>
      <c r="K492" s="2851"/>
      <c r="L492" s="2851"/>
      <c r="M492" s="2851"/>
      <c r="N492" s="2851"/>
      <c r="O492" s="2851"/>
      <c r="P492" s="2851"/>
    </row>
    <row r="493">
      <c r="A493" s="2875" t="s">
        <v>2916</v>
      </c>
      <c r="B493" s="2844">
        <v>46267</v>
      </c>
      <c r="C493" s="2875" t="str">
        <v>Wednesday</v>
      </c>
      <c r="D493" s="3236" t="s">
        <v>2921</v>
      </c>
      <c r="E493" s="2854">
        <f t="shared" si="103"/>
      </c>
      <c r="F493" s="2897" t="s">
        <v>2918</v>
      </c>
      <c r="G493" s="3078"/>
      <c r="H493" s="2897" t="s">
        <v>2527</v>
      </c>
      <c r="I493" s="2897" t="s">
        <v>2528</v>
      </c>
      <c r="J493" s="3096"/>
      <c r="K493" s="2851"/>
      <c r="L493" s="2851"/>
      <c r="M493" s="2851"/>
      <c r="N493" s="2851"/>
      <c r="O493" s="2851"/>
      <c r="P493" s="2851"/>
    </row>
    <row r="494">
      <c r="A494" s="2875" t="s">
        <v>2916</v>
      </c>
      <c r="B494" s="2844">
        <v>46267</v>
      </c>
      <c r="C494" s="2875" t="str">
        <v>Wednesday</v>
      </c>
      <c r="D494" s="3236" t="s">
        <v>2922</v>
      </c>
      <c r="E494" s="2854">
        <f t="shared" si="103"/>
      </c>
      <c r="F494" s="2854" t="s">
        <v>2915</v>
      </c>
      <c r="G494" s="3078"/>
      <c r="H494" s="2897" t="s">
        <v>2527</v>
      </c>
      <c r="I494" s="2897"/>
      <c r="J494" s="3096"/>
      <c r="K494" s="2851"/>
      <c r="L494" s="2851"/>
      <c r="M494" s="2851"/>
      <c r="N494" s="2851"/>
      <c r="O494" s="2851"/>
      <c r="P494" s="2851"/>
    </row>
    <row customHeight="true" ht="18.452380952380953" r="495">
      <c r="A495" s="3173" t="s">
        <v>2911</v>
      </c>
      <c r="B495" s="3174">
        <v>46268</v>
      </c>
      <c r="C495" s="3173" t="str">
        <v>Thursday</v>
      </c>
      <c r="D495" s="3198" t="s">
        <v>2923</v>
      </c>
      <c r="E495" s="3176">
        <f t="shared" si="103"/>
      </c>
      <c r="F495" s="3176" t="s">
        <v>2924</v>
      </c>
      <c r="G495" s="3078"/>
      <c r="H495" s="2897" t="s">
        <v>2527</v>
      </c>
      <c r="I495" s="2897" t="s">
        <v>2528</v>
      </c>
      <c r="J495" s="3096"/>
      <c r="K495" s="2851"/>
      <c r="L495" s="2851"/>
      <c r="M495" s="2851"/>
      <c r="N495" s="2851"/>
      <c r="O495" s="2851"/>
      <c r="P495" s="2851"/>
    </row>
    <row customHeight="true" ht="18.452380952380953" r="496">
      <c r="A496" s="3173" t="s">
        <v>2911</v>
      </c>
      <c r="B496" s="3174">
        <v>46268</v>
      </c>
      <c r="C496" s="3173" t="str">
        <v>Thursday</v>
      </c>
      <c r="D496" s="3198" t="s">
        <v>2925</v>
      </c>
      <c r="E496" s="3176">
        <f t="shared" si="103"/>
      </c>
      <c r="F496" s="3176" t="s">
        <v>2912</v>
      </c>
      <c r="G496" s="3078"/>
      <c r="H496" s="2897" t="s">
        <v>2527</v>
      </c>
      <c r="I496" s="2897"/>
      <c r="J496" s="3096"/>
      <c r="K496" s="2851"/>
      <c r="L496" s="2851"/>
      <c r="M496" s="2851"/>
      <c r="N496" s="2851"/>
      <c r="O496" s="2851"/>
      <c r="P496" s="2851"/>
    </row>
    <row customHeight="true" ht="18.452380952380953" r="497">
      <c r="A497" s="2898" t="s">
        <v>2911</v>
      </c>
      <c r="B497" s="2899">
        <v>46268</v>
      </c>
      <c r="C497" s="2898" t="str">
        <v>Thursday</v>
      </c>
      <c r="D497" s="2900" t="s">
        <v>2880</v>
      </c>
      <c r="E497" s="2901">
        <f t="shared" si="103"/>
      </c>
      <c r="F497" s="2901" t="s">
        <v>2918</v>
      </c>
      <c r="G497" s="2916"/>
      <c r="H497" s="2901" t="s">
        <v>2527</v>
      </c>
      <c r="I497" s="2901" t="s">
        <v>2528</v>
      </c>
      <c r="J497" s="3109"/>
      <c r="K497" s="3036"/>
      <c r="L497" s="3036"/>
      <c r="M497" s="3036"/>
      <c r="N497" s="3036"/>
      <c r="O497" s="3036"/>
      <c r="P497" s="3036"/>
      <c r="Q497" s="3037"/>
      <c r="R497" s="3037"/>
    </row>
    <row r="498">
      <c r="A498" s="2898" t="s">
        <v>2916</v>
      </c>
      <c r="B498" s="2899">
        <v>46268</v>
      </c>
      <c r="C498" s="2898" t="str">
        <v>Thursday</v>
      </c>
      <c r="D498" s="3238" t="s">
        <v>2587</v>
      </c>
      <c r="E498" s="2901">
        <f t="shared" si="103"/>
      </c>
      <c r="F498" s="2901" t="s">
        <v>2912</v>
      </c>
      <c r="G498" s="3239"/>
      <c r="H498" s="2901" t="s">
        <v>2527</v>
      </c>
      <c r="I498" s="2901"/>
      <c r="J498" s="3109"/>
      <c r="K498" s="3036"/>
      <c r="L498" s="3036"/>
      <c r="M498" s="3036"/>
      <c r="N498" s="3036"/>
      <c r="O498" s="3036"/>
      <c r="P498" s="3036"/>
      <c r="Q498" s="3037"/>
      <c r="R498" s="3037"/>
    </row>
    <row customHeight="true" ht="18.452380952380953" r="499">
      <c r="A499" s="2875" t="s">
        <v>2916</v>
      </c>
      <c r="B499" s="2844">
        <v>46268</v>
      </c>
      <c r="C499" s="2875" t="str">
        <v>Thursday</v>
      </c>
      <c r="D499" s="3236" t="s">
        <v>2926</v>
      </c>
      <c r="E499" s="2854">
        <f t="shared" si="103"/>
      </c>
      <c r="F499" s="2897" t="s">
        <v>2918</v>
      </c>
      <c r="G499" s="3078"/>
      <c r="H499" s="2897" t="s">
        <v>2527</v>
      </c>
      <c r="I499" s="2897"/>
      <c r="J499" s="3096"/>
      <c r="K499" s="2851"/>
      <c r="L499" s="2851"/>
      <c r="M499" s="2851"/>
      <c r="N499" s="2851"/>
      <c r="O499" s="2851"/>
      <c r="P499" s="2851"/>
    </row>
    <row customHeight="true" ht="18.452380952380953" r="500">
      <c r="A500" s="2875" t="s">
        <v>2919</v>
      </c>
      <c r="B500" s="2844">
        <v>46268</v>
      </c>
      <c r="C500" s="2875" t="str">
        <v>Thursday</v>
      </c>
      <c r="D500" s="3236" t="s">
        <v>2927</v>
      </c>
      <c r="E500" s="2854">
        <f t="shared" si="103"/>
      </c>
      <c r="F500" s="2854" t="s">
        <v>2915</v>
      </c>
      <c r="G500" s="3078"/>
      <c r="H500" s="2897"/>
      <c r="I500" s="2897"/>
      <c r="J500" s="3096"/>
      <c r="K500" s="2851"/>
      <c r="L500" s="2851"/>
      <c r="M500" s="2851"/>
      <c r="N500" s="2851"/>
      <c r="O500" s="2851"/>
      <c r="P500" s="2851"/>
    </row>
    <row r="501">
      <c r="A501" s="2875" t="s">
        <v>2916</v>
      </c>
      <c r="B501" s="2844">
        <v>46268</v>
      </c>
      <c r="C501" s="2875" t="str">
        <v>Thursday</v>
      </c>
      <c r="D501" s="3236" t="s">
        <v>2928</v>
      </c>
      <c r="E501" s="2854">
        <f t="shared" si="103"/>
      </c>
      <c r="F501" s="2854" t="s">
        <v>2915</v>
      </c>
      <c r="G501" s="3078"/>
      <c r="H501" s="2897" t="s">
        <v>2527</v>
      </c>
      <c r="I501" s="2897"/>
      <c r="J501" s="3096"/>
      <c r="K501" s="2851"/>
      <c r="L501" s="2851"/>
      <c r="M501" s="2851"/>
      <c r="N501" s="2851"/>
      <c r="O501" s="2851"/>
      <c r="P501" s="2851"/>
    </row>
    <row r="502">
      <c r="A502" s="3173" t="s">
        <v>2911</v>
      </c>
      <c r="B502" s="3174">
        <v>46269</v>
      </c>
      <c r="C502" s="3173" t="str">
        <v>Friday</v>
      </c>
      <c r="D502" s="3198" t="s">
        <v>2929</v>
      </c>
      <c r="E502" s="3176">
        <f t="shared" si="103"/>
      </c>
      <c r="F502" s="3237" t="s">
        <v>2924</v>
      </c>
      <c r="G502" s="3078"/>
      <c r="H502" s="2897" t="s">
        <v>2527</v>
      </c>
      <c r="I502" s="2854" t="s">
        <v>2528</v>
      </c>
      <c r="J502" s="3096"/>
      <c r="K502" s="2851"/>
      <c r="L502" s="2851"/>
      <c r="M502" s="2851"/>
      <c r="N502" s="2851"/>
      <c r="O502" s="2851"/>
      <c r="P502" s="2851"/>
    </row>
    <row r="503">
      <c r="A503" s="3173" t="s">
        <v>2911</v>
      </c>
      <c r="B503" s="3174">
        <v>46269</v>
      </c>
      <c r="C503" s="3173" t="str">
        <v>Friday</v>
      </c>
      <c r="D503" s="3198" t="s">
        <v>2930</v>
      </c>
      <c r="E503" s="3176">
        <f t="shared" si="103"/>
      </c>
      <c r="F503" s="3180" t="s">
        <v>2915</v>
      </c>
      <c r="G503" s="3078"/>
      <c r="H503" s="2897" t="s">
        <v>2527</v>
      </c>
      <c r="I503" s="2897"/>
      <c r="J503" s="3076" t="s">
        <v>2931</v>
      </c>
      <c r="K503" s="2851"/>
      <c r="L503" s="2851"/>
      <c r="M503" s="2851"/>
      <c r="N503" s="2851"/>
      <c r="O503" s="2851"/>
      <c r="P503" s="2851"/>
    </row>
    <row customHeight="true" ht="18.452380952380953" r="504">
      <c r="A504" s="2875" t="s">
        <v>2919</v>
      </c>
      <c r="B504" s="2875">
        <v>46269</v>
      </c>
      <c r="C504" s="2875" t="str">
        <v>Friday</v>
      </c>
      <c r="D504" s="3236" t="s">
        <v>2932</v>
      </c>
      <c r="E504" s="2854">
        <f t="shared" si="103"/>
      </c>
      <c r="F504" s="2897" t="s">
        <v>2912</v>
      </c>
      <c r="G504" s="2883"/>
      <c r="H504" s="2854"/>
      <c r="I504" s="2854"/>
      <c r="J504" s="2850"/>
      <c r="K504" s="3005"/>
      <c r="L504" s="3005"/>
      <c r="M504" s="3005"/>
      <c r="N504" s="3005"/>
      <c r="O504" s="3005"/>
      <c r="P504" s="3005"/>
      <c r="Q504" s="2884"/>
      <c r="R504" s="2884"/>
    </row>
    <row r="505">
      <c r="A505" s="2875" t="s">
        <v>2916</v>
      </c>
      <c r="B505" s="2844">
        <v>46269</v>
      </c>
      <c r="C505" s="2875" t="str">
        <v>Friday</v>
      </c>
      <c r="D505" s="3236" t="s">
        <v>2933</v>
      </c>
      <c r="E505" s="2854">
        <f t="shared" si="103"/>
      </c>
      <c r="F505" s="2897" t="s">
        <v>2918</v>
      </c>
      <c r="G505" s="3078"/>
      <c r="H505" s="2897" t="s">
        <v>2527</v>
      </c>
      <c r="I505" s="2897" t="s">
        <v>2528</v>
      </c>
      <c r="J505" s="3096"/>
      <c r="K505" s="2851"/>
      <c r="L505" s="2851"/>
      <c r="M505" s="2851"/>
      <c r="N505" s="2851"/>
      <c r="O505" s="2851"/>
      <c r="P505" s="2851"/>
    </row>
    <row r="506">
      <c r="A506" s="2875" t="s">
        <v>2916</v>
      </c>
      <c r="B506" s="2844">
        <v>46269</v>
      </c>
      <c r="C506" s="2875" t="str">
        <v>Friday</v>
      </c>
      <c r="D506" s="3236" t="s">
        <v>2880</v>
      </c>
      <c r="E506" s="2854">
        <f t="shared" si="103"/>
      </c>
      <c r="F506" s="2897" t="s">
        <v>2912</v>
      </c>
      <c r="G506" s="3078"/>
      <c r="H506" s="2897" t="s">
        <v>2527</v>
      </c>
      <c r="I506" s="2897"/>
      <c r="J506" s="3240"/>
      <c r="K506" s="3241"/>
      <c r="L506" s="3241"/>
      <c r="M506" s="3241"/>
      <c r="N506" s="3241"/>
      <c r="O506" s="3241"/>
      <c r="P506" s="3241"/>
    </row>
    <row r="507">
      <c r="A507" s="3173" t="s">
        <v>2911</v>
      </c>
      <c r="B507" s="3174">
        <v>46270</v>
      </c>
      <c r="C507" s="3173" t="str">
        <v>Saturday</v>
      </c>
      <c r="D507" s="3198" t="s">
        <v>2587</v>
      </c>
      <c r="E507" s="3176">
        <f t="shared" si="103"/>
      </c>
      <c r="F507" s="3176" t="s">
        <v>2912</v>
      </c>
      <c r="G507" s="3078"/>
      <c r="H507" s="2897" t="s">
        <v>2527</v>
      </c>
      <c r="I507" s="2897"/>
      <c r="J507" s="3242"/>
      <c r="K507" s="3243"/>
      <c r="L507" s="3243"/>
      <c r="M507" s="3243"/>
      <c r="N507" s="3243"/>
      <c r="O507" s="3243"/>
      <c r="P507" s="3243"/>
    </row>
    <row r="508">
      <c r="A508" s="3173" t="s">
        <v>2911</v>
      </c>
      <c r="B508" s="3174">
        <v>46270</v>
      </c>
      <c r="C508" s="3173" t="str">
        <v>Saturday</v>
      </c>
      <c r="D508" s="3198" t="s">
        <v>2880</v>
      </c>
      <c r="E508" s="3176">
        <f t="shared" si="103"/>
      </c>
      <c r="F508" s="3176" t="s">
        <v>2915</v>
      </c>
      <c r="G508" s="3078"/>
      <c r="H508" s="2897" t="s">
        <v>2527</v>
      </c>
      <c r="I508" s="2897"/>
      <c r="J508" s="3242"/>
      <c r="K508" s="3243"/>
      <c r="L508" s="3243"/>
      <c r="M508" s="3243"/>
      <c r="N508" s="3243"/>
      <c r="O508" s="3243"/>
      <c r="P508" s="3243"/>
    </row>
    <row customHeight="true" ht="18.452380952380953" r="509">
      <c r="A509" s="2875" t="s">
        <v>2916</v>
      </c>
      <c r="B509" s="2844">
        <v>46270</v>
      </c>
      <c r="C509" s="2875" t="str">
        <v>Saturday</v>
      </c>
      <c r="D509" s="3236" t="s">
        <v>2934</v>
      </c>
      <c r="E509" s="2854">
        <f t="shared" si="103"/>
      </c>
      <c r="F509" s="2897" t="s">
        <v>2935</v>
      </c>
      <c r="G509" s="3078"/>
      <c r="H509" s="2897" t="s">
        <v>2527</v>
      </c>
      <c r="I509" s="2897" t="s">
        <v>2528</v>
      </c>
      <c r="J509" s="3242"/>
      <c r="K509" s="3243"/>
      <c r="L509" s="3243"/>
      <c r="M509" s="3243"/>
      <c r="N509" s="3243"/>
      <c r="O509" s="3243"/>
      <c r="P509" s="3243"/>
    </row>
    <row customHeight="true" ht="18.452380952380953" r="510">
      <c r="A510" s="2875" t="s">
        <v>2916</v>
      </c>
      <c r="B510" s="2844">
        <v>46270</v>
      </c>
      <c r="C510" s="2875" t="str">
        <v>Saturday</v>
      </c>
      <c r="D510" s="3236" t="s">
        <v>2880</v>
      </c>
      <c r="E510" s="2854">
        <f t="shared" si="103"/>
      </c>
      <c r="F510" s="2897" t="s">
        <v>2918</v>
      </c>
      <c r="G510" s="3075"/>
      <c r="H510" s="2897" t="s">
        <v>2527</v>
      </c>
      <c r="I510" s="2897" t="s">
        <v>2528</v>
      </c>
      <c r="J510" s="3242"/>
      <c r="K510" s="3243"/>
      <c r="L510" s="3243"/>
      <c r="M510" s="3243"/>
      <c r="N510" s="3243"/>
      <c r="O510" s="3243"/>
      <c r="P510" s="3243"/>
    </row>
    <row r="511">
      <c r="A511" s="3173" t="s">
        <v>2911</v>
      </c>
      <c r="B511" s="3174">
        <v>46271</v>
      </c>
      <c r="C511" s="3173" t="str">
        <v>Sunday</v>
      </c>
      <c r="D511" s="3198" t="s">
        <v>2936</v>
      </c>
      <c r="E511" s="3176">
        <f t="shared" si="103"/>
      </c>
      <c r="F511" s="3176" t="s">
        <v>2912</v>
      </c>
      <c r="G511" s="3078"/>
      <c r="H511" s="2897" t="s">
        <v>2527</v>
      </c>
      <c r="I511" s="2854"/>
      <c r="J511" s="3244" t="s">
        <v>2937</v>
      </c>
      <c r="K511" s="3243"/>
      <c r="L511" s="3243"/>
      <c r="M511" s="3243"/>
      <c r="N511" s="3243"/>
      <c r="O511" s="3243"/>
      <c r="P511" s="3243"/>
    </row>
    <row r="512">
      <c r="A512" s="3173" t="s">
        <v>2911</v>
      </c>
      <c r="B512" s="3174">
        <v>46271</v>
      </c>
      <c r="C512" s="3173" t="str">
        <v>Sunday</v>
      </c>
      <c r="D512" s="3198" t="s">
        <v>2880</v>
      </c>
      <c r="E512" s="3176">
        <f t="shared" si="103"/>
      </c>
      <c r="F512" s="3176" t="s">
        <v>2915</v>
      </c>
      <c r="G512" s="3078"/>
      <c r="H512" s="2897" t="s">
        <v>2527</v>
      </c>
      <c r="I512" s="2897"/>
      <c r="J512" s="3242"/>
      <c r="K512" s="3243"/>
      <c r="L512" s="3243"/>
      <c r="M512" s="3243"/>
      <c r="N512" s="3243"/>
      <c r="O512" s="3243"/>
      <c r="P512" s="3243"/>
    </row>
    <row r="513">
      <c r="A513" s="2875" t="s">
        <v>2916</v>
      </c>
      <c r="B513" s="2844">
        <v>46271</v>
      </c>
      <c r="C513" s="2875" t="str">
        <v>Sunday</v>
      </c>
      <c r="D513" s="3236" t="s">
        <v>2938</v>
      </c>
      <c r="E513" s="2854">
        <f t="shared" si="103"/>
      </c>
      <c r="F513" s="2854" t="s">
        <v>2915</v>
      </c>
      <c r="G513" s="3078"/>
      <c r="H513" s="2897" t="s">
        <v>2527</v>
      </c>
      <c r="I513" s="2897"/>
      <c r="J513" s="3242"/>
      <c r="K513" s="3243"/>
      <c r="L513" s="3243"/>
      <c r="M513" s="3243"/>
      <c r="N513" s="3243"/>
      <c r="O513" s="3243"/>
      <c r="P513" s="3243"/>
    </row>
    <row customHeight="true" ht="18.452380952380953" r="514">
      <c r="A514" s="2875" t="s">
        <v>2916</v>
      </c>
      <c r="B514" s="2844">
        <v>46271</v>
      </c>
      <c r="C514" s="2875" t="str">
        <v>Sunday</v>
      </c>
      <c r="D514" s="3236" t="s">
        <v>2688</v>
      </c>
      <c r="E514" s="2854">
        <f t="shared" si="103"/>
      </c>
      <c r="F514" s="2897" t="s">
        <v>2935</v>
      </c>
      <c r="G514" s="3078"/>
      <c r="H514" s="2897" t="s">
        <v>2527</v>
      </c>
      <c r="I514" s="2897" t="s">
        <v>2528</v>
      </c>
      <c r="J514" s="3242"/>
      <c r="K514" s="3243"/>
      <c r="L514" s="3243"/>
      <c r="M514" s="3243"/>
      <c r="N514" s="3243"/>
      <c r="O514" s="3243"/>
      <c r="P514" s="3243"/>
    </row>
    <row customHeight="true" ht="16.071428571428573" r="515">
      <c r="A515" s="3245"/>
      <c r="B515" s="2895"/>
      <c r="C515" s="2895"/>
      <c r="D515" s="3236"/>
      <c r="E515" s="2854"/>
      <c r="F515" s="2897"/>
      <c r="G515" s="3078"/>
      <c r="H515" s="2897"/>
      <c r="I515" s="2897"/>
      <c r="J515" s="3096"/>
      <c r="K515" s="2851"/>
      <c r="L515" s="2851"/>
      <c r="M515" s="2851"/>
      <c r="N515" s="2851"/>
      <c r="O515" s="2851"/>
      <c r="P515" s="2851"/>
    </row>
    <row customHeight="true" ht="42.261904761904766" r="516">
      <c r="A516" s="3215" t="s">
        <v>2939</v>
      </c>
      <c r="B516" s="3215"/>
      <c r="C516" s="3215"/>
      <c r="D516" s="3215"/>
      <c r="E516" s="3215"/>
      <c r="F516" s="3215"/>
      <c r="G516" s="3215"/>
      <c r="H516" s="3215"/>
      <c r="I516" s="3215"/>
      <c r="J516" s="3216"/>
      <c r="K516" s="2887"/>
      <c r="L516" s="2887"/>
      <c r="M516" s="2887"/>
      <c r="N516" s="2887"/>
      <c r="O516" s="2887"/>
      <c r="P516" s="2887"/>
    </row>
    <row customHeight="true" ht="33.333333333333336" r="517">
      <c r="A517" s="3217" t="s">
        <v>2554</v>
      </c>
      <c r="B517" s="3218" t="s">
        <v>2555</v>
      </c>
      <c r="C517" s="3218"/>
      <c r="D517" s="3219" t="s">
        <v>2556</v>
      </c>
      <c r="E517" s="3219" t="s">
        <v>2557</v>
      </c>
      <c r="F517" s="3219" t="s">
        <v>2558</v>
      </c>
      <c r="G517" s="3220" t="s">
        <v>2577</v>
      </c>
      <c r="H517" s="3219" t="s">
        <v>2560</v>
      </c>
      <c r="I517" s="3219" t="s">
        <v>2561</v>
      </c>
      <c r="J517" s="3221" t="s">
        <v>2562</v>
      </c>
      <c r="K517" s="2874"/>
      <c r="L517" s="2874"/>
      <c r="M517" s="2874"/>
      <c r="N517" s="2874"/>
      <c r="O517" s="2874"/>
      <c r="P517" s="2874"/>
    </row>
    <row customHeight="true" ht="16.071428571428573" r="518">
      <c r="A518" s="3211" t="s">
        <v>2940</v>
      </c>
      <c r="B518" s="3002">
        <v>46266</v>
      </c>
      <c r="C518" s="2895" t="str">
        <v>Tuesday</v>
      </c>
      <c r="D518" s="2881" t="s">
        <v>2941</v>
      </c>
      <c r="E518" s="2849">
        <f t="shared" ref="E518:E528" si="104">24*MOD(TIMEVALUE(TRIM(MID(D518,FIND("-",D518)+1,LEN(D518)))) - TIMEVALUE(TRIM(LEFT(D518,FIND("-",D518)-1))),1)</f>
      </c>
      <c r="F518" s="2882" t="s">
        <v>2802</v>
      </c>
      <c r="G518" s="3228"/>
      <c r="H518" s="2849" t="s">
        <v>2572</v>
      </c>
      <c r="I518" s="2849" t="s">
        <v>2568</v>
      </c>
      <c r="J518" s="3112"/>
      <c r="K518" s="2851"/>
      <c r="L518" s="2851"/>
      <c r="M518" s="2851"/>
      <c r="N518" s="2851"/>
      <c r="O518" s="2851"/>
      <c r="P518" s="2851"/>
    </row>
    <row customHeight="true" hidden="true" ht="22.023809523809526" r="519">
      <c r="A519" s="3246" t="s">
        <v>2942</v>
      </c>
      <c r="B519" s="3247">
        <v>46266</v>
      </c>
      <c r="C519" s="3246" t="str">
        <v>Tuesday</v>
      </c>
      <c r="D519" s="3248" t="s">
        <v>2943</v>
      </c>
      <c r="E519" s="3249">
        <f t="shared" si="104"/>
      </c>
      <c r="F519" s="3250" t="s">
        <v>2944</v>
      </c>
      <c r="G519" s="3251"/>
      <c r="H519" s="3249" t="s">
        <v>2572</v>
      </c>
      <c r="I519" s="3249" t="s">
        <v>2528</v>
      </c>
      <c r="J519" s="3252"/>
      <c r="K519" s="2851"/>
      <c r="L519" s="2851"/>
      <c r="M519" s="2851"/>
      <c r="N519" s="2851"/>
      <c r="O519" s="2851"/>
      <c r="P519" s="2851"/>
    </row>
    <row customHeight="true" ht="22.25056689342507" r="520">
      <c r="A520" s="3211" t="s">
        <v>2940</v>
      </c>
      <c r="B520" s="3002">
        <v>46267</v>
      </c>
      <c r="C520" s="2895" t="str">
        <v>Wednesday</v>
      </c>
      <c r="D520" s="2881" t="s">
        <v>2945</v>
      </c>
      <c r="E520" s="2897">
        <f t="shared" si="104"/>
      </c>
      <c r="F520" s="2882" t="s">
        <v>2684</v>
      </c>
      <c r="G520" s="3003"/>
      <c r="H520" s="2849" t="s">
        <v>2572</v>
      </c>
      <c r="I520" s="2854" t="s">
        <v>2528</v>
      </c>
      <c r="J520" s="2878"/>
      <c r="K520" s="2851"/>
      <c r="L520" s="2851"/>
      <c r="M520" s="2851"/>
      <c r="N520" s="2851"/>
      <c r="O520" s="2851"/>
      <c r="P520" s="2851"/>
    </row>
    <row customHeight="true" hidden="true" ht="22.023809523809526" r="521">
      <c r="A521" s="3246" t="s">
        <v>2942</v>
      </c>
      <c r="B521" s="3247">
        <v>46267</v>
      </c>
      <c r="C521" s="3246" t="str">
        <v>Wednesday</v>
      </c>
      <c r="D521" s="3248" t="s">
        <v>2946</v>
      </c>
      <c r="E521" s="3249">
        <f t="shared" si="104"/>
      </c>
      <c r="F521" s="3250" t="s">
        <v>2944</v>
      </c>
      <c r="G521" s="3251"/>
      <c r="H521" s="3249" t="s">
        <v>2572</v>
      </c>
      <c r="I521" s="3249"/>
      <c r="J521" s="3252"/>
      <c r="K521" s="2851"/>
      <c r="L521" s="2851"/>
      <c r="M521" s="2851"/>
      <c r="N521" s="2851"/>
      <c r="O521" s="2851"/>
      <c r="P521" s="2851"/>
    </row>
    <row customHeight="true" ht="16.071428571428573" r="522">
      <c r="A522" s="3211" t="s">
        <v>2940</v>
      </c>
      <c r="B522" s="3002">
        <v>46268</v>
      </c>
      <c r="C522" s="2895" t="str">
        <v>Thursday</v>
      </c>
      <c r="D522" s="2881" t="s">
        <v>2947</v>
      </c>
      <c r="E522" s="2897">
        <f t="shared" si="104"/>
      </c>
      <c r="F522" s="2882" t="s">
        <v>2684</v>
      </c>
      <c r="G522" s="3006"/>
      <c r="H522" s="2849" t="s">
        <v>2572</v>
      </c>
      <c r="I522" s="2897" t="s">
        <v>2528</v>
      </c>
      <c r="J522" s="2878"/>
      <c r="K522" s="2851"/>
      <c r="L522" s="2851"/>
      <c r="M522" s="2851"/>
      <c r="N522" s="2851"/>
      <c r="O522" s="2851"/>
      <c r="P522" s="2851"/>
    </row>
    <row customHeight="true" hidden="true" ht="16.071428571428573" r="523">
      <c r="A523" s="3246" t="s">
        <v>2942</v>
      </c>
      <c r="B523" s="3247">
        <v>46268</v>
      </c>
      <c r="C523" s="3246" t="str">
        <v>Thursday</v>
      </c>
      <c r="D523" s="3248" t="s">
        <v>2672</v>
      </c>
      <c r="E523" s="3249">
        <f t="shared" si="104"/>
      </c>
      <c r="F523" s="3250" t="s">
        <v>2944</v>
      </c>
      <c r="G523" s="3251"/>
      <c r="H523" s="3249" t="s">
        <v>2572</v>
      </c>
      <c r="I523" s="3249"/>
      <c r="J523" s="3252"/>
      <c r="K523" s="2851"/>
      <c r="L523" s="2851"/>
      <c r="M523" s="2851"/>
      <c r="N523" s="2851"/>
      <c r="O523" s="2851"/>
      <c r="P523" s="2851"/>
    </row>
    <row customHeight="true" ht="16.071428571428573" r="524">
      <c r="A524" s="3211" t="s">
        <v>2940</v>
      </c>
      <c r="B524" s="3002">
        <v>46269</v>
      </c>
      <c r="C524" s="2895" t="str">
        <v>Friday</v>
      </c>
      <c r="D524" s="2881" t="s">
        <v>2626</v>
      </c>
      <c r="E524" s="2849">
        <f t="shared" si="104"/>
      </c>
      <c r="F524" s="2882" t="s">
        <v>2802</v>
      </c>
      <c r="G524" s="3006"/>
      <c r="H524" s="2849" t="s">
        <v>2572</v>
      </c>
      <c r="I524" s="2897" t="s">
        <v>2528</v>
      </c>
      <c r="J524" s="2878"/>
      <c r="K524" s="2851"/>
      <c r="L524" s="2851"/>
      <c r="M524" s="2851"/>
      <c r="N524" s="2851"/>
      <c r="O524" s="2851"/>
      <c r="P524" s="2851"/>
    </row>
    <row customHeight="true" hidden="true" ht="16.071428571428573" r="525">
      <c r="A525" s="3246" t="s">
        <v>2942</v>
      </c>
      <c r="B525" s="3247">
        <v>46269</v>
      </c>
      <c r="C525" s="3246" t="str">
        <v>Friday</v>
      </c>
      <c r="D525" s="3248" t="s">
        <v>2895</v>
      </c>
      <c r="E525" s="3249">
        <f t="shared" si="104"/>
      </c>
      <c r="F525" s="3250" t="s">
        <v>2944</v>
      </c>
      <c r="G525" s="3251"/>
      <c r="H525" s="3249" t="s">
        <v>2572</v>
      </c>
      <c r="I525" s="3249"/>
      <c r="J525" s="3252"/>
      <c r="K525" s="2851"/>
      <c r="L525" s="2851"/>
      <c r="M525" s="2851"/>
      <c r="N525" s="2851"/>
      <c r="O525" s="2851"/>
      <c r="P525" s="2851"/>
    </row>
    <row customHeight="true" ht="16.071428571428573" r="526">
      <c r="A526" s="3211" t="s">
        <v>2940</v>
      </c>
      <c r="B526" s="3002">
        <v>46270</v>
      </c>
      <c r="C526" s="2895" t="str">
        <v>Saturday</v>
      </c>
      <c r="D526" s="2881" t="s">
        <v>2897</v>
      </c>
      <c r="E526" s="2897">
        <f t="shared" si="104"/>
      </c>
      <c r="F526" s="2849" t="s">
        <v>2590</v>
      </c>
      <c r="G526" s="3006"/>
      <c r="H526" s="2849" t="s">
        <v>2572</v>
      </c>
      <c r="I526" s="2849" t="s">
        <v>2568</v>
      </c>
      <c r="J526" s="2878"/>
      <c r="K526" s="2851"/>
      <c r="L526" s="2851"/>
      <c r="M526" s="2851"/>
      <c r="N526" s="2851"/>
      <c r="O526" s="2851"/>
      <c r="P526" s="2851"/>
    </row>
    <row customHeight="true" ht="16.071428571428573" r="527">
      <c r="A527" s="3246" t="s">
        <v>2942</v>
      </c>
      <c r="B527" s="3247">
        <v>46270</v>
      </c>
      <c r="C527" s="3246" t="str">
        <v>Saturday</v>
      </c>
      <c r="D527" s="3248" t="s">
        <v>2895</v>
      </c>
      <c r="E527" s="3249">
        <f t="shared" si="104"/>
      </c>
      <c r="F527" s="3250" t="s">
        <v>2944</v>
      </c>
      <c r="G527" s="3251"/>
      <c r="H527" s="3249" t="s">
        <v>2572</v>
      </c>
      <c r="I527" s="3249"/>
      <c r="J527" s="3252"/>
      <c r="K527" s="2851"/>
      <c r="L527" s="2851"/>
      <c r="M527" s="2851"/>
      <c r="N527" s="2851"/>
      <c r="O527" s="2851"/>
      <c r="P527" s="2851"/>
    </row>
    <row customHeight="true" ht="16.071428571428573" r="528">
      <c r="A528" s="3211" t="s">
        <v>2940</v>
      </c>
      <c r="B528" s="3002">
        <v>46271</v>
      </c>
      <c r="C528" s="2895" t="str">
        <v>Sunday</v>
      </c>
      <c r="D528" s="2881" t="s">
        <v>2648</v>
      </c>
      <c r="E528" s="2849">
        <f t="shared" si="104"/>
      </c>
      <c r="F528" s="2849" t="s">
        <v>2590</v>
      </c>
      <c r="G528" s="3078"/>
      <c r="H528" s="2849" t="s">
        <v>2572</v>
      </c>
      <c r="I528" s="2897" t="s">
        <v>2528</v>
      </c>
      <c r="J528" s="3096"/>
      <c r="K528" s="2851"/>
      <c r="L528" s="2851"/>
      <c r="M528" s="2851"/>
      <c r="N528" s="2851"/>
      <c r="O528" s="2851"/>
      <c r="P528" s="2851"/>
    </row>
    <row customHeight="true" ht="16.071428571428573" r="529">
      <c r="A529" s="2875"/>
      <c r="B529" s="3002"/>
      <c r="C529" s="2895"/>
      <c r="D529" s="2881"/>
      <c r="E529" s="2849"/>
      <c r="F529" s="2849"/>
      <c r="G529" s="3078"/>
      <c r="H529" s="2849"/>
      <c r="I529" s="2897"/>
      <c r="J529" s="3096"/>
      <c r="K529" s="2851"/>
      <c r="L529" s="2851"/>
      <c r="M529" s="2851"/>
      <c r="N529" s="2851"/>
      <c r="O529" s="2851"/>
      <c r="P529" s="2851"/>
    </row>
    <row customHeight="true" ht="16.071428571428573" r="530">
      <c r="A530" s="2875" t="s">
        <v>2948</v>
      </c>
      <c r="B530" s="3002">
        <v>46268</v>
      </c>
      <c r="C530" s="2895" t="str">
        <v>Thursday</v>
      </c>
      <c r="D530" s="2881" t="s">
        <v>2642</v>
      </c>
      <c r="E530" s="2849">
        <f t="shared" ref="E530:E532" si="105">24*MOD(TIMEVALUE(TRIM(MID(D530,FIND("-",D530)+1,LEN(D530)))) - TIMEVALUE(TRIM(LEFT(D530,FIND("-",D530)-1))),1)</f>
      </c>
      <c r="F530" s="2849" t="s">
        <v>2590</v>
      </c>
      <c r="G530" s="3078"/>
      <c r="H530" s="2849" t="s">
        <v>2572</v>
      </c>
      <c r="I530" s="2897" t="s">
        <v>2528</v>
      </c>
      <c r="J530" s="3096"/>
      <c r="K530" s="2851"/>
      <c r="L530" s="2851"/>
      <c r="M530" s="2851"/>
      <c r="N530" s="2851"/>
      <c r="O530" s="2851"/>
      <c r="P530" s="2851"/>
    </row>
    <row customHeight="true" ht="16.071428571428573" r="531">
      <c r="A531" s="2875" t="s">
        <v>2948</v>
      </c>
      <c r="B531" s="2875">
        <v>46268</v>
      </c>
      <c r="C531" s="2875" t="str">
        <v>Thursday</v>
      </c>
      <c r="D531" s="2881" t="s">
        <v>2949</v>
      </c>
      <c r="E531" s="2849">
        <f t="shared" si="105"/>
      </c>
      <c r="F531" s="2849" t="s">
        <v>2684</v>
      </c>
      <c r="G531" s="2883"/>
      <c r="H531" s="2849" t="s">
        <v>2572</v>
      </c>
      <c r="I531" s="2854" t="s">
        <v>2528</v>
      </c>
      <c r="J531" s="2850"/>
      <c r="K531" s="3005"/>
      <c r="L531" s="3005"/>
      <c r="M531" s="3005"/>
      <c r="N531" s="3005"/>
      <c r="O531" s="3005"/>
      <c r="P531" s="3005"/>
      <c r="Q531" s="2884"/>
      <c r="R531" s="2884"/>
    </row>
    <row customHeight="true" ht="16.071428571428573" r="532">
      <c r="A532" s="2875" t="s">
        <v>2948</v>
      </c>
      <c r="B532" s="2844">
        <v>46268</v>
      </c>
      <c r="C532" s="2875" t="str">
        <v>Thursday</v>
      </c>
      <c r="D532" s="2881" t="s">
        <v>2949</v>
      </c>
      <c r="E532" s="2849">
        <f t="shared" si="105"/>
      </c>
      <c r="F532" s="2882" t="s">
        <v>2944</v>
      </c>
      <c r="G532" s="2883"/>
      <c r="H532" s="2849" t="s">
        <v>2572</v>
      </c>
      <c r="I532" s="2854" t="s">
        <v>2528</v>
      </c>
      <c r="J532" s="2850"/>
      <c r="K532" s="3005"/>
      <c r="L532" s="3005"/>
      <c r="M532" s="3005"/>
      <c r="N532" s="3005"/>
      <c r="O532" s="3005"/>
      <c r="P532" s="3005"/>
      <c r="Q532" s="2884"/>
      <c r="R532" s="2884"/>
    </row>
    <row customHeight="true" ht="16.071428571428573" r="533">
      <c r="A533" s="2875"/>
      <c r="B533" s="2844"/>
      <c r="C533" s="2875"/>
      <c r="D533" s="2881"/>
      <c r="E533" s="2849"/>
      <c r="F533" s="2882"/>
      <c r="G533" s="2883"/>
      <c r="H533" s="2849"/>
      <c r="I533" s="2854"/>
      <c r="J533" s="2850"/>
      <c r="K533" s="3005"/>
      <c r="L533" s="3005"/>
      <c r="M533" s="3005"/>
      <c r="N533" s="3005"/>
      <c r="O533" s="3005"/>
      <c r="P533" s="3005"/>
      <c r="Q533" s="2884"/>
      <c r="R533" s="2884"/>
    </row>
    <row customHeight="true" ht="16.071428571428573" r="534">
      <c r="A534" s="2875" t="s">
        <v>2942</v>
      </c>
      <c r="B534" s="2844">
        <v>46266</v>
      </c>
      <c r="C534" s="2875" t="str">
        <v>Tuesday</v>
      </c>
      <c r="D534" s="2881" t="s">
        <v>2950</v>
      </c>
      <c r="E534" s="2849">
        <f t="shared" ref="E534:E539" si="106">24*MOD(TIMEVALUE(TRIM(MID(D534,FIND("-",D534)+1,LEN(D534)))) - TIMEVALUE(TRIM(LEFT(D534,FIND("-",D534)-1))),1)</f>
      </c>
      <c r="F534" s="2882" t="s">
        <v>2944</v>
      </c>
      <c r="G534" s="2883"/>
      <c r="H534" s="2849" t="s">
        <v>2572</v>
      </c>
      <c r="I534" s="2897" t="s">
        <v>2528</v>
      </c>
      <c r="J534" s="2850"/>
      <c r="K534" s="3005"/>
      <c r="L534" s="3005"/>
      <c r="M534" s="3005"/>
      <c r="N534" s="3005"/>
      <c r="O534" s="3005"/>
      <c r="P534" s="3005"/>
      <c r="Q534" s="2884"/>
      <c r="R534" s="2884"/>
    </row>
    <row customHeight="true" ht="16.071428571428573" r="535">
      <c r="A535" s="2875" t="s">
        <v>2942</v>
      </c>
      <c r="B535" s="3002">
        <v>46268</v>
      </c>
      <c r="C535" s="2895" t="str">
        <v>Thursday</v>
      </c>
      <c r="D535" s="2881" t="s">
        <v>2950</v>
      </c>
      <c r="E535" s="2849">
        <f t="shared" si="106"/>
      </c>
      <c r="F535" s="2882" t="s">
        <v>2944</v>
      </c>
      <c r="G535" s="3078"/>
      <c r="H535" s="2849" t="s">
        <v>2572</v>
      </c>
      <c r="I535" s="2897" t="s">
        <v>2528</v>
      </c>
      <c r="J535" s="3096"/>
      <c r="K535" s="2851"/>
      <c r="L535" s="2851"/>
      <c r="M535" s="2851"/>
      <c r="N535" s="2851"/>
      <c r="O535" s="2851"/>
      <c r="P535" s="2851"/>
    </row>
    <row customHeight="true" ht="16.071428571428573" r="536">
      <c r="A536" s="3246" t="s">
        <v>2942</v>
      </c>
      <c r="B536" s="3247">
        <v>46271</v>
      </c>
      <c r="C536" s="3246" t="str">
        <v>Sunday</v>
      </c>
      <c r="D536" s="3248" t="s">
        <v>2625</v>
      </c>
      <c r="E536" s="3249">
        <f t="shared" si="106"/>
      </c>
      <c r="F536" s="3250" t="s">
        <v>2944</v>
      </c>
      <c r="G536" s="3251"/>
      <c r="H536" s="3249" t="s">
        <v>2572</v>
      </c>
      <c r="I536" s="2897" t="s">
        <v>2528</v>
      </c>
      <c r="J536" s="3252"/>
      <c r="K536" s="2851"/>
      <c r="L536" s="2851"/>
      <c r="M536" s="2851"/>
      <c r="N536" s="2851"/>
      <c r="O536" s="2851"/>
      <c r="P536" s="2851"/>
    </row>
    <row customHeight="true" ht="16.071428571428573" r="537">
      <c r="A537" s="2875" t="s">
        <v>2942</v>
      </c>
      <c r="B537" s="2844">
        <v>46267</v>
      </c>
      <c r="C537" s="2875" t="str">
        <v>Wednesday</v>
      </c>
      <c r="D537" s="2881" t="s">
        <v>2950</v>
      </c>
      <c r="E537" s="2849">
        <f t="shared" si="106"/>
      </c>
      <c r="F537" s="2882" t="s">
        <v>2944</v>
      </c>
      <c r="G537" s="2883"/>
      <c r="H537" s="2849" t="s">
        <v>2572</v>
      </c>
      <c r="I537" s="2897" t="s">
        <v>2528</v>
      </c>
      <c r="J537" s="2850"/>
      <c r="K537" s="3005"/>
      <c r="L537" s="3005"/>
      <c r="M537" s="3005"/>
      <c r="N537" s="3005"/>
      <c r="O537" s="3005"/>
      <c r="P537" s="3005"/>
      <c r="Q537" s="2884"/>
      <c r="R537" s="2884"/>
    </row>
    <row customHeight="true" ht="16.071428571428573" r="538">
      <c r="A538" s="2875" t="s">
        <v>2942</v>
      </c>
      <c r="B538" s="2844">
        <v>46269</v>
      </c>
      <c r="C538" s="2875" t="str">
        <v>Friday</v>
      </c>
      <c r="D538" s="2881" t="s">
        <v>2951</v>
      </c>
      <c r="E538" s="2849">
        <f t="shared" si="106"/>
      </c>
      <c r="F538" s="2882" t="s">
        <v>2791</v>
      </c>
      <c r="G538" s="2883"/>
      <c r="H538" s="2849" t="s">
        <v>2572</v>
      </c>
      <c r="I538" s="2897" t="s">
        <v>2528</v>
      </c>
      <c r="J538" s="2850"/>
      <c r="K538" s="3005"/>
      <c r="L538" s="3005"/>
      <c r="M538" s="3005"/>
      <c r="N538" s="3005"/>
      <c r="O538" s="3005"/>
      <c r="P538" s="3005"/>
      <c r="Q538" s="2884"/>
      <c r="R538" s="2884"/>
    </row>
    <row customHeight="true" ht="16.071428571428573" r="539">
      <c r="A539" s="2875" t="s">
        <v>2942</v>
      </c>
      <c r="B539" s="2844">
        <v>46269</v>
      </c>
      <c r="C539" s="2875" t="str">
        <v>Friday</v>
      </c>
      <c r="D539" s="2881" t="s">
        <v>2952</v>
      </c>
      <c r="E539" s="2849">
        <f t="shared" si="106"/>
      </c>
      <c r="F539" s="2882" t="s">
        <v>2944</v>
      </c>
      <c r="G539" s="2883"/>
      <c r="H539" s="2849" t="s">
        <v>2572</v>
      </c>
      <c r="I539" s="2897" t="s">
        <v>2528</v>
      </c>
      <c r="J539" s="2850"/>
      <c r="K539" s="3005"/>
      <c r="L539" s="3005"/>
      <c r="M539" s="3005"/>
      <c r="N539" s="3005"/>
      <c r="O539" s="3005"/>
      <c r="P539" s="3005"/>
      <c r="Q539" s="2884"/>
      <c r="R539" s="2884"/>
    </row>
    <row customHeight="true" ht="16.071428571428573" r="540"/>
    <row customHeight="true" ht="16.071428571428573" r="541"/>
    <row customHeight="true" ht="16.071428571428573" r="542"/>
    <row customHeight="true" ht="16.071428571428573" r="543"/>
    <row customHeight="true" ht="16.071428571428573" r="544">
      <c r="A544" s="2875"/>
      <c r="B544" s="3002"/>
      <c r="C544" s="2895"/>
      <c r="D544" s="2881"/>
      <c r="E544" s="2849"/>
      <c r="F544" s="2882"/>
      <c r="G544" s="3078"/>
      <c r="H544" s="2897"/>
      <c r="I544" s="2897"/>
      <c r="J544" s="3096"/>
      <c r="K544" s="2851"/>
      <c r="L544" s="2851"/>
      <c r="M544" s="2851"/>
      <c r="N544" s="2851"/>
      <c r="O544" s="2851"/>
      <c r="P544" s="2851"/>
    </row>
    <row customHeight="true" ht="16.071428571428573" r="545">
      <c r="A545" s="2875"/>
      <c r="B545" s="3002"/>
      <c r="C545" s="2895"/>
      <c r="D545" s="2881"/>
      <c r="E545" s="2849"/>
      <c r="F545" s="2882"/>
      <c r="G545" s="3078"/>
      <c r="H545" s="2897"/>
      <c r="I545" s="2897"/>
      <c r="J545" s="3096"/>
      <c r="K545" s="2851"/>
      <c r="L545" s="2851"/>
      <c r="M545" s="2851"/>
      <c r="N545" s="2851"/>
      <c r="O545" s="2851"/>
      <c r="P545" s="2851"/>
    </row>
    <row customHeight="true" ht="16.071428571428573" r="546">
      <c r="A546" s="2875"/>
      <c r="B546" s="3002"/>
      <c r="C546" s="2895"/>
      <c r="D546" s="2881"/>
      <c r="E546" s="2849"/>
      <c r="F546" s="2882"/>
      <c r="G546" s="3078"/>
      <c r="H546" s="2897"/>
      <c r="I546" s="2897"/>
      <c r="J546" s="3096"/>
      <c r="K546" s="2851"/>
      <c r="L546" s="2851"/>
      <c r="M546" s="2851"/>
      <c r="N546" s="2851"/>
      <c r="O546" s="2851"/>
      <c r="P546" s="2851"/>
    </row>
    <row customHeight="true" ht="16.071428571428573" r="547">
      <c r="A547" s="3245"/>
      <c r="B547" s="2895"/>
      <c r="C547" s="2895"/>
      <c r="D547" s="2897"/>
      <c r="E547" s="2897"/>
      <c r="F547" s="2897"/>
      <c r="G547" s="3078"/>
      <c r="H547" s="2897"/>
      <c r="I547" s="2897"/>
      <c r="J547" s="3096"/>
      <c r="K547" s="2851"/>
      <c r="L547" s="2851"/>
      <c r="M547" s="2851"/>
      <c r="N547" s="2851"/>
      <c r="O547" s="2851"/>
      <c r="P547" s="2851"/>
    </row>
    <row customHeight="true" ht="32.73809523809524" r="548">
      <c r="A548" s="3253" t="s">
        <v>2953</v>
      </c>
      <c r="B548" s="3253"/>
      <c r="C548" s="3253"/>
      <c r="D548" s="3253"/>
      <c r="E548" s="3253"/>
      <c r="F548" s="3253"/>
      <c r="G548" s="3253"/>
      <c r="H548" s="3253"/>
      <c r="I548" s="3253"/>
      <c r="J548" s="3254"/>
      <c r="K548" s="3255"/>
      <c r="L548" s="3255"/>
      <c r="M548" s="3255"/>
      <c r="N548" s="3255"/>
      <c r="O548" s="3255"/>
      <c r="P548" s="3255"/>
      <c r="Q548" s="3256"/>
      <c r="R548" s="3256"/>
    </row>
    <row customHeight="true" ht="32.73809523809524" r="549">
      <c r="A549" s="3257" t="s">
        <v>2554</v>
      </c>
      <c r="B549" s="3258" t="s">
        <v>2555</v>
      </c>
      <c r="C549" s="3258"/>
      <c r="D549" s="3259" t="s">
        <v>2556</v>
      </c>
      <c r="E549" s="3259" t="s">
        <v>2557</v>
      </c>
      <c r="F549" s="3259" t="s">
        <v>2558</v>
      </c>
      <c r="G549" s="3260" t="s">
        <v>2577</v>
      </c>
      <c r="H549" s="3259" t="s">
        <v>2560</v>
      </c>
      <c r="I549" s="3259" t="s">
        <v>2561</v>
      </c>
      <c r="J549" s="3261" t="s">
        <v>2562</v>
      </c>
      <c r="K549" s="3262"/>
      <c r="L549" s="3262"/>
      <c r="M549" s="3262"/>
      <c r="N549" s="3262"/>
      <c r="O549" s="3262"/>
      <c r="P549" s="3262"/>
      <c r="Q549" s="3256"/>
      <c r="R549" s="3256"/>
    </row>
    <row customHeight="true" ht="16.071428571428573" r="550">
      <c r="A550" s="3211" t="s">
        <v>2954</v>
      </c>
      <c r="B550" s="3002">
        <v>46259</v>
      </c>
      <c r="C550" s="2895" t="str">
        <v>Tuesday</v>
      </c>
      <c r="D550" s="2881" t="s">
        <v>2955</v>
      </c>
      <c r="E550" s="2849">
        <f t="shared" ref="E550:E561" si="107">24*MOD(TIMEVALUE(TRIM(MID(D550,FIND("-",D550)+1,LEN(D550)))) - TIMEVALUE(TRIM(LEFT(D550,FIND("-",D550)-1))),1)</f>
      </c>
      <c r="F550" s="2878"/>
      <c r="G550" s="3263"/>
      <c r="H550" s="3264" t="s">
        <v>2572</v>
      </c>
      <c r="I550" s="2854" t="s">
        <v>2528</v>
      </c>
      <c r="J550" s="3112"/>
      <c r="K550" s="2851"/>
      <c r="L550" s="2851"/>
      <c r="M550" s="2851"/>
      <c r="N550" s="2851"/>
      <c r="O550" s="2851"/>
      <c r="P550" s="2851"/>
    </row>
    <row customHeight="true" ht="16.071428571428573" r="551">
      <c r="A551" s="3265" t="s">
        <v>2956</v>
      </c>
      <c r="B551" s="2907">
        <v>46259</v>
      </c>
      <c r="C551" s="2906" t="str">
        <v>Tuesday</v>
      </c>
      <c r="D551" s="2908" t="s">
        <v>2957</v>
      </c>
      <c r="E551" s="2909">
        <f t="shared" si="107"/>
      </c>
      <c r="F551" s="2909"/>
      <c r="G551" s="3266"/>
      <c r="H551" s="3267"/>
      <c r="I551" s="2909" t="s">
        <v>2528</v>
      </c>
      <c r="J551" s="3112"/>
      <c r="K551" s="2851"/>
      <c r="L551" s="2851"/>
      <c r="M551" s="2851"/>
      <c r="N551" s="2851"/>
      <c r="O551" s="2851"/>
      <c r="P551" s="2851"/>
    </row>
    <row customHeight="true" ht="16.071428571428573" r="552">
      <c r="A552" s="3211" t="s">
        <v>2954</v>
      </c>
      <c r="B552" s="3002">
        <v>46260</v>
      </c>
      <c r="C552" s="2895" t="str">
        <v>Wednesday</v>
      </c>
      <c r="D552" s="2881" t="s">
        <v>2958</v>
      </c>
      <c r="E552" s="2849">
        <f t="shared" si="107"/>
      </c>
      <c r="F552" s="2849"/>
      <c r="G552" s="3003"/>
      <c r="H552" s="3264" t="s">
        <v>2572</v>
      </c>
      <c r="I552" s="2854" t="s">
        <v>2528</v>
      </c>
      <c r="J552" s="2878"/>
      <c r="K552" s="2851"/>
      <c r="L552" s="2851"/>
      <c r="M552" s="2851"/>
      <c r="N552" s="2851"/>
      <c r="O552" s="2851"/>
      <c r="P552" s="2851"/>
    </row>
    <row customHeight="true" ht="16.071428571428573" r="553">
      <c r="A553" s="3265" t="s">
        <v>2956</v>
      </c>
      <c r="B553" s="2907">
        <v>46260</v>
      </c>
      <c r="C553" s="2906" t="str">
        <v>Wednesday</v>
      </c>
      <c r="D553" s="2908" t="s">
        <v>2959</v>
      </c>
      <c r="E553" s="2909">
        <f t="shared" si="107"/>
      </c>
      <c r="F553" s="2909"/>
      <c r="G553" s="2910"/>
      <c r="H553" s="3267"/>
      <c r="I553" s="2909" t="s">
        <v>2528</v>
      </c>
      <c r="J553" s="2878"/>
      <c r="K553" s="2851"/>
      <c r="L553" s="2851"/>
      <c r="M553" s="2851"/>
      <c r="N553" s="2851"/>
      <c r="O553" s="2851"/>
      <c r="P553" s="2851"/>
    </row>
    <row customHeight="true" ht="16.071428571428573" r="554">
      <c r="A554" s="3211" t="s">
        <v>2954</v>
      </c>
      <c r="B554" s="3002">
        <v>46261</v>
      </c>
      <c r="C554" s="2895" t="str">
        <v>Thursday</v>
      </c>
      <c r="D554" s="2881" t="s">
        <v>2958</v>
      </c>
      <c r="E554" s="2849">
        <f t="shared" si="107"/>
      </c>
      <c r="F554" s="2849"/>
      <c r="G554" s="3075"/>
      <c r="H554" s="3264" t="s">
        <v>2572</v>
      </c>
      <c r="I554" s="2854" t="s">
        <v>2528</v>
      </c>
      <c r="J554" s="2878"/>
      <c r="K554" s="2851"/>
      <c r="L554" s="2851"/>
      <c r="M554" s="2851"/>
      <c r="N554" s="2851"/>
      <c r="O554" s="2851"/>
      <c r="P554" s="2851"/>
    </row>
    <row customHeight="true" ht="16.071428571428573" r="555">
      <c r="A555" s="3265" t="s">
        <v>2956</v>
      </c>
      <c r="B555" s="2907">
        <v>46261</v>
      </c>
      <c r="C555" s="2906" t="str">
        <v>Thursday</v>
      </c>
      <c r="D555" s="2908" t="s">
        <v>2960</v>
      </c>
      <c r="E555" s="2909">
        <f t="shared" si="107"/>
      </c>
      <c r="F555" s="2909"/>
      <c r="G555" s="2910"/>
      <c r="H555" s="3267"/>
      <c r="I555" s="2909"/>
      <c r="J555" s="2878"/>
      <c r="K555" s="2851"/>
      <c r="L555" s="2851"/>
      <c r="M555" s="2851"/>
      <c r="N555" s="2851"/>
      <c r="O555" s="2851"/>
      <c r="P555" s="2851"/>
    </row>
    <row customHeight="true" ht="16.071428571428573" r="556">
      <c r="A556" s="3211" t="s">
        <v>2954</v>
      </c>
      <c r="B556" s="3002">
        <v>46262</v>
      </c>
      <c r="C556" s="2895" t="str">
        <v>Friday</v>
      </c>
      <c r="D556" s="2881" t="s">
        <v>2960</v>
      </c>
      <c r="E556" s="2849">
        <f t="shared" si="107"/>
      </c>
      <c r="F556" s="2849"/>
      <c r="G556" s="3075"/>
      <c r="H556" s="3264" t="s">
        <v>2572</v>
      </c>
      <c r="I556" s="2854" t="s">
        <v>2528</v>
      </c>
      <c r="J556" s="2878"/>
      <c r="K556" s="2851"/>
      <c r="L556" s="2851"/>
      <c r="M556" s="2851"/>
      <c r="N556" s="2851"/>
      <c r="O556" s="2851"/>
      <c r="P556" s="2851"/>
    </row>
    <row customHeight="true" ht="16.071428571428573" r="557">
      <c r="A557" s="3265" t="s">
        <v>2956</v>
      </c>
      <c r="B557" s="2907">
        <v>46262</v>
      </c>
      <c r="C557" s="2906" t="str">
        <v>Friday</v>
      </c>
      <c r="D557" s="2908" t="s">
        <v>2958</v>
      </c>
      <c r="E557" s="2909">
        <f t="shared" si="107"/>
      </c>
      <c r="F557" s="2909"/>
      <c r="G557" s="2910"/>
      <c r="H557" s="3267"/>
      <c r="I557" s="2909"/>
      <c r="J557" s="2878"/>
      <c r="K557" s="2851"/>
      <c r="L557" s="2851"/>
      <c r="M557" s="2851"/>
      <c r="N557" s="2851"/>
      <c r="O557" s="2851"/>
      <c r="P557" s="2851"/>
    </row>
    <row customHeight="true" ht="16.071428571428573" r="558">
      <c r="A558" s="3211" t="s">
        <v>2954</v>
      </c>
      <c r="B558" s="3002">
        <v>46263</v>
      </c>
      <c r="C558" s="2895" t="str">
        <v>Saturday</v>
      </c>
      <c r="D558" s="2881" t="s">
        <v>2955</v>
      </c>
      <c r="E558" s="2897">
        <f t="shared" si="107"/>
      </c>
      <c r="F558" s="2882"/>
      <c r="G558" s="3075"/>
      <c r="H558" s="3264" t="s">
        <v>2572</v>
      </c>
      <c r="I558" s="2854" t="s">
        <v>2528</v>
      </c>
      <c r="J558" s="2878"/>
      <c r="K558" s="2851"/>
      <c r="L558" s="2851"/>
      <c r="M558" s="2851"/>
      <c r="N558" s="2851"/>
      <c r="O558" s="2851"/>
      <c r="P558" s="2851"/>
    </row>
    <row customHeight="true" ht="16.071428571428573" r="559">
      <c r="A559" s="3265" t="s">
        <v>2956</v>
      </c>
      <c r="B559" s="2907">
        <v>46263</v>
      </c>
      <c r="C559" s="2906" t="str">
        <v>Saturday</v>
      </c>
      <c r="D559" s="2908" t="s">
        <v>2961</v>
      </c>
      <c r="E559" s="2909">
        <f t="shared" si="107"/>
      </c>
      <c r="F559" s="2909"/>
      <c r="G559" s="2910"/>
      <c r="H559" s="3267"/>
      <c r="I559" s="2909"/>
      <c r="J559" s="2878"/>
      <c r="K559" s="2851"/>
      <c r="L559" s="2851"/>
      <c r="M559" s="2851"/>
      <c r="N559" s="2851"/>
      <c r="O559" s="2851"/>
      <c r="P559" s="2851"/>
    </row>
    <row customHeight="true" ht="16.071428571428573" r="560">
      <c r="A560" s="3211" t="s">
        <v>2954</v>
      </c>
      <c r="B560" s="3002">
        <v>46264</v>
      </c>
      <c r="C560" s="2895" t="str">
        <v>Sunday</v>
      </c>
      <c r="D560" s="2849" t="s">
        <v>2663</v>
      </c>
      <c r="E560" s="2849">
        <f t="shared" si="107"/>
      </c>
      <c r="F560" s="2882"/>
      <c r="G560" s="3075"/>
      <c r="H560" s="3264" t="s">
        <v>2572</v>
      </c>
      <c r="I560" s="2854" t="s">
        <v>2568</v>
      </c>
      <c r="J560" s="3096"/>
      <c r="K560" s="2851"/>
      <c r="L560" s="2851"/>
      <c r="M560" s="2851"/>
      <c r="N560" s="2851"/>
      <c r="O560" s="2851"/>
      <c r="P560" s="2851"/>
    </row>
    <row r="561">
      <c r="A561" s="3265" t="s">
        <v>2956</v>
      </c>
      <c r="B561" s="2907">
        <v>46264</v>
      </c>
      <c r="C561" s="2906" t="str">
        <v>Sunday</v>
      </c>
      <c r="D561" s="2908" t="s">
        <v>2962</v>
      </c>
      <c r="E561" s="2909">
        <f t="shared" si="107"/>
      </c>
      <c r="F561" s="2909"/>
      <c r="G561" s="2910"/>
      <c r="H561" s="3267"/>
      <c r="I561" s="2909"/>
    </row>
    <row customHeight="true" ht="16.071428571428573" r="562">
      <c r="A562" s="3211"/>
      <c r="B562" s="3002"/>
      <c r="C562" s="2895"/>
      <c r="D562" s="2849"/>
      <c r="E562" s="2849"/>
      <c r="F562" s="2882"/>
      <c r="G562" s="3003"/>
      <c r="H562" s="3264"/>
      <c r="I562" s="2854"/>
      <c r="J562" s="3096"/>
      <c r="K562" s="2851"/>
      <c r="L562" s="2851"/>
      <c r="M562" s="2851"/>
      <c r="N562" s="2851"/>
      <c r="O562" s="2851"/>
      <c r="P562" s="2851"/>
    </row>
    <row customHeight="true" ht="16.071428571428573" r="563">
      <c r="A563" s="3245" t="s">
        <v>2963</v>
      </c>
      <c r="B563" s="3002">
        <v>46258</v>
      </c>
      <c r="C563" s="2895" t="str">
        <v>Monday</v>
      </c>
      <c r="D563" s="2896" t="s">
        <v>2642</v>
      </c>
      <c r="E563" s="2849">
        <f t="shared" ref="E563:E565" si="108">24*MOD(TIMEVALUE(TRIM(MID(D563,FIND("-",D563)+1,LEN(D563)))) - TIMEVALUE(TRIM(LEFT(D563,FIND("-",D563)-1))),1)</f>
      </c>
      <c r="F563" s="2849"/>
      <c r="G563" s="3075"/>
      <c r="H563" s="3264" t="s">
        <v>2572</v>
      </c>
      <c r="I563" s="2854" t="s">
        <v>2568</v>
      </c>
      <c r="J563" s="3096"/>
      <c r="K563" s="2851"/>
      <c r="L563" s="2851"/>
      <c r="M563" s="2851"/>
      <c r="N563" s="2851"/>
      <c r="O563" s="2851"/>
      <c r="P563" s="2851"/>
    </row>
    <row customHeight="true" ht="16.071428571428573" r="564">
      <c r="A564" s="3245" t="s">
        <v>2963</v>
      </c>
      <c r="B564" s="3002">
        <v>46258</v>
      </c>
      <c r="C564" s="2895" t="str">
        <v>Monday</v>
      </c>
      <c r="D564" s="2896" t="s">
        <v>2651</v>
      </c>
      <c r="E564" s="2849">
        <f t="shared" si="108"/>
      </c>
      <c r="F564" s="2882"/>
      <c r="G564" s="3078"/>
      <c r="H564" s="3264" t="s">
        <v>2572</v>
      </c>
      <c r="I564" s="2854" t="s">
        <v>2568</v>
      </c>
      <c r="J564" s="3096"/>
      <c r="K564" s="2851"/>
      <c r="L564" s="2851"/>
      <c r="M564" s="2851"/>
      <c r="N564" s="2851"/>
      <c r="O564" s="2851"/>
      <c r="P564" s="2851"/>
    </row>
    <row customHeight="true" ht="16.071428571428573" r="565">
      <c r="A565" s="3245" t="s">
        <v>2963</v>
      </c>
      <c r="B565" s="3002">
        <v>46258</v>
      </c>
      <c r="C565" s="2895" t="str">
        <v>Monday</v>
      </c>
      <c r="D565" s="2896" t="s">
        <v>2642</v>
      </c>
      <c r="E565" s="2849">
        <f t="shared" si="108"/>
      </c>
      <c r="F565" s="2849"/>
      <c r="G565" s="3075"/>
      <c r="H565" s="3264" t="s">
        <v>2572</v>
      </c>
      <c r="I565" s="2854" t="s">
        <v>2568</v>
      </c>
      <c r="J565" s="3096"/>
      <c r="K565" s="2851"/>
      <c r="L565" s="2851"/>
      <c r="M565" s="2851"/>
      <c r="N565" s="2851"/>
      <c r="O565" s="2851"/>
      <c r="P565" s="2851"/>
    </row>
    <row customHeight="true" ht="16.071428571428573" r="566">
      <c r="A566" s="3245"/>
      <c r="B566" s="3002"/>
      <c r="C566" s="2895"/>
      <c r="D566" s="2849"/>
      <c r="E566" s="2897"/>
      <c r="F566" s="2882"/>
      <c r="G566" s="3078"/>
      <c r="H566" s="2897"/>
      <c r="I566" s="2897"/>
      <c r="J566" s="3096"/>
      <c r="K566" s="2851"/>
      <c r="L566" s="2851"/>
      <c r="M566" s="2851"/>
      <c r="N566" s="2851"/>
      <c r="O566" s="2851"/>
      <c r="P566" s="2851"/>
    </row>
    <row customHeight="true" ht="16.071428571428573" r="567">
      <c r="A567" s="3245"/>
      <c r="B567" s="2895"/>
      <c r="C567" s="2895"/>
      <c r="D567" s="2897"/>
      <c r="E567" s="2897"/>
      <c r="F567" s="2897"/>
      <c r="G567" s="3078"/>
      <c r="H567" s="2897"/>
      <c r="I567" s="2897"/>
      <c r="J567" s="3096"/>
      <c r="K567" s="2851"/>
      <c r="L567" s="2851"/>
      <c r="M567" s="2851"/>
      <c r="N567" s="2851"/>
      <c r="O567" s="2851"/>
      <c r="P567" s="2851"/>
    </row>
    <row r="568">
      <c r="A568" s="3268" t="s">
        <v>2964</v>
      </c>
      <c r="B568" s="3268"/>
      <c r="C568" s="3268"/>
      <c r="D568" s="3268"/>
      <c r="E568" s="3268"/>
      <c r="F568" s="3268"/>
      <c r="G568" s="3268"/>
      <c r="H568" s="3268"/>
      <c r="I568" s="3268"/>
      <c r="J568" s="3269"/>
      <c r="K568" s="2887"/>
      <c r="L568" s="2887"/>
      <c r="M568" s="2887"/>
      <c r="N568" s="2887"/>
      <c r="O568" s="2887"/>
      <c r="P568" s="2887"/>
    </row>
    <row r="569">
      <c r="A569" s="3270" t="s">
        <v>2554</v>
      </c>
      <c r="B569" s="3271" t="s">
        <v>2555</v>
      </c>
      <c r="C569" s="3271"/>
      <c r="D569" s="3272" t="s">
        <v>2556</v>
      </c>
      <c r="E569" s="3272" t="s">
        <v>2557</v>
      </c>
      <c r="F569" s="3272" t="s">
        <v>2558</v>
      </c>
      <c r="G569" s="3273" t="s">
        <v>2577</v>
      </c>
      <c r="H569" s="3272" t="s">
        <v>2560</v>
      </c>
      <c r="I569" s="3272" t="s">
        <v>2561</v>
      </c>
      <c r="J569" s="3274" t="s">
        <v>2562</v>
      </c>
      <c r="K569" s="2960" t="s">
        <v>2965</v>
      </c>
      <c r="L569" s="2874"/>
      <c r="M569" s="2874"/>
      <c r="N569" s="2874"/>
      <c r="O569" s="2874"/>
      <c r="P569" s="2874"/>
    </row>
    <row customHeight="true" ht="18.452380952380953" r="570">
      <c r="A570" s="2875" t="s">
        <v>2966</v>
      </c>
      <c r="B570" s="2844">
        <v>46266</v>
      </c>
      <c r="C570" s="2875" t="str">
        <v>Tuesday</v>
      </c>
      <c r="D570" s="2881" t="s">
        <v>2688</v>
      </c>
      <c r="E570" s="2849">
        <f t="shared" ref="E570:E595" si="109">24*MOD(TIMEVALUE(TRIM(MID(D570,FIND("-",D570)+1,LEN(D570)))) - TIMEVALUE(TRIM(LEFT(D570,FIND("-",D570)-1))),1)</f>
      </c>
      <c r="F570" s="2897" t="s">
        <v>2967</v>
      </c>
      <c r="G570" s="3006"/>
      <c r="H570" s="2849" t="s">
        <v>2527</v>
      </c>
      <c r="I570" s="2849" t="s">
        <v>2528</v>
      </c>
      <c r="J570" s="2878"/>
      <c r="K570" s="3022" t="s">
        <v>2968</v>
      </c>
      <c r="L570" s="2851"/>
      <c r="M570" s="2851"/>
      <c r="N570" s="2851"/>
      <c r="O570" s="2851"/>
      <c r="P570" s="2851"/>
    </row>
    <row r="571">
      <c r="A571" s="3173" t="s">
        <v>2969</v>
      </c>
      <c r="B571" s="3174">
        <v>46266</v>
      </c>
      <c r="C571" s="3173" t="str">
        <v>Tuesday</v>
      </c>
      <c r="D571" s="3176" t="s">
        <v>2970</v>
      </c>
      <c r="E571" s="3176">
        <f t="shared" si="109"/>
      </c>
      <c r="F571" s="3176" t="s">
        <v>2971</v>
      </c>
      <c r="G571" s="3177" t="s">
        <v>2972</v>
      </c>
      <c r="H571" s="3176" t="s">
        <v>2527</v>
      </c>
      <c r="I571" s="3176" t="s">
        <v>2528</v>
      </c>
      <c r="J571" s="3199"/>
      <c r="K571" s="3022" t="s">
        <v>2968</v>
      </c>
      <c r="L571" s="2851"/>
      <c r="M571" s="2851"/>
      <c r="N571" s="2851"/>
      <c r="O571" s="2851"/>
      <c r="P571" s="2851"/>
    </row>
    <row customHeight="true" ht="18.452380952380953" r="572">
      <c r="A572" s="3173" t="s">
        <v>2973</v>
      </c>
      <c r="B572" s="3174">
        <v>46266</v>
      </c>
      <c r="C572" s="3173" t="str">
        <v>Tuesday</v>
      </c>
      <c r="D572" s="3198" t="s">
        <v>2974</v>
      </c>
      <c r="E572" s="3176">
        <f t="shared" si="109"/>
      </c>
      <c r="F572" s="3176" t="s">
        <v>2971</v>
      </c>
      <c r="G572" s="3177" t="s">
        <v>2975</v>
      </c>
      <c r="H572" s="3176" t="s">
        <v>2527</v>
      </c>
      <c r="I572" s="3176" t="s">
        <v>2528</v>
      </c>
      <c r="J572" s="3199"/>
      <c r="K572" s="3022" t="s">
        <v>2968</v>
      </c>
      <c r="L572" s="2851"/>
      <c r="M572" s="2851"/>
      <c r="N572" s="2851"/>
      <c r="O572" s="2851"/>
      <c r="P572" s="2851"/>
    </row>
    <row customHeight="true" ht="18.452380952380953" r="573">
      <c r="A573" s="3173" t="s">
        <v>2973</v>
      </c>
      <c r="B573" s="3174">
        <v>46266</v>
      </c>
      <c r="C573" s="3173" t="str">
        <v>Tuesday</v>
      </c>
      <c r="D573" s="3198" t="s">
        <v>2976</v>
      </c>
      <c r="E573" s="3176">
        <f t="shared" si="109"/>
      </c>
      <c r="F573" s="3180" t="s">
        <v>2977</v>
      </c>
      <c r="G573" s="3275" t="s">
        <v>2978</v>
      </c>
      <c r="H573" s="3180" t="s">
        <v>2527</v>
      </c>
      <c r="I573" s="3180" t="s">
        <v>2528</v>
      </c>
      <c r="J573" s="3276"/>
      <c r="K573" s="3022" t="s">
        <v>2968</v>
      </c>
      <c r="L573" s="2851"/>
      <c r="M573" s="2851"/>
      <c r="N573" s="2851"/>
      <c r="O573" s="2851"/>
      <c r="P573" s="2851"/>
    </row>
    <row customHeight="true" ht="18.452380952380953" r="574">
      <c r="A574" s="2895" t="s">
        <v>2966</v>
      </c>
      <c r="B574" s="3002">
        <v>46267</v>
      </c>
      <c r="C574" s="2895" t="str">
        <v>Wednesday</v>
      </c>
      <c r="D574" s="2896" t="s">
        <v>2979</v>
      </c>
      <c r="E574" s="2897">
        <f t="shared" si="109"/>
      </c>
      <c r="F574" s="2854" t="s">
        <v>2967</v>
      </c>
      <c r="G574" s="3075"/>
      <c r="H574" s="2897" t="s">
        <v>2527</v>
      </c>
      <c r="I574" s="2897" t="s">
        <v>2528</v>
      </c>
      <c r="J574" s="3096"/>
      <c r="K574" s="3022" t="s">
        <v>2968</v>
      </c>
      <c r="L574" s="2851"/>
      <c r="M574" s="2851"/>
      <c r="N574" s="2851"/>
      <c r="O574" s="2851"/>
      <c r="P574" s="2851"/>
    </row>
    <row customHeight="true" ht="18.452380952380953" r="575">
      <c r="A575" s="2895" t="s">
        <v>2966</v>
      </c>
      <c r="B575" s="3002">
        <v>46267</v>
      </c>
      <c r="C575" s="2895" t="str">
        <v>Wednesday</v>
      </c>
      <c r="D575" s="2896" t="s">
        <v>2980</v>
      </c>
      <c r="E575" s="2897">
        <f t="shared" si="109"/>
      </c>
      <c r="F575" s="2897" t="s">
        <v>2981</v>
      </c>
      <c r="G575" s="3075" t="s">
        <v>2982</v>
      </c>
      <c r="H575" s="2897" t="s">
        <v>2527</v>
      </c>
      <c r="I575" s="2897" t="s">
        <v>2528</v>
      </c>
      <c r="J575" s="3096"/>
      <c r="K575" s="3022" t="s">
        <v>2968</v>
      </c>
      <c r="L575" s="2851"/>
      <c r="M575" s="2851"/>
      <c r="N575" s="2851"/>
      <c r="O575" s="2851"/>
      <c r="P575" s="2851"/>
    </row>
    <row customHeight="true" ht="18.452380952380953" r="576">
      <c r="A576" s="3173" t="s">
        <v>2973</v>
      </c>
      <c r="B576" s="3174">
        <v>46267</v>
      </c>
      <c r="C576" s="3173" t="str">
        <v>Wednesday</v>
      </c>
      <c r="D576" s="3198" t="s">
        <v>2983</v>
      </c>
      <c r="E576" s="3176">
        <f t="shared" si="109"/>
      </c>
      <c r="F576" s="3176" t="s">
        <v>2971</v>
      </c>
      <c r="G576" s="3177" t="s">
        <v>2984</v>
      </c>
      <c r="H576" s="3180" t="s">
        <v>2527</v>
      </c>
      <c r="I576" s="3180" t="s">
        <v>2528</v>
      </c>
      <c r="J576" s="3277"/>
      <c r="K576" s="3022" t="s">
        <v>2968</v>
      </c>
      <c r="L576" s="2851"/>
      <c r="M576" s="2851"/>
      <c r="N576" s="2851"/>
      <c r="O576" s="2851"/>
      <c r="P576" s="2851"/>
    </row>
    <row customHeight="true" ht="18.452380952380953" r="577">
      <c r="A577" s="3173" t="s">
        <v>2969</v>
      </c>
      <c r="B577" s="3174">
        <v>46267</v>
      </c>
      <c r="C577" s="3173" t="str">
        <v>Wednesday</v>
      </c>
      <c r="D577" s="3198" t="s">
        <v>2801</v>
      </c>
      <c r="E577" s="3176">
        <f t="shared" si="109"/>
      </c>
      <c r="F577" s="3176" t="s">
        <v>2985</v>
      </c>
      <c r="G577" s="3177" t="s">
        <v>2986</v>
      </c>
      <c r="H577" s="3180" t="s">
        <v>2527</v>
      </c>
      <c r="I577" s="3180" t="s">
        <v>2528</v>
      </c>
      <c r="J577" s="3277"/>
      <c r="K577" s="3022" t="s">
        <v>2968</v>
      </c>
      <c r="L577" s="2851"/>
      <c r="M577" s="2851"/>
      <c r="N577" s="2851"/>
      <c r="O577" s="2851"/>
      <c r="P577" s="2851"/>
    </row>
    <row customHeight="true" ht="18.452380952380953" r="578">
      <c r="A578" s="3173" t="s">
        <v>2973</v>
      </c>
      <c r="B578" s="3174">
        <v>46267</v>
      </c>
      <c r="C578" s="3173" t="str">
        <v>Wednesday</v>
      </c>
      <c r="D578" s="3198" t="s">
        <v>2792</v>
      </c>
      <c r="E578" s="3176">
        <f t="shared" si="109"/>
      </c>
      <c r="F578" s="3176" t="s">
        <v>2985</v>
      </c>
      <c r="G578" s="3177" t="s">
        <v>2987</v>
      </c>
      <c r="H578" s="3180" t="s">
        <v>2527</v>
      </c>
      <c r="I578" s="3180" t="s">
        <v>2528</v>
      </c>
      <c r="J578" s="3277"/>
      <c r="K578" s="3022" t="s">
        <v>2968</v>
      </c>
      <c r="L578" s="2851"/>
      <c r="M578" s="2851"/>
      <c r="N578" s="2851"/>
      <c r="O578" s="2851"/>
      <c r="P578" s="2851"/>
    </row>
    <row r="579">
      <c r="A579" s="2895" t="s">
        <v>2969</v>
      </c>
      <c r="B579" s="3002">
        <v>46268</v>
      </c>
      <c r="C579" s="2895" t="str">
        <v>Thursday</v>
      </c>
      <c r="D579" s="2896" t="s">
        <v>2584</v>
      </c>
      <c r="E579" s="2897">
        <f t="shared" si="109"/>
      </c>
      <c r="F579" s="2897" t="s">
        <v>2732</v>
      </c>
      <c r="G579" s="2893" t="s">
        <v>2988</v>
      </c>
      <c r="H579" s="2897" t="s">
        <v>2527</v>
      </c>
      <c r="I579" s="2897" t="s">
        <v>2528</v>
      </c>
      <c r="J579" s="3076"/>
      <c r="K579" s="3022" t="s">
        <v>2968</v>
      </c>
      <c r="L579" s="3022"/>
      <c r="M579" s="3022"/>
      <c r="N579" s="3022"/>
      <c r="O579" s="3022"/>
      <c r="P579" s="3022"/>
    </row>
    <row customHeight="true" ht="18.452380952380953" r="580">
      <c r="A580" s="2895" t="s">
        <v>2966</v>
      </c>
      <c r="B580" s="3002">
        <v>46268</v>
      </c>
      <c r="C580" s="2895" t="str">
        <v>Thursday</v>
      </c>
      <c r="D580" s="2896" t="s">
        <v>2584</v>
      </c>
      <c r="E580" s="2897">
        <f t="shared" si="109"/>
      </c>
      <c r="F580" s="2897" t="s">
        <v>2901</v>
      </c>
      <c r="G580" s="3075"/>
      <c r="H580" s="2897" t="s">
        <v>2527</v>
      </c>
      <c r="I580" s="2897" t="s">
        <v>2528</v>
      </c>
      <c r="J580" s="3076"/>
      <c r="K580" s="3022" t="s">
        <v>2968</v>
      </c>
      <c r="L580" s="3022"/>
      <c r="M580" s="3022"/>
      <c r="N580" s="3022"/>
      <c r="O580" s="3022"/>
      <c r="P580" s="3022"/>
    </row>
    <row customHeight="true" ht="18.452380952380953" r="581">
      <c r="A581" s="2895" t="s">
        <v>2966</v>
      </c>
      <c r="B581" s="3002">
        <v>46268</v>
      </c>
      <c r="C581" s="2895" t="str">
        <v>Thursday</v>
      </c>
      <c r="D581" s="2896" t="s">
        <v>2596</v>
      </c>
      <c r="E581" s="2897">
        <f t="shared" si="109"/>
      </c>
      <c r="F581" s="2897" t="s">
        <v>2732</v>
      </c>
      <c r="G581" s="3075"/>
      <c r="H581" s="2897" t="s">
        <v>2527</v>
      </c>
      <c r="I581" s="2897" t="s">
        <v>2528</v>
      </c>
      <c r="J581" s="3076"/>
      <c r="K581" s="3022" t="s">
        <v>2968</v>
      </c>
      <c r="L581" s="3022"/>
      <c r="M581" s="3022"/>
      <c r="N581" s="3022"/>
      <c r="O581" s="3022"/>
      <c r="P581" s="3022"/>
    </row>
    <row customHeight="true" ht="18.452380952380953" r="582">
      <c r="A582" s="3173" t="s">
        <v>2969</v>
      </c>
      <c r="B582" s="3173">
        <v>46268</v>
      </c>
      <c r="C582" s="3173" t="str">
        <v>Thursday</v>
      </c>
      <c r="D582" s="3198" t="s">
        <v>2781</v>
      </c>
      <c r="E582" s="3176">
        <f t="shared" si="109"/>
      </c>
      <c r="F582" s="3176" t="s">
        <v>2977</v>
      </c>
      <c r="G582" s="3177" t="s">
        <v>2989</v>
      </c>
      <c r="H582" s="3176" t="s">
        <v>2527</v>
      </c>
      <c r="I582" s="3176" t="s">
        <v>2528</v>
      </c>
      <c r="J582" s="3199"/>
      <c r="K582" s="3022" t="s">
        <v>2968</v>
      </c>
      <c r="L582" s="3022"/>
      <c r="M582" s="3022"/>
      <c r="N582" s="3022"/>
      <c r="O582" s="3022"/>
      <c r="P582" s="3022"/>
    </row>
    <row customHeight="true" ht="18.452380952380953" r="583">
      <c r="A583" s="3173" t="s">
        <v>2973</v>
      </c>
      <c r="B583" s="3174">
        <v>46268</v>
      </c>
      <c r="C583" s="3173" t="str">
        <v>Thursday</v>
      </c>
      <c r="D583" s="3198" t="s">
        <v>2990</v>
      </c>
      <c r="E583" s="3176">
        <f t="shared" si="109"/>
      </c>
      <c r="F583" s="3180" t="s">
        <v>2971</v>
      </c>
      <c r="G583" s="3177" t="s">
        <v>2984</v>
      </c>
      <c r="H583" s="3176" t="s">
        <v>2527</v>
      </c>
      <c r="I583" s="3176" t="s">
        <v>2528</v>
      </c>
      <c r="J583" s="3277"/>
      <c r="K583" s="3022" t="s">
        <v>2968</v>
      </c>
      <c r="L583" s="3022"/>
      <c r="M583" s="3022"/>
      <c r="N583" s="3022"/>
      <c r="O583" s="3022"/>
      <c r="P583" s="3022"/>
    </row>
    <row r="584">
      <c r="A584" s="3173" t="s">
        <v>2973</v>
      </c>
      <c r="B584" s="3174">
        <v>46268</v>
      </c>
      <c r="C584" s="3173" t="str">
        <v>Thursday</v>
      </c>
      <c r="D584" s="3198" t="s">
        <v>2991</v>
      </c>
      <c r="E584" s="3176">
        <f t="shared" si="109"/>
      </c>
      <c r="F584" s="3180" t="s">
        <v>2977</v>
      </c>
      <c r="G584" s="3177" t="s">
        <v>2992</v>
      </c>
      <c r="H584" s="3176" t="s">
        <v>2527</v>
      </c>
      <c r="I584" s="3176" t="s">
        <v>2528</v>
      </c>
      <c r="J584" s="3277"/>
      <c r="K584" s="3022" t="s">
        <v>2968</v>
      </c>
      <c r="L584" s="3022"/>
      <c r="M584" s="3022"/>
      <c r="N584" s="3022"/>
      <c r="O584" s="3022"/>
      <c r="P584" s="3022"/>
    </row>
    <row customHeight="true" ht="18.452380952380953" r="585">
      <c r="A585" s="3173" t="s">
        <v>2969</v>
      </c>
      <c r="B585" s="3174">
        <v>46268</v>
      </c>
      <c r="C585" s="3173" t="str">
        <v>Thursday</v>
      </c>
      <c r="D585" s="3198" t="s">
        <v>2993</v>
      </c>
      <c r="E585" s="3176">
        <f t="shared" si="109"/>
      </c>
      <c r="F585" s="3180" t="s">
        <v>2977</v>
      </c>
      <c r="G585" s="3177" t="s">
        <v>2994</v>
      </c>
      <c r="H585" s="3176" t="s">
        <v>2527</v>
      </c>
      <c r="I585" s="3176" t="s">
        <v>2528</v>
      </c>
      <c r="J585" s="3277"/>
      <c r="K585" s="3022" t="s">
        <v>2968</v>
      </c>
      <c r="L585" s="3022"/>
      <c r="M585" s="3022"/>
      <c r="N585" s="3022"/>
      <c r="O585" s="3022"/>
      <c r="P585" s="3022"/>
    </row>
    <row customHeight="true" ht="18.452380952380953" r="586">
      <c r="A586" s="3278" t="s">
        <v>2969</v>
      </c>
      <c r="B586" s="3279">
        <v>46268</v>
      </c>
      <c r="C586" s="3278" t="str">
        <v>Thursday</v>
      </c>
      <c r="D586" s="3280" t="s">
        <v>2995</v>
      </c>
      <c r="E586" s="3281">
        <f t="shared" si="109"/>
      </c>
      <c r="F586" s="3281" t="s">
        <v>2977</v>
      </c>
      <c r="G586" s="3282" t="s">
        <v>2996</v>
      </c>
      <c r="H586" s="3281" t="s">
        <v>2527</v>
      </c>
      <c r="I586" s="3281" t="s">
        <v>2528</v>
      </c>
      <c r="J586" s="3283"/>
      <c r="K586" s="3022" t="s">
        <v>2968</v>
      </c>
      <c r="L586" s="3022"/>
      <c r="M586" s="3022"/>
      <c r="N586" s="3022"/>
      <c r="O586" s="3022"/>
      <c r="P586" s="3022"/>
    </row>
    <row customHeight="true" ht="18.452380952380953" r="587">
      <c r="A587" s="2895" t="s">
        <v>2966</v>
      </c>
      <c r="B587" s="3002">
        <v>46269</v>
      </c>
      <c r="C587" s="2895" t="str">
        <v>Friday</v>
      </c>
      <c r="D587" s="2896" t="s">
        <v>2584</v>
      </c>
      <c r="E587" s="2897">
        <f t="shared" si="109"/>
      </c>
      <c r="F587" s="2897" t="s">
        <v>2901</v>
      </c>
      <c r="G587" s="3075"/>
      <c r="H587" s="2897" t="s">
        <v>2527</v>
      </c>
      <c r="I587" s="2897" t="s">
        <v>2528</v>
      </c>
      <c r="J587" s="3096"/>
      <c r="K587" s="3022" t="s">
        <v>2968</v>
      </c>
      <c r="L587" s="2851"/>
      <c r="M587" s="2851"/>
      <c r="N587" s="2851"/>
      <c r="O587" s="2851"/>
      <c r="P587" s="2851"/>
    </row>
    <row customHeight="true" ht="18.452380952380953" r="588">
      <c r="A588" s="2895" t="s">
        <v>2966</v>
      </c>
      <c r="B588" s="3002">
        <v>46269</v>
      </c>
      <c r="C588" s="2895" t="str">
        <v>Friday</v>
      </c>
      <c r="D588" s="2896" t="s">
        <v>2596</v>
      </c>
      <c r="E588" s="2897">
        <f t="shared" si="109"/>
      </c>
      <c r="F588" s="2897" t="s">
        <v>2732</v>
      </c>
      <c r="G588" s="3078"/>
      <c r="H588" s="2897" t="s">
        <v>2527</v>
      </c>
      <c r="I588" s="2897" t="s">
        <v>2528</v>
      </c>
      <c r="J588" s="3096"/>
      <c r="K588" s="3022" t="s">
        <v>2968</v>
      </c>
      <c r="L588" s="2851"/>
      <c r="M588" s="2851"/>
      <c r="N588" s="2851"/>
      <c r="O588" s="2851"/>
      <c r="P588" s="2851"/>
      <c r="Q588" s="2914"/>
      <c r="R588" s="2914"/>
    </row>
    <row r="589">
      <c r="A589" s="3173" t="s">
        <v>2973</v>
      </c>
      <c r="B589" s="3174">
        <v>46269</v>
      </c>
      <c r="C589" s="3173" t="str">
        <v>Friday</v>
      </c>
      <c r="D589" s="3198" t="s">
        <v>2997</v>
      </c>
      <c r="E589" s="3176">
        <f t="shared" si="109"/>
      </c>
      <c r="F589" s="3180" t="s">
        <v>2971</v>
      </c>
      <c r="G589" s="3177" t="s">
        <v>2998</v>
      </c>
      <c r="H589" s="3176" t="s">
        <v>2527</v>
      </c>
      <c r="I589" s="3176" t="s">
        <v>2528</v>
      </c>
      <c r="J589" s="3199"/>
      <c r="K589" s="3022" t="s">
        <v>2968</v>
      </c>
      <c r="L589" s="2851"/>
      <c r="M589" s="2851"/>
      <c r="N589" s="2851"/>
      <c r="O589" s="2851"/>
      <c r="P589" s="2851"/>
    </row>
    <row customHeight="true" ht="18.452380952380953" r="590">
      <c r="A590" s="2875" t="s">
        <v>2966</v>
      </c>
      <c r="B590" s="2844">
        <v>46270</v>
      </c>
      <c r="C590" s="2875" t="str">
        <v>Saturday</v>
      </c>
      <c r="D590" s="2845" t="s">
        <v>2579</v>
      </c>
      <c r="E590" s="2849">
        <f t="shared" si="109"/>
      </c>
      <c r="F590" s="2854" t="s">
        <v>2967</v>
      </c>
      <c r="G590" s="2883"/>
      <c r="H590" s="2849" t="s">
        <v>2527</v>
      </c>
      <c r="I590" s="2849" t="s">
        <v>2528</v>
      </c>
      <c r="J590" s="2878"/>
      <c r="K590" s="3022" t="s">
        <v>2968</v>
      </c>
      <c r="L590" s="2851"/>
      <c r="M590" s="2851"/>
      <c r="N590" s="2851"/>
      <c r="O590" s="2851"/>
      <c r="P590" s="2851"/>
    </row>
    <row r="591">
      <c r="A591" s="3173" t="s">
        <v>2973</v>
      </c>
      <c r="B591" s="3185">
        <v>46270</v>
      </c>
      <c r="C591" s="3173" t="str">
        <v>Saturday</v>
      </c>
      <c r="D591" s="3198" t="s">
        <v>2997</v>
      </c>
      <c r="E591" s="3176">
        <f t="shared" si="109"/>
      </c>
      <c r="F591" s="3180" t="s">
        <v>2971</v>
      </c>
      <c r="G591" s="3177" t="s">
        <v>2999</v>
      </c>
      <c r="H591" s="3176" t="s">
        <v>2527</v>
      </c>
      <c r="I591" s="3176" t="s">
        <v>2528</v>
      </c>
      <c r="J591" s="3199"/>
      <c r="K591" s="3022" t="s">
        <v>2968</v>
      </c>
      <c r="L591" s="2851"/>
      <c r="M591" s="2851"/>
      <c r="N591" s="2851"/>
      <c r="O591" s="2851"/>
      <c r="P591" s="2851"/>
    </row>
    <row customHeight="true" ht="18.452380952380953" r="592">
      <c r="A592" s="2875" t="s">
        <v>2966</v>
      </c>
      <c r="B592" s="2844">
        <v>46271</v>
      </c>
      <c r="C592" s="2875" t="str">
        <v>Sunday</v>
      </c>
      <c r="D592" s="2845" t="s">
        <v>2598</v>
      </c>
      <c r="E592" s="2849">
        <f t="shared" si="109"/>
      </c>
      <c r="F592" s="2854" t="s">
        <v>2901</v>
      </c>
      <c r="G592" s="2893" t="s">
        <v>3000</v>
      </c>
      <c r="H592" s="2849" t="s">
        <v>2527</v>
      </c>
      <c r="I592" s="2849" t="s">
        <v>2528</v>
      </c>
      <c r="J592" s="2878"/>
      <c r="K592" s="3022" t="s">
        <v>2968</v>
      </c>
      <c r="L592" s="2851"/>
      <c r="M592" s="2851"/>
      <c r="N592" s="2851"/>
      <c r="O592" s="2851"/>
      <c r="P592" s="2851"/>
    </row>
    <row customHeight="true" ht="18.452380952380953" r="593">
      <c r="A593" s="2875" t="s">
        <v>2966</v>
      </c>
      <c r="B593" s="2844">
        <v>46271</v>
      </c>
      <c r="C593" s="2875" t="str">
        <v>Sunday</v>
      </c>
      <c r="D593" s="2845" t="s">
        <v>2888</v>
      </c>
      <c r="E593" s="2849">
        <f t="shared" si="109"/>
      </c>
      <c r="F593" s="2854" t="s">
        <v>2967</v>
      </c>
      <c r="G593" s="2893" t="s">
        <v>3000</v>
      </c>
      <c r="H593" s="2849" t="s">
        <v>2527</v>
      </c>
      <c r="I593" s="2849" t="s">
        <v>2528</v>
      </c>
      <c r="J593" s="2878"/>
      <c r="K593" s="3022" t="s">
        <v>2968</v>
      </c>
      <c r="L593" s="2851"/>
      <c r="M593" s="2851"/>
      <c r="N593" s="2851"/>
      <c r="O593" s="2851"/>
      <c r="P593" s="2851"/>
    </row>
    <row customHeight="true" ht="18.452380952380953" r="594">
      <c r="A594" s="2875" t="s">
        <v>2966</v>
      </c>
      <c r="B594" s="2844">
        <v>46271</v>
      </c>
      <c r="C594" s="2875" t="str">
        <v>Sunday</v>
      </c>
      <c r="D594" s="2845" t="s">
        <v>3001</v>
      </c>
      <c r="E594" s="2849">
        <f t="shared" si="109"/>
      </c>
      <c r="F594" s="2854" t="s">
        <v>2732</v>
      </c>
      <c r="G594" s="2893" t="s">
        <v>3000</v>
      </c>
      <c r="H594" s="2849" t="s">
        <v>2527</v>
      </c>
      <c r="I594" s="2849" t="s">
        <v>2528</v>
      </c>
      <c r="J594" s="2878"/>
      <c r="K594" s="3022" t="s">
        <v>2968</v>
      </c>
      <c r="L594" s="2851"/>
      <c r="M594" s="2851"/>
      <c r="N594" s="2851"/>
      <c r="O594" s="2851"/>
      <c r="P594" s="2851"/>
    </row>
    <row r="595">
      <c r="A595" s="3173" t="s">
        <v>2973</v>
      </c>
      <c r="B595" s="3185">
        <v>46271</v>
      </c>
      <c r="C595" s="3173" t="str">
        <v>Sunday</v>
      </c>
      <c r="D595" s="3198" t="s">
        <v>3002</v>
      </c>
      <c r="E595" s="3176">
        <f t="shared" si="109"/>
      </c>
      <c r="F595" s="3180" t="s">
        <v>2977</v>
      </c>
      <c r="G595" s="3177" t="s">
        <v>3003</v>
      </c>
      <c r="H595" s="3176" t="s">
        <v>2527</v>
      </c>
      <c r="I595" s="3176" t="s">
        <v>2528</v>
      </c>
      <c r="J595" s="3284"/>
      <c r="K595" s="3022" t="s">
        <v>2968</v>
      </c>
      <c r="L595" s="3022"/>
      <c r="M595" s="3022"/>
      <c r="N595" s="3022"/>
      <c r="O595" s="3022"/>
      <c r="P595" s="3022"/>
    </row>
    <row customHeight="true" ht="73.21428571428572" r="596">
      <c r="A596" s="3173" t="s">
        <v>2973</v>
      </c>
      <c r="B596" s="3185">
        <v>46271</v>
      </c>
      <c r="C596" s="3173" t="str">
        <v>Sunday</v>
      </c>
      <c r="D596" s="3198" t="s">
        <v>3004</v>
      </c>
      <c r="E596" s="3198">
        <v>1</v>
      </c>
      <c r="F596" s="3180" t="s">
        <v>2977</v>
      </c>
      <c r="G596" s="3177" t="s">
        <v>3005</v>
      </c>
      <c r="H596" s="3176" t="s">
        <v>2527</v>
      </c>
      <c r="I596" s="3176" t="s">
        <v>2528</v>
      </c>
      <c r="J596" s="3284"/>
      <c r="K596" s="3022"/>
      <c r="L596" s="3022"/>
      <c r="M596" s="3022"/>
      <c r="N596" s="3022"/>
      <c r="O596" s="3022"/>
      <c r="P596" s="3022"/>
    </row>
    <row r="597">
      <c r="A597" s="3173" t="s">
        <v>2973</v>
      </c>
      <c r="B597" s="3185">
        <v>46271</v>
      </c>
      <c r="C597" s="3173" t="str">
        <v>Sunday</v>
      </c>
      <c r="D597" s="3198" t="s">
        <v>3006</v>
      </c>
      <c r="E597" s="3176">
        <f t="shared" ref="E597:E598" si="110">24*MOD(TIMEVALUE(TRIM(MID(D597,FIND("-",D597)+1,LEN(D597)))) - TIMEVALUE(TRIM(LEFT(D597,FIND("-",D597)-1))),1)</f>
      </c>
      <c r="F597" s="3180" t="s">
        <v>2971</v>
      </c>
      <c r="G597" s="3177" t="s">
        <v>3007</v>
      </c>
      <c r="H597" s="3176" t="s">
        <v>2527</v>
      </c>
      <c r="I597" s="3176" t="s">
        <v>2528</v>
      </c>
      <c r="J597" s="3284"/>
      <c r="K597" s="3022" t="s">
        <v>2968</v>
      </c>
      <c r="L597" s="3022"/>
      <c r="M597" s="3022"/>
      <c r="N597" s="3022"/>
      <c r="O597" s="3022"/>
      <c r="P597" s="3022"/>
    </row>
    <row r="598">
      <c r="A598" s="3173" t="s">
        <v>2973</v>
      </c>
      <c r="B598" s="3185">
        <v>46271</v>
      </c>
      <c r="C598" s="3173" t="str">
        <v>Sunday</v>
      </c>
      <c r="D598" s="3198" t="s">
        <v>3008</v>
      </c>
      <c r="E598" s="3176">
        <f t="shared" si="110"/>
      </c>
      <c r="F598" s="3180" t="s">
        <v>2977</v>
      </c>
      <c r="G598" s="3177" t="s">
        <v>3009</v>
      </c>
      <c r="H598" s="3176" t="s">
        <v>2527</v>
      </c>
      <c r="I598" s="3176" t="s">
        <v>2528</v>
      </c>
      <c r="J598" s="3284"/>
      <c r="K598" s="3022" t="s">
        <v>2968</v>
      </c>
      <c r="L598" s="3022"/>
      <c r="M598" s="3022"/>
      <c r="N598" s="3022"/>
      <c r="O598" s="3022"/>
      <c r="P598" s="3022"/>
    </row>
    <row r="599">
      <c r="A599" s="2875"/>
      <c r="B599" s="2875"/>
      <c r="C599" s="2875"/>
      <c r="D599" s="2849"/>
      <c r="E599" s="2849"/>
      <c r="F599" s="2854"/>
      <c r="G599" s="3006"/>
      <c r="H599" s="2854"/>
      <c r="I599" s="2849"/>
      <c r="J599" s="2850"/>
      <c r="K599" s="2851"/>
      <c r="L599" s="2851"/>
      <c r="M599" s="2851"/>
      <c r="N599" s="2851"/>
      <c r="O599" s="2851"/>
      <c r="P599" s="2851"/>
    </row>
    <row customHeight="true" ht="16.071428571428573" r="600">
      <c r="A600" s="2875"/>
      <c r="B600" s="2875"/>
      <c r="C600" s="2875"/>
      <c r="D600" s="2849"/>
      <c r="E600" s="2849"/>
      <c r="F600" s="2854"/>
      <c r="G600" s="3006"/>
      <c r="H600" s="2854"/>
      <c r="I600" s="2849"/>
      <c r="J600" s="2850"/>
      <c r="K600" s="2851"/>
      <c r="L600" s="2851"/>
      <c r="M600" s="2851"/>
      <c r="N600" s="2851"/>
      <c r="O600" s="2851"/>
      <c r="P600" s="2851"/>
    </row>
    <row r="601">
      <c r="A601" s="3285" t="s">
        <v>3010</v>
      </c>
      <c r="B601" s="3286"/>
      <c r="C601" s="3286"/>
      <c r="D601" s="3286"/>
      <c r="E601" s="3286"/>
      <c r="F601" s="3286"/>
      <c r="G601" s="3286"/>
      <c r="H601" s="3286"/>
      <c r="I601" s="3286"/>
      <c r="J601" s="3287"/>
      <c r="K601" s="3288" t="s">
        <v>2965</v>
      </c>
      <c r="L601" s="3289"/>
      <c r="M601" s="3289"/>
      <c r="N601" s="3289"/>
      <c r="O601" s="3289"/>
      <c r="P601" s="3289"/>
    </row>
    <row r="602">
      <c r="A602" s="3290" t="s">
        <v>2554</v>
      </c>
      <c r="B602" s="3291" t="s">
        <v>2555</v>
      </c>
      <c r="C602" s="3291"/>
      <c r="D602" s="3292" t="s">
        <v>2556</v>
      </c>
      <c r="E602" s="3292" t="s">
        <v>2557</v>
      </c>
      <c r="F602" s="3292" t="s">
        <v>2558</v>
      </c>
      <c r="G602" s="3293" t="s">
        <v>2577</v>
      </c>
      <c r="H602" s="3292" t="s">
        <v>2560</v>
      </c>
      <c r="I602" s="3294" t="s">
        <v>2755</v>
      </c>
      <c r="J602" s="3295" t="s">
        <v>2562</v>
      </c>
      <c r="K602" s="2960" t="s">
        <v>2965</v>
      </c>
      <c r="L602" s="2874"/>
      <c r="M602" s="2874"/>
      <c r="N602" s="2874"/>
      <c r="O602" s="2874"/>
      <c r="P602" s="2874"/>
    </row>
    <row customHeight="true" ht="17.857142857142858" r="603">
      <c r="A603" s="3296" t="s">
        <v>3010</v>
      </c>
      <c r="B603" s="3002">
        <v>46266</v>
      </c>
      <c r="C603" s="2895" t="str">
        <v>Tuesday</v>
      </c>
      <c r="D603" s="2896" t="s">
        <v>2689</v>
      </c>
      <c r="E603" s="2897">
        <f t="shared" ref="E603:E621" si="111">24*MOD(TIMEVALUE(TRIM(MID(D603,FIND("-",D603)+1,LEN(D603)))) - TIMEVALUE(TRIM(LEFT(D603,FIND("-",D603)-1))),1)</f>
      </c>
      <c r="F603" s="2847" t="s">
        <v>3011</v>
      </c>
      <c r="G603" s="3078"/>
      <c r="H603" s="2897" t="s">
        <v>2527</v>
      </c>
      <c r="I603" s="2943" t="s">
        <v>2528</v>
      </c>
      <c r="J603" s="3076"/>
      <c r="K603" s="3022" t="s">
        <v>2968</v>
      </c>
      <c r="L603" s="3172"/>
      <c r="M603" s="3172"/>
      <c r="N603" s="3172"/>
      <c r="O603" s="3172"/>
      <c r="P603" s="3172"/>
    </row>
    <row customHeight="true" ht="17.857142857142858" r="604">
      <c r="A604" s="3297" t="s">
        <v>3012</v>
      </c>
      <c r="B604" s="3298">
        <v>46266</v>
      </c>
      <c r="C604" s="3299" t="str">
        <v>Tuesday</v>
      </c>
      <c r="D604" s="3300" t="s">
        <v>3013</v>
      </c>
      <c r="E604" s="3301">
        <f t="shared" si="111"/>
      </c>
      <c r="F604" s="2942" t="s">
        <v>2977</v>
      </c>
      <c r="G604" s="3302" t="s">
        <v>3014</v>
      </c>
      <c r="H604" s="2942" t="s">
        <v>2527</v>
      </c>
      <c r="I604" s="3303" t="s">
        <v>2528</v>
      </c>
      <c r="J604" s="3304"/>
      <c r="K604" s="3022" t="s">
        <v>2968</v>
      </c>
      <c r="L604" s="3172"/>
      <c r="M604" s="3172"/>
      <c r="N604" s="3172"/>
      <c r="O604" s="3172"/>
      <c r="P604" s="3172"/>
      <c r="Q604" s="2989"/>
      <c r="R604" s="2989"/>
    </row>
    <row customHeight="true" ht="17.857142857142858" r="605">
      <c r="A605" s="3305" t="s">
        <v>3010</v>
      </c>
      <c r="B605" s="2875">
        <v>46267</v>
      </c>
      <c r="C605" s="2875" t="str">
        <v>Wednesday</v>
      </c>
      <c r="D605" s="2881" t="s">
        <v>2598</v>
      </c>
      <c r="E605" s="2849">
        <f t="shared" si="111"/>
      </c>
      <c r="F605" s="2876" t="s">
        <v>2870</v>
      </c>
      <c r="G605" s="2883"/>
      <c r="H605" s="2897" t="s">
        <v>2527</v>
      </c>
      <c r="I605" s="2943" t="s">
        <v>2528</v>
      </c>
      <c r="J605" s="3223"/>
      <c r="K605" s="3022" t="s">
        <v>2968</v>
      </c>
      <c r="L605" s="3172"/>
      <c r="M605" s="3172"/>
      <c r="N605" s="3172"/>
      <c r="O605" s="3172"/>
      <c r="P605" s="3172"/>
      <c r="Q605" s="2914"/>
      <c r="R605" s="2914"/>
    </row>
    <row customHeight="true" ht="17.857142857142858" r="606">
      <c r="A606" s="3305" t="s">
        <v>3010</v>
      </c>
      <c r="B606" s="2875">
        <v>46267</v>
      </c>
      <c r="C606" s="2875" t="str">
        <v>Wednesday</v>
      </c>
      <c r="D606" s="2881" t="s">
        <v>2600</v>
      </c>
      <c r="E606" s="2849">
        <f t="shared" si="111"/>
      </c>
      <c r="F606" s="2897" t="s">
        <v>3015</v>
      </c>
      <c r="G606" s="2883"/>
      <c r="H606" s="2897" t="s">
        <v>2527</v>
      </c>
      <c r="I606" s="2943" t="s">
        <v>2528</v>
      </c>
      <c r="J606" s="3223"/>
      <c r="K606" s="3022" t="s">
        <v>2968</v>
      </c>
      <c r="L606" s="3172"/>
      <c r="M606" s="3172"/>
      <c r="N606" s="3172"/>
      <c r="O606" s="3172"/>
      <c r="P606" s="3172"/>
      <c r="Q606" s="2914"/>
      <c r="R606" s="2914"/>
    </row>
    <row customHeight="true" ht="17.857142857142858" r="607">
      <c r="A607" s="3297" t="s">
        <v>3012</v>
      </c>
      <c r="B607" s="3299">
        <v>46267</v>
      </c>
      <c r="C607" s="3299" t="str">
        <v>Wednesday</v>
      </c>
      <c r="D607" s="3306" t="s">
        <v>2863</v>
      </c>
      <c r="E607" s="3301">
        <f t="shared" si="111"/>
      </c>
      <c r="F607" s="3307" t="s">
        <v>2977</v>
      </c>
      <c r="G607" s="3302" t="s">
        <v>3016</v>
      </c>
      <c r="H607" s="2942" t="s">
        <v>2527</v>
      </c>
      <c r="I607" s="2939" t="s">
        <v>2528</v>
      </c>
      <c r="J607" s="3308"/>
      <c r="K607" s="3022" t="s">
        <v>2968</v>
      </c>
      <c r="L607" s="3172"/>
      <c r="M607" s="3172"/>
      <c r="N607" s="3172"/>
      <c r="O607" s="3172"/>
      <c r="P607" s="3172"/>
      <c r="Q607" s="2914"/>
      <c r="R607" s="2914"/>
    </row>
    <row customHeight="true" ht="17.857142857142858" r="608">
      <c r="A608" s="3297" t="s">
        <v>3012</v>
      </c>
      <c r="B608" s="3299">
        <v>46267</v>
      </c>
      <c r="C608" s="3299" t="str">
        <v>Wednesday</v>
      </c>
      <c r="D608" s="3306" t="s">
        <v>2606</v>
      </c>
      <c r="E608" s="3301">
        <f t="shared" si="111"/>
      </c>
      <c r="F608" s="2942" t="s">
        <v>2547</v>
      </c>
      <c r="G608" s="3302"/>
      <c r="H608" s="2942" t="s">
        <v>2527</v>
      </c>
      <c r="I608" s="2939" t="s">
        <v>2528</v>
      </c>
      <c r="J608" s="3308"/>
      <c r="K608" s="3022" t="s">
        <v>2968</v>
      </c>
      <c r="L608" s="3172"/>
      <c r="M608" s="3172"/>
      <c r="N608" s="3172"/>
      <c r="O608" s="3172"/>
      <c r="P608" s="3172"/>
      <c r="Q608" s="2914"/>
      <c r="R608" s="2914"/>
    </row>
    <row customHeight="true" ht="17.857142857142858" r="609">
      <c r="A609" s="3297" t="s">
        <v>3012</v>
      </c>
      <c r="B609" s="3299">
        <v>46267</v>
      </c>
      <c r="C609" s="3299" t="str">
        <v>Wednesday</v>
      </c>
      <c r="D609" s="3306" t="s">
        <v>3017</v>
      </c>
      <c r="E609" s="3301">
        <f t="shared" si="111"/>
      </c>
      <c r="F609" s="3307" t="s">
        <v>2977</v>
      </c>
      <c r="G609" s="3302" t="s">
        <v>3018</v>
      </c>
      <c r="H609" s="2942" t="s">
        <v>2527</v>
      </c>
      <c r="I609" s="2939" t="s">
        <v>2528</v>
      </c>
      <c r="J609" s="3308"/>
      <c r="K609" s="3022" t="s">
        <v>2968</v>
      </c>
      <c r="L609" s="3172"/>
      <c r="M609" s="3172"/>
      <c r="N609" s="3172"/>
      <c r="O609" s="3172"/>
      <c r="P609" s="3172"/>
      <c r="Q609" s="2914"/>
      <c r="R609" s="2914"/>
    </row>
    <row customHeight="true" ht="17.857142857142858" r="610">
      <c r="A610" s="3296" t="s">
        <v>3010</v>
      </c>
      <c r="B610" s="2844">
        <v>46268</v>
      </c>
      <c r="C610" s="2875" t="str">
        <v>Thursday</v>
      </c>
      <c r="D610" s="2881" t="s">
        <v>2683</v>
      </c>
      <c r="E610" s="2849">
        <f t="shared" si="111"/>
      </c>
      <c r="F610" s="2854" t="s">
        <v>2870</v>
      </c>
      <c r="G610" s="3222"/>
      <c r="H610" s="2849" t="s">
        <v>2527</v>
      </c>
      <c r="I610" s="2849" t="s">
        <v>2528</v>
      </c>
      <c r="J610" s="3223"/>
      <c r="K610" s="3022" t="s">
        <v>2968</v>
      </c>
      <c r="L610" s="3172"/>
      <c r="M610" s="3172"/>
      <c r="N610" s="3172"/>
      <c r="O610" s="3172"/>
      <c r="P610" s="3172"/>
      <c r="Q610" s="2914"/>
      <c r="R610" s="2914"/>
    </row>
    <row customHeight="true" ht="17.857142857142858" r="611">
      <c r="A611" s="3297" t="s">
        <v>3012</v>
      </c>
      <c r="B611" s="3298">
        <v>46268</v>
      </c>
      <c r="C611" s="3299" t="str">
        <v>Thursday</v>
      </c>
      <c r="D611" s="3300" t="s">
        <v>3019</v>
      </c>
      <c r="E611" s="3301">
        <f t="shared" si="111"/>
      </c>
      <c r="F611" s="2942" t="s">
        <v>2971</v>
      </c>
      <c r="G611" s="3302" t="s">
        <v>3014</v>
      </c>
      <c r="H611" s="2942" t="s">
        <v>2527</v>
      </c>
      <c r="I611" s="3303" t="s">
        <v>2528</v>
      </c>
      <c r="J611" s="3304"/>
      <c r="K611" s="3022" t="s">
        <v>2968</v>
      </c>
      <c r="L611" s="3172"/>
      <c r="M611" s="3172"/>
      <c r="N611" s="3172"/>
      <c r="O611" s="3172"/>
      <c r="P611" s="3172"/>
      <c r="Q611" s="2989"/>
      <c r="R611" s="2989"/>
    </row>
    <row customHeight="true" ht="17.857142857142858" r="612">
      <c r="A612" s="3296" t="s">
        <v>3010</v>
      </c>
      <c r="B612" s="2844">
        <v>46269</v>
      </c>
      <c r="C612" s="2875" t="str">
        <v>Friday</v>
      </c>
      <c r="D612" s="2881" t="s">
        <v>2683</v>
      </c>
      <c r="E612" s="2849">
        <f t="shared" si="111"/>
      </c>
      <c r="F612" s="2854" t="s">
        <v>2967</v>
      </c>
      <c r="G612" s="3222"/>
      <c r="H612" s="2849" t="s">
        <v>2527</v>
      </c>
      <c r="I612" s="2849" t="s">
        <v>2528</v>
      </c>
      <c r="J612" s="3223"/>
      <c r="K612" s="3022" t="s">
        <v>2968</v>
      </c>
      <c r="L612" s="3172"/>
      <c r="M612" s="3172"/>
      <c r="N612" s="3172"/>
      <c r="O612" s="3172"/>
      <c r="P612" s="3172"/>
      <c r="Q612" s="2914"/>
      <c r="R612" s="2914"/>
    </row>
    <row r="613">
      <c r="A613" s="3297" t="s">
        <v>3020</v>
      </c>
      <c r="B613" s="3298">
        <v>46269</v>
      </c>
      <c r="C613" s="3299" t="str">
        <v>Friday</v>
      </c>
      <c r="D613" s="3300" t="s">
        <v>3021</v>
      </c>
      <c r="E613" s="3301">
        <f t="shared" si="111"/>
      </c>
      <c r="F613" s="3309" t="s">
        <v>2985</v>
      </c>
      <c r="G613" s="3302" t="s">
        <v>3022</v>
      </c>
      <c r="H613" s="3301" t="s">
        <v>2527</v>
      </c>
      <c r="I613" s="3303" t="s">
        <v>2528</v>
      </c>
      <c r="J613" s="3304"/>
      <c r="K613" s="3022" t="s">
        <v>2968</v>
      </c>
      <c r="L613" s="3172"/>
      <c r="M613" s="3172"/>
      <c r="N613" s="3172"/>
      <c r="O613" s="3172"/>
      <c r="P613" s="3172"/>
      <c r="Q613" s="2989"/>
      <c r="R613" s="2989"/>
    </row>
    <row r="614">
      <c r="A614" s="3297" t="s">
        <v>3012</v>
      </c>
      <c r="B614" s="3298">
        <v>46269</v>
      </c>
      <c r="C614" s="3299" t="str">
        <v>Friday</v>
      </c>
      <c r="D614" s="3300" t="s">
        <v>3023</v>
      </c>
      <c r="E614" s="3301">
        <f t="shared" si="111"/>
      </c>
      <c r="F614" s="3310" t="s">
        <v>3024</v>
      </c>
      <c r="G614" s="3302" t="s">
        <v>3025</v>
      </c>
      <c r="H614" s="2942" t="s">
        <v>2527</v>
      </c>
      <c r="I614" s="3303" t="s">
        <v>2528</v>
      </c>
      <c r="J614" s="3304"/>
      <c r="K614" s="3022" t="s">
        <v>2968</v>
      </c>
      <c r="L614" s="3172"/>
      <c r="M614" s="3172"/>
      <c r="N614" s="3172"/>
      <c r="O614" s="3172"/>
      <c r="P614" s="3172"/>
      <c r="Q614" s="2989"/>
      <c r="R614" s="2989"/>
    </row>
    <row customHeight="true" ht="17.857142857142858" r="615">
      <c r="A615" s="3296" t="s">
        <v>3010</v>
      </c>
      <c r="B615" s="2844">
        <v>46270</v>
      </c>
      <c r="C615" s="2875" t="str">
        <v>Saturday</v>
      </c>
      <c r="D615" s="2881" t="s">
        <v>2682</v>
      </c>
      <c r="E615" s="2849">
        <f t="shared" si="111"/>
      </c>
      <c r="F615" s="2854" t="s">
        <v>3011</v>
      </c>
      <c r="G615" s="2883"/>
      <c r="H615" s="2849" t="s">
        <v>2527</v>
      </c>
      <c r="I615" s="2943" t="s">
        <v>2528</v>
      </c>
      <c r="J615" s="3223"/>
      <c r="K615" s="3022" t="s">
        <v>2968</v>
      </c>
      <c r="L615" s="3172"/>
      <c r="M615" s="3172"/>
      <c r="N615" s="3172"/>
      <c r="O615" s="3172"/>
      <c r="P615" s="3172"/>
      <c r="Q615" s="2914"/>
      <c r="R615" s="2914"/>
    </row>
    <row r="616">
      <c r="A616" s="3297" t="s">
        <v>3012</v>
      </c>
      <c r="B616" s="3298">
        <v>46270</v>
      </c>
      <c r="C616" s="3299" t="str">
        <v>Saturday</v>
      </c>
      <c r="D616" s="3300" t="s">
        <v>3026</v>
      </c>
      <c r="E616" s="3301">
        <f t="shared" si="111"/>
      </c>
      <c r="F616" s="2942" t="s">
        <v>2971</v>
      </c>
      <c r="G616" s="3311" t="s">
        <v>3027</v>
      </c>
      <c r="H616" s="2942" t="s">
        <v>2527</v>
      </c>
      <c r="I616" s="3303" t="s">
        <v>2528</v>
      </c>
      <c r="J616" s="3304"/>
      <c r="K616" s="3022" t="s">
        <v>2968</v>
      </c>
      <c r="L616" s="3172"/>
      <c r="M616" s="3172"/>
      <c r="N616" s="3172"/>
      <c r="O616" s="3172"/>
      <c r="P616" s="3172"/>
      <c r="Q616" s="2989"/>
      <c r="R616" s="2989"/>
    </row>
    <row customHeight="true" ht="17.857142857142858" r="617">
      <c r="A617" s="3296" t="s">
        <v>3010</v>
      </c>
      <c r="B617" s="2844">
        <v>46271</v>
      </c>
      <c r="C617" s="2875" t="str">
        <v>Sunday</v>
      </c>
      <c r="D617" s="2881" t="s">
        <v>2601</v>
      </c>
      <c r="E617" s="2849">
        <f t="shared" si="111"/>
      </c>
      <c r="F617" s="3074" t="s">
        <v>2870</v>
      </c>
      <c r="G617" s="2893" t="s">
        <v>3028</v>
      </c>
      <c r="H617" s="2897" t="s">
        <v>2527</v>
      </c>
      <c r="I617" s="3008" t="s">
        <v>2528</v>
      </c>
      <c r="J617" s="3223"/>
      <c r="K617" s="3312" t="s">
        <v>3029</v>
      </c>
      <c r="L617" s="3172"/>
      <c r="M617" s="3172"/>
      <c r="N617" s="3172"/>
      <c r="O617" s="3172"/>
      <c r="P617" s="3172"/>
      <c r="Q617" s="2989"/>
      <c r="R617" s="2989"/>
    </row>
    <row customHeight="true" ht="17.857142857142858" r="618">
      <c r="A618" s="3296" t="s">
        <v>3010</v>
      </c>
      <c r="B618" s="2844">
        <v>46271</v>
      </c>
      <c r="C618" s="2875" t="str">
        <v>Sunday</v>
      </c>
      <c r="D618" s="2881" t="s">
        <v>3030</v>
      </c>
      <c r="E618" s="2849">
        <f t="shared" si="111"/>
      </c>
      <c r="F618" s="3074" t="s">
        <v>3031</v>
      </c>
      <c r="G618" s="2893" t="s">
        <v>3028</v>
      </c>
      <c r="H618" s="2897" t="s">
        <v>2527</v>
      </c>
      <c r="I618" s="3008" t="s">
        <v>2528</v>
      </c>
      <c r="J618" s="3223"/>
      <c r="K618" s="3312" t="s">
        <v>3029</v>
      </c>
      <c r="L618" s="3172"/>
      <c r="M618" s="3172"/>
      <c r="N618" s="3172"/>
      <c r="O618" s="3172"/>
      <c r="P618" s="3172"/>
      <c r="Q618" s="2989"/>
      <c r="R618" s="2989"/>
    </row>
    <row customHeight="true" ht="17.857142857142858" r="619">
      <c r="A619" s="3297" t="s">
        <v>3012</v>
      </c>
      <c r="B619" s="3298">
        <v>46271</v>
      </c>
      <c r="C619" s="3299" t="str">
        <v>Sunday</v>
      </c>
      <c r="D619" s="3309" t="s">
        <v>3032</v>
      </c>
      <c r="E619" s="3301">
        <f t="shared" si="111"/>
      </c>
      <c r="F619" s="2942" t="s">
        <v>2985</v>
      </c>
      <c r="G619" s="3302" t="s">
        <v>3016</v>
      </c>
      <c r="H619" s="2942" t="s">
        <v>2527</v>
      </c>
      <c r="I619" s="3303" t="s">
        <v>2528</v>
      </c>
      <c r="J619" s="3304"/>
      <c r="K619" s="3312" t="s">
        <v>3029</v>
      </c>
      <c r="L619" s="3172"/>
      <c r="M619" s="3172"/>
      <c r="N619" s="3172"/>
      <c r="O619" s="3172"/>
      <c r="P619" s="3172"/>
      <c r="Q619" s="2989"/>
      <c r="R619" s="2989"/>
    </row>
    <row customHeight="true" ht="17.857142857142858" r="620">
      <c r="A620" s="3297" t="s">
        <v>3012</v>
      </c>
      <c r="B620" s="3298">
        <v>46271</v>
      </c>
      <c r="C620" s="3299" t="str">
        <v>Sunday</v>
      </c>
      <c r="D620" s="3300" t="s">
        <v>3033</v>
      </c>
      <c r="E620" s="3301">
        <f t="shared" si="111"/>
      </c>
      <c r="F620" s="2942" t="s">
        <v>2971</v>
      </c>
      <c r="G620" s="3302" t="s">
        <v>3034</v>
      </c>
      <c r="H620" s="2942" t="s">
        <v>2527</v>
      </c>
      <c r="I620" s="3303" t="s">
        <v>2528</v>
      </c>
      <c r="J620" s="3304"/>
      <c r="K620" s="3312" t="s">
        <v>3029</v>
      </c>
      <c r="L620" s="3172"/>
      <c r="M620" s="3172"/>
      <c r="N620" s="3172"/>
      <c r="O620" s="3172"/>
      <c r="P620" s="3172"/>
      <c r="Q620" s="2989"/>
      <c r="R620" s="2989"/>
    </row>
    <row customHeight="true" ht="17.857142857142858" r="621">
      <c r="A621" s="3297" t="s">
        <v>3012</v>
      </c>
      <c r="B621" s="3298">
        <v>46271</v>
      </c>
      <c r="C621" s="3299" t="str">
        <v>Sunday</v>
      </c>
      <c r="D621" s="3300" t="s">
        <v>2607</v>
      </c>
      <c r="E621" s="3301">
        <f t="shared" si="111"/>
      </c>
      <c r="F621" s="2942" t="s">
        <v>2977</v>
      </c>
      <c r="G621" s="3302" t="s">
        <v>3035</v>
      </c>
      <c r="H621" s="2942" t="s">
        <v>2527</v>
      </c>
      <c r="I621" s="3303" t="s">
        <v>2528</v>
      </c>
      <c r="J621" s="3304"/>
      <c r="K621" s="3312"/>
      <c r="L621" s="3172"/>
      <c r="M621" s="3172"/>
      <c r="N621" s="3172"/>
      <c r="O621" s="3172"/>
      <c r="P621" s="3172"/>
      <c r="Q621" s="2989"/>
      <c r="R621" s="2989"/>
    </row>
    <row r="622">
      <c r="A622" s="2875"/>
      <c r="B622" s="2849"/>
      <c r="C622" s="2849"/>
      <c r="D622" s="2878"/>
      <c r="E622" s="2849"/>
      <c r="F622" s="2849"/>
      <c r="G622" s="3214"/>
      <c r="H622" s="2849"/>
      <c r="I622" s="2849"/>
      <c r="J622" s="3213"/>
      <c r="K622" s="2851"/>
      <c r="L622" s="2851"/>
      <c r="M622" s="2851"/>
      <c r="N622" s="2851"/>
      <c r="O622" s="2851"/>
      <c r="P622" s="2851"/>
      <c r="Q622" s="2914"/>
      <c r="R622" s="2914"/>
    </row>
    <row r="623">
      <c r="A623" s="3313" t="s">
        <v>3036</v>
      </c>
      <c r="B623" s="3313"/>
      <c r="C623" s="3313"/>
      <c r="D623" s="3313"/>
      <c r="E623" s="3313"/>
      <c r="F623" s="3313"/>
      <c r="G623" s="3313"/>
      <c r="H623" s="3313"/>
      <c r="I623" s="3313"/>
      <c r="J623" s="3314"/>
      <c r="K623" s="2978"/>
      <c r="L623" s="2978"/>
      <c r="M623" s="2978"/>
      <c r="N623" s="2978"/>
      <c r="O623" s="2978"/>
      <c r="P623" s="2978"/>
      <c r="Q623" s="2914"/>
      <c r="R623" s="2914"/>
    </row>
    <row r="624">
      <c r="A624" s="3315" t="s">
        <v>2554</v>
      </c>
      <c r="B624" s="3316" t="s">
        <v>2555</v>
      </c>
      <c r="C624" s="3316"/>
      <c r="D624" s="3317" t="s">
        <v>2556</v>
      </c>
      <c r="E624" s="3317" t="s">
        <v>2557</v>
      </c>
      <c r="F624" s="3317" t="s">
        <v>2558</v>
      </c>
      <c r="G624" s="3318" t="s">
        <v>3037</v>
      </c>
      <c r="H624" s="3317" t="s">
        <v>2560</v>
      </c>
      <c r="I624" s="3317" t="s">
        <v>2561</v>
      </c>
      <c r="J624" s="3319"/>
      <c r="K624" s="2874"/>
      <c r="L624" s="2874"/>
      <c r="M624" s="2874"/>
      <c r="N624" s="2874"/>
      <c r="O624" s="2874"/>
      <c r="P624" s="2874"/>
    </row>
    <row r="625">
      <c r="A625" s="2875"/>
      <c r="B625" s="2875"/>
      <c r="C625" s="2875"/>
      <c r="D625" s="2849"/>
      <c r="E625" s="2849"/>
      <c r="F625" s="2849"/>
      <c r="G625" s="3006"/>
      <c r="H625" s="2849" t="s">
        <v>2527</v>
      </c>
      <c r="I625" s="2849" t="s">
        <v>2528</v>
      </c>
      <c r="J625" s="2878"/>
      <c r="K625" s="2851"/>
      <c r="L625" s="2851"/>
      <c r="M625" s="2851"/>
      <c r="N625" s="2851"/>
      <c r="O625" s="2851"/>
      <c r="P625" s="2851"/>
    </row>
    <row r="626">
      <c r="A626" s="2875"/>
      <c r="B626" s="2875"/>
      <c r="C626" s="2875"/>
      <c r="D626" s="2849"/>
      <c r="E626" s="2849"/>
      <c r="F626" s="2849"/>
      <c r="G626" s="3006"/>
      <c r="H626" s="2849" t="s">
        <v>2527</v>
      </c>
      <c r="I626" s="2849" t="s">
        <v>2528</v>
      </c>
      <c r="J626" s="2878"/>
      <c r="K626" s="2851"/>
      <c r="L626" s="2851"/>
      <c r="M626" s="2851"/>
      <c r="N626" s="2851"/>
      <c r="O626" s="2851"/>
      <c r="P626" s="2851"/>
    </row>
    <row r="627">
      <c r="A627" s="2875"/>
      <c r="B627" s="2875"/>
      <c r="C627" s="2875"/>
      <c r="D627" s="2849"/>
      <c r="E627" s="2849"/>
      <c r="F627" s="2849"/>
      <c r="G627" s="3006"/>
      <c r="H627" s="2849" t="s">
        <v>2527</v>
      </c>
      <c r="I627" s="2849" t="s">
        <v>2528</v>
      </c>
      <c r="J627" s="2878" t="s">
        <v>3038</v>
      </c>
      <c r="K627" s="2851"/>
      <c r="L627" s="2851"/>
      <c r="M627" s="2851"/>
      <c r="N627" s="2851"/>
      <c r="O627" s="2851"/>
      <c r="P627" s="2851"/>
    </row>
    <row r="628">
      <c r="A628" s="2884"/>
      <c r="B628" s="2884"/>
      <c r="C628" s="2884"/>
      <c r="D628" s="2884"/>
      <c r="E628" s="2884"/>
      <c r="F628" s="2884"/>
      <c r="G628" s="2884"/>
      <c r="H628" s="2884"/>
      <c r="I628" s="2884"/>
      <c r="J628" s="2884"/>
      <c r="K628" s="2989"/>
      <c r="L628" s="2989"/>
      <c r="M628" s="2989"/>
      <c r="N628" s="2989"/>
      <c r="O628" s="2989"/>
      <c r="P628" s="2989"/>
    </row>
    <row r="629">
      <c r="J629" s="2855"/>
      <c r="K629" s="2914"/>
      <c r="L629" s="2914"/>
      <c r="M629" s="2914"/>
      <c r="N629" s="2914"/>
      <c r="O629" s="2914"/>
      <c r="P629" s="2914"/>
    </row>
    <row r="630">
      <c r="A630" s="2884"/>
      <c r="B630" s="2884"/>
      <c r="C630" s="2884"/>
      <c r="D630" s="2884"/>
      <c r="E630" s="2884"/>
      <c r="F630" s="2884"/>
      <c r="G630" s="2884"/>
      <c r="H630" s="3114"/>
      <c r="I630" s="2884"/>
      <c r="J630" s="2884"/>
      <c r="K630" s="2989"/>
      <c r="L630" s="2989"/>
      <c r="M630" s="2989"/>
      <c r="N630" s="2989"/>
      <c r="O630" s="2989"/>
      <c r="P630" s="2989"/>
    </row>
    <row customHeight="true" ht="35.714285714285715" r="631">
      <c r="A631" s="3320" t="s">
        <v>3039</v>
      </c>
      <c r="B631" s="3320"/>
      <c r="C631" s="3320"/>
      <c r="D631" s="3320"/>
      <c r="E631" s="3320"/>
      <c r="F631" s="3320"/>
      <c r="G631" s="3320"/>
      <c r="H631" s="3320"/>
      <c r="I631" s="3320"/>
      <c r="J631" s="3321"/>
      <c r="K631" s="2887"/>
      <c r="L631" s="2887"/>
      <c r="M631" s="2887"/>
      <c r="N631" s="2887"/>
      <c r="O631" s="2887"/>
      <c r="P631" s="2887"/>
    </row>
    <row r="632">
      <c r="A632" s="3322" t="s">
        <v>2554</v>
      </c>
      <c r="B632" s="3323" t="s">
        <v>2555</v>
      </c>
      <c r="C632" s="3323"/>
      <c r="D632" s="3324" t="s">
        <v>2556</v>
      </c>
      <c r="E632" s="3325" t="s">
        <v>2557</v>
      </c>
      <c r="F632" s="3325" t="s">
        <v>2558</v>
      </c>
      <c r="G632" s="3326" t="s">
        <v>2577</v>
      </c>
      <c r="H632" s="3325" t="s">
        <v>2560</v>
      </c>
      <c r="I632" s="3327" t="s">
        <v>2561</v>
      </c>
      <c r="J632" s="3328" t="s">
        <v>2562</v>
      </c>
      <c r="K632" s="2874"/>
      <c r="L632" s="2874"/>
      <c r="M632" s="2874"/>
      <c r="N632" s="2874"/>
      <c r="O632" s="2874"/>
      <c r="P632" s="2874"/>
    </row>
    <row customHeight="true" ht="18.452380952380953" r="633">
      <c r="A633" s="2898" t="s">
        <v>3039</v>
      </c>
      <c r="B633" s="2899">
        <v>46268</v>
      </c>
      <c r="C633" s="2898" t="str">
        <v>Thursday</v>
      </c>
      <c r="D633" s="2900" t="s">
        <v>3040</v>
      </c>
      <c r="E633" s="2901">
        <f t="shared" ref="E633:E636" si="112">24*MOD(TIMEVALUE(TRIM(MID(D633,FIND("-",D633)+1,LEN(D633)))) - TIMEVALUE(TRIM(LEFT(D633,FIND("-",D633)-1))),1)</f>
      </c>
      <c r="F633" s="2901" t="s">
        <v>2869</v>
      </c>
      <c r="G633" s="2902"/>
      <c r="H633" s="2901" t="s">
        <v>2572</v>
      </c>
      <c r="I633" s="3109" t="s">
        <v>2568</v>
      </c>
      <c r="J633" s="3329"/>
      <c r="K633" s="3036"/>
      <c r="L633" s="3036"/>
      <c r="M633" s="3036"/>
      <c r="N633" s="3036"/>
      <c r="O633" s="3036"/>
      <c r="P633" s="3036"/>
      <c r="Q633" s="3037"/>
      <c r="R633" s="3037"/>
    </row>
    <row customHeight="true" ht="18.452380952380953" r="634">
      <c r="A634" s="2895" t="s">
        <v>3039</v>
      </c>
      <c r="B634" s="3002">
        <v>46269</v>
      </c>
      <c r="C634" s="2895" t="str">
        <v>Friday</v>
      </c>
      <c r="D634" s="2896" t="s">
        <v>2573</v>
      </c>
      <c r="E634" s="2897">
        <f t="shared" si="112"/>
      </c>
      <c r="F634" s="2897" t="s">
        <v>2732</v>
      </c>
      <c r="G634" s="3075"/>
      <c r="H634" s="2897" t="s">
        <v>2572</v>
      </c>
      <c r="I634" s="3096" t="s">
        <v>2568</v>
      </c>
      <c r="J634" s="3330"/>
      <c r="K634" s="2851"/>
      <c r="L634" s="2851"/>
      <c r="M634" s="2851"/>
      <c r="N634" s="2851"/>
      <c r="O634" s="2851"/>
      <c r="P634" s="2851"/>
    </row>
    <row customHeight="true" ht="18.452380952380953" r="635">
      <c r="A635" s="2895" t="s">
        <v>3039</v>
      </c>
      <c r="B635" s="3002">
        <v>46270</v>
      </c>
      <c r="C635" s="2895" t="str">
        <v>Saturday</v>
      </c>
      <c r="D635" s="2896" t="s">
        <v>3041</v>
      </c>
      <c r="E635" s="2897">
        <f t="shared" si="112"/>
      </c>
      <c r="F635" s="2897" t="s">
        <v>2900</v>
      </c>
      <c r="G635" s="3075"/>
      <c r="H635" s="2897" t="s">
        <v>2572</v>
      </c>
      <c r="I635" s="2897" t="s">
        <v>2528</v>
      </c>
      <c r="J635" s="2860"/>
      <c r="K635" s="2851"/>
      <c r="L635" s="2851"/>
      <c r="M635" s="2851"/>
      <c r="N635" s="2851"/>
      <c r="O635" s="2851"/>
      <c r="P635" s="2851"/>
    </row>
    <row r="636">
      <c r="A636" s="2898" t="s">
        <v>3039</v>
      </c>
      <c r="B636" s="2899">
        <v>46271</v>
      </c>
      <c r="C636" s="2898" t="str">
        <v>Sunday</v>
      </c>
      <c r="D636" s="2900" t="s">
        <v>2573</v>
      </c>
      <c r="E636" s="2901">
        <f t="shared" si="112"/>
      </c>
      <c r="F636" s="2901" t="s">
        <v>2900</v>
      </c>
      <c r="G636" s="2902"/>
      <c r="H636" s="2901" t="s">
        <v>2572</v>
      </c>
      <c r="I636" s="2901" t="s">
        <v>2528</v>
      </c>
      <c r="J636" s="3329" t="s">
        <v>3042</v>
      </c>
      <c r="K636" s="3036"/>
      <c r="L636" s="3036"/>
      <c r="M636" s="3036"/>
      <c r="N636" s="3036"/>
      <c r="O636" s="3036"/>
      <c r="P636" s="3036"/>
      <c r="Q636" s="3037"/>
      <c r="R636" s="3037"/>
    </row>
    <row r="637">
      <c r="A637" s="2875"/>
      <c r="B637" s="2875"/>
      <c r="C637" s="2875"/>
      <c r="D637" s="2849"/>
      <c r="E637" s="2849"/>
      <c r="F637" s="2849"/>
      <c r="G637" s="3006"/>
      <c r="H637" s="2854"/>
      <c r="I637" s="2854"/>
      <c r="J637" s="3007"/>
      <c r="K637" s="2851"/>
      <c r="L637" s="2851"/>
      <c r="M637" s="2851"/>
      <c r="N637" s="2851"/>
      <c r="O637" s="2851"/>
      <c r="P637" s="2851"/>
    </row>
    <row customHeight="true" ht="18.452380952380953" r="638">
      <c r="A638" s="2898" t="s">
        <v>3043</v>
      </c>
      <c r="B638" s="2899">
        <v>46267</v>
      </c>
      <c r="C638" s="3331" t="str">
        <v>Wednesday</v>
      </c>
      <c r="D638" s="2900" t="s">
        <v>3021</v>
      </c>
      <c r="E638" s="2901">
        <f t="shared" ref="E638:E643" si="113">24*MOD(TIMEVALUE(TRIM(MID(D638,FIND("-",D638)+1,LEN(D638)))) - TIMEVALUE(TRIM(LEFT(D638,FIND("-",D638)-1))),1)</f>
      </c>
      <c r="F638" s="2901" t="s">
        <v>2875</v>
      </c>
      <c r="G638" s="3332"/>
      <c r="H638" s="2901"/>
      <c r="I638" s="2901" t="s">
        <v>2528</v>
      </c>
      <c r="J638" s="3333"/>
      <c r="K638" s="3183"/>
      <c r="L638" s="3183"/>
      <c r="M638" s="3183"/>
      <c r="N638" s="3183"/>
      <c r="O638" s="3183"/>
      <c r="P638" s="3183"/>
      <c r="Q638" s="3037"/>
      <c r="R638" s="3037"/>
    </row>
    <row customHeight="true" ht="18.452380952380953" r="639">
      <c r="A639" s="2898" t="s">
        <v>3043</v>
      </c>
      <c r="B639" s="2899">
        <v>46268</v>
      </c>
      <c r="C639" s="2898" t="str">
        <v>Thursday</v>
      </c>
      <c r="D639" s="2900" t="s">
        <v>3044</v>
      </c>
      <c r="E639" s="3226">
        <f t="shared" si="113"/>
      </c>
      <c r="F639" s="2901" t="s">
        <v>2698</v>
      </c>
      <c r="G639" s="3332"/>
      <c r="H639" s="2901" t="s">
        <v>2572</v>
      </c>
      <c r="I639" s="2901" t="s">
        <v>2528</v>
      </c>
      <c r="J639" s="3333"/>
      <c r="K639" s="3183"/>
      <c r="L639" s="3183"/>
      <c r="M639" s="3183"/>
      <c r="N639" s="3183"/>
      <c r="O639" s="3183"/>
      <c r="P639" s="3183"/>
      <c r="Q639" s="3037"/>
      <c r="R639" s="3037"/>
    </row>
    <row r="640">
      <c r="A640" s="3173" t="s">
        <v>3043</v>
      </c>
      <c r="B640" s="3185">
        <v>46269</v>
      </c>
      <c r="C640" s="3184" t="str">
        <v>Friday</v>
      </c>
      <c r="D640" s="3198" t="s">
        <v>3045</v>
      </c>
      <c r="E640" s="3195">
        <f t="shared" si="113"/>
      </c>
      <c r="F640" s="3180" t="s">
        <v>2875</v>
      </c>
      <c r="G640" s="3334"/>
      <c r="H640" s="3195" t="s">
        <v>2572</v>
      </c>
      <c r="I640" s="3176" t="s">
        <v>2528</v>
      </c>
      <c r="J640" s="3178"/>
      <c r="K640" s="3172"/>
      <c r="L640" s="3172"/>
      <c r="M640" s="3172"/>
      <c r="N640" s="3172"/>
      <c r="O640" s="3172"/>
      <c r="P640" s="3172"/>
    </row>
    <row customHeight="true" ht="18.452380952380953" r="641">
      <c r="A641" s="3173" t="s">
        <v>3043</v>
      </c>
      <c r="B641" s="3185">
        <v>46270</v>
      </c>
      <c r="C641" s="3184" t="str">
        <v>Saturday</v>
      </c>
      <c r="D641" s="3198" t="s">
        <v>2774</v>
      </c>
      <c r="E641" s="3195">
        <f t="shared" si="113"/>
      </c>
      <c r="F641" s="3176" t="s">
        <v>2655</v>
      </c>
      <c r="G641" s="3334"/>
      <c r="H641" s="3195" t="s">
        <v>2572</v>
      </c>
      <c r="I641" s="3176" t="s">
        <v>2568</v>
      </c>
      <c r="J641" s="3178"/>
      <c r="K641" s="3172"/>
      <c r="L641" s="3172"/>
      <c r="M641" s="3172"/>
      <c r="N641" s="3172"/>
      <c r="O641" s="3172"/>
      <c r="P641" s="3172"/>
    </row>
    <row customHeight="true" ht="18.452380952380953" r="642">
      <c r="A642" s="3173" t="s">
        <v>3043</v>
      </c>
      <c r="B642" s="3185">
        <v>46270</v>
      </c>
      <c r="C642" s="3184" t="str">
        <v>Saturday</v>
      </c>
      <c r="D642" s="3198" t="s">
        <v>2589</v>
      </c>
      <c r="E642" s="3195">
        <f t="shared" si="113"/>
      </c>
      <c r="F642" s="3176" t="s">
        <v>2574</v>
      </c>
      <c r="G642" s="3334"/>
      <c r="H642" s="3195" t="s">
        <v>2572</v>
      </c>
      <c r="I642" s="3176" t="s">
        <v>2568</v>
      </c>
      <c r="J642" s="3178"/>
      <c r="K642" s="3172"/>
      <c r="L642" s="3172"/>
      <c r="M642" s="3172"/>
      <c r="N642" s="3172"/>
      <c r="O642" s="3172"/>
      <c r="P642" s="3172"/>
    </row>
    <row r="643">
      <c r="A643" s="3173" t="s">
        <v>3043</v>
      </c>
      <c r="B643" s="3185">
        <v>46271</v>
      </c>
      <c r="C643" s="3184" t="str">
        <v>Sunday</v>
      </c>
      <c r="D643" s="3198" t="s">
        <v>3046</v>
      </c>
      <c r="E643" s="3176">
        <f t="shared" si="113"/>
      </c>
      <c r="F643" s="3176" t="s">
        <v>2668</v>
      </c>
      <c r="G643" s="3196"/>
      <c r="H643" s="3176" t="s">
        <v>2572</v>
      </c>
      <c r="I643" s="2897" t="s">
        <v>2528</v>
      </c>
      <c r="J643" s="3199"/>
      <c r="K643" s="2851"/>
      <c r="L643" s="2851"/>
      <c r="M643" s="2851"/>
      <c r="N643" s="2851"/>
      <c r="O643" s="2851"/>
      <c r="P643" s="2851"/>
    </row>
    <row customHeight="true" ht="18.452380952380953" r="644">
      <c r="A644" s="2875"/>
      <c r="B644" s="2875"/>
      <c r="C644" s="2875"/>
      <c r="D644" s="2854"/>
      <c r="E644" s="2854"/>
      <c r="F644" s="2854"/>
      <c r="G644" s="2883"/>
      <c r="H644" s="2854"/>
      <c r="I644" s="2854"/>
      <c r="J644" s="2850"/>
      <c r="K644" s="2851"/>
      <c r="L644" s="2851"/>
      <c r="M644" s="2851"/>
      <c r="N644" s="2851"/>
      <c r="O644" s="2851"/>
      <c r="P644" s="2851"/>
    </row>
    <row customHeight="true" ht="16.071428571428573" r="645">
      <c r="A645" s="2875" t="s">
        <v>3047</v>
      </c>
      <c r="B645" s="3002">
        <v>46269</v>
      </c>
      <c r="C645" s="2895" t="str">
        <v>Friday</v>
      </c>
      <c r="D645" s="2896" t="s">
        <v>3048</v>
      </c>
      <c r="E645" s="2897">
        <f t="shared" ref="E645:E646" si="114">24*MOD(TIMEVALUE(TRIM(MID(D645,FIND("-",D645)+1,LEN(D645)))) - TIMEVALUE(TRIM(LEFT(D645,FIND("-",D645)-1))),1)</f>
      </c>
      <c r="F645" s="2897" t="s">
        <v>2732</v>
      </c>
      <c r="G645" s="2883"/>
      <c r="H645" s="2854"/>
      <c r="I645" s="2943" t="s">
        <v>2528</v>
      </c>
      <c r="J645" s="2850"/>
      <c r="K645" s="2851"/>
      <c r="L645" s="2851"/>
      <c r="M645" s="2851"/>
      <c r="N645" s="2851"/>
      <c r="O645" s="2851"/>
      <c r="P645" s="2851"/>
    </row>
    <row customHeight="true" ht="16.071428571428573" r="646">
      <c r="A646" s="2875" t="s">
        <v>3047</v>
      </c>
      <c r="B646" s="3002">
        <v>46266</v>
      </c>
      <c r="C646" s="2895" t="str">
        <v>Tuesday</v>
      </c>
      <c r="D646" s="2896" t="s">
        <v>2720</v>
      </c>
      <c r="E646" s="2897">
        <f t="shared" si="114"/>
      </c>
      <c r="F646" s="2897" t="s">
        <v>2875</v>
      </c>
      <c r="G646" s="2883"/>
      <c r="H646" s="2854"/>
      <c r="I646" s="2943" t="s">
        <v>2528</v>
      </c>
      <c r="J646" s="2850"/>
      <c r="K646" s="2851"/>
      <c r="L646" s="2851"/>
      <c r="M646" s="2851"/>
      <c r="N646" s="2851"/>
      <c r="O646" s="2851"/>
      <c r="P646" s="2851"/>
    </row>
    <row r="647">
      <c r="A647" s="2875"/>
      <c r="B647" s="2875"/>
      <c r="C647" s="2875"/>
      <c r="D647" s="2854"/>
      <c r="E647" s="2849"/>
      <c r="F647" s="2854"/>
      <c r="G647" s="2883"/>
      <c r="H647" s="3264"/>
      <c r="I647" s="2854"/>
      <c r="J647" s="2850"/>
      <c r="K647" s="2851"/>
      <c r="L647" s="2851"/>
      <c r="M647" s="2851"/>
      <c r="N647" s="2851"/>
      <c r="O647" s="2851"/>
      <c r="P647" s="2851"/>
    </row>
    <row customHeight="true" ht="38.17663024813209" r="648">
      <c r="A648" s="3335" t="s">
        <v>3049</v>
      </c>
      <c r="B648" s="3335"/>
      <c r="C648" s="3335"/>
      <c r="D648" s="3335"/>
      <c r="E648" s="3335"/>
      <c r="F648" s="3335"/>
      <c r="G648" s="3335"/>
      <c r="H648" s="3335"/>
      <c r="I648" s="3335"/>
      <c r="J648" s="3335"/>
      <c r="K648" s="2851"/>
      <c r="L648" s="2851"/>
      <c r="M648" s="2851"/>
      <c r="N648" s="2851"/>
      <c r="O648" s="2851"/>
      <c r="P648" s="2851"/>
    </row>
    <row customHeight="true" ht="28.571428571428573" r="649">
      <c r="A649" s="3336" t="s">
        <v>2554</v>
      </c>
      <c r="B649" s="3337" t="s">
        <v>2555</v>
      </c>
      <c r="C649" s="3337"/>
      <c r="D649" s="3338" t="s">
        <v>2556</v>
      </c>
      <c r="E649" s="3339" t="s">
        <v>2557</v>
      </c>
      <c r="F649" s="3339" t="s">
        <v>2558</v>
      </c>
      <c r="G649" s="3340" t="s">
        <v>2577</v>
      </c>
      <c r="H649" s="3339" t="s">
        <v>2560</v>
      </c>
      <c r="I649" s="3339" t="s">
        <v>2561</v>
      </c>
      <c r="J649" s="3341" t="s">
        <v>2562</v>
      </c>
      <c r="K649" s="2851"/>
      <c r="L649" s="2851"/>
      <c r="M649" s="2851"/>
      <c r="N649" s="2851"/>
      <c r="O649" s="2851"/>
      <c r="P649" s="2851"/>
    </row>
    <row customHeight="true" ht="16.071428571428573" r="650">
      <c r="A650" s="2895" t="s">
        <v>3049</v>
      </c>
      <c r="B650" s="2844">
        <v>46267</v>
      </c>
      <c r="C650" s="2875" t="str">
        <v>Wednesday</v>
      </c>
      <c r="D650" s="3330" t="s">
        <v>3050</v>
      </c>
      <c r="E650" s="2854">
        <f t="shared" ref="E650:E654" si="115">24*MOD(TIMEVALUE(TRIM(MID(D650,FIND("-",D650)+1,LEN(D650)))) - TIMEVALUE(TRIM(LEFT(D650,FIND("-",D650)-1))),1)</f>
      </c>
      <c r="F650" s="2854" t="s">
        <v>2622</v>
      </c>
      <c r="G650" s="2893"/>
      <c r="H650" s="3264" t="s">
        <v>2572</v>
      </c>
      <c r="I650" s="2860" t="s">
        <v>2528</v>
      </c>
      <c r="J650" s="2850"/>
      <c r="K650" s="2851"/>
      <c r="L650" s="2851"/>
      <c r="M650" s="2851"/>
      <c r="N650" s="2851"/>
      <c r="O650" s="2851"/>
      <c r="P650" s="2851"/>
    </row>
    <row customHeight="true" ht="16.071428571428573" r="651">
      <c r="A651" s="2895" t="s">
        <v>3049</v>
      </c>
      <c r="B651" s="2844">
        <v>46268</v>
      </c>
      <c r="C651" s="2875" t="str">
        <v>Thursday</v>
      </c>
      <c r="D651" s="3330" t="s">
        <v>3050</v>
      </c>
      <c r="E651" s="2854">
        <f t="shared" si="115"/>
      </c>
      <c r="F651" s="2854" t="s">
        <v>2641</v>
      </c>
      <c r="G651" s="2893"/>
      <c r="H651" s="3264" t="s">
        <v>2572</v>
      </c>
      <c r="I651" s="2943" t="s">
        <v>2528</v>
      </c>
      <c r="J651" s="2846"/>
      <c r="K651" s="2851"/>
      <c r="L651" s="2851"/>
      <c r="M651" s="2851"/>
      <c r="N651" s="2851"/>
      <c r="O651" s="2851"/>
      <c r="P651" s="2851"/>
    </row>
    <row customHeight="true" ht="16.071428571428573" r="652">
      <c r="A652" s="2895" t="s">
        <v>3049</v>
      </c>
      <c r="B652" s="2844">
        <v>46269</v>
      </c>
      <c r="C652" s="2875" t="str">
        <v>Friday</v>
      </c>
      <c r="D652" s="3330" t="s">
        <v>3050</v>
      </c>
      <c r="E652" s="3342">
        <f t="shared" si="115"/>
      </c>
      <c r="F652" s="2854" t="s">
        <v>2622</v>
      </c>
      <c r="G652" s="2893"/>
      <c r="H652" s="3264" t="s">
        <v>2572</v>
      </c>
      <c r="I652" s="2860" t="s">
        <v>2528</v>
      </c>
      <c r="J652" s="3075"/>
      <c r="K652" s="2851"/>
      <c r="L652" s="2851"/>
      <c r="M652" s="2851"/>
      <c r="N652" s="2851"/>
      <c r="O652" s="2851"/>
      <c r="P652" s="2851"/>
    </row>
    <row customHeight="true" ht="16.071428571428573" r="653">
      <c r="A653" s="2895" t="s">
        <v>3049</v>
      </c>
      <c r="B653" s="2844">
        <v>46270</v>
      </c>
      <c r="C653" s="2875" t="str">
        <v>Saturday</v>
      </c>
      <c r="D653" s="3330" t="s">
        <v>3050</v>
      </c>
      <c r="E653" s="3342">
        <f t="shared" si="115"/>
      </c>
      <c r="F653" s="2943" t="s">
        <v>2624</v>
      </c>
      <c r="G653" s="2893"/>
      <c r="H653" s="3264"/>
      <c r="I653" s="2860" t="s">
        <v>2528</v>
      </c>
      <c r="J653" s="3075"/>
      <c r="K653" s="2851"/>
      <c r="L653" s="2851"/>
      <c r="M653" s="2851"/>
      <c r="N653" s="2851"/>
      <c r="O653" s="2851"/>
      <c r="P653" s="2851"/>
    </row>
    <row customHeight="true" ht="16.071428571428573" r="654">
      <c r="A654" s="2895" t="s">
        <v>3049</v>
      </c>
      <c r="B654" s="2844">
        <v>46271</v>
      </c>
      <c r="C654" s="2875" t="str">
        <v>Sunday</v>
      </c>
      <c r="D654" s="3330" t="s">
        <v>3050</v>
      </c>
      <c r="E654" s="3342">
        <f t="shared" si="115"/>
      </c>
      <c r="F654" s="2854" t="s">
        <v>2622</v>
      </c>
      <c r="G654" s="2893"/>
      <c r="H654" s="3264" t="s">
        <v>2572</v>
      </c>
      <c r="I654" s="2860" t="s">
        <v>2528</v>
      </c>
      <c r="J654" s="3075"/>
      <c r="K654" s="2851"/>
      <c r="L654" s="2851"/>
      <c r="M654" s="2851"/>
      <c r="N654" s="2851"/>
      <c r="O654" s="2851"/>
      <c r="P654" s="2851"/>
    </row>
    <row customHeight="true" ht="16.071428571428573" r="655">
      <c r="A655" s="2875"/>
      <c r="B655" s="2844"/>
      <c r="C655" s="2875"/>
      <c r="D655" s="2854"/>
      <c r="E655" s="2849"/>
      <c r="F655" s="2854"/>
      <c r="G655" s="2883"/>
      <c r="H655" s="3264"/>
      <c r="I655" s="2854"/>
      <c r="J655" s="2850"/>
      <c r="K655" s="2851"/>
      <c r="L655" s="2851"/>
      <c r="M655" s="2851"/>
      <c r="N655" s="2851"/>
      <c r="O655" s="2851"/>
      <c r="P655" s="2851"/>
    </row>
    <row customHeight="true" ht="16.071428571428573" r="656">
      <c r="A656" s="2898" t="s">
        <v>3051</v>
      </c>
      <c r="B656" s="2899">
        <v>46267</v>
      </c>
      <c r="C656" s="2898" t="s">
        <v>2537</v>
      </c>
      <c r="D656" s="2900" t="s">
        <v>3052</v>
      </c>
      <c r="E656" s="2901">
        <f t="shared" ref="E656:E660" si="116">24*MOD(TIMEVALUE(TRIM(MID(D656,FIND("-",D656)+1,LEN(D656)))) - TIMEVALUE(TRIM(LEFT(D656,FIND("-",D656)-1))),1)</f>
      </c>
      <c r="F656" s="2901" t="s">
        <v>2668</v>
      </c>
      <c r="G656" s="2902"/>
      <c r="H656" s="2901" t="s">
        <v>2572</v>
      </c>
      <c r="I656" s="2901" t="s">
        <v>2528</v>
      </c>
      <c r="J656" s="2902"/>
      <c r="K656" s="3036"/>
      <c r="L656" s="3036"/>
      <c r="M656" s="3036"/>
      <c r="N656" s="3036"/>
      <c r="O656" s="3036"/>
      <c r="P656" s="3036"/>
      <c r="Q656" s="3037"/>
      <c r="R656" s="3037"/>
    </row>
    <row customHeight="true" ht="16.071428571428573" r="657">
      <c r="A657" s="3173" t="s">
        <v>3051</v>
      </c>
      <c r="B657" s="3185">
        <v>46268</v>
      </c>
      <c r="C657" s="3184" t="s">
        <v>2552</v>
      </c>
      <c r="D657" s="3198" t="s">
        <v>3052</v>
      </c>
      <c r="E657" s="3176">
        <f t="shared" si="116"/>
      </c>
      <c r="F657" s="3176" t="s">
        <v>2698</v>
      </c>
      <c r="G657" s="3177"/>
      <c r="H657" s="3176" t="s">
        <v>2572</v>
      </c>
      <c r="I657" s="3176" t="s">
        <v>2528</v>
      </c>
      <c r="J657" s="3277"/>
      <c r="K657" s="2851"/>
      <c r="L657" s="2851"/>
      <c r="M657" s="2851"/>
      <c r="N657" s="2851"/>
      <c r="O657" s="2851"/>
      <c r="P657" s="2851"/>
    </row>
    <row customHeight="true" ht="16.071428571428573" r="658">
      <c r="A658" s="3173" t="s">
        <v>3051</v>
      </c>
      <c r="B658" s="3185">
        <v>46269</v>
      </c>
      <c r="C658" s="3184" t="s">
        <v>2541</v>
      </c>
      <c r="D658" s="3198" t="s">
        <v>3052</v>
      </c>
      <c r="E658" s="3176">
        <f t="shared" si="116"/>
      </c>
      <c r="F658" s="3176"/>
      <c r="G658" s="3177"/>
      <c r="H658" s="3176" t="s">
        <v>2572</v>
      </c>
      <c r="I658" s="3176"/>
      <c r="J658" s="3199"/>
      <c r="K658" s="2851"/>
      <c r="L658" s="2851"/>
      <c r="M658" s="2851"/>
      <c r="N658" s="2851"/>
      <c r="O658" s="2851"/>
      <c r="P658" s="2851"/>
    </row>
    <row customHeight="true" ht="16.071428571428573" r="659">
      <c r="A659" s="3173" t="s">
        <v>3051</v>
      </c>
      <c r="B659" s="3185">
        <v>46270</v>
      </c>
      <c r="C659" s="3184" t="s">
        <v>3053</v>
      </c>
      <c r="D659" s="3198" t="s">
        <v>3052</v>
      </c>
      <c r="E659" s="3176">
        <f t="shared" si="116"/>
      </c>
      <c r="F659" s="3176" t="s">
        <v>2698</v>
      </c>
      <c r="G659" s="3177"/>
      <c r="H659" s="3176" t="s">
        <v>2572</v>
      </c>
      <c r="I659" s="3176" t="s">
        <v>2528</v>
      </c>
      <c r="J659" s="3199"/>
      <c r="K659" s="2851"/>
      <c r="L659" s="2851"/>
      <c r="M659" s="2851"/>
      <c r="N659" s="2851"/>
      <c r="O659" s="2851"/>
      <c r="P659" s="2851"/>
    </row>
    <row customHeight="true" ht="16.071428571428573" r="660">
      <c r="A660" s="3173" t="s">
        <v>3051</v>
      </c>
      <c r="B660" s="3185">
        <v>46271</v>
      </c>
      <c r="C660" s="3184" t="s">
        <v>2890</v>
      </c>
      <c r="D660" s="3198" t="s">
        <v>3052</v>
      </c>
      <c r="E660" s="3176">
        <f t="shared" si="116"/>
      </c>
      <c r="F660" s="3176" t="s">
        <v>2698</v>
      </c>
      <c r="G660" s="3177"/>
      <c r="H660" s="3176" t="s">
        <v>2572</v>
      </c>
      <c r="I660" s="3176" t="s">
        <v>2528</v>
      </c>
      <c r="J660" s="3199"/>
      <c r="K660" s="2851"/>
      <c r="L660" s="2851"/>
      <c r="M660" s="2851"/>
      <c r="N660" s="2851"/>
      <c r="O660" s="2851"/>
      <c r="P660" s="2851"/>
    </row>
    <row customHeight="true" ht="16.071428571428573" r="661">
      <c r="A661" s="2875"/>
      <c r="B661" s="2875"/>
      <c r="C661" s="2875"/>
      <c r="D661" s="2854"/>
      <c r="E661" s="2849"/>
      <c r="F661" s="2854"/>
      <c r="G661" s="2883"/>
      <c r="H661" s="3264"/>
      <c r="I661" s="2854"/>
      <c r="J661" s="2850"/>
      <c r="K661" s="2851"/>
      <c r="L661" s="2851"/>
      <c r="M661" s="2851"/>
      <c r="N661" s="2851"/>
      <c r="O661" s="2851"/>
      <c r="P661" s="2851"/>
    </row>
    <row customHeight="true" ht="16.071428571428573" r="662">
      <c r="A662" s="2895" t="s">
        <v>3047</v>
      </c>
      <c r="B662" s="2844">
        <v>46270</v>
      </c>
      <c r="C662" s="2875" t="str">
        <v>Saturday</v>
      </c>
      <c r="D662" s="3330" t="s">
        <v>3054</v>
      </c>
      <c r="E662" s="3342">
        <f>24*MOD(TIMEVALUE(TRIM(MID(D662,FIND("-",D662)+1,LEN(D662)))) - TIMEVALUE(TRIM(LEFT(D662,FIND("-",D662)-1))),1)</f>
      </c>
      <c r="F662" s="2943" t="s">
        <v>2624</v>
      </c>
      <c r="G662" s="2883"/>
      <c r="H662" s="3264"/>
      <c r="I662" s="2860" t="s">
        <v>2528</v>
      </c>
      <c r="J662" s="2850"/>
      <c r="K662" s="2851"/>
      <c r="L662" s="2851"/>
      <c r="M662" s="2851"/>
      <c r="N662" s="2851"/>
      <c r="O662" s="2851"/>
      <c r="P662" s="2851"/>
    </row>
    <row r="663">
      <c r="A663" s="2875"/>
      <c r="B663" s="2875"/>
      <c r="C663" s="2875"/>
      <c r="D663" s="2849"/>
      <c r="E663" s="2849"/>
      <c r="F663" s="2849"/>
      <c r="G663" s="3006"/>
      <c r="H663" s="2849"/>
      <c r="I663" s="2849"/>
      <c r="J663" s="2878"/>
      <c r="K663" s="2851"/>
      <c r="L663" s="2851"/>
      <c r="M663" s="2851"/>
      <c r="N663" s="2851"/>
      <c r="O663" s="2851"/>
      <c r="P663" s="2851"/>
    </row>
    <row r="664">
      <c r="A664" s="3343" t="s">
        <v>3055</v>
      </c>
      <c r="B664" s="3343"/>
      <c r="C664" s="3343"/>
      <c r="D664" s="3343"/>
      <c r="E664" s="3343"/>
      <c r="F664" s="3343"/>
      <c r="G664" s="3343"/>
      <c r="H664" s="3343"/>
      <c r="I664" s="3343"/>
      <c r="J664" s="3344"/>
      <c r="K664" s="3289"/>
      <c r="L664" s="3289"/>
      <c r="M664" s="3289"/>
      <c r="N664" s="3289"/>
      <c r="O664" s="3289"/>
      <c r="P664" s="3289"/>
    </row>
    <row r="665">
      <c r="A665" s="3345" t="s">
        <v>2554</v>
      </c>
      <c r="B665" s="3346" t="s">
        <v>2555</v>
      </c>
      <c r="C665" s="3346"/>
      <c r="D665" s="3347" t="s">
        <v>2556</v>
      </c>
      <c r="E665" s="3347" t="s">
        <v>2557</v>
      </c>
      <c r="F665" s="3347" t="s">
        <v>2558</v>
      </c>
      <c r="G665" s="3348" t="s">
        <v>2577</v>
      </c>
      <c r="H665" s="3347" t="s">
        <v>2560</v>
      </c>
      <c r="I665" s="3347" t="s">
        <v>2561</v>
      </c>
      <c r="J665" s="3349" t="s">
        <v>2562</v>
      </c>
      <c r="K665" s="2874"/>
      <c r="L665" s="2874"/>
      <c r="M665" s="2874"/>
      <c r="N665" s="2874"/>
      <c r="O665" s="2874"/>
      <c r="P665" s="2874"/>
    </row>
    <row r="666">
      <c r="A666" s="2875" t="s">
        <v>3055</v>
      </c>
      <c r="B666" s="2844">
        <v>46245</v>
      </c>
      <c r="C666" s="2875" t="str">
        <v>Tuesday</v>
      </c>
      <c r="D666" s="2845" t="s">
        <v>3056</v>
      </c>
      <c r="E666" s="2854">
        <f t="shared" ref="E666:E667" si="117">24*MOD(TIMEVALUE(TRIM(MID(D666,FIND("-",D666)+1,LEN(D666)))) - TIMEVALUE(TRIM(LEFT(D666,FIND("-",D666)-1))),1)</f>
      </c>
      <c r="F666" s="2849"/>
      <c r="G666" s="2893"/>
      <c r="H666" s="3264" t="s">
        <v>2572</v>
      </c>
      <c r="I666" s="2854" t="s">
        <v>2528</v>
      </c>
      <c r="J666" s="2850"/>
      <c r="K666" s="2851"/>
      <c r="L666" s="2851"/>
      <c r="M666" s="2851"/>
      <c r="N666" s="2851"/>
      <c r="O666" s="2851"/>
      <c r="P666" s="2851"/>
    </row>
    <row r="667">
      <c r="A667" s="3350" t="s">
        <v>3057</v>
      </c>
      <c r="B667" s="3351">
        <v>46245</v>
      </c>
      <c r="C667" s="3350" t="str">
        <v>Tuesday</v>
      </c>
      <c r="D667" s="3352" t="s">
        <v>3058</v>
      </c>
      <c r="E667" s="3353">
        <f t="shared" si="117"/>
      </c>
      <c r="F667" s="3353"/>
      <c r="G667" s="3354"/>
      <c r="H667" s="3355" t="s">
        <v>2572</v>
      </c>
      <c r="I667" s="2854" t="s">
        <v>2528</v>
      </c>
      <c r="J667" s="3356"/>
      <c r="K667" s="2851"/>
      <c r="L667" s="2851"/>
      <c r="M667" s="2851"/>
      <c r="N667" s="2851"/>
      <c r="O667" s="2851"/>
      <c r="P667" s="2851"/>
    </row>
    <row r="668">
      <c r="A668" s="2875" t="s">
        <v>3055</v>
      </c>
      <c r="B668" s="2875"/>
      <c r="C668" s="2875"/>
      <c r="D668" s="2854"/>
      <c r="E668" s="3357">
        <f>3</f>
      </c>
      <c r="F668" s="2849"/>
      <c r="G668" s="2883"/>
      <c r="H668" s="3264"/>
      <c r="I668" s="2849"/>
      <c r="J668" s="2850"/>
      <c r="K668" s="2851"/>
      <c r="L668" s="2851"/>
      <c r="M668" s="2851"/>
      <c r="N668" s="2851"/>
      <c r="O668" s="2851"/>
      <c r="P668" s="2851"/>
    </row>
    <row r="669">
      <c r="A669" s="2875" t="s">
        <v>3055</v>
      </c>
      <c r="B669" s="2844">
        <v>46246</v>
      </c>
      <c r="C669" s="2875" t="str">
        <v>Wednesday</v>
      </c>
      <c r="D669" s="2845" t="s">
        <v>3059</v>
      </c>
      <c r="E669" s="2854">
        <f t="shared" ref="E669:E670" si="118">24*MOD(TIMEVALUE(TRIM(MID(D669,FIND("-",D669)+1,LEN(D669)))) - TIMEVALUE(TRIM(LEFT(D669,FIND("-",D669)-1))),1)</f>
      </c>
      <c r="F669" s="2849"/>
      <c r="G669" s="2893"/>
      <c r="H669" s="3264" t="s">
        <v>2572</v>
      </c>
      <c r="I669" s="2943" t="s">
        <v>2528</v>
      </c>
      <c r="J669" s="2850"/>
      <c r="K669" s="2851"/>
      <c r="L669" s="2851"/>
      <c r="M669" s="2851"/>
      <c r="N669" s="2851"/>
      <c r="O669" s="2851"/>
      <c r="P669" s="2851"/>
    </row>
    <row r="670">
      <c r="A670" s="3350" t="s">
        <v>3057</v>
      </c>
      <c r="B670" s="3351">
        <v>46246</v>
      </c>
      <c r="C670" s="3350" t="str">
        <v>Wednesday</v>
      </c>
      <c r="D670" s="3352" t="s">
        <v>3041</v>
      </c>
      <c r="E670" s="3353">
        <f t="shared" si="118"/>
      </c>
      <c r="F670" s="3353"/>
      <c r="G670" s="3354"/>
      <c r="H670" s="3355" t="s">
        <v>2572</v>
      </c>
      <c r="I670" s="2854" t="s">
        <v>2528</v>
      </c>
      <c r="J670" s="3358"/>
      <c r="K670" s="3022"/>
      <c r="L670" s="3022"/>
      <c r="M670" s="3022"/>
      <c r="N670" s="3022"/>
      <c r="O670" s="3022"/>
      <c r="P670" s="3022"/>
    </row>
    <row r="671">
      <c r="A671" s="2875" t="s">
        <v>3055</v>
      </c>
      <c r="B671" s="2875"/>
      <c r="C671" s="2875"/>
      <c r="D671" s="2854"/>
      <c r="E671" s="3357">
        <f>3</f>
      </c>
      <c r="F671" s="2849"/>
      <c r="G671" s="2883"/>
      <c r="H671" s="3264"/>
      <c r="I671" s="2849"/>
      <c r="J671" s="2850"/>
      <c r="K671" s="2851"/>
      <c r="L671" s="2851"/>
      <c r="M671" s="2851"/>
      <c r="N671" s="2851"/>
      <c r="O671" s="2851"/>
      <c r="P671" s="2851"/>
    </row>
    <row r="672">
      <c r="A672" s="2875" t="s">
        <v>3055</v>
      </c>
      <c r="B672" s="2844">
        <v>46247</v>
      </c>
      <c r="C672" s="2875" t="str">
        <v>Thursday</v>
      </c>
      <c r="D672" s="2845" t="s">
        <v>3056</v>
      </c>
      <c r="E672" s="2854">
        <f t="shared" ref="E672:E673" si="119">24*MOD(TIMEVALUE(TRIM(MID(D672,FIND("-",D672)+1,LEN(D672)))) - TIMEVALUE(TRIM(LEFT(D672,FIND("-",D672)-1))),1)</f>
      </c>
      <c r="F672" s="2849"/>
      <c r="G672" s="2893"/>
      <c r="H672" s="3264" t="s">
        <v>2572</v>
      </c>
      <c r="I672" s="2854" t="s">
        <v>2528</v>
      </c>
      <c r="J672" s="2850"/>
      <c r="K672" s="2851"/>
      <c r="L672" s="2851"/>
      <c r="M672" s="2851"/>
      <c r="N672" s="2851"/>
      <c r="O672" s="2851"/>
      <c r="P672" s="2851"/>
    </row>
    <row r="673">
      <c r="A673" s="3350" t="s">
        <v>3057</v>
      </c>
      <c r="B673" s="3351">
        <v>46247</v>
      </c>
      <c r="C673" s="3350" t="str">
        <v>Thursday</v>
      </c>
      <c r="D673" s="3352" t="s">
        <v>3060</v>
      </c>
      <c r="E673" s="3353">
        <f t="shared" si="119"/>
      </c>
      <c r="F673" s="3353"/>
      <c r="G673" s="3354"/>
      <c r="H673" s="3355" t="s">
        <v>2572</v>
      </c>
      <c r="I673" s="2854" t="s">
        <v>2528</v>
      </c>
      <c r="J673" s="3356"/>
      <c r="K673" s="2851"/>
      <c r="L673" s="2851"/>
      <c r="M673" s="2851"/>
      <c r="N673" s="2851"/>
      <c r="O673" s="2851"/>
      <c r="P673" s="2851"/>
    </row>
    <row r="674">
      <c r="A674" s="2875" t="s">
        <v>3055</v>
      </c>
      <c r="B674" s="2875"/>
      <c r="C674" s="2875"/>
      <c r="D674" s="2854"/>
      <c r="E674" s="3357">
        <f>3</f>
      </c>
      <c r="F674" s="2849"/>
      <c r="G674" s="2883"/>
      <c r="H674" s="3264"/>
      <c r="I674" s="2849"/>
      <c r="J674" s="2850"/>
      <c r="K674" s="2851"/>
      <c r="L674" s="2851"/>
      <c r="M674" s="2851"/>
      <c r="N674" s="2851"/>
      <c r="O674" s="2851"/>
      <c r="P674" s="2851"/>
    </row>
    <row r="675">
      <c r="A675" s="2875" t="s">
        <v>3055</v>
      </c>
      <c r="B675" s="2844">
        <v>46248</v>
      </c>
      <c r="C675" s="2875" t="str">
        <v>Friday</v>
      </c>
      <c r="D675" s="2845" t="s">
        <v>3061</v>
      </c>
      <c r="E675" s="2854">
        <f t="shared" ref="E675:E676" si="120">24*MOD(TIMEVALUE(TRIM(MID(D675,FIND("-",D675)+1,LEN(D675)))) - TIMEVALUE(TRIM(LEFT(D675,FIND("-",D675)-1))),1)</f>
      </c>
      <c r="F675" s="2849"/>
      <c r="G675" s="2893"/>
      <c r="H675" s="3264" t="s">
        <v>2572</v>
      </c>
      <c r="I675" s="2854" t="s">
        <v>2528</v>
      </c>
      <c r="J675" s="2850"/>
      <c r="K675" s="2851"/>
      <c r="L675" s="2851"/>
      <c r="M675" s="2851"/>
      <c r="N675" s="2851"/>
      <c r="O675" s="2851"/>
      <c r="P675" s="2851"/>
    </row>
    <row r="676">
      <c r="A676" s="3350" t="s">
        <v>3057</v>
      </c>
      <c r="B676" s="3351">
        <v>46248</v>
      </c>
      <c r="C676" s="3350" t="str">
        <v>Friday</v>
      </c>
      <c r="D676" s="3352" t="s">
        <v>3062</v>
      </c>
      <c r="E676" s="3353">
        <f t="shared" si="120"/>
      </c>
      <c r="F676" s="3353"/>
      <c r="G676" s="3354"/>
      <c r="H676" s="3355" t="s">
        <v>2572</v>
      </c>
      <c r="I676" s="2854" t="s">
        <v>2528</v>
      </c>
      <c r="J676" s="3356"/>
      <c r="K676" s="2851"/>
      <c r="L676" s="2851"/>
      <c r="M676" s="2851"/>
      <c r="N676" s="2851"/>
      <c r="O676" s="2851"/>
      <c r="P676" s="2851"/>
    </row>
    <row r="677">
      <c r="A677" s="2875" t="s">
        <v>3055</v>
      </c>
      <c r="B677" s="2875"/>
      <c r="C677" s="2875"/>
      <c r="D677" s="2854"/>
      <c r="E677" s="3357">
        <f>3</f>
      </c>
      <c r="F677" s="2849"/>
      <c r="G677" s="2883"/>
      <c r="H677" s="3264"/>
      <c r="I677" s="2849"/>
      <c r="J677" s="2850"/>
      <c r="K677" s="2851"/>
      <c r="L677" s="2851"/>
      <c r="M677" s="2851"/>
      <c r="N677" s="2851"/>
      <c r="O677" s="2851"/>
      <c r="P677" s="2851"/>
    </row>
    <row r="678">
      <c r="A678" s="2875" t="s">
        <v>3055</v>
      </c>
      <c r="B678" s="2844">
        <v>46249</v>
      </c>
      <c r="C678" s="2875" t="str">
        <v>Saturday</v>
      </c>
      <c r="D678" s="2845" t="s">
        <v>3063</v>
      </c>
      <c r="E678" s="2854">
        <f t="shared" ref="E678:E679" si="121">24*MOD(TIMEVALUE(TRIM(MID(D678,FIND("-",D678)+1,LEN(D678)))) - TIMEVALUE(TRIM(LEFT(D678,FIND("-",D678)-1))),1)</f>
      </c>
      <c r="F678" s="2849"/>
      <c r="G678" s="2893"/>
      <c r="H678" s="3264" t="s">
        <v>2572</v>
      </c>
      <c r="I678" s="2854" t="s">
        <v>2528</v>
      </c>
      <c r="J678" s="2850"/>
      <c r="K678" s="2851"/>
      <c r="L678" s="2851"/>
      <c r="M678" s="2851"/>
      <c r="N678" s="2851"/>
      <c r="O678" s="2851"/>
      <c r="P678" s="2851"/>
    </row>
    <row r="679">
      <c r="A679" s="3350" t="s">
        <v>3057</v>
      </c>
      <c r="B679" s="3351">
        <v>46249</v>
      </c>
      <c r="C679" s="3350" t="str">
        <v>Saturday</v>
      </c>
      <c r="D679" s="3352" t="s">
        <v>3063</v>
      </c>
      <c r="E679" s="3353">
        <f t="shared" si="121"/>
      </c>
      <c r="F679" s="3353"/>
      <c r="G679" s="3354"/>
      <c r="H679" s="3355" t="s">
        <v>2572</v>
      </c>
      <c r="I679" s="2854" t="s">
        <v>2528</v>
      </c>
      <c r="J679" s="3356"/>
      <c r="K679" s="2851"/>
      <c r="L679" s="2851"/>
      <c r="M679" s="2851"/>
      <c r="N679" s="2851"/>
      <c r="O679" s="2851"/>
      <c r="P679" s="2851"/>
    </row>
    <row r="680">
      <c r="A680" s="2875" t="s">
        <v>3055</v>
      </c>
      <c r="B680" s="2875"/>
      <c r="C680" s="2875"/>
      <c r="D680" s="2854"/>
      <c r="E680" s="3357">
        <f>3</f>
      </c>
      <c r="F680" s="2849"/>
      <c r="G680" s="2883"/>
      <c r="H680" s="3264"/>
      <c r="I680" s="2849"/>
      <c r="J680" s="2850"/>
      <c r="K680" s="2851"/>
      <c r="L680" s="2851"/>
      <c r="M680" s="2851"/>
      <c r="N680" s="2851"/>
      <c r="O680" s="2851"/>
      <c r="P680" s="2851"/>
    </row>
    <row customHeight="true" ht="18.452380952380953" r="681">
      <c r="A681" s="2875" t="s">
        <v>3055</v>
      </c>
      <c r="B681" s="2844">
        <v>46250</v>
      </c>
      <c r="C681" s="2875" t="str">
        <v>Sunday</v>
      </c>
      <c r="D681" s="2845" t="s">
        <v>2575</v>
      </c>
      <c r="E681" s="2854">
        <f t="shared" ref="E681:E682" si="122">24*MOD(TIMEVALUE(TRIM(MID(D681,FIND("-",D681)+1,LEN(D681)))) - TIMEVALUE(TRIM(LEFT(D681,FIND("-",D681)-1))),1)</f>
      </c>
      <c r="F681" s="2849"/>
      <c r="G681" s="2893"/>
      <c r="H681" s="3264" t="s">
        <v>2572</v>
      </c>
      <c r="I681" s="2854" t="s">
        <v>2528</v>
      </c>
      <c r="J681" s="2850"/>
      <c r="K681" s="2851"/>
      <c r="L681" s="2851"/>
      <c r="M681" s="2851"/>
      <c r="N681" s="2851"/>
      <c r="O681" s="2851"/>
      <c r="P681" s="2851"/>
    </row>
    <row customHeight="true" ht="18.452380952380953" r="682">
      <c r="A682" s="3350" t="s">
        <v>3057</v>
      </c>
      <c r="B682" s="3351">
        <v>46250</v>
      </c>
      <c r="C682" s="3350" t="str">
        <v>Sunday</v>
      </c>
      <c r="D682" s="3352" t="s">
        <v>3064</v>
      </c>
      <c r="E682" s="3353">
        <f t="shared" si="122"/>
      </c>
      <c r="F682" s="3353"/>
      <c r="G682" s="3354"/>
      <c r="H682" s="3355" t="s">
        <v>2572</v>
      </c>
      <c r="I682" s="2854" t="s">
        <v>2568</v>
      </c>
      <c r="J682" s="3356"/>
      <c r="K682" s="2851"/>
      <c r="L682" s="2851"/>
      <c r="M682" s="2851"/>
      <c r="N682" s="2851"/>
      <c r="O682" s="2851"/>
      <c r="P682" s="2851"/>
    </row>
    <row customHeight="true" ht="18.452380952380953" r="683">
      <c r="A683" s="2875" t="s">
        <v>3055</v>
      </c>
      <c r="B683" s="2875"/>
      <c r="C683" s="2875"/>
      <c r="D683" s="2854"/>
      <c r="E683" s="3357">
        <f>3</f>
      </c>
      <c r="F683" s="2849"/>
      <c r="G683" s="2883"/>
      <c r="H683" s="3264"/>
      <c r="I683" s="2849"/>
      <c r="J683" s="2850"/>
      <c r="K683" s="2851"/>
      <c r="L683" s="2851"/>
      <c r="M683" s="2851"/>
      <c r="N683" s="2851"/>
      <c r="O683" s="2851"/>
      <c r="P683" s="2851"/>
    </row>
    <row r="684">
      <c r="A684" s="2990"/>
      <c r="B684" s="2875"/>
      <c r="C684" s="2875"/>
      <c r="D684" s="2854"/>
      <c r="E684" s="2854"/>
      <c r="F684" s="2854"/>
      <c r="G684" s="2883"/>
      <c r="H684" s="3264"/>
      <c r="I684" s="2854"/>
      <c r="J684" s="2850"/>
      <c r="K684" s="2851"/>
      <c r="L684" s="2851"/>
      <c r="M684" s="2851"/>
      <c r="N684" s="2851"/>
      <c r="O684" s="2851"/>
      <c r="P684" s="2851"/>
    </row>
    <row r="685">
      <c r="A685" s="2875"/>
      <c r="B685" s="2875"/>
      <c r="C685" s="2875"/>
      <c r="D685" s="2854"/>
      <c r="E685" s="2854"/>
      <c r="F685" s="2854"/>
      <c r="G685" s="2883"/>
      <c r="H685" s="3264"/>
      <c r="I685" s="2854"/>
      <c r="J685" s="2850"/>
      <c r="K685" s="2851"/>
      <c r="L685" s="2851"/>
      <c r="M685" s="2851"/>
      <c r="N685" s="2851"/>
      <c r="O685" s="2851"/>
      <c r="P685" s="2851"/>
    </row>
    <row r="686">
      <c r="A686" s="2875" t="s">
        <v>3065</v>
      </c>
      <c r="B686" s="2844">
        <v>46245</v>
      </c>
      <c r="C686" s="2875" t="str">
        <v>Tuesday</v>
      </c>
      <c r="D686" s="2881" t="s">
        <v>3066</v>
      </c>
      <c r="E686" s="2849">
        <f t="shared" ref="E686:E691" si="123">24*MOD(TIMEVALUE(TRIM(MID(D686,FIND("-",D686)+1,LEN(D686)))) - TIMEVALUE(TRIM(LEFT(D686,FIND("-",D686)-1))),1)</f>
      </c>
      <c r="F686" s="2854"/>
      <c r="G686" s="3003"/>
      <c r="H686" s="3207" t="s">
        <v>2572</v>
      </c>
      <c r="I686" s="2854" t="s">
        <v>2528</v>
      </c>
      <c r="J686" s="2878"/>
      <c r="K686" s="2851"/>
      <c r="L686" s="2851"/>
      <c r="M686" s="2851"/>
      <c r="N686" s="2851"/>
      <c r="O686" s="2851"/>
      <c r="P686" s="2851"/>
    </row>
    <row r="687">
      <c r="A687" s="2875" t="s">
        <v>3065</v>
      </c>
      <c r="B687" s="2844">
        <v>46245</v>
      </c>
      <c r="C687" s="2875" t="str">
        <v>Tuesday</v>
      </c>
      <c r="D687" s="2881" t="s">
        <v>2927</v>
      </c>
      <c r="E687" s="2849">
        <f t="shared" si="123"/>
      </c>
      <c r="F687" s="2854"/>
      <c r="G687" s="3006"/>
      <c r="H687" s="3207" t="s">
        <v>2572</v>
      </c>
      <c r="I687" s="2854" t="s">
        <v>2528</v>
      </c>
      <c r="J687" s="2878"/>
      <c r="K687" s="2851"/>
      <c r="L687" s="2851"/>
      <c r="M687" s="2851"/>
      <c r="N687" s="2851"/>
      <c r="O687" s="2851"/>
      <c r="P687" s="2851"/>
    </row>
    <row r="688">
      <c r="A688" s="2875" t="s">
        <v>3065</v>
      </c>
      <c r="B688" s="2844">
        <v>46246</v>
      </c>
      <c r="C688" s="2875" t="str">
        <v>Wednesday</v>
      </c>
      <c r="D688" s="2881" t="s">
        <v>3067</v>
      </c>
      <c r="E688" s="2849">
        <f t="shared" si="123"/>
      </c>
      <c r="F688" s="2854"/>
      <c r="G688" s="3006"/>
      <c r="H688" s="3207" t="s">
        <v>2572</v>
      </c>
      <c r="I688" s="2854" t="s">
        <v>2528</v>
      </c>
      <c r="J688" s="2878"/>
      <c r="K688" s="2851"/>
      <c r="L688" s="2851"/>
      <c r="M688" s="2851"/>
      <c r="N688" s="2851"/>
      <c r="O688" s="2851"/>
      <c r="P688" s="2851"/>
    </row>
    <row r="689">
      <c r="A689" s="2875" t="s">
        <v>3065</v>
      </c>
      <c r="B689" s="2875">
        <v>46234</v>
      </c>
      <c r="C689" s="2875" t="str">
        <v>Friday</v>
      </c>
      <c r="D689" s="2845" t="s">
        <v>2573</v>
      </c>
      <c r="E689" s="2849">
        <f t="shared" si="123"/>
      </c>
      <c r="F689" s="2854"/>
      <c r="G689" s="3006"/>
      <c r="H689" s="3207" t="s">
        <v>2572</v>
      </c>
      <c r="I689" s="2854" t="s">
        <v>2568</v>
      </c>
      <c r="J689" s="2878"/>
      <c r="K689" s="2851"/>
      <c r="L689" s="2851"/>
      <c r="M689" s="2851"/>
      <c r="N689" s="2851"/>
      <c r="O689" s="2851"/>
      <c r="P689" s="2851"/>
    </row>
    <row r="690">
      <c r="A690" s="2875" t="s">
        <v>3065</v>
      </c>
      <c r="B690" s="2875">
        <v>46220</v>
      </c>
      <c r="C690" s="2875" t="str">
        <v>Friday</v>
      </c>
      <c r="D690" s="2849" t="s">
        <v>3068</v>
      </c>
      <c r="E690" s="2849">
        <f t="shared" si="123"/>
      </c>
      <c r="F690" s="2854"/>
      <c r="G690" s="3006"/>
      <c r="H690" s="3207" t="s">
        <v>2572</v>
      </c>
      <c r="I690" s="2854" t="s">
        <v>2568</v>
      </c>
      <c r="J690" s="2878"/>
      <c r="K690" s="2851"/>
      <c r="L690" s="2851"/>
      <c r="M690" s="2851"/>
      <c r="N690" s="2851"/>
      <c r="O690" s="2851"/>
      <c r="P690" s="2851"/>
    </row>
    <row r="691">
      <c r="A691" s="2875" t="s">
        <v>3065</v>
      </c>
      <c r="B691" s="2875">
        <v>46219</v>
      </c>
      <c r="C691" s="2875" t="str">
        <v>Thursday</v>
      </c>
      <c r="D691" s="2849" t="s">
        <v>3069</v>
      </c>
      <c r="E691" s="2849">
        <f t="shared" si="123"/>
      </c>
      <c r="F691" s="2854"/>
      <c r="G691" s="3006"/>
      <c r="H691" s="3207" t="s">
        <v>2572</v>
      </c>
      <c r="I691" s="2854" t="s">
        <v>2568</v>
      </c>
      <c r="J691" s="2878"/>
      <c r="K691" s="2851"/>
      <c r="L691" s="2851"/>
      <c r="M691" s="2851"/>
      <c r="N691" s="2851"/>
      <c r="O691" s="2851"/>
      <c r="P691" s="2851"/>
    </row>
    <row r="692">
      <c r="A692" s="3112"/>
      <c r="B692" s="3112"/>
      <c r="C692" s="3112"/>
      <c r="D692" s="3112"/>
      <c r="E692" s="3112"/>
      <c r="F692" s="3112"/>
      <c r="G692" s="3228"/>
      <c r="H692" s="3112"/>
      <c r="I692" s="3112"/>
      <c r="J692" s="3112"/>
      <c r="K692" s="2851"/>
      <c r="L692" s="2851"/>
      <c r="M692" s="2851"/>
      <c r="N692" s="2851"/>
      <c r="O692" s="2851"/>
      <c r="P692" s="2851"/>
    </row>
    <row r="693">
      <c r="A693" s="3359" t="s">
        <v>3070</v>
      </c>
      <c r="B693" s="3360"/>
      <c r="C693" s="3360"/>
      <c r="D693" s="3360"/>
      <c r="E693" s="3360"/>
      <c r="F693" s="3360"/>
      <c r="G693" s="3360"/>
      <c r="H693" s="3360"/>
      <c r="I693" s="3360"/>
      <c r="J693" s="3361"/>
      <c r="K693" s="3289"/>
      <c r="L693" s="3289"/>
      <c r="M693" s="3289"/>
      <c r="N693" s="3289"/>
      <c r="O693" s="3289"/>
      <c r="P693" s="3289"/>
    </row>
    <row r="694">
      <c r="A694" s="3362" t="s">
        <v>3070</v>
      </c>
      <c r="B694" s="3363" t="s">
        <v>2555</v>
      </c>
      <c r="C694" s="3363"/>
      <c r="D694" s="3364" t="s">
        <v>2556</v>
      </c>
      <c r="E694" s="3364" t="s">
        <v>2557</v>
      </c>
      <c r="F694" s="3364"/>
      <c r="G694" s="3365"/>
      <c r="H694" s="3364" t="s">
        <v>2560</v>
      </c>
      <c r="I694" s="3364" t="s">
        <v>2561</v>
      </c>
      <c r="J694" s="3366" t="s">
        <v>2562</v>
      </c>
      <c r="K694" s="2874"/>
      <c r="L694" s="2874"/>
      <c r="M694" s="2874"/>
      <c r="N694" s="2874"/>
      <c r="O694" s="2874"/>
      <c r="P694" s="2874"/>
    </row>
    <row r="695">
      <c r="A695" s="2895" t="s">
        <v>3070</v>
      </c>
      <c r="B695" s="2844">
        <v>46266</v>
      </c>
      <c r="C695" s="2875" t="str">
        <v>Tuesday</v>
      </c>
      <c r="D695" s="2845" t="s">
        <v>3030</v>
      </c>
      <c r="E695" s="2854">
        <f t="shared" ref="E695:E706" si="124">24*MOD(TIMEVALUE(TRIM(MID(D695,FIND("-",D695)+1,LEN(D695)))) - TIMEVALUE(TRIM(LEFT(D695,FIND("-",D695)-1))),1)</f>
      </c>
      <c r="F695" s="2897" t="s">
        <v>3071</v>
      </c>
      <c r="G695" s="3078"/>
      <c r="H695" s="2897" t="s">
        <v>2572</v>
      </c>
      <c r="I695" s="3367" t="s">
        <v>2528</v>
      </c>
      <c r="J695" s="3096"/>
      <c r="K695" s="2851"/>
      <c r="L695" s="2851"/>
      <c r="M695" s="2851"/>
      <c r="N695" s="2851"/>
      <c r="O695" s="2851"/>
      <c r="P695" s="2851"/>
    </row>
    <row r="696">
      <c r="A696" s="3368" t="s">
        <v>3072</v>
      </c>
      <c r="B696" s="3369">
        <v>46266</v>
      </c>
      <c r="C696" s="3368" t="str">
        <v>Tuesday</v>
      </c>
      <c r="D696" s="3370" t="s">
        <v>3040</v>
      </c>
      <c r="E696" s="3367">
        <f t="shared" si="124"/>
      </c>
      <c r="F696" s="3367" t="s">
        <v>2876</v>
      </c>
      <c r="G696" s="3371"/>
      <c r="H696" s="3367" t="s">
        <v>2572</v>
      </c>
      <c r="I696" s="3367" t="s">
        <v>2528</v>
      </c>
      <c r="J696" s="3372"/>
      <c r="K696" s="2851"/>
      <c r="L696" s="2851"/>
      <c r="M696" s="2851"/>
      <c r="N696" s="2851"/>
      <c r="O696" s="2851"/>
      <c r="P696" s="2851"/>
    </row>
    <row r="697">
      <c r="A697" s="2895" t="s">
        <v>3070</v>
      </c>
      <c r="B697" s="3002">
        <v>46267</v>
      </c>
      <c r="C697" s="2895" t="str">
        <v>Wednesday</v>
      </c>
      <c r="D697" s="2845" t="s">
        <v>3030</v>
      </c>
      <c r="E697" s="2897">
        <f t="shared" si="124"/>
      </c>
      <c r="F697" s="2897" t="s">
        <v>3071</v>
      </c>
      <c r="G697" s="3075"/>
      <c r="H697" s="2897" t="s">
        <v>2572</v>
      </c>
      <c r="I697" s="3367" t="s">
        <v>2528</v>
      </c>
      <c r="J697" s="3076"/>
      <c r="K697" s="2851"/>
      <c r="L697" s="2851"/>
      <c r="M697" s="2851"/>
      <c r="N697" s="2851"/>
      <c r="O697" s="2851"/>
      <c r="P697" s="2851"/>
    </row>
    <row r="698">
      <c r="A698" s="3368" t="s">
        <v>3072</v>
      </c>
      <c r="B698" s="3369">
        <v>46267</v>
      </c>
      <c r="C698" s="3368" t="str">
        <v>Wednesday</v>
      </c>
      <c r="D698" s="3370" t="s">
        <v>3073</v>
      </c>
      <c r="E698" s="3367">
        <f t="shared" si="124"/>
      </c>
      <c r="F698" s="3367" t="s">
        <v>2876</v>
      </c>
      <c r="G698" s="3371"/>
      <c r="H698" s="3373" t="s">
        <v>2572</v>
      </c>
      <c r="I698" s="3367" t="s">
        <v>2528</v>
      </c>
      <c r="J698" s="3372"/>
      <c r="K698" s="2851"/>
      <c r="L698" s="2851"/>
      <c r="M698" s="2851"/>
      <c r="N698" s="2851"/>
      <c r="O698" s="2851"/>
      <c r="P698" s="2851"/>
    </row>
    <row r="699">
      <c r="A699" s="2895" t="s">
        <v>3070</v>
      </c>
      <c r="B699" s="2844">
        <v>46268</v>
      </c>
      <c r="C699" s="2875" t="str">
        <v>Thursday</v>
      </c>
      <c r="D699" s="2845" t="s">
        <v>3030</v>
      </c>
      <c r="E699" s="2854">
        <f t="shared" si="124"/>
      </c>
      <c r="F699" s="2897" t="s">
        <v>3074</v>
      </c>
      <c r="G699" s="3003"/>
      <c r="H699" s="2849" t="s">
        <v>2572</v>
      </c>
      <c r="I699" s="3367" t="s">
        <v>2528</v>
      </c>
      <c r="J699" s="2878"/>
      <c r="K699" s="2851"/>
      <c r="L699" s="2851"/>
      <c r="M699" s="2851"/>
      <c r="N699" s="2851"/>
      <c r="O699" s="2851"/>
      <c r="P699" s="2851"/>
    </row>
    <row r="700">
      <c r="A700" s="3368" t="s">
        <v>3072</v>
      </c>
      <c r="B700" s="3369">
        <v>46268</v>
      </c>
      <c r="C700" s="3368" t="str">
        <v>Thursday</v>
      </c>
      <c r="D700" s="3370" t="s">
        <v>3073</v>
      </c>
      <c r="E700" s="3367">
        <f t="shared" si="124"/>
      </c>
      <c r="F700" s="3367" t="s">
        <v>2876</v>
      </c>
      <c r="G700" s="3371"/>
      <c r="H700" s="3373" t="s">
        <v>2572</v>
      </c>
      <c r="I700" s="3367" t="s">
        <v>2528</v>
      </c>
      <c r="J700" s="3372"/>
      <c r="K700" s="2851"/>
      <c r="L700" s="2851"/>
      <c r="M700" s="2851"/>
      <c r="N700" s="2851"/>
      <c r="O700" s="2851"/>
      <c r="P700" s="2851"/>
    </row>
    <row r="701">
      <c r="A701" s="2895" t="s">
        <v>3070</v>
      </c>
      <c r="B701" s="2844">
        <v>46269</v>
      </c>
      <c r="C701" s="2875" t="str">
        <v>Friday</v>
      </c>
      <c r="D701" s="2845" t="s">
        <v>3030</v>
      </c>
      <c r="E701" s="2854">
        <f t="shared" si="124"/>
      </c>
      <c r="F701" s="2854" t="s">
        <v>3071</v>
      </c>
      <c r="G701" s="3003" t="s">
        <v>3075</v>
      </c>
      <c r="H701" s="2849" t="s">
        <v>2572</v>
      </c>
      <c r="I701" s="3367" t="s">
        <v>2528</v>
      </c>
      <c r="J701" s="2878"/>
      <c r="K701" s="2851"/>
      <c r="L701" s="2851"/>
      <c r="M701" s="2851"/>
      <c r="N701" s="2851"/>
      <c r="O701" s="2851"/>
      <c r="P701" s="2851"/>
    </row>
    <row r="702">
      <c r="A702" s="3368" t="s">
        <v>3072</v>
      </c>
      <c r="B702" s="3369">
        <v>46269</v>
      </c>
      <c r="C702" s="3368" t="str">
        <v>Friday</v>
      </c>
      <c r="D702" s="3370" t="s">
        <v>3040</v>
      </c>
      <c r="E702" s="3367">
        <f t="shared" si="124"/>
      </c>
      <c r="F702" s="3367"/>
      <c r="G702" s="3371"/>
      <c r="H702" s="3373" t="s">
        <v>2572</v>
      </c>
      <c r="I702" s="3367" t="s">
        <v>2528</v>
      </c>
      <c r="J702" s="3372"/>
      <c r="K702" s="2851"/>
      <c r="L702" s="2851"/>
      <c r="M702" s="2851"/>
      <c r="N702" s="2851"/>
      <c r="O702" s="2851"/>
      <c r="P702" s="2851"/>
    </row>
    <row r="703">
      <c r="A703" s="2895" t="s">
        <v>3070</v>
      </c>
      <c r="B703" s="2844">
        <v>46270</v>
      </c>
      <c r="C703" s="2875" t="str">
        <v>Saturday</v>
      </c>
      <c r="D703" s="2845" t="s">
        <v>2587</v>
      </c>
      <c r="E703" s="2854">
        <f t="shared" si="124"/>
      </c>
      <c r="F703" s="2854" t="s">
        <v>3071</v>
      </c>
      <c r="G703" s="3006"/>
      <c r="H703" s="2849" t="s">
        <v>2572</v>
      </c>
      <c r="I703" s="3367" t="s">
        <v>2528</v>
      </c>
      <c r="J703" s="2878"/>
      <c r="K703" s="2851"/>
      <c r="L703" s="2851"/>
      <c r="M703" s="2851"/>
      <c r="N703" s="2851"/>
      <c r="O703" s="2851"/>
      <c r="P703" s="2851"/>
    </row>
    <row r="704">
      <c r="A704" s="3368" t="s">
        <v>3072</v>
      </c>
      <c r="B704" s="3369">
        <v>46270</v>
      </c>
      <c r="C704" s="3368" t="str">
        <v>Saturday</v>
      </c>
      <c r="D704" s="3370" t="s">
        <v>2917</v>
      </c>
      <c r="E704" s="3367">
        <f t="shared" si="124"/>
      </c>
      <c r="F704" s="3367" t="s">
        <v>2668</v>
      </c>
      <c r="G704" s="3374"/>
      <c r="H704" s="3373" t="s">
        <v>2572</v>
      </c>
      <c r="I704" s="2897" t="s">
        <v>2528</v>
      </c>
      <c r="J704" s="3372"/>
      <c r="K704" s="2851"/>
      <c r="L704" s="2851"/>
      <c r="M704" s="2851"/>
      <c r="N704" s="2851"/>
      <c r="O704" s="2851"/>
      <c r="P704" s="2851"/>
    </row>
    <row r="705">
      <c r="A705" s="2895" t="s">
        <v>3070</v>
      </c>
      <c r="B705" s="2844">
        <v>46271</v>
      </c>
      <c r="C705" s="2875" t="str">
        <v>Sunday</v>
      </c>
      <c r="D705" s="2845" t="s">
        <v>2575</v>
      </c>
      <c r="E705" s="2854">
        <f t="shared" si="124"/>
      </c>
      <c r="F705" s="2854" t="s">
        <v>2622</v>
      </c>
      <c r="G705" s="3003" t="s">
        <v>3076</v>
      </c>
      <c r="H705" s="2849" t="s">
        <v>2572</v>
      </c>
      <c r="I705" s="2860" t="s">
        <v>2528</v>
      </c>
      <c r="J705" s="2878"/>
      <c r="K705" s="2851"/>
      <c r="L705" s="2851"/>
      <c r="M705" s="2851"/>
      <c r="N705" s="2851"/>
      <c r="O705" s="2851"/>
      <c r="P705" s="2851"/>
    </row>
    <row r="706">
      <c r="A706" s="3368" t="s">
        <v>3072</v>
      </c>
      <c r="B706" s="3369">
        <v>46271</v>
      </c>
      <c r="C706" s="3368" t="str">
        <v>Sunday</v>
      </c>
      <c r="D706" s="3370" t="s">
        <v>3064</v>
      </c>
      <c r="E706" s="3367">
        <f t="shared" si="124"/>
      </c>
      <c r="F706" s="3367" t="s">
        <v>2668</v>
      </c>
      <c r="G706" s="3374"/>
      <c r="H706" s="3373" t="s">
        <v>2572</v>
      </c>
      <c r="I706" s="3367" t="s">
        <v>2528</v>
      </c>
      <c r="J706" s="3372"/>
      <c r="K706" s="2851"/>
      <c r="L706" s="2851"/>
      <c r="M706" s="2851"/>
      <c r="N706" s="2851"/>
      <c r="O706" s="2851"/>
      <c r="P706" s="2851"/>
    </row>
    <row r="707">
      <c r="A707" s="2875"/>
      <c r="B707" s="2875"/>
      <c r="C707" s="2875"/>
      <c r="D707" s="2875"/>
      <c r="E707" s="2875"/>
      <c r="F707" s="2875"/>
      <c r="G707" s="2875"/>
      <c r="H707" s="2875"/>
      <c r="I707" s="2875"/>
      <c r="J707" s="3375"/>
      <c r="K707" s="3376"/>
      <c r="L707" s="3376"/>
      <c r="M707" s="3376"/>
      <c r="N707" s="3376"/>
      <c r="O707" s="3376"/>
      <c r="P707" s="3376"/>
    </row>
    <row customHeight="true" ht="16.071428571428573" r="708">
      <c r="A708" s="2875" t="s">
        <v>3077</v>
      </c>
      <c r="B708" s="2844">
        <v>46266</v>
      </c>
      <c r="C708" s="2875" t="str">
        <v>Tuesday</v>
      </c>
      <c r="D708" s="2845" t="s">
        <v>2880</v>
      </c>
      <c r="E708" s="2854">
        <f t="shared" ref="E708:E717" si="125">24*MOD(TIMEVALUE(TRIM(MID(D708,FIND("-",D708)+1,LEN(D708)))) - TIMEVALUE(TRIM(LEFT(D708,FIND("-",D708)-1))),1)</f>
      </c>
      <c r="F708" s="2882" t="s">
        <v>2944</v>
      </c>
      <c r="G708" s="2844"/>
      <c r="H708" s="2849" t="s">
        <v>2572</v>
      </c>
      <c r="I708" s="3367" t="s">
        <v>2528</v>
      </c>
      <c r="J708" s="3375"/>
      <c r="K708" s="3376"/>
      <c r="L708" s="3376"/>
      <c r="M708" s="3376"/>
      <c r="N708" s="3376"/>
      <c r="O708" s="3376"/>
      <c r="P708" s="3376"/>
    </row>
    <row customHeight="true" ht="16.071428571428573" r="709">
      <c r="A709" s="2875" t="s">
        <v>3077</v>
      </c>
      <c r="B709" s="2844">
        <v>46267</v>
      </c>
      <c r="C709" s="2875" t="str">
        <v>Wednesday</v>
      </c>
      <c r="D709" s="2845" t="s">
        <v>3078</v>
      </c>
      <c r="E709" s="2854">
        <f t="shared" si="125"/>
      </c>
      <c r="F709" s="2882" t="s">
        <v>2944</v>
      </c>
      <c r="G709" s="2875"/>
      <c r="H709" s="2849" t="s">
        <v>2572</v>
      </c>
      <c r="I709" s="3373" t="s">
        <v>2528</v>
      </c>
      <c r="J709" s="3375"/>
      <c r="K709" s="3210"/>
      <c r="L709" s="3210"/>
      <c r="M709" s="3210"/>
      <c r="N709" s="3210"/>
      <c r="O709" s="3210"/>
      <c r="P709" s="3210"/>
      <c r="Q709" s="2884"/>
      <c r="R709" s="2884"/>
    </row>
    <row customHeight="true" ht="16.071428571428573" r="710">
      <c r="A710" s="2875" t="s">
        <v>3077</v>
      </c>
      <c r="B710" s="2875">
        <v>46268</v>
      </c>
      <c r="C710" s="2875" t="str">
        <v>Thursday</v>
      </c>
      <c r="D710" s="2845" t="s">
        <v>3079</v>
      </c>
      <c r="E710" s="2854">
        <f t="shared" si="125"/>
      </c>
      <c r="F710" s="2882" t="s">
        <v>2944</v>
      </c>
      <c r="G710" s="2875"/>
      <c r="H710" s="2849" t="s">
        <v>2572</v>
      </c>
      <c r="I710" s="3373" t="s">
        <v>2528</v>
      </c>
      <c r="J710" s="3375"/>
      <c r="K710" s="3210"/>
      <c r="L710" s="3210"/>
      <c r="M710" s="3210"/>
      <c r="N710" s="3210"/>
      <c r="O710" s="3210"/>
      <c r="P710" s="3210"/>
      <c r="Q710" s="2884"/>
      <c r="R710" s="2884"/>
    </row>
    <row customHeight="true" ht="16.071428571428573" r="711">
      <c r="A711" s="2875" t="s">
        <v>3072</v>
      </c>
      <c r="B711" s="2844">
        <v>46269</v>
      </c>
      <c r="C711" s="2875" t="str">
        <v>Friday</v>
      </c>
      <c r="D711" s="2845" t="s">
        <v>3080</v>
      </c>
      <c r="E711" s="2854">
        <f t="shared" si="125"/>
      </c>
      <c r="F711" s="2882" t="s">
        <v>2944</v>
      </c>
      <c r="G711" s="2875"/>
      <c r="H711" s="2849" t="s">
        <v>2572</v>
      </c>
      <c r="I711" s="3373" t="s">
        <v>2528</v>
      </c>
      <c r="J711" s="3375"/>
      <c r="K711" s="3210"/>
      <c r="L711" s="3210"/>
      <c r="M711" s="3210"/>
      <c r="N711" s="3210"/>
      <c r="O711" s="3210"/>
      <c r="P711" s="3210"/>
      <c r="Q711" s="2884"/>
      <c r="R711" s="2884"/>
    </row>
    <row customHeight="true" ht="16.071428571428573" r="712">
      <c r="A712" s="2875" t="s">
        <v>3077</v>
      </c>
      <c r="B712" s="2844">
        <v>46267</v>
      </c>
      <c r="C712" s="2875" t="str">
        <v>Wednesday</v>
      </c>
      <c r="D712" s="2845" t="s">
        <v>3001</v>
      </c>
      <c r="E712" s="2854">
        <f t="shared" si="125"/>
      </c>
      <c r="F712" s="2875" t="s">
        <v>3074</v>
      </c>
      <c r="G712" s="2875"/>
      <c r="H712" s="2849" t="s">
        <v>2572</v>
      </c>
      <c r="I712" s="3367" t="s">
        <v>2528</v>
      </c>
      <c r="J712" s="3375"/>
      <c r="K712" s="3376"/>
      <c r="L712" s="3376"/>
      <c r="M712" s="3376"/>
      <c r="N712" s="3376"/>
      <c r="O712" s="3376"/>
      <c r="P712" s="3376"/>
    </row>
    <row customHeight="true" ht="16.071428571428573" r="713">
      <c r="A713" s="2875" t="s">
        <v>3077</v>
      </c>
      <c r="B713" s="2844">
        <v>46267</v>
      </c>
      <c r="C713" s="2875" t="str">
        <v>Wednesday</v>
      </c>
      <c r="D713" s="2845" t="s">
        <v>3001</v>
      </c>
      <c r="E713" s="2854">
        <f t="shared" si="125"/>
      </c>
      <c r="F713" s="2875" t="s">
        <v>2622</v>
      </c>
      <c r="G713" s="2844" t="s">
        <v>3081</v>
      </c>
      <c r="H713" s="2849" t="s">
        <v>2572</v>
      </c>
      <c r="I713" s="2860" t="s">
        <v>2528</v>
      </c>
      <c r="J713" s="3375"/>
      <c r="K713" s="3376"/>
      <c r="L713" s="3376"/>
      <c r="M713" s="3376"/>
      <c r="N713" s="3376"/>
      <c r="O713" s="3376"/>
      <c r="P713" s="3376"/>
    </row>
    <row customHeight="true" ht="16.071428571428573" r="714">
      <c r="A714" s="2875" t="s">
        <v>3077</v>
      </c>
      <c r="B714" s="2844">
        <v>46267</v>
      </c>
      <c r="C714" s="2875" t="str">
        <v>Wednesday</v>
      </c>
      <c r="D714" s="2845" t="s">
        <v>3082</v>
      </c>
      <c r="E714" s="2854">
        <f t="shared" si="125"/>
      </c>
      <c r="F714" s="2875" t="s">
        <v>3083</v>
      </c>
      <c r="G714" s="2844"/>
      <c r="H714" s="2849" t="s">
        <v>2572</v>
      </c>
      <c r="I714" s="3367" t="s">
        <v>2528</v>
      </c>
      <c r="J714" s="3375"/>
      <c r="K714" s="3376"/>
      <c r="L714" s="3376"/>
      <c r="M714" s="3376"/>
      <c r="N714" s="3376"/>
      <c r="O714" s="3376"/>
      <c r="P714" s="3376"/>
    </row>
    <row customHeight="true" ht="16.071428571428573" r="715">
      <c r="A715" s="2875" t="s">
        <v>3077</v>
      </c>
      <c r="B715" s="2844">
        <v>46268</v>
      </c>
      <c r="C715" s="2875" t="str">
        <v>Thursday</v>
      </c>
      <c r="D715" s="2845" t="s">
        <v>3084</v>
      </c>
      <c r="E715" s="2854">
        <f t="shared" si="125"/>
      </c>
      <c r="F715" s="2875" t="s">
        <v>3083</v>
      </c>
      <c r="G715" s="2844"/>
      <c r="H715" s="2849" t="s">
        <v>2572</v>
      </c>
      <c r="I715" s="3367" t="s">
        <v>2528</v>
      </c>
      <c r="J715" s="3375"/>
      <c r="K715" s="3376"/>
      <c r="L715" s="3376"/>
      <c r="M715" s="3376"/>
      <c r="N715" s="3376"/>
      <c r="O715" s="3376"/>
      <c r="P715" s="3376"/>
    </row>
    <row customHeight="true" ht="16.071428571428573" r="716">
      <c r="A716" s="2875" t="s">
        <v>3077</v>
      </c>
      <c r="B716" s="2844">
        <v>46269</v>
      </c>
      <c r="C716" s="2875" t="str">
        <v>Friday</v>
      </c>
      <c r="D716" s="2845" t="s">
        <v>3084</v>
      </c>
      <c r="E716" s="2854">
        <f t="shared" si="125"/>
      </c>
      <c r="F716" s="2875" t="s">
        <v>3083</v>
      </c>
      <c r="G716" s="2844"/>
      <c r="H716" s="2849" t="s">
        <v>2572</v>
      </c>
      <c r="I716" s="3367" t="s">
        <v>2528</v>
      </c>
      <c r="J716" s="3375"/>
      <c r="K716" s="3376"/>
      <c r="L716" s="3376"/>
      <c r="M716" s="3376"/>
      <c r="N716" s="3376"/>
      <c r="O716" s="3376"/>
      <c r="P716" s="3376"/>
    </row>
    <row customHeight="true" ht="16.071428571428573" r="717">
      <c r="A717" s="2875" t="s">
        <v>3077</v>
      </c>
      <c r="B717" s="2844">
        <v>46270</v>
      </c>
      <c r="C717" s="2875" t="str">
        <v>Saturday</v>
      </c>
      <c r="D717" s="2845" t="s">
        <v>3085</v>
      </c>
      <c r="E717" s="2854">
        <f t="shared" si="125"/>
      </c>
      <c r="F717" s="2875" t="s">
        <v>3083</v>
      </c>
      <c r="G717" s="2844"/>
      <c r="H717" s="2849" t="s">
        <v>2572</v>
      </c>
      <c r="I717" s="3367" t="s">
        <v>2528</v>
      </c>
      <c r="J717" s="3375"/>
      <c r="K717" s="3376"/>
      <c r="L717" s="3376"/>
      <c r="M717" s="3376"/>
      <c r="N717" s="3376"/>
      <c r="O717" s="3376"/>
      <c r="P717" s="3376"/>
    </row>
    <row r="718">
      <c r="A718" s="2884"/>
      <c r="B718" s="2884"/>
      <c r="C718" s="2884"/>
      <c r="D718" s="2884"/>
      <c r="E718" s="2884"/>
      <c r="F718" s="2884"/>
      <c r="G718" s="2884"/>
      <c r="H718" s="2884"/>
      <c r="I718" s="2884"/>
      <c r="J718" s="2884"/>
      <c r="K718" s="2989"/>
      <c r="L718" s="2989"/>
      <c r="M718" s="2989"/>
      <c r="N718" s="2989"/>
      <c r="O718" s="2989"/>
      <c r="P718" s="2989"/>
    </row>
    <row r="719">
      <c r="A719" s="3377" t="s">
        <v>3086</v>
      </c>
      <c r="B719" s="3378"/>
      <c r="C719" s="3377"/>
      <c r="D719" s="3377"/>
      <c r="E719" s="3377"/>
      <c r="F719" s="3377"/>
      <c r="G719" s="3377"/>
      <c r="H719" s="3377"/>
      <c r="I719" s="3377"/>
      <c r="J719" s="3379"/>
      <c r="K719" s="3289"/>
      <c r="L719" s="3289"/>
      <c r="M719" s="3289"/>
      <c r="N719" s="3289"/>
      <c r="O719" s="3289"/>
      <c r="P719" s="3289"/>
    </row>
    <row r="720">
      <c r="A720" s="3123" t="s">
        <v>3086</v>
      </c>
      <c r="B720" s="3124" t="s">
        <v>2555</v>
      </c>
      <c r="C720" s="3124"/>
      <c r="D720" s="3125" t="s">
        <v>2556</v>
      </c>
      <c r="E720" s="3125" t="s">
        <v>2557</v>
      </c>
      <c r="F720" s="3125" t="s">
        <v>2558</v>
      </c>
      <c r="G720" s="3126" t="s">
        <v>2577</v>
      </c>
      <c r="H720" s="3125" t="s">
        <v>2560</v>
      </c>
      <c r="I720" s="3125" t="s">
        <v>2561</v>
      </c>
      <c r="J720" s="3127" t="s">
        <v>2562</v>
      </c>
      <c r="K720" s="2874"/>
      <c r="L720" s="2874"/>
      <c r="M720" s="2874"/>
      <c r="N720" s="2874"/>
      <c r="O720" s="2874"/>
      <c r="P720" s="2874"/>
    </row>
    <row r="721">
      <c r="A721" s="2875" t="s">
        <v>3086</v>
      </c>
      <c r="B721" s="2844">
        <v>46266</v>
      </c>
      <c r="C721" s="2875" t="str">
        <v>Tuesday</v>
      </c>
      <c r="D721" s="2845" t="s">
        <v>3059</v>
      </c>
      <c r="E721" s="2897">
        <f t="shared" ref="E721:E734" si="126">24*MOD(TIMEVALUE(TRIM(MID(D721,FIND("-",D721)+1,LEN(D721)))) - TIMEVALUE(TRIM(LEFT(D721,FIND("-",D721)-1))),1)</f>
      </c>
      <c r="F721" s="2854" t="s">
        <v>2632</v>
      </c>
      <c r="G721" s="2893" t="s">
        <v>3087</v>
      </c>
      <c r="H721" s="2897" t="s">
        <v>2572</v>
      </c>
      <c r="I721" s="2943" t="s">
        <v>2528</v>
      </c>
      <c r="J721" s="3096"/>
      <c r="K721" s="2851"/>
      <c r="L721" s="2851"/>
      <c r="M721" s="2851"/>
      <c r="N721" s="2851"/>
      <c r="O721" s="2851"/>
      <c r="P721" s="2851"/>
    </row>
    <row r="722">
      <c r="A722" s="3380" t="s">
        <v>3088</v>
      </c>
      <c r="B722" s="3381">
        <v>46266</v>
      </c>
      <c r="C722" s="3380" t="str">
        <v>Tuesday</v>
      </c>
      <c r="D722" s="3382" t="s">
        <v>3089</v>
      </c>
      <c r="E722" s="3383">
        <f t="shared" si="126"/>
      </c>
      <c r="F722" s="3383" t="s">
        <v>2668</v>
      </c>
      <c r="G722" s="3384"/>
      <c r="H722" s="3385" t="s">
        <v>2572</v>
      </c>
      <c r="I722" s="2897" t="s">
        <v>2528</v>
      </c>
      <c r="J722" s="3386"/>
      <c r="K722" s="2851"/>
      <c r="L722" s="2851"/>
      <c r="M722" s="2851"/>
      <c r="N722" s="2851"/>
      <c r="O722" s="2851"/>
      <c r="P722" s="2851"/>
    </row>
    <row customHeight="true" ht="18.452380952380953" r="723">
      <c r="A723" s="2875" t="s">
        <v>3086</v>
      </c>
      <c r="B723" s="2844">
        <v>46267</v>
      </c>
      <c r="C723" s="2875" t="str">
        <v>Wednesday</v>
      </c>
      <c r="D723" s="2845" t="s">
        <v>2688</v>
      </c>
      <c r="E723" s="2897">
        <f t="shared" si="126"/>
      </c>
      <c r="F723" s="2854" t="s">
        <v>2655</v>
      </c>
      <c r="G723" s="3003"/>
      <c r="H723" s="2854"/>
      <c r="I723" s="2897" t="s">
        <v>2528</v>
      </c>
      <c r="J723" s="2878"/>
      <c r="K723" s="2851"/>
      <c r="L723" s="2851"/>
      <c r="M723" s="2851"/>
      <c r="N723" s="2851"/>
      <c r="O723" s="2851"/>
      <c r="P723" s="2851"/>
    </row>
    <row r="724">
      <c r="A724" s="3380" t="s">
        <v>3088</v>
      </c>
      <c r="B724" s="3387">
        <v>46267</v>
      </c>
      <c r="C724" s="3380" t="str">
        <v>Wednesday</v>
      </c>
      <c r="D724" s="3382" t="s">
        <v>3090</v>
      </c>
      <c r="E724" s="3383">
        <f t="shared" si="126"/>
      </c>
      <c r="F724" s="3383" t="s">
        <v>2654</v>
      </c>
      <c r="G724" s="3384"/>
      <c r="H724" s="3385" t="s">
        <v>2572</v>
      </c>
      <c r="I724" s="2897" t="s">
        <v>2528</v>
      </c>
      <c r="J724" s="3386"/>
      <c r="K724" s="2851"/>
      <c r="L724" s="2851"/>
      <c r="M724" s="2851"/>
      <c r="N724" s="2851"/>
      <c r="O724" s="2851"/>
      <c r="P724" s="2851"/>
    </row>
    <row r="725">
      <c r="A725" s="2875" t="s">
        <v>3086</v>
      </c>
      <c r="B725" s="3002">
        <v>46268</v>
      </c>
      <c r="C725" s="2875" t="str">
        <v>Thursday</v>
      </c>
      <c r="D725" s="2845" t="s">
        <v>2974</v>
      </c>
      <c r="E725" s="2897">
        <f t="shared" si="126"/>
      </c>
      <c r="F725" s="2854" t="s">
        <v>2644</v>
      </c>
      <c r="G725" s="3003" t="s">
        <v>3091</v>
      </c>
      <c r="H725" s="2854" t="s">
        <v>2572</v>
      </c>
      <c r="I725" s="2943" t="s">
        <v>2528</v>
      </c>
      <c r="J725" s="2878"/>
      <c r="K725" s="2851"/>
      <c r="L725" s="2851"/>
      <c r="M725" s="2851"/>
      <c r="N725" s="2851"/>
      <c r="O725" s="2851"/>
      <c r="P725" s="2851"/>
    </row>
    <row customHeight="true" ht="18.452380952380953" r="726">
      <c r="A726" s="2875" t="s">
        <v>3086</v>
      </c>
      <c r="B726" s="3002">
        <v>46268</v>
      </c>
      <c r="C726" s="2875" t="str">
        <v>Thursday</v>
      </c>
      <c r="D726" s="2845" t="s">
        <v>2792</v>
      </c>
      <c r="E726" s="2897">
        <f t="shared" si="126"/>
      </c>
      <c r="F726" s="2854" t="s">
        <v>2655</v>
      </c>
      <c r="G726" s="3003"/>
      <c r="H726" s="2854"/>
      <c r="I726" s="2943"/>
      <c r="J726" s="2878"/>
      <c r="K726" s="2851"/>
      <c r="L726" s="2851"/>
      <c r="M726" s="2851"/>
      <c r="N726" s="2851"/>
      <c r="O726" s="2851"/>
      <c r="P726" s="2851"/>
    </row>
    <row r="727">
      <c r="A727" s="3380" t="s">
        <v>3088</v>
      </c>
      <c r="B727" s="3387">
        <v>46268</v>
      </c>
      <c r="C727" s="3380" t="str">
        <v>Thursday</v>
      </c>
      <c r="D727" s="3382" t="s">
        <v>3092</v>
      </c>
      <c r="E727" s="3383">
        <f t="shared" si="126"/>
      </c>
      <c r="F727" s="3383" t="s">
        <v>2632</v>
      </c>
      <c r="G727" s="3384"/>
      <c r="H727" s="3385" t="s">
        <v>2572</v>
      </c>
      <c r="I727" s="2897" t="s">
        <v>2528</v>
      </c>
      <c r="J727" s="3386"/>
      <c r="K727" s="2851"/>
      <c r="L727" s="2851"/>
      <c r="M727" s="2851"/>
      <c r="N727" s="2851"/>
      <c r="O727" s="2851"/>
      <c r="P727" s="2851"/>
    </row>
    <row r="728">
      <c r="A728" s="2875" t="s">
        <v>3086</v>
      </c>
      <c r="B728" s="2844">
        <v>46269</v>
      </c>
      <c r="C728" s="2875" t="str">
        <v>Friday</v>
      </c>
      <c r="D728" s="2845" t="s">
        <v>2688</v>
      </c>
      <c r="E728" s="2897">
        <f t="shared" si="126"/>
      </c>
      <c r="F728" s="2854" t="s">
        <v>2655</v>
      </c>
      <c r="G728" s="3003"/>
      <c r="H728" s="2897" t="s">
        <v>2572</v>
      </c>
      <c r="I728" s="2943" t="s">
        <v>2528</v>
      </c>
      <c r="J728" s="3386"/>
      <c r="K728" s="2851"/>
      <c r="L728" s="2851"/>
      <c r="M728" s="2851"/>
      <c r="N728" s="2851"/>
      <c r="O728" s="2851"/>
      <c r="P728" s="2851"/>
    </row>
    <row r="729">
      <c r="A729" s="3380" t="s">
        <v>3088</v>
      </c>
      <c r="B729" s="3387">
        <v>46269</v>
      </c>
      <c r="C729" s="3380" t="str">
        <v>Friday</v>
      </c>
      <c r="D729" s="3382" t="s">
        <v>3092</v>
      </c>
      <c r="E729" s="3383">
        <f t="shared" si="126"/>
      </c>
      <c r="F729" s="3383" t="s">
        <v>2632</v>
      </c>
      <c r="G729" s="3384"/>
      <c r="H729" s="3383" t="s">
        <v>2572</v>
      </c>
      <c r="I729" s="2897" t="s">
        <v>2528</v>
      </c>
      <c r="J729" s="2878"/>
      <c r="K729" s="2851"/>
      <c r="L729" s="2851"/>
      <c r="M729" s="2851"/>
      <c r="N729" s="2851"/>
      <c r="O729" s="2851"/>
      <c r="P729" s="2851"/>
    </row>
    <row r="730">
      <c r="A730" s="2875" t="s">
        <v>3086</v>
      </c>
      <c r="B730" s="2844">
        <v>46270</v>
      </c>
      <c r="C730" s="2875" t="str">
        <v>Saturday</v>
      </c>
      <c r="D730" s="2845" t="s">
        <v>2688</v>
      </c>
      <c r="E730" s="2897">
        <f t="shared" si="126"/>
      </c>
      <c r="F730" s="2854" t="s">
        <v>3093</v>
      </c>
      <c r="G730" s="3003"/>
      <c r="H730" s="2897" t="s">
        <v>2572</v>
      </c>
      <c r="I730" s="2849" t="s">
        <v>2528</v>
      </c>
      <c r="J730" s="3386"/>
      <c r="K730" s="2851"/>
      <c r="L730" s="2851"/>
      <c r="M730" s="2851"/>
      <c r="N730" s="2851"/>
      <c r="O730" s="2851"/>
      <c r="P730" s="2851"/>
    </row>
    <row customHeight="true" ht="18.452380952380953" r="731">
      <c r="A731" s="3380" t="s">
        <v>3088</v>
      </c>
      <c r="B731" s="3387">
        <v>46270</v>
      </c>
      <c r="C731" s="3380" t="str">
        <v>Saturday</v>
      </c>
      <c r="D731" s="3382" t="s">
        <v>2880</v>
      </c>
      <c r="E731" s="3383">
        <f t="shared" si="126"/>
      </c>
      <c r="F731" s="3383" t="s">
        <v>2632</v>
      </c>
      <c r="G731" s="3384"/>
      <c r="H731" s="3385"/>
      <c r="I731" s="2897" t="s">
        <v>2528</v>
      </c>
      <c r="J731" s="3386"/>
      <c r="K731" s="2851"/>
      <c r="L731" s="2851"/>
      <c r="M731" s="2851"/>
      <c r="N731" s="2851"/>
      <c r="O731" s="2851"/>
      <c r="P731" s="2851"/>
    </row>
    <row r="732">
      <c r="A732" s="2875" t="s">
        <v>3086</v>
      </c>
      <c r="B732" s="2844">
        <v>46271</v>
      </c>
      <c r="C732" s="2875" t="str">
        <v>Sunday</v>
      </c>
      <c r="D732" s="2845" t="s">
        <v>2688</v>
      </c>
      <c r="E732" s="2897">
        <f t="shared" si="126"/>
      </c>
      <c r="F732" s="2854" t="s">
        <v>3093</v>
      </c>
      <c r="G732" s="3003"/>
      <c r="H732" s="2897" t="s">
        <v>2572</v>
      </c>
      <c r="I732" s="2943" t="s">
        <v>2528</v>
      </c>
      <c r="J732" s="3388"/>
      <c r="K732" s="3022"/>
      <c r="L732" s="3022"/>
      <c r="M732" s="3022"/>
      <c r="N732" s="3022"/>
      <c r="O732" s="3022"/>
      <c r="P732" s="3022"/>
    </row>
    <row customHeight="true" ht="18.452380952380953" r="733">
      <c r="A733" s="3380" t="s">
        <v>3088</v>
      </c>
      <c r="B733" s="3381">
        <v>46271</v>
      </c>
      <c r="C733" s="3389" t="str">
        <v>Sunday</v>
      </c>
      <c r="D733" s="3390" t="s">
        <v>2880</v>
      </c>
      <c r="E733" s="3383">
        <f t="shared" si="126"/>
      </c>
      <c r="F733" s="3383" t="s">
        <v>2632</v>
      </c>
      <c r="G733" s="3391"/>
      <c r="H733" s="3383"/>
      <c r="I733" s="2897" t="s">
        <v>2528</v>
      </c>
      <c r="J733" s="3388"/>
      <c r="K733" s="3022"/>
      <c r="L733" s="3022"/>
      <c r="M733" s="3022"/>
      <c r="N733" s="3022"/>
      <c r="O733" s="3022"/>
      <c r="P733" s="3022"/>
    </row>
    <row customHeight="true" ht="18.452380952380953" r="734">
      <c r="A734" s="3389" t="s">
        <v>3094</v>
      </c>
      <c r="B734" s="2844">
        <v>46266</v>
      </c>
      <c r="C734" s="2875" t="str">
        <v>Tuesday</v>
      </c>
      <c r="D734" s="2896" t="s">
        <v>2841</v>
      </c>
      <c r="E734" s="2897">
        <f t="shared" si="126"/>
      </c>
      <c r="F734" s="2854" t="s">
        <v>2632</v>
      </c>
      <c r="G734" s="3075"/>
      <c r="H734" s="2897"/>
      <c r="I734" s="2897" t="s">
        <v>2528</v>
      </c>
      <c r="J734" s="3076"/>
      <c r="K734" s="3022"/>
      <c r="L734" s="3022"/>
      <c r="M734" s="3022"/>
      <c r="N734" s="3022"/>
      <c r="O734" s="3022"/>
      <c r="P734" s="3022"/>
      <c r="Q734" s="2914"/>
      <c r="R734" s="2914"/>
    </row>
    <row r="735">
      <c r="J735" s="2855"/>
      <c r="K735" s="2914"/>
      <c r="L735" s="2914"/>
      <c r="M735" s="2914"/>
      <c r="N735" s="2914"/>
      <c r="O735" s="2914"/>
      <c r="P735" s="2914"/>
    </row>
    <row r="736">
      <c r="A736" s="3392" t="s">
        <v>3095</v>
      </c>
      <c r="B736" s="3392"/>
      <c r="C736" s="3392"/>
      <c r="D736" s="3392"/>
      <c r="E736" s="3392"/>
      <c r="F736" s="3392"/>
      <c r="G736" s="3392"/>
      <c r="H736" s="3392"/>
      <c r="I736" s="3392"/>
      <c r="J736" s="3393"/>
      <c r="K736" s="3289"/>
      <c r="L736" s="3289"/>
      <c r="M736" s="3289"/>
      <c r="N736" s="3289"/>
      <c r="O736" s="3289"/>
      <c r="P736" s="3289"/>
    </row>
    <row r="737">
      <c r="A737" s="3394" t="s">
        <v>3095</v>
      </c>
      <c r="B737" s="3395" t="s">
        <v>2555</v>
      </c>
      <c r="C737" s="3395"/>
      <c r="D737" s="3396" t="s">
        <v>2556</v>
      </c>
      <c r="E737" s="3396" t="s">
        <v>2557</v>
      </c>
      <c r="F737" s="3396" t="s">
        <v>2558</v>
      </c>
      <c r="G737" s="3397" t="s">
        <v>2577</v>
      </c>
      <c r="H737" s="3396" t="s">
        <v>2560</v>
      </c>
      <c r="I737" s="3396" t="s">
        <v>2561</v>
      </c>
      <c r="J737" s="3398" t="s">
        <v>2562</v>
      </c>
      <c r="K737" s="2851"/>
      <c r="L737" s="2851"/>
      <c r="M737" s="2851"/>
      <c r="N737" s="2851"/>
      <c r="O737" s="2851"/>
      <c r="P737" s="2851"/>
    </row>
    <row r="738">
      <c r="A738" s="2880" t="s">
        <v>3095</v>
      </c>
      <c r="B738" s="2844">
        <v>46266</v>
      </c>
      <c r="C738" s="2875" t="str">
        <v>Tuesday</v>
      </c>
      <c r="D738" s="2881" t="s">
        <v>2600</v>
      </c>
      <c r="E738" s="2897">
        <f t="shared" ref="E738:E745" si="127">24*MOD(TIMEVALUE(TRIM(MID(D738,FIND("-",D738)+1,LEN(D738)))) - TIMEVALUE(TRIM(LEFT(D738,FIND("-",D738)-1))),1)</f>
      </c>
      <c r="F738" s="2854" t="s">
        <v>2632</v>
      </c>
      <c r="G738" s="2893"/>
      <c r="H738" s="2854" t="s">
        <v>2572</v>
      </c>
      <c r="I738" s="2943" t="s">
        <v>2528</v>
      </c>
      <c r="J738" s="2850"/>
      <c r="K738" s="2851"/>
      <c r="L738" s="2851"/>
      <c r="M738" s="2851"/>
      <c r="N738" s="2851"/>
      <c r="O738" s="2851"/>
      <c r="P738" s="2851"/>
    </row>
    <row customHeight="true" ht="18.452380952380953" r="739">
      <c r="A739" s="3394" t="s">
        <v>3096</v>
      </c>
      <c r="B739" s="3399">
        <v>46266</v>
      </c>
      <c r="C739" s="3400" t="str">
        <v>Tuesday</v>
      </c>
      <c r="D739" s="3401" t="s">
        <v>3097</v>
      </c>
      <c r="E739" s="3402">
        <f t="shared" si="127"/>
      </c>
      <c r="F739" s="3403" t="s">
        <v>2884</v>
      </c>
      <c r="G739" s="3075"/>
      <c r="H739" s="2897" t="s">
        <v>2572</v>
      </c>
      <c r="I739" s="2943" t="s">
        <v>2528</v>
      </c>
      <c r="J739" s="2850"/>
      <c r="K739" s="2851"/>
      <c r="L739" s="2851"/>
      <c r="M739" s="2851"/>
      <c r="N739" s="2851"/>
      <c r="O739" s="2851"/>
      <c r="P739" s="2851"/>
    </row>
    <row customHeight="true" ht="18.452380952380953" r="740">
      <c r="A740" s="2880" t="s">
        <v>3095</v>
      </c>
      <c r="B740" s="3002">
        <v>46267</v>
      </c>
      <c r="C740" s="2875" t="str">
        <v>Wednesday</v>
      </c>
      <c r="D740" s="2896" t="s">
        <v>2600</v>
      </c>
      <c r="E740" s="2897">
        <f t="shared" si="127"/>
      </c>
      <c r="F740" s="2854" t="s">
        <v>3098</v>
      </c>
      <c r="G740" s="3075"/>
      <c r="H740" s="2897"/>
      <c r="I740" s="2860"/>
      <c r="J740" s="3096"/>
      <c r="K740" s="2851"/>
      <c r="L740" s="2851"/>
      <c r="M740" s="2851"/>
      <c r="N740" s="2851"/>
      <c r="O740" s="2851"/>
      <c r="P740" s="2851"/>
      <c r="Q740" s="2914"/>
      <c r="R740" s="2914"/>
    </row>
    <row customHeight="true" ht="18.452380952380953" r="741">
      <c r="A741" s="2880" t="s">
        <v>3095</v>
      </c>
      <c r="B741" s="2844">
        <v>46268</v>
      </c>
      <c r="C741" s="2895" t="str">
        <v>Thursday</v>
      </c>
      <c r="D741" s="2896" t="s">
        <v>2584</v>
      </c>
      <c r="E741" s="2897">
        <f t="shared" si="127"/>
      </c>
      <c r="F741" s="2854" t="s">
        <v>3011</v>
      </c>
      <c r="G741" s="3075"/>
      <c r="H741" s="2854" t="s">
        <v>2572</v>
      </c>
      <c r="I741" s="2849" t="s">
        <v>2528</v>
      </c>
      <c r="J741" s="2850"/>
      <c r="K741" s="2851"/>
      <c r="L741" s="2851"/>
      <c r="M741" s="2851"/>
      <c r="N741" s="2851"/>
      <c r="O741" s="2851"/>
      <c r="P741" s="2851"/>
    </row>
    <row customHeight="true" ht="18.452380952380953" r="742">
      <c r="A742" s="3394" t="s">
        <v>3096</v>
      </c>
      <c r="B742" s="3399">
        <v>46268</v>
      </c>
      <c r="C742" s="3400" t="str">
        <v>Thursday</v>
      </c>
      <c r="D742" s="3401" t="s">
        <v>2584</v>
      </c>
      <c r="E742" s="3403">
        <f t="shared" si="127"/>
      </c>
      <c r="F742" s="3404" t="s">
        <v>2885</v>
      </c>
      <c r="G742" s="3078"/>
      <c r="H742" s="2854" t="s">
        <v>2572</v>
      </c>
      <c r="I742" s="2943" t="s">
        <v>2528</v>
      </c>
      <c r="J742" s="2850"/>
      <c r="K742" s="2851"/>
      <c r="L742" s="2851"/>
      <c r="M742" s="2851"/>
      <c r="N742" s="2851"/>
      <c r="O742" s="2851"/>
      <c r="P742" s="2851"/>
    </row>
    <row customHeight="true" ht="18.452380952380953" r="743">
      <c r="A743" s="2880" t="s">
        <v>3095</v>
      </c>
      <c r="B743" s="2844">
        <v>46269</v>
      </c>
      <c r="C743" s="2895" t="str">
        <v>Friday</v>
      </c>
      <c r="D743" s="2896" t="s">
        <v>2600</v>
      </c>
      <c r="E743" s="2897">
        <f t="shared" si="127"/>
      </c>
      <c r="F743" s="2854" t="s">
        <v>3098</v>
      </c>
      <c r="G743" s="3075"/>
      <c r="H743" s="2854" t="s">
        <v>2572</v>
      </c>
      <c r="I743" s="2849" t="s">
        <v>2528</v>
      </c>
      <c r="J743" s="2850"/>
      <c r="K743" s="2851"/>
      <c r="L743" s="2851"/>
      <c r="M743" s="2851"/>
      <c r="N743" s="2851"/>
      <c r="O743" s="2851"/>
      <c r="P743" s="2851"/>
    </row>
    <row customHeight="true" ht="18.452380952380953" r="744">
      <c r="A744" s="3394" t="s">
        <v>3096</v>
      </c>
      <c r="B744" s="3399">
        <v>46269</v>
      </c>
      <c r="C744" s="3400" t="str">
        <v>Friday</v>
      </c>
      <c r="D744" s="3401" t="s">
        <v>2600</v>
      </c>
      <c r="E744" s="3403">
        <f t="shared" si="127"/>
      </c>
      <c r="F744" s="3404" t="s">
        <v>2885</v>
      </c>
      <c r="G744" s="3078"/>
      <c r="H744" s="2854" t="s">
        <v>2572</v>
      </c>
      <c r="I744" s="2943" t="s">
        <v>2528</v>
      </c>
      <c r="J744" s="2850"/>
      <c r="K744" s="2851"/>
      <c r="L744" s="2851"/>
      <c r="M744" s="2851"/>
      <c r="N744" s="2851"/>
      <c r="O744" s="2851"/>
      <c r="P744" s="2851"/>
    </row>
    <row customHeight="true" ht="18.452380952380953" r="745">
      <c r="A745" s="2880" t="s">
        <v>3095</v>
      </c>
      <c r="B745" s="2844">
        <v>46270</v>
      </c>
      <c r="C745" s="2895" t="str">
        <v>Saturday</v>
      </c>
      <c r="D745" s="2896" t="s">
        <v>2584</v>
      </c>
      <c r="E745" s="2897">
        <f t="shared" si="127"/>
      </c>
      <c r="F745" s="2854" t="s">
        <v>2632</v>
      </c>
      <c r="G745" s="3075" t="s">
        <v>3091</v>
      </c>
      <c r="H745" s="2854" t="s">
        <v>2572</v>
      </c>
      <c r="I745" s="2849" t="s">
        <v>2528</v>
      </c>
      <c r="J745" s="2850"/>
      <c r="K745" s="2851"/>
      <c r="L745" s="2851"/>
      <c r="M745" s="2851"/>
      <c r="N745" s="2851"/>
      <c r="O745" s="2851"/>
      <c r="P745" s="2851"/>
    </row>
    <row r="746">
      <c r="A746" s="2880" t="s">
        <v>3095</v>
      </c>
      <c r="B746" s="2844">
        <v>46271</v>
      </c>
      <c r="C746" s="2895" t="str">
        <v>Sunday</v>
      </c>
      <c r="D746" s="2896" t="s">
        <v>2600</v>
      </c>
      <c r="E746" s="2896">
        <v>2</v>
      </c>
      <c r="F746" s="2854" t="s">
        <v>2632</v>
      </c>
      <c r="G746" s="3075"/>
      <c r="H746" s="2854" t="s">
        <v>2572</v>
      </c>
      <c r="I746" s="2849"/>
      <c r="J746" s="2850"/>
    </row>
    <row r="747">
      <c r="A747" s="3394" t="s">
        <v>3096</v>
      </c>
      <c r="B747" s="3399">
        <v>46271</v>
      </c>
      <c r="C747" s="3400" t="str">
        <v>Sunday</v>
      </c>
      <c r="D747" s="3401" t="s">
        <v>3099</v>
      </c>
      <c r="E747" s="2897">
        <f>24*MOD(TIMEVALUE(TRIM(MID(D747,FIND("-",D747)+1,LEN(D747)))) - TIMEVALUE(TRIM(LEFT(D747,FIND("-",D747)-1))),1)</f>
      </c>
      <c r="F747" s="3403" t="s">
        <v>2884</v>
      </c>
      <c r="G747" s="3078"/>
      <c r="H747" s="2854" t="s">
        <v>2572</v>
      </c>
      <c r="I747" s="2943" t="s">
        <v>2528</v>
      </c>
      <c r="J747" s="2850"/>
    </row>
    <row r="748">
      <c r="A748" s="3394"/>
      <c r="B748" s="3399"/>
      <c r="C748" s="3400"/>
      <c r="D748" s="3401"/>
      <c r="E748" s="3401"/>
      <c r="F748" s="3403"/>
      <c r="G748" s="3078"/>
      <c r="H748" s="2854"/>
      <c r="I748" s="2943"/>
      <c r="J748" s="2850"/>
    </row>
    <row r="749">
      <c r="A749" s="3405"/>
      <c r="B749" s="3002"/>
      <c r="C749" s="2895"/>
      <c r="D749" s="2896"/>
      <c r="E749" s="2896"/>
      <c r="F749" s="2897"/>
      <c r="G749" s="3078"/>
      <c r="H749" s="2854"/>
      <c r="I749" s="2943"/>
      <c r="J749" s="2850"/>
    </row>
    <row r="750">
      <c r="A750" s="3405"/>
      <c r="B750" s="3002"/>
      <c r="C750" s="2895"/>
      <c r="D750" s="2896"/>
      <c r="E750" s="2896"/>
      <c r="F750" s="2897"/>
      <c r="G750" s="3078"/>
      <c r="H750" s="2854"/>
      <c r="I750" s="2943"/>
      <c r="J750" s="2850"/>
    </row>
    <row r="751">
      <c r="A751" s="3405"/>
      <c r="B751" s="3002"/>
      <c r="C751" s="2895"/>
      <c r="D751" s="2896"/>
      <c r="E751" s="2896"/>
      <c r="F751" s="2897"/>
      <c r="G751" s="3078"/>
      <c r="H751" s="2854"/>
      <c r="I751" s="2943"/>
      <c r="J751" s="2850"/>
    </row>
    <row r="752">
      <c r="A752" s="3405"/>
      <c r="B752" s="3002"/>
      <c r="C752" s="2895"/>
      <c r="D752" s="2896"/>
      <c r="E752" s="2896"/>
      <c r="F752" s="2897"/>
      <c r="G752" s="3078"/>
      <c r="H752" s="2854"/>
      <c r="I752" s="2943"/>
      <c r="J752" s="2850"/>
    </row>
    <row r="753">
      <c r="A753" s="3405"/>
      <c r="B753" s="3002"/>
      <c r="C753" s="2895"/>
      <c r="D753" s="2896"/>
      <c r="E753" s="2896"/>
      <c r="F753" s="2897"/>
      <c r="G753" s="3078"/>
      <c r="H753" s="2854"/>
      <c r="I753" s="2943"/>
      <c r="J753" s="2850"/>
    </row>
    <row r="754">
      <c r="A754" s="3405"/>
      <c r="B754" s="3002"/>
      <c r="C754" s="2895"/>
      <c r="D754" s="2896"/>
      <c r="E754" s="2896"/>
      <c r="F754" s="2897"/>
      <c r="G754" s="3078"/>
      <c r="H754" s="2854"/>
      <c r="I754" s="2943"/>
      <c r="J754" s="2850"/>
    </row>
    <row r="755">
      <c r="A755" s="3394"/>
      <c r="B755" s="3399"/>
      <c r="C755" s="3400"/>
      <c r="D755" s="3401"/>
      <c r="E755" s="3401"/>
      <c r="F755" s="3403"/>
      <c r="G755" s="3078"/>
      <c r="H755" s="2854"/>
      <c r="I755" s="2943"/>
      <c r="J755" s="2850"/>
    </row>
  </sheetData>
  <autoFilter ref="A1:R755"/>
  <mergeCells>
    <mergeCell ref="A110:F110"/>
    <mergeCell ref="A94:F94"/>
    <mergeCell ref="B111:C111"/>
    <mergeCell ref="B95:C95"/>
    <mergeCell ref="B78:C78"/>
    <mergeCell ref="A77:F77"/>
    <mergeCell ref="B138:C138"/>
    <mergeCell ref="A121:F121"/>
    <mergeCell ref="B122:C122"/>
    <mergeCell ref="A2:J2"/>
    <mergeCell ref="A3:J3"/>
    <mergeCell ref="B20:C20"/>
    <mergeCell ref="A13:J13"/>
    <mergeCell ref="A31:I31"/>
    <mergeCell ref="A30:J30"/>
    <mergeCell ref="B32:C32"/>
    <mergeCell ref="B212:C212"/>
    <mergeCell ref="B207:C207"/>
  </mergeCells>
  <dataValidations count="4">
    <dataValidation allowBlank="true" errorStyle="stop" showErrorMessage="true" sqref="I139:I164 I167:I179 I184:I185 I188:I193 I205:I205 I213:I221 I237:I239 I309:I313 I315:I321 I323:I327 I481:I481 I624:I626 J624:J626" type="list">
      <formula1>"PENDING,YES"</formula1>
    </dataValidation>
    <dataValidation allowBlank="true" errorStyle="stop" showErrorMessage="true" sqref="I627:I627 J627:J627" type="list">
      <formula1>"PENDING,YES,Back up"</formula1>
    </dataValidation>
    <dataValidation allowBlank="true" errorStyle="stop" showErrorMessage="true" sqref="H4:H12 H14:H19 H21:H29 H33:H63 H65:H74 H79:H89 H91:H92 H96:H101 H103:H108 H112:H114 H116:H119 H123:H126 H128:H132 H134:H134 H139:H164 H167:H179 H183:H193 H196:H205 H208:H209 H213:H221 H225:H235 H237:H244 H246:H246 H255:H271 H276:H290 H292:H305 H309:H332 H335:H347 H351:H374 H379:H401 H405:H458 H462:H466 H479:H479 H484:H515 H518:H539 H544:H547 H550:H567 H570:H600 H603:H622 H624:H627 H633:H647 H650:H662 H666:H691 H703:H703" type="list">
      <formula1>"8461 Higuera Street,3619 Eastham Drive"</formula1>
    </dataValidation>
    <dataValidation allowBlank="true" errorStyle="stop" showErrorMessage="true" sqref="I4:I12 I14:I19 I21:I29 I33:I63 I65:I74 I79:I89 I91:I92 I96:I101 I103:I108 I112:I114 I116:I119 I123:I126 I128:I132 I134:I134 I183:I183 I186:I187 I196:I204 I225:I235 I240:I244 I246:I246 I255:I262 I264:I267 I269:I269 I276:I290 I292:I305 I314:I314 I322:I322 I328:I332 I335:I347 I351:I374 I379:I401 I405:I458 I462:I466 I469:I479 I484:I515 I518:I539 I544:I547 I550:I567 I570:I600 I603:I622 I633:I647 I650:I662 I666:I691 I694:I706 I708:I717 I720:I734 I737:I755" type="list">
      <formula1>"YES,PENDING"</formula1>
    </dataValidation>
  </dataValidation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23.6056338028169"/>
    <col collapsed="false" customWidth="true" hidden="false" max="11" min="11" style="0" width="26.470824949698205"/>
    <col collapsed="false" customWidth="true" hidden="false" max="15" min="15" style="0" width="11.211267605633802"/>
    <col collapsed="false" customWidth="true" hidden="false" max="3" min="3" style="0" width="14.47887323943662"/>
    <col collapsed="false" customWidth="true" hidden="false" max="8" min="8" style="0" width="22.92957746478873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4" min="4" style="0" width="21.577464788732396"/>
    <col collapsed="false" customWidth="true" hidden="false" max="5" min="5" style="0" width="14.414486921529177"/>
    <col collapsed="false" customWidth="true" hidden="false" max="9" min="9" style="0" width="15.605633802816902"/>
    <col collapsed="false" customWidth="true" hidden="false" max="13" min="13" style="0" width="11.211267605633802"/>
    <col collapsed="false" customWidth="true" hidden="false" max="1" min="1" style="0" width="29.464788732394368"/>
    <col collapsed="false" customWidth="true" hidden="false" max="6" min="6" style="0" width="25.37625754527164"/>
    <col collapsed="false" customWidth="true" hidden="false" max="10" min="10" style="0" width="47.859154929577464"/>
    <col collapsed="false" customWidth="true" hidden="false" max="14" min="14" style="0" width="11.211267605633802"/>
    <col collapsed="false" customWidth="true" hidden="false" max="2" min="2" style="0" width="14.47887323943662"/>
  </cols>
  <sheetData>
    <row r="1">
      <c r="A1" s="3406" t="s">
        <v>3100</v>
      </c>
      <c r="B1" s="3407"/>
      <c r="C1" s="3407"/>
      <c r="D1" s="3407"/>
      <c r="E1" s="3407"/>
      <c r="F1" s="3408" t="s">
        <v>3101</v>
      </c>
      <c r="G1" s="3407"/>
      <c r="H1" s="3409"/>
      <c r="I1" s="3407"/>
      <c r="J1" s="3410"/>
      <c r="K1" s="3411"/>
      <c r="L1" s="3411"/>
      <c r="M1" s="3411"/>
      <c r="N1" s="3411"/>
      <c r="O1" s="3411"/>
      <c r="P1" s="3411"/>
    </row>
    <row r="2">
      <c r="A2" s="3412"/>
      <c r="B2" s="3412"/>
      <c r="C2" s="3412"/>
      <c r="D2" s="3412"/>
      <c r="E2" s="3412"/>
      <c r="F2" s="3412"/>
      <c r="G2" s="3412"/>
      <c r="H2" s="3412"/>
      <c r="I2" s="3412"/>
      <c r="J2" s="3412"/>
      <c r="K2" s="3413"/>
      <c r="L2" s="3413"/>
      <c r="M2" s="3413"/>
      <c r="N2" s="3413"/>
      <c r="O2" s="3413"/>
      <c r="P2" s="3413"/>
    </row>
    <row customHeight="true" ht="25" r="3">
      <c r="A3" s="3414" t="s">
        <v>3102</v>
      </c>
      <c r="B3" s="3414"/>
      <c r="C3" s="3415"/>
      <c r="D3" s="3415"/>
      <c r="E3" s="3415"/>
      <c r="F3" s="3415"/>
      <c r="G3" s="3415"/>
      <c r="H3" s="3415"/>
      <c r="I3" s="3415"/>
      <c r="J3" s="3416"/>
      <c r="K3" s="3417"/>
      <c r="L3" s="3417"/>
      <c r="M3" s="3417"/>
      <c r="N3" s="3417"/>
      <c r="O3" s="3417"/>
      <c r="P3" s="3417"/>
    </row>
    <row r="4">
      <c r="A4" s="3418" t="s">
        <v>3102</v>
      </c>
      <c r="B4" s="3419">
        <v>46258</v>
      </c>
      <c r="C4" s="3420" t="str">
        <v>Monday</v>
      </c>
      <c r="D4" s="3421" t="s">
        <v>3103</v>
      </c>
      <c r="E4" s="3422">
        <v>2.5</v>
      </c>
      <c r="F4" s="3423" t="s">
        <v>3104</v>
      </c>
      <c r="G4" s="3424" t="s">
        <v>3105</v>
      </c>
      <c r="H4" s="3425" t="s">
        <v>3106</v>
      </c>
      <c r="I4" s="3425" t="s">
        <v>3107</v>
      </c>
      <c r="J4" s="3426"/>
      <c r="K4" s="3427"/>
      <c r="L4" s="3427"/>
      <c r="M4" s="3427"/>
      <c r="N4" s="3427"/>
      <c r="O4" s="3427"/>
      <c r="P4" s="3427"/>
    </row>
    <row r="5">
      <c r="A5" s="3418" t="s">
        <v>3102</v>
      </c>
      <c r="B5" s="3419">
        <v>46258</v>
      </c>
      <c r="C5" s="3428" t="s">
        <v>3108</v>
      </c>
      <c r="D5" s="3421" t="s">
        <v>3103</v>
      </c>
      <c r="E5" s="3422">
        <v>2.5</v>
      </c>
      <c r="F5" s="3423" t="s">
        <v>3109</v>
      </c>
      <c r="G5" s="3424" t="s">
        <v>3105</v>
      </c>
      <c r="H5" s="3425" t="s">
        <v>3106</v>
      </c>
      <c r="I5" s="3425" t="s">
        <v>3107</v>
      </c>
      <c r="J5" s="3426"/>
      <c r="K5" s="3427"/>
      <c r="L5" s="3427"/>
      <c r="M5" s="3427"/>
      <c r="N5" s="3427"/>
      <c r="O5" s="3427"/>
      <c r="P5" s="3427"/>
    </row>
    <row r="6">
      <c r="A6" s="3418" t="s">
        <v>3102</v>
      </c>
      <c r="B6" s="3429">
        <v>46258</v>
      </c>
      <c r="C6" s="3428" t="s">
        <v>3108</v>
      </c>
      <c r="D6" s="3421" t="s">
        <v>3103</v>
      </c>
      <c r="E6" s="3422">
        <v>2.5</v>
      </c>
      <c r="F6" s="3423" t="s">
        <v>3110</v>
      </c>
      <c r="G6" s="3424" t="s">
        <v>3105</v>
      </c>
      <c r="H6" s="3425" t="s">
        <v>3106</v>
      </c>
      <c r="I6" s="3425" t="s">
        <v>3107</v>
      </c>
      <c r="J6" s="3426"/>
      <c r="K6" s="3427"/>
      <c r="L6" s="3427"/>
      <c r="M6" s="3427"/>
      <c r="N6" s="3427"/>
      <c r="O6" s="3427"/>
      <c r="P6" s="3427"/>
    </row>
    <row customHeight="true" ht="18.452380952380953" r="7">
      <c r="A7" s="3418" t="s">
        <v>3102</v>
      </c>
      <c r="B7" s="3429">
        <v>46258</v>
      </c>
      <c r="C7" s="3428" t="s">
        <v>3108</v>
      </c>
      <c r="D7" s="3421" t="s">
        <v>3111</v>
      </c>
      <c r="E7" s="3422">
        <v>2</v>
      </c>
      <c r="F7" s="3423" t="s">
        <v>3112</v>
      </c>
      <c r="G7" s="3424" t="s">
        <v>3105</v>
      </c>
      <c r="H7" s="3425" t="s">
        <v>3106</v>
      </c>
      <c r="I7" s="3425"/>
      <c r="J7" s="3426"/>
      <c r="K7" s="3427"/>
      <c r="L7" s="3427"/>
      <c r="M7" s="3427"/>
      <c r="N7" s="3427"/>
      <c r="O7" s="3427"/>
      <c r="P7" s="3427"/>
    </row>
    <row customHeight="true" ht="18.452380952380953" r="8">
      <c r="A8" s="3418" t="s">
        <v>3102</v>
      </c>
      <c r="B8" s="3429">
        <v>46260</v>
      </c>
      <c r="C8" s="3428" t="s">
        <v>3113</v>
      </c>
      <c r="D8" s="3421" t="s">
        <v>3103</v>
      </c>
      <c r="E8" s="3422">
        <v>2.5</v>
      </c>
      <c r="F8" s="3423" t="s">
        <v>3114</v>
      </c>
      <c r="G8" s="3424" t="s">
        <v>3105</v>
      </c>
      <c r="H8" s="3425" t="s">
        <v>3106</v>
      </c>
      <c r="I8" s="3425" t="s">
        <v>3107</v>
      </c>
      <c r="J8" s="3426"/>
      <c r="K8" s="3427"/>
      <c r="L8" s="3427"/>
      <c r="M8" s="3427"/>
      <c r="N8" s="3427"/>
      <c r="O8" s="3427"/>
      <c r="P8" s="3427"/>
    </row>
    <row customHeight="true" ht="18.452380952380953" r="9">
      <c r="A9" s="3418" t="s">
        <v>3102</v>
      </c>
      <c r="B9" s="3429">
        <v>46260</v>
      </c>
      <c r="C9" s="3428" t="s">
        <v>3113</v>
      </c>
      <c r="D9" s="3421" t="s">
        <v>3103</v>
      </c>
      <c r="E9" s="3422">
        <v>2.5</v>
      </c>
      <c r="F9" s="3423"/>
      <c r="G9" s="3424"/>
      <c r="H9" s="3425"/>
      <c r="I9" s="3425"/>
      <c r="J9" s="3426"/>
      <c r="K9" s="3427"/>
      <c r="L9" s="3427"/>
      <c r="M9" s="3427"/>
      <c r="N9" s="3427"/>
      <c r="O9" s="3427"/>
      <c r="P9" s="3427"/>
    </row>
    <row customHeight="true" ht="18.452380952380953" r="10">
      <c r="A10" s="3414" t="s">
        <v>3115</v>
      </c>
      <c r="B10" s="3414"/>
      <c r="C10" s="3414"/>
      <c r="D10" s="3414"/>
      <c r="E10" s="3414"/>
      <c r="F10" s="3414"/>
      <c r="G10" s="3414"/>
      <c r="H10" s="3414"/>
      <c r="I10" s="3414"/>
      <c r="J10" s="3414"/>
      <c r="K10" s="3417"/>
      <c r="L10" s="3417"/>
      <c r="M10" s="3417"/>
      <c r="N10" s="3417"/>
      <c r="O10" s="3417"/>
      <c r="P10" s="3417"/>
    </row>
    <row customHeight="true" ht="18.452380952380953" r="11">
      <c r="A11" s="3418" t="s">
        <v>3102</v>
      </c>
      <c r="B11" s="3419">
        <v>46258</v>
      </c>
      <c r="C11" s="3430" t="s">
        <v>3108</v>
      </c>
      <c r="D11" s="3431" t="s">
        <v>3116</v>
      </c>
      <c r="E11" s="3431">
        <v>1</v>
      </c>
      <c r="F11" s="3432" t="s">
        <v>3117</v>
      </c>
      <c r="G11" s="3433" t="s">
        <v>3105</v>
      </c>
      <c r="H11" s="3434"/>
      <c r="I11" s="3434" t="s">
        <v>3107</v>
      </c>
      <c r="J11" s="3435"/>
      <c r="K11" s="3432"/>
      <c r="L11" s="3432"/>
      <c r="M11" s="3432"/>
      <c r="N11" s="3432"/>
      <c r="O11" s="3432"/>
      <c r="P11" s="3432"/>
    </row>
    <row r="12">
      <c r="A12" s="3436" t="s">
        <v>3115</v>
      </c>
      <c r="B12" s="3437">
        <v>46260</v>
      </c>
      <c r="C12" s="3419" t="s">
        <v>3118</v>
      </c>
      <c r="D12" s="3431" t="s">
        <v>3119</v>
      </c>
      <c r="E12" s="3431">
        <v>2.3333</v>
      </c>
      <c r="F12" s="3432" t="s">
        <v>3117</v>
      </c>
      <c r="G12" s="3433" t="s">
        <v>3105</v>
      </c>
      <c r="H12" s="3434"/>
      <c r="I12" s="3434" t="s">
        <v>3107</v>
      </c>
      <c r="J12" s="3435"/>
      <c r="K12" s="3432"/>
      <c r="L12" s="3432"/>
      <c r="M12" s="3432"/>
      <c r="N12" s="3432"/>
      <c r="O12" s="3432"/>
      <c r="P12" s="3432"/>
    </row>
    <row customHeight="true" ht="18.452380952380953" r="13">
      <c r="A13" s="3436" t="s">
        <v>3115</v>
      </c>
      <c r="B13" s="3429">
        <v>46262</v>
      </c>
      <c r="C13" s="3429" t="s">
        <v>3120</v>
      </c>
      <c r="D13" s="3438" t="s">
        <v>3121</v>
      </c>
      <c r="E13" s="3439">
        <v>8</v>
      </c>
      <c r="F13" s="3432" t="s">
        <v>3117</v>
      </c>
      <c r="G13" s="3440" t="s">
        <v>3105</v>
      </c>
      <c r="H13" s="3441"/>
      <c r="I13" s="3441" t="s">
        <v>3107</v>
      </c>
      <c r="J13" s="3442"/>
      <c r="K13" s="3427"/>
      <c r="L13" s="3427"/>
      <c r="M13" s="3427"/>
      <c r="N13" s="3427"/>
      <c r="O13" s="3427"/>
      <c r="P13" s="3427"/>
    </row>
    <row customHeight="true" ht="39.88095238095238" r="14">
      <c r="A14" s="3443" t="s">
        <v>3122</v>
      </c>
      <c r="B14" s="3444" t="s">
        <v>3123</v>
      </c>
      <c r="C14" s="3444"/>
      <c r="D14" s="3445" t="s">
        <v>3124</v>
      </c>
      <c r="E14" s="3446" t="s">
        <v>3125</v>
      </c>
      <c r="F14" s="3445" t="s">
        <v>3126</v>
      </c>
      <c r="G14" s="3447" t="s">
        <v>3127</v>
      </c>
      <c r="H14" s="3445" t="s">
        <v>3128</v>
      </c>
      <c r="I14" s="3445" t="s">
        <v>3129</v>
      </c>
      <c r="J14" s="3446" t="s">
        <v>3130</v>
      </c>
      <c r="K14" s="3448"/>
      <c r="L14" s="3448"/>
      <c r="M14" s="3448"/>
      <c r="N14" s="3448"/>
      <c r="O14" s="3448"/>
      <c r="P14" s="3448"/>
    </row>
    <row r="15">
      <c r="A15" s="3449" t="s">
        <v>3131</v>
      </c>
      <c r="B15" s="3428">
        <v>46261</v>
      </c>
      <c r="C15" s="3449" t="str">
        <v>Thursday</v>
      </c>
      <c r="D15" s="3450" t="s">
        <v>3132</v>
      </c>
      <c r="E15" s="3426">
        <f t="shared" ref="E15:E18" si="64">24*MOD(TIMEVALUE(TRIM(MID(D15,FIND("-",D15)+1,LEN(D15)))) - TIMEVALUE(TRIM(LEFT(D15,FIND("-",D15)-1))),1)</f>
      </c>
      <c r="F15" s="3451" t="s">
        <v>3133</v>
      </c>
      <c r="G15" s="3452"/>
      <c r="H15" s="3425"/>
      <c r="I15" s="3425" t="s">
        <v>3107</v>
      </c>
      <c r="J15" s="3453"/>
      <c r="K15" s="3427"/>
      <c r="L15" s="3427"/>
      <c r="M15" s="3427"/>
      <c r="N15" s="3427"/>
      <c r="O15" s="3427"/>
      <c r="P15" s="3427"/>
    </row>
    <row r="16">
      <c r="A16" s="3454" t="s">
        <v>3131</v>
      </c>
      <c r="B16" s="3455">
        <v>46262</v>
      </c>
      <c r="C16" s="3454" t="str">
        <v>Friday</v>
      </c>
      <c r="D16" s="3456" t="s">
        <v>3132</v>
      </c>
      <c r="E16" s="3457">
        <f t="shared" si="64"/>
      </c>
      <c r="F16" s="3458" t="s">
        <v>3133</v>
      </c>
      <c r="G16" s="3459"/>
      <c r="H16" s="3458"/>
      <c r="I16" s="3458" t="s">
        <v>3107</v>
      </c>
      <c r="J16" s="3457"/>
      <c r="K16" s="3460"/>
      <c r="L16" s="3460"/>
      <c r="M16" s="3460"/>
      <c r="N16" s="3460"/>
      <c r="O16" s="3460"/>
      <c r="P16" s="3460"/>
    </row>
    <row customHeight="true" ht="18.452380952380953" r="17">
      <c r="A17" s="3449" t="s">
        <v>3131</v>
      </c>
      <c r="B17" s="3428">
        <v>46262</v>
      </c>
      <c r="C17" s="3449" t="str">
        <v>Friday</v>
      </c>
      <c r="D17" s="3461" t="s">
        <v>3134</v>
      </c>
      <c r="E17" s="3426">
        <f t="shared" si="64"/>
      </c>
      <c r="F17" s="3451" t="s">
        <v>3135</v>
      </c>
      <c r="G17" s="3452"/>
      <c r="H17" s="3425"/>
      <c r="I17" s="3451" t="s">
        <v>3107</v>
      </c>
      <c r="J17" s="3453"/>
      <c r="K17" s="3427"/>
      <c r="L17" s="3427"/>
      <c r="M17" s="3427"/>
      <c r="N17" s="3427"/>
      <c r="O17" s="3427"/>
      <c r="P17" s="3427"/>
    </row>
    <row customHeight="true" ht="18.452380952380953" r="18">
      <c r="A18" s="3449" t="s">
        <v>3131</v>
      </c>
      <c r="B18" s="3449">
        <v>46261</v>
      </c>
      <c r="C18" s="3449" t="str">
        <v>Thursday</v>
      </c>
      <c r="D18" s="3425" t="s">
        <v>3132</v>
      </c>
      <c r="E18" s="3426">
        <f t="shared" si="64"/>
      </c>
      <c r="F18" s="3462" t="s">
        <v>3136</v>
      </c>
      <c r="G18" s="3452"/>
      <c r="H18" s="3425"/>
      <c r="I18" s="3425" t="s">
        <v>3107</v>
      </c>
      <c r="J18" s="3453"/>
      <c r="K18" s="3463"/>
      <c r="L18" s="3463"/>
      <c r="M18" s="3463"/>
      <c r="N18" s="3463"/>
      <c r="O18" s="3463"/>
      <c r="P18" s="3463"/>
    </row>
    <row customHeight="true" ht="18.452380952380953" r="19">
      <c r="A19" s="3449" t="s">
        <v>3131</v>
      </c>
      <c r="B19" s="3449">
        <v>46261</v>
      </c>
      <c r="C19" s="3449" t="str">
        <v>Thursday</v>
      </c>
      <c r="D19" s="3450" t="s">
        <v>3137</v>
      </c>
      <c r="E19" s="3422">
        <v>1.5</v>
      </c>
      <c r="F19" s="3462" t="s">
        <v>3138</v>
      </c>
      <c r="G19" s="3452"/>
      <c r="H19" s="3425"/>
      <c r="I19" s="3451"/>
      <c r="J19" s="3453"/>
      <c r="K19" s="3463"/>
      <c r="L19" s="3463"/>
      <c r="M19" s="3463"/>
      <c r="N19" s="3463"/>
      <c r="O19" s="3463"/>
      <c r="P19" s="3463"/>
    </row>
    <row customHeight="true" ht="18.452380952380953" r="20">
      <c r="A20" s="3449" t="s">
        <v>3131</v>
      </c>
      <c r="B20" s="3428">
        <v>46262</v>
      </c>
      <c r="C20" s="3449" t="str">
        <v>Friday</v>
      </c>
      <c r="D20" s="3461" t="s">
        <v>3134</v>
      </c>
      <c r="E20" s="3426">
        <f>24*MOD(TIMEVALUE(TRIM(MID(D20,FIND("-",D20)+1,LEN(D20)))) - TIMEVALUE(TRIM(LEFT(D20,FIND("-",D20)-1))),1)</f>
      </c>
      <c r="F20" s="3462" t="s">
        <v>3136</v>
      </c>
      <c r="G20" s="3452"/>
      <c r="H20" s="3425"/>
      <c r="I20" s="3425" t="s">
        <v>3107</v>
      </c>
      <c r="J20" s="3453"/>
      <c r="K20" s="3463"/>
      <c r="L20" s="3463"/>
      <c r="M20" s="3463"/>
      <c r="N20" s="3463"/>
      <c r="O20" s="3463"/>
      <c r="P20" s="3463"/>
    </row>
    <row r="21">
      <c r="A21" s="3449" t="s">
        <v>3139</v>
      </c>
      <c r="B21" s="3449">
        <v>46218</v>
      </c>
      <c r="C21" s="3449" t="str">
        <v>Wednesday</v>
      </c>
      <c r="D21" s="3425"/>
      <c r="E21" s="3426"/>
      <c r="F21" s="3464"/>
      <c r="G21" s="3452"/>
      <c r="H21" s="3425"/>
      <c r="I21" s="3425" t="s">
        <v>3140</v>
      </c>
      <c r="J21" s="3453"/>
      <c r="K21" s="3427"/>
      <c r="L21" s="3427"/>
      <c r="M21" s="3427"/>
      <c r="N21" s="3427"/>
      <c r="O21" s="3427"/>
      <c r="P21" s="3427"/>
    </row>
    <row r="22">
      <c r="A22" s="3449" t="s">
        <v>3139</v>
      </c>
      <c r="B22" s="3449">
        <v>46219</v>
      </c>
      <c r="C22" s="3449" t="str">
        <v>Thursday</v>
      </c>
      <c r="D22" s="3425"/>
      <c r="E22" s="3426"/>
      <c r="F22" s="3464"/>
      <c r="G22" s="3452"/>
      <c r="H22" s="3425"/>
      <c r="I22" s="3425" t="s">
        <v>3140</v>
      </c>
      <c r="J22" s="3453"/>
      <c r="K22" s="3427"/>
      <c r="L22" s="3427"/>
      <c r="M22" s="3427"/>
      <c r="N22" s="3427"/>
      <c r="O22" s="3427"/>
      <c r="P22" s="3427"/>
    </row>
    <row customHeight="true" ht="18.452380952380953" r="23">
      <c r="A23" s="3449" t="s">
        <v>3141</v>
      </c>
      <c r="B23" s="3428">
        <v>46258</v>
      </c>
      <c r="C23" s="3449" t="str">
        <v>Monday</v>
      </c>
      <c r="D23" s="3450" t="s">
        <v>3142</v>
      </c>
      <c r="E23" s="3426">
        <f t="shared" ref="E23:E27" si="65">24*MOD(TIMEVALUE(TRIM(MID(D23,FIND("-",D23)+1,LEN(D23)))) - TIMEVALUE(TRIM(LEFT(D23,FIND("-",D23)-1))),1)</f>
      </c>
      <c r="F23" s="3464" t="s">
        <v>3143</v>
      </c>
      <c r="G23" s="3452"/>
      <c r="H23" s="3425"/>
      <c r="I23" s="3425"/>
      <c r="J23" s="3453"/>
      <c r="K23" s="3427"/>
      <c r="L23" s="3427"/>
      <c r="M23" s="3427"/>
      <c r="N23" s="3427"/>
      <c r="O23" s="3427"/>
      <c r="P23" s="3427"/>
    </row>
    <row customHeight="true" ht="18.452380952380953" r="24">
      <c r="A24" s="3449" t="s">
        <v>3141</v>
      </c>
      <c r="B24" s="3428">
        <v>46259</v>
      </c>
      <c r="C24" s="3449" t="str">
        <v>Tuesday</v>
      </c>
      <c r="D24" s="3450" t="s">
        <v>3142</v>
      </c>
      <c r="E24" s="3426">
        <f t="shared" si="65"/>
      </c>
      <c r="F24" s="3464" t="s">
        <v>3143</v>
      </c>
      <c r="G24" s="3452"/>
      <c r="H24" s="3425"/>
      <c r="I24" s="3425"/>
      <c r="J24" s="3453"/>
      <c r="K24" s="3427"/>
      <c r="L24" s="3427"/>
      <c r="M24" s="3427"/>
      <c r="N24" s="3427"/>
      <c r="O24" s="3427"/>
      <c r="P24" s="3427"/>
    </row>
    <row customHeight="true" ht="18.452380952380953" r="25">
      <c r="A25" s="3449" t="s">
        <v>3141</v>
      </c>
      <c r="B25" s="3428">
        <v>46261</v>
      </c>
      <c r="C25" s="3449" t="str">
        <v>Thursday</v>
      </c>
      <c r="D25" s="3450" t="s">
        <v>3144</v>
      </c>
      <c r="E25" s="3426">
        <f t="shared" si="65"/>
      </c>
      <c r="F25" s="3464" t="s">
        <v>3143</v>
      </c>
      <c r="G25" s="3452"/>
      <c r="H25" s="3425"/>
      <c r="I25" s="3425"/>
      <c r="J25" s="3453"/>
      <c r="K25" s="3427"/>
      <c r="L25" s="3427"/>
      <c r="M25" s="3427"/>
      <c r="N25" s="3427"/>
      <c r="O25" s="3427"/>
      <c r="P25" s="3427"/>
    </row>
    <row customHeight="true" ht="18.452380952380953" r="26">
      <c r="A26" s="3449" t="s">
        <v>3141</v>
      </c>
      <c r="B26" s="3428">
        <v>46262</v>
      </c>
      <c r="C26" s="3449" t="str">
        <v>Friday</v>
      </c>
      <c r="D26" s="3450" t="s">
        <v>3145</v>
      </c>
      <c r="E26" s="3426">
        <f t="shared" si="65"/>
      </c>
      <c r="F26" s="3464" t="s">
        <v>3143</v>
      </c>
      <c r="G26" s="3452"/>
      <c r="H26" s="3425"/>
      <c r="I26" s="3425"/>
      <c r="J26" s="3453"/>
      <c r="K26" s="3427"/>
      <c r="L26" s="3427"/>
      <c r="M26" s="3427"/>
      <c r="N26" s="3427"/>
      <c r="O26" s="3427"/>
      <c r="P26" s="3427"/>
    </row>
    <row customHeight="true" ht="18.452380952380953" r="27">
      <c r="A27" s="3449" t="s">
        <v>3141</v>
      </c>
      <c r="B27" s="3428">
        <v>46263</v>
      </c>
      <c r="C27" s="3449" t="str">
        <v>Saturday</v>
      </c>
      <c r="D27" s="3450" t="s">
        <v>3146</v>
      </c>
      <c r="E27" s="3426">
        <f t="shared" si="65"/>
      </c>
      <c r="F27" s="3464" t="s">
        <v>3143</v>
      </c>
      <c r="G27" s="3452"/>
      <c r="H27" s="3425"/>
      <c r="I27" s="3425"/>
      <c r="J27" s="3453"/>
      <c r="K27" s="3427"/>
      <c r="L27" s="3427"/>
      <c r="M27" s="3427"/>
      <c r="N27" s="3427"/>
      <c r="O27" s="3427"/>
      <c r="P27" s="3427"/>
    </row>
    <row customHeight="true" ht="18.452380952380953" r="28">
      <c r="A28" s="3449"/>
      <c r="B28" s="3428"/>
      <c r="C28" s="3449"/>
      <c r="D28" s="3450"/>
      <c r="E28" s="3426"/>
      <c r="F28" s="3464"/>
      <c r="G28" s="3452"/>
      <c r="H28" s="3425"/>
      <c r="I28" s="3425"/>
      <c r="J28" s="3453"/>
      <c r="K28" s="3427"/>
      <c r="L28" s="3427"/>
      <c r="M28" s="3427"/>
      <c r="N28" s="3427"/>
      <c r="O28" s="3427"/>
      <c r="P28" s="3427"/>
    </row>
    <row customHeight="true" ht="18.452380952380953" r="29">
      <c r="A29" s="3449"/>
      <c r="B29" s="3449"/>
      <c r="C29" s="3449"/>
      <c r="D29" s="3425"/>
      <c r="E29" s="3426"/>
      <c r="F29" s="3464"/>
      <c r="G29" s="3452"/>
      <c r="H29" s="3425"/>
      <c r="I29" s="3425"/>
      <c r="J29" s="3453"/>
      <c r="K29" s="3427"/>
      <c r="L29" s="3427"/>
      <c r="M29" s="3427"/>
      <c r="N29" s="3427"/>
      <c r="O29" s="3427"/>
      <c r="P29" s="3427"/>
    </row>
    <row r="30">
      <c r="A30" s="3412"/>
      <c r="B30" s="3412"/>
      <c r="C30" s="3412"/>
      <c r="D30" s="3412"/>
      <c r="E30" s="3412"/>
      <c r="F30" s="3412"/>
      <c r="G30" s="3412"/>
      <c r="H30" s="3412"/>
      <c r="I30" s="3412"/>
      <c r="J30" s="3412"/>
      <c r="K30" s="3413"/>
      <c r="L30" s="3413"/>
      <c r="M30" s="3413"/>
      <c r="N30" s="3413"/>
      <c r="O30" s="3413"/>
      <c r="P30" s="3413"/>
    </row>
    <row r="31">
      <c r="A31" s="3465" t="s">
        <v>3147</v>
      </c>
      <c r="B31" s="3465"/>
      <c r="C31" s="3465"/>
      <c r="D31" s="3465"/>
      <c r="E31" s="3465"/>
      <c r="F31" s="3465"/>
      <c r="G31" s="3465"/>
      <c r="H31" s="3465"/>
      <c r="I31" s="3465"/>
      <c r="J31" s="3466"/>
      <c r="K31" s="3467"/>
      <c r="L31" s="3467"/>
      <c r="M31" s="3467"/>
      <c r="N31" s="3467"/>
      <c r="O31" s="3467"/>
      <c r="P31" s="3467"/>
    </row>
    <row r="32">
      <c r="A32" s="3468" t="s">
        <v>3122</v>
      </c>
      <c r="B32" s="3469" t="s">
        <v>3123</v>
      </c>
      <c r="C32" s="3469"/>
      <c r="D32" s="3470" t="s">
        <v>3124</v>
      </c>
      <c r="E32" s="3470" t="s">
        <v>3125</v>
      </c>
      <c r="F32" s="3470" t="s">
        <v>3126</v>
      </c>
      <c r="G32" s="3471" t="s">
        <v>3148</v>
      </c>
      <c r="H32" s="3470" t="s">
        <v>3128</v>
      </c>
      <c r="I32" s="3470" t="s">
        <v>3129</v>
      </c>
      <c r="J32" s="3472" t="s">
        <v>3130</v>
      </c>
      <c r="K32" s="3448"/>
      <c r="L32" s="3448"/>
      <c r="M32" s="3448"/>
      <c r="N32" s="3448"/>
      <c r="O32" s="3448"/>
      <c r="P32" s="3448"/>
    </row>
    <row customHeight="true" ht="18.452380952380953" r="33">
      <c r="A33" s="3449" t="s">
        <v>3149</v>
      </c>
      <c r="B33" s="3428">
        <v>46258</v>
      </c>
      <c r="C33" s="3449" t="str">
        <v>Monday</v>
      </c>
      <c r="D33" s="3421" t="s">
        <v>3150</v>
      </c>
      <c r="E33" s="3451">
        <f t="shared" ref="E33:E46" si="66">24*MOD(TIMEVALUE(TRIM(MID(D33,FIND("-",D33)+1,LEN(D33)))) - TIMEVALUE(TRIM(LEFT(D33,FIND("-",D33)-1))),1)</f>
      </c>
      <c r="F33" s="3451" t="s">
        <v>3151</v>
      </c>
      <c r="G33" s="3473" t="s">
        <v>3152</v>
      </c>
      <c r="H33" s="3474"/>
      <c r="I33" s="3451"/>
      <c r="J33" s="3453"/>
      <c r="K33" s="3427"/>
      <c r="L33" s="3427"/>
      <c r="M33" s="3427"/>
      <c r="N33" s="3427"/>
      <c r="O33" s="3427"/>
      <c r="P33" s="3427"/>
    </row>
    <row r="34">
      <c r="A34" s="3449" t="s">
        <v>3149</v>
      </c>
      <c r="B34" s="3428">
        <v>46259</v>
      </c>
      <c r="C34" s="3449" t="str">
        <v>Tuesday</v>
      </c>
      <c r="D34" s="3421" t="s">
        <v>3153</v>
      </c>
      <c r="E34" s="3451">
        <f t="shared" si="66"/>
      </c>
      <c r="F34" s="3451" t="s">
        <v>3154</v>
      </c>
      <c r="G34" s="3473" t="s">
        <v>3152</v>
      </c>
      <c r="H34" s="3474"/>
      <c r="I34" s="3451"/>
      <c r="J34" s="3453"/>
      <c r="K34" s="3427"/>
      <c r="L34" s="3427"/>
      <c r="M34" s="3427"/>
      <c r="N34" s="3427"/>
      <c r="O34" s="3427"/>
      <c r="P34" s="3427"/>
    </row>
    <row customHeight="true" ht="18.452380952380953" r="35">
      <c r="A35" s="3449" t="s">
        <v>3149</v>
      </c>
      <c r="B35" s="3428">
        <v>46260</v>
      </c>
      <c r="C35" s="3449" t="str">
        <v>Wednesday</v>
      </c>
      <c r="D35" s="3421" t="s">
        <v>3155</v>
      </c>
      <c r="E35" s="3451">
        <f t="shared" si="66"/>
      </c>
      <c r="F35" s="3451" t="s">
        <v>3154</v>
      </c>
      <c r="G35" s="3473" t="s">
        <v>3152</v>
      </c>
      <c r="H35" s="3474"/>
      <c r="I35" s="3451"/>
      <c r="J35" s="3453"/>
      <c r="K35" s="3427"/>
      <c r="L35" s="3427"/>
      <c r="M35" s="3427"/>
      <c r="N35" s="3427"/>
      <c r="O35" s="3427"/>
      <c r="P35" s="3427"/>
    </row>
    <row customHeight="true" ht="18.452380952380953" r="36">
      <c r="A36" s="3449" t="s">
        <v>3149</v>
      </c>
      <c r="B36" s="3428">
        <v>46261</v>
      </c>
      <c r="C36" s="3475" t="str">
        <v>Thursday</v>
      </c>
      <c r="D36" s="3476" t="s">
        <v>3156</v>
      </c>
      <c r="E36" s="3477">
        <f t="shared" si="66"/>
      </c>
      <c r="F36" s="3451" t="s">
        <v>3151</v>
      </c>
      <c r="G36" s="3473" t="s">
        <v>3152</v>
      </c>
      <c r="H36" s="3474"/>
      <c r="I36" s="3451"/>
      <c r="J36" s="3453"/>
      <c r="K36" s="3427"/>
      <c r="L36" s="3427"/>
      <c r="M36" s="3427"/>
      <c r="N36" s="3427"/>
      <c r="O36" s="3427"/>
      <c r="P36" s="3427"/>
    </row>
    <row customHeight="true" ht="18.452380952380953" r="37">
      <c r="A37" s="3449" t="s">
        <v>3149</v>
      </c>
      <c r="B37" s="3428">
        <v>46261</v>
      </c>
      <c r="C37" s="3475" t="str">
        <v>Thursday</v>
      </c>
      <c r="D37" s="3476" t="s">
        <v>3157</v>
      </c>
      <c r="E37" s="3477">
        <f t="shared" si="66"/>
      </c>
      <c r="F37" s="3451" t="s">
        <v>3154</v>
      </c>
      <c r="G37" s="3473" t="s">
        <v>3158</v>
      </c>
      <c r="H37" s="3474"/>
      <c r="I37" s="3451"/>
      <c r="J37" s="3453"/>
      <c r="K37" s="3427"/>
      <c r="L37" s="3427"/>
      <c r="M37" s="3427"/>
      <c r="N37" s="3427"/>
      <c r="O37" s="3427"/>
      <c r="P37" s="3427"/>
    </row>
    <row customHeight="true" ht="18.452380952380953" r="38">
      <c r="A38" s="3449" t="s">
        <v>3149</v>
      </c>
      <c r="B38" s="3428">
        <v>46261</v>
      </c>
      <c r="C38" s="3475" t="str">
        <v>Thursday</v>
      </c>
      <c r="D38" s="3476" t="s">
        <v>3159</v>
      </c>
      <c r="E38" s="3477">
        <f t="shared" si="66"/>
      </c>
      <c r="F38" s="3451" t="s">
        <v>3151</v>
      </c>
      <c r="G38" s="3473" t="s">
        <v>3152</v>
      </c>
      <c r="H38" s="3474"/>
      <c r="I38" s="3451"/>
      <c r="J38" s="3453"/>
      <c r="K38" s="3427"/>
      <c r="L38" s="3427"/>
      <c r="M38" s="3427"/>
      <c r="N38" s="3427"/>
      <c r="O38" s="3427"/>
      <c r="P38" s="3427"/>
    </row>
    <row customHeight="true" ht="18.452380952380953" r="39">
      <c r="A39" s="3449" t="s">
        <v>3149</v>
      </c>
      <c r="B39" s="3428">
        <v>46261</v>
      </c>
      <c r="C39" s="3475" t="str">
        <v>Thursday</v>
      </c>
      <c r="D39" s="3476" t="s">
        <v>3160</v>
      </c>
      <c r="E39" s="3477">
        <f t="shared" si="66"/>
      </c>
      <c r="F39" s="3451" t="s">
        <v>3154</v>
      </c>
      <c r="G39" s="3473" t="s">
        <v>3152</v>
      </c>
      <c r="H39" s="3474"/>
      <c r="I39" s="3451"/>
      <c r="J39" s="3453"/>
      <c r="K39" s="3427"/>
      <c r="L39" s="3427"/>
      <c r="M39" s="3427"/>
      <c r="N39" s="3427"/>
      <c r="O39" s="3427"/>
      <c r="P39" s="3427"/>
    </row>
    <row customHeight="true" ht="18.452380952380953" r="40">
      <c r="A40" s="3449" t="s">
        <v>3149</v>
      </c>
      <c r="B40" s="3428">
        <v>46262</v>
      </c>
      <c r="C40" s="3475" t="str">
        <v>Friday</v>
      </c>
      <c r="D40" s="3476" t="s">
        <v>3161</v>
      </c>
      <c r="E40" s="3477">
        <f t="shared" si="66"/>
      </c>
      <c r="F40" s="3451" t="s">
        <v>3154</v>
      </c>
      <c r="G40" s="3473" t="s">
        <v>3152</v>
      </c>
      <c r="H40" s="3474"/>
      <c r="I40" s="3451"/>
      <c r="J40" s="3453"/>
      <c r="K40" s="3427"/>
      <c r="L40" s="3427"/>
      <c r="M40" s="3427"/>
      <c r="N40" s="3427"/>
      <c r="O40" s="3427"/>
      <c r="P40" s="3427"/>
    </row>
    <row customHeight="true" ht="18.452380952380953" r="41">
      <c r="A41" s="3449" t="s">
        <v>3149</v>
      </c>
      <c r="B41" s="3428">
        <v>46262</v>
      </c>
      <c r="C41" s="3475" t="str">
        <v>Friday</v>
      </c>
      <c r="D41" s="3476" t="s">
        <v>3162</v>
      </c>
      <c r="E41" s="3477">
        <f t="shared" si="66"/>
      </c>
      <c r="F41" s="3451" t="s">
        <v>3151</v>
      </c>
      <c r="G41" s="3473" t="s">
        <v>3163</v>
      </c>
      <c r="H41" s="3474"/>
      <c r="I41" s="3451"/>
      <c r="J41" s="3453"/>
      <c r="K41" s="3427"/>
      <c r="L41" s="3427"/>
      <c r="M41" s="3427"/>
      <c r="N41" s="3427"/>
      <c r="O41" s="3427"/>
      <c r="P41" s="3427"/>
    </row>
    <row customHeight="true" ht="18.452380952380953" r="42">
      <c r="A42" s="3449" t="s">
        <v>3149</v>
      </c>
      <c r="B42" s="3428">
        <v>46262</v>
      </c>
      <c r="C42" s="3475" t="str">
        <v>Friday</v>
      </c>
      <c r="D42" s="3476" t="s">
        <v>3164</v>
      </c>
      <c r="E42" s="3477">
        <f t="shared" si="66"/>
      </c>
      <c r="F42" s="3451" t="s">
        <v>3154</v>
      </c>
      <c r="G42" s="3473" t="s">
        <v>3165</v>
      </c>
      <c r="H42" s="3474"/>
      <c r="I42" s="3451"/>
      <c r="J42" s="3453"/>
      <c r="K42" s="3427"/>
      <c r="L42" s="3427"/>
      <c r="M42" s="3427"/>
      <c r="N42" s="3427"/>
      <c r="O42" s="3427"/>
      <c r="P42" s="3427"/>
    </row>
    <row customHeight="true" ht="18.452380952380953" r="43">
      <c r="A43" s="3449" t="s">
        <v>3149</v>
      </c>
      <c r="B43" s="3428">
        <v>46262</v>
      </c>
      <c r="C43" s="3475" t="str">
        <v>Friday</v>
      </c>
      <c r="D43" s="3476" t="s">
        <v>3166</v>
      </c>
      <c r="E43" s="3477">
        <f t="shared" si="66"/>
      </c>
      <c r="F43" s="3451" t="s">
        <v>3151</v>
      </c>
      <c r="G43" s="3473" t="s">
        <v>3152</v>
      </c>
      <c r="H43" s="3474"/>
      <c r="I43" s="3451"/>
      <c r="J43" s="3453"/>
      <c r="K43" s="3427"/>
      <c r="L43" s="3427"/>
      <c r="M43" s="3427"/>
      <c r="N43" s="3427"/>
      <c r="O43" s="3427"/>
      <c r="P43" s="3427"/>
    </row>
    <row customHeight="true" ht="18.452380952380953" r="44">
      <c r="A44" s="3454" t="s">
        <v>3149</v>
      </c>
      <c r="B44" s="3455">
        <v>46263</v>
      </c>
      <c r="C44" s="3454" t="str">
        <v>Saturday</v>
      </c>
      <c r="D44" s="3478" t="s">
        <v>3167</v>
      </c>
      <c r="E44" s="3458">
        <f t="shared" si="66"/>
      </c>
      <c r="F44" s="3458" t="s">
        <v>3151</v>
      </c>
      <c r="G44" s="3479" t="s">
        <v>3163</v>
      </c>
      <c r="H44" s="3480"/>
      <c r="I44" s="3458"/>
      <c r="J44" s="3481" t="s">
        <v>3168</v>
      </c>
      <c r="K44" s="3427"/>
      <c r="L44" s="3427"/>
      <c r="M44" s="3427"/>
      <c r="N44" s="3427"/>
      <c r="O44" s="3427"/>
      <c r="P44" s="3427"/>
    </row>
    <row customHeight="true" ht="18.452380952380953" r="45">
      <c r="A45" s="3454" t="s">
        <v>3149</v>
      </c>
      <c r="B45" s="3455">
        <v>46263</v>
      </c>
      <c r="C45" s="3454" t="str">
        <v>Saturday</v>
      </c>
      <c r="D45" s="3478" t="s">
        <v>3169</v>
      </c>
      <c r="E45" s="3458">
        <f t="shared" si="66"/>
      </c>
      <c r="F45" s="3458" t="s">
        <v>3154</v>
      </c>
      <c r="G45" s="3479" t="s">
        <v>3163</v>
      </c>
      <c r="H45" s="3480"/>
      <c r="I45" s="3458"/>
      <c r="J45" s="3481" t="s">
        <v>3170</v>
      </c>
      <c r="K45" s="3427"/>
      <c r="L45" s="3427"/>
      <c r="M45" s="3427"/>
      <c r="N45" s="3427"/>
      <c r="O45" s="3427"/>
      <c r="P45" s="3427"/>
    </row>
    <row customHeight="true" ht="18.452380952380953" r="46">
      <c r="A46" s="3449" t="s">
        <v>3149</v>
      </c>
      <c r="B46" s="3428">
        <v>46264</v>
      </c>
      <c r="C46" s="3449" t="str">
        <v>Sunday</v>
      </c>
      <c r="D46" s="3421" t="s">
        <v>3171</v>
      </c>
      <c r="E46" s="3451">
        <f t="shared" si="66"/>
      </c>
      <c r="F46" s="3451" t="s">
        <v>3151</v>
      </c>
      <c r="G46" s="3473" t="s">
        <v>3152</v>
      </c>
      <c r="H46" s="3474"/>
      <c r="I46" s="3451"/>
      <c r="J46" s="3453"/>
      <c r="K46" s="3427"/>
      <c r="L46" s="3427"/>
      <c r="M46" s="3427"/>
      <c r="N46" s="3427"/>
      <c r="O46" s="3427"/>
      <c r="P46" s="3427"/>
    </row>
    <row customHeight="true" ht="18.452380952380953" r="47">
      <c r="A47" s="3449"/>
      <c r="B47" s="3428"/>
      <c r="C47" s="3449"/>
      <c r="D47" s="3421"/>
      <c r="E47" s="3451"/>
      <c r="F47" s="3451"/>
      <c r="G47" s="3473"/>
      <c r="H47" s="3474"/>
      <c r="I47" s="3451"/>
      <c r="J47" s="3453"/>
      <c r="K47" s="3427"/>
      <c r="L47" s="3427"/>
      <c r="M47" s="3427"/>
      <c r="N47" s="3427"/>
      <c r="O47" s="3427"/>
      <c r="P47" s="3427"/>
    </row>
    <row customHeight="true" ht="18.452380952380953" r="48">
      <c r="A48" s="3482" t="s">
        <v>3172</v>
      </c>
      <c r="B48" s="3483">
        <v>46258</v>
      </c>
      <c r="C48" s="3482" t="str">
        <v>Monday</v>
      </c>
      <c r="D48" s="3484" t="s">
        <v>3150</v>
      </c>
      <c r="E48" s="3485">
        <f t="shared" ref="E48:E59" si="67">24*MOD(TIMEVALUE(TRIM(MID(D48,FIND("-",D48)+1,LEN(D48)))) - TIMEVALUE(TRIM(LEFT(D48,FIND("-",D48)-1))),1)</f>
      </c>
      <c r="F48" s="3485" t="s">
        <v>3173</v>
      </c>
      <c r="G48" s="3486"/>
      <c r="H48" s="3485"/>
      <c r="I48" s="3485"/>
      <c r="J48" s="3487"/>
      <c r="K48" s="3488"/>
      <c r="L48" s="3488"/>
      <c r="M48" s="3488"/>
      <c r="N48" s="3488"/>
      <c r="O48" s="3488"/>
      <c r="P48" s="3488"/>
    </row>
    <row customHeight="true" ht="18.452380952380953" r="49">
      <c r="A49" s="3482" t="s">
        <v>3172</v>
      </c>
      <c r="B49" s="3483">
        <v>46259</v>
      </c>
      <c r="C49" s="3482" t="str">
        <v>Tuesday</v>
      </c>
      <c r="D49" s="3484" t="s">
        <v>3153</v>
      </c>
      <c r="E49" s="3485">
        <f t="shared" si="67"/>
      </c>
      <c r="F49" s="3485" t="s">
        <v>3173</v>
      </c>
      <c r="G49" s="3486"/>
      <c r="H49" s="3485"/>
      <c r="I49" s="3485"/>
      <c r="J49" s="3487"/>
      <c r="K49" s="3488"/>
      <c r="L49" s="3488"/>
      <c r="M49" s="3488"/>
      <c r="N49" s="3488"/>
      <c r="O49" s="3488"/>
      <c r="P49" s="3488"/>
    </row>
    <row customHeight="true" ht="18.452380952380953" r="50">
      <c r="A50" s="3482" t="s">
        <v>3172</v>
      </c>
      <c r="B50" s="3483">
        <v>46260</v>
      </c>
      <c r="C50" s="3482" t="str">
        <v>Wednesday</v>
      </c>
      <c r="D50" s="3484" t="s">
        <v>3155</v>
      </c>
      <c r="E50" s="3485">
        <f t="shared" si="67"/>
      </c>
      <c r="F50" s="3485" t="s">
        <v>3173</v>
      </c>
      <c r="G50" s="3486"/>
      <c r="H50" s="3485"/>
      <c r="I50" s="3485"/>
      <c r="J50" s="3487"/>
      <c r="K50" s="3488"/>
      <c r="L50" s="3488"/>
      <c r="M50" s="3488"/>
      <c r="N50" s="3488"/>
      <c r="O50" s="3488"/>
      <c r="P50" s="3488"/>
    </row>
    <row customHeight="true" ht="18.452380952380953" r="51">
      <c r="A51" s="3482" t="s">
        <v>3172</v>
      </c>
      <c r="B51" s="3483">
        <v>46261</v>
      </c>
      <c r="C51" s="3482" t="str">
        <v>Thursday</v>
      </c>
      <c r="D51" s="3484" t="s">
        <v>3174</v>
      </c>
      <c r="E51" s="3485">
        <f t="shared" si="67"/>
      </c>
      <c r="F51" s="3485" t="s">
        <v>3173</v>
      </c>
      <c r="G51" s="3486"/>
      <c r="H51" s="3485"/>
      <c r="I51" s="3485"/>
      <c r="J51" s="3487"/>
      <c r="K51" s="3488"/>
      <c r="L51" s="3488"/>
      <c r="M51" s="3488"/>
      <c r="N51" s="3488"/>
      <c r="O51" s="3488"/>
      <c r="P51" s="3488"/>
    </row>
    <row customHeight="true" ht="18.452380952380953" r="52">
      <c r="A52" s="3482" t="s">
        <v>3172</v>
      </c>
      <c r="B52" s="3483">
        <v>46261</v>
      </c>
      <c r="C52" s="3482" t="str">
        <v>Thursday</v>
      </c>
      <c r="D52" s="3484" t="s">
        <v>3175</v>
      </c>
      <c r="E52" s="3485">
        <f t="shared" si="67"/>
      </c>
      <c r="F52" s="3485" t="s">
        <v>3163</v>
      </c>
      <c r="G52" s="3486"/>
      <c r="H52" s="3485"/>
      <c r="I52" s="3485"/>
      <c r="J52" s="3487"/>
      <c r="K52" s="3488"/>
      <c r="L52" s="3488"/>
      <c r="M52" s="3488"/>
      <c r="N52" s="3488"/>
      <c r="O52" s="3488"/>
      <c r="P52" s="3488"/>
    </row>
    <row customHeight="true" ht="18.452380952380953" r="53">
      <c r="A53" s="3482" t="s">
        <v>3172</v>
      </c>
      <c r="B53" s="3483">
        <v>46261</v>
      </c>
      <c r="C53" s="3482" t="str">
        <v>Thursday</v>
      </c>
      <c r="D53" s="3484" t="s">
        <v>3176</v>
      </c>
      <c r="E53" s="3485">
        <f t="shared" si="67"/>
      </c>
      <c r="F53" s="3485" t="s">
        <v>3173</v>
      </c>
      <c r="G53" s="3486"/>
      <c r="H53" s="3485"/>
      <c r="I53" s="3485"/>
      <c r="J53" s="3487"/>
      <c r="K53" s="3488"/>
      <c r="L53" s="3488"/>
      <c r="M53" s="3488"/>
      <c r="N53" s="3488"/>
      <c r="O53" s="3488"/>
      <c r="P53" s="3488"/>
    </row>
    <row customHeight="true" ht="18.452380952380953" r="54">
      <c r="A54" s="3482" t="s">
        <v>3172</v>
      </c>
      <c r="B54" s="3483">
        <v>46262</v>
      </c>
      <c r="C54" s="3482" t="str">
        <v>Friday</v>
      </c>
      <c r="D54" s="3484" t="s">
        <v>3161</v>
      </c>
      <c r="E54" s="3485">
        <f t="shared" si="67"/>
      </c>
      <c r="F54" s="3485" t="s">
        <v>3173</v>
      </c>
      <c r="G54" s="3486"/>
      <c r="H54" s="3485"/>
      <c r="I54" s="3485"/>
      <c r="J54" s="3487"/>
      <c r="K54" s="3488"/>
      <c r="L54" s="3488"/>
      <c r="M54" s="3488"/>
      <c r="N54" s="3488"/>
      <c r="O54" s="3488"/>
      <c r="P54" s="3488"/>
    </row>
    <row customHeight="true" ht="18.452380952380953" r="55">
      <c r="A55" s="3482" t="s">
        <v>3172</v>
      </c>
      <c r="B55" s="3483">
        <v>46262</v>
      </c>
      <c r="C55" s="3482" t="str">
        <v>Friday</v>
      </c>
      <c r="D55" s="3484" t="s">
        <v>3177</v>
      </c>
      <c r="E55" s="3485">
        <f t="shared" si="67"/>
      </c>
      <c r="F55" s="3485" t="s">
        <v>3163</v>
      </c>
      <c r="G55" s="3486"/>
      <c r="H55" s="3485"/>
      <c r="I55" s="3485" t="s">
        <v>3107</v>
      </c>
      <c r="J55" s="3487"/>
      <c r="K55" s="3488"/>
      <c r="L55" s="3488"/>
      <c r="M55" s="3488"/>
      <c r="N55" s="3488"/>
      <c r="O55" s="3488"/>
      <c r="P55" s="3488"/>
    </row>
    <row customHeight="true" ht="18.452380952380953" r="56">
      <c r="A56" s="3482" t="s">
        <v>3172</v>
      </c>
      <c r="B56" s="3483">
        <v>46262</v>
      </c>
      <c r="C56" s="3482" t="str">
        <v>Friday</v>
      </c>
      <c r="D56" s="3484" t="s">
        <v>3178</v>
      </c>
      <c r="E56" s="3485">
        <f t="shared" si="67"/>
      </c>
      <c r="F56" s="3485" t="s">
        <v>3173</v>
      </c>
      <c r="G56" s="3486"/>
      <c r="H56" s="3485"/>
      <c r="I56" s="3485"/>
      <c r="J56" s="3487"/>
      <c r="K56" s="3488"/>
      <c r="L56" s="3488"/>
      <c r="M56" s="3488"/>
      <c r="N56" s="3488"/>
      <c r="O56" s="3488"/>
      <c r="P56" s="3488"/>
    </row>
    <row customHeight="true" ht="16.071428571428573" r="57">
      <c r="A57" s="3482" t="s">
        <v>3172</v>
      </c>
      <c r="B57" s="3483">
        <v>46263</v>
      </c>
      <c r="C57" s="3482" t="str">
        <v>Saturday</v>
      </c>
      <c r="D57" s="3484" t="s">
        <v>3179</v>
      </c>
      <c r="E57" s="3485">
        <f t="shared" si="67"/>
      </c>
      <c r="F57" s="3485" t="s">
        <v>3163</v>
      </c>
      <c r="G57" s="3489" t="s">
        <v>3180</v>
      </c>
      <c r="H57" s="3485"/>
      <c r="I57" s="3485" t="s">
        <v>3107</v>
      </c>
      <c r="J57" s="3487"/>
      <c r="K57" s="3488"/>
      <c r="L57" s="3488"/>
      <c r="M57" s="3488"/>
      <c r="N57" s="3488"/>
      <c r="O57" s="3488"/>
      <c r="P57" s="3488"/>
    </row>
    <row customHeight="true" ht="16.071428571428573" r="58">
      <c r="A58" s="3482" t="s">
        <v>3172</v>
      </c>
      <c r="B58" s="3483">
        <v>46263</v>
      </c>
      <c r="C58" s="3482" t="str">
        <v>Saturday</v>
      </c>
      <c r="D58" s="3484" t="s">
        <v>3169</v>
      </c>
      <c r="E58" s="3485">
        <f t="shared" si="67"/>
      </c>
      <c r="F58" s="3485" t="s">
        <v>3163</v>
      </c>
      <c r="G58" s="3486"/>
      <c r="H58" s="3485"/>
      <c r="I58" s="3485"/>
      <c r="J58" s="3487"/>
      <c r="K58" s="3488"/>
      <c r="L58" s="3488"/>
      <c r="M58" s="3488"/>
      <c r="N58" s="3488"/>
      <c r="O58" s="3488"/>
      <c r="P58" s="3488"/>
    </row>
    <row customHeight="true" ht="16.071428571428573" r="59">
      <c r="A59" s="3482" t="s">
        <v>3172</v>
      </c>
      <c r="B59" s="3483">
        <v>46264</v>
      </c>
      <c r="C59" s="3482" t="str">
        <v>Sunday</v>
      </c>
      <c r="D59" s="3484" t="s">
        <v>3171</v>
      </c>
      <c r="E59" s="3485">
        <f t="shared" si="67"/>
      </c>
      <c r="F59" s="3485" t="s">
        <v>3173</v>
      </c>
      <c r="G59" s="3486"/>
      <c r="H59" s="3485"/>
      <c r="I59" s="3485"/>
      <c r="J59" s="3487"/>
      <c r="K59" s="3488"/>
      <c r="L59" s="3488"/>
      <c r="M59" s="3488"/>
      <c r="N59" s="3488"/>
      <c r="O59" s="3488"/>
      <c r="P59" s="3488"/>
    </row>
    <row customHeight="true" ht="16.071428571428573" r="60">
      <c r="A60" s="3482"/>
      <c r="B60" s="3483"/>
      <c r="C60" s="3482"/>
      <c r="D60" s="3484"/>
      <c r="E60" s="3485"/>
      <c r="F60" s="3485"/>
      <c r="G60" s="3486"/>
      <c r="H60" s="3485"/>
      <c r="I60" s="3485"/>
      <c r="J60" s="3487"/>
      <c r="K60" s="3488"/>
      <c r="L60" s="3488"/>
      <c r="M60" s="3488"/>
      <c r="N60" s="3488"/>
      <c r="O60" s="3488"/>
      <c r="P60" s="3488"/>
    </row>
    <row customHeight="true" ht="16.071428571428573" r="61">
      <c r="A61" s="3482" t="s">
        <v>3181</v>
      </c>
      <c r="B61" s="3483">
        <v>46259</v>
      </c>
      <c r="C61" s="3482" t="str">
        <v>Tuesday</v>
      </c>
      <c r="D61" s="3484" t="s">
        <v>3182</v>
      </c>
      <c r="E61" s="3485">
        <f>24*MOD(TIMEVALUE(TRIM(MID(D61,FIND("-",D61)+1,LEN(D61)))) - TIMEVALUE(TRIM(LEFT(D61,FIND("-",D61)-1))),1)</f>
      </c>
      <c r="F61" s="3485" t="s">
        <v>3163</v>
      </c>
      <c r="G61" s="3486"/>
      <c r="H61" s="3485"/>
      <c r="I61" s="3485" t="s">
        <v>3107</v>
      </c>
      <c r="J61" s="3490" t="s">
        <v>3183</v>
      </c>
      <c r="K61" s="3488"/>
      <c r="L61" s="3488"/>
      <c r="M61" s="3488"/>
      <c r="N61" s="3488"/>
      <c r="O61" s="3488"/>
      <c r="P61" s="3488"/>
    </row>
    <row customHeight="true" ht="16.071428571428573" r="62">
      <c r="A62" s="3491" t="s">
        <v>3181</v>
      </c>
      <c r="B62" s="3491">
        <v>46260</v>
      </c>
      <c r="C62" s="3491" t="str">
        <v>Wednesday</v>
      </c>
      <c r="D62" s="3492" t="s">
        <v>3184</v>
      </c>
      <c r="E62" s="3492">
        <v>3</v>
      </c>
      <c r="F62" s="3485" t="s">
        <v>3163</v>
      </c>
      <c r="G62" s="3486"/>
      <c r="H62" s="3485"/>
      <c r="I62" s="3485"/>
      <c r="J62" s="3490" t="s">
        <v>3185</v>
      </c>
      <c r="K62" s="3488"/>
      <c r="L62" s="3488"/>
      <c r="M62" s="3488"/>
      <c r="N62" s="3488"/>
      <c r="O62" s="3488"/>
      <c r="P62" s="3488"/>
    </row>
    <row customHeight="true" ht="16.071428571428573" r="63">
      <c r="A63" s="3482" t="s">
        <v>3181</v>
      </c>
      <c r="B63" s="3483">
        <v>46261</v>
      </c>
      <c r="C63" s="3482" t="str">
        <v>Thursday</v>
      </c>
      <c r="D63" s="3484" t="s">
        <v>3116</v>
      </c>
      <c r="E63" s="3485">
        <f t="shared" ref="E63:E68" si="68">24*MOD(TIMEVALUE(TRIM(MID(D63,FIND("-",D63)+1,LEN(D63)))) - TIMEVALUE(TRIM(LEFT(D63,FIND("-",D63)-1))),1)</f>
      </c>
      <c r="F63" s="3485" t="s">
        <v>3163</v>
      </c>
      <c r="G63" s="3493"/>
      <c r="H63" s="3494"/>
      <c r="I63" s="3494"/>
      <c r="J63" s="3495" t="s">
        <v>3186</v>
      </c>
      <c r="K63" s="3427"/>
      <c r="L63" s="3427"/>
      <c r="M63" s="3427"/>
      <c r="N63" s="3427"/>
      <c r="O63" s="3427"/>
      <c r="P63" s="3427"/>
    </row>
    <row r="64">
      <c r="A64" s="3482" t="s">
        <v>3181</v>
      </c>
      <c r="B64" s="3483">
        <v>46261</v>
      </c>
      <c r="C64" s="3482" t="str">
        <v>Thursday</v>
      </c>
      <c r="D64" s="3484" t="s">
        <v>3187</v>
      </c>
      <c r="E64" s="3485">
        <f t="shared" si="68"/>
      </c>
      <c r="F64" s="3487" t="s">
        <v>3163</v>
      </c>
      <c r="G64" s="3496"/>
      <c r="H64" s="3496"/>
      <c r="I64" s="3496"/>
      <c r="J64" s="3497" t="s">
        <v>3188</v>
      </c>
      <c r="K64" s="3498"/>
      <c r="L64" s="3498"/>
      <c r="M64" s="3498"/>
      <c r="N64" s="3498"/>
      <c r="O64" s="3498"/>
      <c r="P64" s="3498"/>
    </row>
    <row r="65">
      <c r="A65" s="3482" t="s">
        <v>3181</v>
      </c>
      <c r="B65" s="3483">
        <v>46262</v>
      </c>
      <c r="C65" s="3482" t="str">
        <v>Friday</v>
      </c>
      <c r="D65" s="3484" t="s">
        <v>3189</v>
      </c>
      <c r="E65" s="3485">
        <f t="shared" si="68"/>
      </c>
      <c r="F65" s="3487" t="s">
        <v>3163</v>
      </c>
      <c r="G65" s="3499"/>
      <c r="H65" s="3499"/>
      <c r="I65" s="3499"/>
      <c r="J65" s="3500" t="s">
        <v>3190</v>
      </c>
      <c r="K65" s="3501"/>
    </row>
    <row customHeight="true" ht="18.452380952380953" r="66">
      <c r="A66" s="3482" t="s">
        <v>3181</v>
      </c>
      <c r="B66" s="3483">
        <v>46262</v>
      </c>
      <c r="C66" s="3482" t="str">
        <v>Friday</v>
      </c>
      <c r="D66" s="3484" t="s">
        <v>3178</v>
      </c>
      <c r="E66" s="3485">
        <f t="shared" si="68"/>
      </c>
      <c r="F66" s="3487" t="s">
        <v>3163</v>
      </c>
      <c r="G66" s="3499"/>
      <c r="H66" s="3499"/>
      <c r="I66" s="3499"/>
      <c r="J66" s="3500" t="s">
        <v>3191</v>
      </c>
      <c r="K66" s="3501"/>
    </row>
    <row customHeight="true" ht="18.452380952380953" r="67">
      <c r="A67" s="3482" t="s">
        <v>3181</v>
      </c>
      <c r="B67" s="3483">
        <v>46262</v>
      </c>
      <c r="C67" s="3482" t="str">
        <v>Friday</v>
      </c>
      <c r="D67" s="3484" t="s">
        <v>3192</v>
      </c>
      <c r="E67" s="3485">
        <f t="shared" si="68"/>
      </c>
      <c r="F67" s="3487" t="s">
        <v>3163</v>
      </c>
      <c r="G67" s="3499"/>
      <c r="H67" s="3499"/>
      <c r="I67" s="3499"/>
      <c r="J67" s="3500" t="s">
        <v>3193</v>
      </c>
      <c r="K67" s="3501"/>
    </row>
    <row customHeight="true" ht="18.452380952380953" r="68">
      <c r="A68" s="3482" t="s">
        <v>3181</v>
      </c>
      <c r="B68" s="3483">
        <v>46264</v>
      </c>
      <c r="C68" s="3482" t="str">
        <v>Sunday</v>
      </c>
      <c r="D68" s="3484" t="s">
        <v>3194</v>
      </c>
      <c r="E68" s="3485">
        <f t="shared" si="68"/>
      </c>
      <c r="F68" s="3487" t="s">
        <v>3163</v>
      </c>
      <c r="G68" s="3499"/>
      <c r="H68" s="3499"/>
      <c r="I68" s="3499"/>
      <c r="J68" s="3500" t="s">
        <v>3195</v>
      </c>
      <c r="K68" s="3501"/>
    </row>
    <row customHeight="true" ht="18.452380952380953" r="69">
      <c r="A69" s="3482"/>
      <c r="B69" s="3483"/>
      <c r="C69" s="3482"/>
      <c r="D69" s="3484"/>
      <c r="E69" s="3485"/>
      <c r="F69" s="3487"/>
      <c r="G69" s="3499"/>
      <c r="H69" s="3499"/>
      <c r="I69" s="3499"/>
      <c r="J69" s="3500"/>
      <c r="K69" s="3501"/>
    </row>
    <row customHeight="true" ht="18.452380952380953" r="70">
      <c r="A70" s="3482"/>
      <c r="B70" s="3483"/>
      <c r="C70" s="3482"/>
      <c r="D70" s="3484"/>
      <c r="E70" s="3485"/>
      <c r="F70" s="3487"/>
      <c r="G70" s="3499"/>
      <c r="H70" s="3499"/>
      <c r="I70" s="3499"/>
      <c r="J70" s="3500"/>
      <c r="K70" s="3501"/>
    </row>
    <row customHeight="true" ht="18.452380952380953" r="71">
      <c r="A71" s="3482"/>
      <c r="B71" s="3483"/>
      <c r="C71" s="3482"/>
      <c r="D71" s="3484"/>
      <c r="E71" s="3485"/>
      <c r="F71" s="3487"/>
      <c r="G71" s="3499"/>
      <c r="H71" s="3499"/>
      <c r="I71" s="3499"/>
      <c r="J71" s="3500"/>
      <c r="K71" s="3501"/>
    </row>
    <row customHeight="true" ht="16.071428571428573" r="72"/>
    <row customHeight="true" ht="16.071428571428573" r="73">
      <c r="A73" s="3501"/>
      <c r="B73" s="3501"/>
      <c r="C73" s="3501"/>
      <c r="D73" s="3501"/>
      <c r="E73" s="3501"/>
      <c r="F73" s="3501"/>
      <c r="G73" s="3501"/>
      <c r="H73" s="3501"/>
      <c r="I73" s="3501"/>
      <c r="J73" s="3501"/>
    </row>
    <row r="74">
      <c r="A74" s="3502" t="s">
        <v>3196</v>
      </c>
      <c r="B74" s="3502"/>
      <c r="C74" s="3502"/>
      <c r="D74" s="3502"/>
      <c r="E74" s="3502"/>
      <c r="F74" s="3502"/>
      <c r="G74" s="3503"/>
      <c r="H74" s="3503"/>
      <c r="I74" s="3503"/>
      <c r="J74" s="3503"/>
      <c r="K74" s="3467"/>
      <c r="L74" s="3467"/>
      <c r="M74" s="3467"/>
      <c r="N74" s="3467"/>
      <c r="O74" s="3467"/>
      <c r="P74" s="3467"/>
    </row>
    <row r="75">
      <c r="A75" s="3504" t="s">
        <v>3122</v>
      </c>
      <c r="B75" s="3505" t="s">
        <v>3123</v>
      </c>
      <c r="C75" s="3505"/>
      <c r="D75" s="3504" t="s">
        <v>3124</v>
      </c>
      <c r="E75" s="3504" t="s">
        <v>3125</v>
      </c>
      <c r="F75" s="3504" t="s">
        <v>3126</v>
      </c>
      <c r="G75" s="3506" t="s">
        <v>3148</v>
      </c>
      <c r="H75" s="3504" t="s">
        <v>3128</v>
      </c>
      <c r="I75" s="3504" t="s">
        <v>3129</v>
      </c>
      <c r="J75" s="3504" t="s">
        <v>3130</v>
      </c>
      <c r="K75" s="3448"/>
      <c r="L75" s="3448"/>
      <c r="M75" s="3448"/>
      <c r="N75" s="3448"/>
      <c r="O75" s="3448"/>
      <c r="P75" s="3448"/>
    </row>
    <row r="76">
      <c r="A76" s="3436" t="s">
        <v>3196</v>
      </c>
      <c r="B76" s="3437">
        <v>46260</v>
      </c>
      <c r="C76" s="3436" t="str">
        <v>Wednesday</v>
      </c>
      <c r="D76" s="3507" t="s">
        <v>3197</v>
      </c>
      <c r="E76" s="3508">
        <f t="shared" ref="E76:E81" si="69">24*MOD(TIMEVALUE(TRIM(MID(D76,FIND("-",D76)+1,LEN(D76)))) - TIMEVALUE(TRIM(LEFT(D76,FIND("-",D76)-1))),1)</f>
      </c>
      <c r="F76" s="3509" t="s">
        <v>3133</v>
      </c>
      <c r="G76" s="3510"/>
      <c r="H76" s="3508" t="s">
        <v>3198</v>
      </c>
      <c r="I76" s="3508" t="s">
        <v>3107</v>
      </c>
      <c r="J76" s="3511" t="s">
        <v>3199</v>
      </c>
      <c r="K76" s="3427"/>
      <c r="L76" s="3427"/>
      <c r="M76" s="3427"/>
      <c r="N76" s="3427"/>
      <c r="O76" s="3427"/>
      <c r="P76" s="3427"/>
    </row>
    <row r="77">
      <c r="A77" s="3418" t="s">
        <v>3196</v>
      </c>
      <c r="B77" s="3419">
        <v>46261</v>
      </c>
      <c r="C77" s="3418" t="str">
        <v>Thursday</v>
      </c>
      <c r="D77" s="3512" t="s">
        <v>3200</v>
      </c>
      <c r="E77" s="3435">
        <f t="shared" si="69"/>
      </c>
      <c r="F77" s="3435" t="s">
        <v>3201</v>
      </c>
      <c r="G77" s="3433" t="s">
        <v>3202</v>
      </c>
      <c r="H77" s="3435" t="s">
        <v>3198</v>
      </c>
      <c r="I77" s="3435" t="s">
        <v>3107</v>
      </c>
      <c r="J77" s="3513" t="s">
        <v>3199</v>
      </c>
      <c r="K77" s="3427"/>
      <c r="L77" s="3427"/>
      <c r="M77" s="3427"/>
      <c r="N77" s="3427"/>
      <c r="O77" s="3427"/>
      <c r="P77" s="3427"/>
    </row>
    <row r="78">
      <c r="A78" s="3418" t="s">
        <v>3196</v>
      </c>
      <c r="B78" s="3419">
        <v>46262</v>
      </c>
      <c r="C78" s="3418" t="str">
        <v>Friday</v>
      </c>
      <c r="D78" s="3512" t="s">
        <v>3200</v>
      </c>
      <c r="E78" s="3435">
        <f t="shared" si="69"/>
      </c>
      <c r="F78" s="3435" t="s">
        <v>3201</v>
      </c>
      <c r="G78" s="3433" t="s">
        <v>3202</v>
      </c>
      <c r="H78" s="3435" t="s">
        <v>3198</v>
      </c>
      <c r="I78" s="3435" t="s">
        <v>3107</v>
      </c>
      <c r="J78" s="3513" t="s">
        <v>3199</v>
      </c>
      <c r="K78" s="3427"/>
      <c r="L78" s="3427"/>
      <c r="M78" s="3427"/>
      <c r="N78" s="3427"/>
      <c r="O78" s="3427"/>
      <c r="P78" s="3427"/>
    </row>
    <row customHeight="true" ht="18.452380952380953" r="79">
      <c r="A79" s="3418" t="s">
        <v>3196</v>
      </c>
      <c r="B79" s="3419">
        <v>46263</v>
      </c>
      <c r="C79" s="3418" t="str">
        <v>Saturday</v>
      </c>
      <c r="D79" s="3512" t="s">
        <v>3200</v>
      </c>
      <c r="E79" s="3435">
        <f t="shared" si="69"/>
      </c>
      <c r="F79" s="3435" t="s">
        <v>3201</v>
      </c>
      <c r="G79" s="3433" t="s">
        <v>3202</v>
      </c>
      <c r="H79" s="3435" t="s">
        <v>3198</v>
      </c>
      <c r="I79" s="3435" t="s">
        <v>3107</v>
      </c>
      <c r="J79" s="3513" t="s">
        <v>3199</v>
      </c>
      <c r="K79" s="3427"/>
      <c r="L79" s="3427"/>
      <c r="M79" s="3427"/>
      <c r="N79" s="3427"/>
      <c r="O79" s="3427"/>
      <c r="P79" s="3427"/>
    </row>
    <row r="80">
      <c r="A80" s="3418" t="s">
        <v>3196</v>
      </c>
      <c r="B80" s="3419">
        <v>46264</v>
      </c>
      <c r="C80" s="3418" t="str">
        <v>Sunday</v>
      </c>
      <c r="D80" s="3512" t="s">
        <v>3203</v>
      </c>
      <c r="E80" s="3435">
        <f t="shared" si="69"/>
      </c>
      <c r="F80" s="3435" t="s">
        <v>3201</v>
      </c>
      <c r="G80" s="3433" t="s">
        <v>3204</v>
      </c>
      <c r="H80" s="3435" t="s">
        <v>3198</v>
      </c>
      <c r="I80" s="3435" t="s">
        <v>3107</v>
      </c>
      <c r="J80" s="3513" t="s">
        <v>3199</v>
      </c>
      <c r="K80" s="3427"/>
      <c r="L80" s="3427"/>
      <c r="M80" s="3427"/>
      <c r="N80" s="3427"/>
      <c r="O80" s="3427"/>
      <c r="P80" s="3427"/>
    </row>
    <row r="81">
      <c r="A81" s="3418" t="s">
        <v>3196</v>
      </c>
      <c r="B81" s="3419">
        <v>46264</v>
      </c>
      <c r="C81" s="3418" t="str">
        <v>Sunday</v>
      </c>
      <c r="D81" s="3512" t="s">
        <v>3205</v>
      </c>
      <c r="E81" s="3435">
        <f t="shared" si="69"/>
      </c>
      <c r="F81" s="3435" t="s">
        <v>3206</v>
      </c>
      <c r="G81" s="3433" t="s">
        <v>3207</v>
      </c>
      <c r="H81" s="3435" t="s">
        <v>3198</v>
      </c>
      <c r="I81" s="3435" t="s">
        <v>3107</v>
      </c>
      <c r="J81" s="3513" t="s">
        <v>3199</v>
      </c>
      <c r="K81" s="3427"/>
      <c r="L81" s="3427"/>
      <c r="M81" s="3427"/>
      <c r="N81" s="3427"/>
      <c r="O81" s="3427"/>
      <c r="P81" s="3427"/>
    </row>
    <row customHeight="true" ht="14.880952380952381" r="82"/>
    <row customHeight="true" ht="18.452380952380953" r="83">
      <c r="A83" s="3418" t="s">
        <v>3208</v>
      </c>
      <c r="B83" s="3419">
        <v>46260</v>
      </c>
      <c r="C83" s="3418" t="str">
        <v>Wednesday</v>
      </c>
      <c r="D83" s="3512" t="s">
        <v>3209</v>
      </c>
      <c r="E83" s="3435">
        <f>24*MOD(TIMEVALUE(TRIM(MID(D83,FIND("-",D83)+1,LEN(D83)))) - TIMEVALUE(TRIM(LEFT(D83,FIND("-",D83)-1))),1)</f>
      </c>
      <c r="F83" s="3514" t="s">
        <v>3210</v>
      </c>
      <c r="G83" s="3433"/>
      <c r="H83" s="3435" t="s">
        <v>3198</v>
      </c>
      <c r="I83" s="3435" t="s">
        <v>3107</v>
      </c>
      <c r="J83" s="3513"/>
      <c r="K83" s="3427"/>
      <c r="L83" s="3427"/>
      <c r="M83" s="3427"/>
      <c r="N83" s="3427"/>
      <c r="O83" s="3427"/>
      <c r="P83" s="3427"/>
    </row>
    <row customHeight="true" ht="14.880952380952381" r="84">
      <c r="J84" s="3501"/>
      <c r="K84" s="3515"/>
      <c r="L84" s="3515"/>
      <c r="M84" s="3515"/>
      <c r="N84" s="3515"/>
      <c r="O84" s="3515"/>
      <c r="P84" s="3515"/>
    </row>
    <row r="85">
      <c r="A85" s="3516" t="s">
        <v>3211</v>
      </c>
      <c r="B85" s="3517"/>
      <c r="C85" s="3517"/>
      <c r="D85" s="3517"/>
      <c r="E85" s="3517"/>
      <c r="F85" s="3517"/>
      <c r="G85" s="3518"/>
      <c r="H85" s="3518"/>
      <c r="I85" s="3518"/>
      <c r="J85" s="3519"/>
      <c r="K85" s="3467"/>
      <c r="L85" s="3467"/>
      <c r="M85" s="3467"/>
      <c r="N85" s="3467"/>
      <c r="O85" s="3467"/>
      <c r="P85" s="3467"/>
    </row>
    <row r="86">
      <c r="A86" s="3520" t="s">
        <v>3122</v>
      </c>
      <c r="B86" s="3521" t="s">
        <v>3123</v>
      </c>
      <c r="C86" s="3521"/>
      <c r="D86" s="3520" t="s">
        <v>3124</v>
      </c>
      <c r="E86" s="3520" t="s">
        <v>3125</v>
      </c>
      <c r="F86" s="3520" t="s">
        <v>3126</v>
      </c>
      <c r="G86" s="3522" t="s">
        <v>3148</v>
      </c>
      <c r="H86" s="3520" t="s">
        <v>3128</v>
      </c>
      <c r="I86" s="3520" t="s">
        <v>3129</v>
      </c>
      <c r="J86" s="3523" t="s">
        <v>3130</v>
      </c>
      <c r="K86" s="3448"/>
      <c r="L86" s="3448"/>
      <c r="M86" s="3448"/>
      <c r="N86" s="3448"/>
      <c r="O86" s="3448"/>
      <c r="P86" s="3448"/>
    </row>
    <row customHeight="true" ht="18.452380952380953" r="87">
      <c r="A87" s="3418" t="s">
        <v>3211</v>
      </c>
      <c r="B87" s="3419">
        <v>46258</v>
      </c>
      <c r="C87" s="3418" t="str">
        <v>Monday</v>
      </c>
      <c r="D87" s="3512" t="s">
        <v>3212</v>
      </c>
      <c r="E87" s="3435">
        <f t="shared" ref="E87:E91" si="70">24*MOD(TIMEVALUE(TRIM(MID(D87,FIND("-",D87)+1,LEN(D87)))) - TIMEVALUE(TRIM(LEFT(D87,FIND("-",D87)-1))),1)</f>
      </c>
      <c r="F87" s="3435" t="s">
        <v>3213</v>
      </c>
      <c r="G87" s="3433" t="s">
        <v>3214</v>
      </c>
      <c r="H87" s="3435" t="s">
        <v>3198</v>
      </c>
      <c r="I87" s="3435" t="s">
        <v>3107</v>
      </c>
      <c r="J87" s="3513" t="s">
        <v>3215</v>
      </c>
      <c r="K87" s="3427"/>
      <c r="L87" s="3427"/>
      <c r="M87" s="3427"/>
      <c r="N87" s="3427"/>
      <c r="O87" s="3427"/>
      <c r="P87" s="3427"/>
    </row>
    <row customHeight="true" ht="18.452380952380953" r="88">
      <c r="A88" s="3418" t="s">
        <v>3211</v>
      </c>
      <c r="B88" s="3419">
        <v>46259</v>
      </c>
      <c r="C88" s="3418" t="str">
        <v>Tuesday</v>
      </c>
      <c r="D88" s="3512" t="s">
        <v>3216</v>
      </c>
      <c r="E88" s="3435">
        <f t="shared" si="70"/>
      </c>
      <c r="F88" s="3435" t="s">
        <v>3217</v>
      </c>
      <c r="G88" s="3433" t="s">
        <v>3218</v>
      </c>
      <c r="H88" s="3435" t="s">
        <v>3198</v>
      </c>
      <c r="I88" s="3435" t="s">
        <v>3107</v>
      </c>
      <c r="J88" s="3513" t="s">
        <v>3215</v>
      </c>
      <c r="K88" s="3427"/>
      <c r="L88" s="3427"/>
      <c r="M88" s="3427"/>
      <c r="N88" s="3427"/>
      <c r="O88" s="3427"/>
      <c r="P88" s="3427"/>
    </row>
    <row customHeight="true" ht="18.452380952380953" r="89">
      <c r="A89" s="3418" t="s">
        <v>3211</v>
      </c>
      <c r="B89" s="3419">
        <v>46261</v>
      </c>
      <c r="C89" s="3418" t="str">
        <v>Thursday</v>
      </c>
      <c r="D89" s="3512" t="s">
        <v>3219</v>
      </c>
      <c r="E89" s="3435">
        <f t="shared" si="70"/>
      </c>
      <c r="F89" s="3435" t="s">
        <v>3213</v>
      </c>
      <c r="G89" s="3433" t="s">
        <v>3220</v>
      </c>
      <c r="H89" s="3435" t="s">
        <v>3198</v>
      </c>
      <c r="I89" s="3435" t="s">
        <v>3107</v>
      </c>
      <c r="J89" s="3513" t="s">
        <v>3199</v>
      </c>
      <c r="K89" s="3427"/>
      <c r="L89" s="3427"/>
      <c r="M89" s="3427"/>
      <c r="N89" s="3427"/>
      <c r="O89" s="3427"/>
      <c r="P89" s="3427"/>
    </row>
    <row customHeight="true" ht="18.452380952380953" r="90">
      <c r="A90" s="3418" t="s">
        <v>3211</v>
      </c>
      <c r="B90" s="3419">
        <v>46262</v>
      </c>
      <c r="C90" s="3418" t="str">
        <v>Friday</v>
      </c>
      <c r="D90" s="3512" t="s">
        <v>3221</v>
      </c>
      <c r="E90" s="3435">
        <f t="shared" si="70"/>
      </c>
      <c r="F90" s="3435" t="s">
        <v>3222</v>
      </c>
      <c r="G90" s="3433" t="s">
        <v>3223</v>
      </c>
      <c r="H90" s="3435" t="s">
        <v>3198</v>
      </c>
      <c r="I90" s="3435" t="s">
        <v>3107</v>
      </c>
      <c r="J90" s="3513" t="s">
        <v>3199</v>
      </c>
      <c r="K90" s="3427"/>
      <c r="L90" s="3427"/>
      <c r="M90" s="3427"/>
      <c r="N90" s="3427"/>
      <c r="O90" s="3427"/>
      <c r="P90" s="3427"/>
    </row>
    <row customHeight="true" ht="18.452380952380953" r="91">
      <c r="A91" s="3418" t="s">
        <v>3211</v>
      </c>
      <c r="B91" s="3419">
        <v>46263</v>
      </c>
      <c r="C91" s="3418" t="str">
        <v>Saturday</v>
      </c>
      <c r="D91" s="3512" t="s">
        <v>3212</v>
      </c>
      <c r="E91" s="3435">
        <f t="shared" si="70"/>
      </c>
      <c r="F91" s="3435" t="s">
        <v>3224</v>
      </c>
      <c r="G91" s="3433" t="s">
        <v>3225</v>
      </c>
      <c r="H91" s="3435" t="s">
        <v>3198</v>
      </c>
      <c r="I91" s="3435" t="s">
        <v>3107</v>
      </c>
      <c r="J91" s="3513" t="s">
        <v>3199</v>
      </c>
      <c r="K91" s="3427"/>
      <c r="L91" s="3427"/>
      <c r="M91" s="3427"/>
      <c r="N91" s="3427"/>
      <c r="O91" s="3427"/>
      <c r="P91" s="3427"/>
    </row>
    <row customHeight="true" ht="14.880952380952381" r="92"/>
    <row customHeight="true" ht="18.452380952380953" r="93">
      <c r="A93" s="3418" t="s">
        <v>3226</v>
      </c>
      <c r="B93" s="3419">
        <v>46258</v>
      </c>
      <c r="C93" s="3418" t="str">
        <v>Monday</v>
      </c>
      <c r="D93" s="3512" t="s">
        <v>3212</v>
      </c>
      <c r="E93" s="3435">
        <f t="shared" ref="E93:E97" si="71">24*MOD(TIMEVALUE(TRIM(MID(D93,FIND("-",D93)+1,LEN(D93)))) - TIMEVALUE(TRIM(LEFT(D93,FIND("-",D93)-1))),1)</f>
      </c>
      <c r="F93" s="3435" t="s">
        <v>3227</v>
      </c>
      <c r="G93" s="3433"/>
      <c r="H93" s="3435" t="s">
        <v>3198</v>
      </c>
      <c r="I93" s="3435" t="s">
        <v>3107</v>
      </c>
      <c r="J93" s="3513"/>
      <c r="K93" s="3427"/>
      <c r="L93" s="3427"/>
      <c r="M93" s="3427"/>
      <c r="N93" s="3427"/>
      <c r="O93" s="3427"/>
      <c r="P93" s="3427"/>
    </row>
    <row customHeight="true" ht="18.452380952380953" r="94">
      <c r="A94" s="3418" t="s">
        <v>3226</v>
      </c>
      <c r="B94" s="3419">
        <v>46259</v>
      </c>
      <c r="C94" s="3418" t="str">
        <v>Tuesday</v>
      </c>
      <c r="D94" s="3512" t="s">
        <v>3228</v>
      </c>
      <c r="E94" s="3435">
        <f t="shared" si="71"/>
      </c>
      <c r="F94" s="3514" t="s">
        <v>3163</v>
      </c>
      <c r="G94" s="3433" t="s">
        <v>3229</v>
      </c>
      <c r="H94" s="3435" t="s">
        <v>3198</v>
      </c>
      <c r="I94" s="3435" t="s">
        <v>3107</v>
      </c>
      <c r="J94" s="3513"/>
      <c r="K94" s="3427"/>
      <c r="L94" s="3427"/>
      <c r="M94" s="3427"/>
      <c r="N94" s="3427"/>
      <c r="O94" s="3427"/>
      <c r="P94" s="3427"/>
    </row>
    <row customHeight="true" ht="18.452380952380953" r="95">
      <c r="A95" s="3418" t="s">
        <v>3226</v>
      </c>
      <c r="B95" s="3419">
        <v>46261</v>
      </c>
      <c r="C95" s="3418" t="str">
        <v>Thursday</v>
      </c>
      <c r="D95" s="3512" t="s">
        <v>3219</v>
      </c>
      <c r="E95" s="3435">
        <f t="shared" si="71"/>
      </c>
      <c r="F95" s="3514" t="s">
        <v>3220</v>
      </c>
      <c r="G95" s="3433"/>
      <c r="H95" s="3435" t="s">
        <v>3198</v>
      </c>
      <c r="I95" s="3435" t="s">
        <v>3107</v>
      </c>
      <c r="J95" s="3513"/>
      <c r="K95" s="3427"/>
      <c r="L95" s="3427"/>
      <c r="M95" s="3427"/>
      <c r="N95" s="3427"/>
      <c r="O95" s="3427"/>
      <c r="P95" s="3427"/>
    </row>
    <row customHeight="true" ht="18.452380952380953" r="96">
      <c r="A96" s="3418" t="s">
        <v>3226</v>
      </c>
      <c r="B96" s="3419">
        <v>46262</v>
      </c>
      <c r="C96" s="3418" t="str">
        <v>Friday</v>
      </c>
      <c r="D96" s="3512" t="s">
        <v>3230</v>
      </c>
      <c r="E96" s="3435">
        <f t="shared" si="71"/>
      </c>
      <c r="F96" s="3514" t="s">
        <v>3163</v>
      </c>
      <c r="G96" s="3433"/>
      <c r="H96" s="3435" t="s">
        <v>3198</v>
      </c>
      <c r="I96" s="3435" t="s">
        <v>3107</v>
      </c>
      <c r="J96" s="3513"/>
      <c r="K96" s="3427"/>
      <c r="L96" s="3427"/>
      <c r="M96" s="3427"/>
      <c r="N96" s="3427"/>
      <c r="O96" s="3427"/>
      <c r="P96" s="3427"/>
    </row>
    <row customHeight="true" ht="18.452380952380953" r="97">
      <c r="A97" s="3418" t="s">
        <v>3226</v>
      </c>
      <c r="B97" s="3419">
        <v>46263</v>
      </c>
      <c r="C97" s="3418" t="str">
        <v>Saturday</v>
      </c>
      <c r="D97" s="3512" t="s">
        <v>3231</v>
      </c>
      <c r="E97" s="3435">
        <f t="shared" si="71"/>
      </c>
      <c r="F97" s="3435" t="s">
        <v>3227</v>
      </c>
      <c r="G97" s="3433"/>
      <c r="H97" s="3435" t="s">
        <v>3198</v>
      </c>
      <c r="I97" s="3435" t="s">
        <v>3107</v>
      </c>
      <c r="J97" s="3513"/>
      <c r="K97" s="3427"/>
      <c r="L97" s="3427"/>
      <c r="M97" s="3427"/>
      <c r="N97" s="3427"/>
      <c r="O97" s="3427"/>
      <c r="P97" s="3427"/>
    </row>
    <row customHeight="true" ht="16.071428571428573" r="98">
      <c r="J98" s="3501"/>
      <c r="K98" s="3515"/>
      <c r="L98" s="3515"/>
      <c r="M98" s="3515"/>
      <c r="N98" s="3515"/>
      <c r="O98" s="3515"/>
      <c r="P98" s="3515"/>
    </row>
    <row r="99">
      <c r="A99" s="3524" t="s">
        <v>3232</v>
      </c>
      <c r="B99" s="3524"/>
      <c r="C99" s="3524"/>
      <c r="D99" s="3524"/>
      <c r="E99" s="3524"/>
      <c r="F99" s="3524"/>
      <c r="G99" s="3525"/>
      <c r="H99" s="3525"/>
      <c r="I99" s="3525"/>
      <c r="J99" s="3526"/>
      <c r="K99" s="3467"/>
      <c r="L99" s="3467"/>
      <c r="M99" s="3467"/>
      <c r="N99" s="3467"/>
      <c r="O99" s="3467"/>
      <c r="P99" s="3467"/>
    </row>
    <row r="100">
      <c r="A100" s="3527" t="s">
        <v>3122</v>
      </c>
      <c r="B100" s="3528" t="s">
        <v>3123</v>
      </c>
      <c r="C100" s="3528"/>
      <c r="D100" s="3527" t="s">
        <v>3124</v>
      </c>
      <c r="E100" s="3527" t="s">
        <v>3125</v>
      </c>
      <c r="F100" s="3527" t="s">
        <v>3126</v>
      </c>
      <c r="G100" s="3529" t="s">
        <v>3148</v>
      </c>
      <c r="H100" s="3527" t="s">
        <v>3128</v>
      </c>
      <c r="I100" s="3527" t="s">
        <v>3129</v>
      </c>
      <c r="J100" s="3530" t="s">
        <v>3130</v>
      </c>
      <c r="K100" s="3448"/>
      <c r="L100" s="3531" t="s">
        <v>3101</v>
      </c>
      <c r="M100" s="3448"/>
      <c r="N100" s="3448"/>
      <c r="O100" s="3448"/>
      <c r="P100" s="3448"/>
    </row>
    <row customHeight="true" ht="18.452380952380953" r="101">
      <c r="A101" s="3418" t="s">
        <v>3232</v>
      </c>
      <c r="B101" s="3419">
        <v>46261</v>
      </c>
      <c r="C101" s="3418" t="str">
        <v>Thursday</v>
      </c>
      <c r="D101" s="3512" t="s">
        <v>3233</v>
      </c>
      <c r="E101" s="3435">
        <f t="shared" ref="E101:E104" si="72">24*MOD(TIMEVALUE(TRIM(MID(D101,FIND("-",D101)+1,LEN(D101)))) - TIMEVALUE(TRIM(LEFT(D101,FIND("-",D101)-1))),1)</f>
      </c>
      <c r="F101" s="3435" t="s">
        <v>3224</v>
      </c>
      <c r="G101" s="3433" t="s">
        <v>3223</v>
      </c>
      <c r="H101" s="3435" t="s">
        <v>3198</v>
      </c>
      <c r="I101" s="3435" t="s">
        <v>3107</v>
      </c>
      <c r="J101" s="3513" t="s">
        <v>3215</v>
      </c>
      <c r="K101" s="3427"/>
      <c r="L101" s="3427"/>
      <c r="M101" s="3427"/>
      <c r="N101" s="3427"/>
      <c r="O101" s="3427"/>
      <c r="P101" s="3427"/>
    </row>
    <row r="102">
      <c r="A102" s="3418" t="s">
        <v>3232</v>
      </c>
      <c r="B102" s="3419">
        <v>46262</v>
      </c>
      <c r="C102" s="3418" t="str">
        <v>Friday</v>
      </c>
      <c r="D102" s="3512" t="s">
        <v>3234</v>
      </c>
      <c r="E102" s="3435">
        <f t="shared" si="72"/>
      </c>
      <c r="F102" s="3435" t="s">
        <v>3222</v>
      </c>
      <c r="G102" s="3433" t="s">
        <v>3235</v>
      </c>
      <c r="H102" s="3435" t="s">
        <v>3198</v>
      </c>
      <c r="I102" s="3435" t="s">
        <v>3107</v>
      </c>
      <c r="J102" s="3513" t="s">
        <v>3215</v>
      </c>
      <c r="K102" s="3427"/>
      <c r="L102" s="3427"/>
      <c r="M102" s="3427"/>
      <c r="N102" s="3427"/>
      <c r="O102" s="3427"/>
      <c r="P102" s="3427"/>
    </row>
    <row r="103">
      <c r="A103" s="3418" t="s">
        <v>3232</v>
      </c>
      <c r="B103" s="3419">
        <v>46263</v>
      </c>
      <c r="C103" s="3418" t="str">
        <v>Saturday</v>
      </c>
      <c r="D103" s="3512" t="s">
        <v>3236</v>
      </c>
      <c r="E103" s="3435">
        <f t="shared" si="72"/>
      </c>
      <c r="F103" s="3435" t="s">
        <v>3224</v>
      </c>
      <c r="G103" s="3433" t="s">
        <v>3210</v>
      </c>
      <c r="H103" s="3435" t="s">
        <v>3198</v>
      </c>
      <c r="I103" s="3435" t="s">
        <v>3107</v>
      </c>
      <c r="J103" s="3513" t="s">
        <v>3215</v>
      </c>
      <c r="K103" s="3427"/>
      <c r="L103" s="3427"/>
      <c r="M103" s="3427"/>
      <c r="N103" s="3427"/>
      <c r="O103" s="3427"/>
      <c r="P103" s="3427"/>
    </row>
    <row customHeight="true" ht="18.452380952380953" r="104">
      <c r="A104" s="3418" t="s">
        <v>3232</v>
      </c>
      <c r="B104" s="3419">
        <v>46264</v>
      </c>
      <c r="C104" s="3418" t="str">
        <v>Sunday</v>
      </c>
      <c r="D104" s="3512" t="s">
        <v>3237</v>
      </c>
      <c r="E104" s="3435">
        <f t="shared" si="72"/>
      </c>
      <c r="F104" s="3435" t="s">
        <v>3222</v>
      </c>
      <c r="G104" s="3433" t="s">
        <v>3223</v>
      </c>
      <c r="H104" s="3435" t="s">
        <v>3198</v>
      </c>
      <c r="I104" s="3435" t="s">
        <v>3107</v>
      </c>
      <c r="J104" s="3513" t="s">
        <v>3215</v>
      </c>
      <c r="K104" s="3427"/>
      <c r="L104" s="3427"/>
      <c r="M104" s="3427"/>
      <c r="N104" s="3427"/>
      <c r="O104" s="3427"/>
      <c r="P104" s="3427"/>
    </row>
    <row customHeight="true" ht="14.880952380952381" r="105"/>
    <row customHeight="true" ht="18.452380952380953" r="106">
      <c r="A106" s="3418" t="s">
        <v>3238</v>
      </c>
      <c r="B106" s="3419">
        <v>46261</v>
      </c>
      <c r="C106" s="3418" t="str">
        <v>Thursday</v>
      </c>
      <c r="D106" s="3512" t="s">
        <v>3239</v>
      </c>
      <c r="E106" s="3435">
        <f t="shared" ref="E106:E109" si="73">24*MOD(TIMEVALUE(TRIM(MID(D106,FIND("-",D106)+1,LEN(D106)))) - TIMEVALUE(TRIM(LEFT(D106,FIND("-",D106)-1))),1)</f>
      </c>
      <c r="F106" s="3435" t="s">
        <v>3163</v>
      </c>
      <c r="G106" s="3433"/>
      <c r="H106" s="3435" t="s">
        <v>3198</v>
      </c>
      <c r="I106" s="3435" t="s">
        <v>3107</v>
      </c>
      <c r="J106" s="3532"/>
      <c r="K106" s="3427"/>
      <c r="L106" s="3427"/>
      <c r="M106" s="3427"/>
      <c r="N106" s="3427"/>
      <c r="O106" s="3427"/>
      <c r="P106" s="3427"/>
    </row>
    <row customHeight="true" ht="18.452380952380953" r="107">
      <c r="A107" s="3418" t="s">
        <v>3238</v>
      </c>
      <c r="B107" s="3419">
        <v>46262</v>
      </c>
      <c r="C107" s="3418" t="str">
        <v>Friday</v>
      </c>
      <c r="D107" s="3512" t="s">
        <v>3240</v>
      </c>
      <c r="E107" s="3435">
        <f t="shared" si="73"/>
      </c>
      <c r="F107" s="3435" t="s">
        <v>3227</v>
      </c>
      <c r="G107" s="3433"/>
      <c r="H107" s="3435" t="s">
        <v>3198</v>
      </c>
      <c r="I107" s="3435" t="s">
        <v>3107</v>
      </c>
      <c r="J107" s="3532"/>
      <c r="K107" s="3427"/>
      <c r="L107" s="3427"/>
      <c r="M107" s="3427"/>
      <c r="N107" s="3427"/>
      <c r="O107" s="3427"/>
      <c r="P107" s="3427"/>
    </row>
    <row customHeight="true" ht="18.452380952380953" r="108">
      <c r="A108" s="3418" t="s">
        <v>3238</v>
      </c>
      <c r="B108" s="3419">
        <v>46263</v>
      </c>
      <c r="C108" s="3418" t="str">
        <v>Saturday</v>
      </c>
      <c r="D108" s="3512" t="s">
        <v>3239</v>
      </c>
      <c r="E108" s="3435">
        <f t="shared" si="73"/>
      </c>
      <c r="F108" s="3514" t="s">
        <v>3210</v>
      </c>
      <c r="G108" s="3433"/>
      <c r="H108" s="3435" t="s">
        <v>3198</v>
      </c>
      <c r="I108" s="3435" t="s">
        <v>3107</v>
      </c>
      <c r="J108" s="3532"/>
      <c r="K108" s="3427"/>
      <c r="L108" s="3427"/>
      <c r="M108" s="3427"/>
      <c r="N108" s="3427"/>
      <c r="O108" s="3427"/>
      <c r="P108" s="3427"/>
    </row>
    <row customHeight="true" ht="18.452380952380953" r="109">
      <c r="A109" s="3418" t="s">
        <v>3238</v>
      </c>
      <c r="B109" s="3419">
        <v>46264</v>
      </c>
      <c r="C109" s="3418" t="str">
        <v>Sunday</v>
      </c>
      <c r="D109" s="3512" t="s">
        <v>3241</v>
      </c>
      <c r="E109" s="3435">
        <f t="shared" si="73"/>
      </c>
      <c r="F109" s="3435" t="s">
        <v>3163</v>
      </c>
      <c r="G109" s="3433"/>
      <c r="H109" s="3435" t="s">
        <v>3198</v>
      </c>
      <c r="I109" s="3435" t="s">
        <v>3107</v>
      </c>
      <c r="J109" s="3532"/>
      <c r="K109" s="3427"/>
      <c r="L109" s="3427"/>
      <c r="M109" s="3427"/>
      <c r="N109" s="3427"/>
      <c r="O109" s="3427"/>
      <c r="P109" s="3427"/>
    </row>
    <row customHeight="true" ht="14.880952380952381" r="110">
      <c r="A110" s="3501"/>
    </row>
    <row r="111"/>
    <row r="112">
      <c r="A112" s="3533" t="s">
        <v>3242</v>
      </c>
      <c r="B112" s="3533"/>
      <c r="C112" s="3533"/>
      <c r="D112" s="3533"/>
      <c r="E112" s="3533"/>
      <c r="F112" s="3533"/>
      <c r="G112" s="3534"/>
      <c r="H112" s="3534"/>
      <c r="I112" s="3534"/>
      <c r="J112" s="3535"/>
      <c r="K112" s="3417" t="s">
        <v>3101</v>
      </c>
      <c r="L112" s="3467"/>
      <c r="M112" s="3467"/>
      <c r="N112" s="3467"/>
      <c r="O112" s="3467"/>
      <c r="P112" s="3467"/>
    </row>
    <row r="113">
      <c r="A113" s="3536" t="s">
        <v>3122</v>
      </c>
      <c r="B113" s="3537" t="s">
        <v>3123</v>
      </c>
      <c r="C113" s="3537"/>
      <c r="D113" s="3536" t="s">
        <v>3124</v>
      </c>
      <c r="E113" s="3536" t="s">
        <v>3125</v>
      </c>
      <c r="F113" s="3536" t="s">
        <v>3126</v>
      </c>
      <c r="G113" s="3538" t="s">
        <v>3148</v>
      </c>
      <c r="H113" s="3536" t="s">
        <v>3128</v>
      </c>
      <c r="I113" s="3536" t="s">
        <v>3129</v>
      </c>
      <c r="J113" s="3539" t="s">
        <v>3130</v>
      </c>
      <c r="K113" s="3448"/>
      <c r="L113" s="3448"/>
      <c r="M113" s="3448"/>
      <c r="N113" s="3448"/>
      <c r="O113" s="3448"/>
      <c r="P113" s="3448"/>
    </row>
    <row r="114">
      <c r="A114" s="3418" t="s">
        <v>3242</v>
      </c>
      <c r="B114" s="3419">
        <v>46260</v>
      </c>
      <c r="C114" s="3418" t="str">
        <v>Wednesday</v>
      </c>
      <c r="D114" s="3512" t="s">
        <v>3243</v>
      </c>
      <c r="E114" s="3435">
        <f t="shared" ref="E114:E117" si="74">24*MOD(TIMEVALUE(TRIM(MID(D114,FIND("-",D114)+1,LEN(D114)))) - TIMEVALUE(TRIM(LEFT(D114,FIND("-",D114)-1))),1)</f>
      </c>
      <c r="F114" s="3435" t="s">
        <v>3244</v>
      </c>
      <c r="G114" s="3433" t="s">
        <v>3245</v>
      </c>
      <c r="H114" s="3435" t="s">
        <v>3198</v>
      </c>
      <c r="I114" s="3435" t="s">
        <v>3107</v>
      </c>
      <c r="J114" s="3532"/>
      <c r="K114" s="3427"/>
      <c r="L114" s="3427"/>
      <c r="M114" s="3427"/>
      <c r="N114" s="3427"/>
      <c r="O114" s="3427"/>
      <c r="P114" s="3427"/>
    </row>
    <row r="115">
      <c r="A115" s="3418" t="s">
        <v>3242</v>
      </c>
      <c r="B115" s="3419">
        <v>46261</v>
      </c>
      <c r="C115" s="3418" t="str">
        <v>Thursday</v>
      </c>
      <c r="D115" s="3512" t="s">
        <v>3212</v>
      </c>
      <c r="E115" s="3435">
        <f t="shared" si="74"/>
      </c>
      <c r="F115" s="3435" t="s">
        <v>3246</v>
      </c>
      <c r="G115" s="3433" t="s">
        <v>3223</v>
      </c>
      <c r="H115" s="3435" t="s">
        <v>3198</v>
      </c>
      <c r="I115" s="3435" t="s">
        <v>3107</v>
      </c>
      <c r="J115" s="3532"/>
      <c r="K115" s="3427"/>
      <c r="L115" s="3427"/>
      <c r="M115" s="3427"/>
      <c r="N115" s="3427"/>
      <c r="O115" s="3427"/>
      <c r="P115" s="3427"/>
    </row>
    <row r="116">
      <c r="A116" s="3540" t="s">
        <v>3242</v>
      </c>
      <c r="B116" s="3541">
        <v>46262</v>
      </c>
      <c r="C116" s="3540" t="str">
        <v>Friday</v>
      </c>
      <c r="D116" s="3542" t="s">
        <v>3247</v>
      </c>
      <c r="E116" s="3543">
        <f t="shared" si="74"/>
      </c>
      <c r="F116" s="3543" t="s">
        <v>3244</v>
      </c>
      <c r="G116" s="3544" t="s">
        <v>3223</v>
      </c>
      <c r="H116" s="3543" t="s">
        <v>3198</v>
      </c>
      <c r="I116" s="3543" t="s">
        <v>3140</v>
      </c>
      <c r="J116" s="3513" t="s">
        <v>3248</v>
      </c>
      <c r="K116" s="3427"/>
      <c r="L116" s="3427"/>
      <c r="M116" s="3427"/>
      <c r="N116" s="3427"/>
      <c r="O116" s="3427"/>
      <c r="P116" s="3427"/>
    </row>
    <row r="117">
      <c r="A117" s="3418" t="s">
        <v>3242</v>
      </c>
      <c r="B117" s="3419">
        <v>46263</v>
      </c>
      <c r="C117" s="3418" t="str">
        <v>Saturday</v>
      </c>
      <c r="D117" s="3512" t="s">
        <v>3249</v>
      </c>
      <c r="E117" s="3435">
        <f t="shared" si="74"/>
      </c>
      <c r="F117" s="3435" t="s">
        <v>3244</v>
      </c>
      <c r="G117" s="3433" t="s">
        <v>3250</v>
      </c>
      <c r="H117" s="3435" t="s">
        <v>3198</v>
      </c>
      <c r="I117" s="3435" t="s">
        <v>3107</v>
      </c>
      <c r="J117" s="3532"/>
      <c r="K117" s="3427"/>
      <c r="L117" s="3427"/>
      <c r="M117" s="3427"/>
      <c r="N117" s="3427"/>
      <c r="O117" s="3427"/>
      <c r="P117" s="3427"/>
    </row>
    <row customHeight="true" ht="14.880952380952381" r="118"/>
    <row r="119">
      <c r="A119" s="3418" t="s">
        <v>3251</v>
      </c>
      <c r="B119" s="3419">
        <v>46260</v>
      </c>
      <c r="C119" s="3418" t="str">
        <v>Wednesday</v>
      </c>
      <c r="D119" s="3512" t="s">
        <v>3252</v>
      </c>
      <c r="E119" s="3435">
        <f t="shared" ref="E119:E123" si="75">24*MOD(TIMEVALUE(TRIM(MID(D119,FIND("-",D119)+1,LEN(D119)))) - TIMEVALUE(TRIM(LEFT(D119,FIND("-",D119)-1))),1)</f>
      </c>
      <c r="F119" s="3435" t="s">
        <v>3163</v>
      </c>
      <c r="G119" s="3433"/>
      <c r="H119" s="3435" t="s">
        <v>3198</v>
      </c>
      <c r="I119" s="3435" t="s">
        <v>3107</v>
      </c>
      <c r="J119" s="3532"/>
      <c r="K119" s="3427"/>
      <c r="L119" s="3427"/>
      <c r="M119" s="3427"/>
      <c r="N119" s="3427"/>
      <c r="O119" s="3427"/>
      <c r="P119" s="3427"/>
    </row>
    <row customHeight="true" ht="18.452380952380953" r="120">
      <c r="A120" s="3540" t="s">
        <v>3251</v>
      </c>
      <c r="B120" s="3541">
        <v>46260</v>
      </c>
      <c r="C120" s="3540" t="str">
        <v>Wednesday</v>
      </c>
      <c r="D120" s="3542" t="s">
        <v>3253</v>
      </c>
      <c r="E120" s="3543">
        <f t="shared" si="75"/>
      </c>
      <c r="F120" s="3543" t="s">
        <v>3227</v>
      </c>
      <c r="G120" s="3544"/>
      <c r="H120" s="3543" t="s">
        <v>3198</v>
      </c>
      <c r="I120" s="3543" t="s">
        <v>3107</v>
      </c>
      <c r="J120" s="3513" t="s">
        <v>3254</v>
      </c>
      <c r="K120" s="3427"/>
      <c r="L120" s="3427"/>
      <c r="M120" s="3427"/>
      <c r="N120" s="3427"/>
      <c r="O120" s="3427"/>
      <c r="P120" s="3427"/>
    </row>
    <row r="121">
      <c r="A121" s="3418" t="s">
        <v>3251</v>
      </c>
      <c r="B121" s="3419">
        <v>46261</v>
      </c>
      <c r="C121" s="3418" t="str">
        <v>Thursday</v>
      </c>
      <c r="D121" s="3512" t="s">
        <v>3255</v>
      </c>
      <c r="E121" s="3435">
        <f t="shared" si="75"/>
      </c>
      <c r="F121" s="3435" t="s">
        <v>3163</v>
      </c>
      <c r="G121" s="3433"/>
      <c r="H121" s="3435" t="s">
        <v>3198</v>
      </c>
      <c r="I121" s="3435" t="s">
        <v>3107</v>
      </c>
      <c r="J121" s="3532"/>
      <c r="K121" s="3427"/>
      <c r="L121" s="3427"/>
      <c r="M121" s="3427"/>
      <c r="N121" s="3427"/>
      <c r="O121" s="3427"/>
      <c r="P121" s="3427"/>
    </row>
    <row r="122">
      <c r="A122" s="3418" t="s">
        <v>3251</v>
      </c>
      <c r="B122" s="3419">
        <v>46262</v>
      </c>
      <c r="C122" s="3418" t="str">
        <v>Friday</v>
      </c>
      <c r="D122" s="3512" t="s">
        <v>3236</v>
      </c>
      <c r="E122" s="3435">
        <f t="shared" si="75"/>
      </c>
      <c r="F122" s="3435" t="s">
        <v>3163</v>
      </c>
      <c r="G122" s="3433"/>
      <c r="H122" s="3435" t="s">
        <v>3198</v>
      </c>
      <c r="I122" s="3435" t="s">
        <v>3107</v>
      </c>
      <c r="J122" s="3532"/>
      <c r="K122" s="3427"/>
      <c r="L122" s="3427"/>
      <c r="M122" s="3427"/>
      <c r="N122" s="3427"/>
      <c r="O122" s="3427"/>
      <c r="P122" s="3427"/>
    </row>
    <row r="123">
      <c r="A123" s="3540" t="s">
        <v>3251</v>
      </c>
      <c r="B123" s="3541">
        <v>46263</v>
      </c>
      <c r="C123" s="3540" t="str">
        <v>Saturday</v>
      </c>
      <c r="D123" s="3542" t="s">
        <v>3249</v>
      </c>
      <c r="E123" s="3543">
        <f t="shared" si="75"/>
      </c>
      <c r="F123" s="3543" t="s">
        <v>3163</v>
      </c>
      <c r="G123" s="3544" t="s">
        <v>3225</v>
      </c>
      <c r="H123" s="3543" t="s">
        <v>3198</v>
      </c>
      <c r="I123" s="3543" t="s">
        <v>3107</v>
      </c>
      <c r="J123" s="3545" t="s">
        <v>3256</v>
      </c>
      <c r="K123" s="3427"/>
      <c r="L123" s="3427"/>
      <c r="M123" s="3427"/>
      <c r="N123" s="3427"/>
      <c r="O123" s="3427"/>
      <c r="P123" s="3427"/>
    </row>
    <row customHeight="true" ht="14.880952380952381" r="124">
      <c r="A124" s="3501"/>
    </row>
    <row customHeight="true" ht="16.071428571428573" r="125">
      <c r="A125" s="3501"/>
      <c r="J125" s="3501"/>
      <c r="K125" s="3515"/>
      <c r="L125" s="3515"/>
      <c r="M125" s="3515"/>
      <c r="N125" s="3515"/>
      <c r="O125" s="3515"/>
      <c r="P125" s="3515"/>
    </row>
    <row r="126">
      <c r="A126" s="3546" t="s">
        <v>3257</v>
      </c>
      <c r="B126" s="3547" t="s">
        <v>3258</v>
      </c>
      <c r="C126" s="3548"/>
      <c r="D126" s="3548"/>
      <c r="E126" s="3548"/>
      <c r="F126" s="3548"/>
      <c r="G126" s="3548"/>
      <c r="H126" s="3548"/>
      <c r="I126" s="3548"/>
      <c r="J126" s="3549"/>
      <c r="K126" s="3550"/>
      <c r="L126" s="3550"/>
      <c r="M126" s="3550"/>
      <c r="N126" s="3550"/>
      <c r="O126" s="3550"/>
      <c r="P126" s="3550"/>
    </row>
    <row r="127">
      <c r="A127" s="3551" t="s">
        <v>3122</v>
      </c>
      <c r="B127" s="3552" t="s">
        <v>3123</v>
      </c>
      <c r="C127" s="3552"/>
      <c r="D127" s="3553" t="s">
        <v>3124</v>
      </c>
      <c r="E127" s="3553" t="s">
        <v>3125</v>
      </c>
      <c r="F127" s="3553" t="s">
        <v>3126</v>
      </c>
      <c r="G127" s="3554" t="s">
        <v>3148</v>
      </c>
      <c r="H127" s="3553" t="s">
        <v>3128</v>
      </c>
      <c r="I127" s="3553" t="s">
        <v>3129</v>
      </c>
      <c r="J127" s="3555" t="s">
        <v>3130</v>
      </c>
      <c r="K127" s="3448"/>
      <c r="L127" s="3448"/>
      <c r="M127" s="3448"/>
      <c r="N127" s="3448"/>
      <c r="O127" s="3448"/>
      <c r="P127" s="3448"/>
    </row>
    <row customHeight="true" ht="18.452380952380953" r="128">
      <c r="A128" s="3556" t="s">
        <v>3257</v>
      </c>
      <c r="B128" s="3428">
        <v>46258</v>
      </c>
      <c r="C128" s="3449" t="str">
        <v>Monday</v>
      </c>
      <c r="D128" s="3450" t="s">
        <v>3174</v>
      </c>
      <c r="E128" s="3421">
        <v>3</v>
      </c>
      <c r="F128" s="3425" t="s">
        <v>3151</v>
      </c>
      <c r="G128" s="3557"/>
      <c r="H128" s="3425" t="s">
        <v>3198</v>
      </c>
      <c r="I128" s="3451" t="s">
        <v>3140</v>
      </c>
      <c r="J128" s="3558"/>
      <c r="K128" s="3498"/>
      <c r="L128" s="3498"/>
      <c r="M128" s="3498"/>
      <c r="N128" s="3498"/>
      <c r="O128" s="3498"/>
      <c r="P128" s="3498"/>
    </row>
    <row customHeight="true" ht="18.452380952380953" r="129">
      <c r="A129" s="3556" t="s">
        <v>3257</v>
      </c>
      <c r="B129" s="3428">
        <v>46258</v>
      </c>
      <c r="C129" s="3449" t="str">
        <v>Monday</v>
      </c>
      <c r="D129" s="3450" t="s">
        <v>3153</v>
      </c>
      <c r="E129" s="3451">
        <f t="shared" ref="E129:E139" si="76">24*MOD(TIMEVALUE(TRIM(MID(D129,FIND("-",D129)+1,LEN(D129)))) - TIMEVALUE(TRIM(LEFT(D129,FIND("-",D129)-1))),1)</f>
      </c>
      <c r="F129" s="3425" t="s">
        <v>3259</v>
      </c>
      <c r="G129" s="3557"/>
      <c r="H129" s="3425" t="s">
        <v>3198</v>
      </c>
      <c r="I129" s="3451" t="s">
        <v>3140</v>
      </c>
      <c r="J129" s="3558"/>
      <c r="K129" s="3498"/>
      <c r="L129" s="3498"/>
      <c r="M129" s="3498"/>
      <c r="N129" s="3498"/>
      <c r="O129" s="3498"/>
      <c r="P129" s="3498"/>
    </row>
    <row customHeight="true" ht="18.452380952380953" r="130">
      <c r="A130" s="3556" t="s">
        <v>3257</v>
      </c>
      <c r="B130" s="3428">
        <v>46259</v>
      </c>
      <c r="C130" s="3449" t="str">
        <v>Tuesday</v>
      </c>
      <c r="D130" s="3450" t="s">
        <v>3260</v>
      </c>
      <c r="E130" s="3451">
        <f t="shared" si="76"/>
      </c>
      <c r="F130" s="3425" t="s">
        <v>3259</v>
      </c>
      <c r="G130" s="3557"/>
      <c r="H130" s="3425" t="s">
        <v>3198</v>
      </c>
      <c r="I130" s="3451" t="s">
        <v>3140</v>
      </c>
      <c r="J130" s="3558"/>
      <c r="K130" s="3498"/>
      <c r="L130" s="3498"/>
      <c r="M130" s="3498"/>
      <c r="N130" s="3498"/>
      <c r="O130" s="3498"/>
      <c r="P130" s="3498"/>
    </row>
    <row r="131">
      <c r="A131" s="3556" t="s">
        <v>3257</v>
      </c>
      <c r="B131" s="3428">
        <v>46259</v>
      </c>
      <c r="C131" s="3449" t="str">
        <v>Tuesday</v>
      </c>
      <c r="D131" s="3450" t="s">
        <v>3261</v>
      </c>
      <c r="E131" s="3451">
        <f t="shared" si="76"/>
      </c>
      <c r="F131" s="3425" t="s">
        <v>3154</v>
      </c>
      <c r="G131" s="3557"/>
      <c r="H131" s="3425" t="s">
        <v>3198</v>
      </c>
      <c r="I131" s="3451" t="s">
        <v>3140</v>
      </c>
      <c r="J131" s="3558"/>
      <c r="K131" s="3498"/>
      <c r="L131" s="3498"/>
      <c r="M131" s="3498"/>
      <c r="N131" s="3498"/>
      <c r="O131" s="3498"/>
      <c r="P131" s="3498"/>
    </row>
    <row customHeight="true" ht="18.452380952380953" r="132">
      <c r="A132" s="3559" t="s">
        <v>3257</v>
      </c>
      <c r="B132" s="3428">
        <v>46260</v>
      </c>
      <c r="C132" s="3449" t="str">
        <v>Wednesday</v>
      </c>
      <c r="D132" s="3450" t="s">
        <v>3262</v>
      </c>
      <c r="E132" s="3451">
        <f t="shared" si="76"/>
      </c>
      <c r="F132" s="3425" t="s">
        <v>3154</v>
      </c>
      <c r="G132" s="3560"/>
      <c r="H132" s="3425" t="s">
        <v>3198</v>
      </c>
      <c r="I132" s="3451" t="s">
        <v>3107</v>
      </c>
      <c r="J132" s="3561"/>
      <c r="K132" s="3498"/>
      <c r="L132" s="3498"/>
      <c r="M132" s="3498"/>
      <c r="N132" s="3498"/>
      <c r="O132" s="3498"/>
      <c r="P132" s="3498"/>
    </row>
    <row r="133">
      <c r="A133" s="3559" t="s">
        <v>3257</v>
      </c>
      <c r="B133" s="3428">
        <v>46260</v>
      </c>
      <c r="C133" s="3449" t="str">
        <v>Wednesday</v>
      </c>
      <c r="D133" s="3450" t="s">
        <v>3263</v>
      </c>
      <c r="E133" s="3451">
        <f t="shared" si="76"/>
      </c>
      <c r="F133" s="3425" t="s">
        <v>3259</v>
      </c>
      <c r="G133" s="3560"/>
      <c r="H133" s="3425" t="s">
        <v>3198</v>
      </c>
      <c r="I133" s="3451" t="s">
        <v>3107</v>
      </c>
      <c r="J133" s="3561"/>
      <c r="K133" s="3498"/>
      <c r="L133" s="3498"/>
      <c r="M133" s="3498"/>
      <c r="N133" s="3498"/>
      <c r="O133" s="3498"/>
      <c r="P133" s="3498"/>
    </row>
    <row customHeight="true" ht="18.452380952380953" r="134">
      <c r="A134" s="3562" t="s">
        <v>3257</v>
      </c>
      <c r="B134" s="3455">
        <v>46261</v>
      </c>
      <c r="C134" s="3454" t="str">
        <v>Thursday</v>
      </c>
      <c r="D134" s="3478" t="s">
        <v>3260</v>
      </c>
      <c r="E134" s="3458">
        <f t="shared" si="76"/>
      </c>
      <c r="F134" s="3458" t="s">
        <v>3259</v>
      </c>
      <c r="G134" s="3563"/>
      <c r="H134" s="3458" t="s">
        <v>3198</v>
      </c>
      <c r="I134" s="3458" t="s">
        <v>3107</v>
      </c>
      <c r="J134" s="3564"/>
      <c r="K134" s="3565"/>
      <c r="L134" s="3565"/>
      <c r="M134" s="3565"/>
      <c r="N134" s="3565"/>
      <c r="O134" s="3565"/>
      <c r="P134" s="3565"/>
    </row>
    <row customHeight="true" ht="18.452380952380953" r="135">
      <c r="A135" s="3559" t="s">
        <v>3257</v>
      </c>
      <c r="B135" s="3428">
        <v>46261</v>
      </c>
      <c r="C135" s="3449" t="str">
        <v>Thursday</v>
      </c>
      <c r="D135" s="3450" t="s">
        <v>3182</v>
      </c>
      <c r="E135" s="3451">
        <f t="shared" si="76"/>
      </c>
      <c r="F135" s="3425" t="s">
        <v>3151</v>
      </c>
      <c r="G135" s="3560"/>
      <c r="H135" s="3425" t="s">
        <v>3198</v>
      </c>
      <c r="I135" s="3451" t="s">
        <v>3107</v>
      </c>
      <c r="J135" s="3561"/>
      <c r="K135" s="3498"/>
      <c r="L135" s="3498"/>
      <c r="M135" s="3498"/>
      <c r="N135" s="3498"/>
      <c r="O135" s="3498"/>
      <c r="P135" s="3498"/>
    </row>
    <row customHeight="true" ht="18.452380952380953" r="136">
      <c r="A136" s="3559" t="s">
        <v>3257</v>
      </c>
      <c r="B136" s="3428">
        <v>46261</v>
      </c>
      <c r="C136" s="3449" t="str">
        <v>Thursday</v>
      </c>
      <c r="D136" s="3450" t="s">
        <v>3264</v>
      </c>
      <c r="E136" s="3451">
        <f t="shared" si="76"/>
      </c>
      <c r="F136" s="3425" t="s">
        <v>3259</v>
      </c>
      <c r="G136" s="3560"/>
      <c r="H136" s="3425" t="s">
        <v>3198</v>
      </c>
      <c r="I136" s="3451" t="s">
        <v>3107</v>
      </c>
      <c r="J136" s="3561"/>
      <c r="K136" s="3498"/>
      <c r="L136" s="3498"/>
      <c r="M136" s="3498"/>
      <c r="N136" s="3498"/>
      <c r="O136" s="3498"/>
      <c r="P136" s="3498"/>
    </row>
    <row customHeight="true" ht="18.452380952380953" r="137">
      <c r="A137" s="3559" t="s">
        <v>3257</v>
      </c>
      <c r="B137" s="3428">
        <v>46262</v>
      </c>
      <c r="C137" s="3449" t="str">
        <v>Friday</v>
      </c>
      <c r="D137" s="3450" t="s">
        <v>3153</v>
      </c>
      <c r="E137" s="3451">
        <f t="shared" si="76"/>
      </c>
      <c r="F137" s="3425" t="s">
        <v>3112</v>
      </c>
      <c r="G137" s="3560"/>
      <c r="H137" s="3425" t="s">
        <v>3198</v>
      </c>
      <c r="I137" s="3451" t="s">
        <v>3107</v>
      </c>
      <c r="J137" s="3566" t="s">
        <v>3265</v>
      </c>
      <c r="K137" s="3498"/>
      <c r="L137" s="3498"/>
      <c r="M137" s="3498"/>
      <c r="N137" s="3498"/>
      <c r="O137" s="3498"/>
      <c r="P137" s="3498"/>
    </row>
    <row r="138">
      <c r="A138" s="3559" t="s">
        <v>3257</v>
      </c>
      <c r="B138" s="3428">
        <v>46262</v>
      </c>
      <c r="C138" s="3449" t="str">
        <v>Friday</v>
      </c>
      <c r="D138" s="3450" t="s">
        <v>3178</v>
      </c>
      <c r="E138" s="3451">
        <f t="shared" si="76"/>
      </c>
      <c r="F138" s="3425" t="s">
        <v>3259</v>
      </c>
      <c r="G138" s="3560"/>
      <c r="H138" s="3425" t="s">
        <v>3198</v>
      </c>
      <c r="I138" s="3451" t="s">
        <v>3107</v>
      </c>
      <c r="J138" s="3561"/>
      <c r="K138" s="3498"/>
      <c r="L138" s="3498"/>
      <c r="M138" s="3498"/>
      <c r="N138" s="3498"/>
      <c r="O138" s="3498"/>
      <c r="P138" s="3498"/>
    </row>
    <row r="139">
      <c r="A139" s="3556" t="s">
        <v>3257</v>
      </c>
      <c r="B139" s="3428">
        <v>46263</v>
      </c>
      <c r="C139" s="3449" t="str">
        <v>Saturday</v>
      </c>
      <c r="D139" s="3450" t="s">
        <v>3266</v>
      </c>
      <c r="E139" s="3451">
        <f t="shared" si="76"/>
      </c>
      <c r="F139" s="3425" t="s">
        <v>3154</v>
      </c>
      <c r="G139" s="3560"/>
      <c r="H139" s="3425" t="s">
        <v>3198</v>
      </c>
      <c r="I139" s="3451" t="s">
        <v>3107</v>
      </c>
      <c r="J139" s="3558"/>
      <c r="K139" s="3498"/>
      <c r="L139" s="3498"/>
      <c r="M139" s="3498"/>
      <c r="N139" s="3498"/>
      <c r="O139" s="3498"/>
      <c r="P139" s="3498"/>
    </row>
    <row customHeight="true" ht="18.452380952380953" r="140">
      <c r="A140" s="3556" t="s">
        <v>3257</v>
      </c>
      <c r="B140" s="3428">
        <v>46263</v>
      </c>
      <c r="C140" s="3449" t="str">
        <v>Saturday</v>
      </c>
      <c r="D140" s="3450" t="s">
        <v>3267</v>
      </c>
      <c r="E140" s="3421">
        <v>3.5</v>
      </c>
      <c r="F140" s="3425" t="s">
        <v>3259</v>
      </c>
      <c r="G140" s="3560"/>
      <c r="H140" s="3425" t="s">
        <v>3198</v>
      </c>
      <c r="I140" s="3451" t="s">
        <v>3107</v>
      </c>
      <c r="J140" s="3558"/>
      <c r="K140" s="3498"/>
      <c r="L140" s="3498"/>
      <c r="M140" s="3498"/>
      <c r="N140" s="3498"/>
      <c r="O140" s="3498"/>
      <c r="P140" s="3498"/>
    </row>
    <row r="141">
      <c r="A141" s="3562" t="s">
        <v>3257</v>
      </c>
      <c r="B141" s="3455">
        <v>46250</v>
      </c>
      <c r="C141" s="3454" t="str">
        <v>Sunday</v>
      </c>
      <c r="D141" s="3478" t="s">
        <v>3268</v>
      </c>
      <c r="E141" s="3458">
        <f t="shared" ref="E141:E149" si="77">24*MOD(TIMEVALUE(TRIM(MID(D141,FIND("-",D141)+1,LEN(D141)))) - TIMEVALUE(TRIM(LEFT(D141,FIND("-",D141)-1))),1)</f>
      </c>
      <c r="F141" s="3458" t="s">
        <v>3151</v>
      </c>
      <c r="G141" s="3563"/>
      <c r="H141" s="3458" t="s">
        <v>3198</v>
      </c>
      <c r="I141" s="3458" t="s">
        <v>3140</v>
      </c>
      <c r="J141" s="3564"/>
      <c r="K141" s="3565"/>
      <c r="L141" s="3565"/>
      <c r="M141" s="3565"/>
      <c r="N141" s="3565"/>
      <c r="O141" s="3565"/>
      <c r="P141" s="3565"/>
    </row>
    <row customHeight="true" ht="18.452380952380953" r="142">
      <c r="A142" s="3556" t="s">
        <v>3257</v>
      </c>
      <c r="B142" s="3428">
        <v>46250</v>
      </c>
      <c r="C142" s="3449" t="str">
        <v>Sunday</v>
      </c>
      <c r="D142" s="3450" t="s">
        <v>3269</v>
      </c>
      <c r="E142" s="3451">
        <f t="shared" si="77"/>
      </c>
      <c r="F142" s="3425" t="s">
        <v>3112</v>
      </c>
      <c r="G142" s="3557"/>
      <c r="H142" s="3425" t="s">
        <v>3198</v>
      </c>
      <c r="I142" s="3451" t="s">
        <v>3140</v>
      </c>
      <c r="J142" s="3558"/>
      <c r="K142" s="3498"/>
      <c r="L142" s="3498"/>
      <c r="M142" s="3498"/>
      <c r="N142" s="3498"/>
      <c r="O142" s="3498"/>
      <c r="P142" s="3498"/>
    </row>
    <row customHeight="true" ht="18.452380952380953" r="143">
      <c r="A143" s="3556" t="s">
        <v>3270</v>
      </c>
      <c r="B143" s="3428">
        <v>46258</v>
      </c>
      <c r="C143" s="3449" t="str">
        <v>Monday</v>
      </c>
      <c r="D143" s="3461" t="s">
        <v>3171</v>
      </c>
      <c r="E143" s="3451">
        <f t="shared" si="77"/>
      </c>
      <c r="F143" s="3425" t="s">
        <v>3271</v>
      </c>
      <c r="G143" s="3557"/>
      <c r="H143" s="3425" t="s">
        <v>3198</v>
      </c>
      <c r="I143" s="3451" t="s">
        <v>3140</v>
      </c>
      <c r="J143" s="3558"/>
      <c r="K143" s="3498"/>
      <c r="L143" s="3498"/>
      <c r="M143" s="3498"/>
      <c r="N143" s="3498"/>
      <c r="O143" s="3498"/>
      <c r="P143" s="3498"/>
    </row>
    <row r="144">
      <c r="A144" s="3556" t="s">
        <v>3270</v>
      </c>
      <c r="B144" s="3428">
        <v>46258</v>
      </c>
      <c r="C144" s="3449" t="str">
        <v>Monday</v>
      </c>
      <c r="D144" s="3461" t="s">
        <v>3177</v>
      </c>
      <c r="E144" s="3451">
        <f t="shared" si="77"/>
      </c>
      <c r="F144" s="3425" t="s">
        <v>3272</v>
      </c>
      <c r="G144" s="3567"/>
      <c r="H144" s="3425" t="s">
        <v>3198</v>
      </c>
      <c r="I144" s="3451" t="s">
        <v>3140</v>
      </c>
      <c r="J144" s="3558"/>
      <c r="K144" s="3498"/>
      <c r="L144" s="3498"/>
      <c r="M144" s="3498"/>
      <c r="N144" s="3498"/>
      <c r="O144" s="3498"/>
      <c r="P144" s="3498"/>
    </row>
    <row customHeight="true" ht="18.452380952380953" r="145">
      <c r="A145" s="3556" t="s">
        <v>3270</v>
      </c>
      <c r="B145" s="3428">
        <v>46259</v>
      </c>
      <c r="C145" s="3449" t="str">
        <v>Tuesday</v>
      </c>
      <c r="D145" s="3450" t="s">
        <v>3273</v>
      </c>
      <c r="E145" s="3451">
        <f t="shared" si="77"/>
      </c>
      <c r="F145" s="3425" t="s">
        <v>3271</v>
      </c>
      <c r="G145" s="3567"/>
      <c r="H145" s="3425" t="s">
        <v>3198</v>
      </c>
      <c r="I145" s="3451" t="s">
        <v>3140</v>
      </c>
      <c r="J145" s="3558"/>
      <c r="K145" s="3498"/>
      <c r="L145" s="3498"/>
      <c r="M145" s="3498"/>
      <c r="N145" s="3498"/>
      <c r="O145" s="3498"/>
      <c r="P145" s="3498"/>
    </row>
    <row customHeight="true" ht="18.452380952380953" r="146">
      <c r="A146" s="3556" t="s">
        <v>3270</v>
      </c>
      <c r="B146" s="3428">
        <v>46259</v>
      </c>
      <c r="C146" s="3449" t="str">
        <v>Tuesday</v>
      </c>
      <c r="D146" s="3450" t="s">
        <v>3274</v>
      </c>
      <c r="E146" s="3451">
        <f t="shared" si="77"/>
      </c>
      <c r="F146" s="3425" t="s">
        <v>3275</v>
      </c>
      <c r="G146" s="3567"/>
      <c r="H146" s="3425" t="s">
        <v>3198</v>
      </c>
      <c r="I146" s="3451" t="s">
        <v>3140</v>
      </c>
      <c r="J146" s="3558"/>
      <c r="K146" s="3498"/>
      <c r="L146" s="3498"/>
      <c r="M146" s="3498"/>
      <c r="N146" s="3498"/>
      <c r="O146" s="3498"/>
      <c r="P146" s="3498"/>
    </row>
    <row customHeight="true" ht="18.452380952380953" r="147">
      <c r="A147" s="3556" t="s">
        <v>3270</v>
      </c>
      <c r="B147" s="3428">
        <v>46260</v>
      </c>
      <c r="C147" s="3449" t="str">
        <v>Wednesday</v>
      </c>
      <c r="D147" s="3450" t="s">
        <v>3276</v>
      </c>
      <c r="E147" s="3451">
        <f t="shared" si="77"/>
      </c>
      <c r="F147" s="3425" t="s">
        <v>3275</v>
      </c>
      <c r="G147" s="3567"/>
      <c r="H147" s="3425" t="s">
        <v>3198</v>
      </c>
      <c r="I147" s="3451" t="s">
        <v>3140</v>
      </c>
      <c r="J147" s="3558"/>
      <c r="K147" s="3498"/>
      <c r="L147" s="3498"/>
      <c r="M147" s="3498"/>
      <c r="N147" s="3498"/>
      <c r="O147" s="3498"/>
      <c r="P147" s="3498"/>
    </row>
    <row customHeight="true" ht="18.452380952380953" r="148">
      <c r="A148" s="3556" t="s">
        <v>3270</v>
      </c>
      <c r="B148" s="3428">
        <v>46260</v>
      </c>
      <c r="C148" s="3449" t="str">
        <v>Wednesday</v>
      </c>
      <c r="D148" s="3450" t="s">
        <v>3277</v>
      </c>
      <c r="E148" s="3451">
        <f t="shared" si="77"/>
      </c>
      <c r="F148" s="3425" t="s">
        <v>3271</v>
      </c>
      <c r="G148" s="3567"/>
      <c r="H148" s="3425" t="s">
        <v>3198</v>
      </c>
      <c r="I148" s="3451" t="s">
        <v>3140</v>
      </c>
      <c r="J148" s="3558"/>
      <c r="K148" s="3498"/>
      <c r="L148" s="3498"/>
      <c r="M148" s="3498"/>
      <c r="N148" s="3498"/>
      <c r="O148" s="3498"/>
      <c r="P148" s="3498"/>
    </row>
    <row customHeight="true" ht="18.452380952380953" r="149">
      <c r="A149" s="3556" t="s">
        <v>3270</v>
      </c>
      <c r="B149" s="3428">
        <v>46261</v>
      </c>
      <c r="C149" s="3449" t="str">
        <v>Thursday</v>
      </c>
      <c r="D149" s="3450" t="s">
        <v>3274</v>
      </c>
      <c r="E149" s="3451">
        <f t="shared" si="77"/>
      </c>
      <c r="F149" s="3425" t="s">
        <v>3271</v>
      </c>
      <c r="G149" s="3567"/>
      <c r="H149" s="3425" t="s">
        <v>3198</v>
      </c>
      <c r="I149" s="3451" t="s">
        <v>3140</v>
      </c>
      <c r="J149" s="3558"/>
      <c r="K149" s="3568"/>
      <c r="L149" s="3568"/>
      <c r="M149" s="3568"/>
      <c r="N149" s="3568"/>
      <c r="O149" s="3568"/>
      <c r="P149" s="3568"/>
    </row>
    <row customHeight="true" ht="18.452380952380953" r="150">
      <c r="A150" s="3556" t="s">
        <v>3270</v>
      </c>
      <c r="B150" s="3569">
        <v>46262</v>
      </c>
      <c r="C150" s="3449" t="str">
        <v>Friday</v>
      </c>
      <c r="D150" s="3461" t="s">
        <v>3278</v>
      </c>
      <c r="E150" s="3570">
        <v>7.5</v>
      </c>
      <c r="F150" s="3425" t="s">
        <v>3275</v>
      </c>
      <c r="G150" s="3567"/>
      <c r="H150" s="3425" t="s">
        <v>3198</v>
      </c>
      <c r="I150" s="3451" t="s">
        <v>3140</v>
      </c>
      <c r="J150" s="3558"/>
      <c r="K150" s="3498"/>
      <c r="L150" s="3498"/>
      <c r="M150" s="3498"/>
      <c r="N150" s="3498"/>
      <c r="O150" s="3498"/>
      <c r="P150" s="3498"/>
    </row>
    <row customHeight="true" ht="18.452380952380953" r="151">
      <c r="A151" s="3556" t="s">
        <v>3270</v>
      </c>
      <c r="B151" s="3428">
        <v>46262</v>
      </c>
      <c r="C151" s="3449" t="str">
        <v>Friday</v>
      </c>
      <c r="D151" s="3461" t="s">
        <v>3279</v>
      </c>
      <c r="E151" s="3451">
        <f>24*MOD(TIMEVALUE(TRIM(MID(D151,FIND("-",D151)+1,LEN(D151)))) - TIMEVALUE(TRIM(LEFT(D151,FIND("-",D151)-1))),1)</f>
      </c>
      <c r="F151" s="3461" t="s">
        <v>3271</v>
      </c>
      <c r="G151" s="3567"/>
      <c r="H151" s="3425" t="s">
        <v>3198</v>
      </c>
      <c r="I151" s="3451" t="s">
        <v>3140</v>
      </c>
      <c r="J151" s="3571"/>
      <c r="K151" s="3498"/>
      <c r="L151" s="3498"/>
      <c r="M151" s="3498"/>
      <c r="N151" s="3498"/>
      <c r="O151" s="3498"/>
      <c r="P151" s="3498"/>
    </row>
    <row customHeight="true" ht="18.452380952380953" r="152">
      <c r="A152" s="3556" t="s">
        <v>3270</v>
      </c>
      <c r="B152" s="3428">
        <v>46263</v>
      </c>
      <c r="C152" s="3449" t="str">
        <v>Saturday</v>
      </c>
      <c r="D152" s="3450" t="s">
        <v>3280</v>
      </c>
      <c r="E152" s="3421">
        <v>4.5</v>
      </c>
      <c r="F152" s="3425" t="s">
        <v>3136</v>
      </c>
      <c r="G152" s="3567"/>
      <c r="H152" s="3425"/>
      <c r="I152" s="3451"/>
      <c r="J152" s="3571"/>
      <c r="K152" s="3498"/>
      <c r="L152" s="3498"/>
      <c r="M152" s="3498"/>
      <c r="N152" s="3498"/>
      <c r="O152" s="3498"/>
      <c r="P152" s="3498"/>
    </row>
    <row customHeight="true" ht="18.452380952380953" r="153">
      <c r="A153" s="3556" t="s">
        <v>3270</v>
      </c>
      <c r="B153" s="3428">
        <v>46263</v>
      </c>
      <c r="C153" s="3449" t="str">
        <v>Saturday</v>
      </c>
      <c r="D153" s="3450" t="s">
        <v>3281</v>
      </c>
      <c r="E153" s="3421">
        <v>2</v>
      </c>
      <c r="F153" s="3425" t="s">
        <v>3275</v>
      </c>
      <c r="G153" s="3567"/>
      <c r="H153" s="3425"/>
      <c r="I153" s="3451"/>
      <c r="J153" s="3571"/>
      <c r="K153" s="3498"/>
      <c r="L153" s="3498"/>
      <c r="M153" s="3498"/>
      <c r="N153" s="3498"/>
      <c r="O153" s="3498"/>
      <c r="P153" s="3498"/>
    </row>
    <row customHeight="true" ht="18.452380952380953" r="154">
      <c r="A154" s="3556" t="s">
        <v>3270</v>
      </c>
      <c r="B154" s="3428">
        <v>46264</v>
      </c>
      <c r="C154" s="3449" t="str">
        <v>Sunday</v>
      </c>
      <c r="D154" s="3450" t="s">
        <v>3282</v>
      </c>
      <c r="E154" s="3421">
        <v>2</v>
      </c>
      <c r="F154" s="3425" t="s">
        <v>3275</v>
      </c>
      <c r="G154" s="3567"/>
      <c r="H154" s="3425"/>
      <c r="I154" s="3451"/>
      <c r="J154" s="3571"/>
      <c r="K154" s="3498"/>
      <c r="L154" s="3498"/>
      <c r="M154" s="3498"/>
      <c r="N154" s="3498"/>
      <c r="O154" s="3498"/>
      <c r="P154" s="3498"/>
    </row>
    <row customHeight="true" ht="18.452380952380953" r="155">
      <c r="A155" s="3556" t="s">
        <v>3283</v>
      </c>
      <c r="B155" s="3428">
        <v>46258</v>
      </c>
      <c r="C155" s="3449" t="str">
        <v>Monday</v>
      </c>
      <c r="D155" s="3450" t="s">
        <v>3142</v>
      </c>
      <c r="E155" s="3421">
        <v>8</v>
      </c>
      <c r="F155" s="3425" t="s">
        <v>3275</v>
      </c>
      <c r="G155" s="3567"/>
      <c r="H155" s="3425"/>
      <c r="I155" s="3451"/>
      <c r="J155" s="3571"/>
      <c r="K155" s="3498"/>
      <c r="L155" s="3498"/>
      <c r="M155" s="3498"/>
      <c r="N155" s="3498"/>
      <c r="O155" s="3498"/>
      <c r="P155" s="3498"/>
    </row>
    <row customHeight="true" ht="18.452380952380953" r="156">
      <c r="A156" s="3556" t="s">
        <v>3283</v>
      </c>
      <c r="B156" s="3428">
        <v>46263</v>
      </c>
      <c r="C156" s="3449" t="str">
        <v>Saturday</v>
      </c>
      <c r="D156" s="3450" t="s">
        <v>3284</v>
      </c>
      <c r="E156" s="3421">
        <v>6</v>
      </c>
      <c r="F156" s="3425" t="s">
        <v>3275</v>
      </c>
      <c r="G156" s="3567"/>
      <c r="H156" s="3425"/>
      <c r="I156" s="3451"/>
      <c r="J156" s="3558"/>
      <c r="K156" s="3568"/>
      <c r="L156" s="3568"/>
      <c r="M156" s="3568"/>
      <c r="N156" s="3568"/>
      <c r="O156" s="3568"/>
      <c r="P156" s="3568"/>
    </row>
    <row customHeight="true" ht="18.452380952380953" r="157">
      <c r="A157" s="3556" t="s">
        <v>3283</v>
      </c>
      <c r="B157" s="3428">
        <v>46264</v>
      </c>
      <c r="C157" s="3449" t="str">
        <v>Sunday</v>
      </c>
      <c r="D157" s="3450" t="s">
        <v>3285</v>
      </c>
      <c r="E157" s="3421">
        <v>4</v>
      </c>
      <c r="F157" s="3425" t="s">
        <v>3275</v>
      </c>
      <c r="G157" s="3567"/>
      <c r="H157" s="3425"/>
      <c r="I157" s="3451"/>
      <c r="J157" s="3558"/>
      <c r="K157" s="3568"/>
      <c r="L157" s="3568"/>
      <c r="M157" s="3568"/>
      <c r="N157" s="3568"/>
      <c r="O157" s="3568"/>
      <c r="P157" s="3568"/>
    </row>
    <row customHeight="true" ht="18.452380952380953" r="158">
      <c r="A158" s="3556" t="s">
        <v>3270</v>
      </c>
      <c r="B158" s="3428">
        <v>46264</v>
      </c>
      <c r="C158" s="3449" t="str">
        <v>Sunday</v>
      </c>
      <c r="D158" s="3450" t="s">
        <v>3286</v>
      </c>
      <c r="E158" s="3421">
        <v>4</v>
      </c>
      <c r="F158" s="3461" t="s">
        <v>3271</v>
      </c>
      <c r="G158" s="3567"/>
      <c r="H158" s="3425"/>
      <c r="I158" s="3451"/>
      <c r="J158" s="3571"/>
      <c r="K158" s="3498"/>
      <c r="L158" s="3498"/>
      <c r="M158" s="3498"/>
      <c r="N158" s="3498"/>
      <c r="O158" s="3498"/>
      <c r="P158" s="3498"/>
    </row>
    <row customHeight="true" ht="18.452380952380953" r="159">
      <c r="A159" s="3556" t="s">
        <v>3283</v>
      </c>
      <c r="B159" s="3428">
        <v>46258</v>
      </c>
      <c r="C159" s="3449" t="str">
        <v>Monday</v>
      </c>
      <c r="D159" s="3450" t="s">
        <v>3287</v>
      </c>
      <c r="E159" s="3421">
        <v>2</v>
      </c>
      <c r="F159" s="3425" t="s">
        <v>3112</v>
      </c>
      <c r="G159" s="3567"/>
      <c r="H159" s="3425"/>
      <c r="I159" s="3451"/>
      <c r="J159" s="3571"/>
      <c r="K159" s="3498"/>
      <c r="L159" s="3498"/>
      <c r="M159" s="3498"/>
      <c r="N159" s="3498"/>
      <c r="O159" s="3498"/>
      <c r="P159" s="3498"/>
    </row>
    <row customHeight="true" ht="18.452380952380953" r="160">
      <c r="A160" s="3556" t="s">
        <v>3283</v>
      </c>
      <c r="B160" s="3428">
        <v>46260</v>
      </c>
      <c r="C160" s="3449" t="str">
        <v>Wednesday</v>
      </c>
      <c r="D160" s="3450" t="s">
        <v>3157</v>
      </c>
      <c r="E160" s="3421">
        <v>3</v>
      </c>
      <c r="F160" s="3425" t="s">
        <v>3112</v>
      </c>
      <c r="G160" s="3567"/>
      <c r="H160" s="3425"/>
      <c r="I160" s="3451"/>
      <c r="J160" s="3571"/>
      <c r="K160" s="3498"/>
      <c r="L160" s="3498"/>
      <c r="M160" s="3498"/>
      <c r="N160" s="3498"/>
      <c r="O160" s="3498"/>
      <c r="P160" s="3498"/>
    </row>
    <row customHeight="true" ht="18.452380952380953" r="161">
      <c r="A161" s="3556" t="s">
        <v>3283</v>
      </c>
      <c r="B161" s="3428">
        <v>46261</v>
      </c>
      <c r="C161" s="3449" t="str">
        <v>Thursday</v>
      </c>
      <c r="D161" s="3450" t="s">
        <v>3157</v>
      </c>
      <c r="E161" s="3421">
        <v>3</v>
      </c>
      <c r="F161" s="3425" t="s">
        <v>3112</v>
      </c>
      <c r="G161" s="3567"/>
      <c r="H161" s="3425"/>
      <c r="I161" s="3451"/>
      <c r="J161" s="3571"/>
      <c r="K161" s="3498"/>
      <c r="L161" s="3498"/>
      <c r="M161" s="3498"/>
      <c r="N161" s="3498"/>
      <c r="O161" s="3498"/>
      <c r="P161" s="3498"/>
    </row>
    <row customHeight="true" ht="18.452380952380953" r="162">
      <c r="A162" s="3556" t="s">
        <v>3283</v>
      </c>
      <c r="B162" s="3428">
        <v>46263</v>
      </c>
      <c r="C162" s="3449" t="str">
        <v>Saturday</v>
      </c>
      <c r="D162" s="3450" t="s">
        <v>3174</v>
      </c>
      <c r="E162" s="3421">
        <v>3</v>
      </c>
      <c r="F162" s="3425" t="s">
        <v>3112</v>
      </c>
      <c r="G162" s="3567"/>
      <c r="H162" s="3425"/>
      <c r="I162" s="3451"/>
      <c r="J162" s="3571"/>
      <c r="K162" s="3498"/>
      <c r="L162" s="3498"/>
      <c r="M162" s="3498"/>
      <c r="N162" s="3498"/>
      <c r="O162" s="3498"/>
      <c r="P162" s="3498"/>
    </row>
    <row customHeight="true" ht="18.452380952380953" r="163">
      <c r="A163" s="3556" t="s">
        <v>3283</v>
      </c>
      <c r="B163" s="3428">
        <v>46264</v>
      </c>
      <c r="C163" s="3449" t="str">
        <v>Sunday</v>
      </c>
      <c r="D163" s="3450" t="s">
        <v>3174</v>
      </c>
      <c r="E163" s="3421">
        <v>3</v>
      </c>
      <c r="F163" s="3425" t="s">
        <v>3154</v>
      </c>
      <c r="G163" s="3567"/>
      <c r="H163" s="3425"/>
      <c r="I163" s="3451"/>
      <c r="J163" s="3571"/>
      <c r="K163" s="3498"/>
      <c r="L163" s="3498"/>
      <c r="M163" s="3498"/>
      <c r="N163" s="3498"/>
      <c r="O163" s="3498"/>
      <c r="P163" s="3498"/>
    </row>
    <row r="164">
      <c r="A164" s="3572" t="s">
        <v>3288</v>
      </c>
      <c r="B164" s="3572" t="s">
        <v>3289</v>
      </c>
      <c r="C164" s="3572"/>
      <c r="D164" s="3572"/>
      <c r="E164" s="3572"/>
      <c r="F164" s="3572"/>
      <c r="G164" s="3572"/>
      <c r="H164" s="3572"/>
      <c r="I164" s="3572"/>
      <c r="J164" s="3573"/>
      <c r="K164" s="3467"/>
      <c r="L164" s="3467"/>
      <c r="M164" s="3467"/>
      <c r="N164" s="3467"/>
      <c r="O164" s="3467"/>
      <c r="P164" s="3467"/>
    </row>
    <row r="165">
      <c r="A165" s="3574" t="s">
        <v>3122</v>
      </c>
      <c r="B165" s="3575" t="s">
        <v>3123</v>
      </c>
      <c r="C165" s="3575"/>
      <c r="D165" s="3576" t="s">
        <v>3124</v>
      </c>
      <c r="E165" s="3577" t="s">
        <v>3125</v>
      </c>
      <c r="F165" s="3577" t="s">
        <v>3126</v>
      </c>
      <c r="G165" s="3578" t="s">
        <v>3148</v>
      </c>
      <c r="H165" s="3579" t="s">
        <v>3128</v>
      </c>
      <c r="I165" s="3579" t="s">
        <v>3129</v>
      </c>
      <c r="J165" s="3580" t="s">
        <v>3130</v>
      </c>
      <c r="K165" s="3448"/>
      <c r="L165" s="3448"/>
      <c r="M165" s="3448"/>
      <c r="N165" s="3448"/>
      <c r="O165" s="3448"/>
      <c r="P165" s="3448"/>
    </row>
    <row customHeight="true" ht="18.452380952380953" r="166">
      <c r="A166" s="3449" t="s">
        <v>3288</v>
      </c>
      <c r="B166" s="3581">
        <v>46261</v>
      </c>
      <c r="C166" s="3582" t="str">
        <v>Thursday</v>
      </c>
      <c r="D166" s="3583" t="s">
        <v>3290</v>
      </c>
      <c r="E166" s="3514">
        <f t="shared" ref="E166:E177" si="78">24*MOD(TIMEVALUE(TRIM(MID(D166,FIND("-",D166)+1,LEN(D166)))) - TIMEVALUE(TRIM(LEFT(D166,FIND("-",D166)-1))),1)</f>
      </c>
      <c r="F166" s="3425" t="s">
        <v>3291</v>
      </c>
      <c r="G166" s="3584" t="s">
        <v>3292</v>
      </c>
      <c r="H166" s="3425" t="s">
        <v>3106</v>
      </c>
      <c r="I166" s="3451" t="s">
        <v>3140</v>
      </c>
      <c r="J166" s="3585"/>
      <c r="K166" s="3463"/>
      <c r="L166" s="3463"/>
      <c r="M166" s="3463"/>
      <c r="N166" s="3463"/>
      <c r="O166" s="3463"/>
      <c r="P166" s="3463"/>
    </row>
    <row customHeight="true" ht="18.452380952380953" r="167">
      <c r="A167" s="3454" t="s">
        <v>3288</v>
      </c>
      <c r="B167" s="3455">
        <v>46262</v>
      </c>
      <c r="C167" s="3454" t="str">
        <v>Friday</v>
      </c>
      <c r="D167" s="3478" t="s">
        <v>3155</v>
      </c>
      <c r="E167" s="3458">
        <f t="shared" si="78"/>
      </c>
      <c r="F167" s="3586" t="s">
        <v>3293</v>
      </c>
      <c r="G167" s="3479" t="s">
        <v>3294</v>
      </c>
      <c r="H167" s="3458" t="s">
        <v>3106</v>
      </c>
      <c r="I167" s="3458" t="s">
        <v>3140</v>
      </c>
      <c r="J167" s="3587" t="s">
        <v>3295</v>
      </c>
      <c r="K167" s="3460"/>
      <c r="L167" s="3460"/>
      <c r="M167" s="3460"/>
      <c r="N167" s="3460"/>
      <c r="O167" s="3460"/>
      <c r="P167" s="3460"/>
    </row>
    <row customHeight="true" ht="18.452380952380953" r="168">
      <c r="A168" s="3454" t="s">
        <v>3288</v>
      </c>
      <c r="B168" s="3455">
        <v>46263</v>
      </c>
      <c r="C168" s="3454" t="str">
        <v>Saturday</v>
      </c>
      <c r="D168" s="3478" t="s">
        <v>3296</v>
      </c>
      <c r="E168" s="3458">
        <f t="shared" si="78"/>
      </c>
      <c r="F168" s="3586" t="s">
        <v>3293</v>
      </c>
      <c r="G168" s="3479" t="s">
        <v>3297</v>
      </c>
      <c r="H168" s="3458" t="s">
        <v>3106</v>
      </c>
      <c r="I168" s="3458" t="s">
        <v>3140</v>
      </c>
      <c r="J168" s="3587" t="s">
        <v>3295</v>
      </c>
      <c r="K168" s="3460"/>
      <c r="L168" s="3460"/>
      <c r="M168" s="3460"/>
      <c r="N168" s="3460"/>
      <c r="O168" s="3460"/>
      <c r="P168" s="3460"/>
    </row>
    <row customHeight="true" ht="18.452380952380953" r="169">
      <c r="A169" s="3449" t="s">
        <v>3288</v>
      </c>
      <c r="B169" s="3581">
        <v>46263</v>
      </c>
      <c r="C169" s="3582" t="str">
        <v>Saturday</v>
      </c>
      <c r="D169" s="3583" t="s">
        <v>3260</v>
      </c>
      <c r="E169" s="3514">
        <f t="shared" si="78"/>
      </c>
      <c r="F169" s="3425" t="s">
        <v>3291</v>
      </c>
      <c r="G169" s="3584" t="s">
        <v>3298</v>
      </c>
      <c r="H169" s="3425" t="s">
        <v>3106</v>
      </c>
      <c r="I169" s="3451" t="s">
        <v>3140</v>
      </c>
      <c r="J169" s="3585" t="s">
        <v>3299</v>
      </c>
      <c r="K169" s="3463"/>
      <c r="L169" s="3463"/>
      <c r="M169" s="3463"/>
      <c r="N169" s="3463"/>
      <c r="O169" s="3463"/>
      <c r="P169" s="3463"/>
    </row>
    <row customHeight="true" ht="18.452380952380953" r="170">
      <c r="A170" s="3449" t="s">
        <v>3288</v>
      </c>
      <c r="B170" s="3581">
        <v>46264</v>
      </c>
      <c r="C170" s="3582" t="str">
        <v>Sunday</v>
      </c>
      <c r="D170" s="3583" t="s">
        <v>3155</v>
      </c>
      <c r="E170" s="3514">
        <f t="shared" si="78"/>
      </c>
      <c r="F170" s="3464" t="s">
        <v>3293</v>
      </c>
      <c r="G170" s="3584" t="s">
        <v>3294</v>
      </c>
      <c r="H170" s="3425" t="s">
        <v>3106</v>
      </c>
      <c r="I170" s="3451" t="s">
        <v>3140</v>
      </c>
      <c r="J170" s="3585"/>
      <c r="K170" s="3463"/>
      <c r="L170" s="3463"/>
      <c r="M170" s="3463"/>
      <c r="N170" s="3463"/>
      <c r="O170" s="3463"/>
      <c r="P170" s="3463"/>
    </row>
    <row customHeight="true" ht="18.452380952380953" r="171">
      <c r="A171" s="3454" t="s">
        <v>3300</v>
      </c>
      <c r="B171" s="3455">
        <v>46261</v>
      </c>
      <c r="C171" s="3454" t="str">
        <v>Thursday</v>
      </c>
      <c r="D171" s="3478" t="s">
        <v>3116</v>
      </c>
      <c r="E171" s="3458">
        <f t="shared" si="78"/>
      </c>
      <c r="F171" s="3586" t="s">
        <v>3293</v>
      </c>
      <c r="G171" s="3479" t="s">
        <v>3301</v>
      </c>
      <c r="H171" s="3458" t="s">
        <v>3106</v>
      </c>
      <c r="I171" s="3458" t="s">
        <v>3140</v>
      </c>
      <c r="J171" s="3587"/>
      <c r="K171" s="3460"/>
      <c r="L171" s="3460"/>
      <c r="M171" s="3460"/>
      <c r="N171" s="3460"/>
      <c r="O171" s="3460"/>
      <c r="P171" s="3460"/>
    </row>
    <row customHeight="true" ht="16.071428571428573" r="172">
      <c r="A172" s="3449" t="s">
        <v>3302</v>
      </c>
      <c r="B172" s="3581">
        <v>46261</v>
      </c>
      <c r="C172" s="3449" t="str">
        <v>Thursday</v>
      </c>
      <c r="D172" s="3421" t="s">
        <v>3290</v>
      </c>
      <c r="E172" s="3425">
        <f t="shared" si="78"/>
      </c>
      <c r="F172" s="3462" t="s">
        <v>3303</v>
      </c>
      <c r="G172" s="3588"/>
      <c r="H172" s="3425" t="s">
        <v>3106</v>
      </c>
      <c r="I172" s="3451" t="s">
        <v>3140</v>
      </c>
      <c r="J172" s="3589"/>
      <c r="K172" s="3427"/>
      <c r="L172" s="3427"/>
      <c r="M172" s="3427"/>
      <c r="N172" s="3427"/>
      <c r="O172" s="3427"/>
      <c r="P172" s="3427"/>
    </row>
    <row customHeight="true" ht="16.071428571428573" r="173">
      <c r="A173" s="3449" t="s">
        <v>3302</v>
      </c>
      <c r="B173" s="3581">
        <v>46262</v>
      </c>
      <c r="C173" s="3449" t="str">
        <v>Friday</v>
      </c>
      <c r="D173" s="3583" t="s">
        <v>3155</v>
      </c>
      <c r="E173" s="3425">
        <f t="shared" si="78"/>
      </c>
      <c r="F173" s="3462" t="s">
        <v>3304</v>
      </c>
      <c r="G173" s="3588"/>
      <c r="H173" s="3425" t="s">
        <v>3106</v>
      </c>
      <c r="I173" s="3451" t="s">
        <v>3140</v>
      </c>
      <c r="J173" s="3589"/>
      <c r="K173" s="3427"/>
      <c r="L173" s="3427"/>
      <c r="M173" s="3427"/>
      <c r="N173" s="3427"/>
      <c r="O173" s="3427"/>
      <c r="P173" s="3427"/>
    </row>
    <row customHeight="true" ht="16.071428571428573" r="174">
      <c r="A174" s="3454" t="s">
        <v>3302</v>
      </c>
      <c r="B174" s="3455">
        <v>46263</v>
      </c>
      <c r="C174" s="3454" t="str">
        <v>Saturday</v>
      </c>
      <c r="D174" s="3478" t="s">
        <v>3296</v>
      </c>
      <c r="E174" s="3458">
        <f t="shared" si="78"/>
      </c>
      <c r="F174" s="3590" t="s">
        <v>3291</v>
      </c>
      <c r="G174" s="3591"/>
      <c r="H174" s="3458" t="s">
        <v>3106</v>
      </c>
      <c r="I174" s="3458" t="s">
        <v>3140</v>
      </c>
      <c r="J174" s="3587" t="s">
        <v>3305</v>
      </c>
      <c r="K174" s="3460"/>
      <c r="L174" s="3460"/>
      <c r="M174" s="3460"/>
      <c r="N174" s="3460"/>
      <c r="O174" s="3460"/>
      <c r="P174" s="3460"/>
    </row>
    <row customHeight="true" ht="16.071428571428573" r="175">
      <c r="A175" s="3449" t="s">
        <v>3302</v>
      </c>
      <c r="B175" s="3581">
        <v>46263</v>
      </c>
      <c r="C175" s="3449" t="str">
        <v>Saturday</v>
      </c>
      <c r="D175" s="3583" t="s">
        <v>3306</v>
      </c>
      <c r="E175" s="3425">
        <f t="shared" si="78"/>
      </c>
      <c r="F175" s="3592" t="s">
        <v>3307</v>
      </c>
      <c r="G175" s="3588"/>
      <c r="H175" s="3425" t="s">
        <v>3106</v>
      </c>
      <c r="I175" s="3451" t="s">
        <v>3140</v>
      </c>
      <c r="J175" s="3589"/>
      <c r="K175" s="3427"/>
      <c r="L175" s="3427"/>
      <c r="M175" s="3427"/>
      <c r="N175" s="3427"/>
      <c r="O175" s="3427"/>
      <c r="P175" s="3427"/>
    </row>
    <row customHeight="true" ht="16.071428571428573" r="176">
      <c r="A176" s="3449" t="s">
        <v>3302</v>
      </c>
      <c r="B176" s="3581">
        <v>46263</v>
      </c>
      <c r="C176" s="3449" t="str">
        <v>Saturday</v>
      </c>
      <c r="D176" s="3583" t="s">
        <v>3308</v>
      </c>
      <c r="E176" s="3425">
        <f t="shared" si="78"/>
      </c>
      <c r="F176" s="3425" t="s">
        <v>3309</v>
      </c>
      <c r="G176" s="3588"/>
      <c r="H176" s="3425" t="s">
        <v>3106</v>
      </c>
      <c r="I176" s="3451" t="s">
        <v>3140</v>
      </c>
      <c r="J176" s="3589"/>
      <c r="K176" s="3427"/>
      <c r="L176" s="3427"/>
      <c r="M176" s="3427"/>
      <c r="N176" s="3427"/>
      <c r="O176" s="3427"/>
      <c r="P176" s="3427"/>
    </row>
    <row customHeight="true" ht="16.071428571428573" r="177">
      <c r="A177" s="3449" t="s">
        <v>3302</v>
      </c>
      <c r="B177" s="3581">
        <v>46264</v>
      </c>
      <c r="C177" s="3449" t="str">
        <v>Sunday</v>
      </c>
      <c r="D177" s="3583" t="s">
        <v>3155</v>
      </c>
      <c r="E177" s="3425">
        <f t="shared" si="78"/>
      </c>
      <c r="F177" s="3462" t="s">
        <v>3304</v>
      </c>
      <c r="G177" s="3588"/>
      <c r="H177" s="3425" t="s">
        <v>3106</v>
      </c>
      <c r="I177" s="3451" t="s">
        <v>3140</v>
      </c>
      <c r="J177" s="3585" t="s">
        <v>3310</v>
      </c>
      <c r="K177" s="3427"/>
      <c r="L177" s="3427"/>
      <c r="M177" s="3427"/>
      <c r="N177" s="3427"/>
      <c r="O177" s="3427"/>
      <c r="P177" s="3427"/>
    </row>
    <row r="178">
      <c r="A178" s="3593"/>
      <c r="B178" s="3593"/>
      <c r="C178" s="3593"/>
      <c r="D178" s="3593"/>
      <c r="E178" s="3593"/>
      <c r="F178" s="3593"/>
      <c r="G178" s="3593"/>
      <c r="H178" s="3593"/>
      <c r="I178" s="3593"/>
      <c r="J178" s="3593"/>
      <c r="K178" s="3498"/>
      <c r="L178" s="3498"/>
      <c r="M178" s="3498"/>
      <c r="N178" s="3498"/>
      <c r="O178" s="3498"/>
      <c r="P178" s="3498"/>
    </row>
    <row r="179">
      <c r="A179" s="3594" t="s">
        <v>3311</v>
      </c>
      <c r="B179" s="3594"/>
      <c r="C179" s="3594"/>
      <c r="D179" s="3594"/>
      <c r="E179" s="3594"/>
      <c r="F179" s="3594"/>
      <c r="G179" s="3594"/>
      <c r="H179" s="3594" t="s">
        <v>3312</v>
      </c>
      <c r="I179" s="3594"/>
      <c r="J179" s="3595"/>
      <c r="K179" s="3467"/>
      <c r="L179" s="3467"/>
      <c r="M179" s="3467"/>
      <c r="N179" s="3467"/>
      <c r="O179" s="3467"/>
      <c r="P179" s="3467"/>
    </row>
    <row r="180">
      <c r="A180" s="3596" t="s">
        <v>3122</v>
      </c>
      <c r="B180" s="3597" t="s">
        <v>3123</v>
      </c>
      <c r="C180" s="3597"/>
      <c r="D180" s="3598" t="s">
        <v>3124</v>
      </c>
      <c r="E180" s="3599" t="s">
        <v>3125</v>
      </c>
      <c r="F180" s="3599" t="s">
        <v>3126</v>
      </c>
      <c r="G180" s="3600" t="s">
        <v>3148</v>
      </c>
      <c r="H180" s="3601" t="s">
        <v>3128</v>
      </c>
      <c r="I180" s="3601" t="s">
        <v>3129</v>
      </c>
      <c r="J180" s="3602" t="s">
        <v>3130</v>
      </c>
      <c r="K180" s="3448"/>
      <c r="L180" s="3448"/>
      <c r="M180" s="3448"/>
      <c r="N180" s="3448"/>
      <c r="O180" s="3448"/>
      <c r="P180" s="3448"/>
    </row>
    <row customHeight="true" ht="18.452380952380953" r="181">
      <c r="A181" s="3449" t="s">
        <v>3311</v>
      </c>
      <c r="B181" s="3428">
        <v>46259</v>
      </c>
      <c r="C181" s="3449" t="str">
        <v>Tuesday</v>
      </c>
      <c r="D181" s="3425" t="s">
        <v>3313</v>
      </c>
      <c r="E181" s="3425">
        <f t="shared" ref="E181:E184" si="79">24*MOD(TIMEVALUE(TRIM(MID(D181,FIND("-",D181)+1,LEN(D181)))) - TIMEVALUE(TRIM(LEFT(D181,FIND("-",D181)-1))),1)</f>
      </c>
      <c r="F181" s="3425" t="s">
        <v>3246</v>
      </c>
      <c r="G181" s="3588"/>
      <c r="H181" s="3425" t="s">
        <v>3106</v>
      </c>
      <c r="I181" s="3435" t="s">
        <v>3107</v>
      </c>
      <c r="J181" s="3589"/>
      <c r="K181" s="3427"/>
      <c r="L181" s="3427"/>
      <c r="M181" s="3427"/>
      <c r="N181" s="3427"/>
      <c r="O181" s="3427"/>
      <c r="P181" s="3427"/>
    </row>
    <row customHeight="true" ht="18.452380952380953" r="182">
      <c r="A182" s="3449" t="s">
        <v>3311</v>
      </c>
      <c r="B182" s="3428">
        <v>46261</v>
      </c>
      <c r="C182" s="3449" t="str">
        <v>Thursday</v>
      </c>
      <c r="D182" s="3425" t="s">
        <v>3313</v>
      </c>
      <c r="E182" s="3425">
        <f t="shared" si="79"/>
      </c>
      <c r="F182" s="3425" t="s">
        <v>3246</v>
      </c>
      <c r="G182" s="3588"/>
      <c r="H182" s="3425" t="s">
        <v>3106</v>
      </c>
      <c r="I182" s="3435" t="s">
        <v>3107</v>
      </c>
      <c r="J182" s="3589"/>
      <c r="K182" s="3427"/>
      <c r="L182" s="3427"/>
      <c r="M182" s="3427"/>
      <c r="N182" s="3427"/>
      <c r="O182" s="3427"/>
      <c r="P182" s="3427"/>
    </row>
    <row customHeight="true" ht="18.452380952380953" r="183">
      <c r="A183" s="3449" t="s">
        <v>3311</v>
      </c>
      <c r="B183" s="3569">
        <v>46264</v>
      </c>
      <c r="C183" s="3449" t="str">
        <v>Sunday</v>
      </c>
      <c r="D183" s="3425" t="s">
        <v>3313</v>
      </c>
      <c r="E183" s="3425">
        <f t="shared" si="79"/>
      </c>
      <c r="F183" s="3425" t="s">
        <v>3246</v>
      </c>
      <c r="G183" s="3588"/>
      <c r="H183" s="3425" t="s">
        <v>3106</v>
      </c>
      <c r="I183" s="3451" t="s">
        <v>3107</v>
      </c>
      <c r="J183" s="3589"/>
      <c r="K183" s="3427"/>
      <c r="L183" s="3427"/>
      <c r="M183" s="3427"/>
      <c r="N183" s="3427"/>
      <c r="O183" s="3427"/>
      <c r="P183" s="3427"/>
    </row>
    <row r="184">
      <c r="A184" s="3449" t="s">
        <v>3311</v>
      </c>
      <c r="B184" s="3569">
        <v>46263</v>
      </c>
      <c r="C184" s="3449" t="str">
        <v>Saturday</v>
      </c>
      <c r="D184" s="3450" t="s">
        <v>3313</v>
      </c>
      <c r="E184" s="3425">
        <f t="shared" si="79"/>
      </c>
      <c r="F184" s="3425" t="s">
        <v>3246</v>
      </c>
      <c r="G184" s="3584"/>
      <c r="H184" s="3425" t="s">
        <v>3106</v>
      </c>
      <c r="I184" s="3451" t="s">
        <v>3107</v>
      </c>
      <c r="J184" s="3589"/>
      <c r="K184" s="3427"/>
      <c r="L184" s="3427"/>
      <c r="M184" s="3427"/>
      <c r="N184" s="3427"/>
      <c r="O184" s="3427"/>
      <c r="P184" s="3427"/>
    </row>
    <row customHeight="true" ht="18.452380952380953" r="185">
      <c r="A185" s="3449"/>
      <c r="B185" s="3428"/>
      <c r="C185" s="3449"/>
      <c r="D185" s="3450"/>
      <c r="E185" s="3425"/>
      <c r="F185" s="3425"/>
      <c r="G185" s="3588"/>
      <c r="H185" s="3425"/>
      <c r="I185" s="3435"/>
      <c r="J185" s="3589"/>
      <c r="K185" s="3427"/>
      <c r="L185" s="3427"/>
      <c r="M185" s="3427"/>
      <c r="N185" s="3427"/>
      <c r="O185" s="3427"/>
      <c r="P185" s="3427"/>
    </row>
    <row customHeight="true" ht="18.452380952380953" r="186">
      <c r="A186" s="3449" t="s">
        <v>3311</v>
      </c>
      <c r="B186" s="3428">
        <v>46259</v>
      </c>
      <c r="C186" s="3449" t="str">
        <v>Tuesday</v>
      </c>
      <c r="D186" s="3450" t="s">
        <v>3314</v>
      </c>
      <c r="E186" s="3425">
        <f t="shared" ref="E186:E189" si="80">24*MOD(TIMEVALUE(TRIM(MID(D186,FIND("-",D186)+1,LEN(D186)))) - TIMEVALUE(TRIM(LEFT(D186,FIND("-",D186)-1))),1)</f>
      </c>
      <c r="F186" s="3425" t="s">
        <v>3271</v>
      </c>
      <c r="G186" s="3588"/>
      <c r="H186" s="3425" t="s">
        <v>3106</v>
      </c>
      <c r="I186" s="3451" t="s">
        <v>3107</v>
      </c>
      <c r="J186" s="3589"/>
      <c r="K186" s="3427"/>
      <c r="L186" s="3427"/>
      <c r="M186" s="3427"/>
      <c r="N186" s="3427"/>
      <c r="O186" s="3427"/>
      <c r="P186" s="3427"/>
    </row>
    <row customHeight="true" ht="18.452380952380953" r="187">
      <c r="A187" s="3449" t="s">
        <v>3311</v>
      </c>
      <c r="B187" s="3428">
        <v>46261</v>
      </c>
      <c r="C187" s="3449" t="str">
        <v>Thursday</v>
      </c>
      <c r="D187" s="3450" t="s">
        <v>3315</v>
      </c>
      <c r="E187" s="3425">
        <f t="shared" si="80"/>
      </c>
      <c r="F187" s="3425" t="s">
        <v>3275</v>
      </c>
      <c r="G187" s="3584"/>
      <c r="H187" s="3425" t="s">
        <v>3106</v>
      </c>
      <c r="I187" s="3451" t="s">
        <v>3107</v>
      </c>
      <c r="J187" s="3589"/>
      <c r="K187" s="3427"/>
      <c r="L187" s="3427"/>
      <c r="M187" s="3603" t="s">
        <v>3101</v>
      </c>
      <c r="N187" s="3427"/>
      <c r="O187" s="3427"/>
      <c r="P187" s="3427"/>
    </row>
    <row r="188">
      <c r="A188" s="3449" t="s">
        <v>3311</v>
      </c>
      <c r="B188" s="3428">
        <v>46263</v>
      </c>
      <c r="C188" s="3449" t="str">
        <v>Saturday</v>
      </c>
      <c r="D188" s="3450" t="s">
        <v>3313</v>
      </c>
      <c r="E188" s="3425">
        <f t="shared" si="80"/>
      </c>
      <c r="F188" s="3425" t="s">
        <v>3275</v>
      </c>
      <c r="G188" s="3584"/>
      <c r="H188" s="3425" t="s">
        <v>3106</v>
      </c>
      <c r="I188" s="3451" t="s">
        <v>3107</v>
      </c>
      <c r="J188" s="3589"/>
      <c r="K188" s="3427"/>
      <c r="L188" s="3427"/>
      <c r="M188" s="3427"/>
      <c r="N188" s="3427"/>
      <c r="O188" s="3427"/>
      <c r="P188" s="3427"/>
    </row>
    <row customHeight="true" ht="18.452380952380953" r="189">
      <c r="A189" s="3449" t="s">
        <v>3311</v>
      </c>
      <c r="B189" s="3428">
        <v>46264</v>
      </c>
      <c r="C189" s="3449" t="str">
        <v>Sunday</v>
      </c>
      <c r="D189" s="3450" t="s">
        <v>3314</v>
      </c>
      <c r="E189" s="3425">
        <f t="shared" si="80"/>
      </c>
      <c r="F189" s="3425" t="s">
        <v>3271</v>
      </c>
      <c r="G189" s="3584"/>
      <c r="H189" s="3425" t="s">
        <v>3106</v>
      </c>
      <c r="I189" s="3451" t="s">
        <v>3107</v>
      </c>
      <c r="J189" s="3589"/>
      <c r="K189" s="3427"/>
      <c r="L189" s="3427"/>
      <c r="M189" s="3427"/>
      <c r="N189" s="3427"/>
      <c r="O189" s="3427"/>
      <c r="P189" s="3427"/>
    </row>
    <row r="190">
      <c r="A190" s="3604" t="s">
        <v>3316</v>
      </c>
      <c r="B190" s="3604"/>
      <c r="C190" s="3604"/>
      <c r="D190" s="3604"/>
      <c r="E190" s="3604"/>
      <c r="F190" s="3604"/>
      <c r="G190" s="3604"/>
      <c r="H190" s="3604"/>
      <c r="I190" s="3604"/>
      <c r="J190" s="3605"/>
      <c r="K190" s="3467"/>
      <c r="L190" s="3467"/>
      <c r="M190" s="3467"/>
      <c r="N190" s="3467"/>
      <c r="O190" s="3467"/>
      <c r="P190" s="3467"/>
    </row>
    <row r="191">
      <c r="A191" s="3606" t="s">
        <v>3122</v>
      </c>
      <c r="B191" s="3607" t="s">
        <v>3123</v>
      </c>
      <c r="C191" s="3607"/>
      <c r="D191" s="3608" t="s">
        <v>3124</v>
      </c>
      <c r="E191" s="3609" t="s">
        <v>3125</v>
      </c>
      <c r="F191" s="3609" t="s">
        <v>3126</v>
      </c>
      <c r="G191" s="3610" t="s">
        <v>3148</v>
      </c>
      <c r="H191" s="3611" t="s">
        <v>3128</v>
      </c>
      <c r="I191" s="3611" t="s">
        <v>3129</v>
      </c>
      <c r="J191" s="3612" t="s">
        <v>3130</v>
      </c>
      <c r="K191" s="3448"/>
      <c r="L191" s="3448"/>
      <c r="M191" s="3448"/>
      <c r="N191" s="3448"/>
      <c r="O191" s="3448"/>
      <c r="P191" s="3448"/>
    </row>
    <row customHeight="true" ht="18.452380952380953" r="192">
      <c r="A192" s="3449" t="s">
        <v>3316</v>
      </c>
      <c r="B192" s="3428">
        <v>46258</v>
      </c>
      <c r="C192" s="3449" t="str">
        <v>Monday</v>
      </c>
      <c r="D192" s="3421" t="s">
        <v>3317</v>
      </c>
      <c r="E192" s="3451">
        <v>3</v>
      </c>
      <c r="F192" s="3613" t="s">
        <v>3213</v>
      </c>
      <c r="G192" s="3584"/>
      <c r="H192" s="3425" t="s">
        <v>3106</v>
      </c>
      <c r="I192" s="3435" t="s">
        <v>3107</v>
      </c>
      <c r="J192" s="3589"/>
      <c r="K192" s="3427"/>
      <c r="L192" s="3427"/>
      <c r="M192" s="3427"/>
      <c r="N192" s="3427"/>
      <c r="O192" s="3427"/>
      <c r="P192" s="3427"/>
    </row>
    <row customHeight="true" ht="18.452380952380953" r="193">
      <c r="A193" s="3449" t="s">
        <v>3316</v>
      </c>
      <c r="B193" s="3428">
        <v>46259</v>
      </c>
      <c r="C193" s="3449" t="str">
        <v>Tuesday</v>
      </c>
      <c r="D193" s="3421" t="s">
        <v>3155</v>
      </c>
      <c r="E193" s="3421">
        <v>3</v>
      </c>
      <c r="F193" s="3614" t="s">
        <v>3109</v>
      </c>
      <c r="G193" s="3615" t="s">
        <v>3318</v>
      </c>
      <c r="H193" s="3425" t="s">
        <v>3106</v>
      </c>
      <c r="I193" s="3451" t="s">
        <v>3107</v>
      </c>
      <c r="J193" s="3589"/>
      <c r="K193" s="3427"/>
      <c r="L193" s="3427"/>
      <c r="M193" s="3427"/>
      <c r="N193" s="3427"/>
      <c r="O193" s="3427"/>
      <c r="P193" s="3427"/>
    </row>
    <row r="194">
      <c r="A194" s="3449" t="s">
        <v>3316</v>
      </c>
      <c r="B194" s="3428">
        <v>46260</v>
      </c>
      <c r="C194" s="3449" t="str">
        <v>Wednesday</v>
      </c>
      <c r="D194" s="3421" t="s">
        <v>3319</v>
      </c>
      <c r="E194" s="3451">
        <v>3</v>
      </c>
      <c r="F194" s="3613" t="s">
        <v>3213</v>
      </c>
      <c r="G194" s="3584"/>
      <c r="H194" s="3425" t="s">
        <v>3106</v>
      </c>
      <c r="I194" s="3451" t="s">
        <v>3107</v>
      </c>
      <c r="J194" s="3589"/>
      <c r="K194" s="3427"/>
      <c r="L194" s="3427"/>
      <c r="M194" s="3427"/>
      <c r="N194" s="3427"/>
      <c r="O194" s="3427"/>
      <c r="P194" s="3427"/>
    </row>
    <row customHeight="true" ht="18.105158730161076" r="195">
      <c r="A195" s="3449" t="s">
        <v>3316</v>
      </c>
      <c r="B195" s="3428">
        <v>46261</v>
      </c>
      <c r="C195" s="3449" t="str">
        <v>Thursday</v>
      </c>
      <c r="D195" s="3421" t="s">
        <v>3319</v>
      </c>
      <c r="E195" s="3451">
        <v>3</v>
      </c>
      <c r="F195" s="3613" t="s">
        <v>3213</v>
      </c>
      <c r="G195" s="3584"/>
      <c r="H195" s="3425" t="s">
        <v>3106</v>
      </c>
      <c r="I195" s="3435" t="s">
        <v>3107</v>
      </c>
      <c r="J195" s="3589"/>
      <c r="K195" s="3427"/>
      <c r="L195" s="3427"/>
      <c r="M195" s="3427"/>
      <c r="N195" s="3427"/>
      <c r="O195" s="3427"/>
      <c r="P195" s="3427"/>
    </row>
    <row r="196">
      <c r="A196" s="3449" t="s">
        <v>3316</v>
      </c>
      <c r="B196" s="3428">
        <v>46262</v>
      </c>
      <c r="C196" s="3449" t="str">
        <v>Friday</v>
      </c>
      <c r="D196" s="3421" t="s">
        <v>3153</v>
      </c>
      <c r="E196" s="3451">
        <v>3</v>
      </c>
      <c r="F196" s="3462" t="s">
        <v>3222</v>
      </c>
      <c r="G196" s="3584"/>
      <c r="H196" s="3425" t="s">
        <v>3106</v>
      </c>
      <c r="I196" s="3435" t="s">
        <v>3107</v>
      </c>
      <c r="J196" s="3589"/>
      <c r="K196" s="3427"/>
      <c r="L196" s="3427"/>
      <c r="M196" s="3427"/>
      <c r="N196" s="3427"/>
      <c r="O196" s="3427"/>
      <c r="P196" s="3427"/>
    </row>
    <row customHeight="true" ht="18.452380952380953" r="197">
      <c r="A197" s="3449" t="s">
        <v>3316</v>
      </c>
      <c r="B197" s="3428">
        <v>46263</v>
      </c>
      <c r="C197" s="3449" t="str">
        <v>Saturday</v>
      </c>
      <c r="D197" s="3421" t="s">
        <v>3320</v>
      </c>
      <c r="E197" s="3421">
        <v>3</v>
      </c>
      <c r="F197" s="3462"/>
      <c r="G197" s="3584"/>
      <c r="H197" s="3425" t="s">
        <v>3321</v>
      </c>
      <c r="I197" s="3435" t="s">
        <v>3140</v>
      </c>
      <c r="J197" s="3589"/>
      <c r="K197" s="3427"/>
      <c r="L197" s="3427"/>
      <c r="M197" s="3427"/>
      <c r="N197" s="3427"/>
      <c r="O197" s="3427"/>
      <c r="P197" s="3427"/>
    </row>
    <row customHeight="true" ht="18.452380952380953" r="198">
      <c r="A198" s="3449" t="s">
        <v>3322</v>
      </c>
      <c r="B198" s="3428">
        <v>46258</v>
      </c>
      <c r="C198" s="3449" t="str">
        <v>Monday</v>
      </c>
      <c r="D198" s="3421" t="s">
        <v>3155</v>
      </c>
      <c r="E198" s="3451">
        <v>3</v>
      </c>
      <c r="F198" s="3613" t="s">
        <v>3109</v>
      </c>
      <c r="G198" s="3584" t="s">
        <v>3318</v>
      </c>
      <c r="H198" s="3425" t="s">
        <v>3106</v>
      </c>
      <c r="I198" s="3435" t="s">
        <v>3107</v>
      </c>
      <c r="J198" s="3589"/>
      <c r="K198" s="3427"/>
      <c r="L198" s="3427"/>
      <c r="M198" s="3427"/>
      <c r="N198" s="3427"/>
      <c r="O198" s="3427"/>
      <c r="P198" s="3427"/>
    </row>
    <row customHeight="true" ht="18.452380952380953" r="199">
      <c r="A199" s="3449" t="s">
        <v>3323</v>
      </c>
      <c r="B199" s="3428">
        <v>46258</v>
      </c>
      <c r="C199" s="3449" t="str">
        <v>Monday</v>
      </c>
      <c r="D199" s="3570" t="s">
        <v>3324</v>
      </c>
      <c r="E199" s="3451">
        <v>3</v>
      </c>
      <c r="F199" s="3461" t="s">
        <v>3307</v>
      </c>
      <c r="G199" s="3584"/>
      <c r="H199" s="3425" t="s">
        <v>3106</v>
      </c>
      <c r="I199" s="3435"/>
      <c r="J199" s="3589"/>
      <c r="K199" s="3427"/>
      <c r="L199" s="3427"/>
      <c r="M199" s="3427"/>
      <c r="N199" s="3427"/>
      <c r="O199" s="3427"/>
      <c r="P199" s="3427"/>
    </row>
    <row customHeight="true" ht="18.452380952380953" r="200">
      <c r="A200" s="3454" t="s">
        <v>3323</v>
      </c>
      <c r="B200" s="3455">
        <v>46259</v>
      </c>
      <c r="C200" s="3454" t="str">
        <v>Tuesday</v>
      </c>
      <c r="D200" s="3478" t="s">
        <v>3155</v>
      </c>
      <c r="E200" s="3458">
        <v>3</v>
      </c>
      <c r="F200" s="3458" t="s">
        <v>3272</v>
      </c>
      <c r="G200" s="3616"/>
      <c r="H200" s="3458" t="s">
        <v>3106</v>
      </c>
      <c r="I200" s="3543"/>
      <c r="J200" s="3617"/>
      <c r="K200" s="3460"/>
      <c r="L200" s="3460"/>
      <c r="M200" s="3460"/>
      <c r="N200" s="3460"/>
      <c r="O200" s="3460"/>
      <c r="P200" s="3460"/>
    </row>
    <row customHeight="true" ht="18.452380952380953" r="201">
      <c r="A201" s="3449" t="s">
        <v>3323</v>
      </c>
      <c r="B201" s="3428">
        <v>46260</v>
      </c>
      <c r="C201" s="3449" t="str">
        <v>Wednesday</v>
      </c>
      <c r="D201" s="3421" t="s">
        <v>3319</v>
      </c>
      <c r="E201" s="3451">
        <v>3</v>
      </c>
      <c r="F201" s="3461" t="s">
        <v>3307</v>
      </c>
      <c r="G201" s="3584"/>
      <c r="H201" s="3425" t="s">
        <v>3106</v>
      </c>
      <c r="I201" s="3435"/>
      <c r="J201" s="3589"/>
      <c r="K201" s="3427"/>
      <c r="L201" s="3427"/>
      <c r="M201" s="3427"/>
      <c r="N201" s="3427"/>
      <c r="O201" s="3427"/>
      <c r="P201" s="3427"/>
    </row>
    <row customHeight="true" ht="18.452380952380953" r="202">
      <c r="A202" s="3449" t="s">
        <v>3323</v>
      </c>
      <c r="B202" s="3428">
        <v>46261</v>
      </c>
      <c r="C202" s="3449" t="str">
        <v>Thursday</v>
      </c>
      <c r="D202" s="3421" t="s">
        <v>3319</v>
      </c>
      <c r="E202" s="3451">
        <v>3</v>
      </c>
      <c r="F202" s="3425" t="s">
        <v>3272</v>
      </c>
      <c r="G202" s="3584"/>
      <c r="H202" s="3425" t="s">
        <v>3106</v>
      </c>
      <c r="I202" s="3435"/>
      <c r="J202" s="3589"/>
      <c r="K202" s="3427"/>
      <c r="L202" s="3427"/>
      <c r="M202" s="3427"/>
      <c r="N202" s="3427"/>
      <c r="O202" s="3427"/>
      <c r="P202" s="3427"/>
    </row>
    <row customHeight="true" ht="18.452380952380953" r="203">
      <c r="A203" s="3449" t="s">
        <v>3323</v>
      </c>
      <c r="B203" s="3449">
        <v>46261</v>
      </c>
      <c r="C203" s="3449" t="str">
        <v>Thursday</v>
      </c>
      <c r="D203" s="3421" t="s">
        <v>3325</v>
      </c>
      <c r="E203" s="3451">
        <v>3</v>
      </c>
      <c r="F203" s="3425" t="s">
        <v>3271</v>
      </c>
      <c r="G203" s="3588"/>
      <c r="H203" s="3425" t="s">
        <v>3106</v>
      </c>
      <c r="I203" s="3451"/>
      <c r="J203" s="3589"/>
      <c r="K203" s="3463"/>
      <c r="L203" s="3463"/>
      <c r="M203" s="3463"/>
      <c r="N203" s="3463"/>
      <c r="O203" s="3463"/>
      <c r="P203" s="3463"/>
    </row>
    <row customHeight="true" ht="18.452380952380953" r="204">
      <c r="A204" s="3449" t="s">
        <v>3323</v>
      </c>
      <c r="B204" s="3428">
        <v>46262</v>
      </c>
      <c r="C204" s="3449" t="str">
        <v>Friday</v>
      </c>
      <c r="D204" s="3421" t="s">
        <v>3153</v>
      </c>
      <c r="E204" s="3451">
        <v>3</v>
      </c>
      <c r="F204" s="3425" t="s">
        <v>3272</v>
      </c>
      <c r="G204" s="3584"/>
      <c r="H204" s="3425" t="s">
        <v>3106</v>
      </c>
      <c r="I204" s="3451"/>
      <c r="J204" s="3589"/>
      <c r="K204" s="3427"/>
      <c r="L204" s="3427"/>
      <c r="M204" s="3427"/>
      <c r="N204" s="3427"/>
      <c r="O204" s="3427"/>
      <c r="P204" s="3427"/>
    </row>
    <row customHeight="true" ht="18.452380952380953" r="205">
      <c r="A205" s="3449" t="s">
        <v>3323</v>
      </c>
      <c r="B205" s="3428">
        <v>46262</v>
      </c>
      <c r="C205" s="3449" t="str">
        <v>Friday</v>
      </c>
      <c r="D205" s="3421" t="s">
        <v>3153</v>
      </c>
      <c r="E205" s="3451">
        <v>3</v>
      </c>
      <c r="F205" s="3425"/>
      <c r="G205" s="3584"/>
      <c r="H205" s="3425" t="s">
        <v>3106</v>
      </c>
      <c r="I205" s="3451"/>
      <c r="J205" s="3589"/>
      <c r="K205" s="3427"/>
      <c r="L205" s="3427"/>
      <c r="M205" s="3427"/>
      <c r="N205" s="3427"/>
      <c r="O205" s="3427"/>
      <c r="P205" s="3427"/>
    </row>
    <row r="206">
      <c r="A206" s="3618" t="s">
        <v>3326</v>
      </c>
      <c r="B206" s="3618"/>
      <c r="C206" s="3618"/>
      <c r="D206" s="3618"/>
      <c r="E206" s="3619"/>
      <c r="F206" s="3618"/>
      <c r="G206" s="3619"/>
      <c r="H206" s="3618"/>
      <c r="I206" s="3618"/>
      <c r="J206" s="3620"/>
      <c r="K206" s="3467"/>
      <c r="L206" s="3467"/>
      <c r="M206" s="3467"/>
      <c r="N206" s="3467"/>
      <c r="O206" s="3467"/>
      <c r="P206" s="3467"/>
    </row>
    <row r="207">
      <c r="A207" s="3621" t="s">
        <v>3122</v>
      </c>
      <c r="B207" s="3622" t="s">
        <v>3123</v>
      </c>
      <c r="C207" s="3622"/>
      <c r="D207" s="3623" t="s">
        <v>3124</v>
      </c>
      <c r="E207" s="3624" t="s">
        <v>3125</v>
      </c>
      <c r="F207" s="3624" t="s">
        <v>3126</v>
      </c>
      <c r="G207" s="3625" t="s">
        <v>3148</v>
      </c>
      <c r="H207" s="3626" t="s">
        <v>3128</v>
      </c>
      <c r="I207" s="3626" t="s">
        <v>3129</v>
      </c>
      <c r="J207" s="3627" t="s">
        <v>3130</v>
      </c>
      <c r="K207" s="3448"/>
      <c r="L207" s="3448"/>
      <c r="M207" s="3448"/>
      <c r="N207" s="3448"/>
      <c r="O207" s="3448"/>
      <c r="P207" s="3448"/>
    </row>
    <row r="208">
      <c r="A208" s="3628" t="s">
        <v>3327</v>
      </c>
      <c r="B208" s="3581">
        <v>46261</v>
      </c>
      <c r="C208" s="3582" t="str">
        <v>Thursday</v>
      </c>
      <c r="D208" s="3583" t="s">
        <v>3260</v>
      </c>
      <c r="E208" s="3514">
        <f>24*MOD(TIMEVALUE(TRIM(MID(D208,FIND("-",D208)+1,LEN(D208)))) - TIMEVALUE(TRIM(LEFT(D208,FIND("-",D208)-1))),1)</f>
      </c>
      <c r="F208" s="3514" t="s">
        <v>3259</v>
      </c>
      <c r="G208" s="3629"/>
      <c r="H208" s="3514" t="s">
        <v>3106</v>
      </c>
      <c r="I208" s="3514" t="s">
        <v>3107</v>
      </c>
      <c r="J208" s="3630"/>
      <c r="K208" s="3498"/>
      <c r="L208" s="3498"/>
      <c r="M208" s="3498"/>
      <c r="N208" s="3498"/>
      <c r="O208" s="3498"/>
      <c r="P208" s="3498"/>
    </row>
    <row customHeight="true" ht="16.071428571428573" r="209">
      <c r="A209" s="3449"/>
      <c r="B209" s="3428"/>
      <c r="C209" s="3449"/>
      <c r="D209" s="3450"/>
      <c r="E209" s="3450"/>
      <c r="F209" s="3613"/>
      <c r="G209" s="3584"/>
      <c r="H209" s="3425"/>
      <c r="I209" s="3451"/>
      <c r="J209" s="3589"/>
      <c r="K209" s="3427"/>
      <c r="L209" s="3427"/>
      <c r="M209" s="3427"/>
      <c r="N209" s="3427"/>
      <c r="O209" s="3427"/>
      <c r="P209" s="3427"/>
    </row>
    <row customHeight="true" ht="16.071428571428573" r="210">
      <c r="A210" s="3631" t="s">
        <v>3328</v>
      </c>
      <c r="B210" s="3632"/>
      <c r="C210" s="3632"/>
      <c r="D210" s="3632"/>
      <c r="E210" s="3633"/>
      <c r="F210" s="3632"/>
      <c r="G210" s="3633"/>
      <c r="H210" s="3632"/>
      <c r="I210" s="3632"/>
      <c r="J210" s="3634"/>
      <c r="K210" s="3467"/>
      <c r="L210" s="3467"/>
      <c r="M210" s="3467"/>
      <c r="N210" s="3467"/>
      <c r="O210" s="3467"/>
      <c r="P210" s="3467"/>
    </row>
    <row customHeight="true" ht="30.357142857142858" r="211">
      <c r="A211" s="3635" t="s">
        <v>3122</v>
      </c>
      <c r="B211" s="3636" t="s">
        <v>3123</v>
      </c>
      <c r="C211" s="3636"/>
      <c r="D211" s="3637" t="s">
        <v>3124</v>
      </c>
      <c r="E211" s="3638" t="s">
        <v>3125</v>
      </c>
      <c r="F211" s="3638" t="s">
        <v>3126</v>
      </c>
      <c r="G211" s="3639" t="s">
        <v>3148</v>
      </c>
      <c r="H211" s="3640" t="s">
        <v>3128</v>
      </c>
      <c r="I211" s="3640" t="s">
        <v>3129</v>
      </c>
      <c r="J211" s="3641" t="s">
        <v>3130</v>
      </c>
      <c r="K211" s="3448"/>
      <c r="L211" s="3448"/>
      <c r="M211" s="3448"/>
      <c r="N211" s="3448"/>
      <c r="O211" s="3448"/>
      <c r="P211" s="3448"/>
    </row>
    <row customHeight="true" ht="16.071428571428573" r="212">
      <c r="A212" s="3449" t="s">
        <v>3329</v>
      </c>
      <c r="B212" s="3428">
        <v>46258</v>
      </c>
      <c r="C212" s="3449" t="str">
        <v>Monday</v>
      </c>
      <c r="D212" s="3421" t="s">
        <v>3330</v>
      </c>
      <c r="E212" s="3450">
        <v>2</v>
      </c>
      <c r="F212" s="3425" t="s">
        <v>3331</v>
      </c>
      <c r="G212" s="3425" t="s">
        <v>3272</v>
      </c>
      <c r="H212" s="3425" t="s">
        <v>3198</v>
      </c>
      <c r="I212" s="3451" t="s">
        <v>3107</v>
      </c>
      <c r="J212" s="3585" t="s">
        <v>3332</v>
      </c>
      <c r="K212" s="3427"/>
      <c r="L212" s="3427"/>
      <c r="M212" s="3427"/>
      <c r="N212" s="3427"/>
      <c r="O212" s="3427"/>
      <c r="P212" s="3427"/>
    </row>
    <row customHeight="true" ht="16.071428571428573" r="213">
      <c r="A213" s="3449" t="s">
        <v>3329</v>
      </c>
      <c r="B213" s="3428">
        <v>46260</v>
      </c>
      <c r="C213" s="3449" t="str">
        <v>Wednesday</v>
      </c>
      <c r="D213" s="3421" t="s">
        <v>3266</v>
      </c>
      <c r="E213" s="3450">
        <v>3</v>
      </c>
      <c r="F213" s="3425" t="s">
        <v>3333</v>
      </c>
      <c r="G213" s="3425" t="s">
        <v>3272</v>
      </c>
      <c r="H213" s="3425" t="s">
        <v>3198</v>
      </c>
      <c r="I213" s="3451" t="s">
        <v>3107</v>
      </c>
      <c r="J213" s="3585" t="s">
        <v>3332</v>
      </c>
      <c r="K213" s="3427"/>
      <c r="L213" s="3427"/>
      <c r="M213" s="3427"/>
      <c r="N213" s="3427"/>
      <c r="O213" s="3427"/>
      <c r="P213" s="3427"/>
    </row>
    <row customHeight="true" ht="16.071428571428573" r="214">
      <c r="A214" s="3449" t="s">
        <v>3329</v>
      </c>
      <c r="B214" s="3428">
        <v>46262</v>
      </c>
      <c r="C214" s="3449" t="str">
        <v>Friday</v>
      </c>
      <c r="D214" s="3421" t="s">
        <v>3334</v>
      </c>
      <c r="E214" s="3450">
        <v>3</v>
      </c>
      <c r="F214" s="3425" t="s">
        <v>3333</v>
      </c>
      <c r="G214" s="3425" t="s">
        <v>3272</v>
      </c>
      <c r="H214" s="3425" t="s">
        <v>3106</v>
      </c>
      <c r="I214" s="3451" t="s">
        <v>3107</v>
      </c>
      <c r="J214" s="3585" t="s">
        <v>3335</v>
      </c>
      <c r="K214" s="3427"/>
      <c r="L214" s="3427"/>
      <c r="M214" s="3427"/>
      <c r="N214" s="3427"/>
      <c r="O214" s="3427"/>
      <c r="P214" s="3427"/>
    </row>
    <row customHeight="true" ht="16.071428571428573" r="215">
      <c r="A215" s="3449"/>
      <c r="B215" s="3428"/>
      <c r="C215" s="3449"/>
      <c r="D215" s="3421"/>
      <c r="E215" s="3425"/>
      <c r="F215" s="3425"/>
      <c r="G215" s="3584"/>
      <c r="H215" s="3425"/>
      <c r="I215" s="3451"/>
      <c r="J215" s="3589"/>
      <c r="K215" s="3427"/>
      <c r="L215" s="3427"/>
      <c r="M215" s="3427"/>
      <c r="N215" s="3427"/>
      <c r="O215" s="3427"/>
      <c r="P215" s="3427"/>
    </row>
    <row customHeight="true" ht="16.071428571428573" r="216">
      <c r="A216" s="3449" t="s">
        <v>3336</v>
      </c>
      <c r="B216" s="3428">
        <v>46258</v>
      </c>
      <c r="C216" s="3449" t="str">
        <v>Monday</v>
      </c>
      <c r="D216" s="3421" t="s">
        <v>3337</v>
      </c>
      <c r="E216" s="3450">
        <v>1</v>
      </c>
      <c r="F216" s="3425" t="s">
        <v>3331</v>
      </c>
      <c r="G216" s="3425"/>
      <c r="H216" s="3425" t="s">
        <v>3198</v>
      </c>
      <c r="I216" s="3451" t="s">
        <v>3107</v>
      </c>
      <c r="J216" s="3589"/>
      <c r="K216" s="3427"/>
      <c r="L216" s="3427"/>
      <c r="M216" s="3427"/>
      <c r="N216" s="3427"/>
      <c r="O216" s="3427"/>
      <c r="P216" s="3427"/>
    </row>
    <row customHeight="true" ht="16.071428571428573" r="217">
      <c r="A217" s="3449" t="s">
        <v>3338</v>
      </c>
      <c r="B217" s="3428">
        <v>46258</v>
      </c>
      <c r="C217" s="3449" t="str">
        <v>Monday</v>
      </c>
      <c r="D217" s="3421" t="s">
        <v>3330</v>
      </c>
      <c r="E217" s="3450">
        <v>2</v>
      </c>
      <c r="F217" s="3425" t="s">
        <v>3272</v>
      </c>
      <c r="G217" s="3425"/>
      <c r="H217" s="3425" t="s">
        <v>3198</v>
      </c>
      <c r="I217" s="3451" t="s">
        <v>3107</v>
      </c>
      <c r="J217" s="3589"/>
      <c r="K217" s="3427"/>
      <c r="L217" s="3427"/>
      <c r="M217" s="3427"/>
      <c r="N217" s="3427"/>
      <c r="O217" s="3427"/>
      <c r="P217" s="3427"/>
    </row>
    <row customHeight="true" ht="16.071428571428573" r="218">
      <c r="A218" s="3449" t="s">
        <v>3336</v>
      </c>
      <c r="B218" s="3428">
        <v>46258</v>
      </c>
      <c r="C218" s="3449" t="str">
        <v>Monday</v>
      </c>
      <c r="D218" s="3421" t="s">
        <v>3337</v>
      </c>
      <c r="E218" s="3450">
        <v>1</v>
      </c>
      <c r="F218" s="3425" t="s">
        <v>3272</v>
      </c>
      <c r="G218" s="3425"/>
      <c r="H218" s="3425" t="s">
        <v>3198</v>
      </c>
      <c r="I218" s="3451" t="s">
        <v>3107</v>
      </c>
      <c r="J218" s="3589"/>
      <c r="K218" s="3427"/>
      <c r="L218" s="3427"/>
      <c r="M218" s="3427"/>
      <c r="N218" s="3427"/>
      <c r="O218" s="3427"/>
      <c r="P218" s="3427"/>
    </row>
    <row customHeight="true" ht="16.071428571428573" r="219">
      <c r="A219" s="3449" t="s">
        <v>3336</v>
      </c>
      <c r="B219" s="3428">
        <v>46260</v>
      </c>
      <c r="C219" s="3449" t="str">
        <v>Wednesday</v>
      </c>
      <c r="D219" s="3421" t="s">
        <v>3339</v>
      </c>
      <c r="E219" s="3450">
        <v>0.75</v>
      </c>
      <c r="F219" s="3425" t="s">
        <v>3333</v>
      </c>
      <c r="G219" s="3425" t="s">
        <v>3272</v>
      </c>
      <c r="H219" s="3425" t="s">
        <v>3198</v>
      </c>
      <c r="I219" s="3451" t="s">
        <v>3107</v>
      </c>
      <c r="J219" s="3585" t="s">
        <v>3340</v>
      </c>
      <c r="K219" s="3427"/>
      <c r="L219" s="3427"/>
      <c r="M219" s="3427"/>
      <c r="N219" s="3427"/>
      <c r="O219" s="3427"/>
      <c r="P219" s="3427"/>
    </row>
    <row customHeight="true" ht="16.071428571428573" r="220">
      <c r="A220" s="3449" t="s">
        <v>3336</v>
      </c>
      <c r="B220" s="3428">
        <v>46260</v>
      </c>
      <c r="C220" s="3449" t="str">
        <v>Wednesday</v>
      </c>
      <c r="D220" s="3421" t="s">
        <v>3341</v>
      </c>
      <c r="E220" s="3450">
        <v>1</v>
      </c>
      <c r="F220" s="3425" t="s">
        <v>3272</v>
      </c>
      <c r="G220" s="3425"/>
      <c r="H220" s="3425"/>
      <c r="I220" s="3451"/>
      <c r="J220" s="3585"/>
      <c r="K220" s="3427"/>
      <c r="L220" s="3427"/>
      <c r="M220" s="3427"/>
      <c r="N220" s="3427"/>
      <c r="O220" s="3427"/>
      <c r="P220" s="3427"/>
    </row>
    <row customHeight="true" ht="16.071428571428573" r="221">
      <c r="A221" s="3449" t="s">
        <v>3338</v>
      </c>
      <c r="B221" s="3428">
        <v>46260</v>
      </c>
      <c r="C221" s="3449" t="str">
        <v>Wednesday</v>
      </c>
      <c r="D221" s="3421" t="s">
        <v>3266</v>
      </c>
      <c r="E221" s="3450">
        <v>3</v>
      </c>
      <c r="F221" s="3425" t="s">
        <v>3272</v>
      </c>
      <c r="G221" s="3425"/>
      <c r="H221" s="3425" t="s">
        <v>3198</v>
      </c>
      <c r="I221" s="3451" t="s">
        <v>3107</v>
      </c>
      <c r="J221" s="3585"/>
      <c r="K221" s="3427"/>
      <c r="L221" s="3427"/>
      <c r="M221" s="3427"/>
      <c r="N221" s="3427"/>
      <c r="O221" s="3427"/>
      <c r="P221" s="3427"/>
    </row>
    <row customHeight="true" ht="16.071428571428573" r="222">
      <c r="A222" s="3449"/>
      <c r="B222" s="3428"/>
      <c r="C222" s="3449"/>
      <c r="D222" s="3421"/>
      <c r="E222" s="3450"/>
      <c r="F222" s="3425"/>
      <c r="G222" s="3425"/>
      <c r="H222" s="3425"/>
      <c r="I222" s="3451"/>
      <c r="J222" s="3589"/>
      <c r="K222" s="3427"/>
      <c r="L222" s="3427"/>
      <c r="M222" s="3427"/>
      <c r="N222" s="3427"/>
      <c r="O222" s="3427"/>
      <c r="P222" s="3427"/>
    </row>
    <row customHeight="true" ht="16.071428571428573" r="223">
      <c r="A223" s="3449" t="s">
        <v>3338</v>
      </c>
      <c r="B223" s="3428">
        <v>46262</v>
      </c>
      <c r="C223" s="3449" t="str">
        <v>Friday</v>
      </c>
      <c r="D223" s="3421" t="s">
        <v>3342</v>
      </c>
      <c r="E223" s="3450">
        <f>2/6+2</f>
      </c>
      <c r="F223" s="3425" t="s">
        <v>3272</v>
      </c>
      <c r="G223" s="3425"/>
      <c r="H223" s="3425" t="s">
        <v>3106</v>
      </c>
      <c r="I223" s="3451" t="s">
        <v>3107</v>
      </c>
      <c r="J223" s="3589"/>
      <c r="K223" s="3427"/>
      <c r="L223" s="3427"/>
      <c r="M223" s="3427"/>
      <c r="N223" s="3427"/>
      <c r="O223" s="3427"/>
      <c r="P223" s="3427"/>
    </row>
    <row customHeight="true" ht="16.071428571428573" r="224">
      <c r="A224" s="3449"/>
      <c r="B224" s="3428"/>
      <c r="C224" s="3449"/>
      <c r="D224" s="3450"/>
      <c r="E224" s="3450"/>
      <c r="F224" s="3613"/>
      <c r="G224" s="3584"/>
      <c r="H224" s="3425"/>
      <c r="I224" s="3451"/>
      <c r="J224" s="3589"/>
      <c r="K224" s="3427"/>
      <c r="L224" s="3427"/>
      <c r="M224" s="3427"/>
      <c r="N224" s="3427"/>
      <c r="O224" s="3427"/>
      <c r="P224" s="3427"/>
    </row>
    <row customHeight="true" ht="16.071428571428573" r="225">
      <c r="A225" s="3449"/>
      <c r="B225" s="3428"/>
      <c r="C225" s="3449"/>
      <c r="D225" s="3450"/>
      <c r="E225" s="3450"/>
      <c r="F225" s="3451"/>
      <c r="G225" s="3584"/>
      <c r="H225" s="3425"/>
      <c r="I225" s="3451"/>
      <c r="J225" s="3589"/>
      <c r="K225" s="3427"/>
      <c r="L225" s="3427"/>
      <c r="M225" s="3427"/>
      <c r="N225" s="3427"/>
      <c r="O225" s="3427"/>
      <c r="P225" s="3427"/>
    </row>
    <row customHeight="true" ht="16.071428571428573" r="226">
      <c r="A226" s="3449"/>
      <c r="B226" s="3449"/>
      <c r="C226" s="3449"/>
      <c r="D226" s="3425"/>
      <c r="E226" s="3425"/>
      <c r="F226" s="3425"/>
      <c r="G226" s="3588"/>
      <c r="H226" s="3425"/>
      <c r="I226" s="3451"/>
      <c r="J226" s="3589"/>
      <c r="K226" s="3427"/>
      <c r="L226" s="3427"/>
      <c r="M226" s="3427"/>
      <c r="N226" s="3427"/>
      <c r="O226" s="3427"/>
      <c r="P226" s="3427"/>
    </row>
    <row customHeight="true" ht="16.071428571428573" r="227">
      <c r="A227" s="3642" t="s">
        <v>3343</v>
      </c>
      <c r="B227" s="3643"/>
      <c r="C227" s="3643"/>
      <c r="D227" s="3643"/>
      <c r="E227" s="3643"/>
      <c r="F227" s="3643"/>
      <c r="G227" s="3643"/>
      <c r="H227" s="3644"/>
      <c r="I227" s="3643"/>
      <c r="J227" s="3643"/>
      <c r="K227" s="3498"/>
      <c r="L227" s="3498"/>
      <c r="M227" s="3498"/>
      <c r="N227" s="3498"/>
      <c r="O227" s="3498"/>
      <c r="P227" s="3498"/>
    </row>
    <row customHeight="true" ht="65.32578205231651" r="228">
      <c r="A228" s="3645" t="s">
        <v>3122</v>
      </c>
      <c r="B228" s="3646" t="s">
        <v>3123</v>
      </c>
      <c r="C228" s="3646"/>
      <c r="D228" s="3647" t="s">
        <v>3124</v>
      </c>
      <c r="E228" s="3648" t="s">
        <v>3125</v>
      </c>
      <c r="F228" s="3648" t="s">
        <v>3126</v>
      </c>
      <c r="G228" s="3649" t="s">
        <v>3148</v>
      </c>
      <c r="H228" s="3648" t="s">
        <v>3128</v>
      </c>
      <c r="I228" s="3648" t="s">
        <v>3129</v>
      </c>
      <c r="J228" s="3650" t="s">
        <v>3130</v>
      </c>
      <c r="K228" s="3448"/>
      <c r="L228" s="3448"/>
      <c r="M228" s="3448"/>
      <c r="N228" s="3448"/>
      <c r="O228" s="3448"/>
      <c r="P228" s="3448"/>
    </row>
    <row customHeight="true" ht="16.071428571428573" r="229">
      <c r="A229" s="3454" t="s">
        <v>3344</v>
      </c>
      <c r="B229" s="3455">
        <v>46625</v>
      </c>
      <c r="C229" s="3454" t="str">
        <v>Thursday</v>
      </c>
      <c r="D229" s="3478" t="s">
        <v>3287</v>
      </c>
      <c r="E229" s="3478">
        <v>2</v>
      </c>
      <c r="F229" s="3651" t="s">
        <v>3109</v>
      </c>
      <c r="G229" s="3479" t="s">
        <v>3345</v>
      </c>
      <c r="H229" s="3458" t="s">
        <v>3106</v>
      </c>
      <c r="I229" s="3543" t="s">
        <v>3107</v>
      </c>
      <c r="J229" s="3478" t="s">
        <v>3346</v>
      </c>
      <c r="K229" s="3460"/>
      <c r="L229" s="3460"/>
      <c r="M229" s="3460"/>
      <c r="N229" s="3460"/>
      <c r="O229" s="3460"/>
      <c r="P229" s="3460"/>
    </row>
    <row customHeight="true" ht="16.071428571428573" r="230">
      <c r="A230" s="3582" t="s">
        <v>3344</v>
      </c>
      <c r="B230" s="3428">
        <v>46262</v>
      </c>
      <c r="C230" s="3449" t="str">
        <v>Friday</v>
      </c>
      <c r="D230" s="3421" t="s">
        <v>3347</v>
      </c>
      <c r="E230" s="3450">
        <v>2</v>
      </c>
      <c r="F230" s="3425" t="s">
        <v>3246</v>
      </c>
      <c r="G230" s="3652" t="s">
        <v>3345</v>
      </c>
      <c r="H230" s="3514" t="s">
        <v>3106</v>
      </c>
      <c r="I230" s="3435" t="s">
        <v>3107</v>
      </c>
      <c r="J230" s="3451"/>
      <c r="K230" s="3463"/>
      <c r="L230" s="3463"/>
      <c r="M230" s="3463"/>
      <c r="N230" s="3463"/>
      <c r="O230" s="3463"/>
      <c r="P230" s="3463"/>
    </row>
    <row customHeight="true" ht="16.071428571428573" r="231">
      <c r="A231" s="3582"/>
      <c r="B231" s="3428"/>
      <c r="C231" s="3449"/>
      <c r="D231" s="3421"/>
      <c r="E231" s="3450"/>
      <c r="F231" s="3425"/>
      <c r="G231" s="3652"/>
      <c r="H231" s="3514"/>
      <c r="I231" s="3435"/>
      <c r="J231" s="3451"/>
      <c r="K231" s="3463"/>
      <c r="L231" s="3463"/>
      <c r="M231" s="3463"/>
      <c r="N231" s="3463"/>
      <c r="O231" s="3463"/>
      <c r="P231" s="3463"/>
    </row>
    <row customHeight="true" ht="16.071428571428573" r="232">
      <c r="A232" s="3582" t="s">
        <v>3348</v>
      </c>
      <c r="B232" s="3428">
        <v>46258</v>
      </c>
      <c r="C232" s="3449" t="str">
        <v>Monday</v>
      </c>
      <c r="D232" s="3421" t="s">
        <v>3349</v>
      </c>
      <c r="E232" s="3450">
        <v>2</v>
      </c>
      <c r="F232" s="3423" t="s">
        <v>3109</v>
      </c>
      <c r="G232" s="3652" t="s">
        <v>3350</v>
      </c>
      <c r="H232" s="3514" t="s">
        <v>3198</v>
      </c>
      <c r="I232" s="3435" t="s">
        <v>3107</v>
      </c>
      <c r="J232" s="3514"/>
      <c r="K232" s="3427"/>
      <c r="L232" s="3427"/>
      <c r="M232" s="3427"/>
      <c r="N232" s="3427"/>
      <c r="O232" s="3427"/>
      <c r="P232" s="3427"/>
    </row>
    <row customHeight="true" ht="16.071428571428573" r="233">
      <c r="A233" s="3582" t="s">
        <v>3348</v>
      </c>
      <c r="B233" s="3428">
        <v>46258</v>
      </c>
      <c r="C233" s="3449" t="str">
        <v>Monday</v>
      </c>
      <c r="D233" s="3421" t="s">
        <v>3116</v>
      </c>
      <c r="E233" s="3450">
        <v>1</v>
      </c>
      <c r="F233" s="3462" t="s">
        <v>3213</v>
      </c>
      <c r="G233" s="3652" t="s">
        <v>3345</v>
      </c>
      <c r="H233" s="3451" t="s">
        <v>3198</v>
      </c>
      <c r="I233" s="3451" t="s">
        <v>3107</v>
      </c>
      <c r="J233" s="3514"/>
      <c r="K233" s="3427"/>
      <c r="L233" s="3427"/>
      <c r="M233" s="3427"/>
      <c r="N233" s="3427"/>
      <c r="O233" s="3427"/>
      <c r="P233" s="3427"/>
    </row>
    <row customHeight="true" ht="16.071428571428573" r="234">
      <c r="A234" s="3582" t="s">
        <v>3348</v>
      </c>
      <c r="B234" s="3449">
        <v>46260</v>
      </c>
      <c r="C234" s="3449" t="str">
        <v>Wednesday</v>
      </c>
      <c r="D234" s="3421" t="s">
        <v>3347</v>
      </c>
      <c r="E234" s="3451">
        <v>2</v>
      </c>
      <c r="F234" s="3462" t="s">
        <v>3246</v>
      </c>
      <c r="G234" s="3653" t="s">
        <v>3345</v>
      </c>
      <c r="H234" s="3451" t="s">
        <v>3198</v>
      </c>
      <c r="I234" s="3435" t="s">
        <v>3107</v>
      </c>
      <c r="J234" s="3451"/>
      <c r="K234" s="3463"/>
      <c r="L234" s="3463"/>
      <c r="M234" s="3463"/>
      <c r="N234" s="3463"/>
      <c r="O234" s="3463"/>
      <c r="P234" s="3463"/>
    </row>
    <row customHeight="true" ht="16.071428571428573" r="235">
      <c r="A235" s="3582" t="s">
        <v>3348</v>
      </c>
      <c r="B235" s="3581">
        <v>46261</v>
      </c>
      <c r="C235" s="3582" t="str">
        <v>Thursday</v>
      </c>
      <c r="D235" s="3583" t="s">
        <v>3351</v>
      </c>
      <c r="E235" s="3583">
        <v>1.5</v>
      </c>
      <c r="F235" s="3654" t="s">
        <v>3352</v>
      </c>
      <c r="G235" s="3655" t="s">
        <v>3345</v>
      </c>
      <c r="H235" s="3514" t="s">
        <v>3106</v>
      </c>
      <c r="I235" s="3514" t="s">
        <v>3107</v>
      </c>
      <c r="J235" s="3514"/>
      <c r="K235" s="3427"/>
      <c r="L235" s="3427"/>
      <c r="M235" s="3427"/>
      <c r="N235" s="3427"/>
      <c r="O235" s="3427"/>
      <c r="P235" s="3427"/>
    </row>
    <row customHeight="true" ht="16.071428571428573" r="236">
      <c r="A236" s="3582" t="s">
        <v>3348</v>
      </c>
      <c r="B236" s="3449">
        <v>46260</v>
      </c>
      <c r="C236" s="3449" t="str">
        <v>Wednesday</v>
      </c>
      <c r="D236" s="3421" t="s">
        <v>3353</v>
      </c>
      <c r="E236" s="3421">
        <v>0.5</v>
      </c>
      <c r="F236" s="3462" t="s">
        <v>3213</v>
      </c>
      <c r="G236" s="3652" t="s">
        <v>3345</v>
      </c>
      <c r="H236" s="3514" t="s">
        <v>3106</v>
      </c>
      <c r="I236" s="3435" t="s">
        <v>3107</v>
      </c>
      <c r="J236" s="3451"/>
      <c r="K236" s="3463"/>
      <c r="L236" s="3463"/>
      <c r="M236" s="3463"/>
      <c r="N236" s="3463"/>
      <c r="O236" s="3463"/>
      <c r="P236" s="3463"/>
    </row>
    <row customHeight="true" ht="16.071428571428573" r="237">
      <c r="A237" s="3582" t="s">
        <v>3348</v>
      </c>
      <c r="B237" s="3428">
        <v>46625</v>
      </c>
      <c r="C237" s="3449" t="str">
        <v>Thursday</v>
      </c>
      <c r="D237" s="3421" t="s">
        <v>3354</v>
      </c>
      <c r="E237" s="3450">
        <v>1</v>
      </c>
      <c r="F237" s="3423" t="s">
        <v>3109</v>
      </c>
      <c r="G237" s="3652" t="s">
        <v>3345</v>
      </c>
      <c r="H237" s="3514" t="s">
        <v>3198</v>
      </c>
      <c r="I237" s="3435" t="s">
        <v>3107</v>
      </c>
      <c r="J237" s="3451"/>
      <c r="K237" s="3463"/>
      <c r="L237" s="3463"/>
      <c r="M237" s="3463"/>
      <c r="N237" s="3463"/>
      <c r="O237" s="3463"/>
      <c r="P237" s="3463"/>
    </row>
    <row customHeight="true" ht="16.071428571428573" r="238">
      <c r="A238" s="3454" t="s">
        <v>3348</v>
      </c>
      <c r="B238" s="3455">
        <v>46625</v>
      </c>
      <c r="C238" s="3454" t="str">
        <v>Thursday</v>
      </c>
      <c r="D238" s="3478" t="s">
        <v>3354</v>
      </c>
      <c r="E238" s="3478">
        <v>1</v>
      </c>
      <c r="F238" s="3458" t="s">
        <v>3355</v>
      </c>
      <c r="G238" s="3479" t="s">
        <v>3345</v>
      </c>
      <c r="H238" s="3458" t="s">
        <v>3198</v>
      </c>
      <c r="I238" s="3543" t="s">
        <v>3107</v>
      </c>
      <c r="J238" s="3478" t="s">
        <v>3356</v>
      </c>
      <c r="K238" s="3460"/>
      <c r="L238" s="3460"/>
      <c r="M238" s="3460"/>
      <c r="N238" s="3460"/>
      <c r="O238" s="3460"/>
      <c r="P238" s="3460"/>
    </row>
    <row customHeight="true" ht="16.071428571428573" r="239">
      <c r="A239" s="3582" t="s">
        <v>3348</v>
      </c>
      <c r="B239" s="3428">
        <v>46625</v>
      </c>
      <c r="C239" s="3449" t="str">
        <v>Thursday</v>
      </c>
      <c r="D239" s="3421" t="s">
        <v>3116</v>
      </c>
      <c r="E239" s="3421">
        <v>1</v>
      </c>
      <c r="F239" s="3423" t="s">
        <v>3109</v>
      </c>
      <c r="G239" s="3652" t="s">
        <v>3345</v>
      </c>
      <c r="H239" s="3514" t="s">
        <v>3198</v>
      </c>
      <c r="I239" s="3435" t="s">
        <v>3107</v>
      </c>
      <c r="J239" s="3583"/>
      <c r="K239" s="3427"/>
      <c r="L239" s="3427"/>
      <c r="M239" s="3427"/>
      <c r="N239" s="3427"/>
      <c r="O239" s="3427"/>
      <c r="P239" s="3427"/>
    </row>
    <row customHeight="true" ht="16.071428571428573" r="240">
      <c r="A240" s="3656"/>
      <c r="B240" s="3657"/>
      <c r="C240" s="3656"/>
      <c r="D240" s="3658"/>
      <c r="E240" s="3658"/>
      <c r="F240" s="3659"/>
      <c r="G240" s="3660"/>
      <c r="H240" s="3659"/>
      <c r="I240" s="3659"/>
      <c r="J240" s="3659"/>
      <c r="K240" s="3661"/>
      <c r="L240" s="3661"/>
      <c r="M240" s="3661"/>
      <c r="N240" s="3661"/>
      <c r="O240" s="3661"/>
      <c r="P240" s="3661"/>
    </row>
    <row customHeight="true" ht="16.071428571428573" r="241">
      <c r="A241" s="3656" t="s">
        <v>3348</v>
      </c>
      <c r="B241" s="3657">
        <v>46260</v>
      </c>
      <c r="C241" s="3656" t="str">
        <v>Wednesday</v>
      </c>
      <c r="D241" s="3658" t="s">
        <v>3357</v>
      </c>
      <c r="E241" s="3659">
        <f>24*MOD(TIMEVALUE(TRIM(MID(D241,FIND("-",D241)+1,LEN(D241)))) - TIMEVALUE(TRIM(LEFT(D241,FIND("-",D241)-1))),1)</f>
      </c>
      <c r="F241" s="3659" t="s">
        <v>3138</v>
      </c>
      <c r="G241" s="3660" t="s">
        <v>3345</v>
      </c>
      <c r="H241" s="3659" t="s">
        <v>3106</v>
      </c>
      <c r="I241" s="3662" t="s">
        <v>3107</v>
      </c>
      <c r="J241" s="3663"/>
      <c r="K241" s="3661"/>
      <c r="L241" s="3661"/>
      <c r="M241" s="3661"/>
      <c r="N241" s="3661"/>
      <c r="O241" s="3661"/>
      <c r="P241" s="3661"/>
    </row>
    <row customHeight="true" ht="16.071428571428573" r="242">
      <c r="A242" s="3582"/>
      <c r="B242" s="3581"/>
      <c r="C242" s="3582"/>
      <c r="D242" s="3583"/>
      <c r="E242" s="3514"/>
      <c r="F242" s="3514"/>
      <c r="G242" s="3652"/>
      <c r="H242" s="3514"/>
      <c r="I242" s="3514"/>
      <c r="J242" s="3664"/>
      <c r="K242" s="3427"/>
      <c r="L242" s="3427"/>
      <c r="M242" s="3427"/>
      <c r="N242" s="3427"/>
      <c r="O242" s="3427"/>
      <c r="P242" s="3427"/>
    </row>
    <row customHeight="true" ht="16.071428571428573" r="243">
      <c r="A243" s="3449"/>
      <c r="B243" s="3428"/>
      <c r="C243" s="3449"/>
      <c r="D243" s="3450"/>
      <c r="E243" s="3450"/>
      <c r="F243" s="3425"/>
      <c r="G243" s="3584"/>
      <c r="H243" s="3425"/>
      <c r="I243" s="3451"/>
      <c r="J243" s="3589"/>
      <c r="K243" s="3427"/>
      <c r="L243" s="3427"/>
      <c r="M243" s="3427"/>
      <c r="N243" s="3427"/>
      <c r="O243" s="3427"/>
      <c r="P243" s="3427"/>
    </row>
    <row customHeight="true" ht="16.071428571428573" r="244">
      <c r="A244" s="3665" t="s">
        <v>3358</v>
      </c>
      <c r="B244" s="3666"/>
      <c r="C244" s="3667"/>
      <c r="D244" s="3668"/>
      <c r="E244" s="3669"/>
      <c r="F244" s="3669"/>
      <c r="G244" s="3670"/>
      <c r="H244" s="3669"/>
      <c r="I244" s="3669"/>
      <c r="J244" s="3671"/>
      <c r="K244" s="3672"/>
      <c r="L244" s="3672"/>
      <c r="M244" s="3672"/>
      <c r="N244" s="3672"/>
      <c r="O244" s="3672"/>
      <c r="P244" s="3672"/>
    </row>
    <row customHeight="true" ht="39.285714285714285" r="245">
      <c r="A245" s="3673" t="s">
        <v>3122</v>
      </c>
      <c r="B245" s="3674" t="s">
        <v>3123</v>
      </c>
      <c r="C245" s="3674"/>
      <c r="D245" s="3675" t="s">
        <v>3124</v>
      </c>
      <c r="E245" s="3676" t="s">
        <v>3125</v>
      </c>
      <c r="F245" s="3676" t="s">
        <v>3126</v>
      </c>
      <c r="G245" s="3677" t="s">
        <v>3148</v>
      </c>
      <c r="H245" s="3676" t="s">
        <v>3128</v>
      </c>
      <c r="I245" s="3676" t="s">
        <v>3129</v>
      </c>
      <c r="J245" s="3678" t="s">
        <v>3130</v>
      </c>
      <c r="K245" s="3679"/>
      <c r="L245" s="3679"/>
      <c r="M245" s="3679"/>
      <c r="N245" s="3679"/>
      <c r="O245" s="3679"/>
      <c r="P245" s="3679"/>
    </row>
    <row customHeight="true" ht="16.071428571428573" r="246">
      <c r="A246" s="3582"/>
      <c r="B246" s="3428"/>
      <c r="C246" s="3449"/>
      <c r="D246" s="3421"/>
      <c r="E246" s="3450"/>
      <c r="F246" s="3423"/>
      <c r="G246" s="3652"/>
      <c r="H246" s="3514"/>
      <c r="I246" s="3435"/>
      <c r="J246" s="3514"/>
      <c r="K246" s="3427"/>
      <c r="L246" s="3427"/>
      <c r="M246" s="3427"/>
      <c r="N246" s="3427"/>
      <c r="O246" s="3427"/>
      <c r="P246" s="3427"/>
    </row>
    <row customHeight="true" ht="16.071428571428573" r="247">
      <c r="A247" s="3582" t="s">
        <v>3358</v>
      </c>
      <c r="B247" s="3428">
        <v>46260</v>
      </c>
      <c r="C247" s="3449" t="str">
        <v>Wednesday</v>
      </c>
      <c r="D247" s="3421" t="s">
        <v>3330</v>
      </c>
      <c r="E247" s="3450">
        <v>2</v>
      </c>
      <c r="F247" s="3423" t="s">
        <v>3246</v>
      </c>
      <c r="G247" s="3652" t="s">
        <v>3345</v>
      </c>
      <c r="H247" s="3514" t="s">
        <v>3106</v>
      </c>
      <c r="I247" s="3435" t="s">
        <v>3107</v>
      </c>
      <c r="J247" s="3514"/>
      <c r="K247" s="3427"/>
      <c r="L247" s="3427"/>
      <c r="M247" s="3427"/>
      <c r="N247" s="3427"/>
      <c r="O247" s="3427"/>
      <c r="P247" s="3427"/>
    </row>
    <row customHeight="true" ht="16.071428571428573" r="248">
      <c r="A248" s="3582" t="s">
        <v>3358</v>
      </c>
      <c r="B248" s="3428">
        <v>46625</v>
      </c>
      <c r="C248" s="3449" t="str">
        <v>Thursday</v>
      </c>
      <c r="D248" s="3421" t="s">
        <v>3156</v>
      </c>
      <c r="E248" s="3450">
        <v>2</v>
      </c>
      <c r="F248" s="3423" t="s">
        <v>3109</v>
      </c>
      <c r="G248" s="3652" t="s">
        <v>3345</v>
      </c>
      <c r="H248" s="3514" t="s">
        <v>3106</v>
      </c>
      <c r="I248" s="3435" t="s">
        <v>3107</v>
      </c>
      <c r="J248" s="3514"/>
      <c r="K248" s="3427"/>
      <c r="L248" s="3427"/>
      <c r="M248" s="3427"/>
      <c r="N248" s="3427"/>
      <c r="O248" s="3427"/>
      <c r="P248" s="3427"/>
    </row>
    <row customHeight="true" ht="16.071428571428573" r="249">
      <c r="A249" s="3582" t="s">
        <v>3358</v>
      </c>
      <c r="B249" s="3428">
        <v>46262</v>
      </c>
      <c r="C249" s="3449" t="str">
        <v>Friday</v>
      </c>
      <c r="D249" s="3421" t="s">
        <v>3330</v>
      </c>
      <c r="E249" s="3450">
        <v>2</v>
      </c>
      <c r="F249" s="3423" t="s">
        <v>3246</v>
      </c>
      <c r="G249" s="3652" t="s">
        <v>3345</v>
      </c>
      <c r="H249" s="3514" t="s">
        <v>3106</v>
      </c>
      <c r="I249" s="3435" t="s">
        <v>3107</v>
      </c>
      <c r="J249" s="3514"/>
      <c r="K249" s="3427"/>
      <c r="L249" s="3427"/>
      <c r="M249" s="3427"/>
      <c r="N249" s="3427"/>
      <c r="O249" s="3427"/>
      <c r="P249" s="3427"/>
    </row>
    <row customHeight="true" ht="16.071428571428573" r="250">
      <c r="A250" s="3582" t="s">
        <v>3358</v>
      </c>
      <c r="B250" s="3428">
        <v>46264</v>
      </c>
      <c r="C250" s="3449" t="str">
        <v>Sunday</v>
      </c>
      <c r="D250" s="3421" t="s">
        <v>3347</v>
      </c>
      <c r="E250" s="3450">
        <v>2</v>
      </c>
      <c r="F250" s="3423" t="s">
        <v>3109</v>
      </c>
      <c r="G250" s="3652" t="s">
        <v>3345</v>
      </c>
      <c r="H250" s="3514" t="s">
        <v>3106</v>
      </c>
      <c r="I250" s="3435" t="s">
        <v>3107</v>
      </c>
      <c r="J250" s="3514"/>
      <c r="K250" s="3427"/>
      <c r="L250" s="3427"/>
      <c r="M250" s="3427"/>
      <c r="N250" s="3427"/>
      <c r="O250" s="3427"/>
      <c r="P250" s="3427"/>
    </row>
    <row customHeight="true" ht="16.071428571428573" r="251">
      <c r="A251" s="3582"/>
      <c r="B251" s="3428"/>
      <c r="C251" s="3449"/>
      <c r="D251" s="3421"/>
      <c r="E251" s="3450"/>
      <c r="F251" s="3425"/>
      <c r="G251" s="3652"/>
      <c r="H251" s="3514"/>
      <c r="I251" s="3451"/>
      <c r="J251" s="3514"/>
      <c r="K251" s="3427"/>
      <c r="L251" s="3427"/>
      <c r="M251" s="3427"/>
      <c r="N251" s="3427"/>
      <c r="O251" s="3427"/>
      <c r="P251" s="3427"/>
    </row>
    <row customHeight="true" ht="16.071428571428573" r="252">
      <c r="A252" s="3582" t="s">
        <v>3359</v>
      </c>
      <c r="B252" s="3428">
        <v>46258</v>
      </c>
      <c r="C252" s="3449" t="str">
        <v>Monday</v>
      </c>
      <c r="D252" s="3421" t="s">
        <v>3360</v>
      </c>
      <c r="E252" s="3450">
        <v>1</v>
      </c>
      <c r="F252" s="3423" t="s">
        <v>3109</v>
      </c>
      <c r="G252" s="3652" t="s">
        <v>3345</v>
      </c>
      <c r="H252" s="3514" t="s">
        <v>3106</v>
      </c>
      <c r="I252" s="3435" t="s">
        <v>3107</v>
      </c>
      <c r="J252" s="3514"/>
      <c r="K252" s="3427"/>
      <c r="L252" s="3427"/>
      <c r="M252" s="3427"/>
      <c r="N252" s="3427"/>
      <c r="O252" s="3427"/>
      <c r="P252" s="3427"/>
    </row>
    <row customHeight="true" ht="16.071428571428573" r="253">
      <c r="A253" s="3454" t="s">
        <v>3361</v>
      </c>
      <c r="B253" s="3455">
        <v>46260</v>
      </c>
      <c r="C253" s="3454" t="str">
        <v>Wednesday</v>
      </c>
      <c r="D253" s="3478" t="s">
        <v>3362</v>
      </c>
      <c r="E253" s="3458">
        <f>24*MOD(TIMEVALUE(TRIM(MID(D253,FIND("-",D253)+1,LEN(D253)))) - TIMEVALUE(TRIM(LEFT(D253,FIND("-",D253)-1))),1)</f>
      </c>
      <c r="F253" s="3458" t="s">
        <v>3138</v>
      </c>
      <c r="G253" s="3479" t="s">
        <v>3345</v>
      </c>
      <c r="H253" s="3458" t="s">
        <v>3106</v>
      </c>
      <c r="I253" s="3543" t="s">
        <v>3107</v>
      </c>
      <c r="J253" s="3481" t="s">
        <v>3363</v>
      </c>
      <c r="K253" s="3460"/>
      <c r="L253" s="3460"/>
      <c r="M253" s="3460"/>
      <c r="N253" s="3460"/>
      <c r="O253" s="3460"/>
      <c r="P253" s="3460"/>
    </row>
    <row customHeight="true" ht="16.071428571428573" r="254">
      <c r="A254" s="3454" t="s">
        <v>3359</v>
      </c>
      <c r="B254" s="3455">
        <v>46625</v>
      </c>
      <c r="C254" s="3454" t="str">
        <v>Thursday</v>
      </c>
      <c r="D254" s="3478" t="s">
        <v>3364</v>
      </c>
      <c r="E254" s="3478">
        <v>1</v>
      </c>
      <c r="F254" s="3458" t="s">
        <v>3355</v>
      </c>
      <c r="G254" s="3479" t="s">
        <v>3345</v>
      </c>
      <c r="H254" s="3458" t="s">
        <v>3106</v>
      </c>
      <c r="I254" s="3543" t="s">
        <v>3107</v>
      </c>
      <c r="J254" s="3478" t="s">
        <v>3356</v>
      </c>
      <c r="K254" s="3460"/>
      <c r="L254" s="3460"/>
      <c r="M254" s="3460"/>
      <c r="N254" s="3460"/>
      <c r="O254" s="3460"/>
      <c r="P254" s="3460"/>
    </row>
    <row customHeight="true" ht="16.071428571428573" r="255">
      <c r="A255" s="3582" t="s">
        <v>3359</v>
      </c>
      <c r="B255" s="3428">
        <v>46625</v>
      </c>
      <c r="C255" s="3449" t="str">
        <v>Thursday</v>
      </c>
      <c r="D255" s="3421" t="s">
        <v>3365</v>
      </c>
      <c r="E255" s="3450">
        <v>1.5</v>
      </c>
      <c r="F255" s="3423" t="s">
        <v>3109</v>
      </c>
      <c r="G255" s="3652" t="s">
        <v>3345</v>
      </c>
      <c r="H255" s="3514" t="s">
        <v>3106</v>
      </c>
      <c r="I255" s="3435" t="s">
        <v>3107</v>
      </c>
      <c r="J255" s="3589"/>
      <c r="K255" s="3427"/>
      <c r="L255" s="3427"/>
      <c r="M255" s="3427"/>
      <c r="N255" s="3427"/>
      <c r="O255" s="3427"/>
      <c r="P255" s="3427"/>
    </row>
    <row customHeight="true" ht="16.071428571428573" r="256">
      <c r="A256" s="3582" t="s">
        <v>3366</v>
      </c>
      <c r="B256" s="3428">
        <v>46625</v>
      </c>
      <c r="C256" s="3449" t="str">
        <v>Thursday</v>
      </c>
      <c r="D256" s="3421" t="s">
        <v>3367</v>
      </c>
      <c r="E256" s="3425">
        <f t="shared" ref="E256:E259" si="81">24*MOD(TIMEVALUE(TRIM(MID(D256,FIND("-",D256)+1,LEN(D256)))) - TIMEVALUE(TRIM(LEFT(D256,FIND("-",D256)-1))),1)</f>
      </c>
      <c r="F256" s="3514" t="s">
        <v>3138</v>
      </c>
      <c r="G256" s="3652" t="s">
        <v>3345</v>
      </c>
      <c r="H256" s="3514" t="s">
        <v>3106</v>
      </c>
      <c r="I256" s="3435" t="s">
        <v>3107</v>
      </c>
      <c r="J256" s="3664"/>
      <c r="K256" s="3427"/>
      <c r="L256" s="3427"/>
      <c r="M256" s="3427"/>
      <c r="N256" s="3427"/>
      <c r="O256" s="3427"/>
      <c r="P256" s="3427"/>
    </row>
    <row customHeight="true" ht="16.071428571428573" r="257">
      <c r="A257" s="3582" t="s">
        <v>3366</v>
      </c>
      <c r="B257" s="3428">
        <v>46626</v>
      </c>
      <c r="C257" s="3449" t="str">
        <v>Friday</v>
      </c>
      <c r="D257" s="3421" t="s">
        <v>3368</v>
      </c>
      <c r="E257" s="3425">
        <f t="shared" si="81"/>
      </c>
      <c r="F257" s="3514" t="s">
        <v>3138</v>
      </c>
      <c r="G257" s="3652" t="s">
        <v>3345</v>
      </c>
      <c r="H257" s="3514" t="s">
        <v>3106</v>
      </c>
      <c r="I257" s="3435" t="s">
        <v>3107</v>
      </c>
      <c r="J257" s="3664"/>
      <c r="K257" s="3427"/>
      <c r="L257" s="3427"/>
      <c r="M257" s="3427"/>
      <c r="N257" s="3427"/>
      <c r="O257" s="3427"/>
      <c r="P257" s="3427"/>
    </row>
    <row customHeight="true" ht="16.071428571428573" r="258">
      <c r="A258" s="3582" t="s">
        <v>3359</v>
      </c>
      <c r="B258" s="3428">
        <v>46626</v>
      </c>
      <c r="C258" s="3449" t="str">
        <v>Friday</v>
      </c>
      <c r="D258" s="3421" t="s">
        <v>3369</v>
      </c>
      <c r="E258" s="3425">
        <f t="shared" si="81"/>
      </c>
      <c r="F258" s="3514" t="s">
        <v>3370</v>
      </c>
      <c r="G258" s="3652" t="s">
        <v>3345</v>
      </c>
      <c r="H258" s="3514" t="s">
        <v>3106</v>
      </c>
      <c r="I258" s="3435" t="s">
        <v>3107</v>
      </c>
      <c r="J258" s="3680" t="s">
        <v>3371</v>
      </c>
      <c r="K258" s="3427"/>
      <c r="L258" s="3427"/>
      <c r="M258" s="3427"/>
      <c r="N258" s="3427"/>
      <c r="O258" s="3427"/>
      <c r="P258" s="3427"/>
    </row>
    <row customHeight="true" ht="16.071428571428573" r="259">
      <c r="A259" s="3582" t="s">
        <v>3359</v>
      </c>
      <c r="B259" s="3428">
        <v>46626</v>
      </c>
      <c r="C259" s="3449" t="str">
        <v>Friday</v>
      </c>
      <c r="D259" s="3421" t="s">
        <v>3287</v>
      </c>
      <c r="E259" s="3425">
        <f t="shared" si="81"/>
      </c>
      <c r="F259" s="3514" t="s">
        <v>3370</v>
      </c>
      <c r="G259" s="3652" t="s">
        <v>3345</v>
      </c>
      <c r="H259" s="3514" t="s">
        <v>3106</v>
      </c>
      <c r="I259" s="3435" t="s">
        <v>3107</v>
      </c>
      <c r="J259" s="3680" t="s">
        <v>3372</v>
      </c>
      <c r="K259" s="3427"/>
      <c r="L259" s="3427"/>
      <c r="M259" s="3427"/>
      <c r="N259" s="3427"/>
      <c r="O259" s="3427"/>
      <c r="P259" s="3427"/>
    </row>
    <row customHeight="true" ht="16.071428571428573" r="260">
      <c r="A260" s="3454" t="s">
        <v>3359</v>
      </c>
      <c r="B260" s="3455">
        <v>46264</v>
      </c>
      <c r="C260" s="3454" t="str">
        <v>Sunday</v>
      </c>
      <c r="D260" s="3681" t="s">
        <v>3373</v>
      </c>
      <c r="E260" s="3478">
        <v>1.5</v>
      </c>
      <c r="F260" s="3458" t="s">
        <v>3355</v>
      </c>
      <c r="G260" s="3479" t="s">
        <v>3345</v>
      </c>
      <c r="H260" s="3458" t="s">
        <v>3106</v>
      </c>
      <c r="I260" s="3543" t="s">
        <v>3107</v>
      </c>
      <c r="J260" s="3478" t="s">
        <v>3356</v>
      </c>
      <c r="K260" s="3460"/>
      <c r="L260" s="3460"/>
      <c r="M260" s="3460"/>
      <c r="N260" s="3460"/>
      <c r="O260" s="3460"/>
      <c r="P260" s="3460"/>
    </row>
    <row customHeight="true" ht="16.071428571428573" r="261">
      <c r="A261" s="3582" t="s">
        <v>3366</v>
      </c>
      <c r="B261" s="3428">
        <v>46264</v>
      </c>
      <c r="C261" s="3449" t="str">
        <v>Sunday</v>
      </c>
      <c r="D261" s="3421" t="s">
        <v>3374</v>
      </c>
      <c r="E261" s="3425">
        <f>24*MOD(TIMEVALUE(TRIM(MID(D261,FIND("-",D261)+1,LEN(D261)))) - TIMEVALUE(TRIM(LEFT(D261,FIND("-",D261)-1))),1)</f>
      </c>
      <c r="F261" s="3514" t="s">
        <v>3138</v>
      </c>
      <c r="G261" s="3652" t="s">
        <v>3345</v>
      </c>
      <c r="H261" s="3514" t="s">
        <v>3106</v>
      </c>
      <c r="I261" s="3435" t="s">
        <v>3107</v>
      </c>
      <c r="J261" s="3664"/>
      <c r="K261" s="3427"/>
      <c r="L261" s="3427"/>
      <c r="M261" s="3427"/>
      <c r="N261" s="3427"/>
      <c r="O261" s="3427"/>
      <c r="P261" s="3427"/>
    </row>
    <row customHeight="true" ht="16.071428571428573" r="262">
      <c r="A262" s="3582" t="s">
        <v>3359</v>
      </c>
      <c r="B262" s="3428">
        <v>46264</v>
      </c>
      <c r="C262" s="3449" t="str">
        <v>Sunday</v>
      </c>
      <c r="D262" s="3421" t="s">
        <v>3375</v>
      </c>
      <c r="E262" s="3450">
        <v>0.5</v>
      </c>
      <c r="F262" s="3423" t="s">
        <v>3109</v>
      </c>
      <c r="G262" s="3652" t="s">
        <v>3345</v>
      </c>
      <c r="H262" s="3514" t="s">
        <v>3106</v>
      </c>
      <c r="I262" s="3435" t="s">
        <v>3107</v>
      </c>
      <c r="J262" s="3664"/>
      <c r="K262" s="3427"/>
      <c r="L262" s="3427"/>
      <c r="M262" s="3427"/>
      <c r="N262" s="3427"/>
      <c r="O262" s="3427"/>
      <c r="P262" s="3427"/>
    </row>
    <row customHeight="true" ht="16.071428571428573" r="263">
      <c r="A263" s="3449"/>
      <c r="B263" s="3449"/>
      <c r="C263" s="3449"/>
      <c r="D263" s="3425"/>
      <c r="E263" s="3425"/>
      <c r="F263" s="3425"/>
      <c r="G263" s="3588"/>
      <c r="H263" s="3425"/>
      <c r="I263" s="3451"/>
      <c r="J263" s="3589"/>
      <c r="K263" s="3427"/>
      <c r="L263" s="3427"/>
      <c r="M263" s="3427"/>
      <c r="N263" s="3427"/>
      <c r="O263" s="3427"/>
      <c r="P263" s="3427"/>
    </row>
    <row customHeight="true" ht="16.071428571428573" r="264">
      <c r="A264" s="3682" t="s">
        <v>3376</v>
      </c>
      <c r="B264" s="3483"/>
      <c r="C264" s="3482"/>
      <c r="D264" s="3484"/>
      <c r="E264" s="3485"/>
      <c r="F264" s="3485"/>
      <c r="G264" s="3489"/>
      <c r="H264" s="3485"/>
      <c r="I264" s="3485"/>
      <c r="J264" s="3487"/>
      <c r="K264" s="3488"/>
      <c r="L264" s="3488"/>
      <c r="M264" s="3488"/>
      <c r="N264" s="3488"/>
      <c r="O264" s="3488"/>
      <c r="P264" s="3488"/>
    </row>
    <row customHeight="true" ht="40.10123434465338" r="265">
      <c r="A265" s="3683" t="s">
        <v>3122</v>
      </c>
      <c r="B265" s="3684" t="s">
        <v>3123</v>
      </c>
      <c r="C265" s="3684"/>
      <c r="D265" s="3685" t="s">
        <v>3124</v>
      </c>
      <c r="E265" s="3686" t="s">
        <v>3125</v>
      </c>
      <c r="F265" s="3686" t="s">
        <v>3126</v>
      </c>
      <c r="G265" s="3687" t="s">
        <v>3148</v>
      </c>
      <c r="H265" s="3686" t="s">
        <v>3128</v>
      </c>
      <c r="I265" s="3686" t="s">
        <v>3129</v>
      </c>
      <c r="J265" s="3688" t="s">
        <v>3130</v>
      </c>
      <c r="K265" s="3689"/>
      <c r="L265" s="3689"/>
      <c r="M265" s="3689"/>
      <c r="N265" s="3689"/>
      <c r="O265" s="3689"/>
      <c r="P265" s="3689"/>
    </row>
    <row customHeight="true" ht="16.071428571428573" r="266">
      <c r="A266" s="3582" t="s">
        <v>3377</v>
      </c>
      <c r="B266" s="3428">
        <v>46259</v>
      </c>
      <c r="C266" s="3449" t="str">
        <v>Tuesday</v>
      </c>
      <c r="D266" s="3421" t="s">
        <v>3171</v>
      </c>
      <c r="E266" s="3425">
        <f t="shared" ref="E266:E267" si="82">24*MOD(TIMEVALUE(TRIM(MID(D266,FIND("-",D266)+1,LEN(D266)))) - TIMEVALUE(TRIM(LEFT(D266,FIND("-",D266)-1))),1)</f>
      </c>
      <c r="F266" s="3514" t="s">
        <v>3138</v>
      </c>
      <c r="G266" s="3652" t="s">
        <v>3345</v>
      </c>
      <c r="H266" s="3514" t="s">
        <v>3106</v>
      </c>
      <c r="I266" s="3435" t="s">
        <v>3107</v>
      </c>
      <c r="J266" s="3664"/>
      <c r="K266" s="3427"/>
      <c r="L266" s="3427"/>
      <c r="M266" s="3427"/>
      <c r="N266" s="3427"/>
      <c r="O266" s="3427"/>
      <c r="P266" s="3427"/>
    </row>
    <row customHeight="true" ht="16.071428571428573" r="267">
      <c r="A267" s="3582" t="s">
        <v>3377</v>
      </c>
      <c r="B267" s="3690">
        <v>46260</v>
      </c>
      <c r="C267" s="3690" t="str">
        <v>Wednesday</v>
      </c>
      <c r="D267" s="3691" t="s">
        <v>3162</v>
      </c>
      <c r="E267" s="3692">
        <f t="shared" si="82"/>
      </c>
      <c r="F267" s="3692" t="s">
        <v>3138</v>
      </c>
      <c r="G267" s="3693" t="s">
        <v>3345</v>
      </c>
      <c r="H267" s="3692" t="s">
        <v>3106</v>
      </c>
      <c r="I267" s="3692" t="s">
        <v>3107</v>
      </c>
      <c r="J267" s="3694"/>
      <c r="K267" s="3695"/>
      <c r="L267" s="3695"/>
      <c r="M267" s="3695"/>
      <c r="N267" s="3695"/>
      <c r="O267" s="3695"/>
      <c r="P267" s="3695"/>
    </row>
    <row customHeight="true" ht="16.071428571428573" r="268">
      <c r="A268" s="3449"/>
      <c r="B268" s="3449"/>
      <c r="C268" s="3449"/>
      <c r="D268" s="3425"/>
      <c r="E268" s="3425"/>
      <c r="F268" s="3425"/>
      <c r="G268" s="3588"/>
      <c r="H268" s="3425"/>
      <c r="I268" s="3451"/>
      <c r="J268" s="3589"/>
      <c r="K268" s="3427"/>
      <c r="L268" s="3427"/>
      <c r="M268" s="3427"/>
      <c r="N268" s="3427"/>
      <c r="O268" s="3427"/>
      <c r="P268" s="3427"/>
    </row>
    <row customHeight="true" ht="16.071428571428573" r="269">
      <c r="A269" s="3449"/>
      <c r="B269" s="3449"/>
      <c r="C269" s="3449"/>
      <c r="D269" s="3425"/>
      <c r="E269" s="3425"/>
      <c r="F269" s="3425"/>
      <c r="G269" s="3588"/>
      <c r="H269" s="3425"/>
      <c r="I269" s="3451"/>
      <c r="J269" s="3589"/>
      <c r="K269" s="3427"/>
      <c r="L269" s="3427"/>
      <c r="M269" s="3427"/>
      <c r="N269" s="3427"/>
      <c r="O269" s="3427"/>
      <c r="P269" s="3427"/>
    </row>
    <row customHeight="true" ht="16.071428571428573" r="270">
      <c r="A270" s="3449"/>
      <c r="B270" s="3449"/>
      <c r="C270" s="3449"/>
      <c r="D270" s="3425"/>
      <c r="E270" s="3425"/>
      <c r="F270" s="3425"/>
      <c r="G270" s="3588"/>
      <c r="H270" s="3425"/>
      <c r="I270" s="3451"/>
      <c r="J270" s="3589"/>
      <c r="K270" s="3427"/>
      <c r="L270" s="3427"/>
      <c r="M270" s="3427"/>
      <c r="N270" s="3427"/>
      <c r="O270" s="3427"/>
      <c r="P270" s="3427"/>
    </row>
    <row customHeight="true" ht="16.071428571428573" r="271">
      <c r="A271" s="3449"/>
      <c r="B271" s="3449"/>
      <c r="C271" s="3449"/>
      <c r="D271" s="3425"/>
      <c r="E271" s="3425"/>
      <c r="F271" s="3425"/>
      <c r="G271" s="3588"/>
      <c r="H271" s="3425"/>
      <c r="I271" s="3451"/>
      <c r="J271" s="3589"/>
      <c r="K271" s="3427"/>
      <c r="L271" s="3427"/>
      <c r="M271" s="3427"/>
      <c r="N271" s="3427"/>
      <c r="O271" s="3427"/>
      <c r="P271" s="3427"/>
    </row>
    <row customHeight="true" ht="16.071428571428573" r="272">
      <c r="A272" s="3449"/>
      <c r="B272" s="3449"/>
      <c r="C272" s="3449"/>
      <c r="D272" s="3425"/>
      <c r="E272" s="3425"/>
      <c r="F272" s="3425"/>
      <c r="G272" s="3588"/>
      <c r="H272" s="3425"/>
      <c r="I272" s="3451"/>
      <c r="J272" s="3589"/>
      <c r="K272" s="3427"/>
      <c r="L272" s="3427"/>
      <c r="M272" s="3427"/>
      <c r="N272" s="3427"/>
      <c r="O272" s="3427"/>
      <c r="P272" s="3427"/>
    </row>
    <row customHeight="true" ht="16.071428571428573" r="273">
      <c r="A273" s="3449"/>
      <c r="B273" s="3449"/>
      <c r="C273" s="3449"/>
      <c r="D273" s="3425"/>
      <c r="E273" s="3425"/>
      <c r="F273" s="3425"/>
      <c r="G273" s="3588"/>
      <c r="H273" s="3425"/>
      <c r="I273" s="3451"/>
      <c r="J273" s="3589"/>
      <c r="K273" s="3427"/>
      <c r="L273" s="3427"/>
      <c r="M273" s="3427"/>
      <c r="N273" s="3427"/>
      <c r="O273" s="3427"/>
      <c r="P273" s="3427"/>
    </row>
    <row customHeight="true" ht="16.071428571428573" r="274">
      <c r="A274" s="3449"/>
      <c r="B274" s="3449"/>
      <c r="C274" s="3449"/>
      <c r="D274" s="3425"/>
      <c r="E274" s="3425"/>
      <c r="F274" s="3425"/>
      <c r="G274" s="3588"/>
      <c r="H274" s="3425"/>
      <c r="I274" s="3451"/>
      <c r="J274" s="3589"/>
      <c r="K274" s="3427"/>
      <c r="L274" s="3427"/>
      <c r="M274" s="3427"/>
      <c r="N274" s="3427"/>
      <c r="O274" s="3427"/>
      <c r="P274" s="3427"/>
    </row>
    <row r="275">
      <c r="A275" s="3696" t="s">
        <v>3378</v>
      </c>
      <c r="B275" s="3696"/>
      <c r="C275" s="3696"/>
      <c r="D275" s="3696"/>
      <c r="E275" s="3696"/>
      <c r="F275" s="3696"/>
      <c r="G275" s="3696"/>
      <c r="H275" s="3696"/>
      <c r="I275" s="3696"/>
      <c r="J275" s="3697"/>
      <c r="K275" s="3467"/>
      <c r="L275" s="3467"/>
      <c r="M275" s="3467"/>
      <c r="N275" s="3467"/>
      <c r="O275" s="3467"/>
      <c r="P275" s="3467"/>
    </row>
    <row r="276">
      <c r="A276" s="3443" t="s">
        <v>3122</v>
      </c>
      <c r="B276" s="3444" t="s">
        <v>3123</v>
      </c>
      <c r="C276" s="3444"/>
      <c r="D276" s="3445" t="s">
        <v>3124</v>
      </c>
      <c r="E276" s="3445" t="s">
        <v>3125</v>
      </c>
      <c r="F276" s="3445" t="s">
        <v>3126</v>
      </c>
      <c r="G276" s="3698" t="s">
        <v>3148</v>
      </c>
      <c r="H276" s="3445" t="s">
        <v>3128</v>
      </c>
      <c r="I276" s="3445" t="s">
        <v>3129</v>
      </c>
      <c r="J276" s="3446" t="s">
        <v>3130</v>
      </c>
      <c r="K276" s="3448"/>
      <c r="L276" s="3448"/>
      <c r="M276" s="3448"/>
      <c r="N276" s="3448"/>
      <c r="O276" s="3448"/>
      <c r="P276" s="3448"/>
    </row>
    <row customHeight="true" ht="18.452380952380953" r="277">
      <c r="A277" s="3454" t="s">
        <v>3378</v>
      </c>
      <c r="B277" s="3455">
        <v>46258</v>
      </c>
      <c r="C277" s="3454" t="str">
        <v>Monday</v>
      </c>
      <c r="D277" s="3478" t="s">
        <v>3364</v>
      </c>
      <c r="E277" s="3458">
        <f t="shared" ref="E277:E285" si="83">24*MOD(TIMEVALUE(TRIM(MID(D277,FIND("-",D277)+1,LEN(D277)))) - TIMEVALUE(TRIM(LEFT(D277,FIND("-",D277)-1))),1)</f>
      </c>
      <c r="F277" s="3458" t="s">
        <v>3379</v>
      </c>
      <c r="G277" s="3479"/>
      <c r="H277" s="3458" t="s">
        <v>3198</v>
      </c>
      <c r="I277" s="3458"/>
      <c r="J277" s="3457"/>
      <c r="K277" s="3460"/>
      <c r="L277" s="3460"/>
      <c r="M277" s="3460"/>
      <c r="N277" s="3460"/>
      <c r="O277" s="3460"/>
      <c r="P277" s="3460"/>
    </row>
    <row r="278">
      <c r="A278" s="3449" t="s">
        <v>3378</v>
      </c>
      <c r="B278" s="3428">
        <v>46258</v>
      </c>
      <c r="C278" s="3449" t="str">
        <v>Monday</v>
      </c>
      <c r="D278" s="3421" t="s">
        <v>3380</v>
      </c>
      <c r="E278" s="3425">
        <f t="shared" si="83"/>
      </c>
      <c r="F278" s="3425" t="s">
        <v>3381</v>
      </c>
      <c r="G278" s="3584"/>
      <c r="H278" s="3425" t="s">
        <v>3198</v>
      </c>
      <c r="I278" s="3451"/>
      <c r="J278" s="3453"/>
      <c r="K278" s="3427"/>
      <c r="L278" s="3427"/>
      <c r="M278" s="3427"/>
      <c r="N278" s="3427"/>
      <c r="O278" s="3427"/>
      <c r="P278" s="3427"/>
    </row>
    <row r="279">
      <c r="A279" s="3449" t="s">
        <v>3378</v>
      </c>
      <c r="B279" s="3428">
        <v>46259</v>
      </c>
      <c r="C279" s="3449" t="str">
        <v>Tuesday</v>
      </c>
      <c r="D279" s="3421" t="s">
        <v>3266</v>
      </c>
      <c r="E279" s="3425">
        <f t="shared" si="83"/>
      </c>
      <c r="F279" s="3425" t="s">
        <v>3381</v>
      </c>
      <c r="G279" s="3584"/>
      <c r="H279" s="3425" t="s">
        <v>3198</v>
      </c>
      <c r="I279" s="3425"/>
      <c r="J279" s="3453"/>
      <c r="K279" s="3427"/>
      <c r="L279" s="3427"/>
      <c r="M279" s="3427"/>
      <c r="N279" s="3427"/>
      <c r="O279" s="3427"/>
      <c r="P279" s="3427"/>
    </row>
    <row r="280">
      <c r="A280" s="3449" t="s">
        <v>3378</v>
      </c>
      <c r="B280" s="3428">
        <v>46260</v>
      </c>
      <c r="C280" s="3449" t="str">
        <v>Wednesday</v>
      </c>
      <c r="D280" s="3421" t="s">
        <v>3167</v>
      </c>
      <c r="E280" s="3425">
        <f t="shared" si="83"/>
      </c>
      <c r="F280" s="3425" t="s">
        <v>3381</v>
      </c>
      <c r="G280" s="3584"/>
      <c r="H280" s="3451" t="s">
        <v>3198</v>
      </c>
      <c r="I280" s="3451"/>
      <c r="J280" s="3426"/>
      <c r="K280" s="3427"/>
      <c r="L280" s="3427"/>
      <c r="M280" s="3427"/>
      <c r="N280" s="3427"/>
      <c r="O280" s="3427"/>
      <c r="P280" s="3427"/>
    </row>
    <row r="281">
      <c r="A281" s="3449" t="s">
        <v>3378</v>
      </c>
      <c r="B281" s="3428">
        <v>46261</v>
      </c>
      <c r="C281" s="3449" t="str">
        <v>Thursday</v>
      </c>
      <c r="D281" s="3421" t="s">
        <v>3266</v>
      </c>
      <c r="E281" s="3425">
        <f t="shared" si="83"/>
      </c>
      <c r="F281" s="3425" t="s">
        <v>3151</v>
      </c>
      <c r="G281" s="3584"/>
      <c r="H281" s="3425" t="s">
        <v>3198</v>
      </c>
      <c r="I281" s="3451"/>
      <c r="J281" s="3453"/>
      <c r="K281" s="3427"/>
      <c r="L281" s="3427"/>
      <c r="M281" s="3427"/>
      <c r="N281" s="3427"/>
      <c r="O281" s="3427"/>
      <c r="P281" s="3427"/>
    </row>
    <row customHeight="true" ht="18.452380952380953" r="282">
      <c r="A282" s="3449" t="s">
        <v>3378</v>
      </c>
      <c r="B282" s="3428">
        <v>46261</v>
      </c>
      <c r="C282" s="3449" t="str">
        <v>Thursday</v>
      </c>
      <c r="D282" s="3421" t="s">
        <v>3382</v>
      </c>
      <c r="E282" s="3425">
        <f t="shared" si="83"/>
      </c>
      <c r="F282" s="3425" t="s">
        <v>3259</v>
      </c>
      <c r="G282" s="3584"/>
      <c r="H282" s="3425" t="s">
        <v>3198</v>
      </c>
      <c r="I282" s="3451"/>
      <c r="J282" s="3453"/>
      <c r="K282" s="3427"/>
      <c r="L282" s="3427"/>
      <c r="M282" s="3427"/>
      <c r="N282" s="3427"/>
      <c r="O282" s="3427"/>
      <c r="P282" s="3427"/>
    </row>
    <row r="283">
      <c r="A283" s="3449" t="s">
        <v>3378</v>
      </c>
      <c r="B283" s="3428">
        <v>46262</v>
      </c>
      <c r="C283" s="3449" t="str">
        <v>Friday</v>
      </c>
      <c r="D283" s="3421" t="s">
        <v>3383</v>
      </c>
      <c r="E283" s="3425">
        <f t="shared" si="83"/>
      </c>
      <c r="F283" s="3425" t="s">
        <v>3151</v>
      </c>
      <c r="G283" s="3584"/>
      <c r="H283" s="3425" t="s">
        <v>3198</v>
      </c>
      <c r="I283" s="3451"/>
      <c r="J283" s="3453"/>
      <c r="K283" s="3427"/>
      <c r="L283" s="3427"/>
      <c r="M283" s="3427"/>
      <c r="N283" s="3427"/>
      <c r="O283" s="3427"/>
      <c r="P283" s="3427"/>
    </row>
    <row customHeight="true" ht="18.452380952380953" r="284">
      <c r="A284" s="3449" t="s">
        <v>3378</v>
      </c>
      <c r="B284" s="3428">
        <v>46262</v>
      </c>
      <c r="C284" s="3449" t="str">
        <v>Friday</v>
      </c>
      <c r="D284" s="3421" t="s">
        <v>3174</v>
      </c>
      <c r="E284" s="3425">
        <f t="shared" si="83"/>
      </c>
      <c r="F284" s="3425" t="s">
        <v>3259</v>
      </c>
      <c r="G284" s="3584"/>
      <c r="H284" s="3425" t="s">
        <v>3198</v>
      </c>
      <c r="I284" s="3451"/>
      <c r="J284" s="3453"/>
      <c r="K284" s="3427"/>
      <c r="L284" s="3427"/>
      <c r="M284" s="3427"/>
      <c r="N284" s="3427"/>
      <c r="O284" s="3427"/>
      <c r="P284" s="3427"/>
    </row>
    <row customHeight="true" ht="18.452380952380953" r="285">
      <c r="A285" s="3449" t="s">
        <v>3378</v>
      </c>
      <c r="B285" s="3428">
        <v>46263</v>
      </c>
      <c r="C285" s="3449" t="str">
        <v>Saturday</v>
      </c>
      <c r="D285" s="3451" t="s">
        <v>3266</v>
      </c>
      <c r="E285" s="3425">
        <f t="shared" si="83"/>
      </c>
      <c r="F285" s="3425" t="s">
        <v>3381</v>
      </c>
      <c r="G285" s="3584"/>
      <c r="H285" s="3425" t="s">
        <v>3198</v>
      </c>
      <c r="I285" s="3451"/>
      <c r="J285" s="3453"/>
      <c r="K285" s="3427"/>
      <c r="L285" s="3427"/>
      <c r="M285" s="3427"/>
      <c r="N285" s="3427"/>
      <c r="O285" s="3427"/>
      <c r="P285" s="3427"/>
    </row>
    <row customHeight="true" ht="18.452380952380953" r="286">
      <c r="A286" s="3449" t="s">
        <v>3378</v>
      </c>
      <c r="B286" s="3428">
        <v>46264</v>
      </c>
      <c r="C286" s="3449" t="str">
        <v>Sunday</v>
      </c>
      <c r="D286" s="3421" t="s">
        <v>3266</v>
      </c>
      <c r="E286" s="3450">
        <v>3</v>
      </c>
      <c r="F286" s="3425" t="s">
        <v>3381</v>
      </c>
      <c r="G286" s="3584"/>
      <c r="H286" s="3425" t="s">
        <v>3198</v>
      </c>
      <c r="I286" s="3451"/>
      <c r="J286" s="3453"/>
      <c r="K286" s="3427"/>
      <c r="L286" s="3427"/>
      <c r="M286" s="3427"/>
      <c r="N286" s="3427"/>
      <c r="O286" s="3427"/>
      <c r="P286" s="3427"/>
    </row>
    <row customHeight="true" ht="18.452380952380953" r="287">
      <c r="A287" s="3449" t="s">
        <v>3384</v>
      </c>
      <c r="B287" s="3428">
        <v>46259</v>
      </c>
      <c r="C287" s="3449" t="str">
        <v>Tuesday</v>
      </c>
      <c r="D287" s="3421" t="s">
        <v>3337</v>
      </c>
      <c r="E287" s="3425">
        <f t="shared" ref="E287:E296" si="84">24*MOD(TIMEVALUE(TRIM(MID(D287,FIND("-",D287)+1,LEN(D287)))) - TIMEVALUE(TRIM(LEFT(D287,FIND("-",D287)-1))),1)</f>
      </c>
      <c r="F287" s="3425" t="s">
        <v>3291</v>
      </c>
      <c r="G287" s="3584" t="s">
        <v>3385</v>
      </c>
      <c r="H287" s="3451"/>
      <c r="I287" s="3451"/>
      <c r="J287" s="3426"/>
      <c r="K287" s="3427"/>
      <c r="L287" s="3427"/>
      <c r="M287" s="3427"/>
      <c r="N287" s="3427"/>
      <c r="O287" s="3427"/>
      <c r="P287" s="3427"/>
    </row>
    <row r="288">
      <c r="A288" s="3449" t="s">
        <v>3386</v>
      </c>
      <c r="B288" s="3428">
        <v>46258</v>
      </c>
      <c r="C288" s="3449" t="str">
        <v>Monday</v>
      </c>
      <c r="D288" s="3421" t="s">
        <v>3266</v>
      </c>
      <c r="E288" s="3425">
        <f t="shared" si="84"/>
      </c>
      <c r="F288" s="3425" t="s">
        <v>3303</v>
      </c>
      <c r="G288" s="3588"/>
      <c r="H288" s="3451"/>
      <c r="I288" s="3451"/>
      <c r="J288" s="3426"/>
      <c r="K288" s="3427"/>
      <c r="L288" s="3427"/>
      <c r="M288" s="3427"/>
      <c r="N288" s="3427"/>
      <c r="O288" s="3427"/>
      <c r="P288" s="3427"/>
    </row>
    <row r="289">
      <c r="A289" s="3449" t="s">
        <v>3386</v>
      </c>
      <c r="B289" s="3428">
        <v>46259</v>
      </c>
      <c r="C289" s="3449" t="str">
        <v>Tuesday</v>
      </c>
      <c r="D289" s="3421" t="s">
        <v>3314</v>
      </c>
      <c r="E289" s="3425">
        <f t="shared" si="84"/>
      </c>
      <c r="F289" s="3425" t="s">
        <v>3387</v>
      </c>
      <c r="G289" s="3588"/>
      <c r="H289" s="3451"/>
      <c r="I289" s="3451"/>
      <c r="J289" s="3426"/>
      <c r="K289" s="3427"/>
      <c r="L289" s="3427"/>
      <c r="M289" s="3427"/>
      <c r="N289" s="3427"/>
      <c r="O289" s="3427"/>
      <c r="P289" s="3427"/>
    </row>
    <row r="290">
      <c r="A290" s="3449" t="s">
        <v>3386</v>
      </c>
      <c r="B290" s="3428">
        <v>46260</v>
      </c>
      <c r="C290" s="3449" t="str">
        <v>Wednesday</v>
      </c>
      <c r="D290" s="3421" t="s">
        <v>3179</v>
      </c>
      <c r="E290" s="3425">
        <f t="shared" si="84"/>
      </c>
      <c r="F290" s="3425" t="s">
        <v>3387</v>
      </c>
      <c r="G290" s="3588"/>
      <c r="H290" s="3451"/>
      <c r="I290" s="3451"/>
      <c r="J290" s="3426"/>
      <c r="K290" s="3427"/>
      <c r="L290" s="3427"/>
      <c r="M290" s="3427"/>
      <c r="N290" s="3427"/>
      <c r="O290" s="3427"/>
      <c r="P290" s="3427"/>
    </row>
    <row r="291">
      <c r="A291" s="3449" t="s">
        <v>3386</v>
      </c>
      <c r="B291" s="3428">
        <v>46261</v>
      </c>
      <c r="C291" s="3449" t="str">
        <v>Thursday</v>
      </c>
      <c r="D291" s="3421" t="s">
        <v>3179</v>
      </c>
      <c r="E291" s="3425">
        <f t="shared" si="84"/>
      </c>
      <c r="F291" s="3425" t="s">
        <v>3387</v>
      </c>
      <c r="G291" s="3588"/>
      <c r="H291" s="3451"/>
      <c r="I291" s="3451"/>
      <c r="J291" s="3426"/>
      <c r="K291" s="3427"/>
      <c r="L291" s="3427"/>
      <c r="M291" s="3427"/>
      <c r="N291" s="3427"/>
      <c r="O291" s="3427"/>
      <c r="P291" s="3427"/>
    </row>
    <row r="292">
      <c r="A292" s="3449" t="s">
        <v>3386</v>
      </c>
      <c r="B292" s="3428">
        <v>46262</v>
      </c>
      <c r="C292" s="3449" t="str">
        <v>Friday</v>
      </c>
      <c r="D292" s="3421" t="s">
        <v>3388</v>
      </c>
      <c r="E292" s="3425">
        <f t="shared" si="84"/>
      </c>
      <c r="F292" s="3425" t="s">
        <v>3387</v>
      </c>
      <c r="G292" s="3588"/>
      <c r="H292" s="3451"/>
      <c r="I292" s="3593"/>
      <c r="J292" s="3593"/>
      <c r="K292" s="3498"/>
      <c r="L292" s="3498"/>
      <c r="M292" s="3498"/>
      <c r="N292" s="3498"/>
      <c r="O292" s="3498"/>
      <c r="P292" s="3498"/>
    </row>
    <row customHeight="true" ht="18.452380952380953" r="293">
      <c r="A293" s="3449" t="s">
        <v>3386</v>
      </c>
      <c r="B293" s="3449">
        <v>46262</v>
      </c>
      <c r="C293" s="3449" t="str">
        <v>Friday</v>
      </c>
      <c r="D293" s="3421" t="s">
        <v>3267</v>
      </c>
      <c r="E293" s="3425">
        <f t="shared" si="84"/>
      </c>
      <c r="F293" s="3425" t="s">
        <v>3387</v>
      </c>
      <c r="G293" s="3588"/>
      <c r="H293" s="3425"/>
      <c r="I293" s="3451"/>
      <c r="J293" s="3453"/>
      <c r="K293" s="3463"/>
      <c r="L293" s="3463"/>
      <c r="M293" s="3463"/>
      <c r="N293" s="3463"/>
      <c r="O293" s="3463"/>
      <c r="P293" s="3463"/>
    </row>
    <row customHeight="true" ht="18.452380952380953" r="294">
      <c r="A294" s="3449" t="s">
        <v>3386</v>
      </c>
      <c r="B294" s="3428">
        <v>46263</v>
      </c>
      <c r="C294" s="3449" t="str">
        <v>Saturday</v>
      </c>
      <c r="D294" s="3421" t="s">
        <v>3389</v>
      </c>
      <c r="E294" s="3425">
        <f t="shared" si="84"/>
      </c>
      <c r="F294" s="3425" t="s">
        <v>3385</v>
      </c>
      <c r="G294" s="3588"/>
      <c r="H294" s="3451"/>
      <c r="I294" s="3593"/>
      <c r="J294" s="3593"/>
      <c r="K294" s="3498"/>
      <c r="L294" s="3498"/>
      <c r="M294" s="3498"/>
      <c r="N294" s="3498"/>
      <c r="O294" s="3498"/>
      <c r="P294" s="3498"/>
    </row>
    <row r="295">
      <c r="A295" s="3449" t="s">
        <v>3386</v>
      </c>
      <c r="B295" s="3428">
        <v>46264</v>
      </c>
      <c r="C295" s="3449" t="str">
        <v>Sunday</v>
      </c>
      <c r="D295" s="3421" t="s">
        <v>3314</v>
      </c>
      <c r="E295" s="3425">
        <f t="shared" si="84"/>
      </c>
      <c r="F295" s="3425" t="s">
        <v>3387</v>
      </c>
      <c r="G295" s="3588"/>
      <c r="H295" s="3425"/>
      <c r="I295" s="3425"/>
      <c r="J295" s="3453"/>
      <c r="K295" s="3427"/>
      <c r="L295" s="3427"/>
      <c r="M295" s="3427"/>
      <c r="N295" s="3427"/>
      <c r="O295" s="3427"/>
      <c r="P295" s="3427"/>
    </row>
    <row r="296">
      <c r="A296" s="3449" t="s">
        <v>3384</v>
      </c>
      <c r="B296" s="3428">
        <v>46260</v>
      </c>
      <c r="C296" s="3449" t="str">
        <v>Wednesday</v>
      </c>
      <c r="D296" s="3421" t="s">
        <v>3390</v>
      </c>
      <c r="E296" s="3425">
        <f t="shared" si="84"/>
      </c>
      <c r="F296" s="3425" t="s">
        <v>3385</v>
      </c>
      <c r="G296" s="3584"/>
      <c r="H296" s="3451"/>
      <c r="I296" s="3451"/>
      <c r="J296" s="3422" t="s">
        <v>3391</v>
      </c>
      <c r="K296" s="3427"/>
      <c r="L296" s="3427"/>
      <c r="M296" s="3427"/>
      <c r="N296" s="3427"/>
      <c r="O296" s="3427"/>
      <c r="P296" s="3427"/>
    </row>
    <row r="297">
      <c r="A297" s="3593"/>
      <c r="B297" s="3593"/>
      <c r="C297" s="3593"/>
      <c r="D297" s="3593"/>
      <c r="E297" s="3593"/>
      <c r="F297" s="3699"/>
      <c r="G297" s="3700"/>
      <c r="H297" s="3701"/>
      <c r="I297" s="3593"/>
      <c r="J297" s="3593"/>
      <c r="K297" s="3498"/>
      <c r="L297" s="3498"/>
      <c r="M297" s="3498"/>
      <c r="N297" s="3498"/>
      <c r="O297" s="3498"/>
      <c r="P297" s="3498"/>
    </row>
    <row r="298">
      <c r="A298" s="3702" t="s">
        <v>3392</v>
      </c>
      <c r="B298" s="3702"/>
      <c r="C298" s="3702"/>
      <c r="D298" s="3702"/>
      <c r="E298" s="3702"/>
      <c r="F298" s="3702"/>
      <c r="G298" s="3702"/>
      <c r="H298" s="3702"/>
      <c r="I298" s="3702"/>
      <c r="J298" s="3703"/>
      <c r="K298" s="3550"/>
      <c r="L298" s="3550"/>
      <c r="M298" s="3550"/>
      <c r="N298" s="3550"/>
      <c r="O298" s="3550"/>
      <c r="P298" s="3550"/>
    </row>
    <row r="299">
      <c r="A299" s="3704" t="s">
        <v>3122</v>
      </c>
      <c r="B299" s="3705" t="s">
        <v>3123</v>
      </c>
      <c r="C299" s="3705"/>
      <c r="D299" s="3706" t="s">
        <v>3124</v>
      </c>
      <c r="E299" s="3706" t="s">
        <v>3125</v>
      </c>
      <c r="F299" s="3706" t="s">
        <v>3126</v>
      </c>
      <c r="G299" s="3707" t="s">
        <v>3148</v>
      </c>
      <c r="H299" s="3706" t="s">
        <v>3128</v>
      </c>
      <c r="I299" s="3706" t="s">
        <v>3129</v>
      </c>
      <c r="J299" s="3708" t="s">
        <v>3130</v>
      </c>
      <c r="K299" s="3448"/>
      <c r="L299" s="3448"/>
      <c r="M299" s="3448"/>
      <c r="N299" s="3448"/>
      <c r="O299" s="3448"/>
      <c r="P299" s="3448"/>
    </row>
    <row r="300">
      <c r="A300" s="3449" t="s">
        <v>3393</v>
      </c>
      <c r="B300" s="3428">
        <v>46258</v>
      </c>
      <c r="C300" s="3449" t="str">
        <v>Monday</v>
      </c>
      <c r="D300" s="3421" t="s">
        <v>3394</v>
      </c>
      <c r="E300" s="3425">
        <f t="shared" ref="E300:E335" si="85">24*MOD(TIMEVALUE(TRIM(MID(D300,FIND("-",D300)+1,LEN(D300)))) - TIMEVALUE(TRIM(LEFT(D300,FIND("-",D300)-1))),1)</f>
      </c>
      <c r="F300" s="3425" t="s">
        <v>3151</v>
      </c>
      <c r="G300" s="3584"/>
      <c r="H300" s="3425" t="s">
        <v>3106</v>
      </c>
      <c r="I300" s="3451"/>
      <c r="J300" s="3453"/>
      <c r="K300" s="3427"/>
      <c r="L300" s="3427"/>
      <c r="M300" s="3427"/>
      <c r="N300" s="3427"/>
      <c r="O300" s="3427"/>
      <c r="P300" s="3427"/>
    </row>
    <row customHeight="true" ht="18.452380952380953" r="301">
      <c r="A301" s="3449" t="s">
        <v>3393</v>
      </c>
      <c r="B301" s="3428">
        <v>46259</v>
      </c>
      <c r="C301" s="3449" t="str">
        <v>Tuesday</v>
      </c>
      <c r="D301" s="3421" t="s">
        <v>3167</v>
      </c>
      <c r="E301" s="3425">
        <f t="shared" si="85"/>
      </c>
      <c r="F301" s="3425" t="s">
        <v>3151</v>
      </c>
      <c r="G301" s="3584"/>
      <c r="H301" s="3425" t="s">
        <v>3106</v>
      </c>
      <c r="I301" s="3435"/>
      <c r="J301" s="3453"/>
      <c r="K301" s="3427"/>
      <c r="L301" s="3427"/>
      <c r="M301" s="3427"/>
      <c r="N301" s="3427"/>
      <c r="O301" s="3427"/>
      <c r="P301" s="3427"/>
    </row>
    <row customHeight="true" ht="18.452380952380953" r="302">
      <c r="A302" s="3454" t="s">
        <v>3393</v>
      </c>
      <c r="B302" s="3454">
        <v>46259</v>
      </c>
      <c r="C302" s="3454" t="str">
        <v>Tuesday</v>
      </c>
      <c r="D302" s="3478" t="s">
        <v>3161</v>
      </c>
      <c r="E302" s="3458">
        <f t="shared" si="85"/>
      </c>
      <c r="F302" s="3458" t="s">
        <v>3293</v>
      </c>
      <c r="G302" s="3591"/>
      <c r="H302" s="3425" t="s">
        <v>3106</v>
      </c>
      <c r="I302" s="3458"/>
      <c r="J302" s="3457"/>
      <c r="K302" s="3460"/>
      <c r="L302" s="3460"/>
      <c r="M302" s="3460"/>
      <c r="N302" s="3460"/>
      <c r="O302" s="3460"/>
      <c r="P302" s="3460"/>
    </row>
    <row customHeight="true" ht="18.452380952380953" r="303">
      <c r="A303" s="3449" t="s">
        <v>3393</v>
      </c>
      <c r="B303" s="3428">
        <v>46260</v>
      </c>
      <c r="C303" s="3449" t="str">
        <v>Wednesday</v>
      </c>
      <c r="D303" s="3421" t="s">
        <v>3394</v>
      </c>
      <c r="E303" s="3425">
        <f t="shared" si="85"/>
      </c>
      <c r="F303" s="3425" t="s">
        <v>3370</v>
      </c>
      <c r="G303" s="3584"/>
      <c r="H303" s="3425" t="s">
        <v>3106</v>
      </c>
      <c r="I303" s="3425"/>
      <c r="J303" s="3453"/>
      <c r="K303" s="3427"/>
      <c r="L303" s="3427"/>
      <c r="M303" s="3427"/>
      <c r="N303" s="3427"/>
      <c r="O303" s="3427"/>
      <c r="P303" s="3427"/>
    </row>
    <row customHeight="true" ht="18.452380952380953" r="304">
      <c r="A304" s="3454" t="s">
        <v>3393</v>
      </c>
      <c r="B304" s="3455">
        <v>46260</v>
      </c>
      <c r="C304" s="3454" t="str">
        <v>Wednesday</v>
      </c>
      <c r="D304" s="3478" t="s">
        <v>3380</v>
      </c>
      <c r="E304" s="3458">
        <f t="shared" si="85"/>
      </c>
      <c r="F304" s="3458" t="s">
        <v>3293</v>
      </c>
      <c r="G304" s="3479"/>
      <c r="H304" s="3425" t="s">
        <v>3106</v>
      </c>
      <c r="I304" s="3458"/>
      <c r="J304" s="3457"/>
      <c r="K304" s="3460"/>
      <c r="L304" s="3460"/>
      <c r="M304" s="3460"/>
      <c r="N304" s="3460"/>
      <c r="O304" s="3460"/>
      <c r="P304" s="3460"/>
    </row>
    <row customHeight="true" ht="18.452380952380953" r="305">
      <c r="A305" s="3449" t="s">
        <v>3393</v>
      </c>
      <c r="B305" s="3428">
        <v>46261</v>
      </c>
      <c r="C305" s="3449" t="str">
        <v>Thursday</v>
      </c>
      <c r="D305" s="3421" t="s">
        <v>3394</v>
      </c>
      <c r="E305" s="3425">
        <f t="shared" si="85"/>
      </c>
      <c r="F305" s="3425" t="s">
        <v>3370</v>
      </c>
      <c r="G305" s="3584"/>
      <c r="H305" s="3425" t="s">
        <v>3106</v>
      </c>
      <c r="I305" s="3451"/>
      <c r="J305" s="3453"/>
      <c r="K305" s="3427"/>
      <c r="L305" s="3427"/>
      <c r="M305" s="3427"/>
      <c r="N305" s="3427"/>
      <c r="O305" s="3427"/>
      <c r="P305" s="3427"/>
    </row>
    <row customHeight="true" ht="18.452380952380953" r="306">
      <c r="A306" s="3449" t="s">
        <v>3393</v>
      </c>
      <c r="B306" s="3428">
        <v>46261</v>
      </c>
      <c r="C306" s="3449" t="str">
        <v>Thursday</v>
      </c>
      <c r="D306" s="3421" t="s">
        <v>3380</v>
      </c>
      <c r="E306" s="3425">
        <f t="shared" si="85"/>
      </c>
      <c r="F306" s="3425" t="s">
        <v>3112</v>
      </c>
      <c r="G306" s="3584"/>
      <c r="H306" s="3425" t="s">
        <v>3106</v>
      </c>
      <c r="I306" s="3451"/>
      <c r="J306" s="3453"/>
      <c r="K306" s="3427"/>
      <c r="L306" s="3427"/>
      <c r="M306" s="3427"/>
      <c r="N306" s="3427"/>
      <c r="O306" s="3427"/>
      <c r="P306" s="3427"/>
    </row>
    <row customHeight="true" ht="18.452380952380953" r="307">
      <c r="A307" s="3449" t="s">
        <v>3393</v>
      </c>
      <c r="B307" s="3428">
        <v>46262</v>
      </c>
      <c r="C307" s="3449" t="str">
        <v>Friday</v>
      </c>
      <c r="D307" s="3421" t="s">
        <v>3132</v>
      </c>
      <c r="E307" s="3425">
        <f t="shared" si="85"/>
      </c>
      <c r="F307" s="3425" t="s">
        <v>3259</v>
      </c>
      <c r="G307" s="3584"/>
      <c r="H307" s="3425" t="s">
        <v>3106</v>
      </c>
      <c r="I307" s="3435"/>
      <c r="J307" s="3453"/>
      <c r="K307" s="3427"/>
      <c r="L307" s="3427"/>
      <c r="M307" s="3427"/>
      <c r="N307" s="3427"/>
      <c r="O307" s="3427"/>
      <c r="P307" s="3427"/>
    </row>
    <row customHeight="true" ht="18.452380952380953" r="308">
      <c r="A308" s="3449" t="s">
        <v>3393</v>
      </c>
      <c r="B308" s="3428">
        <v>46262</v>
      </c>
      <c r="C308" s="3449" t="str">
        <v>Friday</v>
      </c>
      <c r="D308" s="3421" t="s">
        <v>3380</v>
      </c>
      <c r="E308" s="3425">
        <f t="shared" si="85"/>
      </c>
      <c r="F308" s="3425" t="s">
        <v>3370</v>
      </c>
      <c r="G308" s="3584"/>
      <c r="H308" s="3425" t="s">
        <v>3106</v>
      </c>
      <c r="I308" s="3435"/>
      <c r="J308" s="3453"/>
      <c r="K308" s="3427"/>
      <c r="L308" s="3427"/>
      <c r="M308" s="3427"/>
      <c r="N308" s="3427"/>
      <c r="O308" s="3427"/>
      <c r="P308" s="3427"/>
    </row>
    <row customHeight="true" ht="18.452380952380953" r="309">
      <c r="A309" s="3449" t="s">
        <v>3393</v>
      </c>
      <c r="B309" s="3428">
        <v>46263</v>
      </c>
      <c r="C309" s="3449" t="str">
        <v>Saturday</v>
      </c>
      <c r="D309" s="3421" t="s">
        <v>3395</v>
      </c>
      <c r="E309" s="3425">
        <f t="shared" si="85"/>
      </c>
      <c r="F309" s="3425" t="s">
        <v>3151</v>
      </c>
      <c r="G309" s="3584"/>
      <c r="H309" s="3425" t="s">
        <v>3106</v>
      </c>
      <c r="I309" s="3451"/>
      <c r="J309" s="3453"/>
      <c r="K309" s="3427"/>
      <c r="L309" s="3427"/>
      <c r="M309" s="3427"/>
      <c r="N309" s="3427"/>
      <c r="O309" s="3427"/>
      <c r="P309" s="3427"/>
    </row>
    <row customHeight="true" ht="18.452380952380953" r="310">
      <c r="A310" s="3449" t="s">
        <v>3393</v>
      </c>
      <c r="B310" s="3428">
        <v>46263</v>
      </c>
      <c r="C310" s="3449" t="str">
        <v>Saturday</v>
      </c>
      <c r="D310" s="3421" t="s">
        <v>3389</v>
      </c>
      <c r="E310" s="3425">
        <f t="shared" si="85"/>
      </c>
      <c r="F310" s="3425" t="s">
        <v>3396</v>
      </c>
      <c r="G310" s="3588"/>
      <c r="H310" s="3425" t="s">
        <v>3106</v>
      </c>
      <c r="I310" s="3425" t="s">
        <v>3140</v>
      </c>
      <c r="J310" s="3453"/>
      <c r="K310" s="3463"/>
      <c r="L310" s="3463"/>
      <c r="M310" s="3463"/>
      <c r="N310" s="3463"/>
      <c r="O310" s="3463"/>
      <c r="P310" s="3463"/>
    </row>
    <row customHeight="true" ht="18.452380952380953" r="311">
      <c r="A311" s="3454" t="s">
        <v>3393</v>
      </c>
      <c r="B311" s="3455">
        <v>46263</v>
      </c>
      <c r="C311" s="3454" t="str">
        <v>Saturday</v>
      </c>
      <c r="D311" s="3478" t="s">
        <v>3397</v>
      </c>
      <c r="E311" s="3458">
        <f t="shared" si="85"/>
      </c>
      <c r="F311" s="3458" t="s">
        <v>3293</v>
      </c>
      <c r="G311" s="3591"/>
      <c r="H311" s="3458" t="s">
        <v>3106</v>
      </c>
      <c r="I311" s="3458"/>
      <c r="J311" s="3457"/>
      <c r="K311" s="3460"/>
      <c r="L311" s="3460"/>
      <c r="M311" s="3460"/>
      <c r="N311" s="3460"/>
      <c r="O311" s="3460"/>
      <c r="P311" s="3460"/>
    </row>
    <row customHeight="true" ht="18.452380952380953" r="312">
      <c r="A312" s="3454" t="s">
        <v>3393</v>
      </c>
      <c r="B312" s="3455">
        <v>46264</v>
      </c>
      <c r="C312" s="3454" t="str">
        <v>Sunday</v>
      </c>
      <c r="D312" s="3478" t="s">
        <v>3394</v>
      </c>
      <c r="E312" s="3458">
        <f t="shared" si="85"/>
      </c>
      <c r="F312" s="3458" t="s">
        <v>3293</v>
      </c>
      <c r="G312" s="3591"/>
      <c r="H312" s="3458" t="s">
        <v>3106</v>
      </c>
      <c r="I312" s="3458"/>
      <c r="J312" s="3457"/>
      <c r="K312" s="3460"/>
      <c r="L312" s="3460"/>
      <c r="M312" s="3460"/>
      <c r="N312" s="3460"/>
      <c r="O312" s="3460"/>
      <c r="P312" s="3460"/>
    </row>
    <row customHeight="true" ht="18.452380952380953" r="313">
      <c r="A313" s="3449" t="s">
        <v>3393</v>
      </c>
      <c r="B313" s="3428">
        <v>46264</v>
      </c>
      <c r="C313" s="3449" t="str">
        <v>Sunday</v>
      </c>
      <c r="D313" s="3421" t="s">
        <v>3398</v>
      </c>
      <c r="E313" s="3425">
        <f t="shared" si="85"/>
      </c>
      <c r="F313" s="3425" t="s">
        <v>3396</v>
      </c>
      <c r="G313" s="3588"/>
      <c r="H313" s="3425" t="s">
        <v>3106</v>
      </c>
      <c r="I313" s="3425"/>
      <c r="J313" s="3453"/>
      <c r="K313" s="3463"/>
      <c r="L313" s="3463"/>
      <c r="M313" s="3463"/>
      <c r="N313" s="3463"/>
      <c r="O313" s="3463"/>
      <c r="P313" s="3463"/>
    </row>
    <row customHeight="true" ht="18.452380952380953" r="314">
      <c r="A314" s="3454" t="s">
        <v>3393</v>
      </c>
      <c r="B314" s="3455">
        <v>46264</v>
      </c>
      <c r="C314" s="3454" t="str">
        <v>Sunday</v>
      </c>
      <c r="D314" s="3478" t="s">
        <v>3399</v>
      </c>
      <c r="E314" s="3458">
        <f t="shared" si="85"/>
      </c>
      <c r="F314" s="3458" t="s">
        <v>3293</v>
      </c>
      <c r="G314" s="3591"/>
      <c r="H314" s="3458" t="s">
        <v>3106</v>
      </c>
      <c r="I314" s="3458"/>
      <c r="J314" s="3457"/>
      <c r="K314" s="3460"/>
      <c r="L314" s="3460"/>
      <c r="M314" s="3460"/>
      <c r="N314" s="3460"/>
      <c r="O314" s="3460"/>
      <c r="P314" s="3460"/>
    </row>
    <row customHeight="true" ht="18.452380952380953" r="315">
      <c r="A315" s="3454" t="s">
        <v>3400</v>
      </c>
      <c r="B315" s="3455">
        <v>46259</v>
      </c>
      <c r="C315" s="3454" t="str">
        <v>Tuesday</v>
      </c>
      <c r="D315" s="3478" t="s">
        <v>3401</v>
      </c>
      <c r="E315" s="3458">
        <f t="shared" si="85"/>
      </c>
      <c r="F315" s="3458" t="s">
        <v>3112</v>
      </c>
      <c r="G315" s="3591"/>
      <c r="H315" s="3425" t="s">
        <v>3106</v>
      </c>
      <c r="I315" s="3458"/>
      <c r="J315" s="3457"/>
      <c r="K315" s="3460"/>
      <c r="L315" s="3460"/>
      <c r="M315" s="3460"/>
      <c r="N315" s="3460"/>
      <c r="O315" s="3460"/>
      <c r="P315" s="3460"/>
    </row>
    <row customHeight="true" ht="18.452380952380953" r="316">
      <c r="A316" s="3449" t="s">
        <v>3400</v>
      </c>
      <c r="B316" s="3428">
        <v>46260</v>
      </c>
      <c r="C316" s="3449" t="str">
        <v>Wednesday</v>
      </c>
      <c r="D316" s="3421" t="s">
        <v>3364</v>
      </c>
      <c r="E316" s="3425">
        <f t="shared" si="85"/>
      </c>
      <c r="F316" s="3709" t="s">
        <v>3402</v>
      </c>
      <c r="G316" s="3588"/>
      <c r="H316" s="3425" t="s">
        <v>3106</v>
      </c>
      <c r="I316" s="3425"/>
      <c r="J316" s="3453"/>
      <c r="K316" s="3463"/>
      <c r="L316" s="3463"/>
      <c r="M316" s="3463"/>
      <c r="N316" s="3463"/>
      <c r="O316" s="3463"/>
      <c r="P316" s="3463"/>
    </row>
    <row customHeight="true" ht="18.452380952380953" r="317">
      <c r="A317" s="3449" t="s">
        <v>3400</v>
      </c>
      <c r="B317" s="3428">
        <v>46261</v>
      </c>
      <c r="C317" s="3449" t="str">
        <v>Thursday</v>
      </c>
      <c r="D317" s="3421" t="s">
        <v>3313</v>
      </c>
      <c r="E317" s="3425">
        <f t="shared" si="85"/>
      </c>
      <c r="F317" s="3425" t="s">
        <v>3112</v>
      </c>
      <c r="G317" s="3588"/>
      <c r="H317" s="3425" t="s">
        <v>3106</v>
      </c>
      <c r="I317" s="3425"/>
      <c r="J317" s="3453"/>
      <c r="K317" s="3463"/>
      <c r="L317" s="3463"/>
      <c r="M317" s="3463"/>
      <c r="N317" s="3463"/>
      <c r="O317" s="3463"/>
      <c r="P317" s="3463"/>
    </row>
    <row customHeight="true" ht="18.452380952380953" r="318">
      <c r="A318" s="3449" t="s">
        <v>3403</v>
      </c>
      <c r="B318" s="3428">
        <v>46258</v>
      </c>
      <c r="C318" s="3449" t="str">
        <v>Monday</v>
      </c>
      <c r="D318" s="3421" t="s">
        <v>3404</v>
      </c>
      <c r="E318" s="3425">
        <f t="shared" si="85"/>
      </c>
      <c r="F318" s="3425" t="s">
        <v>3291</v>
      </c>
      <c r="G318" s="3584"/>
      <c r="H318" s="3425" t="s">
        <v>3106</v>
      </c>
      <c r="I318" s="3451"/>
      <c r="J318" s="3453"/>
      <c r="K318" s="3427"/>
      <c r="L318" s="3427"/>
      <c r="M318" s="3427"/>
      <c r="N318" s="3427"/>
      <c r="O318" s="3427"/>
      <c r="P318" s="3427"/>
    </row>
    <row customHeight="true" ht="18.452380952380953" r="319">
      <c r="A319" s="3449" t="s">
        <v>3403</v>
      </c>
      <c r="B319" s="3428">
        <v>46258</v>
      </c>
      <c r="C319" s="3449" t="str">
        <v>Monday</v>
      </c>
      <c r="D319" s="3421" t="s">
        <v>3364</v>
      </c>
      <c r="E319" s="3425">
        <f t="shared" si="85"/>
      </c>
      <c r="F319" s="3425" t="s">
        <v>3227</v>
      </c>
      <c r="G319" s="3584"/>
      <c r="H319" s="3425" t="s">
        <v>3106</v>
      </c>
      <c r="I319" s="3451"/>
      <c r="J319" s="3453"/>
      <c r="K319" s="3427"/>
      <c r="L319" s="3427"/>
      <c r="M319" s="3427"/>
      <c r="N319" s="3427"/>
      <c r="O319" s="3427"/>
      <c r="P319" s="3427"/>
    </row>
    <row customHeight="true" ht="18.452380952380953" r="320">
      <c r="A320" s="3449" t="s">
        <v>3403</v>
      </c>
      <c r="B320" s="3428">
        <v>46259</v>
      </c>
      <c r="C320" s="3449" t="str">
        <v>Tuesday</v>
      </c>
      <c r="D320" s="3421" t="s">
        <v>3167</v>
      </c>
      <c r="E320" s="3425">
        <f t="shared" si="85"/>
      </c>
      <c r="F320" s="3425" t="s">
        <v>3227</v>
      </c>
      <c r="G320" s="3584"/>
      <c r="H320" s="3425" t="s">
        <v>3106</v>
      </c>
      <c r="I320" s="3435"/>
      <c r="J320" s="3453"/>
      <c r="K320" s="3427"/>
      <c r="L320" s="3427"/>
      <c r="M320" s="3427"/>
      <c r="N320" s="3427"/>
      <c r="O320" s="3427"/>
      <c r="P320" s="3427"/>
    </row>
    <row customHeight="true" ht="18.452380952380953" r="321">
      <c r="A321" s="3449" t="s">
        <v>3403</v>
      </c>
      <c r="B321" s="3428">
        <v>46259</v>
      </c>
      <c r="C321" s="3449" t="str">
        <v>Tuesday</v>
      </c>
      <c r="D321" s="3421" t="s">
        <v>3161</v>
      </c>
      <c r="E321" s="3425">
        <f t="shared" si="85"/>
      </c>
      <c r="F321" s="3425" t="s">
        <v>3385</v>
      </c>
      <c r="G321" s="3584"/>
      <c r="H321" s="3425" t="s">
        <v>3106</v>
      </c>
      <c r="I321" s="3435"/>
      <c r="J321" s="3453"/>
      <c r="K321" s="3427"/>
      <c r="L321" s="3427"/>
      <c r="M321" s="3427"/>
      <c r="N321" s="3427"/>
      <c r="O321" s="3427"/>
      <c r="P321" s="3427"/>
    </row>
    <row customHeight="true" ht="18.452380952380953" r="322">
      <c r="A322" s="3449" t="s">
        <v>3403</v>
      </c>
      <c r="B322" s="3428">
        <v>46260</v>
      </c>
      <c r="C322" s="3449" t="str">
        <v>Wednesday</v>
      </c>
      <c r="D322" s="3421" t="s">
        <v>3394</v>
      </c>
      <c r="E322" s="3425">
        <f t="shared" si="85"/>
      </c>
      <c r="F322" s="3425" t="s">
        <v>3385</v>
      </c>
      <c r="G322" s="3584"/>
      <c r="H322" s="3425" t="s">
        <v>3106</v>
      </c>
      <c r="I322" s="3425"/>
      <c r="J322" s="3453"/>
      <c r="K322" s="3427"/>
      <c r="L322" s="3427"/>
      <c r="M322" s="3427"/>
      <c r="N322" s="3427"/>
      <c r="O322" s="3427"/>
      <c r="P322" s="3427"/>
    </row>
    <row customHeight="true" ht="18.452380952380953" r="323">
      <c r="A323" s="3454" t="s">
        <v>3403</v>
      </c>
      <c r="B323" s="3455">
        <v>46260</v>
      </c>
      <c r="C323" s="3454" t="str">
        <v>Wednesday</v>
      </c>
      <c r="D323" s="3478" t="s">
        <v>3380</v>
      </c>
      <c r="E323" s="3458">
        <f t="shared" si="85"/>
      </c>
      <c r="F323" s="3710" t="s">
        <v>3402</v>
      </c>
      <c r="G323" s="3479"/>
      <c r="H323" s="3425" t="s">
        <v>3106</v>
      </c>
      <c r="I323" s="3458"/>
      <c r="J323" s="3457"/>
      <c r="K323" s="3460"/>
      <c r="L323" s="3460"/>
      <c r="M323" s="3460"/>
      <c r="N323" s="3460"/>
      <c r="O323" s="3460"/>
      <c r="P323" s="3460"/>
    </row>
    <row customHeight="true" ht="18.452380952380953" r="324">
      <c r="A324" s="3449" t="s">
        <v>3403</v>
      </c>
      <c r="B324" s="3428">
        <v>46261</v>
      </c>
      <c r="C324" s="3449" t="str">
        <v>Thursday</v>
      </c>
      <c r="D324" s="3421" t="s">
        <v>3394</v>
      </c>
      <c r="E324" s="3425">
        <f t="shared" si="85"/>
      </c>
      <c r="F324" s="3425" t="s">
        <v>3227</v>
      </c>
      <c r="G324" s="3584"/>
      <c r="H324" s="3425" t="s">
        <v>3198</v>
      </c>
      <c r="I324" s="3451"/>
      <c r="J324" s="3453"/>
      <c r="K324" s="3427"/>
      <c r="L324" s="3427"/>
      <c r="M324" s="3427"/>
      <c r="N324" s="3427"/>
      <c r="O324" s="3427"/>
      <c r="P324" s="3427"/>
    </row>
    <row customHeight="true" ht="18.452380952380953" r="325">
      <c r="A325" s="3449" t="s">
        <v>3403</v>
      </c>
      <c r="B325" s="3428">
        <v>46262</v>
      </c>
      <c r="C325" s="3449" t="str">
        <v>Friday</v>
      </c>
      <c r="D325" s="3421" t="s">
        <v>3132</v>
      </c>
      <c r="E325" s="3425">
        <f t="shared" si="85"/>
      </c>
      <c r="F325" s="3425" t="s">
        <v>3303</v>
      </c>
      <c r="G325" s="3584"/>
      <c r="H325" s="3425" t="s">
        <v>3198</v>
      </c>
      <c r="I325" s="3435"/>
      <c r="J325" s="3453"/>
      <c r="K325" s="3427"/>
      <c r="L325" s="3427"/>
      <c r="M325" s="3427"/>
      <c r="N325" s="3427"/>
      <c r="O325" s="3427"/>
      <c r="P325" s="3427"/>
    </row>
    <row customHeight="true" ht="18.452380952380953" r="326">
      <c r="A326" s="3449" t="s">
        <v>3403</v>
      </c>
      <c r="B326" s="3428">
        <v>46262</v>
      </c>
      <c r="C326" s="3449" t="str">
        <v>Friday</v>
      </c>
      <c r="D326" s="3421" t="s">
        <v>3405</v>
      </c>
      <c r="E326" s="3425">
        <f t="shared" si="85"/>
      </c>
      <c r="F326" s="3425" t="s">
        <v>3385</v>
      </c>
      <c r="G326" s="3584"/>
      <c r="H326" s="3425" t="s">
        <v>3198</v>
      </c>
      <c r="I326" s="3435"/>
      <c r="J326" s="3453"/>
      <c r="K326" s="3427"/>
      <c r="L326" s="3427"/>
      <c r="M326" s="3427"/>
      <c r="N326" s="3427"/>
      <c r="O326" s="3427"/>
      <c r="P326" s="3427"/>
    </row>
    <row customHeight="true" ht="18.452380952380953" r="327">
      <c r="A327" s="3449" t="s">
        <v>3403</v>
      </c>
      <c r="B327" s="3428">
        <v>46262</v>
      </c>
      <c r="C327" s="3449" t="str">
        <v>Friday</v>
      </c>
      <c r="D327" s="3421" t="s">
        <v>3382</v>
      </c>
      <c r="E327" s="3425">
        <f t="shared" si="85"/>
      </c>
      <c r="F327" s="3425" t="s">
        <v>3385</v>
      </c>
      <c r="G327" s="3584"/>
      <c r="H327" s="3425" t="s">
        <v>3198</v>
      </c>
      <c r="I327" s="3435"/>
      <c r="J327" s="3453"/>
      <c r="K327" s="3427"/>
      <c r="L327" s="3427"/>
      <c r="M327" s="3427"/>
      <c r="N327" s="3427"/>
      <c r="O327" s="3427"/>
      <c r="P327" s="3427"/>
    </row>
    <row customHeight="true" ht="18.452380952380953" r="328">
      <c r="A328" s="3449" t="s">
        <v>3403</v>
      </c>
      <c r="B328" s="3449">
        <v>46262</v>
      </c>
      <c r="C328" s="3449" t="str">
        <v>Friday</v>
      </c>
      <c r="D328" s="3421" t="s">
        <v>3382</v>
      </c>
      <c r="E328" s="3425">
        <f t="shared" si="85"/>
      </c>
      <c r="F328" s="3425" t="s">
        <v>3385</v>
      </c>
      <c r="G328" s="3588"/>
      <c r="H328" s="3425" t="s">
        <v>3198</v>
      </c>
      <c r="I328" s="3451"/>
      <c r="J328" s="3453"/>
      <c r="K328" s="3463"/>
      <c r="L328" s="3463"/>
      <c r="M328" s="3463"/>
      <c r="N328" s="3463"/>
      <c r="O328" s="3463"/>
      <c r="P328" s="3463"/>
    </row>
    <row customHeight="true" ht="18.452380952380953" r="329">
      <c r="A329" s="3449" t="s">
        <v>3403</v>
      </c>
      <c r="B329" s="3428">
        <v>46263</v>
      </c>
      <c r="C329" s="3449" t="str">
        <v>Saturday</v>
      </c>
      <c r="D329" s="3421" t="s">
        <v>3394</v>
      </c>
      <c r="E329" s="3425">
        <f t="shared" si="85"/>
      </c>
      <c r="F329" s="3425" t="s">
        <v>3227</v>
      </c>
      <c r="G329" s="3584"/>
      <c r="H329" s="3425" t="s">
        <v>3198</v>
      </c>
      <c r="I329" s="3451"/>
      <c r="J329" s="3453"/>
      <c r="K329" s="3427"/>
      <c r="L329" s="3427"/>
      <c r="M329" s="3427"/>
      <c r="N329" s="3427"/>
      <c r="O329" s="3427"/>
      <c r="P329" s="3427"/>
    </row>
    <row customHeight="true" ht="18.452380952380953" r="330">
      <c r="A330" s="3449" t="s">
        <v>3403</v>
      </c>
      <c r="B330" s="3428">
        <v>46263</v>
      </c>
      <c r="C330" s="3449" t="str">
        <v>Saturday</v>
      </c>
      <c r="D330" s="3451" t="s">
        <v>3380</v>
      </c>
      <c r="E330" s="3425">
        <f t="shared" si="85"/>
      </c>
      <c r="F330" s="3425" t="s">
        <v>3307</v>
      </c>
      <c r="G330" s="3588"/>
      <c r="H330" s="3425" t="s">
        <v>3198</v>
      </c>
      <c r="I330" s="3425"/>
      <c r="J330" s="3453"/>
      <c r="K330" s="3463"/>
      <c r="L330" s="3463"/>
      <c r="M330" s="3463"/>
      <c r="N330" s="3463"/>
      <c r="O330" s="3463"/>
      <c r="P330" s="3463"/>
    </row>
    <row customHeight="true" ht="18.452380952380953" r="331">
      <c r="A331" s="3449" t="s">
        <v>3403</v>
      </c>
      <c r="B331" s="3428">
        <v>46264</v>
      </c>
      <c r="C331" s="3449" t="str">
        <v>Sunday</v>
      </c>
      <c r="D331" s="3421" t="s">
        <v>3398</v>
      </c>
      <c r="E331" s="3425">
        <f t="shared" si="85"/>
      </c>
      <c r="F331" s="3425" t="s">
        <v>3303</v>
      </c>
      <c r="G331" s="3588"/>
      <c r="H331" s="3425" t="s">
        <v>3198</v>
      </c>
      <c r="I331" s="3425"/>
      <c r="J331" s="3453"/>
      <c r="K331" s="3463"/>
      <c r="L331" s="3463"/>
      <c r="M331" s="3463"/>
      <c r="N331" s="3463"/>
      <c r="O331" s="3463"/>
      <c r="P331" s="3463"/>
    </row>
    <row customHeight="true" ht="18.452380952380953" r="332">
      <c r="A332" s="3449" t="s">
        <v>3400</v>
      </c>
      <c r="B332" s="3428">
        <v>46258</v>
      </c>
      <c r="C332" s="3449" t="str">
        <v>Monday</v>
      </c>
      <c r="D332" s="3421" t="s">
        <v>3406</v>
      </c>
      <c r="E332" s="3425">
        <f t="shared" si="85"/>
      </c>
      <c r="F332" s="3425" t="s">
        <v>3385</v>
      </c>
      <c r="G332" s="3588"/>
      <c r="H332" s="3425"/>
      <c r="I332" s="3425"/>
      <c r="J332" s="3711" t="s">
        <v>3407</v>
      </c>
      <c r="K332" s="3463"/>
      <c r="L332" s="3463"/>
      <c r="M332" s="3463"/>
      <c r="N332" s="3463"/>
      <c r="O332" s="3463"/>
      <c r="P332" s="3463"/>
    </row>
    <row customHeight="true" ht="18.452380952380953" r="333">
      <c r="A333" s="3449" t="s">
        <v>3400</v>
      </c>
      <c r="B333" s="3428">
        <v>46259</v>
      </c>
      <c r="C333" s="3449" t="str">
        <v>Tuesday</v>
      </c>
      <c r="D333" s="3421" t="s">
        <v>3408</v>
      </c>
      <c r="E333" s="3425">
        <f t="shared" si="85"/>
      </c>
      <c r="F333" s="3425" t="s">
        <v>3385</v>
      </c>
      <c r="G333" s="3588"/>
      <c r="H333" s="3425"/>
      <c r="I333" s="3425"/>
      <c r="J333" s="3711" t="s">
        <v>3409</v>
      </c>
      <c r="K333" s="3463"/>
      <c r="L333" s="3463"/>
      <c r="M333" s="3463"/>
      <c r="N333" s="3463"/>
      <c r="O333" s="3463"/>
      <c r="P333" s="3463"/>
    </row>
    <row customHeight="true" ht="18.452380952380953" r="334">
      <c r="A334" s="3449" t="s">
        <v>3403</v>
      </c>
      <c r="B334" s="3428">
        <v>46261</v>
      </c>
      <c r="C334" s="3449" t="str">
        <v>Thursday</v>
      </c>
      <c r="D334" s="3421" t="s">
        <v>3410</v>
      </c>
      <c r="E334" s="3425">
        <f t="shared" si="85"/>
      </c>
      <c r="F334" s="3425" t="s">
        <v>3385</v>
      </c>
      <c r="G334" s="3584"/>
      <c r="H334" s="3425"/>
      <c r="I334" s="3451"/>
      <c r="J334" s="3711" t="s">
        <v>3411</v>
      </c>
      <c r="K334" s="3427"/>
      <c r="L334" s="3427"/>
      <c r="M334" s="3427"/>
      <c r="N334" s="3427"/>
      <c r="O334" s="3427"/>
      <c r="P334" s="3427"/>
    </row>
    <row customHeight="true" ht="18.452380952380953" r="335">
      <c r="A335" s="3449" t="s">
        <v>3403</v>
      </c>
      <c r="B335" s="3428">
        <v>46264</v>
      </c>
      <c r="C335" s="3449" t="str">
        <v>Sunday</v>
      </c>
      <c r="D335" s="3421" t="s">
        <v>3174</v>
      </c>
      <c r="E335" s="3425">
        <f t="shared" si="85"/>
      </c>
      <c r="F335" s="3425" t="s">
        <v>3385</v>
      </c>
      <c r="G335" s="3588"/>
      <c r="H335" s="3425" t="s">
        <v>3198</v>
      </c>
      <c r="I335" s="3425"/>
      <c r="J335" s="3711" t="s">
        <v>3412</v>
      </c>
      <c r="K335" s="3463"/>
      <c r="L335" s="3463"/>
      <c r="M335" s="3463"/>
      <c r="N335" s="3463"/>
      <c r="O335" s="3463"/>
      <c r="P335" s="3463"/>
    </row>
    <row customHeight="true" ht="18.452380952380953" r="336">
      <c r="A336" s="3449"/>
      <c r="B336" s="3449"/>
      <c r="C336" s="3449"/>
      <c r="D336" s="3451"/>
      <c r="E336" s="3451"/>
      <c r="F336" s="3712"/>
      <c r="G336" s="3653"/>
      <c r="H336" s="3451"/>
      <c r="I336" s="3451"/>
      <c r="J336" s="3426"/>
      <c r="K336" s="3427"/>
      <c r="L336" s="3427"/>
      <c r="M336" s="3427"/>
      <c r="N336" s="3427"/>
      <c r="O336" s="3427"/>
      <c r="P336" s="3427"/>
    </row>
    <row r="337">
      <c r="A337" s="3713" t="s">
        <v>3122</v>
      </c>
      <c r="B337" s="3714" t="s">
        <v>3123</v>
      </c>
      <c r="C337" s="3714"/>
      <c r="D337" s="3715" t="s">
        <v>3124</v>
      </c>
      <c r="E337" s="3715" t="s">
        <v>3125</v>
      </c>
      <c r="F337" s="3715" t="s">
        <v>3126</v>
      </c>
      <c r="G337" s="3716" t="s">
        <v>3148</v>
      </c>
      <c r="H337" s="3715" t="s">
        <v>3128</v>
      </c>
      <c r="I337" s="3715" t="s">
        <v>3129</v>
      </c>
      <c r="J337" s="3717" t="s">
        <v>3130</v>
      </c>
      <c r="K337" s="3448"/>
      <c r="L337" s="3448"/>
      <c r="M337" s="3448"/>
      <c r="N337" s="3448"/>
      <c r="O337" s="3448"/>
      <c r="P337" s="3448"/>
    </row>
    <row r="338">
      <c r="A338" s="3582" t="s">
        <v>3413</v>
      </c>
      <c r="B338" s="3581">
        <v>46258</v>
      </c>
      <c r="C338" s="3582" t="str">
        <v>Monday</v>
      </c>
      <c r="D338" s="3583" t="s">
        <v>3414</v>
      </c>
      <c r="E338" s="3514">
        <f t="shared" ref="E338:E373" si="86">24*MOD(TIMEVALUE(TRIM(MID(D338,FIND("-",D338)+1,LEN(D338)))) - TIMEVALUE(TRIM(LEFT(D338,FIND("-",D338)-1))),1)</f>
      </c>
      <c r="F338" s="3712" t="s">
        <v>3415</v>
      </c>
      <c r="G338" s="3652"/>
      <c r="H338" s="3514"/>
      <c r="I338" s="3514" t="s">
        <v>3107</v>
      </c>
      <c r="J338" s="3680"/>
      <c r="K338" s="3603"/>
      <c r="L338" s="3603"/>
      <c r="M338" s="3603"/>
      <c r="N338" s="3603"/>
      <c r="O338" s="3603"/>
      <c r="P338" s="3603"/>
    </row>
    <row customHeight="true" ht="20.238095238095237" r="339">
      <c r="A339" s="3582" t="s">
        <v>3413</v>
      </c>
      <c r="B339" s="3581">
        <v>46258</v>
      </c>
      <c r="C339" s="3582" t="str">
        <v>Monday</v>
      </c>
      <c r="D339" s="3583" t="s">
        <v>3416</v>
      </c>
      <c r="E339" s="3514">
        <f t="shared" si="86"/>
      </c>
      <c r="F339" s="3712" t="s">
        <v>3381</v>
      </c>
      <c r="G339" s="3652"/>
      <c r="H339" s="3514"/>
      <c r="I339" s="3514" t="s">
        <v>3107</v>
      </c>
      <c r="J339" s="3680"/>
      <c r="K339" s="3603"/>
      <c r="L339" s="3603"/>
      <c r="M339" s="3603"/>
      <c r="N339" s="3603"/>
      <c r="O339" s="3603"/>
      <c r="P339" s="3603"/>
    </row>
    <row customHeight="true" ht="20.238095238095237" r="340">
      <c r="A340" s="3582" t="s">
        <v>3413</v>
      </c>
      <c r="B340" s="3581">
        <v>46258</v>
      </c>
      <c r="C340" s="3582" t="str">
        <v>Monday</v>
      </c>
      <c r="D340" s="3583" t="s">
        <v>3155</v>
      </c>
      <c r="E340" s="3514">
        <f t="shared" si="86"/>
      </c>
      <c r="F340" s="3712" t="s">
        <v>3379</v>
      </c>
      <c r="G340" s="3652"/>
      <c r="H340" s="3514"/>
      <c r="I340" s="3514" t="s">
        <v>3107</v>
      </c>
      <c r="J340" s="3680"/>
      <c r="K340" s="3603"/>
      <c r="L340" s="3603"/>
      <c r="M340" s="3603"/>
      <c r="N340" s="3603"/>
      <c r="O340" s="3603"/>
      <c r="P340" s="3603"/>
    </row>
    <row customHeight="true" ht="18.452380952380953" r="341">
      <c r="A341" s="3449" t="s">
        <v>3413</v>
      </c>
      <c r="B341" s="3428">
        <v>46259</v>
      </c>
      <c r="C341" s="3449" t="str">
        <v>Tuesday</v>
      </c>
      <c r="D341" s="3583" t="s">
        <v>3380</v>
      </c>
      <c r="E341" s="3451">
        <f t="shared" si="86"/>
      </c>
      <c r="F341" s="3712" t="s">
        <v>3415</v>
      </c>
      <c r="G341" s="3473"/>
      <c r="H341" s="3451"/>
      <c r="I341" s="3451" t="s">
        <v>3107</v>
      </c>
      <c r="J341" s="3426"/>
      <c r="K341" s="3427"/>
      <c r="L341" s="3427"/>
      <c r="M341" s="3427"/>
      <c r="N341" s="3427"/>
      <c r="O341" s="3427"/>
      <c r="P341" s="3427"/>
    </row>
    <row customHeight="true" ht="18.452380952380953" r="342">
      <c r="A342" s="3449" t="s">
        <v>3413</v>
      </c>
      <c r="B342" s="3428">
        <v>46259</v>
      </c>
      <c r="C342" s="3449" t="str">
        <v>Tuesday</v>
      </c>
      <c r="D342" s="3583" t="s">
        <v>3157</v>
      </c>
      <c r="E342" s="3451">
        <f t="shared" si="86"/>
      </c>
      <c r="F342" s="3712" t="s">
        <v>3381</v>
      </c>
      <c r="G342" s="3473"/>
      <c r="H342" s="3451"/>
      <c r="I342" s="3451" t="s">
        <v>3107</v>
      </c>
      <c r="J342" s="3426"/>
      <c r="K342" s="3427"/>
      <c r="L342" s="3427"/>
      <c r="M342" s="3427"/>
      <c r="N342" s="3427"/>
      <c r="O342" s="3427"/>
      <c r="P342" s="3427"/>
    </row>
    <row customHeight="true" ht="18.452380952380953" r="343">
      <c r="A343" s="3582" t="s">
        <v>3413</v>
      </c>
      <c r="B343" s="3581">
        <v>46259</v>
      </c>
      <c r="C343" s="3582" t="str">
        <v>Tuesday</v>
      </c>
      <c r="D343" s="3583" t="s">
        <v>3155</v>
      </c>
      <c r="E343" s="3514">
        <f t="shared" si="86"/>
      </c>
      <c r="F343" s="3712" t="s">
        <v>3379</v>
      </c>
      <c r="G343" s="3652"/>
      <c r="H343" s="3514"/>
      <c r="I343" s="3514" t="s">
        <v>3107</v>
      </c>
      <c r="J343" s="3680" t="s">
        <v>3417</v>
      </c>
      <c r="K343" s="3603"/>
      <c r="L343" s="3603"/>
      <c r="M343" s="3603"/>
      <c r="N343" s="3603"/>
      <c r="O343" s="3603"/>
      <c r="P343" s="3603"/>
    </row>
    <row customHeight="true" ht="18.452380952380953" r="344">
      <c r="A344" s="3449" t="s">
        <v>3413</v>
      </c>
      <c r="B344" s="3428">
        <v>46260</v>
      </c>
      <c r="C344" s="3449" t="str">
        <v>Wednesday</v>
      </c>
      <c r="D344" s="3421" t="s">
        <v>3380</v>
      </c>
      <c r="E344" s="3451">
        <f t="shared" si="86"/>
      </c>
      <c r="F344" s="3712" t="s">
        <v>3379</v>
      </c>
      <c r="G344" s="3473"/>
      <c r="H344" s="3451"/>
      <c r="I344" s="3451" t="s">
        <v>3107</v>
      </c>
      <c r="J344" s="3426"/>
      <c r="K344" s="3427"/>
      <c r="L344" s="3427"/>
      <c r="M344" s="3427"/>
      <c r="N344" s="3427"/>
      <c r="O344" s="3427"/>
      <c r="P344" s="3427"/>
    </row>
    <row customHeight="true" ht="18.452380952380953" r="345">
      <c r="A345" s="3449" t="s">
        <v>3413</v>
      </c>
      <c r="B345" s="3428">
        <v>46260</v>
      </c>
      <c r="C345" s="3449" t="str">
        <v>Wednesday</v>
      </c>
      <c r="D345" s="3421" t="s">
        <v>3157</v>
      </c>
      <c r="E345" s="3451">
        <f t="shared" si="86"/>
      </c>
      <c r="F345" s="3712" t="s">
        <v>3381</v>
      </c>
      <c r="G345" s="3473"/>
      <c r="H345" s="3451"/>
      <c r="I345" s="3451" t="s">
        <v>3107</v>
      </c>
      <c r="J345" s="3426"/>
      <c r="K345" s="3427"/>
      <c r="L345" s="3427"/>
      <c r="M345" s="3427"/>
      <c r="N345" s="3427"/>
      <c r="O345" s="3427"/>
      <c r="P345" s="3427"/>
    </row>
    <row r="346">
      <c r="A346" s="3449" t="s">
        <v>3413</v>
      </c>
      <c r="B346" s="3428">
        <v>46260</v>
      </c>
      <c r="C346" s="3449" t="str">
        <v>Wednesday</v>
      </c>
      <c r="D346" s="3421" t="s">
        <v>3155</v>
      </c>
      <c r="E346" s="3451">
        <f t="shared" si="86"/>
      </c>
      <c r="F346" s="3712" t="s">
        <v>3379</v>
      </c>
      <c r="G346" s="3473"/>
      <c r="H346" s="3451"/>
      <c r="I346" s="3451" t="s">
        <v>3107</v>
      </c>
      <c r="J346" s="3426"/>
      <c r="K346" s="3427"/>
      <c r="L346" s="3427"/>
      <c r="M346" s="3427"/>
      <c r="N346" s="3427"/>
      <c r="O346" s="3427"/>
      <c r="P346" s="3427"/>
    </row>
    <row customHeight="true" ht="20.238095238095237" r="347">
      <c r="A347" s="3449" t="s">
        <v>3413</v>
      </c>
      <c r="B347" s="3428">
        <v>46261</v>
      </c>
      <c r="C347" s="3449" t="str">
        <v>Thursday</v>
      </c>
      <c r="D347" s="3421" t="s">
        <v>3418</v>
      </c>
      <c r="E347" s="3451">
        <f t="shared" si="86"/>
      </c>
      <c r="F347" s="3712" t="s">
        <v>3379</v>
      </c>
      <c r="G347" s="3473"/>
      <c r="H347" s="3451"/>
      <c r="I347" s="3451" t="s">
        <v>3107</v>
      </c>
      <c r="J347" s="3426"/>
      <c r="K347" s="3427"/>
      <c r="L347" s="3427"/>
      <c r="M347" s="3427"/>
      <c r="N347" s="3427"/>
      <c r="O347" s="3427"/>
      <c r="P347" s="3427"/>
    </row>
    <row customHeight="true" ht="20.238095238095237" r="348">
      <c r="A348" s="3454" t="s">
        <v>3413</v>
      </c>
      <c r="B348" s="3455">
        <v>46261</v>
      </c>
      <c r="C348" s="3454" t="str">
        <v>Thursday</v>
      </c>
      <c r="D348" s="3478" t="s">
        <v>3155</v>
      </c>
      <c r="E348" s="3458">
        <f t="shared" si="86"/>
      </c>
      <c r="F348" s="3718" t="s">
        <v>3415</v>
      </c>
      <c r="G348" s="3479"/>
      <c r="H348" s="3458"/>
      <c r="I348" s="3458" t="s">
        <v>3107</v>
      </c>
      <c r="J348" s="3457"/>
      <c r="K348" s="3460"/>
      <c r="L348" s="3460"/>
      <c r="M348" s="3460"/>
      <c r="N348" s="3460"/>
      <c r="O348" s="3460"/>
      <c r="P348" s="3460"/>
    </row>
    <row customHeight="true" ht="20.238095238095237" r="349">
      <c r="A349" s="3449" t="s">
        <v>3413</v>
      </c>
      <c r="B349" s="3428">
        <v>46262</v>
      </c>
      <c r="C349" s="3449" t="str">
        <v>Friday</v>
      </c>
      <c r="D349" s="3421" t="s">
        <v>3419</v>
      </c>
      <c r="E349" s="3451">
        <f t="shared" si="86"/>
      </c>
      <c r="F349" s="3712" t="s">
        <v>3396</v>
      </c>
      <c r="G349" s="3473"/>
      <c r="H349" s="3451"/>
      <c r="I349" s="3451" t="s">
        <v>3107</v>
      </c>
      <c r="J349" s="3426"/>
      <c r="K349" s="3427"/>
      <c r="L349" s="3427"/>
      <c r="M349" s="3427"/>
      <c r="N349" s="3427"/>
      <c r="O349" s="3427"/>
      <c r="P349" s="3427"/>
    </row>
    <row customHeight="true" ht="20.238095238095237" r="350">
      <c r="A350" s="3449" t="s">
        <v>3413</v>
      </c>
      <c r="B350" s="3428">
        <v>46263</v>
      </c>
      <c r="C350" s="3449" t="str">
        <v>Saturday</v>
      </c>
      <c r="D350" s="3421" t="s">
        <v>3420</v>
      </c>
      <c r="E350" s="3451">
        <f t="shared" si="86"/>
      </c>
      <c r="F350" s="3712" t="s">
        <v>3381</v>
      </c>
      <c r="G350" s="3473"/>
      <c r="H350" s="3451"/>
      <c r="I350" s="3451" t="s">
        <v>3107</v>
      </c>
      <c r="J350" s="3426"/>
      <c r="K350" s="3427"/>
      <c r="L350" s="3427"/>
      <c r="M350" s="3427"/>
      <c r="N350" s="3427"/>
      <c r="O350" s="3427"/>
      <c r="P350" s="3427"/>
    </row>
    <row customHeight="true" ht="20.238095238095237" r="351">
      <c r="A351" s="3449" t="s">
        <v>3413</v>
      </c>
      <c r="B351" s="3428">
        <v>46264</v>
      </c>
      <c r="C351" s="3449" t="str">
        <v>Sunday</v>
      </c>
      <c r="D351" s="3421" t="s">
        <v>3421</v>
      </c>
      <c r="E351" s="3451">
        <f t="shared" si="86"/>
      </c>
      <c r="F351" s="3712" t="s">
        <v>3381</v>
      </c>
      <c r="G351" s="3473"/>
      <c r="H351" s="3451"/>
      <c r="I351" s="3451" t="s">
        <v>3107</v>
      </c>
      <c r="J351" s="3426"/>
      <c r="K351" s="3427"/>
      <c r="L351" s="3427"/>
      <c r="M351" s="3427"/>
      <c r="N351" s="3427"/>
      <c r="O351" s="3427"/>
      <c r="P351" s="3427"/>
    </row>
    <row customHeight="true" ht="20.238095238095237" r="352">
      <c r="A352" s="3449" t="s">
        <v>3422</v>
      </c>
      <c r="B352" s="3428">
        <v>46259</v>
      </c>
      <c r="C352" s="3449" t="str">
        <v>Tuesday</v>
      </c>
      <c r="D352" s="3421" t="s">
        <v>3423</v>
      </c>
      <c r="E352" s="3451">
        <f t="shared" si="86"/>
      </c>
      <c r="F352" s="3712" t="s">
        <v>3291</v>
      </c>
      <c r="G352" s="3473" t="s">
        <v>3424</v>
      </c>
      <c r="H352" s="3451"/>
      <c r="I352" s="3451" t="s">
        <v>3107</v>
      </c>
      <c r="J352" s="3426"/>
      <c r="K352" s="3427"/>
      <c r="L352" s="3427"/>
      <c r="M352" s="3427"/>
      <c r="N352" s="3427"/>
      <c r="O352" s="3427"/>
      <c r="P352" s="3427"/>
    </row>
    <row customHeight="true" ht="20.238095238095237" r="353">
      <c r="A353" s="3449" t="s">
        <v>3422</v>
      </c>
      <c r="B353" s="3428">
        <v>46258</v>
      </c>
      <c r="C353" s="3449" t="str">
        <v>Monday</v>
      </c>
      <c r="D353" s="3421" t="s">
        <v>3347</v>
      </c>
      <c r="E353" s="3451">
        <f t="shared" si="86"/>
      </c>
      <c r="F353" s="3712" t="s">
        <v>3379</v>
      </c>
      <c r="G353" s="3473" t="s">
        <v>3425</v>
      </c>
      <c r="H353" s="3451"/>
      <c r="I353" s="3451" t="s">
        <v>3107</v>
      </c>
      <c r="J353" s="3426"/>
      <c r="K353" s="3427"/>
      <c r="L353" s="3427"/>
      <c r="M353" s="3427"/>
      <c r="N353" s="3427"/>
      <c r="O353" s="3427"/>
      <c r="P353" s="3427"/>
    </row>
    <row customHeight="true" ht="20.238095238095237" r="354">
      <c r="A354" s="3449" t="s">
        <v>3422</v>
      </c>
      <c r="B354" s="3428">
        <v>46258</v>
      </c>
      <c r="C354" s="3449" t="str">
        <v>Monday</v>
      </c>
      <c r="D354" s="3421" t="s">
        <v>3423</v>
      </c>
      <c r="E354" s="3451">
        <f t="shared" si="86"/>
      </c>
      <c r="F354" s="3712" t="s">
        <v>3381</v>
      </c>
      <c r="G354" s="3473" t="s">
        <v>3425</v>
      </c>
      <c r="H354" s="3451"/>
      <c r="I354" s="3451" t="s">
        <v>3107</v>
      </c>
      <c r="J354" s="3426"/>
      <c r="K354" s="3427"/>
      <c r="L354" s="3427"/>
      <c r="M354" s="3427"/>
      <c r="N354" s="3427"/>
      <c r="O354" s="3427"/>
      <c r="P354" s="3427"/>
    </row>
    <row customHeight="true" ht="20.238095238095237" r="355">
      <c r="A355" s="3449" t="s">
        <v>3422</v>
      </c>
      <c r="B355" s="3428">
        <v>46258</v>
      </c>
      <c r="C355" s="3449" t="str">
        <v>Monday</v>
      </c>
      <c r="D355" s="3421" t="s">
        <v>3426</v>
      </c>
      <c r="E355" s="3451">
        <f t="shared" si="86"/>
      </c>
      <c r="F355" s="3712" t="s">
        <v>3415</v>
      </c>
      <c r="G355" s="3473" t="s">
        <v>3425</v>
      </c>
      <c r="H355" s="3451"/>
      <c r="I355" s="3451" t="s">
        <v>3107</v>
      </c>
      <c r="J355" s="3426"/>
      <c r="K355" s="3427"/>
      <c r="L355" s="3427"/>
      <c r="M355" s="3427"/>
      <c r="N355" s="3427"/>
      <c r="O355" s="3427"/>
      <c r="P355" s="3427"/>
    </row>
    <row customHeight="true" ht="20.238095238095237" r="356">
      <c r="A356" s="3449" t="s">
        <v>3422</v>
      </c>
      <c r="B356" s="3428">
        <v>46259</v>
      </c>
      <c r="C356" s="3449" t="str">
        <v>Tuesday</v>
      </c>
      <c r="D356" s="3421" t="s">
        <v>3175</v>
      </c>
      <c r="E356" s="3451">
        <f t="shared" si="86"/>
      </c>
      <c r="F356" s="3712" t="s">
        <v>3379</v>
      </c>
      <c r="G356" s="3473" t="s">
        <v>3425</v>
      </c>
      <c r="H356" s="3451"/>
      <c r="I356" s="3451" t="s">
        <v>3107</v>
      </c>
      <c r="J356" s="3426"/>
      <c r="K356" s="3427"/>
      <c r="L356" s="3427"/>
      <c r="M356" s="3427"/>
      <c r="N356" s="3427"/>
      <c r="O356" s="3427"/>
      <c r="P356" s="3427"/>
    </row>
    <row customHeight="true" ht="20.238095238095237" r="357">
      <c r="A357" s="3449" t="s">
        <v>3422</v>
      </c>
      <c r="B357" s="3428">
        <v>46259</v>
      </c>
      <c r="C357" s="3449" t="str">
        <v>Tuesday</v>
      </c>
      <c r="D357" s="3421" t="s">
        <v>3175</v>
      </c>
      <c r="E357" s="3451">
        <f t="shared" si="86"/>
      </c>
      <c r="F357" s="3712" t="s">
        <v>3396</v>
      </c>
      <c r="G357" s="3473" t="s">
        <v>3425</v>
      </c>
      <c r="H357" s="3451"/>
      <c r="I357" s="3451" t="s">
        <v>3107</v>
      </c>
      <c r="J357" s="3426"/>
      <c r="K357" s="3427"/>
      <c r="L357" s="3427"/>
      <c r="M357" s="3427"/>
      <c r="N357" s="3427"/>
      <c r="O357" s="3427"/>
      <c r="P357" s="3427"/>
    </row>
    <row r="358">
      <c r="A358" s="3449" t="s">
        <v>3427</v>
      </c>
      <c r="B358" s="3581">
        <v>46258</v>
      </c>
      <c r="C358" s="3449" t="str">
        <v>Monday</v>
      </c>
      <c r="D358" s="3421" t="s">
        <v>3414</v>
      </c>
      <c r="E358" s="3451">
        <f t="shared" si="86"/>
      </c>
      <c r="F358" s="3462" t="s">
        <v>3428</v>
      </c>
      <c r="G358" s="3653"/>
      <c r="H358" s="3451"/>
      <c r="I358" s="3451" t="s">
        <v>3107</v>
      </c>
      <c r="J358" s="3422" t="s">
        <v>3429</v>
      </c>
      <c r="K358" s="3427"/>
      <c r="L358" s="3427"/>
      <c r="M358" s="3427"/>
      <c r="N358" s="3427"/>
      <c r="O358" s="3427"/>
      <c r="P358" s="3427"/>
    </row>
    <row customHeight="true" ht="18.452380952380953" r="359">
      <c r="A359" s="3449" t="s">
        <v>3427</v>
      </c>
      <c r="B359" s="3581">
        <v>46258</v>
      </c>
      <c r="C359" s="3449" t="str">
        <v>Monday</v>
      </c>
      <c r="D359" s="3421" t="s">
        <v>3416</v>
      </c>
      <c r="E359" s="3451">
        <f t="shared" si="86"/>
      </c>
      <c r="F359" s="3462" t="s">
        <v>3304</v>
      </c>
      <c r="G359" s="3653"/>
      <c r="H359" s="3451"/>
      <c r="I359" s="3514" t="s">
        <v>3107</v>
      </c>
      <c r="J359" s="3426"/>
      <c r="K359" s="3427"/>
      <c r="L359" s="3427"/>
      <c r="M359" s="3427"/>
      <c r="N359" s="3427"/>
      <c r="O359" s="3427"/>
      <c r="P359" s="3427"/>
    </row>
    <row customHeight="true" ht="18.452380952380953" r="360">
      <c r="A360" s="3449" t="s">
        <v>3427</v>
      </c>
      <c r="B360" s="3581">
        <v>46258</v>
      </c>
      <c r="C360" s="3449" t="str">
        <v>Monday</v>
      </c>
      <c r="D360" s="3421" t="s">
        <v>3155</v>
      </c>
      <c r="E360" s="3451">
        <f t="shared" si="86"/>
      </c>
      <c r="F360" s="3462" t="s">
        <v>3227</v>
      </c>
      <c r="G360" s="3653"/>
      <c r="H360" s="3451"/>
      <c r="I360" s="3514" t="s">
        <v>3107</v>
      </c>
      <c r="J360" s="3426"/>
      <c r="K360" s="3427"/>
      <c r="L360" s="3427"/>
      <c r="M360" s="3427"/>
      <c r="N360" s="3427"/>
      <c r="O360" s="3427"/>
      <c r="P360" s="3427"/>
    </row>
    <row r="361">
      <c r="A361" s="3449" t="s">
        <v>3427</v>
      </c>
      <c r="B361" s="3428">
        <v>46259</v>
      </c>
      <c r="C361" s="3449" t="str">
        <v>Tuesday</v>
      </c>
      <c r="D361" s="3421" t="s">
        <v>3414</v>
      </c>
      <c r="E361" s="3451">
        <f t="shared" si="86"/>
      </c>
      <c r="F361" s="3462" t="s">
        <v>3428</v>
      </c>
      <c r="G361" s="3653"/>
      <c r="H361" s="3451"/>
      <c r="I361" s="3451" t="s">
        <v>3107</v>
      </c>
      <c r="J361" s="3426"/>
      <c r="K361" s="3427"/>
      <c r="L361" s="3427"/>
      <c r="M361" s="3427"/>
      <c r="N361" s="3427"/>
      <c r="O361" s="3427"/>
      <c r="P361" s="3427"/>
    </row>
    <row customHeight="true" ht="18.452380952380953" r="362">
      <c r="A362" s="3449" t="s">
        <v>3427</v>
      </c>
      <c r="B362" s="3428">
        <v>46259</v>
      </c>
      <c r="C362" s="3449" t="str">
        <v>Tuesday</v>
      </c>
      <c r="D362" s="3421" t="s">
        <v>3416</v>
      </c>
      <c r="E362" s="3451">
        <f t="shared" si="86"/>
      </c>
      <c r="F362" s="3462" t="s">
        <v>3304</v>
      </c>
      <c r="G362" s="3653"/>
      <c r="H362" s="3451"/>
      <c r="I362" s="3451" t="s">
        <v>3107</v>
      </c>
      <c r="J362" s="3426"/>
      <c r="K362" s="3427"/>
      <c r="L362" s="3427"/>
      <c r="M362" s="3427"/>
      <c r="N362" s="3427"/>
      <c r="O362" s="3427"/>
      <c r="P362" s="3427"/>
    </row>
    <row customHeight="true" ht="18.452380952380953" r="363">
      <c r="A363" s="3449" t="s">
        <v>3427</v>
      </c>
      <c r="B363" s="3428">
        <v>46259</v>
      </c>
      <c r="C363" s="3449" t="str">
        <v>Tuesday</v>
      </c>
      <c r="D363" s="3421" t="s">
        <v>3155</v>
      </c>
      <c r="E363" s="3451">
        <f t="shared" si="86"/>
      </c>
      <c r="F363" s="3462" t="s">
        <v>3227</v>
      </c>
      <c r="G363" s="3653"/>
      <c r="H363" s="3451"/>
      <c r="I363" s="3451" t="s">
        <v>3107</v>
      </c>
      <c r="J363" s="3426"/>
      <c r="K363" s="3427"/>
      <c r="L363" s="3427"/>
      <c r="M363" s="3427"/>
      <c r="N363" s="3427"/>
      <c r="O363" s="3427"/>
      <c r="P363" s="3427"/>
    </row>
    <row r="364">
      <c r="A364" s="3449" t="s">
        <v>3427</v>
      </c>
      <c r="B364" s="3428">
        <v>46260</v>
      </c>
      <c r="C364" s="3449" t="str">
        <v>Wednesday</v>
      </c>
      <c r="D364" s="3421" t="s">
        <v>3380</v>
      </c>
      <c r="E364" s="3451">
        <f t="shared" si="86"/>
      </c>
      <c r="F364" s="3462" t="s">
        <v>3304</v>
      </c>
      <c r="G364" s="3653"/>
      <c r="H364" s="3451"/>
      <c r="I364" s="3451" t="s">
        <v>3107</v>
      </c>
      <c r="J364" s="3426"/>
      <c r="K364" s="3427"/>
      <c r="L364" s="3427"/>
      <c r="M364" s="3427"/>
      <c r="N364" s="3427"/>
      <c r="O364" s="3427"/>
      <c r="P364" s="3427"/>
    </row>
    <row customHeight="true" ht="18.452380952380953" r="365">
      <c r="A365" s="3449" t="s">
        <v>3427</v>
      </c>
      <c r="B365" s="3428">
        <v>46260</v>
      </c>
      <c r="C365" s="3449" t="str">
        <v>Wednesday</v>
      </c>
      <c r="D365" s="3421" t="s">
        <v>3157</v>
      </c>
      <c r="E365" s="3451">
        <f t="shared" si="86"/>
      </c>
      <c r="F365" s="3462" t="s">
        <v>3428</v>
      </c>
      <c r="G365" s="3653"/>
      <c r="H365" s="3451"/>
      <c r="I365" s="3451" t="s">
        <v>3107</v>
      </c>
      <c r="J365" s="3426"/>
      <c r="K365" s="3427"/>
      <c r="L365" s="3427"/>
      <c r="M365" s="3427"/>
      <c r="N365" s="3427"/>
      <c r="O365" s="3427"/>
      <c r="P365" s="3427"/>
    </row>
    <row customHeight="true" ht="18.452380952380953" r="366">
      <c r="A366" s="3449" t="s">
        <v>3427</v>
      </c>
      <c r="B366" s="3428">
        <v>46260</v>
      </c>
      <c r="C366" s="3449" t="str">
        <v>Wednesday</v>
      </c>
      <c r="D366" s="3421" t="s">
        <v>3155</v>
      </c>
      <c r="E366" s="3451">
        <f t="shared" si="86"/>
      </c>
      <c r="F366" s="3462" t="s">
        <v>3227</v>
      </c>
      <c r="G366" s="3653"/>
      <c r="H366" s="3451"/>
      <c r="I366" s="3451" t="s">
        <v>3107</v>
      </c>
      <c r="J366" s="3426"/>
      <c r="K366" s="3427"/>
      <c r="L366" s="3427"/>
      <c r="M366" s="3427"/>
      <c r="N366" s="3427"/>
      <c r="O366" s="3427"/>
      <c r="P366" s="3427"/>
    </row>
    <row r="367">
      <c r="A367" s="3449" t="s">
        <v>3427</v>
      </c>
      <c r="B367" s="3428">
        <v>46261</v>
      </c>
      <c r="C367" s="3449" t="str">
        <v>Thursday</v>
      </c>
      <c r="D367" s="3421" t="s">
        <v>3380</v>
      </c>
      <c r="E367" s="3451">
        <f t="shared" si="86"/>
      </c>
      <c r="F367" s="3462" t="s">
        <v>3304</v>
      </c>
      <c r="G367" s="3653"/>
      <c r="H367" s="3451"/>
      <c r="I367" s="3451" t="s">
        <v>3107</v>
      </c>
      <c r="J367" s="3426"/>
      <c r="K367" s="3427"/>
      <c r="L367" s="3427"/>
      <c r="M367" s="3427"/>
      <c r="N367" s="3427"/>
      <c r="O367" s="3427"/>
      <c r="P367" s="3427"/>
    </row>
    <row customHeight="true" ht="18.452380952380953" r="368">
      <c r="A368" s="3449" t="s">
        <v>3427</v>
      </c>
      <c r="B368" s="3428">
        <v>46261</v>
      </c>
      <c r="C368" s="3449" t="str">
        <v>Thursday</v>
      </c>
      <c r="D368" s="3421" t="s">
        <v>3401</v>
      </c>
      <c r="E368" s="3451">
        <f t="shared" si="86"/>
      </c>
      <c r="F368" s="3462" t="s">
        <v>3428</v>
      </c>
      <c r="G368" s="3653"/>
      <c r="H368" s="3451"/>
      <c r="I368" s="3451" t="s">
        <v>3107</v>
      </c>
      <c r="J368" s="3426"/>
      <c r="K368" s="3427"/>
      <c r="L368" s="3427"/>
      <c r="M368" s="3427"/>
      <c r="N368" s="3427"/>
      <c r="O368" s="3427"/>
      <c r="P368" s="3427"/>
    </row>
    <row customHeight="true" ht="18.452380952380953" r="369">
      <c r="A369" s="3454" t="s">
        <v>3427</v>
      </c>
      <c r="B369" s="3455">
        <v>46261</v>
      </c>
      <c r="C369" s="3454" t="str">
        <v>Thursday</v>
      </c>
      <c r="D369" s="3478" t="s">
        <v>3155</v>
      </c>
      <c r="E369" s="3458">
        <f t="shared" si="86"/>
      </c>
      <c r="F369" s="3586" t="s">
        <v>3227</v>
      </c>
      <c r="G369" s="3591"/>
      <c r="H369" s="3458"/>
      <c r="I369" s="3458" t="s">
        <v>3107</v>
      </c>
      <c r="J369" s="3457"/>
      <c r="K369" s="3460"/>
      <c r="L369" s="3460"/>
      <c r="M369" s="3460"/>
      <c r="N369" s="3460"/>
      <c r="O369" s="3460"/>
      <c r="P369" s="3460"/>
    </row>
    <row r="370">
      <c r="A370" s="3449" t="s">
        <v>3427</v>
      </c>
      <c r="B370" s="3428">
        <v>46262</v>
      </c>
      <c r="C370" s="3449" t="str">
        <v>Friday</v>
      </c>
      <c r="D370" s="3421" t="s">
        <v>3419</v>
      </c>
      <c r="E370" s="3451">
        <f t="shared" si="86"/>
      </c>
      <c r="F370" s="3462" t="s">
        <v>3304</v>
      </c>
      <c r="G370" s="3653"/>
      <c r="H370" s="3451"/>
      <c r="I370" s="3451" t="s">
        <v>3107</v>
      </c>
      <c r="J370" s="3426"/>
      <c r="K370" s="3427"/>
      <c r="L370" s="3427"/>
      <c r="M370" s="3427"/>
      <c r="N370" s="3427"/>
      <c r="O370" s="3427"/>
      <c r="P370" s="3427"/>
    </row>
    <row customHeight="true" ht="18.452380952380953" r="371">
      <c r="A371" s="3449" t="s">
        <v>3427</v>
      </c>
      <c r="B371" s="3428">
        <v>46263</v>
      </c>
      <c r="C371" s="3449" t="str">
        <v>Saturday</v>
      </c>
      <c r="D371" s="3421" t="s">
        <v>3420</v>
      </c>
      <c r="E371" s="3451">
        <f t="shared" si="86"/>
      </c>
      <c r="F371" s="3462" t="s">
        <v>3304</v>
      </c>
      <c r="G371" s="3653"/>
      <c r="H371" s="3451"/>
      <c r="I371" s="3451" t="s">
        <v>3107</v>
      </c>
      <c r="J371" s="3426"/>
      <c r="K371" s="3427"/>
      <c r="L371" s="3427"/>
      <c r="M371" s="3427"/>
      <c r="N371" s="3427"/>
      <c r="O371" s="3427"/>
      <c r="P371" s="3427"/>
    </row>
    <row customHeight="true" ht="18.452380952380953" r="372">
      <c r="A372" s="3449" t="s">
        <v>3427</v>
      </c>
      <c r="B372" s="3428">
        <v>46264</v>
      </c>
      <c r="C372" s="3449" t="str">
        <v>Sunday</v>
      </c>
      <c r="D372" s="3421" t="s">
        <v>3262</v>
      </c>
      <c r="E372" s="3451">
        <f t="shared" si="86"/>
      </c>
      <c r="F372" s="3462" t="s">
        <v>3304</v>
      </c>
      <c r="G372" s="3653"/>
      <c r="H372" s="3451"/>
      <c r="I372" s="3451" t="s">
        <v>3107</v>
      </c>
      <c r="J372" s="3426"/>
      <c r="K372" s="3427"/>
      <c r="L372" s="3427"/>
      <c r="M372" s="3427"/>
      <c r="N372" s="3427"/>
      <c r="O372" s="3427"/>
      <c r="P372" s="3427"/>
    </row>
    <row customHeight="true" ht="18.452380952380953" r="373">
      <c r="A373" s="3449" t="s">
        <v>3427</v>
      </c>
      <c r="B373" s="3428">
        <v>46264</v>
      </c>
      <c r="C373" s="3449" t="str">
        <v>Sunday</v>
      </c>
      <c r="D373" s="3421" t="s">
        <v>3430</v>
      </c>
      <c r="E373" s="3451">
        <f t="shared" si="86"/>
      </c>
      <c r="F373" s="3462" t="s">
        <v>3303</v>
      </c>
      <c r="G373" s="3653"/>
      <c r="H373" s="3451"/>
      <c r="I373" s="3451" t="s">
        <v>3107</v>
      </c>
      <c r="J373" s="3426"/>
      <c r="K373" s="3427"/>
      <c r="L373" s="3427"/>
      <c r="M373" s="3427"/>
      <c r="N373" s="3427"/>
      <c r="O373" s="3427"/>
      <c r="P373" s="3427"/>
    </row>
    <row r="374">
      <c r="A374" s="3593"/>
      <c r="B374" s="3593"/>
      <c r="C374" s="3593"/>
      <c r="D374" s="3593"/>
      <c r="E374" s="3593"/>
      <c r="F374" s="3593"/>
      <c r="G374" s="3593"/>
      <c r="H374" s="3701"/>
      <c r="I374" s="3593"/>
      <c r="J374" s="3593"/>
      <c r="K374" s="3498"/>
      <c r="L374" s="3498"/>
      <c r="M374" s="3498"/>
      <c r="N374" s="3498"/>
      <c r="O374" s="3498"/>
      <c r="P374" s="3498"/>
    </row>
    <row r="375">
      <c r="A375" s="3719" t="s">
        <v>3431</v>
      </c>
      <c r="B375" s="3720"/>
      <c r="C375" s="3720"/>
      <c r="D375" s="3720"/>
      <c r="E375" s="3720"/>
      <c r="F375" s="3720"/>
      <c r="G375" s="3720"/>
      <c r="H375" s="3720"/>
      <c r="I375" s="3720"/>
      <c r="J375" s="3721"/>
      <c r="K375" s="3467"/>
      <c r="L375" s="3467"/>
      <c r="M375" s="3467"/>
      <c r="N375" s="3467"/>
      <c r="O375" s="3467"/>
      <c r="P375" s="3467"/>
    </row>
    <row r="376">
      <c r="A376" s="3713" t="s">
        <v>3122</v>
      </c>
      <c r="B376" s="3714" t="s">
        <v>3123</v>
      </c>
      <c r="C376" s="3714"/>
      <c r="D376" s="3715" t="s">
        <v>3124</v>
      </c>
      <c r="E376" s="3715" t="s">
        <v>3125</v>
      </c>
      <c r="F376" s="3715" t="s">
        <v>3126</v>
      </c>
      <c r="G376" s="3716" t="s">
        <v>3148</v>
      </c>
      <c r="H376" s="3715" t="s">
        <v>3128</v>
      </c>
      <c r="I376" s="3715" t="s">
        <v>3129</v>
      </c>
      <c r="J376" s="3717" t="s">
        <v>3130</v>
      </c>
      <c r="K376" s="3448"/>
      <c r="L376" s="3448"/>
      <c r="M376" s="3448"/>
      <c r="N376" s="3448"/>
      <c r="O376" s="3448"/>
      <c r="P376" s="3448"/>
    </row>
    <row r="377">
      <c r="A377" s="3449" t="s">
        <v>3431</v>
      </c>
      <c r="B377" s="3428">
        <v>46258</v>
      </c>
      <c r="C377" s="3449" t="str">
        <v>Monday</v>
      </c>
      <c r="D377" s="3421" t="s">
        <v>3432</v>
      </c>
      <c r="E377" s="3451">
        <f t="shared" ref="E377:E396" si="87">24*MOD(TIMEVALUE(TRIM(MID(D377,FIND("-",D377)+1,LEN(D377)))) - TIMEVALUE(TRIM(LEFT(D377,FIND("-",D377)-1))),1)</f>
      </c>
      <c r="F377" s="3592" t="s">
        <v>3291</v>
      </c>
      <c r="G377" s="3473" t="s">
        <v>3433</v>
      </c>
      <c r="H377" s="3451" t="s">
        <v>3106</v>
      </c>
      <c r="I377" s="3451" t="s">
        <v>3140</v>
      </c>
      <c r="J377" s="3422"/>
      <c r="K377" s="3603"/>
      <c r="L377" s="3603"/>
      <c r="M377" s="3603"/>
      <c r="N377" s="3603"/>
      <c r="O377" s="3603"/>
      <c r="P377" s="3603"/>
    </row>
    <row customHeight="true" ht="18.452380952380953" r="378">
      <c r="A378" s="3449" t="s">
        <v>3431</v>
      </c>
      <c r="B378" s="3428">
        <v>46259</v>
      </c>
      <c r="C378" s="3449" t="str">
        <v>Tuesday</v>
      </c>
      <c r="D378" s="3421" t="s">
        <v>3432</v>
      </c>
      <c r="E378" s="3451">
        <f t="shared" si="87"/>
      </c>
      <c r="F378" s="3592" t="s">
        <v>3291</v>
      </c>
      <c r="G378" s="3473" t="s">
        <v>3298</v>
      </c>
      <c r="H378" s="3425" t="s">
        <v>3106</v>
      </c>
      <c r="I378" s="3451" t="s">
        <v>3140</v>
      </c>
      <c r="J378" s="3422"/>
      <c r="K378" s="3427"/>
      <c r="L378" s="3427"/>
      <c r="M378" s="3427"/>
      <c r="N378" s="3427"/>
      <c r="O378" s="3427"/>
      <c r="P378" s="3427"/>
    </row>
    <row customHeight="true" ht="18.452380952380953" r="379">
      <c r="A379" s="3449" t="s">
        <v>3431</v>
      </c>
      <c r="B379" s="3428">
        <v>46260</v>
      </c>
      <c r="C379" s="3449" t="str">
        <v>Wednesday</v>
      </c>
      <c r="D379" s="3421" t="s">
        <v>3432</v>
      </c>
      <c r="E379" s="3451">
        <f t="shared" si="87"/>
      </c>
      <c r="F379" s="3464" t="s">
        <v>3434</v>
      </c>
      <c r="G379" s="3473" t="s">
        <v>3297</v>
      </c>
      <c r="H379" s="3425" t="s">
        <v>3106</v>
      </c>
      <c r="I379" s="3451" t="s">
        <v>3140</v>
      </c>
      <c r="J379" s="3422"/>
      <c r="K379" s="3603"/>
      <c r="L379" s="3603"/>
      <c r="M379" s="3603"/>
      <c r="N379" s="3603"/>
      <c r="O379" s="3603"/>
      <c r="P379" s="3603"/>
    </row>
    <row customHeight="true" ht="18.452380952380953" r="380">
      <c r="A380" s="3449" t="s">
        <v>3431</v>
      </c>
      <c r="B380" s="3428">
        <v>46261</v>
      </c>
      <c r="C380" s="3449" t="str">
        <v>Thursday</v>
      </c>
      <c r="D380" s="3421" t="s">
        <v>3432</v>
      </c>
      <c r="E380" s="3451">
        <f t="shared" si="87"/>
      </c>
      <c r="F380" s="3464" t="s">
        <v>3434</v>
      </c>
      <c r="G380" s="3473" t="s">
        <v>3298</v>
      </c>
      <c r="H380" s="3425" t="s">
        <v>3106</v>
      </c>
      <c r="I380" s="3451" t="s">
        <v>3140</v>
      </c>
      <c r="J380" s="3422"/>
      <c r="K380" s="3603"/>
      <c r="L380" s="3603"/>
      <c r="M380" s="3603"/>
      <c r="N380" s="3603"/>
      <c r="O380" s="3603"/>
      <c r="P380" s="3603"/>
    </row>
    <row customHeight="true" ht="18.452380952380953" r="381">
      <c r="A381" s="3449" t="s">
        <v>3431</v>
      </c>
      <c r="B381" s="3428">
        <v>46262</v>
      </c>
      <c r="C381" s="3449" t="str">
        <v>Friday</v>
      </c>
      <c r="D381" s="3421" t="s">
        <v>3132</v>
      </c>
      <c r="E381" s="3451">
        <f t="shared" si="87"/>
      </c>
      <c r="F381" s="3462" t="s">
        <v>3435</v>
      </c>
      <c r="G381" s="3473" t="s">
        <v>3436</v>
      </c>
      <c r="H381" s="3425" t="s">
        <v>3106</v>
      </c>
      <c r="I381" s="3451" t="s">
        <v>3140</v>
      </c>
      <c r="J381" s="3422"/>
      <c r="K381" s="3603"/>
      <c r="L381" s="3603"/>
      <c r="M381" s="3603"/>
      <c r="N381" s="3603"/>
      <c r="O381" s="3603"/>
      <c r="P381" s="3603"/>
    </row>
    <row customHeight="true" ht="18.452380952380953" r="382">
      <c r="A382" s="3449" t="s">
        <v>3431</v>
      </c>
      <c r="B382" s="3428">
        <v>46263</v>
      </c>
      <c r="C382" s="3449" t="str">
        <v>Saturday</v>
      </c>
      <c r="D382" s="3421" t="s">
        <v>3437</v>
      </c>
      <c r="E382" s="3451">
        <f t="shared" si="87"/>
      </c>
      <c r="F382" s="3464" t="s">
        <v>3434</v>
      </c>
      <c r="G382" s="3473" t="s">
        <v>3438</v>
      </c>
      <c r="H382" s="3425" t="s">
        <v>3106</v>
      </c>
      <c r="I382" s="3451" t="s">
        <v>3140</v>
      </c>
      <c r="J382" s="3422"/>
      <c r="K382" s="3603"/>
      <c r="L382" s="3603"/>
      <c r="M382" s="3603"/>
      <c r="N382" s="3603"/>
      <c r="O382" s="3603"/>
      <c r="P382" s="3603"/>
    </row>
    <row customHeight="true" ht="18.452380952380953" r="383">
      <c r="A383" s="3449" t="s">
        <v>3431</v>
      </c>
      <c r="B383" s="3428">
        <v>46264</v>
      </c>
      <c r="C383" s="3449" t="str">
        <v>Sunday</v>
      </c>
      <c r="D383" s="3421" t="s">
        <v>3266</v>
      </c>
      <c r="E383" s="3451">
        <f t="shared" si="87"/>
      </c>
      <c r="F383" s="3462" t="s">
        <v>3227</v>
      </c>
      <c r="G383" s="3722"/>
      <c r="H383" s="3425" t="s">
        <v>3106</v>
      </c>
      <c r="I383" s="3451" t="s">
        <v>3140</v>
      </c>
      <c r="J383" s="3422"/>
      <c r="K383" s="3427"/>
      <c r="L383" s="3427"/>
      <c r="M383" s="3427"/>
      <c r="N383" s="3427"/>
      <c r="O383" s="3427"/>
      <c r="P383" s="3427"/>
    </row>
    <row customHeight="true" ht="18.452380952380953" r="384">
      <c r="A384" s="3449" t="s">
        <v>3439</v>
      </c>
      <c r="B384" s="3428">
        <v>46258</v>
      </c>
      <c r="C384" s="3449" t="str">
        <v>Monday</v>
      </c>
      <c r="D384" s="3421" t="s">
        <v>3432</v>
      </c>
      <c r="E384" s="3451">
        <f t="shared" si="87"/>
      </c>
      <c r="F384" s="3709" t="s">
        <v>3402</v>
      </c>
      <c r="G384" s="3653"/>
      <c r="H384" s="3425" t="s">
        <v>3106</v>
      </c>
      <c r="I384" s="3451" t="s">
        <v>3140</v>
      </c>
      <c r="J384" s="3426"/>
      <c r="K384" s="3427"/>
      <c r="L384" s="3427"/>
      <c r="M384" s="3427"/>
      <c r="N384" s="3427"/>
      <c r="O384" s="3427"/>
      <c r="P384" s="3427"/>
    </row>
    <row customHeight="true" ht="18.452380952380953" r="385">
      <c r="A385" s="3449" t="s">
        <v>3439</v>
      </c>
      <c r="B385" s="3428">
        <v>46258</v>
      </c>
      <c r="C385" s="3449" t="str">
        <v>Monday</v>
      </c>
      <c r="D385" s="3421" t="s">
        <v>3440</v>
      </c>
      <c r="E385" s="3451">
        <f t="shared" si="87"/>
      </c>
      <c r="F385" s="3462" t="s">
        <v>3441</v>
      </c>
      <c r="G385" s="3653"/>
      <c r="H385" s="3425" t="s">
        <v>3106</v>
      </c>
      <c r="I385" s="3451" t="s">
        <v>3140</v>
      </c>
      <c r="J385" s="3422" t="s">
        <v>3442</v>
      </c>
      <c r="K385" s="3427"/>
      <c r="L385" s="3427"/>
      <c r="M385" s="3427"/>
      <c r="N385" s="3427"/>
      <c r="O385" s="3427"/>
      <c r="P385" s="3427"/>
    </row>
    <row customHeight="true" ht="18.452380952380953" r="386">
      <c r="A386" s="3449" t="s">
        <v>3439</v>
      </c>
      <c r="B386" s="3428">
        <v>46259</v>
      </c>
      <c r="C386" s="3449" t="str">
        <v>Tuesday</v>
      </c>
      <c r="D386" s="3421" t="s">
        <v>3443</v>
      </c>
      <c r="E386" s="3451">
        <f t="shared" si="87"/>
      </c>
      <c r="F386" s="3592" t="s">
        <v>3307</v>
      </c>
      <c r="G386" s="3653"/>
      <c r="H386" s="3425" t="s">
        <v>3106</v>
      </c>
      <c r="I386" s="3451" t="s">
        <v>3107</v>
      </c>
      <c r="J386" s="3422"/>
      <c r="K386" s="3603"/>
      <c r="L386" s="3603"/>
      <c r="M386" s="3603"/>
      <c r="N386" s="3603"/>
      <c r="O386" s="3603"/>
      <c r="P386" s="3603"/>
    </row>
    <row customHeight="true" ht="18.452380952380953" r="387">
      <c r="A387" s="3449" t="s">
        <v>3439</v>
      </c>
      <c r="B387" s="3428">
        <v>46260</v>
      </c>
      <c r="C387" s="3449" t="str">
        <v>Wednesday</v>
      </c>
      <c r="D387" s="3421" t="s">
        <v>3444</v>
      </c>
      <c r="E387" s="3451">
        <f t="shared" si="87"/>
      </c>
      <c r="F387" s="3592" t="s">
        <v>3291</v>
      </c>
      <c r="G387" s="3653"/>
      <c r="H387" s="3425" t="s">
        <v>3106</v>
      </c>
      <c r="I387" s="3451" t="s">
        <v>3140</v>
      </c>
      <c r="J387" s="3422"/>
      <c r="K387" s="3427"/>
      <c r="L387" s="3427"/>
      <c r="M387" s="3427"/>
      <c r="N387" s="3427"/>
      <c r="O387" s="3427"/>
      <c r="P387" s="3427"/>
    </row>
    <row customHeight="true" ht="18.452380952380953" r="388">
      <c r="A388" s="3449" t="s">
        <v>3439</v>
      </c>
      <c r="B388" s="3428">
        <v>46261</v>
      </c>
      <c r="C388" s="3449" t="str">
        <v>Thursday</v>
      </c>
      <c r="D388" s="3421" t="s">
        <v>3432</v>
      </c>
      <c r="E388" s="3451">
        <f t="shared" si="87"/>
      </c>
      <c r="F388" s="3592" t="s">
        <v>3307</v>
      </c>
      <c r="G388" s="3653"/>
      <c r="H388" s="3425" t="s">
        <v>3106</v>
      </c>
      <c r="I388" s="3451" t="s">
        <v>3107</v>
      </c>
      <c r="J388" s="3422" t="s">
        <v>3445</v>
      </c>
      <c r="K388" s="3427"/>
      <c r="L388" s="3427"/>
      <c r="M388" s="3427"/>
      <c r="N388" s="3427"/>
      <c r="O388" s="3427"/>
      <c r="P388" s="3427"/>
    </row>
    <row customHeight="true" ht="18.452380952380953" r="389">
      <c r="A389" s="3449" t="s">
        <v>3439</v>
      </c>
      <c r="B389" s="3428">
        <v>46262</v>
      </c>
      <c r="C389" s="3449" t="str">
        <v>Friday</v>
      </c>
      <c r="D389" s="3421" t="s">
        <v>3132</v>
      </c>
      <c r="E389" s="3451">
        <f t="shared" si="87"/>
      </c>
      <c r="F389" s="3462" t="s">
        <v>3436</v>
      </c>
      <c r="G389" s="3653"/>
      <c r="H389" s="3425" t="s">
        <v>3106</v>
      </c>
      <c r="I389" s="3451" t="s">
        <v>3140</v>
      </c>
      <c r="J389" s="3422"/>
      <c r="K389" s="3427"/>
      <c r="L389" s="3427"/>
      <c r="M389" s="3427"/>
      <c r="N389" s="3427"/>
      <c r="O389" s="3427"/>
      <c r="P389" s="3427"/>
    </row>
    <row customHeight="true" ht="18.452380952380953" r="390">
      <c r="A390" s="3449" t="s">
        <v>3439</v>
      </c>
      <c r="B390" s="3428">
        <v>46263</v>
      </c>
      <c r="C390" s="3449" t="str">
        <v>Saturday</v>
      </c>
      <c r="D390" s="3421" t="s">
        <v>3437</v>
      </c>
      <c r="E390" s="3451">
        <f t="shared" si="87"/>
      </c>
      <c r="F390" s="3592" t="s">
        <v>3291</v>
      </c>
      <c r="G390" s="3653"/>
      <c r="H390" s="3425" t="s">
        <v>3106</v>
      </c>
      <c r="I390" s="3451" t="s">
        <v>3107</v>
      </c>
      <c r="J390" s="3426"/>
      <c r="K390" s="3427"/>
      <c r="L390" s="3427"/>
      <c r="M390" s="3427"/>
      <c r="N390" s="3427"/>
      <c r="O390" s="3427"/>
      <c r="P390" s="3427"/>
    </row>
    <row customHeight="true" ht="18.452380952380953" r="391">
      <c r="A391" s="3449" t="s">
        <v>3439</v>
      </c>
      <c r="B391" s="3428">
        <v>46264</v>
      </c>
      <c r="C391" s="3449" t="str">
        <v>Sunday</v>
      </c>
      <c r="D391" s="3421" t="s">
        <v>3401</v>
      </c>
      <c r="E391" s="3451">
        <f t="shared" si="87"/>
      </c>
      <c r="F391" s="3462" t="s">
        <v>3441</v>
      </c>
      <c r="G391" s="3653"/>
      <c r="H391" s="3425" t="s">
        <v>3106</v>
      </c>
      <c r="I391" s="3451" t="s">
        <v>3107</v>
      </c>
      <c r="J391" s="3422" t="s">
        <v>3446</v>
      </c>
      <c r="K391" s="3427"/>
      <c r="L391" s="3427"/>
      <c r="M391" s="3427"/>
      <c r="N391" s="3427"/>
      <c r="O391" s="3427"/>
      <c r="P391" s="3427"/>
    </row>
    <row customHeight="true" ht="18.452380952380953" r="392">
      <c r="A392" s="3449" t="s">
        <v>3439</v>
      </c>
      <c r="B392" s="3428">
        <v>46261</v>
      </c>
      <c r="C392" s="3449" t="str">
        <v>Thursday</v>
      </c>
      <c r="D392" s="3421" t="s">
        <v>3447</v>
      </c>
      <c r="E392" s="3451">
        <f t="shared" si="87"/>
      </c>
      <c r="F392" s="3462" t="s">
        <v>3441</v>
      </c>
      <c r="G392" s="3653"/>
      <c r="H392" s="3425" t="s">
        <v>3106</v>
      </c>
      <c r="I392" s="3451" t="s">
        <v>3107</v>
      </c>
      <c r="J392" s="3422" t="s">
        <v>3448</v>
      </c>
      <c r="K392" s="3427"/>
      <c r="L392" s="3427"/>
      <c r="M392" s="3427"/>
      <c r="N392" s="3427"/>
      <c r="O392" s="3427"/>
      <c r="P392" s="3427"/>
    </row>
    <row customHeight="true" ht="18.452380952380953" r="393">
      <c r="A393" s="3449" t="s">
        <v>3439</v>
      </c>
      <c r="B393" s="3428">
        <v>46262</v>
      </c>
      <c r="C393" s="3449" t="str">
        <v>Friday</v>
      </c>
      <c r="D393" s="3421" t="s">
        <v>3347</v>
      </c>
      <c r="E393" s="3451">
        <f t="shared" si="87"/>
      </c>
      <c r="F393" s="3462" t="s">
        <v>3449</v>
      </c>
      <c r="G393" s="3653"/>
      <c r="H393" s="3425" t="s">
        <v>3106</v>
      </c>
      <c r="I393" s="3451" t="s">
        <v>3107</v>
      </c>
      <c r="J393" s="3422" t="s">
        <v>3450</v>
      </c>
      <c r="K393" s="3427"/>
      <c r="L393" s="3427"/>
      <c r="M393" s="3427"/>
      <c r="N393" s="3427"/>
      <c r="O393" s="3427"/>
      <c r="P393" s="3427"/>
    </row>
    <row customHeight="true" ht="18.452380952380953" r="394">
      <c r="A394" s="3449" t="s">
        <v>3451</v>
      </c>
      <c r="B394" s="3428">
        <v>46258</v>
      </c>
      <c r="C394" s="3449" t="str">
        <v>Monday</v>
      </c>
      <c r="D394" s="3421" t="s">
        <v>3452</v>
      </c>
      <c r="E394" s="3451">
        <f t="shared" si="87"/>
      </c>
      <c r="F394" s="3709" t="s">
        <v>3402</v>
      </c>
      <c r="G394" s="3473" t="s">
        <v>3453</v>
      </c>
      <c r="H394" s="3451" t="s">
        <v>3198</v>
      </c>
      <c r="I394" s="3451" t="s">
        <v>3107</v>
      </c>
      <c r="J394" s="3422" t="s">
        <v>3454</v>
      </c>
      <c r="K394" s="3427"/>
      <c r="L394" s="3427"/>
      <c r="M394" s="3427"/>
      <c r="N394" s="3427"/>
      <c r="O394" s="3427"/>
      <c r="P394" s="3427"/>
    </row>
    <row customHeight="true" ht="18.452380952380953" r="395">
      <c r="A395" s="3449" t="s">
        <v>3451</v>
      </c>
      <c r="B395" s="3428">
        <v>46258</v>
      </c>
      <c r="C395" s="3449" t="str">
        <v>Monday</v>
      </c>
      <c r="D395" s="3421" t="s">
        <v>3455</v>
      </c>
      <c r="E395" s="3451">
        <f t="shared" si="87"/>
      </c>
      <c r="F395" s="3462" t="s">
        <v>3441</v>
      </c>
      <c r="G395" s="3473"/>
      <c r="H395" s="3451" t="s">
        <v>3198</v>
      </c>
      <c r="I395" s="3451" t="s">
        <v>3107</v>
      </c>
      <c r="J395" s="3422" t="s">
        <v>3456</v>
      </c>
      <c r="K395" s="3427"/>
      <c r="L395" s="3427"/>
      <c r="M395" s="3427"/>
      <c r="N395" s="3427"/>
      <c r="O395" s="3427"/>
      <c r="P395" s="3427"/>
    </row>
    <row customHeight="true" ht="18.452380952380953" r="396">
      <c r="A396" s="3449" t="s">
        <v>3457</v>
      </c>
      <c r="B396" s="3428">
        <v>46261</v>
      </c>
      <c r="C396" s="3449" t="str">
        <v>Thursday</v>
      </c>
      <c r="D396" s="3421" t="s">
        <v>3458</v>
      </c>
      <c r="E396" s="3451">
        <f t="shared" si="87"/>
      </c>
      <c r="F396" s="3462" t="s">
        <v>3352</v>
      </c>
      <c r="G396" s="3473" t="s">
        <v>3453</v>
      </c>
      <c r="H396" s="3451" t="s">
        <v>3106</v>
      </c>
      <c r="I396" s="3451" t="s">
        <v>3107</v>
      </c>
      <c r="J396" s="3422" t="s">
        <v>3459</v>
      </c>
      <c r="K396" s="3427"/>
      <c r="L396" s="3427"/>
      <c r="M396" s="3427"/>
      <c r="N396" s="3427"/>
      <c r="O396" s="3427"/>
      <c r="P396" s="3427"/>
    </row>
    <row customHeight="true" ht="18.452380952380953" r="397">
      <c r="A397" s="3449"/>
      <c r="B397" s="3428"/>
      <c r="C397" s="3449"/>
      <c r="D397" s="3421"/>
      <c r="E397" s="3451"/>
      <c r="F397" s="3462"/>
      <c r="G397" s="3653"/>
      <c r="H397" s="3451"/>
      <c r="I397" s="3451"/>
      <c r="J397" s="3426"/>
      <c r="K397" s="3427"/>
      <c r="L397" s="3427"/>
      <c r="M397" s="3427"/>
      <c r="N397" s="3427"/>
      <c r="O397" s="3427"/>
      <c r="P397" s="3427"/>
    </row>
    <row customHeight="true" ht="18.452380952380953" r="398">
      <c r="A398" s="3449"/>
      <c r="B398" s="3428"/>
      <c r="C398" s="3449"/>
      <c r="D398" s="3421"/>
      <c r="E398" s="3451"/>
      <c r="F398" s="3462"/>
      <c r="G398" s="3653"/>
      <c r="H398" s="3451"/>
      <c r="I398" s="3451"/>
      <c r="J398" s="3422"/>
      <c r="K398" s="3427"/>
      <c r="L398" s="3427"/>
      <c r="M398" s="3427"/>
      <c r="N398" s="3427"/>
      <c r="O398" s="3427"/>
      <c r="P398" s="3427"/>
    </row>
    <row customHeight="true" ht="18.452380952380953" r="399">
      <c r="A399" s="3449"/>
      <c r="B399" s="3428"/>
      <c r="C399" s="3449"/>
      <c r="D399" s="3421"/>
      <c r="E399" s="3425"/>
      <c r="F399" s="3425"/>
      <c r="G399" s="3473"/>
      <c r="H399" s="3451"/>
      <c r="I399" s="3451"/>
      <c r="J399" s="3422"/>
      <c r="K399" s="3427"/>
      <c r="L399" s="3427"/>
      <c r="M399" s="3427"/>
      <c r="N399" s="3427"/>
      <c r="O399" s="3427"/>
      <c r="P399" s="3427"/>
    </row>
    <row r="400">
      <c r="A400" s="3723" t="s">
        <v>3460</v>
      </c>
      <c r="B400" s="3724"/>
      <c r="C400" s="3724"/>
      <c r="D400" s="3724"/>
      <c r="E400" s="3724"/>
      <c r="F400" s="3724"/>
      <c r="G400" s="3724"/>
      <c r="H400" s="3724"/>
      <c r="I400" s="3724"/>
      <c r="J400" s="3725"/>
      <c r="K400" s="3467"/>
      <c r="L400" s="3467"/>
      <c r="M400" s="3467"/>
      <c r="N400" s="3467"/>
      <c r="O400" s="3467"/>
      <c r="P400" s="3467"/>
    </row>
    <row r="401">
      <c r="A401" s="3726" t="s">
        <v>3122</v>
      </c>
      <c r="B401" s="3622" t="s">
        <v>3123</v>
      </c>
      <c r="C401" s="3622"/>
      <c r="D401" s="3727" t="s">
        <v>3124</v>
      </c>
      <c r="E401" s="3727" t="s">
        <v>3125</v>
      </c>
      <c r="F401" s="3727" t="s">
        <v>3126</v>
      </c>
      <c r="G401" s="3728" t="s">
        <v>3148</v>
      </c>
      <c r="H401" s="3727" t="s">
        <v>3128</v>
      </c>
      <c r="I401" s="3727" t="s">
        <v>3129</v>
      </c>
      <c r="J401" s="3627" t="s">
        <v>3130</v>
      </c>
      <c r="K401" s="3448"/>
      <c r="L401" s="3448"/>
      <c r="M401" s="3448"/>
      <c r="N401" s="3448"/>
      <c r="O401" s="3448"/>
      <c r="P401" s="3448"/>
    </row>
    <row customHeight="true" ht="18.452380952380953" r="402">
      <c r="A402" s="3449" t="s">
        <v>3460</v>
      </c>
      <c r="B402" s="3428">
        <v>46260</v>
      </c>
      <c r="C402" s="3449" t="str">
        <v>Wednesday</v>
      </c>
      <c r="D402" s="3421" t="s">
        <v>3296</v>
      </c>
      <c r="E402" s="3451">
        <f t="shared" ref="E402:E411" si="88">24*MOD(TIMEVALUE(TRIM(MID(D402,FIND("-",D402)+1,LEN(D402)))) - TIMEVALUE(TRIM(LEFT(D402,FIND("-",D402)-1))),1)</f>
      </c>
      <c r="F402" s="3462" t="s">
        <v>3381</v>
      </c>
      <c r="G402" s="3653"/>
      <c r="H402" s="3451" t="s">
        <v>3198</v>
      </c>
      <c r="I402" s="3451"/>
      <c r="J402" s="3426"/>
      <c r="K402" s="3463"/>
      <c r="L402" s="3463"/>
      <c r="M402" s="3463"/>
      <c r="N402" s="3463"/>
      <c r="O402" s="3463"/>
      <c r="P402" s="3463"/>
    </row>
    <row customHeight="true" ht="18.452380952380953" r="403">
      <c r="A403" s="3454" t="s">
        <v>3460</v>
      </c>
      <c r="B403" s="3455">
        <v>46261</v>
      </c>
      <c r="C403" s="3454" t="str">
        <v>Thursday</v>
      </c>
      <c r="D403" s="3478" t="s">
        <v>3461</v>
      </c>
      <c r="E403" s="3458">
        <f t="shared" si="88"/>
      </c>
      <c r="F403" s="3586" t="s">
        <v>3434</v>
      </c>
      <c r="G403" s="3591"/>
      <c r="H403" s="3458" t="s">
        <v>3198</v>
      </c>
      <c r="I403" s="3458"/>
      <c r="J403" s="3457"/>
      <c r="K403" s="3460"/>
      <c r="L403" s="3460"/>
      <c r="M403" s="3460"/>
      <c r="N403" s="3460"/>
      <c r="O403" s="3460"/>
      <c r="P403" s="3460"/>
    </row>
    <row customHeight="true" ht="18.452380952380953" r="404">
      <c r="A404" s="3449" t="s">
        <v>3460</v>
      </c>
      <c r="B404" s="3428">
        <v>46262</v>
      </c>
      <c r="C404" s="3449" t="str">
        <v>Friday</v>
      </c>
      <c r="D404" s="3421" t="s">
        <v>3461</v>
      </c>
      <c r="E404" s="3451">
        <f t="shared" si="88"/>
      </c>
      <c r="F404" s="3462" t="s">
        <v>3434</v>
      </c>
      <c r="G404" s="3653"/>
      <c r="H404" s="3451" t="s">
        <v>3198</v>
      </c>
      <c r="I404" s="3451"/>
      <c r="J404" s="3426"/>
      <c r="K404" s="3463"/>
      <c r="L404" s="3463"/>
      <c r="M404" s="3463"/>
      <c r="N404" s="3463"/>
      <c r="O404" s="3463"/>
      <c r="P404" s="3463"/>
    </row>
    <row customHeight="true" ht="18.452380952380953" r="405">
      <c r="A405" s="3449" t="s">
        <v>3460</v>
      </c>
      <c r="B405" s="3428">
        <v>46263</v>
      </c>
      <c r="C405" s="3449" t="str">
        <v>Saturday</v>
      </c>
      <c r="D405" s="3421" t="s">
        <v>3462</v>
      </c>
      <c r="E405" s="3451">
        <f t="shared" si="88"/>
      </c>
      <c r="F405" s="3462" t="s">
        <v>3434</v>
      </c>
      <c r="G405" s="3653"/>
      <c r="H405" s="3451" t="s">
        <v>3198</v>
      </c>
      <c r="I405" s="3451"/>
      <c r="J405" s="3426"/>
      <c r="K405" s="3463"/>
      <c r="L405" s="3463"/>
      <c r="M405" s="3463"/>
      <c r="N405" s="3463"/>
      <c r="O405" s="3463"/>
      <c r="P405" s="3463"/>
    </row>
    <row r="406">
      <c r="A406" s="3449" t="s">
        <v>3463</v>
      </c>
      <c r="B406" s="3428">
        <v>46260</v>
      </c>
      <c r="C406" s="3449" t="str">
        <v>Wednesday</v>
      </c>
      <c r="D406" s="3421" t="s">
        <v>3296</v>
      </c>
      <c r="E406" s="3451">
        <f t="shared" si="88"/>
      </c>
      <c r="F406" s="3462" t="s">
        <v>3387</v>
      </c>
      <c r="G406" s="3653"/>
      <c r="H406" s="3451" t="s">
        <v>3198</v>
      </c>
      <c r="I406" s="3451"/>
      <c r="J406" s="3426"/>
      <c r="K406" s="3463"/>
      <c r="L406" s="3463"/>
      <c r="M406" s="3463"/>
      <c r="N406" s="3463"/>
      <c r="O406" s="3463"/>
      <c r="P406" s="3463"/>
    </row>
    <row customHeight="true" ht="18.452380952380953" r="407">
      <c r="A407" s="3454" t="s">
        <v>3463</v>
      </c>
      <c r="B407" s="3455">
        <v>46261</v>
      </c>
      <c r="C407" s="3454" t="str">
        <v>Thursday</v>
      </c>
      <c r="D407" s="3478" t="s">
        <v>3461</v>
      </c>
      <c r="E407" s="3458">
        <f t="shared" si="88"/>
      </c>
      <c r="F407" s="3586" t="s">
        <v>3387</v>
      </c>
      <c r="G407" s="3591"/>
      <c r="H407" s="3458" t="s">
        <v>3198</v>
      </c>
      <c r="I407" s="3458"/>
      <c r="J407" s="3457"/>
      <c r="K407" s="3460"/>
      <c r="L407" s="3460"/>
      <c r="M407" s="3460"/>
      <c r="N407" s="3460"/>
      <c r="O407" s="3460"/>
      <c r="P407" s="3460"/>
    </row>
    <row customHeight="true" ht="18.452380952380953" r="408">
      <c r="A408" s="3449" t="s">
        <v>3463</v>
      </c>
      <c r="B408" s="3428">
        <v>46262</v>
      </c>
      <c r="C408" s="3449" t="str">
        <v>Friday</v>
      </c>
      <c r="D408" s="3421" t="s">
        <v>3461</v>
      </c>
      <c r="E408" s="3451">
        <f t="shared" si="88"/>
      </c>
      <c r="F408" s="3462" t="s">
        <v>3387</v>
      </c>
      <c r="G408" s="3653"/>
      <c r="H408" s="3451" t="s">
        <v>3198</v>
      </c>
      <c r="I408" s="3451"/>
      <c r="J408" s="3426"/>
      <c r="K408" s="3463"/>
      <c r="L408" s="3463"/>
      <c r="M408" s="3463"/>
      <c r="N408" s="3463"/>
      <c r="O408" s="3463"/>
      <c r="P408" s="3463"/>
    </row>
    <row customHeight="true" ht="18.452380952380953" r="409">
      <c r="A409" s="3449" t="s">
        <v>3463</v>
      </c>
      <c r="B409" s="3428">
        <v>46263</v>
      </c>
      <c r="C409" s="3449" t="str">
        <v>Saturday</v>
      </c>
      <c r="D409" s="3421" t="s">
        <v>3176</v>
      </c>
      <c r="E409" s="3451">
        <f t="shared" si="88"/>
      </c>
      <c r="F409" s="3462" t="s">
        <v>3385</v>
      </c>
      <c r="G409" s="3653"/>
      <c r="H409" s="3451" t="s">
        <v>3198</v>
      </c>
      <c r="I409" s="3451"/>
      <c r="J409" s="3426"/>
      <c r="K409" s="3463"/>
      <c r="L409" s="3463"/>
      <c r="M409" s="3463"/>
      <c r="N409" s="3463"/>
      <c r="O409" s="3463"/>
      <c r="P409" s="3463"/>
    </row>
    <row customHeight="true" ht="18.452380952380953" r="410">
      <c r="A410" s="3449" t="s">
        <v>3464</v>
      </c>
      <c r="B410" s="3581">
        <v>46261</v>
      </c>
      <c r="C410" s="3449" t="str">
        <v>Thursday</v>
      </c>
      <c r="D410" s="3421" t="s">
        <v>3465</v>
      </c>
      <c r="E410" s="3451">
        <f t="shared" si="88"/>
      </c>
      <c r="F410" s="3462" t="s">
        <v>3385</v>
      </c>
      <c r="G410" s="3653"/>
      <c r="H410" s="3451"/>
      <c r="I410" s="3451"/>
      <c r="J410" s="3422" t="s">
        <v>3466</v>
      </c>
      <c r="K410" s="3463"/>
      <c r="L410" s="3463"/>
      <c r="M410" s="3463"/>
      <c r="N410" s="3463"/>
      <c r="O410" s="3463"/>
      <c r="P410" s="3463"/>
    </row>
    <row customHeight="true" ht="18.452380952380953" r="411">
      <c r="A411" s="3449" t="s">
        <v>3464</v>
      </c>
      <c r="B411" s="3581">
        <v>46262</v>
      </c>
      <c r="C411" s="3449" t="str">
        <v>Friday</v>
      </c>
      <c r="D411" s="3421" t="s">
        <v>3467</v>
      </c>
      <c r="E411" s="3451">
        <f t="shared" si="88"/>
      </c>
      <c r="F411" s="3462" t="s">
        <v>3385</v>
      </c>
      <c r="G411" s="3653"/>
      <c r="H411" s="3451"/>
      <c r="I411" s="3451"/>
      <c r="J411" s="3422" t="s">
        <v>3468</v>
      </c>
      <c r="K411" s="3463"/>
      <c r="L411" s="3463"/>
      <c r="M411" s="3463"/>
      <c r="N411" s="3463"/>
      <c r="O411" s="3463"/>
      <c r="P411" s="3463"/>
    </row>
    <row r="412">
      <c r="A412" s="3593"/>
      <c r="B412" s="3593"/>
      <c r="C412" s="3593"/>
      <c r="D412" s="3593"/>
      <c r="E412" s="3593"/>
      <c r="F412" s="3593"/>
      <c r="G412" s="3593"/>
      <c r="H412" s="3593"/>
      <c r="I412" s="3593"/>
      <c r="J412" s="3593"/>
      <c r="K412" s="3498"/>
      <c r="L412" s="3498"/>
      <c r="M412" s="3498"/>
      <c r="N412" s="3498"/>
      <c r="O412" s="3498"/>
      <c r="P412" s="3498"/>
    </row>
    <row r="413">
      <c r="A413" s="3729" t="s">
        <v>3469</v>
      </c>
      <c r="B413" s="3729"/>
      <c r="C413" s="3729"/>
      <c r="D413" s="3729"/>
      <c r="E413" s="3729"/>
      <c r="F413" s="3729"/>
      <c r="G413" s="3729"/>
      <c r="H413" s="3729"/>
      <c r="I413" s="3729"/>
      <c r="J413" s="3730"/>
      <c r="K413" s="3467"/>
      <c r="L413" s="3467"/>
      <c r="M413" s="3467"/>
      <c r="N413" s="3467"/>
      <c r="O413" s="3467"/>
      <c r="P413" s="3467"/>
    </row>
    <row r="414">
      <c r="A414" s="3731" t="s">
        <v>3122</v>
      </c>
      <c r="B414" s="3732" t="s">
        <v>3123</v>
      </c>
      <c r="C414" s="3732"/>
      <c r="D414" s="3733" t="s">
        <v>3124</v>
      </c>
      <c r="E414" s="3733" t="s">
        <v>3125</v>
      </c>
      <c r="F414" s="3733" t="s">
        <v>3126</v>
      </c>
      <c r="G414" s="3734" t="s">
        <v>3148</v>
      </c>
      <c r="H414" s="3733" t="s">
        <v>3128</v>
      </c>
      <c r="I414" s="3733" t="s">
        <v>3129</v>
      </c>
      <c r="J414" s="3735" t="s">
        <v>3130</v>
      </c>
      <c r="K414" s="3448"/>
      <c r="L414" s="3448"/>
      <c r="M414" s="3448"/>
      <c r="N414" s="3448"/>
      <c r="O414" s="3448"/>
      <c r="P414" s="3448"/>
    </row>
    <row r="415">
      <c r="A415" s="3449" t="s">
        <v>3469</v>
      </c>
      <c r="B415" s="3428">
        <v>46258</v>
      </c>
      <c r="C415" s="3449" t="str">
        <v>Monday</v>
      </c>
      <c r="D415" s="3421" t="s">
        <v>3470</v>
      </c>
      <c r="E415" s="3421">
        <f t="shared" ref="E415:E444" si="89">24*MOD(TIMEVALUE(TRIM(MID(D415,FIND("-",D415)+1,LEN(D415)))) - TIMEVALUE(TRIM(LEFT(D415,FIND("-",D415)-1))),1)</f>
      </c>
      <c r="F415" s="3712" t="s">
        <v>3471</v>
      </c>
      <c r="G415" s="3473"/>
      <c r="H415" s="3451"/>
      <c r="I415" s="3451" t="s">
        <v>3107</v>
      </c>
      <c r="J415" s="3426"/>
      <c r="K415" s="3427"/>
      <c r="L415" s="3427"/>
      <c r="M415" s="3427"/>
      <c r="N415" s="3427"/>
      <c r="O415" s="3427"/>
      <c r="P415" s="3427"/>
    </row>
    <row r="416">
      <c r="A416" s="3454" t="s">
        <v>3469</v>
      </c>
      <c r="B416" s="3455">
        <v>46260</v>
      </c>
      <c r="C416" s="3454" t="str">
        <v>Wednesday</v>
      </c>
      <c r="D416" s="3478" t="s">
        <v>3287</v>
      </c>
      <c r="E416" s="3478">
        <f t="shared" si="89"/>
      </c>
      <c r="F416" s="3586" t="s">
        <v>3293</v>
      </c>
      <c r="G416" s="3479"/>
      <c r="H416" s="3458"/>
      <c r="I416" s="3458" t="s">
        <v>3107</v>
      </c>
      <c r="J416" s="3457"/>
      <c r="K416" s="3460"/>
      <c r="L416" s="3460"/>
      <c r="M416" s="3460"/>
      <c r="N416" s="3460"/>
      <c r="O416" s="3460"/>
      <c r="P416" s="3460"/>
    </row>
    <row customHeight="true" ht="20.238095238095237" r="417">
      <c r="A417" s="3449" t="s">
        <v>3472</v>
      </c>
      <c r="B417" s="3428">
        <v>46261</v>
      </c>
      <c r="C417" s="3449" t="str">
        <v>Thursday</v>
      </c>
      <c r="D417" s="3583" t="s">
        <v>3473</v>
      </c>
      <c r="E417" s="3421">
        <f t="shared" si="89"/>
      </c>
      <c r="F417" s="3712" t="s">
        <v>3303</v>
      </c>
      <c r="G417" s="3473"/>
      <c r="H417" s="3451"/>
      <c r="I417" s="3451" t="s">
        <v>3107</v>
      </c>
      <c r="J417" s="3426"/>
      <c r="K417" s="3427"/>
      <c r="L417" s="3427"/>
      <c r="M417" s="3427"/>
      <c r="N417" s="3427"/>
      <c r="O417" s="3427"/>
      <c r="P417" s="3427"/>
    </row>
    <row r="418">
      <c r="A418" s="3449" t="s">
        <v>3469</v>
      </c>
      <c r="B418" s="3428">
        <v>46261</v>
      </c>
      <c r="C418" s="3449" t="str">
        <v>Thursday</v>
      </c>
      <c r="D418" s="3583" t="s">
        <v>3474</v>
      </c>
      <c r="E418" s="3421">
        <f t="shared" si="89"/>
      </c>
      <c r="F418" s="3712" t="s">
        <v>3303</v>
      </c>
      <c r="G418" s="3473"/>
      <c r="H418" s="3451"/>
      <c r="I418" s="3451" t="s">
        <v>3107</v>
      </c>
      <c r="J418" s="3426"/>
      <c r="K418" s="3427"/>
      <c r="L418" s="3427"/>
      <c r="M418" s="3427"/>
      <c r="N418" s="3427"/>
      <c r="O418" s="3427"/>
      <c r="P418" s="3427"/>
    </row>
    <row customHeight="true" ht="22.61904761904762" r="419">
      <c r="A419" s="3449" t="s">
        <v>3469</v>
      </c>
      <c r="B419" s="3428">
        <v>46262</v>
      </c>
      <c r="C419" s="3449" t="str">
        <v>Friday</v>
      </c>
      <c r="D419" s="3583" t="s">
        <v>3475</v>
      </c>
      <c r="E419" s="3421">
        <f t="shared" si="89"/>
      </c>
      <c r="F419" s="3712" t="s">
        <v>3303</v>
      </c>
      <c r="G419" s="3473"/>
      <c r="H419" s="3451"/>
      <c r="I419" s="3451" t="s">
        <v>3107</v>
      </c>
      <c r="J419" s="3426"/>
      <c r="K419" s="3427"/>
      <c r="L419" s="3427"/>
      <c r="M419" s="3427"/>
      <c r="N419" s="3427"/>
      <c r="O419" s="3427"/>
      <c r="P419" s="3427"/>
    </row>
    <row customHeight="true" ht="22.61904761904762" r="420">
      <c r="A420" s="3454" t="s">
        <v>3469</v>
      </c>
      <c r="B420" s="3454">
        <v>46262</v>
      </c>
      <c r="C420" s="3454" t="str">
        <v>Friday</v>
      </c>
      <c r="D420" s="3478" t="s">
        <v>3306</v>
      </c>
      <c r="E420" s="3458">
        <f t="shared" si="89"/>
      </c>
      <c r="F420" s="3586" t="s">
        <v>3293</v>
      </c>
      <c r="G420" s="3591"/>
      <c r="H420" s="3458"/>
      <c r="I420" s="3458" t="s">
        <v>3107</v>
      </c>
      <c r="J420" s="3481" t="s">
        <v>3476</v>
      </c>
      <c r="K420" s="3460"/>
      <c r="L420" s="3460"/>
      <c r="M420" s="3460"/>
      <c r="N420" s="3460"/>
      <c r="O420" s="3460"/>
      <c r="P420" s="3460"/>
    </row>
    <row customHeight="true" ht="22.61904761904762" r="421">
      <c r="A421" s="3454" t="s">
        <v>3469</v>
      </c>
      <c r="B421" s="3455">
        <v>46262</v>
      </c>
      <c r="C421" s="3454" t="str">
        <v>Friday</v>
      </c>
      <c r="D421" s="3478" t="s">
        <v>3308</v>
      </c>
      <c r="E421" s="3478">
        <f t="shared" si="89"/>
      </c>
      <c r="F421" s="3718" t="s">
        <v>3303</v>
      </c>
      <c r="G421" s="3479"/>
      <c r="H421" s="3458"/>
      <c r="I421" s="3458" t="s">
        <v>3107</v>
      </c>
      <c r="J421" s="3481" t="s">
        <v>3477</v>
      </c>
      <c r="K421" s="3460"/>
      <c r="L421" s="3460"/>
      <c r="M421" s="3460"/>
      <c r="N421" s="3460"/>
      <c r="O421" s="3460"/>
      <c r="P421" s="3460"/>
    </row>
    <row customHeight="true" ht="18.452380952380953" r="422">
      <c r="A422" s="3454" t="s">
        <v>3469</v>
      </c>
      <c r="B422" s="3455">
        <v>46263</v>
      </c>
      <c r="C422" s="3454" t="str">
        <v>Saturday</v>
      </c>
      <c r="D422" s="3478" t="s">
        <v>3287</v>
      </c>
      <c r="E422" s="3478">
        <f t="shared" si="89"/>
      </c>
      <c r="F422" s="3586" t="s">
        <v>3293</v>
      </c>
      <c r="G422" s="3479"/>
      <c r="H422" s="3458"/>
      <c r="I422" s="3458" t="s">
        <v>3107</v>
      </c>
      <c r="J422" s="3457"/>
      <c r="K422" s="3460"/>
      <c r="L422" s="3460"/>
      <c r="M422" s="3460"/>
      <c r="N422" s="3460"/>
      <c r="O422" s="3460"/>
      <c r="P422" s="3460"/>
    </row>
    <row customHeight="true" ht="18.452380952380953" r="423">
      <c r="A423" s="3454" t="s">
        <v>3469</v>
      </c>
      <c r="B423" s="3455">
        <v>46264</v>
      </c>
      <c r="C423" s="3454" t="str">
        <v>Sunday</v>
      </c>
      <c r="D423" s="3478" t="s">
        <v>3401</v>
      </c>
      <c r="E423" s="3478">
        <f t="shared" si="89"/>
      </c>
      <c r="F423" s="3718" t="s">
        <v>3471</v>
      </c>
      <c r="G423" s="3479"/>
      <c r="H423" s="3458"/>
      <c r="I423" s="3458" t="s">
        <v>3107</v>
      </c>
      <c r="J423" s="3481" t="s">
        <v>3478</v>
      </c>
      <c r="K423" s="3460"/>
      <c r="L423" s="3460"/>
      <c r="M423" s="3460"/>
      <c r="N423" s="3460"/>
      <c r="O423" s="3460"/>
      <c r="P423" s="3460"/>
    </row>
    <row customHeight="true" ht="18.452380952380953" r="424">
      <c r="A424" s="3449" t="s">
        <v>3479</v>
      </c>
      <c r="B424" s="3428">
        <v>46259</v>
      </c>
      <c r="C424" s="3449" t="str">
        <v>Tuesday</v>
      </c>
      <c r="D424" s="3583" t="s">
        <v>3461</v>
      </c>
      <c r="E424" s="3421">
        <f t="shared" si="89"/>
      </c>
      <c r="F424" s="3712" t="s">
        <v>3151</v>
      </c>
      <c r="G424" s="3473"/>
      <c r="H424" s="3451"/>
      <c r="I424" s="3451" t="s">
        <v>3107</v>
      </c>
      <c r="J424" s="3426"/>
      <c r="K424" s="3427"/>
      <c r="L424" s="3427"/>
      <c r="M424" s="3427"/>
      <c r="N424" s="3427"/>
      <c r="O424" s="3427"/>
      <c r="P424" s="3427"/>
    </row>
    <row customHeight="true" ht="18.452380952380953" r="425">
      <c r="A425" s="3449" t="s">
        <v>3472</v>
      </c>
      <c r="B425" s="3428">
        <v>46258</v>
      </c>
      <c r="C425" s="3449" t="str">
        <v>Monday</v>
      </c>
      <c r="D425" s="3421" t="s">
        <v>3347</v>
      </c>
      <c r="E425" s="3421">
        <f t="shared" si="89"/>
      </c>
      <c r="F425" s="3425" t="s">
        <v>3471</v>
      </c>
      <c r="G425" s="3473"/>
      <c r="H425" s="3451"/>
      <c r="I425" s="3451" t="s">
        <v>3107</v>
      </c>
      <c r="J425" s="3426"/>
      <c r="K425" s="3427"/>
      <c r="L425" s="3427"/>
      <c r="M425" s="3427"/>
      <c r="N425" s="3427"/>
      <c r="O425" s="3427"/>
      <c r="P425" s="3427"/>
    </row>
    <row customHeight="true" ht="18.452380952380953" r="426">
      <c r="A426" s="3449" t="s">
        <v>3472</v>
      </c>
      <c r="B426" s="3428">
        <v>46258</v>
      </c>
      <c r="C426" s="3449" t="str">
        <v>Monday</v>
      </c>
      <c r="D426" s="3421" t="s">
        <v>3480</v>
      </c>
      <c r="E426" s="3421">
        <f t="shared" si="89"/>
      </c>
      <c r="F426" s="3425" t="s">
        <v>3303</v>
      </c>
      <c r="G426" s="3473"/>
      <c r="H426" s="3451"/>
      <c r="I426" s="3451" t="s">
        <v>3107</v>
      </c>
      <c r="J426" s="3426"/>
      <c r="K426" s="3427"/>
      <c r="L426" s="3427"/>
      <c r="M426" s="3427"/>
      <c r="N426" s="3427"/>
      <c r="O426" s="3427"/>
      <c r="P426" s="3427"/>
    </row>
    <row customHeight="true" ht="18.452380952380953" r="427">
      <c r="A427" s="3449" t="s">
        <v>3472</v>
      </c>
      <c r="B427" s="3428">
        <v>46259</v>
      </c>
      <c r="C427" s="3449" t="str">
        <v>Tuesday</v>
      </c>
      <c r="D427" s="3421" t="s">
        <v>3401</v>
      </c>
      <c r="E427" s="3451">
        <f t="shared" si="89"/>
      </c>
      <c r="F427" s="3425" t="s">
        <v>3151</v>
      </c>
      <c r="G427" s="3653"/>
      <c r="H427" s="3451"/>
      <c r="I427" s="3451" t="s">
        <v>3107</v>
      </c>
      <c r="J427" s="3426"/>
      <c r="K427" s="3463"/>
      <c r="L427" s="3463"/>
      <c r="M427" s="3463"/>
      <c r="N427" s="3463"/>
      <c r="O427" s="3463"/>
      <c r="P427" s="3463"/>
    </row>
    <row customHeight="true" ht="18.452380952380953" r="428">
      <c r="A428" s="3449" t="s">
        <v>3472</v>
      </c>
      <c r="B428" s="3428">
        <v>46258</v>
      </c>
      <c r="C428" s="3449" t="str">
        <v>Monday</v>
      </c>
      <c r="D428" s="3451" t="s">
        <v>3401</v>
      </c>
      <c r="E428" s="3451">
        <f t="shared" si="89"/>
      </c>
      <c r="F428" s="3425" t="s">
        <v>3291</v>
      </c>
      <c r="G428" s="3653"/>
      <c r="H428" s="3451"/>
      <c r="I428" s="3451" t="s">
        <v>3107</v>
      </c>
      <c r="J428" s="3426"/>
      <c r="K428" s="3463"/>
      <c r="L428" s="3463"/>
      <c r="M428" s="3463"/>
      <c r="N428" s="3463"/>
      <c r="O428" s="3463"/>
      <c r="P428" s="3463"/>
    </row>
    <row customHeight="true" ht="18.452380952380953" r="429">
      <c r="A429" s="3449" t="s">
        <v>3472</v>
      </c>
      <c r="B429" s="3428">
        <v>46263</v>
      </c>
      <c r="C429" s="3449" t="str">
        <v>Saturday</v>
      </c>
      <c r="D429" s="3421" t="s">
        <v>3481</v>
      </c>
      <c r="E429" s="3451">
        <f t="shared" si="89"/>
      </c>
      <c r="F429" s="3425" t="s">
        <v>3309</v>
      </c>
      <c r="G429" s="3653"/>
      <c r="H429" s="3451"/>
      <c r="I429" s="3451" t="s">
        <v>3107</v>
      </c>
      <c r="J429" s="3426"/>
      <c r="K429" s="3463"/>
      <c r="L429" s="3463"/>
      <c r="M429" s="3463"/>
      <c r="N429" s="3463"/>
      <c r="O429" s="3463"/>
      <c r="P429" s="3463"/>
    </row>
    <row customHeight="true" ht="18.452380952380953" r="430">
      <c r="A430" s="3454" t="s">
        <v>3472</v>
      </c>
      <c r="B430" s="3455">
        <v>46264</v>
      </c>
      <c r="C430" s="3454" t="str">
        <v>Sunday</v>
      </c>
      <c r="D430" s="3478" t="s">
        <v>3349</v>
      </c>
      <c r="E430" s="3458">
        <f t="shared" si="89"/>
      </c>
      <c r="F430" s="3458" t="s">
        <v>3309</v>
      </c>
      <c r="G430" s="3591"/>
      <c r="H430" s="3458"/>
      <c r="I430" s="3458" t="s">
        <v>3107</v>
      </c>
      <c r="J430" s="3457"/>
      <c r="K430" s="3460"/>
      <c r="L430" s="3460"/>
      <c r="M430" s="3460"/>
      <c r="N430" s="3460"/>
      <c r="O430" s="3460"/>
      <c r="P430" s="3460"/>
    </row>
    <row customHeight="true" ht="20.238095238095237" r="431">
      <c r="A431" s="3449" t="s">
        <v>3482</v>
      </c>
      <c r="B431" s="3428">
        <v>46258</v>
      </c>
      <c r="C431" s="3449" t="str">
        <v>Monday</v>
      </c>
      <c r="D431" s="3421" t="s">
        <v>3470</v>
      </c>
      <c r="E431" s="3421">
        <f t="shared" si="89"/>
      </c>
      <c r="F431" s="3425" t="s">
        <v>3303</v>
      </c>
      <c r="G431" s="3473"/>
      <c r="H431" s="3451"/>
      <c r="I431" s="3451" t="s">
        <v>3107</v>
      </c>
      <c r="J431" s="3426"/>
      <c r="K431" s="3427"/>
      <c r="L431" s="3427"/>
      <c r="M431" s="3427"/>
      <c r="N431" s="3427"/>
      <c r="O431" s="3427"/>
      <c r="P431" s="3427"/>
    </row>
    <row customHeight="true" ht="20.238095238095237" r="432">
      <c r="A432" s="3449" t="s">
        <v>3482</v>
      </c>
      <c r="B432" s="3428">
        <v>46258</v>
      </c>
      <c r="C432" s="3449" t="str">
        <v>Monday</v>
      </c>
      <c r="D432" s="3421" t="s">
        <v>3483</v>
      </c>
      <c r="E432" s="3421">
        <f t="shared" si="89"/>
      </c>
      <c r="F432" s="3425" t="s">
        <v>3307</v>
      </c>
      <c r="G432" s="3473"/>
      <c r="H432" s="3451"/>
      <c r="I432" s="3451" t="s">
        <v>3107</v>
      </c>
      <c r="J432" s="3426"/>
      <c r="K432" s="3427"/>
      <c r="L432" s="3427"/>
      <c r="M432" s="3427"/>
      <c r="N432" s="3427"/>
      <c r="O432" s="3427"/>
      <c r="P432" s="3427"/>
    </row>
    <row customHeight="true" ht="20.238095238095237" r="433">
      <c r="A433" s="3449" t="s">
        <v>3482</v>
      </c>
      <c r="B433" s="3428">
        <v>46259</v>
      </c>
      <c r="C433" s="3449" t="str">
        <v>Tuesday</v>
      </c>
      <c r="D433" s="3583" t="s">
        <v>3484</v>
      </c>
      <c r="E433" s="3421">
        <f t="shared" si="89"/>
      </c>
      <c r="F433" s="3462" t="s">
        <v>3307</v>
      </c>
      <c r="G433" s="3473"/>
      <c r="H433" s="3451"/>
      <c r="I433" s="3451" t="s">
        <v>3107</v>
      </c>
      <c r="J433" s="3422" t="s">
        <v>3485</v>
      </c>
      <c r="K433" s="3427"/>
      <c r="L433" s="3427"/>
      <c r="M433" s="3427"/>
      <c r="N433" s="3427"/>
      <c r="O433" s="3427"/>
      <c r="P433" s="3427"/>
    </row>
    <row customHeight="true" ht="20.238095238095237" r="434">
      <c r="A434" s="3454" t="s">
        <v>3482</v>
      </c>
      <c r="B434" s="3455">
        <v>46260</v>
      </c>
      <c r="C434" s="3454" t="str">
        <v>Wednesday</v>
      </c>
      <c r="D434" s="3478" t="s">
        <v>3287</v>
      </c>
      <c r="E434" s="3478">
        <f t="shared" si="89"/>
      </c>
      <c r="F434" s="3586" t="s">
        <v>3303</v>
      </c>
      <c r="G434" s="3479"/>
      <c r="H434" s="3458"/>
      <c r="I434" s="3458" t="s">
        <v>3107</v>
      </c>
      <c r="J434" s="3457"/>
      <c r="K434" s="3460"/>
      <c r="L434" s="3460"/>
      <c r="M434" s="3460"/>
      <c r="N434" s="3460"/>
      <c r="O434" s="3460"/>
      <c r="P434" s="3460"/>
    </row>
    <row customHeight="true" ht="20.238095238095237" r="435">
      <c r="A435" s="3454" t="s">
        <v>3482</v>
      </c>
      <c r="B435" s="3455">
        <v>46261</v>
      </c>
      <c r="C435" s="3454" t="str">
        <v>Thursday</v>
      </c>
      <c r="D435" s="3478" t="s">
        <v>3474</v>
      </c>
      <c r="E435" s="3478">
        <f t="shared" si="89"/>
      </c>
      <c r="F435" s="3586" t="s">
        <v>3303</v>
      </c>
      <c r="G435" s="3479"/>
      <c r="H435" s="3458"/>
      <c r="I435" s="3458" t="s">
        <v>3107</v>
      </c>
      <c r="J435" s="3457"/>
      <c r="K435" s="3460"/>
      <c r="L435" s="3460"/>
      <c r="M435" s="3460"/>
      <c r="N435" s="3460"/>
      <c r="O435" s="3460"/>
      <c r="P435" s="3460"/>
    </row>
    <row customHeight="true" ht="20.238095238095237" r="436">
      <c r="A436" s="3454" t="s">
        <v>3482</v>
      </c>
      <c r="B436" s="3455">
        <v>46262</v>
      </c>
      <c r="C436" s="3454" t="str">
        <v>Friday</v>
      </c>
      <c r="D436" s="3478" t="s">
        <v>3486</v>
      </c>
      <c r="E436" s="3478">
        <f t="shared" si="89"/>
      </c>
      <c r="F436" s="3586" t="s">
        <v>3303</v>
      </c>
      <c r="G436" s="3479"/>
      <c r="H436" s="3458"/>
      <c r="I436" s="3458" t="s">
        <v>3107</v>
      </c>
      <c r="J436" s="3457"/>
      <c r="K436" s="3460"/>
      <c r="L436" s="3460"/>
      <c r="M436" s="3460"/>
      <c r="N436" s="3460"/>
      <c r="O436" s="3460"/>
      <c r="P436" s="3460"/>
    </row>
    <row customHeight="true" ht="20.238095238095237" r="437">
      <c r="A437" s="3449" t="s">
        <v>3482</v>
      </c>
      <c r="B437" s="3428">
        <v>46261</v>
      </c>
      <c r="C437" s="3449" t="str">
        <v>Thursday</v>
      </c>
      <c r="D437" s="3421" t="s">
        <v>3487</v>
      </c>
      <c r="E437" s="3451">
        <f t="shared" si="89"/>
      </c>
      <c r="F437" s="3462" t="s">
        <v>3307</v>
      </c>
      <c r="G437" s="3653"/>
      <c r="H437" s="3451"/>
      <c r="I437" s="3451" t="s">
        <v>3107</v>
      </c>
      <c r="J437" s="3426"/>
      <c r="K437" s="3463"/>
      <c r="L437" s="3463"/>
      <c r="M437" s="3463"/>
      <c r="N437" s="3463"/>
      <c r="O437" s="3463"/>
      <c r="P437" s="3463"/>
    </row>
    <row customHeight="true" ht="20.238095238095237" r="438">
      <c r="A438" s="3449" t="s">
        <v>3482</v>
      </c>
      <c r="B438" s="3428">
        <v>46261</v>
      </c>
      <c r="C438" s="3449" t="str">
        <v>Thursday</v>
      </c>
      <c r="D438" s="3421" t="s">
        <v>3488</v>
      </c>
      <c r="E438" s="3451">
        <f t="shared" si="89"/>
      </c>
      <c r="F438" s="3462" t="s">
        <v>3307</v>
      </c>
      <c r="G438" s="3653"/>
      <c r="H438" s="3451"/>
      <c r="I438" s="3451" t="s">
        <v>3107</v>
      </c>
      <c r="J438" s="3426"/>
      <c r="K438" s="3463"/>
      <c r="L438" s="3463"/>
      <c r="M438" s="3463"/>
      <c r="N438" s="3463"/>
      <c r="O438" s="3463"/>
      <c r="P438" s="3463"/>
    </row>
    <row customHeight="true" ht="20.238095238095237" r="439">
      <c r="A439" s="3449" t="s">
        <v>3482</v>
      </c>
      <c r="B439" s="3428">
        <v>46262</v>
      </c>
      <c r="C439" s="3449" t="str">
        <v>Friday</v>
      </c>
      <c r="D439" s="3421" t="s">
        <v>3489</v>
      </c>
      <c r="E439" s="3451">
        <f t="shared" si="89"/>
      </c>
      <c r="F439" s="3462" t="s">
        <v>3307</v>
      </c>
      <c r="G439" s="3653"/>
      <c r="H439" s="3451"/>
      <c r="I439" s="3451" t="s">
        <v>3107</v>
      </c>
      <c r="J439" s="3426"/>
      <c r="K439" s="3463"/>
      <c r="L439" s="3463"/>
      <c r="M439" s="3463"/>
      <c r="N439" s="3463"/>
      <c r="O439" s="3463"/>
      <c r="P439" s="3463"/>
    </row>
    <row customHeight="true" ht="20.238095238095237" r="440">
      <c r="A440" s="3449" t="s">
        <v>3482</v>
      </c>
      <c r="B440" s="3428">
        <v>46262</v>
      </c>
      <c r="C440" s="3449" t="str">
        <v>Friday</v>
      </c>
      <c r="D440" s="3421" t="s">
        <v>3490</v>
      </c>
      <c r="E440" s="3451">
        <f t="shared" si="89"/>
      </c>
      <c r="F440" s="3462" t="s">
        <v>3303</v>
      </c>
      <c r="G440" s="3653"/>
      <c r="H440" s="3451"/>
      <c r="I440" s="3451" t="s">
        <v>3107</v>
      </c>
      <c r="J440" s="3426"/>
      <c r="K440" s="3463"/>
      <c r="L440" s="3463"/>
      <c r="M440" s="3463"/>
      <c r="N440" s="3463"/>
      <c r="O440" s="3463"/>
      <c r="P440" s="3463"/>
    </row>
    <row customHeight="true" ht="20.238095238095237" r="441">
      <c r="A441" s="3449" t="s">
        <v>3482</v>
      </c>
      <c r="B441" s="3428">
        <v>46263</v>
      </c>
      <c r="C441" s="3449" t="str">
        <v>Saturday</v>
      </c>
      <c r="D441" s="3421" t="s">
        <v>3475</v>
      </c>
      <c r="E441" s="3421">
        <f t="shared" si="89"/>
      </c>
      <c r="F441" s="3462" t="s">
        <v>3307</v>
      </c>
      <c r="G441" s="3473"/>
      <c r="H441" s="3451"/>
      <c r="I441" s="3451" t="s">
        <v>3107</v>
      </c>
      <c r="J441" s="3422" t="s">
        <v>3491</v>
      </c>
      <c r="K441" s="3427"/>
      <c r="L441" s="3427"/>
      <c r="M441" s="3427"/>
      <c r="N441" s="3427"/>
      <c r="O441" s="3427"/>
      <c r="P441" s="3427"/>
    </row>
    <row customHeight="true" ht="20.238095238095237" r="442">
      <c r="A442" s="3454" t="s">
        <v>3482</v>
      </c>
      <c r="B442" s="3455">
        <v>46263</v>
      </c>
      <c r="C442" s="3454" t="str">
        <v>Saturday</v>
      </c>
      <c r="D442" s="3478" t="s">
        <v>3287</v>
      </c>
      <c r="E442" s="3478">
        <f t="shared" si="89"/>
      </c>
      <c r="F442" s="3586" t="s">
        <v>3291</v>
      </c>
      <c r="G442" s="3479"/>
      <c r="H442" s="3458"/>
      <c r="I442" s="3458" t="s">
        <v>3107</v>
      </c>
      <c r="J442" s="3481" t="s">
        <v>3492</v>
      </c>
      <c r="K442" s="3460"/>
      <c r="L442" s="3460"/>
      <c r="M442" s="3460"/>
      <c r="N442" s="3460"/>
      <c r="O442" s="3460"/>
      <c r="P442" s="3460"/>
    </row>
    <row customHeight="true" ht="20.238095238095237" r="443">
      <c r="A443" s="3449" t="s">
        <v>3482</v>
      </c>
      <c r="B443" s="3428">
        <v>46264</v>
      </c>
      <c r="C443" s="3449" t="str">
        <v>Sunday</v>
      </c>
      <c r="D443" s="3583" t="s">
        <v>3174</v>
      </c>
      <c r="E443" s="3421">
        <f t="shared" si="89"/>
      </c>
      <c r="F443" s="3462" t="s">
        <v>3307</v>
      </c>
      <c r="G443" s="3473"/>
      <c r="H443" s="3451"/>
      <c r="I443" s="3451" t="s">
        <v>3107</v>
      </c>
      <c r="J443" s="3426"/>
      <c r="K443" s="3427"/>
      <c r="L443" s="3427"/>
      <c r="M443" s="3427"/>
      <c r="N443" s="3427"/>
      <c r="O443" s="3427"/>
      <c r="P443" s="3427"/>
    </row>
    <row customHeight="true" ht="20.238095238095237" r="444">
      <c r="A444" s="3449" t="s">
        <v>3482</v>
      </c>
      <c r="B444" s="3428">
        <v>46264</v>
      </c>
      <c r="C444" s="3449" t="str">
        <v>Sunday</v>
      </c>
      <c r="D444" s="3583" t="s">
        <v>3401</v>
      </c>
      <c r="E444" s="3421">
        <f t="shared" si="89"/>
      </c>
      <c r="F444" s="3462" t="s">
        <v>3303</v>
      </c>
      <c r="G444" s="3473"/>
      <c r="H444" s="3451"/>
      <c r="I444" s="3451" t="s">
        <v>3107</v>
      </c>
      <c r="J444" s="3426"/>
      <c r="K444" s="3427"/>
      <c r="L444" s="3427"/>
      <c r="M444" s="3427"/>
      <c r="N444" s="3427"/>
      <c r="O444" s="3427"/>
      <c r="P444" s="3427"/>
    </row>
    <row r="445">
      <c r="A445" s="3593"/>
      <c r="B445" s="3593"/>
      <c r="C445" s="3593"/>
      <c r="D445" s="3593"/>
      <c r="E445" s="3593"/>
      <c r="F445" s="3593"/>
      <c r="G445" s="3593"/>
      <c r="H445" s="3701"/>
      <c r="I445" s="3593"/>
      <c r="J445" s="3593"/>
      <c r="K445" s="3498"/>
      <c r="L445" s="3498"/>
      <c r="M445" s="3498"/>
      <c r="N445" s="3498"/>
      <c r="O445" s="3498"/>
      <c r="P445" s="3498"/>
    </row>
    <row customHeight="true" ht="16.071428571428573" r="446">
      <c r="A446" s="3593"/>
      <c r="B446" s="3593"/>
      <c r="C446" s="3593"/>
      <c r="D446" s="3593"/>
      <c r="E446" s="3593"/>
      <c r="F446" s="3593"/>
      <c r="G446" s="3593"/>
      <c r="H446" s="3701"/>
      <c r="I446" s="3593"/>
      <c r="J446" s="3593"/>
      <c r="K446" s="3498"/>
      <c r="L446" s="3498"/>
      <c r="M446" s="3498"/>
      <c r="N446" s="3498"/>
      <c r="O446" s="3498"/>
      <c r="P446" s="3498"/>
    </row>
    <row customHeight="true" ht="16.071428571428573" r="447">
      <c r="A447" s="3736" t="s">
        <v>3493</v>
      </c>
      <c r="B447" s="3737"/>
      <c r="C447" s="3737"/>
      <c r="D447" s="3737"/>
      <c r="E447" s="3737"/>
      <c r="F447" s="3737"/>
      <c r="G447" s="3737"/>
      <c r="H447" s="3738"/>
      <c r="I447" s="3737"/>
      <c r="J447" s="3737"/>
      <c r="K447" s="3498"/>
      <c r="L447" s="3498"/>
      <c r="M447" s="3498"/>
      <c r="N447" s="3498"/>
      <c r="O447" s="3498"/>
      <c r="P447" s="3498"/>
    </row>
    <row customHeight="true" ht="27.36318407963024" r="448">
      <c r="A448" s="3739" t="s">
        <v>3122</v>
      </c>
      <c r="B448" s="3740" t="s">
        <v>3123</v>
      </c>
      <c r="C448" s="3740"/>
      <c r="D448" s="3741" t="s">
        <v>3124</v>
      </c>
      <c r="E448" s="3742" t="s">
        <v>3125</v>
      </c>
      <c r="F448" s="3742" t="s">
        <v>3126</v>
      </c>
      <c r="G448" s="3743" t="s">
        <v>3148</v>
      </c>
      <c r="H448" s="3742" t="s">
        <v>3128</v>
      </c>
      <c r="I448" s="3742" t="s">
        <v>3129</v>
      </c>
      <c r="J448" s="3744" t="s">
        <v>3130</v>
      </c>
      <c r="K448" s="3448"/>
      <c r="L448" s="3448"/>
      <c r="M448" s="3448"/>
      <c r="N448" s="3448"/>
      <c r="O448" s="3448"/>
      <c r="P448" s="3448"/>
    </row>
    <row customHeight="true" ht="16.071428571428573" r="449">
      <c r="A449" s="3449" t="s">
        <v>3493</v>
      </c>
      <c r="B449" s="3428">
        <v>46258</v>
      </c>
      <c r="C449" s="3449" t="str">
        <v>Monday</v>
      </c>
      <c r="D449" s="3745" t="s">
        <v>3494</v>
      </c>
      <c r="E449" s="3421">
        <f t="shared" ref="E449:E463" si="90">24*MOD(TIMEVALUE(TRIM(MID(D449,FIND("-",D449)+1,LEN(D449)))) - TIMEVALUE(TRIM(LEFT(D449,FIND("-",D449)-1))),1)</f>
      </c>
      <c r="F449" s="3709" t="s">
        <v>3379</v>
      </c>
      <c r="G449" s="3722" t="s">
        <v>3453</v>
      </c>
      <c r="H449" s="3451" t="s">
        <v>3198</v>
      </c>
      <c r="I449" s="3451" t="s">
        <v>3140</v>
      </c>
      <c r="J449" s="3746"/>
      <c r="K449" s="3448"/>
      <c r="L449" s="3448"/>
      <c r="M449" s="3448"/>
      <c r="N449" s="3448"/>
      <c r="O449" s="3448"/>
      <c r="P449" s="3448"/>
    </row>
    <row customHeight="true" ht="16.071428571428573" r="450">
      <c r="A450" s="3449" t="s">
        <v>3493</v>
      </c>
      <c r="B450" s="3428">
        <v>46259</v>
      </c>
      <c r="C450" s="3449" t="str">
        <v>Tuesday</v>
      </c>
      <c r="D450" s="3421" t="s">
        <v>3494</v>
      </c>
      <c r="E450" s="3421">
        <f t="shared" si="90"/>
      </c>
      <c r="F450" s="3423" t="s">
        <v>3379</v>
      </c>
      <c r="G450" s="3722" t="s">
        <v>3453</v>
      </c>
      <c r="H450" s="3451" t="s">
        <v>3198</v>
      </c>
      <c r="I450" s="3451" t="s">
        <v>3140</v>
      </c>
      <c r="J450" s="3746"/>
      <c r="K450" s="3448"/>
      <c r="L450" s="3448"/>
      <c r="M450" s="3448"/>
      <c r="N450" s="3448"/>
      <c r="O450" s="3448"/>
      <c r="P450" s="3448"/>
    </row>
    <row customHeight="true" ht="16.071428571428573" r="451">
      <c r="A451" s="3454" t="s">
        <v>3493</v>
      </c>
      <c r="B451" s="3455">
        <v>46260</v>
      </c>
      <c r="C451" s="3454" t="str">
        <v>Wednesday</v>
      </c>
      <c r="D451" s="3478" t="s">
        <v>3313</v>
      </c>
      <c r="E451" s="3478">
        <f t="shared" si="90"/>
      </c>
      <c r="F451" s="3586" t="s">
        <v>3293</v>
      </c>
      <c r="G451" s="3747" t="s">
        <v>3453</v>
      </c>
      <c r="H451" s="3458" t="s">
        <v>3198</v>
      </c>
      <c r="I451" s="3458" t="s">
        <v>3140</v>
      </c>
      <c r="J451" s="3748" t="s">
        <v>3495</v>
      </c>
      <c r="K451" s="3749"/>
      <c r="L451" s="3749"/>
      <c r="M451" s="3749"/>
      <c r="N451" s="3749"/>
      <c r="O451" s="3749"/>
      <c r="P451" s="3749"/>
    </row>
    <row customHeight="true" ht="16.071428571428573" r="452">
      <c r="A452" s="3449" t="s">
        <v>3493</v>
      </c>
      <c r="B452" s="3428">
        <v>46261</v>
      </c>
      <c r="C452" s="3449" t="str">
        <v>Thursday</v>
      </c>
      <c r="D452" s="3421" t="s">
        <v>3313</v>
      </c>
      <c r="E452" s="3421">
        <f t="shared" si="90"/>
      </c>
      <c r="F452" s="3709" t="s">
        <v>3396</v>
      </c>
      <c r="G452" s="3722" t="s">
        <v>3453</v>
      </c>
      <c r="H452" s="3451" t="s">
        <v>3198</v>
      </c>
      <c r="I452" s="3451" t="s">
        <v>3140</v>
      </c>
      <c r="J452" s="3746"/>
      <c r="K452" s="3448"/>
      <c r="L452" s="3448"/>
      <c r="M452" s="3448"/>
      <c r="N452" s="3448"/>
      <c r="O452" s="3448"/>
      <c r="P452" s="3448"/>
    </row>
    <row customHeight="true" ht="16.071428571428573" r="453">
      <c r="A453" s="3449" t="s">
        <v>3493</v>
      </c>
      <c r="B453" s="3428">
        <v>46262</v>
      </c>
      <c r="C453" s="3449" t="str">
        <v>Friday</v>
      </c>
      <c r="D453" s="3421" t="s">
        <v>3313</v>
      </c>
      <c r="E453" s="3421">
        <f t="shared" si="90"/>
      </c>
      <c r="F453" s="3464" t="s">
        <v>3471</v>
      </c>
      <c r="G453" s="3722" t="s">
        <v>3453</v>
      </c>
      <c r="H453" s="3451" t="s">
        <v>3198</v>
      </c>
      <c r="I453" s="3451" t="s">
        <v>3140</v>
      </c>
      <c r="J453" s="3750" t="s">
        <v>3496</v>
      </c>
      <c r="K453" s="3448"/>
      <c r="L453" s="3448"/>
      <c r="M453" s="3448"/>
      <c r="N453" s="3448"/>
      <c r="O453" s="3448"/>
      <c r="P453" s="3448"/>
    </row>
    <row customHeight="true" ht="16.071428571428573" r="454">
      <c r="A454" s="3454" t="s">
        <v>3493</v>
      </c>
      <c r="B454" s="3455">
        <v>46263</v>
      </c>
      <c r="C454" s="3454" t="str">
        <v>Saturday</v>
      </c>
      <c r="D454" s="3478" t="s">
        <v>3313</v>
      </c>
      <c r="E454" s="3478">
        <f t="shared" si="90"/>
      </c>
      <c r="F454" s="3586" t="s">
        <v>3471</v>
      </c>
      <c r="G454" s="3747" t="s">
        <v>3298</v>
      </c>
      <c r="H454" s="3458" t="s">
        <v>3198</v>
      </c>
      <c r="I454" s="3458" t="s">
        <v>3107</v>
      </c>
      <c r="J454" s="3748" t="s">
        <v>3497</v>
      </c>
      <c r="K454" s="3749"/>
      <c r="L454" s="3749"/>
      <c r="M454" s="3749"/>
      <c r="N454" s="3749"/>
      <c r="O454" s="3749"/>
      <c r="P454" s="3749"/>
    </row>
    <row customHeight="true" ht="16.071428571428573" r="455">
      <c r="A455" s="3454" t="s">
        <v>3493</v>
      </c>
      <c r="B455" s="3455">
        <v>46264</v>
      </c>
      <c r="C455" s="3454" t="str">
        <v>Sunday</v>
      </c>
      <c r="D455" s="3478" t="s">
        <v>3494</v>
      </c>
      <c r="E455" s="3478">
        <f t="shared" si="90"/>
      </c>
      <c r="F455" s="3586" t="s">
        <v>3471</v>
      </c>
      <c r="G455" s="3747" t="s">
        <v>3301</v>
      </c>
      <c r="H455" s="3458" t="s">
        <v>3198</v>
      </c>
      <c r="I455" s="3458" t="s">
        <v>3140</v>
      </c>
      <c r="J455" s="3748" t="s">
        <v>3497</v>
      </c>
      <c r="K455" s="3749"/>
      <c r="L455" s="3749"/>
      <c r="M455" s="3749"/>
      <c r="N455" s="3749"/>
      <c r="O455" s="3749"/>
      <c r="P455" s="3749"/>
    </row>
    <row customHeight="true" ht="16.071428571428573" r="456">
      <c r="A456" s="3449" t="s">
        <v>3498</v>
      </c>
      <c r="B456" s="3428">
        <v>46258</v>
      </c>
      <c r="C456" s="3449" t="str">
        <v>Monday</v>
      </c>
      <c r="D456" s="3745" t="s">
        <v>3499</v>
      </c>
      <c r="E456" s="3421">
        <f t="shared" si="90"/>
      </c>
      <c r="F456" s="3462" t="s">
        <v>3441</v>
      </c>
      <c r="G456" s="3751"/>
      <c r="H456" s="3451" t="s">
        <v>3198</v>
      </c>
      <c r="I456" s="3451" t="s">
        <v>3107</v>
      </c>
      <c r="J456" s="3750"/>
      <c r="K456" s="3448"/>
      <c r="L456" s="3448"/>
      <c r="M456" s="3448"/>
      <c r="N456" s="3448"/>
      <c r="O456" s="3448"/>
      <c r="P456" s="3448"/>
    </row>
    <row customHeight="true" ht="16.071428571428573" r="457">
      <c r="A457" s="3449" t="s">
        <v>3498</v>
      </c>
      <c r="B457" s="3428">
        <v>46259</v>
      </c>
      <c r="C457" s="3449" t="str">
        <v>Tuesday</v>
      </c>
      <c r="D457" s="3745" t="s">
        <v>3499</v>
      </c>
      <c r="E457" s="3421">
        <f t="shared" si="90"/>
      </c>
      <c r="F457" s="3462" t="s">
        <v>3441</v>
      </c>
      <c r="G457" s="3751"/>
      <c r="H457" s="3451" t="s">
        <v>3198</v>
      </c>
      <c r="I457" s="3451" t="s">
        <v>3140</v>
      </c>
      <c r="J457" s="3752"/>
      <c r="K457" s="3448"/>
      <c r="L457" s="3448"/>
      <c r="M457" s="3448"/>
      <c r="N457" s="3448"/>
      <c r="O457" s="3448"/>
      <c r="P457" s="3448"/>
    </row>
    <row customHeight="true" ht="16.071428571428573" r="458">
      <c r="A458" s="3449" t="s">
        <v>3498</v>
      </c>
      <c r="B458" s="3428">
        <v>46259</v>
      </c>
      <c r="C458" s="3449" t="str">
        <v>Tuesday</v>
      </c>
      <c r="D458" s="3421" t="s">
        <v>3161</v>
      </c>
      <c r="E458" s="3421">
        <f t="shared" si="90"/>
      </c>
      <c r="F458" s="3462" t="s">
        <v>3441</v>
      </c>
      <c r="G458" s="3751"/>
      <c r="H458" s="3451" t="s">
        <v>3198</v>
      </c>
      <c r="I458" s="3451" t="s">
        <v>3107</v>
      </c>
      <c r="J458" s="3422" t="s">
        <v>3500</v>
      </c>
      <c r="K458" s="3448"/>
      <c r="L458" s="3448"/>
      <c r="M458" s="3448"/>
      <c r="N458" s="3448"/>
      <c r="O458" s="3448"/>
      <c r="P458" s="3448"/>
    </row>
    <row customHeight="true" ht="16.071428571428573" r="459">
      <c r="A459" s="3449" t="s">
        <v>3498</v>
      </c>
      <c r="B459" s="3428">
        <v>46260</v>
      </c>
      <c r="C459" s="3449" t="str">
        <v>Wednesday</v>
      </c>
      <c r="D459" s="3570" t="s">
        <v>3501</v>
      </c>
      <c r="E459" s="3421">
        <f t="shared" si="90"/>
      </c>
      <c r="F459" s="3462" t="s">
        <v>3441</v>
      </c>
      <c r="G459" s="3751"/>
      <c r="H459" s="3451" t="s">
        <v>3198</v>
      </c>
      <c r="I459" s="3451" t="s">
        <v>3140</v>
      </c>
      <c r="J459" s="3750" t="s">
        <v>3502</v>
      </c>
      <c r="K459" s="3448"/>
      <c r="L459" s="3448"/>
      <c r="M459" s="3448"/>
      <c r="N459" s="3448"/>
      <c r="O459" s="3448"/>
      <c r="P459" s="3448"/>
    </row>
    <row customHeight="true" ht="16.071428571428573" r="460">
      <c r="A460" s="3449" t="s">
        <v>3498</v>
      </c>
      <c r="B460" s="3428">
        <v>46261</v>
      </c>
      <c r="C460" s="3449" t="str">
        <v>Thursday</v>
      </c>
      <c r="D460" s="3570" t="s">
        <v>3313</v>
      </c>
      <c r="E460" s="3421">
        <f t="shared" si="90"/>
      </c>
      <c r="F460" s="3462" t="s">
        <v>3441</v>
      </c>
      <c r="G460" s="3751"/>
      <c r="H460" s="3451" t="s">
        <v>3198</v>
      </c>
      <c r="I460" s="3451" t="s">
        <v>3140</v>
      </c>
      <c r="J460" s="3752"/>
      <c r="K460" s="3448"/>
      <c r="L460" s="3448"/>
      <c r="M460" s="3448"/>
      <c r="N460" s="3448"/>
      <c r="O460" s="3448"/>
      <c r="P460" s="3448"/>
    </row>
    <row customHeight="true" ht="16.071428571428573" r="461">
      <c r="A461" s="3449" t="s">
        <v>3498</v>
      </c>
      <c r="B461" s="3428">
        <v>46262</v>
      </c>
      <c r="C461" s="3449" t="str">
        <v>Friday</v>
      </c>
      <c r="D461" s="3570" t="s">
        <v>3503</v>
      </c>
      <c r="E461" s="3421">
        <f t="shared" si="90"/>
      </c>
      <c r="F461" s="3462" t="s">
        <v>3441</v>
      </c>
      <c r="G461" s="3751"/>
      <c r="H461" s="3451" t="s">
        <v>3198</v>
      </c>
      <c r="I461" s="3451" t="s">
        <v>3140</v>
      </c>
      <c r="J461" s="3750" t="s">
        <v>3504</v>
      </c>
      <c r="K461" s="3448"/>
      <c r="L461" s="3448"/>
      <c r="M461" s="3448"/>
      <c r="N461" s="3448"/>
      <c r="O461" s="3448"/>
      <c r="P461" s="3448"/>
    </row>
    <row customHeight="true" ht="16.071428571428573" r="462">
      <c r="A462" s="3454" t="s">
        <v>3498</v>
      </c>
      <c r="B462" s="3455">
        <v>46263</v>
      </c>
      <c r="C462" s="3454" t="str">
        <v>Saturday</v>
      </c>
      <c r="D462" s="3478" t="s">
        <v>3313</v>
      </c>
      <c r="E462" s="3478">
        <f t="shared" si="90"/>
      </c>
      <c r="F462" s="3710" t="s">
        <v>3307</v>
      </c>
      <c r="G462" s="3753"/>
      <c r="H462" s="3458" t="s">
        <v>3198</v>
      </c>
      <c r="I462" s="3458" t="s">
        <v>3140</v>
      </c>
      <c r="J462" s="3748" t="s">
        <v>3497</v>
      </c>
      <c r="K462" s="3749"/>
      <c r="L462" s="3749"/>
      <c r="M462" s="3749"/>
      <c r="N462" s="3749"/>
      <c r="O462" s="3749"/>
      <c r="P462" s="3749"/>
    </row>
    <row customHeight="true" ht="16.071428571428573" r="463">
      <c r="A463" s="3454" t="s">
        <v>3498</v>
      </c>
      <c r="B463" s="3455">
        <v>46264</v>
      </c>
      <c r="C463" s="3454" t="str">
        <v>Sunday</v>
      </c>
      <c r="D463" s="3478" t="s">
        <v>3494</v>
      </c>
      <c r="E463" s="3478">
        <f t="shared" si="90"/>
      </c>
      <c r="F463" s="3586" t="s">
        <v>3436</v>
      </c>
      <c r="G463" s="3753"/>
      <c r="H463" s="3458" t="s">
        <v>3198</v>
      </c>
      <c r="I463" s="3458" t="s">
        <v>3140</v>
      </c>
      <c r="J463" s="3748" t="s">
        <v>3497</v>
      </c>
      <c r="K463" s="3749"/>
      <c r="L463" s="3749"/>
      <c r="M463" s="3749"/>
      <c r="N463" s="3749"/>
      <c r="O463" s="3749"/>
      <c r="P463" s="3749"/>
    </row>
    <row customHeight="true" ht="16.071428571428573" r="464">
      <c r="A464" s="3449"/>
      <c r="B464" s="3449"/>
      <c r="C464" s="3449"/>
      <c r="D464" s="3421"/>
      <c r="E464" s="3421"/>
      <c r="F464" s="3462"/>
      <c r="G464" s="3751"/>
      <c r="H464" s="3451"/>
      <c r="I464" s="3451"/>
      <c r="J464" s="3752"/>
      <c r="K464" s="3448"/>
      <c r="L464" s="3448"/>
      <c r="M464" s="3448"/>
      <c r="N464" s="3448"/>
      <c r="O464" s="3448"/>
      <c r="P464" s="3448"/>
    </row>
    <row customHeight="true" ht="16.071428571428573" r="465">
      <c r="A465" s="3449"/>
      <c r="B465" s="3449"/>
      <c r="C465" s="3449"/>
      <c r="D465" s="3421"/>
      <c r="E465" s="3421"/>
      <c r="F465" s="3462"/>
      <c r="G465" s="3751"/>
      <c r="H465" s="3451"/>
      <c r="I465" s="3451"/>
      <c r="J465" s="3752"/>
      <c r="K465" s="3448"/>
      <c r="L465" s="3448"/>
      <c r="M465" s="3448"/>
      <c r="N465" s="3448"/>
      <c r="O465" s="3448"/>
      <c r="P465" s="3448"/>
    </row>
    <row customHeight="true" ht="16.071428571428573" r="466">
      <c r="A466" s="3449"/>
      <c r="B466" s="3449"/>
      <c r="C466" s="3449"/>
      <c r="D466" s="3421"/>
      <c r="E466" s="3421"/>
      <c r="F466" s="3462"/>
      <c r="G466" s="3751"/>
      <c r="H466" s="3451"/>
      <c r="I466" s="3451"/>
      <c r="J466" s="3752"/>
      <c r="K466" s="3448"/>
      <c r="L466" s="3448"/>
      <c r="M466" s="3448"/>
      <c r="N466" s="3448"/>
      <c r="O466" s="3448"/>
      <c r="P466" s="3448"/>
    </row>
    <row customHeight="true" ht="16.071428571428573" r="467">
      <c r="A467" s="3449"/>
      <c r="B467" s="3449"/>
      <c r="C467" s="3449"/>
      <c r="D467" s="3421"/>
      <c r="E467" s="3421"/>
      <c r="F467" s="3462"/>
      <c r="G467" s="3751"/>
      <c r="H467" s="3451"/>
      <c r="I467" s="3451"/>
      <c r="J467" s="3752"/>
      <c r="K467" s="3448"/>
      <c r="L467" s="3448"/>
      <c r="M467" s="3448"/>
      <c r="N467" s="3448"/>
      <c r="O467" s="3448"/>
      <c r="P467" s="3448"/>
    </row>
    <row customHeight="true" ht="16.071428571428573" r="468">
      <c r="A468" s="3449"/>
      <c r="B468" s="3449"/>
      <c r="C468" s="3449"/>
      <c r="D468" s="3421"/>
      <c r="E468" s="3421"/>
      <c r="F468" s="3462"/>
      <c r="G468" s="3751"/>
      <c r="H468" s="3451"/>
      <c r="I468" s="3451"/>
      <c r="J468" s="3752"/>
      <c r="K468" s="3448"/>
      <c r="L468" s="3448"/>
      <c r="M468" s="3448"/>
      <c r="N468" s="3448"/>
      <c r="O468" s="3448"/>
      <c r="P468" s="3448"/>
    </row>
    <row customHeight="true" ht="16.071428571428573" r="469">
      <c r="A469" s="3449"/>
      <c r="B469" s="3449"/>
      <c r="C469" s="3449"/>
      <c r="D469" s="3421"/>
      <c r="E469" s="3421"/>
      <c r="F469" s="3462"/>
      <c r="G469" s="3751"/>
      <c r="H469" s="3451"/>
      <c r="I469" s="3451"/>
      <c r="J469" s="3752"/>
      <c r="K469" s="3448"/>
      <c r="L469" s="3448"/>
      <c r="M469" s="3448"/>
      <c r="N469" s="3448"/>
      <c r="O469" s="3448"/>
      <c r="P469" s="3448"/>
    </row>
    <row customHeight="true" ht="16.071428571428573" r="470">
      <c r="A470" s="3449"/>
      <c r="B470" s="3449"/>
      <c r="C470" s="3449"/>
      <c r="D470" s="3421"/>
      <c r="E470" s="3421"/>
      <c r="F470" s="3423"/>
      <c r="G470" s="3751"/>
      <c r="H470" s="3451"/>
      <c r="I470" s="3451"/>
      <c r="J470" s="3754"/>
      <c r="K470" s="3448"/>
      <c r="L470" s="3448"/>
      <c r="M470" s="3448"/>
      <c r="N470" s="3448"/>
      <c r="O470" s="3448"/>
      <c r="P470" s="3448"/>
    </row>
    <row customHeight="true" ht="16.071428571428573" r="471">
      <c r="A471" s="3449"/>
      <c r="B471" s="3449"/>
      <c r="C471" s="3449"/>
      <c r="D471" s="3421"/>
      <c r="E471" s="3421"/>
      <c r="F471" s="3709"/>
      <c r="G471" s="3751"/>
      <c r="H471" s="3451"/>
      <c r="I471" s="3451"/>
      <c r="J471" s="3750"/>
      <c r="K471" s="3448"/>
      <c r="L471" s="3448"/>
      <c r="M471" s="3448"/>
      <c r="N471" s="3448"/>
      <c r="O471" s="3448"/>
      <c r="P471" s="3448"/>
    </row>
    <row customHeight="true" ht="16.071428571428573" r="472">
      <c r="A472" s="3593"/>
      <c r="B472" s="3593"/>
      <c r="C472" s="3593"/>
      <c r="D472" s="3593"/>
      <c r="E472" s="3593"/>
      <c r="F472" s="3593"/>
      <c r="G472" s="3593"/>
      <c r="H472" s="3701"/>
      <c r="I472" s="3593"/>
      <c r="J472" s="3593"/>
      <c r="K472" s="3498"/>
      <c r="L472" s="3498"/>
      <c r="M472" s="3498"/>
      <c r="N472" s="3498"/>
      <c r="O472" s="3498"/>
      <c r="P472" s="3498"/>
    </row>
    <row r="473">
      <c r="A473" s="3755" t="s">
        <v>3505</v>
      </c>
      <c r="B473" s="3755"/>
      <c r="C473" s="3755"/>
      <c r="D473" s="3755"/>
      <c r="E473" s="3755"/>
      <c r="F473" s="3755"/>
      <c r="G473" s="3755"/>
      <c r="H473" s="3755"/>
      <c r="I473" s="3755"/>
      <c r="J473" s="3756"/>
      <c r="K473" s="3467"/>
      <c r="L473" s="3467"/>
      <c r="M473" s="3467"/>
      <c r="N473" s="3467"/>
      <c r="O473" s="3467"/>
      <c r="P473" s="3467"/>
    </row>
    <row r="474">
      <c r="A474" s="3757" t="s">
        <v>3122</v>
      </c>
      <c r="B474" s="3607" t="s">
        <v>3123</v>
      </c>
      <c r="C474" s="3607"/>
      <c r="D474" s="3609" t="s">
        <v>3124</v>
      </c>
      <c r="E474" s="3758" t="s">
        <v>3125</v>
      </c>
      <c r="F474" s="3758" t="s">
        <v>3126</v>
      </c>
      <c r="G474" s="3759" t="s">
        <v>3148</v>
      </c>
      <c r="H474" s="3758" t="s">
        <v>3128</v>
      </c>
      <c r="I474" s="3758" t="s">
        <v>3129</v>
      </c>
      <c r="J474" s="3612" t="s">
        <v>3130</v>
      </c>
      <c r="K474" s="3448"/>
      <c r="L474" s="3448"/>
      <c r="M474" s="3448"/>
      <c r="N474" s="3448"/>
      <c r="O474" s="3448"/>
      <c r="P474" s="3448"/>
    </row>
    <row r="475">
      <c r="A475" s="3449" t="s">
        <v>3506</v>
      </c>
      <c r="B475" s="3428">
        <v>46258</v>
      </c>
      <c r="C475" s="3449" t="str">
        <v>Monday</v>
      </c>
      <c r="D475" s="3421" t="s">
        <v>3395</v>
      </c>
      <c r="E475" s="3425">
        <f t="shared" ref="E475:E480" si="91">24*MOD(TIMEVALUE(TRIM(MID(D475,FIND("-",D475)+1,LEN(D475)))) - TIMEVALUE(TRIM(LEFT(D475,FIND("-",D475)-1))),1)</f>
      </c>
      <c r="F475" s="3451" t="s">
        <v>3507</v>
      </c>
      <c r="G475" s="3584"/>
      <c r="H475" s="3425" t="s">
        <v>3198</v>
      </c>
      <c r="I475" s="3435" t="s">
        <v>3107</v>
      </c>
      <c r="J475" s="3453"/>
      <c r="K475" s="3427"/>
      <c r="L475" s="3427"/>
      <c r="M475" s="3427"/>
      <c r="N475" s="3427"/>
      <c r="O475" s="3427"/>
      <c r="P475" s="3427"/>
    </row>
    <row r="476">
      <c r="A476" s="3449" t="s">
        <v>3506</v>
      </c>
      <c r="B476" s="3428">
        <v>46258</v>
      </c>
      <c r="C476" s="3449" t="str">
        <v>Monday</v>
      </c>
      <c r="D476" s="3421" t="s">
        <v>3508</v>
      </c>
      <c r="E476" s="3425">
        <f t="shared" si="91"/>
      </c>
      <c r="F476" s="3451" t="s">
        <v>3333</v>
      </c>
      <c r="G476" s="3760"/>
      <c r="H476" s="3425" t="s">
        <v>3198</v>
      </c>
      <c r="I476" s="3435" t="s">
        <v>3107</v>
      </c>
      <c r="J476" s="3453"/>
      <c r="K476" s="3427"/>
      <c r="L476" s="3427"/>
      <c r="M476" s="3427"/>
      <c r="N476" s="3427"/>
      <c r="O476" s="3427"/>
      <c r="P476" s="3427"/>
    </row>
    <row r="477">
      <c r="A477" s="3449" t="s">
        <v>3506</v>
      </c>
      <c r="B477" s="3428">
        <v>46258</v>
      </c>
      <c r="C477" s="3449" t="str">
        <v>Monday</v>
      </c>
      <c r="D477" s="3421" t="s">
        <v>3171</v>
      </c>
      <c r="E477" s="3425">
        <f t="shared" si="91"/>
      </c>
      <c r="F477" s="3451" t="s">
        <v>3509</v>
      </c>
      <c r="G477" s="3584"/>
      <c r="H477" s="3425" t="s">
        <v>3198</v>
      </c>
      <c r="I477" s="3435" t="s">
        <v>3107</v>
      </c>
      <c r="J477" s="3453"/>
      <c r="K477" s="3427"/>
      <c r="L477" s="3427"/>
      <c r="M477" s="3427"/>
      <c r="N477" s="3427"/>
      <c r="O477" s="3427"/>
      <c r="P477" s="3427"/>
    </row>
    <row customHeight="true" ht="18.452380952380953" r="478">
      <c r="A478" s="3449" t="s">
        <v>3506</v>
      </c>
      <c r="B478" s="3428">
        <v>46258</v>
      </c>
      <c r="C478" s="3449" t="str">
        <v>Monday</v>
      </c>
      <c r="D478" s="3421" t="s">
        <v>3153</v>
      </c>
      <c r="E478" s="3425">
        <f t="shared" si="91"/>
      </c>
      <c r="F478" s="3451" t="s">
        <v>3333</v>
      </c>
      <c r="G478" s="3584"/>
      <c r="H478" s="3425" t="s">
        <v>3198</v>
      </c>
      <c r="I478" s="3435" t="s">
        <v>3107</v>
      </c>
      <c r="J478" s="3453"/>
      <c r="K478" s="3427"/>
      <c r="L478" s="3427"/>
      <c r="M478" s="3427"/>
      <c r="N478" s="3427"/>
      <c r="O478" s="3427"/>
      <c r="P478" s="3427"/>
    </row>
    <row r="479">
      <c r="A479" s="3449" t="s">
        <v>3506</v>
      </c>
      <c r="B479" s="3428">
        <v>46258</v>
      </c>
      <c r="C479" s="3449" t="str">
        <v>Monday</v>
      </c>
      <c r="D479" s="3421" t="s">
        <v>3160</v>
      </c>
      <c r="E479" s="3425">
        <f t="shared" si="91"/>
      </c>
      <c r="F479" s="3451" t="s">
        <v>3510</v>
      </c>
      <c r="G479" s="3584"/>
      <c r="H479" s="3425" t="s">
        <v>3198</v>
      </c>
      <c r="I479" s="3435" t="s">
        <v>3107</v>
      </c>
      <c r="J479" s="3453"/>
      <c r="K479" s="3427"/>
      <c r="L479" s="3427"/>
      <c r="M479" s="3427"/>
      <c r="N479" s="3427"/>
      <c r="O479" s="3427"/>
      <c r="P479" s="3427"/>
    </row>
    <row customHeight="true" ht="18.452380952380953" r="480">
      <c r="A480" s="3449" t="s">
        <v>3506</v>
      </c>
      <c r="B480" s="3428">
        <v>46258</v>
      </c>
      <c r="C480" s="3449" t="str">
        <v>Monday</v>
      </c>
      <c r="D480" s="3421" t="s">
        <v>3511</v>
      </c>
      <c r="E480" s="3425">
        <f t="shared" si="91"/>
      </c>
      <c r="F480" s="3761" t="s">
        <v>3246</v>
      </c>
      <c r="G480" s="3584"/>
      <c r="H480" s="3425" t="s">
        <v>3198</v>
      </c>
      <c r="I480" s="3435" t="s">
        <v>3107</v>
      </c>
      <c r="J480" s="3453"/>
      <c r="K480" s="3427"/>
      <c r="L480" s="3427"/>
      <c r="M480" s="3427"/>
      <c r="N480" s="3427"/>
      <c r="O480" s="3427"/>
      <c r="P480" s="3427"/>
    </row>
    <row customHeight="true" ht="18.452380952380953" r="481">
      <c r="A481" s="3449"/>
      <c r="B481" s="3428"/>
      <c r="C481" s="3449"/>
      <c r="D481" s="3583"/>
      <c r="E481" s="3762"/>
      <c r="F481" s="3514"/>
      <c r="G481" s="3763"/>
      <c r="H481" s="3425"/>
      <c r="I481" s="3435"/>
      <c r="J481" s="3764"/>
      <c r="K481" s="3765"/>
      <c r="L481" s="3765"/>
      <c r="M481" s="3765"/>
      <c r="N481" s="3765"/>
      <c r="O481" s="3765"/>
      <c r="P481" s="3765"/>
    </row>
    <row customHeight="true" ht="18.452380952380953" r="482">
      <c r="A482" s="3449" t="s">
        <v>3512</v>
      </c>
      <c r="B482" s="3428">
        <v>46258</v>
      </c>
      <c r="C482" s="3449" t="str">
        <v>Monday</v>
      </c>
      <c r="D482" s="3583" t="s">
        <v>3132</v>
      </c>
      <c r="E482" s="3762">
        <f t="shared" ref="E482:E488" si="92">24*MOD(TIMEVALUE(TRIM(MID(D482,FIND("-",D482)+1,LEN(D482)))) - TIMEVALUE(TRIM(LEFT(D482,FIND("-",D482)-1))),1)</f>
      </c>
      <c r="F482" s="3514" t="s">
        <v>3513</v>
      </c>
      <c r="G482" s="3763"/>
      <c r="H482" s="3425" t="s">
        <v>3198</v>
      </c>
      <c r="I482" s="3435" t="s">
        <v>3107</v>
      </c>
      <c r="J482" s="3764"/>
      <c r="K482" s="3765"/>
      <c r="L482" s="3765"/>
      <c r="M482" s="3765"/>
      <c r="N482" s="3765"/>
      <c r="O482" s="3765"/>
      <c r="P482" s="3765"/>
    </row>
    <row customHeight="true" ht="18.452380952380953" r="483">
      <c r="A483" s="3449" t="s">
        <v>3512</v>
      </c>
      <c r="B483" s="3428">
        <v>46258</v>
      </c>
      <c r="C483" s="3449" t="str">
        <v>Monday</v>
      </c>
      <c r="D483" s="3583" t="s">
        <v>3171</v>
      </c>
      <c r="E483" s="3762">
        <f t="shared" si="92"/>
      </c>
      <c r="F483" s="3514" t="s">
        <v>3136</v>
      </c>
      <c r="G483" s="3763"/>
      <c r="H483" s="3425" t="s">
        <v>3198</v>
      </c>
      <c r="I483" s="3435" t="s">
        <v>3107</v>
      </c>
      <c r="J483" s="3764"/>
      <c r="K483" s="3765"/>
      <c r="L483" s="3765"/>
      <c r="M483" s="3765"/>
      <c r="N483" s="3765"/>
      <c r="O483" s="3765"/>
      <c r="P483" s="3765"/>
    </row>
    <row customHeight="true" ht="18.452380952380953" r="484">
      <c r="A484" s="3449" t="s">
        <v>3512</v>
      </c>
      <c r="B484" s="3428">
        <v>46258</v>
      </c>
      <c r="C484" s="3449" t="str">
        <v>Monday</v>
      </c>
      <c r="D484" s="3421" t="s">
        <v>3153</v>
      </c>
      <c r="E484" s="3762">
        <f t="shared" si="92"/>
      </c>
      <c r="F484" s="3761" t="s">
        <v>3428</v>
      </c>
      <c r="G484" s="3763"/>
      <c r="H484" s="3425" t="s">
        <v>3198</v>
      </c>
      <c r="I484" s="3435" t="s">
        <v>3107</v>
      </c>
      <c r="J484" s="3764"/>
      <c r="K484" s="3765"/>
      <c r="L484" s="3765"/>
      <c r="M484" s="3765"/>
      <c r="N484" s="3765"/>
      <c r="O484" s="3765"/>
      <c r="P484" s="3765"/>
    </row>
    <row customHeight="true" ht="18.452380952380953" r="485">
      <c r="A485" s="3449" t="s">
        <v>3512</v>
      </c>
      <c r="B485" s="3428">
        <v>46258</v>
      </c>
      <c r="C485" s="3449" t="str">
        <v>Monday</v>
      </c>
      <c r="D485" s="3421" t="s">
        <v>3160</v>
      </c>
      <c r="E485" s="3762">
        <f t="shared" si="92"/>
      </c>
      <c r="F485" s="3514" t="s">
        <v>3136</v>
      </c>
      <c r="G485" s="3763"/>
      <c r="H485" s="3425" t="s">
        <v>3198</v>
      </c>
      <c r="I485" s="3435" t="s">
        <v>3107</v>
      </c>
      <c r="J485" s="3764"/>
      <c r="K485" s="3765"/>
      <c r="L485" s="3765"/>
      <c r="M485" s="3765"/>
      <c r="N485" s="3765"/>
      <c r="O485" s="3765"/>
      <c r="P485" s="3765"/>
    </row>
    <row r="486">
      <c r="A486" s="3449" t="s">
        <v>3512</v>
      </c>
      <c r="B486" s="3428">
        <v>46258</v>
      </c>
      <c r="C486" s="3449" t="str">
        <v>Monday</v>
      </c>
      <c r="D486" s="3583" t="s">
        <v>3514</v>
      </c>
      <c r="E486" s="3762">
        <f t="shared" si="92"/>
      </c>
      <c r="F486" s="3514" t="s">
        <v>3513</v>
      </c>
      <c r="G486" s="3763"/>
      <c r="H486" s="3425" t="s">
        <v>3198</v>
      </c>
      <c r="I486" s="3435" t="s">
        <v>3107</v>
      </c>
      <c r="J486" s="3764"/>
      <c r="K486" s="3765"/>
      <c r="L486" s="3765"/>
      <c r="M486" s="3765"/>
      <c r="N486" s="3765"/>
      <c r="O486" s="3765"/>
      <c r="P486" s="3765"/>
    </row>
    <row customHeight="true" ht="18.452380952380953" r="487">
      <c r="A487" s="3449" t="s">
        <v>3515</v>
      </c>
      <c r="B487" s="3428">
        <v>46258</v>
      </c>
      <c r="C487" s="3449" t="str">
        <v>Monday</v>
      </c>
      <c r="D487" s="3421" t="s">
        <v>3157</v>
      </c>
      <c r="E487" s="3762">
        <f t="shared" si="92"/>
      </c>
      <c r="F487" s="3451" t="s">
        <v>3516</v>
      </c>
      <c r="G487" s="3653"/>
      <c r="H487" s="3451" t="s">
        <v>3198</v>
      </c>
      <c r="I487" s="3435" t="s">
        <v>3107</v>
      </c>
      <c r="J487" s="3426"/>
      <c r="K487" s="3427"/>
      <c r="L487" s="3427"/>
      <c r="M487" s="3427"/>
      <c r="N487" s="3427"/>
      <c r="O487" s="3427"/>
      <c r="P487" s="3427"/>
    </row>
    <row customHeight="true" ht="18.452380952380953" r="488">
      <c r="A488" s="3449" t="s">
        <v>3515</v>
      </c>
      <c r="B488" s="3428">
        <v>46258</v>
      </c>
      <c r="C488" s="3449" t="str">
        <v>Monday</v>
      </c>
      <c r="D488" s="3583" t="s">
        <v>3517</v>
      </c>
      <c r="E488" s="3762">
        <f t="shared" si="92"/>
      </c>
      <c r="F488" s="3514" t="s">
        <v>3518</v>
      </c>
      <c r="G488" s="3653"/>
      <c r="H488" s="3451" t="s">
        <v>3198</v>
      </c>
      <c r="I488" s="3435" t="s">
        <v>3107</v>
      </c>
      <c r="J488" s="3426"/>
      <c r="K488" s="3427"/>
      <c r="L488" s="3427"/>
      <c r="M488" s="3427"/>
      <c r="N488" s="3427"/>
      <c r="O488" s="3427"/>
      <c r="P488" s="3427"/>
    </row>
    <row customHeight="true" ht="18.452380952380953" r="489">
      <c r="A489" s="3449"/>
      <c r="B489" s="3449"/>
      <c r="C489" s="3449"/>
      <c r="D489" s="3583"/>
      <c r="E489" s="3762"/>
      <c r="F489" s="3514"/>
      <c r="G489" s="3763"/>
      <c r="H489" s="3425"/>
      <c r="I489" s="3435"/>
      <c r="J489" s="3764"/>
      <c r="K489" s="3765"/>
      <c r="L489" s="3765"/>
      <c r="M489" s="3765"/>
      <c r="N489" s="3765"/>
      <c r="O489" s="3765"/>
      <c r="P489" s="3765"/>
    </row>
    <row r="490">
      <c r="A490" s="3766" t="s">
        <v>3506</v>
      </c>
      <c r="B490" s="3767">
        <v>46259</v>
      </c>
      <c r="C490" s="3766" t="str">
        <v>Tuesday</v>
      </c>
      <c r="D490" s="3768" t="s">
        <v>3404</v>
      </c>
      <c r="E490" s="3769">
        <f t="shared" ref="E490:E494" si="93">24*MOD(TIMEVALUE(TRIM(MID(D490,FIND("-",D490)+1,LEN(D490)))) - TIMEVALUE(TRIM(LEFT(D490,FIND("-",D490)-1))),1)</f>
      </c>
      <c r="F490" s="3769" t="s">
        <v>3333</v>
      </c>
      <c r="G490" s="3770"/>
      <c r="H490" s="3425" t="s">
        <v>3198</v>
      </c>
      <c r="I490" s="3435" t="s">
        <v>3107</v>
      </c>
      <c r="J490" s="3771"/>
      <c r="K490" s="3765"/>
      <c r="L490" s="3765"/>
      <c r="M490" s="3765"/>
      <c r="N490" s="3765"/>
      <c r="O490" s="3765"/>
      <c r="P490" s="3765"/>
    </row>
    <row r="491">
      <c r="A491" s="3766" t="s">
        <v>3506</v>
      </c>
      <c r="B491" s="3767">
        <v>46259</v>
      </c>
      <c r="C491" s="3766" t="str">
        <v>Tuesday</v>
      </c>
      <c r="D491" s="3768" t="s">
        <v>3286</v>
      </c>
      <c r="E491" s="3769">
        <f t="shared" si="93"/>
      </c>
      <c r="F491" s="3772" t="s">
        <v>3509</v>
      </c>
      <c r="G491" s="3770"/>
      <c r="H491" s="3425" t="s">
        <v>3198</v>
      </c>
      <c r="I491" s="3435" t="s">
        <v>3107</v>
      </c>
      <c r="J491" s="3771"/>
      <c r="K491" s="3765"/>
      <c r="L491" s="3765"/>
      <c r="M491" s="3765"/>
      <c r="N491" s="3765"/>
      <c r="O491" s="3765"/>
      <c r="P491" s="3765"/>
    </row>
    <row r="492">
      <c r="A492" s="3766" t="s">
        <v>3506</v>
      </c>
      <c r="B492" s="3767">
        <v>46259</v>
      </c>
      <c r="C492" s="3766" t="str">
        <v>Tuesday</v>
      </c>
      <c r="D492" s="3768" t="s">
        <v>3157</v>
      </c>
      <c r="E492" s="3769">
        <f t="shared" si="93"/>
      </c>
      <c r="F492" s="3772" t="s">
        <v>3246</v>
      </c>
      <c r="G492" s="3770"/>
      <c r="H492" s="3425" t="s">
        <v>3198</v>
      </c>
      <c r="I492" s="3435" t="s">
        <v>3107</v>
      </c>
      <c r="J492" s="3771"/>
      <c r="K492" s="3765"/>
      <c r="L492" s="3765"/>
      <c r="M492" s="3765"/>
      <c r="N492" s="3765"/>
      <c r="O492" s="3765"/>
      <c r="P492" s="3765"/>
    </row>
    <row r="493">
      <c r="A493" s="3766" t="s">
        <v>3506</v>
      </c>
      <c r="B493" s="3767">
        <v>46259</v>
      </c>
      <c r="C493" s="3766" t="str">
        <v>Tuesday</v>
      </c>
      <c r="D493" s="3768" t="s">
        <v>3155</v>
      </c>
      <c r="E493" s="3769">
        <f t="shared" si="93"/>
      </c>
      <c r="F493" s="3769" t="s">
        <v>3519</v>
      </c>
      <c r="G493" s="3770"/>
      <c r="H493" s="3425" t="s">
        <v>3198</v>
      </c>
      <c r="I493" s="3435" t="s">
        <v>3107</v>
      </c>
      <c r="J493" s="3771"/>
      <c r="K493" s="3765"/>
      <c r="L493" s="3765"/>
      <c r="M493" s="3765"/>
      <c r="N493" s="3765"/>
      <c r="O493" s="3765"/>
      <c r="P493" s="3765"/>
    </row>
    <row customHeight="true" ht="18.452380952380953" r="494">
      <c r="A494" s="3766" t="s">
        <v>3506</v>
      </c>
      <c r="B494" s="3767">
        <v>46259</v>
      </c>
      <c r="C494" s="3766" t="str">
        <v>Tuesday</v>
      </c>
      <c r="D494" s="3768" t="s">
        <v>3511</v>
      </c>
      <c r="E494" s="3769">
        <f t="shared" si="93"/>
      </c>
      <c r="F494" s="3772" t="s">
        <v>3246</v>
      </c>
      <c r="G494" s="3770"/>
      <c r="H494" s="3514" t="s">
        <v>3198</v>
      </c>
      <c r="I494" s="3435" t="s">
        <v>3107</v>
      </c>
      <c r="J494" s="3771"/>
      <c r="K494" s="3765"/>
      <c r="L494" s="3765"/>
      <c r="M494" s="3765"/>
      <c r="N494" s="3765"/>
      <c r="O494" s="3765"/>
      <c r="P494" s="3765"/>
    </row>
    <row customHeight="true" ht="18.452380952380953" r="495">
      <c r="A495" s="3766"/>
      <c r="B495" s="3767"/>
      <c r="C495" s="3766"/>
      <c r="D495" s="3768"/>
      <c r="E495" s="3769"/>
      <c r="F495" s="3772"/>
      <c r="G495" s="3770"/>
      <c r="H495" s="3514"/>
      <c r="I495" s="3435"/>
      <c r="J495" s="3771"/>
      <c r="K495" s="3765"/>
      <c r="L495" s="3765"/>
      <c r="M495" s="3765"/>
      <c r="N495" s="3765"/>
      <c r="O495" s="3765"/>
      <c r="P495" s="3765"/>
    </row>
    <row customHeight="true" ht="18.452380952380953" r="496">
      <c r="A496" s="3773" t="s">
        <v>3512</v>
      </c>
      <c r="B496" s="3767">
        <v>46259</v>
      </c>
      <c r="C496" s="3773" t="str">
        <v>Tuesday</v>
      </c>
      <c r="D496" s="3768" t="s">
        <v>3520</v>
      </c>
      <c r="E496" s="3774">
        <f t="shared" ref="E496:E502" si="94">24*MOD(TIMEVALUE(TRIM(MID(D496,FIND("-",D496)+1,LEN(D496)))) - TIMEVALUE(TRIM(LEFT(D496,FIND("-",D496)-1))),1)</f>
      </c>
      <c r="F496" s="3774" t="s">
        <v>3518</v>
      </c>
      <c r="G496" s="3775"/>
      <c r="H496" s="3514" t="s">
        <v>3198</v>
      </c>
      <c r="I496" s="3435" t="s">
        <v>3140</v>
      </c>
      <c r="J496" s="3776"/>
      <c r="K496" s="3777"/>
      <c r="L496" s="3777"/>
      <c r="M496" s="3777"/>
      <c r="N496" s="3777"/>
      <c r="O496" s="3777"/>
      <c r="P496" s="3777"/>
    </row>
    <row customHeight="true" ht="18.452380952380953" r="497">
      <c r="A497" s="3773" t="s">
        <v>3512</v>
      </c>
      <c r="B497" s="3767">
        <v>46259</v>
      </c>
      <c r="C497" s="3773" t="str">
        <v>Tuesday</v>
      </c>
      <c r="D497" s="3768" t="s">
        <v>3132</v>
      </c>
      <c r="E497" s="3774">
        <f t="shared" si="94"/>
      </c>
      <c r="F497" s="3774" t="s">
        <v>3210</v>
      </c>
      <c r="G497" s="3775"/>
      <c r="H497" s="3514" t="s">
        <v>3198</v>
      </c>
      <c r="I497" s="3435" t="s">
        <v>3107</v>
      </c>
      <c r="J497" s="3776"/>
      <c r="K497" s="3777"/>
      <c r="L497" s="3777"/>
      <c r="M497" s="3777"/>
      <c r="N497" s="3777"/>
      <c r="O497" s="3777"/>
      <c r="P497" s="3777"/>
    </row>
    <row r="498">
      <c r="A498" s="3773" t="s">
        <v>3512</v>
      </c>
      <c r="B498" s="3767">
        <v>46259</v>
      </c>
      <c r="C498" s="3773" t="str">
        <v>Tuesday</v>
      </c>
      <c r="D498" s="3768" t="s">
        <v>3380</v>
      </c>
      <c r="E498" s="3774">
        <f t="shared" si="94"/>
      </c>
      <c r="F498" s="3774" t="s">
        <v>3136</v>
      </c>
      <c r="G498" s="3775"/>
      <c r="H498" s="3514" t="s">
        <v>3198</v>
      </c>
      <c r="I498" s="3435" t="s">
        <v>3107</v>
      </c>
      <c r="J498" s="3776"/>
      <c r="K498" s="3777"/>
      <c r="L498" s="3777"/>
      <c r="M498" s="3777"/>
      <c r="N498" s="3777"/>
      <c r="O498" s="3777"/>
      <c r="P498" s="3777"/>
    </row>
    <row r="499">
      <c r="A499" s="3766" t="s">
        <v>3512</v>
      </c>
      <c r="B499" s="3767">
        <v>46259</v>
      </c>
      <c r="C499" s="3766" t="str">
        <v>Tuesday</v>
      </c>
      <c r="D499" s="3768" t="s">
        <v>3157</v>
      </c>
      <c r="E499" s="3778">
        <f t="shared" si="94"/>
      </c>
      <c r="F499" s="3779" t="s">
        <v>3521</v>
      </c>
      <c r="G499" s="3780"/>
      <c r="H499" s="3514" t="s">
        <v>3198</v>
      </c>
      <c r="I499" s="3435" t="s">
        <v>3107</v>
      </c>
      <c r="J499" s="3781"/>
      <c r="K499" s="3427"/>
      <c r="L499" s="3427"/>
      <c r="M499" s="3427"/>
      <c r="N499" s="3427"/>
      <c r="O499" s="3427"/>
      <c r="P499" s="3427"/>
    </row>
    <row customHeight="true" ht="18.452380952380953" r="500">
      <c r="A500" s="3766" t="s">
        <v>3512</v>
      </c>
      <c r="B500" s="3767">
        <v>46259</v>
      </c>
      <c r="C500" s="3766" t="str">
        <v>Tuesday</v>
      </c>
      <c r="D500" s="3768" t="s">
        <v>3155</v>
      </c>
      <c r="E500" s="3778">
        <f t="shared" si="94"/>
      </c>
      <c r="F500" s="3772" t="s">
        <v>3428</v>
      </c>
      <c r="G500" s="3780"/>
      <c r="H500" s="3514" t="s">
        <v>3198</v>
      </c>
      <c r="I500" s="3435" t="s">
        <v>3107</v>
      </c>
      <c r="J500" s="3781"/>
      <c r="K500" s="3427"/>
      <c r="L500" s="3427"/>
      <c r="M500" s="3427"/>
      <c r="N500" s="3427"/>
      <c r="O500" s="3427"/>
      <c r="P500" s="3427"/>
    </row>
    <row r="501">
      <c r="A501" s="3766" t="s">
        <v>3512</v>
      </c>
      <c r="B501" s="3767">
        <v>46259</v>
      </c>
      <c r="C501" s="3766" t="str">
        <v>Tuesday</v>
      </c>
      <c r="D501" s="3768" t="s">
        <v>3514</v>
      </c>
      <c r="E501" s="3778">
        <f t="shared" si="94"/>
      </c>
      <c r="F501" s="3774" t="s">
        <v>3513</v>
      </c>
      <c r="G501" s="3780"/>
      <c r="H501" s="3425" t="s">
        <v>3198</v>
      </c>
      <c r="I501" s="3435" t="s">
        <v>3107</v>
      </c>
      <c r="J501" s="3782"/>
      <c r="K501" s="3427"/>
      <c r="L501" s="3427"/>
      <c r="M501" s="3427"/>
      <c r="N501" s="3427"/>
      <c r="O501" s="3427"/>
      <c r="P501" s="3427"/>
    </row>
    <row customHeight="true" ht="18.452380952380953" r="502">
      <c r="A502" s="3773" t="s">
        <v>3515</v>
      </c>
      <c r="B502" s="3767">
        <v>46259</v>
      </c>
      <c r="C502" s="3773" t="str">
        <v>Tuesday</v>
      </c>
      <c r="D502" s="3768" t="s">
        <v>3522</v>
      </c>
      <c r="E502" s="3774">
        <f t="shared" si="94"/>
      </c>
      <c r="F502" s="3774" t="s">
        <v>3518</v>
      </c>
      <c r="G502" s="3775"/>
      <c r="H502" s="3514" t="s">
        <v>3198</v>
      </c>
      <c r="I502" s="3435" t="s">
        <v>3140</v>
      </c>
      <c r="J502" s="3776"/>
      <c r="K502" s="3777"/>
      <c r="L502" s="3777"/>
      <c r="M502" s="3777"/>
      <c r="N502" s="3777"/>
      <c r="O502" s="3777"/>
      <c r="P502" s="3777"/>
    </row>
    <row customHeight="true" ht="18.452380952380953" r="503">
      <c r="A503" s="3766"/>
      <c r="B503" s="3766"/>
      <c r="C503" s="3766"/>
      <c r="D503" s="3783"/>
      <c r="E503" s="3778"/>
      <c r="F503" s="3769"/>
      <c r="G503" s="3780"/>
      <c r="H503" s="3425"/>
      <c r="I503" s="3435"/>
      <c r="J503" s="3782"/>
      <c r="K503" s="3427"/>
      <c r="L503" s="3427"/>
      <c r="M503" s="3427"/>
      <c r="N503" s="3427"/>
      <c r="O503" s="3427"/>
      <c r="P503" s="3427"/>
    </row>
    <row r="504">
      <c r="A504" s="3449" t="s">
        <v>3506</v>
      </c>
      <c r="B504" s="3428">
        <v>46263</v>
      </c>
      <c r="C504" s="3449" t="str">
        <v>Saturday</v>
      </c>
      <c r="D504" s="3421" t="s">
        <v>3404</v>
      </c>
      <c r="E504" s="3425">
        <f t="shared" ref="E504:E517" si="95">24*MOD(TIMEVALUE(TRIM(MID(D504,FIND("-",D504)+1,LEN(D504)))) - TIMEVALUE(TRIM(LEFT(D504,FIND("-",D504)-1))),1)</f>
      </c>
      <c r="F504" s="3451" t="s">
        <v>3222</v>
      </c>
      <c r="G504" s="3784"/>
      <c r="H504" s="3425" t="s">
        <v>3198</v>
      </c>
      <c r="I504" s="3435" t="s">
        <v>3107</v>
      </c>
      <c r="J504" s="3453"/>
      <c r="K504" s="3427"/>
      <c r="L504" s="3427"/>
      <c r="M504" s="3427"/>
      <c r="N504" s="3427"/>
      <c r="O504" s="3427"/>
      <c r="P504" s="3427"/>
    </row>
    <row customHeight="true" ht="18.452380952380953" r="505">
      <c r="A505" s="3449" t="s">
        <v>3506</v>
      </c>
      <c r="B505" s="3428">
        <v>46263</v>
      </c>
      <c r="C505" s="3449" t="str">
        <v>Saturday</v>
      </c>
      <c r="D505" s="3421" t="s">
        <v>3330</v>
      </c>
      <c r="E505" s="3425">
        <f t="shared" si="95"/>
      </c>
      <c r="F505" s="3514" t="s">
        <v>3510</v>
      </c>
      <c r="G505" s="3784"/>
      <c r="H505" s="3425" t="s">
        <v>3198</v>
      </c>
      <c r="I505" s="3435" t="s">
        <v>3107</v>
      </c>
      <c r="J505" s="3785"/>
      <c r="K505" s="3427"/>
      <c r="L505" s="3427"/>
      <c r="M505" s="3427"/>
      <c r="N505" s="3427"/>
      <c r="O505" s="3427"/>
      <c r="P505" s="3427"/>
    </row>
    <row r="506">
      <c r="A506" s="3449" t="s">
        <v>3506</v>
      </c>
      <c r="B506" s="3428">
        <v>46263</v>
      </c>
      <c r="C506" s="3449" t="str">
        <v>Saturday</v>
      </c>
      <c r="D506" s="3421" t="s">
        <v>3523</v>
      </c>
      <c r="E506" s="3425">
        <f t="shared" si="95"/>
      </c>
      <c r="F506" s="3514" t="s">
        <v>3333</v>
      </c>
      <c r="G506" s="3786"/>
      <c r="H506" s="3425" t="s">
        <v>3198</v>
      </c>
      <c r="I506" s="3435" t="s">
        <v>3107</v>
      </c>
      <c r="J506" s="3785"/>
      <c r="K506" s="3427"/>
      <c r="L506" s="3427"/>
      <c r="M506" s="3427"/>
      <c r="N506" s="3427"/>
      <c r="O506" s="3427"/>
      <c r="P506" s="3427"/>
    </row>
    <row customHeight="true" ht="18.452380952380953" r="507">
      <c r="A507" s="3454" t="s">
        <v>3506</v>
      </c>
      <c r="B507" s="3455">
        <v>46263</v>
      </c>
      <c r="C507" s="3454" t="str">
        <v>Saturday</v>
      </c>
      <c r="D507" s="3478" t="s">
        <v>3157</v>
      </c>
      <c r="E507" s="3458">
        <f t="shared" si="95"/>
      </c>
      <c r="F507" s="3787" t="s">
        <v>3246</v>
      </c>
      <c r="G507" s="3788"/>
      <c r="H507" s="3458" t="s">
        <v>3198</v>
      </c>
      <c r="I507" s="3543" t="s">
        <v>3107</v>
      </c>
      <c r="J507" s="3789" t="s">
        <v>3524</v>
      </c>
      <c r="K507" s="3460"/>
      <c r="L507" s="3460"/>
      <c r="M507" s="3460"/>
      <c r="N507" s="3460"/>
      <c r="O507" s="3460"/>
      <c r="P507" s="3460"/>
    </row>
    <row r="508">
      <c r="A508" s="3449" t="s">
        <v>3506</v>
      </c>
      <c r="B508" s="3428">
        <v>46263</v>
      </c>
      <c r="C508" s="3449" t="str">
        <v>Saturday</v>
      </c>
      <c r="D508" s="3421" t="s">
        <v>3155</v>
      </c>
      <c r="E508" s="3425">
        <f t="shared" si="95"/>
      </c>
      <c r="F508" s="3514" t="s">
        <v>3519</v>
      </c>
      <c r="G508" s="3784"/>
      <c r="H508" s="3425" t="s">
        <v>3198</v>
      </c>
      <c r="I508" s="3435" t="s">
        <v>3107</v>
      </c>
      <c r="J508" s="3785"/>
      <c r="K508" s="3427"/>
      <c r="L508" s="3427"/>
      <c r="M508" s="3427"/>
      <c r="N508" s="3427"/>
      <c r="O508" s="3427"/>
      <c r="P508" s="3427"/>
    </row>
    <row customHeight="true" ht="18.452380952380953" r="509">
      <c r="A509" s="3454" t="s">
        <v>3506</v>
      </c>
      <c r="B509" s="3455">
        <v>46263</v>
      </c>
      <c r="C509" s="3454" t="str">
        <v>Saturday</v>
      </c>
      <c r="D509" s="3478" t="s">
        <v>3514</v>
      </c>
      <c r="E509" s="3458">
        <f t="shared" si="95"/>
      </c>
      <c r="F509" s="3787" t="s">
        <v>3246</v>
      </c>
      <c r="G509" s="3788"/>
      <c r="H509" s="3458" t="s">
        <v>3198</v>
      </c>
      <c r="I509" s="3543" t="s">
        <v>3107</v>
      </c>
      <c r="J509" s="3789" t="s">
        <v>3524</v>
      </c>
      <c r="K509" s="3460"/>
      <c r="L509" s="3460"/>
      <c r="M509" s="3460"/>
      <c r="N509" s="3460"/>
      <c r="O509" s="3460"/>
      <c r="P509" s="3460"/>
    </row>
    <row customHeight="true" ht="18.452380952380953" r="510">
      <c r="A510" s="3449" t="s">
        <v>3506</v>
      </c>
      <c r="B510" s="3428">
        <v>46263</v>
      </c>
      <c r="C510" s="3449" t="str">
        <v>Saturday</v>
      </c>
      <c r="D510" s="3421" t="s">
        <v>3187</v>
      </c>
      <c r="E510" s="3425">
        <f t="shared" si="95"/>
      </c>
      <c r="F510" s="3514" t="s">
        <v>3525</v>
      </c>
      <c r="G510" s="3784"/>
      <c r="H510" s="3425" t="s">
        <v>3198</v>
      </c>
      <c r="I510" s="3435" t="s">
        <v>3107</v>
      </c>
      <c r="J510" s="3785"/>
      <c r="K510" s="3427"/>
      <c r="L510" s="3427"/>
      <c r="M510" s="3427"/>
      <c r="N510" s="3427"/>
      <c r="O510" s="3427"/>
      <c r="P510" s="3427"/>
    </row>
    <row customHeight="true" ht="18.452380952380953" r="511">
      <c r="A511" s="3449" t="s">
        <v>3506</v>
      </c>
      <c r="B511" s="3428">
        <v>46263</v>
      </c>
      <c r="C511" s="3449" t="str">
        <v>Saturday</v>
      </c>
      <c r="D511" s="3421" t="s">
        <v>3526</v>
      </c>
      <c r="E511" s="3425">
        <f t="shared" si="95"/>
      </c>
      <c r="F511" s="3514" t="s">
        <v>3519</v>
      </c>
      <c r="G511" s="3784"/>
      <c r="H511" s="3425" t="s">
        <v>3198</v>
      </c>
      <c r="I511" s="3435" t="s">
        <v>3107</v>
      </c>
      <c r="J511" s="3785"/>
      <c r="K511" s="3427"/>
      <c r="L511" s="3427"/>
      <c r="M511" s="3427"/>
      <c r="N511" s="3427"/>
      <c r="O511" s="3427"/>
      <c r="P511" s="3427"/>
    </row>
    <row r="512">
      <c r="A512" s="3449" t="s">
        <v>3512</v>
      </c>
      <c r="B512" s="3428">
        <v>46263</v>
      </c>
      <c r="C512" s="3449" t="str">
        <v>Saturday</v>
      </c>
      <c r="D512" s="3421" t="s">
        <v>3266</v>
      </c>
      <c r="E512" s="3762">
        <f t="shared" si="95"/>
      </c>
      <c r="F512" s="3709" t="s">
        <v>3521</v>
      </c>
      <c r="G512" s="3790"/>
      <c r="H512" s="3425" t="s">
        <v>3198</v>
      </c>
      <c r="I512" s="3435" t="s">
        <v>3107</v>
      </c>
      <c r="J512" s="3785"/>
      <c r="K512" s="3427"/>
      <c r="L512" s="3427"/>
      <c r="M512" s="3427"/>
      <c r="N512" s="3427"/>
      <c r="O512" s="3427"/>
      <c r="P512" s="3427"/>
    </row>
    <row customHeight="true" ht="18.452380952380953" r="513">
      <c r="A513" s="3449" t="s">
        <v>3512</v>
      </c>
      <c r="B513" s="3428">
        <v>46263</v>
      </c>
      <c r="C513" s="3449" t="str">
        <v>Saturday</v>
      </c>
      <c r="D513" s="3421" t="s">
        <v>3527</v>
      </c>
      <c r="E513" s="3762">
        <f t="shared" si="95"/>
      </c>
      <c r="F513" s="3514" t="s">
        <v>3135</v>
      </c>
      <c r="G513" s="3790"/>
      <c r="H513" s="3425" t="s">
        <v>3198</v>
      </c>
      <c r="I513" s="3435" t="s">
        <v>3140</v>
      </c>
      <c r="J513" s="3785"/>
      <c r="K513" s="3427"/>
      <c r="L513" s="3427"/>
      <c r="M513" s="3427"/>
      <c r="N513" s="3427"/>
      <c r="O513" s="3427"/>
      <c r="P513" s="3427"/>
    </row>
    <row r="514">
      <c r="A514" s="3449" t="s">
        <v>3512</v>
      </c>
      <c r="B514" s="3428">
        <v>46263</v>
      </c>
      <c r="C514" s="3449" t="str">
        <v>Saturday</v>
      </c>
      <c r="D514" s="3421" t="s">
        <v>3153</v>
      </c>
      <c r="E514" s="3762">
        <f t="shared" si="95"/>
      </c>
      <c r="F514" s="3761" t="s">
        <v>3428</v>
      </c>
      <c r="G514" s="3790"/>
      <c r="H514" s="3425" t="s">
        <v>3198</v>
      </c>
      <c r="I514" s="3435" t="s">
        <v>3107</v>
      </c>
      <c r="J514" s="3785"/>
      <c r="K514" s="3427"/>
      <c r="L514" s="3427"/>
      <c r="M514" s="3427"/>
      <c r="N514" s="3427"/>
      <c r="O514" s="3427"/>
      <c r="P514" s="3427"/>
    </row>
    <row customHeight="true" ht="18.452380952380953" r="515">
      <c r="A515" s="3449" t="s">
        <v>3512</v>
      </c>
      <c r="B515" s="3428">
        <v>46263</v>
      </c>
      <c r="C515" s="3449" t="str">
        <v>Saturday</v>
      </c>
      <c r="D515" s="3421" t="s">
        <v>3160</v>
      </c>
      <c r="E515" s="3762">
        <f t="shared" si="95"/>
      </c>
      <c r="F515" s="3514" t="s">
        <v>3135</v>
      </c>
      <c r="G515" s="3790"/>
      <c r="H515" s="3425" t="s">
        <v>3198</v>
      </c>
      <c r="I515" s="3435" t="s">
        <v>3140</v>
      </c>
      <c r="J515" s="3785"/>
      <c r="K515" s="3427"/>
      <c r="L515" s="3427"/>
      <c r="M515" s="3427"/>
      <c r="N515" s="3427"/>
      <c r="O515" s="3427"/>
      <c r="P515" s="3427"/>
    </row>
    <row r="516">
      <c r="A516" s="3449" t="s">
        <v>3512</v>
      </c>
      <c r="B516" s="3428">
        <v>46263</v>
      </c>
      <c r="C516" s="3449" t="str">
        <v>Saturday</v>
      </c>
      <c r="D516" s="3583" t="s">
        <v>3514</v>
      </c>
      <c r="E516" s="3762">
        <f t="shared" si="95"/>
      </c>
      <c r="F516" s="3514" t="s">
        <v>3513</v>
      </c>
      <c r="G516" s="3790"/>
      <c r="H516" s="3425" t="s">
        <v>3198</v>
      </c>
      <c r="I516" s="3435" t="s">
        <v>3107</v>
      </c>
      <c r="J516" s="3785"/>
      <c r="K516" s="3427"/>
      <c r="L516" s="3427"/>
      <c r="M516" s="3427"/>
      <c r="N516" s="3427"/>
      <c r="O516" s="3427"/>
      <c r="P516" s="3427"/>
    </row>
    <row customHeight="true" ht="18.452380952380953" r="517">
      <c r="A517" s="3454" t="s">
        <v>3515</v>
      </c>
      <c r="B517" s="3455">
        <v>46263</v>
      </c>
      <c r="C517" s="3454" t="str">
        <v>Saturday</v>
      </c>
      <c r="D517" s="3478" t="s">
        <v>3157</v>
      </c>
      <c r="E517" s="3710">
        <f t="shared" si="95"/>
      </c>
      <c r="F517" s="3458" t="s">
        <v>3516</v>
      </c>
      <c r="G517" s="3591"/>
      <c r="H517" s="3458" t="s">
        <v>3198</v>
      </c>
      <c r="I517" s="3543" t="s">
        <v>3107</v>
      </c>
      <c r="J517" s="3481" t="s">
        <v>3528</v>
      </c>
      <c r="K517" s="3460"/>
      <c r="L517" s="3460"/>
      <c r="M517" s="3460"/>
      <c r="N517" s="3460"/>
      <c r="O517" s="3460"/>
      <c r="P517" s="3460"/>
    </row>
    <row customHeight="true" ht="18.452380952380953" r="518">
      <c r="A518" s="3449"/>
      <c r="B518" s="3449"/>
      <c r="C518" s="3449"/>
      <c r="D518" s="3583"/>
      <c r="E518" s="3762"/>
      <c r="F518" s="3514"/>
      <c r="G518" s="3790"/>
      <c r="H518" s="3425"/>
      <c r="I518" s="3435"/>
      <c r="J518" s="3785"/>
      <c r="K518" s="3427"/>
      <c r="L518" s="3427"/>
      <c r="M518" s="3427"/>
      <c r="N518" s="3427"/>
      <c r="O518" s="3427"/>
      <c r="P518" s="3427"/>
    </row>
    <row r="519">
      <c r="A519" s="3766" t="s">
        <v>3506</v>
      </c>
      <c r="B519" s="3767">
        <v>46264</v>
      </c>
      <c r="C519" s="3766" t="str">
        <v>Sunday</v>
      </c>
      <c r="D519" s="3783" t="s">
        <v>3404</v>
      </c>
      <c r="E519" s="3769">
        <f t="shared" ref="E519:E525" si="96">24*MOD(TIMEVALUE(TRIM(MID(D519,FIND("-",D519)+1,LEN(D519)))) - TIMEVALUE(TRIM(LEFT(D519,FIND("-",D519)-1))),1)</f>
      </c>
      <c r="F519" s="3774" t="s">
        <v>3222</v>
      </c>
      <c r="G519" s="3791"/>
      <c r="H519" s="3425" t="s">
        <v>3198</v>
      </c>
      <c r="I519" s="3435" t="s">
        <v>3107</v>
      </c>
      <c r="J519" s="3785"/>
      <c r="K519" s="3427"/>
      <c r="L519" s="3427"/>
      <c r="M519" s="3427"/>
      <c r="N519" s="3427"/>
      <c r="O519" s="3427"/>
      <c r="P519" s="3427"/>
    </row>
    <row r="520">
      <c r="A520" s="3766" t="s">
        <v>3506</v>
      </c>
      <c r="B520" s="3767">
        <v>46264</v>
      </c>
      <c r="C520" s="3766" t="str">
        <v>Sunday</v>
      </c>
      <c r="D520" s="3783" t="s">
        <v>3286</v>
      </c>
      <c r="E520" s="3769">
        <f t="shared" si="96"/>
      </c>
      <c r="F520" s="3772" t="s">
        <v>3509</v>
      </c>
      <c r="G520" s="3791"/>
      <c r="H520" s="3425" t="s">
        <v>3198</v>
      </c>
      <c r="I520" s="3435" t="s">
        <v>3107</v>
      </c>
      <c r="J520" s="3785"/>
      <c r="K520" s="3427"/>
      <c r="L520" s="3427"/>
      <c r="M520" s="3427"/>
      <c r="N520" s="3427"/>
      <c r="O520" s="3427"/>
      <c r="P520" s="3427"/>
    </row>
    <row customHeight="true" ht="18.452380952380953" r="521">
      <c r="A521" s="3454" t="s">
        <v>3506</v>
      </c>
      <c r="B521" s="3455">
        <v>46264</v>
      </c>
      <c r="C521" s="3454" t="str">
        <v>Sunday</v>
      </c>
      <c r="D521" s="3478" t="s">
        <v>3157</v>
      </c>
      <c r="E521" s="3458">
        <f t="shared" si="96"/>
      </c>
      <c r="F521" s="3787" t="s">
        <v>3246</v>
      </c>
      <c r="G521" s="3788"/>
      <c r="H521" s="3458" t="s">
        <v>3198</v>
      </c>
      <c r="I521" s="3543" t="s">
        <v>3107</v>
      </c>
      <c r="J521" s="3789" t="s">
        <v>3524</v>
      </c>
      <c r="K521" s="3460"/>
      <c r="L521" s="3460"/>
      <c r="M521" s="3460"/>
      <c r="N521" s="3460"/>
      <c r="O521" s="3460"/>
      <c r="P521" s="3460"/>
    </row>
    <row customHeight="true" ht="18.452380952380953" r="522">
      <c r="A522" s="3766" t="s">
        <v>3506</v>
      </c>
      <c r="B522" s="3767">
        <v>46264</v>
      </c>
      <c r="C522" s="3766" t="str">
        <v>Sunday</v>
      </c>
      <c r="D522" s="3783" t="s">
        <v>3157</v>
      </c>
      <c r="E522" s="3769">
        <f t="shared" si="96"/>
      </c>
      <c r="F522" s="3769" t="s">
        <v>3525</v>
      </c>
      <c r="G522" s="3791"/>
      <c r="H522" s="3425" t="s">
        <v>3198</v>
      </c>
      <c r="I522" s="3435" t="s">
        <v>3107</v>
      </c>
      <c r="J522" s="3785"/>
      <c r="K522" s="3427"/>
      <c r="L522" s="3427"/>
      <c r="M522" s="3427"/>
      <c r="N522" s="3427"/>
      <c r="O522" s="3427"/>
      <c r="P522" s="3427"/>
    </row>
    <row r="523">
      <c r="A523" s="3766" t="s">
        <v>3506</v>
      </c>
      <c r="B523" s="3767">
        <v>46264</v>
      </c>
      <c r="C523" s="3766" t="str">
        <v>Sunday</v>
      </c>
      <c r="D523" s="3783" t="s">
        <v>3155</v>
      </c>
      <c r="E523" s="3769">
        <f t="shared" si="96"/>
      </c>
      <c r="F523" s="3769" t="s">
        <v>3519</v>
      </c>
      <c r="G523" s="3791"/>
      <c r="H523" s="3425" t="s">
        <v>3198</v>
      </c>
      <c r="I523" s="3435" t="s">
        <v>3107</v>
      </c>
      <c r="J523" s="3785"/>
      <c r="K523" s="3427"/>
      <c r="L523" s="3427"/>
      <c r="M523" s="3427"/>
      <c r="N523" s="3427"/>
      <c r="O523" s="3427"/>
      <c r="P523" s="3427"/>
    </row>
    <row r="524">
      <c r="A524" s="3454" t="s">
        <v>3506</v>
      </c>
      <c r="B524" s="3455">
        <v>46264</v>
      </c>
      <c r="C524" s="3454" t="str">
        <v>Sunday</v>
      </c>
      <c r="D524" s="3478" t="s">
        <v>3514</v>
      </c>
      <c r="E524" s="3458">
        <f t="shared" si="96"/>
      </c>
      <c r="F524" s="3787" t="s">
        <v>3246</v>
      </c>
      <c r="G524" s="3788"/>
      <c r="H524" s="3458" t="s">
        <v>3198</v>
      </c>
      <c r="I524" s="3543" t="s">
        <v>3107</v>
      </c>
      <c r="J524" s="3789" t="s">
        <v>3524</v>
      </c>
      <c r="K524" s="3460"/>
      <c r="L524" s="3460"/>
      <c r="M524" s="3460"/>
      <c r="N524" s="3460"/>
      <c r="O524" s="3460"/>
      <c r="P524" s="3460"/>
    </row>
    <row customHeight="true" ht="18.452380952380953" r="525">
      <c r="A525" s="3766" t="s">
        <v>3506</v>
      </c>
      <c r="B525" s="3767">
        <v>46264</v>
      </c>
      <c r="C525" s="3766" t="str">
        <v>Sunday</v>
      </c>
      <c r="D525" s="3783" t="s">
        <v>3514</v>
      </c>
      <c r="E525" s="3769">
        <f t="shared" si="96"/>
      </c>
      <c r="F525" s="3772" t="s">
        <v>3509</v>
      </c>
      <c r="G525" s="3791"/>
      <c r="H525" s="3425" t="s">
        <v>3198</v>
      </c>
      <c r="I525" s="3435" t="s">
        <v>3107</v>
      </c>
      <c r="J525" s="3785"/>
      <c r="K525" s="3427"/>
      <c r="L525" s="3427"/>
      <c r="M525" s="3427"/>
      <c r="N525" s="3427"/>
      <c r="O525" s="3427"/>
      <c r="P525" s="3427"/>
    </row>
    <row customHeight="true" ht="18.452380952380953" r="526">
      <c r="A526" s="3766"/>
      <c r="B526" s="3767"/>
      <c r="C526" s="3766"/>
      <c r="D526" s="3783"/>
      <c r="E526" s="3769"/>
      <c r="F526" s="3772"/>
      <c r="G526" s="3791"/>
      <c r="H526" s="3425"/>
      <c r="I526" s="3435"/>
      <c r="J526" s="3785"/>
      <c r="K526" s="3427"/>
      <c r="L526" s="3427"/>
      <c r="M526" s="3427"/>
      <c r="N526" s="3427"/>
      <c r="O526" s="3427"/>
      <c r="P526" s="3427"/>
    </row>
    <row customHeight="true" ht="18.452380952380953" r="527">
      <c r="A527" s="3766" t="s">
        <v>3512</v>
      </c>
      <c r="B527" s="3767">
        <v>46264</v>
      </c>
      <c r="C527" s="3766" t="s">
        <v>3529</v>
      </c>
      <c r="D527" s="3783" t="s">
        <v>3383</v>
      </c>
      <c r="E527" s="3779">
        <f t="shared" ref="E527:E531" si="97">24*MOD(TIMEVALUE(TRIM(MID(D527,FIND("-",D527)+1,LEN(D527)))) - TIMEVALUE(TRIM(LEFT(D527,FIND("-",D527)-1))),1)</f>
      </c>
      <c r="F527" s="3774" t="s">
        <v>3518</v>
      </c>
      <c r="G527" s="3792"/>
      <c r="H527" s="3425" t="s">
        <v>3198</v>
      </c>
      <c r="I527" s="3435" t="s">
        <v>3140</v>
      </c>
      <c r="J527" s="3785"/>
      <c r="K527" s="3427"/>
      <c r="L527" s="3427"/>
      <c r="M527" s="3427"/>
      <c r="N527" s="3427"/>
      <c r="O527" s="3427"/>
      <c r="P527" s="3427"/>
    </row>
    <row r="528">
      <c r="A528" s="3766" t="s">
        <v>3512</v>
      </c>
      <c r="B528" s="3767">
        <v>46264</v>
      </c>
      <c r="C528" s="3766" t="s">
        <v>3529</v>
      </c>
      <c r="D528" s="3783" t="s">
        <v>3174</v>
      </c>
      <c r="E528" s="3779">
        <f t="shared" si="97"/>
      </c>
      <c r="F528" s="3774" t="s">
        <v>3135</v>
      </c>
      <c r="G528" s="3793"/>
      <c r="H528" s="3794" t="s">
        <v>3198</v>
      </c>
      <c r="I528" s="3435" t="s">
        <v>3140</v>
      </c>
      <c r="J528" s="3785"/>
      <c r="K528" s="3427"/>
      <c r="L528" s="3427"/>
      <c r="M528" s="3427"/>
      <c r="N528" s="3427"/>
      <c r="O528" s="3427"/>
      <c r="P528" s="3427"/>
    </row>
    <row customHeight="true" ht="18.452380952380953" r="529">
      <c r="A529" s="3766" t="s">
        <v>3512</v>
      </c>
      <c r="B529" s="3767">
        <v>46264</v>
      </c>
      <c r="C529" s="3766" t="s">
        <v>3529</v>
      </c>
      <c r="D529" s="3783" t="s">
        <v>3287</v>
      </c>
      <c r="E529" s="3779">
        <f t="shared" si="97"/>
      </c>
      <c r="F529" s="3774" t="s">
        <v>3513</v>
      </c>
      <c r="G529" s="3791"/>
      <c r="H529" s="3425" t="s">
        <v>3198</v>
      </c>
      <c r="I529" s="3435"/>
      <c r="J529" s="3785"/>
      <c r="K529" s="3427"/>
      <c r="L529" s="3427"/>
      <c r="M529" s="3427"/>
      <c r="N529" s="3427"/>
      <c r="O529" s="3427"/>
      <c r="P529" s="3427"/>
    </row>
    <row customHeight="true" ht="18.452380952380953" r="530">
      <c r="A530" s="3766" t="s">
        <v>3512</v>
      </c>
      <c r="B530" s="3767">
        <v>46264</v>
      </c>
      <c r="C530" s="3766" t="s">
        <v>3529</v>
      </c>
      <c r="D530" s="3783" t="s">
        <v>3155</v>
      </c>
      <c r="E530" s="3779">
        <f t="shared" si="97"/>
      </c>
      <c r="F530" s="3774" t="s">
        <v>3135</v>
      </c>
      <c r="G530" s="3792"/>
      <c r="H530" s="3425" t="s">
        <v>3198</v>
      </c>
      <c r="I530" s="3435" t="s">
        <v>3140</v>
      </c>
      <c r="J530" s="3785"/>
      <c r="K530" s="3427"/>
      <c r="L530" s="3427"/>
      <c r="M530" s="3427"/>
      <c r="N530" s="3427"/>
      <c r="O530" s="3427"/>
      <c r="P530" s="3427"/>
    </row>
    <row customHeight="true" ht="18.452380952380953" r="531">
      <c r="A531" s="3766" t="s">
        <v>3512</v>
      </c>
      <c r="B531" s="3767">
        <v>46264</v>
      </c>
      <c r="C531" s="3766" t="s">
        <v>3529</v>
      </c>
      <c r="D531" s="3783" t="s">
        <v>3514</v>
      </c>
      <c r="E531" s="3779">
        <f t="shared" si="97"/>
      </c>
      <c r="F531" s="3774" t="s">
        <v>3513</v>
      </c>
      <c r="G531" s="3792"/>
      <c r="H531" s="3425" t="s">
        <v>3198</v>
      </c>
      <c r="I531" s="3435" t="s">
        <v>3107</v>
      </c>
      <c r="J531" s="3785"/>
      <c r="K531" s="3427"/>
      <c r="L531" s="3427"/>
      <c r="M531" s="3427"/>
      <c r="N531" s="3427"/>
      <c r="O531" s="3427"/>
      <c r="P531" s="3427"/>
    </row>
    <row customHeight="true" ht="18.452380952380953" r="532">
      <c r="A532" s="3766"/>
      <c r="B532" s="3767"/>
      <c r="C532" s="3766"/>
      <c r="D532" s="3783"/>
      <c r="E532" s="3779"/>
      <c r="F532" s="3774"/>
      <c r="G532" s="3792"/>
      <c r="H532" s="3425"/>
      <c r="I532" s="3435"/>
      <c r="J532" s="3785"/>
      <c r="K532" s="3427"/>
      <c r="L532" s="3427"/>
      <c r="M532" s="3427"/>
      <c r="N532" s="3427"/>
      <c r="O532" s="3427"/>
      <c r="P532" s="3427"/>
    </row>
    <row r="533">
      <c r="A533" s="3795"/>
      <c r="B533" s="3795"/>
      <c r="C533" s="3795"/>
      <c r="D533" s="3795"/>
      <c r="E533" s="3795"/>
      <c r="F533" s="3795"/>
      <c r="G533" s="3795"/>
      <c r="H533" s="3795"/>
      <c r="I533" s="3795"/>
      <c r="J533" s="3699"/>
      <c r="K533" s="3427"/>
      <c r="L533" s="3427"/>
      <c r="M533" s="3427"/>
      <c r="N533" s="3427"/>
      <c r="O533" s="3427"/>
      <c r="P533" s="3427"/>
    </row>
    <row r="534">
      <c r="A534" s="3755" t="s">
        <v>3530</v>
      </c>
      <c r="B534" s="3755"/>
      <c r="C534" s="3755"/>
      <c r="D534" s="3755"/>
      <c r="E534" s="3755"/>
      <c r="F534" s="3755"/>
      <c r="G534" s="3755"/>
      <c r="H534" s="3755"/>
      <c r="I534" s="3755"/>
      <c r="J534" s="3756"/>
      <c r="K534" s="3467"/>
      <c r="L534" s="3467"/>
      <c r="M534" s="3467"/>
      <c r="N534" s="3467"/>
      <c r="O534" s="3467"/>
      <c r="P534" s="3467"/>
    </row>
    <row r="535">
      <c r="A535" s="3757" t="s">
        <v>3122</v>
      </c>
      <c r="B535" s="3607" t="s">
        <v>3123</v>
      </c>
      <c r="C535" s="3607"/>
      <c r="D535" s="3609" t="s">
        <v>3124</v>
      </c>
      <c r="E535" s="3758" t="s">
        <v>3125</v>
      </c>
      <c r="F535" s="3758" t="s">
        <v>3126</v>
      </c>
      <c r="G535" s="3759" t="s">
        <v>3148</v>
      </c>
      <c r="H535" s="3758" t="s">
        <v>3128</v>
      </c>
      <c r="I535" s="3758" t="s">
        <v>3129</v>
      </c>
      <c r="J535" s="3612" t="s">
        <v>3130</v>
      </c>
      <c r="K535" s="3448"/>
      <c r="L535" s="3448"/>
      <c r="M535" s="3448"/>
      <c r="N535" s="3448"/>
      <c r="O535" s="3448"/>
      <c r="P535" s="3448"/>
    </row>
    <row r="536">
      <c r="A536" s="3796" t="s">
        <v>3531</v>
      </c>
      <c r="B536" s="3428">
        <v>46261</v>
      </c>
      <c r="C536" s="3449" t="str">
        <v>Thursday</v>
      </c>
      <c r="D536" s="3450" t="s">
        <v>3532</v>
      </c>
      <c r="E536" s="3425">
        <f t="shared" ref="E536:E539" si="98">24*MOD(TIMEVALUE(TRIM(MID(D536,FIND("-",D536)+1,LEN(D536)))) - TIMEVALUE(TRIM(LEFT(D536,FIND("-",D536)-1))),1)</f>
      </c>
      <c r="F536" s="3514" t="s">
        <v>3510</v>
      </c>
      <c r="G536" s="3797"/>
      <c r="H536" s="3425"/>
      <c r="I536" s="3451" t="s">
        <v>3107</v>
      </c>
      <c r="J536" s="3798"/>
      <c r="K536" s="3427"/>
      <c r="L536" s="3427"/>
      <c r="M536" s="3427"/>
      <c r="N536" s="3427"/>
      <c r="O536" s="3427"/>
      <c r="P536" s="3427"/>
    </row>
    <row r="537">
      <c r="A537" s="3796" t="s">
        <v>3531</v>
      </c>
      <c r="B537" s="3428">
        <v>46264</v>
      </c>
      <c r="C537" s="3449" t="str">
        <v>Sunday</v>
      </c>
      <c r="D537" s="3450" t="s">
        <v>3532</v>
      </c>
      <c r="E537" s="3425">
        <f t="shared" si="98"/>
      </c>
      <c r="F537" s="3514"/>
      <c r="G537" s="3797"/>
      <c r="H537" s="3425"/>
      <c r="I537" s="3451" t="s">
        <v>3140</v>
      </c>
      <c r="J537" s="3798"/>
      <c r="K537" s="3427"/>
      <c r="L537" s="3427"/>
      <c r="M537" s="3427"/>
      <c r="N537" s="3427"/>
      <c r="O537" s="3427"/>
      <c r="P537" s="3427"/>
    </row>
    <row customHeight="true" ht="18.452380952380953" r="538">
      <c r="A538" s="3796" t="s">
        <v>3533</v>
      </c>
      <c r="B538" s="3428">
        <v>46261</v>
      </c>
      <c r="C538" s="3449" t="str">
        <v>Thursday</v>
      </c>
      <c r="D538" s="3450" t="s">
        <v>3534</v>
      </c>
      <c r="E538" s="3425">
        <f t="shared" si="98"/>
      </c>
      <c r="F538" s="3514" t="s">
        <v>3513</v>
      </c>
      <c r="G538" s="3797"/>
      <c r="H538" s="3425"/>
      <c r="I538" s="3451" t="s">
        <v>3107</v>
      </c>
      <c r="J538" s="3798"/>
      <c r="K538" s="3427"/>
      <c r="L538" s="3427"/>
      <c r="M538" s="3427"/>
      <c r="N538" s="3427"/>
      <c r="O538" s="3427"/>
      <c r="P538" s="3427"/>
    </row>
    <row customHeight="true" ht="18.452380952380953" r="539">
      <c r="A539" s="3799" t="s">
        <v>3535</v>
      </c>
      <c r="B539" s="3455">
        <v>46261</v>
      </c>
      <c r="C539" s="3454" t="str">
        <v>Thursday</v>
      </c>
      <c r="D539" s="3478" t="s">
        <v>3536</v>
      </c>
      <c r="E539" s="3458">
        <f t="shared" si="98"/>
      </c>
      <c r="F539" s="3458" t="s">
        <v>3516</v>
      </c>
      <c r="G539" s="3800"/>
      <c r="H539" s="3458"/>
      <c r="I539" s="3543" t="s">
        <v>3107</v>
      </c>
      <c r="J539" s="3801"/>
      <c r="K539" s="3460"/>
      <c r="L539" s="3460"/>
      <c r="M539" s="3460"/>
      <c r="N539" s="3460"/>
      <c r="O539" s="3460"/>
      <c r="P539" s="3460"/>
    </row>
    <row r="540">
      <c r="A540" s="3796"/>
      <c r="B540" s="3449"/>
      <c r="C540" s="3449"/>
      <c r="D540" s="3425"/>
      <c r="E540" s="3425"/>
      <c r="F540" s="3425"/>
      <c r="G540" s="3802"/>
      <c r="H540" s="3425"/>
      <c r="I540" s="3769"/>
      <c r="J540" s="3798"/>
      <c r="K540" s="3427"/>
      <c r="L540" s="3427"/>
      <c r="M540" s="3427"/>
      <c r="N540" s="3427"/>
      <c r="O540" s="3427"/>
      <c r="P540" s="3427"/>
    </row>
    <row customHeight="true" ht="16.071428571428573" r="541">
      <c r="A541" s="3796"/>
      <c r="B541" s="3449"/>
      <c r="C541" s="3449"/>
      <c r="D541" s="3425"/>
      <c r="E541" s="3425"/>
      <c r="F541" s="3425"/>
      <c r="G541" s="3802"/>
      <c r="H541" s="3425"/>
      <c r="I541" s="3769"/>
      <c r="J541" s="3798"/>
      <c r="K541" s="3427"/>
      <c r="L541" s="3427"/>
      <c r="M541" s="3427"/>
      <c r="N541" s="3427"/>
      <c r="O541" s="3427"/>
      <c r="P541" s="3427"/>
    </row>
    <row customHeight="true" ht="33.23485645144371" r="542">
      <c r="A542" s="3803" t="s">
        <v>3537</v>
      </c>
      <c r="B542" s="3803"/>
      <c r="C542" s="3803"/>
      <c r="D542" s="3803"/>
      <c r="E542" s="3803"/>
      <c r="F542" s="3803"/>
      <c r="G542" s="3803"/>
      <c r="H542" s="3803"/>
      <c r="I542" s="3803"/>
      <c r="J542" s="3804"/>
      <c r="K542" s="3467"/>
      <c r="L542" s="3467"/>
      <c r="M542" s="3467"/>
      <c r="N542" s="3467"/>
      <c r="O542" s="3467"/>
      <c r="P542" s="3467"/>
    </row>
    <row customHeight="true" ht="27.760108931548054" r="543">
      <c r="A543" s="3805" t="s">
        <v>3122</v>
      </c>
      <c r="B543" s="3806" t="s">
        <v>3123</v>
      </c>
      <c r="C543" s="3806"/>
      <c r="D543" s="3807" t="s">
        <v>3124</v>
      </c>
      <c r="E543" s="3807" t="s">
        <v>3125</v>
      </c>
      <c r="F543" s="3807" t="s">
        <v>3126</v>
      </c>
      <c r="G543" s="3808" t="s">
        <v>3148</v>
      </c>
      <c r="H543" s="3807" t="s">
        <v>3128</v>
      </c>
      <c r="I543" s="3807" t="s">
        <v>3129</v>
      </c>
      <c r="J543" s="3809" t="s">
        <v>3130</v>
      </c>
      <c r="K543" s="3448"/>
      <c r="L543" s="3448"/>
      <c r="M543" s="3448"/>
      <c r="N543" s="3448"/>
      <c r="O543" s="3448"/>
      <c r="P543" s="3448"/>
    </row>
    <row customHeight="true" ht="16.071428571428573" r="544">
      <c r="A544" s="3449" t="s">
        <v>3538</v>
      </c>
      <c r="B544" s="3428">
        <v>46259</v>
      </c>
      <c r="C544" s="3449" t="str">
        <v>Tuesday</v>
      </c>
      <c r="D544" s="3421" t="s">
        <v>3330</v>
      </c>
      <c r="E544" s="3425">
        <f t="shared" ref="E544:E547" si="99">24*MOD(TIMEVALUE(TRIM(MID(D544,FIND("-",D544)+1,LEN(D544)))) - TIMEVALUE(TRIM(LEFT(D544,FIND("-",D544)-1))),1)</f>
      </c>
      <c r="F544" s="3514" t="s">
        <v>3352</v>
      </c>
      <c r="G544" s="3588"/>
      <c r="H544" s="3425" t="s">
        <v>3198</v>
      </c>
      <c r="I544" s="3451" t="s">
        <v>3107</v>
      </c>
      <c r="J544" s="3453"/>
      <c r="K544" s="3427"/>
      <c r="L544" s="3427"/>
      <c r="M544" s="3427"/>
      <c r="N544" s="3427"/>
      <c r="O544" s="3427"/>
      <c r="P544" s="3427"/>
    </row>
    <row customHeight="true" ht="16.071428571428573" r="545">
      <c r="A545" s="3454" t="s">
        <v>3538</v>
      </c>
      <c r="B545" s="3455">
        <v>46260</v>
      </c>
      <c r="C545" s="3454" t="str">
        <v>Wednesday</v>
      </c>
      <c r="D545" s="3478" t="s">
        <v>3330</v>
      </c>
      <c r="E545" s="3710">
        <f t="shared" si="99"/>
      </c>
      <c r="F545" s="3458" t="s">
        <v>3352</v>
      </c>
      <c r="G545" s="3810"/>
      <c r="H545" s="3710" t="s">
        <v>3198</v>
      </c>
      <c r="I545" s="3458" t="s">
        <v>3107</v>
      </c>
      <c r="J545" s="3748" t="s">
        <v>3539</v>
      </c>
      <c r="K545" s="3811"/>
      <c r="L545" s="3811"/>
      <c r="M545" s="3811"/>
      <c r="N545" s="3811"/>
      <c r="O545" s="3811"/>
      <c r="P545" s="3811"/>
    </row>
    <row customHeight="true" ht="16.071428571428573" r="546">
      <c r="A546" s="3454" t="s">
        <v>3538</v>
      </c>
      <c r="B546" s="3455">
        <v>46261</v>
      </c>
      <c r="C546" s="3454" t="str">
        <v>Thursday</v>
      </c>
      <c r="D546" s="3681" t="s">
        <v>3313</v>
      </c>
      <c r="E546" s="3710">
        <f t="shared" si="99"/>
      </c>
      <c r="F546" s="3458" t="s">
        <v>3540</v>
      </c>
      <c r="G546" s="3810"/>
      <c r="H546" s="3710" t="s">
        <v>3198</v>
      </c>
      <c r="I546" s="3458" t="s">
        <v>3107</v>
      </c>
      <c r="J546" s="3748" t="s">
        <v>3541</v>
      </c>
      <c r="K546" s="3811"/>
      <c r="L546" s="3811"/>
      <c r="M546" s="3811"/>
      <c r="N546" s="3811"/>
      <c r="O546" s="3811"/>
      <c r="P546" s="3811"/>
    </row>
    <row customHeight="true" ht="16.071428571428573" r="547">
      <c r="A547" s="3812" t="s">
        <v>3538</v>
      </c>
      <c r="B547" s="3813">
        <v>46263</v>
      </c>
      <c r="C547" s="3812" t="str">
        <v>Saturday</v>
      </c>
      <c r="D547" s="3814" t="s">
        <v>3164</v>
      </c>
      <c r="E547" s="3815">
        <f t="shared" si="99"/>
      </c>
      <c r="F547" s="3816" t="s">
        <v>3224</v>
      </c>
      <c r="G547" s="3817" t="s">
        <v>3542</v>
      </c>
      <c r="H547" s="3815" t="s">
        <v>3198</v>
      </c>
      <c r="I547" s="3435" t="s">
        <v>3107</v>
      </c>
      <c r="J547" s="3818"/>
      <c r="K547" s="3765"/>
      <c r="L547" s="3765"/>
      <c r="M547" s="3765"/>
      <c r="N547" s="3765"/>
      <c r="O547" s="3765"/>
      <c r="P547" s="3765"/>
    </row>
    <row customHeight="true" ht="16.071428571428573" r="548">
      <c r="A548" s="3582"/>
      <c r="B548" s="3581"/>
      <c r="C548" s="3582"/>
      <c r="D548" s="3583"/>
      <c r="E548" s="3514"/>
      <c r="F548" s="3709"/>
      <c r="G548" s="3655"/>
      <c r="H548" s="3514"/>
      <c r="I548" s="3451"/>
      <c r="J548" s="3664"/>
      <c r="K548" s="3427"/>
      <c r="L548" s="3427"/>
      <c r="M548" s="3427"/>
      <c r="N548" s="3427"/>
      <c r="O548" s="3427"/>
      <c r="P548" s="3427"/>
    </row>
    <row customHeight="true" ht="16.071428571428573" r="549">
      <c r="A549" s="3582" t="s">
        <v>3543</v>
      </c>
      <c r="B549" s="3581">
        <v>46259</v>
      </c>
      <c r="C549" s="3582" t="str">
        <v>Tuesday</v>
      </c>
      <c r="D549" s="3583" t="s">
        <v>3544</v>
      </c>
      <c r="E549" s="3514">
        <f t="shared" ref="E549:E552" si="100">24*MOD(TIMEVALUE(TRIM(MID(D549,FIND("-",D549)+1,LEN(D549)))) - TIMEVALUE(TRIM(LEFT(D549,FIND("-",D549)-1))),1)</f>
      </c>
      <c r="F549" s="3709" t="s">
        <v>3521</v>
      </c>
      <c r="G549" s="3655"/>
      <c r="H549" s="3514" t="s">
        <v>3198</v>
      </c>
      <c r="I549" s="3435" t="s">
        <v>3107</v>
      </c>
      <c r="J549" s="3664"/>
      <c r="K549" s="3427"/>
      <c r="L549" s="3427"/>
      <c r="M549" s="3427"/>
      <c r="N549" s="3427"/>
      <c r="O549" s="3427"/>
      <c r="P549" s="3427"/>
    </row>
    <row customHeight="true" ht="16.071428571428573" r="550">
      <c r="A550" s="3454" t="s">
        <v>3543</v>
      </c>
      <c r="B550" s="3455">
        <v>46260</v>
      </c>
      <c r="C550" s="3454" t="str">
        <v>Wednesday</v>
      </c>
      <c r="D550" s="3478" t="s">
        <v>3545</v>
      </c>
      <c r="E550" s="3458">
        <f t="shared" si="100"/>
      </c>
      <c r="F550" s="3710" t="s">
        <v>3521</v>
      </c>
      <c r="G550" s="3591"/>
      <c r="H550" s="3458" t="s">
        <v>3198</v>
      </c>
      <c r="I550" s="3543" t="s">
        <v>3107</v>
      </c>
      <c r="J550" s="3748" t="s">
        <v>3539</v>
      </c>
      <c r="K550" s="3460"/>
      <c r="L550" s="3460"/>
      <c r="M550" s="3460"/>
      <c r="N550" s="3460"/>
      <c r="O550" s="3460"/>
      <c r="P550" s="3460"/>
    </row>
    <row customHeight="true" ht="16.071428571428573" r="551">
      <c r="A551" s="3454" t="s">
        <v>3543</v>
      </c>
      <c r="B551" s="3455">
        <v>46261</v>
      </c>
      <c r="C551" s="3454" t="str">
        <v>Thursday</v>
      </c>
      <c r="D551" s="3478" t="s">
        <v>3546</v>
      </c>
      <c r="E551" s="3458">
        <f t="shared" si="100"/>
      </c>
      <c r="F551" s="3710" t="s">
        <v>3521</v>
      </c>
      <c r="G551" s="3591"/>
      <c r="H551" s="3458" t="s">
        <v>3198</v>
      </c>
      <c r="I551" s="3543" t="s">
        <v>3107</v>
      </c>
      <c r="J551" s="3481" t="s">
        <v>3541</v>
      </c>
      <c r="K551" s="3460"/>
      <c r="L551" s="3460"/>
      <c r="M551" s="3460"/>
      <c r="N551" s="3460"/>
      <c r="O551" s="3460"/>
      <c r="P551" s="3460"/>
    </row>
    <row customHeight="true" ht="16.071428571428573" r="552">
      <c r="A552" s="3454" t="s">
        <v>3543</v>
      </c>
      <c r="B552" s="3455">
        <v>46263</v>
      </c>
      <c r="C552" s="3454" t="str">
        <v>Saturday</v>
      </c>
      <c r="D552" s="3478" t="s">
        <v>3547</v>
      </c>
      <c r="E552" s="3458">
        <f t="shared" si="100"/>
      </c>
      <c r="F552" s="3710" t="s">
        <v>3521</v>
      </c>
      <c r="G552" s="3591"/>
      <c r="H552" s="3458" t="s">
        <v>3198</v>
      </c>
      <c r="I552" s="3543" t="s">
        <v>3107</v>
      </c>
      <c r="J552" s="3481" t="s">
        <v>3528</v>
      </c>
      <c r="K552" s="3460"/>
      <c r="L552" s="3460"/>
      <c r="M552" s="3460"/>
      <c r="N552" s="3460"/>
      <c r="O552" s="3460"/>
      <c r="P552" s="3460"/>
    </row>
    <row customHeight="true" ht="16.071428571428573" r="553">
      <c r="A553" s="3582"/>
      <c r="B553" s="3581"/>
      <c r="C553" s="3582"/>
      <c r="D553" s="3514"/>
      <c r="E553" s="3514"/>
      <c r="F553" s="3709"/>
      <c r="G553" s="3655"/>
      <c r="H553" s="3514"/>
      <c r="I553" s="3451"/>
      <c r="J553" s="3664"/>
      <c r="K553" s="3427"/>
      <c r="L553" s="3427"/>
      <c r="M553" s="3427"/>
      <c r="N553" s="3427"/>
      <c r="O553" s="3427"/>
      <c r="P553" s="3427"/>
    </row>
    <row customHeight="true" ht="16.071428571428573" r="554">
      <c r="A554" s="3449" t="s">
        <v>3548</v>
      </c>
      <c r="B554" s="3428">
        <v>46259</v>
      </c>
      <c r="C554" s="3449" t="str">
        <v>Tuesday</v>
      </c>
      <c r="D554" s="3421" t="s">
        <v>3549</v>
      </c>
      <c r="E554" s="3425">
        <f t="shared" ref="E554:E555" si="101">24*MOD(TIMEVALUE(TRIM(MID(D554,FIND("-",D554)+1,LEN(D554)))) - TIMEVALUE(TRIM(LEFT(D554,FIND("-",D554)-1))),1)</f>
      </c>
      <c r="F554" s="3514" t="s">
        <v>3352</v>
      </c>
      <c r="G554" s="3588"/>
      <c r="H554" s="3425" t="s">
        <v>3198</v>
      </c>
      <c r="I554" s="3451" t="s">
        <v>3107</v>
      </c>
      <c r="J554" s="3453"/>
      <c r="K554" s="3427"/>
      <c r="L554" s="3427"/>
      <c r="M554" s="3427"/>
      <c r="N554" s="3427"/>
      <c r="O554" s="3427"/>
      <c r="P554" s="3427"/>
    </row>
    <row customHeight="true" ht="16.071428571428573" r="555">
      <c r="A555" s="3449" t="s">
        <v>3548</v>
      </c>
      <c r="B555" s="3428">
        <v>46263</v>
      </c>
      <c r="C555" s="3449" t="str">
        <v>Saturday</v>
      </c>
      <c r="D555" s="3421" t="s">
        <v>3162</v>
      </c>
      <c r="E555" s="3425">
        <f t="shared" si="101"/>
      </c>
      <c r="F555" s="3514" t="s">
        <v>3224</v>
      </c>
      <c r="G555" s="3588"/>
      <c r="H555" s="3425" t="s">
        <v>3198</v>
      </c>
      <c r="I555" s="3451" t="s">
        <v>3107</v>
      </c>
      <c r="J555" s="3453"/>
      <c r="K555" s="3427"/>
      <c r="L555" s="3427"/>
      <c r="M555" s="3427"/>
      <c r="N555" s="3427"/>
      <c r="O555" s="3427"/>
      <c r="P555" s="3427"/>
    </row>
    <row customHeight="true" ht="16.071428571428573" r="556">
      <c r="A556" s="3819"/>
      <c r="B556" s="3582"/>
      <c r="C556" s="3582"/>
      <c r="D556" s="3514"/>
      <c r="E556" s="3514"/>
      <c r="F556" s="3514"/>
      <c r="G556" s="3820"/>
      <c r="H556" s="3514"/>
      <c r="I556" s="3514"/>
      <c r="J556" s="3821"/>
      <c r="K556" s="3427"/>
      <c r="L556" s="3427"/>
      <c r="M556" s="3427"/>
      <c r="N556" s="3427"/>
      <c r="O556" s="3427"/>
      <c r="P556" s="3427"/>
    </row>
    <row customHeight="true" ht="16.071428571428573" r="557">
      <c r="A557" s="3796"/>
      <c r="B557" s="3449"/>
      <c r="C557" s="3449"/>
      <c r="D557" s="3425"/>
      <c r="E557" s="3425"/>
      <c r="F557" s="3425"/>
      <c r="G557" s="3802"/>
      <c r="H557" s="3425"/>
      <c r="I557" s="3514"/>
      <c r="J557" s="3798"/>
      <c r="K557" s="3427"/>
      <c r="L557" s="3427"/>
      <c r="M557" s="3427"/>
      <c r="N557" s="3427"/>
      <c r="O557" s="3427"/>
      <c r="P557" s="3427"/>
    </row>
    <row r="558">
      <c r="A558" s="3699"/>
      <c r="B558" s="3699"/>
      <c r="C558" s="3699"/>
      <c r="D558" s="3593"/>
      <c r="E558" s="3699"/>
      <c r="F558" s="3699"/>
      <c r="G558" s="3822"/>
      <c r="H558" s="3699"/>
      <c r="I558" s="3699"/>
      <c r="J558" s="3699"/>
      <c r="K558" s="3427"/>
      <c r="L558" s="3427"/>
      <c r="M558" s="3427"/>
      <c r="N558" s="3427"/>
      <c r="O558" s="3427"/>
      <c r="P558" s="3427"/>
    </row>
    <row r="559">
      <c r="A559" s="3449"/>
      <c r="B559" s="3449"/>
      <c r="C559" s="3449"/>
      <c r="D559" s="3451"/>
      <c r="E559" s="3451"/>
      <c r="F559" s="3462"/>
      <c r="G559" s="3588"/>
      <c r="H559" s="3425"/>
      <c r="I559" s="3451"/>
      <c r="J559" s="3453"/>
      <c r="K559" s="3427"/>
      <c r="L559" s="3427"/>
      <c r="M559" s="3427"/>
      <c r="N559" s="3427"/>
      <c r="O559" s="3427"/>
      <c r="P559" s="3427"/>
    </row>
    <row r="560">
      <c r="A560" s="3823" t="s">
        <v>3550</v>
      </c>
      <c r="B560" s="3824"/>
      <c r="C560" s="3824"/>
      <c r="D560" s="3824"/>
      <c r="E560" s="3824"/>
      <c r="F560" s="3824"/>
      <c r="G560" s="3824"/>
      <c r="H560" s="3824"/>
      <c r="I560" s="3824"/>
      <c r="J560" s="3825"/>
      <c r="K560" s="3467"/>
      <c r="L560" s="3467"/>
      <c r="M560" s="3467"/>
      <c r="N560" s="3467"/>
      <c r="O560" s="3467"/>
      <c r="P560" s="3467"/>
    </row>
    <row r="561">
      <c r="A561" s="3826" t="s">
        <v>3122</v>
      </c>
      <c r="B561" s="3827" t="s">
        <v>3123</v>
      </c>
      <c r="C561" s="3827"/>
      <c r="D561" s="3828" t="s">
        <v>3124</v>
      </c>
      <c r="E561" s="3828" t="s">
        <v>3125</v>
      </c>
      <c r="F561" s="3828" t="s">
        <v>3126</v>
      </c>
      <c r="G561" s="3829" t="s">
        <v>3148</v>
      </c>
      <c r="H561" s="3828" t="s">
        <v>3128</v>
      </c>
      <c r="I561" s="3828" t="s">
        <v>3129</v>
      </c>
      <c r="J561" s="3830" t="s">
        <v>3130</v>
      </c>
      <c r="K561" s="3448"/>
      <c r="L561" s="3448"/>
      <c r="M561" s="3448"/>
      <c r="N561" s="3448"/>
      <c r="O561" s="3448"/>
      <c r="P561" s="3448"/>
    </row>
    <row customHeight="true" ht="18.452380952380953" r="562">
      <c r="A562" s="3582" t="s">
        <v>3551</v>
      </c>
      <c r="B562" s="3428">
        <v>46259</v>
      </c>
      <c r="C562" s="3449" t="str">
        <v>Tuesday</v>
      </c>
      <c r="D562" s="3831" t="s">
        <v>3347</v>
      </c>
      <c r="E562" s="3514">
        <f t="shared" ref="E562:E574" si="102">24*MOD(TIMEVALUE(TRIM(MID(D562,FIND("-",D562)+1,LEN(D562)))) - TIMEVALUE(TRIM(LEFT(D562,FIND("-",D562)-1))),1)</f>
      </c>
      <c r="F562" s="3514" t="s">
        <v>3552</v>
      </c>
      <c r="G562" s="3655"/>
      <c r="H562" s="3514" t="s">
        <v>3106</v>
      </c>
      <c r="I562" s="3514"/>
      <c r="J562" s="3664"/>
      <c r="K562" s="3427"/>
      <c r="L562" s="3427"/>
      <c r="M562" s="3427"/>
      <c r="N562" s="3427"/>
      <c r="O562" s="3427"/>
      <c r="P562" s="3427"/>
    </row>
    <row r="563">
      <c r="A563" s="3766" t="s">
        <v>3553</v>
      </c>
      <c r="B563" s="3767">
        <v>46259</v>
      </c>
      <c r="C563" s="3766" t="str">
        <v>Tuesday</v>
      </c>
      <c r="D563" s="3783" t="s">
        <v>3157</v>
      </c>
      <c r="E563" s="3769">
        <f t="shared" si="102"/>
      </c>
      <c r="F563" s="3769" t="s">
        <v>3554</v>
      </c>
      <c r="G563" s="3655"/>
      <c r="H563" s="3514" t="s">
        <v>3106</v>
      </c>
      <c r="I563" s="3514"/>
      <c r="J563" s="3664"/>
      <c r="K563" s="3427"/>
      <c r="L563" s="3427"/>
      <c r="M563" s="3427"/>
      <c r="N563" s="3427"/>
      <c r="O563" s="3427"/>
      <c r="P563" s="3427"/>
    </row>
    <row customHeight="true" ht="18.452380952380953" r="564">
      <c r="A564" s="3766" t="s">
        <v>3553</v>
      </c>
      <c r="B564" s="3767">
        <v>46259</v>
      </c>
      <c r="C564" s="3766" t="str">
        <v>Tuesday</v>
      </c>
      <c r="D564" s="3783" t="s">
        <v>3157</v>
      </c>
      <c r="E564" s="3769">
        <f t="shared" si="102"/>
      </c>
      <c r="F564" s="3769" t="s">
        <v>3555</v>
      </c>
      <c r="G564" s="3655"/>
      <c r="H564" s="3514" t="s">
        <v>3106</v>
      </c>
      <c r="I564" s="3514"/>
      <c r="J564" s="3664"/>
      <c r="K564" s="3427"/>
      <c r="L564" s="3427"/>
      <c r="M564" s="3427"/>
      <c r="N564" s="3427"/>
      <c r="O564" s="3427"/>
      <c r="P564" s="3427"/>
    </row>
    <row r="565">
      <c r="A565" s="3454" t="s">
        <v>3553</v>
      </c>
      <c r="B565" s="3455">
        <v>46259</v>
      </c>
      <c r="C565" s="3454" t="str">
        <v>Tuesday</v>
      </c>
      <c r="D565" s="3478" t="s">
        <v>3155</v>
      </c>
      <c r="E565" s="3458">
        <f t="shared" si="102"/>
      </c>
      <c r="F565" s="3458" t="s">
        <v>3510</v>
      </c>
      <c r="G565" s="3591"/>
      <c r="H565" s="3458" t="s">
        <v>3106</v>
      </c>
      <c r="I565" s="3458" t="s">
        <v>3107</v>
      </c>
      <c r="J565" s="3481" t="s">
        <v>3556</v>
      </c>
      <c r="K565" s="3460"/>
      <c r="L565" s="3460"/>
      <c r="M565" s="3460"/>
      <c r="N565" s="3460"/>
      <c r="O565" s="3460"/>
      <c r="P565" s="3460"/>
    </row>
    <row r="566">
      <c r="A566" s="3449" t="s">
        <v>3557</v>
      </c>
      <c r="B566" s="3428">
        <v>46259</v>
      </c>
      <c r="C566" s="3449" t="str">
        <v>Tuesday</v>
      </c>
      <c r="D566" s="3831" t="s">
        <v>3558</v>
      </c>
      <c r="E566" s="3451">
        <f t="shared" si="102"/>
      </c>
      <c r="F566" s="3451" t="s">
        <v>3555</v>
      </c>
      <c r="G566" s="3655"/>
      <c r="H566" s="3514" t="s">
        <v>3106</v>
      </c>
      <c r="I566" s="3514"/>
      <c r="J566" s="3680"/>
      <c r="K566" s="3603"/>
      <c r="L566" s="3603"/>
      <c r="M566" s="3603"/>
      <c r="N566" s="3603"/>
      <c r="O566" s="3603"/>
      <c r="P566" s="3603"/>
    </row>
    <row r="567">
      <c r="A567" s="3449" t="s">
        <v>3557</v>
      </c>
      <c r="B567" s="3428">
        <v>46259</v>
      </c>
      <c r="C567" s="3449" t="str">
        <v>Tuesday</v>
      </c>
      <c r="D567" s="3831" t="s">
        <v>3155</v>
      </c>
      <c r="E567" s="3451">
        <f t="shared" si="102"/>
      </c>
      <c r="F567" s="3514" t="s">
        <v>3559</v>
      </c>
      <c r="G567" s="3655"/>
      <c r="H567" s="3514" t="s">
        <v>3106</v>
      </c>
      <c r="I567" s="3514" t="s">
        <v>3107</v>
      </c>
      <c r="J567" s="3664"/>
      <c r="K567" s="3427"/>
      <c r="L567" s="3427"/>
      <c r="M567" s="3427"/>
      <c r="N567" s="3427"/>
      <c r="O567" s="3427"/>
      <c r="P567" s="3427"/>
    </row>
    <row customHeight="true" ht="18.452380952380953" r="568">
      <c r="A568" s="3582" t="s">
        <v>3551</v>
      </c>
      <c r="B568" s="3428">
        <v>46260</v>
      </c>
      <c r="C568" s="3449" t="str">
        <v>Wednesday</v>
      </c>
      <c r="D568" s="3831" t="s">
        <v>3423</v>
      </c>
      <c r="E568" s="3514">
        <f t="shared" si="102"/>
      </c>
      <c r="F568" s="3423" t="s">
        <v>3114</v>
      </c>
      <c r="G568" s="3655"/>
      <c r="H568" s="3514" t="s">
        <v>3106</v>
      </c>
      <c r="I568" s="3514"/>
      <c r="J568" s="3664"/>
      <c r="K568" s="3427"/>
      <c r="L568" s="3427"/>
      <c r="M568" s="3427"/>
      <c r="N568" s="3427"/>
      <c r="O568" s="3427"/>
      <c r="P568" s="3427"/>
    </row>
    <row r="569">
      <c r="A569" s="3766" t="s">
        <v>3553</v>
      </c>
      <c r="B569" s="3767">
        <v>46260</v>
      </c>
      <c r="C569" s="3766" t="str">
        <v>Wednesday</v>
      </c>
      <c r="D569" s="3783" t="s">
        <v>3157</v>
      </c>
      <c r="E569" s="3769">
        <f t="shared" si="102"/>
      </c>
      <c r="F569" s="3769" t="s">
        <v>3555</v>
      </c>
      <c r="G569" s="3655"/>
      <c r="H569" s="3514" t="s">
        <v>3106</v>
      </c>
      <c r="I569" s="3451"/>
      <c r="J569" s="3664"/>
      <c r="K569" s="3427"/>
      <c r="L569" s="3427"/>
      <c r="M569" s="3427"/>
      <c r="N569" s="3427"/>
      <c r="O569" s="3427"/>
      <c r="P569" s="3427"/>
    </row>
    <row r="570">
      <c r="A570" s="3766" t="s">
        <v>3553</v>
      </c>
      <c r="B570" s="3767">
        <v>46260</v>
      </c>
      <c r="C570" s="3766" t="str">
        <v>Wednesday</v>
      </c>
      <c r="D570" s="3783" t="s">
        <v>3560</v>
      </c>
      <c r="E570" s="3769">
        <f t="shared" si="102"/>
      </c>
      <c r="F570" s="3832" t="s">
        <v>3561</v>
      </c>
      <c r="G570" s="3655"/>
      <c r="H570" s="3514" t="s">
        <v>3106</v>
      </c>
      <c r="I570" s="3514"/>
      <c r="J570" s="3664"/>
      <c r="K570" s="3427"/>
      <c r="L570" s="3427"/>
      <c r="M570" s="3427"/>
      <c r="N570" s="3427"/>
      <c r="O570" s="3427"/>
      <c r="P570" s="3427"/>
    </row>
    <row customHeight="true" ht="18.452380952380953" r="571">
      <c r="A571" s="3454" t="s">
        <v>3553</v>
      </c>
      <c r="B571" s="3455">
        <v>46260</v>
      </c>
      <c r="C571" s="3454" t="str">
        <v>Wednesday</v>
      </c>
      <c r="D571" s="3833" t="s">
        <v>3562</v>
      </c>
      <c r="E571" s="3458">
        <f t="shared" si="102"/>
      </c>
      <c r="F571" s="3651" t="s">
        <v>3561</v>
      </c>
      <c r="G571" s="3591"/>
      <c r="H571" s="3458"/>
      <c r="I571" s="3458"/>
      <c r="J571" s="3481" t="s">
        <v>3563</v>
      </c>
      <c r="K571" s="3460"/>
      <c r="L571" s="3460"/>
      <c r="M571" s="3460"/>
      <c r="N571" s="3460"/>
      <c r="O571" s="3460"/>
      <c r="P571" s="3460"/>
    </row>
    <row r="572">
      <c r="A572" s="3449" t="s">
        <v>3557</v>
      </c>
      <c r="B572" s="3428">
        <v>46260</v>
      </c>
      <c r="C572" s="3449" t="str">
        <v>Wednesday</v>
      </c>
      <c r="D572" s="3831" t="s">
        <v>3564</v>
      </c>
      <c r="E572" s="3451">
        <f t="shared" si="102"/>
      </c>
      <c r="F572" s="3514" t="s">
        <v>3554</v>
      </c>
      <c r="G572" s="3655"/>
      <c r="H572" s="3514" t="s">
        <v>3106</v>
      </c>
      <c r="I572" s="3514"/>
      <c r="J572" s="3664"/>
      <c r="K572" s="3427"/>
      <c r="L572" s="3427"/>
      <c r="M572" s="3427"/>
      <c r="N572" s="3427"/>
      <c r="O572" s="3427"/>
      <c r="P572" s="3427"/>
    </row>
    <row r="573">
      <c r="A573" s="3449" t="s">
        <v>3557</v>
      </c>
      <c r="B573" s="3428">
        <v>46260</v>
      </c>
      <c r="C573" s="3449" t="str">
        <v>Wednesday</v>
      </c>
      <c r="D573" s="3831" t="s">
        <v>3565</v>
      </c>
      <c r="E573" s="3451">
        <f t="shared" si="102"/>
      </c>
      <c r="F573" s="3514" t="s">
        <v>3559</v>
      </c>
      <c r="G573" s="3655"/>
      <c r="H573" s="3514" t="s">
        <v>3106</v>
      </c>
      <c r="I573" s="3514" t="s">
        <v>3107</v>
      </c>
      <c r="J573" s="3664"/>
      <c r="K573" s="3427"/>
      <c r="L573" s="3427"/>
      <c r="M573" s="3427"/>
      <c r="N573" s="3427"/>
      <c r="O573" s="3427"/>
      <c r="P573" s="3427"/>
    </row>
    <row customHeight="true" ht="18.452380952380953" r="574">
      <c r="A574" s="3454" t="s">
        <v>3557</v>
      </c>
      <c r="B574" s="3455">
        <v>46260</v>
      </c>
      <c r="C574" s="3454" t="str">
        <v>Wednesday</v>
      </c>
      <c r="D574" s="3833" t="s">
        <v>3562</v>
      </c>
      <c r="E574" s="3458">
        <f t="shared" si="102"/>
      </c>
      <c r="F574" s="3458" t="s">
        <v>3559</v>
      </c>
      <c r="G574" s="3591"/>
      <c r="H574" s="3458"/>
      <c r="I574" s="3458"/>
      <c r="J574" s="3481" t="s">
        <v>3563</v>
      </c>
      <c r="K574" s="3460"/>
      <c r="L574" s="3460"/>
      <c r="M574" s="3460"/>
      <c r="N574" s="3460"/>
      <c r="O574" s="3460"/>
      <c r="P574" s="3460"/>
    </row>
    <row customHeight="true" ht="18.452380952380953" r="575">
      <c r="A575" s="3454" t="s">
        <v>3551</v>
      </c>
      <c r="B575" s="3455">
        <v>46261</v>
      </c>
      <c r="C575" s="3454" t="str">
        <v>Thursday</v>
      </c>
      <c r="D575" s="3833" t="s">
        <v>3566</v>
      </c>
      <c r="E575" s="3478">
        <v>0.5</v>
      </c>
      <c r="F575" s="3458" t="s">
        <v>3552</v>
      </c>
      <c r="G575" s="3591"/>
      <c r="H575" s="3458" t="s">
        <v>3106</v>
      </c>
      <c r="I575" s="3458"/>
      <c r="J575" s="3481" t="s">
        <v>3563</v>
      </c>
      <c r="K575" s="3460"/>
      <c r="L575" s="3460"/>
      <c r="M575" s="3460"/>
      <c r="N575" s="3460"/>
      <c r="O575" s="3460"/>
      <c r="P575" s="3460"/>
    </row>
    <row customHeight="true" ht="18.452380952380953" r="576">
      <c r="A576" s="3766" t="s">
        <v>3553</v>
      </c>
      <c r="B576" s="3767">
        <v>46261</v>
      </c>
      <c r="C576" s="3766" t="str">
        <v>Thursday</v>
      </c>
      <c r="D576" s="3783" t="s">
        <v>3567</v>
      </c>
      <c r="E576" s="3769">
        <f t="shared" ref="E576:E600" si="103">24*MOD(TIMEVALUE(TRIM(MID(D576,FIND("-",D576)+1,LEN(D576)))) - TIMEVALUE(TRIM(LEFT(D576,FIND("-",D576)-1))),1)</f>
      </c>
      <c r="F576" s="3769" t="s">
        <v>3554</v>
      </c>
      <c r="G576" s="3655"/>
      <c r="H576" s="3514" t="s">
        <v>3106</v>
      </c>
      <c r="I576" s="3514"/>
      <c r="J576" s="3664"/>
      <c r="K576" s="3427"/>
      <c r="L576" s="3427"/>
      <c r="M576" s="3427"/>
      <c r="N576" s="3427"/>
      <c r="O576" s="3427"/>
      <c r="P576" s="3427"/>
    </row>
    <row customHeight="true" ht="18.452380952380953" r="577">
      <c r="A577" s="3454" t="s">
        <v>3553</v>
      </c>
      <c r="B577" s="3455">
        <v>46261</v>
      </c>
      <c r="C577" s="3454" t="str">
        <v>Thursday</v>
      </c>
      <c r="D577" s="3478" t="s">
        <v>3568</v>
      </c>
      <c r="E577" s="3458">
        <f t="shared" si="103"/>
      </c>
      <c r="F577" s="3458" t="s">
        <v>3554</v>
      </c>
      <c r="G577" s="3591"/>
      <c r="H577" s="3458"/>
      <c r="I577" s="3458"/>
      <c r="J577" s="3481" t="s">
        <v>3563</v>
      </c>
      <c r="K577" s="3460"/>
      <c r="L577" s="3460"/>
      <c r="M577" s="3460"/>
      <c r="N577" s="3460"/>
      <c r="O577" s="3460"/>
      <c r="P577" s="3460"/>
    </row>
    <row customHeight="true" ht="18.452380952380953" r="578">
      <c r="A578" s="3454" t="s">
        <v>3553</v>
      </c>
      <c r="B578" s="3455">
        <v>46261</v>
      </c>
      <c r="C578" s="3454" t="str">
        <v>Thursday</v>
      </c>
      <c r="D578" s="3478" t="s">
        <v>3155</v>
      </c>
      <c r="E578" s="3458">
        <f t="shared" si="103"/>
      </c>
      <c r="F578" s="3458" t="s">
        <v>3552</v>
      </c>
      <c r="G578" s="3591"/>
      <c r="H578" s="3458" t="s">
        <v>3106</v>
      </c>
      <c r="I578" s="3458"/>
      <c r="J578" s="3481" t="s">
        <v>3563</v>
      </c>
      <c r="K578" s="3460"/>
      <c r="L578" s="3460"/>
      <c r="M578" s="3460"/>
      <c r="N578" s="3460"/>
      <c r="O578" s="3460"/>
      <c r="P578" s="3460"/>
    </row>
    <row customHeight="true" ht="18.452380952380953" r="579">
      <c r="A579" s="3454" t="s">
        <v>3553</v>
      </c>
      <c r="B579" s="3455">
        <v>46261</v>
      </c>
      <c r="C579" s="3454" t="str">
        <v>Thursday</v>
      </c>
      <c r="D579" s="3478" t="s">
        <v>3155</v>
      </c>
      <c r="E579" s="3458">
        <f t="shared" si="103"/>
      </c>
      <c r="F579" s="3458" t="s">
        <v>3509</v>
      </c>
      <c r="G579" s="3591"/>
      <c r="H579" s="3458" t="s">
        <v>3106</v>
      </c>
      <c r="I579" s="3458"/>
      <c r="J579" s="3481" t="s">
        <v>3556</v>
      </c>
      <c r="K579" s="3460"/>
      <c r="L579" s="3460"/>
      <c r="M579" s="3460"/>
      <c r="N579" s="3460"/>
      <c r="O579" s="3460"/>
      <c r="P579" s="3460"/>
    </row>
    <row r="580">
      <c r="A580" s="3449" t="s">
        <v>3557</v>
      </c>
      <c r="B580" s="3428">
        <v>46261</v>
      </c>
      <c r="C580" s="3449" t="str">
        <v>Thursday</v>
      </c>
      <c r="D580" s="3831" t="s">
        <v>3569</v>
      </c>
      <c r="E580" s="3451">
        <f t="shared" si="103"/>
      </c>
      <c r="F580" s="3514" t="s">
        <v>3559</v>
      </c>
      <c r="G580" s="3820"/>
      <c r="H580" s="3514" t="s">
        <v>3106</v>
      </c>
      <c r="I580" s="3514" t="s">
        <v>3107</v>
      </c>
      <c r="J580" s="3664"/>
      <c r="K580" s="3427"/>
      <c r="L580" s="3427"/>
      <c r="M580" s="3427"/>
      <c r="N580" s="3427"/>
      <c r="O580" s="3427"/>
      <c r="P580" s="3427"/>
    </row>
    <row customHeight="true" ht="18.452380952380953" r="581">
      <c r="A581" s="3454" t="s">
        <v>3557</v>
      </c>
      <c r="B581" s="3455">
        <v>46261</v>
      </c>
      <c r="C581" s="3454" t="str">
        <v>Thursday</v>
      </c>
      <c r="D581" s="3833" t="s">
        <v>3570</v>
      </c>
      <c r="E581" s="3458">
        <f t="shared" si="103"/>
      </c>
      <c r="F581" s="3458" t="s">
        <v>3559</v>
      </c>
      <c r="G581" s="3834"/>
      <c r="H581" s="3458"/>
      <c r="I581" s="3458"/>
      <c r="J581" s="3481" t="s">
        <v>3563</v>
      </c>
      <c r="K581" s="3460"/>
      <c r="L581" s="3460"/>
      <c r="M581" s="3460"/>
      <c r="N581" s="3460"/>
      <c r="O581" s="3460"/>
      <c r="P581" s="3460"/>
    </row>
    <row r="582">
      <c r="A582" s="3454" t="s">
        <v>3557</v>
      </c>
      <c r="B582" s="3455">
        <v>46261</v>
      </c>
      <c r="C582" s="3454" t="str">
        <v>Thursday</v>
      </c>
      <c r="D582" s="3833" t="s">
        <v>3571</v>
      </c>
      <c r="E582" s="3458">
        <f t="shared" si="103"/>
      </c>
      <c r="F582" s="3458" t="s">
        <v>3554</v>
      </c>
      <c r="G582" s="3591"/>
      <c r="H582" s="3458" t="s">
        <v>3106</v>
      </c>
      <c r="I582" s="3458"/>
      <c r="J582" s="3481" t="s">
        <v>3563</v>
      </c>
      <c r="K582" s="3460"/>
      <c r="L582" s="3460"/>
      <c r="M582" s="3460"/>
      <c r="N582" s="3460"/>
      <c r="O582" s="3460"/>
      <c r="P582" s="3460"/>
    </row>
    <row r="583">
      <c r="A583" s="3454" t="s">
        <v>3553</v>
      </c>
      <c r="B583" s="3455">
        <v>46262</v>
      </c>
      <c r="C583" s="3454" t="str">
        <v>Friday</v>
      </c>
      <c r="D583" s="3478" t="s">
        <v>3157</v>
      </c>
      <c r="E583" s="3458">
        <f t="shared" si="103"/>
      </c>
      <c r="F583" s="3651" t="s">
        <v>3561</v>
      </c>
      <c r="G583" s="3591"/>
      <c r="H583" s="3458" t="s">
        <v>3106</v>
      </c>
      <c r="I583" s="3458"/>
      <c r="J583" s="3481" t="s">
        <v>3563</v>
      </c>
      <c r="K583" s="3460"/>
      <c r="L583" s="3460"/>
      <c r="M583" s="3460"/>
      <c r="N583" s="3460"/>
      <c r="O583" s="3460"/>
      <c r="P583" s="3460"/>
    </row>
    <row r="584">
      <c r="A584" s="3454" t="s">
        <v>3553</v>
      </c>
      <c r="B584" s="3455">
        <v>46262</v>
      </c>
      <c r="C584" s="3454" t="str">
        <v>Friday</v>
      </c>
      <c r="D584" s="3478" t="s">
        <v>3155</v>
      </c>
      <c r="E584" s="3458">
        <f t="shared" si="103"/>
      </c>
      <c r="F584" s="3458" t="s">
        <v>3510</v>
      </c>
      <c r="G584" s="3591"/>
      <c r="H584" s="3458" t="s">
        <v>3106</v>
      </c>
      <c r="I584" s="3458" t="s">
        <v>3107</v>
      </c>
      <c r="J584" s="3481" t="s">
        <v>3563</v>
      </c>
      <c r="K584" s="3460"/>
      <c r="L584" s="3460"/>
      <c r="M584" s="3460"/>
      <c r="N584" s="3460"/>
      <c r="O584" s="3460"/>
      <c r="P584" s="3460"/>
    </row>
    <row r="585">
      <c r="A585" s="3454" t="s">
        <v>3557</v>
      </c>
      <c r="B585" s="3455">
        <v>46262</v>
      </c>
      <c r="C585" s="3454" t="str">
        <v>Friday</v>
      </c>
      <c r="D585" s="3833" t="s">
        <v>3558</v>
      </c>
      <c r="E585" s="3458">
        <f t="shared" si="103"/>
      </c>
      <c r="F585" s="3458" t="s">
        <v>3555</v>
      </c>
      <c r="G585" s="3591"/>
      <c r="H585" s="3458" t="s">
        <v>3106</v>
      </c>
      <c r="I585" s="3458"/>
      <c r="J585" s="3481" t="s">
        <v>3563</v>
      </c>
      <c r="K585" s="3460"/>
      <c r="L585" s="3460"/>
      <c r="M585" s="3460"/>
      <c r="N585" s="3460"/>
      <c r="O585" s="3460"/>
      <c r="P585" s="3460"/>
    </row>
    <row customHeight="true" ht="18.452380952380953" r="586">
      <c r="A586" s="3773" t="s">
        <v>3553</v>
      </c>
      <c r="B586" s="3835">
        <v>46262</v>
      </c>
      <c r="C586" s="3773" t="str">
        <v>Friday</v>
      </c>
      <c r="D586" s="3836" t="s">
        <v>3155</v>
      </c>
      <c r="E586" s="3774">
        <f t="shared" si="103"/>
      </c>
      <c r="F586" s="3774" t="s">
        <v>3554</v>
      </c>
      <c r="G586" s="3775"/>
      <c r="H586" s="3774"/>
      <c r="I586" s="3774"/>
      <c r="J586" s="3837"/>
      <c r="K586" s="3838"/>
      <c r="L586" s="3838"/>
      <c r="M586" s="3838"/>
      <c r="N586" s="3838"/>
      <c r="O586" s="3838"/>
      <c r="P586" s="3838"/>
    </row>
    <row r="587">
      <c r="A587" s="3582" t="s">
        <v>3557</v>
      </c>
      <c r="B587" s="3581">
        <v>46262</v>
      </c>
      <c r="C587" s="3582" t="str">
        <v>Friday</v>
      </c>
      <c r="D587" s="3839" t="s">
        <v>3155</v>
      </c>
      <c r="E587" s="3514">
        <f t="shared" si="103"/>
      </c>
      <c r="F587" s="3514" t="s">
        <v>3559</v>
      </c>
      <c r="G587" s="3655"/>
      <c r="H587" s="3514" t="s">
        <v>3106</v>
      </c>
      <c r="I587" s="3514" t="s">
        <v>3107</v>
      </c>
      <c r="J587" s="3680"/>
      <c r="K587" s="3840"/>
      <c r="L587" s="3840"/>
      <c r="M587" s="3840"/>
      <c r="N587" s="3840"/>
      <c r="O587" s="3840"/>
      <c r="P587" s="3840"/>
    </row>
    <row r="588">
      <c r="A588" s="3773" t="s">
        <v>3553</v>
      </c>
      <c r="B588" s="3835">
        <v>46263</v>
      </c>
      <c r="C588" s="3773" t="str">
        <v>Saturday</v>
      </c>
      <c r="D588" s="3768" t="s">
        <v>3157</v>
      </c>
      <c r="E588" s="3774">
        <f t="shared" si="103"/>
      </c>
      <c r="F588" s="3774" t="s">
        <v>3509</v>
      </c>
      <c r="G588" s="3775"/>
      <c r="H588" s="3774" t="s">
        <v>3106</v>
      </c>
      <c r="I588" s="3774" t="s">
        <v>3107</v>
      </c>
      <c r="J588" s="3841"/>
      <c r="K588" s="3842"/>
      <c r="L588" s="3842"/>
      <c r="M588" s="3842"/>
      <c r="N588" s="3842"/>
      <c r="O588" s="3842"/>
      <c r="P588" s="3842"/>
    </row>
    <row r="589">
      <c r="A589" s="3454" t="s">
        <v>3553</v>
      </c>
      <c r="B589" s="3455">
        <v>46263</v>
      </c>
      <c r="C589" s="3454" t="str">
        <v>Saturday</v>
      </c>
      <c r="D589" s="3478" t="s">
        <v>3155</v>
      </c>
      <c r="E589" s="3458">
        <f t="shared" si="103"/>
      </c>
      <c r="F589" s="3458" t="s">
        <v>3555</v>
      </c>
      <c r="G589" s="3591"/>
      <c r="H589" s="3458" t="s">
        <v>3106</v>
      </c>
      <c r="I589" s="3458"/>
      <c r="J589" s="3843" t="s">
        <v>3572</v>
      </c>
      <c r="K589" s="3844"/>
      <c r="L589" s="3844"/>
      <c r="M589" s="3844"/>
      <c r="N589" s="3844"/>
      <c r="O589" s="3844"/>
      <c r="P589" s="3844"/>
    </row>
    <row customHeight="true" ht="18.452380952380953" r="590">
      <c r="A590" s="3454" t="s">
        <v>3557</v>
      </c>
      <c r="B590" s="3455">
        <v>46263</v>
      </c>
      <c r="C590" s="3454" t="str">
        <v>Saturday</v>
      </c>
      <c r="D590" s="3833" t="s">
        <v>3558</v>
      </c>
      <c r="E590" s="3458">
        <f t="shared" si="103"/>
      </c>
      <c r="F590" s="3458" t="s">
        <v>3554</v>
      </c>
      <c r="G590" s="3591"/>
      <c r="H590" s="3458" t="s">
        <v>3106</v>
      </c>
      <c r="I590" s="3458"/>
      <c r="J590" s="3843" t="s">
        <v>3572</v>
      </c>
      <c r="K590" s="3844"/>
      <c r="L590" s="3844"/>
      <c r="M590" s="3844"/>
      <c r="N590" s="3844"/>
      <c r="O590" s="3844"/>
      <c r="P590" s="3844"/>
    </row>
    <row r="591">
      <c r="A591" s="3454" t="s">
        <v>3557</v>
      </c>
      <c r="B591" s="3455">
        <v>46263</v>
      </c>
      <c r="C591" s="3454" t="str">
        <v>Saturday</v>
      </c>
      <c r="D591" s="3833" t="s">
        <v>3571</v>
      </c>
      <c r="E591" s="3458">
        <f t="shared" si="103"/>
      </c>
      <c r="F591" s="3458" t="s">
        <v>3554</v>
      </c>
      <c r="G591" s="3591"/>
      <c r="H591" s="3458" t="s">
        <v>3106</v>
      </c>
      <c r="I591" s="3458"/>
      <c r="J591" s="3843" t="s">
        <v>3572</v>
      </c>
      <c r="K591" s="3844"/>
      <c r="L591" s="3844"/>
      <c r="M591" s="3844"/>
      <c r="N591" s="3844"/>
      <c r="O591" s="3844"/>
      <c r="P591" s="3844"/>
    </row>
    <row customHeight="true" ht="18.452380952380953" r="592">
      <c r="A592" s="3773" t="s">
        <v>3553</v>
      </c>
      <c r="B592" s="3835">
        <v>46263</v>
      </c>
      <c r="C592" s="3773" t="str">
        <v>Saturday</v>
      </c>
      <c r="D592" s="3836" t="s">
        <v>3155</v>
      </c>
      <c r="E592" s="3774">
        <f t="shared" si="103"/>
      </c>
      <c r="F592" s="3769" t="s">
        <v>3554</v>
      </c>
      <c r="G592" s="3775"/>
      <c r="H592" s="3774"/>
      <c r="I592" s="3774"/>
      <c r="J592" s="3841"/>
      <c r="K592" s="3842"/>
      <c r="L592" s="3842"/>
      <c r="M592" s="3842"/>
      <c r="N592" s="3842"/>
      <c r="O592" s="3842"/>
      <c r="P592" s="3842"/>
    </row>
    <row customHeight="true" ht="18.452380952380953" r="593">
      <c r="A593" s="3449" t="s">
        <v>3557</v>
      </c>
      <c r="B593" s="3581">
        <v>46263</v>
      </c>
      <c r="C593" s="3582" t="str">
        <v>Saturday</v>
      </c>
      <c r="D593" s="3831" t="s">
        <v>3157</v>
      </c>
      <c r="E593" s="3514">
        <f t="shared" si="103"/>
      </c>
      <c r="F593" s="3514" t="s">
        <v>3554</v>
      </c>
      <c r="G593" s="3655"/>
      <c r="H593" s="3514"/>
      <c r="I593" s="3514"/>
      <c r="J593" s="3845"/>
      <c r="K593" s="3846"/>
      <c r="L593" s="3846"/>
      <c r="M593" s="3846"/>
      <c r="N593" s="3846"/>
      <c r="O593" s="3846"/>
      <c r="P593" s="3846"/>
    </row>
    <row r="594">
      <c r="A594" s="3766" t="s">
        <v>3553</v>
      </c>
      <c r="B594" s="3767">
        <v>46264</v>
      </c>
      <c r="C594" s="3766" t="str">
        <v>Sunday</v>
      </c>
      <c r="D594" s="3783" t="s">
        <v>3157</v>
      </c>
      <c r="E594" s="3769">
        <f t="shared" si="103"/>
      </c>
      <c r="F594" s="3769" t="s">
        <v>3554</v>
      </c>
      <c r="G594" s="3655"/>
      <c r="H594" s="3514" t="s">
        <v>3106</v>
      </c>
      <c r="I594" s="3451"/>
      <c r="J594" s="3847"/>
      <c r="K594" s="3846"/>
      <c r="L594" s="3846"/>
      <c r="M594" s="3846"/>
      <c r="N594" s="3846"/>
      <c r="O594" s="3846"/>
      <c r="P594" s="3846"/>
    </row>
    <row customHeight="true" ht="18.452380952380953" r="595">
      <c r="A595" s="3766" t="s">
        <v>3553</v>
      </c>
      <c r="B595" s="3767">
        <v>46264</v>
      </c>
      <c r="C595" s="3766" t="str">
        <v>Sunday</v>
      </c>
      <c r="D595" s="3783" t="s">
        <v>3155</v>
      </c>
      <c r="E595" s="3769">
        <f t="shared" si="103"/>
      </c>
      <c r="F595" s="3774" t="s">
        <v>3552</v>
      </c>
      <c r="G595" s="3655"/>
      <c r="H595" s="3514"/>
      <c r="I595" s="3451"/>
      <c r="J595" s="3847"/>
      <c r="K595" s="3846"/>
      <c r="L595" s="3846"/>
      <c r="M595" s="3846"/>
      <c r="N595" s="3846"/>
      <c r="O595" s="3846"/>
      <c r="P595" s="3846"/>
    </row>
    <row r="596">
      <c r="A596" s="3454" t="s">
        <v>3553</v>
      </c>
      <c r="B596" s="3455">
        <v>46264</v>
      </c>
      <c r="C596" s="3454" t="str">
        <v>Sunday</v>
      </c>
      <c r="D596" s="3478" t="s">
        <v>3155</v>
      </c>
      <c r="E596" s="3458">
        <f t="shared" si="103"/>
      </c>
      <c r="F596" s="3458" t="s">
        <v>3555</v>
      </c>
      <c r="G596" s="3591"/>
      <c r="H596" s="3458" t="s">
        <v>3106</v>
      </c>
      <c r="I596" s="3458"/>
      <c r="J596" s="3481" t="s">
        <v>3556</v>
      </c>
      <c r="K596" s="3844"/>
      <c r="L596" s="3844"/>
      <c r="M596" s="3844"/>
      <c r="N596" s="3844"/>
      <c r="O596" s="3844"/>
      <c r="P596" s="3844"/>
    </row>
    <row r="597">
      <c r="A597" s="3454" t="s">
        <v>3557</v>
      </c>
      <c r="B597" s="3455">
        <v>46264</v>
      </c>
      <c r="C597" s="3454" t="str">
        <v>Sunday</v>
      </c>
      <c r="D597" s="3833" t="s">
        <v>3558</v>
      </c>
      <c r="E597" s="3458">
        <f t="shared" si="103"/>
      </c>
      <c r="F597" s="3458" t="s">
        <v>3555</v>
      </c>
      <c r="G597" s="3591"/>
      <c r="H597" s="3458" t="s">
        <v>3106</v>
      </c>
      <c r="I597" s="3458"/>
      <c r="J597" s="3481" t="s">
        <v>3556</v>
      </c>
      <c r="K597" s="3844"/>
      <c r="L597" s="3844"/>
      <c r="M597" s="3844"/>
      <c r="N597" s="3844"/>
      <c r="O597" s="3844"/>
      <c r="P597" s="3844"/>
    </row>
    <row customHeight="true" ht="18.452380952380953" r="598">
      <c r="A598" s="3449" t="s">
        <v>3557</v>
      </c>
      <c r="B598" s="3428">
        <v>46264</v>
      </c>
      <c r="C598" s="3449" t="str">
        <v>Sunday</v>
      </c>
      <c r="D598" s="3831" t="s">
        <v>3573</v>
      </c>
      <c r="E598" s="3451">
        <f t="shared" si="103"/>
      </c>
      <c r="F598" s="3514" t="s">
        <v>3552</v>
      </c>
      <c r="G598" s="3655"/>
      <c r="H598" s="3514"/>
      <c r="I598" s="3514"/>
      <c r="J598" s="3847"/>
      <c r="K598" s="3846"/>
      <c r="L598" s="3846"/>
      <c r="M598" s="3846"/>
      <c r="N598" s="3846"/>
      <c r="O598" s="3846"/>
      <c r="P598" s="3846"/>
    </row>
    <row customHeight="true" ht="18.452380952380953" r="599">
      <c r="A599" s="3449" t="s">
        <v>3553</v>
      </c>
      <c r="B599" s="3428">
        <v>46264</v>
      </c>
      <c r="C599" s="3449" t="str">
        <v>Sunday</v>
      </c>
      <c r="D599" s="3831" t="s">
        <v>3160</v>
      </c>
      <c r="E599" s="3451">
        <f t="shared" si="103"/>
      </c>
      <c r="F599" s="3514" t="s">
        <v>3554</v>
      </c>
      <c r="G599" s="3655"/>
      <c r="H599" s="3514" t="s">
        <v>3106</v>
      </c>
      <c r="I599" s="3514"/>
      <c r="J599" s="3847"/>
      <c r="K599" s="3846"/>
      <c r="L599" s="3846"/>
      <c r="M599" s="3846"/>
      <c r="N599" s="3846"/>
      <c r="O599" s="3846"/>
      <c r="P599" s="3846"/>
    </row>
    <row customHeight="true" ht="16.071428571428573" r="600">
      <c r="A600" s="3449" t="s">
        <v>3557</v>
      </c>
      <c r="B600" s="3428">
        <v>46264</v>
      </c>
      <c r="C600" s="3449" t="str">
        <v>Sunday</v>
      </c>
      <c r="D600" s="3831" t="s">
        <v>3159</v>
      </c>
      <c r="E600" s="3451">
        <f t="shared" si="103"/>
      </c>
      <c r="F600" s="3514" t="s">
        <v>3554</v>
      </c>
      <c r="G600" s="3655"/>
      <c r="H600" s="3514"/>
      <c r="I600" s="3514"/>
      <c r="J600" s="3664"/>
      <c r="K600" s="3427"/>
      <c r="L600" s="3427"/>
      <c r="M600" s="3427"/>
      <c r="N600" s="3427"/>
      <c r="O600" s="3427"/>
      <c r="P600" s="3427"/>
    </row>
    <row customHeight="true" ht="42.261904761904766" r="601">
      <c r="A601" s="3803" t="s">
        <v>3574</v>
      </c>
      <c r="B601" s="3803"/>
      <c r="C601" s="3803"/>
      <c r="D601" s="3803"/>
      <c r="E601" s="3803"/>
      <c r="F601" s="3803"/>
      <c r="G601" s="3803"/>
      <c r="H601" s="3803"/>
      <c r="I601" s="3803"/>
      <c r="J601" s="3804"/>
      <c r="K601" s="3467"/>
      <c r="L601" s="3467"/>
      <c r="M601" s="3467"/>
      <c r="N601" s="3467"/>
      <c r="O601" s="3467"/>
      <c r="P601" s="3467"/>
    </row>
    <row customHeight="true" ht="33.333333333333336" r="602">
      <c r="A602" s="3805" t="s">
        <v>3122</v>
      </c>
      <c r="B602" s="3806" t="s">
        <v>3123</v>
      </c>
      <c r="C602" s="3806"/>
      <c r="D602" s="3807" t="s">
        <v>3124</v>
      </c>
      <c r="E602" s="3807" t="s">
        <v>3125</v>
      </c>
      <c r="F602" s="3807" t="s">
        <v>3126</v>
      </c>
      <c r="G602" s="3808" t="s">
        <v>3148</v>
      </c>
      <c r="H602" s="3807" t="s">
        <v>3128</v>
      </c>
      <c r="I602" s="3807" t="s">
        <v>3129</v>
      </c>
      <c r="J602" s="3809" t="s">
        <v>3130</v>
      </c>
      <c r="K602" s="3448"/>
      <c r="L602" s="3448"/>
      <c r="M602" s="3448"/>
      <c r="N602" s="3448"/>
      <c r="O602" s="3448"/>
      <c r="P602" s="3448"/>
    </row>
    <row customHeight="true" ht="16.071428571428573" r="603">
      <c r="A603" s="3796" t="s">
        <v>3575</v>
      </c>
      <c r="B603" s="3581">
        <v>46259</v>
      </c>
      <c r="C603" s="3582" t="str">
        <v>Tuesday</v>
      </c>
      <c r="D603" s="3450" t="s">
        <v>3219</v>
      </c>
      <c r="E603" s="3425">
        <f t="shared" ref="E603:E615" si="104">24*MOD(TIMEVALUE(TRIM(MID(D603,FIND("-",D603)+1,LEN(D603)))) - TIMEVALUE(TRIM(LEFT(D603,FIND("-",D603)-1))),1)</f>
      </c>
      <c r="F603" s="3425" t="s">
        <v>3396</v>
      </c>
      <c r="G603" s="3822"/>
      <c r="H603" s="3699"/>
      <c r="I603" s="3699"/>
      <c r="J603" s="3699"/>
      <c r="K603" s="3427"/>
      <c r="L603" s="3427"/>
      <c r="M603" s="3427"/>
      <c r="N603" s="3427"/>
      <c r="O603" s="3427"/>
      <c r="P603" s="3427"/>
    </row>
    <row customHeight="true" ht="22.25056689342507" r="604">
      <c r="A604" s="3796" t="s">
        <v>3575</v>
      </c>
      <c r="B604" s="3581">
        <v>46260</v>
      </c>
      <c r="C604" s="3582" t="str">
        <v>Wednesday</v>
      </c>
      <c r="D604" s="3450" t="s">
        <v>3576</v>
      </c>
      <c r="E604" s="3514">
        <f t="shared" si="104"/>
      </c>
      <c r="F604" s="3425" t="s">
        <v>3379</v>
      </c>
      <c r="G604" s="3584" t="s">
        <v>3577</v>
      </c>
      <c r="H604" s="3848" t="s">
        <v>3198</v>
      </c>
      <c r="I604" s="3451" t="s">
        <v>3107</v>
      </c>
      <c r="J604" s="3453"/>
      <c r="K604" s="3427"/>
      <c r="L604" s="3427"/>
      <c r="M604" s="3427"/>
      <c r="N604" s="3427"/>
      <c r="O604" s="3427"/>
      <c r="P604" s="3427"/>
    </row>
    <row customHeight="true" ht="16.071428571428573" r="605">
      <c r="A605" s="3796" t="s">
        <v>3575</v>
      </c>
      <c r="B605" s="3581">
        <v>46261</v>
      </c>
      <c r="C605" s="3582" t="str">
        <v>Thursday</v>
      </c>
      <c r="D605" s="3450" t="s">
        <v>3219</v>
      </c>
      <c r="E605" s="3514">
        <f t="shared" si="104"/>
      </c>
      <c r="F605" s="3425" t="s">
        <v>3259</v>
      </c>
      <c r="G605" s="3588"/>
      <c r="H605" s="3425"/>
      <c r="I605" s="3451"/>
      <c r="J605" s="3453"/>
      <c r="K605" s="3427"/>
      <c r="L605" s="3427"/>
      <c r="M605" s="3427"/>
      <c r="N605" s="3427"/>
      <c r="O605" s="3427"/>
      <c r="P605" s="3427"/>
    </row>
    <row customHeight="true" ht="16.071428571428573" r="606">
      <c r="A606" s="3796" t="s">
        <v>3575</v>
      </c>
      <c r="B606" s="3581">
        <v>46262</v>
      </c>
      <c r="C606" s="3582" t="str">
        <v>Friday</v>
      </c>
      <c r="D606" s="3450" t="s">
        <v>3219</v>
      </c>
      <c r="E606" s="3425">
        <f t="shared" si="104"/>
      </c>
      <c r="F606" s="3462" t="s">
        <v>3396</v>
      </c>
      <c r="G606" s="3588"/>
      <c r="H606" s="3425"/>
      <c r="I606" s="3451"/>
      <c r="J606" s="3453"/>
      <c r="K606" s="3427"/>
      <c r="L606" s="3427"/>
      <c r="M606" s="3427"/>
      <c r="N606" s="3427"/>
      <c r="O606" s="3427"/>
      <c r="P606" s="3427"/>
    </row>
    <row customHeight="true" ht="16.071428571428573" r="607">
      <c r="A607" s="3796" t="s">
        <v>3575</v>
      </c>
      <c r="B607" s="3581">
        <v>46263</v>
      </c>
      <c r="C607" s="3582" t="str">
        <v>Saturday</v>
      </c>
      <c r="D607" s="3450" t="s">
        <v>3219</v>
      </c>
      <c r="E607" s="3514">
        <f t="shared" si="104"/>
      </c>
      <c r="F607" s="3462" t="s">
        <v>3396</v>
      </c>
      <c r="G607" s="3588"/>
      <c r="H607" s="3425" t="s">
        <v>3198</v>
      </c>
      <c r="I607" s="3425" t="s">
        <v>3140</v>
      </c>
      <c r="J607" s="3453"/>
      <c r="K607" s="3427"/>
      <c r="L607" s="3427"/>
      <c r="M607" s="3427"/>
      <c r="N607" s="3427"/>
      <c r="O607" s="3427"/>
      <c r="P607" s="3427"/>
    </row>
    <row customHeight="true" ht="16.071428571428573" r="608">
      <c r="A608" s="3796" t="s">
        <v>3575</v>
      </c>
      <c r="B608" s="3581">
        <v>46264</v>
      </c>
      <c r="C608" s="3582" t="str">
        <v>Sunday</v>
      </c>
      <c r="D608" s="3450" t="s">
        <v>3219</v>
      </c>
      <c r="E608" s="3425">
        <f t="shared" si="104"/>
      </c>
      <c r="F608" s="3462" t="s">
        <v>3396</v>
      </c>
      <c r="G608" s="3655"/>
      <c r="H608" s="3514"/>
      <c r="I608" s="3514"/>
      <c r="J608" s="3664"/>
      <c r="K608" s="3427"/>
      <c r="L608" s="3427"/>
      <c r="M608" s="3427"/>
      <c r="N608" s="3427"/>
      <c r="O608" s="3427"/>
      <c r="P608" s="3427"/>
    </row>
    <row customHeight="true" ht="16.071428571428573" r="609">
      <c r="A609" s="3449" t="s">
        <v>3578</v>
      </c>
      <c r="B609" s="3581">
        <v>46260</v>
      </c>
      <c r="C609" s="3582" t="str">
        <v>Wednesday</v>
      </c>
      <c r="D609" s="3450" t="s">
        <v>3579</v>
      </c>
      <c r="E609" s="3514">
        <f t="shared" si="104"/>
      </c>
      <c r="F609" s="3462"/>
      <c r="G609" s="3655"/>
      <c r="H609" s="3514"/>
      <c r="I609" s="3425" t="s">
        <v>3107</v>
      </c>
      <c r="J609" s="3664"/>
      <c r="K609" s="3427"/>
      <c r="L609" s="3427"/>
      <c r="M609" s="3427"/>
      <c r="N609" s="3427"/>
      <c r="O609" s="3427"/>
      <c r="P609" s="3427"/>
    </row>
    <row customHeight="true" ht="16.071428571428573" r="610">
      <c r="A610" s="3449" t="s">
        <v>3578</v>
      </c>
      <c r="B610" s="3581">
        <v>46261</v>
      </c>
      <c r="C610" s="3582" t="str">
        <v>Thursday</v>
      </c>
      <c r="D610" s="3450" t="s">
        <v>3580</v>
      </c>
      <c r="E610" s="3514">
        <f t="shared" si="104"/>
      </c>
      <c r="F610" s="3462" t="s">
        <v>3436</v>
      </c>
      <c r="G610" s="3655"/>
      <c r="H610" s="3514"/>
      <c r="I610" s="3514"/>
      <c r="J610" s="3664"/>
      <c r="K610" s="3427"/>
      <c r="L610" s="3427"/>
      <c r="M610" s="3427"/>
      <c r="N610" s="3427"/>
      <c r="O610" s="3427"/>
      <c r="P610" s="3427"/>
    </row>
    <row customHeight="true" ht="16.071428571428573" r="611">
      <c r="A611" s="3449" t="s">
        <v>3578</v>
      </c>
      <c r="B611" s="3581">
        <v>46262</v>
      </c>
      <c r="C611" s="3582" t="str">
        <v>Friday</v>
      </c>
      <c r="D611" s="3450" t="s">
        <v>3581</v>
      </c>
      <c r="E611" s="3425">
        <f t="shared" si="104"/>
      </c>
      <c r="F611" s="3462" t="s">
        <v>3436</v>
      </c>
      <c r="G611" s="3655"/>
      <c r="H611" s="3514"/>
      <c r="I611" s="3514"/>
      <c r="J611" s="3664"/>
      <c r="K611" s="3427"/>
      <c r="L611" s="3427"/>
      <c r="M611" s="3427"/>
      <c r="N611" s="3427"/>
      <c r="O611" s="3427"/>
      <c r="P611" s="3427"/>
    </row>
    <row customHeight="true" ht="16.071428571428573" r="612">
      <c r="A612" s="3449" t="s">
        <v>3578</v>
      </c>
      <c r="B612" s="3581">
        <v>46263</v>
      </c>
      <c r="C612" s="3582" t="str">
        <v>Saturday</v>
      </c>
      <c r="D612" s="3450" t="s">
        <v>3582</v>
      </c>
      <c r="E612" s="3514">
        <f t="shared" si="104"/>
      </c>
      <c r="F612" s="3462" t="s">
        <v>3436</v>
      </c>
      <c r="G612" s="3655"/>
      <c r="H612" s="3514"/>
      <c r="I612" s="3514"/>
      <c r="J612" s="3664"/>
      <c r="K612" s="3427"/>
      <c r="L612" s="3427"/>
      <c r="M612" s="3427"/>
      <c r="N612" s="3427"/>
      <c r="O612" s="3427"/>
      <c r="P612" s="3427"/>
    </row>
    <row customHeight="true" ht="16.071428571428573" r="613">
      <c r="A613" s="3449" t="s">
        <v>3578</v>
      </c>
      <c r="B613" s="3581">
        <v>46264</v>
      </c>
      <c r="C613" s="3582" t="str">
        <v>Sunday</v>
      </c>
      <c r="D613" s="3450" t="s">
        <v>3583</v>
      </c>
      <c r="E613" s="3425">
        <f t="shared" si="104"/>
      </c>
      <c r="F613" s="3462" t="s">
        <v>3436</v>
      </c>
      <c r="G613" s="3655"/>
      <c r="H613" s="3514"/>
      <c r="I613" s="3514"/>
      <c r="J613" s="3664"/>
      <c r="K613" s="3427"/>
      <c r="L613" s="3427"/>
      <c r="M613" s="3427"/>
      <c r="N613" s="3427"/>
      <c r="O613" s="3427"/>
      <c r="P613" s="3427"/>
    </row>
    <row customHeight="true" ht="16.071428571428573" r="614">
      <c r="A614" s="3449" t="s">
        <v>3584</v>
      </c>
      <c r="B614" s="3581">
        <v>46258</v>
      </c>
      <c r="C614" s="3582" t="str">
        <v>Monday</v>
      </c>
      <c r="D614" s="3450" t="s">
        <v>3237</v>
      </c>
      <c r="E614" s="3514">
        <f t="shared" si="104"/>
      </c>
      <c r="F614" s="3425" t="s">
        <v>3259</v>
      </c>
      <c r="G614" s="3655"/>
      <c r="H614" s="3514"/>
      <c r="I614" s="3514"/>
      <c r="J614" s="3664"/>
      <c r="K614" s="3427"/>
      <c r="L614" s="3427"/>
      <c r="M614" s="3427"/>
      <c r="N614" s="3427"/>
      <c r="O614" s="3427"/>
      <c r="P614" s="3427"/>
    </row>
    <row customHeight="true" ht="16.071428571428573" r="615">
      <c r="A615" s="3449" t="s">
        <v>3578</v>
      </c>
      <c r="B615" s="3581">
        <v>46258</v>
      </c>
      <c r="C615" s="3582" t="str">
        <v>Monday</v>
      </c>
      <c r="D615" s="3450" t="s">
        <v>3585</v>
      </c>
      <c r="E615" s="3425">
        <f t="shared" si="104"/>
      </c>
      <c r="F615" s="3462" t="s">
        <v>3436</v>
      </c>
      <c r="G615" s="3655"/>
      <c r="H615" s="3514"/>
      <c r="I615" s="3514"/>
      <c r="J615" s="3664"/>
      <c r="K615" s="3427"/>
      <c r="L615" s="3427"/>
      <c r="M615" s="3427"/>
      <c r="N615" s="3427"/>
      <c r="O615" s="3427"/>
      <c r="P615" s="3427"/>
    </row>
    <row customHeight="true" ht="16.071428571428573" r="616">
      <c r="A616" s="3849"/>
      <c r="B616" s="3582"/>
      <c r="C616" s="3582"/>
      <c r="D616" s="3514"/>
      <c r="E616" s="3514"/>
      <c r="F616" s="3514"/>
      <c r="G616" s="3655"/>
      <c r="H616" s="3514"/>
      <c r="I616" s="3514"/>
      <c r="J616" s="3664"/>
      <c r="K616" s="3427"/>
      <c r="L616" s="3427"/>
      <c r="M616" s="3427"/>
      <c r="N616" s="3427"/>
      <c r="O616" s="3427"/>
      <c r="P616" s="3427"/>
    </row>
    <row customHeight="true" ht="32.73809523809524" r="617">
      <c r="A617" s="3850" t="s">
        <v>3586</v>
      </c>
      <c r="B617" s="3850"/>
      <c r="C617" s="3850"/>
      <c r="D617" s="3850"/>
      <c r="E617" s="3850"/>
      <c r="F617" s="3850"/>
      <c r="G617" s="3850"/>
      <c r="H617" s="3850"/>
      <c r="I617" s="3850"/>
      <c r="J617" s="3851"/>
      <c r="K617" s="3852"/>
      <c r="L617" s="3852"/>
      <c r="M617" s="3852"/>
      <c r="N617" s="3852"/>
      <c r="O617" s="3852"/>
      <c r="P617" s="3852"/>
    </row>
    <row customHeight="true" ht="32.73809523809524" r="618">
      <c r="A618" s="3853" t="s">
        <v>3122</v>
      </c>
      <c r="B618" s="3854" t="s">
        <v>3123</v>
      </c>
      <c r="C618" s="3854"/>
      <c r="D618" s="3855" t="s">
        <v>3124</v>
      </c>
      <c r="E618" s="3855" t="s">
        <v>3125</v>
      </c>
      <c r="F618" s="3855" t="s">
        <v>3126</v>
      </c>
      <c r="G618" s="3856" t="s">
        <v>3148</v>
      </c>
      <c r="H618" s="3855" t="s">
        <v>3128</v>
      </c>
      <c r="I618" s="3855" t="s">
        <v>3129</v>
      </c>
      <c r="J618" s="3857" t="s">
        <v>3130</v>
      </c>
      <c r="K618" s="3858"/>
      <c r="L618" s="3858"/>
      <c r="M618" s="3858"/>
      <c r="N618" s="3858"/>
      <c r="O618" s="3858"/>
      <c r="P618" s="3858"/>
    </row>
    <row customHeight="true" ht="16.071428571428573" r="619">
      <c r="A619" s="3796" t="s">
        <v>3587</v>
      </c>
      <c r="B619" s="3581">
        <v>46259</v>
      </c>
      <c r="C619" s="3582" t="str">
        <v>Tuesday</v>
      </c>
      <c r="D619" s="3450" t="s">
        <v>3588</v>
      </c>
      <c r="E619" s="3425">
        <f t="shared" ref="E619:E630" si="105">24*MOD(TIMEVALUE(TRIM(MID(D619,FIND("-",D619)+1,LEN(D619)))) - TIMEVALUE(TRIM(LEFT(D619,FIND("-",D619)-1))),1)</f>
      </c>
      <c r="F619" s="3453" t="s">
        <v>3333</v>
      </c>
      <c r="G619" s="3859" t="s">
        <v>3589</v>
      </c>
      <c r="H619" s="3848" t="s">
        <v>3198</v>
      </c>
      <c r="I619" s="3451" t="s">
        <v>3107</v>
      </c>
      <c r="J619" s="3699"/>
      <c r="K619" s="3427"/>
      <c r="L619" s="3427"/>
      <c r="M619" s="3427"/>
      <c r="N619" s="3427"/>
      <c r="O619" s="3427"/>
      <c r="P619" s="3427"/>
    </row>
    <row customHeight="true" ht="16.071428571428573" r="620">
      <c r="A620" s="3860" t="s">
        <v>3590</v>
      </c>
      <c r="B620" s="3483">
        <v>46259</v>
      </c>
      <c r="C620" s="3482" t="str">
        <v>Tuesday</v>
      </c>
      <c r="D620" s="3484" t="s">
        <v>3591</v>
      </c>
      <c r="E620" s="3485">
        <f t="shared" si="105"/>
      </c>
      <c r="F620" s="3485" t="s">
        <v>3163</v>
      </c>
      <c r="G620" s="3861"/>
      <c r="H620" s="3862"/>
      <c r="I620" s="3485" t="s">
        <v>3107</v>
      </c>
      <c r="J620" s="3699"/>
      <c r="K620" s="3427"/>
      <c r="L620" s="3427"/>
      <c r="M620" s="3427"/>
      <c r="N620" s="3427"/>
      <c r="O620" s="3427"/>
      <c r="P620" s="3427"/>
    </row>
    <row customHeight="true" ht="16.071428571428573" r="621">
      <c r="A621" s="3796" t="s">
        <v>3587</v>
      </c>
      <c r="B621" s="3581">
        <v>46260</v>
      </c>
      <c r="C621" s="3582" t="str">
        <v>Wednesday</v>
      </c>
      <c r="D621" s="3450" t="s">
        <v>3536</v>
      </c>
      <c r="E621" s="3425">
        <f t="shared" si="105"/>
      </c>
      <c r="F621" s="3425" t="s">
        <v>3333</v>
      </c>
      <c r="G621" s="3584" t="s">
        <v>3592</v>
      </c>
      <c r="H621" s="3848" t="s">
        <v>3198</v>
      </c>
      <c r="I621" s="3451" t="s">
        <v>3107</v>
      </c>
      <c r="J621" s="3453"/>
      <c r="K621" s="3427"/>
      <c r="L621" s="3427"/>
      <c r="M621" s="3427"/>
      <c r="N621" s="3427"/>
      <c r="O621" s="3427"/>
      <c r="P621" s="3427"/>
    </row>
    <row customHeight="true" ht="16.071428571428573" r="622">
      <c r="A622" s="3860" t="s">
        <v>3590</v>
      </c>
      <c r="B622" s="3483">
        <v>46260</v>
      </c>
      <c r="C622" s="3482" t="str">
        <v>Wednesday</v>
      </c>
      <c r="D622" s="3484" t="s">
        <v>3593</v>
      </c>
      <c r="E622" s="3485">
        <f t="shared" si="105"/>
      </c>
      <c r="F622" s="3485" t="s">
        <v>3163</v>
      </c>
      <c r="G622" s="3489"/>
      <c r="H622" s="3862"/>
      <c r="I622" s="3485" t="s">
        <v>3107</v>
      </c>
      <c r="J622" s="3453"/>
      <c r="K622" s="3427"/>
      <c r="L622" s="3427"/>
      <c r="M622" s="3427"/>
      <c r="N622" s="3427"/>
      <c r="O622" s="3427"/>
      <c r="P622" s="3427"/>
    </row>
    <row customHeight="true" ht="16.071428571428573" r="623">
      <c r="A623" s="3796" t="s">
        <v>3587</v>
      </c>
      <c r="B623" s="3581">
        <v>46261</v>
      </c>
      <c r="C623" s="3582" t="str">
        <v>Thursday</v>
      </c>
      <c r="D623" s="3450" t="s">
        <v>3536</v>
      </c>
      <c r="E623" s="3425">
        <f t="shared" si="105"/>
      </c>
      <c r="F623" s="3425" t="s">
        <v>3333</v>
      </c>
      <c r="G623" s="3652"/>
      <c r="H623" s="3848" t="s">
        <v>3198</v>
      </c>
      <c r="I623" s="3451" t="s">
        <v>3107</v>
      </c>
      <c r="J623" s="3453"/>
      <c r="K623" s="3427"/>
      <c r="L623" s="3427"/>
      <c r="M623" s="3427"/>
      <c r="N623" s="3427"/>
      <c r="O623" s="3427"/>
      <c r="P623" s="3427"/>
    </row>
    <row customHeight="true" ht="16.071428571428573" r="624">
      <c r="A624" s="3860" t="s">
        <v>3590</v>
      </c>
      <c r="B624" s="3483">
        <v>46261</v>
      </c>
      <c r="C624" s="3482" t="str">
        <v>Thursday</v>
      </c>
      <c r="D624" s="3484" t="s">
        <v>3536</v>
      </c>
      <c r="E624" s="3485">
        <f t="shared" si="105"/>
      </c>
      <c r="F624" s="3462" t="s">
        <v>3135</v>
      </c>
      <c r="G624" s="3489"/>
      <c r="H624" s="3862"/>
      <c r="I624" s="3485"/>
      <c r="J624" s="3453"/>
      <c r="K624" s="3427"/>
      <c r="L624" s="3427"/>
      <c r="M624" s="3427"/>
      <c r="N624" s="3427"/>
      <c r="O624" s="3427"/>
      <c r="P624" s="3427"/>
    </row>
    <row customHeight="true" ht="16.071428571428573" r="625">
      <c r="A625" s="3796" t="s">
        <v>3587</v>
      </c>
      <c r="B625" s="3581">
        <v>46262</v>
      </c>
      <c r="C625" s="3582" t="str">
        <v>Friday</v>
      </c>
      <c r="D625" s="3450" t="s">
        <v>3583</v>
      </c>
      <c r="E625" s="3425">
        <f t="shared" si="105"/>
      </c>
      <c r="F625" s="3425"/>
      <c r="G625" s="3652"/>
      <c r="H625" s="3848" t="s">
        <v>3198</v>
      </c>
      <c r="I625" s="3451" t="s">
        <v>3140</v>
      </c>
      <c r="J625" s="3453"/>
      <c r="K625" s="3427"/>
      <c r="L625" s="3427"/>
      <c r="M625" s="3427"/>
      <c r="N625" s="3427"/>
      <c r="O625" s="3427"/>
      <c r="P625" s="3427"/>
    </row>
    <row customHeight="true" ht="16.071428571428573" r="626">
      <c r="A626" s="3860" t="s">
        <v>3590</v>
      </c>
      <c r="B626" s="3483">
        <v>46262</v>
      </c>
      <c r="C626" s="3482" t="str">
        <v>Friday</v>
      </c>
      <c r="D626" s="3484" t="s">
        <v>3536</v>
      </c>
      <c r="E626" s="3485">
        <f t="shared" si="105"/>
      </c>
      <c r="F626" s="3462"/>
      <c r="G626" s="3489"/>
      <c r="H626" s="3862"/>
      <c r="I626" s="3485"/>
      <c r="J626" s="3453"/>
      <c r="K626" s="3427"/>
      <c r="L626" s="3427"/>
      <c r="M626" s="3427"/>
      <c r="N626" s="3427"/>
      <c r="O626" s="3427"/>
      <c r="P626" s="3427"/>
    </row>
    <row customHeight="true" ht="16.071428571428573" r="627">
      <c r="A627" s="3796" t="s">
        <v>3587</v>
      </c>
      <c r="B627" s="3581">
        <v>46263</v>
      </c>
      <c r="C627" s="3582" t="str">
        <v>Saturday</v>
      </c>
      <c r="D627" s="3450" t="s">
        <v>3588</v>
      </c>
      <c r="E627" s="3514">
        <f t="shared" si="105"/>
      </c>
      <c r="F627" s="3462"/>
      <c r="G627" s="3652"/>
      <c r="H627" s="3848" t="s">
        <v>3198</v>
      </c>
      <c r="I627" s="3451" t="s">
        <v>3140</v>
      </c>
      <c r="J627" s="3453"/>
      <c r="K627" s="3427"/>
      <c r="L627" s="3427"/>
      <c r="M627" s="3427"/>
      <c r="N627" s="3427"/>
      <c r="O627" s="3427"/>
      <c r="P627" s="3427"/>
    </row>
    <row customHeight="true" ht="16.071428571428573" r="628">
      <c r="A628" s="3860" t="s">
        <v>3590</v>
      </c>
      <c r="B628" s="3483">
        <v>46263</v>
      </c>
      <c r="C628" s="3482" t="str">
        <v>Saturday</v>
      </c>
      <c r="D628" s="3484" t="s">
        <v>3594</v>
      </c>
      <c r="E628" s="3485">
        <f t="shared" si="105"/>
      </c>
      <c r="F628" s="3462"/>
      <c r="G628" s="3489"/>
      <c r="H628" s="3862"/>
      <c r="I628" s="3485"/>
      <c r="J628" s="3453"/>
      <c r="K628" s="3427"/>
      <c r="L628" s="3427"/>
      <c r="M628" s="3427"/>
      <c r="N628" s="3427"/>
      <c r="O628" s="3427"/>
      <c r="P628" s="3427"/>
    </row>
    <row customHeight="true" ht="16.071428571428573" r="629">
      <c r="A629" s="3796" t="s">
        <v>3587</v>
      </c>
      <c r="B629" s="3581">
        <v>46264</v>
      </c>
      <c r="C629" s="3582" t="str">
        <v>Sunday</v>
      </c>
      <c r="D629" s="3425" t="s">
        <v>3595</v>
      </c>
      <c r="E629" s="3425">
        <f t="shared" si="105"/>
      </c>
      <c r="F629" s="3462"/>
      <c r="G629" s="3652"/>
      <c r="H629" s="3848" t="s">
        <v>3198</v>
      </c>
      <c r="I629" s="3451" t="s">
        <v>3140</v>
      </c>
      <c r="J629" s="3664"/>
      <c r="K629" s="3427"/>
      <c r="L629" s="3427"/>
      <c r="M629" s="3427"/>
      <c r="N629" s="3427"/>
      <c r="O629" s="3427"/>
      <c r="P629" s="3427"/>
    </row>
    <row r="630">
      <c r="A630" s="3860" t="s">
        <v>3590</v>
      </c>
      <c r="B630" s="3483">
        <v>46264</v>
      </c>
      <c r="C630" s="3482" t="str">
        <v>Sunday</v>
      </c>
      <c r="D630" s="3484" t="s">
        <v>3596</v>
      </c>
      <c r="E630" s="3485">
        <f t="shared" si="105"/>
      </c>
      <c r="F630" s="3462"/>
      <c r="G630" s="3489"/>
      <c r="H630" s="3862"/>
      <c r="I630" s="3485"/>
    </row>
    <row customHeight="true" ht="16.071428571428573" r="631">
      <c r="A631" s="3796"/>
      <c r="B631" s="3581"/>
      <c r="C631" s="3582"/>
      <c r="D631" s="3425"/>
      <c r="E631" s="3425"/>
      <c r="F631" s="3462"/>
      <c r="G631" s="3584"/>
      <c r="H631" s="3848"/>
      <c r="I631" s="3451"/>
      <c r="J631" s="3664"/>
      <c r="K631" s="3427"/>
      <c r="L631" s="3427"/>
      <c r="M631" s="3427"/>
      <c r="N631" s="3427"/>
      <c r="O631" s="3427"/>
      <c r="P631" s="3427"/>
    </row>
    <row customHeight="true" ht="16.071428571428573" r="632">
      <c r="A632" s="3849" t="s">
        <v>3597</v>
      </c>
      <c r="B632" s="3581">
        <v>46258</v>
      </c>
      <c r="C632" s="3582" t="str">
        <v>Monday</v>
      </c>
      <c r="D632" s="3583" t="s">
        <v>3219</v>
      </c>
      <c r="E632" s="3425">
        <f t="shared" ref="E632:E634" si="106">24*MOD(TIMEVALUE(TRIM(MID(D632,FIND("-",D632)+1,LEN(D632)))) - TIMEVALUE(TRIM(LEFT(D632,FIND("-",D632)-1))),1)</f>
      </c>
      <c r="F632" s="3425" t="s">
        <v>3259</v>
      </c>
      <c r="G632" s="3652" t="s">
        <v>3598</v>
      </c>
      <c r="H632" s="3848" t="s">
        <v>3198</v>
      </c>
      <c r="I632" s="3451" t="s">
        <v>3140</v>
      </c>
      <c r="J632" s="3664"/>
      <c r="K632" s="3427"/>
      <c r="L632" s="3427"/>
      <c r="M632" s="3427"/>
      <c r="N632" s="3427"/>
      <c r="O632" s="3427"/>
      <c r="P632" s="3427"/>
    </row>
    <row customHeight="true" ht="16.071428571428573" r="633">
      <c r="A633" s="3849" t="s">
        <v>3597</v>
      </c>
      <c r="B633" s="3581">
        <v>46258</v>
      </c>
      <c r="C633" s="3582" t="str">
        <v>Monday</v>
      </c>
      <c r="D633" s="3583" t="s">
        <v>3599</v>
      </c>
      <c r="E633" s="3425">
        <f t="shared" si="106"/>
      </c>
      <c r="F633" s="3462" t="s">
        <v>3436</v>
      </c>
      <c r="G633" s="3655"/>
      <c r="H633" s="3848" t="s">
        <v>3198</v>
      </c>
      <c r="I633" s="3451" t="s">
        <v>3140</v>
      </c>
      <c r="J633" s="3664"/>
      <c r="K633" s="3427"/>
      <c r="L633" s="3427"/>
      <c r="M633" s="3427"/>
      <c r="N633" s="3427"/>
      <c r="O633" s="3427"/>
      <c r="P633" s="3427"/>
    </row>
    <row customHeight="true" ht="16.071428571428573" r="634">
      <c r="A634" s="3849" t="s">
        <v>3597</v>
      </c>
      <c r="B634" s="3581">
        <v>46258</v>
      </c>
      <c r="C634" s="3582" t="str">
        <v>Monday</v>
      </c>
      <c r="D634" s="3583" t="s">
        <v>3219</v>
      </c>
      <c r="E634" s="3425">
        <f t="shared" si="106"/>
      </c>
      <c r="F634" s="3425" t="s">
        <v>3333</v>
      </c>
      <c r="G634" s="3652" t="s">
        <v>3600</v>
      </c>
      <c r="H634" s="3848" t="s">
        <v>3198</v>
      </c>
      <c r="I634" s="3451" t="s">
        <v>3140</v>
      </c>
      <c r="J634" s="3664"/>
      <c r="K634" s="3427"/>
      <c r="L634" s="3427"/>
      <c r="M634" s="3427"/>
      <c r="N634" s="3427"/>
      <c r="O634" s="3427"/>
      <c r="P634" s="3427"/>
    </row>
    <row customHeight="true" ht="16.071428571428573" r="635">
      <c r="A635" s="3849"/>
      <c r="B635" s="3581"/>
      <c r="C635" s="3582"/>
      <c r="D635" s="3425"/>
      <c r="E635" s="3514"/>
      <c r="F635" s="3462"/>
      <c r="G635" s="3655"/>
      <c r="H635" s="3514"/>
      <c r="I635" s="3514"/>
      <c r="J635" s="3664"/>
      <c r="K635" s="3427"/>
      <c r="L635" s="3427"/>
      <c r="M635" s="3427"/>
      <c r="N635" s="3427"/>
      <c r="O635" s="3427"/>
      <c r="P635" s="3427"/>
    </row>
    <row customHeight="true" ht="16.071428571428573" r="636">
      <c r="A636" s="3849"/>
      <c r="B636" s="3582"/>
      <c r="C636" s="3582"/>
      <c r="D636" s="3514"/>
      <c r="E636" s="3514"/>
      <c r="F636" s="3514"/>
      <c r="G636" s="3655"/>
      <c r="H636" s="3514"/>
      <c r="I636" s="3514"/>
      <c r="J636" s="3664"/>
      <c r="K636" s="3427"/>
      <c r="L636" s="3427"/>
      <c r="M636" s="3427"/>
      <c r="N636" s="3427"/>
      <c r="O636" s="3427"/>
      <c r="P636" s="3427"/>
    </row>
    <row r="637">
      <c r="A637" s="3863" t="s">
        <v>3601</v>
      </c>
      <c r="B637" s="3863"/>
      <c r="C637" s="3863"/>
      <c r="D637" s="3863"/>
      <c r="E637" s="3863"/>
      <c r="F637" s="3863"/>
      <c r="G637" s="3863"/>
      <c r="H637" s="3863"/>
      <c r="I637" s="3863"/>
      <c r="J637" s="3864"/>
      <c r="K637" s="3467"/>
      <c r="L637" s="3467"/>
      <c r="M637" s="3467"/>
      <c r="N637" s="3467"/>
      <c r="O637" s="3467"/>
      <c r="P637" s="3467"/>
    </row>
    <row r="638">
      <c r="A638" s="3865" t="s">
        <v>3122</v>
      </c>
      <c r="B638" s="3866" t="s">
        <v>3123</v>
      </c>
      <c r="C638" s="3866"/>
      <c r="D638" s="3867" t="s">
        <v>3124</v>
      </c>
      <c r="E638" s="3867" t="s">
        <v>3125</v>
      </c>
      <c r="F638" s="3867" t="s">
        <v>3126</v>
      </c>
      <c r="G638" s="3868" t="s">
        <v>3148</v>
      </c>
      <c r="H638" s="3867" t="s">
        <v>3128</v>
      </c>
      <c r="I638" s="3867" t="s">
        <v>3129</v>
      </c>
      <c r="J638" s="3869" t="s">
        <v>3130</v>
      </c>
      <c r="K638" s="3448"/>
      <c r="L638" s="3448"/>
      <c r="M638" s="3448"/>
      <c r="N638" s="3448"/>
      <c r="O638" s="3448"/>
      <c r="P638" s="3448"/>
    </row>
    <row customHeight="true" ht="18.452380952380953" r="639">
      <c r="A639" s="3449" t="s">
        <v>3602</v>
      </c>
      <c r="B639" s="3428">
        <v>46259</v>
      </c>
      <c r="C639" s="3449" t="str">
        <v>Tuesday</v>
      </c>
      <c r="D639" s="3450" t="s">
        <v>3169</v>
      </c>
      <c r="E639" s="3425">
        <f t="shared" ref="E639:E662" si="107">24*MOD(TIMEVALUE(TRIM(MID(D639,FIND("-",D639)+1,LEN(D639)))) - TIMEVALUE(TRIM(LEFT(D639,FIND("-",D639)-1))),1)</f>
      </c>
      <c r="F639" s="3451" t="s">
        <v>3352</v>
      </c>
      <c r="G639" s="3588"/>
      <c r="H639" s="3425" t="s">
        <v>3106</v>
      </c>
      <c r="I639" s="3425" t="s">
        <v>3107</v>
      </c>
      <c r="J639" s="3453"/>
      <c r="K639" s="3427"/>
      <c r="L639" s="3427"/>
      <c r="M639" s="3427"/>
      <c r="N639" s="3427"/>
      <c r="O639" s="3427"/>
      <c r="P639" s="3427"/>
    </row>
    <row customHeight="true" ht="18.452380952380953" r="640">
      <c r="A640" s="3766" t="s">
        <v>3603</v>
      </c>
      <c r="B640" s="3767">
        <v>46259</v>
      </c>
      <c r="C640" s="3766" t="str">
        <v>Tuesday</v>
      </c>
      <c r="D640" s="3783" t="s">
        <v>3604</v>
      </c>
      <c r="E640" s="3769">
        <f t="shared" si="107"/>
      </c>
      <c r="F640" s="3774" t="s">
        <v>3605</v>
      </c>
      <c r="G640" s="3775"/>
      <c r="H640" s="3774" t="s">
        <v>3106</v>
      </c>
      <c r="I640" s="3774" t="s">
        <v>3107</v>
      </c>
      <c r="J640" s="3870"/>
      <c r="K640" s="3427"/>
      <c r="L640" s="3427"/>
      <c r="M640" s="3427"/>
      <c r="N640" s="3427"/>
      <c r="O640" s="3427"/>
      <c r="P640" s="3427"/>
    </row>
    <row customHeight="true" ht="18.452380952380953" r="641">
      <c r="A641" s="3766" t="s">
        <v>3606</v>
      </c>
      <c r="B641" s="3767">
        <v>46259</v>
      </c>
      <c r="C641" s="3766" t="str">
        <v>Tuesday</v>
      </c>
      <c r="D641" s="3783" t="s">
        <v>3607</v>
      </c>
      <c r="E641" s="3769">
        <f t="shared" si="107"/>
      </c>
      <c r="F641" s="3774" t="s">
        <v>3605</v>
      </c>
      <c r="G641" s="3871" t="s">
        <v>3193</v>
      </c>
      <c r="H641" s="3774" t="s">
        <v>3106</v>
      </c>
      <c r="I641" s="3774" t="s">
        <v>3107</v>
      </c>
      <c r="J641" s="3870"/>
      <c r="K641" s="3427"/>
      <c r="L641" s="3427"/>
      <c r="M641" s="3427"/>
      <c r="N641" s="3427"/>
      <c r="O641" s="3427"/>
      <c r="P641" s="3427"/>
    </row>
    <row customHeight="true" ht="18.452380952380953" r="642">
      <c r="A642" s="3582" t="s">
        <v>3606</v>
      </c>
      <c r="B642" s="3581">
        <v>46260</v>
      </c>
      <c r="C642" s="3582" t="str">
        <v>Wednesday</v>
      </c>
      <c r="D642" s="3583" t="s">
        <v>3426</v>
      </c>
      <c r="E642" s="3514">
        <f t="shared" si="107"/>
      </c>
      <c r="F642" s="3514" t="s">
        <v>3608</v>
      </c>
      <c r="G642" s="3872" t="s">
        <v>3609</v>
      </c>
      <c r="H642" s="3514" t="s">
        <v>3106</v>
      </c>
      <c r="I642" s="3514" t="s">
        <v>3107</v>
      </c>
      <c r="J642" s="3664"/>
      <c r="K642" s="3427"/>
      <c r="L642" s="3427"/>
      <c r="M642" s="3427"/>
      <c r="N642" s="3427"/>
      <c r="O642" s="3427"/>
      <c r="P642" s="3427"/>
    </row>
    <row customHeight="true" ht="18.452380952380953" r="643">
      <c r="A643" s="3582" t="s">
        <v>3602</v>
      </c>
      <c r="B643" s="3581">
        <v>46260</v>
      </c>
      <c r="C643" s="3582" t="str">
        <v>Wednesday</v>
      </c>
      <c r="D643" s="3583" t="s">
        <v>3287</v>
      </c>
      <c r="E643" s="3514">
        <f t="shared" si="107"/>
      </c>
      <c r="F643" s="3514" t="s">
        <v>3608</v>
      </c>
      <c r="G643" s="3652"/>
      <c r="H643" s="3514" t="s">
        <v>3106</v>
      </c>
      <c r="I643" s="3514" t="s">
        <v>3107</v>
      </c>
      <c r="J643" s="3664"/>
      <c r="K643" s="3427"/>
      <c r="L643" s="3427"/>
      <c r="M643" s="3427"/>
      <c r="N643" s="3427"/>
      <c r="O643" s="3427"/>
      <c r="P643" s="3427"/>
    </row>
    <row customHeight="true" ht="18.452380952380953" r="644">
      <c r="A644" s="3582" t="s">
        <v>3602</v>
      </c>
      <c r="B644" s="3581">
        <v>46260</v>
      </c>
      <c r="C644" s="3582" t="str">
        <v>Wednesday</v>
      </c>
      <c r="D644" s="3583" t="s">
        <v>3164</v>
      </c>
      <c r="E644" s="3514">
        <f t="shared" si="107"/>
      </c>
      <c r="F644" s="3514" t="s">
        <v>3540</v>
      </c>
      <c r="G644" s="3652" t="s">
        <v>3610</v>
      </c>
      <c r="H644" s="3514" t="s">
        <v>3106</v>
      </c>
      <c r="I644" s="3514" t="s">
        <v>3107</v>
      </c>
      <c r="J644" s="3664"/>
      <c r="K644" s="3427"/>
      <c r="L644" s="3427"/>
      <c r="M644" s="3427"/>
      <c r="N644" s="3427"/>
      <c r="O644" s="3427"/>
      <c r="P644" s="3427"/>
    </row>
    <row customHeight="true" ht="18.452380952380953" r="645">
      <c r="A645" s="3766" t="s">
        <v>3603</v>
      </c>
      <c r="B645" s="3767">
        <v>46260</v>
      </c>
      <c r="C645" s="3766" t="str">
        <v>Wednesday</v>
      </c>
      <c r="D645" s="3783" t="s">
        <v>3611</v>
      </c>
      <c r="E645" s="3769">
        <f t="shared" si="107"/>
      </c>
      <c r="F645" s="3774" t="s">
        <v>3605</v>
      </c>
      <c r="G645" s="3770"/>
      <c r="H645" s="3774" t="s">
        <v>3106</v>
      </c>
      <c r="I645" s="3774" t="s">
        <v>3107</v>
      </c>
      <c r="J645" s="3873"/>
      <c r="K645" s="3427"/>
      <c r="L645" s="3427"/>
      <c r="M645" s="3427"/>
      <c r="N645" s="3427"/>
      <c r="O645" s="3427"/>
      <c r="P645" s="3427"/>
    </row>
    <row r="646">
      <c r="A646" s="3773" t="s">
        <v>3606</v>
      </c>
      <c r="B646" s="3835">
        <v>46261</v>
      </c>
      <c r="C646" s="3773" t="str">
        <v>Thursday</v>
      </c>
      <c r="D646" s="3768" t="s">
        <v>3612</v>
      </c>
      <c r="E646" s="3774">
        <f t="shared" si="107"/>
      </c>
      <c r="F646" s="3774" t="s">
        <v>3355</v>
      </c>
      <c r="G646" s="3874" t="s">
        <v>3613</v>
      </c>
      <c r="H646" s="3774" t="s">
        <v>3106</v>
      </c>
      <c r="I646" s="3774" t="s">
        <v>3107</v>
      </c>
      <c r="J646" s="3837"/>
      <c r="K646" s="3427"/>
      <c r="L646" s="3427"/>
      <c r="M646" s="3427"/>
      <c r="N646" s="3427"/>
      <c r="O646" s="3427"/>
      <c r="P646" s="3427"/>
    </row>
    <row r="647">
      <c r="A647" s="3454" t="s">
        <v>3602</v>
      </c>
      <c r="B647" s="3455">
        <v>46261</v>
      </c>
      <c r="C647" s="3454" t="str">
        <v>Thursday</v>
      </c>
      <c r="D647" s="3478" t="s">
        <v>3420</v>
      </c>
      <c r="E647" s="3458">
        <f t="shared" si="107"/>
      </c>
      <c r="F647" s="3458" t="s">
        <v>3355</v>
      </c>
      <c r="G647" s="3591"/>
      <c r="H647" s="3458" t="s">
        <v>3106</v>
      </c>
      <c r="I647" s="3458" t="s">
        <v>3107</v>
      </c>
      <c r="J647" s="3457"/>
      <c r="K647" s="3460"/>
      <c r="L647" s="3460"/>
      <c r="M647" s="3460"/>
      <c r="N647" s="3460"/>
      <c r="O647" s="3460"/>
      <c r="P647" s="3460"/>
    </row>
    <row customHeight="true" ht="18.452380952380953" r="648">
      <c r="A648" s="3582" t="s">
        <v>3602</v>
      </c>
      <c r="B648" s="3581">
        <v>46261</v>
      </c>
      <c r="C648" s="3582" t="str">
        <v>Thursday</v>
      </c>
      <c r="D648" s="3583" t="s">
        <v>3420</v>
      </c>
      <c r="E648" s="3514">
        <f t="shared" si="107"/>
      </c>
      <c r="F648" s="3514" t="s">
        <v>3352</v>
      </c>
      <c r="G648" s="3652"/>
      <c r="H648" s="3514" t="s">
        <v>3106</v>
      </c>
      <c r="I648" s="3514" t="s">
        <v>3107</v>
      </c>
      <c r="J648" s="3680"/>
      <c r="K648" s="3603"/>
      <c r="L648" s="3603"/>
      <c r="M648" s="3603"/>
      <c r="N648" s="3603"/>
      <c r="O648" s="3603"/>
      <c r="P648" s="3603"/>
    </row>
    <row customHeight="true" ht="18.452380952380953" r="649">
      <c r="A649" s="3773" t="s">
        <v>3606</v>
      </c>
      <c r="B649" s="3767">
        <v>46261</v>
      </c>
      <c r="C649" s="3766" t="str">
        <v>Thursday</v>
      </c>
      <c r="D649" s="3783" t="s">
        <v>3614</v>
      </c>
      <c r="E649" s="3769">
        <f t="shared" si="107"/>
      </c>
      <c r="F649" s="3774" t="s">
        <v>3615</v>
      </c>
      <c r="G649" s="3871"/>
      <c r="H649" s="3774" t="s">
        <v>3106</v>
      </c>
      <c r="I649" s="3774" t="s">
        <v>3107</v>
      </c>
      <c r="J649" s="3837"/>
      <c r="K649" s="3603"/>
      <c r="L649" s="3603"/>
      <c r="M649" s="3603"/>
      <c r="N649" s="3603"/>
      <c r="O649" s="3603"/>
      <c r="P649" s="3603"/>
    </row>
    <row r="650">
      <c r="A650" s="3766" t="s">
        <v>3603</v>
      </c>
      <c r="B650" s="3767">
        <v>46261</v>
      </c>
      <c r="C650" s="3766" t="str">
        <v>Thursday</v>
      </c>
      <c r="D650" s="3783" t="s">
        <v>3616</v>
      </c>
      <c r="E650" s="3769">
        <f t="shared" si="107"/>
      </c>
      <c r="F650" s="3774" t="s">
        <v>3605</v>
      </c>
      <c r="G650" s="3770"/>
      <c r="H650" s="3769" t="s">
        <v>3106</v>
      </c>
      <c r="I650" s="3769" t="s">
        <v>3107</v>
      </c>
      <c r="J650" s="3873"/>
      <c r="K650" s="3603"/>
      <c r="L650" s="3603"/>
      <c r="M650" s="3603"/>
      <c r="N650" s="3603"/>
      <c r="O650" s="3603"/>
      <c r="P650" s="3603"/>
    </row>
    <row customHeight="true" ht="18.452380952380953" r="651">
      <c r="A651" s="3766" t="s">
        <v>3606</v>
      </c>
      <c r="B651" s="3767">
        <v>46261</v>
      </c>
      <c r="C651" s="3766" t="str">
        <v>Thursday</v>
      </c>
      <c r="D651" s="3783" t="s">
        <v>3617</v>
      </c>
      <c r="E651" s="3769">
        <f t="shared" si="107"/>
      </c>
      <c r="F651" s="3774" t="s">
        <v>3605</v>
      </c>
      <c r="G651" s="3770" t="s">
        <v>3618</v>
      </c>
      <c r="H651" s="3769" t="s">
        <v>3106</v>
      </c>
      <c r="I651" s="3769" t="s">
        <v>3107</v>
      </c>
      <c r="J651" s="3873"/>
      <c r="K651" s="3603"/>
      <c r="L651" s="3603"/>
      <c r="M651" s="3603"/>
      <c r="N651" s="3603"/>
      <c r="O651" s="3603"/>
      <c r="P651" s="3603"/>
    </row>
    <row customHeight="true" ht="18.452380952380953" r="652">
      <c r="A652" s="3454" t="s">
        <v>3602</v>
      </c>
      <c r="B652" s="3455">
        <v>46262</v>
      </c>
      <c r="C652" s="3454" t="str">
        <v>Friday</v>
      </c>
      <c r="D652" s="3478" t="s">
        <v>3169</v>
      </c>
      <c r="E652" s="3458">
        <f t="shared" si="107"/>
      </c>
      <c r="F652" s="3458" t="s">
        <v>3355</v>
      </c>
      <c r="G652" s="3591"/>
      <c r="H652" s="3458" t="s">
        <v>3106</v>
      </c>
      <c r="I652" s="3458" t="s">
        <v>3107</v>
      </c>
      <c r="J652" s="3457"/>
      <c r="K652" s="3460"/>
      <c r="L652" s="3460"/>
      <c r="M652" s="3460"/>
      <c r="N652" s="3460"/>
      <c r="O652" s="3460"/>
      <c r="P652" s="3460"/>
    </row>
    <row customHeight="true" ht="18.452380952380953" r="653">
      <c r="A653" s="3582" t="s">
        <v>3602</v>
      </c>
      <c r="B653" s="3581">
        <v>46262</v>
      </c>
      <c r="C653" s="3582" t="str">
        <v>Friday</v>
      </c>
      <c r="D653" s="3583" t="s">
        <v>3157</v>
      </c>
      <c r="E653" s="3514">
        <f t="shared" si="107"/>
      </c>
      <c r="F653" s="3514" t="s">
        <v>3619</v>
      </c>
      <c r="G653" s="3655"/>
      <c r="H653" s="3514" t="s">
        <v>3106</v>
      </c>
      <c r="I653" s="3514" t="s">
        <v>3107</v>
      </c>
      <c r="J653" s="3664"/>
      <c r="K653" s="3427"/>
      <c r="L653" s="3427"/>
      <c r="M653" s="3427"/>
      <c r="N653" s="3427"/>
      <c r="O653" s="3427"/>
      <c r="P653" s="3427"/>
    </row>
    <row r="654">
      <c r="A654" s="3766" t="s">
        <v>3603</v>
      </c>
      <c r="B654" s="3767">
        <v>46262</v>
      </c>
      <c r="C654" s="3766" t="str">
        <v>Friday</v>
      </c>
      <c r="D654" s="3783" t="s">
        <v>3620</v>
      </c>
      <c r="E654" s="3769">
        <f t="shared" si="107"/>
      </c>
      <c r="F654" s="3774" t="s">
        <v>3605</v>
      </c>
      <c r="G654" s="3770" t="s">
        <v>3621</v>
      </c>
      <c r="H654" s="3769" t="s">
        <v>3106</v>
      </c>
      <c r="I654" s="3769" t="s">
        <v>3107</v>
      </c>
      <c r="J654" s="3782"/>
      <c r="K654" s="3427"/>
      <c r="L654" s="3427"/>
      <c r="M654" s="3427"/>
      <c r="N654" s="3427"/>
      <c r="O654" s="3427"/>
      <c r="P654" s="3427"/>
    </row>
    <row r="655">
      <c r="A655" s="3454" t="s">
        <v>3602</v>
      </c>
      <c r="B655" s="3455">
        <v>46263</v>
      </c>
      <c r="C655" s="3454" t="str">
        <v>Saturday</v>
      </c>
      <c r="D655" s="3478" t="s">
        <v>3622</v>
      </c>
      <c r="E655" s="3458">
        <f t="shared" si="107"/>
      </c>
      <c r="F655" s="3458" t="s">
        <v>3355</v>
      </c>
      <c r="G655" s="3591"/>
      <c r="H655" s="3458" t="s">
        <v>3106</v>
      </c>
      <c r="I655" s="3458" t="s">
        <v>3107</v>
      </c>
      <c r="J655" s="3457"/>
      <c r="K655" s="3427"/>
      <c r="L655" s="3427"/>
      <c r="M655" s="3427"/>
      <c r="N655" s="3427"/>
      <c r="O655" s="3427"/>
      <c r="P655" s="3427"/>
    </row>
    <row customHeight="true" ht="18.452380952380953" r="656">
      <c r="A656" s="3449" t="s">
        <v>3602</v>
      </c>
      <c r="B656" s="3428">
        <v>46263</v>
      </c>
      <c r="C656" s="3449" t="str">
        <v>Saturday</v>
      </c>
      <c r="D656" s="3421" t="s">
        <v>3622</v>
      </c>
      <c r="E656" s="3425">
        <f t="shared" si="107"/>
      </c>
      <c r="F656" s="3451" t="s">
        <v>3623</v>
      </c>
      <c r="G656" s="3653"/>
      <c r="H656" s="3425" t="s">
        <v>3106</v>
      </c>
      <c r="I656" s="3425" t="s">
        <v>3107</v>
      </c>
      <c r="J656" s="3453"/>
      <c r="K656" s="3427"/>
      <c r="L656" s="3427"/>
      <c r="M656" s="3427"/>
      <c r="N656" s="3427"/>
      <c r="O656" s="3427"/>
      <c r="P656" s="3427"/>
    </row>
    <row customHeight="true" ht="18.452380952380953" r="657">
      <c r="A657" s="3766" t="s">
        <v>3606</v>
      </c>
      <c r="B657" s="3835">
        <v>46263</v>
      </c>
      <c r="C657" s="3766" t="str">
        <v>Saturday</v>
      </c>
      <c r="D657" s="3783" t="s">
        <v>3624</v>
      </c>
      <c r="E657" s="3769">
        <f t="shared" si="107"/>
      </c>
      <c r="F657" s="3774" t="s">
        <v>3117</v>
      </c>
      <c r="G657" s="3770"/>
      <c r="H657" s="3769" t="s">
        <v>3106</v>
      </c>
      <c r="I657" s="3769" t="s">
        <v>3107</v>
      </c>
      <c r="J657" s="3782"/>
      <c r="K657" s="3427"/>
      <c r="L657" s="3427"/>
      <c r="M657" s="3427"/>
      <c r="N657" s="3427"/>
      <c r="O657" s="3427"/>
      <c r="P657" s="3427"/>
    </row>
    <row r="658">
      <c r="A658" s="3766" t="s">
        <v>3603</v>
      </c>
      <c r="B658" s="3835">
        <v>46263</v>
      </c>
      <c r="C658" s="3766" t="str">
        <v>Saturday</v>
      </c>
      <c r="D658" s="3783" t="s">
        <v>3622</v>
      </c>
      <c r="E658" s="3769">
        <f t="shared" si="107"/>
      </c>
      <c r="F658" s="3774" t="s">
        <v>3117</v>
      </c>
      <c r="G658" s="3770"/>
      <c r="H658" s="3769" t="s">
        <v>3106</v>
      </c>
      <c r="I658" s="3769" t="s">
        <v>3107</v>
      </c>
      <c r="J658" s="3782"/>
      <c r="K658" s="3427"/>
      <c r="L658" s="3427"/>
      <c r="M658" s="3427"/>
      <c r="N658" s="3427"/>
      <c r="O658" s="3427"/>
      <c r="P658" s="3427"/>
    </row>
    <row customHeight="true" ht="18.452380952380953" r="659">
      <c r="A659" s="3449" t="s">
        <v>3602</v>
      </c>
      <c r="B659" s="3428">
        <v>46264</v>
      </c>
      <c r="C659" s="3449" t="str">
        <v>Sunday</v>
      </c>
      <c r="D659" s="3450" t="s">
        <v>3420</v>
      </c>
      <c r="E659" s="3425">
        <f t="shared" si="107"/>
      </c>
      <c r="F659" s="3451" t="s">
        <v>3540</v>
      </c>
      <c r="G659" s="3653"/>
      <c r="H659" s="3425" t="s">
        <v>3106</v>
      </c>
      <c r="I659" s="3425" t="s">
        <v>3107</v>
      </c>
      <c r="J659" s="3453"/>
      <c r="K659" s="3427"/>
      <c r="L659" s="3427"/>
      <c r="M659" s="3427"/>
      <c r="N659" s="3427"/>
      <c r="O659" s="3427"/>
      <c r="P659" s="3427"/>
    </row>
    <row customHeight="true" ht="18.452380952380953" r="660">
      <c r="A660" s="3766" t="s">
        <v>3606</v>
      </c>
      <c r="B660" s="3835">
        <v>46264</v>
      </c>
      <c r="C660" s="3766" t="str">
        <v>Sunday</v>
      </c>
      <c r="D660" s="3783" t="s">
        <v>3625</v>
      </c>
      <c r="E660" s="3769">
        <f t="shared" si="107"/>
      </c>
      <c r="F660" s="3774" t="s">
        <v>3605</v>
      </c>
      <c r="G660" s="3770"/>
      <c r="H660" s="3769" t="s">
        <v>3106</v>
      </c>
      <c r="I660" s="3769" t="s">
        <v>3107</v>
      </c>
      <c r="J660" s="3837"/>
      <c r="K660" s="3603"/>
      <c r="L660" s="3603"/>
      <c r="M660" s="3603"/>
      <c r="N660" s="3603"/>
      <c r="O660" s="3603"/>
      <c r="P660" s="3603"/>
    </row>
    <row customHeight="true" ht="18.452380952380953" r="661">
      <c r="A661" s="3766" t="s">
        <v>3603</v>
      </c>
      <c r="B661" s="3835">
        <v>46264</v>
      </c>
      <c r="C661" s="3766" t="str">
        <v>Sunday</v>
      </c>
      <c r="D661" s="3783" t="s">
        <v>3616</v>
      </c>
      <c r="E661" s="3769">
        <f t="shared" si="107"/>
      </c>
      <c r="F661" s="3774" t="s">
        <v>3605</v>
      </c>
      <c r="G661" s="3770"/>
      <c r="H661" s="3769" t="s">
        <v>3106</v>
      </c>
      <c r="I661" s="3769" t="s">
        <v>3107</v>
      </c>
      <c r="J661" s="3837"/>
      <c r="K661" s="3603"/>
      <c r="L661" s="3603"/>
      <c r="M661" s="3603"/>
      <c r="N661" s="3603"/>
      <c r="O661" s="3603"/>
      <c r="P661" s="3603"/>
    </row>
    <row customHeight="true" ht="18.452380952380953" r="662">
      <c r="A662" s="3766" t="s">
        <v>3606</v>
      </c>
      <c r="B662" s="3767">
        <v>46264</v>
      </c>
      <c r="C662" s="3766" t="str">
        <v>Sunday</v>
      </c>
      <c r="D662" s="3769" t="s">
        <v>3626</v>
      </c>
      <c r="E662" s="3769">
        <f t="shared" si="107"/>
      </c>
      <c r="F662" s="3769" t="s">
        <v>3605</v>
      </c>
      <c r="G662" s="3770" t="s">
        <v>3193</v>
      </c>
      <c r="H662" s="3769" t="s">
        <v>3106</v>
      </c>
      <c r="I662" s="3769" t="s">
        <v>3107</v>
      </c>
      <c r="J662" s="3837"/>
      <c r="K662" s="3603"/>
      <c r="L662" s="3603"/>
      <c r="M662" s="3603"/>
      <c r="N662" s="3603"/>
      <c r="O662" s="3603"/>
      <c r="P662" s="3603"/>
    </row>
    <row r="663">
      <c r="A663" s="3449"/>
      <c r="B663" s="3449"/>
      <c r="C663" s="3449"/>
      <c r="D663" s="3425"/>
      <c r="E663" s="3425"/>
      <c r="F663" s="3451"/>
      <c r="G663" s="3588"/>
      <c r="H663" s="3451"/>
      <c r="I663" s="3425"/>
      <c r="J663" s="3426"/>
      <c r="K663" s="3427"/>
      <c r="L663" s="3427"/>
      <c r="M663" s="3427"/>
      <c r="N663" s="3427"/>
      <c r="O663" s="3427"/>
      <c r="P663" s="3427"/>
    </row>
    <row customHeight="true" ht="16.071428571428573" r="664">
      <c r="A664" s="3449"/>
      <c r="B664" s="3449"/>
      <c r="C664" s="3449"/>
      <c r="D664" s="3425"/>
      <c r="E664" s="3425"/>
      <c r="F664" s="3451"/>
      <c r="G664" s="3588"/>
      <c r="H664" s="3451"/>
      <c r="I664" s="3425"/>
      <c r="J664" s="3426"/>
      <c r="K664" s="3427"/>
      <c r="L664" s="3427"/>
      <c r="M664" s="3427"/>
      <c r="N664" s="3427"/>
      <c r="O664" s="3427"/>
      <c r="P664" s="3427"/>
    </row>
    <row r="665">
      <c r="A665" s="3875" t="s">
        <v>3627</v>
      </c>
      <c r="B665" s="3876"/>
      <c r="C665" s="3876"/>
      <c r="D665" s="3876"/>
      <c r="E665" s="3876"/>
      <c r="F665" s="3876"/>
      <c r="G665" s="3876"/>
      <c r="H665" s="3876"/>
      <c r="I665" s="3876"/>
      <c r="J665" s="3877"/>
      <c r="K665" s="3878"/>
      <c r="L665" s="3878"/>
      <c r="M665" s="3878"/>
      <c r="N665" s="3878"/>
      <c r="O665" s="3878"/>
      <c r="P665" s="3878"/>
    </row>
    <row r="666">
      <c r="A666" s="3879" t="s">
        <v>3122</v>
      </c>
      <c r="B666" s="3880" t="s">
        <v>3123</v>
      </c>
      <c r="C666" s="3880"/>
      <c r="D666" s="3881" t="s">
        <v>3124</v>
      </c>
      <c r="E666" s="3881" t="s">
        <v>3125</v>
      </c>
      <c r="F666" s="3881" t="s">
        <v>3126</v>
      </c>
      <c r="G666" s="3882" t="s">
        <v>3148</v>
      </c>
      <c r="H666" s="3881" t="s">
        <v>3128</v>
      </c>
      <c r="I666" s="3883" t="s">
        <v>3628</v>
      </c>
      <c r="J666" s="3884" t="s">
        <v>3130</v>
      </c>
      <c r="K666" s="3448"/>
      <c r="L666" s="3448"/>
      <c r="M666" s="3448"/>
      <c r="N666" s="3448"/>
      <c r="O666" s="3448"/>
      <c r="P666" s="3448"/>
    </row>
    <row customHeight="true" ht="17.857142857142858" r="667">
      <c r="A667" s="3885" t="s">
        <v>3627</v>
      </c>
      <c r="B667" s="3581">
        <v>46259</v>
      </c>
      <c r="C667" s="3582" t="str">
        <v>Tuesday</v>
      </c>
      <c r="D667" s="3583" t="s">
        <v>3178</v>
      </c>
      <c r="E667" s="3514">
        <f t="shared" ref="E667:E683" si="108">24*MOD(TIMEVALUE(TRIM(MID(D667,FIND("-",D667)+1,LEN(D667)))) - TIMEVALUE(TRIM(LEFT(D667,FIND("-",D667)-1))),1)</f>
      </c>
      <c r="F667" s="3514" t="s">
        <v>3509</v>
      </c>
      <c r="G667" s="3655"/>
      <c r="H667" s="3514" t="s">
        <v>3106</v>
      </c>
      <c r="I667" s="3435" t="s">
        <v>3107</v>
      </c>
      <c r="J667" s="3680"/>
      <c r="K667" s="3765"/>
      <c r="L667" s="3765"/>
      <c r="M667" s="3765"/>
      <c r="N667" s="3765"/>
      <c r="O667" s="3765"/>
      <c r="P667" s="3765"/>
    </row>
    <row customHeight="true" ht="17.857142857142858" r="668">
      <c r="A668" s="3886" t="s">
        <v>3629</v>
      </c>
      <c r="B668" s="3887">
        <v>46259</v>
      </c>
      <c r="C668" s="3888" t="str">
        <v>Tuesday</v>
      </c>
      <c r="D668" s="3889" t="s">
        <v>3630</v>
      </c>
      <c r="E668" s="3890">
        <f t="shared" si="108"/>
      </c>
      <c r="F668" s="3890" t="s">
        <v>3605</v>
      </c>
      <c r="G668" s="3891"/>
      <c r="H668" s="3892" t="s">
        <v>3106</v>
      </c>
      <c r="I668" s="3893" t="s">
        <v>3107</v>
      </c>
      <c r="J668" s="3894"/>
      <c r="K668" s="3895"/>
      <c r="L668" s="3895"/>
      <c r="M668" s="3895"/>
      <c r="N668" s="3895"/>
      <c r="O668" s="3895"/>
      <c r="P668" s="3895"/>
    </row>
    <row customHeight="true" ht="17.857142857142858" r="669">
      <c r="A669" s="3886" t="s">
        <v>3631</v>
      </c>
      <c r="B669" s="3887">
        <v>46259</v>
      </c>
      <c r="C669" s="3888" t="str">
        <v>Tuesday</v>
      </c>
      <c r="D669" s="3889" t="s">
        <v>3632</v>
      </c>
      <c r="E669" s="3890">
        <f t="shared" si="108"/>
      </c>
      <c r="F669" s="3890" t="s">
        <v>3605</v>
      </c>
      <c r="G669" s="3896" t="s">
        <v>3193</v>
      </c>
      <c r="H669" s="3892" t="s">
        <v>3106</v>
      </c>
      <c r="I669" s="3893" t="s">
        <v>3107</v>
      </c>
      <c r="J669" s="3894"/>
      <c r="K669" s="3895"/>
      <c r="L669" s="3895"/>
      <c r="M669" s="3895"/>
      <c r="N669" s="3895"/>
      <c r="O669" s="3895"/>
      <c r="P669" s="3895"/>
    </row>
    <row customHeight="true" ht="17.857142857142858" r="670">
      <c r="A670" s="3885" t="s">
        <v>3627</v>
      </c>
      <c r="B670" s="3428">
        <v>46260</v>
      </c>
      <c r="C670" s="3449" t="str">
        <v>Wednesday</v>
      </c>
      <c r="D670" s="3450" t="s">
        <v>3380</v>
      </c>
      <c r="E670" s="3425">
        <f t="shared" si="108"/>
      </c>
      <c r="F670" s="3514" t="s">
        <v>3509</v>
      </c>
      <c r="G670" s="3653"/>
      <c r="H670" s="3425" t="s">
        <v>3106</v>
      </c>
      <c r="I670" s="3435" t="s">
        <v>3107</v>
      </c>
      <c r="J670" s="3746"/>
      <c r="K670" s="3765"/>
      <c r="L670" s="3765"/>
      <c r="M670" s="3765"/>
      <c r="N670" s="3765"/>
      <c r="O670" s="3765"/>
      <c r="P670" s="3765"/>
    </row>
    <row customHeight="true" ht="17.857142857142858" r="671">
      <c r="A671" s="3886" t="s">
        <v>3629</v>
      </c>
      <c r="B671" s="3887">
        <v>46260</v>
      </c>
      <c r="C671" s="3888" t="str">
        <v>Wednesday</v>
      </c>
      <c r="D671" s="3889" t="s">
        <v>3633</v>
      </c>
      <c r="E671" s="3890">
        <f t="shared" si="108"/>
      </c>
      <c r="F671" s="3890" t="s">
        <v>3605</v>
      </c>
      <c r="G671" s="3891"/>
      <c r="H671" s="3892" t="s">
        <v>3106</v>
      </c>
      <c r="I671" s="3893" t="s">
        <v>3107</v>
      </c>
      <c r="J671" s="3894"/>
      <c r="K671" s="3895"/>
      <c r="L671" s="3895"/>
      <c r="M671" s="3895"/>
      <c r="N671" s="3895"/>
      <c r="O671" s="3895"/>
      <c r="P671" s="3895"/>
    </row>
    <row customHeight="true" ht="17.857142857142858" r="672">
      <c r="A672" s="3886" t="s">
        <v>3631</v>
      </c>
      <c r="B672" s="3887">
        <v>46260</v>
      </c>
      <c r="C672" s="3888" t="str">
        <v>Wednesday</v>
      </c>
      <c r="D672" s="3889" t="s">
        <v>3634</v>
      </c>
      <c r="E672" s="3890">
        <f t="shared" si="108"/>
      </c>
      <c r="F672" s="3890" t="s">
        <v>3635</v>
      </c>
      <c r="G672" s="3896" t="s">
        <v>3636</v>
      </c>
      <c r="H672" s="3892" t="s">
        <v>3106</v>
      </c>
      <c r="I672" s="3893" t="s">
        <v>3107</v>
      </c>
      <c r="J672" s="3894"/>
      <c r="K672" s="3895"/>
      <c r="L672" s="3895"/>
      <c r="M672" s="3895"/>
      <c r="N672" s="3895"/>
      <c r="O672" s="3895"/>
      <c r="P672" s="3895"/>
    </row>
    <row customHeight="true" ht="17.857142857142858" r="673">
      <c r="A673" s="3885" t="s">
        <v>3627</v>
      </c>
      <c r="B673" s="3428">
        <v>46261</v>
      </c>
      <c r="C673" s="3449" t="str">
        <v>Thursday</v>
      </c>
      <c r="D673" s="3450" t="s">
        <v>3432</v>
      </c>
      <c r="E673" s="3425">
        <f t="shared" si="108"/>
      </c>
      <c r="F673" s="3451" t="s">
        <v>3509</v>
      </c>
      <c r="G673" s="3897"/>
      <c r="H673" s="3425" t="s">
        <v>3106</v>
      </c>
      <c r="I673" s="3425" t="s">
        <v>3107</v>
      </c>
      <c r="J673" s="3746"/>
      <c r="K673" s="3765"/>
      <c r="L673" s="3765"/>
      <c r="M673" s="3765"/>
      <c r="N673" s="3765"/>
      <c r="O673" s="3765"/>
      <c r="P673" s="3765"/>
    </row>
    <row customHeight="true" ht="17.857142857142858" r="674">
      <c r="A674" s="3886" t="s">
        <v>3629</v>
      </c>
      <c r="B674" s="3887">
        <v>46261</v>
      </c>
      <c r="C674" s="3888" t="str">
        <v>Thursday</v>
      </c>
      <c r="D674" s="3889" t="s">
        <v>3637</v>
      </c>
      <c r="E674" s="3890">
        <f t="shared" si="108"/>
      </c>
      <c r="F674" s="3890" t="s">
        <v>3605</v>
      </c>
      <c r="G674" s="3891"/>
      <c r="H674" s="3892" t="s">
        <v>3106</v>
      </c>
      <c r="I674" s="3893" t="s">
        <v>3107</v>
      </c>
      <c r="J674" s="3894"/>
      <c r="K674" s="3895"/>
      <c r="L674" s="3895"/>
      <c r="M674" s="3895"/>
      <c r="N674" s="3895"/>
      <c r="O674" s="3895"/>
      <c r="P674" s="3895"/>
    </row>
    <row customHeight="true" ht="17.857142857142858" r="675">
      <c r="A675" s="3885" t="s">
        <v>3627</v>
      </c>
      <c r="B675" s="3428">
        <v>46262</v>
      </c>
      <c r="C675" s="3449" t="str">
        <v>Friday</v>
      </c>
      <c r="D675" s="3450" t="s">
        <v>3178</v>
      </c>
      <c r="E675" s="3425">
        <f t="shared" si="108"/>
      </c>
      <c r="F675" s="3423" t="s">
        <v>3638</v>
      </c>
      <c r="G675" s="3897"/>
      <c r="H675" s="3425" t="s">
        <v>3106</v>
      </c>
      <c r="I675" s="3425" t="s">
        <v>3107</v>
      </c>
      <c r="J675" s="3746"/>
      <c r="K675" s="3765"/>
      <c r="L675" s="3765"/>
      <c r="M675" s="3765"/>
      <c r="N675" s="3765"/>
      <c r="O675" s="3765"/>
      <c r="P675" s="3765"/>
    </row>
    <row customHeight="true" ht="17.857142857142858" r="676">
      <c r="A676" s="3886" t="s">
        <v>3629</v>
      </c>
      <c r="B676" s="3887">
        <v>46262</v>
      </c>
      <c r="C676" s="3888" t="str">
        <v>Friday</v>
      </c>
      <c r="D676" s="3889" t="s">
        <v>3630</v>
      </c>
      <c r="E676" s="3890">
        <f t="shared" si="108"/>
      </c>
      <c r="F676" s="3890" t="s">
        <v>3605</v>
      </c>
      <c r="G676" s="3896" t="s">
        <v>3639</v>
      </c>
      <c r="H676" s="3892" t="s">
        <v>3106</v>
      </c>
      <c r="I676" s="3893" t="s">
        <v>3107</v>
      </c>
      <c r="J676" s="3894"/>
      <c r="K676" s="3895"/>
      <c r="L676" s="3895"/>
      <c r="M676" s="3895"/>
      <c r="N676" s="3895"/>
      <c r="O676" s="3895"/>
      <c r="P676" s="3895"/>
    </row>
    <row customHeight="true" ht="17.857142857142858" r="677">
      <c r="A677" s="3886" t="s">
        <v>3631</v>
      </c>
      <c r="B677" s="3887">
        <v>46262</v>
      </c>
      <c r="C677" s="3888" t="str">
        <v>Friday</v>
      </c>
      <c r="D677" s="3889" t="s">
        <v>3640</v>
      </c>
      <c r="E677" s="3890">
        <f t="shared" si="108"/>
      </c>
      <c r="F677" s="3890" t="s">
        <v>3605</v>
      </c>
      <c r="G677" s="3891" t="s">
        <v>3193</v>
      </c>
      <c r="H677" s="3890" t="s">
        <v>3106</v>
      </c>
      <c r="I677" s="3893" t="s">
        <v>3107</v>
      </c>
      <c r="J677" s="3894"/>
      <c r="K677" s="3895"/>
      <c r="L677" s="3895"/>
      <c r="M677" s="3895"/>
      <c r="N677" s="3895"/>
      <c r="O677" s="3895"/>
      <c r="P677" s="3895"/>
    </row>
    <row customHeight="true" ht="17.857142857142858" r="678">
      <c r="A678" s="3886" t="s">
        <v>3631</v>
      </c>
      <c r="B678" s="3887">
        <v>46262</v>
      </c>
      <c r="C678" s="3888" t="str">
        <v>Friday</v>
      </c>
      <c r="D678" s="3889" t="s">
        <v>3263</v>
      </c>
      <c r="E678" s="3890">
        <f t="shared" si="108"/>
      </c>
      <c r="F678" s="3892" t="s">
        <v>3615</v>
      </c>
      <c r="G678" s="3891"/>
      <c r="H678" s="3890" t="s">
        <v>3106</v>
      </c>
      <c r="I678" s="3893" t="s">
        <v>3107</v>
      </c>
      <c r="J678" s="3894"/>
      <c r="K678" s="3895"/>
      <c r="L678" s="3895"/>
      <c r="M678" s="3895"/>
      <c r="N678" s="3895"/>
      <c r="O678" s="3895"/>
      <c r="P678" s="3895"/>
    </row>
    <row customHeight="true" ht="17.857142857142858" r="679">
      <c r="A679" s="3885" t="s">
        <v>3627</v>
      </c>
      <c r="B679" s="3428">
        <v>46263</v>
      </c>
      <c r="C679" s="3449" t="str">
        <v>Saturday</v>
      </c>
      <c r="D679" s="3450" t="s">
        <v>3296</v>
      </c>
      <c r="E679" s="3425">
        <f t="shared" si="108"/>
      </c>
      <c r="F679" s="3451" t="s">
        <v>3509</v>
      </c>
      <c r="G679" s="3653"/>
      <c r="H679" s="3425" t="s">
        <v>3106</v>
      </c>
      <c r="I679" s="3435" t="s">
        <v>3107</v>
      </c>
      <c r="J679" s="3746"/>
      <c r="K679" s="3765"/>
      <c r="L679" s="3765"/>
      <c r="M679" s="3765"/>
      <c r="N679" s="3765"/>
      <c r="O679" s="3765"/>
      <c r="P679" s="3765"/>
    </row>
    <row customHeight="true" ht="17.857142857142858" r="680">
      <c r="A680" s="3886" t="s">
        <v>3631</v>
      </c>
      <c r="B680" s="3887">
        <v>46263</v>
      </c>
      <c r="C680" s="3888" t="str">
        <v>Saturday</v>
      </c>
      <c r="D680" s="3889" t="s">
        <v>3641</v>
      </c>
      <c r="E680" s="3890">
        <f t="shared" si="108"/>
      </c>
      <c r="F680" s="3892" t="s">
        <v>3117</v>
      </c>
      <c r="G680" s="3891"/>
      <c r="H680" s="3892" t="s">
        <v>3106</v>
      </c>
      <c r="I680" s="3893" t="s">
        <v>3107</v>
      </c>
      <c r="J680" s="3894"/>
      <c r="K680" s="3895"/>
      <c r="L680" s="3895"/>
      <c r="M680" s="3895"/>
      <c r="N680" s="3895"/>
      <c r="O680" s="3895"/>
      <c r="P680" s="3895"/>
    </row>
    <row customHeight="true" ht="17.857142857142858" r="681">
      <c r="A681" s="3886" t="s">
        <v>3629</v>
      </c>
      <c r="B681" s="3887">
        <v>46263</v>
      </c>
      <c r="C681" s="3888" t="str">
        <v>Saturday</v>
      </c>
      <c r="D681" s="3889" t="s">
        <v>3296</v>
      </c>
      <c r="E681" s="3890">
        <f t="shared" si="108"/>
      </c>
      <c r="F681" s="3892" t="s">
        <v>3117</v>
      </c>
      <c r="G681" s="3891"/>
      <c r="H681" s="3892" t="s">
        <v>3106</v>
      </c>
      <c r="I681" s="3893" t="s">
        <v>3107</v>
      </c>
      <c r="J681" s="3894"/>
      <c r="K681" s="3895"/>
      <c r="L681" s="3895"/>
      <c r="M681" s="3895"/>
      <c r="N681" s="3895"/>
      <c r="O681" s="3895"/>
      <c r="P681" s="3895"/>
    </row>
    <row customHeight="true" ht="17.857142857142858" r="682">
      <c r="A682" s="3885" t="s">
        <v>3627</v>
      </c>
      <c r="B682" s="3428">
        <v>46264</v>
      </c>
      <c r="C682" s="3449" t="str">
        <v>Sunday</v>
      </c>
      <c r="D682" s="3450" t="s">
        <v>3153</v>
      </c>
      <c r="E682" s="3425">
        <f t="shared" si="108"/>
      </c>
      <c r="F682" s="3898" t="s">
        <v>3642</v>
      </c>
      <c r="G682" s="3897"/>
      <c r="H682" s="3425" t="s">
        <v>3106</v>
      </c>
      <c r="I682" s="3425" t="s">
        <v>3107</v>
      </c>
      <c r="J682" s="3746"/>
      <c r="K682" s="3765"/>
      <c r="L682" s="3765"/>
      <c r="M682" s="3765"/>
      <c r="N682" s="3765"/>
      <c r="O682" s="3765"/>
      <c r="P682" s="3765"/>
    </row>
    <row customHeight="true" ht="17.857142857142858" r="683">
      <c r="A683" s="3899" t="s">
        <v>3629</v>
      </c>
      <c r="B683" s="3900">
        <v>46264</v>
      </c>
      <c r="C683" s="3901" t="str">
        <v>Sunday</v>
      </c>
      <c r="D683" s="3902" t="s">
        <v>3643</v>
      </c>
      <c r="E683" s="3892">
        <f t="shared" si="108"/>
      </c>
      <c r="F683" s="3892" t="s">
        <v>3117</v>
      </c>
      <c r="G683" s="3903"/>
      <c r="H683" s="3892" t="s">
        <v>3106</v>
      </c>
      <c r="I683" s="3893" t="s">
        <v>3107</v>
      </c>
      <c r="J683" s="3904"/>
      <c r="K683" s="3905"/>
      <c r="L683" s="3905"/>
      <c r="M683" s="3905"/>
      <c r="N683" s="3905"/>
      <c r="O683" s="3905"/>
      <c r="P683" s="3905"/>
    </row>
    <row r="684">
      <c r="A684" s="3449"/>
      <c r="B684" s="3425"/>
      <c r="C684" s="3425"/>
      <c r="D684" s="3453"/>
      <c r="E684" s="3425"/>
      <c r="F684" s="3425"/>
      <c r="G684" s="3802"/>
      <c r="H684" s="3425"/>
      <c r="I684" s="3425"/>
      <c r="J684" s="3798"/>
      <c r="K684" s="3427"/>
      <c r="L684" s="3427"/>
      <c r="M684" s="3427"/>
      <c r="N684" s="3427"/>
      <c r="O684" s="3427"/>
      <c r="P684" s="3427"/>
    </row>
    <row r="685">
      <c r="A685" s="3906" t="s">
        <v>3644</v>
      </c>
      <c r="B685" s="3906"/>
      <c r="C685" s="3906"/>
      <c r="D685" s="3906"/>
      <c r="E685" s="3906"/>
      <c r="F685" s="3906"/>
      <c r="G685" s="3906"/>
      <c r="H685" s="3906"/>
      <c r="I685" s="3906"/>
      <c r="J685" s="3907"/>
      <c r="K685" s="3550"/>
      <c r="L685" s="3550"/>
      <c r="M685" s="3550"/>
      <c r="N685" s="3550"/>
      <c r="O685" s="3550"/>
      <c r="P685" s="3550"/>
    </row>
    <row r="686">
      <c r="A686" s="3908" t="s">
        <v>3122</v>
      </c>
      <c r="B686" s="3909" t="s">
        <v>3123</v>
      </c>
      <c r="C686" s="3909"/>
      <c r="D686" s="3910" t="s">
        <v>3124</v>
      </c>
      <c r="E686" s="3910" t="s">
        <v>3125</v>
      </c>
      <c r="F686" s="3910" t="s">
        <v>3126</v>
      </c>
      <c r="G686" s="3911" t="s">
        <v>3645</v>
      </c>
      <c r="H686" s="3910" t="s">
        <v>3128</v>
      </c>
      <c r="I686" s="3910" t="s">
        <v>3129</v>
      </c>
      <c r="J686" s="3912"/>
      <c r="K686" s="3448"/>
      <c r="L686" s="3448"/>
      <c r="M686" s="3448"/>
      <c r="N686" s="3448"/>
      <c r="O686" s="3448"/>
      <c r="P686" s="3448"/>
    </row>
    <row r="687">
      <c r="A687" s="3449"/>
      <c r="B687" s="3449"/>
      <c r="C687" s="3449"/>
      <c r="D687" s="3425"/>
      <c r="E687" s="3425"/>
      <c r="F687" s="3425"/>
      <c r="G687" s="3588"/>
      <c r="H687" s="3425" t="s">
        <v>3106</v>
      </c>
      <c r="I687" s="3425" t="s">
        <v>3107</v>
      </c>
      <c r="J687" s="3453"/>
      <c r="K687" s="3427"/>
      <c r="L687" s="3427"/>
      <c r="M687" s="3427"/>
      <c r="N687" s="3427"/>
      <c r="O687" s="3427"/>
      <c r="P687" s="3427"/>
    </row>
    <row r="688">
      <c r="A688" s="3449"/>
      <c r="B688" s="3449"/>
      <c r="C688" s="3449"/>
      <c r="D688" s="3425"/>
      <c r="E688" s="3425"/>
      <c r="F688" s="3425"/>
      <c r="G688" s="3588"/>
      <c r="H688" s="3425" t="s">
        <v>3106</v>
      </c>
      <c r="I688" s="3425" t="s">
        <v>3107</v>
      </c>
      <c r="J688" s="3453"/>
      <c r="K688" s="3427"/>
      <c r="L688" s="3427"/>
      <c r="M688" s="3427"/>
      <c r="N688" s="3427"/>
      <c r="O688" s="3427"/>
      <c r="P688" s="3427"/>
    </row>
    <row r="689">
      <c r="A689" s="3449"/>
      <c r="B689" s="3449"/>
      <c r="C689" s="3449"/>
      <c r="D689" s="3425"/>
      <c r="E689" s="3425"/>
      <c r="F689" s="3425"/>
      <c r="G689" s="3588"/>
      <c r="H689" s="3425" t="s">
        <v>3106</v>
      </c>
      <c r="I689" s="3425" t="s">
        <v>3107</v>
      </c>
      <c r="J689" s="3453" t="s">
        <v>3646</v>
      </c>
      <c r="K689" s="3427"/>
      <c r="L689" s="3427"/>
      <c r="M689" s="3427"/>
      <c r="N689" s="3427"/>
      <c r="O689" s="3427"/>
      <c r="P689" s="3427"/>
    </row>
    <row r="690">
      <c r="A690" s="3593"/>
      <c r="B690" s="3593"/>
      <c r="C690" s="3593"/>
      <c r="D690" s="3593"/>
      <c r="E690" s="3593"/>
      <c r="F690" s="3593"/>
      <c r="G690" s="3593"/>
      <c r="H690" s="3593"/>
      <c r="I690" s="3593"/>
      <c r="J690" s="3593"/>
      <c r="K690" s="3498"/>
      <c r="L690" s="3498"/>
      <c r="M690" s="3498"/>
      <c r="N690" s="3498"/>
      <c r="O690" s="3498"/>
      <c r="P690" s="3498"/>
    </row>
    <row r="691">
      <c r="J691" s="3501"/>
      <c r="K691" s="3515"/>
      <c r="L691" s="3515"/>
      <c r="M691" s="3515"/>
      <c r="N691" s="3515"/>
      <c r="O691" s="3515"/>
      <c r="P691" s="3515"/>
    </row>
    <row r="692">
      <c r="A692" s="3593"/>
      <c r="B692" s="3593"/>
      <c r="C692" s="3593"/>
      <c r="D692" s="3593"/>
      <c r="E692" s="3593"/>
      <c r="F692" s="3593"/>
      <c r="G692" s="3593"/>
      <c r="H692" s="3701"/>
      <c r="I692" s="3593"/>
      <c r="J692" s="3593"/>
      <c r="K692" s="3498"/>
      <c r="L692" s="3498"/>
      <c r="M692" s="3498"/>
      <c r="N692" s="3498"/>
      <c r="O692" s="3498"/>
      <c r="P692" s="3498"/>
    </row>
    <row customHeight="true" ht="35.714285714285715" r="693">
      <c r="A693" s="3913" t="s">
        <v>3647</v>
      </c>
      <c r="B693" s="3913"/>
      <c r="C693" s="3913"/>
      <c r="D693" s="3913"/>
      <c r="E693" s="3913"/>
      <c r="F693" s="3913"/>
      <c r="G693" s="3913"/>
      <c r="H693" s="3913"/>
      <c r="I693" s="3913"/>
      <c r="J693" s="3914"/>
      <c r="K693" s="3467"/>
      <c r="L693" s="3467"/>
      <c r="M693" s="3467"/>
      <c r="N693" s="3467"/>
      <c r="O693" s="3467"/>
      <c r="P693" s="3467"/>
    </row>
    <row r="694">
      <c r="A694" s="3915" t="s">
        <v>3122</v>
      </c>
      <c r="B694" s="3916" t="s">
        <v>3123</v>
      </c>
      <c r="C694" s="3916"/>
      <c r="D694" s="3917" t="s">
        <v>3124</v>
      </c>
      <c r="E694" s="3918" t="s">
        <v>3125</v>
      </c>
      <c r="F694" s="3918" t="s">
        <v>3126</v>
      </c>
      <c r="G694" s="3919" t="s">
        <v>3148</v>
      </c>
      <c r="H694" s="3918" t="s">
        <v>3128</v>
      </c>
      <c r="I694" s="3920" t="s">
        <v>3129</v>
      </c>
      <c r="J694" s="3921" t="s">
        <v>3130</v>
      </c>
      <c r="K694" s="3448"/>
      <c r="L694" s="3448"/>
      <c r="M694" s="3448"/>
      <c r="N694" s="3448"/>
      <c r="O694" s="3448"/>
      <c r="P694" s="3448"/>
    </row>
    <row r="695">
      <c r="A695" s="3582" t="s">
        <v>3647</v>
      </c>
      <c r="B695" s="3581">
        <v>46258</v>
      </c>
      <c r="C695" s="3922" t="str">
        <v>Monday</v>
      </c>
      <c r="D695" s="3583" t="s">
        <v>3648</v>
      </c>
      <c r="E695" s="3923">
        <f t="shared" ref="E695:E703" si="109">24*MOD(TIMEVALUE(TRIM(MID(D695,FIND("-",D695)+1,LEN(D695)))) - TIMEVALUE(TRIM(LEFT(D695,FIND("-",D695)-1))),1)</f>
      </c>
      <c r="F695" s="3514" t="s">
        <v>3540</v>
      </c>
      <c r="G695" s="3652" t="s">
        <v>3649</v>
      </c>
      <c r="H695" s="3514" t="s">
        <v>3198</v>
      </c>
      <c r="I695" s="3664" t="s">
        <v>3107</v>
      </c>
      <c r="J695" s="3924" t="s">
        <v>3650</v>
      </c>
      <c r="K695" s="3427"/>
      <c r="L695" s="3427"/>
      <c r="M695" s="3427"/>
      <c r="N695" s="3427"/>
      <c r="O695" s="3427"/>
      <c r="P695" s="3427"/>
    </row>
    <row r="696">
      <c r="A696" s="3582" t="s">
        <v>3647</v>
      </c>
      <c r="B696" s="3581">
        <v>46258</v>
      </c>
      <c r="C696" s="3922" t="str">
        <v>Monday</v>
      </c>
      <c r="D696" s="3583" t="s">
        <v>3178</v>
      </c>
      <c r="E696" s="3514">
        <f t="shared" si="109"/>
      </c>
      <c r="F696" s="3451" t="s">
        <v>3206</v>
      </c>
      <c r="G696" s="3652" t="s">
        <v>3651</v>
      </c>
      <c r="H696" s="3514" t="s">
        <v>3198</v>
      </c>
      <c r="I696" s="3664" t="s">
        <v>3107</v>
      </c>
      <c r="J696" s="3924"/>
      <c r="K696" s="3427"/>
      <c r="L696" s="3427"/>
      <c r="M696" s="3427"/>
      <c r="N696" s="3427"/>
      <c r="O696" s="3427"/>
      <c r="P696" s="3427"/>
    </row>
    <row r="697">
      <c r="A697" s="3582" t="s">
        <v>3647</v>
      </c>
      <c r="B697" s="3581">
        <v>46259</v>
      </c>
      <c r="C697" s="3922" t="str">
        <v>Tuesday</v>
      </c>
      <c r="D697" s="3583" t="s">
        <v>3648</v>
      </c>
      <c r="E697" s="3514">
        <f t="shared" si="109"/>
      </c>
      <c r="F697" s="3514" t="s">
        <v>3217</v>
      </c>
      <c r="G697" s="3652" t="s">
        <v>3235</v>
      </c>
      <c r="H697" s="3514" t="s">
        <v>3198</v>
      </c>
      <c r="I697" s="3664" t="s">
        <v>3107</v>
      </c>
      <c r="J697" s="3924" t="s">
        <v>3652</v>
      </c>
      <c r="K697" s="3427"/>
      <c r="L697" s="3427"/>
      <c r="M697" s="3427"/>
      <c r="N697" s="3427"/>
      <c r="O697" s="3427"/>
      <c r="P697" s="3427"/>
    </row>
    <row customHeight="true" ht="18.452380952380953" r="698">
      <c r="A698" s="3582" t="s">
        <v>3647</v>
      </c>
      <c r="B698" s="3581">
        <v>46259</v>
      </c>
      <c r="C698" s="3922" t="str">
        <v>Tuesday</v>
      </c>
      <c r="D698" s="3583" t="s">
        <v>3178</v>
      </c>
      <c r="E698" s="3514">
        <f t="shared" si="109"/>
      </c>
      <c r="F698" s="3514" t="s">
        <v>3217</v>
      </c>
      <c r="G698" s="3652" t="s">
        <v>3651</v>
      </c>
      <c r="H698" s="3514" t="s">
        <v>3198</v>
      </c>
      <c r="I698" s="3664" t="s">
        <v>3107</v>
      </c>
      <c r="J698" s="3432"/>
      <c r="K698" s="3427"/>
      <c r="L698" s="3427"/>
      <c r="M698" s="3427"/>
      <c r="N698" s="3427"/>
      <c r="O698" s="3427"/>
      <c r="P698" s="3427"/>
    </row>
    <row customHeight="true" ht="18.452380952380953" r="699">
      <c r="A699" s="3582" t="s">
        <v>3647</v>
      </c>
      <c r="B699" s="3581">
        <v>46260</v>
      </c>
      <c r="C699" s="3922" t="str">
        <v>Wednesday</v>
      </c>
      <c r="D699" s="3421" t="s">
        <v>3499</v>
      </c>
      <c r="E699" s="3451">
        <f t="shared" si="109"/>
      </c>
      <c r="F699" s="3451" t="s">
        <v>3206</v>
      </c>
      <c r="G699" s="3652" t="s">
        <v>3653</v>
      </c>
      <c r="H699" s="3514" t="s">
        <v>3198</v>
      </c>
      <c r="I699" s="3664" t="s">
        <v>3107</v>
      </c>
      <c r="J699" s="3924" t="s">
        <v>3654</v>
      </c>
      <c r="K699" s="3427"/>
      <c r="L699" s="3427"/>
      <c r="M699" s="3427"/>
      <c r="N699" s="3427"/>
      <c r="O699" s="3427"/>
      <c r="P699" s="3427"/>
    </row>
    <row customHeight="true" ht="18.452380952380953" r="700">
      <c r="A700" s="3582" t="s">
        <v>3647</v>
      </c>
      <c r="B700" s="3581">
        <v>46260</v>
      </c>
      <c r="C700" s="3922" t="str">
        <v>Wednesday</v>
      </c>
      <c r="D700" s="3451" t="s">
        <v>3161</v>
      </c>
      <c r="E700" s="3451">
        <f t="shared" si="109"/>
      </c>
      <c r="F700" s="3451" t="s">
        <v>3217</v>
      </c>
      <c r="G700" s="3652" t="s">
        <v>3653</v>
      </c>
      <c r="H700" s="3514" t="s">
        <v>3198</v>
      </c>
      <c r="I700" s="3664" t="s">
        <v>3107</v>
      </c>
      <c r="J700" s="3432"/>
      <c r="K700" s="3427"/>
      <c r="L700" s="3427"/>
      <c r="M700" s="3427"/>
      <c r="N700" s="3427"/>
      <c r="O700" s="3427"/>
      <c r="P700" s="3427"/>
    </row>
    <row customHeight="true" ht="18.452380952380953" r="701">
      <c r="A701" s="3454" t="s">
        <v>3647</v>
      </c>
      <c r="B701" s="3455">
        <v>46261</v>
      </c>
      <c r="C701" s="3454" t="str">
        <v>Thursday</v>
      </c>
      <c r="D701" s="3478" t="s">
        <v>3655</v>
      </c>
      <c r="E701" s="3458">
        <f t="shared" si="109"/>
      </c>
      <c r="F701" s="3458" t="s">
        <v>3540</v>
      </c>
      <c r="G701" s="3479" t="s">
        <v>3656</v>
      </c>
      <c r="H701" s="3458" t="s">
        <v>3198</v>
      </c>
      <c r="I701" s="3457" t="s">
        <v>3107</v>
      </c>
      <c r="J701" s="3925" t="s">
        <v>3657</v>
      </c>
      <c r="K701" s="3603" t="s">
        <v>3658</v>
      </c>
      <c r="L701" s="3427"/>
      <c r="M701" s="3427"/>
      <c r="N701" s="3427"/>
      <c r="O701" s="3427"/>
      <c r="P701" s="3427"/>
    </row>
    <row customHeight="true" ht="18.452380952380953" r="702">
      <c r="A702" s="3582" t="s">
        <v>3647</v>
      </c>
      <c r="B702" s="3581">
        <v>46263</v>
      </c>
      <c r="C702" s="3582" t="str">
        <v>Saturday</v>
      </c>
      <c r="D702" s="3583" t="s">
        <v>3655</v>
      </c>
      <c r="E702" s="3514">
        <f t="shared" si="109"/>
      </c>
      <c r="F702" s="3514" t="s">
        <v>3540</v>
      </c>
      <c r="G702" s="3652" t="s">
        <v>3653</v>
      </c>
      <c r="H702" s="3514" t="s">
        <v>3198</v>
      </c>
      <c r="I702" s="3664" t="s">
        <v>3107</v>
      </c>
      <c r="J702" s="3432"/>
      <c r="K702" s="3427"/>
      <c r="L702" s="3427"/>
      <c r="M702" s="3427"/>
      <c r="N702" s="3427"/>
      <c r="O702" s="3427"/>
      <c r="P702" s="3427"/>
    </row>
    <row r="703">
      <c r="A703" s="3582" t="s">
        <v>3647</v>
      </c>
      <c r="B703" s="3581">
        <v>46264</v>
      </c>
      <c r="C703" s="3582" t="str">
        <v>Sunday</v>
      </c>
      <c r="D703" s="3583" t="s">
        <v>3643</v>
      </c>
      <c r="E703" s="3514">
        <f t="shared" si="109"/>
      </c>
      <c r="F703" s="3514" t="s">
        <v>3206</v>
      </c>
      <c r="G703" s="3652" t="s">
        <v>3653</v>
      </c>
      <c r="H703" s="3514" t="s">
        <v>3198</v>
      </c>
      <c r="I703" s="3664" t="s">
        <v>3107</v>
      </c>
      <c r="J703" s="3432"/>
      <c r="K703" s="3427"/>
      <c r="L703" s="3427"/>
      <c r="M703" s="3427"/>
      <c r="N703" s="3427"/>
      <c r="O703" s="3427"/>
      <c r="P703" s="3427"/>
    </row>
    <row r="704">
      <c r="A704" s="3449"/>
      <c r="B704" s="3449"/>
      <c r="C704" s="3449"/>
      <c r="D704" s="3425"/>
      <c r="E704" s="3425"/>
      <c r="F704" s="3425"/>
      <c r="G704" s="3588"/>
      <c r="H704" s="3451"/>
      <c r="I704" s="3451"/>
      <c r="J704" s="3589"/>
      <c r="K704" s="3427"/>
      <c r="L704" s="3427"/>
      <c r="M704" s="3427"/>
      <c r="N704" s="3427"/>
      <c r="O704" s="3427"/>
      <c r="P704" s="3427"/>
    </row>
    <row r="705">
      <c r="A705" s="3766" t="s">
        <v>3659</v>
      </c>
      <c r="B705" s="3767">
        <v>46258</v>
      </c>
      <c r="C705" s="3926" t="str">
        <v>Monday</v>
      </c>
      <c r="D705" s="3783" t="s">
        <v>3260</v>
      </c>
      <c r="E705" s="3769">
        <f t="shared" ref="E705:E711" si="110">24*MOD(TIMEVALUE(TRIM(MID(D705,FIND("-",D705)+1,LEN(D705)))) - TIMEVALUE(TRIM(LEFT(D705,FIND("-",D705)-1))),1)</f>
      </c>
      <c r="F705" s="3769" t="s">
        <v>3660</v>
      </c>
      <c r="G705" s="3770"/>
      <c r="H705" s="3769" t="s">
        <v>3198</v>
      </c>
      <c r="I705" s="3769" t="s">
        <v>3107</v>
      </c>
      <c r="J705" s="3782"/>
      <c r="K705" s="3427"/>
      <c r="L705" s="3427"/>
      <c r="M705" s="3427"/>
      <c r="N705" s="3427"/>
      <c r="O705" s="3427"/>
      <c r="P705" s="3427"/>
    </row>
    <row r="706">
      <c r="A706" s="3766" t="s">
        <v>3659</v>
      </c>
      <c r="B706" s="3767">
        <v>46258</v>
      </c>
      <c r="C706" s="3926" t="str">
        <v>Monday</v>
      </c>
      <c r="D706" s="3783" t="s">
        <v>3661</v>
      </c>
      <c r="E706" s="3769">
        <f t="shared" si="110"/>
      </c>
      <c r="F706" s="3769" t="s">
        <v>3651</v>
      </c>
      <c r="G706" s="3780"/>
      <c r="H706" s="3769" t="s">
        <v>3198</v>
      </c>
      <c r="I706" s="3769" t="s">
        <v>3107</v>
      </c>
      <c r="J706" s="3782"/>
      <c r="K706" s="3427"/>
      <c r="L706" s="3427"/>
      <c r="M706" s="3427"/>
      <c r="N706" s="3427"/>
      <c r="O706" s="3427"/>
      <c r="P706" s="3427"/>
    </row>
    <row r="707">
      <c r="A707" s="3766" t="s">
        <v>3659</v>
      </c>
      <c r="B707" s="3767">
        <v>46259</v>
      </c>
      <c r="C707" s="3926" t="str">
        <v>Tuesday</v>
      </c>
      <c r="D707" s="3783" t="s">
        <v>3260</v>
      </c>
      <c r="E707" s="3769">
        <f t="shared" si="110"/>
      </c>
      <c r="F707" s="3769" t="s">
        <v>3135</v>
      </c>
      <c r="G707" s="3770"/>
      <c r="H707" s="3769" t="s">
        <v>3198</v>
      </c>
      <c r="I707" s="3769" t="s">
        <v>3107</v>
      </c>
      <c r="J707" s="3782"/>
      <c r="K707" s="3427"/>
      <c r="L707" s="3427"/>
      <c r="M707" s="3427"/>
      <c r="N707" s="3427"/>
      <c r="O707" s="3427"/>
      <c r="P707" s="3427"/>
    </row>
    <row customHeight="true" ht="18.452380952380953" r="708">
      <c r="A708" s="3766" t="s">
        <v>3659</v>
      </c>
      <c r="B708" s="3767">
        <v>46259</v>
      </c>
      <c r="C708" s="3926" t="str">
        <v>Tuesday</v>
      </c>
      <c r="D708" s="3783" t="s">
        <v>3661</v>
      </c>
      <c r="E708" s="3769">
        <f t="shared" si="110"/>
      </c>
      <c r="F708" s="3769" t="s">
        <v>3651</v>
      </c>
      <c r="G708" s="3770"/>
      <c r="H708" s="3769" t="s">
        <v>3198</v>
      </c>
      <c r="I708" s="3769" t="s">
        <v>3107</v>
      </c>
      <c r="J708" s="3782"/>
      <c r="K708" s="3427"/>
      <c r="L708" s="3427"/>
      <c r="M708" s="3427"/>
      <c r="N708" s="3427"/>
      <c r="O708" s="3427"/>
      <c r="P708" s="3427"/>
    </row>
    <row customHeight="true" ht="18.452380952380953" r="709">
      <c r="A709" s="3766" t="s">
        <v>3659</v>
      </c>
      <c r="B709" s="3767">
        <v>46260</v>
      </c>
      <c r="C709" s="3926" t="str">
        <v>Wednesday</v>
      </c>
      <c r="D709" s="3783" t="s">
        <v>3662</v>
      </c>
      <c r="E709" s="3778">
        <f t="shared" si="110"/>
      </c>
      <c r="F709" s="3769" t="s">
        <v>3660</v>
      </c>
      <c r="G709" s="3927" t="s">
        <v>3663</v>
      </c>
      <c r="H709" s="3769" t="s">
        <v>3198</v>
      </c>
      <c r="I709" s="3769" t="s">
        <v>3107</v>
      </c>
      <c r="J709" s="3771"/>
      <c r="K709" s="3765"/>
      <c r="L709" s="3765"/>
      <c r="M709" s="3765"/>
      <c r="N709" s="3765"/>
      <c r="O709" s="3765"/>
      <c r="P709" s="3765"/>
    </row>
    <row customHeight="true" ht="18.452380952380953" r="710">
      <c r="A710" s="3766" t="s">
        <v>3659</v>
      </c>
      <c r="B710" s="3767">
        <v>46263</v>
      </c>
      <c r="C710" s="3766" t="str">
        <v>Saturday</v>
      </c>
      <c r="D710" s="3783" t="s">
        <v>3664</v>
      </c>
      <c r="E710" s="3778">
        <f t="shared" si="110"/>
      </c>
      <c r="F710" s="3769" t="s">
        <v>3660</v>
      </c>
      <c r="G710" s="3928"/>
      <c r="H710" s="3778" t="s">
        <v>3198</v>
      </c>
      <c r="I710" s="3769" t="s">
        <v>3107</v>
      </c>
      <c r="J710" s="3771"/>
      <c r="K710" s="3765"/>
      <c r="L710" s="3765"/>
      <c r="M710" s="3765"/>
      <c r="N710" s="3765"/>
      <c r="O710" s="3765"/>
      <c r="P710" s="3765"/>
    </row>
    <row r="711">
      <c r="A711" s="3766" t="s">
        <v>3659</v>
      </c>
      <c r="B711" s="3767">
        <v>46264</v>
      </c>
      <c r="C711" s="3766" t="str">
        <v>Sunday</v>
      </c>
      <c r="D711" s="3783" t="s">
        <v>3665</v>
      </c>
      <c r="E711" s="3769">
        <f t="shared" si="110"/>
      </c>
      <c r="F711" s="3769" t="s">
        <v>3660</v>
      </c>
      <c r="G711" s="3780"/>
      <c r="H711" s="3769" t="s">
        <v>3198</v>
      </c>
      <c r="I711" s="3769" t="s">
        <v>3107</v>
      </c>
      <c r="J711" s="3782"/>
      <c r="K711" s="3427"/>
      <c r="L711" s="3427"/>
      <c r="M711" s="3427"/>
      <c r="N711" s="3427"/>
      <c r="O711" s="3427"/>
      <c r="P711" s="3427"/>
    </row>
    <row r="712">
      <c r="A712" s="3449"/>
      <c r="B712" s="3449"/>
      <c r="C712" s="3449"/>
      <c r="D712" s="3451"/>
      <c r="E712" s="3451"/>
      <c r="F712" s="3451"/>
      <c r="G712" s="3653"/>
      <c r="H712" s="3451"/>
      <c r="I712" s="3451"/>
      <c r="J712" s="3426"/>
      <c r="K712" s="3427"/>
      <c r="L712" s="3427"/>
      <c r="M712" s="3427"/>
      <c r="N712" s="3427"/>
      <c r="O712" s="3427"/>
      <c r="P712" s="3427"/>
    </row>
    <row customHeight="true" ht="18.452380952380953" r="713">
      <c r="A713" s="3766" t="s">
        <v>3659</v>
      </c>
      <c r="B713" s="3767">
        <v>46259</v>
      </c>
      <c r="C713" s="3766" t="str">
        <v>Tuesday</v>
      </c>
      <c r="D713" s="3783" t="s">
        <v>3666</v>
      </c>
      <c r="E713" s="3769">
        <f t="shared" ref="E713:E716" si="111">24*MOD(TIMEVALUE(TRIM(MID(D713,FIND("-",D713)+1,LEN(D713)))) - TIMEVALUE(TRIM(LEFT(D713,FIND("-",D713)-1))),1)</f>
      </c>
      <c r="F713" s="3774" t="s">
        <v>3667</v>
      </c>
      <c r="G713" s="3770"/>
      <c r="H713" s="3769" t="s">
        <v>3198</v>
      </c>
      <c r="I713" s="3769" t="s">
        <v>3107</v>
      </c>
      <c r="J713" s="3770" t="s">
        <v>3668</v>
      </c>
      <c r="K713" s="3427"/>
      <c r="L713" s="3427"/>
      <c r="M713" s="3427"/>
      <c r="N713" s="3427"/>
      <c r="O713" s="3427"/>
      <c r="P713" s="3427"/>
    </row>
    <row customHeight="true" ht="18.452380952380953" r="714">
      <c r="A714" s="3766" t="s">
        <v>3659</v>
      </c>
      <c r="B714" s="3767">
        <v>46260</v>
      </c>
      <c r="C714" s="3766" t="str">
        <v>Wednesday</v>
      </c>
      <c r="D714" s="3783" t="s">
        <v>3178</v>
      </c>
      <c r="E714" s="3769">
        <f t="shared" si="111"/>
      </c>
      <c r="F714" s="3774" t="s">
        <v>3667</v>
      </c>
      <c r="G714" s="3770"/>
      <c r="H714" s="3769" t="s">
        <v>3198</v>
      </c>
      <c r="I714" s="3769" t="s">
        <v>3107</v>
      </c>
      <c r="J714" s="3770" t="s">
        <v>3669</v>
      </c>
      <c r="K714" s="3427"/>
      <c r="L714" s="3427"/>
      <c r="M714" s="3427"/>
      <c r="N714" s="3427"/>
      <c r="O714" s="3427"/>
      <c r="P714" s="3427"/>
    </row>
    <row customHeight="true" ht="18.452380952380953" r="715">
      <c r="A715" s="3766" t="s">
        <v>3659</v>
      </c>
      <c r="B715" s="3767">
        <v>46263</v>
      </c>
      <c r="C715" s="3766" t="str">
        <v>Saturday</v>
      </c>
      <c r="D715" s="3783" t="s">
        <v>3670</v>
      </c>
      <c r="E715" s="3769">
        <f t="shared" si="111"/>
      </c>
      <c r="F715" s="3774" t="s">
        <v>3667</v>
      </c>
      <c r="G715" s="3770"/>
      <c r="H715" s="3769" t="s">
        <v>3198</v>
      </c>
      <c r="I715" s="3769" t="s">
        <v>3107</v>
      </c>
      <c r="J715" s="3770" t="s">
        <v>3671</v>
      </c>
      <c r="K715" s="3427"/>
      <c r="L715" s="3427"/>
      <c r="M715" s="3427"/>
      <c r="N715" s="3427"/>
      <c r="O715" s="3427"/>
      <c r="P715" s="3427"/>
    </row>
    <row customHeight="true" ht="18.452380952380953" r="716">
      <c r="A716" s="3766" t="s">
        <v>3659</v>
      </c>
      <c r="B716" s="3767">
        <v>46264</v>
      </c>
      <c r="C716" s="3766" t="str">
        <v>Sunday</v>
      </c>
      <c r="D716" s="3783" t="s">
        <v>3672</v>
      </c>
      <c r="E716" s="3769">
        <f t="shared" si="111"/>
      </c>
      <c r="F716" s="3774" t="s">
        <v>3667</v>
      </c>
      <c r="G716" s="3770"/>
      <c r="H716" s="3769" t="s">
        <v>3198</v>
      </c>
      <c r="I716" s="3769" t="s">
        <v>3107</v>
      </c>
      <c r="J716" s="3770" t="s">
        <v>3668</v>
      </c>
      <c r="K716" s="3427"/>
      <c r="L716" s="3427"/>
      <c r="M716" s="3427"/>
      <c r="N716" s="3427"/>
      <c r="O716" s="3427"/>
      <c r="P716" s="3427"/>
    </row>
    <row r="717">
      <c r="A717" s="3449"/>
      <c r="B717" s="3449"/>
      <c r="C717" s="3449"/>
      <c r="D717" s="3451"/>
      <c r="E717" s="3425"/>
      <c r="F717" s="3451"/>
      <c r="G717" s="3653"/>
      <c r="H717" s="3848"/>
      <c r="I717" s="3451"/>
      <c r="J717" s="3426"/>
      <c r="K717" s="3427"/>
      <c r="L717" s="3427"/>
      <c r="M717" s="3427"/>
      <c r="N717" s="3427"/>
      <c r="O717" s="3427"/>
      <c r="P717" s="3427"/>
    </row>
    <row customHeight="true" ht="38.17663024813209" r="718">
      <c r="A718" s="3929" t="s">
        <v>3673</v>
      </c>
      <c r="B718" s="3929"/>
      <c r="C718" s="3929"/>
      <c r="D718" s="3929"/>
      <c r="E718" s="3929"/>
      <c r="F718" s="3929"/>
      <c r="G718" s="3929"/>
      <c r="H718" s="3929"/>
      <c r="I718" s="3929"/>
      <c r="J718" s="3929"/>
      <c r="K718" s="3427"/>
      <c r="L718" s="3427"/>
      <c r="M718" s="3427"/>
      <c r="N718" s="3427"/>
      <c r="O718" s="3427"/>
      <c r="P718" s="3427"/>
    </row>
    <row customHeight="true" ht="28.571428571428573" r="719">
      <c r="A719" s="3930" t="s">
        <v>3122</v>
      </c>
      <c r="B719" s="3931" t="s">
        <v>3123</v>
      </c>
      <c r="C719" s="3931"/>
      <c r="D719" s="3932" t="s">
        <v>3124</v>
      </c>
      <c r="E719" s="3933" t="s">
        <v>3125</v>
      </c>
      <c r="F719" s="3933" t="s">
        <v>3126</v>
      </c>
      <c r="G719" s="3934" t="s">
        <v>3148</v>
      </c>
      <c r="H719" s="3933" t="s">
        <v>3128</v>
      </c>
      <c r="I719" s="3933" t="s">
        <v>3129</v>
      </c>
      <c r="J719" s="3935" t="s">
        <v>3130</v>
      </c>
      <c r="K719" s="3427"/>
      <c r="L719" s="3427"/>
      <c r="M719" s="3427"/>
      <c r="N719" s="3427"/>
      <c r="O719" s="3427"/>
      <c r="P719" s="3427"/>
    </row>
    <row customHeight="true" ht="16.071428571428573" r="720">
      <c r="A720" s="3582" t="s">
        <v>3673</v>
      </c>
      <c r="B720" s="3428">
        <v>46258</v>
      </c>
      <c r="C720" s="3449" t="str">
        <v>Monday</v>
      </c>
      <c r="D720" s="3924" t="s">
        <v>3674</v>
      </c>
      <c r="E720" s="3923">
        <f t="shared" ref="E720:E725" si="112">24*MOD(TIMEVALUE(TRIM(MID(D720,FIND("-",D720)+1,LEN(D720)))) - TIMEVALUE(TRIM(LEFT(D720,FIND("-",D720)-1))),1)</f>
      </c>
      <c r="F720" s="3451" t="s">
        <v>3507</v>
      </c>
      <c r="G720" s="3473" t="s">
        <v>3675</v>
      </c>
      <c r="H720" s="3848" t="s">
        <v>3198</v>
      </c>
      <c r="I720" s="3451" t="s">
        <v>3107</v>
      </c>
      <c r="J720" s="3936" t="s">
        <v>3676</v>
      </c>
      <c r="K720" s="3427"/>
      <c r="L720" s="3427"/>
      <c r="M720" s="3427"/>
      <c r="N720" s="3427"/>
      <c r="O720" s="3427"/>
      <c r="P720" s="3427"/>
    </row>
    <row customHeight="true" ht="16.071428571428573" r="721">
      <c r="A721" s="3582" t="s">
        <v>3673</v>
      </c>
      <c r="B721" s="3428">
        <v>46259</v>
      </c>
      <c r="C721" s="3449" t="str">
        <v>Tuesday</v>
      </c>
      <c r="D721" s="3924" t="s">
        <v>3677</v>
      </c>
      <c r="E721" s="3923">
        <f t="shared" si="112"/>
      </c>
      <c r="F721" s="3451" t="s">
        <v>3507</v>
      </c>
      <c r="G721" s="3473" t="s">
        <v>3235</v>
      </c>
      <c r="H721" s="3848" t="s">
        <v>3198</v>
      </c>
      <c r="I721" s="3451" t="s">
        <v>3107</v>
      </c>
      <c r="J721" s="3652" t="s">
        <v>3678</v>
      </c>
      <c r="K721" s="3427"/>
      <c r="L721" s="3427"/>
      <c r="M721" s="3427"/>
      <c r="N721" s="3427"/>
      <c r="O721" s="3427"/>
      <c r="P721" s="3427"/>
    </row>
    <row customHeight="true" ht="16.071428571428573" r="722">
      <c r="A722" s="3582" t="s">
        <v>3673</v>
      </c>
      <c r="B722" s="3428">
        <v>46260</v>
      </c>
      <c r="C722" s="3449" t="str">
        <v>Wednesday</v>
      </c>
      <c r="D722" s="3421" t="s">
        <v>3679</v>
      </c>
      <c r="E722" s="3451">
        <f t="shared" si="112"/>
      </c>
      <c r="F722" s="3451" t="s">
        <v>3206</v>
      </c>
      <c r="G722" s="3473" t="s">
        <v>3235</v>
      </c>
      <c r="H722" s="3848" t="s">
        <v>3198</v>
      </c>
      <c r="I722" s="3664" t="s">
        <v>3107</v>
      </c>
      <c r="J722" s="3426"/>
      <c r="K722" s="3427"/>
      <c r="L722" s="3427"/>
      <c r="M722" s="3427"/>
      <c r="N722" s="3427"/>
      <c r="O722" s="3427"/>
      <c r="P722" s="3427"/>
    </row>
    <row customHeight="true" ht="16.071428571428573" r="723">
      <c r="A723" s="3454" t="s">
        <v>3673</v>
      </c>
      <c r="B723" s="3455">
        <v>46262</v>
      </c>
      <c r="C723" s="3454" t="str">
        <v>Friday</v>
      </c>
      <c r="D723" s="3925" t="s">
        <v>3643</v>
      </c>
      <c r="E723" s="3458">
        <f t="shared" si="112"/>
      </c>
      <c r="F723" s="3458" t="s">
        <v>3206</v>
      </c>
      <c r="G723" s="3479" t="s">
        <v>3680</v>
      </c>
      <c r="H723" s="3937" t="s">
        <v>3198</v>
      </c>
      <c r="I723" s="3457" t="s">
        <v>3107</v>
      </c>
      <c r="J723" s="3481" t="s">
        <v>3681</v>
      </c>
      <c r="K723" s="3603" t="s">
        <v>3682</v>
      </c>
      <c r="L723" s="3427"/>
      <c r="M723" s="3427"/>
      <c r="N723" s="3427"/>
      <c r="O723" s="3427"/>
      <c r="P723" s="3427"/>
    </row>
    <row customHeight="true" ht="16.071428571428573" r="724">
      <c r="A724" s="3582" t="s">
        <v>3673</v>
      </c>
      <c r="B724" s="3428">
        <v>46263</v>
      </c>
      <c r="C724" s="3449" t="str">
        <v>Saturday</v>
      </c>
      <c r="D724" s="3924" t="s">
        <v>3674</v>
      </c>
      <c r="E724" s="3923">
        <f t="shared" si="112"/>
      </c>
      <c r="F724" s="3451" t="s">
        <v>3206</v>
      </c>
      <c r="G724" s="3473" t="s">
        <v>3651</v>
      </c>
      <c r="H724" s="3848" t="s">
        <v>3198</v>
      </c>
      <c r="I724" s="3664" t="s">
        <v>3107</v>
      </c>
      <c r="J724" s="3652" t="s">
        <v>3683</v>
      </c>
      <c r="K724" s="3427"/>
      <c r="L724" s="3427"/>
      <c r="M724" s="3427"/>
      <c r="N724" s="3427"/>
      <c r="O724" s="3427"/>
      <c r="P724" s="3427"/>
    </row>
    <row customHeight="true" ht="16.071428571428573" r="725">
      <c r="A725" s="3582" t="s">
        <v>3673</v>
      </c>
      <c r="B725" s="3428">
        <v>46264</v>
      </c>
      <c r="C725" s="3449" t="str">
        <v>Sunday</v>
      </c>
      <c r="D725" s="3924" t="s">
        <v>3684</v>
      </c>
      <c r="E725" s="3923">
        <f t="shared" si="112"/>
      </c>
      <c r="F725" s="3451" t="s">
        <v>3507</v>
      </c>
      <c r="G725" s="3473" t="s">
        <v>3651</v>
      </c>
      <c r="H725" s="3848" t="s">
        <v>3198</v>
      </c>
      <c r="I725" s="3451" t="s">
        <v>3140</v>
      </c>
      <c r="J725" s="3652" t="s">
        <v>3685</v>
      </c>
      <c r="K725" s="3427"/>
      <c r="L725" s="3427"/>
      <c r="M725" s="3427"/>
      <c r="N725" s="3427"/>
      <c r="O725" s="3427"/>
      <c r="P725" s="3427"/>
    </row>
    <row customHeight="true" ht="16.071428571428573" r="726">
      <c r="A726" s="3449"/>
      <c r="B726" s="3428"/>
      <c r="C726" s="3449"/>
      <c r="D726" s="3451"/>
      <c r="E726" s="3425"/>
      <c r="F726" s="3451"/>
      <c r="G726" s="3653"/>
      <c r="H726" s="3848"/>
      <c r="I726" s="3451"/>
      <c r="J726" s="3426"/>
      <c r="K726" s="3427"/>
      <c r="L726" s="3427"/>
      <c r="M726" s="3427"/>
      <c r="N726" s="3427"/>
      <c r="O726" s="3427"/>
      <c r="P726" s="3427"/>
    </row>
    <row customHeight="true" ht="16.071428571428573" r="727">
      <c r="A727" s="3766" t="s">
        <v>3686</v>
      </c>
      <c r="B727" s="3767">
        <v>46258</v>
      </c>
      <c r="C727" s="3926" t="str">
        <v>Monday</v>
      </c>
      <c r="D727" s="3783" t="s">
        <v>3687</v>
      </c>
      <c r="E727" s="3769">
        <f t="shared" ref="E727:E731" si="113">24*MOD(TIMEVALUE(TRIM(MID(D727,FIND("-",D727)+1,LEN(D727)))) - TIMEVALUE(TRIM(LEFT(D727,FIND("-",D727)-1))),1)</f>
      </c>
      <c r="F727" s="3769"/>
      <c r="G727" s="3770"/>
      <c r="H727" s="3769" t="s">
        <v>3198</v>
      </c>
      <c r="I727" s="3769" t="s">
        <v>3140</v>
      </c>
      <c r="J727" s="3770" t="s">
        <v>3688</v>
      </c>
      <c r="K727" s="3427"/>
      <c r="L727" s="3427"/>
      <c r="M727" s="3427"/>
      <c r="N727" s="3427"/>
      <c r="O727" s="3427"/>
      <c r="P727" s="3427"/>
    </row>
    <row customHeight="true" ht="16.071428571428573" r="728">
      <c r="A728" s="3766" t="s">
        <v>3686</v>
      </c>
      <c r="B728" s="3767">
        <v>46259</v>
      </c>
      <c r="C728" s="3926" t="str">
        <v>Tuesday</v>
      </c>
      <c r="D728" s="3783" t="s">
        <v>3689</v>
      </c>
      <c r="E728" s="3769">
        <f t="shared" si="113"/>
      </c>
      <c r="F728" s="3769" t="s">
        <v>3135</v>
      </c>
      <c r="G728" s="3770"/>
      <c r="H728" s="3769" t="s">
        <v>3198</v>
      </c>
      <c r="I728" s="3769" t="s">
        <v>3140</v>
      </c>
      <c r="J728" s="3873"/>
      <c r="K728" s="3427"/>
      <c r="L728" s="3427"/>
      <c r="M728" s="3427"/>
      <c r="N728" s="3427"/>
      <c r="O728" s="3427"/>
      <c r="P728" s="3427"/>
    </row>
    <row customHeight="true" ht="16.071428571428573" r="729">
      <c r="A729" s="3766" t="s">
        <v>3686</v>
      </c>
      <c r="B729" s="3767">
        <v>46260</v>
      </c>
      <c r="C729" s="3926" t="str">
        <v>Wednesday</v>
      </c>
      <c r="D729" s="3783" t="s">
        <v>3690</v>
      </c>
      <c r="E729" s="3769">
        <f t="shared" si="113"/>
      </c>
      <c r="F729" s="3769" t="s">
        <v>3135</v>
      </c>
      <c r="G729" s="3770"/>
      <c r="H729" s="3769" t="s">
        <v>3198</v>
      </c>
      <c r="I729" s="3769" t="s">
        <v>3140</v>
      </c>
      <c r="J729" s="3782"/>
      <c r="K729" s="3427"/>
      <c r="L729" s="3427"/>
      <c r="M729" s="3427"/>
      <c r="N729" s="3427"/>
      <c r="O729" s="3427"/>
      <c r="P729" s="3427"/>
    </row>
    <row customHeight="true" ht="16.071428571428573" r="730">
      <c r="A730" s="3766" t="s">
        <v>3686</v>
      </c>
      <c r="B730" s="3767">
        <v>46263</v>
      </c>
      <c r="C730" s="3926" t="str">
        <v>Saturday</v>
      </c>
      <c r="D730" s="3783" t="s">
        <v>3691</v>
      </c>
      <c r="E730" s="3769">
        <f t="shared" si="113"/>
      </c>
      <c r="F730" s="3769" t="s">
        <v>3651</v>
      </c>
      <c r="G730" s="3770"/>
      <c r="H730" s="3769" t="s">
        <v>3198</v>
      </c>
      <c r="I730" s="3769" t="s">
        <v>3107</v>
      </c>
      <c r="J730" s="3782"/>
      <c r="K730" s="3427"/>
      <c r="L730" s="3427"/>
      <c r="M730" s="3427"/>
      <c r="N730" s="3427"/>
      <c r="O730" s="3427"/>
      <c r="P730" s="3427"/>
    </row>
    <row customHeight="true" ht="16.071428571428573" r="731">
      <c r="A731" s="3766" t="s">
        <v>3686</v>
      </c>
      <c r="B731" s="3767">
        <v>46264</v>
      </c>
      <c r="C731" s="3926" t="str">
        <v>Sunday</v>
      </c>
      <c r="D731" s="3783" t="s">
        <v>3692</v>
      </c>
      <c r="E731" s="3769">
        <f t="shared" si="113"/>
      </c>
      <c r="F731" s="3769" t="s">
        <v>3651</v>
      </c>
      <c r="G731" s="3770"/>
      <c r="H731" s="3769" t="s">
        <v>3198</v>
      </c>
      <c r="I731" s="3769" t="s">
        <v>3107</v>
      </c>
      <c r="J731" s="3782"/>
      <c r="K731" s="3427"/>
      <c r="L731" s="3427"/>
      <c r="M731" s="3427"/>
      <c r="N731" s="3427"/>
      <c r="O731" s="3427"/>
      <c r="P731" s="3427"/>
    </row>
    <row customHeight="true" ht="16.071428571428573" r="732">
      <c r="A732" s="3449"/>
      <c r="B732" s="3449"/>
      <c r="C732" s="3449"/>
      <c r="D732" s="3451"/>
      <c r="E732" s="3425"/>
      <c r="F732" s="3451"/>
      <c r="G732" s="3653"/>
      <c r="H732" s="3848"/>
      <c r="I732" s="3451"/>
      <c r="J732" s="3426"/>
      <c r="K732" s="3427"/>
      <c r="L732" s="3427"/>
      <c r="M732" s="3427"/>
      <c r="N732" s="3427"/>
      <c r="O732" s="3427"/>
      <c r="P732" s="3427"/>
    </row>
    <row customHeight="true" ht="16.071428571428573" r="733">
      <c r="A733" s="3582" t="s">
        <v>3693</v>
      </c>
      <c r="B733" s="3428">
        <v>46258</v>
      </c>
      <c r="C733" s="3449" t="str">
        <v>Monday</v>
      </c>
      <c r="D733" s="3924" t="s">
        <v>3674</v>
      </c>
      <c r="E733" s="3923">
        <f>24*MOD(TIMEVALUE(TRIM(MID(D733,FIND("-",D733)+1,LEN(D733)))) - TIMEVALUE(TRIM(LEFT(D733,FIND("-",D733)-1))),1)</f>
      </c>
      <c r="F733" s="3514" t="s">
        <v>3518</v>
      </c>
      <c r="G733" s="3653"/>
      <c r="H733" s="3848"/>
      <c r="I733" s="3451"/>
      <c r="J733" s="3426"/>
      <c r="K733" s="3427"/>
      <c r="L733" s="3427"/>
      <c r="M733" s="3427"/>
      <c r="N733" s="3427"/>
      <c r="O733" s="3427"/>
      <c r="P733" s="3427"/>
    </row>
    <row r="734">
      <c r="A734" s="3449"/>
      <c r="B734" s="3449"/>
      <c r="C734" s="3449"/>
      <c r="D734" s="3425"/>
      <c r="E734" s="3425"/>
      <c r="F734" s="3425"/>
      <c r="G734" s="3588"/>
      <c r="H734" s="3425"/>
      <c r="I734" s="3425"/>
      <c r="J734" s="3453"/>
      <c r="K734" s="3427"/>
      <c r="L734" s="3427"/>
      <c r="M734" s="3427"/>
      <c r="N734" s="3427"/>
      <c r="O734" s="3427"/>
      <c r="P734" s="3427"/>
    </row>
    <row r="735">
      <c r="A735" s="3938" t="s">
        <v>3694</v>
      </c>
      <c r="B735" s="3938"/>
      <c r="C735" s="3938"/>
      <c r="D735" s="3938"/>
      <c r="E735" s="3938"/>
      <c r="F735" s="3938"/>
      <c r="G735" s="3938"/>
      <c r="H735" s="3938"/>
      <c r="I735" s="3938"/>
      <c r="J735" s="3939"/>
      <c r="K735" s="3878"/>
      <c r="L735" s="3878"/>
      <c r="M735" s="3878"/>
      <c r="N735" s="3878"/>
      <c r="O735" s="3878"/>
      <c r="P735" s="3878"/>
    </row>
    <row r="736">
      <c r="A736" s="3940" t="s">
        <v>3122</v>
      </c>
      <c r="B736" s="3941" t="s">
        <v>3123</v>
      </c>
      <c r="C736" s="3941"/>
      <c r="D736" s="3942" t="s">
        <v>3124</v>
      </c>
      <c r="E736" s="3942" t="s">
        <v>3125</v>
      </c>
      <c r="F736" s="3942" t="s">
        <v>3126</v>
      </c>
      <c r="G736" s="3943" t="s">
        <v>3148</v>
      </c>
      <c r="H736" s="3942" t="s">
        <v>3128</v>
      </c>
      <c r="I736" s="3942" t="s">
        <v>3129</v>
      </c>
      <c r="J736" s="3944" t="s">
        <v>3130</v>
      </c>
      <c r="K736" s="3448"/>
      <c r="L736" s="3448"/>
      <c r="M736" s="3448"/>
      <c r="N736" s="3448"/>
      <c r="O736" s="3448"/>
      <c r="P736" s="3448"/>
    </row>
    <row r="737">
      <c r="A737" s="3449" t="s">
        <v>3694</v>
      </c>
      <c r="B737" s="3428">
        <v>46245</v>
      </c>
      <c r="C737" s="3449" t="str">
        <v>Tuesday</v>
      </c>
      <c r="D737" s="3421" t="s">
        <v>3261</v>
      </c>
      <c r="E737" s="3451">
        <f t="shared" ref="E737:E738" si="114">24*MOD(TIMEVALUE(TRIM(MID(D737,FIND("-",D737)+1,LEN(D737)))) - TIMEVALUE(TRIM(LEFT(D737,FIND("-",D737)-1))),1)</f>
      </c>
      <c r="F737" s="3425"/>
      <c r="G737" s="3473"/>
      <c r="H737" s="3848" t="s">
        <v>3198</v>
      </c>
      <c r="I737" s="3451" t="s">
        <v>3107</v>
      </c>
      <c r="J737" s="3426"/>
      <c r="K737" s="3427"/>
      <c r="L737" s="3427"/>
      <c r="M737" s="3427"/>
      <c r="N737" s="3427"/>
      <c r="O737" s="3427"/>
      <c r="P737" s="3427"/>
    </row>
    <row r="738">
      <c r="A738" s="3945" t="s">
        <v>3695</v>
      </c>
      <c r="B738" s="3946">
        <v>46245</v>
      </c>
      <c r="C738" s="3945" t="str">
        <v>Tuesday</v>
      </c>
      <c r="D738" s="3947" t="s">
        <v>3696</v>
      </c>
      <c r="E738" s="3948">
        <f t="shared" si="114"/>
      </c>
      <c r="F738" s="3948"/>
      <c r="G738" s="3949"/>
      <c r="H738" s="3950" t="s">
        <v>3198</v>
      </c>
      <c r="I738" s="3451" t="s">
        <v>3107</v>
      </c>
      <c r="J738" s="3951"/>
      <c r="K738" s="3427"/>
      <c r="L738" s="3427"/>
      <c r="M738" s="3427"/>
      <c r="N738" s="3427"/>
      <c r="O738" s="3427"/>
      <c r="P738" s="3427"/>
    </row>
    <row r="739">
      <c r="A739" s="3449" t="s">
        <v>3694</v>
      </c>
      <c r="B739" s="3449"/>
      <c r="C739" s="3449"/>
      <c r="D739" s="3451"/>
      <c r="E739" s="3952">
        <f>3</f>
      </c>
      <c r="F739" s="3425"/>
      <c r="G739" s="3653"/>
      <c r="H739" s="3848"/>
      <c r="I739" s="3425"/>
      <c r="J739" s="3426"/>
      <c r="K739" s="3427"/>
      <c r="L739" s="3427"/>
      <c r="M739" s="3427"/>
      <c r="N739" s="3427"/>
      <c r="O739" s="3427"/>
      <c r="P739" s="3427"/>
    </row>
    <row r="740">
      <c r="A740" s="3449" t="s">
        <v>3694</v>
      </c>
      <c r="B740" s="3428">
        <v>46246</v>
      </c>
      <c r="C740" s="3449" t="str">
        <v>Wednesday</v>
      </c>
      <c r="D740" s="3421" t="s">
        <v>3150</v>
      </c>
      <c r="E740" s="3451">
        <f t="shared" ref="E740:E741" si="115">24*MOD(TIMEVALUE(TRIM(MID(D740,FIND("-",D740)+1,LEN(D740)))) - TIMEVALUE(TRIM(LEFT(D740,FIND("-",D740)-1))),1)</f>
      </c>
      <c r="F740" s="3425"/>
      <c r="G740" s="3473"/>
      <c r="H740" s="3848" t="s">
        <v>3198</v>
      </c>
      <c r="I740" s="3435" t="s">
        <v>3107</v>
      </c>
      <c r="J740" s="3426"/>
      <c r="K740" s="3427"/>
      <c r="L740" s="3427"/>
      <c r="M740" s="3427"/>
      <c r="N740" s="3427"/>
      <c r="O740" s="3427"/>
      <c r="P740" s="3427"/>
    </row>
    <row r="741">
      <c r="A741" s="3945" t="s">
        <v>3695</v>
      </c>
      <c r="B741" s="3946">
        <v>46246</v>
      </c>
      <c r="C741" s="3945" t="str">
        <v>Wednesday</v>
      </c>
      <c r="D741" s="3947" t="s">
        <v>3655</v>
      </c>
      <c r="E741" s="3948">
        <f t="shared" si="115"/>
      </c>
      <c r="F741" s="3948"/>
      <c r="G741" s="3949"/>
      <c r="H741" s="3950" t="s">
        <v>3198</v>
      </c>
      <c r="I741" s="3451" t="s">
        <v>3107</v>
      </c>
      <c r="J741" s="3953"/>
      <c r="K741" s="3603"/>
      <c r="L741" s="3603"/>
      <c r="M741" s="3603"/>
      <c r="N741" s="3603"/>
      <c r="O741" s="3603"/>
      <c r="P741" s="3603"/>
    </row>
    <row r="742">
      <c r="A742" s="3449" t="s">
        <v>3694</v>
      </c>
      <c r="B742" s="3449"/>
      <c r="C742" s="3449"/>
      <c r="D742" s="3451"/>
      <c r="E742" s="3952">
        <f>3</f>
      </c>
      <c r="F742" s="3425"/>
      <c r="G742" s="3653"/>
      <c r="H742" s="3848"/>
      <c r="I742" s="3425"/>
      <c r="J742" s="3426"/>
      <c r="K742" s="3427"/>
      <c r="L742" s="3427"/>
      <c r="M742" s="3427"/>
      <c r="N742" s="3427"/>
      <c r="O742" s="3427"/>
      <c r="P742" s="3427"/>
    </row>
    <row r="743">
      <c r="A743" s="3449" t="s">
        <v>3694</v>
      </c>
      <c r="B743" s="3428">
        <v>46247</v>
      </c>
      <c r="C743" s="3449" t="str">
        <v>Thursday</v>
      </c>
      <c r="D743" s="3421" t="s">
        <v>3261</v>
      </c>
      <c r="E743" s="3451">
        <f t="shared" ref="E743:E744" si="116">24*MOD(TIMEVALUE(TRIM(MID(D743,FIND("-",D743)+1,LEN(D743)))) - TIMEVALUE(TRIM(LEFT(D743,FIND("-",D743)-1))),1)</f>
      </c>
      <c r="F743" s="3425"/>
      <c r="G743" s="3473"/>
      <c r="H743" s="3848" t="s">
        <v>3198</v>
      </c>
      <c r="I743" s="3451" t="s">
        <v>3107</v>
      </c>
      <c r="J743" s="3426"/>
      <c r="K743" s="3427"/>
      <c r="L743" s="3427"/>
      <c r="M743" s="3427"/>
      <c r="N743" s="3427"/>
      <c r="O743" s="3427"/>
      <c r="P743" s="3427"/>
    </row>
    <row r="744">
      <c r="A744" s="3945" t="s">
        <v>3695</v>
      </c>
      <c r="B744" s="3946">
        <v>46247</v>
      </c>
      <c r="C744" s="3945" t="str">
        <v>Thursday</v>
      </c>
      <c r="D744" s="3947" t="s">
        <v>3697</v>
      </c>
      <c r="E744" s="3948">
        <f t="shared" si="116"/>
      </c>
      <c r="F744" s="3948"/>
      <c r="G744" s="3949"/>
      <c r="H744" s="3950" t="s">
        <v>3198</v>
      </c>
      <c r="I744" s="3451" t="s">
        <v>3107</v>
      </c>
      <c r="J744" s="3951"/>
      <c r="K744" s="3427"/>
      <c r="L744" s="3427"/>
      <c r="M744" s="3427"/>
      <c r="N744" s="3427"/>
      <c r="O744" s="3427"/>
      <c r="P744" s="3427"/>
    </row>
    <row r="745">
      <c r="A745" s="3449" t="s">
        <v>3694</v>
      </c>
      <c r="B745" s="3449"/>
      <c r="C745" s="3449"/>
      <c r="D745" s="3451"/>
      <c r="E745" s="3952">
        <f>3</f>
      </c>
      <c r="F745" s="3425"/>
      <c r="G745" s="3653"/>
      <c r="H745" s="3848"/>
      <c r="I745" s="3425"/>
      <c r="J745" s="3426"/>
      <c r="K745" s="3427"/>
      <c r="L745" s="3427"/>
      <c r="M745" s="3427"/>
      <c r="N745" s="3427"/>
      <c r="O745" s="3427"/>
      <c r="P745" s="3427"/>
    </row>
    <row r="746">
      <c r="A746" s="3449" t="s">
        <v>3694</v>
      </c>
      <c r="B746" s="3428">
        <v>46248</v>
      </c>
      <c r="C746" s="3449" t="str">
        <v>Friday</v>
      </c>
      <c r="D746" s="3421" t="s">
        <v>3380</v>
      </c>
      <c r="E746" s="3451">
        <f t="shared" ref="E746:E747" si="117">24*MOD(TIMEVALUE(TRIM(MID(D746,FIND("-",D746)+1,LEN(D746)))) - TIMEVALUE(TRIM(LEFT(D746,FIND("-",D746)-1))),1)</f>
      </c>
      <c r="F746" s="3425"/>
      <c r="G746" s="3473"/>
      <c r="H746" s="3848" t="s">
        <v>3198</v>
      </c>
      <c r="I746" s="3451" t="s">
        <v>3107</v>
      </c>
      <c r="J746" s="3426"/>
      <c r="K746" s="3427"/>
      <c r="L746" s="3427"/>
      <c r="M746" s="3427"/>
      <c r="N746" s="3427"/>
      <c r="O746" s="3427"/>
      <c r="P746" s="3427"/>
    </row>
    <row r="747">
      <c r="A747" s="3945" t="s">
        <v>3695</v>
      </c>
      <c r="B747" s="3946">
        <v>46248</v>
      </c>
      <c r="C747" s="3945" t="str">
        <v>Friday</v>
      </c>
      <c r="D747" s="3947" t="s">
        <v>3633</v>
      </c>
      <c r="E747" s="3948">
        <f t="shared" si="117"/>
      </c>
      <c r="F747" s="3948"/>
      <c r="G747" s="3949"/>
      <c r="H747" s="3950" t="s">
        <v>3198</v>
      </c>
      <c r="I747" s="3451" t="s">
        <v>3107</v>
      </c>
      <c r="J747" s="3951"/>
      <c r="K747" s="3427"/>
      <c r="L747" s="3427"/>
      <c r="M747" s="3427"/>
      <c r="N747" s="3427"/>
      <c r="O747" s="3427"/>
      <c r="P747" s="3427"/>
    </row>
    <row r="748">
      <c r="A748" s="3449" t="s">
        <v>3694</v>
      </c>
      <c r="B748" s="3449"/>
      <c r="C748" s="3449"/>
      <c r="D748" s="3451"/>
      <c r="E748" s="3952">
        <f>3</f>
      </c>
      <c r="F748" s="3425"/>
      <c r="G748" s="3653"/>
      <c r="H748" s="3848"/>
      <c r="I748" s="3425"/>
      <c r="J748" s="3426"/>
      <c r="K748" s="3427"/>
      <c r="L748" s="3427"/>
      <c r="M748" s="3427"/>
      <c r="N748" s="3427"/>
      <c r="O748" s="3427"/>
      <c r="P748" s="3427"/>
    </row>
    <row r="749">
      <c r="A749" s="3449" t="s">
        <v>3694</v>
      </c>
      <c r="B749" s="3428">
        <v>46249</v>
      </c>
      <c r="C749" s="3449" t="str">
        <v>Saturday</v>
      </c>
      <c r="D749" s="3421" t="s">
        <v>3174</v>
      </c>
      <c r="E749" s="3451">
        <f t="shared" ref="E749:E750" si="118">24*MOD(TIMEVALUE(TRIM(MID(D749,FIND("-",D749)+1,LEN(D749)))) - TIMEVALUE(TRIM(LEFT(D749,FIND("-",D749)-1))),1)</f>
      </c>
      <c r="F749" s="3425"/>
      <c r="G749" s="3473"/>
      <c r="H749" s="3848" t="s">
        <v>3198</v>
      </c>
      <c r="I749" s="3451" t="s">
        <v>3107</v>
      </c>
      <c r="J749" s="3426"/>
      <c r="K749" s="3427"/>
      <c r="L749" s="3427"/>
      <c r="M749" s="3427"/>
      <c r="N749" s="3427"/>
      <c r="O749" s="3427"/>
      <c r="P749" s="3427"/>
    </row>
    <row r="750">
      <c r="A750" s="3945" t="s">
        <v>3695</v>
      </c>
      <c r="B750" s="3946">
        <v>46249</v>
      </c>
      <c r="C750" s="3945" t="str">
        <v>Saturday</v>
      </c>
      <c r="D750" s="3947" t="s">
        <v>3174</v>
      </c>
      <c r="E750" s="3948">
        <f t="shared" si="118"/>
      </c>
      <c r="F750" s="3948"/>
      <c r="G750" s="3949"/>
      <c r="H750" s="3950" t="s">
        <v>3198</v>
      </c>
      <c r="I750" s="3451" t="s">
        <v>3107</v>
      </c>
      <c r="J750" s="3951"/>
      <c r="K750" s="3427"/>
      <c r="L750" s="3427"/>
      <c r="M750" s="3427"/>
      <c r="N750" s="3427"/>
      <c r="O750" s="3427"/>
      <c r="P750" s="3427"/>
    </row>
    <row r="751">
      <c r="A751" s="3449" t="s">
        <v>3694</v>
      </c>
      <c r="B751" s="3449"/>
      <c r="C751" s="3449"/>
      <c r="D751" s="3451"/>
      <c r="E751" s="3952">
        <f>3</f>
      </c>
      <c r="F751" s="3425"/>
      <c r="G751" s="3653"/>
      <c r="H751" s="3848"/>
      <c r="I751" s="3425"/>
      <c r="J751" s="3426"/>
      <c r="K751" s="3427"/>
      <c r="L751" s="3427"/>
      <c r="M751" s="3427"/>
      <c r="N751" s="3427"/>
      <c r="O751" s="3427"/>
      <c r="P751" s="3427"/>
    </row>
    <row customHeight="true" ht="18.452380952380953" r="752">
      <c r="A752" s="3449" t="s">
        <v>3694</v>
      </c>
      <c r="B752" s="3428">
        <v>46250</v>
      </c>
      <c r="C752" s="3449" t="str">
        <v>Sunday</v>
      </c>
      <c r="D752" s="3421" t="s">
        <v>3161</v>
      </c>
      <c r="E752" s="3451">
        <f t="shared" ref="E752:E753" si="119">24*MOD(TIMEVALUE(TRIM(MID(D752,FIND("-",D752)+1,LEN(D752)))) - TIMEVALUE(TRIM(LEFT(D752,FIND("-",D752)-1))),1)</f>
      </c>
      <c r="F752" s="3425"/>
      <c r="G752" s="3473"/>
      <c r="H752" s="3848" t="s">
        <v>3198</v>
      </c>
      <c r="I752" s="3451" t="s">
        <v>3107</v>
      </c>
      <c r="J752" s="3426"/>
      <c r="K752" s="3427"/>
      <c r="L752" s="3427"/>
      <c r="M752" s="3427"/>
      <c r="N752" s="3427"/>
      <c r="O752" s="3427"/>
      <c r="P752" s="3427"/>
    </row>
    <row customHeight="true" ht="18.452380952380953" r="753">
      <c r="A753" s="3945" t="s">
        <v>3695</v>
      </c>
      <c r="B753" s="3946">
        <v>46250</v>
      </c>
      <c r="C753" s="3945" t="str">
        <v>Sunday</v>
      </c>
      <c r="D753" s="3947" t="s">
        <v>3698</v>
      </c>
      <c r="E753" s="3948">
        <f t="shared" si="119"/>
      </c>
      <c r="F753" s="3948"/>
      <c r="G753" s="3949"/>
      <c r="H753" s="3950" t="s">
        <v>3198</v>
      </c>
      <c r="I753" s="3451" t="s">
        <v>3140</v>
      </c>
      <c r="J753" s="3951"/>
      <c r="K753" s="3427"/>
      <c r="L753" s="3427"/>
      <c r="M753" s="3427"/>
      <c r="N753" s="3427"/>
      <c r="O753" s="3427"/>
      <c r="P753" s="3427"/>
    </row>
    <row customHeight="true" ht="18.452380952380953" r="754">
      <c r="A754" s="3449" t="s">
        <v>3694</v>
      </c>
      <c r="B754" s="3449"/>
      <c r="C754" s="3449"/>
      <c r="D754" s="3451"/>
      <c r="E754" s="3952">
        <f>3</f>
      </c>
      <c r="F754" s="3425"/>
      <c r="G754" s="3653"/>
      <c r="H754" s="3848"/>
      <c r="I754" s="3425"/>
      <c r="J754" s="3426"/>
      <c r="K754" s="3427"/>
      <c r="L754" s="3427"/>
      <c r="M754" s="3427"/>
      <c r="N754" s="3427"/>
      <c r="O754" s="3427"/>
      <c r="P754" s="3427"/>
    </row>
    <row r="755">
      <c r="A755" s="3559"/>
      <c r="B755" s="3449"/>
      <c r="C755" s="3449"/>
      <c r="D755" s="3451"/>
      <c r="E755" s="3451"/>
      <c r="F755" s="3451"/>
      <c r="G755" s="3653"/>
      <c r="H755" s="3848"/>
      <c r="I755" s="3451"/>
      <c r="J755" s="3426"/>
      <c r="K755" s="3427"/>
      <c r="L755" s="3427"/>
      <c r="M755" s="3427"/>
      <c r="N755" s="3427"/>
      <c r="O755" s="3427"/>
      <c r="P755" s="3427"/>
    </row>
    <row r="756">
      <c r="A756" s="3449"/>
      <c r="B756" s="3449"/>
      <c r="C756" s="3449"/>
      <c r="D756" s="3451"/>
      <c r="E756" s="3451"/>
      <c r="F756" s="3451"/>
      <c r="G756" s="3653"/>
      <c r="H756" s="3848"/>
      <c r="I756" s="3451"/>
      <c r="J756" s="3426"/>
      <c r="K756" s="3427"/>
      <c r="L756" s="3427"/>
      <c r="M756" s="3427"/>
      <c r="N756" s="3427"/>
      <c r="O756" s="3427"/>
      <c r="P756" s="3427"/>
    </row>
    <row r="757">
      <c r="A757" s="3449" t="s">
        <v>3699</v>
      </c>
      <c r="B757" s="3428">
        <v>46245</v>
      </c>
      <c r="C757" s="3449" t="str">
        <v>Tuesday</v>
      </c>
      <c r="D757" s="3450" t="s">
        <v>3700</v>
      </c>
      <c r="E757" s="3425">
        <f t="shared" ref="E757:E762" si="120">24*MOD(TIMEVALUE(TRIM(MID(D757,FIND("-",D757)+1,LEN(D757)))) - TIMEVALUE(TRIM(LEFT(D757,FIND("-",D757)-1))),1)</f>
      </c>
      <c r="F757" s="3451"/>
      <c r="G757" s="3584"/>
      <c r="H757" s="3794" t="s">
        <v>3198</v>
      </c>
      <c r="I757" s="3451" t="s">
        <v>3107</v>
      </c>
      <c r="J757" s="3453"/>
      <c r="K757" s="3427"/>
      <c r="L757" s="3427"/>
      <c r="M757" s="3427"/>
      <c r="N757" s="3427"/>
      <c r="O757" s="3427"/>
      <c r="P757" s="3427"/>
    </row>
    <row r="758">
      <c r="A758" s="3449" t="s">
        <v>3699</v>
      </c>
      <c r="B758" s="3428">
        <v>46245</v>
      </c>
      <c r="C758" s="3449" t="str">
        <v>Tuesday</v>
      </c>
      <c r="D758" s="3450" t="s">
        <v>3641</v>
      </c>
      <c r="E758" s="3425">
        <f t="shared" si="120"/>
      </c>
      <c r="F758" s="3451"/>
      <c r="G758" s="3588"/>
      <c r="H758" s="3794" t="s">
        <v>3198</v>
      </c>
      <c r="I758" s="3451" t="s">
        <v>3107</v>
      </c>
      <c r="J758" s="3453"/>
      <c r="K758" s="3427"/>
      <c r="L758" s="3427"/>
      <c r="M758" s="3427"/>
      <c r="N758" s="3427"/>
      <c r="O758" s="3427"/>
      <c r="P758" s="3427"/>
    </row>
    <row r="759">
      <c r="A759" s="3449" t="s">
        <v>3699</v>
      </c>
      <c r="B759" s="3428">
        <v>46246</v>
      </c>
      <c r="C759" s="3449" t="str">
        <v>Wednesday</v>
      </c>
      <c r="D759" s="3450" t="s">
        <v>3701</v>
      </c>
      <c r="E759" s="3425">
        <f t="shared" si="120"/>
      </c>
      <c r="F759" s="3451"/>
      <c r="G759" s="3588"/>
      <c r="H759" s="3794" t="s">
        <v>3198</v>
      </c>
      <c r="I759" s="3451" t="s">
        <v>3107</v>
      </c>
      <c r="J759" s="3453"/>
      <c r="K759" s="3427"/>
      <c r="L759" s="3427"/>
      <c r="M759" s="3427"/>
      <c r="N759" s="3427"/>
      <c r="O759" s="3427"/>
      <c r="P759" s="3427"/>
    </row>
    <row r="760">
      <c r="A760" s="3449" t="s">
        <v>3699</v>
      </c>
      <c r="B760" s="3449">
        <v>46234</v>
      </c>
      <c r="C760" s="3449" t="str">
        <v>Friday</v>
      </c>
      <c r="D760" s="3421" t="s">
        <v>3702</v>
      </c>
      <c r="E760" s="3425">
        <f t="shared" si="120"/>
      </c>
      <c r="F760" s="3451"/>
      <c r="G760" s="3588"/>
      <c r="H760" s="3794" t="s">
        <v>3198</v>
      </c>
      <c r="I760" s="3451" t="s">
        <v>3140</v>
      </c>
      <c r="J760" s="3453"/>
      <c r="K760" s="3427"/>
      <c r="L760" s="3427"/>
      <c r="M760" s="3427"/>
      <c r="N760" s="3427"/>
      <c r="O760" s="3427"/>
      <c r="P760" s="3427"/>
    </row>
    <row r="761">
      <c r="A761" s="3449" t="s">
        <v>3699</v>
      </c>
      <c r="B761" s="3449">
        <v>46220</v>
      </c>
      <c r="C761" s="3449" t="str">
        <v>Friday</v>
      </c>
      <c r="D761" s="3425" t="s">
        <v>3375</v>
      </c>
      <c r="E761" s="3425">
        <f t="shared" si="120"/>
      </c>
      <c r="F761" s="3451"/>
      <c r="G761" s="3588"/>
      <c r="H761" s="3794" t="s">
        <v>3198</v>
      </c>
      <c r="I761" s="3451" t="s">
        <v>3140</v>
      </c>
      <c r="J761" s="3453"/>
      <c r="K761" s="3427"/>
      <c r="L761" s="3427"/>
      <c r="M761" s="3427"/>
      <c r="N761" s="3427"/>
      <c r="O761" s="3427"/>
      <c r="P761" s="3427"/>
    </row>
    <row r="762">
      <c r="A762" s="3449" t="s">
        <v>3699</v>
      </c>
      <c r="B762" s="3449">
        <v>46219</v>
      </c>
      <c r="C762" s="3449" t="str">
        <v>Thursday</v>
      </c>
      <c r="D762" s="3425" t="s">
        <v>3353</v>
      </c>
      <c r="E762" s="3425">
        <f t="shared" si="120"/>
      </c>
      <c r="F762" s="3451"/>
      <c r="G762" s="3588"/>
      <c r="H762" s="3794" t="s">
        <v>3198</v>
      </c>
      <c r="I762" s="3451" t="s">
        <v>3140</v>
      </c>
      <c r="J762" s="3453"/>
      <c r="K762" s="3427"/>
      <c r="L762" s="3427"/>
      <c r="M762" s="3427"/>
      <c r="N762" s="3427"/>
      <c r="O762" s="3427"/>
      <c r="P762" s="3427"/>
    </row>
    <row r="763">
      <c r="A763" s="3699"/>
      <c r="B763" s="3699"/>
      <c r="C763" s="3699"/>
      <c r="D763" s="3699"/>
      <c r="E763" s="3699"/>
      <c r="F763" s="3699"/>
      <c r="G763" s="3822"/>
      <c r="H763" s="3699"/>
      <c r="I763" s="3699"/>
      <c r="J763" s="3699"/>
      <c r="K763" s="3427"/>
      <c r="L763" s="3427"/>
      <c r="M763" s="3427"/>
      <c r="N763" s="3427"/>
      <c r="O763" s="3427"/>
      <c r="P763" s="3427"/>
    </row>
    <row r="764">
      <c r="A764" s="3954" t="s">
        <v>3703</v>
      </c>
      <c r="B764" s="3955"/>
      <c r="C764" s="3955"/>
      <c r="D764" s="3955"/>
      <c r="E764" s="3955"/>
      <c r="F764" s="3955"/>
      <c r="G764" s="3955"/>
      <c r="H764" s="3955"/>
      <c r="I764" s="3955"/>
      <c r="J764" s="3956"/>
      <c r="K764" s="3878"/>
      <c r="L764" s="3878"/>
      <c r="M764" s="3878"/>
      <c r="N764" s="3878"/>
      <c r="O764" s="3878"/>
      <c r="P764" s="3878"/>
    </row>
    <row r="765">
      <c r="A765" s="3957" t="s">
        <v>3703</v>
      </c>
      <c r="B765" s="3958" t="s">
        <v>3123</v>
      </c>
      <c r="C765" s="3958"/>
      <c r="D765" s="3959" t="s">
        <v>3124</v>
      </c>
      <c r="E765" s="3959" t="s">
        <v>3125</v>
      </c>
      <c r="F765" s="3959"/>
      <c r="G765" s="3960"/>
      <c r="H765" s="3959" t="s">
        <v>3128</v>
      </c>
      <c r="I765" s="3959" t="s">
        <v>3129</v>
      </c>
      <c r="J765" s="3961" t="s">
        <v>3130</v>
      </c>
      <c r="K765" s="3448"/>
      <c r="L765" s="3448"/>
      <c r="M765" s="3448"/>
      <c r="N765" s="3448"/>
      <c r="O765" s="3448"/>
      <c r="P765" s="3448"/>
    </row>
    <row r="766">
      <c r="A766" s="3582" t="s">
        <v>3703</v>
      </c>
      <c r="B766" s="3428">
        <v>46259</v>
      </c>
      <c r="C766" s="3449" t="str">
        <v>Tuesday</v>
      </c>
      <c r="D766" s="3421" t="s">
        <v>3349</v>
      </c>
      <c r="E766" s="3451">
        <f t="shared" ref="E766:E777" si="121">24*MOD(TIMEVALUE(TRIM(MID(D766,FIND("-",D766)+1,LEN(D766)))) - TIMEVALUE(TRIM(LEFT(D766,FIND("-",D766)-1))),1)</f>
      </c>
      <c r="F766" s="3514"/>
      <c r="G766" s="3655"/>
      <c r="H766" s="3514" t="s">
        <v>3198</v>
      </c>
      <c r="I766" s="3425" t="s">
        <v>3140</v>
      </c>
      <c r="J766" s="3664"/>
      <c r="K766" s="3427"/>
      <c r="L766" s="3427"/>
      <c r="M766" s="3427"/>
      <c r="N766" s="3427"/>
      <c r="O766" s="3427"/>
      <c r="P766" s="3427"/>
    </row>
    <row r="767">
      <c r="A767" s="3962" t="s">
        <v>3704</v>
      </c>
      <c r="B767" s="3963">
        <v>46259</v>
      </c>
      <c r="C767" s="3962" t="str">
        <v>Tuesday</v>
      </c>
      <c r="D767" s="3964" t="s">
        <v>3349</v>
      </c>
      <c r="E767" s="3965">
        <f t="shared" si="121"/>
      </c>
      <c r="F767" s="3965"/>
      <c r="G767" s="3966"/>
      <c r="H767" s="3965" t="s">
        <v>3198</v>
      </c>
      <c r="I767" s="3965" t="s">
        <v>3140</v>
      </c>
      <c r="J767" s="3967"/>
      <c r="K767" s="3427"/>
      <c r="L767" s="3427"/>
      <c r="M767" s="3427"/>
      <c r="N767" s="3427"/>
      <c r="O767" s="3427"/>
      <c r="P767" s="3427"/>
    </row>
    <row r="768">
      <c r="A768" s="3454" t="s">
        <v>3703</v>
      </c>
      <c r="B768" s="3455">
        <v>46260</v>
      </c>
      <c r="C768" s="3454" t="str">
        <v>Wednesday</v>
      </c>
      <c r="D768" s="3458" t="s">
        <v>3155</v>
      </c>
      <c r="E768" s="3458">
        <f t="shared" si="121"/>
      </c>
      <c r="F768" s="3458" t="s">
        <v>3525</v>
      </c>
      <c r="G768" s="3479" t="s">
        <v>3705</v>
      </c>
      <c r="H768" s="3458" t="s">
        <v>3198</v>
      </c>
      <c r="I768" s="3458" t="s">
        <v>3107</v>
      </c>
      <c r="J768" s="3481" t="s">
        <v>3706</v>
      </c>
      <c r="K768" s="3427"/>
      <c r="L768" s="3427"/>
      <c r="M768" s="3427"/>
      <c r="N768" s="3427"/>
      <c r="O768" s="3427"/>
      <c r="P768" s="3427"/>
    </row>
    <row r="769">
      <c r="A769" s="3962" t="s">
        <v>3704</v>
      </c>
      <c r="B769" s="3963">
        <v>46260</v>
      </c>
      <c r="C769" s="3962" t="str">
        <v>Wednesday</v>
      </c>
      <c r="D769" s="3964" t="s">
        <v>3702</v>
      </c>
      <c r="E769" s="3965">
        <f t="shared" si="121"/>
      </c>
      <c r="F769" s="3965"/>
      <c r="G769" s="3966"/>
      <c r="H769" s="3968" t="s">
        <v>3198</v>
      </c>
      <c r="I769" s="3425" t="s">
        <v>3107</v>
      </c>
      <c r="J769" s="3967"/>
      <c r="K769" s="3427"/>
      <c r="L769" s="3427"/>
      <c r="M769" s="3427"/>
      <c r="N769" s="3427"/>
      <c r="O769" s="3427"/>
      <c r="P769" s="3427"/>
    </row>
    <row r="770">
      <c r="A770" s="3582" t="s">
        <v>3703</v>
      </c>
      <c r="B770" s="3428">
        <v>46261</v>
      </c>
      <c r="C770" s="3449" t="str">
        <v>Thursday</v>
      </c>
      <c r="D770" s="3421" t="s">
        <v>3178</v>
      </c>
      <c r="E770" s="3451">
        <f t="shared" si="121"/>
      </c>
      <c r="F770" s="3451" t="s">
        <v>3244</v>
      </c>
      <c r="G770" s="3584"/>
      <c r="H770" s="3425" t="s">
        <v>3198</v>
      </c>
      <c r="I770" s="3435" t="s">
        <v>3107</v>
      </c>
      <c r="J770" s="3453"/>
      <c r="K770" s="3427"/>
      <c r="L770" s="3427"/>
      <c r="M770" s="3427"/>
      <c r="N770" s="3427"/>
      <c r="O770" s="3427"/>
      <c r="P770" s="3427"/>
    </row>
    <row r="771">
      <c r="A771" s="3962" t="s">
        <v>3704</v>
      </c>
      <c r="B771" s="3963">
        <v>46261</v>
      </c>
      <c r="C771" s="3962" t="str">
        <v>Thursday</v>
      </c>
      <c r="D771" s="3964" t="s">
        <v>3630</v>
      </c>
      <c r="E771" s="3965">
        <f t="shared" si="121"/>
      </c>
      <c r="F771" s="3965" t="s">
        <v>3707</v>
      </c>
      <c r="G771" s="3966"/>
      <c r="H771" s="3968" t="s">
        <v>3198</v>
      </c>
      <c r="I771" s="3425" t="s">
        <v>3107</v>
      </c>
      <c r="J771" s="3967"/>
      <c r="K771" s="3427"/>
      <c r="L771" s="3427"/>
      <c r="M771" s="3427"/>
      <c r="N771" s="3427"/>
      <c r="O771" s="3427"/>
      <c r="P771" s="3427"/>
    </row>
    <row r="772">
      <c r="A772" s="3582" t="s">
        <v>3703</v>
      </c>
      <c r="B772" s="3428">
        <v>46262</v>
      </c>
      <c r="C772" s="3449" t="str">
        <v>Friday</v>
      </c>
      <c r="D772" s="3451" t="s">
        <v>3155</v>
      </c>
      <c r="E772" s="3451">
        <f t="shared" si="121"/>
      </c>
      <c r="F772" s="3451" t="s">
        <v>3333</v>
      </c>
      <c r="G772" s="3588"/>
      <c r="H772" s="3425" t="s">
        <v>3198</v>
      </c>
      <c r="I772" s="3425" t="s">
        <v>3107</v>
      </c>
      <c r="J772" s="3453"/>
      <c r="K772" s="3427"/>
      <c r="L772" s="3427"/>
      <c r="M772" s="3427"/>
      <c r="N772" s="3427"/>
      <c r="O772" s="3427"/>
      <c r="P772" s="3427"/>
    </row>
    <row r="773">
      <c r="A773" s="3962" t="s">
        <v>3704</v>
      </c>
      <c r="B773" s="3963">
        <v>46262</v>
      </c>
      <c r="C773" s="3962" t="str">
        <v>Friday</v>
      </c>
      <c r="D773" s="3964" t="s">
        <v>3702</v>
      </c>
      <c r="E773" s="3965">
        <f t="shared" si="121"/>
      </c>
      <c r="F773" s="3965" t="s">
        <v>3707</v>
      </c>
      <c r="G773" s="3966"/>
      <c r="H773" s="3968" t="s">
        <v>3198</v>
      </c>
      <c r="I773" s="3425" t="s">
        <v>3107</v>
      </c>
      <c r="J773" s="3967"/>
      <c r="K773" s="3427"/>
      <c r="L773" s="3427"/>
      <c r="M773" s="3427"/>
      <c r="N773" s="3427"/>
      <c r="O773" s="3427"/>
      <c r="P773" s="3427"/>
    </row>
    <row r="774">
      <c r="A774" s="3582" t="s">
        <v>3703</v>
      </c>
      <c r="B774" s="3428">
        <v>46263</v>
      </c>
      <c r="C774" s="3449" t="str">
        <v>Saturday</v>
      </c>
      <c r="D774" s="3421" t="s">
        <v>3380</v>
      </c>
      <c r="E774" s="3451">
        <f t="shared" si="121"/>
      </c>
      <c r="F774" s="3451"/>
      <c r="G774" s="3588"/>
      <c r="H774" s="3425" t="s">
        <v>3198</v>
      </c>
      <c r="I774" s="3425" t="s">
        <v>3140</v>
      </c>
      <c r="J774" s="3453"/>
      <c r="K774" s="3427"/>
      <c r="L774" s="3427"/>
      <c r="M774" s="3427"/>
      <c r="N774" s="3427"/>
      <c r="O774" s="3427"/>
      <c r="P774" s="3427"/>
    </row>
    <row r="775">
      <c r="A775" s="3962" t="s">
        <v>3704</v>
      </c>
      <c r="B775" s="3963">
        <v>46263</v>
      </c>
      <c r="C775" s="3962" t="str">
        <v>Saturday</v>
      </c>
      <c r="D775" s="3964" t="s">
        <v>3633</v>
      </c>
      <c r="E775" s="3965">
        <f t="shared" si="121"/>
      </c>
      <c r="F775" s="3965"/>
      <c r="G775" s="3969"/>
      <c r="H775" s="3968" t="s">
        <v>3198</v>
      </c>
      <c r="I775" s="3425" t="s">
        <v>3140</v>
      </c>
      <c r="J775" s="3967"/>
      <c r="K775" s="3427"/>
      <c r="L775" s="3427"/>
      <c r="M775" s="3427"/>
      <c r="N775" s="3427"/>
      <c r="O775" s="3427"/>
      <c r="P775" s="3427"/>
    </row>
    <row r="776">
      <c r="A776" s="3454" t="s">
        <v>3703</v>
      </c>
      <c r="B776" s="3455">
        <v>46264</v>
      </c>
      <c r="C776" s="3454" t="str">
        <v>Sunday</v>
      </c>
      <c r="D776" s="3478" t="s">
        <v>3380</v>
      </c>
      <c r="E776" s="3458">
        <f t="shared" si="121"/>
      </c>
      <c r="F776" s="3458" t="s">
        <v>3525</v>
      </c>
      <c r="G776" s="3591"/>
      <c r="H776" s="3458" t="s">
        <v>3198</v>
      </c>
      <c r="I776" s="3458" t="s">
        <v>3107</v>
      </c>
      <c r="J776" s="3711" t="s">
        <v>3708</v>
      </c>
      <c r="K776" s="3427"/>
      <c r="L776" s="3427"/>
      <c r="M776" s="3427"/>
      <c r="N776" s="3427"/>
      <c r="O776" s="3427"/>
      <c r="P776" s="3427"/>
    </row>
    <row r="777">
      <c r="A777" s="3962" t="s">
        <v>3704</v>
      </c>
      <c r="B777" s="3963">
        <v>46264</v>
      </c>
      <c r="C777" s="3962" t="str">
        <v>Sunday</v>
      </c>
      <c r="D777" s="3964" t="s">
        <v>3709</v>
      </c>
      <c r="E777" s="3965">
        <f t="shared" si="121"/>
      </c>
      <c r="F777" s="3965" t="s">
        <v>3660</v>
      </c>
      <c r="G777" s="3969"/>
      <c r="H777" s="3968" t="s">
        <v>3198</v>
      </c>
      <c r="I777" s="3965" t="s">
        <v>3107</v>
      </c>
      <c r="J777" s="3967"/>
      <c r="K777" s="3427"/>
      <c r="L777" s="3427"/>
      <c r="M777" s="3427"/>
      <c r="N777" s="3427"/>
      <c r="O777" s="3427"/>
      <c r="P777" s="3427"/>
    </row>
    <row r="778">
      <c r="A778" s="3449"/>
      <c r="B778" s="3449"/>
      <c r="C778" s="3449"/>
      <c r="D778" s="3449"/>
      <c r="E778" s="3449"/>
      <c r="F778" s="3449"/>
      <c r="G778" s="3449"/>
      <c r="H778" s="3449"/>
      <c r="I778" s="3449"/>
      <c r="J778" s="3970"/>
      <c r="K778" s="3971"/>
      <c r="L778" s="3971"/>
      <c r="M778" s="3971"/>
      <c r="N778" s="3971"/>
      <c r="O778" s="3971"/>
      <c r="P778" s="3971"/>
    </row>
    <row customHeight="true" ht="16.071428571428573" r="779">
      <c r="A779" s="3449" t="s">
        <v>3710</v>
      </c>
      <c r="B779" s="3428">
        <v>46262</v>
      </c>
      <c r="C779" s="3449" t="str">
        <v>Friday</v>
      </c>
      <c r="D779" s="3421" t="s">
        <v>3162</v>
      </c>
      <c r="E779" s="3451">
        <f t="shared" ref="E779:E780" si="122">24*MOD(TIMEVALUE(TRIM(MID(D779,FIND("-",D779)+1,LEN(D779)))) - TIMEVALUE(TRIM(LEFT(D779,FIND("-",D779)-1))),1)</f>
      </c>
      <c r="F779" s="3449" t="s">
        <v>3333</v>
      </c>
      <c r="G779" s="3449"/>
      <c r="H779" s="3425" t="s">
        <v>3198</v>
      </c>
      <c r="I779" s="3425" t="s">
        <v>3107</v>
      </c>
      <c r="J779" s="3970"/>
      <c r="K779" s="3971"/>
      <c r="L779" s="3971"/>
      <c r="M779" s="3971"/>
      <c r="N779" s="3971"/>
      <c r="O779" s="3971"/>
      <c r="P779" s="3971"/>
    </row>
    <row customHeight="true" ht="16.071428571428573" r="780">
      <c r="A780" s="3454" t="s">
        <v>3710</v>
      </c>
      <c r="B780" s="3455">
        <v>46264</v>
      </c>
      <c r="C780" s="3454" t="str">
        <v>Sunday</v>
      </c>
      <c r="D780" s="3478" t="s">
        <v>3711</v>
      </c>
      <c r="E780" s="3458">
        <f t="shared" si="122"/>
      </c>
      <c r="F780" s="3454" t="s">
        <v>3525</v>
      </c>
      <c r="G780" s="3454"/>
      <c r="H780" s="3458" t="s">
        <v>3198</v>
      </c>
      <c r="I780" s="3458" t="s">
        <v>3107</v>
      </c>
      <c r="J780" s="3711" t="s">
        <v>3708</v>
      </c>
      <c r="K780" s="3971"/>
      <c r="L780" s="3971"/>
      <c r="M780" s="3971"/>
      <c r="N780" s="3971"/>
      <c r="O780" s="3971"/>
      <c r="P780" s="3971"/>
    </row>
    <row r="781">
      <c r="A781" s="3593"/>
      <c r="B781" s="3593"/>
      <c r="C781" s="3593"/>
      <c r="D781" s="3593"/>
      <c r="E781" s="3593"/>
      <c r="F781" s="3593"/>
      <c r="G781" s="3593"/>
      <c r="H781" s="3593"/>
      <c r="I781" s="3593"/>
      <c r="J781" s="3593"/>
      <c r="K781" s="3498"/>
      <c r="L781" s="3498"/>
      <c r="M781" s="3498"/>
      <c r="N781" s="3498"/>
      <c r="O781" s="3498"/>
      <c r="P781" s="3498"/>
    </row>
    <row r="782">
      <c r="A782" s="3972" t="s">
        <v>3712</v>
      </c>
      <c r="B782" s="3973"/>
      <c r="C782" s="3972"/>
      <c r="D782" s="3972"/>
      <c r="E782" s="3972"/>
      <c r="F782" s="3972"/>
      <c r="G782" s="3972"/>
      <c r="H782" s="3972"/>
      <c r="I782" s="3972"/>
      <c r="J782" s="3974"/>
      <c r="K782" s="3878"/>
      <c r="L782" s="3878"/>
      <c r="M782" s="3878"/>
      <c r="N782" s="3878"/>
      <c r="O782" s="3878"/>
      <c r="P782" s="3878"/>
    </row>
    <row r="783">
      <c r="A783" s="3713" t="s">
        <v>3712</v>
      </c>
      <c r="B783" s="3714" t="s">
        <v>3123</v>
      </c>
      <c r="C783" s="3714"/>
      <c r="D783" s="3715" t="s">
        <v>3124</v>
      </c>
      <c r="E783" s="3715" t="s">
        <v>3125</v>
      </c>
      <c r="F783" s="3715" t="s">
        <v>3126</v>
      </c>
      <c r="G783" s="3716" t="s">
        <v>3148</v>
      </c>
      <c r="H783" s="3715" t="s">
        <v>3128</v>
      </c>
      <c r="I783" s="3715" t="s">
        <v>3129</v>
      </c>
      <c r="J783" s="3717" t="s">
        <v>3130</v>
      </c>
      <c r="K783" s="3448"/>
      <c r="L783" s="3448"/>
      <c r="M783" s="3448"/>
      <c r="N783" s="3448"/>
      <c r="O783" s="3448"/>
      <c r="P783" s="3448"/>
    </row>
    <row r="784">
      <c r="A784" s="3449" t="s">
        <v>3712</v>
      </c>
      <c r="B784" s="3428">
        <v>46259</v>
      </c>
      <c r="C784" s="3449" t="str">
        <v>Tuesday</v>
      </c>
      <c r="D784" s="3421" t="s">
        <v>3713</v>
      </c>
      <c r="E784" s="3514">
        <f>24*MOD(TIMEVALUE(TRIM(MID(D784,FIND("-",D784)+1,LEN(D784)))) - TIMEVALUE(TRIM(LEFT(D784,FIND("-",D784)-1))),1)</f>
      </c>
      <c r="F784" s="3451" t="s">
        <v>3608</v>
      </c>
      <c r="G784" s="3473" t="s">
        <v>3714</v>
      </c>
      <c r="H784" s="3514" t="s">
        <v>3198</v>
      </c>
      <c r="I784" s="3435" t="s">
        <v>3107</v>
      </c>
      <c r="J784" s="3664"/>
      <c r="K784" s="3427"/>
      <c r="L784" s="3427"/>
      <c r="M784" s="3427"/>
      <c r="N784" s="3427"/>
      <c r="O784" s="3427"/>
      <c r="P784" s="3427"/>
    </row>
    <row customHeight="true" ht="18.452380952380953" r="785">
      <c r="A785" s="3449" t="s">
        <v>3712</v>
      </c>
      <c r="B785" s="3428">
        <v>46259</v>
      </c>
      <c r="C785" s="3449" t="str">
        <v>Tuesday</v>
      </c>
      <c r="D785" s="3421" t="s">
        <v>3166</v>
      </c>
      <c r="E785" s="3583">
        <v>2</v>
      </c>
      <c r="F785" s="3451" t="s">
        <v>3135</v>
      </c>
      <c r="G785" s="3473" t="s">
        <v>3715</v>
      </c>
      <c r="H785" s="3514"/>
      <c r="I785" s="3514" t="s">
        <v>3107</v>
      </c>
      <c r="J785" s="3664"/>
      <c r="K785" s="3427"/>
      <c r="L785" s="3427"/>
      <c r="M785" s="3427"/>
      <c r="N785" s="3427"/>
      <c r="O785" s="3427"/>
      <c r="P785" s="3427"/>
    </row>
    <row r="786">
      <c r="A786" s="3975" t="s">
        <v>3716</v>
      </c>
      <c r="B786" s="3976">
        <v>46259</v>
      </c>
      <c r="C786" s="3975" t="str">
        <v>Tuesday</v>
      </c>
      <c r="D786" s="3977" t="s">
        <v>3717</v>
      </c>
      <c r="E786" s="3978">
        <f t="shared" ref="E786:E787" si="123">24*MOD(TIMEVALUE(TRIM(MID(D786,FIND("-",D786)+1,LEN(D786)))) - TIMEVALUE(TRIM(LEFT(D786,FIND("-",D786)-1))),1)</f>
      </c>
      <c r="F786" s="3978" t="s">
        <v>3220</v>
      </c>
      <c r="G786" s="3979"/>
      <c r="H786" s="3980" t="s">
        <v>3198</v>
      </c>
      <c r="I786" s="3514" t="s">
        <v>3107</v>
      </c>
      <c r="J786" s="3981"/>
      <c r="K786" s="3427"/>
      <c r="L786" s="3427"/>
      <c r="M786" s="3427"/>
      <c r="N786" s="3427"/>
      <c r="O786" s="3427"/>
      <c r="P786" s="3427"/>
    </row>
    <row r="787">
      <c r="A787" s="3449" t="s">
        <v>3712</v>
      </c>
      <c r="B787" s="3428">
        <v>46260</v>
      </c>
      <c r="C787" s="3449" t="str">
        <v>Wednesday</v>
      </c>
      <c r="D787" s="3421" t="s">
        <v>3177</v>
      </c>
      <c r="E787" s="3514">
        <f t="shared" si="123"/>
      </c>
      <c r="F787" s="3451" t="s">
        <v>3135</v>
      </c>
      <c r="G787" s="3584" t="s">
        <v>3718</v>
      </c>
      <c r="H787" s="3451" t="s">
        <v>3198</v>
      </c>
      <c r="I787" s="3514" t="s">
        <v>3107</v>
      </c>
      <c r="J787" s="3453"/>
      <c r="K787" s="3427"/>
      <c r="L787" s="3427"/>
      <c r="M787" s="3427"/>
      <c r="N787" s="3427"/>
      <c r="O787" s="3427"/>
      <c r="P787" s="3427"/>
    </row>
    <row customHeight="true" ht="18.452380952380953" r="788">
      <c r="A788" s="3449" t="s">
        <v>3712</v>
      </c>
      <c r="B788" s="3428">
        <v>46260</v>
      </c>
      <c r="C788" s="3449" t="str">
        <v>Wednesday</v>
      </c>
      <c r="D788" s="3421" t="s">
        <v>3160</v>
      </c>
      <c r="E788" s="3583">
        <v>2</v>
      </c>
      <c r="F788" s="3451" t="s">
        <v>3608</v>
      </c>
      <c r="G788" s="3584"/>
      <c r="H788" s="3451"/>
      <c r="I788" s="3514" t="s">
        <v>3107</v>
      </c>
      <c r="J788" s="3453"/>
      <c r="K788" s="3427"/>
      <c r="L788" s="3427"/>
      <c r="M788" s="3427"/>
      <c r="N788" s="3427"/>
      <c r="O788" s="3427"/>
      <c r="P788" s="3427"/>
    </row>
    <row r="789">
      <c r="A789" s="3975" t="s">
        <v>3716</v>
      </c>
      <c r="B789" s="3982">
        <v>46260</v>
      </c>
      <c r="C789" s="3975" t="str">
        <v>Wednesday</v>
      </c>
      <c r="D789" s="3977" t="s">
        <v>3719</v>
      </c>
      <c r="E789" s="3978">
        <f t="shared" ref="E789:E790" si="124">24*MOD(TIMEVALUE(TRIM(MID(D789,FIND("-",D789)+1,LEN(D789)))) - TIMEVALUE(TRIM(LEFT(D789,FIND("-",D789)-1))),1)</f>
      </c>
      <c r="F789" s="3978" t="s">
        <v>3220</v>
      </c>
      <c r="G789" s="3979"/>
      <c r="H789" s="3980" t="s">
        <v>3198</v>
      </c>
      <c r="I789" s="3514" t="s">
        <v>3107</v>
      </c>
      <c r="J789" s="3981"/>
      <c r="K789" s="3427"/>
      <c r="L789" s="3427"/>
      <c r="M789" s="3427"/>
      <c r="N789" s="3427"/>
      <c r="O789" s="3427"/>
      <c r="P789" s="3427"/>
    </row>
    <row r="790">
      <c r="A790" s="3449" t="s">
        <v>3712</v>
      </c>
      <c r="B790" s="3581">
        <v>46261</v>
      </c>
      <c r="C790" s="3449" t="str">
        <v>Thursday</v>
      </c>
      <c r="D790" s="3421" t="s">
        <v>3176</v>
      </c>
      <c r="E790" s="3514">
        <f t="shared" si="124"/>
      </c>
      <c r="F790" s="3451" t="s">
        <v>3246</v>
      </c>
      <c r="G790" s="3584" t="s">
        <v>3720</v>
      </c>
      <c r="H790" s="3451" t="s">
        <v>3198</v>
      </c>
      <c r="I790" s="3435" t="s">
        <v>3107</v>
      </c>
      <c r="J790" s="3453"/>
      <c r="K790" s="3427"/>
      <c r="L790" s="3427"/>
      <c r="M790" s="3427"/>
      <c r="N790" s="3427"/>
      <c r="O790" s="3427"/>
      <c r="P790" s="3427"/>
    </row>
    <row customHeight="true" ht="18.452380952380953" r="791">
      <c r="A791" s="3449" t="s">
        <v>3712</v>
      </c>
      <c r="B791" s="3581">
        <v>46261</v>
      </c>
      <c r="C791" s="3449" t="str">
        <v>Thursday</v>
      </c>
      <c r="D791" s="3421" t="s">
        <v>3160</v>
      </c>
      <c r="E791" s="3583">
        <v>2</v>
      </c>
      <c r="F791" s="3451" t="s">
        <v>3135</v>
      </c>
      <c r="G791" s="3584"/>
      <c r="H791" s="3451"/>
      <c r="I791" s="3514" t="s">
        <v>3107</v>
      </c>
      <c r="J791" s="3453"/>
      <c r="K791" s="3427"/>
      <c r="L791" s="3427"/>
      <c r="M791" s="3427"/>
      <c r="N791" s="3427"/>
      <c r="O791" s="3427"/>
      <c r="P791" s="3427"/>
    </row>
    <row r="792">
      <c r="A792" s="3975" t="s">
        <v>3716</v>
      </c>
      <c r="B792" s="3982">
        <v>46261</v>
      </c>
      <c r="C792" s="3975" t="str">
        <v>Thursday</v>
      </c>
      <c r="D792" s="3977" t="s">
        <v>3719</v>
      </c>
      <c r="E792" s="3978">
        <f t="shared" ref="E792:E793" si="125">24*MOD(TIMEVALUE(TRIM(MID(D792,FIND("-",D792)+1,LEN(D792)))) - TIMEVALUE(TRIM(LEFT(D792,FIND("-",D792)-1))),1)</f>
      </c>
      <c r="F792" s="3978" t="s">
        <v>3220</v>
      </c>
      <c r="G792" s="3979"/>
      <c r="H792" s="3980" t="s">
        <v>3198</v>
      </c>
      <c r="I792" s="3514" t="s">
        <v>3107</v>
      </c>
      <c r="J792" s="3981"/>
      <c r="K792" s="3427"/>
      <c r="L792" s="3427"/>
      <c r="M792" s="3427"/>
      <c r="N792" s="3427"/>
      <c r="O792" s="3427"/>
      <c r="P792" s="3427"/>
    </row>
    <row r="793">
      <c r="A793" s="3449" t="s">
        <v>3712</v>
      </c>
      <c r="B793" s="3428">
        <v>46262</v>
      </c>
      <c r="C793" s="3449" t="str">
        <v>Friday</v>
      </c>
      <c r="D793" s="3421" t="s">
        <v>3177</v>
      </c>
      <c r="E793" s="3514">
        <f t="shared" si="125"/>
      </c>
      <c r="F793" s="3451" t="s">
        <v>3246</v>
      </c>
      <c r="G793" s="3584" t="s">
        <v>3718</v>
      </c>
      <c r="H793" s="3514" t="s">
        <v>3198</v>
      </c>
      <c r="I793" s="3435" t="s">
        <v>3107</v>
      </c>
      <c r="J793" s="3981"/>
      <c r="K793" s="3427"/>
      <c r="L793" s="3427"/>
      <c r="M793" s="3427"/>
      <c r="N793" s="3427"/>
      <c r="O793" s="3427"/>
      <c r="P793" s="3427"/>
    </row>
    <row customHeight="true" ht="18.452380952380953" r="794">
      <c r="A794" s="3449" t="s">
        <v>3712</v>
      </c>
      <c r="B794" s="3428">
        <v>46262</v>
      </c>
      <c r="C794" s="3449" t="str">
        <v>Friday</v>
      </c>
      <c r="D794" s="3421" t="s">
        <v>3160</v>
      </c>
      <c r="E794" s="3583">
        <v>2</v>
      </c>
      <c r="F794" s="3451" t="s">
        <v>3135</v>
      </c>
      <c r="G794" s="3584"/>
      <c r="H794" s="3514"/>
      <c r="I794" s="3514" t="s">
        <v>3107</v>
      </c>
      <c r="J794" s="3981"/>
      <c r="K794" s="3427"/>
      <c r="L794" s="3427"/>
      <c r="M794" s="3427"/>
      <c r="N794" s="3427"/>
      <c r="O794" s="3427"/>
      <c r="P794" s="3427"/>
    </row>
    <row r="795">
      <c r="A795" s="3975" t="s">
        <v>3716</v>
      </c>
      <c r="B795" s="3982">
        <v>46262</v>
      </c>
      <c r="C795" s="3975" t="str">
        <v>Friday</v>
      </c>
      <c r="D795" s="3977" t="s">
        <v>3702</v>
      </c>
      <c r="E795" s="3978">
        <f t="shared" ref="E795:E799" si="126">24*MOD(TIMEVALUE(TRIM(MID(D795,FIND("-",D795)+1,LEN(D795)))) - TIMEVALUE(TRIM(LEFT(D795,FIND("-",D795)-1))),1)</f>
      </c>
      <c r="F795" s="3978" t="s">
        <v>3136</v>
      </c>
      <c r="G795" s="3979"/>
      <c r="H795" s="3978" t="s">
        <v>3198</v>
      </c>
      <c r="I795" s="3514" t="s">
        <v>3107</v>
      </c>
      <c r="J795" s="3453"/>
      <c r="K795" s="3427"/>
      <c r="L795" s="3427"/>
      <c r="M795" s="3427"/>
      <c r="N795" s="3427"/>
      <c r="O795" s="3427"/>
      <c r="P795" s="3427"/>
    </row>
    <row r="796">
      <c r="A796" s="3449" t="s">
        <v>3712</v>
      </c>
      <c r="B796" s="3428">
        <v>46263</v>
      </c>
      <c r="C796" s="3449" t="str">
        <v>Saturday</v>
      </c>
      <c r="D796" s="3421" t="s">
        <v>3176</v>
      </c>
      <c r="E796" s="3514">
        <f t="shared" si="126"/>
      </c>
      <c r="F796" s="3451" t="s">
        <v>3525</v>
      </c>
      <c r="G796" s="3584" t="s">
        <v>3721</v>
      </c>
      <c r="H796" s="3514" t="s">
        <v>3198</v>
      </c>
      <c r="I796" s="3425" t="s">
        <v>3107</v>
      </c>
      <c r="J796" s="3981"/>
      <c r="K796" s="3427"/>
      <c r="L796" s="3427"/>
      <c r="M796" s="3427"/>
      <c r="N796" s="3427"/>
      <c r="O796" s="3427"/>
      <c r="P796" s="3427"/>
    </row>
    <row customHeight="true" ht="18.452380952380953" r="797">
      <c r="A797" s="3975" t="s">
        <v>3716</v>
      </c>
      <c r="B797" s="3982">
        <v>46263</v>
      </c>
      <c r="C797" s="3975" t="str">
        <v>Saturday</v>
      </c>
      <c r="D797" s="3977" t="s">
        <v>3719</v>
      </c>
      <c r="E797" s="3978">
        <f t="shared" si="126"/>
      </c>
      <c r="F797" s="3978" t="s">
        <v>3136</v>
      </c>
      <c r="G797" s="3979"/>
      <c r="H797" s="3980"/>
      <c r="I797" s="3514" t="s">
        <v>3107</v>
      </c>
      <c r="J797" s="3981"/>
      <c r="K797" s="3427"/>
      <c r="L797" s="3427"/>
      <c r="M797" s="3427"/>
      <c r="N797" s="3427"/>
      <c r="O797" s="3427"/>
      <c r="P797" s="3427"/>
    </row>
    <row r="798">
      <c r="A798" s="3454" t="s">
        <v>3712</v>
      </c>
      <c r="B798" s="3455">
        <v>46264</v>
      </c>
      <c r="C798" s="3454" t="str">
        <v>Sunday</v>
      </c>
      <c r="D798" s="3478" t="s">
        <v>3176</v>
      </c>
      <c r="E798" s="3458">
        <f t="shared" si="126"/>
      </c>
      <c r="F798" s="3458" t="s">
        <v>3525</v>
      </c>
      <c r="G798" s="3479" t="s">
        <v>3721</v>
      </c>
      <c r="H798" s="3458" t="s">
        <v>3198</v>
      </c>
      <c r="I798" s="3435" t="s">
        <v>3107</v>
      </c>
      <c r="J798" s="3983" t="s">
        <v>3722</v>
      </c>
      <c r="K798" s="3603"/>
      <c r="L798" s="3603"/>
      <c r="M798" s="3603"/>
      <c r="N798" s="3603"/>
      <c r="O798" s="3603"/>
      <c r="P798" s="3603"/>
    </row>
    <row customHeight="true" ht="18.452380952380953" r="799">
      <c r="A799" s="3975" t="s">
        <v>3716</v>
      </c>
      <c r="B799" s="3976">
        <v>46264</v>
      </c>
      <c r="C799" s="3984" t="str">
        <v>Sunday</v>
      </c>
      <c r="D799" s="3985" t="s">
        <v>3176</v>
      </c>
      <c r="E799" s="3978">
        <f t="shared" si="126"/>
      </c>
      <c r="F799" s="3978"/>
      <c r="G799" s="3986"/>
      <c r="H799" s="3978"/>
      <c r="I799" s="3514" t="s">
        <v>3107</v>
      </c>
      <c r="J799" s="3983"/>
      <c r="K799" s="3603"/>
      <c r="L799" s="3603"/>
      <c r="M799" s="3603"/>
      <c r="N799" s="3603"/>
      <c r="O799" s="3603"/>
      <c r="P799" s="3603"/>
    </row>
    <row r="800">
      <c r="A800" s="3987" t="s">
        <v>3723</v>
      </c>
      <c r="B800" s="3987"/>
      <c r="C800" s="3987"/>
      <c r="D800" s="3987"/>
      <c r="E800" s="3987"/>
      <c r="F800" s="3987"/>
      <c r="G800" s="3987"/>
      <c r="H800" s="3987"/>
      <c r="I800" s="3987"/>
      <c r="J800" s="3988"/>
      <c r="K800" s="3878"/>
      <c r="L800" s="3878"/>
      <c r="M800" s="3878"/>
      <c r="N800" s="3878"/>
      <c r="O800" s="3878"/>
      <c r="P800" s="3878"/>
    </row>
    <row r="801">
      <c r="A801" s="3757" t="s">
        <v>3723</v>
      </c>
      <c r="B801" s="3607" t="s">
        <v>3123</v>
      </c>
      <c r="C801" s="3607"/>
      <c r="D801" s="3758" t="s">
        <v>3124</v>
      </c>
      <c r="E801" s="3758" t="s">
        <v>3125</v>
      </c>
      <c r="F801" s="3758" t="s">
        <v>3126</v>
      </c>
      <c r="G801" s="3759" t="s">
        <v>3148</v>
      </c>
      <c r="H801" s="3758" t="s">
        <v>3128</v>
      </c>
      <c r="I801" s="3758" t="s">
        <v>3129</v>
      </c>
      <c r="J801" s="3612" t="s">
        <v>3130</v>
      </c>
      <c r="K801" s="3448"/>
      <c r="L801" s="3448"/>
      <c r="M801" s="3448"/>
      <c r="N801" s="3448"/>
      <c r="O801" s="3448"/>
      <c r="P801" s="3448"/>
    </row>
    <row r="802">
      <c r="A802" s="3989" t="s">
        <v>3723</v>
      </c>
      <c r="B802" s="3455">
        <v>46259</v>
      </c>
      <c r="C802" s="3454" t="str">
        <v>Tuesday</v>
      </c>
      <c r="D802" s="3681" t="s">
        <v>3160</v>
      </c>
      <c r="E802" s="3458">
        <f t="shared" ref="E802:E809" si="127">24*MOD(TIMEVALUE(TRIM(MID(D802,FIND("-",D802)+1,LEN(D802)))) - TIMEVALUE(TRIM(LEFT(D802,FIND("-",D802)-1))),1)</f>
      </c>
      <c r="F802" s="3458" t="s">
        <v>3133</v>
      </c>
      <c r="G802" s="3652" t="s">
        <v>3720</v>
      </c>
      <c r="H802" s="3514" t="s">
        <v>3198</v>
      </c>
      <c r="I802" s="3514" t="s">
        <v>3107</v>
      </c>
      <c r="J802" s="3422" t="s">
        <v>3722</v>
      </c>
      <c r="K802" s="3427"/>
      <c r="L802" s="3427"/>
      <c r="M802" s="3427"/>
      <c r="N802" s="3427"/>
      <c r="O802" s="3427"/>
      <c r="P802" s="3427"/>
    </row>
    <row customHeight="true" ht="18.452380952380953" r="803">
      <c r="A803" s="3989" t="s">
        <v>3724</v>
      </c>
      <c r="B803" s="3455">
        <v>46259</v>
      </c>
      <c r="C803" s="3454" t="str">
        <v>Tuesday</v>
      </c>
      <c r="D803" s="3681" t="s">
        <v>3160</v>
      </c>
      <c r="E803" s="3458">
        <f t="shared" si="127"/>
      </c>
      <c r="F803" s="3458" t="s">
        <v>3136</v>
      </c>
      <c r="G803" s="3775"/>
      <c r="H803" s="3774" t="s">
        <v>3198</v>
      </c>
      <c r="I803" s="3425" t="s">
        <v>3107</v>
      </c>
      <c r="J803" s="3422" t="s">
        <v>3722</v>
      </c>
      <c r="K803" s="3427"/>
      <c r="L803" s="3427"/>
      <c r="M803" s="3427"/>
      <c r="N803" s="3427"/>
      <c r="O803" s="3427"/>
      <c r="P803" s="3427"/>
    </row>
    <row r="804">
      <c r="A804" s="3989" t="s">
        <v>3723</v>
      </c>
      <c r="B804" s="3455">
        <v>46260</v>
      </c>
      <c r="C804" s="3454" t="str">
        <v>Wednesday</v>
      </c>
      <c r="D804" s="3478" t="s">
        <v>3313</v>
      </c>
      <c r="E804" s="3458">
        <f t="shared" si="127"/>
      </c>
      <c r="F804" s="3458" t="s">
        <v>3133</v>
      </c>
      <c r="G804" s="3473" t="s">
        <v>3725</v>
      </c>
      <c r="H804" s="3451" t="s">
        <v>3198</v>
      </c>
      <c r="I804" s="3425" t="s">
        <v>3107</v>
      </c>
      <c r="J804" s="3422" t="s">
        <v>3726</v>
      </c>
      <c r="K804" s="3427"/>
      <c r="L804" s="3427"/>
      <c r="M804" s="3427"/>
      <c r="N804" s="3427"/>
      <c r="O804" s="3427"/>
      <c r="P804" s="3427"/>
    </row>
    <row customHeight="true" ht="18.452380952380953" r="805">
      <c r="A805" s="3989" t="s">
        <v>3724</v>
      </c>
      <c r="B805" s="3455">
        <v>46260</v>
      </c>
      <c r="C805" s="3454" t="str">
        <v>Wednesday</v>
      </c>
      <c r="D805" s="3478" t="s">
        <v>3727</v>
      </c>
      <c r="E805" s="3458">
        <f t="shared" si="127"/>
      </c>
      <c r="F805" s="3458" t="s">
        <v>3210</v>
      </c>
      <c r="G805" s="3473"/>
      <c r="H805" s="3451"/>
      <c r="I805" s="3425"/>
      <c r="J805" s="3422" t="s">
        <v>3726</v>
      </c>
      <c r="K805" s="3427"/>
      <c r="L805" s="3427"/>
      <c r="M805" s="3427"/>
      <c r="N805" s="3427"/>
      <c r="O805" s="3427"/>
      <c r="P805" s="3427"/>
    </row>
    <row r="806">
      <c r="A806" s="3989" t="s">
        <v>3723</v>
      </c>
      <c r="B806" s="3455">
        <v>46261</v>
      </c>
      <c r="C806" s="3454" t="str">
        <v>Thursday</v>
      </c>
      <c r="D806" s="3681" t="s">
        <v>3313</v>
      </c>
      <c r="E806" s="3458">
        <f t="shared" si="127"/>
      </c>
      <c r="F806" s="3458" t="s">
        <v>3333</v>
      </c>
      <c r="G806" s="3473" t="s">
        <v>3725</v>
      </c>
      <c r="H806" s="3451" t="s">
        <v>3198</v>
      </c>
      <c r="I806" s="3425" t="s">
        <v>3107</v>
      </c>
      <c r="J806" s="3422" t="s">
        <v>3726</v>
      </c>
      <c r="K806" s="3427"/>
      <c r="L806" s="3427"/>
      <c r="M806" s="3427"/>
      <c r="N806" s="3427"/>
      <c r="O806" s="3427"/>
      <c r="P806" s="3427"/>
    </row>
    <row r="807">
      <c r="A807" s="3989" t="s">
        <v>3724</v>
      </c>
      <c r="B807" s="3455">
        <v>46261</v>
      </c>
      <c r="C807" s="3454" t="str">
        <v>Thursday</v>
      </c>
      <c r="D807" s="3681" t="s">
        <v>3727</v>
      </c>
      <c r="E807" s="3458">
        <f t="shared" si="127"/>
      </c>
      <c r="F807" s="3458" t="s">
        <v>3210</v>
      </c>
      <c r="G807" s="3780"/>
      <c r="H807" s="3451" t="s">
        <v>3198</v>
      </c>
      <c r="I807" s="3435" t="s">
        <v>3107</v>
      </c>
      <c r="J807" s="3422" t="s">
        <v>3726</v>
      </c>
      <c r="K807" s="3427"/>
      <c r="L807" s="3427"/>
      <c r="M807" s="3427"/>
      <c r="N807" s="3427"/>
      <c r="O807" s="3427"/>
      <c r="P807" s="3427"/>
    </row>
    <row r="808">
      <c r="A808" s="3989" t="s">
        <v>3723</v>
      </c>
      <c r="B808" s="3455">
        <v>46262</v>
      </c>
      <c r="C808" s="3454" t="str">
        <v>Friday</v>
      </c>
      <c r="D808" s="3478" t="s">
        <v>3313</v>
      </c>
      <c r="E808" s="3458">
        <f t="shared" si="127"/>
      </c>
      <c r="F808" s="3458" t="s">
        <v>3133</v>
      </c>
      <c r="G808" s="3473" t="s">
        <v>3725</v>
      </c>
      <c r="H808" s="3699"/>
      <c r="I808" s="3425"/>
      <c r="J808" s="3422" t="s">
        <v>3726</v>
      </c>
      <c r="K808" s="3427"/>
      <c r="L808" s="3427"/>
      <c r="M808" s="3427"/>
      <c r="N808" s="3427"/>
      <c r="O808" s="3427"/>
      <c r="P808" s="3427"/>
    </row>
    <row customHeight="true" ht="18.452380952380953" r="809">
      <c r="A809" s="3989" t="s">
        <v>3724</v>
      </c>
      <c r="B809" s="3455">
        <v>46262</v>
      </c>
      <c r="C809" s="3454" t="str">
        <v>Friday</v>
      </c>
      <c r="D809" s="3478" t="s">
        <v>3727</v>
      </c>
      <c r="E809" s="3458">
        <f t="shared" si="127"/>
      </c>
      <c r="F809" s="3458" t="s">
        <v>3210</v>
      </c>
      <c r="G809" s="3775"/>
      <c r="H809" s="3451" t="s">
        <v>3198</v>
      </c>
      <c r="I809" s="3425" t="s">
        <v>3107</v>
      </c>
      <c r="J809" s="3422" t="s">
        <v>3726</v>
      </c>
      <c r="K809" s="3427"/>
      <c r="L809" s="3427"/>
      <c r="M809" s="3427"/>
      <c r="N809" s="3427"/>
      <c r="O809" s="3427"/>
      <c r="P809" s="3427"/>
    </row>
    <row customHeight="true" ht="18.452380952380953" r="810">
      <c r="A810" s="3989" t="s">
        <v>3723</v>
      </c>
      <c r="B810" s="3455">
        <v>46263</v>
      </c>
      <c r="C810" s="3454" t="str">
        <v>Saturday</v>
      </c>
      <c r="D810" s="3478" t="s">
        <v>3166</v>
      </c>
      <c r="E810" s="3478">
        <v>2</v>
      </c>
      <c r="F810" s="3458" t="s">
        <v>3638</v>
      </c>
      <c r="G810" s="3652" t="s">
        <v>3728</v>
      </c>
      <c r="H810" s="3451"/>
      <c r="I810" s="3425"/>
      <c r="J810" s="3422" t="s">
        <v>3726</v>
      </c>
      <c r="K810" s="3427"/>
      <c r="L810" s="3427"/>
      <c r="M810" s="3427"/>
      <c r="N810" s="3427"/>
      <c r="O810" s="3427"/>
      <c r="P810" s="3427"/>
    </row>
    <row customHeight="true" ht="18.452380952380953" r="811">
      <c r="A811" s="3989" t="s">
        <v>3723</v>
      </c>
      <c r="B811" s="3455">
        <v>46264</v>
      </c>
      <c r="C811" s="3454" t="str">
        <v>Sunday</v>
      </c>
      <c r="D811" s="3478" t="s">
        <v>3313</v>
      </c>
      <c r="E811" s="3458">
        <f t="shared" ref="E811:E812" si="128">24*MOD(TIMEVALUE(TRIM(MID(D811,FIND("-",D811)+1,LEN(D811)))) - TIMEVALUE(TRIM(LEFT(D811,FIND("-",D811)-1))),1)</f>
      </c>
      <c r="F811" s="3458" t="s">
        <v>3133</v>
      </c>
      <c r="G811" s="3652" t="s">
        <v>3725</v>
      </c>
      <c r="H811" s="3427"/>
      <c r="I811" s="3425" t="s">
        <v>3107</v>
      </c>
      <c r="J811" s="3422" t="s">
        <v>3726</v>
      </c>
      <c r="K811" s="3427"/>
      <c r="L811" s="3427"/>
      <c r="M811" s="3427"/>
      <c r="N811" s="3427"/>
      <c r="O811" s="3427"/>
      <c r="P811" s="3427"/>
    </row>
    <row customHeight="true" ht="18.452380952380953" r="812">
      <c r="A812" s="3989" t="s">
        <v>3724</v>
      </c>
      <c r="B812" s="3455">
        <v>46264</v>
      </c>
      <c r="C812" s="3454" t="str">
        <v>Sunday</v>
      </c>
      <c r="D812" s="3478" t="s">
        <v>3727</v>
      </c>
      <c r="E812" s="3458">
        <f t="shared" si="128"/>
      </c>
      <c r="F812" s="3458" t="s">
        <v>3210</v>
      </c>
      <c r="G812" s="3775"/>
      <c r="H812" s="3427"/>
      <c r="I812" s="3425" t="s">
        <v>3107</v>
      </c>
      <c r="J812" s="3422" t="s">
        <v>3726</v>
      </c>
      <c r="K812" s="3427"/>
      <c r="L812" s="3427"/>
      <c r="M812" s="3427"/>
      <c r="N812" s="3427"/>
      <c r="O812" s="3427"/>
      <c r="P812" s="3427"/>
    </row>
    <row customHeight="true" ht="18.452380952380953" r="813">
      <c r="A813" s="3990"/>
      <c r="B813" s="3581"/>
      <c r="C813" s="3582"/>
      <c r="D813" s="3583"/>
      <c r="E813" s="3514"/>
      <c r="F813" s="3514"/>
      <c r="G813" s="3655"/>
      <c r="H813" s="3427"/>
      <c r="I813" s="3514"/>
      <c r="J813" s="3664"/>
      <c r="K813" s="3427"/>
      <c r="L813" s="3427"/>
      <c r="M813" s="3427"/>
      <c r="N813" s="3427"/>
      <c r="O813" s="3427"/>
      <c r="P813" s="3427"/>
    </row>
    <row r="814">
      <c r="J814" s="3501"/>
      <c r="K814" s="3515"/>
      <c r="L814" s="3515"/>
      <c r="M814" s="3515"/>
      <c r="N814" s="3515"/>
      <c r="O814" s="3515"/>
      <c r="P814" s="3515"/>
    </row>
    <row r="815">
      <c r="A815" s="3991" t="s">
        <v>3729</v>
      </c>
      <c r="B815" s="3991"/>
      <c r="C815" s="3991"/>
      <c r="D815" s="3991"/>
      <c r="E815" s="3991"/>
      <c r="F815" s="3991"/>
      <c r="G815" s="3991"/>
      <c r="H815" s="3991"/>
      <c r="I815" s="3991"/>
      <c r="J815" s="3992"/>
      <c r="K815" s="3878"/>
      <c r="L815" s="3878"/>
      <c r="M815" s="3878"/>
      <c r="N815" s="3878"/>
      <c r="O815" s="3878"/>
      <c r="P815" s="3878"/>
    </row>
    <row r="816">
      <c r="A816" s="3993" t="s">
        <v>3729</v>
      </c>
      <c r="B816" s="3994" t="s">
        <v>3123</v>
      </c>
      <c r="C816" s="3994"/>
      <c r="D816" s="3995" t="s">
        <v>3124</v>
      </c>
      <c r="E816" s="3995" t="s">
        <v>3125</v>
      </c>
      <c r="F816" s="3995" t="s">
        <v>3126</v>
      </c>
      <c r="G816" s="3996" t="s">
        <v>3148</v>
      </c>
      <c r="H816" s="3995" t="s">
        <v>3128</v>
      </c>
      <c r="I816" s="3995" t="s">
        <v>3129</v>
      </c>
      <c r="J816" s="3997" t="s">
        <v>3130</v>
      </c>
      <c r="K816" s="3427"/>
      <c r="L816" s="3427"/>
      <c r="M816" s="3427"/>
      <c r="N816" s="3427"/>
      <c r="O816" s="3427"/>
      <c r="P816" s="3427"/>
    </row>
    <row r="817">
      <c r="A817" s="3990" t="s">
        <v>3729</v>
      </c>
      <c r="B817" s="3428">
        <v>46259</v>
      </c>
      <c r="C817" s="3449" t="str">
        <v>Tuesday</v>
      </c>
      <c r="D817" s="3450" t="s">
        <v>3347</v>
      </c>
      <c r="E817" s="3514">
        <f t="shared" ref="E817:E827" si="129">24*MOD(TIMEVALUE(TRIM(MID(D817,FIND("-",D817)+1,LEN(D817)))) - TIMEVALUE(TRIM(LEFT(D817,FIND("-",D817)-1))),1)</f>
      </c>
      <c r="F817" s="3451" t="s">
        <v>3133</v>
      </c>
      <c r="G817" s="3473" t="s">
        <v>3725</v>
      </c>
      <c r="H817" s="3451" t="s">
        <v>3198</v>
      </c>
      <c r="I817" s="3435" t="s">
        <v>3107</v>
      </c>
      <c r="J817" s="3426"/>
      <c r="K817" s="3427"/>
      <c r="L817" s="3427"/>
      <c r="M817" s="3427"/>
      <c r="N817" s="3427"/>
      <c r="O817" s="3427"/>
      <c r="P817" s="3427"/>
    </row>
    <row customHeight="true" ht="18.452380952380953" r="818">
      <c r="A818" s="3993" t="s">
        <v>3730</v>
      </c>
      <c r="B818" s="3998">
        <v>46259</v>
      </c>
      <c r="C818" s="3999" t="str">
        <v>Tuesday</v>
      </c>
      <c r="D818" s="4000" t="s">
        <v>3731</v>
      </c>
      <c r="E818" s="4001">
        <f t="shared" si="129"/>
      </c>
      <c r="F818" s="4002" t="s">
        <v>3210</v>
      </c>
      <c r="G818" s="3652"/>
      <c r="H818" s="3514" t="s">
        <v>3198</v>
      </c>
      <c r="I818" s="3435" t="s">
        <v>3107</v>
      </c>
      <c r="J818" s="3426"/>
      <c r="K818" s="3427"/>
      <c r="L818" s="3427"/>
      <c r="M818" s="3427"/>
      <c r="N818" s="3427"/>
      <c r="O818" s="3427"/>
      <c r="P818" s="3427"/>
    </row>
    <row customHeight="true" ht="18.452380952380953" r="819">
      <c r="A819" s="3989" t="s">
        <v>3729</v>
      </c>
      <c r="B819" s="3455">
        <v>46260</v>
      </c>
      <c r="C819" s="3454" t="str">
        <v>Wednesday</v>
      </c>
      <c r="D819" s="3478" t="s">
        <v>3347</v>
      </c>
      <c r="E819" s="3458">
        <f t="shared" si="129"/>
      </c>
      <c r="F819" s="3458" t="s">
        <v>3133</v>
      </c>
      <c r="G819" s="3652" t="s">
        <v>3725</v>
      </c>
      <c r="H819" s="3514"/>
      <c r="I819" s="3432"/>
      <c r="J819" s="3680" t="s">
        <v>3732</v>
      </c>
      <c r="K819" s="3427"/>
      <c r="L819" s="3427"/>
      <c r="M819" s="3427"/>
      <c r="N819" s="3427"/>
      <c r="O819" s="3427"/>
      <c r="P819" s="3427"/>
    </row>
    <row customHeight="true" ht="18.452380952380953" r="820">
      <c r="A820" s="3989" t="s">
        <v>3730</v>
      </c>
      <c r="B820" s="3455">
        <v>46260</v>
      </c>
      <c r="C820" s="3454" t="str">
        <v>Wednesday</v>
      </c>
      <c r="D820" s="3478" t="s">
        <v>3347</v>
      </c>
      <c r="E820" s="3458">
        <f t="shared" si="129"/>
      </c>
      <c r="F820" s="3458" t="s">
        <v>3210</v>
      </c>
      <c r="G820" s="3655"/>
      <c r="H820" s="3451" t="s">
        <v>3198</v>
      </c>
      <c r="I820" s="3435" t="s">
        <v>3107</v>
      </c>
      <c r="J820" s="3680" t="s">
        <v>3732</v>
      </c>
      <c r="K820" s="3427"/>
      <c r="L820" s="3427"/>
      <c r="M820" s="3427"/>
      <c r="N820" s="3427"/>
      <c r="O820" s="3427"/>
      <c r="P820" s="3427"/>
    </row>
    <row customHeight="true" ht="18.452380952380953" r="821">
      <c r="A821" s="3989" t="s">
        <v>3729</v>
      </c>
      <c r="B821" s="3455">
        <v>46261</v>
      </c>
      <c r="C821" s="3454" t="str">
        <v>Thursday</v>
      </c>
      <c r="D821" s="3478" t="s">
        <v>3156</v>
      </c>
      <c r="E821" s="3458">
        <f t="shared" si="129"/>
      </c>
      <c r="F821" s="3458" t="s">
        <v>3133</v>
      </c>
      <c r="G821" s="3652" t="s">
        <v>3721</v>
      </c>
      <c r="H821" s="3451" t="s">
        <v>3198</v>
      </c>
      <c r="I821" s="3425" t="s">
        <v>3107</v>
      </c>
      <c r="J821" s="3422" t="s">
        <v>3722</v>
      </c>
      <c r="K821" s="3427"/>
      <c r="L821" s="3427"/>
      <c r="M821" s="3427"/>
      <c r="N821" s="3427"/>
      <c r="O821" s="3427"/>
      <c r="P821" s="3427"/>
    </row>
    <row customHeight="true" ht="18.452380952380953" r="822">
      <c r="A822" s="3990" t="s">
        <v>3729</v>
      </c>
      <c r="B822" s="3428">
        <v>46262</v>
      </c>
      <c r="C822" s="3582" t="str">
        <v>Friday</v>
      </c>
      <c r="D822" s="3583" t="s">
        <v>3156</v>
      </c>
      <c r="E822" s="3514">
        <f t="shared" si="129"/>
      </c>
      <c r="F822" s="3451" t="s">
        <v>3133</v>
      </c>
      <c r="G822" s="3652" t="s">
        <v>3725</v>
      </c>
      <c r="H822" s="3451" t="s">
        <v>3198</v>
      </c>
      <c r="I822" s="3425" t="s">
        <v>3107</v>
      </c>
      <c r="J822" s="3426"/>
      <c r="K822" s="3427"/>
      <c r="L822" s="3427"/>
      <c r="M822" s="3427"/>
      <c r="N822" s="3427"/>
      <c r="O822" s="3427"/>
      <c r="P822" s="3427"/>
    </row>
    <row customHeight="true" ht="18.452380952380953" r="823">
      <c r="A823" s="3993" t="s">
        <v>3730</v>
      </c>
      <c r="B823" s="3998">
        <v>46262</v>
      </c>
      <c r="C823" s="3999" t="str">
        <v>Friday</v>
      </c>
      <c r="D823" s="4000" t="s">
        <v>3733</v>
      </c>
      <c r="E823" s="4002">
        <f t="shared" si="129"/>
      </c>
      <c r="F823" s="4002" t="s">
        <v>3210</v>
      </c>
      <c r="G823" s="3655"/>
      <c r="H823" s="3451" t="s">
        <v>3198</v>
      </c>
      <c r="I823" s="3435" t="s">
        <v>3107</v>
      </c>
      <c r="J823" s="3426"/>
      <c r="K823" s="3427"/>
      <c r="L823" s="3427"/>
      <c r="M823" s="3427"/>
      <c r="N823" s="3427"/>
      <c r="O823" s="3427"/>
      <c r="P823" s="3427"/>
    </row>
    <row customHeight="true" ht="18.452380952380953" r="824">
      <c r="A824" s="3990" t="s">
        <v>3729</v>
      </c>
      <c r="B824" s="3428">
        <v>46256</v>
      </c>
      <c r="C824" s="3582" t="str">
        <v>Saturday</v>
      </c>
      <c r="D824" s="3583" t="s">
        <v>3156</v>
      </c>
      <c r="E824" s="3514">
        <f t="shared" si="129"/>
      </c>
      <c r="F824" s="3451" t="s">
        <v>3734</v>
      </c>
      <c r="G824" s="3652" t="s">
        <v>3725</v>
      </c>
      <c r="H824" s="3451" t="s">
        <v>3198</v>
      </c>
      <c r="I824" s="3425" t="s">
        <v>3107</v>
      </c>
      <c r="J824" s="3426"/>
      <c r="K824" s="3427"/>
      <c r="L824" s="3427"/>
      <c r="M824" s="3427"/>
      <c r="N824" s="3427"/>
      <c r="O824" s="3427"/>
      <c r="P824" s="3427"/>
    </row>
    <row customHeight="true" ht="18.452380952380953" r="825">
      <c r="A825" s="3993" t="s">
        <v>3730</v>
      </c>
      <c r="B825" s="3998">
        <v>46256</v>
      </c>
      <c r="C825" s="3999" t="str">
        <v>Saturday</v>
      </c>
      <c r="D825" s="4000" t="s">
        <v>3733</v>
      </c>
      <c r="E825" s="4002">
        <f t="shared" si="129"/>
      </c>
      <c r="F825" s="4002" t="s">
        <v>3210</v>
      </c>
      <c r="G825" s="3655"/>
      <c r="H825" s="3451" t="s">
        <v>3198</v>
      </c>
      <c r="I825" s="3425" t="s">
        <v>3107</v>
      </c>
      <c r="J825" s="3426"/>
      <c r="K825" s="3427"/>
      <c r="L825" s="3427"/>
      <c r="M825" s="3427"/>
      <c r="N825" s="3427"/>
      <c r="O825" s="3427"/>
      <c r="P825" s="3427"/>
    </row>
    <row r="826">
      <c r="A826" s="3990" t="s">
        <v>3729</v>
      </c>
      <c r="B826" s="3428">
        <v>46257</v>
      </c>
      <c r="C826" s="3582" t="str">
        <v>Sunday</v>
      </c>
      <c r="D826" s="3583" t="s">
        <v>3156</v>
      </c>
      <c r="E826" s="3514">
        <f t="shared" si="129"/>
      </c>
      <c r="F826" s="3451" t="s">
        <v>3734</v>
      </c>
      <c r="G826" s="3652" t="s">
        <v>3725</v>
      </c>
      <c r="H826" s="3451" t="s">
        <v>3198</v>
      </c>
      <c r="I826" s="3425"/>
      <c r="J826" s="3426"/>
    </row>
    <row r="827">
      <c r="A827" s="3993" t="s">
        <v>3730</v>
      </c>
      <c r="B827" s="3998">
        <v>46257</v>
      </c>
      <c r="C827" s="3999" t="str">
        <v>Sunday</v>
      </c>
      <c r="D827" s="4000" t="s">
        <v>3733</v>
      </c>
      <c r="E827" s="4002">
        <f t="shared" si="129"/>
      </c>
      <c r="F827" s="4002" t="s">
        <v>3210</v>
      </c>
      <c r="G827" s="3655"/>
      <c r="H827" s="3451" t="s">
        <v>3198</v>
      </c>
      <c r="I827" s="3435" t="s">
        <v>3107</v>
      </c>
      <c r="J827" s="3426"/>
    </row>
    <row r="828">
      <c r="A828" s="3993"/>
      <c r="B828" s="3998"/>
      <c r="C828" s="3999"/>
      <c r="D828" s="4000"/>
      <c r="E828" s="4000"/>
      <c r="F828" s="4002"/>
      <c r="G828" s="3655"/>
      <c r="H828" s="3451"/>
      <c r="I828" s="3435"/>
      <c r="J828" s="3426"/>
    </row>
    <row r="829">
      <c r="A829" s="4003"/>
      <c r="B829" s="3581"/>
      <c r="C829" s="3582"/>
      <c r="D829" s="3583"/>
      <c r="E829" s="3583"/>
      <c r="F829" s="3514"/>
      <c r="G829" s="3655"/>
      <c r="H829" s="3451"/>
      <c r="I829" s="3435"/>
      <c r="J829" s="3426"/>
    </row>
    <row r="830">
      <c r="A830" s="3991" t="s">
        <v>3735</v>
      </c>
      <c r="B830" s="3991"/>
      <c r="C830" s="3991"/>
      <c r="D830" s="3991"/>
      <c r="E830" s="3991"/>
      <c r="F830" s="3991"/>
      <c r="G830" s="3991"/>
      <c r="H830" s="3991"/>
      <c r="I830" s="3991"/>
      <c r="J830" s="3992"/>
    </row>
    <row r="831">
      <c r="A831" s="3993" t="s">
        <v>3729</v>
      </c>
      <c r="B831" s="3994" t="s">
        <v>3123</v>
      </c>
      <c r="C831" s="3994"/>
      <c r="D831" s="3995" t="s">
        <v>3124</v>
      </c>
      <c r="E831" s="3995" t="s">
        <v>3125</v>
      </c>
      <c r="F831" s="3995" t="s">
        <v>3126</v>
      </c>
      <c r="G831" s="3996" t="s">
        <v>3148</v>
      </c>
      <c r="H831" s="3995" t="s">
        <v>3128</v>
      </c>
      <c r="I831" s="3995" t="s">
        <v>3129</v>
      </c>
      <c r="J831" s="3997" t="s">
        <v>3130</v>
      </c>
    </row>
    <row r="832">
      <c r="A832" s="3990" t="s">
        <v>3735</v>
      </c>
      <c r="B832" s="3428">
        <v>46258</v>
      </c>
      <c r="C832" s="3449" t="str">
        <v>Monday</v>
      </c>
      <c r="D832" s="3450" t="s">
        <v>3622</v>
      </c>
      <c r="E832" s="3514">
        <f t="shared" ref="E832:E837" si="130">24*MOD(TIMEVALUE(TRIM(MID(D832,FIND("-",D832)+1,LEN(D832)))) - TIMEVALUE(TRIM(LEFT(D832,FIND("-",D832)-1))),1)</f>
      </c>
      <c r="F832" s="3451" t="s">
        <v>3638</v>
      </c>
      <c r="G832" s="3473"/>
      <c r="H832" s="3451" t="s">
        <v>3198</v>
      </c>
      <c r="I832" s="3435" t="s">
        <v>3107</v>
      </c>
      <c r="J832" s="3426"/>
    </row>
    <row r="833">
      <c r="A833" s="3993" t="s">
        <v>3735</v>
      </c>
      <c r="B833" s="3998">
        <v>46258</v>
      </c>
      <c r="C833" s="3999" t="str">
        <v>Monday</v>
      </c>
      <c r="D833" s="4000" t="s">
        <v>3622</v>
      </c>
      <c r="E833" s="4001">
        <f t="shared" si="130"/>
      </c>
      <c r="F833" s="4002" t="s">
        <v>3736</v>
      </c>
      <c r="G833" s="3652"/>
      <c r="H833" s="3514" t="s">
        <v>3198</v>
      </c>
      <c r="I833" s="3435" t="s">
        <v>3107</v>
      </c>
      <c r="J833" s="3426"/>
    </row>
    <row customHeight="true" ht="18.452380952380953" r="834">
      <c r="A834" s="3990" t="s">
        <v>3735</v>
      </c>
      <c r="B834" s="3581">
        <v>46263</v>
      </c>
      <c r="C834" s="3582" t="str">
        <v>Saturday</v>
      </c>
      <c r="D834" s="3583" t="s">
        <v>3157</v>
      </c>
      <c r="E834" s="4004">
        <f t="shared" si="130"/>
      </c>
      <c r="F834" s="3451" t="s">
        <v>3734</v>
      </c>
      <c r="G834" s="3652"/>
      <c r="H834" s="3514"/>
      <c r="I834" s="3432"/>
      <c r="J834" s="3664"/>
      <c r="K834" s="3515"/>
      <c r="L834" s="3515"/>
      <c r="M834" s="3515"/>
      <c r="N834" s="3515"/>
      <c r="O834" s="3515"/>
      <c r="P834" s="3515"/>
    </row>
    <row customHeight="true" ht="18.452380952380953" r="835">
      <c r="A835" s="3993" t="s">
        <v>3735</v>
      </c>
      <c r="B835" s="3998">
        <v>46263</v>
      </c>
      <c r="C835" s="3999" t="str">
        <v>Saturday</v>
      </c>
      <c r="D835" s="4000" t="s">
        <v>3157</v>
      </c>
      <c r="E835" s="4001">
        <f t="shared" si="130"/>
      </c>
      <c r="F835" s="4002" t="s">
        <v>3736</v>
      </c>
      <c r="G835" s="4005"/>
      <c r="H835" s="4002"/>
      <c r="I835" s="4006"/>
      <c r="J835" s="4007"/>
      <c r="K835" s="4008"/>
      <c r="L835" s="4008"/>
      <c r="M835" s="4008"/>
      <c r="N835" s="4008"/>
      <c r="O835" s="4008"/>
      <c r="P835" s="4008"/>
    </row>
    <row r="836">
      <c r="A836" s="4003" t="s">
        <v>3735</v>
      </c>
      <c r="B836" s="3581">
        <v>46263</v>
      </c>
      <c r="C836" s="3582" t="str">
        <v>Saturday</v>
      </c>
      <c r="D836" s="3583" t="s">
        <v>3166</v>
      </c>
      <c r="E836" s="4004">
        <f t="shared" si="130"/>
      </c>
      <c r="F836" s="3451" t="s">
        <v>3638</v>
      </c>
      <c r="G836" s="3655"/>
      <c r="H836" s="3451"/>
      <c r="I836" s="3435"/>
      <c r="J836" s="3426"/>
    </row>
    <row r="837">
      <c r="A837" s="3993" t="s">
        <v>3735</v>
      </c>
      <c r="B837" s="3998">
        <v>46263</v>
      </c>
      <c r="C837" s="3999" t="str">
        <v>Saturday</v>
      </c>
      <c r="D837" s="4000" t="s">
        <v>3166</v>
      </c>
      <c r="E837" s="4001">
        <f t="shared" si="130"/>
      </c>
      <c r="F837" s="4002" t="s">
        <v>3736</v>
      </c>
      <c r="G837" s="3655"/>
      <c r="H837" s="3451"/>
      <c r="I837" s="3435"/>
      <c r="J837" s="3426"/>
    </row>
    <row r="838">
      <c r="A838" s="4003"/>
      <c r="B838" s="3581"/>
      <c r="C838" s="3582"/>
      <c r="D838" s="3583"/>
      <c r="E838" s="3583"/>
      <c r="F838" s="3514"/>
      <c r="G838" s="3655"/>
      <c r="H838" s="3451"/>
      <c r="I838" s="3435"/>
      <c r="J838" s="3426"/>
    </row>
    <row r="839">
      <c r="A839" s="4003"/>
      <c r="B839" s="3581"/>
      <c r="C839" s="3582"/>
      <c r="D839" s="3583"/>
      <c r="E839" s="3583"/>
      <c r="F839" s="3514"/>
      <c r="G839" s="3655"/>
      <c r="H839" s="3451"/>
      <c r="I839" s="3435"/>
      <c r="J839" s="3426"/>
    </row>
    <row r="840">
      <c r="A840" s="4003"/>
      <c r="B840" s="3581"/>
      <c r="C840" s="3582"/>
      <c r="D840" s="3583"/>
      <c r="E840" s="3583"/>
      <c r="F840" s="3514"/>
      <c r="G840" s="3655"/>
      <c r="H840" s="3451"/>
      <c r="I840" s="3435"/>
      <c r="J840" s="3426"/>
    </row>
    <row r="841">
      <c r="A841" s="4003"/>
      <c r="B841" s="3581"/>
      <c r="C841" s="3582"/>
      <c r="D841" s="3583"/>
      <c r="E841" s="3583"/>
      <c r="F841" s="3514"/>
      <c r="G841" s="3655"/>
      <c r="H841" s="3451"/>
      <c r="I841" s="3435"/>
      <c r="J841" s="3426"/>
    </row>
    <row r="842">
      <c r="A842" s="4003"/>
      <c r="B842" s="3581"/>
      <c r="C842" s="3582"/>
      <c r="D842" s="3583"/>
      <c r="E842" s="3583"/>
      <c r="F842" s="3514"/>
      <c r="G842" s="3655"/>
      <c r="H842" s="3451"/>
      <c r="I842" s="3435"/>
      <c r="J842" s="3426"/>
    </row>
    <row r="843">
      <c r="A843" s="4003"/>
      <c r="B843" s="3581"/>
      <c r="C843" s="3582"/>
      <c r="D843" s="3583"/>
      <c r="E843" s="3583"/>
      <c r="F843" s="3514"/>
      <c r="G843" s="3655"/>
      <c r="H843" s="3451"/>
      <c r="I843" s="3435"/>
      <c r="J843" s="3426"/>
    </row>
    <row r="844">
      <c r="A844" s="3993"/>
      <c r="B844" s="3998"/>
      <c r="C844" s="3999"/>
      <c r="D844" s="4000"/>
      <c r="E844" s="4000"/>
      <c r="F844" s="4002"/>
      <c r="G844" s="3655"/>
      <c r="H844" s="3451"/>
      <c r="I844" s="3435"/>
      <c r="J844" s="3426"/>
    </row>
  </sheetData>
  <autoFilter ref="A1"/>
  <mergeCells>
    <mergeCell ref="A31:I31"/>
    <mergeCell ref="B32:C32"/>
    <mergeCell ref="A30:J30"/>
    <mergeCell ref="B127:C127"/>
    <mergeCell ref="B100:C100"/>
    <mergeCell ref="A99:F99"/>
    <mergeCell ref="A112:F112"/>
    <mergeCell ref="B113:C113"/>
    <mergeCell ref="B75:C75"/>
    <mergeCell ref="A74:F74"/>
    <mergeCell ref="B86:C86"/>
    <mergeCell ref="A85:F85"/>
    <mergeCell ref="B211:C211"/>
    <mergeCell ref="B207:C207"/>
    <mergeCell ref="A10:J10"/>
    <mergeCell ref="A2:J2"/>
    <mergeCell ref="A3:J3"/>
    <mergeCell ref="B14:C14"/>
  </mergeCells>
  <dataValidations count="4">
    <dataValidation allowBlank="true" errorStyle="stop" showErrorMessage="true" sqref="I689:I689 J689:J689" type="list">
      <formula1>"PENDING,YES,Back up"</formula1>
    </dataValidation>
    <dataValidation allowBlank="true" errorStyle="stop" showErrorMessage="true" sqref="G64:G64 H4:H9 H11:H13 H15:H29 H33:H64 H76:H81 H83:H83 H87:H91 H93:H97 H101:H104 H106:H109 H114:H117 H119:H123 H128:H163 H166:H177 H181:H189 H192:H205 H208:H209 H212:H225 H229:H244 H246:H262 H264:H264 H266:H267 H277:H296 H300:H336 H338:H373 H377:H399 H402:H411 H415:H444 H449:H471 H475:H532 H536:H541 H556:H557 H562:H600 H604:H604 H607:H616 H619:H636 H639:H664 H667:H684 H686:H689 H695:H717 H720:H733 H737:H762 H774:H774" type="list">
      <formula1>"8461 Higuera Street,3619 Eastham Drive"</formula1>
    </dataValidation>
    <dataValidation allowBlank="true" errorStyle="stop" showErrorMessage="true" sqref="I4:I9 I11:I13 I15:I29 I33:I64 I76:I81 I83:I83 I87:I91 I93:I97 I101:I104 I106:I109 I114:I117 I119:I123 I181:I182 I185:I185 I192:I203 I229:I239 I241:I242 I244:I244 I246:I250 I252:I262 I264:I264 I266:I267 I277:I291 I293:I293 I295:I296 I300:I336 I338:I373 I390:I399 I402:I411 I415:I444 I449:I471 I475:I532 I536:I541 I544:I557 I562:I600 I604:I604 I607:I616 I619:I636 I639:I664 I667:I684 I695:I717 I720:I733 I737:I762 I765:I777 I779:I780 I783:I799 I801:I813 I816:I829 I831:I844" type="list">
      <formula1>"YES,PENDING"</formula1>
    </dataValidation>
    <dataValidation allowBlank="true" errorStyle="stop" showErrorMessage="true" sqref="I128:I163 I166:I177 I183:I184 I186:I189 I204:I205 I208:I209 I212:I225 I240:I240 I243:I243 I251:I251 I377:I389 I559:I559 I605:I606 I686:I688 J686:J688" type="list">
      <formula1>"PENDING,YES"</formula1>
    </dataValidation>
  </dataValidation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4.47887323943662"/>
    <col collapsed="false" customWidth="true" hidden="false" max="7" min="7" style="0" width="29.464788732394368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2" min="2" style="0" width="14.47887323943662"/>
    <col collapsed="false" customWidth="true" hidden="false" max="6" min="6" style="0" width="29.464788732394368"/>
    <col collapsed="false" customWidth="true" hidden="false" max="10" min="10" style="0" width="39.15492957746479"/>
    <col collapsed="false" customWidth="true" hidden="false" max="14" min="14" style="0" width="11.211267605633802"/>
    <col collapsed="false" customWidth="true" hidden="false" max="1" min="1" style="0" width="29.464788732394368"/>
    <col collapsed="false" customWidth="true" hidden="false" max="5" min="5" style="0" width="21.577464788732396"/>
    <col collapsed="false" customWidth="true" hidden="false" max="9" min="9" style="0" width="15.605633802816902"/>
    <col collapsed="false" customWidth="true" hidden="false" max="13" min="13" style="0" width="11.211267605633802"/>
    <col collapsed="false" customWidth="true" hidden="false" max="4" min="4" style="0" width="21.577464788732396"/>
    <col collapsed="false" customWidth="true" hidden="false" max="8" min="8" style="0" width="22.929577464788732"/>
    <col collapsed="false" customWidth="true" hidden="false" max="12" min="12" style="0" width="11.211267605633802"/>
    <col collapsed="false" customWidth="true" hidden="false" max="16" min="16" style="0" width="11.211267605633802"/>
  </cols>
  <sheetData>
    <row r="1">
      <c r="A1" s="4009"/>
      <c r="B1" s="4010"/>
      <c r="C1" s="4009" t="s">
        <v>3737</v>
      </c>
      <c r="D1" s="4010"/>
      <c r="E1" s="4010"/>
      <c r="F1" s="4011"/>
      <c r="G1" s="4011"/>
      <c r="H1" s="4012"/>
      <c r="I1" s="4010"/>
      <c r="J1" s="4013"/>
      <c r="K1" s="4014"/>
      <c r="L1" s="4014"/>
      <c r="M1" s="4014"/>
      <c r="N1" s="4014"/>
      <c r="O1" s="4014"/>
      <c r="P1" s="4014"/>
    </row>
    <row r="2">
      <c r="A2" s="4015"/>
      <c r="B2" s="4015"/>
      <c r="C2" s="4015"/>
      <c r="D2" s="4015"/>
      <c r="E2" s="4015"/>
      <c r="F2" s="4015"/>
      <c r="G2" s="4015"/>
      <c r="H2" s="4015"/>
      <c r="I2" s="4015"/>
      <c r="J2" s="4015"/>
      <c r="K2" s="4016"/>
      <c r="L2" s="4016"/>
      <c r="M2" s="4016"/>
      <c r="N2" s="4016"/>
      <c r="O2" s="4016"/>
      <c r="P2" s="4016"/>
    </row>
    <row customHeight="true" ht="25" r="3">
      <c r="A3" s="4017" t="s">
        <v>3738</v>
      </c>
      <c r="B3" s="4017"/>
      <c r="C3" s="4018"/>
      <c r="D3" s="4018"/>
      <c r="E3" s="4018"/>
      <c r="F3" s="4018"/>
      <c r="G3" s="4018"/>
      <c r="H3" s="4018"/>
      <c r="I3" s="4018"/>
      <c r="J3" s="4019"/>
      <c r="K3" s="4020"/>
      <c r="L3" s="4020"/>
      <c r="M3" s="4020"/>
      <c r="N3" s="4020"/>
      <c r="O3" s="4020"/>
      <c r="P3" s="4020"/>
    </row>
    <row customHeight="true" ht="25" r="4">
      <c r="A4" s="4021" t="s">
        <v>3738</v>
      </c>
      <c r="B4" s="4022">
        <v>46251</v>
      </c>
      <c r="C4" s="4023" t="str">
        <v>Monday</v>
      </c>
      <c r="D4" s="4024" t="s">
        <v>3739</v>
      </c>
      <c r="E4" s="4025">
        <v>2</v>
      </c>
      <c r="F4" s="4026" t="s">
        <v>3740</v>
      </c>
      <c r="G4" s="4027" t="s">
        <v>3741</v>
      </c>
      <c r="H4" s="4028" t="s">
        <v>3742</v>
      </c>
      <c r="I4" s="4028" t="s">
        <v>3743</v>
      </c>
      <c r="J4" s="4029"/>
      <c r="K4" s="4030"/>
      <c r="L4" s="4030"/>
      <c r="M4" s="4030"/>
      <c r="N4" s="4030"/>
      <c r="O4" s="4030"/>
      <c r="P4" s="4030"/>
    </row>
    <row r="5">
      <c r="A5" s="4021" t="s">
        <v>3738</v>
      </c>
      <c r="B5" s="4022">
        <v>46251</v>
      </c>
      <c r="C5" s="4031" t="s">
        <v>3744</v>
      </c>
      <c r="D5" s="4024" t="s">
        <v>3739</v>
      </c>
      <c r="E5" s="4025">
        <v>2</v>
      </c>
      <c r="F5" s="4026" t="s">
        <v>3745</v>
      </c>
      <c r="G5" s="4027" t="s">
        <v>3741</v>
      </c>
      <c r="H5" s="4028" t="s">
        <v>3742</v>
      </c>
      <c r="I5" s="4028" t="s">
        <v>3743</v>
      </c>
      <c r="J5" s="4029"/>
      <c r="K5" s="4030"/>
      <c r="L5" s="4030"/>
      <c r="M5" s="4030"/>
      <c r="N5" s="4030"/>
      <c r="O5" s="4030"/>
      <c r="P5" s="4030"/>
    </row>
    <row r="6">
      <c r="A6" s="4021" t="s">
        <v>3738</v>
      </c>
      <c r="B6" s="4022">
        <v>46251</v>
      </c>
      <c r="C6" s="4031" t="s">
        <v>3744</v>
      </c>
      <c r="D6" s="4024" t="s">
        <v>3746</v>
      </c>
      <c r="E6" s="4025">
        <v>2.5</v>
      </c>
      <c r="F6" s="4026" t="s">
        <v>3747</v>
      </c>
      <c r="G6" s="4027" t="s">
        <v>3741</v>
      </c>
      <c r="H6" s="4028" t="s">
        <v>3742</v>
      </c>
      <c r="I6" s="4028" t="s">
        <v>3743</v>
      </c>
      <c r="J6" s="4029"/>
      <c r="K6" s="4030"/>
      <c r="L6" s="4030"/>
      <c r="M6" s="4030"/>
      <c r="N6" s="4030"/>
      <c r="O6" s="4030"/>
      <c r="P6" s="4030"/>
    </row>
    <row customHeight="true" ht="18.452380952380953" r="7">
      <c r="A7" s="4021" t="s">
        <v>3738</v>
      </c>
      <c r="B7" s="4022">
        <v>46251</v>
      </c>
      <c r="C7" s="4031" t="s">
        <v>3744</v>
      </c>
      <c r="D7" s="4024" t="s">
        <v>3748</v>
      </c>
      <c r="E7" s="4025">
        <v>2.5</v>
      </c>
      <c r="F7" s="4026" t="s">
        <v>3749</v>
      </c>
      <c r="G7" s="4027" t="s">
        <v>3741</v>
      </c>
      <c r="H7" s="4028" t="s">
        <v>3742</v>
      </c>
      <c r="I7" s="4028" t="s">
        <v>3743</v>
      </c>
      <c r="J7" s="4029"/>
      <c r="K7" s="4030"/>
      <c r="L7" s="4030"/>
      <c r="M7" s="4030"/>
      <c r="N7" s="4030"/>
      <c r="O7" s="4030"/>
      <c r="P7" s="4030"/>
    </row>
    <row customHeight="true" ht="18.452380952380953" r="8">
      <c r="A8" s="4021" t="s">
        <v>3738</v>
      </c>
      <c r="B8" s="4022">
        <v>46251</v>
      </c>
      <c r="C8" s="4031" t="s">
        <v>3744</v>
      </c>
      <c r="D8" s="4024" t="s">
        <v>3748</v>
      </c>
      <c r="E8" s="4025">
        <v>2.5</v>
      </c>
      <c r="F8" s="4026" t="s">
        <v>3750</v>
      </c>
      <c r="G8" s="4027" t="s">
        <v>3741</v>
      </c>
      <c r="H8" s="4028" t="s">
        <v>3742</v>
      </c>
      <c r="I8" s="4028" t="s">
        <v>3743</v>
      </c>
      <c r="J8" s="4029"/>
      <c r="K8" s="4030"/>
      <c r="L8" s="4030"/>
      <c r="M8" s="4030"/>
      <c r="N8" s="4030"/>
      <c r="O8" s="4030"/>
      <c r="P8" s="4030"/>
    </row>
    <row customHeight="true" ht="18.452380952380953" r="9">
      <c r="A9" s="4021" t="s">
        <v>3738</v>
      </c>
      <c r="B9" s="4022">
        <v>46252</v>
      </c>
      <c r="C9" s="4031" t="s">
        <v>3751</v>
      </c>
      <c r="D9" s="4024" t="s">
        <v>3752</v>
      </c>
      <c r="E9" s="4025">
        <v>6.5</v>
      </c>
      <c r="F9" s="4026" t="s">
        <v>3753</v>
      </c>
      <c r="G9" s="4027" t="s">
        <v>3754</v>
      </c>
      <c r="H9" s="4028" t="s">
        <v>3742</v>
      </c>
      <c r="I9" s="4028" t="s">
        <v>3743</v>
      </c>
      <c r="J9" s="4029"/>
      <c r="K9" s="4030"/>
      <c r="L9" s="4030"/>
      <c r="M9" s="4030"/>
      <c r="N9" s="4030"/>
      <c r="O9" s="4030"/>
      <c r="P9" s="4030"/>
    </row>
    <row customHeight="true" ht="18.452380952380953" r="10">
      <c r="A10" s="4021" t="s">
        <v>3738</v>
      </c>
      <c r="B10" s="4022">
        <v>46252</v>
      </c>
      <c r="C10" s="4031" t="s">
        <v>3751</v>
      </c>
      <c r="D10" s="4024" t="s">
        <v>3755</v>
      </c>
      <c r="E10" s="4025">
        <v>7.5</v>
      </c>
      <c r="F10" s="4028" t="s">
        <v>3756</v>
      </c>
      <c r="G10" s="4027" t="s">
        <v>3757</v>
      </c>
      <c r="H10" s="4028" t="s">
        <v>3742</v>
      </c>
      <c r="I10" s="4028" t="s">
        <v>3743</v>
      </c>
      <c r="J10" s="4029"/>
      <c r="K10" s="4030"/>
      <c r="L10" s="4030"/>
      <c r="M10" s="4030"/>
      <c r="N10" s="4030"/>
      <c r="O10" s="4030"/>
      <c r="P10" s="4030"/>
    </row>
    <row customHeight="true" ht="18.452380952380953" r="11">
      <c r="A11" s="4021" t="s">
        <v>3738</v>
      </c>
      <c r="B11" s="4022">
        <v>46253</v>
      </c>
      <c r="C11" s="4031" t="s">
        <v>3758</v>
      </c>
      <c r="D11" s="4024" t="s">
        <v>3759</v>
      </c>
      <c r="E11" s="4025">
        <v>2</v>
      </c>
      <c r="F11" s="4032" t="s">
        <v>3760</v>
      </c>
      <c r="G11" s="4027" t="s">
        <v>3741</v>
      </c>
      <c r="H11" s="4028" t="s">
        <v>3742</v>
      </c>
      <c r="I11" s="4028" t="s">
        <v>3743</v>
      </c>
      <c r="J11" s="4029"/>
      <c r="K11" s="4030"/>
      <c r="L11" s="4030"/>
      <c r="M11" s="4030"/>
      <c r="N11" s="4030"/>
      <c r="O11" s="4030"/>
      <c r="P11" s="4030"/>
    </row>
    <row customHeight="true" ht="18.452380952380953" r="12">
      <c r="A12" s="4021" t="s">
        <v>3738</v>
      </c>
      <c r="B12" s="4022">
        <v>46255</v>
      </c>
      <c r="C12" s="4031"/>
      <c r="D12" s="4024"/>
      <c r="E12" s="4025"/>
      <c r="F12" s="4032"/>
      <c r="G12" s="4027"/>
      <c r="H12" s="4028"/>
      <c r="I12" s="4028"/>
      <c r="J12" s="4029"/>
      <c r="K12" s="4030"/>
      <c r="L12" s="4030"/>
      <c r="M12" s="4030"/>
      <c r="N12" s="4030"/>
      <c r="O12" s="4030"/>
      <c r="P12" s="4030"/>
    </row>
    <row r="13">
      <c r="A13" s="4033" t="s">
        <v>3761</v>
      </c>
      <c r="B13" s="4033"/>
      <c r="C13" s="4033"/>
      <c r="D13" s="4033"/>
      <c r="E13" s="4033"/>
      <c r="F13" s="4033"/>
      <c r="G13" s="4033"/>
      <c r="H13" s="4033"/>
      <c r="I13" s="4033"/>
      <c r="J13" s="4034"/>
      <c r="K13" s="4035"/>
      <c r="L13" s="4035"/>
      <c r="M13" s="4035"/>
      <c r="N13" s="4035"/>
      <c r="O13" s="4035"/>
      <c r="P13" s="4035"/>
    </row>
    <row customHeight="true" ht="39.88095238095238" r="14">
      <c r="A14" s="4036" t="s">
        <v>3762</v>
      </c>
      <c r="B14" s="4037" t="s">
        <v>3763</v>
      </c>
      <c r="C14" s="4037"/>
      <c r="D14" s="4038" t="s">
        <v>3764</v>
      </c>
      <c r="E14" s="4039" t="s">
        <v>3765</v>
      </c>
      <c r="F14" s="4038" t="s">
        <v>3766</v>
      </c>
      <c r="G14" s="4040" t="s">
        <v>3767</v>
      </c>
      <c r="H14" s="4038" t="s">
        <v>3768</v>
      </c>
      <c r="I14" s="4038" t="s">
        <v>3769</v>
      </c>
      <c r="J14" s="4039" t="s">
        <v>3770</v>
      </c>
      <c r="K14" s="4041"/>
      <c r="L14" s="4041"/>
      <c r="M14" s="4041"/>
      <c r="N14" s="4041"/>
      <c r="O14" s="4041"/>
      <c r="P14" s="4041"/>
    </row>
    <row r="15">
      <c r="A15" s="4042" t="s">
        <v>3771</v>
      </c>
      <c r="B15" s="4042">
        <v>46216</v>
      </c>
      <c r="C15" s="4042" t="str">
        <v>Monday</v>
      </c>
      <c r="D15" s="4028" t="s">
        <v>3772</v>
      </c>
      <c r="E15" s="4029">
        <f t="shared" ref="E15:E16" si="63">24*MOD(TIMEVALUE(TRIM(MID(D15,FIND("-",D15)+1,LEN(D15)))) - TIMEVALUE(TRIM(LEFT(D15,FIND("-",D15)-1))),1)</f>
      </c>
      <c r="F15" s="4043"/>
      <c r="G15" s="4044" t="s">
        <v>3773</v>
      </c>
      <c r="H15" s="4028"/>
      <c r="I15" s="4028" t="s">
        <v>3743</v>
      </c>
      <c r="J15" s="4045"/>
      <c r="K15" s="4030"/>
      <c r="L15" s="4030"/>
      <c r="M15" s="4030"/>
      <c r="N15" s="4030"/>
      <c r="O15" s="4030"/>
      <c r="P15" s="4030"/>
    </row>
    <row r="16">
      <c r="A16" s="4042" t="s">
        <v>3771</v>
      </c>
      <c r="B16" s="4042">
        <v>46218</v>
      </c>
      <c r="C16" s="4042" t="str">
        <v>Wednesday</v>
      </c>
      <c r="D16" s="4028" t="s">
        <v>3774</v>
      </c>
      <c r="E16" s="4029">
        <f t="shared" si="63"/>
      </c>
      <c r="F16" s="4043"/>
      <c r="G16" s="4044"/>
      <c r="H16" s="4028"/>
      <c r="I16" s="4046" t="s">
        <v>3743</v>
      </c>
      <c r="J16" s="4045"/>
      <c r="K16" s="4030"/>
      <c r="L16" s="4030"/>
      <c r="M16" s="4030"/>
      <c r="N16" s="4030"/>
      <c r="O16" s="4030"/>
      <c r="P16" s="4030"/>
    </row>
    <row r="17">
      <c r="A17" s="4042" t="s">
        <v>3775</v>
      </c>
      <c r="B17" s="4042">
        <v>46218</v>
      </c>
      <c r="C17" s="4042" t="str">
        <v>Wednesday</v>
      </c>
      <c r="D17" s="4028"/>
      <c r="E17" s="4029"/>
      <c r="F17" s="4043"/>
      <c r="G17" s="4044"/>
      <c r="H17" s="4028"/>
      <c r="I17" s="4028" t="s">
        <v>3776</v>
      </c>
      <c r="J17" s="4045"/>
      <c r="K17" s="4030"/>
      <c r="L17" s="4030"/>
      <c r="M17" s="4030"/>
      <c r="N17" s="4030"/>
      <c r="O17" s="4030"/>
      <c r="P17" s="4030"/>
    </row>
    <row r="18">
      <c r="A18" s="4042" t="s">
        <v>3775</v>
      </c>
      <c r="B18" s="4042">
        <v>46219</v>
      </c>
      <c r="C18" s="4042" t="str">
        <v>Thursday</v>
      </c>
      <c r="D18" s="4028"/>
      <c r="E18" s="4029"/>
      <c r="F18" s="4043"/>
      <c r="G18" s="4044"/>
      <c r="H18" s="4028"/>
      <c r="I18" s="4028" t="s">
        <v>3776</v>
      </c>
      <c r="J18" s="4045"/>
      <c r="K18" s="4030"/>
      <c r="L18" s="4030"/>
      <c r="M18" s="4030"/>
      <c r="N18" s="4030"/>
      <c r="O18" s="4030"/>
      <c r="P18" s="4030"/>
    </row>
    <row customHeight="true" ht="18.452380952380953" r="19">
      <c r="A19" s="4042" t="s">
        <v>3777</v>
      </c>
      <c r="B19" s="4031">
        <v>46254</v>
      </c>
      <c r="C19" s="4042" t="str">
        <v>Thursday</v>
      </c>
      <c r="D19" s="4047" t="s">
        <v>3778</v>
      </c>
      <c r="E19" s="4029">
        <f>24*MOD(TIMEVALUE(TRIM(MID(D19,FIND("-",D19)+1,LEN(D19)))) - TIMEVALUE(TRIM(LEFT(D19,FIND("-",D19)-1))),1)</f>
      </c>
      <c r="F19" s="4043" t="s">
        <v>3779</v>
      </c>
      <c r="G19" s="4044"/>
      <c r="H19" s="4028"/>
      <c r="I19" s="4028"/>
      <c r="J19" s="4045"/>
      <c r="K19" s="4030"/>
      <c r="L19" s="4030"/>
      <c r="M19" s="4030"/>
      <c r="N19" s="4030"/>
      <c r="O19" s="4030"/>
      <c r="P19" s="4030"/>
    </row>
    <row r="20">
      <c r="A20" s="4015"/>
      <c r="B20" s="4015"/>
      <c r="C20" s="4015"/>
      <c r="D20" s="4015"/>
      <c r="E20" s="4015"/>
      <c r="F20" s="4015"/>
      <c r="G20" s="4015"/>
      <c r="H20" s="4015"/>
      <c r="I20" s="4015"/>
      <c r="J20" s="4015"/>
      <c r="K20" s="4016"/>
      <c r="L20" s="4016"/>
      <c r="M20" s="4016"/>
      <c r="N20" s="4016"/>
      <c r="O20" s="4016"/>
      <c r="P20" s="4016"/>
    </row>
    <row r="21">
      <c r="A21" s="4048" t="s">
        <v>3780</v>
      </c>
      <c r="B21" s="4048"/>
      <c r="C21" s="4048"/>
      <c r="D21" s="4048"/>
      <c r="E21" s="4048"/>
      <c r="F21" s="4048"/>
      <c r="G21" s="4048"/>
      <c r="H21" s="4048"/>
      <c r="I21" s="4048"/>
      <c r="J21" s="4049"/>
      <c r="K21" s="4035"/>
      <c r="L21" s="4035"/>
      <c r="M21" s="4035"/>
      <c r="N21" s="4035"/>
      <c r="O21" s="4035"/>
      <c r="P21" s="4035"/>
    </row>
    <row r="22">
      <c r="A22" s="4050" t="s">
        <v>3762</v>
      </c>
      <c r="B22" s="4051" t="s">
        <v>3763</v>
      </c>
      <c r="C22" s="4051"/>
      <c r="D22" s="4052" t="s">
        <v>3764</v>
      </c>
      <c r="E22" s="4052" t="s">
        <v>3765</v>
      </c>
      <c r="F22" s="4052" t="s">
        <v>3766</v>
      </c>
      <c r="G22" s="4053" t="s">
        <v>3781</v>
      </c>
      <c r="H22" s="4052" t="s">
        <v>3768</v>
      </c>
      <c r="I22" s="4052" t="s">
        <v>3769</v>
      </c>
      <c r="J22" s="4054" t="s">
        <v>3770</v>
      </c>
      <c r="K22" s="4041"/>
      <c r="L22" s="4041"/>
      <c r="M22" s="4041"/>
      <c r="N22" s="4041"/>
      <c r="O22" s="4041"/>
      <c r="P22" s="4041"/>
    </row>
    <row customHeight="true" ht="18.452380952380953" r="23">
      <c r="A23" s="4042" t="s">
        <v>3782</v>
      </c>
      <c r="B23" s="4031">
        <v>46251</v>
      </c>
      <c r="C23" s="4042" t="str">
        <v>Monday</v>
      </c>
      <c r="D23" s="4024" t="s">
        <v>3783</v>
      </c>
      <c r="E23" s="4046">
        <f t="shared" ref="E23:E37" si="64">24*MOD(TIMEVALUE(TRIM(MID(D23,FIND("-",D23)+1,LEN(D23)))) - TIMEVALUE(TRIM(LEFT(D23,FIND("-",D23)-1))),1)</f>
      </c>
      <c r="F23" s="4046" t="s">
        <v>3784</v>
      </c>
      <c r="G23" s="4055"/>
      <c r="H23" s="4056"/>
      <c r="I23" s="4046"/>
      <c r="J23" s="4045"/>
      <c r="K23" s="4030"/>
      <c r="L23" s="4030"/>
      <c r="M23" s="4030"/>
      <c r="N23" s="4030"/>
      <c r="O23" s="4030"/>
      <c r="P23" s="4030"/>
    </row>
    <row r="24">
      <c r="A24" s="4042" t="s">
        <v>3782</v>
      </c>
      <c r="B24" s="4031">
        <v>46252</v>
      </c>
      <c r="C24" s="4042" t="str">
        <v>Tuesday</v>
      </c>
      <c r="D24" s="4024" t="s">
        <v>3783</v>
      </c>
      <c r="E24" s="4046">
        <f t="shared" si="64"/>
      </c>
      <c r="F24" s="4046" t="s">
        <v>3784</v>
      </c>
      <c r="G24" s="4055"/>
      <c r="H24" s="4056"/>
      <c r="I24" s="4046"/>
      <c r="J24" s="4045"/>
      <c r="K24" s="4030"/>
      <c r="L24" s="4030"/>
      <c r="M24" s="4030"/>
      <c r="N24" s="4030"/>
      <c r="O24" s="4030"/>
      <c r="P24" s="4030"/>
    </row>
    <row customHeight="true" ht="18.452380952380953" r="25">
      <c r="A25" s="4042" t="s">
        <v>3782</v>
      </c>
      <c r="B25" s="4031">
        <v>46253</v>
      </c>
      <c r="C25" s="4042" t="str">
        <v>Wednesday</v>
      </c>
      <c r="D25" s="4024" t="s">
        <v>3783</v>
      </c>
      <c r="E25" s="4046">
        <f t="shared" si="64"/>
      </c>
      <c r="F25" s="4046" t="s">
        <v>3784</v>
      </c>
      <c r="G25" s="4055"/>
      <c r="H25" s="4056"/>
      <c r="I25" s="4046"/>
      <c r="J25" s="4045"/>
      <c r="K25" s="4030"/>
      <c r="L25" s="4030"/>
      <c r="M25" s="4030"/>
      <c r="N25" s="4030"/>
      <c r="O25" s="4030"/>
      <c r="P25" s="4030"/>
    </row>
    <row customHeight="true" ht="18.452380952380953" r="26">
      <c r="A26" s="4042" t="s">
        <v>3782</v>
      </c>
      <c r="B26" s="4031">
        <v>46254</v>
      </c>
      <c r="C26" s="4042" t="str">
        <v>Thursday</v>
      </c>
      <c r="D26" s="4024" t="s">
        <v>3783</v>
      </c>
      <c r="E26" s="4046">
        <f t="shared" si="64"/>
      </c>
      <c r="F26" s="4046" t="s">
        <v>3784</v>
      </c>
      <c r="G26" s="4055"/>
      <c r="H26" s="4056"/>
      <c r="I26" s="4046"/>
      <c r="J26" s="4045"/>
      <c r="K26" s="4030"/>
      <c r="L26" s="4030"/>
      <c r="M26" s="4030"/>
      <c r="N26" s="4030"/>
      <c r="O26" s="4030"/>
      <c r="P26" s="4030"/>
    </row>
    <row customHeight="true" ht="18.452380952380953" r="27">
      <c r="A27" s="4057" t="s">
        <v>3782</v>
      </c>
      <c r="B27" s="4058">
        <v>46255</v>
      </c>
      <c r="C27" s="4057" t="str">
        <v>Friday</v>
      </c>
      <c r="D27" s="4059" t="s">
        <v>3783</v>
      </c>
      <c r="E27" s="4060">
        <f t="shared" si="64"/>
      </c>
      <c r="F27" s="4060" t="s">
        <v>3785</v>
      </c>
      <c r="G27" s="4061"/>
      <c r="H27" s="4062"/>
      <c r="I27" s="4060"/>
      <c r="J27" s="4063"/>
      <c r="K27" s="4064"/>
      <c r="L27" s="4064"/>
      <c r="M27" s="4064"/>
      <c r="N27" s="4064"/>
      <c r="O27" s="4064"/>
      <c r="P27" s="4064"/>
      <c r="Q27" s="4065"/>
      <c r="R27" s="4065"/>
      <c r="S27" s="4065"/>
      <c r="T27" s="4065"/>
      <c r="U27" s="4065"/>
      <c r="V27" s="4065"/>
      <c r="W27" s="4065"/>
      <c r="X27" s="4065"/>
      <c r="Y27" s="4065"/>
    </row>
    <row customHeight="true" ht="18.452380952380953" r="28">
      <c r="A28" s="4042" t="s">
        <v>3782</v>
      </c>
      <c r="B28" s="4031">
        <v>46256</v>
      </c>
      <c r="C28" s="4042" t="str">
        <v>Saturday</v>
      </c>
      <c r="D28" s="4024" t="s">
        <v>3786</v>
      </c>
      <c r="E28" s="4046">
        <f t="shared" si="64"/>
      </c>
      <c r="F28" s="4046" t="s">
        <v>3784</v>
      </c>
      <c r="G28" s="4055"/>
      <c r="H28" s="4056"/>
      <c r="I28" s="4046"/>
      <c r="J28" s="4045"/>
      <c r="K28" s="4030"/>
      <c r="L28" s="4030"/>
      <c r="M28" s="4030"/>
      <c r="N28" s="4030"/>
      <c r="O28" s="4030"/>
      <c r="P28" s="4030"/>
    </row>
    <row customHeight="true" ht="18.452380952380953" r="29">
      <c r="A29" s="4042" t="s">
        <v>3787</v>
      </c>
      <c r="B29" s="4031">
        <v>46251</v>
      </c>
      <c r="C29" s="4042" t="str">
        <v>Monday</v>
      </c>
      <c r="D29" s="4047" t="s">
        <v>3788</v>
      </c>
      <c r="E29" s="4046">
        <f t="shared" si="64"/>
      </c>
      <c r="F29" s="4046" t="s">
        <v>3784</v>
      </c>
      <c r="G29" s="4055"/>
      <c r="H29" s="4056"/>
      <c r="I29" s="4046"/>
      <c r="J29" s="4045"/>
      <c r="K29" s="4030"/>
      <c r="L29" s="4030"/>
      <c r="M29" s="4030"/>
      <c r="N29" s="4030"/>
      <c r="O29" s="4030"/>
      <c r="P29" s="4030"/>
    </row>
    <row customHeight="true" ht="18.452380952380953" r="30">
      <c r="A30" s="4042" t="s">
        <v>3787</v>
      </c>
      <c r="B30" s="4031">
        <v>46252</v>
      </c>
      <c r="C30" s="4042" t="str">
        <v>Tuesday</v>
      </c>
      <c r="D30" s="4047" t="s">
        <v>3788</v>
      </c>
      <c r="E30" s="4046">
        <f t="shared" si="64"/>
      </c>
      <c r="F30" s="4046" t="s">
        <v>3785</v>
      </c>
      <c r="G30" s="4055"/>
      <c r="H30" s="4056"/>
      <c r="I30" s="4046"/>
      <c r="J30" s="4045"/>
      <c r="K30" s="4030"/>
      <c r="L30" s="4030"/>
      <c r="M30" s="4030"/>
      <c r="N30" s="4030"/>
      <c r="O30" s="4030"/>
      <c r="P30" s="4030"/>
    </row>
    <row customHeight="true" ht="18.452380952380953" r="31">
      <c r="A31" s="4057" t="s">
        <v>3789</v>
      </c>
      <c r="B31" s="4058">
        <v>46253</v>
      </c>
      <c r="C31" s="4057" t="str">
        <v>Wednesday</v>
      </c>
      <c r="D31" s="4059" t="s">
        <v>3783</v>
      </c>
      <c r="E31" s="4060">
        <f t="shared" si="64"/>
      </c>
      <c r="F31" s="4060" t="s">
        <v>3790</v>
      </c>
      <c r="G31" s="4061"/>
      <c r="H31" s="4062"/>
      <c r="I31" s="4060"/>
      <c r="J31" s="4063"/>
      <c r="K31" s="4064"/>
      <c r="L31" s="4064"/>
      <c r="M31" s="4064"/>
      <c r="N31" s="4064"/>
      <c r="O31" s="4064"/>
      <c r="P31" s="4064"/>
      <c r="Q31" s="4065"/>
      <c r="R31" s="4065"/>
      <c r="S31" s="4065"/>
      <c r="T31" s="4065"/>
      <c r="U31" s="4065"/>
      <c r="V31" s="4065"/>
      <c r="W31" s="4065"/>
      <c r="X31" s="4065"/>
      <c r="Y31" s="4065"/>
    </row>
    <row customHeight="true" ht="18.452380952380953" r="32">
      <c r="A32" s="4066" t="s">
        <v>3791</v>
      </c>
      <c r="B32" s="4067">
        <v>46251</v>
      </c>
      <c r="C32" s="4066" t="str">
        <v>Monday</v>
      </c>
      <c r="D32" s="4068" t="s">
        <v>3792</v>
      </c>
      <c r="E32" s="4069">
        <f t="shared" si="64"/>
      </c>
      <c r="F32" s="4069" t="s">
        <v>3793</v>
      </c>
      <c r="G32" s="4070" t="s">
        <v>3794</v>
      </c>
      <c r="H32" s="4069"/>
      <c r="I32" s="4069"/>
      <c r="J32" s="4071"/>
      <c r="K32" s="4072"/>
      <c r="L32" s="4072"/>
      <c r="M32" s="4072"/>
      <c r="N32" s="4072"/>
      <c r="O32" s="4072"/>
      <c r="P32" s="4072"/>
      <c r="Q32" s="4073"/>
      <c r="R32" s="4073"/>
      <c r="S32" s="4073"/>
      <c r="T32" s="4073"/>
      <c r="U32" s="4073"/>
      <c r="V32" s="4073"/>
      <c r="W32" s="4073"/>
      <c r="X32" s="4073"/>
      <c r="Y32" s="4073"/>
    </row>
    <row customHeight="true" ht="18.452380952380953" r="33">
      <c r="A33" s="4066" t="s">
        <v>3791</v>
      </c>
      <c r="B33" s="4067">
        <v>46252</v>
      </c>
      <c r="C33" s="4066" t="str">
        <v>Tuesday</v>
      </c>
      <c r="D33" s="4068" t="s">
        <v>3792</v>
      </c>
      <c r="E33" s="4069">
        <f t="shared" si="64"/>
      </c>
      <c r="F33" s="4069" t="s">
        <v>3793</v>
      </c>
      <c r="G33" s="4070" t="s">
        <v>3794</v>
      </c>
      <c r="H33" s="4069"/>
      <c r="I33" s="4069"/>
      <c r="J33" s="4071"/>
      <c r="K33" s="4072"/>
      <c r="L33" s="4072"/>
      <c r="M33" s="4072"/>
      <c r="N33" s="4072"/>
      <c r="O33" s="4072"/>
      <c r="P33" s="4072"/>
      <c r="Q33" s="4073"/>
      <c r="R33" s="4073"/>
      <c r="S33" s="4073"/>
      <c r="T33" s="4073"/>
      <c r="U33" s="4073"/>
      <c r="V33" s="4073"/>
      <c r="W33" s="4073"/>
      <c r="X33" s="4073"/>
      <c r="Y33" s="4073"/>
    </row>
    <row customHeight="true" ht="18.452380952380953" r="34">
      <c r="A34" s="4066" t="s">
        <v>3791</v>
      </c>
      <c r="B34" s="4067">
        <v>46253</v>
      </c>
      <c r="C34" s="4066" t="str">
        <v>Wednesday</v>
      </c>
      <c r="D34" s="4068" t="s">
        <v>3792</v>
      </c>
      <c r="E34" s="4069">
        <f t="shared" si="64"/>
      </c>
      <c r="F34" s="4069" t="s">
        <v>3793</v>
      </c>
      <c r="G34" s="4070" t="s">
        <v>3794</v>
      </c>
      <c r="H34" s="4069"/>
      <c r="I34" s="4069"/>
      <c r="J34" s="4071"/>
      <c r="K34" s="4072"/>
      <c r="L34" s="4072"/>
      <c r="M34" s="4072"/>
      <c r="N34" s="4072"/>
      <c r="O34" s="4072"/>
      <c r="P34" s="4072"/>
      <c r="Q34" s="4073"/>
      <c r="R34" s="4073"/>
      <c r="S34" s="4073"/>
      <c r="T34" s="4073"/>
      <c r="U34" s="4073"/>
      <c r="V34" s="4073"/>
      <c r="W34" s="4073"/>
      <c r="X34" s="4073"/>
      <c r="Y34" s="4073"/>
    </row>
    <row r="35">
      <c r="A35" s="4066" t="s">
        <v>3791</v>
      </c>
      <c r="B35" s="4067">
        <v>46254</v>
      </c>
      <c r="C35" s="4066" t="str">
        <v>Thursday</v>
      </c>
      <c r="D35" s="4068" t="s">
        <v>3792</v>
      </c>
      <c r="E35" s="4069">
        <f t="shared" si="64"/>
      </c>
      <c r="F35" s="4069" t="s">
        <v>3793</v>
      </c>
      <c r="G35" s="4070" t="s">
        <v>3794</v>
      </c>
      <c r="H35" s="4069"/>
      <c r="I35" s="4069"/>
      <c r="J35" s="4071"/>
      <c r="K35" s="4072"/>
      <c r="L35" s="4072"/>
      <c r="M35" s="4072"/>
      <c r="N35" s="4072"/>
      <c r="O35" s="4072"/>
      <c r="P35" s="4072"/>
      <c r="Q35" s="4073"/>
      <c r="R35" s="4073"/>
      <c r="S35" s="4073"/>
      <c r="T35" s="4073"/>
      <c r="U35" s="4073"/>
      <c r="V35" s="4073"/>
      <c r="W35" s="4073"/>
      <c r="X35" s="4073"/>
      <c r="Y35" s="4073"/>
    </row>
    <row customHeight="true" ht="18.452380952380953" r="36">
      <c r="A36" s="4066" t="s">
        <v>3791</v>
      </c>
      <c r="B36" s="4067">
        <v>46255</v>
      </c>
      <c r="C36" s="4066" t="str">
        <v>Friday</v>
      </c>
      <c r="D36" s="4068" t="s">
        <v>3792</v>
      </c>
      <c r="E36" s="4069">
        <f t="shared" si="64"/>
      </c>
      <c r="F36" s="4069" t="s">
        <v>3793</v>
      </c>
      <c r="G36" s="4070" t="s">
        <v>3794</v>
      </c>
      <c r="H36" s="4069"/>
      <c r="I36" s="4069"/>
      <c r="J36" s="4071"/>
      <c r="K36" s="4072"/>
      <c r="L36" s="4072"/>
      <c r="M36" s="4072"/>
      <c r="N36" s="4072"/>
      <c r="O36" s="4072"/>
      <c r="P36" s="4072"/>
      <c r="Q36" s="4073"/>
      <c r="R36" s="4073"/>
      <c r="S36" s="4073"/>
      <c r="T36" s="4073"/>
      <c r="U36" s="4073"/>
      <c r="V36" s="4073"/>
      <c r="W36" s="4073"/>
      <c r="X36" s="4073"/>
      <c r="Y36" s="4073"/>
    </row>
    <row customHeight="true" ht="18.452380952380953" r="37">
      <c r="A37" s="4066" t="s">
        <v>3791</v>
      </c>
      <c r="B37" s="4067">
        <v>46256</v>
      </c>
      <c r="C37" s="4066" t="str">
        <v>Saturday</v>
      </c>
      <c r="D37" s="4068" t="s">
        <v>3795</v>
      </c>
      <c r="E37" s="4069">
        <f t="shared" si="64"/>
      </c>
      <c r="F37" s="4069" t="s">
        <v>3793</v>
      </c>
      <c r="G37" s="4070" t="s">
        <v>3796</v>
      </c>
      <c r="H37" s="4069"/>
      <c r="I37" s="4069"/>
      <c r="J37" s="4071"/>
      <c r="K37" s="4072"/>
      <c r="L37" s="4072"/>
      <c r="M37" s="4072"/>
      <c r="N37" s="4072"/>
      <c r="O37" s="4072"/>
      <c r="P37" s="4072"/>
      <c r="Q37" s="4073"/>
      <c r="R37" s="4073"/>
      <c r="S37" s="4073"/>
      <c r="T37" s="4073"/>
      <c r="U37" s="4073"/>
      <c r="V37" s="4073"/>
      <c r="W37" s="4073"/>
      <c r="X37" s="4073"/>
      <c r="Y37" s="4073"/>
    </row>
    <row customHeight="true" ht="18.452380952380953" r="38">
      <c r="A38" s="4066"/>
      <c r="B38" s="4067"/>
      <c r="C38" s="4066"/>
      <c r="D38" s="4068"/>
      <c r="E38" s="4069"/>
      <c r="F38" s="4069"/>
      <c r="G38" s="4074"/>
      <c r="H38" s="4069"/>
      <c r="I38" s="4069"/>
      <c r="J38" s="4071"/>
      <c r="K38" s="4072"/>
      <c r="L38" s="4072"/>
      <c r="M38" s="4072"/>
      <c r="N38" s="4072"/>
      <c r="O38" s="4072"/>
      <c r="P38" s="4072"/>
      <c r="Q38" s="4073"/>
      <c r="R38" s="4073"/>
      <c r="S38" s="4073"/>
      <c r="T38" s="4073"/>
      <c r="U38" s="4073"/>
      <c r="V38" s="4073"/>
      <c r="W38" s="4073"/>
      <c r="X38" s="4073"/>
      <c r="Y38" s="4073"/>
    </row>
    <row customHeight="true" ht="16.071428571428573" r="39">
      <c r="A39" s="4042"/>
      <c r="B39" s="4042"/>
      <c r="C39" s="4042"/>
      <c r="D39" s="4046"/>
      <c r="E39" s="4046"/>
      <c r="F39" s="4046"/>
      <c r="G39" s="4075"/>
      <c r="H39" s="4046"/>
      <c r="I39" s="4046"/>
      <c r="J39" s="4029"/>
      <c r="K39" s="4030"/>
      <c r="L39" s="4030"/>
      <c r="M39" s="4030"/>
      <c r="N39" s="4030"/>
      <c r="O39" s="4030"/>
      <c r="P39" s="4030"/>
    </row>
    <row r="40">
      <c r="A40" s="4076"/>
      <c r="B40" s="4076"/>
      <c r="C40" s="4076"/>
      <c r="D40" s="4076"/>
      <c r="E40" s="4076"/>
      <c r="F40" s="4076"/>
      <c r="G40" s="4076"/>
      <c r="H40" s="4076"/>
      <c r="I40" s="4076"/>
      <c r="J40" s="4076"/>
      <c r="K40" s="4077"/>
      <c r="L40" s="4077"/>
      <c r="M40" s="4077"/>
      <c r="N40" s="4077"/>
      <c r="O40" s="4077"/>
      <c r="P40" s="4077"/>
    </row>
    <row customHeight="true" ht="16.071428571428573" r="41"/>
    <row r="42">
      <c r="A42" s="4078" t="s">
        <v>3797</v>
      </c>
      <c r="B42" s="4078"/>
      <c r="C42" s="4078"/>
      <c r="D42" s="4078"/>
      <c r="E42" s="4078"/>
      <c r="F42" s="4078"/>
      <c r="G42" s="4079"/>
      <c r="H42" s="4079"/>
      <c r="I42" s="4079"/>
      <c r="J42" s="4080"/>
      <c r="K42" s="4020"/>
      <c r="L42" s="4035"/>
      <c r="M42" s="4035"/>
      <c r="N42" s="4035"/>
      <c r="O42" s="4035"/>
      <c r="P42" s="4035"/>
    </row>
    <row r="43">
      <c r="A43" s="4081" t="s">
        <v>3762</v>
      </c>
      <c r="B43" s="4082" t="s">
        <v>3763</v>
      </c>
      <c r="C43" s="4082"/>
      <c r="D43" s="4081" t="s">
        <v>3764</v>
      </c>
      <c r="E43" s="4081" t="s">
        <v>3765</v>
      </c>
      <c r="F43" s="4081" t="s">
        <v>3766</v>
      </c>
      <c r="G43" s="4083" t="s">
        <v>3781</v>
      </c>
      <c r="H43" s="4081" t="s">
        <v>3768</v>
      </c>
      <c r="I43" s="4081" t="s">
        <v>3769</v>
      </c>
      <c r="J43" s="4084" t="s">
        <v>3770</v>
      </c>
      <c r="K43" s="4041"/>
      <c r="L43" s="4041"/>
      <c r="M43" s="4041"/>
      <c r="N43" s="4041"/>
      <c r="O43" s="4041"/>
      <c r="P43" s="4041"/>
    </row>
    <row customHeight="true" ht="18.452380952380953" r="44">
      <c r="A44" s="4021" t="s">
        <v>3798</v>
      </c>
      <c r="B44" s="4085">
        <v>46256</v>
      </c>
      <c r="C44" s="4021" t="str">
        <v>Saturday</v>
      </c>
      <c r="D44" s="4086" t="s">
        <v>3799</v>
      </c>
      <c r="E44" s="4087">
        <f t="shared" ref="E44:E46" si="65">24*MOD(TIMEVALUE(TRIM(MID(D44,FIND("-",D44)+1,LEN(D44)))) - TIMEVALUE(TRIM(LEFT(D44,FIND("-",D44)-1))),1)</f>
      </c>
      <c r="F44" s="4087" t="s">
        <v>3800</v>
      </c>
      <c r="G44" s="4088" t="s">
        <v>3801</v>
      </c>
      <c r="H44" s="4087" t="s">
        <v>3802</v>
      </c>
      <c r="I44" s="4087" t="s">
        <v>3743</v>
      </c>
      <c r="J44" s="4089"/>
      <c r="K44" s="4030"/>
      <c r="L44" s="4030"/>
      <c r="M44" s="4030"/>
      <c r="N44" s="4030"/>
      <c r="O44" s="4030"/>
      <c r="P44" s="4030"/>
    </row>
    <row customHeight="true" ht="18.452380952380953" r="45">
      <c r="A45" s="4021" t="s">
        <v>3803</v>
      </c>
      <c r="B45" s="4085">
        <v>46256</v>
      </c>
      <c r="C45" s="4021" t="str">
        <v>Saturday</v>
      </c>
      <c r="D45" s="4086" t="s">
        <v>3799</v>
      </c>
      <c r="E45" s="4087">
        <f t="shared" si="65"/>
      </c>
      <c r="F45" s="4087" t="s">
        <v>3747</v>
      </c>
      <c r="G45" s="4088" t="s">
        <v>3801</v>
      </c>
      <c r="H45" s="4087" t="s">
        <v>3802</v>
      </c>
      <c r="I45" s="4087" t="s">
        <v>3743</v>
      </c>
      <c r="J45" s="4089"/>
      <c r="K45" s="4030"/>
      <c r="L45" s="4030"/>
      <c r="M45" s="4030"/>
      <c r="N45" s="4030"/>
      <c r="O45" s="4030"/>
      <c r="P45" s="4030"/>
    </row>
    <row customHeight="true" ht="18.452380952380953" r="46">
      <c r="A46" s="4021" t="s">
        <v>3803</v>
      </c>
      <c r="B46" s="4085">
        <v>46257</v>
      </c>
      <c r="C46" s="4021" t="str">
        <v>Sunday</v>
      </c>
      <c r="D46" s="4086" t="s">
        <v>3799</v>
      </c>
      <c r="E46" s="4087">
        <f t="shared" si="65"/>
      </c>
      <c r="F46" s="4087" t="s">
        <v>3800</v>
      </c>
      <c r="G46" s="4088" t="s">
        <v>3801</v>
      </c>
      <c r="H46" s="4087" t="s">
        <v>3802</v>
      </c>
      <c r="I46" s="4087" t="s">
        <v>3743</v>
      </c>
      <c r="J46" s="4089"/>
      <c r="K46" s="4030"/>
      <c r="L46" s="4030"/>
      <c r="M46" s="4030"/>
      <c r="N46" s="4030"/>
      <c r="O46" s="4030"/>
      <c r="P46" s="4030"/>
    </row>
    <row customHeight="true" ht="14.880952380952381" r="47"/>
    <row r="48">
      <c r="A48" s="4021" t="s">
        <v>3797</v>
      </c>
      <c r="B48" s="4085">
        <v>46254</v>
      </c>
      <c r="C48" s="4021" t="str">
        <v>Thursday</v>
      </c>
      <c r="D48" s="4086" t="s">
        <v>3804</v>
      </c>
      <c r="E48" s="4087">
        <f t="shared" ref="E48:E51" si="66">24*MOD(TIMEVALUE(TRIM(MID(D48,FIND("-",D48)+1,LEN(D48)))) - TIMEVALUE(TRIM(LEFT(D48,FIND("-",D48)-1))),1)</f>
      </c>
      <c r="F48" s="4087" t="s">
        <v>3805</v>
      </c>
      <c r="G48" s="4088"/>
      <c r="H48" s="4087" t="s">
        <v>3802</v>
      </c>
      <c r="I48" s="4087" t="s">
        <v>3743</v>
      </c>
      <c r="J48" s="4089"/>
      <c r="K48" s="4030"/>
      <c r="L48" s="4030"/>
      <c r="M48" s="4030"/>
      <c r="N48" s="4030"/>
      <c r="O48" s="4030"/>
      <c r="P48" s="4030"/>
    </row>
    <row r="49">
      <c r="A49" s="4021" t="s">
        <v>3797</v>
      </c>
      <c r="B49" s="4085">
        <v>46255</v>
      </c>
      <c r="C49" s="4021" t="str">
        <v>Friday</v>
      </c>
      <c r="D49" s="4086" t="s">
        <v>3806</v>
      </c>
      <c r="E49" s="4087">
        <f t="shared" si="66"/>
      </c>
      <c r="F49" s="4087" t="s">
        <v>3807</v>
      </c>
      <c r="G49" s="4088" t="s">
        <v>3808</v>
      </c>
      <c r="H49" s="4087" t="s">
        <v>3802</v>
      </c>
      <c r="I49" s="4087" t="s">
        <v>3743</v>
      </c>
      <c r="J49" s="4089"/>
      <c r="K49" s="4030"/>
      <c r="L49" s="4030"/>
      <c r="M49" s="4030"/>
      <c r="N49" s="4030"/>
      <c r="O49" s="4030"/>
      <c r="P49" s="4030"/>
    </row>
    <row r="50">
      <c r="A50" s="4021" t="s">
        <v>3797</v>
      </c>
      <c r="B50" s="4085">
        <v>46256</v>
      </c>
      <c r="C50" s="4021" t="str">
        <v>Saturday</v>
      </c>
      <c r="D50" s="4086" t="s">
        <v>3809</v>
      </c>
      <c r="E50" s="4087">
        <f t="shared" si="66"/>
      </c>
      <c r="F50" s="4087" t="s">
        <v>3805</v>
      </c>
      <c r="G50" s="4088" t="s">
        <v>3801</v>
      </c>
      <c r="H50" s="4087" t="s">
        <v>3802</v>
      </c>
      <c r="I50" s="4087" t="s">
        <v>3743</v>
      </c>
      <c r="J50" s="4089"/>
      <c r="K50" s="4030"/>
      <c r="L50" s="4030"/>
      <c r="M50" s="4030"/>
      <c r="N50" s="4030"/>
      <c r="O50" s="4030"/>
      <c r="P50" s="4030"/>
    </row>
    <row r="51">
      <c r="A51" s="4021" t="s">
        <v>3797</v>
      </c>
      <c r="B51" s="4085">
        <v>46257</v>
      </c>
      <c r="C51" s="4021" t="str">
        <v>Sunday</v>
      </c>
      <c r="D51" s="4086" t="s">
        <v>3806</v>
      </c>
      <c r="E51" s="4087">
        <f t="shared" si="66"/>
      </c>
      <c r="F51" s="4087" t="s">
        <v>3807</v>
      </c>
      <c r="G51" s="4088"/>
      <c r="H51" s="4087" t="s">
        <v>3802</v>
      </c>
      <c r="I51" s="4087" t="s">
        <v>3743</v>
      </c>
      <c r="J51" s="4089"/>
      <c r="K51" s="4030"/>
      <c r="L51" s="4030"/>
      <c r="M51" s="4030"/>
      <c r="N51" s="4030"/>
      <c r="O51" s="4030"/>
      <c r="P51" s="4030"/>
    </row>
    <row customHeight="true" ht="14.880952380952381" r="52"/>
    <row customHeight="true" ht="18.452380952380953" r="53">
      <c r="A53" s="4021" t="s">
        <v>3810</v>
      </c>
      <c r="B53" s="4085">
        <v>46254</v>
      </c>
      <c r="C53" s="4021" t="str">
        <v>Thursday</v>
      </c>
      <c r="D53" s="4086" t="s">
        <v>3811</v>
      </c>
      <c r="E53" s="4087">
        <f t="shared" ref="E53:E56" si="67">24*MOD(TIMEVALUE(TRIM(MID(D53,FIND("-",D53)+1,LEN(D53)))) - TIMEVALUE(TRIM(LEFT(D53,FIND("-",D53)-1))),1)</f>
      </c>
      <c r="F53" s="4087" t="s">
        <v>3812</v>
      </c>
      <c r="G53" s="4088"/>
      <c r="H53" s="4087" t="s">
        <v>3802</v>
      </c>
      <c r="I53" s="4087" t="s">
        <v>3743</v>
      </c>
      <c r="J53" s="4089"/>
      <c r="K53" s="4030"/>
      <c r="L53" s="4030"/>
      <c r="M53" s="4030"/>
      <c r="N53" s="4030"/>
      <c r="O53" s="4030"/>
      <c r="P53" s="4030"/>
    </row>
    <row customHeight="true" ht="18.452380952380953" r="54">
      <c r="A54" s="4021" t="s">
        <v>3810</v>
      </c>
      <c r="B54" s="4085">
        <v>46254</v>
      </c>
      <c r="C54" s="4021" t="str">
        <v>Thursday</v>
      </c>
      <c r="D54" s="4086" t="s">
        <v>3809</v>
      </c>
      <c r="E54" s="4087">
        <f t="shared" si="67"/>
      </c>
      <c r="F54" s="4087" t="s">
        <v>3813</v>
      </c>
      <c r="G54" s="4088"/>
      <c r="H54" s="4087" t="s">
        <v>3802</v>
      </c>
      <c r="I54" s="4087" t="s">
        <v>3743</v>
      </c>
      <c r="J54" s="4089"/>
      <c r="K54" s="4030"/>
      <c r="L54" s="4030"/>
      <c r="M54" s="4030"/>
      <c r="N54" s="4030"/>
      <c r="O54" s="4030"/>
      <c r="P54" s="4030"/>
    </row>
    <row customHeight="true" ht="18.452380952380953" r="55">
      <c r="A55" s="4021" t="s">
        <v>3810</v>
      </c>
      <c r="B55" s="4085">
        <v>46255</v>
      </c>
      <c r="C55" s="4021" t="str">
        <v>Friday</v>
      </c>
      <c r="D55" s="4086" t="s">
        <v>3799</v>
      </c>
      <c r="E55" s="4087">
        <f t="shared" si="67"/>
      </c>
      <c r="F55" s="4087" t="s">
        <v>3813</v>
      </c>
      <c r="G55" s="4088"/>
      <c r="H55" s="4087" t="s">
        <v>3802</v>
      </c>
      <c r="I55" s="4087" t="s">
        <v>3743</v>
      </c>
      <c r="J55" s="4089"/>
      <c r="K55" s="4030"/>
      <c r="L55" s="4030"/>
      <c r="M55" s="4030"/>
      <c r="N55" s="4030"/>
      <c r="O55" s="4030"/>
      <c r="P55" s="4030"/>
    </row>
    <row customHeight="true" ht="18.452380952380953" r="56">
      <c r="A56" s="4021" t="s">
        <v>3810</v>
      </c>
      <c r="B56" s="4085">
        <v>46257</v>
      </c>
      <c r="C56" s="4021" t="str">
        <v>Sunday</v>
      </c>
      <c r="D56" s="4086" t="s">
        <v>3814</v>
      </c>
      <c r="E56" s="4087">
        <f t="shared" si="67"/>
      </c>
      <c r="F56" s="4087" t="s">
        <v>3812</v>
      </c>
      <c r="G56" s="4088"/>
      <c r="H56" s="4087" t="s">
        <v>3802</v>
      </c>
      <c r="I56" s="4087" t="s">
        <v>3743</v>
      </c>
      <c r="J56" s="4089"/>
      <c r="K56" s="4030"/>
      <c r="L56" s="4030"/>
      <c r="M56" s="4030"/>
      <c r="N56" s="4030"/>
      <c r="O56" s="4030"/>
      <c r="P56" s="4030"/>
    </row>
    <row customHeight="true" ht="16.071428571428573" r="57">
      <c r="A57" s="4076"/>
      <c r="B57" s="4076"/>
      <c r="C57" s="4076"/>
      <c r="D57" s="4076"/>
      <c r="E57" s="4076"/>
      <c r="F57" s="4076"/>
      <c r="G57" s="4076"/>
      <c r="H57" s="4076"/>
      <c r="I57" s="4076"/>
      <c r="J57" s="4076"/>
      <c r="K57" s="4077"/>
      <c r="L57" s="4077"/>
      <c r="M57" s="4077"/>
      <c r="N57" s="4077"/>
      <c r="O57" s="4077"/>
      <c r="P57" s="4077"/>
    </row>
    <row r="58">
      <c r="A58" s="4090" t="s">
        <v>3815</v>
      </c>
      <c r="B58" s="4090"/>
      <c r="C58" s="4090"/>
      <c r="D58" s="4090"/>
      <c r="E58" s="4090"/>
      <c r="F58" s="4090"/>
      <c r="G58" s="4091"/>
      <c r="H58" s="4091"/>
      <c r="I58" s="4091"/>
      <c r="J58" s="4092"/>
      <c r="K58" s="4035"/>
      <c r="L58" s="4035"/>
      <c r="M58" s="4035"/>
      <c r="N58" s="4035"/>
      <c r="O58" s="4035"/>
      <c r="P58" s="4035"/>
    </row>
    <row r="59">
      <c r="A59" s="4093" t="s">
        <v>3762</v>
      </c>
      <c r="B59" s="4094" t="s">
        <v>3763</v>
      </c>
      <c r="C59" s="4094"/>
      <c r="D59" s="4093" t="s">
        <v>3764</v>
      </c>
      <c r="E59" s="4093" t="s">
        <v>3765</v>
      </c>
      <c r="F59" s="4093" t="s">
        <v>3766</v>
      </c>
      <c r="G59" s="4095" t="s">
        <v>3781</v>
      </c>
      <c r="H59" s="4093" t="s">
        <v>3768</v>
      </c>
      <c r="I59" s="4093" t="s">
        <v>3769</v>
      </c>
      <c r="J59" s="4096" t="s">
        <v>3770</v>
      </c>
      <c r="K59" s="4041"/>
      <c r="L59" s="4041"/>
      <c r="M59" s="4041"/>
      <c r="N59" s="4041"/>
      <c r="O59" s="4041"/>
      <c r="P59" s="4041"/>
    </row>
    <row customHeight="true" ht="18.452380952380953" r="60">
      <c r="A60" s="4021" t="s">
        <v>3816</v>
      </c>
      <c r="B60" s="4085">
        <v>46253</v>
      </c>
      <c r="C60" s="4021" t="str">
        <v>Wednesday</v>
      </c>
      <c r="D60" s="4086" t="s">
        <v>3817</v>
      </c>
      <c r="E60" s="4087">
        <f t="shared" ref="E60:E63" si="68">24*MOD(TIMEVALUE(TRIM(MID(D60,FIND("-",D60)+1,LEN(D60)))) - TIMEVALUE(TRIM(LEFT(D60,FIND("-",D60)-1))),1)</f>
      </c>
      <c r="F60" s="4032" t="s">
        <v>3818</v>
      </c>
      <c r="G60" s="4088"/>
      <c r="H60" s="4087" t="s">
        <v>3802</v>
      </c>
      <c r="I60" s="4087" t="s">
        <v>3743</v>
      </c>
      <c r="J60" s="4089"/>
      <c r="K60" s="4030"/>
      <c r="L60" s="4097"/>
      <c r="M60" s="4030"/>
      <c r="N60" s="4030"/>
      <c r="O60" s="4030"/>
      <c r="P60" s="4030"/>
    </row>
    <row customHeight="true" ht="18.452380952380953" r="61">
      <c r="A61" s="4021" t="s">
        <v>3816</v>
      </c>
      <c r="B61" s="4085">
        <v>46253</v>
      </c>
      <c r="C61" s="4021" t="str">
        <v>Wednesday</v>
      </c>
      <c r="D61" s="4086" t="s">
        <v>3819</v>
      </c>
      <c r="E61" s="4087">
        <f t="shared" si="68"/>
      </c>
      <c r="F61" s="4087" t="s">
        <v>3747</v>
      </c>
      <c r="G61" s="4088"/>
      <c r="H61" s="4087" t="s">
        <v>3802</v>
      </c>
      <c r="I61" s="4087" t="s">
        <v>3743</v>
      </c>
      <c r="J61" s="4089"/>
      <c r="K61" s="4030"/>
      <c r="L61" s="4097"/>
      <c r="M61" s="4030"/>
      <c r="N61" s="4030"/>
      <c r="O61" s="4030"/>
      <c r="P61" s="4030"/>
    </row>
    <row customHeight="true" ht="18.452380952380953" r="62">
      <c r="A62" s="4021" t="s">
        <v>3816</v>
      </c>
      <c r="B62" s="4085">
        <v>46255</v>
      </c>
      <c r="C62" s="4021" t="str">
        <v>Friday</v>
      </c>
      <c r="D62" s="4086" t="s">
        <v>3817</v>
      </c>
      <c r="E62" s="4087">
        <f t="shared" si="68"/>
      </c>
      <c r="F62" s="4032" t="s">
        <v>3818</v>
      </c>
      <c r="G62" s="4088"/>
      <c r="H62" s="4087" t="s">
        <v>3802</v>
      </c>
      <c r="I62" s="4087" t="s">
        <v>3743</v>
      </c>
      <c r="J62" s="4089"/>
      <c r="K62" s="4030"/>
      <c r="L62" s="4097"/>
      <c r="M62" s="4030"/>
      <c r="N62" s="4030"/>
      <c r="O62" s="4030"/>
      <c r="P62" s="4030"/>
    </row>
    <row customHeight="true" ht="18.452380952380953" r="63">
      <c r="A63" s="4021" t="s">
        <v>3816</v>
      </c>
      <c r="B63" s="4085">
        <v>46256</v>
      </c>
      <c r="C63" s="4021" t="str">
        <v>Saturday</v>
      </c>
      <c r="D63" s="4086" t="s">
        <v>3820</v>
      </c>
      <c r="E63" s="4087">
        <f t="shared" si="68"/>
      </c>
      <c r="F63" s="4087" t="s">
        <v>3821</v>
      </c>
      <c r="G63" s="4088"/>
      <c r="H63" s="4087" t="s">
        <v>3802</v>
      </c>
      <c r="I63" s="4087" t="s">
        <v>3743</v>
      </c>
      <c r="J63" s="4089"/>
      <c r="K63" s="4030"/>
      <c r="L63" s="4030"/>
      <c r="M63" s="4030"/>
      <c r="N63" s="4030"/>
      <c r="O63" s="4030"/>
      <c r="P63" s="4030"/>
    </row>
    <row customHeight="true" ht="14.880952380952381" r="64"/>
    <row customHeight="true" ht="18.452380952380953" r="65">
      <c r="A65" s="4021" t="s">
        <v>3815</v>
      </c>
      <c r="B65" s="4085">
        <v>46251</v>
      </c>
      <c r="C65" s="4021" t="str">
        <v>Monday</v>
      </c>
      <c r="D65" s="4086" t="s">
        <v>3822</v>
      </c>
      <c r="E65" s="4087">
        <f t="shared" ref="E65:E72" si="69">24*MOD(TIMEVALUE(TRIM(MID(D65,FIND("-",D65)+1,LEN(D65)))) - TIMEVALUE(TRIM(LEFT(D65,FIND("-",D65)-1))),1)</f>
      </c>
      <c r="F65" s="4087" t="s">
        <v>3823</v>
      </c>
      <c r="G65" s="4088" t="s">
        <v>3824</v>
      </c>
      <c r="H65" s="4087" t="s">
        <v>3802</v>
      </c>
      <c r="I65" s="4087" t="s">
        <v>3743</v>
      </c>
      <c r="J65" s="4089"/>
      <c r="K65" s="4030"/>
      <c r="L65" s="4097"/>
      <c r="M65" s="4030"/>
      <c r="N65" s="4030"/>
      <c r="O65" s="4030"/>
      <c r="P65" s="4030"/>
    </row>
    <row customHeight="true" ht="18.452380952380953" r="66">
      <c r="A66" s="4021" t="s">
        <v>3815</v>
      </c>
      <c r="B66" s="4085">
        <v>46252</v>
      </c>
      <c r="C66" s="4021" t="str">
        <v>Tuesday</v>
      </c>
      <c r="D66" s="4086" t="s">
        <v>3822</v>
      </c>
      <c r="E66" s="4087">
        <f t="shared" si="69"/>
      </c>
      <c r="F66" s="4087" t="s">
        <v>3807</v>
      </c>
      <c r="G66" s="4088" t="s">
        <v>3824</v>
      </c>
      <c r="H66" s="4087" t="s">
        <v>3802</v>
      </c>
      <c r="I66" s="4087" t="s">
        <v>3743</v>
      </c>
      <c r="J66" s="4089"/>
      <c r="K66" s="4030"/>
      <c r="L66" s="4097"/>
      <c r="M66" s="4030"/>
      <c r="N66" s="4030"/>
      <c r="O66" s="4030"/>
      <c r="P66" s="4030"/>
    </row>
    <row r="67">
      <c r="A67" s="4021" t="s">
        <v>3815</v>
      </c>
      <c r="B67" s="4085">
        <v>46253</v>
      </c>
      <c r="C67" s="4021" t="str">
        <v>Wednesday</v>
      </c>
      <c r="D67" s="4086" t="s">
        <v>3822</v>
      </c>
      <c r="E67" s="4087">
        <f t="shared" si="69"/>
      </c>
      <c r="F67" s="4032" t="s">
        <v>3818</v>
      </c>
      <c r="G67" s="4088" t="s">
        <v>3824</v>
      </c>
      <c r="H67" s="4087" t="s">
        <v>3802</v>
      </c>
      <c r="I67" s="4087" t="s">
        <v>3743</v>
      </c>
      <c r="J67" s="4089"/>
      <c r="K67" s="4030"/>
      <c r="L67" s="4097"/>
      <c r="M67" s="4030"/>
      <c r="N67" s="4030"/>
      <c r="O67" s="4030"/>
      <c r="P67" s="4030"/>
    </row>
    <row r="68">
      <c r="A68" s="4021" t="s">
        <v>3815</v>
      </c>
      <c r="B68" s="4085">
        <v>46254</v>
      </c>
      <c r="C68" s="4021" t="str">
        <v>Thursday</v>
      </c>
      <c r="D68" s="4086" t="s">
        <v>3825</v>
      </c>
      <c r="E68" s="4087">
        <f t="shared" si="69"/>
      </c>
      <c r="F68" s="4087" t="s">
        <v>3807</v>
      </c>
      <c r="G68" s="4088" t="s">
        <v>3826</v>
      </c>
      <c r="H68" s="4087" t="s">
        <v>3802</v>
      </c>
      <c r="I68" s="4087" t="s">
        <v>3743</v>
      </c>
      <c r="J68" s="4089"/>
      <c r="K68" s="4030"/>
      <c r="L68" s="4030"/>
      <c r="M68" s="4030"/>
      <c r="N68" s="4030"/>
      <c r="O68" s="4030"/>
      <c r="P68" s="4030"/>
    </row>
    <row r="69">
      <c r="A69" s="4021" t="s">
        <v>3815</v>
      </c>
      <c r="B69" s="4085">
        <v>46255</v>
      </c>
      <c r="C69" s="4021" t="str">
        <v>Friday</v>
      </c>
      <c r="D69" s="4086" t="s">
        <v>3827</v>
      </c>
      <c r="E69" s="4087">
        <f t="shared" si="69"/>
      </c>
      <c r="F69" s="4087" t="s">
        <v>3747</v>
      </c>
      <c r="G69" s="4088" t="s">
        <v>3828</v>
      </c>
      <c r="H69" s="4087" t="s">
        <v>3802</v>
      </c>
      <c r="I69" s="4087" t="s">
        <v>3743</v>
      </c>
      <c r="J69" s="4098" t="s">
        <v>3829</v>
      </c>
      <c r="K69" s="4030"/>
      <c r="L69" s="4030"/>
      <c r="M69" s="4030"/>
      <c r="N69" s="4030"/>
      <c r="O69" s="4030"/>
      <c r="P69" s="4030"/>
    </row>
    <row customHeight="true" ht="18.452380952380953" r="70">
      <c r="A70" s="4099" t="s">
        <v>3815</v>
      </c>
      <c r="B70" s="4100">
        <v>46256</v>
      </c>
      <c r="C70" s="4099" t="str">
        <v>Saturday</v>
      </c>
      <c r="D70" s="4101" t="s">
        <v>3819</v>
      </c>
      <c r="E70" s="4102">
        <f t="shared" si="69"/>
      </c>
      <c r="F70" s="4102" t="s">
        <v>3821</v>
      </c>
      <c r="G70" s="4103"/>
      <c r="H70" s="4102" t="s">
        <v>3802</v>
      </c>
      <c r="I70" s="4102" t="s">
        <v>3743</v>
      </c>
      <c r="J70" s="4098" t="s">
        <v>3830</v>
      </c>
      <c r="K70" s="4030"/>
      <c r="L70" s="4030"/>
      <c r="M70" s="4030"/>
      <c r="N70" s="4030"/>
      <c r="O70" s="4030"/>
      <c r="P70" s="4030"/>
    </row>
    <row customHeight="true" ht="18.452380952380953" r="71">
      <c r="A71" s="4021" t="s">
        <v>3815</v>
      </c>
      <c r="B71" s="4085">
        <v>46256</v>
      </c>
      <c r="C71" s="4021" t="str">
        <v>Saturday</v>
      </c>
      <c r="D71" s="4086" t="s">
        <v>3831</v>
      </c>
      <c r="E71" s="4087">
        <f t="shared" si="69"/>
      </c>
      <c r="F71" s="4087" t="s">
        <v>3747</v>
      </c>
      <c r="G71" s="4088" t="s">
        <v>3832</v>
      </c>
      <c r="H71" s="4087" t="s">
        <v>3802</v>
      </c>
      <c r="I71" s="4087" t="s">
        <v>3743</v>
      </c>
      <c r="J71" s="4089"/>
      <c r="K71" s="4030"/>
      <c r="L71" s="4030"/>
      <c r="M71" s="4030"/>
      <c r="N71" s="4030"/>
      <c r="O71" s="4030"/>
      <c r="P71" s="4030"/>
    </row>
    <row customHeight="true" ht="18.452380952380953" r="72">
      <c r="A72" s="4021" t="s">
        <v>3815</v>
      </c>
      <c r="B72" s="4085">
        <v>46257</v>
      </c>
      <c r="C72" s="4021" t="str">
        <v>Sunday</v>
      </c>
      <c r="D72" s="4086" t="s">
        <v>3833</v>
      </c>
      <c r="E72" s="4087">
        <f t="shared" si="69"/>
      </c>
      <c r="F72" s="4087" t="s">
        <v>3823</v>
      </c>
      <c r="G72" s="4088" t="s">
        <v>3834</v>
      </c>
      <c r="H72" s="4087" t="s">
        <v>3802</v>
      </c>
      <c r="I72" s="4087" t="s">
        <v>3743</v>
      </c>
      <c r="J72" s="4089"/>
      <c r="K72" s="4030"/>
      <c r="L72" s="4030"/>
      <c r="M72" s="4030"/>
      <c r="N72" s="4030"/>
      <c r="O72" s="4030"/>
      <c r="P72" s="4030"/>
    </row>
    <row customHeight="true" ht="14.880952380952381" r="73"/>
    <row customHeight="true" ht="14.880952380952381" r="74">
      <c r="J74" s="4104"/>
      <c r="K74" s="4105"/>
      <c r="L74" s="4105"/>
      <c r="M74" s="4105"/>
      <c r="N74" s="4105"/>
      <c r="O74" s="4105"/>
      <c r="P74" s="4105"/>
    </row>
    <row r="75">
      <c r="A75" s="4106" t="s">
        <v>3835</v>
      </c>
      <c r="B75" s="4107"/>
      <c r="C75" s="4107"/>
      <c r="D75" s="4107"/>
      <c r="E75" s="4107"/>
      <c r="F75" s="4107"/>
      <c r="G75" s="4108"/>
      <c r="H75" s="4108"/>
      <c r="I75" s="4108"/>
      <c r="J75" s="4109"/>
      <c r="K75" s="4035"/>
      <c r="L75" s="4035"/>
      <c r="M75" s="4035"/>
      <c r="N75" s="4035"/>
      <c r="O75" s="4035"/>
      <c r="P75" s="4035"/>
    </row>
    <row r="76">
      <c r="A76" s="4110" t="s">
        <v>3762</v>
      </c>
      <c r="B76" s="4111" t="s">
        <v>3763</v>
      </c>
      <c r="C76" s="4111"/>
      <c r="D76" s="4110" t="s">
        <v>3764</v>
      </c>
      <c r="E76" s="4110" t="s">
        <v>3765</v>
      </c>
      <c r="F76" s="4110" t="s">
        <v>3766</v>
      </c>
      <c r="G76" s="4112" t="s">
        <v>3781</v>
      </c>
      <c r="H76" s="4110" t="s">
        <v>3768</v>
      </c>
      <c r="I76" s="4110" t="s">
        <v>3769</v>
      </c>
      <c r="J76" s="4113" t="s">
        <v>3770</v>
      </c>
      <c r="K76" s="4041"/>
      <c r="L76" s="4041"/>
      <c r="M76" s="4041"/>
      <c r="N76" s="4041"/>
      <c r="O76" s="4041"/>
      <c r="P76" s="4041"/>
    </row>
    <row r="77">
      <c r="A77" s="4021" t="s">
        <v>3836</v>
      </c>
      <c r="B77" s="4085">
        <v>46252</v>
      </c>
      <c r="C77" s="4021" t="str">
        <v>Tuesday</v>
      </c>
      <c r="D77" s="4086" t="s">
        <v>3837</v>
      </c>
      <c r="E77" s="4087">
        <f t="shared" ref="E77:E81" si="70">24*MOD(TIMEVALUE(TRIM(MID(D77,FIND("-",D77)+1,LEN(D77)))) - TIMEVALUE(TRIM(LEFT(D77,FIND("-",D77)-1))),1)</f>
      </c>
      <c r="F77" s="4087" t="s">
        <v>3838</v>
      </c>
      <c r="G77" s="4088" t="s">
        <v>3801</v>
      </c>
      <c r="H77" s="4087" t="s">
        <v>3802</v>
      </c>
      <c r="I77" s="4087" t="s">
        <v>3743</v>
      </c>
      <c r="J77" s="4089"/>
      <c r="K77" s="4030"/>
      <c r="L77" s="4097"/>
      <c r="M77" s="4097"/>
      <c r="N77" s="4030"/>
      <c r="O77" s="4030"/>
      <c r="P77" s="4030"/>
    </row>
    <row customHeight="true" ht="18.452380952380953" r="78">
      <c r="A78" s="4021" t="s">
        <v>3836</v>
      </c>
      <c r="B78" s="4085">
        <v>46252</v>
      </c>
      <c r="C78" s="4021" t="str">
        <v>Tuesday</v>
      </c>
      <c r="D78" s="4086" t="s">
        <v>3839</v>
      </c>
      <c r="E78" s="4087">
        <f t="shared" si="70"/>
      </c>
      <c r="F78" s="4087" t="s">
        <v>3800</v>
      </c>
      <c r="G78" s="4088" t="s">
        <v>3801</v>
      </c>
      <c r="H78" s="4087" t="s">
        <v>3802</v>
      </c>
      <c r="I78" s="4087" t="s">
        <v>3743</v>
      </c>
      <c r="J78" s="4089"/>
      <c r="K78" s="4030"/>
      <c r="L78" s="4097"/>
      <c r="M78" s="4097"/>
      <c r="N78" s="4030"/>
      <c r="O78" s="4030"/>
      <c r="P78" s="4030"/>
    </row>
    <row customHeight="true" ht="18.452380952380953" r="79">
      <c r="A79" s="4021" t="s">
        <v>3836</v>
      </c>
      <c r="B79" s="4085">
        <v>46252</v>
      </c>
      <c r="C79" s="4021" t="str">
        <v>Tuesday</v>
      </c>
      <c r="D79" s="4086" t="s">
        <v>3840</v>
      </c>
      <c r="E79" s="4087">
        <f t="shared" si="70"/>
      </c>
      <c r="F79" s="4032" t="s">
        <v>3818</v>
      </c>
      <c r="G79" s="4088" t="s">
        <v>3801</v>
      </c>
      <c r="H79" s="4087" t="s">
        <v>3802</v>
      </c>
      <c r="I79" s="4087" t="s">
        <v>3743</v>
      </c>
      <c r="J79" s="4089"/>
      <c r="K79" s="4030"/>
      <c r="L79" s="4097"/>
      <c r="M79" s="4097"/>
      <c r="N79" s="4030"/>
      <c r="O79" s="4030"/>
      <c r="P79" s="4030"/>
    </row>
    <row customHeight="true" ht="18.452380952380953" r="80">
      <c r="A80" s="4099" t="s">
        <v>3836</v>
      </c>
      <c r="B80" s="4100">
        <v>46253</v>
      </c>
      <c r="C80" s="4099" t="str">
        <v>Wednesday</v>
      </c>
      <c r="D80" s="4101" t="s">
        <v>3799</v>
      </c>
      <c r="E80" s="4102">
        <f t="shared" si="70"/>
      </c>
      <c r="F80" s="4102" t="s">
        <v>3800</v>
      </c>
      <c r="G80" s="4103" t="s">
        <v>3801</v>
      </c>
      <c r="H80" s="4102" t="s">
        <v>3802</v>
      </c>
      <c r="I80" s="4102" t="s">
        <v>3776</v>
      </c>
      <c r="J80" s="4098" t="s">
        <v>3841</v>
      </c>
      <c r="K80" s="4030"/>
      <c r="L80" s="4097"/>
      <c r="M80" s="4097"/>
      <c r="N80" s="4030"/>
      <c r="O80" s="4030"/>
      <c r="P80" s="4030"/>
    </row>
    <row customHeight="true" ht="18.452380952380953" r="81">
      <c r="A81" s="4021" t="s">
        <v>3836</v>
      </c>
      <c r="B81" s="4085">
        <v>46254</v>
      </c>
      <c r="C81" s="4021" t="str">
        <v>Thursday</v>
      </c>
      <c r="D81" s="4086" t="s">
        <v>3842</v>
      </c>
      <c r="E81" s="4087">
        <f t="shared" si="70"/>
      </c>
      <c r="F81" s="4032" t="s">
        <v>3813</v>
      </c>
      <c r="G81" s="4088" t="s">
        <v>3801</v>
      </c>
      <c r="H81" s="4087" t="s">
        <v>3802</v>
      </c>
      <c r="I81" s="4087" t="s">
        <v>3743</v>
      </c>
      <c r="J81" s="4089"/>
      <c r="K81" s="4030"/>
      <c r="L81" s="4097"/>
      <c r="M81" s="4097"/>
      <c r="N81" s="4030"/>
      <c r="O81" s="4030"/>
      <c r="P81" s="4030"/>
    </row>
    <row customHeight="true" ht="14.880952380952381" r="82"/>
    <row customHeight="true" ht="18.452380952380953" r="83">
      <c r="A83" s="4021" t="s">
        <v>3835</v>
      </c>
      <c r="B83" s="4085">
        <v>46252</v>
      </c>
      <c r="C83" s="4021" t="str">
        <v>Tuesday</v>
      </c>
      <c r="D83" s="4086" t="s">
        <v>3843</v>
      </c>
      <c r="E83" s="4087">
        <f t="shared" ref="E83:E88" si="71">24*MOD(TIMEVALUE(TRIM(MID(D83,FIND("-",D83)+1,LEN(D83)))) - TIMEVALUE(TRIM(LEFT(D83,FIND("-",D83)-1))),1)</f>
      </c>
      <c r="F83" s="4087" t="s">
        <v>3807</v>
      </c>
      <c r="G83" s="4088"/>
      <c r="H83" s="4087" t="s">
        <v>3802</v>
      </c>
      <c r="I83" s="4087" t="s">
        <v>3743</v>
      </c>
      <c r="J83" s="4098" t="s">
        <v>3844</v>
      </c>
      <c r="K83" s="4030"/>
      <c r="L83" s="4030"/>
      <c r="M83" s="4030"/>
      <c r="N83" s="4030"/>
      <c r="O83" s="4030"/>
      <c r="P83" s="4030"/>
    </row>
    <row customHeight="true" ht="18.452380952380953" r="84">
      <c r="A84" s="4021" t="s">
        <v>3835</v>
      </c>
      <c r="B84" s="4085">
        <v>46253</v>
      </c>
      <c r="C84" s="4021" t="str">
        <v>Wednesday</v>
      </c>
      <c r="D84" s="4086" t="s">
        <v>3843</v>
      </c>
      <c r="E84" s="4087">
        <f t="shared" si="71"/>
      </c>
      <c r="F84" s="4087" t="s">
        <v>3807</v>
      </c>
      <c r="G84" s="4088"/>
      <c r="H84" s="4087" t="s">
        <v>3802</v>
      </c>
      <c r="I84" s="4087" t="s">
        <v>3743</v>
      </c>
      <c r="J84" s="4098" t="s">
        <v>3844</v>
      </c>
      <c r="K84" s="4030"/>
      <c r="L84" s="4030"/>
      <c r="M84" s="4030"/>
      <c r="N84" s="4030"/>
      <c r="O84" s="4030"/>
      <c r="P84" s="4030"/>
    </row>
    <row customHeight="true" ht="18.452380952380953" r="85">
      <c r="A85" s="4021" t="s">
        <v>3835</v>
      </c>
      <c r="B85" s="4085">
        <v>46254</v>
      </c>
      <c r="C85" s="4021" t="str">
        <v>Thursday</v>
      </c>
      <c r="D85" s="4086" t="s">
        <v>3843</v>
      </c>
      <c r="E85" s="4087">
        <f t="shared" si="71"/>
      </c>
      <c r="F85" s="4087" t="s">
        <v>3800</v>
      </c>
      <c r="G85" s="4088"/>
      <c r="H85" s="4087" t="s">
        <v>3802</v>
      </c>
      <c r="I85" s="4087" t="s">
        <v>3743</v>
      </c>
      <c r="J85" s="4089"/>
      <c r="K85" s="4030"/>
      <c r="L85" s="4030"/>
      <c r="M85" s="4030"/>
      <c r="N85" s="4030"/>
      <c r="O85" s="4030"/>
      <c r="P85" s="4030"/>
    </row>
    <row customHeight="true" ht="18.452380952380953" r="86">
      <c r="A86" s="4099" t="s">
        <v>3835</v>
      </c>
      <c r="B86" s="4100">
        <v>46255</v>
      </c>
      <c r="C86" s="4099" t="str">
        <v>Friday</v>
      </c>
      <c r="D86" s="4101" t="s">
        <v>3843</v>
      </c>
      <c r="E86" s="4102">
        <f t="shared" si="71"/>
      </c>
      <c r="F86" s="4102" t="s">
        <v>3845</v>
      </c>
      <c r="G86" s="4103"/>
      <c r="H86" s="4102" t="s">
        <v>3802</v>
      </c>
      <c r="I86" s="4102" t="s">
        <v>3776</v>
      </c>
      <c r="J86" s="4098" t="s">
        <v>3846</v>
      </c>
      <c r="K86" s="4030"/>
      <c r="L86" s="4030"/>
      <c r="M86" s="4030"/>
      <c r="N86" s="4030"/>
      <c r="O86" s="4030"/>
      <c r="P86" s="4030"/>
    </row>
    <row customHeight="true" ht="18.452380952380953" r="87">
      <c r="A87" s="4021" t="s">
        <v>3835</v>
      </c>
      <c r="B87" s="4085">
        <v>46256</v>
      </c>
      <c r="C87" s="4021" t="str">
        <v>Saturday</v>
      </c>
      <c r="D87" s="4086" t="s">
        <v>3843</v>
      </c>
      <c r="E87" s="4087">
        <f t="shared" si="71"/>
      </c>
      <c r="F87" s="4032" t="s">
        <v>3818</v>
      </c>
      <c r="G87" s="4088"/>
      <c r="H87" s="4087" t="s">
        <v>3802</v>
      </c>
      <c r="I87" s="4087" t="s">
        <v>3743</v>
      </c>
      <c r="J87" s="4089"/>
      <c r="K87" s="4030"/>
      <c r="L87" s="4030"/>
      <c r="M87" s="4030"/>
      <c r="N87" s="4030"/>
      <c r="O87" s="4030"/>
      <c r="P87" s="4030"/>
    </row>
    <row customHeight="true" ht="18.452380952380953" r="88">
      <c r="A88" s="4021" t="s">
        <v>3835</v>
      </c>
      <c r="B88" s="4085">
        <v>46257</v>
      </c>
      <c r="C88" s="4021" t="str">
        <v>Sunday</v>
      </c>
      <c r="D88" s="4086" t="s">
        <v>3843</v>
      </c>
      <c r="E88" s="4087">
        <f t="shared" si="71"/>
      </c>
      <c r="F88" s="4032" t="s">
        <v>3818</v>
      </c>
      <c r="G88" s="4088"/>
      <c r="H88" s="4087" t="s">
        <v>3802</v>
      </c>
      <c r="I88" s="4087" t="s">
        <v>3743</v>
      </c>
      <c r="J88" s="4089"/>
      <c r="K88" s="4030"/>
      <c r="L88" s="4030"/>
      <c r="M88" s="4030"/>
      <c r="N88" s="4030"/>
      <c r="O88" s="4030"/>
      <c r="P88" s="4030"/>
    </row>
    <row customHeight="true" ht="14.880952380952381" r="89">
      <c r="D89" s="4086"/>
    </row>
    <row customHeight="true" ht="18.452380952380953" r="90">
      <c r="A90" s="4021" t="s">
        <v>3847</v>
      </c>
      <c r="B90" s="4085">
        <v>46252</v>
      </c>
      <c r="C90" s="4021" t="str">
        <v>Tuesday</v>
      </c>
      <c r="D90" s="4086" t="s">
        <v>3848</v>
      </c>
      <c r="E90" s="4087">
        <f t="shared" ref="E90:E95" si="72">24*MOD(TIMEVALUE(TRIM(MID(D90,FIND("-",D90)+1,LEN(D90)))) - TIMEVALUE(TRIM(LEFT(D90,FIND("-",D90)-1))),1)</f>
      </c>
      <c r="F90" s="4087" t="s">
        <v>3812</v>
      </c>
      <c r="G90" s="4088"/>
      <c r="H90" s="4087" t="s">
        <v>3802</v>
      </c>
      <c r="I90" s="4087" t="s">
        <v>3743</v>
      </c>
      <c r="J90" s="4098" t="s">
        <v>3844</v>
      </c>
      <c r="K90" s="4030"/>
      <c r="L90" s="4030"/>
      <c r="M90" s="4030"/>
      <c r="N90" s="4030"/>
      <c r="O90" s="4030"/>
      <c r="P90" s="4030"/>
    </row>
    <row customHeight="true" ht="18.452380952380953" r="91">
      <c r="A91" s="4021" t="s">
        <v>3847</v>
      </c>
      <c r="B91" s="4085">
        <v>46253</v>
      </c>
      <c r="C91" s="4021" t="str">
        <v>Wednesday</v>
      </c>
      <c r="D91" s="4086" t="s">
        <v>3848</v>
      </c>
      <c r="E91" s="4087">
        <f t="shared" si="72"/>
      </c>
      <c r="F91" s="4087" t="s">
        <v>3812</v>
      </c>
      <c r="G91" s="4088"/>
      <c r="H91" s="4087" t="s">
        <v>3802</v>
      </c>
      <c r="I91" s="4087" t="s">
        <v>3743</v>
      </c>
      <c r="J91" s="4098" t="s">
        <v>3844</v>
      </c>
      <c r="K91" s="4030"/>
      <c r="L91" s="4030"/>
      <c r="M91" s="4030"/>
      <c r="N91" s="4030"/>
      <c r="O91" s="4030"/>
      <c r="P91" s="4030"/>
    </row>
    <row customHeight="true" ht="18.452380952380953" r="92">
      <c r="A92" s="4021" t="s">
        <v>3847</v>
      </c>
      <c r="B92" s="4085">
        <v>46254</v>
      </c>
      <c r="C92" s="4021" t="str">
        <v>Thursday</v>
      </c>
      <c r="D92" s="4086" t="s">
        <v>3848</v>
      </c>
      <c r="E92" s="4087">
        <f t="shared" si="72"/>
      </c>
      <c r="F92" s="4087" t="s">
        <v>3812</v>
      </c>
      <c r="G92" s="4088"/>
      <c r="H92" s="4087" t="s">
        <v>3802</v>
      </c>
      <c r="I92" s="4087" t="s">
        <v>3743</v>
      </c>
      <c r="J92" s="4089"/>
      <c r="K92" s="4030"/>
      <c r="L92" s="4030"/>
      <c r="M92" s="4030"/>
      <c r="N92" s="4030"/>
      <c r="O92" s="4030"/>
      <c r="P92" s="4030"/>
    </row>
    <row customHeight="true" ht="18.452380952380953" r="93">
      <c r="A93" s="4021" t="s">
        <v>3847</v>
      </c>
      <c r="B93" s="4085">
        <v>46255</v>
      </c>
      <c r="C93" s="4021" t="str">
        <v>Friday</v>
      </c>
      <c r="D93" s="4086" t="s">
        <v>3848</v>
      </c>
      <c r="E93" s="4087">
        <f t="shared" si="72"/>
      </c>
      <c r="F93" s="4087" t="s">
        <v>3812</v>
      </c>
      <c r="G93" s="4088"/>
      <c r="H93" s="4087" t="s">
        <v>3802</v>
      </c>
      <c r="I93" s="4087" t="s">
        <v>3743</v>
      </c>
      <c r="J93" s="4089"/>
      <c r="K93" s="4030"/>
      <c r="L93" s="4030"/>
      <c r="M93" s="4030"/>
      <c r="N93" s="4030"/>
      <c r="O93" s="4030"/>
      <c r="P93" s="4030"/>
    </row>
    <row customHeight="true" ht="18.452380952380953" r="94">
      <c r="A94" s="4021" t="s">
        <v>3847</v>
      </c>
      <c r="B94" s="4085">
        <v>46256</v>
      </c>
      <c r="C94" s="4021" t="str">
        <v>Saturday</v>
      </c>
      <c r="D94" s="4086" t="s">
        <v>3848</v>
      </c>
      <c r="E94" s="4087">
        <f t="shared" si="72"/>
      </c>
      <c r="F94" s="4087" t="s">
        <v>3812</v>
      </c>
      <c r="G94" s="4088"/>
      <c r="H94" s="4087" t="s">
        <v>3802</v>
      </c>
      <c r="I94" s="4087" t="s">
        <v>3743</v>
      </c>
      <c r="J94" s="4089"/>
      <c r="K94" s="4030"/>
      <c r="L94" s="4030"/>
      <c r="M94" s="4030"/>
      <c r="N94" s="4030"/>
      <c r="O94" s="4030"/>
      <c r="P94" s="4030"/>
    </row>
    <row customHeight="true" ht="18.452380952380953" r="95">
      <c r="A95" s="4021" t="s">
        <v>3847</v>
      </c>
      <c r="B95" s="4085">
        <v>46257</v>
      </c>
      <c r="C95" s="4021" t="str">
        <v>Sunday</v>
      </c>
      <c r="D95" s="4086" t="s">
        <v>3843</v>
      </c>
      <c r="E95" s="4087">
        <f t="shared" si="72"/>
      </c>
      <c r="F95" s="4087" t="s">
        <v>3813</v>
      </c>
      <c r="G95" s="4088"/>
      <c r="H95" s="4087" t="s">
        <v>3802</v>
      </c>
      <c r="I95" s="4087" t="s">
        <v>3743</v>
      </c>
      <c r="J95" s="4089"/>
      <c r="K95" s="4030"/>
      <c r="L95" s="4030"/>
      <c r="M95" s="4030"/>
      <c r="N95" s="4030"/>
      <c r="O95" s="4030"/>
      <c r="P95" s="4030"/>
    </row>
    <row customHeight="true" ht="16.071428571428573" r="96"/>
    <row r="97">
      <c r="A97" s="4114" t="s">
        <v>3849</v>
      </c>
      <c r="B97" s="4114"/>
      <c r="C97" s="4114"/>
      <c r="D97" s="4114"/>
      <c r="E97" s="4114"/>
      <c r="F97" s="4114"/>
      <c r="G97" s="4115"/>
      <c r="H97" s="4115"/>
      <c r="I97" s="4115"/>
      <c r="J97" s="4116"/>
      <c r="K97" s="4035"/>
      <c r="L97" s="4035"/>
      <c r="M97" s="4035"/>
      <c r="N97" s="4035"/>
      <c r="O97" s="4035"/>
      <c r="P97" s="4035"/>
    </row>
    <row r="98">
      <c r="A98" s="4117" t="s">
        <v>3762</v>
      </c>
      <c r="B98" s="4118" t="s">
        <v>3763</v>
      </c>
      <c r="C98" s="4118"/>
      <c r="D98" s="4117" t="s">
        <v>3764</v>
      </c>
      <c r="E98" s="4117" t="s">
        <v>3765</v>
      </c>
      <c r="F98" s="4117" t="s">
        <v>3766</v>
      </c>
      <c r="G98" s="4119" t="s">
        <v>3781</v>
      </c>
      <c r="H98" s="4117" t="s">
        <v>3768</v>
      </c>
      <c r="I98" s="4117" t="s">
        <v>3769</v>
      </c>
      <c r="J98" s="4120" t="s">
        <v>3770</v>
      </c>
      <c r="K98" s="4041"/>
      <c r="L98" s="4121"/>
      <c r="M98" s="4041"/>
      <c r="N98" s="4041"/>
      <c r="O98" s="4041"/>
      <c r="P98" s="4041"/>
    </row>
    <row customHeight="true" ht="18.452380952380953" r="99">
      <c r="A99" s="4099" t="s">
        <v>3850</v>
      </c>
      <c r="B99" s="4100">
        <v>46251</v>
      </c>
      <c r="C99" s="4099" t="str">
        <v>Monday</v>
      </c>
      <c r="D99" s="4101" t="s">
        <v>3851</v>
      </c>
      <c r="E99" s="4102">
        <f t="shared" ref="E99:E103" si="73">24*MOD(TIMEVALUE(TRIM(MID(D99,FIND("-",D99)+1,LEN(D99)))) - TIMEVALUE(TRIM(LEFT(D99,FIND("-",D99)-1))),1)</f>
      </c>
      <c r="F99" s="4060" t="s">
        <v>3818</v>
      </c>
      <c r="G99" s="4103"/>
      <c r="H99" s="4102" t="s">
        <v>3802</v>
      </c>
      <c r="I99" s="4102" t="s">
        <v>3743</v>
      </c>
      <c r="J99" s="4089"/>
      <c r="K99" s="4097"/>
      <c r="L99" s="4097"/>
      <c r="M99" s="4030"/>
      <c r="N99" s="4030"/>
      <c r="O99" s="4030"/>
      <c r="P99" s="4030"/>
    </row>
    <row customHeight="true" ht="18.452380952380953" r="100">
      <c r="A100" s="4021" t="s">
        <v>3850</v>
      </c>
      <c r="B100" s="4085">
        <v>46252</v>
      </c>
      <c r="C100" s="4021" t="str">
        <v>Tuesday</v>
      </c>
      <c r="D100" s="4086" t="s">
        <v>3852</v>
      </c>
      <c r="E100" s="4087">
        <f t="shared" si="73"/>
      </c>
      <c r="F100" s="4032" t="s">
        <v>3818</v>
      </c>
      <c r="G100" s="4088"/>
      <c r="H100" s="4087" t="s">
        <v>3802</v>
      </c>
      <c r="I100" s="4087" t="s">
        <v>3743</v>
      </c>
      <c r="J100" s="4089"/>
      <c r="K100" s="4097"/>
      <c r="L100" s="4097"/>
      <c r="M100" s="4030"/>
      <c r="N100" s="4030"/>
      <c r="O100" s="4030"/>
      <c r="P100" s="4030"/>
    </row>
    <row customHeight="true" ht="18.452380952380953" r="101">
      <c r="A101" s="4021" t="s">
        <v>3850</v>
      </c>
      <c r="B101" s="4085">
        <v>46253</v>
      </c>
      <c r="C101" s="4021" t="str">
        <v>Wednesday</v>
      </c>
      <c r="D101" s="4086" t="s">
        <v>3853</v>
      </c>
      <c r="E101" s="4087">
        <f t="shared" si="73"/>
      </c>
      <c r="F101" s="4087" t="s">
        <v>3821</v>
      </c>
      <c r="G101" s="4088"/>
      <c r="H101" s="4087" t="s">
        <v>3802</v>
      </c>
      <c r="I101" s="4087" t="s">
        <v>3743</v>
      </c>
      <c r="J101" s="4089"/>
      <c r="K101" s="4097"/>
      <c r="L101" s="4097"/>
      <c r="M101" s="4030"/>
      <c r="N101" s="4030"/>
      <c r="O101" s="4030"/>
      <c r="P101" s="4030"/>
    </row>
    <row customHeight="true" ht="18.452380952380953" r="102">
      <c r="A102" s="4021" t="s">
        <v>3850</v>
      </c>
      <c r="B102" s="4085">
        <v>46254</v>
      </c>
      <c r="C102" s="4021" t="str">
        <v>Thursday</v>
      </c>
      <c r="D102" s="4086" t="s">
        <v>3854</v>
      </c>
      <c r="E102" s="4087">
        <f t="shared" si="73"/>
      </c>
      <c r="F102" s="4087" t="s">
        <v>3800</v>
      </c>
      <c r="G102" s="4088"/>
      <c r="H102" s="4087" t="s">
        <v>3802</v>
      </c>
      <c r="I102" s="4087" t="s">
        <v>3743</v>
      </c>
      <c r="J102" s="4089"/>
      <c r="K102" s="4097"/>
      <c r="L102" s="4097"/>
      <c r="M102" s="4030"/>
      <c r="N102" s="4030"/>
      <c r="O102" s="4030"/>
      <c r="P102" s="4030"/>
    </row>
    <row customHeight="true" ht="18.452380952380953" r="103">
      <c r="A103" s="4042" t="s">
        <v>3850</v>
      </c>
      <c r="B103" s="4042">
        <v>46254</v>
      </c>
      <c r="C103" s="4042" t="str">
        <v>Thursday</v>
      </c>
      <c r="D103" s="4122" t="s">
        <v>3819</v>
      </c>
      <c r="E103" s="4046">
        <f t="shared" si="73"/>
      </c>
      <c r="F103" s="4046" t="s">
        <v>3813</v>
      </c>
      <c r="G103" s="4075"/>
      <c r="H103" s="4046" t="s">
        <v>3802</v>
      </c>
      <c r="I103" s="4087" t="s">
        <v>3743</v>
      </c>
      <c r="J103" s="4029"/>
      <c r="K103" s="4123"/>
      <c r="L103" s="4123"/>
      <c r="M103" s="4123"/>
      <c r="N103" s="4123"/>
      <c r="O103" s="4123"/>
      <c r="P103" s="4123"/>
      <c r="Q103" s="4076"/>
      <c r="R103" s="4076"/>
      <c r="S103" s="4076"/>
      <c r="T103" s="4076"/>
      <c r="U103" s="4076"/>
      <c r="V103" s="4076"/>
      <c r="W103" s="4076"/>
      <c r="X103" s="4076"/>
      <c r="Y103" s="4076"/>
    </row>
    <row customHeight="true" ht="14.880952380952381" r="104"/>
    <row customHeight="true" ht="18.452380952380953" r="105">
      <c r="A105" s="4021" t="s">
        <v>3849</v>
      </c>
      <c r="B105" s="4085">
        <v>46253</v>
      </c>
      <c r="C105" s="4021" t="str">
        <v>Wednesday</v>
      </c>
      <c r="D105" s="4086" t="s">
        <v>3855</v>
      </c>
      <c r="E105" s="4087">
        <f t="shared" ref="E105:E109" si="74">24*MOD(TIMEVALUE(TRIM(MID(D105,FIND("-",D105)+1,LEN(D105)))) - TIMEVALUE(TRIM(LEFT(D105,FIND("-",D105)-1))),1)</f>
      </c>
      <c r="F105" s="4032" t="s">
        <v>3807</v>
      </c>
      <c r="G105" s="4088"/>
      <c r="H105" s="4087" t="s">
        <v>3802</v>
      </c>
      <c r="I105" s="4087" t="s">
        <v>3743</v>
      </c>
      <c r="J105" s="4098" t="s">
        <v>3844</v>
      </c>
      <c r="K105" s="4097"/>
      <c r="L105" s="4030"/>
      <c r="M105" s="4030"/>
      <c r="N105" s="4030"/>
      <c r="O105" s="4030"/>
      <c r="P105" s="4030"/>
    </row>
    <row customHeight="true" ht="18.452380952380953" r="106">
      <c r="A106" s="4021" t="s">
        <v>3849</v>
      </c>
      <c r="B106" s="4085">
        <v>46254</v>
      </c>
      <c r="C106" s="4021" t="str">
        <v>Thursday</v>
      </c>
      <c r="D106" s="4086" t="s">
        <v>3855</v>
      </c>
      <c r="E106" s="4087">
        <f t="shared" si="74"/>
      </c>
      <c r="F106" s="4087" t="s">
        <v>3821</v>
      </c>
      <c r="G106" s="4088"/>
      <c r="H106" s="4087" t="s">
        <v>3802</v>
      </c>
      <c r="I106" s="4087" t="s">
        <v>3743</v>
      </c>
      <c r="J106" s="4089"/>
      <c r="K106" s="4097"/>
      <c r="L106" s="4030"/>
      <c r="M106" s="4030"/>
      <c r="N106" s="4030"/>
      <c r="O106" s="4030"/>
      <c r="P106" s="4030"/>
    </row>
    <row customHeight="true" ht="18.452380952380953" r="107">
      <c r="A107" s="4021" t="s">
        <v>3849</v>
      </c>
      <c r="B107" s="4085">
        <v>46255</v>
      </c>
      <c r="C107" s="4021" t="str">
        <v>Friday</v>
      </c>
      <c r="D107" s="4086" t="s">
        <v>3856</v>
      </c>
      <c r="E107" s="4087">
        <f t="shared" si="74"/>
      </c>
      <c r="F107" s="4087" t="s">
        <v>3807</v>
      </c>
      <c r="G107" s="4088"/>
      <c r="H107" s="4087" t="s">
        <v>3802</v>
      </c>
      <c r="I107" s="4087" t="s">
        <v>3743</v>
      </c>
      <c r="J107" s="4089"/>
      <c r="K107" s="4097"/>
      <c r="L107" s="4030"/>
      <c r="M107" s="4030"/>
      <c r="N107" s="4030"/>
      <c r="O107" s="4030"/>
      <c r="P107" s="4030"/>
    </row>
    <row customHeight="true" ht="18.452380952380953" r="108">
      <c r="A108" s="4021" t="s">
        <v>3849</v>
      </c>
      <c r="B108" s="4085">
        <v>46256</v>
      </c>
      <c r="C108" s="4021" t="str">
        <v>Saturday</v>
      </c>
      <c r="D108" s="4086" t="s">
        <v>3855</v>
      </c>
      <c r="E108" s="4087">
        <f t="shared" si="74"/>
      </c>
      <c r="F108" s="4087" t="s">
        <v>3800</v>
      </c>
      <c r="G108" s="4088"/>
      <c r="H108" s="4087" t="s">
        <v>3802</v>
      </c>
      <c r="I108" s="4087" t="s">
        <v>3743</v>
      </c>
      <c r="J108" s="4089"/>
      <c r="K108" s="4030"/>
      <c r="L108" s="4030"/>
      <c r="M108" s="4030"/>
      <c r="N108" s="4030"/>
      <c r="O108" s="4030"/>
      <c r="P108" s="4030"/>
    </row>
    <row customHeight="true" ht="18.452380952380953" r="109">
      <c r="A109" s="4021" t="s">
        <v>3849</v>
      </c>
      <c r="B109" s="4085">
        <v>46257</v>
      </c>
      <c r="C109" s="4021" t="str">
        <v>Sunday</v>
      </c>
      <c r="D109" s="4086" t="s">
        <v>3855</v>
      </c>
      <c r="E109" s="4087">
        <f t="shared" si="74"/>
      </c>
      <c r="F109" s="4087" t="s">
        <v>3800</v>
      </c>
      <c r="G109" s="4088"/>
      <c r="H109" s="4087" t="s">
        <v>3802</v>
      </c>
      <c r="I109" s="4087" t="s">
        <v>3743</v>
      </c>
      <c r="J109" s="4089"/>
      <c r="K109" s="4030"/>
      <c r="L109" s="4030"/>
      <c r="M109" s="4030"/>
      <c r="N109" s="4030"/>
      <c r="O109" s="4030"/>
      <c r="P109" s="4030"/>
    </row>
    <row customHeight="true" ht="14.880952380952381" r="110"/>
    <row customHeight="true" ht="18.452380952380953" r="111">
      <c r="A111" s="4021" t="s">
        <v>3857</v>
      </c>
      <c r="B111" s="4085">
        <v>46252</v>
      </c>
      <c r="C111" s="4021" t="str">
        <v>Tuesday</v>
      </c>
      <c r="D111" s="4086" t="s">
        <v>3822</v>
      </c>
      <c r="E111" s="4087">
        <f t="shared" ref="E111:E116" si="75">24*MOD(TIMEVALUE(TRIM(MID(D111,FIND("-",D111)+1,LEN(D111)))) - TIMEVALUE(TRIM(LEFT(D111,FIND("-",D111)-1))),1)</f>
      </c>
      <c r="F111" s="4087" t="s">
        <v>3812</v>
      </c>
      <c r="G111" s="4088"/>
      <c r="H111" s="4087" t="s">
        <v>3802</v>
      </c>
      <c r="I111" s="4087" t="s">
        <v>3743</v>
      </c>
      <c r="J111" s="4098" t="s">
        <v>3844</v>
      </c>
      <c r="K111" s="4030"/>
      <c r="L111" s="4030"/>
      <c r="M111" s="4030"/>
      <c r="N111" s="4030"/>
      <c r="O111" s="4030"/>
      <c r="P111" s="4030"/>
    </row>
    <row customHeight="true" ht="18.452380952380953" r="112">
      <c r="A112" s="4021" t="s">
        <v>3857</v>
      </c>
      <c r="B112" s="4085">
        <v>46253</v>
      </c>
      <c r="C112" s="4021" t="str">
        <v>Wednesday</v>
      </c>
      <c r="D112" s="4086" t="s">
        <v>3822</v>
      </c>
      <c r="E112" s="4087">
        <f t="shared" si="75"/>
      </c>
      <c r="F112" s="4087" t="s">
        <v>3812</v>
      </c>
      <c r="G112" s="4088"/>
      <c r="H112" s="4087" t="s">
        <v>3802</v>
      </c>
      <c r="I112" s="4087" t="s">
        <v>3743</v>
      </c>
      <c r="J112" s="4098" t="s">
        <v>3844</v>
      </c>
      <c r="K112" s="4030"/>
      <c r="L112" s="4030"/>
      <c r="M112" s="4030"/>
      <c r="N112" s="4030"/>
      <c r="O112" s="4030"/>
      <c r="P112" s="4030"/>
    </row>
    <row customHeight="true" ht="18.452380952380953" r="113">
      <c r="A113" s="4021" t="s">
        <v>3857</v>
      </c>
      <c r="B113" s="4085">
        <v>46254</v>
      </c>
      <c r="C113" s="4021" t="str">
        <v>Thursday</v>
      </c>
      <c r="D113" s="4086" t="s">
        <v>3822</v>
      </c>
      <c r="E113" s="4087">
        <f t="shared" si="75"/>
      </c>
      <c r="F113" s="4087" t="s">
        <v>3812</v>
      </c>
      <c r="G113" s="4088"/>
      <c r="H113" s="4087" t="s">
        <v>3802</v>
      </c>
      <c r="I113" s="4087" t="s">
        <v>3743</v>
      </c>
      <c r="J113" s="4098"/>
      <c r="K113" s="4030"/>
      <c r="L113" s="4030"/>
      <c r="M113" s="4030"/>
      <c r="N113" s="4030"/>
      <c r="O113" s="4030"/>
      <c r="P113" s="4030"/>
    </row>
    <row customHeight="true" ht="18.452380952380953" r="114">
      <c r="A114" s="4021" t="s">
        <v>3857</v>
      </c>
      <c r="B114" s="4085">
        <v>46255</v>
      </c>
      <c r="C114" s="4021" t="str">
        <v>Friday</v>
      </c>
      <c r="D114" s="4086" t="s">
        <v>3858</v>
      </c>
      <c r="E114" s="4087">
        <f t="shared" si="75"/>
      </c>
      <c r="F114" s="4087" t="s">
        <v>3812</v>
      </c>
      <c r="G114" s="4088"/>
      <c r="H114" s="4087" t="s">
        <v>3802</v>
      </c>
      <c r="I114" s="4087" t="s">
        <v>3743</v>
      </c>
      <c r="J114" s="4089"/>
      <c r="K114" s="4030"/>
      <c r="L114" s="4030"/>
      <c r="M114" s="4030"/>
      <c r="N114" s="4030"/>
      <c r="O114" s="4030"/>
      <c r="P114" s="4030"/>
    </row>
    <row customHeight="true" ht="18.452380952380953" r="115">
      <c r="A115" s="4021" t="s">
        <v>3857</v>
      </c>
      <c r="B115" s="4085">
        <v>46256</v>
      </c>
      <c r="C115" s="4021" t="str">
        <v>Saturday</v>
      </c>
      <c r="D115" s="4086" t="s">
        <v>3822</v>
      </c>
      <c r="E115" s="4087">
        <f t="shared" si="75"/>
      </c>
      <c r="F115" s="4087" t="s">
        <v>3812</v>
      </c>
      <c r="G115" s="4088"/>
      <c r="H115" s="4087" t="s">
        <v>3802</v>
      </c>
      <c r="I115" s="4087" t="s">
        <v>3743</v>
      </c>
      <c r="J115" s="4089"/>
      <c r="K115" s="4030"/>
      <c r="L115" s="4030"/>
      <c r="M115" s="4030"/>
      <c r="N115" s="4030"/>
      <c r="O115" s="4030"/>
      <c r="P115" s="4030"/>
    </row>
    <row customHeight="true" ht="18.452380952380953" r="116">
      <c r="A116" s="4021" t="s">
        <v>3857</v>
      </c>
      <c r="B116" s="4085">
        <v>46257</v>
      </c>
      <c r="C116" s="4021" t="str">
        <v>Sunday</v>
      </c>
      <c r="D116" s="4086" t="s">
        <v>3822</v>
      </c>
      <c r="E116" s="4087">
        <f t="shared" si="75"/>
      </c>
      <c r="F116" s="4087" t="s">
        <v>3812</v>
      </c>
      <c r="G116" s="4088"/>
      <c r="H116" s="4087" t="s">
        <v>3802</v>
      </c>
      <c r="I116" s="4087" t="s">
        <v>3743</v>
      </c>
      <c r="J116" s="4089"/>
      <c r="K116" s="4030"/>
      <c r="L116" s="4030"/>
      <c r="M116" s="4030"/>
      <c r="N116" s="4030"/>
      <c r="O116" s="4030"/>
      <c r="P116" s="4030"/>
    </row>
    <row customHeight="true" ht="16.071428571428573" r="117">
      <c r="A117" s="4104"/>
      <c r="J117" s="4104"/>
      <c r="K117" s="4105"/>
      <c r="L117" s="4105"/>
      <c r="M117" s="4105"/>
      <c r="N117" s="4105"/>
      <c r="O117" s="4105"/>
      <c r="P117" s="4105"/>
    </row>
    <row r="118">
      <c r="A118" s="4124" t="s">
        <v>3859</v>
      </c>
      <c r="B118" s="4124" t="s">
        <v>3860</v>
      </c>
      <c r="C118" s="4125"/>
      <c r="D118" s="4125"/>
      <c r="E118" s="4125"/>
      <c r="F118" s="4125"/>
      <c r="G118" s="4125"/>
      <c r="H118" s="4125"/>
      <c r="I118" s="4125"/>
      <c r="J118" s="4126"/>
      <c r="K118" s="4127"/>
      <c r="L118" s="4127"/>
      <c r="M118" s="4127"/>
      <c r="N118" s="4127"/>
      <c r="O118" s="4127"/>
      <c r="P118" s="4127"/>
    </row>
    <row r="119">
      <c r="A119" s="4128" t="s">
        <v>3762</v>
      </c>
      <c r="B119" s="4129" t="s">
        <v>3763</v>
      </c>
      <c r="C119" s="4129"/>
      <c r="D119" s="4130" t="s">
        <v>3764</v>
      </c>
      <c r="E119" s="4130" t="s">
        <v>3765</v>
      </c>
      <c r="F119" s="4130" t="s">
        <v>3766</v>
      </c>
      <c r="G119" s="4131" t="s">
        <v>3781</v>
      </c>
      <c r="H119" s="4130" t="s">
        <v>3768</v>
      </c>
      <c r="I119" s="4130" t="s">
        <v>3769</v>
      </c>
      <c r="J119" s="4132" t="s">
        <v>3770</v>
      </c>
      <c r="K119" s="4041"/>
      <c r="L119" s="4041"/>
      <c r="M119" s="4041"/>
      <c r="N119" s="4041"/>
      <c r="O119" s="4041"/>
      <c r="P119" s="4041"/>
    </row>
    <row customHeight="true" ht="18.452380952380953" r="120">
      <c r="A120" s="4133" t="s">
        <v>3859</v>
      </c>
      <c r="B120" s="4031">
        <v>46251</v>
      </c>
      <c r="C120" s="4042" t="str">
        <v>Monday</v>
      </c>
      <c r="D120" s="4047" t="s">
        <v>3861</v>
      </c>
      <c r="E120" s="4046">
        <f t="shared" ref="E120:E131" si="76">24*MOD(TIMEVALUE(TRIM(MID(D120,FIND("-",D120)+1,LEN(D120)))) - TIMEVALUE(TRIM(LEFT(D120,FIND("-",D120)-1))),1)</f>
      </c>
      <c r="F120" s="4028" t="s">
        <v>3784</v>
      </c>
      <c r="G120" s="4134"/>
      <c r="H120" s="4028" t="s">
        <v>3802</v>
      </c>
      <c r="I120" s="4046" t="s">
        <v>3776</v>
      </c>
      <c r="J120" s="4135"/>
      <c r="K120" s="4077"/>
      <c r="L120" s="4077"/>
      <c r="M120" s="4077"/>
      <c r="N120" s="4077"/>
      <c r="O120" s="4077"/>
      <c r="P120" s="4077"/>
    </row>
    <row customHeight="true" ht="18.452380952380953" r="121">
      <c r="A121" s="4136" t="s">
        <v>3859</v>
      </c>
      <c r="B121" s="4058">
        <v>46251</v>
      </c>
      <c r="C121" s="4057" t="str">
        <v>Monday</v>
      </c>
      <c r="D121" s="4059" t="s">
        <v>3862</v>
      </c>
      <c r="E121" s="4060">
        <f t="shared" si="76"/>
      </c>
      <c r="F121" s="4060" t="s">
        <v>3863</v>
      </c>
      <c r="G121" s="4137"/>
      <c r="H121" s="4060" t="s">
        <v>3802</v>
      </c>
      <c r="I121" s="4060" t="s">
        <v>3776</v>
      </c>
      <c r="J121" s="4138"/>
      <c r="K121" s="4139"/>
      <c r="L121" s="4139"/>
      <c r="M121" s="4139"/>
      <c r="N121" s="4139"/>
      <c r="O121" s="4139"/>
      <c r="P121" s="4139"/>
      <c r="Q121" s="4065"/>
      <c r="R121" s="4065"/>
      <c r="S121" s="4065"/>
      <c r="T121" s="4065"/>
      <c r="U121" s="4065"/>
      <c r="V121" s="4065"/>
      <c r="W121" s="4065"/>
      <c r="X121" s="4065"/>
      <c r="Y121" s="4065"/>
    </row>
    <row r="122">
      <c r="A122" s="4133" t="s">
        <v>3859</v>
      </c>
      <c r="B122" s="4031">
        <v>46252</v>
      </c>
      <c r="C122" s="4042" t="str">
        <v>Tuesday</v>
      </c>
      <c r="D122" s="4047" t="s">
        <v>3861</v>
      </c>
      <c r="E122" s="4046">
        <f t="shared" si="76"/>
      </c>
      <c r="F122" s="4028" t="s">
        <v>3784</v>
      </c>
      <c r="G122" s="4134"/>
      <c r="H122" s="4028" t="s">
        <v>3802</v>
      </c>
      <c r="I122" s="4046" t="s">
        <v>3776</v>
      </c>
      <c r="J122" s="4135"/>
      <c r="K122" s="4077"/>
      <c r="L122" s="4077"/>
      <c r="M122" s="4077"/>
      <c r="N122" s="4077"/>
      <c r="O122" s="4077"/>
      <c r="P122" s="4077"/>
    </row>
    <row customHeight="true" ht="18.452380952380953" r="123">
      <c r="A123" s="4136" t="s">
        <v>3859</v>
      </c>
      <c r="B123" s="4058">
        <v>46252</v>
      </c>
      <c r="C123" s="4057" t="str">
        <v>Tuesday</v>
      </c>
      <c r="D123" s="4059" t="s">
        <v>3862</v>
      </c>
      <c r="E123" s="4060">
        <f t="shared" si="76"/>
      </c>
      <c r="F123" s="4060" t="s">
        <v>3863</v>
      </c>
      <c r="G123" s="4137"/>
      <c r="H123" s="4060" t="s">
        <v>3802</v>
      </c>
      <c r="I123" s="4060" t="s">
        <v>3776</v>
      </c>
      <c r="J123" s="4138"/>
      <c r="K123" s="4139"/>
      <c r="L123" s="4139"/>
      <c r="M123" s="4139"/>
      <c r="N123" s="4139"/>
      <c r="O123" s="4139"/>
      <c r="P123" s="4139"/>
      <c r="Q123" s="4065"/>
      <c r="R123" s="4065"/>
      <c r="S123" s="4065"/>
      <c r="T123" s="4065"/>
      <c r="U123" s="4065"/>
      <c r="V123" s="4065"/>
      <c r="W123" s="4065"/>
      <c r="X123" s="4065"/>
      <c r="Y123" s="4065"/>
    </row>
    <row customHeight="true" ht="18.452380952380953" r="124">
      <c r="A124" s="4140" t="s">
        <v>3859</v>
      </c>
      <c r="B124" s="4031">
        <v>46253</v>
      </c>
      <c r="C124" s="4042" t="str">
        <v>Wednesday</v>
      </c>
      <c r="D124" s="4047" t="s">
        <v>3864</v>
      </c>
      <c r="E124" s="4046">
        <f t="shared" si="76"/>
      </c>
      <c r="F124" s="4028" t="s">
        <v>3784</v>
      </c>
      <c r="G124" s="4141"/>
      <c r="H124" s="4028" t="s">
        <v>3802</v>
      </c>
      <c r="I124" s="4046" t="s">
        <v>3743</v>
      </c>
      <c r="J124" s="4142"/>
      <c r="K124" s="4077"/>
      <c r="L124" s="4077"/>
      <c r="M124" s="4077"/>
      <c r="N124" s="4077"/>
      <c r="O124" s="4077"/>
      <c r="P124" s="4077"/>
    </row>
    <row customHeight="true" ht="18.452380952380953" r="125">
      <c r="A125" s="4136" t="s">
        <v>3859</v>
      </c>
      <c r="B125" s="4058">
        <v>46253</v>
      </c>
      <c r="C125" s="4057" t="str">
        <v>Wednesday</v>
      </c>
      <c r="D125" s="4059" t="s">
        <v>3862</v>
      </c>
      <c r="E125" s="4060">
        <f t="shared" si="76"/>
      </c>
      <c r="F125" s="4060" t="s">
        <v>3863</v>
      </c>
      <c r="G125" s="4137"/>
      <c r="H125" s="4060" t="s">
        <v>3802</v>
      </c>
      <c r="I125" s="4060" t="s">
        <v>3743</v>
      </c>
      <c r="J125" s="4138"/>
      <c r="K125" s="4139"/>
      <c r="L125" s="4139"/>
      <c r="M125" s="4139"/>
      <c r="N125" s="4139"/>
      <c r="O125" s="4139"/>
      <c r="P125" s="4139"/>
      <c r="Q125" s="4065"/>
      <c r="R125" s="4065"/>
      <c r="S125" s="4065"/>
      <c r="T125" s="4065"/>
      <c r="U125" s="4065"/>
      <c r="V125" s="4065"/>
      <c r="W125" s="4065"/>
      <c r="X125" s="4065"/>
      <c r="Y125" s="4065"/>
    </row>
    <row r="126">
      <c r="A126" s="4140" t="s">
        <v>3859</v>
      </c>
      <c r="B126" s="4031">
        <v>46254</v>
      </c>
      <c r="C126" s="4042" t="str">
        <v>Thursday</v>
      </c>
      <c r="D126" s="4047" t="s">
        <v>3864</v>
      </c>
      <c r="E126" s="4046">
        <f t="shared" si="76"/>
      </c>
      <c r="F126" s="4028" t="s">
        <v>3784</v>
      </c>
      <c r="G126" s="4141"/>
      <c r="H126" s="4028" t="s">
        <v>3802</v>
      </c>
      <c r="I126" s="4046" t="s">
        <v>3743</v>
      </c>
      <c r="J126" s="4142"/>
      <c r="K126" s="4077"/>
      <c r="L126" s="4077"/>
      <c r="M126" s="4077"/>
      <c r="N126" s="4077"/>
      <c r="O126" s="4077"/>
      <c r="P126" s="4077"/>
    </row>
    <row customHeight="true" ht="18.452380952380953" r="127">
      <c r="A127" s="4140" t="s">
        <v>3859</v>
      </c>
      <c r="B127" s="4031">
        <v>46254</v>
      </c>
      <c r="C127" s="4042" t="str">
        <v>Thursday</v>
      </c>
      <c r="D127" s="4047" t="s">
        <v>3865</v>
      </c>
      <c r="E127" s="4046">
        <f t="shared" si="76"/>
      </c>
      <c r="F127" s="4028" t="s">
        <v>3740</v>
      </c>
      <c r="G127" s="4141"/>
      <c r="H127" s="4028" t="s">
        <v>3802</v>
      </c>
      <c r="I127" s="4046" t="s">
        <v>3743</v>
      </c>
      <c r="J127" s="4143" t="s">
        <v>3866</v>
      </c>
      <c r="K127" s="4077"/>
      <c r="L127" s="4077"/>
      <c r="M127" s="4077"/>
      <c r="N127" s="4077"/>
      <c r="O127" s="4077"/>
      <c r="P127" s="4077"/>
    </row>
    <row customHeight="true" ht="18.452380952380953" r="128">
      <c r="A128" s="4136" t="s">
        <v>3859</v>
      </c>
      <c r="B128" s="4058">
        <v>46254</v>
      </c>
      <c r="C128" s="4057" t="str">
        <v>Thursday</v>
      </c>
      <c r="D128" s="4060" t="s">
        <v>3865</v>
      </c>
      <c r="E128" s="4060">
        <f t="shared" si="76"/>
      </c>
      <c r="F128" s="4060" t="s">
        <v>3863</v>
      </c>
      <c r="G128" s="4144"/>
      <c r="H128" s="4060" t="s">
        <v>3802</v>
      </c>
      <c r="I128" s="4060" t="s">
        <v>3776</v>
      </c>
      <c r="J128" s="4138"/>
      <c r="K128" s="4139"/>
      <c r="L128" s="4139"/>
      <c r="M128" s="4139"/>
      <c r="N128" s="4139"/>
      <c r="O128" s="4139"/>
      <c r="P128" s="4139"/>
      <c r="Q128" s="4139"/>
      <c r="R128" s="4139"/>
      <c r="S128" s="4139"/>
      <c r="T128" s="4139"/>
      <c r="U128" s="4139"/>
      <c r="V128" s="4139"/>
      <c r="W128" s="4139"/>
      <c r="X128" s="4139"/>
      <c r="Y128" s="4139"/>
    </row>
    <row customHeight="true" ht="19.642857142857142" r="129">
      <c r="A129" s="4140" t="s">
        <v>3859</v>
      </c>
      <c r="B129" s="4031">
        <v>46255</v>
      </c>
      <c r="C129" s="4042" t="str">
        <v>Friday</v>
      </c>
      <c r="D129" s="4047" t="s">
        <v>3867</v>
      </c>
      <c r="E129" s="4046">
        <f t="shared" si="76"/>
      </c>
      <c r="F129" s="4028" t="s">
        <v>3784</v>
      </c>
      <c r="G129" s="4141"/>
      <c r="H129" s="4028" t="s">
        <v>3802</v>
      </c>
      <c r="I129" s="4046" t="s">
        <v>3743</v>
      </c>
      <c r="J129" s="4142"/>
      <c r="K129" s="4077"/>
      <c r="L129" s="4077"/>
      <c r="M129" s="4077"/>
      <c r="N129" s="4077"/>
      <c r="O129" s="4077"/>
      <c r="P129" s="4077"/>
    </row>
    <row customHeight="true" ht="20.571122629963245" r="130">
      <c r="A130" s="4140" t="s">
        <v>3859</v>
      </c>
      <c r="B130" s="4031">
        <v>46255</v>
      </c>
      <c r="C130" s="4042" t="str">
        <v>Friday</v>
      </c>
      <c r="D130" s="4047" t="s">
        <v>3868</v>
      </c>
      <c r="E130" s="4046">
        <f t="shared" si="76"/>
      </c>
      <c r="F130" s="4028" t="s">
        <v>3785</v>
      </c>
      <c r="G130" s="4141"/>
      <c r="H130" s="4028" t="s">
        <v>3802</v>
      </c>
      <c r="I130" s="4046" t="s">
        <v>3743</v>
      </c>
      <c r="J130" s="4142"/>
      <c r="K130" s="4077"/>
      <c r="L130" s="4077"/>
      <c r="M130" s="4077"/>
      <c r="N130" s="4077"/>
      <c r="O130" s="4077"/>
      <c r="P130" s="4077"/>
    </row>
    <row customHeight="true" ht="18.452380952380953" r="131">
      <c r="A131" s="4140" t="s">
        <v>3859</v>
      </c>
      <c r="B131" s="4031">
        <v>46255</v>
      </c>
      <c r="C131" s="4042" t="str">
        <v>Friday</v>
      </c>
      <c r="D131" s="4028" t="s">
        <v>3865</v>
      </c>
      <c r="E131" s="4046">
        <f t="shared" si="76"/>
      </c>
      <c r="F131" s="4028" t="s">
        <v>3740</v>
      </c>
      <c r="G131" s="4145"/>
      <c r="H131" s="4028" t="s">
        <v>3802</v>
      </c>
      <c r="I131" s="4046" t="s">
        <v>3743</v>
      </c>
      <c r="J131" s="4143" t="s">
        <v>3869</v>
      </c>
      <c r="K131" s="4146"/>
      <c r="L131" s="4146"/>
      <c r="M131" s="4146"/>
      <c r="N131" s="4146"/>
      <c r="O131" s="4146"/>
      <c r="P131" s="4146"/>
      <c r="Q131" s="4076"/>
      <c r="R131" s="4076"/>
      <c r="S131" s="4076"/>
      <c r="T131" s="4076"/>
      <c r="U131" s="4076"/>
      <c r="V131" s="4076"/>
      <c r="W131" s="4076"/>
      <c r="X131" s="4076"/>
      <c r="Y131" s="4076"/>
    </row>
    <row r="132">
      <c r="A132" s="4133" t="s">
        <v>3859</v>
      </c>
      <c r="B132" s="4031">
        <v>46256</v>
      </c>
      <c r="C132" s="4042" t="str">
        <v>Saturday</v>
      </c>
      <c r="D132" s="4047" t="s">
        <v>3870</v>
      </c>
      <c r="E132" s="4024">
        <v>3</v>
      </c>
      <c r="F132" s="4028" t="s">
        <v>3740</v>
      </c>
      <c r="G132" s="4141"/>
      <c r="H132" s="4028" t="s">
        <v>3802</v>
      </c>
      <c r="I132" s="4046" t="s">
        <v>3743</v>
      </c>
      <c r="J132" s="4135"/>
      <c r="K132" s="4077"/>
      <c r="L132" s="4077"/>
      <c r="M132" s="4077"/>
      <c r="N132" s="4077"/>
      <c r="O132" s="4077"/>
      <c r="P132" s="4077"/>
    </row>
    <row customHeight="true" ht="18.452380952380953" r="133">
      <c r="A133" s="4133" t="s">
        <v>3859</v>
      </c>
      <c r="B133" s="4031">
        <v>46256</v>
      </c>
      <c r="C133" s="4042" t="str">
        <v>Saturday</v>
      </c>
      <c r="D133" s="4047" t="s">
        <v>3865</v>
      </c>
      <c r="E133" s="4024">
        <v>3</v>
      </c>
      <c r="F133" s="4028" t="s">
        <v>3740</v>
      </c>
      <c r="G133" s="4141"/>
      <c r="H133" s="4028" t="s">
        <v>3802</v>
      </c>
      <c r="I133" s="4046" t="s">
        <v>3743</v>
      </c>
      <c r="J133" s="4135"/>
      <c r="K133" s="4077"/>
      <c r="L133" s="4077"/>
      <c r="M133" s="4077"/>
      <c r="N133" s="4077"/>
      <c r="O133" s="4077"/>
      <c r="P133" s="4077"/>
    </row>
    <row r="134">
      <c r="A134" s="4133" t="s">
        <v>3859</v>
      </c>
      <c r="B134" s="4031">
        <v>46257</v>
      </c>
      <c r="C134" s="4042" t="str">
        <v>Sunday</v>
      </c>
      <c r="D134" s="4047" t="s">
        <v>3871</v>
      </c>
      <c r="E134" s="4046">
        <f>24*MOD(TIMEVALUE(TRIM(MID(D134,FIND("-",D134)+1,LEN(D134)))) - TIMEVALUE(TRIM(LEFT(D134,FIND("-",D134)-1))),1)</f>
      </c>
      <c r="F134" s="4028" t="s">
        <v>3785</v>
      </c>
      <c r="G134" s="4134"/>
      <c r="H134" s="4028" t="s">
        <v>3802</v>
      </c>
      <c r="I134" s="4046" t="s">
        <v>3743</v>
      </c>
      <c r="J134" s="4135"/>
      <c r="K134" s="4077"/>
      <c r="L134" s="4077"/>
      <c r="M134" s="4077"/>
      <c r="N134" s="4077"/>
      <c r="O134" s="4077"/>
      <c r="P134" s="4077"/>
    </row>
    <row customHeight="true" ht="18.452380952380953" r="135">
      <c r="A135" s="4136" t="s">
        <v>3859</v>
      </c>
      <c r="B135" s="4058">
        <v>46257</v>
      </c>
      <c r="C135" s="4057" t="str">
        <v>Sunday</v>
      </c>
      <c r="D135" s="4059" t="s">
        <v>3872</v>
      </c>
      <c r="E135" s="4059">
        <v>3</v>
      </c>
      <c r="F135" s="4060" t="s">
        <v>3790</v>
      </c>
      <c r="G135" s="4137"/>
      <c r="H135" s="4060" t="s">
        <v>3802</v>
      </c>
      <c r="I135" s="4060" t="s">
        <v>3776</v>
      </c>
      <c r="J135" s="4138"/>
      <c r="K135" s="4139"/>
      <c r="L135" s="4139"/>
      <c r="M135" s="4139"/>
      <c r="N135" s="4139"/>
      <c r="O135" s="4139"/>
      <c r="P135" s="4139"/>
      <c r="Q135" s="4065"/>
      <c r="R135" s="4065"/>
      <c r="S135" s="4065"/>
      <c r="T135" s="4065"/>
      <c r="U135" s="4065"/>
      <c r="V135" s="4065"/>
      <c r="W135" s="4065"/>
      <c r="X135" s="4065"/>
      <c r="Y135" s="4065"/>
    </row>
    <row r="136">
      <c r="A136" s="4133" t="s">
        <v>3873</v>
      </c>
      <c r="B136" s="4031">
        <v>46251</v>
      </c>
      <c r="C136" s="4042" t="str">
        <v>Monday</v>
      </c>
      <c r="D136" s="4047" t="s">
        <v>3874</v>
      </c>
      <c r="E136" s="4046">
        <f t="shared" ref="E136:E146" si="77">24*MOD(TIMEVALUE(TRIM(MID(D136,FIND("-",D136)+1,LEN(D136)))) - TIMEVALUE(TRIM(LEFT(D136,FIND("-",D136)-1))),1)</f>
      </c>
      <c r="F136" s="4028" t="s">
        <v>3875</v>
      </c>
      <c r="G136" s="4147"/>
      <c r="H136" s="4028" t="s">
        <v>3802</v>
      </c>
      <c r="I136" s="4046" t="s">
        <v>3776</v>
      </c>
      <c r="J136" s="4135"/>
      <c r="K136" s="4077"/>
      <c r="L136" s="4077"/>
      <c r="M136" s="4077"/>
      <c r="N136" s="4077"/>
      <c r="O136" s="4077"/>
      <c r="P136" s="4077"/>
    </row>
    <row customHeight="true" ht="18.452380952380953" r="137">
      <c r="A137" s="4133" t="s">
        <v>3873</v>
      </c>
      <c r="B137" s="4031">
        <v>46252</v>
      </c>
      <c r="C137" s="4042" t="str">
        <v>Tuesday</v>
      </c>
      <c r="D137" s="4047" t="s">
        <v>3876</v>
      </c>
      <c r="E137" s="4046">
        <f t="shared" si="77"/>
      </c>
      <c r="F137" s="4028" t="s">
        <v>3877</v>
      </c>
      <c r="G137" s="4147"/>
      <c r="H137" s="4028" t="s">
        <v>3802</v>
      </c>
      <c r="I137" s="4046" t="s">
        <v>3776</v>
      </c>
      <c r="J137" s="4135"/>
      <c r="K137" s="4077"/>
      <c r="L137" s="4077"/>
      <c r="M137" s="4077"/>
      <c r="N137" s="4077"/>
      <c r="O137" s="4077"/>
      <c r="P137" s="4077"/>
    </row>
    <row customHeight="true" ht="18.452380952380953" r="138">
      <c r="A138" s="4133" t="s">
        <v>3873</v>
      </c>
      <c r="B138" s="4031">
        <v>46253</v>
      </c>
      <c r="C138" s="4042" t="str">
        <v>Wednesday</v>
      </c>
      <c r="D138" s="4047" t="s">
        <v>3874</v>
      </c>
      <c r="E138" s="4046">
        <f t="shared" si="77"/>
      </c>
      <c r="F138" s="4028" t="s">
        <v>3875</v>
      </c>
      <c r="G138" s="4147"/>
      <c r="H138" s="4028" t="s">
        <v>3802</v>
      </c>
      <c r="I138" s="4046" t="s">
        <v>3776</v>
      </c>
      <c r="J138" s="4135"/>
      <c r="K138" s="4077"/>
      <c r="L138" s="4077"/>
      <c r="M138" s="4077"/>
      <c r="N138" s="4077"/>
      <c r="O138" s="4077"/>
      <c r="P138" s="4077"/>
    </row>
    <row customHeight="true" ht="18.452380952380953" r="139">
      <c r="A139" s="4133" t="s">
        <v>3873</v>
      </c>
      <c r="B139" s="4031">
        <v>46254</v>
      </c>
      <c r="C139" s="4042" t="str">
        <v>Thursday</v>
      </c>
      <c r="D139" s="4047" t="s">
        <v>3878</v>
      </c>
      <c r="E139" s="4046">
        <f t="shared" si="77"/>
      </c>
      <c r="F139" s="4028" t="s">
        <v>3879</v>
      </c>
      <c r="G139" s="4147"/>
      <c r="H139" s="4028" t="s">
        <v>3802</v>
      </c>
      <c r="I139" s="4046" t="s">
        <v>3776</v>
      </c>
      <c r="J139" s="4135"/>
      <c r="K139" s="4077"/>
      <c r="L139" s="4077"/>
      <c r="M139" s="4077"/>
      <c r="N139" s="4077"/>
      <c r="O139" s="4077"/>
      <c r="P139" s="4077"/>
    </row>
    <row customHeight="true" ht="18.452380952380953" r="140">
      <c r="A140" s="4133" t="s">
        <v>3873</v>
      </c>
      <c r="B140" s="4031">
        <v>46254</v>
      </c>
      <c r="C140" s="4042" t="str">
        <v>Thursday</v>
      </c>
      <c r="D140" s="4047" t="s">
        <v>3792</v>
      </c>
      <c r="E140" s="4046">
        <f t="shared" si="77"/>
      </c>
      <c r="F140" s="4028" t="s">
        <v>3879</v>
      </c>
      <c r="G140" s="4147"/>
      <c r="H140" s="4028" t="s">
        <v>3802</v>
      </c>
      <c r="I140" s="4046" t="s">
        <v>3776</v>
      </c>
      <c r="J140" s="4135"/>
      <c r="K140" s="4077"/>
      <c r="L140" s="4077"/>
      <c r="M140" s="4077"/>
      <c r="N140" s="4077"/>
      <c r="O140" s="4077"/>
      <c r="P140" s="4077"/>
    </row>
    <row customHeight="true" ht="18.452380952380953" r="141">
      <c r="A141" s="4133" t="s">
        <v>3873</v>
      </c>
      <c r="B141" s="4031">
        <v>46255</v>
      </c>
      <c r="C141" s="4042" t="str">
        <v>Friday</v>
      </c>
      <c r="D141" s="4047" t="s">
        <v>3795</v>
      </c>
      <c r="E141" s="4046">
        <f t="shared" si="77"/>
      </c>
      <c r="F141" s="4028" t="s">
        <v>3875</v>
      </c>
      <c r="G141" s="4147"/>
      <c r="H141" s="4028" t="s">
        <v>3802</v>
      </c>
      <c r="I141" s="4046" t="s">
        <v>3776</v>
      </c>
      <c r="J141" s="4135"/>
      <c r="K141" s="4077"/>
      <c r="L141" s="4077"/>
      <c r="M141" s="4077"/>
      <c r="N141" s="4077"/>
      <c r="O141" s="4077"/>
      <c r="P141" s="4077"/>
    </row>
    <row customHeight="true" ht="18.452380952380953" r="142">
      <c r="A142" s="4133" t="s">
        <v>3873</v>
      </c>
      <c r="B142" s="4031">
        <v>46255</v>
      </c>
      <c r="C142" s="4042" t="str">
        <v>Friday</v>
      </c>
      <c r="D142" s="4047" t="s">
        <v>3880</v>
      </c>
      <c r="E142" s="4046">
        <f t="shared" si="77"/>
      </c>
      <c r="F142" s="4028" t="s">
        <v>3881</v>
      </c>
      <c r="G142" s="4147"/>
      <c r="H142" s="4028" t="s">
        <v>3802</v>
      </c>
      <c r="I142" s="4046" t="s">
        <v>3776</v>
      </c>
      <c r="J142" s="4135"/>
      <c r="K142" s="4146"/>
      <c r="L142" s="4146"/>
      <c r="M142" s="4146"/>
      <c r="N142" s="4146"/>
      <c r="O142" s="4146"/>
      <c r="P142" s="4146"/>
      <c r="Q142" s="4076"/>
      <c r="R142" s="4076"/>
      <c r="S142" s="4076"/>
      <c r="T142" s="4076"/>
      <c r="U142" s="4076"/>
      <c r="V142" s="4076"/>
      <c r="W142" s="4076"/>
      <c r="X142" s="4076"/>
      <c r="Y142" s="4076"/>
    </row>
    <row customHeight="true" ht="18.452380952380953" r="143">
      <c r="A143" s="4133" t="s">
        <v>3873</v>
      </c>
      <c r="B143" s="4031">
        <v>46255</v>
      </c>
      <c r="C143" s="4042" t="str">
        <v>Friday</v>
      </c>
      <c r="D143" s="4047" t="s">
        <v>3882</v>
      </c>
      <c r="E143" s="4046">
        <f t="shared" si="77"/>
      </c>
      <c r="F143" s="4028" t="s">
        <v>3756</v>
      </c>
      <c r="G143" s="4147"/>
      <c r="H143" s="4028" t="s">
        <v>3802</v>
      </c>
      <c r="I143" s="4046" t="s">
        <v>3776</v>
      </c>
      <c r="J143" s="4135"/>
      <c r="K143" s="4146"/>
      <c r="L143" s="4146"/>
      <c r="M143" s="4146"/>
      <c r="N143" s="4146"/>
      <c r="O143" s="4146"/>
      <c r="P143" s="4146"/>
      <c r="Q143" s="4076"/>
      <c r="R143" s="4076"/>
      <c r="S143" s="4076"/>
      <c r="T143" s="4076"/>
      <c r="U143" s="4076"/>
      <c r="V143" s="4076"/>
      <c r="W143" s="4076"/>
      <c r="X143" s="4076"/>
      <c r="Y143" s="4076"/>
    </row>
    <row customHeight="true" ht="18.452380952380953" r="144">
      <c r="A144" s="4133" t="s">
        <v>3873</v>
      </c>
      <c r="B144" s="4031">
        <v>46256</v>
      </c>
      <c r="C144" s="4042" t="str">
        <v>Saturday</v>
      </c>
      <c r="D144" s="4047" t="s">
        <v>3883</v>
      </c>
      <c r="E144" s="4046">
        <f t="shared" si="77"/>
      </c>
      <c r="F144" s="4028" t="s">
        <v>3875</v>
      </c>
      <c r="G144" s="4147"/>
      <c r="H144" s="4028" t="s">
        <v>3802</v>
      </c>
      <c r="I144" s="4046" t="s">
        <v>3776</v>
      </c>
      <c r="J144" s="4135"/>
      <c r="K144" s="4077"/>
      <c r="L144" s="4077"/>
      <c r="M144" s="4077"/>
      <c r="N144" s="4077"/>
      <c r="O144" s="4077"/>
      <c r="P144" s="4077"/>
    </row>
    <row customHeight="true" ht="18.452380952380953" r="145">
      <c r="A145" s="4133" t="s">
        <v>3873</v>
      </c>
      <c r="B145" s="4031">
        <v>46256</v>
      </c>
      <c r="C145" s="4042" t="str">
        <v>Saturday</v>
      </c>
      <c r="D145" s="4047" t="s">
        <v>3882</v>
      </c>
      <c r="E145" s="4046">
        <f t="shared" si="77"/>
      </c>
      <c r="F145" s="4028" t="s">
        <v>3875</v>
      </c>
      <c r="G145" s="4147"/>
      <c r="H145" s="4028" t="s">
        <v>3802</v>
      </c>
      <c r="I145" s="4046" t="s">
        <v>3776</v>
      </c>
      <c r="J145" s="4135"/>
      <c r="K145" s="4077"/>
      <c r="L145" s="4077"/>
      <c r="M145" s="4077"/>
      <c r="N145" s="4077"/>
      <c r="O145" s="4077"/>
      <c r="P145" s="4077"/>
    </row>
    <row customHeight="true" ht="18.452380952380953" r="146">
      <c r="A146" s="4133" t="s">
        <v>3873</v>
      </c>
      <c r="B146" s="4031">
        <v>46257</v>
      </c>
      <c r="C146" s="4042" t="str">
        <v>Sunday</v>
      </c>
      <c r="D146" s="4047" t="s">
        <v>3884</v>
      </c>
      <c r="E146" s="4046">
        <f t="shared" si="77"/>
      </c>
      <c r="F146" s="4028" t="s">
        <v>3875</v>
      </c>
      <c r="G146" s="4147"/>
      <c r="H146" s="4028" t="s">
        <v>3802</v>
      </c>
      <c r="I146" s="4046" t="s">
        <v>3776</v>
      </c>
      <c r="J146" s="4148" t="s">
        <v>3885</v>
      </c>
      <c r="K146" s="4077"/>
      <c r="L146" s="4077"/>
      <c r="M146" s="4077"/>
      <c r="N146" s="4077"/>
      <c r="O146" s="4077"/>
      <c r="P146" s="4077"/>
    </row>
    <row customHeight="true" ht="18.452380952380953" r="147">
      <c r="A147" s="4133" t="s">
        <v>3873</v>
      </c>
      <c r="B147" s="4042">
        <v>46257</v>
      </c>
      <c r="C147" s="4042" t="str">
        <v>Sunday</v>
      </c>
      <c r="D147" s="4028" t="s">
        <v>3872</v>
      </c>
      <c r="E147" s="4046">
        <v>3</v>
      </c>
      <c r="F147" s="4028" t="s">
        <v>3875</v>
      </c>
      <c r="G147" s="4147"/>
      <c r="H147" s="4028" t="s">
        <v>3802</v>
      </c>
      <c r="I147" s="4046" t="s">
        <v>3776</v>
      </c>
      <c r="J147" s="4135"/>
      <c r="K147" s="4146"/>
      <c r="L147" s="4146"/>
      <c r="M147" s="4146"/>
      <c r="N147" s="4146"/>
      <c r="O147" s="4146"/>
      <c r="P147" s="4146"/>
      <c r="Q147" s="4076"/>
      <c r="R147" s="4076"/>
      <c r="S147" s="4076"/>
      <c r="T147" s="4076"/>
      <c r="U147" s="4076"/>
      <c r="V147" s="4076"/>
      <c r="W147" s="4076"/>
      <c r="X147" s="4076"/>
      <c r="Y147" s="4076"/>
    </row>
    <row customHeight="true" ht="18.452380952380953" r="148">
      <c r="A148" s="4133" t="s">
        <v>3886</v>
      </c>
      <c r="B148" s="4031">
        <v>46253</v>
      </c>
      <c r="C148" s="4042" t="str">
        <v>Wednesday</v>
      </c>
      <c r="D148" s="4047" t="s">
        <v>3887</v>
      </c>
      <c r="E148" s="4046">
        <f t="shared" ref="E148:E152" si="78">24*MOD(TIMEVALUE(TRIM(MID(D148,FIND("-",D148)+1,LEN(D148)))) - TIMEVALUE(TRIM(LEFT(D148,FIND("-",D148)-1))),1)</f>
      </c>
      <c r="F148" s="4028" t="s">
        <v>3740</v>
      </c>
      <c r="G148" s="4147"/>
      <c r="H148" s="4028" t="s">
        <v>3802</v>
      </c>
      <c r="I148" s="4046" t="s">
        <v>3776</v>
      </c>
      <c r="J148" s="4148"/>
      <c r="K148" s="4077"/>
      <c r="L148" s="4077"/>
      <c r="M148" s="4077"/>
      <c r="N148" s="4077"/>
      <c r="O148" s="4077"/>
      <c r="P148" s="4077"/>
    </row>
    <row customHeight="true" ht="18.452380952380953" r="149">
      <c r="A149" s="4133" t="s">
        <v>3886</v>
      </c>
      <c r="B149" s="4031">
        <v>46254</v>
      </c>
      <c r="C149" s="4042" t="str">
        <v>Thursday</v>
      </c>
      <c r="D149" s="4047" t="s">
        <v>3888</v>
      </c>
      <c r="E149" s="4046">
        <f t="shared" si="78"/>
      </c>
      <c r="F149" s="4028" t="s">
        <v>3740</v>
      </c>
      <c r="G149" s="4147"/>
      <c r="H149" s="4028" t="s">
        <v>3802</v>
      </c>
      <c r="I149" s="4046" t="s">
        <v>3776</v>
      </c>
      <c r="J149" s="4148"/>
      <c r="K149" s="4077"/>
      <c r="L149" s="4077"/>
      <c r="M149" s="4077"/>
      <c r="N149" s="4077"/>
      <c r="O149" s="4077"/>
      <c r="P149" s="4077"/>
    </row>
    <row customHeight="true" ht="18.452380952380953" r="150">
      <c r="A150" s="4133" t="s">
        <v>3886</v>
      </c>
      <c r="B150" s="4031">
        <v>46256</v>
      </c>
      <c r="C150" s="4042" t="str">
        <v>Saturday</v>
      </c>
      <c r="D150" s="4047" t="s">
        <v>3889</v>
      </c>
      <c r="E150" s="4046">
        <f t="shared" si="78"/>
      </c>
      <c r="F150" s="4028" t="s">
        <v>3790</v>
      </c>
      <c r="G150" s="4147"/>
      <c r="H150" s="4028" t="s">
        <v>3802</v>
      </c>
      <c r="I150" s="4046" t="s">
        <v>3776</v>
      </c>
      <c r="J150" s="4148"/>
      <c r="K150" s="4077"/>
      <c r="L150" s="4077"/>
      <c r="M150" s="4077"/>
      <c r="N150" s="4077"/>
      <c r="O150" s="4077"/>
      <c r="P150" s="4077"/>
    </row>
    <row customHeight="true" ht="18.452380952380953" r="151">
      <c r="A151" s="4133" t="s">
        <v>3886</v>
      </c>
      <c r="B151" s="4031">
        <v>46256</v>
      </c>
      <c r="C151" s="4042" t="str">
        <v>Saturday</v>
      </c>
      <c r="D151" s="4047" t="s">
        <v>3890</v>
      </c>
      <c r="E151" s="4046">
        <f t="shared" si="78"/>
      </c>
      <c r="F151" s="4028" t="s">
        <v>3881</v>
      </c>
      <c r="G151" s="4147"/>
      <c r="H151" s="4028" t="s">
        <v>3802</v>
      </c>
      <c r="I151" s="4046" t="s">
        <v>3776</v>
      </c>
      <c r="J151" s="4148"/>
      <c r="K151" s="4077"/>
      <c r="L151" s="4077"/>
      <c r="M151" s="4077"/>
      <c r="N151" s="4077"/>
      <c r="O151" s="4077"/>
      <c r="P151" s="4077"/>
    </row>
    <row customHeight="true" ht="18.452380952380953" r="152">
      <c r="A152" s="4133" t="s">
        <v>3886</v>
      </c>
      <c r="B152" s="4031">
        <v>46257</v>
      </c>
      <c r="C152" s="4042" t="str">
        <v>Sunday</v>
      </c>
      <c r="D152" s="4047" t="s">
        <v>3891</v>
      </c>
      <c r="E152" s="4046">
        <f t="shared" si="78"/>
      </c>
      <c r="F152" s="4028" t="s">
        <v>3881</v>
      </c>
      <c r="G152" s="4147"/>
      <c r="H152" s="4028" t="s">
        <v>3802</v>
      </c>
      <c r="I152" s="4046" t="s">
        <v>3776</v>
      </c>
      <c r="J152" s="4148"/>
      <c r="K152" s="4077"/>
      <c r="L152" s="4077"/>
      <c r="M152" s="4077"/>
      <c r="N152" s="4077"/>
      <c r="O152" s="4077"/>
      <c r="P152" s="4077"/>
    </row>
    <row r="153">
      <c r="A153" s="4149" t="s">
        <v>3892</v>
      </c>
      <c r="B153" s="4149" t="s">
        <v>3860</v>
      </c>
      <c r="C153" s="4149"/>
      <c r="D153" s="4149"/>
      <c r="E153" s="4149"/>
      <c r="F153" s="4149"/>
      <c r="G153" s="4149"/>
      <c r="H153" s="4149"/>
      <c r="I153" s="4149"/>
      <c r="J153" s="4150"/>
      <c r="K153" s="4035"/>
      <c r="L153" s="4035"/>
      <c r="M153" s="4035"/>
      <c r="N153" s="4035"/>
      <c r="O153" s="4035"/>
      <c r="P153" s="4035"/>
    </row>
    <row r="154">
      <c r="A154" s="4151" t="s">
        <v>3762</v>
      </c>
      <c r="B154" s="4152" t="s">
        <v>3763</v>
      </c>
      <c r="C154" s="4152"/>
      <c r="D154" s="4153" t="s">
        <v>3764</v>
      </c>
      <c r="E154" s="4154" t="s">
        <v>3765</v>
      </c>
      <c r="F154" s="4154" t="s">
        <v>3766</v>
      </c>
      <c r="G154" s="4155" t="s">
        <v>3781</v>
      </c>
      <c r="H154" s="4156" t="s">
        <v>3768</v>
      </c>
      <c r="I154" s="4156" t="s">
        <v>3769</v>
      </c>
      <c r="J154" s="4157" t="s">
        <v>3770</v>
      </c>
      <c r="K154" s="4041"/>
      <c r="L154" s="4041"/>
      <c r="M154" s="4041"/>
      <c r="N154" s="4041"/>
      <c r="O154" s="4041"/>
      <c r="P154" s="4041"/>
    </row>
    <row customHeight="true" ht="18.452380952380953" r="155">
      <c r="A155" s="4158" t="s">
        <v>3892</v>
      </c>
      <c r="B155" s="4159">
        <v>46253</v>
      </c>
      <c r="C155" s="4158" t="str">
        <v>Wednesday</v>
      </c>
      <c r="D155" s="4160" t="s">
        <v>3893</v>
      </c>
      <c r="E155" s="4032">
        <f t="shared" ref="E155:E172" si="79">24*MOD(TIMEVALUE(TRIM(MID(D155,FIND("-",D155)+1,LEN(D155)))) - TIMEVALUE(TRIM(LEFT(D155,FIND("-",D155)-1))),1)</f>
      </c>
      <c r="F155" s="4032" t="s">
        <v>3894</v>
      </c>
      <c r="G155" s="4161" t="s">
        <v>3895</v>
      </c>
      <c r="H155" s="4032" t="s">
        <v>3742</v>
      </c>
      <c r="I155" s="4046" t="s">
        <v>3743</v>
      </c>
      <c r="J155" s="4162" t="s">
        <v>3896</v>
      </c>
      <c r="K155" s="4030"/>
      <c r="L155" s="4030"/>
      <c r="M155" s="4030"/>
      <c r="N155" s="4030"/>
      <c r="O155" s="4030"/>
      <c r="P155" s="4030"/>
      <c r="Q155" s="4105"/>
      <c r="R155" s="4105"/>
      <c r="S155" s="4105"/>
      <c r="T155" s="4105"/>
      <c r="U155" s="4105"/>
      <c r="V155" s="4105"/>
      <c r="W155" s="4105"/>
      <c r="X155" s="4105"/>
      <c r="Y155" s="4105"/>
    </row>
    <row customHeight="true" ht="18.452380952380953" r="156">
      <c r="A156" s="4158" t="s">
        <v>3892</v>
      </c>
      <c r="B156" s="4159">
        <v>46255</v>
      </c>
      <c r="C156" s="4158" t="str">
        <v>Friday</v>
      </c>
      <c r="D156" s="4160" t="s">
        <v>3783</v>
      </c>
      <c r="E156" s="4032">
        <f t="shared" si="79"/>
      </c>
      <c r="F156" s="4032" t="s">
        <v>3745</v>
      </c>
      <c r="G156" s="4161" t="s">
        <v>3895</v>
      </c>
      <c r="H156" s="4032" t="s">
        <v>3742</v>
      </c>
      <c r="I156" s="4046" t="s">
        <v>3743</v>
      </c>
      <c r="J156" s="4162"/>
      <c r="K156" s="4030"/>
      <c r="L156" s="4030"/>
      <c r="M156" s="4030"/>
      <c r="N156" s="4030"/>
      <c r="O156" s="4030"/>
      <c r="P156" s="4030"/>
      <c r="Q156" s="4105"/>
      <c r="R156" s="4105"/>
      <c r="S156" s="4105"/>
      <c r="T156" s="4105"/>
      <c r="U156" s="4105"/>
      <c r="V156" s="4105"/>
      <c r="W156" s="4105"/>
      <c r="X156" s="4105"/>
      <c r="Y156" s="4105"/>
    </row>
    <row customHeight="true" ht="18.452380952380953" r="157">
      <c r="A157" s="4042" t="s">
        <v>3892</v>
      </c>
      <c r="B157" s="4159">
        <v>46256</v>
      </c>
      <c r="C157" s="4158" t="str">
        <v>Saturday</v>
      </c>
      <c r="D157" s="4160" t="s">
        <v>3897</v>
      </c>
      <c r="E157" s="4032">
        <f t="shared" si="79"/>
      </c>
      <c r="F157" s="4028" t="s">
        <v>3898</v>
      </c>
      <c r="G157" s="4163" t="s">
        <v>3899</v>
      </c>
      <c r="H157" s="4028" t="s">
        <v>3742</v>
      </c>
      <c r="I157" s="4046" t="s">
        <v>3743</v>
      </c>
      <c r="J157" s="4164"/>
      <c r="K157" s="4030"/>
      <c r="L157" s="4030"/>
      <c r="M157" s="4030"/>
      <c r="N157" s="4030"/>
      <c r="O157" s="4030"/>
      <c r="P157" s="4030"/>
    </row>
    <row customHeight="true" ht="18.452380952380953" r="158">
      <c r="A158" s="4042" t="s">
        <v>3892</v>
      </c>
      <c r="B158" s="4159">
        <v>46257</v>
      </c>
      <c r="C158" s="4158" t="str">
        <v>Sunday</v>
      </c>
      <c r="D158" s="4160" t="s">
        <v>3865</v>
      </c>
      <c r="E158" s="4032">
        <f t="shared" si="79"/>
      </c>
      <c r="F158" s="4028" t="s">
        <v>3898</v>
      </c>
      <c r="G158" s="4163"/>
      <c r="H158" s="4028" t="s">
        <v>3742</v>
      </c>
      <c r="I158" s="4046" t="s">
        <v>3743</v>
      </c>
      <c r="J158" s="4164"/>
      <c r="K158" s="4030"/>
      <c r="L158" s="4030"/>
      <c r="M158" s="4030"/>
      <c r="N158" s="4030"/>
      <c r="O158" s="4030"/>
      <c r="P158" s="4030"/>
    </row>
    <row customHeight="true" ht="16.071428571428573" r="159">
      <c r="A159" s="4042" t="s">
        <v>3900</v>
      </c>
      <c r="B159" s="4159">
        <v>46253</v>
      </c>
      <c r="C159" s="4042" t="str">
        <v>Wednesday</v>
      </c>
      <c r="D159" s="4160" t="s">
        <v>3901</v>
      </c>
      <c r="E159" s="4032">
        <f t="shared" si="79"/>
      </c>
      <c r="F159" s="4165" t="s">
        <v>3902</v>
      </c>
      <c r="G159" s="4166"/>
      <c r="H159" s="4028" t="s">
        <v>3742</v>
      </c>
      <c r="I159" s="4046" t="s">
        <v>3743</v>
      </c>
      <c r="J159" s="4164"/>
      <c r="K159" s="4030"/>
      <c r="L159" s="4030"/>
      <c r="M159" s="4030"/>
      <c r="N159" s="4030"/>
      <c r="O159" s="4030"/>
      <c r="P159" s="4030"/>
    </row>
    <row customHeight="true" ht="16.071428571428573" r="160">
      <c r="A160" s="4042" t="s">
        <v>3900</v>
      </c>
      <c r="B160" s="4159">
        <v>46253</v>
      </c>
      <c r="C160" s="4042" t="str">
        <v>Wednesday</v>
      </c>
      <c r="D160" s="4160" t="s">
        <v>3792</v>
      </c>
      <c r="E160" s="4032">
        <f t="shared" si="79"/>
      </c>
      <c r="F160" s="4165" t="s">
        <v>3903</v>
      </c>
      <c r="G160" s="4166"/>
      <c r="H160" s="4028" t="s">
        <v>3742</v>
      </c>
      <c r="I160" s="4046" t="s">
        <v>3743</v>
      </c>
      <c r="J160" s="4164"/>
      <c r="K160" s="4030"/>
      <c r="L160" s="4030"/>
      <c r="M160" s="4030"/>
      <c r="N160" s="4030"/>
      <c r="O160" s="4030"/>
      <c r="P160" s="4030"/>
    </row>
    <row customHeight="true" ht="16.071428571428573" r="161">
      <c r="A161" s="4042" t="s">
        <v>3900</v>
      </c>
      <c r="B161" s="4159">
        <v>46255</v>
      </c>
      <c r="C161" s="4042" t="str">
        <v>Friday</v>
      </c>
      <c r="D161" s="4160" t="s">
        <v>3904</v>
      </c>
      <c r="E161" s="4032">
        <f t="shared" si="79"/>
      </c>
      <c r="F161" s="4165" t="s">
        <v>3902</v>
      </c>
      <c r="G161" s="4166"/>
      <c r="H161" s="4028" t="s">
        <v>3742</v>
      </c>
      <c r="I161" s="4046" t="s">
        <v>3743</v>
      </c>
      <c r="J161" s="4167" t="s">
        <v>3905</v>
      </c>
      <c r="K161" s="4030"/>
      <c r="L161" s="4030"/>
      <c r="M161" s="4030"/>
      <c r="N161" s="4030"/>
      <c r="O161" s="4030"/>
      <c r="P161" s="4030"/>
    </row>
    <row customHeight="true" ht="16.071428571428573" r="162">
      <c r="A162" s="4042" t="s">
        <v>3900</v>
      </c>
      <c r="B162" s="4159">
        <v>46256</v>
      </c>
      <c r="C162" s="4042" t="str">
        <v>Saturday</v>
      </c>
      <c r="D162" s="4160" t="s">
        <v>3792</v>
      </c>
      <c r="E162" s="4032">
        <f t="shared" si="79"/>
      </c>
      <c r="F162" s="4032" t="s">
        <v>3894</v>
      </c>
      <c r="G162" s="4166"/>
      <c r="H162" s="4028" t="s">
        <v>3742</v>
      </c>
      <c r="I162" s="4046" t="s">
        <v>3743</v>
      </c>
      <c r="J162" s="4164"/>
      <c r="K162" s="4030"/>
      <c r="L162" s="4030"/>
      <c r="M162" s="4030"/>
      <c r="N162" s="4030"/>
      <c r="O162" s="4030"/>
      <c r="P162" s="4030"/>
    </row>
    <row customHeight="true" ht="16.071428571428573" r="163">
      <c r="A163" s="4042" t="s">
        <v>3900</v>
      </c>
      <c r="B163" s="4159">
        <v>46257</v>
      </c>
      <c r="C163" s="4042" t="str">
        <v>Sunday</v>
      </c>
      <c r="D163" s="4160" t="s">
        <v>3906</v>
      </c>
      <c r="E163" s="4032">
        <f t="shared" si="79"/>
      </c>
      <c r="F163" s="4165" t="s">
        <v>3902</v>
      </c>
      <c r="G163" s="4166"/>
      <c r="H163" s="4028" t="s">
        <v>3742</v>
      </c>
      <c r="I163" s="4046" t="s">
        <v>3743</v>
      </c>
      <c r="J163" s="4167" t="s">
        <v>3907</v>
      </c>
      <c r="K163" s="4030"/>
      <c r="L163" s="4030"/>
      <c r="M163" s="4030"/>
      <c r="N163" s="4030"/>
      <c r="O163" s="4030"/>
      <c r="P163" s="4030"/>
    </row>
    <row customHeight="true" ht="16.071428571428573" r="164">
      <c r="A164" s="4042" t="s">
        <v>3900</v>
      </c>
      <c r="B164" s="4159">
        <v>46253</v>
      </c>
      <c r="C164" s="4042" t="str">
        <v>Wednesday</v>
      </c>
      <c r="D164" s="4160" t="s">
        <v>3908</v>
      </c>
      <c r="E164" s="4032">
        <f t="shared" si="79"/>
      </c>
      <c r="F164" s="4165" t="s">
        <v>3902</v>
      </c>
      <c r="G164" s="4166"/>
      <c r="H164" s="4028" t="s">
        <v>3742</v>
      </c>
      <c r="I164" s="4046" t="s">
        <v>3743</v>
      </c>
      <c r="J164" s="4167" t="s">
        <v>3909</v>
      </c>
      <c r="K164" s="4030"/>
      <c r="L164" s="4030"/>
      <c r="M164" s="4030"/>
      <c r="N164" s="4030"/>
      <c r="O164" s="4030"/>
      <c r="P164" s="4030"/>
    </row>
    <row customHeight="true" ht="16.071428571428573" r="165">
      <c r="A165" s="4042" t="s">
        <v>3900</v>
      </c>
      <c r="B165" s="4159">
        <v>46254</v>
      </c>
      <c r="C165" s="4042" t="str">
        <v>Thursday</v>
      </c>
      <c r="D165" s="4160" t="s">
        <v>3910</v>
      </c>
      <c r="E165" s="4032">
        <f t="shared" si="79"/>
      </c>
      <c r="F165" s="4165" t="s">
        <v>3902</v>
      </c>
      <c r="G165" s="4166"/>
      <c r="H165" s="4028" t="s">
        <v>3742</v>
      </c>
      <c r="I165" s="4046" t="s">
        <v>3743</v>
      </c>
      <c r="J165" s="4167" t="s">
        <v>3911</v>
      </c>
      <c r="K165" s="4030"/>
      <c r="L165" s="4030"/>
      <c r="M165" s="4030"/>
      <c r="N165" s="4030"/>
      <c r="O165" s="4030"/>
      <c r="P165" s="4030"/>
    </row>
    <row customHeight="true" ht="16.071428571428573" r="166">
      <c r="A166" s="4042" t="s">
        <v>3900</v>
      </c>
      <c r="B166" s="4031">
        <v>46256</v>
      </c>
      <c r="C166" s="4042" t="str">
        <v>Saturday</v>
      </c>
      <c r="D166" s="4168" t="s">
        <v>3912</v>
      </c>
      <c r="E166" s="4032">
        <f t="shared" si="79"/>
      </c>
      <c r="F166" s="4165" t="s">
        <v>3902</v>
      </c>
      <c r="G166" s="4166"/>
      <c r="H166" s="4028" t="s">
        <v>3742</v>
      </c>
      <c r="I166" s="4046" t="s">
        <v>3743</v>
      </c>
      <c r="J166" s="4167" t="s">
        <v>3913</v>
      </c>
      <c r="K166" s="4030"/>
      <c r="L166" s="4030"/>
      <c r="M166" s="4030"/>
      <c r="N166" s="4030"/>
      <c r="O166" s="4030"/>
      <c r="P166" s="4030"/>
    </row>
    <row customHeight="true" ht="16.071428571428573" r="167">
      <c r="A167" s="4042" t="s">
        <v>3914</v>
      </c>
      <c r="B167" s="4159">
        <v>46253</v>
      </c>
      <c r="C167" s="4042" t="str">
        <v>Wednesday</v>
      </c>
      <c r="D167" s="4047" t="s">
        <v>3915</v>
      </c>
      <c r="E167" s="4032">
        <f t="shared" si="79"/>
      </c>
      <c r="F167" s="4165" t="s">
        <v>3793</v>
      </c>
      <c r="G167" s="4166"/>
      <c r="H167" s="4028" t="s">
        <v>3742</v>
      </c>
      <c r="I167" s="4046" t="s">
        <v>3743</v>
      </c>
      <c r="J167" s="4167" t="s">
        <v>3916</v>
      </c>
      <c r="K167" s="4030"/>
      <c r="L167" s="4030"/>
      <c r="M167" s="4030"/>
      <c r="N167" s="4030"/>
      <c r="O167" s="4030"/>
      <c r="P167" s="4030"/>
    </row>
    <row customHeight="true" ht="16.071428571428573" r="168">
      <c r="A168" s="4042" t="s">
        <v>3914</v>
      </c>
      <c r="B168" s="4159">
        <v>46253</v>
      </c>
      <c r="C168" s="4042" t="str">
        <v>Wednesday</v>
      </c>
      <c r="D168" s="4047" t="s">
        <v>3917</v>
      </c>
      <c r="E168" s="4032">
        <f t="shared" si="79"/>
      </c>
      <c r="F168" s="4032" t="s">
        <v>3745</v>
      </c>
      <c r="G168" s="4166"/>
      <c r="H168" s="4028" t="s">
        <v>3742</v>
      </c>
      <c r="I168" s="4046" t="s">
        <v>3743</v>
      </c>
      <c r="J168" s="4167" t="s">
        <v>3918</v>
      </c>
      <c r="K168" s="4030"/>
      <c r="L168" s="4030"/>
      <c r="M168" s="4030"/>
      <c r="N168" s="4030"/>
      <c r="O168" s="4030"/>
      <c r="P168" s="4030"/>
    </row>
    <row customHeight="true" ht="16.071428571428573" r="169">
      <c r="A169" s="4042" t="s">
        <v>3914</v>
      </c>
      <c r="B169" s="4159">
        <v>46254</v>
      </c>
      <c r="C169" s="4042" t="str">
        <v>Thursday</v>
      </c>
      <c r="D169" s="4047" t="s">
        <v>3917</v>
      </c>
      <c r="E169" s="4032">
        <f t="shared" si="79"/>
      </c>
      <c r="F169" s="4032" t="s">
        <v>3745</v>
      </c>
      <c r="G169" s="4166"/>
      <c r="H169" s="4028" t="s">
        <v>3742</v>
      </c>
      <c r="I169" s="4046" t="s">
        <v>3743</v>
      </c>
      <c r="J169" s="4167" t="s">
        <v>3918</v>
      </c>
      <c r="K169" s="4030"/>
      <c r="L169" s="4030"/>
      <c r="M169" s="4030"/>
      <c r="N169" s="4030"/>
      <c r="O169" s="4030"/>
      <c r="P169" s="4030"/>
    </row>
    <row customHeight="true" ht="16.071428571428573" r="170">
      <c r="A170" s="4042" t="s">
        <v>3914</v>
      </c>
      <c r="B170" s="4159">
        <v>46256</v>
      </c>
      <c r="C170" s="4042" t="str">
        <v>Saturday</v>
      </c>
      <c r="D170" s="4047" t="s">
        <v>3919</v>
      </c>
      <c r="E170" s="4032">
        <f t="shared" si="79"/>
      </c>
      <c r="F170" s="4032" t="s">
        <v>3894</v>
      </c>
      <c r="G170" s="4163" t="s">
        <v>3920</v>
      </c>
      <c r="H170" s="4028" t="s">
        <v>3742</v>
      </c>
      <c r="I170" s="4046" t="s">
        <v>3743</v>
      </c>
      <c r="J170" s="4167" t="s">
        <v>3921</v>
      </c>
      <c r="K170" s="4030"/>
      <c r="L170" s="4030"/>
      <c r="M170" s="4030"/>
      <c r="N170" s="4030"/>
      <c r="O170" s="4030"/>
      <c r="P170" s="4030"/>
    </row>
    <row customHeight="true" ht="16.071428571428573" r="171">
      <c r="A171" s="4042" t="s">
        <v>3914</v>
      </c>
      <c r="B171" s="4159">
        <v>46257</v>
      </c>
      <c r="C171" s="4042" t="str">
        <v>Sunday</v>
      </c>
      <c r="D171" s="4047" t="s">
        <v>3922</v>
      </c>
      <c r="E171" s="4032">
        <f t="shared" si="79"/>
      </c>
      <c r="F171" s="4032" t="s">
        <v>3923</v>
      </c>
      <c r="G171" s="4163"/>
      <c r="H171" s="4028" t="s">
        <v>3802</v>
      </c>
      <c r="I171" s="4046" t="s">
        <v>3743</v>
      </c>
      <c r="J171" s="4167" t="s">
        <v>3924</v>
      </c>
      <c r="K171" s="4030"/>
      <c r="L171" s="4030"/>
      <c r="M171" s="4030"/>
      <c r="N171" s="4030"/>
      <c r="O171" s="4030"/>
      <c r="P171" s="4030"/>
    </row>
    <row customHeight="true" ht="16.071428571428573" r="172">
      <c r="A172" s="4057" t="s">
        <v>3914</v>
      </c>
      <c r="B172" s="4058">
        <v>46253</v>
      </c>
      <c r="C172" s="4057" t="str">
        <v>Wednesday</v>
      </c>
      <c r="D172" s="4059" t="s">
        <v>3915</v>
      </c>
      <c r="E172" s="4060">
        <f t="shared" si="79"/>
      </c>
      <c r="F172" s="4060" t="s">
        <v>3894</v>
      </c>
      <c r="G172" s="4061"/>
      <c r="H172" s="4060" t="s">
        <v>3742</v>
      </c>
      <c r="I172" s="4060" t="s">
        <v>3776</v>
      </c>
      <c r="J172" s="4169" t="s">
        <v>3925</v>
      </c>
      <c r="K172" s="4064"/>
      <c r="L172" s="4064"/>
      <c r="M172" s="4064"/>
      <c r="N172" s="4064"/>
      <c r="O172" s="4064"/>
      <c r="P172" s="4064"/>
      <c r="Q172" s="4065"/>
      <c r="R172" s="4065"/>
      <c r="S172" s="4065"/>
      <c r="T172" s="4065"/>
      <c r="U172" s="4065"/>
      <c r="V172" s="4065"/>
      <c r="W172" s="4065"/>
      <c r="X172" s="4065"/>
      <c r="Y172" s="4065"/>
    </row>
    <row customHeight="true" ht="16.071428571428573" r="173">
      <c r="A173" s="4042"/>
      <c r="B173" s="4031"/>
      <c r="C173" s="4042"/>
      <c r="D173" s="4047"/>
      <c r="E173" s="4028"/>
      <c r="F173" s="4028"/>
      <c r="G173" s="4166"/>
      <c r="H173" s="4028"/>
      <c r="I173" s="4046"/>
      <c r="J173" s="4167"/>
      <c r="K173" s="4030"/>
      <c r="L173" s="4030"/>
      <c r="M173" s="4030"/>
      <c r="N173" s="4030"/>
      <c r="O173" s="4030"/>
      <c r="P173" s="4030"/>
    </row>
    <row customHeight="true" ht="16.071428571428573" r="174">
      <c r="A174" s="4042"/>
      <c r="B174" s="4031"/>
      <c r="C174" s="4042"/>
      <c r="D174" s="4047"/>
      <c r="E174" s="4028"/>
      <c r="F174" s="4028"/>
      <c r="G174" s="4166"/>
      <c r="H174" s="4028"/>
      <c r="I174" s="4046"/>
      <c r="J174" s="4167"/>
      <c r="K174" s="4030"/>
      <c r="L174" s="4030"/>
      <c r="M174" s="4030"/>
      <c r="N174" s="4030"/>
      <c r="O174" s="4030"/>
      <c r="P174" s="4030"/>
    </row>
    <row customHeight="true" ht="16.071428571428573" r="175">
      <c r="A175" s="4042"/>
      <c r="B175" s="4031"/>
      <c r="C175" s="4042"/>
      <c r="D175" s="4047"/>
      <c r="E175" s="4028"/>
      <c r="F175" s="4028"/>
      <c r="G175" s="4166"/>
      <c r="H175" s="4028"/>
      <c r="I175" s="4046"/>
      <c r="J175" s="4167"/>
      <c r="K175" s="4030"/>
      <c r="L175" s="4030"/>
      <c r="M175" s="4030"/>
      <c r="N175" s="4030"/>
      <c r="O175" s="4030"/>
      <c r="P175" s="4030"/>
    </row>
    <row r="176">
      <c r="A176" s="4042"/>
      <c r="B176" s="4042"/>
      <c r="C176" s="4042"/>
      <c r="D176" s="4028"/>
      <c r="E176" s="4028"/>
      <c r="F176" s="4028"/>
      <c r="G176" s="4166"/>
      <c r="H176" s="4028"/>
      <c r="I176" s="4046"/>
      <c r="J176" s="4164"/>
      <c r="K176" s="4030"/>
      <c r="L176" s="4030"/>
      <c r="M176" s="4030"/>
      <c r="N176" s="4030"/>
      <c r="O176" s="4030"/>
      <c r="P176" s="4030"/>
    </row>
    <row r="177">
      <c r="A177" s="4076"/>
      <c r="B177" s="4076"/>
      <c r="C177" s="4076"/>
      <c r="D177" s="4076"/>
      <c r="E177" s="4076"/>
      <c r="F177" s="4076"/>
      <c r="G177" s="4076"/>
      <c r="H177" s="4076"/>
      <c r="I177" s="4076"/>
      <c r="J177" s="4076"/>
      <c r="K177" s="4077"/>
      <c r="L177" s="4077"/>
      <c r="M177" s="4077"/>
      <c r="N177" s="4077"/>
      <c r="O177" s="4077"/>
      <c r="P177" s="4077"/>
    </row>
    <row r="178">
      <c r="A178" s="4170" t="s">
        <v>3926</v>
      </c>
      <c r="B178" s="4170"/>
      <c r="C178" s="4170"/>
      <c r="D178" s="4170"/>
      <c r="E178" s="4170"/>
      <c r="F178" s="4170"/>
      <c r="G178" s="4170"/>
      <c r="H178" s="4170" t="s">
        <v>3927</v>
      </c>
      <c r="I178" s="4170"/>
      <c r="J178" s="4171"/>
      <c r="K178" s="4035"/>
      <c r="L178" s="4035"/>
      <c r="M178" s="4035"/>
      <c r="N178" s="4035"/>
      <c r="O178" s="4035"/>
      <c r="P178" s="4035"/>
    </row>
    <row r="179">
      <c r="A179" s="4172" t="s">
        <v>3762</v>
      </c>
      <c r="B179" s="4173" t="s">
        <v>3763</v>
      </c>
      <c r="C179" s="4173"/>
      <c r="D179" s="4174" t="s">
        <v>3764</v>
      </c>
      <c r="E179" s="4175" t="s">
        <v>3765</v>
      </c>
      <c r="F179" s="4175" t="s">
        <v>3766</v>
      </c>
      <c r="G179" s="4176" t="s">
        <v>3781</v>
      </c>
      <c r="H179" s="4177" t="s">
        <v>3768</v>
      </c>
      <c r="I179" s="4177" t="s">
        <v>3769</v>
      </c>
      <c r="J179" s="4178" t="s">
        <v>3770</v>
      </c>
      <c r="K179" s="4041"/>
      <c r="L179" s="4041"/>
      <c r="M179" s="4041"/>
      <c r="N179" s="4041"/>
      <c r="O179" s="4041"/>
      <c r="P179" s="4041"/>
    </row>
    <row customHeight="true" ht="18.452380952380953" r="180">
      <c r="A180" s="4042" t="s">
        <v>3926</v>
      </c>
      <c r="B180" s="4031">
        <v>46252</v>
      </c>
      <c r="C180" s="4042" t="str">
        <v>Tuesday</v>
      </c>
      <c r="D180" s="4047" t="s">
        <v>3928</v>
      </c>
      <c r="E180" s="4028">
        <f t="shared" ref="E180:E187" si="80">24*MOD(TIMEVALUE(TRIM(MID(D180,FIND("-",D180)+1,LEN(D180)))) - TIMEVALUE(TRIM(LEFT(D180,FIND("-",D180)-1))),1)</f>
      </c>
      <c r="F180" s="4028" t="s">
        <v>3838</v>
      </c>
      <c r="G180" s="4166"/>
      <c r="H180" s="4028" t="s">
        <v>3742</v>
      </c>
      <c r="I180" s="4087" t="s">
        <v>3743</v>
      </c>
      <c r="J180" s="4164"/>
      <c r="K180" s="4030"/>
      <c r="L180" s="4030"/>
      <c r="M180" s="4030"/>
      <c r="N180" s="4030"/>
      <c r="O180" s="4030"/>
      <c r="P180" s="4030"/>
    </row>
    <row customHeight="true" ht="18.452380952380953" r="181">
      <c r="A181" s="4057" t="s">
        <v>3926</v>
      </c>
      <c r="B181" s="4058">
        <v>46253</v>
      </c>
      <c r="C181" s="4057" t="str">
        <v>Wednesday</v>
      </c>
      <c r="D181" s="4060" t="s">
        <v>3928</v>
      </c>
      <c r="E181" s="4060">
        <f t="shared" si="80"/>
      </c>
      <c r="F181" s="4060" t="s">
        <v>3929</v>
      </c>
      <c r="G181" s="4179"/>
      <c r="H181" s="4060" t="s">
        <v>3742</v>
      </c>
      <c r="I181" s="4060" t="s">
        <v>3743</v>
      </c>
      <c r="J181" s="4180"/>
      <c r="K181" s="4064"/>
      <c r="L181" s="4064"/>
      <c r="M181" s="4064"/>
      <c r="N181" s="4064"/>
      <c r="O181" s="4064"/>
      <c r="P181" s="4064"/>
      <c r="Q181" s="4065"/>
      <c r="R181" s="4065"/>
      <c r="S181" s="4065"/>
      <c r="T181" s="4065"/>
      <c r="U181" s="4065"/>
      <c r="V181" s="4065"/>
      <c r="W181" s="4065"/>
      <c r="X181" s="4065"/>
      <c r="Y181" s="4065"/>
    </row>
    <row r="182">
      <c r="A182" s="4042" t="s">
        <v>3926</v>
      </c>
      <c r="B182" s="4031">
        <v>46255</v>
      </c>
      <c r="C182" s="4042" t="str">
        <v>Friday</v>
      </c>
      <c r="D182" s="4047" t="s">
        <v>3928</v>
      </c>
      <c r="E182" s="4028">
        <f t="shared" si="80"/>
      </c>
      <c r="F182" s="4028" t="s">
        <v>3877</v>
      </c>
      <c r="G182" s="4166"/>
      <c r="H182" s="4028" t="s">
        <v>3742</v>
      </c>
      <c r="I182" s="4046" t="s">
        <v>3743</v>
      </c>
      <c r="J182" s="4164"/>
      <c r="K182" s="4030"/>
      <c r="L182" s="4030"/>
      <c r="M182" s="4030"/>
      <c r="N182" s="4030"/>
      <c r="O182" s="4030"/>
      <c r="P182" s="4030"/>
    </row>
    <row customHeight="true" ht="18.452380952380953" r="183">
      <c r="A183" s="4042" t="s">
        <v>3926</v>
      </c>
      <c r="B183" s="4031">
        <v>46257</v>
      </c>
      <c r="C183" s="4042" t="str">
        <v>Sunday</v>
      </c>
      <c r="D183" s="4047" t="s">
        <v>3928</v>
      </c>
      <c r="E183" s="4028">
        <f t="shared" si="80"/>
      </c>
      <c r="F183" s="4028" t="s">
        <v>3838</v>
      </c>
      <c r="G183" s="4166"/>
      <c r="H183" s="4028" t="s">
        <v>3742</v>
      </c>
      <c r="I183" s="4087" t="s">
        <v>3743</v>
      </c>
      <c r="J183" s="4164"/>
      <c r="K183" s="4030"/>
      <c r="L183" s="4030"/>
      <c r="M183" s="4030"/>
      <c r="N183" s="4030"/>
      <c r="O183" s="4030"/>
      <c r="P183" s="4030"/>
    </row>
    <row r="184">
      <c r="A184" s="4042" t="s">
        <v>3930</v>
      </c>
      <c r="B184" s="4031">
        <v>46245</v>
      </c>
      <c r="C184" s="4042" t="str">
        <v>Tuesday</v>
      </c>
      <c r="D184" s="4047" t="s">
        <v>3928</v>
      </c>
      <c r="E184" s="4028">
        <f t="shared" si="80"/>
      </c>
      <c r="F184" s="4028" t="s">
        <v>3877</v>
      </c>
      <c r="G184" s="4163"/>
      <c r="H184" s="4028" t="s">
        <v>3742</v>
      </c>
      <c r="I184" s="4046" t="s">
        <v>3743</v>
      </c>
      <c r="J184" s="4164"/>
      <c r="K184" s="4030"/>
      <c r="L184" s="4030"/>
      <c r="M184" s="4030"/>
      <c r="N184" s="4030"/>
      <c r="O184" s="4030"/>
      <c r="P184" s="4030"/>
    </row>
    <row customHeight="true" ht="18.452380952380953" r="185">
      <c r="A185" s="4042" t="s">
        <v>3930</v>
      </c>
      <c r="B185" s="4031">
        <v>46246</v>
      </c>
      <c r="C185" s="4042" t="str">
        <v>Wednesday</v>
      </c>
      <c r="D185" s="4047" t="s">
        <v>3928</v>
      </c>
      <c r="E185" s="4028">
        <f t="shared" si="80"/>
      </c>
      <c r="F185" s="4028" t="s">
        <v>3875</v>
      </c>
      <c r="G185" s="4163"/>
      <c r="H185" s="4028" t="s">
        <v>3742</v>
      </c>
      <c r="I185" s="4046" t="s">
        <v>3743</v>
      </c>
      <c r="J185" s="4164"/>
      <c r="K185" s="4030"/>
      <c r="L185" s="4030"/>
      <c r="M185" s="4030"/>
      <c r="N185" s="4030"/>
      <c r="O185" s="4030"/>
      <c r="P185" s="4030"/>
    </row>
    <row customHeight="true" ht="18.452380952380953" r="186">
      <c r="A186" s="4042" t="s">
        <v>3930</v>
      </c>
      <c r="B186" s="4031">
        <v>46248</v>
      </c>
      <c r="C186" s="4042" t="str">
        <v>Friday</v>
      </c>
      <c r="D186" s="4047" t="s">
        <v>3931</v>
      </c>
      <c r="E186" s="4028">
        <f t="shared" si="80"/>
      </c>
      <c r="F186" s="4028" t="s">
        <v>3881</v>
      </c>
      <c r="G186" s="4166"/>
      <c r="H186" s="4028" t="s">
        <v>3742</v>
      </c>
      <c r="I186" s="4046" t="s">
        <v>3743</v>
      </c>
      <c r="J186" s="4164"/>
      <c r="K186" s="4123"/>
      <c r="L186" s="4123"/>
      <c r="M186" s="4123"/>
      <c r="N186" s="4123"/>
      <c r="O186" s="4123"/>
      <c r="P186" s="4123"/>
      <c r="Q186" s="4076"/>
      <c r="R186" s="4076"/>
      <c r="S186" s="4076"/>
      <c r="T186" s="4076"/>
      <c r="U186" s="4076"/>
      <c r="V186" s="4076"/>
      <c r="W186" s="4076"/>
      <c r="X186" s="4076"/>
      <c r="Y186" s="4076"/>
    </row>
    <row customHeight="true" ht="18.452380952380953" r="187">
      <c r="A187" s="4042" t="s">
        <v>3930</v>
      </c>
      <c r="B187" s="4031">
        <v>46250</v>
      </c>
      <c r="C187" s="4042" t="str">
        <v>Sunday</v>
      </c>
      <c r="D187" s="4047" t="s">
        <v>3932</v>
      </c>
      <c r="E187" s="4028">
        <f t="shared" si="80"/>
      </c>
      <c r="F187" s="4028" t="s">
        <v>3875</v>
      </c>
      <c r="G187" s="4166"/>
      <c r="H187" s="4028" t="s">
        <v>3742</v>
      </c>
      <c r="I187" s="4046" t="s">
        <v>3743</v>
      </c>
      <c r="J187" s="4181"/>
      <c r="K187" s="4182"/>
      <c r="L187" s="4182"/>
      <c r="M187" s="4182"/>
      <c r="N187" s="4182"/>
      <c r="O187" s="4123"/>
      <c r="P187" s="4123"/>
      <c r="Q187" s="4123"/>
      <c r="R187" s="4123"/>
      <c r="S187" s="4123"/>
      <c r="T187" s="4123"/>
      <c r="U187" s="4076"/>
      <c r="V187" s="4076"/>
      <c r="W187" s="4076"/>
      <c r="X187" s="4076"/>
      <c r="Y187" s="4076"/>
    </row>
    <row r="188">
      <c r="A188" s="4183" t="s">
        <v>3933</v>
      </c>
      <c r="B188" s="4183"/>
      <c r="C188" s="4183"/>
      <c r="D188" s="4183"/>
      <c r="E188" s="4183"/>
      <c r="F188" s="4183"/>
      <c r="G188" s="4183"/>
      <c r="H188" s="4183"/>
      <c r="I188" s="4183"/>
      <c r="J188" s="4184"/>
      <c r="K188" s="4035"/>
      <c r="L188" s="4035"/>
      <c r="M188" s="4035"/>
      <c r="N188" s="4035"/>
      <c r="O188" s="4035"/>
      <c r="P188" s="4035"/>
    </row>
    <row r="189">
      <c r="A189" s="4185" t="s">
        <v>3762</v>
      </c>
      <c r="B189" s="4186" t="s">
        <v>3763</v>
      </c>
      <c r="C189" s="4186"/>
      <c r="D189" s="4187" t="s">
        <v>3764</v>
      </c>
      <c r="E189" s="4188" t="s">
        <v>3765</v>
      </c>
      <c r="F189" s="4188" t="s">
        <v>3766</v>
      </c>
      <c r="G189" s="4189" t="s">
        <v>3781</v>
      </c>
      <c r="H189" s="4190" t="s">
        <v>3768</v>
      </c>
      <c r="I189" s="4190" t="s">
        <v>3769</v>
      </c>
      <c r="J189" s="4191" t="s">
        <v>3770</v>
      </c>
      <c r="K189" s="4041"/>
      <c r="L189" s="4041"/>
      <c r="M189" s="4041"/>
      <c r="N189" s="4041"/>
      <c r="O189" s="4041"/>
      <c r="P189" s="4041"/>
    </row>
    <row customHeight="true" ht="18.452380952380953" r="190">
      <c r="A190" s="4042" t="s">
        <v>3933</v>
      </c>
      <c r="B190" s="4031">
        <v>46251</v>
      </c>
      <c r="C190" s="4042" t="str">
        <v>Monday</v>
      </c>
      <c r="D190" s="4024" t="s">
        <v>3934</v>
      </c>
      <c r="E190" s="4046">
        <v>3</v>
      </c>
      <c r="F190" s="4192" t="s">
        <v>3935</v>
      </c>
      <c r="G190" s="4163"/>
      <c r="H190" s="4028" t="s">
        <v>3742</v>
      </c>
      <c r="I190" s="4087" t="s">
        <v>3743</v>
      </c>
      <c r="J190" s="4164"/>
      <c r="K190" s="4030"/>
      <c r="L190" s="4030"/>
      <c r="M190" s="4030"/>
      <c r="N190" s="4030"/>
      <c r="O190" s="4030"/>
      <c r="P190" s="4030"/>
    </row>
    <row customHeight="true" ht="18.452380952380953" r="191">
      <c r="A191" s="4057" t="s">
        <v>3933</v>
      </c>
      <c r="B191" s="4058">
        <v>46252</v>
      </c>
      <c r="C191" s="4057" t="str">
        <v>Tuesday</v>
      </c>
      <c r="D191" s="4059" t="s">
        <v>3936</v>
      </c>
      <c r="E191" s="4059">
        <v>2</v>
      </c>
      <c r="F191" s="4193" t="s">
        <v>3845</v>
      </c>
      <c r="G191" s="4194"/>
      <c r="H191" s="4060" t="s">
        <v>3742</v>
      </c>
      <c r="I191" s="4102" t="s">
        <v>3743</v>
      </c>
      <c r="J191" s="4180"/>
      <c r="K191" s="4064"/>
      <c r="L191" s="4064"/>
      <c r="M191" s="4064"/>
      <c r="N191" s="4064"/>
      <c r="O191" s="4064"/>
      <c r="P191" s="4064"/>
      <c r="Q191" s="4065"/>
      <c r="R191" s="4065"/>
      <c r="S191" s="4065"/>
      <c r="T191" s="4065"/>
      <c r="U191" s="4065"/>
      <c r="V191" s="4065"/>
      <c r="W191" s="4065"/>
      <c r="X191" s="4065"/>
      <c r="Y191" s="4065"/>
    </row>
    <row customHeight="true" ht="18.452380952380953" r="192">
      <c r="A192" s="4042" t="s">
        <v>3933</v>
      </c>
      <c r="B192" s="4031">
        <v>46253</v>
      </c>
      <c r="C192" s="4042" t="str">
        <v>Wednesday</v>
      </c>
      <c r="D192" s="4024" t="s">
        <v>3936</v>
      </c>
      <c r="E192" s="4046">
        <v>3</v>
      </c>
      <c r="F192" s="4192" t="s">
        <v>3929</v>
      </c>
      <c r="G192" s="4163"/>
      <c r="H192" s="4028" t="s">
        <v>3742</v>
      </c>
      <c r="I192" s="4087" t="s">
        <v>3743</v>
      </c>
      <c r="J192" s="4164"/>
      <c r="K192" s="4030"/>
      <c r="L192" s="4030"/>
      <c r="M192" s="4030"/>
      <c r="N192" s="4030"/>
      <c r="O192" s="4030"/>
      <c r="P192" s="4030"/>
    </row>
    <row r="193">
      <c r="A193" s="4042" t="s">
        <v>3933</v>
      </c>
      <c r="B193" s="4031">
        <v>46254</v>
      </c>
      <c r="C193" s="4042" t="str">
        <v>Thursday</v>
      </c>
      <c r="D193" s="4024" t="s">
        <v>3937</v>
      </c>
      <c r="E193" s="4046">
        <v>3</v>
      </c>
      <c r="F193" s="4165" t="s">
        <v>3845</v>
      </c>
      <c r="G193" s="4163"/>
      <c r="H193" s="4028" t="s">
        <v>3742</v>
      </c>
      <c r="I193" s="4087" t="s">
        <v>3743</v>
      </c>
      <c r="J193" s="4164"/>
      <c r="K193" s="4030"/>
      <c r="L193" s="4030"/>
      <c r="M193" s="4030"/>
      <c r="N193" s="4030"/>
      <c r="O193" s="4030"/>
      <c r="P193" s="4030"/>
    </row>
    <row customHeight="true" ht="18.105158730161076" r="194">
      <c r="A194" s="4042" t="s">
        <v>3933</v>
      </c>
      <c r="B194" s="4031">
        <v>46255</v>
      </c>
      <c r="C194" s="4042" t="str">
        <v>Friday</v>
      </c>
      <c r="D194" s="4024" t="s">
        <v>3936</v>
      </c>
      <c r="E194" s="4046">
        <v>3</v>
      </c>
      <c r="F194" s="4165" t="s">
        <v>3845</v>
      </c>
      <c r="G194" s="4163"/>
      <c r="H194" s="4028" t="s">
        <v>3742</v>
      </c>
      <c r="I194" s="4087" t="s">
        <v>3743</v>
      </c>
      <c r="J194" s="4164"/>
      <c r="K194" s="4030"/>
      <c r="L194" s="4030"/>
      <c r="M194" s="4030"/>
      <c r="N194" s="4030"/>
      <c r="O194" s="4030"/>
      <c r="P194" s="4030"/>
    </row>
    <row customHeight="true" ht="18.452380952380953" r="195">
      <c r="A195" s="4042" t="s">
        <v>3938</v>
      </c>
      <c r="B195" s="4031">
        <v>46244</v>
      </c>
      <c r="C195" s="4042" t="str">
        <v>Monday</v>
      </c>
      <c r="D195" s="4024" t="s">
        <v>3939</v>
      </c>
      <c r="E195" s="4046">
        <v>3</v>
      </c>
      <c r="F195" s="4028" t="s">
        <v>3793</v>
      </c>
      <c r="G195" s="4163"/>
      <c r="H195" s="4028" t="s">
        <v>3742</v>
      </c>
      <c r="I195" s="4087" t="s">
        <v>3743</v>
      </c>
      <c r="J195" s="4164"/>
      <c r="K195" s="4030"/>
      <c r="L195" s="4030"/>
      <c r="M195" s="4030"/>
      <c r="N195" s="4030"/>
      <c r="O195" s="4030"/>
      <c r="P195" s="4030"/>
    </row>
    <row customHeight="true" ht="18.452380952380953" r="196">
      <c r="A196" s="4057" t="s">
        <v>3938</v>
      </c>
      <c r="B196" s="4058">
        <v>46252</v>
      </c>
      <c r="C196" s="4057" t="str">
        <v>Tuesday</v>
      </c>
      <c r="D196" s="4059" t="s">
        <v>3936</v>
      </c>
      <c r="E196" s="4060">
        <v>3</v>
      </c>
      <c r="F196" s="4193" t="s">
        <v>3877</v>
      </c>
      <c r="G196" s="4194"/>
      <c r="H196" s="4060" t="s">
        <v>3742</v>
      </c>
      <c r="I196" s="4102" t="s">
        <v>3743</v>
      </c>
      <c r="J196" s="4180"/>
      <c r="K196" s="4064"/>
      <c r="L196" s="4064"/>
      <c r="M196" s="4064"/>
      <c r="N196" s="4064"/>
      <c r="O196" s="4064"/>
      <c r="P196" s="4064"/>
      <c r="Q196" s="4065"/>
      <c r="R196" s="4065"/>
      <c r="S196" s="4065"/>
      <c r="T196" s="4065"/>
      <c r="U196" s="4065"/>
      <c r="V196" s="4065"/>
      <c r="W196" s="4065"/>
      <c r="X196" s="4065"/>
      <c r="Y196" s="4065"/>
    </row>
    <row customHeight="true" ht="18.452380952380953" r="197">
      <c r="A197" s="4042" t="s">
        <v>3938</v>
      </c>
      <c r="B197" s="4159">
        <v>46253</v>
      </c>
      <c r="C197" s="4042" t="str">
        <v>Wednesday</v>
      </c>
      <c r="D197" s="4024" t="s">
        <v>3936</v>
      </c>
      <c r="E197" s="4046">
        <v>3</v>
      </c>
      <c r="F197" s="4043" t="s">
        <v>3877</v>
      </c>
      <c r="G197" s="4163"/>
      <c r="H197" s="4028" t="s">
        <v>3742</v>
      </c>
      <c r="I197" s="4087" t="s">
        <v>3743</v>
      </c>
      <c r="J197" s="4164"/>
      <c r="K197" s="4030"/>
      <c r="L197" s="4030"/>
      <c r="M197" s="4030"/>
      <c r="N197" s="4030"/>
      <c r="O197" s="4030"/>
      <c r="P197" s="4030"/>
    </row>
    <row customHeight="true" ht="18.452380952380953" r="198">
      <c r="A198" s="4042" t="s">
        <v>3938</v>
      </c>
      <c r="B198" s="4031">
        <v>46254</v>
      </c>
      <c r="C198" s="4042" t="str">
        <v>Thursday</v>
      </c>
      <c r="D198" s="4024" t="s">
        <v>3937</v>
      </c>
      <c r="E198" s="4046">
        <v>3</v>
      </c>
      <c r="F198" s="4028" t="s">
        <v>3793</v>
      </c>
      <c r="G198" s="4163"/>
      <c r="H198" s="4028" t="s">
        <v>3742</v>
      </c>
      <c r="I198" s="4087" t="s">
        <v>3743</v>
      </c>
      <c r="J198" s="4164"/>
      <c r="K198" s="4030"/>
      <c r="L198" s="4030"/>
      <c r="M198" s="4030"/>
      <c r="N198" s="4030"/>
      <c r="O198" s="4030"/>
      <c r="P198" s="4030"/>
    </row>
    <row customHeight="true" ht="18.452380952380953" r="199">
      <c r="A199" s="4057" t="s">
        <v>3938</v>
      </c>
      <c r="B199" s="4058">
        <v>46255</v>
      </c>
      <c r="C199" s="4057" t="str">
        <v>Friday</v>
      </c>
      <c r="D199" s="4059" t="s">
        <v>3936</v>
      </c>
      <c r="E199" s="4060">
        <v>3</v>
      </c>
      <c r="F199" s="4060" t="s">
        <v>3877</v>
      </c>
      <c r="G199" s="4061"/>
      <c r="H199" s="4060" t="s">
        <v>3742</v>
      </c>
      <c r="I199" s="4102" t="s">
        <v>3743</v>
      </c>
      <c r="J199" s="4180"/>
      <c r="K199" s="4064"/>
      <c r="L199" s="4064"/>
      <c r="M199" s="4064"/>
      <c r="N199" s="4064"/>
      <c r="O199" s="4064"/>
      <c r="P199" s="4064"/>
      <c r="Q199" s="4065"/>
      <c r="R199" s="4065"/>
      <c r="S199" s="4065"/>
      <c r="T199" s="4065"/>
      <c r="U199" s="4065"/>
      <c r="V199" s="4065"/>
      <c r="W199" s="4065"/>
      <c r="X199" s="4065"/>
      <c r="Y199" s="4065"/>
    </row>
    <row customHeight="true" ht="18.452380952380953" r="200">
      <c r="A200" s="4042" t="s">
        <v>3938</v>
      </c>
      <c r="B200" s="4159">
        <v>46255</v>
      </c>
      <c r="C200" s="4042" t="str">
        <v>Friday</v>
      </c>
      <c r="D200" s="4024" t="s">
        <v>3936</v>
      </c>
      <c r="E200" s="4046">
        <v>3</v>
      </c>
      <c r="F200" s="4028" t="s">
        <v>3875</v>
      </c>
      <c r="G200" s="4163"/>
      <c r="H200" s="4028" t="s">
        <v>3742</v>
      </c>
      <c r="I200" s="4087" t="s">
        <v>3743</v>
      </c>
      <c r="J200" s="4164"/>
      <c r="K200" s="4030"/>
      <c r="L200" s="4030"/>
      <c r="M200" s="4030"/>
      <c r="N200" s="4030"/>
      <c r="O200" s="4030"/>
      <c r="P200" s="4030"/>
    </row>
    <row r="201">
      <c r="A201" s="4195" t="s">
        <v>3940</v>
      </c>
      <c r="B201" s="4195"/>
      <c r="C201" s="4195"/>
      <c r="D201" s="4195"/>
      <c r="E201" s="4196"/>
      <c r="F201" s="4195"/>
      <c r="G201" s="4196"/>
      <c r="H201" s="4195"/>
      <c r="I201" s="4195"/>
      <c r="J201" s="4197"/>
      <c r="K201" s="4035"/>
      <c r="L201" s="4035"/>
      <c r="M201" s="4035"/>
      <c r="N201" s="4035"/>
      <c r="O201" s="4035"/>
      <c r="P201" s="4035"/>
    </row>
    <row r="202">
      <c r="A202" s="4198" t="s">
        <v>3762</v>
      </c>
      <c r="B202" s="4199" t="s">
        <v>3763</v>
      </c>
      <c r="C202" s="4199"/>
      <c r="D202" s="4200" t="s">
        <v>3764</v>
      </c>
      <c r="E202" s="4201" t="s">
        <v>3765</v>
      </c>
      <c r="F202" s="4201" t="s">
        <v>3766</v>
      </c>
      <c r="G202" s="4202" t="s">
        <v>3781</v>
      </c>
      <c r="H202" s="4203" t="s">
        <v>3768</v>
      </c>
      <c r="I202" s="4203" t="s">
        <v>3769</v>
      </c>
      <c r="J202" s="4204" t="s">
        <v>3770</v>
      </c>
      <c r="K202" s="4041"/>
      <c r="L202" s="4041"/>
      <c r="M202" s="4041"/>
      <c r="N202" s="4041"/>
      <c r="O202" s="4041"/>
      <c r="P202" s="4041"/>
    </row>
    <row r="203">
      <c r="A203" s="4042"/>
      <c r="B203" s="4042"/>
      <c r="C203" s="4042"/>
      <c r="D203" s="4028"/>
      <c r="E203" s="4028"/>
      <c r="F203" s="4028"/>
      <c r="G203" s="4166"/>
      <c r="H203" s="4028"/>
      <c r="I203" s="4046"/>
      <c r="J203" s="4164"/>
      <c r="K203" s="4030"/>
      <c r="L203" s="4030"/>
      <c r="M203" s="4030"/>
      <c r="N203" s="4030"/>
      <c r="O203" s="4030"/>
      <c r="P203" s="4030"/>
    </row>
    <row customHeight="true" ht="29.373593256935326" r="204">
      <c r="A204" s="4205" t="s">
        <v>3941</v>
      </c>
      <c r="B204" s="4206"/>
      <c r="C204" s="4206"/>
      <c r="D204" s="4206"/>
      <c r="E204" s="4207"/>
      <c r="F204" s="4206"/>
      <c r="G204" s="4207"/>
      <c r="H204" s="4206"/>
      <c r="I204" s="4206"/>
      <c r="J204" s="4208"/>
      <c r="K204" s="4035"/>
      <c r="L204" s="4035"/>
      <c r="M204" s="4035"/>
      <c r="N204" s="4035"/>
      <c r="O204" s="4035"/>
      <c r="P204" s="4035"/>
    </row>
    <row customHeight="true" ht="30.357142857142858" r="205">
      <c r="A205" s="4209" t="s">
        <v>3762</v>
      </c>
      <c r="B205" s="4210" t="s">
        <v>3763</v>
      </c>
      <c r="C205" s="4210"/>
      <c r="D205" s="4211" t="s">
        <v>3764</v>
      </c>
      <c r="E205" s="4212" t="s">
        <v>3765</v>
      </c>
      <c r="F205" s="4212" t="s">
        <v>3766</v>
      </c>
      <c r="G205" s="4213" t="s">
        <v>3781</v>
      </c>
      <c r="H205" s="4214" t="s">
        <v>3768</v>
      </c>
      <c r="I205" s="4214" t="s">
        <v>3769</v>
      </c>
      <c r="J205" s="4215" t="s">
        <v>3770</v>
      </c>
      <c r="K205" s="4041"/>
      <c r="L205" s="4041"/>
      <c r="M205" s="4041"/>
      <c r="N205" s="4041"/>
      <c r="O205" s="4041"/>
      <c r="P205" s="4041"/>
    </row>
    <row customHeight="true" ht="16.071428571428573" r="206">
      <c r="A206" s="4042" t="s">
        <v>3942</v>
      </c>
      <c r="B206" s="4031">
        <v>46253</v>
      </c>
      <c r="C206" s="4042" t="str">
        <v>Wednesday</v>
      </c>
      <c r="D206" s="4160" t="s">
        <v>3867</v>
      </c>
      <c r="E206" s="4047">
        <v>3</v>
      </c>
      <c r="F206" s="4028" t="s">
        <v>3943</v>
      </c>
      <c r="G206" s="4163" t="s">
        <v>3944</v>
      </c>
      <c r="H206" s="4032" t="s">
        <v>3802</v>
      </c>
      <c r="I206" s="4046" t="s">
        <v>3743</v>
      </c>
      <c r="J206" s="4164"/>
      <c r="K206" s="4030"/>
      <c r="L206" s="4030"/>
      <c r="M206" s="4030"/>
      <c r="N206" s="4030"/>
      <c r="O206" s="4030"/>
      <c r="P206" s="4030"/>
    </row>
    <row customHeight="true" ht="16.071428571428573" r="207">
      <c r="A207" s="4042" t="s">
        <v>3942</v>
      </c>
      <c r="B207" s="4031">
        <v>46255</v>
      </c>
      <c r="C207" s="4042" t="str">
        <v>Friday</v>
      </c>
      <c r="D207" s="4024" t="s">
        <v>3945</v>
      </c>
      <c r="E207" s="4047">
        <v>2</v>
      </c>
      <c r="F207" s="4028" t="s">
        <v>3946</v>
      </c>
      <c r="G207" s="4163" t="s">
        <v>3944</v>
      </c>
      <c r="H207" s="4032" t="s">
        <v>3802</v>
      </c>
      <c r="I207" s="4046" t="s">
        <v>3743</v>
      </c>
      <c r="J207" s="4164"/>
      <c r="K207" s="4030"/>
      <c r="L207" s="4030"/>
      <c r="M207" s="4030"/>
      <c r="N207" s="4030"/>
      <c r="O207" s="4030"/>
      <c r="P207" s="4030"/>
    </row>
    <row customHeight="true" ht="16.071428571428573" r="208">
      <c r="A208" s="4042" t="s">
        <v>3942</v>
      </c>
      <c r="B208" s="4031">
        <v>46257</v>
      </c>
      <c r="C208" s="4042" t="str">
        <v>Sunday</v>
      </c>
      <c r="D208" s="4160" t="s">
        <v>3947</v>
      </c>
      <c r="E208" s="4047">
        <v>3</v>
      </c>
      <c r="F208" s="4028" t="s">
        <v>3948</v>
      </c>
      <c r="G208" s="4163" t="s">
        <v>3944</v>
      </c>
      <c r="H208" s="4032" t="s">
        <v>3802</v>
      </c>
      <c r="I208" s="4046" t="s">
        <v>3743</v>
      </c>
      <c r="J208" s="4164"/>
      <c r="K208" s="4030"/>
      <c r="L208" s="4030"/>
      <c r="M208" s="4030"/>
      <c r="N208" s="4030"/>
      <c r="O208" s="4030"/>
      <c r="P208" s="4030"/>
    </row>
    <row customHeight="true" ht="16.071428571428573" r="209">
      <c r="A209" s="4042"/>
      <c r="B209" s="4031"/>
      <c r="C209" s="4042"/>
      <c r="D209" s="4047"/>
      <c r="E209" s="4047"/>
      <c r="F209" s="4046"/>
      <c r="G209" s="4163"/>
      <c r="H209" s="4028"/>
      <c r="I209" s="4046"/>
      <c r="J209" s="4164"/>
      <c r="K209" s="4030"/>
      <c r="L209" s="4030"/>
      <c r="M209" s="4030"/>
      <c r="N209" s="4030"/>
      <c r="O209" s="4030"/>
      <c r="P209" s="4030"/>
    </row>
    <row customHeight="true" ht="16.071428571428573" r="210">
      <c r="A210" s="4158" t="s">
        <v>3949</v>
      </c>
      <c r="B210" s="4159">
        <v>46251</v>
      </c>
      <c r="C210" s="4158" t="s">
        <v>3744</v>
      </c>
      <c r="D210" s="4160" t="s">
        <v>3950</v>
      </c>
      <c r="E210" s="4160">
        <v>1</v>
      </c>
      <c r="F210" s="4032" t="s">
        <v>3948</v>
      </c>
      <c r="G210" s="4161" t="s">
        <v>3944</v>
      </c>
      <c r="H210" s="4032" t="s">
        <v>3802</v>
      </c>
      <c r="I210" s="4032" t="s">
        <v>3743</v>
      </c>
      <c r="J210" s="4162"/>
      <c r="K210" s="4030"/>
      <c r="L210" s="4030"/>
      <c r="M210" s="4030"/>
      <c r="N210" s="4030"/>
      <c r="O210" s="4030"/>
      <c r="P210" s="4030"/>
      <c r="Q210" s="4105"/>
      <c r="R210" s="4105"/>
      <c r="S210" s="4105"/>
      <c r="T210" s="4105"/>
      <c r="U210" s="4105"/>
      <c r="V210" s="4105"/>
      <c r="W210" s="4105"/>
      <c r="X210" s="4105"/>
      <c r="Y210" s="4105"/>
    </row>
    <row customHeight="true" ht="16.071428571428573" r="211">
      <c r="A211" s="4042" t="s">
        <v>3949</v>
      </c>
      <c r="B211" s="4031">
        <v>46253</v>
      </c>
      <c r="C211" s="4042" t="str">
        <v>Wednesday</v>
      </c>
      <c r="D211" s="4024" t="s">
        <v>3951</v>
      </c>
      <c r="E211" s="4047">
        <v>1</v>
      </c>
      <c r="F211" s="4028" t="s">
        <v>3948</v>
      </c>
      <c r="G211" s="4161" t="s">
        <v>3944</v>
      </c>
      <c r="H211" s="4032" t="s">
        <v>3802</v>
      </c>
      <c r="I211" s="4046" t="s">
        <v>3743</v>
      </c>
      <c r="J211" s="4167"/>
      <c r="K211" s="4030"/>
      <c r="L211" s="4030"/>
      <c r="M211" s="4030"/>
      <c r="N211" s="4030"/>
      <c r="O211" s="4030"/>
      <c r="P211" s="4030"/>
    </row>
    <row customHeight="true" ht="16.071428571428573" r="212">
      <c r="A212" s="4042" t="s">
        <v>3949</v>
      </c>
      <c r="B212" s="4031">
        <v>46253</v>
      </c>
      <c r="C212" s="4042" t="str">
        <v>Wednesday</v>
      </c>
      <c r="D212" s="4024" t="s">
        <v>3947</v>
      </c>
      <c r="E212" s="4047">
        <v>3</v>
      </c>
      <c r="F212" s="4028" t="s">
        <v>3946</v>
      </c>
      <c r="G212" s="4161" t="s">
        <v>3944</v>
      </c>
      <c r="H212" s="4032" t="s">
        <v>3802</v>
      </c>
      <c r="I212" s="4046" t="s">
        <v>3743</v>
      </c>
      <c r="J212" s="4167"/>
      <c r="K212" s="4030"/>
      <c r="L212" s="4030"/>
      <c r="M212" s="4030"/>
      <c r="N212" s="4030"/>
      <c r="O212" s="4030"/>
      <c r="P212" s="4030"/>
    </row>
    <row customHeight="true" ht="16.071428571428573" r="213">
      <c r="A213" s="4042" t="s">
        <v>3949</v>
      </c>
      <c r="B213" s="4031">
        <v>46255</v>
      </c>
      <c r="C213" s="4042" t="str">
        <v>Friday</v>
      </c>
      <c r="D213" s="4024" t="s">
        <v>3952</v>
      </c>
      <c r="E213" s="4047">
        <v>0.5</v>
      </c>
      <c r="F213" s="4028" t="s">
        <v>3946</v>
      </c>
      <c r="G213" s="4163" t="s">
        <v>3944</v>
      </c>
      <c r="H213" s="4032" t="s">
        <v>3802</v>
      </c>
      <c r="I213" s="4046" t="s">
        <v>3743</v>
      </c>
      <c r="J213" s="4164"/>
      <c r="K213" s="4030"/>
      <c r="L213" s="4030"/>
      <c r="M213" s="4030"/>
      <c r="N213" s="4030"/>
      <c r="O213" s="4030"/>
      <c r="P213" s="4030"/>
    </row>
    <row customHeight="true" ht="16.071428571428573" r="214">
      <c r="A214" s="4042"/>
      <c r="B214" s="4031"/>
      <c r="C214" s="4042"/>
      <c r="D214" s="4047"/>
      <c r="E214" s="4047"/>
      <c r="F214" s="4028"/>
      <c r="G214" s="4163"/>
      <c r="H214" s="4028"/>
      <c r="I214" s="4046"/>
      <c r="J214" s="4164"/>
      <c r="K214" s="4030"/>
      <c r="L214" s="4030"/>
      <c r="M214" s="4030"/>
      <c r="N214" s="4030"/>
      <c r="O214" s="4030"/>
      <c r="P214" s="4030"/>
    </row>
    <row customHeight="true" ht="16.071428571428573" r="215">
      <c r="A215" s="4042" t="s">
        <v>3953</v>
      </c>
      <c r="B215" s="4031">
        <v>46252</v>
      </c>
      <c r="C215" s="4031" t="str">
        <v>Tuesday</v>
      </c>
      <c r="D215" s="4024" t="s">
        <v>3954</v>
      </c>
      <c r="E215" s="4047">
        <v>3</v>
      </c>
      <c r="F215" s="4028" t="s">
        <v>3955</v>
      </c>
      <c r="G215" s="4163" t="s">
        <v>3944</v>
      </c>
      <c r="H215" s="4032" t="s">
        <v>3802</v>
      </c>
      <c r="I215" s="4046" t="s">
        <v>3743</v>
      </c>
      <c r="J215" s="4164"/>
      <c r="K215" s="4030"/>
      <c r="L215" s="4030"/>
      <c r="M215" s="4030"/>
      <c r="N215" s="4030"/>
      <c r="O215" s="4030"/>
      <c r="P215" s="4030"/>
    </row>
    <row customHeight="true" ht="16.071428571428573" r="216">
      <c r="A216" s="4042" t="s">
        <v>3953</v>
      </c>
      <c r="B216" s="4031">
        <v>46253</v>
      </c>
      <c r="C216" s="4042" t="str">
        <v>Wednesday</v>
      </c>
      <c r="D216" s="4024" t="s">
        <v>3956</v>
      </c>
      <c r="E216" s="4047">
        <v>1</v>
      </c>
      <c r="F216" s="4028" t="s">
        <v>3756</v>
      </c>
      <c r="G216" s="4163" t="s">
        <v>3944</v>
      </c>
      <c r="H216" s="4032" t="s">
        <v>3802</v>
      </c>
      <c r="I216" s="4046" t="s">
        <v>3743</v>
      </c>
      <c r="J216" s="4164"/>
      <c r="K216" s="4030"/>
      <c r="L216" s="4030"/>
      <c r="M216" s="4030"/>
      <c r="N216" s="4030"/>
      <c r="O216" s="4030"/>
      <c r="P216" s="4030"/>
    </row>
    <row customHeight="true" ht="16.071428571428573" r="217">
      <c r="A217" s="4042" t="s">
        <v>3957</v>
      </c>
      <c r="B217" s="4031">
        <v>46253</v>
      </c>
      <c r="C217" s="4042" t="str">
        <v>Wednesday</v>
      </c>
      <c r="D217" s="4160" t="s">
        <v>3867</v>
      </c>
      <c r="E217" s="4047">
        <v>3</v>
      </c>
      <c r="F217" s="4028" t="s">
        <v>3756</v>
      </c>
      <c r="G217" s="4163" t="s">
        <v>3944</v>
      </c>
      <c r="H217" s="4032" t="s">
        <v>3802</v>
      </c>
      <c r="I217" s="4046" t="s">
        <v>3743</v>
      </c>
      <c r="J217" s="4164"/>
      <c r="K217" s="4030"/>
      <c r="L217" s="4030"/>
      <c r="M217" s="4030"/>
      <c r="N217" s="4030"/>
      <c r="O217" s="4030"/>
      <c r="P217" s="4030"/>
    </row>
    <row customHeight="true" ht="16.071428571428573" r="218">
      <c r="A218" s="4042" t="s">
        <v>3957</v>
      </c>
      <c r="B218" s="4031">
        <v>46253</v>
      </c>
      <c r="C218" s="4042" t="str">
        <v>Wednesday</v>
      </c>
      <c r="D218" s="4160" t="s">
        <v>3958</v>
      </c>
      <c r="E218" s="4047">
        <v>4</v>
      </c>
      <c r="F218" s="4028" t="s">
        <v>3955</v>
      </c>
      <c r="G218" s="4163" t="s">
        <v>3944</v>
      </c>
      <c r="H218" s="4032" t="s">
        <v>3802</v>
      </c>
      <c r="I218" s="4046" t="s">
        <v>3743</v>
      </c>
      <c r="J218" s="4164"/>
      <c r="K218" s="4030"/>
      <c r="L218" s="4030"/>
      <c r="M218" s="4030"/>
      <c r="N218" s="4030"/>
      <c r="O218" s="4030"/>
      <c r="P218" s="4030"/>
    </row>
    <row customHeight="true" ht="16.071428571428573" r="219">
      <c r="A219" s="4042" t="s">
        <v>3957</v>
      </c>
      <c r="B219" s="4031">
        <v>46255</v>
      </c>
      <c r="C219" s="4042" t="str">
        <v>Friday</v>
      </c>
      <c r="D219" s="4160" t="s">
        <v>3959</v>
      </c>
      <c r="E219" s="4047">
        <v>2.5</v>
      </c>
      <c r="F219" s="4028" t="s">
        <v>3756</v>
      </c>
      <c r="G219" s="4163" t="s">
        <v>3944</v>
      </c>
      <c r="H219" s="4032" t="s">
        <v>3802</v>
      </c>
      <c r="I219" s="4046" t="s">
        <v>3743</v>
      </c>
      <c r="J219" s="4164"/>
      <c r="K219" s="4030"/>
      <c r="L219" s="4030"/>
      <c r="M219" s="4030"/>
      <c r="N219" s="4030"/>
      <c r="O219" s="4030"/>
      <c r="P219" s="4030"/>
    </row>
    <row customHeight="true" ht="16.071428571428573" r="220">
      <c r="A220" s="4042"/>
      <c r="B220" s="4031"/>
      <c r="C220" s="4042"/>
      <c r="D220" s="4216"/>
      <c r="E220" s="4047"/>
      <c r="F220" s="4028"/>
      <c r="G220" s="4163"/>
      <c r="H220" s="4032"/>
      <c r="I220" s="4046"/>
      <c r="J220" s="4164"/>
      <c r="K220" s="4030"/>
      <c r="L220" s="4030"/>
      <c r="M220" s="4030"/>
      <c r="N220" s="4030"/>
      <c r="O220" s="4030"/>
      <c r="P220" s="4030"/>
    </row>
    <row customHeight="true" ht="16.071428571428573" r="221">
      <c r="A221" s="4042"/>
      <c r="B221" s="4031"/>
      <c r="C221" s="4042"/>
      <c r="D221" s="4047"/>
      <c r="E221" s="4047"/>
      <c r="F221" s="4028"/>
      <c r="G221" s="4163"/>
      <c r="H221" s="4028"/>
      <c r="I221" s="4046"/>
      <c r="J221" s="4164"/>
      <c r="K221" s="4030"/>
      <c r="L221" s="4030"/>
      <c r="M221" s="4030"/>
      <c r="N221" s="4030"/>
      <c r="O221" s="4030"/>
      <c r="P221" s="4030"/>
    </row>
    <row customHeight="true" ht="16.071428571428573" r="222">
      <c r="A222" s="4217" t="s">
        <v>3960</v>
      </c>
      <c r="B222" s="4218"/>
      <c r="C222" s="4217"/>
      <c r="D222" s="4219"/>
      <c r="E222" s="4220"/>
      <c r="F222" s="4220"/>
      <c r="G222" s="4221"/>
      <c r="H222" s="4220"/>
      <c r="I222" s="4220"/>
      <c r="J222" s="4222"/>
      <c r="K222" s="4223"/>
      <c r="L222" s="4223"/>
      <c r="M222" s="4223"/>
      <c r="N222" s="4223"/>
      <c r="O222" s="4223"/>
      <c r="P222" s="4223"/>
      <c r="Q222" s="4224"/>
      <c r="R222" s="4224"/>
      <c r="S222" s="4224"/>
      <c r="T222" s="4224"/>
      <c r="U222" s="4224"/>
      <c r="V222" s="4224"/>
      <c r="W222" s="4224"/>
      <c r="X222" s="4224"/>
      <c r="Y222" s="4224"/>
    </row>
    <row customHeight="true" ht="16.071428571428573" r="223">
      <c r="A223" s="4225" t="s">
        <v>3960</v>
      </c>
      <c r="B223" s="4226">
        <v>46251</v>
      </c>
      <c r="C223" s="4225" t="s">
        <v>3744</v>
      </c>
      <c r="D223" s="4227" t="s">
        <v>3888</v>
      </c>
      <c r="E223" s="4227">
        <v>2</v>
      </c>
      <c r="F223" s="4228" t="s">
        <v>3948</v>
      </c>
      <c r="G223" s="4229" t="s">
        <v>3944</v>
      </c>
      <c r="H223" s="4228" t="s">
        <v>3802</v>
      </c>
      <c r="I223" s="4228" t="s">
        <v>3743</v>
      </c>
      <c r="J223" s="4230"/>
      <c r="K223" s="4231"/>
      <c r="L223" s="4231"/>
      <c r="M223" s="4231"/>
      <c r="N223" s="4231"/>
      <c r="O223" s="4231"/>
      <c r="P223" s="4231"/>
      <c r="Q223" s="4232"/>
      <c r="R223" s="4232"/>
      <c r="S223" s="4232"/>
      <c r="T223" s="4232"/>
      <c r="U223" s="4232"/>
      <c r="V223" s="4232"/>
      <c r="W223" s="4232"/>
      <c r="X223" s="4232"/>
      <c r="Y223" s="4232"/>
    </row>
    <row customHeight="true" ht="16.071428571428573" r="224">
      <c r="A224" s="4225" t="s">
        <v>3961</v>
      </c>
      <c r="B224" s="4226">
        <v>46251</v>
      </c>
      <c r="C224" s="4225" t="s">
        <v>3744</v>
      </c>
      <c r="D224" s="4227" t="s">
        <v>3912</v>
      </c>
      <c r="E224" s="4227">
        <v>1</v>
      </c>
      <c r="F224" s="4228" t="s">
        <v>3948</v>
      </c>
      <c r="G224" s="4229" t="s">
        <v>3944</v>
      </c>
      <c r="H224" s="4228" t="s">
        <v>3802</v>
      </c>
      <c r="I224" s="4228" t="s">
        <v>3743</v>
      </c>
      <c r="J224" s="4230"/>
      <c r="K224" s="4231"/>
      <c r="L224" s="4231"/>
      <c r="M224" s="4231"/>
      <c r="N224" s="4231"/>
      <c r="O224" s="4231"/>
      <c r="P224" s="4231"/>
      <c r="Q224" s="4232"/>
      <c r="R224" s="4232"/>
      <c r="S224" s="4232"/>
      <c r="T224" s="4232"/>
      <c r="U224" s="4232"/>
      <c r="V224" s="4232"/>
      <c r="W224" s="4232"/>
      <c r="X224" s="4232"/>
      <c r="Y224" s="4232"/>
    </row>
    <row customHeight="true" ht="16.071428571428573" r="225">
      <c r="A225" s="4158"/>
      <c r="B225" s="4159"/>
      <c r="C225" s="4158"/>
      <c r="D225" s="4160"/>
      <c r="E225" s="4032"/>
      <c r="F225" s="4032"/>
      <c r="G225" s="4161"/>
      <c r="H225" s="4032"/>
      <c r="I225" s="4032"/>
      <c r="J225" s="4233"/>
      <c r="K225" s="4030"/>
      <c r="L225" s="4030"/>
      <c r="M225" s="4030"/>
      <c r="N225" s="4030"/>
      <c r="O225" s="4030"/>
      <c r="P225" s="4030"/>
      <c r="Q225" s="4105"/>
      <c r="R225" s="4105"/>
      <c r="S225" s="4105"/>
      <c r="T225" s="4105"/>
      <c r="U225" s="4105"/>
      <c r="V225" s="4105"/>
      <c r="W225" s="4105"/>
      <c r="X225" s="4105"/>
      <c r="Y225" s="4105"/>
    </row>
    <row customHeight="true" ht="16.071428571428573" r="226">
      <c r="A226" s="4158"/>
      <c r="B226" s="4159"/>
      <c r="C226" s="4158"/>
      <c r="D226" s="4160"/>
      <c r="E226" s="4032"/>
      <c r="F226" s="4032"/>
      <c r="G226" s="4161"/>
      <c r="H226" s="4032"/>
      <c r="I226" s="4032"/>
      <c r="J226" s="4233"/>
      <c r="K226" s="4030"/>
      <c r="L226" s="4030"/>
      <c r="M226" s="4030"/>
      <c r="N226" s="4030"/>
      <c r="O226" s="4030"/>
      <c r="P226" s="4030"/>
      <c r="Q226" s="4105"/>
      <c r="R226" s="4105"/>
      <c r="S226" s="4105"/>
      <c r="T226" s="4105"/>
      <c r="U226" s="4105"/>
      <c r="V226" s="4105"/>
      <c r="W226" s="4105"/>
      <c r="X226" s="4105"/>
      <c r="Y226" s="4105"/>
    </row>
    <row customHeight="true" ht="23.73633835497263" r="227">
      <c r="A227" s="4234" t="s">
        <v>3962</v>
      </c>
      <c r="B227" s="4235"/>
      <c r="C227" s="4235"/>
      <c r="D227" s="4235"/>
      <c r="E227" s="4235"/>
      <c r="F227" s="4235"/>
      <c r="G227" s="4235"/>
      <c r="H227" s="4236"/>
      <c r="I227" s="4235"/>
      <c r="J227" s="4235"/>
      <c r="K227" s="4077"/>
      <c r="L227" s="4077"/>
      <c r="M227" s="4077"/>
      <c r="N227" s="4077"/>
      <c r="O227" s="4077"/>
      <c r="P227" s="4077"/>
    </row>
    <row customHeight="true" ht="41.07142857142857" r="228">
      <c r="A228" s="4237" t="s">
        <v>3762</v>
      </c>
      <c r="B228" s="4238" t="s">
        <v>3763</v>
      </c>
      <c r="C228" s="4238"/>
      <c r="D228" s="4239" t="s">
        <v>3764</v>
      </c>
      <c r="E228" s="4240" t="s">
        <v>3765</v>
      </c>
      <c r="F228" s="4240" t="s">
        <v>3766</v>
      </c>
      <c r="G228" s="4241" t="s">
        <v>3781</v>
      </c>
      <c r="H228" s="4240" t="s">
        <v>3768</v>
      </c>
      <c r="I228" s="4240" t="s">
        <v>3769</v>
      </c>
      <c r="J228" s="4242" t="s">
        <v>3770</v>
      </c>
      <c r="K228" s="4041"/>
      <c r="L228" s="4041"/>
      <c r="M228" s="4041"/>
      <c r="N228" s="4041"/>
      <c r="O228" s="4041"/>
      <c r="P228" s="4041"/>
    </row>
    <row customHeight="true" ht="16.071428571428573" r="229">
      <c r="A229" s="4158" t="s">
        <v>3963</v>
      </c>
      <c r="B229" s="4031">
        <v>46253</v>
      </c>
      <c r="C229" s="4042" t="str">
        <v>Wednesday</v>
      </c>
      <c r="D229" s="4024" t="s">
        <v>3964</v>
      </c>
      <c r="E229" s="4047">
        <v>2</v>
      </c>
      <c r="F229" s="4087" t="s">
        <v>3838</v>
      </c>
      <c r="G229" s="4161" t="s">
        <v>3944</v>
      </c>
      <c r="H229" s="4032" t="s">
        <v>3802</v>
      </c>
      <c r="I229" s="4087" t="s">
        <v>3743</v>
      </c>
      <c r="J229" s="4032"/>
      <c r="K229" s="4030"/>
      <c r="L229" s="4030"/>
      <c r="M229" s="4030"/>
      <c r="N229" s="4030"/>
      <c r="O229" s="4030"/>
      <c r="P229" s="4030"/>
      <c r="Q229" s="4030"/>
      <c r="R229" s="4030"/>
      <c r="S229" s="4030"/>
      <c r="T229" s="4030"/>
      <c r="U229" s="4077"/>
      <c r="V229" s="4077"/>
      <c r="W229" s="4077"/>
      <c r="X229" s="4077"/>
      <c r="Y229" s="4077"/>
    </row>
    <row customHeight="true" ht="16.071428571428573" r="230">
      <c r="A230" s="4057" t="s">
        <v>3963</v>
      </c>
      <c r="B230" s="4058">
        <v>46255</v>
      </c>
      <c r="C230" s="4057" t="str">
        <v>Friday</v>
      </c>
      <c r="D230" s="4059" t="s">
        <v>3965</v>
      </c>
      <c r="E230" s="4059">
        <v>2</v>
      </c>
      <c r="F230" s="4102" t="s">
        <v>3838</v>
      </c>
      <c r="G230" s="4061" t="s">
        <v>3944</v>
      </c>
      <c r="H230" s="4060" t="s">
        <v>3802</v>
      </c>
      <c r="I230" s="4102" t="s">
        <v>3743</v>
      </c>
      <c r="J230" s="4059" t="s">
        <v>3966</v>
      </c>
      <c r="K230" s="4064"/>
      <c r="L230" s="4064"/>
      <c r="M230" s="4064"/>
      <c r="N230" s="4064"/>
      <c r="O230" s="4064"/>
      <c r="P230" s="4064"/>
      <c r="Q230" s="4064"/>
      <c r="R230" s="4064"/>
      <c r="S230" s="4064"/>
      <c r="T230" s="4064"/>
      <c r="U230" s="4139"/>
      <c r="V230" s="4139"/>
      <c r="W230" s="4139"/>
      <c r="X230" s="4139"/>
      <c r="Y230" s="4139"/>
    </row>
    <row customHeight="true" ht="16.071428571428573" r="231">
      <c r="A231" s="4158"/>
      <c r="B231" s="4159"/>
      <c r="C231" s="4042"/>
      <c r="D231" s="4160"/>
      <c r="E231" s="4160"/>
      <c r="F231" s="4032"/>
      <c r="G231" s="4161"/>
      <c r="H231" s="4032"/>
      <c r="I231" s="4087"/>
      <c r="J231" s="4233"/>
      <c r="K231" s="4030"/>
      <c r="L231" s="4030"/>
      <c r="M231" s="4030"/>
      <c r="N231" s="4030"/>
      <c r="O231" s="4030"/>
      <c r="P231" s="4030"/>
      <c r="Q231" s="4105"/>
      <c r="R231" s="4105"/>
      <c r="S231" s="4105"/>
      <c r="T231" s="4105"/>
      <c r="U231" s="4105"/>
      <c r="V231" s="4105"/>
      <c r="W231" s="4105"/>
      <c r="X231" s="4105"/>
      <c r="Y231" s="4105"/>
    </row>
    <row customHeight="true" ht="16.071428571428573" r="232">
      <c r="A232" s="4158" t="s">
        <v>3967</v>
      </c>
      <c r="B232" s="4031">
        <v>46253</v>
      </c>
      <c r="C232" s="4042" t="str">
        <v>Wednesday</v>
      </c>
      <c r="D232" s="4024" t="s">
        <v>3868</v>
      </c>
      <c r="E232" s="4047">
        <v>3</v>
      </c>
      <c r="F232" s="4087" t="s">
        <v>3838</v>
      </c>
      <c r="G232" s="4161" t="s">
        <v>3944</v>
      </c>
      <c r="H232" s="4032" t="s">
        <v>3802</v>
      </c>
      <c r="I232" s="4087" t="s">
        <v>3743</v>
      </c>
      <c r="J232" s="4160" t="s">
        <v>3968</v>
      </c>
      <c r="K232" s="4030"/>
      <c r="L232" s="4030"/>
      <c r="M232" s="4030"/>
      <c r="N232" s="4030"/>
      <c r="O232" s="4030"/>
      <c r="P232" s="4030"/>
      <c r="Q232" s="4030"/>
      <c r="R232" s="4030"/>
      <c r="S232" s="4030"/>
      <c r="T232" s="4030"/>
      <c r="U232" s="4077"/>
      <c r="V232" s="4077"/>
      <c r="W232" s="4077"/>
      <c r="X232" s="4077"/>
      <c r="Y232" s="4077"/>
    </row>
    <row customHeight="true" ht="16.071428571428573" r="233">
      <c r="A233" s="4042" t="s">
        <v>3969</v>
      </c>
      <c r="B233" s="4031">
        <v>46253</v>
      </c>
      <c r="C233" s="4042" t="str">
        <v>Wednesday</v>
      </c>
      <c r="D233" s="4024" t="s">
        <v>3970</v>
      </c>
      <c r="E233" s="4047">
        <v>3</v>
      </c>
      <c r="F233" s="4028" t="s">
        <v>3955</v>
      </c>
      <c r="G233" s="4161" t="s">
        <v>3944</v>
      </c>
      <c r="H233" s="4032" t="s">
        <v>3802</v>
      </c>
      <c r="I233" s="4087" t="s">
        <v>3776</v>
      </c>
      <c r="J233" s="4046"/>
      <c r="K233" s="4123"/>
      <c r="L233" s="4123"/>
      <c r="M233" s="4123"/>
      <c r="N233" s="4123"/>
      <c r="O233" s="4123"/>
      <c r="P233" s="4123"/>
      <c r="Q233" s="4123"/>
      <c r="R233" s="4123"/>
      <c r="S233" s="4123"/>
      <c r="T233" s="4123"/>
      <c r="U233" s="4146"/>
      <c r="V233" s="4146"/>
      <c r="W233" s="4146"/>
      <c r="X233" s="4146"/>
      <c r="Y233" s="4146"/>
    </row>
    <row customHeight="true" ht="16.071428571428573" r="234">
      <c r="A234" s="4057" t="s">
        <v>3971</v>
      </c>
      <c r="B234" s="4058">
        <v>46255</v>
      </c>
      <c r="C234" s="4057" t="str">
        <v>Friday</v>
      </c>
      <c r="D234" s="4059" t="s">
        <v>3972</v>
      </c>
      <c r="E234" s="4059">
        <v>2.5</v>
      </c>
      <c r="F234" s="4060" t="s">
        <v>3756</v>
      </c>
      <c r="G234" s="4061" t="s">
        <v>3944</v>
      </c>
      <c r="H234" s="4060" t="s">
        <v>3802</v>
      </c>
      <c r="I234" s="4060" t="s">
        <v>3743</v>
      </c>
      <c r="J234" s="4059" t="s">
        <v>3973</v>
      </c>
      <c r="K234" s="4064"/>
      <c r="L234" s="4064"/>
      <c r="M234" s="4064"/>
      <c r="N234" s="4064"/>
      <c r="O234" s="4064"/>
      <c r="P234" s="4064"/>
      <c r="Q234" s="4065"/>
      <c r="R234" s="4065"/>
      <c r="S234" s="4065"/>
      <c r="T234" s="4065"/>
      <c r="U234" s="4065"/>
      <c r="V234" s="4065"/>
      <c r="W234" s="4065"/>
      <c r="X234" s="4065"/>
      <c r="Y234" s="4065"/>
    </row>
    <row customHeight="true" ht="16.071428571428573" r="235">
      <c r="A235" s="4243"/>
      <c r="B235" s="4244"/>
      <c r="C235" s="4243"/>
      <c r="D235" s="4245"/>
      <c r="E235" s="4245"/>
      <c r="F235" s="4246"/>
      <c r="G235" s="4247"/>
      <c r="H235" s="4246"/>
      <c r="I235" s="4246"/>
      <c r="J235" s="4246"/>
      <c r="K235" s="4248"/>
      <c r="L235" s="4248"/>
      <c r="M235" s="4248"/>
      <c r="N235" s="4248"/>
      <c r="O235" s="4248"/>
      <c r="P235" s="4248"/>
      <c r="Q235" s="4248"/>
      <c r="R235" s="4248"/>
      <c r="S235" s="4248"/>
      <c r="T235" s="4248"/>
      <c r="U235" s="4249"/>
      <c r="V235" s="4249"/>
      <c r="W235" s="4249"/>
      <c r="X235" s="4249"/>
      <c r="Y235" s="4249"/>
    </row>
    <row customHeight="true" ht="16.071428571428573" r="236">
      <c r="A236" s="4057" t="s">
        <v>3967</v>
      </c>
      <c r="B236" s="4058">
        <v>46256</v>
      </c>
      <c r="C236" s="4057" t="str">
        <v>Saturday</v>
      </c>
      <c r="D236" s="4059" t="s">
        <v>3974</v>
      </c>
      <c r="E236" s="4059">
        <v>1</v>
      </c>
      <c r="F236" s="4060" t="s">
        <v>3948</v>
      </c>
      <c r="G236" s="4061" t="s">
        <v>3944</v>
      </c>
      <c r="H236" s="4060" t="s">
        <v>3802</v>
      </c>
      <c r="I236" s="4102" t="s">
        <v>3776</v>
      </c>
      <c r="J236" s="4059" t="s">
        <v>3973</v>
      </c>
      <c r="K236" s="4064"/>
      <c r="L236" s="4064"/>
      <c r="M236" s="4064"/>
      <c r="N236" s="4064"/>
      <c r="O236" s="4064"/>
      <c r="P236" s="4064"/>
      <c r="Q236" s="4064"/>
      <c r="R236" s="4064"/>
      <c r="S236" s="4064"/>
      <c r="T236" s="4064"/>
      <c r="U236" s="4139"/>
      <c r="V236" s="4139"/>
      <c r="W236" s="4139"/>
      <c r="X236" s="4139"/>
      <c r="Y236" s="4139"/>
    </row>
    <row customHeight="true" ht="16.071428571428573" r="237">
      <c r="A237" s="4158"/>
      <c r="B237" s="4031"/>
      <c r="C237" s="4042"/>
      <c r="D237" s="4024"/>
      <c r="E237" s="4047"/>
      <c r="F237" s="4028"/>
      <c r="G237" s="4161"/>
      <c r="H237" s="4032"/>
      <c r="I237" s="4087"/>
      <c r="J237" s="4160"/>
      <c r="K237" s="4030"/>
      <c r="L237" s="4030"/>
      <c r="M237" s="4030"/>
      <c r="N237" s="4030"/>
      <c r="O237" s="4030"/>
      <c r="P237" s="4030"/>
      <c r="Q237" s="4030"/>
      <c r="R237" s="4030"/>
      <c r="S237" s="4030"/>
      <c r="T237" s="4030"/>
      <c r="U237" s="4077"/>
      <c r="V237" s="4077"/>
      <c r="W237" s="4077"/>
      <c r="X237" s="4077"/>
      <c r="Y237" s="4077"/>
    </row>
    <row customHeight="true" ht="16.071428571428573" r="238">
      <c r="A238" s="4158"/>
      <c r="B238" s="4159"/>
      <c r="C238" s="4158"/>
      <c r="D238" s="4160"/>
      <c r="E238" s="4032"/>
      <c r="F238" s="4032"/>
      <c r="G238" s="4161"/>
      <c r="H238" s="4032"/>
      <c r="I238" s="4032"/>
      <c r="J238" s="4250"/>
      <c r="K238" s="4030"/>
      <c r="L238" s="4030"/>
      <c r="M238" s="4030"/>
      <c r="N238" s="4030"/>
      <c r="O238" s="4030"/>
      <c r="P238" s="4030"/>
      <c r="Q238" s="4105"/>
      <c r="R238" s="4105"/>
      <c r="S238" s="4105"/>
      <c r="T238" s="4105"/>
      <c r="U238" s="4105"/>
      <c r="V238" s="4105"/>
      <c r="W238" s="4105"/>
      <c r="X238" s="4105"/>
      <c r="Y238" s="4105"/>
    </row>
    <row customHeight="true" ht="23.211128270938953" r="239">
      <c r="A239" s="4251" t="s">
        <v>3975</v>
      </c>
      <c r="B239" s="4067"/>
      <c r="C239" s="4066"/>
      <c r="D239" s="4068"/>
      <c r="E239" s="4069"/>
      <c r="F239" s="4069"/>
      <c r="G239" s="4070"/>
      <c r="H239" s="4069"/>
      <c r="I239" s="4069"/>
      <c r="J239" s="4071"/>
      <c r="K239" s="4072"/>
      <c r="L239" s="4072"/>
      <c r="M239" s="4072"/>
      <c r="N239" s="4072"/>
      <c r="O239" s="4072"/>
      <c r="P239" s="4072"/>
      <c r="Q239" s="4073"/>
      <c r="R239" s="4073"/>
      <c r="S239" s="4073"/>
      <c r="T239" s="4073"/>
      <c r="U239" s="4073"/>
      <c r="V239" s="4073"/>
      <c r="W239" s="4073"/>
      <c r="X239" s="4073"/>
      <c r="Y239" s="4073"/>
    </row>
    <row customHeight="true" ht="38.69047619047619" r="240">
      <c r="A240" s="4252" t="s">
        <v>3762</v>
      </c>
      <c r="B240" s="4253" t="s">
        <v>3763</v>
      </c>
      <c r="C240" s="4253"/>
      <c r="D240" s="4254" t="s">
        <v>3764</v>
      </c>
      <c r="E240" s="4255" t="s">
        <v>3765</v>
      </c>
      <c r="F240" s="4255" t="s">
        <v>3766</v>
      </c>
      <c r="G240" s="4256" t="s">
        <v>3781</v>
      </c>
      <c r="H240" s="4255" t="s">
        <v>3768</v>
      </c>
      <c r="I240" s="4255" t="s">
        <v>3769</v>
      </c>
      <c r="J240" s="4257" t="s">
        <v>3770</v>
      </c>
      <c r="K240" s="4258"/>
      <c r="L240" s="4258"/>
      <c r="M240" s="4258"/>
      <c r="N240" s="4258"/>
      <c r="O240" s="4258"/>
      <c r="P240" s="4258"/>
      <c r="Q240" s="4073"/>
      <c r="R240" s="4073"/>
      <c r="S240" s="4073"/>
      <c r="T240" s="4073"/>
      <c r="U240" s="4073"/>
      <c r="V240" s="4073"/>
      <c r="W240" s="4073"/>
      <c r="X240" s="4073"/>
      <c r="Y240" s="4073"/>
    </row>
    <row customHeight="true" ht="16.071428571428573" r="241">
      <c r="A241" s="4158"/>
      <c r="B241" s="4159"/>
      <c r="C241" s="4158"/>
      <c r="D241" s="4160"/>
      <c r="E241" s="4032"/>
      <c r="F241" s="4032"/>
      <c r="G241" s="4161"/>
      <c r="H241" s="4032"/>
      <c r="I241" s="4032"/>
      <c r="J241" s="4250"/>
      <c r="K241" s="4030"/>
      <c r="L241" s="4030"/>
      <c r="M241" s="4030"/>
      <c r="N241" s="4030"/>
      <c r="O241" s="4030"/>
      <c r="P241" s="4030"/>
      <c r="Q241" s="4105"/>
      <c r="R241" s="4105"/>
      <c r="S241" s="4105"/>
      <c r="T241" s="4105"/>
      <c r="U241" s="4105"/>
      <c r="V241" s="4105"/>
      <c r="W241" s="4105"/>
      <c r="X241" s="4105"/>
      <c r="Y241" s="4105"/>
    </row>
    <row customHeight="true" ht="16.071428571428573" r="242">
      <c r="A242" s="4042"/>
      <c r="B242" s="4031"/>
      <c r="C242" s="4042"/>
      <c r="D242" s="4047"/>
      <c r="E242" s="4047"/>
      <c r="F242" s="4046"/>
      <c r="G242" s="4163"/>
      <c r="H242" s="4028"/>
      <c r="I242" s="4046"/>
      <c r="J242" s="4164"/>
      <c r="K242" s="4030"/>
      <c r="L242" s="4030"/>
      <c r="M242" s="4030"/>
      <c r="N242" s="4030"/>
      <c r="O242" s="4030"/>
      <c r="P242" s="4030"/>
    </row>
    <row customHeight="true" ht="16.071428571428573" r="243">
      <c r="A243" s="4042"/>
      <c r="B243" s="4031"/>
      <c r="C243" s="4042"/>
      <c r="D243" s="4047"/>
      <c r="E243" s="4047"/>
      <c r="F243" s="4028"/>
      <c r="G243" s="4163"/>
      <c r="H243" s="4028"/>
      <c r="I243" s="4046"/>
      <c r="J243" s="4164"/>
      <c r="K243" s="4030"/>
      <c r="L243" s="4030"/>
      <c r="M243" s="4030"/>
      <c r="N243" s="4030"/>
      <c r="O243" s="4030"/>
      <c r="P243" s="4030"/>
    </row>
    <row customHeight="true" ht="24.01645039978597" r="244">
      <c r="A244" s="4259" t="s">
        <v>3976</v>
      </c>
      <c r="B244" s="4260"/>
      <c r="C244" s="4261"/>
      <c r="D244" s="4262"/>
      <c r="E244" s="4263"/>
      <c r="F244" s="4263"/>
      <c r="G244" s="4264"/>
      <c r="H244" s="4263"/>
      <c r="I244" s="4263"/>
      <c r="J244" s="4265"/>
      <c r="K244" s="4266"/>
      <c r="L244" s="4266"/>
      <c r="M244" s="4266"/>
      <c r="N244" s="4266"/>
      <c r="O244" s="4266"/>
      <c r="P244" s="4266"/>
      <c r="Q244" s="4267"/>
      <c r="R244" s="4267"/>
      <c r="S244" s="4267"/>
      <c r="T244" s="4267"/>
      <c r="U244" s="4267"/>
      <c r="V244" s="4267"/>
      <c r="W244" s="4267"/>
      <c r="X244" s="4267"/>
      <c r="Y244" s="4267"/>
    </row>
    <row customHeight="true" ht="37.5" r="245">
      <c r="A245" s="4268" t="s">
        <v>3762</v>
      </c>
      <c r="B245" s="4269" t="s">
        <v>3763</v>
      </c>
      <c r="C245" s="4269"/>
      <c r="D245" s="4270" t="s">
        <v>3764</v>
      </c>
      <c r="E245" s="4271" t="s">
        <v>3765</v>
      </c>
      <c r="F245" s="4271" t="s">
        <v>3766</v>
      </c>
      <c r="G245" s="4272" t="s">
        <v>3781</v>
      </c>
      <c r="H245" s="4271" t="s">
        <v>3768</v>
      </c>
      <c r="I245" s="4271" t="s">
        <v>3769</v>
      </c>
      <c r="J245" s="4273" t="s">
        <v>3770</v>
      </c>
      <c r="K245" s="4274"/>
      <c r="L245" s="4274"/>
      <c r="M245" s="4274"/>
      <c r="N245" s="4274"/>
      <c r="O245" s="4274"/>
      <c r="P245" s="4274"/>
      <c r="Q245" s="4267"/>
      <c r="R245" s="4267"/>
      <c r="S245" s="4267"/>
      <c r="T245" s="4267"/>
      <c r="U245" s="4267"/>
      <c r="V245" s="4267"/>
      <c r="W245" s="4267"/>
      <c r="X245" s="4267"/>
      <c r="Y245" s="4267"/>
    </row>
    <row customHeight="true" ht="16.071428571428573" r="246">
      <c r="A246" s="4158" t="s">
        <v>3976</v>
      </c>
      <c r="B246" s="4031">
        <v>46253</v>
      </c>
      <c r="C246" s="4042" t="str">
        <v>Wednesday</v>
      </c>
      <c r="D246" s="4024" t="s">
        <v>3917</v>
      </c>
      <c r="E246" s="4047">
        <v>2</v>
      </c>
      <c r="F246" s="4028" t="s">
        <v>3948</v>
      </c>
      <c r="G246" s="4161" t="s">
        <v>3944</v>
      </c>
      <c r="H246" s="4032" t="s">
        <v>3742</v>
      </c>
      <c r="I246" s="4046" t="s">
        <v>3743</v>
      </c>
      <c r="J246" s="4032"/>
      <c r="K246" s="4030"/>
      <c r="L246" s="4030"/>
      <c r="M246" s="4030"/>
      <c r="N246" s="4030"/>
      <c r="O246" s="4030"/>
      <c r="P246" s="4030"/>
      <c r="Q246" s="4030"/>
      <c r="R246" s="4030"/>
      <c r="S246" s="4030"/>
      <c r="T246" s="4030"/>
      <c r="U246" s="4077"/>
      <c r="V246" s="4077"/>
      <c r="W246" s="4077"/>
      <c r="X246" s="4077"/>
      <c r="Y246" s="4077"/>
    </row>
    <row customHeight="true" ht="16.071428571428573" r="247">
      <c r="A247" s="4158" t="s">
        <v>3976</v>
      </c>
      <c r="B247" s="4031">
        <v>46254</v>
      </c>
      <c r="C247" s="4042" t="str">
        <v>Thursday</v>
      </c>
      <c r="D247" s="4024" t="s">
        <v>3917</v>
      </c>
      <c r="E247" s="4047">
        <v>2</v>
      </c>
      <c r="F247" s="4087" t="s">
        <v>3838</v>
      </c>
      <c r="G247" s="4161" t="s">
        <v>3944</v>
      </c>
      <c r="H247" s="4032" t="s">
        <v>3742</v>
      </c>
      <c r="I247" s="4087" t="s">
        <v>3743</v>
      </c>
      <c r="J247" s="4032"/>
      <c r="K247" s="4030"/>
      <c r="L247" s="4030"/>
      <c r="M247" s="4030"/>
      <c r="N247" s="4030"/>
      <c r="O247" s="4030"/>
      <c r="P247" s="4030"/>
      <c r="Q247" s="4030"/>
      <c r="R247" s="4030"/>
      <c r="S247" s="4030"/>
      <c r="T247" s="4030"/>
      <c r="U247" s="4077"/>
      <c r="V247" s="4077"/>
      <c r="W247" s="4077"/>
      <c r="X247" s="4077"/>
      <c r="Y247" s="4077"/>
    </row>
    <row customHeight="true" ht="16.071428571428573" r="248">
      <c r="A248" s="4057" t="s">
        <v>3976</v>
      </c>
      <c r="B248" s="4058">
        <v>46255</v>
      </c>
      <c r="C248" s="4058" t="s">
        <v>3977</v>
      </c>
      <c r="D248" s="4059" t="s">
        <v>3871</v>
      </c>
      <c r="E248" s="4059">
        <v>2</v>
      </c>
      <c r="F248" s="4102" t="s">
        <v>3838</v>
      </c>
      <c r="G248" s="4061" t="s">
        <v>3944</v>
      </c>
      <c r="H248" s="4060" t="s">
        <v>3742</v>
      </c>
      <c r="I248" s="4102" t="s">
        <v>3743</v>
      </c>
      <c r="J248" s="4059" t="s">
        <v>3978</v>
      </c>
      <c r="K248" s="4064"/>
      <c r="L248" s="4064"/>
      <c r="M248" s="4064"/>
      <c r="N248" s="4064"/>
      <c r="O248" s="4064"/>
      <c r="P248" s="4064"/>
      <c r="Q248" s="4064"/>
      <c r="R248" s="4064"/>
      <c r="S248" s="4064"/>
      <c r="T248" s="4064"/>
      <c r="U248" s="4139"/>
      <c r="V248" s="4139"/>
      <c r="W248" s="4139"/>
      <c r="X248" s="4139"/>
      <c r="Y248" s="4139"/>
    </row>
    <row customHeight="true" ht="16.071428571428573" r="249">
      <c r="A249" s="4275" t="s">
        <v>3976</v>
      </c>
      <c r="B249" s="4275">
        <v>46257</v>
      </c>
      <c r="C249" s="4275" t="str">
        <v>Sunday</v>
      </c>
      <c r="D249" s="4276" t="s">
        <v>3917</v>
      </c>
      <c r="E249" s="4276">
        <v>2</v>
      </c>
      <c r="F249" s="4276" t="s">
        <v>3948</v>
      </c>
      <c r="G249" s="4277" t="s">
        <v>3944</v>
      </c>
      <c r="H249" s="4276" t="s">
        <v>3742</v>
      </c>
      <c r="I249" s="4276" t="s">
        <v>3743</v>
      </c>
      <c r="J249" s="4276"/>
      <c r="K249" s="4278"/>
      <c r="L249" s="4278"/>
      <c r="M249" s="4278"/>
      <c r="N249" s="4278"/>
      <c r="O249" s="4278"/>
      <c r="P249" s="4278"/>
      <c r="Q249" s="4278"/>
      <c r="R249" s="4278"/>
      <c r="S249" s="4278"/>
      <c r="T249" s="4278"/>
      <c r="U249" s="4279"/>
      <c r="V249" s="4279"/>
      <c r="W249" s="4279"/>
      <c r="X249" s="4279"/>
      <c r="Y249" s="4279"/>
    </row>
    <row customHeight="true" ht="16.071428571428573" r="250">
      <c r="A250" s="4158"/>
      <c r="B250" s="4031"/>
      <c r="C250" s="4042"/>
      <c r="D250" s="4024"/>
      <c r="E250" s="4047"/>
      <c r="F250" s="4028"/>
      <c r="G250" s="4161"/>
      <c r="H250" s="4032"/>
      <c r="I250" s="4046"/>
      <c r="J250" s="4032"/>
      <c r="K250" s="4030"/>
      <c r="L250" s="4030"/>
      <c r="M250" s="4030"/>
      <c r="N250" s="4030"/>
      <c r="O250" s="4030"/>
      <c r="P250" s="4030"/>
      <c r="Q250" s="4030"/>
      <c r="R250" s="4030"/>
      <c r="S250" s="4030"/>
      <c r="T250" s="4030"/>
      <c r="U250" s="4077"/>
      <c r="V250" s="4077"/>
      <c r="W250" s="4077"/>
      <c r="X250" s="4077"/>
      <c r="Y250" s="4077"/>
    </row>
    <row customHeight="true" ht="16.071428571428573" r="251">
      <c r="A251" s="4158" t="s">
        <v>3979</v>
      </c>
      <c r="B251" s="4031">
        <v>46253</v>
      </c>
      <c r="C251" s="4042" t="str">
        <v>Wednesday</v>
      </c>
      <c r="D251" s="4024" t="s">
        <v>3980</v>
      </c>
      <c r="E251" s="4047">
        <v>1</v>
      </c>
      <c r="F251" s="4028" t="s">
        <v>3948</v>
      </c>
      <c r="G251" s="4161" t="s">
        <v>3944</v>
      </c>
      <c r="H251" s="4032" t="s">
        <v>3742</v>
      </c>
      <c r="I251" s="4046" t="s">
        <v>3743</v>
      </c>
      <c r="J251" s="4032"/>
      <c r="K251" s="4030"/>
      <c r="L251" s="4030"/>
      <c r="M251" s="4030"/>
      <c r="N251" s="4030"/>
      <c r="O251" s="4030"/>
      <c r="P251" s="4030"/>
      <c r="Q251" s="4030"/>
      <c r="R251" s="4030"/>
      <c r="S251" s="4030"/>
      <c r="T251" s="4030"/>
      <c r="U251" s="4077"/>
      <c r="V251" s="4077"/>
      <c r="W251" s="4077"/>
      <c r="X251" s="4077"/>
      <c r="Y251" s="4077"/>
    </row>
    <row customHeight="true" ht="16.071428571428573" r="252">
      <c r="A252" s="4158" t="s">
        <v>3979</v>
      </c>
      <c r="B252" s="4031">
        <v>46254</v>
      </c>
      <c r="C252" s="4042" t="str">
        <v>Thursday</v>
      </c>
      <c r="D252" s="4024" t="s">
        <v>3981</v>
      </c>
      <c r="E252" s="4047">
        <v>2</v>
      </c>
      <c r="F252" s="4087" t="s">
        <v>3838</v>
      </c>
      <c r="G252" s="4161" t="s">
        <v>3982</v>
      </c>
      <c r="H252" s="4032" t="s">
        <v>3802</v>
      </c>
      <c r="I252" s="4087" t="s">
        <v>3743</v>
      </c>
      <c r="J252" s="4032"/>
      <c r="K252" s="4030"/>
      <c r="L252" s="4030"/>
      <c r="M252" s="4030"/>
      <c r="N252" s="4030"/>
      <c r="O252" s="4030"/>
      <c r="P252" s="4030"/>
      <c r="Q252" s="4030"/>
      <c r="R252" s="4030"/>
      <c r="S252" s="4030"/>
      <c r="T252" s="4030"/>
      <c r="U252" s="4077"/>
      <c r="V252" s="4077"/>
      <c r="W252" s="4077"/>
      <c r="X252" s="4077"/>
      <c r="Y252" s="4077"/>
    </row>
    <row customHeight="true" ht="16.071428571428573" r="253">
      <c r="A253" s="4158" t="s">
        <v>3983</v>
      </c>
      <c r="B253" s="4031">
        <v>46254</v>
      </c>
      <c r="C253" s="4042" t="str">
        <v>Thursday</v>
      </c>
      <c r="D253" s="4024" t="s">
        <v>3984</v>
      </c>
      <c r="E253" s="4047">
        <v>2</v>
      </c>
      <c r="F253" s="4028" t="s">
        <v>3955</v>
      </c>
      <c r="G253" s="4161"/>
      <c r="H253" s="4032" t="s">
        <v>3742</v>
      </c>
      <c r="I253" s="4087" t="s">
        <v>3743</v>
      </c>
      <c r="J253" s="4032"/>
      <c r="K253" s="4030"/>
      <c r="L253" s="4030"/>
      <c r="M253" s="4030"/>
      <c r="N253" s="4030"/>
      <c r="O253" s="4030"/>
      <c r="P253" s="4030"/>
      <c r="Q253" s="4030"/>
      <c r="R253" s="4030"/>
      <c r="S253" s="4030"/>
      <c r="T253" s="4030"/>
      <c r="U253" s="4077"/>
      <c r="V253" s="4077"/>
      <c r="W253" s="4077"/>
      <c r="X253" s="4077"/>
      <c r="Y253" s="4077"/>
    </row>
    <row customHeight="true" ht="16.071428571428573" r="254">
      <c r="A254" s="4057" t="s">
        <v>3983</v>
      </c>
      <c r="B254" s="4058">
        <v>46255</v>
      </c>
      <c r="C254" s="4058" t="s">
        <v>3977</v>
      </c>
      <c r="D254" s="4059" t="s">
        <v>3884</v>
      </c>
      <c r="E254" s="4059">
        <v>2.5</v>
      </c>
      <c r="F254" s="4060" t="s">
        <v>3955</v>
      </c>
      <c r="G254" s="4061"/>
      <c r="H254" s="4060" t="s">
        <v>3742</v>
      </c>
      <c r="I254" s="4102" t="s">
        <v>3743</v>
      </c>
      <c r="J254" s="4169"/>
      <c r="K254" s="4064"/>
      <c r="L254" s="4064"/>
      <c r="M254" s="4064"/>
      <c r="N254" s="4064"/>
      <c r="O254" s="4064"/>
      <c r="P254" s="4064"/>
      <c r="Q254" s="4065"/>
      <c r="R254" s="4065"/>
      <c r="S254" s="4065"/>
      <c r="T254" s="4065"/>
      <c r="U254" s="4065"/>
      <c r="V254" s="4065"/>
      <c r="W254" s="4065"/>
      <c r="X254" s="4065"/>
      <c r="Y254" s="4065"/>
    </row>
    <row customHeight="true" ht="16.071428571428573" r="255">
      <c r="A255" s="4042" t="s">
        <v>3957</v>
      </c>
      <c r="B255" s="4031">
        <v>46255</v>
      </c>
      <c r="C255" s="4042" t="str">
        <v>Friday</v>
      </c>
      <c r="D255" s="4024" t="s">
        <v>3864</v>
      </c>
      <c r="E255" s="4047">
        <v>3</v>
      </c>
      <c r="F255" s="4028" t="s">
        <v>3756</v>
      </c>
      <c r="G255" s="4163" t="s">
        <v>3944</v>
      </c>
      <c r="H255" s="4032" t="s">
        <v>3802</v>
      </c>
      <c r="I255" s="4046" t="s">
        <v>3743</v>
      </c>
      <c r="J255" s="4164"/>
      <c r="K255" s="4030"/>
      <c r="L255" s="4030"/>
      <c r="M255" s="4030"/>
      <c r="N255" s="4030"/>
      <c r="O255" s="4030"/>
      <c r="P255" s="4030"/>
    </row>
    <row customHeight="true" ht="16.071428571428573" r="256">
      <c r="A256" s="4042"/>
      <c r="B256" s="4042"/>
      <c r="C256" s="4042"/>
      <c r="D256" s="4028"/>
      <c r="E256" s="4028"/>
      <c r="F256" s="4028"/>
      <c r="G256" s="4166"/>
      <c r="H256" s="4028"/>
      <c r="I256" s="4046"/>
      <c r="J256" s="4164"/>
      <c r="K256" s="4030"/>
      <c r="L256" s="4030"/>
      <c r="M256" s="4030"/>
      <c r="N256" s="4030"/>
      <c r="O256" s="4030"/>
      <c r="P256" s="4030"/>
    </row>
    <row r="257">
      <c r="A257" s="4280" t="s">
        <v>3985</v>
      </c>
      <c r="B257" s="4280"/>
      <c r="C257" s="4280"/>
      <c r="D257" s="4280"/>
      <c r="E257" s="4280"/>
      <c r="F257" s="4280"/>
      <c r="G257" s="4280"/>
      <c r="H257" s="4280"/>
      <c r="I257" s="4280"/>
      <c r="J257" s="4281"/>
      <c r="K257" s="4035"/>
      <c r="L257" s="4035"/>
      <c r="M257" s="4035"/>
      <c r="N257" s="4035"/>
      <c r="O257" s="4035"/>
      <c r="P257" s="4035"/>
    </row>
    <row r="258">
      <c r="A258" s="4036" t="s">
        <v>3762</v>
      </c>
      <c r="B258" s="4037" t="s">
        <v>3763</v>
      </c>
      <c r="C258" s="4037"/>
      <c r="D258" s="4038" t="s">
        <v>3764</v>
      </c>
      <c r="E258" s="4038" t="s">
        <v>3765</v>
      </c>
      <c r="F258" s="4038" t="s">
        <v>3766</v>
      </c>
      <c r="G258" s="4282" t="s">
        <v>3781</v>
      </c>
      <c r="H258" s="4038" t="s">
        <v>3768</v>
      </c>
      <c r="I258" s="4038" t="s">
        <v>3769</v>
      </c>
      <c r="J258" s="4039" t="s">
        <v>3770</v>
      </c>
      <c r="K258" s="4041"/>
      <c r="L258" s="4041"/>
      <c r="M258" s="4041"/>
      <c r="N258" s="4041"/>
      <c r="O258" s="4041"/>
      <c r="P258" s="4041"/>
    </row>
    <row r="259">
      <c r="A259" s="4042" t="s">
        <v>3985</v>
      </c>
      <c r="B259" s="4031">
        <v>46251</v>
      </c>
      <c r="C259" s="4042" t="str">
        <v>Monday</v>
      </c>
      <c r="D259" s="4024" t="s">
        <v>3934</v>
      </c>
      <c r="E259" s="4028">
        <f t="shared" ref="E259:E266" si="81">24*MOD(TIMEVALUE(TRIM(MID(D259,FIND("-",D259)+1,LEN(D259)))) - TIMEVALUE(TRIM(LEFT(D259,FIND("-",D259)-1))),1)</f>
      </c>
      <c r="F259" s="4028" t="s">
        <v>3986</v>
      </c>
      <c r="G259" s="4163"/>
      <c r="H259" s="4028" t="s">
        <v>3802</v>
      </c>
      <c r="I259" s="4046" t="s">
        <v>3743</v>
      </c>
      <c r="J259" s="4045"/>
      <c r="K259" s="4030"/>
      <c r="L259" s="4030"/>
      <c r="M259" s="4030"/>
      <c r="N259" s="4030"/>
      <c r="O259" s="4030"/>
      <c r="P259" s="4030"/>
    </row>
    <row r="260">
      <c r="A260" s="4057" t="s">
        <v>3985</v>
      </c>
      <c r="B260" s="4058">
        <v>46252</v>
      </c>
      <c r="C260" s="4057" t="str">
        <v>Tuesday</v>
      </c>
      <c r="D260" s="4059" t="s">
        <v>3934</v>
      </c>
      <c r="E260" s="4060">
        <f t="shared" si="81"/>
      </c>
      <c r="F260" s="4060" t="s">
        <v>3986</v>
      </c>
      <c r="G260" s="4061"/>
      <c r="H260" s="4060" t="s">
        <v>3802</v>
      </c>
      <c r="I260" s="4060" t="s">
        <v>3743</v>
      </c>
      <c r="J260" s="4063"/>
      <c r="K260" s="4064"/>
      <c r="L260" s="4064"/>
      <c r="M260" s="4064"/>
      <c r="N260" s="4064"/>
      <c r="O260" s="4064"/>
      <c r="P260" s="4064"/>
      <c r="Q260" s="4065"/>
      <c r="R260" s="4065"/>
      <c r="S260" s="4065"/>
      <c r="T260" s="4065"/>
      <c r="U260" s="4065"/>
      <c r="V260" s="4065"/>
      <c r="W260" s="4065"/>
      <c r="X260" s="4065"/>
      <c r="Y260" s="4065"/>
    </row>
    <row r="261">
      <c r="A261" s="4042" t="s">
        <v>3985</v>
      </c>
      <c r="B261" s="4031">
        <v>46253</v>
      </c>
      <c r="C261" s="4042" t="str">
        <v>Wednesday</v>
      </c>
      <c r="D261" s="4024" t="s">
        <v>3774</v>
      </c>
      <c r="E261" s="4028">
        <f t="shared" si="81"/>
      </c>
      <c r="F261" s="4028" t="s">
        <v>3986</v>
      </c>
      <c r="G261" s="4163"/>
      <c r="H261" s="4046" t="s">
        <v>3802</v>
      </c>
      <c r="I261" s="4046" t="s">
        <v>3743</v>
      </c>
      <c r="J261" s="4029"/>
      <c r="K261" s="4030"/>
      <c r="L261" s="4030"/>
      <c r="M261" s="4030"/>
      <c r="N261" s="4030"/>
      <c r="O261" s="4030"/>
      <c r="P261" s="4030"/>
    </row>
    <row r="262">
      <c r="A262" s="4042" t="s">
        <v>3985</v>
      </c>
      <c r="B262" s="4031">
        <v>46254</v>
      </c>
      <c r="C262" s="4042" t="str">
        <v>Thursday</v>
      </c>
      <c r="D262" s="4024" t="s">
        <v>3987</v>
      </c>
      <c r="E262" s="4028">
        <f t="shared" si="81"/>
      </c>
      <c r="F262" s="4028" t="s">
        <v>3988</v>
      </c>
      <c r="G262" s="4163"/>
      <c r="H262" s="4028" t="s">
        <v>3802</v>
      </c>
      <c r="I262" s="4046" t="s">
        <v>3743</v>
      </c>
      <c r="J262" s="4283" t="s">
        <v>3989</v>
      </c>
      <c r="K262" s="4030"/>
      <c r="L262" s="4030"/>
      <c r="M262" s="4030"/>
      <c r="N262" s="4030"/>
      <c r="O262" s="4030"/>
      <c r="P262" s="4030"/>
    </row>
    <row r="263">
      <c r="A263" s="4042" t="s">
        <v>3985</v>
      </c>
      <c r="B263" s="4031">
        <v>46255</v>
      </c>
      <c r="C263" s="4042" t="str">
        <v>Friday</v>
      </c>
      <c r="D263" s="4024" t="s">
        <v>3990</v>
      </c>
      <c r="E263" s="4028">
        <f t="shared" si="81"/>
      </c>
      <c r="F263" s="4028" t="s">
        <v>3785</v>
      </c>
      <c r="G263" s="4163"/>
      <c r="H263" s="4028" t="s">
        <v>3802</v>
      </c>
      <c r="I263" s="4046" t="s">
        <v>3743</v>
      </c>
      <c r="J263" s="4045"/>
      <c r="K263" s="4030"/>
      <c r="L263" s="4030"/>
      <c r="M263" s="4030"/>
      <c r="N263" s="4030"/>
      <c r="O263" s="4030"/>
      <c r="P263" s="4030"/>
    </row>
    <row customHeight="true" ht="18.452380952380953" r="264">
      <c r="A264" s="4042" t="s">
        <v>3985</v>
      </c>
      <c r="B264" s="4042">
        <v>46255</v>
      </c>
      <c r="C264" s="4042" t="str">
        <v>Friday</v>
      </c>
      <c r="D264" s="4024" t="s">
        <v>3965</v>
      </c>
      <c r="E264" s="4028">
        <f t="shared" si="81"/>
      </c>
      <c r="F264" s="4028" t="s">
        <v>3988</v>
      </c>
      <c r="G264" s="4166"/>
      <c r="H264" s="4028" t="s">
        <v>3802</v>
      </c>
      <c r="I264" s="4046" t="s">
        <v>3743</v>
      </c>
      <c r="J264" s="4045"/>
      <c r="K264" s="4123"/>
      <c r="L264" s="4123"/>
      <c r="M264" s="4123"/>
      <c r="N264" s="4123"/>
      <c r="O264" s="4123"/>
      <c r="P264" s="4123"/>
      <c r="Q264" s="4076"/>
      <c r="R264" s="4076"/>
      <c r="S264" s="4076"/>
      <c r="T264" s="4076"/>
      <c r="U264" s="4076"/>
      <c r="V264" s="4076"/>
      <c r="W264" s="4076"/>
      <c r="X264" s="4076"/>
      <c r="Y264" s="4076"/>
    </row>
    <row customHeight="true" ht="18.452380952380953" r="265">
      <c r="A265" s="4042" t="s">
        <v>3991</v>
      </c>
      <c r="B265" s="4042">
        <v>46256</v>
      </c>
      <c r="C265" s="4042" t="str">
        <v>Saturday</v>
      </c>
      <c r="D265" s="4024" t="s">
        <v>3974</v>
      </c>
      <c r="E265" s="4028">
        <f t="shared" si="81"/>
      </c>
      <c r="F265" s="4028" t="s">
        <v>3740</v>
      </c>
      <c r="G265" s="4166"/>
      <c r="H265" s="4028"/>
      <c r="I265" s="4046"/>
      <c r="J265" s="4045"/>
      <c r="K265" s="4123"/>
      <c r="L265" s="4123"/>
      <c r="M265" s="4123"/>
      <c r="N265" s="4123"/>
      <c r="O265" s="4123"/>
      <c r="P265" s="4123"/>
      <c r="Q265" s="4076"/>
      <c r="R265" s="4076"/>
      <c r="S265" s="4076"/>
      <c r="T265" s="4076"/>
      <c r="U265" s="4076"/>
      <c r="V265" s="4076"/>
      <c r="W265" s="4076"/>
      <c r="X265" s="4076"/>
      <c r="Y265" s="4076"/>
    </row>
    <row customHeight="true" ht="18.452380952380953" r="266">
      <c r="A266" s="4042" t="s">
        <v>3985</v>
      </c>
      <c r="B266" s="4031">
        <v>46256</v>
      </c>
      <c r="C266" s="4042" t="str">
        <v>Saturday</v>
      </c>
      <c r="D266" s="4046" t="s">
        <v>3867</v>
      </c>
      <c r="E266" s="4028">
        <f t="shared" si="81"/>
      </c>
      <c r="F266" s="4028" t="s">
        <v>3986</v>
      </c>
      <c r="G266" s="4163"/>
      <c r="H266" s="4028" t="s">
        <v>3802</v>
      </c>
      <c r="I266" s="4046" t="s">
        <v>3743</v>
      </c>
      <c r="J266" s="4045"/>
      <c r="K266" s="4030"/>
      <c r="L266" s="4030"/>
      <c r="M266" s="4030"/>
      <c r="N266" s="4030"/>
      <c r="O266" s="4030"/>
      <c r="P266" s="4030"/>
    </row>
    <row customHeight="true" ht="18.452380952380953" r="267">
      <c r="A267" s="4042" t="s">
        <v>3985</v>
      </c>
      <c r="B267" s="4031">
        <v>46257</v>
      </c>
      <c r="C267" s="4042" t="str">
        <v>Sunday</v>
      </c>
      <c r="D267" s="4024" t="s">
        <v>3867</v>
      </c>
      <c r="E267" s="4047">
        <v>3</v>
      </c>
      <c r="F267" s="4028" t="s">
        <v>3986</v>
      </c>
      <c r="G267" s="4163"/>
      <c r="H267" s="4028" t="s">
        <v>3802</v>
      </c>
      <c r="I267" s="4046" t="s">
        <v>3743</v>
      </c>
      <c r="J267" s="4045"/>
      <c r="K267" s="4030"/>
      <c r="L267" s="4030"/>
      <c r="M267" s="4030"/>
      <c r="N267" s="4030"/>
      <c r="O267" s="4030"/>
      <c r="P267" s="4030"/>
    </row>
    <row r="268">
      <c r="A268" s="4042" t="s">
        <v>3992</v>
      </c>
      <c r="B268" s="4031">
        <v>46251</v>
      </c>
      <c r="C268" s="4042" t="str">
        <v>Monday</v>
      </c>
      <c r="D268" s="4024" t="s">
        <v>3934</v>
      </c>
      <c r="E268" s="4028">
        <f t="shared" ref="E268:E275" si="82">24*MOD(TIMEVALUE(TRIM(MID(D268,FIND("-",D268)+1,LEN(D268)))) - TIMEVALUE(TRIM(LEFT(D268,FIND("-",D268)-1))),1)</f>
      </c>
      <c r="F268" s="4028" t="s">
        <v>3993</v>
      </c>
      <c r="G268" s="4166"/>
      <c r="H268" s="4046"/>
      <c r="I268" s="4046" t="s">
        <v>3743</v>
      </c>
      <c r="J268" s="4029"/>
      <c r="K268" s="4030"/>
      <c r="L268" s="4030"/>
      <c r="M268" s="4030"/>
      <c r="N268" s="4030"/>
      <c r="O268" s="4030"/>
      <c r="P268" s="4030"/>
    </row>
    <row r="269">
      <c r="A269" s="4057" t="s">
        <v>3992</v>
      </c>
      <c r="B269" s="4058">
        <v>46252</v>
      </c>
      <c r="C269" s="4057" t="str">
        <v>Tuesday</v>
      </c>
      <c r="D269" s="4059" t="s">
        <v>3934</v>
      </c>
      <c r="E269" s="4060">
        <f t="shared" si="82"/>
      </c>
      <c r="F269" s="4060" t="s">
        <v>3994</v>
      </c>
      <c r="G269" s="4179"/>
      <c r="H269" s="4060"/>
      <c r="I269" s="4060" t="s">
        <v>3743</v>
      </c>
      <c r="J269" s="4063"/>
      <c r="K269" s="4064"/>
      <c r="L269" s="4064"/>
      <c r="M269" s="4064"/>
      <c r="N269" s="4064"/>
      <c r="O269" s="4064"/>
      <c r="P269" s="4064"/>
      <c r="Q269" s="4065"/>
      <c r="R269" s="4065"/>
      <c r="S269" s="4065"/>
      <c r="T269" s="4065"/>
      <c r="U269" s="4065"/>
      <c r="V269" s="4065"/>
      <c r="W269" s="4065"/>
      <c r="X269" s="4065"/>
      <c r="Y269" s="4065"/>
    </row>
    <row customHeight="true" ht="18.452380952380953" r="270">
      <c r="A270" s="4042" t="s">
        <v>3992</v>
      </c>
      <c r="B270" s="4031">
        <v>46253</v>
      </c>
      <c r="C270" s="4042" t="str">
        <v>Wednesday</v>
      </c>
      <c r="D270" s="4024" t="s">
        <v>3774</v>
      </c>
      <c r="E270" s="4028">
        <f t="shared" si="82"/>
      </c>
      <c r="F270" s="4028" t="s">
        <v>3993</v>
      </c>
      <c r="G270" s="4166"/>
      <c r="H270" s="4046"/>
      <c r="I270" s="4046" t="s">
        <v>3743</v>
      </c>
      <c r="J270" s="4029"/>
      <c r="K270" s="4030"/>
      <c r="L270" s="4030"/>
      <c r="M270" s="4030"/>
      <c r="N270" s="4030"/>
      <c r="O270" s="4030"/>
      <c r="P270" s="4030"/>
    </row>
    <row r="271">
      <c r="A271" s="4042" t="s">
        <v>3992</v>
      </c>
      <c r="B271" s="4031">
        <v>46254</v>
      </c>
      <c r="C271" s="4042" t="str">
        <v>Thursday</v>
      </c>
      <c r="D271" s="4046" t="s">
        <v>3867</v>
      </c>
      <c r="E271" s="4028">
        <f t="shared" si="82"/>
      </c>
      <c r="F271" s="4028" t="s">
        <v>3994</v>
      </c>
      <c r="G271" s="4166"/>
      <c r="H271" s="4046"/>
      <c r="I271" s="4046" t="s">
        <v>3743</v>
      </c>
      <c r="J271" s="4029"/>
      <c r="K271" s="4030"/>
      <c r="L271" s="4030"/>
      <c r="M271" s="4030"/>
      <c r="N271" s="4030"/>
      <c r="O271" s="4030"/>
      <c r="P271" s="4030"/>
    </row>
    <row r="272">
      <c r="A272" s="4042" t="s">
        <v>3992</v>
      </c>
      <c r="B272" s="4031">
        <v>46255</v>
      </c>
      <c r="C272" s="4042" t="str">
        <v>Friday</v>
      </c>
      <c r="D272" s="4024" t="s">
        <v>3995</v>
      </c>
      <c r="E272" s="4028">
        <f t="shared" si="82"/>
      </c>
      <c r="F272" s="4028" t="s">
        <v>3993</v>
      </c>
      <c r="G272" s="4166"/>
      <c r="H272" s="4046"/>
      <c r="I272" s="4046" t="s">
        <v>3743</v>
      </c>
      <c r="J272" s="4029"/>
      <c r="K272" s="4030"/>
      <c r="L272" s="4030"/>
      <c r="M272" s="4030"/>
      <c r="N272" s="4030"/>
      <c r="O272" s="4030"/>
      <c r="P272" s="4030"/>
    </row>
    <row r="273">
      <c r="A273" s="4042" t="s">
        <v>3992</v>
      </c>
      <c r="B273" s="4031">
        <v>46256</v>
      </c>
      <c r="C273" s="4042" t="str">
        <v>Saturday</v>
      </c>
      <c r="D273" s="4024" t="s">
        <v>3996</v>
      </c>
      <c r="E273" s="4028">
        <f t="shared" si="82"/>
      </c>
      <c r="F273" s="4028" t="s">
        <v>3993</v>
      </c>
      <c r="G273" s="4166"/>
      <c r="H273" s="4046"/>
      <c r="I273" s="4046" t="s">
        <v>3743</v>
      </c>
      <c r="J273" s="4076"/>
      <c r="K273" s="4077"/>
      <c r="L273" s="4077"/>
      <c r="M273" s="4077"/>
      <c r="N273" s="4077"/>
      <c r="O273" s="4077"/>
      <c r="P273" s="4077"/>
    </row>
    <row customHeight="true" ht="18.452380952380953" r="274">
      <c r="A274" s="4042" t="s">
        <v>3992</v>
      </c>
      <c r="B274" s="4031">
        <v>46257</v>
      </c>
      <c r="C274" s="4042" t="str">
        <v>Sunday</v>
      </c>
      <c r="D274" s="4024" t="s">
        <v>3996</v>
      </c>
      <c r="E274" s="4028">
        <f t="shared" si="82"/>
      </c>
      <c r="F274" s="4028" t="s">
        <v>3993</v>
      </c>
      <c r="G274" s="4166"/>
      <c r="H274" s="4046"/>
      <c r="I274" s="4046" t="s">
        <v>3743</v>
      </c>
      <c r="J274" s="4076"/>
      <c r="K274" s="4077"/>
      <c r="L274" s="4077"/>
      <c r="M274" s="4077"/>
      <c r="N274" s="4077"/>
      <c r="O274" s="4077"/>
      <c r="P274" s="4077"/>
    </row>
    <row r="275">
      <c r="A275" s="4042" t="s">
        <v>3991</v>
      </c>
      <c r="B275" s="4031">
        <v>46255</v>
      </c>
      <c r="C275" s="4042" t="str">
        <v>Friday</v>
      </c>
      <c r="D275" s="4024" t="s">
        <v>3997</v>
      </c>
      <c r="E275" s="4028">
        <f t="shared" si="82"/>
      </c>
      <c r="F275" s="4028" t="s">
        <v>3998</v>
      </c>
      <c r="G275" s="4166"/>
      <c r="H275" s="4046"/>
      <c r="I275" s="4046" t="s">
        <v>3743</v>
      </c>
      <c r="J275" s="4284" t="s">
        <v>3999</v>
      </c>
      <c r="K275" s="4077"/>
      <c r="L275" s="4077"/>
      <c r="M275" s="4077"/>
      <c r="N275" s="4077"/>
      <c r="O275" s="4077"/>
      <c r="P275" s="4077"/>
    </row>
    <row r="276">
      <c r="A276" s="4076"/>
      <c r="B276" s="4076"/>
      <c r="C276" s="4076"/>
      <c r="D276" s="4076"/>
      <c r="E276" s="4076"/>
      <c r="F276" s="4285"/>
      <c r="G276" s="4286"/>
      <c r="H276" s="4287"/>
      <c r="I276" s="4076"/>
      <c r="J276" s="4076"/>
      <c r="K276" s="4077"/>
      <c r="L276" s="4077"/>
      <c r="M276" s="4077"/>
      <c r="N276" s="4077"/>
      <c r="O276" s="4077"/>
      <c r="P276" s="4077"/>
    </row>
    <row r="277">
      <c r="A277" s="4288" t="s">
        <v>4000</v>
      </c>
      <c r="B277" s="4288"/>
      <c r="C277" s="4288"/>
      <c r="D277" s="4288"/>
      <c r="E277" s="4288"/>
      <c r="F277" s="4288"/>
      <c r="G277" s="4288"/>
      <c r="H277" s="4288"/>
      <c r="I277" s="4288"/>
      <c r="J277" s="4289"/>
      <c r="K277" s="4127"/>
      <c r="L277" s="4127"/>
      <c r="M277" s="4127"/>
      <c r="N277" s="4127"/>
      <c r="O277" s="4127"/>
      <c r="P277" s="4127"/>
    </row>
    <row r="278">
      <c r="A278" s="4290" t="s">
        <v>3762</v>
      </c>
      <c r="B278" s="4291" t="s">
        <v>3763</v>
      </c>
      <c r="C278" s="4291"/>
      <c r="D278" s="4292" t="s">
        <v>3764</v>
      </c>
      <c r="E278" s="4292" t="s">
        <v>3765</v>
      </c>
      <c r="F278" s="4292" t="s">
        <v>3766</v>
      </c>
      <c r="G278" s="4293" t="s">
        <v>3781</v>
      </c>
      <c r="H278" s="4292" t="s">
        <v>3768</v>
      </c>
      <c r="I278" s="4292" t="s">
        <v>3769</v>
      </c>
      <c r="J278" s="4294" t="s">
        <v>3770</v>
      </c>
      <c r="K278" s="4041"/>
      <c r="L278" s="4041"/>
      <c r="M278" s="4041"/>
      <c r="N278" s="4041"/>
      <c r="O278" s="4041"/>
      <c r="P278" s="4041"/>
    </row>
    <row r="279">
      <c r="A279" s="4042" t="s">
        <v>4001</v>
      </c>
      <c r="B279" s="4031">
        <v>46251</v>
      </c>
      <c r="C279" s="4042" t="str">
        <v>Monday</v>
      </c>
      <c r="D279" s="4024" t="s">
        <v>3947</v>
      </c>
      <c r="E279" s="4028">
        <f t="shared" ref="E279:E311" si="83">24*MOD(TIMEVALUE(TRIM(MID(D279,FIND("-",D279)+1,LEN(D279)))) - TIMEVALUE(TRIM(LEFT(D279,FIND("-",D279)-1))),1)</f>
      </c>
      <c r="F279" s="4028" t="s">
        <v>3785</v>
      </c>
      <c r="G279" s="4163"/>
      <c r="H279" s="4028" t="s">
        <v>3802</v>
      </c>
      <c r="I279" s="4046" t="s">
        <v>3743</v>
      </c>
      <c r="J279" s="4045"/>
      <c r="K279" s="4030"/>
      <c r="L279" s="4030"/>
      <c r="M279" s="4030"/>
      <c r="N279" s="4030"/>
      <c r="O279" s="4030"/>
      <c r="P279" s="4030"/>
    </row>
    <row customHeight="true" ht="18.452380952380953" r="280">
      <c r="A280" s="4042" t="s">
        <v>4001</v>
      </c>
      <c r="B280" s="4031">
        <v>46252</v>
      </c>
      <c r="C280" s="4042" t="str">
        <v>Tuesday</v>
      </c>
      <c r="D280" s="4024" t="s">
        <v>3947</v>
      </c>
      <c r="E280" s="4028">
        <f t="shared" si="83"/>
      </c>
      <c r="F280" s="4028" t="s">
        <v>3807</v>
      </c>
      <c r="G280" s="4163"/>
      <c r="H280" s="4028" t="s">
        <v>3802</v>
      </c>
      <c r="I280" s="4087" t="s">
        <v>3743</v>
      </c>
      <c r="J280" s="4045"/>
      <c r="K280" s="4030"/>
      <c r="L280" s="4030"/>
      <c r="M280" s="4030"/>
      <c r="N280" s="4030"/>
      <c r="O280" s="4030"/>
      <c r="P280" s="4030"/>
    </row>
    <row customHeight="true" ht="18.452380952380953" r="281">
      <c r="A281" s="4042" t="s">
        <v>4001</v>
      </c>
      <c r="B281" s="4031">
        <v>46253</v>
      </c>
      <c r="C281" s="4042" t="str">
        <v>Wednesday</v>
      </c>
      <c r="D281" s="4024" t="s">
        <v>3947</v>
      </c>
      <c r="E281" s="4028">
        <f t="shared" si="83"/>
      </c>
      <c r="F281" s="4028" t="s">
        <v>4002</v>
      </c>
      <c r="G281" s="4163"/>
      <c r="H281" s="4028" t="s">
        <v>3802</v>
      </c>
      <c r="I281" s="4046" t="s">
        <v>3743</v>
      </c>
      <c r="J281" s="4045"/>
      <c r="K281" s="4030"/>
      <c r="L281" s="4030"/>
      <c r="M281" s="4030"/>
      <c r="N281" s="4030"/>
      <c r="O281" s="4030"/>
      <c r="P281" s="4030"/>
    </row>
    <row customHeight="true" ht="18.452380952380953" r="282">
      <c r="A282" s="4042" t="s">
        <v>4001</v>
      </c>
      <c r="B282" s="4031">
        <v>46254</v>
      </c>
      <c r="C282" s="4042" t="str">
        <v>Thursday</v>
      </c>
      <c r="D282" s="4024" t="s">
        <v>3947</v>
      </c>
      <c r="E282" s="4028">
        <f t="shared" si="83"/>
      </c>
      <c r="F282" s="4028" t="s">
        <v>3785</v>
      </c>
      <c r="G282" s="4163"/>
      <c r="H282" s="4028" t="s">
        <v>3802</v>
      </c>
      <c r="I282" s="4046" t="s">
        <v>3743</v>
      </c>
      <c r="J282" s="4045"/>
      <c r="K282" s="4030"/>
      <c r="L282" s="4030"/>
      <c r="M282" s="4030"/>
      <c r="N282" s="4030"/>
      <c r="O282" s="4030"/>
      <c r="P282" s="4030"/>
    </row>
    <row customHeight="true" ht="18.452380952380953" r="283">
      <c r="A283" s="4042" t="s">
        <v>4001</v>
      </c>
      <c r="B283" s="4031">
        <v>46255</v>
      </c>
      <c r="C283" s="4042" t="str">
        <v>Friday</v>
      </c>
      <c r="D283" s="4024" t="s">
        <v>3947</v>
      </c>
      <c r="E283" s="4028">
        <f t="shared" si="83"/>
      </c>
      <c r="F283" s="4026" t="s">
        <v>3898</v>
      </c>
      <c r="G283" s="4163"/>
      <c r="H283" s="4028" t="s">
        <v>3742</v>
      </c>
      <c r="I283" s="4087" t="s">
        <v>3743</v>
      </c>
      <c r="J283" s="4045"/>
      <c r="K283" s="4030"/>
      <c r="L283" s="4030"/>
      <c r="M283" s="4030"/>
      <c r="N283" s="4030"/>
      <c r="O283" s="4030"/>
      <c r="P283" s="4030"/>
    </row>
    <row customHeight="true" ht="18.452380952380953" r="284">
      <c r="A284" s="4042" t="s">
        <v>4001</v>
      </c>
      <c r="B284" s="4042">
        <v>46255</v>
      </c>
      <c r="C284" s="4042" t="str">
        <v>Friday</v>
      </c>
      <c r="D284" s="4024" t="s">
        <v>4003</v>
      </c>
      <c r="E284" s="4028">
        <f t="shared" si="83"/>
      </c>
      <c r="F284" s="4028" t="s">
        <v>3785</v>
      </c>
      <c r="G284" s="4166"/>
      <c r="H284" s="4028" t="s">
        <v>3742</v>
      </c>
      <c r="I284" s="4046" t="s">
        <v>3743</v>
      </c>
      <c r="J284" s="4045"/>
      <c r="K284" s="4123"/>
      <c r="L284" s="4123"/>
      <c r="M284" s="4123"/>
      <c r="N284" s="4123"/>
      <c r="O284" s="4123"/>
      <c r="P284" s="4123"/>
      <c r="Q284" s="4076"/>
      <c r="R284" s="4076"/>
      <c r="S284" s="4076"/>
      <c r="T284" s="4076"/>
      <c r="U284" s="4076"/>
      <c r="V284" s="4076"/>
      <c r="W284" s="4076"/>
      <c r="X284" s="4076"/>
      <c r="Y284" s="4076"/>
    </row>
    <row customHeight="true" ht="18.452380952380953" r="285">
      <c r="A285" s="4042" t="s">
        <v>4001</v>
      </c>
      <c r="B285" s="4042">
        <v>46255</v>
      </c>
      <c r="C285" s="4042" t="str">
        <v>Friday</v>
      </c>
      <c r="D285" s="4024" t="s">
        <v>4004</v>
      </c>
      <c r="E285" s="4028">
        <f t="shared" si="83"/>
      </c>
      <c r="F285" s="4028" t="s">
        <v>4005</v>
      </c>
      <c r="G285" s="4166"/>
      <c r="H285" s="4028" t="s">
        <v>3742</v>
      </c>
      <c r="I285" s="4046" t="s">
        <v>3743</v>
      </c>
      <c r="J285" s="4045"/>
      <c r="K285" s="4123"/>
      <c r="L285" s="4123"/>
      <c r="M285" s="4123"/>
      <c r="N285" s="4123"/>
      <c r="O285" s="4123"/>
      <c r="P285" s="4123"/>
      <c r="Q285" s="4076"/>
      <c r="R285" s="4076"/>
      <c r="S285" s="4076"/>
      <c r="T285" s="4076"/>
      <c r="U285" s="4076"/>
      <c r="V285" s="4076"/>
      <c r="W285" s="4076"/>
      <c r="X285" s="4076"/>
      <c r="Y285" s="4076"/>
    </row>
    <row customHeight="true" ht="18.452380952380953" r="286">
      <c r="A286" s="4057" t="s">
        <v>4001</v>
      </c>
      <c r="B286" s="4058">
        <v>46256</v>
      </c>
      <c r="C286" s="4057" t="str">
        <v>Saturday</v>
      </c>
      <c r="D286" s="4059" t="s">
        <v>3945</v>
      </c>
      <c r="E286" s="4060">
        <f t="shared" si="83"/>
      </c>
      <c r="F286" s="4060" t="s">
        <v>4006</v>
      </c>
      <c r="G286" s="4061"/>
      <c r="H286" s="4060" t="s">
        <v>3742</v>
      </c>
      <c r="I286" s="4102" t="s">
        <v>3743</v>
      </c>
      <c r="J286" s="4063"/>
      <c r="K286" s="4064"/>
      <c r="L286" s="4064"/>
      <c r="M286" s="4064"/>
      <c r="N286" s="4064"/>
      <c r="O286" s="4064"/>
      <c r="P286" s="4064"/>
      <c r="Q286" s="4065"/>
      <c r="R286" s="4065"/>
      <c r="S286" s="4065"/>
      <c r="T286" s="4065"/>
      <c r="U286" s="4065"/>
      <c r="V286" s="4065"/>
      <c r="W286" s="4065"/>
      <c r="X286" s="4065"/>
      <c r="Y286" s="4065"/>
    </row>
    <row customHeight="true" ht="18.452380952380953" r="287">
      <c r="A287" s="4042" t="s">
        <v>4001</v>
      </c>
      <c r="B287" s="4031">
        <v>46256</v>
      </c>
      <c r="C287" s="4042" t="str">
        <v>Saturday</v>
      </c>
      <c r="D287" s="4024" t="s">
        <v>3947</v>
      </c>
      <c r="E287" s="4028">
        <f t="shared" si="83"/>
      </c>
      <c r="F287" s="4165" t="s">
        <v>3745</v>
      </c>
      <c r="G287" s="4166"/>
      <c r="H287" s="4028" t="s">
        <v>3802</v>
      </c>
      <c r="I287" s="4046" t="s">
        <v>3743</v>
      </c>
      <c r="J287" s="4045"/>
      <c r="K287" s="4123"/>
      <c r="L287" s="4123"/>
      <c r="M287" s="4123"/>
      <c r="N287" s="4123"/>
      <c r="O287" s="4123"/>
      <c r="P287" s="4123"/>
      <c r="Q287" s="4076"/>
      <c r="R287" s="4076"/>
      <c r="S287" s="4076"/>
      <c r="T287" s="4076"/>
      <c r="U287" s="4076"/>
      <c r="V287" s="4076"/>
      <c r="W287" s="4076"/>
      <c r="X287" s="4076"/>
      <c r="Y287" s="4076"/>
    </row>
    <row customHeight="true" ht="18.452380952380953" r="288">
      <c r="A288" s="4042" t="s">
        <v>4001</v>
      </c>
      <c r="B288" s="4042">
        <v>46256</v>
      </c>
      <c r="C288" s="4042" t="str">
        <v>Saturday</v>
      </c>
      <c r="D288" s="4024" t="s">
        <v>4007</v>
      </c>
      <c r="E288" s="4028">
        <f t="shared" si="83"/>
      </c>
      <c r="F288" s="4026" t="s">
        <v>4005</v>
      </c>
      <c r="G288" s="4166"/>
      <c r="H288" s="4028" t="s">
        <v>3742</v>
      </c>
      <c r="I288" s="4046" t="s">
        <v>3743</v>
      </c>
      <c r="J288" s="4045"/>
      <c r="K288" s="4123"/>
      <c r="L288" s="4123"/>
      <c r="M288" s="4123"/>
      <c r="N288" s="4123"/>
      <c r="O288" s="4123"/>
      <c r="P288" s="4123"/>
      <c r="Q288" s="4076"/>
      <c r="R288" s="4076"/>
      <c r="S288" s="4076"/>
      <c r="T288" s="4076"/>
      <c r="U288" s="4076"/>
      <c r="V288" s="4076"/>
      <c r="W288" s="4076"/>
      <c r="X288" s="4076"/>
      <c r="Y288" s="4076"/>
    </row>
    <row customHeight="true" ht="18.452380952380953" r="289">
      <c r="A289" s="4057" t="s">
        <v>4001</v>
      </c>
      <c r="B289" s="4058">
        <v>46257</v>
      </c>
      <c r="C289" s="4057" t="str">
        <v>Sunday</v>
      </c>
      <c r="D289" s="4059" t="s">
        <v>3945</v>
      </c>
      <c r="E289" s="4060">
        <f t="shared" si="83"/>
      </c>
      <c r="F289" s="4060" t="s">
        <v>4006</v>
      </c>
      <c r="G289" s="4061"/>
      <c r="H289" s="4060" t="s">
        <v>3742</v>
      </c>
      <c r="I289" s="4060" t="s">
        <v>3743</v>
      </c>
      <c r="J289" s="4063"/>
      <c r="K289" s="4064"/>
      <c r="L289" s="4064"/>
      <c r="M289" s="4064"/>
      <c r="N289" s="4064"/>
      <c r="O289" s="4064"/>
      <c r="P289" s="4064"/>
      <c r="Q289" s="4065"/>
      <c r="R289" s="4065"/>
      <c r="S289" s="4065"/>
      <c r="T289" s="4065"/>
      <c r="U289" s="4065"/>
      <c r="V289" s="4065"/>
      <c r="W289" s="4065"/>
      <c r="X289" s="4065"/>
      <c r="Y289" s="4065"/>
    </row>
    <row customHeight="true" ht="18.452380952380953" r="290">
      <c r="A290" s="4158" t="s">
        <v>4001</v>
      </c>
      <c r="B290" s="4159">
        <v>46257</v>
      </c>
      <c r="C290" s="4158" t="str">
        <v>Sunday</v>
      </c>
      <c r="D290" s="4160" t="s">
        <v>3945</v>
      </c>
      <c r="E290" s="4032">
        <f t="shared" si="83"/>
      </c>
      <c r="F290" s="4165" t="s">
        <v>3745</v>
      </c>
      <c r="G290" s="4161"/>
      <c r="H290" s="4032" t="s">
        <v>3742</v>
      </c>
      <c r="I290" s="4032" t="s">
        <v>3743</v>
      </c>
      <c r="J290" s="4250"/>
      <c r="K290" s="4030"/>
      <c r="L290" s="4030"/>
      <c r="M290" s="4030"/>
      <c r="N290" s="4030"/>
      <c r="O290" s="4030"/>
      <c r="P290" s="4030"/>
      <c r="Q290" s="4105"/>
      <c r="R290" s="4105"/>
      <c r="S290" s="4105"/>
      <c r="T290" s="4105"/>
      <c r="U290" s="4105"/>
      <c r="V290" s="4105"/>
      <c r="W290" s="4105"/>
      <c r="X290" s="4105"/>
      <c r="Y290" s="4105"/>
    </row>
    <row customHeight="true" ht="18.452380952380953" r="291">
      <c r="A291" s="4042" t="s">
        <v>4001</v>
      </c>
      <c r="B291" s="4031">
        <v>46257</v>
      </c>
      <c r="C291" s="4042" t="str">
        <v>Sunday</v>
      </c>
      <c r="D291" s="4024" t="s">
        <v>4008</v>
      </c>
      <c r="E291" s="4028">
        <f t="shared" si="83"/>
      </c>
      <c r="F291" s="4028" t="s">
        <v>3785</v>
      </c>
      <c r="G291" s="4163"/>
      <c r="H291" s="4028" t="s">
        <v>3742</v>
      </c>
      <c r="I291" s="4046" t="s">
        <v>3743</v>
      </c>
      <c r="J291" s="4045"/>
      <c r="K291" s="4030"/>
      <c r="L291" s="4030"/>
      <c r="M291" s="4030"/>
      <c r="N291" s="4030"/>
      <c r="O291" s="4030"/>
      <c r="P291" s="4030"/>
    </row>
    <row customHeight="true" ht="18.452380952380953" r="292">
      <c r="A292" s="4042" t="s">
        <v>4009</v>
      </c>
      <c r="B292" s="4031">
        <v>46251</v>
      </c>
      <c r="C292" s="4042" t="str">
        <v>Monday</v>
      </c>
      <c r="D292" s="4024" t="s">
        <v>4010</v>
      </c>
      <c r="E292" s="4028">
        <f t="shared" si="83"/>
      </c>
      <c r="F292" s="4028" t="s">
        <v>3813</v>
      </c>
      <c r="G292" s="4163"/>
      <c r="H292" s="4028" t="s">
        <v>3802</v>
      </c>
      <c r="I292" s="4087" t="s">
        <v>3743</v>
      </c>
      <c r="J292" s="4045"/>
      <c r="K292" s="4030"/>
      <c r="L292" s="4030"/>
      <c r="M292" s="4030"/>
      <c r="N292" s="4030"/>
      <c r="O292" s="4030"/>
      <c r="P292" s="4030"/>
    </row>
    <row customHeight="true" ht="18.452380952380953" r="293">
      <c r="A293" s="4042" t="s">
        <v>4011</v>
      </c>
      <c r="B293" s="4031">
        <v>46252</v>
      </c>
      <c r="C293" s="4042" t="str">
        <v>Tuesday</v>
      </c>
      <c r="D293" s="4024" t="s">
        <v>3947</v>
      </c>
      <c r="E293" s="4028">
        <f t="shared" si="83"/>
      </c>
      <c r="F293" s="4028" t="s">
        <v>3749</v>
      </c>
      <c r="G293" s="4163" t="s">
        <v>3998</v>
      </c>
      <c r="H293" s="4028" t="s">
        <v>3802</v>
      </c>
      <c r="I293" s="4046" t="s">
        <v>3743</v>
      </c>
      <c r="J293" s="4045"/>
      <c r="K293" s="4123"/>
      <c r="L293" s="4123"/>
      <c r="M293" s="4123"/>
      <c r="N293" s="4123"/>
      <c r="O293" s="4123"/>
      <c r="P293" s="4123"/>
      <c r="Q293" s="4076"/>
      <c r="R293" s="4076"/>
      <c r="S293" s="4076"/>
      <c r="T293" s="4076"/>
      <c r="U293" s="4076"/>
      <c r="V293" s="4076"/>
      <c r="W293" s="4076"/>
      <c r="X293" s="4076"/>
      <c r="Y293" s="4076"/>
    </row>
    <row customHeight="true" ht="18.452380952380953" r="294">
      <c r="A294" s="4042" t="s">
        <v>4009</v>
      </c>
      <c r="B294" s="4031">
        <v>46252</v>
      </c>
      <c r="C294" s="4042" t="str">
        <v>Tuesday</v>
      </c>
      <c r="D294" s="4024" t="s">
        <v>4010</v>
      </c>
      <c r="E294" s="4028">
        <f t="shared" si="83"/>
      </c>
      <c r="F294" s="4028" t="s">
        <v>3813</v>
      </c>
      <c r="G294" s="4163"/>
      <c r="H294" s="4028" t="s">
        <v>3802</v>
      </c>
      <c r="I294" s="4087" t="s">
        <v>3743</v>
      </c>
      <c r="J294" s="4283"/>
      <c r="K294" s="4097"/>
      <c r="L294" s="4097"/>
      <c r="M294" s="4097"/>
      <c r="N294" s="4097"/>
      <c r="O294" s="4097"/>
      <c r="P294" s="4097"/>
    </row>
    <row customHeight="true" ht="18.452380952380953" r="295">
      <c r="A295" s="4042" t="s">
        <v>4011</v>
      </c>
      <c r="B295" s="4031">
        <v>46252</v>
      </c>
      <c r="C295" s="4042" t="str">
        <v>Tuesday</v>
      </c>
      <c r="D295" s="4024" t="s">
        <v>4012</v>
      </c>
      <c r="E295" s="4028">
        <f t="shared" si="83"/>
      </c>
      <c r="F295" s="4028" t="s">
        <v>3998</v>
      </c>
      <c r="G295" s="4166"/>
      <c r="H295" s="4028" t="s">
        <v>3802</v>
      </c>
      <c r="I295" s="4046" t="s">
        <v>3743</v>
      </c>
      <c r="J295" s="4283" t="s">
        <v>4013</v>
      </c>
      <c r="K295" s="4123"/>
      <c r="L295" s="4123"/>
      <c r="M295" s="4123"/>
      <c r="N295" s="4123"/>
      <c r="O295" s="4123"/>
      <c r="P295" s="4123"/>
      <c r="Q295" s="4076"/>
      <c r="R295" s="4076"/>
      <c r="S295" s="4076"/>
      <c r="T295" s="4076"/>
      <c r="U295" s="4076"/>
      <c r="V295" s="4076"/>
      <c r="W295" s="4076"/>
      <c r="X295" s="4076"/>
      <c r="Y295" s="4076"/>
    </row>
    <row customHeight="true" ht="18.452380952380953" r="296">
      <c r="A296" s="4042" t="s">
        <v>4009</v>
      </c>
      <c r="B296" s="4031">
        <v>46253</v>
      </c>
      <c r="C296" s="4042" t="str">
        <v>Wednesday</v>
      </c>
      <c r="D296" s="4024" t="s">
        <v>4010</v>
      </c>
      <c r="E296" s="4028">
        <f t="shared" si="83"/>
      </c>
      <c r="F296" s="4028" t="s">
        <v>3998</v>
      </c>
      <c r="G296" s="4163"/>
      <c r="H296" s="4028" t="s">
        <v>3802</v>
      </c>
      <c r="I296" s="4046" t="s">
        <v>3743</v>
      </c>
      <c r="J296" s="4045"/>
      <c r="K296" s="4030"/>
      <c r="L296" s="4030"/>
      <c r="M296" s="4030"/>
      <c r="N296" s="4030"/>
      <c r="O296" s="4030"/>
      <c r="P296" s="4030"/>
    </row>
    <row customHeight="true" ht="18.452380952380953" r="297">
      <c r="A297" s="4042" t="s">
        <v>4011</v>
      </c>
      <c r="B297" s="4031">
        <v>46253</v>
      </c>
      <c r="C297" s="4042" t="str">
        <v>Wednesday</v>
      </c>
      <c r="D297" s="4024" t="s">
        <v>3947</v>
      </c>
      <c r="E297" s="4028">
        <f t="shared" si="83"/>
      </c>
      <c r="F297" s="4026" t="s">
        <v>4005</v>
      </c>
      <c r="G297" s="4163" t="s">
        <v>3998</v>
      </c>
      <c r="H297" s="4028" t="s">
        <v>3802</v>
      </c>
      <c r="I297" s="4046" t="s">
        <v>3743</v>
      </c>
      <c r="J297" s="4045"/>
      <c r="K297" s="4123"/>
      <c r="L297" s="4123"/>
      <c r="M297" s="4123"/>
      <c r="N297" s="4123"/>
      <c r="O297" s="4123"/>
      <c r="P297" s="4123"/>
      <c r="Q297" s="4076"/>
      <c r="R297" s="4076"/>
      <c r="S297" s="4076"/>
      <c r="T297" s="4076"/>
      <c r="U297" s="4076"/>
      <c r="V297" s="4076"/>
      <c r="W297" s="4076"/>
      <c r="X297" s="4076"/>
      <c r="Y297" s="4076"/>
    </row>
    <row customHeight="true" ht="18.452380952380953" r="298">
      <c r="A298" s="4042" t="s">
        <v>4011</v>
      </c>
      <c r="B298" s="4031">
        <v>46253</v>
      </c>
      <c r="C298" s="4042" t="str">
        <v>Wednesday</v>
      </c>
      <c r="D298" s="4024" t="s">
        <v>3950</v>
      </c>
      <c r="E298" s="4028">
        <f t="shared" si="83"/>
      </c>
      <c r="F298" s="4028" t="s">
        <v>3986</v>
      </c>
      <c r="G298" s="4163"/>
      <c r="H298" s="4028" t="s">
        <v>3802</v>
      </c>
      <c r="I298" s="4046" t="s">
        <v>3743</v>
      </c>
      <c r="J298" s="4045"/>
      <c r="K298" s="4030"/>
      <c r="L298" s="4030"/>
      <c r="M298" s="4030"/>
      <c r="N298" s="4030"/>
      <c r="O298" s="4030"/>
      <c r="P298" s="4030"/>
    </row>
    <row customHeight="true" ht="18.452380952380953" r="299">
      <c r="A299" s="4042" t="s">
        <v>4009</v>
      </c>
      <c r="B299" s="4031">
        <v>46254</v>
      </c>
      <c r="C299" s="4042" t="str">
        <v>Thursday</v>
      </c>
      <c r="D299" s="4024" t="s">
        <v>4010</v>
      </c>
      <c r="E299" s="4028">
        <f t="shared" si="83"/>
      </c>
      <c r="F299" s="4028" t="s">
        <v>4005</v>
      </c>
      <c r="G299" s="4166"/>
      <c r="H299" s="4028" t="s">
        <v>3802</v>
      </c>
      <c r="I299" s="4046" t="s">
        <v>3743</v>
      </c>
      <c r="J299" s="4045"/>
      <c r="K299" s="4030"/>
      <c r="L299" s="4030"/>
      <c r="M299" s="4030"/>
      <c r="N299" s="4030"/>
      <c r="O299" s="4030"/>
      <c r="P299" s="4030"/>
    </row>
    <row customHeight="true" ht="18.452380952380953" r="300">
      <c r="A300" s="4057" t="s">
        <v>4011</v>
      </c>
      <c r="B300" s="4058">
        <v>46254</v>
      </c>
      <c r="C300" s="4057" t="str">
        <v>Thursday</v>
      </c>
      <c r="D300" s="4059" t="s">
        <v>3947</v>
      </c>
      <c r="E300" s="4060">
        <f t="shared" si="83"/>
      </c>
      <c r="F300" s="4060" t="s">
        <v>4014</v>
      </c>
      <c r="G300" s="4061"/>
      <c r="H300" s="4060" t="s">
        <v>3802</v>
      </c>
      <c r="I300" s="4102" t="s">
        <v>3743</v>
      </c>
      <c r="J300" s="4063"/>
      <c r="K300" s="4064"/>
      <c r="L300" s="4064"/>
      <c r="M300" s="4064"/>
      <c r="N300" s="4064"/>
      <c r="O300" s="4064"/>
      <c r="P300" s="4064"/>
      <c r="Q300" s="4065"/>
      <c r="R300" s="4065"/>
      <c r="S300" s="4065"/>
      <c r="T300" s="4065"/>
      <c r="U300" s="4065"/>
      <c r="V300" s="4065"/>
      <c r="W300" s="4065"/>
      <c r="X300" s="4065"/>
      <c r="Y300" s="4065"/>
    </row>
    <row customHeight="true" ht="18.452380952380953" r="301">
      <c r="A301" s="4042" t="s">
        <v>4009</v>
      </c>
      <c r="B301" s="4031">
        <v>46255</v>
      </c>
      <c r="C301" s="4042" t="str">
        <v>Friday</v>
      </c>
      <c r="D301" s="4024" t="s">
        <v>4012</v>
      </c>
      <c r="E301" s="4028">
        <f t="shared" si="83"/>
      </c>
      <c r="F301" s="4028" t="s">
        <v>3994</v>
      </c>
      <c r="G301" s="4163"/>
      <c r="H301" s="4028" t="s">
        <v>3742</v>
      </c>
      <c r="I301" s="4046" t="s">
        <v>3743</v>
      </c>
      <c r="J301" s="4045"/>
      <c r="K301" s="4030"/>
      <c r="L301" s="4030"/>
      <c r="M301" s="4030"/>
      <c r="N301" s="4030"/>
      <c r="O301" s="4030"/>
      <c r="P301" s="4030"/>
    </row>
    <row customHeight="true" ht="18.452380952380953" r="302">
      <c r="A302" s="4042" t="s">
        <v>4011</v>
      </c>
      <c r="B302" s="4031">
        <v>46255</v>
      </c>
      <c r="C302" s="4042" t="str">
        <v>Friday</v>
      </c>
      <c r="D302" s="4024" t="s">
        <v>4015</v>
      </c>
      <c r="E302" s="4028">
        <f t="shared" si="83"/>
      </c>
      <c r="F302" s="4032" t="s">
        <v>3745</v>
      </c>
      <c r="G302" s="4163" t="s">
        <v>3998</v>
      </c>
      <c r="H302" s="4028" t="s">
        <v>3802</v>
      </c>
      <c r="I302" s="4046" t="s">
        <v>3743</v>
      </c>
      <c r="J302" s="4045"/>
      <c r="K302" s="4123"/>
      <c r="L302" s="4123"/>
      <c r="M302" s="4123"/>
      <c r="N302" s="4123"/>
      <c r="O302" s="4123"/>
      <c r="P302" s="4123"/>
      <c r="Q302" s="4076"/>
      <c r="R302" s="4076"/>
      <c r="S302" s="4076"/>
      <c r="T302" s="4076"/>
      <c r="U302" s="4076"/>
      <c r="V302" s="4076"/>
      <c r="W302" s="4076"/>
      <c r="X302" s="4076"/>
      <c r="Y302" s="4076"/>
    </row>
    <row customHeight="true" ht="18.452380952380953" r="303">
      <c r="A303" s="4042" t="s">
        <v>4009</v>
      </c>
      <c r="B303" s="4042">
        <v>46255</v>
      </c>
      <c r="C303" s="4042" t="str">
        <v>Friday</v>
      </c>
      <c r="D303" s="4024" t="s">
        <v>4016</v>
      </c>
      <c r="E303" s="4028">
        <f t="shared" si="83"/>
      </c>
      <c r="F303" s="4028" t="s">
        <v>3813</v>
      </c>
      <c r="G303" s="4166"/>
      <c r="H303" s="4028" t="s">
        <v>3742</v>
      </c>
      <c r="I303" s="4087" t="s">
        <v>3743</v>
      </c>
      <c r="J303" s="4045"/>
      <c r="K303" s="4123"/>
      <c r="L303" s="4123"/>
      <c r="M303" s="4123"/>
      <c r="N303" s="4123"/>
      <c r="O303" s="4123"/>
      <c r="P303" s="4123"/>
      <c r="Q303" s="4076"/>
      <c r="R303" s="4076"/>
      <c r="S303" s="4076"/>
      <c r="T303" s="4076"/>
      <c r="U303" s="4076"/>
      <c r="V303" s="4076"/>
      <c r="W303" s="4076"/>
      <c r="X303" s="4076"/>
      <c r="Y303" s="4076"/>
    </row>
    <row customHeight="true" ht="18.452380952380953" r="304">
      <c r="A304" s="4042" t="s">
        <v>4009</v>
      </c>
      <c r="B304" s="4031">
        <v>46256</v>
      </c>
      <c r="C304" s="4042" t="str">
        <v>Saturday</v>
      </c>
      <c r="D304" s="4024" t="s">
        <v>3947</v>
      </c>
      <c r="E304" s="4028">
        <f t="shared" si="83"/>
      </c>
      <c r="F304" s="4028" t="s">
        <v>3994</v>
      </c>
      <c r="G304" s="4166"/>
      <c r="H304" s="4028" t="s">
        <v>3742</v>
      </c>
      <c r="I304" s="4046" t="s">
        <v>3743</v>
      </c>
      <c r="J304" s="4045"/>
      <c r="K304" s="4123"/>
      <c r="L304" s="4123"/>
      <c r="M304" s="4123"/>
      <c r="N304" s="4123"/>
      <c r="O304" s="4123"/>
      <c r="P304" s="4123"/>
      <c r="Q304" s="4076"/>
      <c r="R304" s="4076"/>
      <c r="S304" s="4076"/>
      <c r="T304" s="4076"/>
      <c r="U304" s="4076"/>
      <c r="V304" s="4076"/>
      <c r="W304" s="4076"/>
      <c r="X304" s="4076"/>
      <c r="Y304" s="4076"/>
    </row>
    <row customHeight="true" ht="18.452380952380953" r="305">
      <c r="A305" s="4042" t="s">
        <v>4009</v>
      </c>
      <c r="B305" s="4031">
        <v>46256</v>
      </c>
      <c r="C305" s="4042" t="str">
        <v>Saturday</v>
      </c>
      <c r="D305" s="4024" t="s">
        <v>4007</v>
      </c>
      <c r="E305" s="4028">
        <f t="shared" si="83"/>
      </c>
      <c r="F305" s="4028" t="s">
        <v>4017</v>
      </c>
      <c r="G305" s="4166"/>
      <c r="H305" s="4028" t="s">
        <v>3742</v>
      </c>
      <c r="I305" s="4046" t="s">
        <v>3743</v>
      </c>
      <c r="J305" s="4045"/>
      <c r="K305" s="4123"/>
      <c r="L305" s="4123"/>
      <c r="M305" s="4123"/>
      <c r="N305" s="4123"/>
      <c r="O305" s="4123"/>
      <c r="P305" s="4123"/>
      <c r="Q305" s="4076"/>
      <c r="R305" s="4076"/>
      <c r="S305" s="4076"/>
      <c r="T305" s="4076"/>
      <c r="U305" s="4076"/>
      <c r="V305" s="4076"/>
      <c r="W305" s="4076"/>
      <c r="X305" s="4076"/>
      <c r="Y305" s="4076"/>
    </row>
    <row customHeight="true" ht="18.452380952380953" r="306">
      <c r="A306" s="4042" t="s">
        <v>4011</v>
      </c>
      <c r="B306" s="4031">
        <v>46256</v>
      </c>
      <c r="C306" s="4042" t="str">
        <v>Saturday</v>
      </c>
      <c r="D306" s="4024" t="s">
        <v>3965</v>
      </c>
      <c r="E306" s="4028">
        <f t="shared" si="83"/>
      </c>
      <c r="F306" s="4046" t="s">
        <v>3745</v>
      </c>
      <c r="G306" s="4166" t="s">
        <v>3998</v>
      </c>
      <c r="H306" s="4028" t="s">
        <v>3802</v>
      </c>
      <c r="I306" s="4046" t="s">
        <v>3743</v>
      </c>
      <c r="J306" s="4045"/>
      <c r="K306" s="4123"/>
      <c r="L306" s="4123"/>
      <c r="M306" s="4123"/>
      <c r="N306" s="4123"/>
      <c r="O306" s="4123"/>
      <c r="P306" s="4123"/>
      <c r="Q306" s="4076"/>
      <c r="R306" s="4076"/>
      <c r="S306" s="4076"/>
      <c r="T306" s="4076"/>
      <c r="U306" s="4076"/>
      <c r="V306" s="4076"/>
      <c r="W306" s="4076"/>
      <c r="X306" s="4076"/>
      <c r="Y306" s="4076"/>
    </row>
    <row customHeight="true" ht="18.452380952380953" r="307">
      <c r="A307" s="4042" t="s">
        <v>4009</v>
      </c>
      <c r="B307" s="4031">
        <v>46257</v>
      </c>
      <c r="C307" s="4042" t="str">
        <v>Sunday</v>
      </c>
      <c r="D307" s="4024" t="s">
        <v>4010</v>
      </c>
      <c r="E307" s="4028">
        <f t="shared" si="83"/>
      </c>
      <c r="F307" s="4028" t="s">
        <v>4017</v>
      </c>
      <c r="G307" s="4163"/>
      <c r="H307" s="4028" t="s">
        <v>3742</v>
      </c>
      <c r="I307" s="4046" t="s">
        <v>3743</v>
      </c>
      <c r="J307" s="4045"/>
      <c r="K307" s="4030"/>
      <c r="L307" s="4030"/>
      <c r="M307" s="4030"/>
      <c r="N307" s="4030"/>
      <c r="O307" s="4030"/>
      <c r="P307" s="4030"/>
    </row>
    <row customHeight="true" ht="18.452380952380953" r="308">
      <c r="A308" s="4042" t="s">
        <v>4009</v>
      </c>
      <c r="B308" s="4031">
        <v>46257</v>
      </c>
      <c r="C308" s="4042" t="str">
        <v>Sunday</v>
      </c>
      <c r="D308" s="4024" t="s">
        <v>4007</v>
      </c>
      <c r="E308" s="4028">
        <f t="shared" si="83"/>
      </c>
      <c r="F308" s="4028" t="s">
        <v>3994</v>
      </c>
      <c r="G308" s="4163"/>
      <c r="H308" s="4028" t="s">
        <v>3742</v>
      </c>
      <c r="I308" s="4046" t="s">
        <v>3743</v>
      </c>
      <c r="J308" s="4045"/>
      <c r="K308" s="4030"/>
      <c r="L308" s="4030"/>
      <c r="M308" s="4030"/>
      <c r="N308" s="4030"/>
      <c r="O308" s="4030"/>
      <c r="P308" s="4030"/>
    </row>
    <row customHeight="true" ht="18.452380952380953" r="309">
      <c r="A309" s="4042" t="s">
        <v>4011</v>
      </c>
      <c r="B309" s="4031">
        <v>46251</v>
      </c>
      <c r="C309" s="4042" t="str">
        <v>Monday</v>
      </c>
      <c r="D309" s="4024" t="s">
        <v>4018</v>
      </c>
      <c r="E309" s="4028">
        <f t="shared" si="83"/>
      </c>
      <c r="F309" s="4028" t="s">
        <v>3998</v>
      </c>
      <c r="G309" s="4166"/>
      <c r="H309" s="4028" t="s">
        <v>3802</v>
      </c>
      <c r="I309" s="4046" t="s">
        <v>3743</v>
      </c>
      <c r="J309" s="4283" t="s">
        <v>4019</v>
      </c>
      <c r="K309" s="4123"/>
      <c r="L309" s="4123"/>
      <c r="M309" s="4123"/>
      <c r="N309" s="4123"/>
      <c r="O309" s="4123"/>
      <c r="P309" s="4123"/>
      <c r="Q309" s="4076"/>
      <c r="R309" s="4076"/>
      <c r="S309" s="4076"/>
      <c r="T309" s="4076"/>
      <c r="U309" s="4076"/>
      <c r="V309" s="4076"/>
      <c r="W309" s="4076"/>
      <c r="X309" s="4076"/>
      <c r="Y309" s="4076"/>
    </row>
    <row customHeight="true" ht="18.452380952380953" r="310">
      <c r="A310" s="4042" t="s">
        <v>4011</v>
      </c>
      <c r="B310" s="4031">
        <v>46253</v>
      </c>
      <c r="C310" s="4042" t="str">
        <v>Wednesday</v>
      </c>
      <c r="D310" s="4024" t="s">
        <v>4020</v>
      </c>
      <c r="E310" s="4028">
        <f t="shared" si="83"/>
      </c>
      <c r="F310" s="4028" t="s">
        <v>3998</v>
      </c>
      <c r="G310" s="4166"/>
      <c r="H310" s="4028" t="s">
        <v>3802</v>
      </c>
      <c r="I310" s="4046" t="s">
        <v>3743</v>
      </c>
      <c r="J310" s="4283" t="s">
        <v>4021</v>
      </c>
      <c r="K310" s="4123"/>
      <c r="L310" s="4123"/>
      <c r="M310" s="4123"/>
      <c r="N310" s="4123"/>
      <c r="O310" s="4123"/>
      <c r="P310" s="4123"/>
      <c r="Q310" s="4076"/>
      <c r="R310" s="4076"/>
      <c r="S310" s="4076"/>
      <c r="T310" s="4076"/>
      <c r="U310" s="4076"/>
      <c r="V310" s="4076"/>
      <c r="W310" s="4076"/>
      <c r="X310" s="4076"/>
      <c r="Y310" s="4076"/>
    </row>
    <row customHeight="true" ht="18.452380952380953" r="311">
      <c r="A311" s="4042" t="s">
        <v>4011</v>
      </c>
      <c r="B311" s="4042">
        <v>46254</v>
      </c>
      <c r="C311" s="4042" t="str">
        <v>Thursday</v>
      </c>
      <c r="D311" s="4024" t="s">
        <v>4022</v>
      </c>
      <c r="E311" s="4028">
        <f t="shared" si="83"/>
      </c>
      <c r="F311" s="4028" t="s">
        <v>3998</v>
      </c>
      <c r="G311" s="4166"/>
      <c r="H311" s="4028" t="s">
        <v>3802</v>
      </c>
      <c r="I311" s="4046" t="s">
        <v>3743</v>
      </c>
      <c r="J311" s="4283" t="s">
        <v>4023</v>
      </c>
      <c r="K311" s="4123"/>
      <c r="L311" s="4123"/>
      <c r="M311" s="4123"/>
      <c r="N311" s="4123"/>
      <c r="O311" s="4123"/>
      <c r="P311" s="4123"/>
      <c r="Q311" s="4076"/>
      <c r="R311" s="4076"/>
      <c r="S311" s="4076"/>
      <c r="T311" s="4076"/>
      <c r="U311" s="4076"/>
      <c r="V311" s="4076"/>
      <c r="W311" s="4076"/>
      <c r="X311" s="4076"/>
      <c r="Y311" s="4076"/>
    </row>
    <row customHeight="true" ht="18.452380952380953" r="312">
      <c r="A312" s="4042"/>
      <c r="B312" s="4042"/>
      <c r="C312" s="4042"/>
      <c r="D312" s="4024"/>
      <c r="E312" s="4028"/>
      <c r="F312" s="4028"/>
      <c r="G312" s="4166"/>
      <c r="H312" s="4028"/>
      <c r="I312" s="4046"/>
      <c r="J312" s="4283"/>
      <c r="K312" s="4123"/>
      <c r="L312" s="4123"/>
      <c r="M312" s="4123"/>
      <c r="N312" s="4123"/>
      <c r="O312" s="4123"/>
      <c r="P312" s="4123"/>
      <c r="Q312" s="4076"/>
      <c r="R312" s="4076"/>
      <c r="S312" s="4076"/>
      <c r="T312" s="4076"/>
      <c r="U312" s="4076"/>
      <c r="V312" s="4076"/>
      <c r="W312" s="4076"/>
      <c r="X312" s="4076"/>
      <c r="Y312" s="4076"/>
    </row>
    <row customHeight="true" ht="18.452380952380953" r="313">
      <c r="A313" s="4042"/>
      <c r="B313" s="4042"/>
      <c r="C313" s="4042"/>
      <c r="D313" s="4046"/>
      <c r="E313" s="4046"/>
      <c r="F313" s="4295"/>
      <c r="G313" s="4075"/>
      <c r="H313" s="4046"/>
      <c r="I313" s="4046"/>
      <c r="J313" s="4029"/>
      <c r="K313" s="4030"/>
      <c r="L313" s="4030"/>
      <c r="M313" s="4030"/>
      <c r="N313" s="4030"/>
      <c r="O313" s="4030"/>
      <c r="P313" s="4030"/>
    </row>
    <row r="314">
      <c r="A314" s="4296" t="s">
        <v>3762</v>
      </c>
      <c r="B314" s="4297" t="s">
        <v>3763</v>
      </c>
      <c r="C314" s="4297"/>
      <c r="D314" s="4298" t="s">
        <v>3764</v>
      </c>
      <c r="E314" s="4298" t="s">
        <v>3765</v>
      </c>
      <c r="F314" s="4298" t="s">
        <v>3766</v>
      </c>
      <c r="G314" s="4299" t="s">
        <v>3781</v>
      </c>
      <c r="H314" s="4298" t="s">
        <v>3768</v>
      </c>
      <c r="I314" s="4298" t="s">
        <v>3769</v>
      </c>
      <c r="J314" s="4300" t="s">
        <v>3770</v>
      </c>
      <c r="K314" s="4041"/>
      <c r="L314" s="4041"/>
      <c r="M314" s="4041"/>
      <c r="N314" s="4041"/>
      <c r="O314" s="4041"/>
      <c r="P314" s="4041"/>
    </row>
    <row r="315">
      <c r="A315" s="4158" t="s">
        <v>4024</v>
      </c>
      <c r="B315" s="4159">
        <v>46251</v>
      </c>
      <c r="C315" s="4158" t="str">
        <v>Monday</v>
      </c>
      <c r="D315" s="4160" t="s">
        <v>3936</v>
      </c>
      <c r="E315" s="4046">
        <f t="shared" ref="E315:E341" si="84">24*MOD(TIMEVALUE(TRIM(MID(D315,FIND("-",D315)+1,LEN(D315)))) - TIMEVALUE(TRIM(LEFT(D315,FIND("-",D315)-1))),1)</f>
      </c>
      <c r="F315" s="4295" t="s">
        <v>3988</v>
      </c>
      <c r="G315" s="4161"/>
      <c r="H315" s="4032"/>
      <c r="I315" s="4032" t="s">
        <v>3743</v>
      </c>
      <c r="J315" s="4301"/>
      <c r="K315" s="4097"/>
      <c r="L315" s="4097"/>
      <c r="M315" s="4097"/>
      <c r="N315" s="4097"/>
      <c r="O315" s="4097"/>
      <c r="P315" s="4097"/>
    </row>
    <row customHeight="true" ht="18.452380952380953" r="316">
      <c r="A316" s="4042" t="s">
        <v>4024</v>
      </c>
      <c r="B316" s="4031">
        <v>46252</v>
      </c>
      <c r="C316" s="4042" t="str">
        <v>Tuesday</v>
      </c>
      <c r="D316" s="4024" t="s">
        <v>3936</v>
      </c>
      <c r="E316" s="4046">
        <f t="shared" si="84"/>
      </c>
      <c r="F316" s="4295" t="s">
        <v>3988</v>
      </c>
      <c r="G316" s="4055"/>
      <c r="H316" s="4046"/>
      <c r="I316" s="4046" t="s">
        <v>3743</v>
      </c>
      <c r="J316" s="4029"/>
      <c r="K316" s="4030"/>
      <c r="L316" s="4030"/>
      <c r="M316" s="4030"/>
      <c r="N316" s="4030"/>
      <c r="O316" s="4030"/>
      <c r="P316" s="4030"/>
    </row>
    <row customHeight="true" ht="18.452380952380953" r="317">
      <c r="A317" s="4042" t="s">
        <v>4024</v>
      </c>
      <c r="B317" s="4031">
        <v>46253</v>
      </c>
      <c r="C317" s="4042" t="str">
        <v>Wednesday</v>
      </c>
      <c r="D317" s="4024" t="s">
        <v>3936</v>
      </c>
      <c r="E317" s="4046">
        <f t="shared" si="84"/>
      </c>
      <c r="F317" s="4295" t="s">
        <v>3988</v>
      </c>
      <c r="G317" s="4055"/>
      <c r="H317" s="4046"/>
      <c r="I317" s="4046" t="s">
        <v>3743</v>
      </c>
      <c r="J317" s="4029"/>
      <c r="K317" s="4030"/>
      <c r="L317" s="4030"/>
      <c r="M317" s="4030"/>
      <c r="N317" s="4030"/>
      <c r="O317" s="4030"/>
      <c r="P317" s="4030"/>
    </row>
    <row customHeight="true" ht="18.452380952380953" r="318">
      <c r="A318" s="4042" t="s">
        <v>4024</v>
      </c>
      <c r="B318" s="4031">
        <v>46254</v>
      </c>
      <c r="C318" s="4042" t="str">
        <v>Thursday</v>
      </c>
      <c r="D318" s="4024" t="s">
        <v>3936</v>
      </c>
      <c r="E318" s="4046">
        <f t="shared" si="84"/>
      </c>
      <c r="F318" s="4295" t="s">
        <v>3988</v>
      </c>
      <c r="G318" s="4055"/>
      <c r="H318" s="4046"/>
      <c r="I318" s="4046" t="s">
        <v>3743</v>
      </c>
      <c r="J318" s="4029"/>
      <c r="K318" s="4030"/>
      <c r="L318" s="4030"/>
      <c r="M318" s="4030"/>
      <c r="N318" s="4030"/>
      <c r="O318" s="4030"/>
      <c r="P318" s="4030"/>
    </row>
    <row customHeight="true" ht="18.452380952380953" r="319">
      <c r="A319" s="4042" t="s">
        <v>4024</v>
      </c>
      <c r="B319" s="4031">
        <v>46254</v>
      </c>
      <c r="C319" s="4042" t="str">
        <v>Thursday</v>
      </c>
      <c r="D319" s="4024" t="s">
        <v>4025</v>
      </c>
      <c r="E319" s="4046">
        <f t="shared" si="84"/>
      </c>
      <c r="F319" s="4295" t="s">
        <v>4005</v>
      </c>
      <c r="G319" s="4055"/>
      <c r="H319" s="4046"/>
      <c r="I319" s="4046" t="s">
        <v>3743</v>
      </c>
      <c r="J319" s="4029"/>
      <c r="K319" s="4030"/>
      <c r="L319" s="4030"/>
      <c r="M319" s="4030"/>
      <c r="N319" s="4030"/>
      <c r="O319" s="4030"/>
      <c r="P319" s="4030"/>
    </row>
    <row customHeight="true" ht="20.238095238095237" r="320">
      <c r="A320" s="4042" t="s">
        <v>4024</v>
      </c>
      <c r="B320" s="4031">
        <v>46255</v>
      </c>
      <c r="C320" s="4042" t="str">
        <v>Friday</v>
      </c>
      <c r="D320" s="4024" t="s">
        <v>3917</v>
      </c>
      <c r="E320" s="4046">
        <f t="shared" si="84"/>
      </c>
      <c r="F320" s="4295" t="s">
        <v>3988</v>
      </c>
      <c r="G320" s="4055"/>
      <c r="H320" s="4046"/>
      <c r="I320" s="4046" t="s">
        <v>3743</v>
      </c>
      <c r="J320" s="4029"/>
      <c r="K320" s="4030"/>
      <c r="L320" s="4030"/>
      <c r="M320" s="4030"/>
      <c r="N320" s="4030"/>
      <c r="O320" s="4030"/>
      <c r="P320" s="4030"/>
    </row>
    <row customHeight="true" ht="20.238095238095237" r="321">
      <c r="A321" s="4042" t="s">
        <v>4024</v>
      </c>
      <c r="B321" s="4031">
        <v>46255</v>
      </c>
      <c r="C321" s="4042" t="str">
        <v>Friday</v>
      </c>
      <c r="D321" s="4024" t="s">
        <v>4026</v>
      </c>
      <c r="E321" s="4046">
        <f t="shared" si="84"/>
      </c>
      <c r="F321" s="4295" t="s">
        <v>4005</v>
      </c>
      <c r="G321" s="4055"/>
      <c r="H321" s="4046"/>
      <c r="I321" s="4046" t="s">
        <v>3743</v>
      </c>
      <c r="J321" s="4029"/>
      <c r="K321" s="4030"/>
      <c r="L321" s="4030"/>
      <c r="M321" s="4030"/>
      <c r="N321" s="4030"/>
      <c r="O321" s="4030"/>
      <c r="P321" s="4030"/>
    </row>
    <row customHeight="true" ht="20.238095238095237" r="322">
      <c r="A322" s="4042" t="s">
        <v>4024</v>
      </c>
      <c r="B322" s="4031">
        <v>46255</v>
      </c>
      <c r="C322" s="4042" t="str">
        <v>Friday</v>
      </c>
      <c r="D322" s="4024" t="s">
        <v>4027</v>
      </c>
      <c r="E322" s="4046">
        <f t="shared" si="84"/>
      </c>
      <c r="F322" s="4295" t="s">
        <v>3988</v>
      </c>
      <c r="G322" s="4055"/>
      <c r="H322" s="4046"/>
      <c r="I322" s="4046" t="s">
        <v>3743</v>
      </c>
      <c r="J322" s="4029"/>
      <c r="K322" s="4030"/>
      <c r="L322" s="4030"/>
      <c r="M322" s="4030"/>
      <c r="N322" s="4030"/>
      <c r="O322" s="4030"/>
      <c r="P322" s="4030"/>
    </row>
    <row customHeight="true" ht="20.238095238095237" r="323">
      <c r="A323" s="4042" t="s">
        <v>4024</v>
      </c>
      <c r="B323" s="4031">
        <v>46256</v>
      </c>
      <c r="C323" s="4042" t="str">
        <v>Saturday</v>
      </c>
      <c r="D323" s="4024" t="s">
        <v>3871</v>
      </c>
      <c r="E323" s="4046">
        <f t="shared" si="84"/>
      </c>
      <c r="F323" s="4295" t="s">
        <v>4005</v>
      </c>
      <c r="G323" s="4055"/>
      <c r="H323" s="4046"/>
      <c r="I323" s="4046" t="s">
        <v>3743</v>
      </c>
      <c r="J323" s="4029"/>
      <c r="K323" s="4030"/>
      <c r="L323" s="4030"/>
      <c r="M323" s="4030"/>
      <c r="N323" s="4030"/>
      <c r="O323" s="4030"/>
      <c r="P323" s="4030"/>
    </row>
    <row customHeight="true" ht="20.238095238095237" r="324">
      <c r="A324" s="4042" t="s">
        <v>4024</v>
      </c>
      <c r="B324" s="4031">
        <v>46256</v>
      </c>
      <c r="C324" s="4042" t="str">
        <v>Saturday</v>
      </c>
      <c r="D324" s="4024" t="s">
        <v>3964</v>
      </c>
      <c r="E324" s="4046">
        <f t="shared" si="84"/>
      </c>
      <c r="F324" s="4295" t="s">
        <v>3986</v>
      </c>
      <c r="G324" s="4055"/>
      <c r="H324" s="4046"/>
      <c r="I324" s="4046" t="s">
        <v>3743</v>
      </c>
      <c r="J324" s="4029"/>
      <c r="K324" s="4030"/>
      <c r="L324" s="4030"/>
      <c r="M324" s="4030"/>
      <c r="N324" s="4030"/>
      <c r="O324" s="4030"/>
      <c r="P324" s="4030"/>
    </row>
    <row customHeight="true" ht="20.238095238095237" r="325">
      <c r="A325" s="4042" t="s">
        <v>4024</v>
      </c>
      <c r="B325" s="4031">
        <v>46256</v>
      </c>
      <c r="C325" s="4042" t="str">
        <v>Saturday</v>
      </c>
      <c r="D325" s="4024" t="s">
        <v>4028</v>
      </c>
      <c r="E325" s="4046">
        <f t="shared" si="84"/>
      </c>
      <c r="F325" s="4295" t="s">
        <v>3988</v>
      </c>
      <c r="G325" s="4055"/>
      <c r="H325" s="4046"/>
      <c r="I325" s="4046" t="s">
        <v>3743</v>
      </c>
      <c r="J325" s="4029"/>
      <c r="K325" s="4030"/>
      <c r="L325" s="4030"/>
      <c r="M325" s="4030"/>
      <c r="N325" s="4030"/>
      <c r="O325" s="4030"/>
      <c r="P325" s="4030"/>
    </row>
    <row customHeight="true" ht="20.238095238095237" r="326">
      <c r="A326" s="4042" t="s">
        <v>4024</v>
      </c>
      <c r="B326" s="4031">
        <v>46257</v>
      </c>
      <c r="C326" s="4042" t="str">
        <v>Sunday</v>
      </c>
      <c r="D326" s="4024" t="s">
        <v>4029</v>
      </c>
      <c r="E326" s="4046">
        <f t="shared" si="84"/>
      </c>
      <c r="F326" s="4295" t="s">
        <v>3988</v>
      </c>
      <c r="G326" s="4055"/>
      <c r="H326" s="4046"/>
      <c r="I326" s="4046" t="s">
        <v>3743</v>
      </c>
      <c r="J326" s="4029"/>
      <c r="K326" s="4030"/>
      <c r="L326" s="4030"/>
      <c r="M326" s="4030"/>
      <c r="N326" s="4030"/>
      <c r="O326" s="4030"/>
      <c r="P326" s="4030"/>
    </row>
    <row customHeight="true" ht="20.238095238095237" r="327">
      <c r="A327" s="4042" t="s">
        <v>4024</v>
      </c>
      <c r="B327" s="4031">
        <v>46257</v>
      </c>
      <c r="C327" s="4042" t="str">
        <v>Sunday</v>
      </c>
      <c r="D327" s="4024" t="s">
        <v>4030</v>
      </c>
      <c r="E327" s="4046">
        <f t="shared" si="84"/>
      </c>
      <c r="F327" s="4295" t="s">
        <v>3986</v>
      </c>
      <c r="G327" s="4055"/>
      <c r="H327" s="4046"/>
      <c r="I327" s="4046" t="s">
        <v>3743</v>
      </c>
      <c r="J327" s="4029"/>
      <c r="K327" s="4030"/>
      <c r="L327" s="4030"/>
      <c r="M327" s="4030"/>
      <c r="N327" s="4030"/>
      <c r="O327" s="4030"/>
      <c r="P327" s="4030"/>
    </row>
    <row customHeight="true" ht="20.238095238095237" r="328">
      <c r="A328" s="4042" t="s">
        <v>4031</v>
      </c>
      <c r="B328" s="4031">
        <v>46252</v>
      </c>
      <c r="C328" s="4042" t="str">
        <v>Tuesday</v>
      </c>
      <c r="D328" s="4024" t="s">
        <v>4032</v>
      </c>
      <c r="E328" s="4046">
        <f t="shared" si="84"/>
      </c>
      <c r="F328" s="4295" t="s">
        <v>3988</v>
      </c>
      <c r="G328" s="4055"/>
      <c r="H328" s="4046"/>
      <c r="I328" s="4046" t="s">
        <v>3743</v>
      </c>
      <c r="J328" s="4029"/>
      <c r="K328" s="4030"/>
      <c r="L328" s="4030"/>
      <c r="M328" s="4030"/>
      <c r="N328" s="4030"/>
      <c r="O328" s="4030"/>
      <c r="P328" s="4030"/>
    </row>
    <row r="329">
      <c r="A329" s="4042" t="s">
        <v>4033</v>
      </c>
      <c r="B329" s="4159">
        <v>46251</v>
      </c>
      <c r="C329" s="4042" t="str">
        <v>Monday</v>
      </c>
      <c r="D329" s="4160" t="s">
        <v>3936</v>
      </c>
      <c r="E329" s="4046">
        <f t="shared" si="84"/>
      </c>
      <c r="F329" s="4165" t="s">
        <v>4034</v>
      </c>
      <c r="G329" s="4075"/>
      <c r="H329" s="4046"/>
      <c r="I329" s="4046" t="s">
        <v>3743</v>
      </c>
      <c r="J329" s="4025" t="s">
        <v>4035</v>
      </c>
      <c r="K329" s="4030"/>
      <c r="L329" s="4030"/>
      <c r="M329" s="4030"/>
      <c r="N329" s="4030"/>
      <c r="O329" s="4030"/>
      <c r="P329" s="4030"/>
    </row>
    <row r="330">
      <c r="A330" s="4042" t="s">
        <v>4033</v>
      </c>
      <c r="B330" s="4031">
        <v>46252</v>
      </c>
      <c r="C330" s="4042" t="str">
        <v>Tuesday</v>
      </c>
      <c r="D330" s="4160" t="s">
        <v>3936</v>
      </c>
      <c r="E330" s="4046">
        <f t="shared" si="84"/>
      </c>
      <c r="F330" s="4165" t="s">
        <v>4034</v>
      </c>
      <c r="G330" s="4075"/>
      <c r="H330" s="4046"/>
      <c r="I330" s="4046" t="s">
        <v>3743</v>
      </c>
      <c r="J330" s="4029"/>
      <c r="K330" s="4030"/>
      <c r="L330" s="4030"/>
      <c r="M330" s="4030"/>
      <c r="N330" s="4030"/>
      <c r="O330" s="4030"/>
      <c r="P330" s="4030"/>
    </row>
    <row r="331">
      <c r="A331" s="4042" t="s">
        <v>4033</v>
      </c>
      <c r="B331" s="4031">
        <v>46253</v>
      </c>
      <c r="C331" s="4042" t="str">
        <v>Wednesday</v>
      </c>
      <c r="D331" s="4160" t="s">
        <v>4036</v>
      </c>
      <c r="E331" s="4046">
        <f t="shared" si="84"/>
      </c>
      <c r="F331" s="4165" t="s">
        <v>3923</v>
      </c>
      <c r="G331" s="4075"/>
      <c r="H331" s="4046"/>
      <c r="I331" s="4046" t="s">
        <v>3743</v>
      </c>
      <c r="J331" s="4029"/>
      <c r="K331" s="4030"/>
      <c r="L331" s="4030"/>
      <c r="M331" s="4030"/>
      <c r="N331" s="4030"/>
      <c r="O331" s="4030"/>
      <c r="P331" s="4030"/>
    </row>
    <row r="332">
      <c r="A332" s="4042" t="s">
        <v>4033</v>
      </c>
      <c r="B332" s="4031">
        <v>46254</v>
      </c>
      <c r="C332" s="4042" t="str">
        <v>Thursday</v>
      </c>
      <c r="D332" s="4024" t="s">
        <v>3964</v>
      </c>
      <c r="E332" s="4046">
        <f t="shared" si="84"/>
      </c>
      <c r="F332" s="4165" t="s">
        <v>4037</v>
      </c>
      <c r="G332" s="4075"/>
      <c r="H332" s="4046"/>
      <c r="I332" s="4046" t="s">
        <v>3743</v>
      </c>
      <c r="J332" s="4029"/>
      <c r="K332" s="4030"/>
      <c r="L332" s="4030"/>
      <c r="M332" s="4030"/>
      <c r="N332" s="4030"/>
      <c r="O332" s="4030"/>
      <c r="P332" s="4030"/>
    </row>
    <row customHeight="true" ht="18.452380952380953" r="333">
      <c r="A333" s="4042" t="s">
        <v>4033</v>
      </c>
      <c r="B333" s="4042">
        <v>46254</v>
      </c>
      <c r="C333" s="4042" t="str">
        <v>Thursday</v>
      </c>
      <c r="D333" s="4024" t="s">
        <v>4038</v>
      </c>
      <c r="E333" s="4046">
        <f t="shared" si="84"/>
      </c>
      <c r="F333" s="4165" t="s">
        <v>4034</v>
      </c>
      <c r="G333" s="4075"/>
      <c r="H333" s="4046"/>
      <c r="I333" s="4046" t="s">
        <v>3743</v>
      </c>
      <c r="J333" s="4029"/>
      <c r="K333" s="4123"/>
      <c r="L333" s="4123"/>
      <c r="M333" s="4123"/>
      <c r="N333" s="4123"/>
      <c r="O333" s="4123"/>
      <c r="P333" s="4123"/>
      <c r="Q333" s="4076"/>
      <c r="R333" s="4076"/>
      <c r="S333" s="4076"/>
      <c r="T333" s="4076"/>
      <c r="U333" s="4076"/>
      <c r="V333" s="4076"/>
      <c r="W333" s="4076"/>
      <c r="X333" s="4076"/>
      <c r="Y333" s="4076"/>
    </row>
    <row customHeight="true" ht="18.452380952380953" r="334">
      <c r="A334" s="4042" t="s">
        <v>4033</v>
      </c>
      <c r="B334" s="4042">
        <v>46255</v>
      </c>
      <c r="C334" s="4042" t="str">
        <v>Friday</v>
      </c>
      <c r="D334" s="4024" t="s">
        <v>3917</v>
      </c>
      <c r="E334" s="4046">
        <f t="shared" si="84"/>
      </c>
      <c r="F334" s="4295" t="s">
        <v>3994</v>
      </c>
      <c r="G334" s="4055" t="s">
        <v>3737</v>
      </c>
      <c r="H334" s="4046"/>
      <c r="I334" s="4046" t="s">
        <v>3743</v>
      </c>
      <c r="J334" s="4029"/>
      <c r="K334" s="4123"/>
      <c r="L334" s="4123"/>
      <c r="M334" s="4123"/>
      <c r="N334" s="4123"/>
      <c r="O334" s="4123"/>
      <c r="P334" s="4123"/>
      <c r="Q334" s="4076"/>
      <c r="R334" s="4076"/>
      <c r="S334" s="4076"/>
      <c r="T334" s="4076"/>
      <c r="U334" s="4076"/>
      <c r="V334" s="4076"/>
      <c r="W334" s="4076"/>
      <c r="X334" s="4076"/>
      <c r="Y334" s="4076"/>
    </row>
    <row customHeight="true" ht="18.452380952380953" r="335">
      <c r="A335" s="4042" t="s">
        <v>4033</v>
      </c>
      <c r="B335" s="4042">
        <v>46255</v>
      </c>
      <c r="C335" s="4042" t="str">
        <v>Friday</v>
      </c>
      <c r="D335" s="4024" t="s">
        <v>3936</v>
      </c>
      <c r="E335" s="4046">
        <f t="shared" si="84"/>
      </c>
      <c r="F335" s="4295" t="s">
        <v>4037</v>
      </c>
      <c r="G335" s="4075"/>
      <c r="H335" s="4046"/>
      <c r="I335" s="4046" t="s">
        <v>3743</v>
      </c>
      <c r="J335" s="4029"/>
      <c r="K335" s="4123"/>
      <c r="L335" s="4123"/>
      <c r="M335" s="4123"/>
      <c r="N335" s="4123"/>
      <c r="O335" s="4123"/>
      <c r="P335" s="4123"/>
      <c r="Q335" s="4076"/>
      <c r="R335" s="4076"/>
      <c r="S335" s="4076"/>
      <c r="T335" s="4076"/>
      <c r="U335" s="4076"/>
      <c r="V335" s="4076"/>
      <c r="W335" s="4076"/>
      <c r="X335" s="4076"/>
      <c r="Y335" s="4076"/>
    </row>
    <row customHeight="true" ht="18.452380952380953" r="336">
      <c r="A336" s="4042" t="s">
        <v>4033</v>
      </c>
      <c r="B336" s="4042">
        <v>46255</v>
      </c>
      <c r="C336" s="4042" t="str">
        <v>Friday</v>
      </c>
      <c r="D336" s="4024" t="s">
        <v>4038</v>
      </c>
      <c r="E336" s="4046">
        <f t="shared" si="84"/>
      </c>
      <c r="F336" s="4295" t="s">
        <v>4034</v>
      </c>
      <c r="G336" s="4075"/>
      <c r="H336" s="4046"/>
      <c r="I336" s="4046" t="s">
        <v>3743</v>
      </c>
      <c r="J336" s="4029"/>
      <c r="K336" s="4123"/>
      <c r="L336" s="4123"/>
      <c r="M336" s="4123"/>
      <c r="N336" s="4123"/>
      <c r="O336" s="4123"/>
      <c r="P336" s="4123"/>
      <c r="Q336" s="4076"/>
      <c r="R336" s="4076"/>
      <c r="S336" s="4076"/>
      <c r="T336" s="4076"/>
      <c r="U336" s="4076"/>
      <c r="V336" s="4076"/>
      <c r="W336" s="4076"/>
      <c r="X336" s="4076"/>
      <c r="Y336" s="4076"/>
    </row>
    <row customHeight="true" ht="18.452380952380953" r="337">
      <c r="A337" s="4042" t="s">
        <v>4033</v>
      </c>
      <c r="B337" s="4031">
        <v>46256</v>
      </c>
      <c r="C337" s="4042" t="str">
        <v>Saturday</v>
      </c>
      <c r="D337" s="4024" t="s">
        <v>3871</v>
      </c>
      <c r="E337" s="4046">
        <f t="shared" si="84"/>
      </c>
      <c r="F337" s="4295" t="s">
        <v>4037</v>
      </c>
      <c r="G337" s="4075"/>
      <c r="H337" s="4046"/>
      <c r="I337" s="4046" t="s">
        <v>3743</v>
      </c>
      <c r="J337" s="4029"/>
      <c r="K337" s="4030"/>
      <c r="L337" s="4030"/>
      <c r="M337" s="4030"/>
      <c r="N337" s="4030"/>
      <c r="O337" s="4030"/>
      <c r="P337" s="4030"/>
    </row>
    <row customHeight="true" ht="18.452380952380953" r="338">
      <c r="A338" s="4042" t="s">
        <v>4033</v>
      </c>
      <c r="B338" s="4031">
        <v>46256</v>
      </c>
      <c r="C338" s="4042" t="str">
        <v>Saturday</v>
      </c>
      <c r="D338" s="4024" t="s">
        <v>3872</v>
      </c>
      <c r="E338" s="4046">
        <f t="shared" si="84"/>
      </c>
      <c r="F338" s="4295" t="s">
        <v>4034</v>
      </c>
      <c r="G338" s="4075"/>
      <c r="H338" s="4046"/>
      <c r="I338" s="4046" t="s">
        <v>3743</v>
      </c>
      <c r="J338" s="4029"/>
      <c r="K338" s="4030"/>
      <c r="L338" s="4030"/>
      <c r="M338" s="4030"/>
      <c r="N338" s="4030"/>
      <c r="O338" s="4030"/>
      <c r="P338" s="4030"/>
    </row>
    <row customHeight="true" ht="18.452380952380953" r="339">
      <c r="A339" s="4042" t="s">
        <v>4033</v>
      </c>
      <c r="B339" s="4031">
        <v>46256</v>
      </c>
      <c r="C339" s="4042" t="str">
        <v>Saturday</v>
      </c>
      <c r="D339" s="4024" t="s">
        <v>4039</v>
      </c>
      <c r="E339" s="4046">
        <f t="shared" si="84"/>
      </c>
      <c r="F339" s="4295" t="s">
        <v>3993</v>
      </c>
      <c r="G339" s="4075"/>
      <c r="H339" s="4046"/>
      <c r="I339" s="4046" t="s">
        <v>3743</v>
      </c>
      <c r="J339" s="4029"/>
      <c r="K339" s="4030"/>
      <c r="L339" s="4030"/>
      <c r="M339" s="4030"/>
      <c r="N339" s="4030"/>
      <c r="O339" s="4030"/>
      <c r="P339" s="4030"/>
    </row>
    <row customHeight="true" ht="18.452380952380953" r="340">
      <c r="A340" s="4042" t="s">
        <v>4033</v>
      </c>
      <c r="B340" s="4031">
        <v>46257</v>
      </c>
      <c r="C340" s="4042" t="str">
        <v>Sunday</v>
      </c>
      <c r="D340" s="4024" t="s">
        <v>4040</v>
      </c>
      <c r="E340" s="4046">
        <f t="shared" si="84"/>
      </c>
      <c r="F340" s="4165" t="s">
        <v>4034</v>
      </c>
      <c r="G340" s="4075"/>
      <c r="H340" s="4046"/>
      <c r="I340" s="4046" t="s">
        <v>3743</v>
      </c>
      <c r="J340" s="4029"/>
      <c r="K340" s="4030"/>
      <c r="L340" s="4030"/>
      <c r="M340" s="4030"/>
      <c r="N340" s="4030"/>
      <c r="O340" s="4030"/>
      <c r="P340" s="4030"/>
    </row>
    <row customHeight="true" ht="18.452380952380953" r="341">
      <c r="A341" s="4042" t="s">
        <v>4033</v>
      </c>
      <c r="B341" s="4031">
        <v>46257</v>
      </c>
      <c r="C341" s="4042" t="str">
        <v>Sunday</v>
      </c>
      <c r="D341" s="4024" t="s">
        <v>4041</v>
      </c>
      <c r="E341" s="4046">
        <f t="shared" si="84"/>
      </c>
      <c r="F341" s="4165" t="s">
        <v>3994</v>
      </c>
      <c r="G341" s="4075"/>
      <c r="H341" s="4046"/>
      <c r="I341" s="4046" t="s">
        <v>3743</v>
      </c>
      <c r="J341" s="4029"/>
      <c r="K341" s="4030"/>
      <c r="L341" s="4030"/>
      <c r="M341" s="4030"/>
      <c r="N341" s="4030"/>
      <c r="O341" s="4030"/>
      <c r="P341" s="4030"/>
    </row>
    <row customHeight="true" ht="18.452380952380953" r="342">
      <c r="A342" s="4042"/>
      <c r="B342" s="4031"/>
      <c r="C342" s="4042"/>
      <c r="D342" s="4024"/>
      <c r="E342" s="4046"/>
      <c r="F342" s="4165"/>
      <c r="G342" s="4075"/>
      <c r="H342" s="4046"/>
      <c r="I342" s="4046"/>
      <c r="J342" s="4029"/>
      <c r="K342" s="4030"/>
      <c r="L342" s="4030"/>
      <c r="M342" s="4030"/>
      <c r="N342" s="4030"/>
      <c r="O342" s="4030"/>
      <c r="P342" s="4030"/>
    </row>
    <row r="343">
      <c r="A343" s="4076"/>
      <c r="B343" s="4076"/>
      <c r="C343" s="4076"/>
      <c r="D343" s="4076"/>
      <c r="E343" s="4076"/>
      <c r="F343" s="4076"/>
      <c r="G343" s="4076"/>
      <c r="H343" s="4287"/>
      <c r="I343" s="4076"/>
      <c r="J343" s="4076"/>
      <c r="K343" s="4077"/>
      <c r="L343" s="4077"/>
      <c r="M343" s="4077"/>
      <c r="N343" s="4077"/>
      <c r="O343" s="4077"/>
      <c r="P343" s="4077"/>
    </row>
    <row r="344">
      <c r="A344" s="4302" t="s">
        <v>4042</v>
      </c>
      <c r="B344" s="4303"/>
      <c r="C344" s="4303"/>
      <c r="D344" s="4303"/>
      <c r="E344" s="4303"/>
      <c r="F344" s="4303"/>
      <c r="G344" s="4303"/>
      <c r="H344" s="4303"/>
      <c r="I344" s="4303"/>
      <c r="J344" s="4304"/>
      <c r="K344" s="4035"/>
      <c r="L344" s="4035"/>
      <c r="M344" s="4035"/>
      <c r="N344" s="4035"/>
      <c r="O344" s="4035"/>
      <c r="P344" s="4035"/>
    </row>
    <row r="345">
      <c r="A345" s="4296" t="s">
        <v>3762</v>
      </c>
      <c r="B345" s="4297" t="s">
        <v>3763</v>
      </c>
      <c r="C345" s="4297"/>
      <c r="D345" s="4298" t="s">
        <v>3764</v>
      </c>
      <c r="E345" s="4298" t="s">
        <v>3765</v>
      </c>
      <c r="F345" s="4298" t="s">
        <v>3766</v>
      </c>
      <c r="G345" s="4299" t="s">
        <v>3781</v>
      </c>
      <c r="H345" s="4298" t="s">
        <v>3768</v>
      </c>
      <c r="I345" s="4298" t="s">
        <v>3769</v>
      </c>
      <c r="J345" s="4300" t="s">
        <v>3770</v>
      </c>
      <c r="K345" s="4041"/>
      <c r="L345" s="4041"/>
      <c r="M345" s="4041"/>
      <c r="N345" s="4041"/>
      <c r="O345" s="4041"/>
      <c r="P345" s="4041"/>
    </row>
    <row r="346">
      <c r="A346" s="4042" t="s">
        <v>4042</v>
      </c>
      <c r="B346" s="4031">
        <v>46251</v>
      </c>
      <c r="C346" s="4042" t="str">
        <v>Monday</v>
      </c>
      <c r="D346" s="4024" t="s">
        <v>3934</v>
      </c>
      <c r="E346" s="4046">
        <f t="shared" ref="E346:E366" si="85">24*MOD(TIMEVALUE(TRIM(MID(D346,FIND("-",D346)+1,LEN(D346)))) - TIMEVALUE(TRIM(LEFT(D346,FIND("-",D346)-1))),1)</f>
      </c>
      <c r="F346" s="4305" t="s">
        <v>3894</v>
      </c>
      <c r="G346" s="4055" t="s">
        <v>3903</v>
      </c>
      <c r="H346" s="4046" t="s">
        <v>3802</v>
      </c>
      <c r="I346" s="4046" t="s">
        <v>3743</v>
      </c>
      <c r="J346" s="4025"/>
      <c r="K346" s="4097"/>
      <c r="L346" s="4097"/>
      <c r="M346" s="4097"/>
      <c r="N346" s="4097"/>
      <c r="O346" s="4097"/>
      <c r="P346" s="4097"/>
    </row>
    <row customHeight="true" ht="18.452380952380953" r="347">
      <c r="A347" s="4042" t="s">
        <v>4042</v>
      </c>
      <c r="B347" s="4031">
        <v>46252</v>
      </c>
      <c r="C347" s="4042" t="str">
        <v>Tuesday</v>
      </c>
      <c r="D347" s="4024" t="s">
        <v>3867</v>
      </c>
      <c r="E347" s="4046">
        <f t="shared" si="85"/>
      </c>
      <c r="F347" s="4165" t="s">
        <v>4006</v>
      </c>
      <c r="G347" s="4055" t="s">
        <v>4043</v>
      </c>
      <c r="H347" s="4046" t="s">
        <v>3802</v>
      </c>
      <c r="I347" s="4046" t="s">
        <v>3743</v>
      </c>
      <c r="J347" s="4025"/>
      <c r="K347" s="4030"/>
      <c r="L347" s="4030"/>
      <c r="M347" s="4030"/>
      <c r="N347" s="4030"/>
      <c r="O347" s="4030"/>
      <c r="P347" s="4030"/>
    </row>
    <row customHeight="true" ht="18.452380952380953" r="348">
      <c r="A348" s="4057" t="s">
        <v>4042</v>
      </c>
      <c r="B348" s="4058">
        <v>46253</v>
      </c>
      <c r="C348" s="4057" t="str">
        <v>Wednesday</v>
      </c>
      <c r="D348" s="4059" t="s">
        <v>3947</v>
      </c>
      <c r="E348" s="4060">
        <f t="shared" si="85"/>
      </c>
      <c r="F348" s="4193" t="s">
        <v>4006</v>
      </c>
      <c r="G348" s="4061" t="s">
        <v>4043</v>
      </c>
      <c r="H348" s="4060" t="s">
        <v>3802</v>
      </c>
      <c r="I348" s="4060" t="s">
        <v>3743</v>
      </c>
      <c r="J348" s="4306" t="s">
        <v>4044</v>
      </c>
      <c r="K348" s="4307"/>
      <c r="L348" s="4307"/>
      <c r="M348" s="4307"/>
      <c r="N348" s="4307"/>
      <c r="O348" s="4307"/>
      <c r="P348" s="4307"/>
      <c r="Q348" s="4065"/>
      <c r="R348" s="4065"/>
      <c r="S348" s="4065"/>
      <c r="T348" s="4065"/>
      <c r="U348" s="4065"/>
      <c r="V348" s="4065"/>
      <c r="W348" s="4065"/>
      <c r="X348" s="4065"/>
      <c r="Y348" s="4065"/>
    </row>
    <row customHeight="true" ht="18.452380952380953" r="349">
      <c r="A349" s="4042" t="s">
        <v>4042</v>
      </c>
      <c r="B349" s="4031">
        <v>46254</v>
      </c>
      <c r="C349" s="4042" t="str">
        <v>Thursday</v>
      </c>
      <c r="D349" s="4024" t="s">
        <v>3947</v>
      </c>
      <c r="E349" s="4046">
        <f t="shared" si="85"/>
      </c>
      <c r="F349" s="4165" t="s">
        <v>4006</v>
      </c>
      <c r="G349" s="4055" t="s">
        <v>4043</v>
      </c>
      <c r="H349" s="4046" t="s">
        <v>3802</v>
      </c>
      <c r="I349" s="4046" t="s">
        <v>3743</v>
      </c>
      <c r="J349" s="4025"/>
      <c r="K349" s="4097"/>
      <c r="L349" s="4097"/>
      <c r="M349" s="4097"/>
      <c r="N349" s="4097"/>
      <c r="O349" s="4097"/>
      <c r="P349" s="4097"/>
    </row>
    <row customHeight="true" ht="18.452380952380953" r="350">
      <c r="A350" s="4057" t="s">
        <v>4042</v>
      </c>
      <c r="B350" s="4058">
        <v>46255</v>
      </c>
      <c r="C350" s="4057" t="str">
        <v>Friday</v>
      </c>
      <c r="D350" s="4059" t="s">
        <v>3867</v>
      </c>
      <c r="E350" s="4060">
        <f t="shared" si="85"/>
      </c>
      <c r="F350" s="4193" t="s">
        <v>4045</v>
      </c>
      <c r="G350" s="4061" t="s">
        <v>3920</v>
      </c>
      <c r="H350" s="4060" t="s">
        <v>3802</v>
      </c>
      <c r="I350" s="4060" t="s">
        <v>3743</v>
      </c>
      <c r="J350" s="4306" t="s">
        <v>4046</v>
      </c>
      <c r="K350" s="4307"/>
      <c r="L350" s="4307"/>
      <c r="M350" s="4307"/>
      <c r="N350" s="4307"/>
      <c r="O350" s="4307"/>
      <c r="P350" s="4307"/>
      <c r="Q350" s="4065"/>
      <c r="R350" s="4065"/>
      <c r="S350" s="4065"/>
      <c r="T350" s="4065"/>
      <c r="U350" s="4065"/>
      <c r="V350" s="4065"/>
      <c r="W350" s="4065"/>
      <c r="X350" s="4065"/>
      <c r="Y350" s="4065"/>
    </row>
    <row customHeight="true" ht="18.452380952380953" r="351">
      <c r="A351" s="4042" t="s">
        <v>4042</v>
      </c>
      <c r="B351" s="4031">
        <v>46255</v>
      </c>
      <c r="C351" s="4042" t="str">
        <v>Friday</v>
      </c>
      <c r="D351" s="4024" t="s">
        <v>4047</v>
      </c>
      <c r="E351" s="4046">
        <f t="shared" si="85"/>
      </c>
      <c r="F351" s="4165" t="s">
        <v>3790</v>
      </c>
      <c r="G351" s="4055" t="s">
        <v>3920</v>
      </c>
      <c r="H351" s="4046" t="s">
        <v>3742</v>
      </c>
      <c r="I351" s="4046"/>
      <c r="J351" s="4025"/>
      <c r="K351" s="4097"/>
      <c r="L351" s="4097"/>
      <c r="M351" s="4097"/>
      <c r="N351" s="4097"/>
      <c r="O351" s="4097"/>
      <c r="P351" s="4097"/>
    </row>
    <row customHeight="true" ht="18.452380952380953" r="352">
      <c r="A352" s="4042" t="s">
        <v>4042</v>
      </c>
      <c r="B352" s="4031">
        <v>46256</v>
      </c>
      <c r="C352" s="4042" t="str">
        <v>Saturday</v>
      </c>
      <c r="D352" s="4024" t="s">
        <v>4048</v>
      </c>
      <c r="E352" s="4046">
        <f t="shared" si="85"/>
      </c>
      <c r="F352" s="4165" t="s">
        <v>3790</v>
      </c>
      <c r="G352" s="4055" t="s">
        <v>4049</v>
      </c>
      <c r="H352" s="4046" t="s">
        <v>3802</v>
      </c>
      <c r="I352" s="4046" t="s">
        <v>3743</v>
      </c>
      <c r="J352" s="4025" t="s">
        <v>4050</v>
      </c>
      <c r="K352" s="4097"/>
      <c r="L352" s="4097"/>
      <c r="M352" s="4097"/>
      <c r="N352" s="4097"/>
      <c r="O352" s="4097"/>
      <c r="P352" s="4097"/>
    </row>
    <row customHeight="true" ht="18.452380952380953" r="353">
      <c r="A353" s="4042" t="s">
        <v>4042</v>
      </c>
      <c r="B353" s="4031">
        <v>46257</v>
      </c>
      <c r="C353" s="4042" t="str">
        <v>Sunday</v>
      </c>
      <c r="D353" s="4024" t="s">
        <v>3934</v>
      </c>
      <c r="E353" s="4046">
        <f t="shared" si="85"/>
      </c>
      <c r="F353" s="4165" t="s">
        <v>3800</v>
      </c>
      <c r="G353" s="4055" t="s">
        <v>3920</v>
      </c>
      <c r="H353" s="4046" t="s">
        <v>3802</v>
      </c>
      <c r="I353" s="4087" t="s">
        <v>3743</v>
      </c>
      <c r="J353" s="4025" t="s">
        <v>4051</v>
      </c>
      <c r="K353" s="4030"/>
      <c r="L353" s="4030"/>
      <c r="M353" s="4030"/>
      <c r="N353" s="4030"/>
      <c r="O353" s="4030"/>
      <c r="P353" s="4030"/>
    </row>
    <row customHeight="true" ht="18.452380952380953" r="354">
      <c r="A354" s="4042" t="s">
        <v>4052</v>
      </c>
      <c r="B354" s="4031">
        <v>46251</v>
      </c>
      <c r="C354" s="4042" t="str">
        <v>Monday</v>
      </c>
      <c r="D354" s="4024" t="s">
        <v>3934</v>
      </c>
      <c r="E354" s="4046">
        <f t="shared" si="85"/>
      </c>
      <c r="F354" s="4165" t="s">
        <v>3903</v>
      </c>
      <c r="G354" s="4075"/>
      <c r="H354" s="4046" t="s">
        <v>3742</v>
      </c>
      <c r="I354" s="4046" t="s">
        <v>3776</v>
      </c>
      <c r="J354" s="4029"/>
      <c r="K354" s="4030"/>
      <c r="L354" s="4030"/>
      <c r="M354" s="4030"/>
      <c r="N354" s="4030"/>
      <c r="O354" s="4030"/>
      <c r="P354" s="4030"/>
    </row>
    <row customHeight="true" ht="18.452380952380953" r="355">
      <c r="A355" s="4042" t="s">
        <v>4052</v>
      </c>
      <c r="B355" s="4031">
        <v>46252</v>
      </c>
      <c r="C355" s="4042" t="str">
        <v>Tuesday</v>
      </c>
      <c r="D355" s="4024" t="s">
        <v>4053</v>
      </c>
      <c r="E355" s="4046">
        <f t="shared" si="85"/>
      </c>
      <c r="F355" s="4165" t="s">
        <v>3879</v>
      </c>
      <c r="G355" s="4075"/>
      <c r="H355" s="4046" t="s">
        <v>3802</v>
      </c>
      <c r="I355" s="4046" t="s">
        <v>3743</v>
      </c>
      <c r="J355" s="4025"/>
      <c r="K355" s="4097"/>
      <c r="L355" s="4097"/>
      <c r="M355" s="4097"/>
      <c r="N355" s="4097"/>
      <c r="O355" s="4097"/>
      <c r="P355" s="4097"/>
    </row>
    <row customHeight="true" ht="18.452380952380953" r="356">
      <c r="A356" s="4042" t="s">
        <v>4052</v>
      </c>
      <c r="B356" s="4031">
        <v>46253</v>
      </c>
      <c r="C356" s="4042" t="str">
        <v>Wednesday</v>
      </c>
      <c r="D356" s="4024" t="s">
        <v>4010</v>
      </c>
      <c r="E356" s="4046">
        <f t="shared" si="85"/>
      </c>
      <c r="F356" s="4165" t="s">
        <v>3879</v>
      </c>
      <c r="G356" s="4075"/>
      <c r="H356" s="4046" t="s">
        <v>3802</v>
      </c>
      <c r="I356" s="4046" t="s">
        <v>3743</v>
      </c>
      <c r="J356" s="4025" t="s">
        <v>4054</v>
      </c>
      <c r="K356" s="4030"/>
      <c r="L356" s="4030"/>
      <c r="M356" s="4030"/>
      <c r="N356" s="4030"/>
      <c r="O356" s="4030"/>
      <c r="P356" s="4030"/>
    </row>
    <row customHeight="true" ht="18.452380952380953" r="357">
      <c r="A357" s="4042" t="s">
        <v>4052</v>
      </c>
      <c r="B357" s="4031">
        <v>46254</v>
      </c>
      <c r="C357" s="4042" t="str">
        <v>Thursday</v>
      </c>
      <c r="D357" s="4024" t="s">
        <v>4010</v>
      </c>
      <c r="E357" s="4046">
        <f t="shared" si="85"/>
      </c>
      <c r="F357" s="4165" t="s">
        <v>3879</v>
      </c>
      <c r="G357" s="4075"/>
      <c r="H357" s="4046" t="s">
        <v>3742</v>
      </c>
      <c r="I357" s="4046" t="s">
        <v>3776</v>
      </c>
      <c r="J357" s="4029"/>
      <c r="K357" s="4030"/>
      <c r="L357" s="4030"/>
      <c r="M357" s="4030"/>
      <c r="N357" s="4030"/>
      <c r="O357" s="4030"/>
      <c r="P357" s="4030"/>
    </row>
    <row customHeight="true" ht="18.452380952380953" r="358">
      <c r="A358" s="4042" t="s">
        <v>4052</v>
      </c>
      <c r="B358" s="4031">
        <v>46255</v>
      </c>
      <c r="C358" s="4042" t="str">
        <v>Friday</v>
      </c>
      <c r="D358" s="4024" t="s">
        <v>3867</v>
      </c>
      <c r="E358" s="4046">
        <f t="shared" si="85"/>
      </c>
      <c r="F358" s="4165" t="s">
        <v>3902</v>
      </c>
      <c r="G358" s="4075"/>
      <c r="H358" s="4046" t="s">
        <v>3742</v>
      </c>
      <c r="I358" s="4046" t="s">
        <v>3776</v>
      </c>
      <c r="J358" s="4025"/>
      <c r="K358" s="4030"/>
      <c r="L358" s="4030"/>
      <c r="M358" s="4030"/>
      <c r="N358" s="4030"/>
      <c r="O358" s="4030"/>
      <c r="P358" s="4030"/>
    </row>
    <row customHeight="true" ht="18.452380952380953" r="359">
      <c r="A359" s="4042" t="s">
        <v>4052</v>
      </c>
      <c r="B359" s="4031">
        <v>46256</v>
      </c>
      <c r="C359" s="4042" t="str">
        <v>Saturday</v>
      </c>
      <c r="D359" s="4024" t="s">
        <v>4055</v>
      </c>
      <c r="E359" s="4046">
        <f t="shared" si="85"/>
      </c>
      <c r="F359" s="4305" t="s">
        <v>3894</v>
      </c>
      <c r="G359" s="4075"/>
      <c r="H359" s="4046" t="s">
        <v>3802</v>
      </c>
      <c r="I359" s="4046" t="s">
        <v>3743</v>
      </c>
      <c r="J359" s="4029"/>
      <c r="K359" s="4030"/>
      <c r="L359" s="4030"/>
      <c r="M359" s="4030"/>
      <c r="N359" s="4030"/>
      <c r="O359" s="4030"/>
      <c r="P359" s="4030"/>
    </row>
    <row customHeight="true" ht="18.452380952380953" r="360">
      <c r="A360" s="4042" t="s">
        <v>4052</v>
      </c>
      <c r="B360" s="4031">
        <v>46256</v>
      </c>
      <c r="C360" s="4042" t="str">
        <v>Saturday</v>
      </c>
      <c r="D360" s="4024" t="s">
        <v>4056</v>
      </c>
      <c r="E360" s="4046">
        <f t="shared" si="85"/>
      </c>
      <c r="F360" s="4165" t="s">
        <v>3902</v>
      </c>
      <c r="G360" s="4075"/>
      <c r="H360" s="4046" t="s">
        <v>3802</v>
      </c>
      <c r="I360" s="4046" t="s">
        <v>3743</v>
      </c>
      <c r="J360" s="4025" t="s">
        <v>4057</v>
      </c>
      <c r="K360" s="4030"/>
      <c r="L360" s="4030"/>
      <c r="M360" s="4030"/>
      <c r="N360" s="4030"/>
      <c r="O360" s="4030"/>
      <c r="P360" s="4030"/>
    </row>
    <row customHeight="true" ht="18.452380952380953" r="361">
      <c r="A361" s="4042" t="s">
        <v>4052</v>
      </c>
      <c r="B361" s="4031">
        <v>46257</v>
      </c>
      <c r="C361" s="4042" t="str">
        <v>Sunday</v>
      </c>
      <c r="D361" s="4024" t="s">
        <v>4058</v>
      </c>
      <c r="E361" s="4046">
        <f t="shared" si="85"/>
      </c>
      <c r="F361" s="4165" t="s">
        <v>3902</v>
      </c>
      <c r="G361" s="4075"/>
      <c r="H361" s="4046" t="s">
        <v>3802</v>
      </c>
      <c r="I361" s="4046" t="s">
        <v>3776</v>
      </c>
      <c r="J361" s="4029"/>
      <c r="K361" s="4030"/>
      <c r="L361" s="4030"/>
      <c r="M361" s="4030"/>
      <c r="N361" s="4030"/>
      <c r="O361" s="4030"/>
      <c r="P361" s="4030"/>
    </row>
    <row customHeight="true" ht="18.452380952380953" r="362">
      <c r="A362" s="4057" t="s">
        <v>4059</v>
      </c>
      <c r="B362" s="4058">
        <v>46253</v>
      </c>
      <c r="C362" s="4057" t="str">
        <v>Wednesday</v>
      </c>
      <c r="D362" s="4059" t="s">
        <v>3917</v>
      </c>
      <c r="E362" s="4060">
        <f t="shared" si="85"/>
      </c>
      <c r="F362" s="4193" t="s">
        <v>4045</v>
      </c>
      <c r="G362" s="4061" t="s">
        <v>3920</v>
      </c>
      <c r="H362" s="4060" t="s">
        <v>3802</v>
      </c>
      <c r="I362" s="4060" t="s">
        <v>3776</v>
      </c>
      <c r="J362" s="4306" t="s">
        <v>4046</v>
      </c>
      <c r="K362" s="4064"/>
      <c r="L362" s="4064"/>
      <c r="M362" s="4064"/>
      <c r="N362" s="4064"/>
      <c r="O362" s="4064"/>
      <c r="P362" s="4064"/>
      <c r="Q362" s="4065"/>
      <c r="R362" s="4065"/>
      <c r="S362" s="4065"/>
      <c r="T362" s="4065"/>
      <c r="U362" s="4065"/>
      <c r="V362" s="4065"/>
      <c r="W362" s="4065"/>
      <c r="X362" s="4065"/>
      <c r="Y362" s="4065"/>
    </row>
    <row customHeight="true" ht="18.452380952380953" r="363">
      <c r="A363" s="4042" t="s">
        <v>4059</v>
      </c>
      <c r="B363" s="4031">
        <v>46255</v>
      </c>
      <c r="C363" s="4042" t="str">
        <v>Friday</v>
      </c>
      <c r="D363" s="4024" t="s">
        <v>3950</v>
      </c>
      <c r="E363" s="4046">
        <f t="shared" si="85"/>
      </c>
      <c r="F363" s="4308" t="s">
        <v>4060</v>
      </c>
      <c r="G363" s="4055"/>
      <c r="H363" s="4046"/>
      <c r="I363" s="4046"/>
      <c r="J363" s="4025"/>
      <c r="K363" s="4030"/>
      <c r="L363" s="4030"/>
      <c r="M363" s="4030"/>
      <c r="N363" s="4030"/>
      <c r="O363" s="4030"/>
      <c r="P363" s="4030"/>
    </row>
    <row customHeight="true" ht="18.452380952380953" r="364">
      <c r="A364" s="4042" t="s">
        <v>4052</v>
      </c>
      <c r="B364" s="4031">
        <v>46251</v>
      </c>
      <c r="C364" s="4042" t="str">
        <v>Monday</v>
      </c>
      <c r="D364" s="4024" t="s">
        <v>4061</v>
      </c>
      <c r="E364" s="4046">
        <f t="shared" si="85"/>
      </c>
      <c r="F364" s="4165" t="s">
        <v>3902</v>
      </c>
      <c r="G364" s="4055"/>
      <c r="H364" s="4046" t="s">
        <v>3802</v>
      </c>
      <c r="I364" s="4046" t="s">
        <v>3743</v>
      </c>
      <c r="J364" s="4025" t="s">
        <v>4062</v>
      </c>
      <c r="K364" s="4030"/>
      <c r="L364" s="4030"/>
      <c r="M364" s="4030"/>
      <c r="N364" s="4030"/>
      <c r="O364" s="4030"/>
      <c r="P364" s="4030"/>
    </row>
    <row customHeight="true" ht="18.452380952380953" r="365">
      <c r="A365" s="4042" t="s">
        <v>4052</v>
      </c>
      <c r="B365" s="4031">
        <v>46251</v>
      </c>
      <c r="C365" s="4042" t="str">
        <v>Monday</v>
      </c>
      <c r="D365" s="4024" t="s">
        <v>4063</v>
      </c>
      <c r="E365" s="4046">
        <f t="shared" si="85"/>
      </c>
      <c r="F365" s="4165" t="s">
        <v>3902</v>
      </c>
      <c r="G365" s="4055"/>
      <c r="H365" s="4046" t="s">
        <v>3802</v>
      </c>
      <c r="I365" s="4046" t="s">
        <v>3743</v>
      </c>
      <c r="J365" s="4025" t="s">
        <v>4064</v>
      </c>
      <c r="K365" s="4030"/>
      <c r="L365" s="4030"/>
      <c r="M365" s="4030"/>
      <c r="N365" s="4030"/>
      <c r="O365" s="4030"/>
      <c r="P365" s="4030"/>
    </row>
    <row customHeight="true" ht="18.452380952380953" r="366">
      <c r="A366" s="4042" t="s">
        <v>4065</v>
      </c>
      <c r="B366" s="4042">
        <v>46256</v>
      </c>
      <c r="C366" s="4042" t="str">
        <v>Saturday</v>
      </c>
      <c r="D366" s="4046" t="s">
        <v>4066</v>
      </c>
      <c r="E366" s="4046">
        <f t="shared" si="85"/>
      </c>
      <c r="F366" s="4165" t="s">
        <v>3790</v>
      </c>
      <c r="G366" s="4055"/>
      <c r="H366" s="4046"/>
      <c r="I366" s="4046"/>
      <c r="J366" s="4025"/>
      <c r="K366" s="4030"/>
      <c r="L366" s="4030"/>
      <c r="M366" s="4030"/>
      <c r="N366" s="4030"/>
      <c r="O366" s="4030"/>
      <c r="P366" s="4030"/>
    </row>
    <row customHeight="true" ht="18.452380952380953" r="367">
      <c r="A367" s="4042"/>
      <c r="B367" s="4031"/>
      <c r="C367" s="4042"/>
      <c r="D367" s="4024"/>
      <c r="E367" s="4046"/>
      <c r="F367" s="4165"/>
      <c r="G367" s="4055"/>
      <c r="H367" s="4046"/>
      <c r="I367" s="4046"/>
      <c r="J367" s="4025"/>
      <c r="K367" s="4030"/>
      <c r="L367" s="4030"/>
      <c r="M367" s="4030"/>
      <c r="N367" s="4030"/>
      <c r="O367" s="4030"/>
      <c r="P367" s="4030"/>
    </row>
    <row r="368">
      <c r="A368" s="4309" t="s">
        <v>4067</v>
      </c>
      <c r="B368" s="4310"/>
      <c r="C368" s="4310"/>
      <c r="D368" s="4310"/>
      <c r="E368" s="4310"/>
      <c r="F368" s="4310"/>
      <c r="G368" s="4310"/>
      <c r="H368" s="4310"/>
      <c r="I368" s="4310"/>
      <c r="J368" s="4311"/>
      <c r="K368" s="4035"/>
      <c r="L368" s="4035"/>
      <c r="M368" s="4035"/>
      <c r="N368" s="4035"/>
      <c r="O368" s="4035"/>
      <c r="P368" s="4035"/>
    </row>
    <row r="369">
      <c r="A369" s="4312" t="s">
        <v>3762</v>
      </c>
      <c r="B369" s="4199" t="s">
        <v>3763</v>
      </c>
      <c r="C369" s="4199"/>
      <c r="D369" s="4313" t="s">
        <v>3764</v>
      </c>
      <c r="E369" s="4313" t="s">
        <v>3765</v>
      </c>
      <c r="F369" s="4313" t="s">
        <v>3766</v>
      </c>
      <c r="G369" s="4314" t="s">
        <v>3781</v>
      </c>
      <c r="H369" s="4313" t="s">
        <v>3768</v>
      </c>
      <c r="I369" s="4313" t="s">
        <v>3769</v>
      </c>
      <c r="J369" s="4204" t="s">
        <v>3770</v>
      </c>
      <c r="K369" s="4041"/>
      <c r="L369" s="4041"/>
      <c r="M369" s="4041"/>
      <c r="N369" s="4041"/>
      <c r="O369" s="4041"/>
      <c r="P369" s="4041"/>
    </row>
    <row r="370">
      <c r="A370" s="4042" t="s">
        <v>4067</v>
      </c>
      <c r="B370" s="4031">
        <v>46251</v>
      </c>
      <c r="C370" s="4042" t="str">
        <v>Monday</v>
      </c>
      <c r="D370" s="4024" t="s">
        <v>3871</v>
      </c>
      <c r="E370" s="4046">
        <f t="shared" ref="E370:E382" si="86">24*MOD(TIMEVALUE(TRIM(MID(D370,FIND("-",D370)+1,LEN(D370)))) - TIMEVALUE(TRIM(LEFT(D370,FIND("-",D370)-1))),1)</f>
      </c>
      <c r="F370" s="4165" t="s">
        <v>3986</v>
      </c>
      <c r="G370" s="4055"/>
      <c r="H370" s="4046" t="s">
        <v>3802</v>
      </c>
      <c r="I370" s="4046" t="s">
        <v>3743</v>
      </c>
      <c r="J370" s="4029"/>
      <c r="K370" s="4030"/>
      <c r="L370" s="4030"/>
      <c r="M370" s="4030"/>
      <c r="N370" s="4030"/>
      <c r="O370" s="4030"/>
      <c r="P370" s="4030"/>
    </row>
    <row customHeight="true" ht="18.452380952380953" r="371">
      <c r="A371" s="4042" t="s">
        <v>4067</v>
      </c>
      <c r="B371" s="4031">
        <v>46254</v>
      </c>
      <c r="C371" s="4042" t="str">
        <v>Thursday</v>
      </c>
      <c r="D371" s="4024" t="s">
        <v>4068</v>
      </c>
      <c r="E371" s="4046">
        <f t="shared" si="86"/>
      </c>
      <c r="F371" s="4165" t="s">
        <v>3790</v>
      </c>
      <c r="G371" s="4055"/>
      <c r="H371" s="4046" t="s">
        <v>3802</v>
      </c>
      <c r="I371" s="4046" t="s">
        <v>3743</v>
      </c>
      <c r="J371" s="4029"/>
      <c r="K371" s="4030"/>
      <c r="L371" s="4030"/>
      <c r="M371" s="4030"/>
      <c r="N371" s="4030"/>
      <c r="O371" s="4030"/>
      <c r="P371" s="4030"/>
    </row>
    <row customHeight="true" ht="18.452380952380953" r="372">
      <c r="A372" s="4042" t="s">
        <v>4067</v>
      </c>
      <c r="B372" s="4031">
        <v>46255</v>
      </c>
      <c r="C372" s="4042" t="str">
        <v>Friday</v>
      </c>
      <c r="D372" s="4024" t="s">
        <v>3964</v>
      </c>
      <c r="E372" s="4046">
        <f t="shared" si="86"/>
      </c>
      <c r="F372" s="4165" t="s">
        <v>3790</v>
      </c>
      <c r="G372" s="4075"/>
      <c r="H372" s="4046" t="s">
        <v>3802</v>
      </c>
      <c r="I372" s="4046" t="s">
        <v>3743</v>
      </c>
      <c r="J372" s="4029"/>
      <c r="K372" s="4030"/>
      <c r="L372" s="4030"/>
      <c r="M372" s="4030"/>
      <c r="N372" s="4030"/>
      <c r="O372" s="4030"/>
      <c r="P372" s="4030"/>
    </row>
    <row r="373">
      <c r="A373" s="4042" t="s">
        <v>4067</v>
      </c>
      <c r="B373" s="4031">
        <v>46256</v>
      </c>
      <c r="C373" s="4042" t="str">
        <v>Saturday</v>
      </c>
      <c r="D373" s="4024" t="s">
        <v>3871</v>
      </c>
      <c r="E373" s="4046">
        <f t="shared" si="86"/>
      </c>
      <c r="F373" s="4165" t="s">
        <v>3986</v>
      </c>
      <c r="G373" s="4055"/>
      <c r="H373" s="4046" t="s">
        <v>3802</v>
      </c>
      <c r="I373" s="4046" t="s">
        <v>3743</v>
      </c>
      <c r="J373" s="4029"/>
      <c r="K373" s="4030"/>
      <c r="L373" s="4030"/>
      <c r="M373" s="4030"/>
      <c r="N373" s="4030"/>
      <c r="O373" s="4030"/>
      <c r="P373" s="4030"/>
    </row>
    <row customHeight="true" ht="18.452380952380953" r="374">
      <c r="A374" s="4042" t="s">
        <v>4067</v>
      </c>
      <c r="B374" s="4031">
        <v>46256</v>
      </c>
      <c r="C374" s="4042" t="str">
        <v>Saturday</v>
      </c>
      <c r="D374" s="4024" t="s">
        <v>3964</v>
      </c>
      <c r="E374" s="4046">
        <f t="shared" si="86"/>
      </c>
      <c r="F374" s="4165" t="s">
        <v>3790</v>
      </c>
      <c r="G374" s="4055"/>
      <c r="H374" s="4046" t="s">
        <v>3802</v>
      </c>
      <c r="I374" s="4046" t="s">
        <v>3743</v>
      </c>
      <c r="J374" s="4029"/>
      <c r="K374" s="4030"/>
      <c r="L374" s="4030"/>
      <c r="M374" s="4030"/>
      <c r="N374" s="4030"/>
      <c r="O374" s="4030"/>
      <c r="P374" s="4030"/>
    </row>
    <row r="375">
      <c r="A375" s="4158" t="s">
        <v>4067</v>
      </c>
      <c r="B375" s="4159">
        <v>46257</v>
      </c>
      <c r="C375" s="4158" t="str">
        <v>Sunday</v>
      </c>
      <c r="D375" s="4160" t="s">
        <v>3864</v>
      </c>
      <c r="E375" s="4032">
        <f t="shared" si="86"/>
      </c>
      <c r="F375" s="4315" t="s">
        <v>3986</v>
      </c>
      <c r="G375" s="4161"/>
      <c r="H375" s="4032" t="s">
        <v>3802</v>
      </c>
      <c r="I375" s="4032" t="s">
        <v>3743</v>
      </c>
      <c r="J375" s="4250"/>
      <c r="K375" s="4030"/>
      <c r="L375" s="4030"/>
      <c r="M375" s="4030"/>
      <c r="N375" s="4030"/>
      <c r="O375" s="4030"/>
      <c r="P375" s="4030"/>
      <c r="Q375" s="4105"/>
      <c r="R375" s="4105"/>
      <c r="S375" s="4105"/>
      <c r="T375" s="4105"/>
      <c r="U375" s="4105"/>
      <c r="V375" s="4105"/>
      <c r="W375" s="4105"/>
      <c r="X375" s="4105"/>
      <c r="Y375" s="4105"/>
    </row>
    <row customHeight="true" ht="18.452380952380953" r="376">
      <c r="A376" s="4042" t="s">
        <v>4069</v>
      </c>
      <c r="B376" s="4031">
        <v>46251</v>
      </c>
      <c r="C376" s="4042" t="str">
        <v>Monday</v>
      </c>
      <c r="D376" s="4024" t="s">
        <v>3871</v>
      </c>
      <c r="E376" s="4046">
        <f t="shared" si="86"/>
      </c>
      <c r="F376" s="4165" t="s">
        <v>3993</v>
      </c>
      <c r="G376" s="4055"/>
      <c r="H376" s="4046" t="s">
        <v>3802</v>
      </c>
      <c r="I376" s="4046" t="s">
        <v>3743</v>
      </c>
      <c r="J376" s="4029"/>
      <c r="K376" s="4030"/>
      <c r="L376" s="4030"/>
      <c r="M376" s="4030"/>
      <c r="N376" s="4030"/>
      <c r="O376" s="4030"/>
      <c r="P376" s="4030"/>
    </row>
    <row customHeight="true" ht="18.452380952380953" r="377">
      <c r="A377" s="4042" t="s">
        <v>4069</v>
      </c>
      <c r="B377" s="4031">
        <v>46254</v>
      </c>
      <c r="C377" s="4042" t="str">
        <v>Thursday</v>
      </c>
      <c r="D377" s="4024" t="s">
        <v>4068</v>
      </c>
      <c r="E377" s="4046">
        <f t="shared" si="86"/>
      </c>
      <c r="F377" s="4165" t="s">
        <v>3994</v>
      </c>
      <c r="G377" s="4075"/>
      <c r="H377" s="4046" t="s">
        <v>3802</v>
      </c>
      <c r="I377" s="4046" t="s">
        <v>3743</v>
      </c>
      <c r="J377" s="4029"/>
      <c r="K377" s="4030"/>
      <c r="L377" s="4030"/>
      <c r="M377" s="4030"/>
      <c r="N377" s="4030"/>
      <c r="O377" s="4030"/>
      <c r="P377" s="4030"/>
    </row>
    <row customHeight="true" ht="18.452380952380953" r="378">
      <c r="A378" s="4042" t="s">
        <v>4069</v>
      </c>
      <c r="B378" s="4031">
        <v>46255</v>
      </c>
      <c r="C378" s="4042" t="str">
        <v>Friday</v>
      </c>
      <c r="D378" s="4024" t="s">
        <v>4070</v>
      </c>
      <c r="E378" s="4046">
        <f t="shared" si="86"/>
      </c>
      <c r="F378" s="4165" t="s">
        <v>3993</v>
      </c>
      <c r="G378" s="4075"/>
      <c r="H378" s="4046" t="s">
        <v>3802</v>
      </c>
      <c r="I378" s="4046" t="s">
        <v>3743</v>
      </c>
      <c r="J378" s="4029"/>
      <c r="K378" s="4030"/>
      <c r="L378" s="4030"/>
      <c r="M378" s="4030"/>
      <c r="N378" s="4030"/>
      <c r="O378" s="4030"/>
      <c r="P378" s="4030"/>
    </row>
    <row customHeight="true" ht="18.452380952380953" r="379">
      <c r="A379" s="4042" t="s">
        <v>4069</v>
      </c>
      <c r="B379" s="4031">
        <v>46256</v>
      </c>
      <c r="C379" s="4042" t="str">
        <v>Saturday</v>
      </c>
      <c r="D379" s="4024" t="s">
        <v>4071</v>
      </c>
      <c r="E379" s="4046">
        <f t="shared" si="86"/>
      </c>
      <c r="F379" s="4165" t="s">
        <v>3993</v>
      </c>
      <c r="G379" s="4075"/>
      <c r="H379" s="4046" t="s">
        <v>3802</v>
      </c>
      <c r="I379" s="4046" t="s">
        <v>3743</v>
      </c>
      <c r="J379" s="4029"/>
      <c r="K379" s="4030"/>
      <c r="L379" s="4030"/>
      <c r="M379" s="4030"/>
      <c r="N379" s="4030"/>
      <c r="O379" s="4030"/>
      <c r="P379" s="4030"/>
    </row>
    <row customHeight="true" ht="18.452380952380953" r="380">
      <c r="A380" s="4042" t="s">
        <v>4069</v>
      </c>
      <c r="B380" s="4031">
        <v>46257</v>
      </c>
      <c r="C380" s="4042" t="str">
        <v>Sunday</v>
      </c>
      <c r="D380" s="4160" t="s">
        <v>4072</v>
      </c>
      <c r="E380" s="4046">
        <f t="shared" si="86"/>
      </c>
      <c r="F380" s="4165" t="s">
        <v>3993</v>
      </c>
      <c r="G380" s="4075"/>
      <c r="H380" s="4046" t="s">
        <v>3802</v>
      </c>
      <c r="I380" s="4046" t="s">
        <v>3743</v>
      </c>
      <c r="J380" s="4029"/>
      <c r="K380" s="4030"/>
      <c r="L380" s="4030"/>
      <c r="M380" s="4030"/>
      <c r="N380" s="4030"/>
      <c r="O380" s="4030"/>
      <c r="P380" s="4030"/>
    </row>
    <row customHeight="true" ht="18.452380952380953" r="381">
      <c r="A381" s="4042" t="s">
        <v>4073</v>
      </c>
      <c r="B381" s="4031">
        <v>46252</v>
      </c>
      <c r="C381" s="4042" t="str">
        <v>Tuesday</v>
      </c>
      <c r="D381" s="4024" t="s">
        <v>4074</v>
      </c>
      <c r="E381" s="4046">
        <f t="shared" si="86"/>
      </c>
      <c r="F381" s="4165" t="s">
        <v>3998</v>
      </c>
      <c r="G381" s="4055"/>
      <c r="H381" s="4046"/>
      <c r="I381" s="4046"/>
      <c r="J381" s="4025" t="s">
        <v>4075</v>
      </c>
      <c r="K381" s="4030"/>
      <c r="L381" s="4030"/>
      <c r="M381" s="4030"/>
      <c r="N381" s="4030"/>
      <c r="O381" s="4030"/>
      <c r="P381" s="4030"/>
    </row>
    <row customHeight="true" ht="18.452380952380953" r="382">
      <c r="A382" s="4042" t="s">
        <v>4073</v>
      </c>
      <c r="B382" s="4031">
        <v>46256</v>
      </c>
      <c r="C382" s="4042" t="str">
        <v>Saturday</v>
      </c>
      <c r="D382" s="4024" t="s">
        <v>4076</v>
      </c>
      <c r="E382" s="4046">
        <f t="shared" si="86"/>
      </c>
      <c r="F382" s="4165" t="s">
        <v>3998</v>
      </c>
      <c r="G382" s="4055"/>
      <c r="H382" s="4046"/>
      <c r="I382" s="4046"/>
      <c r="J382" s="4025" t="s">
        <v>4077</v>
      </c>
      <c r="K382" s="4030"/>
      <c r="L382" s="4030"/>
      <c r="M382" s="4030"/>
      <c r="N382" s="4030"/>
      <c r="O382" s="4030"/>
      <c r="P382" s="4030"/>
    </row>
    <row r="383">
      <c r="A383" s="4076"/>
      <c r="B383" s="4076"/>
      <c r="C383" s="4076"/>
      <c r="D383" s="4076"/>
      <c r="E383" s="4076"/>
      <c r="F383" s="4076"/>
      <c r="G383" s="4076"/>
      <c r="H383" s="4076"/>
      <c r="I383" s="4076"/>
      <c r="J383" s="4076"/>
      <c r="K383" s="4077"/>
      <c r="L383" s="4077"/>
      <c r="M383" s="4077"/>
      <c r="N383" s="4077"/>
      <c r="O383" s="4077"/>
      <c r="P383" s="4077"/>
    </row>
    <row r="384">
      <c r="A384" s="4316" t="s">
        <v>4078</v>
      </c>
      <c r="B384" s="4316"/>
      <c r="C384" s="4316"/>
      <c r="D384" s="4316"/>
      <c r="E384" s="4316"/>
      <c r="F384" s="4316"/>
      <c r="G384" s="4316"/>
      <c r="H384" s="4316"/>
      <c r="I384" s="4316"/>
      <c r="J384" s="4317"/>
      <c r="K384" s="4035"/>
      <c r="L384" s="4035"/>
      <c r="M384" s="4035"/>
      <c r="N384" s="4035"/>
      <c r="O384" s="4035"/>
      <c r="P384" s="4035"/>
    </row>
    <row r="385">
      <c r="A385" s="4318" t="s">
        <v>3762</v>
      </c>
      <c r="B385" s="4319" t="s">
        <v>3763</v>
      </c>
      <c r="C385" s="4319"/>
      <c r="D385" s="4320" t="s">
        <v>3764</v>
      </c>
      <c r="E385" s="4320" t="s">
        <v>3765</v>
      </c>
      <c r="F385" s="4320" t="s">
        <v>3766</v>
      </c>
      <c r="G385" s="4321" t="s">
        <v>3781</v>
      </c>
      <c r="H385" s="4320" t="s">
        <v>3768</v>
      </c>
      <c r="I385" s="4320" t="s">
        <v>3769</v>
      </c>
      <c r="J385" s="4322" t="s">
        <v>3770</v>
      </c>
      <c r="K385" s="4041"/>
      <c r="L385" s="4041"/>
      <c r="M385" s="4041"/>
      <c r="N385" s="4041"/>
      <c r="O385" s="4041"/>
      <c r="P385" s="4041"/>
    </row>
    <row r="386">
      <c r="A386" s="4042" t="s">
        <v>4078</v>
      </c>
      <c r="B386" s="4031">
        <v>46251</v>
      </c>
      <c r="C386" s="4158" t="str">
        <v>Monday</v>
      </c>
      <c r="D386" s="4024" t="s">
        <v>3888</v>
      </c>
      <c r="E386" s="4024">
        <f t="shared" ref="E386:E403" si="87">24*MOD(TIMEVALUE(TRIM(MID(D386,FIND("-",D386)+1,LEN(D386)))) - TIMEVALUE(TRIM(LEFT(D386,FIND("-",D386)-1))),1)</f>
      </c>
      <c r="F386" s="4295" t="s">
        <v>3785</v>
      </c>
      <c r="G386" s="4055"/>
      <c r="H386" s="4046"/>
      <c r="I386" s="4046" t="s">
        <v>3743</v>
      </c>
      <c r="J386" s="4029"/>
      <c r="K386" s="4030"/>
      <c r="L386" s="4030"/>
      <c r="M386" s="4030"/>
      <c r="N386" s="4030"/>
      <c r="O386" s="4030"/>
      <c r="P386" s="4030"/>
    </row>
    <row r="387">
      <c r="A387" s="4158" t="s">
        <v>4078</v>
      </c>
      <c r="B387" s="4159">
        <v>46252</v>
      </c>
      <c r="C387" s="4158" t="str">
        <v>Tuesday</v>
      </c>
      <c r="D387" s="4160" t="s">
        <v>3888</v>
      </c>
      <c r="E387" s="4024">
        <f t="shared" si="87"/>
      </c>
      <c r="F387" s="4295" t="s">
        <v>3785</v>
      </c>
      <c r="G387" s="4161"/>
      <c r="H387" s="4032"/>
      <c r="I387" s="4032" t="s">
        <v>3743</v>
      </c>
      <c r="J387" s="4301"/>
      <c r="K387" s="4097"/>
      <c r="L387" s="4097"/>
      <c r="M387" s="4097"/>
      <c r="N387" s="4097"/>
      <c r="O387" s="4097"/>
      <c r="P387" s="4097"/>
    </row>
    <row r="388">
      <c r="A388" s="4042" t="s">
        <v>4078</v>
      </c>
      <c r="B388" s="4031">
        <v>46253</v>
      </c>
      <c r="C388" s="4042" t="str">
        <v>Wednesday</v>
      </c>
      <c r="D388" s="4160" t="s">
        <v>3888</v>
      </c>
      <c r="E388" s="4024">
        <f t="shared" si="87"/>
      </c>
      <c r="F388" s="4028" t="s">
        <v>3994</v>
      </c>
      <c r="G388" s="4055"/>
      <c r="H388" s="4046"/>
      <c r="I388" s="4046" t="s">
        <v>3743</v>
      </c>
      <c r="J388" s="4029"/>
      <c r="K388" s="4030"/>
      <c r="L388" s="4030"/>
      <c r="M388" s="4030"/>
      <c r="N388" s="4030"/>
      <c r="O388" s="4030"/>
      <c r="P388" s="4030"/>
    </row>
    <row r="389">
      <c r="A389" s="4042" t="s">
        <v>4078</v>
      </c>
      <c r="B389" s="4031">
        <v>46254</v>
      </c>
      <c r="C389" s="4042" t="str">
        <v>Thursday</v>
      </c>
      <c r="D389" s="4160" t="s">
        <v>3888</v>
      </c>
      <c r="E389" s="4024">
        <f t="shared" si="87"/>
      </c>
      <c r="F389" s="4295" t="s">
        <v>3785</v>
      </c>
      <c r="G389" s="4055"/>
      <c r="H389" s="4046"/>
      <c r="I389" s="4046" t="s">
        <v>3743</v>
      </c>
      <c r="J389" s="4029"/>
      <c r="K389" s="4030"/>
      <c r="L389" s="4030"/>
      <c r="M389" s="4030"/>
      <c r="N389" s="4030"/>
      <c r="O389" s="4030"/>
      <c r="P389" s="4030"/>
    </row>
    <row customHeight="true" ht="20.238095238095237" r="390">
      <c r="A390" s="4042" t="s">
        <v>4078</v>
      </c>
      <c r="B390" s="4031">
        <v>46255</v>
      </c>
      <c r="C390" s="4042" t="str">
        <v>Friday</v>
      </c>
      <c r="D390" s="4160" t="s">
        <v>4079</v>
      </c>
      <c r="E390" s="4024">
        <f t="shared" si="87"/>
      </c>
      <c r="F390" s="4295" t="s">
        <v>3994</v>
      </c>
      <c r="G390" s="4055"/>
      <c r="H390" s="4046"/>
      <c r="I390" s="4046" t="s">
        <v>3743</v>
      </c>
      <c r="J390" s="4029"/>
      <c r="K390" s="4030"/>
      <c r="L390" s="4030"/>
      <c r="M390" s="4030"/>
      <c r="N390" s="4030"/>
      <c r="O390" s="4030"/>
      <c r="P390" s="4030"/>
    </row>
    <row customHeight="true" ht="18.452380952380953" r="391">
      <c r="A391" s="4042" t="s">
        <v>4078</v>
      </c>
      <c r="B391" s="4031">
        <v>46257</v>
      </c>
      <c r="C391" s="4042" t="str">
        <v>Sunday</v>
      </c>
      <c r="D391" s="4160" t="s">
        <v>3888</v>
      </c>
      <c r="E391" s="4024">
        <f t="shared" si="87"/>
      </c>
      <c r="F391" s="4295" t="s">
        <v>3994</v>
      </c>
      <c r="G391" s="4055"/>
      <c r="H391" s="4046"/>
      <c r="I391" s="4046" t="s">
        <v>3743</v>
      </c>
      <c r="J391" s="4029"/>
      <c r="K391" s="4030"/>
      <c r="L391" s="4030"/>
      <c r="M391" s="4030"/>
      <c r="N391" s="4030"/>
      <c r="O391" s="4030"/>
      <c r="P391" s="4030"/>
    </row>
    <row customHeight="true" ht="18.452380952380953" r="392">
      <c r="A392" s="4042" t="s">
        <v>4080</v>
      </c>
      <c r="B392" s="4031">
        <v>46257</v>
      </c>
      <c r="C392" s="4042" t="str">
        <v>Sunday</v>
      </c>
      <c r="D392" s="4160" t="s">
        <v>3981</v>
      </c>
      <c r="E392" s="4024">
        <f t="shared" si="87"/>
      </c>
      <c r="F392" s="4295" t="s">
        <v>3745</v>
      </c>
      <c r="G392" s="4055"/>
      <c r="H392" s="4046"/>
      <c r="I392" s="4046" t="s">
        <v>3743</v>
      </c>
      <c r="J392" s="4029"/>
      <c r="K392" s="4030"/>
      <c r="L392" s="4030"/>
      <c r="M392" s="4030"/>
      <c r="N392" s="4030"/>
      <c r="O392" s="4030"/>
      <c r="P392" s="4030"/>
    </row>
    <row customHeight="true" ht="20.238095238095237" r="393">
      <c r="A393" s="4042" t="s">
        <v>4081</v>
      </c>
      <c r="B393" s="4031">
        <v>46251</v>
      </c>
      <c r="C393" s="4042" t="str">
        <v>Monday</v>
      </c>
      <c r="D393" s="4024" t="s">
        <v>3888</v>
      </c>
      <c r="E393" s="4024">
        <f t="shared" si="87"/>
      </c>
      <c r="F393" s="4028" t="s">
        <v>3994</v>
      </c>
      <c r="G393" s="4055"/>
      <c r="H393" s="4046"/>
      <c r="I393" s="4046" t="s">
        <v>3743</v>
      </c>
      <c r="J393" s="4029"/>
      <c r="K393" s="4030"/>
      <c r="L393" s="4030"/>
      <c r="M393" s="4030"/>
      <c r="N393" s="4030"/>
      <c r="O393" s="4030"/>
      <c r="P393" s="4030"/>
    </row>
    <row customHeight="true" ht="20.238095238095237" r="394">
      <c r="A394" s="4042" t="s">
        <v>4081</v>
      </c>
      <c r="B394" s="4031">
        <v>46251</v>
      </c>
      <c r="C394" s="4042" t="str">
        <v>Monday</v>
      </c>
      <c r="D394" s="4024" t="s">
        <v>4082</v>
      </c>
      <c r="E394" s="4024">
        <f t="shared" si="87"/>
      </c>
      <c r="F394" s="4028" t="s">
        <v>3923</v>
      </c>
      <c r="G394" s="4055"/>
      <c r="H394" s="4046"/>
      <c r="I394" s="4046" t="s">
        <v>3743</v>
      </c>
      <c r="J394" s="4029"/>
      <c r="K394" s="4030"/>
      <c r="L394" s="4030"/>
      <c r="M394" s="4030"/>
      <c r="N394" s="4030"/>
      <c r="O394" s="4030"/>
      <c r="P394" s="4030"/>
    </row>
    <row customHeight="true" ht="20.238095238095237" r="395">
      <c r="A395" s="4042" t="s">
        <v>4081</v>
      </c>
      <c r="B395" s="4031">
        <v>46252</v>
      </c>
      <c r="C395" s="4042" t="str">
        <v>Tuesday</v>
      </c>
      <c r="D395" s="4024" t="s">
        <v>4083</v>
      </c>
      <c r="E395" s="4024">
        <f t="shared" si="87"/>
      </c>
      <c r="F395" s="4028" t="s">
        <v>3923</v>
      </c>
      <c r="G395" s="4055"/>
      <c r="H395" s="4046"/>
      <c r="I395" s="4046" t="s">
        <v>3743</v>
      </c>
      <c r="J395" s="4029"/>
      <c r="K395" s="4030"/>
      <c r="L395" s="4030"/>
      <c r="M395" s="4030"/>
      <c r="N395" s="4030"/>
      <c r="O395" s="4030"/>
      <c r="P395" s="4030"/>
    </row>
    <row customHeight="true" ht="20.238095238095237" r="396">
      <c r="A396" s="4042" t="s">
        <v>4081</v>
      </c>
      <c r="B396" s="4031">
        <v>46252</v>
      </c>
      <c r="C396" s="4042" t="str">
        <v>Tuesday</v>
      </c>
      <c r="D396" s="4024" t="s">
        <v>3888</v>
      </c>
      <c r="E396" s="4024">
        <f t="shared" si="87"/>
      </c>
      <c r="F396" s="4028" t="s">
        <v>3879</v>
      </c>
      <c r="G396" s="4055"/>
      <c r="H396" s="4046"/>
      <c r="I396" s="4046" t="s">
        <v>3743</v>
      </c>
      <c r="J396" s="4029"/>
      <c r="K396" s="4030"/>
      <c r="L396" s="4030"/>
      <c r="M396" s="4030"/>
      <c r="N396" s="4030"/>
      <c r="O396" s="4030"/>
      <c r="P396" s="4030"/>
    </row>
    <row customHeight="true" ht="20.238095238095237" r="397">
      <c r="A397" s="4042" t="s">
        <v>4081</v>
      </c>
      <c r="B397" s="4031">
        <v>46253</v>
      </c>
      <c r="C397" s="4042" t="str">
        <v>Wednesday</v>
      </c>
      <c r="D397" s="4024" t="s">
        <v>3888</v>
      </c>
      <c r="E397" s="4024">
        <f t="shared" si="87"/>
      </c>
      <c r="F397" s="4028" t="s">
        <v>3879</v>
      </c>
      <c r="G397" s="4055"/>
      <c r="H397" s="4046"/>
      <c r="I397" s="4046" t="s">
        <v>3743</v>
      </c>
      <c r="J397" s="4029"/>
      <c r="K397" s="4030"/>
      <c r="L397" s="4030"/>
      <c r="M397" s="4030"/>
      <c r="N397" s="4030"/>
      <c r="O397" s="4030"/>
      <c r="P397" s="4030"/>
    </row>
    <row customHeight="true" ht="20.238095238095237" r="398">
      <c r="A398" s="4042" t="s">
        <v>4081</v>
      </c>
      <c r="B398" s="4031">
        <v>46253</v>
      </c>
      <c r="C398" s="4042" t="str">
        <v>Wednesday</v>
      </c>
      <c r="D398" s="4024" t="s">
        <v>4084</v>
      </c>
      <c r="E398" s="4024">
        <f t="shared" si="87"/>
      </c>
      <c r="F398" s="4028" t="s">
        <v>3923</v>
      </c>
      <c r="G398" s="4055"/>
      <c r="H398" s="4046"/>
      <c r="I398" s="4046" t="s">
        <v>3743</v>
      </c>
      <c r="J398" s="4029"/>
      <c r="K398" s="4030"/>
      <c r="L398" s="4030"/>
      <c r="M398" s="4030"/>
      <c r="N398" s="4030"/>
      <c r="O398" s="4030"/>
      <c r="P398" s="4030"/>
    </row>
    <row customHeight="true" ht="20.238095238095237" r="399">
      <c r="A399" s="4042" t="s">
        <v>4081</v>
      </c>
      <c r="B399" s="4031">
        <v>46254</v>
      </c>
      <c r="C399" s="4042" t="str">
        <v>Thursday</v>
      </c>
      <c r="D399" s="4160" t="s">
        <v>4085</v>
      </c>
      <c r="E399" s="4024">
        <f t="shared" si="87"/>
      </c>
      <c r="F399" s="4165" t="s">
        <v>3923</v>
      </c>
      <c r="G399" s="4055"/>
      <c r="H399" s="4046"/>
      <c r="I399" s="4046" t="s">
        <v>3743</v>
      </c>
      <c r="J399" s="4025" t="s">
        <v>4086</v>
      </c>
      <c r="K399" s="4030"/>
      <c r="L399" s="4030"/>
      <c r="M399" s="4030"/>
      <c r="N399" s="4030"/>
      <c r="O399" s="4030"/>
      <c r="P399" s="4030"/>
    </row>
    <row customHeight="true" ht="20.238095238095237" r="400">
      <c r="A400" s="4042" t="s">
        <v>4081</v>
      </c>
      <c r="B400" s="4031">
        <v>46254</v>
      </c>
      <c r="C400" s="4042" t="str">
        <v>Thursday</v>
      </c>
      <c r="D400" s="4160" t="s">
        <v>3884</v>
      </c>
      <c r="E400" s="4024">
        <f t="shared" si="87"/>
      </c>
      <c r="F400" s="4165" t="s">
        <v>3994</v>
      </c>
      <c r="G400" s="4055"/>
      <c r="H400" s="4046"/>
      <c r="I400" s="4046" t="s">
        <v>3743</v>
      </c>
      <c r="J400" s="4025" t="s">
        <v>4087</v>
      </c>
      <c r="K400" s="4030"/>
      <c r="L400" s="4030"/>
      <c r="M400" s="4030"/>
      <c r="N400" s="4030"/>
      <c r="O400" s="4030"/>
      <c r="P400" s="4030"/>
    </row>
    <row customHeight="true" ht="20.238095238095237" r="401">
      <c r="A401" s="4042" t="s">
        <v>4081</v>
      </c>
      <c r="B401" s="4031">
        <v>46255</v>
      </c>
      <c r="C401" s="4042" t="str">
        <v>Friday</v>
      </c>
      <c r="D401" s="4160" t="s">
        <v>4085</v>
      </c>
      <c r="E401" s="4024">
        <f t="shared" si="87"/>
      </c>
      <c r="F401" s="4165" t="s">
        <v>3923</v>
      </c>
      <c r="G401" s="4055"/>
      <c r="H401" s="4046"/>
      <c r="I401" s="4046" t="s">
        <v>3743</v>
      </c>
      <c r="J401" s="4029"/>
      <c r="K401" s="4030"/>
      <c r="L401" s="4030"/>
      <c r="M401" s="4030"/>
      <c r="N401" s="4030"/>
      <c r="O401" s="4030"/>
      <c r="P401" s="4030"/>
    </row>
    <row customHeight="true" ht="20.238095238095237" r="402">
      <c r="A402" s="4042" t="s">
        <v>4081</v>
      </c>
      <c r="B402" s="4031">
        <v>46257</v>
      </c>
      <c r="C402" s="4042" t="str">
        <v>Sunday</v>
      </c>
      <c r="D402" s="4160" t="s">
        <v>4088</v>
      </c>
      <c r="E402" s="4024">
        <f t="shared" si="87"/>
      </c>
      <c r="F402" s="4165" t="s">
        <v>3923</v>
      </c>
      <c r="G402" s="4055"/>
      <c r="H402" s="4046"/>
      <c r="I402" s="4046" t="s">
        <v>3743</v>
      </c>
      <c r="J402" s="4025" t="s">
        <v>4089</v>
      </c>
      <c r="K402" s="4030"/>
      <c r="L402" s="4030"/>
      <c r="M402" s="4030"/>
      <c r="N402" s="4030"/>
      <c r="O402" s="4030"/>
      <c r="P402" s="4030"/>
    </row>
    <row customHeight="true" ht="20.238095238095237" r="403">
      <c r="A403" s="4042" t="s">
        <v>4081</v>
      </c>
      <c r="B403" s="4031">
        <v>46257</v>
      </c>
      <c r="C403" s="4042" t="str">
        <v>Sunday</v>
      </c>
      <c r="D403" s="4160" t="s">
        <v>3974</v>
      </c>
      <c r="E403" s="4024">
        <f t="shared" si="87"/>
      </c>
      <c r="F403" s="4165" t="s">
        <v>3994</v>
      </c>
      <c r="G403" s="4055"/>
      <c r="H403" s="4046"/>
      <c r="I403" s="4046" t="s">
        <v>3743</v>
      </c>
      <c r="J403" s="4029"/>
      <c r="K403" s="4030"/>
      <c r="L403" s="4030"/>
      <c r="M403" s="4030"/>
      <c r="N403" s="4030"/>
      <c r="O403" s="4030"/>
      <c r="P403" s="4030"/>
    </row>
    <row r="404">
      <c r="A404" s="4076"/>
      <c r="B404" s="4076"/>
      <c r="C404" s="4076"/>
      <c r="D404" s="4076"/>
      <c r="E404" s="4076"/>
      <c r="F404" s="4076"/>
      <c r="G404" s="4076"/>
      <c r="H404" s="4287"/>
      <c r="I404" s="4076"/>
      <c r="J404" s="4076"/>
      <c r="K404" s="4077"/>
      <c r="L404" s="4077"/>
      <c r="M404" s="4077"/>
      <c r="N404" s="4077"/>
      <c r="O404" s="4077"/>
      <c r="P404" s="4077"/>
    </row>
    <row customHeight="true" ht="16.071428571428573" r="405">
      <c r="A405" s="4234" t="s">
        <v>3962</v>
      </c>
      <c r="B405" s="4235"/>
      <c r="C405" s="4235"/>
      <c r="D405" s="4235"/>
      <c r="E405" s="4235"/>
      <c r="F405" s="4235"/>
      <c r="G405" s="4235"/>
      <c r="H405" s="4236"/>
      <c r="I405" s="4235"/>
      <c r="J405" s="4235"/>
      <c r="K405" s="4077"/>
      <c r="L405" s="4077"/>
      <c r="M405" s="4077"/>
      <c r="N405" s="4077"/>
      <c r="O405" s="4077"/>
      <c r="P405" s="4077"/>
    </row>
    <row customHeight="true" ht="25" r="406">
      <c r="A406" s="4237" t="s">
        <v>3762</v>
      </c>
      <c r="B406" s="4238" t="s">
        <v>3763</v>
      </c>
      <c r="C406" s="4238"/>
      <c r="D406" s="4239" t="s">
        <v>3764</v>
      </c>
      <c r="E406" s="4240" t="s">
        <v>3765</v>
      </c>
      <c r="F406" s="4240" t="s">
        <v>3766</v>
      </c>
      <c r="G406" s="4241" t="s">
        <v>3781</v>
      </c>
      <c r="H406" s="4240" t="s">
        <v>3768</v>
      </c>
      <c r="I406" s="4240" t="s">
        <v>3769</v>
      </c>
      <c r="J406" s="4242" t="s">
        <v>3770</v>
      </c>
      <c r="K406" s="4041"/>
      <c r="L406" s="4041"/>
      <c r="M406" s="4041"/>
      <c r="N406" s="4041"/>
      <c r="O406" s="4041"/>
      <c r="P406" s="4041"/>
    </row>
    <row customHeight="true" ht="17.261904761904763" r="407">
      <c r="A407" s="4158" t="s">
        <v>3967</v>
      </c>
      <c r="B407" s="4031">
        <v>46253</v>
      </c>
      <c r="C407" s="4042" t="str">
        <v>Wednesday</v>
      </c>
      <c r="D407" s="4160"/>
      <c r="E407" s="4032"/>
      <c r="F407" s="4032"/>
      <c r="G407" s="4323" t="s">
        <v>3944</v>
      </c>
      <c r="H407" s="4032" t="s">
        <v>3802</v>
      </c>
      <c r="I407" s="4032" t="s">
        <v>3743</v>
      </c>
      <c r="J407" s="4032"/>
      <c r="K407" s="4030"/>
      <c r="L407" s="4030"/>
      <c r="M407" s="4030"/>
      <c r="N407" s="4030"/>
      <c r="O407" s="4030"/>
      <c r="P407" s="4030"/>
      <c r="Q407" s="4030"/>
      <c r="R407" s="4030"/>
      <c r="S407" s="4030"/>
      <c r="T407" s="4030"/>
      <c r="U407" s="4077"/>
      <c r="V407" s="4077"/>
      <c r="W407" s="4077"/>
      <c r="X407" s="4077"/>
      <c r="Y407" s="4077"/>
    </row>
    <row customHeight="true" ht="17.633928571428573" r="408">
      <c r="A408" s="4158"/>
      <c r="B408" s="4159"/>
      <c r="C408" s="4158"/>
      <c r="D408" s="4160"/>
      <c r="E408" s="4032"/>
      <c r="F408" s="4032"/>
      <c r="G408" s="4161" t="s">
        <v>3944</v>
      </c>
      <c r="H408" s="4032" t="s">
        <v>3802</v>
      </c>
      <c r="I408" s="4032" t="s">
        <v>3743</v>
      </c>
      <c r="J408" s="4250"/>
      <c r="K408" s="4030"/>
      <c r="L408" s="4030"/>
      <c r="M408" s="4030"/>
      <c r="N408" s="4030"/>
      <c r="O408" s="4030"/>
      <c r="P408" s="4030"/>
      <c r="Q408" s="4105"/>
      <c r="R408" s="4105"/>
      <c r="S408" s="4105"/>
      <c r="T408" s="4105"/>
      <c r="U408" s="4105"/>
      <c r="V408" s="4105"/>
      <c r="W408" s="4105"/>
      <c r="X408" s="4105"/>
      <c r="Y408" s="4105"/>
    </row>
    <row customHeight="true" ht="16.071428571428573" r="409">
      <c r="A409" s="4158"/>
      <c r="B409" s="4159"/>
      <c r="C409" s="4158"/>
      <c r="D409" s="4160"/>
      <c r="E409" s="4032"/>
      <c r="F409" s="4032"/>
      <c r="G409" s="4161" t="s">
        <v>3944</v>
      </c>
      <c r="H409" s="4032" t="s">
        <v>3802</v>
      </c>
      <c r="I409" s="4032" t="s">
        <v>3743</v>
      </c>
      <c r="J409" s="4250"/>
      <c r="K409" s="4030"/>
      <c r="L409" s="4030"/>
      <c r="M409" s="4030"/>
      <c r="N409" s="4030"/>
      <c r="O409" s="4030"/>
      <c r="P409" s="4030"/>
      <c r="Q409" s="4105"/>
      <c r="R409" s="4105"/>
      <c r="S409" s="4105"/>
      <c r="T409" s="4105"/>
      <c r="U409" s="4105"/>
      <c r="V409" s="4105"/>
      <c r="W409" s="4105"/>
      <c r="X409" s="4105"/>
      <c r="Y409" s="4105"/>
    </row>
    <row customHeight="true" ht="16.071428571428573" r="410">
      <c r="A410" s="4158"/>
      <c r="B410" s="4159"/>
      <c r="C410" s="4158"/>
      <c r="D410" s="4160"/>
      <c r="E410" s="4032"/>
      <c r="F410" s="4032"/>
      <c r="G410" s="4161" t="s">
        <v>3944</v>
      </c>
      <c r="H410" s="4032" t="s">
        <v>3802</v>
      </c>
      <c r="I410" s="4032" t="s">
        <v>3743</v>
      </c>
      <c r="J410" s="4250"/>
      <c r="K410" s="4030"/>
      <c r="L410" s="4030"/>
      <c r="M410" s="4030"/>
      <c r="N410" s="4030"/>
      <c r="O410" s="4030"/>
      <c r="P410" s="4030"/>
      <c r="Q410" s="4105"/>
      <c r="R410" s="4105"/>
      <c r="S410" s="4105"/>
      <c r="T410" s="4105"/>
      <c r="U410" s="4105"/>
      <c r="V410" s="4105"/>
      <c r="W410" s="4105"/>
      <c r="X410" s="4105"/>
      <c r="Y410" s="4105"/>
    </row>
    <row customHeight="true" ht="16.071428571428573" r="411">
      <c r="A411" s="4076"/>
      <c r="B411" s="4076"/>
      <c r="C411" s="4076"/>
      <c r="D411" s="4076"/>
      <c r="E411" s="4076"/>
      <c r="F411" s="4076"/>
      <c r="G411" s="4076"/>
      <c r="H411" s="4287"/>
      <c r="I411" s="4076"/>
      <c r="J411" s="4076"/>
      <c r="K411" s="4077"/>
      <c r="L411" s="4077"/>
      <c r="M411" s="4077"/>
      <c r="N411" s="4077"/>
      <c r="O411" s="4077"/>
      <c r="P411" s="4077"/>
    </row>
    <row customHeight="true" ht="16.071428571428573" r="412">
      <c r="A412" s="4324" t="s">
        <v>4090</v>
      </c>
      <c r="B412" s="4325"/>
      <c r="C412" s="4325"/>
      <c r="D412" s="4325"/>
      <c r="E412" s="4325"/>
      <c r="F412" s="4325"/>
      <c r="G412" s="4325"/>
      <c r="H412" s="4326"/>
      <c r="I412" s="4325"/>
      <c r="J412" s="4325"/>
      <c r="K412" s="4077"/>
      <c r="L412" s="4077"/>
      <c r="M412" s="4077"/>
      <c r="N412" s="4077"/>
      <c r="O412" s="4077"/>
      <c r="P412" s="4077"/>
    </row>
    <row customHeight="true" ht="27.36318407963024" r="413">
      <c r="A413" s="4327" t="s">
        <v>3762</v>
      </c>
      <c r="B413" s="4328" t="s">
        <v>3763</v>
      </c>
      <c r="C413" s="4328"/>
      <c r="D413" s="4329" t="s">
        <v>3764</v>
      </c>
      <c r="E413" s="4330" t="s">
        <v>3765</v>
      </c>
      <c r="F413" s="4330" t="s">
        <v>3766</v>
      </c>
      <c r="G413" s="4331" t="s">
        <v>3781</v>
      </c>
      <c r="H413" s="4330" t="s">
        <v>3768</v>
      </c>
      <c r="I413" s="4330" t="s">
        <v>3769</v>
      </c>
      <c r="J413" s="4332" t="s">
        <v>3770</v>
      </c>
      <c r="K413" s="4041"/>
      <c r="L413" s="4041"/>
      <c r="M413" s="4041"/>
      <c r="N413" s="4041"/>
      <c r="O413" s="4041"/>
      <c r="P413" s="4041"/>
    </row>
    <row customHeight="true" ht="16.071428571428573" r="414">
      <c r="A414" s="4042" t="s">
        <v>4090</v>
      </c>
      <c r="B414" s="4031">
        <v>46253</v>
      </c>
      <c r="C414" s="4042" t="str">
        <v>Wednesday</v>
      </c>
      <c r="D414" s="4024" t="s">
        <v>3786</v>
      </c>
      <c r="E414" s="4024">
        <f t="shared" ref="E414:E429" si="88">24*MOD(TIMEVALUE(TRIM(MID(D414,FIND("-",D414)+1,LEN(D414)))) - TIMEVALUE(TRIM(LEFT(D414,FIND("-",D414)-1))),1)</f>
      </c>
      <c r="F414" s="4026"/>
      <c r="G414" s="4333"/>
      <c r="H414" s="4046" t="s">
        <v>3802</v>
      </c>
      <c r="I414" s="4046" t="s">
        <v>3776</v>
      </c>
      <c r="J414" s="4334"/>
      <c r="K414" s="4041"/>
      <c r="L414" s="4041"/>
      <c r="M414" s="4041"/>
      <c r="N414" s="4041"/>
      <c r="O414" s="4041"/>
      <c r="P414" s="4041"/>
    </row>
    <row customHeight="true" ht="16.071428571428573" r="415">
      <c r="A415" s="4042" t="s">
        <v>4090</v>
      </c>
      <c r="B415" s="4031">
        <v>46254</v>
      </c>
      <c r="C415" s="4042" t="str">
        <v>Thursday</v>
      </c>
      <c r="D415" s="4024" t="s">
        <v>3786</v>
      </c>
      <c r="E415" s="4024">
        <f t="shared" si="88"/>
      </c>
      <c r="F415" s="4026"/>
      <c r="G415" s="4333"/>
      <c r="H415" s="4046" t="s">
        <v>3802</v>
      </c>
      <c r="I415" s="4046" t="s">
        <v>3776</v>
      </c>
      <c r="J415" s="4334"/>
      <c r="K415" s="4041"/>
      <c r="L415" s="4041"/>
      <c r="M415" s="4041"/>
      <c r="N415" s="4041"/>
      <c r="O415" s="4041"/>
      <c r="P415" s="4041"/>
    </row>
    <row customHeight="true" ht="16.071428571428573" r="416">
      <c r="A416" s="4042" t="s">
        <v>4090</v>
      </c>
      <c r="B416" s="4031">
        <v>46255</v>
      </c>
      <c r="C416" s="4042" t="str">
        <v>Friday</v>
      </c>
      <c r="D416" s="4024" t="s">
        <v>3934</v>
      </c>
      <c r="E416" s="4024">
        <f t="shared" si="88"/>
      </c>
      <c r="F416" s="4335"/>
      <c r="G416" s="4333"/>
      <c r="H416" s="4046"/>
      <c r="I416" s="4046"/>
      <c r="J416" s="4334"/>
      <c r="K416" s="4041"/>
      <c r="L416" s="4041"/>
      <c r="M416" s="4041"/>
      <c r="N416" s="4041"/>
      <c r="O416" s="4041"/>
      <c r="P416" s="4041"/>
    </row>
    <row customHeight="true" ht="16.071428571428573" r="417">
      <c r="A417" s="4042" t="s">
        <v>4090</v>
      </c>
      <c r="B417" s="4031">
        <v>46256</v>
      </c>
      <c r="C417" s="4042" t="str">
        <v>Saturday</v>
      </c>
      <c r="D417" s="4024" t="s">
        <v>3786</v>
      </c>
      <c r="E417" s="4024">
        <f t="shared" si="88"/>
      </c>
      <c r="F417" s="4026"/>
      <c r="G417" s="4333"/>
      <c r="H417" s="4046" t="s">
        <v>3802</v>
      </c>
      <c r="I417" s="4046" t="s">
        <v>3776</v>
      </c>
      <c r="J417" s="4334"/>
      <c r="K417" s="4041"/>
      <c r="L417" s="4041"/>
      <c r="M417" s="4041"/>
      <c r="N417" s="4041"/>
      <c r="O417" s="4041"/>
      <c r="P417" s="4041"/>
    </row>
    <row customHeight="true" ht="16.071428571428573" r="418">
      <c r="A418" s="4042" t="s">
        <v>4090</v>
      </c>
      <c r="B418" s="4031">
        <v>46257</v>
      </c>
      <c r="C418" s="4042" t="str">
        <v>Sunday</v>
      </c>
      <c r="D418" s="4024" t="s">
        <v>3958</v>
      </c>
      <c r="E418" s="4024">
        <f t="shared" si="88"/>
      </c>
      <c r="F418" s="4026"/>
      <c r="G418" s="4333"/>
      <c r="H418" s="4046" t="s">
        <v>3802</v>
      </c>
      <c r="I418" s="4046" t="s">
        <v>3776</v>
      </c>
      <c r="J418" s="4334"/>
      <c r="K418" s="4041"/>
      <c r="L418" s="4041"/>
      <c r="M418" s="4041"/>
      <c r="N418" s="4041"/>
      <c r="O418" s="4041"/>
      <c r="P418" s="4041"/>
    </row>
    <row customHeight="true" ht="16.071428571428573" r="419">
      <c r="A419" s="4042" t="s">
        <v>4091</v>
      </c>
      <c r="B419" s="4031">
        <v>46251</v>
      </c>
      <c r="C419" s="4042" t="str">
        <v>Monday</v>
      </c>
      <c r="D419" s="4024" t="s">
        <v>4082</v>
      </c>
      <c r="E419" s="4024">
        <f t="shared" si="88"/>
      </c>
      <c r="F419" s="4165" t="s">
        <v>3902</v>
      </c>
      <c r="G419" s="4336"/>
      <c r="H419" s="4046" t="s">
        <v>3802</v>
      </c>
      <c r="I419" s="4046" t="s">
        <v>3743</v>
      </c>
      <c r="J419" s="4334"/>
      <c r="K419" s="4041"/>
      <c r="L419" s="4041"/>
      <c r="M419" s="4041"/>
      <c r="N419" s="4041"/>
      <c r="O419" s="4041"/>
      <c r="P419" s="4041"/>
    </row>
    <row customHeight="true" ht="16.071428571428573" r="420">
      <c r="A420" s="4042" t="s">
        <v>4091</v>
      </c>
      <c r="B420" s="4031">
        <v>46251</v>
      </c>
      <c r="C420" s="4042" t="str">
        <v>Monday</v>
      </c>
      <c r="D420" s="4024" t="s">
        <v>4092</v>
      </c>
      <c r="E420" s="4024">
        <f t="shared" si="88"/>
      </c>
      <c r="F420" s="4165" t="s">
        <v>3902</v>
      </c>
      <c r="G420" s="4336"/>
      <c r="H420" s="4046" t="s">
        <v>3802</v>
      </c>
      <c r="I420" s="4046" t="s">
        <v>3743</v>
      </c>
      <c r="J420" s="4337" t="s">
        <v>4093</v>
      </c>
      <c r="K420" s="4041"/>
      <c r="L420" s="4041"/>
      <c r="M420" s="4041"/>
      <c r="N420" s="4041"/>
      <c r="O420" s="4041"/>
      <c r="P420" s="4041"/>
    </row>
    <row customHeight="true" ht="16.071428571428573" r="421">
      <c r="A421" s="4042" t="s">
        <v>4091</v>
      </c>
      <c r="B421" s="4031">
        <v>46252</v>
      </c>
      <c r="C421" s="4042" t="str">
        <v>Tuesday</v>
      </c>
      <c r="D421" s="4024" t="s">
        <v>4094</v>
      </c>
      <c r="E421" s="4024">
        <f t="shared" si="88"/>
      </c>
      <c r="F421" s="4165" t="s">
        <v>3902</v>
      </c>
      <c r="G421" s="4336"/>
      <c r="H421" s="4046" t="s">
        <v>3802</v>
      </c>
      <c r="I421" s="4046" t="s">
        <v>3776</v>
      </c>
      <c r="J421" s="4337" t="s">
        <v>4095</v>
      </c>
      <c r="K421" s="4041"/>
      <c r="L421" s="4041"/>
      <c r="M421" s="4041"/>
      <c r="N421" s="4041"/>
      <c r="O421" s="4041"/>
      <c r="P421" s="4041"/>
    </row>
    <row customHeight="true" ht="16.071428571428573" r="422">
      <c r="A422" s="4042" t="s">
        <v>4091</v>
      </c>
      <c r="B422" s="4031">
        <v>46254</v>
      </c>
      <c r="C422" s="4042" t="str">
        <v>Thursday</v>
      </c>
      <c r="D422" s="4024" t="s">
        <v>3965</v>
      </c>
      <c r="E422" s="4024">
        <f t="shared" si="88"/>
      </c>
      <c r="F422" s="4165" t="s">
        <v>3902</v>
      </c>
      <c r="G422" s="4336"/>
      <c r="H422" s="4046" t="s">
        <v>3802</v>
      </c>
      <c r="I422" s="4046" t="s">
        <v>3743</v>
      </c>
      <c r="J422" s="4337" t="s">
        <v>4096</v>
      </c>
      <c r="K422" s="4041"/>
      <c r="L422" s="4041"/>
      <c r="M422" s="4041"/>
      <c r="N422" s="4041"/>
      <c r="O422" s="4041"/>
      <c r="P422" s="4041"/>
    </row>
    <row customHeight="true" ht="16.071428571428573" r="423">
      <c r="A423" s="4042" t="s">
        <v>4091</v>
      </c>
      <c r="B423" s="4031">
        <v>46255</v>
      </c>
      <c r="C423" s="4042" t="str">
        <v>Friday</v>
      </c>
      <c r="D423" s="4024" t="s">
        <v>4097</v>
      </c>
      <c r="E423" s="4024">
        <f t="shared" si="88"/>
      </c>
      <c r="F423" s="4165" t="s">
        <v>3902</v>
      </c>
      <c r="G423" s="4336"/>
      <c r="H423" s="4046" t="s">
        <v>3802</v>
      </c>
      <c r="I423" s="4046" t="s">
        <v>3743</v>
      </c>
      <c r="J423" s="4337" t="s">
        <v>4098</v>
      </c>
      <c r="K423" s="4041"/>
      <c r="L423" s="4041"/>
      <c r="M423" s="4041"/>
      <c r="N423" s="4041"/>
      <c r="O423" s="4041"/>
      <c r="P423" s="4041"/>
    </row>
    <row customHeight="true" ht="16.071428571428573" r="424">
      <c r="A424" s="4042" t="s">
        <v>4091</v>
      </c>
      <c r="B424" s="4031">
        <v>46257</v>
      </c>
      <c r="C424" s="4042" t="str">
        <v>Sunday</v>
      </c>
      <c r="D424" s="4024" t="s">
        <v>4099</v>
      </c>
      <c r="E424" s="4024">
        <f t="shared" si="88"/>
      </c>
      <c r="F424" s="4165" t="s">
        <v>3902</v>
      </c>
      <c r="G424" s="4336"/>
      <c r="H424" s="4046" t="s">
        <v>3802</v>
      </c>
      <c r="I424" s="4046" t="s">
        <v>3776</v>
      </c>
      <c r="J424" s="4334"/>
      <c r="K424" s="4041"/>
      <c r="L424" s="4041"/>
      <c r="M424" s="4041"/>
      <c r="N424" s="4041"/>
      <c r="O424" s="4041"/>
      <c r="P424" s="4041"/>
    </row>
    <row customHeight="true" ht="16.071428571428573" r="425">
      <c r="A425" s="4042" t="s">
        <v>4100</v>
      </c>
      <c r="B425" s="4031">
        <v>46251</v>
      </c>
      <c r="C425" s="4042" t="str">
        <v>Monday</v>
      </c>
      <c r="D425" s="4024" t="s">
        <v>3917</v>
      </c>
      <c r="E425" s="4024">
        <f t="shared" si="88"/>
      </c>
      <c r="F425" s="4335" t="s">
        <v>3785</v>
      </c>
      <c r="G425" s="4336"/>
      <c r="H425" s="4046" t="s">
        <v>3802</v>
      </c>
      <c r="I425" s="4046" t="s">
        <v>3776</v>
      </c>
      <c r="J425" s="4338" t="s">
        <v>3918</v>
      </c>
      <c r="K425" s="4041"/>
      <c r="L425" s="4041"/>
      <c r="M425" s="4041"/>
      <c r="N425" s="4041"/>
      <c r="O425" s="4041"/>
      <c r="P425" s="4041"/>
    </row>
    <row customHeight="true" ht="16.071428571428573" r="426">
      <c r="A426" s="4042" t="s">
        <v>4100</v>
      </c>
      <c r="B426" s="4159">
        <v>46252</v>
      </c>
      <c r="C426" s="4042" t="str">
        <v>Tuesday</v>
      </c>
      <c r="D426" s="4024" t="s">
        <v>4016</v>
      </c>
      <c r="E426" s="4024">
        <f t="shared" si="88"/>
      </c>
      <c r="F426" s="4026" t="s">
        <v>4005</v>
      </c>
      <c r="G426" s="4336"/>
      <c r="H426" s="4046"/>
      <c r="I426" s="4046"/>
      <c r="J426" s="4334"/>
      <c r="K426" s="4041"/>
      <c r="L426" s="4041"/>
      <c r="M426" s="4041"/>
      <c r="N426" s="4041"/>
      <c r="O426" s="4041"/>
      <c r="P426" s="4041"/>
    </row>
    <row customHeight="true" ht="16.071428571428573" r="427">
      <c r="A427" s="4042" t="s">
        <v>4100</v>
      </c>
      <c r="B427" s="4031">
        <v>46254</v>
      </c>
      <c r="C427" s="4042" t="str">
        <v>Thursday</v>
      </c>
      <c r="D427" s="4024" t="s">
        <v>3965</v>
      </c>
      <c r="E427" s="4024">
        <f t="shared" si="88"/>
      </c>
      <c r="F427" s="4032" t="s">
        <v>3745</v>
      </c>
      <c r="G427" s="4336"/>
      <c r="H427" s="4046" t="s">
        <v>3802</v>
      </c>
      <c r="I427" s="4046"/>
      <c r="J427" s="4167" t="s">
        <v>3918</v>
      </c>
      <c r="K427" s="4041"/>
      <c r="L427" s="4041"/>
      <c r="M427" s="4041"/>
      <c r="N427" s="4041"/>
      <c r="O427" s="4041"/>
      <c r="P427" s="4041"/>
    </row>
    <row customHeight="true" ht="16.071428571428573" r="428">
      <c r="A428" s="4042" t="s">
        <v>4100</v>
      </c>
      <c r="B428" s="4031">
        <v>46255</v>
      </c>
      <c r="C428" s="4042" t="str">
        <v>Friday</v>
      </c>
      <c r="D428" s="4024" t="s">
        <v>4101</v>
      </c>
      <c r="E428" s="4024">
        <f t="shared" si="88"/>
      </c>
      <c r="F428" s="4032" t="s">
        <v>3745</v>
      </c>
      <c r="G428" s="4336"/>
      <c r="H428" s="4046" t="s">
        <v>3802</v>
      </c>
      <c r="I428" s="4046"/>
      <c r="J428" s="4167" t="s">
        <v>3918</v>
      </c>
      <c r="K428" s="4041"/>
      <c r="L428" s="4041"/>
      <c r="M428" s="4041"/>
      <c r="N428" s="4041"/>
      <c r="O428" s="4041"/>
      <c r="P428" s="4041"/>
    </row>
    <row customHeight="true" ht="16.071428571428573" r="429">
      <c r="A429" s="4042" t="s">
        <v>4100</v>
      </c>
      <c r="B429" s="4031">
        <v>46255</v>
      </c>
      <c r="C429" s="4042" t="str">
        <v>Friday</v>
      </c>
      <c r="D429" s="4024" t="s">
        <v>3871</v>
      </c>
      <c r="E429" s="4024">
        <f t="shared" si="88"/>
      </c>
      <c r="F429" s="4308" t="s">
        <v>4060</v>
      </c>
      <c r="G429" s="4336"/>
      <c r="H429" s="4046" t="s">
        <v>3802</v>
      </c>
      <c r="I429" s="4046"/>
      <c r="J429" s="4167" t="s">
        <v>4102</v>
      </c>
      <c r="K429" s="4041"/>
      <c r="L429" s="4041"/>
      <c r="M429" s="4041"/>
      <c r="N429" s="4041"/>
      <c r="O429" s="4041"/>
      <c r="P429" s="4041"/>
    </row>
    <row customHeight="true" ht="16.071428571428573" r="430">
      <c r="A430" s="4042"/>
      <c r="B430" s="4042"/>
      <c r="C430" s="4042"/>
      <c r="D430" s="4024"/>
      <c r="E430" s="4024"/>
      <c r="F430" s="4026"/>
      <c r="G430" s="4336"/>
      <c r="H430" s="4046"/>
      <c r="I430" s="4046"/>
      <c r="J430" s="4338"/>
      <c r="K430" s="4041"/>
      <c r="L430" s="4041"/>
      <c r="M430" s="4041"/>
      <c r="N430" s="4041"/>
      <c r="O430" s="4041"/>
      <c r="P430" s="4041"/>
    </row>
    <row customHeight="true" ht="16.071428571428573" r="431">
      <c r="A431" s="4042"/>
      <c r="B431" s="4042"/>
      <c r="C431" s="4042"/>
      <c r="D431" s="4024"/>
      <c r="E431" s="4024"/>
      <c r="F431" s="4335"/>
      <c r="G431" s="4336"/>
      <c r="H431" s="4046"/>
      <c r="I431" s="4046"/>
      <c r="J431" s="4337"/>
      <c r="K431" s="4041"/>
      <c r="L431" s="4041"/>
      <c r="M431" s="4041"/>
      <c r="N431" s="4041"/>
      <c r="O431" s="4041"/>
      <c r="P431" s="4041"/>
    </row>
    <row customHeight="true" ht="16.071428571428573" r="432">
      <c r="A432" s="4076"/>
      <c r="B432" s="4076"/>
      <c r="C432" s="4076"/>
      <c r="D432" s="4076"/>
      <c r="E432" s="4076"/>
      <c r="F432" s="4076"/>
      <c r="G432" s="4076"/>
      <c r="H432" s="4287"/>
      <c r="I432" s="4076"/>
      <c r="J432" s="4076"/>
      <c r="K432" s="4077"/>
      <c r="L432" s="4077"/>
      <c r="M432" s="4077"/>
      <c r="N432" s="4077"/>
      <c r="O432" s="4077"/>
      <c r="P432" s="4077"/>
    </row>
    <row r="433">
      <c r="A433" s="4339" t="s">
        <v>4103</v>
      </c>
      <c r="B433" s="4339"/>
      <c r="C433" s="4339"/>
      <c r="D433" s="4339"/>
      <c r="E433" s="4339"/>
      <c r="F433" s="4339"/>
      <c r="G433" s="4339"/>
      <c r="H433" s="4339"/>
      <c r="I433" s="4339"/>
      <c r="J433" s="4340"/>
      <c r="K433" s="4035"/>
      <c r="L433" s="4035"/>
      <c r="M433" s="4035"/>
      <c r="N433" s="4035"/>
      <c r="O433" s="4035"/>
      <c r="P433" s="4035"/>
    </row>
    <row r="434">
      <c r="A434" s="4341" t="s">
        <v>3762</v>
      </c>
      <c r="B434" s="4186" t="s">
        <v>3763</v>
      </c>
      <c r="C434" s="4186"/>
      <c r="D434" s="4188" t="s">
        <v>3764</v>
      </c>
      <c r="E434" s="4342" t="s">
        <v>3765</v>
      </c>
      <c r="F434" s="4342" t="s">
        <v>3766</v>
      </c>
      <c r="G434" s="4343" t="s">
        <v>3781</v>
      </c>
      <c r="H434" s="4342" t="s">
        <v>3768</v>
      </c>
      <c r="I434" s="4342" t="s">
        <v>3769</v>
      </c>
      <c r="J434" s="4191" t="s">
        <v>3770</v>
      </c>
      <c r="K434" s="4041"/>
      <c r="L434" s="4041"/>
      <c r="M434" s="4041"/>
      <c r="N434" s="4041"/>
      <c r="O434" s="4041"/>
      <c r="P434" s="4041"/>
    </row>
    <row r="435">
      <c r="A435" s="4042" t="s">
        <v>4104</v>
      </c>
      <c r="B435" s="4031">
        <v>46251</v>
      </c>
      <c r="C435" s="4042" t="str">
        <v>Monday</v>
      </c>
      <c r="D435" s="4024" t="s">
        <v>4105</v>
      </c>
      <c r="E435" s="4028">
        <f t="shared" ref="E435:E446" si="89">24*MOD(TIMEVALUE(TRIM(MID(D435,FIND("-",D435)+1,LEN(D435)))) - TIMEVALUE(TRIM(LEFT(D435,FIND("-",D435)-1))),1)</f>
      </c>
      <c r="F435" s="4046" t="s">
        <v>4106</v>
      </c>
      <c r="G435" s="4163" t="s">
        <v>4107</v>
      </c>
      <c r="H435" s="4028" t="s">
        <v>3802</v>
      </c>
      <c r="I435" s="4087" t="s">
        <v>3743</v>
      </c>
      <c r="J435" s="4045"/>
      <c r="K435" s="4030"/>
      <c r="L435" s="4030"/>
      <c r="M435" s="4030"/>
      <c r="N435" s="4030"/>
      <c r="O435" s="4030"/>
      <c r="P435" s="4030"/>
    </row>
    <row r="436">
      <c r="A436" s="4042" t="s">
        <v>4104</v>
      </c>
      <c r="B436" s="4031">
        <v>46251</v>
      </c>
      <c r="C436" s="4042" t="str">
        <v>Monday</v>
      </c>
      <c r="D436" s="4024" t="s">
        <v>3965</v>
      </c>
      <c r="E436" s="4028">
        <f t="shared" si="89"/>
      </c>
      <c r="F436" s="4046" t="s">
        <v>3943</v>
      </c>
      <c r="G436" s="4163" t="s">
        <v>4108</v>
      </c>
      <c r="H436" s="4028" t="s">
        <v>3802</v>
      </c>
      <c r="I436" s="4087" t="s">
        <v>3743</v>
      </c>
      <c r="J436" s="4045"/>
      <c r="K436" s="4030"/>
      <c r="L436" s="4030"/>
      <c r="M436" s="4030"/>
      <c r="N436" s="4030"/>
      <c r="O436" s="4030"/>
      <c r="P436" s="4030"/>
    </row>
    <row r="437">
      <c r="A437" s="4042" t="s">
        <v>4104</v>
      </c>
      <c r="B437" s="4031">
        <v>46251</v>
      </c>
      <c r="C437" s="4042" t="str">
        <v>Monday</v>
      </c>
      <c r="D437" s="4024" t="s">
        <v>3917</v>
      </c>
      <c r="E437" s="4028">
        <f t="shared" si="89"/>
      </c>
      <c r="F437" s="4046" t="s">
        <v>3935</v>
      </c>
      <c r="G437" s="4163" t="s">
        <v>4109</v>
      </c>
      <c r="H437" s="4028" t="s">
        <v>3802</v>
      </c>
      <c r="I437" s="4087" t="s">
        <v>3743</v>
      </c>
      <c r="J437" s="4045"/>
      <c r="K437" s="4030"/>
      <c r="L437" s="4030"/>
      <c r="M437" s="4030"/>
      <c r="N437" s="4030"/>
      <c r="O437" s="4030"/>
      <c r="P437" s="4030"/>
    </row>
    <row customHeight="true" ht="18.452380952380953" r="438">
      <c r="A438" s="4042" t="s">
        <v>4104</v>
      </c>
      <c r="B438" s="4031">
        <v>46251</v>
      </c>
      <c r="C438" s="4042" t="str">
        <v>Monday</v>
      </c>
      <c r="D438" s="4024" t="s">
        <v>3936</v>
      </c>
      <c r="E438" s="4028">
        <f t="shared" si="89"/>
      </c>
      <c r="F438" s="4032" t="s">
        <v>3818</v>
      </c>
      <c r="G438" s="4163" t="s">
        <v>4110</v>
      </c>
      <c r="H438" s="4028" t="s">
        <v>3802</v>
      </c>
      <c r="I438" s="4087" t="s">
        <v>3743</v>
      </c>
      <c r="J438" s="4045"/>
      <c r="K438" s="4030"/>
      <c r="L438" s="4030"/>
      <c r="M438" s="4030"/>
      <c r="N438" s="4030"/>
      <c r="O438" s="4030"/>
      <c r="P438" s="4030"/>
    </row>
    <row r="439">
      <c r="A439" s="4042" t="s">
        <v>4104</v>
      </c>
      <c r="B439" s="4031">
        <v>46251</v>
      </c>
      <c r="C439" s="4042" t="str">
        <v>Monday</v>
      </c>
      <c r="D439" s="4024" t="s">
        <v>4025</v>
      </c>
      <c r="E439" s="4028">
        <f t="shared" si="89"/>
      </c>
      <c r="F439" s="4046" t="s">
        <v>4111</v>
      </c>
      <c r="G439" s="4163" t="s">
        <v>4112</v>
      </c>
      <c r="H439" s="4028" t="s">
        <v>3802</v>
      </c>
      <c r="I439" s="4087" t="s">
        <v>3743</v>
      </c>
      <c r="J439" s="4045"/>
      <c r="K439" s="4030"/>
      <c r="L439" s="4030"/>
      <c r="M439" s="4030"/>
      <c r="N439" s="4030"/>
      <c r="O439" s="4030"/>
      <c r="P439" s="4030"/>
    </row>
    <row customHeight="true" ht="18.452380952380953" r="440">
      <c r="A440" s="4042" t="s">
        <v>4104</v>
      </c>
      <c r="B440" s="4031">
        <v>46251</v>
      </c>
      <c r="C440" s="4042" t="str">
        <v>Monday</v>
      </c>
      <c r="D440" s="4024" t="s">
        <v>4113</v>
      </c>
      <c r="E440" s="4028">
        <f t="shared" si="89"/>
      </c>
      <c r="F440" s="4344" t="s">
        <v>4114</v>
      </c>
      <c r="G440" s="4163" t="s">
        <v>4108</v>
      </c>
      <c r="H440" s="4028" t="s">
        <v>3802</v>
      </c>
      <c r="I440" s="4087" t="s">
        <v>3743</v>
      </c>
      <c r="J440" s="4045"/>
      <c r="K440" s="4030"/>
      <c r="L440" s="4030"/>
      <c r="M440" s="4030"/>
      <c r="N440" s="4030"/>
      <c r="O440" s="4030"/>
      <c r="P440" s="4030"/>
    </row>
    <row customHeight="true" ht="18.452380952380953" r="441">
      <c r="A441" s="4042" t="s">
        <v>4115</v>
      </c>
      <c r="B441" s="4031">
        <v>46251</v>
      </c>
      <c r="C441" s="4042" t="str">
        <v>Monday</v>
      </c>
      <c r="D441" s="4160" t="s">
        <v>3959</v>
      </c>
      <c r="E441" s="4308">
        <f t="shared" si="89"/>
      </c>
      <c r="F441" s="4032" t="s">
        <v>4116</v>
      </c>
      <c r="G441" s="4345"/>
      <c r="H441" s="4028" t="s">
        <v>3802</v>
      </c>
      <c r="I441" s="4087" t="s">
        <v>3776</v>
      </c>
      <c r="J441" s="4346"/>
      <c r="K441" s="4347"/>
      <c r="L441" s="4347"/>
      <c r="M441" s="4347"/>
      <c r="N441" s="4347"/>
      <c r="O441" s="4347"/>
      <c r="P441" s="4347"/>
    </row>
    <row customHeight="true" ht="18.452380952380953" r="442">
      <c r="A442" s="4042" t="s">
        <v>4115</v>
      </c>
      <c r="B442" s="4031">
        <v>46251</v>
      </c>
      <c r="C442" s="4042" t="str">
        <v>Monday</v>
      </c>
      <c r="D442" s="4160" t="s">
        <v>3934</v>
      </c>
      <c r="E442" s="4308">
        <f t="shared" si="89"/>
      </c>
      <c r="F442" s="4032" t="s">
        <v>4117</v>
      </c>
      <c r="G442" s="4345"/>
      <c r="H442" s="4028" t="s">
        <v>3802</v>
      </c>
      <c r="I442" s="4087" t="s">
        <v>3743</v>
      </c>
      <c r="J442" s="4346"/>
      <c r="K442" s="4347"/>
      <c r="L442" s="4347"/>
      <c r="M442" s="4347"/>
      <c r="N442" s="4347"/>
      <c r="O442" s="4347"/>
      <c r="P442" s="4347"/>
    </row>
    <row customHeight="true" ht="18.452380952380953" r="443">
      <c r="A443" s="4042" t="s">
        <v>4115</v>
      </c>
      <c r="B443" s="4031">
        <v>46251</v>
      </c>
      <c r="C443" s="4042" t="str">
        <v>Monday</v>
      </c>
      <c r="D443" s="4160" t="s">
        <v>3917</v>
      </c>
      <c r="E443" s="4308">
        <f t="shared" si="89"/>
      </c>
      <c r="F443" s="4032" t="s">
        <v>4037</v>
      </c>
      <c r="G443" s="4345"/>
      <c r="H443" s="4028" t="s">
        <v>3802</v>
      </c>
      <c r="I443" s="4087" t="s">
        <v>3743</v>
      </c>
      <c r="J443" s="4346"/>
      <c r="K443" s="4347"/>
      <c r="L443" s="4347"/>
      <c r="M443" s="4347"/>
      <c r="N443" s="4347"/>
      <c r="O443" s="4347"/>
      <c r="P443" s="4347"/>
    </row>
    <row customHeight="true" ht="18.452380952380953" r="444">
      <c r="A444" s="4042" t="s">
        <v>4115</v>
      </c>
      <c r="B444" s="4031">
        <v>46251</v>
      </c>
      <c r="C444" s="4042" t="str">
        <v>Monday</v>
      </c>
      <c r="D444" s="4024" t="s">
        <v>3936</v>
      </c>
      <c r="E444" s="4308">
        <f t="shared" si="89"/>
      </c>
      <c r="F444" s="4335" t="s">
        <v>4118</v>
      </c>
      <c r="G444" s="4345"/>
      <c r="H444" s="4028" t="s">
        <v>3802</v>
      </c>
      <c r="I444" s="4087" t="s">
        <v>3776</v>
      </c>
      <c r="J444" s="4346"/>
      <c r="K444" s="4347"/>
      <c r="L444" s="4347"/>
      <c r="M444" s="4347"/>
      <c r="N444" s="4347"/>
      <c r="O444" s="4347"/>
      <c r="P444" s="4347"/>
    </row>
    <row customHeight="true" ht="18.452380952380953" r="445">
      <c r="A445" s="4042" t="s">
        <v>4115</v>
      </c>
      <c r="B445" s="4031">
        <v>46251</v>
      </c>
      <c r="C445" s="4042" t="str">
        <v>Monday</v>
      </c>
      <c r="D445" s="4024" t="s">
        <v>4025</v>
      </c>
      <c r="E445" s="4308">
        <f t="shared" si="89"/>
      </c>
      <c r="F445" s="4344" t="s">
        <v>4119</v>
      </c>
      <c r="G445" s="4345"/>
      <c r="H445" s="4028" t="s">
        <v>3802</v>
      </c>
      <c r="I445" s="4087" t="s">
        <v>3776</v>
      </c>
      <c r="J445" s="4346"/>
      <c r="K445" s="4347"/>
      <c r="L445" s="4347"/>
      <c r="M445" s="4347"/>
      <c r="N445" s="4347"/>
      <c r="O445" s="4347"/>
      <c r="P445" s="4347"/>
    </row>
    <row r="446">
      <c r="A446" s="4042" t="s">
        <v>4115</v>
      </c>
      <c r="B446" s="4031">
        <v>46251</v>
      </c>
      <c r="C446" s="4042" t="str">
        <v>Monday</v>
      </c>
      <c r="D446" s="4160" t="s">
        <v>4120</v>
      </c>
      <c r="E446" s="4308">
        <f t="shared" si="89"/>
      </c>
      <c r="F446" s="4032" t="s">
        <v>4117</v>
      </c>
      <c r="G446" s="4345"/>
      <c r="H446" s="4028" t="s">
        <v>3802</v>
      </c>
      <c r="I446" s="4087" t="s">
        <v>3743</v>
      </c>
      <c r="J446" s="4346"/>
      <c r="K446" s="4347"/>
      <c r="L446" s="4347"/>
      <c r="M446" s="4347"/>
      <c r="N446" s="4347"/>
      <c r="O446" s="4347"/>
      <c r="P446" s="4347"/>
    </row>
    <row customHeight="true" ht="18.452380952380953" r="447">
      <c r="A447" s="4042"/>
      <c r="B447" s="4042"/>
      <c r="C447" s="4042"/>
      <c r="D447" s="4160"/>
      <c r="E447" s="4308"/>
      <c r="F447" s="4032"/>
      <c r="G447" s="4345"/>
      <c r="H447" s="4028"/>
      <c r="I447" s="4087" t="s">
        <v>3776</v>
      </c>
      <c r="J447" s="4346"/>
      <c r="K447" s="4347"/>
      <c r="L447" s="4347"/>
      <c r="M447" s="4347"/>
      <c r="N447" s="4347"/>
      <c r="O447" s="4347"/>
      <c r="P447" s="4347"/>
    </row>
    <row r="448">
      <c r="A448" s="4348" t="s">
        <v>4104</v>
      </c>
      <c r="B448" s="4349">
        <v>46252</v>
      </c>
      <c r="C448" s="4348" t="str">
        <v>Tuesday</v>
      </c>
      <c r="D448" s="4227" t="s">
        <v>4121</v>
      </c>
      <c r="E448" s="4350">
        <f t="shared" ref="E448:E458" si="90">24*MOD(TIMEVALUE(TRIM(MID(D448,FIND("-",D448)+1,LEN(D448)))) - TIMEVALUE(TRIM(LEFT(D448,FIND("-",D448)-1))),1)</f>
      </c>
      <c r="F448" s="4228" t="s">
        <v>3943</v>
      </c>
      <c r="G448" s="4351" t="s">
        <v>4122</v>
      </c>
      <c r="H448" s="4028" t="s">
        <v>3802</v>
      </c>
      <c r="I448" s="4046" t="s">
        <v>3743</v>
      </c>
      <c r="J448" s="4352"/>
      <c r="K448" s="4347"/>
      <c r="L448" s="4347"/>
      <c r="M448" s="4347"/>
      <c r="N448" s="4347"/>
      <c r="O448" s="4347"/>
      <c r="P448" s="4347"/>
    </row>
    <row r="449">
      <c r="A449" s="4348" t="s">
        <v>4104</v>
      </c>
      <c r="B449" s="4349">
        <v>46252</v>
      </c>
      <c r="C449" s="4348" t="str">
        <v>Tuesday</v>
      </c>
      <c r="D449" s="4227" t="s">
        <v>4008</v>
      </c>
      <c r="E449" s="4350">
        <f t="shared" si="90"/>
      </c>
      <c r="F449" s="4353" t="s">
        <v>4106</v>
      </c>
      <c r="G449" s="4351" t="s">
        <v>4123</v>
      </c>
      <c r="H449" s="4028" t="s">
        <v>3802</v>
      </c>
      <c r="I449" s="4087" t="s">
        <v>3743</v>
      </c>
      <c r="J449" s="4352"/>
      <c r="K449" s="4347"/>
      <c r="L449" s="4347"/>
      <c r="M449" s="4347"/>
      <c r="N449" s="4347"/>
      <c r="O449" s="4347"/>
      <c r="P449" s="4347"/>
    </row>
    <row r="450">
      <c r="A450" s="4348" t="s">
        <v>4104</v>
      </c>
      <c r="B450" s="4349">
        <v>46252</v>
      </c>
      <c r="C450" s="4348" t="str">
        <v>Tuesday</v>
      </c>
      <c r="D450" s="4227" t="s">
        <v>3864</v>
      </c>
      <c r="E450" s="4350">
        <f t="shared" si="90"/>
      </c>
      <c r="F450" s="4228" t="s">
        <v>3838</v>
      </c>
      <c r="G450" s="4351" t="s">
        <v>4110</v>
      </c>
      <c r="H450" s="4028" t="s">
        <v>3802</v>
      </c>
      <c r="I450" s="4087" t="s">
        <v>3743</v>
      </c>
      <c r="J450" s="4352"/>
      <c r="K450" s="4347"/>
      <c r="L450" s="4347"/>
      <c r="M450" s="4347"/>
      <c r="N450" s="4347"/>
      <c r="O450" s="4347"/>
      <c r="P450" s="4347"/>
    </row>
    <row r="451">
      <c r="A451" s="4348" t="s">
        <v>4104</v>
      </c>
      <c r="B451" s="4349">
        <v>46252</v>
      </c>
      <c r="C451" s="4348" t="str">
        <v>Tuesday</v>
      </c>
      <c r="D451" s="4227" t="s">
        <v>3865</v>
      </c>
      <c r="E451" s="4350">
        <f t="shared" si="90"/>
      </c>
      <c r="F451" s="4228" t="s">
        <v>3818</v>
      </c>
      <c r="G451" s="4351" t="s">
        <v>4124</v>
      </c>
      <c r="H451" s="4028" t="s">
        <v>3802</v>
      </c>
      <c r="I451" s="4087" t="s">
        <v>3743</v>
      </c>
      <c r="J451" s="4352"/>
      <c r="K451" s="4347"/>
      <c r="L451" s="4347"/>
      <c r="M451" s="4347"/>
      <c r="N451" s="4347"/>
      <c r="O451" s="4347"/>
      <c r="P451" s="4347"/>
    </row>
    <row customHeight="true" ht="18.452380952380953" r="452">
      <c r="A452" s="4348" t="s">
        <v>4104</v>
      </c>
      <c r="B452" s="4349">
        <v>46252</v>
      </c>
      <c r="C452" s="4348" t="str">
        <v>Tuesday</v>
      </c>
      <c r="D452" s="4227" t="s">
        <v>4113</v>
      </c>
      <c r="E452" s="4350">
        <f t="shared" si="90"/>
      </c>
      <c r="F452" s="4228" t="s">
        <v>3838</v>
      </c>
      <c r="G452" s="4351" t="s">
        <v>4125</v>
      </c>
      <c r="H452" s="4028" t="s">
        <v>3802</v>
      </c>
      <c r="I452" s="4087" t="s">
        <v>3743</v>
      </c>
      <c r="J452" s="4352"/>
      <c r="K452" s="4347"/>
      <c r="L452" s="4347"/>
      <c r="M452" s="4347"/>
      <c r="N452" s="4347"/>
      <c r="O452" s="4347"/>
      <c r="P452" s="4347"/>
    </row>
    <row customHeight="true" ht="18.452380952380953" r="453">
      <c r="A453" s="4225" t="s">
        <v>4115</v>
      </c>
      <c r="B453" s="4349">
        <v>46252</v>
      </c>
      <c r="C453" s="4225" t="str">
        <v>Tuesday</v>
      </c>
      <c r="D453" s="4227" t="s">
        <v>4126</v>
      </c>
      <c r="E453" s="4228">
        <f t="shared" si="90"/>
      </c>
      <c r="F453" s="4228" t="s">
        <v>4127</v>
      </c>
      <c r="G453" s="4229" t="s">
        <v>4108</v>
      </c>
      <c r="H453" s="4032" t="s">
        <v>3802</v>
      </c>
      <c r="I453" s="4087" t="s">
        <v>3776</v>
      </c>
      <c r="J453" s="4354"/>
      <c r="K453" s="4231"/>
      <c r="L453" s="4231"/>
      <c r="M453" s="4231"/>
      <c r="N453" s="4231"/>
      <c r="O453" s="4231"/>
      <c r="P453" s="4231"/>
      <c r="Q453" s="4232"/>
      <c r="R453" s="4232"/>
      <c r="S453" s="4232"/>
      <c r="T453" s="4232"/>
      <c r="U453" s="4232"/>
      <c r="V453" s="4232"/>
      <c r="W453" s="4232"/>
      <c r="X453" s="4232"/>
      <c r="Y453" s="4232"/>
    </row>
    <row r="454">
      <c r="A454" s="4225" t="s">
        <v>4115</v>
      </c>
      <c r="B454" s="4349">
        <v>46252</v>
      </c>
      <c r="C454" s="4225" t="str">
        <v>Tuesday</v>
      </c>
      <c r="D454" s="4227" t="s">
        <v>4016</v>
      </c>
      <c r="E454" s="4228">
        <f t="shared" si="90"/>
      </c>
      <c r="F454" s="4228" t="s">
        <v>3813</v>
      </c>
      <c r="G454" s="4355"/>
      <c r="H454" s="4032" t="s">
        <v>3802</v>
      </c>
      <c r="I454" s="4087" t="s">
        <v>3743</v>
      </c>
      <c r="J454" s="4354"/>
      <c r="K454" s="4231"/>
      <c r="L454" s="4231"/>
      <c r="M454" s="4231"/>
      <c r="N454" s="4231"/>
      <c r="O454" s="4231"/>
      <c r="P454" s="4231"/>
      <c r="Q454" s="4232"/>
      <c r="R454" s="4232"/>
      <c r="S454" s="4232"/>
      <c r="T454" s="4232"/>
      <c r="U454" s="4232"/>
      <c r="V454" s="4232"/>
      <c r="W454" s="4232"/>
      <c r="X454" s="4232"/>
      <c r="Y454" s="4232"/>
    </row>
    <row r="455">
      <c r="A455" s="4348" t="s">
        <v>4115</v>
      </c>
      <c r="B455" s="4349">
        <v>46252</v>
      </c>
      <c r="C455" s="4348" t="str">
        <v>Tuesday</v>
      </c>
      <c r="D455" s="4227" t="s">
        <v>3871</v>
      </c>
      <c r="E455" s="4356">
        <f t="shared" si="90"/>
      </c>
      <c r="F455" s="4357" t="s">
        <v>4118</v>
      </c>
      <c r="G455" s="4358"/>
      <c r="H455" s="4032" t="s">
        <v>3802</v>
      </c>
      <c r="I455" s="4087" t="s">
        <v>3776</v>
      </c>
      <c r="J455" s="4359"/>
      <c r="K455" s="4030"/>
      <c r="L455" s="4030"/>
      <c r="M455" s="4030"/>
      <c r="N455" s="4030"/>
      <c r="O455" s="4030"/>
      <c r="P455" s="4030"/>
    </row>
    <row customHeight="true" ht="18.452380952380953" r="456">
      <c r="A456" s="4348" t="s">
        <v>4115</v>
      </c>
      <c r="B456" s="4349">
        <v>46252</v>
      </c>
      <c r="C456" s="4348" t="str">
        <v>Tuesday</v>
      </c>
      <c r="D456" s="4227" t="s">
        <v>3872</v>
      </c>
      <c r="E456" s="4356">
        <f t="shared" si="90"/>
      </c>
      <c r="F456" s="4350" t="s">
        <v>4117</v>
      </c>
      <c r="G456" s="4358"/>
      <c r="H456" s="4032" t="s">
        <v>3802</v>
      </c>
      <c r="I456" s="4087" t="s">
        <v>3743</v>
      </c>
      <c r="J456" s="4359"/>
      <c r="K456" s="4030"/>
      <c r="L456" s="4030"/>
      <c r="M456" s="4030"/>
      <c r="N456" s="4030"/>
      <c r="O456" s="4030"/>
      <c r="P456" s="4030"/>
    </row>
    <row customHeight="true" ht="18.452380952380953" r="457">
      <c r="A457" s="4348" t="s">
        <v>4115</v>
      </c>
      <c r="B457" s="4349">
        <v>46252</v>
      </c>
      <c r="C457" s="4348" t="str">
        <v>Tuesday</v>
      </c>
      <c r="D457" s="4227" t="s">
        <v>3922</v>
      </c>
      <c r="E457" s="4356">
        <f t="shared" si="90"/>
      </c>
      <c r="F457" s="4228" t="s">
        <v>3813</v>
      </c>
      <c r="G457" s="4358"/>
      <c r="H457" s="4032" t="s">
        <v>3802</v>
      </c>
      <c r="I457" s="4087" t="s">
        <v>3743</v>
      </c>
      <c r="J457" s="4359"/>
      <c r="K457" s="4030"/>
      <c r="L457" s="4030"/>
      <c r="M457" s="4030"/>
      <c r="N457" s="4030"/>
      <c r="O457" s="4030"/>
      <c r="P457" s="4030"/>
    </row>
    <row r="458">
      <c r="A458" s="4348" t="s">
        <v>4115</v>
      </c>
      <c r="B458" s="4349">
        <v>46252</v>
      </c>
      <c r="C458" s="4348" t="str">
        <v>Tuesday</v>
      </c>
      <c r="D458" s="4227" t="s">
        <v>4120</v>
      </c>
      <c r="E458" s="4356">
        <f t="shared" si="90"/>
      </c>
      <c r="F458" s="4228" t="s">
        <v>4117</v>
      </c>
      <c r="G458" s="4358"/>
      <c r="H458" s="4028" t="s">
        <v>3802</v>
      </c>
      <c r="I458" s="4087" t="s">
        <v>3743</v>
      </c>
      <c r="J458" s="4360"/>
      <c r="K458" s="4030"/>
      <c r="L458" s="4030"/>
      <c r="M458" s="4030"/>
      <c r="N458" s="4030"/>
      <c r="O458" s="4030"/>
      <c r="P458" s="4030"/>
    </row>
    <row customHeight="true" ht="18.452380952380953" r="459">
      <c r="A459" s="4158"/>
      <c r="B459" s="4159"/>
      <c r="C459" s="4158"/>
      <c r="D459" s="4160"/>
      <c r="E459" s="4335"/>
      <c r="F459" s="4032"/>
      <c r="G459" s="4323"/>
      <c r="H459" s="4032"/>
      <c r="I459" s="4361"/>
      <c r="J459" s="4250"/>
      <c r="K459" s="4030"/>
      <c r="L459" s="4030"/>
      <c r="M459" s="4030"/>
      <c r="N459" s="4030"/>
      <c r="O459" s="4030"/>
      <c r="P459" s="4030"/>
      <c r="Q459" s="4105"/>
      <c r="R459" s="4105"/>
      <c r="S459" s="4105"/>
      <c r="T459" s="4105"/>
      <c r="U459" s="4105"/>
      <c r="V459" s="4105"/>
      <c r="W459" s="4105"/>
      <c r="X459" s="4105"/>
      <c r="Y459" s="4105"/>
    </row>
    <row r="460">
      <c r="A460" s="4042" t="s">
        <v>4104</v>
      </c>
      <c r="B460" s="4031">
        <v>46256</v>
      </c>
      <c r="C460" s="4042" t="str">
        <v>Saturday</v>
      </c>
      <c r="D460" s="4024" t="s">
        <v>4128</v>
      </c>
      <c r="E460" s="4028">
        <f t="shared" ref="E460:E471" si="91">24*MOD(TIMEVALUE(TRIM(MID(D460,FIND("-",D460)+1,LEN(D460)))) - TIMEVALUE(TRIM(LEFT(D460,FIND("-",D460)-1))),1)</f>
      </c>
      <c r="F460" s="4032" t="s">
        <v>4111</v>
      </c>
      <c r="G460" s="4362"/>
      <c r="H460" s="4028" t="s">
        <v>3802</v>
      </c>
      <c r="I460" s="4087" t="s">
        <v>3743</v>
      </c>
      <c r="J460" s="4045"/>
      <c r="K460" s="4030"/>
      <c r="L460" s="4030"/>
      <c r="M460" s="4030"/>
      <c r="N460" s="4030"/>
      <c r="O460" s="4030"/>
      <c r="P460" s="4030"/>
    </row>
    <row customHeight="true" ht="18.452380952380953" r="461">
      <c r="A461" s="4042" t="s">
        <v>4104</v>
      </c>
      <c r="B461" s="4031">
        <v>46256</v>
      </c>
      <c r="C461" s="4042" t="str">
        <v>Saturday</v>
      </c>
      <c r="D461" s="4024" t="s">
        <v>3867</v>
      </c>
      <c r="E461" s="4028">
        <f t="shared" si="91"/>
      </c>
      <c r="F461" s="4032" t="s">
        <v>4106</v>
      </c>
      <c r="G461" s="4362"/>
      <c r="H461" s="4028" t="s">
        <v>3802</v>
      </c>
      <c r="I461" s="4087" t="s">
        <v>3776</v>
      </c>
      <c r="J461" s="4363"/>
      <c r="K461" s="4030"/>
      <c r="L461" s="4030"/>
      <c r="M461" s="4030"/>
      <c r="N461" s="4030"/>
      <c r="O461" s="4030"/>
      <c r="P461" s="4030"/>
    </row>
    <row r="462">
      <c r="A462" s="4042" t="s">
        <v>4104</v>
      </c>
      <c r="B462" s="4031">
        <v>46256</v>
      </c>
      <c r="C462" s="4042" t="str">
        <v>Saturday</v>
      </c>
      <c r="D462" s="4024" t="s">
        <v>3868</v>
      </c>
      <c r="E462" s="4028">
        <f t="shared" si="91"/>
      </c>
      <c r="F462" s="4032" t="s">
        <v>3943</v>
      </c>
      <c r="G462" s="4364"/>
      <c r="H462" s="4028" t="s">
        <v>3802</v>
      </c>
      <c r="I462" s="4046" t="s">
        <v>3743</v>
      </c>
      <c r="J462" s="4363"/>
      <c r="K462" s="4030"/>
      <c r="L462" s="4030"/>
      <c r="M462" s="4030"/>
      <c r="N462" s="4030"/>
      <c r="O462" s="4030"/>
      <c r="P462" s="4030"/>
    </row>
    <row customHeight="true" ht="18.452380952380953" r="463">
      <c r="A463" s="4042" t="s">
        <v>4104</v>
      </c>
      <c r="B463" s="4031">
        <v>46256</v>
      </c>
      <c r="C463" s="4042" t="str">
        <v>Saturday</v>
      </c>
      <c r="D463" s="4024" t="s">
        <v>3936</v>
      </c>
      <c r="E463" s="4028">
        <f t="shared" si="91"/>
      </c>
      <c r="F463" s="4032" t="s">
        <v>3838</v>
      </c>
      <c r="G463" s="4364"/>
      <c r="H463" s="4028" t="s">
        <v>3802</v>
      </c>
      <c r="I463" s="4087" t="s">
        <v>3743</v>
      </c>
      <c r="J463" s="4363"/>
      <c r="K463" s="4030"/>
      <c r="L463" s="4030"/>
      <c r="M463" s="4030"/>
      <c r="N463" s="4030"/>
      <c r="O463" s="4030"/>
      <c r="P463" s="4030"/>
    </row>
    <row r="464">
      <c r="A464" s="4042" t="s">
        <v>4104</v>
      </c>
      <c r="B464" s="4031">
        <v>46256</v>
      </c>
      <c r="C464" s="4042" t="str">
        <v>Saturday</v>
      </c>
      <c r="D464" s="4024" t="s">
        <v>4025</v>
      </c>
      <c r="E464" s="4028">
        <f t="shared" si="91"/>
      </c>
      <c r="F464" s="4032" t="s">
        <v>3818</v>
      </c>
      <c r="G464" s="4362"/>
      <c r="H464" s="4028" t="s">
        <v>3802</v>
      </c>
      <c r="I464" s="4087" t="s">
        <v>3743</v>
      </c>
      <c r="J464" s="4363"/>
      <c r="K464" s="4030"/>
      <c r="L464" s="4030"/>
      <c r="M464" s="4030"/>
      <c r="N464" s="4030"/>
      <c r="O464" s="4030"/>
      <c r="P464" s="4030"/>
    </row>
    <row customHeight="true" ht="18.452380952380953" r="465">
      <c r="A465" s="4042" t="s">
        <v>4104</v>
      </c>
      <c r="B465" s="4031">
        <v>46256</v>
      </c>
      <c r="C465" s="4042" t="str">
        <v>Saturday</v>
      </c>
      <c r="D465" s="4160" t="s">
        <v>4120</v>
      </c>
      <c r="E465" s="4028">
        <f t="shared" si="91"/>
      </c>
      <c r="F465" s="4032" t="s">
        <v>3838</v>
      </c>
      <c r="G465" s="4362"/>
      <c r="H465" s="4028" t="s">
        <v>3802</v>
      </c>
      <c r="I465" s="4087" t="s">
        <v>3743</v>
      </c>
      <c r="J465" s="4363"/>
      <c r="K465" s="4030"/>
      <c r="L465" s="4030"/>
      <c r="M465" s="4030"/>
      <c r="N465" s="4030"/>
      <c r="O465" s="4030"/>
      <c r="P465" s="4030"/>
    </row>
    <row customHeight="true" ht="18.452380952380953" r="466">
      <c r="A466" s="4158" t="s">
        <v>4115</v>
      </c>
      <c r="B466" s="4031">
        <v>46256</v>
      </c>
      <c r="C466" s="4158" t="str">
        <v>Saturday</v>
      </c>
      <c r="D466" s="4160" t="s">
        <v>4129</v>
      </c>
      <c r="E466" s="4335">
        <f t="shared" si="91"/>
      </c>
      <c r="F466" s="4335"/>
      <c r="G466" s="4365"/>
      <c r="H466" s="4032" t="s">
        <v>3802</v>
      </c>
      <c r="I466" s="4087" t="s">
        <v>3776</v>
      </c>
      <c r="J466" s="4366"/>
      <c r="K466" s="4030"/>
      <c r="L466" s="4030"/>
      <c r="M466" s="4030"/>
      <c r="N466" s="4030"/>
      <c r="O466" s="4030"/>
      <c r="P466" s="4030"/>
      <c r="Q466" s="4105"/>
      <c r="R466" s="4105"/>
      <c r="S466" s="4105"/>
      <c r="T466" s="4105"/>
      <c r="U466" s="4105"/>
      <c r="V466" s="4105"/>
      <c r="W466" s="4105"/>
      <c r="X466" s="4105"/>
      <c r="Y466" s="4105"/>
    </row>
    <row r="467">
      <c r="A467" s="4042" t="s">
        <v>4115</v>
      </c>
      <c r="B467" s="4031">
        <v>46256</v>
      </c>
      <c r="C467" s="4042" t="str">
        <v>Saturday</v>
      </c>
      <c r="D467" s="4160" t="s">
        <v>4130</v>
      </c>
      <c r="E467" s="4308">
        <f t="shared" si="91"/>
      </c>
      <c r="F467" s="4344" t="s">
        <v>4037</v>
      </c>
      <c r="G467" s="4367"/>
      <c r="H467" s="4028" t="s">
        <v>3802</v>
      </c>
      <c r="I467" s="4087" t="s">
        <v>3743</v>
      </c>
      <c r="J467" s="4363"/>
      <c r="K467" s="4030"/>
      <c r="L467" s="4030"/>
      <c r="M467" s="4030"/>
      <c r="N467" s="4030"/>
      <c r="O467" s="4030"/>
      <c r="P467" s="4030"/>
    </row>
    <row customHeight="true" ht="18.452380952380953" r="468">
      <c r="A468" s="4057" t="s">
        <v>4115</v>
      </c>
      <c r="B468" s="4058">
        <v>46256</v>
      </c>
      <c r="C468" s="4057" t="str">
        <v>Saturday</v>
      </c>
      <c r="D468" s="4059" t="s">
        <v>4131</v>
      </c>
      <c r="E468" s="4368">
        <f t="shared" si="91"/>
      </c>
      <c r="F468" s="4368" t="s">
        <v>4118</v>
      </c>
      <c r="G468" s="4369"/>
      <c r="H468" s="4060" t="s">
        <v>3802</v>
      </c>
      <c r="I468" s="4102" t="s">
        <v>3776</v>
      </c>
      <c r="J468" s="4370" t="s">
        <v>4132</v>
      </c>
      <c r="K468" s="4064"/>
      <c r="L468" s="4064"/>
      <c r="M468" s="4064"/>
      <c r="N468" s="4064"/>
      <c r="O468" s="4064"/>
      <c r="P468" s="4064"/>
      <c r="Q468" s="4065"/>
      <c r="R468" s="4065"/>
      <c r="S468" s="4065"/>
      <c r="T468" s="4065"/>
      <c r="U468" s="4065"/>
      <c r="V468" s="4065"/>
      <c r="W468" s="4065"/>
      <c r="X468" s="4065"/>
      <c r="Y468" s="4065"/>
    </row>
    <row r="469">
      <c r="A469" s="4042" t="s">
        <v>4115</v>
      </c>
      <c r="B469" s="4031">
        <v>46256</v>
      </c>
      <c r="C469" s="4042" t="str">
        <v>Saturday</v>
      </c>
      <c r="D469" s="4160" t="s">
        <v>3887</v>
      </c>
      <c r="E469" s="4308">
        <f t="shared" si="91"/>
      </c>
      <c r="F469" s="4032" t="s">
        <v>4117</v>
      </c>
      <c r="G469" s="4367"/>
      <c r="H469" s="4028" t="s">
        <v>3802</v>
      </c>
      <c r="I469" s="4087" t="s">
        <v>3743</v>
      </c>
      <c r="J469" s="4363"/>
      <c r="K469" s="4030"/>
      <c r="L469" s="4030"/>
      <c r="M469" s="4030"/>
      <c r="N469" s="4030"/>
      <c r="O469" s="4030"/>
      <c r="P469" s="4030"/>
    </row>
    <row customHeight="true" ht="18.452380952380953" r="470">
      <c r="A470" s="4057" t="s">
        <v>4115</v>
      </c>
      <c r="B470" s="4058">
        <v>46256</v>
      </c>
      <c r="C470" s="4057" t="str">
        <v>Saturday</v>
      </c>
      <c r="D470" s="4059" t="s">
        <v>4025</v>
      </c>
      <c r="E470" s="4368">
        <f t="shared" si="91"/>
      </c>
      <c r="F470" s="4060" t="s">
        <v>4116</v>
      </c>
      <c r="G470" s="4369"/>
      <c r="H470" s="4060" t="s">
        <v>3802</v>
      </c>
      <c r="I470" s="4102" t="s">
        <v>3743</v>
      </c>
      <c r="J470" s="4370" t="s">
        <v>4133</v>
      </c>
      <c r="K470" s="4064"/>
      <c r="L470" s="4064"/>
      <c r="M470" s="4064"/>
      <c r="N470" s="4064"/>
      <c r="O470" s="4064"/>
      <c r="P470" s="4064"/>
      <c r="Q470" s="4065"/>
      <c r="R470" s="4065"/>
      <c r="S470" s="4065"/>
      <c r="T470" s="4065"/>
      <c r="U470" s="4065"/>
      <c r="V470" s="4065"/>
      <c r="W470" s="4065"/>
      <c r="X470" s="4065"/>
      <c r="Y470" s="4065"/>
    </row>
    <row r="471">
      <c r="A471" s="4042" t="s">
        <v>4115</v>
      </c>
      <c r="B471" s="4031">
        <v>46256</v>
      </c>
      <c r="C471" s="4042" t="str">
        <v>Saturday</v>
      </c>
      <c r="D471" s="4160" t="s">
        <v>4134</v>
      </c>
      <c r="E471" s="4308">
        <f t="shared" si="91"/>
      </c>
      <c r="F471" s="4032" t="s">
        <v>4117</v>
      </c>
      <c r="G471" s="4367"/>
      <c r="H471" s="4028" t="s">
        <v>3802</v>
      </c>
      <c r="I471" s="4087" t="s">
        <v>3743</v>
      </c>
      <c r="J471" s="4363"/>
      <c r="K471" s="4030"/>
      <c r="L471" s="4030"/>
      <c r="M471" s="4030"/>
      <c r="N471" s="4030"/>
      <c r="O471" s="4030"/>
      <c r="P471" s="4030"/>
    </row>
    <row customHeight="true" ht="18.452380952380953" r="472">
      <c r="A472" s="4042"/>
      <c r="B472" s="4042"/>
      <c r="C472" s="4042"/>
      <c r="D472" s="4160"/>
      <c r="E472" s="4308"/>
      <c r="F472" s="4032"/>
      <c r="G472" s="4367"/>
      <c r="H472" s="4028"/>
      <c r="I472" s="4087" t="s">
        <v>3776</v>
      </c>
      <c r="J472" s="4363"/>
      <c r="K472" s="4030"/>
      <c r="L472" s="4030"/>
      <c r="M472" s="4030"/>
      <c r="N472" s="4030"/>
      <c r="O472" s="4030"/>
      <c r="P472" s="4030"/>
    </row>
    <row r="473">
      <c r="A473" s="4348" t="s">
        <v>4104</v>
      </c>
      <c r="B473" s="4349">
        <v>46257</v>
      </c>
      <c r="C473" s="4348" t="str">
        <v>Sunday</v>
      </c>
      <c r="D473" s="4371" t="s">
        <v>4121</v>
      </c>
      <c r="E473" s="4350">
        <f t="shared" ref="E473:E483" si="92">24*MOD(TIMEVALUE(TRIM(MID(D473,FIND("-",D473)+1,LEN(D473)))) - TIMEVALUE(TRIM(LEFT(D473,FIND("-",D473)-1))),1)</f>
      </c>
      <c r="F473" s="4353" t="s">
        <v>4111</v>
      </c>
      <c r="G473" s="4372"/>
      <c r="H473" s="4028" t="s">
        <v>3802</v>
      </c>
      <c r="I473" s="4087" t="s">
        <v>3743</v>
      </c>
      <c r="J473" s="4363"/>
      <c r="K473" s="4030"/>
      <c r="L473" s="4030"/>
      <c r="M473" s="4030"/>
      <c r="N473" s="4030"/>
      <c r="O473" s="4030"/>
      <c r="P473" s="4030"/>
    </row>
    <row customHeight="true" ht="18.452380952380953" r="474">
      <c r="A474" s="4348" t="s">
        <v>4104</v>
      </c>
      <c r="B474" s="4349">
        <v>46257</v>
      </c>
      <c r="C474" s="4348" t="str">
        <v>Sunday</v>
      </c>
      <c r="D474" s="4371" t="s">
        <v>4008</v>
      </c>
      <c r="E474" s="4350">
        <f t="shared" si="92"/>
      </c>
      <c r="F474" s="4353" t="s">
        <v>4106</v>
      </c>
      <c r="G474" s="4372"/>
      <c r="H474" s="4028" t="s">
        <v>3802</v>
      </c>
      <c r="I474" s="4087" t="s">
        <v>3743</v>
      </c>
      <c r="J474" s="4363"/>
      <c r="K474" s="4030"/>
      <c r="L474" s="4030"/>
      <c r="M474" s="4030"/>
      <c r="N474" s="4030"/>
      <c r="O474" s="4030"/>
      <c r="P474" s="4030"/>
    </row>
    <row customHeight="true" ht="18.452380952380953" r="475">
      <c r="A475" s="4348" t="s">
        <v>4104</v>
      </c>
      <c r="B475" s="4349">
        <v>46257</v>
      </c>
      <c r="C475" s="4348" t="str">
        <v>Sunday</v>
      </c>
      <c r="D475" s="4371" t="s">
        <v>3864</v>
      </c>
      <c r="E475" s="4350">
        <f t="shared" si="92"/>
      </c>
      <c r="F475" s="4353" t="s">
        <v>3838</v>
      </c>
      <c r="G475" s="4372"/>
      <c r="H475" s="4028" t="s">
        <v>3802</v>
      </c>
      <c r="I475" s="4087" t="s">
        <v>3743</v>
      </c>
      <c r="J475" s="4363"/>
      <c r="K475" s="4030"/>
      <c r="L475" s="4030"/>
      <c r="M475" s="4030"/>
      <c r="N475" s="4030"/>
      <c r="O475" s="4030"/>
      <c r="P475" s="4030"/>
    </row>
    <row r="476">
      <c r="A476" s="4348" t="s">
        <v>4104</v>
      </c>
      <c r="B476" s="4349">
        <v>46257</v>
      </c>
      <c r="C476" s="4348" t="str">
        <v>Sunday</v>
      </c>
      <c r="D476" s="4371" t="s">
        <v>3865</v>
      </c>
      <c r="E476" s="4350">
        <f t="shared" si="92"/>
      </c>
      <c r="F476" s="4228" t="s">
        <v>3818</v>
      </c>
      <c r="G476" s="4372"/>
      <c r="H476" s="4028" t="s">
        <v>3802</v>
      </c>
      <c r="I476" s="4087" t="s">
        <v>3743</v>
      </c>
      <c r="J476" s="4363"/>
      <c r="K476" s="4030"/>
      <c r="L476" s="4030"/>
      <c r="M476" s="4030"/>
      <c r="N476" s="4030"/>
      <c r="O476" s="4030"/>
      <c r="P476" s="4030"/>
    </row>
    <row r="477">
      <c r="A477" s="4348" t="s">
        <v>4104</v>
      </c>
      <c r="B477" s="4349">
        <v>46257</v>
      </c>
      <c r="C477" s="4348" t="str">
        <v>Sunday</v>
      </c>
      <c r="D477" s="4371" t="s">
        <v>4120</v>
      </c>
      <c r="E477" s="4350">
        <f t="shared" si="92"/>
      </c>
      <c r="F477" s="4353" t="s">
        <v>3838</v>
      </c>
      <c r="G477" s="4372"/>
      <c r="H477" s="4028" t="s">
        <v>3802</v>
      </c>
      <c r="I477" s="4087" t="s">
        <v>3743</v>
      </c>
      <c r="J477" s="4363"/>
      <c r="K477" s="4030"/>
      <c r="L477" s="4030"/>
      <c r="M477" s="4030"/>
      <c r="N477" s="4030"/>
      <c r="O477" s="4030"/>
      <c r="P477" s="4030"/>
    </row>
    <row customHeight="true" ht="18.452380952380953" r="478">
      <c r="A478" s="4348" t="s">
        <v>4115</v>
      </c>
      <c r="B478" s="4349">
        <v>46257</v>
      </c>
      <c r="C478" s="4348" t="s">
        <v>4135</v>
      </c>
      <c r="D478" s="4227" t="s">
        <v>4121</v>
      </c>
      <c r="E478" s="4357">
        <f t="shared" si="92"/>
      </c>
      <c r="F478" s="4357" t="s">
        <v>4118</v>
      </c>
      <c r="G478" s="4373"/>
      <c r="H478" s="4028" t="s">
        <v>3802</v>
      </c>
      <c r="I478" s="4087" t="s">
        <v>3776</v>
      </c>
      <c r="J478" s="4363"/>
      <c r="K478" s="4030"/>
      <c r="L478" s="4030"/>
      <c r="M478" s="4030"/>
      <c r="N478" s="4030"/>
      <c r="O478" s="4030"/>
      <c r="P478" s="4030"/>
    </row>
    <row customHeight="true" ht="18.452380952380953" r="479">
      <c r="A479" s="4348" t="s">
        <v>4115</v>
      </c>
      <c r="B479" s="4349">
        <v>46257</v>
      </c>
      <c r="C479" s="4348" t="s">
        <v>4135</v>
      </c>
      <c r="D479" s="4227" t="s">
        <v>3759</v>
      </c>
      <c r="E479" s="4357">
        <f t="shared" si="92"/>
      </c>
      <c r="F479" s="4357"/>
      <c r="G479" s="4373"/>
      <c r="H479" s="4028" t="s">
        <v>3802</v>
      </c>
      <c r="I479" s="4087" t="s">
        <v>3776</v>
      </c>
      <c r="J479" s="4363"/>
      <c r="K479" s="4030"/>
      <c r="L479" s="4030"/>
      <c r="M479" s="4030"/>
      <c r="N479" s="4030"/>
      <c r="O479" s="4030"/>
      <c r="P479" s="4030"/>
    </row>
    <row r="480">
      <c r="A480" s="4348" t="s">
        <v>4115</v>
      </c>
      <c r="B480" s="4349">
        <v>46257</v>
      </c>
      <c r="C480" s="4348" t="s">
        <v>4135</v>
      </c>
      <c r="D480" s="4227" t="s">
        <v>3868</v>
      </c>
      <c r="E480" s="4357">
        <f t="shared" si="92"/>
      </c>
      <c r="F480" s="4357" t="s">
        <v>4118</v>
      </c>
      <c r="G480" s="4374"/>
      <c r="H480" s="4375" t="s">
        <v>3802</v>
      </c>
      <c r="I480" s="4087" t="s">
        <v>3776</v>
      </c>
      <c r="J480" s="4363"/>
      <c r="K480" s="4030"/>
      <c r="L480" s="4030"/>
      <c r="M480" s="4030"/>
      <c r="N480" s="4030"/>
      <c r="O480" s="4030"/>
      <c r="P480" s="4030"/>
    </row>
    <row customHeight="true" ht="18.452380952380953" r="481">
      <c r="A481" s="4348" t="s">
        <v>4115</v>
      </c>
      <c r="B481" s="4349">
        <v>46257</v>
      </c>
      <c r="C481" s="4348" t="s">
        <v>4135</v>
      </c>
      <c r="D481" s="4227" t="s">
        <v>4136</v>
      </c>
      <c r="E481" s="4357">
        <f t="shared" si="92"/>
      </c>
      <c r="F481" s="4228" t="s">
        <v>4117</v>
      </c>
      <c r="G481" s="4373"/>
      <c r="H481" s="4028" t="s">
        <v>3802</v>
      </c>
      <c r="I481" s="4087" t="s">
        <v>3743</v>
      </c>
      <c r="J481" s="4363"/>
      <c r="K481" s="4030"/>
      <c r="L481" s="4030"/>
      <c r="M481" s="4030"/>
      <c r="N481" s="4030"/>
      <c r="O481" s="4030"/>
      <c r="P481" s="4030"/>
    </row>
    <row customHeight="true" ht="18.452380952380953" r="482">
      <c r="A482" s="4057" t="s">
        <v>4115</v>
      </c>
      <c r="B482" s="4058">
        <v>46257</v>
      </c>
      <c r="C482" s="4057" t="s">
        <v>4135</v>
      </c>
      <c r="D482" s="4059" t="s">
        <v>3922</v>
      </c>
      <c r="E482" s="4368">
        <f t="shared" si="92"/>
      </c>
      <c r="F482" s="4376" t="s">
        <v>4116</v>
      </c>
      <c r="G482" s="4369"/>
      <c r="H482" s="4060" t="s">
        <v>3802</v>
      </c>
      <c r="I482" s="4102" t="s">
        <v>3743</v>
      </c>
      <c r="J482" s="4370" t="s">
        <v>4133</v>
      </c>
      <c r="K482" s="4064"/>
      <c r="L482" s="4064"/>
      <c r="M482" s="4064"/>
      <c r="N482" s="4064"/>
      <c r="O482" s="4064"/>
      <c r="P482" s="4064"/>
      <c r="Q482" s="4065"/>
      <c r="R482" s="4065"/>
      <c r="S482" s="4065"/>
      <c r="T482" s="4065"/>
      <c r="U482" s="4065"/>
      <c r="V482" s="4065"/>
      <c r="W482" s="4065"/>
      <c r="X482" s="4065"/>
      <c r="Y482" s="4065"/>
    </row>
    <row customHeight="true" ht="18.452380952380953" r="483">
      <c r="A483" s="4348" t="s">
        <v>4115</v>
      </c>
      <c r="B483" s="4349">
        <v>46257</v>
      </c>
      <c r="C483" s="4348" t="s">
        <v>4135</v>
      </c>
      <c r="D483" s="4227" t="s">
        <v>4120</v>
      </c>
      <c r="E483" s="4357">
        <f t="shared" si="92"/>
      </c>
      <c r="F483" s="4228" t="s">
        <v>4117</v>
      </c>
      <c r="G483" s="4373"/>
      <c r="H483" s="4028" t="s">
        <v>3802</v>
      </c>
      <c r="I483" s="4087" t="s">
        <v>3743</v>
      </c>
      <c r="J483" s="4363"/>
      <c r="K483" s="4030"/>
      <c r="L483" s="4030"/>
      <c r="M483" s="4030"/>
      <c r="N483" s="4030"/>
      <c r="O483" s="4030"/>
      <c r="P483" s="4030"/>
    </row>
    <row customHeight="true" ht="18.452380952380953" r="484">
      <c r="A484" s="4225"/>
      <c r="B484" s="4349"/>
      <c r="C484" s="4348"/>
      <c r="D484" s="4371"/>
      <c r="E484" s="4350"/>
      <c r="F484" s="4350"/>
      <c r="G484" s="4372"/>
      <c r="H484" s="4028"/>
      <c r="I484" s="4087" t="s">
        <v>3776</v>
      </c>
      <c r="J484" s="4363"/>
      <c r="K484" s="4030"/>
      <c r="L484" s="4030"/>
      <c r="M484" s="4030"/>
      <c r="N484" s="4030"/>
      <c r="O484" s="4030"/>
      <c r="P484" s="4030"/>
    </row>
    <row customHeight="true" ht="18.452380952380953" r="485">
      <c r="A485" s="4158"/>
      <c r="B485" s="4159"/>
      <c r="C485" s="4158"/>
      <c r="D485" s="4160"/>
      <c r="E485" s="4335"/>
      <c r="F485" s="4032"/>
      <c r="G485" s="4323"/>
      <c r="H485" s="4032"/>
      <c r="I485" s="4361"/>
      <c r="J485" s="4250"/>
      <c r="K485" s="4030"/>
      <c r="L485" s="4030"/>
      <c r="M485" s="4030"/>
      <c r="N485" s="4030"/>
      <c r="O485" s="4030"/>
      <c r="P485" s="4030"/>
      <c r="Q485" s="4105"/>
      <c r="R485" s="4105"/>
      <c r="S485" s="4105"/>
      <c r="T485" s="4105"/>
      <c r="U485" s="4105"/>
      <c r="V485" s="4105"/>
      <c r="W485" s="4105"/>
      <c r="X485" s="4105"/>
      <c r="Y485" s="4105"/>
    </row>
    <row r="486">
      <c r="A486" s="4377"/>
      <c r="B486" s="4377"/>
      <c r="C486" s="4377"/>
      <c r="D486" s="4377"/>
      <c r="E486" s="4377"/>
      <c r="F486" s="4377"/>
      <c r="G486" s="4377"/>
      <c r="H486" s="4377"/>
      <c r="I486" s="4377"/>
      <c r="J486" s="4285"/>
      <c r="K486" s="4030"/>
      <c r="L486" s="4030"/>
      <c r="M486" s="4030"/>
      <c r="N486" s="4030"/>
      <c r="O486" s="4030"/>
      <c r="P486" s="4030"/>
    </row>
    <row r="487">
      <c r="A487" s="4339" t="s">
        <v>4137</v>
      </c>
      <c r="B487" s="4339"/>
      <c r="C487" s="4339"/>
      <c r="D487" s="4339"/>
      <c r="E487" s="4339"/>
      <c r="F487" s="4339"/>
      <c r="G487" s="4339"/>
      <c r="H487" s="4339"/>
      <c r="I487" s="4339"/>
      <c r="J487" s="4340"/>
      <c r="K487" s="4035"/>
      <c r="L487" s="4035"/>
      <c r="M487" s="4035"/>
      <c r="N487" s="4035"/>
      <c r="O487" s="4035"/>
      <c r="P487" s="4035"/>
    </row>
    <row r="488">
      <c r="A488" s="4341" t="s">
        <v>3762</v>
      </c>
      <c r="B488" s="4186" t="s">
        <v>3763</v>
      </c>
      <c r="C488" s="4186"/>
      <c r="D488" s="4188" t="s">
        <v>3764</v>
      </c>
      <c r="E488" s="4342" t="s">
        <v>3765</v>
      </c>
      <c r="F488" s="4342" t="s">
        <v>3766</v>
      </c>
      <c r="G488" s="4343" t="s">
        <v>3781</v>
      </c>
      <c r="H488" s="4342" t="s">
        <v>3768</v>
      </c>
      <c r="I488" s="4342" t="s">
        <v>3769</v>
      </c>
      <c r="J488" s="4191" t="s">
        <v>3770</v>
      </c>
      <c r="K488" s="4041"/>
      <c r="L488" s="4041"/>
      <c r="M488" s="4041"/>
      <c r="N488" s="4041"/>
      <c r="O488" s="4041"/>
      <c r="P488" s="4041"/>
    </row>
    <row r="489">
      <c r="A489" s="4378" t="s">
        <v>4138</v>
      </c>
      <c r="B489" s="4031">
        <v>46254</v>
      </c>
      <c r="C489" s="4042" t="str">
        <v>Thursday</v>
      </c>
      <c r="D489" s="4047" t="s">
        <v>3855</v>
      </c>
      <c r="E489" s="4028">
        <f t="shared" ref="E489:E492" si="93">24*MOD(TIMEVALUE(TRIM(MID(D489,FIND("-",D489)+1,LEN(D489)))) - TIMEVALUE(TRIM(LEFT(D489,FIND("-",D489)-1))),1)</f>
      </c>
      <c r="F489" s="4032" t="s">
        <v>4111</v>
      </c>
      <c r="G489" s="4379"/>
      <c r="H489" s="4028"/>
      <c r="I489" s="4087" t="s">
        <v>3743</v>
      </c>
      <c r="J489" s="4380"/>
      <c r="K489" s="4030"/>
      <c r="L489" s="4030"/>
      <c r="M489" s="4030"/>
      <c r="N489" s="4030"/>
      <c r="O489" s="4030"/>
      <c r="P489" s="4030"/>
    </row>
    <row r="490">
      <c r="A490" s="4378" t="s">
        <v>4138</v>
      </c>
      <c r="B490" s="4031">
        <v>46257</v>
      </c>
      <c r="C490" s="4042" t="str">
        <v>Sunday</v>
      </c>
      <c r="D490" s="4047" t="s">
        <v>3855</v>
      </c>
      <c r="E490" s="4028">
        <f t="shared" si="93"/>
      </c>
      <c r="F490" s="4032" t="s">
        <v>4111</v>
      </c>
      <c r="G490" s="4379"/>
      <c r="H490" s="4028"/>
      <c r="I490" s="4087" t="s">
        <v>3743</v>
      </c>
      <c r="J490" s="4380"/>
      <c r="K490" s="4030"/>
      <c r="L490" s="4030"/>
      <c r="M490" s="4030"/>
      <c r="N490" s="4030"/>
      <c r="O490" s="4030"/>
      <c r="P490" s="4030"/>
    </row>
    <row customHeight="true" ht="18.452380952380953" r="491">
      <c r="A491" s="4378" t="s">
        <v>4139</v>
      </c>
      <c r="B491" s="4031">
        <v>46254</v>
      </c>
      <c r="C491" s="4042" t="str">
        <v>Thursday</v>
      </c>
      <c r="D491" s="4047" t="s">
        <v>4140</v>
      </c>
      <c r="E491" s="4028">
        <f t="shared" si="93"/>
      </c>
      <c r="F491" s="4032" t="s">
        <v>4117</v>
      </c>
      <c r="G491" s="4379"/>
      <c r="H491" s="4028"/>
      <c r="I491" s="4087" t="s">
        <v>3743</v>
      </c>
      <c r="J491" s="4380"/>
      <c r="K491" s="4030"/>
      <c r="L491" s="4030"/>
      <c r="M491" s="4030"/>
      <c r="N491" s="4030"/>
      <c r="O491" s="4030"/>
      <c r="P491" s="4030"/>
    </row>
    <row customHeight="true" ht="18.452380952380953" r="492">
      <c r="A492" s="4378" t="s">
        <v>4139</v>
      </c>
      <c r="B492" s="4031">
        <v>46257</v>
      </c>
      <c r="C492" s="4042" t="str">
        <v>Sunday</v>
      </c>
      <c r="D492" s="4047" t="s">
        <v>4140</v>
      </c>
      <c r="E492" s="4028">
        <f t="shared" si="93"/>
      </c>
      <c r="F492" s="4032"/>
      <c r="G492" s="4379"/>
      <c r="H492" s="4028"/>
      <c r="I492" s="4046" t="s">
        <v>3743</v>
      </c>
      <c r="J492" s="4380"/>
      <c r="K492" s="4030"/>
      <c r="L492" s="4030"/>
      <c r="M492" s="4030"/>
      <c r="N492" s="4030"/>
      <c r="O492" s="4030"/>
      <c r="P492" s="4030"/>
    </row>
    <row customHeight="true" ht="18.452380952380953" r="493">
      <c r="A493" s="4381"/>
      <c r="B493" s="4159"/>
      <c r="C493" s="4158"/>
      <c r="D493" s="4160"/>
      <c r="E493" s="4335"/>
      <c r="F493" s="4032"/>
      <c r="G493" s="4323"/>
      <c r="H493" s="4032"/>
      <c r="I493" s="4032"/>
      <c r="J493" s="4250"/>
      <c r="K493" s="4030"/>
      <c r="L493" s="4030"/>
      <c r="M493" s="4030"/>
      <c r="N493" s="4030"/>
      <c r="O493" s="4030"/>
      <c r="P493" s="4030"/>
      <c r="Q493" s="4105"/>
      <c r="R493" s="4105"/>
      <c r="S493" s="4105"/>
      <c r="T493" s="4105"/>
      <c r="U493" s="4105"/>
      <c r="V493" s="4105"/>
      <c r="W493" s="4105"/>
      <c r="X493" s="4105"/>
      <c r="Y493" s="4105"/>
    </row>
    <row r="494">
      <c r="A494" s="4378"/>
      <c r="B494" s="4042"/>
      <c r="C494" s="4042"/>
      <c r="D494" s="4028"/>
      <c r="E494" s="4028"/>
      <c r="F494" s="4028"/>
      <c r="G494" s="4382"/>
      <c r="H494" s="4028"/>
      <c r="I494" s="4350"/>
      <c r="J494" s="4380"/>
      <c r="K494" s="4030"/>
      <c r="L494" s="4030"/>
      <c r="M494" s="4030"/>
      <c r="N494" s="4030"/>
      <c r="O494" s="4030"/>
      <c r="P494" s="4030"/>
    </row>
    <row customHeight="true" ht="16.071428571428573" r="495">
      <c r="A495" s="4378"/>
      <c r="B495" s="4042"/>
      <c r="C495" s="4042"/>
      <c r="D495" s="4028"/>
      <c r="E495" s="4028"/>
      <c r="F495" s="4028"/>
      <c r="G495" s="4382"/>
      <c r="H495" s="4028"/>
      <c r="I495" s="4350"/>
      <c r="J495" s="4380"/>
      <c r="K495" s="4030"/>
      <c r="L495" s="4030"/>
      <c r="M495" s="4030"/>
      <c r="N495" s="4030"/>
      <c r="O495" s="4030"/>
      <c r="P495" s="4030"/>
    </row>
    <row customHeight="true" ht="33.23485645144371" r="496">
      <c r="A496" s="4383" t="s">
        <v>4141</v>
      </c>
      <c r="B496" s="4383"/>
      <c r="C496" s="4383"/>
      <c r="D496" s="4383"/>
      <c r="E496" s="4383"/>
      <c r="F496" s="4383"/>
      <c r="G496" s="4383"/>
      <c r="H496" s="4383"/>
      <c r="I496" s="4383"/>
      <c r="J496" s="4384"/>
      <c r="K496" s="4035"/>
      <c r="L496" s="4035"/>
      <c r="M496" s="4035"/>
      <c r="N496" s="4035"/>
      <c r="O496" s="4035"/>
      <c r="P496" s="4035"/>
    </row>
    <row customHeight="true" ht="27.760108931548054" r="497">
      <c r="A497" s="4385" t="s">
        <v>3762</v>
      </c>
      <c r="B497" s="4386" t="s">
        <v>3763</v>
      </c>
      <c r="C497" s="4386"/>
      <c r="D497" s="4387" t="s">
        <v>3764</v>
      </c>
      <c r="E497" s="4387" t="s">
        <v>3765</v>
      </c>
      <c r="F497" s="4387" t="s">
        <v>3766</v>
      </c>
      <c r="G497" s="4388" t="s">
        <v>3781</v>
      </c>
      <c r="H497" s="4387" t="s">
        <v>3768</v>
      </c>
      <c r="I497" s="4387" t="s">
        <v>3769</v>
      </c>
      <c r="J497" s="4389" t="s">
        <v>3770</v>
      </c>
      <c r="K497" s="4041"/>
      <c r="L497" s="4041"/>
      <c r="M497" s="4041"/>
      <c r="N497" s="4041"/>
      <c r="O497" s="4041"/>
      <c r="P497" s="4041"/>
    </row>
    <row customHeight="true" ht="16.071428571428573" r="498">
      <c r="A498" s="4390" t="s">
        <v>4142</v>
      </c>
      <c r="B498" s="4391">
        <v>46251</v>
      </c>
      <c r="C498" s="4390" t="str">
        <v>Monday</v>
      </c>
      <c r="D498" s="4392" t="s">
        <v>4143</v>
      </c>
      <c r="E498" s="4393">
        <f t="shared" ref="E498:E502" si="94">24*MOD(TIMEVALUE(TRIM(MID(D498,FIND("-",D498)+1,LEN(D498)))) - TIMEVALUE(TRIM(LEFT(D498,FIND("-",D498)-1))),1)</f>
      </c>
      <c r="F498" s="4394" t="s">
        <v>4144</v>
      </c>
      <c r="G498" s="4395"/>
      <c r="H498" s="4393" t="s">
        <v>3802</v>
      </c>
      <c r="I498" s="4046" t="s">
        <v>3776</v>
      </c>
      <c r="J498" s="4396"/>
      <c r="K498" s="4030"/>
      <c r="L498" s="4030"/>
      <c r="M498" s="4030"/>
      <c r="N498" s="4030"/>
      <c r="O498" s="4030"/>
      <c r="P498" s="4030"/>
    </row>
    <row customHeight="true" ht="16.071428571428573" r="499">
      <c r="A499" s="4042" t="s">
        <v>4142</v>
      </c>
      <c r="B499" s="4159">
        <v>46252</v>
      </c>
      <c r="C499" s="4042" t="str">
        <v>Tuesday</v>
      </c>
      <c r="D499" s="4024" t="s">
        <v>3867</v>
      </c>
      <c r="E499" s="4028">
        <f t="shared" si="94"/>
      </c>
      <c r="F499" s="4032" t="s">
        <v>4144</v>
      </c>
      <c r="G499" s="4166"/>
      <c r="H499" s="4028" t="s">
        <v>3802</v>
      </c>
      <c r="I499" s="4046" t="s">
        <v>3776</v>
      </c>
      <c r="J499" s="4045"/>
      <c r="K499" s="4030"/>
      <c r="L499" s="4030"/>
      <c r="M499" s="4030"/>
      <c r="N499" s="4030"/>
      <c r="O499" s="4030"/>
      <c r="P499" s="4030"/>
    </row>
    <row customHeight="true" ht="16.071428571428573" r="500">
      <c r="A500" s="4397" t="s">
        <v>4142</v>
      </c>
      <c r="B500" s="4391">
        <v>46254</v>
      </c>
      <c r="C500" s="4397" t="str">
        <v>Thursday</v>
      </c>
      <c r="D500" s="4392" t="s">
        <v>3867</v>
      </c>
      <c r="E500" s="4398">
        <f t="shared" si="94"/>
      </c>
      <c r="F500" s="4394" t="s">
        <v>3800</v>
      </c>
      <c r="G500" s="4399"/>
      <c r="H500" s="4398" t="s">
        <v>3802</v>
      </c>
      <c r="I500" s="4087" t="s">
        <v>3743</v>
      </c>
      <c r="J500" s="4400"/>
      <c r="K500" s="4347"/>
      <c r="L500" s="4347"/>
      <c r="M500" s="4347"/>
      <c r="N500" s="4347"/>
      <c r="O500" s="4347"/>
      <c r="P500" s="4347"/>
    </row>
    <row customHeight="true" ht="16.071428571428573" r="501">
      <c r="A501" s="4158" t="s">
        <v>4142</v>
      </c>
      <c r="B501" s="4159">
        <v>46256</v>
      </c>
      <c r="C501" s="4158" t="str">
        <v>Saturday</v>
      </c>
      <c r="D501" s="4024" t="s">
        <v>4145</v>
      </c>
      <c r="E501" s="4335">
        <f t="shared" si="94"/>
      </c>
      <c r="F501" s="4032" t="s">
        <v>3800</v>
      </c>
      <c r="G501" s="4401"/>
      <c r="H501" s="4335" t="s">
        <v>3802</v>
      </c>
      <c r="I501" s="4087" t="s">
        <v>3743</v>
      </c>
      <c r="J501" s="4402"/>
      <c r="K501" s="4347"/>
      <c r="L501" s="4347"/>
      <c r="M501" s="4347"/>
      <c r="N501" s="4347"/>
      <c r="O501" s="4347"/>
      <c r="P501" s="4347"/>
    </row>
    <row customHeight="true" ht="16.071428571428573" r="502">
      <c r="A502" s="4397" t="s">
        <v>4142</v>
      </c>
      <c r="B502" s="4391">
        <v>46257</v>
      </c>
      <c r="C502" s="4397" t="str">
        <v>Sunday</v>
      </c>
      <c r="D502" s="4392" t="s">
        <v>3934</v>
      </c>
      <c r="E502" s="4398">
        <f t="shared" si="94"/>
      </c>
      <c r="F502" s="4394"/>
      <c r="G502" s="4399"/>
      <c r="H502" s="4398" t="s">
        <v>3802</v>
      </c>
      <c r="I502" s="4046" t="s">
        <v>3776</v>
      </c>
      <c r="J502" s="4400"/>
      <c r="K502" s="4347"/>
      <c r="L502" s="4347"/>
      <c r="M502" s="4347"/>
      <c r="N502" s="4347"/>
      <c r="O502" s="4347"/>
      <c r="P502" s="4347"/>
    </row>
    <row customHeight="true" ht="16.071428571428573" r="503">
      <c r="A503" s="4158"/>
      <c r="B503" s="4159"/>
      <c r="C503" s="4158"/>
      <c r="D503" s="4024"/>
      <c r="E503" s="4335"/>
      <c r="F503" s="4032"/>
      <c r="G503" s="4401"/>
      <c r="H503" s="4335"/>
      <c r="I503" s="4046"/>
      <c r="J503" s="4402"/>
      <c r="K503" s="4347"/>
      <c r="L503" s="4347"/>
      <c r="M503" s="4347"/>
      <c r="N503" s="4347"/>
      <c r="O503" s="4347"/>
      <c r="P503" s="4347"/>
    </row>
    <row customHeight="true" ht="16.071428571428573" r="504">
      <c r="A504" s="4042"/>
      <c r="B504" s="4031"/>
      <c r="C504" s="4042"/>
      <c r="D504" s="4024"/>
      <c r="E504" s="4028"/>
      <c r="F504" s="4308"/>
      <c r="G504" s="4075"/>
      <c r="H504" s="4028"/>
      <c r="I504" s="4046"/>
      <c r="J504" s="4029"/>
      <c r="K504" s="4030"/>
      <c r="L504" s="4030"/>
      <c r="M504" s="4030"/>
      <c r="N504" s="4030"/>
      <c r="O504" s="4030"/>
      <c r="P504" s="4030"/>
    </row>
    <row customHeight="true" ht="16.071428571428573" r="505">
      <c r="A505" s="4158" t="s">
        <v>4146</v>
      </c>
      <c r="B505" s="4159">
        <v>46251</v>
      </c>
      <c r="C505" s="4158" t="str">
        <v>Monday</v>
      </c>
      <c r="D505" s="4160" t="s">
        <v>4147</v>
      </c>
      <c r="E505" s="4032">
        <f t="shared" ref="E505:E509" si="95">24*MOD(TIMEVALUE(TRIM(MID(D505,FIND("-",D505)+1,LEN(D505)))) - TIMEVALUE(TRIM(LEFT(D505,FIND("-",D505)-1))),1)</f>
      </c>
      <c r="F505" s="4335" t="s">
        <v>4118</v>
      </c>
      <c r="G505" s="4323"/>
      <c r="H505" s="4032" t="s">
        <v>3802</v>
      </c>
      <c r="I505" s="4032" t="s">
        <v>3776</v>
      </c>
      <c r="J505" s="4250"/>
      <c r="K505" s="4030"/>
      <c r="L505" s="4030"/>
      <c r="M505" s="4030"/>
      <c r="N505" s="4030"/>
      <c r="O505" s="4030"/>
      <c r="P505" s="4030"/>
      <c r="Q505" s="4105"/>
      <c r="R505" s="4105"/>
      <c r="S505" s="4105"/>
      <c r="T505" s="4105"/>
      <c r="U505" s="4105"/>
      <c r="V505" s="4105"/>
      <c r="W505" s="4105"/>
      <c r="X505" s="4105"/>
      <c r="Y505" s="4105"/>
    </row>
    <row customHeight="true" ht="16.071428571428573" r="506">
      <c r="A506" s="4158" t="s">
        <v>4146</v>
      </c>
      <c r="B506" s="4159">
        <v>46252</v>
      </c>
      <c r="C506" s="4158" t="str">
        <v>Tuesday</v>
      </c>
      <c r="D506" s="4160" t="s">
        <v>4148</v>
      </c>
      <c r="E506" s="4032">
        <f t="shared" si="95"/>
      </c>
      <c r="F506" s="4335" t="s">
        <v>4118</v>
      </c>
      <c r="G506" s="4323"/>
      <c r="H506" s="4032" t="s">
        <v>3802</v>
      </c>
      <c r="I506" s="4032" t="s">
        <v>3776</v>
      </c>
      <c r="J506" s="4250"/>
      <c r="K506" s="4030"/>
      <c r="L506" s="4030"/>
      <c r="M506" s="4030"/>
      <c r="N506" s="4030"/>
      <c r="O506" s="4030"/>
      <c r="P506" s="4030"/>
      <c r="Q506" s="4105"/>
      <c r="R506" s="4105"/>
      <c r="S506" s="4105"/>
      <c r="T506" s="4105"/>
      <c r="U506" s="4105"/>
      <c r="V506" s="4105"/>
      <c r="W506" s="4105"/>
      <c r="X506" s="4105"/>
      <c r="Y506" s="4105"/>
    </row>
    <row customHeight="true" ht="16.071428571428573" r="507">
      <c r="A507" s="4158" t="s">
        <v>4146</v>
      </c>
      <c r="B507" s="4159">
        <v>46254</v>
      </c>
      <c r="C507" s="4158" t="str">
        <v>Thursday</v>
      </c>
      <c r="D507" s="4160" t="s">
        <v>4148</v>
      </c>
      <c r="E507" s="4032">
        <f t="shared" si="95"/>
      </c>
      <c r="F507" s="4335" t="s">
        <v>4118</v>
      </c>
      <c r="G507" s="4323"/>
      <c r="H507" s="4032" t="s">
        <v>3802</v>
      </c>
      <c r="I507" s="4032" t="s">
        <v>3776</v>
      </c>
      <c r="J507" s="4250"/>
      <c r="K507" s="4030"/>
      <c r="L507" s="4030"/>
      <c r="M507" s="4030"/>
      <c r="N507" s="4030"/>
      <c r="O507" s="4030"/>
      <c r="P507" s="4030"/>
      <c r="Q507" s="4077"/>
      <c r="R507" s="4077"/>
      <c r="S507" s="4077"/>
      <c r="T507" s="4077"/>
      <c r="U507" s="4077"/>
      <c r="V507" s="4077"/>
      <c r="W507" s="4077"/>
      <c r="X507" s="4077"/>
      <c r="Y507" s="4077"/>
    </row>
    <row customHeight="true" ht="16.071428571428573" r="508">
      <c r="A508" s="4057" t="s">
        <v>4146</v>
      </c>
      <c r="B508" s="4058">
        <v>46256</v>
      </c>
      <c r="C508" s="4057" t="str">
        <v>Saturday</v>
      </c>
      <c r="D508" s="4059" t="s">
        <v>4148</v>
      </c>
      <c r="E508" s="4060">
        <f t="shared" si="95"/>
      </c>
      <c r="F508" s="4368" t="s">
        <v>4118</v>
      </c>
      <c r="G508" s="4179"/>
      <c r="H508" s="4060" t="s">
        <v>3802</v>
      </c>
      <c r="I508" s="4060" t="s">
        <v>3776</v>
      </c>
      <c r="J508" s="4306" t="s">
        <v>4132</v>
      </c>
      <c r="K508" s="4064"/>
      <c r="L508" s="4064"/>
      <c r="M508" s="4064"/>
      <c r="N508" s="4064"/>
      <c r="O508" s="4064"/>
      <c r="P508" s="4064"/>
      <c r="Q508" s="4065"/>
      <c r="R508" s="4065"/>
      <c r="S508" s="4065"/>
      <c r="T508" s="4065"/>
      <c r="U508" s="4065"/>
      <c r="V508" s="4065"/>
      <c r="W508" s="4065"/>
      <c r="X508" s="4065"/>
      <c r="Y508" s="4065"/>
    </row>
    <row customHeight="true" ht="16.071428571428573" r="509">
      <c r="A509" s="4158" t="s">
        <v>4149</v>
      </c>
      <c r="B509" s="4159">
        <v>46252</v>
      </c>
      <c r="C509" s="4158" t="str">
        <v>Tuesday</v>
      </c>
      <c r="D509" s="4160" t="s">
        <v>3759</v>
      </c>
      <c r="E509" s="4032">
        <f t="shared" si="95"/>
      </c>
      <c r="F509" s="4032" t="s">
        <v>3800</v>
      </c>
      <c r="G509" s="4323"/>
      <c r="H509" s="4032" t="s">
        <v>3802</v>
      </c>
      <c r="I509" s="4087" t="s">
        <v>3743</v>
      </c>
      <c r="J509" s="4250"/>
      <c r="K509" s="4030"/>
      <c r="L509" s="4030"/>
      <c r="M509" s="4030"/>
      <c r="N509" s="4030"/>
      <c r="O509" s="4030"/>
      <c r="P509" s="4030"/>
      <c r="Q509" s="4105"/>
      <c r="R509" s="4105"/>
      <c r="S509" s="4105"/>
      <c r="T509" s="4105"/>
      <c r="U509" s="4105"/>
      <c r="V509" s="4105"/>
      <c r="W509" s="4105"/>
      <c r="X509" s="4105"/>
      <c r="Y509" s="4105"/>
    </row>
    <row customHeight="true" ht="16.071428571428573" r="510">
      <c r="A510" s="4042"/>
      <c r="B510" s="4031"/>
      <c r="C510" s="4042"/>
      <c r="D510" s="4046"/>
      <c r="E510" s="4028"/>
      <c r="F510" s="4308"/>
      <c r="G510" s="4075"/>
      <c r="H510" s="4028"/>
      <c r="I510" s="4046" t="s">
        <v>3776</v>
      </c>
      <c r="J510" s="4029"/>
      <c r="K510" s="4030"/>
      <c r="L510" s="4030"/>
      <c r="M510" s="4030"/>
      <c r="N510" s="4030"/>
      <c r="O510" s="4030"/>
      <c r="P510" s="4030"/>
    </row>
    <row customHeight="true" ht="54.16666666666667" r="511">
      <c r="A511" s="4383" t="s">
        <v>4150</v>
      </c>
      <c r="B511" s="4383"/>
      <c r="C511" s="4383"/>
      <c r="D511" s="4383"/>
      <c r="E511" s="4383"/>
      <c r="F511" s="4383"/>
      <c r="G511" s="4383"/>
      <c r="H511" s="4383"/>
      <c r="I511" s="4383"/>
      <c r="J511" s="4384"/>
      <c r="K511" s="4035"/>
      <c r="L511" s="4035"/>
      <c r="M511" s="4035"/>
      <c r="N511" s="4035"/>
      <c r="O511" s="4035"/>
      <c r="P511" s="4035"/>
    </row>
    <row customHeight="true" ht="48.34656084664987" r="512">
      <c r="A512" s="4385" t="s">
        <v>3762</v>
      </c>
      <c r="B512" s="4386" t="s">
        <v>3763</v>
      </c>
      <c r="C512" s="4386"/>
      <c r="D512" s="4387" t="s">
        <v>3764</v>
      </c>
      <c r="E512" s="4387" t="s">
        <v>3765</v>
      </c>
      <c r="F512" s="4387" t="s">
        <v>3766</v>
      </c>
      <c r="G512" s="4388" t="s">
        <v>3781</v>
      </c>
      <c r="H512" s="4387" t="s">
        <v>3768</v>
      </c>
      <c r="I512" s="4387" t="s">
        <v>3769</v>
      </c>
      <c r="J512" s="4389" t="s">
        <v>3770</v>
      </c>
      <c r="K512" s="4041"/>
      <c r="L512" s="4041"/>
      <c r="M512" s="4041"/>
      <c r="N512" s="4041"/>
      <c r="O512" s="4041"/>
      <c r="P512" s="4041"/>
    </row>
    <row r="513">
      <c r="A513" s="4378" t="s">
        <v>4151</v>
      </c>
      <c r="B513" s="4159">
        <v>46253</v>
      </c>
      <c r="C513" s="4158" t="str">
        <v>Wednesday</v>
      </c>
      <c r="D513" s="4047" t="s">
        <v>3840</v>
      </c>
      <c r="E513" s="4028">
        <f t="shared" ref="E513:E515" si="96">24*MOD(TIMEVALUE(TRIM(MID(D513,FIND("-",D513)+1,LEN(D513)))) - TIMEVALUE(TRIM(LEFT(D513,FIND("-",D513)-1))),1)</f>
      </c>
      <c r="F513" s="4028" t="s">
        <v>4005</v>
      </c>
      <c r="G513" s="4403"/>
      <c r="H513" s="4285"/>
      <c r="I513" s="4285"/>
      <c r="J513" s="4285"/>
      <c r="K513" s="4030"/>
      <c r="L513" s="4030"/>
      <c r="M513" s="4030"/>
      <c r="N513" s="4030"/>
      <c r="O513" s="4030"/>
      <c r="P513" s="4030"/>
    </row>
    <row customHeight="true" ht="16.071428571428573" r="514">
      <c r="A514" s="4378" t="s">
        <v>4151</v>
      </c>
      <c r="B514" s="4159">
        <v>46255</v>
      </c>
      <c r="C514" s="4158" t="str">
        <v>Friday</v>
      </c>
      <c r="D514" s="4047" t="s">
        <v>3840</v>
      </c>
      <c r="E514" s="4032">
        <f t="shared" si="96"/>
      </c>
      <c r="F514" s="4165" t="s">
        <v>4005</v>
      </c>
      <c r="G514" s="4166"/>
      <c r="H514" s="4028"/>
      <c r="I514" s="4046"/>
      <c r="J514" s="4045"/>
      <c r="K514" s="4030"/>
      <c r="L514" s="4030"/>
      <c r="M514" s="4030"/>
      <c r="N514" s="4030"/>
      <c r="O514" s="4030"/>
      <c r="P514" s="4030"/>
    </row>
    <row customHeight="true" ht="16.071428571428573" r="515">
      <c r="A515" s="4378" t="s">
        <v>4151</v>
      </c>
      <c r="B515" s="4159">
        <v>46257</v>
      </c>
      <c r="C515" s="4158" t="str">
        <v>Sunday</v>
      </c>
      <c r="D515" s="4047" t="s">
        <v>3799</v>
      </c>
      <c r="E515" s="4032">
        <f t="shared" si="96"/>
      </c>
      <c r="F515" s="4165" t="s">
        <v>4005</v>
      </c>
      <c r="G515" s="4166"/>
      <c r="H515" s="4028"/>
      <c r="I515" s="4046"/>
      <c r="J515" s="4045"/>
      <c r="K515" s="4030"/>
      <c r="L515" s="4030"/>
      <c r="M515" s="4030"/>
      <c r="N515" s="4030"/>
      <c r="O515" s="4030"/>
      <c r="P515" s="4030"/>
    </row>
    <row customHeight="true" ht="16.071428571428573" r="516">
      <c r="A516" s="4042"/>
      <c r="B516" s="4042"/>
      <c r="C516" s="4042"/>
      <c r="D516" s="4046"/>
      <c r="E516" s="4046"/>
      <c r="F516" s="4165"/>
      <c r="G516" s="4166"/>
      <c r="H516" s="4028"/>
      <c r="I516" s="4046"/>
      <c r="J516" s="4045"/>
      <c r="K516" s="4030"/>
      <c r="L516" s="4030"/>
      <c r="M516" s="4030"/>
      <c r="N516" s="4030"/>
      <c r="O516" s="4030"/>
      <c r="P516" s="4030"/>
    </row>
    <row customHeight="true" ht="16.071428571428573" r="517">
      <c r="A517" s="4042" t="s">
        <v>4152</v>
      </c>
      <c r="B517" s="4159">
        <v>46252</v>
      </c>
      <c r="C517" s="4158" t="str">
        <v>Tuesday</v>
      </c>
      <c r="D517" s="4047" t="s">
        <v>3799</v>
      </c>
      <c r="E517" s="4028">
        <f t="shared" ref="E517:E520" si="97">24*MOD(TIMEVALUE(TRIM(MID(D517,FIND("-",D517)+1,LEN(D517)))) - TIMEVALUE(TRIM(LEFT(D517,FIND("-",D517)-1))),1)</f>
      </c>
      <c r="F517" s="4028" t="s">
        <v>4005</v>
      </c>
      <c r="G517" s="4166"/>
      <c r="H517" s="4028"/>
      <c r="I517" s="4046"/>
      <c r="J517" s="4045"/>
      <c r="K517" s="4030"/>
      <c r="L517" s="4030"/>
      <c r="M517" s="4030"/>
      <c r="N517" s="4030"/>
      <c r="O517" s="4030"/>
      <c r="P517" s="4030"/>
    </row>
    <row customHeight="true" ht="16.071428571428573" r="518">
      <c r="A518" s="4042" t="s">
        <v>4152</v>
      </c>
      <c r="B518" s="4159">
        <v>46253</v>
      </c>
      <c r="C518" s="4158" t="str">
        <v>Wednesday</v>
      </c>
      <c r="D518" s="4047" t="s">
        <v>4153</v>
      </c>
      <c r="E518" s="4028">
        <f t="shared" si="97"/>
      </c>
      <c r="F518" s="4165" t="s">
        <v>4045</v>
      </c>
      <c r="G518" s="4166"/>
      <c r="H518" s="4404" t="s">
        <v>3802</v>
      </c>
      <c r="I518" s="4046" t="s">
        <v>3743</v>
      </c>
      <c r="J518" s="4045"/>
      <c r="K518" s="4030"/>
      <c r="L518" s="4030"/>
      <c r="M518" s="4030"/>
      <c r="N518" s="4030"/>
      <c r="O518" s="4030"/>
      <c r="P518" s="4030"/>
    </row>
    <row customHeight="true" ht="16.071428571428573" r="519">
      <c r="A519" s="4042" t="s">
        <v>4152</v>
      </c>
      <c r="B519" s="4159">
        <v>46254</v>
      </c>
      <c r="C519" s="4158" t="str">
        <v>Thursday</v>
      </c>
      <c r="D519" s="4047" t="s">
        <v>3840</v>
      </c>
      <c r="E519" s="4028">
        <f t="shared" si="97"/>
      </c>
      <c r="F519" s="4165" t="s">
        <v>3988</v>
      </c>
      <c r="G519" s="4166"/>
      <c r="H519" s="4404" t="s">
        <v>3802</v>
      </c>
      <c r="I519" s="4046" t="s">
        <v>3743</v>
      </c>
      <c r="J519" s="4045"/>
      <c r="K519" s="4030"/>
      <c r="L519" s="4030"/>
      <c r="M519" s="4030"/>
      <c r="N519" s="4030"/>
      <c r="O519" s="4030"/>
      <c r="P519" s="4030"/>
    </row>
    <row customHeight="true" ht="16.071428571428573" r="520">
      <c r="A520" s="4042" t="s">
        <v>4152</v>
      </c>
      <c r="B520" s="4159">
        <v>46254</v>
      </c>
      <c r="C520" s="4158" t="str">
        <v>Thursday</v>
      </c>
      <c r="D520" s="4047" t="s">
        <v>3840</v>
      </c>
      <c r="E520" s="4028">
        <f t="shared" si="97"/>
      </c>
      <c r="F520" s="4165" t="s">
        <v>4116</v>
      </c>
      <c r="G520" s="4166"/>
      <c r="H520" s="4404" t="s">
        <v>3802</v>
      </c>
      <c r="I520" s="4046" t="s">
        <v>3743</v>
      </c>
      <c r="J520" s="4045"/>
      <c r="K520" s="4030"/>
      <c r="L520" s="4030"/>
      <c r="M520" s="4030"/>
      <c r="N520" s="4030"/>
      <c r="O520" s="4030"/>
      <c r="P520" s="4030"/>
    </row>
    <row customHeight="true" ht="16.071428571428573" r="521">
      <c r="A521" s="4042"/>
      <c r="B521" s="4042"/>
      <c r="C521" s="4042"/>
      <c r="D521" s="4046"/>
      <c r="E521" s="4046"/>
      <c r="F521" s="4165"/>
      <c r="G521" s="4166"/>
      <c r="H521" s="4028"/>
      <c r="I521" s="4046"/>
      <c r="J521" s="4045"/>
      <c r="K521" s="4030"/>
      <c r="L521" s="4030"/>
      <c r="M521" s="4030"/>
      <c r="N521" s="4030"/>
      <c r="O521" s="4030"/>
      <c r="P521" s="4030"/>
    </row>
    <row customHeight="true" ht="16.071428571428573" r="522">
      <c r="A522" s="4042" t="s">
        <v>4154</v>
      </c>
      <c r="B522" s="4031">
        <v>46252</v>
      </c>
      <c r="C522" s="4042" t="str">
        <v>Tuesday</v>
      </c>
      <c r="D522" s="4047" t="s">
        <v>4155</v>
      </c>
      <c r="E522" s="4028">
        <f t="shared" ref="E522:E526" si="98">24*MOD(TIMEVALUE(TRIM(MID(D522,FIND("-",D522)+1,LEN(D522)))) - TIMEVALUE(TRIM(LEFT(D522,FIND("-",D522)-1))),1)</f>
      </c>
      <c r="F522" s="4043" t="s">
        <v>3903</v>
      </c>
      <c r="G522" s="4166"/>
      <c r="H522" s="4028"/>
      <c r="I522" s="4046"/>
      <c r="J522" s="4045"/>
      <c r="K522" s="4123"/>
      <c r="L522" s="4123"/>
      <c r="M522" s="4123"/>
      <c r="N522" s="4123"/>
      <c r="O522" s="4123"/>
      <c r="P522" s="4123"/>
      <c r="Q522" s="4076"/>
      <c r="R522" s="4076"/>
      <c r="S522" s="4076"/>
      <c r="T522" s="4076"/>
      <c r="U522" s="4076"/>
      <c r="V522" s="4076"/>
      <c r="W522" s="4076"/>
      <c r="X522" s="4076"/>
      <c r="Y522" s="4076"/>
    </row>
    <row customHeight="true" ht="16.071428571428573" r="523">
      <c r="A523" s="4042" t="s">
        <v>4154</v>
      </c>
      <c r="B523" s="4031">
        <v>46252</v>
      </c>
      <c r="C523" s="4042" t="str">
        <v>Tuesday</v>
      </c>
      <c r="D523" s="4047" t="s">
        <v>4156</v>
      </c>
      <c r="E523" s="4028">
        <f t="shared" si="98"/>
      </c>
      <c r="F523" s="4043" t="s">
        <v>3903</v>
      </c>
      <c r="G523" s="4166"/>
      <c r="H523" s="4028"/>
      <c r="I523" s="4046"/>
      <c r="J523" s="4045"/>
      <c r="K523" s="4123"/>
      <c r="L523" s="4123"/>
      <c r="M523" s="4123"/>
      <c r="N523" s="4123"/>
      <c r="O523" s="4123"/>
      <c r="P523" s="4123"/>
      <c r="Q523" s="4076"/>
      <c r="R523" s="4076"/>
      <c r="S523" s="4076"/>
      <c r="T523" s="4076"/>
      <c r="U523" s="4076"/>
      <c r="V523" s="4076"/>
      <c r="W523" s="4076"/>
      <c r="X523" s="4076"/>
      <c r="Y523" s="4076"/>
    </row>
    <row customHeight="true" ht="16.071428571428573" r="524">
      <c r="A524" s="4042" t="s">
        <v>4154</v>
      </c>
      <c r="B524" s="4159">
        <v>46253</v>
      </c>
      <c r="C524" s="4158" t="str">
        <v>Wednesday</v>
      </c>
      <c r="D524" s="4047" t="s">
        <v>4157</v>
      </c>
      <c r="E524" s="4028">
        <f t="shared" si="98"/>
      </c>
      <c r="F524" s="4028" t="s">
        <v>3903</v>
      </c>
      <c r="G524" s="4166"/>
      <c r="H524" s="4028"/>
      <c r="I524" s="4046"/>
      <c r="J524" s="4045"/>
      <c r="K524" s="4030"/>
      <c r="L524" s="4030"/>
      <c r="M524" s="4030"/>
      <c r="N524" s="4030"/>
      <c r="O524" s="4030"/>
      <c r="P524" s="4030"/>
    </row>
    <row customHeight="true" ht="16.071428571428573" r="525">
      <c r="A525" s="4042" t="s">
        <v>4154</v>
      </c>
      <c r="B525" s="4159">
        <v>46255</v>
      </c>
      <c r="C525" s="4158" t="str">
        <v>Friday</v>
      </c>
      <c r="D525" s="4047" t="s">
        <v>4158</v>
      </c>
      <c r="E525" s="4032">
        <f t="shared" si="98"/>
      </c>
      <c r="F525" s="4028" t="s">
        <v>3903</v>
      </c>
      <c r="G525" s="4166"/>
      <c r="H525" s="4028"/>
      <c r="I525" s="4046"/>
      <c r="J525" s="4045"/>
      <c r="K525" s="4030"/>
      <c r="L525" s="4030"/>
      <c r="M525" s="4030"/>
      <c r="N525" s="4030"/>
      <c r="O525" s="4030"/>
      <c r="P525" s="4030"/>
    </row>
    <row customHeight="true" ht="16.071428571428573" r="526">
      <c r="A526" s="4042" t="s">
        <v>4154</v>
      </c>
      <c r="B526" s="4159">
        <v>46256</v>
      </c>
      <c r="C526" s="4158" t="str">
        <v>Saturday</v>
      </c>
      <c r="D526" s="4047" t="s">
        <v>4159</v>
      </c>
      <c r="E526" s="4032">
        <f t="shared" si="98"/>
      </c>
      <c r="F526" s="4028" t="s">
        <v>3903</v>
      </c>
      <c r="G526" s="4166"/>
      <c r="H526" s="4028"/>
      <c r="I526" s="4046"/>
      <c r="J526" s="4045"/>
      <c r="K526" s="4030"/>
      <c r="L526" s="4030"/>
      <c r="M526" s="4030"/>
      <c r="N526" s="4030"/>
      <c r="O526" s="4030"/>
      <c r="P526" s="4030"/>
    </row>
    <row customHeight="true" ht="16.071428571428573" r="527">
      <c r="A527" s="4042"/>
      <c r="B527" s="4159"/>
      <c r="C527" s="4158"/>
      <c r="D527" s="4047"/>
      <c r="E527" s="4028"/>
      <c r="F527" s="4165"/>
      <c r="G527" s="4166"/>
      <c r="H527" s="4028"/>
      <c r="I527" s="4046"/>
      <c r="J527" s="4045"/>
      <c r="K527" s="4030"/>
      <c r="L527" s="4030"/>
      <c r="M527" s="4030"/>
      <c r="N527" s="4030"/>
      <c r="O527" s="4030"/>
      <c r="P527" s="4030"/>
    </row>
    <row customHeight="true" ht="16.071428571428573" r="528">
      <c r="A528" s="4042"/>
      <c r="B528" s="4159"/>
      <c r="C528" s="4158"/>
      <c r="D528" s="4047"/>
      <c r="E528" s="4028"/>
      <c r="F528" s="4165"/>
      <c r="G528" s="4166"/>
      <c r="H528" s="4028"/>
      <c r="I528" s="4046"/>
      <c r="J528" s="4045"/>
      <c r="K528" s="4030"/>
      <c r="L528" s="4030"/>
      <c r="M528" s="4030"/>
      <c r="N528" s="4030"/>
      <c r="O528" s="4030"/>
      <c r="P528" s="4030"/>
    </row>
    <row customHeight="true" ht="16.071428571428573" r="529">
      <c r="A529" s="4042"/>
      <c r="B529" s="4159"/>
      <c r="C529" s="4158"/>
      <c r="D529" s="4047"/>
      <c r="E529" s="4032"/>
      <c r="F529" s="4028"/>
      <c r="G529" s="4166"/>
      <c r="H529" s="4028"/>
      <c r="I529" s="4046"/>
      <c r="J529" s="4045"/>
      <c r="K529" s="4030"/>
      <c r="L529" s="4030"/>
      <c r="M529" s="4030"/>
      <c r="N529" s="4030"/>
      <c r="O529" s="4030"/>
      <c r="P529" s="4030"/>
    </row>
    <row r="530">
      <c r="A530" s="4405" t="s">
        <v>4160</v>
      </c>
      <c r="B530" s="4405"/>
      <c r="C530" s="4405"/>
      <c r="D530" s="4405"/>
      <c r="E530" s="4405"/>
      <c r="F530" s="4405"/>
      <c r="G530" s="4405"/>
      <c r="H530" s="4405"/>
      <c r="I530" s="4405"/>
      <c r="J530" s="4406"/>
      <c r="K530" s="4035"/>
      <c r="L530" s="4035"/>
      <c r="M530" s="4035"/>
      <c r="N530" s="4035"/>
      <c r="O530" s="4035"/>
      <c r="P530" s="4035"/>
    </row>
    <row r="531">
      <c r="A531" s="4407" t="s">
        <v>3762</v>
      </c>
      <c r="B531" s="4408" t="s">
        <v>3763</v>
      </c>
      <c r="C531" s="4408"/>
      <c r="D531" s="4409" t="s">
        <v>3764</v>
      </c>
      <c r="E531" s="4409" t="s">
        <v>3765</v>
      </c>
      <c r="F531" s="4409" t="s">
        <v>3766</v>
      </c>
      <c r="G531" s="4410" t="s">
        <v>3781</v>
      </c>
      <c r="H531" s="4409" t="s">
        <v>3768</v>
      </c>
      <c r="I531" s="4409" t="s">
        <v>3769</v>
      </c>
      <c r="J531" s="4411" t="s">
        <v>3770</v>
      </c>
      <c r="K531" s="4041"/>
      <c r="L531" s="4041"/>
      <c r="M531" s="4041"/>
      <c r="N531" s="4041"/>
      <c r="O531" s="4041"/>
      <c r="P531" s="4041"/>
    </row>
    <row r="532">
      <c r="A532" s="4378" t="s">
        <v>4160</v>
      </c>
      <c r="B532" s="4159">
        <v>46253</v>
      </c>
      <c r="C532" s="4158" t="str">
        <v>Wednesday</v>
      </c>
      <c r="D532" s="4047" t="s">
        <v>3840</v>
      </c>
      <c r="E532" s="4028">
        <f t="shared" ref="E532:E536" si="99">24*MOD(TIMEVALUE(TRIM(MID(D532,FIND("-",D532)+1,LEN(D532)))) - TIMEVALUE(TRIM(LEFT(D532,FIND("-",D532)-1))),1)</f>
      </c>
      <c r="F532" s="4028"/>
      <c r="G532" s="4166"/>
      <c r="H532" s="4404" t="s">
        <v>3802</v>
      </c>
      <c r="I532" s="4046" t="s">
        <v>3776</v>
      </c>
      <c r="J532" s="4285"/>
      <c r="K532" s="4030"/>
      <c r="L532" s="4030"/>
      <c r="M532" s="4030"/>
      <c r="N532" s="4030"/>
      <c r="O532" s="4030"/>
      <c r="P532" s="4030"/>
    </row>
    <row r="533">
      <c r="A533" s="4378" t="s">
        <v>4160</v>
      </c>
      <c r="B533" s="4159">
        <v>46254</v>
      </c>
      <c r="C533" s="4158" t="str">
        <v>Thursday</v>
      </c>
      <c r="D533" s="4047" t="s">
        <v>3840</v>
      </c>
      <c r="E533" s="4032">
        <f t="shared" si="99"/>
      </c>
      <c r="F533" s="4165"/>
      <c r="G533" s="4166"/>
      <c r="H533" s="4404" t="s">
        <v>3802</v>
      </c>
      <c r="I533" s="4046" t="s">
        <v>3776</v>
      </c>
      <c r="J533" s="4045"/>
      <c r="K533" s="4030"/>
      <c r="L533" s="4030"/>
      <c r="M533" s="4030"/>
      <c r="N533" s="4030"/>
      <c r="O533" s="4030"/>
      <c r="P533" s="4030"/>
    </row>
    <row r="534">
      <c r="A534" s="4378" t="s">
        <v>4160</v>
      </c>
      <c r="B534" s="4159">
        <v>46255</v>
      </c>
      <c r="C534" s="4158" t="str">
        <v>Friday</v>
      </c>
      <c r="D534" s="4047" t="s">
        <v>3840</v>
      </c>
      <c r="E534" s="4032">
        <f t="shared" si="99"/>
      </c>
      <c r="F534" s="4165"/>
      <c r="G534" s="4166"/>
      <c r="H534" s="4404" t="s">
        <v>3802</v>
      </c>
      <c r="I534" s="4046" t="s">
        <v>3776</v>
      </c>
      <c r="J534" s="4045"/>
      <c r="K534" s="4030"/>
      <c r="L534" s="4030"/>
      <c r="M534" s="4030"/>
      <c r="N534" s="4030"/>
      <c r="O534" s="4030"/>
      <c r="P534" s="4030"/>
    </row>
    <row r="535">
      <c r="A535" s="4378" t="s">
        <v>4160</v>
      </c>
      <c r="B535" s="4159">
        <v>46256</v>
      </c>
      <c r="C535" s="4158" t="str">
        <v>Saturday</v>
      </c>
      <c r="D535" s="4047" t="s">
        <v>4161</v>
      </c>
      <c r="E535" s="4028">
        <f t="shared" si="99"/>
      </c>
      <c r="F535" s="4165" t="s">
        <v>3988</v>
      </c>
      <c r="G535" s="4166"/>
      <c r="H535" s="4404" t="s">
        <v>3802</v>
      </c>
      <c r="I535" s="4046" t="s">
        <v>3776</v>
      </c>
      <c r="J535" s="4045"/>
      <c r="K535" s="4030"/>
      <c r="L535" s="4030"/>
      <c r="M535" s="4030"/>
      <c r="N535" s="4030"/>
      <c r="O535" s="4030"/>
      <c r="P535" s="4030"/>
    </row>
    <row r="536">
      <c r="A536" s="4378" t="s">
        <v>4160</v>
      </c>
      <c r="B536" s="4159">
        <v>46257</v>
      </c>
      <c r="C536" s="4158" t="str">
        <v>Sunday</v>
      </c>
      <c r="D536" s="4047" t="s">
        <v>4162</v>
      </c>
      <c r="E536" s="4032">
        <f t="shared" si="99"/>
      </c>
      <c r="F536" s="4165" t="s">
        <v>4005</v>
      </c>
      <c r="G536" s="4166"/>
      <c r="H536" s="4404" t="s">
        <v>3802</v>
      </c>
      <c r="I536" s="4046" t="s">
        <v>3743</v>
      </c>
      <c r="J536" s="4045"/>
      <c r="K536" s="4030"/>
      <c r="L536" s="4030"/>
      <c r="M536" s="4030"/>
      <c r="N536" s="4030"/>
      <c r="O536" s="4030"/>
      <c r="P536" s="4030"/>
    </row>
    <row r="537">
      <c r="A537" s="4042"/>
      <c r="B537" s="4042"/>
      <c r="C537" s="4042"/>
      <c r="D537" s="4046"/>
      <c r="E537" s="4046"/>
      <c r="F537" s="4165"/>
      <c r="G537" s="4166"/>
      <c r="J537" s="4045"/>
      <c r="K537" s="4030"/>
      <c r="L537" s="4030"/>
      <c r="M537" s="4030"/>
      <c r="N537" s="4030"/>
      <c r="O537" s="4030"/>
      <c r="P537" s="4030"/>
    </row>
    <row r="538">
      <c r="A538" s="4042" t="s">
        <v>4163</v>
      </c>
      <c r="B538" s="4159">
        <v>46257</v>
      </c>
      <c r="C538" s="4158" t="str">
        <v>Sunday</v>
      </c>
      <c r="D538" s="4047" t="s">
        <v>4164</v>
      </c>
      <c r="E538" s="4028">
        <f t="shared" ref="E538:E542" si="100">24*MOD(TIMEVALUE(TRIM(MID(D538,FIND("-",D538)+1,LEN(D538)))) - TIMEVALUE(TRIM(LEFT(D538,FIND("-",D538)-1))),1)</f>
      </c>
      <c r="F538" s="4165" t="s">
        <v>4005</v>
      </c>
      <c r="G538" s="4166"/>
      <c r="H538" s="4404" t="s">
        <v>3802</v>
      </c>
      <c r="I538" s="4046" t="s">
        <v>3743</v>
      </c>
      <c r="J538" s="4045"/>
      <c r="K538" s="4030"/>
      <c r="L538" s="4030"/>
      <c r="M538" s="4030"/>
      <c r="N538" s="4030"/>
      <c r="O538" s="4030"/>
      <c r="P538" s="4030"/>
    </row>
    <row r="539">
      <c r="A539" s="4042" t="s">
        <v>4163</v>
      </c>
      <c r="B539" s="4159">
        <v>46255</v>
      </c>
      <c r="C539" s="4158" t="str">
        <v>Friday</v>
      </c>
      <c r="D539" s="4047" t="s">
        <v>4165</v>
      </c>
      <c r="E539" s="4028">
        <f t="shared" si="100"/>
      </c>
      <c r="F539" s="4165" t="s">
        <v>3988</v>
      </c>
      <c r="G539" s="4166"/>
      <c r="H539" s="4404" t="s">
        <v>3802</v>
      </c>
      <c r="I539" s="4046" t="s">
        <v>3776</v>
      </c>
      <c r="J539" s="4045"/>
      <c r="K539" s="4030"/>
      <c r="L539" s="4030"/>
      <c r="M539" s="4030"/>
      <c r="N539" s="4030"/>
      <c r="O539" s="4030"/>
      <c r="P539" s="4030"/>
    </row>
    <row r="540">
      <c r="A540" s="4381" t="s">
        <v>4166</v>
      </c>
      <c r="B540" s="4159">
        <v>46254</v>
      </c>
      <c r="C540" s="4158" t="str">
        <v>Thursday</v>
      </c>
      <c r="D540" s="4047" t="s">
        <v>4167</v>
      </c>
      <c r="E540" s="4028">
        <f t="shared" si="100"/>
      </c>
      <c r="F540" s="4165" t="s">
        <v>3903</v>
      </c>
      <c r="G540" s="4166"/>
      <c r="H540" s="4404" t="s">
        <v>3802</v>
      </c>
      <c r="I540" s="4046" t="s">
        <v>3776</v>
      </c>
      <c r="J540" s="4045"/>
      <c r="K540" s="4030"/>
      <c r="L540" s="4030"/>
      <c r="M540" s="4030"/>
      <c r="N540" s="4030"/>
      <c r="O540" s="4030"/>
      <c r="P540" s="4030"/>
    </row>
    <row r="541">
      <c r="A541" s="4042" t="s">
        <v>4163</v>
      </c>
      <c r="B541" s="4159">
        <v>46254</v>
      </c>
      <c r="C541" s="4158" t="str">
        <v>Thursday</v>
      </c>
      <c r="D541" s="4047" t="s">
        <v>3840</v>
      </c>
      <c r="E541" s="4028">
        <f t="shared" si="100"/>
      </c>
      <c r="F541" s="4165"/>
      <c r="G541" s="4166"/>
      <c r="H541" s="4404" t="s">
        <v>3802</v>
      </c>
      <c r="I541" s="4046" t="s">
        <v>3776</v>
      </c>
      <c r="J541" s="4045"/>
      <c r="K541" s="4030"/>
      <c r="L541" s="4030"/>
      <c r="M541" s="4030"/>
      <c r="N541" s="4030"/>
      <c r="O541" s="4030"/>
      <c r="P541" s="4030"/>
    </row>
    <row r="542">
      <c r="A542" s="4042" t="s">
        <v>4163</v>
      </c>
      <c r="B542" s="4159">
        <v>46253</v>
      </c>
      <c r="C542" s="4158" t="str">
        <v>Wednesday</v>
      </c>
      <c r="D542" s="4047" t="s">
        <v>4168</v>
      </c>
      <c r="E542" s="4028">
        <f t="shared" si="100"/>
      </c>
      <c r="F542" s="4043"/>
      <c r="G542" s="4166"/>
      <c r="H542" s="4404" t="s">
        <v>3802</v>
      </c>
      <c r="I542" s="4046" t="s">
        <v>3776</v>
      </c>
      <c r="J542" s="4045"/>
      <c r="K542" s="4030"/>
      <c r="L542" s="4030"/>
      <c r="M542" s="4030"/>
      <c r="N542" s="4030"/>
      <c r="O542" s="4030"/>
      <c r="P542" s="4030"/>
    </row>
    <row r="543">
      <c r="A543" s="4042"/>
      <c r="B543" s="4042"/>
      <c r="C543" s="4042"/>
      <c r="D543" s="4046"/>
      <c r="E543" s="4046"/>
      <c r="F543" s="4165"/>
      <c r="G543" s="4166"/>
      <c r="H543" s="4028"/>
      <c r="I543" s="4046"/>
      <c r="J543" s="4045"/>
      <c r="K543" s="4030"/>
      <c r="L543" s="4030"/>
      <c r="M543" s="4030"/>
      <c r="N543" s="4030"/>
      <c r="O543" s="4030"/>
      <c r="P543" s="4030"/>
    </row>
    <row r="544">
      <c r="A544" s="4412" t="s">
        <v>4169</v>
      </c>
      <c r="B544" s="4412"/>
      <c r="C544" s="4412"/>
      <c r="D544" s="4412"/>
      <c r="E544" s="4412"/>
      <c r="F544" s="4412"/>
      <c r="G544" s="4412"/>
      <c r="H544" s="4412"/>
      <c r="I544" s="4412"/>
      <c r="J544" s="4413"/>
      <c r="K544" s="4035"/>
      <c r="L544" s="4035"/>
      <c r="M544" s="4035"/>
      <c r="N544" s="4035"/>
      <c r="O544" s="4035"/>
      <c r="P544" s="4035"/>
    </row>
    <row r="545">
      <c r="A545" s="4414" t="s">
        <v>3762</v>
      </c>
      <c r="B545" s="4415" t="s">
        <v>3763</v>
      </c>
      <c r="C545" s="4415"/>
      <c r="D545" s="4416" t="s">
        <v>3764</v>
      </c>
      <c r="E545" s="4416" t="s">
        <v>3765</v>
      </c>
      <c r="F545" s="4416" t="s">
        <v>3766</v>
      </c>
      <c r="G545" s="4417" t="s">
        <v>3781</v>
      </c>
      <c r="H545" s="4416" t="s">
        <v>3768</v>
      </c>
      <c r="I545" s="4416" t="s">
        <v>3769</v>
      </c>
      <c r="J545" s="4418" t="s">
        <v>3770</v>
      </c>
      <c r="K545" s="4041"/>
      <c r="L545" s="4041"/>
      <c r="M545" s="4041"/>
      <c r="N545" s="4041"/>
      <c r="O545" s="4041"/>
      <c r="P545" s="4041"/>
    </row>
    <row r="546">
      <c r="A546" s="4348" t="s">
        <v>4170</v>
      </c>
      <c r="B546" s="4349">
        <v>46252</v>
      </c>
      <c r="C546" s="4348" t="str">
        <v>Tuesday</v>
      </c>
      <c r="D546" s="4371" t="s">
        <v>3864</v>
      </c>
      <c r="E546" s="4350">
        <f t="shared" ref="E546:E574" si="101">24*MOD(TIMEVALUE(TRIM(MID(D546,FIND("-",D546)+1,LEN(D546)))) - TIMEVALUE(TRIM(LEFT(D546,FIND("-",D546)-1))),1)</f>
      </c>
      <c r="F546" s="4350" t="s">
        <v>3749</v>
      </c>
      <c r="G546" s="4323"/>
      <c r="H546" s="4032" t="s">
        <v>3742</v>
      </c>
      <c r="I546" s="4032" t="s">
        <v>3743</v>
      </c>
      <c r="J546" s="4250"/>
      <c r="K546" s="4030"/>
      <c r="L546" s="4030"/>
      <c r="M546" s="4030"/>
      <c r="N546" s="4030"/>
      <c r="O546" s="4030"/>
      <c r="P546" s="4030"/>
    </row>
    <row r="547">
      <c r="A547" s="4348" t="s">
        <v>4170</v>
      </c>
      <c r="B547" s="4349">
        <v>46252</v>
      </c>
      <c r="C547" s="4348" t="str">
        <v>Tuesday</v>
      </c>
      <c r="D547" s="4371" t="s">
        <v>3865</v>
      </c>
      <c r="E547" s="4350">
        <f t="shared" si="101"/>
      </c>
      <c r="F547" s="4353" t="s">
        <v>4106</v>
      </c>
      <c r="G547" s="4323"/>
      <c r="H547" s="4032" t="s">
        <v>3742</v>
      </c>
      <c r="I547" s="4087" t="s">
        <v>3743</v>
      </c>
      <c r="J547" s="4250"/>
      <c r="K547" s="4030"/>
      <c r="L547" s="4030"/>
      <c r="M547" s="4030"/>
      <c r="N547" s="4030"/>
      <c r="O547" s="4030"/>
      <c r="P547" s="4030"/>
    </row>
    <row r="548">
      <c r="A548" s="4042" t="s">
        <v>4171</v>
      </c>
      <c r="B548" s="4031">
        <v>46252</v>
      </c>
      <c r="C548" s="4042" t="str">
        <v>Tuesday</v>
      </c>
      <c r="D548" s="4419" t="s">
        <v>4172</v>
      </c>
      <c r="E548" s="4046">
        <f t="shared" si="101"/>
      </c>
      <c r="F548" s="4046" t="s">
        <v>3750</v>
      </c>
      <c r="G548" s="4323"/>
      <c r="H548" s="4032" t="s">
        <v>3742</v>
      </c>
      <c r="I548" s="4032" t="s">
        <v>3743</v>
      </c>
      <c r="J548" s="4301"/>
      <c r="K548" s="4097"/>
      <c r="L548" s="4097"/>
      <c r="M548" s="4097"/>
      <c r="N548" s="4097"/>
      <c r="O548" s="4097"/>
      <c r="P548" s="4097"/>
    </row>
    <row r="549">
      <c r="A549" s="4042" t="s">
        <v>4171</v>
      </c>
      <c r="B549" s="4031">
        <v>46252</v>
      </c>
      <c r="C549" s="4042" t="str">
        <v>Tuesday</v>
      </c>
      <c r="D549" s="4419" t="s">
        <v>3865</v>
      </c>
      <c r="E549" s="4046">
        <f t="shared" si="101"/>
      </c>
      <c r="F549" s="4032" t="s">
        <v>4173</v>
      </c>
      <c r="G549" s="4323"/>
      <c r="H549" s="4032" t="s">
        <v>3742</v>
      </c>
      <c r="I549" s="4032" t="s">
        <v>3743</v>
      </c>
      <c r="J549" s="4250"/>
      <c r="K549" s="4030"/>
      <c r="L549" s="4030"/>
      <c r="M549" s="4030"/>
      <c r="N549" s="4030"/>
      <c r="O549" s="4030"/>
      <c r="P549" s="4030"/>
    </row>
    <row r="550">
      <c r="A550" s="4348" t="s">
        <v>4170</v>
      </c>
      <c r="B550" s="4349">
        <v>46253</v>
      </c>
      <c r="C550" s="4348" t="str">
        <v>Wednesday</v>
      </c>
      <c r="D550" s="4371" t="s">
        <v>3864</v>
      </c>
      <c r="E550" s="4350">
        <f t="shared" si="101"/>
      </c>
      <c r="F550" s="4350" t="s">
        <v>4174</v>
      </c>
      <c r="G550" s="4323"/>
      <c r="H550" s="4032" t="s">
        <v>3742</v>
      </c>
      <c r="I550" s="4046"/>
      <c r="J550" s="4250"/>
      <c r="K550" s="4030"/>
      <c r="L550" s="4030"/>
      <c r="M550" s="4030"/>
      <c r="N550" s="4030"/>
      <c r="O550" s="4030"/>
      <c r="P550" s="4030"/>
    </row>
    <row r="551">
      <c r="A551" s="4348" t="s">
        <v>4170</v>
      </c>
      <c r="B551" s="4349">
        <v>46253</v>
      </c>
      <c r="C551" s="4348" t="str">
        <v>Wednesday</v>
      </c>
      <c r="D551" s="4371" t="s">
        <v>3865</v>
      </c>
      <c r="E551" s="4350">
        <f t="shared" si="101"/>
      </c>
      <c r="F551" s="4420" t="s">
        <v>3750</v>
      </c>
      <c r="G551" s="4323"/>
      <c r="H551" s="4032" t="s">
        <v>3742</v>
      </c>
      <c r="I551" s="4032" t="s">
        <v>3743</v>
      </c>
      <c r="J551" s="4250"/>
      <c r="K551" s="4030"/>
      <c r="L551" s="4030"/>
      <c r="M551" s="4030"/>
      <c r="N551" s="4030"/>
      <c r="O551" s="4030"/>
      <c r="P551" s="4030"/>
    </row>
    <row r="552">
      <c r="A552" s="4042" t="s">
        <v>4171</v>
      </c>
      <c r="B552" s="4031">
        <v>46253</v>
      </c>
      <c r="C552" s="4042" t="str">
        <v>Wednesday</v>
      </c>
      <c r="D552" s="4419" t="s">
        <v>4172</v>
      </c>
      <c r="E552" s="4046">
        <f t="shared" si="101"/>
      </c>
      <c r="F552" s="4046" t="s">
        <v>3750</v>
      </c>
      <c r="G552" s="4323"/>
      <c r="H552" s="4032" t="s">
        <v>3742</v>
      </c>
      <c r="I552" s="4032" t="s">
        <v>3743</v>
      </c>
      <c r="J552" s="4250"/>
      <c r="K552" s="4030"/>
      <c r="L552" s="4030"/>
      <c r="M552" s="4030"/>
      <c r="N552" s="4030"/>
      <c r="O552" s="4030"/>
      <c r="P552" s="4030"/>
    </row>
    <row r="553">
      <c r="A553" s="4042" t="s">
        <v>4171</v>
      </c>
      <c r="B553" s="4031">
        <v>46253</v>
      </c>
      <c r="C553" s="4042" t="str">
        <v>Wednesday</v>
      </c>
      <c r="D553" s="4419" t="s">
        <v>3865</v>
      </c>
      <c r="E553" s="4046">
        <f t="shared" si="101"/>
      </c>
      <c r="F553" s="4046" t="s">
        <v>4173</v>
      </c>
      <c r="G553" s="4323"/>
      <c r="H553" s="4032" t="s">
        <v>3742</v>
      </c>
      <c r="I553" s="4032" t="s">
        <v>3743</v>
      </c>
      <c r="J553" s="4250"/>
      <c r="K553" s="4030"/>
      <c r="L553" s="4030"/>
      <c r="M553" s="4030"/>
      <c r="N553" s="4030"/>
      <c r="O553" s="4030"/>
      <c r="P553" s="4030"/>
    </row>
    <row customHeight="true" ht="18.452380952380953" r="554">
      <c r="A554" s="4348" t="s">
        <v>4170</v>
      </c>
      <c r="B554" s="4349">
        <v>46254</v>
      </c>
      <c r="C554" s="4348" t="str">
        <v>Thursday</v>
      </c>
      <c r="D554" s="4371" t="s">
        <v>3864</v>
      </c>
      <c r="E554" s="4350">
        <f t="shared" si="101"/>
      </c>
      <c r="F554" s="4350" t="s">
        <v>3749</v>
      </c>
      <c r="G554" s="4323"/>
      <c r="H554" s="4032" t="s">
        <v>3742</v>
      </c>
      <c r="I554" s="4032" t="s">
        <v>3743</v>
      </c>
      <c r="J554" s="4250"/>
      <c r="K554" s="4030"/>
      <c r="L554" s="4030"/>
      <c r="M554" s="4030"/>
      <c r="N554" s="4030"/>
      <c r="O554" s="4030"/>
      <c r="P554" s="4030"/>
    </row>
    <row customHeight="true" ht="18.452380952380953" r="555">
      <c r="A555" s="4348" t="s">
        <v>4170</v>
      </c>
      <c r="B555" s="4349">
        <v>46254</v>
      </c>
      <c r="C555" s="4348" t="str">
        <v>Thursday</v>
      </c>
      <c r="D555" s="4371" t="s">
        <v>3865</v>
      </c>
      <c r="E555" s="4350">
        <f t="shared" si="101"/>
      </c>
      <c r="F555" s="4353" t="s">
        <v>4106</v>
      </c>
      <c r="G555" s="4323"/>
      <c r="H555" s="4032" t="s">
        <v>3742</v>
      </c>
      <c r="I555" s="4087" t="s">
        <v>3743</v>
      </c>
      <c r="J555" s="4250"/>
      <c r="K555" s="4030"/>
      <c r="L555" s="4030"/>
      <c r="M555" s="4030"/>
      <c r="N555" s="4030"/>
      <c r="O555" s="4030"/>
      <c r="P555" s="4030"/>
    </row>
    <row customHeight="true" ht="18.452380952380953" r="556">
      <c r="A556" s="4348" t="s">
        <v>4170</v>
      </c>
      <c r="B556" s="4349">
        <v>46254</v>
      </c>
      <c r="C556" s="4348" t="str">
        <v>Thursday</v>
      </c>
      <c r="D556" s="4371" t="s">
        <v>3865</v>
      </c>
      <c r="E556" s="4350">
        <f t="shared" si="101"/>
      </c>
      <c r="F556" s="4353" t="s">
        <v>3750</v>
      </c>
      <c r="G556" s="4323"/>
      <c r="H556" s="4032" t="s">
        <v>3742</v>
      </c>
      <c r="I556" s="4032" t="s">
        <v>3743</v>
      </c>
      <c r="J556" s="4250"/>
      <c r="K556" s="4030"/>
      <c r="L556" s="4030"/>
      <c r="M556" s="4030"/>
      <c r="N556" s="4030"/>
      <c r="O556" s="4030"/>
      <c r="P556" s="4030"/>
    </row>
    <row r="557">
      <c r="A557" s="4042" t="s">
        <v>4171</v>
      </c>
      <c r="B557" s="4031">
        <v>46254</v>
      </c>
      <c r="C557" s="4042" t="str">
        <v>Thursday</v>
      </c>
      <c r="D557" s="4419" t="s">
        <v>4175</v>
      </c>
      <c r="E557" s="4046">
        <f t="shared" si="101"/>
      </c>
      <c r="F557" s="4032" t="s">
        <v>4173</v>
      </c>
      <c r="G557" s="4421"/>
      <c r="H557" s="4032" t="s">
        <v>3742</v>
      </c>
      <c r="I557" s="4032" t="s">
        <v>3743</v>
      </c>
      <c r="J557" s="4250"/>
      <c r="K557" s="4030"/>
      <c r="L557" s="4030"/>
      <c r="M557" s="4030"/>
      <c r="N557" s="4030"/>
      <c r="O557" s="4030"/>
      <c r="P557" s="4030"/>
    </row>
    <row r="558">
      <c r="A558" s="4042" t="s">
        <v>4171</v>
      </c>
      <c r="B558" s="4031">
        <v>46254</v>
      </c>
      <c r="C558" s="4042" t="str">
        <v>Thursday</v>
      </c>
      <c r="D558" s="4419" t="s">
        <v>3865</v>
      </c>
      <c r="E558" s="4046">
        <f t="shared" si="101"/>
      </c>
      <c r="F558" s="4032"/>
      <c r="G558" s="4161" t="s">
        <v>4176</v>
      </c>
      <c r="H558" s="4032" t="s">
        <v>3742</v>
      </c>
      <c r="I558" s="4032"/>
      <c r="J558" s="4250"/>
      <c r="K558" s="4030"/>
      <c r="L558" s="4030"/>
      <c r="M558" s="4030"/>
      <c r="N558" s="4030"/>
      <c r="O558" s="4030"/>
      <c r="P558" s="4030"/>
    </row>
    <row customHeight="true" ht="18.452380952380953" r="559">
      <c r="A559" s="4348" t="s">
        <v>4170</v>
      </c>
      <c r="B559" s="4348">
        <v>46255</v>
      </c>
      <c r="C559" s="4348" t="str">
        <v>Friday</v>
      </c>
      <c r="D559" s="4371" t="s">
        <v>3864</v>
      </c>
      <c r="E559" s="4350">
        <f t="shared" si="101"/>
      </c>
      <c r="F559" s="4422" t="s">
        <v>3750</v>
      </c>
      <c r="G559" s="4075"/>
      <c r="H559" s="4046" t="s">
        <v>3742</v>
      </c>
      <c r="I559" s="4032" t="s">
        <v>3743</v>
      </c>
      <c r="J559" s="4029"/>
      <c r="K559" s="4123"/>
      <c r="L559" s="4123"/>
      <c r="M559" s="4123"/>
      <c r="N559" s="4123"/>
      <c r="O559" s="4123"/>
      <c r="P559" s="4123"/>
      <c r="Q559" s="4076"/>
      <c r="R559" s="4076"/>
      <c r="S559" s="4076"/>
      <c r="T559" s="4076"/>
      <c r="U559" s="4076"/>
      <c r="V559" s="4076"/>
      <c r="W559" s="4076"/>
      <c r="X559" s="4076"/>
      <c r="Y559" s="4076"/>
    </row>
    <row customHeight="true" ht="18.452380952380953" r="560">
      <c r="A560" s="4348" t="s">
        <v>4170</v>
      </c>
      <c r="B560" s="4348">
        <v>46255</v>
      </c>
      <c r="C560" s="4348" t="str">
        <v>Friday</v>
      </c>
      <c r="D560" s="4371" t="s">
        <v>3864</v>
      </c>
      <c r="E560" s="4350">
        <f t="shared" si="101"/>
      </c>
      <c r="F560" s="4350" t="s">
        <v>4174</v>
      </c>
      <c r="G560" s="4075"/>
      <c r="H560" s="4046" t="s">
        <v>3742</v>
      </c>
      <c r="I560" s="4046"/>
      <c r="J560" s="4029"/>
      <c r="K560" s="4123"/>
      <c r="L560" s="4123"/>
      <c r="M560" s="4123"/>
      <c r="N560" s="4123"/>
      <c r="O560" s="4123"/>
      <c r="P560" s="4123"/>
      <c r="Q560" s="4076"/>
      <c r="R560" s="4076"/>
      <c r="S560" s="4076"/>
      <c r="T560" s="4076"/>
      <c r="U560" s="4076"/>
      <c r="V560" s="4076"/>
      <c r="W560" s="4076"/>
      <c r="X560" s="4076"/>
      <c r="Y560" s="4076"/>
    </row>
    <row r="561">
      <c r="A561" s="4348" t="s">
        <v>4170</v>
      </c>
      <c r="B561" s="4349">
        <v>46255</v>
      </c>
      <c r="C561" s="4348" t="str">
        <v>Friday</v>
      </c>
      <c r="D561" s="4371" t="s">
        <v>3865</v>
      </c>
      <c r="E561" s="4350">
        <f t="shared" si="101"/>
      </c>
      <c r="F561" s="4350" t="s">
        <v>3749</v>
      </c>
      <c r="G561" s="4323"/>
      <c r="H561" s="4032" t="s">
        <v>3742</v>
      </c>
      <c r="I561" s="4032" t="s">
        <v>3743</v>
      </c>
      <c r="J561" s="4250"/>
      <c r="K561" s="4030"/>
      <c r="L561" s="4030"/>
      <c r="M561" s="4030"/>
      <c r="N561" s="4030"/>
      <c r="O561" s="4030"/>
      <c r="P561" s="4030"/>
    </row>
    <row r="562">
      <c r="A562" s="4042" t="s">
        <v>4171</v>
      </c>
      <c r="B562" s="4031">
        <v>46255</v>
      </c>
      <c r="C562" s="4042" t="str">
        <v>Friday</v>
      </c>
      <c r="D562" s="4419" t="s">
        <v>4177</v>
      </c>
      <c r="E562" s="4046">
        <f t="shared" si="101"/>
      </c>
      <c r="F562" s="4032"/>
      <c r="G562" s="4161" t="s">
        <v>4178</v>
      </c>
      <c r="H562" s="4032" t="s">
        <v>3742</v>
      </c>
      <c r="I562" s="4032"/>
      <c r="J562" s="4250"/>
      <c r="K562" s="4030"/>
      <c r="L562" s="4030"/>
      <c r="M562" s="4030"/>
      <c r="N562" s="4030"/>
      <c r="O562" s="4030"/>
      <c r="P562" s="4030"/>
    </row>
    <row r="563">
      <c r="A563" s="4042" t="s">
        <v>4171</v>
      </c>
      <c r="B563" s="4031">
        <v>46255</v>
      </c>
      <c r="C563" s="4042" t="str">
        <v>Friday</v>
      </c>
      <c r="D563" s="4419" t="s">
        <v>4179</v>
      </c>
      <c r="E563" s="4046">
        <f t="shared" si="101"/>
      </c>
      <c r="F563" s="4032" t="s">
        <v>4173</v>
      </c>
      <c r="G563" s="4161"/>
      <c r="H563" s="4032" t="s">
        <v>3742</v>
      </c>
      <c r="I563" s="4032" t="s">
        <v>3743</v>
      </c>
      <c r="J563" s="4421"/>
      <c r="K563" s="4423"/>
      <c r="L563" s="4423"/>
      <c r="M563" s="4423"/>
      <c r="N563" s="4423"/>
      <c r="O563" s="4423"/>
      <c r="P563" s="4423"/>
    </row>
    <row customHeight="true" ht="18.452380952380953" r="564">
      <c r="A564" s="4158" t="s">
        <v>4180</v>
      </c>
      <c r="B564" s="4031">
        <v>46256</v>
      </c>
      <c r="C564" s="4042" t="str">
        <v>Saturday</v>
      </c>
      <c r="D564" s="4419" t="s">
        <v>4181</v>
      </c>
      <c r="E564" s="4046">
        <f t="shared" si="101"/>
      </c>
      <c r="F564" s="4032" t="s">
        <v>4111</v>
      </c>
      <c r="G564" s="4323"/>
      <c r="H564" s="4032" t="s">
        <v>3742</v>
      </c>
      <c r="I564" s="4032" t="s">
        <v>3743</v>
      </c>
      <c r="J564" s="4424"/>
      <c r="K564" s="4425"/>
      <c r="L564" s="4425"/>
      <c r="M564" s="4425"/>
      <c r="N564" s="4425"/>
      <c r="O564" s="4425"/>
      <c r="P564" s="4425"/>
      <c r="Q564" s="4105"/>
      <c r="R564" s="4105"/>
      <c r="S564" s="4105"/>
      <c r="T564" s="4105"/>
      <c r="U564" s="4105"/>
      <c r="V564" s="4105"/>
      <c r="W564" s="4105"/>
      <c r="X564" s="4105"/>
      <c r="Y564" s="4105"/>
    </row>
    <row r="565">
      <c r="A565" s="4348" t="s">
        <v>4170</v>
      </c>
      <c r="B565" s="4349">
        <v>46256</v>
      </c>
      <c r="C565" s="4348" t="str">
        <v>Saturday</v>
      </c>
      <c r="D565" s="4371" t="s">
        <v>3864</v>
      </c>
      <c r="E565" s="4350">
        <f t="shared" si="101"/>
      </c>
      <c r="F565" s="4228" t="s">
        <v>4111</v>
      </c>
      <c r="G565" s="4323"/>
      <c r="H565" s="4032" t="s">
        <v>3742</v>
      </c>
      <c r="I565" s="4032" t="s">
        <v>3743</v>
      </c>
      <c r="J565" s="4424"/>
      <c r="K565" s="4425"/>
      <c r="L565" s="4425"/>
      <c r="M565" s="4425"/>
      <c r="N565" s="4425"/>
      <c r="O565" s="4425"/>
      <c r="P565" s="4425"/>
    </row>
    <row r="566">
      <c r="A566" s="4348" t="s">
        <v>4170</v>
      </c>
      <c r="B566" s="4349">
        <v>46256</v>
      </c>
      <c r="C566" s="4348" t="str">
        <v>Saturday</v>
      </c>
      <c r="D566" s="4371" t="s">
        <v>3865</v>
      </c>
      <c r="E566" s="4350">
        <f t="shared" si="101"/>
      </c>
      <c r="F566" s="4228" t="s">
        <v>3750</v>
      </c>
      <c r="G566" s="4323"/>
      <c r="H566" s="4032" t="s">
        <v>3742</v>
      </c>
      <c r="I566" s="4032" t="s">
        <v>3743</v>
      </c>
      <c r="J566" s="4424"/>
      <c r="K566" s="4425"/>
      <c r="L566" s="4425"/>
      <c r="M566" s="4425"/>
      <c r="N566" s="4425"/>
      <c r="O566" s="4425"/>
      <c r="P566" s="4425"/>
    </row>
    <row customHeight="true" ht="18.452380952380953" r="567">
      <c r="A567" s="4042" t="s">
        <v>4171</v>
      </c>
      <c r="B567" s="4031">
        <v>46256</v>
      </c>
      <c r="C567" s="4042" t="str">
        <v>Saturday</v>
      </c>
      <c r="D567" s="4419" t="s">
        <v>4182</v>
      </c>
      <c r="E567" s="4046">
        <f t="shared" si="101"/>
      </c>
      <c r="F567" s="4032" t="s">
        <v>3750</v>
      </c>
      <c r="G567" s="4323"/>
      <c r="H567" s="4032" t="s">
        <v>3742</v>
      </c>
      <c r="I567" s="4032" t="s">
        <v>3743</v>
      </c>
      <c r="J567" s="4424"/>
      <c r="K567" s="4425"/>
      <c r="L567" s="4425"/>
      <c r="M567" s="4425"/>
      <c r="N567" s="4425"/>
      <c r="O567" s="4425"/>
      <c r="P567" s="4425"/>
    </row>
    <row r="568">
      <c r="A568" s="4042" t="s">
        <v>4171</v>
      </c>
      <c r="B568" s="4031">
        <v>46256</v>
      </c>
      <c r="C568" s="4042" t="str">
        <v>Saturday</v>
      </c>
      <c r="D568" s="4419" t="s">
        <v>3882</v>
      </c>
      <c r="E568" s="4046">
        <f t="shared" si="101"/>
      </c>
      <c r="F568" s="4032" t="s">
        <v>4174</v>
      </c>
      <c r="G568" s="4323"/>
      <c r="H568" s="4032" t="s">
        <v>3742</v>
      </c>
      <c r="I568" s="4032"/>
      <c r="J568" s="4424"/>
      <c r="K568" s="4425"/>
      <c r="L568" s="4425"/>
      <c r="M568" s="4425"/>
      <c r="N568" s="4425"/>
      <c r="O568" s="4425"/>
      <c r="P568" s="4425"/>
    </row>
    <row r="569">
      <c r="A569" s="4348" t="s">
        <v>4170</v>
      </c>
      <c r="B569" s="4349">
        <v>46257</v>
      </c>
      <c r="C569" s="4348" t="str">
        <v>Sunday</v>
      </c>
      <c r="D569" s="4371" t="s">
        <v>3871</v>
      </c>
      <c r="E569" s="4350">
        <f t="shared" si="101"/>
      </c>
      <c r="F569" s="4228" t="s">
        <v>4111</v>
      </c>
      <c r="G569" s="4323"/>
      <c r="H569" s="4032" t="s">
        <v>3742</v>
      </c>
      <c r="I569" s="4046" t="s">
        <v>3743</v>
      </c>
      <c r="J569" s="4424"/>
      <c r="K569" s="4425"/>
      <c r="L569" s="4425"/>
      <c r="M569" s="4425"/>
      <c r="N569" s="4425"/>
      <c r="O569" s="4425"/>
      <c r="P569" s="4425"/>
    </row>
    <row customHeight="true" ht="18.452380952380953" r="570">
      <c r="A570" s="4348" t="s">
        <v>4170</v>
      </c>
      <c r="B570" s="4349">
        <v>46257</v>
      </c>
      <c r="C570" s="4348" t="str">
        <v>Sunday</v>
      </c>
      <c r="D570" s="4371" t="s">
        <v>3964</v>
      </c>
      <c r="E570" s="4350">
        <f t="shared" si="101"/>
      </c>
      <c r="F570" s="4228" t="s">
        <v>3750</v>
      </c>
      <c r="G570" s="4323"/>
      <c r="H570" s="4032" t="s">
        <v>3742</v>
      </c>
      <c r="I570" s="4032" t="s">
        <v>3743</v>
      </c>
      <c r="J570" s="4424"/>
      <c r="K570" s="4425"/>
      <c r="L570" s="4425"/>
      <c r="M570" s="4425"/>
      <c r="N570" s="4425"/>
      <c r="O570" s="4425"/>
      <c r="P570" s="4425"/>
    </row>
    <row r="571">
      <c r="A571" s="4348" t="s">
        <v>4170</v>
      </c>
      <c r="B571" s="4349">
        <v>46257</v>
      </c>
      <c r="C571" s="4348" t="str">
        <v>Sunday</v>
      </c>
      <c r="D571" s="4371" t="s">
        <v>4025</v>
      </c>
      <c r="E571" s="4350">
        <f t="shared" si="101"/>
      </c>
      <c r="F571" s="4350" t="s">
        <v>4174</v>
      </c>
      <c r="G571" s="4323"/>
      <c r="H571" s="4032" t="s">
        <v>3742</v>
      </c>
      <c r="I571" s="4032"/>
      <c r="J571" s="4424"/>
      <c r="K571" s="4425"/>
      <c r="L571" s="4425"/>
      <c r="M571" s="4425"/>
      <c r="N571" s="4425"/>
      <c r="O571" s="4425"/>
      <c r="P571" s="4425"/>
    </row>
    <row r="572">
      <c r="A572" s="4042" t="s">
        <v>4171</v>
      </c>
      <c r="B572" s="4031">
        <v>46257</v>
      </c>
      <c r="C572" s="4042" t="str">
        <v>Sunday</v>
      </c>
      <c r="D572" s="4419" t="s">
        <v>4177</v>
      </c>
      <c r="E572" s="4046">
        <f t="shared" si="101"/>
      </c>
      <c r="F572" s="4032" t="s">
        <v>3750</v>
      </c>
      <c r="G572" s="4323"/>
      <c r="H572" s="4032" t="s">
        <v>3742</v>
      </c>
      <c r="I572" s="4032" t="s">
        <v>3743</v>
      </c>
      <c r="J572" s="4424"/>
      <c r="K572" s="4425"/>
      <c r="L572" s="4425"/>
      <c r="M572" s="4425"/>
      <c r="N572" s="4425"/>
      <c r="O572" s="4425"/>
      <c r="P572" s="4425"/>
    </row>
    <row customHeight="true" ht="18.452380952380953" r="573">
      <c r="A573" s="4042" t="s">
        <v>4171</v>
      </c>
      <c r="B573" s="4031">
        <v>46257</v>
      </c>
      <c r="C573" s="4042" t="str">
        <v>Sunday</v>
      </c>
      <c r="D573" s="4419" t="s">
        <v>4183</v>
      </c>
      <c r="E573" s="4046">
        <f t="shared" si="101"/>
      </c>
      <c r="F573" s="4032" t="s">
        <v>4174</v>
      </c>
      <c r="G573" s="4323"/>
      <c r="H573" s="4032" t="s">
        <v>3742</v>
      </c>
      <c r="I573" s="4032"/>
      <c r="J573" s="4424"/>
      <c r="K573" s="4425"/>
      <c r="L573" s="4425"/>
      <c r="M573" s="4425"/>
      <c r="N573" s="4425"/>
      <c r="O573" s="4425"/>
      <c r="P573" s="4425"/>
    </row>
    <row customHeight="true" ht="16.071428571428573" r="574">
      <c r="A574" s="4042" t="s">
        <v>4171</v>
      </c>
      <c r="B574" s="4031">
        <v>46257</v>
      </c>
      <c r="C574" s="4042" t="str">
        <v>Sunday</v>
      </c>
      <c r="D574" s="4419" t="s">
        <v>4025</v>
      </c>
      <c r="E574" s="4046">
        <f t="shared" si="101"/>
      </c>
      <c r="F574" s="4032" t="s">
        <v>3750</v>
      </c>
      <c r="G574" s="4323"/>
      <c r="H574" s="4032" t="s">
        <v>3742</v>
      </c>
      <c r="I574" s="4032" t="s">
        <v>3743</v>
      </c>
      <c r="J574" s="4250"/>
      <c r="K574" s="4030"/>
      <c r="L574" s="4030"/>
      <c r="M574" s="4030"/>
      <c r="N574" s="4030"/>
      <c r="O574" s="4030"/>
      <c r="P574" s="4030"/>
    </row>
    <row r="575">
      <c r="A575" s="4426" t="s">
        <v>4184</v>
      </c>
      <c r="B575" s="4426"/>
      <c r="C575" s="4426"/>
      <c r="D575" s="4426"/>
      <c r="E575" s="4426"/>
      <c r="F575" s="4426"/>
      <c r="G575" s="4426"/>
      <c r="H575" s="4426"/>
      <c r="I575" s="4426"/>
      <c r="J575" s="4427"/>
      <c r="K575" s="4035"/>
      <c r="L575" s="4035"/>
      <c r="M575" s="4035"/>
      <c r="N575" s="4035"/>
      <c r="O575" s="4035"/>
      <c r="P575" s="4035"/>
    </row>
    <row r="576">
      <c r="A576" s="4428" t="s">
        <v>3762</v>
      </c>
      <c r="B576" s="4429" t="s">
        <v>3763</v>
      </c>
      <c r="C576" s="4429"/>
      <c r="D576" s="4430" t="s">
        <v>3764</v>
      </c>
      <c r="E576" s="4430" t="s">
        <v>3765</v>
      </c>
      <c r="F576" s="4430" t="s">
        <v>3766</v>
      </c>
      <c r="G576" s="4431" t="s">
        <v>3781</v>
      </c>
      <c r="H576" s="4430" t="s">
        <v>3768</v>
      </c>
      <c r="I576" s="4430" t="s">
        <v>3769</v>
      </c>
      <c r="J576" s="4432" t="s">
        <v>3770</v>
      </c>
      <c r="K576" s="4041"/>
      <c r="L576" s="4041"/>
      <c r="M576" s="4041"/>
      <c r="N576" s="4041"/>
      <c r="O576" s="4041"/>
      <c r="P576" s="4041"/>
    </row>
    <row customHeight="true" ht="18.452380952380953" r="577">
      <c r="A577" s="4042" t="s">
        <v>4185</v>
      </c>
      <c r="B577" s="4031">
        <v>46252</v>
      </c>
      <c r="C577" s="4042" t="str">
        <v>Tuesday</v>
      </c>
      <c r="D577" s="4047" t="s">
        <v>3910</v>
      </c>
      <c r="E577" s="4028">
        <f t="shared" ref="E577:E589" si="102">24*MOD(TIMEVALUE(TRIM(MID(D577,FIND("-",D577)+1,LEN(D577)))) - TIMEVALUE(TRIM(LEFT(D577,FIND("-",D577)-1))),1)</f>
      </c>
      <c r="F577" s="4032" t="s">
        <v>4186</v>
      </c>
      <c r="G577" s="4163" t="s">
        <v>4187</v>
      </c>
      <c r="H577" s="4028" t="s">
        <v>3742</v>
      </c>
      <c r="I577" s="4028" t="s">
        <v>3743</v>
      </c>
      <c r="J577" s="4045"/>
      <c r="K577" s="4030"/>
      <c r="L577" s="4030"/>
      <c r="M577" s="4030"/>
      <c r="N577" s="4030"/>
      <c r="O577" s="4030"/>
      <c r="P577" s="4030"/>
    </row>
    <row customHeight="true" ht="18.452380952380953" r="578">
      <c r="A578" s="4057" t="s">
        <v>4188</v>
      </c>
      <c r="B578" s="4058">
        <v>46252</v>
      </c>
      <c r="C578" s="4057" t="str">
        <v>Tuesday</v>
      </c>
      <c r="D578" s="4059" t="s">
        <v>4189</v>
      </c>
      <c r="E578" s="4060">
        <f t="shared" si="102"/>
      </c>
      <c r="F578" s="4060" t="s">
        <v>4190</v>
      </c>
      <c r="G578" s="4179"/>
      <c r="H578" s="4060" t="s">
        <v>3742</v>
      </c>
      <c r="I578" s="4060" t="s">
        <v>3743</v>
      </c>
      <c r="J578" s="4306" t="s">
        <v>4132</v>
      </c>
      <c r="K578" s="4030"/>
      <c r="L578" s="4030"/>
      <c r="M578" s="4030"/>
      <c r="N578" s="4030"/>
      <c r="O578" s="4030"/>
      <c r="P578" s="4030"/>
    </row>
    <row customHeight="true" ht="18.452380952380953" r="579">
      <c r="A579" s="4042" t="s">
        <v>4185</v>
      </c>
      <c r="B579" s="4031">
        <v>46253</v>
      </c>
      <c r="C579" s="4042" t="str">
        <v>Wednesday</v>
      </c>
      <c r="D579" s="4047" t="s">
        <v>3910</v>
      </c>
      <c r="E579" s="4046">
        <f t="shared" si="102"/>
      </c>
      <c r="F579" s="4032" t="s">
        <v>4186</v>
      </c>
      <c r="G579" s="4161"/>
      <c r="H579" s="4032" t="s">
        <v>3742</v>
      </c>
      <c r="I579" s="4032" t="s">
        <v>3743</v>
      </c>
      <c r="J579" s="4250"/>
      <c r="K579" s="4030"/>
      <c r="L579" s="4030"/>
      <c r="M579" s="4030"/>
      <c r="N579" s="4030"/>
      <c r="O579" s="4030"/>
      <c r="P579" s="4030"/>
      <c r="Q579" s="4105"/>
      <c r="R579" s="4105"/>
      <c r="S579" s="4105"/>
      <c r="T579" s="4105"/>
      <c r="U579" s="4105"/>
      <c r="V579" s="4105"/>
      <c r="W579" s="4105"/>
      <c r="X579" s="4105"/>
      <c r="Y579" s="4105"/>
    </row>
    <row customHeight="true" ht="18.452380952380953" r="580">
      <c r="A580" s="4348" t="s">
        <v>4188</v>
      </c>
      <c r="B580" s="4349">
        <v>46253</v>
      </c>
      <c r="C580" s="4348" t="str">
        <v>Wednesday</v>
      </c>
      <c r="D580" s="4371" t="s">
        <v>4189</v>
      </c>
      <c r="E580" s="4350">
        <f t="shared" si="102"/>
      </c>
      <c r="F580" s="4228" t="s">
        <v>4190</v>
      </c>
      <c r="G580" s="4358"/>
      <c r="H580" s="4228" t="s">
        <v>3742</v>
      </c>
      <c r="I580" s="4228" t="s">
        <v>3743</v>
      </c>
      <c r="J580" s="4433"/>
      <c r="K580" s="4030"/>
      <c r="L580" s="4030"/>
      <c r="M580" s="4030"/>
      <c r="N580" s="4030"/>
      <c r="O580" s="4030"/>
      <c r="P580" s="4030"/>
    </row>
    <row customHeight="true" ht="18.452380952380953" r="581">
      <c r="A581" s="4042" t="s">
        <v>4191</v>
      </c>
      <c r="B581" s="4031">
        <v>46253</v>
      </c>
      <c r="C581" s="4042" t="str">
        <v>Wednesday</v>
      </c>
      <c r="D581" s="4047" t="s">
        <v>3864</v>
      </c>
      <c r="E581" s="4028">
        <f t="shared" si="102"/>
      </c>
      <c r="F581" s="4046" t="s">
        <v>4192</v>
      </c>
      <c r="G581" s="4163" t="s">
        <v>4193</v>
      </c>
      <c r="H581" s="4028" t="s">
        <v>3742</v>
      </c>
      <c r="I581" s="4028" t="s">
        <v>3743</v>
      </c>
      <c r="J581" s="4045"/>
      <c r="K581" s="4030"/>
      <c r="L581" s="4030"/>
      <c r="M581" s="4030"/>
      <c r="N581" s="4030"/>
      <c r="O581" s="4030"/>
      <c r="P581" s="4030"/>
    </row>
    <row r="582">
      <c r="A582" s="4042" t="s">
        <v>4185</v>
      </c>
      <c r="B582" s="4031">
        <v>46254</v>
      </c>
      <c r="C582" s="4042" t="str">
        <v>Thursday</v>
      </c>
      <c r="D582" s="4047" t="s">
        <v>3865</v>
      </c>
      <c r="E582" s="4046">
        <f t="shared" si="102"/>
      </c>
      <c r="F582" s="4046" t="s">
        <v>4144</v>
      </c>
      <c r="G582" s="4075"/>
      <c r="H582" s="4028" t="s">
        <v>3742</v>
      </c>
      <c r="I582" s="4028" t="s">
        <v>3743</v>
      </c>
      <c r="J582" s="4045"/>
      <c r="K582" s="4030"/>
      <c r="L582" s="4030"/>
      <c r="M582" s="4030"/>
      <c r="N582" s="4030"/>
      <c r="O582" s="4030"/>
      <c r="P582" s="4030"/>
    </row>
    <row customHeight="true" ht="18.452380952380953" r="583">
      <c r="A583" s="4042" t="s">
        <v>4185</v>
      </c>
      <c r="B583" s="4031">
        <v>46254</v>
      </c>
      <c r="C583" s="4042" t="str">
        <v>Thursday</v>
      </c>
      <c r="D583" s="4047" t="s">
        <v>4194</v>
      </c>
      <c r="E583" s="4046">
        <f t="shared" si="102"/>
      </c>
      <c r="F583" s="4046" t="s">
        <v>4195</v>
      </c>
      <c r="G583" s="4075"/>
      <c r="H583" s="4028" t="s">
        <v>3742</v>
      </c>
      <c r="I583" s="4028" t="s">
        <v>3743</v>
      </c>
      <c r="J583" s="4045"/>
      <c r="K583" s="4030"/>
      <c r="L583" s="4030"/>
      <c r="M583" s="4030"/>
      <c r="N583" s="4030"/>
      <c r="O583" s="4030"/>
      <c r="P583" s="4030"/>
    </row>
    <row r="584">
      <c r="A584" s="4348" t="s">
        <v>4188</v>
      </c>
      <c r="B584" s="4349">
        <v>46254</v>
      </c>
      <c r="C584" s="4348" t="str">
        <v>Thursday</v>
      </c>
      <c r="D584" s="4371" t="s">
        <v>4196</v>
      </c>
      <c r="E584" s="4350">
        <f t="shared" si="102"/>
      </c>
      <c r="F584" s="4228" t="s">
        <v>4190</v>
      </c>
      <c r="G584" s="4351"/>
      <c r="H584" s="4350" t="s">
        <v>3742</v>
      </c>
      <c r="I584" s="4350" t="s">
        <v>3743</v>
      </c>
      <c r="J584" s="4433"/>
      <c r="K584" s="4097"/>
      <c r="L584" s="4097"/>
      <c r="M584" s="4097"/>
      <c r="N584" s="4097"/>
      <c r="O584" s="4097"/>
      <c r="P584" s="4097"/>
    </row>
    <row customHeight="true" ht="18.452380952380953" r="585">
      <c r="A585" s="4348" t="s">
        <v>4191</v>
      </c>
      <c r="B585" s="4349">
        <v>46254</v>
      </c>
      <c r="C585" s="4348" t="str">
        <v>Thursday</v>
      </c>
      <c r="D585" s="4371" t="s">
        <v>4197</v>
      </c>
      <c r="E585" s="4350">
        <f t="shared" si="102"/>
      </c>
      <c r="F585" s="4350" t="s">
        <v>4190</v>
      </c>
      <c r="G585" s="4358"/>
      <c r="H585" s="4350" t="s">
        <v>3742</v>
      </c>
      <c r="I585" s="4350" t="s">
        <v>3743</v>
      </c>
      <c r="J585" s="4433"/>
      <c r="K585" s="4097"/>
      <c r="L585" s="4097"/>
      <c r="M585" s="4097"/>
      <c r="N585" s="4097"/>
      <c r="O585" s="4097"/>
      <c r="P585" s="4097"/>
    </row>
    <row r="586">
      <c r="A586" s="4042" t="s">
        <v>4185</v>
      </c>
      <c r="B586" s="4031">
        <v>46255</v>
      </c>
      <c r="C586" s="4042" t="str">
        <v>Friday</v>
      </c>
      <c r="D586" s="4024" t="s">
        <v>4198</v>
      </c>
      <c r="E586" s="4028">
        <f t="shared" si="102"/>
      </c>
      <c r="F586" s="4046" t="s">
        <v>4144</v>
      </c>
      <c r="G586" s="4075"/>
      <c r="H586" s="4028" t="s">
        <v>3742</v>
      </c>
      <c r="I586" s="4028" t="s">
        <v>3743</v>
      </c>
      <c r="J586" s="4045"/>
      <c r="K586" s="4030"/>
      <c r="L586" s="4030"/>
      <c r="M586" s="4030"/>
      <c r="N586" s="4030"/>
      <c r="O586" s="4030"/>
      <c r="P586" s="4030"/>
    </row>
    <row r="587">
      <c r="A587" s="4348" t="s">
        <v>4188</v>
      </c>
      <c r="B587" s="4349">
        <v>46255</v>
      </c>
      <c r="C587" s="4348" t="str">
        <v>Friday</v>
      </c>
      <c r="D587" s="4371" t="s">
        <v>4199</v>
      </c>
      <c r="E587" s="4350">
        <f t="shared" si="102"/>
      </c>
      <c r="F587" s="4228" t="s">
        <v>4190</v>
      </c>
      <c r="G587" s="4358"/>
      <c r="H587" s="4350" t="s">
        <v>3742</v>
      </c>
      <c r="I587" s="4350" t="s">
        <v>3743</v>
      </c>
      <c r="J587" s="4360"/>
      <c r="K587" s="4030"/>
      <c r="L587" s="4030"/>
      <c r="M587" s="4030"/>
      <c r="N587" s="4030"/>
      <c r="O587" s="4030"/>
      <c r="P587" s="4030"/>
    </row>
    <row customHeight="true" ht="18.452380952380953" r="588">
      <c r="A588" s="4042" t="s">
        <v>4185</v>
      </c>
      <c r="B588" s="4031">
        <v>46257</v>
      </c>
      <c r="C588" s="4042" t="str">
        <v>Sunday</v>
      </c>
      <c r="D588" s="4047" t="s">
        <v>3910</v>
      </c>
      <c r="E588" s="4028">
        <f t="shared" si="102"/>
      </c>
      <c r="F588" s="4032" t="s">
        <v>4186</v>
      </c>
      <c r="G588" s="4075"/>
      <c r="H588" s="4028" t="s">
        <v>3742</v>
      </c>
      <c r="I588" s="4028" t="s">
        <v>3743</v>
      </c>
      <c r="J588" s="4045"/>
      <c r="K588" s="4030"/>
      <c r="L588" s="4030"/>
      <c r="M588" s="4030"/>
      <c r="N588" s="4030"/>
      <c r="O588" s="4030"/>
      <c r="P588" s="4030"/>
    </row>
    <row r="589">
      <c r="A589" s="4348" t="s">
        <v>4188</v>
      </c>
      <c r="B589" s="4226">
        <v>46257</v>
      </c>
      <c r="C589" s="4348" t="str">
        <v>Sunday</v>
      </c>
      <c r="D589" s="4371" t="s">
        <v>4200</v>
      </c>
      <c r="E589" s="4350">
        <f t="shared" si="102"/>
      </c>
      <c r="F589" s="4228" t="s">
        <v>4190</v>
      </c>
      <c r="G589" s="4351"/>
      <c r="H589" s="4350" t="s">
        <v>3742</v>
      </c>
      <c r="I589" s="4350" t="s">
        <v>3743</v>
      </c>
      <c r="J589" s="4029"/>
      <c r="K589" s="4030"/>
      <c r="L589" s="4030"/>
      <c r="M589" s="4030"/>
      <c r="N589" s="4030"/>
      <c r="O589" s="4030"/>
      <c r="P589" s="4030"/>
    </row>
    <row r="590">
      <c r="A590" s="4042"/>
      <c r="B590" s="4042"/>
      <c r="C590" s="4042"/>
      <c r="D590" s="4028"/>
      <c r="E590" s="4028"/>
      <c r="F590" s="4046"/>
      <c r="G590" s="4166"/>
      <c r="H590" s="4046"/>
      <c r="I590" s="4028"/>
      <c r="J590" s="4029"/>
      <c r="K590" s="4030"/>
      <c r="L590" s="4030"/>
      <c r="M590" s="4030"/>
      <c r="N590" s="4030"/>
      <c r="O590" s="4030"/>
      <c r="P590" s="4030"/>
    </row>
    <row customHeight="true" ht="16.071428571428573" r="591">
      <c r="A591" s="4042"/>
      <c r="B591" s="4042"/>
      <c r="C591" s="4042"/>
      <c r="D591" s="4028"/>
      <c r="E591" s="4028"/>
      <c r="F591" s="4046"/>
      <c r="G591" s="4166"/>
      <c r="H591" s="4046"/>
      <c r="I591" s="4028"/>
      <c r="J591" s="4029"/>
      <c r="K591" s="4030"/>
      <c r="L591" s="4030"/>
      <c r="M591" s="4030"/>
      <c r="N591" s="4030"/>
      <c r="O591" s="4030"/>
      <c r="P591" s="4030"/>
    </row>
    <row r="592">
      <c r="A592" s="4434" t="s">
        <v>4201</v>
      </c>
      <c r="B592" s="4435"/>
      <c r="C592" s="4435"/>
      <c r="D592" s="4435"/>
      <c r="E592" s="4435"/>
      <c r="F592" s="4435"/>
      <c r="G592" s="4435"/>
      <c r="H592" s="4435"/>
      <c r="I592" s="4435"/>
      <c r="J592" s="4436"/>
      <c r="K592" s="4437"/>
      <c r="L592" s="4437"/>
      <c r="M592" s="4437"/>
      <c r="N592" s="4437"/>
      <c r="O592" s="4437"/>
      <c r="P592" s="4437"/>
    </row>
    <row r="593">
      <c r="A593" s="4407" t="s">
        <v>3762</v>
      </c>
      <c r="B593" s="4408" t="s">
        <v>3763</v>
      </c>
      <c r="C593" s="4408"/>
      <c r="D593" s="4409" t="s">
        <v>3764</v>
      </c>
      <c r="E593" s="4409" t="s">
        <v>3765</v>
      </c>
      <c r="F593" s="4409" t="s">
        <v>3766</v>
      </c>
      <c r="G593" s="4410" t="s">
        <v>3781</v>
      </c>
      <c r="H593" s="4409" t="s">
        <v>3768</v>
      </c>
      <c r="I593" s="4409" t="s">
        <v>3769</v>
      </c>
      <c r="J593" s="4411" t="s">
        <v>3770</v>
      </c>
      <c r="K593" s="4041"/>
      <c r="L593" s="4041"/>
      <c r="M593" s="4041"/>
      <c r="N593" s="4041"/>
      <c r="O593" s="4041"/>
      <c r="P593" s="4041"/>
    </row>
    <row customHeight="true" ht="17.857142857142858" r="594">
      <c r="A594" s="4438"/>
      <c r="B594" s="4031"/>
      <c r="C594" s="4042"/>
      <c r="D594" s="4047"/>
      <c r="E594" s="4028"/>
      <c r="F594" s="4046"/>
      <c r="G594" s="4075"/>
      <c r="H594" s="4028"/>
      <c r="I594" s="4046"/>
      <c r="J594" s="4402"/>
      <c r="K594" s="4347"/>
      <c r="L594" s="4347"/>
      <c r="M594" s="4347"/>
      <c r="N594" s="4347"/>
      <c r="O594" s="4347"/>
      <c r="P594" s="4347"/>
    </row>
    <row customHeight="true" ht="17.857142857142858" r="595">
      <c r="A595" s="4439" t="s">
        <v>4202</v>
      </c>
      <c r="B595" s="4058">
        <v>46252</v>
      </c>
      <c r="C595" s="4057" t="str">
        <v>Tuesday</v>
      </c>
      <c r="D595" s="4059" t="s">
        <v>4203</v>
      </c>
      <c r="E595" s="4060">
        <f t="shared" ref="E595:E609" si="103">24*MOD(TIMEVALUE(TRIM(MID(D595,FIND("-",D595)+1,LEN(D595)))) - TIMEVALUE(TRIM(LEFT(D595,FIND("-",D595)-1))),1)</f>
      </c>
      <c r="F595" s="4060" t="s">
        <v>4190</v>
      </c>
      <c r="G595" s="4179"/>
      <c r="H595" s="4060" t="s">
        <v>3742</v>
      </c>
      <c r="I595" s="4060" t="s">
        <v>3743</v>
      </c>
      <c r="J595" s="4440" t="s">
        <v>4132</v>
      </c>
      <c r="K595" s="4347"/>
      <c r="L595" s="4347"/>
      <c r="M595" s="4347"/>
      <c r="N595" s="4347"/>
      <c r="O595" s="4347"/>
      <c r="P595" s="4347"/>
    </row>
    <row customHeight="true" ht="17.857142857142858" r="596">
      <c r="A596" s="4438" t="s">
        <v>4201</v>
      </c>
      <c r="B596" s="4031">
        <v>46253</v>
      </c>
      <c r="C596" s="4042" t="str">
        <v>Wednesday</v>
      </c>
      <c r="D596" s="4047" t="s">
        <v>4038</v>
      </c>
      <c r="E596" s="4028">
        <f t="shared" si="103"/>
      </c>
      <c r="F596" s="4026" t="s">
        <v>3821</v>
      </c>
      <c r="G596" s="4333" t="s">
        <v>4204</v>
      </c>
      <c r="H596" s="4028" t="s">
        <v>3742</v>
      </c>
      <c r="I596" s="4087" t="s">
        <v>3743</v>
      </c>
      <c r="J596" s="4402"/>
      <c r="K596" s="4347"/>
      <c r="L596" s="4347"/>
      <c r="M596" s="4347"/>
      <c r="N596" s="4347"/>
      <c r="O596" s="4347"/>
      <c r="P596" s="4347"/>
    </row>
    <row customHeight="true" ht="17.857142857142858" r="597">
      <c r="A597" s="4439" t="s">
        <v>4205</v>
      </c>
      <c r="B597" s="4058">
        <v>46253</v>
      </c>
      <c r="C597" s="4057" t="str">
        <v>Wednesday</v>
      </c>
      <c r="D597" s="4059" t="s">
        <v>4206</v>
      </c>
      <c r="E597" s="4060">
        <f t="shared" si="103"/>
      </c>
      <c r="F597" s="4060" t="s">
        <v>4190</v>
      </c>
      <c r="G597" s="4061"/>
      <c r="H597" s="4060" t="s">
        <v>3742</v>
      </c>
      <c r="I597" s="4060" t="s">
        <v>3743</v>
      </c>
      <c r="J597" s="4440" t="s">
        <v>4207</v>
      </c>
      <c r="K597" s="4347"/>
      <c r="L597" s="4347"/>
      <c r="M597" s="4347"/>
      <c r="N597" s="4347"/>
      <c r="O597" s="4347"/>
      <c r="P597" s="4347"/>
      <c r="Q597" s="4105"/>
      <c r="R597" s="4105"/>
      <c r="S597" s="4105"/>
      <c r="T597" s="4105"/>
      <c r="U597" s="4105"/>
      <c r="V597" s="4105"/>
      <c r="W597" s="4105"/>
      <c r="X597" s="4105"/>
      <c r="Y597" s="4105"/>
    </row>
    <row customHeight="true" ht="17.857142857142858" r="598">
      <c r="A598" s="4438" t="s">
        <v>4201</v>
      </c>
      <c r="B598" s="4159">
        <v>46254</v>
      </c>
      <c r="C598" s="4158" t="str">
        <v>Thursday</v>
      </c>
      <c r="D598" s="4160" t="s">
        <v>3868</v>
      </c>
      <c r="E598" s="4032">
        <f t="shared" si="103"/>
      </c>
      <c r="F598" s="4441" t="s">
        <v>4106</v>
      </c>
      <c r="G598" s="4323"/>
      <c r="H598" s="4032" t="s">
        <v>3742</v>
      </c>
      <c r="I598" s="4087" t="s">
        <v>3743</v>
      </c>
      <c r="J598" s="4301"/>
      <c r="K598" s="4347"/>
      <c r="L598" s="4347"/>
      <c r="M598" s="4347"/>
      <c r="N598" s="4347"/>
      <c r="O598" s="4347"/>
      <c r="P598" s="4347"/>
      <c r="Q598" s="4105"/>
      <c r="R598" s="4105"/>
      <c r="S598" s="4105"/>
      <c r="T598" s="4105"/>
      <c r="U598" s="4105"/>
      <c r="V598" s="4105"/>
      <c r="W598" s="4105"/>
      <c r="X598" s="4105"/>
      <c r="Y598" s="4105"/>
    </row>
    <row customHeight="true" ht="17.857142857142858" r="599">
      <c r="A599" s="4442" t="s">
        <v>4205</v>
      </c>
      <c r="B599" s="4443">
        <v>46254</v>
      </c>
      <c r="C599" s="4444" t="str">
        <v>Thursday</v>
      </c>
      <c r="D599" s="4445" t="s">
        <v>4084</v>
      </c>
      <c r="E599" s="4446">
        <f t="shared" si="103"/>
      </c>
      <c r="F599" s="4446" t="s">
        <v>4190</v>
      </c>
      <c r="G599" s="4447"/>
      <c r="H599" s="4446" t="s">
        <v>3742</v>
      </c>
      <c r="I599" s="4446" t="s">
        <v>3743</v>
      </c>
      <c r="J599" s="4448"/>
      <c r="K599" s="4347"/>
      <c r="L599" s="4347"/>
      <c r="M599" s="4347"/>
      <c r="N599" s="4347"/>
      <c r="O599" s="4347"/>
      <c r="P599" s="4347"/>
      <c r="Q599" s="4105"/>
      <c r="R599" s="4105"/>
      <c r="S599" s="4105"/>
      <c r="T599" s="4105"/>
      <c r="U599" s="4105"/>
      <c r="V599" s="4105"/>
      <c r="W599" s="4105"/>
      <c r="X599" s="4105"/>
      <c r="Y599" s="4105"/>
    </row>
    <row customHeight="true" ht="17.857142857142858" r="600">
      <c r="A600" s="4442" t="s">
        <v>4202</v>
      </c>
      <c r="B600" s="4443">
        <v>46254</v>
      </c>
      <c r="C600" s="4444" t="str">
        <v>Thursday</v>
      </c>
      <c r="D600" s="4445" t="s">
        <v>3888</v>
      </c>
      <c r="E600" s="4446">
        <f t="shared" si="103"/>
      </c>
      <c r="F600" s="4449" t="s">
        <v>4208</v>
      </c>
      <c r="G600" s="4450" t="s">
        <v>4209</v>
      </c>
      <c r="H600" s="4446" t="s">
        <v>3742</v>
      </c>
      <c r="I600" s="4446" t="s">
        <v>3743</v>
      </c>
      <c r="J600" s="4448"/>
      <c r="K600" s="4347"/>
      <c r="L600" s="4347"/>
      <c r="M600" s="4347"/>
      <c r="N600" s="4347"/>
      <c r="O600" s="4347"/>
      <c r="P600" s="4347"/>
      <c r="Q600" s="4105"/>
      <c r="R600" s="4105"/>
      <c r="S600" s="4105"/>
      <c r="T600" s="4105"/>
      <c r="U600" s="4105"/>
      <c r="V600" s="4105"/>
      <c r="W600" s="4105"/>
      <c r="X600" s="4105"/>
      <c r="Y600" s="4105"/>
    </row>
    <row customHeight="true" ht="17.857142857142858" r="601">
      <c r="A601" s="4438" t="s">
        <v>4201</v>
      </c>
      <c r="B601" s="4031">
        <v>46255</v>
      </c>
      <c r="C601" s="4042" t="str">
        <v>Friday</v>
      </c>
      <c r="D601" s="4047" t="s">
        <v>4038</v>
      </c>
      <c r="E601" s="4028">
        <f t="shared" si="103"/>
      </c>
      <c r="F601" s="4026" t="s">
        <v>3821</v>
      </c>
      <c r="G601" s="4161"/>
      <c r="H601" s="4028" t="s">
        <v>3742</v>
      </c>
      <c r="I601" s="4087" t="s">
        <v>3743</v>
      </c>
      <c r="J601" s="4402"/>
      <c r="K601" s="4347"/>
      <c r="L601" s="4347"/>
      <c r="M601" s="4347"/>
      <c r="N601" s="4347"/>
      <c r="O601" s="4347"/>
      <c r="P601" s="4347"/>
      <c r="Q601" s="4105"/>
      <c r="R601" s="4105"/>
      <c r="S601" s="4105"/>
      <c r="T601" s="4105"/>
      <c r="U601" s="4105"/>
      <c r="V601" s="4105"/>
      <c r="W601" s="4105"/>
      <c r="X601" s="4105"/>
      <c r="Y601" s="4105"/>
    </row>
    <row customHeight="true" ht="17.857142857142858" r="602">
      <c r="A602" s="4442" t="s">
        <v>4205</v>
      </c>
      <c r="B602" s="4443">
        <v>46255</v>
      </c>
      <c r="C602" s="4444" t="str">
        <v>Friday</v>
      </c>
      <c r="D602" s="4445" t="s">
        <v>4038</v>
      </c>
      <c r="E602" s="4446">
        <f t="shared" si="103"/>
      </c>
      <c r="F602" s="4446" t="s">
        <v>4190</v>
      </c>
      <c r="G602" s="4447"/>
      <c r="H602" s="4446" t="s">
        <v>3742</v>
      </c>
      <c r="I602" s="4446" t="s">
        <v>3743</v>
      </c>
      <c r="J602" s="4448"/>
      <c r="K602" s="4347"/>
      <c r="L602" s="4347"/>
      <c r="M602" s="4347"/>
      <c r="N602" s="4347"/>
      <c r="O602" s="4347"/>
      <c r="P602" s="4347"/>
      <c r="Q602" s="4105"/>
      <c r="R602" s="4105"/>
      <c r="S602" s="4105"/>
      <c r="T602" s="4105"/>
      <c r="U602" s="4105"/>
      <c r="V602" s="4105"/>
      <c r="W602" s="4105"/>
      <c r="X602" s="4105"/>
      <c r="Y602" s="4105"/>
    </row>
    <row customHeight="true" ht="17.857142857142858" r="603">
      <c r="A603" s="4439" t="s">
        <v>4202</v>
      </c>
      <c r="B603" s="4058">
        <v>46256</v>
      </c>
      <c r="C603" s="4057" t="str">
        <v>Saturday</v>
      </c>
      <c r="D603" s="4059" t="s">
        <v>4210</v>
      </c>
      <c r="E603" s="4060">
        <f t="shared" si="103"/>
      </c>
      <c r="F603" s="4060" t="s">
        <v>4211</v>
      </c>
      <c r="G603" s="4179"/>
      <c r="H603" s="4060" t="s">
        <v>3742</v>
      </c>
      <c r="I603" s="4060" t="s">
        <v>3743</v>
      </c>
      <c r="J603" s="4440" t="s">
        <v>4212</v>
      </c>
      <c r="K603" s="4347"/>
      <c r="L603" s="4347"/>
      <c r="M603" s="4347"/>
      <c r="N603" s="4347"/>
      <c r="O603" s="4347"/>
      <c r="P603" s="4347"/>
      <c r="Q603" s="4105"/>
      <c r="R603" s="4105"/>
      <c r="S603" s="4105"/>
      <c r="T603" s="4105"/>
      <c r="U603" s="4105"/>
      <c r="V603" s="4105"/>
      <c r="W603" s="4105"/>
      <c r="X603" s="4105"/>
      <c r="Y603" s="4105"/>
    </row>
    <row customHeight="true" ht="17.857142857142858" r="604">
      <c r="A604" s="4451" t="s">
        <v>4202</v>
      </c>
      <c r="B604" s="4042">
        <v>46256</v>
      </c>
      <c r="C604" s="4042" t="str">
        <v>Saturday</v>
      </c>
      <c r="D604" s="4047" t="s">
        <v>4213</v>
      </c>
      <c r="E604" s="4028">
        <f t="shared" si="103"/>
      </c>
      <c r="F604" s="4308" t="s">
        <v>4060</v>
      </c>
      <c r="G604" s="4055" t="s">
        <v>4214</v>
      </c>
      <c r="H604" s="4028" t="s">
        <v>3742</v>
      </c>
      <c r="I604" s="4028" t="s">
        <v>3743</v>
      </c>
      <c r="J604" s="4346"/>
      <c r="K604" s="4347"/>
      <c r="L604" s="4347"/>
      <c r="M604" s="4347"/>
      <c r="N604" s="4347"/>
      <c r="O604" s="4347"/>
      <c r="P604" s="4347"/>
    </row>
    <row customHeight="true" ht="17.857142857142858" r="605">
      <c r="A605" s="4438" t="s">
        <v>4201</v>
      </c>
      <c r="B605" s="4031">
        <v>46256</v>
      </c>
      <c r="C605" s="4042" t="str">
        <v>Saturday</v>
      </c>
      <c r="D605" s="4047" t="s">
        <v>3864</v>
      </c>
      <c r="E605" s="4028">
        <f t="shared" si="103"/>
      </c>
      <c r="F605" s="4335" t="s">
        <v>4106</v>
      </c>
      <c r="G605" s="4075"/>
      <c r="H605" s="4028" t="s">
        <v>3742</v>
      </c>
      <c r="I605" s="4028" t="s">
        <v>3743</v>
      </c>
      <c r="J605" s="4402"/>
      <c r="K605" s="4347"/>
      <c r="L605" s="4347"/>
      <c r="M605" s="4347"/>
      <c r="N605" s="4347"/>
      <c r="O605" s="4347"/>
      <c r="P605" s="4347"/>
    </row>
    <row customHeight="true" ht="17.857142857142858" r="606">
      <c r="A606" s="4438" t="s">
        <v>4205</v>
      </c>
      <c r="B606" s="4031">
        <v>46256</v>
      </c>
      <c r="C606" s="4042" t="str">
        <v>Saturday</v>
      </c>
      <c r="D606" s="4047" t="s">
        <v>3864</v>
      </c>
      <c r="E606" s="4028">
        <f t="shared" si="103"/>
      </c>
      <c r="F606" s="4335" t="s">
        <v>4060</v>
      </c>
      <c r="G606" s="4075"/>
      <c r="H606" s="4028" t="s">
        <v>3742</v>
      </c>
      <c r="I606" s="4028" t="s">
        <v>3743</v>
      </c>
      <c r="J606" s="4402"/>
      <c r="K606" s="4347"/>
      <c r="L606" s="4347"/>
      <c r="M606" s="4347"/>
      <c r="N606" s="4347"/>
      <c r="O606" s="4347"/>
      <c r="P606" s="4347"/>
    </row>
    <row customHeight="true" ht="17.857142857142858" r="607">
      <c r="A607" s="4439" t="s">
        <v>4205</v>
      </c>
      <c r="B607" s="4058">
        <v>46256</v>
      </c>
      <c r="C607" s="4057" t="str">
        <v>Saturday</v>
      </c>
      <c r="D607" s="4059" t="s">
        <v>3864</v>
      </c>
      <c r="E607" s="4060">
        <f t="shared" si="103"/>
      </c>
      <c r="F607" s="4060" t="s">
        <v>4211</v>
      </c>
      <c r="G607" s="4179"/>
      <c r="H607" s="4060" t="s">
        <v>3742</v>
      </c>
      <c r="I607" s="4060" t="s">
        <v>3743</v>
      </c>
      <c r="J607" s="4440" t="s">
        <v>4212</v>
      </c>
      <c r="K607" s="4347"/>
      <c r="L607" s="4347"/>
      <c r="M607" s="4347"/>
      <c r="N607" s="4347"/>
      <c r="O607" s="4347"/>
      <c r="P607" s="4347"/>
      <c r="Q607" s="4105"/>
      <c r="R607" s="4105"/>
      <c r="S607" s="4105"/>
      <c r="T607" s="4105"/>
      <c r="U607" s="4105"/>
      <c r="V607" s="4105"/>
      <c r="W607" s="4105"/>
      <c r="X607" s="4105"/>
      <c r="Y607" s="4105"/>
    </row>
    <row customHeight="true" ht="17.857142857142858" r="608">
      <c r="A608" s="4438" t="s">
        <v>4201</v>
      </c>
      <c r="B608" s="4031">
        <v>46257</v>
      </c>
      <c r="C608" s="4042" t="str">
        <v>Sunday</v>
      </c>
      <c r="D608" s="4160" t="s">
        <v>4038</v>
      </c>
      <c r="E608" s="4028">
        <f t="shared" si="103"/>
      </c>
      <c r="F608" s="4441" t="s">
        <v>4208</v>
      </c>
      <c r="G608" s="4075"/>
      <c r="H608" s="4028" t="s">
        <v>3742</v>
      </c>
      <c r="I608" s="4046" t="s">
        <v>3743</v>
      </c>
      <c r="J608" s="4402"/>
      <c r="K608" s="4347"/>
      <c r="L608" s="4347"/>
      <c r="M608" s="4347"/>
      <c r="N608" s="4347"/>
      <c r="O608" s="4347"/>
      <c r="P608" s="4347"/>
    </row>
    <row customHeight="true" ht="17.857142857142858" r="609">
      <c r="A609" s="4442" t="s">
        <v>4205</v>
      </c>
      <c r="B609" s="4443">
        <v>46257</v>
      </c>
      <c r="C609" s="4444" t="str">
        <v>Sunday</v>
      </c>
      <c r="D609" s="4445" t="s">
        <v>4215</v>
      </c>
      <c r="E609" s="4446">
        <f t="shared" si="103"/>
      </c>
      <c r="F609" s="4446" t="s">
        <v>4190</v>
      </c>
      <c r="G609" s="4447"/>
      <c r="H609" s="4446" t="s">
        <v>3742</v>
      </c>
      <c r="I609" s="4446" t="s">
        <v>3743</v>
      </c>
      <c r="J609" s="4448"/>
      <c r="K609" s="4347"/>
      <c r="L609" s="4347"/>
      <c r="M609" s="4347"/>
      <c r="N609" s="4347"/>
      <c r="O609" s="4347"/>
      <c r="P609" s="4347"/>
    </row>
    <row customHeight="true" ht="17.857142857142858" r="610">
      <c r="A610" s="4442"/>
      <c r="B610" s="4443"/>
      <c r="C610" s="4444"/>
      <c r="D610" s="4445"/>
      <c r="E610" s="4446"/>
      <c r="F610" s="4446"/>
      <c r="G610" s="4447"/>
      <c r="H610" s="4446"/>
      <c r="I610" s="4446"/>
      <c r="J610" s="4448"/>
      <c r="K610" s="4347"/>
      <c r="L610" s="4347"/>
      <c r="M610" s="4347"/>
      <c r="N610" s="4347"/>
      <c r="O610" s="4347"/>
      <c r="P610" s="4347"/>
    </row>
    <row r="611">
      <c r="A611" s="4042"/>
      <c r="B611" s="4028"/>
      <c r="C611" s="4028"/>
      <c r="D611" s="4045"/>
      <c r="E611" s="4028"/>
      <c r="F611" s="4028"/>
      <c r="G611" s="4382"/>
      <c r="H611" s="4028"/>
      <c r="I611" s="4028"/>
      <c r="J611" s="4380"/>
      <c r="K611" s="4030"/>
      <c r="L611" s="4030"/>
      <c r="M611" s="4030"/>
      <c r="N611" s="4030"/>
      <c r="O611" s="4030"/>
      <c r="P611" s="4030"/>
    </row>
    <row r="612">
      <c r="A612" s="4452" t="s">
        <v>4216</v>
      </c>
      <c r="B612" s="4452"/>
      <c r="C612" s="4452"/>
      <c r="D612" s="4452"/>
      <c r="E612" s="4452"/>
      <c r="F612" s="4452"/>
      <c r="G612" s="4452"/>
      <c r="H612" s="4452"/>
      <c r="I612" s="4452"/>
      <c r="J612" s="4453"/>
      <c r="K612" s="4127"/>
      <c r="L612" s="4127"/>
      <c r="M612" s="4127"/>
      <c r="N612" s="4127"/>
      <c r="O612" s="4127"/>
      <c r="P612" s="4127"/>
    </row>
    <row r="613">
      <c r="A613" s="4454" t="s">
        <v>3762</v>
      </c>
      <c r="B613" s="4455" t="s">
        <v>3763</v>
      </c>
      <c r="C613" s="4455"/>
      <c r="D613" s="4456" t="s">
        <v>3764</v>
      </c>
      <c r="E613" s="4456" t="s">
        <v>3765</v>
      </c>
      <c r="F613" s="4456" t="s">
        <v>3766</v>
      </c>
      <c r="G613" s="4457" t="s">
        <v>4217</v>
      </c>
      <c r="H613" s="4456" t="s">
        <v>3768</v>
      </c>
      <c r="I613" s="4456" t="s">
        <v>3769</v>
      </c>
      <c r="J613" s="4458"/>
      <c r="K613" s="4041"/>
      <c r="L613" s="4041"/>
      <c r="M613" s="4041"/>
      <c r="N613" s="4041"/>
      <c r="O613" s="4041"/>
      <c r="P613" s="4041"/>
    </row>
    <row r="614">
      <c r="A614" s="4042"/>
      <c r="B614" s="4042"/>
      <c r="C614" s="4042"/>
      <c r="D614" s="4028"/>
      <c r="E614" s="4028"/>
      <c r="F614" s="4028"/>
      <c r="G614" s="4166"/>
      <c r="H614" s="4028" t="s">
        <v>3742</v>
      </c>
      <c r="I614" s="4028" t="s">
        <v>3743</v>
      </c>
      <c r="J614" s="4045"/>
      <c r="K614" s="4030"/>
      <c r="L614" s="4030"/>
      <c r="M614" s="4030"/>
      <c r="N614" s="4030"/>
      <c r="O614" s="4030"/>
      <c r="P614" s="4030"/>
    </row>
    <row r="615">
      <c r="A615" s="4042"/>
      <c r="B615" s="4042"/>
      <c r="C615" s="4042"/>
      <c r="D615" s="4028"/>
      <c r="E615" s="4028"/>
      <c r="F615" s="4028"/>
      <c r="G615" s="4166"/>
      <c r="H615" s="4028" t="s">
        <v>3742</v>
      </c>
      <c r="I615" s="4028" t="s">
        <v>3743</v>
      </c>
      <c r="J615" s="4045"/>
      <c r="K615" s="4030"/>
      <c r="L615" s="4030"/>
      <c r="M615" s="4030"/>
      <c r="N615" s="4030"/>
      <c r="O615" s="4030"/>
      <c r="P615" s="4030"/>
    </row>
    <row r="616">
      <c r="A616" s="4042"/>
      <c r="B616" s="4042"/>
      <c r="C616" s="4042"/>
      <c r="D616" s="4028"/>
      <c r="E616" s="4028"/>
      <c r="F616" s="4028"/>
      <c r="G616" s="4166"/>
      <c r="H616" s="4028" t="s">
        <v>3742</v>
      </c>
      <c r="I616" s="4028" t="s">
        <v>3743</v>
      </c>
      <c r="J616" s="4045" t="s">
        <v>4218</v>
      </c>
      <c r="K616" s="4030"/>
      <c r="L616" s="4030"/>
      <c r="M616" s="4030"/>
      <c r="N616" s="4030"/>
      <c r="O616" s="4030"/>
      <c r="P616" s="4030"/>
    </row>
    <row r="617">
      <c r="A617" s="4076"/>
      <c r="B617" s="4076"/>
      <c r="C617" s="4076"/>
      <c r="D617" s="4076"/>
      <c r="E617" s="4076"/>
      <c r="F617" s="4076"/>
      <c r="G617" s="4076"/>
      <c r="H617" s="4076"/>
      <c r="I617" s="4076"/>
      <c r="J617" s="4076"/>
      <c r="K617" s="4077"/>
      <c r="L617" s="4077"/>
      <c r="M617" s="4077"/>
      <c r="N617" s="4077"/>
      <c r="O617" s="4077"/>
      <c r="P617" s="4077"/>
    </row>
    <row r="618">
      <c r="J618" s="4104"/>
      <c r="K618" s="4105"/>
      <c r="L618" s="4105"/>
      <c r="M618" s="4105"/>
      <c r="N618" s="4105"/>
      <c r="O618" s="4105"/>
      <c r="P618" s="4105"/>
    </row>
    <row r="619">
      <c r="A619" s="4076"/>
      <c r="B619" s="4076"/>
      <c r="C619" s="4076"/>
      <c r="D619" s="4076"/>
      <c r="E619" s="4076"/>
      <c r="F619" s="4076"/>
      <c r="G619" s="4076"/>
      <c r="H619" s="4287"/>
      <c r="I619" s="4076"/>
      <c r="J619" s="4076"/>
      <c r="K619" s="4077"/>
      <c r="L619" s="4077"/>
      <c r="M619" s="4077"/>
      <c r="N619" s="4077"/>
      <c r="O619" s="4077"/>
      <c r="P619" s="4077"/>
    </row>
    <row customHeight="true" ht="35.714285714285715" r="620">
      <c r="A620" s="4459" t="s">
        <v>4219</v>
      </c>
      <c r="B620" s="4459"/>
      <c r="C620" s="4459"/>
      <c r="D620" s="4459"/>
      <c r="E620" s="4459"/>
      <c r="F620" s="4459"/>
      <c r="G620" s="4459"/>
      <c r="H620" s="4459"/>
      <c r="I620" s="4459"/>
      <c r="J620" s="4459"/>
      <c r="K620" s="4035"/>
      <c r="L620" s="4035"/>
      <c r="M620" s="4035"/>
      <c r="N620" s="4035"/>
      <c r="O620" s="4035"/>
      <c r="P620" s="4035"/>
    </row>
    <row r="621">
      <c r="A621" s="4460" t="s">
        <v>3762</v>
      </c>
      <c r="B621" s="4461" t="s">
        <v>3763</v>
      </c>
      <c r="C621" s="4461"/>
      <c r="D621" s="4462" t="s">
        <v>3764</v>
      </c>
      <c r="E621" s="4463" t="s">
        <v>3765</v>
      </c>
      <c r="F621" s="4463" t="s">
        <v>3766</v>
      </c>
      <c r="G621" s="4464" t="s">
        <v>3781</v>
      </c>
      <c r="H621" s="4463" t="s">
        <v>3768</v>
      </c>
      <c r="I621" s="4463" t="s">
        <v>3769</v>
      </c>
      <c r="J621" s="4465" t="s">
        <v>3770</v>
      </c>
      <c r="K621" s="4041"/>
      <c r="L621" s="4041"/>
      <c r="M621" s="4041"/>
      <c r="N621" s="4041"/>
      <c r="O621" s="4041"/>
      <c r="P621" s="4041"/>
    </row>
    <row customHeight="true" ht="18.452380952380953" r="622">
      <c r="A622" s="4158" t="s">
        <v>4219</v>
      </c>
      <c r="B622" s="4159">
        <v>46253</v>
      </c>
      <c r="C622" s="4158" t="str">
        <v>Wednesday</v>
      </c>
      <c r="D622" s="4466" t="s">
        <v>3865</v>
      </c>
      <c r="E622" s="4467">
        <f t="shared" ref="E622:E631" si="104">24*MOD(TIMEVALUE(TRIM(MID(D622,FIND("-",D622)+1,LEN(D622)))) - TIMEVALUE(TRIM(LEFT(D622,FIND("-",D622)-1))),1)</f>
      </c>
      <c r="F622" s="4046" t="s">
        <v>3823</v>
      </c>
      <c r="G622" s="4161" t="s">
        <v>4220</v>
      </c>
      <c r="H622" s="4032" t="s">
        <v>3802</v>
      </c>
      <c r="I622" s="4087" t="s">
        <v>3743</v>
      </c>
      <c r="J622" s="4466"/>
      <c r="K622" s="4030"/>
      <c r="L622" s="4030"/>
      <c r="M622" s="4030"/>
      <c r="N622" s="4030"/>
      <c r="O622" s="4030"/>
      <c r="P622" s="4030"/>
    </row>
    <row customHeight="true" ht="18.452380952380953" r="623">
      <c r="A623" s="4158" t="s">
        <v>4219</v>
      </c>
      <c r="B623" s="4159">
        <v>46253</v>
      </c>
      <c r="C623" s="4158" t="str">
        <v>Wednesday</v>
      </c>
      <c r="D623" s="4466" t="s">
        <v>4221</v>
      </c>
      <c r="E623" s="4467">
        <f t="shared" si="104"/>
      </c>
      <c r="F623" s="4032" t="s">
        <v>3807</v>
      </c>
      <c r="G623" s="4161" t="s">
        <v>4220</v>
      </c>
      <c r="H623" s="4032" t="s">
        <v>3802</v>
      </c>
      <c r="I623" s="4087" t="s">
        <v>3743</v>
      </c>
      <c r="J623" s="4466"/>
      <c r="K623" s="4030"/>
      <c r="L623" s="4030"/>
      <c r="M623" s="4030"/>
      <c r="N623" s="4030"/>
      <c r="O623" s="4030"/>
      <c r="P623" s="4030"/>
    </row>
    <row r="624">
      <c r="A624" s="4158" t="s">
        <v>4219</v>
      </c>
      <c r="B624" s="4159">
        <v>46254</v>
      </c>
      <c r="C624" s="4158" t="str">
        <v>Thursday</v>
      </c>
      <c r="D624" s="4160" t="s">
        <v>4222</v>
      </c>
      <c r="E624" s="4032">
        <f t="shared" si="104"/>
      </c>
      <c r="F624" s="4032" t="s">
        <v>3807</v>
      </c>
      <c r="G624" s="4161" t="s">
        <v>4223</v>
      </c>
      <c r="H624" s="4032" t="s">
        <v>3802</v>
      </c>
      <c r="I624" s="4087" t="s">
        <v>3743</v>
      </c>
      <c r="J624" s="4361"/>
      <c r="K624" s="4030"/>
      <c r="L624" s="4030"/>
      <c r="M624" s="4030"/>
      <c r="N624" s="4030"/>
      <c r="O624" s="4030"/>
      <c r="P624" s="4030"/>
    </row>
    <row customHeight="true" ht="18.452380952380953" r="625">
      <c r="A625" s="4158" t="s">
        <v>4219</v>
      </c>
      <c r="B625" s="4159">
        <v>46254</v>
      </c>
      <c r="C625" s="4158" t="str">
        <v>Thursday</v>
      </c>
      <c r="D625" s="4160" t="s">
        <v>4224</v>
      </c>
      <c r="E625" s="4032">
        <f t="shared" si="104"/>
      </c>
      <c r="F625" s="4032" t="s">
        <v>4114</v>
      </c>
      <c r="G625" s="4161" t="s">
        <v>4225</v>
      </c>
      <c r="H625" s="4032" t="s">
        <v>3802</v>
      </c>
      <c r="I625" s="4087" t="s">
        <v>3743</v>
      </c>
      <c r="J625" s="4361"/>
      <c r="K625" s="4030"/>
      <c r="L625" s="4030"/>
      <c r="M625" s="4030"/>
      <c r="N625" s="4030"/>
      <c r="O625" s="4030"/>
      <c r="P625" s="4030"/>
    </row>
    <row customHeight="true" ht="18.452380952380953" r="626">
      <c r="A626" s="4158" t="s">
        <v>4219</v>
      </c>
      <c r="B626" s="4159">
        <v>46255</v>
      </c>
      <c r="C626" s="4158" t="str">
        <v>Friday</v>
      </c>
      <c r="D626" s="4160" t="s">
        <v>3888</v>
      </c>
      <c r="E626" s="4032">
        <f t="shared" si="104"/>
      </c>
      <c r="F626" s="4032" t="s">
        <v>3823</v>
      </c>
      <c r="G626" s="4161" t="s">
        <v>4225</v>
      </c>
      <c r="H626" s="4032" t="s">
        <v>3802</v>
      </c>
      <c r="I626" s="4250" t="s">
        <v>3743</v>
      </c>
      <c r="J626" s="4361"/>
      <c r="K626" s="4030"/>
      <c r="L626" s="4030"/>
      <c r="M626" s="4030"/>
      <c r="N626" s="4030"/>
      <c r="O626" s="4030"/>
      <c r="P626" s="4030"/>
    </row>
    <row customHeight="true" ht="18.452380952380953" r="627">
      <c r="A627" s="4158" t="s">
        <v>4219</v>
      </c>
      <c r="B627" s="4159">
        <v>46255</v>
      </c>
      <c r="C627" s="4158" t="str">
        <v>Friday</v>
      </c>
      <c r="D627" s="4160" t="s">
        <v>3865</v>
      </c>
      <c r="E627" s="4032">
        <f t="shared" si="104"/>
      </c>
      <c r="F627" s="4032" t="s">
        <v>4111</v>
      </c>
      <c r="G627" s="4161" t="s">
        <v>4225</v>
      </c>
      <c r="H627" s="4032" t="s">
        <v>3802</v>
      </c>
      <c r="I627" s="4087" t="s">
        <v>3743</v>
      </c>
      <c r="J627" s="4361"/>
      <c r="K627" s="4030"/>
      <c r="L627" s="4030"/>
      <c r="M627" s="4030"/>
      <c r="N627" s="4030"/>
      <c r="O627" s="4030"/>
      <c r="P627" s="4030"/>
    </row>
    <row customHeight="true" ht="18.452380952380953" r="628">
      <c r="A628" s="4158" t="s">
        <v>4219</v>
      </c>
      <c r="B628" s="4159">
        <v>46256</v>
      </c>
      <c r="C628" s="4158" t="str">
        <v>Saturday</v>
      </c>
      <c r="D628" s="4160" t="s">
        <v>4226</v>
      </c>
      <c r="E628" s="4032">
        <f t="shared" si="104"/>
      </c>
      <c r="F628" s="4032" t="s">
        <v>3807</v>
      </c>
      <c r="G628" s="4161" t="s">
        <v>4223</v>
      </c>
      <c r="H628" s="4032" t="s">
        <v>3802</v>
      </c>
      <c r="I628" s="4087" t="s">
        <v>3743</v>
      </c>
      <c r="J628" s="4361"/>
      <c r="K628" s="4030"/>
      <c r="L628" s="4030"/>
      <c r="M628" s="4030"/>
      <c r="N628" s="4030"/>
      <c r="O628" s="4030"/>
      <c r="P628" s="4030"/>
    </row>
    <row r="629">
      <c r="A629" s="4158" t="s">
        <v>4219</v>
      </c>
      <c r="B629" s="4159">
        <v>46256</v>
      </c>
      <c r="C629" s="4158" t="str">
        <v>Saturday</v>
      </c>
      <c r="D629" s="4160" t="s">
        <v>4025</v>
      </c>
      <c r="E629" s="4032">
        <f t="shared" si="104"/>
      </c>
      <c r="F629" s="4032" t="s">
        <v>3807</v>
      </c>
      <c r="G629" s="4161" t="s">
        <v>4227</v>
      </c>
      <c r="H629" s="4032" t="s">
        <v>3802</v>
      </c>
      <c r="I629" s="4087" t="s">
        <v>3743</v>
      </c>
      <c r="J629" s="4361"/>
      <c r="K629" s="4030"/>
      <c r="L629" s="4030"/>
      <c r="M629" s="4030"/>
      <c r="N629" s="4030"/>
      <c r="O629" s="4030"/>
      <c r="P629" s="4030"/>
    </row>
    <row customHeight="true" ht="18.452380952380953" r="630">
      <c r="A630" s="4158" t="s">
        <v>4219</v>
      </c>
      <c r="B630" s="4159">
        <v>46257</v>
      </c>
      <c r="C630" s="4158" t="str">
        <v>Sunday</v>
      </c>
      <c r="D630" s="4160" t="s">
        <v>4228</v>
      </c>
      <c r="E630" s="4032">
        <f t="shared" si="104"/>
      </c>
      <c r="F630" s="4032" t="s">
        <v>3823</v>
      </c>
      <c r="G630" s="4161" t="s">
        <v>4225</v>
      </c>
      <c r="H630" s="4032" t="s">
        <v>3802</v>
      </c>
      <c r="I630" s="4250" t="s">
        <v>3743</v>
      </c>
      <c r="J630" s="4361"/>
      <c r="K630" s="4030"/>
      <c r="L630" s="4030"/>
      <c r="M630" s="4030"/>
      <c r="N630" s="4030"/>
      <c r="O630" s="4030"/>
      <c r="P630" s="4030"/>
    </row>
    <row customHeight="true" ht="18.452380952380953" r="631">
      <c r="A631" s="4057" t="s">
        <v>4219</v>
      </c>
      <c r="B631" s="4058">
        <v>46257</v>
      </c>
      <c r="C631" s="4057" t="str">
        <v>Sunday</v>
      </c>
      <c r="D631" s="4059" t="s">
        <v>4224</v>
      </c>
      <c r="E631" s="4060">
        <f t="shared" si="104"/>
      </c>
      <c r="F631" s="4060" t="s">
        <v>3807</v>
      </c>
      <c r="G631" s="4061" t="s">
        <v>4223</v>
      </c>
      <c r="H631" s="4060" t="s">
        <v>3802</v>
      </c>
      <c r="I631" s="4102" t="s">
        <v>3743</v>
      </c>
      <c r="J631" s="4468" t="s">
        <v>3841</v>
      </c>
      <c r="K631" s="4064"/>
      <c r="L631" s="4064"/>
      <c r="M631" s="4064"/>
      <c r="N631" s="4064"/>
      <c r="O631" s="4064"/>
      <c r="P631" s="4064"/>
      <c r="Q631" s="4065"/>
      <c r="R631" s="4065"/>
      <c r="S631" s="4065"/>
      <c r="T631" s="4065"/>
      <c r="U631" s="4065"/>
      <c r="V631" s="4065"/>
      <c r="W631" s="4065"/>
      <c r="X631" s="4065"/>
      <c r="Y631" s="4065"/>
    </row>
    <row r="632">
      <c r="A632" s="4042"/>
      <c r="B632" s="4042"/>
      <c r="C632" s="4042"/>
      <c r="D632" s="4028"/>
      <c r="E632" s="4028"/>
      <c r="F632" s="4028"/>
      <c r="G632" s="4166"/>
      <c r="H632" s="4046"/>
      <c r="I632" s="4029"/>
      <c r="J632" s="4469"/>
      <c r="K632" s="4030"/>
      <c r="L632" s="4030"/>
      <c r="M632" s="4030"/>
      <c r="N632" s="4030"/>
      <c r="O632" s="4030"/>
      <c r="P632" s="4030"/>
    </row>
    <row r="633">
      <c r="A633" s="4348" t="s">
        <v>4229</v>
      </c>
      <c r="B633" s="4349">
        <v>46254</v>
      </c>
      <c r="C633" s="4348" t="str">
        <v>Thursday</v>
      </c>
      <c r="D633" s="4227" t="s">
        <v>4230</v>
      </c>
      <c r="E633" s="4350">
        <f t="shared" ref="E633:E640" si="105">24*MOD(TIMEVALUE(TRIM(MID(D633,FIND("-",D633)+1,LEN(D633)))) - TIMEVALUE(TRIM(LEFT(D633,FIND("-",D633)-1))),1)</f>
      </c>
      <c r="F633" s="4350" t="s">
        <v>4231</v>
      </c>
      <c r="G633" s="4351"/>
      <c r="H633" s="4350" t="s">
        <v>3802</v>
      </c>
      <c r="I633" s="4350" t="s">
        <v>3743</v>
      </c>
      <c r="J633" s="4360"/>
      <c r="K633" s="4030"/>
      <c r="L633" s="4030"/>
      <c r="M633" s="4030"/>
      <c r="N633" s="4030"/>
      <c r="O633" s="4030"/>
      <c r="P633" s="4030"/>
    </row>
    <row customHeight="true" ht="18.452380952380953" r="634">
      <c r="A634" s="4348" t="s">
        <v>4229</v>
      </c>
      <c r="B634" s="4349">
        <v>46254</v>
      </c>
      <c r="C634" s="4348" t="str">
        <v>Thursday</v>
      </c>
      <c r="D634" s="4227" t="s">
        <v>3865</v>
      </c>
      <c r="E634" s="4350">
        <f t="shared" si="105"/>
      </c>
      <c r="F634" s="4350" t="s">
        <v>4225</v>
      </c>
      <c r="G634" s="4351"/>
      <c r="H634" s="4350" t="s">
        <v>3802</v>
      </c>
      <c r="I634" s="4350" t="s">
        <v>3743</v>
      </c>
      <c r="J634" s="4360"/>
      <c r="K634" s="4030"/>
      <c r="L634" s="4030"/>
      <c r="M634" s="4030"/>
      <c r="N634" s="4030"/>
      <c r="O634" s="4030"/>
      <c r="P634" s="4030"/>
    </row>
    <row customHeight="true" ht="18.452380952380953" r="635">
      <c r="A635" s="4348" t="s">
        <v>4229</v>
      </c>
      <c r="B635" s="4349">
        <v>46255</v>
      </c>
      <c r="C635" s="4348" t="str">
        <v>Friday</v>
      </c>
      <c r="D635" s="4227" t="s">
        <v>4232</v>
      </c>
      <c r="E635" s="4356">
        <f t="shared" si="105"/>
      </c>
      <c r="F635" s="4350" t="s">
        <v>4225</v>
      </c>
      <c r="G635" s="4470" t="s">
        <v>4233</v>
      </c>
      <c r="H635" s="4350" t="s">
        <v>3802</v>
      </c>
      <c r="I635" s="4350" t="s">
        <v>3743</v>
      </c>
      <c r="J635" s="4352"/>
      <c r="K635" s="4347"/>
      <c r="L635" s="4347"/>
      <c r="M635" s="4347"/>
      <c r="N635" s="4347"/>
      <c r="O635" s="4347"/>
      <c r="P635" s="4347"/>
    </row>
    <row r="636">
      <c r="A636" s="4348" t="s">
        <v>4229</v>
      </c>
      <c r="B636" s="4349">
        <v>46256</v>
      </c>
      <c r="C636" s="4348" t="str">
        <v>Saturday</v>
      </c>
      <c r="D636" s="4227" t="s">
        <v>4226</v>
      </c>
      <c r="E636" s="4350">
        <f t="shared" si="105"/>
      </c>
      <c r="F636" s="4350" t="s">
        <v>4231</v>
      </c>
      <c r="G636" s="4358"/>
      <c r="H636" s="4350" t="s">
        <v>3802</v>
      </c>
      <c r="I636" s="4350" t="s">
        <v>3743</v>
      </c>
      <c r="J636" s="4360"/>
      <c r="K636" s="4030"/>
      <c r="L636" s="4030"/>
      <c r="M636" s="4030"/>
      <c r="N636" s="4030"/>
      <c r="O636" s="4030"/>
      <c r="P636" s="4030"/>
    </row>
    <row r="637">
      <c r="A637" s="4348" t="s">
        <v>4229</v>
      </c>
      <c r="B637" s="4349">
        <v>46256</v>
      </c>
      <c r="C637" s="4348" t="str">
        <v>Saturday</v>
      </c>
      <c r="D637" s="4227" t="s">
        <v>4234</v>
      </c>
      <c r="E637" s="4350">
        <f t="shared" si="105"/>
      </c>
      <c r="F637" s="4350" t="s">
        <v>4235</v>
      </c>
      <c r="G637" s="4351"/>
      <c r="H637" s="4350" t="s">
        <v>3802</v>
      </c>
      <c r="I637" s="4350" t="s">
        <v>3743</v>
      </c>
      <c r="J637" s="4360"/>
      <c r="K637" s="4030"/>
      <c r="L637" s="4030"/>
      <c r="M637" s="4030"/>
      <c r="N637" s="4030"/>
      <c r="O637" s="4030"/>
      <c r="P637" s="4030"/>
    </row>
    <row customHeight="true" ht="18.452380952380953" r="638">
      <c r="A638" s="4348" t="s">
        <v>4229</v>
      </c>
      <c r="B638" s="4349">
        <v>46257</v>
      </c>
      <c r="C638" s="4348" t="str">
        <v>Sunday</v>
      </c>
      <c r="D638" s="4227" t="s">
        <v>4228</v>
      </c>
      <c r="E638" s="4350">
        <f t="shared" si="105"/>
      </c>
      <c r="F638" s="4350" t="s">
        <v>4225</v>
      </c>
      <c r="G638" s="4351"/>
      <c r="H638" s="4350" t="s">
        <v>3802</v>
      </c>
      <c r="I638" s="4350" t="s">
        <v>3743</v>
      </c>
      <c r="J638" s="4360"/>
      <c r="K638" s="4030"/>
      <c r="L638" s="4030"/>
      <c r="M638" s="4030"/>
      <c r="N638" s="4030"/>
      <c r="O638" s="4030"/>
      <c r="P638" s="4030"/>
    </row>
    <row customHeight="true" ht="18.452380952380953" r="639">
      <c r="A639" s="4057" t="s">
        <v>4229</v>
      </c>
      <c r="B639" s="4058">
        <v>46257</v>
      </c>
      <c r="C639" s="4057" t="str">
        <v>Sunday</v>
      </c>
      <c r="D639" s="4059" t="s">
        <v>4224</v>
      </c>
      <c r="E639" s="4060">
        <f t="shared" si="105"/>
      </c>
      <c r="F639" s="4060" t="s">
        <v>4231</v>
      </c>
      <c r="G639" s="4061"/>
      <c r="H639" s="4060" t="s">
        <v>3802</v>
      </c>
      <c r="I639" s="4060" t="s">
        <v>3743</v>
      </c>
      <c r="J639" s="4306" t="s">
        <v>4236</v>
      </c>
      <c r="K639" s="4064"/>
      <c r="L639" s="4064"/>
      <c r="M639" s="4064"/>
      <c r="N639" s="4064"/>
      <c r="O639" s="4064"/>
      <c r="P639" s="4064"/>
      <c r="Q639" s="4065"/>
      <c r="R639" s="4065"/>
      <c r="S639" s="4065"/>
      <c r="T639" s="4065"/>
      <c r="U639" s="4065"/>
      <c r="V639" s="4065"/>
      <c r="W639" s="4065"/>
      <c r="X639" s="4065"/>
      <c r="Y639" s="4065"/>
    </row>
    <row customHeight="true" ht="18.452380952380953" r="640">
      <c r="A640" s="4348" t="s">
        <v>4229</v>
      </c>
      <c r="B640" s="4349">
        <v>46257</v>
      </c>
      <c r="C640" s="4348" t="str">
        <v>Sunday</v>
      </c>
      <c r="D640" s="4227"/>
      <c r="E640" s="4350">
        <f t="shared" si="105"/>
      </c>
      <c r="F640" s="4350"/>
      <c r="G640" s="4351"/>
      <c r="H640" s="4350" t="s">
        <v>3802</v>
      </c>
      <c r="I640" s="4350" t="s">
        <v>3743</v>
      </c>
      <c r="J640" s="4360"/>
      <c r="K640" s="4030"/>
      <c r="L640" s="4030"/>
      <c r="M640" s="4030"/>
      <c r="N640" s="4030"/>
      <c r="O640" s="4030"/>
      <c r="P640" s="4030"/>
    </row>
    <row r="641">
      <c r="A641" s="4042"/>
      <c r="B641" s="4042"/>
      <c r="C641" s="4042"/>
      <c r="D641" s="4046"/>
      <c r="E641" s="4046"/>
      <c r="F641" s="4046"/>
      <c r="G641" s="4075"/>
      <c r="H641" s="4046"/>
      <c r="I641" s="4032"/>
      <c r="J641" s="4029"/>
      <c r="K641" s="4030"/>
      <c r="L641" s="4030"/>
      <c r="M641" s="4030"/>
      <c r="N641" s="4030"/>
      <c r="O641" s="4030"/>
      <c r="P641" s="4030"/>
    </row>
    <row customHeight="true" ht="18.452380952380953" r="642">
      <c r="A642" s="4348" t="s">
        <v>4237</v>
      </c>
      <c r="B642" s="4349">
        <v>46252</v>
      </c>
      <c r="C642" s="4348" t="str">
        <v>Tuesday</v>
      </c>
      <c r="D642" s="4371" t="s">
        <v>3865</v>
      </c>
      <c r="E642" s="4350">
        <f t="shared" ref="E642:E647" si="106">24*MOD(TIMEVALUE(TRIM(MID(D642,FIND("-",D642)+1,LEN(D642)))) - TIMEVALUE(TRIM(LEFT(D642,FIND("-",D642)-1))),1)</f>
      </c>
      <c r="F642" s="4228" t="s">
        <v>4111</v>
      </c>
      <c r="G642" s="4351" t="s">
        <v>4238</v>
      </c>
      <c r="H642" s="4350" t="s">
        <v>3802</v>
      </c>
      <c r="I642" s="4350" t="s">
        <v>3743</v>
      </c>
      <c r="J642" s="4360"/>
      <c r="K642" s="4030"/>
      <c r="L642" s="4030"/>
      <c r="M642" s="4030"/>
      <c r="N642" s="4030"/>
      <c r="O642" s="4030"/>
      <c r="P642" s="4030"/>
    </row>
    <row customHeight="true" ht="18.452380952380953" r="643">
      <c r="A643" s="4348" t="s">
        <v>4237</v>
      </c>
      <c r="B643" s="4349">
        <v>46253</v>
      </c>
      <c r="C643" s="4348" t="str">
        <v>Wednesday</v>
      </c>
      <c r="D643" s="4371" t="s">
        <v>3888</v>
      </c>
      <c r="E643" s="4350">
        <f t="shared" si="106"/>
      </c>
      <c r="F643" s="4228" t="s">
        <v>3823</v>
      </c>
      <c r="G643" s="4358"/>
      <c r="H643" s="4350" t="s">
        <v>3802</v>
      </c>
      <c r="I643" s="4350" t="s">
        <v>3743</v>
      </c>
      <c r="J643" s="4360"/>
      <c r="K643" s="4030"/>
      <c r="L643" s="4030"/>
      <c r="M643" s="4030"/>
      <c r="N643" s="4030"/>
      <c r="O643" s="4030"/>
      <c r="P643" s="4030"/>
    </row>
    <row customHeight="true" ht="18.452380952380953" r="644">
      <c r="A644" s="4348" t="s">
        <v>4237</v>
      </c>
      <c r="B644" s="4349">
        <v>46253</v>
      </c>
      <c r="C644" s="4348" t="str">
        <v>Wednesday</v>
      </c>
      <c r="D644" s="4371" t="s">
        <v>3865</v>
      </c>
      <c r="E644" s="4350">
        <f t="shared" si="106"/>
      </c>
      <c r="F644" s="4228" t="s">
        <v>4111</v>
      </c>
      <c r="G644" s="4358"/>
      <c r="H644" s="4350" t="s">
        <v>3802</v>
      </c>
      <c r="I644" s="4350" t="s">
        <v>3743</v>
      </c>
      <c r="J644" s="4360"/>
      <c r="K644" s="4030"/>
      <c r="L644" s="4030"/>
      <c r="M644" s="4030"/>
      <c r="N644" s="4030"/>
      <c r="O644" s="4030"/>
      <c r="P644" s="4030"/>
    </row>
    <row customHeight="true" ht="18.452380952380953" r="645">
      <c r="A645" s="4348" t="s">
        <v>4237</v>
      </c>
      <c r="B645" s="4349">
        <v>46254</v>
      </c>
      <c r="C645" s="4348" t="str">
        <v>Thursday</v>
      </c>
      <c r="D645" s="4371" t="s">
        <v>4239</v>
      </c>
      <c r="E645" s="4350">
        <f t="shared" si="106"/>
      </c>
      <c r="F645" s="4228" t="s">
        <v>3747</v>
      </c>
      <c r="G645" s="4358"/>
      <c r="H645" s="4350" t="s">
        <v>3802</v>
      </c>
      <c r="I645" s="4350" t="s">
        <v>3743</v>
      </c>
      <c r="J645" s="4360"/>
      <c r="K645" s="4030"/>
      <c r="L645" s="4030"/>
      <c r="M645" s="4030"/>
      <c r="N645" s="4030"/>
      <c r="O645" s="4030"/>
      <c r="P645" s="4030"/>
    </row>
    <row customHeight="true" ht="18.452380952380953" r="646">
      <c r="A646" s="4348" t="s">
        <v>4237</v>
      </c>
      <c r="B646" s="4349">
        <v>46256</v>
      </c>
      <c r="C646" s="4348" t="str">
        <v>Saturday</v>
      </c>
      <c r="D646" s="4371" t="s">
        <v>4016</v>
      </c>
      <c r="E646" s="4350">
        <f t="shared" si="106"/>
      </c>
      <c r="F646" s="4228" t="s">
        <v>3747</v>
      </c>
      <c r="G646" s="4358"/>
      <c r="H646" s="4350" t="s">
        <v>3802</v>
      </c>
      <c r="I646" s="4350" t="s">
        <v>3743</v>
      </c>
      <c r="J646" s="4360"/>
      <c r="K646" s="4030"/>
      <c r="L646" s="4030"/>
      <c r="M646" s="4030"/>
      <c r="N646" s="4030"/>
      <c r="O646" s="4030"/>
      <c r="P646" s="4030"/>
    </row>
    <row customHeight="true" ht="18.452380952380953" r="647">
      <c r="A647" s="4348" t="s">
        <v>4237</v>
      </c>
      <c r="B647" s="4349">
        <v>46256</v>
      </c>
      <c r="C647" s="4348" t="str">
        <v>Saturday</v>
      </c>
      <c r="D647" s="4371" t="s">
        <v>4240</v>
      </c>
      <c r="E647" s="4350">
        <f t="shared" si="106"/>
      </c>
      <c r="F647" s="4228" t="s">
        <v>3747</v>
      </c>
      <c r="G647" s="4358"/>
      <c r="H647" s="4350" t="s">
        <v>3802</v>
      </c>
      <c r="I647" s="4350" t="s">
        <v>3743</v>
      </c>
      <c r="J647" s="4360"/>
      <c r="K647" s="4030"/>
      <c r="L647" s="4030"/>
      <c r="M647" s="4030"/>
      <c r="N647" s="4030"/>
      <c r="O647" s="4030"/>
      <c r="P647" s="4030"/>
    </row>
    <row r="648">
      <c r="A648" s="4042"/>
      <c r="B648" s="4042"/>
      <c r="C648" s="4042"/>
      <c r="D648" s="4046"/>
      <c r="E648" s="4028"/>
      <c r="F648" s="4046"/>
      <c r="G648" s="4075"/>
      <c r="H648" s="4404"/>
      <c r="I648" s="4046"/>
      <c r="J648" s="4029"/>
      <c r="K648" s="4030"/>
      <c r="L648" s="4030"/>
      <c r="M648" s="4030"/>
      <c r="N648" s="4030"/>
      <c r="O648" s="4030"/>
      <c r="P648" s="4030"/>
    </row>
    <row customHeight="true" ht="38.17663024813209" r="649">
      <c r="A649" s="4471" t="s">
        <v>4241</v>
      </c>
      <c r="B649" s="4471"/>
      <c r="C649" s="4471"/>
      <c r="D649" s="4471"/>
      <c r="E649" s="4471"/>
      <c r="F649" s="4471"/>
      <c r="G649" s="4471"/>
      <c r="H649" s="4471"/>
      <c r="I649" s="4471"/>
      <c r="J649" s="4471"/>
      <c r="K649" s="4030"/>
      <c r="L649" s="4030"/>
      <c r="M649" s="4030"/>
      <c r="N649" s="4030"/>
      <c r="O649" s="4030"/>
      <c r="P649" s="4030"/>
    </row>
    <row customHeight="true" ht="41.74805881955417" r="650">
      <c r="A650" s="4472" t="s">
        <v>3762</v>
      </c>
      <c r="B650" s="4473" t="s">
        <v>3763</v>
      </c>
      <c r="C650" s="4473"/>
      <c r="D650" s="4474" t="s">
        <v>3764</v>
      </c>
      <c r="E650" s="4475" t="s">
        <v>3765</v>
      </c>
      <c r="F650" s="4475" t="s">
        <v>3766</v>
      </c>
      <c r="G650" s="4476" t="s">
        <v>3781</v>
      </c>
      <c r="H650" s="4475" t="s">
        <v>3768</v>
      </c>
      <c r="I650" s="4475" t="s">
        <v>3769</v>
      </c>
      <c r="J650" s="4477" t="s">
        <v>3770</v>
      </c>
      <c r="K650" s="4030"/>
      <c r="L650" s="4030"/>
      <c r="M650" s="4030"/>
      <c r="N650" s="4030"/>
      <c r="O650" s="4030"/>
      <c r="P650" s="4030"/>
    </row>
    <row customHeight="true" ht="16.071428571428573" r="651">
      <c r="A651" s="4042" t="s">
        <v>4241</v>
      </c>
      <c r="B651" s="4031">
        <v>46253</v>
      </c>
      <c r="C651" s="4042" t="str">
        <v>Wednesday</v>
      </c>
      <c r="D651" s="4160" t="s">
        <v>3867</v>
      </c>
      <c r="E651" s="4032">
        <f t="shared" ref="E651:E655" si="107">24*MOD(TIMEVALUE(TRIM(MID(D651,FIND("-",D651)+1,LEN(D651)))) - TIMEVALUE(TRIM(LEFT(D651,FIND("-",D651)-1))),1)</f>
      </c>
      <c r="F651" s="4046" t="s">
        <v>4114</v>
      </c>
      <c r="G651" s="4055" t="s">
        <v>4242</v>
      </c>
      <c r="H651" s="4032" t="s">
        <v>3802</v>
      </c>
      <c r="I651" s="4087" t="s">
        <v>3743</v>
      </c>
      <c r="J651" s="4029"/>
      <c r="K651" s="4030"/>
      <c r="L651" s="4030"/>
      <c r="M651" s="4030"/>
      <c r="N651" s="4030"/>
      <c r="O651" s="4030"/>
      <c r="P651" s="4030"/>
    </row>
    <row customHeight="true" ht="16.071428571428573" r="652">
      <c r="A652" s="4042" t="s">
        <v>4241</v>
      </c>
      <c r="B652" s="4031">
        <v>46254</v>
      </c>
      <c r="C652" s="4042" t="str">
        <v>Thursday</v>
      </c>
      <c r="D652" s="4160" t="s">
        <v>3947</v>
      </c>
      <c r="E652" s="4032">
        <f t="shared" si="107"/>
      </c>
      <c r="F652" s="4046" t="s">
        <v>4114</v>
      </c>
      <c r="G652" s="4055" t="s">
        <v>4242</v>
      </c>
      <c r="H652" s="4032" t="s">
        <v>3802</v>
      </c>
      <c r="I652" s="4087" t="s">
        <v>3743</v>
      </c>
      <c r="J652" s="4029"/>
      <c r="K652" s="4030"/>
      <c r="L652" s="4030"/>
      <c r="M652" s="4030"/>
      <c r="N652" s="4030"/>
      <c r="O652" s="4030"/>
      <c r="P652" s="4030"/>
    </row>
    <row customHeight="true" ht="16.071428571428573" r="653">
      <c r="A653" s="4042" t="s">
        <v>4241</v>
      </c>
      <c r="B653" s="4031">
        <v>46255</v>
      </c>
      <c r="C653" s="4042" t="str">
        <v>Friday</v>
      </c>
      <c r="D653" s="4160" t="s">
        <v>4121</v>
      </c>
      <c r="E653" s="4032">
        <f t="shared" si="107"/>
      </c>
      <c r="F653" s="4046" t="s">
        <v>4144</v>
      </c>
      <c r="G653" s="4055" t="s">
        <v>4242</v>
      </c>
      <c r="H653" s="4032" t="s">
        <v>3802</v>
      </c>
      <c r="I653" s="4046" t="s">
        <v>3743</v>
      </c>
      <c r="J653" s="4029"/>
      <c r="K653" s="4030"/>
      <c r="L653" s="4030"/>
      <c r="M653" s="4030"/>
      <c r="N653" s="4030"/>
      <c r="O653" s="4030"/>
      <c r="P653" s="4030"/>
    </row>
    <row customHeight="true" ht="16.071428571428573" r="654">
      <c r="A654" s="4042" t="s">
        <v>4241</v>
      </c>
      <c r="B654" s="4031">
        <v>46256</v>
      </c>
      <c r="C654" s="4042" t="str">
        <v>Saturday</v>
      </c>
      <c r="D654" s="4160" t="s">
        <v>4243</v>
      </c>
      <c r="E654" s="4032">
        <f t="shared" si="107"/>
      </c>
      <c r="F654" s="4032" t="s">
        <v>3807</v>
      </c>
      <c r="G654" s="4055" t="s">
        <v>4225</v>
      </c>
      <c r="H654" s="4032" t="s">
        <v>3802</v>
      </c>
      <c r="I654" s="4087" t="s">
        <v>3743</v>
      </c>
      <c r="J654" s="4029"/>
      <c r="K654" s="4030"/>
      <c r="L654" s="4030"/>
      <c r="M654" s="4030"/>
      <c r="N654" s="4030"/>
      <c r="O654" s="4030"/>
      <c r="P654" s="4030"/>
    </row>
    <row customHeight="true" ht="16.071428571428573" r="655">
      <c r="A655" s="4042" t="s">
        <v>4241</v>
      </c>
      <c r="B655" s="4031">
        <v>46257</v>
      </c>
      <c r="C655" s="4042" t="str">
        <v>Sunday</v>
      </c>
      <c r="D655" s="4160" t="s">
        <v>3867</v>
      </c>
      <c r="E655" s="4032">
        <f t="shared" si="107"/>
      </c>
      <c r="F655" s="4046" t="s">
        <v>3823</v>
      </c>
      <c r="G655" s="4055" t="s">
        <v>4225</v>
      </c>
      <c r="H655" s="4032" t="s">
        <v>3802</v>
      </c>
      <c r="I655" s="4046" t="s">
        <v>3743</v>
      </c>
      <c r="J655" s="4029"/>
      <c r="K655" s="4030"/>
      <c r="L655" s="4030"/>
      <c r="M655" s="4030"/>
      <c r="N655" s="4030"/>
      <c r="O655" s="4030"/>
      <c r="P655" s="4030"/>
    </row>
    <row customHeight="true" ht="16.071428571428573" r="656">
      <c r="A656" s="4042"/>
      <c r="B656" s="4042"/>
      <c r="C656" s="4042"/>
      <c r="D656" s="4046"/>
      <c r="E656" s="4032"/>
      <c r="F656" s="4046"/>
      <c r="G656" s="4075"/>
      <c r="H656" s="4404"/>
      <c r="I656" s="4046"/>
      <c r="J656" s="4029"/>
      <c r="K656" s="4030"/>
      <c r="L656" s="4030"/>
      <c r="M656" s="4030"/>
      <c r="N656" s="4030"/>
      <c r="O656" s="4030"/>
      <c r="P656" s="4030"/>
    </row>
    <row customHeight="true" ht="16.071428571428573" r="657">
      <c r="A657" s="4225" t="s">
        <v>4244</v>
      </c>
      <c r="B657" s="4226">
        <v>46253</v>
      </c>
      <c r="C657" s="4225" t="str">
        <v>Wednesday</v>
      </c>
      <c r="D657" s="4227" t="s">
        <v>4245</v>
      </c>
      <c r="E657" s="4228">
        <f t="shared" ref="E657:E661" si="108">24*MOD(TIMEVALUE(TRIM(MID(D657,FIND("-",D657)+1,LEN(D657)))) - TIMEVALUE(TRIM(LEFT(D657,FIND("-",D657)-1))),1)</f>
      </c>
      <c r="F657" s="4350" t="s">
        <v>4127</v>
      </c>
      <c r="G657" s="4355"/>
      <c r="H657" s="4228" t="s">
        <v>3802</v>
      </c>
      <c r="I657" s="4228" t="s">
        <v>3743</v>
      </c>
      <c r="J657" s="4478"/>
      <c r="K657" s="4231"/>
      <c r="L657" s="4231"/>
      <c r="M657" s="4231"/>
      <c r="N657" s="4231"/>
      <c r="O657" s="4231"/>
      <c r="P657" s="4231"/>
      <c r="Q657" s="4232"/>
      <c r="R657" s="4232"/>
      <c r="S657" s="4232"/>
      <c r="T657" s="4232"/>
      <c r="U657" s="4232"/>
      <c r="V657" s="4232"/>
      <c r="W657" s="4232"/>
      <c r="X657" s="4232"/>
      <c r="Y657" s="4232"/>
    </row>
    <row customHeight="true" ht="16.071428571428573" r="658">
      <c r="A658" s="4225" t="s">
        <v>4244</v>
      </c>
      <c r="B658" s="4226">
        <v>46254</v>
      </c>
      <c r="C658" s="4225" t="str">
        <v>Thursday</v>
      </c>
      <c r="D658" s="4227" t="s">
        <v>4246</v>
      </c>
      <c r="E658" s="4228">
        <f t="shared" si="108"/>
      </c>
      <c r="F658" s="4350" t="s">
        <v>4127</v>
      </c>
      <c r="G658" s="4355"/>
      <c r="H658" s="4228" t="s">
        <v>3802</v>
      </c>
      <c r="I658" s="4228" t="s">
        <v>3743</v>
      </c>
      <c r="J658" s="4478"/>
      <c r="K658" s="4231"/>
      <c r="L658" s="4231"/>
      <c r="M658" s="4231"/>
      <c r="N658" s="4231"/>
      <c r="O658" s="4231"/>
      <c r="P658" s="4231"/>
      <c r="Q658" s="4232"/>
      <c r="R658" s="4232"/>
      <c r="S658" s="4232"/>
      <c r="T658" s="4232"/>
      <c r="U658" s="4232"/>
      <c r="V658" s="4232"/>
      <c r="W658" s="4232"/>
      <c r="X658" s="4232"/>
      <c r="Y658" s="4232"/>
    </row>
    <row customHeight="true" ht="16.071428571428573" r="659">
      <c r="A659" s="4225" t="s">
        <v>4244</v>
      </c>
      <c r="B659" s="4226">
        <v>46255</v>
      </c>
      <c r="C659" s="4225" t="str">
        <v>Friday</v>
      </c>
      <c r="D659" s="4227" t="s">
        <v>4247</v>
      </c>
      <c r="E659" s="4228">
        <f t="shared" si="108"/>
      </c>
      <c r="F659" s="4350" t="s">
        <v>4127</v>
      </c>
      <c r="G659" s="4355"/>
      <c r="H659" s="4228" t="s">
        <v>3802</v>
      </c>
      <c r="I659" s="4228" t="s">
        <v>3743</v>
      </c>
      <c r="J659" s="4478"/>
      <c r="K659" s="4231"/>
      <c r="L659" s="4231"/>
      <c r="M659" s="4231"/>
      <c r="N659" s="4231"/>
      <c r="O659" s="4231"/>
      <c r="P659" s="4231"/>
      <c r="Q659" s="4232"/>
      <c r="R659" s="4232"/>
      <c r="S659" s="4232"/>
      <c r="T659" s="4232"/>
      <c r="U659" s="4232"/>
      <c r="V659" s="4232"/>
      <c r="W659" s="4232"/>
      <c r="X659" s="4232"/>
      <c r="Y659" s="4232"/>
    </row>
    <row customHeight="true" ht="16.071428571428573" r="660">
      <c r="A660" s="4225" t="s">
        <v>4244</v>
      </c>
      <c r="B660" s="4226">
        <v>46256</v>
      </c>
      <c r="C660" s="4225" t="str">
        <v>Saturday</v>
      </c>
      <c r="D660" s="4227" t="s">
        <v>4248</v>
      </c>
      <c r="E660" s="4228">
        <f t="shared" si="108"/>
      </c>
      <c r="F660" s="4350" t="s">
        <v>4225</v>
      </c>
      <c r="G660" s="4355"/>
      <c r="H660" s="4228" t="s">
        <v>3802</v>
      </c>
      <c r="I660" s="4228" t="s">
        <v>3743</v>
      </c>
      <c r="J660" s="4478"/>
      <c r="K660" s="4231"/>
      <c r="L660" s="4231"/>
      <c r="M660" s="4231"/>
      <c r="N660" s="4231"/>
      <c r="O660" s="4231"/>
      <c r="P660" s="4231"/>
      <c r="Q660" s="4232"/>
      <c r="R660" s="4232"/>
      <c r="S660" s="4232"/>
      <c r="T660" s="4232"/>
      <c r="U660" s="4232"/>
      <c r="V660" s="4232"/>
      <c r="W660" s="4232"/>
      <c r="X660" s="4232"/>
      <c r="Y660" s="4232"/>
    </row>
    <row r="661">
      <c r="A661" s="4225" t="s">
        <v>4244</v>
      </c>
      <c r="B661" s="4226">
        <v>46257</v>
      </c>
      <c r="C661" s="4225" t="str">
        <v>Sunday</v>
      </c>
      <c r="D661" s="4227" t="s">
        <v>4245</v>
      </c>
      <c r="E661" s="4228">
        <f t="shared" si="108"/>
      </c>
      <c r="F661" s="4350" t="s">
        <v>4225</v>
      </c>
      <c r="G661" s="4355"/>
      <c r="H661" s="4228" t="s">
        <v>3802</v>
      </c>
      <c r="I661" s="4228" t="s">
        <v>3743</v>
      </c>
      <c r="J661" s="4478"/>
      <c r="K661" s="4231"/>
      <c r="L661" s="4231"/>
      <c r="M661" s="4231"/>
      <c r="N661" s="4231"/>
      <c r="O661" s="4231"/>
      <c r="P661" s="4231"/>
      <c r="Q661" s="4232"/>
      <c r="R661" s="4232"/>
      <c r="S661" s="4232"/>
      <c r="T661" s="4232"/>
      <c r="U661" s="4232"/>
      <c r="V661" s="4232"/>
      <c r="W661" s="4232"/>
      <c r="X661" s="4232"/>
      <c r="Y661" s="4232"/>
    </row>
    <row customHeight="true" ht="18.452380952380953" r="662">
      <c r="A662" s="4042"/>
      <c r="B662" s="4031"/>
      <c r="C662" s="4042"/>
      <c r="D662" s="4028"/>
      <c r="E662" s="4028"/>
      <c r="F662" s="4028"/>
      <c r="G662" s="4166"/>
      <c r="H662" s="4028"/>
      <c r="I662" s="4028"/>
      <c r="J662" s="4045"/>
      <c r="K662" s="4030"/>
      <c r="L662" s="4030"/>
      <c r="M662" s="4030"/>
      <c r="N662" s="4030"/>
      <c r="O662" s="4030"/>
      <c r="P662" s="4030"/>
    </row>
    <row r="663">
      <c r="A663" s="4479" t="s">
        <v>4249</v>
      </c>
      <c r="B663" s="4479"/>
      <c r="C663" s="4479"/>
      <c r="D663" s="4479"/>
      <c r="E663" s="4479"/>
      <c r="F663" s="4479"/>
      <c r="G663" s="4479"/>
      <c r="H663" s="4479"/>
      <c r="I663" s="4479"/>
      <c r="J663" s="4480"/>
      <c r="K663" s="4437"/>
      <c r="L663" s="4437"/>
      <c r="M663" s="4437"/>
      <c r="N663" s="4437"/>
      <c r="O663" s="4437"/>
      <c r="P663" s="4437"/>
    </row>
    <row r="664">
      <c r="A664" s="4481" t="s">
        <v>3762</v>
      </c>
      <c r="B664" s="4482" t="s">
        <v>3763</v>
      </c>
      <c r="C664" s="4482"/>
      <c r="D664" s="4483" t="s">
        <v>3764</v>
      </c>
      <c r="E664" s="4483" t="s">
        <v>3765</v>
      </c>
      <c r="F664" s="4483" t="s">
        <v>3766</v>
      </c>
      <c r="G664" s="4484" t="s">
        <v>3781</v>
      </c>
      <c r="H664" s="4483" t="s">
        <v>3768</v>
      </c>
      <c r="I664" s="4483" t="s">
        <v>3769</v>
      </c>
      <c r="J664" s="4485" t="s">
        <v>3770</v>
      </c>
      <c r="K664" s="4041"/>
      <c r="L664" s="4041"/>
      <c r="M664" s="4041"/>
      <c r="N664" s="4041"/>
      <c r="O664" s="4041"/>
      <c r="P664" s="4041"/>
    </row>
    <row r="665">
      <c r="A665" s="4042" t="s">
        <v>4249</v>
      </c>
      <c r="B665" s="4031">
        <v>46252</v>
      </c>
      <c r="C665" s="4042" t="str">
        <v>Tuesday</v>
      </c>
      <c r="D665" s="4024" t="s">
        <v>3937</v>
      </c>
      <c r="E665" s="4046">
        <f t="shared" ref="E665:E666" si="109">24*MOD(TIMEVALUE(TRIM(MID(D665,FIND("-",D665)+1,LEN(D665)))) - TIMEVALUE(TRIM(LEFT(D665,FIND("-",D665)-1))),1)</f>
      </c>
      <c r="F665" s="4028" t="s">
        <v>3988</v>
      </c>
      <c r="G665" s="4055" t="s">
        <v>4250</v>
      </c>
      <c r="H665" s="4404" t="s">
        <v>3802</v>
      </c>
      <c r="I665" s="4046" t="s">
        <v>3743</v>
      </c>
      <c r="J665" s="4029"/>
      <c r="K665" s="4030"/>
      <c r="L665" s="4030"/>
      <c r="M665" s="4030"/>
      <c r="N665" s="4030"/>
      <c r="O665" s="4030"/>
      <c r="P665" s="4030"/>
    </row>
    <row r="666">
      <c r="A666" s="4486" t="s">
        <v>4251</v>
      </c>
      <c r="B666" s="4487">
        <v>46252</v>
      </c>
      <c r="C666" s="4486" t="str">
        <v>Tuesday</v>
      </c>
      <c r="D666" s="4488" t="s">
        <v>3937</v>
      </c>
      <c r="E666" s="4489">
        <f t="shared" si="109"/>
      </c>
      <c r="F666" s="4490"/>
      <c r="G666" s="4491"/>
      <c r="H666" s="4492" t="s">
        <v>3802</v>
      </c>
      <c r="I666" s="4046" t="s">
        <v>3743</v>
      </c>
      <c r="J666" s="4493"/>
      <c r="K666" s="4030"/>
      <c r="L666" s="4030"/>
      <c r="M666" s="4030"/>
      <c r="N666" s="4030"/>
      <c r="O666" s="4030"/>
      <c r="P666" s="4030"/>
    </row>
    <row r="667">
      <c r="A667" s="4042" t="s">
        <v>4249</v>
      </c>
      <c r="B667" s="4042"/>
      <c r="C667" s="4042"/>
      <c r="D667" s="4046"/>
      <c r="E667" s="4494">
        <f>3</f>
      </c>
      <c r="F667" s="4028"/>
      <c r="G667" s="4075"/>
      <c r="H667" s="4404"/>
      <c r="I667" s="4028"/>
      <c r="J667" s="4029"/>
      <c r="K667" s="4030"/>
      <c r="L667" s="4030"/>
      <c r="M667" s="4030"/>
      <c r="N667" s="4030"/>
      <c r="O667" s="4030"/>
      <c r="P667" s="4030"/>
    </row>
    <row r="668">
      <c r="A668" s="4042" t="s">
        <v>4249</v>
      </c>
      <c r="B668" s="4031">
        <v>46253</v>
      </c>
      <c r="C668" s="4042" t="str">
        <v>Wednesday</v>
      </c>
      <c r="D668" s="4024" t="s">
        <v>4038</v>
      </c>
      <c r="E668" s="4046">
        <f t="shared" ref="E668:E669" si="110">24*MOD(TIMEVALUE(TRIM(MID(D668,FIND("-",D668)+1,LEN(D668)))) - TIMEVALUE(TRIM(LEFT(D668,FIND("-",D668)-1))),1)</f>
      </c>
      <c r="F668" s="4165" t="s">
        <v>3988</v>
      </c>
      <c r="G668" s="4055"/>
      <c r="H668" s="4404" t="s">
        <v>3802</v>
      </c>
      <c r="I668" s="4046" t="s">
        <v>3743</v>
      </c>
      <c r="J668" s="4029"/>
      <c r="K668" s="4030"/>
      <c r="L668" s="4030"/>
      <c r="M668" s="4030"/>
      <c r="N668" s="4030"/>
      <c r="O668" s="4030"/>
      <c r="P668" s="4030"/>
    </row>
    <row r="669">
      <c r="A669" s="4486" t="s">
        <v>4251</v>
      </c>
      <c r="B669" s="4487">
        <v>46253</v>
      </c>
      <c r="C669" s="4486" t="str">
        <v>Wednesday</v>
      </c>
      <c r="D669" s="4488" t="s">
        <v>4038</v>
      </c>
      <c r="E669" s="4489">
        <f t="shared" si="110"/>
      </c>
      <c r="F669" s="4489" t="s">
        <v>4116</v>
      </c>
      <c r="G669" s="4491"/>
      <c r="H669" s="4492" t="s">
        <v>3802</v>
      </c>
      <c r="I669" s="4046" t="s">
        <v>3743</v>
      </c>
      <c r="J669" s="4495"/>
      <c r="K669" s="4097"/>
      <c r="L669" s="4097"/>
      <c r="M669" s="4097"/>
      <c r="N669" s="4097"/>
      <c r="O669" s="4097"/>
      <c r="P669" s="4097"/>
    </row>
    <row r="670">
      <c r="A670" s="4042" t="s">
        <v>4249</v>
      </c>
      <c r="B670" s="4042"/>
      <c r="C670" s="4042"/>
      <c r="D670" s="4046"/>
      <c r="E670" s="4494">
        <f>3</f>
      </c>
      <c r="F670" s="4028"/>
      <c r="G670" s="4075"/>
      <c r="H670" s="4404"/>
      <c r="I670" s="4028"/>
      <c r="J670" s="4029"/>
      <c r="K670" s="4030"/>
      <c r="L670" s="4030"/>
      <c r="M670" s="4030"/>
      <c r="N670" s="4030"/>
      <c r="O670" s="4030"/>
      <c r="P670" s="4030"/>
    </row>
    <row r="671">
      <c r="A671" s="4042" t="s">
        <v>4249</v>
      </c>
      <c r="B671" s="4031">
        <v>46254</v>
      </c>
      <c r="C671" s="4042" t="str">
        <v>Thursday</v>
      </c>
      <c r="D671" s="4024" t="s">
        <v>4252</v>
      </c>
      <c r="E671" s="4046">
        <f t="shared" ref="E671:E672" si="111">24*MOD(TIMEVALUE(TRIM(MID(D671,FIND("-",D671)+1,LEN(D671)))) - TIMEVALUE(TRIM(LEFT(D671,FIND("-",D671)-1))),1)</f>
      </c>
      <c r="F671" s="4165"/>
      <c r="G671" s="4055"/>
      <c r="H671" s="4404" t="s">
        <v>3802</v>
      </c>
      <c r="I671" s="4046" t="s">
        <v>3743</v>
      </c>
      <c r="J671" s="4029"/>
      <c r="K671" s="4030"/>
      <c r="L671" s="4030"/>
      <c r="M671" s="4030"/>
      <c r="N671" s="4030"/>
      <c r="O671" s="4030"/>
      <c r="P671" s="4030"/>
    </row>
    <row r="672">
      <c r="A672" s="4486" t="s">
        <v>4251</v>
      </c>
      <c r="B672" s="4487">
        <v>46254</v>
      </c>
      <c r="C672" s="4486" t="str">
        <v>Thursday</v>
      </c>
      <c r="D672" s="4488" t="s">
        <v>4253</v>
      </c>
      <c r="E672" s="4489">
        <f t="shared" si="111"/>
      </c>
      <c r="F672" s="4489"/>
      <c r="G672" s="4491"/>
      <c r="H672" s="4492" t="s">
        <v>3802</v>
      </c>
      <c r="I672" s="4046" t="s">
        <v>3743</v>
      </c>
      <c r="J672" s="4493"/>
      <c r="K672" s="4030"/>
      <c r="L672" s="4030"/>
      <c r="M672" s="4030"/>
      <c r="N672" s="4030"/>
      <c r="O672" s="4030"/>
      <c r="P672" s="4030"/>
    </row>
    <row r="673">
      <c r="A673" s="4042" t="s">
        <v>4249</v>
      </c>
      <c r="B673" s="4042"/>
      <c r="C673" s="4042"/>
      <c r="D673" s="4046"/>
      <c r="E673" s="4494">
        <f>3</f>
      </c>
      <c r="F673" s="4028"/>
      <c r="G673" s="4075"/>
      <c r="H673" s="4404"/>
      <c r="I673" s="4028"/>
      <c r="J673" s="4029"/>
      <c r="K673" s="4030"/>
      <c r="L673" s="4030"/>
      <c r="M673" s="4030"/>
      <c r="N673" s="4030"/>
      <c r="O673" s="4030"/>
      <c r="P673" s="4030"/>
    </row>
    <row r="674">
      <c r="A674" s="4042" t="s">
        <v>4249</v>
      </c>
      <c r="B674" s="4031">
        <v>46255</v>
      </c>
      <c r="C674" s="4042" t="str">
        <v>Friday</v>
      </c>
      <c r="D674" s="4024" t="s">
        <v>3936</v>
      </c>
      <c r="E674" s="4046">
        <f t="shared" ref="E674:E675" si="112">24*MOD(TIMEVALUE(TRIM(MID(D674,FIND("-",D674)+1,LEN(D674)))) - TIMEVALUE(TRIM(LEFT(D674,FIND("-",D674)-1))),1)</f>
      </c>
      <c r="F674" s="4165"/>
      <c r="G674" s="4055"/>
      <c r="H674" s="4404" t="s">
        <v>3802</v>
      </c>
      <c r="I674" s="4046" t="s">
        <v>3743</v>
      </c>
      <c r="J674" s="4029"/>
      <c r="K674" s="4030"/>
      <c r="L674" s="4030"/>
      <c r="M674" s="4030"/>
      <c r="N674" s="4030"/>
      <c r="O674" s="4030"/>
      <c r="P674" s="4030"/>
    </row>
    <row r="675">
      <c r="A675" s="4486" t="s">
        <v>4251</v>
      </c>
      <c r="B675" s="4487">
        <v>46255</v>
      </c>
      <c r="C675" s="4486" t="str">
        <v>Friday</v>
      </c>
      <c r="D675" s="4488" t="s">
        <v>4226</v>
      </c>
      <c r="E675" s="4489">
        <f t="shared" si="112"/>
      </c>
      <c r="F675" s="4489"/>
      <c r="G675" s="4491"/>
      <c r="H675" s="4492" t="s">
        <v>3802</v>
      </c>
      <c r="I675" s="4046" t="s">
        <v>3743</v>
      </c>
      <c r="J675" s="4493"/>
      <c r="K675" s="4030"/>
      <c r="L675" s="4030"/>
      <c r="M675" s="4030"/>
      <c r="N675" s="4030"/>
      <c r="O675" s="4030"/>
      <c r="P675" s="4030"/>
    </row>
    <row r="676">
      <c r="A676" s="4042" t="s">
        <v>4249</v>
      </c>
      <c r="B676" s="4042"/>
      <c r="C676" s="4042"/>
      <c r="D676" s="4046"/>
      <c r="E676" s="4494">
        <f>3</f>
      </c>
      <c r="F676" s="4028"/>
      <c r="G676" s="4075"/>
      <c r="H676" s="4404"/>
      <c r="I676" s="4028"/>
      <c r="J676" s="4029"/>
      <c r="K676" s="4030"/>
      <c r="L676" s="4030"/>
      <c r="M676" s="4030"/>
      <c r="N676" s="4030"/>
      <c r="O676" s="4030"/>
      <c r="P676" s="4030"/>
    </row>
    <row r="677">
      <c r="A677" s="4042" t="s">
        <v>4249</v>
      </c>
      <c r="B677" s="4031">
        <v>46256</v>
      </c>
      <c r="C677" s="4042" t="str">
        <v>Saturday</v>
      </c>
      <c r="D677" s="4024" t="s">
        <v>4007</v>
      </c>
      <c r="E677" s="4046">
        <f t="shared" ref="E677:E678" si="113">24*MOD(TIMEVALUE(TRIM(MID(D677,FIND("-",D677)+1,LEN(D677)))) - TIMEVALUE(TRIM(LEFT(D677,FIND("-",D677)-1))),1)</f>
      </c>
      <c r="F677" s="4165"/>
      <c r="G677" s="4055"/>
      <c r="H677" s="4404" t="s">
        <v>3802</v>
      </c>
      <c r="I677" s="4046" t="s">
        <v>3743</v>
      </c>
      <c r="J677" s="4029"/>
      <c r="K677" s="4030"/>
      <c r="L677" s="4030"/>
      <c r="M677" s="4030"/>
      <c r="N677" s="4030"/>
      <c r="O677" s="4030"/>
      <c r="P677" s="4030"/>
    </row>
    <row r="678">
      <c r="A678" s="4486" t="s">
        <v>4251</v>
      </c>
      <c r="B678" s="4487">
        <v>46256</v>
      </c>
      <c r="C678" s="4486" t="str">
        <v>Saturday</v>
      </c>
      <c r="D678" s="4488" t="s">
        <v>4254</v>
      </c>
      <c r="E678" s="4489">
        <f t="shared" si="113"/>
      </c>
      <c r="F678" s="4489"/>
      <c r="G678" s="4491"/>
      <c r="H678" s="4492" t="s">
        <v>3802</v>
      </c>
      <c r="I678" s="4046" t="s">
        <v>3743</v>
      </c>
      <c r="J678" s="4493"/>
      <c r="K678" s="4030"/>
      <c r="L678" s="4030"/>
      <c r="M678" s="4030"/>
      <c r="N678" s="4030"/>
      <c r="O678" s="4030"/>
      <c r="P678" s="4030"/>
    </row>
    <row r="679">
      <c r="A679" s="4042" t="s">
        <v>4249</v>
      </c>
      <c r="B679" s="4042"/>
      <c r="C679" s="4042"/>
      <c r="D679" s="4046"/>
      <c r="E679" s="4494">
        <f>3</f>
      </c>
      <c r="F679" s="4028"/>
      <c r="G679" s="4075"/>
      <c r="H679" s="4404"/>
      <c r="I679" s="4028"/>
      <c r="J679" s="4029"/>
      <c r="K679" s="4030"/>
      <c r="L679" s="4030"/>
      <c r="M679" s="4030"/>
      <c r="N679" s="4030"/>
      <c r="O679" s="4030"/>
      <c r="P679" s="4030"/>
    </row>
    <row customHeight="true" ht="18.452380952380953" r="680">
      <c r="A680" s="4042" t="s">
        <v>4249</v>
      </c>
      <c r="B680" s="4031">
        <v>46257</v>
      </c>
      <c r="C680" s="4042" t="str">
        <v>Sunday</v>
      </c>
      <c r="D680" s="4024" t="s">
        <v>4007</v>
      </c>
      <c r="E680" s="4046">
        <f t="shared" ref="E680:E681" si="114">24*MOD(TIMEVALUE(TRIM(MID(D680,FIND("-",D680)+1,LEN(D680)))) - TIMEVALUE(TRIM(LEFT(D680,FIND("-",D680)-1))),1)</f>
      </c>
      <c r="F680" s="4165"/>
      <c r="G680" s="4055"/>
      <c r="H680" s="4404" t="s">
        <v>3802</v>
      </c>
      <c r="I680" s="4046" t="s">
        <v>3743</v>
      </c>
      <c r="J680" s="4029"/>
      <c r="K680" s="4030"/>
      <c r="L680" s="4030"/>
      <c r="M680" s="4030"/>
      <c r="N680" s="4030"/>
      <c r="O680" s="4030"/>
      <c r="P680" s="4030"/>
    </row>
    <row customHeight="true" ht="18.452380952380953" r="681">
      <c r="A681" s="4486" t="s">
        <v>4251</v>
      </c>
      <c r="B681" s="4487">
        <v>46257</v>
      </c>
      <c r="C681" s="4486" t="str">
        <v>Sunday</v>
      </c>
      <c r="D681" s="4488" t="s">
        <v>4254</v>
      </c>
      <c r="E681" s="4489">
        <f t="shared" si="114"/>
      </c>
      <c r="F681" s="4489"/>
      <c r="G681" s="4491"/>
      <c r="H681" s="4492" t="s">
        <v>3802</v>
      </c>
      <c r="I681" s="4046" t="s">
        <v>3743</v>
      </c>
      <c r="J681" s="4493"/>
      <c r="K681" s="4030"/>
      <c r="L681" s="4030"/>
      <c r="M681" s="4030"/>
      <c r="N681" s="4030"/>
      <c r="O681" s="4030"/>
      <c r="P681" s="4030"/>
    </row>
    <row customHeight="true" ht="18.452380952380953" r="682">
      <c r="A682" s="4042" t="s">
        <v>4249</v>
      </c>
      <c r="B682" s="4042"/>
      <c r="C682" s="4042"/>
      <c r="D682" s="4046"/>
      <c r="E682" s="4494">
        <f>3</f>
      </c>
      <c r="F682" s="4028"/>
      <c r="G682" s="4075"/>
      <c r="H682" s="4404"/>
      <c r="I682" s="4028"/>
      <c r="J682" s="4029"/>
      <c r="K682" s="4030"/>
      <c r="L682" s="4030"/>
      <c r="M682" s="4030"/>
      <c r="N682" s="4030"/>
      <c r="O682" s="4030"/>
      <c r="P682" s="4030"/>
    </row>
    <row r="683">
      <c r="A683" s="4140"/>
      <c r="B683" s="4042"/>
      <c r="C683" s="4042"/>
      <c r="D683" s="4046"/>
      <c r="E683" s="4046"/>
      <c r="F683" s="4046"/>
      <c r="G683" s="4075"/>
      <c r="H683" s="4404"/>
      <c r="I683" s="4046"/>
      <c r="J683" s="4029"/>
      <c r="K683" s="4030"/>
      <c r="L683" s="4030"/>
      <c r="M683" s="4030"/>
      <c r="N683" s="4030"/>
      <c r="O683" s="4030"/>
      <c r="P683" s="4030"/>
    </row>
    <row r="684">
      <c r="A684" s="4042"/>
      <c r="B684" s="4042"/>
      <c r="C684" s="4042"/>
      <c r="D684" s="4046"/>
      <c r="E684" s="4046"/>
      <c r="F684" s="4046"/>
      <c r="G684" s="4075"/>
      <c r="H684" s="4404"/>
      <c r="I684" s="4046"/>
      <c r="J684" s="4029"/>
      <c r="K684" s="4030"/>
      <c r="L684" s="4030"/>
      <c r="M684" s="4030"/>
      <c r="N684" s="4030"/>
      <c r="O684" s="4030"/>
      <c r="P684" s="4030"/>
    </row>
    <row r="685">
      <c r="A685" s="4042" t="s">
        <v>4255</v>
      </c>
      <c r="B685" s="4031">
        <v>46245</v>
      </c>
      <c r="C685" s="4042" t="str">
        <v>Tuesday</v>
      </c>
      <c r="D685" s="4047" t="s">
        <v>4181</v>
      </c>
      <c r="E685" s="4028">
        <f t="shared" ref="E685:E690" si="115">24*MOD(TIMEVALUE(TRIM(MID(D685,FIND("-",D685)+1,LEN(D685)))) - TIMEVALUE(TRIM(LEFT(D685,FIND("-",D685)-1))),1)</f>
      </c>
      <c r="F685" s="4046"/>
      <c r="G685" s="4163"/>
      <c r="H685" s="4375" t="s">
        <v>3802</v>
      </c>
      <c r="I685" s="4046" t="s">
        <v>3776</v>
      </c>
      <c r="J685" s="4045"/>
      <c r="K685" s="4030"/>
      <c r="L685" s="4030"/>
      <c r="M685" s="4030"/>
      <c r="N685" s="4030"/>
      <c r="O685" s="4030"/>
      <c r="P685" s="4030"/>
    </row>
    <row r="686">
      <c r="A686" s="4042" t="s">
        <v>4255</v>
      </c>
      <c r="B686" s="4031">
        <v>46245</v>
      </c>
      <c r="C686" s="4042" t="str">
        <v>Tuesday</v>
      </c>
      <c r="D686" s="4047" t="s">
        <v>4256</v>
      </c>
      <c r="E686" s="4028">
        <f t="shared" si="115"/>
      </c>
      <c r="F686" s="4046"/>
      <c r="G686" s="4166"/>
      <c r="H686" s="4375" t="s">
        <v>3802</v>
      </c>
      <c r="I686" s="4046" t="s">
        <v>3776</v>
      </c>
      <c r="J686" s="4045"/>
      <c r="K686" s="4030"/>
      <c r="L686" s="4030"/>
      <c r="M686" s="4030"/>
      <c r="N686" s="4030"/>
      <c r="O686" s="4030"/>
      <c r="P686" s="4030"/>
    </row>
    <row r="687">
      <c r="A687" s="4042" t="s">
        <v>4255</v>
      </c>
      <c r="B687" s="4031">
        <v>46246</v>
      </c>
      <c r="C687" s="4042" t="str">
        <v>Wednesday</v>
      </c>
      <c r="D687" s="4047" t="s">
        <v>4257</v>
      </c>
      <c r="E687" s="4028">
        <f t="shared" si="115"/>
      </c>
      <c r="F687" s="4046"/>
      <c r="G687" s="4166"/>
      <c r="H687" s="4375" t="s">
        <v>3802</v>
      </c>
      <c r="I687" s="4046" t="s">
        <v>3776</v>
      </c>
      <c r="J687" s="4045"/>
      <c r="K687" s="4030"/>
      <c r="L687" s="4030"/>
      <c r="M687" s="4030"/>
      <c r="N687" s="4030"/>
      <c r="O687" s="4030"/>
      <c r="P687" s="4030"/>
    </row>
    <row r="688">
      <c r="A688" s="4042" t="s">
        <v>4255</v>
      </c>
      <c r="B688" s="4042">
        <v>46234</v>
      </c>
      <c r="C688" s="4042" t="str">
        <v>Friday</v>
      </c>
      <c r="D688" s="4024" t="s">
        <v>4258</v>
      </c>
      <c r="E688" s="4028">
        <f t="shared" si="115"/>
      </c>
      <c r="F688" s="4046"/>
      <c r="G688" s="4166"/>
      <c r="H688" s="4375" t="s">
        <v>3802</v>
      </c>
      <c r="I688" s="4046" t="s">
        <v>3776</v>
      </c>
      <c r="J688" s="4045"/>
      <c r="K688" s="4030"/>
      <c r="L688" s="4030"/>
      <c r="M688" s="4030"/>
      <c r="N688" s="4030"/>
      <c r="O688" s="4030"/>
      <c r="P688" s="4030"/>
    </row>
    <row r="689">
      <c r="A689" s="4042" t="s">
        <v>4255</v>
      </c>
      <c r="B689" s="4042">
        <v>46220</v>
      </c>
      <c r="C689" s="4042" t="str">
        <v>Friday</v>
      </c>
      <c r="D689" s="4028" t="s">
        <v>4259</v>
      </c>
      <c r="E689" s="4028">
        <f t="shared" si="115"/>
      </c>
      <c r="F689" s="4046"/>
      <c r="G689" s="4166"/>
      <c r="H689" s="4375" t="s">
        <v>3802</v>
      </c>
      <c r="I689" s="4046" t="s">
        <v>3776</v>
      </c>
      <c r="J689" s="4045"/>
      <c r="K689" s="4030"/>
      <c r="L689" s="4030"/>
      <c r="M689" s="4030"/>
      <c r="N689" s="4030"/>
      <c r="O689" s="4030"/>
      <c r="P689" s="4030"/>
    </row>
    <row r="690">
      <c r="A690" s="4042" t="s">
        <v>4255</v>
      </c>
      <c r="B690" s="4042">
        <v>46219</v>
      </c>
      <c r="C690" s="4042" t="str">
        <v>Thursday</v>
      </c>
      <c r="D690" s="4028" t="s">
        <v>4066</v>
      </c>
      <c r="E690" s="4028">
        <f t="shared" si="115"/>
      </c>
      <c r="F690" s="4046"/>
      <c r="G690" s="4166"/>
      <c r="H690" s="4375" t="s">
        <v>3802</v>
      </c>
      <c r="I690" s="4046" t="s">
        <v>3776</v>
      </c>
      <c r="J690" s="4045"/>
      <c r="K690" s="4030"/>
      <c r="L690" s="4030"/>
      <c r="M690" s="4030"/>
      <c r="N690" s="4030"/>
      <c r="O690" s="4030"/>
      <c r="P690" s="4030"/>
    </row>
    <row r="691">
      <c r="A691" s="4285"/>
      <c r="B691" s="4285"/>
      <c r="C691" s="4285"/>
      <c r="D691" s="4285"/>
      <c r="E691" s="4285"/>
      <c r="F691" s="4285"/>
      <c r="G691" s="4403"/>
      <c r="H691" s="4285"/>
      <c r="I691" s="4285"/>
      <c r="J691" s="4285"/>
      <c r="K691" s="4030"/>
      <c r="L691" s="4030"/>
      <c r="M691" s="4030"/>
      <c r="N691" s="4030"/>
      <c r="O691" s="4030"/>
      <c r="P691" s="4030"/>
    </row>
    <row r="692">
      <c r="A692" s="4496" t="s">
        <v>4260</v>
      </c>
      <c r="B692" s="4497"/>
      <c r="C692" s="4497"/>
      <c r="D692" s="4497"/>
      <c r="E692" s="4497"/>
      <c r="F692" s="4497"/>
      <c r="G692" s="4497"/>
      <c r="H692" s="4497"/>
      <c r="I692" s="4497"/>
      <c r="J692" s="4498"/>
      <c r="K692" s="4437"/>
      <c r="L692" s="4437"/>
      <c r="M692" s="4437"/>
      <c r="N692" s="4437"/>
      <c r="O692" s="4437"/>
      <c r="P692" s="4437"/>
    </row>
    <row r="693">
      <c r="A693" s="4499" t="s">
        <v>4260</v>
      </c>
      <c r="B693" s="4500" t="s">
        <v>3763</v>
      </c>
      <c r="C693" s="4500"/>
      <c r="D693" s="4501" t="s">
        <v>3764</v>
      </c>
      <c r="E693" s="4501" t="s">
        <v>3765</v>
      </c>
      <c r="F693" s="4501"/>
      <c r="G693" s="4502"/>
      <c r="H693" s="4501" t="s">
        <v>3768</v>
      </c>
      <c r="I693" s="4501" t="s">
        <v>3769</v>
      </c>
      <c r="J693" s="4503" t="s">
        <v>3770</v>
      </c>
      <c r="K693" s="4041"/>
      <c r="L693" s="4041"/>
      <c r="M693" s="4041"/>
      <c r="N693" s="4041"/>
      <c r="O693" s="4041"/>
      <c r="P693" s="4041"/>
    </row>
    <row customHeight="true" ht="18.452380952380953" r="694">
      <c r="A694" s="4042" t="s">
        <v>4260</v>
      </c>
      <c r="B694" s="4031">
        <v>46252</v>
      </c>
      <c r="C694" s="4042" t="str">
        <v>Tuesday</v>
      </c>
      <c r="D694" s="4024" t="s">
        <v>4261</v>
      </c>
      <c r="E694" s="4046">
        <f>24*MOD(TIMEVALUE(TRIM(MID(D694,FIND("-",D694)+1,LEN(D694)))) - TIMEVALUE(TRIM(LEFT(D694,FIND("-",D694)-1))),1)</f>
      </c>
      <c r="F694" s="4165" t="s">
        <v>4045</v>
      </c>
      <c r="G694" s="4163" t="s">
        <v>4262</v>
      </c>
      <c r="H694" s="4028" t="s">
        <v>3802</v>
      </c>
      <c r="I694" s="4046" t="s">
        <v>3743</v>
      </c>
      <c r="J694" s="4045"/>
      <c r="K694" s="4123"/>
      <c r="L694" s="4123"/>
      <c r="M694" s="4123"/>
      <c r="N694" s="4123"/>
      <c r="O694" s="4123"/>
      <c r="P694" s="4123"/>
      <c r="Q694" s="4076"/>
      <c r="R694" s="4076"/>
      <c r="S694" s="4076"/>
      <c r="T694" s="4076"/>
      <c r="U694" s="4076"/>
      <c r="V694" s="4076"/>
      <c r="W694" s="4076"/>
      <c r="X694" s="4076"/>
      <c r="Y694" s="4076"/>
    </row>
    <row customHeight="true" ht="18.452380952380953" r="695">
      <c r="A695" s="4504" t="s">
        <v>4263</v>
      </c>
      <c r="B695" s="4505">
        <v>46252</v>
      </c>
      <c r="C695" s="4505" t="s">
        <v>3751</v>
      </c>
      <c r="D695" s="4506" t="s">
        <v>4030</v>
      </c>
      <c r="E695" s="4506">
        <v>2</v>
      </c>
      <c r="F695" s="4507"/>
      <c r="G695" s="4508"/>
      <c r="H695" s="4509" t="s">
        <v>3802</v>
      </c>
      <c r="I695" s="4028" t="s">
        <v>3776</v>
      </c>
      <c r="J695" s="4510"/>
      <c r="K695" s="4123"/>
      <c r="L695" s="4123"/>
      <c r="M695" s="4123"/>
      <c r="N695" s="4123"/>
      <c r="O695" s="4123"/>
      <c r="P695" s="4123"/>
      <c r="Q695" s="4076"/>
      <c r="R695" s="4076"/>
      <c r="S695" s="4076"/>
      <c r="T695" s="4076"/>
      <c r="U695" s="4076"/>
      <c r="V695" s="4076"/>
      <c r="W695" s="4076"/>
      <c r="X695" s="4076"/>
      <c r="Y695" s="4076"/>
    </row>
    <row customHeight="true" ht="18.452380952380953" r="696">
      <c r="A696" s="4158"/>
      <c r="B696" s="4159"/>
      <c r="C696" s="4159"/>
      <c r="D696" s="4160"/>
      <c r="E696" s="4511">
        <f>E694</f>
      </c>
      <c r="F696" s="4315"/>
      <c r="G696" s="4323"/>
      <c r="H696" s="4032"/>
      <c r="I696" s="4032"/>
      <c r="J696" s="4250"/>
      <c r="K696" s="4030"/>
      <c r="L696" s="4030"/>
      <c r="M696" s="4030"/>
      <c r="N696" s="4030"/>
      <c r="O696" s="4030"/>
      <c r="P696" s="4030"/>
      <c r="Q696" s="4077"/>
      <c r="R696" s="4077"/>
      <c r="S696" s="4077"/>
      <c r="T696" s="4077"/>
      <c r="U696" s="4077"/>
      <c r="V696" s="4077"/>
      <c r="W696" s="4077"/>
      <c r="X696" s="4077"/>
      <c r="Y696" s="4077"/>
    </row>
    <row customHeight="true" ht="18.452380952380953" r="697">
      <c r="A697" s="4042" t="s">
        <v>4260</v>
      </c>
      <c r="B697" s="4031">
        <v>46253</v>
      </c>
      <c r="C697" s="4042" t="str">
        <v>Wednesday</v>
      </c>
      <c r="D697" s="4024" t="s">
        <v>4264</v>
      </c>
      <c r="E697" s="4046">
        <f t="shared" ref="E697:E698" si="116">24*MOD(TIMEVALUE(TRIM(MID(D697,FIND("-",D697)+1,LEN(D697)))) - TIMEVALUE(TRIM(LEFT(D697,FIND("-",D697)-1))),1)</f>
      </c>
      <c r="F697" s="4165" t="s">
        <v>3988</v>
      </c>
      <c r="G697" s="4166"/>
      <c r="H697" s="4028" t="s">
        <v>3802</v>
      </c>
      <c r="I697" s="4046" t="s">
        <v>3743</v>
      </c>
      <c r="J697" s="4045"/>
      <c r="K697" s="4123"/>
      <c r="L697" s="4123"/>
      <c r="M697" s="4123"/>
      <c r="N697" s="4123"/>
      <c r="O697" s="4123"/>
      <c r="P697" s="4123"/>
      <c r="Q697" s="4076"/>
      <c r="R697" s="4076"/>
      <c r="S697" s="4076"/>
      <c r="T697" s="4076"/>
      <c r="U697" s="4076"/>
      <c r="V697" s="4076"/>
      <c r="W697" s="4076"/>
      <c r="X697" s="4076"/>
      <c r="Y697" s="4076"/>
    </row>
    <row customHeight="true" ht="18.452380952380953" r="698">
      <c r="A698" s="4504" t="s">
        <v>4263</v>
      </c>
      <c r="B698" s="4505">
        <v>46253</v>
      </c>
      <c r="C698" s="4505" t="s">
        <v>3758</v>
      </c>
      <c r="D698" s="4512" t="s">
        <v>4265</v>
      </c>
      <c r="E698" s="4513">
        <f t="shared" si="116"/>
      </c>
      <c r="F698" s="4507" t="s">
        <v>4116</v>
      </c>
      <c r="G698" s="4508"/>
      <c r="H698" s="4509" t="s">
        <v>3802</v>
      </c>
      <c r="I698" s="4046" t="s">
        <v>3743</v>
      </c>
      <c r="J698" s="4510"/>
      <c r="K698" s="4123"/>
      <c r="L698" s="4123"/>
      <c r="M698" s="4123"/>
      <c r="N698" s="4123"/>
      <c r="O698" s="4123"/>
      <c r="P698" s="4123"/>
      <c r="Q698" s="4076"/>
      <c r="R698" s="4076"/>
      <c r="S698" s="4076"/>
      <c r="T698" s="4076"/>
      <c r="U698" s="4076"/>
      <c r="V698" s="4076"/>
      <c r="W698" s="4076"/>
      <c r="X698" s="4076"/>
      <c r="Y698" s="4076"/>
    </row>
    <row customHeight="true" ht="18.452380952380953" r="699">
      <c r="A699" s="4158"/>
      <c r="B699" s="4159"/>
      <c r="C699" s="4159"/>
      <c r="D699" s="4160"/>
      <c r="E699" s="4511">
        <f>E697</f>
      </c>
      <c r="F699" s="4315"/>
      <c r="G699" s="4323"/>
      <c r="H699" s="4032"/>
      <c r="I699" s="4032"/>
      <c r="J699" s="4250"/>
      <c r="K699" s="4030"/>
      <c r="L699" s="4030"/>
      <c r="M699" s="4030"/>
      <c r="N699" s="4030"/>
      <c r="O699" s="4030"/>
      <c r="P699" s="4030"/>
      <c r="Q699" s="4077"/>
      <c r="R699" s="4077"/>
      <c r="S699" s="4077"/>
      <c r="T699" s="4077"/>
      <c r="U699" s="4077"/>
      <c r="V699" s="4077"/>
      <c r="W699" s="4077"/>
      <c r="X699" s="4077"/>
      <c r="Y699" s="4077"/>
    </row>
    <row customHeight="true" ht="18.452380952380953" r="700">
      <c r="A700" s="4042" t="s">
        <v>4260</v>
      </c>
      <c r="B700" s="4031">
        <v>46254</v>
      </c>
      <c r="C700" s="4042" t="str">
        <v>Thursday</v>
      </c>
      <c r="D700" s="4024" t="s">
        <v>4101</v>
      </c>
      <c r="E700" s="4046">
        <f t="shared" ref="E700:E701" si="117">24*MOD(TIMEVALUE(TRIM(MID(D700,FIND("-",D700)+1,LEN(D700)))) - TIMEVALUE(TRIM(LEFT(D700,FIND("-",D700)-1))),1)</f>
      </c>
      <c r="F700" s="4165"/>
      <c r="G700" s="4166"/>
      <c r="H700" s="4028" t="s">
        <v>3802</v>
      </c>
      <c r="I700" s="4046" t="s">
        <v>3743</v>
      </c>
      <c r="J700" s="4045"/>
      <c r="K700" s="4123"/>
      <c r="L700" s="4123"/>
      <c r="M700" s="4123"/>
      <c r="N700" s="4123"/>
      <c r="O700" s="4123"/>
      <c r="P700" s="4123"/>
      <c r="Q700" s="4076"/>
      <c r="R700" s="4076"/>
      <c r="S700" s="4076"/>
      <c r="T700" s="4076"/>
      <c r="U700" s="4076"/>
      <c r="V700" s="4076"/>
      <c r="W700" s="4076"/>
      <c r="X700" s="4076"/>
      <c r="Y700" s="4076"/>
    </row>
    <row customHeight="true" ht="18.452380952380953" r="701">
      <c r="A701" s="4504" t="s">
        <v>4263</v>
      </c>
      <c r="B701" s="4505">
        <v>46254</v>
      </c>
      <c r="C701" s="4514" t="str">
        <v>Thursday</v>
      </c>
      <c r="D701" s="4512" t="s">
        <v>4079</v>
      </c>
      <c r="E701" s="4513">
        <f t="shared" si="117"/>
      </c>
      <c r="F701" s="4507"/>
      <c r="G701" s="4508"/>
      <c r="H701" s="4509" t="s">
        <v>3802</v>
      </c>
      <c r="I701" s="4046" t="s">
        <v>3743</v>
      </c>
      <c r="J701" s="4510"/>
      <c r="K701" s="4123"/>
      <c r="L701" s="4123"/>
      <c r="M701" s="4123"/>
      <c r="N701" s="4123"/>
      <c r="O701" s="4123"/>
      <c r="P701" s="4123"/>
      <c r="Q701" s="4076"/>
      <c r="R701" s="4076"/>
      <c r="S701" s="4076"/>
      <c r="T701" s="4076"/>
      <c r="U701" s="4076"/>
      <c r="V701" s="4076"/>
      <c r="W701" s="4076"/>
      <c r="X701" s="4076"/>
      <c r="Y701" s="4076"/>
    </row>
    <row customHeight="true" ht="18.452380952380953" r="702">
      <c r="A702" s="4158"/>
      <c r="B702" s="4159"/>
      <c r="C702" s="4158"/>
      <c r="D702" s="4160"/>
      <c r="E702" s="4511">
        <f>E700</f>
      </c>
      <c r="F702" s="4315"/>
      <c r="G702" s="4323"/>
      <c r="H702" s="4032"/>
      <c r="I702" s="4032"/>
      <c r="J702" s="4250"/>
      <c r="K702" s="4030"/>
      <c r="L702" s="4030"/>
      <c r="M702" s="4030"/>
      <c r="N702" s="4030"/>
      <c r="O702" s="4030"/>
      <c r="P702" s="4030"/>
      <c r="Q702" s="4077"/>
      <c r="R702" s="4077"/>
      <c r="S702" s="4077"/>
      <c r="T702" s="4077"/>
      <c r="U702" s="4077"/>
      <c r="V702" s="4077"/>
      <c r="W702" s="4077"/>
      <c r="X702" s="4077"/>
      <c r="Y702" s="4077"/>
    </row>
    <row customHeight="true" ht="18.452380952380953" r="703">
      <c r="A703" s="4042" t="s">
        <v>4260</v>
      </c>
      <c r="B703" s="4031">
        <v>46255</v>
      </c>
      <c r="C703" s="4042" t="str">
        <v>Friday</v>
      </c>
      <c r="D703" s="4024" t="s">
        <v>4030</v>
      </c>
      <c r="E703" s="4046">
        <f>24*MOD(TIMEVALUE(TRIM(MID(D703,FIND("-",D703)+1,LEN(D703)))) - TIMEVALUE(TRIM(LEFT(D703,FIND("-",D703)-1))),1)</f>
      </c>
      <c r="F703" s="4165"/>
      <c r="G703" s="4163"/>
      <c r="H703" s="4028" t="s">
        <v>3802</v>
      </c>
      <c r="I703" s="4046" t="s">
        <v>3743</v>
      </c>
      <c r="J703" s="4045"/>
      <c r="K703" s="4123"/>
      <c r="L703" s="4123"/>
      <c r="M703" s="4123"/>
      <c r="N703" s="4123"/>
      <c r="O703" s="4123"/>
      <c r="P703" s="4123"/>
      <c r="Q703" s="4076"/>
      <c r="R703" s="4076"/>
      <c r="S703" s="4076"/>
      <c r="T703" s="4076"/>
      <c r="U703" s="4076"/>
      <c r="V703" s="4076"/>
      <c r="W703" s="4076"/>
      <c r="X703" s="4076"/>
      <c r="Y703" s="4076"/>
    </row>
    <row customHeight="true" ht="18.452380952380953" r="704">
      <c r="A704" s="4504" t="s">
        <v>4263</v>
      </c>
      <c r="B704" s="4505">
        <v>46255</v>
      </c>
      <c r="C704" s="4514" t="str">
        <v>Friday</v>
      </c>
      <c r="D704" s="4512" t="s">
        <v>4079</v>
      </c>
      <c r="E704" s="4509"/>
      <c r="F704" s="4507"/>
      <c r="G704" s="4508"/>
      <c r="H704" s="4509" t="s">
        <v>3802</v>
      </c>
      <c r="I704" s="4028" t="s">
        <v>3776</v>
      </c>
      <c r="J704" s="4510"/>
      <c r="K704" s="4123"/>
      <c r="L704" s="4123"/>
      <c r="M704" s="4123"/>
      <c r="N704" s="4123"/>
      <c r="O704" s="4123"/>
      <c r="P704" s="4123"/>
      <c r="Q704" s="4076"/>
      <c r="R704" s="4076"/>
      <c r="S704" s="4076"/>
      <c r="T704" s="4076"/>
      <c r="U704" s="4076"/>
      <c r="V704" s="4076"/>
      <c r="W704" s="4076"/>
      <c r="X704" s="4076"/>
      <c r="Y704" s="4076"/>
    </row>
    <row customHeight="true" ht="18.452380952380953" r="705">
      <c r="A705" s="4158"/>
      <c r="B705" s="4159"/>
      <c r="C705" s="4158"/>
      <c r="D705" s="4160"/>
      <c r="E705" s="4511">
        <f>E703</f>
      </c>
      <c r="F705" s="4315"/>
      <c r="G705" s="4323"/>
      <c r="H705" s="4032"/>
      <c r="I705" s="4032"/>
      <c r="J705" s="4250"/>
      <c r="K705" s="4030"/>
      <c r="L705" s="4030"/>
      <c r="M705" s="4030"/>
      <c r="N705" s="4030"/>
      <c r="O705" s="4030"/>
      <c r="P705" s="4030"/>
      <c r="Q705" s="4077"/>
      <c r="R705" s="4077"/>
      <c r="S705" s="4077"/>
      <c r="T705" s="4077"/>
      <c r="U705" s="4077"/>
      <c r="V705" s="4077"/>
      <c r="W705" s="4077"/>
      <c r="X705" s="4077"/>
      <c r="Y705" s="4077"/>
    </row>
    <row r="706">
      <c r="A706" s="4158" t="s">
        <v>4260</v>
      </c>
      <c r="B706" s="4031">
        <v>46256</v>
      </c>
      <c r="C706" s="4042" t="str">
        <v>Saturday</v>
      </c>
      <c r="D706" s="4024" t="s">
        <v>3936</v>
      </c>
      <c r="E706" s="4046">
        <f>24*MOD(TIMEVALUE(TRIM(MID(D706,FIND("-",D706)+1,LEN(D706)))) - TIMEVALUE(TRIM(LEFT(D706,FIND("-",D706)-1))),1)</f>
      </c>
      <c r="F706" s="4165"/>
      <c r="G706" s="4323"/>
      <c r="H706" s="4032" t="s">
        <v>3802</v>
      </c>
      <c r="I706" s="4046" t="s">
        <v>3743</v>
      </c>
      <c r="J706" s="4250"/>
      <c r="K706" s="4030"/>
      <c r="L706" s="4030"/>
      <c r="M706" s="4030"/>
      <c r="N706" s="4030"/>
      <c r="O706" s="4030"/>
      <c r="P706" s="4030"/>
    </row>
    <row r="707">
      <c r="A707" s="4504" t="s">
        <v>4263</v>
      </c>
      <c r="B707" s="4505">
        <v>46256</v>
      </c>
      <c r="C707" s="4505" t="s">
        <v>4266</v>
      </c>
      <c r="D707" s="4506" t="s">
        <v>3936</v>
      </c>
      <c r="E707" s="4506">
        <v>3</v>
      </c>
      <c r="F707" s="4509"/>
      <c r="G707" s="4508"/>
      <c r="H707" s="4509" t="s">
        <v>3802</v>
      </c>
      <c r="I707" s="4046" t="s">
        <v>3743</v>
      </c>
      <c r="J707" s="4510"/>
      <c r="K707" s="4030"/>
      <c r="L707" s="4030"/>
      <c r="M707" s="4030"/>
      <c r="N707" s="4030"/>
      <c r="O707" s="4030"/>
      <c r="P707" s="4030"/>
    </row>
    <row customHeight="true" ht="18.452380952380953" r="708">
      <c r="A708" s="4158"/>
      <c r="B708" s="4159"/>
      <c r="C708" s="4159"/>
      <c r="D708" s="4160"/>
      <c r="E708" s="4511">
        <f>E706</f>
      </c>
      <c r="F708" s="4032"/>
      <c r="G708" s="4323"/>
      <c r="H708" s="4032"/>
      <c r="I708" s="4032"/>
      <c r="J708" s="4250"/>
      <c r="K708" s="4030"/>
      <c r="L708" s="4030"/>
      <c r="M708" s="4030"/>
      <c r="N708" s="4030"/>
      <c r="O708" s="4030"/>
      <c r="P708" s="4030"/>
      <c r="Q708" s="4105"/>
      <c r="R708" s="4105"/>
      <c r="S708" s="4105"/>
      <c r="T708" s="4105"/>
      <c r="U708" s="4105"/>
      <c r="V708" s="4105"/>
      <c r="W708" s="4105"/>
      <c r="X708" s="4105"/>
      <c r="Y708" s="4105"/>
    </row>
    <row r="709">
      <c r="A709" s="4158" t="s">
        <v>4260</v>
      </c>
      <c r="B709" s="4031">
        <v>46257</v>
      </c>
      <c r="C709" s="4042" t="str">
        <v>Sunday</v>
      </c>
      <c r="D709" s="4024" t="s">
        <v>3936</v>
      </c>
      <c r="E709" s="4046">
        <f>24*MOD(TIMEVALUE(TRIM(MID(D709,FIND("-",D709)+1,LEN(D709)))) - TIMEVALUE(TRIM(LEFT(D709,FIND("-",D709)-1))),1)</f>
      </c>
      <c r="F709" s="4165"/>
      <c r="G709" s="4166"/>
      <c r="H709" s="4028" t="s">
        <v>3802</v>
      </c>
      <c r="I709" s="4046" t="s">
        <v>3743</v>
      </c>
      <c r="J709" s="4045"/>
      <c r="K709" s="4030"/>
      <c r="L709" s="4030"/>
      <c r="M709" s="4030"/>
      <c r="N709" s="4030"/>
      <c r="O709" s="4030"/>
      <c r="P709" s="4030"/>
    </row>
    <row r="710">
      <c r="A710" s="4504" t="s">
        <v>4263</v>
      </c>
      <c r="B710" s="4505">
        <v>46257</v>
      </c>
      <c r="C710" s="4505" t="s">
        <v>4135</v>
      </c>
      <c r="D710" s="4506" t="s">
        <v>3936</v>
      </c>
      <c r="E710" s="4506">
        <v>3</v>
      </c>
      <c r="F710" s="4509"/>
      <c r="G710" s="4508"/>
      <c r="H710" s="4509" t="s">
        <v>3802</v>
      </c>
      <c r="I710" s="4046" t="s">
        <v>3743</v>
      </c>
      <c r="J710" s="4510"/>
      <c r="K710" s="4030"/>
      <c r="L710" s="4030"/>
      <c r="M710" s="4030"/>
      <c r="N710" s="4030"/>
      <c r="O710" s="4030"/>
      <c r="P710" s="4030"/>
    </row>
    <row customHeight="true" ht="18.452380952380953" r="711">
      <c r="A711" s="4158"/>
      <c r="B711" s="4159"/>
      <c r="C711" s="4159"/>
      <c r="D711" s="4160"/>
      <c r="E711" s="4511">
        <f>E709</f>
      </c>
      <c r="F711" s="4032"/>
      <c r="G711" s="4323"/>
      <c r="H711" s="4032"/>
      <c r="I711" s="4032"/>
      <c r="J711" s="4250"/>
      <c r="K711" s="4030"/>
      <c r="L711" s="4030"/>
      <c r="M711" s="4030"/>
      <c r="N711" s="4030"/>
      <c r="O711" s="4030"/>
      <c r="P711" s="4030"/>
      <c r="Q711" s="4105"/>
      <c r="R711" s="4105"/>
      <c r="S711" s="4105"/>
      <c r="T711" s="4105"/>
      <c r="U711" s="4105"/>
      <c r="V711" s="4105"/>
      <c r="W711" s="4105"/>
      <c r="X711" s="4105"/>
      <c r="Y711" s="4105"/>
    </row>
    <row r="712">
      <c r="A712" s="4158" t="s">
        <v>4260</v>
      </c>
      <c r="B712" s="4042"/>
      <c r="C712" s="4042"/>
      <c r="D712" s="4046"/>
      <c r="E712" s="4028"/>
      <c r="F712" s="4046"/>
      <c r="G712" s="4166"/>
      <c r="H712" s="4028" t="s">
        <v>3802</v>
      </c>
      <c r="I712" s="4028" t="s">
        <v>3776</v>
      </c>
      <c r="J712" s="4045"/>
      <c r="K712" s="4030"/>
      <c r="L712" s="4030"/>
      <c r="M712" s="4030"/>
      <c r="N712" s="4030"/>
      <c r="O712" s="4030"/>
      <c r="P712" s="4030"/>
    </row>
    <row r="713">
      <c r="A713" s="4504" t="s">
        <v>4263</v>
      </c>
      <c r="B713" s="4504"/>
      <c r="C713" s="4504"/>
      <c r="D713" s="4509"/>
      <c r="E713" s="4509"/>
      <c r="F713" s="4509"/>
      <c r="G713" s="4508"/>
      <c r="H713" s="4509" t="s">
        <v>3802</v>
      </c>
      <c r="I713" s="4028" t="s">
        <v>3776</v>
      </c>
      <c r="J713" s="4510"/>
      <c r="K713" s="4030"/>
      <c r="L713" s="4030"/>
      <c r="M713" s="4030"/>
      <c r="N713" s="4030"/>
      <c r="O713" s="4030"/>
      <c r="P713" s="4030"/>
    </row>
    <row r="714">
      <c r="A714" s="4158" t="s">
        <v>4260</v>
      </c>
      <c r="B714" s="4042"/>
      <c r="C714" s="4042"/>
      <c r="D714" s="4046"/>
      <c r="E714" s="4028"/>
      <c r="F714" s="4046"/>
      <c r="G714" s="4166"/>
      <c r="H714" s="4028" t="s">
        <v>3802</v>
      </c>
      <c r="I714" s="4028" t="s">
        <v>3776</v>
      </c>
      <c r="J714" s="4045"/>
      <c r="K714" s="4030"/>
      <c r="L714" s="4030"/>
      <c r="M714" s="4030"/>
      <c r="N714" s="4030"/>
      <c r="O714" s="4030"/>
      <c r="P714" s="4030"/>
    </row>
    <row r="715">
      <c r="A715" s="4504" t="s">
        <v>4263</v>
      </c>
      <c r="B715" s="4504"/>
      <c r="C715" s="4504"/>
      <c r="D715" s="4509"/>
      <c r="E715" s="4509"/>
      <c r="F715" s="4509"/>
      <c r="G715" s="4508"/>
      <c r="H715" s="4509" t="s">
        <v>3802</v>
      </c>
      <c r="I715" s="4028" t="s">
        <v>3776</v>
      </c>
      <c r="J715" s="4510"/>
      <c r="K715" s="4030"/>
      <c r="L715" s="4030"/>
      <c r="M715" s="4030"/>
      <c r="N715" s="4030"/>
      <c r="O715" s="4030"/>
      <c r="P715" s="4030"/>
    </row>
    <row r="716">
      <c r="A716" s="4158" t="s">
        <v>4260</v>
      </c>
      <c r="B716" s="4042"/>
      <c r="C716" s="4042"/>
      <c r="D716" s="4046"/>
      <c r="E716" s="4028"/>
      <c r="F716" s="4046"/>
      <c r="G716" s="4166"/>
      <c r="H716" s="4028" t="s">
        <v>3802</v>
      </c>
      <c r="I716" s="4028" t="s">
        <v>3776</v>
      </c>
      <c r="J716" s="4045"/>
      <c r="K716" s="4030"/>
      <c r="L716" s="4030"/>
      <c r="M716" s="4030"/>
      <c r="N716" s="4030"/>
      <c r="O716" s="4030"/>
      <c r="P716" s="4030"/>
    </row>
    <row r="717">
      <c r="A717" s="4504" t="s">
        <v>4263</v>
      </c>
      <c r="B717" s="4504"/>
      <c r="C717" s="4504"/>
      <c r="D717" s="4509"/>
      <c r="E717" s="4509"/>
      <c r="F717" s="4509"/>
      <c r="G717" s="4508"/>
      <c r="H717" s="4509" t="s">
        <v>3802</v>
      </c>
      <c r="I717" s="4028" t="s">
        <v>3776</v>
      </c>
      <c r="J717" s="4510"/>
      <c r="K717" s="4030"/>
      <c r="L717" s="4030"/>
      <c r="M717" s="4030"/>
      <c r="N717" s="4030"/>
      <c r="O717" s="4030"/>
      <c r="P717" s="4030"/>
    </row>
    <row r="718">
      <c r="A718" s="4158" t="s">
        <v>4260</v>
      </c>
      <c r="B718" s="4042"/>
      <c r="C718" s="4042"/>
      <c r="D718" s="4046"/>
      <c r="E718" s="4028"/>
      <c r="F718" s="4046"/>
      <c r="G718" s="4166"/>
      <c r="H718" s="4028" t="s">
        <v>3802</v>
      </c>
      <c r="I718" s="4028" t="s">
        <v>3776</v>
      </c>
      <c r="J718" s="4045"/>
      <c r="K718" s="4030"/>
      <c r="L718" s="4030"/>
      <c r="M718" s="4030"/>
      <c r="N718" s="4030"/>
      <c r="O718" s="4030"/>
      <c r="P718" s="4030"/>
    </row>
    <row r="719">
      <c r="A719" s="4504" t="s">
        <v>4263</v>
      </c>
      <c r="B719" s="4504"/>
      <c r="C719" s="4504"/>
      <c r="D719" s="4509"/>
      <c r="E719" s="4509"/>
      <c r="F719" s="4509"/>
      <c r="G719" s="4508"/>
      <c r="H719" s="4509" t="s">
        <v>3802</v>
      </c>
      <c r="I719" s="4028" t="s">
        <v>3776</v>
      </c>
      <c r="J719" s="4510"/>
      <c r="K719" s="4030"/>
      <c r="L719" s="4030"/>
      <c r="M719" s="4030"/>
      <c r="N719" s="4030"/>
      <c r="O719" s="4030"/>
      <c r="P719" s="4030"/>
    </row>
    <row r="720">
      <c r="A720" s="4042"/>
      <c r="B720" s="4042"/>
      <c r="C720" s="4042"/>
      <c r="D720" s="4042"/>
      <c r="E720" s="4042"/>
      <c r="F720" s="4042"/>
      <c r="G720" s="4042"/>
      <c r="H720" s="4042"/>
      <c r="I720" s="4042"/>
      <c r="J720" s="4515"/>
      <c r="K720" s="4516"/>
      <c r="L720" s="4516"/>
      <c r="M720" s="4516"/>
      <c r="N720" s="4516"/>
      <c r="O720" s="4516"/>
      <c r="P720" s="4516"/>
    </row>
    <row customHeight="true" ht="16.071428571428573" r="721">
      <c r="A721" s="4042"/>
      <c r="B721" s="4031"/>
      <c r="C721" s="4042"/>
      <c r="D721" s="4031"/>
      <c r="E721" s="4046"/>
      <c r="F721" s="4165"/>
      <c r="G721" s="4042"/>
      <c r="H721" s="4042"/>
      <c r="I721" s="4042"/>
      <c r="J721" s="4515"/>
      <c r="K721" s="4516"/>
      <c r="L721" s="4516"/>
      <c r="M721" s="4516"/>
      <c r="N721" s="4516"/>
      <c r="O721" s="4516"/>
      <c r="P721" s="4516"/>
    </row>
    <row r="722">
      <c r="A722" s="4076"/>
      <c r="B722" s="4076"/>
      <c r="C722" s="4076"/>
      <c r="D722" s="4076"/>
      <c r="E722" s="4076"/>
      <c r="F722" s="4076"/>
      <c r="G722" s="4076"/>
      <c r="H722" s="4076"/>
      <c r="I722" s="4076"/>
      <c r="J722" s="4076"/>
      <c r="K722" s="4077"/>
      <c r="L722" s="4077"/>
      <c r="M722" s="4077"/>
      <c r="N722" s="4077"/>
      <c r="O722" s="4077"/>
      <c r="P722" s="4077"/>
    </row>
    <row r="723">
      <c r="A723" s="4517" t="s">
        <v>4267</v>
      </c>
      <c r="B723" s="4518"/>
      <c r="C723" s="4517"/>
      <c r="D723" s="4517"/>
      <c r="E723" s="4517"/>
      <c r="F723" s="4517"/>
      <c r="G723" s="4517"/>
      <c r="H723" s="4517"/>
      <c r="I723" s="4517"/>
      <c r="J723" s="4519"/>
      <c r="K723" s="4437"/>
      <c r="L723" s="4437"/>
      <c r="M723" s="4437"/>
      <c r="N723" s="4437"/>
      <c r="O723" s="4437"/>
      <c r="P723" s="4437"/>
    </row>
    <row r="724">
      <c r="A724" s="4296" t="s">
        <v>4267</v>
      </c>
      <c r="B724" s="4297" t="s">
        <v>3763</v>
      </c>
      <c r="C724" s="4297"/>
      <c r="D724" s="4298" t="s">
        <v>3764</v>
      </c>
      <c r="E724" s="4298" t="s">
        <v>3765</v>
      </c>
      <c r="F724" s="4298" t="s">
        <v>3766</v>
      </c>
      <c r="G724" s="4299" t="s">
        <v>3781</v>
      </c>
      <c r="H724" s="4298" t="s">
        <v>3768</v>
      </c>
      <c r="I724" s="4298" t="s">
        <v>3769</v>
      </c>
      <c r="J724" s="4300" t="s">
        <v>3770</v>
      </c>
      <c r="K724" s="4041"/>
      <c r="L724" s="4041"/>
      <c r="M724" s="4041"/>
      <c r="N724" s="4041"/>
      <c r="O724" s="4041"/>
      <c r="P724" s="4041"/>
    </row>
    <row r="725">
      <c r="A725" s="4042" t="s">
        <v>4267</v>
      </c>
      <c r="B725" s="4031">
        <v>46252</v>
      </c>
      <c r="C725" s="4042" t="str">
        <v>Tuesday</v>
      </c>
      <c r="D725" s="4024" t="s">
        <v>4268</v>
      </c>
      <c r="E725" s="4032">
        <f>24*MOD(TIMEVALUE(TRIM(MID(D725,FIND("-",D725)+1,LEN(D725)))) - TIMEVALUE(TRIM(LEFT(D725,FIND("-",D725)-1))),1)</f>
      </c>
      <c r="F725" s="4046" t="s">
        <v>4127</v>
      </c>
      <c r="G725" s="4055"/>
      <c r="H725" s="4032" t="s">
        <v>3802</v>
      </c>
      <c r="I725" s="4087" t="s">
        <v>3743</v>
      </c>
      <c r="J725" s="4250"/>
      <c r="K725" s="4030"/>
      <c r="L725" s="4030"/>
      <c r="M725" s="4030"/>
      <c r="N725" s="4030"/>
      <c r="O725" s="4030"/>
      <c r="P725" s="4030"/>
    </row>
    <row customHeight="true" ht="18.452380952380953" r="726">
      <c r="A726" s="4042" t="s">
        <v>4267</v>
      </c>
      <c r="B726" s="4031">
        <v>46252</v>
      </c>
      <c r="C726" s="4042" t="str">
        <v>Tuesday</v>
      </c>
      <c r="D726" s="4024" t="s">
        <v>4269</v>
      </c>
      <c r="E726" s="4160">
        <v>2</v>
      </c>
      <c r="F726" s="4046" t="s">
        <v>4192</v>
      </c>
      <c r="G726" s="4055"/>
      <c r="H726" s="4032"/>
      <c r="I726" s="4032"/>
      <c r="J726" s="4250"/>
      <c r="K726" s="4030"/>
      <c r="L726" s="4030"/>
      <c r="M726" s="4030"/>
      <c r="N726" s="4030"/>
      <c r="O726" s="4030"/>
      <c r="P726" s="4030"/>
    </row>
    <row r="727">
      <c r="A727" s="4520" t="s">
        <v>4270</v>
      </c>
      <c r="B727" s="4521">
        <v>46252</v>
      </c>
      <c r="C727" s="4520" t="str">
        <v>Tuesday</v>
      </c>
      <c r="D727" s="4522" t="s">
        <v>4271</v>
      </c>
      <c r="E727" s="4523">
        <f t="shared" ref="E727:E736" si="118">24*MOD(TIMEVALUE(TRIM(MID(D727,FIND("-",D727)+1,LEN(D727)))) - TIMEVALUE(TRIM(LEFT(D727,FIND("-",D727)-1))),1)</f>
      </c>
      <c r="F727" s="4523" t="s">
        <v>4119</v>
      </c>
      <c r="G727" s="4524"/>
      <c r="H727" s="4525" t="s">
        <v>3802</v>
      </c>
      <c r="I727" s="4032" t="s">
        <v>3743</v>
      </c>
      <c r="J727" s="4526"/>
      <c r="K727" s="4030"/>
      <c r="L727" s="4030"/>
      <c r="M727" s="4030"/>
      <c r="N727" s="4030"/>
      <c r="O727" s="4030"/>
      <c r="P727" s="4030"/>
    </row>
    <row r="728">
      <c r="A728" s="4042" t="s">
        <v>4267</v>
      </c>
      <c r="B728" s="4031">
        <v>46253</v>
      </c>
      <c r="C728" s="4042" t="str">
        <v>Wednesday</v>
      </c>
      <c r="D728" s="4024" t="s">
        <v>4074</v>
      </c>
      <c r="E728" s="4032">
        <f t="shared" si="118"/>
      </c>
      <c r="F728" s="4046" t="s">
        <v>4127</v>
      </c>
      <c r="G728" s="4163"/>
      <c r="H728" s="4046" t="s">
        <v>3802</v>
      </c>
      <c r="I728" s="4032" t="s">
        <v>3743</v>
      </c>
      <c r="J728" s="4045"/>
      <c r="K728" s="4030"/>
      <c r="L728" s="4030"/>
      <c r="M728" s="4030"/>
      <c r="N728" s="4030"/>
      <c r="O728" s="4030"/>
      <c r="P728" s="4030"/>
    </row>
    <row r="729">
      <c r="A729" s="4520" t="s">
        <v>4270</v>
      </c>
      <c r="B729" s="4527">
        <v>46253</v>
      </c>
      <c r="C729" s="4520" t="str">
        <v>Wednesday</v>
      </c>
      <c r="D729" s="4522" t="s">
        <v>4272</v>
      </c>
      <c r="E729" s="4523">
        <f t="shared" si="118"/>
      </c>
      <c r="F729" s="4525" t="s">
        <v>4119</v>
      </c>
      <c r="G729" s="4524"/>
      <c r="H729" s="4525" t="s">
        <v>3802</v>
      </c>
      <c r="I729" s="4032" t="s">
        <v>3743</v>
      </c>
      <c r="J729" s="4526"/>
      <c r="K729" s="4030"/>
      <c r="L729" s="4030"/>
      <c r="M729" s="4030"/>
      <c r="N729" s="4030"/>
      <c r="O729" s="4030"/>
      <c r="P729" s="4030"/>
    </row>
    <row r="730">
      <c r="A730" s="4042" t="s">
        <v>4267</v>
      </c>
      <c r="B730" s="4159">
        <v>46254</v>
      </c>
      <c r="C730" s="4042" t="str">
        <v>Thursday</v>
      </c>
      <c r="D730" s="4024" t="s">
        <v>3964</v>
      </c>
      <c r="E730" s="4032">
        <f t="shared" si="118"/>
      </c>
      <c r="F730" s="4046" t="s">
        <v>3838</v>
      </c>
      <c r="G730" s="4163" t="s">
        <v>4273</v>
      </c>
      <c r="H730" s="4046" t="s">
        <v>3802</v>
      </c>
      <c r="I730" s="4087" t="s">
        <v>3743</v>
      </c>
      <c r="J730" s="4045"/>
      <c r="K730" s="4030"/>
      <c r="L730" s="4030"/>
      <c r="M730" s="4030"/>
      <c r="N730" s="4030"/>
      <c r="O730" s="4030"/>
      <c r="P730" s="4030"/>
    </row>
    <row customHeight="true" ht="18.452380952380953" r="731">
      <c r="A731" s="4042" t="s">
        <v>4267</v>
      </c>
      <c r="B731" s="4159">
        <v>46254</v>
      </c>
      <c r="C731" s="4042" t="str">
        <v>Thursday</v>
      </c>
      <c r="D731" s="4024" t="s">
        <v>4025</v>
      </c>
      <c r="E731" s="4032">
        <f t="shared" si="118"/>
      </c>
      <c r="F731" s="4046" t="s">
        <v>4127</v>
      </c>
      <c r="G731" s="4163"/>
      <c r="H731" s="4046"/>
      <c r="I731" s="4032"/>
      <c r="J731" s="4045"/>
      <c r="K731" s="4030"/>
      <c r="L731" s="4030"/>
      <c r="M731" s="4030"/>
      <c r="N731" s="4030"/>
      <c r="O731" s="4030"/>
      <c r="P731" s="4030"/>
    </row>
    <row r="732">
      <c r="A732" s="4520" t="s">
        <v>4270</v>
      </c>
      <c r="B732" s="4527">
        <v>46254</v>
      </c>
      <c r="C732" s="4520" t="str">
        <v>Thursday</v>
      </c>
      <c r="D732" s="4522" t="s">
        <v>4272</v>
      </c>
      <c r="E732" s="4523">
        <f t="shared" si="118"/>
      </c>
      <c r="F732" s="4528" t="s">
        <v>4116</v>
      </c>
      <c r="G732" s="4524"/>
      <c r="H732" s="4525" t="s">
        <v>3802</v>
      </c>
      <c r="I732" s="4032" t="s">
        <v>3743</v>
      </c>
      <c r="J732" s="4526"/>
      <c r="K732" s="4030"/>
      <c r="L732" s="4030"/>
      <c r="M732" s="4030"/>
      <c r="N732" s="4030"/>
      <c r="O732" s="4030"/>
      <c r="P732" s="4030"/>
    </row>
    <row r="733">
      <c r="A733" s="4042" t="s">
        <v>4267</v>
      </c>
      <c r="B733" s="4031">
        <v>46255</v>
      </c>
      <c r="C733" s="4042" t="str">
        <v>Friday</v>
      </c>
      <c r="D733" s="4024" t="s">
        <v>3865</v>
      </c>
      <c r="E733" s="4032">
        <f t="shared" si="118"/>
      </c>
      <c r="F733" s="4046" t="s">
        <v>4192</v>
      </c>
      <c r="G733" s="4163"/>
      <c r="H733" s="4032" t="s">
        <v>3802</v>
      </c>
      <c r="I733" s="4032" t="s">
        <v>3743</v>
      </c>
      <c r="J733" s="4526"/>
      <c r="K733" s="4030"/>
      <c r="L733" s="4030"/>
      <c r="M733" s="4030"/>
      <c r="N733" s="4030"/>
      <c r="O733" s="4030"/>
      <c r="P733" s="4030"/>
    </row>
    <row r="734">
      <c r="A734" s="4520" t="s">
        <v>4270</v>
      </c>
      <c r="B734" s="4527">
        <v>46255</v>
      </c>
      <c r="C734" s="4520" t="str">
        <v>Friday</v>
      </c>
      <c r="D734" s="4522" t="s">
        <v>4258</v>
      </c>
      <c r="E734" s="4523">
        <f t="shared" si="118"/>
      </c>
      <c r="F734" s="4525" t="s">
        <v>4119</v>
      </c>
      <c r="G734" s="4524"/>
      <c r="H734" s="4523" t="s">
        <v>3802</v>
      </c>
      <c r="I734" s="4032" t="s">
        <v>3743</v>
      </c>
      <c r="J734" s="4045"/>
      <c r="K734" s="4030"/>
      <c r="L734" s="4030"/>
      <c r="M734" s="4030"/>
      <c r="N734" s="4030"/>
      <c r="O734" s="4030"/>
      <c r="P734" s="4030"/>
    </row>
    <row r="735">
      <c r="A735" s="4042" t="s">
        <v>4267</v>
      </c>
      <c r="B735" s="4031">
        <v>46256</v>
      </c>
      <c r="C735" s="4042" t="str">
        <v>Saturday</v>
      </c>
      <c r="D735" s="4024" t="s">
        <v>4074</v>
      </c>
      <c r="E735" s="4032">
        <f t="shared" si="118"/>
      </c>
      <c r="F735" s="4315" t="s">
        <v>4274</v>
      </c>
      <c r="G735" s="4163" t="s">
        <v>4112</v>
      </c>
      <c r="H735" s="4032" t="s">
        <v>3802</v>
      </c>
      <c r="I735" s="4032" t="s">
        <v>3743</v>
      </c>
      <c r="J735" s="4526"/>
      <c r="K735" s="4030"/>
      <c r="L735" s="4030"/>
      <c r="M735" s="4030"/>
      <c r="N735" s="4030"/>
      <c r="O735" s="4030"/>
      <c r="P735" s="4030"/>
    </row>
    <row customHeight="true" ht="18.452380952380953" r="736">
      <c r="A736" s="4520" t="s">
        <v>4270</v>
      </c>
      <c r="B736" s="4527">
        <v>46256</v>
      </c>
      <c r="C736" s="4520" t="str">
        <v>Saturday</v>
      </c>
      <c r="D736" s="4522" t="s">
        <v>4272</v>
      </c>
      <c r="E736" s="4523">
        <f t="shared" si="118"/>
      </c>
      <c r="F736" s="4528" t="s">
        <v>4119</v>
      </c>
      <c r="G736" s="4524"/>
      <c r="H736" s="4525"/>
      <c r="I736" s="4032" t="s">
        <v>3743</v>
      </c>
      <c r="J736" s="4526"/>
      <c r="K736" s="4030"/>
      <c r="L736" s="4030"/>
      <c r="M736" s="4030"/>
      <c r="N736" s="4030"/>
      <c r="O736" s="4030"/>
      <c r="P736" s="4030"/>
    </row>
    <row customHeight="true" ht="18.452380952380953" r="737">
      <c r="A737" s="4042" t="s">
        <v>4267</v>
      </c>
      <c r="B737" s="4031">
        <v>46257</v>
      </c>
      <c r="C737" s="4042" t="str">
        <v>Sunday</v>
      </c>
      <c r="D737" s="4024" t="s">
        <v>4074</v>
      </c>
      <c r="E737" s="4160">
        <v>4</v>
      </c>
      <c r="F737" s="4315" t="s">
        <v>4274</v>
      </c>
      <c r="G737" s="4163" t="s">
        <v>4112</v>
      </c>
      <c r="H737" s="4032"/>
      <c r="I737" s="4032" t="s">
        <v>3743</v>
      </c>
      <c r="J737" s="4529" t="s">
        <v>4275</v>
      </c>
      <c r="K737" s="4097"/>
      <c r="L737" s="4097"/>
      <c r="M737" s="4097"/>
      <c r="N737" s="4097"/>
      <c r="O737" s="4097"/>
      <c r="P737" s="4097"/>
    </row>
    <row customHeight="true" ht="18.452380952380953" r="738">
      <c r="A738" s="4520" t="s">
        <v>4270</v>
      </c>
      <c r="B738" s="4521">
        <v>46250</v>
      </c>
      <c r="C738" s="4530" t="str">
        <v>Sunday</v>
      </c>
      <c r="D738" s="4531" t="s">
        <v>4074</v>
      </c>
      <c r="E738" s="4531">
        <v>4</v>
      </c>
      <c r="F738" s="4523" t="s">
        <v>4119</v>
      </c>
      <c r="G738" s="4532"/>
      <c r="H738" s="4523"/>
      <c r="I738" s="4032" t="s">
        <v>3743</v>
      </c>
      <c r="J738" s="4529"/>
      <c r="K738" s="4097"/>
      <c r="L738" s="4097"/>
      <c r="M738" s="4097"/>
      <c r="N738" s="4097"/>
      <c r="O738" s="4097"/>
      <c r="P738" s="4097"/>
    </row>
    <row customHeight="true" ht="18.452380952380953" r="739">
      <c r="A739" s="4520" t="s">
        <v>4270</v>
      </c>
      <c r="B739" s="4527">
        <v>46255</v>
      </c>
      <c r="C739" s="4520" t="str">
        <v>Friday</v>
      </c>
      <c r="D739" s="4531" t="s">
        <v>4234</v>
      </c>
      <c r="E739" s="4531">
        <v>6</v>
      </c>
      <c r="F739" s="4523" t="s">
        <v>4276</v>
      </c>
      <c r="G739" s="4532"/>
      <c r="H739" s="4523"/>
      <c r="I739" s="4032"/>
      <c r="J739" s="4529"/>
      <c r="K739" s="4097"/>
      <c r="L739" s="4097"/>
      <c r="M739" s="4097"/>
      <c r="N739" s="4097"/>
      <c r="O739" s="4097"/>
      <c r="P739" s="4097"/>
    </row>
    <row r="740">
      <c r="A740" s="4533" t="s">
        <v>4277</v>
      </c>
      <c r="B740" s="4533"/>
      <c r="C740" s="4533"/>
      <c r="D740" s="4533"/>
      <c r="E740" s="4533"/>
      <c r="F740" s="4533"/>
      <c r="G740" s="4533"/>
      <c r="H740" s="4533"/>
      <c r="I740" s="4533"/>
      <c r="J740" s="4534"/>
      <c r="K740" s="4437"/>
      <c r="L740" s="4437"/>
      <c r="M740" s="4437"/>
      <c r="N740" s="4437"/>
      <c r="O740" s="4437"/>
      <c r="P740" s="4437"/>
    </row>
    <row r="741">
      <c r="A741" s="4341" t="s">
        <v>4277</v>
      </c>
      <c r="B741" s="4186" t="s">
        <v>3763</v>
      </c>
      <c r="C741" s="4186"/>
      <c r="D741" s="4342" t="s">
        <v>3764</v>
      </c>
      <c r="E741" s="4342" t="s">
        <v>3765</v>
      </c>
      <c r="F741" s="4342" t="s">
        <v>3766</v>
      </c>
      <c r="G741" s="4343" t="s">
        <v>3781</v>
      </c>
      <c r="H741" s="4342" t="s">
        <v>3768</v>
      </c>
      <c r="I741" s="4342" t="s">
        <v>3769</v>
      </c>
      <c r="J741" s="4191" t="s">
        <v>3770</v>
      </c>
      <c r="K741" s="4041"/>
      <c r="L741" s="4041"/>
      <c r="M741" s="4041"/>
      <c r="N741" s="4041"/>
      <c r="O741" s="4041"/>
      <c r="P741" s="4041"/>
    </row>
    <row r="742">
      <c r="A742" s="4535" t="s">
        <v>4277</v>
      </c>
      <c r="B742" s="4159">
        <v>46252</v>
      </c>
      <c r="C742" s="4158" t="str">
        <v>Tuesday</v>
      </c>
      <c r="D742" s="4536" t="s">
        <v>3965</v>
      </c>
      <c r="E742" s="4032">
        <f t="shared" ref="E742:E756" si="119">24*MOD(TIMEVALUE(TRIM(MID(D742,FIND("-",D742)+1,LEN(D742)))) - TIMEVALUE(TRIM(LEFT(D742,FIND("-",D742)-1))),1)</f>
      </c>
      <c r="F742" s="4032" t="s">
        <v>3943</v>
      </c>
      <c r="G742" s="4161" t="s">
        <v>4112</v>
      </c>
      <c r="H742" s="4032" t="s">
        <v>3802</v>
      </c>
      <c r="I742" s="4046" t="s">
        <v>3743</v>
      </c>
      <c r="J742" s="4025" t="s">
        <v>4278</v>
      </c>
      <c r="K742" s="4030"/>
      <c r="L742" s="4030"/>
      <c r="M742" s="4030"/>
      <c r="N742" s="4030"/>
      <c r="O742" s="4030"/>
      <c r="P742" s="4030"/>
    </row>
    <row customHeight="true" ht="18.452380952380953" r="743">
      <c r="A743" s="4341" t="s">
        <v>4279</v>
      </c>
      <c r="B743" s="4226">
        <v>46252</v>
      </c>
      <c r="C743" s="4225" t="str">
        <v>Tuesday</v>
      </c>
      <c r="D743" s="4227" t="s">
        <v>4280</v>
      </c>
      <c r="E743" s="4228">
        <f t="shared" si="119"/>
      </c>
      <c r="F743" s="4228" t="s">
        <v>4119</v>
      </c>
      <c r="G743" s="4355"/>
      <c r="H743" s="4228" t="s">
        <v>3802</v>
      </c>
      <c r="I743" s="4032" t="s">
        <v>3776</v>
      </c>
      <c r="J743" s="4029"/>
      <c r="K743" s="4030"/>
      <c r="L743" s="4030"/>
      <c r="M743" s="4030"/>
      <c r="N743" s="4030"/>
      <c r="O743" s="4030"/>
      <c r="P743" s="4030"/>
    </row>
    <row r="744">
      <c r="A744" s="4537" t="s">
        <v>4277</v>
      </c>
      <c r="B744" s="4159">
        <v>46253</v>
      </c>
      <c r="C744" s="4042" t="str">
        <v>Wednesday</v>
      </c>
      <c r="D744" s="4047" t="s">
        <v>4281</v>
      </c>
      <c r="E744" s="4032">
        <f t="shared" si="119"/>
      </c>
      <c r="F744" s="4046" t="s">
        <v>3943</v>
      </c>
      <c r="G744" s="4055" t="s">
        <v>4282</v>
      </c>
      <c r="H744" s="4046" t="s">
        <v>3802</v>
      </c>
      <c r="I744" s="4046" t="s">
        <v>3743</v>
      </c>
      <c r="J744" s="4029"/>
      <c r="K744" s="4030"/>
      <c r="L744" s="4030"/>
      <c r="M744" s="4030"/>
      <c r="N744" s="4030"/>
      <c r="O744" s="4030"/>
      <c r="P744" s="4030"/>
    </row>
    <row customHeight="true" ht="18.452380952380953" r="745">
      <c r="A745" s="4341" t="s">
        <v>4279</v>
      </c>
      <c r="B745" s="4159">
        <v>46253</v>
      </c>
      <c r="C745" s="4042" t="str">
        <v>Wednesday</v>
      </c>
      <c r="D745" s="4047" t="s">
        <v>4283</v>
      </c>
      <c r="E745" s="4032">
        <f t="shared" si="119"/>
      </c>
      <c r="F745" s="4032" t="s">
        <v>3753</v>
      </c>
      <c r="G745" s="4055"/>
      <c r="H745" s="4046"/>
      <c r="I745" s="4032" t="s">
        <v>3776</v>
      </c>
      <c r="J745" s="4029"/>
      <c r="K745" s="4030"/>
      <c r="L745" s="4030"/>
      <c r="M745" s="4030"/>
      <c r="N745" s="4030"/>
      <c r="O745" s="4030"/>
      <c r="P745" s="4030"/>
    </row>
    <row r="746">
      <c r="A746" s="4537" t="s">
        <v>4277</v>
      </c>
      <c r="B746" s="4159">
        <v>46254</v>
      </c>
      <c r="C746" s="4042" t="str">
        <v>Thursday</v>
      </c>
      <c r="D746" s="4047" t="s">
        <v>4143</v>
      </c>
      <c r="E746" s="4032">
        <f t="shared" si="119"/>
      </c>
      <c r="F746" s="4046" t="s">
        <v>4284</v>
      </c>
      <c r="G746" s="4055" t="s">
        <v>4112</v>
      </c>
      <c r="H746" s="4046" t="s">
        <v>3802</v>
      </c>
      <c r="I746" s="4032" t="s">
        <v>3776</v>
      </c>
      <c r="J746" s="4029"/>
      <c r="K746" s="4030"/>
      <c r="L746" s="4030"/>
      <c r="M746" s="4030"/>
      <c r="N746" s="4030"/>
      <c r="O746" s="4030"/>
      <c r="P746" s="4030"/>
    </row>
    <row r="747">
      <c r="A747" s="4538" t="s">
        <v>4279</v>
      </c>
      <c r="B747" s="4226">
        <v>46254</v>
      </c>
      <c r="C747" s="4225" t="str">
        <v>Thursday</v>
      </c>
      <c r="D747" s="4539" t="s">
        <v>4285</v>
      </c>
      <c r="E747" s="4228">
        <f t="shared" si="119"/>
      </c>
      <c r="F747" s="4228" t="s">
        <v>3753</v>
      </c>
      <c r="G747" s="4358"/>
      <c r="H747" s="4046" t="s">
        <v>3802</v>
      </c>
      <c r="I747" s="4032" t="s">
        <v>3776</v>
      </c>
      <c r="J747" s="4360"/>
      <c r="K747" s="4030"/>
      <c r="L747" s="4030"/>
      <c r="M747" s="4030"/>
      <c r="N747" s="4030"/>
      <c r="O747" s="4030"/>
      <c r="P747" s="4030"/>
    </row>
    <row r="748">
      <c r="A748" s="4537" t="s">
        <v>4277</v>
      </c>
      <c r="B748" s="4159">
        <v>46255</v>
      </c>
      <c r="C748" s="4042" t="str">
        <v>Friday</v>
      </c>
      <c r="D748" s="4047" t="s">
        <v>4016</v>
      </c>
      <c r="E748" s="4032">
        <f t="shared" si="119"/>
      </c>
      <c r="F748" s="4046" t="s">
        <v>4284</v>
      </c>
      <c r="G748" s="4055" t="s">
        <v>4112</v>
      </c>
      <c r="H748" s="4285" t="s">
        <v>3802</v>
      </c>
      <c r="I748" s="4032" t="s">
        <v>3776</v>
      </c>
      <c r="J748" s="4029"/>
      <c r="K748" s="4030"/>
      <c r="L748" s="4030"/>
      <c r="M748" s="4030"/>
      <c r="N748" s="4030"/>
      <c r="O748" s="4030"/>
      <c r="P748" s="4030"/>
    </row>
    <row customHeight="true" ht="18.452380952380953" r="749">
      <c r="A749" s="4341" t="s">
        <v>4279</v>
      </c>
      <c r="B749" s="4226">
        <v>46255</v>
      </c>
      <c r="C749" s="4225" t="str">
        <v>Friday</v>
      </c>
      <c r="D749" s="4227" t="s">
        <v>4286</v>
      </c>
      <c r="E749" s="4228">
        <f t="shared" si="119"/>
      </c>
      <c r="F749" s="4357" t="s">
        <v>4119</v>
      </c>
      <c r="G749" s="4355"/>
      <c r="H749" s="4046" t="s">
        <v>3802</v>
      </c>
      <c r="I749" s="4032" t="s">
        <v>3776</v>
      </c>
      <c r="J749" s="4029"/>
      <c r="K749" s="4030"/>
      <c r="L749" s="4030"/>
      <c r="M749" s="4030"/>
      <c r="N749" s="4030"/>
      <c r="O749" s="4030"/>
      <c r="P749" s="4030"/>
    </row>
    <row customHeight="true" ht="18.452380952380953" r="750">
      <c r="A750" s="4537" t="s">
        <v>4277</v>
      </c>
      <c r="B750" s="4159">
        <v>46256</v>
      </c>
      <c r="C750" s="4042" t="str">
        <v>Saturday</v>
      </c>
      <c r="D750" s="4160" t="s">
        <v>4269</v>
      </c>
      <c r="E750" s="4032">
        <f t="shared" si="119"/>
      </c>
      <c r="F750" s="4046" t="s">
        <v>3821</v>
      </c>
      <c r="G750" s="4161" t="s">
        <v>4287</v>
      </c>
      <c r="H750" s="4046" t="s">
        <v>3802</v>
      </c>
      <c r="I750" s="4087" t="s">
        <v>3743</v>
      </c>
      <c r="J750" s="4250"/>
      <c r="K750" s="4030"/>
      <c r="L750" s="4030"/>
      <c r="M750" s="4030"/>
      <c r="N750" s="4030"/>
      <c r="O750" s="4030"/>
      <c r="P750" s="4030"/>
    </row>
    <row customHeight="true" ht="18.452380952380953" r="751">
      <c r="A751" s="4341" t="s">
        <v>4279</v>
      </c>
      <c r="B751" s="4226">
        <v>46256</v>
      </c>
      <c r="C751" s="4225" t="str">
        <v>Saturday</v>
      </c>
      <c r="D751" s="4227" t="s">
        <v>4288</v>
      </c>
      <c r="E751" s="4228">
        <f t="shared" si="119"/>
      </c>
      <c r="F751" s="4357"/>
      <c r="G751" s="4355"/>
      <c r="H751" s="4046" t="s">
        <v>3802</v>
      </c>
      <c r="I751" s="4032" t="s">
        <v>3776</v>
      </c>
      <c r="J751" s="4250"/>
      <c r="K751" s="4030"/>
      <c r="L751" s="4030"/>
      <c r="M751" s="4030"/>
      <c r="N751" s="4030"/>
      <c r="O751" s="4030"/>
      <c r="P751" s="4030"/>
    </row>
    <row customHeight="true" ht="18.452380952380953" r="752">
      <c r="A752" s="4537" t="s">
        <v>4277</v>
      </c>
      <c r="B752" s="4159">
        <v>46257</v>
      </c>
      <c r="C752" s="4158" t="str">
        <v>Sunday</v>
      </c>
      <c r="D752" s="4160" t="s">
        <v>3928</v>
      </c>
      <c r="E752" s="4032">
        <f t="shared" si="119"/>
      </c>
      <c r="F752" s="4046" t="s">
        <v>4284</v>
      </c>
      <c r="G752" s="4161" t="s">
        <v>4273</v>
      </c>
      <c r="H752" s="4030"/>
      <c r="I752" s="4032" t="s">
        <v>3776</v>
      </c>
      <c r="J752" s="4250"/>
      <c r="K752" s="4030"/>
      <c r="L752" s="4030"/>
      <c r="M752" s="4030"/>
      <c r="N752" s="4030"/>
      <c r="O752" s="4030"/>
      <c r="P752" s="4030"/>
    </row>
    <row customHeight="true" ht="18.452380952380953" r="753">
      <c r="A753" s="4341" t="s">
        <v>4279</v>
      </c>
      <c r="B753" s="4226">
        <v>46257</v>
      </c>
      <c r="C753" s="4225" t="str">
        <v>Sunday</v>
      </c>
      <c r="D753" s="4227" t="s">
        <v>4289</v>
      </c>
      <c r="E753" s="4228">
        <f t="shared" si="119"/>
      </c>
      <c r="F753" s="4357" t="s">
        <v>4119</v>
      </c>
      <c r="G753" s="4355"/>
      <c r="H753" s="4030"/>
      <c r="I753" s="4032" t="s">
        <v>3776</v>
      </c>
      <c r="J753" s="4250"/>
      <c r="K753" s="4030"/>
      <c r="L753" s="4030"/>
      <c r="M753" s="4030"/>
      <c r="N753" s="4030"/>
      <c r="O753" s="4030"/>
      <c r="P753" s="4030"/>
    </row>
    <row customHeight="true" ht="18.452380952380953" r="754">
      <c r="A754" s="4537" t="s">
        <v>4290</v>
      </c>
      <c r="B754" s="4159">
        <v>46252</v>
      </c>
      <c r="C754" s="4158" t="str">
        <v>Tuesday</v>
      </c>
      <c r="D754" s="4160" t="s">
        <v>4265</v>
      </c>
      <c r="E754" s="4228">
        <f t="shared" si="119"/>
      </c>
      <c r="F754" s="4046" t="s">
        <v>4284</v>
      </c>
      <c r="G754" s="4161" t="s">
        <v>4291</v>
      </c>
      <c r="H754" s="4030"/>
      <c r="I754" s="4032"/>
      <c r="J754" s="4250"/>
      <c r="K754" s="4030"/>
      <c r="L754" s="4030"/>
      <c r="M754" s="4030"/>
      <c r="N754" s="4030"/>
      <c r="O754" s="4030"/>
      <c r="P754" s="4030"/>
    </row>
    <row customHeight="true" ht="18.452380952380953" r="755">
      <c r="A755" s="4535" t="s">
        <v>4292</v>
      </c>
      <c r="B755" s="4159">
        <v>46252</v>
      </c>
      <c r="C755" s="4158" t="str">
        <v>Tuesday</v>
      </c>
      <c r="D755" s="4160" t="s">
        <v>4082</v>
      </c>
      <c r="E755" s="4228">
        <f t="shared" si="119"/>
      </c>
      <c r="F755" s="4032" t="s">
        <v>3753</v>
      </c>
      <c r="G755" s="4323"/>
      <c r="H755" s="4030"/>
      <c r="I755" s="4032"/>
      <c r="J755" s="4250"/>
      <c r="K755" s="4030"/>
      <c r="L755" s="4030"/>
      <c r="M755" s="4030"/>
      <c r="N755" s="4030"/>
      <c r="O755" s="4030"/>
      <c r="P755" s="4030"/>
      <c r="Q755" s="4105"/>
      <c r="R755" s="4105"/>
      <c r="S755" s="4105"/>
      <c r="T755" s="4105"/>
      <c r="U755" s="4105"/>
      <c r="V755" s="4105"/>
      <c r="W755" s="4105"/>
      <c r="X755" s="4105"/>
      <c r="Y755" s="4105"/>
    </row>
    <row customHeight="true" ht="18.452380952380953" r="756">
      <c r="A756" s="4535" t="s">
        <v>4292</v>
      </c>
      <c r="B756" s="4159">
        <v>46253</v>
      </c>
      <c r="C756" s="4158" t="str">
        <v>Wednesday</v>
      </c>
      <c r="D756" s="4160" t="s">
        <v>4293</v>
      </c>
      <c r="E756" s="4228">
        <f t="shared" si="119"/>
      </c>
      <c r="F756" s="4228" t="s">
        <v>4276</v>
      </c>
      <c r="G756" s="4323"/>
      <c r="H756" s="4030"/>
      <c r="I756" s="4032"/>
      <c r="J756" s="4250"/>
      <c r="K756" s="4030"/>
      <c r="L756" s="4030"/>
      <c r="M756" s="4030"/>
      <c r="N756" s="4030"/>
      <c r="O756" s="4030"/>
      <c r="P756" s="4030"/>
      <c r="Q756" s="4105"/>
      <c r="R756" s="4105"/>
      <c r="S756" s="4105"/>
      <c r="T756" s="4105"/>
      <c r="U756" s="4105"/>
      <c r="V756" s="4105"/>
      <c r="W756" s="4105"/>
      <c r="X756" s="4105"/>
      <c r="Y756" s="4105"/>
    </row>
    <row r="757">
      <c r="J757" s="4104"/>
      <c r="K757" s="4105"/>
      <c r="L757" s="4105"/>
      <c r="M757" s="4105"/>
      <c r="N757" s="4105"/>
      <c r="O757" s="4105"/>
      <c r="P757" s="4105"/>
    </row>
    <row r="758">
      <c r="A758" s="4540" t="s">
        <v>4294</v>
      </c>
      <c r="B758" s="4540"/>
      <c r="C758" s="4540"/>
      <c r="D758" s="4540"/>
      <c r="E758" s="4540"/>
      <c r="F758" s="4540"/>
      <c r="G758" s="4540"/>
      <c r="H758" s="4540"/>
      <c r="I758" s="4540"/>
      <c r="J758" s="4541"/>
      <c r="K758" s="4437"/>
      <c r="L758" s="4437"/>
      <c r="M758" s="4437"/>
      <c r="N758" s="4437"/>
      <c r="O758" s="4437"/>
      <c r="P758" s="4437"/>
    </row>
    <row r="759">
      <c r="A759" s="4542" t="s">
        <v>4294</v>
      </c>
      <c r="B759" s="4543" t="s">
        <v>3763</v>
      </c>
      <c r="C759" s="4543"/>
      <c r="D759" s="4544" t="s">
        <v>3764</v>
      </c>
      <c r="E759" s="4544" t="s">
        <v>3765</v>
      </c>
      <c r="F759" s="4544" t="s">
        <v>3766</v>
      </c>
      <c r="G759" s="4545" t="s">
        <v>3781</v>
      </c>
      <c r="H759" s="4544" t="s">
        <v>3768</v>
      </c>
      <c r="I759" s="4544" t="s">
        <v>3769</v>
      </c>
      <c r="J759" s="4546" t="s">
        <v>3770</v>
      </c>
      <c r="K759" s="4041"/>
      <c r="L759" s="4041"/>
      <c r="M759" s="4041"/>
      <c r="N759" s="4041"/>
      <c r="O759" s="4041"/>
      <c r="P759" s="4041"/>
    </row>
    <row r="760">
      <c r="A760" s="4537" t="s">
        <v>4294</v>
      </c>
      <c r="B760" s="4031">
        <v>46252</v>
      </c>
      <c r="C760" s="4042" t="str">
        <v>Tuesday</v>
      </c>
      <c r="D760" s="4047" t="s">
        <v>4015</v>
      </c>
      <c r="E760" s="4032">
        <f t="shared" ref="E760:E767" si="120">24*MOD(TIMEVALUE(TRIM(MID(D760,FIND("-",D760)+1,LEN(D760)))) - TIMEVALUE(TRIM(LEFT(D760,FIND("-",D760)-1))),1)</f>
      </c>
      <c r="F760" s="4046" t="s">
        <v>3821</v>
      </c>
      <c r="G760" s="4055" t="s">
        <v>4287</v>
      </c>
      <c r="H760" s="4046" t="s">
        <v>3802</v>
      </c>
      <c r="I760" s="4087" t="s">
        <v>3743</v>
      </c>
      <c r="J760" s="4029"/>
      <c r="K760" s="4030"/>
      <c r="L760" s="4030"/>
      <c r="M760" s="4030"/>
      <c r="N760" s="4030"/>
      <c r="O760" s="4030"/>
      <c r="P760" s="4030"/>
    </row>
    <row r="761">
      <c r="A761" s="4537" t="s">
        <v>4294</v>
      </c>
      <c r="B761" s="4031">
        <v>46253</v>
      </c>
      <c r="C761" s="4158" t="str">
        <v>Wednesday</v>
      </c>
      <c r="D761" s="4160" t="s">
        <v>3759</v>
      </c>
      <c r="E761" s="4032">
        <f t="shared" si="120"/>
      </c>
      <c r="F761" s="4046" t="s">
        <v>3821</v>
      </c>
      <c r="G761" s="4161" t="s">
        <v>4108</v>
      </c>
      <c r="H761" s="4032" t="s">
        <v>3802</v>
      </c>
      <c r="I761" s="4087" t="s">
        <v>3743</v>
      </c>
      <c r="J761" s="4029"/>
      <c r="K761" s="4030"/>
      <c r="L761" s="4030"/>
      <c r="M761" s="4030"/>
      <c r="N761" s="4030"/>
      <c r="O761" s="4030"/>
      <c r="P761" s="4030"/>
    </row>
    <row customHeight="true" ht="18.452380952380953" r="762">
      <c r="A762" s="4542" t="s">
        <v>4295</v>
      </c>
      <c r="B762" s="4547">
        <v>46253</v>
      </c>
      <c r="C762" s="4548" t="str">
        <v>Wednesday</v>
      </c>
      <c r="D762" s="4549" t="s">
        <v>4296</v>
      </c>
      <c r="E762" s="4550">
        <f t="shared" si="120"/>
      </c>
      <c r="F762" s="4550" t="s">
        <v>3753</v>
      </c>
      <c r="G762" s="4323"/>
      <c r="H762" s="4046" t="s">
        <v>3802</v>
      </c>
      <c r="I762" s="4087" t="s">
        <v>3743</v>
      </c>
      <c r="J762" s="4029"/>
      <c r="K762" s="4030"/>
      <c r="L762" s="4030"/>
      <c r="M762" s="4030"/>
      <c r="N762" s="4030"/>
      <c r="O762" s="4030"/>
      <c r="P762" s="4030"/>
    </row>
    <row customHeight="true" ht="18.452380952380953" r="763">
      <c r="A763" s="4537" t="s">
        <v>4294</v>
      </c>
      <c r="B763" s="4031">
        <v>46254</v>
      </c>
      <c r="C763" s="4158" t="str">
        <v>Thursday</v>
      </c>
      <c r="D763" s="4160" t="s">
        <v>4297</v>
      </c>
      <c r="E763" s="4032">
        <f t="shared" si="120"/>
      </c>
      <c r="F763" s="4046" t="s">
        <v>4284</v>
      </c>
      <c r="G763" s="4161" t="s">
        <v>4108</v>
      </c>
      <c r="H763" s="4046" t="s">
        <v>3802</v>
      </c>
      <c r="I763" s="4028" t="s">
        <v>3743</v>
      </c>
      <c r="J763" s="4029"/>
      <c r="K763" s="4030"/>
      <c r="L763" s="4030"/>
      <c r="M763" s="4030"/>
      <c r="N763" s="4030"/>
      <c r="O763" s="4030"/>
      <c r="P763" s="4030"/>
    </row>
    <row customHeight="true" ht="18.452380952380953" r="764">
      <c r="A764" s="4542" t="s">
        <v>4295</v>
      </c>
      <c r="B764" s="4547">
        <v>46254</v>
      </c>
      <c r="C764" s="4548" t="str">
        <v>Thursday</v>
      </c>
      <c r="D764" s="4549" t="s">
        <v>4298</v>
      </c>
      <c r="E764" s="4550">
        <f t="shared" si="120"/>
      </c>
      <c r="F764" s="4550" t="s">
        <v>3753</v>
      </c>
      <c r="G764" s="4323"/>
      <c r="H764" s="4046" t="s">
        <v>3802</v>
      </c>
      <c r="I764" s="4087" t="s">
        <v>3743</v>
      </c>
      <c r="J764" s="4029"/>
      <c r="K764" s="4030"/>
      <c r="L764" s="4030"/>
      <c r="M764" s="4030"/>
      <c r="N764" s="4030"/>
      <c r="O764" s="4030"/>
      <c r="P764" s="4030"/>
    </row>
    <row customHeight="true" ht="18.452380952380953" r="765">
      <c r="A765" s="4537" t="s">
        <v>4294</v>
      </c>
      <c r="B765" s="4031">
        <v>46255</v>
      </c>
      <c r="C765" s="4158" t="str">
        <v>Friday</v>
      </c>
      <c r="D765" s="4160" t="s">
        <v>4281</v>
      </c>
      <c r="E765" s="4032">
        <f t="shared" si="120"/>
      </c>
      <c r="F765" s="4046" t="s">
        <v>4284</v>
      </c>
      <c r="G765" s="4161" t="s">
        <v>4108</v>
      </c>
      <c r="H765" s="4046" t="s">
        <v>3802</v>
      </c>
      <c r="I765" s="4028" t="s">
        <v>3743</v>
      </c>
      <c r="J765" s="4029"/>
      <c r="K765" s="4030"/>
      <c r="L765" s="4030"/>
      <c r="M765" s="4030"/>
      <c r="N765" s="4030"/>
      <c r="O765" s="4030"/>
      <c r="P765" s="4030"/>
    </row>
    <row customHeight="true" ht="18.452380952380953" r="766">
      <c r="A766" s="4542" t="s">
        <v>4295</v>
      </c>
      <c r="B766" s="4547">
        <v>46255</v>
      </c>
      <c r="C766" s="4548" t="str">
        <v>Friday</v>
      </c>
      <c r="D766" s="4549" t="s">
        <v>3864</v>
      </c>
      <c r="E766" s="4550">
        <f t="shared" si="120"/>
      </c>
      <c r="F766" s="4551" t="s">
        <v>4117</v>
      </c>
      <c r="G766" s="4323"/>
      <c r="H766" s="4046" t="s">
        <v>3802</v>
      </c>
      <c r="I766" s="4087" t="s">
        <v>3743</v>
      </c>
      <c r="J766" s="4029"/>
      <c r="K766" s="4030"/>
      <c r="L766" s="4030"/>
      <c r="M766" s="4030"/>
      <c r="N766" s="4030"/>
      <c r="O766" s="4030"/>
      <c r="P766" s="4030"/>
    </row>
    <row customHeight="true" ht="18.452380952380953" r="767">
      <c r="A767" s="4537" t="s">
        <v>4294</v>
      </c>
      <c r="B767" s="4031">
        <v>46256</v>
      </c>
      <c r="C767" s="4158" t="str">
        <v>Saturday</v>
      </c>
      <c r="D767" s="4160" t="s">
        <v>4016</v>
      </c>
      <c r="E767" s="4032">
        <f t="shared" si="120"/>
      </c>
      <c r="F767" s="4046" t="s">
        <v>4284</v>
      </c>
      <c r="G767" s="4161" t="s">
        <v>4112</v>
      </c>
      <c r="H767" s="4046" t="s">
        <v>3802</v>
      </c>
      <c r="I767" s="4028" t="s">
        <v>3743</v>
      </c>
      <c r="J767" s="4029"/>
      <c r="K767" s="4030"/>
      <c r="L767" s="4030"/>
      <c r="M767" s="4030"/>
      <c r="N767" s="4030"/>
      <c r="O767" s="4030"/>
      <c r="P767" s="4030"/>
    </row>
    <row customHeight="true" ht="18.452380952380953" r="768">
      <c r="A768" s="4542" t="s">
        <v>4295</v>
      </c>
      <c r="B768" s="4547">
        <v>46256</v>
      </c>
      <c r="C768" s="4548" t="str">
        <v>Saturday</v>
      </c>
      <c r="D768" s="4549" t="s">
        <v>4286</v>
      </c>
      <c r="E768" s="4549">
        <v>2</v>
      </c>
      <c r="F768" s="4551" t="s">
        <v>4119</v>
      </c>
      <c r="G768" s="4323"/>
      <c r="H768" s="4046" t="s">
        <v>3802</v>
      </c>
      <c r="I768" s="4028" t="s">
        <v>3743</v>
      </c>
      <c r="J768" s="4029"/>
      <c r="K768" s="4030"/>
      <c r="L768" s="4030"/>
      <c r="M768" s="4030"/>
      <c r="N768" s="4030"/>
      <c r="O768" s="4030"/>
      <c r="P768" s="4030"/>
    </row>
    <row customHeight="true" ht="18.452380952380953" r="769">
      <c r="A769" s="4537" t="s">
        <v>4294</v>
      </c>
      <c r="B769" s="4031">
        <v>46257</v>
      </c>
      <c r="C769" s="4158" t="str">
        <v>Sunday</v>
      </c>
      <c r="D769" s="4160" t="s">
        <v>4016</v>
      </c>
      <c r="E769" s="4160">
        <v>2</v>
      </c>
      <c r="F769" s="4046" t="s">
        <v>4284</v>
      </c>
      <c r="G769" s="4161" t="s">
        <v>4108</v>
      </c>
      <c r="H769" s="4046" t="s">
        <v>3802</v>
      </c>
      <c r="I769" s="4028"/>
      <c r="J769" s="4029"/>
      <c r="K769" s="4030"/>
      <c r="L769" s="4030"/>
      <c r="M769" s="4030"/>
      <c r="N769" s="4030"/>
      <c r="O769" s="4030"/>
      <c r="P769" s="4030"/>
    </row>
    <row r="770">
      <c r="A770" s="4542" t="s">
        <v>4295</v>
      </c>
      <c r="B770" s="4547">
        <v>46257</v>
      </c>
      <c r="C770" s="4548" t="str">
        <v>Sunday</v>
      </c>
      <c r="D770" s="4549" t="s">
        <v>4286</v>
      </c>
      <c r="E770" s="4549">
        <v>2</v>
      </c>
      <c r="F770" s="4551" t="s">
        <v>4117</v>
      </c>
      <c r="G770" s="4323"/>
      <c r="H770" s="4046" t="s">
        <v>3802</v>
      </c>
      <c r="I770" s="4087" t="s">
        <v>3743</v>
      </c>
      <c r="J770" s="4029"/>
      <c r="K770" s="4030"/>
      <c r="L770" s="4030"/>
      <c r="M770" s="4030"/>
      <c r="N770" s="4030"/>
      <c r="O770" s="4030"/>
      <c r="P770" s="4030"/>
    </row>
    <row r="771">
      <c r="A771" s="4537"/>
      <c r="B771" s="4031"/>
      <c r="C771" s="4042"/>
      <c r="D771" s="4160"/>
      <c r="E771" s="4160"/>
      <c r="F771" s="4032"/>
      <c r="G771" s="4161"/>
      <c r="H771" s="4046"/>
      <c r="I771" s="4028"/>
      <c r="J771" s="4029"/>
      <c r="K771" s="4030"/>
      <c r="L771" s="4030"/>
      <c r="M771" s="4030"/>
      <c r="N771" s="4030"/>
      <c r="O771" s="4030"/>
      <c r="P771" s="4030"/>
    </row>
    <row r="772">
      <c r="A772" s="4537"/>
      <c r="B772" s="4159"/>
      <c r="C772" s="4158"/>
      <c r="D772" s="4160"/>
      <c r="E772" s="4032"/>
      <c r="F772" s="4032"/>
      <c r="G772" s="4323"/>
      <c r="H772" s="4032"/>
      <c r="I772" s="4028"/>
      <c r="J772" s="4029"/>
      <c r="K772" s="4030"/>
      <c r="L772" s="4030"/>
      <c r="M772" s="4030"/>
      <c r="N772" s="4030"/>
      <c r="O772" s="4030"/>
      <c r="P772" s="4030"/>
    </row>
    <row r="773">
      <c r="A773" s="4537"/>
      <c r="B773" s="4159"/>
      <c r="C773" s="4158"/>
      <c r="D773" s="4160"/>
      <c r="E773" s="4032"/>
      <c r="F773" s="4032"/>
      <c r="G773" s="4323"/>
      <c r="H773" s="4032"/>
      <c r="I773" s="4028"/>
      <c r="J773" s="4029"/>
      <c r="K773" s="4030"/>
      <c r="L773" s="4030"/>
      <c r="M773" s="4030"/>
      <c r="N773" s="4030"/>
      <c r="O773" s="4030"/>
      <c r="P773" s="4030"/>
    </row>
    <row r="774">
      <c r="A774" s="4537"/>
      <c r="B774" s="4159"/>
      <c r="C774" s="4158"/>
      <c r="D774" s="4160"/>
      <c r="E774" s="4032"/>
      <c r="F774" s="4032"/>
      <c r="G774" s="4323"/>
      <c r="H774" s="4032"/>
      <c r="I774" s="4028"/>
      <c r="J774" s="4029"/>
      <c r="K774" s="4030"/>
      <c r="L774" s="4030"/>
      <c r="M774" s="4030"/>
      <c r="N774" s="4030"/>
      <c r="O774" s="4030"/>
      <c r="P774" s="4030"/>
    </row>
    <row r="775">
      <c r="A775" s="4537"/>
      <c r="B775" s="4159"/>
      <c r="C775" s="4158"/>
      <c r="D775" s="4160"/>
      <c r="E775" s="4032"/>
      <c r="F775" s="4032"/>
      <c r="G775" s="4323"/>
      <c r="H775" s="4032"/>
      <c r="I775" s="4028"/>
      <c r="J775" s="4029"/>
      <c r="K775" s="4030"/>
      <c r="L775" s="4030"/>
      <c r="M775" s="4030"/>
      <c r="N775" s="4030"/>
      <c r="O775" s="4030"/>
      <c r="P775" s="4030"/>
    </row>
    <row r="776">
      <c r="A776" s="4537"/>
      <c r="B776" s="4159"/>
      <c r="C776" s="4158"/>
      <c r="D776" s="4160"/>
      <c r="E776" s="4032"/>
      <c r="F776" s="4032"/>
      <c r="G776" s="4323"/>
      <c r="H776" s="4032"/>
      <c r="I776" s="4028"/>
      <c r="J776" s="4029"/>
      <c r="K776" s="4030"/>
      <c r="L776" s="4030"/>
      <c r="M776" s="4030"/>
      <c r="N776" s="4030"/>
      <c r="O776" s="4030"/>
      <c r="P776" s="4030"/>
    </row>
    <row r="777">
      <c r="A777" s="4537"/>
      <c r="B777" s="4159"/>
      <c r="C777" s="4158"/>
      <c r="D777" s="4160"/>
      <c r="E777" s="4032"/>
      <c r="F777" s="4032"/>
      <c r="G777" s="4323"/>
      <c r="H777" s="4032"/>
      <c r="I777" s="4028"/>
      <c r="J777" s="4029"/>
      <c r="K777" s="4030"/>
      <c r="L777" s="4030"/>
      <c r="M777" s="4030"/>
      <c r="N777" s="4030"/>
      <c r="O777" s="4030"/>
      <c r="P777" s="4030"/>
    </row>
    <row r="778">
      <c r="A778" s="4537"/>
      <c r="B778" s="4159"/>
      <c r="C778" s="4158"/>
      <c r="D778" s="4160"/>
      <c r="E778" s="4032"/>
      <c r="F778" s="4032"/>
      <c r="G778" s="4323"/>
      <c r="H778" s="4032"/>
      <c r="I778" s="4028"/>
      <c r="J778" s="4029"/>
      <c r="K778" s="4030"/>
      <c r="L778" s="4030"/>
      <c r="M778" s="4030"/>
      <c r="N778" s="4030"/>
      <c r="O778" s="4030"/>
      <c r="P778" s="4030"/>
    </row>
    <row r="779">
      <c r="A779" s="4537"/>
      <c r="B779" s="4159"/>
      <c r="C779" s="4158"/>
      <c r="D779" s="4160"/>
      <c r="E779" s="4032"/>
      <c r="F779" s="4032"/>
      <c r="G779" s="4323"/>
      <c r="H779" s="4032"/>
      <c r="I779" s="4028"/>
      <c r="J779" s="4029"/>
      <c r="K779" s="4030"/>
      <c r="L779" s="4030"/>
      <c r="M779" s="4030"/>
      <c r="N779" s="4030"/>
      <c r="O779" s="4030"/>
      <c r="P779" s="4030"/>
    </row>
  </sheetData>
  <mergeCells>
    <mergeCell ref="A2:J2"/>
    <mergeCell ref="A3:J3"/>
    <mergeCell ref="B14:C14"/>
    <mergeCell ref="A13:J13"/>
    <mergeCell ref="B43:C43"/>
    <mergeCell ref="A42:F42"/>
    <mergeCell ref="A20:J20"/>
    <mergeCell ref="B22:C22"/>
    <mergeCell ref="A21:I21"/>
    <mergeCell ref="A75:F75"/>
    <mergeCell ref="B76:C76"/>
    <mergeCell ref="A97:F97"/>
    <mergeCell ref="B98:C98"/>
    <mergeCell ref="B119:C119"/>
    <mergeCell ref="B59:C59"/>
    <mergeCell ref="A58:F58"/>
    <mergeCell ref="B205:C205"/>
    <mergeCell ref="B202:C202"/>
  </mergeCells>
  <dataValidations count="4">
    <dataValidation allowBlank="true" errorStyle="stop" showErrorMessage="true" sqref="H4:H12 H15:H19 H23:H39 H44:H46 H48:H51 H53:H56 H60:H63 H65:H72 H77:H81 H83:H88 H90:H95 H99:H103 H105:H109 H111:H116 H120:H152 H155:H176 H180:H187 H190:H200 H206:H226 H229:H239 H241:H244 H246:H255 H259:H275 H279:H313 H315:H342 H346:H367 H370:H382 H386:H403 H407:H410 H414:H431 H435:H485 H489:H495 H518:H520 H532:H536 H538:H542 H546:H574 H577:H591 H594:H611 H613:H616 H622:H648 H651:H661 H665:H690" type="list">
      <formula1>"8461 Higuera Street,3619 Eastham Drive"</formula1>
    </dataValidation>
    <dataValidation allowBlank="true" errorStyle="stop" showErrorMessage="true" sqref="I120:I129 I131:I133 I135:I152 I155:I176 I181:I182 I184:I187 I206:I226 I234:I235 I242:I243 I246:I246 I249:I251 I255:I255 I354:I354 I448:I448 I462:I462 I514:I517 I521:I529 I543:I543 I613:I615 I742:I742 I744:I744 J613:J615" type="list">
      <formula1>"PENDING,YES"</formula1>
    </dataValidation>
    <dataValidation allowBlank="true" errorStyle="stop" showErrorMessage="true" sqref="I616:I616 J616:J616" type="list">
      <formula1>"PENDING,YES,Back up"</formula1>
    </dataValidation>
    <dataValidation allowBlank="true" errorStyle="stop" showErrorMessage="true" sqref="I4:I12 I15:I19 I23:I39 I44:I46 I48:I51 I53:I56 I60:I63 I65:I72 I77:I81 I83:I88 I90:I95 I99:I103 I105:I109 I111:I116 I130:I130 I134:I134 I180:I180 I183:I183 I190:I200 I229:I233 I236:I239 I241:I241 I244:I244 I247:I248 I252:I254 I259:I275 I279:I313 I315:I342 I346:I353 I355:I367 I370:I382 I386:I403 I407:I410 I414:I431 I435:I447 I449:I461 I463:I485 I489:I495 I498:I510 I518:I520 I532:I536 I538:I542 I546:I574 I577:I591 I594:I611 I622:I648 I651:I661 I665:I690 I693:I719 I724:I739 I741:I741 I743:I743 I745:I756 I759:I779" type="list">
      <formula1>"YES,PENDING"</formula1>
    </dataValidation>
  </dataValidations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21.577464788732396"/>
    <col collapsed="false" customWidth="true" hidden="false" max="8" min="8" style="0" width="22.92957746478873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3" min="3" style="0" width="14.47887323943662"/>
    <col collapsed="false" customWidth="true" hidden="false" max="7" min="7" style="0" width="28.225352112676056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2" min="2" style="0" width="14.47887323943662"/>
    <col collapsed="false" customWidth="true" hidden="false" max="6" min="6" style="0" width="29.464788732394368"/>
    <col collapsed="false" customWidth="true" hidden="false" max="10" min="10" style="0" width="39.15492957746479"/>
    <col collapsed="false" customWidth="true" hidden="false" max="14" min="14" style="0" width="11.211267605633802"/>
    <col collapsed="false" customWidth="true" hidden="false" max="1" min="1" style="0" width="29.464788732394368"/>
    <col collapsed="false" customWidth="true" hidden="false" max="5" min="5" style="0" width="21.577464788732396"/>
    <col collapsed="false" customWidth="true" hidden="false" max="9" min="9" style="0" width="15.605633802816902"/>
    <col collapsed="false" customWidth="true" hidden="false" max="13" min="13" style="0" width="11.211267605633802"/>
  </cols>
  <sheetData>
    <row r="1">
      <c r="A1" s="4552"/>
      <c r="B1" s="4552"/>
      <c r="C1" s="4552"/>
      <c r="D1" s="4552"/>
      <c r="E1" s="4552"/>
      <c r="F1" s="4553"/>
      <c r="G1" s="4552"/>
      <c r="H1" s="4554"/>
      <c r="I1" s="4552"/>
      <c r="J1" s="4555"/>
      <c r="K1" s="4556"/>
      <c r="L1" s="4556"/>
      <c r="M1" s="4556"/>
      <c r="N1" s="4556"/>
      <c r="O1" s="4556"/>
      <c r="P1" s="4556"/>
    </row>
    <row r="2">
      <c r="A2" s="4557"/>
      <c r="B2" s="4557"/>
      <c r="C2" s="4557"/>
      <c r="D2" s="4557"/>
      <c r="E2" s="4557"/>
      <c r="F2" s="4557"/>
      <c r="G2" s="4557"/>
      <c r="H2" s="4557"/>
      <c r="I2" s="4557"/>
      <c r="J2" s="4557"/>
      <c r="K2" s="4558"/>
      <c r="L2" s="4558"/>
      <c r="M2" s="4558"/>
      <c r="N2" s="4558"/>
      <c r="O2" s="4558"/>
      <c r="P2" s="4558"/>
    </row>
    <row customHeight="true" ht="25" r="3">
      <c r="A3" s="4559" t="s">
        <v>4299</v>
      </c>
      <c r="B3" s="4560"/>
      <c r="C3" s="4561"/>
      <c r="D3" s="4561"/>
      <c r="E3" s="4561"/>
      <c r="F3" s="4561"/>
      <c r="G3" s="4561"/>
      <c r="H3" s="4561"/>
      <c r="I3" s="4561"/>
      <c r="J3" s="4562"/>
      <c r="K3" s="4563"/>
      <c r="L3" s="4563"/>
      <c r="M3" s="4563"/>
      <c r="N3" s="4563"/>
      <c r="O3" s="4563"/>
      <c r="P3" s="4563"/>
    </row>
    <row customHeight="true" ht="25" r="4">
      <c r="A4" s="4564" t="s">
        <v>4299</v>
      </c>
      <c r="B4" s="4565">
        <v>46244</v>
      </c>
      <c r="C4" s="4566" t="str">
        <v>Monday</v>
      </c>
      <c r="D4" s="4567" t="s">
        <v>4300</v>
      </c>
      <c r="E4" s="4568">
        <f t="shared" ref="E4:E10" si="47">24*MOD(TIMEVALUE(TRIM(MID(D4,FIND("-",D4)+1,LEN(D4)))) - TIMEVALUE(TRIM(LEFT(D4,FIND("-",D4)-1))),1)</f>
      </c>
      <c r="F4" s="4569" t="s">
        <v>4301</v>
      </c>
      <c r="G4" s="4570" t="s">
        <v>4302</v>
      </c>
      <c r="H4" s="4571" t="s">
        <v>4303</v>
      </c>
      <c r="I4" s="4571" t="s">
        <v>4304</v>
      </c>
      <c r="J4" s="4568"/>
      <c r="K4" s="4572"/>
      <c r="L4" s="4572"/>
      <c r="M4" s="4572"/>
      <c r="N4" s="4572"/>
      <c r="O4" s="4572"/>
      <c r="P4" s="4572"/>
    </row>
    <row r="5">
      <c r="A5" s="4564" t="s">
        <v>4299</v>
      </c>
      <c r="B5" s="4565">
        <v>46244</v>
      </c>
      <c r="C5" s="4573" t="s">
        <v>4305</v>
      </c>
      <c r="D5" s="4567" t="s">
        <v>4300</v>
      </c>
      <c r="E5" s="4568">
        <f t="shared" si="47"/>
      </c>
      <c r="F5" s="4569" t="s">
        <v>4306</v>
      </c>
      <c r="G5" s="4570" t="s">
        <v>4302</v>
      </c>
      <c r="H5" s="4571" t="s">
        <v>4303</v>
      </c>
      <c r="I5" s="4571" t="s">
        <v>4304</v>
      </c>
      <c r="J5" s="4568"/>
      <c r="K5" s="4572"/>
      <c r="L5" s="4572"/>
      <c r="M5" s="4572"/>
      <c r="N5" s="4572"/>
      <c r="O5" s="4572"/>
      <c r="P5" s="4572"/>
    </row>
    <row r="6">
      <c r="A6" s="4564" t="s">
        <v>4299</v>
      </c>
      <c r="B6" s="4574">
        <v>46244</v>
      </c>
      <c r="C6" s="4573" t="s">
        <v>4305</v>
      </c>
      <c r="D6" s="4567" t="s">
        <v>4300</v>
      </c>
      <c r="E6" s="4568">
        <f t="shared" si="47"/>
      </c>
      <c r="F6" s="4569" t="s">
        <v>4307</v>
      </c>
      <c r="G6" s="4570" t="s">
        <v>4302</v>
      </c>
      <c r="H6" s="4571" t="s">
        <v>4303</v>
      </c>
      <c r="I6" s="4571" t="s">
        <v>4304</v>
      </c>
      <c r="J6" s="4568"/>
      <c r="K6" s="4572"/>
      <c r="L6" s="4572"/>
      <c r="M6" s="4572"/>
      <c r="N6" s="4572"/>
      <c r="O6" s="4572"/>
      <c r="P6" s="4572"/>
    </row>
    <row customHeight="true" ht="18.452380952380953" r="7">
      <c r="A7" s="4564" t="s">
        <v>4299</v>
      </c>
      <c r="B7" s="4574">
        <v>46244</v>
      </c>
      <c r="C7" s="4573" t="s">
        <v>4308</v>
      </c>
      <c r="D7" s="4567" t="s">
        <v>4300</v>
      </c>
      <c r="E7" s="4568">
        <f t="shared" si="47"/>
      </c>
      <c r="F7" s="4569" t="s">
        <v>4309</v>
      </c>
      <c r="G7" s="4570" t="s">
        <v>4302</v>
      </c>
      <c r="H7" s="4571" t="s">
        <v>4303</v>
      </c>
      <c r="I7" s="4571" t="s">
        <v>4304</v>
      </c>
      <c r="J7" s="4568"/>
      <c r="K7" s="4572"/>
      <c r="L7" s="4572"/>
      <c r="M7" s="4572"/>
      <c r="N7" s="4572"/>
      <c r="O7" s="4572"/>
      <c r="P7" s="4572"/>
    </row>
    <row customHeight="true" ht="18.452380952380953" r="8">
      <c r="A8" s="4564" t="s">
        <v>4299</v>
      </c>
      <c r="B8" s="4574">
        <v>46244</v>
      </c>
      <c r="C8" s="4573" t="s">
        <v>4308</v>
      </c>
      <c r="D8" s="4567" t="s">
        <v>4300</v>
      </c>
      <c r="E8" s="4568">
        <f t="shared" si="47"/>
      </c>
      <c r="F8" s="4569" t="s">
        <v>4310</v>
      </c>
      <c r="G8" s="4570"/>
      <c r="H8" s="4571"/>
      <c r="I8" s="4571"/>
      <c r="J8" s="4568"/>
      <c r="K8" s="4572"/>
      <c r="L8" s="4572"/>
      <c r="M8" s="4572"/>
      <c r="N8" s="4572"/>
      <c r="O8" s="4572"/>
      <c r="P8" s="4572"/>
    </row>
    <row customHeight="true" ht="18.452380952380953" r="9">
      <c r="A9" s="4564" t="s">
        <v>4299</v>
      </c>
      <c r="B9" s="4574">
        <v>46244</v>
      </c>
      <c r="C9" s="4573" t="s">
        <v>4308</v>
      </c>
      <c r="D9" s="4567" t="s">
        <v>4300</v>
      </c>
      <c r="E9" s="4568">
        <f t="shared" si="47"/>
      </c>
      <c r="F9" s="4575" t="s">
        <v>4311</v>
      </c>
      <c r="G9" s="4570"/>
      <c r="H9" s="4571"/>
      <c r="I9" s="4571"/>
      <c r="J9" s="4568"/>
      <c r="K9" s="4572"/>
      <c r="L9" s="4572"/>
      <c r="M9" s="4572"/>
      <c r="N9" s="4572"/>
      <c r="O9" s="4572"/>
      <c r="P9" s="4572"/>
    </row>
    <row customHeight="true" ht="18.452380952380953" r="10">
      <c r="A10" s="4564" t="s">
        <v>4299</v>
      </c>
      <c r="B10" s="4574">
        <v>46244</v>
      </c>
      <c r="C10" s="4573" t="s">
        <v>4312</v>
      </c>
      <c r="D10" s="4567" t="s">
        <v>4313</v>
      </c>
      <c r="E10" s="4568">
        <f t="shared" si="47"/>
      </c>
      <c r="F10" s="4576" t="s">
        <v>4314</v>
      </c>
      <c r="G10" s="4570" t="s">
        <v>4315</v>
      </c>
      <c r="H10" s="4571" t="s">
        <v>4316</v>
      </c>
      <c r="I10" s="4571" t="s">
        <v>4304</v>
      </c>
      <c r="J10" s="4568"/>
      <c r="K10" s="4572"/>
      <c r="L10" s="4572"/>
      <c r="M10" s="4572"/>
      <c r="N10" s="4572"/>
      <c r="O10" s="4572"/>
      <c r="P10" s="4572"/>
    </row>
    <row r="11">
      <c r="A11" s="4577" t="s">
        <v>4317</v>
      </c>
      <c r="B11" s="4578"/>
      <c r="C11" s="4578"/>
      <c r="D11" s="4578"/>
      <c r="E11" s="4578"/>
      <c r="F11" s="4578"/>
      <c r="G11" s="4578"/>
      <c r="H11" s="4578"/>
      <c r="I11" s="4578"/>
      <c r="J11" s="4579"/>
      <c r="K11" s="4580"/>
      <c r="L11" s="4580"/>
      <c r="M11" s="4580"/>
      <c r="N11" s="4580"/>
      <c r="O11" s="4580"/>
      <c r="P11" s="4580"/>
    </row>
    <row customHeight="true" ht="39.88095238095238" r="12">
      <c r="A12" s="4581" t="s">
        <v>4318</v>
      </c>
      <c r="B12" s="4582" t="s">
        <v>4319</v>
      </c>
      <c r="C12" s="4582"/>
      <c r="D12" s="4583" t="s">
        <v>4320</v>
      </c>
      <c r="E12" s="4584" t="s">
        <v>4321</v>
      </c>
      <c r="F12" s="4583" t="s">
        <v>4322</v>
      </c>
      <c r="G12" s="4585" t="s">
        <v>4323</v>
      </c>
      <c r="H12" s="4583" t="s">
        <v>4324</v>
      </c>
      <c r="I12" s="4583" t="s">
        <v>4325</v>
      </c>
      <c r="J12" s="4584" t="s">
        <v>4326</v>
      </c>
      <c r="K12" s="4586"/>
      <c r="L12" s="4586"/>
      <c r="M12" s="4586"/>
      <c r="N12" s="4586"/>
      <c r="O12" s="4586"/>
      <c r="P12" s="4586"/>
    </row>
    <row r="13">
      <c r="A13" s="4587" t="s">
        <v>4327</v>
      </c>
      <c r="B13" s="4587">
        <v>46216</v>
      </c>
      <c r="C13" s="4587" t="str">
        <v>Monday</v>
      </c>
      <c r="D13" s="4571" t="s">
        <v>4328</v>
      </c>
      <c r="E13" s="4568">
        <f t="shared" ref="E13:E14" si="48">24*MOD(TIMEVALUE(TRIM(MID(D13,FIND("-",D13)+1,LEN(D13)))) - TIMEVALUE(TRIM(LEFT(D13,FIND("-",D13)-1))),1)</f>
      </c>
      <c r="F13" s="4588"/>
      <c r="G13" s="4589" t="s">
        <v>4329</v>
      </c>
      <c r="H13" s="4571"/>
      <c r="I13" s="4571" t="s">
        <v>4304</v>
      </c>
      <c r="J13" s="4590"/>
      <c r="K13" s="4572"/>
      <c r="L13" s="4572"/>
      <c r="M13" s="4572"/>
      <c r="N13" s="4572"/>
      <c r="O13" s="4572"/>
      <c r="P13" s="4572"/>
    </row>
    <row r="14">
      <c r="A14" s="4587" t="s">
        <v>4327</v>
      </c>
      <c r="B14" s="4587">
        <v>46218</v>
      </c>
      <c r="C14" s="4587" t="str">
        <v>Wednesday</v>
      </c>
      <c r="D14" s="4571" t="s">
        <v>4330</v>
      </c>
      <c r="E14" s="4568">
        <f t="shared" si="48"/>
      </c>
      <c r="F14" s="4588"/>
      <c r="G14" s="4589"/>
      <c r="H14" s="4571"/>
      <c r="I14" s="4591" t="s">
        <v>4304</v>
      </c>
      <c r="J14" s="4590"/>
      <c r="K14" s="4572"/>
      <c r="L14" s="4572"/>
      <c r="M14" s="4572"/>
      <c r="N14" s="4572"/>
      <c r="O14" s="4572"/>
      <c r="P14" s="4572"/>
    </row>
    <row r="15">
      <c r="A15" s="4587" t="s">
        <v>4331</v>
      </c>
      <c r="B15" s="4587">
        <v>46218</v>
      </c>
      <c r="C15" s="4587" t="str">
        <v>Wednesday</v>
      </c>
      <c r="D15" s="4571"/>
      <c r="E15" s="4568"/>
      <c r="F15" s="4588"/>
      <c r="G15" s="4589"/>
      <c r="H15" s="4571"/>
      <c r="I15" s="4571" t="s">
        <v>4332</v>
      </c>
      <c r="J15" s="4590"/>
      <c r="K15" s="4572"/>
      <c r="L15" s="4572"/>
      <c r="M15" s="4572"/>
      <c r="N15" s="4572"/>
      <c r="O15" s="4572"/>
      <c r="P15" s="4572"/>
    </row>
    <row r="16">
      <c r="A16" s="4587" t="s">
        <v>4331</v>
      </c>
      <c r="B16" s="4587">
        <v>46219</v>
      </c>
      <c r="C16" s="4587" t="str">
        <v>Thursday</v>
      </c>
      <c r="D16" s="4571"/>
      <c r="E16" s="4568"/>
      <c r="F16" s="4588"/>
      <c r="G16" s="4589"/>
      <c r="H16" s="4571"/>
      <c r="I16" s="4571" t="s">
        <v>4332</v>
      </c>
      <c r="J16" s="4590"/>
      <c r="K16" s="4572"/>
      <c r="L16" s="4572"/>
      <c r="M16" s="4572"/>
      <c r="N16" s="4572"/>
      <c r="O16" s="4572"/>
      <c r="P16" s="4572"/>
    </row>
    <row r="17">
      <c r="A17" s="4557"/>
      <c r="B17" s="4557"/>
      <c r="C17" s="4557"/>
      <c r="D17" s="4557"/>
      <c r="E17" s="4557"/>
      <c r="F17" s="4557"/>
      <c r="G17" s="4557"/>
      <c r="H17" s="4557"/>
      <c r="I17" s="4557"/>
      <c r="J17" s="4557"/>
      <c r="K17" s="4558"/>
      <c r="L17" s="4558"/>
      <c r="M17" s="4558"/>
      <c r="N17" s="4558"/>
      <c r="O17" s="4558"/>
      <c r="P17" s="4558"/>
    </row>
    <row r="18">
      <c r="A18" s="4592" t="s">
        <v>4333</v>
      </c>
      <c r="B18" s="4592"/>
      <c r="C18" s="4592"/>
      <c r="D18" s="4592"/>
      <c r="E18" s="4592"/>
      <c r="F18" s="4592"/>
      <c r="G18" s="4592"/>
      <c r="H18" s="4592"/>
      <c r="I18" s="4592"/>
      <c r="J18" s="4593"/>
      <c r="K18" s="4580"/>
      <c r="L18" s="4580"/>
      <c r="M18" s="4580"/>
      <c r="N18" s="4580"/>
      <c r="O18" s="4580"/>
      <c r="P18" s="4580"/>
    </row>
    <row r="19">
      <c r="A19" s="4594" t="s">
        <v>4318</v>
      </c>
      <c r="B19" s="4595" t="s">
        <v>4319</v>
      </c>
      <c r="C19" s="4595"/>
      <c r="D19" s="4596" t="s">
        <v>4320</v>
      </c>
      <c r="E19" s="4596" t="s">
        <v>4321</v>
      </c>
      <c r="F19" s="4596" t="s">
        <v>4322</v>
      </c>
      <c r="G19" s="4597" t="s">
        <v>4334</v>
      </c>
      <c r="H19" s="4596" t="s">
        <v>4324</v>
      </c>
      <c r="I19" s="4596" t="s">
        <v>4325</v>
      </c>
      <c r="J19" s="4598" t="s">
        <v>4326</v>
      </c>
      <c r="K19" s="4586"/>
      <c r="L19" s="4586"/>
      <c r="M19" s="4586"/>
      <c r="N19" s="4586"/>
      <c r="O19" s="4586"/>
      <c r="P19" s="4586"/>
    </row>
    <row customHeight="true" ht="18.452380952380953" r="20">
      <c r="A20" s="4587" t="s">
        <v>4335</v>
      </c>
      <c r="B20" s="4573">
        <v>46246</v>
      </c>
      <c r="C20" s="4587" t="str">
        <v>Wednesday</v>
      </c>
      <c r="D20" s="4567" t="s">
        <v>4336</v>
      </c>
      <c r="E20" s="4591">
        <f t="shared" ref="E20:E29" si="49">24*MOD(TIMEVALUE(TRIM(MID(D20,FIND("-",D20)+1,LEN(D20)))) - TIMEVALUE(TRIM(LEFT(D20,FIND("-",D20)-1))),1)</f>
      </c>
      <c r="F20" s="4591" t="s">
        <v>4337</v>
      </c>
      <c r="G20" s="4599"/>
      <c r="H20" s="4600"/>
      <c r="I20" s="4591"/>
      <c r="J20" s="4590"/>
      <c r="K20" s="4572"/>
      <c r="L20" s="4572"/>
      <c r="M20" s="4572"/>
      <c r="N20" s="4572"/>
      <c r="O20" s="4572"/>
      <c r="P20" s="4572"/>
    </row>
    <row r="21">
      <c r="A21" s="4587" t="s">
        <v>4335</v>
      </c>
      <c r="B21" s="4573">
        <v>46247</v>
      </c>
      <c r="C21" s="4587" t="str">
        <v>Thursday</v>
      </c>
      <c r="D21" s="4567" t="s">
        <v>4336</v>
      </c>
      <c r="E21" s="4591">
        <f t="shared" si="49"/>
      </c>
      <c r="F21" s="4591" t="s">
        <v>4337</v>
      </c>
      <c r="G21" s="4599"/>
      <c r="H21" s="4600"/>
      <c r="I21" s="4591"/>
      <c r="J21" s="4590"/>
      <c r="K21" s="4572"/>
      <c r="L21" s="4572"/>
      <c r="M21" s="4572"/>
      <c r="N21" s="4572"/>
      <c r="O21" s="4572"/>
      <c r="P21" s="4572"/>
    </row>
    <row customHeight="true" ht="18.452380952380953" r="22">
      <c r="A22" s="4587" t="s">
        <v>4335</v>
      </c>
      <c r="B22" s="4573">
        <v>46248</v>
      </c>
      <c r="C22" s="4587" t="str">
        <v>Friday</v>
      </c>
      <c r="D22" s="4567" t="s">
        <v>4338</v>
      </c>
      <c r="E22" s="4591">
        <f t="shared" si="49"/>
      </c>
      <c r="F22" s="4591" t="s">
        <v>4337</v>
      </c>
      <c r="G22" s="4599"/>
      <c r="H22" s="4600"/>
      <c r="I22" s="4591"/>
      <c r="J22" s="4590"/>
      <c r="K22" s="4572"/>
      <c r="L22" s="4572"/>
      <c r="M22" s="4572"/>
      <c r="N22" s="4572"/>
      <c r="O22" s="4572"/>
      <c r="P22" s="4572"/>
    </row>
    <row customHeight="true" ht="18.452380952380953" r="23">
      <c r="A23" s="4587" t="s">
        <v>4339</v>
      </c>
      <c r="B23" s="4573">
        <v>46246</v>
      </c>
      <c r="C23" s="4587" t="str">
        <v>Wednesday</v>
      </c>
      <c r="D23" s="4567" t="s">
        <v>4340</v>
      </c>
      <c r="E23" s="4591">
        <f t="shared" si="49"/>
      </c>
      <c r="F23" s="4591" t="s">
        <v>4341</v>
      </c>
      <c r="G23" s="4599"/>
      <c r="H23" s="4600"/>
      <c r="I23" s="4591"/>
      <c r="J23" s="4590"/>
      <c r="K23" s="4572"/>
      <c r="L23" s="4572"/>
      <c r="M23" s="4572"/>
      <c r="N23" s="4572"/>
      <c r="O23" s="4572"/>
      <c r="P23" s="4572"/>
    </row>
    <row customHeight="true" ht="18.452380952380953" r="24">
      <c r="A24" s="4587" t="s">
        <v>4339</v>
      </c>
      <c r="B24" s="4573">
        <v>46247</v>
      </c>
      <c r="C24" s="4587" t="str">
        <v>Thursday</v>
      </c>
      <c r="D24" s="4567" t="s">
        <v>4336</v>
      </c>
      <c r="E24" s="4591">
        <f t="shared" si="49"/>
      </c>
      <c r="F24" s="4591" t="s">
        <v>4341</v>
      </c>
      <c r="G24" s="4599"/>
      <c r="H24" s="4600"/>
      <c r="I24" s="4591"/>
      <c r="J24" s="4590"/>
      <c r="K24" s="4572"/>
      <c r="L24" s="4572"/>
      <c r="M24" s="4572"/>
      <c r="N24" s="4572"/>
      <c r="O24" s="4572"/>
      <c r="P24" s="4572"/>
    </row>
    <row customHeight="true" ht="18.452380952380953" r="25">
      <c r="A25" s="4587" t="s">
        <v>4339</v>
      </c>
      <c r="B25" s="4573">
        <v>46248</v>
      </c>
      <c r="C25" s="4587" t="str">
        <v>Friday</v>
      </c>
      <c r="D25" s="4567" t="s">
        <v>4338</v>
      </c>
      <c r="E25" s="4591">
        <f t="shared" si="49"/>
      </c>
      <c r="F25" s="4591" t="s">
        <v>4341</v>
      </c>
      <c r="G25" s="4599"/>
      <c r="H25" s="4600"/>
      <c r="I25" s="4591"/>
      <c r="J25" s="4590"/>
      <c r="K25" s="4572"/>
      <c r="L25" s="4572"/>
      <c r="M25" s="4572"/>
      <c r="N25" s="4572"/>
      <c r="O25" s="4572"/>
      <c r="P25" s="4572"/>
    </row>
    <row customHeight="true" ht="18.452380952380953" r="26">
      <c r="A26" s="4601" t="s">
        <v>4342</v>
      </c>
      <c r="B26" s="4602">
        <v>46245</v>
      </c>
      <c r="C26" s="4601" t="str">
        <v>Tuesday</v>
      </c>
      <c r="D26" s="4603" t="s">
        <v>4343</v>
      </c>
      <c r="E26" s="4604">
        <f t="shared" si="49"/>
      </c>
      <c r="F26" s="4604" t="s">
        <v>4344</v>
      </c>
      <c r="G26" s="4605"/>
      <c r="H26" s="4604"/>
      <c r="I26" s="4604"/>
      <c r="J26" s="4606"/>
      <c r="K26" s="4607"/>
      <c r="L26" s="4607"/>
      <c r="M26" s="4607"/>
      <c r="N26" s="4607"/>
      <c r="O26" s="4607"/>
      <c r="P26" s="4607"/>
      <c r="Q26" s="4608"/>
      <c r="R26" s="4608"/>
      <c r="S26" s="4608"/>
      <c r="T26" s="4608"/>
      <c r="U26" s="4608"/>
      <c r="V26" s="4608"/>
      <c r="W26" s="4608"/>
      <c r="X26" s="4608"/>
      <c r="Y26" s="4608"/>
    </row>
    <row customHeight="true" ht="18.452380952380953" r="27">
      <c r="A27" s="4601" t="s">
        <v>4342</v>
      </c>
      <c r="B27" s="4602">
        <v>46246</v>
      </c>
      <c r="C27" s="4601" t="str">
        <v>Wednesday</v>
      </c>
      <c r="D27" s="4603" t="s">
        <v>4336</v>
      </c>
      <c r="E27" s="4604">
        <f t="shared" si="49"/>
      </c>
      <c r="F27" s="4604" t="s">
        <v>4344</v>
      </c>
      <c r="G27" s="4605"/>
      <c r="H27" s="4604"/>
      <c r="I27" s="4604"/>
      <c r="J27" s="4606"/>
      <c r="K27" s="4607"/>
      <c r="L27" s="4607"/>
      <c r="M27" s="4607"/>
      <c r="N27" s="4607"/>
      <c r="O27" s="4607"/>
      <c r="P27" s="4607"/>
      <c r="Q27" s="4608"/>
      <c r="R27" s="4608"/>
      <c r="S27" s="4608"/>
      <c r="T27" s="4608"/>
      <c r="U27" s="4608"/>
      <c r="V27" s="4608"/>
      <c r="W27" s="4608"/>
      <c r="X27" s="4608"/>
      <c r="Y27" s="4608"/>
    </row>
    <row customHeight="true" ht="18.452380952380953" r="28">
      <c r="A28" s="4601" t="s">
        <v>4342</v>
      </c>
      <c r="B28" s="4602">
        <v>46247</v>
      </c>
      <c r="C28" s="4601" t="str">
        <v>Thursday</v>
      </c>
      <c r="D28" s="4603" t="s">
        <v>4336</v>
      </c>
      <c r="E28" s="4604">
        <f t="shared" si="49"/>
      </c>
      <c r="F28" s="4604" t="s">
        <v>4344</v>
      </c>
      <c r="G28" s="4605"/>
      <c r="H28" s="4604"/>
      <c r="I28" s="4604"/>
      <c r="J28" s="4606"/>
      <c r="K28" s="4607"/>
      <c r="L28" s="4607"/>
      <c r="M28" s="4607"/>
      <c r="N28" s="4607"/>
      <c r="O28" s="4607"/>
      <c r="P28" s="4607"/>
      <c r="Q28" s="4608"/>
      <c r="R28" s="4608"/>
      <c r="S28" s="4608"/>
      <c r="T28" s="4608"/>
      <c r="U28" s="4608"/>
      <c r="V28" s="4608"/>
      <c r="W28" s="4608"/>
      <c r="X28" s="4608"/>
      <c r="Y28" s="4608"/>
    </row>
    <row r="29">
      <c r="A29" s="4601" t="s">
        <v>4342</v>
      </c>
      <c r="B29" s="4602">
        <v>46248</v>
      </c>
      <c r="C29" s="4601" t="str">
        <v>Friday</v>
      </c>
      <c r="D29" s="4603" t="s">
        <v>4338</v>
      </c>
      <c r="E29" s="4604">
        <f t="shared" si="49"/>
      </c>
      <c r="F29" s="4604" t="s">
        <v>4344</v>
      </c>
      <c r="G29" s="4605"/>
      <c r="H29" s="4604"/>
      <c r="I29" s="4604"/>
      <c r="J29" s="4606"/>
      <c r="K29" s="4607"/>
      <c r="L29" s="4607"/>
      <c r="M29" s="4607"/>
      <c r="N29" s="4607"/>
      <c r="O29" s="4607"/>
      <c r="P29" s="4607"/>
      <c r="Q29" s="4608"/>
      <c r="R29" s="4608"/>
      <c r="S29" s="4608"/>
      <c r="T29" s="4608"/>
      <c r="U29" s="4608"/>
      <c r="V29" s="4608"/>
      <c r="W29" s="4608"/>
      <c r="X29" s="4608"/>
      <c r="Y29" s="4608"/>
    </row>
    <row customHeight="true" ht="16.071428571428573" r="30">
      <c r="A30" s="4587"/>
      <c r="B30" s="4587"/>
      <c r="C30" s="4587"/>
      <c r="D30" s="4591"/>
      <c r="E30" s="4591"/>
      <c r="F30" s="4591"/>
      <c r="G30" s="4609"/>
      <c r="H30" s="4591"/>
      <c r="I30" s="4591"/>
      <c r="J30" s="4568"/>
      <c r="K30" s="4572"/>
      <c r="L30" s="4572"/>
      <c r="M30" s="4572"/>
      <c r="N30" s="4572"/>
      <c r="O30" s="4572"/>
      <c r="P30" s="4572"/>
    </row>
    <row r="31">
      <c r="A31" s="4610"/>
      <c r="B31" s="4610"/>
      <c r="C31" s="4610"/>
      <c r="D31" s="4610"/>
      <c r="E31" s="4610"/>
      <c r="F31" s="4610"/>
      <c r="G31" s="4610"/>
      <c r="H31" s="4610"/>
      <c r="I31" s="4610"/>
      <c r="J31" s="4610"/>
      <c r="K31" s="4611"/>
      <c r="L31" s="4611"/>
      <c r="M31" s="4611"/>
      <c r="N31" s="4611"/>
      <c r="O31" s="4611"/>
      <c r="P31" s="4611"/>
    </row>
    <row r="32">
      <c r="A32" s="4610"/>
      <c r="B32" s="4610"/>
      <c r="C32" s="4610"/>
      <c r="D32" s="4610"/>
      <c r="E32" s="4610"/>
      <c r="F32" s="4610"/>
      <c r="G32" s="4610"/>
      <c r="H32" s="4610"/>
      <c r="I32" s="4610"/>
      <c r="J32" s="4610"/>
      <c r="K32" s="4611"/>
      <c r="L32" s="4611"/>
      <c r="M32" s="4611"/>
      <c r="N32" s="4611"/>
      <c r="O32" s="4611"/>
      <c r="P32" s="4611"/>
    </row>
    <row r="33">
      <c r="A33" s="4612" t="s">
        <v>4345</v>
      </c>
      <c r="B33" s="4612"/>
      <c r="C33" s="4612"/>
      <c r="D33" s="4612"/>
      <c r="E33" s="4612"/>
      <c r="F33" s="4612"/>
      <c r="G33" s="4613"/>
      <c r="H33" s="4613"/>
      <c r="I33" s="4613"/>
      <c r="J33" s="4614"/>
      <c r="K33" s="4580"/>
      <c r="L33" s="4580"/>
      <c r="M33" s="4580"/>
      <c r="N33" s="4580"/>
      <c r="O33" s="4580"/>
      <c r="P33" s="4580"/>
    </row>
    <row r="34">
      <c r="A34" s="4615" t="s">
        <v>4318</v>
      </c>
      <c r="B34" s="4616" t="s">
        <v>4319</v>
      </c>
      <c r="C34" s="4616"/>
      <c r="D34" s="4615" t="s">
        <v>4320</v>
      </c>
      <c r="E34" s="4615" t="s">
        <v>4321</v>
      </c>
      <c r="F34" s="4615" t="s">
        <v>4322</v>
      </c>
      <c r="G34" s="4617" t="s">
        <v>4334</v>
      </c>
      <c r="H34" s="4615" t="s">
        <v>4324</v>
      </c>
      <c r="I34" s="4615" t="s">
        <v>4325</v>
      </c>
      <c r="J34" s="4618" t="s">
        <v>4326</v>
      </c>
      <c r="K34" s="4586"/>
      <c r="L34" s="4586"/>
      <c r="M34" s="4586"/>
      <c r="N34" s="4586"/>
      <c r="O34" s="4586"/>
      <c r="P34" s="4586"/>
    </row>
    <row customHeight="true" ht="18.452380952380953" r="35">
      <c r="A35" s="4564" t="s">
        <v>4346</v>
      </c>
      <c r="B35" s="4565">
        <v>46250</v>
      </c>
      <c r="C35" s="4564" t="str">
        <v>Sunday</v>
      </c>
      <c r="D35" s="4619" t="s">
        <v>4347</v>
      </c>
      <c r="E35" s="4620">
        <f>24*MOD(TIMEVALUE(TRIM(MID(D35,FIND("-",D35)+1,LEN(D35)))) - TIMEVALUE(TRIM(LEFT(D35,FIND("-",D35)-1))),1)</f>
      </c>
      <c r="F35" s="4620" t="s">
        <v>4348</v>
      </c>
      <c r="G35" s="4621" t="s">
        <v>4349</v>
      </c>
      <c r="H35" s="4620" t="s">
        <v>4316</v>
      </c>
      <c r="I35" s="4620" t="s">
        <v>4304</v>
      </c>
      <c r="J35" s="4622"/>
      <c r="K35" s="4572"/>
      <c r="L35" s="4572"/>
      <c r="M35" s="4572"/>
      <c r="N35" s="4572"/>
      <c r="O35" s="4572"/>
      <c r="P35" s="4572"/>
    </row>
    <row customHeight="true" ht="14.880952380952381" r="36"/>
    <row customHeight="true" ht="18.452380952380953" r="37">
      <c r="A37" s="4564" t="s">
        <v>4345</v>
      </c>
      <c r="B37" s="4565">
        <v>46244</v>
      </c>
      <c r="C37" s="4564" t="str">
        <v>Monday</v>
      </c>
      <c r="D37" s="4619" t="s">
        <v>4350</v>
      </c>
      <c r="E37" s="4620">
        <f t="shared" ref="E37:E43" si="50">24*MOD(TIMEVALUE(TRIM(MID(D37,FIND("-",D37)+1,LEN(D37)))) - TIMEVALUE(TRIM(LEFT(D37,FIND("-",D37)-1))),1)</f>
      </c>
      <c r="F37" s="4620" t="s">
        <v>4351</v>
      </c>
      <c r="G37" s="4621" t="s">
        <v>4352</v>
      </c>
      <c r="H37" s="4620" t="s">
        <v>4316</v>
      </c>
      <c r="I37" s="4620" t="s">
        <v>4304</v>
      </c>
      <c r="J37" s="4622"/>
      <c r="K37" s="4572"/>
      <c r="L37" s="4572"/>
      <c r="M37" s="4572"/>
      <c r="N37" s="4572"/>
      <c r="O37" s="4572"/>
      <c r="P37" s="4572"/>
    </row>
    <row r="38">
      <c r="A38" s="4564" t="s">
        <v>4345</v>
      </c>
      <c r="B38" s="4565">
        <v>46245</v>
      </c>
      <c r="C38" s="4564" t="str">
        <v>Tuesday</v>
      </c>
      <c r="D38" s="4619" t="s">
        <v>4353</v>
      </c>
      <c r="E38" s="4620">
        <f t="shared" si="50"/>
      </c>
      <c r="F38" s="4620" t="s">
        <v>4354</v>
      </c>
      <c r="G38" s="4621" t="s">
        <v>4352</v>
      </c>
      <c r="H38" s="4620" t="s">
        <v>4316</v>
      </c>
      <c r="I38" s="4620" t="s">
        <v>4304</v>
      </c>
      <c r="J38" s="4622"/>
      <c r="K38" s="4572"/>
      <c r="L38" s="4572"/>
      <c r="M38" s="4572"/>
      <c r="N38" s="4572"/>
      <c r="O38" s="4572"/>
      <c r="P38" s="4572"/>
    </row>
    <row customHeight="true" ht="18.452380952380953" r="39">
      <c r="A39" s="4564" t="s">
        <v>4345</v>
      </c>
      <c r="B39" s="4565">
        <v>46246</v>
      </c>
      <c r="C39" s="4564" t="str">
        <v>Wednesday</v>
      </c>
      <c r="D39" s="4619" t="s">
        <v>4355</v>
      </c>
      <c r="E39" s="4620">
        <f t="shared" si="50"/>
      </c>
      <c r="F39" s="4623" t="s">
        <v>4356</v>
      </c>
      <c r="G39" s="4621" t="s">
        <v>4349</v>
      </c>
      <c r="H39" s="4620" t="s">
        <v>4316</v>
      </c>
      <c r="I39" s="4620" t="s">
        <v>4304</v>
      </c>
      <c r="J39" s="4622"/>
      <c r="K39" s="4572"/>
      <c r="L39" s="4572"/>
      <c r="M39" s="4572"/>
      <c r="N39" s="4572"/>
      <c r="O39" s="4572"/>
      <c r="P39" s="4572"/>
    </row>
    <row r="40">
      <c r="A40" s="4564" t="s">
        <v>4345</v>
      </c>
      <c r="B40" s="4565">
        <v>46247</v>
      </c>
      <c r="C40" s="4564" t="str">
        <v>Thursday</v>
      </c>
      <c r="D40" s="4619" t="s">
        <v>4353</v>
      </c>
      <c r="E40" s="4620">
        <f t="shared" si="50"/>
      </c>
      <c r="F40" s="4620" t="s">
        <v>4354</v>
      </c>
      <c r="G40" s="4621" t="s">
        <v>4352</v>
      </c>
      <c r="H40" s="4620" t="s">
        <v>4316</v>
      </c>
      <c r="I40" s="4620" t="s">
        <v>4304</v>
      </c>
      <c r="J40" s="4622"/>
      <c r="K40" s="4572"/>
      <c r="L40" s="4572"/>
      <c r="M40" s="4572"/>
      <c r="N40" s="4572"/>
      <c r="O40" s="4572"/>
      <c r="P40" s="4572"/>
    </row>
    <row r="41">
      <c r="A41" s="4564" t="s">
        <v>4345</v>
      </c>
      <c r="B41" s="4565">
        <v>46248</v>
      </c>
      <c r="C41" s="4564" t="str">
        <v>Friday</v>
      </c>
      <c r="D41" s="4619" t="s">
        <v>4357</v>
      </c>
      <c r="E41" s="4620">
        <f t="shared" si="50"/>
      </c>
      <c r="F41" s="4620" t="s">
        <v>4356</v>
      </c>
      <c r="G41" s="4621" t="s">
        <v>4352</v>
      </c>
      <c r="H41" s="4620" t="s">
        <v>4316</v>
      </c>
      <c r="I41" s="4620" t="s">
        <v>4304</v>
      </c>
      <c r="J41" s="4622"/>
      <c r="K41" s="4572"/>
      <c r="L41" s="4572"/>
      <c r="M41" s="4572"/>
      <c r="N41" s="4572"/>
      <c r="O41" s="4572"/>
      <c r="P41" s="4572"/>
    </row>
    <row r="42">
      <c r="A42" s="4564" t="s">
        <v>4345</v>
      </c>
      <c r="B42" s="4565">
        <v>46249</v>
      </c>
      <c r="C42" s="4564" t="str">
        <v>Saturday</v>
      </c>
      <c r="D42" s="4619" t="s">
        <v>4358</v>
      </c>
      <c r="E42" s="4620">
        <f t="shared" si="50"/>
      </c>
      <c r="F42" s="4620" t="s">
        <v>4354</v>
      </c>
      <c r="G42" s="4621" t="s">
        <v>4352</v>
      </c>
      <c r="H42" s="4620" t="s">
        <v>4316</v>
      </c>
      <c r="I42" s="4620" t="s">
        <v>4304</v>
      </c>
      <c r="J42" s="4622"/>
      <c r="K42" s="4572"/>
      <c r="L42" s="4572"/>
      <c r="M42" s="4572"/>
      <c r="N42" s="4572"/>
      <c r="O42" s="4572"/>
      <c r="P42" s="4572"/>
    </row>
    <row r="43">
      <c r="A43" s="4564" t="s">
        <v>4345</v>
      </c>
      <c r="B43" s="4565">
        <v>46250</v>
      </c>
      <c r="C43" s="4564" t="str">
        <v>Sunday</v>
      </c>
      <c r="D43" s="4619" t="s">
        <v>4358</v>
      </c>
      <c r="E43" s="4620">
        <f t="shared" si="50"/>
      </c>
      <c r="F43" s="4620" t="s">
        <v>4348</v>
      </c>
      <c r="G43" s="4621" t="s">
        <v>4352</v>
      </c>
      <c r="H43" s="4620" t="s">
        <v>4316</v>
      </c>
      <c r="I43" s="4620" t="s">
        <v>4304</v>
      </c>
      <c r="J43" s="4622"/>
      <c r="K43" s="4572"/>
      <c r="L43" s="4572"/>
      <c r="M43" s="4572"/>
      <c r="N43" s="4572"/>
      <c r="O43" s="4572"/>
      <c r="P43" s="4572"/>
    </row>
    <row customHeight="true" ht="14.880952380952381" r="44">
      <c r="A44" s="4610"/>
      <c r="B44" s="4610"/>
      <c r="C44" s="4610"/>
      <c r="D44" s="4610"/>
      <c r="E44" s="4610"/>
      <c r="F44" s="4610"/>
      <c r="G44" s="4610"/>
      <c r="H44" s="4610"/>
      <c r="I44" s="4610"/>
      <c r="J44" s="4610"/>
      <c r="K44" s="4611"/>
      <c r="L44" s="4611"/>
      <c r="M44" s="4611"/>
      <c r="N44" s="4611"/>
      <c r="O44" s="4611"/>
      <c r="P44" s="4611"/>
    </row>
    <row customHeight="true" ht="18.452380952380953" r="45">
      <c r="A45" s="4564" t="s">
        <v>4359</v>
      </c>
      <c r="B45" s="4565">
        <v>46244</v>
      </c>
      <c r="C45" s="4564" t="str">
        <v>Monday</v>
      </c>
      <c r="D45" s="4619" t="s">
        <v>4360</v>
      </c>
      <c r="E45" s="4624">
        <v>4</v>
      </c>
      <c r="F45" s="4620" t="s">
        <v>4361</v>
      </c>
      <c r="G45" s="4625"/>
      <c r="H45" s="4620" t="s">
        <v>4316</v>
      </c>
      <c r="I45" s="4620" t="s">
        <v>4304</v>
      </c>
      <c r="J45" s="4622"/>
      <c r="K45" s="4572"/>
      <c r="L45" s="4572"/>
      <c r="M45" s="4572"/>
      <c r="N45" s="4572"/>
      <c r="O45" s="4572"/>
      <c r="P45" s="4572"/>
    </row>
    <row r="46">
      <c r="A46" s="4564" t="s">
        <v>4359</v>
      </c>
      <c r="B46" s="4565">
        <v>46245</v>
      </c>
      <c r="C46" s="4564" t="str">
        <v>Tuesday</v>
      </c>
      <c r="D46" s="4619" t="s">
        <v>4362</v>
      </c>
      <c r="E46" s="4620">
        <f t="shared" ref="E46:E50" si="51">24*MOD(TIMEVALUE(TRIM(MID(D46,FIND("-",D46)+1,LEN(D46)))) - TIMEVALUE(TRIM(LEFT(D46,FIND("-",D46)-1))),1)</f>
      </c>
      <c r="F46" s="4620" t="s">
        <v>4361</v>
      </c>
      <c r="G46" s="4625"/>
      <c r="H46" s="4620" t="s">
        <v>4316</v>
      </c>
      <c r="I46" s="4620" t="s">
        <v>4304</v>
      </c>
      <c r="J46" s="4622"/>
      <c r="K46" s="4572"/>
      <c r="L46" s="4572"/>
      <c r="M46" s="4572"/>
      <c r="N46" s="4572"/>
      <c r="O46" s="4572"/>
      <c r="P46" s="4572"/>
    </row>
    <row r="47">
      <c r="A47" s="4564" t="s">
        <v>4359</v>
      </c>
      <c r="B47" s="4565">
        <v>46247</v>
      </c>
      <c r="C47" s="4564" t="str">
        <v>Thursday</v>
      </c>
      <c r="D47" s="4619" t="s">
        <v>4362</v>
      </c>
      <c r="E47" s="4620">
        <f t="shared" si="51"/>
      </c>
      <c r="F47" s="4620" t="s">
        <v>4361</v>
      </c>
      <c r="G47" s="4625"/>
      <c r="H47" s="4620" t="s">
        <v>4316</v>
      </c>
      <c r="I47" s="4620" t="s">
        <v>4304</v>
      </c>
      <c r="J47" s="4622"/>
      <c r="K47" s="4572"/>
      <c r="L47" s="4572"/>
      <c r="M47" s="4572"/>
      <c r="N47" s="4572"/>
      <c r="O47" s="4572"/>
      <c r="P47" s="4572"/>
    </row>
    <row r="48">
      <c r="A48" s="4564" t="s">
        <v>4359</v>
      </c>
      <c r="B48" s="4565">
        <v>46248</v>
      </c>
      <c r="C48" s="4564" t="str">
        <v>Friday</v>
      </c>
      <c r="D48" s="4619" t="s">
        <v>4363</v>
      </c>
      <c r="E48" s="4620">
        <f t="shared" si="51"/>
      </c>
      <c r="F48" s="4620" t="s">
        <v>4361</v>
      </c>
      <c r="G48" s="4625"/>
      <c r="H48" s="4620" t="s">
        <v>4316</v>
      </c>
      <c r="I48" s="4620" t="s">
        <v>4304</v>
      </c>
      <c r="J48" s="4622"/>
      <c r="K48" s="4572"/>
      <c r="L48" s="4572"/>
      <c r="M48" s="4572"/>
      <c r="N48" s="4572"/>
      <c r="O48" s="4572"/>
      <c r="P48" s="4572"/>
    </row>
    <row r="49">
      <c r="A49" s="4564" t="s">
        <v>4359</v>
      </c>
      <c r="B49" s="4565">
        <v>46249</v>
      </c>
      <c r="C49" s="4564" t="str">
        <v>Saturday</v>
      </c>
      <c r="D49" s="4619" t="s">
        <v>4364</v>
      </c>
      <c r="E49" s="4620">
        <f t="shared" si="51"/>
      </c>
      <c r="F49" s="4620" t="s">
        <v>4361</v>
      </c>
      <c r="G49" s="4625"/>
      <c r="H49" s="4620" t="s">
        <v>4316</v>
      </c>
      <c r="I49" s="4620" t="s">
        <v>4304</v>
      </c>
      <c r="J49" s="4622"/>
      <c r="K49" s="4572"/>
      <c r="L49" s="4572"/>
      <c r="M49" s="4572"/>
      <c r="N49" s="4572"/>
      <c r="O49" s="4572"/>
      <c r="P49" s="4572"/>
    </row>
    <row r="50">
      <c r="A50" s="4564" t="s">
        <v>4359</v>
      </c>
      <c r="B50" s="4565">
        <v>46250</v>
      </c>
      <c r="C50" s="4564" t="str">
        <v>Sunday</v>
      </c>
      <c r="D50" s="4619" t="s">
        <v>4365</v>
      </c>
      <c r="E50" s="4620">
        <f t="shared" si="51"/>
      </c>
      <c r="F50" s="4620" t="s">
        <v>4361</v>
      </c>
      <c r="G50" s="4625"/>
      <c r="H50" s="4620" t="s">
        <v>4316</v>
      </c>
      <c r="I50" s="4620" t="s">
        <v>4304</v>
      </c>
      <c r="J50" s="4622"/>
      <c r="K50" s="4572"/>
      <c r="L50" s="4572"/>
      <c r="M50" s="4572"/>
      <c r="N50" s="4572"/>
      <c r="O50" s="4572"/>
      <c r="P50" s="4572"/>
    </row>
    <row r="51">
      <c r="A51" s="4610"/>
      <c r="B51" s="4610"/>
      <c r="C51" s="4610"/>
      <c r="D51" s="4610"/>
      <c r="E51" s="4610"/>
      <c r="F51" s="4610"/>
      <c r="G51" s="4610"/>
      <c r="H51" s="4610"/>
      <c r="I51" s="4610"/>
      <c r="J51" s="4610"/>
      <c r="K51" s="4611"/>
      <c r="L51" s="4611"/>
      <c r="M51" s="4611"/>
      <c r="N51" s="4611"/>
      <c r="O51" s="4611"/>
      <c r="P51" s="4611"/>
    </row>
    <row r="52">
      <c r="A52" s="4626" t="s">
        <v>4366</v>
      </c>
      <c r="B52" s="4626"/>
      <c r="C52" s="4626"/>
      <c r="D52" s="4626"/>
      <c r="E52" s="4626"/>
      <c r="F52" s="4626"/>
      <c r="G52" s="4627"/>
      <c r="H52" s="4627"/>
      <c r="I52" s="4627"/>
      <c r="J52" s="4628"/>
      <c r="K52" s="4580"/>
      <c r="L52" s="4580"/>
      <c r="M52" s="4580"/>
      <c r="N52" s="4580"/>
      <c r="O52" s="4580"/>
      <c r="P52" s="4580"/>
    </row>
    <row r="53">
      <c r="A53" s="4629" t="s">
        <v>4318</v>
      </c>
      <c r="B53" s="4630" t="s">
        <v>4319</v>
      </c>
      <c r="C53" s="4630"/>
      <c r="D53" s="4629" t="s">
        <v>4320</v>
      </c>
      <c r="E53" s="4629" t="s">
        <v>4321</v>
      </c>
      <c r="F53" s="4629" t="s">
        <v>4322</v>
      </c>
      <c r="G53" s="4631" t="s">
        <v>4334</v>
      </c>
      <c r="H53" s="4629" t="s">
        <v>4324</v>
      </c>
      <c r="I53" s="4629" t="s">
        <v>4325</v>
      </c>
      <c r="J53" s="4632" t="s">
        <v>4326</v>
      </c>
      <c r="K53" s="4586"/>
      <c r="L53" s="4586"/>
      <c r="M53" s="4586"/>
      <c r="N53" s="4586"/>
      <c r="O53" s="4586"/>
      <c r="P53" s="4586"/>
    </row>
    <row customHeight="true" ht="18.452380952380953" r="54">
      <c r="A54" s="4564" t="s">
        <v>4367</v>
      </c>
      <c r="B54" s="4565">
        <v>46244</v>
      </c>
      <c r="C54" s="4564" t="str">
        <v>Monday</v>
      </c>
      <c r="D54" s="4619" t="s">
        <v>4368</v>
      </c>
      <c r="E54" s="4620">
        <f t="shared" ref="E54:E60" si="52">24*MOD(TIMEVALUE(TRIM(MID(D54,FIND("-",D54)+1,LEN(D54)))) - TIMEVALUE(TRIM(LEFT(D54,FIND("-",D54)-1))),1)</f>
      </c>
      <c r="F54" s="4620" t="s">
        <v>4369</v>
      </c>
      <c r="G54" s="4621" t="s">
        <v>4349</v>
      </c>
      <c r="H54" s="4620" t="s">
        <v>4316</v>
      </c>
      <c r="I54" s="4620" t="s">
        <v>4304</v>
      </c>
      <c r="J54" s="4622"/>
      <c r="K54" s="4572"/>
      <c r="L54" s="4572"/>
      <c r="M54" s="4572"/>
      <c r="N54" s="4572"/>
      <c r="O54" s="4572"/>
      <c r="P54" s="4572"/>
    </row>
    <row customHeight="true" ht="18.452380952380953" r="55">
      <c r="A55" s="4564" t="s">
        <v>4367</v>
      </c>
      <c r="B55" s="4565">
        <v>46247</v>
      </c>
      <c r="C55" s="4564" t="str">
        <v>Thursday</v>
      </c>
      <c r="D55" s="4619" t="s">
        <v>4370</v>
      </c>
      <c r="E55" s="4620">
        <f t="shared" si="52"/>
      </c>
      <c r="F55" s="4620" t="s">
        <v>4348</v>
      </c>
      <c r="G55" s="4621"/>
      <c r="H55" s="4620" t="s">
        <v>4316</v>
      </c>
      <c r="I55" s="4620" t="s">
        <v>4332</v>
      </c>
      <c r="J55" s="4622"/>
      <c r="K55" s="4572"/>
      <c r="L55" s="4572"/>
      <c r="M55" s="4572"/>
      <c r="N55" s="4572"/>
      <c r="O55" s="4572"/>
      <c r="P55" s="4572"/>
    </row>
    <row customHeight="true" ht="18.452380952380953" r="56">
      <c r="A56" s="4564" t="s">
        <v>4367</v>
      </c>
      <c r="B56" s="4565">
        <v>46248</v>
      </c>
      <c r="C56" s="4564" t="str">
        <v>Friday</v>
      </c>
      <c r="D56" s="4619" t="s">
        <v>4371</v>
      </c>
      <c r="E56" s="4620">
        <f t="shared" si="52"/>
      </c>
      <c r="F56" s="4620" t="s">
        <v>4372</v>
      </c>
      <c r="G56" s="4621" t="s">
        <v>4349</v>
      </c>
      <c r="H56" s="4620" t="s">
        <v>4316</v>
      </c>
      <c r="I56" s="4620" t="s">
        <v>4304</v>
      </c>
      <c r="J56" s="4622"/>
      <c r="K56" s="4572"/>
      <c r="L56" s="4572"/>
      <c r="M56" s="4572"/>
      <c r="N56" s="4572"/>
      <c r="O56" s="4572"/>
      <c r="P56" s="4572"/>
    </row>
    <row customHeight="true" ht="18.452380952380953" r="57">
      <c r="A57" s="4633" t="s">
        <v>4367</v>
      </c>
      <c r="B57" s="4634">
        <v>46248</v>
      </c>
      <c r="C57" s="4633" t="str">
        <v>Friday</v>
      </c>
      <c r="D57" s="4635" t="s">
        <v>4373</v>
      </c>
      <c r="E57" s="4636">
        <f t="shared" si="52"/>
      </c>
      <c r="F57" s="4636" t="s">
        <v>4374</v>
      </c>
      <c r="G57" s="4637" t="s">
        <v>4349</v>
      </c>
      <c r="H57" s="4636" t="s">
        <v>4316</v>
      </c>
      <c r="I57" s="4636" t="s">
        <v>4304</v>
      </c>
      <c r="J57" s="4638" t="s">
        <v>4375</v>
      </c>
      <c r="K57" s="4572"/>
      <c r="L57" s="4572"/>
      <c r="M57" s="4572"/>
      <c r="N57" s="4572"/>
      <c r="O57" s="4572"/>
      <c r="P57" s="4572"/>
    </row>
    <row customHeight="true" ht="18.452380952380953" r="58">
      <c r="A58" s="4564" t="s">
        <v>4367</v>
      </c>
      <c r="B58" s="4565">
        <v>46250</v>
      </c>
      <c r="C58" s="4564" t="str">
        <v>Sunday</v>
      </c>
      <c r="D58" s="4619" t="s">
        <v>4376</v>
      </c>
      <c r="E58" s="4620">
        <f t="shared" si="52"/>
      </c>
      <c r="F58" s="4620" t="s">
        <v>4372</v>
      </c>
      <c r="G58" s="4621" t="s">
        <v>4349</v>
      </c>
      <c r="H58" s="4620" t="s">
        <v>4316</v>
      </c>
      <c r="I58" s="4620" t="s">
        <v>4304</v>
      </c>
      <c r="J58" s="4622"/>
      <c r="K58" s="4572"/>
      <c r="L58" s="4572"/>
      <c r="M58" s="4572"/>
      <c r="N58" s="4572"/>
      <c r="O58" s="4572"/>
      <c r="P58" s="4572"/>
    </row>
    <row customHeight="true" ht="18.452380952380953" r="59">
      <c r="A59" s="4564" t="s">
        <v>4367</v>
      </c>
      <c r="B59" s="4565">
        <v>46244</v>
      </c>
      <c r="C59" s="4564" t="str">
        <v>Monday</v>
      </c>
      <c r="D59" s="4619" t="s">
        <v>4368</v>
      </c>
      <c r="E59" s="4620">
        <f t="shared" si="52"/>
      </c>
      <c r="F59" s="4620" t="s">
        <v>4361</v>
      </c>
      <c r="G59" s="4621"/>
      <c r="H59" s="4620" t="s">
        <v>4316</v>
      </c>
      <c r="I59" s="4620" t="s">
        <v>4304</v>
      </c>
      <c r="J59" s="4622"/>
      <c r="K59" s="4572"/>
      <c r="L59" s="4572"/>
      <c r="M59" s="4572"/>
      <c r="N59" s="4572"/>
      <c r="O59" s="4572"/>
      <c r="P59" s="4572"/>
    </row>
    <row customHeight="true" ht="18.452380952380953" r="60">
      <c r="A60" s="4564" t="s">
        <v>4367</v>
      </c>
      <c r="B60" s="4565">
        <v>46247</v>
      </c>
      <c r="C60" s="4564" t="str">
        <v>Thursday</v>
      </c>
      <c r="D60" s="4619" t="s">
        <v>4377</v>
      </c>
      <c r="E60" s="4620">
        <f t="shared" si="52"/>
      </c>
      <c r="F60" s="4620" t="s">
        <v>4361</v>
      </c>
      <c r="G60" s="4621"/>
      <c r="H60" s="4620" t="s">
        <v>4316</v>
      </c>
      <c r="I60" s="4620" t="s">
        <v>4304</v>
      </c>
      <c r="J60" s="4622"/>
      <c r="K60" s="4572"/>
      <c r="L60" s="4572"/>
      <c r="M60" s="4572"/>
      <c r="N60" s="4572"/>
      <c r="O60" s="4572"/>
      <c r="P60" s="4572"/>
    </row>
    <row customHeight="true" ht="14.880952380952381" r="61">
      <c r="J61" s="4639"/>
      <c r="K61" s="4640"/>
      <c r="L61" s="4640"/>
      <c r="M61" s="4640"/>
      <c r="N61" s="4640"/>
      <c r="O61" s="4640"/>
      <c r="P61" s="4640"/>
    </row>
    <row customHeight="true" ht="18.452380952380953" r="62">
      <c r="A62" s="4564" t="s">
        <v>4366</v>
      </c>
      <c r="B62" s="4565">
        <v>46244</v>
      </c>
      <c r="C62" s="4564" t="str">
        <v>Monday</v>
      </c>
      <c r="D62" s="4619" t="s">
        <v>4378</v>
      </c>
      <c r="E62" s="4620">
        <f t="shared" ref="E62:E69" si="53">24*MOD(TIMEVALUE(TRIM(MID(D62,FIND("-",D62)+1,LEN(D62)))) - TIMEVALUE(TRIM(LEFT(D62,FIND("-",D62)-1))),1)</f>
      </c>
      <c r="F62" s="4620" t="s">
        <v>4369</v>
      </c>
      <c r="G62" s="4621" t="s">
        <v>4379</v>
      </c>
      <c r="H62" s="4620" t="s">
        <v>4316</v>
      </c>
      <c r="I62" s="4620" t="s">
        <v>4304</v>
      </c>
      <c r="J62" s="4622"/>
      <c r="K62" s="4572"/>
      <c r="L62" s="4572"/>
      <c r="M62" s="4572"/>
      <c r="N62" s="4572"/>
      <c r="O62" s="4572"/>
      <c r="P62" s="4572"/>
    </row>
    <row customHeight="true" ht="18.452380952380953" r="63">
      <c r="A63" s="4564" t="s">
        <v>4366</v>
      </c>
      <c r="B63" s="4565">
        <v>46245</v>
      </c>
      <c r="C63" s="4564" t="str">
        <v>Tuesday</v>
      </c>
      <c r="D63" s="4619" t="s">
        <v>4378</v>
      </c>
      <c r="E63" s="4620">
        <f t="shared" si="53"/>
      </c>
      <c r="F63" s="4620" t="s">
        <v>4369</v>
      </c>
      <c r="G63" s="4621" t="s">
        <v>4379</v>
      </c>
      <c r="H63" s="4620" t="s">
        <v>4316</v>
      </c>
      <c r="I63" s="4620" t="s">
        <v>4304</v>
      </c>
      <c r="J63" s="4622"/>
      <c r="K63" s="4572"/>
      <c r="L63" s="4572"/>
      <c r="M63" s="4572"/>
      <c r="N63" s="4572"/>
      <c r="O63" s="4572"/>
      <c r="P63" s="4572"/>
    </row>
    <row r="64">
      <c r="A64" s="4564" t="s">
        <v>4366</v>
      </c>
      <c r="B64" s="4565">
        <v>46246</v>
      </c>
      <c r="C64" s="4564" t="str">
        <v>Wednesday</v>
      </c>
      <c r="D64" s="4619" t="s">
        <v>4380</v>
      </c>
      <c r="E64" s="4620">
        <f t="shared" si="53"/>
      </c>
      <c r="F64" s="4620" t="s">
        <v>4356</v>
      </c>
      <c r="G64" s="4621" t="s">
        <v>4381</v>
      </c>
      <c r="H64" s="4620" t="s">
        <v>4316</v>
      </c>
      <c r="I64" s="4620" t="s">
        <v>4304</v>
      </c>
      <c r="J64" s="4622"/>
      <c r="K64" s="4572"/>
      <c r="L64" s="4572"/>
      <c r="M64" s="4572"/>
      <c r="N64" s="4572"/>
      <c r="O64" s="4572"/>
      <c r="P64" s="4572"/>
    </row>
    <row customHeight="true" ht="18.452380952380953" r="65">
      <c r="A65" s="4564" t="s">
        <v>4366</v>
      </c>
      <c r="B65" s="4565">
        <v>46247</v>
      </c>
      <c r="C65" s="4564" t="str">
        <v>Thursday</v>
      </c>
      <c r="D65" s="4619" t="s">
        <v>4382</v>
      </c>
      <c r="E65" s="4620">
        <f t="shared" si="53"/>
      </c>
      <c r="F65" s="4620" t="s">
        <v>4348</v>
      </c>
      <c r="G65" s="4621" t="s">
        <v>4383</v>
      </c>
      <c r="H65" s="4620" t="s">
        <v>4316</v>
      </c>
      <c r="I65" s="4620" t="s">
        <v>4304</v>
      </c>
      <c r="J65" s="4622"/>
      <c r="K65" s="4572"/>
      <c r="L65" s="4572"/>
      <c r="M65" s="4572"/>
      <c r="N65" s="4572"/>
      <c r="O65" s="4572"/>
      <c r="P65" s="4572"/>
    </row>
    <row customHeight="true" ht="18.452380952380953" r="66">
      <c r="A66" s="4564" t="s">
        <v>4366</v>
      </c>
      <c r="B66" s="4565">
        <v>46247</v>
      </c>
      <c r="C66" s="4564" t="str">
        <v>Thursday</v>
      </c>
      <c r="D66" s="4619" t="s">
        <v>4384</v>
      </c>
      <c r="E66" s="4620">
        <f t="shared" si="53"/>
      </c>
      <c r="F66" s="4620" t="s">
        <v>4356</v>
      </c>
      <c r="G66" s="4621" t="s">
        <v>4385</v>
      </c>
      <c r="H66" s="4620" t="s">
        <v>4316</v>
      </c>
      <c r="I66" s="4620" t="s">
        <v>4304</v>
      </c>
      <c r="J66" s="4622"/>
      <c r="K66" s="4572"/>
      <c r="L66" s="4572"/>
      <c r="M66" s="4572"/>
      <c r="N66" s="4572"/>
      <c r="O66" s="4572"/>
      <c r="P66" s="4572"/>
    </row>
    <row r="67">
      <c r="A67" s="4564" t="s">
        <v>4366</v>
      </c>
      <c r="B67" s="4565">
        <v>46248</v>
      </c>
      <c r="C67" s="4564" t="str">
        <v>Friday</v>
      </c>
      <c r="D67" s="4619" t="s">
        <v>4380</v>
      </c>
      <c r="E67" s="4620">
        <f t="shared" si="53"/>
      </c>
      <c r="F67" s="4620" t="s">
        <v>4356</v>
      </c>
      <c r="G67" s="4621" t="s">
        <v>4381</v>
      </c>
      <c r="H67" s="4620" t="s">
        <v>4316</v>
      </c>
      <c r="I67" s="4620" t="s">
        <v>4304</v>
      </c>
      <c r="J67" s="4622"/>
      <c r="K67" s="4572"/>
      <c r="L67" s="4572"/>
      <c r="M67" s="4572"/>
      <c r="N67" s="4572"/>
      <c r="O67" s="4572"/>
      <c r="P67" s="4572"/>
    </row>
    <row customHeight="true" ht="18.452380952380953" r="68">
      <c r="A68" s="4564" t="s">
        <v>4366</v>
      </c>
      <c r="B68" s="4565">
        <v>46249</v>
      </c>
      <c r="C68" s="4564" t="str">
        <v>Saturday</v>
      </c>
      <c r="D68" s="4619" t="s">
        <v>4386</v>
      </c>
      <c r="E68" s="4620">
        <f t="shared" si="53"/>
      </c>
      <c r="F68" s="4623" t="s">
        <v>4356</v>
      </c>
      <c r="G68" s="4621" t="s">
        <v>4387</v>
      </c>
      <c r="H68" s="4620" t="s">
        <v>4316</v>
      </c>
      <c r="I68" s="4620" t="s">
        <v>4304</v>
      </c>
      <c r="J68" s="4622"/>
      <c r="K68" s="4572"/>
      <c r="L68" s="4572"/>
      <c r="M68" s="4572"/>
      <c r="N68" s="4572"/>
      <c r="O68" s="4572"/>
      <c r="P68" s="4572"/>
    </row>
    <row customHeight="true" ht="18.452380952380953" r="69">
      <c r="A69" s="4564" t="s">
        <v>4366</v>
      </c>
      <c r="B69" s="4565">
        <v>46250</v>
      </c>
      <c r="C69" s="4564" t="str">
        <v>Sunday</v>
      </c>
      <c r="D69" s="4619" t="s">
        <v>4388</v>
      </c>
      <c r="E69" s="4620">
        <f t="shared" si="53"/>
      </c>
      <c r="F69" s="4623" t="s">
        <v>4372</v>
      </c>
      <c r="G69" s="4621" t="s">
        <v>4389</v>
      </c>
      <c r="H69" s="4620" t="s">
        <v>4316</v>
      </c>
      <c r="I69" s="4620" t="s">
        <v>4304</v>
      </c>
      <c r="J69" s="4622"/>
      <c r="K69" s="4572"/>
      <c r="L69" s="4572"/>
      <c r="M69" s="4572"/>
      <c r="N69" s="4572"/>
      <c r="O69" s="4572"/>
      <c r="P69" s="4572"/>
    </row>
    <row customHeight="true" ht="14.880952380952381" r="70">
      <c r="J70" s="4639"/>
      <c r="K70" s="4640"/>
      <c r="L70" s="4640"/>
      <c r="M70" s="4640"/>
      <c r="N70" s="4640"/>
      <c r="O70" s="4640"/>
      <c r="P70" s="4640"/>
    </row>
    <row r="71">
      <c r="A71" s="4641" t="s">
        <v>4390</v>
      </c>
      <c r="B71" s="4642"/>
      <c r="C71" s="4642"/>
      <c r="D71" s="4642"/>
      <c r="E71" s="4642"/>
      <c r="F71" s="4642"/>
      <c r="G71" s="4643"/>
      <c r="H71" s="4643"/>
      <c r="I71" s="4643"/>
      <c r="J71" s="4644"/>
      <c r="K71" s="4580"/>
      <c r="L71" s="4580"/>
      <c r="M71" s="4580"/>
      <c r="N71" s="4580"/>
      <c r="O71" s="4580"/>
      <c r="P71" s="4580"/>
    </row>
    <row r="72">
      <c r="A72" s="4645" t="s">
        <v>4318</v>
      </c>
      <c r="B72" s="4646" t="s">
        <v>4319</v>
      </c>
      <c r="C72" s="4646"/>
      <c r="D72" s="4645" t="s">
        <v>4320</v>
      </c>
      <c r="E72" s="4645" t="s">
        <v>4321</v>
      </c>
      <c r="F72" s="4645" t="s">
        <v>4322</v>
      </c>
      <c r="G72" s="4647" t="s">
        <v>4334</v>
      </c>
      <c r="H72" s="4645" t="s">
        <v>4324</v>
      </c>
      <c r="I72" s="4645" t="s">
        <v>4325</v>
      </c>
      <c r="J72" s="4648" t="s">
        <v>4326</v>
      </c>
      <c r="K72" s="4586"/>
      <c r="L72" s="4586"/>
      <c r="M72" s="4586"/>
      <c r="N72" s="4586"/>
      <c r="O72" s="4586"/>
      <c r="P72" s="4586"/>
    </row>
    <row r="73">
      <c r="A73" s="4564" t="s">
        <v>4391</v>
      </c>
      <c r="B73" s="4565">
        <v>46245</v>
      </c>
      <c r="C73" s="4564" t="str">
        <v>Tuesday</v>
      </c>
      <c r="D73" s="4619" t="s">
        <v>4392</v>
      </c>
      <c r="E73" s="4620">
        <f t="shared" ref="E73:E77" si="54">24*MOD(TIMEVALUE(TRIM(MID(D73,FIND("-",D73)+1,LEN(D73)))) - TIMEVALUE(TRIM(LEFT(D73,FIND("-",D73)-1))),1)</f>
      </c>
      <c r="F73" s="4620" t="s">
        <v>4393</v>
      </c>
      <c r="G73" s="4621" t="s">
        <v>4352</v>
      </c>
      <c r="H73" s="4620" t="s">
        <v>4316</v>
      </c>
      <c r="I73" s="4620" t="s">
        <v>4304</v>
      </c>
      <c r="J73" s="4622"/>
      <c r="K73" s="4572"/>
      <c r="L73" s="4572"/>
      <c r="M73" s="4572"/>
      <c r="N73" s="4572"/>
      <c r="O73" s="4572"/>
      <c r="P73" s="4572"/>
    </row>
    <row customHeight="true" ht="18.452380952380953" r="74">
      <c r="A74" s="4564" t="s">
        <v>4391</v>
      </c>
      <c r="B74" s="4565">
        <v>46246</v>
      </c>
      <c r="C74" s="4564" t="str">
        <v>Wednesday</v>
      </c>
      <c r="D74" s="4619" t="s">
        <v>4394</v>
      </c>
      <c r="E74" s="4620">
        <f t="shared" si="54"/>
      </c>
      <c r="F74" s="4620" t="s">
        <v>4395</v>
      </c>
      <c r="G74" s="4621" t="s">
        <v>4349</v>
      </c>
      <c r="H74" s="4620" t="s">
        <v>4316</v>
      </c>
      <c r="I74" s="4620" t="s">
        <v>4304</v>
      </c>
      <c r="J74" s="4622"/>
      <c r="K74" s="4572"/>
      <c r="L74" s="4572"/>
      <c r="M74" s="4572"/>
      <c r="N74" s="4572"/>
      <c r="O74" s="4572"/>
      <c r="P74" s="4572"/>
    </row>
    <row r="75">
      <c r="A75" s="4564" t="s">
        <v>4391</v>
      </c>
      <c r="B75" s="4565">
        <v>46248</v>
      </c>
      <c r="C75" s="4564" t="str">
        <v>Friday</v>
      </c>
      <c r="D75" s="4619" t="s">
        <v>4396</v>
      </c>
      <c r="E75" s="4620">
        <f t="shared" si="54"/>
      </c>
      <c r="F75" s="4620" t="s">
        <v>4397</v>
      </c>
      <c r="G75" s="4621" t="s">
        <v>4349</v>
      </c>
      <c r="H75" s="4620" t="s">
        <v>4316</v>
      </c>
      <c r="I75" s="4620" t="s">
        <v>4304</v>
      </c>
      <c r="J75" s="4622"/>
      <c r="K75" s="4572"/>
      <c r="L75" s="4572"/>
      <c r="M75" s="4572"/>
      <c r="N75" s="4572"/>
      <c r="O75" s="4572"/>
      <c r="P75" s="4572"/>
    </row>
    <row customHeight="true" ht="18.452380952380953" r="76">
      <c r="A76" s="4564" t="s">
        <v>4391</v>
      </c>
      <c r="B76" s="4565">
        <v>46245</v>
      </c>
      <c r="C76" s="4564" t="str">
        <v>Tuesday</v>
      </c>
      <c r="D76" s="4619" t="s">
        <v>4392</v>
      </c>
      <c r="E76" s="4620">
        <f t="shared" si="54"/>
      </c>
      <c r="F76" s="4620" t="s">
        <v>4361</v>
      </c>
      <c r="G76" s="4621"/>
      <c r="H76" s="4620" t="s">
        <v>4316</v>
      </c>
      <c r="I76" s="4620" t="s">
        <v>4304</v>
      </c>
      <c r="J76" s="4622"/>
      <c r="K76" s="4572"/>
      <c r="L76" s="4572"/>
      <c r="M76" s="4572"/>
      <c r="N76" s="4572"/>
      <c r="O76" s="4572"/>
      <c r="P76" s="4572"/>
    </row>
    <row customHeight="true" ht="18.452380952380953" r="77">
      <c r="A77" s="4564" t="s">
        <v>4391</v>
      </c>
      <c r="B77" s="4565">
        <v>46249</v>
      </c>
      <c r="C77" s="4564" t="str">
        <v>Saturday</v>
      </c>
      <c r="D77" s="4619" t="s">
        <v>4398</v>
      </c>
      <c r="E77" s="4620">
        <f t="shared" si="54"/>
      </c>
      <c r="F77" s="4620" t="s">
        <v>4361</v>
      </c>
      <c r="G77" s="4621"/>
      <c r="H77" s="4620" t="s">
        <v>4316</v>
      </c>
      <c r="I77" s="4620" t="s">
        <v>4304</v>
      </c>
      <c r="J77" s="4622"/>
      <c r="K77" s="4572"/>
      <c r="L77" s="4572"/>
      <c r="M77" s="4572"/>
      <c r="N77" s="4572"/>
      <c r="O77" s="4572"/>
      <c r="P77" s="4572"/>
    </row>
    <row customHeight="true" ht="16.071428571428573" r="78">
      <c r="J78" s="4639"/>
      <c r="K78" s="4640"/>
      <c r="L78" s="4640"/>
      <c r="M78" s="4640"/>
      <c r="N78" s="4640"/>
      <c r="O78" s="4640"/>
      <c r="P78" s="4640"/>
    </row>
    <row r="79">
      <c r="A79" s="4649" t="s">
        <v>4399</v>
      </c>
      <c r="B79" s="4649"/>
      <c r="C79" s="4649"/>
      <c r="D79" s="4649"/>
      <c r="E79" s="4649"/>
      <c r="F79" s="4649"/>
      <c r="G79" s="4650"/>
      <c r="H79" s="4650"/>
      <c r="I79" s="4650"/>
      <c r="J79" s="4651"/>
      <c r="K79" s="4580"/>
      <c r="L79" s="4580"/>
      <c r="M79" s="4580"/>
      <c r="N79" s="4580"/>
      <c r="O79" s="4580"/>
      <c r="P79" s="4580"/>
    </row>
    <row r="80">
      <c r="A80" s="4652" t="s">
        <v>4318</v>
      </c>
      <c r="B80" s="4653" t="s">
        <v>4319</v>
      </c>
      <c r="C80" s="4653"/>
      <c r="D80" s="4652" t="s">
        <v>4320</v>
      </c>
      <c r="E80" s="4652" t="s">
        <v>4321</v>
      </c>
      <c r="F80" s="4652" t="s">
        <v>4322</v>
      </c>
      <c r="G80" s="4654" t="s">
        <v>4334</v>
      </c>
      <c r="H80" s="4652" t="s">
        <v>4324</v>
      </c>
      <c r="I80" s="4652" t="s">
        <v>4325</v>
      </c>
      <c r="J80" s="4655" t="s">
        <v>4326</v>
      </c>
      <c r="K80" s="4586"/>
      <c r="L80" s="4656" t="s">
        <v>4400</v>
      </c>
      <c r="M80" s="4586"/>
      <c r="N80" s="4586"/>
      <c r="O80" s="4586"/>
      <c r="P80" s="4586"/>
    </row>
    <row r="81">
      <c r="A81" s="4564" t="s">
        <v>4401</v>
      </c>
      <c r="B81" s="4565">
        <v>46245</v>
      </c>
      <c r="C81" s="4564" t="str">
        <v>Tuesday</v>
      </c>
      <c r="D81" s="4619" t="s">
        <v>4402</v>
      </c>
      <c r="E81" s="4620">
        <f t="shared" ref="E81:E87" si="55">24*MOD(TIMEVALUE(TRIM(MID(D81,FIND("-",D81)+1,LEN(D81)))) - TIMEVALUE(TRIM(LEFT(D81,FIND("-",D81)-1))),1)</f>
      </c>
      <c r="F81" s="4620" t="s">
        <v>4393</v>
      </c>
      <c r="G81" s="4621" t="s">
        <v>4349</v>
      </c>
      <c r="H81" s="4620" t="s">
        <v>4316</v>
      </c>
      <c r="I81" s="4622" t="s">
        <v>4304</v>
      </c>
      <c r="J81" s="4622"/>
      <c r="K81" s="4572"/>
      <c r="L81" s="4572"/>
      <c r="M81" s="4572"/>
      <c r="N81" s="4572"/>
      <c r="O81" s="4572"/>
      <c r="P81" s="4572"/>
    </row>
    <row customHeight="true" ht="18.452380952380953" r="82">
      <c r="A82" s="4564" t="s">
        <v>4401</v>
      </c>
      <c r="B82" s="4565">
        <v>46246</v>
      </c>
      <c r="C82" s="4564" t="str">
        <v>Wednesday</v>
      </c>
      <c r="D82" s="4619" t="s">
        <v>4403</v>
      </c>
      <c r="E82" s="4620">
        <f t="shared" si="55"/>
      </c>
      <c r="F82" s="4620" t="s">
        <v>4395</v>
      </c>
      <c r="G82" s="4621" t="s">
        <v>4349</v>
      </c>
      <c r="H82" s="4620" t="s">
        <v>4316</v>
      </c>
      <c r="I82" s="4620" t="s">
        <v>4304</v>
      </c>
      <c r="J82" s="4657"/>
      <c r="K82" s="4572"/>
      <c r="L82" s="4572"/>
      <c r="M82" s="4572"/>
      <c r="N82" s="4572"/>
      <c r="O82" s="4572"/>
      <c r="P82" s="4572"/>
    </row>
    <row customHeight="true" ht="18.452380952380953" r="83">
      <c r="A83" s="4564" t="s">
        <v>4401</v>
      </c>
      <c r="B83" s="4565">
        <v>46246</v>
      </c>
      <c r="C83" s="4564" t="str">
        <v>Wednesday</v>
      </c>
      <c r="D83" s="4619" t="s">
        <v>4404</v>
      </c>
      <c r="E83" s="4620">
        <f t="shared" si="55"/>
      </c>
      <c r="F83" s="4620" t="s">
        <v>4393</v>
      </c>
      <c r="G83" s="4621" t="s">
        <v>4349</v>
      </c>
      <c r="H83" s="4620" t="s">
        <v>4316</v>
      </c>
      <c r="I83" s="4620" t="s">
        <v>4304</v>
      </c>
      <c r="J83" s="4657"/>
      <c r="K83" s="4572"/>
      <c r="L83" s="4572"/>
      <c r="M83" s="4572"/>
      <c r="N83" s="4572"/>
      <c r="O83" s="4572"/>
      <c r="P83" s="4572"/>
    </row>
    <row customHeight="true" ht="18.452380952380953" r="84">
      <c r="A84" s="4564" t="s">
        <v>4401</v>
      </c>
      <c r="B84" s="4565">
        <v>46248</v>
      </c>
      <c r="C84" s="4564" t="str">
        <v>Friday</v>
      </c>
      <c r="D84" s="4619" t="s">
        <v>4392</v>
      </c>
      <c r="E84" s="4620">
        <f t="shared" si="55"/>
      </c>
      <c r="F84" s="4620" t="s">
        <v>4405</v>
      </c>
      <c r="G84" s="4621" t="s">
        <v>4349</v>
      </c>
      <c r="H84" s="4620" t="s">
        <v>4316</v>
      </c>
      <c r="I84" s="4620" t="s">
        <v>4304</v>
      </c>
      <c r="J84" s="4622"/>
      <c r="K84" s="4572"/>
      <c r="L84" s="4572"/>
      <c r="M84" s="4572"/>
      <c r="N84" s="4572"/>
      <c r="O84" s="4572"/>
      <c r="P84" s="4572"/>
    </row>
    <row r="85">
      <c r="A85" s="4564" t="s">
        <v>4401</v>
      </c>
      <c r="B85" s="4565">
        <v>46249</v>
      </c>
      <c r="C85" s="4564" t="str">
        <v>Saturday</v>
      </c>
      <c r="D85" s="4619" t="s">
        <v>4406</v>
      </c>
      <c r="E85" s="4620">
        <f t="shared" si="55"/>
      </c>
      <c r="F85" s="4620" t="s">
        <v>4397</v>
      </c>
      <c r="G85" s="4621" t="s">
        <v>4349</v>
      </c>
      <c r="H85" s="4620" t="s">
        <v>4316</v>
      </c>
      <c r="I85" s="4620" t="s">
        <v>4304</v>
      </c>
      <c r="J85" s="4622"/>
      <c r="K85" s="4572"/>
      <c r="L85" s="4572"/>
      <c r="M85" s="4572"/>
      <c r="N85" s="4572"/>
      <c r="O85" s="4572"/>
      <c r="P85" s="4572"/>
    </row>
    <row customHeight="true" ht="18.452380952380953" r="86">
      <c r="A86" s="4564" t="s">
        <v>4401</v>
      </c>
      <c r="B86" s="4565">
        <v>46250</v>
      </c>
      <c r="C86" s="4564" t="str">
        <v>Sunday</v>
      </c>
      <c r="D86" s="4619" t="s">
        <v>4406</v>
      </c>
      <c r="E86" s="4620">
        <f t="shared" si="55"/>
      </c>
      <c r="F86" s="4620" t="s">
        <v>4397</v>
      </c>
      <c r="G86" s="4621" t="s">
        <v>4352</v>
      </c>
      <c r="H86" s="4620" t="s">
        <v>4316</v>
      </c>
      <c r="I86" s="4620" t="s">
        <v>4304</v>
      </c>
      <c r="J86" s="4622"/>
      <c r="K86" s="4572"/>
      <c r="L86" s="4572"/>
      <c r="M86" s="4572"/>
      <c r="N86" s="4572"/>
      <c r="O86" s="4572"/>
      <c r="P86" s="4572"/>
    </row>
    <row customHeight="true" ht="18.452380952380953" r="87">
      <c r="A87" s="4564" t="s">
        <v>4401</v>
      </c>
      <c r="B87" s="4565">
        <v>46250</v>
      </c>
      <c r="C87" s="4564" t="str">
        <v>Sunday</v>
      </c>
      <c r="D87" s="4619" t="s">
        <v>4406</v>
      </c>
      <c r="E87" s="4620">
        <f t="shared" si="55"/>
      </c>
      <c r="F87" s="4620" t="s">
        <v>4361</v>
      </c>
      <c r="G87" s="4621"/>
      <c r="H87" s="4620" t="s">
        <v>4316</v>
      </c>
      <c r="I87" s="4620" t="s">
        <v>4304</v>
      </c>
      <c r="J87" s="4622"/>
      <c r="K87" s="4572"/>
      <c r="L87" s="4572"/>
      <c r="M87" s="4572"/>
      <c r="N87" s="4572"/>
      <c r="O87" s="4572"/>
      <c r="P87" s="4572"/>
    </row>
    <row customHeight="true" ht="14.880952380952381" r="88">
      <c r="J88" s="4639"/>
      <c r="K88" s="4640"/>
      <c r="L88" s="4640"/>
      <c r="M88" s="4640"/>
      <c r="N88" s="4640"/>
      <c r="O88" s="4640"/>
      <c r="P88" s="4640"/>
    </row>
    <row r="89">
      <c r="A89" s="4564" t="s">
        <v>4399</v>
      </c>
      <c r="B89" s="4565">
        <v>46248</v>
      </c>
      <c r="C89" s="4564" t="str">
        <v>Friday</v>
      </c>
      <c r="D89" s="4619" t="s">
        <v>4355</v>
      </c>
      <c r="E89" s="4620">
        <f t="shared" ref="E89:E90" si="56">24*MOD(TIMEVALUE(TRIM(MID(D89,FIND("-",D89)+1,LEN(D89)))) - TIMEVALUE(TRIM(LEFT(D89,FIND("-",D89)-1))),1)</f>
      </c>
      <c r="F89" s="4620" t="s">
        <v>4393</v>
      </c>
      <c r="G89" s="4621" t="s">
        <v>4349</v>
      </c>
      <c r="H89" s="4620" t="s">
        <v>4316</v>
      </c>
      <c r="I89" s="4620" t="s">
        <v>4304</v>
      </c>
      <c r="J89" s="4622"/>
      <c r="K89" s="4572"/>
      <c r="L89" s="4572"/>
      <c r="M89" s="4572"/>
      <c r="N89" s="4572"/>
      <c r="O89" s="4572"/>
      <c r="P89" s="4572"/>
    </row>
    <row r="90">
      <c r="A90" s="4564" t="s">
        <v>4399</v>
      </c>
      <c r="B90" s="4565">
        <v>46249</v>
      </c>
      <c r="C90" s="4564" t="str">
        <v>Saturday</v>
      </c>
      <c r="D90" s="4619" t="s">
        <v>4355</v>
      </c>
      <c r="E90" s="4620">
        <f t="shared" si="56"/>
      </c>
      <c r="F90" s="4620" t="s">
        <v>4405</v>
      </c>
      <c r="G90" s="4621" t="s">
        <v>4349</v>
      </c>
      <c r="H90" s="4620" t="s">
        <v>4316</v>
      </c>
      <c r="I90" s="4620" t="s">
        <v>4304</v>
      </c>
      <c r="J90" s="4622"/>
      <c r="K90" s="4572"/>
      <c r="L90" s="4572"/>
      <c r="M90" s="4572"/>
      <c r="N90" s="4572"/>
      <c r="O90" s="4572"/>
      <c r="P90" s="4572"/>
    </row>
    <row customHeight="true" ht="16.071428571428573" r="91">
      <c r="A91" s="4639"/>
      <c r="J91" s="4639"/>
      <c r="K91" s="4640"/>
      <c r="L91" s="4640"/>
      <c r="M91" s="4640"/>
      <c r="N91" s="4640"/>
      <c r="O91" s="4640"/>
      <c r="P91" s="4640"/>
    </row>
    <row r="92">
      <c r="A92" s="4658" t="s">
        <v>4407</v>
      </c>
      <c r="B92" s="4658" t="s">
        <v>4408</v>
      </c>
      <c r="C92" s="4659"/>
      <c r="D92" s="4659"/>
      <c r="E92" s="4659"/>
      <c r="F92" s="4659"/>
      <c r="G92" s="4659"/>
      <c r="H92" s="4659"/>
      <c r="I92" s="4659"/>
      <c r="J92" s="4660"/>
      <c r="K92" s="4661"/>
      <c r="L92" s="4661"/>
      <c r="M92" s="4661"/>
      <c r="N92" s="4661"/>
      <c r="O92" s="4661"/>
      <c r="P92" s="4661"/>
    </row>
    <row r="93">
      <c r="A93" s="4662" t="s">
        <v>4318</v>
      </c>
      <c r="B93" s="4663" t="s">
        <v>4319</v>
      </c>
      <c r="C93" s="4663"/>
      <c r="D93" s="4664" t="s">
        <v>4320</v>
      </c>
      <c r="E93" s="4664" t="s">
        <v>4321</v>
      </c>
      <c r="F93" s="4664" t="s">
        <v>4322</v>
      </c>
      <c r="G93" s="4665" t="s">
        <v>4334</v>
      </c>
      <c r="H93" s="4664" t="s">
        <v>4324</v>
      </c>
      <c r="I93" s="4664" t="s">
        <v>4325</v>
      </c>
      <c r="J93" s="4666" t="s">
        <v>4326</v>
      </c>
      <c r="K93" s="4586"/>
      <c r="L93" s="4586"/>
      <c r="M93" s="4586"/>
      <c r="N93" s="4586"/>
      <c r="O93" s="4586"/>
      <c r="P93" s="4586"/>
    </row>
    <row customHeight="true" ht="18.452380952380953" r="94">
      <c r="A94" s="4667" t="s">
        <v>4407</v>
      </c>
      <c r="B94" s="4573">
        <v>46244</v>
      </c>
      <c r="C94" s="4587" t="str">
        <v>Monday</v>
      </c>
      <c r="D94" s="4668" t="s">
        <v>4336</v>
      </c>
      <c r="E94" s="4591">
        <f t="shared" ref="E94:E119" si="57">24*MOD(TIMEVALUE(TRIM(MID(D94,FIND("-",D94)+1,LEN(D94)))) - TIMEVALUE(TRIM(LEFT(D94,FIND("-",D94)-1))),1)</f>
      </c>
      <c r="F94" s="4571" t="s">
        <v>4337</v>
      </c>
      <c r="G94" s="4669"/>
      <c r="H94" s="4571" t="s">
        <v>4316</v>
      </c>
      <c r="I94" s="4591" t="s">
        <v>4332</v>
      </c>
      <c r="J94" s="4670"/>
      <c r="K94" s="4611"/>
      <c r="L94" s="4611"/>
      <c r="M94" s="4611"/>
      <c r="N94" s="4611"/>
      <c r="O94" s="4611"/>
      <c r="P94" s="4611"/>
    </row>
    <row r="95">
      <c r="A95" s="4667" t="s">
        <v>4407</v>
      </c>
      <c r="B95" s="4573">
        <v>46245</v>
      </c>
      <c r="C95" s="4587" t="str">
        <v>Tuesday</v>
      </c>
      <c r="D95" s="4668" t="s">
        <v>4336</v>
      </c>
      <c r="E95" s="4591">
        <f t="shared" si="57"/>
      </c>
      <c r="F95" s="4571" t="s">
        <v>4337</v>
      </c>
      <c r="G95" s="4669"/>
      <c r="H95" s="4571" t="s">
        <v>4316</v>
      </c>
      <c r="I95" s="4591" t="s">
        <v>4332</v>
      </c>
      <c r="J95" s="4670"/>
      <c r="K95" s="4611"/>
      <c r="L95" s="4611"/>
      <c r="M95" s="4611"/>
      <c r="N95" s="4611"/>
      <c r="O95" s="4611"/>
      <c r="P95" s="4611"/>
    </row>
    <row customHeight="true" ht="18.452380952380953" r="96">
      <c r="A96" s="4671" t="s">
        <v>4407</v>
      </c>
      <c r="B96" s="4573">
        <v>46246</v>
      </c>
      <c r="C96" s="4587" t="str">
        <v>Wednesday</v>
      </c>
      <c r="D96" s="4668" t="s">
        <v>4409</v>
      </c>
      <c r="E96" s="4591">
        <f t="shared" si="57"/>
      </c>
      <c r="F96" s="4571" t="s">
        <v>4337</v>
      </c>
      <c r="G96" s="4672"/>
      <c r="H96" s="4571" t="s">
        <v>4316</v>
      </c>
      <c r="I96" s="4591" t="s">
        <v>4304</v>
      </c>
      <c r="J96" s="4673"/>
      <c r="K96" s="4611"/>
      <c r="L96" s="4611"/>
      <c r="M96" s="4611"/>
      <c r="N96" s="4611"/>
      <c r="O96" s="4611"/>
      <c r="P96" s="4611"/>
    </row>
    <row r="97">
      <c r="A97" s="4671" t="s">
        <v>4407</v>
      </c>
      <c r="B97" s="4573">
        <v>46246</v>
      </c>
      <c r="C97" s="4587" t="str">
        <v>Wednesday</v>
      </c>
      <c r="D97" s="4668" t="s">
        <v>4410</v>
      </c>
      <c r="E97" s="4591">
        <f t="shared" si="57"/>
      </c>
      <c r="F97" s="4571" t="s">
        <v>4411</v>
      </c>
      <c r="G97" s="4672"/>
      <c r="H97" s="4571" t="s">
        <v>4316</v>
      </c>
      <c r="I97" s="4591" t="s">
        <v>4304</v>
      </c>
      <c r="J97" s="4673"/>
      <c r="K97" s="4611"/>
      <c r="L97" s="4611"/>
      <c r="M97" s="4611"/>
      <c r="N97" s="4611"/>
      <c r="O97" s="4611"/>
      <c r="P97" s="4611"/>
    </row>
    <row customHeight="true" ht="18.452380952380953" r="98">
      <c r="A98" s="4671" t="s">
        <v>4407</v>
      </c>
      <c r="B98" s="4573">
        <v>46247</v>
      </c>
      <c r="C98" s="4587" t="str">
        <v>Thursday</v>
      </c>
      <c r="D98" s="4668" t="s">
        <v>4409</v>
      </c>
      <c r="E98" s="4591">
        <f t="shared" si="57"/>
      </c>
      <c r="F98" s="4571" t="s">
        <v>4337</v>
      </c>
      <c r="G98" s="4672"/>
      <c r="H98" s="4571" t="s">
        <v>4316</v>
      </c>
      <c r="I98" s="4591" t="s">
        <v>4304</v>
      </c>
      <c r="J98" s="4673"/>
      <c r="K98" s="4611"/>
      <c r="L98" s="4611"/>
      <c r="M98" s="4611"/>
      <c r="N98" s="4611"/>
      <c r="O98" s="4611"/>
      <c r="P98" s="4611"/>
    </row>
    <row customHeight="true" ht="18.452380952380953" r="99">
      <c r="A99" s="4671" t="s">
        <v>4407</v>
      </c>
      <c r="B99" s="4573">
        <v>46247</v>
      </c>
      <c r="C99" s="4587" t="str">
        <v>Thursday</v>
      </c>
      <c r="D99" s="4668" t="s">
        <v>4410</v>
      </c>
      <c r="E99" s="4591">
        <f t="shared" si="57"/>
      </c>
      <c r="F99" s="4571" t="s">
        <v>4411</v>
      </c>
      <c r="G99" s="4672"/>
      <c r="H99" s="4571" t="s">
        <v>4316</v>
      </c>
      <c r="I99" s="4591" t="s">
        <v>4304</v>
      </c>
      <c r="J99" s="4673"/>
      <c r="K99" s="4611"/>
      <c r="L99" s="4611"/>
      <c r="M99" s="4611"/>
      <c r="N99" s="4611"/>
      <c r="O99" s="4611"/>
      <c r="P99" s="4611"/>
    </row>
    <row customHeight="true" ht="18.452380952380953" r="100">
      <c r="A100" s="4671" t="s">
        <v>4407</v>
      </c>
      <c r="B100" s="4573">
        <v>46248</v>
      </c>
      <c r="C100" s="4587" t="str">
        <v>Friday</v>
      </c>
      <c r="D100" s="4668" t="s">
        <v>4412</v>
      </c>
      <c r="E100" s="4591">
        <f t="shared" si="57"/>
      </c>
      <c r="F100" s="4571" t="s">
        <v>4337</v>
      </c>
      <c r="G100" s="4672"/>
      <c r="H100" s="4571" t="s">
        <v>4316</v>
      </c>
      <c r="I100" s="4591" t="s">
        <v>4304</v>
      </c>
      <c r="J100" s="4673"/>
      <c r="K100" s="4611"/>
      <c r="L100" s="4611"/>
      <c r="M100" s="4611"/>
      <c r="N100" s="4611"/>
      <c r="O100" s="4611"/>
      <c r="P100" s="4611"/>
    </row>
    <row r="101">
      <c r="A101" s="4671" t="s">
        <v>4407</v>
      </c>
      <c r="B101" s="4573">
        <v>46248</v>
      </c>
      <c r="C101" s="4587" t="str">
        <v>Friday</v>
      </c>
      <c r="D101" s="4668" t="s">
        <v>4413</v>
      </c>
      <c r="E101" s="4591">
        <f t="shared" si="57"/>
      </c>
      <c r="F101" s="4571" t="s">
        <v>4411</v>
      </c>
      <c r="G101" s="4672"/>
      <c r="H101" s="4571" t="s">
        <v>4316</v>
      </c>
      <c r="I101" s="4591" t="s">
        <v>4304</v>
      </c>
      <c r="J101" s="4673"/>
      <c r="K101" s="4611"/>
      <c r="L101" s="4611"/>
      <c r="M101" s="4611"/>
      <c r="N101" s="4611"/>
      <c r="O101" s="4611"/>
      <c r="P101" s="4611"/>
    </row>
    <row r="102">
      <c r="A102" s="4667" t="s">
        <v>4407</v>
      </c>
      <c r="B102" s="4573">
        <v>46249</v>
      </c>
      <c r="C102" s="4587" t="str">
        <v>Saturday</v>
      </c>
      <c r="D102" s="4668" t="s">
        <v>4414</v>
      </c>
      <c r="E102" s="4591">
        <f t="shared" si="57"/>
      </c>
      <c r="F102" s="4571" t="s">
        <v>4337</v>
      </c>
      <c r="G102" s="4672"/>
      <c r="H102" s="4571" t="s">
        <v>4316</v>
      </c>
      <c r="I102" s="4591" t="s">
        <v>4304</v>
      </c>
      <c r="J102" s="4670"/>
      <c r="K102" s="4611"/>
      <c r="L102" s="4611"/>
      <c r="M102" s="4611"/>
      <c r="N102" s="4611"/>
      <c r="O102" s="4611"/>
      <c r="P102" s="4611"/>
    </row>
    <row r="103">
      <c r="A103" s="4667" t="s">
        <v>4407</v>
      </c>
      <c r="B103" s="4573">
        <v>46250</v>
      </c>
      <c r="C103" s="4587" t="str">
        <v>Sunday</v>
      </c>
      <c r="D103" s="4668" t="s">
        <v>4415</v>
      </c>
      <c r="E103" s="4591">
        <f t="shared" si="57"/>
      </c>
      <c r="F103" s="4571" t="s">
        <v>4416</v>
      </c>
      <c r="G103" s="4669"/>
      <c r="H103" s="4571" t="s">
        <v>4316</v>
      </c>
      <c r="I103" s="4591" t="s">
        <v>4332</v>
      </c>
      <c r="J103" s="4670"/>
      <c r="K103" s="4611"/>
      <c r="L103" s="4611"/>
      <c r="M103" s="4611"/>
      <c r="N103" s="4611"/>
      <c r="O103" s="4611"/>
      <c r="P103" s="4611"/>
    </row>
    <row customHeight="true" ht="18.452380952380953" r="104">
      <c r="A104" s="4667" t="s">
        <v>4407</v>
      </c>
      <c r="B104" s="4573">
        <v>46250</v>
      </c>
      <c r="C104" s="4587" t="str">
        <v>Sunday</v>
      </c>
      <c r="D104" s="4668" t="s">
        <v>4417</v>
      </c>
      <c r="E104" s="4591">
        <f t="shared" si="57"/>
      </c>
      <c r="F104" s="4571" t="s">
        <v>4411</v>
      </c>
      <c r="G104" s="4669"/>
      <c r="H104" s="4571" t="s">
        <v>4316</v>
      </c>
      <c r="I104" s="4591" t="s">
        <v>4332</v>
      </c>
      <c r="J104" s="4670"/>
      <c r="K104" s="4611"/>
      <c r="L104" s="4611"/>
      <c r="M104" s="4611"/>
      <c r="N104" s="4611"/>
      <c r="O104" s="4611"/>
      <c r="P104" s="4611"/>
    </row>
    <row customHeight="true" ht="18.452380952380953" r="105">
      <c r="A105" s="4667" t="s">
        <v>4418</v>
      </c>
      <c r="B105" s="4573">
        <v>46244</v>
      </c>
      <c r="C105" s="4587" t="str">
        <v>Monday</v>
      </c>
      <c r="D105" s="4668" t="s">
        <v>4419</v>
      </c>
      <c r="E105" s="4591">
        <f t="shared" si="57"/>
      </c>
      <c r="F105" s="4571" t="s">
        <v>4341</v>
      </c>
      <c r="G105" s="4669"/>
      <c r="H105" s="4571" t="s">
        <v>4316</v>
      </c>
      <c r="I105" s="4591" t="s">
        <v>4332</v>
      </c>
      <c r="J105" s="4670"/>
      <c r="K105" s="4611"/>
      <c r="L105" s="4611"/>
      <c r="M105" s="4611"/>
      <c r="N105" s="4611"/>
      <c r="O105" s="4611"/>
      <c r="P105" s="4611"/>
    </row>
    <row r="106">
      <c r="A106" s="4667" t="s">
        <v>4420</v>
      </c>
      <c r="B106" s="4573">
        <v>46244</v>
      </c>
      <c r="C106" s="4587" t="str">
        <v>Monday</v>
      </c>
      <c r="D106" s="4668" t="s">
        <v>4421</v>
      </c>
      <c r="E106" s="4591">
        <f t="shared" si="57"/>
      </c>
      <c r="F106" s="4571" t="s">
        <v>4422</v>
      </c>
      <c r="G106" s="4674"/>
      <c r="H106" s="4571" t="s">
        <v>4316</v>
      </c>
      <c r="I106" s="4591" t="s">
        <v>4332</v>
      </c>
      <c r="J106" s="4670"/>
      <c r="K106" s="4611"/>
      <c r="L106" s="4611"/>
      <c r="M106" s="4611"/>
      <c r="N106" s="4611"/>
      <c r="O106" s="4611"/>
      <c r="P106" s="4611"/>
    </row>
    <row customHeight="true" ht="18.452380952380953" r="107">
      <c r="A107" s="4667" t="s">
        <v>4420</v>
      </c>
      <c r="B107" s="4573">
        <v>46245</v>
      </c>
      <c r="C107" s="4587" t="str">
        <v>Tuesday</v>
      </c>
      <c r="D107" s="4668" t="s">
        <v>4421</v>
      </c>
      <c r="E107" s="4591">
        <f t="shared" si="57"/>
      </c>
      <c r="F107" s="4571" t="s">
        <v>4422</v>
      </c>
      <c r="G107" s="4674"/>
      <c r="H107" s="4571" t="s">
        <v>4316</v>
      </c>
      <c r="I107" s="4591" t="s">
        <v>4332</v>
      </c>
      <c r="J107" s="4670"/>
      <c r="K107" s="4611"/>
      <c r="L107" s="4611"/>
      <c r="M107" s="4611"/>
      <c r="N107" s="4611"/>
      <c r="O107" s="4611"/>
      <c r="P107" s="4611"/>
    </row>
    <row customHeight="true" ht="18.452380952380953" r="108">
      <c r="A108" s="4667" t="s">
        <v>4420</v>
      </c>
      <c r="B108" s="4573">
        <v>46246</v>
      </c>
      <c r="C108" s="4587" t="str">
        <v>Wednesday</v>
      </c>
      <c r="D108" s="4668" t="s">
        <v>4423</v>
      </c>
      <c r="E108" s="4591">
        <f t="shared" si="57"/>
      </c>
      <c r="F108" s="4571" t="s">
        <v>4422</v>
      </c>
      <c r="G108" s="4674"/>
      <c r="H108" s="4571" t="s">
        <v>4316</v>
      </c>
      <c r="I108" s="4591" t="s">
        <v>4332</v>
      </c>
      <c r="J108" s="4670"/>
      <c r="K108" s="4611"/>
      <c r="L108" s="4611"/>
      <c r="M108" s="4611"/>
      <c r="N108" s="4611"/>
      <c r="O108" s="4611"/>
      <c r="P108" s="4611"/>
    </row>
    <row customHeight="true" ht="18.452380952380953" r="109">
      <c r="A109" s="4667" t="s">
        <v>4418</v>
      </c>
      <c r="B109" s="4573">
        <v>46246</v>
      </c>
      <c r="C109" s="4587" t="str">
        <v>Wednesday</v>
      </c>
      <c r="D109" s="4668" t="s">
        <v>4343</v>
      </c>
      <c r="E109" s="4591">
        <f t="shared" si="57"/>
      </c>
      <c r="F109" s="4571" t="s">
        <v>4424</v>
      </c>
      <c r="G109" s="4674"/>
      <c r="H109" s="4571" t="s">
        <v>4316</v>
      </c>
      <c r="I109" s="4591" t="s">
        <v>4332</v>
      </c>
      <c r="J109" s="4670"/>
      <c r="K109" s="4611"/>
      <c r="L109" s="4611"/>
      <c r="M109" s="4611"/>
      <c r="N109" s="4611"/>
      <c r="O109" s="4611"/>
      <c r="P109" s="4611"/>
    </row>
    <row customHeight="true" ht="18.452380952380953" r="110">
      <c r="A110" s="4667" t="s">
        <v>4420</v>
      </c>
      <c r="B110" s="4573">
        <v>46247</v>
      </c>
      <c r="C110" s="4587" t="str">
        <v>Thursday</v>
      </c>
      <c r="D110" s="4668" t="s">
        <v>4425</v>
      </c>
      <c r="E110" s="4591">
        <f t="shared" si="57"/>
      </c>
      <c r="F110" s="4571" t="s">
        <v>4422</v>
      </c>
      <c r="G110" s="4674"/>
      <c r="H110" s="4571" t="s">
        <v>4316</v>
      </c>
      <c r="I110" s="4591" t="s">
        <v>4332</v>
      </c>
      <c r="J110" s="4670"/>
      <c r="K110" s="4611"/>
      <c r="L110" s="4611"/>
      <c r="M110" s="4611"/>
      <c r="N110" s="4611"/>
      <c r="O110" s="4611"/>
      <c r="P110" s="4611"/>
    </row>
    <row customHeight="true" ht="18.452380952380953" r="111">
      <c r="A111" s="4667" t="s">
        <v>4420</v>
      </c>
      <c r="B111" s="4573">
        <v>46248</v>
      </c>
      <c r="C111" s="4587" t="str">
        <v>Friday</v>
      </c>
      <c r="D111" s="4668" t="s">
        <v>4426</v>
      </c>
      <c r="E111" s="4591">
        <f t="shared" si="57"/>
      </c>
      <c r="F111" s="4571" t="s">
        <v>4424</v>
      </c>
      <c r="G111" s="4674"/>
      <c r="H111" s="4571" t="s">
        <v>4316</v>
      </c>
      <c r="I111" s="4591" t="s">
        <v>4332</v>
      </c>
      <c r="J111" s="4670"/>
      <c r="K111" s="4611"/>
      <c r="L111" s="4611"/>
      <c r="M111" s="4611"/>
      <c r="N111" s="4611"/>
      <c r="O111" s="4611"/>
      <c r="P111" s="4611"/>
    </row>
    <row customHeight="true" ht="18.452380952380953" r="112">
      <c r="A112" s="4667" t="s">
        <v>4420</v>
      </c>
      <c r="B112" s="4573">
        <v>46249</v>
      </c>
      <c r="C112" s="4587" t="str">
        <v>Saturday</v>
      </c>
      <c r="D112" s="4668" t="s">
        <v>4427</v>
      </c>
      <c r="E112" s="4591">
        <f t="shared" si="57"/>
      </c>
      <c r="F112" s="4571" t="s">
        <v>4428</v>
      </c>
      <c r="G112" s="4674"/>
      <c r="H112" s="4571" t="s">
        <v>4316</v>
      </c>
      <c r="I112" s="4591" t="s">
        <v>4332</v>
      </c>
      <c r="J112" s="4670"/>
      <c r="K112" s="4675"/>
      <c r="L112" s="4675"/>
      <c r="M112" s="4675"/>
      <c r="N112" s="4675"/>
      <c r="O112" s="4675"/>
      <c r="P112" s="4675"/>
      <c r="Q112" s="4610"/>
      <c r="R112" s="4610"/>
      <c r="S112" s="4610"/>
      <c r="T112" s="4610"/>
      <c r="U112" s="4610"/>
      <c r="V112" s="4610"/>
      <c r="W112" s="4610"/>
      <c r="X112" s="4610"/>
      <c r="Y112" s="4610"/>
    </row>
    <row customHeight="true" ht="18.452380952380953" r="113">
      <c r="A113" s="4667" t="s">
        <v>4418</v>
      </c>
      <c r="B113" s="4573">
        <v>46249</v>
      </c>
      <c r="C113" s="4587" t="str">
        <v>Saturday</v>
      </c>
      <c r="D113" s="4668" t="s">
        <v>4429</v>
      </c>
      <c r="E113" s="4591">
        <f t="shared" si="57"/>
      </c>
      <c r="F113" s="4676" t="s">
        <v>4341</v>
      </c>
      <c r="G113" s="4674"/>
      <c r="H113" s="4571" t="s">
        <v>4316</v>
      </c>
      <c r="I113" s="4591" t="s">
        <v>4332</v>
      </c>
      <c r="J113" s="4677"/>
      <c r="K113" s="4611"/>
      <c r="L113" s="4611"/>
      <c r="M113" s="4611"/>
      <c r="N113" s="4611"/>
      <c r="O113" s="4611"/>
      <c r="P113" s="4611"/>
    </row>
    <row customHeight="true" ht="18.452380952380953" r="114">
      <c r="A114" s="4667" t="s">
        <v>4420</v>
      </c>
      <c r="B114" s="4573">
        <v>46250</v>
      </c>
      <c r="C114" s="4587" t="str">
        <v>Sunday</v>
      </c>
      <c r="D114" s="4668" t="s">
        <v>4430</v>
      </c>
      <c r="E114" s="4591">
        <f t="shared" si="57"/>
      </c>
      <c r="F114" s="4571" t="s">
        <v>4422</v>
      </c>
      <c r="G114" s="4674"/>
      <c r="H114" s="4571" t="s">
        <v>4316</v>
      </c>
      <c r="I114" s="4591" t="s">
        <v>4332</v>
      </c>
      <c r="J114" s="4670"/>
      <c r="K114" s="4611"/>
      <c r="L114" s="4611"/>
      <c r="M114" s="4611"/>
      <c r="N114" s="4611"/>
      <c r="O114" s="4611"/>
      <c r="P114" s="4611"/>
    </row>
    <row customHeight="true" ht="18.452380952380953" r="115">
      <c r="A115" s="4667" t="s">
        <v>4418</v>
      </c>
      <c r="B115" s="4573">
        <v>46244</v>
      </c>
      <c r="C115" s="4587" t="str">
        <v>Monday</v>
      </c>
      <c r="D115" s="4668" t="s">
        <v>4431</v>
      </c>
      <c r="E115" s="4591">
        <f t="shared" si="57"/>
      </c>
      <c r="F115" s="4571" t="s">
        <v>4432</v>
      </c>
      <c r="G115" s="4674"/>
      <c r="H115" s="4571" t="s">
        <v>4316</v>
      </c>
      <c r="I115" s="4591" t="s">
        <v>4332</v>
      </c>
      <c r="J115" s="4677" t="s">
        <v>4433</v>
      </c>
      <c r="K115" s="4611"/>
      <c r="L115" s="4611"/>
      <c r="M115" s="4611"/>
      <c r="N115" s="4611"/>
      <c r="O115" s="4611"/>
      <c r="P115" s="4611"/>
    </row>
    <row customHeight="true" ht="18.452380952380953" r="116">
      <c r="A116" s="4667" t="s">
        <v>4418</v>
      </c>
      <c r="B116" s="4573">
        <v>46245</v>
      </c>
      <c r="C116" s="4587" t="str">
        <v>Tuesday</v>
      </c>
      <c r="D116" s="4668" t="s">
        <v>4338</v>
      </c>
      <c r="E116" s="4591">
        <f t="shared" si="57"/>
      </c>
      <c r="F116" s="4571" t="s">
        <v>4432</v>
      </c>
      <c r="G116" s="4674"/>
      <c r="H116" s="4571" t="s">
        <v>4316</v>
      </c>
      <c r="I116" s="4591" t="s">
        <v>4332</v>
      </c>
      <c r="J116" s="4677"/>
      <c r="K116" s="4611"/>
      <c r="L116" s="4611"/>
      <c r="M116" s="4611"/>
      <c r="N116" s="4611"/>
      <c r="O116" s="4611"/>
      <c r="P116" s="4611"/>
    </row>
    <row customHeight="true" ht="18.452380952380953" r="117">
      <c r="A117" s="4667" t="s">
        <v>4418</v>
      </c>
      <c r="B117" s="4573">
        <v>46247</v>
      </c>
      <c r="C117" s="4587" t="str">
        <v>Thursday</v>
      </c>
      <c r="D117" s="4668" t="s">
        <v>4421</v>
      </c>
      <c r="E117" s="4591">
        <f t="shared" si="57"/>
      </c>
      <c r="F117" s="4571" t="s">
        <v>4432</v>
      </c>
      <c r="G117" s="4674"/>
      <c r="H117" s="4571" t="s">
        <v>4316</v>
      </c>
      <c r="I117" s="4591" t="s">
        <v>4332</v>
      </c>
      <c r="J117" s="4670"/>
      <c r="K117" s="4675"/>
      <c r="L117" s="4675"/>
      <c r="M117" s="4675"/>
      <c r="N117" s="4675"/>
      <c r="O117" s="4675"/>
      <c r="P117" s="4675"/>
      <c r="Q117" s="4610"/>
      <c r="R117" s="4610"/>
      <c r="S117" s="4610"/>
      <c r="T117" s="4610"/>
      <c r="U117" s="4610"/>
      <c r="V117" s="4610"/>
      <c r="W117" s="4610"/>
      <c r="X117" s="4610"/>
      <c r="Y117" s="4610"/>
    </row>
    <row customHeight="true" ht="18.452380952380953" r="118">
      <c r="A118" s="4667" t="s">
        <v>4418</v>
      </c>
      <c r="B118" s="4573">
        <v>46248</v>
      </c>
      <c r="C118" s="4587" t="str">
        <v>Friday</v>
      </c>
      <c r="D118" s="4668" t="s">
        <v>4434</v>
      </c>
      <c r="E118" s="4591">
        <f t="shared" si="57"/>
      </c>
      <c r="F118" s="4571" t="s">
        <v>4432</v>
      </c>
      <c r="G118" s="4674"/>
      <c r="H118" s="4571" t="s">
        <v>4316</v>
      </c>
      <c r="I118" s="4591" t="s">
        <v>4332</v>
      </c>
      <c r="J118" s="4670"/>
      <c r="K118" s="4675"/>
      <c r="L118" s="4675"/>
      <c r="M118" s="4675"/>
      <c r="N118" s="4675"/>
      <c r="O118" s="4675"/>
      <c r="P118" s="4675"/>
      <c r="Q118" s="4610"/>
      <c r="R118" s="4610"/>
      <c r="S118" s="4610"/>
      <c r="T118" s="4610"/>
      <c r="U118" s="4610"/>
      <c r="V118" s="4610"/>
      <c r="W118" s="4610"/>
      <c r="X118" s="4610"/>
      <c r="Y118" s="4610"/>
    </row>
    <row customHeight="true" ht="18.452380952380953" r="119">
      <c r="A119" s="4667" t="s">
        <v>4418</v>
      </c>
      <c r="B119" s="4573">
        <v>46250</v>
      </c>
      <c r="C119" s="4587" t="str">
        <v>Sunday</v>
      </c>
      <c r="D119" s="4668" t="s">
        <v>4435</v>
      </c>
      <c r="E119" s="4591">
        <f t="shared" si="57"/>
      </c>
      <c r="F119" s="4571" t="s">
        <v>4432</v>
      </c>
      <c r="G119" s="4674"/>
      <c r="H119" s="4571" t="s">
        <v>4316</v>
      </c>
      <c r="I119" s="4591" t="s">
        <v>4332</v>
      </c>
      <c r="J119" s="4677"/>
      <c r="K119" s="4611"/>
      <c r="L119" s="4611"/>
      <c r="M119" s="4611"/>
      <c r="N119" s="4611"/>
      <c r="O119" s="4611"/>
      <c r="P119" s="4611"/>
    </row>
    <row r="120">
      <c r="A120" s="4678" t="s">
        <v>4436</v>
      </c>
      <c r="B120" s="4678" t="s">
        <v>4408</v>
      </c>
      <c r="C120" s="4678"/>
      <c r="D120" s="4678"/>
      <c r="E120" s="4678"/>
      <c r="F120" s="4678"/>
      <c r="G120" s="4678"/>
      <c r="H120" s="4678"/>
      <c r="I120" s="4678"/>
      <c r="J120" s="4679"/>
      <c r="K120" s="4580"/>
      <c r="L120" s="4580"/>
      <c r="M120" s="4580"/>
      <c r="N120" s="4580"/>
      <c r="O120" s="4580"/>
      <c r="P120" s="4580"/>
    </row>
    <row r="121">
      <c r="A121" s="4680" t="s">
        <v>4318</v>
      </c>
      <c r="B121" s="4681" t="s">
        <v>4319</v>
      </c>
      <c r="C121" s="4681"/>
      <c r="D121" s="4682" t="s">
        <v>4320</v>
      </c>
      <c r="E121" s="4683" t="s">
        <v>4321</v>
      </c>
      <c r="F121" s="4683" t="s">
        <v>4322</v>
      </c>
      <c r="G121" s="4684" t="s">
        <v>4334</v>
      </c>
      <c r="H121" s="4685" t="s">
        <v>4324</v>
      </c>
      <c r="I121" s="4685" t="s">
        <v>4325</v>
      </c>
      <c r="J121" s="4686" t="s">
        <v>4326</v>
      </c>
      <c r="K121" s="4586"/>
      <c r="L121" s="4586"/>
      <c r="M121" s="4586"/>
      <c r="N121" s="4586"/>
      <c r="O121" s="4586"/>
      <c r="P121" s="4586"/>
    </row>
    <row customHeight="true" ht="18.452380952380953" r="122">
      <c r="A122" s="4687" t="s">
        <v>4436</v>
      </c>
      <c r="B122" s="4688">
        <v>46245</v>
      </c>
      <c r="C122" s="4687" t="str">
        <v>Tuesday</v>
      </c>
      <c r="D122" s="4689" t="s">
        <v>4437</v>
      </c>
      <c r="E122" s="4690">
        <f t="shared" ref="E122:E138" si="58">24*MOD(TIMEVALUE(TRIM(MID(D122,FIND("-",D122)+1,LEN(D122)))) - TIMEVALUE(TRIM(LEFT(D122,FIND("-",D122)-1))),1)</f>
      </c>
      <c r="F122" s="4690" t="s">
        <v>4438</v>
      </c>
      <c r="G122" s="4691" t="s">
        <v>4439</v>
      </c>
      <c r="H122" s="4690" t="s">
        <v>4303</v>
      </c>
      <c r="I122" s="4690" t="s">
        <v>4332</v>
      </c>
      <c r="J122" s="4692" t="s">
        <v>4440</v>
      </c>
      <c r="K122" s="4693"/>
      <c r="L122" s="4693"/>
      <c r="M122" s="4693"/>
      <c r="N122" s="4693"/>
      <c r="O122" s="4693"/>
      <c r="P122" s="4693"/>
      <c r="Q122" s="4694"/>
      <c r="R122" s="4694"/>
      <c r="S122" s="4694"/>
      <c r="T122" s="4694"/>
      <c r="U122" s="4694"/>
      <c r="V122" s="4694"/>
      <c r="W122" s="4694"/>
      <c r="X122" s="4694"/>
      <c r="Y122" s="4694"/>
    </row>
    <row customHeight="true" ht="18.452380952380953" r="123">
      <c r="A123" s="4695" t="s">
        <v>4436</v>
      </c>
      <c r="B123" s="4696">
        <v>46246</v>
      </c>
      <c r="C123" s="4695" t="str">
        <v>Wednesday</v>
      </c>
      <c r="D123" s="4697" t="s">
        <v>4441</v>
      </c>
      <c r="E123" s="4575">
        <f t="shared" si="58"/>
      </c>
      <c r="F123" s="4575" t="s">
        <v>4438</v>
      </c>
      <c r="G123" s="4698"/>
      <c r="H123" s="4575" t="s">
        <v>4303</v>
      </c>
      <c r="I123" s="4575" t="s">
        <v>4332</v>
      </c>
      <c r="J123" s="4699"/>
      <c r="K123" s="4572"/>
      <c r="L123" s="4572"/>
      <c r="M123" s="4572"/>
      <c r="N123" s="4572"/>
      <c r="O123" s="4572"/>
      <c r="P123" s="4572"/>
      <c r="Q123" s="4640"/>
      <c r="R123" s="4640"/>
      <c r="S123" s="4640"/>
      <c r="T123" s="4640"/>
      <c r="U123" s="4640"/>
      <c r="V123" s="4640"/>
      <c r="W123" s="4640"/>
      <c r="X123" s="4640"/>
      <c r="Y123" s="4640"/>
    </row>
    <row customHeight="true" ht="18.452380952380953" r="124">
      <c r="A124" s="4587" t="s">
        <v>4436</v>
      </c>
      <c r="B124" s="4573">
        <v>46247</v>
      </c>
      <c r="C124" s="4587" t="str">
        <v>Thursday</v>
      </c>
      <c r="D124" s="4668" t="s">
        <v>4441</v>
      </c>
      <c r="E124" s="4571">
        <f t="shared" si="58"/>
      </c>
      <c r="F124" s="4571" t="s">
        <v>4438</v>
      </c>
      <c r="G124" s="4700"/>
      <c r="H124" s="4571" t="s">
        <v>4303</v>
      </c>
      <c r="I124" s="4591" t="s">
        <v>4332</v>
      </c>
      <c r="J124" s="4701"/>
      <c r="K124" s="4572"/>
      <c r="L124" s="4572"/>
      <c r="M124" s="4572"/>
      <c r="N124" s="4572"/>
      <c r="O124" s="4572"/>
      <c r="P124" s="4572"/>
    </row>
    <row customHeight="true" ht="18.452380952380953" r="125">
      <c r="A125" s="4587" t="s">
        <v>4436</v>
      </c>
      <c r="B125" s="4573">
        <v>46248</v>
      </c>
      <c r="C125" s="4587" t="str">
        <v>Friday</v>
      </c>
      <c r="D125" s="4668" t="s">
        <v>4413</v>
      </c>
      <c r="E125" s="4571">
        <f t="shared" si="58"/>
      </c>
      <c r="F125" s="4571" t="s">
        <v>4442</v>
      </c>
      <c r="G125" s="4700"/>
      <c r="H125" s="4571" t="s">
        <v>4303</v>
      </c>
      <c r="I125" s="4591"/>
      <c r="J125" s="4702" t="s">
        <v>4443</v>
      </c>
      <c r="K125" s="4572"/>
      <c r="L125" s="4572"/>
      <c r="M125" s="4572"/>
      <c r="N125" s="4572"/>
      <c r="O125" s="4572"/>
      <c r="P125" s="4572"/>
    </row>
    <row customHeight="true" ht="18.452380952380953" r="126">
      <c r="A126" s="4587" t="s">
        <v>4436</v>
      </c>
      <c r="B126" s="4573">
        <v>46249</v>
      </c>
      <c r="C126" s="4587" t="str">
        <v>Saturday</v>
      </c>
      <c r="D126" s="4571" t="s">
        <v>4437</v>
      </c>
      <c r="E126" s="4571">
        <f t="shared" si="58"/>
      </c>
      <c r="F126" s="4571" t="s">
        <v>4444</v>
      </c>
      <c r="G126" s="4703"/>
      <c r="H126" s="4571" t="s">
        <v>4303</v>
      </c>
      <c r="I126" s="4591" t="s">
        <v>4332</v>
      </c>
      <c r="J126" s="4702" t="s">
        <v>4445</v>
      </c>
      <c r="K126" s="4704"/>
      <c r="L126" s="4704"/>
      <c r="M126" s="4704"/>
      <c r="N126" s="4704"/>
      <c r="O126" s="4704"/>
      <c r="P126" s="4704"/>
      <c r="Q126" s="4610"/>
      <c r="R126" s="4610"/>
      <c r="S126" s="4610"/>
      <c r="T126" s="4610"/>
      <c r="U126" s="4610"/>
      <c r="V126" s="4610"/>
      <c r="W126" s="4610"/>
      <c r="X126" s="4610"/>
      <c r="Y126" s="4610"/>
    </row>
    <row customHeight="true" ht="16.071428571428573" r="127">
      <c r="A127" s="4687" t="s">
        <v>4446</v>
      </c>
      <c r="B127" s="4688">
        <v>46245</v>
      </c>
      <c r="C127" s="4687" t="str">
        <v>Tuesday</v>
      </c>
      <c r="D127" s="4689" t="s">
        <v>4437</v>
      </c>
      <c r="E127" s="4690">
        <f t="shared" si="58"/>
      </c>
      <c r="F127" s="4705" t="s">
        <v>4447</v>
      </c>
      <c r="G127" s="4706"/>
      <c r="H127" s="4690" t="s">
        <v>4303</v>
      </c>
      <c r="I127" s="4690" t="s">
        <v>4332</v>
      </c>
      <c r="J127" s="4692" t="s">
        <v>4448</v>
      </c>
      <c r="K127" s="4693"/>
      <c r="L127" s="4693"/>
      <c r="M127" s="4693"/>
      <c r="N127" s="4693"/>
      <c r="O127" s="4693"/>
      <c r="P127" s="4693"/>
      <c r="Q127" s="4694"/>
      <c r="R127" s="4694"/>
      <c r="S127" s="4694"/>
      <c r="T127" s="4694"/>
      <c r="U127" s="4694"/>
      <c r="V127" s="4694"/>
      <c r="W127" s="4694"/>
      <c r="X127" s="4694"/>
      <c r="Y127" s="4694"/>
    </row>
    <row customHeight="true" ht="16.071428571428573" r="128">
      <c r="A128" s="4695" t="s">
        <v>4446</v>
      </c>
      <c r="B128" s="4696">
        <v>46246</v>
      </c>
      <c r="C128" s="4587" t="str">
        <v>Wednesday</v>
      </c>
      <c r="D128" s="4697" t="s">
        <v>4449</v>
      </c>
      <c r="E128" s="4575">
        <f t="shared" si="58"/>
      </c>
      <c r="F128" s="4707" t="s">
        <v>4450</v>
      </c>
      <c r="G128" s="4708"/>
      <c r="H128" s="4575" t="s">
        <v>4303</v>
      </c>
      <c r="I128" s="4575" t="s">
        <v>4304</v>
      </c>
      <c r="J128" s="4709" t="s">
        <v>4451</v>
      </c>
      <c r="K128" s="4572"/>
      <c r="L128" s="4572"/>
      <c r="M128" s="4572"/>
      <c r="N128" s="4572"/>
      <c r="O128" s="4572"/>
      <c r="P128" s="4572"/>
      <c r="Q128" s="4640"/>
      <c r="R128" s="4640"/>
      <c r="S128" s="4640"/>
      <c r="T128" s="4640"/>
      <c r="U128" s="4640"/>
      <c r="V128" s="4640"/>
      <c r="W128" s="4640"/>
      <c r="X128" s="4640"/>
      <c r="Y128" s="4640"/>
    </row>
    <row customHeight="true" ht="16.071428571428573" r="129">
      <c r="A129" s="4587" t="s">
        <v>4446</v>
      </c>
      <c r="B129" s="4573">
        <v>46247</v>
      </c>
      <c r="C129" s="4587" t="str">
        <v>Thursday</v>
      </c>
      <c r="D129" s="4668" t="s">
        <v>4452</v>
      </c>
      <c r="E129" s="4571">
        <f t="shared" si="58"/>
      </c>
      <c r="F129" s="4707" t="s">
        <v>4450</v>
      </c>
      <c r="G129" s="4703"/>
      <c r="H129" s="4571" t="s">
        <v>4303</v>
      </c>
      <c r="I129" s="4591" t="s">
        <v>4332</v>
      </c>
      <c r="J129" s="4709" t="s">
        <v>4453</v>
      </c>
      <c r="K129" s="4572"/>
      <c r="L129" s="4572"/>
      <c r="M129" s="4572"/>
      <c r="N129" s="4572"/>
      <c r="O129" s="4572"/>
      <c r="P129" s="4572"/>
    </row>
    <row customHeight="true" ht="16.071428571428573" r="130">
      <c r="A130" s="4587" t="s">
        <v>4446</v>
      </c>
      <c r="B130" s="4573">
        <v>46247</v>
      </c>
      <c r="C130" s="4587" t="str">
        <v>Thursday</v>
      </c>
      <c r="D130" s="4668" t="s">
        <v>4454</v>
      </c>
      <c r="E130" s="4571">
        <f t="shared" si="58"/>
      </c>
      <c r="F130" s="4576" t="s">
        <v>4314</v>
      </c>
      <c r="G130" s="4703"/>
      <c r="H130" s="4571" t="s">
        <v>4303</v>
      </c>
      <c r="I130" s="4591" t="s">
        <v>4304</v>
      </c>
      <c r="J130" s="4709"/>
      <c r="K130" s="4572"/>
      <c r="L130" s="4572"/>
      <c r="M130" s="4572"/>
      <c r="N130" s="4572"/>
      <c r="O130" s="4572"/>
      <c r="P130" s="4572"/>
    </row>
    <row customHeight="true" ht="16.071428571428573" r="131">
      <c r="A131" s="4587" t="s">
        <v>4446</v>
      </c>
      <c r="B131" s="4573">
        <v>46248</v>
      </c>
      <c r="C131" s="4587" t="str">
        <v>Friday</v>
      </c>
      <c r="D131" s="4668" t="s">
        <v>4452</v>
      </c>
      <c r="E131" s="4571">
        <f t="shared" si="58"/>
      </c>
      <c r="F131" s="4707" t="s">
        <v>4450</v>
      </c>
      <c r="G131" s="4703"/>
      <c r="H131" s="4571" t="s">
        <v>4303</v>
      </c>
      <c r="I131" s="4591" t="s">
        <v>4304</v>
      </c>
      <c r="J131" s="4709" t="s">
        <v>4453</v>
      </c>
      <c r="K131" s="4572"/>
      <c r="L131" s="4572"/>
      <c r="M131" s="4572"/>
      <c r="N131" s="4572"/>
      <c r="O131" s="4572"/>
      <c r="P131" s="4572"/>
    </row>
    <row customHeight="true" ht="16.071428571428573" r="132">
      <c r="A132" s="4587" t="s">
        <v>4446</v>
      </c>
      <c r="B132" s="4573">
        <v>46248</v>
      </c>
      <c r="C132" s="4587" t="str">
        <v>Friday</v>
      </c>
      <c r="D132" s="4668" t="s">
        <v>4419</v>
      </c>
      <c r="E132" s="4571">
        <f t="shared" si="58"/>
      </c>
      <c r="F132" s="4576" t="s">
        <v>4314</v>
      </c>
      <c r="G132" s="4703"/>
      <c r="H132" s="4571" t="s">
        <v>4303</v>
      </c>
      <c r="I132" s="4591" t="s">
        <v>4304</v>
      </c>
      <c r="J132" s="4709"/>
      <c r="K132" s="4572"/>
      <c r="L132" s="4572"/>
      <c r="M132" s="4572"/>
      <c r="N132" s="4572"/>
      <c r="O132" s="4572"/>
      <c r="P132" s="4572"/>
    </row>
    <row customHeight="true" ht="16.071428571428573" r="133">
      <c r="A133" s="4587" t="s">
        <v>4446</v>
      </c>
      <c r="B133" s="4573">
        <v>46249</v>
      </c>
      <c r="C133" s="4587" t="str">
        <v>Saturday</v>
      </c>
      <c r="D133" s="4668" t="s">
        <v>4449</v>
      </c>
      <c r="E133" s="4571">
        <f t="shared" si="58"/>
      </c>
      <c r="F133" s="4576" t="s">
        <v>4314</v>
      </c>
      <c r="G133" s="4703"/>
      <c r="H133" s="4571" t="s">
        <v>4303</v>
      </c>
      <c r="I133" s="4591" t="s">
        <v>4304</v>
      </c>
      <c r="J133" s="4709" t="s">
        <v>4455</v>
      </c>
      <c r="K133" s="4572"/>
      <c r="L133" s="4572"/>
      <c r="M133" s="4572"/>
      <c r="N133" s="4572"/>
      <c r="O133" s="4572"/>
      <c r="P133" s="4572"/>
    </row>
    <row customHeight="true" ht="16.071428571428573" r="134">
      <c r="A134" s="4587" t="s">
        <v>4446</v>
      </c>
      <c r="B134" s="4573">
        <v>46249</v>
      </c>
      <c r="C134" s="4587" t="str">
        <v>Saturday</v>
      </c>
      <c r="D134" s="4668" t="s">
        <v>4456</v>
      </c>
      <c r="E134" s="4571">
        <f t="shared" si="58"/>
      </c>
      <c r="F134" s="4707" t="s">
        <v>4450</v>
      </c>
      <c r="G134" s="4703"/>
      <c r="H134" s="4571" t="s">
        <v>4303</v>
      </c>
      <c r="I134" s="4591" t="s">
        <v>4332</v>
      </c>
      <c r="J134" s="4709" t="s">
        <v>4457</v>
      </c>
      <c r="K134" s="4704"/>
      <c r="L134" s="4704"/>
      <c r="M134" s="4704"/>
      <c r="N134" s="4704"/>
      <c r="O134" s="4704"/>
      <c r="P134" s="4704"/>
      <c r="Q134" s="4610"/>
      <c r="R134" s="4610"/>
      <c r="S134" s="4610"/>
      <c r="T134" s="4610"/>
      <c r="U134" s="4610"/>
      <c r="V134" s="4610"/>
      <c r="W134" s="4610"/>
      <c r="X134" s="4610"/>
      <c r="Y134" s="4610"/>
    </row>
    <row customHeight="true" ht="16.071428571428573" r="135">
      <c r="A135" s="4587" t="s">
        <v>4446</v>
      </c>
      <c r="B135" s="4573">
        <v>46249</v>
      </c>
      <c r="C135" s="4587" t="str">
        <v>Saturday</v>
      </c>
      <c r="D135" s="4668" t="s">
        <v>4458</v>
      </c>
      <c r="E135" s="4571">
        <f t="shared" si="58"/>
      </c>
      <c r="F135" s="4707" t="s">
        <v>4450</v>
      </c>
      <c r="G135" s="4703"/>
      <c r="H135" s="4571" t="s">
        <v>4316</v>
      </c>
      <c r="I135" s="4591" t="s">
        <v>4304</v>
      </c>
      <c r="J135" s="4709" t="s">
        <v>4459</v>
      </c>
      <c r="K135" s="4704"/>
      <c r="L135" s="4704"/>
      <c r="M135" s="4704"/>
      <c r="N135" s="4704"/>
      <c r="O135" s="4704"/>
      <c r="P135" s="4704"/>
      <c r="Q135" s="4610"/>
      <c r="R135" s="4610"/>
      <c r="S135" s="4610"/>
      <c r="T135" s="4610"/>
      <c r="U135" s="4610"/>
      <c r="V135" s="4610"/>
      <c r="W135" s="4610"/>
      <c r="X135" s="4610"/>
      <c r="Y135" s="4610"/>
    </row>
    <row customHeight="true" ht="16.071428571428573" r="136">
      <c r="A136" s="4587" t="s">
        <v>4460</v>
      </c>
      <c r="B136" s="4573">
        <v>46247</v>
      </c>
      <c r="C136" s="4587" t="str">
        <v>Thursday</v>
      </c>
      <c r="D136" s="4668" t="s">
        <v>4412</v>
      </c>
      <c r="E136" s="4571">
        <f t="shared" si="58"/>
      </c>
      <c r="F136" s="4571" t="s">
        <v>4444</v>
      </c>
      <c r="G136" s="4703"/>
      <c r="H136" s="4571" t="s">
        <v>4303</v>
      </c>
      <c r="I136" s="4591" t="s">
        <v>4332</v>
      </c>
      <c r="J136" s="4702" t="s">
        <v>4461</v>
      </c>
      <c r="K136" s="4572"/>
      <c r="L136" s="4572"/>
      <c r="M136" s="4572"/>
      <c r="N136" s="4572"/>
      <c r="O136" s="4572"/>
      <c r="P136" s="4572"/>
    </row>
    <row customHeight="true" ht="16.071428571428573" r="137">
      <c r="A137" s="4587" t="s">
        <v>4460</v>
      </c>
      <c r="B137" s="4573">
        <v>46247</v>
      </c>
      <c r="C137" s="4587" t="str">
        <v>Thursday</v>
      </c>
      <c r="D137" s="4668" t="s">
        <v>4462</v>
      </c>
      <c r="E137" s="4571">
        <f t="shared" si="58"/>
      </c>
      <c r="F137" s="4576" t="s">
        <v>4442</v>
      </c>
      <c r="G137" s="4703"/>
      <c r="H137" s="4571" t="s">
        <v>4303</v>
      </c>
      <c r="I137" s="4591" t="s">
        <v>4304</v>
      </c>
      <c r="J137" s="4702"/>
      <c r="K137" s="4572"/>
      <c r="L137" s="4572"/>
      <c r="M137" s="4572"/>
      <c r="N137" s="4572"/>
      <c r="O137" s="4572"/>
      <c r="P137" s="4572"/>
    </row>
    <row customHeight="true" ht="16.071428571428573" r="138">
      <c r="A138" s="4587" t="s">
        <v>4460</v>
      </c>
      <c r="B138" s="4696">
        <v>46246</v>
      </c>
      <c r="C138" s="4587" t="str">
        <v>Wednesday</v>
      </c>
      <c r="D138" s="4668" t="s">
        <v>4463</v>
      </c>
      <c r="E138" s="4571">
        <f t="shared" si="58"/>
      </c>
      <c r="F138" s="4576" t="s">
        <v>4314</v>
      </c>
      <c r="G138" s="4703"/>
      <c r="H138" s="4571" t="s">
        <v>4303</v>
      </c>
      <c r="I138" s="4591" t="s">
        <v>4304</v>
      </c>
      <c r="J138" s="4702"/>
      <c r="K138" s="4572"/>
      <c r="L138" s="4572"/>
      <c r="M138" s="4572"/>
      <c r="N138" s="4572"/>
      <c r="O138" s="4572"/>
      <c r="P138" s="4572"/>
    </row>
    <row r="139">
      <c r="A139" s="4587"/>
      <c r="B139" s="4587"/>
      <c r="C139" s="4587"/>
      <c r="D139" s="4571"/>
      <c r="E139" s="4571"/>
      <c r="F139" s="4571"/>
      <c r="G139" s="4703"/>
      <c r="H139" s="4571"/>
      <c r="I139" s="4591"/>
      <c r="J139" s="4701"/>
      <c r="K139" s="4572"/>
      <c r="L139" s="4572"/>
      <c r="M139" s="4572"/>
      <c r="N139" s="4572"/>
      <c r="O139" s="4572"/>
      <c r="P139" s="4572"/>
    </row>
    <row r="140">
      <c r="A140" s="4610"/>
      <c r="B140" s="4610"/>
      <c r="C140" s="4610"/>
      <c r="D140" s="4610"/>
      <c r="E140" s="4610"/>
      <c r="F140" s="4610"/>
      <c r="G140" s="4610"/>
      <c r="H140" s="4610"/>
      <c r="I140" s="4610"/>
      <c r="J140" s="4610"/>
      <c r="K140" s="4611"/>
      <c r="L140" s="4611"/>
      <c r="M140" s="4611"/>
      <c r="N140" s="4611"/>
      <c r="O140" s="4611"/>
      <c r="P140" s="4611"/>
    </row>
    <row r="141">
      <c r="A141" s="4710" t="s">
        <v>4464</v>
      </c>
      <c r="B141" s="4710"/>
      <c r="C141" s="4710"/>
      <c r="D141" s="4710"/>
      <c r="E141" s="4710"/>
      <c r="F141" s="4710"/>
      <c r="G141" s="4710"/>
      <c r="H141" s="4710" t="s">
        <v>4465</v>
      </c>
      <c r="I141" s="4710"/>
      <c r="J141" s="4711"/>
      <c r="K141" s="4580"/>
      <c r="L141" s="4580"/>
      <c r="M141" s="4580"/>
      <c r="N141" s="4580"/>
      <c r="O141" s="4580"/>
      <c r="P141" s="4580"/>
    </row>
    <row r="142">
      <c r="A142" s="4712" t="s">
        <v>4318</v>
      </c>
      <c r="B142" s="4713" t="s">
        <v>4319</v>
      </c>
      <c r="C142" s="4713"/>
      <c r="D142" s="4714" t="s">
        <v>4320</v>
      </c>
      <c r="E142" s="4715" t="s">
        <v>4321</v>
      </c>
      <c r="F142" s="4715" t="s">
        <v>4322</v>
      </c>
      <c r="G142" s="4716" t="s">
        <v>4334</v>
      </c>
      <c r="H142" s="4717" t="s">
        <v>4324</v>
      </c>
      <c r="I142" s="4717" t="s">
        <v>4325</v>
      </c>
      <c r="J142" s="4718" t="s">
        <v>4326</v>
      </c>
      <c r="K142" s="4586"/>
      <c r="L142" s="4586"/>
      <c r="M142" s="4586"/>
      <c r="N142" s="4586"/>
      <c r="O142" s="4586"/>
      <c r="P142" s="4586"/>
    </row>
    <row r="143">
      <c r="A143" s="4587" t="s">
        <v>4464</v>
      </c>
      <c r="B143" s="4573">
        <v>46244</v>
      </c>
      <c r="C143" s="4587" t="str">
        <v>Monday</v>
      </c>
      <c r="D143" s="4668" t="s">
        <v>4466</v>
      </c>
      <c r="E143" s="4571">
        <f t="shared" ref="E143:E156" si="59">24*MOD(TIMEVALUE(TRIM(MID(D143,FIND("-",D143)+1,LEN(D143)))) - TIMEVALUE(TRIM(LEFT(D143,FIND("-",D143)-1))),1)</f>
      </c>
      <c r="F143" s="4571" t="s">
        <v>4351</v>
      </c>
      <c r="G143" s="4703"/>
      <c r="H143" s="4571" t="s">
        <v>4303</v>
      </c>
      <c r="I143" s="4620" t="s">
        <v>4304</v>
      </c>
      <c r="J143" s="4701"/>
      <c r="K143" s="4572"/>
      <c r="L143" s="4572"/>
      <c r="M143" s="4572"/>
      <c r="N143" s="4572"/>
      <c r="O143" s="4572"/>
      <c r="P143" s="4572"/>
    </row>
    <row customHeight="true" ht="18.452380952380953" r="144">
      <c r="A144" s="4587" t="s">
        <v>4464</v>
      </c>
      <c r="B144" s="4587">
        <v>46245</v>
      </c>
      <c r="C144" s="4587" t="str">
        <v>Tuesday</v>
      </c>
      <c r="D144" s="4571" t="s">
        <v>4467</v>
      </c>
      <c r="E144" s="4571">
        <f t="shared" si="59"/>
      </c>
      <c r="F144" s="4571" t="s">
        <v>4405</v>
      </c>
      <c r="G144" s="4703"/>
      <c r="H144" s="4571" t="s">
        <v>4303</v>
      </c>
      <c r="I144" s="4591" t="s">
        <v>4304</v>
      </c>
      <c r="J144" s="4701"/>
      <c r="K144" s="4572"/>
      <c r="L144" s="4572"/>
      <c r="M144" s="4572"/>
      <c r="N144" s="4572"/>
      <c r="O144" s="4572"/>
      <c r="P144" s="4572"/>
    </row>
    <row customHeight="true" ht="18.452380952380953" r="145">
      <c r="A145" s="4587" t="s">
        <v>4464</v>
      </c>
      <c r="B145" s="4573">
        <v>46246</v>
      </c>
      <c r="C145" s="4587" t="str">
        <v>Wednesday</v>
      </c>
      <c r="D145" s="4571" t="s">
        <v>4467</v>
      </c>
      <c r="E145" s="4571">
        <f t="shared" si="59"/>
      </c>
      <c r="F145" s="4571" t="s">
        <v>4468</v>
      </c>
      <c r="G145" s="4703"/>
      <c r="H145" s="4571" t="s">
        <v>4303</v>
      </c>
      <c r="I145" s="4591" t="s">
        <v>4304</v>
      </c>
      <c r="J145" s="4701"/>
      <c r="K145" s="4572"/>
      <c r="L145" s="4572"/>
      <c r="M145" s="4572"/>
      <c r="N145" s="4572"/>
      <c r="O145" s="4572"/>
      <c r="P145" s="4572"/>
    </row>
    <row r="146">
      <c r="A146" s="4587" t="s">
        <v>4464</v>
      </c>
      <c r="B146" s="4573">
        <v>46247</v>
      </c>
      <c r="C146" s="4587" t="str">
        <v>Thursday</v>
      </c>
      <c r="D146" s="4668" t="s">
        <v>4467</v>
      </c>
      <c r="E146" s="4571">
        <f t="shared" si="59"/>
      </c>
      <c r="F146" s="4571" t="s">
        <v>4468</v>
      </c>
      <c r="G146" s="4700"/>
      <c r="H146" s="4571" t="s">
        <v>4303</v>
      </c>
      <c r="I146" s="4591" t="s">
        <v>4304</v>
      </c>
      <c r="J146" s="4701"/>
      <c r="K146" s="4572"/>
      <c r="L146" s="4572"/>
      <c r="M146" s="4572"/>
      <c r="N146" s="4572"/>
      <c r="O146" s="4572"/>
      <c r="P146" s="4572"/>
    </row>
    <row r="147">
      <c r="A147" s="4587" t="s">
        <v>4464</v>
      </c>
      <c r="B147" s="4573">
        <v>46248</v>
      </c>
      <c r="C147" s="4587" t="str">
        <v>Friday</v>
      </c>
      <c r="D147" s="4668" t="s">
        <v>4467</v>
      </c>
      <c r="E147" s="4571">
        <f t="shared" si="59"/>
      </c>
      <c r="F147" s="4571" t="s">
        <v>4405</v>
      </c>
      <c r="G147" s="4703"/>
      <c r="H147" s="4571" t="s">
        <v>4303</v>
      </c>
      <c r="I147" s="4591" t="s">
        <v>4304</v>
      </c>
      <c r="J147" s="4701"/>
      <c r="K147" s="4572"/>
      <c r="L147" s="4572"/>
      <c r="M147" s="4572"/>
      <c r="N147" s="4572"/>
      <c r="O147" s="4572"/>
      <c r="P147" s="4572"/>
    </row>
    <row customHeight="true" ht="18.452380952380953" r="148">
      <c r="A148" s="4587" t="s">
        <v>4464</v>
      </c>
      <c r="B148" s="4573">
        <v>46250</v>
      </c>
      <c r="C148" s="4587" t="str">
        <v>Sunday</v>
      </c>
      <c r="D148" s="4668" t="s">
        <v>4467</v>
      </c>
      <c r="E148" s="4571">
        <f t="shared" si="59"/>
      </c>
      <c r="F148" s="4571" t="s">
        <v>4351</v>
      </c>
      <c r="G148" s="4703"/>
      <c r="H148" s="4571" t="s">
        <v>4303</v>
      </c>
      <c r="I148" s="4620" t="s">
        <v>4304</v>
      </c>
      <c r="J148" s="4701"/>
      <c r="K148" s="4572"/>
      <c r="L148" s="4572"/>
      <c r="M148" s="4572"/>
      <c r="N148" s="4572"/>
      <c r="O148" s="4572"/>
      <c r="P148" s="4572"/>
    </row>
    <row customHeight="true" ht="18.452380952380953" r="149">
      <c r="A149" s="4587" t="s">
        <v>4469</v>
      </c>
      <c r="B149" s="4573">
        <v>46248</v>
      </c>
      <c r="C149" s="4587" t="str">
        <v>Friday</v>
      </c>
      <c r="D149" s="4668" t="s">
        <v>4470</v>
      </c>
      <c r="E149" s="4571">
        <f t="shared" si="59"/>
      </c>
      <c r="F149" s="4571" t="s">
        <v>4471</v>
      </c>
      <c r="G149" s="4703"/>
      <c r="H149" s="4571" t="s">
        <v>4303</v>
      </c>
      <c r="I149" s="4591" t="s">
        <v>4304</v>
      </c>
      <c r="J149" s="4701"/>
      <c r="K149" s="4572"/>
      <c r="L149" s="4572"/>
      <c r="M149" s="4572"/>
      <c r="N149" s="4572"/>
      <c r="O149" s="4572"/>
      <c r="P149" s="4572"/>
    </row>
    <row customHeight="true" ht="18.452380952380953" r="150">
      <c r="A150" s="4587" t="s">
        <v>4472</v>
      </c>
      <c r="B150" s="4573">
        <v>46244</v>
      </c>
      <c r="C150" s="4587" t="str">
        <v>Monday</v>
      </c>
      <c r="D150" s="4668" t="s">
        <v>4473</v>
      </c>
      <c r="E150" s="4571">
        <f t="shared" si="59"/>
      </c>
      <c r="F150" s="4571" t="s">
        <v>4422</v>
      </c>
      <c r="G150" s="4700"/>
      <c r="H150" s="4571" t="s">
        <v>4303</v>
      </c>
      <c r="I150" s="4591" t="s">
        <v>4304</v>
      </c>
      <c r="J150" s="4701"/>
      <c r="K150" s="4572"/>
      <c r="L150" s="4572"/>
      <c r="M150" s="4572"/>
      <c r="N150" s="4572"/>
      <c r="O150" s="4572"/>
      <c r="P150" s="4572"/>
    </row>
    <row r="151">
      <c r="A151" s="4587" t="s">
        <v>4472</v>
      </c>
      <c r="B151" s="4573">
        <v>46245</v>
      </c>
      <c r="C151" s="4587" t="str">
        <v>Tuesday</v>
      </c>
      <c r="D151" s="4668" t="s">
        <v>4474</v>
      </c>
      <c r="E151" s="4571">
        <f t="shared" si="59"/>
      </c>
      <c r="F151" s="4571" t="s">
        <v>4422</v>
      </c>
      <c r="G151" s="4700"/>
      <c r="H151" s="4571" t="s">
        <v>4303</v>
      </c>
      <c r="I151" s="4591" t="s">
        <v>4304</v>
      </c>
      <c r="J151" s="4701"/>
      <c r="K151" s="4572"/>
      <c r="L151" s="4572"/>
      <c r="M151" s="4572"/>
      <c r="N151" s="4572"/>
      <c r="O151" s="4572"/>
      <c r="P151" s="4572"/>
    </row>
    <row customHeight="true" ht="18.452380952380953" r="152">
      <c r="A152" s="4587" t="s">
        <v>4472</v>
      </c>
      <c r="B152" s="4573">
        <v>46246</v>
      </c>
      <c r="C152" s="4587" t="str">
        <v>Wednesday</v>
      </c>
      <c r="D152" s="4668" t="s">
        <v>4475</v>
      </c>
      <c r="E152" s="4571">
        <f t="shared" si="59"/>
      </c>
      <c r="F152" s="4571" t="s">
        <v>4422</v>
      </c>
      <c r="G152" s="4700"/>
      <c r="H152" s="4571" t="s">
        <v>4303</v>
      </c>
      <c r="I152" s="4591" t="s">
        <v>4304</v>
      </c>
      <c r="J152" s="4701"/>
      <c r="K152" s="4572"/>
      <c r="L152" s="4572"/>
      <c r="M152" s="4572"/>
      <c r="N152" s="4572"/>
      <c r="O152" s="4572"/>
      <c r="P152" s="4572"/>
    </row>
    <row customHeight="true" ht="18.452380952380953" r="153">
      <c r="A153" s="4587" t="s">
        <v>4469</v>
      </c>
      <c r="B153" s="4573">
        <v>46246</v>
      </c>
      <c r="C153" s="4587" t="str">
        <v>Wednesday</v>
      </c>
      <c r="D153" s="4668" t="s">
        <v>4473</v>
      </c>
      <c r="E153" s="4571">
        <f t="shared" si="59"/>
      </c>
      <c r="F153" s="4571" t="s">
        <v>4424</v>
      </c>
      <c r="G153" s="4700"/>
      <c r="H153" s="4571" t="s">
        <v>4303</v>
      </c>
      <c r="I153" s="4591" t="s">
        <v>4304</v>
      </c>
      <c r="J153" s="4701"/>
      <c r="K153" s="4572"/>
      <c r="L153" s="4572"/>
      <c r="M153" s="4572"/>
      <c r="N153" s="4572"/>
      <c r="O153" s="4572"/>
      <c r="P153" s="4572"/>
    </row>
    <row customHeight="true" ht="18.452380952380953" r="154">
      <c r="A154" s="4587" t="s">
        <v>4472</v>
      </c>
      <c r="B154" s="4573">
        <v>46247</v>
      </c>
      <c r="C154" s="4587" t="str">
        <v>Thursday</v>
      </c>
      <c r="D154" s="4668" t="s">
        <v>4474</v>
      </c>
      <c r="E154" s="4571">
        <f t="shared" si="59"/>
      </c>
      <c r="F154" s="4571" t="s">
        <v>4422</v>
      </c>
      <c r="G154" s="4700"/>
      <c r="H154" s="4571" t="s">
        <v>4303</v>
      </c>
      <c r="I154" s="4591" t="s">
        <v>4304</v>
      </c>
      <c r="J154" s="4701"/>
      <c r="K154" s="4572"/>
      <c r="L154" s="4572"/>
      <c r="M154" s="4572"/>
      <c r="N154" s="4572"/>
      <c r="O154" s="4572"/>
      <c r="P154" s="4572"/>
    </row>
    <row customHeight="true" ht="18.452380952380953" r="155">
      <c r="A155" s="4587" t="s">
        <v>4472</v>
      </c>
      <c r="B155" s="4573">
        <v>46248</v>
      </c>
      <c r="C155" s="4587" t="str">
        <v>Friday</v>
      </c>
      <c r="D155" s="4571" t="s">
        <v>4474</v>
      </c>
      <c r="E155" s="4571">
        <f t="shared" si="59"/>
      </c>
      <c r="F155" s="4571" t="s">
        <v>4422</v>
      </c>
      <c r="G155" s="4703"/>
      <c r="H155" s="4571" t="s">
        <v>4303</v>
      </c>
      <c r="I155" s="4591" t="s">
        <v>4304</v>
      </c>
      <c r="J155" s="4701"/>
      <c r="K155" s="4704"/>
      <c r="L155" s="4704"/>
      <c r="M155" s="4704"/>
      <c r="N155" s="4704"/>
      <c r="O155" s="4704"/>
      <c r="P155" s="4704"/>
      <c r="Q155" s="4610"/>
      <c r="R155" s="4610"/>
      <c r="S155" s="4610"/>
      <c r="T155" s="4610"/>
      <c r="U155" s="4610"/>
      <c r="V155" s="4610"/>
      <c r="W155" s="4610"/>
      <c r="X155" s="4610"/>
      <c r="Y155" s="4610"/>
    </row>
    <row customHeight="true" ht="18.452380952380953" r="156">
      <c r="A156" s="4587" t="s">
        <v>4472</v>
      </c>
      <c r="B156" s="4573">
        <v>46250</v>
      </c>
      <c r="C156" s="4587" t="str">
        <v>Sunday</v>
      </c>
      <c r="D156" s="4668" t="s">
        <v>4474</v>
      </c>
      <c r="E156" s="4571">
        <f t="shared" si="59"/>
      </c>
      <c r="F156" s="4571" t="s">
        <v>4422</v>
      </c>
      <c r="G156" s="4703"/>
      <c r="H156" s="4571" t="s">
        <v>4303</v>
      </c>
      <c r="I156" s="4591" t="s">
        <v>4304</v>
      </c>
      <c r="J156" s="4719"/>
      <c r="K156" s="4720"/>
      <c r="L156" s="4720"/>
      <c r="M156" s="4720"/>
      <c r="N156" s="4720"/>
      <c r="O156" s="4704"/>
      <c r="P156" s="4704"/>
      <c r="Q156" s="4704"/>
      <c r="R156" s="4704"/>
      <c r="S156" s="4704"/>
      <c r="T156" s="4704"/>
      <c r="U156" s="4610"/>
      <c r="V156" s="4610"/>
      <c r="W156" s="4610"/>
      <c r="X156" s="4610"/>
      <c r="Y156" s="4610"/>
    </row>
    <row r="157">
      <c r="A157" s="4721" t="s">
        <v>4476</v>
      </c>
      <c r="B157" s="4721"/>
      <c r="C157" s="4721"/>
      <c r="D157" s="4721"/>
      <c r="E157" s="4721"/>
      <c r="F157" s="4721"/>
      <c r="G157" s="4721"/>
      <c r="H157" s="4721"/>
      <c r="I157" s="4721"/>
      <c r="J157" s="4722"/>
      <c r="K157" s="4580"/>
      <c r="L157" s="4580"/>
      <c r="M157" s="4580"/>
      <c r="N157" s="4580"/>
      <c r="O157" s="4580"/>
      <c r="P157" s="4580"/>
    </row>
    <row r="158">
      <c r="A158" s="4723" t="s">
        <v>4318</v>
      </c>
      <c r="B158" s="4724" t="s">
        <v>4319</v>
      </c>
      <c r="C158" s="4724"/>
      <c r="D158" s="4725" t="s">
        <v>4320</v>
      </c>
      <c r="E158" s="4726" t="s">
        <v>4321</v>
      </c>
      <c r="F158" s="4726" t="s">
        <v>4322</v>
      </c>
      <c r="G158" s="4727" t="s">
        <v>4334</v>
      </c>
      <c r="H158" s="4728" t="s">
        <v>4324</v>
      </c>
      <c r="I158" s="4728" t="s">
        <v>4325</v>
      </c>
      <c r="J158" s="4729" t="s">
        <v>4326</v>
      </c>
      <c r="K158" s="4586"/>
      <c r="L158" s="4586"/>
      <c r="M158" s="4586"/>
      <c r="N158" s="4586"/>
      <c r="O158" s="4586"/>
      <c r="P158" s="4586"/>
    </row>
    <row customHeight="true" ht="18.452380952380953" r="159">
      <c r="A159" s="4587" t="s">
        <v>4476</v>
      </c>
      <c r="B159" s="4573">
        <v>46244</v>
      </c>
      <c r="C159" s="4587" t="str">
        <v>Monday</v>
      </c>
      <c r="D159" s="4567" t="s">
        <v>4477</v>
      </c>
      <c r="E159" s="4591">
        <v>3</v>
      </c>
      <c r="F159" s="4730" t="s">
        <v>4397</v>
      </c>
      <c r="G159" s="4700"/>
      <c r="H159" s="4571" t="s">
        <v>4303</v>
      </c>
      <c r="I159" s="4620" t="s">
        <v>4304</v>
      </c>
      <c r="J159" s="4701"/>
      <c r="K159" s="4572"/>
      <c r="L159" s="4572"/>
      <c r="M159" s="4572"/>
      <c r="N159" s="4572"/>
      <c r="O159" s="4572"/>
      <c r="P159" s="4572"/>
    </row>
    <row customHeight="true" ht="18.452380952380953" r="160">
      <c r="A160" s="4587" t="s">
        <v>4476</v>
      </c>
      <c r="B160" s="4573">
        <v>46245</v>
      </c>
      <c r="C160" s="4587" t="str">
        <v>Tuesday</v>
      </c>
      <c r="D160" s="4567" t="s">
        <v>4478</v>
      </c>
      <c r="E160" s="4567">
        <v>2</v>
      </c>
      <c r="F160" s="4576" t="s">
        <v>4405</v>
      </c>
      <c r="G160" s="4731"/>
      <c r="H160" s="4571" t="s">
        <v>4303</v>
      </c>
      <c r="I160" s="4620" t="s">
        <v>4304</v>
      </c>
      <c r="J160" s="4701"/>
      <c r="K160" s="4572"/>
      <c r="L160" s="4572"/>
      <c r="M160" s="4572"/>
      <c r="N160" s="4572"/>
      <c r="O160" s="4572"/>
      <c r="P160" s="4572"/>
    </row>
    <row customHeight="true" ht="18.452380952380953" r="161">
      <c r="A161" s="4587" t="s">
        <v>4476</v>
      </c>
      <c r="B161" s="4573">
        <v>46245</v>
      </c>
      <c r="C161" s="4587" t="str">
        <v>Tuesday</v>
      </c>
      <c r="D161" s="4567" t="s">
        <v>4479</v>
      </c>
      <c r="E161" s="4567">
        <v>1</v>
      </c>
      <c r="F161" s="4576" t="s">
        <v>4395</v>
      </c>
      <c r="G161" s="4731"/>
      <c r="H161" s="4571" t="s">
        <v>4303</v>
      </c>
      <c r="I161" s="4591" t="s">
        <v>4304</v>
      </c>
      <c r="J161" s="4701"/>
      <c r="K161" s="4572"/>
      <c r="L161" s="4572"/>
      <c r="M161" s="4572"/>
      <c r="N161" s="4572"/>
      <c r="O161" s="4572"/>
      <c r="P161" s="4572"/>
    </row>
    <row r="162">
      <c r="A162" s="4587" t="s">
        <v>4476</v>
      </c>
      <c r="B162" s="4573">
        <v>46246</v>
      </c>
      <c r="C162" s="4587" t="str">
        <v>Wednesday</v>
      </c>
      <c r="D162" s="4567" t="s">
        <v>4480</v>
      </c>
      <c r="E162" s="4591">
        <v>3</v>
      </c>
      <c r="F162" s="4730" t="s">
        <v>4468</v>
      </c>
      <c r="G162" s="4700"/>
      <c r="H162" s="4571" t="s">
        <v>4303</v>
      </c>
      <c r="I162" s="4620" t="s">
        <v>4304</v>
      </c>
      <c r="J162" s="4701"/>
      <c r="K162" s="4572"/>
      <c r="L162" s="4572"/>
      <c r="M162" s="4572"/>
      <c r="N162" s="4572"/>
      <c r="O162" s="4572"/>
      <c r="P162" s="4572"/>
    </row>
    <row customHeight="true" ht="18.105158730161076" r="163">
      <c r="A163" s="4587" t="s">
        <v>4476</v>
      </c>
      <c r="B163" s="4573">
        <v>46247</v>
      </c>
      <c r="C163" s="4587" t="str">
        <v>Thursday</v>
      </c>
      <c r="D163" s="4567" t="s">
        <v>4481</v>
      </c>
      <c r="E163" s="4591">
        <v>3</v>
      </c>
      <c r="F163" s="4576" t="s">
        <v>4395</v>
      </c>
      <c r="G163" s="4700"/>
      <c r="H163" s="4571" t="s">
        <v>4303</v>
      </c>
      <c r="I163" s="4620" t="s">
        <v>4304</v>
      </c>
      <c r="J163" s="4701"/>
      <c r="K163" s="4572"/>
      <c r="L163" s="4572"/>
      <c r="M163" s="4572"/>
      <c r="N163" s="4572"/>
      <c r="O163" s="4572"/>
      <c r="P163" s="4572"/>
    </row>
    <row r="164">
      <c r="A164" s="4587" t="s">
        <v>4476</v>
      </c>
      <c r="B164" s="4573">
        <v>46248</v>
      </c>
      <c r="C164" s="4587" t="str">
        <v>Friday</v>
      </c>
      <c r="D164" s="4567" t="s">
        <v>4480</v>
      </c>
      <c r="E164" s="4591">
        <v>3</v>
      </c>
      <c r="F164" s="4730" t="s">
        <v>4397</v>
      </c>
      <c r="G164" s="4700"/>
      <c r="H164" s="4571" t="s">
        <v>4303</v>
      </c>
      <c r="I164" s="4620" t="s">
        <v>4304</v>
      </c>
      <c r="J164" s="4701"/>
      <c r="K164" s="4572"/>
      <c r="L164" s="4572"/>
      <c r="M164" s="4572"/>
      <c r="N164" s="4572"/>
      <c r="O164" s="4572"/>
      <c r="P164" s="4572"/>
    </row>
    <row customHeight="true" ht="18.452380952380953" r="165">
      <c r="A165" s="4687" t="s">
        <v>4476</v>
      </c>
      <c r="B165" s="4688">
        <v>46249</v>
      </c>
      <c r="C165" s="4687" t="str">
        <v>Saturday</v>
      </c>
      <c r="D165" s="4689" t="s">
        <v>4429</v>
      </c>
      <c r="E165" s="4689">
        <v>3</v>
      </c>
      <c r="F165" s="4732" t="s">
        <v>4482</v>
      </c>
      <c r="G165" s="4691"/>
      <c r="H165" s="4690" t="s">
        <v>4483</v>
      </c>
      <c r="I165" s="4636" t="s">
        <v>4304</v>
      </c>
      <c r="J165" s="4733"/>
      <c r="K165" s="4693"/>
      <c r="L165" s="4693"/>
      <c r="M165" s="4693"/>
      <c r="N165" s="4693"/>
      <c r="O165" s="4693"/>
      <c r="P165" s="4693"/>
      <c r="Q165" s="4694"/>
      <c r="R165" s="4694"/>
      <c r="S165" s="4694"/>
      <c r="T165" s="4694"/>
      <c r="U165" s="4694"/>
      <c r="V165" s="4694"/>
      <c r="W165" s="4694"/>
      <c r="X165" s="4694"/>
      <c r="Y165" s="4694"/>
    </row>
    <row customHeight="true" ht="18.452380952380953" r="166">
      <c r="A166" s="4687" t="s">
        <v>4476</v>
      </c>
      <c r="B166" s="4688">
        <v>46250</v>
      </c>
      <c r="C166" s="4687" t="str">
        <v>Sunday</v>
      </c>
      <c r="D166" s="4689" t="s">
        <v>4484</v>
      </c>
      <c r="E166" s="4689">
        <v>3</v>
      </c>
      <c r="F166" s="4732" t="s">
        <v>4482</v>
      </c>
      <c r="G166" s="4691"/>
      <c r="H166" s="4690" t="s">
        <v>4485</v>
      </c>
      <c r="I166" s="4690" t="s">
        <v>4332</v>
      </c>
      <c r="J166" s="4733"/>
      <c r="K166" s="4693"/>
      <c r="L166" s="4693"/>
      <c r="M166" s="4693"/>
      <c r="N166" s="4693"/>
      <c r="O166" s="4693"/>
      <c r="P166" s="4693"/>
      <c r="Q166" s="4694"/>
      <c r="R166" s="4694"/>
      <c r="S166" s="4694"/>
      <c r="T166" s="4694"/>
      <c r="U166" s="4694"/>
      <c r="V166" s="4694"/>
      <c r="W166" s="4694"/>
      <c r="X166" s="4694"/>
      <c r="Y166" s="4694"/>
    </row>
    <row customHeight="true" ht="18.452380952380953" r="167">
      <c r="A167" s="4587" t="s">
        <v>4486</v>
      </c>
      <c r="B167" s="4573">
        <v>46245</v>
      </c>
      <c r="C167" s="4587" t="str">
        <v>Tuesday</v>
      </c>
      <c r="D167" s="4567" t="s">
        <v>4478</v>
      </c>
      <c r="E167" s="4571">
        <f>24*MOD(TIMEVALUE(TRIM(MID(D167,FIND("-",D167)+1,LEN(D167)))) - TIMEVALUE(TRIM(LEFT(D167,FIND("-",D167)-1))),1)</f>
      </c>
      <c r="F167" s="4576" t="s">
        <v>4395</v>
      </c>
      <c r="G167" s="4700"/>
      <c r="H167" s="4571" t="s">
        <v>4487</v>
      </c>
      <c r="I167" s="4591" t="s">
        <v>4332</v>
      </c>
      <c r="J167" s="4701"/>
      <c r="K167" s="4572"/>
      <c r="L167" s="4572"/>
      <c r="M167" s="4572"/>
      <c r="N167" s="4572"/>
      <c r="O167" s="4572"/>
      <c r="P167" s="4572"/>
    </row>
    <row customHeight="true" ht="18.452380952380953" r="168">
      <c r="A168" s="4587" t="s">
        <v>4488</v>
      </c>
      <c r="B168" s="4573">
        <v>46244</v>
      </c>
      <c r="C168" s="4587" t="str">
        <v>Monday</v>
      </c>
      <c r="D168" s="4567" t="s">
        <v>4489</v>
      </c>
      <c r="E168" s="4591">
        <v>3</v>
      </c>
      <c r="F168" s="4571" t="s">
        <v>4490</v>
      </c>
      <c r="G168" s="4700"/>
      <c r="H168" s="4571" t="s">
        <v>4303</v>
      </c>
      <c r="I168" s="4620" t="s">
        <v>4304</v>
      </c>
      <c r="J168" s="4701"/>
      <c r="K168" s="4572"/>
      <c r="L168" s="4572"/>
      <c r="M168" s="4572"/>
      <c r="N168" s="4572"/>
      <c r="O168" s="4572"/>
      <c r="P168" s="4572"/>
    </row>
    <row customHeight="true" ht="18.452380952380953" r="169">
      <c r="A169" s="4587" t="s">
        <v>4488</v>
      </c>
      <c r="B169" s="4573">
        <v>46244</v>
      </c>
      <c r="C169" s="4587" t="str">
        <v>Monday</v>
      </c>
      <c r="D169" s="4567" t="s">
        <v>4491</v>
      </c>
      <c r="E169" s="4591">
        <v>3</v>
      </c>
      <c r="F169" s="4571" t="s">
        <v>4422</v>
      </c>
      <c r="G169" s="4700"/>
      <c r="H169" s="4571" t="s">
        <v>4303</v>
      </c>
      <c r="I169" s="4620" t="s">
        <v>4304</v>
      </c>
      <c r="J169" s="4701"/>
      <c r="K169" s="4572"/>
      <c r="L169" s="4572"/>
      <c r="M169" s="4572"/>
      <c r="N169" s="4572"/>
      <c r="O169" s="4572"/>
      <c r="P169" s="4572"/>
    </row>
    <row customHeight="true" ht="18.452380952380953" r="170">
      <c r="A170" s="4587" t="s">
        <v>4488</v>
      </c>
      <c r="B170" s="4573">
        <v>46245</v>
      </c>
      <c r="C170" s="4587" t="str">
        <v>Tuesday</v>
      </c>
      <c r="D170" s="4567" t="s">
        <v>4492</v>
      </c>
      <c r="E170" s="4591">
        <v>3</v>
      </c>
      <c r="F170" s="4588" t="s">
        <v>4344</v>
      </c>
      <c r="G170" s="4731"/>
      <c r="H170" s="4571" t="s">
        <v>4303</v>
      </c>
      <c r="I170" s="4620" t="s">
        <v>4304</v>
      </c>
      <c r="J170" s="4701"/>
      <c r="K170" s="4572"/>
      <c r="L170" s="4572"/>
      <c r="M170" s="4572"/>
      <c r="N170" s="4572"/>
      <c r="O170" s="4572"/>
      <c r="P170" s="4572"/>
    </row>
    <row customHeight="true" ht="18.452380952380953" r="171">
      <c r="A171" s="4587" t="s">
        <v>4488</v>
      </c>
      <c r="B171" s="4573">
        <v>46246</v>
      </c>
      <c r="C171" s="4587" t="str">
        <v>Wednesday</v>
      </c>
      <c r="D171" s="4567" t="s">
        <v>4484</v>
      </c>
      <c r="E171" s="4591">
        <v>3</v>
      </c>
      <c r="F171" s="4588" t="s">
        <v>4344</v>
      </c>
      <c r="G171" s="4700"/>
      <c r="H171" s="4571" t="s">
        <v>4303</v>
      </c>
      <c r="I171" s="4620" t="s">
        <v>4304</v>
      </c>
      <c r="J171" s="4701"/>
      <c r="K171" s="4572"/>
      <c r="L171" s="4572"/>
      <c r="M171" s="4572"/>
      <c r="N171" s="4572"/>
      <c r="O171" s="4572"/>
      <c r="P171" s="4572"/>
    </row>
    <row customHeight="true" ht="18.452380952380953" r="172">
      <c r="A172" s="4587" t="s">
        <v>4488</v>
      </c>
      <c r="B172" s="4573">
        <v>46247</v>
      </c>
      <c r="C172" s="4587" t="str">
        <v>Thursday</v>
      </c>
      <c r="D172" s="4567" t="s">
        <v>4493</v>
      </c>
      <c r="E172" s="4591">
        <v>3</v>
      </c>
      <c r="F172" s="4588" t="s">
        <v>4344</v>
      </c>
      <c r="G172" s="4700"/>
      <c r="H172" s="4571" t="s">
        <v>4303</v>
      </c>
      <c r="I172" s="4620" t="s">
        <v>4304</v>
      </c>
      <c r="J172" s="4701"/>
      <c r="K172" s="4572"/>
      <c r="L172" s="4572"/>
      <c r="M172" s="4572"/>
      <c r="N172" s="4572"/>
      <c r="O172" s="4572"/>
      <c r="P172" s="4572"/>
    </row>
    <row customHeight="true" ht="18.452380952380953" r="173">
      <c r="A173" s="4587" t="s">
        <v>4488</v>
      </c>
      <c r="B173" s="4573">
        <v>46247</v>
      </c>
      <c r="C173" s="4587" t="str">
        <v>Thursday</v>
      </c>
      <c r="D173" s="4567" t="s">
        <v>4494</v>
      </c>
      <c r="E173" s="4567">
        <v>1</v>
      </c>
      <c r="F173" s="4571" t="s">
        <v>4490</v>
      </c>
      <c r="G173" s="4700"/>
      <c r="H173" s="4571" t="s">
        <v>4303</v>
      </c>
      <c r="I173" s="4620" t="s">
        <v>4304</v>
      </c>
      <c r="J173" s="4701"/>
      <c r="K173" s="4572"/>
      <c r="L173" s="4572"/>
      <c r="M173" s="4572"/>
      <c r="N173" s="4572"/>
      <c r="O173" s="4572"/>
      <c r="P173" s="4572"/>
    </row>
    <row customHeight="true" ht="18.452380952380953" r="174">
      <c r="A174" s="4587" t="s">
        <v>4488</v>
      </c>
      <c r="B174" s="4573">
        <v>46248</v>
      </c>
      <c r="C174" s="4587" t="str">
        <v>Friday</v>
      </c>
      <c r="D174" s="4567" t="s">
        <v>4480</v>
      </c>
      <c r="E174" s="4591">
        <v>3</v>
      </c>
      <c r="F174" s="4571"/>
      <c r="G174" s="4700"/>
      <c r="H174" s="4571" t="s">
        <v>4303</v>
      </c>
      <c r="I174" s="4591" t="s">
        <v>4332</v>
      </c>
      <c r="J174" s="4701"/>
      <c r="K174" s="4572"/>
      <c r="L174" s="4572"/>
      <c r="M174" s="4572"/>
      <c r="N174" s="4572"/>
      <c r="O174" s="4572"/>
      <c r="P174" s="4572"/>
    </row>
    <row customHeight="true" ht="18.452380952380953" r="175">
      <c r="A175" s="4587" t="s">
        <v>4488</v>
      </c>
      <c r="B175" s="4573">
        <v>46248</v>
      </c>
      <c r="C175" s="4587" t="str">
        <v>Friday</v>
      </c>
      <c r="D175" s="4567" t="s">
        <v>4452</v>
      </c>
      <c r="E175" s="4567">
        <v>1</v>
      </c>
      <c r="F175" s="4571" t="s">
        <v>4490</v>
      </c>
      <c r="G175" s="4700"/>
      <c r="H175" s="4571" t="s">
        <v>4303</v>
      </c>
      <c r="I175" s="4591" t="s">
        <v>4304</v>
      </c>
      <c r="J175" s="4701"/>
      <c r="K175" s="4572"/>
      <c r="L175" s="4572"/>
      <c r="M175" s="4572"/>
      <c r="N175" s="4572"/>
      <c r="O175" s="4572"/>
      <c r="P175" s="4572"/>
    </row>
    <row customHeight="true" ht="18.452380952380953" r="176">
      <c r="A176" s="4587" t="s">
        <v>4488</v>
      </c>
      <c r="B176" s="4573">
        <v>46249</v>
      </c>
      <c r="C176" s="4587" t="str">
        <v>Saturday</v>
      </c>
      <c r="D176" s="4567" t="s">
        <v>4429</v>
      </c>
      <c r="E176" s="4567">
        <v>3</v>
      </c>
      <c r="F176" s="4588" t="s">
        <v>4344</v>
      </c>
      <c r="G176" s="4700"/>
      <c r="H176" s="4571" t="s">
        <v>4483</v>
      </c>
      <c r="I176" s="4620" t="s">
        <v>4304</v>
      </c>
      <c r="J176" s="4701"/>
      <c r="K176" s="4572"/>
      <c r="L176" s="4572"/>
      <c r="M176" s="4572"/>
      <c r="N176" s="4572"/>
      <c r="O176" s="4572"/>
      <c r="P176" s="4572"/>
    </row>
    <row r="177">
      <c r="A177" s="4734" t="s">
        <v>4495</v>
      </c>
      <c r="B177" s="4734"/>
      <c r="C177" s="4734"/>
      <c r="D177" s="4734"/>
      <c r="E177" s="4735"/>
      <c r="F177" s="4734"/>
      <c r="G177" s="4735"/>
      <c r="H177" s="4734"/>
      <c r="I177" s="4734"/>
      <c r="J177" s="4736"/>
      <c r="K177" s="4580"/>
      <c r="L177" s="4580"/>
      <c r="M177" s="4580"/>
      <c r="N177" s="4580"/>
      <c r="O177" s="4580"/>
      <c r="P177" s="4580"/>
    </row>
    <row r="178">
      <c r="A178" s="4737" t="s">
        <v>4318</v>
      </c>
      <c r="B178" s="4738" t="s">
        <v>4319</v>
      </c>
      <c r="C178" s="4738"/>
      <c r="D178" s="4739" t="s">
        <v>4320</v>
      </c>
      <c r="E178" s="4740" t="s">
        <v>4321</v>
      </c>
      <c r="F178" s="4740" t="s">
        <v>4322</v>
      </c>
      <c r="G178" s="4741" t="s">
        <v>4334</v>
      </c>
      <c r="H178" s="4742" t="s">
        <v>4324</v>
      </c>
      <c r="I178" s="4742" t="s">
        <v>4325</v>
      </c>
      <c r="J178" s="4743" t="s">
        <v>4326</v>
      </c>
      <c r="K178" s="4586"/>
      <c r="L178" s="4586"/>
      <c r="M178" s="4586"/>
      <c r="N178" s="4586"/>
      <c r="O178" s="4586"/>
      <c r="P178" s="4586"/>
    </row>
    <row r="179">
      <c r="A179" s="4587"/>
      <c r="B179" s="4587"/>
      <c r="C179" s="4587"/>
      <c r="D179" s="4571"/>
      <c r="E179" s="4571"/>
      <c r="F179" s="4571"/>
      <c r="G179" s="4703"/>
      <c r="H179" s="4571"/>
      <c r="I179" s="4591"/>
      <c r="J179" s="4701"/>
      <c r="K179" s="4572"/>
      <c r="L179" s="4572"/>
      <c r="M179" s="4572"/>
      <c r="N179" s="4572"/>
      <c r="O179" s="4572"/>
      <c r="P179" s="4572"/>
    </row>
    <row customHeight="true" ht="16.071428571428573" r="180">
      <c r="A180" s="4587"/>
      <c r="B180" s="4587"/>
      <c r="C180" s="4587"/>
      <c r="D180" s="4571"/>
      <c r="E180" s="4571"/>
      <c r="F180" s="4571"/>
      <c r="G180" s="4703"/>
      <c r="H180" s="4571"/>
      <c r="I180" s="4591"/>
      <c r="J180" s="4701"/>
      <c r="K180" s="4572"/>
      <c r="L180" s="4572"/>
      <c r="M180" s="4572"/>
      <c r="N180" s="4572"/>
      <c r="O180" s="4572"/>
      <c r="P180" s="4572"/>
    </row>
    <row r="181">
      <c r="A181" s="4744" t="s">
        <v>4496</v>
      </c>
      <c r="B181" s="4744"/>
      <c r="C181" s="4744"/>
      <c r="D181" s="4744"/>
      <c r="E181" s="4744"/>
      <c r="F181" s="4744"/>
      <c r="G181" s="4744"/>
      <c r="H181" s="4744"/>
      <c r="I181" s="4744"/>
      <c r="J181" s="4745"/>
      <c r="K181" s="4580"/>
      <c r="L181" s="4580"/>
      <c r="M181" s="4580"/>
      <c r="N181" s="4580"/>
      <c r="O181" s="4580"/>
      <c r="P181" s="4580"/>
    </row>
    <row r="182">
      <c r="A182" s="4581" t="s">
        <v>4318</v>
      </c>
      <c r="B182" s="4582" t="s">
        <v>4319</v>
      </c>
      <c r="C182" s="4582"/>
      <c r="D182" s="4583" t="s">
        <v>4320</v>
      </c>
      <c r="E182" s="4583" t="s">
        <v>4321</v>
      </c>
      <c r="F182" s="4583" t="s">
        <v>4322</v>
      </c>
      <c r="G182" s="4746" t="s">
        <v>4334</v>
      </c>
      <c r="H182" s="4583" t="s">
        <v>4324</v>
      </c>
      <c r="I182" s="4583" t="s">
        <v>4325</v>
      </c>
      <c r="J182" s="4584" t="s">
        <v>4326</v>
      </c>
      <c r="K182" s="4586"/>
      <c r="L182" s="4586"/>
      <c r="M182" s="4586"/>
      <c r="N182" s="4586"/>
      <c r="O182" s="4586"/>
      <c r="P182" s="4586"/>
    </row>
    <row r="183">
      <c r="A183" s="4587" t="s">
        <v>4496</v>
      </c>
      <c r="B183" s="4573">
        <v>46244</v>
      </c>
      <c r="C183" s="4587" t="str">
        <v>Monday</v>
      </c>
      <c r="D183" s="4567" t="s">
        <v>4497</v>
      </c>
      <c r="E183" s="4571">
        <f t="shared" ref="E183:E188" si="60">24*MOD(TIMEVALUE(TRIM(MID(D183,FIND("-",D183)+1,LEN(D183)))) - TIMEVALUE(TRIM(LEFT(D183,FIND("-",D183)-1))),1)</f>
      </c>
      <c r="F183" s="4571" t="s">
        <v>4411</v>
      </c>
      <c r="G183" s="4700"/>
      <c r="H183" s="4571" t="s">
        <v>4316</v>
      </c>
      <c r="I183" s="4591" t="s">
        <v>4304</v>
      </c>
      <c r="J183" s="4590"/>
      <c r="K183" s="4572"/>
      <c r="L183" s="4572"/>
      <c r="M183" s="4572"/>
      <c r="N183" s="4572"/>
      <c r="O183" s="4572"/>
      <c r="P183" s="4572"/>
    </row>
    <row r="184">
      <c r="A184" s="4587" t="s">
        <v>4496</v>
      </c>
      <c r="B184" s="4573">
        <v>46245</v>
      </c>
      <c r="C184" s="4587" t="str">
        <v>Tuesday</v>
      </c>
      <c r="D184" s="4567" t="s">
        <v>4498</v>
      </c>
      <c r="E184" s="4571">
        <f t="shared" si="60"/>
      </c>
      <c r="F184" s="4571" t="s">
        <v>4416</v>
      </c>
      <c r="G184" s="4700"/>
      <c r="H184" s="4571" t="s">
        <v>4316</v>
      </c>
      <c r="I184" s="4571"/>
      <c r="J184" s="4590"/>
      <c r="K184" s="4572"/>
      <c r="L184" s="4572"/>
      <c r="M184" s="4572"/>
      <c r="N184" s="4572"/>
      <c r="O184" s="4572"/>
      <c r="P184" s="4572"/>
    </row>
    <row r="185">
      <c r="A185" s="4587" t="s">
        <v>4496</v>
      </c>
      <c r="B185" s="4573">
        <v>46246</v>
      </c>
      <c r="C185" s="4587" t="str">
        <v>Wednesday</v>
      </c>
      <c r="D185" s="4567" t="s">
        <v>4499</v>
      </c>
      <c r="E185" s="4571">
        <f t="shared" si="60"/>
      </c>
      <c r="F185" s="4571" t="s">
        <v>4411</v>
      </c>
      <c r="G185" s="4700"/>
      <c r="H185" s="4591" t="s">
        <v>4316</v>
      </c>
      <c r="I185" s="4591" t="s">
        <v>4304</v>
      </c>
      <c r="J185" s="4568"/>
      <c r="K185" s="4572"/>
      <c r="L185" s="4572"/>
      <c r="M185" s="4572"/>
      <c r="N185" s="4572"/>
      <c r="O185" s="4572"/>
      <c r="P185" s="4572"/>
    </row>
    <row r="186">
      <c r="A186" s="4587" t="s">
        <v>4496</v>
      </c>
      <c r="B186" s="4573">
        <v>46247</v>
      </c>
      <c r="C186" s="4587" t="str">
        <v>Thursday</v>
      </c>
      <c r="D186" s="4591" t="s">
        <v>4500</v>
      </c>
      <c r="E186" s="4571">
        <f t="shared" si="60"/>
      </c>
      <c r="F186" s="4571" t="s">
        <v>4501</v>
      </c>
      <c r="G186" s="4700"/>
      <c r="H186" s="4571" t="s">
        <v>4316</v>
      </c>
      <c r="I186" s="4591" t="s">
        <v>4304</v>
      </c>
      <c r="J186" s="4590"/>
      <c r="K186" s="4572"/>
      <c r="L186" s="4572"/>
      <c r="M186" s="4572"/>
      <c r="N186" s="4572"/>
      <c r="O186" s="4572"/>
      <c r="P186" s="4572"/>
    </row>
    <row r="187">
      <c r="A187" s="4687" t="s">
        <v>4496</v>
      </c>
      <c r="B187" s="4688">
        <v>46248</v>
      </c>
      <c r="C187" s="4687" t="str">
        <v>Friday</v>
      </c>
      <c r="D187" s="4690" t="s">
        <v>4500</v>
      </c>
      <c r="E187" s="4690">
        <f t="shared" si="60"/>
      </c>
      <c r="F187" s="4690" t="s">
        <v>4501</v>
      </c>
      <c r="G187" s="4691"/>
      <c r="H187" s="4690" t="s">
        <v>4316</v>
      </c>
      <c r="I187" s="4690" t="s">
        <v>4304</v>
      </c>
      <c r="J187" s="4747"/>
      <c r="K187" s="4693"/>
      <c r="L187" s="4693"/>
      <c r="M187" s="4693"/>
      <c r="N187" s="4693"/>
      <c r="O187" s="4693"/>
      <c r="P187" s="4693"/>
      <c r="Q187" s="4694"/>
      <c r="R187" s="4694"/>
      <c r="S187" s="4694"/>
      <c r="T187" s="4694"/>
      <c r="U187" s="4694"/>
      <c r="V187" s="4694"/>
      <c r="W187" s="4694"/>
      <c r="X187" s="4694"/>
      <c r="Y187" s="4694"/>
    </row>
    <row customHeight="true" ht="18.452380952380953" r="188">
      <c r="A188" s="4587" t="s">
        <v>4496</v>
      </c>
      <c r="B188" s="4573">
        <v>46249</v>
      </c>
      <c r="C188" s="4587" t="str">
        <v>Saturday</v>
      </c>
      <c r="D188" s="4591" t="s">
        <v>4500</v>
      </c>
      <c r="E188" s="4571">
        <f t="shared" si="60"/>
      </c>
      <c r="F188" s="4571" t="s">
        <v>4501</v>
      </c>
      <c r="G188" s="4700"/>
      <c r="H188" s="4571" t="s">
        <v>4316</v>
      </c>
      <c r="I188" s="4591" t="s">
        <v>4304</v>
      </c>
      <c r="J188" s="4590"/>
      <c r="K188" s="4572"/>
      <c r="L188" s="4572"/>
      <c r="M188" s="4572"/>
      <c r="N188" s="4572"/>
      <c r="O188" s="4572"/>
      <c r="P188" s="4572"/>
    </row>
    <row customHeight="true" ht="18.452380952380953" r="189">
      <c r="A189" s="4587" t="s">
        <v>4496</v>
      </c>
      <c r="B189" s="4573">
        <v>46250</v>
      </c>
      <c r="C189" s="4587" t="str">
        <v>Sunday</v>
      </c>
      <c r="D189" s="4567" t="s">
        <v>4500</v>
      </c>
      <c r="E189" s="4668">
        <v>3</v>
      </c>
      <c r="F189" s="4571" t="s">
        <v>4501</v>
      </c>
      <c r="G189" s="4700"/>
      <c r="H189" s="4571" t="s">
        <v>4316</v>
      </c>
      <c r="I189" s="4591" t="s">
        <v>4304</v>
      </c>
      <c r="J189" s="4590"/>
      <c r="K189" s="4572"/>
      <c r="L189" s="4572"/>
      <c r="M189" s="4572"/>
      <c r="N189" s="4572"/>
      <c r="O189" s="4572"/>
      <c r="P189" s="4572"/>
    </row>
    <row r="190">
      <c r="A190" s="4587" t="s">
        <v>4502</v>
      </c>
      <c r="B190" s="4573">
        <v>46244</v>
      </c>
      <c r="C190" s="4587" t="str">
        <v>Monday</v>
      </c>
      <c r="D190" s="4567" t="s">
        <v>4497</v>
      </c>
      <c r="E190" s="4571">
        <f t="shared" ref="E190:E197" si="61">24*MOD(TIMEVALUE(TRIM(MID(D190,FIND("-",D190)+1,LEN(D190)))) - TIMEVALUE(TRIM(LEFT(D190,FIND("-",D190)-1))),1)</f>
      </c>
      <c r="F190" s="4571" t="s">
        <v>4503</v>
      </c>
      <c r="G190" s="4703"/>
      <c r="H190" s="4591"/>
      <c r="I190" s="4591"/>
      <c r="J190" s="4568"/>
      <c r="K190" s="4572"/>
      <c r="L190" s="4572"/>
      <c r="M190" s="4572"/>
      <c r="N190" s="4572"/>
      <c r="O190" s="4572"/>
      <c r="P190" s="4572"/>
    </row>
    <row r="191">
      <c r="A191" s="4587" t="s">
        <v>4502</v>
      </c>
      <c r="B191" s="4573">
        <v>46245</v>
      </c>
      <c r="C191" s="4587" t="str">
        <v>Tuesday</v>
      </c>
      <c r="D191" s="4591" t="s">
        <v>4500</v>
      </c>
      <c r="E191" s="4571">
        <f t="shared" si="61"/>
      </c>
      <c r="F191" s="4571" t="s">
        <v>4504</v>
      </c>
      <c r="G191" s="4703"/>
      <c r="H191" s="4591"/>
      <c r="I191" s="4591"/>
      <c r="J191" s="4568"/>
      <c r="K191" s="4572"/>
      <c r="L191" s="4572"/>
      <c r="M191" s="4572"/>
      <c r="N191" s="4572"/>
      <c r="O191" s="4572"/>
      <c r="P191" s="4572"/>
    </row>
    <row customHeight="true" ht="18.452380952380953" r="192">
      <c r="A192" s="4587" t="s">
        <v>4502</v>
      </c>
      <c r="B192" s="4573">
        <v>46245</v>
      </c>
      <c r="C192" s="4587" t="str">
        <v>Tuesday</v>
      </c>
      <c r="D192" s="4567" t="s">
        <v>4505</v>
      </c>
      <c r="E192" s="4571">
        <f t="shared" si="61"/>
      </c>
      <c r="F192" s="4571" t="s">
        <v>4506</v>
      </c>
      <c r="G192" s="4703"/>
      <c r="H192" s="4591"/>
      <c r="I192" s="4591"/>
      <c r="J192" s="4568"/>
      <c r="K192" s="4572"/>
      <c r="L192" s="4572"/>
      <c r="M192" s="4572"/>
      <c r="N192" s="4572"/>
      <c r="O192" s="4572"/>
      <c r="P192" s="4572"/>
    </row>
    <row r="193">
      <c r="A193" s="4587" t="s">
        <v>4502</v>
      </c>
      <c r="B193" s="4573">
        <v>46246</v>
      </c>
      <c r="C193" s="4587" t="str">
        <v>Wednesday</v>
      </c>
      <c r="D193" s="4567" t="s">
        <v>4500</v>
      </c>
      <c r="E193" s="4571">
        <f t="shared" si="61"/>
      </c>
      <c r="F193" s="4571" t="s">
        <v>4504</v>
      </c>
      <c r="G193" s="4703"/>
      <c r="H193" s="4591"/>
      <c r="I193" s="4591"/>
      <c r="J193" s="4568"/>
      <c r="K193" s="4572"/>
      <c r="L193" s="4572"/>
      <c r="M193" s="4572"/>
      <c r="N193" s="4572"/>
      <c r="O193" s="4572"/>
      <c r="P193" s="4572"/>
    </row>
    <row r="194">
      <c r="A194" s="4587" t="s">
        <v>4502</v>
      </c>
      <c r="B194" s="4573">
        <v>46247</v>
      </c>
      <c r="C194" s="4587" t="str">
        <v>Thursday</v>
      </c>
      <c r="D194" s="4567" t="s">
        <v>4500</v>
      </c>
      <c r="E194" s="4571">
        <f t="shared" si="61"/>
      </c>
      <c r="F194" s="4571" t="s">
        <v>4504</v>
      </c>
      <c r="G194" s="4703"/>
      <c r="H194" s="4591"/>
      <c r="I194" s="4591"/>
      <c r="J194" s="4568"/>
      <c r="K194" s="4572"/>
      <c r="L194" s="4572"/>
      <c r="M194" s="4572"/>
      <c r="N194" s="4572"/>
      <c r="O194" s="4572"/>
      <c r="P194" s="4572"/>
    </row>
    <row r="195">
      <c r="A195" s="4587" t="s">
        <v>4502</v>
      </c>
      <c r="B195" s="4573">
        <v>46248</v>
      </c>
      <c r="C195" s="4587" t="str">
        <v>Friday</v>
      </c>
      <c r="D195" s="4567" t="s">
        <v>4500</v>
      </c>
      <c r="E195" s="4571">
        <f t="shared" si="61"/>
      </c>
      <c r="F195" s="4571" t="s">
        <v>4504</v>
      </c>
      <c r="G195" s="4703"/>
      <c r="H195" s="4591"/>
      <c r="I195" s="4610"/>
      <c r="J195" s="4610"/>
      <c r="K195" s="4611"/>
      <c r="L195" s="4611"/>
      <c r="M195" s="4611"/>
      <c r="N195" s="4611"/>
      <c r="O195" s="4611"/>
      <c r="P195" s="4611"/>
    </row>
    <row customHeight="true" ht="18.452380952380953" r="196">
      <c r="A196" s="4587" t="s">
        <v>4502</v>
      </c>
      <c r="B196" s="4573">
        <v>46249</v>
      </c>
      <c r="C196" s="4587" t="str">
        <v>Saturday</v>
      </c>
      <c r="D196" s="4567" t="s">
        <v>4500</v>
      </c>
      <c r="E196" s="4571">
        <f t="shared" si="61"/>
      </c>
      <c r="F196" s="4571" t="s">
        <v>4503</v>
      </c>
      <c r="G196" s="4703"/>
      <c r="H196" s="4591"/>
      <c r="I196" s="4610"/>
      <c r="J196" s="4610"/>
      <c r="K196" s="4611"/>
      <c r="L196" s="4611"/>
      <c r="M196" s="4611"/>
      <c r="N196" s="4611"/>
      <c r="O196" s="4611"/>
      <c r="P196" s="4611"/>
    </row>
    <row r="197">
      <c r="A197" s="4587" t="s">
        <v>4502</v>
      </c>
      <c r="B197" s="4573">
        <v>46250</v>
      </c>
      <c r="C197" s="4587" t="str">
        <v>Sunday</v>
      </c>
      <c r="D197" s="4567" t="s">
        <v>4500</v>
      </c>
      <c r="E197" s="4571">
        <f t="shared" si="61"/>
      </c>
      <c r="F197" s="4571" t="s">
        <v>4504</v>
      </c>
      <c r="G197" s="4703"/>
      <c r="H197" s="4571"/>
      <c r="I197" s="4571"/>
      <c r="J197" s="4590"/>
      <c r="K197" s="4572"/>
      <c r="L197" s="4572"/>
      <c r="M197" s="4572"/>
      <c r="N197" s="4572"/>
      <c r="O197" s="4572"/>
      <c r="P197" s="4572"/>
    </row>
    <row r="198">
      <c r="A198" s="4610"/>
      <c r="B198" s="4748"/>
      <c r="C198" s="4610"/>
      <c r="D198" s="4610"/>
      <c r="E198" s="4610"/>
      <c r="F198" s="4749"/>
      <c r="G198" s="4750"/>
      <c r="H198" s="4751"/>
      <c r="I198" s="4610"/>
      <c r="J198" s="4610"/>
      <c r="K198" s="4611"/>
      <c r="L198" s="4611"/>
      <c r="M198" s="4611"/>
      <c r="N198" s="4611"/>
      <c r="O198" s="4611"/>
      <c r="P198" s="4611"/>
    </row>
    <row r="199">
      <c r="A199" s="4610"/>
      <c r="B199" s="4610"/>
      <c r="C199" s="4610"/>
      <c r="D199" s="4610"/>
      <c r="E199" s="4610"/>
      <c r="F199" s="4749"/>
      <c r="G199" s="4750"/>
      <c r="H199" s="4751"/>
      <c r="I199" s="4610"/>
      <c r="J199" s="4610"/>
      <c r="K199" s="4611"/>
      <c r="L199" s="4611"/>
      <c r="M199" s="4611"/>
      <c r="N199" s="4611"/>
      <c r="O199" s="4611"/>
      <c r="P199" s="4611"/>
    </row>
    <row r="200">
      <c r="A200" s="4752" t="s">
        <v>4507</v>
      </c>
      <c r="B200" s="4752"/>
      <c r="C200" s="4752"/>
      <c r="D200" s="4752"/>
      <c r="E200" s="4752"/>
      <c r="F200" s="4752"/>
      <c r="G200" s="4752"/>
      <c r="H200" s="4752"/>
      <c r="I200" s="4752"/>
      <c r="J200" s="4753"/>
      <c r="K200" s="4661"/>
      <c r="L200" s="4661"/>
      <c r="M200" s="4661"/>
      <c r="N200" s="4661"/>
      <c r="O200" s="4661"/>
      <c r="P200" s="4661"/>
    </row>
    <row r="201">
      <c r="A201" s="4754" t="s">
        <v>4318</v>
      </c>
      <c r="B201" s="4755" t="s">
        <v>4319</v>
      </c>
      <c r="C201" s="4755"/>
      <c r="D201" s="4756" t="s">
        <v>4320</v>
      </c>
      <c r="E201" s="4756" t="s">
        <v>4321</v>
      </c>
      <c r="F201" s="4756" t="s">
        <v>4322</v>
      </c>
      <c r="G201" s="4757" t="s">
        <v>4334</v>
      </c>
      <c r="H201" s="4756" t="s">
        <v>4324</v>
      </c>
      <c r="I201" s="4756" t="s">
        <v>4325</v>
      </c>
      <c r="J201" s="4758" t="s">
        <v>4326</v>
      </c>
      <c r="K201" s="4586"/>
      <c r="L201" s="4586"/>
      <c r="M201" s="4586"/>
      <c r="N201" s="4586"/>
      <c r="O201" s="4586"/>
      <c r="P201" s="4586"/>
    </row>
    <row r="202">
      <c r="A202" s="4587" t="s">
        <v>4508</v>
      </c>
      <c r="B202" s="4573">
        <v>46244</v>
      </c>
      <c r="C202" s="4587" t="str">
        <v>Monday</v>
      </c>
      <c r="D202" s="4567" t="s">
        <v>4499</v>
      </c>
      <c r="E202" s="4571">
        <f t="shared" ref="E202:E232" si="62">24*MOD(TIMEVALUE(TRIM(MID(D202,FIND("-",D202)+1,LEN(D202)))) - TIMEVALUE(TRIM(LEFT(D202,FIND("-",D202)-1))),1)</f>
      </c>
      <c r="F202" s="4571" t="s">
        <v>4411</v>
      </c>
      <c r="G202" s="4700" t="s">
        <v>4506</v>
      </c>
      <c r="H202" s="4571" t="s">
        <v>4316</v>
      </c>
      <c r="I202" s="4591" t="s">
        <v>4304</v>
      </c>
      <c r="J202" s="4590"/>
      <c r="K202" s="4572"/>
      <c r="L202" s="4572"/>
      <c r="M202" s="4572"/>
      <c r="N202" s="4572"/>
      <c r="O202" s="4572"/>
      <c r="P202" s="4572"/>
    </row>
    <row customHeight="true" ht="18.452380952380953" r="203">
      <c r="A203" s="4587" t="s">
        <v>4508</v>
      </c>
      <c r="B203" s="4573">
        <v>46245</v>
      </c>
      <c r="C203" s="4587" t="str">
        <v>Tuesday</v>
      </c>
      <c r="D203" s="4567" t="s">
        <v>4499</v>
      </c>
      <c r="E203" s="4571">
        <f t="shared" si="62"/>
      </c>
      <c r="F203" s="4571" t="s">
        <v>4356</v>
      </c>
      <c r="G203" s="4700"/>
      <c r="H203" s="4571" t="s">
        <v>4316</v>
      </c>
      <c r="I203" s="4620" t="s">
        <v>4304</v>
      </c>
      <c r="J203" s="4590"/>
      <c r="K203" s="4572"/>
      <c r="L203" s="4572"/>
      <c r="M203" s="4572"/>
      <c r="N203" s="4572"/>
      <c r="O203" s="4572"/>
      <c r="P203" s="4572"/>
    </row>
    <row customHeight="true" ht="18.452380952380953" r="204">
      <c r="A204" s="4587" t="s">
        <v>4508</v>
      </c>
      <c r="B204" s="4573">
        <v>46246</v>
      </c>
      <c r="C204" s="4587" t="str">
        <v>Wednesday</v>
      </c>
      <c r="D204" s="4567" t="s">
        <v>4509</v>
      </c>
      <c r="E204" s="4571">
        <f t="shared" si="62"/>
      </c>
      <c r="F204" s="4571" t="s">
        <v>4510</v>
      </c>
      <c r="G204" s="4700"/>
      <c r="H204" s="4571" t="s">
        <v>4316</v>
      </c>
      <c r="I204" s="4571" t="s">
        <v>4304</v>
      </c>
      <c r="J204" s="4590"/>
      <c r="K204" s="4572"/>
      <c r="L204" s="4572"/>
      <c r="M204" s="4572"/>
      <c r="N204" s="4572"/>
      <c r="O204" s="4572"/>
      <c r="P204" s="4572"/>
    </row>
    <row customHeight="true" ht="18.452380952380953" r="205">
      <c r="A205" s="4587" t="s">
        <v>4508</v>
      </c>
      <c r="B205" s="4573">
        <v>46246</v>
      </c>
      <c r="C205" s="4587" t="str">
        <v>Wednesday</v>
      </c>
      <c r="D205" s="4567" t="s">
        <v>4511</v>
      </c>
      <c r="E205" s="4571">
        <f t="shared" si="62"/>
      </c>
      <c r="F205" s="4571" t="s">
        <v>4411</v>
      </c>
      <c r="G205" s="4700"/>
      <c r="H205" s="4571" t="s">
        <v>4316</v>
      </c>
      <c r="I205" s="4591" t="s">
        <v>4304</v>
      </c>
      <c r="J205" s="4590"/>
      <c r="K205" s="4572"/>
      <c r="L205" s="4572"/>
      <c r="M205" s="4572"/>
      <c r="N205" s="4572"/>
      <c r="O205" s="4572"/>
      <c r="P205" s="4572"/>
    </row>
    <row customHeight="true" ht="18.452380952380953" r="206">
      <c r="A206" s="4587" t="s">
        <v>4508</v>
      </c>
      <c r="B206" s="4573">
        <v>46247</v>
      </c>
      <c r="C206" s="4587" t="str">
        <v>Thursday</v>
      </c>
      <c r="D206" s="4567" t="s">
        <v>4499</v>
      </c>
      <c r="E206" s="4571">
        <f t="shared" si="62"/>
      </c>
      <c r="F206" s="4571" t="s">
        <v>4356</v>
      </c>
      <c r="G206" s="4700"/>
      <c r="H206" s="4571" t="s">
        <v>4316</v>
      </c>
      <c r="I206" s="4620" t="s">
        <v>4304</v>
      </c>
      <c r="J206" s="4590"/>
      <c r="K206" s="4572"/>
      <c r="L206" s="4572"/>
      <c r="M206" s="4572"/>
      <c r="N206" s="4572"/>
      <c r="O206" s="4572"/>
      <c r="P206" s="4572"/>
    </row>
    <row customHeight="true" ht="18.452380952380953" r="207">
      <c r="A207" s="4687" t="s">
        <v>4508</v>
      </c>
      <c r="B207" s="4688">
        <v>46247</v>
      </c>
      <c r="C207" s="4687" t="str">
        <v>Thursday</v>
      </c>
      <c r="D207" s="4689" t="s">
        <v>4512</v>
      </c>
      <c r="E207" s="4690">
        <f t="shared" si="62"/>
      </c>
      <c r="F207" s="4690" t="s">
        <v>4513</v>
      </c>
      <c r="G207" s="4691"/>
      <c r="H207" s="4690" t="s">
        <v>4316</v>
      </c>
      <c r="I207" s="4636" t="s">
        <v>4304</v>
      </c>
      <c r="J207" s="4747"/>
      <c r="K207" s="4693"/>
      <c r="L207" s="4693"/>
      <c r="M207" s="4693"/>
      <c r="N207" s="4693"/>
      <c r="O207" s="4693"/>
      <c r="P207" s="4693"/>
      <c r="Q207" s="4694"/>
      <c r="R207" s="4694"/>
      <c r="S207" s="4694"/>
      <c r="T207" s="4694"/>
      <c r="U207" s="4694"/>
      <c r="V207" s="4694"/>
      <c r="W207" s="4694"/>
      <c r="X207" s="4694"/>
      <c r="Y207" s="4694"/>
    </row>
    <row customHeight="true" ht="18.452380952380953" r="208">
      <c r="A208" s="4587" t="s">
        <v>4508</v>
      </c>
      <c r="B208" s="4573">
        <v>46248</v>
      </c>
      <c r="C208" s="4587" t="str">
        <v>Friday</v>
      </c>
      <c r="D208" s="4567" t="s">
        <v>4514</v>
      </c>
      <c r="E208" s="4571">
        <f t="shared" si="62"/>
      </c>
      <c r="F208" s="4571" t="s">
        <v>4411</v>
      </c>
      <c r="G208" s="4700"/>
      <c r="H208" s="4571" t="s">
        <v>4316</v>
      </c>
      <c r="I208" s="4591" t="s">
        <v>4304</v>
      </c>
      <c r="J208" s="4590"/>
      <c r="K208" s="4572"/>
      <c r="L208" s="4572"/>
      <c r="M208" s="4572"/>
      <c r="N208" s="4572"/>
      <c r="O208" s="4572"/>
      <c r="P208" s="4572"/>
    </row>
    <row customHeight="true" ht="18.452380952380953" r="209">
      <c r="A209" s="4587" t="s">
        <v>4508</v>
      </c>
      <c r="B209" s="4573">
        <v>46249</v>
      </c>
      <c r="C209" s="4587" t="str">
        <v>Saturday</v>
      </c>
      <c r="D209" s="4567" t="s">
        <v>4499</v>
      </c>
      <c r="E209" s="4571">
        <f t="shared" si="62"/>
      </c>
      <c r="F209" s="4571" t="s">
        <v>4515</v>
      </c>
      <c r="G209" s="4703"/>
      <c r="H209" s="4571" t="s">
        <v>4316</v>
      </c>
      <c r="I209" s="4571" t="s">
        <v>4304</v>
      </c>
      <c r="J209" s="4590"/>
      <c r="K209" s="4704"/>
      <c r="L209" s="4704"/>
      <c r="M209" s="4704"/>
      <c r="N209" s="4704"/>
      <c r="O209" s="4704"/>
      <c r="P209" s="4704"/>
    </row>
    <row customHeight="true" ht="18.452380952380953" r="210">
      <c r="A210" s="4587" t="s">
        <v>4516</v>
      </c>
      <c r="B210" s="4573">
        <v>46249</v>
      </c>
      <c r="C210" s="4587" t="str">
        <v>Saturday</v>
      </c>
      <c r="D210" s="4567" t="s">
        <v>4499</v>
      </c>
      <c r="E210" s="4571">
        <f t="shared" si="62"/>
      </c>
      <c r="F210" s="4571" t="s">
        <v>4442</v>
      </c>
      <c r="G210" s="4703"/>
      <c r="H210" s="4571" t="s">
        <v>4316</v>
      </c>
      <c r="I210" s="4571" t="s">
        <v>4304</v>
      </c>
      <c r="J210" s="4590"/>
      <c r="K210" s="4704"/>
      <c r="L210" s="4704"/>
      <c r="M210" s="4704"/>
      <c r="N210" s="4704"/>
      <c r="O210" s="4704"/>
      <c r="P210" s="4704"/>
    </row>
    <row customHeight="true" ht="18.452380952380953" r="211">
      <c r="A211" s="4587" t="s">
        <v>4508</v>
      </c>
      <c r="B211" s="4573">
        <v>46249</v>
      </c>
      <c r="C211" s="4587" t="str">
        <v>Saturday</v>
      </c>
      <c r="D211" s="4567" t="s">
        <v>4517</v>
      </c>
      <c r="E211" s="4571">
        <f t="shared" si="62"/>
      </c>
      <c r="F211" s="4571" t="s">
        <v>4442</v>
      </c>
      <c r="G211" s="4703"/>
      <c r="H211" s="4571" t="s">
        <v>4316</v>
      </c>
      <c r="I211" s="4571" t="s">
        <v>4304</v>
      </c>
      <c r="J211" s="4590"/>
      <c r="K211" s="4704"/>
      <c r="L211" s="4704"/>
      <c r="M211" s="4704"/>
      <c r="N211" s="4704"/>
      <c r="O211" s="4704"/>
      <c r="P211" s="4704"/>
    </row>
    <row customHeight="true" ht="18.452380952380953" r="212">
      <c r="A212" s="4587" t="s">
        <v>4508</v>
      </c>
      <c r="B212" s="4573">
        <v>46249</v>
      </c>
      <c r="C212" s="4587" t="str">
        <v>Saturday</v>
      </c>
      <c r="D212" s="4567" t="s">
        <v>4518</v>
      </c>
      <c r="E212" s="4571">
        <f t="shared" si="62"/>
      </c>
      <c r="F212" s="4571" t="s">
        <v>4356</v>
      </c>
      <c r="G212" s="4703"/>
      <c r="H212" s="4571" t="s">
        <v>4316</v>
      </c>
      <c r="I212" s="4571" t="s">
        <v>4304</v>
      </c>
      <c r="J212" s="4590"/>
      <c r="K212" s="4704"/>
      <c r="L212" s="4704"/>
      <c r="M212" s="4704"/>
      <c r="N212" s="4704"/>
      <c r="O212" s="4704"/>
      <c r="P212" s="4704"/>
    </row>
    <row customHeight="true" ht="18.452380952380953" r="213">
      <c r="A213" s="4587" t="s">
        <v>4508</v>
      </c>
      <c r="B213" s="4573">
        <v>46250</v>
      </c>
      <c r="C213" s="4587" t="str">
        <v>Sunday</v>
      </c>
      <c r="D213" s="4567" t="s">
        <v>4519</v>
      </c>
      <c r="E213" s="4571">
        <f t="shared" si="62"/>
      </c>
      <c r="F213" s="4571" t="s">
        <v>4515</v>
      </c>
      <c r="G213" s="4703"/>
      <c r="H213" s="4571" t="s">
        <v>4316</v>
      </c>
      <c r="I213" s="4571" t="s">
        <v>4304</v>
      </c>
      <c r="J213" s="4590"/>
      <c r="K213" s="4704"/>
      <c r="L213" s="4704"/>
      <c r="M213" s="4704"/>
      <c r="N213" s="4704"/>
      <c r="O213" s="4704"/>
      <c r="P213" s="4704"/>
    </row>
    <row customHeight="true" ht="18.452380952380953" r="214">
      <c r="A214" s="4587" t="s">
        <v>4508</v>
      </c>
      <c r="B214" s="4573">
        <v>46250</v>
      </c>
      <c r="C214" s="4587" t="str">
        <v>Sunday</v>
      </c>
      <c r="D214" s="4567" t="s">
        <v>4520</v>
      </c>
      <c r="E214" s="4571">
        <f t="shared" si="62"/>
      </c>
      <c r="F214" s="4571" t="s">
        <v>4411</v>
      </c>
      <c r="G214" s="4703"/>
      <c r="H214" s="4571" t="s">
        <v>4316</v>
      </c>
      <c r="I214" s="4591" t="s">
        <v>4304</v>
      </c>
      <c r="J214" s="4590"/>
      <c r="K214" s="4704"/>
      <c r="L214" s="4704"/>
      <c r="M214" s="4704"/>
      <c r="N214" s="4704"/>
      <c r="O214" s="4704"/>
      <c r="P214" s="4704"/>
    </row>
    <row customHeight="true" ht="18.452380952380953" r="215">
      <c r="A215" s="4587" t="s">
        <v>4521</v>
      </c>
      <c r="B215" s="4573">
        <v>46244</v>
      </c>
      <c r="C215" s="4587" t="str">
        <v>Monday</v>
      </c>
      <c r="D215" s="4567" t="s">
        <v>4522</v>
      </c>
      <c r="E215" s="4571">
        <f t="shared" si="62"/>
      </c>
      <c r="F215" s="4571" t="s">
        <v>4506</v>
      </c>
      <c r="G215" s="4700"/>
      <c r="H215" s="4571" t="s">
        <v>4316</v>
      </c>
      <c r="I215" s="4591" t="s">
        <v>4304</v>
      </c>
      <c r="J215" s="4590"/>
      <c r="K215" s="4572"/>
      <c r="L215" s="4572"/>
      <c r="M215" s="4572"/>
      <c r="N215" s="4572"/>
      <c r="O215" s="4572"/>
      <c r="P215" s="4572"/>
    </row>
    <row customHeight="true" ht="18.452380952380953" r="216">
      <c r="A216" s="4587" t="s">
        <v>4516</v>
      </c>
      <c r="B216" s="4573">
        <v>46244</v>
      </c>
      <c r="C216" s="4587" t="str">
        <v>Monday</v>
      </c>
      <c r="D216" s="4567" t="s">
        <v>4523</v>
      </c>
      <c r="E216" s="4571">
        <f t="shared" si="62"/>
      </c>
      <c r="F216" s="4571" t="s">
        <v>4506</v>
      </c>
      <c r="G216" s="4700"/>
      <c r="H216" s="4571"/>
      <c r="I216" s="4591"/>
      <c r="J216" s="4759" t="s">
        <v>4524</v>
      </c>
      <c r="K216" s="4572"/>
      <c r="L216" s="4572"/>
      <c r="M216" s="4572"/>
      <c r="N216" s="4572"/>
      <c r="O216" s="4572"/>
      <c r="P216" s="4572"/>
    </row>
    <row customHeight="true" ht="18.452380952380953" r="217">
      <c r="A217" s="4587" t="s">
        <v>4521</v>
      </c>
      <c r="B217" s="4573">
        <v>46245</v>
      </c>
      <c r="C217" s="4587" t="str">
        <v>Tuesday</v>
      </c>
      <c r="D217" s="4567" t="s">
        <v>4525</v>
      </c>
      <c r="E217" s="4571">
        <f t="shared" si="62"/>
      </c>
      <c r="F217" s="4571" t="s">
        <v>4506</v>
      </c>
      <c r="G217" s="4700"/>
      <c r="H217" s="4571" t="s">
        <v>4316</v>
      </c>
      <c r="I217" s="4591" t="s">
        <v>4304</v>
      </c>
      <c r="J217" s="4759"/>
      <c r="K217" s="4760"/>
      <c r="L217" s="4760"/>
      <c r="M217" s="4760"/>
      <c r="N217" s="4760"/>
      <c r="O217" s="4760"/>
      <c r="P217" s="4760"/>
    </row>
    <row customHeight="true" ht="18.452380952380953" r="218">
      <c r="A218" s="4587" t="s">
        <v>4516</v>
      </c>
      <c r="B218" s="4573">
        <v>46245</v>
      </c>
      <c r="C218" s="4587" t="str">
        <v>Tuesday</v>
      </c>
      <c r="D218" s="4567" t="s">
        <v>4467</v>
      </c>
      <c r="E218" s="4571">
        <f t="shared" si="62"/>
      </c>
      <c r="F218" s="4571" t="s">
        <v>4526</v>
      </c>
      <c r="G218" s="4700"/>
      <c r="H218" s="4571" t="s">
        <v>4316</v>
      </c>
      <c r="I218" s="4591" t="s">
        <v>4304</v>
      </c>
      <c r="J218" s="4759"/>
      <c r="K218" s="4760"/>
      <c r="L218" s="4760"/>
      <c r="M218" s="4760"/>
      <c r="N218" s="4760"/>
      <c r="O218" s="4760"/>
      <c r="P218" s="4760"/>
    </row>
    <row customHeight="true" ht="18.452380952380953" r="219">
      <c r="A219" s="4587" t="s">
        <v>4516</v>
      </c>
      <c r="B219" s="4573">
        <v>46246</v>
      </c>
      <c r="C219" s="4587" t="str">
        <v>Wednesday</v>
      </c>
      <c r="D219" s="4567" t="s">
        <v>4466</v>
      </c>
      <c r="E219" s="4571">
        <f t="shared" si="62"/>
      </c>
      <c r="F219" s="4571" t="s">
        <v>4444</v>
      </c>
      <c r="G219" s="4700"/>
      <c r="H219" s="4571" t="s">
        <v>4316</v>
      </c>
      <c r="I219" s="4591" t="s">
        <v>4304</v>
      </c>
      <c r="J219" s="4759"/>
      <c r="K219" s="4760"/>
      <c r="L219" s="4760"/>
      <c r="M219" s="4760"/>
      <c r="N219" s="4760"/>
      <c r="O219" s="4760"/>
      <c r="P219" s="4760"/>
    </row>
    <row customHeight="true" ht="18.452380952380953" r="220">
      <c r="A220" s="4587" t="s">
        <v>4516</v>
      </c>
      <c r="B220" s="4587">
        <v>46246</v>
      </c>
      <c r="C220" s="4587" t="str">
        <v>Wednesday</v>
      </c>
      <c r="D220" s="4591" t="s">
        <v>4466</v>
      </c>
      <c r="E220" s="4571">
        <f t="shared" si="62"/>
      </c>
      <c r="F220" s="4571" t="s">
        <v>4527</v>
      </c>
      <c r="G220" s="4703"/>
      <c r="H220" s="4571" t="s">
        <v>4316</v>
      </c>
      <c r="I220" s="4591" t="s">
        <v>4304</v>
      </c>
      <c r="J220" s="4590"/>
      <c r="K220" s="4704"/>
      <c r="L220" s="4704"/>
      <c r="M220" s="4704"/>
      <c r="N220" s="4704"/>
      <c r="O220" s="4704"/>
      <c r="P220" s="4704"/>
      <c r="Q220" s="4610"/>
      <c r="R220" s="4610"/>
      <c r="S220" s="4610"/>
      <c r="T220" s="4610"/>
      <c r="U220" s="4610"/>
      <c r="V220" s="4610"/>
      <c r="W220" s="4610"/>
      <c r="X220" s="4610"/>
      <c r="Y220" s="4610"/>
    </row>
    <row customHeight="true" ht="18.452380952380953" r="221">
      <c r="A221" s="4587" t="s">
        <v>4521</v>
      </c>
      <c r="B221" s="4573">
        <v>46246</v>
      </c>
      <c r="C221" s="4587" t="str">
        <v>Wednesday</v>
      </c>
      <c r="D221" s="4567" t="s">
        <v>4528</v>
      </c>
      <c r="E221" s="4571">
        <f t="shared" si="62"/>
      </c>
      <c r="F221" s="4571" t="s">
        <v>4506</v>
      </c>
      <c r="G221" s="4700"/>
      <c r="H221" s="4571" t="s">
        <v>4316</v>
      </c>
      <c r="I221" s="4591" t="s">
        <v>4304</v>
      </c>
      <c r="J221" s="4590"/>
      <c r="K221" s="4572"/>
      <c r="L221" s="4572"/>
      <c r="M221" s="4572"/>
      <c r="N221" s="4572"/>
      <c r="O221" s="4572"/>
      <c r="P221" s="4572"/>
    </row>
    <row customHeight="true" ht="18.452380952380953" r="222">
      <c r="A222" s="4587" t="s">
        <v>4516</v>
      </c>
      <c r="B222" s="4573">
        <v>46246</v>
      </c>
      <c r="C222" s="4587" t="str">
        <v>Wednesday</v>
      </c>
      <c r="D222" s="4567" t="s">
        <v>4517</v>
      </c>
      <c r="E222" s="4571">
        <f t="shared" si="62"/>
      </c>
      <c r="F222" s="4571" t="s">
        <v>4506</v>
      </c>
      <c r="G222" s="4700"/>
      <c r="H222" s="4571" t="s">
        <v>4316</v>
      </c>
      <c r="I222" s="4591" t="s">
        <v>4304</v>
      </c>
      <c r="J222" s="4590"/>
      <c r="K222" s="4572"/>
      <c r="L222" s="4572"/>
      <c r="M222" s="4572"/>
      <c r="N222" s="4572"/>
      <c r="O222" s="4572"/>
      <c r="P222" s="4572"/>
    </row>
    <row customHeight="true" ht="18.452380952380953" r="223">
      <c r="A223" s="4587" t="s">
        <v>4521</v>
      </c>
      <c r="B223" s="4573">
        <v>46246</v>
      </c>
      <c r="C223" s="4587" t="str">
        <v>Wednesday</v>
      </c>
      <c r="D223" s="4567" t="s">
        <v>4517</v>
      </c>
      <c r="E223" s="4571">
        <f t="shared" si="62"/>
      </c>
      <c r="F223" s="4571" t="s">
        <v>4527</v>
      </c>
      <c r="G223" s="4700"/>
      <c r="H223" s="4571" t="s">
        <v>4316</v>
      </c>
      <c r="I223" s="4591" t="s">
        <v>4304</v>
      </c>
      <c r="J223" s="4590"/>
      <c r="K223" s="4572"/>
      <c r="L223" s="4572"/>
      <c r="M223" s="4572"/>
      <c r="N223" s="4572"/>
      <c r="O223" s="4572"/>
      <c r="P223" s="4572"/>
    </row>
    <row customHeight="true" ht="18.452380952380953" r="224">
      <c r="A224" s="4587" t="s">
        <v>4521</v>
      </c>
      <c r="B224" s="4573">
        <v>46247</v>
      </c>
      <c r="C224" s="4587" t="str">
        <v>Thursday</v>
      </c>
      <c r="D224" s="4567" t="s">
        <v>4522</v>
      </c>
      <c r="E224" s="4571">
        <f t="shared" si="62"/>
      </c>
      <c r="F224" s="4571" t="s">
        <v>4506</v>
      </c>
      <c r="G224" s="4703"/>
      <c r="H224" s="4571" t="s">
        <v>4316</v>
      </c>
      <c r="I224" s="4591" t="s">
        <v>4304</v>
      </c>
      <c r="J224" s="4759" t="s">
        <v>4529</v>
      </c>
      <c r="K224" s="4572"/>
      <c r="L224" s="4572"/>
      <c r="M224" s="4572"/>
      <c r="N224" s="4572"/>
      <c r="O224" s="4572"/>
      <c r="P224" s="4572"/>
    </row>
    <row customHeight="true" ht="18.452380952380953" r="225">
      <c r="A225" s="4587" t="s">
        <v>4516</v>
      </c>
      <c r="B225" s="4573">
        <v>46248</v>
      </c>
      <c r="C225" s="4587" t="str">
        <v>Friday</v>
      </c>
      <c r="D225" s="4567" t="s">
        <v>4530</v>
      </c>
      <c r="E225" s="4571">
        <f t="shared" si="62"/>
      </c>
      <c r="F225" s="4571" t="s">
        <v>4506</v>
      </c>
      <c r="G225" s="4703"/>
      <c r="H225" s="4571" t="s">
        <v>4316</v>
      </c>
      <c r="I225" s="4591" t="s">
        <v>4304</v>
      </c>
      <c r="J225" s="4759" t="s">
        <v>4531</v>
      </c>
      <c r="K225" s="4704"/>
      <c r="L225" s="4704"/>
      <c r="M225" s="4704"/>
      <c r="N225" s="4704"/>
      <c r="O225" s="4704"/>
      <c r="P225" s="4704"/>
      <c r="Q225" s="4610"/>
      <c r="R225" s="4610"/>
      <c r="S225" s="4610"/>
      <c r="T225" s="4610"/>
      <c r="U225" s="4610"/>
      <c r="V225" s="4610"/>
      <c r="W225" s="4610"/>
      <c r="X225" s="4610"/>
      <c r="Y225" s="4610"/>
    </row>
    <row customHeight="true" ht="18.452380952380953" r="226">
      <c r="A226" s="4587" t="s">
        <v>4516</v>
      </c>
      <c r="B226" s="4573">
        <v>46247</v>
      </c>
      <c r="C226" s="4587" t="str">
        <v>Thursday</v>
      </c>
      <c r="D226" s="4567" t="s">
        <v>4517</v>
      </c>
      <c r="E226" s="4571">
        <f t="shared" si="62"/>
      </c>
      <c r="F226" s="4571" t="s">
        <v>4422</v>
      </c>
      <c r="G226" s="4703"/>
      <c r="H226" s="4571" t="s">
        <v>4316</v>
      </c>
      <c r="I226" s="4591" t="s">
        <v>4304</v>
      </c>
      <c r="J226" s="4590"/>
      <c r="K226" s="4572"/>
      <c r="L226" s="4572"/>
      <c r="M226" s="4572"/>
      <c r="N226" s="4572"/>
      <c r="O226" s="4572"/>
      <c r="P226" s="4572"/>
    </row>
    <row customHeight="true" ht="18.452380952380953" r="227">
      <c r="A227" s="4587" t="s">
        <v>4521</v>
      </c>
      <c r="B227" s="4573">
        <v>46248</v>
      </c>
      <c r="C227" s="4587" t="str">
        <v>Friday</v>
      </c>
      <c r="D227" s="4567">
        <f>D208</f>
      </c>
      <c r="E227" s="4571">
        <f t="shared" si="62"/>
      </c>
      <c r="F227" s="4571" t="s">
        <v>4503</v>
      </c>
      <c r="G227" s="4700"/>
      <c r="H227" s="4571" t="s">
        <v>4316</v>
      </c>
      <c r="I227" s="4591" t="s">
        <v>4304</v>
      </c>
      <c r="J227" s="4590"/>
      <c r="K227" s="4572"/>
      <c r="L227" s="4572"/>
      <c r="M227" s="4572"/>
      <c r="N227" s="4572"/>
      <c r="O227" s="4572"/>
      <c r="P227" s="4572"/>
    </row>
    <row customHeight="true" ht="18.452380952380953" r="228">
      <c r="A228" s="4587" t="s">
        <v>4521</v>
      </c>
      <c r="B228" s="4587">
        <v>46249</v>
      </c>
      <c r="C228" s="4587" t="str">
        <v>Saturday</v>
      </c>
      <c r="D228" s="4567" t="s">
        <v>4522</v>
      </c>
      <c r="E228" s="4571">
        <f t="shared" si="62"/>
      </c>
      <c r="F228" s="4571" t="s">
        <v>4506</v>
      </c>
      <c r="G228" s="4703"/>
      <c r="H228" s="4571" t="s">
        <v>4316</v>
      </c>
      <c r="I228" s="4571" t="s">
        <v>4304</v>
      </c>
      <c r="J228" s="4590"/>
      <c r="K228" s="4704"/>
      <c r="L228" s="4704"/>
      <c r="M228" s="4704"/>
      <c r="N228" s="4704"/>
      <c r="O228" s="4704"/>
      <c r="P228" s="4704"/>
      <c r="Q228" s="4610"/>
      <c r="R228" s="4610"/>
      <c r="S228" s="4610"/>
      <c r="T228" s="4610"/>
      <c r="U228" s="4610"/>
      <c r="V228" s="4610"/>
      <c r="W228" s="4610"/>
      <c r="X228" s="4610"/>
      <c r="Y228" s="4610"/>
    </row>
    <row customHeight="true" ht="18.452380952380953" r="229">
      <c r="A229" s="4587" t="s">
        <v>4516</v>
      </c>
      <c r="B229" s="4573">
        <v>46249</v>
      </c>
      <c r="C229" s="4587" t="str">
        <v>Saturday</v>
      </c>
      <c r="D229" s="4567" t="s">
        <v>4518</v>
      </c>
      <c r="E229" s="4591">
        <f t="shared" si="62"/>
      </c>
      <c r="F229" s="4576" t="s">
        <v>4506</v>
      </c>
      <c r="G229" s="4609"/>
      <c r="H229" s="4591" t="s">
        <v>4316</v>
      </c>
      <c r="I229" s="4591" t="s">
        <v>4304</v>
      </c>
      <c r="J229" s="4709" t="s">
        <v>4532</v>
      </c>
      <c r="K229" s="4572"/>
      <c r="L229" s="4572"/>
      <c r="M229" s="4572"/>
      <c r="N229" s="4572"/>
      <c r="O229" s="4572"/>
      <c r="P229" s="4572"/>
    </row>
    <row customHeight="true" ht="18.452380952380953" r="230">
      <c r="A230" s="4587" t="s">
        <v>4521</v>
      </c>
      <c r="B230" s="4587">
        <v>46249</v>
      </c>
      <c r="C230" s="4587" t="str">
        <v>Saturday</v>
      </c>
      <c r="D230" s="4567" t="s">
        <v>4518</v>
      </c>
      <c r="E230" s="4571">
        <f t="shared" si="62"/>
      </c>
      <c r="F230" s="4571" t="s">
        <v>4490</v>
      </c>
      <c r="G230" s="4703"/>
      <c r="H230" s="4571" t="s">
        <v>4316</v>
      </c>
      <c r="I230" s="4571" t="s">
        <v>4304</v>
      </c>
      <c r="J230" s="4590"/>
      <c r="K230" s="4704"/>
      <c r="L230" s="4704"/>
      <c r="M230" s="4704"/>
      <c r="N230" s="4704"/>
      <c r="O230" s="4704"/>
      <c r="P230" s="4704"/>
      <c r="Q230" s="4610"/>
      <c r="R230" s="4610"/>
      <c r="S230" s="4610"/>
      <c r="T230" s="4610"/>
      <c r="U230" s="4610"/>
      <c r="V230" s="4610"/>
      <c r="W230" s="4610"/>
      <c r="X230" s="4610"/>
      <c r="Y230" s="4610"/>
    </row>
    <row customHeight="true" ht="18.452380952380953" r="231">
      <c r="A231" s="4587" t="s">
        <v>4521</v>
      </c>
      <c r="B231" s="4573">
        <v>46250</v>
      </c>
      <c r="C231" s="4587" t="str">
        <v>Sunday</v>
      </c>
      <c r="D231" s="4567" t="s">
        <v>4533</v>
      </c>
      <c r="E231" s="4571">
        <f t="shared" si="62"/>
      </c>
      <c r="F231" s="4571" t="s">
        <v>4447</v>
      </c>
      <c r="G231" s="4700"/>
      <c r="H231" s="4571" t="s">
        <v>4316</v>
      </c>
      <c r="I231" s="4591" t="s">
        <v>4304</v>
      </c>
      <c r="J231" s="4590"/>
      <c r="K231" s="4572"/>
      <c r="L231" s="4572"/>
      <c r="M231" s="4572"/>
      <c r="N231" s="4572"/>
      <c r="O231" s="4572"/>
      <c r="P231" s="4572"/>
    </row>
    <row customHeight="true" ht="18.452380952380953" r="232">
      <c r="A232" s="4587" t="s">
        <v>4521</v>
      </c>
      <c r="B232" s="4573">
        <v>46250</v>
      </c>
      <c r="C232" s="4587" t="str">
        <v>Sunday</v>
      </c>
      <c r="D232" s="4567" t="s">
        <v>4520</v>
      </c>
      <c r="E232" s="4571">
        <f t="shared" si="62"/>
      </c>
      <c r="F232" s="4571" t="s">
        <v>4503</v>
      </c>
      <c r="G232" s="4700"/>
      <c r="H232" s="4571" t="s">
        <v>4316</v>
      </c>
      <c r="I232" s="4591" t="s">
        <v>4304</v>
      </c>
      <c r="J232" s="4590"/>
      <c r="K232" s="4572"/>
      <c r="L232" s="4572"/>
      <c r="M232" s="4572"/>
      <c r="N232" s="4572"/>
      <c r="O232" s="4572"/>
      <c r="P232" s="4572"/>
    </row>
    <row customHeight="true" ht="18.452380952380953" r="233">
      <c r="A233" s="4587"/>
      <c r="B233" s="4573"/>
      <c r="C233" s="4587"/>
      <c r="D233" s="4567"/>
      <c r="E233" s="4571"/>
      <c r="F233" s="4571"/>
      <c r="G233" s="4700"/>
      <c r="H233" s="4571"/>
      <c r="I233" s="4571"/>
      <c r="J233" s="4590"/>
      <c r="K233" s="4572"/>
      <c r="L233" s="4572"/>
      <c r="M233" s="4572"/>
      <c r="N233" s="4572"/>
      <c r="O233" s="4572"/>
      <c r="P233" s="4572"/>
    </row>
    <row customHeight="true" ht="18.452380952380953" r="234">
      <c r="A234" s="4587"/>
      <c r="B234" s="4587"/>
      <c r="C234" s="4587"/>
      <c r="D234" s="4591"/>
      <c r="E234" s="4591"/>
      <c r="F234" s="4761"/>
      <c r="G234" s="4609"/>
      <c r="H234" s="4591"/>
      <c r="I234" s="4591"/>
      <c r="J234" s="4568"/>
      <c r="K234" s="4572"/>
      <c r="L234" s="4572"/>
      <c r="M234" s="4572"/>
      <c r="N234" s="4572"/>
      <c r="O234" s="4572"/>
      <c r="P234" s="4572"/>
    </row>
    <row r="235">
      <c r="A235" s="4762" t="s">
        <v>4318</v>
      </c>
      <c r="B235" s="4763" t="s">
        <v>4319</v>
      </c>
      <c r="C235" s="4763"/>
      <c r="D235" s="4764" t="s">
        <v>4320</v>
      </c>
      <c r="E235" s="4764" t="s">
        <v>4321</v>
      </c>
      <c r="F235" s="4764" t="s">
        <v>4322</v>
      </c>
      <c r="G235" s="4765" t="s">
        <v>4334</v>
      </c>
      <c r="H235" s="4764" t="s">
        <v>4324</v>
      </c>
      <c r="I235" s="4764" t="s">
        <v>4325</v>
      </c>
      <c r="J235" s="4766" t="s">
        <v>4326</v>
      </c>
      <c r="K235" s="4586"/>
      <c r="L235" s="4586"/>
      <c r="M235" s="4586"/>
      <c r="N235" s="4586"/>
      <c r="O235" s="4586"/>
      <c r="P235" s="4586"/>
    </row>
    <row r="236">
      <c r="A236" s="4695" t="s">
        <v>4534</v>
      </c>
      <c r="B236" s="4696">
        <v>46244</v>
      </c>
      <c r="C236" s="4695" t="str">
        <v>Monday</v>
      </c>
      <c r="D236" s="4697" t="s">
        <v>4535</v>
      </c>
      <c r="E236" s="4575">
        <f t="shared" ref="E236:E260" si="63">24*MOD(TIMEVALUE(TRIM(MID(D236,FIND("-",D236)+1,LEN(D236)))) - TIMEVALUE(TRIM(LEFT(D236,FIND("-",D236)-1))),1)</f>
      </c>
      <c r="F236" s="4761" t="s">
        <v>4416</v>
      </c>
      <c r="G236" s="4698"/>
      <c r="H236" s="4575"/>
      <c r="I236" s="4575" t="s">
        <v>4304</v>
      </c>
      <c r="J236" s="4767"/>
      <c r="K236" s="4760"/>
      <c r="L236" s="4760"/>
      <c r="M236" s="4760"/>
      <c r="N236" s="4760"/>
      <c r="O236" s="4760"/>
      <c r="P236" s="4760"/>
    </row>
    <row customHeight="true" ht="20.238095238095237" r="237">
      <c r="A237" s="4695" t="s">
        <v>4534</v>
      </c>
      <c r="B237" s="4696">
        <v>46244</v>
      </c>
      <c r="C237" s="4695" t="str">
        <v>Monday</v>
      </c>
      <c r="D237" s="4697" t="s">
        <v>4536</v>
      </c>
      <c r="E237" s="4575">
        <f t="shared" si="63"/>
      </c>
      <c r="F237" s="4761" t="s">
        <v>4416</v>
      </c>
      <c r="G237" s="4698"/>
      <c r="H237" s="4575"/>
      <c r="I237" s="4575" t="s">
        <v>4304</v>
      </c>
      <c r="J237" s="4767"/>
      <c r="K237" s="4760"/>
      <c r="L237" s="4760"/>
      <c r="M237" s="4760"/>
      <c r="N237" s="4760"/>
      <c r="O237" s="4760"/>
      <c r="P237" s="4760"/>
    </row>
    <row customHeight="true" ht="20.238095238095237" r="238">
      <c r="A238" s="4695" t="s">
        <v>4534</v>
      </c>
      <c r="B238" s="4696">
        <v>46244</v>
      </c>
      <c r="C238" s="4695" t="str">
        <v>Monday</v>
      </c>
      <c r="D238" s="4697" t="s">
        <v>4537</v>
      </c>
      <c r="E238" s="4575">
        <f t="shared" si="63"/>
      </c>
      <c r="F238" s="4761" t="s">
        <v>4527</v>
      </c>
      <c r="G238" s="4698"/>
      <c r="H238" s="4575"/>
      <c r="I238" s="4575" t="s">
        <v>4304</v>
      </c>
      <c r="J238" s="4767" t="s">
        <v>4538</v>
      </c>
      <c r="K238" s="4760"/>
      <c r="L238" s="4760"/>
      <c r="M238" s="4760"/>
      <c r="N238" s="4760"/>
      <c r="O238" s="4760"/>
      <c r="P238" s="4760"/>
    </row>
    <row customHeight="true" ht="18.452380952380953" r="239">
      <c r="A239" s="4587" t="s">
        <v>4534</v>
      </c>
      <c r="B239" s="4573">
        <v>46245</v>
      </c>
      <c r="C239" s="4587" t="str">
        <v>Tuesday</v>
      </c>
      <c r="D239" s="4567" t="s">
        <v>4313</v>
      </c>
      <c r="E239" s="4591">
        <f t="shared" si="63"/>
      </c>
      <c r="F239" s="4761" t="s">
        <v>4416</v>
      </c>
      <c r="G239" s="4599"/>
      <c r="H239" s="4591"/>
      <c r="I239" s="4591" t="s">
        <v>4304</v>
      </c>
      <c r="J239" s="4568"/>
      <c r="K239" s="4572"/>
      <c r="L239" s="4572"/>
      <c r="M239" s="4572"/>
      <c r="N239" s="4572"/>
      <c r="O239" s="4572"/>
      <c r="P239" s="4572"/>
    </row>
    <row customHeight="true" ht="18.452380952380953" r="240">
      <c r="A240" s="4695" t="s">
        <v>4534</v>
      </c>
      <c r="B240" s="4696">
        <v>46245</v>
      </c>
      <c r="C240" s="4695" t="str">
        <v>Tuesday</v>
      </c>
      <c r="D240" s="4697" t="s">
        <v>4410</v>
      </c>
      <c r="E240" s="4575">
        <f t="shared" si="63"/>
      </c>
      <c r="F240" s="4761" t="s">
        <v>4527</v>
      </c>
      <c r="G240" s="4698"/>
      <c r="H240" s="4575"/>
      <c r="I240" s="4575" t="s">
        <v>4304</v>
      </c>
      <c r="J240" s="4767" t="s">
        <v>4538</v>
      </c>
      <c r="K240" s="4760"/>
      <c r="L240" s="4760"/>
      <c r="M240" s="4760"/>
      <c r="N240" s="4760"/>
      <c r="O240" s="4760"/>
      <c r="P240" s="4760"/>
    </row>
    <row customHeight="true" ht="18.452380952380953" r="241">
      <c r="A241" s="4587" t="s">
        <v>4534</v>
      </c>
      <c r="B241" s="4573">
        <v>46246</v>
      </c>
      <c r="C241" s="4587" t="str">
        <v>Wednesday</v>
      </c>
      <c r="D241" s="4567" t="s">
        <v>4462</v>
      </c>
      <c r="E241" s="4591">
        <f t="shared" si="63"/>
      </c>
      <c r="F241" s="4761" t="s">
        <v>4501</v>
      </c>
      <c r="G241" s="4599"/>
      <c r="H241" s="4591"/>
      <c r="I241" s="4591" t="s">
        <v>4304</v>
      </c>
      <c r="J241" s="4568"/>
      <c r="K241" s="4572"/>
      <c r="L241" s="4572"/>
      <c r="M241" s="4572"/>
      <c r="N241" s="4572"/>
      <c r="O241" s="4572"/>
      <c r="P241" s="4572"/>
    </row>
    <row customHeight="true" ht="18.452380952380953" r="242">
      <c r="A242" s="4587" t="s">
        <v>4534</v>
      </c>
      <c r="B242" s="4573">
        <v>46246</v>
      </c>
      <c r="C242" s="4587" t="str">
        <v>Wednesday</v>
      </c>
      <c r="D242" s="4567" t="s">
        <v>4539</v>
      </c>
      <c r="E242" s="4591">
        <f t="shared" si="63"/>
      </c>
      <c r="F242" s="4761" t="s">
        <v>4416</v>
      </c>
      <c r="G242" s="4599"/>
      <c r="H242" s="4591"/>
      <c r="I242" s="4591" t="s">
        <v>4304</v>
      </c>
      <c r="J242" s="4568"/>
      <c r="K242" s="4572"/>
      <c r="L242" s="4572"/>
      <c r="M242" s="4572"/>
      <c r="N242" s="4572"/>
      <c r="O242" s="4572"/>
      <c r="P242" s="4572"/>
    </row>
    <row customHeight="true" ht="18.452380952380953" r="243">
      <c r="A243" s="4587" t="s">
        <v>4534</v>
      </c>
      <c r="B243" s="4573">
        <v>46247</v>
      </c>
      <c r="C243" s="4587" t="str">
        <v>Thursday</v>
      </c>
      <c r="D243" s="4567" t="s">
        <v>4480</v>
      </c>
      <c r="E243" s="4591">
        <f t="shared" si="63"/>
      </c>
      <c r="F243" s="4761" t="s">
        <v>4416</v>
      </c>
      <c r="G243" s="4599"/>
      <c r="H243" s="4591"/>
      <c r="I243" s="4591" t="s">
        <v>4304</v>
      </c>
      <c r="J243" s="4568"/>
      <c r="K243" s="4572"/>
      <c r="L243" s="4572"/>
      <c r="M243" s="4572"/>
      <c r="N243" s="4572"/>
      <c r="O243" s="4572"/>
      <c r="P243" s="4572"/>
    </row>
    <row r="244">
      <c r="A244" s="4587" t="s">
        <v>4534</v>
      </c>
      <c r="B244" s="4573">
        <v>46248</v>
      </c>
      <c r="C244" s="4587" t="str">
        <v>Friday</v>
      </c>
      <c r="D244" s="4567" t="s">
        <v>4480</v>
      </c>
      <c r="E244" s="4591">
        <f t="shared" si="63"/>
      </c>
      <c r="F244" s="4761" t="s">
        <v>4416</v>
      </c>
      <c r="G244" s="4599"/>
      <c r="H244" s="4591"/>
      <c r="I244" s="4591" t="s">
        <v>4304</v>
      </c>
      <c r="J244" s="4568"/>
      <c r="K244" s="4572"/>
      <c r="L244" s="4572"/>
      <c r="M244" s="4572"/>
      <c r="N244" s="4572"/>
      <c r="O244" s="4572"/>
      <c r="P244" s="4572"/>
    </row>
    <row customHeight="true" ht="20.238095238095237" r="245">
      <c r="A245" s="4587" t="s">
        <v>4534</v>
      </c>
      <c r="B245" s="4573">
        <v>46249</v>
      </c>
      <c r="C245" s="4587" t="str">
        <v>Saturday</v>
      </c>
      <c r="D245" s="4567" t="s">
        <v>4493</v>
      </c>
      <c r="E245" s="4591">
        <f t="shared" si="63"/>
      </c>
      <c r="F245" s="4761" t="s">
        <v>4501</v>
      </c>
      <c r="G245" s="4599"/>
      <c r="H245" s="4591"/>
      <c r="I245" s="4591" t="s">
        <v>4304</v>
      </c>
      <c r="J245" s="4568"/>
      <c r="K245" s="4572"/>
      <c r="L245" s="4572"/>
      <c r="M245" s="4572"/>
      <c r="N245" s="4572"/>
      <c r="O245" s="4572"/>
      <c r="P245" s="4572"/>
    </row>
    <row customHeight="true" ht="20.238095238095237" r="246">
      <c r="A246" s="4587" t="s">
        <v>4534</v>
      </c>
      <c r="B246" s="4573">
        <v>46250</v>
      </c>
      <c r="C246" s="4587" t="str">
        <v>Sunday</v>
      </c>
      <c r="D246" s="4567" t="s">
        <v>4540</v>
      </c>
      <c r="E246" s="4591">
        <f t="shared" si="63"/>
      </c>
      <c r="F246" s="4761" t="s">
        <v>4416</v>
      </c>
      <c r="G246" s="4599"/>
      <c r="H246" s="4591"/>
      <c r="I246" s="4591" t="s">
        <v>4304</v>
      </c>
      <c r="J246" s="4568"/>
      <c r="K246" s="4572"/>
      <c r="L246" s="4572"/>
      <c r="M246" s="4572"/>
      <c r="N246" s="4572"/>
      <c r="O246" s="4572"/>
      <c r="P246" s="4572"/>
    </row>
    <row customHeight="true" ht="20.238095238095237" r="247">
      <c r="A247" s="4587" t="s">
        <v>4541</v>
      </c>
      <c r="B247" s="4573">
        <v>46250</v>
      </c>
      <c r="C247" s="4587" t="str">
        <v>Sunday</v>
      </c>
      <c r="D247" s="4567" t="s">
        <v>4540</v>
      </c>
      <c r="E247" s="4591">
        <f t="shared" si="63"/>
      </c>
      <c r="F247" s="4761" t="s">
        <v>4416</v>
      </c>
      <c r="G247" s="4599"/>
      <c r="H247" s="4591"/>
      <c r="I247" s="4591" t="s">
        <v>4304</v>
      </c>
      <c r="J247" s="4568"/>
      <c r="K247" s="4572"/>
      <c r="L247" s="4572"/>
      <c r="M247" s="4572"/>
      <c r="N247" s="4572"/>
      <c r="O247" s="4572"/>
      <c r="P247" s="4572"/>
    </row>
    <row customHeight="true" ht="20.238095238095237" r="248">
      <c r="A248" s="4587" t="s">
        <v>4541</v>
      </c>
      <c r="B248" s="4573">
        <v>46245</v>
      </c>
      <c r="C248" s="4587" t="str">
        <v>Tuesday</v>
      </c>
      <c r="D248" s="4567" t="s">
        <v>4542</v>
      </c>
      <c r="E248" s="4591">
        <f t="shared" si="63"/>
      </c>
      <c r="F248" s="4761" t="s">
        <v>4444</v>
      </c>
      <c r="G248" s="4599"/>
      <c r="H248" s="4591" t="s">
        <v>4316</v>
      </c>
      <c r="I248" s="4591" t="s">
        <v>4304</v>
      </c>
      <c r="J248" s="4568"/>
      <c r="K248" s="4572"/>
      <c r="L248" s="4572"/>
      <c r="M248" s="4572"/>
      <c r="N248" s="4572"/>
      <c r="O248" s="4572"/>
      <c r="P248" s="4572"/>
    </row>
    <row customHeight="true" ht="20.238095238095237" r="249">
      <c r="A249" s="4587" t="s">
        <v>4541</v>
      </c>
      <c r="B249" s="4573">
        <v>46245</v>
      </c>
      <c r="C249" s="4587" t="str">
        <v>Tuesday</v>
      </c>
      <c r="D249" s="4567" t="s">
        <v>4543</v>
      </c>
      <c r="E249" s="4591">
        <f t="shared" si="63"/>
      </c>
      <c r="F249" s="4761" t="s">
        <v>4490</v>
      </c>
      <c r="G249" s="4599"/>
      <c r="H249" s="4591"/>
      <c r="I249" s="4591" t="s">
        <v>4304</v>
      </c>
      <c r="J249" s="4568"/>
      <c r="K249" s="4572"/>
      <c r="L249" s="4572"/>
      <c r="M249" s="4572"/>
      <c r="N249" s="4572"/>
      <c r="O249" s="4572"/>
      <c r="P249" s="4572"/>
    </row>
    <row r="250">
      <c r="A250" s="4587" t="s">
        <v>4544</v>
      </c>
      <c r="B250" s="4696">
        <v>46244</v>
      </c>
      <c r="C250" s="4587" t="str">
        <v>Monday</v>
      </c>
      <c r="D250" s="4567" t="s">
        <v>4545</v>
      </c>
      <c r="E250" s="4591">
        <f t="shared" si="63"/>
      </c>
      <c r="F250" s="4576" t="s">
        <v>4490</v>
      </c>
      <c r="G250" s="4609"/>
      <c r="H250" s="4591"/>
      <c r="I250" s="4591" t="s">
        <v>4304</v>
      </c>
      <c r="J250" s="4709" t="s">
        <v>4546</v>
      </c>
      <c r="K250" s="4572"/>
      <c r="L250" s="4572"/>
      <c r="M250" s="4572"/>
      <c r="N250" s="4572"/>
      <c r="O250" s="4572"/>
      <c r="P250" s="4572"/>
    </row>
    <row customHeight="true" ht="18.452380952380953" r="251">
      <c r="A251" s="4587" t="s">
        <v>4544</v>
      </c>
      <c r="B251" s="4696">
        <v>46244</v>
      </c>
      <c r="C251" s="4587" t="str">
        <v>Monday</v>
      </c>
      <c r="D251" s="4567" t="s">
        <v>4547</v>
      </c>
      <c r="E251" s="4591">
        <f t="shared" si="63"/>
      </c>
      <c r="F251" s="4576" t="s">
        <v>4548</v>
      </c>
      <c r="G251" s="4609"/>
      <c r="H251" s="4591"/>
      <c r="I251" s="4575" t="s">
        <v>4304</v>
      </c>
      <c r="J251" s="4568"/>
      <c r="K251" s="4572"/>
      <c r="L251" s="4572"/>
      <c r="M251" s="4572"/>
      <c r="N251" s="4572"/>
      <c r="O251" s="4572"/>
      <c r="P251" s="4572"/>
    </row>
    <row customHeight="true" ht="18.452380952380953" r="252">
      <c r="A252" s="4587" t="s">
        <v>4544</v>
      </c>
      <c r="B252" s="4696">
        <v>46244</v>
      </c>
      <c r="C252" s="4587" t="str">
        <v>Monday</v>
      </c>
      <c r="D252" s="4567" t="s">
        <v>4536</v>
      </c>
      <c r="E252" s="4591">
        <f t="shared" si="63"/>
      </c>
      <c r="F252" s="4576" t="s">
        <v>4503</v>
      </c>
      <c r="G252" s="4609"/>
      <c r="H252" s="4591"/>
      <c r="I252" s="4575" t="s">
        <v>4304</v>
      </c>
      <c r="J252" s="4568"/>
      <c r="K252" s="4572"/>
      <c r="L252" s="4572"/>
      <c r="M252" s="4572"/>
      <c r="N252" s="4572"/>
      <c r="O252" s="4572"/>
      <c r="P252" s="4572"/>
    </row>
    <row r="253">
      <c r="A253" s="4587" t="s">
        <v>4544</v>
      </c>
      <c r="B253" s="4573">
        <v>46245</v>
      </c>
      <c r="C253" s="4587" t="str">
        <v>Tuesday</v>
      </c>
      <c r="D253" s="4567" t="s">
        <v>4540</v>
      </c>
      <c r="E253" s="4591">
        <f t="shared" si="63"/>
      </c>
      <c r="F253" s="4576" t="s">
        <v>4549</v>
      </c>
      <c r="G253" s="4609"/>
      <c r="H253" s="4591"/>
      <c r="I253" s="4591" t="s">
        <v>4304</v>
      </c>
      <c r="J253" s="4568"/>
      <c r="K253" s="4572"/>
      <c r="L253" s="4572"/>
      <c r="M253" s="4572"/>
      <c r="N253" s="4572"/>
      <c r="O253" s="4572"/>
      <c r="P253" s="4572"/>
    </row>
    <row customHeight="true" ht="18.452380952380953" r="254">
      <c r="A254" s="4587" t="s">
        <v>4544</v>
      </c>
      <c r="B254" s="4573">
        <v>46245</v>
      </c>
      <c r="C254" s="4587" t="str">
        <v>Tuesday</v>
      </c>
      <c r="D254" s="4567" t="s">
        <v>4437</v>
      </c>
      <c r="E254" s="4591">
        <f t="shared" si="63"/>
      </c>
      <c r="F254" s="4576" t="s">
        <v>4548</v>
      </c>
      <c r="G254" s="4609"/>
      <c r="H254" s="4591"/>
      <c r="I254" s="4591" t="s">
        <v>4304</v>
      </c>
      <c r="J254" s="4568"/>
      <c r="K254" s="4572"/>
      <c r="L254" s="4572"/>
      <c r="M254" s="4572"/>
      <c r="N254" s="4572"/>
      <c r="O254" s="4572"/>
      <c r="P254" s="4572"/>
    </row>
    <row r="255">
      <c r="A255" s="4587" t="s">
        <v>4544</v>
      </c>
      <c r="B255" s="4573">
        <v>46246</v>
      </c>
      <c r="C255" s="4587" t="str">
        <v>Wednesday</v>
      </c>
      <c r="D255" s="4567" t="s">
        <v>4462</v>
      </c>
      <c r="E255" s="4591">
        <f t="shared" si="63"/>
      </c>
      <c r="F255" s="4576" t="s">
        <v>4506</v>
      </c>
      <c r="G255" s="4609"/>
      <c r="H255" s="4591" t="s">
        <v>4316</v>
      </c>
      <c r="I255" s="4591" t="s">
        <v>4304</v>
      </c>
      <c r="J255" s="4568"/>
      <c r="K255" s="4572"/>
      <c r="L255" s="4572"/>
      <c r="M255" s="4572"/>
      <c r="N255" s="4572"/>
      <c r="O255" s="4572"/>
      <c r="P255" s="4572"/>
    </row>
    <row customHeight="true" ht="18.452380952380953" r="256">
      <c r="A256" s="4587" t="s">
        <v>4544</v>
      </c>
      <c r="B256" s="4573">
        <v>46246</v>
      </c>
      <c r="C256" s="4587" t="str">
        <v>Wednesday</v>
      </c>
      <c r="D256" s="4567" t="s">
        <v>4539</v>
      </c>
      <c r="E256" s="4591">
        <f t="shared" si="63"/>
      </c>
      <c r="F256" s="4576" t="s">
        <v>4548</v>
      </c>
      <c r="G256" s="4609"/>
      <c r="H256" s="4591"/>
      <c r="I256" s="4591" t="s">
        <v>4304</v>
      </c>
      <c r="J256" s="4568"/>
      <c r="K256" s="4572"/>
      <c r="L256" s="4572"/>
      <c r="M256" s="4572"/>
      <c r="N256" s="4572"/>
      <c r="O256" s="4572"/>
      <c r="P256" s="4572"/>
    </row>
    <row r="257">
      <c r="A257" s="4587" t="s">
        <v>4544</v>
      </c>
      <c r="B257" s="4573">
        <v>46247</v>
      </c>
      <c r="C257" s="4587" t="str">
        <v>Thursday</v>
      </c>
      <c r="D257" s="4567" t="s">
        <v>4480</v>
      </c>
      <c r="E257" s="4591">
        <f t="shared" si="63"/>
      </c>
      <c r="F257" s="4576" t="s">
        <v>4549</v>
      </c>
      <c r="G257" s="4609"/>
      <c r="H257" s="4591"/>
      <c r="I257" s="4591" t="s">
        <v>4304</v>
      </c>
      <c r="J257" s="4568"/>
      <c r="K257" s="4572"/>
      <c r="L257" s="4572"/>
      <c r="M257" s="4572"/>
      <c r="N257" s="4572"/>
      <c r="O257" s="4572"/>
      <c r="P257" s="4572"/>
    </row>
    <row r="258">
      <c r="A258" s="4587" t="s">
        <v>4544</v>
      </c>
      <c r="B258" s="4573">
        <v>46248</v>
      </c>
      <c r="C258" s="4587" t="str">
        <v>Friday</v>
      </c>
      <c r="D258" s="4567" t="s">
        <v>4480</v>
      </c>
      <c r="E258" s="4591">
        <f t="shared" si="63"/>
      </c>
      <c r="F258" s="4576" t="s">
        <v>4549</v>
      </c>
      <c r="G258" s="4609"/>
      <c r="H258" s="4591"/>
      <c r="I258" s="4591" t="s">
        <v>4304</v>
      </c>
      <c r="J258" s="4568"/>
      <c r="K258" s="4572"/>
      <c r="L258" s="4572"/>
      <c r="M258" s="4572"/>
      <c r="N258" s="4572"/>
      <c r="O258" s="4572"/>
      <c r="P258" s="4572"/>
    </row>
    <row customHeight="true" ht="18.452380952380953" r="259">
      <c r="A259" s="4587" t="s">
        <v>4544</v>
      </c>
      <c r="B259" s="4573">
        <v>46249</v>
      </c>
      <c r="C259" s="4587" t="str">
        <v>Saturday</v>
      </c>
      <c r="D259" s="4567" t="s">
        <v>4493</v>
      </c>
      <c r="E259" s="4591">
        <f t="shared" si="63"/>
      </c>
      <c r="F259" s="4576" t="s">
        <v>4548</v>
      </c>
      <c r="G259" s="4609"/>
      <c r="H259" s="4591"/>
      <c r="I259" s="4591" t="s">
        <v>4304</v>
      </c>
      <c r="J259" s="4568"/>
      <c r="K259" s="4572"/>
      <c r="L259" s="4572"/>
      <c r="M259" s="4572"/>
      <c r="N259" s="4572"/>
      <c r="O259" s="4572"/>
      <c r="P259" s="4572"/>
    </row>
    <row customHeight="true" ht="18.452380952380953" r="260">
      <c r="A260" s="4587" t="s">
        <v>4544</v>
      </c>
      <c r="B260" s="4573">
        <v>46250</v>
      </c>
      <c r="C260" s="4587" t="str">
        <v>Sunday</v>
      </c>
      <c r="D260" s="4567" t="s">
        <v>4540</v>
      </c>
      <c r="E260" s="4591">
        <f t="shared" si="63"/>
      </c>
      <c r="F260" s="4576" t="s">
        <v>4549</v>
      </c>
      <c r="G260" s="4609"/>
      <c r="H260" s="4591"/>
      <c r="I260" s="4591" t="s">
        <v>4304</v>
      </c>
      <c r="J260" s="4568"/>
      <c r="K260" s="4572"/>
      <c r="L260" s="4572"/>
      <c r="M260" s="4572"/>
      <c r="N260" s="4572"/>
      <c r="O260" s="4572"/>
      <c r="P260" s="4572"/>
    </row>
    <row r="261">
      <c r="A261" s="4610"/>
      <c r="B261" s="4610"/>
      <c r="C261" s="4610"/>
      <c r="D261" s="4610"/>
      <c r="E261" s="4610"/>
      <c r="F261" s="4610"/>
      <c r="G261" s="4610"/>
      <c r="H261" s="4751"/>
      <c r="I261" s="4610"/>
      <c r="J261" s="4610"/>
      <c r="K261" s="4611"/>
      <c r="L261" s="4611"/>
      <c r="M261" s="4611"/>
      <c r="N261" s="4611"/>
      <c r="O261" s="4611"/>
      <c r="P261" s="4611"/>
    </row>
    <row r="262">
      <c r="A262" s="4768" t="s">
        <v>4550</v>
      </c>
      <c r="B262" s="4769"/>
      <c r="C262" s="4769"/>
      <c r="D262" s="4769"/>
      <c r="E262" s="4769"/>
      <c r="F262" s="4769"/>
      <c r="G262" s="4769"/>
      <c r="H262" s="4769"/>
      <c r="I262" s="4769"/>
      <c r="J262" s="4770"/>
      <c r="K262" s="4580"/>
      <c r="L262" s="4580"/>
      <c r="M262" s="4580"/>
      <c r="N262" s="4580"/>
      <c r="O262" s="4580"/>
      <c r="P262" s="4580"/>
    </row>
    <row r="263">
      <c r="A263" s="4762" t="s">
        <v>4318</v>
      </c>
      <c r="B263" s="4763" t="s">
        <v>4319</v>
      </c>
      <c r="C263" s="4763"/>
      <c r="D263" s="4764" t="s">
        <v>4320</v>
      </c>
      <c r="E263" s="4764" t="s">
        <v>4321</v>
      </c>
      <c r="F263" s="4764" t="s">
        <v>4322</v>
      </c>
      <c r="G263" s="4765" t="s">
        <v>4334</v>
      </c>
      <c r="H263" s="4764" t="s">
        <v>4324</v>
      </c>
      <c r="I263" s="4764" t="s">
        <v>4325</v>
      </c>
      <c r="J263" s="4766" t="s">
        <v>4326</v>
      </c>
      <c r="K263" s="4586"/>
      <c r="L263" s="4586"/>
      <c r="M263" s="4586"/>
      <c r="N263" s="4586"/>
      <c r="O263" s="4586"/>
      <c r="P263" s="4586"/>
    </row>
    <row r="264">
      <c r="A264" s="4587" t="s">
        <v>4550</v>
      </c>
      <c r="B264" s="4573">
        <v>46244</v>
      </c>
      <c r="C264" s="4587" t="str">
        <v>Monday</v>
      </c>
      <c r="D264" s="4567" t="s">
        <v>4499</v>
      </c>
      <c r="E264" s="4591">
        <f t="shared" ref="E264:E287" si="64">24*MOD(TIMEVALUE(TRIM(MID(D264,FIND("-",D264)+1,LEN(D264)))) - TIMEVALUE(TRIM(LEFT(D264,FIND("-",D264)-1))),1)</f>
      </c>
      <c r="F264" s="4576" t="s">
        <v>4551</v>
      </c>
      <c r="G264" s="4599" t="s">
        <v>4552</v>
      </c>
      <c r="H264" s="4591" t="s">
        <v>4303</v>
      </c>
      <c r="I264" s="4591" t="s">
        <v>4304</v>
      </c>
      <c r="J264" s="4709" t="s">
        <v>4553</v>
      </c>
      <c r="K264" s="4760"/>
      <c r="L264" s="4760"/>
      <c r="M264" s="4760"/>
      <c r="N264" s="4760"/>
      <c r="O264" s="4760"/>
      <c r="P264" s="4760"/>
    </row>
    <row customHeight="true" ht="18.452380952380953" r="265">
      <c r="A265" s="4587" t="s">
        <v>4550</v>
      </c>
      <c r="B265" s="4573">
        <v>46245</v>
      </c>
      <c r="C265" s="4587" t="str">
        <v>Tuesday</v>
      </c>
      <c r="D265" s="4567" t="s">
        <v>4554</v>
      </c>
      <c r="E265" s="4591">
        <f t="shared" si="64"/>
      </c>
      <c r="F265" s="4576" t="s">
        <v>4447</v>
      </c>
      <c r="G265" s="4599" t="s">
        <v>4552</v>
      </c>
      <c r="H265" s="4591" t="s">
        <v>4303</v>
      </c>
      <c r="I265" s="4591" t="s">
        <v>4304</v>
      </c>
      <c r="J265" s="4709" t="s">
        <v>4553</v>
      </c>
      <c r="K265" s="4572"/>
      <c r="L265" s="4572"/>
      <c r="M265" s="4572"/>
      <c r="N265" s="4572"/>
      <c r="O265" s="4572"/>
      <c r="P265" s="4572"/>
    </row>
    <row customHeight="true" ht="18.452380952380953" r="266">
      <c r="A266" s="4587" t="s">
        <v>4550</v>
      </c>
      <c r="B266" s="4573">
        <v>46246</v>
      </c>
      <c r="C266" s="4587" t="str">
        <v>Wednesday</v>
      </c>
      <c r="D266" s="4567" t="s">
        <v>4499</v>
      </c>
      <c r="E266" s="4591">
        <f t="shared" si="64"/>
      </c>
      <c r="F266" s="4576" t="s">
        <v>4551</v>
      </c>
      <c r="G266" s="4599" t="s">
        <v>4555</v>
      </c>
      <c r="H266" s="4591" t="s">
        <v>4303</v>
      </c>
      <c r="I266" s="4591" t="s">
        <v>4304</v>
      </c>
      <c r="J266" s="4709" t="s">
        <v>4553</v>
      </c>
      <c r="K266" s="4760"/>
      <c r="L266" s="4760"/>
      <c r="M266" s="4760"/>
      <c r="N266" s="4760"/>
      <c r="O266" s="4760"/>
      <c r="P266" s="4760"/>
    </row>
    <row customHeight="true" ht="18.452380952380953" r="267">
      <c r="A267" s="4687" t="s">
        <v>4550</v>
      </c>
      <c r="B267" s="4688">
        <v>46247</v>
      </c>
      <c r="C267" s="4687" t="str">
        <v>Thursday</v>
      </c>
      <c r="D267" s="4689" t="s">
        <v>4429</v>
      </c>
      <c r="E267" s="4690">
        <f t="shared" si="64"/>
      </c>
      <c r="F267" s="4705" t="s">
        <v>4482</v>
      </c>
      <c r="G267" s="4691" t="s">
        <v>4439</v>
      </c>
      <c r="H267" s="4690" t="s">
        <v>4303</v>
      </c>
      <c r="I267" s="4690" t="s">
        <v>4304</v>
      </c>
      <c r="J267" s="4771" t="s">
        <v>4556</v>
      </c>
      <c r="K267" s="4772"/>
      <c r="L267" s="4772"/>
      <c r="M267" s="4772"/>
      <c r="N267" s="4772"/>
      <c r="O267" s="4772"/>
      <c r="P267" s="4772"/>
      <c r="Q267" s="4694"/>
      <c r="R267" s="4694"/>
      <c r="S267" s="4694"/>
      <c r="T267" s="4694"/>
      <c r="U267" s="4694"/>
      <c r="V267" s="4694"/>
      <c r="W267" s="4694"/>
      <c r="X267" s="4694"/>
      <c r="Y267" s="4694"/>
    </row>
    <row customHeight="true" ht="18.452380952380953" r="268">
      <c r="A268" s="4587" t="s">
        <v>4550</v>
      </c>
      <c r="B268" s="4573">
        <v>46248</v>
      </c>
      <c r="C268" s="4587" t="str">
        <v>Friday</v>
      </c>
      <c r="D268" s="4567" t="s">
        <v>4499</v>
      </c>
      <c r="E268" s="4591">
        <f t="shared" si="64"/>
      </c>
      <c r="F268" s="4576" t="s">
        <v>4551</v>
      </c>
      <c r="G268" s="4599" t="s">
        <v>4557</v>
      </c>
      <c r="H268" s="4591" t="s">
        <v>4303</v>
      </c>
      <c r="I268" s="4591" t="s">
        <v>4304</v>
      </c>
      <c r="J268" s="4709" t="s">
        <v>4553</v>
      </c>
      <c r="K268" s="4760"/>
      <c r="L268" s="4760"/>
      <c r="M268" s="4760"/>
      <c r="N268" s="4760"/>
      <c r="O268" s="4760"/>
      <c r="P268" s="4760"/>
    </row>
    <row customHeight="true" ht="18.452380952380953" r="269">
      <c r="A269" s="4587" t="s">
        <v>4550</v>
      </c>
      <c r="B269" s="4573">
        <v>46249</v>
      </c>
      <c r="C269" s="4587" t="str">
        <v>Saturday</v>
      </c>
      <c r="D269" s="4567" t="s">
        <v>4429</v>
      </c>
      <c r="E269" s="4591">
        <f t="shared" si="64"/>
      </c>
      <c r="F269" s="4576" t="s">
        <v>4558</v>
      </c>
      <c r="G269" s="4599" t="s">
        <v>4559</v>
      </c>
      <c r="H269" s="4591" t="s">
        <v>4316</v>
      </c>
      <c r="I269" s="4591" t="s">
        <v>4304</v>
      </c>
      <c r="J269" s="4709" t="s">
        <v>4553</v>
      </c>
      <c r="K269" s="4760"/>
      <c r="L269" s="4760"/>
      <c r="M269" s="4760"/>
      <c r="N269" s="4760"/>
      <c r="O269" s="4760"/>
      <c r="P269" s="4760"/>
    </row>
    <row customHeight="true" ht="18.452380952380953" r="270">
      <c r="A270" s="4587" t="s">
        <v>4550</v>
      </c>
      <c r="B270" s="4573">
        <v>46250</v>
      </c>
      <c r="C270" s="4587" t="str">
        <v>Sunday</v>
      </c>
      <c r="D270" s="4567" t="s">
        <v>4477</v>
      </c>
      <c r="E270" s="4591">
        <f t="shared" si="64"/>
      </c>
      <c r="F270" s="4576" t="s">
        <v>4558</v>
      </c>
      <c r="G270" s="4599" t="s">
        <v>4439</v>
      </c>
      <c r="H270" s="4591" t="s">
        <v>4303</v>
      </c>
      <c r="I270" s="4591" t="s">
        <v>4304</v>
      </c>
      <c r="J270" s="4709" t="s">
        <v>4560</v>
      </c>
      <c r="K270" s="4572"/>
      <c r="L270" s="4572"/>
      <c r="M270" s="4572"/>
      <c r="N270" s="4572"/>
      <c r="O270" s="4572"/>
      <c r="P270" s="4572"/>
    </row>
    <row customHeight="true" ht="18.452380952380953" r="271">
      <c r="A271" s="4587" t="s">
        <v>4561</v>
      </c>
      <c r="B271" s="4573">
        <v>46244</v>
      </c>
      <c r="C271" s="4587" t="str">
        <v>Monday</v>
      </c>
      <c r="D271" s="4567" t="s">
        <v>4499</v>
      </c>
      <c r="E271" s="4591">
        <f t="shared" si="64"/>
      </c>
      <c r="F271" s="4576" t="s">
        <v>4503</v>
      </c>
      <c r="G271" s="4609"/>
      <c r="H271" s="4591" t="s">
        <v>4303</v>
      </c>
      <c r="I271" s="4591" t="s">
        <v>4332</v>
      </c>
      <c r="J271" s="4568"/>
      <c r="K271" s="4572"/>
      <c r="L271" s="4572"/>
      <c r="M271" s="4572"/>
      <c r="N271" s="4572"/>
      <c r="O271" s="4572"/>
      <c r="P271" s="4572"/>
    </row>
    <row customHeight="true" ht="18.452380952380953" r="272">
      <c r="A272" s="4587" t="s">
        <v>4561</v>
      </c>
      <c r="B272" s="4573">
        <v>46245</v>
      </c>
      <c r="C272" s="4587" t="str">
        <v>Tuesday</v>
      </c>
      <c r="D272" s="4567" t="s">
        <v>4562</v>
      </c>
      <c r="E272" s="4591">
        <f t="shared" si="64"/>
      </c>
      <c r="F272" s="4576" t="s">
        <v>4503</v>
      </c>
      <c r="G272" s="4609"/>
      <c r="H272" s="4591" t="s">
        <v>4303</v>
      </c>
      <c r="I272" s="4591" t="s">
        <v>4304</v>
      </c>
      <c r="J272" s="4709"/>
      <c r="K272" s="4760"/>
      <c r="L272" s="4760"/>
      <c r="M272" s="4760"/>
      <c r="N272" s="4760"/>
      <c r="O272" s="4760"/>
      <c r="P272" s="4760"/>
    </row>
    <row customHeight="true" ht="18.452380952380953" r="273">
      <c r="A273" s="4587" t="s">
        <v>4561</v>
      </c>
      <c r="B273" s="4573">
        <v>46246</v>
      </c>
      <c r="C273" s="4587" t="str">
        <v>Wednesday</v>
      </c>
      <c r="D273" s="4567" t="s">
        <v>4563</v>
      </c>
      <c r="E273" s="4591">
        <f t="shared" si="64"/>
      </c>
      <c r="F273" s="4576" t="s">
        <v>4450</v>
      </c>
      <c r="G273" s="4609"/>
      <c r="H273" s="4591" t="s">
        <v>4303</v>
      </c>
      <c r="I273" s="4591" t="s">
        <v>4304</v>
      </c>
      <c r="J273" s="4709" t="s">
        <v>4564</v>
      </c>
      <c r="K273" s="4572"/>
      <c r="L273" s="4572"/>
      <c r="M273" s="4572"/>
      <c r="N273" s="4572"/>
      <c r="O273" s="4572"/>
      <c r="P273" s="4572"/>
    </row>
    <row customHeight="true" ht="18.452380952380953" r="274">
      <c r="A274" s="4587" t="s">
        <v>4561</v>
      </c>
      <c r="B274" s="4587">
        <v>46248</v>
      </c>
      <c r="C274" s="4587" t="str">
        <v>Friday</v>
      </c>
      <c r="D274" s="4567" t="s">
        <v>4565</v>
      </c>
      <c r="E274" s="4591">
        <f t="shared" si="64"/>
      </c>
      <c r="F274" s="4576" t="s">
        <v>4450</v>
      </c>
      <c r="G274" s="4609"/>
      <c r="H274" s="4591" t="s">
        <v>4316</v>
      </c>
      <c r="I274" s="4591" t="s">
        <v>4304</v>
      </c>
      <c r="J274" s="4709" t="s">
        <v>4566</v>
      </c>
      <c r="K274" s="4572"/>
      <c r="L274" s="4572"/>
      <c r="M274" s="4572"/>
      <c r="N274" s="4572"/>
      <c r="O274" s="4572"/>
      <c r="P274" s="4572"/>
    </row>
    <row customHeight="true" ht="18.452380952380953" r="275">
      <c r="A275" s="4587" t="s">
        <v>4561</v>
      </c>
      <c r="B275" s="4573">
        <v>46246</v>
      </c>
      <c r="C275" s="4587" t="str">
        <v>Wednesday</v>
      </c>
      <c r="D275" s="4567" t="s">
        <v>4567</v>
      </c>
      <c r="E275" s="4591">
        <f t="shared" si="64"/>
      </c>
      <c r="F275" s="4576" t="s">
        <v>4490</v>
      </c>
      <c r="G275" s="4609"/>
      <c r="H275" s="4591" t="s">
        <v>4303</v>
      </c>
      <c r="I275" s="4591"/>
      <c r="J275" s="4568"/>
      <c r="K275" s="4572"/>
      <c r="L275" s="4572"/>
      <c r="M275" s="4572"/>
      <c r="N275" s="4572"/>
      <c r="O275" s="4572"/>
      <c r="P275" s="4572"/>
    </row>
    <row customHeight="true" ht="18.452380952380953" r="276">
      <c r="A276" s="4587" t="s">
        <v>4561</v>
      </c>
      <c r="B276" s="4573">
        <v>46246</v>
      </c>
      <c r="C276" s="4587" t="str">
        <v>Wednesday</v>
      </c>
      <c r="D276" s="4567" t="s">
        <v>4563</v>
      </c>
      <c r="E276" s="4591">
        <f t="shared" si="64"/>
      </c>
      <c r="F276" s="4576" t="s">
        <v>4490</v>
      </c>
      <c r="G276" s="4609"/>
      <c r="H276" s="4591" t="s">
        <v>4303</v>
      </c>
      <c r="I276" s="4591"/>
      <c r="J276" s="4709" t="s">
        <v>4568</v>
      </c>
      <c r="K276" s="4572"/>
      <c r="L276" s="4572"/>
      <c r="M276" s="4572"/>
      <c r="N276" s="4572"/>
      <c r="O276" s="4572"/>
      <c r="P276" s="4572"/>
    </row>
    <row customHeight="true" ht="18.452380952380953" r="277">
      <c r="A277" s="4687" t="s">
        <v>4561</v>
      </c>
      <c r="B277" s="4688">
        <v>46247</v>
      </c>
      <c r="C277" s="4687" t="str">
        <v>Thursday</v>
      </c>
      <c r="D277" s="4689" t="s">
        <v>4429</v>
      </c>
      <c r="E277" s="4690">
        <f t="shared" si="64"/>
      </c>
      <c r="F277" s="4705" t="s">
        <v>4447</v>
      </c>
      <c r="G277" s="4706"/>
      <c r="H277" s="4690" t="s">
        <v>4316</v>
      </c>
      <c r="I277" s="4690" t="s">
        <v>4304</v>
      </c>
      <c r="J277" s="4771" t="s">
        <v>4569</v>
      </c>
      <c r="K277" s="4693"/>
      <c r="L277" s="4693"/>
      <c r="M277" s="4693"/>
      <c r="N277" s="4693"/>
      <c r="O277" s="4693"/>
      <c r="P277" s="4693"/>
      <c r="Q277" s="4694"/>
      <c r="R277" s="4694"/>
      <c r="S277" s="4694"/>
      <c r="T277" s="4694"/>
      <c r="U277" s="4694"/>
      <c r="V277" s="4694"/>
      <c r="W277" s="4694"/>
      <c r="X277" s="4694"/>
      <c r="Y277" s="4694"/>
    </row>
    <row customHeight="true" ht="18.452380952380953" r="278">
      <c r="A278" s="4587" t="s">
        <v>4561</v>
      </c>
      <c r="B278" s="4573">
        <v>46248</v>
      </c>
      <c r="C278" s="4587" t="str">
        <v>Friday</v>
      </c>
      <c r="D278" s="4567" t="s">
        <v>4499</v>
      </c>
      <c r="E278" s="4591">
        <f t="shared" si="64"/>
      </c>
      <c r="F278" s="4576" t="s">
        <v>4526</v>
      </c>
      <c r="G278" s="4609"/>
      <c r="H278" s="4591" t="s">
        <v>4303</v>
      </c>
      <c r="I278" s="4591" t="s">
        <v>4304</v>
      </c>
      <c r="J278" s="4568"/>
      <c r="K278" s="4572"/>
      <c r="L278" s="4572"/>
      <c r="M278" s="4572"/>
      <c r="N278" s="4572"/>
      <c r="O278" s="4572"/>
      <c r="P278" s="4572"/>
    </row>
    <row customHeight="true" ht="18.452380952380953" r="279">
      <c r="A279" s="4587" t="s">
        <v>4561</v>
      </c>
      <c r="B279" s="4573">
        <v>46249</v>
      </c>
      <c r="C279" s="4587" t="str">
        <v>Saturday</v>
      </c>
      <c r="D279" s="4567" t="s">
        <v>4429</v>
      </c>
      <c r="E279" s="4591">
        <f t="shared" si="64"/>
      </c>
      <c r="F279" s="4576" t="s">
        <v>4344</v>
      </c>
      <c r="G279" s="4609"/>
      <c r="H279" s="4591" t="s">
        <v>4303</v>
      </c>
      <c r="I279" s="4591" t="s">
        <v>4304</v>
      </c>
      <c r="J279" s="4709" t="s">
        <v>4570</v>
      </c>
      <c r="K279" s="4572"/>
      <c r="L279" s="4572"/>
      <c r="M279" s="4572"/>
      <c r="N279" s="4572"/>
      <c r="O279" s="4572"/>
      <c r="P279" s="4572"/>
    </row>
    <row customHeight="true" ht="18.452380952380953" r="280">
      <c r="A280" s="4587" t="s">
        <v>4561</v>
      </c>
      <c r="B280" s="4573">
        <v>46250</v>
      </c>
      <c r="C280" s="4587" t="str">
        <v>Sunday</v>
      </c>
      <c r="D280" s="4567" t="s">
        <v>4489</v>
      </c>
      <c r="E280" s="4591">
        <f t="shared" si="64"/>
      </c>
      <c r="F280" s="4576" t="s">
        <v>4447</v>
      </c>
      <c r="G280" s="4609"/>
      <c r="H280" s="4591" t="s">
        <v>4303</v>
      </c>
      <c r="I280" s="4591" t="s">
        <v>4304</v>
      </c>
      <c r="J280" s="4709" t="s">
        <v>4571</v>
      </c>
      <c r="K280" s="4572"/>
      <c r="L280" s="4572"/>
      <c r="M280" s="4572"/>
      <c r="N280" s="4572"/>
      <c r="O280" s="4572"/>
      <c r="P280" s="4572"/>
    </row>
    <row customHeight="true" ht="18.452380952380953" r="281">
      <c r="A281" s="4587" t="s">
        <v>4561</v>
      </c>
      <c r="B281" s="4573">
        <v>46244</v>
      </c>
      <c r="C281" s="4587" t="str">
        <v>Monday</v>
      </c>
      <c r="D281" s="4567" t="s">
        <v>4572</v>
      </c>
      <c r="E281" s="4591">
        <f t="shared" si="64"/>
      </c>
      <c r="F281" s="4576" t="s">
        <v>4450</v>
      </c>
      <c r="G281" s="4609"/>
      <c r="H281" s="4591" t="s">
        <v>4303</v>
      </c>
      <c r="I281" s="4591" t="s">
        <v>4304</v>
      </c>
      <c r="J281" s="4709" t="s">
        <v>4573</v>
      </c>
      <c r="K281" s="4572"/>
      <c r="L281" s="4572"/>
      <c r="M281" s="4572"/>
      <c r="N281" s="4572"/>
      <c r="O281" s="4572"/>
      <c r="P281" s="4572"/>
    </row>
    <row customHeight="true" ht="18.452380952380953" r="282">
      <c r="A282" s="4587" t="s">
        <v>4574</v>
      </c>
      <c r="B282" s="4573">
        <v>46244</v>
      </c>
      <c r="C282" s="4587" t="str">
        <v>Monday</v>
      </c>
      <c r="D282" s="4567" t="s">
        <v>4575</v>
      </c>
      <c r="E282" s="4571">
        <f t="shared" si="64"/>
      </c>
      <c r="F282" s="4571" t="s">
        <v>4447</v>
      </c>
      <c r="G282" s="4599" t="s">
        <v>4576</v>
      </c>
      <c r="H282" s="4591" t="s">
        <v>4303</v>
      </c>
      <c r="I282" s="4591" t="s">
        <v>4304</v>
      </c>
      <c r="J282" s="4709" t="s">
        <v>4577</v>
      </c>
      <c r="K282" s="4572"/>
      <c r="L282" s="4572"/>
      <c r="M282" s="4572"/>
      <c r="N282" s="4572"/>
      <c r="O282" s="4572"/>
      <c r="P282" s="4572"/>
    </row>
    <row customHeight="true" ht="18.452380952380953" r="283">
      <c r="A283" s="4587" t="s">
        <v>4574</v>
      </c>
      <c r="B283" s="4573">
        <v>46247</v>
      </c>
      <c r="C283" s="4587" t="str">
        <v>Thursday</v>
      </c>
      <c r="D283" s="4567" t="s">
        <v>4543</v>
      </c>
      <c r="E283" s="4571">
        <f t="shared" si="64"/>
      </c>
      <c r="F283" s="4571" t="s">
        <v>4361</v>
      </c>
      <c r="G283" s="4599"/>
      <c r="H283" s="4591" t="s">
        <v>4303</v>
      </c>
      <c r="I283" s="4591" t="s">
        <v>4304</v>
      </c>
      <c r="J283" s="4709" t="s">
        <v>4578</v>
      </c>
      <c r="K283" s="4572"/>
      <c r="L283" s="4572"/>
      <c r="M283" s="4572"/>
      <c r="N283" s="4572"/>
      <c r="O283" s="4572"/>
      <c r="P283" s="4572"/>
    </row>
    <row customHeight="true" ht="18.452380952380953" r="284">
      <c r="A284" s="4587" t="s">
        <v>4574</v>
      </c>
      <c r="B284" s="4573">
        <v>46248</v>
      </c>
      <c r="C284" s="4587" t="str">
        <v>Friday</v>
      </c>
      <c r="D284" s="4567" t="s">
        <v>4579</v>
      </c>
      <c r="E284" s="4571">
        <f t="shared" si="64"/>
      </c>
      <c r="F284" s="4571" t="s">
        <v>4361</v>
      </c>
      <c r="G284" s="4599"/>
      <c r="H284" s="4591"/>
      <c r="I284" s="4591" t="s">
        <v>4304</v>
      </c>
      <c r="J284" s="4709" t="s">
        <v>4580</v>
      </c>
      <c r="K284" s="4572"/>
      <c r="L284" s="4572"/>
      <c r="M284" s="4572"/>
      <c r="N284" s="4572"/>
      <c r="O284" s="4572"/>
      <c r="P284" s="4572"/>
    </row>
    <row customHeight="true" ht="18.452380952380953" r="285">
      <c r="A285" s="4587" t="s">
        <v>4574</v>
      </c>
      <c r="B285" s="4573">
        <v>46249</v>
      </c>
      <c r="C285" s="4587" t="str">
        <v>Saturday</v>
      </c>
      <c r="D285" s="4567" t="s">
        <v>4581</v>
      </c>
      <c r="E285" s="4571">
        <f t="shared" si="64"/>
      </c>
      <c r="F285" s="4571" t="s">
        <v>4444</v>
      </c>
      <c r="G285" s="4599"/>
      <c r="H285" s="4591" t="s">
        <v>4303</v>
      </c>
      <c r="I285" s="4591" t="s">
        <v>4332</v>
      </c>
      <c r="J285" s="4709" t="s">
        <v>4582</v>
      </c>
      <c r="K285" s="4572"/>
      <c r="L285" s="4572"/>
      <c r="M285" s="4572"/>
      <c r="N285" s="4572"/>
      <c r="O285" s="4572"/>
      <c r="P285" s="4572"/>
    </row>
    <row customHeight="true" ht="18.452380952380953" r="286">
      <c r="A286" s="4587" t="s">
        <v>4574</v>
      </c>
      <c r="B286" s="4573">
        <v>46248</v>
      </c>
      <c r="C286" s="4587" t="str">
        <v>Friday</v>
      </c>
      <c r="D286" s="4567" t="s">
        <v>4583</v>
      </c>
      <c r="E286" s="4571">
        <f t="shared" si="64"/>
      </c>
      <c r="F286" s="4576" t="s">
        <v>4558</v>
      </c>
      <c r="G286" s="4599" t="s">
        <v>4576</v>
      </c>
      <c r="H286" s="4591" t="s">
        <v>4303</v>
      </c>
      <c r="I286" s="4591" t="s">
        <v>4304</v>
      </c>
      <c r="J286" s="4709" t="s">
        <v>4584</v>
      </c>
      <c r="K286" s="4572"/>
      <c r="L286" s="4572"/>
      <c r="M286" s="4572"/>
      <c r="N286" s="4572"/>
      <c r="O286" s="4572"/>
      <c r="P286" s="4572"/>
    </row>
    <row customHeight="true" ht="18.452380952380953" r="287">
      <c r="A287" s="4587" t="s">
        <v>4574</v>
      </c>
      <c r="B287" s="4573">
        <v>46249</v>
      </c>
      <c r="C287" s="4587" t="str">
        <v>Saturday</v>
      </c>
      <c r="D287" s="4567" t="s">
        <v>4470</v>
      </c>
      <c r="E287" s="4571">
        <f t="shared" si="64"/>
      </c>
      <c r="F287" s="4576" t="s">
        <v>4558</v>
      </c>
      <c r="G287" s="4599" t="s">
        <v>4576</v>
      </c>
      <c r="H287" s="4591" t="s">
        <v>4303</v>
      </c>
      <c r="I287" s="4591" t="s">
        <v>4304</v>
      </c>
      <c r="J287" s="4709"/>
      <c r="K287" s="4572"/>
      <c r="L287" s="4572"/>
      <c r="M287" s="4572"/>
      <c r="N287" s="4572"/>
      <c r="O287" s="4572"/>
      <c r="P287" s="4572"/>
    </row>
    <row r="288">
      <c r="A288" s="4773" t="s">
        <v>4585</v>
      </c>
      <c r="B288" s="4774"/>
      <c r="C288" s="4774"/>
      <c r="D288" s="4774"/>
      <c r="E288" s="4774"/>
      <c r="F288" s="4774"/>
      <c r="G288" s="4774"/>
      <c r="H288" s="4774"/>
      <c r="I288" s="4774"/>
      <c r="J288" s="4775"/>
      <c r="K288" s="4580"/>
      <c r="L288" s="4580"/>
      <c r="M288" s="4580"/>
      <c r="N288" s="4580"/>
      <c r="O288" s="4580"/>
      <c r="P288" s="4580"/>
    </row>
    <row r="289">
      <c r="A289" s="4776" t="s">
        <v>4318</v>
      </c>
      <c r="B289" s="4738" t="s">
        <v>4319</v>
      </c>
      <c r="C289" s="4738"/>
      <c r="D289" s="4777" t="s">
        <v>4320</v>
      </c>
      <c r="E289" s="4777" t="s">
        <v>4321</v>
      </c>
      <c r="F289" s="4777" t="s">
        <v>4322</v>
      </c>
      <c r="G289" s="4778" t="s">
        <v>4334</v>
      </c>
      <c r="H289" s="4777" t="s">
        <v>4324</v>
      </c>
      <c r="I289" s="4777" t="s">
        <v>4325</v>
      </c>
      <c r="J289" s="4743" t="s">
        <v>4326</v>
      </c>
      <c r="K289" s="4586"/>
      <c r="L289" s="4586"/>
      <c r="M289" s="4586"/>
      <c r="N289" s="4586"/>
      <c r="O289" s="4586"/>
      <c r="P289" s="4586"/>
    </row>
    <row r="290">
      <c r="A290" s="4587" t="s">
        <v>4585</v>
      </c>
      <c r="B290" s="4573">
        <v>46244</v>
      </c>
      <c r="C290" s="4587" t="str">
        <v>Monday</v>
      </c>
      <c r="D290" s="4567" t="s">
        <v>4480</v>
      </c>
      <c r="E290" s="4591">
        <f t="shared" ref="E290:E313" si="65">24*MOD(TIMEVALUE(TRIM(MID(D290,FIND("-",D290)+1,LEN(D290)))) - TIMEVALUE(TRIM(LEFT(D290,FIND("-",D290)-1))),1)</f>
      </c>
      <c r="F290" s="4576" t="s">
        <v>4337</v>
      </c>
      <c r="G290" s="4599"/>
      <c r="H290" s="4591" t="s">
        <v>4316</v>
      </c>
      <c r="I290" s="4591" t="s">
        <v>4304</v>
      </c>
      <c r="J290" s="4568"/>
      <c r="K290" s="4572"/>
      <c r="L290" s="4572"/>
      <c r="M290" s="4572"/>
      <c r="N290" s="4572"/>
      <c r="O290" s="4572"/>
      <c r="P290" s="4572"/>
    </row>
    <row customHeight="true" ht="18.452380952380953" r="291">
      <c r="A291" s="4587" t="s">
        <v>4585</v>
      </c>
      <c r="B291" s="4573">
        <v>46244</v>
      </c>
      <c r="C291" s="4587" t="str">
        <v>Monday</v>
      </c>
      <c r="D291" s="4567" t="s">
        <v>4410</v>
      </c>
      <c r="E291" s="4591">
        <f t="shared" si="65"/>
      </c>
      <c r="F291" s="4576" t="s">
        <v>4416</v>
      </c>
      <c r="G291" s="4599"/>
      <c r="H291" s="4591" t="s">
        <v>4316</v>
      </c>
      <c r="I291" s="4591" t="s">
        <v>4304</v>
      </c>
      <c r="J291" s="4568"/>
      <c r="K291" s="4572"/>
      <c r="L291" s="4572"/>
      <c r="M291" s="4572"/>
      <c r="N291" s="4572"/>
      <c r="O291" s="4572"/>
      <c r="P291" s="4572"/>
    </row>
    <row customHeight="true" ht="18.452380952380953" r="292">
      <c r="A292" s="4587" t="s">
        <v>4585</v>
      </c>
      <c r="B292" s="4573">
        <v>46245</v>
      </c>
      <c r="C292" s="4587" t="str">
        <v>Tuesday</v>
      </c>
      <c r="D292" s="4567" t="s">
        <v>4480</v>
      </c>
      <c r="E292" s="4591">
        <f t="shared" si="65"/>
      </c>
      <c r="F292" s="4576" t="s">
        <v>4337</v>
      </c>
      <c r="G292" s="4599"/>
      <c r="H292" s="4591" t="s">
        <v>4316</v>
      </c>
      <c r="I292" s="4591" t="s">
        <v>4304</v>
      </c>
      <c r="J292" s="4568"/>
      <c r="K292" s="4572"/>
      <c r="L292" s="4572"/>
      <c r="M292" s="4572"/>
      <c r="N292" s="4572"/>
      <c r="O292" s="4572"/>
      <c r="P292" s="4572"/>
    </row>
    <row customHeight="true" ht="18.452380952380953" r="293">
      <c r="A293" s="4587" t="s">
        <v>4585</v>
      </c>
      <c r="B293" s="4573">
        <v>46245</v>
      </c>
      <c r="C293" s="4587" t="str">
        <v>Tuesday</v>
      </c>
      <c r="D293" s="4567" t="s">
        <v>4410</v>
      </c>
      <c r="E293" s="4591">
        <f t="shared" si="65"/>
      </c>
      <c r="F293" s="4576" t="s">
        <v>4341</v>
      </c>
      <c r="G293" s="4599"/>
      <c r="H293" s="4591" t="s">
        <v>4316</v>
      </c>
      <c r="I293" s="4591" t="s">
        <v>4304</v>
      </c>
      <c r="J293" s="4568"/>
      <c r="K293" s="4572"/>
      <c r="L293" s="4572"/>
      <c r="M293" s="4572"/>
      <c r="N293" s="4572"/>
      <c r="O293" s="4572"/>
      <c r="P293" s="4572"/>
    </row>
    <row r="294">
      <c r="A294" s="4587" t="s">
        <v>4585</v>
      </c>
      <c r="B294" s="4573">
        <v>46246</v>
      </c>
      <c r="C294" s="4587" t="str">
        <v>Wednesday</v>
      </c>
      <c r="D294" s="4567" t="s">
        <v>4586</v>
      </c>
      <c r="E294" s="4591">
        <f t="shared" si="65"/>
      </c>
      <c r="F294" s="4576" t="s">
        <v>4341</v>
      </c>
      <c r="G294" s="4599"/>
      <c r="H294" s="4591" t="s">
        <v>4316</v>
      </c>
      <c r="I294" s="4591" t="s">
        <v>4304</v>
      </c>
      <c r="J294" s="4568"/>
      <c r="K294" s="4572"/>
      <c r="L294" s="4572"/>
      <c r="M294" s="4572"/>
      <c r="N294" s="4572"/>
      <c r="O294" s="4572"/>
      <c r="P294" s="4572"/>
    </row>
    <row customHeight="true" ht="18.452380952380953" r="295">
      <c r="A295" s="4587" t="s">
        <v>4585</v>
      </c>
      <c r="B295" s="4573">
        <v>46247</v>
      </c>
      <c r="C295" s="4587" t="str">
        <v>Thursday</v>
      </c>
      <c r="D295" s="4567" t="s">
        <v>4586</v>
      </c>
      <c r="E295" s="4591">
        <f t="shared" si="65"/>
      </c>
      <c r="F295" s="4576" t="s">
        <v>4341</v>
      </c>
      <c r="G295" s="4599"/>
      <c r="H295" s="4591" t="s">
        <v>4316</v>
      </c>
      <c r="I295" s="4591" t="s">
        <v>4304</v>
      </c>
      <c r="J295" s="4568"/>
      <c r="K295" s="4572"/>
      <c r="L295" s="4572"/>
      <c r="M295" s="4572"/>
      <c r="N295" s="4572"/>
      <c r="O295" s="4572"/>
      <c r="P295" s="4572"/>
    </row>
    <row customHeight="true" ht="18.452380952380953" r="296">
      <c r="A296" s="4587" t="s">
        <v>4585</v>
      </c>
      <c r="B296" s="4573">
        <v>46248</v>
      </c>
      <c r="C296" s="4587" t="str">
        <v>Friday</v>
      </c>
      <c r="D296" s="4567" t="s">
        <v>4480</v>
      </c>
      <c r="E296" s="4591">
        <f t="shared" si="65"/>
      </c>
      <c r="F296" s="4576" t="s">
        <v>4341</v>
      </c>
      <c r="G296" s="4609"/>
      <c r="H296" s="4591" t="s">
        <v>4316</v>
      </c>
      <c r="I296" s="4591" t="s">
        <v>4304</v>
      </c>
      <c r="J296" s="4568"/>
      <c r="K296" s="4572"/>
      <c r="L296" s="4572"/>
      <c r="M296" s="4572"/>
      <c r="N296" s="4572"/>
      <c r="O296" s="4572"/>
      <c r="P296" s="4572"/>
    </row>
    <row r="297">
      <c r="A297" s="4587" t="s">
        <v>4585</v>
      </c>
      <c r="B297" s="4573">
        <v>46249</v>
      </c>
      <c r="C297" s="4587" t="str">
        <v>Saturday</v>
      </c>
      <c r="D297" s="4567" t="s">
        <v>4518</v>
      </c>
      <c r="E297" s="4591">
        <f t="shared" si="65"/>
      </c>
      <c r="F297" s="4576" t="s">
        <v>4501</v>
      </c>
      <c r="G297" s="4599"/>
      <c r="H297" s="4591" t="s">
        <v>4316</v>
      </c>
      <c r="I297" s="4591" t="s">
        <v>4304</v>
      </c>
      <c r="J297" s="4568"/>
      <c r="K297" s="4572"/>
      <c r="L297" s="4572"/>
      <c r="M297" s="4572"/>
      <c r="N297" s="4572"/>
      <c r="O297" s="4572"/>
      <c r="P297" s="4572"/>
    </row>
    <row customHeight="true" ht="18.452380952380953" r="298">
      <c r="A298" s="4587" t="s">
        <v>4585</v>
      </c>
      <c r="B298" s="4573">
        <v>46249</v>
      </c>
      <c r="C298" s="4587" t="str">
        <v>Saturday</v>
      </c>
      <c r="D298" s="4567" t="s">
        <v>4480</v>
      </c>
      <c r="E298" s="4591">
        <f t="shared" si="65"/>
      </c>
      <c r="F298" s="4576" t="s">
        <v>4341</v>
      </c>
      <c r="G298" s="4599"/>
      <c r="H298" s="4591" t="s">
        <v>4316</v>
      </c>
      <c r="I298" s="4591" t="s">
        <v>4304</v>
      </c>
      <c r="J298" s="4568"/>
      <c r="K298" s="4572"/>
      <c r="L298" s="4572"/>
      <c r="M298" s="4572"/>
      <c r="N298" s="4572"/>
      <c r="O298" s="4572"/>
      <c r="P298" s="4572"/>
    </row>
    <row r="299">
      <c r="A299" s="4587" t="s">
        <v>4585</v>
      </c>
      <c r="B299" s="4573">
        <v>46250</v>
      </c>
      <c r="C299" s="4587" t="str">
        <v>Sunday</v>
      </c>
      <c r="D299" s="4567" t="s">
        <v>4587</v>
      </c>
      <c r="E299" s="4591">
        <f t="shared" si="65"/>
      </c>
      <c r="F299" s="4576" t="s">
        <v>4501</v>
      </c>
      <c r="G299" s="4599"/>
      <c r="H299" s="4591" t="s">
        <v>4316</v>
      </c>
      <c r="I299" s="4591" t="s">
        <v>4304</v>
      </c>
      <c r="J299" s="4568"/>
      <c r="K299" s="4572"/>
      <c r="L299" s="4572"/>
      <c r="M299" s="4572"/>
      <c r="N299" s="4572"/>
      <c r="O299" s="4572"/>
      <c r="P299" s="4572"/>
    </row>
    <row customHeight="true" ht="18.452380952380953" r="300">
      <c r="A300" s="4587" t="s">
        <v>4588</v>
      </c>
      <c r="B300" s="4573">
        <v>46244</v>
      </c>
      <c r="C300" s="4587" t="str">
        <v>Monday</v>
      </c>
      <c r="D300" s="4567" t="s">
        <v>4480</v>
      </c>
      <c r="E300" s="4591">
        <f t="shared" si="65"/>
      </c>
      <c r="F300" s="4576" t="s">
        <v>4504</v>
      </c>
      <c r="G300" s="4599"/>
      <c r="H300" s="4591" t="s">
        <v>4316</v>
      </c>
      <c r="I300" s="4591" t="s">
        <v>4304</v>
      </c>
      <c r="J300" s="4568"/>
      <c r="K300" s="4572"/>
      <c r="L300" s="4572"/>
      <c r="M300" s="4572"/>
      <c r="N300" s="4572"/>
      <c r="O300" s="4572"/>
      <c r="P300" s="4572"/>
    </row>
    <row customHeight="true" ht="18.452380952380953" r="301">
      <c r="A301" s="4587" t="s">
        <v>4588</v>
      </c>
      <c r="B301" s="4573">
        <v>46244</v>
      </c>
      <c r="C301" s="4587" t="str">
        <v>Monday</v>
      </c>
      <c r="D301" s="4567" t="s">
        <v>4410</v>
      </c>
      <c r="E301" s="4591">
        <f t="shared" si="65"/>
      </c>
      <c r="F301" s="4576" t="s">
        <v>4503</v>
      </c>
      <c r="G301" s="4599"/>
      <c r="H301" s="4591" t="s">
        <v>4316</v>
      </c>
      <c r="I301" s="4591" t="s">
        <v>4304</v>
      </c>
      <c r="J301" s="4568"/>
      <c r="K301" s="4572"/>
      <c r="L301" s="4572"/>
      <c r="M301" s="4572"/>
      <c r="N301" s="4572"/>
      <c r="O301" s="4572"/>
      <c r="P301" s="4572"/>
    </row>
    <row customHeight="true" ht="18.452380952380953" r="302">
      <c r="A302" s="4587" t="s">
        <v>4588</v>
      </c>
      <c r="B302" s="4573">
        <v>46245</v>
      </c>
      <c r="C302" s="4587" t="str">
        <v>Tuesday</v>
      </c>
      <c r="D302" s="4567" t="s">
        <v>4589</v>
      </c>
      <c r="E302" s="4591">
        <f t="shared" si="65"/>
      </c>
      <c r="F302" s="4576" t="s">
        <v>4506</v>
      </c>
      <c r="G302" s="4609"/>
      <c r="H302" s="4591" t="s">
        <v>4316</v>
      </c>
      <c r="I302" s="4591" t="s">
        <v>4304</v>
      </c>
      <c r="J302" s="4568"/>
      <c r="K302" s="4572"/>
      <c r="L302" s="4572"/>
      <c r="M302" s="4572"/>
      <c r="N302" s="4572"/>
      <c r="O302" s="4572"/>
      <c r="P302" s="4572"/>
    </row>
    <row customHeight="true" ht="18.452380952380953" r="303">
      <c r="A303" s="4587" t="s">
        <v>4590</v>
      </c>
      <c r="B303" s="4573">
        <v>46245</v>
      </c>
      <c r="C303" s="4587" t="str">
        <v>Tuesday</v>
      </c>
      <c r="D303" s="4567" t="s">
        <v>4591</v>
      </c>
      <c r="E303" s="4591">
        <f t="shared" si="65"/>
      </c>
      <c r="F303" s="4576" t="s">
        <v>4506</v>
      </c>
      <c r="G303" s="4609"/>
      <c r="H303" s="4591" t="s">
        <v>4316</v>
      </c>
      <c r="I303" s="4591" t="s">
        <v>4304</v>
      </c>
      <c r="J303" s="4709" t="s">
        <v>4592</v>
      </c>
      <c r="K303" s="4572"/>
      <c r="L303" s="4572"/>
      <c r="M303" s="4572"/>
      <c r="N303" s="4572"/>
      <c r="O303" s="4572"/>
      <c r="P303" s="4572"/>
    </row>
    <row customHeight="true" ht="18.452380952380953" r="304">
      <c r="A304" s="4587" t="s">
        <v>4590</v>
      </c>
      <c r="B304" s="4573">
        <v>46246</v>
      </c>
      <c r="C304" s="4587" t="str">
        <v>Wednesday</v>
      </c>
      <c r="D304" s="4567" t="s">
        <v>4593</v>
      </c>
      <c r="E304" s="4591">
        <f t="shared" si="65"/>
      </c>
      <c r="F304" s="4576" t="s">
        <v>4506</v>
      </c>
      <c r="G304" s="4609"/>
      <c r="H304" s="4591" t="s">
        <v>4316</v>
      </c>
      <c r="I304" s="4591" t="s">
        <v>4304</v>
      </c>
      <c r="J304" s="4709" t="s">
        <v>4594</v>
      </c>
      <c r="K304" s="4704"/>
      <c r="L304" s="4704"/>
      <c r="M304" s="4704"/>
      <c r="N304" s="4704"/>
      <c r="O304" s="4704"/>
      <c r="P304" s="4704"/>
      <c r="Q304" s="4610"/>
      <c r="R304" s="4610"/>
      <c r="S304" s="4610"/>
      <c r="T304" s="4610"/>
      <c r="U304" s="4610"/>
      <c r="V304" s="4610"/>
      <c r="W304" s="4610"/>
      <c r="X304" s="4610"/>
      <c r="Y304" s="4610"/>
    </row>
    <row customHeight="true" ht="18.452380952380953" r="305">
      <c r="A305" s="4587" t="s">
        <v>4588</v>
      </c>
      <c r="B305" s="4573">
        <v>46245</v>
      </c>
      <c r="C305" s="4587" t="str">
        <v>Tuesday</v>
      </c>
      <c r="D305" s="4567" t="s">
        <v>4591</v>
      </c>
      <c r="E305" s="4591">
        <f t="shared" si="65"/>
      </c>
      <c r="F305" s="4576" t="s">
        <v>4503</v>
      </c>
      <c r="G305" s="4599"/>
      <c r="H305" s="4591" t="s">
        <v>4316</v>
      </c>
      <c r="I305" s="4591" t="s">
        <v>4304</v>
      </c>
      <c r="J305" s="4568"/>
      <c r="K305" s="4572"/>
      <c r="L305" s="4572"/>
      <c r="M305" s="4572"/>
      <c r="N305" s="4572"/>
      <c r="O305" s="4572"/>
      <c r="P305" s="4572"/>
    </row>
    <row customHeight="true" ht="18.452380952380953" r="306">
      <c r="A306" s="4587" t="s">
        <v>4588</v>
      </c>
      <c r="B306" s="4573">
        <v>46246</v>
      </c>
      <c r="C306" s="4587" t="str">
        <v>Wednesday</v>
      </c>
      <c r="D306" s="4567" t="s">
        <v>4586</v>
      </c>
      <c r="E306" s="4591">
        <f t="shared" si="65"/>
      </c>
      <c r="F306" s="4576" t="s">
        <v>4504</v>
      </c>
      <c r="G306" s="4599"/>
      <c r="H306" s="4591" t="s">
        <v>4316</v>
      </c>
      <c r="I306" s="4591" t="s">
        <v>4304</v>
      </c>
      <c r="J306" s="4568"/>
      <c r="K306" s="4572"/>
      <c r="L306" s="4572"/>
      <c r="M306" s="4572"/>
      <c r="N306" s="4572"/>
      <c r="O306" s="4572"/>
      <c r="P306" s="4572"/>
    </row>
    <row customHeight="true" ht="18.452380952380953" r="307">
      <c r="A307" s="4587" t="s">
        <v>4588</v>
      </c>
      <c r="B307" s="4573">
        <v>46247</v>
      </c>
      <c r="C307" s="4587" t="str">
        <v>Thursday</v>
      </c>
      <c r="D307" s="4567" t="s">
        <v>4586</v>
      </c>
      <c r="E307" s="4591">
        <f t="shared" si="65"/>
      </c>
      <c r="F307" s="4576" t="s">
        <v>4503</v>
      </c>
      <c r="G307" s="4609"/>
      <c r="H307" s="4591" t="s">
        <v>4316</v>
      </c>
      <c r="I307" s="4591" t="s">
        <v>4304</v>
      </c>
      <c r="J307" s="4568"/>
      <c r="K307" s="4572"/>
      <c r="L307" s="4572"/>
      <c r="M307" s="4572"/>
      <c r="N307" s="4572"/>
      <c r="O307" s="4572"/>
      <c r="P307" s="4572"/>
    </row>
    <row customHeight="true" ht="18.452380952380953" r="308">
      <c r="A308" s="4587" t="s">
        <v>4588</v>
      </c>
      <c r="B308" s="4573">
        <v>46248</v>
      </c>
      <c r="C308" s="4587" t="str">
        <v>Friday</v>
      </c>
      <c r="D308" s="4567" t="s">
        <v>4343</v>
      </c>
      <c r="E308" s="4591">
        <f t="shared" si="65"/>
      </c>
      <c r="F308" s="4576" t="s">
        <v>4504</v>
      </c>
      <c r="G308" s="4609"/>
      <c r="H308" s="4591" t="s">
        <v>4316</v>
      </c>
      <c r="I308" s="4591" t="s">
        <v>4304</v>
      </c>
      <c r="J308" s="4568"/>
      <c r="K308" s="4572"/>
      <c r="L308" s="4572"/>
      <c r="M308" s="4572"/>
      <c r="N308" s="4572"/>
      <c r="O308" s="4572"/>
      <c r="P308" s="4572"/>
    </row>
    <row customHeight="true" ht="18.452380952380953" r="309">
      <c r="A309" s="4587" t="s">
        <v>4588</v>
      </c>
      <c r="B309" s="4573">
        <v>46248</v>
      </c>
      <c r="C309" s="4587" t="str">
        <v>Friday</v>
      </c>
      <c r="D309" s="4567" t="s">
        <v>4452</v>
      </c>
      <c r="E309" s="4591">
        <f t="shared" si="65"/>
      </c>
      <c r="F309" s="4576" t="s">
        <v>4503</v>
      </c>
      <c r="G309" s="4609"/>
      <c r="H309" s="4591" t="s">
        <v>4316</v>
      </c>
      <c r="I309" s="4591" t="s">
        <v>4304</v>
      </c>
      <c r="J309" s="4568"/>
      <c r="K309" s="4572"/>
      <c r="L309" s="4572"/>
      <c r="M309" s="4572"/>
      <c r="N309" s="4572"/>
      <c r="O309" s="4572"/>
      <c r="P309" s="4572"/>
    </row>
    <row customHeight="true" ht="18.452380952380953" r="310">
      <c r="A310" s="4587" t="s">
        <v>4588</v>
      </c>
      <c r="B310" s="4573">
        <v>46249</v>
      </c>
      <c r="C310" s="4587" t="str">
        <v>Saturday</v>
      </c>
      <c r="D310" s="4567" t="s">
        <v>4518</v>
      </c>
      <c r="E310" s="4591">
        <f t="shared" si="65"/>
      </c>
      <c r="F310" s="4576" t="s">
        <v>4548</v>
      </c>
      <c r="G310" s="4609"/>
      <c r="H310" s="4591" t="s">
        <v>4316</v>
      </c>
      <c r="I310" s="4591" t="s">
        <v>4304</v>
      </c>
      <c r="J310" s="4568"/>
      <c r="K310" s="4572"/>
      <c r="L310" s="4572"/>
      <c r="M310" s="4572"/>
      <c r="N310" s="4572"/>
      <c r="O310" s="4572"/>
      <c r="P310" s="4572"/>
    </row>
    <row customHeight="true" ht="18.452380952380953" r="311">
      <c r="A311" s="4587" t="s">
        <v>4588</v>
      </c>
      <c r="B311" s="4573">
        <v>46249</v>
      </c>
      <c r="C311" s="4587" t="str">
        <v>Saturday</v>
      </c>
      <c r="D311" s="4567" t="s">
        <v>4595</v>
      </c>
      <c r="E311" s="4591">
        <f t="shared" si="65"/>
      </c>
      <c r="F311" s="4576" t="s">
        <v>4506</v>
      </c>
      <c r="G311" s="4609"/>
      <c r="H311" s="4591" t="s">
        <v>4316</v>
      </c>
      <c r="I311" s="4591" t="s">
        <v>4304</v>
      </c>
      <c r="J311" s="4709" t="s">
        <v>4596</v>
      </c>
      <c r="K311" s="4572"/>
      <c r="L311" s="4572"/>
      <c r="M311" s="4572"/>
      <c r="N311" s="4572"/>
      <c r="O311" s="4572"/>
      <c r="P311" s="4572"/>
    </row>
    <row customHeight="true" ht="18.452380952380953" r="312">
      <c r="A312" s="4587" t="s">
        <v>4588</v>
      </c>
      <c r="B312" s="4573">
        <v>46250</v>
      </c>
      <c r="C312" s="4587" t="str">
        <v>Sunday</v>
      </c>
      <c r="D312" s="4567" t="s">
        <v>4518</v>
      </c>
      <c r="E312" s="4591">
        <f t="shared" si="65"/>
      </c>
      <c r="F312" s="4576" t="s">
        <v>4504</v>
      </c>
      <c r="G312" s="4609"/>
      <c r="H312" s="4591" t="s">
        <v>4316</v>
      </c>
      <c r="I312" s="4591" t="s">
        <v>4304</v>
      </c>
      <c r="J312" s="4568"/>
      <c r="K312" s="4572"/>
      <c r="L312" s="4572"/>
      <c r="M312" s="4572"/>
      <c r="N312" s="4572"/>
      <c r="O312" s="4572"/>
      <c r="P312" s="4572"/>
    </row>
    <row customHeight="true" ht="18.452380952380953" r="313">
      <c r="A313" s="4587" t="s">
        <v>4588</v>
      </c>
      <c r="B313" s="4573">
        <v>46250</v>
      </c>
      <c r="C313" s="4587" t="str">
        <v>Sunday</v>
      </c>
      <c r="D313" s="4567" t="s">
        <v>4343</v>
      </c>
      <c r="E313" s="4591">
        <f t="shared" si="65"/>
      </c>
      <c r="F313" s="4576" t="s">
        <v>4503</v>
      </c>
      <c r="G313" s="4609"/>
      <c r="H313" s="4591" t="s">
        <v>4316</v>
      </c>
      <c r="I313" s="4591" t="s">
        <v>4304</v>
      </c>
      <c r="J313" s="4568"/>
      <c r="K313" s="4572"/>
      <c r="L313" s="4572"/>
      <c r="M313" s="4572"/>
      <c r="N313" s="4572"/>
      <c r="O313" s="4572"/>
      <c r="P313" s="4572"/>
    </row>
    <row r="314">
      <c r="A314" s="4610"/>
      <c r="B314" s="4610"/>
      <c r="C314" s="4610"/>
      <c r="D314" s="4610"/>
      <c r="E314" s="4610"/>
      <c r="F314" s="4610"/>
      <c r="G314" s="4610"/>
      <c r="H314" s="4610"/>
      <c r="I314" s="4610"/>
      <c r="J314" s="4610"/>
      <c r="K314" s="4611"/>
      <c r="L314" s="4611"/>
      <c r="M314" s="4611"/>
      <c r="N314" s="4611"/>
      <c r="O314" s="4611"/>
      <c r="P314" s="4611"/>
    </row>
    <row r="315">
      <c r="A315" s="4779" t="s">
        <v>4597</v>
      </c>
      <c r="B315" s="4779"/>
      <c r="C315" s="4779"/>
      <c r="D315" s="4779"/>
      <c r="E315" s="4779"/>
      <c r="F315" s="4779"/>
      <c r="G315" s="4779"/>
      <c r="H315" s="4779"/>
      <c r="I315" s="4779"/>
      <c r="J315" s="4780"/>
      <c r="K315" s="4580"/>
      <c r="L315" s="4580"/>
      <c r="M315" s="4580"/>
      <c r="N315" s="4580"/>
      <c r="O315" s="4580"/>
      <c r="P315" s="4580"/>
    </row>
    <row r="316">
      <c r="A316" s="4781" t="s">
        <v>4318</v>
      </c>
      <c r="B316" s="4782" t="s">
        <v>4319</v>
      </c>
      <c r="C316" s="4782"/>
      <c r="D316" s="4783" t="s">
        <v>4320</v>
      </c>
      <c r="E316" s="4783" t="s">
        <v>4321</v>
      </c>
      <c r="F316" s="4783" t="s">
        <v>4322</v>
      </c>
      <c r="G316" s="4784" t="s">
        <v>4334</v>
      </c>
      <c r="H316" s="4783" t="s">
        <v>4324</v>
      </c>
      <c r="I316" s="4783" t="s">
        <v>4325</v>
      </c>
      <c r="J316" s="4785" t="s">
        <v>4326</v>
      </c>
      <c r="K316" s="4586"/>
      <c r="L316" s="4586"/>
      <c r="M316" s="4586"/>
      <c r="N316" s="4586"/>
      <c r="O316" s="4586"/>
      <c r="P316" s="4586"/>
    </row>
    <row r="317">
      <c r="A317" s="4587" t="s">
        <v>4597</v>
      </c>
      <c r="B317" s="4573">
        <v>46244</v>
      </c>
      <c r="C317" s="4587" t="str">
        <v>Monday</v>
      </c>
      <c r="D317" s="4567" t="s">
        <v>4412</v>
      </c>
      <c r="E317" s="4567">
        <f t="shared" ref="E317:E335" si="66">24*MOD(TIMEVALUE(TRIM(MID(D317,FIND("-",D317)+1,LEN(D317)))) - TIMEVALUE(TRIM(LEFT(D317,FIND("-",D317)-1))),1)</f>
      </c>
      <c r="F317" s="4761" t="s">
        <v>4411</v>
      </c>
      <c r="G317" s="4599"/>
      <c r="H317" s="4591"/>
      <c r="I317" s="4591" t="s">
        <v>4304</v>
      </c>
      <c r="J317" s="4568"/>
      <c r="K317" s="4572"/>
      <c r="L317" s="4572"/>
      <c r="M317" s="4572"/>
      <c r="N317" s="4572"/>
      <c r="O317" s="4572"/>
      <c r="P317" s="4572"/>
    </row>
    <row r="318">
      <c r="A318" s="4695" t="s">
        <v>4597</v>
      </c>
      <c r="B318" s="4696">
        <v>46245</v>
      </c>
      <c r="C318" s="4695" t="str">
        <v>Tuesday</v>
      </c>
      <c r="D318" s="4697" t="s">
        <v>4343</v>
      </c>
      <c r="E318" s="4567">
        <f t="shared" si="66"/>
      </c>
      <c r="F318" s="4786" t="s">
        <v>4503</v>
      </c>
      <c r="G318" s="4698"/>
      <c r="H318" s="4575"/>
      <c r="I318" s="4575" t="s">
        <v>4304</v>
      </c>
      <c r="J318" s="4767"/>
      <c r="K318" s="4760"/>
      <c r="L318" s="4760"/>
      <c r="M318" s="4760"/>
      <c r="N318" s="4760"/>
      <c r="O318" s="4760"/>
      <c r="P318" s="4760"/>
    </row>
    <row r="319">
      <c r="A319" s="4587" t="s">
        <v>4597</v>
      </c>
      <c r="B319" s="4573">
        <v>46246</v>
      </c>
      <c r="C319" s="4587" t="str">
        <v>Wednesday</v>
      </c>
      <c r="D319" s="4697" t="s">
        <v>4343</v>
      </c>
      <c r="E319" s="4567">
        <f t="shared" si="66"/>
      </c>
      <c r="F319" s="4761" t="s">
        <v>4411</v>
      </c>
      <c r="G319" s="4599"/>
      <c r="H319" s="4591"/>
      <c r="I319" s="4591" t="s">
        <v>4304</v>
      </c>
      <c r="J319" s="4568"/>
      <c r="K319" s="4572"/>
      <c r="L319" s="4572"/>
      <c r="M319" s="4572"/>
      <c r="N319" s="4572"/>
      <c r="O319" s="4572"/>
      <c r="P319" s="4572"/>
    </row>
    <row r="320">
      <c r="A320" s="4587" t="s">
        <v>4597</v>
      </c>
      <c r="B320" s="4573">
        <v>46247</v>
      </c>
      <c r="C320" s="4587" t="str">
        <v>Thursday</v>
      </c>
      <c r="D320" s="4697" t="s">
        <v>4343</v>
      </c>
      <c r="E320" s="4567">
        <f t="shared" si="66"/>
      </c>
      <c r="F320" s="4761" t="s">
        <v>4411</v>
      </c>
      <c r="G320" s="4599"/>
      <c r="H320" s="4591"/>
      <c r="I320" s="4591" t="s">
        <v>4304</v>
      </c>
      <c r="J320" s="4568"/>
      <c r="K320" s="4572"/>
      <c r="L320" s="4572"/>
      <c r="M320" s="4572"/>
      <c r="N320" s="4572"/>
      <c r="O320" s="4572"/>
      <c r="P320" s="4572"/>
    </row>
    <row customHeight="true" ht="22.61904761904762" r="321">
      <c r="A321" s="4587" t="s">
        <v>4597</v>
      </c>
      <c r="B321" s="4573">
        <v>46248</v>
      </c>
      <c r="C321" s="4587" t="str">
        <v>Friday</v>
      </c>
      <c r="D321" s="4697" t="s">
        <v>4491</v>
      </c>
      <c r="E321" s="4567">
        <f t="shared" si="66"/>
      </c>
      <c r="F321" s="4761" t="s">
        <v>4411</v>
      </c>
      <c r="G321" s="4599"/>
      <c r="H321" s="4591"/>
      <c r="I321" s="4591" t="s">
        <v>4304</v>
      </c>
      <c r="J321" s="4568"/>
      <c r="K321" s="4572"/>
      <c r="L321" s="4572"/>
      <c r="M321" s="4572"/>
      <c r="N321" s="4572"/>
      <c r="O321" s="4572"/>
      <c r="P321" s="4572"/>
    </row>
    <row customHeight="true" ht="18.452380952380953" r="322">
      <c r="A322" s="4587" t="s">
        <v>4597</v>
      </c>
      <c r="B322" s="4573">
        <v>46250</v>
      </c>
      <c r="C322" s="4587" t="str">
        <v>Sunday</v>
      </c>
      <c r="D322" s="4697" t="s">
        <v>4343</v>
      </c>
      <c r="E322" s="4567">
        <f t="shared" si="66"/>
      </c>
      <c r="F322" s="4761" t="s">
        <v>4411</v>
      </c>
      <c r="G322" s="4599"/>
      <c r="H322" s="4591"/>
      <c r="I322" s="4591" t="s">
        <v>4304</v>
      </c>
      <c r="J322" s="4568"/>
      <c r="K322" s="4572"/>
      <c r="L322" s="4572"/>
      <c r="M322" s="4572"/>
      <c r="N322" s="4572"/>
      <c r="O322" s="4572"/>
      <c r="P322" s="4572"/>
    </row>
    <row customHeight="true" ht="18.452380952380953" r="323">
      <c r="A323" s="4587" t="s">
        <v>4598</v>
      </c>
      <c r="B323" s="4573">
        <v>46248</v>
      </c>
      <c r="C323" s="4587" t="str">
        <v>Friday</v>
      </c>
      <c r="D323" s="4697" t="s">
        <v>4343</v>
      </c>
      <c r="E323" s="4567">
        <f t="shared" si="66"/>
      </c>
      <c r="F323" s="4761" t="s">
        <v>4411</v>
      </c>
      <c r="G323" s="4599"/>
      <c r="H323" s="4591"/>
      <c r="I323" s="4591" t="s">
        <v>4304</v>
      </c>
      <c r="J323" s="4568"/>
      <c r="K323" s="4572"/>
      <c r="L323" s="4572"/>
      <c r="M323" s="4572"/>
      <c r="N323" s="4572"/>
      <c r="O323" s="4572"/>
      <c r="P323" s="4572"/>
    </row>
    <row customHeight="true" ht="20.238095238095237" r="324">
      <c r="A324" s="4587" t="s">
        <v>4599</v>
      </c>
      <c r="B324" s="4573">
        <v>46244</v>
      </c>
      <c r="C324" s="4587" t="str">
        <v>Monday</v>
      </c>
      <c r="D324" s="4567" t="s">
        <v>4412</v>
      </c>
      <c r="E324" s="4567">
        <f t="shared" si="66"/>
      </c>
      <c r="F324" s="4571" t="s">
        <v>4503</v>
      </c>
      <c r="G324" s="4599"/>
      <c r="H324" s="4591"/>
      <c r="I324" s="4591" t="s">
        <v>4304</v>
      </c>
      <c r="J324" s="4568"/>
      <c r="K324" s="4572"/>
      <c r="L324" s="4572"/>
      <c r="M324" s="4572"/>
      <c r="N324" s="4572"/>
      <c r="O324" s="4572"/>
      <c r="P324" s="4572"/>
    </row>
    <row customHeight="true" ht="20.238095238095237" r="325">
      <c r="A325" s="4587" t="s">
        <v>4599</v>
      </c>
      <c r="B325" s="4573">
        <v>46245</v>
      </c>
      <c r="C325" s="4587" t="str">
        <v>Tuesday</v>
      </c>
      <c r="D325" s="4697" t="s">
        <v>4313</v>
      </c>
      <c r="E325" s="4567">
        <f t="shared" si="66"/>
      </c>
      <c r="F325" s="4576" t="s">
        <v>4490</v>
      </c>
      <c r="G325" s="4599"/>
      <c r="H325" s="4591"/>
      <c r="I325" s="4591" t="s">
        <v>4304</v>
      </c>
      <c r="J325" s="4709" t="s">
        <v>4600</v>
      </c>
      <c r="K325" s="4572"/>
      <c r="L325" s="4572"/>
      <c r="M325" s="4572"/>
      <c r="N325" s="4572"/>
      <c r="O325" s="4572"/>
      <c r="P325" s="4572"/>
    </row>
    <row customHeight="true" ht="20.238095238095237" r="326">
      <c r="A326" s="4587" t="s">
        <v>4599</v>
      </c>
      <c r="B326" s="4573">
        <v>46246</v>
      </c>
      <c r="C326" s="4587" t="str">
        <v>Wednesday</v>
      </c>
      <c r="D326" s="4567" t="s">
        <v>4601</v>
      </c>
      <c r="E326" s="4567">
        <f t="shared" si="66"/>
      </c>
      <c r="F326" s="4576" t="s">
        <v>4490</v>
      </c>
      <c r="G326" s="4599"/>
      <c r="H326" s="4591"/>
      <c r="I326" s="4591" t="s">
        <v>4304</v>
      </c>
      <c r="J326" s="4709" t="s">
        <v>4602</v>
      </c>
      <c r="K326" s="4572"/>
      <c r="L326" s="4572"/>
      <c r="M326" s="4572"/>
      <c r="N326" s="4572"/>
      <c r="O326" s="4572"/>
      <c r="P326" s="4572"/>
    </row>
    <row customHeight="true" ht="20.238095238095237" r="327">
      <c r="A327" s="4587" t="s">
        <v>4599</v>
      </c>
      <c r="B327" s="4573">
        <v>46247</v>
      </c>
      <c r="C327" s="4587" t="str">
        <v>Thursday</v>
      </c>
      <c r="D327" s="4697" t="s">
        <v>4603</v>
      </c>
      <c r="E327" s="4567">
        <f t="shared" si="66"/>
      </c>
      <c r="F327" s="4576" t="s">
        <v>4490</v>
      </c>
      <c r="G327" s="4599"/>
      <c r="H327" s="4591"/>
      <c r="I327" s="4591" t="s">
        <v>4304</v>
      </c>
      <c r="J327" s="4568"/>
      <c r="K327" s="4572"/>
      <c r="L327" s="4572"/>
      <c r="M327" s="4572"/>
      <c r="N327" s="4572"/>
      <c r="O327" s="4572"/>
      <c r="P327" s="4572"/>
    </row>
    <row customHeight="true" ht="20.238095238095237" r="328">
      <c r="A328" s="4587" t="s">
        <v>4599</v>
      </c>
      <c r="B328" s="4573">
        <v>46247</v>
      </c>
      <c r="C328" s="4587" t="str">
        <v>Thursday</v>
      </c>
      <c r="D328" s="4697" t="s">
        <v>4604</v>
      </c>
      <c r="E328" s="4567">
        <f t="shared" si="66"/>
      </c>
      <c r="F328" s="4576" t="s">
        <v>4490</v>
      </c>
      <c r="G328" s="4599"/>
      <c r="H328" s="4591"/>
      <c r="I328" s="4591" t="s">
        <v>4304</v>
      </c>
      <c r="J328" s="4709" t="s">
        <v>4605</v>
      </c>
      <c r="K328" s="4572"/>
      <c r="L328" s="4572"/>
      <c r="M328" s="4572"/>
      <c r="N328" s="4572"/>
      <c r="O328" s="4572"/>
      <c r="P328" s="4572"/>
    </row>
    <row customHeight="true" ht="20.238095238095237" r="329">
      <c r="A329" s="4587" t="s">
        <v>4599</v>
      </c>
      <c r="B329" s="4573">
        <v>46247</v>
      </c>
      <c r="C329" s="4587" t="str">
        <v>Thursday</v>
      </c>
      <c r="D329" s="4697" t="s">
        <v>4606</v>
      </c>
      <c r="E329" s="4567">
        <f t="shared" si="66"/>
      </c>
      <c r="F329" s="4576" t="s">
        <v>4503</v>
      </c>
      <c r="G329" s="4599"/>
      <c r="H329" s="4591"/>
      <c r="I329" s="4591" t="s">
        <v>4304</v>
      </c>
      <c r="J329" s="4568"/>
      <c r="K329" s="4572"/>
      <c r="L329" s="4572"/>
      <c r="M329" s="4572"/>
      <c r="N329" s="4572"/>
      <c r="O329" s="4572"/>
      <c r="P329" s="4572"/>
    </row>
    <row customHeight="true" ht="20.238095238095237" r="330">
      <c r="A330" s="4587" t="s">
        <v>4599</v>
      </c>
      <c r="B330" s="4573">
        <v>46248</v>
      </c>
      <c r="C330" s="4587" t="str">
        <v>Friday</v>
      </c>
      <c r="D330" s="4697" t="s">
        <v>4607</v>
      </c>
      <c r="E330" s="4567">
        <f t="shared" si="66"/>
      </c>
      <c r="F330" s="4576" t="s">
        <v>4490</v>
      </c>
      <c r="G330" s="4599"/>
      <c r="H330" s="4591"/>
      <c r="I330" s="4591" t="s">
        <v>4304</v>
      </c>
      <c r="J330" s="4709" t="s">
        <v>4608</v>
      </c>
      <c r="K330" s="4572"/>
      <c r="L330" s="4572"/>
      <c r="M330" s="4572"/>
      <c r="N330" s="4572"/>
      <c r="O330" s="4572"/>
      <c r="P330" s="4572"/>
    </row>
    <row customHeight="true" ht="20.238095238095237" r="331">
      <c r="A331" s="4587" t="s">
        <v>4599</v>
      </c>
      <c r="B331" s="4587">
        <v>46248</v>
      </c>
      <c r="C331" s="4587" t="str">
        <v>Friday</v>
      </c>
      <c r="D331" s="4567" t="s">
        <v>4609</v>
      </c>
      <c r="E331" s="4591">
        <f t="shared" si="66"/>
      </c>
      <c r="F331" s="4576" t="s">
        <v>4490</v>
      </c>
      <c r="G331" s="4609"/>
      <c r="H331" s="4591"/>
      <c r="I331" s="4591" t="s">
        <v>4304</v>
      </c>
      <c r="J331" s="4568"/>
      <c r="K331" s="4704"/>
      <c r="L331" s="4704"/>
      <c r="M331" s="4704"/>
      <c r="N331" s="4704"/>
      <c r="O331" s="4704"/>
      <c r="P331" s="4704"/>
      <c r="Q331" s="4610"/>
      <c r="R331" s="4610"/>
      <c r="S331" s="4610"/>
      <c r="T331" s="4610"/>
      <c r="U331" s="4610"/>
      <c r="V331" s="4610"/>
      <c r="W331" s="4610"/>
      <c r="X331" s="4610"/>
      <c r="Y331" s="4610"/>
    </row>
    <row customHeight="true" ht="20.238095238095237" r="332">
      <c r="A332" s="4587" t="s">
        <v>4599</v>
      </c>
      <c r="B332" s="4587">
        <v>46248</v>
      </c>
      <c r="C332" s="4587" t="str">
        <v>Friday</v>
      </c>
      <c r="D332" s="4567" t="s">
        <v>4491</v>
      </c>
      <c r="E332" s="4591">
        <f t="shared" si="66"/>
      </c>
      <c r="F332" s="4576" t="s">
        <v>4503</v>
      </c>
      <c r="G332" s="4609"/>
      <c r="H332" s="4591"/>
      <c r="I332" s="4591" t="s">
        <v>4304</v>
      </c>
      <c r="J332" s="4568"/>
      <c r="K332" s="4704"/>
      <c r="L332" s="4704"/>
      <c r="M332" s="4704"/>
      <c r="N332" s="4704"/>
      <c r="O332" s="4704"/>
      <c r="P332" s="4704"/>
      <c r="Q332" s="4610"/>
      <c r="R332" s="4610"/>
      <c r="S332" s="4610"/>
      <c r="T332" s="4610"/>
      <c r="U332" s="4610"/>
      <c r="V332" s="4610"/>
      <c r="W332" s="4610"/>
      <c r="X332" s="4610"/>
      <c r="Y332" s="4610"/>
    </row>
    <row customHeight="true" ht="20.238095238095237" r="333">
      <c r="A333" s="4587" t="s">
        <v>4599</v>
      </c>
      <c r="B333" s="4587">
        <v>46248</v>
      </c>
      <c r="C333" s="4587" t="str">
        <v>Friday</v>
      </c>
      <c r="D333" s="4567" t="s">
        <v>4343</v>
      </c>
      <c r="E333" s="4591">
        <f t="shared" si="66"/>
      </c>
      <c r="F333" s="4576" t="s">
        <v>4503</v>
      </c>
      <c r="G333" s="4609"/>
      <c r="H333" s="4591"/>
      <c r="I333" s="4591" t="s">
        <v>4304</v>
      </c>
      <c r="J333" s="4568"/>
      <c r="K333" s="4704"/>
      <c r="L333" s="4704"/>
      <c r="M333" s="4704"/>
      <c r="N333" s="4704"/>
      <c r="O333" s="4704"/>
      <c r="P333" s="4704"/>
      <c r="Q333" s="4610"/>
      <c r="R333" s="4610"/>
      <c r="S333" s="4610"/>
      <c r="T333" s="4610"/>
      <c r="U333" s="4610"/>
      <c r="V333" s="4610"/>
      <c r="W333" s="4610"/>
      <c r="X333" s="4610"/>
      <c r="Y333" s="4610"/>
    </row>
    <row customHeight="true" ht="20.238095238095237" r="334">
      <c r="A334" s="4587" t="s">
        <v>4599</v>
      </c>
      <c r="B334" s="4573">
        <v>46249</v>
      </c>
      <c r="C334" s="4587" t="str">
        <v>Saturday</v>
      </c>
      <c r="D334" s="4567" t="s">
        <v>4610</v>
      </c>
      <c r="E334" s="4591">
        <f t="shared" si="66"/>
      </c>
      <c r="F334" s="4576" t="s">
        <v>4490</v>
      </c>
      <c r="G334" s="4609"/>
      <c r="H334" s="4591"/>
      <c r="I334" s="4591" t="s">
        <v>4304</v>
      </c>
      <c r="J334" s="4709" t="s">
        <v>4611</v>
      </c>
      <c r="K334" s="4704"/>
      <c r="L334" s="4704"/>
      <c r="M334" s="4704"/>
      <c r="N334" s="4704"/>
      <c r="O334" s="4704"/>
      <c r="P334" s="4704"/>
      <c r="Q334" s="4610"/>
      <c r="R334" s="4610"/>
      <c r="S334" s="4610"/>
      <c r="T334" s="4610"/>
      <c r="U334" s="4610"/>
      <c r="V334" s="4610"/>
      <c r="W334" s="4610"/>
      <c r="X334" s="4610"/>
      <c r="Y334" s="4610"/>
    </row>
    <row customHeight="true" ht="20.238095238095237" r="335">
      <c r="A335" s="4587" t="s">
        <v>4599</v>
      </c>
      <c r="B335" s="4573">
        <v>46250</v>
      </c>
      <c r="C335" s="4587" t="str">
        <v>Sunday</v>
      </c>
      <c r="D335" s="4697" t="s">
        <v>4343</v>
      </c>
      <c r="E335" s="4567">
        <f t="shared" si="66"/>
      </c>
      <c r="F335" s="4576" t="s">
        <v>4361</v>
      </c>
      <c r="G335" s="4599"/>
      <c r="H335" s="4591"/>
      <c r="I335" s="4591" t="s">
        <v>4304</v>
      </c>
      <c r="J335" s="4568"/>
      <c r="K335" s="4572"/>
      <c r="L335" s="4572"/>
      <c r="M335" s="4572"/>
      <c r="N335" s="4572"/>
      <c r="O335" s="4572"/>
      <c r="P335" s="4572"/>
    </row>
    <row r="336">
      <c r="A336" s="4610"/>
      <c r="B336" s="4610"/>
      <c r="C336" s="4610"/>
      <c r="D336" s="4610"/>
      <c r="E336" s="4610"/>
      <c r="F336" s="4610"/>
      <c r="G336" s="4610"/>
      <c r="H336" s="4751"/>
      <c r="I336" s="4610"/>
      <c r="J336" s="4610"/>
      <c r="K336" s="4611"/>
      <c r="L336" s="4611"/>
      <c r="M336" s="4611"/>
      <c r="N336" s="4611"/>
      <c r="O336" s="4611"/>
      <c r="P336" s="4611"/>
    </row>
    <row customHeight="true" ht="16.071428571428573" r="337">
      <c r="A337" s="4610"/>
      <c r="B337" s="4610"/>
      <c r="C337" s="4610"/>
      <c r="D337" s="4610"/>
      <c r="E337" s="4610"/>
      <c r="F337" s="4610"/>
      <c r="G337" s="4610"/>
      <c r="H337" s="4751"/>
      <c r="I337" s="4610"/>
      <c r="J337" s="4610"/>
      <c r="K337" s="4611"/>
      <c r="L337" s="4611"/>
      <c r="M337" s="4611"/>
      <c r="N337" s="4611"/>
      <c r="O337" s="4611"/>
      <c r="P337" s="4611"/>
    </row>
    <row customHeight="true" ht="16.071428571428573" r="338">
      <c r="A338" s="4787" t="s">
        <v>4612</v>
      </c>
      <c r="B338" s="4788"/>
      <c r="C338" s="4788"/>
      <c r="D338" s="4788"/>
      <c r="E338" s="4788"/>
      <c r="F338" s="4788"/>
      <c r="G338" s="4788"/>
      <c r="H338" s="4789"/>
      <c r="I338" s="4788"/>
      <c r="J338" s="4788"/>
      <c r="K338" s="4611"/>
      <c r="L338" s="4611"/>
      <c r="M338" s="4611"/>
      <c r="N338" s="4611"/>
      <c r="O338" s="4611"/>
      <c r="P338" s="4611"/>
    </row>
    <row customHeight="true" ht="27.36318407963024" r="339">
      <c r="A339" s="4790" t="s">
        <v>4318</v>
      </c>
      <c r="B339" s="4791" t="s">
        <v>4319</v>
      </c>
      <c r="C339" s="4791"/>
      <c r="D339" s="4792" t="s">
        <v>4320</v>
      </c>
      <c r="E339" s="4793" t="s">
        <v>4321</v>
      </c>
      <c r="F339" s="4793" t="s">
        <v>4322</v>
      </c>
      <c r="G339" s="4794" t="s">
        <v>4334</v>
      </c>
      <c r="H339" s="4793" t="s">
        <v>4324</v>
      </c>
      <c r="I339" s="4793" t="s">
        <v>4325</v>
      </c>
      <c r="J339" s="4795" t="s">
        <v>4326</v>
      </c>
      <c r="K339" s="4586"/>
      <c r="L339" s="4586"/>
      <c r="M339" s="4586"/>
      <c r="N339" s="4586"/>
      <c r="O339" s="4586"/>
      <c r="P339" s="4586"/>
    </row>
    <row customHeight="true" ht="16.071428571428573" r="340">
      <c r="A340" s="4587" t="s">
        <v>4612</v>
      </c>
      <c r="B340" s="4587">
        <v>46244</v>
      </c>
      <c r="C340" s="4587" t="str">
        <v>Monday</v>
      </c>
      <c r="D340" s="4567" t="s">
        <v>4467</v>
      </c>
      <c r="E340" s="4567">
        <f t="shared" ref="E340:E365" si="67">24*MOD(TIMEVALUE(TRIM(MID(D340,FIND("-",D340)+1,LEN(D340)))) - TIMEVALUE(TRIM(LEFT(D340,FIND("-",D340)-1))),1)</f>
      </c>
      <c r="F340" s="4676" t="s">
        <v>4341</v>
      </c>
      <c r="G340" s="4796" t="s">
        <v>4576</v>
      </c>
      <c r="H340" s="4591" t="s">
        <v>4316</v>
      </c>
      <c r="I340" s="4591" t="s">
        <v>4332</v>
      </c>
      <c r="J340" s="4797"/>
      <c r="K340" s="4586"/>
      <c r="L340" s="4586"/>
      <c r="M340" s="4586"/>
      <c r="N340" s="4586"/>
      <c r="O340" s="4586"/>
      <c r="P340" s="4586"/>
    </row>
    <row customHeight="true" ht="16.071428571428573" r="341">
      <c r="A341" s="4587" t="s">
        <v>4612</v>
      </c>
      <c r="B341" s="4587">
        <v>46244</v>
      </c>
      <c r="C341" s="4587" t="str">
        <v>Monday</v>
      </c>
      <c r="D341" s="4567" t="s">
        <v>4517</v>
      </c>
      <c r="E341" s="4567">
        <f t="shared" si="67"/>
      </c>
      <c r="F341" s="4569" t="s">
        <v>4613</v>
      </c>
      <c r="G341" s="4796" t="s">
        <v>4576</v>
      </c>
      <c r="H341" s="4591" t="s">
        <v>4316</v>
      </c>
      <c r="I341" s="4591" t="s">
        <v>4332</v>
      </c>
      <c r="J341" s="4797"/>
      <c r="K341" s="4586"/>
      <c r="L341" s="4586"/>
      <c r="M341" s="4586"/>
      <c r="N341" s="4586"/>
      <c r="O341" s="4586"/>
      <c r="P341" s="4586"/>
    </row>
    <row customHeight="true" ht="16.071428571428573" r="342">
      <c r="A342" s="4587" t="s">
        <v>4612</v>
      </c>
      <c r="B342" s="4587">
        <v>46245</v>
      </c>
      <c r="C342" s="4587" t="str">
        <v>Tuesday</v>
      </c>
      <c r="D342" s="4567" t="s">
        <v>4414</v>
      </c>
      <c r="E342" s="4567">
        <f t="shared" si="67"/>
      </c>
      <c r="F342" s="4569" t="s">
        <v>4613</v>
      </c>
      <c r="G342" s="4796" t="s">
        <v>4576</v>
      </c>
      <c r="H342" s="4591" t="s">
        <v>4316</v>
      </c>
      <c r="I342" s="4591" t="s">
        <v>4332</v>
      </c>
      <c r="J342" s="4797"/>
      <c r="K342" s="4586"/>
      <c r="L342" s="4586"/>
      <c r="M342" s="4586"/>
      <c r="N342" s="4586"/>
      <c r="O342" s="4586"/>
      <c r="P342" s="4586"/>
    </row>
    <row customHeight="true" ht="16.071428571428573" r="343">
      <c r="A343" s="4587" t="s">
        <v>4612</v>
      </c>
      <c r="B343" s="4587">
        <v>46246</v>
      </c>
      <c r="C343" s="4587" t="str">
        <v>Wednesday</v>
      </c>
      <c r="D343" s="4567" t="s">
        <v>4414</v>
      </c>
      <c r="E343" s="4567">
        <f t="shared" si="67"/>
      </c>
      <c r="F343" s="4676" t="s">
        <v>4341</v>
      </c>
      <c r="G343" s="4796" t="s">
        <v>4576</v>
      </c>
      <c r="H343" s="4591" t="s">
        <v>4316</v>
      </c>
      <c r="I343" s="4591" t="s">
        <v>4332</v>
      </c>
      <c r="J343" s="4797"/>
      <c r="K343" s="4586"/>
      <c r="L343" s="4586"/>
      <c r="M343" s="4586"/>
      <c r="N343" s="4586"/>
      <c r="O343" s="4586"/>
      <c r="P343" s="4586"/>
    </row>
    <row customHeight="true" ht="16.071428571428573" r="344">
      <c r="A344" s="4587" t="s">
        <v>4612</v>
      </c>
      <c r="B344" s="4587">
        <v>46247</v>
      </c>
      <c r="C344" s="4587" t="str">
        <v>Thursday</v>
      </c>
      <c r="D344" s="4567" t="s">
        <v>4414</v>
      </c>
      <c r="E344" s="4567">
        <f t="shared" si="67"/>
      </c>
      <c r="F344" s="4676" t="s">
        <v>4341</v>
      </c>
      <c r="G344" s="4796" t="s">
        <v>4576</v>
      </c>
      <c r="H344" s="4591" t="s">
        <v>4316</v>
      </c>
      <c r="I344" s="4591" t="s">
        <v>4332</v>
      </c>
      <c r="J344" s="4797"/>
      <c r="K344" s="4586"/>
      <c r="L344" s="4586"/>
      <c r="M344" s="4586"/>
      <c r="N344" s="4586"/>
      <c r="O344" s="4586"/>
      <c r="P344" s="4586"/>
    </row>
    <row customHeight="true" ht="16.071428571428573" r="345">
      <c r="A345" s="4587" t="s">
        <v>4612</v>
      </c>
      <c r="B345" s="4587">
        <v>46248</v>
      </c>
      <c r="C345" s="4587" t="str">
        <v>Friday</v>
      </c>
      <c r="D345" s="4567" t="s">
        <v>4467</v>
      </c>
      <c r="E345" s="4567">
        <f t="shared" si="67"/>
      </c>
      <c r="F345" s="4676" t="s">
        <v>4341</v>
      </c>
      <c r="G345" s="4796" t="s">
        <v>4576</v>
      </c>
      <c r="H345" s="4591" t="s">
        <v>4316</v>
      </c>
      <c r="I345" s="4591" t="s">
        <v>4332</v>
      </c>
      <c r="J345" s="4797"/>
      <c r="K345" s="4586"/>
      <c r="L345" s="4586"/>
      <c r="M345" s="4586"/>
      <c r="N345" s="4586"/>
      <c r="O345" s="4586"/>
      <c r="P345" s="4586"/>
    </row>
    <row customHeight="true" ht="16.071428571428573" r="346">
      <c r="A346" s="4587" t="s">
        <v>4612</v>
      </c>
      <c r="B346" s="4587">
        <v>46248</v>
      </c>
      <c r="C346" s="4587" t="str">
        <v>Friday</v>
      </c>
      <c r="D346" s="4567" t="s">
        <v>4517</v>
      </c>
      <c r="E346" s="4567">
        <f t="shared" si="67"/>
      </c>
      <c r="F346" s="4569" t="s">
        <v>4613</v>
      </c>
      <c r="G346" s="4796" t="s">
        <v>4576</v>
      </c>
      <c r="H346" s="4591" t="s">
        <v>4316</v>
      </c>
      <c r="I346" s="4591" t="s">
        <v>4332</v>
      </c>
      <c r="J346" s="4797"/>
      <c r="K346" s="4586"/>
      <c r="L346" s="4586"/>
      <c r="M346" s="4586"/>
      <c r="N346" s="4586"/>
      <c r="O346" s="4586"/>
      <c r="P346" s="4586"/>
    </row>
    <row customHeight="true" ht="16.071428571428573" r="347">
      <c r="A347" s="4587" t="s">
        <v>4612</v>
      </c>
      <c r="B347" s="4573">
        <v>46249</v>
      </c>
      <c r="C347" s="4587" t="str">
        <v>Saturday</v>
      </c>
      <c r="D347" s="4567" t="s">
        <v>4414</v>
      </c>
      <c r="E347" s="4567">
        <f t="shared" si="67"/>
      </c>
      <c r="F347" s="4569" t="s">
        <v>4444</v>
      </c>
      <c r="G347" s="4796" t="s">
        <v>4557</v>
      </c>
      <c r="H347" s="4591" t="s">
        <v>4316</v>
      </c>
      <c r="I347" s="4591" t="s">
        <v>4304</v>
      </c>
      <c r="J347" s="4797"/>
      <c r="K347" s="4586"/>
      <c r="L347" s="4586"/>
      <c r="M347" s="4586"/>
      <c r="N347" s="4586"/>
      <c r="O347" s="4586"/>
      <c r="P347" s="4586"/>
    </row>
    <row customHeight="true" ht="16.071428571428573" r="348">
      <c r="A348" s="4587" t="s">
        <v>4612</v>
      </c>
      <c r="B348" s="4587">
        <v>46250</v>
      </c>
      <c r="C348" s="4587" t="str">
        <v>Sunday</v>
      </c>
      <c r="D348" s="4567" t="s">
        <v>4414</v>
      </c>
      <c r="E348" s="4567">
        <f t="shared" si="67"/>
      </c>
      <c r="F348" s="4676" t="s">
        <v>4416</v>
      </c>
      <c r="G348" s="4796" t="s">
        <v>4557</v>
      </c>
      <c r="H348" s="4591" t="s">
        <v>4316</v>
      </c>
      <c r="I348" s="4591" t="s">
        <v>4332</v>
      </c>
      <c r="J348" s="4797"/>
      <c r="K348" s="4586"/>
      <c r="L348" s="4586"/>
      <c r="M348" s="4586"/>
      <c r="N348" s="4586"/>
      <c r="O348" s="4586"/>
      <c r="P348" s="4586"/>
    </row>
    <row customHeight="true" ht="16.071428571428573" r="349">
      <c r="A349" s="4587" t="s">
        <v>4614</v>
      </c>
      <c r="B349" s="4573">
        <v>46246</v>
      </c>
      <c r="C349" s="4587" t="str">
        <v>Wednesday</v>
      </c>
      <c r="D349" s="4567" t="s">
        <v>4518</v>
      </c>
      <c r="E349" s="4567">
        <f t="shared" si="67"/>
      </c>
      <c r="F349" s="4676" t="s">
        <v>4416</v>
      </c>
      <c r="G349" s="4796" t="s">
        <v>4576</v>
      </c>
      <c r="H349" s="4591" t="s">
        <v>4316</v>
      </c>
      <c r="I349" s="4591" t="s">
        <v>4304</v>
      </c>
      <c r="J349" s="4796" t="s">
        <v>4615</v>
      </c>
      <c r="K349" s="4798"/>
      <c r="L349" s="4798"/>
      <c r="M349" s="4798"/>
      <c r="N349" s="4798"/>
      <c r="O349" s="4798"/>
      <c r="P349" s="4798"/>
    </row>
    <row customHeight="true" ht="16.071428571428573" r="350">
      <c r="A350" s="4587" t="s">
        <v>4616</v>
      </c>
      <c r="B350" s="4587">
        <v>46244</v>
      </c>
      <c r="C350" s="4587" t="str">
        <v>Monday</v>
      </c>
      <c r="D350" s="4567" t="s">
        <v>4414</v>
      </c>
      <c r="E350" s="4567">
        <f t="shared" si="67"/>
      </c>
      <c r="F350" s="4576" t="s">
        <v>4450</v>
      </c>
      <c r="G350" s="4799"/>
      <c r="H350" s="4591" t="s">
        <v>4316</v>
      </c>
      <c r="I350" s="4591" t="s">
        <v>4304</v>
      </c>
      <c r="J350" s="4709"/>
      <c r="K350" s="4586"/>
      <c r="L350" s="4586"/>
      <c r="M350" s="4586"/>
      <c r="N350" s="4586"/>
      <c r="O350" s="4586"/>
      <c r="P350" s="4586"/>
    </row>
    <row customHeight="true" ht="16.071428571428573" r="351">
      <c r="A351" s="4587" t="s">
        <v>4616</v>
      </c>
      <c r="B351" s="4587">
        <v>46245</v>
      </c>
      <c r="C351" s="4587" t="str">
        <v>Tuesday</v>
      </c>
      <c r="D351" s="4567" t="s">
        <v>4414</v>
      </c>
      <c r="E351" s="4567">
        <f t="shared" si="67"/>
      </c>
      <c r="F351" s="4576" t="s">
        <v>4450</v>
      </c>
      <c r="G351" s="4799"/>
      <c r="H351" s="4591" t="s">
        <v>4316</v>
      </c>
      <c r="I351" s="4591" t="s">
        <v>4304</v>
      </c>
      <c r="J351" s="4709"/>
      <c r="K351" s="4586"/>
      <c r="L351" s="4586"/>
      <c r="M351" s="4586"/>
      <c r="N351" s="4586"/>
      <c r="O351" s="4586"/>
      <c r="P351" s="4586"/>
    </row>
    <row customHeight="true" ht="16.071428571428573" r="352">
      <c r="A352" s="4587" t="s">
        <v>4616</v>
      </c>
      <c r="B352" s="4587">
        <v>46246</v>
      </c>
      <c r="C352" s="4587" t="str">
        <v>Wednesday</v>
      </c>
      <c r="D352" s="4567" t="s">
        <v>4414</v>
      </c>
      <c r="E352" s="4567">
        <f t="shared" si="67"/>
      </c>
      <c r="F352" s="4576" t="s">
        <v>4450</v>
      </c>
      <c r="G352" s="4799"/>
      <c r="H352" s="4591" t="s">
        <v>4316</v>
      </c>
      <c r="I352" s="4591" t="s">
        <v>4304</v>
      </c>
      <c r="J352" s="4709" t="s">
        <v>4617</v>
      </c>
      <c r="K352" s="4586"/>
      <c r="L352" s="4586"/>
      <c r="M352" s="4586"/>
      <c r="N352" s="4586"/>
      <c r="O352" s="4586"/>
      <c r="P352" s="4586"/>
    </row>
    <row customHeight="true" ht="16.071428571428573" r="353">
      <c r="A353" s="4587" t="s">
        <v>4616</v>
      </c>
      <c r="B353" s="4587">
        <v>46247</v>
      </c>
      <c r="C353" s="4587" t="str">
        <v>Thursday</v>
      </c>
      <c r="D353" s="4567" t="s">
        <v>4429</v>
      </c>
      <c r="E353" s="4567">
        <f t="shared" si="67"/>
      </c>
      <c r="F353" s="4576" t="s">
        <v>4447</v>
      </c>
      <c r="G353" s="4799"/>
      <c r="H353" s="4591" t="s">
        <v>4316</v>
      </c>
      <c r="I353" s="4591" t="s">
        <v>4304</v>
      </c>
      <c r="J353" s="4709" t="s">
        <v>4618</v>
      </c>
      <c r="K353" s="4586"/>
      <c r="L353" s="4586"/>
      <c r="M353" s="4586"/>
      <c r="N353" s="4586"/>
      <c r="O353" s="4586"/>
      <c r="P353" s="4586"/>
    </row>
    <row customHeight="true" ht="16.071428571428573" r="354">
      <c r="A354" s="4587" t="s">
        <v>4616</v>
      </c>
      <c r="B354" s="4587">
        <v>46247</v>
      </c>
      <c r="C354" s="4587" t="str">
        <v>Thursday</v>
      </c>
      <c r="D354" s="4567" t="s">
        <v>4414</v>
      </c>
      <c r="E354" s="4567">
        <f t="shared" si="67"/>
      </c>
      <c r="F354" s="4576" t="s">
        <v>4450</v>
      </c>
      <c r="G354" s="4799"/>
      <c r="H354" s="4591" t="s">
        <v>4316</v>
      </c>
      <c r="I354" s="4591" t="s">
        <v>4332</v>
      </c>
      <c r="J354" s="4800" t="s">
        <v>4619</v>
      </c>
      <c r="K354" s="4586"/>
      <c r="L354" s="4586"/>
      <c r="M354" s="4586"/>
      <c r="N354" s="4586"/>
      <c r="O354" s="4586"/>
      <c r="P354" s="4586"/>
    </row>
    <row customHeight="true" ht="16.071428571428573" r="355">
      <c r="A355" s="4587" t="s">
        <v>4616</v>
      </c>
      <c r="B355" s="4587">
        <v>46248</v>
      </c>
      <c r="C355" s="4587" t="str">
        <v>Friday</v>
      </c>
      <c r="D355" s="4567" t="s">
        <v>4414</v>
      </c>
      <c r="E355" s="4567">
        <f t="shared" si="67"/>
      </c>
      <c r="F355" s="4576" t="s">
        <v>4450</v>
      </c>
      <c r="G355" s="4799"/>
      <c r="H355" s="4591" t="s">
        <v>4316</v>
      </c>
      <c r="I355" s="4591" t="s">
        <v>4332</v>
      </c>
      <c r="J355" s="4709"/>
      <c r="K355" s="4586"/>
      <c r="L355" s="4586"/>
      <c r="M355" s="4586"/>
      <c r="N355" s="4586"/>
      <c r="O355" s="4586"/>
      <c r="P355" s="4586"/>
    </row>
    <row customHeight="true" ht="16.071428571428573" r="356">
      <c r="A356" s="4587" t="s">
        <v>4616</v>
      </c>
      <c r="B356" s="4587">
        <v>46244</v>
      </c>
      <c r="C356" s="4587" t="str">
        <v>Monday</v>
      </c>
      <c r="D356" s="4567" t="s">
        <v>4587</v>
      </c>
      <c r="E356" s="4567">
        <f t="shared" si="67"/>
      </c>
      <c r="F356" s="4576" t="s">
        <v>4450</v>
      </c>
      <c r="G356" s="4799"/>
      <c r="H356" s="4591" t="s">
        <v>4316</v>
      </c>
      <c r="I356" s="4591" t="s">
        <v>4332</v>
      </c>
      <c r="J356" s="4709" t="s">
        <v>4620</v>
      </c>
      <c r="K356" s="4586"/>
      <c r="L356" s="4586"/>
      <c r="M356" s="4586"/>
      <c r="N356" s="4586"/>
      <c r="O356" s="4586"/>
      <c r="P356" s="4586"/>
    </row>
    <row customHeight="true" ht="16.071428571428573" r="357">
      <c r="A357" s="4587" t="s">
        <v>4616</v>
      </c>
      <c r="B357" s="4587">
        <v>46245</v>
      </c>
      <c r="C357" s="4587" t="str">
        <v>Tuesday</v>
      </c>
      <c r="D357" s="4567" t="s">
        <v>4535</v>
      </c>
      <c r="E357" s="4567">
        <f t="shared" si="67"/>
      </c>
      <c r="F357" s="4576" t="s">
        <v>4450</v>
      </c>
      <c r="G357" s="4799"/>
      <c r="H357" s="4591" t="s">
        <v>4316</v>
      </c>
      <c r="I357" s="4591" t="s">
        <v>4332</v>
      </c>
      <c r="J357" s="4709" t="s">
        <v>4621</v>
      </c>
      <c r="K357" s="4586"/>
      <c r="L357" s="4586"/>
      <c r="M357" s="4586"/>
      <c r="N357" s="4586"/>
      <c r="O357" s="4586"/>
      <c r="P357" s="4586"/>
    </row>
    <row customHeight="true" ht="16.071428571428573" r="358">
      <c r="A358" s="4587" t="s">
        <v>4616</v>
      </c>
      <c r="B358" s="4587">
        <v>46246</v>
      </c>
      <c r="C358" s="4587" t="str">
        <v>Wednesday</v>
      </c>
      <c r="D358" s="4567" t="s">
        <v>4587</v>
      </c>
      <c r="E358" s="4567">
        <f t="shared" si="67"/>
      </c>
      <c r="F358" s="4576" t="s">
        <v>4450</v>
      </c>
      <c r="G358" s="4799"/>
      <c r="H358" s="4591" t="s">
        <v>4316</v>
      </c>
      <c r="I358" s="4591" t="s">
        <v>4332</v>
      </c>
      <c r="J358" s="4709" t="s">
        <v>4622</v>
      </c>
      <c r="K358" s="4586"/>
      <c r="L358" s="4586"/>
      <c r="M358" s="4586"/>
      <c r="N358" s="4586"/>
      <c r="O358" s="4586"/>
      <c r="P358" s="4586"/>
    </row>
    <row customHeight="true" ht="16.071428571428573" r="359">
      <c r="A359" s="4587" t="s">
        <v>4616</v>
      </c>
      <c r="B359" s="4587">
        <v>46247</v>
      </c>
      <c r="C359" s="4587" t="str">
        <v>Thursday</v>
      </c>
      <c r="D359" s="4567" t="s">
        <v>4587</v>
      </c>
      <c r="E359" s="4567">
        <f t="shared" si="67"/>
      </c>
      <c r="F359" s="4576" t="s">
        <v>4450</v>
      </c>
      <c r="G359" s="4799"/>
      <c r="H359" s="4591" t="s">
        <v>4316</v>
      </c>
      <c r="I359" s="4591" t="s">
        <v>4332</v>
      </c>
      <c r="J359" s="4709" t="s">
        <v>4623</v>
      </c>
      <c r="K359" s="4586"/>
      <c r="L359" s="4586"/>
      <c r="M359" s="4586"/>
      <c r="N359" s="4586"/>
      <c r="O359" s="4586"/>
      <c r="P359" s="4586"/>
    </row>
    <row customHeight="true" ht="16.071428571428573" r="360">
      <c r="A360" s="4587" t="s">
        <v>4616</v>
      </c>
      <c r="B360" s="4587">
        <v>46248</v>
      </c>
      <c r="C360" s="4587" t="str">
        <v>Friday</v>
      </c>
      <c r="D360" s="4567" t="s">
        <v>4587</v>
      </c>
      <c r="E360" s="4567">
        <f t="shared" si="67"/>
      </c>
      <c r="F360" s="4576" t="s">
        <v>4450</v>
      </c>
      <c r="G360" s="4799"/>
      <c r="H360" s="4591" t="s">
        <v>4316</v>
      </c>
      <c r="I360" s="4591" t="s">
        <v>4332</v>
      </c>
      <c r="J360" s="4709" t="s">
        <v>4624</v>
      </c>
      <c r="K360" s="4586"/>
      <c r="L360" s="4586"/>
      <c r="M360" s="4586"/>
      <c r="N360" s="4586"/>
      <c r="O360" s="4586"/>
      <c r="P360" s="4586"/>
    </row>
    <row customHeight="true" ht="16.071428571428573" r="361">
      <c r="A361" s="4587" t="s">
        <v>4616</v>
      </c>
      <c r="B361" s="4587">
        <v>46249</v>
      </c>
      <c r="C361" s="4587" t="str">
        <v>Saturday</v>
      </c>
      <c r="D361" s="4567" t="s">
        <v>4414</v>
      </c>
      <c r="E361" s="4567">
        <f t="shared" si="67"/>
      </c>
      <c r="F361" s="4576" t="s">
        <v>4526</v>
      </c>
      <c r="G361" s="4799"/>
      <c r="H361" s="4591" t="s">
        <v>4316</v>
      </c>
      <c r="I361" s="4591" t="s">
        <v>4332</v>
      </c>
      <c r="J361" s="4797"/>
      <c r="K361" s="4586"/>
      <c r="L361" s="4586"/>
      <c r="M361" s="4586"/>
      <c r="N361" s="4586"/>
      <c r="O361" s="4586"/>
      <c r="P361" s="4586"/>
    </row>
    <row customHeight="true" ht="16.071428571428573" r="362">
      <c r="A362" s="4587" t="s">
        <v>4616</v>
      </c>
      <c r="B362" s="4587">
        <v>46250</v>
      </c>
      <c r="C362" s="4587" t="str">
        <v>Sunday</v>
      </c>
      <c r="D362" s="4567" t="s">
        <v>4414</v>
      </c>
      <c r="E362" s="4567">
        <f t="shared" si="67"/>
      </c>
      <c r="F362" s="4576" t="s">
        <v>4526</v>
      </c>
      <c r="G362" s="4799"/>
      <c r="H362" s="4591" t="s">
        <v>4316</v>
      </c>
      <c r="I362" s="4591" t="s">
        <v>4332</v>
      </c>
      <c r="J362" s="4797"/>
      <c r="K362" s="4586"/>
      <c r="L362" s="4586"/>
      <c r="M362" s="4586"/>
      <c r="N362" s="4586"/>
      <c r="O362" s="4586"/>
      <c r="P362" s="4586"/>
    </row>
    <row customHeight="true" ht="16.071428571428573" r="363">
      <c r="A363" s="4587" t="s">
        <v>4614</v>
      </c>
      <c r="B363" s="4587">
        <v>46245</v>
      </c>
      <c r="C363" s="4587" t="str">
        <v>Tuesday</v>
      </c>
      <c r="D363" s="4567" t="s">
        <v>4625</v>
      </c>
      <c r="E363" s="4567">
        <f t="shared" si="67"/>
      </c>
      <c r="F363" s="4576" t="s">
        <v>4526</v>
      </c>
      <c r="G363" s="4799"/>
      <c r="H363" s="4591" t="s">
        <v>4316</v>
      </c>
      <c r="I363" s="4591" t="s">
        <v>4332</v>
      </c>
      <c r="J363" s="4797"/>
      <c r="K363" s="4586"/>
      <c r="L363" s="4586"/>
      <c r="M363" s="4586"/>
      <c r="N363" s="4586"/>
      <c r="O363" s="4586"/>
      <c r="P363" s="4586"/>
    </row>
    <row customHeight="true" ht="16.071428571428573" r="364">
      <c r="A364" s="4587" t="s">
        <v>4614</v>
      </c>
      <c r="B364" s="4587">
        <v>46245</v>
      </c>
      <c r="C364" s="4587" t="str">
        <v>Tuesday</v>
      </c>
      <c r="D364" s="4567" t="s">
        <v>4626</v>
      </c>
      <c r="E364" s="4567">
        <f t="shared" si="67"/>
      </c>
      <c r="F364" s="4569" t="s">
        <v>4444</v>
      </c>
      <c r="G364" s="4799"/>
      <c r="H364" s="4591" t="s">
        <v>4316</v>
      </c>
      <c r="I364" s="4591" t="s">
        <v>4304</v>
      </c>
      <c r="J364" s="4801" t="s">
        <v>4627</v>
      </c>
      <c r="K364" s="4586"/>
      <c r="L364" s="4586"/>
      <c r="M364" s="4586"/>
      <c r="N364" s="4586"/>
      <c r="O364" s="4586"/>
      <c r="P364" s="4586"/>
    </row>
    <row customHeight="true" ht="16.071428571428573" r="365">
      <c r="A365" s="4587" t="s">
        <v>4614</v>
      </c>
      <c r="B365" s="4587">
        <v>46245</v>
      </c>
      <c r="C365" s="4587" t="str">
        <v>Tuesday</v>
      </c>
      <c r="D365" s="4567" t="s">
        <v>4628</v>
      </c>
      <c r="E365" s="4567">
        <f t="shared" si="67"/>
      </c>
      <c r="F365" s="4676" t="s">
        <v>4341</v>
      </c>
      <c r="G365" s="4799"/>
      <c r="H365" s="4591" t="s">
        <v>4316</v>
      </c>
      <c r="I365" s="4591" t="s">
        <v>4332</v>
      </c>
      <c r="J365" s="4802" t="s">
        <v>4627</v>
      </c>
      <c r="K365" s="4586"/>
      <c r="L365" s="4586"/>
      <c r="M365" s="4586"/>
      <c r="N365" s="4586"/>
      <c r="O365" s="4586"/>
      <c r="P365" s="4586"/>
    </row>
    <row customHeight="true" ht="16.071428571428573" r="366">
      <c r="A366" s="4587"/>
      <c r="B366" s="4573"/>
      <c r="C366" s="4587"/>
      <c r="D366" s="4567"/>
      <c r="E366" s="4571"/>
      <c r="F366" s="4571"/>
      <c r="G366" s="4700"/>
      <c r="H366" s="4571"/>
      <c r="I366" s="4591"/>
      <c r="J366" s="4701"/>
      <c r="K366" s="4572"/>
      <c r="L366" s="4572"/>
      <c r="M366" s="4572"/>
      <c r="N366" s="4572"/>
      <c r="O366" s="4572"/>
      <c r="P366" s="4572"/>
    </row>
    <row customHeight="true" ht="16.071428571428573" r="367">
      <c r="A367" s="4587"/>
      <c r="B367" s="4573"/>
      <c r="C367" s="4587"/>
      <c r="D367" s="4668"/>
      <c r="E367" s="4668"/>
      <c r="F367" s="4591"/>
      <c r="G367" s="4700"/>
      <c r="H367" s="4571"/>
      <c r="I367" s="4591"/>
      <c r="J367" s="4701"/>
      <c r="K367" s="4572"/>
      <c r="L367" s="4572"/>
      <c r="M367" s="4572"/>
      <c r="N367" s="4572"/>
      <c r="O367" s="4572"/>
      <c r="P367" s="4572"/>
    </row>
    <row customHeight="true" ht="16.071428571428573" r="368">
      <c r="A368" s="4587"/>
      <c r="B368" s="4573"/>
      <c r="C368" s="4587"/>
      <c r="D368" s="4668"/>
      <c r="E368" s="4668"/>
      <c r="F368" s="4591"/>
      <c r="G368" s="4700"/>
      <c r="H368" s="4571"/>
      <c r="I368" s="4591"/>
      <c r="J368" s="4701"/>
      <c r="K368" s="4572"/>
      <c r="L368" s="4572"/>
      <c r="M368" s="4572"/>
      <c r="N368" s="4572"/>
      <c r="O368" s="4572"/>
      <c r="P368" s="4572"/>
    </row>
    <row r="369">
      <c r="A369" s="4803" t="s">
        <v>4629</v>
      </c>
      <c r="B369" s="4804"/>
      <c r="C369" s="4804"/>
      <c r="D369" s="4804"/>
      <c r="E369" s="4805"/>
      <c r="F369" s="4804"/>
      <c r="G369" s="4805"/>
      <c r="H369" s="4804"/>
      <c r="I369" s="4804"/>
      <c r="J369" s="4806"/>
      <c r="K369" s="4580"/>
      <c r="L369" s="4580"/>
      <c r="M369" s="4580"/>
      <c r="N369" s="4580"/>
      <c r="O369" s="4580"/>
      <c r="P369" s="4580"/>
    </row>
    <row r="370">
      <c r="A370" s="4807" t="s">
        <v>4318</v>
      </c>
      <c r="B370" s="4808" t="s">
        <v>4319</v>
      </c>
      <c r="C370" s="4808"/>
      <c r="D370" s="4809" t="s">
        <v>4320</v>
      </c>
      <c r="E370" s="4810" t="s">
        <v>4321</v>
      </c>
      <c r="F370" s="4810" t="s">
        <v>4322</v>
      </c>
      <c r="G370" s="4811" t="s">
        <v>4334</v>
      </c>
      <c r="H370" s="4812" t="s">
        <v>4324</v>
      </c>
      <c r="I370" s="4812" t="s">
        <v>4325</v>
      </c>
      <c r="J370" s="4813" t="s">
        <v>4326</v>
      </c>
      <c r="K370" s="4586"/>
      <c r="L370" s="4586"/>
      <c r="M370" s="4586"/>
      <c r="N370" s="4586"/>
      <c r="O370" s="4586"/>
      <c r="P370" s="4586"/>
    </row>
    <row r="371">
      <c r="A371" s="4587" t="s">
        <v>4630</v>
      </c>
      <c r="B371" s="4573">
        <v>46247</v>
      </c>
      <c r="C371" s="4587" t="str">
        <v>Thursday</v>
      </c>
      <c r="D371" s="4567" t="s">
        <v>4497</v>
      </c>
      <c r="E371" s="4668">
        <v>3</v>
      </c>
      <c r="F371" s="4571" t="s">
        <v>4631</v>
      </c>
      <c r="G371" s="4700" t="s">
        <v>4632</v>
      </c>
      <c r="H371" s="4571" t="s">
        <v>4303</v>
      </c>
      <c r="I371" s="4591" t="s">
        <v>4304</v>
      </c>
      <c r="J371" s="4701"/>
      <c r="K371" s="4572"/>
      <c r="L371" s="4572"/>
      <c r="M371" s="4572"/>
      <c r="N371" s="4572"/>
      <c r="O371" s="4572"/>
      <c r="P371" s="4572"/>
    </row>
    <row r="372">
      <c r="A372" s="4587" t="s">
        <v>4630</v>
      </c>
      <c r="B372" s="4573">
        <v>46248</v>
      </c>
      <c r="C372" s="4587" t="str">
        <v>Friday</v>
      </c>
      <c r="D372" s="4668" t="s">
        <v>4633</v>
      </c>
      <c r="E372" s="4668">
        <v>3</v>
      </c>
      <c r="F372" s="4591" t="s">
        <v>4634</v>
      </c>
      <c r="G372" s="4700" t="s">
        <v>4632</v>
      </c>
      <c r="H372" s="4571" t="s">
        <v>4303</v>
      </c>
      <c r="I372" s="4591" t="s">
        <v>4304</v>
      </c>
      <c r="J372" s="4701"/>
      <c r="K372" s="4572"/>
      <c r="L372" s="4572"/>
      <c r="M372" s="4572"/>
      <c r="N372" s="4572"/>
      <c r="O372" s="4572"/>
      <c r="P372" s="4572"/>
    </row>
    <row r="373">
      <c r="A373" s="4587" t="s">
        <v>4630</v>
      </c>
      <c r="B373" s="4573">
        <v>46249</v>
      </c>
      <c r="C373" s="4587" t="str">
        <v>Saturday</v>
      </c>
      <c r="D373" s="4668" t="s">
        <v>4635</v>
      </c>
      <c r="E373" s="4668">
        <v>3</v>
      </c>
      <c r="F373" s="4571" t="s">
        <v>4631</v>
      </c>
      <c r="G373" s="4700" t="s">
        <v>4632</v>
      </c>
      <c r="H373" s="4571" t="s">
        <v>4303</v>
      </c>
      <c r="I373" s="4591" t="s">
        <v>4304</v>
      </c>
      <c r="J373" s="4701"/>
      <c r="K373" s="4572"/>
      <c r="L373" s="4572"/>
      <c r="M373" s="4572"/>
      <c r="N373" s="4572"/>
      <c r="O373" s="4572"/>
      <c r="P373" s="4572"/>
    </row>
    <row r="374">
      <c r="A374" s="4587"/>
      <c r="B374" s="4573"/>
      <c r="C374" s="4587"/>
      <c r="D374" s="4567"/>
      <c r="E374" s="4571"/>
      <c r="F374" s="4571"/>
      <c r="G374" s="4700"/>
      <c r="H374" s="4571"/>
      <c r="I374" s="4591"/>
      <c r="J374" s="4701"/>
      <c r="K374" s="4572"/>
      <c r="L374" s="4572"/>
      <c r="M374" s="4572"/>
      <c r="N374" s="4572"/>
      <c r="O374" s="4572"/>
      <c r="P374" s="4572"/>
    </row>
    <row r="375">
      <c r="A375" s="4587" t="s">
        <v>4636</v>
      </c>
      <c r="B375" s="4573">
        <v>46245</v>
      </c>
      <c r="C375" s="4587" t="str">
        <v>Tuesday</v>
      </c>
      <c r="D375" s="4668" t="s">
        <v>4637</v>
      </c>
      <c r="E375" s="4668">
        <f t="shared" ref="E375:E376" si="68">24*MOD(TIMEVALUE(TRIM(MID(D375,FIND("-",D375)+1,LEN(D375)))) - TIMEVALUE(TRIM(LEFT(D375,FIND("-",D375)-1))),1)</f>
      </c>
      <c r="F375" s="4591" t="s">
        <v>4634</v>
      </c>
      <c r="G375" s="4700" t="s">
        <v>4632</v>
      </c>
      <c r="H375" s="4571" t="s">
        <v>4316</v>
      </c>
      <c r="I375" s="4591" t="s">
        <v>4304</v>
      </c>
      <c r="J375" s="4701"/>
      <c r="K375" s="4572"/>
      <c r="L375" s="4572"/>
      <c r="M375" s="4572"/>
      <c r="N375" s="4572"/>
      <c r="O375" s="4572"/>
      <c r="P375" s="4572"/>
    </row>
    <row r="376">
      <c r="A376" s="4587" t="s">
        <v>4636</v>
      </c>
      <c r="B376" s="4573">
        <v>46246</v>
      </c>
      <c r="C376" s="4587" t="str">
        <v>Wednesday</v>
      </c>
      <c r="D376" s="4668" t="s">
        <v>4638</v>
      </c>
      <c r="E376" s="4668">
        <f t="shared" si="68"/>
      </c>
      <c r="F376" s="4591" t="s">
        <v>4634</v>
      </c>
      <c r="G376" s="4700" t="s">
        <v>4632</v>
      </c>
      <c r="H376" s="4571" t="s">
        <v>4316</v>
      </c>
      <c r="I376" s="4591" t="s">
        <v>4304</v>
      </c>
      <c r="J376" s="4701"/>
      <c r="K376" s="4572"/>
      <c r="L376" s="4572"/>
      <c r="M376" s="4572"/>
      <c r="N376" s="4572"/>
      <c r="O376" s="4572"/>
      <c r="P376" s="4572"/>
    </row>
    <row r="377">
      <c r="A377" s="4587" t="s">
        <v>4636</v>
      </c>
      <c r="B377" s="4573">
        <v>46246</v>
      </c>
      <c r="C377" s="4587" t="str">
        <v>Wednesday</v>
      </c>
      <c r="D377" s="4668" t="s">
        <v>4639</v>
      </c>
      <c r="E377" s="4668">
        <v>2</v>
      </c>
      <c r="F377" s="4571" t="s">
        <v>4631</v>
      </c>
      <c r="G377" s="4700" t="s">
        <v>4632</v>
      </c>
      <c r="H377" s="4571" t="s">
        <v>4303</v>
      </c>
      <c r="I377" s="4591" t="s">
        <v>4304</v>
      </c>
      <c r="J377" s="4701"/>
      <c r="K377" s="4572"/>
      <c r="L377" s="4572"/>
      <c r="M377" s="4572"/>
      <c r="N377" s="4572"/>
      <c r="O377" s="4572"/>
      <c r="P377" s="4572"/>
    </row>
    <row customHeight="true" ht="18.452380952380953" r="378">
      <c r="A378" s="4587" t="s">
        <v>4636</v>
      </c>
      <c r="B378" s="4573">
        <v>46247</v>
      </c>
      <c r="C378" s="4587" t="str">
        <v>Thursday</v>
      </c>
      <c r="D378" s="4668" t="s">
        <v>4640</v>
      </c>
      <c r="E378" s="4668">
        <v>1</v>
      </c>
      <c r="F378" s="4571" t="s">
        <v>4631</v>
      </c>
      <c r="G378" s="4700"/>
      <c r="H378" s="4571"/>
      <c r="I378" s="4591"/>
      <c r="J378" s="4701"/>
      <c r="K378" s="4572"/>
      <c r="L378" s="4572"/>
      <c r="M378" s="4572"/>
      <c r="N378" s="4572"/>
      <c r="O378" s="4572"/>
      <c r="P378" s="4572"/>
    </row>
    <row r="379">
      <c r="A379" s="4687" t="s">
        <v>4636</v>
      </c>
      <c r="B379" s="4688">
        <v>46246</v>
      </c>
      <c r="C379" s="4687" t="str">
        <v>Wednesday</v>
      </c>
      <c r="D379" s="4689" t="s">
        <v>4641</v>
      </c>
      <c r="E379" s="4689">
        <f>24*MOD(TIMEVALUE(TRIM(MID(D379,FIND("-",D379)+1,LEN(D379)))) - TIMEVALUE(TRIM(LEFT(D379,FIND("-",D379)-1))),1)</f>
      </c>
      <c r="F379" s="4732" t="s">
        <v>4482</v>
      </c>
      <c r="G379" s="4691" t="s">
        <v>4632</v>
      </c>
      <c r="H379" s="4690" t="s">
        <v>4316</v>
      </c>
      <c r="I379" s="4690" t="s">
        <v>4304</v>
      </c>
      <c r="J379" s="4733"/>
      <c r="K379" s="4693"/>
      <c r="L379" s="4693"/>
      <c r="M379" s="4693"/>
      <c r="N379" s="4693"/>
      <c r="O379" s="4693"/>
      <c r="P379" s="4693"/>
      <c r="Q379" s="4694"/>
      <c r="R379" s="4694"/>
      <c r="S379" s="4694"/>
      <c r="T379" s="4694"/>
      <c r="U379" s="4694"/>
      <c r="V379" s="4694"/>
      <c r="W379" s="4694"/>
      <c r="X379" s="4694"/>
      <c r="Y379" s="4694"/>
    </row>
    <row r="380">
      <c r="A380" s="4587"/>
      <c r="B380" s="4573"/>
      <c r="C380" s="4587"/>
      <c r="D380" s="4668"/>
      <c r="E380" s="4668"/>
      <c r="F380" s="4730"/>
      <c r="G380" s="4700"/>
      <c r="H380" s="4571"/>
      <c r="I380" s="4591"/>
      <c r="J380" s="4701"/>
      <c r="K380" s="4572"/>
      <c r="L380" s="4572"/>
      <c r="M380" s="4572"/>
      <c r="N380" s="4572"/>
      <c r="O380" s="4572"/>
      <c r="P380" s="4572"/>
    </row>
    <row r="381">
      <c r="A381" s="4587" t="s">
        <v>4642</v>
      </c>
      <c r="B381" s="4573">
        <v>46247</v>
      </c>
      <c r="C381" s="4587" t="str">
        <v>Thursday</v>
      </c>
      <c r="D381" s="4668" t="s">
        <v>4643</v>
      </c>
      <c r="E381" s="4668">
        <v>3</v>
      </c>
      <c r="F381" s="4591" t="s">
        <v>4549</v>
      </c>
      <c r="G381" s="4700" t="s">
        <v>4632</v>
      </c>
      <c r="H381" s="4571" t="s">
        <v>4303</v>
      </c>
      <c r="I381" s="4591" t="s">
        <v>4304</v>
      </c>
      <c r="J381" s="4701"/>
      <c r="K381" s="4572"/>
      <c r="L381" s="4572"/>
      <c r="M381" s="4572"/>
      <c r="N381" s="4572"/>
      <c r="O381" s="4572"/>
      <c r="P381" s="4572"/>
    </row>
    <row r="382">
      <c r="A382" s="4587" t="s">
        <v>4642</v>
      </c>
      <c r="B382" s="4573">
        <v>46248</v>
      </c>
      <c r="C382" s="4587" t="str">
        <v>Friday</v>
      </c>
      <c r="D382" s="4668" t="s">
        <v>4462</v>
      </c>
      <c r="E382" s="4668">
        <v>3</v>
      </c>
      <c r="F382" s="4571" t="s">
        <v>4422</v>
      </c>
      <c r="G382" s="4700" t="s">
        <v>4632</v>
      </c>
      <c r="H382" s="4571" t="s">
        <v>4303</v>
      </c>
      <c r="I382" s="4591" t="s">
        <v>4304</v>
      </c>
      <c r="J382" s="4701"/>
      <c r="K382" s="4572"/>
      <c r="L382" s="4572"/>
      <c r="M382" s="4572"/>
      <c r="N382" s="4572"/>
      <c r="O382" s="4572"/>
      <c r="P382" s="4572"/>
    </row>
    <row customHeight="true" ht="16.071428571428573" r="383">
      <c r="A383" s="4587"/>
      <c r="B383" s="4573"/>
      <c r="C383" s="4587"/>
      <c r="D383" s="4668"/>
      <c r="E383" s="4668"/>
      <c r="F383" s="4730"/>
      <c r="G383" s="4700"/>
      <c r="H383" s="4571"/>
      <c r="I383" s="4591"/>
      <c r="J383" s="4701"/>
      <c r="K383" s="4572"/>
      <c r="L383" s="4572"/>
      <c r="M383" s="4572"/>
      <c r="N383" s="4572"/>
      <c r="O383" s="4572"/>
      <c r="P383" s="4572"/>
    </row>
    <row customHeight="true" ht="16.071428571428573" r="384">
      <c r="A384" s="4814" t="s">
        <v>4644</v>
      </c>
      <c r="B384" s="4815"/>
      <c r="C384" s="4815"/>
      <c r="D384" s="4815"/>
      <c r="E384" s="4815"/>
      <c r="F384" s="4815"/>
      <c r="G384" s="4815"/>
      <c r="H384" s="4816"/>
      <c r="I384" s="4815"/>
      <c r="J384" s="4815"/>
      <c r="K384" s="4611"/>
      <c r="L384" s="4611"/>
      <c r="M384" s="4611"/>
      <c r="N384" s="4611"/>
      <c r="O384" s="4611"/>
      <c r="P384" s="4611"/>
    </row>
    <row customHeight="true" ht="25" r="385">
      <c r="A385" s="4817" t="s">
        <v>4318</v>
      </c>
      <c r="B385" s="4818" t="s">
        <v>4319</v>
      </c>
      <c r="C385" s="4818"/>
      <c r="D385" s="4819" t="s">
        <v>4320</v>
      </c>
      <c r="E385" s="4820" t="s">
        <v>4321</v>
      </c>
      <c r="F385" s="4820" t="s">
        <v>4322</v>
      </c>
      <c r="G385" s="4821" t="s">
        <v>4334</v>
      </c>
      <c r="H385" s="4820" t="s">
        <v>4324</v>
      </c>
      <c r="I385" s="4820" t="s">
        <v>4325</v>
      </c>
      <c r="J385" s="4822" t="s">
        <v>4326</v>
      </c>
      <c r="K385" s="4586"/>
      <c r="L385" s="4586"/>
      <c r="M385" s="4586"/>
      <c r="N385" s="4586"/>
      <c r="O385" s="4586"/>
      <c r="P385" s="4586"/>
    </row>
    <row customHeight="true" ht="17.261904761904763" r="386">
      <c r="A386" s="4695" t="s">
        <v>4645</v>
      </c>
      <c r="B386" s="4696">
        <v>46244</v>
      </c>
      <c r="C386" s="4696" t="s">
        <v>4305</v>
      </c>
      <c r="D386" s="4697" t="s">
        <v>4543</v>
      </c>
      <c r="E386" s="4697">
        <v>2</v>
      </c>
      <c r="F386" s="4575" t="s">
        <v>4646</v>
      </c>
      <c r="G386" s="4698" t="s">
        <v>4647</v>
      </c>
      <c r="H386" s="4575" t="s">
        <v>4316</v>
      </c>
      <c r="I386" s="4575" t="s">
        <v>4304</v>
      </c>
      <c r="J386" s="4575"/>
      <c r="K386" s="4572"/>
      <c r="L386" s="4572"/>
      <c r="M386" s="4572"/>
      <c r="N386" s="4572"/>
      <c r="O386" s="4572"/>
      <c r="P386" s="4572"/>
      <c r="Q386" s="4572"/>
      <c r="R386" s="4572"/>
      <c r="S386" s="4572"/>
      <c r="T386" s="4572"/>
      <c r="U386" s="4611"/>
      <c r="V386" s="4611"/>
      <c r="W386" s="4611"/>
      <c r="X386" s="4611"/>
      <c r="Y386" s="4611"/>
    </row>
    <row customHeight="true" ht="17.261904761904763" r="387">
      <c r="A387" s="4695"/>
      <c r="B387" s="4696"/>
      <c r="C387" s="4695"/>
      <c r="D387" s="4697"/>
      <c r="E387" s="4575"/>
      <c r="F387" s="4575"/>
      <c r="G387" s="4708"/>
      <c r="H387" s="4575"/>
      <c r="I387" s="4575"/>
      <c r="J387" s="4575"/>
      <c r="K387" s="4572"/>
      <c r="L387" s="4572"/>
      <c r="M387" s="4572"/>
      <c r="N387" s="4572"/>
      <c r="O387" s="4572"/>
      <c r="P387" s="4572"/>
      <c r="Q387" s="4572"/>
      <c r="R387" s="4572"/>
      <c r="S387" s="4572"/>
      <c r="T387" s="4572"/>
      <c r="U387" s="4611"/>
      <c r="V387" s="4611"/>
      <c r="W387" s="4611"/>
      <c r="X387" s="4611"/>
      <c r="Y387" s="4611"/>
    </row>
    <row customHeight="true" ht="17.261904761904763" r="388">
      <c r="A388" s="4695"/>
      <c r="B388" s="4696"/>
      <c r="C388" s="4695"/>
      <c r="D388" s="4697"/>
      <c r="E388" s="4575"/>
      <c r="F388" s="4575"/>
      <c r="G388" s="4708"/>
      <c r="H388" s="4575"/>
      <c r="I388" s="4575"/>
      <c r="J388" s="4575"/>
      <c r="K388" s="4572"/>
      <c r="L388" s="4572"/>
      <c r="M388" s="4572"/>
      <c r="N388" s="4572"/>
      <c r="O388" s="4572"/>
      <c r="P388" s="4572"/>
      <c r="Q388" s="4572"/>
      <c r="R388" s="4572"/>
      <c r="S388" s="4572"/>
      <c r="T388" s="4572"/>
      <c r="U388" s="4611"/>
      <c r="V388" s="4611"/>
      <c r="W388" s="4611"/>
      <c r="X388" s="4611"/>
      <c r="Y388" s="4611"/>
    </row>
    <row customHeight="true" ht="17.261904761904763" r="389">
      <c r="A389" s="4695"/>
      <c r="B389" s="4696"/>
      <c r="C389" s="4695"/>
      <c r="D389" s="4697"/>
      <c r="E389" s="4575"/>
      <c r="F389" s="4575"/>
      <c r="G389" s="4708"/>
      <c r="H389" s="4575"/>
      <c r="I389" s="4575"/>
      <c r="J389" s="4575"/>
      <c r="K389" s="4572"/>
      <c r="L389" s="4572"/>
      <c r="M389" s="4572"/>
      <c r="N389" s="4572"/>
      <c r="O389" s="4572"/>
      <c r="P389" s="4572"/>
      <c r="Q389" s="4572"/>
      <c r="R389" s="4572"/>
      <c r="S389" s="4572"/>
      <c r="T389" s="4572"/>
      <c r="U389" s="4611"/>
      <c r="V389" s="4611"/>
      <c r="W389" s="4611"/>
      <c r="X389" s="4611"/>
      <c r="Y389" s="4611"/>
    </row>
    <row customHeight="true" ht="17.261904761904763" r="390">
      <c r="A390" s="4695"/>
      <c r="B390" s="4696"/>
      <c r="C390" s="4695"/>
      <c r="D390" s="4697"/>
      <c r="E390" s="4575"/>
      <c r="F390" s="4575"/>
      <c r="G390" s="4708"/>
      <c r="H390" s="4575"/>
      <c r="I390" s="4575"/>
      <c r="J390" s="4575"/>
      <c r="K390" s="4572"/>
      <c r="L390" s="4572"/>
      <c r="M390" s="4572"/>
      <c r="N390" s="4572"/>
      <c r="O390" s="4572"/>
      <c r="P390" s="4572"/>
      <c r="Q390" s="4572"/>
      <c r="R390" s="4572"/>
      <c r="S390" s="4572"/>
      <c r="T390" s="4572"/>
      <c r="U390" s="4611"/>
      <c r="V390" s="4611"/>
      <c r="W390" s="4611"/>
      <c r="X390" s="4611"/>
      <c r="Y390" s="4611"/>
    </row>
    <row customHeight="true" ht="17.633928571428573" r="391">
      <c r="A391" s="4695"/>
      <c r="B391" s="4696"/>
      <c r="C391" s="4695"/>
      <c r="D391" s="4697"/>
      <c r="E391" s="4575"/>
      <c r="F391" s="4575"/>
      <c r="G391" s="4698"/>
      <c r="H391" s="4575"/>
      <c r="I391" s="4575"/>
      <c r="J391" s="4823"/>
      <c r="K391" s="4572"/>
      <c r="L391" s="4572"/>
      <c r="M391" s="4572"/>
      <c r="N391" s="4572"/>
      <c r="O391" s="4572"/>
      <c r="P391" s="4572"/>
      <c r="Q391" s="4640"/>
      <c r="R391" s="4640"/>
      <c r="S391" s="4640"/>
      <c r="T391" s="4640"/>
      <c r="U391" s="4640"/>
      <c r="V391" s="4640"/>
      <c r="W391" s="4640"/>
      <c r="X391" s="4640"/>
      <c r="Y391" s="4640"/>
    </row>
    <row customHeight="true" ht="16.071428571428573" r="392">
      <c r="A392" s="4824" t="s">
        <v>4648</v>
      </c>
      <c r="B392" s="4602"/>
      <c r="C392" s="4601"/>
      <c r="D392" s="4603"/>
      <c r="E392" s="4604"/>
      <c r="F392" s="4604"/>
      <c r="G392" s="4825"/>
      <c r="H392" s="4604"/>
      <c r="I392" s="4604"/>
      <c r="J392" s="4606"/>
      <c r="K392" s="4607"/>
      <c r="L392" s="4607"/>
      <c r="M392" s="4607"/>
      <c r="N392" s="4607"/>
      <c r="O392" s="4607"/>
      <c r="P392" s="4607"/>
      <c r="Q392" s="4608"/>
      <c r="R392" s="4608"/>
      <c r="S392" s="4608"/>
      <c r="T392" s="4608"/>
      <c r="U392" s="4608"/>
      <c r="V392" s="4608"/>
      <c r="W392" s="4608"/>
      <c r="X392" s="4608"/>
      <c r="Y392" s="4608"/>
    </row>
    <row customHeight="true" ht="35.714285714277054" r="393">
      <c r="A393" s="4826" t="s">
        <v>4318</v>
      </c>
      <c r="B393" s="4827" t="s">
        <v>4319</v>
      </c>
      <c r="C393" s="4827"/>
      <c r="D393" s="4828" t="s">
        <v>4320</v>
      </c>
      <c r="E393" s="4829" t="s">
        <v>4321</v>
      </c>
      <c r="F393" s="4829" t="s">
        <v>4322</v>
      </c>
      <c r="G393" s="4830" t="s">
        <v>4334</v>
      </c>
      <c r="H393" s="4829" t="s">
        <v>4324</v>
      </c>
      <c r="I393" s="4829" t="s">
        <v>4325</v>
      </c>
      <c r="J393" s="4831" t="s">
        <v>4326</v>
      </c>
      <c r="K393" s="4832"/>
      <c r="L393" s="4832"/>
      <c r="M393" s="4832"/>
      <c r="N393" s="4832"/>
      <c r="O393" s="4832"/>
      <c r="P393" s="4832"/>
      <c r="Q393" s="4608"/>
      <c r="R393" s="4608"/>
      <c r="S393" s="4608"/>
      <c r="T393" s="4608"/>
      <c r="U393" s="4608"/>
      <c r="V393" s="4608"/>
      <c r="W393" s="4608"/>
      <c r="X393" s="4608"/>
      <c r="Y393" s="4608"/>
    </row>
    <row customHeight="true" ht="16.071428571428573" r="394">
      <c r="A394" s="4695"/>
      <c r="B394" s="4696"/>
      <c r="C394" s="4695"/>
      <c r="D394" s="4697"/>
      <c r="E394" s="4575"/>
      <c r="F394" s="4575"/>
      <c r="G394" s="4698"/>
      <c r="H394" s="4575"/>
      <c r="I394" s="4575"/>
      <c r="J394" s="4823"/>
      <c r="K394" s="4572"/>
      <c r="L394" s="4572"/>
      <c r="M394" s="4572"/>
      <c r="N394" s="4572"/>
      <c r="O394" s="4572"/>
      <c r="P394" s="4572"/>
      <c r="Q394" s="4640"/>
      <c r="R394" s="4640"/>
      <c r="S394" s="4640"/>
      <c r="T394" s="4640"/>
      <c r="U394" s="4640"/>
      <c r="V394" s="4640"/>
      <c r="W394" s="4640"/>
      <c r="X394" s="4640"/>
      <c r="Y394" s="4640"/>
    </row>
    <row customHeight="true" ht="16.071428571428573" r="395">
      <c r="A395" s="4587"/>
      <c r="B395" s="4573"/>
      <c r="C395" s="4587"/>
      <c r="D395" s="4668"/>
      <c r="E395" s="4668"/>
      <c r="F395" s="4591"/>
      <c r="G395" s="4700"/>
      <c r="H395" s="4571"/>
      <c r="I395" s="4591"/>
      <c r="J395" s="4701"/>
      <c r="K395" s="4572"/>
      <c r="L395" s="4572"/>
      <c r="M395" s="4572"/>
      <c r="N395" s="4572"/>
      <c r="O395" s="4572"/>
      <c r="P395" s="4572"/>
    </row>
    <row customHeight="true" ht="16.071428571428573" r="396">
      <c r="A396" s="4587"/>
      <c r="B396" s="4573"/>
      <c r="C396" s="4587"/>
      <c r="D396" s="4668"/>
      <c r="E396" s="4668"/>
      <c r="F396" s="4571"/>
      <c r="G396" s="4700"/>
      <c r="H396" s="4571"/>
      <c r="I396" s="4591"/>
      <c r="J396" s="4701"/>
      <c r="K396" s="4572"/>
      <c r="L396" s="4572"/>
      <c r="M396" s="4572"/>
      <c r="N396" s="4572"/>
      <c r="O396" s="4572"/>
      <c r="P396" s="4572"/>
    </row>
    <row customHeight="true" ht="16.071428571428573" r="397">
      <c r="A397" s="4833" t="s">
        <v>4649</v>
      </c>
      <c r="B397" s="4834"/>
      <c r="C397" s="4835"/>
      <c r="D397" s="4836"/>
      <c r="E397" s="4837"/>
      <c r="F397" s="4837"/>
      <c r="G397" s="4838" t="s">
        <v>4632</v>
      </c>
      <c r="H397" s="4837" t="s">
        <v>4316</v>
      </c>
      <c r="I397" s="4837" t="s">
        <v>4304</v>
      </c>
      <c r="J397" s="4839"/>
      <c r="K397" s="4840"/>
      <c r="L397" s="4840"/>
      <c r="M397" s="4840"/>
      <c r="N397" s="4840"/>
      <c r="O397" s="4840"/>
      <c r="P397" s="4840"/>
      <c r="Q397" s="4841"/>
      <c r="R397" s="4841"/>
      <c r="S397" s="4841"/>
      <c r="T397" s="4841"/>
      <c r="U397" s="4841"/>
      <c r="V397" s="4841"/>
      <c r="W397" s="4841"/>
      <c r="X397" s="4841"/>
      <c r="Y397" s="4841"/>
    </row>
    <row customHeight="true" ht="32.39795918367734" r="398">
      <c r="A398" s="4842" t="s">
        <v>4318</v>
      </c>
      <c r="B398" s="4843" t="s">
        <v>4319</v>
      </c>
      <c r="C398" s="4843"/>
      <c r="D398" s="4844" t="s">
        <v>4320</v>
      </c>
      <c r="E398" s="4845" t="s">
        <v>4321</v>
      </c>
      <c r="F398" s="4845" t="s">
        <v>4322</v>
      </c>
      <c r="G398" s="4846" t="s">
        <v>4334</v>
      </c>
      <c r="H398" s="4845" t="s">
        <v>4324</v>
      </c>
      <c r="I398" s="4845" t="s">
        <v>4325</v>
      </c>
      <c r="J398" s="4847" t="s">
        <v>4326</v>
      </c>
      <c r="K398" s="4848"/>
      <c r="L398" s="4848"/>
      <c r="M398" s="4848"/>
      <c r="N398" s="4848"/>
      <c r="O398" s="4848"/>
      <c r="P398" s="4848"/>
      <c r="Q398" s="4841"/>
      <c r="R398" s="4841"/>
      <c r="S398" s="4841"/>
      <c r="T398" s="4841"/>
      <c r="U398" s="4841"/>
      <c r="V398" s="4841"/>
      <c r="W398" s="4841"/>
      <c r="X398" s="4841"/>
      <c r="Y398" s="4841"/>
    </row>
    <row customHeight="true" ht="16.071428571428573" r="399">
      <c r="A399" s="4695" t="s">
        <v>4650</v>
      </c>
      <c r="B399" s="4573">
        <v>46248</v>
      </c>
      <c r="C399" s="4587" t="str">
        <v>Friday</v>
      </c>
      <c r="D399" s="4668" t="s">
        <v>4462</v>
      </c>
      <c r="E399" s="4668">
        <v>3</v>
      </c>
      <c r="F399" s="4591" t="s">
        <v>4361</v>
      </c>
      <c r="G399" s="4700" t="s">
        <v>4632</v>
      </c>
      <c r="H399" s="4575" t="s">
        <v>4316</v>
      </c>
      <c r="I399" s="4575" t="s">
        <v>4304</v>
      </c>
      <c r="J399" s="4823"/>
      <c r="K399" s="4572"/>
      <c r="L399" s="4572"/>
      <c r="M399" s="4572"/>
      <c r="N399" s="4572"/>
      <c r="O399" s="4572"/>
      <c r="P399" s="4572"/>
      <c r="Q399" s="4640"/>
      <c r="R399" s="4640"/>
      <c r="S399" s="4640"/>
      <c r="T399" s="4640"/>
      <c r="U399" s="4640"/>
      <c r="V399" s="4640"/>
      <c r="W399" s="4640"/>
      <c r="X399" s="4640"/>
      <c r="Y399" s="4640"/>
    </row>
    <row customHeight="true" ht="16.071428571428573" r="400">
      <c r="A400" s="4695"/>
      <c r="B400" s="4573"/>
      <c r="C400" s="4587"/>
      <c r="D400" s="4668"/>
      <c r="E400" s="4668"/>
      <c r="F400" s="4571"/>
      <c r="G400" s="4700"/>
      <c r="H400" s="4571"/>
      <c r="I400" s="4591"/>
      <c r="J400" s="4701"/>
      <c r="K400" s="4572"/>
      <c r="L400" s="4572"/>
      <c r="M400" s="4572"/>
      <c r="N400" s="4572"/>
      <c r="O400" s="4572"/>
      <c r="P400" s="4572"/>
    </row>
    <row customHeight="true" ht="16.071428571428573" r="401">
      <c r="A401" s="4695"/>
      <c r="B401" s="4573"/>
      <c r="C401" s="4587"/>
      <c r="D401" s="4668"/>
      <c r="E401" s="4668"/>
      <c r="F401" s="4571"/>
      <c r="G401" s="4700"/>
      <c r="H401" s="4571"/>
      <c r="I401" s="4591"/>
      <c r="J401" s="4701"/>
      <c r="K401" s="4572"/>
      <c r="L401" s="4572"/>
      <c r="M401" s="4572"/>
      <c r="N401" s="4572"/>
      <c r="O401" s="4572"/>
      <c r="P401" s="4572"/>
    </row>
    <row customHeight="true" ht="16.071428571428573" r="402">
      <c r="A402" s="4695"/>
      <c r="B402" s="4573"/>
      <c r="C402" s="4587"/>
      <c r="D402" s="4668"/>
      <c r="E402" s="4668"/>
      <c r="F402" s="4571"/>
      <c r="G402" s="4700"/>
      <c r="H402" s="4571"/>
      <c r="I402" s="4591"/>
      <c r="J402" s="4701"/>
      <c r="K402" s="4572"/>
      <c r="L402" s="4572"/>
      <c r="M402" s="4572"/>
      <c r="N402" s="4572"/>
      <c r="O402" s="4572"/>
      <c r="P402" s="4572"/>
    </row>
    <row customHeight="true" ht="16.071428571428573" r="403">
      <c r="A403" s="4695"/>
      <c r="B403" s="4587"/>
      <c r="C403" s="4587"/>
      <c r="D403" s="4571"/>
      <c r="E403" s="4571"/>
      <c r="F403" s="4571"/>
      <c r="G403" s="4703"/>
      <c r="H403" s="4571"/>
      <c r="I403" s="4591"/>
      <c r="J403" s="4701"/>
      <c r="K403" s="4572"/>
      <c r="L403" s="4572"/>
      <c r="M403" s="4572"/>
      <c r="N403" s="4572"/>
      <c r="O403" s="4572"/>
      <c r="P403" s="4572"/>
    </row>
    <row customHeight="true" ht="16.071428571428573" r="404">
      <c r="A404" s="4610"/>
      <c r="B404" s="4610"/>
      <c r="C404" s="4610"/>
      <c r="D404" s="4610"/>
      <c r="E404" s="4610"/>
      <c r="F404" s="4610"/>
      <c r="G404" s="4610"/>
      <c r="H404" s="4751"/>
      <c r="I404" s="4610"/>
      <c r="J404" s="4610"/>
      <c r="K404" s="4611"/>
      <c r="L404" s="4611"/>
      <c r="M404" s="4611"/>
      <c r="N404" s="4611"/>
      <c r="O404" s="4611"/>
      <c r="P404" s="4611"/>
    </row>
    <row r="405">
      <c r="A405" s="4849" t="s">
        <v>4651</v>
      </c>
      <c r="B405" s="4849"/>
      <c r="C405" s="4849"/>
      <c r="D405" s="4849"/>
      <c r="E405" s="4849"/>
      <c r="F405" s="4849"/>
      <c r="G405" s="4849"/>
      <c r="H405" s="4849"/>
      <c r="I405" s="4849"/>
      <c r="J405" s="4850"/>
      <c r="K405" s="4580"/>
      <c r="L405" s="4580"/>
      <c r="M405" s="4580"/>
      <c r="N405" s="4580"/>
      <c r="O405" s="4580"/>
      <c r="P405" s="4580"/>
    </row>
    <row r="406">
      <c r="A406" s="4851" t="s">
        <v>4318</v>
      </c>
      <c r="B406" s="4724" t="s">
        <v>4319</v>
      </c>
      <c r="C406" s="4724"/>
      <c r="D406" s="4726" t="s">
        <v>4320</v>
      </c>
      <c r="E406" s="4852" t="s">
        <v>4321</v>
      </c>
      <c r="F406" s="4852" t="s">
        <v>4322</v>
      </c>
      <c r="G406" s="4853" t="s">
        <v>4334</v>
      </c>
      <c r="H406" s="4852" t="s">
        <v>4324</v>
      </c>
      <c r="I406" s="4852" t="s">
        <v>4325</v>
      </c>
      <c r="J406" s="4729" t="s">
        <v>4326</v>
      </c>
      <c r="K406" s="4586"/>
      <c r="L406" s="4586"/>
      <c r="M406" s="4586"/>
      <c r="N406" s="4586"/>
      <c r="O406" s="4586"/>
      <c r="P406" s="4586"/>
    </row>
    <row r="407">
      <c r="A407" s="4587" t="s">
        <v>4652</v>
      </c>
      <c r="B407" s="4573">
        <v>46244</v>
      </c>
      <c r="C407" s="4587" t="str">
        <v>Monday</v>
      </c>
      <c r="D407" s="4567" t="s">
        <v>4519</v>
      </c>
      <c r="E407" s="4571">
        <f t="shared" ref="E407:E416" si="69">24*MOD(TIMEVALUE(TRIM(MID(D407,FIND("-",D407)+1,LEN(D407)))) - TIMEVALUE(TRIM(LEFT(D407,FIND("-",D407)-1))),1)</f>
      </c>
      <c r="F407" s="4591" t="s">
        <v>4397</v>
      </c>
      <c r="G407" s="4700" t="s">
        <v>4653</v>
      </c>
      <c r="H407" s="4571" t="s">
        <v>4316</v>
      </c>
      <c r="I407" s="4620" t="s">
        <v>4304</v>
      </c>
      <c r="J407" s="4590"/>
      <c r="K407" s="4572"/>
      <c r="L407" s="4572"/>
      <c r="M407" s="4572"/>
      <c r="N407" s="4572"/>
      <c r="O407" s="4572"/>
      <c r="P407" s="4572"/>
    </row>
    <row r="408">
      <c r="A408" s="4587" t="s">
        <v>4652</v>
      </c>
      <c r="B408" s="4573">
        <v>46244</v>
      </c>
      <c r="C408" s="4587" t="str">
        <v>Monday</v>
      </c>
      <c r="D408" s="4567" t="s">
        <v>4429</v>
      </c>
      <c r="E408" s="4571">
        <f t="shared" si="69"/>
      </c>
      <c r="F408" s="4591" t="s">
        <v>4631</v>
      </c>
      <c r="G408" s="4854" t="s">
        <v>4654</v>
      </c>
      <c r="H408" s="4571" t="s">
        <v>4316</v>
      </c>
      <c r="I408" s="4591" t="s">
        <v>4304</v>
      </c>
      <c r="J408" s="4590"/>
      <c r="K408" s="4572"/>
      <c r="L408" s="4572"/>
      <c r="M408" s="4572"/>
      <c r="N408" s="4572"/>
      <c r="O408" s="4572"/>
      <c r="P408" s="4572"/>
    </row>
    <row r="409">
      <c r="A409" s="4587" t="s">
        <v>4652</v>
      </c>
      <c r="B409" s="4573">
        <v>46244</v>
      </c>
      <c r="C409" s="4587" t="str">
        <v>Monday</v>
      </c>
      <c r="D409" s="4567" t="s">
        <v>4587</v>
      </c>
      <c r="E409" s="4571">
        <f t="shared" si="69"/>
      </c>
      <c r="F409" s="4591" t="s">
        <v>4655</v>
      </c>
      <c r="G409" s="4700" t="s">
        <v>4656</v>
      </c>
      <c r="H409" s="4571" t="s">
        <v>4316</v>
      </c>
      <c r="I409" s="4591" t="s">
        <v>4304</v>
      </c>
      <c r="J409" s="4590"/>
      <c r="K409" s="4572"/>
      <c r="L409" s="4572"/>
      <c r="M409" s="4572"/>
      <c r="N409" s="4572"/>
      <c r="O409" s="4572"/>
      <c r="P409" s="4572"/>
    </row>
    <row r="410">
      <c r="A410" s="4587" t="s">
        <v>4652</v>
      </c>
      <c r="B410" s="4573">
        <v>46244</v>
      </c>
      <c r="C410" s="4587" t="str">
        <v>Monday</v>
      </c>
      <c r="D410" s="4567" t="s">
        <v>4437</v>
      </c>
      <c r="E410" s="4571">
        <f t="shared" si="69"/>
      </c>
      <c r="F410" s="4591" t="s">
        <v>4351</v>
      </c>
      <c r="G410" s="4700" t="s">
        <v>4361</v>
      </c>
      <c r="H410" s="4571" t="s">
        <v>4316</v>
      </c>
      <c r="I410" s="4620" t="s">
        <v>4304</v>
      </c>
      <c r="J410" s="4590"/>
      <c r="K410" s="4572"/>
      <c r="L410" s="4572"/>
      <c r="M410" s="4572"/>
      <c r="N410" s="4572"/>
      <c r="O410" s="4572"/>
      <c r="P410" s="4572"/>
    </row>
    <row customHeight="true" ht="18.452380952380953" r="411">
      <c r="A411" s="4587" t="s">
        <v>4652</v>
      </c>
      <c r="B411" s="4573">
        <v>46244</v>
      </c>
      <c r="C411" s="4587" t="str">
        <v>Monday</v>
      </c>
      <c r="D411" s="4567" t="s">
        <v>4657</v>
      </c>
      <c r="E411" s="4571">
        <f t="shared" si="69"/>
      </c>
      <c r="F411" s="4855" t="s">
        <v>4658</v>
      </c>
      <c r="G411" s="4700" t="s">
        <v>4654</v>
      </c>
      <c r="H411" s="4571" t="s">
        <v>4316</v>
      </c>
      <c r="I411" s="4591" t="s">
        <v>4304</v>
      </c>
      <c r="J411" s="4590"/>
      <c r="K411" s="4572"/>
      <c r="L411" s="4572"/>
      <c r="M411" s="4572"/>
      <c r="N411" s="4572"/>
      <c r="O411" s="4572"/>
      <c r="P411" s="4572"/>
    </row>
    <row customHeight="true" ht="18.452380952380953" r="412">
      <c r="A412" s="4587" t="s">
        <v>4659</v>
      </c>
      <c r="B412" s="4573">
        <v>46244</v>
      </c>
      <c r="C412" s="4587" t="str">
        <v>Monday</v>
      </c>
      <c r="D412" s="4697" t="s">
        <v>4429</v>
      </c>
      <c r="E412" s="4856">
        <f t="shared" si="69"/>
      </c>
      <c r="F412" s="4856" t="s">
        <v>4660</v>
      </c>
      <c r="G412" s="4857"/>
      <c r="H412" s="4571" t="s">
        <v>4316</v>
      </c>
      <c r="I412" s="4591" t="s">
        <v>4304</v>
      </c>
      <c r="J412" s="4858"/>
      <c r="K412" s="4798"/>
      <c r="L412" s="4798"/>
      <c r="M412" s="4798"/>
      <c r="N412" s="4798"/>
      <c r="O412" s="4798"/>
      <c r="P412" s="4798"/>
    </row>
    <row customHeight="true" ht="18.452380952380953" r="413">
      <c r="A413" s="4587" t="s">
        <v>4659</v>
      </c>
      <c r="B413" s="4573">
        <v>46244</v>
      </c>
      <c r="C413" s="4587" t="str">
        <v>Monday</v>
      </c>
      <c r="D413" s="4697" t="s">
        <v>4587</v>
      </c>
      <c r="E413" s="4856">
        <f t="shared" si="69"/>
      </c>
      <c r="F413" s="4575" t="s">
        <v>4549</v>
      </c>
      <c r="G413" s="4857"/>
      <c r="H413" s="4571" t="s">
        <v>4316</v>
      </c>
      <c r="I413" s="4591" t="s">
        <v>4304</v>
      </c>
      <c r="J413" s="4858"/>
      <c r="K413" s="4798"/>
      <c r="L413" s="4798"/>
      <c r="M413" s="4798"/>
      <c r="N413" s="4798"/>
      <c r="O413" s="4798"/>
      <c r="P413" s="4798"/>
    </row>
    <row customHeight="true" ht="18.452380952380953" r="414">
      <c r="A414" s="4587" t="s">
        <v>4659</v>
      </c>
      <c r="B414" s="4573">
        <v>46244</v>
      </c>
      <c r="C414" s="4587" t="str">
        <v>Monday</v>
      </c>
      <c r="D414" s="4567" t="s">
        <v>4437</v>
      </c>
      <c r="E414" s="4856">
        <f t="shared" si="69"/>
      </c>
      <c r="F414" s="4855" t="s">
        <v>4361</v>
      </c>
      <c r="G414" s="4857"/>
      <c r="H414" s="4571" t="s">
        <v>4316</v>
      </c>
      <c r="I414" s="4620" t="s">
        <v>4304</v>
      </c>
      <c r="J414" s="4858"/>
      <c r="K414" s="4798"/>
      <c r="L414" s="4798"/>
      <c r="M414" s="4798"/>
      <c r="N414" s="4798"/>
      <c r="O414" s="4798"/>
      <c r="P414" s="4798"/>
    </row>
    <row r="415">
      <c r="A415" s="4587" t="s">
        <v>4659</v>
      </c>
      <c r="B415" s="4573">
        <v>46244</v>
      </c>
      <c r="C415" s="4587" t="str">
        <v>Monday</v>
      </c>
      <c r="D415" s="4697" t="s">
        <v>4661</v>
      </c>
      <c r="E415" s="4856">
        <f t="shared" si="69"/>
      </c>
      <c r="F415" s="4575" t="s">
        <v>4660</v>
      </c>
      <c r="G415" s="4857"/>
      <c r="H415" s="4571" t="s">
        <v>4316</v>
      </c>
      <c r="I415" s="4591" t="s">
        <v>4304</v>
      </c>
      <c r="J415" s="4858"/>
      <c r="K415" s="4798"/>
      <c r="L415" s="4798"/>
      <c r="M415" s="4798"/>
      <c r="N415" s="4798"/>
      <c r="O415" s="4798"/>
      <c r="P415" s="4798"/>
    </row>
    <row customHeight="true" ht="18.452380952380953" r="416">
      <c r="A416" s="4587" t="s">
        <v>4662</v>
      </c>
      <c r="B416" s="4573">
        <v>46244</v>
      </c>
      <c r="C416" s="4587" t="str">
        <v>Monday</v>
      </c>
      <c r="D416" s="4567" t="s">
        <v>4663</v>
      </c>
      <c r="E416" s="4856">
        <f t="shared" si="69"/>
      </c>
      <c r="F416" s="4591" t="s">
        <v>4397</v>
      </c>
      <c r="G416" s="4609"/>
      <c r="H416" s="4591" t="s">
        <v>4316</v>
      </c>
      <c r="I416" s="4620" t="s">
        <v>4304</v>
      </c>
      <c r="J416" s="4568"/>
      <c r="K416" s="4572"/>
      <c r="L416" s="4572"/>
      <c r="M416" s="4572"/>
      <c r="N416" s="4572"/>
      <c r="O416" s="4572"/>
      <c r="P416" s="4572"/>
    </row>
    <row customHeight="true" ht="18.452380952380953" r="417">
      <c r="A417" s="4587"/>
      <c r="B417" s="4587"/>
      <c r="C417" s="4587"/>
      <c r="D417" s="4697"/>
      <c r="E417" s="4856"/>
      <c r="F417" s="4575"/>
      <c r="G417" s="4857"/>
      <c r="H417" s="4571"/>
      <c r="I417" s="4591" t="s">
        <v>4332</v>
      </c>
      <c r="J417" s="4858"/>
      <c r="K417" s="4798"/>
      <c r="L417" s="4798"/>
      <c r="M417" s="4798"/>
      <c r="N417" s="4798"/>
      <c r="O417" s="4798"/>
      <c r="P417" s="4798"/>
    </row>
    <row r="418">
      <c r="A418" s="4859" t="s">
        <v>4652</v>
      </c>
      <c r="B418" s="4860">
        <v>46245</v>
      </c>
      <c r="C418" s="4859" t="str">
        <v>Tuesday</v>
      </c>
      <c r="D418" s="4861" t="s">
        <v>4514</v>
      </c>
      <c r="E418" s="4862">
        <f t="shared" ref="E418:E430" si="70">24*MOD(TIMEVALUE(TRIM(MID(D418,FIND("-",D418)+1,LEN(D418)))) - TIMEVALUE(TRIM(LEFT(D418,FIND("-",D418)-1))),1)</f>
      </c>
      <c r="F418" s="4863" t="s">
        <v>4631</v>
      </c>
      <c r="G418" s="4864" t="s">
        <v>4653</v>
      </c>
      <c r="H418" s="4571" t="s">
        <v>4316</v>
      </c>
      <c r="I418" s="4620" t="s">
        <v>4304</v>
      </c>
      <c r="J418" s="4865"/>
      <c r="K418" s="4798"/>
      <c r="L418" s="4798"/>
      <c r="M418" s="4798"/>
      <c r="N418" s="4798"/>
      <c r="O418" s="4798"/>
      <c r="P418" s="4798"/>
    </row>
    <row r="419">
      <c r="A419" s="4859" t="s">
        <v>4652</v>
      </c>
      <c r="B419" s="4860">
        <v>46245</v>
      </c>
      <c r="C419" s="4859" t="str">
        <v>Tuesday</v>
      </c>
      <c r="D419" s="4861" t="s">
        <v>4517</v>
      </c>
      <c r="E419" s="4862">
        <f t="shared" si="70"/>
      </c>
      <c r="F419" s="4863" t="s">
        <v>4655</v>
      </c>
      <c r="G419" s="4864" t="s">
        <v>4656</v>
      </c>
      <c r="H419" s="4571" t="s">
        <v>4316</v>
      </c>
      <c r="I419" s="4591" t="s">
        <v>4332</v>
      </c>
      <c r="J419" s="4865"/>
      <c r="K419" s="4798"/>
      <c r="L419" s="4798"/>
      <c r="M419" s="4798"/>
      <c r="N419" s="4798"/>
      <c r="O419" s="4798"/>
      <c r="P419" s="4798"/>
    </row>
    <row customHeight="true" ht="18.452380952380953" r="420">
      <c r="A420" s="4859" t="s">
        <v>4652</v>
      </c>
      <c r="B420" s="4860">
        <v>46245</v>
      </c>
      <c r="C420" s="4859" t="str">
        <v>Tuesday</v>
      </c>
      <c r="D420" s="4861" t="s">
        <v>4518</v>
      </c>
      <c r="E420" s="4862">
        <f t="shared" si="70"/>
      </c>
      <c r="F420" s="4866" t="s">
        <v>4351</v>
      </c>
      <c r="G420" s="4864" t="s">
        <v>4664</v>
      </c>
      <c r="H420" s="4571" t="s">
        <v>4316</v>
      </c>
      <c r="I420" s="4620" t="s">
        <v>4304</v>
      </c>
      <c r="J420" s="4865"/>
      <c r="K420" s="4798"/>
      <c r="L420" s="4798"/>
      <c r="M420" s="4798"/>
      <c r="N420" s="4798"/>
      <c r="O420" s="4798"/>
      <c r="P420" s="4798"/>
    </row>
    <row r="421">
      <c r="A421" s="4859" t="s">
        <v>4652</v>
      </c>
      <c r="B421" s="4860">
        <v>46245</v>
      </c>
      <c r="C421" s="4859" t="str">
        <v>Tuesday</v>
      </c>
      <c r="D421" s="4861" t="s">
        <v>4343</v>
      </c>
      <c r="E421" s="4862">
        <f t="shared" si="70"/>
      </c>
      <c r="F421" s="4863" t="s">
        <v>4655</v>
      </c>
      <c r="G421" s="4864" t="s">
        <v>4654</v>
      </c>
      <c r="H421" s="4571" t="s">
        <v>4316</v>
      </c>
      <c r="I421" s="4591" t="s">
        <v>4332</v>
      </c>
      <c r="J421" s="4865"/>
      <c r="K421" s="4798"/>
      <c r="L421" s="4798"/>
      <c r="M421" s="4798"/>
      <c r="N421" s="4798"/>
      <c r="O421" s="4798"/>
      <c r="P421" s="4798"/>
    </row>
    <row r="422">
      <c r="A422" s="4859" t="s">
        <v>4652</v>
      </c>
      <c r="B422" s="4860">
        <v>46245</v>
      </c>
      <c r="C422" s="4859" t="str">
        <v>Tuesday</v>
      </c>
      <c r="D422" s="4861" t="s">
        <v>4437</v>
      </c>
      <c r="E422" s="4862">
        <f t="shared" si="70"/>
      </c>
      <c r="F422" s="4862" t="s">
        <v>4665</v>
      </c>
      <c r="G422" s="4864" t="s">
        <v>4361</v>
      </c>
      <c r="H422" s="4571" t="s">
        <v>4316</v>
      </c>
      <c r="I422" s="4591" t="s">
        <v>4304</v>
      </c>
      <c r="J422" s="4865"/>
      <c r="K422" s="4798"/>
      <c r="L422" s="4798"/>
      <c r="M422" s="4798"/>
      <c r="N422" s="4798"/>
      <c r="O422" s="4798"/>
      <c r="P422" s="4798"/>
    </row>
    <row customHeight="true" ht="18.452380952380953" r="423">
      <c r="A423" s="4859" t="s">
        <v>4652</v>
      </c>
      <c r="B423" s="4860">
        <v>46245</v>
      </c>
      <c r="C423" s="4859" t="str">
        <v>Tuesday</v>
      </c>
      <c r="D423" s="4861" t="s">
        <v>4657</v>
      </c>
      <c r="E423" s="4862">
        <f t="shared" si="70"/>
      </c>
      <c r="F423" s="4866" t="s">
        <v>4351</v>
      </c>
      <c r="G423" s="4864" t="s">
        <v>4654</v>
      </c>
      <c r="H423" s="4571" t="s">
        <v>4316</v>
      </c>
      <c r="I423" s="4591" t="s">
        <v>4304</v>
      </c>
      <c r="J423" s="4865"/>
      <c r="K423" s="4798"/>
      <c r="L423" s="4798"/>
      <c r="M423" s="4798"/>
      <c r="N423" s="4798"/>
      <c r="O423" s="4798"/>
      <c r="P423" s="4798"/>
    </row>
    <row customHeight="true" ht="18.452380952380953" r="424">
      <c r="A424" s="4687" t="s">
        <v>4659</v>
      </c>
      <c r="B424" s="4688">
        <v>46245</v>
      </c>
      <c r="C424" s="4687" t="str">
        <v>Tuesday</v>
      </c>
      <c r="D424" s="4689" t="s">
        <v>4519</v>
      </c>
      <c r="E424" s="4690">
        <f t="shared" si="70"/>
      </c>
      <c r="F424" s="4867" t="s">
        <v>4666</v>
      </c>
      <c r="G424" s="4706"/>
      <c r="H424" s="4690" t="s">
        <v>4316</v>
      </c>
      <c r="I424" s="4690" t="s">
        <v>4332</v>
      </c>
      <c r="J424" s="4868"/>
      <c r="K424" s="4693"/>
      <c r="L424" s="4693"/>
      <c r="M424" s="4693"/>
      <c r="N424" s="4693"/>
      <c r="O424" s="4693"/>
      <c r="P424" s="4693"/>
      <c r="Q424" s="4694"/>
      <c r="R424" s="4694"/>
      <c r="S424" s="4694"/>
      <c r="T424" s="4694"/>
      <c r="U424" s="4694"/>
      <c r="V424" s="4694"/>
      <c r="W424" s="4694"/>
      <c r="X424" s="4694"/>
      <c r="Y424" s="4694"/>
    </row>
    <row r="425">
      <c r="A425" s="4859" t="s">
        <v>4659</v>
      </c>
      <c r="B425" s="4860">
        <v>46245</v>
      </c>
      <c r="C425" s="4859" t="str">
        <v>Tuesday</v>
      </c>
      <c r="D425" s="4869" t="s">
        <v>4667</v>
      </c>
      <c r="E425" s="4862">
        <f t="shared" si="70"/>
      </c>
      <c r="F425" s="4862" t="s">
        <v>4549</v>
      </c>
      <c r="G425" s="4870"/>
      <c r="H425" s="4575" t="s">
        <v>4316</v>
      </c>
      <c r="I425" s="4591" t="s">
        <v>4304</v>
      </c>
      <c r="J425" s="4871"/>
      <c r="K425" s="4572"/>
      <c r="L425" s="4572"/>
      <c r="M425" s="4572"/>
      <c r="N425" s="4572"/>
      <c r="O425" s="4572"/>
      <c r="P425" s="4572"/>
    </row>
    <row customHeight="true" ht="18.452380952380953" r="426">
      <c r="A426" s="4687" t="s">
        <v>4659</v>
      </c>
      <c r="B426" s="4688">
        <v>46245</v>
      </c>
      <c r="C426" s="4687" t="str">
        <v>Tuesday</v>
      </c>
      <c r="D426" s="4689" t="s">
        <v>4518</v>
      </c>
      <c r="E426" s="4867">
        <f t="shared" si="70"/>
      </c>
      <c r="F426" s="4867" t="s">
        <v>4666</v>
      </c>
      <c r="G426" s="4872"/>
      <c r="H426" s="4690" t="s">
        <v>4316</v>
      </c>
      <c r="I426" s="4690" t="s">
        <v>4332</v>
      </c>
      <c r="J426" s="4873"/>
      <c r="K426" s="4874"/>
      <c r="L426" s="4874"/>
      <c r="M426" s="4874"/>
      <c r="N426" s="4874"/>
      <c r="O426" s="4874"/>
      <c r="P426" s="4874"/>
      <c r="Q426" s="4694"/>
      <c r="R426" s="4694"/>
      <c r="S426" s="4694"/>
      <c r="T426" s="4694"/>
      <c r="U426" s="4694"/>
      <c r="V426" s="4694"/>
      <c r="W426" s="4694"/>
      <c r="X426" s="4694"/>
      <c r="Y426" s="4694"/>
    </row>
    <row customHeight="true" ht="18.452380952380953" r="427">
      <c r="A427" s="4859" t="s">
        <v>4659</v>
      </c>
      <c r="B427" s="4860">
        <v>46245</v>
      </c>
      <c r="C427" s="4859" t="str">
        <v>Tuesday</v>
      </c>
      <c r="D427" s="4861" t="s">
        <v>4518</v>
      </c>
      <c r="E427" s="4875">
        <f t="shared" si="70"/>
      </c>
      <c r="F427" s="4866" t="s">
        <v>4447</v>
      </c>
      <c r="G427" s="4870"/>
      <c r="H427" s="4575" t="s">
        <v>4316</v>
      </c>
      <c r="I427" s="4591" t="s">
        <v>4304</v>
      </c>
      <c r="J427" s="4871"/>
      <c r="K427" s="4572"/>
      <c r="L427" s="4572"/>
      <c r="M427" s="4572"/>
      <c r="N427" s="4572"/>
      <c r="O427" s="4572"/>
      <c r="P427" s="4572"/>
    </row>
    <row r="428">
      <c r="A428" s="4859" t="s">
        <v>4659</v>
      </c>
      <c r="B428" s="4860">
        <v>46245</v>
      </c>
      <c r="C428" s="4859" t="str">
        <v>Tuesday</v>
      </c>
      <c r="D428" s="4861" t="s">
        <v>4480</v>
      </c>
      <c r="E428" s="4875">
        <f t="shared" si="70"/>
      </c>
      <c r="F428" s="4866" t="s">
        <v>4660</v>
      </c>
      <c r="G428" s="4870"/>
      <c r="H428" s="4575" t="s">
        <v>4316</v>
      </c>
      <c r="I428" s="4591" t="s">
        <v>4304</v>
      </c>
      <c r="J428" s="4871"/>
      <c r="K428" s="4572"/>
      <c r="L428" s="4572"/>
      <c r="M428" s="4572"/>
      <c r="N428" s="4572"/>
      <c r="O428" s="4572"/>
      <c r="P428" s="4572"/>
    </row>
    <row customHeight="true" ht="18.452380952380953" r="429">
      <c r="A429" s="4859" t="s">
        <v>4659</v>
      </c>
      <c r="B429" s="4860">
        <v>46245</v>
      </c>
      <c r="C429" s="4859" t="str">
        <v>Tuesday</v>
      </c>
      <c r="D429" s="4861" t="s">
        <v>4410</v>
      </c>
      <c r="E429" s="4875">
        <f t="shared" si="70"/>
      </c>
      <c r="F429" s="4866" t="s">
        <v>4361</v>
      </c>
      <c r="G429" s="4870"/>
      <c r="H429" s="4575" t="s">
        <v>4316</v>
      </c>
      <c r="I429" s="4620" t="s">
        <v>4304</v>
      </c>
      <c r="J429" s="4871"/>
      <c r="K429" s="4572"/>
      <c r="L429" s="4572"/>
      <c r="M429" s="4572"/>
      <c r="N429" s="4572"/>
      <c r="O429" s="4572"/>
      <c r="P429" s="4572"/>
    </row>
    <row r="430">
      <c r="A430" s="4859" t="s">
        <v>4659</v>
      </c>
      <c r="B430" s="4860">
        <v>46245</v>
      </c>
      <c r="C430" s="4859" t="str">
        <v>Tuesday</v>
      </c>
      <c r="D430" s="4861" t="s">
        <v>4661</v>
      </c>
      <c r="E430" s="4875">
        <f t="shared" si="70"/>
      </c>
      <c r="F430" s="4866" t="s">
        <v>4660</v>
      </c>
      <c r="G430" s="4870"/>
      <c r="H430" s="4571" t="s">
        <v>4316</v>
      </c>
      <c r="I430" s="4591" t="s">
        <v>4304</v>
      </c>
      <c r="J430" s="4876"/>
      <c r="K430" s="4572"/>
      <c r="L430" s="4572"/>
      <c r="M430" s="4572"/>
      <c r="N430" s="4572"/>
      <c r="O430" s="4572"/>
      <c r="P430" s="4572"/>
    </row>
    <row customHeight="true" ht="18.452380952380953" r="431">
      <c r="A431" s="4859"/>
      <c r="B431" s="4859"/>
      <c r="C431" s="4859"/>
      <c r="D431" s="4869"/>
      <c r="E431" s="4875"/>
      <c r="F431" s="4862"/>
      <c r="G431" s="4870"/>
      <c r="H431" s="4571"/>
      <c r="I431" s="4591" t="s">
        <v>4332</v>
      </c>
      <c r="J431" s="4876"/>
      <c r="K431" s="4572"/>
      <c r="L431" s="4572"/>
      <c r="M431" s="4572"/>
      <c r="N431" s="4572"/>
      <c r="O431" s="4572"/>
      <c r="P431" s="4572"/>
    </row>
    <row r="432">
      <c r="A432" s="4587" t="s">
        <v>4652</v>
      </c>
      <c r="B432" s="4573">
        <v>46249</v>
      </c>
      <c r="C432" s="4587" t="str">
        <v>Saturday</v>
      </c>
      <c r="D432" s="4567" t="s">
        <v>4519</v>
      </c>
      <c r="E432" s="4571">
        <f t="shared" ref="E432:E444" si="71">24*MOD(TIMEVALUE(TRIM(MID(D432,FIND("-",D432)+1,LEN(D432)))) - TIMEVALUE(TRIM(LEFT(D432,FIND("-",D432)-1))),1)</f>
      </c>
      <c r="F432" s="4591" t="s">
        <v>4397</v>
      </c>
      <c r="G432" s="4877" t="s">
        <v>4653</v>
      </c>
      <c r="H432" s="4571" t="s">
        <v>4316</v>
      </c>
      <c r="I432" s="4620" t="s">
        <v>4304</v>
      </c>
      <c r="J432" s="4590"/>
      <c r="K432" s="4572"/>
      <c r="L432" s="4572"/>
      <c r="M432" s="4572"/>
      <c r="N432" s="4572"/>
      <c r="O432" s="4572"/>
      <c r="P432" s="4572"/>
    </row>
    <row customHeight="true" ht="18.452380952380953" r="433">
      <c r="A433" s="4587" t="s">
        <v>4652</v>
      </c>
      <c r="B433" s="4573">
        <v>46249</v>
      </c>
      <c r="C433" s="4587" t="str">
        <v>Saturday</v>
      </c>
      <c r="D433" s="4567" t="s">
        <v>4429</v>
      </c>
      <c r="E433" s="4571">
        <f t="shared" si="71"/>
      </c>
      <c r="F433" s="4575" t="s">
        <v>4668</v>
      </c>
      <c r="G433" s="4877" t="s">
        <v>4654</v>
      </c>
      <c r="H433" s="4571" t="s">
        <v>4316</v>
      </c>
      <c r="I433" s="4591" t="s">
        <v>4304</v>
      </c>
      <c r="J433" s="4878"/>
      <c r="K433" s="4572"/>
      <c r="L433" s="4572"/>
      <c r="M433" s="4572"/>
      <c r="N433" s="4572"/>
      <c r="O433" s="4572"/>
      <c r="P433" s="4572"/>
    </row>
    <row r="434">
      <c r="A434" s="4587" t="s">
        <v>4652</v>
      </c>
      <c r="B434" s="4573">
        <v>46249</v>
      </c>
      <c r="C434" s="4587" t="str">
        <v>Saturday</v>
      </c>
      <c r="D434" s="4567" t="s">
        <v>4518</v>
      </c>
      <c r="E434" s="4571">
        <f t="shared" si="71"/>
      </c>
      <c r="F434" s="4575" t="s">
        <v>4669</v>
      </c>
      <c r="G434" s="4879" t="s">
        <v>4670</v>
      </c>
      <c r="H434" s="4571" t="s">
        <v>4316</v>
      </c>
      <c r="I434" s="4591" t="s">
        <v>4332</v>
      </c>
      <c r="J434" s="4878"/>
      <c r="K434" s="4572"/>
      <c r="L434" s="4572"/>
      <c r="M434" s="4572"/>
      <c r="N434" s="4572"/>
      <c r="O434" s="4572"/>
      <c r="P434" s="4572"/>
    </row>
    <row customHeight="true" ht="18.452380952380953" r="435">
      <c r="A435" s="4587" t="s">
        <v>4652</v>
      </c>
      <c r="B435" s="4573">
        <v>46249</v>
      </c>
      <c r="C435" s="4587" t="str">
        <v>Saturday</v>
      </c>
      <c r="D435" s="4567" t="s">
        <v>4480</v>
      </c>
      <c r="E435" s="4571">
        <f t="shared" si="71"/>
      </c>
      <c r="F435" s="4575" t="s">
        <v>4655</v>
      </c>
      <c r="G435" s="4879" t="s">
        <v>4654</v>
      </c>
      <c r="H435" s="4571" t="s">
        <v>4316</v>
      </c>
      <c r="I435" s="4591" t="s">
        <v>4304</v>
      </c>
      <c r="J435" s="4878"/>
      <c r="K435" s="4572"/>
      <c r="L435" s="4572"/>
      <c r="M435" s="4572"/>
      <c r="N435" s="4572"/>
      <c r="O435" s="4572"/>
      <c r="P435" s="4572"/>
    </row>
    <row r="436">
      <c r="A436" s="4587" t="s">
        <v>4652</v>
      </c>
      <c r="B436" s="4573">
        <v>46249</v>
      </c>
      <c r="C436" s="4587" t="str">
        <v>Saturday</v>
      </c>
      <c r="D436" s="4567" t="s">
        <v>4410</v>
      </c>
      <c r="E436" s="4571">
        <f t="shared" si="71"/>
      </c>
      <c r="F436" s="4575" t="s">
        <v>4665</v>
      </c>
      <c r="G436" s="4877" t="s">
        <v>4361</v>
      </c>
      <c r="H436" s="4571" t="s">
        <v>4316</v>
      </c>
      <c r="I436" s="4591" t="s">
        <v>4304</v>
      </c>
      <c r="J436" s="4878"/>
      <c r="K436" s="4572"/>
      <c r="L436" s="4572"/>
      <c r="M436" s="4572"/>
      <c r="N436" s="4572"/>
      <c r="O436" s="4572"/>
      <c r="P436" s="4572"/>
    </row>
    <row customHeight="true" ht="18.452380952380953" r="437">
      <c r="A437" s="4587" t="s">
        <v>4652</v>
      </c>
      <c r="B437" s="4573">
        <v>46249</v>
      </c>
      <c r="C437" s="4587" t="str">
        <v>Saturday</v>
      </c>
      <c r="D437" s="4697" t="s">
        <v>4661</v>
      </c>
      <c r="E437" s="4571">
        <f t="shared" si="71"/>
      </c>
      <c r="F437" s="4575" t="s">
        <v>4655</v>
      </c>
      <c r="G437" s="4877" t="s">
        <v>4654</v>
      </c>
      <c r="H437" s="4571" t="s">
        <v>4316</v>
      </c>
      <c r="I437" s="4591" t="s">
        <v>4304</v>
      </c>
      <c r="J437" s="4878"/>
      <c r="K437" s="4572"/>
      <c r="L437" s="4572"/>
      <c r="M437" s="4572"/>
      <c r="N437" s="4572"/>
      <c r="O437" s="4572"/>
      <c r="P437" s="4572"/>
    </row>
    <row customHeight="true" ht="18.452380952380953" r="438">
      <c r="A438" s="4687" t="s">
        <v>4659</v>
      </c>
      <c r="B438" s="4688">
        <v>46249</v>
      </c>
      <c r="C438" s="4687" t="str">
        <v>Saturday</v>
      </c>
      <c r="D438" s="4689" t="s">
        <v>4671</v>
      </c>
      <c r="E438" s="4867">
        <f t="shared" si="71"/>
      </c>
      <c r="F438" s="4867" t="s">
        <v>4666</v>
      </c>
      <c r="G438" s="4880"/>
      <c r="H438" s="4690" t="s">
        <v>4316</v>
      </c>
      <c r="I438" s="4690" t="s">
        <v>4332</v>
      </c>
      <c r="J438" s="4881"/>
      <c r="K438" s="4693"/>
      <c r="L438" s="4693"/>
      <c r="M438" s="4693"/>
      <c r="N438" s="4693"/>
      <c r="O438" s="4693"/>
      <c r="P438" s="4693"/>
      <c r="Q438" s="4694"/>
      <c r="R438" s="4694"/>
      <c r="S438" s="4694"/>
      <c r="T438" s="4694"/>
      <c r="U438" s="4694"/>
      <c r="V438" s="4694"/>
      <c r="W438" s="4694"/>
      <c r="X438" s="4694"/>
      <c r="Y438" s="4694"/>
    </row>
    <row r="439">
      <c r="A439" s="4587" t="s">
        <v>4659</v>
      </c>
      <c r="B439" s="4573">
        <v>46249</v>
      </c>
      <c r="C439" s="4587" t="str">
        <v>Saturday</v>
      </c>
      <c r="D439" s="4697" t="s">
        <v>4672</v>
      </c>
      <c r="E439" s="4856">
        <f t="shared" si="71"/>
      </c>
      <c r="F439" s="4575" t="s">
        <v>4660</v>
      </c>
      <c r="G439" s="4882"/>
      <c r="H439" s="4571" t="s">
        <v>4316</v>
      </c>
      <c r="I439" s="4591" t="s">
        <v>4304</v>
      </c>
      <c r="J439" s="4878"/>
      <c r="K439" s="4572"/>
      <c r="L439" s="4572"/>
      <c r="M439" s="4572"/>
      <c r="N439" s="4572"/>
      <c r="O439" s="4572"/>
      <c r="P439" s="4572"/>
    </row>
    <row customHeight="true" ht="18.452380952380953" r="440">
      <c r="A440" s="4587" t="s">
        <v>4659</v>
      </c>
      <c r="B440" s="4573">
        <v>46249</v>
      </c>
      <c r="C440" s="4587" t="str">
        <v>Saturday</v>
      </c>
      <c r="D440" s="4697" t="s">
        <v>4673</v>
      </c>
      <c r="E440" s="4856">
        <f t="shared" si="71"/>
      </c>
      <c r="F440" s="4855" t="s">
        <v>4658</v>
      </c>
      <c r="G440" s="4882"/>
      <c r="H440" s="4571" t="s">
        <v>4316</v>
      </c>
      <c r="I440" s="4591" t="s">
        <v>4304</v>
      </c>
      <c r="J440" s="4878"/>
      <c r="K440" s="4572"/>
      <c r="L440" s="4572"/>
      <c r="M440" s="4572"/>
      <c r="N440" s="4572"/>
      <c r="O440" s="4572"/>
      <c r="P440" s="4572"/>
    </row>
    <row r="441">
      <c r="A441" s="4587" t="s">
        <v>4659</v>
      </c>
      <c r="B441" s="4573">
        <v>46249</v>
      </c>
      <c r="C441" s="4587" t="str">
        <v>Saturday</v>
      </c>
      <c r="D441" s="4883" t="s">
        <v>4674</v>
      </c>
      <c r="E441" s="4856">
        <f t="shared" si="71"/>
      </c>
      <c r="F441" s="4575" t="s">
        <v>4660</v>
      </c>
      <c r="G441" s="4882"/>
      <c r="H441" s="4571" t="s">
        <v>4316</v>
      </c>
      <c r="I441" s="4591" t="s">
        <v>4304</v>
      </c>
      <c r="J441" s="4878"/>
      <c r="K441" s="4572"/>
      <c r="L441" s="4572"/>
      <c r="M441" s="4572"/>
      <c r="N441" s="4572"/>
      <c r="O441" s="4572"/>
      <c r="P441" s="4572"/>
    </row>
    <row customHeight="true" ht="18.452380952380953" r="442">
      <c r="A442" s="4587" t="s">
        <v>4659</v>
      </c>
      <c r="B442" s="4573">
        <v>46249</v>
      </c>
      <c r="C442" s="4587" t="str">
        <v>Saturday</v>
      </c>
      <c r="D442" s="4697" t="s">
        <v>4410</v>
      </c>
      <c r="E442" s="4856">
        <f t="shared" si="71"/>
      </c>
      <c r="F442" s="4575" t="s">
        <v>4361</v>
      </c>
      <c r="G442" s="4882"/>
      <c r="H442" s="4571" t="s">
        <v>4316</v>
      </c>
      <c r="I442" s="4620" t="s">
        <v>4304</v>
      </c>
      <c r="J442" s="4878"/>
      <c r="K442" s="4572"/>
      <c r="L442" s="4572"/>
      <c r="M442" s="4572"/>
      <c r="N442" s="4572"/>
      <c r="O442" s="4572"/>
      <c r="P442" s="4572"/>
    </row>
    <row r="443">
      <c r="A443" s="4587" t="s">
        <v>4659</v>
      </c>
      <c r="B443" s="4573">
        <v>46249</v>
      </c>
      <c r="C443" s="4587" t="str">
        <v>Saturday</v>
      </c>
      <c r="D443" s="4697" t="s">
        <v>4661</v>
      </c>
      <c r="E443" s="4856">
        <f t="shared" si="71"/>
      </c>
      <c r="F443" s="4575" t="s">
        <v>4660</v>
      </c>
      <c r="G443" s="4882"/>
      <c r="H443" s="4571" t="s">
        <v>4316</v>
      </c>
      <c r="I443" s="4591" t="s">
        <v>4304</v>
      </c>
      <c r="J443" s="4878"/>
      <c r="K443" s="4572"/>
      <c r="L443" s="4572"/>
      <c r="M443" s="4572"/>
      <c r="N443" s="4572"/>
      <c r="O443" s="4572"/>
      <c r="P443" s="4572"/>
    </row>
    <row customHeight="true" ht="18.452380952380953" r="444">
      <c r="A444" s="4695" t="s">
        <v>4662</v>
      </c>
      <c r="B444" s="4573">
        <v>46249</v>
      </c>
      <c r="C444" s="4695" t="str">
        <v>Saturday</v>
      </c>
      <c r="D444" s="4697" t="s">
        <v>4452</v>
      </c>
      <c r="E444" s="4676">
        <f t="shared" si="71"/>
      </c>
      <c r="F444" s="4575" t="s">
        <v>4665</v>
      </c>
      <c r="G444" s="4708"/>
      <c r="H444" s="4575" t="s">
        <v>4316</v>
      </c>
      <c r="I444" s="4591" t="s">
        <v>4304</v>
      </c>
      <c r="J444" s="4823"/>
      <c r="K444" s="4572"/>
      <c r="L444" s="4572"/>
      <c r="M444" s="4572"/>
      <c r="N444" s="4572"/>
      <c r="O444" s="4572"/>
      <c r="P444" s="4572"/>
    </row>
    <row customHeight="true" ht="18.452380952380953" r="445">
      <c r="A445" s="4587"/>
      <c r="B445" s="4587"/>
      <c r="C445" s="4587"/>
      <c r="D445" s="4697"/>
      <c r="E445" s="4856"/>
      <c r="F445" s="4575"/>
      <c r="G445" s="4882"/>
      <c r="H445" s="4571"/>
      <c r="I445" s="4591" t="s">
        <v>4332</v>
      </c>
      <c r="J445" s="4878"/>
      <c r="K445" s="4572"/>
      <c r="L445" s="4572"/>
      <c r="M445" s="4572"/>
      <c r="N445" s="4572"/>
      <c r="O445" s="4572"/>
      <c r="P445" s="4572"/>
    </row>
    <row r="446">
      <c r="A446" s="4859" t="s">
        <v>4652</v>
      </c>
      <c r="B446" s="4860">
        <v>46250</v>
      </c>
      <c r="C446" s="4859" t="str">
        <v>Sunday</v>
      </c>
      <c r="D446" s="4869" t="s">
        <v>4519</v>
      </c>
      <c r="E446" s="4862">
        <f t="shared" ref="E446:E457" si="72">24*MOD(TIMEVALUE(TRIM(MID(D446,FIND("-",D446)+1,LEN(D446)))) - TIMEVALUE(TRIM(LEFT(D446,FIND("-",D446)-1))),1)</f>
      </c>
      <c r="F446" s="4863" t="s">
        <v>4397</v>
      </c>
      <c r="G446" s="4884" t="s">
        <v>4653</v>
      </c>
      <c r="H446" s="4571" t="s">
        <v>4316</v>
      </c>
      <c r="I446" s="4620" t="s">
        <v>4304</v>
      </c>
      <c r="J446" s="4878"/>
      <c r="K446" s="4572"/>
      <c r="L446" s="4572"/>
      <c r="M446" s="4572"/>
      <c r="N446" s="4572"/>
      <c r="O446" s="4572"/>
      <c r="P446" s="4572"/>
    </row>
    <row r="447">
      <c r="A447" s="4859" t="s">
        <v>4652</v>
      </c>
      <c r="B447" s="4860">
        <v>46250</v>
      </c>
      <c r="C447" s="4859" t="str">
        <v>Sunday</v>
      </c>
      <c r="D447" s="4869" t="s">
        <v>4429</v>
      </c>
      <c r="E447" s="4862">
        <f t="shared" si="72"/>
      </c>
      <c r="F447" s="4863" t="s">
        <v>4655</v>
      </c>
      <c r="G447" s="4884" t="s">
        <v>4656</v>
      </c>
      <c r="H447" s="4571" t="s">
        <v>4316</v>
      </c>
      <c r="I447" s="4591" t="s">
        <v>4304</v>
      </c>
      <c r="J447" s="4878"/>
      <c r="K447" s="4572"/>
      <c r="L447" s="4572"/>
      <c r="M447" s="4572"/>
      <c r="N447" s="4572"/>
      <c r="O447" s="4572"/>
      <c r="P447" s="4572"/>
    </row>
    <row customHeight="true" ht="18.452380952380953" r="448">
      <c r="A448" s="4859" t="s">
        <v>4652</v>
      </c>
      <c r="B448" s="4860">
        <v>46250</v>
      </c>
      <c r="C448" s="4859" t="str">
        <v>Sunday</v>
      </c>
      <c r="D448" s="4869" t="s">
        <v>4625</v>
      </c>
      <c r="E448" s="4862">
        <f t="shared" si="72"/>
      </c>
      <c r="F448" s="4862" t="s">
        <v>4665</v>
      </c>
      <c r="G448" s="4884" t="s">
        <v>4675</v>
      </c>
      <c r="H448" s="4571" t="s">
        <v>4316</v>
      </c>
      <c r="I448" s="4591" t="s">
        <v>4304</v>
      </c>
      <c r="J448" s="4878"/>
      <c r="K448" s="4572"/>
      <c r="L448" s="4572"/>
      <c r="M448" s="4572"/>
      <c r="N448" s="4572"/>
      <c r="O448" s="4572"/>
      <c r="P448" s="4572"/>
    </row>
    <row customHeight="true" ht="18.452380952380953" r="449">
      <c r="A449" s="4859" t="s">
        <v>4652</v>
      </c>
      <c r="B449" s="4860">
        <v>46250</v>
      </c>
      <c r="C449" s="4859" t="str">
        <v>Sunday</v>
      </c>
      <c r="D449" s="4869" t="s">
        <v>4540</v>
      </c>
      <c r="E449" s="4862">
        <f t="shared" si="72"/>
      </c>
      <c r="F449" s="4863" t="s">
        <v>4631</v>
      </c>
      <c r="G449" s="4884" t="s">
        <v>4676</v>
      </c>
      <c r="H449" s="4571" t="s">
        <v>4316</v>
      </c>
      <c r="I449" s="4591" t="s">
        <v>4304</v>
      </c>
      <c r="J449" s="4878"/>
      <c r="K449" s="4572"/>
      <c r="L449" s="4572"/>
      <c r="M449" s="4572"/>
      <c r="N449" s="4572"/>
      <c r="O449" s="4572"/>
      <c r="P449" s="4572"/>
    </row>
    <row r="450">
      <c r="A450" s="4859" t="s">
        <v>4652</v>
      </c>
      <c r="B450" s="4860">
        <v>46250</v>
      </c>
      <c r="C450" s="4859" t="str">
        <v>Sunday</v>
      </c>
      <c r="D450" s="4869" t="s">
        <v>4437</v>
      </c>
      <c r="E450" s="4862">
        <f t="shared" si="72"/>
      </c>
      <c r="F450" s="4863" t="s">
        <v>4351</v>
      </c>
      <c r="G450" s="4884" t="s">
        <v>4677</v>
      </c>
      <c r="H450" s="4571" t="s">
        <v>4316</v>
      </c>
      <c r="I450" s="4620" t="s">
        <v>4304</v>
      </c>
      <c r="J450" s="4878"/>
      <c r="K450" s="4572"/>
      <c r="L450" s="4572"/>
      <c r="M450" s="4572"/>
      <c r="N450" s="4572"/>
      <c r="O450" s="4572"/>
      <c r="P450" s="4572"/>
    </row>
    <row r="451">
      <c r="A451" s="4859" t="s">
        <v>4652</v>
      </c>
      <c r="B451" s="4860">
        <v>46250</v>
      </c>
      <c r="C451" s="4859" t="str">
        <v>Sunday</v>
      </c>
      <c r="D451" s="4869" t="s">
        <v>4661</v>
      </c>
      <c r="E451" s="4862">
        <f t="shared" si="72"/>
      </c>
      <c r="F451" s="4863" t="s">
        <v>4658</v>
      </c>
      <c r="G451" s="4884" t="s">
        <v>4654</v>
      </c>
      <c r="H451" s="4571" t="s">
        <v>4316</v>
      </c>
      <c r="I451" s="4591" t="s">
        <v>4304</v>
      </c>
      <c r="J451" s="4878"/>
      <c r="K451" s="4572"/>
      <c r="L451" s="4572"/>
      <c r="M451" s="4572"/>
      <c r="N451" s="4572"/>
      <c r="O451" s="4572"/>
      <c r="P451" s="4572"/>
    </row>
    <row customHeight="true" ht="18.452380952380953" r="452">
      <c r="A452" s="4859" t="s">
        <v>4659</v>
      </c>
      <c r="B452" s="4860">
        <v>46250</v>
      </c>
      <c r="C452" s="4859" t="s">
        <v>4678</v>
      </c>
      <c r="D452" s="4861" t="s">
        <v>4429</v>
      </c>
      <c r="E452" s="4885">
        <f t="shared" si="72"/>
      </c>
      <c r="F452" s="4885" t="s">
        <v>4549</v>
      </c>
      <c r="G452" s="4886"/>
      <c r="H452" s="4571" t="s">
        <v>4316</v>
      </c>
      <c r="I452" s="4591" t="s">
        <v>4304</v>
      </c>
      <c r="J452" s="4878"/>
      <c r="K452" s="4572"/>
      <c r="L452" s="4572"/>
      <c r="M452" s="4572"/>
      <c r="N452" s="4572"/>
      <c r="O452" s="4572"/>
      <c r="P452" s="4572"/>
    </row>
    <row r="453">
      <c r="A453" s="4859" t="s">
        <v>4659</v>
      </c>
      <c r="B453" s="4860">
        <v>46250</v>
      </c>
      <c r="C453" s="4859" t="s">
        <v>4678</v>
      </c>
      <c r="D453" s="4861" t="s">
        <v>4518</v>
      </c>
      <c r="E453" s="4885">
        <f t="shared" si="72"/>
      </c>
      <c r="F453" s="4885" t="s">
        <v>4424</v>
      </c>
      <c r="G453" s="4887"/>
      <c r="H453" s="4888" t="s">
        <v>4316</v>
      </c>
      <c r="I453" s="4591" t="s">
        <v>4332</v>
      </c>
      <c r="J453" s="4878"/>
      <c r="K453" s="4572"/>
      <c r="L453" s="4572"/>
      <c r="M453" s="4572"/>
      <c r="N453" s="4572"/>
      <c r="O453" s="4572"/>
      <c r="P453" s="4572"/>
    </row>
    <row customHeight="true" ht="18.452380952380953" r="454">
      <c r="A454" s="4859" t="s">
        <v>4659</v>
      </c>
      <c r="B454" s="4860">
        <v>46250</v>
      </c>
      <c r="C454" s="4859" t="s">
        <v>4678</v>
      </c>
      <c r="D454" s="4861" t="s">
        <v>4480</v>
      </c>
      <c r="E454" s="4885">
        <f t="shared" si="72"/>
      </c>
      <c r="F454" s="4866" t="s">
        <v>4660</v>
      </c>
      <c r="G454" s="4886"/>
      <c r="H454" s="4571" t="s">
        <v>4316</v>
      </c>
      <c r="I454" s="4591" t="s">
        <v>4304</v>
      </c>
      <c r="J454" s="4878"/>
      <c r="K454" s="4572"/>
      <c r="L454" s="4572"/>
      <c r="M454" s="4572"/>
      <c r="N454" s="4572"/>
      <c r="O454" s="4572"/>
      <c r="P454" s="4572"/>
    </row>
    <row customHeight="true" ht="18.452380952380953" r="455">
      <c r="A455" s="4859" t="s">
        <v>4659</v>
      </c>
      <c r="B455" s="4860">
        <v>46250</v>
      </c>
      <c r="C455" s="4859" t="s">
        <v>4678</v>
      </c>
      <c r="D455" s="4861" t="s">
        <v>4410</v>
      </c>
      <c r="E455" s="4885">
        <f t="shared" si="72"/>
      </c>
      <c r="F455" s="4863" t="s">
        <v>4361</v>
      </c>
      <c r="G455" s="4886"/>
      <c r="H455" s="4571" t="s">
        <v>4316</v>
      </c>
      <c r="I455" s="4620" t="s">
        <v>4304</v>
      </c>
      <c r="J455" s="4878"/>
      <c r="K455" s="4572"/>
      <c r="L455" s="4572"/>
      <c r="M455" s="4572"/>
      <c r="N455" s="4572"/>
      <c r="O455" s="4572"/>
      <c r="P455" s="4572"/>
    </row>
    <row customHeight="true" ht="18.452380952380953" r="456">
      <c r="A456" s="4859" t="s">
        <v>4659</v>
      </c>
      <c r="B456" s="4860">
        <v>46250</v>
      </c>
      <c r="C456" s="4859" t="s">
        <v>4678</v>
      </c>
      <c r="D456" s="4861" t="s">
        <v>4661</v>
      </c>
      <c r="E456" s="4885">
        <f t="shared" si="72"/>
      </c>
      <c r="F456" s="4866" t="s">
        <v>4660</v>
      </c>
      <c r="G456" s="4886"/>
      <c r="H456" s="4571" t="s">
        <v>4316</v>
      </c>
      <c r="I456" s="4591" t="s">
        <v>4304</v>
      </c>
      <c r="J456" s="4878"/>
      <c r="K456" s="4572"/>
      <c r="L456" s="4572"/>
      <c r="M456" s="4572"/>
      <c r="N456" s="4572"/>
      <c r="O456" s="4572"/>
      <c r="P456" s="4572"/>
    </row>
    <row customHeight="true" ht="18.452380952380953" r="457">
      <c r="A457" s="4889" t="s">
        <v>4662</v>
      </c>
      <c r="B457" s="4860">
        <v>46250</v>
      </c>
      <c r="C457" s="4859" t="str">
        <v>Sunday</v>
      </c>
      <c r="D457" s="4869" t="s">
        <v>4494</v>
      </c>
      <c r="E457" s="4862">
        <f t="shared" si="72"/>
      </c>
      <c r="F457" s="4862" t="s">
        <v>4665</v>
      </c>
      <c r="G457" s="4884"/>
      <c r="H457" s="4571" t="s">
        <v>4316</v>
      </c>
      <c r="I457" s="4591" t="s">
        <v>4304</v>
      </c>
      <c r="J457" s="4878"/>
      <c r="K457" s="4572"/>
      <c r="L457" s="4572"/>
      <c r="M457" s="4572"/>
      <c r="N457" s="4572"/>
      <c r="O457" s="4572"/>
      <c r="P457" s="4572"/>
    </row>
    <row customHeight="true" ht="18.452380952380953" r="458">
      <c r="A458" s="4889"/>
      <c r="B458" s="4860"/>
      <c r="C458" s="4859"/>
      <c r="D458" s="4869"/>
      <c r="E458" s="4862"/>
      <c r="F458" s="4862"/>
      <c r="G458" s="4884"/>
      <c r="H458" s="4571"/>
      <c r="I458" s="4591"/>
      <c r="J458" s="4878"/>
      <c r="K458" s="4572"/>
      <c r="L458" s="4572"/>
      <c r="M458" s="4572"/>
      <c r="N458" s="4572"/>
      <c r="O458" s="4572"/>
      <c r="P458" s="4572"/>
    </row>
    <row customHeight="true" ht="18.452380952380953" r="459">
      <c r="A459" s="4687" t="s">
        <v>4662</v>
      </c>
      <c r="B459" s="4688">
        <v>46248</v>
      </c>
      <c r="C459" s="4687" t="str">
        <v>Friday</v>
      </c>
      <c r="D459" s="4689" t="s">
        <v>4517</v>
      </c>
      <c r="E459" s="4690">
        <f>24*MOD(TIMEVALUE(TRIM(MID(D459,FIND("-",D459)+1,LEN(D459)))) - TIMEVALUE(TRIM(LEFT(D459,FIND("-",D459)-1))),1)</f>
      </c>
      <c r="F459" s="4890" t="s">
        <v>4397</v>
      </c>
      <c r="G459" s="4891"/>
      <c r="H459" s="4690" t="s">
        <v>4316</v>
      </c>
      <c r="I459" s="4690" t="s">
        <v>4304</v>
      </c>
      <c r="J459" s="4881"/>
      <c r="K459" s="4693"/>
      <c r="L459" s="4693"/>
      <c r="M459" s="4693"/>
      <c r="N459" s="4693"/>
      <c r="O459" s="4693"/>
      <c r="P459" s="4693"/>
      <c r="Q459" s="4694"/>
      <c r="R459" s="4694"/>
      <c r="S459" s="4694"/>
      <c r="T459" s="4694"/>
      <c r="U459" s="4694"/>
      <c r="V459" s="4694"/>
      <c r="W459" s="4694"/>
      <c r="X459" s="4694"/>
      <c r="Y459" s="4694"/>
    </row>
    <row r="460">
      <c r="A460" s="4892"/>
      <c r="B460" s="4892"/>
      <c r="C460" s="4892"/>
      <c r="D460" s="4892"/>
      <c r="E460" s="4892"/>
      <c r="F460" s="4892"/>
      <c r="G460" s="4892"/>
      <c r="H460" s="4892"/>
      <c r="I460" s="4892"/>
      <c r="J460" s="4749"/>
      <c r="K460" s="4572"/>
      <c r="L460" s="4572"/>
      <c r="M460" s="4572"/>
      <c r="N460" s="4572"/>
      <c r="O460" s="4572"/>
      <c r="P460" s="4572"/>
    </row>
    <row r="461">
      <c r="A461" s="4849" t="s">
        <v>4679</v>
      </c>
      <c r="B461" s="4849"/>
      <c r="C461" s="4849"/>
      <c r="D461" s="4849"/>
      <c r="E461" s="4849"/>
      <c r="F461" s="4849"/>
      <c r="G461" s="4849"/>
      <c r="H461" s="4849"/>
      <c r="I461" s="4849"/>
      <c r="J461" s="4850"/>
      <c r="K461" s="4580"/>
      <c r="L461" s="4580"/>
      <c r="M461" s="4580"/>
      <c r="N461" s="4580"/>
      <c r="O461" s="4580"/>
      <c r="P461" s="4580"/>
    </row>
    <row r="462">
      <c r="A462" s="4851" t="s">
        <v>4318</v>
      </c>
      <c r="B462" s="4724" t="s">
        <v>4319</v>
      </c>
      <c r="C462" s="4724"/>
      <c r="D462" s="4726" t="s">
        <v>4320</v>
      </c>
      <c r="E462" s="4852" t="s">
        <v>4321</v>
      </c>
      <c r="F462" s="4852" t="s">
        <v>4322</v>
      </c>
      <c r="G462" s="4853" t="s">
        <v>4334</v>
      </c>
      <c r="H462" s="4852" t="s">
        <v>4324</v>
      </c>
      <c r="I462" s="4852" t="s">
        <v>4325</v>
      </c>
      <c r="J462" s="4729" t="s">
        <v>4326</v>
      </c>
      <c r="K462" s="4586"/>
      <c r="L462" s="4586"/>
      <c r="M462" s="4586"/>
      <c r="N462" s="4586"/>
      <c r="O462" s="4586"/>
      <c r="P462" s="4586"/>
    </row>
    <row r="463">
      <c r="A463" s="4893" t="s">
        <v>4680</v>
      </c>
      <c r="B463" s="4573">
        <v>46247</v>
      </c>
      <c r="C463" s="4587" t="str">
        <v>Thursday</v>
      </c>
      <c r="D463" s="4668" t="s">
        <v>4681</v>
      </c>
      <c r="E463" s="4571">
        <f t="shared" ref="E463:E466" si="73">24*MOD(TIMEVALUE(TRIM(MID(D463,FIND("-",D463)+1,LEN(D463)))) - TIMEVALUE(TRIM(LEFT(D463,FIND("-",D463)-1))),1)</f>
      </c>
      <c r="F463" s="4575" t="s">
        <v>4655</v>
      </c>
      <c r="G463" s="4894"/>
      <c r="H463" s="4571"/>
      <c r="I463" s="4591" t="s">
        <v>4304</v>
      </c>
      <c r="J463" s="4895"/>
      <c r="K463" s="4572"/>
      <c r="L463" s="4572"/>
      <c r="M463" s="4572"/>
      <c r="N463" s="4572"/>
      <c r="O463" s="4572"/>
      <c r="P463" s="4572"/>
    </row>
    <row r="464">
      <c r="A464" s="4893" t="s">
        <v>4680</v>
      </c>
      <c r="B464" s="4573">
        <v>46250</v>
      </c>
      <c r="C464" s="4587" t="str">
        <v>Sunday</v>
      </c>
      <c r="D464" s="4668" t="s">
        <v>4682</v>
      </c>
      <c r="E464" s="4571">
        <f t="shared" si="73"/>
      </c>
      <c r="F464" s="4575" t="s">
        <v>4668</v>
      </c>
      <c r="G464" s="4894"/>
      <c r="H464" s="4571"/>
      <c r="I464" s="4591" t="s">
        <v>4304</v>
      </c>
      <c r="J464" s="4895"/>
      <c r="K464" s="4572"/>
      <c r="L464" s="4572"/>
      <c r="M464" s="4572"/>
      <c r="N464" s="4572"/>
      <c r="O464" s="4572"/>
      <c r="P464" s="4572"/>
    </row>
    <row customHeight="true" ht="18.452380952380953" r="465">
      <c r="A465" s="4893" t="s">
        <v>4683</v>
      </c>
      <c r="B465" s="4573">
        <v>46247</v>
      </c>
      <c r="C465" s="4587" t="str">
        <v>Thursday</v>
      </c>
      <c r="D465" s="4668" t="s">
        <v>4684</v>
      </c>
      <c r="E465" s="4571">
        <f t="shared" si="73"/>
      </c>
      <c r="F465" s="4575" t="s">
        <v>4660</v>
      </c>
      <c r="G465" s="4894"/>
      <c r="H465" s="4571"/>
      <c r="I465" s="4591" t="s">
        <v>4304</v>
      </c>
      <c r="J465" s="4895"/>
      <c r="K465" s="4572"/>
      <c r="L465" s="4572"/>
      <c r="M465" s="4572"/>
      <c r="N465" s="4572"/>
      <c r="O465" s="4572"/>
      <c r="P465" s="4572"/>
    </row>
    <row r="466">
      <c r="A466" s="4893" t="s">
        <v>4683</v>
      </c>
      <c r="B466" s="4573">
        <v>46250</v>
      </c>
      <c r="C466" s="4587" t="str">
        <v>Sunday</v>
      </c>
      <c r="D466" s="4668" t="s">
        <v>4685</v>
      </c>
      <c r="E466" s="4571">
        <f t="shared" si="73"/>
      </c>
      <c r="F466" s="4575" t="s">
        <v>4660</v>
      </c>
      <c r="G466" s="4894"/>
      <c r="H466" s="4571"/>
      <c r="I466" s="4591" t="s">
        <v>4304</v>
      </c>
      <c r="J466" s="4895"/>
      <c r="K466" s="4572"/>
      <c r="L466" s="4572"/>
      <c r="M466" s="4572"/>
      <c r="N466" s="4572"/>
      <c r="O466" s="4572"/>
      <c r="P466" s="4572"/>
    </row>
    <row customHeight="true" ht="16.071428571428573" r="467">
      <c r="A467" s="4893"/>
      <c r="B467" s="4587"/>
      <c r="C467" s="4587"/>
      <c r="D467" s="4571"/>
      <c r="E467" s="4571"/>
      <c r="F467" s="4571"/>
      <c r="G467" s="4896"/>
      <c r="H467" s="4571"/>
      <c r="I467" s="4862"/>
      <c r="J467" s="4895"/>
      <c r="K467" s="4572"/>
      <c r="L467" s="4572"/>
      <c r="M467" s="4572"/>
      <c r="N467" s="4572"/>
      <c r="O467" s="4572"/>
      <c r="P467" s="4572"/>
    </row>
    <row customHeight="true" ht="33.23485645144371" r="468">
      <c r="A468" s="4897" t="s">
        <v>4686</v>
      </c>
      <c r="B468" s="4897"/>
      <c r="C468" s="4897"/>
      <c r="D468" s="4897"/>
      <c r="E468" s="4897"/>
      <c r="F468" s="4897"/>
      <c r="G468" s="4897"/>
      <c r="H468" s="4897"/>
      <c r="I468" s="4897"/>
      <c r="J468" s="4898"/>
      <c r="K468" s="4580"/>
      <c r="L468" s="4580"/>
      <c r="M468" s="4580"/>
      <c r="N468" s="4580"/>
      <c r="O468" s="4580"/>
      <c r="P468" s="4580"/>
    </row>
    <row customHeight="true" ht="27.760108931548054" r="469">
      <c r="A469" s="4899" t="s">
        <v>4318</v>
      </c>
      <c r="B469" s="4900" t="s">
        <v>4319</v>
      </c>
      <c r="C469" s="4900"/>
      <c r="D469" s="4901" t="s">
        <v>4320</v>
      </c>
      <c r="E469" s="4901" t="s">
        <v>4321</v>
      </c>
      <c r="F469" s="4901" t="s">
        <v>4322</v>
      </c>
      <c r="G469" s="4902" t="s">
        <v>4334</v>
      </c>
      <c r="H469" s="4901" t="s">
        <v>4324</v>
      </c>
      <c r="I469" s="4901" t="s">
        <v>4325</v>
      </c>
      <c r="J469" s="4903" t="s">
        <v>4326</v>
      </c>
      <c r="K469" s="4586"/>
      <c r="L469" s="4586"/>
      <c r="M469" s="4586"/>
      <c r="N469" s="4586"/>
      <c r="O469" s="4586"/>
      <c r="P469" s="4586"/>
    </row>
    <row customHeight="true" ht="16.071428571428573" r="470">
      <c r="A470" s="4904" t="s">
        <v>4687</v>
      </c>
      <c r="B470" s="4905">
        <v>46244</v>
      </c>
      <c r="C470" s="4904" t="str">
        <v>Monday</v>
      </c>
      <c r="D470" s="4906" t="s">
        <v>4688</v>
      </c>
      <c r="E470" s="4907">
        <f t="shared" ref="E470:E476" si="74">24*MOD(TIMEVALUE(TRIM(MID(D470,FIND("-",D470)+1,LEN(D470)))) - TIMEVALUE(TRIM(LEFT(D470,FIND("-",D470)-1))),1)</f>
      </c>
      <c r="F470" s="4908" t="s">
        <v>4634</v>
      </c>
      <c r="G470" s="4909"/>
      <c r="H470" s="4907" t="s">
        <v>4316</v>
      </c>
      <c r="I470" s="4591" t="s">
        <v>4304</v>
      </c>
      <c r="J470" s="4910"/>
      <c r="K470" s="4572"/>
      <c r="L470" s="4572"/>
      <c r="M470" s="4572"/>
      <c r="N470" s="4572"/>
      <c r="O470" s="4572"/>
      <c r="P470" s="4572"/>
    </row>
    <row customHeight="true" ht="16.071428571428573" r="471">
      <c r="A471" s="4904" t="s">
        <v>4687</v>
      </c>
      <c r="B471" s="4905">
        <v>46244</v>
      </c>
      <c r="C471" s="4904" t="str">
        <v>Monday</v>
      </c>
      <c r="D471" s="4906" t="s">
        <v>4415</v>
      </c>
      <c r="E471" s="4907">
        <f t="shared" si="74"/>
      </c>
      <c r="F471" s="4908" t="s">
        <v>4634</v>
      </c>
      <c r="G471" s="4909"/>
      <c r="H471" s="4907" t="s">
        <v>4316</v>
      </c>
      <c r="I471" s="4591" t="s">
        <v>4304</v>
      </c>
      <c r="J471" s="4910"/>
      <c r="K471" s="4572"/>
      <c r="L471" s="4572"/>
      <c r="M471" s="4572"/>
      <c r="N471" s="4572"/>
      <c r="O471" s="4572"/>
      <c r="P471" s="4572"/>
    </row>
    <row customHeight="true" ht="16.071428571428573" r="472">
      <c r="A472" s="4587" t="s">
        <v>4687</v>
      </c>
      <c r="B472" s="4573">
        <v>46246</v>
      </c>
      <c r="C472" s="4587" t="str">
        <v>Wednesday</v>
      </c>
      <c r="D472" s="4567" t="s">
        <v>4603</v>
      </c>
      <c r="E472" s="4571">
        <f t="shared" si="74"/>
      </c>
      <c r="F472" s="4575" t="s">
        <v>4374</v>
      </c>
      <c r="G472" s="4703"/>
      <c r="H472" s="4571" t="s">
        <v>4316</v>
      </c>
      <c r="I472" s="4591" t="s">
        <v>4304</v>
      </c>
      <c r="J472" s="4590"/>
      <c r="K472" s="4572"/>
      <c r="L472" s="4572"/>
      <c r="M472" s="4572"/>
      <c r="N472" s="4572"/>
      <c r="O472" s="4572"/>
      <c r="P472" s="4572"/>
    </row>
    <row customHeight="true" ht="16.071428571428573" r="473">
      <c r="A473" s="4911" t="s">
        <v>4687</v>
      </c>
      <c r="B473" s="4905">
        <v>46247</v>
      </c>
      <c r="C473" s="4911" t="str">
        <v>Thursday</v>
      </c>
      <c r="D473" s="4906" t="s">
        <v>4466</v>
      </c>
      <c r="E473" s="4912">
        <f t="shared" si="74"/>
      </c>
      <c r="F473" s="4908" t="s">
        <v>4634</v>
      </c>
      <c r="G473" s="4913"/>
      <c r="H473" s="4912" t="s">
        <v>4316</v>
      </c>
      <c r="I473" s="4591" t="s">
        <v>4304</v>
      </c>
      <c r="J473" s="4914"/>
      <c r="K473" s="4798"/>
      <c r="L473" s="4798"/>
      <c r="M473" s="4798"/>
      <c r="N473" s="4798"/>
      <c r="O473" s="4798"/>
      <c r="P473" s="4798"/>
    </row>
    <row customHeight="true" ht="16.071428571428573" r="474">
      <c r="A474" s="4695" t="s">
        <v>4687</v>
      </c>
      <c r="B474" s="4696">
        <v>46248</v>
      </c>
      <c r="C474" s="4695" t="str">
        <v>Friday</v>
      </c>
      <c r="D474" s="4567" t="s">
        <v>4429</v>
      </c>
      <c r="E474" s="4676">
        <f t="shared" si="74"/>
      </c>
      <c r="F474" s="4575" t="s">
        <v>4471</v>
      </c>
      <c r="G474" s="4915"/>
      <c r="H474" s="4676" t="s">
        <v>4316</v>
      </c>
      <c r="I474" s="4591" t="s">
        <v>4304</v>
      </c>
      <c r="J474" s="4916"/>
      <c r="K474" s="4798"/>
      <c r="L474" s="4798"/>
      <c r="M474" s="4798"/>
      <c r="N474" s="4798"/>
      <c r="O474" s="4798"/>
      <c r="P474" s="4798"/>
    </row>
    <row customHeight="true" ht="16.071428571428573" r="475">
      <c r="A475" s="4911" t="s">
        <v>4687</v>
      </c>
      <c r="B475" s="4905">
        <v>46249</v>
      </c>
      <c r="C475" s="4911" t="str">
        <v>Saturday</v>
      </c>
      <c r="D475" s="4917" t="s">
        <v>4500</v>
      </c>
      <c r="E475" s="4912">
        <f t="shared" si="74"/>
      </c>
      <c r="F475" s="4908" t="s">
        <v>4471</v>
      </c>
      <c r="G475" s="4913"/>
      <c r="H475" s="4912" t="s">
        <v>4316</v>
      </c>
      <c r="I475" s="4591" t="s">
        <v>4304</v>
      </c>
      <c r="J475" s="4914"/>
      <c r="K475" s="4798"/>
      <c r="L475" s="4798"/>
      <c r="M475" s="4798"/>
      <c r="N475" s="4798"/>
      <c r="O475" s="4798"/>
      <c r="P475" s="4798"/>
    </row>
    <row customHeight="true" ht="16.071428571428573" r="476">
      <c r="A476" s="4687" t="s">
        <v>4687</v>
      </c>
      <c r="B476" s="4688">
        <v>46249</v>
      </c>
      <c r="C476" s="4687" t="str">
        <v>Saturday</v>
      </c>
      <c r="D476" s="4689" t="s">
        <v>4689</v>
      </c>
      <c r="E476" s="4867">
        <f t="shared" si="74"/>
      </c>
      <c r="F476" s="4690" t="s">
        <v>4482</v>
      </c>
      <c r="G476" s="4872"/>
      <c r="H476" s="4867" t="s">
        <v>4316</v>
      </c>
      <c r="I476" s="4690" t="s">
        <v>4304</v>
      </c>
      <c r="J476" s="4873"/>
      <c r="K476" s="4874"/>
      <c r="L476" s="4874"/>
      <c r="M476" s="4874"/>
      <c r="N476" s="4874"/>
      <c r="O476" s="4874"/>
      <c r="P476" s="4874"/>
      <c r="Q476" s="4694"/>
      <c r="R476" s="4694"/>
      <c r="S476" s="4694"/>
      <c r="T476" s="4694"/>
      <c r="U476" s="4694"/>
      <c r="V476" s="4694"/>
      <c r="W476" s="4694"/>
      <c r="X476" s="4694"/>
      <c r="Y476" s="4694"/>
    </row>
    <row customHeight="true" ht="16.071428571428573" r="477">
      <c r="A477" s="4695"/>
      <c r="B477" s="4696"/>
      <c r="C477" s="4695"/>
      <c r="D477" s="4567"/>
      <c r="E477" s="4676"/>
      <c r="F477" s="4575"/>
      <c r="G477" s="4915"/>
      <c r="H477" s="4676"/>
      <c r="I477" s="4591"/>
      <c r="J477" s="4916"/>
      <c r="K477" s="4798"/>
      <c r="L477" s="4798"/>
      <c r="M477" s="4798"/>
      <c r="N477" s="4798"/>
      <c r="O477" s="4798"/>
      <c r="P477" s="4798"/>
    </row>
    <row customHeight="true" ht="16.071428571428573" r="478">
      <c r="A478" s="4587"/>
      <c r="B478" s="4573"/>
      <c r="C478" s="4587"/>
      <c r="D478" s="4567"/>
      <c r="E478" s="4571"/>
      <c r="F478" s="4856"/>
      <c r="G478" s="4609"/>
      <c r="H478" s="4571"/>
      <c r="I478" s="4591"/>
      <c r="J478" s="4568"/>
      <c r="K478" s="4572"/>
      <c r="L478" s="4572"/>
      <c r="M478" s="4572"/>
      <c r="N478" s="4572"/>
      <c r="O478" s="4572"/>
      <c r="P478" s="4572"/>
    </row>
    <row customHeight="true" ht="16.071428571428573" r="479">
      <c r="A479" s="4687" t="s">
        <v>4690</v>
      </c>
      <c r="B479" s="4688">
        <v>46244</v>
      </c>
      <c r="C479" s="4687" t="str">
        <v>Monday</v>
      </c>
      <c r="D479" s="4689" t="s">
        <v>4691</v>
      </c>
      <c r="E479" s="4690">
        <f t="shared" ref="E479:E487" si="75">24*MOD(TIMEVALUE(TRIM(MID(D479,FIND("-",D479)+1,LEN(D479)))) - TIMEVALUE(TRIM(LEFT(D479,FIND("-",D479)-1))),1)</f>
      </c>
      <c r="F479" s="4867" t="s">
        <v>4666</v>
      </c>
      <c r="G479" s="4706"/>
      <c r="H479" s="4690" t="s">
        <v>4316</v>
      </c>
      <c r="I479" s="4690" t="s">
        <v>4304</v>
      </c>
      <c r="J479" s="4747"/>
      <c r="K479" s="4693"/>
      <c r="L479" s="4693"/>
      <c r="M479" s="4693"/>
      <c r="N479" s="4693"/>
      <c r="O479" s="4693"/>
      <c r="P479" s="4693"/>
      <c r="Q479" s="4694"/>
      <c r="R479" s="4694"/>
      <c r="S479" s="4694"/>
      <c r="T479" s="4694"/>
      <c r="U479" s="4694"/>
      <c r="V479" s="4694"/>
      <c r="W479" s="4694"/>
      <c r="X479" s="4694"/>
      <c r="Y479" s="4694"/>
    </row>
    <row customHeight="true" ht="16.071428571428573" r="480">
      <c r="A480" s="4695" t="s">
        <v>4690</v>
      </c>
      <c r="B480" s="4696">
        <v>46244</v>
      </c>
      <c r="C480" s="4695" t="str">
        <v>Monday</v>
      </c>
      <c r="D480" s="4697" t="s">
        <v>4692</v>
      </c>
      <c r="E480" s="4575">
        <f t="shared" si="75"/>
      </c>
      <c r="F480" s="4676" t="s">
        <v>4660</v>
      </c>
      <c r="G480" s="4708"/>
      <c r="H480" s="4575" t="s">
        <v>4316</v>
      </c>
      <c r="I480" s="4575" t="s">
        <v>4332</v>
      </c>
      <c r="J480" s="4823"/>
      <c r="K480" s="4572"/>
      <c r="L480" s="4572"/>
      <c r="M480" s="4572"/>
      <c r="N480" s="4572"/>
      <c r="O480" s="4572"/>
      <c r="P480" s="4572"/>
      <c r="Q480" s="4640"/>
      <c r="R480" s="4640"/>
      <c r="S480" s="4640"/>
      <c r="T480" s="4640"/>
      <c r="U480" s="4640"/>
      <c r="V480" s="4640"/>
      <c r="W480" s="4640"/>
      <c r="X480" s="4640"/>
      <c r="Y480" s="4640"/>
    </row>
    <row customHeight="true" ht="16.071428571428573" r="481">
      <c r="A481" s="4687" t="s">
        <v>4690</v>
      </c>
      <c r="B481" s="4688">
        <v>46246</v>
      </c>
      <c r="C481" s="4687" t="str">
        <v>Wednesday</v>
      </c>
      <c r="D481" s="4689" t="s">
        <v>4693</v>
      </c>
      <c r="E481" s="4690">
        <f t="shared" si="75"/>
      </c>
      <c r="F481" s="4867" t="s">
        <v>4666</v>
      </c>
      <c r="G481" s="4706"/>
      <c r="H481" s="4690" t="s">
        <v>4316</v>
      </c>
      <c r="I481" s="4690" t="s">
        <v>4304</v>
      </c>
      <c r="J481" s="4747"/>
      <c r="K481" s="4693"/>
      <c r="L481" s="4693"/>
      <c r="M481" s="4693"/>
      <c r="N481" s="4693"/>
      <c r="O481" s="4693"/>
      <c r="P481" s="4693"/>
      <c r="Q481" s="4694"/>
      <c r="R481" s="4694"/>
      <c r="S481" s="4694"/>
      <c r="T481" s="4694"/>
      <c r="U481" s="4694"/>
      <c r="V481" s="4694"/>
      <c r="W481" s="4694"/>
      <c r="X481" s="4694"/>
      <c r="Y481" s="4694"/>
    </row>
    <row customHeight="true" ht="16.071428571428573" r="482">
      <c r="A482" s="4695" t="s">
        <v>4690</v>
      </c>
      <c r="B482" s="4696">
        <v>46246</v>
      </c>
      <c r="C482" s="4695" t="str">
        <v>Wednesday</v>
      </c>
      <c r="D482" s="4697" t="s">
        <v>4694</v>
      </c>
      <c r="E482" s="4575">
        <f t="shared" si="75"/>
      </c>
      <c r="F482" s="4676" t="s">
        <v>4348</v>
      </c>
      <c r="G482" s="4708"/>
      <c r="H482" s="4575" t="s">
        <v>4316</v>
      </c>
      <c r="I482" s="4575" t="s">
        <v>4332</v>
      </c>
      <c r="J482" s="4823"/>
      <c r="K482" s="4572"/>
      <c r="L482" s="4572"/>
      <c r="M482" s="4572"/>
      <c r="N482" s="4572"/>
      <c r="O482" s="4572"/>
      <c r="P482" s="4572"/>
      <c r="Q482" s="4640"/>
      <c r="R482" s="4640"/>
      <c r="S482" s="4640"/>
      <c r="T482" s="4640"/>
      <c r="U482" s="4640"/>
      <c r="V482" s="4640"/>
      <c r="W482" s="4640"/>
      <c r="X482" s="4640"/>
      <c r="Y482" s="4640"/>
    </row>
    <row customHeight="true" ht="16.071428571428573" r="483">
      <c r="A483" s="4687" t="s">
        <v>4690</v>
      </c>
      <c r="B483" s="4688">
        <v>46247</v>
      </c>
      <c r="C483" s="4687" t="str">
        <v>Thursday</v>
      </c>
      <c r="D483" s="4689" t="s">
        <v>4691</v>
      </c>
      <c r="E483" s="4690">
        <f t="shared" si="75"/>
      </c>
      <c r="F483" s="4867" t="s">
        <v>4666</v>
      </c>
      <c r="G483" s="4706"/>
      <c r="H483" s="4690" t="s">
        <v>4316</v>
      </c>
      <c r="I483" s="4690" t="s">
        <v>4304</v>
      </c>
      <c r="J483" s="4747"/>
      <c r="K483" s="4693"/>
      <c r="L483" s="4693"/>
      <c r="M483" s="4693"/>
      <c r="N483" s="4693"/>
      <c r="O483" s="4693"/>
      <c r="P483" s="4693"/>
      <c r="Q483" s="4694"/>
      <c r="R483" s="4694"/>
      <c r="S483" s="4694"/>
      <c r="T483" s="4694"/>
      <c r="U483" s="4694"/>
      <c r="V483" s="4694"/>
      <c r="W483" s="4694"/>
      <c r="X483" s="4694"/>
      <c r="Y483" s="4694"/>
    </row>
    <row customHeight="true" ht="16.071428571428573" r="484">
      <c r="A484" s="4695" t="s">
        <v>4690</v>
      </c>
      <c r="B484" s="4695">
        <v>46247</v>
      </c>
      <c r="C484" s="4695" t="str">
        <v>Thursday</v>
      </c>
      <c r="D484" s="4697" t="s">
        <v>4695</v>
      </c>
      <c r="E484" s="4575">
        <f t="shared" si="75"/>
      </c>
      <c r="F484" s="4676" t="s">
        <v>4348</v>
      </c>
      <c r="G484" s="4708"/>
      <c r="H484" s="4575" t="s">
        <v>4316</v>
      </c>
      <c r="I484" s="4575" t="s">
        <v>4332</v>
      </c>
      <c r="J484" s="4823"/>
      <c r="K484" s="4572"/>
      <c r="L484" s="4572"/>
      <c r="M484" s="4572"/>
      <c r="N484" s="4572"/>
      <c r="O484" s="4572"/>
      <c r="P484" s="4572"/>
      <c r="Q484" s="4611"/>
      <c r="R484" s="4611"/>
      <c r="S484" s="4611"/>
      <c r="T484" s="4611"/>
      <c r="U484" s="4611"/>
      <c r="V484" s="4611"/>
      <c r="W484" s="4611"/>
      <c r="X484" s="4611"/>
      <c r="Y484" s="4611"/>
    </row>
    <row customHeight="true" ht="16.071428571428573" r="485">
      <c r="A485" s="4587" t="s">
        <v>4690</v>
      </c>
      <c r="B485" s="4573">
        <v>46248</v>
      </c>
      <c r="C485" s="4587" t="str">
        <v>Friday</v>
      </c>
      <c r="D485" s="4567" t="s">
        <v>4696</v>
      </c>
      <c r="E485" s="4571">
        <f t="shared" si="75"/>
      </c>
      <c r="F485" s="4676" t="s">
        <v>4697</v>
      </c>
      <c r="G485" s="4609"/>
      <c r="H485" s="4571" t="s">
        <v>4316</v>
      </c>
      <c r="I485" s="4591" t="s">
        <v>4304</v>
      </c>
      <c r="J485" s="4568"/>
      <c r="K485" s="4572"/>
      <c r="L485" s="4572"/>
      <c r="M485" s="4572"/>
      <c r="N485" s="4572"/>
      <c r="O485" s="4572"/>
      <c r="P485" s="4572"/>
    </row>
    <row customHeight="true" ht="16.071428571428573" r="486">
      <c r="A486" s="4687" t="s">
        <v>4690</v>
      </c>
      <c r="B486" s="4688">
        <v>46249</v>
      </c>
      <c r="C486" s="4687" t="str">
        <v>Saturday</v>
      </c>
      <c r="D486" s="4689" t="s">
        <v>4698</v>
      </c>
      <c r="E486" s="4690">
        <f t="shared" si="75"/>
      </c>
      <c r="F486" s="4867" t="s">
        <v>4666</v>
      </c>
      <c r="G486" s="4706"/>
      <c r="H486" s="4690" t="s">
        <v>4316</v>
      </c>
      <c r="I486" s="4690" t="s">
        <v>4332</v>
      </c>
      <c r="J486" s="4747"/>
      <c r="K486" s="4693"/>
      <c r="L486" s="4693"/>
      <c r="M486" s="4693"/>
      <c r="N486" s="4693"/>
      <c r="O486" s="4693"/>
      <c r="P486" s="4693"/>
      <c r="Q486" s="4694"/>
      <c r="R486" s="4694"/>
      <c r="S486" s="4694"/>
      <c r="T486" s="4694"/>
      <c r="U486" s="4694"/>
      <c r="V486" s="4694"/>
      <c r="W486" s="4694"/>
      <c r="X486" s="4694"/>
      <c r="Y486" s="4694"/>
    </row>
    <row customHeight="true" ht="16.071428571428573" r="487">
      <c r="A487" s="4695" t="s">
        <v>4690</v>
      </c>
      <c r="B487" s="4696">
        <v>46249</v>
      </c>
      <c r="C487" s="4695" t="str">
        <v>Saturday</v>
      </c>
      <c r="D487" s="4697" t="s">
        <v>4699</v>
      </c>
      <c r="E487" s="4575">
        <f t="shared" si="75"/>
      </c>
      <c r="F487" s="4676" t="s">
        <v>4348</v>
      </c>
      <c r="G487" s="4708"/>
      <c r="H487" s="4575" t="s">
        <v>4316</v>
      </c>
      <c r="I487" s="4575" t="s">
        <v>4332</v>
      </c>
      <c r="J487" s="4823"/>
      <c r="K487" s="4572"/>
      <c r="L487" s="4572"/>
      <c r="M487" s="4572"/>
      <c r="N487" s="4572"/>
      <c r="O487" s="4572"/>
      <c r="P487" s="4572"/>
      <c r="Q487" s="4640"/>
      <c r="R487" s="4640"/>
      <c r="S487" s="4640"/>
      <c r="T487" s="4640"/>
      <c r="U487" s="4640"/>
      <c r="V487" s="4640"/>
      <c r="W487" s="4640"/>
      <c r="X487" s="4640"/>
      <c r="Y487" s="4640"/>
    </row>
    <row customHeight="true" ht="16.071428571428573" r="488">
      <c r="A488" s="4587"/>
      <c r="B488" s="4573"/>
      <c r="C488" s="4587"/>
      <c r="D488" s="4591"/>
      <c r="E488" s="4571"/>
      <c r="F488" s="4856"/>
      <c r="G488" s="4609"/>
      <c r="H488" s="4571"/>
      <c r="I488" s="4591" t="s">
        <v>4332</v>
      </c>
      <c r="J488" s="4568"/>
      <c r="K488" s="4572"/>
      <c r="L488" s="4572"/>
      <c r="M488" s="4572"/>
      <c r="N488" s="4572"/>
      <c r="O488" s="4572"/>
      <c r="P488" s="4572"/>
    </row>
    <row customHeight="true" ht="16.071428571428573" r="489">
      <c r="A489" s="4687" t="s">
        <v>4700</v>
      </c>
      <c r="B489" s="4688">
        <v>46249</v>
      </c>
      <c r="C489" s="4687" t="str">
        <v>Saturday</v>
      </c>
      <c r="D489" s="4918" t="s">
        <v>4701</v>
      </c>
      <c r="E489" s="4690">
        <f>24*MOD(TIMEVALUE(TRIM(MID(D489,FIND("-",D489)+1,LEN(D489)))) - TIMEVALUE(TRIM(LEFT(D489,FIND("-",D489)-1))),1)</f>
      </c>
      <c r="F489" s="4690" t="s">
        <v>4482</v>
      </c>
      <c r="G489" s="4706"/>
      <c r="H489" s="4919" t="s">
        <v>4316</v>
      </c>
      <c r="I489" s="4690" t="s">
        <v>4332</v>
      </c>
      <c r="J489" s="4747"/>
      <c r="K489" s="4693"/>
      <c r="L489" s="4693"/>
      <c r="M489" s="4693"/>
      <c r="N489" s="4693"/>
      <c r="O489" s="4693"/>
      <c r="P489" s="4693"/>
      <c r="Q489" s="4694"/>
      <c r="R489" s="4694"/>
      <c r="S489" s="4694"/>
      <c r="T489" s="4694"/>
      <c r="U489" s="4694"/>
      <c r="V489" s="4694"/>
      <c r="W489" s="4694"/>
      <c r="X489" s="4694"/>
      <c r="Y489" s="4694"/>
    </row>
    <row customHeight="true" ht="16.071428571428573" r="490">
      <c r="A490" s="4893"/>
      <c r="B490" s="4587"/>
      <c r="C490" s="4587"/>
      <c r="D490" s="4571"/>
      <c r="E490" s="4571"/>
      <c r="F490" s="4571"/>
      <c r="G490" s="4896"/>
      <c r="H490" s="4571"/>
      <c r="I490" s="4575"/>
      <c r="J490" s="4895"/>
      <c r="K490" s="4572"/>
      <c r="L490" s="4572"/>
      <c r="M490" s="4572"/>
      <c r="N490" s="4572"/>
      <c r="O490" s="4572"/>
      <c r="P490" s="4572"/>
    </row>
    <row customHeight="true" ht="16.071428571428573" r="491">
      <c r="A491" s="4893"/>
      <c r="B491" s="4587"/>
      <c r="C491" s="4587"/>
      <c r="D491" s="4571"/>
      <c r="E491" s="4571"/>
      <c r="F491" s="4571"/>
      <c r="G491" s="4896"/>
      <c r="H491" s="4571"/>
      <c r="I491" s="4575"/>
      <c r="J491" s="4895"/>
      <c r="K491" s="4572"/>
      <c r="L491" s="4572"/>
      <c r="M491" s="4572"/>
      <c r="N491" s="4572"/>
      <c r="O491" s="4572"/>
      <c r="P491" s="4572"/>
    </row>
    <row customHeight="true" ht="16.071428571428573" r="492">
      <c r="A492" s="4893"/>
      <c r="B492" s="4587"/>
      <c r="C492" s="4587"/>
      <c r="D492" s="4571"/>
      <c r="E492" s="4571"/>
      <c r="F492" s="4571"/>
      <c r="G492" s="4896"/>
      <c r="H492" s="4571"/>
      <c r="I492" s="4575"/>
      <c r="J492" s="4895"/>
      <c r="K492" s="4572"/>
      <c r="L492" s="4572"/>
      <c r="M492" s="4572"/>
      <c r="N492" s="4572"/>
      <c r="O492" s="4572"/>
      <c r="P492" s="4572"/>
    </row>
    <row r="493">
      <c r="A493" s="4749"/>
      <c r="B493" s="4749"/>
      <c r="C493" s="4749"/>
      <c r="D493" s="4610"/>
      <c r="E493" s="4749"/>
      <c r="F493" s="4749"/>
      <c r="G493" s="4920"/>
      <c r="H493" s="4749"/>
      <c r="I493" s="4749"/>
      <c r="J493" s="4749"/>
      <c r="K493" s="4572"/>
      <c r="L493" s="4572"/>
      <c r="M493" s="4572"/>
      <c r="N493" s="4572"/>
      <c r="O493" s="4572"/>
      <c r="P493" s="4572"/>
    </row>
    <row r="494">
      <c r="A494" s="4587"/>
      <c r="B494" s="4587"/>
      <c r="C494" s="4587"/>
      <c r="D494" s="4591"/>
      <c r="E494" s="4591"/>
      <c r="F494" s="4576"/>
      <c r="G494" s="4703"/>
      <c r="H494" s="4571"/>
      <c r="I494" s="4591"/>
      <c r="J494" s="4590"/>
      <c r="K494" s="4572"/>
      <c r="L494" s="4572"/>
      <c r="M494" s="4572"/>
      <c r="N494" s="4572"/>
      <c r="O494" s="4572"/>
      <c r="P494" s="4572"/>
    </row>
    <row r="495">
      <c r="A495" s="4921" t="s">
        <v>4702</v>
      </c>
      <c r="B495" s="4921"/>
      <c r="C495" s="4921"/>
      <c r="D495" s="4921"/>
      <c r="E495" s="4921"/>
      <c r="F495" s="4921"/>
      <c r="G495" s="4921"/>
      <c r="H495" s="4921"/>
      <c r="I495" s="4921"/>
      <c r="J495" s="4922"/>
      <c r="K495" s="4580"/>
      <c r="L495" s="4580"/>
      <c r="M495" s="4580"/>
      <c r="N495" s="4580"/>
      <c r="O495" s="4580"/>
      <c r="P495" s="4580"/>
    </row>
    <row r="496">
      <c r="A496" s="4923" t="s">
        <v>4318</v>
      </c>
      <c r="B496" s="4924" t="s">
        <v>4319</v>
      </c>
      <c r="C496" s="4924"/>
      <c r="D496" s="4925" t="s">
        <v>4320</v>
      </c>
      <c r="E496" s="4925" t="s">
        <v>4321</v>
      </c>
      <c r="F496" s="4925" t="s">
        <v>4322</v>
      </c>
      <c r="G496" s="4926" t="s">
        <v>4334</v>
      </c>
      <c r="H496" s="4925" t="s">
        <v>4324</v>
      </c>
      <c r="I496" s="4925" t="s">
        <v>4325</v>
      </c>
      <c r="J496" s="4927" t="s">
        <v>4326</v>
      </c>
      <c r="K496" s="4586"/>
      <c r="L496" s="4586"/>
      <c r="M496" s="4586"/>
      <c r="N496" s="4586"/>
      <c r="O496" s="4586"/>
      <c r="P496" s="4586"/>
    </row>
    <row r="497">
      <c r="A497" s="4859" t="s">
        <v>4703</v>
      </c>
      <c r="B497" s="4860">
        <v>46245</v>
      </c>
      <c r="C497" s="4859" t="str">
        <v>Tuesday</v>
      </c>
      <c r="D497" s="4869" t="s">
        <v>4540</v>
      </c>
      <c r="E497" s="4862">
        <f t="shared" ref="E497:E531" si="76">24*MOD(TIMEVALUE(TRIM(MID(D497,FIND("-",D497)+1,LEN(D497)))) - TIMEVALUE(TRIM(LEFT(D497,FIND("-",D497)-1))),1)</f>
      </c>
      <c r="F497" s="4862" t="s">
        <v>4704</v>
      </c>
      <c r="G497" s="4708"/>
      <c r="H497" s="4575" t="s">
        <v>4303</v>
      </c>
      <c r="I497" s="4575"/>
      <c r="J497" s="4823"/>
      <c r="K497" s="4572"/>
      <c r="L497" s="4572"/>
      <c r="M497" s="4572"/>
      <c r="N497" s="4572"/>
      <c r="O497" s="4572"/>
      <c r="P497" s="4572"/>
    </row>
    <row r="498">
      <c r="A498" s="4859" t="s">
        <v>4703</v>
      </c>
      <c r="B498" s="4860">
        <v>46245</v>
      </c>
      <c r="C498" s="4859" t="str">
        <v>Tuesday</v>
      </c>
      <c r="D498" s="4869" t="s">
        <v>4437</v>
      </c>
      <c r="E498" s="4862">
        <f t="shared" si="76"/>
      </c>
      <c r="F498" s="4862" t="s">
        <v>4310</v>
      </c>
      <c r="G498" s="4708"/>
      <c r="H498" s="4575" t="s">
        <v>4303</v>
      </c>
      <c r="I498" s="4575" t="s">
        <v>4304</v>
      </c>
      <c r="J498" s="4823"/>
      <c r="K498" s="4572"/>
      <c r="L498" s="4572"/>
      <c r="M498" s="4572"/>
      <c r="N498" s="4572"/>
      <c r="O498" s="4572"/>
      <c r="P498" s="4572"/>
    </row>
    <row r="499">
      <c r="A499" s="4587" t="s">
        <v>4705</v>
      </c>
      <c r="B499" s="4573">
        <v>46245</v>
      </c>
      <c r="C499" s="4587" t="str">
        <v>Tuesday</v>
      </c>
      <c r="D499" s="4928" t="s">
        <v>4706</v>
      </c>
      <c r="E499" s="4591">
        <f t="shared" si="76"/>
      </c>
      <c r="F499" s="4591" t="s">
        <v>4310</v>
      </c>
      <c r="G499" s="4708"/>
      <c r="H499" s="4575" t="s">
        <v>4303</v>
      </c>
      <c r="I499" s="4575" t="s">
        <v>4304</v>
      </c>
      <c r="J499" s="4767"/>
      <c r="K499" s="4760"/>
      <c r="L499" s="4760"/>
      <c r="M499" s="4760"/>
      <c r="N499" s="4760"/>
      <c r="O499" s="4760"/>
      <c r="P499" s="4760"/>
    </row>
    <row r="500">
      <c r="A500" s="4587" t="s">
        <v>4705</v>
      </c>
      <c r="B500" s="4573">
        <v>46245</v>
      </c>
      <c r="C500" s="4587" t="str">
        <v>Tuesday</v>
      </c>
      <c r="D500" s="4928" t="s">
        <v>4707</v>
      </c>
      <c r="E500" s="4591">
        <f t="shared" si="76"/>
      </c>
      <c r="F500" s="4591" t="s">
        <v>4708</v>
      </c>
      <c r="G500" s="4708"/>
      <c r="H500" s="4575" t="s">
        <v>4303</v>
      </c>
      <c r="I500" s="4575" t="s">
        <v>4304</v>
      </c>
      <c r="J500" s="4823"/>
      <c r="K500" s="4572"/>
      <c r="L500" s="4572"/>
      <c r="M500" s="4572"/>
      <c r="N500" s="4572"/>
      <c r="O500" s="4572"/>
      <c r="P500" s="4572"/>
    </row>
    <row customHeight="true" ht="18.452380952380953" r="501">
      <c r="A501" s="4695" t="s">
        <v>4709</v>
      </c>
      <c r="B501" s="4573">
        <v>46246</v>
      </c>
      <c r="C501" s="4587" t="str">
        <v>Wednesday</v>
      </c>
      <c r="D501" s="4928" t="s">
        <v>4579</v>
      </c>
      <c r="E501" s="4591">
        <f t="shared" si="76"/>
      </c>
      <c r="F501" s="4929" t="s">
        <v>4710</v>
      </c>
      <c r="G501" s="4708"/>
      <c r="H501" s="4575" t="s">
        <v>4303</v>
      </c>
      <c r="I501" s="4575" t="s">
        <v>4304</v>
      </c>
      <c r="J501" s="4823"/>
      <c r="K501" s="4572"/>
      <c r="L501" s="4572"/>
      <c r="M501" s="4572"/>
      <c r="N501" s="4572"/>
      <c r="O501" s="4572"/>
      <c r="P501" s="4572"/>
    </row>
    <row r="502">
      <c r="A502" s="4859" t="s">
        <v>4703</v>
      </c>
      <c r="B502" s="4860">
        <v>46246</v>
      </c>
      <c r="C502" s="4859" t="str">
        <v>Wednesday</v>
      </c>
      <c r="D502" s="4869" t="s">
        <v>4540</v>
      </c>
      <c r="E502" s="4862">
        <f t="shared" si="76"/>
      </c>
      <c r="F502" s="4862" t="s">
        <v>4655</v>
      </c>
      <c r="G502" s="4708"/>
      <c r="H502" s="4575" t="s">
        <v>4303</v>
      </c>
      <c r="I502" s="4591" t="s">
        <v>4304</v>
      </c>
      <c r="J502" s="4823"/>
      <c r="K502" s="4572"/>
      <c r="L502" s="4572"/>
      <c r="M502" s="4572"/>
      <c r="N502" s="4572"/>
      <c r="O502" s="4572"/>
      <c r="P502" s="4572"/>
    </row>
    <row r="503">
      <c r="A503" s="4859" t="s">
        <v>4703</v>
      </c>
      <c r="B503" s="4860">
        <v>46246</v>
      </c>
      <c r="C503" s="4859" t="str">
        <v>Wednesday</v>
      </c>
      <c r="D503" s="4869" t="s">
        <v>4437</v>
      </c>
      <c r="E503" s="4862">
        <f t="shared" si="76"/>
      </c>
      <c r="F503" s="4930" t="s">
        <v>4710</v>
      </c>
      <c r="G503" s="4708"/>
      <c r="H503" s="4575" t="s">
        <v>4303</v>
      </c>
      <c r="I503" s="4575" t="s">
        <v>4304</v>
      </c>
      <c r="J503" s="4823"/>
      <c r="K503" s="4572"/>
      <c r="L503" s="4572"/>
      <c r="M503" s="4572"/>
      <c r="N503" s="4572"/>
      <c r="O503" s="4572"/>
      <c r="P503" s="4572"/>
    </row>
    <row r="504">
      <c r="A504" s="4587" t="s">
        <v>4705</v>
      </c>
      <c r="B504" s="4573">
        <v>46246</v>
      </c>
      <c r="C504" s="4587" t="str">
        <v>Wednesday</v>
      </c>
      <c r="D504" s="4928" t="s">
        <v>4711</v>
      </c>
      <c r="E504" s="4591">
        <f t="shared" si="76"/>
      </c>
      <c r="F504" s="4591" t="s">
        <v>4708</v>
      </c>
      <c r="G504" s="4708"/>
      <c r="H504" s="4575" t="s">
        <v>4303</v>
      </c>
      <c r="I504" s="4575" t="s">
        <v>4304</v>
      </c>
      <c r="J504" s="4823"/>
      <c r="K504" s="4572"/>
      <c r="L504" s="4572"/>
      <c r="M504" s="4572"/>
      <c r="N504" s="4572"/>
      <c r="O504" s="4572"/>
      <c r="P504" s="4572"/>
    </row>
    <row r="505">
      <c r="A505" s="4587" t="s">
        <v>4705</v>
      </c>
      <c r="B505" s="4573">
        <v>46246</v>
      </c>
      <c r="C505" s="4587" t="str">
        <v>Wednesday</v>
      </c>
      <c r="D505" s="4928" t="s">
        <v>4437</v>
      </c>
      <c r="E505" s="4591">
        <f t="shared" si="76"/>
      </c>
      <c r="F505" s="4591" t="s">
        <v>4310</v>
      </c>
      <c r="G505" s="4708"/>
      <c r="H505" s="4575" t="s">
        <v>4303</v>
      </c>
      <c r="I505" s="4575" t="s">
        <v>4304</v>
      </c>
      <c r="J505" s="4823"/>
      <c r="K505" s="4572"/>
      <c r="L505" s="4572"/>
      <c r="M505" s="4572"/>
      <c r="N505" s="4572"/>
      <c r="O505" s="4572"/>
      <c r="P505" s="4572"/>
    </row>
    <row customHeight="true" ht="18.452380952380953" r="506">
      <c r="A506" s="4695" t="s">
        <v>4709</v>
      </c>
      <c r="B506" s="4573">
        <v>46247</v>
      </c>
      <c r="C506" s="4587" t="str">
        <v>Thursday</v>
      </c>
      <c r="D506" s="4928" t="s">
        <v>4712</v>
      </c>
      <c r="E506" s="4591">
        <f t="shared" si="76"/>
      </c>
      <c r="F506" s="4575" t="s">
        <v>4704</v>
      </c>
      <c r="G506" s="4708"/>
      <c r="H506" s="4575" t="s">
        <v>4303</v>
      </c>
      <c r="I506" s="4575"/>
      <c r="J506" s="4823"/>
      <c r="K506" s="4572"/>
      <c r="L506" s="4572"/>
      <c r="M506" s="4572"/>
      <c r="N506" s="4572"/>
      <c r="O506" s="4572"/>
      <c r="P506" s="4572"/>
    </row>
    <row customHeight="true" ht="18.452380952380953" r="507">
      <c r="A507" s="4859" t="s">
        <v>4703</v>
      </c>
      <c r="B507" s="4860">
        <v>46247</v>
      </c>
      <c r="C507" s="4859" t="str">
        <v>Thursday</v>
      </c>
      <c r="D507" s="4869" t="s">
        <v>4540</v>
      </c>
      <c r="E507" s="4862">
        <f t="shared" si="76"/>
      </c>
      <c r="F507" s="4862" t="s">
        <v>4310</v>
      </c>
      <c r="G507" s="4708"/>
      <c r="H507" s="4575" t="s">
        <v>4303</v>
      </c>
      <c r="I507" s="4575" t="s">
        <v>4304</v>
      </c>
      <c r="J507" s="4823"/>
      <c r="K507" s="4572"/>
      <c r="L507" s="4572"/>
      <c r="M507" s="4572"/>
      <c r="N507" s="4572"/>
      <c r="O507" s="4572"/>
      <c r="P507" s="4572"/>
    </row>
    <row customHeight="true" ht="18.452380952380953" r="508">
      <c r="A508" s="4859" t="s">
        <v>4703</v>
      </c>
      <c r="B508" s="4860">
        <v>46247</v>
      </c>
      <c r="C508" s="4859" t="str">
        <v>Thursday</v>
      </c>
      <c r="D508" s="4869" t="s">
        <v>4410</v>
      </c>
      <c r="E508" s="4862">
        <f t="shared" si="76"/>
      </c>
      <c r="F508" s="4862" t="s">
        <v>4310</v>
      </c>
      <c r="G508" s="4708"/>
      <c r="H508" s="4575" t="s">
        <v>4303</v>
      </c>
      <c r="I508" s="4575" t="s">
        <v>4304</v>
      </c>
      <c r="J508" s="4823"/>
      <c r="K508" s="4572"/>
      <c r="L508" s="4572"/>
      <c r="M508" s="4572"/>
      <c r="N508" s="4572"/>
      <c r="O508" s="4572"/>
      <c r="P508" s="4572"/>
    </row>
    <row customHeight="true" ht="18.452380952380953" r="509">
      <c r="A509" s="4859" t="s">
        <v>4703</v>
      </c>
      <c r="B509" s="4860">
        <v>46247</v>
      </c>
      <c r="C509" s="4859" t="str">
        <v>Thursday</v>
      </c>
      <c r="D509" s="4869" t="s">
        <v>4689</v>
      </c>
      <c r="E509" s="4862">
        <f t="shared" si="76"/>
      </c>
      <c r="F509" s="4862" t="s">
        <v>4655</v>
      </c>
      <c r="G509" s="4708"/>
      <c r="H509" s="4575" t="s">
        <v>4303</v>
      </c>
      <c r="I509" s="4591" t="s">
        <v>4304</v>
      </c>
      <c r="J509" s="4823"/>
      <c r="K509" s="4572"/>
      <c r="L509" s="4572"/>
      <c r="M509" s="4572"/>
      <c r="N509" s="4572"/>
      <c r="O509" s="4572"/>
      <c r="P509" s="4572"/>
    </row>
    <row r="510">
      <c r="A510" s="4859" t="s">
        <v>4703</v>
      </c>
      <c r="B510" s="4860">
        <v>46247</v>
      </c>
      <c r="C510" s="4859" t="str">
        <v>Thursday</v>
      </c>
      <c r="D510" s="4869" t="s">
        <v>4409</v>
      </c>
      <c r="E510" s="4862">
        <f t="shared" si="76"/>
      </c>
      <c r="F510" s="4862" t="s">
        <v>4704</v>
      </c>
      <c r="G510" s="4708"/>
      <c r="H510" s="4575" t="s">
        <v>4303</v>
      </c>
      <c r="I510" s="4575"/>
      <c r="J510" s="4823"/>
      <c r="K510" s="4572"/>
      <c r="L510" s="4572"/>
      <c r="M510" s="4572"/>
      <c r="N510" s="4572"/>
      <c r="O510" s="4572"/>
      <c r="P510" s="4572"/>
    </row>
    <row r="511">
      <c r="A511" s="4859" t="s">
        <v>4703</v>
      </c>
      <c r="B511" s="4860">
        <v>46247</v>
      </c>
      <c r="C511" s="4859" t="str">
        <v>Thursday</v>
      </c>
      <c r="D511" s="4869" t="s">
        <v>4410</v>
      </c>
      <c r="E511" s="4862">
        <f t="shared" si="76"/>
      </c>
      <c r="F511" s="4862" t="s">
        <v>4311</v>
      </c>
      <c r="G511" s="4708"/>
      <c r="H511" s="4575" t="s">
        <v>4303</v>
      </c>
      <c r="I511" s="4575"/>
      <c r="J511" s="4823"/>
      <c r="K511" s="4572"/>
      <c r="L511" s="4572"/>
      <c r="M511" s="4572"/>
      <c r="N511" s="4572"/>
      <c r="O511" s="4572"/>
      <c r="P511" s="4572"/>
    </row>
    <row r="512">
      <c r="A512" s="4687" t="s">
        <v>4705</v>
      </c>
      <c r="B512" s="4688">
        <v>46247</v>
      </c>
      <c r="C512" s="4687" t="str">
        <v>Thursday</v>
      </c>
      <c r="D512" s="4931" t="s">
        <v>4711</v>
      </c>
      <c r="E512" s="4690">
        <f t="shared" si="76"/>
      </c>
      <c r="F512" s="4690" t="s">
        <v>4708</v>
      </c>
      <c r="G512" s="4932"/>
      <c r="H512" s="4690" t="s">
        <v>4303</v>
      </c>
      <c r="I512" s="4690" t="s">
        <v>4304</v>
      </c>
      <c r="J512" s="4771" t="s">
        <v>4713</v>
      </c>
      <c r="K512" s="4693"/>
      <c r="L512" s="4693"/>
      <c r="M512" s="4693"/>
      <c r="N512" s="4693"/>
      <c r="O512" s="4693"/>
      <c r="P512" s="4693"/>
      <c r="Q512" s="4694"/>
      <c r="R512" s="4694"/>
      <c r="S512" s="4694"/>
      <c r="T512" s="4694"/>
      <c r="U512" s="4694"/>
      <c r="V512" s="4694"/>
      <c r="W512" s="4694"/>
      <c r="X512" s="4694"/>
      <c r="Y512" s="4694"/>
    </row>
    <row r="513">
      <c r="A513" s="4587" t="s">
        <v>4705</v>
      </c>
      <c r="B513" s="4573">
        <v>46247</v>
      </c>
      <c r="C513" s="4587" t="str">
        <v>Thursday</v>
      </c>
      <c r="D513" s="4928" t="s">
        <v>4714</v>
      </c>
      <c r="E513" s="4591">
        <f t="shared" si="76"/>
      </c>
      <c r="F513" s="4575" t="s">
        <v>4311</v>
      </c>
      <c r="G513" s="4708"/>
      <c r="H513" s="4575" t="s">
        <v>4303</v>
      </c>
      <c r="I513" s="4575"/>
      <c r="J513" s="4823"/>
      <c r="K513" s="4572"/>
      <c r="L513" s="4572"/>
      <c r="M513" s="4572"/>
      <c r="N513" s="4572"/>
      <c r="O513" s="4572"/>
      <c r="P513" s="4572"/>
    </row>
    <row customHeight="true" ht="18.452380952380953" r="514">
      <c r="A514" s="4687" t="s">
        <v>4705</v>
      </c>
      <c r="B514" s="4688">
        <v>46247</v>
      </c>
      <c r="C514" s="4687" t="str">
        <v>Thursday</v>
      </c>
      <c r="D514" s="4931" t="s">
        <v>4437</v>
      </c>
      <c r="E514" s="4690">
        <f t="shared" si="76"/>
      </c>
      <c r="F514" s="4690" t="s">
        <v>4708</v>
      </c>
      <c r="G514" s="4706"/>
      <c r="H514" s="4690" t="s">
        <v>4303</v>
      </c>
      <c r="I514" s="4690" t="s">
        <v>4304</v>
      </c>
      <c r="J514" s="4771" t="s">
        <v>4713</v>
      </c>
      <c r="K514" s="4693"/>
      <c r="L514" s="4693"/>
      <c r="M514" s="4693"/>
      <c r="N514" s="4693"/>
      <c r="O514" s="4693"/>
      <c r="P514" s="4693"/>
      <c r="Q514" s="4694"/>
      <c r="R514" s="4694"/>
      <c r="S514" s="4694"/>
      <c r="T514" s="4694"/>
      <c r="U514" s="4694"/>
      <c r="V514" s="4694"/>
      <c r="W514" s="4694"/>
      <c r="X514" s="4694"/>
      <c r="Y514" s="4694"/>
    </row>
    <row customHeight="true" ht="18.452380952380953" r="515">
      <c r="A515" s="4695" t="s">
        <v>4709</v>
      </c>
      <c r="B515" s="4573">
        <v>46248</v>
      </c>
      <c r="C515" s="4587" t="str">
        <v>Friday</v>
      </c>
      <c r="D515" s="4928" t="s">
        <v>4417</v>
      </c>
      <c r="E515" s="4591">
        <f t="shared" si="76"/>
      </c>
      <c r="F515" s="4591" t="s">
        <v>4668</v>
      </c>
      <c r="G515" s="4708"/>
      <c r="H515" s="4575" t="s">
        <v>4303</v>
      </c>
      <c r="I515" s="4575" t="s">
        <v>4304</v>
      </c>
      <c r="J515" s="4823"/>
      <c r="K515" s="4572"/>
      <c r="L515" s="4572"/>
      <c r="M515" s="4572"/>
      <c r="N515" s="4572"/>
      <c r="O515" s="4572"/>
      <c r="P515" s="4572"/>
    </row>
    <row r="516">
      <c r="A516" s="4859" t="s">
        <v>4703</v>
      </c>
      <c r="B516" s="4860">
        <v>46248</v>
      </c>
      <c r="C516" s="4859" t="str">
        <v>Friday</v>
      </c>
      <c r="D516" s="4869" t="s">
        <v>4540</v>
      </c>
      <c r="E516" s="4862">
        <f t="shared" si="76"/>
      </c>
      <c r="F516" s="4862" t="s">
        <v>4655</v>
      </c>
      <c r="G516" s="4708"/>
      <c r="H516" s="4575" t="s">
        <v>4303</v>
      </c>
      <c r="I516" s="4591" t="s">
        <v>4304</v>
      </c>
      <c r="J516" s="4823"/>
      <c r="K516" s="4572"/>
      <c r="L516" s="4572"/>
      <c r="M516" s="4572"/>
      <c r="N516" s="4572"/>
      <c r="O516" s="4572"/>
      <c r="P516" s="4572"/>
    </row>
    <row r="517">
      <c r="A517" s="4859" t="s">
        <v>4703</v>
      </c>
      <c r="B517" s="4860">
        <v>46248</v>
      </c>
      <c r="C517" s="4859" t="str">
        <v>Friday</v>
      </c>
      <c r="D517" s="4869" t="s">
        <v>4437</v>
      </c>
      <c r="E517" s="4862">
        <f t="shared" si="76"/>
      </c>
      <c r="F517" s="4930" t="s">
        <v>4710</v>
      </c>
      <c r="G517" s="4708"/>
      <c r="H517" s="4575" t="s">
        <v>4303</v>
      </c>
      <c r="I517" s="4575" t="s">
        <v>4304</v>
      </c>
      <c r="J517" s="4823"/>
      <c r="K517" s="4572"/>
      <c r="L517" s="4572"/>
      <c r="M517" s="4572"/>
      <c r="N517" s="4572"/>
      <c r="O517" s="4572"/>
      <c r="P517" s="4572"/>
    </row>
    <row r="518">
      <c r="A518" s="4587" t="s">
        <v>4705</v>
      </c>
      <c r="B518" s="4573">
        <v>46248</v>
      </c>
      <c r="C518" s="4587" t="str">
        <v>Friday</v>
      </c>
      <c r="D518" s="4928" t="s">
        <v>4540</v>
      </c>
      <c r="E518" s="4591">
        <f t="shared" si="76"/>
      </c>
      <c r="F518" s="4591" t="s">
        <v>4708</v>
      </c>
      <c r="G518" s="4708"/>
      <c r="H518" s="4575" t="s">
        <v>4303</v>
      </c>
      <c r="I518" s="4575" t="s">
        <v>4304</v>
      </c>
      <c r="J518" s="4823"/>
      <c r="K518" s="4572"/>
      <c r="L518" s="4572"/>
      <c r="M518" s="4572"/>
      <c r="N518" s="4572"/>
      <c r="O518" s="4572"/>
      <c r="P518" s="4572"/>
    </row>
    <row r="519">
      <c r="A519" s="4587" t="s">
        <v>4705</v>
      </c>
      <c r="B519" s="4573">
        <v>46248</v>
      </c>
      <c r="C519" s="4587" t="str">
        <v>Friday</v>
      </c>
      <c r="D519" s="4928" t="s">
        <v>4437</v>
      </c>
      <c r="E519" s="4591">
        <f t="shared" si="76"/>
      </c>
      <c r="F519" s="4591" t="s">
        <v>4310</v>
      </c>
      <c r="G519" s="4708"/>
      <c r="H519" s="4575" t="s">
        <v>4303</v>
      </c>
      <c r="I519" s="4575" t="s">
        <v>4304</v>
      </c>
      <c r="J519" s="4933"/>
      <c r="K519" s="4934"/>
      <c r="L519" s="4934"/>
      <c r="M519" s="4934"/>
      <c r="N519" s="4934"/>
      <c r="O519" s="4934"/>
      <c r="P519" s="4934"/>
    </row>
    <row customHeight="true" ht="18.452380952380953" r="520">
      <c r="A520" s="4695" t="s">
        <v>4709</v>
      </c>
      <c r="B520" s="4573">
        <v>46249</v>
      </c>
      <c r="C520" s="4587" t="str">
        <v>Saturday</v>
      </c>
      <c r="D520" s="4928" t="s">
        <v>4715</v>
      </c>
      <c r="E520" s="4591">
        <f t="shared" si="76"/>
      </c>
      <c r="F520" s="4591" t="s">
        <v>4668</v>
      </c>
      <c r="G520" s="4708"/>
      <c r="H520" s="4575" t="s">
        <v>4303</v>
      </c>
      <c r="I520" s="4575" t="s">
        <v>4304</v>
      </c>
      <c r="J520" s="4823"/>
      <c r="K520" s="4572"/>
      <c r="L520" s="4572"/>
      <c r="M520" s="4572"/>
      <c r="N520" s="4572"/>
      <c r="O520" s="4572"/>
      <c r="P520" s="4572"/>
    </row>
    <row r="521">
      <c r="A521" s="4859" t="s">
        <v>4703</v>
      </c>
      <c r="B521" s="4860">
        <v>46249</v>
      </c>
      <c r="C521" s="4859" t="str">
        <v>Saturday</v>
      </c>
      <c r="D521" s="4869" t="s">
        <v>4540</v>
      </c>
      <c r="E521" s="4862">
        <f t="shared" si="76"/>
      </c>
      <c r="F521" s="4862" t="s">
        <v>4310</v>
      </c>
      <c r="G521" s="4708"/>
      <c r="H521" s="4575" t="s">
        <v>4303</v>
      </c>
      <c r="I521" s="4575" t="s">
        <v>4304</v>
      </c>
      <c r="J521" s="4935"/>
      <c r="K521" s="4936"/>
      <c r="L521" s="4936"/>
      <c r="M521" s="4936"/>
      <c r="N521" s="4936"/>
      <c r="O521" s="4936"/>
      <c r="P521" s="4936"/>
    </row>
    <row r="522">
      <c r="A522" s="4859" t="s">
        <v>4703</v>
      </c>
      <c r="B522" s="4860">
        <v>46249</v>
      </c>
      <c r="C522" s="4859" t="str">
        <v>Saturday</v>
      </c>
      <c r="D522" s="4869" t="s">
        <v>4437</v>
      </c>
      <c r="E522" s="4862">
        <f t="shared" si="76"/>
      </c>
      <c r="F522" s="4866" t="s">
        <v>4668</v>
      </c>
      <c r="G522" s="4708"/>
      <c r="H522" s="4575" t="s">
        <v>4303</v>
      </c>
      <c r="I522" s="4575" t="s">
        <v>4304</v>
      </c>
      <c r="J522" s="4935"/>
      <c r="K522" s="4936"/>
      <c r="L522" s="4936"/>
      <c r="M522" s="4936"/>
      <c r="N522" s="4936"/>
      <c r="O522" s="4936"/>
      <c r="P522" s="4936"/>
    </row>
    <row r="523">
      <c r="A523" s="4687" t="s">
        <v>4705</v>
      </c>
      <c r="B523" s="4688">
        <v>46249</v>
      </c>
      <c r="C523" s="4687" t="str">
        <v>Saturday</v>
      </c>
      <c r="D523" s="4931" t="s">
        <v>4716</v>
      </c>
      <c r="E523" s="4690">
        <f t="shared" si="76"/>
      </c>
      <c r="F523" s="4705" t="s">
        <v>4447</v>
      </c>
      <c r="G523" s="4706"/>
      <c r="H523" s="4690" t="s">
        <v>4303</v>
      </c>
      <c r="I523" s="4690"/>
      <c r="J523" s="4937" t="s">
        <v>4717</v>
      </c>
      <c r="K523" s="4938"/>
      <c r="L523" s="4938"/>
      <c r="M523" s="4938"/>
      <c r="N523" s="4938"/>
      <c r="O523" s="4938"/>
      <c r="P523" s="4938"/>
      <c r="Q523" s="4694"/>
      <c r="R523" s="4694"/>
      <c r="S523" s="4694"/>
      <c r="T523" s="4694"/>
      <c r="U523" s="4694"/>
      <c r="V523" s="4694"/>
      <c r="W523" s="4694"/>
      <c r="X523" s="4694"/>
      <c r="Y523" s="4694"/>
    </row>
    <row customHeight="true" ht="18.452380952380953" r="524">
      <c r="A524" s="4587" t="s">
        <v>4705</v>
      </c>
      <c r="B524" s="4573">
        <v>46249</v>
      </c>
      <c r="C524" s="4587" t="str">
        <v>Saturday</v>
      </c>
      <c r="D524" s="4928" t="s">
        <v>4716</v>
      </c>
      <c r="E524" s="4591">
        <f t="shared" si="76"/>
      </c>
      <c r="F524" s="4575" t="s">
        <v>4311</v>
      </c>
      <c r="G524" s="4708"/>
      <c r="H524" s="4575" t="s">
        <v>4303</v>
      </c>
      <c r="I524" s="4575"/>
      <c r="J524" s="4935"/>
      <c r="K524" s="4936"/>
      <c r="L524" s="4936"/>
      <c r="M524" s="4936"/>
      <c r="N524" s="4936"/>
      <c r="O524" s="4936"/>
      <c r="P524" s="4936"/>
    </row>
    <row r="525">
      <c r="A525" s="4587" t="s">
        <v>4705</v>
      </c>
      <c r="B525" s="4573">
        <v>46249</v>
      </c>
      <c r="C525" s="4587" t="str">
        <v>Saturday</v>
      </c>
      <c r="D525" s="4928" t="s">
        <v>4591</v>
      </c>
      <c r="E525" s="4591">
        <f t="shared" si="76"/>
      </c>
      <c r="F525" s="4591" t="s">
        <v>4310</v>
      </c>
      <c r="G525" s="4708"/>
      <c r="H525" s="4575" t="s">
        <v>4303</v>
      </c>
      <c r="I525" s="4575" t="s">
        <v>4304</v>
      </c>
      <c r="J525" s="4935"/>
      <c r="K525" s="4936"/>
      <c r="L525" s="4936"/>
      <c r="M525" s="4936"/>
      <c r="N525" s="4936"/>
      <c r="O525" s="4936"/>
      <c r="P525" s="4936"/>
    </row>
    <row r="526">
      <c r="A526" s="4859" t="s">
        <v>4703</v>
      </c>
      <c r="B526" s="4860">
        <v>46250</v>
      </c>
      <c r="C526" s="4859" t="str">
        <v>Sunday</v>
      </c>
      <c r="D526" s="4869" t="s">
        <v>4689</v>
      </c>
      <c r="E526" s="4862">
        <f t="shared" si="76"/>
      </c>
      <c r="F526" s="4862" t="s">
        <v>4655</v>
      </c>
      <c r="G526" s="4708"/>
      <c r="H526" s="4575" t="s">
        <v>4303</v>
      </c>
      <c r="I526" s="4591" t="s">
        <v>4304</v>
      </c>
      <c r="J526" s="4935"/>
      <c r="K526" s="4936"/>
      <c r="L526" s="4936"/>
      <c r="M526" s="4936"/>
      <c r="N526" s="4936"/>
      <c r="O526" s="4936"/>
      <c r="P526" s="4936"/>
    </row>
    <row r="527">
      <c r="A527" s="4859" t="s">
        <v>4703</v>
      </c>
      <c r="B527" s="4860">
        <v>46250</v>
      </c>
      <c r="C527" s="4859" t="str">
        <v>Sunday</v>
      </c>
      <c r="D527" s="4869" t="s">
        <v>4409</v>
      </c>
      <c r="E527" s="4862">
        <f t="shared" si="76"/>
      </c>
      <c r="F527" s="4862" t="s">
        <v>4310</v>
      </c>
      <c r="G527" s="4708"/>
      <c r="H527" s="4575" t="s">
        <v>4303</v>
      </c>
      <c r="I527" s="4575" t="s">
        <v>4304</v>
      </c>
      <c r="J527" s="4935"/>
      <c r="K527" s="4936"/>
      <c r="L527" s="4936"/>
      <c r="M527" s="4936"/>
      <c r="N527" s="4936"/>
      <c r="O527" s="4936"/>
      <c r="P527" s="4936"/>
    </row>
    <row customHeight="true" ht="18.452380952380953" r="528">
      <c r="A528" s="4859" t="s">
        <v>4703</v>
      </c>
      <c r="B528" s="4860">
        <v>46250</v>
      </c>
      <c r="C528" s="4859" t="str">
        <v>Sunday</v>
      </c>
      <c r="D528" s="4869" t="s">
        <v>4410</v>
      </c>
      <c r="E528" s="4862">
        <f t="shared" si="76"/>
      </c>
      <c r="F528" s="4862" t="s">
        <v>4311</v>
      </c>
      <c r="G528" s="4708"/>
      <c r="H528" s="4575" t="s">
        <v>4303</v>
      </c>
      <c r="I528" s="4575"/>
      <c r="J528" s="4935"/>
      <c r="K528" s="4936"/>
      <c r="L528" s="4936"/>
      <c r="M528" s="4936"/>
      <c r="N528" s="4936"/>
      <c r="O528" s="4936"/>
      <c r="P528" s="4936"/>
    </row>
    <row r="529">
      <c r="A529" s="4587" t="s">
        <v>4705</v>
      </c>
      <c r="B529" s="4573">
        <v>46250</v>
      </c>
      <c r="C529" s="4587" t="str">
        <v>Sunday</v>
      </c>
      <c r="D529" s="4928" t="s">
        <v>4718</v>
      </c>
      <c r="E529" s="4591">
        <f t="shared" si="76"/>
      </c>
      <c r="F529" s="4591" t="s">
        <v>4310</v>
      </c>
      <c r="G529" s="4708"/>
      <c r="H529" s="4575" t="s">
        <v>4303</v>
      </c>
      <c r="I529" s="4575" t="s">
        <v>4304</v>
      </c>
      <c r="J529" s="4935"/>
      <c r="K529" s="4936"/>
      <c r="L529" s="4936"/>
      <c r="M529" s="4936"/>
      <c r="N529" s="4936"/>
      <c r="O529" s="4936"/>
      <c r="P529" s="4936"/>
    </row>
    <row customHeight="true" ht="18.452380952380953" r="530">
      <c r="A530" s="4587" t="s">
        <v>4705</v>
      </c>
      <c r="B530" s="4573">
        <v>46250</v>
      </c>
      <c r="C530" s="4587" t="str">
        <v>Sunday</v>
      </c>
      <c r="D530" s="4928" t="s">
        <v>4409</v>
      </c>
      <c r="E530" s="4591">
        <f t="shared" si="76"/>
      </c>
      <c r="F530" s="4575" t="s">
        <v>4311</v>
      </c>
      <c r="G530" s="4708"/>
      <c r="H530" s="4575" t="s">
        <v>4303</v>
      </c>
      <c r="I530" s="4575"/>
      <c r="J530" s="4935"/>
      <c r="K530" s="4936"/>
      <c r="L530" s="4936"/>
      <c r="M530" s="4936"/>
      <c r="N530" s="4936"/>
      <c r="O530" s="4936"/>
      <c r="P530" s="4936"/>
    </row>
    <row r="531">
      <c r="A531" s="4587" t="s">
        <v>4705</v>
      </c>
      <c r="B531" s="4573">
        <v>46250</v>
      </c>
      <c r="C531" s="4587" t="str">
        <v>Sunday</v>
      </c>
      <c r="D531" s="4928" t="s">
        <v>4410</v>
      </c>
      <c r="E531" s="4591">
        <f t="shared" si="76"/>
      </c>
      <c r="F531" s="4576" t="s">
        <v>4447</v>
      </c>
      <c r="G531" s="4708"/>
      <c r="H531" s="4575" t="s">
        <v>4303</v>
      </c>
      <c r="I531" s="4575"/>
      <c r="J531" s="4935"/>
      <c r="K531" s="4936"/>
      <c r="L531" s="4936"/>
      <c r="M531" s="4936"/>
      <c r="N531" s="4936"/>
      <c r="O531" s="4936"/>
      <c r="P531" s="4936"/>
    </row>
    <row customHeight="true" ht="16.071428571428573" r="532">
      <c r="A532" s="4939"/>
      <c r="B532" s="4695"/>
      <c r="C532" s="4695"/>
      <c r="D532" s="4575"/>
      <c r="E532" s="4575"/>
      <c r="F532" s="4575"/>
      <c r="G532" s="4708"/>
      <c r="H532" s="4575"/>
      <c r="I532" s="4575"/>
      <c r="J532" s="4823"/>
      <c r="K532" s="4572"/>
      <c r="L532" s="4572"/>
      <c r="M532" s="4572"/>
      <c r="N532" s="4572"/>
      <c r="O532" s="4572"/>
      <c r="P532" s="4572"/>
    </row>
    <row r="533">
      <c r="A533" s="4940" t="s">
        <v>4719</v>
      </c>
      <c r="B533" s="4940"/>
      <c r="C533" s="4940"/>
      <c r="D533" s="4940"/>
      <c r="E533" s="4940"/>
      <c r="F533" s="4940"/>
      <c r="G533" s="4940"/>
      <c r="H533" s="4940"/>
      <c r="I533" s="4940"/>
      <c r="J533" s="4941"/>
      <c r="K533" s="4580"/>
      <c r="L533" s="4580"/>
      <c r="M533" s="4580"/>
      <c r="N533" s="4580"/>
      <c r="O533" s="4580"/>
      <c r="P533" s="4580"/>
    </row>
    <row r="534">
      <c r="A534" s="4942" t="s">
        <v>4318</v>
      </c>
      <c r="B534" s="4943" t="s">
        <v>4319</v>
      </c>
      <c r="C534" s="4943"/>
      <c r="D534" s="4944" t="s">
        <v>4320</v>
      </c>
      <c r="E534" s="4944" t="s">
        <v>4321</v>
      </c>
      <c r="F534" s="4944" t="s">
        <v>4322</v>
      </c>
      <c r="G534" s="4945" t="s">
        <v>4334</v>
      </c>
      <c r="H534" s="4944" t="s">
        <v>4324</v>
      </c>
      <c r="I534" s="4944" t="s">
        <v>4325</v>
      </c>
      <c r="J534" s="4946" t="s">
        <v>4326</v>
      </c>
      <c r="K534" s="4586"/>
      <c r="L534" s="4586"/>
      <c r="M534" s="4586"/>
      <c r="N534" s="4586"/>
      <c r="O534" s="4586"/>
      <c r="P534" s="4586"/>
    </row>
    <row customHeight="true" ht="18.452380952380953" r="535">
      <c r="A535" s="4587" t="s">
        <v>4720</v>
      </c>
      <c r="B535" s="4573">
        <v>46245</v>
      </c>
      <c r="C535" s="4587" t="str">
        <v>Tuesday</v>
      </c>
      <c r="D535" s="4668" t="s">
        <v>4721</v>
      </c>
      <c r="E535" s="4571">
        <f t="shared" ref="E535:E565" si="77">24*MOD(TIMEVALUE(TRIM(MID(D535,FIND("-",D535)+1,LEN(D535)))) - TIMEVALUE(TRIM(LEFT(D535,FIND("-",D535)-1))),1)</f>
      </c>
      <c r="F535" s="4591" t="s">
        <v>4722</v>
      </c>
      <c r="G535" s="4703"/>
      <c r="H535" s="4571" t="s">
        <v>4303</v>
      </c>
      <c r="I535" s="4571" t="s">
        <v>4304</v>
      </c>
      <c r="J535" s="4590"/>
      <c r="K535" s="4572"/>
      <c r="L535" s="4572"/>
      <c r="M535" s="4572"/>
      <c r="N535" s="4572"/>
      <c r="O535" s="4572"/>
      <c r="P535" s="4572"/>
    </row>
    <row customHeight="true" ht="18.452380952380953" r="536">
      <c r="A536" s="4587" t="s">
        <v>4723</v>
      </c>
      <c r="B536" s="4573">
        <v>46245</v>
      </c>
      <c r="C536" s="4587" t="str">
        <v>Tuesday</v>
      </c>
      <c r="D536" s="4668" t="s">
        <v>4724</v>
      </c>
      <c r="E536" s="4571">
        <f t="shared" si="77"/>
      </c>
      <c r="F536" s="4591" t="s">
        <v>4722</v>
      </c>
      <c r="G536" s="4703"/>
      <c r="H536" s="4571" t="s">
        <v>4303</v>
      </c>
      <c r="I536" s="4571" t="s">
        <v>4304</v>
      </c>
      <c r="J536" s="4590"/>
      <c r="K536" s="4572"/>
      <c r="L536" s="4572"/>
      <c r="M536" s="4572"/>
      <c r="N536" s="4572"/>
      <c r="O536" s="4572"/>
      <c r="P536" s="4572"/>
    </row>
    <row customHeight="true" ht="18.452380952380953" r="537">
      <c r="A537" s="4859" t="s">
        <v>4725</v>
      </c>
      <c r="B537" s="4860">
        <v>46245</v>
      </c>
      <c r="C537" s="4859" t="str">
        <v>Tuesday</v>
      </c>
      <c r="D537" s="4869" t="s">
        <v>4726</v>
      </c>
      <c r="E537" s="4862">
        <f t="shared" si="77"/>
      </c>
      <c r="F537" s="4866" t="s">
        <v>4727</v>
      </c>
      <c r="G537" s="4947"/>
      <c r="H537" s="4866" t="s">
        <v>4303</v>
      </c>
      <c r="I537" s="4866" t="s">
        <v>4304</v>
      </c>
      <c r="J537" s="4948"/>
      <c r="K537" s="4572"/>
      <c r="L537" s="4572"/>
      <c r="M537" s="4572"/>
      <c r="N537" s="4572"/>
      <c r="O537" s="4572"/>
      <c r="P537" s="4572"/>
    </row>
    <row customHeight="true" ht="18.452380952380953" r="538">
      <c r="A538" s="4687" t="s">
        <v>4723</v>
      </c>
      <c r="B538" s="4688">
        <v>46246</v>
      </c>
      <c r="C538" s="4687" t="str">
        <v>Wednesday</v>
      </c>
      <c r="D538" s="4689" t="s">
        <v>4587</v>
      </c>
      <c r="E538" s="4690">
        <f t="shared" si="77"/>
      </c>
      <c r="F538" s="4690" t="s">
        <v>4482</v>
      </c>
      <c r="G538" s="4706"/>
      <c r="H538" s="4690" t="s">
        <v>4303</v>
      </c>
      <c r="I538" s="4690" t="s">
        <v>4304</v>
      </c>
      <c r="J538" s="4771" t="s">
        <v>4728</v>
      </c>
      <c r="K538" s="4572"/>
      <c r="L538" s="4572"/>
      <c r="M538" s="4572"/>
      <c r="N538" s="4572"/>
      <c r="O538" s="4572"/>
      <c r="P538" s="4572"/>
    </row>
    <row customHeight="true" ht="18.452380952380953" r="539">
      <c r="A539" s="4695" t="s">
        <v>4723</v>
      </c>
      <c r="B539" s="4696">
        <v>46246</v>
      </c>
      <c r="C539" s="4695" t="str">
        <v>Wednesday</v>
      </c>
      <c r="D539" s="4697" t="s">
        <v>4410</v>
      </c>
      <c r="E539" s="4575">
        <f t="shared" si="77"/>
      </c>
      <c r="F539" s="4575" t="s">
        <v>4634</v>
      </c>
      <c r="G539" s="4698" t="s">
        <v>4729</v>
      </c>
      <c r="H539" s="4575" t="s">
        <v>4303</v>
      </c>
      <c r="I539" s="4575" t="s">
        <v>4304</v>
      </c>
      <c r="J539" s="4823"/>
      <c r="K539" s="4572"/>
      <c r="L539" s="4572"/>
      <c r="M539" s="4572"/>
      <c r="N539" s="4572"/>
      <c r="O539" s="4572"/>
      <c r="P539" s="4572"/>
    </row>
    <row customHeight="true" ht="18.452380952380953" r="540">
      <c r="A540" s="4687" t="s">
        <v>4725</v>
      </c>
      <c r="B540" s="4688">
        <v>46246</v>
      </c>
      <c r="C540" s="4687" t="str">
        <v>Wednesday</v>
      </c>
      <c r="D540" s="4689" t="s">
        <v>4730</v>
      </c>
      <c r="E540" s="4690">
        <f t="shared" si="77"/>
      </c>
      <c r="F540" s="4690" t="s">
        <v>4727</v>
      </c>
      <c r="G540" s="4706"/>
      <c r="H540" s="4690" t="s">
        <v>4303</v>
      </c>
      <c r="I540" s="4690" t="s">
        <v>4304</v>
      </c>
      <c r="J540" s="4771" t="s">
        <v>4731</v>
      </c>
      <c r="K540" s="4572"/>
      <c r="L540" s="4572"/>
      <c r="M540" s="4572"/>
      <c r="N540" s="4572"/>
      <c r="O540" s="4572"/>
      <c r="P540" s="4572"/>
    </row>
    <row customHeight="true" ht="18.452380952380953" r="541">
      <c r="A541" s="4859" t="s">
        <v>4725</v>
      </c>
      <c r="B541" s="4860">
        <v>46246</v>
      </c>
      <c r="C541" s="4859" t="str">
        <v>Wednesday</v>
      </c>
      <c r="D541" s="4869" t="s">
        <v>4732</v>
      </c>
      <c r="E541" s="4862">
        <f t="shared" si="77"/>
      </c>
      <c r="F541" s="4866" t="s">
        <v>4727</v>
      </c>
      <c r="G541" s="4870"/>
      <c r="H541" s="4866" t="s">
        <v>4303</v>
      </c>
      <c r="I541" s="4866" t="s">
        <v>4304</v>
      </c>
      <c r="J541" s="4949"/>
      <c r="K541" s="4572"/>
      <c r="L541" s="4572"/>
      <c r="M541" s="4572"/>
      <c r="N541" s="4572"/>
      <c r="O541" s="4572"/>
      <c r="P541" s="4572"/>
    </row>
    <row customHeight="true" ht="18.452380952380953" r="542">
      <c r="A542" s="4687" t="s">
        <v>4720</v>
      </c>
      <c r="B542" s="4688">
        <v>46247</v>
      </c>
      <c r="C542" s="4687" t="str">
        <v>Thursday</v>
      </c>
      <c r="D542" s="4689" t="s">
        <v>4540</v>
      </c>
      <c r="E542" s="4690">
        <f t="shared" si="77"/>
      </c>
      <c r="F542" s="4690" t="s">
        <v>4733</v>
      </c>
      <c r="G542" s="4706"/>
      <c r="H542" s="4690" t="s">
        <v>4303</v>
      </c>
      <c r="I542" s="4690" t="s">
        <v>4304</v>
      </c>
      <c r="J542" s="4771" t="s">
        <v>4448</v>
      </c>
      <c r="K542" s="4572"/>
      <c r="L542" s="4572"/>
      <c r="M542" s="4572"/>
      <c r="N542" s="4572"/>
      <c r="O542" s="4572"/>
      <c r="P542" s="4572"/>
    </row>
    <row r="543">
      <c r="A543" s="4587" t="s">
        <v>4723</v>
      </c>
      <c r="B543" s="4573">
        <v>46247</v>
      </c>
      <c r="C543" s="4587" t="str">
        <v>Thursday</v>
      </c>
      <c r="D543" s="4668" t="s">
        <v>4587</v>
      </c>
      <c r="E543" s="4591">
        <f t="shared" si="77"/>
      </c>
      <c r="F543" s="4591" t="s">
        <v>4405</v>
      </c>
      <c r="G543" s="4609"/>
      <c r="H543" s="4571" t="s">
        <v>4303</v>
      </c>
      <c r="I543" s="4571" t="s">
        <v>4304</v>
      </c>
      <c r="J543" s="4590"/>
      <c r="K543" s="4572"/>
      <c r="L543" s="4572"/>
      <c r="M543" s="4572"/>
      <c r="N543" s="4572"/>
      <c r="O543" s="4572"/>
      <c r="P543" s="4572"/>
    </row>
    <row r="544">
      <c r="A544" s="4859" t="s">
        <v>4725</v>
      </c>
      <c r="B544" s="4860">
        <v>46247</v>
      </c>
      <c r="C544" s="4859" t="str">
        <v>Thursday</v>
      </c>
      <c r="D544" s="4869" t="s">
        <v>4730</v>
      </c>
      <c r="E544" s="4862">
        <f t="shared" si="77"/>
      </c>
      <c r="F544" s="4866" t="s">
        <v>4727</v>
      </c>
      <c r="G544" s="4864"/>
      <c r="H544" s="4862" t="s">
        <v>4303</v>
      </c>
      <c r="I544" s="4862" t="s">
        <v>4304</v>
      </c>
      <c r="J544" s="4949"/>
      <c r="K544" s="4760"/>
      <c r="L544" s="4760"/>
      <c r="M544" s="4760"/>
      <c r="N544" s="4760"/>
      <c r="O544" s="4760"/>
      <c r="P544" s="4760"/>
    </row>
    <row r="545">
      <c r="A545" s="4587" t="s">
        <v>4723</v>
      </c>
      <c r="B545" s="4573">
        <v>46248</v>
      </c>
      <c r="C545" s="4587" t="str">
        <v>Friday</v>
      </c>
      <c r="D545" s="4567" t="s">
        <v>4587</v>
      </c>
      <c r="E545" s="4571">
        <f t="shared" si="77"/>
      </c>
      <c r="F545" s="4591" t="s">
        <v>4405</v>
      </c>
      <c r="G545" s="4609"/>
      <c r="H545" s="4571" t="s">
        <v>4303</v>
      </c>
      <c r="I545" s="4571" t="s">
        <v>4304</v>
      </c>
      <c r="J545" s="4590"/>
      <c r="K545" s="4572"/>
      <c r="L545" s="4572"/>
      <c r="M545" s="4572"/>
      <c r="N545" s="4572"/>
      <c r="O545" s="4572"/>
      <c r="P545" s="4572"/>
    </row>
    <row r="546">
      <c r="A546" s="4859" t="s">
        <v>4725</v>
      </c>
      <c r="B546" s="4860">
        <v>46248</v>
      </c>
      <c r="C546" s="4859" t="str">
        <v>Friday</v>
      </c>
      <c r="D546" s="4869" t="s">
        <v>4734</v>
      </c>
      <c r="E546" s="4862">
        <f t="shared" si="77"/>
      </c>
      <c r="F546" s="4866" t="s">
        <v>4727</v>
      </c>
      <c r="G546" s="4870"/>
      <c r="H546" s="4862" t="s">
        <v>4303</v>
      </c>
      <c r="I546" s="4862" t="s">
        <v>4304</v>
      </c>
      <c r="J546" s="4876"/>
      <c r="K546" s="4572"/>
      <c r="L546" s="4572"/>
      <c r="M546" s="4572"/>
      <c r="N546" s="4572"/>
      <c r="O546" s="4572"/>
      <c r="P546" s="4572"/>
    </row>
    <row r="547">
      <c r="A547" s="4587" t="s">
        <v>4723</v>
      </c>
      <c r="B547" s="4573">
        <v>46249</v>
      </c>
      <c r="C547" s="4587" t="str">
        <v>Saturday</v>
      </c>
      <c r="D547" s="4567" t="s">
        <v>4587</v>
      </c>
      <c r="E547" s="4571">
        <f t="shared" si="77"/>
      </c>
      <c r="F547" s="4591" t="s">
        <v>4405</v>
      </c>
      <c r="G547" s="4609"/>
      <c r="H547" s="4571" t="s">
        <v>4303</v>
      </c>
      <c r="I547" s="4571" t="s">
        <v>4304</v>
      </c>
      <c r="J547" s="4590"/>
      <c r="K547" s="4572"/>
      <c r="L547" s="4572"/>
      <c r="M547" s="4572"/>
      <c r="N547" s="4572"/>
      <c r="O547" s="4572"/>
      <c r="P547" s="4572"/>
    </row>
    <row r="548">
      <c r="A548" s="4859" t="s">
        <v>4725</v>
      </c>
      <c r="B548" s="4950">
        <v>46249</v>
      </c>
      <c r="C548" s="4859" t="str">
        <v>Saturday</v>
      </c>
      <c r="D548" s="4869" t="s">
        <v>4734</v>
      </c>
      <c r="E548" s="4862">
        <f t="shared" si="77"/>
      </c>
      <c r="F548" s="4866"/>
      <c r="G548" s="4864" t="s">
        <v>4735</v>
      </c>
      <c r="H548" s="4862" t="s">
        <v>4303</v>
      </c>
      <c r="I548" s="4862" t="s">
        <v>4304</v>
      </c>
      <c r="J548" s="4876"/>
      <c r="K548" s="4572"/>
      <c r="L548" s="4572"/>
      <c r="M548" s="4572"/>
      <c r="N548" s="4572"/>
      <c r="O548" s="4572"/>
      <c r="P548" s="4572"/>
    </row>
    <row r="549">
      <c r="A549" s="4587" t="s">
        <v>4723</v>
      </c>
      <c r="B549" s="4573">
        <v>46250</v>
      </c>
      <c r="C549" s="4587" t="str">
        <v>Sunday</v>
      </c>
      <c r="D549" s="4668" t="s">
        <v>4736</v>
      </c>
      <c r="E549" s="4571">
        <f t="shared" si="77"/>
      </c>
      <c r="F549" s="4591" t="s">
        <v>4471</v>
      </c>
      <c r="G549" s="4609"/>
      <c r="H549" s="4571" t="s">
        <v>4303</v>
      </c>
      <c r="I549" s="4571" t="s">
        <v>4304</v>
      </c>
      <c r="J549" s="4590"/>
      <c r="K549" s="4572"/>
      <c r="L549" s="4572"/>
      <c r="M549" s="4572"/>
      <c r="N549" s="4572"/>
      <c r="O549" s="4572"/>
      <c r="P549" s="4572"/>
    </row>
    <row customHeight="true" ht="18.452380952380953" r="550">
      <c r="A550" s="4587" t="s">
        <v>4723</v>
      </c>
      <c r="B550" s="4573">
        <v>46250</v>
      </c>
      <c r="C550" s="4587" t="str">
        <v>Sunday</v>
      </c>
      <c r="D550" s="4668" t="s">
        <v>4467</v>
      </c>
      <c r="E550" s="4571">
        <f t="shared" si="77"/>
      </c>
      <c r="F550" s="4591" t="s">
        <v>4405</v>
      </c>
      <c r="G550" s="4609"/>
      <c r="H550" s="4571" t="s">
        <v>4303</v>
      </c>
      <c r="I550" s="4571" t="s">
        <v>4304</v>
      </c>
      <c r="J550" s="4590"/>
      <c r="K550" s="4572"/>
      <c r="L550" s="4572"/>
      <c r="M550" s="4572"/>
      <c r="N550" s="4572"/>
      <c r="O550" s="4572"/>
      <c r="P550" s="4572"/>
    </row>
    <row customHeight="true" ht="18.452380952380953" r="551">
      <c r="A551" s="4587" t="s">
        <v>4723</v>
      </c>
      <c r="B551" s="4573">
        <v>46250</v>
      </c>
      <c r="C551" s="4587" t="str">
        <v>Sunday</v>
      </c>
      <c r="D551" s="4668" t="s">
        <v>4512</v>
      </c>
      <c r="E551" s="4571">
        <f t="shared" si="77"/>
      </c>
      <c r="F551" s="4591" t="s">
        <v>4471</v>
      </c>
      <c r="G551" s="4609"/>
      <c r="H551" s="4571" t="s">
        <v>4303</v>
      </c>
      <c r="I551" s="4571" t="s">
        <v>4304</v>
      </c>
      <c r="J551" s="4590"/>
      <c r="K551" s="4572"/>
      <c r="L551" s="4572"/>
      <c r="M551" s="4572"/>
      <c r="N551" s="4572"/>
      <c r="O551" s="4572"/>
      <c r="P551" s="4572"/>
    </row>
    <row customHeight="true" ht="18.452380952380953" r="552">
      <c r="A552" s="4587" t="s">
        <v>4723</v>
      </c>
      <c r="B552" s="4573">
        <v>46250</v>
      </c>
      <c r="C552" s="4587" t="str">
        <v>Sunday</v>
      </c>
      <c r="D552" s="4668" t="s">
        <v>4540</v>
      </c>
      <c r="E552" s="4571">
        <f t="shared" si="77"/>
      </c>
      <c r="F552" s="4591" t="s">
        <v>4405</v>
      </c>
      <c r="G552" s="4609"/>
      <c r="H552" s="4571" t="s">
        <v>4303</v>
      </c>
      <c r="I552" s="4571" t="s">
        <v>4304</v>
      </c>
      <c r="J552" s="4590"/>
      <c r="K552" s="4572"/>
      <c r="L552" s="4572"/>
      <c r="M552" s="4572"/>
      <c r="N552" s="4572"/>
      <c r="O552" s="4572"/>
      <c r="P552" s="4572"/>
    </row>
    <row customHeight="true" ht="18.452380952380953" r="553">
      <c r="A553" s="4587" t="s">
        <v>4720</v>
      </c>
      <c r="B553" s="4573">
        <v>46250</v>
      </c>
      <c r="C553" s="4587" t="str">
        <v>Sunday</v>
      </c>
      <c r="D553" s="4668" t="s">
        <v>4343</v>
      </c>
      <c r="E553" s="4571">
        <f t="shared" si="77"/>
      </c>
      <c r="F553" s="4575" t="s">
        <v>4737</v>
      </c>
      <c r="G553" s="4599" t="s">
        <v>4738</v>
      </c>
      <c r="H553" s="4571" t="s">
        <v>4303</v>
      </c>
      <c r="I553" s="4571" t="s">
        <v>4304</v>
      </c>
      <c r="J553" s="4590"/>
      <c r="K553" s="4572"/>
      <c r="L553" s="4572"/>
      <c r="M553" s="4572"/>
      <c r="N553" s="4572"/>
      <c r="O553" s="4572"/>
      <c r="P553" s="4572"/>
    </row>
    <row customHeight="true" ht="18.452380952380953" r="554">
      <c r="A554" s="4587" t="s">
        <v>4723</v>
      </c>
      <c r="B554" s="4573">
        <v>46250</v>
      </c>
      <c r="C554" s="4587" t="str">
        <v>Sunday</v>
      </c>
      <c r="D554" s="4668" t="s">
        <v>4415</v>
      </c>
      <c r="E554" s="4571">
        <f t="shared" si="77"/>
      </c>
      <c r="F554" s="4575" t="s">
        <v>4737</v>
      </c>
      <c r="G554" s="4609"/>
      <c r="H554" s="4571" t="s">
        <v>4303</v>
      </c>
      <c r="I554" s="4571" t="s">
        <v>4304</v>
      </c>
      <c r="J554" s="4590"/>
      <c r="K554" s="4572"/>
      <c r="L554" s="4572"/>
      <c r="M554" s="4572"/>
      <c r="N554" s="4572"/>
      <c r="O554" s="4572"/>
      <c r="P554" s="4572"/>
    </row>
    <row customHeight="true" ht="18.452380952380953" r="555">
      <c r="A555" s="4687" t="s">
        <v>4723</v>
      </c>
      <c r="B555" s="4688">
        <v>46250</v>
      </c>
      <c r="C555" s="4687" t="str">
        <v>Sunday</v>
      </c>
      <c r="D555" s="4689" t="s">
        <v>4338</v>
      </c>
      <c r="E555" s="4690">
        <f t="shared" si="77"/>
      </c>
      <c r="F555" s="4690" t="s">
        <v>4482</v>
      </c>
      <c r="G555" s="4706"/>
      <c r="H555" s="4690" t="s">
        <v>4303</v>
      </c>
      <c r="I555" s="4690" t="s">
        <v>4304</v>
      </c>
      <c r="J555" s="4771" t="s">
        <v>4448</v>
      </c>
      <c r="K555" s="4572"/>
      <c r="L555" s="4572"/>
      <c r="M555" s="4572"/>
      <c r="N555" s="4572"/>
      <c r="O555" s="4572"/>
      <c r="P555" s="4572"/>
    </row>
    <row customHeight="true" ht="18.452380952380953" r="556">
      <c r="A556" s="4951" t="s">
        <v>4723</v>
      </c>
      <c r="B556" s="4573">
        <v>46250</v>
      </c>
      <c r="C556" s="4587" t="str">
        <v>Sunday</v>
      </c>
      <c r="D556" s="4668" t="s">
        <v>4417</v>
      </c>
      <c r="E556" s="4571">
        <f t="shared" si="77"/>
      </c>
      <c r="F556" s="4591" t="s">
        <v>4405</v>
      </c>
      <c r="G556" s="4952"/>
      <c r="H556" s="4953" t="s">
        <v>4303</v>
      </c>
      <c r="I556" s="4953" t="s">
        <v>4304</v>
      </c>
      <c r="J556" s="4954"/>
      <c r="K556" s="4955"/>
      <c r="L556" s="4955"/>
      <c r="M556" s="4955"/>
      <c r="N556" s="4955"/>
      <c r="O556" s="4955"/>
      <c r="P556" s="4955"/>
      <c r="Q556" s="4956"/>
      <c r="R556" s="4956"/>
      <c r="S556" s="4956"/>
      <c r="T556" s="4956"/>
      <c r="U556" s="4956"/>
      <c r="V556" s="4956"/>
      <c r="W556" s="4956"/>
      <c r="X556" s="4956"/>
      <c r="Y556" s="4956"/>
    </row>
    <row customHeight="true" ht="18.452380952380953" r="557">
      <c r="A557" s="4587" t="s">
        <v>4723</v>
      </c>
      <c r="B557" s="4573">
        <v>46250</v>
      </c>
      <c r="C557" s="4587" t="str">
        <v>Sunday</v>
      </c>
      <c r="D557" s="4668" t="s">
        <v>4739</v>
      </c>
      <c r="E557" s="4571">
        <f t="shared" si="77"/>
      </c>
      <c r="F557" s="4591" t="s">
        <v>4634</v>
      </c>
      <c r="G557" s="4609"/>
      <c r="H557" s="4571" t="s">
        <v>4303</v>
      </c>
      <c r="I557" s="4571" t="s">
        <v>4304</v>
      </c>
      <c r="J557" s="4759" t="s">
        <v>4740</v>
      </c>
      <c r="K557" s="4760"/>
      <c r="L557" s="4760"/>
      <c r="M557" s="4760"/>
      <c r="N557" s="4760"/>
      <c r="O557" s="4760"/>
      <c r="P557" s="4760"/>
    </row>
    <row customHeight="true" ht="18.452380952380953" r="558">
      <c r="A558" s="4859" t="s">
        <v>4725</v>
      </c>
      <c r="B558" s="4950">
        <v>46250</v>
      </c>
      <c r="C558" s="4859" t="str">
        <v>Sunday</v>
      </c>
      <c r="D558" s="4869" t="s">
        <v>4741</v>
      </c>
      <c r="E558" s="4862">
        <f t="shared" si="77"/>
      </c>
      <c r="F558" s="4866"/>
      <c r="G558" s="4864" t="s">
        <v>4742</v>
      </c>
      <c r="H558" s="4862" t="s">
        <v>4303</v>
      </c>
      <c r="I558" s="4862" t="s">
        <v>4304</v>
      </c>
      <c r="J558" s="4590"/>
      <c r="K558" s="4572"/>
      <c r="L558" s="4572"/>
      <c r="M558" s="4572"/>
      <c r="N558" s="4572"/>
      <c r="O558" s="4572"/>
      <c r="P558" s="4572"/>
    </row>
    <row r="559">
      <c r="A559" s="4859" t="s">
        <v>4725</v>
      </c>
      <c r="B559" s="4950">
        <v>46250</v>
      </c>
      <c r="C559" s="4859" t="str">
        <v>Sunday</v>
      </c>
      <c r="D559" s="4869" t="s">
        <v>4743</v>
      </c>
      <c r="E559" s="4862">
        <f t="shared" si="77"/>
      </c>
      <c r="F559" s="4866" t="s">
        <v>4727</v>
      </c>
      <c r="G559" s="4864" t="s">
        <v>4744</v>
      </c>
      <c r="H559" s="4862" t="s">
        <v>4303</v>
      </c>
      <c r="I559" s="4862" t="s">
        <v>4304</v>
      </c>
      <c r="J559" s="4823"/>
      <c r="K559" s="4572"/>
      <c r="L559" s="4572"/>
      <c r="M559" s="4572"/>
      <c r="N559" s="4572"/>
      <c r="O559" s="4572"/>
      <c r="P559" s="4572"/>
    </row>
    <row r="560">
      <c r="A560" s="4859" t="s">
        <v>4725</v>
      </c>
      <c r="B560" s="4950">
        <v>46250</v>
      </c>
      <c r="C560" s="4859" t="str">
        <v>Sunday</v>
      </c>
      <c r="D560" s="4869" t="s">
        <v>4745</v>
      </c>
      <c r="E560" s="4862">
        <f t="shared" si="77"/>
      </c>
      <c r="F560" s="4866" t="s">
        <v>4746</v>
      </c>
      <c r="G560" s="4864" t="s">
        <v>4747</v>
      </c>
      <c r="H560" s="4862" t="s">
        <v>4303</v>
      </c>
      <c r="I560" s="4862" t="s">
        <v>4304</v>
      </c>
      <c r="J560" s="4568"/>
      <c r="K560" s="4572"/>
      <c r="L560" s="4572"/>
      <c r="M560" s="4572"/>
      <c r="N560" s="4572"/>
      <c r="O560" s="4572"/>
      <c r="P560" s="4572"/>
    </row>
    <row customHeight="true" ht="24.404761904761905" r="561">
      <c r="A561" s="4859" t="s">
        <v>4725</v>
      </c>
      <c r="B561" s="4950">
        <v>46250</v>
      </c>
      <c r="C561" s="4859" t="str">
        <v>Sunday</v>
      </c>
      <c r="D561" s="4869" t="s">
        <v>4748</v>
      </c>
      <c r="E561" s="4862">
        <f t="shared" si="77"/>
      </c>
      <c r="F561" s="4866"/>
      <c r="G561" s="4864" t="s">
        <v>4749</v>
      </c>
      <c r="H561" s="4862" t="s">
        <v>4303</v>
      </c>
      <c r="I561" s="4862" t="s">
        <v>4304</v>
      </c>
      <c r="J561" s="4568"/>
      <c r="K561" s="4572"/>
      <c r="L561" s="4572"/>
      <c r="M561" s="4572"/>
      <c r="N561" s="4572"/>
      <c r="O561" s="4572"/>
      <c r="P561" s="4572"/>
    </row>
    <row customHeight="true" ht="18.452380952380953" r="562">
      <c r="A562" s="4859" t="s">
        <v>4725</v>
      </c>
      <c r="B562" s="4950">
        <v>46250</v>
      </c>
      <c r="C562" s="4859" t="str">
        <v>Sunday</v>
      </c>
      <c r="D562" s="4869" t="s">
        <v>4750</v>
      </c>
      <c r="E562" s="4862">
        <f t="shared" si="77"/>
      </c>
      <c r="F562" s="4866" t="s">
        <v>4746</v>
      </c>
      <c r="G562" s="4864" t="s">
        <v>4751</v>
      </c>
      <c r="H562" s="4862" t="s">
        <v>4303</v>
      </c>
      <c r="I562" s="4862" t="s">
        <v>4304</v>
      </c>
      <c r="J562" s="4709"/>
      <c r="K562" s="4760"/>
      <c r="L562" s="4760"/>
      <c r="M562" s="4760"/>
      <c r="N562" s="4760"/>
      <c r="O562" s="4760"/>
      <c r="P562" s="4760"/>
    </row>
    <row customHeight="true" ht="18.452380952380953" r="563">
      <c r="A563" s="4859" t="s">
        <v>4725</v>
      </c>
      <c r="B563" s="4950">
        <v>46250</v>
      </c>
      <c r="C563" s="4859" t="str">
        <v>Sunday</v>
      </c>
      <c r="D563" s="4869" t="s">
        <v>4338</v>
      </c>
      <c r="E563" s="4862">
        <f t="shared" si="77"/>
      </c>
      <c r="F563" s="4866"/>
      <c r="G563" s="4864" t="s">
        <v>4752</v>
      </c>
      <c r="H563" s="4862" t="s">
        <v>4303</v>
      </c>
      <c r="I563" s="4862" t="s">
        <v>4304</v>
      </c>
      <c r="J563" s="4568"/>
      <c r="K563" s="4572"/>
      <c r="L563" s="4572"/>
      <c r="M563" s="4572"/>
      <c r="N563" s="4572"/>
      <c r="O563" s="4572"/>
      <c r="P563" s="4572"/>
    </row>
    <row customHeight="true" ht="18.452380952380953" r="564">
      <c r="A564" s="4859" t="s">
        <v>4725</v>
      </c>
      <c r="B564" s="4950">
        <v>46250</v>
      </c>
      <c r="C564" s="4859" t="str">
        <v>Sunday</v>
      </c>
      <c r="D564" s="4869" t="s">
        <v>4739</v>
      </c>
      <c r="E564" s="4862">
        <f t="shared" si="77"/>
      </c>
      <c r="F564" s="4866" t="s">
        <v>4727</v>
      </c>
      <c r="G564" s="4870"/>
      <c r="H564" s="4862" t="s">
        <v>4303</v>
      </c>
      <c r="I564" s="4862" t="s">
        <v>4304</v>
      </c>
      <c r="J564" s="4709" t="s">
        <v>4753</v>
      </c>
      <c r="K564" s="4572"/>
      <c r="L564" s="4572"/>
      <c r="M564" s="4572"/>
      <c r="N564" s="4572"/>
      <c r="O564" s="4572"/>
      <c r="P564" s="4572"/>
    </row>
    <row customHeight="true" ht="18.452380952380953" r="565">
      <c r="A565" s="4859" t="s">
        <v>4725</v>
      </c>
      <c r="B565" s="4950">
        <v>46250</v>
      </c>
      <c r="C565" s="4859" t="str">
        <v>Sunday</v>
      </c>
      <c r="D565" s="4869" t="s">
        <v>4454</v>
      </c>
      <c r="E565" s="4862">
        <f t="shared" si="77"/>
      </c>
      <c r="F565" s="4866" t="s">
        <v>4727</v>
      </c>
      <c r="G565" s="4870"/>
      <c r="H565" s="4862" t="s">
        <v>4303</v>
      </c>
      <c r="I565" s="4862" t="s">
        <v>4304</v>
      </c>
      <c r="J565" s="4709" t="s">
        <v>4754</v>
      </c>
      <c r="K565" s="4760"/>
      <c r="L565" s="4760"/>
      <c r="M565" s="4760"/>
      <c r="N565" s="4760"/>
      <c r="O565" s="4760"/>
      <c r="P565" s="4760"/>
    </row>
    <row r="566">
      <c r="A566" s="4587"/>
      <c r="B566" s="4587"/>
      <c r="C566" s="4587"/>
      <c r="D566" s="4571"/>
      <c r="E566" s="4571"/>
      <c r="F566" s="4591"/>
      <c r="G566" s="4703"/>
      <c r="H566" s="4591"/>
      <c r="I566" s="4571"/>
      <c r="J566" s="4568"/>
      <c r="K566" s="4572"/>
      <c r="L566" s="4572"/>
      <c r="M566" s="4572"/>
      <c r="N566" s="4572"/>
      <c r="O566" s="4572"/>
      <c r="P566" s="4572"/>
    </row>
    <row customHeight="true" ht="16.071428571428573" r="567">
      <c r="A567" s="4587"/>
      <c r="B567" s="4587"/>
      <c r="C567" s="4587"/>
      <c r="D567" s="4571"/>
      <c r="E567" s="4571"/>
      <c r="F567" s="4591"/>
      <c r="G567" s="4703"/>
      <c r="H567" s="4591"/>
      <c r="I567" s="4571"/>
      <c r="J567" s="4568"/>
      <c r="K567" s="4572"/>
      <c r="L567" s="4572"/>
      <c r="M567" s="4572"/>
      <c r="N567" s="4572"/>
      <c r="O567" s="4572"/>
      <c r="P567" s="4572"/>
    </row>
    <row r="568">
      <c r="A568" s="4957" t="s">
        <v>4755</v>
      </c>
      <c r="B568" s="4958"/>
      <c r="C568" s="4958"/>
      <c r="D568" s="4958"/>
      <c r="E568" s="4958"/>
      <c r="F568" s="4958"/>
      <c r="G568" s="4958"/>
      <c r="H568" s="4958"/>
      <c r="I568" s="4958"/>
      <c r="J568" s="4959"/>
      <c r="K568" s="4960"/>
      <c r="L568" s="4960"/>
      <c r="M568" s="4960"/>
      <c r="N568" s="4960"/>
      <c r="O568" s="4960"/>
      <c r="P568" s="4960"/>
    </row>
    <row r="569">
      <c r="A569" s="4961" t="s">
        <v>4318</v>
      </c>
      <c r="B569" s="4962" t="s">
        <v>4319</v>
      </c>
      <c r="C569" s="4962"/>
      <c r="D569" s="4963" t="s">
        <v>4320</v>
      </c>
      <c r="E569" s="4963" t="s">
        <v>4321</v>
      </c>
      <c r="F569" s="4963" t="s">
        <v>4322</v>
      </c>
      <c r="G569" s="4964" t="s">
        <v>4334</v>
      </c>
      <c r="H569" s="4963" t="s">
        <v>4324</v>
      </c>
      <c r="I569" s="4963" t="s">
        <v>4325</v>
      </c>
      <c r="J569" s="4965" t="s">
        <v>4326</v>
      </c>
      <c r="K569" s="4586"/>
      <c r="L569" s="4586"/>
      <c r="M569" s="4586"/>
      <c r="N569" s="4586"/>
      <c r="O569" s="4586"/>
      <c r="P569" s="4586"/>
    </row>
    <row customHeight="true" ht="17.857142857142858" r="570">
      <c r="A570" s="4966" t="s">
        <v>4756</v>
      </c>
      <c r="B570" s="4695">
        <v>46246</v>
      </c>
      <c r="C570" s="4695" t="str">
        <v>Wednesday</v>
      </c>
      <c r="D570" s="4575" t="s">
        <v>4730</v>
      </c>
      <c r="E570" s="4575">
        <f t="shared" ref="E570:E576" si="78">24*MOD(TIMEVALUE(TRIM(MID(D570,FIND("-",D570)+1,LEN(D570)))) - TIMEVALUE(TRIM(LEFT(D570,FIND("-",D570)-1))),1)</f>
      </c>
      <c r="F570" s="4575" t="s">
        <v>4727</v>
      </c>
      <c r="G570" s="4708"/>
      <c r="H570" s="4575" t="s">
        <v>4303</v>
      </c>
      <c r="I570" s="4575" t="s">
        <v>4304</v>
      </c>
      <c r="J570" s="4767" t="s">
        <v>4757</v>
      </c>
      <c r="K570" s="4798"/>
      <c r="L570" s="4798"/>
      <c r="M570" s="4798"/>
      <c r="N570" s="4798"/>
      <c r="O570" s="4798"/>
      <c r="P570" s="4798"/>
    </row>
    <row customHeight="true" ht="17.857142857142858" r="571">
      <c r="A571" s="4966" t="s">
        <v>4756</v>
      </c>
      <c r="B571" s="4573">
        <v>46247</v>
      </c>
      <c r="C571" s="4587" t="str">
        <v>Thursday</v>
      </c>
      <c r="D571" s="4668" t="s">
        <v>4758</v>
      </c>
      <c r="E571" s="4571">
        <f t="shared" si="78"/>
      </c>
      <c r="F571" s="4591" t="s">
        <v>4655</v>
      </c>
      <c r="G571" s="4609"/>
      <c r="H571" s="4571" t="s">
        <v>4303</v>
      </c>
      <c r="I571" s="4591" t="s">
        <v>4304</v>
      </c>
      <c r="J571" s="4916"/>
      <c r="K571" s="4798"/>
      <c r="L571" s="4798"/>
      <c r="M571" s="4798"/>
      <c r="N571" s="4798"/>
      <c r="O571" s="4798"/>
      <c r="P571" s="4798"/>
    </row>
    <row customHeight="true" ht="17.857142857142858" r="572">
      <c r="A572" s="4967" t="s">
        <v>4756</v>
      </c>
      <c r="B572" s="4688">
        <v>46247</v>
      </c>
      <c r="C572" s="4687" t="str">
        <v>Thursday</v>
      </c>
      <c r="D572" s="4689" t="s">
        <v>4606</v>
      </c>
      <c r="E572" s="4690">
        <f t="shared" si="78"/>
      </c>
      <c r="F572" s="4690" t="s">
        <v>4374</v>
      </c>
      <c r="G572" s="4872"/>
      <c r="H572" s="4690" t="s">
        <v>4303</v>
      </c>
      <c r="I572" s="4690" t="s">
        <v>4332</v>
      </c>
      <c r="J572" s="4968" t="s">
        <v>4448</v>
      </c>
      <c r="K572" s="4798"/>
      <c r="L572" s="4798"/>
      <c r="M572" s="4798"/>
      <c r="N572" s="4798"/>
      <c r="O572" s="4798"/>
      <c r="P572" s="4798"/>
    </row>
    <row customHeight="true" ht="17.857142857142858" r="573">
      <c r="A573" s="4966" t="s">
        <v>4756</v>
      </c>
      <c r="B573" s="4573">
        <v>46247</v>
      </c>
      <c r="C573" s="4587" t="str">
        <v>Thursday</v>
      </c>
      <c r="D573" s="4668" t="s">
        <v>4712</v>
      </c>
      <c r="E573" s="4571">
        <f t="shared" si="78"/>
      </c>
      <c r="F573" s="4569" t="s">
        <v>4309</v>
      </c>
      <c r="G573" s="4609"/>
      <c r="H573" s="4571" t="s">
        <v>4303</v>
      </c>
      <c r="I573" s="4591" t="s">
        <v>4304</v>
      </c>
      <c r="J573" s="4916"/>
      <c r="K573" s="4798"/>
      <c r="L573" s="4798"/>
      <c r="M573" s="4798"/>
      <c r="N573" s="4798"/>
      <c r="O573" s="4798"/>
      <c r="P573" s="4798"/>
    </row>
    <row customHeight="true" ht="17.857142857142858" r="574">
      <c r="A574" s="4969" t="s">
        <v>4756</v>
      </c>
      <c r="B574" s="4587">
        <v>46247</v>
      </c>
      <c r="C574" s="4587" t="str">
        <v>Thursday</v>
      </c>
      <c r="D574" s="4668" t="s">
        <v>4452</v>
      </c>
      <c r="E574" s="4571">
        <f t="shared" si="78"/>
      </c>
      <c r="F574" s="4591" t="s">
        <v>4727</v>
      </c>
      <c r="G574" s="4609"/>
      <c r="H574" s="4571" t="s">
        <v>4303</v>
      </c>
      <c r="I574" s="4591" t="s">
        <v>4304</v>
      </c>
      <c r="J574" s="4858"/>
      <c r="K574" s="4798"/>
      <c r="L574" s="4798"/>
      <c r="M574" s="4798"/>
      <c r="N574" s="4798"/>
      <c r="O574" s="4798"/>
      <c r="P574" s="4798"/>
    </row>
    <row customHeight="true" ht="17.857142857142858" r="575">
      <c r="A575" s="4966" t="s">
        <v>4756</v>
      </c>
      <c r="B575" s="4573">
        <v>46248</v>
      </c>
      <c r="C575" s="4587" t="str">
        <v>Friday</v>
      </c>
      <c r="D575" s="4668" t="s">
        <v>4712</v>
      </c>
      <c r="E575" s="4571">
        <f t="shared" si="78"/>
      </c>
      <c r="F575" s="4676" t="s">
        <v>4634</v>
      </c>
      <c r="G575" s="4915"/>
      <c r="H575" s="4571" t="s">
        <v>4303</v>
      </c>
      <c r="I575" s="4571" t="s">
        <v>4304</v>
      </c>
      <c r="J575" s="4916"/>
      <c r="K575" s="4798"/>
      <c r="L575" s="4798"/>
      <c r="M575" s="4798"/>
      <c r="N575" s="4798"/>
      <c r="O575" s="4798"/>
      <c r="P575" s="4798"/>
    </row>
    <row customHeight="true" ht="17.857142857142858" r="576">
      <c r="A576" s="4966" t="s">
        <v>4756</v>
      </c>
      <c r="B576" s="4573">
        <v>46248</v>
      </c>
      <c r="C576" s="4587" t="str">
        <v>Friday</v>
      </c>
      <c r="D576" s="4668" t="s">
        <v>4759</v>
      </c>
      <c r="E576" s="4571">
        <f t="shared" si="78"/>
      </c>
      <c r="F576" s="4591" t="s">
        <v>4405</v>
      </c>
      <c r="G576" s="4609"/>
      <c r="H576" s="4571" t="s">
        <v>4303</v>
      </c>
      <c r="I576" s="4571" t="s">
        <v>4304</v>
      </c>
      <c r="J576" s="4916"/>
      <c r="K576" s="4798"/>
      <c r="L576" s="4798"/>
      <c r="M576" s="4798"/>
      <c r="N576" s="4798"/>
      <c r="O576" s="4798"/>
      <c r="P576" s="4798"/>
    </row>
    <row customHeight="true" ht="17.857142857142858" r="577">
      <c r="A577" s="4966"/>
      <c r="B577" s="4695"/>
      <c r="C577" s="4695"/>
      <c r="D577" s="4676"/>
      <c r="E577" s="4676"/>
      <c r="F577" s="4676"/>
      <c r="G577" s="4915"/>
      <c r="H577" s="4676"/>
      <c r="I577" s="4676"/>
      <c r="J577" s="4916"/>
      <c r="K577" s="4798"/>
      <c r="L577" s="4798"/>
      <c r="M577" s="4798"/>
      <c r="N577" s="4798"/>
      <c r="O577" s="4798"/>
      <c r="P577" s="4798"/>
    </row>
    <row r="578">
      <c r="A578" s="4587"/>
      <c r="B578" s="4571"/>
      <c r="C578" s="4571"/>
      <c r="D578" s="4590"/>
      <c r="E578" s="4571"/>
      <c r="F578" s="4571"/>
      <c r="G578" s="4896"/>
      <c r="H578" s="4571"/>
      <c r="I578" s="4571"/>
      <c r="J578" s="4895"/>
      <c r="K578" s="4572"/>
      <c r="L578" s="4572"/>
      <c r="M578" s="4572"/>
      <c r="N578" s="4572"/>
      <c r="O578" s="4572"/>
      <c r="P578" s="4572"/>
    </row>
    <row r="579">
      <c r="A579" s="4970" t="s">
        <v>4760</v>
      </c>
      <c r="B579" s="4970"/>
      <c r="C579" s="4970"/>
      <c r="D579" s="4970"/>
      <c r="E579" s="4970"/>
      <c r="F579" s="4970"/>
      <c r="G579" s="4970"/>
      <c r="H579" s="4970"/>
      <c r="I579" s="4970"/>
      <c r="J579" s="4971"/>
      <c r="K579" s="4661"/>
      <c r="L579" s="4661"/>
      <c r="M579" s="4661"/>
      <c r="N579" s="4661"/>
      <c r="O579" s="4661"/>
      <c r="P579" s="4661"/>
    </row>
    <row r="580">
      <c r="A580" s="4972" t="s">
        <v>4318</v>
      </c>
      <c r="B580" s="4973" t="s">
        <v>4319</v>
      </c>
      <c r="C580" s="4973"/>
      <c r="D580" s="4974" t="s">
        <v>4320</v>
      </c>
      <c r="E580" s="4974" t="s">
        <v>4321</v>
      </c>
      <c r="F580" s="4974" t="s">
        <v>4322</v>
      </c>
      <c r="G580" s="4975" t="s">
        <v>4761</v>
      </c>
      <c r="H580" s="4974" t="s">
        <v>4324</v>
      </c>
      <c r="I580" s="4974" t="s">
        <v>4325</v>
      </c>
      <c r="J580" s="4976"/>
      <c r="K580" s="4586"/>
      <c r="L580" s="4586"/>
      <c r="M580" s="4586"/>
      <c r="N580" s="4586"/>
      <c r="O580" s="4586"/>
      <c r="P580" s="4586"/>
    </row>
    <row r="581">
      <c r="A581" s="4587"/>
      <c r="B581" s="4587"/>
      <c r="C581" s="4587"/>
      <c r="D581" s="4571"/>
      <c r="E581" s="4571"/>
      <c r="F581" s="4571"/>
      <c r="G581" s="4703"/>
      <c r="H581" s="4571" t="s">
        <v>4303</v>
      </c>
      <c r="I581" s="4571" t="s">
        <v>4304</v>
      </c>
      <c r="J581" s="4590"/>
      <c r="K581" s="4572"/>
      <c r="L581" s="4572"/>
      <c r="M581" s="4572"/>
      <c r="N581" s="4572"/>
      <c r="O581" s="4572"/>
      <c r="P581" s="4572"/>
    </row>
    <row r="582">
      <c r="A582" s="4587"/>
      <c r="B582" s="4587"/>
      <c r="C582" s="4587"/>
      <c r="D582" s="4571"/>
      <c r="E582" s="4571"/>
      <c r="F582" s="4571"/>
      <c r="G582" s="4703"/>
      <c r="H582" s="4571" t="s">
        <v>4303</v>
      </c>
      <c r="I582" s="4571" t="s">
        <v>4304</v>
      </c>
      <c r="J582" s="4590"/>
      <c r="K582" s="4572"/>
      <c r="L582" s="4572"/>
      <c r="M582" s="4572"/>
      <c r="N582" s="4572"/>
      <c r="O582" s="4572"/>
      <c r="P582" s="4572"/>
    </row>
    <row r="583">
      <c r="A583" s="4587"/>
      <c r="B583" s="4587"/>
      <c r="C583" s="4587"/>
      <c r="D583" s="4571"/>
      <c r="E583" s="4571"/>
      <c r="F583" s="4571"/>
      <c r="G583" s="4703"/>
      <c r="H583" s="4571" t="s">
        <v>4303</v>
      </c>
      <c r="I583" s="4571" t="s">
        <v>4304</v>
      </c>
      <c r="J583" s="4590" t="s">
        <v>4762</v>
      </c>
      <c r="K583" s="4572"/>
      <c r="L583" s="4572"/>
      <c r="M583" s="4572"/>
      <c r="N583" s="4572"/>
      <c r="O583" s="4572"/>
      <c r="P583" s="4572"/>
    </row>
    <row r="584">
      <c r="A584" s="4610"/>
      <c r="B584" s="4610"/>
      <c r="C584" s="4610"/>
      <c r="D584" s="4610"/>
      <c r="E584" s="4610"/>
      <c r="F584" s="4610"/>
      <c r="G584" s="4610"/>
      <c r="H584" s="4610"/>
      <c r="I584" s="4610"/>
      <c r="J584" s="4610"/>
      <c r="K584" s="4611"/>
      <c r="L584" s="4611"/>
      <c r="M584" s="4611"/>
      <c r="N584" s="4611"/>
      <c r="O584" s="4611"/>
      <c r="P584" s="4611"/>
    </row>
    <row r="585">
      <c r="J585" s="4639"/>
      <c r="K585" s="4640"/>
      <c r="L585" s="4640"/>
      <c r="M585" s="4640"/>
      <c r="N585" s="4640"/>
      <c r="O585" s="4640"/>
      <c r="P585" s="4640"/>
    </row>
    <row r="586">
      <c r="A586" s="4610"/>
      <c r="B586" s="4610"/>
      <c r="C586" s="4610"/>
      <c r="D586" s="4610"/>
      <c r="E586" s="4610"/>
      <c r="F586" s="4610"/>
      <c r="G586" s="4610"/>
      <c r="H586" s="4751"/>
      <c r="I586" s="4610"/>
      <c r="J586" s="4610"/>
      <c r="K586" s="4611"/>
      <c r="L586" s="4611"/>
      <c r="M586" s="4611"/>
      <c r="N586" s="4611"/>
      <c r="O586" s="4611"/>
      <c r="P586" s="4611"/>
    </row>
    <row customHeight="true" ht="35.714285714285715" r="587">
      <c r="A587" s="4977" t="s">
        <v>4763</v>
      </c>
      <c r="B587" s="4977"/>
      <c r="C587" s="4977"/>
      <c r="D587" s="4977"/>
      <c r="E587" s="4977"/>
      <c r="F587" s="4977"/>
      <c r="G587" s="4977"/>
      <c r="H587" s="4977"/>
      <c r="I587" s="4977"/>
      <c r="J587" s="4977"/>
      <c r="K587" s="4580"/>
      <c r="L587" s="4580"/>
      <c r="M587" s="4580"/>
      <c r="N587" s="4580"/>
      <c r="O587" s="4580"/>
      <c r="P587" s="4580"/>
    </row>
    <row r="588">
      <c r="A588" s="4978" t="s">
        <v>4318</v>
      </c>
      <c r="B588" s="4979" t="s">
        <v>4319</v>
      </c>
      <c r="C588" s="4979"/>
      <c r="D588" s="4980" t="s">
        <v>4320</v>
      </c>
      <c r="E588" s="4981" t="s">
        <v>4321</v>
      </c>
      <c r="F588" s="4981" t="s">
        <v>4322</v>
      </c>
      <c r="G588" s="4982" t="s">
        <v>4334</v>
      </c>
      <c r="H588" s="4981" t="s">
        <v>4324</v>
      </c>
      <c r="I588" s="4981" t="s">
        <v>4325</v>
      </c>
      <c r="J588" s="4983" t="s">
        <v>4326</v>
      </c>
      <c r="K588" s="4586"/>
      <c r="L588" s="4586"/>
      <c r="M588" s="4586"/>
      <c r="N588" s="4586"/>
      <c r="O588" s="4586"/>
      <c r="P588" s="4586"/>
    </row>
    <row r="589">
      <c r="A589" s="4859" t="s">
        <v>4764</v>
      </c>
      <c r="B589" s="4860">
        <v>46245</v>
      </c>
      <c r="C589" s="4984" t="str">
        <v>Tuesday</v>
      </c>
      <c r="D589" s="4985" t="s">
        <v>4765</v>
      </c>
      <c r="E589" s="4986">
        <f t="shared" ref="E589:E600" si="79">24*MOD(TIMEVALUE(TRIM(MID(D589,FIND("-",D589)+1,LEN(D589)))) - TIMEVALUE(TRIM(LEFT(D589,FIND("-",D589)-1))),1)</f>
      </c>
      <c r="F589" s="4862" t="s">
        <v>4766</v>
      </c>
      <c r="G589" s="4864" t="s">
        <v>4767</v>
      </c>
      <c r="H589" s="4862" t="s">
        <v>4316</v>
      </c>
      <c r="I589" s="4862" t="s">
        <v>4304</v>
      </c>
      <c r="J589" s="4949" t="s">
        <v>4768</v>
      </c>
      <c r="K589" s="4572"/>
      <c r="L589" s="4572"/>
      <c r="M589" s="4572"/>
      <c r="N589" s="4572"/>
      <c r="O589" s="4572"/>
      <c r="P589" s="4572"/>
    </row>
    <row r="590">
      <c r="A590" s="4859" t="s">
        <v>4764</v>
      </c>
      <c r="B590" s="4860">
        <v>46246</v>
      </c>
      <c r="C590" s="4859" t="str">
        <v>Wednesday</v>
      </c>
      <c r="D590" s="4869" t="s">
        <v>4765</v>
      </c>
      <c r="E590" s="4862">
        <f t="shared" si="79"/>
      </c>
      <c r="F590" s="4862" t="s">
        <v>4766</v>
      </c>
      <c r="G590" s="4864" t="s">
        <v>4767</v>
      </c>
      <c r="H590" s="4862" t="s">
        <v>4316</v>
      </c>
      <c r="I590" s="4862" t="s">
        <v>4304</v>
      </c>
      <c r="J590" s="4949"/>
      <c r="K590" s="4572"/>
      <c r="L590" s="4572"/>
      <c r="M590" s="4572"/>
      <c r="N590" s="4572"/>
      <c r="O590" s="4572"/>
      <c r="P590" s="4572"/>
    </row>
    <row r="591">
      <c r="A591" s="4859" t="s">
        <v>4764</v>
      </c>
      <c r="B591" s="4860">
        <v>46247</v>
      </c>
      <c r="C591" s="4859" t="str">
        <v>Thursday</v>
      </c>
      <c r="D591" s="4869" t="s">
        <v>4765</v>
      </c>
      <c r="E591" s="4862">
        <f t="shared" si="79"/>
      </c>
      <c r="F591" s="4862" t="s">
        <v>4766</v>
      </c>
      <c r="G591" s="4864" t="s">
        <v>4767</v>
      </c>
      <c r="H591" s="4862" t="s">
        <v>4316</v>
      </c>
      <c r="I591" s="4862" t="s">
        <v>4304</v>
      </c>
      <c r="J591" s="4876"/>
      <c r="K591" s="4572"/>
      <c r="L591" s="4572"/>
      <c r="M591" s="4572"/>
      <c r="N591" s="4572"/>
      <c r="O591" s="4572"/>
      <c r="P591" s="4572"/>
    </row>
    <row customHeight="true" ht="18.452380952380953" r="592">
      <c r="A592" s="4859" t="s">
        <v>4764</v>
      </c>
      <c r="B592" s="4860">
        <v>46247</v>
      </c>
      <c r="C592" s="4859" t="str">
        <v>Thursday</v>
      </c>
      <c r="D592" s="4869" t="s">
        <v>4410</v>
      </c>
      <c r="E592" s="4862">
        <f t="shared" si="79"/>
      </c>
      <c r="F592" s="4866" t="s">
        <v>4356</v>
      </c>
      <c r="G592" s="4864" t="s">
        <v>4769</v>
      </c>
      <c r="H592" s="4862" t="s">
        <v>4316</v>
      </c>
      <c r="I592" s="4862"/>
      <c r="J592" s="4876"/>
      <c r="K592" s="4572"/>
      <c r="L592" s="4572"/>
      <c r="M592" s="4572"/>
      <c r="N592" s="4572"/>
      <c r="O592" s="4572"/>
      <c r="P592" s="4572"/>
    </row>
    <row customHeight="true" ht="18.452380952380953" r="593">
      <c r="A593" s="4687" t="s">
        <v>4764</v>
      </c>
      <c r="B593" s="4688">
        <v>46247</v>
      </c>
      <c r="C593" s="4687" t="str">
        <v>Thursday</v>
      </c>
      <c r="D593" s="4689" t="s">
        <v>4591</v>
      </c>
      <c r="E593" s="4690">
        <f t="shared" si="79"/>
      </c>
      <c r="F593" s="4690" t="s">
        <v>4374</v>
      </c>
      <c r="G593" s="4691" t="s">
        <v>4769</v>
      </c>
      <c r="H593" s="4690" t="s">
        <v>4316</v>
      </c>
      <c r="I593" s="4690" t="s">
        <v>4304</v>
      </c>
      <c r="J593" s="4747"/>
      <c r="K593" s="4693"/>
      <c r="L593" s="4693"/>
      <c r="M593" s="4693"/>
      <c r="N593" s="4693"/>
      <c r="O593" s="4693"/>
      <c r="P593" s="4693"/>
      <c r="Q593" s="4694"/>
      <c r="R593" s="4694"/>
      <c r="S593" s="4694"/>
      <c r="T593" s="4694"/>
      <c r="U593" s="4694"/>
      <c r="V593" s="4694"/>
      <c r="W593" s="4694"/>
      <c r="X593" s="4694"/>
      <c r="Y593" s="4694"/>
    </row>
    <row customHeight="true" ht="18.452380952380953" r="594">
      <c r="A594" s="4859" t="s">
        <v>4764</v>
      </c>
      <c r="B594" s="4860">
        <v>46248</v>
      </c>
      <c r="C594" s="4859" t="str">
        <v>Friday</v>
      </c>
      <c r="D594" s="4869" t="s">
        <v>4462</v>
      </c>
      <c r="E594" s="4862">
        <f t="shared" si="79"/>
      </c>
      <c r="F594" s="4862" t="s">
        <v>4372</v>
      </c>
      <c r="G594" s="4864" t="s">
        <v>4770</v>
      </c>
      <c r="H594" s="4862" t="s">
        <v>4316</v>
      </c>
      <c r="I594" s="4862" t="s">
        <v>4332</v>
      </c>
      <c r="J594" s="4876"/>
      <c r="K594" s="4572"/>
      <c r="L594" s="4572"/>
      <c r="M594" s="4572"/>
      <c r="N594" s="4572"/>
      <c r="O594" s="4572"/>
      <c r="P594" s="4572"/>
    </row>
    <row customHeight="true" ht="18.452380952380953" r="595">
      <c r="A595" s="4859" t="s">
        <v>4764</v>
      </c>
      <c r="B595" s="4860">
        <v>46248</v>
      </c>
      <c r="C595" s="4859" t="str">
        <v>Friday</v>
      </c>
      <c r="D595" s="4869" t="s">
        <v>4593</v>
      </c>
      <c r="E595" s="4862">
        <f t="shared" si="79"/>
      </c>
      <c r="F595" s="4862" t="s">
        <v>4634</v>
      </c>
      <c r="G595" s="4864" t="s">
        <v>4771</v>
      </c>
      <c r="H595" s="4862" t="s">
        <v>4316</v>
      </c>
      <c r="I595" s="4862" t="s">
        <v>4304</v>
      </c>
      <c r="J595" s="4876"/>
      <c r="K595" s="4572"/>
      <c r="L595" s="4572"/>
      <c r="M595" s="4572"/>
      <c r="N595" s="4572"/>
      <c r="O595" s="4572"/>
      <c r="P595" s="4572"/>
    </row>
    <row customHeight="true" ht="18.452380952380953" r="596">
      <c r="A596" s="4859" t="s">
        <v>4764</v>
      </c>
      <c r="B596" s="4860">
        <v>46248</v>
      </c>
      <c r="C596" s="4859" t="str">
        <v>Friday</v>
      </c>
      <c r="D596" s="4869" t="s">
        <v>4417</v>
      </c>
      <c r="E596" s="4862">
        <f t="shared" si="79"/>
      </c>
      <c r="F596" s="4862" t="s">
        <v>4372</v>
      </c>
      <c r="G596" s="4864" t="s">
        <v>4769</v>
      </c>
      <c r="H596" s="4862" t="s">
        <v>4316</v>
      </c>
      <c r="I596" s="4862" t="s">
        <v>4304</v>
      </c>
      <c r="J596" s="4876"/>
      <c r="K596" s="4572"/>
      <c r="L596" s="4572"/>
      <c r="M596" s="4572"/>
      <c r="N596" s="4572"/>
      <c r="O596" s="4572"/>
      <c r="P596" s="4572"/>
    </row>
    <row r="597">
      <c r="A597" s="4859" t="s">
        <v>4764</v>
      </c>
      <c r="B597" s="4860">
        <v>46249</v>
      </c>
      <c r="C597" s="4859" t="str">
        <v>Saturday</v>
      </c>
      <c r="D597" s="4869" t="s">
        <v>4699</v>
      </c>
      <c r="E597" s="4862">
        <f t="shared" si="79"/>
      </c>
      <c r="F597" s="4866" t="s">
        <v>4356</v>
      </c>
      <c r="G597" s="4864" t="s">
        <v>4772</v>
      </c>
      <c r="H597" s="4862" t="s">
        <v>4316</v>
      </c>
      <c r="I597" s="4987" t="s">
        <v>4304</v>
      </c>
      <c r="J597" s="4876"/>
      <c r="K597" s="4572"/>
      <c r="L597" s="4572"/>
      <c r="M597" s="4572"/>
      <c r="N597" s="4572"/>
      <c r="O597" s="4572"/>
      <c r="P597" s="4572"/>
    </row>
    <row customHeight="true" ht="18.452380952380953" r="598">
      <c r="A598" s="4859" t="s">
        <v>4764</v>
      </c>
      <c r="B598" s="4860">
        <v>46249</v>
      </c>
      <c r="C598" s="4859" t="str">
        <v>Saturday</v>
      </c>
      <c r="D598" s="4869" t="s">
        <v>4773</v>
      </c>
      <c r="E598" s="4862">
        <f t="shared" si="79"/>
      </c>
      <c r="F598" s="4866" t="s">
        <v>4658</v>
      </c>
      <c r="G598" s="4864" t="s">
        <v>4774</v>
      </c>
      <c r="H598" s="4862"/>
      <c r="I598" s="4987" t="s">
        <v>4304</v>
      </c>
      <c r="J598" s="4876"/>
      <c r="K598" s="4572"/>
      <c r="L598" s="4572"/>
      <c r="M598" s="4572"/>
      <c r="N598" s="4572"/>
      <c r="O598" s="4572"/>
      <c r="P598" s="4572"/>
    </row>
    <row customHeight="true" ht="18.452380952380953" r="599">
      <c r="A599" s="4859" t="s">
        <v>4764</v>
      </c>
      <c r="B599" s="4860">
        <v>46250</v>
      </c>
      <c r="C599" s="4859" t="str">
        <v>Sunday</v>
      </c>
      <c r="D599" s="4869" t="s">
        <v>4581</v>
      </c>
      <c r="E599" s="4862">
        <f t="shared" si="79"/>
      </c>
      <c r="F599" s="4862" t="s">
        <v>4634</v>
      </c>
      <c r="G599" s="4864" t="s">
        <v>4775</v>
      </c>
      <c r="H599" s="4862" t="s">
        <v>4316</v>
      </c>
      <c r="I599" s="4862" t="s">
        <v>4304</v>
      </c>
      <c r="J599" s="4876"/>
      <c r="K599" s="4572"/>
      <c r="L599" s="4572"/>
      <c r="M599" s="4572"/>
      <c r="N599" s="4572"/>
      <c r="O599" s="4572"/>
      <c r="P599" s="4572"/>
    </row>
    <row r="600">
      <c r="A600" s="4859" t="s">
        <v>4764</v>
      </c>
      <c r="B600" s="4860">
        <v>46250</v>
      </c>
      <c r="C600" s="4859" t="str">
        <v>Sunday</v>
      </c>
      <c r="D600" s="4869" t="s">
        <v>4493</v>
      </c>
      <c r="E600" s="4862">
        <f t="shared" si="79"/>
      </c>
      <c r="F600" s="4862" t="s">
        <v>4372</v>
      </c>
      <c r="G600" s="4864" t="s">
        <v>4775</v>
      </c>
      <c r="H600" s="4862" t="s">
        <v>4316</v>
      </c>
      <c r="I600" s="4862" t="s">
        <v>4304</v>
      </c>
      <c r="J600" s="4876"/>
      <c r="K600" s="4572"/>
      <c r="L600" s="4572"/>
      <c r="M600" s="4572"/>
      <c r="N600" s="4572"/>
      <c r="O600" s="4572"/>
      <c r="P600" s="4572"/>
    </row>
    <row customHeight="true" ht="18.452380952380953" r="601">
      <c r="A601" s="4859"/>
      <c r="B601" s="4860"/>
      <c r="C601" s="4859"/>
      <c r="D601" s="4869"/>
      <c r="E601" s="4862"/>
      <c r="F601" s="4862"/>
      <c r="G601" s="4870"/>
      <c r="H601" s="4862"/>
      <c r="I601" s="4862"/>
      <c r="J601" s="4876"/>
      <c r="K601" s="4572"/>
      <c r="L601" s="4572"/>
      <c r="M601" s="4572"/>
      <c r="N601" s="4572"/>
      <c r="O601" s="4572"/>
      <c r="P601" s="4572"/>
    </row>
    <row r="602">
      <c r="A602" s="4587"/>
      <c r="B602" s="4587"/>
      <c r="C602" s="4587"/>
      <c r="D602" s="4571"/>
      <c r="E602" s="4571"/>
      <c r="F602" s="4571"/>
      <c r="G602" s="4703"/>
      <c r="H602" s="4591"/>
      <c r="I602" s="4591"/>
      <c r="J602" s="4590"/>
      <c r="K602" s="4572"/>
      <c r="L602" s="4572"/>
      <c r="M602" s="4572"/>
      <c r="N602" s="4572"/>
      <c r="O602" s="4572"/>
      <c r="P602" s="4572"/>
    </row>
    <row r="603">
      <c r="A603" s="4859" t="s">
        <v>4776</v>
      </c>
      <c r="B603" s="4860">
        <v>46245</v>
      </c>
      <c r="C603" s="4859" t="str">
        <v>Tuesday</v>
      </c>
      <c r="D603" s="4869" t="s">
        <v>4777</v>
      </c>
      <c r="E603" s="4862">
        <f t="shared" ref="E603:E611" si="80">24*MOD(TIMEVALUE(TRIM(MID(D603,FIND("-",D603)+1,LEN(D603)))) - TIMEVALUE(TRIM(LEFT(D603,FIND("-",D603)-1))),1)</f>
      </c>
      <c r="F603" s="4862" t="s">
        <v>4778</v>
      </c>
      <c r="G603" s="4864"/>
      <c r="H603" s="4862" t="s">
        <v>4316</v>
      </c>
      <c r="I603" s="4862" t="s">
        <v>4304</v>
      </c>
      <c r="J603" s="4876"/>
      <c r="K603" s="4572"/>
      <c r="L603" s="4572"/>
      <c r="M603" s="4572"/>
      <c r="N603" s="4572"/>
      <c r="O603" s="4572"/>
      <c r="P603" s="4572"/>
    </row>
    <row r="604">
      <c r="A604" s="4859" t="s">
        <v>4776</v>
      </c>
      <c r="B604" s="4860">
        <v>46246</v>
      </c>
      <c r="C604" s="4859" t="str">
        <v>Wednesday</v>
      </c>
      <c r="D604" s="4869" t="s">
        <v>4777</v>
      </c>
      <c r="E604" s="4862">
        <f t="shared" si="80"/>
      </c>
      <c r="F604" s="4862" t="s">
        <v>4778</v>
      </c>
      <c r="G604" s="4870"/>
      <c r="H604" s="4862" t="s">
        <v>4316</v>
      </c>
      <c r="I604" s="4862" t="s">
        <v>4304</v>
      </c>
      <c r="J604" s="4876"/>
      <c r="K604" s="4572"/>
      <c r="L604" s="4572"/>
      <c r="M604" s="4572"/>
      <c r="N604" s="4572"/>
      <c r="O604" s="4572"/>
      <c r="P604" s="4572"/>
    </row>
    <row r="605">
      <c r="A605" s="4859" t="s">
        <v>4776</v>
      </c>
      <c r="B605" s="4860">
        <v>46247</v>
      </c>
      <c r="C605" s="4859" t="str">
        <v>Thursday</v>
      </c>
      <c r="D605" s="4869" t="s">
        <v>4765</v>
      </c>
      <c r="E605" s="4862">
        <f t="shared" si="80"/>
      </c>
      <c r="F605" s="4862" t="s">
        <v>4778</v>
      </c>
      <c r="G605" s="4864"/>
      <c r="H605" s="4862" t="s">
        <v>4316</v>
      </c>
      <c r="I605" s="4862" t="s">
        <v>4304</v>
      </c>
      <c r="J605" s="4876"/>
      <c r="K605" s="4572"/>
      <c r="L605" s="4572"/>
      <c r="M605" s="4572"/>
      <c r="N605" s="4572"/>
      <c r="O605" s="4572"/>
      <c r="P605" s="4572"/>
    </row>
    <row customHeight="true" ht="18.452380952380953" r="606">
      <c r="A606" s="4859" t="s">
        <v>4776</v>
      </c>
      <c r="B606" s="4860">
        <v>46247</v>
      </c>
      <c r="C606" s="4859" t="str">
        <v>Thursday</v>
      </c>
      <c r="D606" s="4869" t="s">
        <v>4779</v>
      </c>
      <c r="E606" s="4862">
        <f t="shared" si="80"/>
      </c>
      <c r="F606" s="4862" t="s">
        <v>4348</v>
      </c>
      <c r="G606" s="4864"/>
      <c r="H606" s="4862" t="s">
        <v>4316</v>
      </c>
      <c r="I606" s="4862" t="s">
        <v>4304</v>
      </c>
      <c r="J606" s="4876"/>
      <c r="K606" s="4572"/>
      <c r="L606" s="4572"/>
      <c r="M606" s="4572"/>
      <c r="N606" s="4572"/>
      <c r="O606" s="4572"/>
      <c r="P606" s="4572"/>
    </row>
    <row customHeight="true" ht="18.452380952380953" r="607">
      <c r="A607" s="4859" t="s">
        <v>4776</v>
      </c>
      <c r="B607" s="4860">
        <v>46248</v>
      </c>
      <c r="C607" s="4860" t="s">
        <v>4400</v>
      </c>
      <c r="D607" s="4869" t="s">
        <v>4780</v>
      </c>
      <c r="E607" s="4875">
        <f t="shared" si="80"/>
      </c>
      <c r="F607" s="4866"/>
      <c r="G607" s="4988"/>
      <c r="H607" s="4875"/>
      <c r="I607" s="4866"/>
      <c r="J607" s="4865"/>
      <c r="K607" s="4798"/>
      <c r="L607" s="4798"/>
      <c r="M607" s="4798"/>
      <c r="N607" s="4798"/>
      <c r="O607" s="4798"/>
      <c r="P607" s="4798"/>
    </row>
    <row r="608">
      <c r="A608" s="4859" t="s">
        <v>4776</v>
      </c>
      <c r="B608" s="4860">
        <v>46248</v>
      </c>
      <c r="C608" s="4859" t="str">
        <v>Friday</v>
      </c>
      <c r="D608" s="4869" t="s">
        <v>4781</v>
      </c>
      <c r="E608" s="4875">
        <f t="shared" si="80"/>
      </c>
      <c r="F608" s="4866" t="s">
        <v>4782</v>
      </c>
      <c r="G608" s="4988"/>
      <c r="H608" s="4875" t="s">
        <v>4316</v>
      </c>
      <c r="I608" s="4866" t="s">
        <v>4304</v>
      </c>
      <c r="J608" s="4865"/>
      <c r="K608" s="4798"/>
      <c r="L608" s="4798"/>
      <c r="M608" s="4798"/>
      <c r="N608" s="4798"/>
      <c r="O608" s="4798"/>
      <c r="P608" s="4798"/>
    </row>
    <row customHeight="true" ht="18.452380952380953" r="609">
      <c r="A609" s="4859" t="s">
        <v>4776</v>
      </c>
      <c r="B609" s="4860">
        <v>46248</v>
      </c>
      <c r="C609" s="4859" t="str">
        <v>Friday</v>
      </c>
      <c r="D609" s="4869" t="s">
        <v>4783</v>
      </c>
      <c r="E609" s="4875">
        <f t="shared" si="80"/>
      </c>
      <c r="F609" s="4862" t="s">
        <v>4348</v>
      </c>
      <c r="G609" s="4988"/>
      <c r="H609" s="4875" t="s">
        <v>4316</v>
      </c>
      <c r="I609" s="4862" t="s">
        <v>4304</v>
      </c>
      <c r="J609" s="4865"/>
      <c r="K609" s="4798"/>
      <c r="L609" s="4798"/>
      <c r="M609" s="4798"/>
      <c r="N609" s="4798"/>
      <c r="O609" s="4798"/>
      <c r="P609" s="4798"/>
    </row>
    <row r="610">
      <c r="A610" s="4859" t="s">
        <v>4776</v>
      </c>
      <c r="B610" s="4860">
        <v>46249</v>
      </c>
      <c r="C610" s="4859" t="str">
        <v>Saturday</v>
      </c>
      <c r="D610" s="4869" t="s">
        <v>4784</v>
      </c>
      <c r="E610" s="4862">
        <f t="shared" si="80"/>
      </c>
      <c r="F610" s="4862" t="s">
        <v>4348</v>
      </c>
      <c r="G610" s="4870"/>
      <c r="H610" s="4862" t="s">
        <v>4316</v>
      </c>
      <c r="I610" s="4862" t="s">
        <v>4304</v>
      </c>
      <c r="J610" s="4876"/>
      <c r="K610" s="4572"/>
      <c r="L610" s="4572"/>
      <c r="M610" s="4572"/>
      <c r="N610" s="4572"/>
      <c r="O610" s="4572"/>
      <c r="P610" s="4572"/>
    </row>
    <row r="611">
      <c r="A611" s="4859" t="s">
        <v>4776</v>
      </c>
      <c r="B611" s="4860">
        <v>46250</v>
      </c>
      <c r="C611" s="4859" t="str">
        <v>Sunday</v>
      </c>
      <c r="D611" s="4869" t="s">
        <v>4785</v>
      </c>
      <c r="E611" s="4862">
        <f t="shared" si="80"/>
      </c>
      <c r="F611" s="4862" t="s">
        <v>4778</v>
      </c>
      <c r="G611" s="4864" t="s">
        <v>4786</v>
      </c>
      <c r="H611" s="4862" t="s">
        <v>4316</v>
      </c>
      <c r="I611" s="4862" t="s">
        <v>4304</v>
      </c>
      <c r="J611" s="4876"/>
      <c r="K611" s="4572"/>
      <c r="L611" s="4572"/>
      <c r="M611" s="4572"/>
      <c r="N611" s="4572"/>
      <c r="O611" s="4572"/>
      <c r="P611" s="4572"/>
    </row>
    <row r="612">
      <c r="A612" s="4587"/>
      <c r="B612" s="4587"/>
      <c r="C612" s="4587"/>
      <c r="D612" s="4591"/>
      <c r="E612" s="4591"/>
      <c r="F612" s="4591"/>
      <c r="G612" s="4609"/>
      <c r="H612" s="4591"/>
      <c r="I612" s="4591"/>
      <c r="J612" s="4568"/>
      <c r="K612" s="4572"/>
      <c r="L612" s="4572"/>
      <c r="M612" s="4572"/>
      <c r="N612" s="4572"/>
      <c r="O612" s="4572"/>
      <c r="P612" s="4572"/>
    </row>
    <row customHeight="true" ht="18.452380952380953" r="613">
      <c r="A613" s="4859" t="s">
        <v>4787</v>
      </c>
      <c r="B613" s="4860">
        <v>46245</v>
      </c>
      <c r="C613" s="4859" t="str">
        <v>Tuesday</v>
      </c>
      <c r="D613" s="4869" t="s">
        <v>4609</v>
      </c>
      <c r="E613" s="4862">
        <f t="shared" ref="E613:E621" si="81">24*MOD(TIMEVALUE(TRIM(MID(D613,FIND("-",D613)+1,LEN(D613)))) - TIMEVALUE(TRIM(LEFT(D613,FIND("-",D613)-1))),1)</f>
      </c>
      <c r="F613" s="4866" t="s">
        <v>4395</v>
      </c>
      <c r="G613" s="4870"/>
      <c r="H613" s="4862" t="s">
        <v>4316</v>
      </c>
      <c r="I613" s="4862" t="s">
        <v>4304</v>
      </c>
      <c r="J613" s="4876"/>
      <c r="K613" s="4572"/>
      <c r="L613" s="4572"/>
      <c r="M613" s="4572"/>
      <c r="N613" s="4572"/>
      <c r="O613" s="4572"/>
      <c r="P613" s="4572"/>
    </row>
    <row customHeight="true" ht="18.452380952380953" r="614">
      <c r="A614" s="4859" t="s">
        <v>4787</v>
      </c>
      <c r="B614" s="4860">
        <v>46246</v>
      </c>
      <c r="C614" s="4859" t="str">
        <v>Wednesday</v>
      </c>
      <c r="D614" s="4869" t="s">
        <v>4674</v>
      </c>
      <c r="E614" s="4862">
        <f t="shared" si="81"/>
      </c>
      <c r="F614" s="4866" t="s">
        <v>4395</v>
      </c>
      <c r="G614" s="4870"/>
      <c r="H614" s="4862"/>
      <c r="I614" s="4862" t="s">
        <v>4304</v>
      </c>
      <c r="J614" s="4876"/>
      <c r="K614" s="4572"/>
      <c r="L614" s="4572"/>
      <c r="M614" s="4572"/>
      <c r="N614" s="4572"/>
      <c r="O614" s="4572"/>
      <c r="P614" s="4572"/>
    </row>
    <row customHeight="true" ht="18.452380952380953" r="615">
      <c r="A615" s="4859" t="s">
        <v>4787</v>
      </c>
      <c r="B615" s="4860">
        <v>46245</v>
      </c>
      <c r="C615" s="4859" t="str">
        <v>Tuesday</v>
      </c>
      <c r="D615" s="4869" t="s">
        <v>4587</v>
      </c>
      <c r="E615" s="4862">
        <f t="shared" si="81"/>
      </c>
      <c r="F615" s="4866" t="s">
        <v>4369</v>
      </c>
      <c r="G615" s="4870"/>
      <c r="H615" s="4862"/>
      <c r="I615" s="4862" t="s">
        <v>4304</v>
      </c>
      <c r="J615" s="4876"/>
      <c r="K615" s="4572"/>
      <c r="L615" s="4572"/>
      <c r="M615" s="4572"/>
      <c r="N615" s="4572"/>
      <c r="O615" s="4572"/>
      <c r="P615" s="4572"/>
    </row>
    <row customHeight="true" ht="18.452380952380953" r="616">
      <c r="A616" s="4687" t="s">
        <v>4787</v>
      </c>
      <c r="B616" s="4688">
        <v>46248</v>
      </c>
      <c r="C616" s="4687" t="str">
        <v>Friday</v>
      </c>
      <c r="D616" s="4689" t="s">
        <v>4788</v>
      </c>
      <c r="E616" s="4690">
        <f t="shared" si="81"/>
      </c>
      <c r="F616" s="4690" t="s">
        <v>4369</v>
      </c>
      <c r="G616" s="4706"/>
      <c r="H616" s="4690"/>
      <c r="I616" s="4690" t="s">
        <v>4304</v>
      </c>
      <c r="J616" s="4771" t="s">
        <v>4789</v>
      </c>
      <c r="K616" s="4693"/>
      <c r="L616" s="4693"/>
      <c r="M616" s="4693"/>
      <c r="N616" s="4693"/>
      <c r="O616" s="4693"/>
      <c r="P616" s="4693"/>
      <c r="Q616" s="4694"/>
      <c r="R616" s="4694"/>
      <c r="S616" s="4694"/>
      <c r="T616" s="4694"/>
      <c r="U616" s="4694"/>
      <c r="V616" s="4694"/>
      <c r="W616" s="4694"/>
      <c r="X616" s="4694"/>
      <c r="Y616" s="4694"/>
    </row>
    <row customHeight="true" ht="18.452380952380953" r="617">
      <c r="A617" s="4687" t="s">
        <v>4787</v>
      </c>
      <c r="B617" s="4688">
        <v>46247</v>
      </c>
      <c r="C617" s="4687" t="str">
        <v>Thursday</v>
      </c>
      <c r="D617" s="4689" t="s">
        <v>4790</v>
      </c>
      <c r="E617" s="4690">
        <f t="shared" si="81"/>
      </c>
      <c r="F617" s="4690" t="s">
        <v>4374</v>
      </c>
      <c r="G617" s="4706"/>
      <c r="H617" s="4690"/>
      <c r="I617" s="4690" t="s">
        <v>4304</v>
      </c>
      <c r="J617" s="4747"/>
      <c r="K617" s="4693"/>
      <c r="L617" s="4693"/>
      <c r="M617" s="4693"/>
      <c r="N617" s="4693"/>
      <c r="O617" s="4693"/>
      <c r="P617" s="4693"/>
      <c r="Q617" s="4694"/>
      <c r="R617" s="4694"/>
      <c r="S617" s="4694"/>
      <c r="T617" s="4694"/>
      <c r="U617" s="4694"/>
      <c r="V617" s="4694"/>
      <c r="W617" s="4694"/>
      <c r="X617" s="4694"/>
      <c r="Y617" s="4694"/>
    </row>
    <row customHeight="true" ht="18.452380952380953" r="618">
      <c r="A618" s="4859" t="s">
        <v>4791</v>
      </c>
      <c r="B618" s="4860">
        <v>46245</v>
      </c>
      <c r="C618" s="4859" t="str">
        <v>Tuesday</v>
      </c>
      <c r="D618" s="4869" t="s">
        <v>4792</v>
      </c>
      <c r="E618" s="4862">
        <f t="shared" si="81"/>
      </c>
      <c r="F618" s="4862" t="s">
        <v>4793</v>
      </c>
      <c r="G618" s="4870"/>
      <c r="H618" s="4862"/>
      <c r="I618" s="4862" t="s">
        <v>4304</v>
      </c>
      <c r="J618" s="4876"/>
      <c r="K618" s="4572"/>
      <c r="L618" s="4572"/>
      <c r="M618" s="4572"/>
      <c r="N618" s="4572"/>
      <c r="O618" s="4572"/>
      <c r="P618" s="4572"/>
    </row>
    <row customHeight="true" ht="18.452380952380953" r="619">
      <c r="A619" s="4859" t="s">
        <v>4791</v>
      </c>
      <c r="B619" s="4860">
        <v>46246</v>
      </c>
      <c r="C619" s="4859" t="str">
        <v>Wednesday</v>
      </c>
      <c r="D619" s="4869" t="s">
        <v>4794</v>
      </c>
      <c r="E619" s="4862">
        <f t="shared" si="81"/>
      </c>
      <c r="F619" s="4862" t="s">
        <v>4793</v>
      </c>
      <c r="G619" s="4870"/>
      <c r="H619" s="4862"/>
      <c r="I619" s="4862" t="s">
        <v>4304</v>
      </c>
      <c r="J619" s="4876"/>
      <c r="K619" s="4572"/>
      <c r="L619" s="4572"/>
      <c r="M619" s="4572"/>
      <c r="N619" s="4572"/>
      <c r="O619" s="4572"/>
      <c r="P619" s="4572"/>
    </row>
    <row customHeight="true" ht="18.452380952380953" r="620">
      <c r="A620" s="4859" t="s">
        <v>4791</v>
      </c>
      <c r="B620" s="4860">
        <v>46249</v>
      </c>
      <c r="C620" s="4859" t="str">
        <v>Saturday</v>
      </c>
      <c r="D620" s="4869" t="s">
        <v>4794</v>
      </c>
      <c r="E620" s="4862">
        <f t="shared" si="81"/>
      </c>
      <c r="F620" s="4862" t="s">
        <v>4793</v>
      </c>
      <c r="G620" s="4870"/>
      <c r="H620" s="4862"/>
      <c r="I620" s="4862" t="s">
        <v>4304</v>
      </c>
      <c r="J620" s="4876"/>
      <c r="K620" s="4572"/>
      <c r="L620" s="4572"/>
      <c r="M620" s="4572"/>
      <c r="N620" s="4572"/>
      <c r="O620" s="4572"/>
      <c r="P620" s="4572"/>
    </row>
    <row customHeight="true" ht="18.452380952380953" r="621">
      <c r="A621" s="4859" t="s">
        <v>4791</v>
      </c>
      <c r="B621" s="4860">
        <v>46250</v>
      </c>
      <c r="C621" s="4859" t="str">
        <v>Sunday</v>
      </c>
      <c r="D621" s="4869" t="s">
        <v>4794</v>
      </c>
      <c r="E621" s="4862">
        <f t="shared" si="81"/>
      </c>
      <c r="F621" s="4862" t="s">
        <v>4793</v>
      </c>
      <c r="G621" s="4870"/>
      <c r="H621" s="4862"/>
      <c r="I621" s="4862" t="s">
        <v>4304</v>
      </c>
      <c r="J621" s="4876"/>
      <c r="K621" s="4572"/>
      <c r="L621" s="4572"/>
      <c r="M621" s="4572"/>
      <c r="N621" s="4572"/>
      <c r="O621" s="4572"/>
      <c r="P621" s="4572"/>
    </row>
    <row r="622">
      <c r="A622" s="4587"/>
      <c r="B622" s="4587"/>
      <c r="C622" s="4587"/>
      <c r="D622" s="4591"/>
      <c r="E622" s="4571"/>
      <c r="F622" s="4591"/>
      <c r="G622" s="4609"/>
      <c r="H622" s="4989"/>
      <c r="I622" s="4591"/>
      <c r="J622" s="4568"/>
      <c r="K622" s="4572"/>
      <c r="L622" s="4572"/>
      <c r="M622" s="4572"/>
      <c r="N622" s="4572"/>
      <c r="O622" s="4572"/>
      <c r="P622" s="4572"/>
    </row>
    <row r="623">
      <c r="A623" s="4587"/>
      <c r="B623" s="4587"/>
      <c r="C623" s="4587"/>
      <c r="D623" s="4571"/>
      <c r="E623" s="4571"/>
      <c r="F623" s="4571"/>
      <c r="G623" s="4703"/>
      <c r="H623" s="4571"/>
      <c r="I623" s="4571"/>
      <c r="J623" s="4590"/>
      <c r="K623" s="4572"/>
      <c r="L623" s="4572"/>
      <c r="M623" s="4572"/>
      <c r="N623" s="4572"/>
      <c r="O623" s="4572"/>
      <c r="P623" s="4572"/>
    </row>
    <row r="624">
      <c r="A624" s="4990" t="s">
        <v>4795</v>
      </c>
      <c r="B624" s="4990"/>
      <c r="C624" s="4990"/>
      <c r="D624" s="4990"/>
      <c r="E624" s="4990"/>
      <c r="F624" s="4990"/>
      <c r="G624" s="4990"/>
      <c r="H624" s="4990"/>
      <c r="I624" s="4990"/>
      <c r="J624" s="4991"/>
      <c r="K624" s="4960"/>
      <c r="L624" s="4960"/>
      <c r="M624" s="4960"/>
      <c r="N624" s="4960"/>
      <c r="O624" s="4960"/>
      <c r="P624" s="4960"/>
    </row>
    <row r="625">
      <c r="A625" s="4992" t="s">
        <v>4318</v>
      </c>
      <c r="B625" s="4993" t="s">
        <v>4319</v>
      </c>
      <c r="C625" s="4993"/>
      <c r="D625" s="4994" t="s">
        <v>4320</v>
      </c>
      <c r="E625" s="4994" t="s">
        <v>4321</v>
      </c>
      <c r="F625" s="4994" t="s">
        <v>4322</v>
      </c>
      <c r="G625" s="4995" t="s">
        <v>4334</v>
      </c>
      <c r="H625" s="4994" t="s">
        <v>4324</v>
      </c>
      <c r="I625" s="4994" t="s">
        <v>4325</v>
      </c>
      <c r="J625" s="4996" t="s">
        <v>4326</v>
      </c>
      <c r="K625" s="4586"/>
      <c r="L625" s="4586"/>
      <c r="M625" s="4586"/>
      <c r="N625" s="4586"/>
      <c r="O625" s="4586"/>
      <c r="P625" s="4586"/>
    </row>
    <row r="626">
      <c r="A626" s="4587" t="s">
        <v>4795</v>
      </c>
      <c r="B626" s="4573">
        <v>46245</v>
      </c>
      <c r="C626" s="4587" t="str">
        <v>Tuesday</v>
      </c>
      <c r="D626" s="4567" t="s">
        <v>4336</v>
      </c>
      <c r="E626" s="4591">
        <f t="shared" ref="E626:E627" si="82">24*MOD(TIMEVALUE(TRIM(MID(D626,FIND("-",D626)+1,LEN(D626)))) - TIMEVALUE(TRIM(LEFT(D626,FIND("-",D626)-1))),1)</f>
      </c>
      <c r="F626" s="4571" t="s">
        <v>4416</v>
      </c>
      <c r="G626" s="4599"/>
      <c r="H626" s="4989" t="s">
        <v>4316</v>
      </c>
      <c r="I626" s="4591" t="s">
        <v>4304</v>
      </c>
      <c r="J626" s="4568"/>
      <c r="K626" s="4572"/>
      <c r="L626" s="4572"/>
      <c r="M626" s="4572"/>
      <c r="N626" s="4572"/>
      <c r="O626" s="4572"/>
      <c r="P626" s="4572"/>
    </row>
    <row r="627">
      <c r="A627" s="4997" t="s">
        <v>4796</v>
      </c>
      <c r="B627" s="4998">
        <v>46245</v>
      </c>
      <c r="C627" s="4997" t="str">
        <v>Tuesday</v>
      </c>
      <c r="D627" s="4999" t="s">
        <v>4797</v>
      </c>
      <c r="E627" s="5000">
        <f t="shared" si="82"/>
      </c>
      <c r="F627" s="5000" t="s">
        <v>4782</v>
      </c>
      <c r="G627" s="5001"/>
      <c r="H627" s="5002" t="s">
        <v>4316</v>
      </c>
      <c r="I627" s="4591" t="s">
        <v>4304</v>
      </c>
      <c r="J627" s="5003"/>
      <c r="K627" s="4572"/>
      <c r="L627" s="4572"/>
      <c r="M627" s="4572"/>
      <c r="N627" s="4572"/>
      <c r="O627" s="4572"/>
      <c r="P627" s="4572"/>
    </row>
    <row r="628">
      <c r="A628" s="4587" t="s">
        <v>4795</v>
      </c>
      <c r="B628" s="4587"/>
      <c r="C628" s="4587"/>
      <c r="D628" s="4591"/>
      <c r="E628" s="5004">
        <f>3</f>
      </c>
      <c r="F628" s="4571"/>
      <c r="G628" s="4609"/>
      <c r="H628" s="4989"/>
      <c r="I628" s="4571"/>
      <c r="J628" s="4568"/>
      <c r="K628" s="4572"/>
      <c r="L628" s="4572"/>
      <c r="M628" s="4572"/>
      <c r="N628" s="4572"/>
      <c r="O628" s="4572"/>
      <c r="P628" s="4572"/>
    </row>
    <row r="629">
      <c r="A629" s="4587" t="s">
        <v>4795</v>
      </c>
      <c r="B629" s="4573">
        <v>46246</v>
      </c>
      <c r="C629" s="4587" t="str">
        <v>Wednesday</v>
      </c>
      <c r="D629" s="4567" t="s">
        <v>4593</v>
      </c>
      <c r="E629" s="4591">
        <f t="shared" ref="E629:E630" si="83">24*MOD(TIMEVALUE(TRIM(MID(D629,FIND("-",D629)+1,LEN(D629)))) - TIMEVALUE(TRIM(LEFT(D629,FIND("-",D629)-1))),1)</f>
      </c>
      <c r="F629" s="4571" t="s">
        <v>4354</v>
      </c>
      <c r="G629" s="4599"/>
      <c r="H629" s="4989" t="s">
        <v>4316</v>
      </c>
      <c r="I629" s="4620" t="s">
        <v>4304</v>
      </c>
      <c r="J629" s="4568"/>
      <c r="K629" s="4572"/>
      <c r="L629" s="4572"/>
      <c r="M629" s="4572"/>
      <c r="N629" s="4572"/>
      <c r="O629" s="4572"/>
      <c r="P629" s="4572"/>
    </row>
    <row r="630">
      <c r="A630" s="4997" t="s">
        <v>4796</v>
      </c>
      <c r="B630" s="4998">
        <v>46246</v>
      </c>
      <c r="C630" s="4997" t="str">
        <v>Wednesday</v>
      </c>
      <c r="D630" s="4999" t="s">
        <v>4798</v>
      </c>
      <c r="E630" s="5000">
        <f t="shared" si="83"/>
      </c>
      <c r="F630" s="5000" t="s">
        <v>4782</v>
      </c>
      <c r="G630" s="5001"/>
      <c r="H630" s="5002" t="s">
        <v>4316</v>
      </c>
      <c r="I630" s="4591" t="s">
        <v>4304</v>
      </c>
      <c r="J630" s="5005"/>
      <c r="K630" s="4760"/>
      <c r="L630" s="4760"/>
      <c r="M630" s="4760"/>
      <c r="N630" s="4760"/>
      <c r="O630" s="4760"/>
      <c r="P630" s="4760"/>
    </row>
    <row r="631">
      <c r="A631" s="4587" t="s">
        <v>4795</v>
      </c>
      <c r="B631" s="4587"/>
      <c r="C631" s="4587"/>
      <c r="D631" s="4591"/>
      <c r="E631" s="5004">
        <f>3</f>
      </c>
      <c r="F631" s="4571"/>
      <c r="G631" s="4609"/>
      <c r="H631" s="4989"/>
      <c r="I631" s="4571"/>
      <c r="J631" s="4568"/>
      <c r="K631" s="4572"/>
      <c r="L631" s="4572"/>
      <c r="M631" s="4572"/>
      <c r="N631" s="4572"/>
      <c r="O631" s="4572"/>
      <c r="P631" s="4572"/>
    </row>
    <row r="632">
      <c r="A632" s="4587" t="s">
        <v>4795</v>
      </c>
      <c r="B632" s="4573">
        <v>46247</v>
      </c>
      <c r="C632" s="4587" t="str">
        <v>Thursday</v>
      </c>
      <c r="D632" s="4567" t="s">
        <v>4336</v>
      </c>
      <c r="E632" s="4591">
        <f t="shared" ref="E632:E633" si="84">24*MOD(TIMEVALUE(TRIM(MID(D632,FIND("-",D632)+1,LEN(D632)))) - TIMEVALUE(TRIM(LEFT(D632,FIND("-",D632)-1))),1)</f>
      </c>
      <c r="F632" s="4571" t="s">
        <v>4416</v>
      </c>
      <c r="G632" s="4599"/>
      <c r="H632" s="4989" t="s">
        <v>4316</v>
      </c>
      <c r="I632" s="4591" t="s">
        <v>4304</v>
      </c>
      <c r="J632" s="4568"/>
      <c r="K632" s="4572"/>
      <c r="L632" s="4572"/>
      <c r="M632" s="4572"/>
      <c r="N632" s="4572"/>
      <c r="O632" s="4572"/>
      <c r="P632" s="4572"/>
    </row>
    <row r="633">
      <c r="A633" s="4997" t="s">
        <v>4796</v>
      </c>
      <c r="B633" s="4998">
        <v>46247</v>
      </c>
      <c r="C633" s="4997" t="str">
        <v>Thursday</v>
      </c>
      <c r="D633" s="4999" t="s">
        <v>4799</v>
      </c>
      <c r="E633" s="5000">
        <f t="shared" si="84"/>
      </c>
      <c r="F633" s="5000" t="s">
        <v>4782</v>
      </c>
      <c r="G633" s="5001"/>
      <c r="H633" s="5002" t="s">
        <v>4316</v>
      </c>
      <c r="I633" s="4591" t="s">
        <v>4304</v>
      </c>
      <c r="J633" s="5003"/>
      <c r="K633" s="4572"/>
      <c r="L633" s="4572"/>
      <c r="M633" s="4572"/>
      <c r="N633" s="4572"/>
      <c r="O633" s="4572"/>
      <c r="P633" s="4572"/>
    </row>
    <row r="634">
      <c r="A634" s="4587" t="s">
        <v>4795</v>
      </c>
      <c r="B634" s="4587"/>
      <c r="C634" s="4587"/>
      <c r="D634" s="4591"/>
      <c r="E634" s="5004">
        <f>3</f>
      </c>
      <c r="F634" s="4571"/>
      <c r="G634" s="4609"/>
      <c r="H634" s="4989"/>
      <c r="I634" s="4571"/>
      <c r="J634" s="4568"/>
      <c r="K634" s="4572"/>
      <c r="L634" s="4572"/>
      <c r="M634" s="4572"/>
      <c r="N634" s="4572"/>
      <c r="O634" s="4572"/>
      <c r="P634" s="4572"/>
    </row>
    <row r="635">
      <c r="A635" s="4587" t="s">
        <v>4795</v>
      </c>
      <c r="B635" s="4573">
        <v>46248</v>
      </c>
      <c r="C635" s="4587" t="str">
        <v>Friday</v>
      </c>
      <c r="D635" s="4567" t="s">
        <v>4512</v>
      </c>
      <c r="E635" s="4591">
        <f t="shared" ref="E635:E636" si="85">24*MOD(TIMEVALUE(TRIM(MID(D635,FIND("-",D635)+1,LEN(D635)))) - TIMEVALUE(TRIM(LEFT(D635,FIND("-",D635)-1))),1)</f>
      </c>
      <c r="F635" s="4571" t="s">
        <v>4416</v>
      </c>
      <c r="G635" s="4599"/>
      <c r="H635" s="4989" t="s">
        <v>4316</v>
      </c>
      <c r="I635" s="4591" t="s">
        <v>4304</v>
      </c>
      <c r="J635" s="4568"/>
      <c r="K635" s="4572"/>
      <c r="L635" s="4572"/>
      <c r="M635" s="4572"/>
      <c r="N635" s="4572"/>
      <c r="O635" s="4572"/>
      <c r="P635" s="4572"/>
    </row>
    <row r="636">
      <c r="A636" s="4997" t="s">
        <v>4796</v>
      </c>
      <c r="B636" s="4998">
        <v>46248</v>
      </c>
      <c r="C636" s="4997" t="str">
        <v>Friday</v>
      </c>
      <c r="D636" s="4999" t="s">
        <v>4800</v>
      </c>
      <c r="E636" s="5000">
        <f t="shared" si="85"/>
      </c>
      <c r="F636" s="5000" t="s">
        <v>4782</v>
      </c>
      <c r="G636" s="5001"/>
      <c r="H636" s="5002" t="s">
        <v>4316</v>
      </c>
      <c r="I636" s="4591" t="s">
        <v>4304</v>
      </c>
      <c r="J636" s="5003"/>
      <c r="K636" s="4572"/>
      <c r="L636" s="4572"/>
      <c r="M636" s="4572"/>
      <c r="N636" s="4572"/>
      <c r="O636" s="4572"/>
      <c r="P636" s="4572"/>
    </row>
    <row r="637">
      <c r="A637" s="4587" t="s">
        <v>4795</v>
      </c>
      <c r="B637" s="4587"/>
      <c r="C637" s="4587"/>
      <c r="D637" s="4591"/>
      <c r="E637" s="5004">
        <f>3</f>
      </c>
      <c r="F637" s="4571"/>
      <c r="G637" s="4609"/>
      <c r="H637" s="4989"/>
      <c r="I637" s="4571"/>
      <c r="J637" s="4568"/>
      <c r="K637" s="4572"/>
      <c r="L637" s="4572"/>
      <c r="M637" s="4572"/>
      <c r="N637" s="4572"/>
      <c r="O637" s="4572"/>
      <c r="P637" s="4572"/>
    </row>
    <row r="638">
      <c r="A638" s="4587" t="s">
        <v>4795</v>
      </c>
      <c r="B638" s="4573">
        <v>46249</v>
      </c>
      <c r="C638" s="4587" t="str">
        <v>Saturday</v>
      </c>
      <c r="D638" s="4567" t="s">
        <v>4543</v>
      </c>
      <c r="E638" s="4591">
        <f t="shared" ref="E638:E639" si="86">24*MOD(TIMEVALUE(TRIM(MID(D638,FIND("-",D638)+1,LEN(D638)))) - TIMEVALUE(TRIM(LEFT(D638,FIND("-",D638)-1))),1)</f>
      </c>
      <c r="F638" s="4571" t="s">
        <v>4782</v>
      </c>
      <c r="G638" s="4599" t="s">
        <v>4801</v>
      </c>
      <c r="H638" s="4989" t="s">
        <v>4316</v>
      </c>
      <c r="I638" s="4591" t="s">
        <v>4304</v>
      </c>
      <c r="J638" s="4568"/>
      <c r="K638" s="4572"/>
      <c r="L638" s="4572"/>
      <c r="M638" s="4572"/>
      <c r="N638" s="4572"/>
      <c r="O638" s="4572"/>
      <c r="P638" s="4572"/>
    </row>
    <row r="639">
      <c r="A639" s="4997" t="s">
        <v>4796</v>
      </c>
      <c r="B639" s="4998">
        <v>46249</v>
      </c>
      <c r="C639" s="4997" t="str">
        <v>Saturday</v>
      </c>
      <c r="D639" s="4999" t="s">
        <v>4497</v>
      </c>
      <c r="E639" s="5000">
        <f t="shared" si="86"/>
      </c>
      <c r="F639" s="5000"/>
      <c r="G639" s="5001"/>
      <c r="H639" s="5002" t="s">
        <v>4316</v>
      </c>
      <c r="I639" s="4591" t="s">
        <v>4304</v>
      </c>
      <c r="J639" s="5003"/>
      <c r="K639" s="4572"/>
      <c r="L639" s="4572"/>
      <c r="M639" s="4572"/>
      <c r="N639" s="4572"/>
      <c r="O639" s="4572"/>
      <c r="P639" s="4572"/>
    </row>
    <row r="640">
      <c r="A640" s="4587" t="s">
        <v>4795</v>
      </c>
      <c r="B640" s="4587"/>
      <c r="C640" s="4587"/>
      <c r="D640" s="4591"/>
      <c r="E640" s="5004">
        <f>3</f>
      </c>
      <c r="F640" s="4571"/>
      <c r="G640" s="4609"/>
      <c r="H640" s="4989"/>
      <c r="I640" s="4571"/>
      <c r="J640" s="4568"/>
      <c r="K640" s="4572"/>
      <c r="L640" s="4572"/>
      <c r="M640" s="4572"/>
      <c r="N640" s="4572"/>
      <c r="O640" s="4572"/>
      <c r="P640" s="4572"/>
    </row>
    <row customHeight="true" ht="18.452380952380953" r="641">
      <c r="A641" s="4687" t="s">
        <v>4795</v>
      </c>
      <c r="B641" s="4688">
        <v>46250</v>
      </c>
      <c r="C641" s="4687" t="str">
        <v>Sunday</v>
      </c>
      <c r="D641" s="4689" t="s">
        <v>4462</v>
      </c>
      <c r="E641" s="4690">
        <f t="shared" ref="E641:E642" si="87">24*MOD(TIMEVALUE(TRIM(MID(D641,FIND("-",D641)+1,LEN(D641)))) - TIMEVALUE(TRIM(LEFT(D641,FIND("-",D641)-1))),1)</f>
      </c>
      <c r="F641" s="4690" t="s">
        <v>4782</v>
      </c>
      <c r="G641" s="4691" t="s">
        <v>4802</v>
      </c>
      <c r="H641" s="4919" t="s">
        <v>4316</v>
      </c>
      <c r="I641" s="4690" t="s">
        <v>4304</v>
      </c>
      <c r="J641" s="4771" t="s">
        <v>4803</v>
      </c>
      <c r="K641" s="4572"/>
      <c r="L641" s="4572"/>
      <c r="M641" s="4572"/>
      <c r="N641" s="4572"/>
      <c r="O641" s="4572"/>
      <c r="P641" s="4572"/>
    </row>
    <row customHeight="true" ht="18.452380952380953" r="642">
      <c r="A642" s="4997" t="s">
        <v>4796</v>
      </c>
      <c r="B642" s="4998">
        <v>46250</v>
      </c>
      <c r="C642" s="4997" t="str">
        <v>Sunday</v>
      </c>
      <c r="D642" s="4999" t="s">
        <v>4773</v>
      </c>
      <c r="E642" s="5000">
        <f t="shared" si="87"/>
      </c>
      <c r="F642" s="5000"/>
      <c r="G642" s="5001"/>
      <c r="H642" s="5002" t="s">
        <v>4316</v>
      </c>
      <c r="I642" s="4591" t="s">
        <v>4332</v>
      </c>
      <c r="J642" s="5003"/>
      <c r="K642" s="4572"/>
      <c r="L642" s="4572"/>
      <c r="M642" s="4572"/>
      <c r="N642" s="4572"/>
      <c r="O642" s="4572"/>
      <c r="P642" s="4572"/>
    </row>
    <row customHeight="true" ht="18.452380952380953" r="643">
      <c r="A643" s="4587" t="s">
        <v>4795</v>
      </c>
      <c r="B643" s="4587"/>
      <c r="C643" s="4587"/>
      <c r="D643" s="4591"/>
      <c r="E643" s="5004">
        <f>3</f>
      </c>
      <c r="F643" s="4571"/>
      <c r="G643" s="4609"/>
      <c r="H643" s="4989"/>
      <c r="I643" s="4571"/>
      <c r="J643" s="4568"/>
      <c r="K643" s="4572"/>
      <c r="L643" s="4572"/>
      <c r="M643" s="4572"/>
      <c r="N643" s="4572"/>
      <c r="O643" s="4572"/>
      <c r="P643" s="4572"/>
    </row>
    <row r="644">
      <c r="A644" s="4671"/>
      <c r="B644" s="4587"/>
      <c r="C644" s="4587"/>
      <c r="D644" s="4591"/>
      <c r="E644" s="4591"/>
      <c r="F644" s="4591"/>
      <c r="G644" s="4609"/>
      <c r="H644" s="4989"/>
      <c r="I644" s="4591"/>
      <c r="J644" s="4568"/>
      <c r="K644" s="4572"/>
      <c r="L644" s="4572"/>
      <c r="M644" s="4572"/>
      <c r="N644" s="4572"/>
      <c r="O644" s="4572"/>
      <c r="P644" s="4572"/>
    </row>
    <row r="645">
      <c r="A645" s="4587"/>
      <c r="B645" s="4587"/>
      <c r="C645" s="4587"/>
      <c r="D645" s="4591"/>
      <c r="E645" s="4591"/>
      <c r="F645" s="4591"/>
      <c r="G645" s="4609"/>
      <c r="H645" s="4989"/>
      <c r="I645" s="4591"/>
      <c r="J645" s="4568"/>
      <c r="K645" s="4572"/>
      <c r="L645" s="4572"/>
      <c r="M645" s="4572"/>
      <c r="N645" s="4572"/>
      <c r="O645" s="4572"/>
      <c r="P645" s="4572"/>
    </row>
    <row r="646">
      <c r="A646" s="4587" t="s">
        <v>4804</v>
      </c>
      <c r="B646" s="4573">
        <v>46245</v>
      </c>
      <c r="C646" s="4587" t="str">
        <v>Tuesday</v>
      </c>
      <c r="D646" s="4668" t="s">
        <v>4701</v>
      </c>
      <c r="E646" s="4571">
        <f t="shared" ref="E646:E651" si="88">24*MOD(TIMEVALUE(TRIM(MID(D646,FIND("-",D646)+1,LEN(D646)))) - TIMEVALUE(TRIM(LEFT(D646,FIND("-",D646)-1))),1)</f>
      </c>
      <c r="F646" s="4591" t="s">
        <v>4416</v>
      </c>
      <c r="G646" s="4700"/>
      <c r="H646" s="4888" t="s">
        <v>4316</v>
      </c>
      <c r="I646" s="4591" t="s">
        <v>4304</v>
      </c>
      <c r="J646" s="4590"/>
      <c r="K646" s="4572"/>
      <c r="L646" s="4572"/>
      <c r="M646" s="4572"/>
      <c r="N646" s="4572"/>
      <c r="O646" s="4572"/>
      <c r="P646" s="4572"/>
    </row>
    <row r="647">
      <c r="A647" s="4587" t="s">
        <v>4804</v>
      </c>
      <c r="B647" s="4573">
        <v>46245</v>
      </c>
      <c r="C647" s="4587" t="str">
        <v>Tuesday</v>
      </c>
      <c r="D647" s="4668" t="s">
        <v>4805</v>
      </c>
      <c r="E647" s="4571">
        <f t="shared" si="88"/>
      </c>
      <c r="F647" s="4591" t="s">
        <v>4354</v>
      </c>
      <c r="G647" s="4703"/>
      <c r="H647" s="4888" t="s">
        <v>4316</v>
      </c>
      <c r="I647" s="4591" t="s">
        <v>4304</v>
      </c>
      <c r="J647" s="4590"/>
      <c r="K647" s="4572"/>
      <c r="L647" s="4572"/>
      <c r="M647" s="4572"/>
      <c r="N647" s="4572"/>
      <c r="O647" s="4572"/>
      <c r="P647" s="4572"/>
    </row>
    <row r="648">
      <c r="A648" s="4587" t="s">
        <v>4804</v>
      </c>
      <c r="B648" s="4573">
        <v>46246</v>
      </c>
      <c r="C648" s="4587" t="str">
        <v>Wednesday</v>
      </c>
      <c r="D648" s="4668" t="s">
        <v>4583</v>
      </c>
      <c r="E648" s="4571">
        <f t="shared" si="88"/>
      </c>
      <c r="F648" s="4591" t="s">
        <v>4697</v>
      </c>
      <c r="G648" s="4703"/>
      <c r="H648" s="4888" t="s">
        <v>4316</v>
      </c>
      <c r="I648" s="4591" t="s">
        <v>4304</v>
      </c>
      <c r="J648" s="4590"/>
      <c r="K648" s="4572"/>
      <c r="L648" s="4572"/>
      <c r="M648" s="4572"/>
      <c r="N648" s="4572"/>
      <c r="O648" s="4572"/>
      <c r="P648" s="4572"/>
    </row>
    <row r="649">
      <c r="A649" s="4587" t="s">
        <v>4804</v>
      </c>
      <c r="B649" s="4587">
        <v>46234</v>
      </c>
      <c r="C649" s="4587" t="str">
        <v>Friday</v>
      </c>
      <c r="D649" s="4567" t="s">
        <v>4806</v>
      </c>
      <c r="E649" s="4571">
        <f t="shared" si="88"/>
      </c>
      <c r="F649" s="4591"/>
      <c r="G649" s="4703"/>
      <c r="H649" s="4888" t="s">
        <v>4316</v>
      </c>
      <c r="I649" s="4591" t="s">
        <v>4332</v>
      </c>
      <c r="J649" s="4590"/>
      <c r="K649" s="4572"/>
      <c r="L649" s="4572"/>
      <c r="M649" s="4572"/>
      <c r="N649" s="4572"/>
      <c r="O649" s="4572"/>
      <c r="P649" s="4572"/>
    </row>
    <row r="650">
      <c r="A650" s="4587" t="s">
        <v>4804</v>
      </c>
      <c r="B650" s="4587">
        <v>46220</v>
      </c>
      <c r="C650" s="4587" t="str">
        <v>Friday</v>
      </c>
      <c r="D650" s="4571" t="s">
        <v>4807</v>
      </c>
      <c r="E650" s="4571">
        <f t="shared" si="88"/>
      </c>
      <c r="F650" s="4591"/>
      <c r="G650" s="4703"/>
      <c r="H650" s="4888" t="s">
        <v>4316</v>
      </c>
      <c r="I650" s="4591" t="s">
        <v>4332</v>
      </c>
      <c r="J650" s="4590"/>
      <c r="K650" s="4572"/>
      <c r="L650" s="4572"/>
      <c r="M650" s="4572"/>
      <c r="N650" s="4572"/>
      <c r="O650" s="4572"/>
      <c r="P650" s="4572"/>
    </row>
    <row r="651">
      <c r="A651" s="4587" t="s">
        <v>4804</v>
      </c>
      <c r="B651" s="4587">
        <v>46219</v>
      </c>
      <c r="C651" s="4587" t="str">
        <v>Thursday</v>
      </c>
      <c r="D651" s="4571" t="s">
        <v>4808</v>
      </c>
      <c r="E651" s="4571">
        <f t="shared" si="88"/>
      </c>
      <c r="F651" s="4591"/>
      <c r="G651" s="4703"/>
      <c r="H651" s="4888" t="s">
        <v>4316</v>
      </c>
      <c r="I651" s="4591" t="s">
        <v>4332</v>
      </c>
      <c r="J651" s="4590"/>
      <c r="K651" s="4572"/>
      <c r="L651" s="4572"/>
      <c r="M651" s="4572"/>
      <c r="N651" s="4572"/>
      <c r="O651" s="4572"/>
      <c r="P651" s="4572"/>
    </row>
    <row r="652">
      <c r="A652" s="4749"/>
      <c r="B652" s="4749"/>
      <c r="C652" s="4749"/>
      <c r="D652" s="4749"/>
      <c r="E652" s="4749"/>
      <c r="F652" s="4749"/>
      <c r="G652" s="4920"/>
      <c r="H652" s="4749"/>
      <c r="I652" s="4749"/>
      <c r="J652" s="4749"/>
      <c r="K652" s="4572"/>
      <c r="L652" s="4572"/>
      <c r="M652" s="4572"/>
      <c r="N652" s="4572"/>
      <c r="O652" s="4572"/>
      <c r="P652" s="4572"/>
    </row>
    <row r="653">
      <c r="A653" s="5006" t="s">
        <v>4809</v>
      </c>
      <c r="B653" s="5007"/>
      <c r="C653" s="5007"/>
      <c r="D653" s="5007"/>
      <c r="E653" s="5007"/>
      <c r="F653" s="5007"/>
      <c r="G653" s="5007"/>
      <c r="H653" s="5007"/>
      <c r="I653" s="5007"/>
      <c r="J653" s="5008"/>
      <c r="K653" s="4960"/>
      <c r="L653" s="4960"/>
      <c r="M653" s="4960"/>
      <c r="N653" s="4960"/>
      <c r="O653" s="4960"/>
      <c r="P653" s="4960"/>
    </row>
    <row r="654">
      <c r="A654" s="5009" t="s">
        <v>4809</v>
      </c>
      <c r="B654" s="5010" t="s">
        <v>4319</v>
      </c>
      <c r="C654" s="5010"/>
      <c r="D654" s="5011" t="s">
        <v>4320</v>
      </c>
      <c r="E654" s="5011" t="s">
        <v>4321</v>
      </c>
      <c r="F654" s="5011"/>
      <c r="G654" s="5012"/>
      <c r="H654" s="5011" t="s">
        <v>4324</v>
      </c>
      <c r="I654" s="5011" t="s">
        <v>4325</v>
      </c>
      <c r="J654" s="5013" t="s">
        <v>4326</v>
      </c>
      <c r="K654" s="4586"/>
      <c r="L654" s="4586"/>
      <c r="M654" s="4586"/>
      <c r="N654" s="4586"/>
      <c r="O654" s="4586"/>
      <c r="P654" s="4586"/>
    </row>
    <row r="655">
      <c r="A655" s="4695" t="s">
        <v>4809</v>
      </c>
      <c r="B655" s="4695"/>
      <c r="C655" s="4695"/>
      <c r="D655" s="4575"/>
      <c r="E655" s="4575"/>
      <c r="F655" s="4575"/>
      <c r="G655" s="4708"/>
      <c r="H655" s="4575" t="s">
        <v>4316</v>
      </c>
      <c r="I655" s="4571" t="s">
        <v>4332</v>
      </c>
      <c r="J655" s="4823"/>
      <c r="K655" s="4572"/>
      <c r="L655" s="4572"/>
      <c r="M655" s="4572"/>
      <c r="N655" s="4572"/>
      <c r="O655" s="4572"/>
      <c r="P655" s="4572"/>
    </row>
    <row r="656">
      <c r="A656" s="5014" t="s">
        <v>4810</v>
      </c>
      <c r="B656" s="5014"/>
      <c r="C656" s="5014"/>
      <c r="D656" s="5015"/>
      <c r="E656" s="5015"/>
      <c r="F656" s="5015"/>
      <c r="G656" s="5016"/>
      <c r="H656" s="5015" t="s">
        <v>4316</v>
      </c>
      <c r="I656" s="4571" t="s">
        <v>4332</v>
      </c>
      <c r="J656" s="5017"/>
      <c r="K656" s="4572"/>
      <c r="L656" s="4572"/>
      <c r="M656" s="4572"/>
      <c r="N656" s="4572"/>
      <c r="O656" s="4572"/>
      <c r="P656" s="4572"/>
    </row>
    <row r="657">
      <c r="A657" s="4695" t="s">
        <v>4809</v>
      </c>
      <c r="B657" s="4587"/>
      <c r="C657" s="4587"/>
      <c r="D657" s="4591"/>
      <c r="E657" s="4571"/>
      <c r="F657" s="4591"/>
      <c r="G657" s="4703"/>
      <c r="H657" s="4571" t="s">
        <v>4316</v>
      </c>
      <c r="I657" s="4571" t="s">
        <v>4332</v>
      </c>
      <c r="J657" s="4590"/>
      <c r="K657" s="4572"/>
      <c r="L657" s="4572"/>
      <c r="M657" s="4572"/>
      <c r="N657" s="4572"/>
      <c r="O657" s="4572"/>
      <c r="P657" s="4572"/>
    </row>
    <row r="658">
      <c r="A658" s="5014" t="s">
        <v>4810</v>
      </c>
      <c r="B658" s="5014"/>
      <c r="C658" s="5014"/>
      <c r="D658" s="5015"/>
      <c r="E658" s="5015"/>
      <c r="F658" s="5015"/>
      <c r="G658" s="5016"/>
      <c r="H658" s="5015" t="s">
        <v>4316</v>
      </c>
      <c r="I658" s="4571" t="s">
        <v>4332</v>
      </c>
      <c r="J658" s="5017"/>
      <c r="K658" s="4572"/>
      <c r="L658" s="4572"/>
      <c r="M658" s="4572"/>
      <c r="N658" s="4572"/>
      <c r="O658" s="4572"/>
      <c r="P658" s="4572"/>
    </row>
    <row r="659">
      <c r="A659" s="4695" t="s">
        <v>4809</v>
      </c>
      <c r="B659" s="4587"/>
      <c r="C659" s="4587"/>
      <c r="D659" s="4591"/>
      <c r="E659" s="4571"/>
      <c r="F659" s="4591"/>
      <c r="G659" s="4703"/>
      <c r="H659" s="4571" t="s">
        <v>4316</v>
      </c>
      <c r="I659" s="4571" t="s">
        <v>4332</v>
      </c>
      <c r="J659" s="4590"/>
      <c r="K659" s="4572"/>
      <c r="L659" s="4572"/>
      <c r="M659" s="4572"/>
      <c r="N659" s="4572"/>
      <c r="O659" s="4572"/>
      <c r="P659" s="4572"/>
    </row>
    <row r="660">
      <c r="A660" s="5014" t="s">
        <v>4810</v>
      </c>
      <c r="B660" s="5014"/>
      <c r="C660" s="5014"/>
      <c r="D660" s="5015"/>
      <c r="E660" s="5015"/>
      <c r="F660" s="5015"/>
      <c r="G660" s="5016"/>
      <c r="H660" s="5015" t="s">
        <v>4316</v>
      </c>
      <c r="I660" s="4571" t="s">
        <v>4332</v>
      </c>
      <c r="J660" s="5017"/>
      <c r="K660" s="4572"/>
      <c r="L660" s="4572"/>
      <c r="M660" s="4572"/>
      <c r="N660" s="4572"/>
      <c r="O660" s="4572"/>
      <c r="P660" s="4572"/>
    </row>
    <row r="661">
      <c r="A661" s="4695" t="s">
        <v>4809</v>
      </c>
      <c r="B661" s="4587"/>
      <c r="C661" s="4587"/>
      <c r="D661" s="4591"/>
      <c r="E661" s="4571"/>
      <c r="F661" s="4591"/>
      <c r="G661" s="4703"/>
      <c r="H661" s="4571" t="s">
        <v>4316</v>
      </c>
      <c r="I661" s="4571" t="s">
        <v>4332</v>
      </c>
      <c r="J661" s="4590"/>
      <c r="K661" s="4572"/>
      <c r="L661" s="4572"/>
      <c r="M661" s="4572"/>
      <c r="N661" s="4572"/>
      <c r="O661" s="4572"/>
      <c r="P661" s="4572"/>
    </row>
    <row r="662">
      <c r="A662" s="5014" t="s">
        <v>4810</v>
      </c>
      <c r="B662" s="5014"/>
      <c r="C662" s="5014"/>
      <c r="D662" s="5015"/>
      <c r="E662" s="5015"/>
      <c r="F662" s="5015"/>
      <c r="G662" s="5016"/>
      <c r="H662" s="5015" t="s">
        <v>4316</v>
      </c>
      <c r="I662" s="4571" t="s">
        <v>4332</v>
      </c>
      <c r="J662" s="5017"/>
      <c r="K662" s="4572"/>
      <c r="L662" s="4572"/>
      <c r="M662" s="4572"/>
      <c r="N662" s="4572"/>
      <c r="O662" s="4572"/>
      <c r="P662" s="4572"/>
    </row>
    <row r="663">
      <c r="A663" s="4695" t="s">
        <v>4809</v>
      </c>
      <c r="B663" s="4587"/>
      <c r="C663" s="4587"/>
      <c r="D663" s="4591"/>
      <c r="E663" s="4571"/>
      <c r="F663" s="4591"/>
      <c r="G663" s="4703"/>
      <c r="H663" s="4571" t="s">
        <v>4316</v>
      </c>
      <c r="I663" s="4571" t="s">
        <v>4332</v>
      </c>
      <c r="J663" s="4590"/>
      <c r="K663" s="4572"/>
      <c r="L663" s="4572"/>
      <c r="M663" s="4572"/>
      <c r="N663" s="4572"/>
      <c r="O663" s="4572"/>
      <c r="P663" s="4572"/>
    </row>
    <row r="664">
      <c r="A664" s="5014" t="s">
        <v>4810</v>
      </c>
      <c r="B664" s="5014"/>
      <c r="C664" s="5014"/>
      <c r="D664" s="5015"/>
      <c r="E664" s="5015"/>
      <c r="F664" s="5015"/>
      <c r="G664" s="5016"/>
      <c r="H664" s="5015" t="s">
        <v>4316</v>
      </c>
      <c r="I664" s="4571" t="s">
        <v>4332</v>
      </c>
      <c r="J664" s="5017"/>
      <c r="K664" s="4572"/>
      <c r="L664" s="4572"/>
      <c r="M664" s="4572"/>
      <c r="N664" s="4572"/>
      <c r="O664" s="4572"/>
      <c r="P664" s="4572"/>
    </row>
    <row r="665">
      <c r="A665" s="4695" t="s">
        <v>4809</v>
      </c>
      <c r="B665" s="4587"/>
      <c r="C665" s="4587"/>
      <c r="D665" s="4591"/>
      <c r="E665" s="4571"/>
      <c r="F665" s="4591"/>
      <c r="G665" s="4703"/>
      <c r="H665" s="4571" t="s">
        <v>4316</v>
      </c>
      <c r="I665" s="4571" t="s">
        <v>4332</v>
      </c>
      <c r="J665" s="4590"/>
      <c r="K665" s="4572"/>
      <c r="L665" s="4572"/>
      <c r="M665" s="4572"/>
      <c r="N665" s="4572"/>
      <c r="O665" s="4572"/>
      <c r="P665" s="4572"/>
    </row>
    <row r="666">
      <c r="A666" s="5014" t="s">
        <v>4810</v>
      </c>
      <c r="B666" s="5014"/>
      <c r="C666" s="5014"/>
      <c r="D666" s="5015"/>
      <c r="E666" s="5015"/>
      <c r="F666" s="5015"/>
      <c r="G666" s="5016"/>
      <c r="H666" s="5015" t="s">
        <v>4316</v>
      </c>
      <c r="I666" s="4571" t="s">
        <v>4332</v>
      </c>
      <c r="J666" s="5017"/>
      <c r="K666" s="4572"/>
      <c r="L666" s="4572"/>
      <c r="M666" s="4572"/>
      <c r="N666" s="4572"/>
      <c r="O666" s="4572"/>
      <c r="P666" s="4572"/>
    </row>
    <row r="667">
      <c r="A667" s="4587"/>
      <c r="B667" s="4587"/>
      <c r="C667" s="4587"/>
      <c r="D667" s="4587"/>
      <c r="E667" s="4587"/>
      <c r="F667" s="4587"/>
      <c r="G667" s="4587"/>
      <c r="H667" s="4587"/>
      <c r="I667" s="4587"/>
      <c r="J667" s="5018"/>
      <c r="K667" s="5019"/>
      <c r="L667" s="5019"/>
      <c r="M667" s="5019"/>
      <c r="N667" s="5019"/>
      <c r="O667" s="5019"/>
      <c r="P667" s="5019"/>
    </row>
    <row r="668">
      <c r="A668" s="4610"/>
      <c r="B668" s="4610"/>
      <c r="C668" s="4610"/>
      <c r="D668" s="4610"/>
      <c r="E668" s="4610"/>
      <c r="F668" s="4610"/>
      <c r="G668" s="4610"/>
      <c r="H668" s="4610"/>
      <c r="I668" s="4610"/>
      <c r="J668" s="4610"/>
      <c r="K668" s="4611"/>
      <c r="L668" s="4611"/>
      <c r="M668" s="4611"/>
      <c r="N668" s="4611"/>
      <c r="O668" s="4611"/>
      <c r="P668" s="4611"/>
    </row>
    <row r="669">
      <c r="A669" s="5020" t="s">
        <v>4811</v>
      </c>
      <c r="B669" s="5021" t="s">
        <v>4812</v>
      </c>
      <c r="C669" s="5020"/>
      <c r="D669" s="5020"/>
      <c r="E669" s="5020"/>
      <c r="F669" s="5020"/>
      <c r="G669" s="5020"/>
      <c r="H669" s="5020"/>
      <c r="I669" s="5020"/>
      <c r="J669" s="5022"/>
      <c r="K669" s="4960"/>
      <c r="L669" s="4960"/>
      <c r="M669" s="4960"/>
      <c r="N669" s="4960"/>
      <c r="O669" s="4960"/>
      <c r="P669" s="4960"/>
    </row>
    <row r="670">
      <c r="A670" s="4762" t="s">
        <v>4811</v>
      </c>
      <c r="B670" s="4763" t="s">
        <v>4319</v>
      </c>
      <c r="C670" s="4763"/>
      <c r="D670" s="4764" t="s">
        <v>4320</v>
      </c>
      <c r="E670" s="4764" t="s">
        <v>4321</v>
      </c>
      <c r="F670" s="4764" t="s">
        <v>4322</v>
      </c>
      <c r="G670" s="4765" t="s">
        <v>4334</v>
      </c>
      <c r="H670" s="4764" t="s">
        <v>4324</v>
      </c>
      <c r="I670" s="4764" t="s">
        <v>4325</v>
      </c>
      <c r="J670" s="4766" t="s">
        <v>4326</v>
      </c>
      <c r="K670" s="4586"/>
      <c r="L670" s="4586"/>
      <c r="M670" s="4586"/>
      <c r="N670" s="4586"/>
      <c r="O670" s="4586"/>
      <c r="P670" s="4586"/>
    </row>
    <row r="671">
      <c r="A671" s="4587" t="s">
        <v>4811</v>
      </c>
      <c r="B671" s="4573">
        <v>46245</v>
      </c>
      <c r="C671" s="4587" t="str">
        <v>Tuesday</v>
      </c>
      <c r="D671" s="4567" t="s">
        <v>4813</v>
      </c>
      <c r="E671" s="4575">
        <f>24*MOD(TIMEVALUE(TRIM(MID(D671,FIND("-",D671)+1,LEN(D671)))) - TIMEVALUE(TRIM(LEFT(D671,FIND("-",D671)-1))),1)</f>
      </c>
      <c r="F671" s="4591" t="s">
        <v>4351</v>
      </c>
      <c r="G671" s="4599" t="s">
        <v>4814</v>
      </c>
      <c r="H671" s="4575" t="s">
        <v>4316</v>
      </c>
      <c r="I671" s="4620" t="s">
        <v>4304</v>
      </c>
      <c r="J671" s="4823"/>
      <c r="K671" s="4572"/>
      <c r="L671" s="4572"/>
      <c r="M671" s="4572"/>
      <c r="N671" s="4572"/>
      <c r="O671" s="4572"/>
      <c r="P671" s="4572"/>
    </row>
    <row customHeight="true" ht="18.452380952380953" r="672">
      <c r="A672" s="4587" t="s">
        <v>4811</v>
      </c>
      <c r="B672" s="4573">
        <v>46245</v>
      </c>
      <c r="C672" s="4587" t="str">
        <v>Tuesday</v>
      </c>
      <c r="D672" s="4567" t="s">
        <v>4417</v>
      </c>
      <c r="E672" s="4697">
        <v>2</v>
      </c>
      <c r="F672" s="4591" t="s">
        <v>4301</v>
      </c>
      <c r="G672" s="4599" t="s">
        <v>4815</v>
      </c>
      <c r="H672" s="4575"/>
      <c r="I672" s="4575"/>
      <c r="J672" s="4823"/>
      <c r="K672" s="4572"/>
      <c r="L672" s="4572"/>
      <c r="M672" s="4572"/>
      <c r="N672" s="4572"/>
      <c r="O672" s="4572"/>
      <c r="P672" s="4572"/>
    </row>
    <row r="673">
      <c r="A673" s="5023" t="s">
        <v>4816</v>
      </c>
      <c r="B673" s="5024">
        <v>46245</v>
      </c>
      <c r="C673" s="5023" t="str">
        <v>Tuesday</v>
      </c>
      <c r="D673" s="5025" t="s">
        <v>4817</v>
      </c>
      <c r="E673" s="5026">
        <f t="shared" ref="E673:E683" si="89">24*MOD(TIMEVALUE(TRIM(MID(D673,FIND("-",D673)+1,LEN(D673)))) - TIMEVALUE(TRIM(LEFT(D673,FIND("-",D673)-1))),1)</f>
      </c>
      <c r="F673" s="4591" t="s">
        <v>4307</v>
      </c>
      <c r="G673" s="5027"/>
      <c r="H673" s="5028" t="s">
        <v>4316</v>
      </c>
      <c r="I673" s="4575" t="s">
        <v>4304</v>
      </c>
      <c r="J673" s="5029"/>
      <c r="K673" s="4572"/>
      <c r="L673" s="4572"/>
      <c r="M673" s="4572"/>
      <c r="N673" s="4572"/>
      <c r="O673" s="4572"/>
      <c r="P673" s="4572"/>
    </row>
    <row r="674">
      <c r="A674" s="4587" t="s">
        <v>4811</v>
      </c>
      <c r="B674" s="4573">
        <v>46246</v>
      </c>
      <c r="C674" s="4587" t="str">
        <v>Wednesday</v>
      </c>
      <c r="D674" s="4567" t="s">
        <v>4818</v>
      </c>
      <c r="E674" s="4575">
        <f t="shared" si="89"/>
      </c>
      <c r="F674" s="4591" t="s">
        <v>4669</v>
      </c>
      <c r="G674" s="4700" t="s">
        <v>4819</v>
      </c>
      <c r="H674" s="4591" t="s">
        <v>4316</v>
      </c>
      <c r="I674" s="4575" t="s">
        <v>4304</v>
      </c>
      <c r="J674" s="4590"/>
      <c r="K674" s="4572"/>
      <c r="L674" s="4572"/>
      <c r="M674" s="4572"/>
      <c r="N674" s="4572"/>
      <c r="O674" s="4572"/>
      <c r="P674" s="4572"/>
    </row>
    <row r="675">
      <c r="A675" s="5023" t="s">
        <v>4816</v>
      </c>
      <c r="B675" s="5030">
        <v>46246</v>
      </c>
      <c r="C675" s="5023" t="str">
        <v>Wednesday</v>
      </c>
      <c r="D675" s="5025" t="s">
        <v>4820</v>
      </c>
      <c r="E675" s="5026">
        <f t="shared" si="89"/>
      </c>
      <c r="F675" s="5028" t="s">
        <v>4697</v>
      </c>
      <c r="G675" s="5027"/>
      <c r="H675" s="5028" t="s">
        <v>4316</v>
      </c>
      <c r="I675" s="4575" t="s">
        <v>4304</v>
      </c>
      <c r="J675" s="5029"/>
      <c r="K675" s="4572"/>
      <c r="L675" s="4572"/>
      <c r="M675" s="4572"/>
      <c r="N675" s="4572"/>
      <c r="O675" s="4572"/>
      <c r="P675" s="4572"/>
    </row>
    <row r="676">
      <c r="A676" s="4587" t="s">
        <v>4811</v>
      </c>
      <c r="B676" s="4696">
        <v>46247</v>
      </c>
      <c r="C676" s="4587" t="str">
        <v>Thursday</v>
      </c>
      <c r="D676" s="4567" t="s">
        <v>4539</v>
      </c>
      <c r="E676" s="4575">
        <f t="shared" si="89"/>
      </c>
      <c r="F676" s="4591" t="s">
        <v>4669</v>
      </c>
      <c r="G676" s="4700" t="s">
        <v>4821</v>
      </c>
      <c r="H676" s="4591" t="s">
        <v>4316</v>
      </c>
      <c r="I676" s="4575" t="s">
        <v>4304</v>
      </c>
      <c r="J676" s="4590"/>
      <c r="K676" s="4572"/>
      <c r="L676" s="4572"/>
      <c r="M676" s="4572"/>
      <c r="N676" s="4572"/>
      <c r="O676" s="4572"/>
      <c r="P676" s="4572"/>
    </row>
    <row r="677">
      <c r="A677" s="5023" t="s">
        <v>4816</v>
      </c>
      <c r="B677" s="5030">
        <v>46247</v>
      </c>
      <c r="C677" s="5023" t="str">
        <v>Thursday</v>
      </c>
      <c r="D677" s="5025" t="s">
        <v>4820</v>
      </c>
      <c r="E677" s="5026">
        <f t="shared" si="89"/>
      </c>
      <c r="F677" s="5031" t="s">
        <v>4424</v>
      </c>
      <c r="G677" s="5027"/>
      <c r="H677" s="5028" t="s">
        <v>4316</v>
      </c>
      <c r="I677" s="4575" t="s">
        <v>4304</v>
      </c>
      <c r="J677" s="5029"/>
      <c r="K677" s="4572"/>
      <c r="L677" s="4572"/>
      <c r="M677" s="4572"/>
      <c r="N677" s="4572"/>
      <c r="O677" s="4572"/>
      <c r="P677" s="4572"/>
    </row>
    <row r="678">
      <c r="A678" s="4587" t="s">
        <v>4811</v>
      </c>
      <c r="B678" s="4573">
        <v>46248</v>
      </c>
      <c r="C678" s="4587" t="str">
        <v>Friday</v>
      </c>
      <c r="D678" s="4567" t="s">
        <v>4593</v>
      </c>
      <c r="E678" s="4575">
        <f t="shared" si="89"/>
      </c>
      <c r="F678" s="4591" t="s">
        <v>4669</v>
      </c>
      <c r="G678" s="4700" t="s">
        <v>4819</v>
      </c>
      <c r="H678" s="4575" t="s">
        <v>4316</v>
      </c>
      <c r="I678" s="4575" t="s">
        <v>4304</v>
      </c>
      <c r="J678" s="5029"/>
      <c r="K678" s="4572"/>
      <c r="L678" s="4572"/>
      <c r="M678" s="4572"/>
      <c r="N678" s="4572"/>
      <c r="O678" s="4572"/>
      <c r="P678" s="4572"/>
    </row>
    <row r="679">
      <c r="A679" s="5023" t="s">
        <v>4816</v>
      </c>
      <c r="B679" s="5030">
        <v>46248</v>
      </c>
      <c r="C679" s="5023" t="str">
        <v>Friday</v>
      </c>
      <c r="D679" s="5025" t="s">
        <v>4820</v>
      </c>
      <c r="E679" s="5026">
        <f t="shared" si="89"/>
      </c>
      <c r="F679" s="5028" t="s">
        <v>4697</v>
      </c>
      <c r="G679" s="5027"/>
      <c r="H679" s="5026" t="s">
        <v>4316</v>
      </c>
      <c r="I679" s="4575" t="s">
        <v>4304</v>
      </c>
      <c r="J679" s="4590"/>
      <c r="K679" s="4572"/>
      <c r="L679" s="4572"/>
      <c r="M679" s="4572"/>
      <c r="N679" s="4572"/>
      <c r="O679" s="4572"/>
      <c r="P679" s="4572"/>
    </row>
    <row r="680">
      <c r="A680" s="4587" t="s">
        <v>4811</v>
      </c>
      <c r="B680" s="4573">
        <v>46249</v>
      </c>
      <c r="C680" s="4587" t="str">
        <v>Saturday</v>
      </c>
      <c r="D680" s="4567" t="s">
        <v>4539</v>
      </c>
      <c r="E680" s="4575">
        <f t="shared" si="89"/>
      </c>
      <c r="F680" s="4591" t="s">
        <v>4669</v>
      </c>
      <c r="G680" s="4700" t="s">
        <v>4822</v>
      </c>
      <c r="H680" s="4575" t="s">
        <v>4316</v>
      </c>
      <c r="I680" s="4575" t="s">
        <v>4332</v>
      </c>
      <c r="J680" s="5029"/>
      <c r="K680" s="4572"/>
      <c r="L680" s="4572"/>
      <c r="M680" s="4572"/>
      <c r="N680" s="4572"/>
      <c r="O680" s="4572"/>
      <c r="P680" s="4572"/>
    </row>
    <row customHeight="true" ht="18.452380952380953" r="681">
      <c r="A681" s="5023" t="s">
        <v>4816</v>
      </c>
      <c r="B681" s="5030">
        <v>46249</v>
      </c>
      <c r="C681" s="5023" t="str">
        <v>Saturday</v>
      </c>
      <c r="D681" s="5025" t="s">
        <v>4820</v>
      </c>
      <c r="E681" s="5026">
        <f t="shared" si="89"/>
      </c>
      <c r="F681" s="5031" t="s">
        <v>4424</v>
      </c>
      <c r="G681" s="5027"/>
      <c r="H681" s="5028"/>
      <c r="I681" s="4575" t="s">
        <v>4304</v>
      </c>
      <c r="J681" s="5029"/>
      <c r="K681" s="4572"/>
      <c r="L681" s="4572"/>
      <c r="M681" s="4572"/>
      <c r="N681" s="4572"/>
      <c r="O681" s="4572"/>
      <c r="P681" s="4572"/>
    </row>
    <row r="682">
      <c r="A682" s="4587" t="s">
        <v>4811</v>
      </c>
      <c r="B682" s="4573">
        <v>46250</v>
      </c>
      <c r="C682" s="4587" t="str">
        <v>Sunday</v>
      </c>
      <c r="D682" s="4567" t="s">
        <v>4745</v>
      </c>
      <c r="E682" s="4575">
        <f t="shared" si="89"/>
      </c>
      <c r="F682" s="4591" t="s">
        <v>4351</v>
      </c>
      <c r="G682" s="4700" t="s">
        <v>4823</v>
      </c>
      <c r="H682" s="4575" t="s">
        <v>4316</v>
      </c>
      <c r="I682" s="4620" t="s">
        <v>4304</v>
      </c>
      <c r="J682" s="5032" t="s">
        <v>4824</v>
      </c>
      <c r="K682" s="4760"/>
      <c r="L682" s="4760"/>
      <c r="M682" s="4760"/>
      <c r="N682" s="4760"/>
      <c r="O682" s="4760"/>
      <c r="P682" s="4760"/>
    </row>
    <row customHeight="true" ht="18.452380952380953" r="683">
      <c r="A683" s="5023" t="s">
        <v>4816</v>
      </c>
      <c r="B683" s="5024">
        <v>46250</v>
      </c>
      <c r="C683" s="5033" t="str">
        <v>Sunday</v>
      </c>
      <c r="D683" s="5034" t="s">
        <v>4745</v>
      </c>
      <c r="E683" s="5026">
        <f t="shared" si="89"/>
      </c>
      <c r="F683" s="5028" t="s">
        <v>4697</v>
      </c>
      <c r="G683" s="5035"/>
      <c r="H683" s="5026"/>
      <c r="I683" s="4575" t="s">
        <v>4304</v>
      </c>
      <c r="J683" s="5032"/>
      <c r="K683" s="4760"/>
      <c r="L683" s="4760"/>
      <c r="M683" s="4760"/>
      <c r="N683" s="4760"/>
      <c r="O683" s="4760"/>
      <c r="P683" s="4760"/>
    </row>
    <row customHeight="true" ht="18.452380952380953" r="684">
      <c r="A684" s="4587" t="s">
        <v>4811</v>
      </c>
      <c r="B684" s="4573">
        <v>46250</v>
      </c>
      <c r="C684" s="4587" t="str">
        <v>Sunday</v>
      </c>
      <c r="D684" s="4567" t="s">
        <v>4409</v>
      </c>
      <c r="E684" s="4697">
        <v>2</v>
      </c>
      <c r="F684" s="4707" t="s">
        <v>4301</v>
      </c>
      <c r="G684" s="4700" t="s">
        <v>4822</v>
      </c>
      <c r="H684" s="4575"/>
      <c r="I684" s="4575" t="s">
        <v>4304</v>
      </c>
      <c r="J684" s="5032" t="s">
        <v>4824</v>
      </c>
      <c r="K684" s="4760"/>
      <c r="L684" s="4760"/>
      <c r="M684" s="4760"/>
      <c r="N684" s="4760"/>
      <c r="O684" s="4760"/>
      <c r="P684" s="4760"/>
    </row>
    <row customHeight="true" ht="18.452380952380953" r="685">
      <c r="A685" s="5023" t="s">
        <v>4816</v>
      </c>
      <c r="B685" s="5024">
        <v>46250</v>
      </c>
      <c r="C685" s="5033" t="str">
        <v>Sunday</v>
      </c>
      <c r="D685" s="5034" t="s">
        <v>4409</v>
      </c>
      <c r="E685" s="5034">
        <v>2</v>
      </c>
      <c r="F685" s="5026" t="s">
        <v>4424</v>
      </c>
      <c r="G685" s="5035"/>
      <c r="H685" s="5026"/>
      <c r="I685" s="5026"/>
      <c r="J685" s="5032"/>
      <c r="K685" s="4760"/>
      <c r="L685" s="4760"/>
      <c r="M685" s="4760"/>
      <c r="N685" s="4760"/>
      <c r="O685" s="4760"/>
      <c r="P685" s="4760"/>
    </row>
    <row customHeight="true" ht="18.452380952380953" r="686">
      <c r="A686" s="4587" t="s">
        <v>4811</v>
      </c>
      <c r="B686" s="4573">
        <v>46250</v>
      </c>
      <c r="C686" s="4587" t="str">
        <v>Sunday</v>
      </c>
      <c r="D686" s="4567" t="s">
        <v>4421</v>
      </c>
      <c r="E686" s="4697">
        <v>4</v>
      </c>
      <c r="F686" s="4591" t="s">
        <v>4669</v>
      </c>
      <c r="G686" s="4700" t="s">
        <v>4823</v>
      </c>
      <c r="H686" s="4575"/>
      <c r="I686" s="4575" t="s">
        <v>4304</v>
      </c>
      <c r="J686" s="5032" t="s">
        <v>4824</v>
      </c>
      <c r="K686" s="4760"/>
      <c r="L686" s="4760"/>
      <c r="M686" s="4760"/>
      <c r="N686" s="4760"/>
      <c r="O686" s="4760"/>
      <c r="P686" s="4760"/>
    </row>
    <row r="687">
      <c r="A687" s="5023" t="s">
        <v>4816</v>
      </c>
      <c r="B687" s="5030">
        <v>46250</v>
      </c>
      <c r="C687" s="5023" t="str">
        <v>Sunday</v>
      </c>
      <c r="D687" s="5034" t="s">
        <v>4421</v>
      </c>
      <c r="E687" s="5026">
        <f>24*MOD(TIMEVALUE(TRIM(MID(D687,FIND("-",D687)+1,LEN(D687)))) - TIMEVALUE(TRIM(LEFT(D687,FIND("-",D687)-1))),1)</f>
      </c>
      <c r="F687" s="5031" t="s">
        <v>4697</v>
      </c>
      <c r="G687" s="5027"/>
      <c r="H687" s="5028" t="s">
        <v>4316</v>
      </c>
      <c r="I687" s="4575" t="s">
        <v>4304</v>
      </c>
      <c r="J687" s="4568"/>
      <c r="K687" s="4572"/>
      <c r="L687" s="4572"/>
      <c r="M687" s="4572"/>
      <c r="N687" s="4572"/>
      <c r="O687" s="4572"/>
      <c r="P687" s="4572"/>
    </row>
    <row customHeight="true" ht="18.452380952380953" r="688">
      <c r="A688" s="4587" t="s">
        <v>4825</v>
      </c>
      <c r="B688" s="4573">
        <v>46245</v>
      </c>
      <c r="C688" s="4587" t="str">
        <v>Tuesday</v>
      </c>
      <c r="D688" s="4697" t="s">
        <v>4409</v>
      </c>
      <c r="E688" s="4697">
        <v>2</v>
      </c>
      <c r="F688" s="4575" t="s">
        <v>4301</v>
      </c>
      <c r="G688" s="5036" t="s">
        <v>4826</v>
      </c>
      <c r="H688" s="5028"/>
      <c r="I688" s="4575"/>
      <c r="J688" s="4568"/>
      <c r="K688" s="4572"/>
      <c r="L688" s="4572"/>
      <c r="M688" s="4572"/>
      <c r="N688" s="4572"/>
      <c r="O688" s="4572"/>
      <c r="P688" s="4572"/>
    </row>
    <row customHeight="true" ht="18.452380952380953" r="689">
      <c r="A689" s="4587"/>
      <c r="B689" s="4573"/>
      <c r="C689" s="4587"/>
      <c r="D689" s="4697"/>
      <c r="E689" s="4697"/>
      <c r="F689" s="4575"/>
      <c r="G689" s="5036"/>
      <c r="H689" s="5028"/>
      <c r="I689" s="4575"/>
      <c r="J689" s="4568"/>
      <c r="K689" s="4572"/>
      <c r="L689" s="4572"/>
      <c r="M689" s="4572"/>
      <c r="N689" s="4572"/>
      <c r="O689" s="4572"/>
      <c r="P689" s="4572"/>
    </row>
    <row customHeight="true" ht="18.452380952380953" r="690">
      <c r="A690" s="5023" t="s">
        <v>4816</v>
      </c>
      <c r="B690" s="4573">
        <v>46245</v>
      </c>
      <c r="C690" s="4573" t="s">
        <v>4827</v>
      </c>
      <c r="D690" s="4697" t="s">
        <v>4712</v>
      </c>
      <c r="E690" s="4697">
        <v>1</v>
      </c>
      <c r="F690" s="4591" t="s">
        <v>4307</v>
      </c>
      <c r="G690" s="5036" t="s">
        <v>4826</v>
      </c>
      <c r="H690" s="5028"/>
      <c r="I690" s="4575"/>
      <c r="J690" s="4568"/>
      <c r="K690" s="4572"/>
      <c r="L690" s="4572"/>
      <c r="M690" s="4572"/>
      <c r="N690" s="4572"/>
      <c r="O690" s="4572"/>
      <c r="P690" s="4572"/>
    </row>
    <row r="691">
      <c r="A691" s="5037" t="s">
        <v>4828</v>
      </c>
      <c r="B691" s="5037"/>
      <c r="C691" s="5037"/>
      <c r="D691" s="5037"/>
      <c r="E691" s="5037"/>
      <c r="F691" s="5037"/>
      <c r="G691" s="5037"/>
      <c r="H691" s="5037"/>
      <c r="I691" s="5037"/>
      <c r="J691" s="5038"/>
      <c r="K691" s="4960"/>
      <c r="L691" s="4960"/>
      <c r="M691" s="4960"/>
      <c r="N691" s="4960"/>
      <c r="O691" s="4960"/>
      <c r="P691" s="4960"/>
    </row>
    <row r="692">
      <c r="A692" s="4851" t="s">
        <v>4828</v>
      </c>
      <c r="B692" s="4724" t="s">
        <v>4319</v>
      </c>
      <c r="C692" s="4724"/>
      <c r="D692" s="4852" t="s">
        <v>4320</v>
      </c>
      <c r="E692" s="4852" t="s">
        <v>4321</v>
      </c>
      <c r="F692" s="4852" t="s">
        <v>4322</v>
      </c>
      <c r="G692" s="4853" t="s">
        <v>4334</v>
      </c>
      <c r="H692" s="4852" t="s">
        <v>4324</v>
      </c>
      <c r="I692" s="4852" t="s">
        <v>4325</v>
      </c>
      <c r="J692" s="4729" t="s">
        <v>4326</v>
      </c>
      <c r="K692" s="4586"/>
      <c r="L692" s="4586"/>
      <c r="M692" s="4586"/>
      <c r="N692" s="4586"/>
      <c r="O692" s="4586"/>
      <c r="P692" s="4586"/>
    </row>
    <row r="693">
      <c r="A693" s="5039" t="s">
        <v>4828</v>
      </c>
      <c r="B693" s="4688">
        <v>46245</v>
      </c>
      <c r="C693" s="4687" t="str">
        <v>Tuesday</v>
      </c>
      <c r="D693" s="4918" t="s">
        <v>4543</v>
      </c>
      <c r="E693" s="4690">
        <f t="shared" ref="E693:E705" si="90">24*MOD(TIMEVALUE(TRIM(MID(D693,FIND("-",D693)+1,LEN(D693)))) - TIMEVALUE(TRIM(LEFT(D693,FIND("-",D693)-1))),1)</f>
      </c>
      <c r="F693" s="4690" t="s">
        <v>4631</v>
      </c>
      <c r="G693" s="4691" t="s">
        <v>4829</v>
      </c>
      <c r="H693" s="4690" t="s">
        <v>4316</v>
      </c>
      <c r="I693" s="4690" t="s">
        <v>4304</v>
      </c>
      <c r="J693" s="4709" t="s">
        <v>4830</v>
      </c>
      <c r="K693" s="4572"/>
      <c r="L693" s="4572"/>
      <c r="M693" s="4572"/>
      <c r="N693" s="4572"/>
      <c r="O693" s="4572"/>
      <c r="P693" s="4572"/>
    </row>
    <row customHeight="true" ht="18.452380952380953" r="694">
      <c r="A694" s="4851" t="s">
        <v>4831</v>
      </c>
      <c r="B694" s="4950">
        <v>46245</v>
      </c>
      <c r="C694" s="4889" t="str">
        <v>Tuesday</v>
      </c>
      <c r="D694" s="4861" t="s">
        <v>4543</v>
      </c>
      <c r="E694" s="4866">
        <f t="shared" si="90"/>
      </c>
      <c r="F694" s="4866" t="s">
        <v>4422</v>
      </c>
      <c r="G694" s="4947"/>
      <c r="H694" s="4866" t="s">
        <v>4316</v>
      </c>
      <c r="I694" s="4571" t="s">
        <v>4304</v>
      </c>
      <c r="J694" s="4568"/>
      <c r="K694" s="4572"/>
      <c r="L694" s="4572"/>
      <c r="M694" s="4572"/>
      <c r="N694" s="4572"/>
      <c r="O694" s="4572"/>
      <c r="P694" s="4572"/>
    </row>
    <row r="695">
      <c r="A695" s="5040" t="s">
        <v>4828</v>
      </c>
      <c r="B695" s="4696">
        <v>46246</v>
      </c>
      <c r="C695" s="4587" t="str">
        <v>Wednesday</v>
      </c>
      <c r="D695" s="4668" t="s">
        <v>4517</v>
      </c>
      <c r="E695" s="4575">
        <f t="shared" si="90"/>
      </c>
      <c r="F695" s="4591" t="s">
        <v>4766</v>
      </c>
      <c r="G695" s="4599" t="s">
        <v>4832</v>
      </c>
      <c r="H695" s="4591" t="s">
        <v>4316</v>
      </c>
      <c r="I695" s="4571" t="s">
        <v>4304</v>
      </c>
      <c r="J695" s="4568"/>
      <c r="K695" s="4572"/>
      <c r="L695" s="4572"/>
      <c r="M695" s="4572"/>
      <c r="N695" s="4572"/>
      <c r="O695" s="4572"/>
      <c r="P695" s="4572"/>
    </row>
    <row customHeight="true" ht="18.452380952380953" r="696">
      <c r="A696" s="4851" t="s">
        <v>4831</v>
      </c>
      <c r="B696" s="4696">
        <v>46246</v>
      </c>
      <c r="C696" s="4587" t="str">
        <v>Wednesday</v>
      </c>
      <c r="D696" s="4668" t="s">
        <v>4554</v>
      </c>
      <c r="E696" s="4575">
        <f t="shared" si="90"/>
      </c>
      <c r="F696" s="4856" t="s">
        <v>4660</v>
      </c>
      <c r="G696" s="4599"/>
      <c r="H696" s="4591"/>
      <c r="I696" s="4571"/>
      <c r="J696" s="4568"/>
      <c r="K696" s="4572"/>
      <c r="L696" s="4572"/>
      <c r="M696" s="4572"/>
      <c r="N696" s="4572"/>
      <c r="O696" s="4572"/>
      <c r="P696" s="4572"/>
    </row>
    <row r="697">
      <c r="A697" s="5040" t="s">
        <v>4828</v>
      </c>
      <c r="B697" s="4696">
        <v>46247</v>
      </c>
      <c r="C697" s="4587" t="str">
        <v>Thursday</v>
      </c>
      <c r="D697" s="4668" t="s">
        <v>4467</v>
      </c>
      <c r="E697" s="4575">
        <f t="shared" si="90"/>
      </c>
      <c r="F697" s="4591" t="s">
        <v>4405</v>
      </c>
      <c r="G697" s="4599" t="s">
        <v>4361</v>
      </c>
      <c r="H697" s="4591" t="s">
        <v>4316</v>
      </c>
      <c r="I697" s="4571" t="s">
        <v>4304</v>
      </c>
      <c r="J697" s="4568"/>
      <c r="K697" s="4572"/>
      <c r="L697" s="4572"/>
      <c r="M697" s="4572"/>
      <c r="N697" s="4572"/>
      <c r="O697" s="4572"/>
      <c r="P697" s="4572"/>
    </row>
    <row r="698">
      <c r="A698" s="5041" t="s">
        <v>4831</v>
      </c>
      <c r="B698" s="4950">
        <v>46247</v>
      </c>
      <c r="C698" s="4889" t="str">
        <v>Thursday</v>
      </c>
      <c r="D698" s="5042" t="s">
        <v>4833</v>
      </c>
      <c r="E698" s="4866">
        <f t="shared" si="90"/>
      </c>
      <c r="F698" s="4885" t="s">
        <v>4361</v>
      </c>
      <c r="G698" s="4870"/>
      <c r="H698" s="4591" t="s">
        <v>4316</v>
      </c>
      <c r="I698" s="4620" t="s">
        <v>4304</v>
      </c>
      <c r="J698" s="4876"/>
      <c r="K698" s="4572"/>
      <c r="L698" s="4572"/>
      <c r="M698" s="4572"/>
      <c r="N698" s="4572"/>
      <c r="O698" s="4572"/>
      <c r="P698" s="4572"/>
    </row>
    <row r="699">
      <c r="A699" s="5040" t="s">
        <v>4828</v>
      </c>
      <c r="B699" s="4696">
        <v>46248</v>
      </c>
      <c r="C699" s="4587" t="str">
        <v>Friday</v>
      </c>
      <c r="D699" s="4668" t="s">
        <v>4603</v>
      </c>
      <c r="E699" s="4575">
        <f t="shared" si="90"/>
      </c>
      <c r="F699" s="4591" t="s">
        <v>4631</v>
      </c>
      <c r="G699" s="4599" t="s">
        <v>4821</v>
      </c>
      <c r="H699" s="4749" t="s">
        <v>4316</v>
      </c>
      <c r="I699" s="4571" t="s">
        <v>4304</v>
      </c>
      <c r="J699" s="4568"/>
      <c r="K699" s="4572"/>
      <c r="L699" s="4572"/>
      <c r="M699" s="4572"/>
      <c r="N699" s="4572"/>
      <c r="O699" s="4572"/>
      <c r="P699" s="4572"/>
    </row>
    <row customHeight="true" ht="18.452380952380953" r="700">
      <c r="A700" s="4851" t="s">
        <v>4831</v>
      </c>
      <c r="B700" s="4950">
        <v>46248</v>
      </c>
      <c r="C700" s="4889" t="str">
        <v>Friday</v>
      </c>
      <c r="D700" s="4861" t="s">
        <v>4834</v>
      </c>
      <c r="E700" s="4866">
        <f t="shared" si="90"/>
      </c>
      <c r="F700" s="4885" t="s">
        <v>4424</v>
      </c>
      <c r="G700" s="4947"/>
      <c r="H700" s="4591" t="s">
        <v>4316</v>
      </c>
      <c r="I700" s="4571" t="s">
        <v>4304</v>
      </c>
      <c r="J700" s="4568"/>
      <c r="K700" s="4572"/>
      <c r="L700" s="4572"/>
      <c r="M700" s="4572"/>
      <c r="N700" s="4572"/>
      <c r="O700" s="4572"/>
      <c r="P700" s="4572"/>
    </row>
    <row customHeight="true" ht="18.452380952380953" r="701">
      <c r="A701" s="5040" t="s">
        <v>4828</v>
      </c>
      <c r="B701" s="4696">
        <v>46249</v>
      </c>
      <c r="C701" s="4587" t="str">
        <v>Saturday</v>
      </c>
      <c r="D701" s="4697" t="s">
        <v>4835</v>
      </c>
      <c r="E701" s="4575">
        <f t="shared" si="90"/>
      </c>
      <c r="F701" s="4591" t="s">
        <v>4631</v>
      </c>
      <c r="G701" s="4698" t="s">
        <v>4821</v>
      </c>
      <c r="H701" s="4591" t="s">
        <v>4316</v>
      </c>
      <c r="I701" s="4571" t="s">
        <v>4304</v>
      </c>
      <c r="J701" s="4823"/>
      <c r="K701" s="4572"/>
      <c r="L701" s="4572"/>
      <c r="M701" s="4572"/>
      <c r="N701" s="4572"/>
      <c r="O701" s="4572"/>
      <c r="P701" s="4572"/>
    </row>
    <row customHeight="true" ht="18.452380952380953" r="702">
      <c r="A702" s="4851" t="s">
        <v>4831</v>
      </c>
      <c r="B702" s="4950">
        <v>46249</v>
      </c>
      <c r="C702" s="4889" t="str">
        <v>Saturday</v>
      </c>
      <c r="D702" s="4861" t="s">
        <v>4836</v>
      </c>
      <c r="E702" s="4866">
        <f t="shared" si="90"/>
      </c>
      <c r="F702" s="4885" t="s">
        <v>4424</v>
      </c>
      <c r="G702" s="4947"/>
      <c r="H702" s="4591" t="s">
        <v>4316</v>
      </c>
      <c r="I702" s="4571" t="s">
        <v>4304</v>
      </c>
      <c r="J702" s="4823"/>
      <c r="K702" s="4572"/>
      <c r="L702" s="4572"/>
      <c r="M702" s="4572"/>
      <c r="N702" s="4572"/>
      <c r="O702" s="4572"/>
      <c r="P702" s="4572"/>
    </row>
    <row customHeight="true" ht="18.452380952380953" r="703">
      <c r="A703" s="5040" t="s">
        <v>4828</v>
      </c>
      <c r="B703" s="4696">
        <v>46250</v>
      </c>
      <c r="C703" s="4695" t="str">
        <v>Sunday</v>
      </c>
      <c r="D703" s="4697" t="s">
        <v>4467</v>
      </c>
      <c r="E703" s="4575">
        <f t="shared" si="90"/>
      </c>
      <c r="F703" s="4591" t="s">
        <v>4306</v>
      </c>
      <c r="G703" s="4698" t="s">
        <v>4822</v>
      </c>
      <c r="H703" s="4572"/>
      <c r="I703" s="4571" t="s">
        <v>4304</v>
      </c>
      <c r="J703" s="4823"/>
      <c r="K703" s="4572"/>
      <c r="L703" s="4572"/>
      <c r="M703" s="4572"/>
      <c r="N703" s="4572"/>
      <c r="O703" s="4572"/>
      <c r="P703" s="4572"/>
    </row>
    <row customHeight="true" ht="18.452380952380953" r="704">
      <c r="A704" s="4851" t="s">
        <v>4831</v>
      </c>
      <c r="B704" s="4950">
        <v>46250</v>
      </c>
      <c r="C704" s="4889" t="str">
        <v>Sunday</v>
      </c>
      <c r="D704" s="4861" t="s">
        <v>4467</v>
      </c>
      <c r="E704" s="4866">
        <f t="shared" si="90"/>
      </c>
      <c r="F704" s="4885" t="s">
        <v>4424</v>
      </c>
      <c r="G704" s="4947"/>
      <c r="H704" s="4572"/>
      <c r="I704" s="4571" t="s">
        <v>4304</v>
      </c>
      <c r="J704" s="4823"/>
      <c r="K704" s="4572"/>
      <c r="L704" s="4572"/>
      <c r="M704" s="4572"/>
      <c r="N704" s="4572"/>
      <c r="O704" s="4572"/>
      <c r="P704" s="4572"/>
    </row>
    <row customHeight="true" ht="18.452380952380953" r="705">
      <c r="A705" s="5039" t="s">
        <v>4837</v>
      </c>
      <c r="B705" s="4688">
        <v>46246</v>
      </c>
      <c r="C705" s="4687" t="str">
        <v>Wednesday</v>
      </c>
      <c r="D705" s="4689" t="s">
        <v>4640</v>
      </c>
      <c r="E705" s="4690">
        <f t="shared" si="90"/>
      </c>
      <c r="F705" s="4690" t="s">
        <v>4482</v>
      </c>
      <c r="G705" s="4706"/>
      <c r="H705" s="4572"/>
      <c r="I705" s="4575"/>
      <c r="J705" s="4767" t="s">
        <v>4838</v>
      </c>
      <c r="K705" s="4572"/>
      <c r="L705" s="4572"/>
      <c r="M705" s="4572"/>
      <c r="N705" s="4572"/>
      <c r="O705" s="4572"/>
      <c r="P705" s="4572"/>
    </row>
    <row customHeight="true" ht="18.452380952380953" r="706">
      <c r="A706" s="5040" t="s">
        <v>4837</v>
      </c>
      <c r="B706" s="4950">
        <v>46246</v>
      </c>
      <c r="C706" s="4889" t="str">
        <v>Wednesday</v>
      </c>
      <c r="D706" s="4697" t="s">
        <v>4640</v>
      </c>
      <c r="E706" s="4861">
        <v>1</v>
      </c>
      <c r="F706" s="4591" t="s">
        <v>4306</v>
      </c>
      <c r="G706" s="4708"/>
      <c r="H706" s="4572"/>
      <c r="I706" s="4575"/>
      <c r="J706" s="4823"/>
      <c r="K706" s="4572"/>
      <c r="L706" s="4572"/>
      <c r="M706" s="4572"/>
      <c r="N706" s="4572"/>
      <c r="O706" s="4572"/>
      <c r="P706" s="4572"/>
    </row>
    <row r="707">
      <c r="J707" s="4639"/>
      <c r="K707" s="4640"/>
      <c r="L707" s="4640"/>
      <c r="M707" s="4640"/>
      <c r="N707" s="4640"/>
      <c r="O707" s="4640"/>
      <c r="P707" s="4640"/>
    </row>
    <row r="708">
      <c r="A708" s="5043" t="s">
        <v>4839</v>
      </c>
      <c r="B708" s="5043"/>
      <c r="C708" s="5043"/>
      <c r="D708" s="5043"/>
      <c r="E708" s="5043"/>
      <c r="F708" s="5043"/>
      <c r="G708" s="5043"/>
      <c r="H708" s="5043"/>
      <c r="I708" s="5043"/>
      <c r="J708" s="5044"/>
      <c r="K708" s="4960"/>
      <c r="L708" s="4960"/>
      <c r="M708" s="4960"/>
      <c r="N708" s="4960"/>
      <c r="O708" s="4960"/>
      <c r="P708" s="4960"/>
    </row>
    <row r="709">
      <c r="A709" s="5045" t="s">
        <v>4839</v>
      </c>
      <c r="B709" s="5046" t="s">
        <v>4319</v>
      </c>
      <c r="C709" s="5046"/>
      <c r="D709" s="5047" t="s">
        <v>4320</v>
      </c>
      <c r="E709" s="5047" t="s">
        <v>4321</v>
      </c>
      <c r="F709" s="5047" t="s">
        <v>4322</v>
      </c>
      <c r="G709" s="5048" t="s">
        <v>4334</v>
      </c>
      <c r="H709" s="5047" t="s">
        <v>4324</v>
      </c>
      <c r="I709" s="5047" t="s">
        <v>4325</v>
      </c>
      <c r="J709" s="5049" t="s">
        <v>4326</v>
      </c>
      <c r="K709" s="4586"/>
      <c r="L709" s="4586"/>
      <c r="M709" s="4586"/>
      <c r="N709" s="4586"/>
      <c r="O709" s="4586"/>
      <c r="P709" s="4586"/>
    </row>
    <row r="710">
      <c r="A710" s="5040" t="s">
        <v>4840</v>
      </c>
      <c r="B710" s="4573">
        <v>46247</v>
      </c>
      <c r="C710" s="4587" t="str">
        <v>Thursday</v>
      </c>
      <c r="D710" s="4668" t="s">
        <v>4497</v>
      </c>
      <c r="E710" s="4575">
        <f t="shared" ref="E710:E711" si="91">24*MOD(TIMEVALUE(TRIM(MID(D710,FIND("-",D710)+1,LEN(D710)))) - TIMEVALUE(TRIM(LEFT(D710,FIND("-",D710)-1))),1)</f>
      </c>
      <c r="F710" s="4591" t="s">
        <v>4309</v>
      </c>
      <c r="G710" s="4609"/>
      <c r="H710" s="4591" t="s">
        <v>4316</v>
      </c>
      <c r="I710" s="4571" t="s">
        <v>4332</v>
      </c>
      <c r="J710" s="4568"/>
      <c r="K710" s="4572"/>
      <c r="L710" s="4572"/>
      <c r="M710" s="4572"/>
      <c r="N710" s="4572"/>
      <c r="O710" s="4572"/>
      <c r="P710" s="4572"/>
    </row>
    <row r="711">
      <c r="A711" s="5040" t="s">
        <v>4840</v>
      </c>
      <c r="B711" s="4696">
        <v>46249</v>
      </c>
      <c r="C711" s="4695" t="str">
        <v>Saturday</v>
      </c>
      <c r="D711" s="4697" t="s">
        <v>4543</v>
      </c>
      <c r="E711" s="4575">
        <f t="shared" si="91"/>
      </c>
      <c r="F711" s="4575" t="s">
        <v>4307</v>
      </c>
      <c r="G711" s="4708"/>
      <c r="H711" s="4575" t="s">
        <v>4316</v>
      </c>
      <c r="I711" s="4571" t="s">
        <v>4332</v>
      </c>
      <c r="J711" s="4568"/>
      <c r="K711" s="4572"/>
      <c r="L711" s="4572"/>
      <c r="M711" s="4572"/>
      <c r="N711" s="4572"/>
      <c r="O711" s="4572"/>
      <c r="P711" s="4572"/>
    </row>
    <row customHeight="true" ht="18.452380952380953" r="712">
      <c r="A712" s="5040"/>
      <c r="B712" s="4696"/>
      <c r="C712" s="4695"/>
      <c r="D712" s="4697"/>
      <c r="E712" s="4575"/>
      <c r="F712" s="4575"/>
      <c r="G712" s="4708"/>
      <c r="H712" s="4575"/>
      <c r="I712" s="4571"/>
      <c r="J712" s="4568"/>
      <c r="K712" s="4572"/>
      <c r="L712" s="4572"/>
      <c r="M712" s="4572"/>
      <c r="N712" s="4572"/>
      <c r="O712" s="4572"/>
      <c r="P712" s="4572"/>
    </row>
    <row customHeight="true" ht="18.452380952380953" r="713">
      <c r="A713" s="5040"/>
      <c r="B713" s="4696"/>
      <c r="C713" s="4695"/>
      <c r="D713" s="4697"/>
      <c r="E713" s="4575"/>
      <c r="F713" s="4575"/>
      <c r="G713" s="4708"/>
      <c r="H713" s="4575"/>
      <c r="I713" s="4571"/>
      <c r="J713" s="4568"/>
      <c r="K713" s="4572"/>
      <c r="L713" s="4572"/>
      <c r="M713" s="4572"/>
      <c r="N713" s="4572"/>
      <c r="O713" s="4572"/>
      <c r="P713" s="4572"/>
    </row>
    <row customHeight="true" ht="18.452380952380953" r="714">
      <c r="A714" s="5040"/>
      <c r="B714" s="4696"/>
      <c r="C714" s="4695"/>
      <c r="D714" s="4697"/>
      <c r="E714" s="4575"/>
      <c r="F714" s="4575"/>
      <c r="G714" s="4708"/>
      <c r="H714" s="4575"/>
      <c r="I714" s="4571"/>
      <c r="J714" s="4568"/>
      <c r="K714" s="4572"/>
      <c r="L714" s="4572"/>
      <c r="M714" s="4572"/>
      <c r="N714" s="4572"/>
      <c r="O714" s="4572"/>
      <c r="P714" s="4572"/>
    </row>
    <row customHeight="true" ht="18.452380952380953" r="715">
      <c r="A715" s="5040"/>
      <c r="B715" s="4696"/>
      <c r="C715" s="4695"/>
      <c r="D715" s="4697"/>
      <c r="E715" s="4575"/>
      <c r="F715" s="4575"/>
      <c r="G715" s="4708"/>
      <c r="H715" s="4575"/>
      <c r="I715" s="4571"/>
      <c r="J715" s="4568"/>
      <c r="K715" s="4572"/>
      <c r="L715" s="4572"/>
      <c r="M715" s="4572"/>
      <c r="N715" s="4572"/>
      <c r="O715" s="4572"/>
      <c r="P715" s="4572"/>
    </row>
    <row customHeight="true" ht="18.452380952380953" r="716">
      <c r="A716" s="5040"/>
      <c r="B716" s="4696"/>
      <c r="C716" s="4695"/>
      <c r="D716" s="4697"/>
      <c r="E716" s="4575"/>
      <c r="F716" s="4575"/>
      <c r="G716" s="4708"/>
      <c r="H716" s="4575"/>
      <c r="I716" s="4571"/>
      <c r="J716" s="4568"/>
      <c r="K716" s="4572"/>
      <c r="L716" s="4572"/>
      <c r="M716" s="4572"/>
      <c r="N716" s="4572"/>
      <c r="O716" s="4572"/>
      <c r="P716" s="4572"/>
    </row>
    <row customHeight="true" ht="18.452380952380953" r="717">
      <c r="A717" s="5040"/>
      <c r="B717" s="4696"/>
      <c r="C717" s="4695"/>
      <c r="D717" s="4697"/>
      <c r="E717" s="4575"/>
      <c r="F717" s="4575"/>
      <c r="G717" s="4708"/>
      <c r="H717" s="4575"/>
      <c r="I717" s="4571"/>
      <c r="J717" s="4568"/>
      <c r="K717" s="4572"/>
      <c r="L717" s="4572"/>
      <c r="M717" s="4572"/>
      <c r="N717" s="4572"/>
      <c r="O717" s="4572"/>
      <c r="P717" s="4572"/>
    </row>
    <row customHeight="true" ht="18.452380952380953" r="718">
      <c r="A718" s="5040"/>
      <c r="B718" s="4696"/>
      <c r="C718" s="4695"/>
      <c r="D718" s="4697"/>
      <c r="E718" s="4575"/>
      <c r="F718" s="4575"/>
      <c r="G718" s="4708"/>
      <c r="H718" s="4575"/>
      <c r="I718" s="4571"/>
      <c r="J718" s="4568"/>
      <c r="K718" s="4572"/>
      <c r="L718" s="4572"/>
      <c r="M718" s="4572"/>
      <c r="N718" s="4572"/>
      <c r="O718" s="4572"/>
      <c r="P718" s="4572"/>
    </row>
    <row customHeight="true" ht="18.452380952380953" r="719">
      <c r="A719" s="5040"/>
      <c r="B719" s="4696"/>
      <c r="C719" s="4695"/>
      <c r="D719" s="4697"/>
      <c r="E719" s="4575"/>
      <c r="F719" s="4575"/>
      <c r="G719" s="4708"/>
      <c r="H719" s="4575"/>
      <c r="I719" s="4571"/>
      <c r="J719" s="4568"/>
      <c r="K719" s="4572"/>
      <c r="L719" s="4572"/>
      <c r="M719" s="4572"/>
      <c r="N719" s="4572"/>
      <c r="O719" s="4572"/>
      <c r="P719" s="4572"/>
    </row>
  </sheetData>
  <mergeCells>
    <mergeCell ref="A33:F33"/>
    <mergeCell ref="B34:C34"/>
    <mergeCell ref="B53:C53"/>
    <mergeCell ref="A52:F52"/>
    <mergeCell ref="B12:C12"/>
    <mergeCell ref="A18:I18"/>
    <mergeCell ref="B19:C19"/>
    <mergeCell ref="A17:J17"/>
    <mergeCell ref="A11:J11"/>
    <mergeCell ref="A2:J2"/>
    <mergeCell ref="A3:J3"/>
    <mergeCell ref="A71:F71"/>
    <mergeCell ref="B72:C72"/>
    <mergeCell ref="A79:F79"/>
    <mergeCell ref="B93:C93"/>
    <mergeCell ref="B80:C80"/>
    <mergeCell ref="B370:C370"/>
    <mergeCell ref="B178:C178"/>
  </mergeCells>
  <dataValidations count="4">
    <dataValidation allowBlank="true" errorStyle="stop" showErrorMessage="true" sqref="I94:I119 I122:I139 I144:I147 I149:I156 I161:I161 I166:I167 I174:I175 I271:I271 I366:I368 I371:I383 I395:I396 I400:I402 I494:I494 I580:I582 J580:J582" type="list">
      <formula1>"PENDING,YES"</formula1>
    </dataValidation>
    <dataValidation allowBlank="true" errorStyle="stop" showErrorMessage="true" sqref="H4:H10 H13:H16 H20:H30 H35:H35 H37:H43 H45:H50 H54:H60 H62:H69 H73:H77 H81:H87 H89:H90 H94:H119 H122:H139 H143:H156 H159:H176 H183:H197 H202:H234 H236:H260 H264:H287 H290:H313 H317:H335 H340:H368 H371:H383 H386:H392 H394:H397 H399:H402 H407:H459 H463:H467 H489:H492 H497:H532 H535:H567 H570:H576 H578:H578 H580:H583 H589:H622 H626:H651" type="list">
      <formula1>"8461 Higuera Street,3619 Eastham Drive"</formula1>
    </dataValidation>
    <dataValidation allowBlank="true" errorStyle="stop" showErrorMessage="true" sqref="I4:I10 I13:I16 I20:I30 I35:I35 I37:I43 I45:I50 I54:I60 I62:I69 I73:I77 I81:I87 I89:I90 I143:I143 I148:I148 I159:I160 I162:I165 I168:I173 I176:I176 I183:I194 I197:I197 I202:I234 I236:I260 I264:I270 I272:I287 I290:I313 I317:I335 I340:I365 I386:I392 I394:I394 I397:I397 I399:I399 I407:I459 I463:I467 I470:I492 I497:I532 I535:I567 I570:I576 I578:I578 I589:I622 I626:I651 I654:I666 I670:I690 I692:I706 I709:I719" type="list">
      <formula1>"YES,PENDING"</formula1>
    </dataValidation>
    <dataValidation allowBlank="true" errorStyle="stop" showErrorMessage="true" sqref="I583:I583 J583:J583" type="list">
      <formula1>"PENDING,YES,Back up"</formula1>
    </dataValidation>
  </dataValidations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4.47887323943662"/>
    <col collapsed="false" customWidth="true" hidden="false" max="6" min="6" style="0" width="29.464788732394368"/>
    <col collapsed="false" customWidth="true" hidden="false" max="10" min="10" style="0" width="39.15492957746479"/>
    <col collapsed="false" customWidth="true" hidden="false" max="14" min="14" style="0" width="11.211267605633802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2" min="2" style="0" width="14.47887323943662"/>
    <col collapsed="false" customWidth="true" hidden="false" max="5" min="5" style="0" width="14.47887323943662"/>
    <col collapsed="false" customWidth="true" hidden="false" max="9" min="9" style="0" width="15.605633802816902"/>
    <col collapsed="false" customWidth="true" hidden="false" max="13" min="13" style="0" width="11.211267605633802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1" min="1" style="0" width="29.464788732394368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25" min="25" style="0" width="11.211267605633802"/>
    <col collapsed="false" customWidth="true" hidden="false" max="4" min="4" style="0" width="21.577464788732396"/>
    <col collapsed="false" customWidth="true" hidden="false" max="7" min="7" style="0" width="28.225352112676056"/>
    <col collapsed="false" customWidth="true" hidden="false" max="8" min="8" style="0" width="22.92957746478873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20" min="20" style="0" width="11.211267605633802"/>
    <col collapsed="false" customWidth="true" hidden="false" max="24" min="24" style="0" width="11.211267605633802"/>
  </cols>
  <sheetData>
    <row r="1">
      <c r="A1" s="5050"/>
      <c r="B1" s="5050"/>
      <c r="C1" s="5050"/>
      <c r="D1" s="5050"/>
      <c r="E1" s="5050"/>
      <c r="F1" s="5051"/>
      <c r="G1" s="5050"/>
      <c r="H1" s="5052"/>
      <c r="I1" s="5050"/>
      <c r="J1" s="5050"/>
      <c r="K1" s="5053"/>
      <c r="L1" s="5054"/>
      <c r="M1" s="5053"/>
      <c r="N1" s="5053"/>
      <c r="O1" s="5053"/>
      <c r="P1" s="5053"/>
      <c r="Q1" s="5053"/>
      <c r="R1" s="5053"/>
      <c r="S1" s="5053"/>
      <c r="T1" s="5053"/>
      <c r="U1" s="5055"/>
      <c r="V1" s="5055"/>
      <c r="W1" s="5055"/>
      <c r="X1" s="5055"/>
      <c r="Y1" s="5055"/>
    </row>
    <row r="2">
      <c r="A2" s="5056"/>
      <c r="B2" s="5057"/>
      <c r="C2" s="5057"/>
      <c r="D2" s="5057"/>
      <c r="E2" s="5057"/>
      <c r="F2" s="5057"/>
      <c r="G2" s="5057"/>
      <c r="H2" s="5057"/>
      <c r="I2" s="5057"/>
      <c r="J2" s="5057"/>
      <c r="K2" s="5053"/>
      <c r="L2" s="5053"/>
      <c r="M2" s="5053"/>
      <c r="N2" s="5053"/>
      <c r="O2" s="5053"/>
      <c r="P2" s="5053"/>
      <c r="Q2" s="5053"/>
      <c r="R2" s="5053"/>
      <c r="S2" s="5053"/>
      <c r="T2" s="5053"/>
      <c r="U2" s="5055"/>
      <c r="V2" s="5055"/>
      <c r="W2" s="5055"/>
      <c r="X2" s="5055"/>
      <c r="Y2" s="5055"/>
    </row>
    <row customHeight="true" ht="25" r="3">
      <c r="A3" s="5058" t="s">
        <v>4841</v>
      </c>
      <c r="B3" s="5059"/>
      <c r="C3" s="5060"/>
      <c r="D3" s="5060"/>
      <c r="E3" s="5060"/>
      <c r="F3" s="5060"/>
      <c r="G3" s="5060"/>
      <c r="H3" s="5060"/>
      <c r="I3" s="5060"/>
      <c r="J3" s="5060"/>
    </row>
    <row customHeight="true" ht="25" r="4">
      <c r="A4" s="5061" t="s">
        <v>4841</v>
      </c>
      <c r="B4" s="5062">
        <v>46237</v>
      </c>
      <c r="C4" s="5063" t="str">
        <v>Monday</v>
      </c>
      <c r="D4" s="5064" t="s">
        <v>4842</v>
      </c>
      <c r="E4" s="5065">
        <v>2</v>
      </c>
      <c r="F4" s="5066" t="s">
        <v>4843</v>
      </c>
      <c r="G4" s="5067" t="s">
        <v>4844</v>
      </c>
      <c r="H4" s="5068" t="s">
        <v>4845</v>
      </c>
      <c r="I4" s="5068" t="s">
        <v>4846</v>
      </c>
      <c r="J4" s="5069"/>
    </row>
    <row r="5">
      <c r="A5" s="5070" t="s">
        <v>4841</v>
      </c>
      <c r="B5" s="5071">
        <v>46237</v>
      </c>
      <c r="C5" s="5072" t="s">
        <v>4847</v>
      </c>
      <c r="D5" s="5064" t="s">
        <v>4842</v>
      </c>
      <c r="E5" s="5065">
        <v>2</v>
      </c>
      <c r="F5" s="5066" t="s">
        <v>4848</v>
      </c>
      <c r="G5" s="5067" t="s">
        <v>4844</v>
      </c>
      <c r="H5" s="5068" t="s">
        <v>4845</v>
      </c>
      <c r="I5" s="5068" t="s">
        <v>4846</v>
      </c>
      <c r="J5" s="5069"/>
      <c r="K5" s="5053"/>
      <c r="L5" s="5053"/>
      <c r="M5" s="5053"/>
      <c r="N5" s="5053"/>
      <c r="O5" s="5053"/>
      <c r="P5" s="5053"/>
      <c r="Q5" s="5053"/>
      <c r="R5" s="5053"/>
      <c r="S5" s="5053"/>
      <c r="T5" s="5053"/>
      <c r="U5" s="5055"/>
      <c r="V5" s="5055"/>
      <c r="W5" s="5055"/>
      <c r="X5" s="5055"/>
      <c r="Y5" s="5055"/>
    </row>
    <row r="6">
      <c r="A6" s="5061" t="s">
        <v>4841</v>
      </c>
      <c r="B6" s="5072">
        <v>46237</v>
      </c>
      <c r="C6" s="5072" t="s">
        <v>4847</v>
      </c>
      <c r="D6" s="5064" t="s">
        <v>4842</v>
      </c>
      <c r="E6" s="5065">
        <v>2</v>
      </c>
      <c r="F6" s="5066" t="s">
        <v>4849</v>
      </c>
      <c r="G6" s="5067" t="s">
        <v>4844</v>
      </c>
      <c r="H6" s="5068" t="s">
        <v>4845</v>
      </c>
      <c r="I6" s="5068" t="s">
        <v>4846</v>
      </c>
      <c r="J6" s="5069"/>
      <c r="K6" s="5053"/>
      <c r="L6" s="5053"/>
      <c r="M6" s="5053"/>
      <c r="N6" s="5053"/>
      <c r="O6" s="5053"/>
      <c r="P6" s="5053"/>
      <c r="Q6" s="5053"/>
      <c r="R6" s="5053"/>
      <c r="S6" s="5053"/>
      <c r="T6" s="5053"/>
      <c r="U6" s="5055"/>
      <c r="V6" s="5055"/>
      <c r="W6" s="5055"/>
      <c r="X6" s="5055"/>
      <c r="Y6" s="5055"/>
    </row>
    <row r="7">
      <c r="A7" s="5061" t="s">
        <v>4841</v>
      </c>
      <c r="B7" s="5072">
        <v>46239</v>
      </c>
      <c r="C7" s="5072" t="s">
        <v>4850</v>
      </c>
      <c r="D7" s="5064" t="s">
        <v>4842</v>
      </c>
      <c r="E7" s="5065">
        <v>2</v>
      </c>
      <c r="F7" s="5066" t="s">
        <v>4851</v>
      </c>
      <c r="G7" s="5067" t="s">
        <v>4844</v>
      </c>
      <c r="H7" s="5068" t="s">
        <v>4845</v>
      </c>
      <c r="I7" s="5068" t="s">
        <v>4846</v>
      </c>
      <c r="J7" s="5069"/>
      <c r="K7" s="5053"/>
      <c r="L7" s="5053"/>
      <c r="M7" s="5053"/>
      <c r="N7" s="5053"/>
      <c r="O7" s="5053"/>
      <c r="P7" s="5053"/>
      <c r="Q7" s="5053"/>
      <c r="R7" s="5053"/>
      <c r="S7" s="5053"/>
      <c r="T7" s="5053"/>
      <c r="U7" s="5055"/>
      <c r="V7" s="5055"/>
      <c r="W7" s="5055"/>
      <c r="X7" s="5055"/>
      <c r="Y7" s="5055"/>
    </row>
    <row r="8">
      <c r="A8" s="5061" t="s">
        <v>4841</v>
      </c>
      <c r="B8" s="5072">
        <v>46241</v>
      </c>
      <c r="C8" s="5072" t="s">
        <v>4852</v>
      </c>
      <c r="D8" s="5064" t="s">
        <v>4842</v>
      </c>
      <c r="E8" s="5065">
        <v>2</v>
      </c>
      <c r="F8" s="5066" t="s">
        <v>4853</v>
      </c>
      <c r="G8" s="5067" t="s">
        <v>4844</v>
      </c>
      <c r="H8" s="5068" t="s">
        <v>4845</v>
      </c>
      <c r="I8" s="5068" t="s">
        <v>4846</v>
      </c>
      <c r="J8" s="5069"/>
      <c r="K8" s="5053"/>
      <c r="L8" s="5053"/>
      <c r="M8" s="5053"/>
      <c r="N8" s="5053"/>
      <c r="O8" s="5053"/>
      <c r="P8" s="5053"/>
      <c r="Q8" s="5053"/>
      <c r="R8" s="5053"/>
      <c r="S8" s="5053"/>
      <c r="T8" s="5053"/>
      <c r="U8" s="5055"/>
      <c r="V8" s="5055"/>
      <c r="W8" s="5055"/>
      <c r="X8" s="5055"/>
      <c r="Y8" s="5055"/>
    </row>
    <row customHeight="true" ht="18.452380952380953" r="9">
      <c r="A9" s="5061" t="s">
        <v>4854</v>
      </c>
      <c r="B9" s="5072">
        <v>46240</v>
      </c>
      <c r="C9" s="5072" t="s">
        <v>4855</v>
      </c>
      <c r="D9" s="5064" t="s">
        <v>4856</v>
      </c>
      <c r="E9" s="5064">
        <f>24*MOD(TIMEVALUE(TRIM(MID(D9,FIND("-",D9)+1,LEN(D9)))) - TIMEVALUE(TRIM(LEFT(D9,FIND("-",D9)-1))),1)</f>
      </c>
      <c r="F9" s="5066" t="s">
        <v>4857</v>
      </c>
      <c r="G9" s="5067" t="s">
        <v>4858</v>
      </c>
      <c r="H9" s="5068" t="s">
        <v>4859</v>
      </c>
      <c r="I9" s="5068" t="s">
        <v>4846</v>
      </c>
      <c r="J9" s="5064"/>
      <c r="K9" s="5053"/>
      <c r="L9" s="5053"/>
      <c r="M9" s="5053"/>
      <c r="N9" s="5053"/>
      <c r="O9" s="5053"/>
      <c r="P9" s="5053"/>
      <c r="Q9" s="5053"/>
      <c r="R9" s="5053"/>
      <c r="S9" s="5053"/>
      <c r="T9" s="5053"/>
      <c r="U9" s="5055"/>
      <c r="V9" s="5055"/>
      <c r="W9" s="5055"/>
      <c r="X9" s="5055"/>
      <c r="Y9" s="5055"/>
    </row>
    <row r="10">
      <c r="A10" s="5073" t="s">
        <v>4860</v>
      </c>
      <c r="B10" s="5073"/>
      <c r="C10" s="5073"/>
      <c r="D10" s="5073"/>
      <c r="E10" s="5073"/>
      <c r="F10" s="5073"/>
      <c r="G10" s="5073"/>
      <c r="H10" s="5073"/>
      <c r="I10" s="5073"/>
      <c r="J10" s="5073"/>
      <c r="K10" s="5053"/>
      <c r="L10" s="5053"/>
      <c r="M10" s="5053"/>
      <c r="N10" s="5053"/>
      <c r="O10" s="5053"/>
      <c r="P10" s="5053"/>
      <c r="Q10" s="5053"/>
      <c r="R10" s="5053"/>
      <c r="S10" s="5053"/>
      <c r="T10" s="5053"/>
      <c r="U10" s="5055"/>
      <c r="V10" s="5055"/>
      <c r="W10" s="5055"/>
      <c r="X10" s="5055"/>
      <c r="Y10" s="5055"/>
    </row>
    <row customHeight="true" ht="39.88095238095238" r="11">
      <c r="A11" s="5074" t="s">
        <v>4861</v>
      </c>
      <c r="B11" s="5075" t="s">
        <v>4862</v>
      </c>
      <c r="C11" s="5075"/>
      <c r="D11" s="5076" t="s">
        <v>4863</v>
      </c>
      <c r="E11" s="5077" t="s">
        <v>4864</v>
      </c>
      <c r="F11" s="5076" t="s">
        <v>4865</v>
      </c>
      <c r="G11" s="5078" t="s">
        <v>4866</v>
      </c>
      <c r="H11" s="5076" t="s">
        <v>4867</v>
      </c>
      <c r="I11" s="5076" t="s">
        <v>4868</v>
      </c>
      <c r="J11" s="5076" t="s">
        <v>4869</v>
      </c>
      <c r="K11" s="5053"/>
      <c r="L11" s="5053"/>
      <c r="M11" s="5053"/>
      <c r="N11" s="5053"/>
      <c r="O11" s="5053"/>
      <c r="P11" s="5053"/>
      <c r="Q11" s="5053"/>
      <c r="R11" s="5053"/>
      <c r="S11" s="5053"/>
      <c r="T11" s="5053"/>
      <c r="U11" s="5055"/>
      <c r="V11" s="5055"/>
      <c r="W11" s="5055"/>
      <c r="X11" s="5055"/>
      <c r="Y11" s="5055"/>
    </row>
    <row r="12">
      <c r="A12" s="5079" t="s">
        <v>4870</v>
      </c>
      <c r="B12" s="5079">
        <v>46216</v>
      </c>
      <c r="C12" s="5079" t="str">
        <v>Monday</v>
      </c>
      <c r="D12" s="5068" t="s">
        <v>4871</v>
      </c>
      <c r="E12" s="5080">
        <f t="shared" ref="E12:E13" si="39">24*MOD(TIMEVALUE(TRIM(MID(D12,FIND("-",D12)+1,LEN(D12)))) - TIMEVALUE(TRIM(LEFT(D12,FIND("-",D12)-1))),1)</f>
      </c>
      <c r="F12" s="5081"/>
      <c r="G12" s="5082" t="s">
        <v>4872</v>
      </c>
      <c r="H12" s="5068"/>
      <c r="I12" s="5068" t="s">
        <v>4846</v>
      </c>
      <c r="J12" s="5068"/>
      <c r="K12" s="5053"/>
      <c r="L12" s="5053"/>
      <c r="M12" s="5053"/>
      <c r="N12" s="5053"/>
      <c r="O12" s="5053"/>
      <c r="P12" s="5053"/>
      <c r="Q12" s="5053"/>
      <c r="R12" s="5053"/>
      <c r="S12" s="5053"/>
      <c r="T12" s="5053"/>
      <c r="U12" s="5055"/>
      <c r="V12" s="5055"/>
      <c r="W12" s="5055"/>
      <c r="X12" s="5055"/>
      <c r="Y12" s="5055"/>
    </row>
    <row r="13">
      <c r="A13" s="5079" t="s">
        <v>4870</v>
      </c>
      <c r="B13" s="5079">
        <v>46218</v>
      </c>
      <c r="C13" s="5079" t="str">
        <v>Wednesday</v>
      </c>
      <c r="D13" s="5068" t="s">
        <v>4873</v>
      </c>
      <c r="E13" s="5080">
        <f t="shared" si="39"/>
      </c>
      <c r="F13" s="5081"/>
      <c r="G13" s="5082"/>
      <c r="H13" s="5068"/>
      <c r="I13" s="5069" t="s">
        <v>4846</v>
      </c>
      <c r="J13" s="5068"/>
      <c r="K13" s="5053"/>
      <c r="L13" s="5053"/>
      <c r="M13" s="5053"/>
      <c r="N13" s="5053"/>
      <c r="O13" s="5053"/>
      <c r="P13" s="5053"/>
      <c r="Q13" s="5053"/>
      <c r="R13" s="5053"/>
      <c r="S13" s="5053"/>
      <c r="T13" s="5053"/>
      <c r="U13" s="5055"/>
      <c r="V13" s="5055"/>
      <c r="W13" s="5055"/>
      <c r="X13" s="5055"/>
      <c r="Y13" s="5055"/>
    </row>
    <row r="14">
      <c r="A14" s="5079" t="s">
        <v>4874</v>
      </c>
      <c r="B14" s="5079">
        <v>46218</v>
      </c>
      <c r="C14" s="5079" t="str">
        <v>Wednesday</v>
      </c>
      <c r="D14" s="5068"/>
      <c r="E14" s="5080"/>
      <c r="F14" s="5081"/>
      <c r="G14" s="5082"/>
      <c r="H14" s="5068"/>
      <c r="I14" s="5068" t="s">
        <v>4875</v>
      </c>
      <c r="J14" s="5068"/>
      <c r="K14" s="5053"/>
      <c r="L14" s="5053"/>
      <c r="M14" s="5053"/>
      <c r="N14" s="5053"/>
      <c r="O14" s="5053"/>
      <c r="P14" s="5053"/>
      <c r="Q14" s="5053"/>
      <c r="R14" s="5053"/>
      <c r="S14" s="5053"/>
      <c r="T14" s="5053"/>
      <c r="U14" s="5055"/>
      <c r="V14" s="5055"/>
      <c r="W14" s="5055"/>
      <c r="X14" s="5055"/>
      <c r="Y14" s="5055"/>
    </row>
    <row r="15">
      <c r="A15" s="5079" t="s">
        <v>4874</v>
      </c>
      <c r="B15" s="5079">
        <v>46219</v>
      </c>
      <c r="C15" s="5079" t="str">
        <v>Thursday</v>
      </c>
      <c r="D15" s="5068"/>
      <c r="E15" s="5080"/>
      <c r="F15" s="5081"/>
      <c r="G15" s="5082"/>
      <c r="H15" s="5068"/>
      <c r="I15" s="5068" t="s">
        <v>4875</v>
      </c>
      <c r="J15" s="5068"/>
      <c r="K15" s="5053"/>
      <c r="L15" s="5053"/>
      <c r="M15" s="5053"/>
      <c r="N15" s="5053"/>
      <c r="O15" s="5053"/>
      <c r="P15" s="5053"/>
      <c r="Q15" s="5053"/>
      <c r="R15" s="5053"/>
      <c r="S15" s="5053"/>
      <c r="T15" s="5053"/>
      <c r="U15" s="5055"/>
      <c r="V15" s="5055"/>
      <c r="W15" s="5055"/>
      <c r="X15" s="5055"/>
      <c r="Y15" s="5055"/>
    </row>
    <row r="16">
      <c r="A16" s="5057"/>
      <c r="B16" s="5057"/>
      <c r="C16" s="5057"/>
      <c r="D16" s="5057"/>
      <c r="E16" s="5057"/>
      <c r="F16" s="5057"/>
      <c r="G16" s="5057"/>
      <c r="H16" s="5057"/>
      <c r="I16" s="5057"/>
      <c r="J16" s="5057"/>
      <c r="K16" s="5053"/>
      <c r="L16" s="5053"/>
      <c r="M16" s="5053"/>
      <c r="N16" s="5053"/>
      <c r="O16" s="5053"/>
      <c r="P16" s="5053"/>
      <c r="Q16" s="5053"/>
      <c r="R16" s="5053"/>
      <c r="S16" s="5053"/>
      <c r="T16" s="5053"/>
      <c r="U16" s="5055"/>
      <c r="V16" s="5055"/>
      <c r="W16" s="5055"/>
      <c r="X16" s="5055"/>
      <c r="Y16" s="5055"/>
    </row>
    <row r="17">
      <c r="A17" s="5083" t="s">
        <v>4876</v>
      </c>
      <c r="B17" s="5083"/>
      <c r="C17" s="5083"/>
      <c r="D17" s="5083"/>
      <c r="E17" s="5083"/>
      <c r="F17" s="5083"/>
      <c r="G17" s="5083"/>
      <c r="H17" s="5083"/>
      <c r="I17" s="5083"/>
      <c r="J17" s="5083"/>
      <c r="K17" s="5053"/>
      <c r="L17" s="5053"/>
      <c r="M17" s="5053"/>
      <c r="N17" s="5053"/>
      <c r="O17" s="5053"/>
      <c r="P17" s="5053"/>
      <c r="Q17" s="5053"/>
      <c r="R17" s="5053"/>
      <c r="S17" s="5053"/>
      <c r="T17" s="5053"/>
      <c r="U17" s="5055"/>
      <c r="V17" s="5055"/>
      <c r="W17" s="5055"/>
      <c r="X17" s="5055"/>
      <c r="Y17" s="5055"/>
    </row>
    <row r="18">
      <c r="A18" s="5084" t="s">
        <v>4861</v>
      </c>
      <c r="B18" s="5085" t="s">
        <v>4862</v>
      </c>
      <c r="C18" s="5085"/>
      <c r="D18" s="5086" t="s">
        <v>4863</v>
      </c>
      <c r="E18" s="5086" t="s">
        <v>4864</v>
      </c>
      <c r="F18" s="5086" t="s">
        <v>4865</v>
      </c>
      <c r="G18" s="5087" t="s">
        <v>4877</v>
      </c>
      <c r="H18" s="5086" t="s">
        <v>4867</v>
      </c>
      <c r="I18" s="5086" t="s">
        <v>4868</v>
      </c>
      <c r="J18" s="5086" t="s">
        <v>4869</v>
      </c>
      <c r="K18" s="5055"/>
      <c r="L18" s="5055"/>
      <c r="M18" s="5055"/>
      <c r="N18" s="5055"/>
      <c r="O18" s="5055"/>
      <c r="P18" s="5055"/>
      <c r="Q18" s="5055"/>
      <c r="R18" s="5055"/>
      <c r="S18" s="5055"/>
      <c r="T18" s="5055"/>
      <c r="U18" s="5055"/>
      <c r="V18" s="5055"/>
      <c r="W18" s="5055"/>
      <c r="X18" s="5055"/>
      <c r="Y18" s="5055"/>
    </row>
    <row customHeight="true" ht="18.452380952380953" r="19">
      <c r="A19" s="5079" t="s">
        <v>4878</v>
      </c>
      <c r="B19" s="5072">
        <v>46238</v>
      </c>
      <c r="C19" s="5079" t="str">
        <v>Tuesday</v>
      </c>
      <c r="D19" s="5064" t="s">
        <v>4879</v>
      </c>
      <c r="E19" s="5069">
        <f t="shared" ref="E19:E20" si="40">24*MOD(TIMEVALUE(TRIM(MID(D19,FIND("-",D19)+1,LEN(D19)))) - TIMEVALUE(TRIM(LEFT(D19,FIND("-",D19)-1))),1)</f>
      </c>
      <c r="F19" s="5069"/>
      <c r="G19" s="5088"/>
      <c r="H19" s="5089"/>
      <c r="I19" s="5069"/>
      <c r="J19" s="5068"/>
      <c r="K19" s="5055"/>
      <c r="L19" s="5055"/>
      <c r="M19" s="5055"/>
      <c r="N19" s="5055"/>
      <c r="O19" s="5055"/>
      <c r="P19" s="5055"/>
      <c r="Q19" s="5055"/>
      <c r="R19" s="5055"/>
      <c r="S19" s="5055"/>
      <c r="T19" s="5055"/>
      <c r="U19" s="5055"/>
      <c r="V19" s="5055"/>
      <c r="W19" s="5055"/>
      <c r="X19" s="5055"/>
      <c r="Y19" s="5055"/>
    </row>
    <row customHeight="true" ht="18.452380952380953" r="20">
      <c r="A20" s="5090" t="s">
        <v>4880</v>
      </c>
      <c r="B20" s="5091">
        <v>46238</v>
      </c>
      <c r="C20" s="5090" t="str">
        <v>Tuesday</v>
      </c>
      <c r="D20" s="5092" t="s">
        <v>4879</v>
      </c>
      <c r="E20" s="5093">
        <f t="shared" si="40"/>
      </c>
      <c r="F20" s="5093"/>
      <c r="G20" s="5094"/>
      <c r="H20" s="5093"/>
      <c r="I20" s="5093"/>
      <c r="J20" s="5093"/>
      <c r="K20" s="5055"/>
      <c r="L20" s="5055"/>
      <c r="M20" s="5055"/>
      <c r="N20" s="5055"/>
      <c r="O20" s="5055"/>
      <c r="P20" s="5055"/>
      <c r="Q20" s="5055"/>
      <c r="R20" s="5055"/>
      <c r="S20" s="5055"/>
      <c r="T20" s="5055"/>
      <c r="U20" s="5055"/>
      <c r="V20" s="5055"/>
      <c r="W20" s="5055"/>
      <c r="X20" s="5055"/>
      <c r="Y20" s="5055"/>
    </row>
    <row r="21">
      <c r="A21" s="5079"/>
      <c r="B21" s="5079"/>
      <c r="C21" s="5079"/>
      <c r="D21" s="5069"/>
      <c r="E21" s="5069"/>
      <c r="F21" s="5069"/>
      <c r="G21" s="5095"/>
      <c r="H21" s="5068"/>
      <c r="I21" s="5069"/>
      <c r="J21" s="5069"/>
      <c r="K21" s="5055"/>
      <c r="L21" s="5055"/>
      <c r="M21" s="5055"/>
      <c r="N21" s="5055"/>
      <c r="O21" s="5055"/>
      <c r="P21" s="5055"/>
      <c r="Q21" s="5055"/>
      <c r="R21" s="5055"/>
      <c r="S21" s="5055"/>
      <c r="T21" s="5055"/>
      <c r="U21" s="5055"/>
      <c r="V21" s="5055"/>
      <c r="W21" s="5055"/>
      <c r="X21" s="5055"/>
      <c r="Y21" s="5055"/>
    </row>
    <row r="22">
      <c r="A22" s="5079"/>
      <c r="B22" s="5079"/>
      <c r="C22" s="5079"/>
      <c r="D22" s="5069"/>
      <c r="E22" s="5069"/>
      <c r="F22" s="5069"/>
      <c r="G22" s="5095"/>
      <c r="H22" s="5069"/>
      <c r="I22" s="5069"/>
      <c r="J22" s="5069"/>
      <c r="K22" s="5055"/>
      <c r="L22" s="5055"/>
      <c r="M22" s="5055"/>
      <c r="N22" s="5055"/>
      <c r="O22" s="5055"/>
      <c r="P22" s="5055"/>
      <c r="Q22" s="5055"/>
      <c r="R22" s="5055"/>
      <c r="S22" s="5055"/>
      <c r="T22" s="5055"/>
      <c r="U22" s="5055"/>
      <c r="V22" s="5055"/>
      <c r="W22" s="5055"/>
      <c r="X22" s="5055"/>
      <c r="Y22" s="5055"/>
    </row>
    <row r="23">
      <c r="A23" s="5055"/>
      <c r="B23" s="5055"/>
      <c r="C23" s="5055"/>
      <c r="D23" s="5055"/>
      <c r="E23" s="5055"/>
      <c r="F23" s="5055"/>
      <c r="G23" s="5055"/>
      <c r="H23" s="5055"/>
      <c r="I23" s="5055"/>
      <c r="J23" s="5055"/>
      <c r="K23" s="5055"/>
      <c r="L23" s="5055"/>
      <c r="M23" s="5055"/>
      <c r="N23" s="5055"/>
      <c r="O23" s="5055"/>
      <c r="P23" s="5055"/>
      <c r="Q23" s="5055"/>
      <c r="R23" s="5055"/>
      <c r="S23" s="5055"/>
      <c r="T23" s="5055"/>
      <c r="U23" s="5055"/>
      <c r="V23" s="5055"/>
      <c r="W23" s="5055"/>
      <c r="X23" s="5055"/>
      <c r="Y23" s="5055"/>
    </row>
    <row r="24">
      <c r="A24" s="5055"/>
      <c r="B24" s="5055"/>
      <c r="C24" s="5055"/>
      <c r="D24" s="5055"/>
      <c r="E24" s="5055"/>
      <c r="F24" s="5055"/>
      <c r="G24" s="5055"/>
      <c r="H24" s="5055"/>
      <c r="I24" s="5055"/>
      <c r="J24" s="5055"/>
      <c r="K24" s="5055"/>
      <c r="L24" s="5055"/>
      <c r="M24" s="5055"/>
      <c r="N24" s="5055"/>
      <c r="O24" s="5055"/>
      <c r="P24" s="5055"/>
      <c r="Q24" s="5055"/>
      <c r="R24" s="5055"/>
      <c r="S24" s="5055"/>
      <c r="T24" s="5055"/>
      <c r="U24" s="5055"/>
      <c r="V24" s="5055"/>
      <c r="W24" s="5055"/>
      <c r="X24" s="5055"/>
      <c r="Y24" s="5055"/>
    </row>
    <row r="25">
      <c r="A25" s="5096" t="s">
        <v>4881</v>
      </c>
      <c r="B25" s="5096"/>
      <c r="C25" s="5096"/>
      <c r="D25" s="5096"/>
      <c r="E25" s="5096"/>
      <c r="F25" s="5096"/>
      <c r="G25" s="5097"/>
      <c r="H25" s="5097"/>
      <c r="I25" s="5097"/>
      <c r="J25" s="5097"/>
      <c r="K25" s="5098"/>
      <c r="L25" s="5098"/>
      <c r="M25" s="5098"/>
      <c r="N25" s="5098"/>
      <c r="O25" s="5053"/>
      <c r="P25" s="5053"/>
      <c r="Q25" s="5053"/>
      <c r="R25" s="5053"/>
      <c r="S25" s="5053"/>
      <c r="T25" s="5053"/>
      <c r="U25" s="5054"/>
      <c r="V25" s="5054"/>
      <c r="W25" s="5054"/>
      <c r="X25" s="5054"/>
      <c r="Y25" s="5054"/>
    </row>
    <row r="26">
      <c r="A26" s="5099" t="s">
        <v>4861</v>
      </c>
      <c r="B26" s="5100" t="s">
        <v>4862</v>
      </c>
      <c r="C26" s="5100"/>
      <c r="D26" s="5099" t="s">
        <v>4863</v>
      </c>
      <c r="E26" s="5099" t="s">
        <v>4864</v>
      </c>
      <c r="F26" s="5099" t="s">
        <v>4865</v>
      </c>
      <c r="G26" s="5101" t="s">
        <v>4877</v>
      </c>
      <c r="H26" s="5099" t="s">
        <v>4867</v>
      </c>
      <c r="I26" s="5099" t="s">
        <v>4868</v>
      </c>
      <c r="J26" s="5099" t="s">
        <v>4869</v>
      </c>
      <c r="K26" s="5098"/>
      <c r="L26" s="5098"/>
      <c r="M26" s="5098"/>
      <c r="N26" s="5098"/>
      <c r="O26" s="5053"/>
      <c r="P26" s="5053"/>
      <c r="Q26" s="5053"/>
      <c r="R26" s="5053"/>
      <c r="S26" s="5053"/>
      <c r="T26" s="5053"/>
      <c r="U26" s="5055"/>
      <c r="V26" s="5055"/>
      <c r="W26" s="5055"/>
      <c r="X26" s="5055"/>
      <c r="Y26" s="5055"/>
    </row>
    <row r="27">
      <c r="A27" s="5061" t="s">
        <v>4881</v>
      </c>
      <c r="B27" s="5062">
        <v>46238</v>
      </c>
      <c r="C27" s="5061" t="str">
        <v>Tuesday</v>
      </c>
      <c r="D27" s="5102" t="s">
        <v>4882</v>
      </c>
      <c r="E27" s="5103">
        <f t="shared" ref="E27:E32" si="41">24*MOD(TIMEVALUE(TRIM(MID(D27,FIND("-",D27)+1,LEN(D27)))) - TIMEVALUE(TRIM(LEFT(D27,FIND("-",D27)-1))),1)</f>
      </c>
      <c r="F27" s="5103" t="s">
        <v>4883</v>
      </c>
      <c r="G27" s="5104"/>
      <c r="H27" s="5103" t="s">
        <v>4859</v>
      </c>
      <c r="I27" s="5103" t="s">
        <v>4846</v>
      </c>
      <c r="J27" s="5103"/>
      <c r="K27" s="5098"/>
      <c r="L27" s="5098"/>
      <c r="M27" s="5098"/>
      <c r="N27" s="5098"/>
      <c r="O27" s="5053"/>
      <c r="P27" s="5053"/>
      <c r="Q27" s="5053"/>
      <c r="R27" s="5053"/>
      <c r="S27" s="5053"/>
      <c r="T27" s="5053"/>
      <c r="U27" s="5054"/>
      <c r="V27" s="5054"/>
      <c r="W27" s="5054"/>
      <c r="X27" s="5054"/>
      <c r="Y27" s="5054"/>
    </row>
    <row customHeight="true" ht="18.452380952380953" r="28">
      <c r="A28" s="5061" t="s">
        <v>4881</v>
      </c>
      <c r="B28" s="5062">
        <v>46239</v>
      </c>
      <c r="C28" s="5061" t="str">
        <v>Wednesday</v>
      </c>
      <c r="D28" s="5102" t="s">
        <v>4882</v>
      </c>
      <c r="E28" s="5103">
        <f t="shared" si="41"/>
      </c>
      <c r="F28" s="5105" t="s">
        <v>4884</v>
      </c>
      <c r="G28" s="5106"/>
      <c r="H28" s="5103" t="s">
        <v>4859</v>
      </c>
      <c r="I28" s="5103" t="s">
        <v>4846</v>
      </c>
      <c r="J28" s="5103"/>
      <c r="K28" s="5098"/>
      <c r="L28" s="5098"/>
      <c r="M28" s="5098"/>
      <c r="N28" s="5098"/>
      <c r="O28" s="5053"/>
      <c r="P28" s="5053"/>
      <c r="Q28" s="5053"/>
      <c r="R28" s="5053"/>
      <c r="S28" s="5053"/>
      <c r="T28" s="5053"/>
      <c r="U28" s="5054"/>
      <c r="V28" s="5054"/>
      <c r="W28" s="5054"/>
      <c r="X28" s="5054"/>
      <c r="Y28" s="5054"/>
    </row>
    <row r="29">
      <c r="A29" s="5061" t="s">
        <v>4881</v>
      </c>
      <c r="B29" s="5062">
        <v>46240</v>
      </c>
      <c r="C29" s="5061" t="str">
        <v>Thursday</v>
      </c>
      <c r="D29" s="5102" t="s">
        <v>4885</v>
      </c>
      <c r="E29" s="5103">
        <f t="shared" si="41"/>
      </c>
      <c r="F29" s="5103" t="s">
        <v>4883</v>
      </c>
      <c r="G29" s="5104" t="s">
        <v>4886</v>
      </c>
      <c r="H29" s="5103" t="s">
        <v>4859</v>
      </c>
      <c r="I29" s="5103" t="s">
        <v>4846</v>
      </c>
      <c r="J29" s="5103"/>
      <c r="K29" s="5098"/>
      <c r="L29" s="5098"/>
      <c r="M29" s="5098"/>
      <c r="N29" s="5098"/>
      <c r="O29" s="5053"/>
      <c r="P29" s="5053"/>
      <c r="Q29" s="5053"/>
      <c r="R29" s="5053"/>
      <c r="S29" s="5053"/>
      <c r="T29" s="5053"/>
      <c r="U29" s="5054"/>
      <c r="V29" s="5054"/>
      <c r="W29" s="5054"/>
      <c r="X29" s="5054"/>
      <c r="Y29" s="5054"/>
    </row>
    <row r="30">
      <c r="A30" s="5061" t="s">
        <v>4881</v>
      </c>
      <c r="B30" s="5062">
        <v>46241</v>
      </c>
      <c r="C30" s="5061" t="str">
        <v>Friday</v>
      </c>
      <c r="D30" s="5107" t="s">
        <v>4887</v>
      </c>
      <c r="E30" s="5103">
        <f t="shared" si="41"/>
      </c>
      <c r="F30" s="5103" t="s">
        <v>4883</v>
      </c>
      <c r="G30" s="5104"/>
      <c r="H30" s="5103" t="s">
        <v>4859</v>
      </c>
      <c r="I30" s="5103" t="s">
        <v>4846</v>
      </c>
      <c r="J30" s="5103"/>
      <c r="K30" s="5098"/>
      <c r="L30" s="5098"/>
      <c r="M30" s="5108" t="s">
        <v>4888</v>
      </c>
      <c r="N30" s="5098"/>
      <c r="O30" s="5053"/>
      <c r="P30" s="5053"/>
      <c r="Q30" s="5053"/>
      <c r="R30" s="5053"/>
      <c r="S30" s="5053"/>
      <c r="T30" s="5053"/>
      <c r="U30" s="5054"/>
      <c r="V30" s="5054"/>
      <c r="W30" s="5054"/>
      <c r="X30" s="5054"/>
      <c r="Y30" s="5054"/>
    </row>
    <row r="31">
      <c r="A31" s="5061" t="s">
        <v>4881</v>
      </c>
      <c r="B31" s="5062">
        <v>46242</v>
      </c>
      <c r="C31" s="5061" t="str">
        <v>Saturday</v>
      </c>
      <c r="D31" s="5102" t="s">
        <v>4889</v>
      </c>
      <c r="E31" s="5103">
        <f t="shared" si="41"/>
      </c>
      <c r="F31" s="5103" t="s">
        <v>4890</v>
      </c>
      <c r="G31" s="5104" t="s">
        <v>4891</v>
      </c>
      <c r="H31" s="5103" t="s">
        <v>4859</v>
      </c>
      <c r="I31" s="5103" t="s">
        <v>4846</v>
      </c>
      <c r="J31" s="5103"/>
      <c r="K31" s="5098"/>
      <c r="L31" s="5098"/>
      <c r="M31" s="5098"/>
      <c r="N31" s="5098"/>
      <c r="O31" s="5053"/>
      <c r="P31" s="5053"/>
      <c r="Q31" s="5053"/>
      <c r="R31" s="5053"/>
      <c r="S31" s="5053"/>
      <c r="T31" s="5053"/>
      <c r="U31" s="5054"/>
      <c r="V31" s="5054"/>
      <c r="W31" s="5054"/>
      <c r="X31" s="5054"/>
      <c r="Y31" s="5054"/>
    </row>
    <row r="32">
      <c r="A32" s="5061" t="s">
        <v>4881</v>
      </c>
      <c r="B32" s="5062">
        <v>46243</v>
      </c>
      <c r="C32" s="5061" t="str">
        <v>Sunday</v>
      </c>
      <c r="D32" s="5102" t="s">
        <v>4887</v>
      </c>
      <c r="E32" s="5103">
        <f t="shared" si="41"/>
      </c>
      <c r="F32" s="5103" t="s">
        <v>4892</v>
      </c>
      <c r="G32" s="5106"/>
      <c r="H32" s="5103" t="s">
        <v>4859</v>
      </c>
      <c r="I32" s="5109" t="s">
        <v>4846</v>
      </c>
      <c r="J32" s="5103"/>
      <c r="K32" s="5054"/>
      <c r="L32" s="5054"/>
      <c r="M32" s="5054"/>
      <c r="N32" s="5054"/>
      <c r="O32" s="5054"/>
      <c r="P32" s="5054"/>
      <c r="Q32" s="5054"/>
      <c r="R32" s="5054"/>
      <c r="S32" s="5054"/>
      <c r="T32" s="5054"/>
      <c r="U32" s="5054"/>
      <c r="V32" s="5054"/>
      <c r="W32" s="5054"/>
      <c r="X32" s="5054"/>
      <c r="Y32" s="5054"/>
    </row>
    <row customHeight="true" ht="14.880952380952381" r="33">
      <c r="A33" s="5055"/>
      <c r="B33" s="5055"/>
      <c r="C33" s="5055"/>
      <c r="D33" s="5055"/>
      <c r="E33" s="5055"/>
      <c r="F33" s="5055"/>
      <c r="G33" s="5055"/>
      <c r="H33" s="5055"/>
      <c r="I33" s="5055"/>
      <c r="J33" s="5055"/>
      <c r="K33" s="5055"/>
      <c r="L33" s="5055"/>
      <c r="M33" s="5055"/>
      <c r="N33" s="5055"/>
      <c r="O33" s="5055"/>
      <c r="P33" s="5055"/>
      <c r="Q33" s="5055"/>
      <c r="R33" s="5055"/>
      <c r="S33" s="5055"/>
      <c r="T33" s="5055"/>
      <c r="U33" s="5055"/>
      <c r="V33" s="5055"/>
      <c r="W33" s="5055"/>
      <c r="X33" s="5055"/>
      <c r="Y33" s="5055"/>
    </row>
    <row r="34">
      <c r="A34" s="5061" t="s">
        <v>4893</v>
      </c>
      <c r="B34" s="5062">
        <v>46238</v>
      </c>
      <c r="C34" s="5061" t="str">
        <v>Tuesday</v>
      </c>
      <c r="D34" s="5102" t="s">
        <v>4894</v>
      </c>
      <c r="E34" s="5103">
        <f t="shared" ref="E34:E39" si="42">24*MOD(TIMEVALUE(TRIM(MID(D34,FIND("-",D34)+1,LEN(D34)))) - TIMEVALUE(TRIM(LEFT(D34,FIND("-",D34)-1))),1)</f>
      </c>
      <c r="F34" s="5103" t="s">
        <v>4895</v>
      </c>
      <c r="G34" s="5104" t="s">
        <v>4896</v>
      </c>
      <c r="H34" s="5103" t="s">
        <v>4859</v>
      </c>
      <c r="I34" s="5103" t="s">
        <v>4846</v>
      </c>
      <c r="J34" s="5103"/>
      <c r="K34" s="5054"/>
      <c r="L34" s="5054"/>
      <c r="M34" s="5054"/>
      <c r="N34" s="5054"/>
      <c r="O34" s="5054"/>
      <c r="P34" s="5054"/>
      <c r="Q34" s="5054"/>
      <c r="R34" s="5054"/>
      <c r="S34" s="5054"/>
      <c r="T34" s="5054"/>
      <c r="U34" s="5054"/>
      <c r="V34" s="5054"/>
      <c r="W34" s="5054"/>
      <c r="X34" s="5054"/>
      <c r="Y34" s="5054"/>
    </row>
    <row r="35">
      <c r="A35" s="5061" t="s">
        <v>4893</v>
      </c>
      <c r="B35" s="5062">
        <v>46239</v>
      </c>
      <c r="C35" s="5061" t="str">
        <v>Wednesday</v>
      </c>
      <c r="D35" s="5102" t="s">
        <v>4897</v>
      </c>
      <c r="E35" s="5103">
        <f t="shared" si="42"/>
      </c>
      <c r="F35" s="5103" t="s">
        <v>4895</v>
      </c>
      <c r="G35" s="5104" t="s">
        <v>4896</v>
      </c>
      <c r="H35" s="5103" t="s">
        <v>4859</v>
      </c>
      <c r="I35" s="5103" t="s">
        <v>4846</v>
      </c>
      <c r="J35" s="5103"/>
      <c r="K35" s="5054"/>
      <c r="L35" s="5054"/>
      <c r="M35" s="5054"/>
      <c r="N35" s="5054"/>
      <c r="O35" s="5054"/>
      <c r="P35" s="5054"/>
      <c r="Q35" s="5054"/>
      <c r="R35" s="5054"/>
      <c r="S35" s="5054"/>
      <c r="T35" s="5054"/>
      <c r="U35" s="5054"/>
      <c r="V35" s="5054"/>
      <c r="W35" s="5054"/>
      <c r="X35" s="5054"/>
      <c r="Y35" s="5054"/>
    </row>
    <row r="36">
      <c r="A36" s="5061" t="s">
        <v>4893</v>
      </c>
      <c r="B36" s="5062">
        <v>46240</v>
      </c>
      <c r="C36" s="5061" t="str">
        <v>Thursday</v>
      </c>
      <c r="D36" s="5102" t="s">
        <v>4898</v>
      </c>
      <c r="E36" s="5103">
        <f t="shared" si="42"/>
      </c>
      <c r="F36" s="5103" t="s">
        <v>4895</v>
      </c>
      <c r="G36" s="5104" t="s">
        <v>4899</v>
      </c>
      <c r="H36" s="5103" t="s">
        <v>4859</v>
      </c>
      <c r="I36" s="5103" t="s">
        <v>4846</v>
      </c>
      <c r="J36" s="5103"/>
      <c r="K36" s="5054"/>
      <c r="L36" s="5054"/>
      <c r="M36" s="5054"/>
      <c r="N36" s="5054"/>
      <c r="O36" s="5054"/>
      <c r="P36" s="5054"/>
      <c r="Q36" s="5054"/>
      <c r="R36" s="5054"/>
      <c r="S36" s="5054"/>
      <c r="T36" s="5054"/>
      <c r="U36" s="5054"/>
      <c r="V36" s="5054"/>
      <c r="W36" s="5054"/>
      <c r="X36" s="5054"/>
      <c r="Y36" s="5054"/>
    </row>
    <row r="37">
      <c r="A37" s="5061" t="s">
        <v>4893</v>
      </c>
      <c r="B37" s="5062">
        <v>46241</v>
      </c>
      <c r="C37" s="5061" t="str">
        <v>Friday</v>
      </c>
      <c r="D37" s="5107" t="s">
        <v>4900</v>
      </c>
      <c r="E37" s="5103">
        <f t="shared" si="42"/>
      </c>
      <c r="F37" s="5103" t="s">
        <v>4895</v>
      </c>
      <c r="G37" s="5104" t="s">
        <v>4901</v>
      </c>
      <c r="H37" s="5103" t="s">
        <v>4859</v>
      </c>
      <c r="I37" s="5103" t="s">
        <v>4846</v>
      </c>
      <c r="J37" s="5103"/>
      <c r="K37" s="5054"/>
      <c r="L37" s="5054"/>
      <c r="M37" s="5054"/>
      <c r="N37" s="5054"/>
      <c r="O37" s="5054"/>
      <c r="P37" s="5054"/>
      <c r="Q37" s="5054"/>
      <c r="R37" s="5054"/>
      <c r="S37" s="5054"/>
      <c r="T37" s="5054"/>
      <c r="U37" s="5054"/>
      <c r="V37" s="5054"/>
      <c r="W37" s="5054"/>
      <c r="X37" s="5054"/>
      <c r="Y37" s="5054"/>
    </row>
    <row r="38">
      <c r="A38" s="5061" t="s">
        <v>4893</v>
      </c>
      <c r="B38" s="5062">
        <v>46242</v>
      </c>
      <c r="C38" s="5061" t="str">
        <v>Saturday</v>
      </c>
      <c r="D38" s="5102" t="s">
        <v>4902</v>
      </c>
      <c r="E38" s="5103">
        <f t="shared" si="42"/>
      </c>
      <c r="F38" s="5103" t="s">
        <v>4895</v>
      </c>
      <c r="G38" s="5104" t="s">
        <v>4903</v>
      </c>
      <c r="H38" s="5103" t="s">
        <v>4859</v>
      </c>
      <c r="I38" s="5103" t="s">
        <v>4846</v>
      </c>
      <c r="J38" s="5103"/>
      <c r="K38" s="5054"/>
      <c r="L38" s="5054"/>
      <c r="M38" s="5054"/>
      <c r="N38" s="5054"/>
      <c r="O38" s="5054"/>
      <c r="P38" s="5054"/>
      <c r="Q38" s="5054"/>
      <c r="R38" s="5054"/>
      <c r="S38" s="5054"/>
      <c r="T38" s="5054"/>
      <c r="U38" s="5054"/>
      <c r="V38" s="5054"/>
      <c r="W38" s="5054"/>
      <c r="X38" s="5054"/>
      <c r="Y38" s="5054"/>
    </row>
    <row r="39">
      <c r="A39" s="5061" t="s">
        <v>4893</v>
      </c>
      <c r="B39" s="5062">
        <v>46243</v>
      </c>
      <c r="C39" s="5061" t="str">
        <v>Sunday</v>
      </c>
      <c r="D39" s="5102" t="s">
        <v>4904</v>
      </c>
      <c r="E39" s="5103">
        <f t="shared" si="42"/>
      </c>
      <c r="F39" s="5103" t="s">
        <v>4895</v>
      </c>
      <c r="G39" s="5104" t="s">
        <v>4901</v>
      </c>
      <c r="H39" s="5103" t="s">
        <v>4859</v>
      </c>
      <c r="I39" s="5103" t="s">
        <v>4846</v>
      </c>
      <c r="J39" s="5103"/>
      <c r="K39" s="5054"/>
      <c r="L39" s="5054"/>
      <c r="M39" s="5054"/>
      <c r="N39" s="5054"/>
      <c r="O39" s="5054"/>
      <c r="P39" s="5054"/>
      <c r="Q39" s="5054"/>
      <c r="R39" s="5054"/>
      <c r="S39" s="5054"/>
      <c r="T39" s="5054"/>
      <c r="U39" s="5054"/>
      <c r="V39" s="5054"/>
      <c r="W39" s="5054"/>
      <c r="X39" s="5054"/>
      <c r="Y39" s="5054"/>
    </row>
    <row r="40">
      <c r="A40" s="5055"/>
      <c r="B40" s="5055"/>
      <c r="C40" s="5055"/>
      <c r="D40" s="5055"/>
      <c r="E40" s="5055"/>
      <c r="F40" s="5055"/>
      <c r="G40" s="5055"/>
      <c r="H40" s="5055"/>
      <c r="I40" s="5055"/>
      <c r="J40" s="5055"/>
      <c r="K40" s="5055"/>
      <c r="L40" s="5055"/>
      <c r="M40" s="5055"/>
      <c r="N40" s="5055"/>
      <c r="O40" s="5055"/>
      <c r="P40" s="5055"/>
      <c r="Q40" s="5055"/>
      <c r="R40" s="5055"/>
      <c r="S40" s="5055"/>
      <c r="T40" s="5055"/>
      <c r="U40" s="5055"/>
      <c r="V40" s="5055"/>
      <c r="W40" s="5055"/>
      <c r="X40" s="5055"/>
      <c r="Y40" s="5055"/>
    </row>
    <row r="41">
      <c r="A41" s="5110" t="s">
        <v>4905</v>
      </c>
      <c r="B41" s="5110"/>
      <c r="C41" s="5110"/>
      <c r="D41" s="5110"/>
      <c r="E41" s="5110"/>
      <c r="F41" s="5110"/>
      <c r="G41" s="5111"/>
      <c r="H41" s="5111"/>
      <c r="I41" s="5111"/>
      <c r="J41" s="5111"/>
      <c r="K41" s="5098"/>
      <c r="L41" s="5098"/>
      <c r="M41" s="5098"/>
      <c r="N41" s="5098"/>
      <c r="O41" s="5053"/>
      <c r="P41" s="5053"/>
      <c r="Q41" s="5053"/>
      <c r="R41" s="5053"/>
      <c r="S41" s="5053"/>
      <c r="T41" s="5053"/>
      <c r="U41" s="5054"/>
      <c r="V41" s="5054"/>
      <c r="W41" s="5054"/>
      <c r="X41" s="5054"/>
      <c r="Y41" s="5054"/>
    </row>
    <row r="42">
      <c r="A42" s="5112" t="s">
        <v>4861</v>
      </c>
      <c r="B42" s="5113" t="s">
        <v>4862</v>
      </c>
      <c r="C42" s="5113"/>
      <c r="D42" s="5112" t="s">
        <v>4863</v>
      </c>
      <c r="E42" s="5112" t="s">
        <v>4864</v>
      </c>
      <c r="F42" s="5112" t="s">
        <v>4865</v>
      </c>
      <c r="G42" s="5114" t="s">
        <v>4877</v>
      </c>
      <c r="H42" s="5112" t="s">
        <v>4867</v>
      </c>
      <c r="I42" s="5112" t="s">
        <v>4868</v>
      </c>
      <c r="J42" s="5112" t="s">
        <v>4869</v>
      </c>
      <c r="K42" s="5098"/>
      <c r="L42" s="5098"/>
      <c r="M42" s="5098"/>
      <c r="N42" s="5098"/>
      <c r="O42" s="5053"/>
      <c r="P42" s="5053"/>
      <c r="Q42" s="5053"/>
      <c r="R42" s="5053"/>
      <c r="S42" s="5053"/>
      <c r="T42" s="5053"/>
      <c r="U42" s="5055"/>
      <c r="V42" s="5055"/>
      <c r="W42" s="5055"/>
      <c r="X42" s="5055"/>
      <c r="Y42" s="5055"/>
    </row>
    <row customHeight="true" ht="18.452380952380953" r="43">
      <c r="A43" s="5061" t="s">
        <v>4906</v>
      </c>
      <c r="B43" s="5062">
        <v>46241</v>
      </c>
      <c r="C43" s="5061" t="str">
        <v>Friday</v>
      </c>
      <c r="D43" s="5102" t="s">
        <v>4907</v>
      </c>
      <c r="E43" s="5103">
        <f t="shared" ref="E43:E45" si="43">24*MOD(TIMEVALUE(TRIM(MID(D43,FIND("-",D43)+1,LEN(D43)))) - TIMEVALUE(TRIM(LEFT(D43,FIND("-",D43)-1))),1)</f>
      </c>
      <c r="F43" s="5105" t="s">
        <v>4908</v>
      </c>
      <c r="G43" s="5106"/>
      <c r="H43" s="5103" t="s">
        <v>4859</v>
      </c>
      <c r="I43" s="5103" t="s">
        <v>4846</v>
      </c>
      <c r="J43" s="5103"/>
      <c r="K43" s="5098"/>
      <c r="L43" s="5098"/>
      <c r="M43" s="5098"/>
      <c r="N43" s="5098"/>
      <c r="O43" s="5053"/>
      <c r="P43" s="5053"/>
      <c r="Q43" s="5053"/>
      <c r="R43" s="5053"/>
      <c r="S43" s="5053"/>
      <c r="T43" s="5053"/>
      <c r="U43" s="5054"/>
      <c r="V43" s="5054"/>
      <c r="W43" s="5054"/>
      <c r="X43" s="5054"/>
      <c r="Y43" s="5054"/>
    </row>
    <row customHeight="true" ht="18.452380952380953" r="44">
      <c r="A44" s="5061" t="s">
        <v>4906</v>
      </c>
      <c r="B44" s="5062">
        <v>46242</v>
      </c>
      <c r="C44" s="5061" t="str">
        <v>Saturday</v>
      </c>
      <c r="D44" s="5102" t="s">
        <v>4909</v>
      </c>
      <c r="E44" s="5103">
        <f t="shared" si="43"/>
      </c>
      <c r="F44" s="5103" t="s">
        <v>4910</v>
      </c>
      <c r="G44" s="5106"/>
      <c r="H44" s="5103" t="s">
        <v>4859</v>
      </c>
      <c r="I44" s="5103" t="s">
        <v>4846</v>
      </c>
      <c r="J44" s="5103"/>
      <c r="K44" s="5098"/>
      <c r="L44" s="5098"/>
      <c r="M44" s="5098"/>
      <c r="N44" s="5098"/>
      <c r="O44" s="5053"/>
      <c r="P44" s="5053"/>
      <c r="Q44" s="5053"/>
      <c r="R44" s="5053"/>
      <c r="S44" s="5053"/>
      <c r="T44" s="5053"/>
      <c r="U44" s="5054"/>
      <c r="V44" s="5054"/>
      <c r="W44" s="5054"/>
      <c r="X44" s="5054"/>
      <c r="Y44" s="5054"/>
    </row>
    <row customHeight="true" ht="18.452380952380953" r="45">
      <c r="A45" s="5115" t="s">
        <v>4906</v>
      </c>
      <c r="B45" s="5116">
        <v>46243</v>
      </c>
      <c r="C45" s="5115" t="str">
        <v>Sunday</v>
      </c>
      <c r="D45" s="5117" t="s">
        <v>4909</v>
      </c>
      <c r="E45" s="5118">
        <f t="shared" si="43"/>
      </c>
      <c r="F45" s="5118" t="s">
        <v>4911</v>
      </c>
      <c r="G45" s="5119"/>
      <c r="H45" s="5118" t="s">
        <v>4859</v>
      </c>
      <c r="I45" s="5118" t="s">
        <v>4846</v>
      </c>
      <c r="J45" s="5120" t="s">
        <v>4912</v>
      </c>
      <c r="K45" s="5098"/>
      <c r="L45" s="5098"/>
      <c r="M45" s="5098"/>
      <c r="N45" s="5098"/>
      <c r="O45" s="5053"/>
      <c r="P45" s="5053"/>
      <c r="Q45" s="5053"/>
      <c r="R45" s="5053"/>
      <c r="S45" s="5053"/>
      <c r="T45" s="5053"/>
      <c r="U45" s="5054"/>
      <c r="V45" s="5054"/>
      <c r="W45" s="5054"/>
      <c r="X45" s="5054"/>
      <c r="Y45" s="5054"/>
    </row>
    <row customHeight="true" ht="14.880952380952381" r="46">
      <c r="A46" s="5121"/>
      <c r="B46" s="5121"/>
      <c r="C46" s="5121"/>
      <c r="D46" s="5121"/>
      <c r="E46" s="5121"/>
      <c r="F46" s="5121"/>
      <c r="G46" s="5121"/>
      <c r="H46" s="5121"/>
      <c r="I46" s="5121"/>
      <c r="J46" s="5121"/>
    </row>
    <row r="47">
      <c r="A47" s="5061" t="s">
        <v>4905</v>
      </c>
      <c r="B47" s="5062">
        <v>46239</v>
      </c>
      <c r="C47" s="5061" t="str">
        <v>Wednesday</v>
      </c>
      <c r="D47" s="5102" t="s">
        <v>4913</v>
      </c>
      <c r="E47" s="5103">
        <f t="shared" ref="E47:E51" si="44">24*MOD(TIMEVALUE(TRIM(MID(D47,FIND("-",D47)+1,LEN(D47)))) - TIMEVALUE(TRIM(LEFT(D47,FIND("-",D47)-1))),1)</f>
      </c>
      <c r="F47" s="5103" t="s">
        <v>4914</v>
      </c>
      <c r="G47" s="5104" t="s">
        <v>4915</v>
      </c>
      <c r="H47" s="5103" t="s">
        <v>4859</v>
      </c>
      <c r="I47" s="5103" t="s">
        <v>4846</v>
      </c>
      <c r="J47" s="5103"/>
      <c r="K47" s="5098"/>
      <c r="L47" s="5098"/>
      <c r="M47" s="5098"/>
      <c r="N47" s="5098"/>
      <c r="O47" s="5053"/>
      <c r="P47" s="5053"/>
      <c r="Q47" s="5053"/>
      <c r="R47" s="5053"/>
      <c r="S47" s="5053"/>
      <c r="T47" s="5053"/>
      <c r="U47" s="5054"/>
      <c r="V47" s="5054"/>
      <c r="W47" s="5054"/>
      <c r="X47" s="5054"/>
      <c r="Y47" s="5054"/>
    </row>
    <row r="48">
      <c r="A48" s="5061" t="s">
        <v>4905</v>
      </c>
      <c r="B48" s="5062">
        <v>46240</v>
      </c>
      <c r="C48" s="5061" t="str">
        <v>Thursday</v>
      </c>
      <c r="D48" s="5102" t="s">
        <v>4916</v>
      </c>
      <c r="E48" s="5103">
        <f t="shared" si="44"/>
      </c>
      <c r="F48" s="5103" t="s">
        <v>4890</v>
      </c>
      <c r="G48" s="5104" t="s">
        <v>4917</v>
      </c>
      <c r="H48" s="5103" t="s">
        <v>4859</v>
      </c>
      <c r="I48" s="5103" t="s">
        <v>4846</v>
      </c>
      <c r="J48" s="5103"/>
      <c r="K48" s="5098"/>
      <c r="L48" s="5098"/>
      <c r="M48" s="5098"/>
      <c r="N48" s="5098"/>
      <c r="O48" s="5053"/>
      <c r="P48" s="5053"/>
      <c r="Q48" s="5053"/>
      <c r="R48" s="5053"/>
      <c r="S48" s="5053"/>
      <c r="T48" s="5053"/>
      <c r="U48" s="5054"/>
      <c r="V48" s="5054"/>
      <c r="W48" s="5054"/>
      <c r="X48" s="5054"/>
      <c r="Y48" s="5054"/>
    </row>
    <row r="49">
      <c r="A49" s="5061" t="s">
        <v>4905</v>
      </c>
      <c r="B49" s="5062">
        <v>46241</v>
      </c>
      <c r="C49" s="5061" t="str">
        <v>Friday</v>
      </c>
      <c r="D49" s="5102" t="s">
        <v>4916</v>
      </c>
      <c r="E49" s="5103">
        <f t="shared" si="44"/>
      </c>
      <c r="F49" s="5103" t="s">
        <v>4890</v>
      </c>
      <c r="G49" s="5104" t="s">
        <v>4915</v>
      </c>
      <c r="H49" s="5103" t="s">
        <v>4859</v>
      </c>
      <c r="I49" s="5103" t="s">
        <v>4846</v>
      </c>
      <c r="J49" s="5103"/>
      <c r="K49" s="5054"/>
      <c r="L49" s="5054"/>
      <c r="M49" s="5054"/>
      <c r="N49" s="5054"/>
      <c r="O49" s="5054"/>
      <c r="P49" s="5054"/>
      <c r="Q49" s="5054"/>
      <c r="R49" s="5054"/>
      <c r="S49" s="5054"/>
      <c r="T49" s="5054"/>
      <c r="U49" s="5054"/>
      <c r="V49" s="5054"/>
      <c r="W49" s="5054"/>
      <c r="X49" s="5054"/>
      <c r="Y49" s="5054"/>
    </row>
    <row customHeight="true" ht="18.452380952380953" r="50">
      <c r="A50" s="5061" t="s">
        <v>4905</v>
      </c>
      <c r="B50" s="5062">
        <v>46242</v>
      </c>
      <c r="C50" s="5061" t="str">
        <v>Saturday</v>
      </c>
      <c r="D50" s="5102" t="s">
        <v>4918</v>
      </c>
      <c r="E50" s="5103">
        <f t="shared" si="44"/>
      </c>
      <c r="F50" s="5105" t="s">
        <v>4910</v>
      </c>
      <c r="G50" s="5104" t="s">
        <v>4915</v>
      </c>
      <c r="H50" s="5103" t="s">
        <v>4859</v>
      </c>
      <c r="I50" s="5103" t="s">
        <v>4846</v>
      </c>
      <c r="J50" s="5103"/>
      <c r="K50" s="5054"/>
      <c r="L50" s="5054"/>
      <c r="M50" s="5054"/>
      <c r="N50" s="5054"/>
      <c r="O50" s="5054"/>
      <c r="P50" s="5054"/>
      <c r="Q50" s="5054"/>
      <c r="R50" s="5054"/>
      <c r="S50" s="5054"/>
      <c r="T50" s="5054"/>
      <c r="U50" s="5054"/>
      <c r="V50" s="5054"/>
      <c r="W50" s="5054"/>
      <c r="X50" s="5054"/>
      <c r="Y50" s="5054"/>
    </row>
    <row customHeight="true" ht="18.452380952380953" r="51">
      <c r="A51" s="5115" t="s">
        <v>4905</v>
      </c>
      <c r="B51" s="5116">
        <v>46243</v>
      </c>
      <c r="C51" s="5115" t="str">
        <v>Sunday</v>
      </c>
      <c r="D51" s="5117" t="s">
        <v>4918</v>
      </c>
      <c r="E51" s="5118">
        <f t="shared" si="44"/>
      </c>
      <c r="F51" s="5118" t="s">
        <v>4911</v>
      </c>
      <c r="G51" s="5122" t="s">
        <v>4915</v>
      </c>
      <c r="H51" s="5118" t="s">
        <v>4859</v>
      </c>
      <c r="I51" s="5118" t="s">
        <v>4846</v>
      </c>
      <c r="J51" s="5120" t="s">
        <v>4912</v>
      </c>
      <c r="K51" s="5054"/>
      <c r="L51" s="5054"/>
      <c r="M51" s="5054"/>
      <c r="N51" s="5054"/>
      <c r="O51" s="5054"/>
      <c r="P51" s="5054"/>
      <c r="Q51" s="5054"/>
      <c r="R51" s="5054"/>
      <c r="S51" s="5054"/>
      <c r="T51" s="5054"/>
      <c r="U51" s="5054"/>
      <c r="V51" s="5054"/>
      <c r="W51" s="5054"/>
      <c r="X51" s="5054"/>
      <c r="Y51" s="5054"/>
    </row>
    <row customHeight="true" ht="16.071428571428573" r="52">
      <c r="A52" s="5055"/>
      <c r="B52" s="5055"/>
      <c r="C52" s="5055"/>
      <c r="D52" s="5055"/>
      <c r="E52" s="5055"/>
      <c r="F52" s="5055"/>
      <c r="G52" s="5055"/>
      <c r="H52" s="5055"/>
      <c r="I52" s="5055"/>
      <c r="J52" s="5055"/>
      <c r="K52" s="5055"/>
      <c r="L52" s="5055"/>
      <c r="M52" s="5055"/>
      <c r="N52" s="5055"/>
      <c r="O52" s="5055"/>
      <c r="P52" s="5055"/>
      <c r="Q52" s="5055"/>
      <c r="R52" s="5055"/>
      <c r="S52" s="5055"/>
      <c r="T52" s="5055"/>
      <c r="U52" s="5055"/>
      <c r="V52" s="5055"/>
      <c r="W52" s="5055"/>
      <c r="X52" s="5055"/>
      <c r="Y52" s="5055"/>
    </row>
    <row r="53">
      <c r="A53" s="5123" t="s">
        <v>4919</v>
      </c>
      <c r="B53" s="5123" t="s">
        <v>4920</v>
      </c>
      <c r="C53" s="5124"/>
      <c r="D53" s="5124"/>
      <c r="E53" s="5124"/>
      <c r="F53" s="5124"/>
      <c r="G53" s="5124"/>
      <c r="H53" s="5124"/>
      <c r="I53" s="5124"/>
      <c r="J53" s="5124"/>
      <c r="K53" s="5053"/>
      <c r="L53" s="5053"/>
      <c r="M53" s="5053"/>
      <c r="N53" s="5053"/>
      <c r="O53" s="5053"/>
      <c r="P53" s="5053"/>
      <c r="Q53" s="5053"/>
      <c r="R53" s="5053"/>
      <c r="S53" s="5053"/>
      <c r="T53" s="5053"/>
      <c r="U53" s="5055"/>
      <c r="V53" s="5055"/>
      <c r="W53" s="5055"/>
      <c r="X53" s="5055"/>
      <c r="Y53" s="5055"/>
    </row>
    <row r="54">
      <c r="A54" s="5125" t="s">
        <v>4861</v>
      </c>
      <c r="B54" s="5126" t="s">
        <v>4862</v>
      </c>
      <c r="C54" s="5126"/>
      <c r="D54" s="5127" t="s">
        <v>4863</v>
      </c>
      <c r="E54" s="5127" t="s">
        <v>4864</v>
      </c>
      <c r="F54" s="5127" t="s">
        <v>4865</v>
      </c>
      <c r="G54" s="5128" t="s">
        <v>4877</v>
      </c>
      <c r="H54" s="5127" t="s">
        <v>4867</v>
      </c>
      <c r="I54" s="5127" t="s">
        <v>4868</v>
      </c>
      <c r="J54" s="5127" t="s">
        <v>4869</v>
      </c>
      <c r="K54" s="5053"/>
      <c r="L54" s="5053"/>
      <c r="M54" s="5053"/>
      <c r="N54" s="5053"/>
      <c r="O54" s="5053"/>
      <c r="P54" s="5053"/>
      <c r="Q54" s="5053"/>
      <c r="R54" s="5053"/>
      <c r="S54" s="5053"/>
      <c r="T54" s="5053"/>
      <c r="U54" s="5055"/>
      <c r="V54" s="5055"/>
      <c r="W54" s="5055"/>
      <c r="X54" s="5055"/>
      <c r="Y54" s="5055"/>
    </row>
    <row customHeight="true" ht="18.452380952380953" r="55">
      <c r="A55" s="5129" t="s">
        <v>4919</v>
      </c>
      <c r="B55" s="5072">
        <v>46237</v>
      </c>
      <c r="C55" s="5079" t="str">
        <v>Monday</v>
      </c>
      <c r="D55" s="5130" t="s">
        <v>4921</v>
      </c>
      <c r="E55" s="5069">
        <f t="shared" ref="E55:E77" si="45">24*MOD(TIMEVALUE(TRIM(MID(D55,FIND("-",D55)+1,LEN(D55)))) - TIMEVALUE(TRIM(LEFT(D55,FIND("-",D55)-1))),1)</f>
      </c>
      <c r="F55" s="5068" t="s">
        <v>4922</v>
      </c>
      <c r="G55" s="5131"/>
      <c r="H55" s="5068" t="s">
        <v>4859</v>
      </c>
      <c r="I55" s="5069" t="s">
        <v>4875</v>
      </c>
      <c r="J55" s="5132"/>
      <c r="K55" s="5053"/>
      <c r="L55" s="5053"/>
      <c r="M55" s="5053"/>
      <c r="N55" s="5053"/>
      <c r="O55" s="5053"/>
      <c r="P55" s="5053"/>
      <c r="Q55" s="5053"/>
      <c r="R55" s="5053"/>
      <c r="S55" s="5053"/>
      <c r="T55" s="5053"/>
      <c r="U55" s="5055"/>
      <c r="V55" s="5055"/>
      <c r="W55" s="5055"/>
      <c r="X55" s="5055"/>
      <c r="Y55" s="5055"/>
    </row>
    <row customHeight="true" ht="18.452380952380953" r="56">
      <c r="A56" s="5129" t="s">
        <v>4923</v>
      </c>
      <c r="B56" s="5072">
        <v>46237</v>
      </c>
      <c r="C56" s="5079" t="str">
        <v>Monday</v>
      </c>
      <c r="D56" s="5130" t="s">
        <v>4924</v>
      </c>
      <c r="E56" s="5069">
        <f t="shared" si="45"/>
      </c>
      <c r="F56" s="5068" t="s">
        <v>4925</v>
      </c>
      <c r="G56" s="5131"/>
      <c r="H56" s="5068" t="s">
        <v>4859</v>
      </c>
      <c r="I56" s="5069" t="s">
        <v>4875</v>
      </c>
      <c r="J56" s="5132"/>
      <c r="K56" s="5053"/>
      <c r="L56" s="5053"/>
      <c r="M56" s="5053"/>
      <c r="N56" s="5053"/>
      <c r="O56" s="5053"/>
      <c r="P56" s="5053"/>
      <c r="Q56" s="5053"/>
      <c r="R56" s="5053"/>
      <c r="S56" s="5053"/>
      <c r="T56" s="5053"/>
      <c r="U56" s="5055"/>
      <c r="V56" s="5055"/>
      <c r="W56" s="5055"/>
      <c r="X56" s="5055"/>
      <c r="Y56" s="5055"/>
    </row>
    <row customHeight="true" ht="18.452380952380953" r="57">
      <c r="A57" s="5129" t="s">
        <v>4923</v>
      </c>
      <c r="B57" s="5072">
        <v>46237</v>
      </c>
      <c r="C57" s="5079" t="str">
        <v>Monday</v>
      </c>
      <c r="D57" s="5130" t="s">
        <v>4924</v>
      </c>
      <c r="E57" s="5069">
        <f t="shared" si="45"/>
      </c>
      <c r="F57" s="5068" t="s">
        <v>4926</v>
      </c>
      <c r="G57" s="5131"/>
      <c r="H57" s="5068" t="s">
        <v>4859</v>
      </c>
      <c r="I57" s="5069" t="s">
        <v>4875</v>
      </c>
      <c r="J57" s="5132"/>
      <c r="K57" s="5053"/>
      <c r="L57" s="5053"/>
      <c r="M57" s="5053"/>
      <c r="N57" s="5053"/>
      <c r="O57" s="5053"/>
      <c r="P57" s="5053"/>
      <c r="Q57" s="5053"/>
      <c r="R57" s="5053"/>
      <c r="S57" s="5053"/>
      <c r="T57" s="5053"/>
      <c r="U57" s="5055"/>
      <c r="V57" s="5055"/>
      <c r="W57" s="5055"/>
      <c r="X57" s="5055"/>
      <c r="Y57" s="5055"/>
    </row>
    <row r="58">
      <c r="A58" s="5129" t="s">
        <v>4919</v>
      </c>
      <c r="B58" s="5072">
        <v>46238</v>
      </c>
      <c r="C58" s="5079" t="str">
        <v>Tuesday</v>
      </c>
      <c r="D58" s="5130" t="s">
        <v>4927</v>
      </c>
      <c r="E58" s="5069">
        <f t="shared" si="45"/>
      </c>
      <c r="F58" s="5068" t="s">
        <v>4925</v>
      </c>
      <c r="G58" s="5131"/>
      <c r="H58" s="5068" t="s">
        <v>4859</v>
      </c>
      <c r="I58" s="5069" t="s">
        <v>4875</v>
      </c>
      <c r="J58" s="5132"/>
      <c r="K58" s="5053"/>
      <c r="L58" s="5053"/>
      <c r="M58" s="5053"/>
      <c r="N58" s="5053"/>
      <c r="O58" s="5053"/>
      <c r="P58" s="5053"/>
      <c r="Q58" s="5053"/>
      <c r="R58" s="5053"/>
      <c r="S58" s="5053"/>
      <c r="T58" s="5053"/>
      <c r="U58" s="5055"/>
      <c r="V58" s="5055"/>
      <c r="W58" s="5055"/>
      <c r="X58" s="5055"/>
      <c r="Y58" s="5055"/>
    </row>
    <row r="59">
      <c r="A59" s="5133" t="s">
        <v>4919</v>
      </c>
      <c r="B59" s="5072">
        <v>46239</v>
      </c>
      <c r="C59" s="5079" t="str">
        <v>Wednesday</v>
      </c>
      <c r="D59" s="5130" t="s">
        <v>4928</v>
      </c>
      <c r="E59" s="5069">
        <f t="shared" si="45"/>
      </c>
      <c r="F59" s="5068" t="s">
        <v>4926</v>
      </c>
      <c r="G59" s="5134"/>
      <c r="H59" s="5068" t="s">
        <v>4859</v>
      </c>
      <c r="I59" s="5069" t="s">
        <v>4846</v>
      </c>
      <c r="J59" s="5135"/>
      <c r="K59" s="5053"/>
      <c r="L59" s="5053"/>
      <c r="M59" s="5053"/>
      <c r="N59" s="5053"/>
      <c r="O59" s="5053"/>
      <c r="P59" s="5053"/>
      <c r="Q59" s="5053"/>
      <c r="R59" s="5053"/>
      <c r="S59" s="5053"/>
      <c r="T59" s="5053"/>
      <c r="U59" s="5055"/>
      <c r="V59" s="5055"/>
      <c r="W59" s="5055"/>
      <c r="X59" s="5055"/>
      <c r="Y59" s="5055"/>
    </row>
    <row r="60">
      <c r="A60" s="5133" t="s">
        <v>4919</v>
      </c>
      <c r="B60" s="5072">
        <v>46240</v>
      </c>
      <c r="C60" s="5079" t="str">
        <v>Thursday</v>
      </c>
      <c r="D60" s="5130" t="s">
        <v>4928</v>
      </c>
      <c r="E60" s="5069">
        <f t="shared" si="45"/>
      </c>
      <c r="F60" s="5068" t="s">
        <v>4922</v>
      </c>
      <c r="G60" s="5134"/>
      <c r="H60" s="5068" t="s">
        <v>4859</v>
      </c>
      <c r="I60" s="5069" t="s">
        <v>4846</v>
      </c>
      <c r="J60" s="5135"/>
      <c r="K60" s="5053"/>
      <c r="L60" s="5053"/>
      <c r="M60" s="5053"/>
      <c r="N60" s="5053"/>
      <c r="O60" s="5053"/>
      <c r="P60" s="5053"/>
      <c r="Q60" s="5053"/>
      <c r="R60" s="5053"/>
      <c r="S60" s="5053"/>
      <c r="T60" s="5053"/>
      <c r="U60" s="5055"/>
      <c r="V60" s="5055"/>
      <c r="W60" s="5055"/>
      <c r="X60" s="5055"/>
      <c r="Y60" s="5055"/>
    </row>
    <row r="61">
      <c r="A61" s="5133" t="s">
        <v>4919</v>
      </c>
      <c r="B61" s="5072">
        <v>46241</v>
      </c>
      <c r="C61" s="5079" t="str">
        <v>Friday</v>
      </c>
      <c r="D61" s="5130" t="s">
        <v>4929</v>
      </c>
      <c r="E61" s="5069">
        <f t="shared" si="45"/>
      </c>
      <c r="F61" s="5068" t="s">
        <v>4922</v>
      </c>
      <c r="G61" s="5134"/>
      <c r="H61" s="5068" t="s">
        <v>4859</v>
      </c>
      <c r="I61" s="5069" t="s">
        <v>4846</v>
      </c>
      <c r="J61" s="5135"/>
      <c r="K61" s="5053"/>
      <c r="L61" s="5053"/>
      <c r="M61" s="5053"/>
      <c r="N61" s="5053"/>
      <c r="O61" s="5053"/>
      <c r="P61" s="5053"/>
      <c r="Q61" s="5053"/>
      <c r="R61" s="5053"/>
      <c r="S61" s="5053"/>
      <c r="T61" s="5053"/>
      <c r="U61" s="5055"/>
      <c r="V61" s="5055"/>
      <c r="W61" s="5055"/>
      <c r="X61" s="5055"/>
      <c r="Y61" s="5055"/>
    </row>
    <row r="62">
      <c r="A62" s="5129" t="s">
        <v>4919</v>
      </c>
      <c r="B62" s="5072">
        <v>46242</v>
      </c>
      <c r="C62" s="5079" t="str">
        <v>Saturday</v>
      </c>
      <c r="D62" s="5130" t="s">
        <v>4930</v>
      </c>
      <c r="E62" s="5069">
        <f t="shared" si="45"/>
      </c>
      <c r="F62" s="5068" t="s">
        <v>4925</v>
      </c>
      <c r="G62" s="5134"/>
      <c r="H62" s="5068" t="s">
        <v>4859</v>
      </c>
      <c r="I62" s="5069" t="s">
        <v>4846</v>
      </c>
      <c r="J62" s="5132"/>
      <c r="K62" s="5053"/>
      <c r="L62" s="5053"/>
      <c r="M62" s="5053"/>
      <c r="N62" s="5053"/>
      <c r="O62" s="5053"/>
      <c r="P62" s="5053"/>
      <c r="Q62" s="5053"/>
      <c r="R62" s="5053"/>
      <c r="S62" s="5053"/>
      <c r="T62" s="5053"/>
      <c r="U62" s="5055"/>
      <c r="V62" s="5055"/>
      <c r="W62" s="5055"/>
      <c r="X62" s="5055"/>
      <c r="Y62" s="5055"/>
    </row>
    <row r="63">
      <c r="A63" s="5129" t="s">
        <v>4919</v>
      </c>
      <c r="B63" s="5072">
        <v>46243</v>
      </c>
      <c r="C63" s="5079" t="str">
        <v>Sunday</v>
      </c>
      <c r="D63" s="5130" t="s">
        <v>4928</v>
      </c>
      <c r="E63" s="5069">
        <f t="shared" si="45"/>
      </c>
      <c r="F63" s="5068" t="s">
        <v>4922</v>
      </c>
      <c r="G63" s="5131"/>
      <c r="H63" s="5068" t="s">
        <v>4859</v>
      </c>
      <c r="I63" s="5069" t="s">
        <v>4875</v>
      </c>
      <c r="J63" s="5132"/>
      <c r="K63" s="5053"/>
      <c r="L63" s="5053"/>
      <c r="M63" s="5053"/>
      <c r="N63" s="5053"/>
      <c r="O63" s="5053"/>
      <c r="P63" s="5053"/>
      <c r="Q63" s="5053"/>
      <c r="R63" s="5053"/>
      <c r="S63" s="5053"/>
      <c r="T63" s="5053"/>
      <c r="U63" s="5055"/>
      <c r="V63" s="5055"/>
      <c r="W63" s="5055"/>
      <c r="X63" s="5055"/>
      <c r="Y63" s="5055"/>
    </row>
    <row r="64">
      <c r="A64" s="5129" t="s">
        <v>4931</v>
      </c>
      <c r="B64" s="5072">
        <v>46237</v>
      </c>
      <c r="C64" s="5079" t="str">
        <v>Monday</v>
      </c>
      <c r="D64" s="5130" t="s">
        <v>4932</v>
      </c>
      <c r="E64" s="5069">
        <f t="shared" si="45"/>
      </c>
      <c r="F64" s="5068" t="s">
        <v>4933</v>
      </c>
      <c r="G64" s="5136"/>
      <c r="H64" s="5068" t="s">
        <v>4859</v>
      </c>
      <c r="I64" s="5069" t="s">
        <v>4875</v>
      </c>
      <c r="J64" s="5132"/>
      <c r="K64" s="5053"/>
      <c r="L64" s="5053"/>
      <c r="M64" s="5053"/>
      <c r="N64" s="5053"/>
      <c r="O64" s="5053"/>
      <c r="P64" s="5053"/>
      <c r="Q64" s="5053"/>
      <c r="R64" s="5053"/>
      <c r="S64" s="5053"/>
      <c r="T64" s="5053"/>
      <c r="U64" s="5055"/>
      <c r="V64" s="5055"/>
      <c r="W64" s="5055"/>
      <c r="X64" s="5055"/>
      <c r="Y64" s="5055"/>
    </row>
    <row customHeight="true" ht="18.452380952380953" r="65">
      <c r="A65" s="5129" t="s">
        <v>4923</v>
      </c>
      <c r="B65" s="5079">
        <v>46237</v>
      </c>
      <c r="C65" s="5079" t="str">
        <v>Monday</v>
      </c>
      <c r="D65" s="5130" t="s">
        <v>4934</v>
      </c>
      <c r="E65" s="5069">
        <f t="shared" si="45"/>
      </c>
      <c r="F65" s="5068" t="s">
        <v>4933</v>
      </c>
      <c r="G65" s="5136"/>
      <c r="H65" s="5068" t="s">
        <v>4859</v>
      </c>
      <c r="I65" s="5069" t="s">
        <v>4875</v>
      </c>
      <c r="J65" s="5132"/>
      <c r="K65" s="5053"/>
      <c r="L65" s="5053"/>
      <c r="M65" s="5053"/>
      <c r="N65" s="5053"/>
      <c r="O65" s="5053"/>
      <c r="P65" s="5053"/>
      <c r="Q65" s="5053"/>
      <c r="R65" s="5053"/>
      <c r="S65" s="5053"/>
      <c r="T65" s="5053"/>
      <c r="U65" s="5055"/>
      <c r="V65" s="5055"/>
      <c r="W65" s="5055"/>
      <c r="X65" s="5055"/>
      <c r="Y65" s="5055"/>
    </row>
    <row customHeight="true" ht="18.452380952380953" r="66">
      <c r="A66" s="5129" t="s">
        <v>4923</v>
      </c>
      <c r="B66" s="5079">
        <v>46237</v>
      </c>
      <c r="C66" s="5079" t="str">
        <v>Monday</v>
      </c>
      <c r="D66" s="5130" t="s">
        <v>4871</v>
      </c>
      <c r="E66" s="5069">
        <f t="shared" si="45"/>
      </c>
      <c r="F66" s="5068" t="s">
        <v>4935</v>
      </c>
      <c r="G66" s="5136"/>
      <c r="H66" s="5068" t="s">
        <v>4859</v>
      </c>
      <c r="I66" s="5069" t="s">
        <v>4875</v>
      </c>
      <c r="J66" s="5132"/>
      <c r="K66" s="5053"/>
      <c r="L66" s="5053"/>
      <c r="M66" s="5053"/>
      <c r="N66" s="5053"/>
      <c r="O66" s="5053"/>
      <c r="P66" s="5053"/>
      <c r="Q66" s="5053"/>
      <c r="R66" s="5053"/>
      <c r="S66" s="5053"/>
      <c r="T66" s="5053"/>
      <c r="U66" s="5055"/>
      <c r="V66" s="5055"/>
      <c r="W66" s="5055"/>
      <c r="X66" s="5055"/>
      <c r="Y66" s="5055"/>
    </row>
    <row customHeight="true" ht="18.452380952380953" r="67">
      <c r="A67" s="5129" t="s">
        <v>4923</v>
      </c>
      <c r="B67" s="5079">
        <v>46238</v>
      </c>
      <c r="C67" s="5079" t="str">
        <v>Tuesday</v>
      </c>
      <c r="D67" s="5130" t="s">
        <v>4927</v>
      </c>
      <c r="E67" s="5069">
        <f t="shared" si="45"/>
      </c>
      <c r="F67" s="5068" t="s">
        <v>4933</v>
      </c>
      <c r="G67" s="5136"/>
      <c r="H67" s="5068" t="s">
        <v>4859</v>
      </c>
      <c r="I67" s="5069" t="s">
        <v>4875</v>
      </c>
      <c r="J67" s="5132"/>
      <c r="K67" s="5053"/>
      <c r="L67" s="5053"/>
      <c r="M67" s="5053"/>
      <c r="N67" s="5053"/>
      <c r="O67" s="5053"/>
      <c r="P67" s="5053"/>
      <c r="Q67" s="5053"/>
      <c r="R67" s="5053"/>
      <c r="S67" s="5053"/>
      <c r="T67" s="5053"/>
      <c r="U67" s="5055"/>
      <c r="V67" s="5055"/>
      <c r="W67" s="5055"/>
      <c r="X67" s="5055"/>
      <c r="Y67" s="5055"/>
    </row>
    <row customHeight="true" ht="18.452380952380953" r="68">
      <c r="A68" s="5129" t="s">
        <v>4931</v>
      </c>
      <c r="B68" s="5079">
        <v>46238</v>
      </c>
      <c r="C68" s="5079" t="str">
        <v>Tuesday</v>
      </c>
      <c r="D68" s="5130" t="s">
        <v>4936</v>
      </c>
      <c r="E68" s="5069">
        <f t="shared" si="45"/>
      </c>
      <c r="F68" s="5068" t="s">
        <v>4937</v>
      </c>
      <c r="G68" s="5136"/>
      <c r="H68" s="5068" t="s">
        <v>4859</v>
      </c>
      <c r="I68" s="5069" t="s">
        <v>4875</v>
      </c>
      <c r="J68" s="5132"/>
      <c r="K68" s="5053"/>
      <c r="L68" s="5053"/>
      <c r="M68" s="5053"/>
      <c r="N68" s="5053"/>
      <c r="O68" s="5053"/>
      <c r="P68" s="5053"/>
      <c r="Q68" s="5053"/>
      <c r="R68" s="5053"/>
      <c r="S68" s="5053"/>
      <c r="T68" s="5053"/>
      <c r="U68" s="5055"/>
      <c r="V68" s="5055"/>
      <c r="W68" s="5055"/>
      <c r="X68" s="5055"/>
      <c r="Y68" s="5055"/>
    </row>
    <row customHeight="true" ht="18.452380952380953" r="69">
      <c r="A69" s="5129" t="s">
        <v>4931</v>
      </c>
      <c r="B69" s="5072">
        <v>46239</v>
      </c>
      <c r="C69" s="5079" t="str">
        <v>Wednesday</v>
      </c>
      <c r="D69" s="5130" t="s">
        <v>4938</v>
      </c>
      <c r="E69" s="5069">
        <f t="shared" si="45"/>
      </c>
      <c r="F69" s="5068" t="s">
        <v>4933</v>
      </c>
      <c r="G69" s="5136"/>
      <c r="H69" s="5068" t="s">
        <v>4859</v>
      </c>
      <c r="I69" s="5069" t="s">
        <v>4875</v>
      </c>
      <c r="J69" s="5132"/>
      <c r="K69" s="5053"/>
      <c r="L69" s="5053"/>
      <c r="M69" s="5053"/>
      <c r="N69" s="5053"/>
      <c r="O69" s="5053"/>
      <c r="P69" s="5053"/>
      <c r="Q69" s="5053"/>
      <c r="R69" s="5053"/>
      <c r="S69" s="5053"/>
      <c r="T69" s="5053"/>
      <c r="U69" s="5055"/>
      <c r="V69" s="5055"/>
      <c r="W69" s="5055"/>
      <c r="X69" s="5055"/>
      <c r="Y69" s="5055"/>
    </row>
    <row customHeight="true" ht="18.452380952380953" r="70">
      <c r="A70" s="5129" t="s">
        <v>4923</v>
      </c>
      <c r="B70" s="5072">
        <v>46239</v>
      </c>
      <c r="C70" s="5079" t="str">
        <v>Wednesday</v>
      </c>
      <c r="D70" s="5130" t="s">
        <v>4939</v>
      </c>
      <c r="E70" s="5069">
        <f t="shared" si="45"/>
      </c>
      <c r="F70" s="5068" t="s">
        <v>4933</v>
      </c>
      <c r="G70" s="5136"/>
      <c r="H70" s="5068" t="s">
        <v>4859</v>
      </c>
      <c r="I70" s="5069" t="s">
        <v>4875</v>
      </c>
      <c r="J70" s="5132"/>
      <c r="K70" s="5053"/>
      <c r="L70" s="5053"/>
      <c r="M70" s="5053"/>
      <c r="N70" s="5053"/>
      <c r="O70" s="5053"/>
      <c r="P70" s="5053"/>
      <c r="Q70" s="5053"/>
      <c r="R70" s="5053"/>
      <c r="S70" s="5053"/>
      <c r="T70" s="5053"/>
      <c r="U70" s="5055"/>
      <c r="V70" s="5055"/>
      <c r="W70" s="5055"/>
      <c r="X70" s="5055"/>
      <c r="Y70" s="5055"/>
    </row>
    <row customHeight="true" ht="18.452380952380953" r="71">
      <c r="A71" s="5129" t="s">
        <v>4931</v>
      </c>
      <c r="B71" s="5072">
        <v>46240</v>
      </c>
      <c r="C71" s="5079" t="str">
        <v>Thursday</v>
      </c>
      <c r="D71" s="5130" t="s">
        <v>4940</v>
      </c>
      <c r="E71" s="5069">
        <f t="shared" si="45"/>
      </c>
      <c r="F71" s="5068" t="s">
        <v>4941</v>
      </c>
      <c r="G71" s="5136"/>
      <c r="H71" s="5068" t="s">
        <v>4859</v>
      </c>
      <c r="I71" s="5069" t="s">
        <v>4875</v>
      </c>
      <c r="J71" s="5132"/>
      <c r="K71" s="5053"/>
      <c r="L71" s="5053"/>
      <c r="M71" s="5053"/>
      <c r="N71" s="5053"/>
      <c r="O71" s="5053"/>
      <c r="P71" s="5053"/>
      <c r="Q71" s="5053"/>
      <c r="R71" s="5053"/>
      <c r="S71" s="5053"/>
      <c r="T71" s="5053"/>
      <c r="U71" s="5055"/>
      <c r="V71" s="5055"/>
      <c r="W71" s="5055"/>
      <c r="X71" s="5055"/>
      <c r="Y71" s="5055"/>
    </row>
    <row customHeight="true" ht="18.452380952380953" r="72">
      <c r="A72" s="5129" t="s">
        <v>4931</v>
      </c>
      <c r="B72" s="5072">
        <v>46241</v>
      </c>
      <c r="C72" s="5079" t="str">
        <v>Friday</v>
      </c>
      <c r="D72" s="5130" t="s">
        <v>4942</v>
      </c>
      <c r="E72" s="5069">
        <f t="shared" si="45"/>
      </c>
      <c r="F72" s="5068" t="s">
        <v>4935</v>
      </c>
      <c r="G72" s="5136"/>
      <c r="H72" s="5068" t="s">
        <v>4859</v>
      </c>
      <c r="I72" s="5069" t="s">
        <v>4875</v>
      </c>
      <c r="J72" s="5132"/>
      <c r="K72" s="5053"/>
      <c r="L72" s="5053"/>
      <c r="M72" s="5053"/>
      <c r="N72" s="5053"/>
      <c r="O72" s="5053"/>
      <c r="P72" s="5053"/>
      <c r="Q72" s="5053"/>
      <c r="R72" s="5053"/>
      <c r="S72" s="5053"/>
      <c r="T72" s="5053"/>
      <c r="U72" s="5055"/>
      <c r="V72" s="5055"/>
      <c r="W72" s="5055"/>
      <c r="X72" s="5055"/>
      <c r="Y72" s="5055"/>
    </row>
    <row r="73">
      <c r="A73" s="5129" t="s">
        <v>4931</v>
      </c>
      <c r="B73" s="5072">
        <v>46242</v>
      </c>
      <c r="C73" s="5079" t="str">
        <v>Saturday</v>
      </c>
      <c r="D73" s="5130" t="s">
        <v>4943</v>
      </c>
      <c r="E73" s="5069">
        <f t="shared" si="45"/>
      </c>
      <c r="F73" s="5068" t="s">
        <v>4935</v>
      </c>
      <c r="G73" s="5136"/>
      <c r="H73" s="5068" t="s">
        <v>4859</v>
      </c>
      <c r="I73" s="5069" t="s">
        <v>4875</v>
      </c>
      <c r="J73" s="5132"/>
      <c r="K73" s="5053"/>
      <c r="L73" s="5053"/>
      <c r="M73" s="5053"/>
      <c r="N73" s="5053"/>
      <c r="O73" s="5053"/>
      <c r="P73" s="5053"/>
      <c r="Q73" s="5053"/>
      <c r="R73" s="5053"/>
      <c r="S73" s="5053"/>
      <c r="T73" s="5053"/>
      <c r="U73" s="5055"/>
      <c r="V73" s="5055"/>
      <c r="W73" s="5055"/>
      <c r="X73" s="5055"/>
      <c r="Y73" s="5055"/>
    </row>
    <row customHeight="true" ht="18.452380952380953" r="74">
      <c r="A74" s="5129" t="s">
        <v>4923</v>
      </c>
      <c r="B74" s="5072">
        <v>46242</v>
      </c>
      <c r="C74" s="5079" t="str">
        <v>Saturday</v>
      </c>
      <c r="D74" s="5130" t="s">
        <v>4944</v>
      </c>
      <c r="E74" s="5069">
        <f t="shared" si="45"/>
      </c>
      <c r="F74" s="5068" t="s">
        <v>4933</v>
      </c>
      <c r="G74" s="5136"/>
      <c r="H74" s="5068" t="s">
        <v>4859</v>
      </c>
      <c r="I74" s="5069" t="s">
        <v>4875</v>
      </c>
      <c r="J74" s="5132"/>
      <c r="K74" s="5053"/>
      <c r="L74" s="5053"/>
      <c r="M74" s="5053"/>
      <c r="N74" s="5053"/>
      <c r="O74" s="5053"/>
      <c r="P74" s="5053"/>
      <c r="Q74" s="5053"/>
      <c r="R74" s="5053"/>
      <c r="S74" s="5053"/>
      <c r="T74" s="5053"/>
      <c r="U74" s="5055"/>
      <c r="V74" s="5055"/>
      <c r="W74" s="5055"/>
      <c r="X74" s="5055"/>
      <c r="Y74" s="5055"/>
    </row>
    <row customHeight="true" ht="18.452380952380953" r="75">
      <c r="A75" s="5129" t="s">
        <v>4931</v>
      </c>
      <c r="B75" s="5072">
        <v>46243</v>
      </c>
      <c r="C75" s="5079" t="str">
        <v>Sunday</v>
      </c>
      <c r="D75" s="5130" t="s">
        <v>4928</v>
      </c>
      <c r="E75" s="5069">
        <f t="shared" si="45"/>
      </c>
      <c r="F75" s="5068" t="s">
        <v>4935</v>
      </c>
      <c r="G75" s="5136"/>
      <c r="H75" s="5068" t="s">
        <v>4859</v>
      </c>
      <c r="I75" s="5069" t="s">
        <v>4875</v>
      </c>
      <c r="J75" s="5132"/>
      <c r="K75" s="5053"/>
      <c r="L75" s="5053"/>
      <c r="M75" s="5053"/>
      <c r="N75" s="5053"/>
      <c r="O75" s="5053"/>
      <c r="P75" s="5053"/>
      <c r="Q75" s="5053"/>
      <c r="R75" s="5053"/>
      <c r="S75" s="5053"/>
      <c r="T75" s="5053"/>
      <c r="U75" s="5055"/>
      <c r="V75" s="5055"/>
      <c r="W75" s="5055"/>
      <c r="X75" s="5055"/>
      <c r="Y75" s="5055"/>
    </row>
    <row customHeight="true" ht="18.452380952380953" r="76">
      <c r="A76" s="5129" t="s">
        <v>4923</v>
      </c>
      <c r="B76" s="5072">
        <v>46243</v>
      </c>
      <c r="C76" s="5079" t="str">
        <v>Sunday</v>
      </c>
      <c r="D76" s="5130" t="s">
        <v>4945</v>
      </c>
      <c r="E76" s="5069">
        <f t="shared" si="45"/>
      </c>
      <c r="F76" s="5068" t="s">
        <v>4925</v>
      </c>
      <c r="G76" s="5134"/>
      <c r="H76" s="5068" t="s">
        <v>4859</v>
      </c>
      <c r="I76" s="5069" t="s">
        <v>4846</v>
      </c>
      <c r="J76" s="5132"/>
      <c r="K76" s="5053"/>
      <c r="L76" s="5053"/>
      <c r="M76" s="5053"/>
      <c r="N76" s="5053"/>
      <c r="O76" s="5053"/>
      <c r="P76" s="5053"/>
      <c r="Q76" s="5053"/>
      <c r="R76" s="5053"/>
      <c r="S76" s="5053"/>
      <c r="T76" s="5053"/>
      <c r="U76" s="5055"/>
      <c r="V76" s="5055"/>
      <c r="W76" s="5055"/>
      <c r="X76" s="5055"/>
      <c r="Y76" s="5055"/>
    </row>
    <row customHeight="true" ht="18.452380952380953" r="77">
      <c r="A77" s="5129" t="s">
        <v>4923</v>
      </c>
      <c r="B77" s="5072">
        <v>46243</v>
      </c>
      <c r="C77" s="5079" t="str">
        <v>Sunday</v>
      </c>
      <c r="D77" s="5130" t="s">
        <v>4946</v>
      </c>
      <c r="E77" s="5069">
        <f t="shared" si="45"/>
      </c>
      <c r="F77" s="5068" t="s">
        <v>4933</v>
      </c>
      <c r="G77" s="5136"/>
      <c r="H77" s="5068" t="s">
        <v>4859</v>
      </c>
      <c r="I77" s="5069" t="s">
        <v>4875</v>
      </c>
      <c r="J77" s="5137" t="s">
        <v>4947</v>
      </c>
      <c r="K77" s="5053"/>
      <c r="L77" s="5053"/>
      <c r="M77" s="5053"/>
      <c r="N77" s="5053"/>
      <c r="O77" s="5053"/>
      <c r="P77" s="5053"/>
      <c r="Q77" s="5053"/>
      <c r="R77" s="5053"/>
      <c r="S77" s="5053"/>
      <c r="T77" s="5053"/>
      <c r="U77" s="5055"/>
      <c r="V77" s="5055"/>
      <c r="W77" s="5055"/>
      <c r="X77" s="5055"/>
      <c r="Y77" s="5055"/>
    </row>
    <row r="78">
      <c r="A78" s="5138" t="s">
        <v>4948</v>
      </c>
      <c r="B78" s="5138" t="s">
        <v>4920</v>
      </c>
      <c r="C78" s="5138"/>
      <c r="D78" s="5138"/>
      <c r="E78" s="5138"/>
      <c r="F78" s="5138"/>
      <c r="G78" s="5138"/>
      <c r="H78" s="5138"/>
      <c r="I78" s="5138"/>
      <c r="J78" s="5138"/>
      <c r="K78" s="5098"/>
      <c r="L78" s="5098"/>
      <c r="M78" s="5098"/>
      <c r="N78" s="5098"/>
      <c r="O78" s="5053"/>
      <c r="P78" s="5053"/>
      <c r="Q78" s="5053"/>
      <c r="R78" s="5053"/>
      <c r="S78" s="5053"/>
      <c r="T78" s="5053"/>
      <c r="U78" s="5055"/>
      <c r="V78" s="5055"/>
      <c r="W78" s="5055"/>
      <c r="X78" s="5055"/>
      <c r="Y78" s="5055"/>
    </row>
    <row r="79">
      <c r="A79" s="5139" t="s">
        <v>4861</v>
      </c>
      <c r="B79" s="5140" t="s">
        <v>4862</v>
      </c>
      <c r="C79" s="5140"/>
      <c r="D79" s="5141" t="s">
        <v>4863</v>
      </c>
      <c r="E79" s="5142" t="s">
        <v>4864</v>
      </c>
      <c r="F79" s="5142" t="s">
        <v>4865</v>
      </c>
      <c r="G79" s="5143" t="s">
        <v>4877</v>
      </c>
      <c r="H79" s="5144" t="s">
        <v>4867</v>
      </c>
      <c r="I79" s="5144" t="s">
        <v>4868</v>
      </c>
      <c r="J79" s="5145" t="s">
        <v>4869</v>
      </c>
      <c r="K79" s="5098"/>
      <c r="L79" s="5098"/>
      <c r="M79" s="5098"/>
      <c r="N79" s="5098"/>
      <c r="O79" s="5053"/>
      <c r="P79" s="5053"/>
      <c r="Q79" s="5053"/>
      <c r="R79" s="5053"/>
      <c r="S79" s="5053"/>
      <c r="T79" s="5053"/>
      <c r="U79" s="5055"/>
      <c r="V79" s="5055"/>
      <c r="W79" s="5055"/>
      <c r="X79" s="5055"/>
      <c r="Y79" s="5055"/>
    </row>
    <row r="80">
      <c r="A80" s="5079" t="s">
        <v>4948</v>
      </c>
      <c r="B80" s="5072">
        <v>46237</v>
      </c>
      <c r="C80" s="5079" t="str">
        <v>Monday</v>
      </c>
      <c r="D80" s="5130" t="s">
        <v>4928</v>
      </c>
      <c r="E80" s="5068">
        <f t="shared" ref="E80:E90" si="46">24*MOD(TIMEVALUE(TRIM(MID(D80,FIND("-",D80)+1,LEN(D80)))) - TIMEVALUE(TRIM(LEFT(D80,FIND("-",D80)-1))),1)</f>
      </c>
      <c r="F80" s="5068" t="s">
        <v>4949</v>
      </c>
      <c r="G80" s="5146" t="s">
        <v>4950</v>
      </c>
      <c r="H80" s="5068" t="s">
        <v>4845</v>
      </c>
      <c r="I80" s="5069" t="s">
        <v>4846</v>
      </c>
      <c r="J80" s="5147"/>
      <c r="K80" s="5098"/>
      <c r="L80" s="5098"/>
      <c r="M80" s="5098"/>
      <c r="N80" s="5098"/>
      <c r="O80" s="5053"/>
      <c r="P80" s="5053"/>
      <c r="Q80" s="5053"/>
      <c r="R80" s="5053"/>
      <c r="S80" s="5053"/>
      <c r="T80" s="5053"/>
      <c r="U80" s="5055"/>
      <c r="V80" s="5055"/>
      <c r="W80" s="5055"/>
      <c r="X80" s="5055"/>
      <c r="Y80" s="5055"/>
    </row>
    <row customHeight="true" ht="18.452380952380953" r="81">
      <c r="A81" s="5079" t="s">
        <v>4948</v>
      </c>
      <c r="B81" s="5072">
        <v>46238</v>
      </c>
      <c r="C81" s="5079" t="str">
        <v>Tuesday</v>
      </c>
      <c r="D81" s="5130" t="s">
        <v>4928</v>
      </c>
      <c r="E81" s="5068">
        <f t="shared" si="46"/>
      </c>
      <c r="F81" s="5068" t="s">
        <v>4949</v>
      </c>
      <c r="G81" s="5146" t="s">
        <v>4950</v>
      </c>
      <c r="H81" s="5068" t="s">
        <v>4845</v>
      </c>
      <c r="I81" s="5069" t="s">
        <v>4846</v>
      </c>
      <c r="J81" s="5147"/>
      <c r="K81" s="5098"/>
      <c r="L81" s="5098"/>
      <c r="M81" s="5098"/>
      <c r="N81" s="5098"/>
      <c r="O81" s="5053"/>
      <c r="P81" s="5053"/>
      <c r="Q81" s="5053"/>
      <c r="R81" s="5053"/>
      <c r="S81" s="5053"/>
      <c r="T81" s="5053"/>
      <c r="U81" s="5055"/>
      <c r="V81" s="5055"/>
      <c r="W81" s="5055"/>
      <c r="X81" s="5055"/>
      <c r="Y81" s="5055"/>
    </row>
    <row customHeight="true" ht="18.452380952380953" r="82">
      <c r="A82" s="5079" t="s">
        <v>4948</v>
      </c>
      <c r="B82" s="5072">
        <v>46239</v>
      </c>
      <c r="C82" s="5079" t="str">
        <v>Wednesday</v>
      </c>
      <c r="D82" s="5130" t="s">
        <v>4928</v>
      </c>
      <c r="E82" s="5068">
        <f t="shared" si="46"/>
      </c>
      <c r="F82" s="5068" t="s">
        <v>4949</v>
      </c>
      <c r="G82" s="5146" t="s">
        <v>4950</v>
      </c>
      <c r="H82" s="5068" t="s">
        <v>4845</v>
      </c>
      <c r="I82" s="5069" t="s">
        <v>4846</v>
      </c>
      <c r="J82" s="5147"/>
      <c r="K82" s="5098"/>
      <c r="L82" s="5098"/>
      <c r="M82" s="5098"/>
      <c r="N82" s="5098"/>
      <c r="O82" s="5053"/>
      <c r="P82" s="5053"/>
      <c r="Q82" s="5053"/>
      <c r="R82" s="5053"/>
      <c r="S82" s="5053"/>
      <c r="T82" s="5053"/>
      <c r="U82" s="5055"/>
      <c r="V82" s="5055"/>
      <c r="W82" s="5055"/>
      <c r="X82" s="5055"/>
      <c r="Y82" s="5055"/>
    </row>
    <row customHeight="true" ht="18.452380952380953" r="83">
      <c r="A83" s="5079" t="s">
        <v>4948</v>
      </c>
      <c r="B83" s="5072">
        <v>46240</v>
      </c>
      <c r="C83" s="5079" t="str">
        <v>Thursday</v>
      </c>
      <c r="D83" s="5130" t="s">
        <v>4928</v>
      </c>
      <c r="E83" s="5068">
        <f t="shared" si="46"/>
      </c>
      <c r="F83" s="5068" t="s">
        <v>4949</v>
      </c>
      <c r="G83" s="5146" t="s">
        <v>4950</v>
      </c>
      <c r="H83" s="5068" t="s">
        <v>4845</v>
      </c>
      <c r="I83" s="5069" t="s">
        <v>4846</v>
      </c>
      <c r="J83" s="5147"/>
      <c r="K83" s="5098"/>
      <c r="L83" s="5098"/>
      <c r="M83" s="5098"/>
      <c r="N83" s="5098"/>
      <c r="O83" s="5053"/>
      <c r="P83" s="5053"/>
      <c r="Q83" s="5053"/>
      <c r="R83" s="5053"/>
      <c r="S83" s="5053"/>
      <c r="T83" s="5053"/>
      <c r="U83" s="5055"/>
      <c r="V83" s="5055"/>
      <c r="W83" s="5055"/>
      <c r="X83" s="5055"/>
      <c r="Y83" s="5055"/>
    </row>
    <row customHeight="true" ht="18.452380952380953" r="84">
      <c r="A84" s="5079" t="s">
        <v>4951</v>
      </c>
      <c r="B84" s="5072">
        <v>46241</v>
      </c>
      <c r="C84" s="5079" t="str">
        <v>Friday</v>
      </c>
      <c r="D84" s="5130" t="s">
        <v>4952</v>
      </c>
      <c r="E84" s="5068">
        <f t="shared" si="46"/>
      </c>
      <c r="F84" s="5068" t="s">
        <v>4949</v>
      </c>
      <c r="G84" s="5146" t="s">
        <v>4950</v>
      </c>
      <c r="H84" s="5068"/>
      <c r="I84" s="5069" t="s">
        <v>4875</v>
      </c>
      <c r="J84" s="5148" t="s">
        <v>4953</v>
      </c>
      <c r="K84" s="5098"/>
      <c r="L84" s="5098"/>
      <c r="M84" s="5098"/>
      <c r="N84" s="5098"/>
      <c r="O84" s="5053"/>
      <c r="P84" s="5053"/>
      <c r="Q84" s="5053"/>
      <c r="R84" s="5053"/>
      <c r="S84" s="5053"/>
      <c r="T84" s="5053"/>
      <c r="U84" s="5055"/>
      <c r="V84" s="5055"/>
      <c r="W84" s="5055"/>
      <c r="X84" s="5055"/>
      <c r="Y84" s="5055"/>
    </row>
    <row customHeight="true" ht="18.452380952380953" r="85">
      <c r="A85" s="5079" t="s">
        <v>4954</v>
      </c>
      <c r="B85" s="5072">
        <v>46241</v>
      </c>
      <c r="C85" s="5079" t="str">
        <v>Friday</v>
      </c>
      <c r="D85" s="5130" t="s">
        <v>4945</v>
      </c>
      <c r="E85" s="5068">
        <f t="shared" si="46"/>
      </c>
      <c r="F85" s="5068" t="s">
        <v>4949</v>
      </c>
      <c r="G85" s="5146" t="s">
        <v>4955</v>
      </c>
      <c r="H85" s="5068"/>
      <c r="I85" s="5069"/>
      <c r="J85" s="5148" t="s">
        <v>4956</v>
      </c>
      <c r="K85" s="5098"/>
      <c r="L85" s="5098"/>
      <c r="M85" s="5098"/>
      <c r="N85" s="5098"/>
      <c r="O85" s="5053"/>
      <c r="P85" s="5053"/>
      <c r="Q85" s="5053"/>
      <c r="R85" s="5053"/>
      <c r="S85" s="5053"/>
      <c r="T85" s="5053"/>
      <c r="U85" s="5055"/>
      <c r="V85" s="5055"/>
      <c r="W85" s="5055"/>
      <c r="X85" s="5055"/>
      <c r="Y85" s="5055"/>
    </row>
    <row r="86">
      <c r="A86" s="5079" t="s">
        <v>4957</v>
      </c>
      <c r="B86" s="5072">
        <v>46237</v>
      </c>
      <c r="C86" s="5079" t="str">
        <v>Monday</v>
      </c>
      <c r="D86" s="5130" t="s">
        <v>4940</v>
      </c>
      <c r="E86" s="5068">
        <f t="shared" si="46"/>
      </c>
      <c r="F86" s="5149" t="s">
        <v>4958</v>
      </c>
      <c r="G86" s="5150"/>
      <c r="H86" s="5068" t="s">
        <v>4845</v>
      </c>
      <c r="I86" s="5069" t="s">
        <v>4846</v>
      </c>
      <c r="J86" s="5147"/>
      <c r="K86" s="5098"/>
      <c r="L86" s="5098"/>
      <c r="M86" s="5098"/>
      <c r="N86" s="5098"/>
      <c r="O86" s="5053"/>
      <c r="P86" s="5053"/>
      <c r="Q86" s="5053"/>
      <c r="R86" s="5053"/>
      <c r="S86" s="5053"/>
      <c r="T86" s="5053"/>
      <c r="U86" s="5055"/>
      <c r="V86" s="5055"/>
      <c r="W86" s="5055"/>
      <c r="X86" s="5055"/>
      <c r="Y86" s="5055"/>
    </row>
    <row customHeight="true" ht="16.071428571428573" r="87">
      <c r="A87" s="5079" t="s">
        <v>4957</v>
      </c>
      <c r="B87" s="5072">
        <v>46238</v>
      </c>
      <c r="C87" s="5079" t="str">
        <v>Tuesday</v>
      </c>
      <c r="D87" s="5130" t="s">
        <v>4940</v>
      </c>
      <c r="E87" s="5068">
        <f t="shared" si="46"/>
      </c>
      <c r="F87" s="5149" t="s">
        <v>4958</v>
      </c>
      <c r="G87" s="5150"/>
      <c r="H87" s="5068" t="s">
        <v>4845</v>
      </c>
      <c r="I87" s="5069" t="s">
        <v>4846</v>
      </c>
      <c r="J87" s="5147"/>
      <c r="K87" s="5098"/>
      <c r="L87" s="5098"/>
      <c r="M87" s="5098"/>
      <c r="N87" s="5098"/>
      <c r="O87" s="5053"/>
      <c r="P87" s="5053"/>
      <c r="Q87" s="5053"/>
      <c r="R87" s="5053"/>
      <c r="S87" s="5053"/>
      <c r="T87" s="5053"/>
      <c r="U87" s="5055"/>
      <c r="V87" s="5055"/>
      <c r="W87" s="5055"/>
      <c r="X87" s="5055"/>
      <c r="Y87" s="5055"/>
    </row>
    <row customHeight="true" ht="16.071428571428573" r="88">
      <c r="A88" s="5079" t="s">
        <v>4957</v>
      </c>
      <c r="B88" s="5072">
        <v>46239</v>
      </c>
      <c r="C88" s="5079" t="str">
        <v>Wednesday</v>
      </c>
      <c r="D88" s="5130" t="s">
        <v>4940</v>
      </c>
      <c r="E88" s="5068">
        <f t="shared" si="46"/>
      </c>
      <c r="F88" s="5149" t="s">
        <v>4958</v>
      </c>
      <c r="G88" s="5150"/>
      <c r="H88" s="5068" t="s">
        <v>4845</v>
      </c>
      <c r="I88" s="5069" t="s">
        <v>4846</v>
      </c>
      <c r="J88" s="5147"/>
      <c r="K88" s="5098"/>
      <c r="L88" s="5098"/>
      <c r="M88" s="5098"/>
      <c r="N88" s="5098"/>
      <c r="O88" s="5053"/>
      <c r="P88" s="5053"/>
      <c r="Q88" s="5053"/>
      <c r="R88" s="5053"/>
      <c r="S88" s="5053"/>
      <c r="T88" s="5053"/>
      <c r="U88" s="5055"/>
      <c r="V88" s="5055"/>
      <c r="W88" s="5055"/>
      <c r="X88" s="5055"/>
      <c r="Y88" s="5055"/>
    </row>
    <row customHeight="true" ht="16.071428571428573" r="89">
      <c r="A89" s="5079" t="s">
        <v>4957</v>
      </c>
      <c r="B89" s="5072">
        <v>46239</v>
      </c>
      <c r="C89" s="5079" t="str">
        <v>Wednesday</v>
      </c>
      <c r="D89" s="5130" t="s">
        <v>4959</v>
      </c>
      <c r="E89" s="5068">
        <f t="shared" si="46"/>
      </c>
      <c r="F89" s="5149" t="s">
        <v>4958</v>
      </c>
      <c r="G89" s="5150"/>
      <c r="H89" s="5068" t="s">
        <v>4845</v>
      </c>
      <c r="I89" s="5069" t="s">
        <v>4846</v>
      </c>
      <c r="J89" s="5148" t="s">
        <v>4960</v>
      </c>
      <c r="K89" s="5098"/>
      <c r="L89" s="5098"/>
      <c r="M89" s="5098"/>
      <c r="N89" s="5098"/>
      <c r="O89" s="5053"/>
      <c r="P89" s="5053"/>
      <c r="Q89" s="5053"/>
      <c r="R89" s="5053"/>
      <c r="S89" s="5053"/>
      <c r="T89" s="5053"/>
      <c r="U89" s="5055"/>
      <c r="V89" s="5055"/>
      <c r="W89" s="5055"/>
      <c r="X89" s="5055"/>
      <c r="Y89" s="5055"/>
    </row>
    <row customHeight="true" ht="16.071428571428573" r="90">
      <c r="A90" s="5079" t="s">
        <v>4957</v>
      </c>
      <c r="B90" s="5072">
        <v>46240</v>
      </c>
      <c r="C90" s="5079" t="str">
        <v>Thursday</v>
      </c>
      <c r="D90" s="5130" t="s">
        <v>4940</v>
      </c>
      <c r="E90" s="5068">
        <f t="shared" si="46"/>
      </c>
      <c r="F90" s="5149" t="s">
        <v>4958</v>
      </c>
      <c r="G90" s="5150"/>
      <c r="H90" s="5068" t="s">
        <v>4845</v>
      </c>
      <c r="I90" s="5069" t="s">
        <v>4846</v>
      </c>
      <c r="J90" s="5147"/>
      <c r="K90" s="5098"/>
      <c r="L90" s="5098"/>
      <c r="M90" s="5098"/>
      <c r="N90" s="5098"/>
      <c r="O90" s="5053"/>
      <c r="P90" s="5053"/>
      <c r="Q90" s="5053"/>
      <c r="R90" s="5053"/>
      <c r="S90" s="5053"/>
      <c r="T90" s="5053"/>
      <c r="U90" s="5055"/>
      <c r="V90" s="5055"/>
      <c r="W90" s="5055"/>
      <c r="X90" s="5055"/>
      <c r="Y90" s="5055"/>
    </row>
    <row customHeight="true" ht="16.071428571428573" r="91">
      <c r="A91" s="5079"/>
      <c r="B91" s="5079"/>
      <c r="C91" s="5079"/>
      <c r="D91" s="5068"/>
      <c r="E91" s="5068"/>
      <c r="F91" s="5068"/>
      <c r="G91" s="5150"/>
      <c r="H91" s="5068"/>
      <c r="I91" s="5069"/>
      <c r="J91" s="5147"/>
      <c r="K91" s="5098"/>
      <c r="L91" s="5098"/>
      <c r="M91" s="5098"/>
      <c r="N91" s="5098"/>
      <c r="O91" s="5053"/>
      <c r="P91" s="5053"/>
      <c r="Q91" s="5053"/>
      <c r="R91" s="5053"/>
      <c r="S91" s="5053"/>
      <c r="T91" s="5053"/>
      <c r="U91" s="5055"/>
      <c r="V91" s="5055"/>
      <c r="W91" s="5055"/>
      <c r="X91" s="5055"/>
      <c r="Y91" s="5055"/>
    </row>
    <row r="92">
      <c r="A92" s="5079"/>
      <c r="B92" s="5079"/>
      <c r="C92" s="5079"/>
      <c r="D92" s="5068"/>
      <c r="E92" s="5068"/>
      <c r="F92" s="5068"/>
      <c r="G92" s="5150"/>
      <c r="H92" s="5068"/>
      <c r="I92" s="5069"/>
      <c r="J92" s="5147"/>
      <c r="K92" s="5098"/>
      <c r="L92" s="5098"/>
      <c r="M92" s="5098"/>
      <c r="N92" s="5098"/>
      <c r="O92" s="5053"/>
      <c r="P92" s="5053"/>
      <c r="Q92" s="5053"/>
      <c r="R92" s="5053"/>
      <c r="S92" s="5053"/>
      <c r="T92" s="5053"/>
      <c r="U92" s="5055"/>
      <c r="V92" s="5055"/>
      <c r="W92" s="5055"/>
      <c r="X92" s="5055"/>
      <c r="Y92" s="5055"/>
    </row>
    <row r="93">
      <c r="A93" s="5055"/>
      <c r="B93" s="5055"/>
      <c r="C93" s="5055"/>
      <c r="D93" s="5055"/>
      <c r="E93" s="5055"/>
      <c r="F93" s="5055"/>
      <c r="G93" s="5055"/>
      <c r="H93" s="5055"/>
      <c r="I93" s="5055"/>
      <c r="J93" s="5055"/>
      <c r="K93" s="5055"/>
      <c r="L93" s="5055"/>
      <c r="M93" s="5055"/>
      <c r="N93" s="5055"/>
      <c r="O93" s="5055"/>
      <c r="P93" s="5055"/>
      <c r="Q93" s="5055"/>
      <c r="R93" s="5055"/>
      <c r="S93" s="5055"/>
      <c r="T93" s="5055"/>
      <c r="U93" s="5055"/>
      <c r="V93" s="5055"/>
      <c r="W93" s="5055"/>
      <c r="X93" s="5055"/>
      <c r="Y93" s="5055"/>
    </row>
    <row r="94">
      <c r="A94" s="5151" t="s">
        <v>4961</v>
      </c>
      <c r="B94" s="5151"/>
      <c r="C94" s="5151"/>
      <c r="D94" s="5151"/>
      <c r="E94" s="5151"/>
      <c r="F94" s="5151"/>
      <c r="G94" s="5151"/>
      <c r="H94" s="5151" t="s">
        <v>4962</v>
      </c>
      <c r="I94" s="5151"/>
      <c r="J94" s="5151"/>
      <c r="K94" s="5098"/>
      <c r="L94" s="5098"/>
      <c r="M94" s="5098"/>
      <c r="N94" s="5098"/>
      <c r="O94" s="5053"/>
      <c r="P94" s="5053"/>
      <c r="Q94" s="5053"/>
      <c r="R94" s="5053"/>
      <c r="S94" s="5053"/>
      <c r="T94" s="5053"/>
      <c r="U94" s="5054"/>
      <c r="V94" s="5054"/>
      <c r="W94" s="5054"/>
      <c r="X94" s="5054"/>
      <c r="Y94" s="5054"/>
    </row>
    <row r="95">
      <c r="A95" s="5152" t="s">
        <v>4861</v>
      </c>
      <c r="B95" s="5153" t="s">
        <v>4862</v>
      </c>
      <c r="C95" s="5153"/>
      <c r="D95" s="5154" t="s">
        <v>4863</v>
      </c>
      <c r="E95" s="5155" t="s">
        <v>4864</v>
      </c>
      <c r="F95" s="5155" t="s">
        <v>4865</v>
      </c>
      <c r="G95" s="5156" t="s">
        <v>4877</v>
      </c>
      <c r="H95" s="5157" t="s">
        <v>4867</v>
      </c>
      <c r="I95" s="5157" t="s">
        <v>4868</v>
      </c>
      <c r="J95" s="5158" t="s">
        <v>4869</v>
      </c>
      <c r="K95" s="5098"/>
      <c r="L95" s="5098"/>
      <c r="M95" s="5098"/>
      <c r="N95" s="5098"/>
      <c r="O95" s="5053"/>
      <c r="P95" s="5053"/>
      <c r="Q95" s="5053"/>
      <c r="R95" s="5053"/>
      <c r="S95" s="5053"/>
      <c r="T95" s="5053"/>
      <c r="U95" s="5054"/>
      <c r="V95" s="5054"/>
      <c r="W95" s="5054"/>
      <c r="X95" s="5054"/>
      <c r="Y95" s="5054"/>
    </row>
    <row r="96">
      <c r="A96" s="5079" t="s">
        <v>4961</v>
      </c>
      <c r="B96" s="5072">
        <v>46237</v>
      </c>
      <c r="C96" s="5079" t="str">
        <v>Monday</v>
      </c>
      <c r="D96" s="5130" t="s">
        <v>4945</v>
      </c>
      <c r="E96" s="5068">
        <f t="shared" ref="E96:E108" si="47">24*MOD(TIMEVALUE(TRIM(MID(D96,FIND("-",D96)+1,LEN(D96)))) - TIMEVALUE(TRIM(LEFT(D96,FIND("-",D96)-1))),1)</f>
      </c>
      <c r="F96" s="5068" t="s">
        <v>4941</v>
      </c>
      <c r="G96" s="5150"/>
      <c r="H96" s="5068" t="s">
        <v>4845</v>
      </c>
      <c r="I96" s="5069" t="s">
        <v>4846</v>
      </c>
      <c r="J96" s="5147"/>
      <c r="K96" s="5098"/>
      <c r="L96" s="5098"/>
      <c r="M96" s="5098"/>
      <c r="N96" s="5098"/>
      <c r="O96" s="5053"/>
      <c r="P96" s="5053"/>
      <c r="Q96" s="5053"/>
      <c r="R96" s="5053"/>
      <c r="S96" s="5053"/>
      <c r="T96" s="5053"/>
      <c r="U96" s="5055"/>
      <c r="V96" s="5055"/>
      <c r="W96" s="5055"/>
      <c r="X96" s="5055"/>
      <c r="Y96" s="5055"/>
    </row>
    <row r="97">
      <c r="A97" s="5079" t="s">
        <v>4961</v>
      </c>
      <c r="B97" s="5072">
        <v>46238</v>
      </c>
      <c r="C97" s="5079" t="str">
        <v>Tuesday</v>
      </c>
      <c r="D97" s="5130" t="s">
        <v>4963</v>
      </c>
      <c r="E97" s="5068">
        <f t="shared" si="47"/>
      </c>
      <c r="F97" s="5068" t="s">
        <v>4941</v>
      </c>
      <c r="G97" s="5146"/>
      <c r="H97" s="5068" t="s">
        <v>4845</v>
      </c>
      <c r="I97" s="5069" t="s">
        <v>4846</v>
      </c>
      <c r="J97" s="5147"/>
      <c r="K97" s="5098"/>
      <c r="L97" s="5098"/>
      <c r="M97" s="5098"/>
      <c r="N97" s="5098"/>
      <c r="O97" s="5053"/>
      <c r="P97" s="5053"/>
      <c r="Q97" s="5053"/>
      <c r="R97" s="5053"/>
      <c r="S97" s="5053"/>
      <c r="T97" s="5053"/>
      <c r="U97" s="5055"/>
      <c r="V97" s="5055"/>
      <c r="W97" s="5055"/>
      <c r="X97" s="5055"/>
      <c r="Y97" s="5055"/>
    </row>
    <row r="98">
      <c r="A98" s="5079" t="s">
        <v>4961</v>
      </c>
      <c r="B98" s="5072">
        <v>46240</v>
      </c>
      <c r="C98" s="5079" t="str">
        <v>Thursday</v>
      </c>
      <c r="D98" s="5130" t="s">
        <v>4963</v>
      </c>
      <c r="E98" s="5068">
        <f t="shared" si="47"/>
      </c>
      <c r="F98" s="5068" t="s">
        <v>4941</v>
      </c>
      <c r="G98" s="5146"/>
      <c r="H98" s="5068" t="s">
        <v>4845</v>
      </c>
      <c r="I98" s="5069" t="s">
        <v>4846</v>
      </c>
      <c r="J98" s="5147"/>
      <c r="K98" s="5098"/>
      <c r="L98" s="5098"/>
      <c r="M98" s="5098"/>
      <c r="N98" s="5098"/>
      <c r="O98" s="5053"/>
      <c r="P98" s="5053"/>
      <c r="Q98" s="5053"/>
      <c r="R98" s="5053"/>
      <c r="S98" s="5053"/>
      <c r="T98" s="5053"/>
      <c r="U98" s="5055"/>
      <c r="V98" s="5055"/>
      <c r="W98" s="5055"/>
      <c r="X98" s="5055"/>
      <c r="Y98" s="5055"/>
    </row>
    <row r="99">
      <c r="A99" s="5079" t="s">
        <v>4961</v>
      </c>
      <c r="B99" s="5072">
        <v>46241</v>
      </c>
      <c r="C99" s="5079" t="str">
        <v>Friday</v>
      </c>
      <c r="D99" s="5130" t="s">
        <v>4963</v>
      </c>
      <c r="E99" s="5068">
        <f t="shared" si="47"/>
      </c>
      <c r="F99" s="5068" t="s">
        <v>4908</v>
      </c>
      <c r="G99" s="5150"/>
      <c r="H99" s="5068" t="s">
        <v>4845</v>
      </c>
      <c r="I99" s="5069" t="s">
        <v>4846</v>
      </c>
      <c r="J99" s="5147"/>
      <c r="K99" s="5098"/>
      <c r="L99" s="5098"/>
      <c r="M99" s="5098"/>
      <c r="N99" s="5098"/>
      <c r="O99" s="5053"/>
      <c r="P99" s="5053"/>
      <c r="Q99" s="5053"/>
      <c r="R99" s="5053"/>
      <c r="S99" s="5053"/>
      <c r="T99" s="5053"/>
      <c r="U99" s="5055"/>
      <c r="V99" s="5055"/>
      <c r="W99" s="5055"/>
      <c r="X99" s="5055"/>
      <c r="Y99" s="5055"/>
    </row>
    <row customHeight="true" ht="18.452380952380953" r="100">
      <c r="A100" s="5079" t="s">
        <v>4964</v>
      </c>
      <c r="B100" s="5079">
        <v>46241</v>
      </c>
      <c r="C100" s="5079" t="str">
        <v>Friday</v>
      </c>
      <c r="D100" s="5068" t="s">
        <v>4963</v>
      </c>
      <c r="E100" s="5068">
        <f t="shared" si="47"/>
      </c>
      <c r="F100" s="5068" t="s">
        <v>4965</v>
      </c>
      <c r="G100" s="5150"/>
      <c r="H100" s="5068" t="s">
        <v>4845</v>
      </c>
      <c r="I100" s="5069" t="s">
        <v>4846</v>
      </c>
      <c r="J100" s="5147"/>
      <c r="K100" s="5098"/>
      <c r="L100" s="5098"/>
      <c r="M100" s="5098"/>
      <c r="N100" s="5098"/>
      <c r="O100" s="5053"/>
      <c r="P100" s="5053"/>
      <c r="Q100" s="5053"/>
      <c r="R100" s="5053"/>
      <c r="S100" s="5053"/>
      <c r="T100" s="5053"/>
      <c r="U100" s="5055"/>
      <c r="V100" s="5055"/>
      <c r="W100" s="5055"/>
      <c r="X100" s="5055"/>
      <c r="Y100" s="5055"/>
    </row>
    <row customHeight="true" ht="18.452380952380953" r="101">
      <c r="A101" s="5079" t="s">
        <v>4966</v>
      </c>
      <c r="B101" s="5072">
        <v>46237</v>
      </c>
      <c r="C101" s="5079" t="str">
        <v>Monday</v>
      </c>
      <c r="D101" s="5130" t="s">
        <v>4928</v>
      </c>
      <c r="E101" s="5068">
        <f t="shared" si="47"/>
      </c>
      <c r="F101" s="5068" t="s">
        <v>4933</v>
      </c>
      <c r="G101" s="5146"/>
      <c r="H101" s="5068" t="s">
        <v>4845</v>
      </c>
      <c r="I101" s="5069" t="s">
        <v>4846</v>
      </c>
      <c r="J101" s="5147"/>
      <c r="K101" s="5098"/>
      <c r="L101" s="5098"/>
      <c r="M101" s="5098"/>
      <c r="N101" s="5098"/>
      <c r="O101" s="5053"/>
      <c r="P101" s="5053"/>
      <c r="Q101" s="5053"/>
      <c r="R101" s="5053"/>
      <c r="S101" s="5053"/>
      <c r="T101" s="5053"/>
      <c r="U101" s="5055"/>
      <c r="V101" s="5055"/>
      <c r="W101" s="5055"/>
      <c r="X101" s="5055"/>
      <c r="Y101" s="5055"/>
    </row>
    <row r="102">
      <c r="A102" s="5079" t="s">
        <v>4966</v>
      </c>
      <c r="B102" s="5072">
        <v>46238</v>
      </c>
      <c r="C102" s="5079" t="str">
        <v>Tuesday</v>
      </c>
      <c r="D102" s="5130" t="s">
        <v>4967</v>
      </c>
      <c r="E102" s="5068">
        <f t="shared" si="47"/>
      </c>
      <c r="F102" s="5068" t="s">
        <v>4935</v>
      </c>
      <c r="G102" s="5146"/>
      <c r="H102" s="5068" t="s">
        <v>4845</v>
      </c>
      <c r="I102" s="5069" t="s">
        <v>4846</v>
      </c>
      <c r="J102" s="5147"/>
      <c r="K102" s="5098"/>
      <c r="L102" s="5098"/>
      <c r="M102" s="5098"/>
      <c r="N102" s="5098"/>
      <c r="O102" s="5053"/>
      <c r="P102" s="5053"/>
      <c r="Q102" s="5053"/>
      <c r="R102" s="5053"/>
      <c r="S102" s="5053"/>
      <c r="T102" s="5053"/>
      <c r="U102" s="5055"/>
      <c r="V102" s="5055"/>
      <c r="W102" s="5055"/>
      <c r="X102" s="5055"/>
      <c r="Y102" s="5055"/>
    </row>
    <row customHeight="true" ht="18.452380952380953" r="103">
      <c r="A103" s="5079" t="s">
        <v>4964</v>
      </c>
      <c r="B103" s="5079">
        <v>46238</v>
      </c>
      <c r="C103" s="5079" t="str">
        <v>Tuesday</v>
      </c>
      <c r="D103" s="5130" t="s">
        <v>4968</v>
      </c>
      <c r="E103" s="5068">
        <f t="shared" si="47"/>
      </c>
      <c r="F103" s="5068" t="s">
        <v>4933</v>
      </c>
      <c r="G103" s="5150"/>
      <c r="H103" s="5068" t="s">
        <v>4845</v>
      </c>
      <c r="I103" s="5069" t="s">
        <v>4846</v>
      </c>
      <c r="J103" s="5147"/>
      <c r="K103" s="5098"/>
      <c r="L103" s="5098"/>
      <c r="M103" s="5098"/>
      <c r="N103" s="5098"/>
      <c r="O103" s="5053"/>
      <c r="P103" s="5053"/>
      <c r="Q103" s="5053"/>
      <c r="R103" s="5053"/>
      <c r="S103" s="5053"/>
      <c r="T103" s="5053"/>
      <c r="U103" s="5055"/>
      <c r="V103" s="5055"/>
      <c r="W103" s="5055"/>
      <c r="X103" s="5055"/>
      <c r="Y103" s="5055"/>
    </row>
    <row customHeight="true" ht="18.452380952380953" r="104">
      <c r="A104" s="5079" t="s">
        <v>4966</v>
      </c>
      <c r="B104" s="5072">
        <v>46240</v>
      </c>
      <c r="C104" s="5079" t="str">
        <v>Thursday</v>
      </c>
      <c r="D104" s="5130" t="s">
        <v>4967</v>
      </c>
      <c r="E104" s="5068">
        <f t="shared" si="47"/>
      </c>
      <c r="F104" s="5068" t="s">
        <v>4933</v>
      </c>
      <c r="G104" s="5146"/>
      <c r="H104" s="5068" t="s">
        <v>4845</v>
      </c>
      <c r="I104" s="5069" t="s">
        <v>4846</v>
      </c>
      <c r="J104" s="5147"/>
      <c r="K104" s="5098"/>
      <c r="L104" s="5098"/>
      <c r="M104" s="5098"/>
      <c r="N104" s="5098"/>
      <c r="O104" s="5053"/>
      <c r="P104" s="5053"/>
      <c r="Q104" s="5053"/>
      <c r="R104" s="5053"/>
      <c r="S104" s="5053"/>
      <c r="T104" s="5053"/>
      <c r="U104" s="5055"/>
      <c r="V104" s="5055"/>
      <c r="W104" s="5055"/>
      <c r="X104" s="5055"/>
      <c r="Y104" s="5055"/>
    </row>
    <row customHeight="true" ht="18.452380952380953" r="105">
      <c r="A105" s="5079" t="s">
        <v>4964</v>
      </c>
      <c r="B105" s="5072">
        <v>46240</v>
      </c>
      <c r="C105" s="5079" t="str">
        <v>Thursday</v>
      </c>
      <c r="D105" s="5130" t="s">
        <v>4921</v>
      </c>
      <c r="E105" s="5068">
        <f t="shared" si="47"/>
      </c>
      <c r="F105" s="5068" t="s">
        <v>4908</v>
      </c>
      <c r="G105" s="5146"/>
      <c r="H105" s="5068" t="s">
        <v>4845</v>
      </c>
      <c r="I105" s="5069" t="s">
        <v>4846</v>
      </c>
      <c r="J105" s="5147"/>
      <c r="K105" s="5098"/>
      <c r="L105" s="5098"/>
      <c r="M105" s="5098"/>
      <c r="N105" s="5098"/>
      <c r="O105" s="5053"/>
      <c r="P105" s="5053"/>
      <c r="Q105" s="5053"/>
      <c r="R105" s="5053"/>
      <c r="S105" s="5053"/>
      <c r="T105" s="5053"/>
      <c r="U105" s="5055"/>
      <c r="V105" s="5055"/>
      <c r="W105" s="5055"/>
      <c r="X105" s="5055"/>
      <c r="Y105" s="5055"/>
    </row>
    <row customHeight="true" ht="18.452380952380953" r="106">
      <c r="A106" s="5079" t="s">
        <v>4966</v>
      </c>
      <c r="B106" s="5072">
        <v>46241</v>
      </c>
      <c r="C106" s="5079" t="str">
        <v>Friday</v>
      </c>
      <c r="D106" s="5130" t="s">
        <v>4969</v>
      </c>
      <c r="E106" s="5068">
        <f t="shared" si="47"/>
      </c>
      <c r="F106" s="5068" t="s">
        <v>4933</v>
      </c>
      <c r="G106" s="5150"/>
      <c r="H106" s="5068" t="s">
        <v>4845</v>
      </c>
      <c r="I106" s="5069" t="s">
        <v>4846</v>
      </c>
      <c r="J106" s="5148"/>
      <c r="K106" s="5098"/>
      <c r="L106" s="5098"/>
      <c r="M106" s="5098"/>
      <c r="N106" s="5098"/>
      <c r="O106" s="5053"/>
      <c r="P106" s="5053"/>
      <c r="Q106" s="5053"/>
      <c r="R106" s="5053"/>
      <c r="S106" s="5053"/>
      <c r="T106" s="5053"/>
      <c r="U106" s="5055"/>
      <c r="V106" s="5055"/>
      <c r="W106" s="5055"/>
      <c r="X106" s="5055"/>
      <c r="Y106" s="5055"/>
    </row>
    <row customHeight="true" ht="18.452380952380953" r="107">
      <c r="A107" s="5079" t="s">
        <v>4923</v>
      </c>
      <c r="B107" s="5072">
        <v>46241</v>
      </c>
      <c r="C107" s="5079" t="str">
        <v>Friday</v>
      </c>
      <c r="D107" s="5130" t="s">
        <v>4970</v>
      </c>
      <c r="E107" s="5068">
        <f t="shared" si="47"/>
      </c>
      <c r="F107" s="5068" t="s">
        <v>4933</v>
      </c>
      <c r="G107" s="5150"/>
      <c r="H107" s="5068" t="s">
        <v>4845</v>
      </c>
      <c r="I107" s="5069" t="s">
        <v>4846</v>
      </c>
      <c r="J107" s="5148"/>
      <c r="K107" s="5098"/>
      <c r="L107" s="5098"/>
      <c r="M107" s="5098"/>
      <c r="N107" s="5098"/>
      <c r="O107" s="5053"/>
      <c r="P107" s="5053"/>
      <c r="Q107" s="5053"/>
      <c r="R107" s="5053"/>
      <c r="S107" s="5053"/>
      <c r="T107" s="5053"/>
      <c r="U107" s="5055"/>
      <c r="V107" s="5055"/>
      <c r="W107" s="5055"/>
      <c r="X107" s="5055"/>
      <c r="Y107" s="5055"/>
    </row>
    <row customHeight="true" ht="18.452380952380953" r="108">
      <c r="A108" s="5079" t="s">
        <v>4964</v>
      </c>
      <c r="B108" s="5072">
        <v>46243</v>
      </c>
      <c r="C108" s="5079" t="str">
        <v>Sunday</v>
      </c>
      <c r="D108" s="5130" t="s">
        <v>4971</v>
      </c>
      <c r="E108" s="5068">
        <f t="shared" si="47"/>
      </c>
      <c r="F108" s="5068" t="s">
        <v>4892</v>
      </c>
      <c r="G108" s="5146"/>
      <c r="H108" s="5068" t="s">
        <v>4845</v>
      </c>
      <c r="I108" s="5069" t="s">
        <v>4846</v>
      </c>
      <c r="J108" s="5147"/>
      <c r="K108" s="5098"/>
      <c r="L108" s="5098"/>
      <c r="M108" s="5098"/>
      <c r="N108" s="5098"/>
      <c r="O108" s="5053"/>
      <c r="P108" s="5053"/>
      <c r="Q108" s="5053"/>
      <c r="R108" s="5053"/>
      <c r="S108" s="5053"/>
      <c r="T108" s="5053"/>
      <c r="U108" s="5055"/>
      <c r="V108" s="5055"/>
      <c r="W108" s="5055"/>
      <c r="X108" s="5055"/>
      <c r="Y108" s="5055"/>
    </row>
    <row r="109">
      <c r="A109" s="5159" t="s">
        <v>4972</v>
      </c>
      <c r="B109" s="5159"/>
      <c r="C109" s="5159"/>
      <c r="D109" s="5159"/>
      <c r="E109" s="5159"/>
      <c r="F109" s="5159"/>
      <c r="G109" s="5159"/>
      <c r="H109" s="5159"/>
      <c r="I109" s="5159"/>
      <c r="J109" s="5159"/>
      <c r="K109" s="5160"/>
      <c r="L109" s="5160"/>
      <c r="M109" s="5160"/>
      <c r="N109" s="5160"/>
      <c r="O109" s="5161"/>
      <c r="P109" s="5161"/>
      <c r="Q109" s="5161"/>
      <c r="R109" s="5161"/>
      <c r="S109" s="5161"/>
      <c r="T109" s="5161"/>
      <c r="U109" s="5162"/>
      <c r="V109" s="5162"/>
      <c r="W109" s="5162"/>
      <c r="X109" s="5162"/>
      <c r="Y109" s="5162"/>
    </row>
    <row r="110">
      <c r="A110" s="5163" t="s">
        <v>4861</v>
      </c>
      <c r="B110" s="5164" t="s">
        <v>4862</v>
      </c>
      <c r="C110" s="5164"/>
      <c r="D110" s="5165" t="s">
        <v>4863</v>
      </c>
      <c r="E110" s="5166" t="s">
        <v>4864</v>
      </c>
      <c r="F110" s="5166" t="s">
        <v>4865</v>
      </c>
      <c r="G110" s="5167" t="s">
        <v>4877</v>
      </c>
      <c r="H110" s="5168" t="s">
        <v>4867</v>
      </c>
      <c r="I110" s="5168" t="s">
        <v>4868</v>
      </c>
      <c r="J110" s="5169" t="s">
        <v>4869</v>
      </c>
      <c r="K110" s="5160"/>
      <c r="L110" s="5160"/>
      <c r="M110" s="5160"/>
      <c r="N110" s="5160"/>
      <c r="O110" s="5161"/>
      <c r="P110" s="5161"/>
      <c r="Q110" s="5161"/>
      <c r="R110" s="5161"/>
      <c r="S110" s="5161"/>
      <c r="T110" s="5161"/>
      <c r="U110" s="5162"/>
      <c r="V110" s="5162"/>
      <c r="W110" s="5162"/>
      <c r="X110" s="5162"/>
      <c r="Y110" s="5162"/>
    </row>
    <row customHeight="true" ht="18.452380952380953" r="111">
      <c r="A111" s="5079" t="s">
        <v>4972</v>
      </c>
      <c r="B111" s="5072">
        <v>46238</v>
      </c>
      <c r="C111" s="5079" t="str">
        <v>Tuesday</v>
      </c>
      <c r="D111" s="5064" t="s">
        <v>4973</v>
      </c>
      <c r="E111" s="5069">
        <v>3</v>
      </c>
      <c r="F111" s="5170" t="s">
        <v>4974</v>
      </c>
      <c r="G111" s="5146"/>
      <c r="H111" s="5068" t="s">
        <v>4845</v>
      </c>
      <c r="I111" s="5069" t="s">
        <v>4846</v>
      </c>
      <c r="J111" s="5147"/>
      <c r="K111" s="5098"/>
      <c r="L111" s="5098"/>
      <c r="M111" s="5098"/>
      <c r="N111" s="5098"/>
      <c r="O111" s="5053"/>
      <c r="P111" s="5053"/>
      <c r="Q111" s="5053"/>
      <c r="R111" s="5053"/>
      <c r="S111" s="5053"/>
      <c r="T111" s="5053"/>
      <c r="U111" s="5055"/>
      <c r="V111" s="5055"/>
      <c r="W111" s="5055"/>
      <c r="X111" s="5055"/>
      <c r="Y111" s="5055"/>
    </row>
    <row customHeight="true" ht="18.452380952380953" r="112">
      <c r="A112" s="5079" t="s">
        <v>4972</v>
      </c>
      <c r="B112" s="5072">
        <v>46239</v>
      </c>
      <c r="C112" s="5079" t="str">
        <v>Wednesday</v>
      </c>
      <c r="D112" s="5064" t="s">
        <v>4973</v>
      </c>
      <c r="E112" s="5069">
        <v>3</v>
      </c>
      <c r="F112" s="5149" t="s">
        <v>4965</v>
      </c>
      <c r="G112" s="5171" t="s">
        <v>4975</v>
      </c>
      <c r="H112" s="5068" t="s">
        <v>4845</v>
      </c>
      <c r="I112" s="5069" t="s">
        <v>4846</v>
      </c>
      <c r="J112" s="5147"/>
      <c r="K112" s="5098"/>
      <c r="L112" s="5098"/>
      <c r="M112" s="5098"/>
      <c r="N112" s="5098"/>
      <c r="O112" s="5053"/>
      <c r="P112" s="5053"/>
      <c r="Q112" s="5053"/>
      <c r="R112" s="5053"/>
      <c r="S112" s="5053"/>
      <c r="T112" s="5053"/>
      <c r="U112" s="5055"/>
      <c r="V112" s="5055"/>
      <c r="W112" s="5055"/>
      <c r="X112" s="5055"/>
      <c r="Y112" s="5055"/>
    </row>
    <row r="113">
      <c r="A113" s="5079" t="s">
        <v>4972</v>
      </c>
      <c r="B113" s="5072">
        <v>46240</v>
      </c>
      <c r="C113" s="5079" t="str">
        <v>Thursday</v>
      </c>
      <c r="D113" s="5064" t="s">
        <v>4973</v>
      </c>
      <c r="E113" s="5069">
        <v>3</v>
      </c>
      <c r="F113" s="5170" t="s">
        <v>4974</v>
      </c>
      <c r="G113" s="5146"/>
      <c r="H113" s="5068" t="s">
        <v>4845</v>
      </c>
      <c r="I113" s="5069" t="s">
        <v>4846</v>
      </c>
      <c r="J113" s="5147"/>
      <c r="K113" s="5098"/>
      <c r="L113" s="5098"/>
      <c r="M113" s="5098"/>
      <c r="N113" s="5098"/>
      <c r="O113" s="5053"/>
      <c r="P113" s="5053"/>
      <c r="Q113" s="5053"/>
      <c r="R113" s="5053"/>
      <c r="S113" s="5053"/>
      <c r="T113" s="5053"/>
      <c r="U113" s="5055"/>
      <c r="V113" s="5055"/>
      <c r="W113" s="5055"/>
      <c r="X113" s="5055"/>
      <c r="Y113" s="5055"/>
    </row>
    <row customHeight="true" ht="18.105158730161076" r="114">
      <c r="A114" s="5079" t="s">
        <v>4972</v>
      </c>
      <c r="B114" s="5072">
        <v>46241</v>
      </c>
      <c r="C114" s="5079" t="str">
        <v>Friday</v>
      </c>
      <c r="D114" s="5064" t="s">
        <v>4976</v>
      </c>
      <c r="E114" s="5069">
        <v>3</v>
      </c>
      <c r="F114" s="5149" t="s">
        <v>4965</v>
      </c>
      <c r="G114" s="5146"/>
      <c r="H114" s="5068" t="s">
        <v>4845</v>
      </c>
      <c r="I114" s="5069" t="s">
        <v>4846</v>
      </c>
      <c r="J114" s="5147"/>
      <c r="K114" s="5098"/>
      <c r="L114" s="5098"/>
      <c r="M114" s="5098"/>
      <c r="N114" s="5098"/>
      <c r="O114" s="5053"/>
      <c r="P114" s="5053"/>
      <c r="Q114" s="5053"/>
      <c r="R114" s="5053"/>
      <c r="S114" s="5053"/>
      <c r="T114" s="5053"/>
      <c r="U114" s="5055"/>
      <c r="V114" s="5055"/>
      <c r="W114" s="5055"/>
      <c r="X114" s="5055"/>
      <c r="Y114" s="5055"/>
    </row>
    <row r="115">
      <c r="A115" s="5079" t="s">
        <v>4972</v>
      </c>
      <c r="B115" s="5072">
        <v>46242</v>
      </c>
      <c r="C115" s="5079" t="str">
        <v>Saturday</v>
      </c>
      <c r="D115" s="5064" t="s">
        <v>4921</v>
      </c>
      <c r="E115" s="5069">
        <v>3</v>
      </c>
      <c r="F115" s="5170" t="s">
        <v>4974</v>
      </c>
      <c r="G115" s="5146" t="s">
        <v>4975</v>
      </c>
      <c r="H115" s="5068" t="s">
        <v>4845</v>
      </c>
      <c r="I115" s="5069" t="s">
        <v>4846</v>
      </c>
      <c r="J115" s="5147"/>
      <c r="K115" s="5098"/>
      <c r="L115" s="5098"/>
      <c r="M115" s="5098"/>
      <c r="N115" s="5098"/>
      <c r="O115" s="5053"/>
      <c r="P115" s="5053"/>
      <c r="Q115" s="5053"/>
      <c r="R115" s="5053"/>
      <c r="S115" s="5053"/>
      <c r="T115" s="5053"/>
      <c r="U115" s="5055"/>
      <c r="V115" s="5055"/>
      <c r="W115" s="5055"/>
      <c r="X115" s="5055"/>
      <c r="Y115" s="5055"/>
    </row>
    <row customHeight="true" ht="18.452380952380953" r="116">
      <c r="A116" s="5079" t="s">
        <v>4972</v>
      </c>
      <c r="B116" s="5072">
        <v>46243</v>
      </c>
      <c r="C116" s="5079" t="str">
        <v>Sunday</v>
      </c>
      <c r="D116" s="5064" t="s">
        <v>4977</v>
      </c>
      <c r="E116" s="5069">
        <v>3</v>
      </c>
      <c r="F116" s="5170" t="s">
        <v>4974</v>
      </c>
      <c r="G116" s="5146" t="s">
        <v>4975</v>
      </c>
      <c r="H116" s="5068" t="s">
        <v>4845</v>
      </c>
      <c r="I116" s="5069" t="s">
        <v>4846</v>
      </c>
      <c r="J116" s="5147"/>
      <c r="K116" s="5098"/>
      <c r="L116" s="5098"/>
      <c r="M116" s="5098"/>
      <c r="N116" s="5098"/>
      <c r="O116" s="5053"/>
      <c r="P116" s="5053"/>
      <c r="Q116" s="5053"/>
      <c r="R116" s="5053"/>
      <c r="S116" s="5053"/>
      <c r="T116" s="5053"/>
      <c r="U116" s="5055"/>
      <c r="V116" s="5055"/>
      <c r="W116" s="5055"/>
      <c r="X116" s="5055"/>
      <c r="Y116" s="5055"/>
    </row>
    <row customHeight="true" ht="18.452380952380953" r="117">
      <c r="A117" s="5079" t="s">
        <v>4978</v>
      </c>
      <c r="B117" s="5072">
        <v>46238</v>
      </c>
      <c r="C117" s="5079" t="str">
        <v>Tuesday</v>
      </c>
      <c r="D117" s="5064" t="s">
        <v>4945</v>
      </c>
      <c r="E117" s="5068">
        <f t="shared" ref="E117:E119" si="48">24*MOD(TIMEVALUE(TRIM(MID(D117,FIND("-",D117)+1,LEN(D117)))) - TIMEVALUE(TRIM(LEFT(D117,FIND("-",D117)-1))),1)</f>
      </c>
      <c r="F117" s="5170" t="s">
        <v>4974</v>
      </c>
      <c r="G117" s="5146"/>
      <c r="H117" s="5068"/>
      <c r="I117" s="5069" t="s">
        <v>4846</v>
      </c>
      <c r="J117" s="5147"/>
      <c r="K117" s="5098"/>
      <c r="L117" s="5098"/>
      <c r="M117" s="5098"/>
      <c r="N117" s="5098"/>
      <c r="O117" s="5053"/>
      <c r="P117" s="5053"/>
      <c r="Q117" s="5053"/>
      <c r="R117" s="5053"/>
      <c r="S117" s="5053"/>
      <c r="T117" s="5053"/>
      <c r="U117" s="5055"/>
      <c r="V117" s="5055"/>
      <c r="W117" s="5055"/>
      <c r="X117" s="5055"/>
      <c r="Y117" s="5055"/>
    </row>
    <row customHeight="true" ht="18.452380952380953" r="118">
      <c r="A118" s="5079" t="s">
        <v>4978</v>
      </c>
      <c r="B118" s="5072">
        <v>46240</v>
      </c>
      <c r="C118" s="5079" t="str">
        <v>Thursday</v>
      </c>
      <c r="D118" s="5064" t="s">
        <v>4979</v>
      </c>
      <c r="E118" s="5068">
        <f t="shared" si="48"/>
      </c>
      <c r="F118" s="5149" t="s">
        <v>4980</v>
      </c>
      <c r="G118" s="5146"/>
      <c r="H118" s="5068"/>
      <c r="I118" s="5069"/>
      <c r="J118" s="5147"/>
      <c r="K118" s="5098"/>
      <c r="L118" s="5098"/>
      <c r="M118" s="5098"/>
      <c r="N118" s="5098"/>
      <c r="O118" s="5053"/>
      <c r="P118" s="5053"/>
      <c r="Q118" s="5053"/>
      <c r="R118" s="5053"/>
      <c r="S118" s="5053"/>
      <c r="T118" s="5053"/>
      <c r="U118" s="5055"/>
      <c r="V118" s="5055"/>
      <c r="W118" s="5055"/>
      <c r="X118" s="5055"/>
      <c r="Y118" s="5055"/>
    </row>
    <row r="119">
      <c r="A119" s="5079" t="s">
        <v>4978</v>
      </c>
      <c r="B119" s="5072">
        <v>46240</v>
      </c>
      <c r="C119" s="5079" t="str">
        <v>Thursday</v>
      </c>
      <c r="D119" s="5064" t="s">
        <v>4979</v>
      </c>
      <c r="E119" s="5172">
        <f t="shared" si="48"/>
      </c>
      <c r="F119" s="5149" t="s">
        <v>4892</v>
      </c>
      <c r="G119" s="5173"/>
      <c r="H119" s="5068"/>
      <c r="I119" s="5069" t="s">
        <v>4875</v>
      </c>
      <c r="J119" s="5147"/>
      <c r="K119" s="5098"/>
      <c r="L119" s="5098"/>
      <c r="M119" s="5098"/>
      <c r="N119" s="5098"/>
      <c r="O119" s="5053"/>
      <c r="P119" s="5053"/>
      <c r="Q119" s="5053"/>
      <c r="R119" s="5053"/>
      <c r="S119" s="5053"/>
      <c r="T119" s="5053"/>
      <c r="U119" s="5055"/>
      <c r="V119" s="5055"/>
      <c r="W119" s="5055"/>
      <c r="X119" s="5055"/>
      <c r="Y119" s="5055"/>
    </row>
    <row customHeight="true" ht="18.452380952380953" r="120">
      <c r="A120" s="5079" t="s">
        <v>4981</v>
      </c>
      <c r="B120" s="5072">
        <v>46238</v>
      </c>
      <c r="C120" s="5079" t="str">
        <v>Tuesday</v>
      </c>
      <c r="D120" s="5064" t="s">
        <v>4982</v>
      </c>
      <c r="E120" s="5069">
        <v>3</v>
      </c>
      <c r="F120" s="5068" t="s">
        <v>4941</v>
      </c>
      <c r="G120" s="5146"/>
      <c r="H120" s="5068" t="s">
        <v>4845</v>
      </c>
      <c r="I120" s="5069" t="s">
        <v>4875</v>
      </c>
      <c r="J120" s="5147"/>
      <c r="K120" s="5098"/>
      <c r="L120" s="5098"/>
      <c r="M120" s="5098"/>
      <c r="N120" s="5098"/>
      <c r="O120" s="5053"/>
      <c r="P120" s="5053"/>
      <c r="Q120" s="5053"/>
      <c r="R120" s="5053"/>
      <c r="S120" s="5053"/>
      <c r="T120" s="5053"/>
      <c r="U120" s="5055"/>
      <c r="V120" s="5055"/>
      <c r="W120" s="5055"/>
      <c r="X120" s="5055"/>
      <c r="Y120" s="5055"/>
    </row>
    <row customHeight="true" ht="18.452380952380953" r="121">
      <c r="A121" s="5079" t="s">
        <v>4981</v>
      </c>
      <c r="B121" s="5072">
        <v>46239</v>
      </c>
      <c r="C121" s="5079" t="str">
        <v>Wednesday</v>
      </c>
      <c r="D121" s="5064" t="s">
        <v>4983</v>
      </c>
      <c r="E121" s="5064">
        <v>1.83</v>
      </c>
      <c r="F121" s="5081" t="s">
        <v>4937</v>
      </c>
      <c r="G121" s="5171" t="s">
        <v>4984</v>
      </c>
      <c r="H121" s="5068" t="s">
        <v>4845</v>
      </c>
      <c r="I121" s="5069" t="s">
        <v>4875</v>
      </c>
      <c r="J121" s="5147"/>
      <c r="K121" s="5098"/>
      <c r="L121" s="5098"/>
      <c r="M121" s="5098"/>
      <c r="N121" s="5098"/>
      <c r="O121" s="5053"/>
      <c r="P121" s="5053"/>
      <c r="Q121" s="5053"/>
      <c r="R121" s="5053"/>
      <c r="S121" s="5053"/>
      <c r="T121" s="5053"/>
      <c r="U121" s="5055"/>
      <c r="V121" s="5055"/>
      <c r="W121" s="5055"/>
      <c r="X121" s="5055"/>
      <c r="Y121" s="5055"/>
    </row>
    <row customHeight="true" ht="18.452380952380953" r="122">
      <c r="A122" s="5079" t="s">
        <v>4981</v>
      </c>
      <c r="B122" s="5072">
        <v>46240</v>
      </c>
      <c r="C122" s="5079" t="str">
        <v>Thursday</v>
      </c>
      <c r="D122" s="5064" t="s">
        <v>4982</v>
      </c>
      <c r="E122" s="5069">
        <v>3</v>
      </c>
      <c r="F122" s="5068" t="s">
        <v>4941</v>
      </c>
      <c r="G122" s="5146"/>
      <c r="H122" s="5068" t="s">
        <v>4845</v>
      </c>
      <c r="I122" s="5069" t="s">
        <v>4875</v>
      </c>
      <c r="J122" s="5147"/>
      <c r="K122" s="5098"/>
      <c r="L122" s="5098"/>
      <c r="M122" s="5098"/>
      <c r="N122" s="5098"/>
      <c r="O122" s="5053"/>
      <c r="P122" s="5053"/>
      <c r="Q122" s="5053"/>
      <c r="R122" s="5053"/>
      <c r="S122" s="5053"/>
      <c r="T122" s="5053"/>
      <c r="U122" s="5055"/>
      <c r="V122" s="5055"/>
      <c r="W122" s="5055"/>
      <c r="X122" s="5055"/>
      <c r="Y122" s="5055"/>
    </row>
    <row customHeight="true" ht="18.452380952380953" r="123">
      <c r="A123" s="5079" t="s">
        <v>4981</v>
      </c>
      <c r="B123" s="5072">
        <v>46241</v>
      </c>
      <c r="C123" s="5079" t="str">
        <v>Friday</v>
      </c>
      <c r="D123" s="5064" t="s">
        <v>4976</v>
      </c>
      <c r="E123" s="5069">
        <v>3</v>
      </c>
      <c r="F123" s="5068" t="s">
        <v>4941</v>
      </c>
      <c r="G123" s="5146"/>
      <c r="H123" s="5068" t="s">
        <v>4845</v>
      </c>
      <c r="I123" s="5069" t="s">
        <v>4875</v>
      </c>
      <c r="J123" s="5147"/>
      <c r="K123" s="5098"/>
      <c r="L123" s="5098"/>
      <c r="M123" s="5098"/>
      <c r="N123" s="5098"/>
      <c r="O123" s="5053"/>
      <c r="P123" s="5053"/>
      <c r="Q123" s="5053"/>
      <c r="R123" s="5053"/>
      <c r="S123" s="5053"/>
      <c r="T123" s="5053"/>
      <c r="U123" s="5055"/>
      <c r="V123" s="5055"/>
      <c r="W123" s="5055"/>
      <c r="X123" s="5055"/>
      <c r="Y123" s="5055"/>
    </row>
    <row r="124">
      <c r="A124" s="5174" t="s">
        <v>4985</v>
      </c>
      <c r="B124" s="5174"/>
      <c r="C124" s="5174"/>
      <c r="D124" s="5174"/>
      <c r="E124" s="5175"/>
      <c r="F124" s="5174"/>
      <c r="G124" s="5175"/>
      <c r="H124" s="5174"/>
      <c r="I124" s="5174"/>
      <c r="J124" s="5174"/>
      <c r="K124" s="5055"/>
      <c r="L124" s="5055"/>
      <c r="M124" s="5055"/>
      <c r="N124" s="5055"/>
      <c r="O124" s="5055"/>
      <c r="P124" s="5055"/>
      <c r="Q124" s="5055"/>
      <c r="R124" s="5055"/>
      <c r="S124" s="5055"/>
      <c r="T124" s="5055"/>
      <c r="U124" s="5055"/>
      <c r="V124" s="5055"/>
      <c r="W124" s="5055"/>
      <c r="X124" s="5055"/>
      <c r="Y124" s="5055"/>
    </row>
    <row r="125">
      <c r="A125" s="5176" t="s">
        <v>4861</v>
      </c>
      <c r="B125" s="5177" t="s">
        <v>4862</v>
      </c>
      <c r="C125" s="5177"/>
      <c r="D125" s="5178" t="s">
        <v>4863</v>
      </c>
      <c r="E125" s="5179" t="s">
        <v>4864</v>
      </c>
      <c r="F125" s="5179" t="s">
        <v>4865</v>
      </c>
      <c r="G125" s="5180" t="s">
        <v>4877</v>
      </c>
      <c r="H125" s="5181" t="s">
        <v>4867</v>
      </c>
      <c r="I125" s="5181" t="s">
        <v>4868</v>
      </c>
      <c r="J125" s="5182" t="s">
        <v>4869</v>
      </c>
      <c r="K125" s="5055"/>
      <c r="L125" s="5055"/>
      <c r="M125" s="5055"/>
      <c r="N125" s="5055"/>
      <c r="O125" s="5055"/>
      <c r="P125" s="5055"/>
      <c r="Q125" s="5055"/>
      <c r="R125" s="5055"/>
      <c r="S125" s="5055"/>
      <c r="T125" s="5055"/>
      <c r="U125" s="5055"/>
      <c r="V125" s="5055"/>
      <c r="W125" s="5055"/>
      <c r="X125" s="5055"/>
      <c r="Y125" s="5055"/>
    </row>
    <row r="126">
      <c r="A126" s="5079" t="s">
        <v>4986</v>
      </c>
      <c r="B126" s="5072">
        <v>46243</v>
      </c>
      <c r="C126" s="5079" t="str">
        <v>Sunday</v>
      </c>
      <c r="D126" s="5130" t="s">
        <v>4987</v>
      </c>
      <c r="E126" s="5064">
        <v>1</v>
      </c>
      <c r="F126" s="5105" t="s">
        <v>4908</v>
      </c>
      <c r="G126" s="5150"/>
      <c r="H126" s="5068"/>
      <c r="I126" s="5069"/>
      <c r="J126" s="5147"/>
      <c r="K126" s="5053"/>
      <c r="L126" s="5053"/>
      <c r="M126" s="5053"/>
      <c r="N126" s="5053"/>
      <c r="O126" s="5053"/>
      <c r="P126" s="5053"/>
      <c r="Q126" s="5053"/>
      <c r="R126" s="5053"/>
      <c r="S126" s="5053"/>
      <c r="T126" s="5053"/>
      <c r="U126" s="5055"/>
      <c r="V126" s="5055"/>
      <c r="W126" s="5055"/>
      <c r="X126" s="5055"/>
      <c r="Y126" s="5055"/>
    </row>
    <row customHeight="true" ht="16.071428571428573" r="127">
      <c r="A127" s="5079" t="s">
        <v>4988</v>
      </c>
      <c r="B127" s="5072">
        <v>46241</v>
      </c>
      <c r="C127" s="5079" t="str">
        <v>Friday</v>
      </c>
      <c r="D127" s="5130" t="s">
        <v>4989</v>
      </c>
      <c r="E127" s="5130">
        <v>5</v>
      </c>
      <c r="F127" s="5105" t="s">
        <v>4908</v>
      </c>
      <c r="G127" s="5150"/>
      <c r="H127" s="5068"/>
      <c r="I127" s="5069"/>
      <c r="J127" s="5147"/>
      <c r="K127" s="5053"/>
      <c r="L127" s="5053"/>
      <c r="M127" s="5053"/>
      <c r="N127" s="5053"/>
      <c r="O127" s="5053"/>
      <c r="P127" s="5053"/>
      <c r="Q127" s="5053"/>
      <c r="R127" s="5053"/>
      <c r="S127" s="5053"/>
      <c r="T127" s="5053"/>
      <c r="U127" s="5055"/>
      <c r="V127" s="5055"/>
      <c r="W127" s="5055"/>
      <c r="X127" s="5055"/>
      <c r="Y127" s="5055"/>
    </row>
    <row customHeight="true" ht="16.071428571428573" r="128">
      <c r="A128" s="5079" t="s">
        <v>4988</v>
      </c>
      <c r="B128" s="5072">
        <v>46241</v>
      </c>
      <c r="C128" s="5079" t="str">
        <v>Friday</v>
      </c>
      <c r="D128" s="5130" t="s">
        <v>4990</v>
      </c>
      <c r="E128" s="5130">
        <v>3</v>
      </c>
      <c r="F128" s="5068" t="s">
        <v>4941</v>
      </c>
      <c r="G128" s="5150"/>
      <c r="H128" s="5068"/>
      <c r="I128" s="5069"/>
      <c r="J128" s="5147"/>
      <c r="K128" s="5053"/>
      <c r="L128" s="5053"/>
      <c r="M128" s="5053"/>
      <c r="N128" s="5053"/>
      <c r="O128" s="5053"/>
      <c r="P128" s="5053"/>
      <c r="Q128" s="5053"/>
      <c r="R128" s="5053"/>
      <c r="S128" s="5053"/>
      <c r="T128" s="5053"/>
      <c r="U128" s="5055"/>
      <c r="V128" s="5055"/>
      <c r="W128" s="5055"/>
      <c r="X128" s="5055"/>
      <c r="Y128" s="5055"/>
    </row>
    <row customHeight="true" ht="16.071428571428573" r="129">
      <c r="A129" s="5079" t="s">
        <v>4988</v>
      </c>
      <c r="B129" s="5072">
        <v>46243</v>
      </c>
      <c r="C129" s="5079" t="str">
        <v>Sunday</v>
      </c>
      <c r="D129" s="5130" t="s">
        <v>4991</v>
      </c>
      <c r="E129" s="5130">
        <v>2</v>
      </c>
      <c r="F129" s="5105" t="s">
        <v>4908</v>
      </c>
      <c r="G129" s="5150"/>
      <c r="H129" s="5068"/>
      <c r="I129" s="5069"/>
      <c r="J129" s="5147"/>
      <c r="K129" s="5053"/>
      <c r="L129" s="5053"/>
      <c r="M129" s="5053"/>
      <c r="N129" s="5053"/>
      <c r="O129" s="5053"/>
      <c r="P129" s="5053"/>
      <c r="Q129" s="5053"/>
      <c r="R129" s="5053"/>
      <c r="S129" s="5053"/>
      <c r="T129" s="5053"/>
      <c r="U129" s="5055"/>
      <c r="V129" s="5055"/>
      <c r="W129" s="5055"/>
      <c r="X129" s="5055"/>
      <c r="Y129" s="5055"/>
    </row>
    <row r="130">
      <c r="A130" s="5183" t="s">
        <v>4992</v>
      </c>
      <c r="B130" s="5183"/>
      <c r="C130" s="5183"/>
      <c r="D130" s="5183"/>
      <c r="E130" s="5183"/>
      <c r="F130" s="5183"/>
      <c r="G130" s="5183"/>
      <c r="H130" s="5183"/>
      <c r="I130" s="5183"/>
      <c r="J130" s="5183"/>
      <c r="K130" s="5053"/>
      <c r="L130" s="5053"/>
      <c r="M130" s="5053"/>
      <c r="N130" s="5053"/>
      <c r="O130" s="5053"/>
      <c r="P130" s="5053"/>
      <c r="Q130" s="5053"/>
      <c r="R130" s="5053"/>
      <c r="S130" s="5053"/>
      <c r="T130" s="5053"/>
      <c r="U130" s="5055"/>
      <c r="V130" s="5055"/>
      <c r="W130" s="5055"/>
      <c r="X130" s="5055"/>
      <c r="Y130" s="5055"/>
    </row>
    <row r="131">
      <c r="A131" s="5074" t="s">
        <v>4861</v>
      </c>
      <c r="B131" s="5075" t="s">
        <v>4862</v>
      </c>
      <c r="C131" s="5075"/>
      <c r="D131" s="5076" t="s">
        <v>4863</v>
      </c>
      <c r="E131" s="5076" t="s">
        <v>4864</v>
      </c>
      <c r="F131" s="5076" t="s">
        <v>4865</v>
      </c>
      <c r="G131" s="5184" t="s">
        <v>4877</v>
      </c>
      <c r="H131" s="5076" t="s">
        <v>4867</v>
      </c>
      <c r="I131" s="5076" t="s">
        <v>4868</v>
      </c>
      <c r="J131" s="5076" t="s">
        <v>4869</v>
      </c>
      <c r="K131" s="5053"/>
      <c r="L131" s="5053"/>
      <c r="M131" s="5053"/>
      <c r="N131" s="5053"/>
      <c r="O131" s="5053"/>
      <c r="P131" s="5053"/>
      <c r="Q131" s="5053"/>
      <c r="R131" s="5053"/>
      <c r="S131" s="5053"/>
      <c r="T131" s="5053"/>
      <c r="U131" s="5055"/>
      <c r="V131" s="5055"/>
      <c r="W131" s="5055"/>
      <c r="X131" s="5055"/>
      <c r="Y131" s="5055"/>
    </row>
    <row r="132">
      <c r="A132" s="5079" t="s">
        <v>4992</v>
      </c>
      <c r="B132" s="5072">
        <v>46237</v>
      </c>
      <c r="C132" s="5079" t="str">
        <v>Monday</v>
      </c>
      <c r="D132" s="5069" t="s">
        <v>4993</v>
      </c>
      <c r="E132" s="5068">
        <f t="shared" ref="E132:E136" si="49">24*MOD(TIMEVALUE(TRIM(MID(D132,FIND("-",D132)+1,LEN(D132)))) - TIMEVALUE(TRIM(LEFT(D132,FIND("-",D132)-1))),1)</f>
      </c>
      <c r="F132" s="5068" t="s">
        <v>4926</v>
      </c>
      <c r="G132" s="5146"/>
      <c r="H132" s="5068" t="s">
        <v>4859</v>
      </c>
      <c r="I132" s="5068"/>
      <c r="J132" s="5068"/>
      <c r="K132" s="5053"/>
      <c r="L132" s="5053"/>
      <c r="M132" s="5053"/>
      <c r="N132" s="5053"/>
      <c r="O132" s="5053"/>
      <c r="P132" s="5053"/>
      <c r="Q132" s="5053"/>
      <c r="R132" s="5053"/>
      <c r="S132" s="5053"/>
      <c r="T132" s="5053"/>
      <c r="U132" s="5055"/>
      <c r="V132" s="5055"/>
      <c r="W132" s="5055"/>
      <c r="X132" s="5055"/>
      <c r="Y132" s="5055"/>
    </row>
    <row r="133">
      <c r="A133" s="5079" t="s">
        <v>4992</v>
      </c>
      <c r="B133" s="5072">
        <v>46238</v>
      </c>
      <c r="C133" s="5079" t="str">
        <v>Tuesday</v>
      </c>
      <c r="D133" s="5069" t="s">
        <v>4993</v>
      </c>
      <c r="E133" s="5068">
        <f t="shared" si="49"/>
      </c>
      <c r="F133" s="5068" t="s">
        <v>4994</v>
      </c>
      <c r="G133" s="5146"/>
      <c r="H133" s="5068" t="s">
        <v>4859</v>
      </c>
      <c r="I133" s="5068"/>
      <c r="J133" s="5068"/>
      <c r="K133" s="5053"/>
      <c r="L133" s="5053"/>
      <c r="M133" s="5053"/>
      <c r="N133" s="5053"/>
      <c r="O133" s="5053"/>
      <c r="P133" s="5053"/>
      <c r="Q133" s="5053"/>
      <c r="R133" s="5053"/>
      <c r="S133" s="5053"/>
      <c r="T133" s="5053"/>
      <c r="U133" s="5055"/>
      <c r="V133" s="5055"/>
      <c r="W133" s="5055"/>
      <c r="X133" s="5055"/>
      <c r="Y133" s="5055"/>
    </row>
    <row r="134">
      <c r="A134" s="5079" t="s">
        <v>4992</v>
      </c>
      <c r="B134" s="5072">
        <v>46239</v>
      </c>
      <c r="C134" s="5079" t="str">
        <v>Wednesday</v>
      </c>
      <c r="D134" s="5069" t="s">
        <v>4993</v>
      </c>
      <c r="E134" s="5068">
        <f t="shared" si="49"/>
      </c>
      <c r="F134" s="5068" t="s">
        <v>4994</v>
      </c>
      <c r="G134" s="5146"/>
      <c r="H134" s="5069" t="s">
        <v>4859</v>
      </c>
      <c r="I134" s="5069"/>
      <c r="J134" s="5069"/>
      <c r="K134" s="5053"/>
      <c r="L134" s="5053"/>
      <c r="M134" s="5053"/>
      <c r="N134" s="5053"/>
      <c r="O134" s="5053"/>
      <c r="P134" s="5053"/>
      <c r="Q134" s="5053"/>
      <c r="R134" s="5053"/>
      <c r="S134" s="5053"/>
      <c r="T134" s="5053"/>
      <c r="U134" s="5055"/>
      <c r="V134" s="5055"/>
      <c r="W134" s="5055"/>
      <c r="X134" s="5055"/>
      <c r="Y134" s="5055"/>
    </row>
    <row r="135">
      <c r="A135" s="5079" t="s">
        <v>4992</v>
      </c>
      <c r="B135" s="5072">
        <v>46240</v>
      </c>
      <c r="C135" s="5079" t="str">
        <v>Thursday</v>
      </c>
      <c r="D135" s="5069" t="s">
        <v>4993</v>
      </c>
      <c r="E135" s="5068">
        <f t="shared" si="49"/>
      </c>
      <c r="F135" s="5068" t="s">
        <v>4994</v>
      </c>
      <c r="G135" s="5146"/>
      <c r="H135" s="5068" t="s">
        <v>4859</v>
      </c>
      <c r="I135" s="5068"/>
      <c r="J135" s="5068"/>
      <c r="K135" s="5053"/>
      <c r="L135" s="5053"/>
      <c r="M135" s="5053"/>
      <c r="N135" s="5053"/>
      <c r="O135" s="5053"/>
      <c r="P135" s="5053"/>
      <c r="Q135" s="5053"/>
      <c r="R135" s="5053"/>
      <c r="S135" s="5053"/>
      <c r="T135" s="5053"/>
      <c r="U135" s="5055"/>
      <c r="V135" s="5055"/>
      <c r="W135" s="5055"/>
      <c r="X135" s="5055"/>
      <c r="Y135" s="5055"/>
    </row>
    <row r="136">
      <c r="A136" s="5079" t="s">
        <v>4992</v>
      </c>
      <c r="B136" s="5072">
        <v>46241</v>
      </c>
      <c r="C136" s="5079" t="str">
        <v>Friday</v>
      </c>
      <c r="D136" s="5069" t="s">
        <v>4993</v>
      </c>
      <c r="E136" s="5068">
        <f t="shared" si="49"/>
      </c>
      <c r="F136" s="5068" t="s">
        <v>4994</v>
      </c>
      <c r="G136" s="5146"/>
      <c r="H136" s="5068" t="s">
        <v>4859</v>
      </c>
      <c r="I136" s="5068"/>
      <c r="J136" s="5068"/>
      <c r="K136" s="5053"/>
      <c r="L136" s="5053"/>
      <c r="M136" s="5053"/>
      <c r="N136" s="5053"/>
      <c r="O136" s="5053"/>
      <c r="P136" s="5053"/>
      <c r="Q136" s="5053"/>
      <c r="R136" s="5053"/>
      <c r="S136" s="5053"/>
      <c r="T136" s="5053"/>
      <c r="U136" s="5055"/>
      <c r="V136" s="5055"/>
      <c r="W136" s="5055"/>
      <c r="X136" s="5055"/>
      <c r="Y136" s="5055"/>
    </row>
    <row customHeight="true" ht="18.452380952380953" r="137">
      <c r="A137" s="5079" t="s">
        <v>4992</v>
      </c>
      <c r="B137" s="5072">
        <v>46243</v>
      </c>
      <c r="C137" s="5079" t="str">
        <v>Sunday</v>
      </c>
      <c r="D137" s="5064" t="s">
        <v>4921</v>
      </c>
      <c r="E137" s="5130">
        <v>3</v>
      </c>
      <c r="F137" s="5068" t="s">
        <v>4926</v>
      </c>
      <c r="G137" s="5146"/>
      <c r="H137" s="5068" t="s">
        <v>4859</v>
      </c>
      <c r="I137" s="5068"/>
      <c r="J137" s="5068"/>
      <c r="K137" s="5053"/>
      <c r="L137" s="5053"/>
      <c r="M137" s="5053"/>
      <c r="N137" s="5053"/>
      <c r="O137" s="5053"/>
      <c r="P137" s="5053"/>
      <c r="Q137" s="5053"/>
      <c r="R137" s="5053"/>
      <c r="S137" s="5053"/>
      <c r="T137" s="5053"/>
      <c r="U137" s="5055"/>
      <c r="V137" s="5055"/>
      <c r="W137" s="5055"/>
      <c r="X137" s="5055"/>
      <c r="Y137" s="5055"/>
    </row>
    <row r="138">
      <c r="A138" s="5079" t="s">
        <v>4995</v>
      </c>
      <c r="B138" s="5185">
        <v>46237</v>
      </c>
      <c r="C138" s="5079" t="str">
        <v>Monday</v>
      </c>
      <c r="D138" s="5064" t="s">
        <v>4996</v>
      </c>
      <c r="E138" s="5068">
        <f t="shared" ref="E138:E143" si="50">24*MOD(TIMEVALUE(TRIM(MID(D138,FIND("-",D138)+1,LEN(D138)))) - TIMEVALUE(TRIM(LEFT(D138,FIND("-",D138)-1))),1)</f>
      </c>
      <c r="F138" s="5068" t="s">
        <v>4997</v>
      </c>
      <c r="G138" s="5150"/>
      <c r="H138" s="5069"/>
      <c r="I138" s="5069"/>
      <c r="J138" s="5069"/>
      <c r="K138" s="5053"/>
      <c r="L138" s="5053"/>
      <c r="M138" s="5053"/>
      <c r="N138" s="5053"/>
      <c r="O138" s="5053"/>
      <c r="P138" s="5053"/>
      <c r="Q138" s="5053"/>
      <c r="R138" s="5053"/>
      <c r="S138" s="5053"/>
      <c r="T138" s="5053"/>
      <c r="U138" s="5055"/>
      <c r="V138" s="5055"/>
      <c r="W138" s="5055"/>
      <c r="X138" s="5055"/>
      <c r="Y138" s="5055"/>
    </row>
    <row r="139">
      <c r="A139" s="5079" t="s">
        <v>4995</v>
      </c>
      <c r="B139" s="5185">
        <v>46238</v>
      </c>
      <c r="C139" s="5079" t="str">
        <v>Tuesday</v>
      </c>
      <c r="D139" s="5064" t="s">
        <v>4996</v>
      </c>
      <c r="E139" s="5068">
        <f t="shared" si="50"/>
      </c>
      <c r="F139" s="5068" t="s">
        <v>4998</v>
      </c>
      <c r="G139" s="5150"/>
      <c r="H139" s="5069"/>
      <c r="I139" s="5069"/>
      <c r="J139" s="5069"/>
      <c r="K139" s="5053"/>
      <c r="L139" s="5053"/>
      <c r="M139" s="5053"/>
      <c r="N139" s="5053"/>
      <c r="O139" s="5053"/>
      <c r="P139" s="5053"/>
      <c r="Q139" s="5053"/>
      <c r="R139" s="5053"/>
      <c r="S139" s="5053"/>
      <c r="T139" s="5053"/>
      <c r="U139" s="5055"/>
      <c r="V139" s="5055"/>
      <c r="W139" s="5055"/>
      <c r="X139" s="5055"/>
      <c r="Y139" s="5055"/>
    </row>
    <row r="140">
      <c r="A140" s="5079" t="s">
        <v>4995</v>
      </c>
      <c r="B140" s="5185">
        <v>46239</v>
      </c>
      <c r="C140" s="5079" t="str">
        <v>Wednesday</v>
      </c>
      <c r="D140" s="5064" t="s">
        <v>4996</v>
      </c>
      <c r="E140" s="5068">
        <f t="shared" si="50"/>
      </c>
      <c r="F140" s="5068" t="s">
        <v>4998</v>
      </c>
      <c r="G140" s="5150"/>
      <c r="H140" s="5069"/>
      <c r="I140" s="5069"/>
      <c r="J140" s="5069"/>
      <c r="K140" s="5053"/>
      <c r="L140" s="5053"/>
      <c r="M140" s="5053"/>
      <c r="N140" s="5053"/>
      <c r="O140" s="5053"/>
      <c r="P140" s="5053"/>
      <c r="Q140" s="5053"/>
      <c r="R140" s="5053"/>
      <c r="S140" s="5053"/>
      <c r="T140" s="5053"/>
      <c r="U140" s="5055"/>
      <c r="V140" s="5055"/>
      <c r="W140" s="5055"/>
      <c r="X140" s="5055"/>
      <c r="Y140" s="5055"/>
    </row>
    <row r="141">
      <c r="A141" s="5079" t="s">
        <v>4995</v>
      </c>
      <c r="B141" s="5185">
        <v>46240</v>
      </c>
      <c r="C141" s="5079" t="str">
        <v>Thursday</v>
      </c>
      <c r="D141" s="5064" t="s">
        <v>4996</v>
      </c>
      <c r="E141" s="5068">
        <f t="shared" si="50"/>
      </c>
      <c r="F141" s="5068" t="s">
        <v>4998</v>
      </c>
      <c r="G141" s="5150"/>
      <c r="H141" s="5069"/>
      <c r="I141" s="5069"/>
      <c r="J141" s="5069"/>
      <c r="K141" s="5053"/>
      <c r="L141" s="5053"/>
      <c r="M141" s="5053"/>
      <c r="N141" s="5053"/>
      <c r="O141" s="5053"/>
      <c r="P141" s="5053"/>
      <c r="Q141" s="5053"/>
      <c r="R141" s="5053"/>
      <c r="S141" s="5053"/>
      <c r="T141" s="5053"/>
      <c r="U141" s="5055"/>
      <c r="V141" s="5055"/>
      <c r="W141" s="5055"/>
      <c r="X141" s="5055"/>
      <c r="Y141" s="5055"/>
    </row>
    <row r="142">
      <c r="A142" s="5079" t="s">
        <v>4995</v>
      </c>
      <c r="B142" s="5185">
        <v>46241</v>
      </c>
      <c r="C142" s="5079" t="str">
        <v>Friday</v>
      </c>
      <c r="D142" s="5064" t="s">
        <v>4996</v>
      </c>
      <c r="E142" s="5068">
        <f t="shared" si="50"/>
      </c>
      <c r="F142" s="5068" t="s">
        <v>4997</v>
      </c>
      <c r="G142" s="5150"/>
      <c r="H142" s="5069"/>
      <c r="I142" s="5055"/>
      <c r="J142" s="5055"/>
      <c r="K142" s="5053"/>
      <c r="L142" s="5053"/>
      <c r="M142" s="5053"/>
      <c r="N142" s="5053"/>
      <c r="O142" s="5053"/>
      <c r="P142" s="5053"/>
      <c r="Q142" s="5053"/>
      <c r="R142" s="5053"/>
      <c r="S142" s="5053"/>
      <c r="T142" s="5053"/>
      <c r="U142" s="5055"/>
      <c r="V142" s="5055"/>
      <c r="W142" s="5055"/>
      <c r="X142" s="5055"/>
      <c r="Y142" s="5055"/>
    </row>
    <row r="143">
      <c r="A143" s="5079" t="s">
        <v>4995</v>
      </c>
      <c r="B143" s="5185">
        <v>46243</v>
      </c>
      <c r="C143" s="5079" t="str">
        <v>Sunday</v>
      </c>
      <c r="D143" s="5064" t="s">
        <v>4999</v>
      </c>
      <c r="E143" s="5068">
        <f t="shared" si="50"/>
      </c>
      <c r="F143" s="5068" t="s">
        <v>4997</v>
      </c>
      <c r="G143" s="5150"/>
      <c r="H143" s="5068"/>
      <c r="I143" s="5068"/>
      <c r="J143" s="5068"/>
      <c r="K143" s="5053"/>
      <c r="L143" s="5053"/>
      <c r="M143" s="5053"/>
      <c r="N143" s="5053"/>
      <c r="O143" s="5053"/>
      <c r="P143" s="5053"/>
      <c r="Q143" s="5053"/>
      <c r="R143" s="5053"/>
      <c r="S143" s="5053"/>
      <c r="T143" s="5053"/>
      <c r="U143" s="5055"/>
      <c r="V143" s="5055"/>
      <c r="W143" s="5055"/>
      <c r="X143" s="5055"/>
      <c r="Y143" s="5055"/>
    </row>
    <row r="144">
      <c r="A144" s="5055"/>
      <c r="B144" s="5186"/>
      <c r="C144" s="5055"/>
      <c r="D144" s="5055"/>
      <c r="E144" s="5055"/>
      <c r="F144" s="5187"/>
      <c r="G144" s="5188"/>
      <c r="H144" s="5189"/>
      <c r="I144" s="5055"/>
      <c r="J144" s="5055"/>
      <c r="K144" s="5053"/>
      <c r="L144" s="5053"/>
      <c r="M144" s="5053"/>
      <c r="N144" s="5053"/>
      <c r="O144" s="5053"/>
      <c r="P144" s="5053"/>
      <c r="Q144" s="5053"/>
      <c r="R144" s="5053"/>
      <c r="S144" s="5053"/>
      <c r="T144" s="5053"/>
      <c r="U144" s="5055"/>
      <c r="V144" s="5055"/>
      <c r="W144" s="5055"/>
      <c r="X144" s="5055"/>
      <c r="Y144" s="5055"/>
    </row>
    <row r="145">
      <c r="A145" s="5055"/>
      <c r="B145" s="5055"/>
      <c r="C145" s="5055"/>
      <c r="D145" s="5055"/>
      <c r="E145" s="5055"/>
      <c r="F145" s="5187"/>
      <c r="G145" s="5188"/>
      <c r="H145" s="5189"/>
      <c r="I145" s="5055"/>
      <c r="J145" s="5055"/>
      <c r="K145" s="5053"/>
      <c r="L145" s="5053"/>
      <c r="M145" s="5053"/>
      <c r="N145" s="5053"/>
      <c r="O145" s="5053"/>
      <c r="P145" s="5053"/>
      <c r="Q145" s="5053"/>
      <c r="R145" s="5053"/>
      <c r="S145" s="5053"/>
      <c r="T145" s="5053"/>
      <c r="U145" s="5055"/>
      <c r="V145" s="5055"/>
      <c r="W145" s="5055"/>
      <c r="X145" s="5055"/>
      <c r="Y145" s="5055"/>
    </row>
    <row r="146">
      <c r="A146" s="5190" t="s">
        <v>5000</v>
      </c>
      <c r="B146" s="5190"/>
      <c r="C146" s="5190"/>
      <c r="D146" s="5190"/>
      <c r="E146" s="5190"/>
      <c r="F146" s="5190"/>
      <c r="G146" s="5190"/>
      <c r="H146" s="5190"/>
      <c r="I146" s="5190"/>
      <c r="J146" s="5190"/>
      <c r="K146" s="5053"/>
      <c r="L146" s="5053"/>
      <c r="M146" s="5053"/>
      <c r="N146" s="5053"/>
      <c r="O146" s="5053"/>
      <c r="P146" s="5053"/>
      <c r="Q146" s="5053"/>
      <c r="R146" s="5053"/>
      <c r="S146" s="5053"/>
      <c r="T146" s="5053"/>
      <c r="U146" s="5055"/>
      <c r="V146" s="5055"/>
      <c r="W146" s="5055"/>
      <c r="X146" s="5055"/>
      <c r="Y146" s="5055"/>
    </row>
    <row r="147">
      <c r="A147" s="5191" t="s">
        <v>4861</v>
      </c>
      <c r="B147" s="5192" t="s">
        <v>4862</v>
      </c>
      <c r="C147" s="5192"/>
      <c r="D147" s="5193" t="s">
        <v>4863</v>
      </c>
      <c r="E147" s="5193" t="s">
        <v>4864</v>
      </c>
      <c r="F147" s="5193" t="s">
        <v>4865</v>
      </c>
      <c r="G147" s="5194" t="s">
        <v>4877</v>
      </c>
      <c r="H147" s="5193" t="s">
        <v>4867</v>
      </c>
      <c r="I147" s="5193" t="s">
        <v>4868</v>
      </c>
      <c r="J147" s="5193" t="s">
        <v>4869</v>
      </c>
      <c r="K147" s="5053"/>
      <c r="L147" s="5053"/>
      <c r="M147" s="5053"/>
      <c r="N147" s="5053"/>
      <c r="O147" s="5053"/>
      <c r="P147" s="5053"/>
      <c r="Q147" s="5053"/>
      <c r="R147" s="5053"/>
      <c r="S147" s="5053"/>
      <c r="T147" s="5053"/>
      <c r="U147" s="5055"/>
      <c r="V147" s="5055"/>
      <c r="W147" s="5055"/>
      <c r="X147" s="5055"/>
      <c r="Y147" s="5055"/>
    </row>
    <row r="148">
      <c r="A148" s="5079" t="s">
        <v>5001</v>
      </c>
      <c r="B148" s="5072">
        <v>46237</v>
      </c>
      <c r="C148" s="5079" t="str">
        <v>Monday</v>
      </c>
      <c r="D148" s="5064" t="s">
        <v>5002</v>
      </c>
      <c r="E148" s="5068">
        <f t="shared" ref="E148:E175" si="51">24*MOD(TIMEVALUE(TRIM(MID(D148,FIND("-",D148)+1,LEN(D148)))) - TIMEVALUE(TRIM(LEFT(D148,FIND("-",D148)-1))),1)</f>
      </c>
      <c r="F148" s="5068" t="s">
        <v>4914</v>
      </c>
      <c r="G148" s="5146"/>
      <c r="H148" s="5068" t="s">
        <v>4859</v>
      </c>
      <c r="I148" s="5068" t="s">
        <v>4846</v>
      </c>
      <c r="J148" s="5068"/>
      <c r="K148" s="5053"/>
      <c r="L148" s="5053"/>
      <c r="M148" s="5053"/>
      <c r="N148" s="5053"/>
      <c r="O148" s="5053"/>
      <c r="P148" s="5053"/>
      <c r="Q148" s="5053"/>
      <c r="R148" s="5053"/>
      <c r="S148" s="5053"/>
      <c r="T148" s="5053"/>
      <c r="U148" s="5055"/>
      <c r="V148" s="5055"/>
      <c r="W148" s="5055"/>
      <c r="X148" s="5055"/>
      <c r="Y148" s="5055"/>
    </row>
    <row customHeight="true" ht="18.452380952380953" r="149">
      <c r="A149" s="5079" t="s">
        <v>5001</v>
      </c>
      <c r="B149" s="5072">
        <v>46238</v>
      </c>
      <c r="C149" s="5079" t="str">
        <v>Tuesday</v>
      </c>
      <c r="D149" s="5064" t="s">
        <v>4963</v>
      </c>
      <c r="E149" s="5068">
        <f t="shared" si="51"/>
      </c>
      <c r="F149" s="5068" t="s">
        <v>4914</v>
      </c>
      <c r="G149" s="5146"/>
      <c r="H149" s="5068" t="s">
        <v>4859</v>
      </c>
      <c r="I149" s="5068" t="s">
        <v>4846</v>
      </c>
      <c r="J149" s="5068"/>
      <c r="K149" s="5053"/>
      <c r="L149" s="5053"/>
      <c r="M149" s="5053"/>
      <c r="N149" s="5053"/>
      <c r="O149" s="5053"/>
      <c r="P149" s="5053"/>
      <c r="Q149" s="5053"/>
      <c r="R149" s="5053"/>
      <c r="S149" s="5053"/>
      <c r="T149" s="5053"/>
      <c r="U149" s="5055"/>
      <c r="V149" s="5055"/>
      <c r="W149" s="5055"/>
      <c r="X149" s="5055"/>
      <c r="Y149" s="5055"/>
    </row>
    <row customHeight="true" ht="18.452380952380953" r="150">
      <c r="A150" s="5079" t="s">
        <v>5001</v>
      </c>
      <c r="B150" s="5072">
        <v>46239</v>
      </c>
      <c r="C150" s="5079" t="str">
        <v>Wednesday</v>
      </c>
      <c r="D150" s="5064" t="s">
        <v>4963</v>
      </c>
      <c r="E150" s="5068">
        <f t="shared" si="51"/>
      </c>
      <c r="F150" s="5068" t="s">
        <v>4890</v>
      </c>
      <c r="G150" s="5146"/>
      <c r="H150" s="5068" t="s">
        <v>4859</v>
      </c>
      <c r="I150" s="5068" t="s">
        <v>4846</v>
      </c>
      <c r="J150" s="5068"/>
      <c r="K150" s="5053"/>
      <c r="L150" s="5053"/>
      <c r="M150" s="5053"/>
      <c r="N150" s="5053"/>
      <c r="O150" s="5053"/>
      <c r="P150" s="5053"/>
      <c r="Q150" s="5053"/>
      <c r="R150" s="5053"/>
      <c r="S150" s="5053"/>
      <c r="T150" s="5053"/>
      <c r="U150" s="5055"/>
      <c r="V150" s="5055"/>
      <c r="W150" s="5055"/>
      <c r="X150" s="5055"/>
      <c r="Y150" s="5055"/>
    </row>
    <row customHeight="true" ht="18.452380952380953" r="151">
      <c r="A151" s="5079" t="s">
        <v>5001</v>
      </c>
      <c r="B151" s="5072">
        <v>46240</v>
      </c>
      <c r="C151" s="5079" t="str">
        <v>Thursday</v>
      </c>
      <c r="D151" s="5064" t="s">
        <v>5002</v>
      </c>
      <c r="E151" s="5068">
        <f t="shared" si="51"/>
      </c>
      <c r="F151" s="5068" t="s">
        <v>4914</v>
      </c>
      <c r="G151" s="5146"/>
      <c r="H151" s="5068" t="s">
        <v>4859</v>
      </c>
      <c r="I151" s="5068" t="s">
        <v>4846</v>
      </c>
      <c r="J151" s="5068"/>
      <c r="K151" s="5053"/>
      <c r="L151" s="5053"/>
      <c r="M151" s="5053"/>
      <c r="N151" s="5053"/>
      <c r="O151" s="5053"/>
      <c r="P151" s="5053"/>
      <c r="Q151" s="5053"/>
      <c r="R151" s="5053"/>
      <c r="S151" s="5053"/>
      <c r="T151" s="5053"/>
      <c r="U151" s="5055"/>
      <c r="V151" s="5055"/>
      <c r="W151" s="5055"/>
      <c r="X151" s="5055"/>
      <c r="Y151" s="5055"/>
    </row>
    <row customHeight="true" ht="18.452380952380953" r="152">
      <c r="A152" s="5079" t="s">
        <v>5001</v>
      </c>
      <c r="B152" s="5072">
        <v>46241</v>
      </c>
      <c r="C152" s="5079" t="str">
        <v>Friday</v>
      </c>
      <c r="D152" s="5064" t="s">
        <v>5002</v>
      </c>
      <c r="E152" s="5068">
        <f t="shared" si="51"/>
      </c>
      <c r="F152" s="5068" t="s">
        <v>4890</v>
      </c>
      <c r="G152" s="5146"/>
      <c r="H152" s="5068" t="s">
        <v>4859</v>
      </c>
      <c r="I152" s="5068" t="s">
        <v>4846</v>
      </c>
      <c r="J152" s="5068"/>
      <c r="K152" s="5053"/>
      <c r="L152" s="5053"/>
      <c r="M152" s="5053"/>
      <c r="N152" s="5053"/>
      <c r="O152" s="5053"/>
      <c r="P152" s="5053"/>
      <c r="Q152" s="5053"/>
      <c r="R152" s="5053"/>
      <c r="S152" s="5053"/>
      <c r="T152" s="5053"/>
      <c r="U152" s="5055"/>
      <c r="V152" s="5055"/>
      <c r="W152" s="5055"/>
      <c r="X152" s="5055"/>
      <c r="Y152" s="5055"/>
    </row>
    <row customHeight="true" ht="18.452380952380953" r="153">
      <c r="A153" s="5079" t="s">
        <v>5001</v>
      </c>
      <c r="B153" s="5072">
        <v>46242</v>
      </c>
      <c r="C153" s="5079" t="str">
        <v>Saturday</v>
      </c>
      <c r="D153" s="5064" t="s">
        <v>4963</v>
      </c>
      <c r="E153" s="5068">
        <f t="shared" si="51"/>
      </c>
      <c r="F153" s="5068" t="s">
        <v>4914</v>
      </c>
      <c r="G153" s="5146"/>
      <c r="H153" s="5068" t="s">
        <v>4859</v>
      </c>
      <c r="I153" s="5069" t="s">
        <v>4846</v>
      </c>
      <c r="J153" s="5068"/>
      <c r="K153" s="5053"/>
      <c r="L153" s="5053"/>
      <c r="M153" s="5053"/>
      <c r="N153" s="5053"/>
      <c r="O153" s="5053"/>
      <c r="P153" s="5053"/>
      <c r="Q153" s="5053"/>
      <c r="R153" s="5053"/>
      <c r="S153" s="5053"/>
      <c r="T153" s="5053"/>
      <c r="U153" s="5055"/>
      <c r="V153" s="5055"/>
      <c r="W153" s="5055"/>
      <c r="X153" s="5055"/>
      <c r="Y153" s="5055"/>
    </row>
    <row customHeight="true" ht="18.452380952380953" r="154">
      <c r="A154" s="5079" t="s">
        <v>5001</v>
      </c>
      <c r="B154" s="5079">
        <v>46242</v>
      </c>
      <c r="C154" s="5079" t="str">
        <v>Saturday</v>
      </c>
      <c r="D154" s="5064" t="s">
        <v>5003</v>
      </c>
      <c r="E154" s="5068">
        <f t="shared" si="51"/>
      </c>
      <c r="F154" s="5068" t="s">
        <v>5004</v>
      </c>
      <c r="G154" s="5150"/>
      <c r="H154" s="5068" t="s">
        <v>4859</v>
      </c>
      <c r="I154" s="5069"/>
      <c r="J154" s="5068"/>
      <c r="K154" s="5053"/>
      <c r="L154" s="5053"/>
      <c r="M154" s="5053"/>
      <c r="N154" s="5053"/>
      <c r="O154" s="5053"/>
      <c r="P154" s="5053"/>
      <c r="Q154" s="5053"/>
      <c r="R154" s="5053"/>
      <c r="S154" s="5053"/>
      <c r="T154" s="5053"/>
      <c r="U154" s="5055"/>
      <c r="V154" s="5055"/>
      <c r="W154" s="5055"/>
      <c r="X154" s="5055"/>
      <c r="Y154" s="5055"/>
    </row>
    <row r="155">
      <c r="A155" s="5079" t="s">
        <v>5001</v>
      </c>
      <c r="B155" s="5072">
        <v>46242</v>
      </c>
      <c r="C155" s="5079" t="str">
        <v>Saturday</v>
      </c>
      <c r="D155" s="5064" t="s">
        <v>5005</v>
      </c>
      <c r="E155" s="5068">
        <f t="shared" si="51"/>
      </c>
      <c r="F155" s="5068" t="s">
        <v>4914</v>
      </c>
      <c r="G155" s="5146"/>
      <c r="H155" s="5068" t="s">
        <v>4859</v>
      </c>
      <c r="I155" s="5069" t="s">
        <v>4846</v>
      </c>
      <c r="J155" s="5068"/>
      <c r="K155" s="5053"/>
      <c r="L155" s="5053"/>
      <c r="M155" s="5053"/>
      <c r="N155" s="5053"/>
      <c r="O155" s="5053"/>
      <c r="P155" s="5053"/>
      <c r="Q155" s="5053"/>
      <c r="R155" s="5053"/>
      <c r="S155" s="5053"/>
      <c r="T155" s="5053"/>
      <c r="U155" s="5055"/>
      <c r="V155" s="5055"/>
      <c r="W155" s="5055"/>
      <c r="X155" s="5055"/>
      <c r="Y155" s="5055"/>
    </row>
    <row customHeight="true" ht="18.452380952380953" r="156">
      <c r="A156" s="5079" t="s">
        <v>5001</v>
      </c>
      <c r="B156" s="5079">
        <v>46242</v>
      </c>
      <c r="C156" s="5079" t="str">
        <v>Saturday</v>
      </c>
      <c r="D156" s="5064" t="s">
        <v>5006</v>
      </c>
      <c r="E156" s="5068">
        <f t="shared" si="51"/>
      </c>
      <c r="F156" s="5068" t="s">
        <v>5004</v>
      </c>
      <c r="G156" s="5150"/>
      <c r="H156" s="5068" t="s">
        <v>4859</v>
      </c>
      <c r="I156" s="5069"/>
      <c r="J156" s="5068"/>
      <c r="K156" s="5053"/>
      <c r="L156" s="5053"/>
      <c r="M156" s="5053"/>
      <c r="N156" s="5053"/>
      <c r="O156" s="5053"/>
      <c r="P156" s="5053"/>
      <c r="Q156" s="5053"/>
      <c r="R156" s="5053"/>
      <c r="S156" s="5053"/>
      <c r="T156" s="5053"/>
      <c r="U156" s="5055"/>
      <c r="V156" s="5055"/>
      <c r="W156" s="5055"/>
      <c r="X156" s="5055"/>
      <c r="Y156" s="5055"/>
    </row>
    <row r="157">
      <c r="A157" s="5079" t="s">
        <v>5001</v>
      </c>
      <c r="B157" s="5072">
        <v>46243</v>
      </c>
      <c r="C157" s="5079" t="str">
        <v>Sunday</v>
      </c>
      <c r="D157" s="5064" t="s">
        <v>5002</v>
      </c>
      <c r="E157" s="5068">
        <f t="shared" si="51"/>
      </c>
      <c r="F157" s="5068" t="s">
        <v>5004</v>
      </c>
      <c r="G157" s="5146"/>
      <c r="H157" s="5068" t="s">
        <v>4859</v>
      </c>
      <c r="I157" s="5069" t="s">
        <v>4846</v>
      </c>
      <c r="J157" s="5068"/>
      <c r="K157" s="5053"/>
      <c r="L157" s="5053"/>
      <c r="M157" s="5053"/>
      <c r="N157" s="5053"/>
      <c r="O157" s="5053"/>
      <c r="P157" s="5053"/>
      <c r="Q157" s="5053"/>
      <c r="R157" s="5053"/>
      <c r="S157" s="5053"/>
      <c r="T157" s="5053"/>
      <c r="U157" s="5055"/>
      <c r="V157" s="5055"/>
      <c r="W157" s="5055"/>
      <c r="X157" s="5055"/>
      <c r="Y157" s="5055"/>
    </row>
    <row customHeight="true" ht="18.452380952380953" r="158">
      <c r="A158" s="5079" t="s">
        <v>5001</v>
      </c>
      <c r="B158" s="5072">
        <v>46243</v>
      </c>
      <c r="C158" s="5079" t="str">
        <v>Sunday</v>
      </c>
      <c r="D158" s="5064" t="s">
        <v>5007</v>
      </c>
      <c r="E158" s="5068">
        <f t="shared" si="51"/>
      </c>
      <c r="F158" s="5195" t="s">
        <v>5004</v>
      </c>
      <c r="G158" s="5146"/>
      <c r="H158" s="5068" t="s">
        <v>4859</v>
      </c>
      <c r="I158" s="5068" t="s">
        <v>4846</v>
      </c>
      <c r="J158" s="5130"/>
      <c r="K158" s="5053"/>
      <c r="L158" s="5053"/>
      <c r="M158" s="5053"/>
      <c r="N158" s="5053"/>
      <c r="O158" s="5053"/>
      <c r="P158" s="5053"/>
      <c r="Q158" s="5053"/>
      <c r="R158" s="5053"/>
      <c r="S158" s="5053"/>
      <c r="T158" s="5053"/>
      <c r="U158" s="5055"/>
      <c r="V158" s="5055"/>
      <c r="W158" s="5055"/>
      <c r="X158" s="5055"/>
      <c r="Y158" s="5055"/>
    </row>
    <row customHeight="true" ht="18.452380952380953" r="159">
      <c r="A159" s="5079" t="s">
        <v>5008</v>
      </c>
      <c r="B159" s="5079">
        <v>46237</v>
      </c>
      <c r="C159" s="5079" t="str">
        <v>Monday</v>
      </c>
      <c r="D159" s="5069" t="s">
        <v>5002</v>
      </c>
      <c r="E159" s="5068">
        <f t="shared" si="51"/>
      </c>
      <c r="F159" s="5068" t="s">
        <v>5004</v>
      </c>
      <c r="G159" s="5150"/>
      <c r="H159" s="5068" t="s">
        <v>4859</v>
      </c>
      <c r="I159" s="5068" t="s">
        <v>4846</v>
      </c>
      <c r="J159" s="5068"/>
      <c r="K159" s="5053"/>
      <c r="L159" s="5053"/>
      <c r="M159" s="5053"/>
      <c r="N159" s="5053"/>
      <c r="O159" s="5053"/>
      <c r="P159" s="5053"/>
      <c r="Q159" s="5053"/>
      <c r="R159" s="5053"/>
      <c r="S159" s="5053"/>
      <c r="T159" s="5053"/>
      <c r="U159" s="5055"/>
      <c r="V159" s="5055"/>
      <c r="W159" s="5055"/>
      <c r="X159" s="5055"/>
      <c r="Y159" s="5055"/>
    </row>
    <row customHeight="true" ht="18.452380952380953" r="160">
      <c r="A160" s="5079" t="s">
        <v>5008</v>
      </c>
      <c r="B160" s="5072">
        <v>46239</v>
      </c>
      <c r="C160" s="5079" t="str">
        <v>Wednesday</v>
      </c>
      <c r="D160" s="5064" t="s">
        <v>5009</v>
      </c>
      <c r="E160" s="5068">
        <f t="shared" si="51"/>
      </c>
      <c r="F160" s="5068" t="s">
        <v>5004</v>
      </c>
      <c r="G160" s="5150"/>
      <c r="H160" s="5068" t="s">
        <v>4859</v>
      </c>
      <c r="I160" s="5068" t="s">
        <v>4846</v>
      </c>
      <c r="J160" s="5068"/>
      <c r="K160" s="5053"/>
      <c r="L160" s="5053"/>
      <c r="M160" s="5053"/>
      <c r="N160" s="5053"/>
      <c r="O160" s="5053"/>
      <c r="P160" s="5053"/>
      <c r="Q160" s="5053"/>
      <c r="R160" s="5053"/>
      <c r="S160" s="5053"/>
      <c r="T160" s="5053"/>
      <c r="U160" s="5055"/>
      <c r="V160" s="5055"/>
      <c r="W160" s="5055"/>
      <c r="X160" s="5055"/>
      <c r="Y160" s="5055"/>
    </row>
    <row customHeight="true" ht="18.452380952380953" r="161">
      <c r="A161" s="5079" t="s">
        <v>5010</v>
      </c>
      <c r="B161" s="5079">
        <v>46237</v>
      </c>
      <c r="C161" s="5079" t="str">
        <v>Monday</v>
      </c>
      <c r="D161" s="5064" t="s">
        <v>5011</v>
      </c>
      <c r="E161" s="5068">
        <f t="shared" si="51"/>
      </c>
      <c r="F161" s="5068" t="s">
        <v>5012</v>
      </c>
      <c r="G161" s="5146" t="s">
        <v>5013</v>
      </c>
      <c r="H161" s="5068" t="s">
        <v>4859</v>
      </c>
      <c r="I161" s="5068" t="s">
        <v>4846</v>
      </c>
      <c r="J161" s="5068"/>
      <c r="K161" s="5053"/>
      <c r="L161" s="5053"/>
      <c r="M161" s="5053"/>
      <c r="N161" s="5053"/>
      <c r="O161" s="5053"/>
      <c r="P161" s="5053"/>
      <c r="Q161" s="5053"/>
      <c r="R161" s="5053"/>
      <c r="S161" s="5053"/>
      <c r="T161" s="5053"/>
      <c r="U161" s="5055"/>
      <c r="V161" s="5055"/>
      <c r="W161" s="5055"/>
      <c r="X161" s="5055"/>
      <c r="Y161" s="5055"/>
    </row>
    <row customHeight="true" ht="18.452380952380953" r="162">
      <c r="A162" s="5079" t="s">
        <v>5010</v>
      </c>
      <c r="B162" s="5072">
        <v>46238</v>
      </c>
      <c r="C162" s="5079" t="str">
        <v>Tuesday</v>
      </c>
      <c r="D162" s="5064" t="s">
        <v>4932</v>
      </c>
      <c r="E162" s="5068">
        <f t="shared" si="51"/>
      </c>
      <c r="F162" s="5068" t="s">
        <v>5012</v>
      </c>
      <c r="G162" s="5146"/>
      <c r="H162" s="5068" t="s">
        <v>4859</v>
      </c>
      <c r="I162" s="5068" t="s">
        <v>4846</v>
      </c>
      <c r="J162" s="5130" t="s">
        <v>5014</v>
      </c>
      <c r="K162" s="5053"/>
      <c r="L162" s="5053"/>
      <c r="M162" s="5053"/>
      <c r="N162" s="5053"/>
      <c r="O162" s="5053"/>
      <c r="P162" s="5053"/>
      <c r="Q162" s="5053"/>
      <c r="R162" s="5053"/>
      <c r="S162" s="5053"/>
      <c r="T162" s="5053"/>
      <c r="U162" s="5055"/>
      <c r="V162" s="5055"/>
      <c r="W162" s="5055"/>
      <c r="X162" s="5055"/>
      <c r="Y162" s="5055"/>
    </row>
    <row customHeight="true" ht="18.452380952380953" r="163">
      <c r="A163" s="5079" t="s">
        <v>5010</v>
      </c>
      <c r="B163" s="5072">
        <v>46239</v>
      </c>
      <c r="C163" s="5079" t="str">
        <v>Wednesday</v>
      </c>
      <c r="D163" s="5064" t="s">
        <v>5015</v>
      </c>
      <c r="E163" s="5068">
        <f t="shared" si="51"/>
      </c>
      <c r="F163" s="5068" t="s">
        <v>5016</v>
      </c>
      <c r="G163" s="5146"/>
      <c r="H163" s="5068" t="s">
        <v>4859</v>
      </c>
      <c r="I163" s="5068" t="s">
        <v>4846</v>
      </c>
      <c r="J163" s="5068"/>
      <c r="K163" s="5053"/>
      <c r="L163" s="5053"/>
      <c r="M163" s="5053"/>
      <c r="N163" s="5053"/>
      <c r="O163" s="5053"/>
      <c r="P163" s="5053"/>
      <c r="Q163" s="5053"/>
      <c r="R163" s="5053"/>
      <c r="S163" s="5053"/>
      <c r="T163" s="5053"/>
      <c r="U163" s="5055"/>
      <c r="V163" s="5055"/>
      <c r="W163" s="5055"/>
      <c r="X163" s="5055"/>
      <c r="Y163" s="5055"/>
    </row>
    <row customHeight="true" ht="18.452380952380953" r="164">
      <c r="A164" s="5079" t="s">
        <v>5010</v>
      </c>
      <c r="B164" s="5072">
        <v>46240</v>
      </c>
      <c r="C164" s="5079" t="str">
        <v>Thursday</v>
      </c>
      <c r="D164" s="5064">
        <f>D151</f>
      </c>
      <c r="E164" s="5068">
        <f t="shared" si="51"/>
      </c>
      <c r="F164" s="5068" t="s">
        <v>4890</v>
      </c>
      <c r="G164" s="5150"/>
      <c r="H164" s="5068" t="s">
        <v>4859</v>
      </c>
      <c r="I164" s="5069" t="s">
        <v>4846</v>
      </c>
      <c r="J164" s="5068"/>
      <c r="K164" s="5053"/>
      <c r="L164" s="5053"/>
      <c r="M164" s="5053"/>
      <c r="N164" s="5053"/>
      <c r="O164" s="5053"/>
      <c r="P164" s="5053"/>
      <c r="Q164" s="5053"/>
      <c r="R164" s="5053"/>
      <c r="S164" s="5053"/>
      <c r="T164" s="5053"/>
      <c r="U164" s="5055"/>
      <c r="V164" s="5055"/>
      <c r="W164" s="5055"/>
      <c r="X164" s="5055"/>
      <c r="Y164" s="5055"/>
    </row>
    <row customHeight="true" ht="18.452380952380953" r="165">
      <c r="A165" s="5079" t="s">
        <v>5010</v>
      </c>
      <c r="B165" s="5072">
        <v>46241</v>
      </c>
      <c r="C165" s="5079" t="str">
        <v>Friday</v>
      </c>
      <c r="D165" s="5064" t="s">
        <v>5017</v>
      </c>
      <c r="E165" s="5068">
        <f t="shared" si="51"/>
      </c>
      <c r="F165" s="5068" t="s">
        <v>5012</v>
      </c>
      <c r="G165" s="5146"/>
      <c r="H165" s="5068" t="s">
        <v>4859</v>
      </c>
      <c r="I165" s="5069" t="s">
        <v>4846</v>
      </c>
      <c r="J165" s="5068"/>
      <c r="K165" s="5053"/>
      <c r="L165" s="5053"/>
      <c r="M165" s="5053"/>
      <c r="N165" s="5053"/>
      <c r="O165" s="5053"/>
      <c r="P165" s="5053"/>
      <c r="Q165" s="5053"/>
      <c r="R165" s="5053"/>
      <c r="S165" s="5053"/>
      <c r="T165" s="5053"/>
      <c r="U165" s="5055"/>
      <c r="V165" s="5055"/>
      <c r="W165" s="5055"/>
      <c r="X165" s="5055"/>
      <c r="Y165" s="5055"/>
    </row>
    <row customHeight="true" ht="18.452380952380953" r="166">
      <c r="A166" s="5079" t="s">
        <v>5008</v>
      </c>
      <c r="B166" s="5079">
        <v>46241</v>
      </c>
      <c r="C166" s="5079" t="str">
        <v>Friday</v>
      </c>
      <c r="D166" s="5064" t="s">
        <v>5007</v>
      </c>
      <c r="E166" s="5068">
        <f t="shared" si="51"/>
      </c>
      <c r="F166" s="5068" t="s">
        <v>5012</v>
      </c>
      <c r="G166" s="5150"/>
      <c r="H166" s="5068" t="s">
        <v>4859</v>
      </c>
      <c r="I166" s="5069" t="s">
        <v>4846</v>
      </c>
      <c r="J166" s="5130" t="s">
        <v>5018</v>
      </c>
      <c r="K166" s="5053"/>
      <c r="L166" s="5053"/>
      <c r="M166" s="5053"/>
      <c r="N166" s="5053"/>
      <c r="O166" s="5053"/>
      <c r="P166" s="5053"/>
      <c r="Q166" s="5053"/>
      <c r="R166" s="5053"/>
      <c r="S166" s="5053"/>
      <c r="T166" s="5053"/>
      <c r="U166" s="5055"/>
      <c r="V166" s="5055"/>
      <c r="W166" s="5055"/>
      <c r="X166" s="5055"/>
      <c r="Y166" s="5055"/>
    </row>
    <row customHeight="true" ht="18.452380952380953" r="167">
      <c r="A167" s="5079" t="s">
        <v>5010</v>
      </c>
      <c r="B167" s="5072">
        <v>46242</v>
      </c>
      <c r="C167" s="5079" t="str">
        <v>Saturday</v>
      </c>
      <c r="D167" s="5064" t="s">
        <v>5019</v>
      </c>
      <c r="E167" s="5068">
        <f t="shared" si="51"/>
      </c>
      <c r="F167" s="5068" t="s">
        <v>5016</v>
      </c>
      <c r="G167" s="5146"/>
      <c r="H167" s="5068" t="s">
        <v>4859</v>
      </c>
      <c r="I167" s="5196" t="s">
        <v>4846</v>
      </c>
      <c r="J167" s="5068"/>
      <c r="K167" s="5053"/>
      <c r="L167" s="5053"/>
      <c r="M167" s="5053"/>
      <c r="N167" s="5053"/>
      <c r="O167" s="5053"/>
      <c r="P167" s="5053"/>
      <c r="Q167" s="5053"/>
      <c r="R167" s="5053"/>
      <c r="S167" s="5053"/>
      <c r="T167" s="5053"/>
      <c r="U167" s="5055"/>
      <c r="V167" s="5055"/>
      <c r="W167" s="5055"/>
      <c r="X167" s="5055"/>
      <c r="Y167" s="5055"/>
    </row>
    <row customHeight="true" ht="18.452380952380953" r="168">
      <c r="A168" s="5079" t="s">
        <v>5010</v>
      </c>
      <c r="B168" s="5072">
        <v>46242</v>
      </c>
      <c r="C168" s="5079" t="str">
        <v>Saturday</v>
      </c>
      <c r="D168" s="5064" t="s">
        <v>5005</v>
      </c>
      <c r="E168" s="5068">
        <f t="shared" si="51"/>
      </c>
      <c r="F168" s="5068" t="s">
        <v>4895</v>
      </c>
      <c r="G168" s="5146"/>
      <c r="H168" s="5068" t="s">
        <v>4859</v>
      </c>
      <c r="I168" s="5069" t="s">
        <v>4846</v>
      </c>
      <c r="J168" s="5068"/>
      <c r="K168" s="5053"/>
      <c r="L168" s="5053"/>
      <c r="M168" s="5053"/>
      <c r="N168" s="5053"/>
      <c r="O168" s="5053"/>
      <c r="P168" s="5053"/>
      <c r="Q168" s="5053"/>
      <c r="R168" s="5053"/>
      <c r="S168" s="5053"/>
      <c r="T168" s="5053"/>
      <c r="U168" s="5055"/>
      <c r="V168" s="5055"/>
      <c r="W168" s="5055"/>
      <c r="X168" s="5055"/>
      <c r="Y168" s="5055"/>
    </row>
    <row customHeight="true" ht="18.452380952380953" r="169">
      <c r="A169" s="5079" t="s">
        <v>5010</v>
      </c>
      <c r="B169" s="5079">
        <v>46242</v>
      </c>
      <c r="C169" s="5079" t="str">
        <v>Saturday</v>
      </c>
      <c r="D169" s="5064" t="s">
        <v>5020</v>
      </c>
      <c r="E169" s="5068">
        <f t="shared" si="51"/>
      </c>
      <c r="F169" s="5068" t="s">
        <v>5012</v>
      </c>
      <c r="G169" s="5150"/>
      <c r="H169" s="5068" t="s">
        <v>4859</v>
      </c>
      <c r="I169" s="5069"/>
      <c r="J169" s="5068"/>
      <c r="K169" s="5053"/>
      <c r="L169" s="5053"/>
      <c r="M169" s="5053"/>
      <c r="N169" s="5053"/>
      <c r="O169" s="5053"/>
      <c r="P169" s="5053"/>
      <c r="Q169" s="5053"/>
      <c r="R169" s="5053"/>
      <c r="S169" s="5053"/>
      <c r="T169" s="5053"/>
      <c r="U169" s="5055"/>
      <c r="V169" s="5055"/>
      <c r="W169" s="5055"/>
      <c r="X169" s="5055"/>
      <c r="Y169" s="5055"/>
    </row>
    <row customHeight="true" ht="18.452380952380953" r="170">
      <c r="A170" s="5079" t="s">
        <v>5010</v>
      </c>
      <c r="B170" s="5079">
        <v>46242</v>
      </c>
      <c r="C170" s="5079" t="str">
        <v>Saturday</v>
      </c>
      <c r="D170" s="5064" t="s">
        <v>5021</v>
      </c>
      <c r="E170" s="5068">
        <f t="shared" si="51"/>
      </c>
      <c r="F170" s="5068" t="s">
        <v>5016</v>
      </c>
      <c r="G170" s="5150"/>
      <c r="H170" s="5068" t="s">
        <v>4859</v>
      </c>
      <c r="I170" s="5069"/>
      <c r="J170" s="5068"/>
      <c r="K170" s="5053"/>
      <c r="L170" s="5053"/>
      <c r="M170" s="5053"/>
      <c r="N170" s="5053"/>
      <c r="O170" s="5053"/>
      <c r="P170" s="5053"/>
      <c r="Q170" s="5053"/>
      <c r="R170" s="5053"/>
      <c r="S170" s="5053"/>
      <c r="T170" s="5053"/>
      <c r="U170" s="5055"/>
      <c r="V170" s="5055"/>
      <c r="W170" s="5055"/>
      <c r="X170" s="5055"/>
      <c r="Y170" s="5055"/>
    </row>
    <row customHeight="true" ht="18.452380952380953" r="171">
      <c r="A171" s="5079" t="s">
        <v>5010</v>
      </c>
      <c r="B171" s="5072">
        <v>46243</v>
      </c>
      <c r="C171" s="5079" t="str">
        <v>Sunday</v>
      </c>
      <c r="D171" s="5064" t="s">
        <v>5011</v>
      </c>
      <c r="E171" s="5068">
        <f t="shared" si="51"/>
      </c>
      <c r="F171" s="5068" t="s">
        <v>5012</v>
      </c>
      <c r="G171" s="5146"/>
      <c r="H171" s="5068" t="s">
        <v>4859</v>
      </c>
      <c r="I171" s="5196" t="s">
        <v>4846</v>
      </c>
      <c r="J171" s="5068"/>
      <c r="K171" s="5053"/>
      <c r="L171" s="5053"/>
      <c r="M171" s="5053"/>
      <c r="N171" s="5053"/>
      <c r="O171" s="5053"/>
      <c r="P171" s="5053"/>
      <c r="Q171" s="5053"/>
      <c r="R171" s="5053"/>
      <c r="S171" s="5053"/>
      <c r="T171" s="5053"/>
      <c r="U171" s="5055"/>
      <c r="V171" s="5055"/>
      <c r="W171" s="5055"/>
      <c r="X171" s="5055"/>
      <c r="Y171" s="5055"/>
    </row>
    <row customHeight="true" ht="18.452380952380953" r="172">
      <c r="A172" s="5079" t="s">
        <v>5010</v>
      </c>
      <c r="B172" s="5072">
        <v>46243</v>
      </c>
      <c r="C172" s="5079" t="str">
        <v>Sunday</v>
      </c>
      <c r="D172" s="5064" t="s">
        <v>5007</v>
      </c>
      <c r="E172" s="5068">
        <f t="shared" si="51"/>
      </c>
      <c r="F172" s="5149" t="s">
        <v>5022</v>
      </c>
      <c r="G172" s="5146"/>
      <c r="H172" s="5068" t="s">
        <v>4859</v>
      </c>
      <c r="I172" s="5196" t="s">
        <v>4846</v>
      </c>
      <c r="J172" s="5068"/>
      <c r="K172" s="5053"/>
      <c r="L172" s="5053"/>
      <c r="M172" s="5053"/>
      <c r="N172" s="5053"/>
      <c r="O172" s="5053"/>
      <c r="P172" s="5053"/>
      <c r="Q172" s="5053"/>
      <c r="R172" s="5053"/>
      <c r="S172" s="5053"/>
      <c r="T172" s="5053"/>
      <c r="U172" s="5055"/>
      <c r="V172" s="5055"/>
      <c r="W172" s="5055"/>
      <c r="X172" s="5055"/>
      <c r="Y172" s="5055"/>
    </row>
    <row customHeight="true" ht="18.452380952380953" r="173">
      <c r="A173" s="5079" t="s">
        <v>5008</v>
      </c>
      <c r="B173" s="5072">
        <v>46237</v>
      </c>
      <c r="C173" s="5079" t="str">
        <v>Monday</v>
      </c>
      <c r="D173" s="5064" t="s">
        <v>5007</v>
      </c>
      <c r="E173" s="5068">
        <f t="shared" si="51"/>
      </c>
      <c r="F173" s="5068" t="s">
        <v>5012</v>
      </c>
      <c r="G173" s="5146"/>
      <c r="H173" s="5068" t="s">
        <v>4859</v>
      </c>
      <c r="I173" s="5196"/>
      <c r="J173" s="5130" t="s">
        <v>5023</v>
      </c>
      <c r="K173" s="5053"/>
      <c r="L173" s="5053"/>
      <c r="M173" s="5053"/>
      <c r="N173" s="5053"/>
      <c r="O173" s="5053"/>
      <c r="P173" s="5053"/>
      <c r="Q173" s="5053"/>
      <c r="R173" s="5053"/>
      <c r="S173" s="5053"/>
      <c r="T173" s="5053"/>
      <c r="U173" s="5055"/>
      <c r="V173" s="5055"/>
      <c r="W173" s="5055"/>
      <c r="X173" s="5055"/>
      <c r="Y173" s="5055"/>
    </row>
    <row customHeight="true" ht="18.452380952380953" r="174">
      <c r="A174" s="5079" t="s">
        <v>5008</v>
      </c>
      <c r="B174" s="5072">
        <v>46239</v>
      </c>
      <c r="C174" s="5079" t="str">
        <v>Wednesday</v>
      </c>
      <c r="D174" s="5064" t="s">
        <v>4996</v>
      </c>
      <c r="E174" s="5068">
        <f t="shared" si="51"/>
      </c>
      <c r="F174" s="5068" t="s">
        <v>5012</v>
      </c>
      <c r="G174" s="5146"/>
      <c r="H174" s="5068" t="s">
        <v>4859</v>
      </c>
      <c r="I174" s="5196"/>
      <c r="J174" s="5130" t="s">
        <v>5024</v>
      </c>
      <c r="K174" s="5053"/>
      <c r="L174" s="5053"/>
      <c r="M174" s="5053"/>
      <c r="N174" s="5053"/>
      <c r="O174" s="5053"/>
      <c r="P174" s="5053"/>
      <c r="Q174" s="5053"/>
      <c r="R174" s="5053"/>
      <c r="S174" s="5053"/>
      <c r="T174" s="5053"/>
      <c r="U174" s="5055"/>
      <c r="V174" s="5055"/>
      <c r="W174" s="5055"/>
      <c r="X174" s="5055"/>
      <c r="Y174" s="5055"/>
    </row>
    <row customHeight="true" ht="18.452380952380953" r="175">
      <c r="A175" s="5079" t="s">
        <v>5008</v>
      </c>
      <c r="B175" s="5072">
        <v>46242</v>
      </c>
      <c r="C175" s="5079" t="str">
        <v>Saturday</v>
      </c>
      <c r="D175" s="5064" t="s">
        <v>5025</v>
      </c>
      <c r="E175" s="5068">
        <f t="shared" si="51"/>
      </c>
      <c r="F175" s="5068" t="s">
        <v>5012</v>
      </c>
      <c r="G175" s="5146"/>
      <c r="H175" s="5068" t="s">
        <v>4859</v>
      </c>
      <c r="I175" s="5196"/>
      <c r="J175" s="5130" t="s">
        <v>5024</v>
      </c>
      <c r="K175" s="5053"/>
      <c r="L175" s="5053"/>
      <c r="M175" s="5053"/>
      <c r="N175" s="5053"/>
      <c r="O175" s="5053"/>
      <c r="P175" s="5053"/>
      <c r="Q175" s="5053"/>
      <c r="R175" s="5053"/>
      <c r="S175" s="5053"/>
      <c r="T175" s="5053"/>
      <c r="U175" s="5055"/>
      <c r="V175" s="5055"/>
      <c r="W175" s="5055"/>
      <c r="X175" s="5055"/>
      <c r="Y175" s="5055"/>
    </row>
    <row customHeight="true" ht="18.452380952380953" r="176">
      <c r="A176" s="5079"/>
      <c r="B176" s="5079"/>
      <c r="C176" s="5079"/>
      <c r="D176" s="5069"/>
      <c r="E176" s="5069"/>
      <c r="F176" s="5197"/>
      <c r="G176" s="5095"/>
      <c r="H176" s="5069"/>
      <c r="I176" s="5069"/>
      <c r="J176" s="5069"/>
      <c r="K176" s="5053"/>
      <c r="L176" s="5053"/>
      <c r="M176" s="5053"/>
      <c r="N176" s="5053"/>
      <c r="O176" s="5053"/>
      <c r="P176" s="5053"/>
      <c r="Q176" s="5053"/>
      <c r="R176" s="5053"/>
      <c r="S176" s="5053"/>
      <c r="T176" s="5053"/>
      <c r="U176" s="5055"/>
      <c r="V176" s="5055"/>
      <c r="W176" s="5055"/>
      <c r="X176" s="5055"/>
      <c r="Y176" s="5055"/>
    </row>
    <row r="177">
      <c r="A177" s="5198" t="s">
        <v>4861</v>
      </c>
      <c r="B177" s="5199" t="s">
        <v>4862</v>
      </c>
      <c r="C177" s="5199"/>
      <c r="D177" s="5200" t="s">
        <v>4863</v>
      </c>
      <c r="E177" s="5200" t="s">
        <v>4864</v>
      </c>
      <c r="F177" s="5200" t="s">
        <v>4865</v>
      </c>
      <c r="G177" s="5201" t="s">
        <v>4877</v>
      </c>
      <c r="H177" s="5200" t="s">
        <v>4867</v>
      </c>
      <c r="I177" s="5200" t="s">
        <v>4868</v>
      </c>
      <c r="J177" s="5200" t="s">
        <v>4869</v>
      </c>
      <c r="K177" s="5053"/>
      <c r="L177" s="5053"/>
      <c r="M177" s="5053"/>
      <c r="N177" s="5053"/>
      <c r="O177" s="5053"/>
      <c r="P177" s="5053"/>
      <c r="Q177" s="5053"/>
      <c r="R177" s="5053"/>
      <c r="S177" s="5053"/>
      <c r="T177" s="5053"/>
      <c r="U177" s="5055"/>
      <c r="V177" s="5055"/>
      <c r="W177" s="5055"/>
      <c r="X177" s="5055"/>
      <c r="Y177" s="5055"/>
    </row>
    <row r="178">
      <c r="A178" s="5202" t="s">
        <v>5026</v>
      </c>
      <c r="B178" s="5203">
        <v>46237</v>
      </c>
      <c r="C178" s="5202" t="str">
        <v>Monday</v>
      </c>
      <c r="D178" s="5204" t="s">
        <v>5027</v>
      </c>
      <c r="E178" s="5205">
        <f t="shared" ref="E178:E199" si="52">24*MOD(TIMEVALUE(TRIM(MID(D178,FIND("-",D178)+1,LEN(D178)))) - TIMEVALUE(TRIM(LEFT(D178,FIND("-",D178)-1))),1)</f>
      </c>
      <c r="F178" s="5206" t="s">
        <v>4994</v>
      </c>
      <c r="G178" s="5207"/>
      <c r="H178" s="5205"/>
      <c r="I178" s="5205" t="s">
        <v>4846</v>
      </c>
      <c r="J178" s="5204" t="s">
        <v>5028</v>
      </c>
      <c r="K178" s="5208"/>
      <c r="L178" s="5208"/>
      <c r="M178" s="5208"/>
      <c r="N178" s="5208"/>
      <c r="O178" s="5208"/>
      <c r="P178" s="5208"/>
      <c r="Q178" s="5208"/>
      <c r="R178" s="5208"/>
      <c r="S178" s="5208"/>
      <c r="T178" s="5208"/>
      <c r="U178" s="5209"/>
      <c r="V178" s="5209"/>
      <c r="W178" s="5209"/>
      <c r="X178" s="5209"/>
      <c r="Y178" s="5209"/>
    </row>
    <row customHeight="true" ht="20.238095238095237" r="179">
      <c r="A179" s="5079" t="s">
        <v>5026</v>
      </c>
      <c r="B179" s="5072">
        <v>46237</v>
      </c>
      <c r="C179" s="5079" t="str">
        <v>Monday</v>
      </c>
      <c r="D179" s="5064" t="s">
        <v>5029</v>
      </c>
      <c r="E179" s="5069">
        <f t="shared" si="52"/>
      </c>
      <c r="F179" s="5197" t="s">
        <v>4884</v>
      </c>
      <c r="G179" s="5088"/>
      <c r="H179" s="5069"/>
      <c r="I179" s="5069" t="s">
        <v>4846</v>
      </c>
      <c r="J179" s="5069"/>
      <c r="K179" s="5053"/>
      <c r="L179" s="5053"/>
      <c r="M179" s="5053"/>
      <c r="N179" s="5053"/>
      <c r="O179" s="5053"/>
      <c r="P179" s="5053"/>
      <c r="Q179" s="5053"/>
      <c r="R179" s="5053"/>
      <c r="S179" s="5053"/>
      <c r="T179" s="5053"/>
      <c r="U179" s="5055"/>
      <c r="V179" s="5055"/>
      <c r="W179" s="5055"/>
      <c r="X179" s="5055"/>
      <c r="Y179" s="5055"/>
    </row>
    <row customHeight="true" ht="18.452380952380953" r="180">
      <c r="A180" s="5079" t="s">
        <v>5026</v>
      </c>
      <c r="B180" s="5072">
        <v>46238</v>
      </c>
      <c r="C180" s="5079" t="str">
        <v>Tuesday</v>
      </c>
      <c r="D180" s="5064" t="s">
        <v>5030</v>
      </c>
      <c r="E180" s="5069">
        <f t="shared" si="52"/>
      </c>
      <c r="F180" s="5197" t="s">
        <v>4884</v>
      </c>
      <c r="G180" s="5088"/>
      <c r="H180" s="5069"/>
      <c r="I180" s="5069" t="s">
        <v>4846</v>
      </c>
      <c r="J180" s="5069"/>
      <c r="K180" s="5053"/>
      <c r="L180" s="5053"/>
      <c r="M180" s="5053"/>
      <c r="N180" s="5053"/>
      <c r="O180" s="5053"/>
      <c r="P180" s="5053"/>
      <c r="Q180" s="5053"/>
      <c r="R180" s="5053"/>
      <c r="S180" s="5053"/>
      <c r="T180" s="5053"/>
      <c r="U180" s="5055"/>
      <c r="V180" s="5055"/>
      <c r="W180" s="5055"/>
      <c r="X180" s="5055"/>
      <c r="Y180" s="5055"/>
    </row>
    <row customHeight="true" ht="18.452380952380953" r="181">
      <c r="A181" s="5079" t="s">
        <v>5026</v>
      </c>
      <c r="B181" s="5072">
        <v>46239</v>
      </c>
      <c r="C181" s="5079" t="str">
        <v>Wednesday</v>
      </c>
      <c r="D181" s="5064" t="s">
        <v>5027</v>
      </c>
      <c r="E181" s="5069">
        <f t="shared" si="52"/>
      </c>
      <c r="F181" s="5197" t="s">
        <v>4994</v>
      </c>
      <c r="G181" s="5088"/>
      <c r="H181" s="5069"/>
      <c r="I181" s="5069" t="s">
        <v>4846</v>
      </c>
      <c r="J181" s="5069"/>
      <c r="K181" s="5053"/>
      <c r="L181" s="5053"/>
      <c r="M181" s="5053"/>
      <c r="N181" s="5053"/>
      <c r="O181" s="5053"/>
      <c r="P181" s="5053"/>
      <c r="Q181" s="5053"/>
      <c r="R181" s="5053"/>
      <c r="S181" s="5053"/>
      <c r="T181" s="5053"/>
      <c r="U181" s="5055"/>
      <c r="V181" s="5055"/>
      <c r="W181" s="5055"/>
      <c r="X181" s="5055"/>
      <c r="Y181" s="5055"/>
    </row>
    <row customHeight="true" ht="18.452380952380953" r="182">
      <c r="A182" s="5079" t="s">
        <v>5026</v>
      </c>
      <c r="B182" s="5072">
        <v>46239</v>
      </c>
      <c r="C182" s="5079" t="str">
        <v>Wednesday</v>
      </c>
      <c r="D182" s="5064" t="s">
        <v>5031</v>
      </c>
      <c r="E182" s="5069">
        <f t="shared" si="52"/>
      </c>
      <c r="F182" s="5197" t="s">
        <v>4884</v>
      </c>
      <c r="G182" s="5088"/>
      <c r="H182" s="5069"/>
      <c r="I182" s="5069" t="s">
        <v>4846</v>
      </c>
      <c r="J182" s="5069"/>
      <c r="K182" s="5053"/>
      <c r="L182" s="5053"/>
      <c r="M182" s="5053"/>
      <c r="N182" s="5053"/>
      <c r="O182" s="5053"/>
      <c r="P182" s="5053"/>
      <c r="Q182" s="5053"/>
      <c r="R182" s="5053"/>
      <c r="S182" s="5053"/>
      <c r="T182" s="5053"/>
      <c r="U182" s="5055"/>
      <c r="V182" s="5055"/>
      <c r="W182" s="5055"/>
      <c r="X182" s="5055"/>
      <c r="Y182" s="5055"/>
    </row>
    <row customHeight="true" ht="18.452380952380953" r="183">
      <c r="A183" s="5079" t="s">
        <v>5026</v>
      </c>
      <c r="B183" s="5072">
        <v>46240</v>
      </c>
      <c r="C183" s="5079" t="str">
        <v>Thursday</v>
      </c>
      <c r="D183" s="5064" t="s">
        <v>5030</v>
      </c>
      <c r="E183" s="5069">
        <f t="shared" si="52"/>
      </c>
      <c r="F183" s="5197" t="s">
        <v>4884</v>
      </c>
      <c r="G183" s="5088"/>
      <c r="H183" s="5069"/>
      <c r="I183" s="5069" t="s">
        <v>4846</v>
      </c>
      <c r="J183" s="5069"/>
      <c r="K183" s="5053"/>
      <c r="L183" s="5053"/>
      <c r="M183" s="5053"/>
      <c r="N183" s="5053"/>
      <c r="O183" s="5053"/>
      <c r="P183" s="5053"/>
      <c r="Q183" s="5053"/>
      <c r="R183" s="5053"/>
      <c r="S183" s="5053"/>
      <c r="T183" s="5053"/>
      <c r="U183" s="5055"/>
      <c r="V183" s="5055"/>
      <c r="W183" s="5055"/>
      <c r="X183" s="5055"/>
      <c r="Y183" s="5055"/>
    </row>
    <row r="184">
      <c r="A184" s="5079" t="s">
        <v>5026</v>
      </c>
      <c r="B184" s="5072">
        <v>46241</v>
      </c>
      <c r="C184" s="5079" t="str">
        <v>Friday</v>
      </c>
      <c r="D184" s="5064" t="s">
        <v>5032</v>
      </c>
      <c r="E184" s="5069">
        <f t="shared" si="52"/>
      </c>
      <c r="F184" s="5197" t="s">
        <v>4884</v>
      </c>
      <c r="G184" s="5088"/>
      <c r="H184" s="5069"/>
      <c r="I184" s="5069" t="s">
        <v>4846</v>
      </c>
      <c r="J184" s="5069"/>
      <c r="K184" s="5053"/>
      <c r="L184" s="5053"/>
      <c r="M184" s="5053"/>
      <c r="N184" s="5053"/>
      <c r="O184" s="5053"/>
      <c r="P184" s="5053"/>
      <c r="Q184" s="5053"/>
      <c r="R184" s="5053"/>
      <c r="S184" s="5053"/>
      <c r="T184" s="5053"/>
      <c r="U184" s="5055"/>
      <c r="V184" s="5055"/>
      <c r="W184" s="5055"/>
      <c r="X184" s="5055"/>
      <c r="Y184" s="5055"/>
    </row>
    <row customHeight="true" ht="20.238095238095237" r="185">
      <c r="A185" s="5079" t="s">
        <v>5026</v>
      </c>
      <c r="B185" s="5072">
        <v>46242</v>
      </c>
      <c r="C185" s="5079" t="str">
        <v>Saturday</v>
      </c>
      <c r="D185" s="5064" t="s">
        <v>5033</v>
      </c>
      <c r="E185" s="5069">
        <f t="shared" si="52"/>
      </c>
      <c r="F185" s="5197" t="s">
        <v>4910</v>
      </c>
      <c r="G185" s="5088"/>
      <c r="H185" s="5069"/>
      <c r="I185" s="5069" t="s">
        <v>4846</v>
      </c>
      <c r="J185" s="5069"/>
      <c r="K185" s="5053"/>
      <c r="L185" s="5053"/>
      <c r="M185" s="5053"/>
      <c r="N185" s="5053"/>
      <c r="O185" s="5053"/>
      <c r="P185" s="5053"/>
      <c r="Q185" s="5053"/>
      <c r="R185" s="5053"/>
      <c r="S185" s="5053"/>
      <c r="T185" s="5053"/>
      <c r="U185" s="5055"/>
      <c r="V185" s="5055"/>
      <c r="W185" s="5055"/>
      <c r="X185" s="5055"/>
      <c r="Y185" s="5055"/>
    </row>
    <row customHeight="true" ht="20.238095238095237" r="186">
      <c r="A186" s="5079" t="s">
        <v>5026</v>
      </c>
      <c r="B186" s="5072">
        <v>46243</v>
      </c>
      <c r="C186" s="5079" t="str">
        <v>Sunday</v>
      </c>
      <c r="D186" s="5064" t="s">
        <v>5027</v>
      </c>
      <c r="E186" s="5069">
        <f t="shared" si="52"/>
      </c>
      <c r="F186" s="5197" t="s">
        <v>4910</v>
      </c>
      <c r="G186" s="5088"/>
      <c r="H186" s="5069"/>
      <c r="I186" s="5069" t="s">
        <v>4846</v>
      </c>
      <c r="J186" s="5069"/>
      <c r="K186" s="5053"/>
      <c r="L186" s="5053"/>
      <c r="M186" s="5053"/>
      <c r="N186" s="5053"/>
      <c r="O186" s="5053"/>
      <c r="P186" s="5053"/>
      <c r="Q186" s="5053"/>
      <c r="R186" s="5053"/>
      <c r="S186" s="5053"/>
      <c r="T186" s="5053"/>
      <c r="U186" s="5055"/>
      <c r="V186" s="5055"/>
      <c r="W186" s="5055"/>
      <c r="X186" s="5055"/>
      <c r="Y186" s="5055"/>
    </row>
    <row customHeight="true" ht="20.238095238095237" r="187">
      <c r="A187" s="5079" t="s">
        <v>4954</v>
      </c>
      <c r="B187" s="5072">
        <v>46238</v>
      </c>
      <c r="C187" s="5079" t="str">
        <v>Tuesday</v>
      </c>
      <c r="D187" s="5064" t="s">
        <v>5034</v>
      </c>
      <c r="E187" s="5069">
        <f t="shared" si="52"/>
      </c>
      <c r="F187" s="5197" t="s">
        <v>4910</v>
      </c>
      <c r="G187" s="5088"/>
      <c r="H187" s="5069"/>
      <c r="I187" s="5069" t="s">
        <v>4846</v>
      </c>
      <c r="J187" s="5069"/>
      <c r="K187" s="5053"/>
      <c r="L187" s="5053"/>
      <c r="M187" s="5053"/>
      <c r="N187" s="5053"/>
      <c r="O187" s="5053"/>
      <c r="P187" s="5053"/>
      <c r="Q187" s="5053"/>
      <c r="R187" s="5053"/>
      <c r="S187" s="5053"/>
      <c r="T187" s="5053"/>
      <c r="U187" s="5055"/>
      <c r="V187" s="5055"/>
      <c r="W187" s="5055"/>
      <c r="X187" s="5055"/>
      <c r="Y187" s="5055"/>
    </row>
    <row customHeight="true" ht="20.238095238095237" r="188">
      <c r="A188" s="5079" t="s">
        <v>4954</v>
      </c>
      <c r="B188" s="5072">
        <v>46241</v>
      </c>
      <c r="C188" s="5079" t="str">
        <v>Friday</v>
      </c>
      <c r="D188" s="5064" t="s">
        <v>4973</v>
      </c>
      <c r="E188" s="5069">
        <f t="shared" si="52"/>
      </c>
      <c r="F188" s="5197" t="s">
        <v>4910</v>
      </c>
      <c r="G188" s="5088"/>
      <c r="H188" s="5069"/>
      <c r="I188" s="5069" t="s">
        <v>4846</v>
      </c>
      <c r="J188" s="5069"/>
      <c r="K188" s="5053"/>
      <c r="L188" s="5053"/>
      <c r="M188" s="5053"/>
      <c r="N188" s="5053"/>
      <c r="O188" s="5053"/>
      <c r="P188" s="5053"/>
      <c r="Q188" s="5053"/>
      <c r="R188" s="5053"/>
      <c r="S188" s="5053"/>
      <c r="T188" s="5053"/>
      <c r="U188" s="5055"/>
      <c r="V188" s="5055"/>
      <c r="W188" s="5055"/>
      <c r="X188" s="5055"/>
      <c r="Y188" s="5055"/>
    </row>
    <row r="189">
      <c r="A189" s="5079" t="s">
        <v>5035</v>
      </c>
      <c r="B189" s="5072">
        <v>46237</v>
      </c>
      <c r="C189" s="5079" t="str">
        <v>Monday</v>
      </c>
      <c r="D189" s="5064" t="s">
        <v>5036</v>
      </c>
      <c r="E189" s="5069">
        <f t="shared" si="52"/>
      </c>
      <c r="F189" s="5149" t="s">
        <v>4937</v>
      </c>
      <c r="G189" s="5095"/>
      <c r="H189" s="5069"/>
      <c r="I189" s="5069" t="s">
        <v>4846</v>
      </c>
      <c r="J189" s="5069"/>
      <c r="K189" s="5053"/>
      <c r="L189" s="5053"/>
      <c r="M189" s="5053"/>
      <c r="N189" s="5053"/>
      <c r="O189" s="5053"/>
      <c r="P189" s="5053"/>
      <c r="Q189" s="5053"/>
      <c r="R189" s="5053"/>
      <c r="S189" s="5053"/>
      <c r="T189" s="5053"/>
      <c r="U189" s="5055"/>
      <c r="V189" s="5055"/>
      <c r="W189" s="5055"/>
      <c r="X189" s="5055"/>
      <c r="Y189" s="5055"/>
    </row>
    <row customHeight="true" ht="18.452380952380953" r="190">
      <c r="A190" s="5079" t="s">
        <v>5035</v>
      </c>
      <c r="B190" s="5072">
        <v>46237</v>
      </c>
      <c r="C190" s="5079" t="str">
        <v>Monday</v>
      </c>
      <c r="D190" s="5064" t="s">
        <v>5037</v>
      </c>
      <c r="E190" s="5069">
        <f t="shared" si="52"/>
      </c>
      <c r="F190" s="5149" t="s">
        <v>5016</v>
      </c>
      <c r="G190" s="5095"/>
      <c r="H190" s="5069"/>
      <c r="I190" s="5196" t="s">
        <v>4846</v>
      </c>
      <c r="J190" s="5069"/>
      <c r="K190" s="5053"/>
      <c r="L190" s="5053"/>
      <c r="M190" s="5053"/>
      <c r="N190" s="5053"/>
      <c r="O190" s="5053"/>
      <c r="P190" s="5053"/>
      <c r="Q190" s="5053"/>
      <c r="R190" s="5053"/>
      <c r="S190" s="5053"/>
      <c r="T190" s="5053"/>
      <c r="U190" s="5055"/>
      <c r="V190" s="5055"/>
      <c r="W190" s="5055"/>
      <c r="X190" s="5055"/>
      <c r="Y190" s="5055"/>
    </row>
    <row r="191">
      <c r="A191" s="5079" t="s">
        <v>5035</v>
      </c>
      <c r="B191" s="5072">
        <v>46238</v>
      </c>
      <c r="C191" s="5079" t="str">
        <v>Tuesday</v>
      </c>
      <c r="D191" s="5064" t="s">
        <v>5027</v>
      </c>
      <c r="E191" s="5069">
        <f t="shared" si="52"/>
      </c>
      <c r="F191" s="5149" t="s">
        <v>5038</v>
      </c>
      <c r="G191" s="5095"/>
      <c r="H191" s="5069"/>
      <c r="I191" s="5069" t="s">
        <v>4846</v>
      </c>
      <c r="J191" s="5069"/>
      <c r="K191" s="5053"/>
      <c r="L191" s="5053"/>
      <c r="M191" s="5053"/>
      <c r="N191" s="5053"/>
      <c r="O191" s="5053"/>
      <c r="P191" s="5053"/>
      <c r="Q191" s="5053"/>
      <c r="R191" s="5053"/>
      <c r="S191" s="5053"/>
      <c r="T191" s="5053"/>
      <c r="U191" s="5055"/>
      <c r="V191" s="5055"/>
      <c r="W191" s="5055"/>
      <c r="X191" s="5055"/>
      <c r="Y191" s="5055"/>
    </row>
    <row customHeight="true" ht="18.452380952380953" r="192">
      <c r="A192" s="5079" t="s">
        <v>5035</v>
      </c>
      <c r="B192" s="5072">
        <v>46238</v>
      </c>
      <c r="C192" s="5079" t="str">
        <v>Tuesday</v>
      </c>
      <c r="D192" s="5064" t="s">
        <v>5039</v>
      </c>
      <c r="E192" s="5069">
        <f t="shared" si="52"/>
      </c>
      <c r="F192" s="5149" t="s">
        <v>5016</v>
      </c>
      <c r="G192" s="5095"/>
      <c r="H192" s="5069"/>
      <c r="I192" s="5069" t="s">
        <v>4846</v>
      </c>
      <c r="J192" s="5069"/>
      <c r="K192" s="5053"/>
      <c r="L192" s="5053"/>
      <c r="M192" s="5053"/>
      <c r="N192" s="5053"/>
      <c r="O192" s="5053"/>
      <c r="P192" s="5053"/>
      <c r="Q192" s="5053"/>
      <c r="R192" s="5053"/>
      <c r="S192" s="5053"/>
      <c r="T192" s="5053"/>
      <c r="U192" s="5055"/>
      <c r="V192" s="5055"/>
      <c r="W192" s="5055"/>
      <c r="X192" s="5055"/>
      <c r="Y192" s="5055"/>
    </row>
    <row r="193">
      <c r="A193" s="5079" t="s">
        <v>5035</v>
      </c>
      <c r="B193" s="5072">
        <v>46239</v>
      </c>
      <c r="C193" s="5079" t="str">
        <v>Wednesday</v>
      </c>
      <c r="D193" s="5064" t="s">
        <v>4979</v>
      </c>
      <c r="E193" s="5069">
        <f t="shared" si="52"/>
      </c>
      <c r="F193" s="5149" t="s">
        <v>5016</v>
      </c>
      <c r="G193" s="5095"/>
      <c r="H193" s="5069"/>
      <c r="I193" s="5069" t="s">
        <v>4846</v>
      </c>
      <c r="J193" s="5069"/>
      <c r="K193" s="5053"/>
      <c r="L193" s="5053"/>
      <c r="M193" s="5053"/>
      <c r="N193" s="5053"/>
      <c r="O193" s="5053"/>
      <c r="P193" s="5053"/>
      <c r="Q193" s="5053"/>
      <c r="R193" s="5053"/>
      <c r="S193" s="5053"/>
      <c r="T193" s="5053"/>
      <c r="U193" s="5055"/>
      <c r="V193" s="5055"/>
      <c r="W193" s="5055"/>
      <c r="X193" s="5055"/>
      <c r="Y193" s="5055"/>
    </row>
    <row customHeight="true" ht="18.452380952380953" r="194">
      <c r="A194" s="5079" t="s">
        <v>5035</v>
      </c>
      <c r="B194" s="5072">
        <v>46239</v>
      </c>
      <c r="C194" s="5079" t="str">
        <v>Wednesday</v>
      </c>
      <c r="D194" s="5064" t="s">
        <v>5040</v>
      </c>
      <c r="E194" s="5069">
        <f t="shared" si="52"/>
      </c>
      <c r="F194" s="5149" t="s">
        <v>4937</v>
      </c>
      <c r="G194" s="5095"/>
      <c r="H194" s="5069"/>
      <c r="I194" s="5069" t="s">
        <v>4846</v>
      </c>
      <c r="J194" s="5069"/>
      <c r="K194" s="5053"/>
      <c r="L194" s="5053"/>
      <c r="M194" s="5053"/>
      <c r="N194" s="5053"/>
      <c r="O194" s="5053"/>
      <c r="P194" s="5053"/>
      <c r="Q194" s="5053"/>
      <c r="R194" s="5053"/>
      <c r="S194" s="5053"/>
      <c r="T194" s="5053"/>
      <c r="U194" s="5055"/>
      <c r="V194" s="5055"/>
      <c r="W194" s="5055"/>
      <c r="X194" s="5055"/>
      <c r="Y194" s="5055"/>
    </row>
    <row customHeight="true" ht="18.452380952380953" r="195">
      <c r="A195" s="5079" t="s">
        <v>5035</v>
      </c>
      <c r="B195" s="5072">
        <v>46240</v>
      </c>
      <c r="C195" s="5079" t="str">
        <v>Thursday</v>
      </c>
      <c r="D195" s="5064" t="s">
        <v>4879</v>
      </c>
      <c r="E195" s="5069">
        <f t="shared" si="52"/>
      </c>
      <c r="F195" s="5149" t="s">
        <v>5041</v>
      </c>
      <c r="G195" s="5095"/>
      <c r="H195" s="5069"/>
      <c r="I195" s="5069" t="s">
        <v>4846</v>
      </c>
      <c r="J195" s="5069"/>
      <c r="K195" s="5053"/>
      <c r="L195" s="5053"/>
      <c r="M195" s="5053"/>
      <c r="N195" s="5053"/>
      <c r="O195" s="5053"/>
      <c r="P195" s="5053"/>
      <c r="Q195" s="5053"/>
      <c r="R195" s="5053"/>
      <c r="S195" s="5053"/>
      <c r="T195" s="5053"/>
      <c r="U195" s="5055"/>
      <c r="V195" s="5055"/>
      <c r="W195" s="5055"/>
      <c r="X195" s="5055"/>
      <c r="Y195" s="5055"/>
    </row>
    <row r="196">
      <c r="A196" s="5079" t="s">
        <v>5035</v>
      </c>
      <c r="B196" s="5072">
        <v>46240</v>
      </c>
      <c r="C196" s="5079" t="str">
        <v>Thursday</v>
      </c>
      <c r="D196" s="5064" t="s">
        <v>5042</v>
      </c>
      <c r="E196" s="5069">
        <f t="shared" si="52"/>
      </c>
      <c r="F196" s="5149" t="s">
        <v>5038</v>
      </c>
      <c r="G196" s="5095"/>
      <c r="H196" s="5069"/>
      <c r="I196" s="5069" t="s">
        <v>4846</v>
      </c>
      <c r="J196" s="5069"/>
      <c r="K196" s="5053"/>
      <c r="L196" s="5053"/>
      <c r="M196" s="5053"/>
      <c r="N196" s="5053"/>
      <c r="O196" s="5053"/>
      <c r="P196" s="5053"/>
      <c r="Q196" s="5053"/>
      <c r="R196" s="5053"/>
      <c r="S196" s="5053"/>
      <c r="T196" s="5053"/>
      <c r="U196" s="5055"/>
      <c r="V196" s="5055"/>
      <c r="W196" s="5055"/>
      <c r="X196" s="5055"/>
      <c r="Y196" s="5055"/>
    </row>
    <row r="197">
      <c r="A197" s="5079" t="s">
        <v>5035</v>
      </c>
      <c r="B197" s="5072">
        <v>46241</v>
      </c>
      <c r="C197" s="5079" t="str">
        <v>Friday</v>
      </c>
      <c r="D197" s="5064" t="s">
        <v>5025</v>
      </c>
      <c r="E197" s="5069">
        <f t="shared" si="52"/>
      </c>
      <c r="F197" s="5149" t="s">
        <v>5038</v>
      </c>
      <c r="G197" s="5095"/>
      <c r="H197" s="5069"/>
      <c r="I197" s="5069" t="s">
        <v>4846</v>
      </c>
      <c r="J197" s="5069"/>
      <c r="K197" s="5053"/>
      <c r="L197" s="5053"/>
      <c r="M197" s="5053"/>
      <c r="N197" s="5053"/>
      <c r="O197" s="5053"/>
      <c r="P197" s="5053"/>
      <c r="Q197" s="5053"/>
      <c r="R197" s="5053"/>
      <c r="S197" s="5053"/>
      <c r="T197" s="5053"/>
      <c r="U197" s="5055"/>
      <c r="V197" s="5055"/>
      <c r="W197" s="5055"/>
      <c r="X197" s="5055"/>
      <c r="Y197" s="5055"/>
    </row>
    <row customHeight="true" ht="18.452380952380953" r="198">
      <c r="A198" s="5079" t="s">
        <v>5035</v>
      </c>
      <c r="B198" s="5072">
        <v>46242</v>
      </c>
      <c r="C198" s="5079" t="str">
        <v>Saturday</v>
      </c>
      <c r="D198" s="5064" t="s">
        <v>5033</v>
      </c>
      <c r="E198" s="5069">
        <f t="shared" si="52"/>
      </c>
      <c r="F198" s="5149"/>
      <c r="G198" s="5095"/>
      <c r="H198" s="5069"/>
      <c r="I198" s="5069" t="s">
        <v>4846</v>
      </c>
      <c r="J198" s="5069"/>
      <c r="K198" s="5053"/>
      <c r="L198" s="5053"/>
      <c r="M198" s="5053"/>
      <c r="N198" s="5053"/>
      <c r="O198" s="5053"/>
      <c r="P198" s="5053"/>
      <c r="Q198" s="5053"/>
      <c r="R198" s="5053"/>
      <c r="S198" s="5053"/>
      <c r="T198" s="5053"/>
      <c r="U198" s="5055"/>
      <c r="V198" s="5055"/>
      <c r="W198" s="5055"/>
      <c r="X198" s="5055"/>
      <c r="Y198" s="5055"/>
    </row>
    <row customHeight="true" ht="18.452380952380953" r="199">
      <c r="A199" s="5079" t="s">
        <v>5035</v>
      </c>
      <c r="B199" s="5072">
        <v>46243</v>
      </c>
      <c r="C199" s="5079" t="str">
        <v>Sunday</v>
      </c>
      <c r="D199" s="5064" t="s">
        <v>5027</v>
      </c>
      <c r="E199" s="5069">
        <f t="shared" si="52"/>
      </c>
      <c r="F199" s="5149" t="s">
        <v>5043</v>
      </c>
      <c r="G199" s="5095"/>
      <c r="H199" s="5069"/>
      <c r="I199" s="5069" t="s">
        <v>4846</v>
      </c>
      <c r="J199" s="5069"/>
      <c r="K199" s="5053"/>
      <c r="L199" s="5053"/>
      <c r="M199" s="5053"/>
      <c r="N199" s="5053"/>
      <c r="O199" s="5053"/>
      <c r="P199" s="5053"/>
      <c r="Q199" s="5053"/>
      <c r="R199" s="5053"/>
      <c r="S199" s="5053"/>
      <c r="T199" s="5053"/>
      <c r="U199" s="5055"/>
      <c r="V199" s="5055"/>
      <c r="W199" s="5055"/>
      <c r="X199" s="5055"/>
      <c r="Y199" s="5055"/>
    </row>
    <row r="200">
      <c r="A200" s="5055"/>
      <c r="B200" s="5055"/>
      <c r="C200" s="5055"/>
      <c r="D200" s="5055"/>
      <c r="E200" s="5055"/>
      <c r="F200" s="5055"/>
      <c r="G200" s="5055"/>
      <c r="H200" s="5189"/>
      <c r="I200" s="5055"/>
      <c r="J200" s="5055"/>
      <c r="K200" s="5055"/>
      <c r="L200" s="5055"/>
      <c r="M200" s="5055"/>
      <c r="N200" s="5055"/>
      <c r="O200" s="5055"/>
      <c r="P200" s="5055"/>
      <c r="Q200" s="5055"/>
      <c r="R200" s="5055"/>
      <c r="S200" s="5055"/>
      <c r="T200" s="5055"/>
      <c r="U200" s="5055"/>
      <c r="V200" s="5055"/>
      <c r="W200" s="5055"/>
      <c r="X200" s="5055"/>
      <c r="Y200" s="5055"/>
    </row>
    <row r="201">
      <c r="A201" s="5210" t="s">
        <v>5044</v>
      </c>
      <c r="B201" s="5211"/>
      <c r="C201" s="5211"/>
      <c r="D201" s="5211"/>
      <c r="E201" s="5211"/>
      <c r="F201" s="5211"/>
      <c r="G201" s="5211"/>
      <c r="H201" s="5211"/>
      <c r="I201" s="5211"/>
      <c r="J201" s="5211"/>
      <c r="K201" s="5053"/>
      <c r="L201" s="5053"/>
      <c r="M201" s="5053"/>
      <c r="N201" s="5053"/>
      <c r="O201" s="5053"/>
      <c r="P201" s="5053"/>
      <c r="Q201" s="5053"/>
      <c r="R201" s="5053"/>
      <c r="S201" s="5053"/>
      <c r="T201" s="5053"/>
      <c r="U201" s="5055"/>
      <c r="V201" s="5055"/>
      <c r="W201" s="5055"/>
      <c r="X201" s="5055"/>
      <c r="Y201" s="5055"/>
    </row>
    <row r="202">
      <c r="A202" s="5198" t="s">
        <v>4861</v>
      </c>
      <c r="B202" s="5199" t="s">
        <v>4862</v>
      </c>
      <c r="C202" s="5199"/>
      <c r="D202" s="5200" t="s">
        <v>4863</v>
      </c>
      <c r="E202" s="5200" t="s">
        <v>4864</v>
      </c>
      <c r="F202" s="5200" t="s">
        <v>4865</v>
      </c>
      <c r="G202" s="5201" t="s">
        <v>4877</v>
      </c>
      <c r="H202" s="5200" t="s">
        <v>4867</v>
      </c>
      <c r="I202" s="5200" t="s">
        <v>4868</v>
      </c>
      <c r="J202" s="5200" t="s">
        <v>4869</v>
      </c>
      <c r="K202" s="5053"/>
      <c r="L202" s="5053"/>
      <c r="M202" s="5053"/>
      <c r="N202" s="5053"/>
      <c r="O202" s="5053"/>
      <c r="P202" s="5053"/>
      <c r="Q202" s="5053"/>
      <c r="R202" s="5053"/>
      <c r="S202" s="5053"/>
      <c r="T202" s="5053"/>
      <c r="U202" s="5055"/>
      <c r="V202" s="5055"/>
      <c r="W202" s="5055"/>
      <c r="X202" s="5055"/>
      <c r="Y202" s="5055"/>
    </row>
    <row r="203">
      <c r="A203" s="5079" t="s">
        <v>5044</v>
      </c>
      <c r="B203" s="5072">
        <v>46237</v>
      </c>
      <c r="C203" s="5079" t="str">
        <v>Monday</v>
      </c>
      <c r="D203" s="5064" t="s">
        <v>4993</v>
      </c>
      <c r="E203" s="5069">
        <f t="shared" ref="E203:E225" si="53">24*MOD(TIMEVALUE(TRIM(MID(D203,FIND("-",D203)+1,LEN(D203)))) - TIMEVALUE(TRIM(LEFT(D203,FIND("-",D203)-1))),1)</f>
      </c>
      <c r="F203" s="5149" t="s">
        <v>4980</v>
      </c>
      <c r="G203" s="5088" t="s">
        <v>5045</v>
      </c>
      <c r="H203" s="5069" t="s">
        <v>4859</v>
      </c>
      <c r="I203" s="5069" t="s">
        <v>4846</v>
      </c>
      <c r="J203" s="5064" t="s">
        <v>5046</v>
      </c>
      <c r="K203" s="5053"/>
      <c r="L203" s="5053"/>
      <c r="M203" s="5053"/>
      <c r="N203" s="5053"/>
      <c r="O203" s="5053"/>
      <c r="P203" s="5053"/>
      <c r="Q203" s="5053"/>
      <c r="R203" s="5053"/>
      <c r="S203" s="5053"/>
      <c r="T203" s="5053"/>
      <c r="U203" s="5055"/>
      <c r="V203" s="5055"/>
      <c r="W203" s="5055"/>
      <c r="X203" s="5055"/>
      <c r="Y203" s="5055"/>
    </row>
    <row customHeight="true" ht="18.452380952380953" r="204">
      <c r="A204" s="5079" t="s">
        <v>5044</v>
      </c>
      <c r="B204" s="5072">
        <v>46238</v>
      </c>
      <c r="C204" s="5079" t="str">
        <v>Tuesday</v>
      </c>
      <c r="D204" s="5064" t="s">
        <v>4929</v>
      </c>
      <c r="E204" s="5069">
        <f t="shared" si="53"/>
      </c>
      <c r="F204" s="5149" t="s">
        <v>5004</v>
      </c>
      <c r="G204" s="5088" t="s">
        <v>5045</v>
      </c>
      <c r="H204" s="5069" t="s">
        <v>4859</v>
      </c>
      <c r="I204" s="5069" t="s">
        <v>4846</v>
      </c>
      <c r="J204" s="5069"/>
      <c r="K204" s="5053"/>
      <c r="L204" s="5053"/>
      <c r="M204" s="5053"/>
      <c r="N204" s="5053"/>
      <c r="O204" s="5053"/>
      <c r="P204" s="5053"/>
      <c r="Q204" s="5053"/>
      <c r="R204" s="5053"/>
      <c r="S204" s="5053"/>
      <c r="T204" s="5053"/>
      <c r="U204" s="5055"/>
      <c r="V204" s="5055"/>
      <c r="W204" s="5055"/>
      <c r="X204" s="5055"/>
      <c r="Y204" s="5055"/>
    </row>
    <row customHeight="true" ht="18.452380952380953" r="205">
      <c r="A205" s="5079" t="s">
        <v>5044</v>
      </c>
      <c r="B205" s="5072">
        <v>46239</v>
      </c>
      <c r="C205" s="5079" t="str">
        <v>Wednesday</v>
      </c>
      <c r="D205" s="5064" t="s">
        <v>4873</v>
      </c>
      <c r="E205" s="5069">
        <f t="shared" si="53"/>
      </c>
      <c r="F205" s="5149" t="s">
        <v>5004</v>
      </c>
      <c r="G205" s="5088" t="s">
        <v>5045</v>
      </c>
      <c r="H205" s="5069" t="s">
        <v>4859</v>
      </c>
      <c r="I205" s="5069" t="s">
        <v>4846</v>
      </c>
      <c r="J205" s="5064" t="s">
        <v>5046</v>
      </c>
      <c r="K205" s="5053"/>
      <c r="L205" s="5053"/>
      <c r="M205" s="5053"/>
      <c r="N205" s="5053"/>
      <c r="O205" s="5053"/>
      <c r="P205" s="5053"/>
      <c r="Q205" s="5053"/>
      <c r="R205" s="5053"/>
      <c r="S205" s="5053"/>
      <c r="T205" s="5053"/>
      <c r="U205" s="5055"/>
      <c r="V205" s="5055"/>
      <c r="W205" s="5055"/>
      <c r="X205" s="5055"/>
      <c r="Y205" s="5055"/>
    </row>
    <row customHeight="true" ht="18.452380952380953" r="206">
      <c r="A206" s="5079" t="s">
        <v>5044</v>
      </c>
      <c r="B206" s="5072">
        <v>46240</v>
      </c>
      <c r="C206" s="5079" t="str">
        <v>Thursday</v>
      </c>
      <c r="D206" s="5064" t="s">
        <v>4993</v>
      </c>
      <c r="E206" s="5069">
        <f t="shared" si="53"/>
      </c>
      <c r="F206" s="5149" t="s">
        <v>4980</v>
      </c>
      <c r="G206" s="5088" t="s">
        <v>5045</v>
      </c>
      <c r="H206" s="5069" t="s">
        <v>4859</v>
      </c>
      <c r="I206" s="5069" t="s">
        <v>4846</v>
      </c>
      <c r="J206" s="5064" t="s">
        <v>5046</v>
      </c>
      <c r="K206" s="5053"/>
      <c r="L206" s="5053"/>
      <c r="M206" s="5053"/>
      <c r="N206" s="5053"/>
      <c r="O206" s="5053"/>
      <c r="P206" s="5053"/>
      <c r="Q206" s="5053"/>
      <c r="R206" s="5053"/>
      <c r="S206" s="5053"/>
      <c r="T206" s="5053"/>
      <c r="U206" s="5055"/>
      <c r="V206" s="5055"/>
      <c r="W206" s="5055"/>
      <c r="X206" s="5055"/>
      <c r="Y206" s="5055"/>
    </row>
    <row customHeight="true" ht="18.452380952380953" r="207">
      <c r="A207" s="5079" t="s">
        <v>5044</v>
      </c>
      <c r="B207" s="5072">
        <v>46241</v>
      </c>
      <c r="C207" s="5079" t="str">
        <v>Friday</v>
      </c>
      <c r="D207" s="5064" t="s">
        <v>4929</v>
      </c>
      <c r="E207" s="5069">
        <f t="shared" si="53"/>
      </c>
      <c r="F207" s="5149" t="s">
        <v>5004</v>
      </c>
      <c r="G207" s="5088" t="s">
        <v>5047</v>
      </c>
      <c r="H207" s="5069" t="s">
        <v>4859</v>
      </c>
      <c r="I207" s="5069" t="s">
        <v>4846</v>
      </c>
      <c r="J207" s="5064" t="s">
        <v>5046</v>
      </c>
      <c r="K207" s="5053"/>
      <c r="L207" s="5053"/>
      <c r="M207" s="5053"/>
      <c r="N207" s="5053"/>
      <c r="O207" s="5053"/>
      <c r="P207" s="5053"/>
      <c r="Q207" s="5053"/>
      <c r="R207" s="5053"/>
      <c r="S207" s="5053"/>
      <c r="T207" s="5053"/>
      <c r="U207" s="5055"/>
      <c r="V207" s="5055"/>
      <c r="W207" s="5055"/>
      <c r="X207" s="5055"/>
      <c r="Y207" s="5055"/>
    </row>
    <row customHeight="true" ht="18.452380952380953" r="208">
      <c r="A208" s="5202" t="s">
        <v>5044</v>
      </c>
      <c r="B208" s="5203">
        <v>46242</v>
      </c>
      <c r="C208" s="5202" t="str">
        <v>Saturday</v>
      </c>
      <c r="D208" s="5204" t="s">
        <v>5048</v>
      </c>
      <c r="E208" s="5205">
        <f t="shared" si="53"/>
      </c>
      <c r="F208" s="5212" t="s">
        <v>5004</v>
      </c>
      <c r="G208" s="5207"/>
      <c r="H208" s="5205" t="s">
        <v>4859</v>
      </c>
      <c r="I208" s="5205" t="s">
        <v>4846</v>
      </c>
      <c r="J208" s="5204" t="s">
        <v>5049</v>
      </c>
      <c r="K208" s="5208"/>
      <c r="L208" s="5208"/>
      <c r="M208" s="5208"/>
      <c r="N208" s="5208"/>
      <c r="O208" s="5208"/>
      <c r="P208" s="5208"/>
      <c r="Q208" s="5208"/>
      <c r="R208" s="5208"/>
      <c r="S208" s="5208"/>
      <c r="T208" s="5208"/>
      <c r="U208" s="5209"/>
      <c r="V208" s="5209"/>
      <c r="W208" s="5209"/>
      <c r="X208" s="5209"/>
      <c r="Y208" s="5209"/>
    </row>
    <row customHeight="true" ht="18.452380952380953" r="209">
      <c r="A209" s="5213" t="s">
        <v>5044</v>
      </c>
      <c r="B209" s="5214">
        <v>46243</v>
      </c>
      <c r="C209" s="5213" t="str">
        <v>Sunday</v>
      </c>
      <c r="D209" s="5215" t="s">
        <v>5050</v>
      </c>
      <c r="E209" s="5216">
        <f t="shared" si="53"/>
      </c>
      <c r="F209" s="5217" t="s">
        <v>5051</v>
      </c>
      <c r="G209" s="5218" t="s">
        <v>5047</v>
      </c>
      <c r="H209" s="5216" t="s">
        <v>4859</v>
      </c>
      <c r="I209" s="5216" t="s">
        <v>4846</v>
      </c>
      <c r="J209" s="5215" t="s">
        <v>5052</v>
      </c>
      <c r="K209" s="5219"/>
      <c r="L209" s="5219"/>
      <c r="M209" s="5219"/>
      <c r="N209" s="5219"/>
      <c r="O209" s="5219"/>
      <c r="P209" s="5219"/>
      <c r="Q209" s="5219"/>
      <c r="R209" s="5219"/>
      <c r="S209" s="5219"/>
      <c r="T209" s="5219"/>
      <c r="U209" s="5220"/>
      <c r="V209" s="5220"/>
      <c r="W209" s="5220"/>
      <c r="X209" s="5220"/>
      <c r="Y209" s="5220"/>
    </row>
    <row customHeight="true" ht="18.452380952380953" r="210">
      <c r="A210" s="5079" t="s">
        <v>5053</v>
      </c>
      <c r="B210" s="5072">
        <v>46237</v>
      </c>
      <c r="C210" s="5079" t="str">
        <v>Monday</v>
      </c>
      <c r="D210" s="5130" t="s">
        <v>5054</v>
      </c>
      <c r="E210" s="5069">
        <f t="shared" si="53"/>
      </c>
      <c r="F210" s="5149" t="s">
        <v>4958</v>
      </c>
      <c r="G210" s="5095"/>
      <c r="H210" s="5069" t="s">
        <v>4845</v>
      </c>
      <c r="I210" s="5069" t="s">
        <v>4846</v>
      </c>
      <c r="J210" s="5069"/>
      <c r="K210" s="5053"/>
      <c r="L210" s="5053"/>
      <c r="M210" s="5053"/>
      <c r="N210" s="5053"/>
      <c r="O210" s="5053"/>
      <c r="P210" s="5053"/>
      <c r="Q210" s="5053"/>
      <c r="R210" s="5053"/>
      <c r="S210" s="5053"/>
      <c r="T210" s="5053"/>
      <c r="U210" s="5055"/>
      <c r="V210" s="5055"/>
      <c r="W210" s="5055"/>
      <c r="X210" s="5055"/>
      <c r="Y210" s="5055"/>
    </row>
    <row customHeight="true" ht="18.452380952380953" r="211">
      <c r="A211" s="5079" t="s">
        <v>5053</v>
      </c>
      <c r="B211" s="5072">
        <v>46238</v>
      </c>
      <c r="C211" s="5079" t="str">
        <v>Tuesday</v>
      </c>
      <c r="D211" s="5130" t="s">
        <v>5055</v>
      </c>
      <c r="E211" s="5069">
        <f t="shared" si="53"/>
      </c>
      <c r="F211" s="5149" t="s">
        <v>4958</v>
      </c>
      <c r="G211" s="5095"/>
      <c r="H211" s="5069" t="s">
        <v>4845</v>
      </c>
      <c r="I211" s="5069" t="s">
        <v>4846</v>
      </c>
      <c r="J211" s="5069"/>
      <c r="K211" s="5053"/>
      <c r="L211" s="5053"/>
      <c r="M211" s="5053"/>
      <c r="N211" s="5053"/>
      <c r="O211" s="5053"/>
      <c r="P211" s="5053"/>
      <c r="Q211" s="5053"/>
      <c r="R211" s="5053"/>
      <c r="S211" s="5053"/>
      <c r="T211" s="5053"/>
      <c r="U211" s="5055"/>
      <c r="V211" s="5055"/>
      <c r="W211" s="5055"/>
      <c r="X211" s="5055"/>
      <c r="Y211" s="5055"/>
    </row>
    <row customHeight="true" ht="18.452380952380953" r="212">
      <c r="A212" s="5079" t="s">
        <v>5053</v>
      </c>
      <c r="B212" s="5072">
        <v>46238</v>
      </c>
      <c r="C212" s="5079" t="str">
        <v>Tuesday</v>
      </c>
      <c r="D212" s="5130" t="s">
        <v>5054</v>
      </c>
      <c r="E212" s="5069">
        <f t="shared" si="53"/>
      </c>
      <c r="F212" s="5149" t="s">
        <v>4958</v>
      </c>
      <c r="G212" s="5095"/>
      <c r="H212" s="5069" t="s">
        <v>4845</v>
      </c>
      <c r="I212" s="5069" t="s">
        <v>4846</v>
      </c>
      <c r="J212" s="5069"/>
      <c r="K212" s="5053"/>
      <c r="L212" s="5053"/>
      <c r="M212" s="5053"/>
      <c r="N212" s="5053"/>
      <c r="O212" s="5053"/>
      <c r="P212" s="5053"/>
      <c r="Q212" s="5053"/>
      <c r="R212" s="5053"/>
      <c r="S212" s="5053"/>
      <c r="T212" s="5053"/>
      <c r="U212" s="5055"/>
      <c r="V212" s="5055"/>
      <c r="W212" s="5055"/>
      <c r="X212" s="5055"/>
      <c r="Y212" s="5055"/>
    </row>
    <row customHeight="true" ht="18.452380952380953" r="213">
      <c r="A213" s="5079" t="s">
        <v>5053</v>
      </c>
      <c r="B213" s="5072">
        <v>46239</v>
      </c>
      <c r="C213" s="5079" t="str">
        <v>Wednesday</v>
      </c>
      <c r="D213" s="5130" t="s">
        <v>5055</v>
      </c>
      <c r="E213" s="5069">
        <f t="shared" si="53"/>
      </c>
      <c r="F213" s="5149" t="s">
        <v>4958</v>
      </c>
      <c r="G213" s="5095"/>
      <c r="H213" s="5069" t="s">
        <v>4845</v>
      </c>
      <c r="I213" s="5069" t="s">
        <v>4846</v>
      </c>
      <c r="J213" s="5069"/>
      <c r="K213" s="5053"/>
      <c r="L213" s="5053"/>
      <c r="M213" s="5053"/>
      <c r="N213" s="5053"/>
      <c r="O213" s="5053"/>
      <c r="P213" s="5053"/>
      <c r="Q213" s="5053"/>
      <c r="R213" s="5053"/>
      <c r="S213" s="5053"/>
      <c r="T213" s="5053"/>
      <c r="U213" s="5055"/>
      <c r="V213" s="5055"/>
      <c r="W213" s="5055"/>
      <c r="X213" s="5055"/>
      <c r="Y213" s="5055"/>
    </row>
    <row customHeight="true" ht="18.452380952380953" r="214">
      <c r="A214" s="5079" t="s">
        <v>5053</v>
      </c>
      <c r="B214" s="5072">
        <v>46239</v>
      </c>
      <c r="C214" s="5079" t="str">
        <v>Wednesday</v>
      </c>
      <c r="D214" s="5130" t="s">
        <v>5054</v>
      </c>
      <c r="E214" s="5069">
        <f t="shared" si="53"/>
      </c>
      <c r="F214" s="5149" t="s">
        <v>4958</v>
      </c>
      <c r="G214" s="5095"/>
      <c r="H214" s="5069" t="s">
        <v>4845</v>
      </c>
      <c r="I214" s="5069" t="s">
        <v>4846</v>
      </c>
      <c r="J214" s="5069"/>
      <c r="K214" s="5053"/>
      <c r="L214" s="5053"/>
      <c r="M214" s="5053"/>
      <c r="N214" s="5053"/>
      <c r="O214" s="5053"/>
      <c r="P214" s="5053"/>
      <c r="Q214" s="5053"/>
      <c r="R214" s="5053"/>
      <c r="S214" s="5053"/>
      <c r="T214" s="5053"/>
      <c r="U214" s="5055"/>
      <c r="V214" s="5055"/>
      <c r="W214" s="5055"/>
      <c r="X214" s="5055"/>
      <c r="Y214" s="5055"/>
    </row>
    <row customHeight="true" ht="18.452380952380953" r="215">
      <c r="A215" s="5079" t="s">
        <v>5053</v>
      </c>
      <c r="B215" s="5072">
        <v>46240</v>
      </c>
      <c r="C215" s="5079" t="str">
        <v>Thursday</v>
      </c>
      <c r="D215" s="5130" t="s">
        <v>5055</v>
      </c>
      <c r="E215" s="5069">
        <f t="shared" si="53"/>
      </c>
      <c r="F215" s="5149" t="s">
        <v>4958</v>
      </c>
      <c r="G215" s="5095"/>
      <c r="H215" s="5069" t="s">
        <v>4845</v>
      </c>
      <c r="I215" s="5069" t="s">
        <v>4846</v>
      </c>
      <c r="J215" s="5069"/>
      <c r="K215" s="5053"/>
      <c r="L215" s="5053"/>
      <c r="M215" s="5053"/>
      <c r="N215" s="5053"/>
      <c r="O215" s="5053"/>
      <c r="P215" s="5053"/>
      <c r="Q215" s="5053"/>
      <c r="R215" s="5053"/>
      <c r="S215" s="5053"/>
      <c r="T215" s="5053"/>
      <c r="U215" s="5055"/>
      <c r="V215" s="5055"/>
      <c r="W215" s="5055"/>
      <c r="X215" s="5055"/>
      <c r="Y215" s="5055"/>
    </row>
    <row customHeight="true" ht="18.452380952380953" r="216">
      <c r="A216" s="5079" t="s">
        <v>5053</v>
      </c>
      <c r="B216" s="5072">
        <v>46240</v>
      </c>
      <c r="C216" s="5079" t="str">
        <v>Thursday</v>
      </c>
      <c r="D216" s="5221" t="s">
        <v>5056</v>
      </c>
      <c r="E216" s="5069">
        <f t="shared" si="53"/>
      </c>
      <c r="F216" s="5149" t="s">
        <v>4958</v>
      </c>
      <c r="G216" s="5095"/>
      <c r="H216" s="5069" t="s">
        <v>4845</v>
      </c>
      <c r="I216" s="5069" t="s">
        <v>4846</v>
      </c>
      <c r="J216" s="5069"/>
      <c r="K216" s="5053"/>
      <c r="L216" s="5053"/>
      <c r="M216" s="5053"/>
      <c r="N216" s="5053"/>
      <c r="O216" s="5053"/>
      <c r="P216" s="5053"/>
      <c r="Q216" s="5053"/>
      <c r="R216" s="5053"/>
      <c r="S216" s="5053"/>
      <c r="T216" s="5053"/>
      <c r="U216" s="5055"/>
      <c r="V216" s="5055"/>
      <c r="W216" s="5055"/>
      <c r="X216" s="5055"/>
      <c r="Y216" s="5055"/>
    </row>
    <row customHeight="true" ht="18.452380952380953" r="217">
      <c r="A217" s="5079" t="s">
        <v>5053</v>
      </c>
      <c r="B217" s="5072">
        <v>46241</v>
      </c>
      <c r="C217" s="5079" t="str">
        <v>Friday</v>
      </c>
      <c r="D217" s="5221" t="s">
        <v>5057</v>
      </c>
      <c r="E217" s="5069">
        <f t="shared" si="53"/>
      </c>
      <c r="F217" s="5149" t="s">
        <v>4958</v>
      </c>
      <c r="G217" s="5095"/>
      <c r="H217" s="5069" t="s">
        <v>4845</v>
      </c>
      <c r="I217" s="5069" t="s">
        <v>4875</v>
      </c>
      <c r="J217" s="5069"/>
      <c r="K217" s="5053"/>
      <c r="L217" s="5053"/>
      <c r="M217" s="5053"/>
      <c r="N217" s="5053"/>
      <c r="O217" s="5053"/>
      <c r="P217" s="5053"/>
      <c r="Q217" s="5053"/>
      <c r="R217" s="5053"/>
      <c r="S217" s="5053"/>
      <c r="T217" s="5053"/>
      <c r="U217" s="5055"/>
      <c r="V217" s="5055"/>
      <c r="W217" s="5055"/>
      <c r="X217" s="5055"/>
      <c r="Y217" s="5055"/>
    </row>
    <row customHeight="true" ht="18.452380952380953" r="218">
      <c r="A218" s="5079" t="s">
        <v>5053</v>
      </c>
      <c r="B218" s="5072">
        <v>46242</v>
      </c>
      <c r="C218" s="5079" t="str">
        <v>Saturday</v>
      </c>
      <c r="D218" s="5130" t="s">
        <v>5058</v>
      </c>
      <c r="E218" s="5069">
        <f t="shared" si="53"/>
      </c>
      <c r="F218" s="5149" t="s">
        <v>4958</v>
      </c>
      <c r="G218" s="5095"/>
      <c r="H218" s="5069" t="s">
        <v>4859</v>
      </c>
      <c r="I218" s="5069" t="s">
        <v>4875</v>
      </c>
      <c r="J218" s="5064" t="s">
        <v>5059</v>
      </c>
      <c r="K218" s="5053"/>
      <c r="L218" s="5053"/>
      <c r="M218" s="5053"/>
      <c r="N218" s="5053"/>
      <c r="O218" s="5053"/>
      <c r="P218" s="5053"/>
      <c r="Q218" s="5053"/>
      <c r="R218" s="5053"/>
      <c r="S218" s="5053"/>
      <c r="T218" s="5053"/>
      <c r="U218" s="5055"/>
      <c r="V218" s="5055"/>
      <c r="W218" s="5055"/>
      <c r="X218" s="5055"/>
      <c r="Y218" s="5055"/>
    </row>
    <row customHeight="true" ht="18.452380952380953" r="219">
      <c r="A219" s="5079" t="s">
        <v>5053</v>
      </c>
      <c r="B219" s="5072">
        <v>46237</v>
      </c>
      <c r="C219" s="5079" t="str">
        <v>Monday</v>
      </c>
      <c r="D219" s="5064" t="s">
        <v>4993</v>
      </c>
      <c r="E219" s="5069">
        <f t="shared" si="53"/>
      </c>
      <c r="F219" s="5149" t="s">
        <v>4937</v>
      </c>
      <c r="G219" s="5095"/>
      <c r="H219" s="5069" t="s">
        <v>4859</v>
      </c>
      <c r="I219" s="5069" t="s">
        <v>4846</v>
      </c>
      <c r="J219" s="5064" t="s">
        <v>5060</v>
      </c>
      <c r="K219" s="5053"/>
      <c r="L219" s="5053"/>
      <c r="M219" s="5053"/>
      <c r="N219" s="5053"/>
      <c r="O219" s="5053"/>
      <c r="P219" s="5053"/>
      <c r="Q219" s="5053"/>
      <c r="R219" s="5053"/>
      <c r="S219" s="5053"/>
      <c r="T219" s="5053"/>
      <c r="U219" s="5055"/>
      <c r="V219" s="5055"/>
      <c r="W219" s="5055"/>
      <c r="X219" s="5055"/>
      <c r="Y219" s="5055"/>
    </row>
    <row customHeight="true" ht="18.452380952380953" r="220">
      <c r="A220" s="5079" t="s">
        <v>5053</v>
      </c>
      <c r="B220" s="5072">
        <v>46238</v>
      </c>
      <c r="C220" s="5079" t="str">
        <v>Tuesday</v>
      </c>
      <c r="D220" s="5064" t="s">
        <v>5061</v>
      </c>
      <c r="E220" s="5069">
        <f t="shared" si="53"/>
      </c>
      <c r="F220" s="5149" t="s">
        <v>4937</v>
      </c>
      <c r="G220" s="5095"/>
      <c r="H220" s="5069" t="s">
        <v>4859</v>
      </c>
      <c r="I220" s="5069" t="s">
        <v>4846</v>
      </c>
      <c r="J220" s="5064" t="s">
        <v>5062</v>
      </c>
      <c r="K220" s="5053"/>
      <c r="L220" s="5053"/>
      <c r="M220" s="5053"/>
      <c r="N220" s="5053"/>
      <c r="O220" s="5053"/>
      <c r="P220" s="5053"/>
      <c r="Q220" s="5053"/>
      <c r="R220" s="5053"/>
      <c r="S220" s="5053"/>
      <c r="T220" s="5053"/>
      <c r="U220" s="5055"/>
      <c r="V220" s="5055"/>
      <c r="W220" s="5055"/>
      <c r="X220" s="5055"/>
      <c r="Y220" s="5055"/>
    </row>
    <row customHeight="true" ht="18.452380952380953" r="221">
      <c r="A221" s="5079" t="s">
        <v>5053</v>
      </c>
      <c r="B221" s="5072">
        <v>46239</v>
      </c>
      <c r="C221" s="5079" t="str">
        <v>Wednesday</v>
      </c>
      <c r="D221" s="5064" t="s">
        <v>5063</v>
      </c>
      <c r="E221" s="5069">
        <f t="shared" si="53"/>
      </c>
      <c r="F221" s="5149" t="s">
        <v>4937</v>
      </c>
      <c r="G221" s="5095"/>
      <c r="H221" s="5069" t="s">
        <v>4859</v>
      </c>
      <c r="I221" s="5069"/>
      <c r="J221" s="5064"/>
      <c r="K221" s="5053"/>
      <c r="L221" s="5053"/>
      <c r="M221" s="5053"/>
      <c r="N221" s="5053"/>
      <c r="O221" s="5053"/>
      <c r="P221" s="5053"/>
      <c r="Q221" s="5053"/>
      <c r="R221" s="5053"/>
      <c r="S221" s="5053"/>
      <c r="T221" s="5053"/>
      <c r="U221" s="5055"/>
      <c r="V221" s="5055"/>
      <c r="W221" s="5055"/>
      <c r="X221" s="5055"/>
      <c r="Y221" s="5055"/>
    </row>
    <row customHeight="true" ht="18.452380952380953" r="222">
      <c r="A222" s="5079" t="s">
        <v>5053</v>
      </c>
      <c r="B222" s="5072">
        <v>46240</v>
      </c>
      <c r="C222" s="5079" t="str">
        <v>Thursday</v>
      </c>
      <c r="D222" s="5064" t="s">
        <v>5064</v>
      </c>
      <c r="E222" s="5069">
        <f t="shared" si="53"/>
      </c>
      <c r="F222" s="5149" t="s">
        <v>4937</v>
      </c>
      <c r="G222" s="5095"/>
      <c r="H222" s="5069" t="s">
        <v>4859</v>
      </c>
      <c r="I222" s="5069"/>
      <c r="J222" s="5064" t="s">
        <v>5065</v>
      </c>
      <c r="K222" s="5053"/>
      <c r="L222" s="5053"/>
      <c r="M222" s="5053"/>
      <c r="N222" s="5053"/>
      <c r="O222" s="5053"/>
      <c r="P222" s="5053"/>
      <c r="Q222" s="5053"/>
      <c r="R222" s="5053"/>
      <c r="S222" s="5053"/>
      <c r="T222" s="5053"/>
      <c r="U222" s="5055"/>
      <c r="V222" s="5055"/>
      <c r="W222" s="5055"/>
      <c r="X222" s="5055"/>
      <c r="Y222" s="5055"/>
    </row>
    <row customHeight="true" ht="18.452380952380953" r="223">
      <c r="A223" s="5079" t="s">
        <v>5053</v>
      </c>
      <c r="B223" s="5072">
        <v>46241</v>
      </c>
      <c r="C223" s="5079" t="str">
        <v>Friday</v>
      </c>
      <c r="D223" s="5064" t="s">
        <v>5066</v>
      </c>
      <c r="E223" s="5069">
        <f t="shared" si="53"/>
      </c>
      <c r="F223" s="5149" t="s">
        <v>5016</v>
      </c>
      <c r="G223" s="5095"/>
      <c r="H223" s="5069" t="s">
        <v>4859</v>
      </c>
      <c r="I223" s="5069"/>
      <c r="J223" s="5069"/>
      <c r="K223" s="5053"/>
      <c r="L223" s="5053"/>
      <c r="M223" s="5053"/>
      <c r="N223" s="5053"/>
      <c r="O223" s="5053"/>
      <c r="P223" s="5053"/>
      <c r="Q223" s="5053"/>
      <c r="R223" s="5053"/>
      <c r="S223" s="5053"/>
      <c r="T223" s="5053"/>
      <c r="U223" s="5055"/>
      <c r="V223" s="5055"/>
      <c r="W223" s="5055"/>
      <c r="X223" s="5055"/>
      <c r="Y223" s="5055"/>
    </row>
    <row customHeight="true" ht="18.452380952380953" r="224">
      <c r="A224" s="5079" t="s">
        <v>5053</v>
      </c>
      <c r="B224" s="5072">
        <v>46242</v>
      </c>
      <c r="C224" s="5079" t="str">
        <v>Saturday</v>
      </c>
      <c r="D224" s="5064" t="s">
        <v>5067</v>
      </c>
      <c r="E224" s="5069">
        <f t="shared" si="53"/>
      </c>
      <c r="F224" s="5149"/>
      <c r="G224" s="5095"/>
      <c r="H224" s="5069" t="s">
        <v>4859</v>
      </c>
      <c r="I224" s="5069"/>
      <c r="J224" s="5069"/>
      <c r="K224" s="5053"/>
      <c r="L224" s="5053"/>
      <c r="M224" s="5053"/>
      <c r="N224" s="5053"/>
      <c r="O224" s="5053"/>
      <c r="P224" s="5053"/>
      <c r="Q224" s="5053"/>
      <c r="R224" s="5053"/>
      <c r="S224" s="5053"/>
      <c r="T224" s="5053"/>
      <c r="U224" s="5055"/>
      <c r="V224" s="5055"/>
      <c r="W224" s="5055"/>
      <c r="X224" s="5055"/>
      <c r="Y224" s="5055"/>
    </row>
    <row r="225">
      <c r="A225" s="5079" t="s">
        <v>5053</v>
      </c>
      <c r="B225" s="5072">
        <v>46243</v>
      </c>
      <c r="C225" s="5079" t="str">
        <v>Sunday</v>
      </c>
      <c r="D225" s="5064" t="s">
        <v>5068</v>
      </c>
      <c r="E225" s="5069">
        <f t="shared" si="53"/>
      </c>
      <c r="F225" s="5149" t="s">
        <v>5016</v>
      </c>
      <c r="G225" s="5064"/>
      <c r="H225" s="5069" t="s">
        <v>4859</v>
      </c>
      <c r="I225" s="5064"/>
      <c r="J225" s="5055"/>
      <c r="K225" s="5055"/>
      <c r="L225" s="5055"/>
      <c r="M225" s="5055"/>
      <c r="N225" s="5055"/>
      <c r="O225" s="5055"/>
      <c r="P225" s="5055"/>
      <c r="Q225" s="5055"/>
      <c r="R225" s="5055"/>
      <c r="S225" s="5055"/>
      <c r="T225" s="5055"/>
      <c r="U225" s="5055"/>
      <c r="V225" s="5055"/>
      <c r="W225" s="5055"/>
      <c r="X225" s="5055"/>
      <c r="Y225" s="5055"/>
    </row>
    <row customHeight="true" ht="18.452380952380953" r="226">
      <c r="A226" s="5079"/>
      <c r="B226" s="5072"/>
      <c r="C226" s="5079"/>
      <c r="D226" s="5064"/>
      <c r="E226" s="5064"/>
      <c r="F226" s="5064"/>
      <c r="G226" s="5064"/>
      <c r="H226" s="5064"/>
      <c r="I226" s="5064"/>
      <c r="J226" s="5055"/>
      <c r="K226" s="5055"/>
      <c r="L226" s="5055"/>
      <c r="M226" s="5055"/>
      <c r="N226" s="5055"/>
      <c r="O226" s="5055"/>
      <c r="P226" s="5055"/>
      <c r="Q226" s="5055"/>
      <c r="R226" s="5055"/>
      <c r="S226" s="5055"/>
      <c r="T226" s="5055"/>
      <c r="U226" s="5055"/>
      <c r="V226" s="5055"/>
      <c r="W226" s="5055"/>
      <c r="X226" s="5055"/>
      <c r="Y226" s="5055"/>
    </row>
    <row r="227">
      <c r="A227" s="5222" t="s">
        <v>5069</v>
      </c>
      <c r="B227" s="5223"/>
      <c r="C227" s="5223"/>
      <c r="D227" s="5223"/>
      <c r="E227" s="5223"/>
      <c r="F227" s="5223"/>
      <c r="G227" s="5223"/>
      <c r="H227" s="5223"/>
      <c r="I227" s="5223"/>
      <c r="J227" s="5223"/>
      <c r="K227" s="5224"/>
      <c r="L227" s="5224"/>
      <c r="M227" s="5224"/>
      <c r="N227" s="5224"/>
      <c r="O227" s="5224"/>
      <c r="P227" s="5224"/>
      <c r="Q227" s="5224"/>
      <c r="R227" s="5224"/>
      <c r="S227" s="5224"/>
      <c r="T227" s="5224"/>
      <c r="U227" s="5225"/>
      <c r="V227" s="5225"/>
      <c r="W227" s="5225"/>
      <c r="X227" s="5225"/>
      <c r="Y227" s="5225"/>
    </row>
    <row r="228">
      <c r="A228" s="5226" t="s">
        <v>4861</v>
      </c>
      <c r="B228" s="5177" t="s">
        <v>4862</v>
      </c>
      <c r="C228" s="5177"/>
      <c r="D228" s="5182" t="s">
        <v>4863</v>
      </c>
      <c r="E228" s="5182" t="s">
        <v>4864</v>
      </c>
      <c r="F228" s="5182" t="s">
        <v>4865</v>
      </c>
      <c r="G228" s="5227" t="s">
        <v>4877</v>
      </c>
      <c r="H228" s="5182" t="s">
        <v>4867</v>
      </c>
      <c r="I228" s="5182" t="s">
        <v>4868</v>
      </c>
      <c r="J228" s="5182" t="s">
        <v>4869</v>
      </c>
      <c r="K228" s="5224"/>
      <c r="L228" s="5224"/>
      <c r="M228" s="5224"/>
      <c r="N228" s="5224"/>
      <c r="O228" s="5224"/>
      <c r="P228" s="5224"/>
      <c r="Q228" s="5224"/>
      <c r="R228" s="5224"/>
      <c r="S228" s="5224"/>
      <c r="T228" s="5224"/>
      <c r="U228" s="5225"/>
      <c r="V228" s="5225"/>
      <c r="W228" s="5225"/>
      <c r="X228" s="5225"/>
      <c r="Y228" s="5225"/>
    </row>
    <row r="229">
      <c r="A229" s="5079" t="s">
        <v>5069</v>
      </c>
      <c r="B229" s="5072">
        <v>46237</v>
      </c>
      <c r="C229" s="5079" t="str">
        <v>Monday</v>
      </c>
      <c r="D229" s="5064" t="s">
        <v>4879</v>
      </c>
      <c r="E229" s="5069">
        <f t="shared" ref="E229:E263" si="54">24*MOD(TIMEVALUE(TRIM(MID(D229,FIND("-",D229)+1,LEN(D229)))) - TIMEVALUE(TRIM(LEFT(D229,FIND("-",D229)-1))),1)</f>
      </c>
      <c r="F229" s="5149" t="s">
        <v>4884</v>
      </c>
      <c r="G229" s="5088"/>
      <c r="H229" s="5069" t="s">
        <v>4859</v>
      </c>
      <c r="I229" s="5069"/>
      <c r="J229" s="5069"/>
      <c r="K229" s="5053"/>
      <c r="L229" s="5053"/>
      <c r="M229" s="5053"/>
      <c r="N229" s="5053"/>
      <c r="O229" s="5053"/>
      <c r="P229" s="5053"/>
      <c r="Q229" s="5053"/>
      <c r="R229" s="5053"/>
      <c r="S229" s="5053"/>
      <c r="T229" s="5053"/>
      <c r="U229" s="5055"/>
      <c r="V229" s="5055"/>
      <c r="W229" s="5055"/>
      <c r="X229" s="5055"/>
      <c r="Y229" s="5055"/>
    </row>
    <row customHeight="true" ht="18.452380952380953" r="230">
      <c r="A230" s="5079" t="s">
        <v>5069</v>
      </c>
      <c r="B230" s="5072">
        <v>46237</v>
      </c>
      <c r="C230" s="5079" t="str">
        <v>Monday</v>
      </c>
      <c r="D230" s="5064" t="s">
        <v>4973</v>
      </c>
      <c r="E230" s="5069">
        <f t="shared" si="54"/>
      </c>
      <c r="F230" s="5149" t="s">
        <v>4925</v>
      </c>
      <c r="G230" s="5088"/>
      <c r="H230" s="5069" t="s">
        <v>4859</v>
      </c>
      <c r="I230" s="5069" t="s">
        <v>4846</v>
      </c>
      <c r="J230" s="5069"/>
      <c r="K230" s="5053"/>
      <c r="L230" s="5053"/>
      <c r="M230" s="5053"/>
      <c r="N230" s="5053"/>
      <c r="O230" s="5053"/>
      <c r="P230" s="5053"/>
      <c r="Q230" s="5053"/>
      <c r="R230" s="5053"/>
      <c r="S230" s="5053"/>
      <c r="T230" s="5053"/>
      <c r="U230" s="5055"/>
      <c r="V230" s="5055"/>
      <c r="W230" s="5055"/>
      <c r="X230" s="5055"/>
      <c r="Y230" s="5055"/>
    </row>
    <row r="231">
      <c r="A231" s="5079" t="s">
        <v>5069</v>
      </c>
      <c r="B231" s="5072">
        <v>46238</v>
      </c>
      <c r="C231" s="5079" t="str">
        <v>Tuesday</v>
      </c>
      <c r="D231" s="5064" t="s">
        <v>5032</v>
      </c>
      <c r="E231" s="5069">
        <f t="shared" si="54"/>
      </c>
      <c r="F231" s="5149" t="s">
        <v>4994</v>
      </c>
      <c r="G231" s="5088"/>
      <c r="H231" s="5069" t="s">
        <v>4859</v>
      </c>
      <c r="I231" s="5069" t="s">
        <v>4846</v>
      </c>
      <c r="J231" s="5069"/>
      <c r="K231" s="5053"/>
      <c r="L231" s="5053"/>
      <c r="M231" s="5053"/>
      <c r="N231" s="5053"/>
      <c r="O231" s="5053"/>
      <c r="P231" s="5053"/>
      <c r="Q231" s="5053"/>
      <c r="R231" s="5053"/>
      <c r="S231" s="5053"/>
      <c r="T231" s="5053"/>
      <c r="U231" s="5055"/>
      <c r="V231" s="5055"/>
      <c r="W231" s="5055"/>
      <c r="X231" s="5055"/>
      <c r="Y231" s="5055"/>
    </row>
    <row r="232">
      <c r="A232" s="5079" t="s">
        <v>5069</v>
      </c>
      <c r="B232" s="5072">
        <v>46239</v>
      </c>
      <c r="C232" s="5079" t="str">
        <v>Wednesday</v>
      </c>
      <c r="D232" s="5064" t="s">
        <v>4879</v>
      </c>
      <c r="E232" s="5069">
        <f t="shared" si="54"/>
      </c>
      <c r="F232" s="5149" t="s">
        <v>5070</v>
      </c>
      <c r="G232" s="5088"/>
      <c r="H232" s="5069" t="s">
        <v>4859</v>
      </c>
      <c r="I232" s="5069" t="s">
        <v>4846</v>
      </c>
      <c r="J232" s="5069"/>
      <c r="K232" s="5053"/>
      <c r="L232" s="5053"/>
      <c r="M232" s="5053"/>
      <c r="N232" s="5053"/>
      <c r="O232" s="5053"/>
      <c r="P232" s="5053"/>
      <c r="Q232" s="5053"/>
      <c r="R232" s="5053"/>
      <c r="S232" s="5053"/>
      <c r="T232" s="5053"/>
      <c r="U232" s="5055"/>
      <c r="V232" s="5055"/>
      <c r="W232" s="5055"/>
      <c r="X232" s="5055"/>
      <c r="Y232" s="5055"/>
    </row>
    <row customHeight="true" ht="18.452380952380953" r="233">
      <c r="A233" s="5079" t="s">
        <v>5071</v>
      </c>
      <c r="B233" s="5072">
        <v>46239</v>
      </c>
      <c r="C233" s="5079" t="str">
        <v>Wednesday</v>
      </c>
      <c r="D233" s="5064" t="s">
        <v>5072</v>
      </c>
      <c r="E233" s="5069">
        <f t="shared" si="54"/>
      </c>
      <c r="F233" s="5149" t="s">
        <v>5070</v>
      </c>
      <c r="G233" s="5088"/>
      <c r="H233" s="5069" t="s">
        <v>4859</v>
      </c>
      <c r="I233" s="5069" t="s">
        <v>4846</v>
      </c>
      <c r="J233" s="5069"/>
      <c r="K233" s="5053"/>
      <c r="L233" s="5053"/>
      <c r="M233" s="5053"/>
      <c r="N233" s="5053"/>
      <c r="O233" s="5053"/>
      <c r="P233" s="5053"/>
      <c r="Q233" s="5053"/>
      <c r="R233" s="5053"/>
      <c r="S233" s="5053"/>
      <c r="T233" s="5053"/>
      <c r="U233" s="5055"/>
      <c r="V233" s="5055"/>
      <c r="W233" s="5055"/>
      <c r="X233" s="5055"/>
      <c r="Y233" s="5055"/>
    </row>
    <row customHeight="true" ht="18.452380952380953" r="234">
      <c r="A234" s="5079" t="s">
        <v>5069</v>
      </c>
      <c r="B234" s="5072">
        <v>46239</v>
      </c>
      <c r="C234" s="5079" t="str">
        <v>Wednesday</v>
      </c>
      <c r="D234" s="5064" t="s">
        <v>4973</v>
      </c>
      <c r="E234" s="5069">
        <f t="shared" si="54"/>
      </c>
      <c r="F234" s="5149" t="s">
        <v>4925</v>
      </c>
      <c r="G234" s="5095"/>
      <c r="H234" s="5069" t="s">
        <v>4859</v>
      </c>
      <c r="I234" s="5069" t="s">
        <v>4846</v>
      </c>
      <c r="J234" s="5069"/>
      <c r="K234" s="5053"/>
      <c r="L234" s="5053"/>
      <c r="M234" s="5053"/>
      <c r="N234" s="5053"/>
      <c r="O234" s="5053"/>
      <c r="P234" s="5053"/>
      <c r="Q234" s="5053"/>
      <c r="R234" s="5053"/>
      <c r="S234" s="5053"/>
      <c r="T234" s="5053"/>
      <c r="U234" s="5055"/>
      <c r="V234" s="5055"/>
      <c r="W234" s="5055"/>
      <c r="X234" s="5055"/>
      <c r="Y234" s="5055"/>
    </row>
    <row r="235">
      <c r="A235" s="5079" t="s">
        <v>5069</v>
      </c>
      <c r="B235" s="5072">
        <v>46240</v>
      </c>
      <c r="C235" s="5079" t="str">
        <v>Thursday</v>
      </c>
      <c r="D235" s="5064" t="s">
        <v>5032</v>
      </c>
      <c r="E235" s="5069">
        <f t="shared" si="54"/>
      </c>
      <c r="F235" s="5149" t="s">
        <v>4994</v>
      </c>
      <c r="G235" s="5088"/>
      <c r="H235" s="5069" t="s">
        <v>4859</v>
      </c>
      <c r="I235" s="5069" t="s">
        <v>4846</v>
      </c>
      <c r="J235" s="5069"/>
      <c r="K235" s="5053"/>
      <c r="L235" s="5053"/>
      <c r="M235" s="5053"/>
      <c r="N235" s="5053"/>
      <c r="O235" s="5053"/>
      <c r="P235" s="5053"/>
      <c r="Q235" s="5053"/>
      <c r="R235" s="5053"/>
      <c r="S235" s="5053"/>
      <c r="T235" s="5053"/>
      <c r="U235" s="5055"/>
      <c r="V235" s="5055"/>
      <c r="W235" s="5055"/>
      <c r="X235" s="5055"/>
      <c r="Y235" s="5055"/>
    </row>
    <row r="236">
      <c r="A236" s="5079" t="s">
        <v>5069</v>
      </c>
      <c r="B236" s="5072">
        <v>46241</v>
      </c>
      <c r="C236" s="5079" t="str">
        <v>Friday</v>
      </c>
      <c r="D236" s="5064" t="s">
        <v>5073</v>
      </c>
      <c r="E236" s="5069">
        <f t="shared" si="54"/>
      </c>
      <c r="F236" s="5149" t="s">
        <v>4994</v>
      </c>
      <c r="G236" s="5088"/>
      <c r="H236" s="5069" t="s">
        <v>4859</v>
      </c>
      <c r="I236" s="5069" t="s">
        <v>4846</v>
      </c>
      <c r="J236" s="5069"/>
      <c r="K236" s="5053"/>
      <c r="L236" s="5053"/>
      <c r="M236" s="5053"/>
      <c r="N236" s="5053"/>
      <c r="O236" s="5053"/>
      <c r="P236" s="5053"/>
      <c r="Q236" s="5053"/>
      <c r="R236" s="5053"/>
      <c r="S236" s="5053"/>
      <c r="T236" s="5053"/>
      <c r="U236" s="5055"/>
      <c r="V236" s="5055"/>
      <c r="W236" s="5055"/>
      <c r="X236" s="5055"/>
      <c r="Y236" s="5055"/>
    </row>
    <row customHeight="true" ht="18.452380952380953" r="237">
      <c r="A237" s="5079" t="s">
        <v>5069</v>
      </c>
      <c r="B237" s="5079">
        <v>46241</v>
      </c>
      <c r="C237" s="5079" t="str">
        <v>Friday</v>
      </c>
      <c r="D237" s="5064" t="s">
        <v>5054</v>
      </c>
      <c r="E237" s="5069">
        <f t="shared" si="54"/>
      </c>
      <c r="F237" s="5149" t="s">
        <v>5070</v>
      </c>
      <c r="G237" s="5095"/>
      <c r="H237" s="5069" t="s">
        <v>4859</v>
      </c>
      <c r="I237" s="5069" t="s">
        <v>4875</v>
      </c>
      <c r="J237" s="5069"/>
      <c r="K237" s="5053"/>
      <c r="L237" s="5053"/>
      <c r="M237" s="5053"/>
      <c r="N237" s="5053"/>
      <c r="O237" s="5053"/>
      <c r="P237" s="5053"/>
      <c r="Q237" s="5053"/>
      <c r="R237" s="5053"/>
      <c r="S237" s="5053"/>
      <c r="T237" s="5053"/>
      <c r="U237" s="5055"/>
      <c r="V237" s="5055"/>
      <c r="W237" s="5055"/>
      <c r="X237" s="5055"/>
      <c r="Y237" s="5055"/>
    </row>
    <row customHeight="true" ht="18.452380952380953" r="238">
      <c r="A238" s="5079" t="s">
        <v>5069</v>
      </c>
      <c r="B238" s="5072">
        <v>46242</v>
      </c>
      <c r="C238" s="5079" t="str">
        <v>Saturday</v>
      </c>
      <c r="D238" s="5064" t="s">
        <v>4873</v>
      </c>
      <c r="E238" s="5069">
        <f t="shared" si="54"/>
      </c>
      <c r="F238" s="5149" t="s">
        <v>4925</v>
      </c>
      <c r="G238" s="5088"/>
      <c r="H238" s="5069" t="s">
        <v>4859</v>
      </c>
      <c r="I238" s="5069"/>
      <c r="J238" s="5069"/>
      <c r="K238" s="5053"/>
      <c r="L238" s="5053"/>
      <c r="M238" s="5053"/>
      <c r="N238" s="5053"/>
      <c r="O238" s="5053"/>
      <c r="P238" s="5053"/>
      <c r="Q238" s="5053"/>
      <c r="R238" s="5053"/>
      <c r="S238" s="5053"/>
      <c r="T238" s="5053"/>
      <c r="U238" s="5055"/>
      <c r="V238" s="5055"/>
      <c r="W238" s="5055"/>
      <c r="X238" s="5055"/>
      <c r="Y238" s="5055"/>
    </row>
    <row customHeight="true" ht="18.452380952380953" r="239">
      <c r="A239" s="5079" t="s">
        <v>5069</v>
      </c>
      <c r="B239" s="5079">
        <v>46242</v>
      </c>
      <c r="C239" s="5079" t="str">
        <v>Saturday</v>
      </c>
      <c r="D239" s="5064" t="s">
        <v>5073</v>
      </c>
      <c r="E239" s="5069">
        <f t="shared" si="54"/>
      </c>
      <c r="F239" s="5149" t="s">
        <v>5070</v>
      </c>
      <c r="G239" s="5095"/>
      <c r="H239" s="5069" t="s">
        <v>4859</v>
      </c>
      <c r="I239" s="5069"/>
      <c r="J239" s="5069"/>
      <c r="K239" s="5053"/>
      <c r="L239" s="5053"/>
      <c r="M239" s="5053"/>
      <c r="N239" s="5053"/>
      <c r="O239" s="5053"/>
      <c r="P239" s="5053"/>
      <c r="Q239" s="5053"/>
      <c r="R239" s="5053"/>
      <c r="S239" s="5053"/>
      <c r="T239" s="5053"/>
      <c r="U239" s="5055"/>
      <c r="V239" s="5055"/>
      <c r="W239" s="5055"/>
      <c r="X239" s="5055"/>
      <c r="Y239" s="5055"/>
    </row>
    <row customHeight="true" ht="18.452380952380953" r="240">
      <c r="A240" s="5079" t="s">
        <v>5071</v>
      </c>
      <c r="B240" s="5079">
        <v>46242</v>
      </c>
      <c r="C240" s="5079" t="str">
        <v>Saturday</v>
      </c>
      <c r="D240" s="5064" t="s">
        <v>5074</v>
      </c>
      <c r="E240" s="5069">
        <f t="shared" si="54"/>
      </c>
      <c r="F240" s="5149" t="s">
        <v>5070</v>
      </c>
      <c r="G240" s="5095"/>
      <c r="H240" s="5069" t="s">
        <v>4859</v>
      </c>
      <c r="I240" s="5069"/>
      <c r="J240" s="5069"/>
      <c r="K240" s="5053"/>
      <c r="L240" s="5053"/>
      <c r="M240" s="5053"/>
      <c r="N240" s="5053"/>
      <c r="O240" s="5053"/>
      <c r="P240" s="5053"/>
      <c r="Q240" s="5053"/>
      <c r="R240" s="5053"/>
      <c r="S240" s="5053"/>
      <c r="T240" s="5053"/>
      <c r="U240" s="5055"/>
      <c r="V240" s="5055"/>
      <c r="W240" s="5055"/>
      <c r="X240" s="5055"/>
      <c r="Y240" s="5055"/>
    </row>
    <row customHeight="true" ht="18.452380952380953" r="241">
      <c r="A241" s="5079" t="s">
        <v>5069</v>
      </c>
      <c r="B241" s="5072">
        <v>46243</v>
      </c>
      <c r="C241" s="5079" t="str">
        <v>Sunday</v>
      </c>
      <c r="D241" s="5064" t="s">
        <v>5075</v>
      </c>
      <c r="E241" s="5069">
        <f t="shared" si="54"/>
      </c>
      <c r="F241" s="5149" t="s">
        <v>5070</v>
      </c>
      <c r="G241" s="5088"/>
      <c r="H241" s="5069" t="s">
        <v>4859</v>
      </c>
      <c r="I241" s="5069"/>
      <c r="J241" s="5069"/>
      <c r="K241" s="5053"/>
      <c r="L241" s="5053"/>
      <c r="M241" s="5053"/>
      <c r="N241" s="5053"/>
      <c r="O241" s="5053"/>
      <c r="P241" s="5053"/>
      <c r="Q241" s="5053"/>
      <c r="R241" s="5053"/>
      <c r="S241" s="5053"/>
      <c r="T241" s="5053"/>
      <c r="U241" s="5055"/>
      <c r="V241" s="5055"/>
      <c r="W241" s="5055"/>
      <c r="X241" s="5055"/>
      <c r="Y241" s="5055"/>
    </row>
    <row customHeight="true" ht="18.452380952380953" r="242">
      <c r="A242" s="5079" t="s">
        <v>5071</v>
      </c>
      <c r="B242" s="5072">
        <v>46237</v>
      </c>
      <c r="C242" s="5079" t="str">
        <v>Monday</v>
      </c>
      <c r="D242" s="5064" t="s">
        <v>4990</v>
      </c>
      <c r="E242" s="5069">
        <f t="shared" si="54"/>
      </c>
      <c r="F242" s="5149" t="s">
        <v>5076</v>
      </c>
      <c r="G242" s="5088"/>
      <c r="H242" s="5069" t="s">
        <v>4859</v>
      </c>
      <c r="I242" s="5069"/>
      <c r="J242" s="5069"/>
      <c r="K242" s="5053"/>
      <c r="L242" s="5053"/>
      <c r="M242" s="5053"/>
      <c r="N242" s="5053"/>
      <c r="O242" s="5053"/>
      <c r="P242" s="5053"/>
      <c r="Q242" s="5053"/>
      <c r="R242" s="5053"/>
      <c r="S242" s="5053"/>
      <c r="T242" s="5053"/>
      <c r="U242" s="5055"/>
      <c r="V242" s="5055"/>
      <c r="W242" s="5055"/>
      <c r="X242" s="5055"/>
      <c r="Y242" s="5055"/>
    </row>
    <row customHeight="true" ht="18.452380952380953" r="243">
      <c r="A243" s="5079" t="s">
        <v>5071</v>
      </c>
      <c r="B243" s="5072">
        <v>46238</v>
      </c>
      <c r="C243" s="5079" t="str">
        <v>Tuesday</v>
      </c>
      <c r="D243" s="5064" t="s">
        <v>5032</v>
      </c>
      <c r="E243" s="5069">
        <f t="shared" si="54"/>
      </c>
      <c r="F243" s="5149" t="s">
        <v>5076</v>
      </c>
      <c r="G243" s="5088"/>
      <c r="H243" s="5069" t="s">
        <v>4859</v>
      </c>
      <c r="I243" s="5069"/>
      <c r="J243" s="5069"/>
      <c r="K243" s="5053"/>
      <c r="L243" s="5053"/>
      <c r="M243" s="5053"/>
      <c r="N243" s="5053"/>
      <c r="O243" s="5053"/>
      <c r="P243" s="5053"/>
      <c r="Q243" s="5053"/>
      <c r="R243" s="5053"/>
      <c r="S243" s="5053"/>
      <c r="T243" s="5053"/>
      <c r="U243" s="5055"/>
      <c r="V243" s="5055"/>
      <c r="W243" s="5055"/>
      <c r="X243" s="5055"/>
      <c r="Y243" s="5055"/>
    </row>
    <row customHeight="true" ht="18.452380952380953" r="244">
      <c r="A244" s="5079" t="s">
        <v>5071</v>
      </c>
      <c r="B244" s="5072">
        <v>46238</v>
      </c>
      <c r="C244" s="5079" t="str">
        <v>Tuesday</v>
      </c>
      <c r="D244" s="5064" t="s">
        <v>5027</v>
      </c>
      <c r="E244" s="5069">
        <f t="shared" si="54"/>
      </c>
      <c r="F244" s="5149" t="s">
        <v>5070</v>
      </c>
      <c r="G244" s="5088"/>
      <c r="H244" s="5069" t="s">
        <v>4859</v>
      </c>
      <c r="I244" s="5069"/>
      <c r="J244" s="5069"/>
      <c r="K244" s="5053"/>
      <c r="L244" s="5053"/>
      <c r="M244" s="5053"/>
      <c r="N244" s="5053"/>
      <c r="O244" s="5053"/>
      <c r="P244" s="5053"/>
      <c r="Q244" s="5053"/>
      <c r="R244" s="5053"/>
      <c r="S244" s="5053"/>
      <c r="T244" s="5053"/>
      <c r="U244" s="5055"/>
      <c r="V244" s="5055"/>
      <c r="W244" s="5055"/>
      <c r="X244" s="5055"/>
      <c r="Y244" s="5055"/>
    </row>
    <row customHeight="true" ht="18.452380952380953" r="245">
      <c r="A245" s="5079" t="s">
        <v>5071</v>
      </c>
      <c r="B245" s="5079">
        <v>46238</v>
      </c>
      <c r="C245" s="5079" t="str">
        <v>Tuesday</v>
      </c>
      <c r="D245" s="5064" t="s">
        <v>5072</v>
      </c>
      <c r="E245" s="5069">
        <f t="shared" si="54"/>
      </c>
      <c r="F245" s="5149" t="s">
        <v>5016</v>
      </c>
      <c r="G245" s="5095"/>
      <c r="H245" s="5069" t="s">
        <v>4859</v>
      </c>
      <c r="I245" s="5069"/>
      <c r="J245" s="5069"/>
      <c r="K245" s="5053"/>
      <c r="L245" s="5053"/>
      <c r="M245" s="5053"/>
      <c r="N245" s="5053"/>
      <c r="O245" s="5053"/>
      <c r="P245" s="5053"/>
      <c r="Q245" s="5053"/>
      <c r="R245" s="5053"/>
      <c r="S245" s="5053"/>
      <c r="T245" s="5053"/>
      <c r="U245" s="5055"/>
      <c r="V245" s="5055"/>
      <c r="W245" s="5055"/>
      <c r="X245" s="5055"/>
      <c r="Y245" s="5055"/>
    </row>
    <row customHeight="true" ht="18.452380952380953" r="246">
      <c r="A246" s="5079" t="s">
        <v>5077</v>
      </c>
      <c r="B246" s="5072">
        <v>46237</v>
      </c>
      <c r="C246" s="5079" t="str">
        <v>Monday</v>
      </c>
      <c r="D246" s="5064">
        <f>D229</f>
      </c>
      <c r="E246" s="5069">
        <f t="shared" si="54"/>
      </c>
      <c r="F246" s="5149" t="s">
        <v>5012</v>
      </c>
      <c r="G246" s="5095"/>
      <c r="H246" s="5069" t="s">
        <v>4859</v>
      </c>
      <c r="I246" s="5069" t="s">
        <v>4846</v>
      </c>
      <c r="J246" s="5064"/>
      <c r="K246" s="5053"/>
      <c r="L246" s="5053"/>
      <c r="M246" s="5053"/>
      <c r="N246" s="5053"/>
      <c r="O246" s="5053"/>
      <c r="P246" s="5053"/>
      <c r="Q246" s="5053"/>
      <c r="R246" s="5053"/>
      <c r="S246" s="5053"/>
      <c r="T246" s="5053"/>
      <c r="U246" s="5055"/>
      <c r="V246" s="5055"/>
      <c r="W246" s="5055"/>
      <c r="X246" s="5055"/>
      <c r="Y246" s="5055"/>
    </row>
    <row customHeight="true" ht="18.452380952380953" r="247">
      <c r="A247" s="5079" t="s">
        <v>5077</v>
      </c>
      <c r="B247" s="5072">
        <v>46237</v>
      </c>
      <c r="C247" s="5079" t="str">
        <v>Monday</v>
      </c>
      <c r="D247" s="5069" t="s">
        <v>4973</v>
      </c>
      <c r="E247" s="5069">
        <f t="shared" si="54"/>
      </c>
      <c r="F247" s="5149" t="s">
        <v>4997</v>
      </c>
      <c r="G247" s="5095"/>
      <c r="H247" s="5069" t="s">
        <v>4859</v>
      </c>
      <c r="I247" s="5069" t="s">
        <v>4846</v>
      </c>
      <c r="J247" s="5069"/>
      <c r="K247" s="5053"/>
      <c r="L247" s="5053"/>
      <c r="M247" s="5053"/>
      <c r="N247" s="5053"/>
      <c r="O247" s="5053"/>
      <c r="P247" s="5053"/>
      <c r="Q247" s="5053"/>
      <c r="R247" s="5053"/>
      <c r="S247" s="5053"/>
      <c r="T247" s="5053"/>
      <c r="U247" s="5055"/>
      <c r="V247" s="5055"/>
      <c r="W247" s="5055"/>
      <c r="X247" s="5055"/>
      <c r="Y247" s="5055"/>
    </row>
    <row customHeight="true" ht="18.452380952380953" r="248">
      <c r="A248" s="5079" t="s">
        <v>5077</v>
      </c>
      <c r="B248" s="5072">
        <v>46238</v>
      </c>
      <c r="C248" s="5079" t="str">
        <v>Tuesday</v>
      </c>
      <c r="D248" s="5064" t="s">
        <v>5078</v>
      </c>
      <c r="E248" s="5069">
        <f t="shared" si="54"/>
      </c>
      <c r="F248" s="5149" t="s">
        <v>5012</v>
      </c>
      <c r="G248" s="5095"/>
      <c r="H248" s="5069" t="s">
        <v>4859</v>
      </c>
      <c r="I248" s="5069" t="s">
        <v>4846</v>
      </c>
      <c r="J248" s="5064" t="s">
        <v>5079</v>
      </c>
      <c r="K248" s="5053"/>
      <c r="L248" s="5053"/>
      <c r="M248" s="5053"/>
      <c r="N248" s="5053"/>
      <c r="O248" s="5053"/>
      <c r="P248" s="5053"/>
      <c r="Q248" s="5053"/>
      <c r="R248" s="5053"/>
      <c r="S248" s="5053"/>
      <c r="T248" s="5053"/>
      <c r="U248" s="5055"/>
      <c r="V248" s="5055"/>
      <c r="W248" s="5055"/>
      <c r="X248" s="5055"/>
      <c r="Y248" s="5055"/>
    </row>
    <row customHeight="true" ht="18.452380952380953" r="249">
      <c r="A249" s="5079" t="s">
        <v>5071</v>
      </c>
      <c r="B249" s="5072">
        <v>46238</v>
      </c>
      <c r="C249" s="5079" t="str">
        <v>Tuesday</v>
      </c>
      <c r="D249" s="5064" t="s">
        <v>5080</v>
      </c>
      <c r="E249" s="5069">
        <f t="shared" si="54"/>
      </c>
      <c r="F249" s="5149" t="s">
        <v>4895</v>
      </c>
      <c r="G249" s="5095"/>
      <c r="H249" s="5069" t="s">
        <v>4859</v>
      </c>
      <c r="I249" s="5069" t="s">
        <v>4846</v>
      </c>
      <c r="J249" s="5069"/>
      <c r="K249" s="5053"/>
      <c r="L249" s="5053"/>
      <c r="M249" s="5053"/>
      <c r="N249" s="5053"/>
      <c r="O249" s="5053"/>
      <c r="P249" s="5053"/>
      <c r="Q249" s="5053"/>
      <c r="R249" s="5053"/>
      <c r="S249" s="5053"/>
      <c r="T249" s="5053"/>
      <c r="U249" s="5055"/>
      <c r="V249" s="5055"/>
      <c r="W249" s="5055"/>
      <c r="X249" s="5055"/>
      <c r="Y249" s="5055"/>
    </row>
    <row customHeight="true" ht="18.452380952380953" r="250">
      <c r="A250" s="5079" t="s">
        <v>5077</v>
      </c>
      <c r="B250" s="5072">
        <v>46239</v>
      </c>
      <c r="C250" s="5079" t="str">
        <v>Wednesday</v>
      </c>
      <c r="D250" s="5064" t="s">
        <v>5027</v>
      </c>
      <c r="E250" s="5069">
        <f t="shared" si="54"/>
      </c>
      <c r="F250" s="5149" t="s">
        <v>5012</v>
      </c>
      <c r="G250" s="5095"/>
      <c r="H250" s="5069" t="s">
        <v>4859</v>
      </c>
      <c r="I250" s="5069" t="s">
        <v>4846</v>
      </c>
      <c r="J250" s="5069"/>
      <c r="K250" s="5053"/>
      <c r="L250" s="5053"/>
      <c r="M250" s="5053"/>
      <c r="N250" s="5053"/>
      <c r="O250" s="5053"/>
      <c r="P250" s="5053"/>
      <c r="Q250" s="5053"/>
      <c r="R250" s="5053"/>
      <c r="S250" s="5053"/>
      <c r="T250" s="5053"/>
      <c r="U250" s="5055"/>
      <c r="V250" s="5055"/>
      <c r="W250" s="5055"/>
      <c r="X250" s="5055"/>
      <c r="Y250" s="5055"/>
    </row>
    <row customHeight="true" ht="18.452380952380953" r="251">
      <c r="A251" s="5079" t="s">
        <v>5077</v>
      </c>
      <c r="B251" s="5072">
        <v>46239</v>
      </c>
      <c r="C251" s="5079" t="str">
        <v>Wednesday</v>
      </c>
      <c r="D251" s="5069" t="s">
        <v>4973</v>
      </c>
      <c r="E251" s="5069">
        <f t="shared" si="54"/>
      </c>
      <c r="F251" s="5149" t="s">
        <v>4997</v>
      </c>
      <c r="G251" s="5095"/>
      <c r="H251" s="5069" t="s">
        <v>4859</v>
      </c>
      <c r="I251" s="5069" t="s">
        <v>4846</v>
      </c>
      <c r="J251" s="5069"/>
      <c r="K251" s="5053"/>
      <c r="L251" s="5053"/>
      <c r="M251" s="5053"/>
      <c r="N251" s="5053"/>
      <c r="O251" s="5053"/>
      <c r="P251" s="5053"/>
      <c r="Q251" s="5053"/>
      <c r="R251" s="5053"/>
      <c r="S251" s="5053"/>
      <c r="T251" s="5053"/>
      <c r="U251" s="5055"/>
      <c r="V251" s="5055"/>
      <c r="W251" s="5055"/>
      <c r="X251" s="5055"/>
      <c r="Y251" s="5055"/>
    </row>
    <row customHeight="true" ht="18.452380952380953" r="252">
      <c r="A252" s="5079" t="s">
        <v>5077</v>
      </c>
      <c r="B252" s="5072">
        <v>46240</v>
      </c>
      <c r="C252" s="5079" t="str">
        <v>Thursday</v>
      </c>
      <c r="D252" s="5064" t="s">
        <v>4879</v>
      </c>
      <c r="E252" s="5069">
        <f t="shared" si="54"/>
      </c>
      <c r="F252" s="5149" t="s">
        <v>5076</v>
      </c>
      <c r="G252" s="5095"/>
      <c r="H252" s="5069" t="s">
        <v>4859</v>
      </c>
      <c r="I252" s="5069" t="s">
        <v>4846</v>
      </c>
      <c r="J252" s="5069"/>
      <c r="K252" s="5053"/>
      <c r="L252" s="5053"/>
      <c r="M252" s="5053"/>
      <c r="N252" s="5053"/>
      <c r="O252" s="5053"/>
      <c r="P252" s="5053"/>
      <c r="Q252" s="5053"/>
      <c r="R252" s="5053"/>
      <c r="S252" s="5053"/>
      <c r="T252" s="5053"/>
      <c r="U252" s="5055"/>
      <c r="V252" s="5055"/>
      <c r="W252" s="5055"/>
      <c r="X252" s="5055"/>
      <c r="Y252" s="5055"/>
    </row>
    <row customHeight="true" ht="18.452380952380953" r="253">
      <c r="A253" s="5079" t="s">
        <v>5077</v>
      </c>
      <c r="B253" s="5072">
        <v>46240</v>
      </c>
      <c r="C253" s="5079" t="str">
        <v>Thursday</v>
      </c>
      <c r="D253" s="5064" t="s">
        <v>4973</v>
      </c>
      <c r="E253" s="5069">
        <f t="shared" si="54"/>
      </c>
      <c r="F253" s="5149" t="s">
        <v>5022</v>
      </c>
      <c r="G253" s="5095"/>
      <c r="H253" s="5069" t="s">
        <v>4859</v>
      </c>
      <c r="I253" s="5069" t="s">
        <v>4846</v>
      </c>
      <c r="J253" s="5069"/>
      <c r="K253" s="5053"/>
      <c r="L253" s="5053"/>
      <c r="M253" s="5053"/>
      <c r="N253" s="5053"/>
      <c r="O253" s="5053"/>
      <c r="P253" s="5053"/>
      <c r="Q253" s="5053"/>
      <c r="R253" s="5053"/>
      <c r="S253" s="5053"/>
      <c r="T253" s="5053"/>
      <c r="U253" s="5055"/>
      <c r="V253" s="5055"/>
      <c r="W253" s="5055"/>
      <c r="X253" s="5055"/>
      <c r="Y253" s="5055"/>
    </row>
    <row customHeight="true" ht="18.452380952380953" r="254">
      <c r="A254" s="5079" t="s">
        <v>5077</v>
      </c>
      <c r="B254" s="5072">
        <v>46241</v>
      </c>
      <c r="C254" s="5079" t="str">
        <v>Friday</v>
      </c>
      <c r="D254" s="5064" t="s">
        <v>5073</v>
      </c>
      <c r="E254" s="5069">
        <f t="shared" si="54"/>
      </c>
      <c r="F254" s="5149" t="s">
        <v>4997</v>
      </c>
      <c r="G254" s="5095"/>
      <c r="H254" s="5069" t="s">
        <v>4859</v>
      </c>
      <c r="I254" s="5069" t="s">
        <v>4846</v>
      </c>
      <c r="J254" s="5069"/>
      <c r="K254" s="5053"/>
      <c r="L254" s="5053"/>
      <c r="M254" s="5053"/>
      <c r="N254" s="5053"/>
      <c r="O254" s="5053"/>
      <c r="P254" s="5053"/>
      <c r="Q254" s="5053"/>
      <c r="R254" s="5053"/>
      <c r="S254" s="5053"/>
      <c r="T254" s="5053"/>
      <c r="U254" s="5055"/>
      <c r="V254" s="5055"/>
      <c r="W254" s="5055"/>
      <c r="X254" s="5055"/>
      <c r="Y254" s="5055"/>
    </row>
    <row customHeight="true" ht="18.452380952380953" r="255">
      <c r="A255" s="5079" t="s">
        <v>5077</v>
      </c>
      <c r="B255" s="5072">
        <v>46241</v>
      </c>
      <c r="C255" s="5079" t="str">
        <v>Friday</v>
      </c>
      <c r="D255" s="5064" t="s">
        <v>5054</v>
      </c>
      <c r="E255" s="5069">
        <f t="shared" si="54"/>
      </c>
      <c r="F255" s="5149" t="s">
        <v>5012</v>
      </c>
      <c r="G255" s="5095"/>
      <c r="H255" s="5069" t="s">
        <v>4859</v>
      </c>
      <c r="I255" s="5069" t="s">
        <v>4846</v>
      </c>
      <c r="J255" s="5069"/>
      <c r="K255" s="5053"/>
      <c r="L255" s="5053"/>
      <c r="M255" s="5053"/>
      <c r="N255" s="5053"/>
      <c r="O255" s="5053"/>
      <c r="P255" s="5053"/>
      <c r="Q255" s="5053"/>
      <c r="R255" s="5053"/>
      <c r="S255" s="5053"/>
      <c r="T255" s="5053"/>
      <c r="U255" s="5055"/>
      <c r="V255" s="5055"/>
      <c r="W255" s="5055"/>
      <c r="X255" s="5055"/>
      <c r="Y255" s="5055"/>
    </row>
    <row customHeight="true" ht="18.452380952380953" r="256">
      <c r="A256" s="5079" t="s">
        <v>5071</v>
      </c>
      <c r="B256" s="5072">
        <v>46241</v>
      </c>
      <c r="C256" s="5079" t="str">
        <v>Friday</v>
      </c>
      <c r="D256" s="5064" t="s">
        <v>5081</v>
      </c>
      <c r="E256" s="5069">
        <f t="shared" si="54"/>
      </c>
      <c r="F256" s="5149" t="s">
        <v>5012</v>
      </c>
      <c r="G256" s="5095"/>
      <c r="H256" s="5069" t="s">
        <v>4859</v>
      </c>
      <c r="I256" s="5069" t="s">
        <v>4846</v>
      </c>
      <c r="J256" s="5069"/>
      <c r="K256" s="5053"/>
      <c r="L256" s="5053"/>
      <c r="M256" s="5053"/>
      <c r="N256" s="5053"/>
      <c r="O256" s="5053"/>
      <c r="P256" s="5053"/>
      <c r="Q256" s="5053"/>
      <c r="R256" s="5053"/>
      <c r="S256" s="5053"/>
      <c r="T256" s="5053"/>
      <c r="U256" s="5055"/>
      <c r="V256" s="5055"/>
      <c r="W256" s="5055"/>
      <c r="X256" s="5055"/>
      <c r="Y256" s="5055"/>
    </row>
    <row customHeight="true" ht="18.452380952380953" r="257">
      <c r="A257" s="5079" t="s">
        <v>5077</v>
      </c>
      <c r="B257" s="5072">
        <v>46242</v>
      </c>
      <c r="C257" s="5079" t="str">
        <v>Saturday</v>
      </c>
      <c r="D257" s="5064" t="s">
        <v>5082</v>
      </c>
      <c r="E257" s="5069">
        <f t="shared" si="54"/>
      </c>
      <c r="F257" s="5149" t="s">
        <v>5012</v>
      </c>
      <c r="G257" s="5095"/>
      <c r="H257" s="5069" t="s">
        <v>4859</v>
      </c>
      <c r="I257" s="5069" t="s">
        <v>4846</v>
      </c>
      <c r="J257" s="5069"/>
      <c r="K257" s="5053"/>
      <c r="L257" s="5053"/>
      <c r="M257" s="5053"/>
      <c r="N257" s="5053"/>
      <c r="O257" s="5053"/>
      <c r="P257" s="5053"/>
      <c r="Q257" s="5053"/>
      <c r="R257" s="5053"/>
      <c r="S257" s="5053"/>
      <c r="T257" s="5053"/>
      <c r="U257" s="5055"/>
      <c r="V257" s="5055"/>
      <c r="W257" s="5055"/>
      <c r="X257" s="5055"/>
      <c r="Y257" s="5055"/>
    </row>
    <row customHeight="true" ht="18.452380952380953" r="258">
      <c r="A258" s="5079" t="s">
        <v>5077</v>
      </c>
      <c r="B258" s="5079">
        <v>46242</v>
      </c>
      <c r="C258" s="5079" t="str">
        <v>Saturday</v>
      </c>
      <c r="D258" s="5064" t="s">
        <v>5083</v>
      </c>
      <c r="E258" s="5069">
        <f t="shared" si="54"/>
      </c>
      <c r="F258" s="5149" t="s">
        <v>4997</v>
      </c>
      <c r="G258" s="5095"/>
      <c r="H258" s="5069" t="s">
        <v>4859</v>
      </c>
      <c r="I258" s="5069" t="s">
        <v>4846</v>
      </c>
      <c r="J258" s="5069"/>
      <c r="K258" s="5053"/>
      <c r="L258" s="5053"/>
      <c r="M258" s="5053"/>
      <c r="N258" s="5053"/>
      <c r="O258" s="5053"/>
      <c r="P258" s="5053"/>
      <c r="Q258" s="5053"/>
      <c r="R258" s="5053"/>
      <c r="S258" s="5053"/>
      <c r="T258" s="5053"/>
      <c r="U258" s="5055"/>
      <c r="V258" s="5055"/>
      <c r="W258" s="5055"/>
      <c r="X258" s="5055"/>
      <c r="Y258" s="5055"/>
    </row>
    <row customHeight="true" ht="18.452380952380953" r="259">
      <c r="A259" s="5079" t="s">
        <v>5077</v>
      </c>
      <c r="B259" s="5072">
        <v>46243</v>
      </c>
      <c r="C259" s="5079" t="str">
        <v>Sunday</v>
      </c>
      <c r="D259" s="5064" t="s">
        <v>5073</v>
      </c>
      <c r="E259" s="5069">
        <f t="shared" si="54"/>
      </c>
      <c r="F259" s="5149" t="s">
        <v>5022</v>
      </c>
      <c r="G259" s="5095"/>
      <c r="H259" s="5069" t="s">
        <v>4859</v>
      </c>
      <c r="I259" s="5069" t="s">
        <v>4846</v>
      </c>
      <c r="J259" s="5069"/>
      <c r="K259" s="5053"/>
      <c r="L259" s="5053"/>
      <c r="M259" s="5053"/>
      <c r="N259" s="5053"/>
      <c r="O259" s="5053"/>
      <c r="P259" s="5053"/>
      <c r="Q259" s="5053"/>
      <c r="R259" s="5053"/>
      <c r="S259" s="5053"/>
      <c r="T259" s="5053"/>
      <c r="U259" s="5055"/>
      <c r="V259" s="5055"/>
      <c r="W259" s="5055"/>
      <c r="X259" s="5055"/>
      <c r="Y259" s="5055"/>
    </row>
    <row customHeight="true" ht="18.452380952380953" r="260">
      <c r="A260" s="5079" t="s">
        <v>5077</v>
      </c>
      <c r="B260" s="5072">
        <v>46243</v>
      </c>
      <c r="C260" s="5079" t="str">
        <v>Sunday</v>
      </c>
      <c r="D260" s="5064" t="s">
        <v>5054</v>
      </c>
      <c r="E260" s="5069">
        <f t="shared" si="54"/>
      </c>
      <c r="F260" s="5149" t="s">
        <v>4997</v>
      </c>
      <c r="G260" s="5095"/>
      <c r="H260" s="5069" t="s">
        <v>4859</v>
      </c>
      <c r="I260" s="5069" t="s">
        <v>4846</v>
      </c>
      <c r="J260" s="5069"/>
      <c r="K260" s="5053"/>
      <c r="L260" s="5053"/>
      <c r="M260" s="5053"/>
      <c r="N260" s="5053"/>
      <c r="O260" s="5053"/>
      <c r="P260" s="5053"/>
      <c r="Q260" s="5053"/>
      <c r="R260" s="5053"/>
      <c r="S260" s="5053"/>
      <c r="T260" s="5053"/>
      <c r="U260" s="5055"/>
      <c r="V260" s="5055"/>
      <c r="W260" s="5055"/>
      <c r="X260" s="5055"/>
      <c r="Y260" s="5055"/>
    </row>
    <row customHeight="true" ht="18.452380952380953" r="261">
      <c r="A261" s="5079" t="s">
        <v>5071</v>
      </c>
      <c r="B261" s="5072">
        <v>46243</v>
      </c>
      <c r="C261" s="5079" t="str">
        <v>Sunday</v>
      </c>
      <c r="D261" s="5064" t="s">
        <v>5040</v>
      </c>
      <c r="E261" s="5069">
        <f t="shared" si="54"/>
      </c>
      <c r="F261" s="5149" t="s">
        <v>5012</v>
      </c>
      <c r="G261" s="5095"/>
      <c r="H261" s="5069" t="s">
        <v>4859</v>
      </c>
      <c r="I261" s="5069" t="s">
        <v>4846</v>
      </c>
      <c r="J261" s="5064" t="s">
        <v>5084</v>
      </c>
      <c r="K261" s="5053"/>
      <c r="L261" s="5053"/>
      <c r="M261" s="5053"/>
      <c r="N261" s="5053"/>
      <c r="O261" s="5053"/>
      <c r="P261" s="5053"/>
      <c r="Q261" s="5053"/>
      <c r="R261" s="5053"/>
      <c r="S261" s="5053"/>
      <c r="T261" s="5053"/>
      <c r="U261" s="5055"/>
      <c r="V261" s="5055"/>
      <c r="W261" s="5055"/>
      <c r="X261" s="5055"/>
      <c r="Y261" s="5055"/>
    </row>
    <row customHeight="true" ht="18.452380952380953" r="262">
      <c r="A262" s="5079" t="s">
        <v>5071</v>
      </c>
      <c r="B262" s="5079">
        <v>46237</v>
      </c>
      <c r="C262" s="5079" t="str">
        <v>Monday</v>
      </c>
      <c r="D262" s="5064" t="s">
        <v>5085</v>
      </c>
      <c r="E262" s="5069">
        <f t="shared" si="54"/>
      </c>
      <c r="F262" s="5149" t="s">
        <v>5012</v>
      </c>
      <c r="G262" s="5095"/>
      <c r="H262" s="5069" t="s">
        <v>4859</v>
      </c>
      <c r="I262" s="5069"/>
      <c r="J262" s="5064" t="s">
        <v>5086</v>
      </c>
      <c r="K262" s="5053"/>
      <c r="L262" s="5053"/>
      <c r="M262" s="5053"/>
      <c r="N262" s="5053"/>
      <c r="O262" s="5053"/>
      <c r="P262" s="5053"/>
      <c r="Q262" s="5053"/>
      <c r="R262" s="5053"/>
      <c r="S262" s="5053"/>
      <c r="T262" s="5053"/>
      <c r="U262" s="5055"/>
      <c r="V262" s="5055"/>
      <c r="W262" s="5055"/>
      <c r="X262" s="5055"/>
      <c r="Y262" s="5055"/>
    </row>
    <row customHeight="true" ht="18.452380952380953" r="263">
      <c r="A263" s="5079" t="s">
        <v>5071</v>
      </c>
      <c r="B263" s="5072">
        <v>46237</v>
      </c>
      <c r="C263" s="5079" t="str">
        <v>Monday</v>
      </c>
      <c r="D263" s="5064" t="s">
        <v>5042</v>
      </c>
      <c r="E263" s="5069">
        <f t="shared" si="54"/>
      </c>
      <c r="F263" s="5149" t="s">
        <v>5012</v>
      </c>
      <c r="G263" s="5095"/>
      <c r="H263" s="5069" t="s">
        <v>4859</v>
      </c>
      <c r="I263" s="5069"/>
      <c r="J263" s="5064" t="s">
        <v>5086</v>
      </c>
      <c r="K263" s="5053"/>
      <c r="L263" s="5053"/>
      <c r="M263" s="5053"/>
      <c r="N263" s="5053"/>
      <c r="O263" s="5053"/>
      <c r="P263" s="5053"/>
      <c r="Q263" s="5053"/>
      <c r="R263" s="5053"/>
      <c r="S263" s="5053"/>
      <c r="T263" s="5053"/>
      <c r="U263" s="5055"/>
      <c r="V263" s="5055"/>
      <c r="W263" s="5055"/>
      <c r="X263" s="5055"/>
      <c r="Y263" s="5055"/>
    </row>
    <row customHeight="true" ht="18.452380952380953" r="264">
      <c r="A264" s="5079"/>
      <c r="B264" s="5072"/>
      <c r="C264" s="5079"/>
      <c r="D264" s="5064"/>
      <c r="E264" s="5069"/>
      <c r="F264" s="5149"/>
      <c r="G264" s="5095"/>
      <c r="H264" s="5069"/>
      <c r="I264" s="5069"/>
      <c r="J264" s="5064"/>
      <c r="K264" s="5053"/>
      <c r="L264" s="5053"/>
      <c r="M264" s="5053"/>
      <c r="N264" s="5053"/>
      <c r="O264" s="5053"/>
      <c r="P264" s="5053"/>
      <c r="Q264" s="5053"/>
      <c r="R264" s="5053"/>
      <c r="S264" s="5053"/>
      <c r="T264" s="5053"/>
      <c r="U264" s="5055"/>
      <c r="V264" s="5055"/>
      <c r="W264" s="5055"/>
      <c r="X264" s="5055"/>
      <c r="Y264" s="5055"/>
    </row>
    <row r="265">
      <c r="A265" s="5055"/>
      <c r="B265" s="5055"/>
      <c r="C265" s="5055"/>
      <c r="D265" s="5055"/>
      <c r="E265" s="5055"/>
      <c r="F265" s="5055"/>
      <c r="G265" s="5055"/>
      <c r="H265" s="5055"/>
      <c r="I265" s="5055"/>
      <c r="J265" s="5055"/>
      <c r="K265" s="5055"/>
      <c r="L265" s="5055"/>
      <c r="M265" s="5055"/>
      <c r="N265" s="5055"/>
      <c r="O265" s="5055"/>
      <c r="P265" s="5055"/>
      <c r="Q265" s="5055"/>
      <c r="R265" s="5055"/>
      <c r="S265" s="5055"/>
      <c r="T265" s="5055"/>
      <c r="U265" s="5055"/>
      <c r="V265" s="5055"/>
      <c r="W265" s="5055"/>
      <c r="X265" s="5055"/>
      <c r="Y265" s="5055"/>
    </row>
    <row r="266">
      <c r="A266" s="5228" t="s">
        <v>5087</v>
      </c>
      <c r="B266" s="5228"/>
      <c r="C266" s="5228"/>
      <c r="D266" s="5228"/>
      <c r="E266" s="5228"/>
      <c r="F266" s="5228"/>
      <c r="G266" s="5228"/>
      <c r="H266" s="5228"/>
      <c r="I266" s="5228"/>
      <c r="J266" s="5228"/>
      <c r="K266" s="5229"/>
      <c r="L266" s="5229"/>
      <c r="M266" s="5229"/>
      <c r="N266" s="5229"/>
      <c r="O266" s="5229"/>
      <c r="P266" s="5229"/>
      <c r="Q266" s="5229"/>
      <c r="R266" s="5229"/>
      <c r="S266" s="5229"/>
      <c r="T266" s="5229"/>
      <c r="U266" s="5230"/>
      <c r="V266" s="5230"/>
      <c r="W266" s="5230"/>
      <c r="X266" s="5230"/>
      <c r="Y266" s="5230"/>
    </row>
    <row r="267">
      <c r="A267" s="5231" t="s">
        <v>4861</v>
      </c>
      <c r="B267" s="5232" t="s">
        <v>4862</v>
      </c>
      <c r="C267" s="5232"/>
      <c r="D267" s="5233" t="s">
        <v>4863</v>
      </c>
      <c r="E267" s="5233" t="s">
        <v>4864</v>
      </c>
      <c r="F267" s="5233" t="s">
        <v>4865</v>
      </c>
      <c r="G267" s="5234" t="s">
        <v>4877</v>
      </c>
      <c r="H267" s="5233" t="s">
        <v>4867</v>
      </c>
      <c r="I267" s="5233" t="s">
        <v>4868</v>
      </c>
      <c r="J267" s="5233" t="s">
        <v>4869</v>
      </c>
      <c r="K267" s="5229"/>
      <c r="L267" s="5229"/>
      <c r="M267" s="5229"/>
      <c r="N267" s="5229"/>
      <c r="O267" s="5229"/>
      <c r="P267" s="5229"/>
      <c r="Q267" s="5229"/>
      <c r="R267" s="5229"/>
      <c r="S267" s="5229"/>
      <c r="T267" s="5229"/>
      <c r="U267" s="5230"/>
      <c r="V267" s="5230"/>
      <c r="W267" s="5230"/>
      <c r="X267" s="5230"/>
      <c r="Y267" s="5230"/>
    </row>
    <row r="268">
      <c r="A268" s="5079" t="s">
        <v>5087</v>
      </c>
      <c r="B268" s="5072">
        <v>46237</v>
      </c>
      <c r="C268" s="5079" t="str">
        <v>Monday</v>
      </c>
      <c r="D268" s="5064" t="s">
        <v>4973</v>
      </c>
      <c r="E268" s="5064">
        <f t="shared" ref="E268:E288" si="55">24*MOD(TIMEVALUE(TRIM(MID(D268,FIND("-",D268)+1,LEN(D268)))) - TIMEVALUE(TRIM(LEFT(D268,FIND("-",D268)-1))),1)</f>
      </c>
      <c r="F268" s="5197" t="s">
        <v>4926</v>
      </c>
      <c r="G268" s="5088" t="s">
        <v>5045</v>
      </c>
      <c r="H268" s="5069"/>
      <c r="I268" s="5069" t="s">
        <v>4846</v>
      </c>
      <c r="J268" s="5069"/>
      <c r="K268" s="5053"/>
      <c r="L268" s="5053"/>
      <c r="M268" s="5053"/>
      <c r="N268" s="5053"/>
      <c r="O268" s="5053"/>
      <c r="P268" s="5053"/>
      <c r="Q268" s="5053"/>
      <c r="R268" s="5053"/>
      <c r="S268" s="5053"/>
      <c r="T268" s="5053"/>
      <c r="U268" s="5055"/>
      <c r="V268" s="5055"/>
      <c r="W268" s="5055"/>
      <c r="X268" s="5055"/>
      <c r="Y268" s="5055"/>
    </row>
    <row r="269">
      <c r="A269" s="5235" t="s">
        <v>5087</v>
      </c>
      <c r="B269" s="5236">
        <v>46238</v>
      </c>
      <c r="C269" s="5235" t="str">
        <v>Tuesday</v>
      </c>
      <c r="D269" s="5237" t="s">
        <v>4973</v>
      </c>
      <c r="E269" s="5064">
        <f t="shared" si="55"/>
      </c>
      <c r="F269" s="5197" t="s">
        <v>4926</v>
      </c>
      <c r="G269" s="5238" t="s">
        <v>5045</v>
      </c>
      <c r="H269" s="5196"/>
      <c r="I269" s="5196" t="s">
        <v>4846</v>
      </c>
      <c r="J269" s="5237" t="s">
        <v>5088</v>
      </c>
      <c r="K269" s="5239"/>
      <c r="L269" s="5239"/>
      <c r="M269" s="5239"/>
      <c r="N269" s="5239"/>
      <c r="O269" s="5239"/>
      <c r="P269" s="5239"/>
      <c r="Q269" s="5239"/>
      <c r="R269" s="5239"/>
      <c r="S269" s="5239"/>
      <c r="T269" s="5239"/>
      <c r="U269" s="5240"/>
      <c r="V269" s="5240"/>
      <c r="W269" s="5240"/>
      <c r="X269" s="5240"/>
      <c r="Y269" s="5240"/>
    </row>
    <row r="270">
      <c r="A270" s="5079" t="s">
        <v>5087</v>
      </c>
      <c r="B270" s="5072">
        <v>46239</v>
      </c>
      <c r="C270" s="5079" t="str">
        <v>Wednesday</v>
      </c>
      <c r="D270" s="5064" t="s">
        <v>4973</v>
      </c>
      <c r="E270" s="5064">
        <f t="shared" si="55"/>
      </c>
      <c r="F270" s="5197" t="s">
        <v>4926</v>
      </c>
      <c r="G270" s="5088" t="s">
        <v>5089</v>
      </c>
      <c r="H270" s="5069"/>
      <c r="I270" s="5069" t="s">
        <v>4846</v>
      </c>
      <c r="J270" s="5069"/>
      <c r="K270" s="5053"/>
      <c r="L270" s="5053"/>
      <c r="M270" s="5053"/>
      <c r="N270" s="5053"/>
      <c r="O270" s="5053"/>
      <c r="P270" s="5053"/>
      <c r="Q270" s="5053"/>
      <c r="R270" s="5053"/>
      <c r="S270" s="5053"/>
      <c r="T270" s="5053"/>
      <c r="U270" s="5055"/>
      <c r="V270" s="5055"/>
      <c r="W270" s="5055"/>
      <c r="X270" s="5055"/>
      <c r="Y270" s="5055"/>
    </row>
    <row r="271">
      <c r="A271" s="5079" t="s">
        <v>5087</v>
      </c>
      <c r="B271" s="5072">
        <v>46240</v>
      </c>
      <c r="C271" s="5079" t="str">
        <v>Thursday</v>
      </c>
      <c r="D271" s="5064" t="s">
        <v>4973</v>
      </c>
      <c r="E271" s="5064">
        <f t="shared" si="55"/>
      </c>
      <c r="F271" s="5197" t="s">
        <v>4926</v>
      </c>
      <c r="G271" s="5088" t="s">
        <v>5089</v>
      </c>
      <c r="H271" s="5069"/>
      <c r="I271" s="5069" t="s">
        <v>4846</v>
      </c>
      <c r="J271" s="5069"/>
      <c r="K271" s="5053"/>
      <c r="L271" s="5053"/>
      <c r="M271" s="5053"/>
      <c r="N271" s="5053"/>
      <c r="O271" s="5053"/>
      <c r="P271" s="5053"/>
      <c r="Q271" s="5053"/>
      <c r="R271" s="5053"/>
      <c r="S271" s="5053"/>
      <c r="T271" s="5053"/>
      <c r="U271" s="5055"/>
      <c r="V271" s="5055"/>
      <c r="W271" s="5055"/>
      <c r="X271" s="5055"/>
      <c r="Y271" s="5055"/>
    </row>
    <row customHeight="true" ht="22.61904761904762" r="272">
      <c r="A272" s="5079" t="s">
        <v>5087</v>
      </c>
      <c r="B272" s="5072">
        <v>46241</v>
      </c>
      <c r="C272" s="5079" t="str">
        <v>Friday</v>
      </c>
      <c r="D272" s="5064" t="s">
        <v>4996</v>
      </c>
      <c r="E272" s="5064">
        <f t="shared" si="55"/>
      </c>
      <c r="F272" s="5197" t="s">
        <v>4926</v>
      </c>
      <c r="G272" s="5088" t="s">
        <v>5041</v>
      </c>
      <c r="H272" s="5069"/>
      <c r="I272" s="5069" t="s">
        <v>4846</v>
      </c>
      <c r="J272" s="5069"/>
      <c r="K272" s="5053"/>
      <c r="L272" s="5053"/>
      <c r="M272" s="5053"/>
      <c r="N272" s="5053"/>
      <c r="O272" s="5053"/>
      <c r="P272" s="5053"/>
      <c r="Q272" s="5053"/>
      <c r="R272" s="5053"/>
      <c r="S272" s="5053"/>
      <c r="T272" s="5053"/>
      <c r="U272" s="5055"/>
      <c r="V272" s="5055"/>
      <c r="W272" s="5055"/>
      <c r="X272" s="5055"/>
      <c r="Y272" s="5055"/>
    </row>
    <row customHeight="true" ht="22.61904761904762" r="273">
      <c r="A273" s="5079" t="s">
        <v>5087</v>
      </c>
      <c r="B273" s="5072">
        <v>46241</v>
      </c>
      <c r="C273" s="5079" t="str">
        <v>Friday</v>
      </c>
      <c r="D273" s="5064" t="s">
        <v>4879</v>
      </c>
      <c r="E273" s="5064">
        <f t="shared" si="55"/>
      </c>
      <c r="F273" s="5197" t="s">
        <v>5090</v>
      </c>
      <c r="G273" s="5088" t="s">
        <v>5091</v>
      </c>
      <c r="H273" s="5069"/>
      <c r="I273" s="5069" t="s">
        <v>4846</v>
      </c>
      <c r="J273" s="5069"/>
      <c r="K273" s="5053"/>
      <c r="L273" s="5053"/>
      <c r="M273" s="5053"/>
      <c r="N273" s="5053"/>
      <c r="O273" s="5053"/>
      <c r="P273" s="5053"/>
      <c r="Q273" s="5053"/>
      <c r="R273" s="5053"/>
      <c r="S273" s="5053"/>
      <c r="T273" s="5053"/>
      <c r="U273" s="5055"/>
      <c r="V273" s="5055"/>
      <c r="W273" s="5055"/>
      <c r="X273" s="5055"/>
      <c r="Y273" s="5055"/>
    </row>
    <row customHeight="true" ht="22.61904761904762" r="274">
      <c r="A274" s="5079" t="s">
        <v>5087</v>
      </c>
      <c r="B274" s="5072">
        <v>46241</v>
      </c>
      <c r="C274" s="5079" t="str">
        <v>Friday</v>
      </c>
      <c r="D274" s="5064" t="s">
        <v>4973</v>
      </c>
      <c r="E274" s="5064">
        <f t="shared" si="55"/>
      </c>
      <c r="F274" s="5197" t="s">
        <v>4926</v>
      </c>
      <c r="G274" s="5088" t="s">
        <v>5041</v>
      </c>
      <c r="H274" s="5069"/>
      <c r="I274" s="5069" t="s">
        <v>4846</v>
      </c>
      <c r="J274" s="5069"/>
      <c r="K274" s="5053"/>
      <c r="L274" s="5053"/>
      <c r="M274" s="5053"/>
      <c r="N274" s="5053"/>
      <c r="O274" s="5053"/>
      <c r="P274" s="5053"/>
      <c r="Q274" s="5053"/>
      <c r="R274" s="5053"/>
      <c r="S274" s="5053"/>
      <c r="T274" s="5053"/>
      <c r="U274" s="5055"/>
      <c r="V274" s="5055"/>
      <c r="W274" s="5055"/>
      <c r="X274" s="5055"/>
      <c r="Y274" s="5055"/>
    </row>
    <row customHeight="true" ht="22.61904761904762" r="275">
      <c r="A275" s="5079" t="s">
        <v>5087</v>
      </c>
      <c r="B275" s="5072">
        <v>46242</v>
      </c>
      <c r="C275" s="5079" t="str">
        <v>Saturday</v>
      </c>
      <c r="D275" s="5064" t="s">
        <v>4921</v>
      </c>
      <c r="E275" s="5064">
        <f t="shared" si="55"/>
      </c>
      <c r="F275" s="5149" t="s">
        <v>5022</v>
      </c>
      <c r="G275" s="5088" t="s">
        <v>5041</v>
      </c>
      <c r="H275" s="5069"/>
      <c r="I275" s="5069" t="s">
        <v>4846</v>
      </c>
      <c r="J275" s="5069"/>
      <c r="K275" s="5053"/>
      <c r="L275" s="5053"/>
      <c r="M275" s="5053"/>
      <c r="N275" s="5053"/>
      <c r="O275" s="5053"/>
      <c r="P275" s="5053"/>
      <c r="Q275" s="5053"/>
      <c r="R275" s="5053"/>
      <c r="S275" s="5053"/>
      <c r="T275" s="5053"/>
      <c r="U275" s="5055"/>
      <c r="V275" s="5055"/>
      <c r="W275" s="5055"/>
      <c r="X275" s="5055"/>
      <c r="Y275" s="5055"/>
    </row>
    <row customHeight="true" ht="18.452380952380953" r="276">
      <c r="A276" s="5079" t="s">
        <v>5087</v>
      </c>
      <c r="B276" s="5072">
        <v>46243</v>
      </c>
      <c r="C276" s="5079" t="str">
        <v>Sunday</v>
      </c>
      <c r="D276" s="5064" t="s">
        <v>4990</v>
      </c>
      <c r="E276" s="5064">
        <f t="shared" si="55"/>
      </c>
      <c r="F276" s="5197" t="s">
        <v>4926</v>
      </c>
      <c r="G276" s="5088" t="s">
        <v>5041</v>
      </c>
      <c r="H276" s="5069"/>
      <c r="I276" s="5069" t="s">
        <v>4846</v>
      </c>
      <c r="J276" s="5069"/>
      <c r="K276" s="5053"/>
      <c r="L276" s="5053"/>
      <c r="M276" s="5053"/>
      <c r="N276" s="5053"/>
      <c r="O276" s="5053"/>
      <c r="P276" s="5053"/>
      <c r="Q276" s="5053"/>
      <c r="R276" s="5053"/>
      <c r="S276" s="5053"/>
      <c r="T276" s="5053"/>
      <c r="U276" s="5055"/>
      <c r="V276" s="5055"/>
      <c r="W276" s="5055"/>
      <c r="X276" s="5055"/>
      <c r="Y276" s="5055"/>
    </row>
    <row customHeight="true" ht="20.238095238095237" r="277">
      <c r="A277" s="5079" t="s">
        <v>5092</v>
      </c>
      <c r="B277" s="5072">
        <v>46237</v>
      </c>
      <c r="C277" s="5079" t="str">
        <v>Monday</v>
      </c>
      <c r="D277" s="5064" t="s">
        <v>4973</v>
      </c>
      <c r="E277" s="5064">
        <f t="shared" si="55"/>
      </c>
      <c r="F277" s="5068" t="s">
        <v>4937</v>
      </c>
      <c r="G277" s="5088"/>
      <c r="H277" s="5069"/>
      <c r="I277" s="5069" t="s">
        <v>4846</v>
      </c>
      <c r="J277" s="5069"/>
      <c r="K277" s="5053"/>
      <c r="L277" s="5053"/>
      <c r="M277" s="5053"/>
      <c r="N277" s="5053"/>
      <c r="O277" s="5053"/>
      <c r="P277" s="5053"/>
      <c r="Q277" s="5053"/>
      <c r="R277" s="5053"/>
      <c r="S277" s="5053"/>
      <c r="T277" s="5053"/>
      <c r="U277" s="5055"/>
      <c r="V277" s="5055"/>
      <c r="W277" s="5055"/>
      <c r="X277" s="5055"/>
      <c r="Y277" s="5055"/>
    </row>
    <row customHeight="true" ht="20.238095238095237" r="278">
      <c r="A278" s="5079" t="s">
        <v>5092</v>
      </c>
      <c r="B278" s="5072">
        <v>46238</v>
      </c>
      <c r="C278" s="5079" t="str">
        <v>Tuesday</v>
      </c>
      <c r="D278" s="5064" t="s">
        <v>4973</v>
      </c>
      <c r="E278" s="5064">
        <f t="shared" si="55"/>
      </c>
      <c r="F278" s="5068" t="s">
        <v>4937</v>
      </c>
      <c r="G278" s="5088"/>
      <c r="H278" s="5069"/>
      <c r="I278" s="5069" t="s">
        <v>4846</v>
      </c>
      <c r="J278" s="5069"/>
      <c r="K278" s="5053"/>
      <c r="L278" s="5053"/>
      <c r="M278" s="5053"/>
      <c r="N278" s="5053"/>
      <c r="O278" s="5053"/>
      <c r="P278" s="5053"/>
      <c r="Q278" s="5053"/>
      <c r="R278" s="5053"/>
      <c r="S278" s="5053"/>
      <c r="T278" s="5053"/>
      <c r="U278" s="5055"/>
      <c r="V278" s="5055"/>
      <c r="W278" s="5055"/>
      <c r="X278" s="5055"/>
      <c r="Y278" s="5055"/>
    </row>
    <row customHeight="true" ht="20.238095238095237" r="279">
      <c r="A279" s="5079" t="s">
        <v>5092</v>
      </c>
      <c r="B279" s="5072">
        <v>46239</v>
      </c>
      <c r="C279" s="5079" t="str">
        <v>Wednesday</v>
      </c>
      <c r="D279" s="5064" t="s">
        <v>4973</v>
      </c>
      <c r="E279" s="5064">
        <f t="shared" si="55"/>
      </c>
      <c r="F279" s="5149" t="s">
        <v>4857</v>
      </c>
      <c r="G279" s="5088"/>
      <c r="H279" s="5069"/>
      <c r="I279" s="5069" t="s">
        <v>4846</v>
      </c>
      <c r="J279" s="5069"/>
      <c r="K279" s="5053"/>
      <c r="L279" s="5053"/>
      <c r="M279" s="5053"/>
      <c r="N279" s="5053"/>
      <c r="O279" s="5053"/>
      <c r="P279" s="5053"/>
      <c r="Q279" s="5053"/>
      <c r="R279" s="5053"/>
      <c r="S279" s="5053"/>
      <c r="T279" s="5053"/>
      <c r="U279" s="5055"/>
      <c r="V279" s="5055"/>
      <c r="W279" s="5055"/>
      <c r="X279" s="5055"/>
      <c r="Y279" s="5055"/>
    </row>
    <row customHeight="true" ht="20.238095238095237" r="280">
      <c r="A280" s="5079" t="s">
        <v>5092</v>
      </c>
      <c r="B280" s="5072">
        <v>46240</v>
      </c>
      <c r="C280" s="5079" t="str">
        <v>Thursday</v>
      </c>
      <c r="D280" s="5064" t="s">
        <v>4973</v>
      </c>
      <c r="E280" s="5064">
        <f t="shared" si="55"/>
      </c>
      <c r="F280" s="5149" t="s">
        <v>4857</v>
      </c>
      <c r="G280" s="5088"/>
      <c r="H280" s="5069"/>
      <c r="I280" s="5069" t="s">
        <v>4846</v>
      </c>
      <c r="J280" s="5069"/>
      <c r="K280" s="5053"/>
      <c r="L280" s="5053"/>
      <c r="M280" s="5053"/>
      <c r="N280" s="5053"/>
      <c r="O280" s="5053"/>
      <c r="P280" s="5053"/>
      <c r="Q280" s="5053"/>
      <c r="R280" s="5053"/>
      <c r="S280" s="5053"/>
      <c r="T280" s="5053"/>
      <c r="U280" s="5055"/>
      <c r="V280" s="5055"/>
      <c r="W280" s="5055"/>
      <c r="X280" s="5055"/>
      <c r="Y280" s="5055"/>
    </row>
    <row customHeight="true" ht="20.238095238095237" r="281">
      <c r="A281" s="5079" t="s">
        <v>5092</v>
      </c>
      <c r="B281" s="5072">
        <v>46240</v>
      </c>
      <c r="C281" s="5079" t="str">
        <v>Thursday</v>
      </c>
      <c r="D281" s="5064" t="s">
        <v>4996</v>
      </c>
      <c r="E281" s="5064">
        <f t="shared" si="55"/>
      </c>
      <c r="F281" s="5068" t="s">
        <v>5041</v>
      </c>
      <c r="G281" s="5088"/>
      <c r="H281" s="5069"/>
      <c r="I281" s="5069" t="s">
        <v>4846</v>
      </c>
      <c r="J281" s="5064" t="s">
        <v>5093</v>
      </c>
      <c r="K281" s="5053"/>
      <c r="L281" s="5053"/>
      <c r="M281" s="5053"/>
      <c r="N281" s="5053"/>
      <c r="O281" s="5053"/>
      <c r="P281" s="5053"/>
      <c r="Q281" s="5053"/>
      <c r="R281" s="5053"/>
      <c r="S281" s="5053"/>
      <c r="T281" s="5053"/>
      <c r="U281" s="5055"/>
      <c r="V281" s="5055"/>
      <c r="W281" s="5055"/>
      <c r="X281" s="5055"/>
      <c r="Y281" s="5055"/>
    </row>
    <row customHeight="true" ht="20.238095238095237" r="282">
      <c r="A282" s="5079" t="s">
        <v>5092</v>
      </c>
      <c r="B282" s="5079">
        <v>46240</v>
      </c>
      <c r="C282" s="5079" t="str">
        <v>Thursday</v>
      </c>
      <c r="D282" s="5064" t="s">
        <v>5094</v>
      </c>
      <c r="E282" s="5064">
        <f t="shared" si="55"/>
      </c>
      <c r="F282" s="5068" t="s">
        <v>5041</v>
      </c>
      <c r="G282" s="5095"/>
      <c r="H282" s="5069"/>
      <c r="I282" s="5069" t="s">
        <v>4846</v>
      </c>
      <c r="J282" s="5064" t="s">
        <v>5095</v>
      </c>
      <c r="K282" s="5053"/>
      <c r="L282" s="5053"/>
      <c r="M282" s="5053"/>
      <c r="N282" s="5053"/>
      <c r="O282" s="5053"/>
      <c r="P282" s="5053"/>
      <c r="Q282" s="5053"/>
      <c r="R282" s="5053"/>
      <c r="S282" s="5053"/>
      <c r="T282" s="5053"/>
      <c r="U282" s="5055"/>
      <c r="V282" s="5055"/>
      <c r="W282" s="5055"/>
      <c r="X282" s="5055"/>
      <c r="Y282" s="5055"/>
    </row>
    <row customHeight="true" ht="20.238095238095237" r="283">
      <c r="A283" s="5079" t="s">
        <v>5092</v>
      </c>
      <c r="B283" s="5072">
        <v>46241</v>
      </c>
      <c r="C283" s="5079" t="str">
        <v>Friday</v>
      </c>
      <c r="D283" s="5064" t="s">
        <v>5058</v>
      </c>
      <c r="E283" s="5064">
        <f t="shared" si="55"/>
      </c>
      <c r="F283" s="5068" t="s">
        <v>5041</v>
      </c>
      <c r="G283" s="5088"/>
      <c r="H283" s="5069"/>
      <c r="I283" s="5069" t="s">
        <v>4846</v>
      </c>
      <c r="J283" s="5069"/>
      <c r="K283" s="5053"/>
      <c r="L283" s="5053"/>
      <c r="M283" s="5053"/>
      <c r="N283" s="5053"/>
      <c r="O283" s="5053"/>
      <c r="P283" s="5053"/>
      <c r="Q283" s="5053"/>
      <c r="R283" s="5053"/>
      <c r="S283" s="5053"/>
      <c r="T283" s="5053"/>
      <c r="U283" s="5055"/>
      <c r="V283" s="5055"/>
      <c r="W283" s="5055"/>
      <c r="X283" s="5055"/>
      <c r="Y283" s="5055"/>
    </row>
    <row customHeight="true" ht="20.238095238095237" r="284">
      <c r="A284" s="5079" t="s">
        <v>5092</v>
      </c>
      <c r="B284" s="5079">
        <v>46241</v>
      </c>
      <c r="C284" s="5079" t="str">
        <v>Friday</v>
      </c>
      <c r="D284" s="5069" t="s">
        <v>4879</v>
      </c>
      <c r="E284" s="5064">
        <f t="shared" si="55"/>
      </c>
      <c r="F284" s="5068" t="s">
        <v>5041</v>
      </c>
      <c r="G284" s="5095"/>
      <c r="H284" s="5069"/>
      <c r="I284" s="5069" t="s">
        <v>4846</v>
      </c>
      <c r="J284" s="5069"/>
      <c r="K284" s="5053"/>
      <c r="L284" s="5053"/>
      <c r="M284" s="5053"/>
      <c r="N284" s="5053"/>
      <c r="O284" s="5053"/>
      <c r="P284" s="5053"/>
      <c r="Q284" s="5053"/>
      <c r="R284" s="5053"/>
      <c r="S284" s="5053"/>
      <c r="T284" s="5053"/>
      <c r="U284" s="5055"/>
      <c r="V284" s="5055"/>
      <c r="W284" s="5055"/>
      <c r="X284" s="5055"/>
      <c r="Y284" s="5055"/>
    </row>
    <row customHeight="true" ht="20.238095238095237" r="285">
      <c r="A285" s="5079" t="s">
        <v>5092</v>
      </c>
      <c r="B285" s="5072">
        <v>46241</v>
      </c>
      <c r="C285" s="5079" t="str">
        <v>Friday</v>
      </c>
      <c r="D285" s="5064" t="s">
        <v>4879</v>
      </c>
      <c r="E285" s="5064">
        <f t="shared" si="55"/>
      </c>
      <c r="F285" s="5149" t="s">
        <v>5022</v>
      </c>
      <c r="G285" s="5088"/>
      <c r="H285" s="5069"/>
      <c r="I285" s="5069" t="s">
        <v>4846</v>
      </c>
      <c r="J285" s="5069"/>
      <c r="K285" s="5053"/>
      <c r="L285" s="5053"/>
      <c r="M285" s="5053"/>
      <c r="N285" s="5053"/>
      <c r="O285" s="5053"/>
      <c r="P285" s="5053"/>
      <c r="Q285" s="5053"/>
      <c r="R285" s="5053"/>
      <c r="S285" s="5053"/>
      <c r="T285" s="5053"/>
      <c r="U285" s="5055"/>
      <c r="V285" s="5055"/>
      <c r="W285" s="5055"/>
      <c r="X285" s="5055"/>
      <c r="Y285" s="5055"/>
    </row>
    <row customHeight="true" ht="20.238095238095237" r="286">
      <c r="A286" s="5079" t="s">
        <v>5092</v>
      </c>
      <c r="B286" s="5072">
        <v>46241</v>
      </c>
      <c r="C286" s="5079" t="str">
        <v>Friday</v>
      </c>
      <c r="D286" s="5064" t="s">
        <v>5042</v>
      </c>
      <c r="E286" s="5064">
        <f t="shared" si="55"/>
      </c>
      <c r="F286" s="5068" t="s">
        <v>5041</v>
      </c>
      <c r="G286" s="5088"/>
      <c r="H286" s="5069"/>
      <c r="I286" s="5069" t="s">
        <v>4846</v>
      </c>
      <c r="J286" s="5069"/>
      <c r="K286" s="5053"/>
      <c r="L286" s="5053"/>
      <c r="M286" s="5053"/>
      <c r="N286" s="5053"/>
      <c r="O286" s="5053"/>
      <c r="P286" s="5053"/>
      <c r="Q286" s="5053"/>
      <c r="R286" s="5053"/>
      <c r="S286" s="5053"/>
      <c r="T286" s="5053"/>
      <c r="U286" s="5055"/>
      <c r="V286" s="5055"/>
      <c r="W286" s="5055"/>
      <c r="X286" s="5055"/>
      <c r="Y286" s="5055"/>
    </row>
    <row customHeight="true" ht="20.238095238095237" r="287">
      <c r="A287" s="5079" t="s">
        <v>5092</v>
      </c>
      <c r="B287" s="5072">
        <v>46242</v>
      </c>
      <c r="C287" s="5079" t="str">
        <v>Saturday</v>
      </c>
      <c r="D287" s="5064" t="s">
        <v>4967</v>
      </c>
      <c r="E287" s="5064">
        <f t="shared" si="55"/>
      </c>
      <c r="F287" s="5068" t="s">
        <v>5041</v>
      </c>
      <c r="G287" s="5088"/>
      <c r="H287" s="5069"/>
      <c r="I287" s="5069" t="s">
        <v>4846</v>
      </c>
      <c r="J287" s="5069"/>
      <c r="K287" s="5053"/>
      <c r="L287" s="5053"/>
      <c r="M287" s="5053"/>
      <c r="N287" s="5053"/>
      <c r="O287" s="5053"/>
      <c r="P287" s="5053"/>
      <c r="Q287" s="5053"/>
      <c r="R287" s="5053"/>
      <c r="S287" s="5053"/>
      <c r="T287" s="5053"/>
      <c r="U287" s="5055"/>
      <c r="V287" s="5055"/>
      <c r="W287" s="5055"/>
      <c r="X287" s="5055"/>
      <c r="Y287" s="5055"/>
    </row>
    <row customHeight="true" ht="20.238095238095237" r="288">
      <c r="A288" s="5079" t="s">
        <v>5092</v>
      </c>
      <c r="B288" s="5072">
        <v>46243</v>
      </c>
      <c r="C288" s="5079" t="str">
        <v>Sunday</v>
      </c>
      <c r="D288" s="5064" t="s">
        <v>5096</v>
      </c>
      <c r="E288" s="5064">
        <f t="shared" si="55"/>
      </c>
      <c r="F288" s="5068" t="s">
        <v>5041</v>
      </c>
      <c r="G288" s="5088"/>
      <c r="H288" s="5069"/>
      <c r="I288" s="5069" t="s">
        <v>4846</v>
      </c>
      <c r="J288" s="5064" t="s">
        <v>5097</v>
      </c>
      <c r="K288" s="5053"/>
      <c r="L288" s="5053"/>
      <c r="M288" s="5053"/>
      <c r="N288" s="5053"/>
      <c r="O288" s="5053"/>
      <c r="P288" s="5053"/>
      <c r="Q288" s="5053"/>
      <c r="R288" s="5053"/>
      <c r="S288" s="5053"/>
      <c r="T288" s="5053"/>
      <c r="U288" s="5055"/>
      <c r="V288" s="5055"/>
      <c r="W288" s="5055"/>
      <c r="X288" s="5055"/>
      <c r="Y288" s="5055"/>
    </row>
    <row r="289">
      <c r="A289" s="5055"/>
      <c r="B289" s="5055"/>
      <c r="C289" s="5055"/>
      <c r="D289" s="5055"/>
      <c r="E289" s="5055"/>
      <c r="F289" s="5055"/>
      <c r="G289" s="5055"/>
      <c r="H289" s="5189"/>
      <c r="I289" s="5055"/>
      <c r="J289" s="5055"/>
      <c r="K289" s="5055"/>
      <c r="L289" s="5055"/>
      <c r="M289" s="5055"/>
      <c r="N289" s="5055"/>
      <c r="O289" s="5055"/>
      <c r="P289" s="5055"/>
      <c r="Q289" s="5055"/>
      <c r="R289" s="5055"/>
      <c r="S289" s="5055"/>
      <c r="T289" s="5055"/>
      <c r="U289" s="5055"/>
      <c r="V289" s="5055"/>
      <c r="W289" s="5055"/>
      <c r="X289" s="5055"/>
      <c r="Y289" s="5055"/>
    </row>
    <row customHeight="true" ht="16.071428571428573" r="290">
      <c r="A290" s="5241" t="s">
        <v>5098</v>
      </c>
      <c r="B290" s="5242"/>
      <c r="C290" s="5242"/>
      <c r="D290" s="5242"/>
      <c r="E290" s="5242"/>
      <c r="F290" s="5242"/>
      <c r="G290" s="5242"/>
      <c r="H290" s="5243"/>
      <c r="I290" s="5242"/>
      <c r="J290" s="5242"/>
      <c r="K290" s="5242"/>
      <c r="L290" s="5242"/>
      <c r="M290" s="5242"/>
      <c r="N290" s="5242"/>
      <c r="O290" s="5242"/>
      <c r="P290" s="5242"/>
      <c r="Q290" s="5242"/>
      <c r="R290" s="5242"/>
      <c r="S290" s="5242"/>
      <c r="T290" s="5242"/>
      <c r="U290" s="5242"/>
      <c r="V290" s="5242"/>
      <c r="W290" s="5242"/>
      <c r="X290" s="5242"/>
      <c r="Y290" s="5242"/>
    </row>
    <row customHeight="true" ht="25" r="291">
      <c r="A291" s="5244" t="s">
        <v>4861</v>
      </c>
      <c r="B291" s="5245" t="s">
        <v>4862</v>
      </c>
      <c r="C291" s="5245"/>
      <c r="D291" s="5246" t="s">
        <v>4863</v>
      </c>
      <c r="E291" s="5247" t="s">
        <v>4864</v>
      </c>
      <c r="F291" s="5247" t="s">
        <v>4865</v>
      </c>
      <c r="G291" s="5248" t="s">
        <v>4877</v>
      </c>
      <c r="H291" s="5247" t="s">
        <v>4867</v>
      </c>
      <c r="I291" s="5247" t="s">
        <v>4868</v>
      </c>
      <c r="J291" s="5247" t="s">
        <v>4869</v>
      </c>
      <c r="K291" s="5239"/>
      <c r="L291" s="5239"/>
      <c r="M291" s="5239"/>
      <c r="N291" s="5239"/>
      <c r="O291" s="5239"/>
      <c r="P291" s="5239"/>
      <c r="Q291" s="5239"/>
      <c r="R291" s="5239"/>
      <c r="S291" s="5239"/>
      <c r="T291" s="5240"/>
      <c r="U291" s="5240"/>
      <c r="V291" s="5240"/>
      <c r="W291" s="5240"/>
      <c r="X291" s="5240"/>
      <c r="Y291" s="5240"/>
    </row>
    <row customHeight="true" ht="17.633928571428573" r="292">
      <c r="A292" s="5249" t="s">
        <v>5099</v>
      </c>
      <c r="B292" s="5250">
        <v>46239</v>
      </c>
      <c r="C292" s="5249"/>
      <c r="D292" s="5251" t="s">
        <v>5100</v>
      </c>
      <c r="E292" s="5252">
        <f t="shared" ref="E292:E293" si="56">24*MOD(TIMEVALUE(TRIM(MID(D292,FIND("-",D292)+1,LEN(D292)))) - TIMEVALUE(TRIM(LEFT(D292,FIND("-",D292)-1))),1)</f>
      </c>
      <c r="F292" s="5252" t="s">
        <v>4925</v>
      </c>
      <c r="G292" s="5253" t="s">
        <v>5101</v>
      </c>
      <c r="H292" s="5252" t="s">
        <v>4859</v>
      </c>
      <c r="I292" s="5252" t="s">
        <v>4846</v>
      </c>
      <c r="J292" s="5252"/>
      <c r="K292" s="5053"/>
      <c r="L292" s="5053"/>
      <c r="M292" s="5053"/>
      <c r="N292" s="5053"/>
      <c r="O292" s="5053"/>
      <c r="P292" s="5053"/>
      <c r="Q292" s="5053"/>
      <c r="R292" s="5053"/>
      <c r="S292" s="5053"/>
      <c r="T292" s="5053"/>
      <c r="U292" s="5055"/>
      <c r="V292" s="5055"/>
      <c r="W292" s="5055"/>
      <c r="X292" s="5055"/>
      <c r="Y292" s="5055"/>
    </row>
    <row customHeight="true" ht="16.071428571428573" r="293">
      <c r="A293" s="5249" t="s">
        <v>5099</v>
      </c>
      <c r="B293" s="5250">
        <v>46239</v>
      </c>
      <c r="C293" s="5249"/>
      <c r="D293" s="5251" t="s">
        <v>5100</v>
      </c>
      <c r="E293" s="5252">
        <f t="shared" si="56"/>
      </c>
      <c r="F293" s="5252" t="s">
        <v>5102</v>
      </c>
      <c r="G293" s="5253" t="s">
        <v>5101</v>
      </c>
      <c r="H293" s="5252" t="s">
        <v>4859</v>
      </c>
      <c r="I293" s="5252" t="s">
        <v>4846</v>
      </c>
      <c r="J293" s="5252"/>
      <c r="K293" s="5053"/>
      <c r="L293" s="5053"/>
      <c r="M293" s="5053"/>
      <c r="N293" s="5053"/>
      <c r="O293" s="5053"/>
      <c r="P293" s="5053"/>
      <c r="Q293" s="5053"/>
      <c r="R293" s="5053"/>
      <c r="S293" s="5053"/>
      <c r="T293" s="5053"/>
      <c r="U293" s="5055"/>
      <c r="V293" s="5055"/>
      <c r="W293" s="5055"/>
      <c r="X293" s="5055"/>
      <c r="Y293" s="5055"/>
    </row>
    <row customHeight="true" ht="16.071428571428573" r="294">
      <c r="A294" s="5235"/>
      <c r="B294" s="5236"/>
      <c r="C294" s="5235"/>
      <c r="D294" s="5237"/>
      <c r="E294" s="5196"/>
      <c r="F294" s="5196"/>
      <c r="G294" s="5238"/>
      <c r="H294" s="5196"/>
      <c r="I294" s="5196"/>
      <c r="J294" s="5196"/>
      <c r="K294" s="5239"/>
      <c r="L294" s="5239"/>
      <c r="M294" s="5239"/>
      <c r="N294" s="5239"/>
      <c r="O294" s="5239"/>
      <c r="P294" s="5239"/>
      <c r="Q294" s="5239"/>
      <c r="R294" s="5239"/>
      <c r="S294" s="5239"/>
      <c r="T294" s="5239"/>
      <c r="U294" s="5240"/>
      <c r="V294" s="5240"/>
      <c r="W294" s="5240"/>
      <c r="X294" s="5240"/>
      <c r="Y294" s="5240"/>
    </row>
    <row customHeight="true" ht="16.071428571428573" r="295">
      <c r="A295" s="5254" t="s">
        <v>5103</v>
      </c>
      <c r="B295" s="5255"/>
      <c r="C295" s="5255"/>
      <c r="D295" s="5255"/>
      <c r="E295" s="5256"/>
      <c r="F295" s="5255"/>
      <c r="G295" s="5256"/>
      <c r="H295" s="5255"/>
      <c r="I295" s="5255"/>
      <c r="J295" s="5255"/>
      <c r="K295" s="5257"/>
      <c r="L295" s="5257"/>
      <c r="M295" s="5257"/>
      <c r="N295" s="5257"/>
      <c r="O295" s="5257"/>
      <c r="P295" s="5257"/>
      <c r="Q295" s="5257"/>
      <c r="R295" s="5257"/>
      <c r="S295" s="5257"/>
      <c r="T295" s="5257"/>
      <c r="U295" s="5257"/>
      <c r="V295" s="5257"/>
      <c r="W295" s="5257"/>
      <c r="X295" s="5257"/>
      <c r="Y295" s="5257"/>
    </row>
    <row customHeight="true" ht="31.779100529098244" r="296">
      <c r="A296" s="5258" t="s">
        <v>4861</v>
      </c>
      <c r="B296" s="5259" t="s">
        <v>4862</v>
      </c>
      <c r="C296" s="5259"/>
      <c r="D296" s="5260" t="s">
        <v>4863</v>
      </c>
      <c r="E296" s="5261" t="s">
        <v>4864</v>
      </c>
      <c r="F296" s="5261" t="s">
        <v>4865</v>
      </c>
      <c r="G296" s="5262" t="s">
        <v>4877</v>
      </c>
      <c r="H296" s="5263" t="s">
        <v>4867</v>
      </c>
      <c r="I296" s="5263" t="s">
        <v>4868</v>
      </c>
      <c r="J296" s="5264" t="s">
        <v>4869</v>
      </c>
      <c r="K296" s="5257"/>
      <c r="L296" s="5257"/>
      <c r="M296" s="5257"/>
      <c r="N296" s="5257"/>
      <c r="O296" s="5257"/>
      <c r="P296" s="5257"/>
      <c r="Q296" s="5257"/>
      <c r="R296" s="5257"/>
      <c r="S296" s="5257"/>
      <c r="T296" s="5257"/>
      <c r="U296" s="5257"/>
      <c r="V296" s="5257"/>
      <c r="W296" s="5257"/>
      <c r="X296" s="5257"/>
      <c r="Y296" s="5257"/>
    </row>
    <row customHeight="true" ht="16.071428571428573" r="297">
      <c r="A297" s="5079" t="s">
        <v>5104</v>
      </c>
      <c r="B297" s="5072">
        <v>46243</v>
      </c>
      <c r="C297" s="5079" t="str">
        <v>Sunday</v>
      </c>
      <c r="D297" s="5130" t="s">
        <v>5105</v>
      </c>
      <c r="E297" s="5130">
        <v>1</v>
      </c>
      <c r="F297" s="5068" t="s">
        <v>5106</v>
      </c>
      <c r="G297" s="5146" t="s">
        <v>5101</v>
      </c>
      <c r="H297" s="5068" t="s">
        <v>4859</v>
      </c>
      <c r="I297" s="5069" t="s">
        <v>4846</v>
      </c>
      <c r="J297" s="5147"/>
      <c r="K297" s="5053"/>
      <c r="L297" s="5053"/>
      <c r="M297" s="5053"/>
      <c r="N297" s="5053"/>
      <c r="O297" s="5053"/>
      <c r="P297" s="5053"/>
      <c r="Q297" s="5053"/>
      <c r="R297" s="5053"/>
      <c r="S297" s="5053"/>
      <c r="T297" s="5053"/>
      <c r="U297" s="5055"/>
      <c r="V297" s="5055"/>
      <c r="W297" s="5055"/>
      <c r="X297" s="5055"/>
      <c r="Y297" s="5055"/>
    </row>
    <row customHeight="true" ht="16.071428571428573" r="298">
      <c r="A298" s="5079"/>
      <c r="B298" s="5072"/>
      <c r="C298" s="5079"/>
      <c r="D298" s="5130"/>
      <c r="E298" s="5130"/>
      <c r="F298" s="5068"/>
      <c r="G298" s="5146"/>
      <c r="H298" s="5068"/>
      <c r="I298" s="5069"/>
      <c r="J298" s="5147"/>
      <c r="K298" s="5053"/>
      <c r="L298" s="5053"/>
      <c r="M298" s="5053"/>
      <c r="N298" s="5053"/>
      <c r="O298" s="5053"/>
      <c r="P298" s="5053"/>
      <c r="Q298" s="5053"/>
      <c r="R298" s="5053"/>
      <c r="S298" s="5053"/>
      <c r="T298" s="5053"/>
      <c r="U298" s="5055"/>
      <c r="V298" s="5055"/>
      <c r="W298" s="5055"/>
      <c r="X298" s="5055"/>
      <c r="Y298" s="5055"/>
    </row>
    <row customHeight="true" ht="16.071428571428573" r="299">
      <c r="A299" s="5055"/>
      <c r="B299" s="5055"/>
      <c r="C299" s="5055"/>
      <c r="D299" s="5055"/>
      <c r="E299" s="5055"/>
      <c r="F299" s="5055"/>
      <c r="G299" s="5055"/>
      <c r="H299" s="5189"/>
      <c r="I299" s="5055"/>
      <c r="J299" s="5055"/>
      <c r="K299" s="5055"/>
      <c r="L299" s="5055"/>
      <c r="M299" s="5055"/>
      <c r="N299" s="5055"/>
      <c r="O299" s="5055"/>
      <c r="P299" s="5055"/>
      <c r="Q299" s="5055"/>
      <c r="R299" s="5055"/>
      <c r="S299" s="5055"/>
      <c r="T299" s="5055"/>
      <c r="U299" s="5055"/>
      <c r="V299" s="5055"/>
      <c r="W299" s="5055"/>
      <c r="X299" s="5055"/>
      <c r="Y299" s="5055"/>
    </row>
    <row customHeight="true" ht="16.071428571428573" r="300">
      <c r="A300" s="5265" t="s">
        <v>5107</v>
      </c>
      <c r="B300" s="5266"/>
      <c r="C300" s="5266"/>
      <c r="D300" s="5266"/>
      <c r="E300" s="5266"/>
      <c r="F300" s="5266"/>
      <c r="G300" s="5266"/>
      <c r="H300" s="5267"/>
      <c r="I300" s="5266"/>
      <c r="J300" s="5266"/>
      <c r="K300" s="5266"/>
      <c r="L300" s="5266"/>
      <c r="M300" s="5266"/>
      <c r="N300" s="5266"/>
      <c r="O300" s="5266"/>
      <c r="P300" s="5266"/>
      <c r="Q300" s="5266"/>
      <c r="R300" s="5266"/>
      <c r="S300" s="5266"/>
      <c r="T300" s="5266"/>
      <c r="U300" s="5266"/>
      <c r="V300" s="5266"/>
      <c r="W300" s="5266"/>
      <c r="X300" s="5266"/>
      <c r="Y300" s="5266"/>
    </row>
    <row customHeight="true" ht="16.071428571428573" r="301">
      <c r="A301" s="5268" t="s">
        <v>4861</v>
      </c>
      <c r="B301" s="5269" t="s">
        <v>4862</v>
      </c>
      <c r="C301" s="5269"/>
      <c r="D301" s="5270" t="s">
        <v>4863</v>
      </c>
      <c r="E301" s="5271" t="s">
        <v>4864</v>
      </c>
      <c r="F301" s="5271" t="s">
        <v>4865</v>
      </c>
      <c r="G301" s="5272" t="s">
        <v>4877</v>
      </c>
      <c r="H301" s="5271" t="s">
        <v>4867</v>
      </c>
      <c r="I301" s="5271" t="s">
        <v>4868</v>
      </c>
      <c r="J301" s="5271" t="s">
        <v>4869</v>
      </c>
      <c r="K301" s="5273"/>
      <c r="L301" s="5273"/>
      <c r="M301" s="5273"/>
      <c r="N301" s="5273"/>
      <c r="O301" s="5273"/>
      <c r="P301" s="5273"/>
      <c r="Q301" s="5273"/>
      <c r="R301" s="5273"/>
      <c r="S301" s="5273"/>
      <c r="T301" s="5266"/>
      <c r="U301" s="5266"/>
      <c r="V301" s="5266"/>
      <c r="W301" s="5266"/>
      <c r="X301" s="5266"/>
      <c r="Y301" s="5266"/>
    </row>
    <row customHeight="true" ht="16.071428571428573" r="302">
      <c r="A302" s="5079" t="s">
        <v>5108</v>
      </c>
      <c r="B302" s="5072">
        <v>46241</v>
      </c>
      <c r="C302" s="5079" t="str">
        <v>Friday</v>
      </c>
      <c r="D302" s="5064" t="s">
        <v>5109</v>
      </c>
      <c r="E302" s="5064">
        <v>1.5</v>
      </c>
      <c r="F302" s="5149" t="s">
        <v>5070</v>
      </c>
      <c r="G302" s="5088"/>
      <c r="H302" s="5069"/>
      <c r="I302" s="5069" t="s">
        <v>4875</v>
      </c>
      <c r="J302" s="5069"/>
      <c r="K302" s="5053"/>
      <c r="L302" s="5053"/>
      <c r="M302" s="5053"/>
      <c r="N302" s="5053"/>
      <c r="O302" s="5053"/>
      <c r="P302" s="5053"/>
      <c r="Q302" s="5053"/>
      <c r="R302" s="5053"/>
      <c r="S302" s="5053"/>
      <c r="T302" s="5053"/>
      <c r="U302" s="5055"/>
      <c r="V302" s="5055"/>
      <c r="W302" s="5055"/>
      <c r="X302" s="5055"/>
      <c r="Y302" s="5055"/>
    </row>
    <row customHeight="true" ht="16.071428571428573" r="303">
      <c r="A303" s="5079" t="s">
        <v>5108</v>
      </c>
      <c r="B303" s="5072">
        <v>46241</v>
      </c>
      <c r="C303" s="5079" t="str">
        <v>Friday</v>
      </c>
      <c r="D303" s="5064" t="s">
        <v>5110</v>
      </c>
      <c r="E303" s="5064">
        <v>2</v>
      </c>
      <c r="F303" s="5197" t="s">
        <v>5090</v>
      </c>
      <c r="G303" s="5088"/>
      <c r="H303" s="5069"/>
      <c r="I303" s="5069" t="s">
        <v>4875</v>
      </c>
      <c r="J303" s="5069"/>
      <c r="K303" s="5053"/>
      <c r="L303" s="5053"/>
      <c r="M303" s="5053"/>
      <c r="N303" s="5053"/>
      <c r="O303" s="5053"/>
      <c r="P303" s="5053"/>
      <c r="Q303" s="5053"/>
      <c r="R303" s="5053"/>
      <c r="S303" s="5053"/>
      <c r="T303" s="5053"/>
      <c r="U303" s="5055"/>
      <c r="V303" s="5055"/>
      <c r="W303" s="5055"/>
      <c r="X303" s="5055"/>
      <c r="Y303" s="5055"/>
    </row>
    <row customHeight="true" ht="16.071428571428573" r="304">
      <c r="A304" s="5274"/>
      <c r="B304" s="5275"/>
      <c r="C304" s="5275"/>
      <c r="D304" s="5276"/>
      <c r="E304" s="5277"/>
      <c r="F304" s="5277"/>
      <c r="G304" s="5278"/>
      <c r="H304" s="5277"/>
      <c r="I304" s="5277"/>
      <c r="J304" s="5277"/>
      <c r="K304" s="5239"/>
      <c r="L304" s="5239"/>
      <c r="M304" s="5239"/>
      <c r="N304" s="5239"/>
      <c r="O304" s="5239"/>
      <c r="P304" s="5239"/>
      <c r="Q304" s="5239"/>
      <c r="R304" s="5239"/>
      <c r="S304" s="5239"/>
      <c r="T304" s="5240"/>
      <c r="U304" s="5240"/>
      <c r="V304" s="5240"/>
      <c r="W304" s="5240"/>
      <c r="X304" s="5240"/>
      <c r="Y304" s="5240"/>
    </row>
    <row customHeight="true" ht="16.071428571428573" r="305">
      <c r="A305" s="5274"/>
      <c r="B305" s="5275"/>
      <c r="C305" s="5275"/>
      <c r="D305" s="5276"/>
      <c r="E305" s="5277"/>
      <c r="F305" s="5277"/>
      <c r="G305" s="5278"/>
      <c r="H305" s="5277"/>
      <c r="I305" s="5277"/>
      <c r="J305" s="5277"/>
      <c r="K305" s="5239"/>
      <c r="L305" s="5239"/>
      <c r="M305" s="5239"/>
      <c r="N305" s="5239"/>
      <c r="O305" s="5239"/>
      <c r="P305" s="5239"/>
      <c r="Q305" s="5239"/>
      <c r="R305" s="5239"/>
      <c r="S305" s="5239"/>
      <c r="T305" s="5240"/>
      <c r="U305" s="5240"/>
      <c r="V305" s="5240"/>
      <c r="W305" s="5240"/>
      <c r="X305" s="5240"/>
      <c r="Y305" s="5240"/>
    </row>
    <row customHeight="true" ht="16.071428571428573" r="306">
      <c r="A306" s="5055"/>
      <c r="B306" s="5055"/>
      <c r="C306" s="5055"/>
      <c r="D306" s="5055"/>
      <c r="E306" s="5055"/>
      <c r="F306" s="5055"/>
      <c r="G306" s="5055"/>
      <c r="H306" s="5189"/>
      <c r="I306" s="5055"/>
      <c r="J306" s="5055"/>
      <c r="K306" s="5055"/>
      <c r="L306" s="5055"/>
      <c r="M306" s="5055"/>
      <c r="N306" s="5055"/>
      <c r="O306" s="5055"/>
      <c r="P306" s="5055"/>
      <c r="Q306" s="5055"/>
      <c r="R306" s="5055"/>
      <c r="S306" s="5055"/>
      <c r="T306" s="5055"/>
      <c r="U306" s="5055"/>
      <c r="V306" s="5055"/>
      <c r="W306" s="5055"/>
      <c r="X306" s="5055"/>
      <c r="Y306" s="5055"/>
    </row>
    <row r="307">
      <c r="A307" s="5279" t="s">
        <v>5111</v>
      </c>
      <c r="B307" s="5279"/>
      <c r="C307" s="5279"/>
      <c r="D307" s="5279"/>
      <c r="E307" s="5279"/>
      <c r="F307" s="5279"/>
      <c r="G307" s="5279"/>
      <c r="H307" s="5279"/>
      <c r="I307" s="5279"/>
      <c r="J307" s="5279"/>
      <c r="K307" s="5053"/>
      <c r="L307" s="5053"/>
      <c r="M307" s="5053"/>
      <c r="N307" s="5053"/>
      <c r="O307" s="5053"/>
      <c r="P307" s="5053"/>
      <c r="Q307" s="5053"/>
      <c r="R307" s="5053"/>
      <c r="S307" s="5053"/>
      <c r="T307" s="5053"/>
      <c r="U307" s="5055"/>
      <c r="V307" s="5055"/>
      <c r="W307" s="5055"/>
      <c r="X307" s="5055"/>
      <c r="Y307" s="5055"/>
    </row>
    <row r="308">
      <c r="A308" s="5280" t="s">
        <v>4861</v>
      </c>
      <c r="B308" s="5164" t="s">
        <v>4862</v>
      </c>
      <c r="C308" s="5164"/>
      <c r="D308" s="5166" t="s">
        <v>4863</v>
      </c>
      <c r="E308" s="5169" t="s">
        <v>4864</v>
      </c>
      <c r="F308" s="5169" t="s">
        <v>4865</v>
      </c>
      <c r="G308" s="5281" t="s">
        <v>4877</v>
      </c>
      <c r="H308" s="5169" t="s">
        <v>4867</v>
      </c>
      <c r="I308" s="5169" t="s">
        <v>4868</v>
      </c>
      <c r="J308" s="5169" t="s">
        <v>4869</v>
      </c>
      <c r="K308" s="5053"/>
      <c r="L308" s="5053"/>
      <c r="M308" s="5053"/>
      <c r="N308" s="5053"/>
      <c r="O308" s="5053"/>
      <c r="P308" s="5053"/>
      <c r="Q308" s="5053"/>
      <c r="R308" s="5053"/>
      <c r="S308" s="5053"/>
      <c r="T308" s="5055"/>
      <c r="U308" s="5055"/>
      <c r="V308" s="5055"/>
      <c r="W308" s="5055"/>
      <c r="X308" s="5055"/>
      <c r="Y308" s="5055"/>
    </row>
    <row r="309">
      <c r="A309" s="5079" t="s">
        <v>5112</v>
      </c>
      <c r="B309" s="5072">
        <v>46237</v>
      </c>
      <c r="C309" s="5079" t="str">
        <v>Monday</v>
      </c>
      <c r="D309" s="5064" t="s">
        <v>5002</v>
      </c>
      <c r="E309" s="5068">
        <f t="shared" ref="E309:E320" si="57">24*MOD(TIMEVALUE(TRIM(MID(D309,FIND("-",D309)+1,LEN(D309)))) - TIMEVALUE(TRIM(LEFT(D309,FIND("-",D309)-1))),1)</f>
      </c>
      <c r="F309" s="5069" t="s">
        <v>5113</v>
      </c>
      <c r="G309" s="5146" t="s">
        <v>5101</v>
      </c>
      <c r="H309" s="5068" t="s">
        <v>4859</v>
      </c>
      <c r="I309" s="5069" t="s">
        <v>4846</v>
      </c>
      <c r="J309" s="5068"/>
      <c r="K309" s="5053"/>
      <c r="L309" s="5053"/>
      <c r="M309" s="5053"/>
      <c r="N309" s="5053"/>
      <c r="O309" s="5053"/>
      <c r="P309" s="5053"/>
      <c r="Q309" s="5053"/>
      <c r="R309" s="5053"/>
      <c r="S309" s="5053"/>
      <c r="T309" s="5053"/>
      <c r="U309" s="5055"/>
      <c r="V309" s="5055"/>
      <c r="W309" s="5055"/>
      <c r="X309" s="5055"/>
      <c r="Y309" s="5055"/>
    </row>
    <row r="310">
      <c r="A310" s="5079" t="s">
        <v>5112</v>
      </c>
      <c r="B310" s="5072">
        <v>46237</v>
      </c>
      <c r="C310" s="5079" t="str">
        <v>Monday</v>
      </c>
      <c r="D310" s="5064" t="s">
        <v>5114</v>
      </c>
      <c r="E310" s="5068">
        <f t="shared" si="57"/>
      </c>
      <c r="F310" s="5069" t="s">
        <v>5115</v>
      </c>
      <c r="G310" s="5282" t="s">
        <v>5116</v>
      </c>
      <c r="H310" s="5068" t="s">
        <v>4859</v>
      </c>
      <c r="I310" s="5069" t="s">
        <v>4846</v>
      </c>
      <c r="J310" s="5068"/>
      <c r="K310" s="5053"/>
      <c r="L310" s="5053"/>
      <c r="M310" s="5053"/>
      <c r="N310" s="5053"/>
      <c r="O310" s="5053"/>
      <c r="P310" s="5053"/>
      <c r="Q310" s="5053"/>
      <c r="R310" s="5053"/>
      <c r="S310" s="5053"/>
      <c r="T310" s="5053"/>
      <c r="U310" s="5055"/>
      <c r="V310" s="5055"/>
      <c r="W310" s="5055"/>
      <c r="X310" s="5055"/>
      <c r="Y310" s="5055"/>
    </row>
    <row r="311">
      <c r="A311" s="5079" t="s">
        <v>5112</v>
      </c>
      <c r="B311" s="5072">
        <v>46237</v>
      </c>
      <c r="C311" s="5079" t="str">
        <v>Monday</v>
      </c>
      <c r="D311" s="5064" t="s">
        <v>4979</v>
      </c>
      <c r="E311" s="5068">
        <f t="shared" si="57"/>
      </c>
      <c r="F311" s="5069" t="s">
        <v>5106</v>
      </c>
      <c r="G311" s="5146" t="s">
        <v>5117</v>
      </c>
      <c r="H311" s="5068" t="s">
        <v>4859</v>
      </c>
      <c r="I311" s="5069" t="s">
        <v>4846</v>
      </c>
      <c r="J311" s="5068"/>
      <c r="K311" s="5053"/>
      <c r="L311" s="5053"/>
      <c r="M311" s="5053"/>
      <c r="N311" s="5053"/>
      <c r="O311" s="5053"/>
      <c r="P311" s="5053"/>
      <c r="Q311" s="5053"/>
      <c r="R311" s="5053"/>
      <c r="S311" s="5053"/>
      <c r="T311" s="5053"/>
      <c r="U311" s="5055"/>
      <c r="V311" s="5055"/>
      <c r="W311" s="5055"/>
      <c r="X311" s="5055"/>
      <c r="Y311" s="5055"/>
    </row>
    <row r="312">
      <c r="A312" s="5079" t="s">
        <v>5112</v>
      </c>
      <c r="B312" s="5072">
        <v>46237</v>
      </c>
      <c r="C312" s="5079" t="str">
        <v>Monday</v>
      </c>
      <c r="D312" s="5064" t="s">
        <v>5040</v>
      </c>
      <c r="E312" s="5068">
        <f t="shared" si="57"/>
      </c>
      <c r="F312" s="5069" t="s">
        <v>5118</v>
      </c>
      <c r="G312" s="5146" t="s">
        <v>5119</v>
      </c>
      <c r="H312" s="5068" t="s">
        <v>4859</v>
      </c>
      <c r="I312" s="5069" t="s">
        <v>4846</v>
      </c>
      <c r="J312" s="5068"/>
      <c r="K312" s="5053"/>
      <c r="L312" s="5053"/>
      <c r="M312" s="5053"/>
      <c r="N312" s="5053"/>
      <c r="O312" s="5053"/>
      <c r="P312" s="5053"/>
      <c r="Q312" s="5053"/>
      <c r="R312" s="5053"/>
      <c r="S312" s="5053"/>
      <c r="T312" s="5053"/>
      <c r="U312" s="5055"/>
      <c r="V312" s="5055"/>
      <c r="W312" s="5055"/>
      <c r="X312" s="5055"/>
      <c r="Y312" s="5055"/>
    </row>
    <row customHeight="true" ht="18.452380952380953" r="313">
      <c r="A313" s="5079" t="s">
        <v>5112</v>
      </c>
      <c r="B313" s="5072">
        <v>46237</v>
      </c>
      <c r="C313" s="5079" t="str">
        <v>Monday</v>
      </c>
      <c r="D313" s="5064" t="s">
        <v>5120</v>
      </c>
      <c r="E313" s="5068">
        <f t="shared" si="57"/>
      </c>
      <c r="F313" s="5283" t="s">
        <v>4908</v>
      </c>
      <c r="G313" s="5146" t="s">
        <v>5121</v>
      </c>
      <c r="H313" s="5068" t="s">
        <v>4859</v>
      </c>
      <c r="I313" s="5069" t="s">
        <v>4875</v>
      </c>
      <c r="J313" s="5068"/>
      <c r="K313" s="5053"/>
      <c r="L313" s="5053"/>
      <c r="M313" s="5053"/>
      <c r="N313" s="5053"/>
      <c r="O313" s="5053"/>
      <c r="P313" s="5053"/>
      <c r="Q313" s="5053"/>
      <c r="R313" s="5053"/>
      <c r="S313" s="5053"/>
      <c r="T313" s="5053"/>
      <c r="U313" s="5055"/>
      <c r="V313" s="5055"/>
      <c r="W313" s="5055"/>
      <c r="X313" s="5055"/>
      <c r="Y313" s="5055"/>
    </row>
    <row customHeight="true" ht="18.452380952380953" r="314">
      <c r="A314" s="5079" t="s">
        <v>5122</v>
      </c>
      <c r="B314" s="5072">
        <v>46237</v>
      </c>
      <c r="C314" s="5079" t="str">
        <v>Monday</v>
      </c>
      <c r="D314" s="5237" t="s">
        <v>5123</v>
      </c>
      <c r="E314" s="5284">
        <f t="shared" si="57"/>
      </c>
      <c r="F314" s="5196" t="s">
        <v>5124</v>
      </c>
      <c r="G314" s="5285"/>
      <c r="H314" s="5068" t="s">
        <v>4859</v>
      </c>
      <c r="I314" s="5069" t="s">
        <v>4846</v>
      </c>
      <c r="J314" s="5284"/>
      <c r="K314" s="5286"/>
      <c r="L314" s="5286"/>
      <c r="M314" s="5286"/>
      <c r="N314" s="5286"/>
      <c r="O314" s="5286"/>
      <c r="P314" s="5286"/>
      <c r="Q314" s="5286"/>
      <c r="R314" s="5286"/>
      <c r="S314" s="5286"/>
      <c r="T314" s="5286"/>
      <c r="U314" s="5287"/>
      <c r="V314" s="5287"/>
      <c r="W314" s="5287"/>
      <c r="X314" s="5287"/>
      <c r="Y314" s="5287"/>
    </row>
    <row customHeight="true" ht="18.452380952380953" r="315">
      <c r="A315" s="5079" t="s">
        <v>5122</v>
      </c>
      <c r="B315" s="5072">
        <v>46237</v>
      </c>
      <c r="C315" s="5079" t="str">
        <v>Monday</v>
      </c>
      <c r="D315" s="5237" t="s">
        <v>5110</v>
      </c>
      <c r="E315" s="5284">
        <f t="shared" si="57"/>
      </c>
      <c r="F315" s="5196" t="s">
        <v>4895</v>
      </c>
      <c r="G315" s="5285"/>
      <c r="H315" s="5068" t="s">
        <v>4859</v>
      </c>
      <c r="I315" s="5069" t="s">
        <v>4875</v>
      </c>
      <c r="J315" s="5284"/>
      <c r="K315" s="5286"/>
      <c r="L315" s="5286"/>
      <c r="M315" s="5286"/>
      <c r="N315" s="5286"/>
      <c r="O315" s="5286"/>
      <c r="P315" s="5286"/>
      <c r="Q315" s="5286"/>
      <c r="R315" s="5286"/>
      <c r="S315" s="5286"/>
      <c r="T315" s="5286"/>
      <c r="U315" s="5287"/>
      <c r="V315" s="5287"/>
      <c r="W315" s="5287"/>
      <c r="X315" s="5287"/>
      <c r="Y315" s="5287"/>
    </row>
    <row customHeight="true" ht="18.452380952380953" r="316">
      <c r="A316" s="5079" t="s">
        <v>5122</v>
      </c>
      <c r="B316" s="5072">
        <v>46237</v>
      </c>
      <c r="C316" s="5079" t="str">
        <v>Monday</v>
      </c>
      <c r="D316" s="5064" t="s">
        <v>5125</v>
      </c>
      <c r="E316" s="5284">
        <f t="shared" si="57"/>
      </c>
      <c r="F316" s="5283" t="s">
        <v>5126</v>
      </c>
      <c r="G316" s="5285"/>
      <c r="H316" s="5068" t="s">
        <v>4859</v>
      </c>
      <c r="I316" s="5069" t="s">
        <v>4875</v>
      </c>
      <c r="J316" s="5284"/>
      <c r="K316" s="5286"/>
      <c r="L316" s="5286"/>
      <c r="M316" s="5286"/>
      <c r="N316" s="5286"/>
      <c r="O316" s="5286"/>
      <c r="P316" s="5286"/>
      <c r="Q316" s="5286"/>
      <c r="R316" s="5286"/>
      <c r="S316" s="5286"/>
      <c r="T316" s="5286"/>
      <c r="U316" s="5287"/>
      <c r="V316" s="5287"/>
      <c r="W316" s="5287"/>
      <c r="X316" s="5287"/>
      <c r="Y316" s="5287"/>
    </row>
    <row r="317">
      <c r="A317" s="5079" t="s">
        <v>5122</v>
      </c>
      <c r="B317" s="5072">
        <v>46237</v>
      </c>
      <c r="C317" s="5079" t="str">
        <v>Monday</v>
      </c>
      <c r="D317" s="5237" t="s">
        <v>5033</v>
      </c>
      <c r="E317" s="5284">
        <f t="shared" si="57"/>
      </c>
      <c r="F317" s="5196" t="s">
        <v>5124</v>
      </c>
      <c r="G317" s="5285"/>
      <c r="H317" s="5068" t="s">
        <v>4859</v>
      </c>
      <c r="I317" s="5069" t="s">
        <v>4846</v>
      </c>
      <c r="J317" s="5284"/>
      <c r="K317" s="5286"/>
      <c r="L317" s="5286"/>
      <c r="M317" s="5286"/>
      <c r="N317" s="5286"/>
      <c r="O317" s="5286"/>
      <c r="P317" s="5286"/>
      <c r="Q317" s="5286"/>
      <c r="R317" s="5286"/>
      <c r="S317" s="5286"/>
      <c r="T317" s="5286"/>
      <c r="U317" s="5287"/>
      <c r="V317" s="5287"/>
      <c r="W317" s="5287"/>
      <c r="X317" s="5287"/>
      <c r="Y317" s="5287"/>
    </row>
    <row customHeight="true" ht="18.452380952380953" r="318">
      <c r="A318" s="5079" t="s">
        <v>5127</v>
      </c>
      <c r="B318" s="5072">
        <v>46237</v>
      </c>
      <c r="C318" s="5079" t="str">
        <v>Monday</v>
      </c>
      <c r="D318" s="5064" t="s">
        <v>5020</v>
      </c>
      <c r="E318" s="5284">
        <f t="shared" si="57"/>
      </c>
      <c r="F318" s="5069" t="s">
        <v>5106</v>
      </c>
      <c r="G318" s="5095"/>
      <c r="H318" s="5069" t="s">
        <v>4859</v>
      </c>
      <c r="I318" s="5069" t="s">
        <v>4846</v>
      </c>
      <c r="J318" s="5069"/>
      <c r="K318" s="5053"/>
      <c r="L318" s="5053"/>
      <c r="M318" s="5053"/>
      <c r="N318" s="5053"/>
      <c r="O318" s="5053"/>
      <c r="P318" s="5053"/>
      <c r="Q318" s="5053"/>
      <c r="R318" s="5053"/>
      <c r="S318" s="5053"/>
      <c r="T318" s="5053"/>
      <c r="U318" s="5054"/>
      <c r="V318" s="5054"/>
      <c r="W318" s="5054"/>
      <c r="X318" s="5054"/>
      <c r="Y318" s="5054"/>
    </row>
    <row customHeight="true" ht="18.452380952380953" r="319">
      <c r="A319" s="5079" t="s">
        <v>5127</v>
      </c>
      <c r="B319" s="5072">
        <v>46237</v>
      </c>
      <c r="C319" s="5079" t="str">
        <v>Monday</v>
      </c>
      <c r="D319" s="5064" t="s">
        <v>5128</v>
      </c>
      <c r="E319" s="5284">
        <f t="shared" si="57"/>
      </c>
      <c r="F319" s="5069" t="s">
        <v>5115</v>
      </c>
      <c r="G319" s="5095"/>
      <c r="H319" s="5069" t="s">
        <v>4859</v>
      </c>
      <c r="I319" s="5069" t="s">
        <v>4875</v>
      </c>
      <c r="J319" s="5069"/>
      <c r="K319" s="5053"/>
      <c r="L319" s="5053"/>
      <c r="M319" s="5053"/>
      <c r="N319" s="5053"/>
      <c r="O319" s="5053"/>
      <c r="P319" s="5053"/>
      <c r="Q319" s="5053"/>
      <c r="R319" s="5053"/>
      <c r="S319" s="5053"/>
      <c r="T319" s="5053"/>
      <c r="U319" s="5054"/>
      <c r="V319" s="5054"/>
      <c r="W319" s="5054"/>
      <c r="X319" s="5054"/>
      <c r="Y319" s="5054"/>
    </row>
    <row customHeight="true" ht="18.452380952380953" r="320">
      <c r="A320" s="5079" t="s">
        <v>5127</v>
      </c>
      <c r="B320" s="5072">
        <v>46237</v>
      </c>
      <c r="C320" s="5079" t="str">
        <v>Monday</v>
      </c>
      <c r="D320" s="5064" t="s">
        <v>5105</v>
      </c>
      <c r="E320" s="5284">
        <f t="shared" si="57"/>
      </c>
      <c r="F320" s="5069" t="s">
        <v>5118</v>
      </c>
      <c r="G320" s="5095"/>
      <c r="H320" s="5069" t="s">
        <v>4859</v>
      </c>
      <c r="I320" s="5069" t="s">
        <v>4875</v>
      </c>
      <c r="J320" s="5069"/>
      <c r="K320" s="5053"/>
      <c r="L320" s="5053"/>
      <c r="M320" s="5053"/>
      <c r="N320" s="5053"/>
      <c r="O320" s="5053"/>
      <c r="P320" s="5053"/>
      <c r="Q320" s="5053"/>
      <c r="R320" s="5053"/>
      <c r="S320" s="5053"/>
      <c r="T320" s="5053"/>
      <c r="U320" s="5054"/>
      <c r="V320" s="5054"/>
      <c r="W320" s="5054"/>
      <c r="X320" s="5054"/>
      <c r="Y320" s="5054"/>
    </row>
    <row customHeight="true" ht="18.452380952380953" r="321">
      <c r="A321" s="5079"/>
      <c r="B321" s="5079"/>
      <c r="C321" s="5079"/>
      <c r="D321" s="5237"/>
      <c r="E321" s="5284"/>
      <c r="F321" s="5196"/>
      <c r="G321" s="5285"/>
      <c r="H321" s="5068"/>
      <c r="I321" s="5069" t="s">
        <v>4875</v>
      </c>
      <c r="J321" s="5284"/>
      <c r="K321" s="5286"/>
      <c r="L321" s="5286"/>
      <c r="M321" s="5286"/>
      <c r="N321" s="5286"/>
      <c r="O321" s="5286"/>
      <c r="P321" s="5286"/>
      <c r="Q321" s="5286"/>
      <c r="R321" s="5286"/>
      <c r="S321" s="5286"/>
      <c r="T321" s="5286"/>
      <c r="U321" s="5287"/>
      <c r="V321" s="5287"/>
      <c r="W321" s="5287"/>
      <c r="X321" s="5287"/>
      <c r="Y321" s="5287"/>
    </row>
    <row r="322">
      <c r="A322" s="5288" t="s">
        <v>5112</v>
      </c>
      <c r="B322" s="5289">
        <v>46238</v>
      </c>
      <c r="C322" s="5288" t="str">
        <v>Tuesday</v>
      </c>
      <c r="D322" s="5290" t="s">
        <v>5002</v>
      </c>
      <c r="E322" s="5291">
        <f t="shared" ref="E322:E335" si="58">24*MOD(TIMEVALUE(TRIM(MID(D322,FIND("-",D322)+1,LEN(D322)))) - TIMEVALUE(TRIM(LEFT(D322,FIND("-",D322)-1))),1)</f>
      </c>
      <c r="F322" s="5291" t="s">
        <v>5115</v>
      </c>
      <c r="G322" s="5292" t="s">
        <v>5101</v>
      </c>
      <c r="H322" s="5068" t="s">
        <v>4859</v>
      </c>
      <c r="I322" s="5069" t="s">
        <v>4846</v>
      </c>
      <c r="J322" s="5293"/>
      <c r="K322" s="5286"/>
      <c r="L322" s="5286"/>
      <c r="M322" s="5286"/>
      <c r="N322" s="5286"/>
      <c r="O322" s="5286"/>
      <c r="P322" s="5286"/>
      <c r="Q322" s="5286"/>
      <c r="R322" s="5286"/>
      <c r="S322" s="5286"/>
      <c r="T322" s="5286"/>
      <c r="U322" s="5055"/>
      <c r="V322" s="5055"/>
      <c r="W322" s="5055"/>
      <c r="X322" s="5055"/>
      <c r="Y322" s="5055"/>
    </row>
    <row r="323">
      <c r="A323" s="5288" t="s">
        <v>5112</v>
      </c>
      <c r="B323" s="5289">
        <v>46238</v>
      </c>
      <c r="C323" s="5288" t="str">
        <v>Tuesday</v>
      </c>
      <c r="D323" s="5290" t="s">
        <v>5123</v>
      </c>
      <c r="E323" s="5291">
        <f t="shared" si="58"/>
      </c>
      <c r="F323" s="5294" t="s">
        <v>4908</v>
      </c>
      <c r="G323" s="5292" t="s">
        <v>5129</v>
      </c>
      <c r="H323" s="5068" t="s">
        <v>4859</v>
      </c>
      <c r="I323" s="5069" t="s">
        <v>4875</v>
      </c>
      <c r="J323" s="5293"/>
      <c r="K323" s="5286"/>
      <c r="L323" s="5286"/>
      <c r="M323" s="5286"/>
      <c r="N323" s="5286"/>
      <c r="O323" s="5286"/>
      <c r="P323" s="5286"/>
      <c r="Q323" s="5286"/>
      <c r="R323" s="5286"/>
      <c r="S323" s="5286"/>
      <c r="T323" s="5286"/>
      <c r="U323" s="5055"/>
      <c r="V323" s="5055"/>
      <c r="W323" s="5055"/>
      <c r="X323" s="5055"/>
      <c r="Y323" s="5055"/>
    </row>
    <row customHeight="true" ht="18.452380952380953" r="324">
      <c r="A324" s="5288" t="s">
        <v>5112</v>
      </c>
      <c r="B324" s="5289">
        <v>46238</v>
      </c>
      <c r="C324" s="5288" t="str">
        <v>Tuesday</v>
      </c>
      <c r="D324" s="5290" t="s">
        <v>5020</v>
      </c>
      <c r="E324" s="5291">
        <f t="shared" si="58"/>
      </c>
      <c r="F324" s="5291" t="s">
        <v>5130</v>
      </c>
      <c r="G324" s="5292" t="s">
        <v>5131</v>
      </c>
      <c r="H324" s="5068" t="s">
        <v>4859</v>
      </c>
      <c r="I324" s="5069" t="s">
        <v>4846</v>
      </c>
      <c r="J324" s="5293"/>
      <c r="K324" s="5286"/>
      <c r="L324" s="5286"/>
      <c r="M324" s="5286"/>
      <c r="N324" s="5286"/>
      <c r="O324" s="5286"/>
      <c r="P324" s="5286"/>
      <c r="Q324" s="5286"/>
      <c r="R324" s="5286"/>
      <c r="S324" s="5286"/>
      <c r="T324" s="5286"/>
      <c r="U324" s="5055"/>
      <c r="V324" s="5055"/>
      <c r="W324" s="5055"/>
      <c r="X324" s="5055"/>
      <c r="Y324" s="5055"/>
    </row>
    <row r="325">
      <c r="A325" s="5288" t="s">
        <v>5112</v>
      </c>
      <c r="B325" s="5289">
        <v>46238</v>
      </c>
      <c r="C325" s="5288" t="str">
        <v>Tuesday</v>
      </c>
      <c r="D325" s="5290" t="s">
        <v>4979</v>
      </c>
      <c r="E325" s="5291">
        <f t="shared" si="58"/>
      </c>
      <c r="F325" s="5294" t="s">
        <v>4908</v>
      </c>
      <c r="G325" s="5292" t="s">
        <v>5132</v>
      </c>
      <c r="H325" s="5068" t="s">
        <v>4859</v>
      </c>
      <c r="I325" s="5069" t="s">
        <v>4875</v>
      </c>
      <c r="J325" s="5293"/>
      <c r="K325" s="5286"/>
      <c r="L325" s="5286"/>
      <c r="M325" s="5286"/>
      <c r="N325" s="5286"/>
      <c r="O325" s="5286"/>
      <c r="P325" s="5286"/>
      <c r="Q325" s="5286"/>
      <c r="R325" s="5286"/>
      <c r="S325" s="5286"/>
      <c r="T325" s="5286"/>
      <c r="U325" s="5055"/>
      <c r="V325" s="5055"/>
      <c r="W325" s="5055"/>
      <c r="X325" s="5055"/>
      <c r="Y325" s="5055"/>
    </row>
    <row r="326">
      <c r="A326" s="5288" t="s">
        <v>5112</v>
      </c>
      <c r="B326" s="5289">
        <v>46238</v>
      </c>
      <c r="C326" s="5288" t="str">
        <v>Tuesday</v>
      </c>
      <c r="D326" s="5290" t="s">
        <v>5125</v>
      </c>
      <c r="E326" s="5291">
        <f t="shared" si="58"/>
      </c>
      <c r="F326" s="5294" t="s">
        <v>5106</v>
      </c>
      <c r="G326" s="5292" t="s">
        <v>5133</v>
      </c>
      <c r="H326" s="5068" t="s">
        <v>4859</v>
      </c>
      <c r="I326" s="5069" t="s">
        <v>4846</v>
      </c>
      <c r="J326" s="5293"/>
      <c r="K326" s="5286"/>
      <c r="L326" s="5286"/>
      <c r="M326" s="5286"/>
      <c r="N326" s="5286"/>
      <c r="O326" s="5286"/>
      <c r="P326" s="5286"/>
      <c r="Q326" s="5286"/>
      <c r="R326" s="5286"/>
      <c r="S326" s="5286"/>
      <c r="T326" s="5286"/>
      <c r="U326" s="5055"/>
      <c r="V326" s="5055"/>
      <c r="W326" s="5055"/>
      <c r="X326" s="5055"/>
      <c r="Y326" s="5055"/>
    </row>
    <row customHeight="true" ht="18.452380952380953" r="327">
      <c r="A327" s="5288" t="s">
        <v>5112</v>
      </c>
      <c r="B327" s="5289">
        <v>46238</v>
      </c>
      <c r="C327" s="5288" t="str">
        <v>Tuesday</v>
      </c>
      <c r="D327" s="5290" t="s">
        <v>5134</v>
      </c>
      <c r="E327" s="5291">
        <f t="shared" si="58"/>
      </c>
      <c r="F327" s="5295" t="s">
        <v>5113</v>
      </c>
      <c r="G327" s="5292" t="s">
        <v>5135</v>
      </c>
      <c r="H327" s="5068" t="s">
        <v>4859</v>
      </c>
      <c r="I327" s="5069" t="s">
        <v>4846</v>
      </c>
      <c r="J327" s="5293"/>
      <c r="K327" s="5286"/>
      <c r="L327" s="5286"/>
      <c r="M327" s="5286"/>
      <c r="N327" s="5286"/>
      <c r="O327" s="5286"/>
      <c r="P327" s="5286"/>
      <c r="Q327" s="5286"/>
      <c r="R327" s="5286"/>
      <c r="S327" s="5286"/>
      <c r="T327" s="5286"/>
      <c r="U327" s="5055"/>
      <c r="V327" s="5055"/>
      <c r="W327" s="5055"/>
      <c r="X327" s="5055"/>
      <c r="Y327" s="5055"/>
    </row>
    <row r="328">
      <c r="A328" s="5288" t="s">
        <v>5122</v>
      </c>
      <c r="B328" s="5289">
        <v>46238</v>
      </c>
      <c r="C328" s="5288" t="str">
        <v>Tuesday</v>
      </c>
      <c r="D328" s="5296" t="s">
        <v>5007</v>
      </c>
      <c r="E328" s="5291">
        <f t="shared" si="58"/>
      </c>
      <c r="F328" s="5291" t="s">
        <v>5038</v>
      </c>
      <c r="G328" s="5297"/>
      <c r="H328" s="5196" t="s">
        <v>4859</v>
      </c>
      <c r="I328" s="5069" t="s">
        <v>4846</v>
      </c>
      <c r="J328" s="5298"/>
      <c r="K328" s="5161"/>
      <c r="L328" s="5161"/>
      <c r="M328" s="5161"/>
      <c r="N328" s="5161"/>
      <c r="O328" s="5161"/>
      <c r="P328" s="5161"/>
      <c r="Q328" s="5161"/>
      <c r="R328" s="5161"/>
      <c r="S328" s="5161"/>
      <c r="T328" s="5161"/>
      <c r="U328" s="5055"/>
      <c r="V328" s="5055"/>
      <c r="W328" s="5055"/>
      <c r="X328" s="5055"/>
      <c r="Y328" s="5055"/>
    </row>
    <row customHeight="true" ht="18.452380952380953" r="329">
      <c r="A329" s="5299" t="s">
        <v>5122</v>
      </c>
      <c r="B329" s="5289">
        <v>46238</v>
      </c>
      <c r="C329" s="5299" t="str">
        <v>Tuesday</v>
      </c>
      <c r="D329" s="5290" t="s">
        <v>4990</v>
      </c>
      <c r="E329" s="5300">
        <f t="shared" si="58"/>
      </c>
      <c r="F329" s="5295" t="s">
        <v>5124</v>
      </c>
      <c r="G329" s="5301"/>
      <c r="H329" s="5196" t="s">
        <v>4859</v>
      </c>
      <c r="I329" s="5069" t="s">
        <v>4846</v>
      </c>
      <c r="J329" s="5300"/>
      <c r="K329" s="5302"/>
      <c r="L329" s="5302"/>
      <c r="M329" s="5302"/>
      <c r="N329" s="5302"/>
      <c r="O329" s="5302"/>
      <c r="P329" s="5302"/>
      <c r="Q329" s="5302"/>
      <c r="R329" s="5302"/>
      <c r="S329" s="5302"/>
      <c r="T329" s="5302"/>
      <c r="U329" s="5303"/>
      <c r="V329" s="5303"/>
      <c r="W329" s="5303"/>
      <c r="X329" s="5303"/>
      <c r="Y329" s="5303"/>
    </row>
    <row r="330">
      <c r="A330" s="5288" t="s">
        <v>5122</v>
      </c>
      <c r="B330" s="5289">
        <v>46238</v>
      </c>
      <c r="C330" s="5288" t="str">
        <v>Tuesday</v>
      </c>
      <c r="D330" s="5290" t="s">
        <v>5136</v>
      </c>
      <c r="E330" s="5293">
        <f t="shared" si="58"/>
      </c>
      <c r="F330" s="5300" t="s">
        <v>5137</v>
      </c>
      <c r="G330" s="5297"/>
      <c r="H330" s="5196" t="s">
        <v>4859</v>
      </c>
      <c r="I330" s="5069" t="s">
        <v>4846</v>
      </c>
      <c r="J330" s="5298"/>
      <c r="K330" s="5161"/>
      <c r="L330" s="5161"/>
      <c r="M330" s="5161"/>
      <c r="N330" s="5161"/>
      <c r="O330" s="5161"/>
      <c r="P330" s="5161"/>
      <c r="Q330" s="5161"/>
      <c r="R330" s="5161"/>
      <c r="S330" s="5161"/>
      <c r="T330" s="5161"/>
      <c r="U330" s="5055"/>
      <c r="V330" s="5055"/>
      <c r="W330" s="5055"/>
      <c r="X330" s="5055"/>
      <c r="Y330" s="5055"/>
    </row>
    <row customHeight="true" ht="18.452380952380953" r="331">
      <c r="A331" s="5288" t="s">
        <v>5122</v>
      </c>
      <c r="B331" s="5289">
        <v>46238</v>
      </c>
      <c r="C331" s="5288" t="str">
        <v>Tuesday</v>
      </c>
      <c r="D331" s="5290" t="s">
        <v>5138</v>
      </c>
      <c r="E331" s="5293">
        <f t="shared" si="58"/>
      </c>
      <c r="F331" s="5295" t="s">
        <v>5124</v>
      </c>
      <c r="G331" s="5297"/>
      <c r="H331" s="5196" t="s">
        <v>4859</v>
      </c>
      <c r="I331" s="5069" t="s">
        <v>4846</v>
      </c>
      <c r="J331" s="5298"/>
      <c r="K331" s="5161"/>
      <c r="L331" s="5161"/>
      <c r="M331" s="5161"/>
      <c r="N331" s="5161"/>
      <c r="O331" s="5161"/>
      <c r="P331" s="5161"/>
      <c r="Q331" s="5161"/>
      <c r="R331" s="5161"/>
      <c r="S331" s="5161"/>
      <c r="T331" s="5161"/>
      <c r="U331" s="5055"/>
      <c r="V331" s="5055"/>
      <c r="W331" s="5055"/>
      <c r="X331" s="5055"/>
      <c r="Y331" s="5055"/>
    </row>
    <row r="332">
      <c r="A332" s="5288" t="s">
        <v>5122</v>
      </c>
      <c r="B332" s="5289">
        <v>46238</v>
      </c>
      <c r="C332" s="5288" t="str">
        <v>Tuesday</v>
      </c>
      <c r="D332" s="5290" t="s">
        <v>5139</v>
      </c>
      <c r="E332" s="5293">
        <f t="shared" si="58"/>
      </c>
      <c r="F332" s="5294" t="s">
        <v>5126</v>
      </c>
      <c r="G332" s="5297"/>
      <c r="H332" s="5068" t="s">
        <v>4859</v>
      </c>
      <c r="I332" s="5069" t="s">
        <v>4875</v>
      </c>
      <c r="J332" s="5291"/>
      <c r="K332" s="5161"/>
      <c r="L332" s="5161"/>
      <c r="M332" s="5161"/>
      <c r="N332" s="5161"/>
      <c r="O332" s="5161"/>
      <c r="P332" s="5161"/>
      <c r="Q332" s="5161"/>
      <c r="R332" s="5161"/>
      <c r="S332" s="5161"/>
      <c r="T332" s="5161"/>
      <c r="U332" s="5055"/>
      <c r="V332" s="5055"/>
      <c r="W332" s="5055"/>
      <c r="X332" s="5055"/>
      <c r="Y332" s="5055"/>
    </row>
    <row customHeight="true" ht="18.452380952380953" r="333">
      <c r="A333" s="5288" t="s">
        <v>5127</v>
      </c>
      <c r="B333" s="5289">
        <v>46238</v>
      </c>
      <c r="C333" s="5288" t="str">
        <v>Tuesday</v>
      </c>
      <c r="D333" s="5296" t="s">
        <v>5085</v>
      </c>
      <c r="E333" s="5293">
        <f t="shared" si="58"/>
      </c>
      <c r="F333" s="5291" t="s">
        <v>5130</v>
      </c>
      <c r="G333" s="5297"/>
      <c r="H333" s="5068" t="s">
        <v>4859</v>
      </c>
      <c r="I333" s="5069" t="s">
        <v>4846</v>
      </c>
      <c r="J333" s="5291"/>
      <c r="K333" s="5161"/>
      <c r="L333" s="5161"/>
      <c r="M333" s="5161"/>
      <c r="N333" s="5161"/>
      <c r="O333" s="5161"/>
      <c r="P333" s="5161"/>
      <c r="Q333" s="5161"/>
      <c r="R333" s="5161"/>
      <c r="S333" s="5161"/>
      <c r="T333" s="5161"/>
      <c r="U333" s="5055"/>
      <c r="V333" s="5055"/>
      <c r="W333" s="5055"/>
      <c r="X333" s="5055"/>
      <c r="Y333" s="5055"/>
    </row>
    <row customHeight="true" ht="18.452380952380953" r="334">
      <c r="A334" s="5288" t="s">
        <v>5127</v>
      </c>
      <c r="B334" s="5289">
        <v>46238</v>
      </c>
      <c r="C334" s="5288" t="str">
        <v>Tuesday</v>
      </c>
      <c r="D334" s="5296" t="s">
        <v>5128</v>
      </c>
      <c r="E334" s="5293">
        <f t="shared" si="58"/>
      </c>
      <c r="F334" s="5291" t="s">
        <v>5130</v>
      </c>
      <c r="G334" s="5297"/>
      <c r="H334" s="5068" t="s">
        <v>4859</v>
      </c>
      <c r="I334" s="5069" t="s">
        <v>4846</v>
      </c>
      <c r="J334" s="5291"/>
      <c r="K334" s="5161"/>
      <c r="L334" s="5161"/>
      <c r="M334" s="5161"/>
      <c r="N334" s="5161"/>
      <c r="O334" s="5161"/>
      <c r="P334" s="5161"/>
      <c r="Q334" s="5161"/>
      <c r="R334" s="5161"/>
      <c r="S334" s="5161"/>
      <c r="T334" s="5161"/>
      <c r="U334" s="5055"/>
      <c r="V334" s="5055"/>
      <c r="W334" s="5055"/>
      <c r="X334" s="5055"/>
      <c r="Y334" s="5055"/>
    </row>
    <row customHeight="true" ht="18.452380952380953" r="335">
      <c r="A335" s="5288" t="s">
        <v>5127</v>
      </c>
      <c r="B335" s="5289">
        <v>46238</v>
      </c>
      <c r="C335" s="5288" t="str">
        <v>Tuesday</v>
      </c>
      <c r="D335" s="5296" t="s">
        <v>5003</v>
      </c>
      <c r="E335" s="5293">
        <f t="shared" si="58"/>
      </c>
      <c r="F335" s="5291" t="s">
        <v>5115</v>
      </c>
      <c r="G335" s="5297"/>
      <c r="H335" s="5068" t="s">
        <v>4859</v>
      </c>
      <c r="I335" s="5069" t="s">
        <v>4875</v>
      </c>
      <c r="J335" s="5291"/>
      <c r="K335" s="5161"/>
      <c r="L335" s="5161"/>
      <c r="M335" s="5161"/>
      <c r="N335" s="5161"/>
      <c r="O335" s="5161"/>
      <c r="P335" s="5161"/>
      <c r="Q335" s="5161"/>
      <c r="R335" s="5161"/>
      <c r="S335" s="5161"/>
      <c r="T335" s="5161"/>
      <c r="U335" s="5055"/>
      <c r="V335" s="5055"/>
      <c r="W335" s="5055"/>
      <c r="X335" s="5055"/>
      <c r="Y335" s="5055"/>
    </row>
    <row customHeight="true" ht="18.452380952380953" r="336">
      <c r="A336" s="5288"/>
      <c r="B336" s="5288"/>
      <c r="C336" s="5288"/>
      <c r="D336" s="5296"/>
      <c r="E336" s="5293"/>
      <c r="F336" s="5291"/>
      <c r="G336" s="5297"/>
      <c r="H336" s="5068"/>
      <c r="I336" s="5069" t="s">
        <v>4875</v>
      </c>
      <c r="J336" s="5291"/>
      <c r="K336" s="5161"/>
      <c r="L336" s="5161"/>
      <c r="M336" s="5161"/>
      <c r="N336" s="5161"/>
      <c r="O336" s="5161"/>
      <c r="P336" s="5161"/>
      <c r="Q336" s="5161"/>
      <c r="R336" s="5161"/>
      <c r="S336" s="5161"/>
      <c r="T336" s="5161"/>
      <c r="U336" s="5055"/>
      <c r="V336" s="5055"/>
      <c r="W336" s="5055"/>
      <c r="X336" s="5055"/>
      <c r="Y336" s="5055"/>
    </row>
    <row r="337">
      <c r="A337" s="5079" t="s">
        <v>5112</v>
      </c>
      <c r="B337" s="5072">
        <v>46242</v>
      </c>
      <c r="C337" s="5079" t="str">
        <v>Saturday</v>
      </c>
      <c r="D337" s="5064" t="s">
        <v>5002</v>
      </c>
      <c r="E337" s="5068">
        <f t="shared" ref="E337:E349" si="59">24*MOD(TIMEVALUE(TRIM(MID(D337,FIND("-",D337)+1,LEN(D337)))) - TIMEVALUE(TRIM(LEFT(D337,FIND("-",D337)-1))),1)</f>
      </c>
      <c r="F337" s="5283" t="s">
        <v>5118</v>
      </c>
      <c r="G337" s="5304" t="s">
        <v>5101</v>
      </c>
      <c r="H337" s="5068" t="s">
        <v>4859</v>
      </c>
      <c r="I337" s="5069" t="s">
        <v>4846</v>
      </c>
      <c r="J337" s="5068"/>
      <c r="K337" s="5053"/>
      <c r="L337" s="5053"/>
      <c r="M337" s="5053"/>
      <c r="N337" s="5053"/>
      <c r="O337" s="5053"/>
      <c r="P337" s="5053"/>
      <c r="Q337" s="5053"/>
      <c r="R337" s="5053"/>
      <c r="S337" s="5053"/>
      <c r="T337" s="5053"/>
      <c r="U337" s="5055"/>
      <c r="V337" s="5055"/>
      <c r="W337" s="5055"/>
      <c r="X337" s="5055"/>
      <c r="Y337" s="5055"/>
    </row>
    <row customHeight="true" ht="18.452380952380953" r="338">
      <c r="A338" s="5079" t="s">
        <v>5112</v>
      </c>
      <c r="B338" s="5072">
        <v>46242</v>
      </c>
      <c r="C338" s="5079" t="str">
        <v>Saturday</v>
      </c>
      <c r="D338" s="5064" t="s">
        <v>5123</v>
      </c>
      <c r="E338" s="5068">
        <f t="shared" si="59"/>
      </c>
      <c r="F338" s="5196" t="s">
        <v>5115</v>
      </c>
      <c r="G338" s="5304" t="s">
        <v>5129</v>
      </c>
      <c r="H338" s="5068" t="s">
        <v>4859</v>
      </c>
      <c r="I338" s="5069" t="s">
        <v>4846</v>
      </c>
      <c r="J338" s="5305"/>
      <c r="K338" s="5053"/>
      <c r="L338" s="5053"/>
      <c r="M338" s="5053"/>
      <c r="N338" s="5053"/>
      <c r="O338" s="5053"/>
      <c r="P338" s="5053"/>
      <c r="Q338" s="5053"/>
      <c r="R338" s="5053"/>
      <c r="S338" s="5053"/>
      <c r="T338" s="5053"/>
      <c r="U338" s="5055"/>
      <c r="V338" s="5055"/>
      <c r="W338" s="5055"/>
      <c r="X338" s="5055"/>
      <c r="Y338" s="5055"/>
    </row>
    <row r="339">
      <c r="A339" s="5079" t="s">
        <v>5112</v>
      </c>
      <c r="B339" s="5072">
        <v>46242</v>
      </c>
      <c r="C339" s="5079" t="str">
        <v>Saturday</v>
      </c>
      <c r="D339" s="5069" t="s">
        <v>5027</v>
      </c>
      <c r="E339" s="5068">
        <f t="shared" si="59"/>
      </c>
      <c r="F339" s="5283" t="s">
        <v>4908</v>
      </c>
      <c r="G339" s="5306" t="s">
        <v>5140</v>
      </c>
      <c r="H339" s="5068" t="s">
        <v>4859</v>
      </c>
      <c r="I339" s="5069" t="s">
        <v>4875</v>
      </c>
      <c r="J339" s="5305"/>
      <c r="K339" s="5053"/>
      <c r="L339" s="5053"/>
      <c r="M339" s="5053"/>
      <c r="N339" s="5053"/>
      <c r="O339" s="5053"/>
      <c r="P339" s="5053"/>
      <c r="Q339" s="5053"/>
      <c r="R339" s="5053"/>
      <c r="S339" s="5053"/>
      <c r="T339" s="5053"/>
      <c r="U339" s="5055"/>
      <c r="V339" s="5055"/>
      <c r="W339" s="5055"/>
      <c r="X339" s="5055"/>
      <c r="Y339" s="5055"/>
    </row>
    <row customHeight="true" ht="18.452380952380953" r="340">
      <c r="A340" s="5079" t="s">
        <v>5112</v>
      </c>
      <c r="B340" s="5072">
        <v>46242</v>
      </c>
      <c r="C340" s="5079" t="str">
        <v>Saturday</v>
      </c>
      <c r="D340" s="5064" t="s">
        <v>5105</v>
      </c>
      <c r="E340" s="5068">
        <f t="shared" si="59"/>
      </c>
      <c r="F340" s="5196" t="s">
        <v>5130</v>
      </c>
      <c r="G340" s="5306" t="s">
        <v>5141</v>
      </c>
      <c r="H340" s="5068" t="s">
        <v>4859</v>
      </c>
      <c r="I340" s="5069" t="s">
        <v>4846</v>
      </c>
      <c r="J340" s="5305"/>
      <c r="K340" s="5053"/>
      <c r="L340" s="5053"/>
      <c r="M340" s="5053"/>
      <c r="N340" s="5053"/>
      <c r="O340" s="5053"/>
      <c r="P340" s="5053"/>
      <c r="Q340" s="5053"/>
      <c r="R340" s="5053"/>
      <c r="S340" s="5053"/>
      <c r="T340" s="5053"/>
      <c r="U340" s="5055"/>
      <c r="V340" s="5055"/>
      <c r="W340" s="5055"/>
      <c r="X340" s="5055"/>
      <c r="Y340" s="5055"/>
    </row>
    <row r="341">
      <c r="A341" s="5079" t="s">
        <v>5112</v>
      </c>
      <c r="B341" s="5072">
        <v>46242</v>
      </c>
      <c r="C341" s="5079" t="str">
        <v>Saturday</v>
      </c>
      <c r="D341" s="5064" t="s">
        <v>5125</v>
      </c>
      <c r="E341" s="5068">
        <f t="shared" si="59"/>
      </c>
      <c r="F341" s="5196" t="s">
        <v>5106</v>
      </c>
      <c r="G341" s="5304" t="s">
        <v>5142</v>
      </c>
      <c r="H341" s="5068" t="s">
        <v>4859</v>
      </c>
      <c r="I341" s="5069" t="s">
        <v>4846</v>
      </c>
      <c r="J341" s="5305"/>
      <c r="K341" s="5053"/>
      <c r="L341" s="5053"/>
      <c r="M341" s="5053"/>
      <c r="N341" s="5053"/>
      <c r="O341" s="5053"/>
      <c r="P341" s="5053"/>
      <c r="Q341" s="5053"/>
      <c r="R341" s="5053"/>
      <c r="S341" s="5053"/>
      <c r="T341" s="5053"/>
      <c r="U341" s="5055"/>
      <c r="V341" s="5055"/>
      <c r="W341" s="5055"/>
      <c r="X341" s="5055"/>
      <c r="Y341" s="5055"/>
    </row>
    <row customHeight="true" ht="18.452380952380953" r="342">
      <c r="A342" s="5079" t="s">
        <v>5112</v>
      </c>
      <c r="B342" s="5072">
        <v>46242</v>
      </c>
      <c r="C342" s="5079" t="str">
        <v>Saturday</v>
      </c>
      <c r="D342" s="5237" t="s">
        <v>5033</v>
      </c>
      <c r="E342" s="5068">
        <f t="shared" si="59"/>
      </c>
      <c r="F342" s="5283" t="s">
        <v>4908</v>
      </c>
      <c r="G342" s="5304" t="s">
        <v>5143</v>
      </c>
      <c r="H342" s="5068" t="s">
        <v>4859</v>
      </c>
      <c r="I342" s="5069" t="s">
        <v>4875</v>
      </c>
      <c r="J342" s="5305"/>
      <c r="K342" s="5053"/>
      <c r="L342" s="5053"/>
      <c r="M342" s="5053"/>
      <c r="N342" s="5053"/>
      <c r="O342" s="5053"/>
      <c r="P342" s="5053"/>
      <c r="Q342" s="5053"/>
      <c r="R342" s="5053"/>
      <c r="S342" s="5053"/>
      <c r="T342" s="5053"/>
      <c r="U342" s="5055"/>
      <c r="V342" s="5055"/>
      <c r="W342" s="5055"/>
      <c r="X342" s="5055"/>
      <c r="Y342" s="5055"/>
    </row>
    <row r="343">
      <c r="A343" s="5079" t="s">
        <v>5122</v>
      </c>
      <c r="B343" s="5072">
        <v>46242</v>
      </c>
      <c r="C343" s="5079" t="str">
        <v>Saturday</v>
      </c>
      <c r="D343" s="5237" t="s">
        <v>5144</v>
      </c>
      <c r="E343" s="5284">
        <f t="shared" si="59"/>
      </c>
      <c r="F343" s="5196" t="s">
        <v>5038</v>
      </c>
      <c r="G343" s="5307"/>
      <c r="H343" s="5068" t="s">
        <v>4859</v>
      </c>
      <c r="I343" s="5069" t="s">
        <v>4846</v>
      </c>
      <c r="J343" s="5305"/>
      <c r="K343" s="5053"/>
      <c r="L343" s="5053"/>
      <c r="M343" s="5053"/>
      <c r="N343" s="5053"/>
      <c r="O343" s="5053"/>
      <c r="P343" s="5053"/>
      <c r="Q343" s="5053"/>
      <c r="R343" s="5053"/>
      <c r="S343" s="5053"/>
      <c r="T343" s="5053"/>
      <c r="U343" s="5055"/>
      <c r="V343" s="5055"/>
      <c r="W343" s="5055"/>
      <c r="X343" s="5055"/>
      <c r="Y343" s="5055"/>
    </row>
    <row r="344">
      <c r="A344" s="5079" t="s">
        <v>5122</v>
      </c>
      <c r="B344" s="5072">
        <v>46242</v>
      </c>
      <c r="C344" s="5079" t="str">
        <v>Saturday</v>
      </c>
      <c r="D344" s="5237" t="s">
        <v>5080</v>
      </c>
      <c r="E344" s="5284">
        <f t="shared" si="59"/>
      </c>
      <c r="F344" s="5284" t="s">
        <v>5137</v>
      </c>
      <c r="G344" s="5307"/>
      <c r="H344" s="5068" t="s">
        <v>4859</v>
      </c>
      <c r="I344" s="5069" t="s">
        <v>4846</v>
      </c>
      <c r="J344" s="5305"/>
      <c r="K344" s="5053"/>
      <c r="L344" s="5053"/>
      <c r="M344" s="5053"/>
      <c r="N344" s="5053"/>
      <c r="O344" s="5053"/>
      <c r="P344" s="5053"/>
      <c r="Q344" s="5053"/>
      <c r="R344" s="5053"/>
      <c r="S344" s="5053"/>
      <c r="T344" s="5053"/>
      <c r="U344" s="5055"/>
      <c r="V344" s="5055"/>
      <c r="W344" s="5055"/>
      <c r="X344" s="5055"/>
      <c r="Y344" s="5055"/>
    </row>
    <row customHeight="true" ht="18.452380952380953" r="345">
      <c r="A345" s="5079" t="s">
        <v>5122</v>
      </c>
      <c r="B345" s="5072">
        <v>46242</v>
      </c>
      <c r="C345" s="5079" t="str">
        <v>Saturday</v>
      </c>
      <c r="D345" s="5237" t="s">
        <v>5039</v>
      </c>
      <c r="E345" s="5284">
        <f t="shared" si="59"/>
      </c>
      <c r="F345" s="5196" t="s">
        <v>5124</v>
      </c>
      <c r="G345" s="5307"/>
      <c r="H345" s="5068" t="s">
        <v>4859</v>
      </c>
      <c r="I345" s="5069" t="s">
        <v>4846</v>
      </c>
      <c r="J345" s="5305"/>
      <c r="K345" s="5053"/>
      <c r="L345" s="5053"/>
      <c r="M345" s="5053"/>
      <c r="N345" s="5053"/>
      <c r="O345" s="5053"/>
      <c r="P345" s="5053"/>
      <c r="Q345" s="5053"/>
      <c r="R345" s="5053"/>
      <c r="S345" s="5053"/>
      <c r="T345" s="5053"/>
      <c r="U345" s="5055"/>
      <c r="V345" s="5055"/>
      <c r="W345" s="5055"/>
      <c r="X345" s="5055"/>
      <c r="Y345" s="5055"/>
    </row>
    <row r="346">
      <c r="A346" s="5079" t="s">
        <v>5122</v>
      </c>
      <c r="B346" s="5072">
        <v>46242</v>
      </c>
      <c r="C346" s="5079" t="str">
        <v>Saturday</v>
      </c>
      <c r="D346" s="5237" t="s">
        <v>5033</v>
      </c>
      <c r="E346" s="5284">
        <f t="shared" si="59"/>
      </c>
      <c r="F346" s="5196" t="s">
        <v>5124</v>
      </c>
      <c r="G346" s="5307"/>
      <c r="H346" s="5068" t="s">
        <v>4859</v>
      </c>
      <c r="I346" s="5069" t="s">
        <v>4846</v>
      </c>
      <c r="J346" s="5305"/>
      <c r="K346" s="5053"/>
      <c r="L346" s="5053"/>
      <c r="M346" s="5053"/>
      <c r="N346" s="5053"/>
      <c r="O346" s="5053"/>
      <c r="P346" s="5053"/>
      <c r="Q346" s="5053"/>
      <c r="R346" s="5053"/>
      <c r="S346" s="5053"/>
      <c r="T346" s="5053"/>
      <c r="U346" s="5055"/>
      <c r="V346" s="5055"/>
      <c r="W346" s="5055"/>
      <c r="X346" s="5055"/>
      <c r="Y346" s="5055"/>
    </row>
    <row customHeight="true" ht="18.452380952380953" r="347">
      <c r="A347" s="5235" t="s">
        <v>5127</v>
      </c>
      <c r="B347" s="5072">
        <v>46242</v>
      </c>
      <c r="C347" s="5235" t="str">
        <v>Saturday</v>
      </c>
      <c r="D347" s="5237" t="s">
        <v>5080</v>
      </c>
      <c r="E347" s="5308">
        <f t="shared" si="59"/>
      </c>
      <c r="F347" s="5196" t="s">
        <v>5130</v>
      </c>
      <c r="G347" s="5309"/>
      <c r="H347" s="5196" t="s">
        <v>4859</v>
      </c>
      <c r="I347" s="5069" t="s">
        <v>4846</v>
      </c>
      <c r="J347" s="5196"/>
      <c r="K347" s="5239"/>
      <c r="L347" s="5239"/>
      <c r="M347" s="5239"/>
      <c r="N347" s="5239"/>
      <c r="O347" s="5239"/>
      <c r="P347" s="5239"/>
      <c r="Q347" s="5239"/>
      <c r="R347" s="5239"/>
      <c r="S347" s="5239"/>
      <c r="T347" s="5239"/>
      <c r="U347" s="5240"/>
      <c r="V347" s="5240"/>
      <c r="W347" s="5240"/>
      <c r="X347" s="5240"/>
      <c r="Y347" s="5240"/>
    </row>
    <row customHeight="true" ht="18.452380952380953" r="348">
      <c r="A348" s="5235" t="s">
        <v>5127</v>
      </c>
      <c r="B348" s="5072">
        <v>46242</v>
      </c>
      <c r="C348" s="5079" t="str">
        <v>Saturday</v>
      </c>
      <c r="D348" s="5064" t="s">
        <v>5145</v>
      </c>
      <c r="E348" s="5068">
        <f t="shared" si="59"/>
      </c>
      <c r="F348" s="5196" t="s">
        <v>5115</v>
      </c>
      <c r="G348" s="5304"/>
      <c r="H348" s="5068" t="s">
        <v>4859</v>
      </c>
      <c r="I348" s="5069" t="s">
        <v>4846</v>
      </c>
      <c r="J348" s="5305"/>
      <c r="K348" s="5053"/>
      <c r="L348" s="5053"/>
      <c r="M348" s="5053"/>
      <c r="N348" s="5053"/>
      <c r="O348" s="5053"/>
      <c r="P348" s="5053"/>
      <c r="Q348" s="5053"/>
      <c r="R348" s="5053"/>
      <c r="S348" s="5053"/>
      <c r="T348" s="5053"/>
      <c r="U348" s="5055"/>
      <c r="V348" s="5055"/>
      <c r="W348" s="5055"/>
      <c r="X348" s="5055"/>
      <c r="Y348" s="5055"/>
    </row>
    <row customHeight="true" ht="18.452380952380953" r="349">
      <c r="A349" s="5235" t="s">
        <v>5127</v>
      </c>
      <c r="B349" s="5072">
        <v>46242</v>
      </c>
      <c r="C349" s="5079" t="str">
        <v>Saturday</v>
      </c>
      <c r="D349" s="5064" t="s">
        <v>4928</v>
      </c>
      <c r="E349" s="5068">
        <f t="shared" si="59"/>
      </c>
      <c r="F349" s="5066" t="s">
        <v>4843</v>
      </c>
      <c r="G349" s="5304"/>
      <c r="H349" s="5068" t="s">
        <v>4859</v>
      </c>
      <c r="I349" s="5069" t="s">
        <v>4875</v>
      </c>
      <c r="J349" s="5305"/>
      <c r="K349" s="5053"/>
      <c r="L349" s="5053"/>
      <c r="M349" s="5053"/>
      <c r="N349" s="5053"/>
      <c r="O349" s="5053"/>
      <c r="P349" s="5053"/>
      <c r="Q349" s="5053"/>
      <c r="R349" s="5053"/>
      <c r="S349" s="5053"/>
      <c r="T349" s="5053"/>
      <c r="U349" s="5055"/>
      <c r="V349" s="5055"/>
      <c r="W349" s="5055"/>
      <c r="X349" s="5055"/>
      <c r="Y349" s="5055"/>
    </row>
    <row customHeight="true" ht="18.452380952380953" r="350">
      <c r="A350" s="5079"/>
      <c r="B350" s="5079"/>
      <c r="C350" s="5079"/>
      <c r="D350" s="5237"/>
      <c r="E350" s="5284"/>
      <c r="F350" s="5196"/>
      <c r="G350" s="5307"/>
      <c r="H350" s="5068"/>
      <c r="I350" s="5069" t="s">
        <v>4875</v>
      </c>
      <c r="J350" s="5305"/>
      <c r="K350" s="5053"/>
      <c r="L350" s="5053"/>
      <c r="M350" s="5053"/>
      <c r="N350" s="5053"/>
      <c r="O350" s="5053"/>
      <c r="P350" s="5053"/>
      <c r="Q350" s="5053"/>
      <c r="R350" s="5053"/>
      <c r="S350" s="5053"/>
      <c r="T350" s="5053"/>
      <c r="U350" s="5055"/>
      <c r="V350" s="5055"/>
      <c r="W350" s="5055"/>
      <c r="X350" s="5055"/>
      <c r="Y350" s="5055"/>
    </row>
    <row r="351">
      <c r="A351" s="5288" t="s">
        <v>5112</v>
      </c>
      <c r="B351" s="5289">
        <v>46243</v>
      </c>
      <c r="C351" s="5288" t="str">
        <v>Sunday</v>
      </c>
      <c r="D351" s="5296" t="s">
        <v>5002</v>
      </c>
      <c r="E351" s="5291">
        <f t="shared" ref="E351:E361" si="60">24*MOD(TIMEVALUE(TRIM(MID(D351,FIND("-",D351)+1,LEN(D351)))) - TIMEVALUE(TRIM(LEFT(D351,FIND("-",D351)-1))),1)</f>
      </c>
      <c r="F351" s="5294" t="s">
        <v>4974</v>
      </c>
      <c r="G351" s="5310" t="s">
        <v>5101</v>
      </c>
      <c r="H351" s="5068" t="s">
        <v>4859</v>
      </c>
      <c r="I351" s="5069" t="s">
        <v>4846</v>
      </c>
      <c r="J351" s="5305"/>
      <c r="K351" s="5053"/>
      <c r="L351" s="5053"/>
      <c r="M351" s="5053"/>
      <c r="N351" s="5053"/>
      <c r="O351" s="5053"/>
      <c r="P351" s="5053"/>
      <c r="Q351" s="5053"/>
      <c r="R351" s="5053"/>
      <c r="S351" s="5053"/>
      <c r="T351" s="5053"/>
      <c r="U351" s="5055"/>
      <c r="V351" s="5055"/>
      <c r="W351" s="5055"/>
      <c r="X351" s="5055"/>
      <c r="Y351" s="5055"/>
    </row>
    <row r="352">
      <c r="A352" s="5288" t="s">
        <v>5112</v>
      </c>
      <c r="B352" s="5289">
        <v>46243</v>
      </c>
      <c r="C352" s="5288" t="str">
        <v>Sunday</v>
      </c>
      <c r="D352" s="5296" t="s">
        <v>5123</v>
      </c>
      <c r="E352" s="5291">
        <f t="shared" si="60"/>
      </c>
      <c r="F352" s="5291" t="s">
        <v>5106</v>
      </c>
      <c r="G352" s="5310" t="s">
        <v>5146</v>
      </c>
      <c r="H352" s="5068" t="s">
        <v>4859</v>
      </c>
      <c r="I352" s="5069" t="s">
        <v>4846</v>
      </c>
      <c r="J352" s="5305"/>
      <c r="K352" s="5053"/>
      <c r="L352" s="5053"/>
      <c r="M352" s="5053"/>
      <c r="N352" s="5053"/>
      <c r="O352" s="5053"/>
      <c r="P352" s="5053"/>
      <c r="Q352" s="5053"/>
      <c r="R352" s="5053"/>
      <c r="S352" s="5053"/>
      <c r="T352" s="5053"/>
      <c r="U352" s="5055"/>
      <c r="V352" s="5055"/>
      <c r="W352" s="5055"/>
      <c r="X352" s="5055"/>
      <c r="Y352" s="5055"/>
    </row>
    <row r="353">
      <c r="A353" s="5288" t="s">
        <v>5112</v>
      </c>
      <c r="B353" s="5289">
        <v>46243</v>
      </c>
      <c r="C353" s="5288" t="str">
        <v>Sunday</v>
      </c>
      <c r="D353" s="5296" t="s">
        <v>4879</v>
      </c>
      <c r="E353" s="5291">
        <f t="shared" si="60"/>
      </c>
      <c r="F353" s="5294" t="s">
        <v>5147</v>
      </c>
      <c r="G353" s="5310" t="s">
        <v>5148</v>
      </c>
      <c r="H353" s="5068" t="s">
        <v>4859</v>
      </c>
      <c r="I353" s="5069" t="s">
        <v>4846</v>
      </c>
      <c r="J353" s="5305"/>
      <c r="K353" s="5053"/>
      <c r="L353" s="5053"/>
      <c r="M353" s="5053"/>
      <c r="N353" s="5053"/>
      <c r="O353" s="5053"/>
      <c r="P353" s="5053"/>
      <c r="Q353" s="5053"/>
      <c r="R353" s="5053"/>
      <c r="S353" s="5053"/>
      <c r="T353" s="5053"/>
      <c r="U353" s="5055"/>
      <c r="V353" s="5055"/>
      <c r="W353" s="5055"/>
      <c r="X353" s="5055"/>
      <c r="Y353" s="5055"/>
    </row>
    <row customHeight="true" ht="18.452380952380953" r="354">
      <c r="A354" s="5288" t="s">
        <v>5112</v>
      </c>
      <c r="B354" s="5289">
        <v>46243</v>
      </c>
      <c r="C354" s="5288" t="str">
        <v>Sunday</v>
      </c>
      <c r="D354" s="5296" t="s">
        <v>4973</v>
      </c>
      <c r="E354" s="5291">
        <f t="shared" si="60"/>
      </c>
      <c r="F354" s="5294" t="s">
        <v>4908</v>
      </c>
      <c r="G354" s="5310" t="s">
        <v>5149</v>
      </c>
      <c r="H354" s="5068" t="s">
        <v>4859</v>
      </c>
      <c r="I354" s="5069" t="s">
        <v>4875</v>
      </c>
      <c r="J354" s="5305"/>
      <c r="K354" s="5053"/>
      <c r="L354" s="5053"/>
      <c r="M354" s="5053"/>
      <c r="N354" s="5053"/>
      <c r="O354" s="5053"/>
      <c r="P354" s="5053"/>
      <c r="Q354" s="5053"/>
      <c r="R354" s="5053"/>
      <c r="S354" s="5053"/>
      <c r="T354" s="5053"/>
      <c r="U354" s="5055"/>
      <c r="V354" s="5055"/>
      <c r="W354" s="5055"/>
      <c r="X354" s="5055"/>
      <c r="Y354" s="5055"/>
    </row>
    <row r="355">
      <c r="A355" s="5288" t="s">
        <v>5112</v>
      </c>
      <c r="B355" s="5289">
        <v>46243</v>
      </c>
      <c r="C355" s="5288" t="str">
        <v>Sunday</v>
      </c>
      <c r="D355" s="5296" t="s">
        <v>4936</v>
      </c>
      <c r="E355" s="5291">
        <f t="shared" si="60"/>
      </c>
      <c r="F355" s="5291" t="s">
        <v>5115</v>
      </c>
      <c r="G355" s="5310" t="s">
        <v>5150</v>
      </c>
      <c r="H355" s="5068" t="s">
        <v>4859</v>
      </c>
      <c r="I355" s="5069" t="s">
        <v>4846</v>
      </c>
      <c r="J355" s="5305"/>
      <c r="K355" s="5053"/>
      <c r="L355" s="5053"/>
      <c r="M355" s="5053"/>
      <c r="N355" s="5053"/>
      <c r="O355" s="5053"/>
      <c r="P355" s="5053"/>
      <c r="Q355" s="5053"/>
      <c r="R355" s="5053"/>
      <c r="S355" s="5053"/>
      <c r="T355" s="5053"/>
      <c r="U355" s="5055"/>
      <c r="V355" s="5055"/>
      <c r="W355" s="5055"/>
      <c r="X355" s="5055"/>
      <c r="Y355" s="5055"/>
    </row>
    <row r="356">
      <c r="A356" s="5288" t="s">
        <v>5112</v>
      </c>
      <c r="B356" s="5289">
        <v>46243</v>
      </c>
      <c r="C356" s="5288" t="str">
        <v>Sunday</v>
      </c>
      <c r="D356" s="5296" t="s">
        <v>5151</v>
      </c>
      <c r="E356" s="5291">
        <f t="shared" si="60"/>
      </c>
      <c r="F356" s="5294" t="s">
        <v>4908</v>
      </c>
      <c r="G356" s="5310" t="s">
        <v>5152</v>
      </c>
      <c r="H356" s="5068" t="s">
        <v>4859</v>
      </c>
      <c r="I356" s="5069" t="s">
        <v>4875</v>
      </c>
      <c r="J356" s="5305"/>
      <c r="K356" s="5053"/>
      <c r="L356" s="5053"/>
      <c r="M356" s="5053"/>
      <c r="N356" s="5053"/>
      <c r="O356" s="5053"/>
      <c r="P356" s="5053"/>
      <c r="Q356" s="5053"/>
      <c r="R356" s="5053"/>
      <c r="S356" s="5053"/>
      <c r="T356" s="5053"/>
      <c r="U356" s="5055"/>
      <c r="V356" s="5055"/>
      <c r="W356" s="5055"/>
      <c r="X356" s="5055"/>
      <c r="Y356" s="5055"/>
    </row>
    <row customHeight="true" ht="18.452380952380953" r="357">
      <c r="A357" s="5202" t="s">
        <v>5122</v>
      </c>
      <c r="B357" s="5203">
        <v>46243</v>
      </c>
      <c r="C357" s="5202" t="s">
        <v>5153</v>
      </c>
      <c r="D357" s="5204" t="s">
        <v>5123</v>
      </c>
      <c r="E357" s="5311">
        <f t="shared" si="60"/>
      </c>
      <c r="F357" s="5311" t="s">
        <v>5154</v>
      </c>
      <c r="G357" s="5312"/>
      <c r="H357" s="5205" t="s">
        <v>4859</v>
      </c>
      <c r="I357" s="5205" t="s">
        <v>4846</v>
      </c>
      <c r="J357" s="5313" t="s">
        <v>5155</v>
      </c>
      <c r="K357" s="5208"/>
      <c r="L357" s="5208"/>
      <c r="M357" s="5208"/>
      <c r="N357" s="5208"/>
      <c r="O357" s="5208"/>
      <c r="P357" s="5208"/>
      <c r="Q357" s="5208"/>
      <c r="R357" s="5208"/>
      <c r="S357" s="5208"/>
      <c r="T357" s="5208"/>
      <c r="U357" s="5209"/>
      <c r="V357" s="5209"/>
      <c r="W357" s="5209"/>
      <c r="X357" s="5209"/>
      <c r="Y357" s="5209"/>
    </row>
    <row customHeight="true" ht="18.452380952380953" r="358">
      <c r="A358" s="5288" t="s">
        <v>5122</v>
      </c>
      <c r="B358" s="5289">
        <v>46243</v>
      </c>
      <c r="C358" s="5288" t="s">
        <v>5153</v>
      </c>
      <c r="D358" s="5290" t="s">
        <v>5080</v>
      </c>
      <c r="E358" s="5300">
        <f t="shared" si="60"/>
      </c>
      <c r="F358" s="5300" t="s">
        <v>5137</v>
      </c>
      <c r="G358" s="5314"/>
      <c r="H358" s="5068" t="s">
        <v>4859</v>
      </c>
      <c r="I358" s="5069" t="s">
        <v>4846</v>
      </c>
      <c r="J358" s="5305"/>
      <c r="K358" s="5053"/>
      <c r="L358" s="5053"/>
      <c r="M358" s="5053"/>
      <c r="N358" s="5053"/>
      <c r="O358" s="5053"/>
      <c r="P358" s="5053"/>
      <c r="Q358" s="5053"/>
      <c r="R358" s="5053"/>
      <c r="S358" s="5053"/>
      <c r="T358" s="5053"/>
      <c r="U358" s="5055"/>
      <c r="V358" s="5055"/>
      <c r="W358" s="5055"/>
      <c r="X358" s="5055"/>
      <c r="Y358" s="5055"/>
    </row>
    <row customHeight="true" ht="18.452380952380953" r="359">
      <c r="A359" s="5288" t="s">
        <v>5122</v>
      </c>
      <c r="B359" s="5289">
        <v>46243</v>
      </c>
      <c r="C359" s="5288" t="s">
        <v>5153</v>
      </c>
      <c r="D359" s="5290" t="s">
        <v>5039</v>
      </c>
      <c r="E359" s="5300">
        <f t="shared" si="60"/>
      </c>
      <c r="F359" s="5294" t="s">
        <v>4895</v>
      </c>
      <c r="G359" s="5314"/>
      <c r="H359" s="5068" t="s">
        <v>4859</v>
      </c>
      <c r="I359" s="5069" t="s">
        <v>4875</v>
      </c>
      <c r="J359" s="5305"/>
      <c r="K359" s="5053"/>
      <c r="L359" s="5053"/>
      <c r="M359" s="5053"/>
      <c r="N359" s="5053"/>
      <c r="O359" s="5053"/>
      <c r="P359" s="5053"/>
      <c r="Q359" s="5053"/>
      <c r="R359" s="5053"/>
      <c r="S359" s="5053"/>
      <c r="T359" s="5053"/>
      <c r="U359" s="5055"/>
      <c r="V359" s="5055"/>
      <c r="W359" s="5055"/>
      <c r="X359" s="5055"/>
      <c r="Y359" s="5055"/>
    </row>
    <row r="360">
      <c r="A360" s="5288" t="s">
        <v>5122</v>
      </c>
      <c r="B360" s="5289">
        <v>46243</v>
      </c>
      <c r="C360" s="5288" t="s">
        <v>5153</v>
      </c>
      <c r="D360" s="5290" t="s">
        <v>5156</v>
      </c>
      <c r="E360" s="5300">
        <f t="shared" si="60"/>
      </c>
      <c r="F360" s="5315" t="s">
        <v>5124</v>
      </c>
      <c r="G360" s="5316"/>
      <c r="H360" s="5317" t="s">
        <v>4859</v>
      </c>
      <c r="I360" s="5069" t="s">
        <v>4846</v>
      </c>
      <c r="J360" s="5305"/>
      <c r="K360" s="5053"/>
      <c r="L360" s="5053"/>
      <c r="M360" s="5053"/>
      <c r="N360" s="5053"/>
      <c r="O360" s="5053"/>
      <c r="P360" s="5053"/>
      <c r="Q360" s="5053"/>
      <c r="R360" s="5053"/>
      <c r="S360" s="5053"/>
      <c r="T360" s="5053"/>
      <c r="U360" s="5054"/>
      <c r="V360" s="5054"/>
      <c r="W360" s="5054"/>
      <c r="X360" s="5054"/>
      <c r="Y360" s="5054"/>
    </row>
    <row customHeight="true" ht="18.452380952380953" r="361">
      <c r="A361" s="5299" t="s">
        <v>5127</v>
      </c>
      <c r="B361" s="5289">
        <v>46243</v>
      </c>
      <c r="C361" s="5288" t="str">
        <v>Sunday</v>
      </c>
      <c r="D361" s="5296" t="s">
        <v>5157</v>
      </c>
      <c r="E361" s="5291">
        <f t="shared" si="60"/>
      </c>
      <c r="F361" s="5294" t="s">
        <v>4974</v>
      </c>
      <c r="G361" s="5310"/>
      <c r="H361" s="5068" t="s">
        <v>4859</v>
      </c>
      <c r="I361" s="5069" t="s">
        <v>4846</v>
      </c>
      <c r="J361" s="5305"/>
      <c r="K361" s="5053"/>
      <c r="L361" s="5053"/>
      <c r="M361" s="5053"/>
      <c r="N361" s="5053"/>
      <c r="O361" s="5053"/>
      <c r="P361" s="5053"/>
      <c r="Q361" s="5053"/>
      <c r="R361" s="5053"/>
      <c r="S361" s="5053"/>
      <c r="T361" s="5053"/>
      <c r="U361" s="5055"/>
      <c r="V361" s="5055"/>
      <c r="W361" s="5055"/>
      <c r="X361" s="5055"/>
      <c r="Y361" s="5055"/>
    </row>
    <row r="362">
      <c r="A362" s="5318"/>
      <c r="B362" s="5318"/>
      <c r="C362" s="5318"/>
      <c r="D362" s="5318"/>
      <c r="E362" s="5318"/>
      <c r="F362" s="5318"/>
      <c r="G362" s="5318"/>
      <c r="H362" s="5318"/>
      <c r="I362" s="5318"/>
      <c r="J362" s="5187"/>
      <c r="K362" s="5053"/>
      <c r="L362" s="5053"/>
      <c r="M362" s="5053"/>
      <c r="N362" s="5053"/>
      <c r="O362" s="5053"/>
      <c r="P362" s="5053"/>
      <c r="Q362" s="5053"/>
      <c r="R362" s="5053"/>
      <c r="S362" s="5053"/>
      <c r="T362" s="5053"/>
      <c r="U362" s="5055"/>
      <c r="V362" s="5055"/>
      <c r="W362" s="5055"/>
      <c r="X362" s="5055"/>
      <c r="Y362" s="5055"/>
    </row>
    <row r="363">
      <c r="A363" s="5279" t="s">
        <v>5158</v>
      </c>
      <c r="B363" s="5279"/>
      <c r="C363" s="5279"/>
      <c r="D363" s="5279"/>
      <c r="E363" s="5279"/>
      <c r="F363" s="5279"/>
      <c r="G363" s="5279"/>
      <c r="H363" s="5279"/>
      <c r="I363" s="5279"/>
      <c r="J363" s="5279"/>
      <c r="K363" s="5053"/>
      <c r="L363" s="5053"/>
      <c r="M363" s="5053"/>
      <c r="N363" s="5053"/>
      <c r="O363" s="5053"/>
      <c r="P363" s="5053"/>
      <c r="Q363" s="5053"/>
      <c r="R363" s="5053"/>
      <c r="S363" s="5053"/>
      <c r="T363" s="5053"/>
      <c r="U363" s="5055"/>
      <c r="V363" s="5055"/>
      <c r="W363" s="5055"/>
      <c r="X363" s="5055"/>
      <c r="Y363" s="5055"/>
    </row>
    <row r="364">
      <c r="A364" s="5280" t="s">
        <v>4861</v>
      </c>
      <c r="B364" s="5164" t="s">
        <v>4862</v>
      </c>
      <c r="C364" s="5164"/>
      <c r="D364" s="5166" t="s">
        <v>4863</v>
      </c>
      <c r="E364" s="5169" t="s">
        <v>4864</v>
      </c>
      <c r="F364" s="5169" t="s">
        <v>4865</v>
      </c>
      <c r="G364" s="5281" t="s">
        <v>4877</v>
      </c>
      <c r="H364" s="5169" t="s">
        <v>4867</v>
      </c>
      <c r="I364" s="5169" t="s">
        <v>4868</v>
      </c>
      <c r="J364" s="5169" t="s">
        <v>4869</v>
      </c>
      <c r="K364" s="5053"/>
      <c r="L364" s="5053"/>
      <c r="M364" s="5053"/>
      <c r="N364" s="5053"/>
      <c r="O364" s="5053"/>
      <c r="P364" s="5053"/>
      <c r="Q364" s="5053"/>
      <c r="R364" s="5053"/>
      <c r="S364" s="5053"/>
      <c r="T364" s="5053"/>
      <c r="U364" s="5055"/>
      <c r="V364" s="5055"/>
      <c r="W364" s="5055"/>
      <c r="X364" s="5055"/>
      <c r="Y364" s="5055"/>
    </row>
    <row r="365">
      <c r="A365" s="5319"/>
      <c r="B365" s="5072"/>
      <c r="C365" s="5079"/>
      <c r="D365" s="5130"/>
      <c r="E365" s="5068"/>
      <c r="F365" s="5196"/>
      <c r="G365" s="5320"/>
      <c r="H365" s="5068"/>
      <c r="I365" s="5291"/>
      <c r="J365" s="5317"/>
      <c r="K365" s="5053"/>
      <c r="L365" s="5053"/>
      <c r="M365" s="5053"/>
      <c r="N365" s="5053"/>
      <c r="O365" s="5053"/>
      <c r="P365" s="5053"/>
      <c r="Q365" s="5053"/>
      <c r="R365" s="5053"/>
      <c r="S365" s="5053"/>
      <c r="T365" s="5053"/>
      <c r="U365" s="5055"/>
      <c r="V365" s="5055"/>
      <c r="W365" s="5055"/>
      <c r="X365" s="5055"/>
      <c r="Y365" s="5055"/>
    </row>
    <row r="366">
      <c r="A366" s="5319"/>
      <c r="B366" s="5072"/>
      <c r="C366" s="5079"/>
      <c r="D366" s="5130"/>
      <c r="E366" s="5068"/>
      <c r="F366" s="5196"/>
      <c r="G366" s="5320"/>
      <c r="H366" s="5068"/>
      <c r="I366" s="5291"/>
      <c r="J366" s="5317"/>
      <c r="K366" s="5053"/>
      <c r="L366" s="5053"/>
      <c r="M366" s="5053"/>
      <c r="N366" s="5053"/>
      <c r="O366" s="5053"/>
      <c r="P366" s="5053"/>
      <c r="Q366" s="5053"/>
      <c r="R366" s="5053"/>
      <c r="S366" s="5053"/>
      <c r="T366" s="5053"/>
      <c r="U366" s="5055"/>
      <c r="V366" s="5055"/>
      <c r="W366" s="5055"/>
      <c r="X366" s="5055"/>
      <c r="Y366" s="5055"/>
    </row>
    <row r="367">
      <c r="A367" s="5319"/>
      <c r="B367" s="5079"/>
      <c r="C367" s="5079"/>
      <c r="D367" s="5068"/>
      <c r="E367" s="5068"/>
      <c r="F367" s="5068"/>
      <c r="G367" s="5321"/>
      <c r="H367" s="5068"/>
      <c r="I367" s="5291"/>
      <c r="J367" s="5317"/>
      <c r="K367" s="5053"/>
      <c r="L367" s="5053"/>
      <c r="M367" s="5053"/>
      <c r="N367" s="5053"/>
      <c r="O367" s="5053"/>
      <c r="P367" s="5053"/>
      <c r="Q367" s="5053"/>
      <c r="R367" s="5053"/>
      <c r="S367" s="5053"/>
      <c r="T367" s="5053"/>
      <c r="U367" s="5055"/>
      <c r="V367" s="5055"/>
      <c r="W367" s="5055"/>
      <c r="X367" s="5055"/>
      <c r="Y367" s="5055"/>
    </row>
    <row customHeight="true" ht="16.071428571428573" r="368">
      <c r="A368" s="5319"/>
      <c r="B368" s="5079"/>
      <c r="C368" s="5079"/>
      <c r="D368" s="5068"/>
      <c r="E368" s="5068"/>
      <c r="F368" s="5068"/>
      <c r="G368" s="5321"/>
      <c r="H368" s="5068"/>
      <c r="I368" s="5291"/>
      <c r="J368" s="5317"/>
      <c r="K368" s="5053"/>
      <c r="L368" s="5053"/>
      <c r="M368" s="5053"/>
      <c r="N368" s="5053"/>
      <c r="O368" s="5053"/>
      <c r="P368" s="5053"/>
      <c r="Q368" s="5053"/>
      <c r="R368" s="5053"/>
      <c r="S368" s="5053"/>
      <c r="T368" s="5053"/>
      <c r="U368" s="5055"/>
      <c r="V368" s="5055"/>
      <c r="W368" s="5055"/>
      <c r="X368" s="5055"/>
      <c r="Y368" s="5055"/>
    </row>
    <row customHeight="true" ht="33.23485645144371" r="369">
      <c r="A369" s="5322" t="s">
        <v>5159</v>
      </c>
      <c r="B369" s="5322"/>
      <c r="C369" s="5322"/>
      <c r="D369" s="5322"/>
      <c r="E369" s="5322"/>
      <c r="F369" s="5322"/>
      <c r="G369" s="5322"/>
      <c r="H369" s="5322"/>
      <c r="I369" s="5322"/>
      <c r="J369" s="5322"/>
      <c r="K369" s="5053"/>
      <c r="L369" s="5053"/>
      <c r="M369" s="5053"/>
      <c r="N369" s="5053"/>
      <c r="O369" s="5053"/>
      <c r="P369" s="5053"/>
      <c r="Q369" s="5053"/>
      <c r="R369" s="5053"/>
      <c r="S369" s="5053"/>
      <c r="T369" s="5053"/>
      <c r="U369" s="5055"/>
      <c r="V369" s="5055"/>
      <c r="W369" s="5055"/>
      <c r="X369" s="5055"/>
      <c r="Y369" s="5055"/>
    </row>
    <row customHeight="true" ht="27.760108931548054" r="370">
      <c r="A370" s="5323" t="s">
        <v>4861</v>
      </c>
      <c r="B370" s="5324" t="s">
        <v>4862</v>
      </c>
      <c r="C370" s="5324"/>
      <c r="D370" s="5325" t="s">
        <v>4863</v>
      </c>
      <c r="E370" s="5325" t="s">
        <v>4864</v>
      </c>
      <c r="F370" s="5325" t="s">
        <v>4865</v>
      </c>
      <c r="G370" s="5326" t="s">
        <v>4877</v>
      </c>
      <c r="H370" s="5325" t="s">
        <v>4867</v>
      </c>
      <c r="I370" s="5325" t="s">
        <v>4868</v>
      </c>
      <c r="J370" s="5325" t="s">
        <v>4869</v>
      </c>
      <c r="K370" s="5053"/>
      <c r="L370" s="5053"/>
      <c r="M370" s="5053"/>
      <c r="N370" s="5053"/>
      <c r="O370" s="5053"/>
      <c r="P370" s="5053"/>
      <c r="Q370" s="5053"/>
      <c r="R370" s="5053"/>
      <c r="S370" s="5053"/>
      <c r="T370" s="5053"/>
      <c r="U370" s="5055"/>
      <c r="V370" s="5055"/>
      <c r="W370" s="5055"/>
      <c r="X370" s="5055"/>
      <c r="Y370" s="5055"/>
    </row>
    <row customHeight="true" ht="16.071428571428573" r="371">
      <c r="A371" s="5327" t="s">
        <v>5160</v>
      </c>
      <c r="B371" s="5328">
        <v>46238</v>
      </c>
      <c r="C371" s="5327" t="str">
        <v>Tuesday</v>
      </c>
      <c r="D371" s="5329" t="s">
        <v>4945</v>
      </c>
      <c r="E371" s="5330">
        <f t="shared" ref="E371:E375" si="61">24*MOD(TIMEVALUE(TRIM(MID(D371,FIND("-",D371)+1,LEN(D371)))) - TIMEVALUE(TRIM(LEFT(D371,FIND("-",D371)-1))),1)</f>
      </c>
      <c r="F371" s="5330" t="s">
        <v>5161</v>
      </c>
      <c r="G371" s="5331"/>
      <c r="H371" s="5330" t="s">
        <v>4859</v>
      </c>
      <c r="I371" s="5069" t="s">
        <v>4846</v>
      </c>
      <c r="J371" s="5330"/>
      <c r="K371" s="5332"/>
      <c r="L371" s="5332"/>
      <c r="M371" s="5332"/>
      <c r="N371" s="5332"/>
      <c r="O371" s="5332"/>
      <c r="P371" s="5332"/>
      <c r="Q371" s="5332"/>
      <c r="R371" s="5332"/>
      <c r="S371" s="5332"/>
      <c r="T371" s="5332"/>
      <c r="U371" s="5333"/>
      <c r="V371" s="5333"/>
      <c r="W371" s="5333"/>
      <c r="X371" s="5333"/>
      <c r="Y371" s="5333"/>
    </row>
    <row customHeight="true" ht="16.071428571428573" r="372">
      <c r="A372" s="5079" t="s">
        <v>5160</v>
      </c>
      <c r="B372" s="5072">
        <v>46239</v>
      </c>
      <c r="C372" s="5079" t="str">
        <v>Wednesday</v>
      </c>
      <c r="D372" s="5064" t="s">
        <v>5007</v>
      </c>
      <c r="E372" s="5068">
        <f t="shared" si="61"/>
      </c>
      <c r="F372" s="5196" t="s">
        <v>5161</v>
      </c>
      <c r="G372" s="5150"/>
      <c r="H372" s="5068" t="s">
        <v>4859</v>
      </c>
      <c r="I372" s="5069" t="s">
        <v>4846</v>
      </c>
      <c r="J372" s="5068"/>
      <c r="K372" s="5053"/>
      <c r="L372" s="5053"/>
      <c r="M372" s="5053"/>
      <c r="N372" s="5053"/>
      <c r="O372" s="5053"/>
      <c r="P372" s="5053"/>
      <c r="Q372" s="5053"/>
      <c r="R372" s="5053"/>
      <c r="S372" s="5053"/>
      <c r="T372" s="5053"/>
      <c r="U372" s="5055"/>
      <c r="V372" s="5055"/>
      <c r="W372" s="5055"/>
      <c r="X372" s="5055"/>
      <c r="Y372" s="5055"/>
    </row>
    <row customHeight="true" ht="16.071428571428573" r="373">
      <c r="A373" s="5334" t="s">
        <v>5160</v>
      </c>
      <c r="B373" s="5328">
        <v>46241</v>
      </c>
      <c r="C373" s="5334" t="str">
        <v>Friday</v>
      </c>
      <c r="D373" s="5335" t="s">
        <v>5007</v>
      </c>
      <c r="E373" s="5336">
        <f t="shared" si="61"/>
      </c>
      <c r="F373" s="5337" t="s">
        <v>5162</v>
      </c>
      <c r="G373" s="5338"/>
      <c r="H373" s="5336" t="s">
        <v>4859</v>
      </c>
      <c r="I373" s="5069" t="s">
        <v>4846</v>
      </c>
      <c r="J373" s="5336"/>
      <c r="K373" s="5339"/>
      <c r="L373" s="5339"/>
      <c r="M373" s="5339"/>
      <c r="N373" s="5339"/>
      <c r="O373" s="5339"/>
      <c r="P373" s="5339"/>
      <c r="Q373" s="5339"/>
      <c r="R373" s="5339"/>
      <c r="S373" s="5339"/>
      <c r="T373" s="5339"/>
      <c r="U373" s="5340"/>
      <c r="V373" s="5340"/>
      <c r="W373" s="5340"/>
      <c r="X373" s="5340"/>
      <c r="Y373" s="5340"/>
    </row>
    <row customHeight="true" ht="16.071428571428573" r="374">
      <c r="A374" s="5235" t="s">
        <v>5160</v>
      </c>
      <c r="B374" s="5236">
        <v>46242</v>
      </c>
      <c r="C374" s="5235" t="str">
        <v>Saturday</v>
      </c>
      <c r="D374" s="5064" t="s">
        <v>5007</v>
      </c>
      <c r="E374" s="5308">
        <f t="shared" si="61"/>
      </c>
      <c r="F374" s="5196" t="s">
        <v>5162</v>
      </c>
      <c r="G374" s="5341"/>
      <c r="H374" s="5308" t="s">
        <v>4859</v>
      </c>
      <c r="I374" s="5069" t="s">
        <v>4846</v>
      </c>
      <c r="J374" s="5308"/>
      <c r="K374" s="5342"/>
      <c r="L374" s="5342"/>
      <c r="M374" s="5342"/>
      <c r="N374" s="5342"/>
      <c r="O374" s="5342"/>
      <c r="P374" s="5342"/>
      <c r="Q374" s="5342"/>
      <c r="R374" s="5342"/>
      <c r="S374" s="5342"/>
      <c r="T374" s="5342"/>
      <c r="U374" s="5240"/>
      <c r="V374" s="5240"/>
      <c r="W374" s="5240"/>
      <c r="X374" s="5240"/>
      <c r="Y374" s="5240"/>
    </row>
    <row customHeight="true" ht="16.071428571428573" r="375">
      <c r="A375" s="5334" t="s">
        <v>5160</v>
      </c>
      <c r="B375" s="5328">
        <v>46243</v>
      </c>
      <c r="C375" s="5334" t="str">
        <v>Sunday</v>
      </c>
      <c r="D375" s="5335" t="s">
        <v>5007</v>
      </c>
      <c r="E375" s="5336">
        <f t="shared" si="61"/>
      </c>
      <c r="F375" s="5337" t="s">
        <v>5162</v>
      </c>
      <c r="G375" s="5338"/>
      <c r="H375" s="5336" t="s">
        <v>4859</v>
      </c>
      <c r="I375" s="5069" t="s">
        <v>4846</v>
      </c>
      <c r="J375" s="5336"/>
      <c r="K375" s="5339"/>
      <c r="L375" s="5339"/>
      <c r="M375" s="5339"/>
      <c r="N375" s="5339"/>
      <c r="O375" s="5339"/>
      <c r="P375" s="5339"/>
      <c r="Q375" s="5339"/>
      <c r="R375" s="5339"/>
      <c r="S375" s="5339"/>
      <c r="T375" s="5339"/>
      <c r="U375" s="5340"/>
      <c r="V375" s="5340"/>
      <c r="W375" s="5340"/>
      <c r="X375" s="5340"/>
      <c r="Y375" s="5340"/>
    </row>
    <row customHeight="true" ht="16.071428571428573" r="376">
      <c r="A376" s="5079"/>
      <c r="B376" s="5072"/>
      <c r="C376" s="5079"/>
      <c r="D376" s="5064"/>
      <c r="E376" s="5068"/>
      <c r="F376" s="5284"/>
      <c r="G376" s="5095"/>
      <c r="H376" s="5068"/>
      <c r="I376" s="5069"/>
      <c r="J376" s="5069"/>
      <c r="K376" s="5053"/>
      <c r="L376" s="5053"/>
      <c r="M376" s="5053"/>
      <c r="N376" s="5053"/>
      <c r="O376" s="5053"/>
      <c r="P376" s="5053"/>
      <c r="Q376" s="5053"/>
      <c r="R376" s="5053"/>
      <c r="S376" s="5053"/>
      <c r="T376" s="5053"/>
      <c r="U376" s="5055"/>
      <c r="V376" s="5055"/>
      <c r="W376" s="5055"/>
      <c r="X376" s="5055"/>
      <c r="Y376" s="5055"/>
    </row>
    <row customHeight="true" ht="16.071428571428573" r="377">
      <c r="A377" s="5079" t="s">
        <v>5163</v>
      </c>
      <c r="B377" s="5072">
        <v>46238</v>
      </c>
      <c r="C377" s="5079" t="str">
        <v>Tuesday</v>
      </c>
      <c r="D377" s="5064" t="s">
        <v>5164</v>
      </c>
      <c r="E377" s="5068">
        <f t="shared" ref="E377:E381" si="62">24*MOD(TIMEVALUE(TRIM(MID(D377,FIND("-",D377)+1,LEN(D377)))) - TIMEVALUE(TRIM(LEFT(D377,FIND("-",D377)-1))),1)</f>
      </c>
      <c r="F377" s="5284" t="s">
        <v>5137</v>
      </c>
      <c r="G377" s="5095"/>
      <c r="H377" s="5068" t="s">
        <v>4859</v>
      </c>
      <c r="I377" s="5069" t="s">
        <v>4846</v>
      </c>
      <c r="J377" s="5069"/>
      <c r="K377" s="5053"/>
      <c r="L377" s="5053"/>
      <c r="M377" s="5053"/>
      <c r="N377" s="5053"/>
      <c r="O377" s="5053"/>
      <c r="P377" s="5053"/>
      <c r="Q377" s="5053"/>
      <c r="R377" s="5053"/>
      <c r="S377" s="5053"/>
      <c r="T377" s="5053"/>
      <c r="U377" s="5055"/>
      <c r="V377" s="5055"/>
      <c r="W377" s="5055"/>
      <c r="X377" s="5055"/>
      <c r="Y377" s="5055"/>
    </row>
    <row customHeight="true" ht="16.071428571428573" r="378">
      <c r="A378" s="5079" t="s">
        <v>5163</v>
      </c>
      <c r="B378" s="5072">
        <v>46239</v>
      </c>
      <c r="C378" s="5079" t="str">
        <v>Wednesday</v>
      </c>
      <c r="D378" s="5064" t="s">
        <v>4996</v>
      </c>
      <c r="E378" s="5068">
        <f t="shared" si="62"/>
      </c>
      <c r="F378" s="5284" t="s">
        <v>5137</v>
      </c>
      <c r="G378" s="5095"/>
      <c r="H378" s="5068" t="s">
        <v>4859</v>
      </c>
      <c r="I378" s="5069" t="s">
        <v>4846</v>
      </c>
      <c r="J378" s="5069"/>
      <c r="K378" s="5053"/>
      <c r="L378" s="5053"/>
      <c r="M378" s="5053"/>
      <c r="N378" s="5053"/>
      <c r="O378" s="5053"/>
      <c r="P378" s="5053"/>
      <c r="Q378" s="5053"/>
      <c r="R378" s="5053"/>
      <c r="S378" s="5053"/>
      <c r="T378" s="5053"/>
      <c r="U378" s="5055"/>
      <c r="V378" s="5055"/>
      <c r="W378" s="5055"/>
      <c r="X378" s="5055"/>
      <c r="Y378" s="5055"/>
    </row>
    <row customHeight="true" ht="16.071428571428573" r="379">
      <c r="A379" s="5079" t="s">
        <v>5163</v>
      </c>
      <c r="B379" s="5072">
        <v>46241</v>
      </c>
      <c r="C379" s="5079" t="str">
        <v>Friday</v>
      </c>
      <c r="D379" s="5064" t="s">
        <v>4996</v>
      </c>
      <c r="E379" s="5068">
        <f t="shared" si="62"/>
      </c>
      <c r="F379" s="5284" t="s">
        <v>5124</v>
      </c>
      <c r="G379" s="5095"/>
      <c r="H379" s="5068" t="s">
        <v>4859</v>
      </c>
      <c r="I379" s="5069" t="s">
        <v>4846</v>
      </c>
      <c r="J379" s="5069"/>
      <c r="K379" s="5053"/>
      <c r="L379" s="5053"/>
      <c r="M379" s="5053"/>
      <c r="N379" s="5053"/>
      <c r="O379" s="5053"/>
      <c r="P379" s="5053"/>
      <c r="Q379" s="5053"/>
      <c r="R379" s="5053"/>
      <c r="S379" s="5053"/>
      <c r="T379" s="5053"/>
      <c r="U379" s="5055"/>
      <c r="V379" s="5055"/>
      <c r="W379" s="5055"/>
      <c r="X379" s="5055"/>
      <c r="Y379" s="5055"/>
    </row>
    <row customHeight="true" ht="16.071428571428573" r="380">
      <c r="A380" s="5079" t="s">
        <v>5163</v>
      </c>
      <c r="B380" s="5072">
        <v>46242</v>
      </c>
      <c r="C380" s="5079" t="str">
        <v>Saturday</v>
      </c>
      <c r="D380" s="5064" t="s">
        <v>4996</v>
      </c>
      <c r="E380" s="5068">
        <f t="shared" si="62"/>
      </c>
      <c r="F380" s="5284" t="s">
        <v>5137</v>
      </c>
      <c r="G380" s="5095"/>
      <c r="H380" s="5068" t="s">
        <v>4859</v>
      </c>
      <c r="I380" s="5069" t="s">
        <v>4846</v>
      </c>
      <c r="J380" s="5069"/>
      <c r="K380" s="5054"/>
      <c r="L380" s="5054"/>
      <c r="M380" s="5054"/>
      <c r="N380" s="5054"/>
      <c r="O380" s="5054"/>
      <c r="P380" s="5054"/>
      <c r="Q380" s="5054"/>
      <c r="R380" s="5054"/>
      <c r="S380" s="5054"/>
      <c r="T380" s="5054"/>
      <c r="U380" s="5055"/>
      <c r="V380" s="5055"/>
      <c r="W380" s="5055"/>
      <c r="X380" s="5055"/>
      <c r="Y380" s="5055"/>
    </row>
    <row customHeight="true" ht="16.071428571428573" r="381">
      <c r="A381" s="5079" t="s">
        <v>5163</v>
      </c>
      <c r="B381" s="5072">
        <v>46243</v>
      </c>
      <c r="C381" s="5079" t="str">
        <v>Sunday</v>
      </c>
      <c r="D381" s="5064" t="s">
        <v>4996</v>
      </c>
      <c r="E381" s="5068">
        <f t="shared" si="62"/>
      </c>
      <c r="F381" s="5284" t="s">
        <v>5137</v>
      </c>
      <c r="G381" s="5095"/>
      <c r="H381" s="5068" t="s">
        <v>4859</v>
      </c>
      <c r="I381" s="5069" t="s">
        <v>4846</v>
      </c>
      <c r="J381" s="5069"/>
      <c r="K381" s="5054"/>
      <c r="L381" s="5054"/>
      <c r="M381" s="5054"/>
      <c r="N381" s="5054"/>
      <c r="O381" s="5054"/>
      <c r="P381" s="5054"/>
      <c r="Q381" s="5054"/>
      <c r="R381" s="5054"/>
      <c r="S381" s="5054"/>
      <c r="T381" s="5054"/>
      <c r="U381" s="5055"/>
      <c r="V381" s="5055"/>
      <c r="W381" s="5055"/>
      <c r="X381" s="5055"/>
      <c r="Y381" s="5055"/>
    </row>
    <row customHeight="true" ht="16.071428571428573" r="382">
      <c r="A382" s="5079"/>
      <c r="B382" s="5079"/>
      <c r="C382" s="5079"/>
      <c r="D382" s="5069"/>
      <c r="E382" s="5068"/>
      <c r="F382" s="5284"/>
      <c r="G382" s="5095"/>
      <c r="H382" s="5068"/>
      <c r="I382" s="5069"/>
      <c r="J382" s="5069"/>
      <c r="K382" s="5054"/>
      <c r="L382" s="5054"/>
      <c r="M382" s="5054"/>
      <c r="N382" s="5054"/>
      <c r="O382" s="5054"/>
      <c r="P382" s="5054"/>
      <c r="Q382" s="5054"/>
      <c r="R382" s="5054"/>
      <c r="S382" s="5054"/>
      <c r="T382" s="5054"/>
      <c r="U382" s="5055"/>
      <c r="V382" s="5055"/>
      <c r="W382" s="5055"/>
      <c r="X382" s="5055"/>
      <c r="Y382" s="5055"/>
    </row>
    <row customHeight="true" ht="16.071428571428573" r="383">
      <c r="A383" s="5079" t="s">
        <v>5165</v>
      </c>
      <c r="B383" s="5072">
        <v>46241</v>
      </c>
      <c r="C383" s="5079" t="str">
        <v>Friday</v>
      </c>
      <c r="D383" s="5343" t="s">
        <v>5080</v>
      </c>
      <c r="E383" s="5068">
        <f>24*MOD(TIMEVALUE(TRIM(MID(D383,FIND("-",D383)+1,LEN(D383)))) - TIMEVALUE(TRIM(LEFT(D383,FIND("-",D383)-1))),1)</f>
      </c>
      <c r="F383" s="5284" t="s">
        <v>5124</v>
      </c>
      <c r="G383" s="5095"/>
      <c r="H383" s="5344" t="s">
        <v>4859</v>
      </c>
      <c r="I383" s="5069" t="s">
        <v>4846</v>
      </c>
      <c r="J383" s="5069"/>
      <c r="K383" s="5054"/>
      <c r="L383" s="5054"/>
      <c r="M383" s="5054"/>
      <c r="N383" s="5054"/>
      <c r="O383" s="5054"/>
      <c r="P383" s="5054"/>
      <c r="Q383" s="5054"/>
      <c r="R383" s="5054"/>
      <c r="S383" s="5054"/>
      <c r="T383" s="5054"/>
      <c r="U383" s="5055"/>
      <c r="V383" s="5055"/>
      <c r="W383" s="5055"/>
      <c r="X383" s="5055"/>
      <c r="Y383" s="5055"/>
    </row>
    <row customHeight="true" ht="16.071428571428573" r="384">
      <c r="A384" s="5319"/>
      <c r="B384" s="5079"/>
      <c r="C384" s="5079"/>
      <c r="D384" s="5068"/>
      <c r="E384" s="5068"/>
      <c r="F384" s="5068"/>
      <c r="G384" s="5321"/>
      <c r="H384" s="5068"/>
      <c r="I384" s="5196"/>
      <c r="J384" s="5317"/>
      <c r="K384" s="5053"/>
      <c r="L384" s="5053"/>
      <c r="M384" s="5053"/>
      <c r="N384" s="5053"/>
      <c r="O384" s="5053"/>
      <c r="P384" s="5053"/>
      <c r="Q384" s="5053"/>
      <c r="R384" s="5053"/>
      <c r="S384" s="5053"/>
      <c r="T384" s="5053"/>
      <c r="U384" s="5055"/>
      <c r="V384" s="5055"/>
      <c r="W384" s="5055"/>
      <c r="X384" s="5055"/>
      <c r="Y384" s="5055"/>
    </row>
    <row customHeight="true" ht="16.071428571428573" r="385">
      <c r="A385" s="5319"/>
      <c r="B385" s="5079"/>
      <c r="C385" s="5079"/>
      <c r="D385" s="5068"/>
      <c r="E385" s="5068"/>
      <c r="F385" s="5068"/>
      <c r="G385" s="5321"/>
      <c r="H385" s="5068"/>
      <c r="I385" s="5196"/>
      <c r="J385" s="5317"/>
      <c r="K385" s="5053"/>
      <c r="L385" s="5053"/>
      <c r="M385" s="5053"/>
      <c r="N385" s="5053"/>
      <c r="O385" s="5053"/>
      <c r="P385" s="5053"/>
      <c r="Q385" s="5053"/>
      <c r="R385" s="5053"/>
      <c r="S385" s="5053"/>
      <c r="T385" s="5053"/>
      <c r="U385" s="5055"/>
      <c r="V385" s="5055"/>
      <c r="W385" s="5055"/>
      <c r="X385" s="5055"/>
      <c r="Y385" s="5055"/>
    </row>
    <row customHeight="true" ht="16.071428571428573" r="386">
      <c r="A386" s="5319"/>
      <c r="B386" s="5079"/>
      <c r="C386" s="5079"/>
      <c r="D386" s="5068"/>
      <c r="E386" s="5068"/>
      <c r="F386" s="5068"/>
      <c r="G386" s="5321"/>
      <c r="H386" s="5068"/>
      <c r="I386" s="5196"/>
      <c r="J386" s="5317"/>
      <c r="K386" s="5053"/>
      <c r="L386" s="5053"/>
      <c r="M386" s="5053"/>
      <c r="N386" s="5053"/>
      <c r="O386" s="5053"/>
      <c r="P386" s="5053"/>
      <c r="Q386" s="5053"/>
      <c r="R386" s="5053"/>
      <c r="S386" s="5053"/>
      <c r="T386" s="5053"/>
      <c r="U386" s="5055"/>
      <c r="V386" s="5055"/>
      <c r="W386" s="5055"/>
      <c r="X386" s="5055"/>
      <c r="Y386" s="5055"/>
    </row>
    <row r="387">
      <c r="A387" s="5187"/>
      <c r="B387" s="5187"/>
      <c r="C387" s="5187"/>
      <c r="D387" s="5055"/>
      <c r="E387" s="5187"/>
      <c r="F387" s="5187"/>
      <c r="G387" s="5345"/>
      <c r="H387" s="5187"/>
      <c r="I387" s="5187"/>
      <c r="J387" s="5187"/>
      <c r="K387" s="5053"/>
      <c r="L387" s="5053"/>
      <c r="M387" s="5053"/>
      <c r="N387" s="5053"/>
      <c r="O387" s="5053"/>
      <c r="P387" s="5053"/>
      <c r="Q387" s="5053"/>
      <c r="R387" s="5053"/>
      <c r="S387" s="5053"/>
      <c r="T387" s="5053"/>
      <c r="U387" s="5055"/>
      <c r="V387" s="5055"/>
      <c r="W387" s="5055"/>
      <c r="X387" s="5055"/>
      <c r="Y387" s="5055"/>
    </row>
    <row r="388">
      <c r="A388" s="5123" t="s">
        <v>5166</v>
      </c>
      <c r="B388" s="5123"/>
      <c r="C388" s="5123"/>
      <c r="D388" s="5123"/>
      <c r="E388" s="5123"/>
      <c r="F388" s="5123"/>
      <c r="G388" s="5123"/>
      <c r="H388" s="5123"/>
      <c r="I388" s="5123"/>
      <c r="J388" s="5123"/>
      <c r="K388" s="5098"/>
      <c r="L388" s="5098"/>
      <c r="M388" s="5098"/>
      <c r="N388" s="5098"/>
      <c r="O388" s="5053"/>
      <c r="P388" s="5053"/>
      <c r="Q388" s="5053"/>
      <c r="R388" s="5053"/>
      <c r="S388" s="5053"/>
      <c r="T388" s="5053"/>
      <c r="U388" s="5055"/>
      <c r="V388" s="5055"/>
      <c r="W388" s="5055"/>
      <c r="X388" s="5055"/>
      <c r="Y388" s="5055"/>
    </row>
    <row r="389">
      <c r="A389" s="5123"/>
      <c r="B389" s="5123"/>
      <c r="C389" s="5123"/>
      <c r="D389" s="5123"/>
      <c r="E389" s="5123"/>
      <c r="F389" s="5123"/>
      <c r="G389" s="5123"/>
      <c r="H389" s="5123"/>
      <c r="I389" s="5123"/>
      <c r="J389" s="5123"/>
      <c r="K389" s="5098"/>
      <c r="L389" s="5098"/>
      <c r="M389" s="5098"/>
      <c r="N389" s="5098"/>
      <c r="O389" s="5053"/>
      <c r="P389" s="5053"/>
      <c r="Q389" s="5053"/>
      <c r="R389" s="5053"/>
      <c r="S389" s="5053"/>
      <c r="T389" s="5053"/>
      <c r="U389" s="5055"/>
      <c r="V389" s="5055"/>
      <c r="W389" s="5055"/>
      <c r="X389" s="5055"/>
      <c r="Y389" s="5055"/>
    </row>
    <row r="390">
      <c r="A390" s="5125" t="s">
        <v>4861</v>
      </c>
      <c r="B390" s="5126" t="s">
        <v>4862</v>
      </c>
      <c r="C390" s="5126"/>
      <c r="D390" s="5127" t="s">
        <v>4863</v>
      </c>
      <c r="E390" s="5127" t="s">
        <v>4864</v>
      </c>
      <c r="F390" s="5127" t="s">
        <v>4865</v>
      </c>
      <c r="G390" s="5128" t="s">
        <v>4877</v>
      </c>
      <c r="H390" s="5127" t="s">
        <v>4867</v>
      </c>
      <c r="I390" s="5127" t="s">
        <v>4868</v>
      </c>
      <c r="J390" s="5127" t="s">
        <v>4869</v>
      </c>
      <c r="K390" s="5098"/>
      <c r="L390" s="5098"/>
      <c r="M390" s="5098"/>
      <c r="N390" s="5098"/>
      <c r="O390" s="5053"/>
      <c r="P390" s="5053"/>
      <c r="Q390" s="5053"/>
      <c r="R390" s="5053"/>
      <c r="S390" s="5053"/>
      <c r="T390" s="5053"/>
      <c r="U390" s="5055"/>
      <c r="V390" s="5055"/>
      <c r="W390" s="5055"/>
      <c r="X390" s="5055"/>
      <c r="Y390" s="5055"/>
    </row>
    <row r="391">
      <c r="A391" s="5079" t="s">
        <v>5166</v>
      </c>
      <c r="B391" s="5072">
        <v>46241</v>
      </c>
      <c r="C391" s="5061" t="str">
        <v>Friday</v>
      </c>
      <c r="D391" s="5064" t="s">
        <v>4993</v>
      </c>
      <c r="E391" s="5064">
        <v>3</v>
      </c>
      <c r="F391" s="5068" t="s">
        <v>4892</v>
      </c>
      <c r="G391" s="5150"/>
      <c r="H391" s="5068"/>
      <c r="I391" s="5068" t="s">
        <v>4846</v>
      </c>
      <c r="J391" s="5068"/>
      <c r="K391" s="5098"/>
      <c r="L391" s="5098"/>
      <c r="M391" s="5098"/>
      <c r="N391" s="5098"/>
      <c r="O391" s="5053"/>
      <c r="P391" s="5053"/>
      <c r="Q391" s="5053"/>
      <c r="R391" s="5053"/>
      <c r="S391" s="5053"/>
      <c r="T391" s="5053"/>
      <c r="U391" s="5055"/>
      <c r="V391" s="5055"/>
      <c r="W391" s="5055"/>
      <c r="X391" s="5055"/>
      <c r="Y391" s="5055"/>
    </row>
    <row r="392">
      <c r="A392" s="5079" t="s">
        <v>5166</v>
      </c>
      <c r="B392" s="5072">
        <v>46241</v>
      </c>
      <c r="C392" s="5061" t="str">
        <v>Friday</v>
      </c>
      <c r="D392" s="5064" t="s">
        <v>4990</v>
      </c>
      <c r="E392" s="5064">
        <v>3</v>
      </c>
      <c r="F392" s="5149" t="s">
        <v>4965</v>
      </c>
      <c r="G392" s="5150"/>
      <c r="H392" s="5068"/>
      <c r="I392" s="5069" t="s">
        <v>4846</v>
      </c>
      <c r="J392" s="5068"/>
      <c r="K392" s="5098"/>
      <c r="L392" s="5098"/>
      <c r="M392" s="5098"/>
      <c r="N392" s="5098"/>
      <c r="O392" s="5053"/>
      <c r="P392" s="5053"/>
      <c r="Q392" s="5053"/>
      <c r="R392" s="5053"/>
      <c r="S392" s="5053"/>
      <c r="T392" s="5053"/>
      <c r="U392" s="5055"/>
      <c r="V392" s="5055"/>
      <c r="W392" s="5055"/>
      <c r="X392" s="5055"/>
      <c r="Y392" s="5055"/>
    </row>
    <row customHeight="true" ht="18.452380952380953" r="393">
      <c r="A393" s="5079" t="s">
        <v>5167</v>
      </c>
      <c r="B393" s="5072">
        <v>46239</v>
      </c>
      <c r="C393" s="5061" t="str">
        <v>Wednesday</v>
      </c>
      <c r="D393" s="5064" t="s">
        <v>4945</v>
      </c>
      <c r="E393" s="5064">
        <v>2</v>
      </c>
      <c r="F393" s="5149" t="s">
        <v>4965</v>
      </c>
      <c r="G393" s="5150"/>
      <c r="H393" s="5068"/>
      <c r="I393" s="5069" t="s">
        <v>4846</v>
      </c>
      <c r="J393" s="5068"/>
      <c r="K393" s="5098"/>
      <c r="L393" s="5098"/>
      <c r="M393" s="5098"/>
      <c r="N393" s="5098"/>
      <c r="O393" s="5053"/>
      <c r="P393" s="5053"/>
      <c r="Q393" s="5053"/>
      <c r="R393" s="5053"/>
      <c r="S393" s="5053"/>
      <c r="T393" s="5053"/>
      <c r="U393" s="5055"/>
      <c r="V393" s="5055"/>
      <c r="W393" s="5055"/>
      <c r="X393" s="5055"/>
      <c r="Y393" s="5055"/>
    </row>
    <row customHeight="true" ht="18.452380952380953" r="394">
      <c r="A394" s="5079" t="s">
        <v>5167</v>
      </c>
      <c r="B394" s="5072">
        <v>46238</v>
      </c>
      <c r="C394" s="5061" t="str">
        <v>Tuesday</v>
      </c>
      <c r="D394" s="5064" t="s">
        <v>5168</v>
      </c>
      <c r="E394" s="5064">
        <v>2</v>
      </c>
      <c r="F394" s="5149" t="s">
        <v>4892</v>
      </c>
      <c r="G394" s="5150"/>
      <c r="H394" s="5068"/>
      <c r="I394" s="5068" t="s">
        <v>4846</v>
      </c>
      <c r="J394" s="5068"/>
      <c r="K394" s="5098"/>
      <c r="L394" s="5098"/>
      <c r="M394" s="5098"/>
      <c r="N394" s="5098"/>
      <c r="O394" s="5053"/>
      <c r="P394" s="5053"/>
      <c r="Q394" s="5053"/>
      <c r="R394" s="5053"/>
      <c r="S394" s="5053"/>
      <c r="T394" s="5053"/>
      <c r="U394" s="5055"/>
      <c r="V394" s="5055"/>
      <c r="W394" s="5055"/>
      <c r="X394" s="5055"/>
      <c r="Y394" s="5055"/>
    </row>
    <row customHeight="true" ht="18.452380952380953" r="395">
      <c r="A395" s="5079" t="s">
        <v>5167</v>
      </c>
      <c r="B395" s="5072">
        <v>46240</v>
      </c>
      <c r="C395" s="5061" t="str">
        <v>Thursday</v>
      </c>
      <c r="D395" s="5064" t="s">
        <v>4971</v>
      </c>
      <c r="E395" s="5064">
        <v>1</v>
      </c>
      <c r="F395" s="5149" t="s">
        <v>4892</v>
      </c>
      <c r="G395" s="5150"/>
      <c r="H395" s="5068"/>
      <c r="I395" s="5068" t="s">
        <v>4846</v>
      </c>
      <c r="J395" s="5068"/>
      <c r="K395" s="5098"/>
      <c r="L395" s="5098"/>
      <c r="M395" s="5098"/>
      <c r="N395" s="5098"/>
      <c r="O395" s="5053"/>
      <c r="P395" s="5053"/>
      <c r="Q395" s="5053"/>
      <c r="R395" s="5053"/>
      <c r="S395" s="5053"/>
      <c r="T395" s="5053"/>
      <c r="U395" s="5055"/>
      <c r="V395" s="5055"/>
      <c r="W395" s="5055"/>
      <c r="X395" s="5055"/>
      <c r="Y395" s="5055"/>
    </row>
    <row customHeight="true" ht="18.452380952380953" r="396">
      <c r="A396" s="5079" t="s">
        <v>5167</v>
      </c>
      <c r="B396" s="5072">
        <v>46241</v>
      </c>
      <c r="C396" s="5061" t="str">
        <v>Friday</v>
      </c>
      <c r="D396" s="5064" t="s">
        <v>4952</v>
      </c>
      <c r="E396" s="5064">
        <v>1</v>
      </c>
      <c r="F396" s="5149" t="s">
        <v>4965</v>
      </c>
      <c r="G396" s="5150"/>
      <c r="H396" s="5068"/>
      <c r="I396" s="5068" t="s">
        <v>4846</v>
      </c>
      <c r="J396" s="5068"/>
      <c r="K396" s="5098"/>
      <c r="L396" s="5098"/>
      <c r="M396" s="5098"/>
      <c r="N396" s="5098"/>
      <c r="O396" s="5053"/>
      <c r="P396" s="5053"/>
      <c r="Q396" s="5053"/>
      <c r="R396" s="5053"/>
      <c r="S396" s="5053"/>
      <c r="T396" s="5053"/>
      <c r="U396" s="5055"/>
      <c r="V396" s="5055"/>
      <c r="W396" s="5055"/>
      <c r="X396" s="5055"/>
      <c r="Y396" s="5055"/>
    </row>
    <row r="397">
      <c r="A397" s="5079" t="s">
        <v>5169</v>
      </c>
      <c r="B397" s="5072">
        <v>46241</v>
      </c>
      <c r="C397" s="5061" t="str">
        <v>Friday</v>
      </c>
      <c r="D397" s="5064" t="s">
        <v>5170</v>
      </c>
      <c r="E397" s="5064">
        <v>4.5</v>
      </c>
      <c r="F397" s="5068" t="s">
        <v>5171</v>
      </c>
      <c r="G397" s="5150"/>
      <c r="H397" s="5068"/>
      <c r="I397" s="5069"/>
      <c r="J397" s="5068"/>
      <c r="K397" s="5098"/>
      <c r="L397" s="5098"/>
      <c r="M397" s="5098"/>
      <c r="N397" s="5098"/>
      <c r="O397" s="5053"/>
      <c r="P397" s="5053"/>
      <c r="Q397" s="5053"/>
      <c r="R397" s="5053"/>
      <c r="S397" s="5053"/>
      <c r="T397" s="5053"/>
      <c r="U397" s="5055"/>
      <c r="V397" s="5055"/>
      <c r="W397" s="5055"/>
      <c r="X397" s="5055"/>
      <c r="Y397" s="5055"/>
    </row>
    <row r="398">
      <c r="A398" s="5079" t="s">
        <v>5169</v>
      </c>
      <c r="B398" s="5072">
        <v>46241</v>
      </c>
      <c r="C398" s="5061" t="str">
        <v>Friday</v>
      </c>
      <c r="D398" s="5064" t="s">
        <v>4879</v>
      </c>
      <c r="E398" s="5064">
        <v>2</v>
      </c>
      <c r="F398" s="5068" t="s">
        <v>5171</v>
      </c>
      <c r="G398" s="5150"/>
      <c r="H398" s="5068"/>
      <c r="I398" s="5069"/>
      <c r="J398" s="5068"/>
      <c r="K398" s="5098"/>
      <c r="L398" s="5098"/>
      <c r="M398" s="5098"/>
      <c r="N398" s="5098"/>
      <c r="O398" s="5053"/>
      <c r="P398" s="5053"/>
      <c r="Q398" s="5053"/>
      <c r="R398" s="5053"/>
      <c r="S398" s="5053"/>
      <c r="T398" s="5053"/>
      <c r="U398" s="5055"/>
      <c r="V398" s="5055"/>
      <c r="W398" s="5055"/>
      <c r="X398" s="5055"/>
      <c r="Y398" s="5055"/>
    </row>
    <row r="399">
      <c r="A399" s="5079"/>
      <c r="B399" s="5079"/>
      <c r="C399" s="5079"/>
      <c r="D399" s="5069"/>
      <c r="E399" s="5069"/>
      <c r="F399" s="5149"/>
      <c r="G399" s="5150"/>
      <c r="H399" s="5068"/>
      <c r="I399" s="5069"/>
      <c r="J399" s="5068"/>
      <c r="K399" s="5098"/>
      <c r="L399" s="5098"/>
      <c r="M399" s="5098"/>
      <c r="N399" s="5098"/>
      <c r="O399" s="5053"/>
      <c r="P399" s="5053"/>
      <c r="Q399" s="5053"/>
      <c r="R399" s="5053"/>
      <c r="S399" s="5053"/>
      <c r="T399" s="5053"/>
      <c r="U399" s="5055"/>
      <c r="V399" s="5055"/>
      <c r="W399" s="5055"/>
      <c r="X399" s="5055"/>
      <c r="Y399" s="5055"/>
    </row>
    <row r="400">
      <c r="A400" s="5346" t="s">
        <v>5172</v>
      </c>
      <c r="B400" s="5346"/>
      <c r="C400" s="5346"/>
      <c r="D400" s="5346"/>
      <c r="E400" s="5346"/>
      <c r="F400" s="5346"/>
      <c r="G400" s="5346"/>
      <c r="H400" s="5346"/>
      <c r="I400" s="5346"/>
      <c r="J400" s="5346"/>
      <c r="K400" s="5053"/>
      <c r="L400" s="5053"/>
      <c r="M400" s="5053"/>
      <c r="N400" s="5053"/>
      <c r="O400" s="5053"/>
      <c r="P400" s="5053"/>
      <c r="Q400" s="5053"/>
      <c r="R400" s="5053"/>
      <c r="S400" s="5053"/>
      <c r="T400" s="5053"/>
      <c r="U400" s="5055"/>
      <c r="V400" s="5055"/>
      <c r="W400" s="5055"/>
      <c r="X400" s="5055"/>
      <c r="Y400" s="5055"/>
    </row>
    <row r="401">
      <c r="A401" s="5347" t="s">
        <v>4861</v>
      </c>
      <c r="B401" s="5348" t="s">
        <v>4862</v>
      </c>
      <c r="C401" s="5348"/>
      <c r="D401" s="5349" t="s">
        <v>4863</v>
      </c>
      <c r="E401" s="5349" t="s">
        <v>4864</v>
      </c>
      <c r="F401" s="5349" t="s">
        <v>4865</v>
      </c>
      <c r="G401" s="5350" t="s">
        <v>4877</v>
      </c>
      <c r="H401" s="5349" t="s">
        <v>4867</v>
      </c>
      <c r="I401" s="5349" t="s">
        <v>4868</v>
      </c>
      <c r="J401" s="5349" t="s">
        <v>4869</v>
      </c>
      <c r="K401" s="5053"/>
      <c r="L401" s="5053"/>
      <c r="M401" s="5053"/>
      <c r="N401" s="5053"/>
      <c r="O401" s="5053"/>
      <c r="P401" s="5053"/>
      <c r="Q401" s="5053"/>
      <c r="R401" s="5053"/>
      <c r="S401" s="5053"/>
      <c r="T401" s="5053"/>
      <c r="U401" s="5055"/>
      <c r="V401" s="5055"/>
      <c r="W401" s="5055"/>
      <c r="X401" s="5055"/>
      <c r="Y401" s="5055"/>
    </row>
    <row r="402">
      <c r="A402" s="5288" t="s">
        <v>5173</v>
      </c>
      <c r="B402" s="5289">
        <v>46238</v>
      </c>
      <c r="C402" s="5288" t="str">
        <v>Tuesday</v>
      </c>
      <c r="D402" s="5296" t="s">
        <v>5027</v>
      </c>
      <c r="E402" s="5291">
        <f t="shared" ref="E402:E428" si="63">24*MOD(TIMEVALUE(TRIM(MID(D402,FIND("-",D402)+1,LEN(D402)))) - TIMEVALUE(TRIM(LEFT(D402,FIND("-",D402)-1))),1)</f>
      </c>
      <c r="F402" s="5291" t="s">
        <v>5115</v>
      </c>
      <c r="G402" s="5309"/>
      <c r="H402" s="5196" t="s">
        <v>4845</v>
      </c>
      <c r="I402" s="5196"/>
      <c r="J402" s="5196"/>
      <c r="K402" s="5239"/>
      <c r="L402" s="5239"/>
      <c r="M402" s="5239"/>
      <c r="N402" s="5239"/>
      <c r="O402" s="5239"/>
      <c r="P402" s="5239"/>
      <c r="Q402" s="5239"/>
      <c r="R402" s="5239"/>
      <c r="S402" s="5239"/>
      <c r="T402" s="5239"/>
      <c r="U402" s="5240"/>
      <c r="V402" s="5240"/>
      <c r="W402" s="5240"/>
      <c r="X402" s="5240"/>
      <c r="Y402" s="5240"/>
    </row>
    <row r="403">
      <c r="A403" s="5288" t="s">
        <v>5173</v>
      </c>
      <c r="B403" s="5289">
        <v>46238</v>
      </c>
      <c r="C403" s="5288" t="str">
        <v>Tuesday</v>
      </c>
      <c r="D403" s="5296" t="s">
        <v>5039</v>
      </c>
      <c r="E403" s="5291">
        <f t="shared" si="63"/>
      </c>
      <c r="F403" s="5291" t="s">
        <v>5174</v>
      </c>
      <c r="G403" s="5309"/>
      <c r="H403" s="5196" t="s">
        <v>4845</v>
      </c>
      <c r="I403" s="5196"/>
      <c r="J403" s="5196"/>
      <c r="K403" s="5239"/>
      <c r="L403" s="5239"/>
      <c r="M403" s="5239"/>
      <c r="N403" s="5239"/>
      <c r="O403" s="5239"/>
      <c r="P403" s="5239"/>
      <c r="Q403" s="5239"/>
      <c r="R403" s="5239"/>
      <c r="S403" s="5239"/>
      <c r="T403" s="5239"/>
      <c r="U403" s="5240"/>
      <c r="V403" s="5240"/>
      <c r="W403" s="5240"/>
      <c r="X403" s="5240"/>
      <c r="Y403" s="5240"/>
    </row>
    <row r="404">
      <c r="A404" s="5079" t="s">
        <v>5175</v>
      </c>
      <c r="B404" s="5072">
        <v>46238</v>
      </c>
      <c r="C404" s="5079" t="str">
        <v>Tuesday</v>
      </c>
      <c r="D404" s="5351" t="s">
        <v>5176</v>
      </c>
      <c r="E404" s="5069">
        <f t="shared" si="63"/>
      </c>
      <c r="F404" s="5069" t="s">
        <v>5177</v>
      </c>
      <c r="G404" s="5309"/>
      <c r="H404" s="5196" t="s">
        <v>4845</v>
      </c>
      <c r="I404" s="5196"/>
      <c r="J404" s="5237" t="s">
        <v>5178</v>
      </c>
      <c r="K404" s="5239"/>
      <c r="L404" s="5239"/>
      <c r="M404" s="5239"/>
      <c r="N404" s="5239"/>
      <c r="O404" s="5239"/>
      <c r="P404" s="5239"/>
      <c r="Q404" s="5239"/>
      <c r="R404" s="5239"/>
      <c r="S404" s="5239"/>
      <c r="T404" s="5239"/>
      <c r="U404" s="5240"/>
      <c r="V404" s="5240"/>
      <c r="W404" s="5240"/>
      <c r="X404" s="5240"/>
      <c r="Y404" s="5240"/>
    </row>
    <row r="405">
      <c r="A405" s="5079" t="s">
        <v>5175</v>
      </c>
      <c r="B405" s="5072">
        <v>46238</v>
      </c>
      <c r="C405" s="5079" t="str">
        <v>Tuesday</v>
      </c>
      <c r="D405" s="5351" t="s">
        <v>5039</v>
      </c>
      <c r="E405" s="5069">
        <f t="shared" si="63"/>
      </c>
      <c r="F405" s="5069" t="s">
        <v>5179</v>
      </c>
      <c r="G405" s="5309"/>
      <c r="H405" s="5196" t="s">
        <v>4845</v>
      </c>
      <c r="I405" s="5196"/>
      <c r="J405" s="5196"/>
      <c r="K405" s="5239"/>
      <c r="L405" s="5239"/>
      <c r="M405" s="5239"/>
      <c r="N405" s="5239"/>
      <c r="O405" s="5239"/>
      <c r="P405" s="5239"/>
      <c r="Q405" s="5239"/>
      <c r="R405" s="5239"/>
      <c r="S405" s="5239"/>
      <c r="T405" s="5239"/>
      <c r="U405" s="5240"/>
      <c r="V405" s="5240"/>
      <c r="W405" s="5240"/>
      <c r="X405" s="5240"/>
      <c r="Y405" s="5240"/>
    </row>
    <row customHeight="true" ht="18.452380952380953" r="406">
      <c r="A406" s="5079" t="s">
        <v>5180</v>
      </c>
      <c r="B406" s="5079">
        <v>46239</v>
      </c>
      <c r="C406" s="5079" t="str">
        <v>Wednesday</v>
      </c>
      <c r="D406" s="5351" t="s">
        <v>5080</v>
      </c>
      <c r="E406" s="5069">
        <f t="shared" si="63"/>
      </c>
      <c r="F406" s="5352" t="s">
        <v>5181</v>
      </c>
      <c r="G406" s="5095"/>
      <c r="H406" s="5069" t="s">
        <v>4845</v>
      </c>
      <c r="I406" s="5069" t="s">
        <v>4846</v>
      </c>
      <c r="J406" s="5069"/>
      <c r="K406" s="5053"/>
      <c r="L406" s="5053"/>
      <c r="M406" s="5053"/>
      <c r="N406" s="5053"/>
      <c r="O406" s="5053"/>
      <c r="P406" s="5053"/>
      <c r="Q406" s="5053"/>
      <c r="R406" s="5053"/>
      <c r="S406" s="5053"/>
      <c r="T406" s="5053"/>
      <c r="U406" s="5054"/>
      <c r="V406" s="5054"/>
      <c r="W406" s="5054"/>
      <c r="X406" s="5054"/>
      <c r="Y406" s="5054"/>
    </row>
    <row r="407">
      <c r="A407" s="5288" t="s">
        <v>5173</v>
      </c>
      <c r="B407" s="5289">
        <v>46239</v>
      </c>
      <c r="C407" s="5288" t="str">
        <v>Wednesday</v>
      </c>
      <c r="D407" s="5296" t="s">
        <v>5027</v>
      </c>
      <c r="E407" s="5291">
        <f t="shared" si="63"/>
      </c>
      <c r="F407" s="5291" t="s">
        <v>5182</v>
      </c>
      <c r="G407" s="5309"/>
      <c r="H407" s="5196" t="s">
        <v>4845</v>
      </c>
      <c r="I407" s="5196"/>
      <c r="J407" s="5196"/>
      <c r="K407" s="5239"/>
      <c r="L407" s="5239"/>
      <c r="M407" s="5239"/>
      <c r="N407" s="5239"/>
      <c r="O407" s="5239"/>
      <c r="P407" s="5239"/>
      <c r="Q407" s="5239"/>
      <c r="R407" s="5239"/>
      <c r="S407" s="5239"/>
      <c r="T407" s="5239"/>
      <c r="U407" s="5240"/>
      <c r="V407" s="5240"/>
      <c r="W407" s="5240"/>
      <c r="X407" s="5240"/>
      <c r="Y407" s="5240"/>
    </row>
    <row r="408">
      <c r="A408" s="5288" t="s">
        <v>5173</v>
      </c>
      <c r="B408" s="5289">
        <v>46239</v>
      </c>
      <c r="C408" s="5288" t="str">
        <v>Wednesday</v>
      </c>
      <c r="D408" s="5296" t="s">
        <v>5039</v>
      </c>
      <c r="E408" s="5291">
        <f t="shared" si="63"/>
      </c>
      <c r="F408" s="5353" t="s">
        <v>5181</v>
      </c>
      <c r="G408" s="5309"/>
      <c r="H408" s="5196" t="s">
        <v>4845</v>
      </c>
      <c r="I408" s="5196" t="s">
        <v>4846</v>
      </c>
      <c r="J408" s="5196"/>
      <c r="K408" s="5239"/>
      <c r="L408" s="5239"/>
      <c r="M408" s="5239"/>
      <c r="N408" s="5239"/>
      <c r="O408" s="5239"/>
      <c r="P408" s="5239"/>
      <c r="Q408" s="5239"/>
      <c r="R408" s="5239"/>
      <c r="S408" s="5239"/>
      <c r="T408" s="5239"/>
      <c r="U408" s="5240"/>
      <c r="V408" s="5240"/>
      <c r="W408" s="5240"/>
      <c r="X408" s="5240"/>
      <c r="Y408" s="5240"/>
    </row>
    <row r="409">
      <c r="A409" s="5079" t="s">
        <v>5175</v>
      </c>
      <c r="B409" s="5072">
        <v>46239</v>
      </c>
      <c r="C409" s="5079" t="str">
        <v>Wednesday</v>
      </c>
      <c r="D409" s="5351" t="s">
        <v>5027</v>
      </c>
      <c r="E409" s="5069">
        <f t="shared" si="63"/>
      </c>
      <c r="F409" s="5069" t="s">
        <v>5177</v>
      </c>
      <c r="G409" s="5309"/>
      <c r="H409" s="5196" t="s">
        <v>4845</v>
      </c>
      <c r="I409" s="5196"/>
      <c r="J409" s="5196"/>
      <c r="K409" s="5239"/>
      <c r="L409" s="5239"/>
      <c r="M409" s="5239"/>
      <c r="N409" s="5239"/>
      <c r="O409" s="5239"/>
      <c r="P409" s="5239"/>
      <c r="Q409" s="5239"/>
      <c r="R409" s="5239"/>
      <c r="S409" s="5239"/>
      <c r="T409" s="5239"/>
      <c r="U409" s="5240"/>
      <c r="V409" s="5240"/>
      <c r="W409" s="5240"/>
      <c r="X409" s="5240"/>
      <c r="Y409" s="5240"/>
    </row>
    <row r="410">
      <c r="A410" s="5079" t="s">
        <v>5175</v>
      </c>
      <c r="B410" s="5072">
        <v>46239</v>
      </c>
      <c r="C410" s="5079" t="str">
        <v>Wednesday</v>
      </c>
      <c r="D410" s="5351" t="s">
        <v>5039</v>
      </c>
      <c r="E410" s="5069">
        <f t="shared" si="63"/>
      </c>
      <c r="F410" s="5069" t="s">
        <v>5179</v>
      </c>
      <c r="G410" s="5309"/>
      <c r="H410" s="5196" t="s">
        <v>4845</v>
      </c>
      <c r="I410" s="5196"/>
      <c r="J410" s="5196"/>
      <c r="K410" s="5239"/>
      <c r="L410" s="5239"/>
      <c r="M410" s="5239"/>
      <c r="N410" s="5239"/>
      <c r="O410" s="5239"/>
      <c r="P410" s="5239"/>
      <c r="Q410" s="5239"/>
      <c r="R410" s="5239"/>
      <c r="S410" s="5239"/>
      <c r="T410" s="5239"/>
      <c r="U410" s="5240"/>
      <c r="V410" s="5240"/>
      <c r="W410" s="5240"/>
      <c r="X410" s="5240"/>
      <c r="Y410" s="5240"/>
    </row>
    <row r="411">
      <c r="A411" s="5288" t="s">
        <v>5173</v>
      </c>
      <c r="B411" s="5289">
        <v>46240</v>
      </c>
      <c r="C411" s="5288" t="str">
        <v>Thursday</v>
      </c>
      <c r="D411" s="5296" t="s">
        <v>5027</v>
      </c>
      <c r="E411" s="5291">
        <f t="shared" si="63"/>
      </c>
      <c r="F411" s="5295" t="s">
        <v>5179</v>
      </c>
      <c r="G411" s="5309"/>
      <c r="H411" s="5196" t="s">
        <v>4845</v>
      </c>
      <c r="I411" s="5196"/>
      <c r="J411" s="5196"/>
      <c r="K411" s="5239"/>
      <c r="L411" s="5239"/>
      <c r="M411" s="5239"/>
      <c r="N411" s="5239"/>
      <c r="O411" s="5239"/>
      <c r="P411" s="5239"/>
      <c r="Q411" s="5239"/>
      <c r="R411" s="5239"/>
      <c r="S411" s="5239"/>
      <c r="T411" s="5239"/>
      <c r="U411" s="5240"/>
      <c r="V411" s="5240"/>
      <c r="W411" s="5240"/>
      <c r="X411" s="5240"/>
      <c r="Y411" s="5240"/>
    </row>
    <row r="412">
      <c r="A412" s="5288" t="s">
        <v>5173</v>
      </c>
      <c r="B412" s="5289">
        <v>46240</v>
      </c>
      <c r="C412" s="5288" t="str">
        <v>Thursday</v>
      </c>
      <c r="D412" s="5296" t="s">
        <v>5039</v>
      </c>
      <c r="E412" s="5291">
        <f t="shared" si="63"/>
      </c>
      <c r="F412" s="5291" t="s">
        <v>5115</v>
      </c>
      <c r="G412" s="5309"/>
      <c r="H412" s="5196" t="s">
        <v>4845</v>
      </c>
      <c r="I412" s="5196"/>
      <c r="J412" s="5196"/>
      <c r="K412" s="5239"/>
      <c r="L412" s="5239"/>
      <c r="M412" s="5239"/>
      <c r="N412" s="5239"/>
      <c r="O412" s="5239"/>
      <c r="P412" s="5239"/>
      <c r="Q412" s="5239"/>
      <c r="R412" s="5239"/>
      <c r="S412" s="5239"/>
      <c r="T412" s="5239"/>
      <c r="U412" s="5240"/>
      <c r="V412" s="5240"/>
      <c r="W412" s="5240"/>
      <c r="X412" s="5240"/>
      <c r="Y412" s="5240"/>
    </row>
    <row r="413">
      <c r="A413" s="5079" t="s">
        <v>5175</v>
      </c>
      <c r="B413" s="5072">
        <v>46240</v>
      </c>
      <c r="C413" s="5079" t="str">
        <v>Thursday</v>
      </c>
      <c r="D413" s="5351" t="s">
        <v>5183</v>
      </c>
      <c r="E413" s="5069">
        <f t="shared" si="63"/>
      </c>
      <c r="F413" s="5069" t="s">
        <v>5177</v>
      </c>
      <c r="G413" s="5354"/>
      <c r="H413" s="5196" t="s">
        <v>4845</v>
      </c>
      <c r="I413" s="5196"/>
      <c r="J413" s="5196"/>
      <c r="K413" s="5239"/>
      <c r="L413" s="5239"/>
      <c r="M413" s="5239"/>
      <c r="N413" s="5239"/>
      <c r="O413" s="5239"/>
      <c r="P413" s="5239"/>
      <c r="Q413" s="5239"/>
      <c r="R413" s="5239"/>
      <c r="S413" s="5239"/>
      <c r="T413" s="5239"/>
      <c r="U413" s="5240"/>
      <c r="V413" s="5240"/>
      <c r="W413" s="5240"/>
      <c r="X413" s="5240"/>
      <c r="Y413" s="5240"/>
    </row>
    <row r="414">
      <c r="A414" s="5079" t="s">
        <v>5175</v>
      </c>
      <c r="B414" s="5072">
        <v>46240</v>
      </c>
      <c r="C414" s="5079" t="str">
        <v>Thursday</v>
      </c>
      <c r="D414" s="5351" t="s">
        <v>5184</v>
      </c>
      <c r="E414" s="5069">
        <f t="shared" si="63"/>
      </c>
      <c r="F414" s="5069" t="s">
        <v>5179</v>
      </c>
      <c r="G414" s="5309"/>
      <c r="H414" s="5196" t="s">
        <v>4845</v>
      </c>
      <c r="I414" s="5196"/>
      <c r="J414" s="5196"/>
      <c r="K414" s="5239"/>
      <c r="L414" s="5239"/>
      <c r="M414" s="5239"/>
      <c r="N414" s="5239"/>
      <c r="O414" s="5239"/>
      <c r="P414" s="5239"/>
      <c r="Q414" s="5239"/>
      <c r="R414" s="5239"/>
      <c r="S414" s="5239"/>
      <c r="T414" s="5239"/>
      <c r="U414" s="5240"/>
      <c r="V414" s="5240"/>
      <c r="W414" s="5240"/>
      <c r="X414" s="5240"/>
      <c r="Y414" s="5240"/>
    </row>
    <row r="415">
      <c r="A415" s="5288" t="s">
        <v>5173</v>
      </c>
      <c r="B415" s="5289">
        <v>46241</v>
      </c>
      <c r="C415" s="5288" t="str">
        <v>Friday</v>
      </c>
      <c r="D415" s="5296" t="s">
        <v>5027</v>
      </c>
      <c r="E415" s="5291">
        <f t="shared" si="63"/>
      </c>
      <c r="F415" s="5291" t="s">
        <v>5182</v>
      </c>
      <c r="G415" s="5309"/>
      <c r="H415" s="5196" t="s">
        <v>4845</v>
      </c>
      <c r="I415" s="5196"/>
      <c r="J415" s="5196"/>
      <c r="K415" s="5239"/>
      <c r="L415" s="5239"/>
      <c r="M415" s="5239"/>
      <c r="N415" s="5239"/>
      <c r="O415" s="5239"/>
      <c r="P415" s="5239"/>
      <c r="Q415" s="5239"/>
      <c r="R415" s="5239"/>
      <c r="S415" s="5239"/>
      <c r="T415" s="5239"/>
      <c r="U415" s="5240"/>
      <c r="V415" s="5240"/>
      <c r="W415" s="5240"/>
      <c r="X415" s="5240"/>
      <c r="Y415" s="5240"/>
    </row>
    <row r="416">
      <c r="A416" s="5288" t="s">
        <v>5173</v>
      </c>
      <c r="B416" s="5289">
        <v>46241</v>
      </c>
      <c r="C416" s="5288" t="str">
        <v>Friday</v>
      </c>
      <c r="D416" s="5296" t="s">
        <v>5039</v>
      </c>
      <c r="E416" s="5291">
        <f t="shared" si="63"/>
      </c>
      <c r="F416" s="5291" t="s">
        <v>5174</v>
      </c>
      <c r="G416" s="5309"/>
      <c r="H416" s="5196" t="s">
        <v>4845</v>
      </c>
      <c r="I416" s="5196"/>
      <c r="J416" s="5196"/>
      <c r="K416" s="5239"/>
      <c r="L416" s="5239"/>
      <c r="M416" s="5239"/>
      <c r="N416" s="5239"/>
      <c r="O416" s="5239"/>
      <c r="P416" s="5239"/>
      <c r="Q416" s="5239"/>
      <c r="R416" s="5239"/>
      <c r="S416" s="5239"/>
      <c r="T416" s="5239"/>
      <c r="U416" s="5240"/>
      <c r="V416" s="5240"/>
      <c r="W416" s="5240"/>
      <c r="X416" s="5240"/>
      <c r="Y416" s="5240"/>
    </row>
    <row r="417">
      <c r="A417" s="5079" t="s">
        <v>5175</v>
      </c>
      <c r="B417" s="5072">
        <v>46241</v>
      </c>
      <c r="C417" s="5079" t="str">
        <v>Friday</v>
      </c>
      <c r="D417" s="5351" t="s">
        <v>5185</v>
      </c>
      <c r="E417" s="5069">
        <f t="shared" si="63"/>
      </c>
      <c r="F417" s="5069" t="s">
        <v>5179</v>
      </c>
      <c r="G417" s="5309"/>
      <c r="H417" s="5196" t="s">
        <v>4845</v>
      </c>
      <c r="I417" s="5196"/>
      <c r="J417" s="5196"/>
      <c r="K417" s="5239"/>
      <c r="L417" s="5239"/>
      <c r="M417" s="5239"/>
      <c r="N417" s="5239"/>
      <c r="O417" s="5239"/>
      <c r="P417" s="5239"/>
      <c r="Q417" s="5239"/>
      <c r="R417" s="5239"/>
      <c r="S417" s="5239"/>
      <c r="T417" s="5239"/>
      <c r="U417" s="5240"/>
      <c r="V417" s="5240"/>
      <c r="W417" s="5240"/>
      <c r="X417" s="5240"/>
      <c r="Y417" s="5240"/>
    </row>
    <row r="418">
      <c r="A418" s="5079" t="s">
        <v>5175</v>
      </c>
      <c r="B418" s="5072">
        <v>46241</v>
      </c>
      <c r="C418" s="5079" t="str">
        <v>Friday</v>
      </c>
      <c r="D418" s="5351" t="s">
        <v>5184</v>
      </c>
      <c r="E418" s="5069">
        <f t="shared" si="63"/>
      </c>
      <c r="F418" s="5069" t="s">
        <v>5177</v>
      </c>
      <c r="G418" s="5309"/>
      <c r="H418" s="5196" t="s">
        <v>4845</v>
      </c>
      <c r="I418" s="5196"/>
      <c r="J418" s="5238" t="s">
        <v>5178</v>
      </c>
      <c r="K418" s="5239"/>
      <c r="L418" s="5239"/>
      <c r="M418" s="5239"/>
      <c r="N418" s="5239"/>
      <c r="O418" s="5239"/>
      <c r="P418" s="5239"/>
      <c r="Q418" s="5239"/>
      <c r="R418" s="5239"/>
      <c r="S418" s="5239"/>
      <c r="T418" s="5239"/>
      <c r="U418" s="5240"/>
      <c r="V418" s="5240"/>
      <c r="W418" s="5240"/>
      <c r="X418" s="5240"/>
      <c r="Y418" s="5240"/>
    </row>
    <row customHeight="true" ht="18.452380952380953" r="419">
      <c r="A419" s="5235" t="s">
        <v>5186</v>
      </c>
      <c r="B419" s="5072">
        <v>46242</v>
      </c>
      <c r="C419" s="5079" t="str">
        <v>Saturday</v>
      </c>
      <c r="D419" s="5351" t="s">
        <v>5187</v>
      </c>
      <c r="E419" s="5069">
        <f t="shared" si="63"/>
      </c>
      <c r="F419" s="5069" t="s">
        <v>5179</v>
      </c>
      <c r="G419" s="5309"/>
      <c r="H419" s="5196"/>
      <c r="I419" s="5196"/>
      <c r="J419" s="5355"/>
      <c r="K419" s="5239"/>
      <c r="L419" s="5239"/>
      <c r="M419" s="5239"/>
      <c r="N419" s="5239"/>
      <c r="O419" s="5239"/>
      <c r="P419" s="5239"/>
      <c r="Q419" s="5239"/>
      <c r="R419" s="5239"/>
      <c r="S419" s="5239"/>
      <c r="T419" s="5239"/>
      <c r="U419" s="5240"/>
      <c r="V419" s="5240"/>
      <c r="W419" s="5240"/>
      <c r="X419" s="5240"/>
      <c r="Y419" s="5240"/>
    </row>
    <row r="420">
      <c r="A420" s="5288" t="s">
        <v>5173</v>
      </c>
      <c r="B420" s="5289">
        <v>46242</v>
      </c>
      <c r="C420" s="5288" t="str">
        <v>Saturday</v>
      </c>
      <c r="D420" s="5296" t="s">
        <v>5027</v>
      </c>
      <c r="E420" s="5291">
        <f t="shared" si="63"/>
      </c>
      <c r="F420" s="5291" t="s">
        <v>5174</v>
      </c>
      <c r="G420" s="5309"/>
      <c r="H420" s="5196" t="s">
        <v>4845</v>
      </c>
      <c r="I420" s="5196"/>
      <c r="J420" s="5355"/>
      <c r="K420" s="5239"/>
      <c r="L420" s="5239"/>
      <c r="M420" s="5239"/>
      <c r="N420" s="5239"/>
      <c r="O420" s="5239"/>
      <c r="P420" s="5239"/>
      <c r="Q420" s="5239"/>
      <c r="R420" s="5239"/>
      <c r="S420" s="5239"/>
      <c r="T420" s="5239"/>
      <c r="U420" s="5240"/>
      <c r="V420" s="5240"/>
      <c r="W420" s="5240"/>
      <c r="X420" s="5240"/>
      <c r="Y420" s="5240"/>
    </row>
    <row r="421">
      <c r="A421" s="5288" t="s">
        <v>5173</v>
      </c>
      <c r="B421" s="5289">
        <v>46242</v>
      </c>
      <c r="C421" s="5288" t="str">
        <v>Saturday</v>
      </c>
      <c r="D421" s="5296" t="s">
        <v>5039</v>
      </c>
      <c r="E421" s="5291">
        <f t="shared" si="63"/>
      </c>
      <c r="F421" s="5291" t="s">
        <v>5179</v>
      </c>
      <c r="G421" s="5309"/>
      <c r="H421" s="5196" t="s">
        <v>4845</v>
      </c>
      <c r="I421" s="5196"/>
      <c r="J421" s="5355"/>
      <c r="K421" s="5239"/>
      <c r="L421" s="5239"/>
      <c r="M421" s="5239"/>
      <c r="N421" s="5239"/>
      <c r="O421" s="5239"/>
      <c r="P421" s="5239"/>
      <c r="Q421" s="5239"/>
      <c r="R421" s="5239"/>
      <c r="S421" s="5239"/>
      <c r="T421" s="5239"/>
      <c r="U421" s="5240"/>
      <c r="V421" s="5240"/>
      <c r="W421" s="5240"/>
      <c r="X421" s="5240"/>
      <c r="Y421" s="5240"/>
    </row>
    <row r="422">
      <c r="A422" s="5079" t="s">
        <v>5175</v>
      </c>
      <c r="B422" s="5072">
        <v>46242</v>
      </c>
      <c r="C422" s="5079" t="str">
        <v>Saturday</v>
      </c>
      <c r="D422" s="5351" t="s">
        <v>5188</v>
      </c>
      <c r="E422" s="5069">
        <f t="shared" si="63"/>
      </c>
      <c r="F422" s="5069" t="s">
        <v>5179</v>
      </c>
      <c r="G422" s="5309"/>
      <c r="H422" s="5196" t="s">
        <v>4845</v>
      </c>
      <c r="I422" s="5196"/>
      <c r="J422" s="5355"/>
      <c r="K422" s="5239"/>
      <c r="L422" s="5239"/>
      <c r="M422" s="5239"/>
      <c r="N422" s="5239"/>
      <c r="O422" s="5239"/>
      <c r="P422" s="5239"/>
      <c r="Q422" s="5239"/>
      <c r="R422" s="5239"/>
      <c r="S422" s="5239"/>
      <c r="T422" s="5239"/>
      <c r="U422" s="5240"/>
      <c r="V422" s="5240"/>
      <c r="W422" s="5240"/>
      <c r="X422" s="5240"/>
      <c r="Y422" s="5240"/>
    </row>
    <row r="423">
      <c r="A423" s="5079" t="s">
        <v>5175</v>
      </c>
      <c r="B423" s="5072">
        <v>46242</v>
      </c>
      <c r="C423" s="5079" t="str">
        <v>Saturday</v>
      </c>
      <c r="D423" s="5351" t="s">
        <v>5189</v>
      </c>
      <c r="E423" s="5069">
        <f t="shared" si="63"/>
      </c>
      <c r="F423" s="5069" t="s">
        <v>5016</v>
      </c>
      <c r="G423" s="5309"/>
      <c r="H423" s="5196" t="s">
        <v>4845</v>
      </c>
      <c r="I423" s="5196" t="s">
        <v>4846</v>
      </c>
      <c r="J423" s="5355"/>
      <c r="K423" s="5239"/>
      <c r="L423" s="5239"/>
      <c r="M423" s="5239"/>
      <c r="N423" s="5239"/>
      <c r="O423" s="5239"/>
      <c r="P423" s="5239"/>
      <c r="Q423" s="5239"/>
      <c r="R423" s="5239"/>
      <c r="S423" s="5239"/>
      <c r="T423" s="5239"/>
      <c r="U423" s="5240"/>
      <c r="V423" s="5240"/>
      <c r="W423" s="5240"/>
      <c r="X423" s="5240"/>
      <c r="Y423" s="5240"/>
    </row>
    <row r="424">
      <c r="A424" s="5288" t="s">
        <v>5173</v>
      </c>
      <c r="B424" s="5289">
        <v>46243</v>
      </c>
      <c r="C424" s="5288" t="str">
        <v>Sunday</v>
      </c>
      <c r="D424" s="5296" t="s">
        <v>5006</v>
      </c>
      <c r="E424" s="5291">
        <f t="shared" si="63"/>
      </c>
      <c r="F424" s="5291" t="s">
        <v>5115</v>
      </c>
      <c r="G424" s="5309"/>
      <c r="H424" s="5196" t="s">
        <v>4845</v>
      </c>
      <c r="I424" s="5196"/>
      <c r="J424" s="5355"/>
      <c r="K424" s="5239"/>
      <c r="L424" s="5239"/>
      <c r="M424" s="5239"/>
      <c r="N424" s="5239"/>
      <c r="O424" s="5239"/>
      <c r="P424" s="5239"/>
      <c r="Q424" s="5239"/>
      <c r="R424" s="5239"/>
      <c r="S424" s="5239"/>
      <c r="T424" s="5239"/>
      <c r="U424" s="5240"/>
      <c r="V424" s="5240"/>
      <c r="W424" s="5240"/>
      <c r="X424" s="5240"/>
      <c r="Y424" s="5240"/>
    </row>
    <row r="425">
      <c r="A425" s="5288" t="s">
        <v>5173</v>
      </c>
      <c r="B425" s="5289">
        <v>46243</v>
      </c>
      <c r="C425" s="5288" t="str">
        <v>Sunday</v>
      </c>
      <c r="D425" s="5296" t="s">
        <v>5189</v>
      </c>
      <c r="E425" s="5291">
        <f t="shared" si="63"/>
      </c>
      <c r="F425" s="5291" t="s">
        <v>5179</v>
      </c>
      <c r="G425" s="5309"/>
      <c r="H425" s="5196" t="s">
        <v>4845</v>
      </c>
      <c r="I425" s="5196"/>
      <c r="J425" s="5355"/>
      <c r="K425" s="5239"/>
      <c r="L425" s="5239"/>
      <c r="M425" s="5239"/>
      <c r="N425" s="5239"/>
      <c r="O425" s="5239"/>
      <c r="P425" s="5239"/>
      <c r="Q425" s="5239"/>
      <c r="R425" s="5239"/>
      <c r="S425" s="5239"/>
      <c r="T425" s="5239"/>
      <c r="U425" s="5240"/>
      <c r="V425" s="5240"/>
      <c r="W425" s="5240"/>
      <c r="X425" s="5240"/>
      <c r="Y425" s="5240"/>
    </row>
    <row r="426">
      <c r="A426" s="5079" t="s">
        <v>5175</v>
      </c>
      <c r="B426" s="5072">
        <v>46243</v>
      </c>
      <c r="C426" s="5079" t="str">
        <v>Sunday</v>
      </c>
      <c r="D426" s="5351" t="s">
        <v>5188</v>
      </c>
      <c r="E426" s="5069">
        <f t="shared" si="63"/>
      </c>
      <c r="F426" s="5069" t="s">
        <v>5179</v>
      </c>
      <c r="G426" s="5309"/>
      <c r="H426" s="5196" t="s">
        <v>4845</v>
      </c>
      <c r="I426" s="5196"/>
      <c r="J426" s="5355"/>
      <c r="K426" s="5239"/>
      <c r="L426" s="5239"/>
      <c r="M426" s="5239"/>
      <c r="N426" s="5239"/>
      <c r="O426" s="5239"/>
      <c r="P426" s="5239"/>
      <c r="Q426" s="5239"/>
      <c r="R426" s="5239"/>
      <c r="S426" s="5239"/>
      <c r="T426" s="5239"/>
      <c r="U426" s="5240"/>
      <c r="V426" s="5240"/>
      <c r="W426" s="5240"/>
      <c r="X426" s="5240"/>
      <c r="Y426" s="5240"/>
    </row>
    <row r="427">
      <c r="A427" s="5202" t="s">
        <v>5175</v>
      </c>
      <c r="B427" s="5203">
        <v>46243</v>
      </c>
      <c r="C427" s="5202" t="str">
        <v>Sunday</v>
      </c>
      <c r="D427" s="5356" t="s">
        <v>5189</v>
      </c>
      <c r="E427" s="5205">
        <f t="shared" si="63"/>
      </c>
      <c r="F427" s="5205" t="s">
        <v>5016</v>
      </c>
      <c r="G427" s="5357"/>
      <c r="H427" s="5205" t="s">
        <v>4845</v>
      </c>
      <c r="I427" s="5205" t="s">
        <v>4846</v>
      </c>
      <c r="J427" s="5358" t="s">
        <v>5190</v>
      </c>
      <c r="K427" s="5208"/>
      <c r="L427" s="5208"/>
      <c r="M427" s="5208"/>
      <c r="N427" s="5208"/>
      <c r="O427" s="5208"/>
      <c r="P427" s="5208"/>
      <c r="Q427" s="5208"/>
      <c r="R427" s="5208"/>
      <c r="S427" s="5208"/>
      <c r="T427" s="5208"/>
      <c r="U427" s="5209"/>
      <c r="V427" s="5209"/>
      <c r="W427" s="5209"/>
      <c r="X427" s="5209"/>
      <c r="Y427" s="5209"/>
    </row>
    <row customHeight="true" ht="16.071428571428573" r="428">
      <c r="A428" s="5079" t="s">
        <v>5175</v>
      </c>
      <c r="B428" s="5072">
        <v>46243</v>
      </c>
      <c r="C428" s="5079" t="str">
        <v>Sunday</v>
      </c>
      <c r="D428" s="5351" t="s">
        <v>5189</v>
      </c>
      <c r="E428" s="5069">
        <f t="shared" si="63"/>
      </c>
      <c r="F428" s="5069" t="s">
        <v>5174</v>
      </c>
      <c r="G428" s="5309"/>
      <c r="H428" s="5196" t="s">
        <v>4845</v>
      </c>
      <c r="I428" s="5196"/>
      <c r="J428" s="5355"/>
      <c r="K428" s="5239"/>
      <c r="L428" s="5239"/>
      <c r="M428" s="5239"/>
      <c r="N428" s="5239"/>
      <c r="O428" s="5239"/>
      <c r="P428" s="5239"/>
      <c r="Q428" s="5239"/>
      <c r="R428" s="5239"/>
      <c r="S428" s="5239"/>
      <c r="T428" s="5239"/>
      <c r="U428" s="5240"/>
      <c r="V428" s="5240"/>
      <c r="W428" s="5240"/>
      <c r="X428" s="5240"/>
      <c r="Y428" s="5240"/>
    </row>
    <row r="429">
      <c r="A429" s="5359" t="s">
        <v>5191</v>
      </c>
      <c r="B429" s="5359"/>
      <c r="C429" s="5359"/>
      <c r="D429" s="5359"/>
      <c r="E429" s="5359"/>
      <c r="F429" s="5359"/>
      <c r="G429" s="5359"/>
      <c r="H429" s="5359"/>
      <c r="I429" s="5359"/>
      <c r="J429" s="5359"/>
      <c r="K429" s="5053"/>
      <c r="L429" s="5053"/>
      <c r="M429" s="5053"/>
      <c r="N429" s="5053"/>
      <c r="O429" s="5053"/>
      <c r="P429" s="5053"/>
      <c r="Q429" s="5053"/>
      <c r="R429" s="5053"/>
      <c r="S429" s="5053"/>
      <c r="T429" s="5053"/>
      <c r="U429" s="5055"/>
      <c r="V429" s="5055"/>
      <c r="W429" s="5055"/>
      <c r="X429" s="5055"/>
      <c r="Y429" s="5055"/>
    </row>
    <row r="430">
      <c r="A430" s="5360" t="s">
        <v>4861</v>
      </c>
      <c r="B430" s="5361" t="s">
        <v>4862</v>
      </c>
      <c r="C430" s="5361"/>
      <c r="D430" s="5362" t="s">
        <v>4863</v>
      </c>
      <c r="E430" s="5362" t="s">
        <v>4864</v>
      </c>
      <c r="F430" s="5362" t="s">
        <v>4865</v>
      </c>
      <c r="G430" s="5363" t="s">
        <v>4877</v>
      </c>
      <c r="H430" s="5362" t="s">
        <v>4867</v>
      </c>
      <c r="I430" s="5362" t="s">
        <v>4868</v>
      </c>
      <c r="J430" s="5362" t="s">
        <v>4869</v>
      </c>
      <c r="K430" s="5053"/>
      <c r="L430" s="5053"/>
      <c r="M430" s="5053"/>
      <c r="N430" s="5053"/>
      <c r="O430" s="5053"/>
      <c r="P430" s="5053"/>
      <c r="Q430" s="5053"/>
      <c r="R430" s="5053"/>
      <c r="S430" s="5053"/>
      <c r="T430" s="5053"/>
      <c r="U430" s="5055"/>
      <c r="V430" s="5055"/>
      <c r="W430" s="5055"/>
      <c r="X430" s="5055"/>
      <c r="Y430" s="5055"/>
    </row>
    <row customHeight="true" ht="18.452380952380953" r="431">
      <c r="A431" s="5079" t="s">
        <v>5192</v>
      </c>
      <c r="B431" s="5072">
        <v>46239</v>
      </c>
      <c r="C431" s="5079" t="str">
        <v>Wednesday</v>
      </c>
      <c r="D431" s="5130" t="s">
        <v>5025</v>
      </c>
      <c r="E431" s="5068">
        <f t="shared" ref="E431:E445" si="64">24*MOD(TIMEVALUE(TRIM(MID(D431,FIND("-",D431)+1,LEN(D431)))) - TIMEVALUE(TRIM(LEFT(D431,FIND("-",D431)-1))),1)</f>
      </c>
      <c r="F431" s="5069" t="s">
        <v>4892</v>
      </c>
      <c r="G431" s="5150"/>
      <c r="H431" s="5068" t="s">
        <v>4845</v>
      </c>
      <c r="I431" s="5068" t="s">
        <v>4846</v>
      </c>
      <c r="J431" s="5068"/>
      <c r="K431" s="5053"/>
      <c r="L431" s="5053"/>
      <c r="M431" s="5053"/>
      <c r="N431" s="5053"/>
      <c r="O431" s="5053"/>
      <c r="P431" s="5053"/>
      <c r="Q431" s="5053"/>
      <c r="R431" s="5053"/>
      <c r="S431" s="5053"/>
      <c r="T431" s="5053"/>
      <c r="U431" s="5055"/>
      <c r="V431" s="5055"/>
      <c r="W431" s="5055"/>
      <c r="X431" s="5055"/>
      <c r="Y431" s="5055"/>
    </row>
    <row customHeight="true" ht="18.452380952380953" r="432">
      <c r="A432" s="5079" t="s">
        <v>5192</v>
      </c>
      <c r="B432" s="5072">
        <v>46239</v>
      </c>
      <c r="C432" s="5079" t="str">
        <v>Wednesday</v>
      </c>
      <c r="D432" s="5130" t="s">
        <v>4936</v>
      </c>
      <c r="E432" s="5068">
        <f t="shared" si="64"/>
      </c>
      <c r="F432" s="5069" t="s">
        <v>5193</v>
      </c>
      <c r="G432" s="5150"/>
      <c r="H432" s="5068" t="s">
        <v>4845</v>
      </c>
      <c r="I432" s="5068" t="s">
        <v>4846</v>
      </c>
      <c r="J432" s="5068"/>
      <c r="K432" s="5053"/>
      <c r="L432" s="5053"/>
      <c r="M432" s="5053"/>
      <c r="N432" s="5053"/>
      <c r="O432" s="5053"/>
      <c r="P432" s="5053"/>
      <c r="Q432" s="5053"/>
      <c r="R432" s="5053"/>
      <c r="S432" s="5053"/>
      <c r="T432" s="5053"/>
      <c r="U432" s="5055"/>
      <c r="V432" s="5055"/>
      <c r="W432" s="5055"/>
      <c r="X432" s="5055"/>
      <c r="Y432" s="5055"/>
    </row>
    <row customHeight="true" ht="18.452380952380953" r="433">
      <c r="A433" s="5299" t="s">
        <v>5194</v>
      </c>
      <c r="B433" s="5364">
        <v>46239</v>
      </c>
      <c r="C433" s="5299" t="str">
        <v>Wednesday</v>
      </c>
      <c r="D433" s="5290" t="s">
        <v>5136</v>
      </c>
      <c r="E433" s="5295">
        <f t="shared" si="64"/>
      </c>
      <c r="F433" s="5295" t="s">
        <v>5195</v>
      </c>
      <c r="G433" s="5297"/>
      <c r="H433" s="5295" t="s">
        <v>4845</v>
      </c>
      <c r="I433" s="5295" t="s">
        <v>4846</v>
      </c>
      <c r="J433" s="5291"/>
      <c r="K433" s="5053"/>
      <c r="L433" s="5053"/>
      <c r="M433" s="5053"/>
      <c r="N433" s="5053"/>
      <c r="O433" s="5053"/>
      <c r="P433" s="5053"/>
      <c r="Q433" s="5053"/>
      <c r="R433" s="5053"/>
      <c r="S433" s="5053"/>
      <c r="T433" s="5053"/>
      <c r="U433" s="5055"/>
      <c r="V433" s="5055"/>
      <c r="W433" s="5055"/>
      <c r="X433" s="5055"/>
      <c r="Y433" s="5055"/>
    </row>
    <row r="434">
      <c r="A434" s="5288" t="s">
        <v>5196</v>
      </c>
      <c r="B434" s="5289">
        <v>46239</v>
      </c>
      <c r="C434" s="5288" t="str">
        <v>Wednesday</v>
      </c>
      <c r="D434" s="5296" t="s">
        <v>5197</v>
      </c>
      <c r="E434" s="5291">
        <f t="shared" si="64"/>
      </c>
      <c r="F434" s="5295" t="s">
        <v>5198</v>
      </c>
      <c r="G434" s="5297"/>
      <c r="H434" s="5295" t="s">
        <v>4845</v>
      </c>
      <c r="I434" s="5295" t="s">
        <v>4846</v>
      </c>
      <c r="J434" s="5291"/>
      <c r="K434" s="5053"/>
      <c r="L434" s="5053"/>
      <c r="M434" s="5053"/>
      <c r="N434" s="5053"/>
      <c r="O434" s="5053"/>
      <c r="P434" s="5053"/>
      <c r="Q434" s="5053"/>
      <c r="R434" s="5053"/>
      <c r="S434" s="5053"/>
      <c r="T434" s="5053"/>
      <c r="U434" s="5055"/>
      <c r="V434" s="5055"/>
      <c r="W434" s="5055"/>
      <c r="X434" s="5055"/>
      <c r="Y434" s="5055"/>
    </row>
    <row customHeight="true" ht="18.452380952380953" r="435">
      <c r="A435" s="5288" t="s">
        <v>5196</v>
      </c>
      <c r="B435" s="5289">
        <v>46239</v>
      </c>
      <c r="C435" s="5288" t="str">
        <v>Wednesday</v>
      </c>
      <c r="D435" s="5296" t="s">
        <v>4971</v>
      </c>
      <c r="E435" s="5291">
        <f t="shared" si="64"/>
      </c>
      <c r="F435" s="5295" t="s">
        <v>5195</v>
      </c>
      <c r="G435" s="5297"/>
      <c r="H435" s="5295" t="s">
        <v>4845</v>
      </c>
      <c r="I435" s="5295" t="s">
        <v>4846</v>
      </c>
      <c r="J435" s="5291"/>
      <c r="K435" s="5053"/>
      <c r="L435" s="5053"/>
      <c r="M435" s="5053"/>
      <c r="N435" s="5053"/>
      <c r="O435" s="5053"/>
      <c r="P435" s="5053"/>
      <c r="Q435" s="5053"/>
      <c r="R435" s="5053"/>
      <c r="S435" s="5053"/>
      <c r="T435" s="5053"/>
      <c r="U435" s="5055"/>
      <c r="V435" s="5055"/>
      <c r="W435" s="5055"/>
      <c r="X435" s="5055"/>
      <c r="Y435" s="5055"/>
    </row>
    <row customHeight="true" ht="18.452380952380953" r="436">
      <c r="A436" s="5288" t="s">
        <v>5196</v>
      </c>
      <c r="B436" s="5289">
        <v>46239</v>
      </c>
      <c r="C436" s="5288" t="str">
        <v>Wednesday</v>
      </c>
      <c r="D436" s="5296" t="s">
        <v>5199</v>
      </c>
      <c r="E436" s="5291">
        <f t="shared" si="64"/>
      </c>
      <c r="F436" s="5295" t="s">
        <v>5198</v>
      </c>
      <c r="G436" s="5297"/>
      <c r="H436" s="5295" t="s">
        <v>4845</v>
      </c>
      <c r="I436" s="5295" t="s">
        <v>4846</v>
      </c>
      <c r="J436" s="5291"/>
      <c r="K436" s="5053"/>
      <c r="L436" s="5053"/>
      <c r="M436" s="5053"/>
      <c r="N436" s="5053"/>
      <c r="O436" s="5053"/>
      <c r="P436" s="5053"/>
      <c r="Q436" s="5053"/>
      <c r="R436" s="5053"/>
      <c r="S436" s="5053"/>
      <c r="T436" s="5053"/>
      <c r="U436" s="5055"/>
      <c r="V436" s="5055"/>
      <c r="W436" s="5055"/>
      <c r="X436" s="5055"/>
      <c r="Y436" s="5055"/>
    </row>
    <row r="437">
      <c r="A437" s="5079" t="s">
        <v>5192</v>
      </c>
      <c r="B437" s="5072">
        <v>46240</v>
      </c>
      <c r="C437" s="5079" t="str">
        <v>Thursday</v>
      </c>
      <c r="D437" s="5130" t="s">
        <v>5025</v>
      </c>
      <c r="E437" s="5069">
        <f t="shared" si="64"/>
      </c>
      <c r="F437" s="5069" t="s">
        <v>4892</v>
      </c>
      <c r="G437" s="5095"/>
      <c r="H437" s="5068" t="s">
        <v>4845</v>
      </c>
      <c r="I437" s="5068" t="s">
        <v>4846</v>
      </c>
      <c r="J437" s="5068"/>
      <c r="K437" s="5053"/>
      <c r="L437" s="5053"/>
      <c r="M437" s="5053"/>
      <c r="N437" s="5053"/>
      <c r="O437" s="5053"/>
      <c r="P437" s="5053"/>
      <c r="Q437" s="5053"/>
      <c r="R437" s="5053"/>
      <c r="S437" s="5053"/>
      <c r="T437" s="5053"/>
      <c r="U437" s="5055"/>
      <c r="V437" s="5055"/>
      <c r="W437" s="5055"/>
      <c r="X437" s="5055"/>
      <c r="Y437" s="5055"/>
    </row>
    <row r="438">
      <c r="A438" s="5288" t="s">
        <v>5196</v>
      </c>
      <c r="B438" s="5289">
        <v>46240</v>
      </c>
      <c r="C438" s="5288" t="str">
        <v>Thursday</v>
      </c>
      <c r="D438" s="5296" t="s">
        <v>5200</v>
      </c>
      <c r="E438" s="5291">
        <f t="shared" si="64"/>
      </c>
      <c r="F438" s="5295" t="s">
        <v>5198</v>
      </c>
      <c r="G438" s="5292"/>
      <c r="H438" s="5291" t="s">
        <v>4845</v>
      </c>
      <c r="I438" s="5291" t="s">
        <v>4846</v>
      </c>
      <c r="J438" s="5296"/>
      <c r="K438" s="5053"/>
      <c r="L438" s="5053"/>
      <c r="M438" s="5053"/>
      <c r="N438" s="5053"/>
      <c r="O438" s="5053"/>
      <c r="P438" s="5053"/>
      <c r="Q438" s="5053"/>
      <c r="R438" s="5053"/>
      <c r="S438" s="5053"/>
      <c r="T438" s="5053"/>
      <c r="U438" s="5055"/>
      <c r="V438" s="5055"/>
      <c r="W438" s="5055"/>
      <c r="X438" s="5055"/>
      <c r="Y438" s="5055"/>
    </row>
    <row r="439">
      <c r="A439" s="5079" t="s">
        <v>5192</v>
      </c>
      <c r="B439" s="5072">
        <v>46241</v>
      </c>
      <c r="C439" s="5079" t="str">
        <v>Friday</v>
      </c>
      <c r="D439" s="5064" t="s">
        <v>5201</v>
      </c>
      <c r="E439" s="5068">
        <f t="shared" si="64"/>
      </c>
      <c r="F439" s="5069" t="s">
        <v>4892</v>
      </c>
      <c r="G439" s="5095"/>
      <c r="H439" s="5068" t="s">
        <v>4845</v>
      </c>
      <c r="I439" s="5068" t="s">
        <v>4846</v>
      </c>
      <c r="J439" s="5068"/>
      <c r="K439" s="5053"/>
      <c r="L439" s="5053"/>
      <c r="M439" s="5053"/>
      <c r="N439" s="5053"/>
      <c r="O439" s="5053"/>
      <c r="P439" s="5053"/>
      <c r="Q439" s="5053"/>
      <c r="R439" s="5053"/>
      <c r="S439" s="5053"/>
      <c r="T439" s="5053"/>
      <c r="U439" s="5055"/>
      <c r="V439" s="5055"/>
      <c r="W439" s="5055"/>
      <c r="X439" s="5055"/>
      <c r="Y439" s="5055"/>
    </row>
    <row customHeight="true" ht="18.452380952380953" r="440">
      <c r="A440" s="5288" t="s">
        <v>5194</v>
      </c>
      <c r="B440" s="5289">
        <v>46241</v>
      </c>
      <c r="C440" s="5288" t="str">
        <v>Friday</v>
      </c>
      <c r="D440" s="5296" t="s">
        <v>5202</v>
      </c>
      <c r="E440" s="5291">
        <f t="shared" si="64"/>
      </c>
      <c r="F440" s="5295" t="s">
        <v>5198</v>
      </c>
      <c r="G440" s="5297"/>
      <c r="H440" s="5291" t="s">
        <v>4845</v>
      </c>
      <c r="I440" s="5291" t="s">
        <v>4846</v>
      </c>
      <c r="J440" s="5291"/>
      <c r="K440" s="5053"/>
      <c r="L440" s="5053"/>
      <c r="M440" s="5053"/>
      <c r="N440" s="5053"/>
      <c r="O440" s="5053"/>
      <c r="P440" s="5053"/>
      <c r="Q440" s="5053"/>
      <c r="R440" s="5053"/>
      <c r="S440" s="5053"/>
      <c r="T440" s="5053"/>
      <c r="U440" s="5055"/>
      <c r="V440" s="5055"/>
      <c r="W440" s="5055"/>
      <c r="X440" s="5055"/>
      <c r="Y440" s="5055"/>
    </row>
    <row r="441">
      <c r="A441" s="5288" t="s">
        <v>5196</v>
      </c>
      <c r="B441" s="5289">
        <v>46241</v>
      </c>
      <c r="C441" s="5288" t="str">
        <v>Friday</v>
      </c>
      <c r="D441" s="5296" t="s">
        <v>5203</v>
      </c>
      <c r="E441" s="5291">
        <f t="shared" si="64"/>
      </c>
      <c r="F441" s="5295" t="s">
        <v>5198</v>
      </c>
      <c r="G441" s="5297"/>
      <c r="H441" s="5291" t="s">
        <v>4845</v>
      </c>
      <c r="I441" s="5291" t="s">
        <v>4846</v>
      </c>
      <c r="J441" s="5291"/>
      <c r="K441" s="5053"/>
      <c r="L441" s="5053"/>
      <c r="M441" s="5053"/>
      <c r="N441" s="5053"/>
      <c r="O441" s="5053"/>
      <c r="P441" s="5053"/>
      <c r="Q441" s="5053"/>
      <c r="R441" s="5053"/>
      <c r="S441" s="5053"/>
      <c r="T441" s="5053"/>
      <c r="U441" s="5055"/>
      <c r="V441" s="5055"/>
      <c r="W441" s="5055"/>
      <c r="X441" s="5055"/>
      <c r="Y441" s="5055"/>
    </row>
    <row r="442">
      <c r="A442" s="5079" t="s">
        <v>5192</v>
      </c>
      <c r="B442" s="5072">
        <v>46242</v>
      </c>
      <c r="C442" s="5079" t="str">
        <v>Saturday</v>
      </c>
      <c r="D442" s="5064" t="s">
        <v>5201</v>
      </c>
      <c r="E442" s="5068">
        <f t="shared" si="64"/>
      </c>
      <c r="F442" s="5069" t="s">
        <v>4892</v>
      </c>
      <c r="G442" s="5095"/>
      <c r="H442" s="5068" t="s">
        <v>4845</v>
      </c>
      <c r="I442" s="5068" t="s">
        <v>4846</v>
      </c>
      <c r="J442" s="5068"/>
      <c r="K442" s="5053"/>
      <c r="L442" s="5053"/>
      <c r="M442" s="5053"/>
      <c r="N442" s="5053"/>
      <c r="O442" s="5053"/>
      <c r="P442" s="5053"/>
      <c r="Q442" s="5053"/>
      <c r="R442" s="5053"/>
      <c r="S442" s="5053"/>
      <c r="T442" s="5053"/>
      <c r="U442" s="5055"/>
      <c r="V442" s="5055"/>
      <c r="W442" s="5055"/>
      <c r="X442" s="5055"/>
      <c r="Y442" s="5055"/>
    </row>
    <row r="443">
      <c r="A443" s="5288" t="s">
        <v>5196</v>
      </c>
      <c r="B443" s="5364">
        <v>46242</v>
      </c>
      <c r="C443" s="5288" t="str">
        <v>Saturday</v>
      </c>
      <c r="D443" s="5296" t="s">
        <v>5204</v>
      </c>
      <c r="E443" s="5291">
        <f t="shared" si="64"/>
      </c>
      <c r="F443" s="5295" t="s">
        <v>5171</v>
      </c>
      <c r="G443" s="5297"/>
      <c r="H443" s="5291" t="s">
        <v>4845</v>
      </c>
      <c r="I443" s="5291" t="s">
        <v>4846</v>
      </c>
      <c r="J443" s="5291"/>
      <c r="K443" s="5053"/>
      <c r="L443" s="5053"/>
      <c r="M443" s="5053"/>
      <c r="N443" s="5053"/>
      <c r="O443" s="5053"/>
      <c r="P443" s="5053"/>
      <c r="Q443" s="5053"/>
      <c r="R443" s="5053"/>
      <c r="S443" s="5053"/>
      <c r="T443" s="5053"/>
      <c r="U443" s="5055"/>
      <c r="V443" s="5055"/>
      <c r="W443" s="5055"/>
      <c r="X443" s="5055"/>
      <c r="Y443" s="5055"/>
    </row>
    <row r="444">
      <c r="A444" s="5079" t="s">
        <v>5192</v>
      </c>
      <c r="B444" s="5072">
        <v>46243</v>
      </c>
      <c r="C444" s="5079" t="str">
        <v>Sunday</v>
      </c>
      <c r="D444" s="5130" t="s">
        <v>5025</v>
      </c>
      <c r="E444" s="5068">
        <f t="shared" si="64"/>
      </c>
      <c r="F444" s="5069" t="s">
        <v>4892</v>
      </c>
      <c r="G444" s="5095"/>
      <c r="H444" s="5068" t="s">
        <v>4845</v>
      </c>
      <c r="I444" s="5068" t="s">
        <v>4846</v>
      </c>
      <c r="J444" s="5068"/>
      <c r="K444" s="5053"/>
      <c r="L444" s="5053"/>
      <c r="M444" s="5053"/>
      <c r="N444" s="5053"/>
      <c r="O444" s="5053"/>
      <c r="P444" s="5053"/>
      <c r="Q444" s="5053"/>
      <c r="R444" s="5053"/>
      <c r="S444" s="5053"/>
      <c r="T444" s="5053"/>
      <c r="U444" s="5055"/>
      <c r="V444" s="5055"/>
      <c r="W444" s="5055"/>
      <c r="X444" s="5055"/>
      <c r="Y444" s="5055"/>
    </row>
    <row r="445">
      <c r="A445" s="5288" t="s">
        <v>5196</v>
      </c>
      <c r="B445" s="5364">
        <v>46243</v>
      </c>
      <c r="C445" s="5288" t="str">
        <v>Sunday</v>
      </c>
      <c r="D445" s="5296" t="s">
        <v>5205</v>
      </c>
      <c r="E445" s="5291">
        <f t="shared" si="64"/>
      </c>
      <c r="F445" s="5295" t="s">
        <v>5206</v>
      </c>
      <c r="G445" s="5297"/>
      <c r="H445" s="5291" t="s">
        <v>4845</v>
      </c>
      <c r="I445" s="5291" t="s">
        <v>4846</v>
      </c>
      <c r="J445" s="5296" t="s">
        <v>5207</v>
      </c>
      <c r="K445" s="5053"/>
      <c r="L445" s="5053"/>
      <c r="M445" s="5053"/>
      <c r="N445" s="5053"/>
      <c r="O445" s="5053"/>
      <c r="P445" s="5053"/>
      <c r="Q445" s="5053"/>
      <c r="R445" s="5053"/>
      <c r="S445" s="5053"/>
      <c r="T445" s="5053"/>
      <c r="U445" s="5055"/>
      <c r="V445" s="5055"/>
      <c r="W445" s="5055"/>
      <c r="X445" s="5055"/>
      <c r="Y445" s="5055"/>
    </row>
    <row r="446">
      <c r="A446" s="5079"/>
      <c r="B446" s="5079"/>
      <c r="C446" s="5079"/>
      <c r="D446" s="5068"/>
      <c r="E446" s="5068"/>
      <c r="F446" s="5069"/>
      <c r="G446" s="5150"/>
      <c r="H446" s="5069"/>
      <c r="I446" s="5068"/>
      <c r="J446" s="5069"/>
      <c r="K446" s="5053"/>
      <c r="L446" s="5053"/>
      <c r="M446" s="5053"/>
      <c r="N446" s="5053"/>
      <c r="O446" s="5053"/>
      <c r="P446" s="5053"/>
      <c r="Q446" s="5053"/>
      <c r="R446" s="5053"/>
      <c r="S446" s="5053"/>
      <c r="T446" s="5053"/>
      <c r="U446" s="5055"/>
      <c r="V446" s="5055"/>
      <c r="W446" s="5055"/>
      <c r="X446" s="5055"/>
      <c r="Y446" s="5055"/>
    </row>
    <row r="447">
      <c r="A447" s="5079"/>
      <c r="B447" s="5079"/>
      <c r="C447" s="5079"/>
      <c r="D447" s="5068"/>
      <c r="E447" s="5068"/>
      <c r="F447" s="5069"/>
      <c r="G447" s="5150"/>
      <c r="H447" s="5069"/>
      <c r="I447" s="5068"/>
      <c r="J447" s="5069"/>
      <c r="K447" s="5053"/>
      <c r="L447" s="5053"/>
      <c r="M447" s="5053"/>
      <c r="N447" s="5053"/>
      <c r="O447" s="5053"/>
      <c r="P447" s="5053"/>
      <c r="Q447" s="5053"/>
      <c r="R447" s="5053"/>
      <c r="S447" s="5053"/>
      <c r="T447" s="5053"/>
      <c r="U447" s="5055"/>
      <c r="V447" s="5055"/>
      <c r="W447" s="5055"/>
      <c r="X447" s="5055"/>
      <c r="Y447" s="5055"/>
    </row>
    <row customHeight="true" ht="16.071428571428573" r="448">
      <c r="A448" s="5079"/>
      <c r="B448" s="5079"/>
      <c r="C448" s="5079"/>
      <c r="D448" s="5068"/>
      <c r="E448" s="5068"/>
      <c r="F448" s="5069"/>
      <c r="G448" s="5150"/>
      <c r="H448" s="5069"/>
      <c r="I448" s="5068"/>
      <c r="J448" s="5069"/>
      <c r="K448" s="5053"/>
      <c r="L448" s="5053"/>
      <c r="M448" s="5053"/>
      <c r="N448" s="5053"/>
      <c r="O448" s="5053"/>
      <c r="P448" s="5053"/>
      <c r="Q448" s="5053"/>
      <c r="R448" s="5053"/>
      <c r="S448" s="5053"/>
      <c r="T448" s="5053"/>
      <c r="U448" s="5055"/>
      <c r="V448" s="5055"/>
      <c r="W448" s="5055"/>
      <c r="X448" s="5055"/>
      <c r="Y448" s="5055"/>
    </row>
    <row r="449">
      <c r="A449" s="5187"/>
      <c r="B449" s="5187"/>
      <c r="C449" s="5187"/>
      <c r="D449" s="5187"/>
      <c r="E449" s="5187"/>
      <c r="F449" s="5187"/>
      <c r="G449" s="5345"/>
      <c r="H449" s="5187"/>
      <c r="I449" s="5187"/>
      <c r="J449" s="5187"/>
      <c r="K449" s="5053"/>
      <c r="L449" s="5053"/>
      <c r="M449" s="5053"/>
      <c r="N449" s="5053"/>
      <c r="O449" s="5053"/>
      <c r="P449" s="5053"/>
      <c r="Q449" s="5053"/>
      <c r="R449" s="5053"/>
      <c r="S449" s="5053"/>
      <c r="T449" s="5053"/>
      <c r="U449" s="5055"/>
      <c r="V449" s="5055"/>
      <c r="W449" s="5055"/>
      <c r="X449" s="5055"/>
      <c r="Y449" s="5055"/>
    </row>
    <row r="450">
      <c r="A450" s="5187"/>
      <c r="B450" s="5187"/>
      <c r="C450" s="5187"/>
      <c r="D450" s="5187"/>
      <c r="E450" s="5187"/>
      <c r="F450" s="5187"/>
      <c r="G450" s="5345"/>
      <c r="H450" s="5187"/>
      <c r="I450" s="5187"/>
      <c r="J450" s="5187"/>
      <c r="K450" s="5053"/>
      <c r="L450" s="5053"/>
      <c r="M450" s="5053"/>
      <c r="N450" s="5053"/>
      <c r="O450" s="5053"/>
      <c r="P450" s="5053"/>
      <c r="Q450" s="5053"/>
      <c r="R450" s="5053"/>
      <c r="S450" s="5053"/>
      <c r="T450" s="5053"/>
      <c r="U450" s="5055"/>
      <c r="V450" s="5055"/>
      <c r="W450" s="5055"/>
      <c r="X450" s="5055"/>
      <c r="Y450" s="5055"/>
    </row>
    <row r="451">
      <c r="A451" s="5079"/>
      <c r="B451" s="5068"/>
      <c r="C451" s="5068"/>
      <c r="D451" s="5365"/>
      <c r="E451" s="5068"/>
      <c r="F451" s="5068"/>
      <c r="G451" s="5321"/>
      <c r="H451" s="5068"/>
      <c r="I451" s="5068"/>
      <c r="J451" s="5317"/>
      <c r="K451" s="5053"/>
      <c r="L451" s="5053"/>
      <c r="M451" s="5053"/>
      <c r="N451" s="5053"/>
      <c r="O451" s="5053"/>
      <c r="P451" s="5053"/>
      <c r="Q451" s="5053"/>
      <c r="R451" s="5053"/>
      <c r="S451" s="5053"/>
      <c r="T451" s="5053"/>
      <c r="U451" s="5055"/>
      <c r="V451" s="5055"/>
      <c r="W451" s="5055"/>
      <c r="X451" s="5055"/>
      <c r="Y451" s="5055"/>
    </row>
    <row r="452">
      <c r="A452" s="5366" t="s">
        <v>5208</v>
      </c>
      <c r="B452" s="5366"/>
      <c r="C452" s="5366"/>
      <c r="D452" s="5366"/>
      <c r="E452" s="5366"/>
      <c r="F452" s="5366"/>
      <c r="G452" s="5366"/>
      <c r="H452" s="5366"/>
      <c r="I452" s="5366"/>
      <c r="J452" s="5366"/>
      <c r="K452" s="5366"/>
      <c r="L452" s="5053"/>
      <c r="M452" s="5053"/>
      <c r="N452" s="5053"/>
      <c r="O452" s="5053"/>
      <c r="P452" s="5053"/>
      <c r="Q452" s="5053"/>
      <c r="R452" s="5053"/>
      <c r="S452" s="5053"/>
      <c r="T452" s="5053"/>
      <c r="U452" s="5055"/>
      <c r="V452" s="5055"/>
      <c r="W452" s="5055"/>
      <c r="X452" s="5055"/>
      <c r="Y452" s="5055"/>
    </row>
    <row r="453">
      <c r="A453" s="5367" t="s">
        <v>4861</v>
      </c>
      <c r="B453" s="5368" t="s">
        <v>4862</v>
      </c>
      <c r="C453" s="5368"/>
      <c r="D453" s="5369" t="s">
        <v>4863</v>
      </c>
      <c r="E453" s="5369" t="s">
        <v>4864</v>
      </c>
      <c r="F453" s="5369" t="s">
        <v>4865</v>
      </c>
      <c r="G453" s="5370" t="s">
        <v>5209</v>
      </c>
      <c r="H453" s="5369" t="s">
        <v>4867</v>
      </c>
      <c r="I453" s="5369" t="s">
        <v>4868</v>
      </c>
      <c r="J453" s="5369"/>
      <c r="K453" s="5371" t="s">
        <v>5210</v>
      </c>
      <c r="L453" s="5053"/>
      <c r="M453" s="5053"/>
      <c r="N453" s="5053"/>
      <c r="O453" s="5053"/>
      <c r="P453" s="5053"/>
      <c r="Q453" s="5053"/>
      <c r="R453" s="5053"/>
      <c r="S453" s="5053"/>
      <c r="T453" s="5053"/>
      <c r="U453" s="5055"/>
      <c r="V453" s="5055"/>
      <c r="W453" s="5055"/>
      <c r="X453" s="5055"/>
      <c r="Y453" s="5055"/>
    </row>
    <row r="454">
      <c r="A454" s="5079"/>
      <c r="B454" s="5079"/>
      <c r="C454" s="5079"/>
      <c r="D454" s="5068"/>
      <c r="E454" s="5068"/>
      <c r="F454" s="5068"/>
      <c r="G454" s="5150"/>
      <c r="H454" s="5068" t="s">
        <v>4845</v>
      </c>
      <c r="I454" s="5068" t="s">
        <v>4846</v>
      </c>
      <c r="J454" s="5068"/>
      <c r="K454" s="5372"/>
      <c r="L454" s="5053"/>
      <c r="M454" s="5053"/>
      <c r="N454" s="5053"/>
      <c r="O454" s="5053"/>
      <c r="P454" s="5053"/>
      <c r="Q454" s="5053"/>
      <c r="R454" s="5053"/>
      <c r="S454" s="5053"/>
      <c r="T454" s="5053"/>
      <c r="U454" s="5055"/>
      <c r="V454" s="5055"/>
      <c r="W454" s="5055"/>
      <c r="X454" s="5055"/>
      <c r="Y454" s="5055"/>
    </row>
    <row r="455">
      <c r="A455" s="5079"/>
      <c r="B455" s="5079"/>
      <c r="C455" s="5079"/>
      <c r="D455" s="5068"/>
      <c r="E455" s="5068"/>
      <c r="F455" s="5068"/>
      <c r="G455" s="5150"/>
      <c r="H455" s="5068" t="s">
        <v>4845</v>
      </c>
      <c r="I455" s="5068" t="s">
        <v>4846</v>
      </c>
      <c r="J455" s="5068"/>
      <c r="K455" s="5372"/>
      <c r="L455" s="5053"/>
      <c r="M455" s="5053"/>
      <c r="N455" s="5053"/>
      <c r="O455" s="5053"/>
      <c r="P455" s="5053"/>
      <c r="Q455" s="5053"/>
      <c r="R455" s="5053"/>
      <c r="S455" s="5053"/>
      <c r="T455" s="5053"/>
      <c r="U455" s="5055"/>
      <c r="V455" s="5055"/>
      <c r="W455" s="5055"/>
      <c r="X455" s="5055"/>
      <c r="Y455" s="5055"/>
    </row>
    <row r="456">
      <c r="A456" s="5079"/>
      <c r="B456" s="5079"/>
      <c r="C456" s="5079"/>
      <c r="D456" s="5068"/>
      <c r="E456" s="5068"/>
      <c r="F456" s="5068"/>
      <c r="G456" s="5150"/>
      <c r="H456" s="5068" t="s">
        <v>4845</v>
      </c>
      <c r="I456" s="5068" t="s">
        <v>4846</v>
      </c>
      <c r="J456" s="5068" t="s">
        <v>5211</v>
      </c>
      <c r="K456" s="5372"/>
      <c r="L456" s="5053"/>
      <c r="M456" s="5053"/>
      <c r="N456" s="5053"/>
      <c r="O456" s="5053"/>
      <c r="P456" s="5053"/>
      <c r="Q456" s="5053"/>
      <c r="R456" s="5053"/>
      <c r="S456" s="5053"/>
      <c r="T456" s="5053"/>
      <c r="U456" s="5055"/>
      <c r="V456" s="5055"/>
      <c r="W456" s="5055"/>
      <c r="X456" s="5055"/>
      <c r="Y456" s="5055"/>
    </row>
    <row r="457">
      <c r="A457" s="5055"/>
      <c r="B457" s="5055"/>
      <c r="C457" s="5055"/>
      <c r="D457" s="5055"/>
      <c r="E457" s="5055"/>
      <c r="F457" s="5055"/>
      <c r="G457" s="5055"/>
      <c r="H457" s="5055"/>
      <c r="I457" s="5055"/>
      <c r="J457" s="5055"/>
      <c r="K457" s="5055"/>
      <c r="L457" s="5055"/>
      <c r="M457" s="5055"/>
      <c r="N457" s="5055"/>
      <c r="O457" s="5055"/>
      <c r="P457" s="5055"/>
      <c r="Q457" s="5055"/>
      <c r="R457" s="5055"/>
      <c r="S457" s="5055"/>
      <c r="T457" s="5055"/>
      <c r="U457" s="5055"/>
      <c r="V457" s="5055"/>
      <c r="W457" s="5055"/>
      <c r="X457" s="5055"/>
      <c r="Y457" s="5055"/>
    </row>
    <row r="458"/>
    <row r="459">
      <c r="A459" s="5055"/>
      <c r="B459" s="5055"/>
      <c r="C459" s="5055"/>
      <c r="D459" s="5055"/>
      <c r="E459" s="5055"/>
      <c r="F459" s="5055"/>
      <c r="G459" s="5055"/>
      <c r="H459" s="5189"/>
      <c r="I459" s="5055"/>
      <c r="J459" s="5055"/>
      <c r="K459" s="5054"/>
      <c r="L459" s="5054"/>
      <c r="M459" s="5054"/>
      <c r="N459" s="5054"/>
      <c r="O459" s="5054"/>
      <c r="P459" s="5054"/>
      <c r="Q459" s="5054"/>
      <c r="R459" s="5054"/>
      <c r="S459" s="5054"/>
      <c r="T459" s="5054"/>
      <c r="U459" s="5055"/>
      <c r="V459" s="5055"/>
      <c r="W459" s="5055"/>
      <c r="X459" s="5055"/>
      <c r="Y459" s="5055"/>
    </row>
    <row r="460">
      <c r="A460" s="5373" t="s">
        <v>5212</v>
      </c>
      <c r="B460" s="5373"/>
      <c r="C460" s="5373"/>
      <c r="D460" s="5373"/>
      <c r="E460" s="5373"/>
      <c r="F460" s="5373"/>
      <c r="G460" s="5373"/>
      <c r="H460" s="5373"/>
      <c r="I460" s="5373"/>
      <c r="J460" s="5373"/>
      <c r="K460" s="5053"/>
      <c r="L460" s="5053"/>
      <c r="M460" s="5053"/>
      <c r="N460" s="5053"/>
      <c r="O460" s="5053"/>
      <c r="P460" s="5053"/>
      <c r="Q460" s="5053"/>
      <c r="R460" s="5053"/>
      <c r="S460" s="5053"/>
      <c r="T460" s="5053"/>
      <c r="U460" s="5055"/>
      <c r="V460" s="5055"/>
      <c r="W460" s="5055"/>
      <c r="X460" s="5055"/>
      <c r="Y460" s="5055"/>
    </row>
    <row r="461">
      <c r="A461" s="5374" t="s">
        <v>4861</v>
      </c>
      <c r="B461" s="5375" t="s">
        <v>4862</v>
      </c>
      <c r="C461" s="5375"/>
      <c r="D461" s="5376" t="s">
        <v>4863</v>
      </c>
      <c r="E461" s="5376" t="s">
        <v>4864</v>
      </c>
      <c r="F461" s="5376" t="s">
        <v>4865</v>
      </c>
      <c r="G461" s="5377" t="s">
        <v>4877</v>
      </c>
      <c r="H461" s="5376" t="s">
        <v>4867</v>
      </c>
      <c r="I461" s="5376" t="s">
        <v>4868</v>
      </c>
      <c r="J461" s="5376" t="s">
        <v>4869</v>
      </c>
      <c r="K461" s="5053"/>
      <c r="L461" s="5053"/>
      <c r="M461" s="5053"/>
      <c r="N461" s="5053"/>
      <c r="O461" s="5053"/>
      <c r="P461" s="5053"/>
      <c r="Q461" s="5053"/>
      <c r="R461" s="5053"/>
      <c r="S461" s="5053"/>
      <c r="T461" s="5053"/>
      <c r="U461" s="5055"/>
      <c r="V461" s="5055"/>
      <c r="W461" s="5055"/>
      <c r="X461" s="5055"/>
      <c r="Y461" s="5055"/>
    </row>
    <row customHeight="true" ht="18.452380952380953" r="462">
      <c r="A462" s="5288" t="s">
        <v>5213</v>
      </c>
      <c r="B462" s="5289">
        <v>46238</v>
      </c>
      <c r="C462" s="5288" t="str">
        <v>Tuesday</v>
      </c>
      <c r="D462" s="5296" t="s">
        <v>5214</v>
      </c>
      <c r="E462" s="5291">
        <f t="shared" ref="E462:E465" si="65">24*MOD(TIMEVALUE(TRIM(MID(D462,FIND("-",D462)+1,LEN(D462)))) - TIMEVALUE(TRIM(LEFT(D462,FIND("-",D462)-1))),1)</f>
      </c>
      <c r="F462" s="5291" t="s">
        <v>5193</v>
      </c>
      <c r="G462" s="5292" t="s">
        <v>5215</v>
      </c>
      <c r="H462" s="5291" t="s">
        <v>4859</v>
      </c>
      <c r="I462" s="5291" t="s">
        <v>4846</v>
      </c>
      <c r="J462" s="5291"/>
      <c r="K462" s="5161"/>
      <c r="L462" s="5161"/>
      <c r="M462" s="5161"/>
      <c r="N462" s="5161"/>
      <c r="O462" s="5161"/>
      <c r="P462" s="5161"/>
      <c r="Q462" s="5161"/>
      <c r="R462" s="5161"/>
      <c r="S462" s="5161"/>
      <c r="T462" s="5161"/>
      <c r="U462" s="5055"/>
      <c r="V462" s="5055"/>
      <c r="W462" s="5055"/>
      <c r="X462" s="5055"/>
      <c r="Y462" s="5055"/>
    </row>
    <row r="463">
      <c r="A463" s="5288" t="s">
        <v>5213</v>
      </c>
      <c r="B463" s="5289">
        <v>46239</v>
      </c>
      <c r="C463" s="5288" t="str">
        <v>Wednesday</v>
      </c>
      <c r="D463" s="5296" t="s">
        <v>5214</v>
      </c>
      <c r="E463" s="5291">
        <f t="shared" si="65"/>
      </c>
      <c r="F463" s="5291" t="s">
        <v>5216</v>
      </c>
      <c r="G463" s="5292" t="s">
        <v>5217</v>
      </c>
      <c r="H463" s="5291" t="s">
        <v>4859</v>
      </c>
      <c r="I463" s="5291" t="s">
        <v>4846</v>
      </c>
      <c r="J463" s="5291"/>
      <c r="K463" s="5161"/>
      <c r="L463" s="5161"/>
      <c r="M463" s="5161"/>
      <c r="N463" s="5161"/>
      <c r="O463" s="5161"/>
      <c r="P463" s="5161"/>
      <c r="Q463" s="5161"/>
      <c r="R463" s="5161"/>
      <c r="S463" s="5161"/>
      <c r="T463" s="5161"/>
      <c r="U463" s="5055"/>
      <c r="V463" s="5055"/>
      <c r="W463" s="5055"/>
      <c r="X463" s="5055"/>
      <c r="Y463" s="5055"/>
    </row>
    <row r="464">
      <c r="A464" s="5288" t="s">
        <v>5213</v>
      </c>
      <c r="B464" s="5289">
        <v>46240</v>
      </c>
      <c r="C464" s="5288" t="str">
        <v>Thursday</v>
      </c>
      <c r="D464" s="5296" t="s">
        <v>5218</v>
      </c>
      <c r="E464" s="5291">
        <f t="shared" si="65"/>
      </c>
      <c r="F464" s="5291" t="s">
        <v>5216</v>
      </c>
      <c r="G464" s="5292" t="s">
        <v>5217</v>
      </c>
      <c r="H464" s="5291" t="s">
        <v>4859</v>
      </c>
      <c r="I464" s="5291" t="s">
        <v>4846</v>
      </c>
      <c r="J464" s="5291"/>
      <c r="K464" s="5161"/>
      <c r="L464" s="5161"/>
      <c r="M464" s="5161"/>
      <c r="N464" s="5161"/>
      <c r="O464" s="5161"/>
      <c r="P464" s="5161"/>
      <c r="Q464" s="5161"/>
      <c r="R464" s="5161"/>
      <c r="S464" s="5161"/>
      <c r="T464" s="5161"/>
      <c r="U464" s="5055"/>
      <c r="V464" s="5055"/>
      <c r="W464" s="5055"/>
      <c r="X464" s="5055"/>
      <c r="Y464" s="5055"/>
    </row>
    <row r="465">
      <c r="A465" s="5288" t="s">
        <v>5213</v>
      </c>
      <c r="B465" s="5289">
        <v>46241</v>
      </c>
      <c r="C465" s="5288" t="str">
        <v>Friday</v>
      </c>
      <c r="D465" s="5296" t="s">
        <v>5218</v>
      </c>
      <c r="E465" s="5291">
        <f t="shared" si="65"/>
      </c>
      <c r="F465" s="5291" t="s">
        <v>5216</v>
      </c>
      <c r="G465" s="5292" t="s">
        <v>5219</v>
      </c>
      <c r="H465" s="5291" t="s">
        <v>4859</v>
      </c>
      <c r="I465" s="5291" t="s">
        <v>4846</v>
      </c>
      <c r="J465" s="5291"/>
      <c r="K465" s="5161"/>
      <c r="L465" s="5161"/>
      <c r="M465" s="5161"/>
      <c r="N465" s="5161"/>
      <c r="O465" s="5161"/>
      <c r="P465" s="5161"/>
      <c r="Q465" s="5161"/>
      <c r="R465" s="5161"/>
      <c r="S465" s="5161"/>
      <c r="T465" s="5161"/>
      <c r="U465" s="5055"/>
      <c r="V465" s="5055"/>
      <c r="W465" s="5055"/>
      <c r="X465" s="5055"/>
      <c r="Y465" s="5055"/>
    </row>
    <row customHeight="true" ht="18.452380952380953" r="466">
      <c r="A466" s="5288" t="s">
        <v>5213</v>
      </c>
      <c r="B466" s="5289">
        <v>46241</v>
      </c>
      <c r="C466" s="5288" t="str">
        <v>Friday</v>
      </c>
      <c r="D466" s="5296" t="s">
        <v>4924</v>
      </c>
      <c r="E466" s="5296">
        <v>2</v>
      </c>
      <c r="F466" s="5291" t="s">
        <v>5193</v>
      </c>
      <c r="G466" s="5292" t="s">
        <v>5220</v>
      </c>
      <c r="H466" s="5291" t="s">
        <v>4859</v>
      </c>
      <c r="I466" s="5291" t="s">
        <v>4846</v>
      </c>
      <c r="J466" s="5291"/>
      <c r="K466" s="5161"/>
      <c r="L466" s="5161"/>
      <c r="M466" s="5161"/>
      <c r="N466" s="5161"/>
      <c r="O466" s="5161"/>
      <c r="P466" s="5161"/>
      <c r="Q466" s="5161"/>
      <c r="R466" s="5161"/>
      <c r="S466" s="5161"/>
      <c r="T466" s="5161"/>
      <c r="U466" s="5055"/>
      <c r="V466" s="5055"/>
      <c r="W466" s="5055"/>
      <c r="X466" s="5055"/>
      <c r="Y466" s="5055"/>
    </row>
    <row r="467">
      <c r="A467" s="5288" t="s">
        <v>5213</v>
      </c>
      <c r="B467" s="5289">
        <v>46242</v>
      </c>
      <c r="C467" s="5288" t="str">
        <v>Saturday</v>
      </c>
      <c r="D467" s="5296" t="s">
        <v>5218</v>
      </c>
      <c r="E467" s="5291">
        <f t="shared" ref="E467:E468" si="66">24*MOD(TIMEVALUE(TRIM(MID(D467,FIND("-",D467)+1,LEN(D467)))) - TIMEVALUE(TRIM(LEFT(D467,FIND("-",D467)-1))),1)</f>
      </c>
      <c r="F467" s="5291" t="s">
        <v>5221</v>
      </c>
      <c r="G467" s="5292" t="s">
        <v>5219</v>
      </c>
      <c r="H467" s="5291" t="s">
        <v>4859</v>
      </c>
      <c r="I467" s="5291" t="s">
        <v>4846</v>
      </c>
      <c r="J467" s="5291"/>
      <c r="K467" s="5161"/>
      <c r="L467" s="5161"/>
      <c r="M467" s="5161"/>
      <c r="N467" s="5161"/>
      <c r="O467" s="5161"/>
      <c r="P467" s="5161"/>
      <c r="Q467" s="5161"/>
      <c r="R467" s="5161"/>
      <c r="S467" s="5161"/>
      <c r="T467" s="5161"/>
      <c r="U467" s="5055"/>
      <c r="V467" s="5055"/>
      <c r="W467" s="5055"/>
      <c r="X467" s="5055"/>
      <c r="Y467" s="5055"/>
    </row>
    <row r="468">
      <c r="A468" s="5288" t="s">
        <v>5213</v>
      </c>
      <c r="B468" s="5289">
        <v>46243</v>
      </c>
      <c r="C468" s="5288" t="str">
        <v>Sunday</v>
      </c>
      <c r="D468" s="5296" t="s">
        <v>5222</v>
      </c>
      <c r="E468" s="5291">
        <f t="shared" si="66"/>
      </c>
      <c r="F468" s="5291" t="s">
        <v>5113</v>
      </c>
      <c r="G468" s="5292" t="s">
        <v>5220</v>
      </c>
      <c r="H468" s="5291" t="s">
        <v>4859</v>
      </c>
      <c r="I468" s="5291" t="s">
        <v>4846</v>
      </c>
      <c r="J468" s="5291"/>
      <c r="K468" s="5161"/>
      <c r="L468" s="5161"/>
      <c r="M468" s="5161"/>
      <c r="N468" s="5161"/>
      <c r="O468" s="5161"/>
      <c r="P468" s="5161"/>
      <c r="Q468" s="5161"/>
      <c r="R468" s="5161"/>
      <c r="S468" s="5161"/>
      <c r="T468" s="5161"/>
      <c r="U468" s="5055"/>
      <c r="V468" s="5055"/>
      <c r="W468" s="5055"/>
      <c r="X468" s="5055"/>
      <c r="Y468" s="5055"/>
    </row>
    <row r="469">
      <c r="A469" s="5079"/>
      <c r="B469" s="5079"/>
      <c r="C469" s="5079"/>
      <c r="D469" s="5068"/>
      <c r="E469" s="5068"/>
      <c r="F469" s="5068"/>
      <c r="G469" s="5150"/>
      <c r="H469" s="5069"/>
      <c r="I469" s="5069"/>
      <c r="J469" s="5068"/>
      <c r="K469" s="5053"/>
      <c r="L469" s="5053"/>
      <c r="M469" s="5053"/>
      <c r="N469" s="5053"/>
      <c r="O469" s="5053"/>
      <c r="P469" s="5053"/>
      <c r="Q469" s="5053"/>
      <c r="R469" s="5053"/>
      <c r="S469" s="5053"/>
      <c r="T469" s="5053"/>
      <c r="U469" s="5055"/>
      <c r="V469" s="5055"/>
      <c r="W469" s="5055"/>
      <c r="X469" s="5055"/>
      <c r="Y469" s="5055"/>
    </row>
    <row r="470">
      <c r="A470" s="5288" t="s">
        <v>5223</v>
      </c>
      <c r="B470" s="5289">
        <v>46238</v>
      </c>
      <c r="C470" s="5288" t="str">
        <v>Tuesday</v>
      </c>
      <c r="D470" s="5296" t="s">
        <v>5224</v>
      </c>
      <c r="E470" s="5291">
        <f t="shared" ref="E470:E474" si="67">24*MOD(TIMEVALUE(TRIM(MID(D470,FIND("-",D470)+1,LEN(D470)))) - TIMEVALUE(TRIM(LEFT(D470,FIND("-",D470)-1))),1)</f>
      </c>
      <c r="F470" s="5291" t="s">
        <v>5225</v>
      </c>
      <c r="G470" s="5292"/>
      <c r="H470" s="5291" t="s">
        <v>4859</v>
      </c>
      <c r="I470" s="5291" t="s">
        <v>4846</v>
      </c>
      <c r="J470" s="5291"/>
      <c r="K470" s="5161"/>
      <c r="L470" s="5161"/>
      <c r="M470" s="5161"/>
      <c r="N470" s="5161"/>
      <c r="O470" s="5161"/>
      <c r="P470" s="5161"/>
      <c r="Q470" s="5161"/>
      <c r="R470" s="5161"/>
      <c r="S470" s="5161"/>
      <c r="T470" s="5161"/>
      <c r="U470" s="5055"/>
      <c r="V470" s="5055"/>
      <c r="W470" s="5055"/>
      <c r="X470" s="5055"/>
      <c r="Y470" s="5055"/>
    </row>
    <row r="471">
      <c r="A471" s="5288" t="s">
        <v>5223</v>
      </c>
      <c r="B471" s="5289">
        <v>46239</v>
      </c>
      <c r="C471" s="5288" t="str">
        <v>Wednesday</v>
      </c>
      <c r="D471" s="5296" t="s">
        <v>5226</v>
      </c>
      <c r="E471" s="5291">
        <f t="shared" si="67"/>
      </c>
      <c r="F471" s="5291" t="s">
        <v>5217</v>
      </c>
      <c r="G471" s="5297"/>
      <c r="H471" s="5291" t="s">
        <v>4859</v>
      </c>
      <c r="I471" s="5291" t="s">
        <v>4846</v>
      </c>
      <c r="J471" s="5291"/>
      <c r="K471" s="5161"/>
      <c r="L471" s="5161"/>
      <c r="M471" s="5161"/>
      <c r="N471" s="5161"/>
      <c r="O471" s="5161"/>
      <c r="P471" s="5161"/>
      <c r="Q471" s="5161"/>
      <c r="R471" s="5161"/>
      <c r="S471" s="5161"/>
      <c r="T471" s="5161"/>
      <c r="U471" s="5055"/>
      <c r="V471" s="5055"/>
      <c r="W471" s="5055"/>
      <c r="X471" s="5055"/>
      <c r="Y471" s="5055"/>
    </row>
    <row r="472">
      <c r="A472" s="5288" t="s">
        <v>5223</v>
      </c>
      <c r="B472" s="5289">
        <v>46240</v>
      </c>
      <c r="C472" s="5288" t="str">
        <v>Thursday</v>
      </c>
      <c r="D472" s="5296" t="s">
        <v>5226</v>
      </c>
      <c r="E472" s="5291">
        <f t="shared" si="67"/>
      </c>
      <c r="F472" s="5291" t="s">
        <v>5217</v>
      </c>
      <c r="G472" s="5292"/>
      <c r="H472" s="5291" t="s">
        <v>4859</v>
      </c>
      <c r="I472" s="5291" t="s">
        <v>4846</v>
      </c>
      <c r="J472" s="5291"/>
      <c r="K472" s="5161"/>
      <c r="L472" s="5161"/>
      <c r="M472" s="5161"/>
      <c r="N472" s="5161"/>
      <c r="O472" s="5161"/>
      <c r="P472" s="5161"/>
      <c r="Q472" s="5161"/>
      <c r="R472" s="5161"/>
      <c r="S472" s="5161"/>
      <c r="T472" s="5161"/>
      <c r="U472" s="5055"/>
      <c r="V472" s="5055"/>
      <c r="W472" s="5055"/>
      <c r="X472" s="5055"/>
      <c r="Y472" s="5055"/>
    </row>
    <row r="473">
      <c r="A473" s="5288" t="s">
        <v>5223</v>
      </c>
      <c r="B473" s="5289">
        <v>46241</v>
      </c>
      <c r="C473" s="5288" t="str">
        <v>Friday</v>
      </c>
      <c r="D473" s="5291" t="s">
        <v>5227</v>
      </c>
      <c r="E473" s="5293">
        <f t="shared" si="67"/>
      </c>
      <c r="F473" s="5291" t="s">
        <v>4911</v>
      </c>
      <c r="G473" s="5378"/>
      <c r="H473" s="5293" t="s">
        <v>4859</v>
      </c>
      <c r="I473" s="5291" t="s">
        <v>4846</v>
      </c>
      <c r="J473" s="5293"/>
      <c r="K473" s="5379"/>
      <c r="L473" s="5379"/>
      <c r="M473" s="5379"/>
      <c r="N473" s="5379"/>
      <c r="O473" s="5379"/>
      <c r="P473" s="5379"/>
      <c r="Q473" s="5379"/>
      <c r="R473" s="5379"/>
      <c r="S473" s="5379"/>
      <c r="T473" s="5379"/>
      <c r="U473" s="5380"/>
      <c r="V473" s="5380"/>
      <c r="W473" s="5380"/>
      <c r="X473" s="5380"/>
      <c r="Y473" s="5380"/>
    </row>
    <row r="474">
      <c r="A474" s="5288" t="s">
        <v>5223</v>
      </c>
      <c r="B474" s="5289">
        <v>46243</v>
      </c>
      <c r="C474" s="5288" t="str">
        <v>Sunday</v>
      </c>
      <c r="D474" s="5296" t="s">
        <v>5228</v>
      </c>
      <c r="E474" s="5291">
        <f t="shared" si="67"/>
      </c>
      <c r="F474" s="5295" t="s">
        <v>5229</v>
      </c>
      <c r="G474" s="5297"/>
      <c r="H474" s="5291" t="s">
        <v>4859</v>
      </c>
      <c r="I474" s="5291" t="s">
        <v>4846</v>
      </c>
      <c r="J474" s="5291"/>
      <c r="K474" s="5161"/>
      <c r="L474" s="5161"/>
      <c r="M474" s="5161"/>
      <c r="N474" s="5161"/>
      <c r="O474" s="5161"/>
      <c r="P474" s="5161"/>
      <c r="Q474" s="5161"/>
      <c r="R474" s="5161"/>
      <c r="S474" s="5161"/>
      <c r="T474" s="5161"/>
      <c r="U474" s="5055"/>
      <c r="V474" s="5055"/>
      <c r="W474" s="5055"/>
      <c r="X474" s="5055"/>
      <c r="Y474" s="5055"/>
    </row>
    <row r="475">
      <c r="A475" s="5079"/>
      <c r="B475" s="5079"/>
      <c r="C475" s="5079"/>
      <c r="D475" s="5069"/>
      <c r="E475" s="5069"/>
      <c r="F475" s="5069"/>
      <c r="G475" s="5095"/>
      <c r="H475" s="5069"/>
      <c r="I475" s="5069"/>
      <c r="J475" s="5069"/>
      <c r="K475" s="5053"/>
      <c r="L475" s="5053"/>
      <c r="M475" s="5053"/>
      <c r="N475" s="5053"/>
      <c r="O475" s="5053"/>
      <c r="P475" s="5053"/>
      <c r="Q475" s="5053"/>
      <c r="R475" s="5053"/>
      <c r="S475" s="5053"/>
      <c r="T475" s="5053"/>
      <c r="U475" s="5054"/>
      <c r="V475" s="5054"/>
      <c r="W475" s="5054"/>
      <c r="X475" s="5054"/>
      <c r="Y475" s="5054"/>
    </row>
    <row r="476">
      <c r="A476" s="5288" t="s">
        <v>5230</v>
      </c>
      <c r="B476" s="5289">
        <v>46239</v>
      </c>
      <c r="C476" s="5288" t="str">
        <v>Wednesday</v>
      </c>
      <c r="D476" s="5296" t="s">
        <v>5231</v>
      </c>
      <c r="E476" s="5291">
        <f t="shared" ref="E476:E479" si="68">24*MOD(TIMEVALUE(TRIM(MID(D476,FIND("-",D476)+1,LEN(D476)))) - TIMEVALUE(TRIM(LEFT(D476,FIND("-",D476)-1))),1)</f>
      </c>
      <c r="F476" s="5291" t="s">
        <v>4911</v>
      </c>
      <c r="G476" s="5297"/>
      <c r="H476" s="5291"/>
      <c r="I476" s="5291" t="s">
        <v>4846</v>
      </c>
      <c r="J476" s="5291"/>
      <c r="K476" s="5161"/>
      <c r="L476" s="5161"/>
      <c r="M476" s="5161"/>
      <c r="N476" s="5161"/>
      <c r="O476" s="5161"/>
      <c r="P476" s="5161"/>
      <c r="Q476" s="5161"/>
      <c r="R476" s="5161"/>
      <c r="S476" s="5161"/>
      <c r="T476" s="5161"/>
      <c r="U476" s="5055"/>
      <c r="V476" s="5055"/>
      <c r="W476" s="5055"/>
      <c r="X476" s="5055"/>
      <c r="Y476" s="5055"/>
    </row>
    <row customHeight="true" ht="18.452380952380953" r="477">
      <c r="A477" s="5288" t="s">
        <v>5230</v>
      </c>
      <c r="B477" s="5289">
        <v>46240</v>
      </c>
      <c r="C477" s="5288" t="str">
        <v>Thursday</v>
      </c>
      <c r="D477" s="5296" t="s">
        <v>5218</v>
      </c>
      <c r="E477" s="5291">
        <f t="shared" si="68"/>
      </c>
      <c r="F477" s="5291" t="s">
        <v>4911</v>
      </c>
      <c r="G477" s="5297"/>
      <c r="H477" s="5291"/>
      <c r="I477" s="5291" t="s">
        <v>4846</v>
      </c>
      <c r="J477" s="5291"/>
      <c r="K477" s="5161"/>
      <c r="L477" s="5161"/>
      <c r="M477" s="5161"/>
      <c r="N477" s="5161"/>
      <c r="O477" s="5161"/>
      <c r="P477" s="5161"/>
      <c r="Q477" s="5161"/>
      <c r="R477" s="5161"/>
      <c r="S477" s="5161"/>
      <c r="T477" s="5161"/>
      <c r="U477" s="5055"/>
      <c r="V477" s="5055"/>
      <c r="W477" s="5055"/>
      <c r="X477" s="5055"/>
      <c r="Y477" s="5055"/>
    </row>
    <row customHeight="true" ht="18.452380952380953" r="478">
      <c r="A478" s="5288" t="s">
        <v>5232</v>
      </c>
      <c r="B478" s="5289">
        <v>46239</v>
      </c>
      <c r="C478" s="5288" t="str">
        <v>Wednesday</v>
      </c>
      <c r="D478" s="5296" t="s">
        <v>5025</v>
      </c>
      <c r="E478" s="5291">
        <f t="shared" si="68"/>
      </c>
      <c r="F478" s="5291" t="s">
        <v>5221</v>
      </c>
      <c r="G478" s="5297"/>
      <c r="H478" s="5291"/>
      <c r="I478" s="5291" t="s">
        <v>4846</v>
      </c>
      <c r="J478" s="5291"/>
      <c r="K478" s="5161"/>
      <c r="L478" s="5161"/>
      <c r="M478" s="5161"/>
      <c r="N478" s="5161"/>
      <c r="O478" s="5161"/>
      <c r="P478" s="5161"/>
      <c r="Q478" s="5161"/>
      <c r="R478" s="5161"/>
      <c r="S478" s="5161"/>
      <c r="T478" s="5161"/>
      <c r="U478" s="5055"/>
      <c r="V478" s="5055"/>
      <c r="W478" s="5055"/>
      <c r="X478" s="5055"/>
      <c r="Y478" s="5055"/>
    </row>
    <row customHeight="true" ht="18.452380952380953" r="479">
      <c r="A479" s="5288" t="s">
        <v>5232</v>
      </c>
      <c r="B479" s="5289">
        <v>46241</v>
      </c>
      <c r="C479" s="5288" t="str">
        <v>Friday</v>
      </c>
      <c r="D479" s="5296" t="s">
        <v>4973</v>
      </c>
      <c r="E479" s="5291">
        <f t="shared" si="68"/>
      </c>
      <c r="F479" s="5291" t="s">
        <v>5221</v>
      </c>
      <c r="G479" s="5297"/>
      <c r="H479" s="5291"/>
      <c r="I479" s="5291" t="s">
        <v>4846</v>
      </c>
      <c r="J479" s="5291"/>
      <c r="K479" s="5161"/>
      <c r="L479" s="5161"/>
      <c r="M479" s="5161"/>
      <c r="N479" s="5161"/>
      <c r="O479" s="5161"/>
      <c r="P479" s="5161"/>
      <c r="Q479" s="5161"/>
      <c r="R479" s="5161"/>
      <c r="S479" s="5161"/>
      <c r="T479" s="5161"/>
      <c r="U479" s="5055"/>
      <c r="V479" s="5055"/>
      <c r="W479" s="5055"/>
      <c r="X479" s="5055"/>
      <c r="Y479" s="5055"/>
    </row>
    <row r="480">
      <c r="A480" s="5079"/>
      <c r="B480" s="5079"/>
      <c r="C480" s="5079"/>
      <c r="D480" s="5069"/>
      <c r="E480" s="5068"/>
      <c r="F480" s="5069"/>
      <c r="G480" s="5095"/>
      <c r="H480" s="5344"/>
      <c r="I480" s="5069"/>
      <c r="J480" s="5069"/>
      <c r="K480" s="5053"/>
      <c r="L480" s="5053"/>
      <c r="M480" s="5053"/>
      <c r="N480" s="5053"/>
      <c r="O480" s="5053"/>
      <c r="P480" s="5053"/>
      <c r="Q480" s="5053"/>
      <c r="R480" s="5053"/>
      <c r="S480" s="5053"/>
      <c r="T480" s="5053"/>
      <c r="U480" s="5054"/>
      <c r="V480" s="5054"/>
      <c r="W480" s="5054"/>
      <c r="X480" s="5054"/>
      <c r="Y480" s="5054"/>
    </row>
    <row r="481">
      <c r="A481" s="5079"/>
      <c r="B481" s="5079"/>
      <c r="C481" s="5079"/>
      <c r="D481" s="5068"/>
      <c r="E481" s="5068"/>
      <c r="F481" s="5068"/>
      <c r="G481" s="5150"/>
      <c r="H481" s="5068"/>
      <c r="I481" s="5068"/>
      <c r="J481" s="5068"/>
      <c r="K481" s="5053"/>
      <c r="L481" s="5053"/>
      <c r="M481" s="5053"/>
      <c r="N481" s="5053"/>
      <c r="O481" s="5053"/>
      <c r="P481" s="5053"/>
      <c r="Q481" s="5053"/>
      <c r="R481" s="5053"/>
      <c r="S481" s="5053"/>
      <c r="T481" s="5053"/>
      <c r="U481" s="5055"/>
      <c r="V481" s="5055"/>
      <c r="W481" s="5055"/>
      <c r="X481" s="5055"/>
      <c r="Y481" s="5055"/>
    </row>
    <row r="482">
      <c r="A482" s="5381" t="s">
        <v>5233</v>
      </c>
      <c r="B482" s="5381"/>
      <c r="C482" s="5381"/>
      <c r="D482" s="5381"/>
      <c r="E482" s="5381"/>
      <c r="F482" s="5381"/>
      <c r="G482" s="5381"/>
      <c r="H482" s="5381"/>
      <c r="I482" s="5381"/>
      <c r="J482" s="5381"/>
      <c r="K482" s="5382"/>
      <c r="L482" s="5382"/>
      <c r="M482" s="5382"/>
      <c r="N482" s="5382"/>
      <c r="O482" s="5383"/>
      <c r="P482" s="5383"/>
      <c r="Q482" s="5383"/>
      <c r="R482" s="5383"/>
      <c r="S482" s="5383"/>
      <c r="T482" s="5383"/>
      <c r="U482" s="5055"/>
      <c r="V482" s="5055"/>
      <c r="W482" s="5055"/>
      <c r="X482" s="5055"/>
      <c r="Y482" s="5055"/>
    </row>
    <row r="483">
      <c r="A483" s="5384" t="s">
        <v>4861</v>
      </c>
      <c r="B483" s="5385" t="s">
        <v>4862</v>
      </c>
      <c r="C483" s="5385"/>
      <c r="D483" s="5386" t="s">
        <v>4863</v>
      </c>
      <c r="E483" s="5386" t="s">
        <v>4864</v>
      </c>
      <c r="F483" s="5386" t="s">
        <v>4865</v>
      </c>
      <c r="G483" s="5387" t="s">
        <v>4877</v>
      </c>
      <c r="H483" s="5386" t="s">
        <v>4867</v>
      </c>
      <c r="I483" s="5386" t="s">
        <v>4868</v>
      </c>
      <c r="J483" s="5386" t="s">
        <v>4869</v>
      </c>
      <c r="K483" s="5382"/>
      <c r="L483" s="5382"/>
      <c r="M483" s="5382"/>
      <c r="N483" s="5382"/>
      <c r="O483" s="5383"/>
      <c r="P483" s="5383"/>
      <c r="Q483" s="5383"/>
      <c r="R483" s="5383"/>
      <c r="S483" s="5383"/>
      <c r="T483" s="5383"/>
      <c r="U483" s="5055"/>
      <c r="V483" s="5055"/>
      <c r="W483" s="5055"/>
      <c r="X483" s="5055"/>
      <c r="Y483" s="5055"/>
    </row>
    <row r="484">
      <c r="A484" s="5079" t="s">
        <v>5233</v>
      </c>
      <c r="B484" s="5072">
        <v>46238</v>
      </c>
      <c r="C484" s="5079" t="str">
        <v>Tuesday</v>
      </c>
      <c r="D484" s="5064" t="s">
        <v>4973</v>
      </c>
      <c r="E484" s="5069">
        <f t="shared" ref="E484:E485" si="69">24*MOD(TIMEVALUE(TRIM(MID(D484,FIND("-",D484)+1,LEN(D484)))) - TIMEVALUE(TRIM(LEFT(D484,FIND("-",D484)-1))),1)</f>
      </c>
      <c r="F484" s="5068" t="s">
        <v>4883</v>
      </c>
      <c r="G484" s="5088"/>
      <c r="H484" s="5344" t="s">
        <v>4859</v>
      </c>
      <c r="I484" s="5069" t="s">
        <v>4846</v>
      </c>
      <c r="J484" s="5069"/>
      <c r="K484" s="5098"/>
      <c r="L484" s="5098"/>
      <c r="M484" s="5098"/>
      <c r="N484" s="5098"/>
      <c r="O484" s="5053"/>
      <c r="P484" s="5053"/>
      <c r="Q484" s="5053"/>
      <c r="R484" s="5053"/>
      <c r="S484" s="5053"/>
      <c r="T484" s="5053"/>
      <c r="U484" s="5055"/>
      <c r="V484" s="5055"/>
      <c r="W484" s="5055"/>
      <c r="X484" s="5055"/>
      <c r="Y484" s="5055"/>
    </row>
    <row r="485">
      <c r="A485" s="5388" t="s">
        <v>5234</v>
      </c>
      <c r="B485" s="5389">
        <v>46238</v>
      </c>
      <c r="C485" s="5388" t="str">
        <v>Tuesday</v>
      </c>
      <c r="D485" s="5390" t="s">
        <v>5218</v>
      </c>
      <c r="E485" s="5391">
        <f t="shared" si="69"/>
      </c>
      <c r="F485" s="5391" t="s">
        <v>5229</v>
      </c>
      <c r="G485" s="5392"/>
      <c r="H485" s="5393" t="s">
        <v>4859</v>
      </c>
      <c r="I485" s="5069" t="s">
        <v>4846</v>
      </c>
      <c r="J485" s="5391"/>
      <c r="K485" s="5098"/>
      <c r="L485" s="5098"/>
      <c r="M485" s="5098"/>
      <c r="N485" s="5098"/>
      <c r="O485" s="5053"/>
      <c r="P485" s="5053"/>
      <c r="Q485" s="5053"/>
      <c r="R485" s="5053"/>
      <c r="S485" s="5053"/>
      <c r="T485" s="5053"/>
      <c r="U485" s="5055"/>
      <c r="V485" s="5055"/>
      <c r="W485" s="5055"/>
      <c r="X485" s="5055"/>
      <c r="Y485" s="5055"/>
    </row>
    <row r="486">
      <c r="A486" s="5079" t="s">
        <v>5233</v>
      </c>
      <c r="B486" s="5079"/>
      <c r="C486" s="5079"/>
      <c r="D486" s="5069"/>
      <c r="E486" s="5394">
        <f>3</f>
      </c>
      <c r="F486" s="5068"/>
      <c r="G486" s="5095"/>
      <c r="H486" s="5344"/>
      <c r="I486" s="5068"/>
      <c r="J486" s="5069"/>
      <c r="K486" s="5098"/>
      <c r="L486" s="5098"/>
      <c r="M486" s="5098"/>
      <c r="N486" s="5098"/>
      <c r="O486" s="5053"/>
      <c r="P486" s="5053"/>
      <c r="Q486" s="5053"/>
      <c r="R486" s="5053"/>
      <c r="S486" s="5053"/>
      <c r="T486" s="5053"/>
      <c r="U486" s="5055"/>
      <c r="V486" s="5055"/>
      <c r="W486" s="5055"/>
      <c r="X486" s="5055"/>
      <c r="Y486" s="5055"/>
    </row>
    <row r="487">
      <c r="A487" s="5079" t="s">
        <v>5233</v>
      </c>
      <c r="B487" s="5072">
        <v>46239</v>
      </c>
      <c r="C487" s="5079" t="str">
        <v>Wednesday</v>
      </c>
      <c r="D487" s="5064" t="s">
        <v>5125</v>
      </c>
      <c r="E487" s="5069">
        <f t="shared" ref="E487:E488" si="70">24*MOD(TIMEVALUE(TRIM(MID(D487,FIND("-",D487)+1,LEN(D487)))) - TIMEVALUE(TRIM(LEFT(D487,FIND("-",D487)-1))),1)</f>
      </c>
      <c r="F487" s="5068"/>
      <c r="G487" s="5088"/>
      <c r="H487" s="5344" t="s">
        <v>4859</v>
      </c>
      <c r="I487" s="5069" t="s">
        <v>4875</v>
      </c>
      <c r="J487" s="5069"/>
      <c r="K487" s="5098"/>
      <c r="L487" s="5098"/>
      <c r="M487" s="5098"/>
      <c r="N487" s="5098"/>
      <c r="O487" s="5053"/>
      <c r="P487" s="5053"/>
      <c r="Q487" s="5053"/>
      <c r="R487" s="5053"/>
      <c r="S487" s="5053"/>
      <c r="T487" s="5053"/>
      <c r="U487" s="5055"/>
      <c r="V487" s="5055"/>
      <c r="W487" s="5055"/>
      <c r="X487" s="5055"/>
      <c r="Y487" s="5055"/>
    </row>
    <row r="488">
      <c r="A488" s="5388" t="s">
        <v>5234</v>
      </c>
      <c r="B488" s="5389">
        <v>46239</v>
      </c>
      <c r="C488" s="5388" t="str">
        <v>Wednesday</v>
      </c>
      <c r="D488" s="5390" t="s">
        <v>5235</v>
      </c>
      <c r="E488" s="5391">
        <f t="shared" si="70"/>
      </c>
      <c r="F488" s="5391"/>
      <c r="G488" s="5392"/>
      <c r="H488" s="5393" t="s">
        <v>4859</v>
      </c>
      <c r="I488" s="5069" t="s">
        <v>4875</v>
      </c>
      <c r="J488" s="5390"/>
      <c r="K488" s="5098"/>
      <c r="L488" s="5098"/>
      <c r="M488" s="5098"/>
      <c r="N488" s="5098"/>
      <c r="O488" s="5053"/>
      <c r="P488" s="5053"/>
      <c r="Q488" s="5053"/>
      <c r="R488" s="5053"/>
      <c r="S488" s="5053"/>
      <c r="T488" s="5053"/>
      <c r="U488" s="5055"/>
      <c r="V488" s="5055"/>
      <c r="W488" s="5055"/>
      <c r="X488" s="5055"/>
      <c r="Y488" s="5055"/>
    </row>
    <row r="489">
      <c r="A489" s="5079" t="s">
        <v>5233</v>
      </c>
      <c r="B489" s="5079"/>
      <c r="C489" s="5079"/>
      <c r="D489" s="5069"/>
      <c r="E489" s="5394">
        <f>3</f>
      </c>
      <c r="F489" s="5068"/>
      <c r="G489" s="5095"/>
      <c r="H489" s="5344"/>
      <c r="I489" s="5068"/>
      <c r="J489" s="5069"/>
      <c r="K489" s="5098"/>
      <c r="L489" s="5098"/>
      <c r="M489" s="5098"/>
      <c r="N489" s="5098"/>
      <c r="O489" s="5053"/>
      <c r="P489" s="5053"/>
      <c r="Q489" s="5053"/>
      <c r="R489" s="5053"/>
      <c r="S489" s="5053"/>
      <c r="T489" s="5053"/>
      <c r="U489" s="5055"/>
      <c r="V489" s="5055"/>
      <c r="W489" s="5055"/>
      <c r="X489" s="5055"/>
      <c r="Y489" s="5055"/>
    </row>
    <row r="490">
      <c r="A490" s="5079" t="s">
        <v>5233</v>
      </c>
      <c r="B490" s="5072">
        <v>46240</v>
      </c>
      <c r="C490" s="5079" t="str">
        <v>Thursday</v>
      </c>
      <c r="D490" s="5064" t="s">
        <v>4927</v>
      </c>
      <c r="E490" s="5069">
        <f t="shared" ref="E490:E491" si="71">24*MOD(TIMEVALUE(TRIM(MID(D490,FIND("-",D490)+1,LEN(D490)))) - TIMEVALUE(TRIM(LEFT(D490,FIND("-",D490)-1))),1)</f>
      </c>
      <c r="F490" s="5196"/>
      <c r="G490" s="5088"/>
      <c r="H490" s="5344" t="s">
        <v>4859</v>
      </c>
      <c r="I490" s="5069" t="s">
        <v>4875</v>
      </c>
      <c r="J490" s="5069"/>
      <c r="K490" s="5098"/>
      <c r="L490" s="5098"/>
      <c r="M490" s="5098"/>
      <c r="N490" s="5098"/>
      <c r="O490" s="5053"/>
      <c r="P490" s="5053"/>
      <c r="Q490" s="5053"/>
      <c r="R490" s="5053"/>
      <c r="S490" s="5053"/>
      <c r="T490" s="5053"/>
      <c r="U490" s="5055"/>
      <c r="V490" s="5055"/>
      <c r="W490" s="5055"/>
      <c r="X490" s="5055"/>
      <c r="Y490" s="5055"/>
    </row>
    <row r="491">
      <c r="A491" s="5388" t="s">
        <v>5234</v>
      </c>
      <c r="B491" s="5389">
        <v>46240</v>
      </c>
      <c r="C491" s="5388" t="str">
        <v>Thursday</v>
      </c>
      <c r="D491" s="5390" t="s">
        <v>5236</v>
      </c>
      <c r="E491" s="5391">
        <f t="shared" si="71"/>
      </c>
      <c r="F491" s="5391"/>
      <c r="G491" s="5392"/>
      <c r="H491" s="5393" t="s">
        <v>4859</v>
      </c>
      <c r="I491" s="5069" t="s">
        <v>4875</v>
      </c>
      <c r="J491" s="5391"/>
      <c r="K491" s="5098"/>
      <c r="L491" s="5098"/>
      <c r="M491" s="5098"/>
      <c r="N491" s="5098"/>
      <c r="O491" s="5053"/>
      <c r="P491" s="5053"/>
      <c r="Q491" s="5053"/>
      <c r="R491" s="5053"/>
      <c r="S491" s="5053"/>
      <c r="T491" s="5053"/>
      <c r="U491" s="5055"/>
      <c r="V491" s="5055"/>
      <c r="W491" s="5055"/>
      <c r="X491" s="5055"/>
      <c r="Y491" s="5055"/>
    </row>
    <row r="492">
      <c r="A492" s="5079" t="s">
        <v>5233</v>
      </c>
      <c r="B492" s="5079"/>
      <c r="C492" s="5079"/>
      <c r="D492" s="5069"/>
      <c r="E492" s="5394">
        <f>3</f>
      </c>
      <c r="F492" s="5068"/>
      <c r="G492" s="5095"/>
      <c r="H492" s="5344"/>
      <c r="I492" s="5068"/>
      <c r="J492" s="5069"/>
      <c r="K492" s="5098"/>
      <c r="L492" s="5098"/>
      <c r="M492" s="5098"/>
      <c r="N492" s="5098"/>
      <c r="O492" s="5053"/>
      <c r="P492" s="5053"/>
      <c r="Q492" s="5053"/>
      <c r="R492" s="5053"/>
      <c r="S492" s="5053"/>
      <c r="T492" s="5053"/>
      <c r="U492" s="5055"/>
      <c r="V492" s="5055"/>
      <c r="W492" s="5055"/>
      <c r="X492" s="5055"/>
      <c r="Y492" s="5055"/>
    </row>
    <row r="493">
      <c r="A493" s="5079" t="s">
        <v>5233</v>
      </c>
      <c r="B493" s="5072">
        <v>46241</v>
      </c>
      <c r="C493" s="5079" t="str">
        <v>Friday</v>
      </c>
      <c r="D493" s="5064" t="s">
        <v>4927</v>
      </c>
      <c r="E493" s="5069">
        <f t="shared" ref="E493:E494" si="72">24*MOD(TIMEVALUE(TRIM(MID(D493,FIND("-",D493)+1,LEN(D493)))) - TIMEVALUE(TRIM(LEFT(D493,FIND("-",D493)-1))),1)</f>
      </c>
      <c r="F493" s="5068"/>
      <c r="G493" s="5088"/>
      <c r="H493" s="5344" t="s">
        <v>4859</v>
      </c>
      <c r="I493" s="5069" t="s">
        <v>4875</v>
      </c>
      <c r="J493" s="5069"/>
      <c r="K493" s="5098"/>
      <c r="L493" s="5098"/>
      <c r="M493" s="5098"/>
      <c r="N493" s="5098"/>
      <c r="O493" s="5053"/>
      <c r="P493" s="5053"/>
      <c r="Q493" s="5053"/>
      <c r="R493" s="5053"/>
      <c r="S493" s="5053"/>
      <c r="T493" s="5053"/>
      <c r="U493" s="5055"/>
      <c r="V493" s="5055"/>
      <c r="W493" s="5055"/>
      <c r="X493" s="5055"/>
      <c r="Y493" s="5055"/>
    </row>
    <row r="494">
      <c r="A494" s="5388" t="s">
        <v>5234</v>
      </c>
      <c r="B494" s="5389">
        <v>46241</v>
      </c>
      <c r="C494" s="5388" t="str">
        <v>Friday</v>
      </c>
      <c r="D494" s="5390" t="s">
        <v>5236</v>
      </c>
      <c r="E494" s="5391">
        <f t="shared" si="72"/>
      </c>
      <c r="F494" s="5391"/>
      <c r="G494" s="5392"/>
      <c r="H494" s="5393" t="s">
        <v>4859</v>
      </c>
      <c r="I494" s="5069" t="s">
        <v>4875</v>
      </c>
      <c r="J494" s="5391"/>
      <c r="K494" s="5098"/>
      <c r="L494" s="5098"/>
      <c r="M494" s="5098"/>
      <c r="N494" s="5098"/>
      <c r="O494" s="5053"/>
      <c r="P494" s="5053"/>
      <c r="Q494" s="5053"/>
      <c r="R494" s="5053"/>
      <c r="S494" s="5053"/>
      <c r="T494" s="5053"/>
      <c r="U494" s="5055"/>
      <c r="V494" s="5055"/>
      <c r="W494" s="5055"/>
      <c r="X494" s="5055"/>
      <c r="Y494" s="5055"/>
    </row>
    <row r="495">
      <c r="A495" s="5079" t="s">
        <v>5233</v>
      </c>
      <c r="B495" s="5079"/>
      <c r="C495" s="5079"/>
      <c r="D495" s="5069"/>
      <c r="E495" s="5394">
        <f>3</f>
      </c>
      <c r="F495" s="5068"/>
      <c r="G495" s="5095"/>
      <c r="H495" s="5344"/>
      <c r="I495" s="5068"/>
      <c r="J495" s="5069"/>
      <c r="K495" s="5098"/>
      <c r="L495" s="5098"/>
      <c r="M495" s="5098"/>
      <c r="N495" s="5098"/>
      <c r="O495" s="5053"/>
      <c r="P495" s="5053"/>
      <c r="Q495" s="5053"/>
      <c r="R495" s="5053"/>
      <c r="S495" s="5053"/>
      <c r="T495" s="5053"/>
      <c r="U495" s="5055"/>
      <c r="V495" s="5055"/>
      <c r="W495" s="5055"/>
      <c r="X495" s="5055"/>
      <c r="Y495" s="5055"/>
    </row>
    <row r="496">
      <c r="A496" s="5079" t="s">
        <v>5233</v>
      </c>
      <c r="B496" s="5072">
        <v>46242</v>
      </c>
      <c r="C496" s="5079" t="str">
        <v>Saturday</v>
      </c>
      <c r="D496" s="5064" t="s">
        <v>5123</v>
      </c>
      <c r="E496" s="5069">
        <f t="shared" ref="E496:E497" si="73">24*MOD(TIMEVALUE(TRIM(MID(D496,FIND("-",D496)+1,LEN(D496)))) - TIMEVALUE(TRIM(LEFT(D496,FIND("-",D496)-1))),1)</f>
      </c>
      <c r="F496" s="5068"/>
      <c r="G496" s="5095"/>
      <c r="H496" s="5344" t="s">
        <v>4859</v>
      </c>
      <c r="I496" s="5069" t="s">
        <v>4875</v>
      </c>
      <c r="J496" s="5069"/>
      <c r="K496" s="5098"/>
      <c r="L496" s="5098"/>
      <c r="M496" s="5098"/>
      <c r="N496" s="5098"/>
      <c r="O496" s="5053"/>
      <c r="P496" s="5053"/>
      <c r="Q496" s="5053"/>
      <c r="R496" s="5053"/>
      <c r="S496" s="5053"/>
      <c r="T496" s="5053"/>
      <c r="U496" s="5055"/>
      <c r="V496" s="5055"/>
      <c r="W496" s="5055"/>
      <c r="X496" s="5055"/>
      <c r="Y496" s="5055"/>
    </row>
    <row r="497">
      <c r="A497" s="5388" t="s">
        <v>5234</v>
      </c>
      <c r="B497" s="5389">
        <v>46242</v>
      </c>
      <c r="C497" s="5388" t="str">
        <v>Saturday</v>
      </c>
      <c r="D497" s="5390" t="s">
        <v>5237</v>
      </c>
      <c r="E497" s="5391">
        <f t="shared" si="73"/>
      </c>
      <c r="F497" s="5391"/>
      <c r="G497" s="5392"/>
      <c r="H497" s="5393" t="s">
        <v>4859</v>
      </c>
      <c r="I497" s="5069" t="s">
        <v>4875</v>
      </c>
      <c r="J497" s="5391"/>
      <c r="K497" s="5098"/>
      <c r="L497" s="5098"/>
      <c r="M497" s="5098"/>
      <c r="N497" s="5098"/>
      <c r="O497" s="5053"/>
      <c r="P497" s="5053"/>
      <c r="Q497" s="5053"/>
      <c r="R497" s="5053"/>
      <c r="S497" s="5053"/>
      <c r="T497" s="5053"/>
      <c r="U497" s="5055"/>
      <c r="V497" s="5055"/>
      <c r="W497" s="5055"/>
      <c r="X497" s="5055"/>
      <c r="Y497" s="5055"/>
    </row>
    <row r="498">
      <c r="A498" s="5079" t="s">
        <v>5233</v>
      </c>
      <c r="B498" s="5079"/>
      <c r="C498" s="5079"/>
      <c r="D498" s="5069"/>
      <c r="E498" s="5394">
        <f>3</f>
      </c>
      <c r="F498" s="5068"/>
      <c r="G498" s="5095"/>
      <c r="H498" s="5344"/>
      <c r="I498" s="5068"/>
      <c r="J498" s="5069"/>
      <c r="K498" s="5098"/>
      <c r="L498" s="5098"/>
      <c r="M498" s="5098"/>
      <c r="N498" s="5098"/>
      <c r="O498" s="5053"/>
      <c r="P498" s="5053"/>
      <c r="Q498" s="5053"/>
      <c r="R498" s="5053"/>
      <c r="S498" s="5053"/>
      <c r="T498" s="5053"/>
      <c r="U498" s="5055"/>
      <c r="V498" s="5055"/>
      <c r="W498" s="5055"/>
      <c r="X498" s="5055"/>
      <c r="Y498" s="5055"/>
    </row>
    <row customHeight="true" ht="18.452380952380953" r="499">
      <c r="A499" s="5079" t="s">
        <v>5233</v>
      </c>
      <c r="B499" s="5072">
        <v>46243</v>
      </c>
      <c r="C499" s="5079" t="str">
        <v>Sunday</v>
      </c>
      <c r="D499" s="5064" t="s">
        <v>5123</v>
      </c>
      <c r="E499" s="5069">
        <f t="shared" ref="E499:E500" si="74">24*MOD(TIMEVALUE(TRIM(MID(D499,FIND("-",D499)+1,LEN(D499)))) - TIMEVALUE(TRIM(LEFT(D499,FIND("-",D499)-1))),1)</f>
      </c>
      <c r="F499" s="5068"/>
      <c r="G499" s="5088"/>
      <c r="H499" s="5344" t="s">
        <v>4859</v>
      </c>
      <c r="I499" s="5069" t="s">
        <v>4875</v>
      </c>
      <c r="J499" s="5069"/>
      <c r="K499" s="5098"/>
      <c r="L499" s="5098"/>
      <c r="M499" s="5098"/>
      <c r="N499" s="5098"/>
      <c r="O499" s="5053"/>
      <c r="P499" s="5053"/>
      <c r="Q499" s="5053"/>
      <c r="R499" s="5053"/>
      <c r="S499" s="5053"/>
      <c r="T499" s="5053"/>
      <c r="U499" s="5055"/>
      <c r="V499" s="5055"/>
      <c r="W499" s="5055"/>
      <c r="X499" s="5055"/>
      <c r="Y499" s="5055"/>
    </row>
    <row customHeight="true" ht="18.452380952380953" r="500">
      <c r="A500" s="5388" t="s">
        <v>5234</v>
      </c>
      <c r="B500" s="5389">
        <v>46243</v>
      </c>
      <c r="C500" s="5388" t="str">
        <v>Sunday</v>
      </c>
      <c r="D500" s="5390" t="s">
        <v>5237</v>
      </c>
      <c r="E500" s="5391">
        <f t="shared" si="74"/>
      </c>
      <c r="F500" s="5391"/>
      <c r="G500" s="5392"/>
      <c r="H500" s="5393" t="s">
        <v>4859</v>
      </c>
      <c r="I500" s="5069" t="s">
        <v>4875</v>
      </c>
      <c r="J500" s="5391"/>
      <c r="K500" s="5098"/>
      <c r="L500" s="5098"/>
      <c r="M500" s="5098"/>
      <c r="N500" s="5098"/>
      <c r="O500" s="5053"/>
      <c r="P500" s="5053"/>
      <c r="Q500" s="5053"/>
      <c r="R500" s="5053"/>
      <c r="S500" s="5053"/>
      <c r="T500" s="5053"/>
      <c r="U500" s="5055"/>
      <c r="V500" s="5055"/>
      <c r="W500" s="5055"/>
      <c r="X500" s="5055"/>
      <c r="Y500" s="5055"/>
    </row>
    <row customHeight="true" ht="18.452380952380953" r="501">
      <c r="A501" s="5079" t="s">
        <v>5233</v>
      </c>
      <c r="B501" s="5079"/>
      <c r="C501" s="5079"/>
      <c r="D501" s="5069"/>
      <c r="E501" s="5394">
        <f>3</f>
      </c>
      <c r="F501" s="5068"/>
      <c r="G501" s="5095"/>
      <c r="H501" s="5344"/>
      <c r="I501" s="5068"/>
      <c r="J501" s="5069"/>
      <c r="K501" s="5098"/>
      <c r="L501" s="5098"/>
      <c r="M501" s="5098"/>
      <c r="N501" s="5098"/>
      <c r="O501" s="5053"/>
      <c r="P501" s="5053"/>
      <c r="Q501" s="5053"/>
      <c r="R501" s="5053"/>
      <c r="S501" s="5053"/>
      <c r="T501" s="5053"/>
      <c r="U501" s="5055"/>
      <c r="V501" s="5055"/>
      <c r="W501" s="5055"/>
      <c r="X501" s="5055"/>
      <c r="Y501" s="5055"/>
    </row>
    <row r="502">
      <c r="A502" s="5133"/>
      <c r="B502" s="5079"/>
      <c r="C502" s="5079"/>
      <c r="D502" s="5069"/>
      <c r="E502" s="5069"/>
      <c r="F502" s="5069"/>
      <c r="G502" s="5095"/>
      <c r="H502" s="5344"/>
      <c r="I502" s="5069"/>
      <c r="J502" s="5069"/>
      <c r="K502" s="5098"/>
      <c r="L502" s="5098"/>
      <c r="M502" s="5098"/>
      <c r="N502" s="5098"/>
      <c r="O502" s="5053"/>
      <c r="P502" s="5053"/>
      <c r="Q502" s="5053"/>
      <c r="R502" s="5053"/>
      <c r="S502" s="5053"/>
      <c r="T502" s="5053"/>
      <c r="U502" s="5055"/>
      <c r="V502" s="5055"/>
      <c r="W502" s="5055"/>
      <c r="X502" s="5055"/>
      <c r="Y502" s="5055"/>
    </row>
    <row r="503">
      <c r="A503" s="5079"/>
      <c r="B503" s="5079"/>
      <c r="C503" s="5079"/>
      <c r="D503" s="5069"/>
      <c r="E503" s="5069"/>
      <c r="F503" s="5069"/>
      <c r="G503" s="5095"/>
      <c r="H503" s="5344"/>
      <c r="I503" s="5069"/>
      <c r="J503" s="5069"/>
      <c r="K503" s="5098"/>
      <c r="L503" s="5098"/>
      <c r="M503" s="5098"/>
      <c r="N503" s="5098"/>
      <c r="O503" s="5053"/>
      <c r="P503" s="5053"/>
      <c r="Q503" s="5053"/>
      <c r="R503" s="5053"/>
      <c r="S503" s="5053"/>
      <c r="T503" s="5053"/>
      <c r="U503" s="5055"/>
      <c r="V503" s="5055"/>
      <c r="W503" s="5055"/>
      <c r="X503" s="5055"/>
      <c r="Y503" s="5055"/>
    </row>
    <row r="504">
      <c r="A504" s="5079" t="s">
        <v>5238</v>
      </c>
      <c r="B504" s="5079">
        <v>46231</v>
      </c>
      <c r="C504" s="5079" t="str">
        <v>Tuesday</v>
      </c>
      <c r="D504" s="5130" t="s">
        <v>5239</v>
      </c>
      <c r="E504" s="5068">
        <f t="shared" ref="E504:E509" si="75">24*MOD(TIMEVALUE(TRIM(MID(D504,FIND("-",D504)+1,LEN(D504)))) - TIMEVALUE(TRIM(LEFT(D504,FIND("-",D504)-1))),1)</f>
      </c>
      <c r="F504" s="5069"/>
      <c r="G504" s="5146"/>
      <c r="H504" s="5317" t="s">
        <v>4859</v>
      </c>
      <c r="I504" s="5069" t="s">
        <v>4846</v>
      </c>
      <c r="J504" s="5068"/>
      <c r="K504" s="5098"/>
      <c r="L504" s="5098"/>
      <c r="M504" s="5098"/>
      <c r="N504" s="5098"/>
      <c r="O504" s="5053"/>
      <c r="P504" s="5053"/>
      <c r="Q504" s="5053"/>
      <c r="R504" s="5053"/>
      <c r="S504" s="5053"/>
      <c r="T504" s="5053"/>
      <c r="U504" s="5055"/>
      <c r="V504" s="5055"/>
      <c r="W504" s="5055"/>
      <c r="X504" s="5055"/>
      <c r="Y504" s="5055"/>
    </row>
    <row r="505">
      <c r="A505" s="5079" t="s">
        <v>5238</v>
      </c>
      <c r="B505" s="5079">
        <v>46235</v>
      </c>
      <c r="C505" s="5079" t="str">
        <v>Saturday</v>
      </c>
      <c r="D505" s="5064" t="s">
        <v>5237</v>
      </c>
      <c r="E505" s="5068">
        <f t="shared" si="75"/>
      </c>
      <c r="F505" s="5069"/>
      <c r="G505" s="5150"/>
      <c r="H505" s="5317" t="s">
        <v>4859</v>
      </c>
      <c r="I505" s="5069" t="s">
        <v>4846</v>
      </c>
      <c r="J505" s="5068"/>
      <c r="K505" s="5098"/>
      <c r="L505" s="5098"/>
      <c r="M505" s="5098"/>
      <c r="N505" s="5098"/>
      <c r="O505" s="5053"/>
      <c r="P505" s="5053"/>
      <c r="Q505" s="5053"/>
      <c r="R505" s="5053"/>
      <c r="S505" s="5053"/>
      <c r="T505" s="5053"/>
      <c r="U505" s="5055"/>
      <c r="V505" s="5055"/>
      <c r="W505" s="5055"/>
      <c r="X505" s="5055"/>
      <c r="Y505" s="5055"/>
    </row>
    <row r="506">
      <c r="A506" s="5079" t="s">
        <v>5238</v>
      </c>
      <c r="B506" s="5072">
        <v>46236</v>
      </c>
      <c r="C506" s="5079" t="str">
        <v>Sunday</v>
      </c>
      <c r="D506" s="5064" t="s">
        <v>5237</v>
      </c>
      <c r="E506" s="5068">
        <f t="shared" si="75"/>
      </c>
      <c r="F506" s="5069"/>
      <c r="G506" s="5150"/>
      <c r="H506" s="5317" t="s">
        <v>4859</v>
      </c>
      <c r="I506" s="5069" t="s">
        <v>4846</v>
      </c>
      <c r="J506" s="5068"/>
      <c r="K506" s="5098"/>
      <c r="L506" s="5098"/>
      <c r="M506" s="5098"/>
      <c r="N506" s="5098"/>
      <c r="O506" s="5053"/>
      <c r="P506" s="5053"/>
      <c r="Q506" s="5053"/>
      <c r="R506" s="5053"/>
      <c r="S506" s="5053"/>
      <c r="T506" s="5053"/>
      <c r="U506" s="5055"/>
      <c r="V506" s="5055"/>
      <c r="W506" s="5055"/>
      <c r="X506" s="5055"/>
      <c r="Y506" s="5055"/>
    </row>
    <row r="507">
      <c r="A507" s="5079" t="s">
        <v>5238</v>
      </c>
      <c r="B507" s="5079">
        <v>46234</v>
      </c>
      <c r="C507" s="5079" t="str">
        <v>Friday</v>
      </c>
      <c r="D507" s="5064" t="s">
        <v>5235</v>
      </c>
      <c r="E507" s="5068">
        <f t="shared" si="75"/>
      </c>
      <c r="F507" s="5069"/>
      <c r="G507" s="5150"/>
      <c r="H507" s="5317" t="s">
        <v>4859</v>
      </c>
      <c r="I507" s="5069" t="s">
        <v>4875</v>
      </c>
      <c r="J507" s="5068"/>
      <c r="K507" s="5098"/>
      <c r="L507" s="5098"/>
      <c r="M507" s="5098"/>
      <c r="N507" s="5098"/>
      <c r="O507" s="5053"/>
      <c r="P507" s="5053"/>
      <c r="Q507" s="5053"/>
      <c r="R507" s="5053"/>
      <c r="S507" s="5053"/>
      <c r="T507" s="5053"/>
      <c r="U507" s="5055"/>
      <c r="V507" s="5055"/>
      <c r="W507" s="5055"/>
      <c r="X507" s="5055"/>
      <c r="Y507" s="5055"/>
    </row>
    <row r="508">
      <c r="A508" s="5079" t="s">
        <v>5238</v>
      </c>
      <c r="B508" s="5079">
        <v>46220</v>
      </c>
      <c r="C508" s="5079" t="str">
        <v>Friday</v>
      </c>
      <c r="D508" s="5068" t="s">
        <v>5240</v>
      </c>
      <c r="E508" s="5068">
        <f t="shared" si="75"/>
      </c>
      <c r="F508" s="5069"/>
      <c r="G508" s="5150"/>
      <c r="H508" s="5317" t="s">
        <v>4859</v>
      </c>
      <c r="I508" s="5069" t="s">
        <v>4875</v>
      </c>
      <c r="J508" s="5068"/>
      <c r="K508" s="5098"/>
      <c r="L508" s="5098"/>
      <c r="M508" s="5098"/>
      <c r="N508" s="5098"/>
      <c r="O508" s="5053"/>
      <c r="P508" s="5053"/>
      <c r="Q508" s="5053"/>
      <c r="R508" s="5053"/>
      <c r="S508" s="5053"/>
      <c r="T508" s="5053"/>
      <c r="U508" s="5055"/>
      <c r="V508" s="5055"/>
      <c r="W508" s="5055"/>
      <c r="X508" s="5055"/>
      <c r="Y508" s="5055"/>
    </row>
    <row r="509">
      <c r="A509" s="5079" t="s">
        <v>5238</v>
      </c>
      <c r="B509" s="5079">
        <v>46219</v>
      </c>
      <c r="C509" s="5079" t="str">
        <v>Thursday</v>
      </c>
      <c r="D509" s="5068" t="s">
        <v>5241</v>
      </c>
      <c r="E509" s="5068">
        <f t="shared" si="75"/>
      </c>
      <c r="F509" s="5069"/>
      <c r="G509" s="5150"/>
      <c r="H509" s="5317" t="s">
        <v>4859</v>
      </c>
      <c r="I509" s="5069" t="s">
        <v>4875</v>
      </c>
      <c r="J509" s="5068"/>
      <c r="K509" s="5098"/>
      <c r="L509" s="5098"/>
      <c r="M509" s="5098"/>
      <c r="N509" s="5098"/>
      <c r="O509" s="5053"/>
      <c r="P509" s="5053"/>
      <c r="Q509" s="5053"/>
      <c r="R509" s="5053"/>
      <c r="S509" s="5053"/>
      <c r="T509" s="5053"/>
      <c r="U509" s="5055"/>
      <c r="V509" s="5055"/>
      <c r="W509" s="5055"/>
      <c r="X509" s="5055"/>
      <c r="Y509" s="5055"/>
    </row>
    <row r="510">
      <c r="A510" s="5187"/>
      <c r="B510" s="5187"/>
      <c r="C510" s="5187"/>
      <c r="D510" s="5187"/>
      <c r="E510" s="5187"/>
      <c r="F510" s="5187"/>
      <c r="G510" s="5345"/>
      <c r="H510" s="5187"/>
      <c r="I510" s="5187"/>
      <c r="J510" s="5187"/>
      <c r="K510" s="5098"/>
      <c r="L510" s="5098"/>
      <c r="M510" s="5098"/>
      <c r="N510" s="5098"/>
      <c r="O510" s="5053"/>
      <c r="P510" s="5053"/>
      <c r="Q510" s="5053"/>
      <c r="R510" s="5053"/>
      <c r="S510" s="5053"/>
      <c r="T510" s="5053"/>
      <c r="U510" s="5055"/>
      <c r="V510" s="5055"/>
      <c r="W510" s="5055"/>
      <c r="X510" s="5055"/>
      <c r="Y510" s="5055"/>
    </row>
    <row r="511">
      <c r="A511" s="5395" t="s">
        <v>5242</v>
      </c>
      <c r="B511" s="5395"/>
      <c r="C511" s="5395"/>
      <c r="D511" s="5395"/>
      <c r="E511" s="5395"/>
      <c r="F511" s="5395"/>
      <c r="G511" s="5395"/>
      <c r="H511" s="5395"/>
      <c r="I511" s="5395"/>
      <c r="J511" s="5395"/>
      <c r="K511" s="5098"/>
      <c r="L511" s="5098"/>
      <c r="M511" s="5098"/>
      <c r="N511" s="5098"/>
      <c r="O511" s="5053"/>
      <c r="P511" s="5053"/>
      <c r="Q511" s="5053"/>
      <c r="R511" s="5053"/>
      <c r="S511" s="5053"/>
      <c r="T511" s="5053"/>
      <c r="U511" s="5055"/>
      <c r="V511" s="5055"/>
      <c r="W511" s="5055"/>
      <c r="X511" s="5055"/>
      <c r="Y511" s="5055"/>
    </row>
    <row r="512">
      <c r="A512" s="5396" t="s">
        <v>5243</v>
      </c>
      <c r="B512" s="5397" t="s">
        <v>4862</v>
      </c>
      <c r="C512" s="5397"/>
      <c r="D512" s="5398" t="s">
        <v>4863</v>
      </c>
      <c r="E512" s="5398" t="s">
        <v>4864</v>
      </c>
      <c r="F512" s="5398"/>
      <c r="G512" s="5399"/>
      <c r="H512" s="5398" t="s">
        <v>4867</v>
      </c>
      <c r="I512" s="5398" t="s">
        <v>4868</v>
      </c>
      <c r="J512" s="5398" t="s">
        <v>4869</v>
      </c>
      <c r="K512" s="5098"/>
      <c r="L512" s="5098"/>
      <c r="M512" s="5098"/>
      <c r="N512" s="5098"/>
      <c r="O512" s="5053"/>
      <c r="P512" s="5053"/>
      <c r="Q512" s="5053"/>
      <c r="R512" s="5053"/>
      <c r="S512" s="5053"/>
      <c r="T512" s="5053"/>
      <c r="U512" s="5055"/>
      <c r="V512" s="5055"/>
      <c r="W512" s="5055"/>
      <c r="X512" s="5055"/>
      <c r="Y512" s="5055"/>
    </row>
    <row r="513">
      <c r="A513" s="5400"/>
      <c r="B513" s="5400"/>
      <c r="C513" s="5400"/>
      <c r="D513" s="5401"/>
      <c r="E513" s="5401"/>
      <c r="F513" s="5401"/>
      <c r="G513" s="5402"/>
      <c r="H513" s="5401" t="s">
        <v>4859</v>
      </c>
      <c r="I513" s="5401" t="s">
        <v>4846</v>
      </c>
      <c r="J513" s="5401" t="s">
        <v>5244</v>
      </c>
      <c r="K513" s="5098"/>
      <c r="L513" s="5098"/>
      <c r="M513" s="5098"/>
      <c r="N513" s="5098"/>
      <c r="O513" s="5053"/>
      <c r="P513" s="5053"/>
      <c r="Q513" s="5053"/>
      <c r="R513" s="5053"/>
      <c r="S513" s="5053"/>
      <c r="T513" s="5053"/>
      <c r="U513" s="5055"/>
      <c r="V513" s="5055"/>
      <c r="W513" s="5055"/>
      <c r="X513" s="5055"/>
      <c r="Y513" s="5055"/>
    </row>
    <row r="514">
      <c r="A514" s="5403"/>
      <c r="B514" s="5403"/>
      <c r="C514" s="5403"/>
      <c r="D514" s="5404"/>
      <c r="E514" s="5404"/>
      <c r="F514" s="5404"/>
      <c r="G514" s="5405"/>
      <c r="H514" s="5404" t="s">
        <v>4859</v>
      </c>
      <c r="I514" s="5068" t="s">
        <v>4846</v>
      </c>
      <c r="J514" s="5404"/>
      <c r="K514" s="5098"/>
      <c r="L514" s="5098"/>
      <c r="M514" s="5098"/>
      <c r="N514" s="5098"/>
      <c r="O514" s="5053"/>
      <c r="P514" s="5053"/>
      <c r="Q514" s="5053"/>
      <c r="R514" s="5053"/>
      <c r="S514" s="5053"/>
      <c r="T514" s="5053"/>
      <c r="U514" s="5055"/>
      <c r="V514" s="5055"/>
      <c r="W514" s="5055"/>
      <c r="X514" s="5055"/>
      <c r="Y514" s="5055"/>
    </row>
    <row r="515">
      <c r="A515" s="5079"/>
      <c r="B515" s="5079"/>
      <c r="C515" s="5079"/>
      <c r="D515" s="5069"/>
      <c r="E515" s="5068"/>
      <c r="F515" s="5069"/>
      <c r="G515" s="5150"/>
      <c r="H515" s="5068" t="s">
        <v>4859</v>
      </c>
      <c r="I515" s="5068" t="s">
        <v>4846</v>
      </c>
      <c r="J515" s="5068"/>
      <c r="K515" s="5098"/>
      <c r="L515" s="5098"/>
      <c r="M515" s="5098"/>
      <c r="N515" s="5098"/>
      <c r="O515" s="5053"/>
      <c r="P515" s="5053"/>
      <c r="Q515" s="5053"/>
      <c r="R515" s="5053"/>
      <c r="S515" s="5053"/>
      <c r="T515" s="5053"/>
      <c r="U515" s="5055"/>
      <c r="V515" s="5055"/>
      <c r="W515" s="5055"/>
      <c r="X515" s="5055"/>
      <c r="Y515" s="5055"/>
    </row>
    <row r="516">
      <c r="A516" s="5403"/>
      <c r="B516" s="5403"/>
      <c r="C516" s="5403"/>
      <c r="D516" s="5404"/>
      <c r="E516" s="5404"/>
      <c r="F516" s="5404"/>
      <c r="G516" s="5405"/>
      <c r="H516" s="5404" t="s">
        <v>4859</v>
      </c>
      <c r="I516" s="5068" t="s">
        <v>4846</v>
      </c>
      <c r="J516" s="5404"/>
      <c r="K516" s="5098"/>
      <c r="L516" s="5098"/>
      <c r="M516" s="5098"/>
      <c r="N516" s="5098"/>
      <c r="O516" s="5053"/>
      <c r="P516" s="5053"/>
      <c r="Q516" s="5053"/>
      <c r="R516" s="5053"/>
      <c r="S516" s="5053"/>
      <c r="T516" s="5053"/>
      <c r="U516" s="5055"/>
      <c r="V516" s="5055"/>
      <c r="W516" s="5055"/>
      <c r="X516" s="5055"/>
      <c r="Y516" s="5055"/>
    </row>
    <row r="517">
      <c r="A517" s="5079"/>
      <c r="B517" s="5079"/>
      <c r="C517" s="5079"/>
      <c r="D517" s="5069"/>
      <c r="E517" s="5068"/>
      <c r="F517" s="5069"/>
      <c r="G517" s="5150"/>
      <c r="H517" s="5068" t="s">
        <v>4859</v>
      </c>
      <c r="I517" s="5068" t="s">
        <v>4846</v>
      </c>
      <c r="J517" s="5068"/>
      <c r="K517" s="5098"/>
      <c r="L517" s="5098"/>
      <c r="M517" s="5098"/>
      <c r="N517" s="5098"/>
      <c r="O517" s="5053"/>
      <c r="P517" s="5053"/>
      <c r="Q517" s="5053"/>
      <c r="R517" s="5053"/>
      <c r="S517" s="5053"/>
      <c r="T517" s="5053"/>
      <c r="U517" s="5055"/>
      <c r="V517" s="5055"/>
      <c r="W517" s="5055"/>
      <c r="X517" s="5055"/>
      <c r="Y517" s="5055"/>
    </row>
    <row r="518">
      <c r="A518" s="5403"/>
      <c r="B518" s="5403"/>
      <c r="C518" s="5403"/>
      <c r="D518" s="5404"/>
      <c r="E518" s="5404"/>
      <c r="F518" s="5404"/>
      <c r="G518" s="5405"/>
      <c r="H518" s="5404" t="s">
        <v>4859</v>
      </c>
      <c r="I518" s="5069" t="s">
        <v>4846</v>
      </c>
      <c r="J518" s="5404"/>
      <c r="K518" s="5098"/>
      <c r="L518" s="5098"/>
      <c r="M518" s="5098"/>
      <c r="N518" s="5098"/>
      <c r="O518" s="5053"/>
      <c r="P518" s="5053"/>
      <c r="Q518" s="5053"/>
      <c r="R518" s="5053"/>
      <c r="S518" s="5053"/>
      <c r="T518" s="5053"/>
      <c r="U518" s="5055"/>
      <c r="V518" s="5055"/>
      <c r="W518" s="5055"/>
      <c r="X518" s="5055"/>
      <c r="Y518" s="5055"/>
    </row>
    <row r="519">
      <c r="A519" s="5079"/>
      <c r="B519" s="5079"/>
      <c r="C519" s="5079"/>
      <c r="D519" s="5069"/>
      <c r="E519" s="5068"/>
      <c r="F519" s="5069"/>
      <c r="G519" s="5150"/>
      <c r="H519" s="5068" t="s">
        <v>4859</v>
      </c>
      <c r="I519" s="5068" t="s">
        <v>4846</v>
      </c>
      <c r="J519" s="5068"/>
      <c r="K519" s="5098"/>
      <c r="L519" s="5098"/>
      <c r="M519" s="5098"/>
      <c r="N519" s="5098"/>
      <c r="O519" s="5053"/>
      <c r="P519" s="5053"/>
      <c r="Q519" s="5053"/>
      <c r="R519" s="5053"/>
      <c r="S519" s="5053"/>
      <c r="T519" s="5053"/>
      <c r="U519" s="5055"/>
      <c r="V519" s="5055"/>
      <c r="W519" s="5055"/>
      <c r="X519" s="5055"/>
      <c r="Y519" s="5055"/>
    </row>
    <row r="520">
      <c r="A520" s="5403"/>
      <c r="B520" s="5403"/>
      <c r="C520" s="5403"/>
      <c r="D520" s="5404"/>
      <c r="E520" s="5404"/>
      <c r="F520" s="5404"/>
      <c r="G520" s="5405"/>
      <c r="H520" s="5404" t="s">
        <v>4859</v>
      </c>
      <c r="I520" s="5069" t="s">
        <v>4846</v>
      </c>
      <c r="J520" s="5404"/>
      <c r="K520" s="5098"/>
      <c r="L520" s="5098"/>
      <c r="M520" s="5098"/>
      <c r="N520" s="5098"/>
      <c r="O520" s="5053"/>
      <c r="P520" s="5053"/>
      <c r="Q520" s="5053"/>
      <c r="R520" s="5053"/>
      <c r="S520" s="5053"/>
      <c r="T520" s="5053"/>
      <c r="U520" s="5055"/>
      <c r="V520" s="5055"/>
      <c r="W520" s="5055"/>
      <c r="X520" s="5055"/>
      <c r="Y520" s="5055"/>
    </row>
    <row r="521">
      <c r="A521" s="5079"/>
      <c r="B521" s="5079"/>
      <c r="C521" s="5079"/>
      <c r="D521" s="5069"/>
      <c r="E521" s="5068"/>
      <c r="F521" s="5069"/>
      <c r="G521" s="5150"/>
      <c r="H521" s="5068" t="s">
        <v>4859</v>
      </c>
      <c r="I521" s="5068" t="s">
        <v>4846</v>
      </c>
      <c r="J521" s="5068"/>
      <c r="K521" s="5098"/>
      <c r="L521" s="5098"/>
      <c r="M521" s="5098"/>
      <c r="N521" s="5098"/>
      <c r="O521" s="5053"/>
      <c r="P521" s="5053"/>
      <c r="Q521" s="5053"/>
      <c r="R521" s="5053"/>
      <c r="S521" s="5053"/>
      <c r="T521" s="5053"/>
      <c r="U521" s="5055"/>
      <c r="V521" s="5055"/>
      <c r="W521" s="5055"/>
      <c r="X521" s="5055"/>
      <c r="Y521" s="5055"/>
    </row>
    <row r="522">
      <c r="A522" s="5403"/>
      <c r="B522" s="5403"/>
      <c r="C522" s="5403"/>
      <c r="D522" s="5404"/>
      <c r="E522" s="5404"/>
      <c r="F522" s="5404"/>
      <c r="G522" s="5405"/>
      <c r="H522" s="5404" t="s">
        <v>4859</v>
      </c>
      <c r="I522" s="5068" t="s">
        <v>4846</v>
      </c>
      <c r="J522" s="5404"/>
      <c r="K522" s="5098"/>
      <c r="L522" s="5098"/>
      <c r="M522" s="5098"/>
      <c r="N522" s="5098"/>
      <c r="O522" s="5053"/>
      <c r="P522" s="5053"/>
      <c r="Q522" s="5053"/>
      <c r="R522" s="5053"/>
      <c r="S522" s="5053"/>
      <c r="T522" s="5053"/>
      <c r="U522" s="5055"/>
      <c r="V522" s="5055"/>
      <c r="W522" s="5055"/>
      <c r="X522" s="5055"/>
      <c r="Y522" s="5055"/>
    </row>
    <row r="523">
      <c r="A523" s="5079"/>
      <c r="B523" s="5079"/>
      <c r="C523" s="5079"/>
      <c r="D523" s="5069"/>
      <c r="E523" s="5068"/>
      <c r="F523" s="5069"/>
      <c r="G523" s="5150"/>
      <c r="H523" s="5068" t="s">
        <v>4859</v>
      </c>
      <c r="I523" s="5068" t="s">
        <v>4875</v>
      </c>
      <c r="J523" s="5068"/>
      <c r="K523" s="5098"/>
      <c r="L523" s="5098"/>
      <c r="M523" s="5098"/>
      <c r="N523" s="5098"/>
      <c r="O523" s="5053"/>
      <c r="P523" s="5053"/>
      <c r="Q523" s="5053"/>
      <c r="R523" s="5053"/>
      <c r="S523" s="5053"/>
      <c r="T523" s="5053"/>
      <c r="U523" s="5055"/>
      <c r="V523" s="5055"/>
      <c r="W523" s="5055"/>
      <c r="X523" s="5055"/>
      <c r="Y523" s="5055"/>
    </row>
    <row r="524">
      <c r="A524" s="5403"/>
      <c r="B524" s="5403"/>
      <c r="C524" s="5403"/>
      <c r="D524" s="5404"/>
      <c r="E524" s="5404"/>
      <c r="F524" s="5404"/>
      <c r="G524" s="5405"/>
      <c r="H524" s="5404" t="s">
        <v>4859</v>
      </c>
      <c r="I524" s="5068" t="s">
        <v>4846</v>
      </c>
      <c r="J524" s="5404"/>
      <c r="K524" s="5098"/>
      <c r="L524" s="5098"/>
      <c r="M524" s="5098"/>
      <c r="N524" s="5098"/>
      <c r="O524" s="5053"/>
      <c r="P524" s="5053"/>
      <c r="Q524" s="5053"/>
      <c r="R524" s="5053"/>
      <c r="S524" s="5053"/>
      <c r="T524" s="5053"/>
      <c r="U524" s="5055"/>
      <c r="V524" s="5055"/>
      <c r="W524" s="5055"/>
      <c r="X524" s="5055"/>
      <c r="Y524" s="5055"/>
    </row>
    <row r="525">
      <c r="A525" s="5079"/>
      <c r="B525" s="5079"/>
      <c r="C525" s="5079"/>
      <c r="D525" s="5079"/>
      <c r="E525" s="5079"/>
      <c r="F525" s="5079"/>
      <c r="G525" s="5079"/>
      <c r="H525" s="5079"/>
      <c r="I525" s="5079"/>
      <c r="J525" s="5079"/>
      <c r="K525" s="5098"/>
      <c r="L525" s="5098"/>
      <c r="M525" s="5098"/>
      <c r="N525" s="5098"/>
      <c r="O525" s="5053"/>
      <c r="P525" s="5053"/>
      <c r="Q525" s="5053"/>
      <c r="R525" s="5053"/>
      <c r="S525" s="5053"/>
      <c r="T525" s="5053"/>
      <c r="U525" s="5055"/>
      <c r="V525" s="5055"/>
      <c r="W525" s="5055"/>
      <c r="X525" s="5055"/>
      <c r="Y525" s="5055"/>
    </row>
    <row r="526">
      <c r="A526" s="5079"/>
      <c r="B526" s="5079"/>
      <c r="C526" s="5079"/>
      <c r="D526" s="5068"/>
      <c r="E526" s="5068"/>
      <c r="F526" s="5068"/>
      <c r="G526" s="5150"/>
      <c r="H526" s="5068" t="s">
        <v>4859</v>
      </c>
      <c r="I526" s="5068" t="s">
        <v>4846</v>
      </c>
      <c r="J526" s="5068"/>
      <c r="K526" s="5098"/>
      <c r="L526" s="5098"/>
      <c r="M526" s="5098"/>
      <c r="N526" s="5098"/>
      <c r="O526" s="5053"/>
      <c r="P526" s="5053"/>
      <c r="Q526" s="5053"/>
      <c r="R526" s="5053"/>
      <c r="S526" s="5053"/>
      <c r="T526" s="5053"/>
      <c r="U526" s="5055"/>
      <c r="V526" s="5055"/>
      <c r="W526" s="5055"/>
      <c r="X526" s="5055"/>
      <c r="Y526" s="5055"/>
    </row>
    <row r="527">
      <c r="A527" s="5079"/>
      <c r="B527" s="5079"/>
      <c r="C527" s="5079"/>
      <c r="D527" s="5068"/>
      <c r="E527" s="5068"/>
      <c r="F527" s="5068"/>
      <c r="G527" s="5406"/>
      <c r="H527" s="5068" t="s">
        <v>4859</v>
      </c>
      <c r="I527" s="5068" t="s">
        <v>4875</v>
      </c>
      <c r="J527" s="5172"/>
      <c r="K527" s="5098"/>
      <c r="L527" s="5098"/>
      <c r="M527" s="5098"/>
      <c r="N527" s="5098"/>
      <c r="O527" s="5053"/>
      <c r="P527" s="5053"/>
      <c r="Q527" s="5053"/>
      <c r="R527" s="5053"/>
      <c r="S527" s="5053"/>
      <c r="T527" s="5053"/>
      <c r="U527" s="5055"/>
      <c r="V527" s="5055"/>
      <c r="W527" s="5055"/>
      <c r="X527" s="5055"/>
      <c r="Y527" s="5055"/>
    </row>
    <row r="528">
      <c r="A528" s="5055"/>
      <c r="B528" s="5055"/>
      <c r="C528" s="5055"/>
      <c r="D528" s="5055"/>
      <c r="E528" s="5055"/>
      <c r="F528" s="5055"/>
      <c r="G528" s="5055"/>
      <c r="H528" s="5055"/>
      <c r="I528" s="5055"/>
      <c r="J528" s="5055"/>
      <c r="K528" s="5055"/>
      <c r="L528" s="5055"/>
      <c r="M528" s="5055"/>
      <c r="N528" s="5055"/>
      <c r="O528" s="5055"/>
      <c r="P528" s="5055"/>
      <c r="Q528" s="5055"/>
      <c r="R528" s="5055"/>
      <c r="S528" s="5055"/>
      <c r="T528" s="5055"/>
      <c r="U528" s="5055"/>
      <c r="V528" s="5055"/>
      <c r="W528" s="5055"/>
      <c r="X528" s="5055"/>
      <c r="Y528" s="5055"/>
    </row>
    <row r="529">
      <c r="A529" s="5407" t="s">
        <v>5245</v>
      </c>
      <c r="B529" s="5407"/>
      <c r="C529" s="5407"/>
      <c r="D529" s="5407"/>
      <c r="E529" s="5407"/>
      <c r="F529" s="5407"/>
      <c r="G529" s="5407"/>
      <c r="H529" s="5407"/>
      <c r="I529" s="5407"/>
      <c r="J529" s="5407"/>
      <c r="K529" s="5098"/>
      <c r="L529" s="5098"/>
      <c r="M529" s="5098"/>
      <c r="N529" s="5098"/>
      <c r="O529" s="5053"/>
      <c r="P529" s="5053"/>
      <c r="Q529" s="5053"/>
      <c r="R529" s="5053"/>
      <c r="S529" s="5053"/>
      <c r="T529" s="5053"/>
      <c r="U529" s="5055"/>
      <c r="V529" s="5055"/>
      <c r="W529" s="5055"/>
      <c r="X529" s="5055"/>
      <c r="Y529" s="5055"/>
    </row>
    <row r="530">
      <c r="A530" s="5198" t="s">
        <v>5245</v>
      </c>
      <c r="B530" s="5199" t="s">
        <v>4862</v>
      </c>
      <c r="C530" s="5199"/>
      <c r="D530" s="5200" t="s">
        <v>4863</v>
      </c>
      <c r="E530" s="5200" t="s">
        <v>4864</v>
      </c>
      <c r="F530" s="5200" t="s">
        <v>4865</v>
      </c>
      <c r="G530" s="5201" t="s">
        <v>4877</v>
      </c>
      <c r="H530" s="5200" t="s">
        <v>4867</v>
      </c>
      <c r="I530" s="5200" t="s">
        <v>4868</v>
      </c>
      <c r="J530" s="5200" t="s">
        <v>4869</v>
      </c>
      <c r="K530" s="5098"/>
      <c r="L530" s="5098"/>
      <c r="M530" s="5098"/>
      <c r="N530" s="5098"/>
      <c r="O530" s="5053"/>
      <c r="P530" s="5053"/>
      <c r="Q530" s="5053"/>
      <c r="R530" s="5053"/>
      <c r="S530" s="5053"/>
      <c r="T530" s="5053"/>
      <c r="U530" s="5055"/>
      <c r="V530" s="5055"/>
      <c r="W530" s="5055"/>
      <c r="X530" s="5055"/>
      <c r="Y530" s="5055"/>
    </row>
    <row r="531">
      <c r="A531" s="5079" t="s">
        <v>5245</v>
      </c>
      <c r="B531" s="5072">
        <v>46238</v>
      </c>
      <c r="C531" s="5079" t="str">
        <v>Tuesday</v>
      </c>
      <c r="D531" s="5064" t="s">
        <v>5246</v>
      </c>
      <c r="E531" s="5196">
        <f t="shared" ref="E531:E545" si="76">24*MOD(TIMEVALUE(TRIM(MID(D531,FIND("-",D531)+1,LEN(D531)))) - TIMEVALUE(TRIM(LEFT(D531,FIND("-",D531)-1))),1)</f>
      </c>
      <c r="F531" s="5069" t="s">
        <v>5147</v>
      </c>
      <c r="G531" s="5088" t="s">
        <v>5247</v>
      </c>
      <c r="H531" s="5196" t="s">
        <v>4859</v>
      </c>
      <c r="I531" s="5196" t="s">
        <v>4846</v>
      </c>
      <c r="J531" s="5196"/>
      <c r="K531" s="5098"/>
      <c r="L531" s="5408"/>
      <c r="M531" s="5408"/>
      <c r="N531" s="5408"/>
      <c r="O531" s="5054"/>
      <c r="P531" s="5054"/>
      <c r="Q531" s="5054"/>
      <c r="R531" s="5054"/>
      <c r="S531" s="5054"/>
      <c r="T531" s="5054"/>
      <c r="U531" s="5054"/>
      <c r="V531" s="5054"/>
      <c r="W531" s="5054"/>
      <c r="X531" s="5054"/>
      <c r="Y531" s="5054"/>
    </row>
    <row r="532">
      <c r="A532" s="5409" t="s">
        <v>5248</v>
      </c>
      <c r="B532" s="5410">
        <v>46238</v>
      </c>
      <c r="C532" s="5409" t="str">
        <v>Tuesday</v>
      </c>
      <c r="D532" s="5411" t="s">
        <v>5222</v>
      </c>
      <c r="E532" s="5412">
        <f t="shared" si="76"/>
      </c>
      <c r="F532" s="5411" t="s">
        <v>5126</v>
      </c>
      <c r="G532" s="5413"/>
      <c r="H532" s="5411" t="s">
        <v>4859</v>
      </c>
      <c r="I532" s="5196" t="s">
        <v>4846</v>
      </c>
      <c r="J532" s="5411"/>
      <c r="K532" s="5098"/>
      <c r="L532" s="5408"/>
      <c r="M532" s="5408"/>
      <c r="N532" s="5408"/>
      <c r="O532" s="5054"/>
      <c r="P532" s="5054"/>
      <c r="Q532" s="5054"/>
      <c r="R532" s="5054"/>
      <c r="S532" s="5054"/>
      <c r="T532" s="5054"/>
      <c r="U532" s="5054"/>
      <c r="V532" s="5054"/>
      <c r="W532" s="5054"/>
      <c r="X532" s="5054"/>
      <c r="Y532" s="5054"/>
    </row>
    <row r="533">
      <c r="A533" s="5079" t="s">
        <v>5245</v>
      </c>
      <c r="B533" s="5072">
        <v>46239</v>
      </c>
      <c r="C533" s="5079" t="str">
        <v>Wednesday</v>
      </c>
      <c r="D533" s="5064" t="s">
        <v>5246</v>
      </c>
      <c r="E533" s="5196">
        <f t="shared" si="76"/>
      </c>
      <c r="F533" s="5069" t="s">
        <v>5147</v>
      </c>
      <c r="G533" s="5146" t="s">
        <v>5247</v>
      </c>
      <c r="H533" s="5069" t="s">
        <v>4859</v>
      </c>
      <c r="I533" s="5196" t="s">
        <v>4846</v>
      </c>
      <c r="J533" s="5068"/>
      <c r="K533" s="5098"/>
      <c r="L533" s="5408"/>
      <c r="M533" s="5408"/>
      <c r="N533" s="5408"/>
      <c r="O533" s="5054"/>
      <c r="P533" s="5054"/>
      <c r="Q533" s="5054"/>
      <c r="R533" s="5054"/>
      <c r="S533" s="5054"/>
      <c r="T533" s="5054"/>
      <c r="U533" s="5054"/>
      <c r="V533" s="5054"/>
      <c r="W533" s="5054"/>
      <c r="X533" s="5054"/>
      <c r="Y533" s="5054"/>
    </row>
    <row r="534">
      <c r="A534" s="5409" t="s">
        <v>5248</v>
      </c>
      <c r="B534" s="5414">
        <v>46239</v>
      </c>
      <c r="C534" s="5409" t="str">
        <v>Wednesday</v>
      </c>
      <c r="D534" s="5411" t="s">
        <v>5246</v>
      </c>
      <c r="E534" s="5412">
        <f t="shared" si="76"/>
      </c>
      <c r="F534" s="5411" t="s">
        <v>5126</v>
      </c>
      <c r="G534" s="5413"/>
      <c r="H534" s="5411" t="s">
        <v>4859</v>
      </c>
      <c r="I534" s="5196" t="s">
        <v>4846</v>
      </c>
      <c r="J534" s="5411"/>
      <c r="K534" s="5098"/>
      <c r="L534" s="5408"/>
      <c r="M534" s="5408"/>
      <c r="N534" s="5408"/>
      <c r="O534" s="5054"/>
      <c r="P534" s="5054"/>
      <c r="Q534" s="5054"/>
      <c r="R534" s="5054"/>
      <c r="S534" s="5054"/>
      <c r="T534" s="5054"/>
      <c r="U534" s="5054"/>
      <c r="V534" s="5054"/>
      <c r="W534" s="5054"/>
      <c r="X534" s="5054"/>
      <c r="Y534" s="5054"/>
    </row>
    <row r="535">
      <c r="A535" s="5079" t="s">
        <v>5245</v>
      </c>
      <c r="B535" s="5236">
        <v>46240</v>
      </c>
      <c r="C535" s="5079" t="str">
        <v>Thursday</v>
      </c>
      <c r="D535" s="5064" t="s">
        <v>5222</v>
      </c>
      <c r="E535" s="5196">
        <f t="shared" si="76"/>
      </c>
      <c r="F535" s="5069" t="s">
        <v>4908</v>
      </c>
      <c r="G535" s="5146" t="s">
        <v>5249</v>
      </c>
      <c r="H535" s="5069" t="s">
        <v>4859</v>
      </c>
      <c r="I535" s="5196" t="s">
        <v>4846</v>
      </c>
      <c r="J535" s="5068"/>
      <c r="K535" s="5098"/>
      <c r="L535" s="5408"/>
      <c r="M535" s="5408"/>
      <c r="N535" s="5408"/>
      <c r="O535" s="5054"/>
      <c r="P535" s="5054"/>
      <c r="Q535" s="5054"/>
      <c r="R535" s="5054"/>
      <c r="S535" s="5054"/>
      <c r="T535" s="5054"/>
      <c r="U535" s="5055"/>
      <c r="V535" s="5055"/>
      <c r="W535" s="5055"/>
      <c r="X535" s="5055"/>
      <c r="Y535" s="5055"/>
    </row>
    <row r="536">
      <c r="A536" s="5409" t="s">
        <v>5248</v>
      </c>
      <c r="B536" s="5414">
        <v>46240</v>
      </c>
      <c r="C536" s="5409" t="str">
        <v>Thursday</v>
      </c>
      <c r="D536" s="5415" t="s">
        <v>5222</v>
      </c>
      <c r="E536" s="5412">
        <f t="shared" si="76"/>
      </c>
      <c r="F536" s="5416" t="s">
        <v>5177</v>
      </c>
      <c r="G536" s="5413"/>
      <c r="H536" s="5411" t="s">
        <v>4859</v>
      </c>
      <c r="I536" s="5196" t="s">
        <v>4846</v>
      </c>
      <c r="J536" s="5411"/>
      <c r="K536" s="5098"/>
      <c r="L536" s="5408"/>
      <c r="M536" s="5408"/>
      <c r="N536" s="5408"/>
      <c r="O536" s="5054"/>
      <c r="P536" s="5054"/>
      <c r="Q536" s="5054"/>
      <c r="R536" s="5054"/>
      <c r="S536" s="5054"/>
      <c r="T536" s="5054"/>
      <c r="U536" s="5055"/>
      <c r="V536" s="5055"/>
      <c r="W536" s="5055"/>
      <c r="X536" s="5055"/>
      <c r="Y536" s="5055"/>
    </row>
    <row r="537">
      <c r="A537" s="5079" t="s">
        <v>5245</v>
      </c>
      <c r="B537" s="5072">
        <v>46241</v>
      </c>
      <c r="C537" s="5079" t="str">
        <v>Friday</v>
      </c>
      <c r="D537" s="5064" t="s">
        <v>5040</v>
      </c>
      <c r="E537" s="5196">
        <f t="shared" si="76"/>
      </c>
      <c r="F537" s="5069" t="s">
        <v>5250</v>
      </c>
      <c r="G537" s="5146" t="s">
        <v>5251</v>
      </c>
      <c r="H537" s="5196" t="s">
        <v>4859</v>
      </c>
      <c r="I537" s="5196" t="s">
        <v>4846</v>
      </c>
      <c r="J537" s="5411"/>
      <c r="K537" s="5098"/>
      <c r="L537" s="5408"/>
      <c r="M537" s="5408"/>
      <c r="N537" s="5408"/>
      <c r="O537" s="5054"/>
      <c r="P537" s="5054"/>
      <c r="Q537" s="5054"/>
      <c r="R537" s="5054"/>
      <c r="S537" s="5054"/>
      <c r="T537" s="5054"/>
      <c r="U537" s="5055"/>
      <c r="V537" s="5055"/>
      <c r="W537" s="5055"/>
      <c r="X537" s="5055"/>
      <c r="Y537" s="5055"/>
    </row>
    <row customHeight="true" ht="18.452380952380953" r="538">
      <c r="A538" s="5079" t="s">
        <v>5245</v>
      </c>
      <c r="B538" s="5072">
        <v>46241</v>
      </c>
      <c r="C538" s="5079" t="str">
        <v>Friday</v>
      </c>
      <c r="D538" s="5064" t="s">
        <v>4991</v>
      </c>
      <c r="E538" s="5196">
        <f t="shared" si="76"/>
      </c>
      <c r="F538" s="5069" t="s">
        <v>4908</v>
      </c>
      <c r="G538" s="5146" t="s">
        <v>5251</v>
      </c>
      <c r="H538" s="5196"/>
      <c r="I538" s="5196" t="s">
        <v>4846</v>
      </c>
      <c r="J538" s="5411"/>
      <c r="K538" s="5098"/>
      <c r="L538" s="5408"/>
      <c r="M538" s="5408"/>
      <c r="N538" s="5408"/>
      <c r="O538" s="5054"/>
      <c r="P538" s="5054"/>
      <c r="Q538" s="5054"/>
      <c r="R538" s="5054"/>
      <c r="S538" s="5054"/>
      <c r="T538" s="5054"/>
      <c r="U538" s="5055"/>
      <c r="V538" s="5055"/>
      <c r="W538" s="5055"/>
      <c r="X538" s="5055"/>
      <c r="Y538" s="5055"/>
    </row>
    <row r="539">
      <c r="A539" s="5409" t="s">
        <v>5248</v>
      </c>
      <c r="B539" s="5414">
        <v>46241</v>
      </c>
      <c r="C539" s="5409" t="str">
        <v>Friday</v>
      </c>
      <c r="D539" s="5415" t="s">
        <v>5246</v>
      </c>
      <c r="E539" s="5412">
        <f t="shared" si="76"/>
      </c>
      <c r="F539" s="5411" t="s">
        <v>5154</v>
      </c>
      <c r="G539" s="5413"/>
      <c r="H539" s="5412" t="s">
        <v>4859</v>
      </c>
      <c r="I539" s="5069" t="s">
        <v>4846</v>
      </c>
      <c r="J539" s="5068"/>
      <c r="K539" s="5098"/>
      <c r="L539" s="5408"/>
      <c r="M539" s="5408"/>
      <c r="N539" s="5408"/>
      <c r="O539" s="5054"/>
      <c r="P539" s="5054"/>
      <c r="Q539" s="5054"/>
      <c r="R539" s="5054"/>
      <c r="S539" s="5054"/>
      <c r="T539" s="5054"/>
      <c r="U539" s="5055"/>
      <c r="V539" s="5055"/>
      <c r="W539" s="5055"/>
      <c r="X539" s="5055"/>
      <c r="Y539" s="5055"/>
    </row>
    <row r="540">
      <c r="A540" s="5079" t="s">
        <v>5245</v>
      </c>
      <c r="B540" s="5072">
        <v>46242</v>
      </c>
      <c r="C540" s="5079" t="str">
        <v>Saturday</v>
      </c>
      <c r="D540" s="5064" t="s">
        <v>5246</v>
      </c>
      <c r="E540" s="5196">
        <f t="shared" si="76"/>
      </c>
      <c r="F540" s="5069" t="s">
        <v>5147</v>
      </c>
      <c r="G540" s="5146"/>
      <c r="H540" s="5196" t="s">
        <v>4859</v>
      </c>
      <c r="I540" s="5196" t="s">
        <v>4846</v>
      </c>
      <c r="J540" s="5411"/>
      <c r="K540" s="5098"/>
      <c r="L540" s="5408"/>
      <c r="M540" s="5408"/>
      <c r="N540" s="5408"/>
      <c r="O540" s="5054"/>
      <c r="P540" s="5054"/>
      <c r="Q540" s="5054"/>
      <c r="R540" s="5054"/>
      <c r="S540" s="5054"/>
      <c r="T540" s="5054"/>
      <c r="U540" s="5055"/>
      <c r="V540" s="5055"/>
      <c r="W540" s="5055"/>
      <c r="X540" s="5055"/>
      <c r="Y540" s="5055"/>
    </row>
    <row r="541">
      <c r="A541" s="5409" t="s">
        <v>5248</v>
      </c>
      <c r="B541" s="5414">
        <v>46242</v>
      </c>
      <c r="C541" s="5409" t="str">
        <v>Saturday</v>
      </c>
      <c r="D541" s="5415" t="s">
        <v>5246</v>
      </c>
      <c r="E541" s="5412">
        <f t="shared" si="76"/>
      </c>
      <c r="F541" s="5412" t="s">
        <v>4935</v>
      </c>
      <c r="G541" s="5413"/>
      <c r="H541" s="5411" t="s">
        <v>4859</v>
      </c>
      <c r="I541" s="5069" t="s">
        <v>4846</v>
      </c>
      <c r="J541" s="5411"/>
      <c r="K541" s="5098"/>
      <c r="L541" s="5408"/>
      <c r="M541" s="5408"/>
      <c r="N541" s="5408"/>
      <c r="O541" s="5054"/>
      <c r="P541" s="5054"/>
      <c r="Q541" s="5054"/>
      <c r="R541" s="5054"/>
      <c r="S541" s="5054"/>
      <c r="T541" s="5054"/>
      <c r="U541" s="5055"/>
      <c r="V541" s="5055"/>
      <c r="W541" s="5055"/>
      <c r="X541" s="5055"/>
      <c r="Y541" s="5055"/>
    </row>
    <row r="542">
      <c r="A542" s="5079" t="s">
        <v>5245</v>
      </c>
      <c r="B542" s="5072">
        <v>46243</v>
      </c>
      <c r="C542" s="5079" t="str">
        <v>Sunday</v>
      </c>
      <c r="D542" s="5064" t="s">
        <v>5246</v>
      </c>
      <c r="E542" s="5196">
        <f t="shared" si="76"/>
      </c>
      <c r="F542" s="5069" t="s">
        <v>5147</v>
      </c>
      <c r="G542" s="5146"/>
      <c r="H542" s="5196" t="s">
        <v>4859</v>
      </c>
      <c r="I542" s="5196" t="s">
        <v>4846</v>
      </c>
      <c r="J542" s="5411"/>
      <c r="K542" s="5098"/>
      <c r="L542" s="5408"/>
      <c r="M542" s="5408"/>
      <c r="N542" s="5408"/>
      <c r="O542" s="5054"/>
      <c r="P542" s="5054"/>
      <c r="Q542" s="5054"/>
      <c r="R542" s="5054"/>
      <c r="S542" s="5054"/>
      <c r="T542" s="5054"/>
      <c r="U542" s="5055"/>
      <c r="V542" s="5055"/>
      <c r="W542" s="5055"/>
      <c r="X542" s="5055"/>
      <c r="Y542" s="5055"/>
    </row>
    <row r="543">
      <c r="A543" s="5202" t="s">
        <v>5248</v>
      </c>
      <c r="B543" s="5203">
        <v>46243</v>
      </c>
      <c r="C543" s="5202" t="str">
        <v>Sunday</v>
      </c>
      <c r="D543" s="5204" t="s">
        <v>5252</v>
      </c>
      <c r="E543" s="5205">
        <f t="shared" si="76"/>
      </c>
      <c r="F543" s="5205" t="s">
        <v>5154</v>
      </c>
      <c r="G543" s="5357"/>
      <c r="H543" s="5205" t="s">
        <v>4859</v>
      </c>
      <c r="I543" s="5069" t="s">
        <v>4846</v>
      </c>
      <c r="J543" s="5064" t="s">
        <v>5253</v>
      </c>
      <c r="K543" s="5098"/>
      <c r="L543" s="5408"/>
      <c r="M543" s="5408"/>
      <c r="N543" s="5408"/>
      <c r="O543" s="5054"/>
      <c r="P543" s="5054"/>
      <c r="Q543" s="5054"/>
      <c r="R543" s="5054"/>
      <c r="S543" s="5054"/>
      <c r="T543" s="5054"/>
      <c r="U543" s="5055"/>
      <c r="V543" s="5055"/>
      <c r="W543" s="5055"/>
      <c r="X543" s="5055"/>
      <c r="Y543" s="5055"/>
    </row>
    <row r="544">
      <c r="A544" s="5235" t="s">
        <v>5254</v>
      </c>
      <c r="B544" s="5236">
        <v>46239</v>
      </c>
      <c r="C544" s="5235" t="str">
        <v>Wednesday</v>
      </c>
      <c r="D544" s="5237" t="s">
        <v>5136</v>
      </c>
      <c r="E544" s="5196">
        <f t="shared" si="76"/>
      </c>
      <c r="F544" s="5417" t="s">
        <v>4911</v>
      </c>
      <c r="G544" s="5088" t="s">
        <v>5255</v>
      </c>
      <c r="H544" s="5069"/>
      <c r="I544" s="5196" t="s">
        <v>4846</v>
      </c>
      <c r="J544" s="5069"/>
      <c r="K544" s="5055"/>
      <c r="L544" s="5055"/>
      <c r="M544" s="5055"/>
      <c r="N544" s="5055"/>
      <c r="O544" s="5055"/>
      <c r="P544" s="5055"/>
      <c r="Q544" s="5055"/>
      <c r="R544" s="5055"/>
      <c r="S544" s="5055"/>
      <c r="T544" s="5055"/>
      <c r="U544" s="5055"/>
      <c r="V544" s="5055"/>
      <c r="W544" s="5055"/>
      <c r="X544" s="5055"/>
      <c r="Y544" s="5055"/>
    </row>
    <row r="545">
      <c r="A545" s="5418" t="s">
        <v>5254</v>
      </c>
      <c r="B545" s="5079">
        <v>46233</v>
      </c>
      <c r="C545" s="5072" t="s">
        <v>4855</v>
      </c>
      <c r="D545" s="5130" t="s">
        <v>5072</v>
      </c>
      <c r="E545" s="5196">
        <f t="shared" si="76"/>
      </c>
      <c r="F545" s="5069"/>
      <c r="G545" s="5095"/>
      <c r="H545" s="5069"/>
      <c r="I545" s="5068"/>
      <c r="J545" s="5069"/>
      <c r="K545" s="5055"/>
      <c r="L545" s="5055"/>
      <c r="M545" s="5055"/>
      <c r="N545" s="5055"/>
      <c r="O545" s="5055"/>
      <c r="P545" s="5055"/>
      <c r="Q545" s="5055"/>
      <c r="R545" s="5055"/>
      <c r="S545" s="5055"/>
      <c r="T545" s="5055"/>
      <c r="U545" s="5055"/>
      <c r="V545" s="5055"/>
      <c r="W545" s="5055"/>
      <c r="X545" s="5055"/>
      <c r="Y545" s="5055"/>
    </row>
    <row r="546">
      <c r="A546" s="5419" t="s">
        <v>5256</v>
      </c>
      <c r="B546" s="5419"/>
      <c r="C546" s="5419"/>
      <c r="D546" s="5419"/>
      <c r="E546" s="5419"/>
      <c r="F546" s="5419"/>
      <c r="G546" s="5419"/>
      <c r="H546" s="5419"/>
      <c r="I546" s="5419"/>
      <c r="J546" s="5419"/>
      <c r="K546" s="5055"/>
      <c r="L546" s="5055"/>
      <c r="M546" s="5055"/>
      <c r="N546" s="5055"/>
      <c r="O546" s="5055"/>
      <c r="P546" s="5055"/>
      <c r="Q546" s="5055"/>
      <c r="R546" s="5055"/>
      <c r="S546" s="5055"/>
      <c r="T546" s="5055"/>
      <c r="U546" s="5055"/>
      <c r="V546" s="5055"/>
      <c r="W546" s="5055"/>
      <c r="X546" s="5055"/>
      <c r="Y546" s="5055"/>
    </row>
    <row r="547">
      <c r="A547" s="5280" t="s">
        <v>5256</v>
      </c>
      <c r="B547" s="5164" t="s">
        <v>4862</v>
      </c>
      <c r="C547" s="5164"/>
      <c r="D547" s="5169" t="s">
        <v>4863</v>
      </c>
      <c r="E547" s="5169" t="s">
        <v>4864</v>
      </c>
      <c r="F547" s="5169" t="s">
        <v>4865</v>
      </c>
      <c r="G547" s="5281" t="s">
        <v>4877</v>
      </c>
      <c r="H547" s="5169" t="s">
        <v>4867</v>
      </c>
      <c r="I547" s="5169" t="s">
        <v>4868</v>
      </c>
      <c r="J547" s="5169" t="s">
        <v>4869</v>
      </c>
      <c r="K547" s="5055"/>
      <c r="L547" s="5055"/>
      <c r="M547" s="5055"/>
      <c r="N547" s="5055"/>
      <c r="O547" s="5055"/>
      <c r="P547" s="5055"/>
      <c r="Q547" s="5055"/>
      <c r="R547" s="5055"/>
      <c r="S547" s="5055"/>
      <c r="T547" s="5055"/>
      <c r="U547" s="5055"/>
      <c r="V547" s="5055"/>
      <c r="W547" s="5055"/>
      <c r="X547" s="5055"/>
      <c r="Y547" s="5055"/>
    </row>
    <row r="548">
      <c r="A548" s="5420" t="s">
        <v>5256</v>
      </c>
      <c r="B548" s="5072">
        <v>46238</v>
      </c>
      <c r="C548" s="5079" t="str">
        <v>Tuesday</v>
      </c>
      <c r="D548" s="5130" t="s">
        <v>5080</v>
      </c>
      <c r="E548" s="5196">
        <f t="shared" ref="E548:E559" si="77">24*MOD(TIMEVALUE(TRIM(MID(D548,FIND("-",D548)+1,LEN(D548)))) - TIMEVALUE(TRIM(LEFT(D548,FIND("-",D548)-1))),1)</f>
      </c>
      <c r="F548" s="5069" t="s">
        <v>4892</v>
      </c>
      <c r="G548" s="5095"/>
      <c r="H548" s="5069" t="s">
        <v>4859</v>
      </c>
      <c r="I548" s="5068" t="s">
        <v>4846</v>
      </c>
      <c r="J548" s="5069"/>
      <c r="K548" s="5055"/>
      <c r="L548" s="5055"/>
      <c r="M548" s="5055"/>
      <c r="N548" s="5055"/>
      <c r="O548" s="5055"/>
      <c r="P548" s="5055"/>
      <c r="Q548" s="5055"/>
      <c r="R548" s="5055"/>
      <c r="S548" s="5055"/>
      <c r="T548" s="5055"/>
      <c r="U548" s="5055"/>
      <c r="V548" s="5055"/>
      <c r="W548" s="5055"/>
      <c r="X548" s="5055"/>
      <c r="Y548" s="5055"/>
    </row>
    <row customHeight="true" ht="18.452380952380953" r="549">
      <c r="A549" s="5280" t="s">
        <v>5257</v>
      </c>
      <c r="B549" s="5364">
        <v>46238</v>
      </c>
      <c r="C549" s="5299" t="str">
        <v>Tuesday</v>
      </c>
      <c r="D549" s="5290" t="s">
        <v>5258</v>
      </c>
      <c r="E549" s="5295">
        <f t="shared" si="77"/>
      </c>
      <c r="F549" s="5295" t="s">
        <v>5126</v>
      </c>
      <c r="G549" s="5421"/>
      <c r="H549" s="5295" t="s">
        <v>4859</v>
      </c>
      <c r="I549" s="5068" t="s">
        <v>4846</v>
      </c>
      <c r="J549" s="5069"/>
      <c r="K549" s="5055"/>
      <c r="L549" s="5055"/>
      <c r="M549" s="5055"/>
      <c r="N549" s="5055"/>
      <c r="O549" s="5055"/>
      <c r="P549" s="5055"/>
      <c r="Q549" s="5055"/>
      <c r="R549" s="5055"/>
      <c r="S549" s="5055"/>
      <c r="T549" s="5055"/>
      <c r="U549" s="5055"/>
      <c r="V549" s="5055"/>
      <c r="W549" s="5055"/>
      <c r="X549" s="5055"/>
      <c r="Y549" s="5055"/>
    </row>
    <row r="550">
      <c r="A550" s="5420" t="s">
        <v>5256</v>
      </c>
      <c r="B550" s="5236">
        <v>46239</v>
      </c>
      <c r="C550" s="5079" t="str">
        <v>Wednesday</v>
      </c>
      <c r="D550" s="5130" t="s">
        <v>4879</v>
      </c>
      <c r="E550" s="5196">
        <f t="shared" si="77"/>
      </c>
      <c r="F550" s="5069" t="s">
        <v>5106</v>
      </c>
      <c r="G550" s="5088"/>
      <c r="H550" s="5069" t="s">
        <v>4859</v>
      </c>
      <c r="I550" s="5068" t="s">
        <v>4846</v>
      </c>
      <c r="J550" s="5069"/>
      <c r="K550" s="5055"/>
      <c r="L550" s="5055"/>
      <c r="M550" s="5055"/>
      <c r="N550" s="5055"/>
      <c r="O550" s="5055"/>
      <c r="P550" s="5055"/>
      <c r="Q550" s="5055"/>
      <c r="R550" s="5055"/>
      <c r="S550" s="5055"/>
      <c r="T550" s="5055"/>
      <c r="U550" s="5055"/>
      <c r="V550" s="5055"/>
      <c r="W550" s="5055"/>
      <c r="X550" s="5055"/>
      <c r="Y550" s="5055"/>
    </row>
    <row customHeight="true" ht="18.452380952380953" r="551">
      <c r="A551" s="5280" t="s">
        <v>5257</v>
      </c>
      <c r="B551" s="5364">
        <v>46239</v>
      </c>
      <c r="C551" s="5299" t="str">
        <v>Wednesday</v>
      </c>
      <c r="D551" s="5290" t="s">
        <v>5259</v>
      </c>
      <c r="E551" s="5295">
        <f t="shared" si="77"/>
      </c>
      <c r="F551" s="5300" t="s">
        <v>5126</v>
      </c>
      <c r="G551" s="5421"/>
      <c r="H551" s="5069" t="s">
        <v>4859</v>
      </c>
      <c r="I551" s="5068" t="s">
        <v>4846</v>
      </c>
      <c r="J551" s="5295"/>
      <c r="K551" s="5055"/>
      <c r="L551" s="5055"/>
      <c r="M551" s="5055"/>
      <c r="N551" s="5055"/>
      <c r="O551" s="5055"/>
      <c r="P551" s="5055"/>
      <c r="Q551" s="5055"/>
      <c r="R551" s="5055"/>
      <c r="S551" s="5055"/>
      <c r="T551" s="5055"/>
      <c r="U551" s="5055"/>
      <c r="V551" s="5055"/>
      <c r="W551" s="5055"/>
      <c r="X551" s="5055"/>
      <c r="Y551" s="5055"/>
    </row>
    <row r="552">
      <c r="A552" s="5420" t="s">
        <v>5256</v>
      </c>
      <c r="B552" s="5236">
        <v>46240</v>
      </c>
      <c r="C552" s="5079" t="str">
        <v>Thursday</v>
      </c>
      <c r="D552" s="5130" t="s">
        <v>4945</v>
      </c>
      <c r="E552" s="5196">
        <f t="shared" si="77"/>
      </c>
      <c r="F552" s="5069" t="s">
        <v>5216</v>
      </c>
      <c r="G552" s="5088"/>
      <c r="H552" s="5069" t="s">
        <v>4859</v>
      </c>
      <c r="I552" s="5068" t="s">
        <v>4846</v>
      </c>
      <c r="J552" s="5069"/>
      <c r="K552" s="5055"/>
      <c r="L552" s="5055"/>
      <c r="M552" s="5055"/>
      <c r="N552" s="5055"/>
      <c r="O552" s="5055"/>
      <c r="P552" s="5055"/>
      <c r="Q552" s="5055"/>
      <c r="R552" s="5055"/>
      <c r="S552" s="5055"/>
      <c r="T552" s="5055"/>
      <c r="U552" s="5055"/>
      <c r="V552" s="5055"/>
      <c r="W552" s="5055"/>
      <c r="X552" s="5055"/>
      <c r="Y552" s="5055"/>
    </row>
    <row r="553">
      <c r="A553" s="5280" t="s">
        <v>5257</v>
      </c>
      <c r="B553" s="5364">
        <v>46240</v>
      </c>
      <c r="C553" s="5299" t="str">
        <v>Thursday</v>
      </c>
      <c r="D553" s="5422" t="s">
        <v>5260</v>
      </c>
      <c r="E553" s="5295">
        <f t="shared" si="77"/>
      </c>
      <c r="F553" s="5300" t="s">
        <v>4911</v>
      </c>
      <c r="G553" s="5297"/>
      <c r="H553" s="5069" t="s">
        <v>4859</v>
      </c>
      <c r="I553" s="5068" t="s">
        <v>4846</v>
      </c>
      <c r="J553" s="5291"/>
      <c r="K553" s="5055"/>
      <c r="L553" s="5055"/>
      <c r="M553" s="5055"/>
      <c r="N553" s="5055"/>
      <c r="O553" s="5055"/>
      <c r="P553" s="5055"/>
      <c r="Q553" s="5055"/>
      <c r="R553" s="5055"/>
      <c r="S553" s="5055"/>
      <c r="T553" s="5055"/>
      <c r="U553" s="5055"/>
      <c r="V553" s="5055"/>
      <c r="W553" s="5055"/>
      <c r="X553" s="5055"/>
      <c r="Y553" s="5055"/>
    </row>
    <row r="554">
      <c r="A554" s="5420" t="s">
        <v>5256</v>
      </c>
      <c r="B554" s="5236">
        <v>46241</v>
      </c>
      <c r="C554" s="5079" t="str">
        <v>Friday</v>
      </c>
      <c r="D554" s="5130" t="s">
        <v>4879</v>
      </c>
      <c r="E554" s="5196">
        <f t="shared" si="77"/>
      </c>
      <c r="F554" s="5069" t="s">
        <v>5106</v>
      </c>
      <c r="G554" s="5095"/>
      <c r="H554" s="5187" t="s">
        <v>4859</v>
      </c>
      <c r="I554" s="5069" t="s">
        <v>4846</v>
      </c>
      <c r="J554" s="5069"/>
      <c r="K554" s="5055"/>
      <c r="L554" s="5055"/>
      <c r="M554" s="5055"/>
      <c r="N554" s="5055"/>
      <c r="O554" s="5055"/>
      <c r="P554" s="5055"/>
      <c r="Q554" s="5055"/>
      <c r="R554" s="5055"/>
      <c r="S554" s="5055"/>
      <c r="T554" s="5055"/>
      <c r="U554" s="5055"/>
      <c r="V554" s="5055"/>
      <c r="W554" s="5055"/>
      <c r="X554" s="5055"/>
      <c r="Y554" s="5055"/>
    </row>
    <row customHeight="true" ht="18.452380952380953" r="555">
      <c r="A555" s="5280" t="s">
        <v>5257</v>
      </c>
      <c r="B555" s="5364">
        <v>46241</v>
      </c>
      <c r="C555" s="5299" t="str">
        <v>Friday</v>
      </c>
      <c r="D555" s="5290" t="s">
        <v>5259</v>
      </c>
      <c r="E555" s="5295">
        <f t="shared" si="77"/>
      </c>
      <c r="F555" s="5295" t="s">
        <v>5154</v>
      </c>
      <c r="G555" s="5421"/>
      <c r="H555" s="5069" t="s">
        <v>4859</v>
      </c>
      <c r="I555" s="5069" t="s">
        <v>4846</v>
      </c>
      <c r="J555" s="5069"/>
      <c r="K555" s="5055"/>
      <c r="L555" s="5055"/>
      <c r="M555" s="5055"/>
      <c r="N555" s="5055"/>
      <c r="O555" s="5055"/>
      <c r="P555" s="5055"/>
      <c r="Q555" s="5055"/>
      <c r="R555" s="5055"/>
      <c r="S555" s="5055"/>
      <c r="T555" s="5055"/>
      <c r="U555" s="5055"/>
      <c r="V555" s="5055"/>
      <c r="W555" s="5055"/>
      <c r="X555" s="5055"/>
      <c r="Y555" s="5055"/>
    </row>
    <row customHeight="true" ht="18.452380952380953" r="556">
      <c r="A556" s="5420" t="s">
        <v>5256</v>
      </c>
      <c r="B556" s="5236">
        <v>46242</v>
      </c>
      <c r="C556" s="5079" t="str">
        <v>Saturday</v>
      </c>
      <c r="D556" s="5237" t="s">
        <v>5007</v>
      </c>
      <c r="E556" s="5196">
        <f t="shared" si="77"/>
      </c>
      <c r="F556" s="5069" t="s">
        <v>4892</v>
      </c>
      <c r="G556" s="5309"/>
      <c r="H556" s="5069" t="s">
        <v>4859</v>
      </c>
      <c r="I556" s="5068" t="s">
        <v>4846</v>
      </c>
      <c r="J556" s="5196"/>
      <c r="K556" s="5240"/>
      <c r="L556" s="5240"/>
      <c r="M556" s="5240"/>
      <c r="N556" s="5240"/>
      <c r="O556" s="5240"/>
      <c r="P556" s="5240"/>
      <c r="Q556" s="5240"/>
      <c r="R556" s="5240"/>
      <c r="S556" s="5240"/>
      <c r="T556" s="5240"/>
      <c r="U556" s="5240"/>
      <c r="V556" s="5240"/>
      <c r="W556" s="5240"/>
      <c r="X556" s="5240"/>
      <c r="Y556" s="5240"/>
    </row>
    <row customHeight="true" ht="18.452380952380953" r="557">
      <c r="A557" s="5280" t="s">
        <v>5257</v>
      </c>
      <c r="B557" s="5364">
        <v>46242</v>
      </c>
      <c r="C557" s="5299" t="str">
        <v>Saturday</v>
      </c>
      <c r="D557" s="5290" t="s">
        <v>5258</v>
      </c>
      <c r="E557" s="5295">
        <f t="shared" si="77"/>
      </c>
      <c r="F557" s="5295" t="s">
        <v>4935</v>
      </c>
      <c r="G557" s="5421"/>
      <c r="H557" s="5069" t="s">
        <v>4859</v>
      </c>
      <c r="I557" s="5068" t="s">
        <v>4846</v>
      </c>
      <c r="J557" s="5196"/>
      <c r="K557" s="5240"/>
      <c r="L557" s="5240"/>
      <c r="M557" s="5240"/>
      <c r="N557" s="5240"/>
      <c r="O557" s="5240"/>
      <c r="P557" s="5240"/>
      <c r="Q557" s="5240"/>
      <c r="R557" s="5240"/>
      <c r="S557" s="5240"/>
      <c r="T557" s="5240"/>
      <c r="U557" s="5240"/>
      <c r="V557" s="5240"/>
      <c r="W557" s="5240"/>
      <c r="X557" s="5240"/>
      <c r="Y557" s="5240"/>
    </row>
    <row customHeight="true" ht="18.452380952380953" r="558">
      <c r="A558" s="5420" t="s">
        <v>5256</v>
      </c>
      <c r="B558" s="5236">
        <v>46243</v>
      </c>
      <c r="C558" s="5235" t="str">
        <v>Sunday</v>
      </c>
      <c r="D558" s="5237" t="s">
        <v>5261</v>
      </c>
      <c r="E558" s="5196">
        <f t="shared" si="77"/>
      </c>
      <c r="F558" s="5069" t="s">
        <v>5106</v>
      </c>
      <c r="G558" s="5238"/>
      <c r="H558" s="5239"/>
      <c r="I558" s="5069" t="s">
        <v>4846</v>
      </c>
      <c r="J558" s="5196"/>
      <c r="K558" s="5240"/>
      <c r="L558" s="5240"/>
      <c r="M558" s="5240"/>
      <c r="N558" s="5240"/>
      <c r="O558" s="5240"/>
      <c r="P558" s="5240"/>
      <c r="Q558" s="5240"/>
      <c r="R558" s="5240"/>
      <c r="S558" s="5240"/>
      <c r="T558" s="5240"/>
      <c r="U558" s="5240"/>
      <c r="V558" s="5240"/>
      <c r="W558" s="5240"/>
      <c r="X558" s="5240"/>
      <c r="Y558" s="5240"/>
    </row>
    <row customHeight="true" ht="18.452380952380953" r="559">
      <c r="A559" s="5280" t="s">
        <v>5257</v>
      </c>
      <c r="B559" s="5364">
        <v>46243</v>
      </c>
      <c r="C559" s="5299" t="str">
        <v>Sunday</v>
      </c>
      <c r="D559" s="5290" t="s">
        <v>5262</v>
      </c>
      <c r="E559" s="5295">
        <f t="shared" si="77"/>
      </c>
      <c r="F559" s="5295" t="s">
        <v>4935</v>
      </c>
      <c r="G559" s="5421"/>
      <c r="H559" s="5239"/>
      <c r="I559" s="5196" t="s">
        <v>4846</v>
      </c>
      <c r="J559" s="5196"/>
      <c r="K559" s="5240"/>
      <c r="L559" s="5240"/>
      <c r="M559" s="5240"/>
      <c r="N559" s="5240"/>
      <c r="O559" s="5240"/>
      <c r="P559" s="5240"/>
      <c r="Q559" s="5240"/>
      <c r="R559" s="5240"/>
      <c r="S559" s="5240"/>
      <c r="T559" s="5240"/>
      <c r="U559" s="5240"/>
      <c r="V559" s="5240"/>
      <c r="W559" s="5240"/>
      <c r="X559" s="5240"/>
      <c r="Y559" s="5240"/>
    </row>
    <row customHeight="true" ht="18.452380952380953" r="560">
      <c r="A560" s="5420"/>
      <c r="B560" s="5236"/>
      <c r="C560" s="5079"/>
      <c r="D560" s="5237"/>
      <c r="E560" s="5196"/>
      <c r="F560" s="5196"/>
      <c r="G560" s="5309"/>
      <c r="H560" s="5239"/>
      <c r="I560" s="5196"/>
      <c r="J560" s="5196"/>
      <c r="K560" s="5240"/>
      <c r="L560" s="5240"/>
      <c r="M560" s="5240"/>
      <c r="N560" s="5240"/>
      <c r="O560" s="5240"/>
      <c r="P560" s="5240"/>
      <c r="Q560" s="5240"/>
      <c r="R560" s="5240"/>
      <c r="S560" s="5240"/>
      <c r="T560" s="5240"/>
      <c r="U560" s="5240"/>
      <c r="V560" s="5240"/>
      <c r="W560" s="5240"/>
      <c r="X560" s="5240"/>
      <c r="Y560" s="5240"/>
    </row>
  </sheetData>
  <autoFilter ref="A1:Y568"/>
  <mergeCells>
    <mergeCell ref="B26:C26"/>
    <mergeCell ref="B11:C11"/>
    <mergeCell ref="B18:C18"/>
    <mergeCell ref="B42:C42"/>
    <mergeCell ref="B54:C54"/>
    <mergeCell ref="A3:J3"/>
    <mergeCell ref="A2:J2"/>
    <mergeCell ref="B202:C202"/>
    <mergeCell ref="B177:C177"/>
    <mergeCell ref="B125:C125"/>
    <mergeCell ref="B131:C131"/>
    <mergeCell ref="B147:C147"/>
    <mergeCell ref="B296:C296"/>
  </mergeCells>
  <dataValidations count="4">
    <dataValidation allowBlank="true" errorStyle="stop" showErrorMessage="true" sqref="I55:I77 I80:I92 I96:I108 I111:I123 I217:I218 I297:I298 I361:I361 I392:I393 I397:I399 I453:I455 J453:J455 K453:K453" type="list">
      <formula1>"PENDING,YES"</formula1>
    </dataValidation>
    <dataValidation allowBlank="true" errorStyle="stop" showErrorMessage="true" sqref="I4:I9 I12:I15 I19:I22 I27:I32 I34:I39 I43:I45 I47:I51 I132:I141 I143:I143 I148:I176 I178:I199 I203:I216 I219:I224 I229:I264 I268:I288 I292:I294 I302:I303 I309:I360 I365:I368 I371:I386 I391:I391 I394:I396 I402:I428 I431:I448 I451:I451 I462:I480 I484:I509 I512:I524 I526:I527 I530:I545 I547:I560" type="list">
      <formula1>"YES,PENDING"</formula1>
    </dataValidation>
    <dataValidation allowBlank="true" errorStyle="stop" showErrorMessage="true" sqref="H4:H9 H12:H15 H19:H22 H27:H32 H34:H39 H43:H45 H47:H51 H55:H77 H80:H92 H96:H108 H111:H123 H132:H143 H148:H176 H178:H199 H203:H225 H229:H264 H268:H288 H292:H294 H297:H298 H302:H303 H309:H361 H365:H368 H383:H386 H402:H428 H431:H448 H451:H451 H453:H456 H462:H480 H484:H509" type="list">
      <formula1>"8461 Higuera Street,3619 Eastham Drive"</formula1>
    </dataValidation>
    <dataValidation allowBlank="true" errorStyle="stop" showErrorMessage="true" sqref="I456:I456 J456:J456" type="list">
      <formula1>"PENDING,YES,Back up"</formula1>
    </dataValidation>
  </dataValidations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6" min="6" style="0" width="29.464788732394368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2" min="2" style="0" width="14.47887323943662"/>
    <col collapsed="false" customWidth="true" hidden="false" max="5" min="5" style="0" width="14.47887323943662"/>
    <col collapsed="false" customWidth="true" hidden="false" max="10" min="10" style="0" width="39.15492957746479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1" min="1" style="0" width="29.464788732394368"/>
    <col collapsed="false" customWidth="true" hidden="false" max="8" min="8" style="0" width="22.929577464788732"/>
    <col collapsed="false" customWidth="true" hidden="false" max="9" min="9" style="0" width="15.6056338028169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25" min="25" style="0" width="11.211267605633802"/>
    <col collapsed="false" customWidth="true" hidden="false" max="3" min="3" style="0" width="14.47887323943662"/>
    <col collapsed="false" customWidth="true" hidden="false" max="4" min="4" style="0" width="21.577464788732396"/>
    <col collapsed="false" customWidth="true" hidden="false" max="7" min="7" style="0" width="28.225352112676056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24" min="24" style="0" width="11.211267605633802"/>
  </cols>
  <sheetData>
    <row r="1">
      <c r="A1" s="5423"/>
      <c r="B1" s="5423"/>
      <c r="C1" s="5423"/>
      <c r="D1" s="5423"/>
      <c r="E1" s="5423"/>
      <c r="F1" s="5424"/>
      <c r="G1" s="5423"/>
      <c r="H1" s="5425"/>
      <c r="I1" s="5423"/>
      <c r="J1" s="5423"/>
      <c r="K1" s="5426"/>
      <c r="L1" s="5427"/>
      <c r="M1" s="5426"/>
      <c r="N1" s="5426"/>
      <c r="O1" s="5426"/>
      <c r="P1" s="5426"/>
      <c r="Q1" s="5426"/>
      <c r="R1" s="5426"/>
      <c r="S1" s="5426"/>
      <c r="T1" s="5426"/>
      <c r="U1" s="5428"/>
      <c r="V1" s="5428"/>
      <c r="W1" s="5428"/>
      <c r="X1" s="5428"/>
      <c r="Y1" s="5428"/>
    </row>
    <row r="2">
      <c r="A2" s="5429"/>
      <c r="B2" s="5429"/>
      <c r="C2" s="5429"/>
      <c r="D2" s="5429"/>
      <c r="E2" s="5429"/>
      <c r="F2" s="5429"/>
      <c r="G2" s="5429"/>
      <c r="H2" s="5429"/>
      <c r="I2" s="5429"/>
      <c r="J2" s="5429"/>
      <c r="K2" s="5426"/>
      <c r="L2" s="5426"/>
      <c r="M2" s="5426"/>
      <c r="N2" s="5426"/>
      <c r="O2" s="5426"/>
      <c r="P2" s="5426"/>
      <c r="Q2" s="5426"/>
      <c r="R2" s="5426"/>
      <c r="S2" s="5426"/>
      <c r="T2" s="5426"/>
      <c r="U2" s="5428"/>
      <c r="V2" s="5428"/>
      <c r="W2" s="5428"/>
      <c r="X2" s="5428"/>
      <c r="Y2" s="5428"/>
    </row>
    <row customHeight="true" ht="25" r="3">
      <c r="A3" s="5430" t="s">
        <v>5263</v>
      </c>
      <c r="B3" s="5430"/>
      <c r="C3" s="5430"/>
      <c r="D3" s="5430"/>
      <c r="E3" s="5430"/>
      <c r="F3" s="5430"/>
      <c r="G3" s="5430"/>
      <c r="H3" s="5430"/>
      <c r="I3" s="5430"/>
      <c r="J3" s="5430"/>
    </row>
    <row customHeight="true" ht="25" r="4">
      <c r="A4" s="5431" t="s">
        <v>5263</v>
      </c>
      <c r="B4" s="5432">
        <v>46230</v>
      </c>
      <c r="C4" s="5431" t="str">
        <v>Monday</v>
      </c>
      <c r="D4" s="5433" t="s">
        <v>5264</v>
      </c>
      <c r="E4" s="5434">
        <f>24*MOD(TIMEVALUE(TRIM(MID(D4,FIND("-",D4)+1,LEN(D4)))) - TIMEVALUE(TRIM(LEFT(D4,FIND("-",D4)-1))),1)</f>
      </c>
      <c r="F4" s="5435" t="s">
        <v>5265</v>
      </c>
      <c r="G4" s="5436" t="s">
        <v>5266</v>
      </c>
      <c r="H4" s="5437" t="s">
        <v>5267</v>
      </c>
      <c r="I4" s="5437" t="s">
        <v>5268</v>
      </c>
      <c r="J4" s="5438"/>
    </row>
    <row r="5">
      <c r="A5" s="5439" t="s">
        <v>5263</v>
      </c>
      <c r="B5" s="5432">
        <v>46230</v>
      </c>
      <c r="C5" s="5431" t="str">
        <v>Monday</v>
      </c>
      <c r="D5" s="5433" t="s">
        <v>5264</v>
      </c>
      <c r="E5" s="5440">
        <v>2.5</v>
      </c>
      <c r="F5" s="5435" t="s">
        <v>5269</v>
      </c>
      <c r="G5" s="5436" t="s">
        <v>5266</v>
      </c>
      <c r="H5" s="5437" t="s">
        <v>5267</v>
      </c>
      <c r="I5" s="5437" t="s">
        <v>5268</v>
      </c>
      <c r="J5" s="5438"/>
      <c r="K5" s="5426"/>
      <c r="L5" s="5426"/>
      <c r="M5" s="5426"/>
      <c r="N5" s="5426"/>
      <c r="O5" s="5426"/>
      <c r="P5" s="5426"/>
      <c r="Q5" s="5426"/>
      <c r="R5" s="5426"/>
      <c r="S5" s="5426"/>
      <c r="T5" s="5426"/>
      <c r="U5" s="5428"/>
      <c r="V5" s="5428"/>
      <c r="W5" s="5428"/>
      <c r="X5" s="5428"/>
      <c r="Y5" s="5428"/>
    </row>
    <row r="6">
      <c r="A6" s="5441" t="s">
        <v>5263</v>
      </c>
      <c r="B6" s="5432">
        <v>46230</v>
      </c>
      <c r="C6" s="5442" t="s">
        <v>5270</v>
      </c>
      <c r="D6" s="5433" t="s">
        <v>5264</v>
      </c>
      <c r="E6" s="5440">
        <v>2.5</v>
      </c>
      <c r="F6" s="5435" t="s">
        <v>5271</v>
      </c>
      <c r="G6" s="5436" t="s">
        <v>5266</v>
      </c>
      <c r="H6" s="5437" t="s">
        <v>5267</v>
      </c>
      <c r="I6" s="5437" t="s">
        <v>5268</v>
      </c>
      <c r="J6" s="5438"/>
      <c r="K6" s="5426"/>
      <c r="L6" s="5426"/>
      <c r="M6" s="5426"/>
      <c r="N6" s="5426"/>
      <c r="O6" s="5426"/>
      <c r="P6" s="5426"/>
      <c r="Q6" s="5426"/>
      <c r="R6" s="5426"/>
      <c r="S6" s="5426"/>
      <c r="T6" s="5426"/>
      <c r="U6" s="5428"/>
      <c r="V6" s="5428"/>
      <c r="W6" s="5428"/>
      <c r="X6" s="5428"/>
      <c r="Y6" s="5428"/>
    </row>
    <row r="7">
      <c r="A7" s="5441" t="s">
        <v>5263</v>
      </c>
      <c r="B7" s="5432">
        <v>46230</v>
      </c>
      <c r="C7" s="5431" t="str">
        <v>Monday</v>
      </c>
      <c r="D7" s="5433" t="s">
        <v>5264</v>
      </c>
      <c r="E7" s="5440">
        <v>2.5</v>
      </c>
      <c r="F7" s="5435" t="s">
        <v>5272</v>
      </c>
      <c r="G7" s="5436" t="s">
        <v>5266</v>
      </c>
      <c r="H7" s="5437" t="s">
        <v>5267</v>
      </c>
      <c r="I7" s="5437" t="s">
        <v>5268</v>
      </c>
      <c r="J7" s="5438"/>
      <c r="K7" s="5426"/>
      <c r="L7" s="5426"/>
      <c r="M7" s="5426"/>
      <c r="N7" s="5426"/>
      <c r="O7" s="5426"/>
      <c r="P7" s="5426"/>
      <c r="Q7" s="5426"/>
      <c r="R7" s="5426"/>
      <c r="S7" s="5426"/>
      <c r="T7" s="5426"/>
      <c r="U7" s="5428"/>
      <c r="V7" s="5428"/>
      <c r="W7" s="5428"/>
      <c r="X7" s="5428"/>
      <c r="Y7" s="5428"/>
    </row>
    <row r="8">
      <c r="A8" s="5441" t="s">
        <v>5263</v>
      </c>
      <c r="B8" s="5432">
        <v>46230</v>
      </c>
      <c r="C8" s="5431" t="str">
        <v>Monday</v>
      </c>
      <c r="D8" s="5433" t="s">
        <v>5264</v>
      </c>
      <c r="E8" s="5440">
        <v>2.5</v>
      </c>
      <c r="F8" s="5435" t="s">
        <v>5273</v>
      </c>
      <c r="G8" s="5436" t="s">
        <v>5266</v>
      </c>
      <c r="H8" s="5437" t="s">
        <v>5267</v>
      </c>
      <c r="I8" s="5437" t="s">
        <v>5268</v>
      </c>
      <c r="J8" s="5438"/>
      <c r="K8" s="5426"/>
      <c r="L8" s="5426"/>
      <c r="M8" s="5426"/>
      <c r="N8" s="5426"/>
      <c r="O8" s="5426"/>
      <c r="P8" s="5426"/>
      <c r="Q8" s="5426"/>
      <c r="R8" s="5426"/>
      <c r="S8" s="5426"/>
      <c r="T8" s="5426"/>
      <c r="U8" s="5428"/>
      <c r="V8" s="5428"/>
      <c r="W8" s="5428"/>
      <c r="X8" s="5428"/>
      <c r="Y8" s="5428"/>
    </row>
    <row customHeight="true" ht="18.452380952380953" r="9">
      <c r="A9" s="5441" t="s">
        <v>5263</v>
      </c>
      <c r="B9" s="5432">
        <v>46234</v>
      </c>
      <c r="C9" s="5432" t="s">
        <v>5274</v>
      </c>
      <c r="D9" s="5433" t="s">
        <v>5264</v>
      </c>
      <c r="E9" s="5440">
        <v>2.5</v>
      </c>
      <c r="F9" s="5435" t="s">
        <v>5275</v>
      </c>
      <c r="G9" s="5436" t="s">
        <v>5266</v>
      </c>
      <c r="H9" s="5437" t="s">
        <v>5267</v>
      </c>
      <c r="I9" s="5437" t="s">
        <v>5268</v>
      </c>
      <c r="J9" s="5438"/>
      <c r="K9" s="5426"/>
      <c r="L9" s="5426"/>
      <c r="M9" s="5426"/>
      <c r="N9" s="5426"/>
      <c r="O9" s="5426"/>
      <c r="P9" s="5426"/>
      <c r="Q9" s="5426"/>
      <c r="R9" s="5426"/>
      <c r="S9" s="5426"/>
      <c r="T9" s="5426"/>
      <c r="U9" s="5428"/>
      <c r="V9" s="5428"/>
      <c r="W9" s="5428"/>
      <c r="X9" s="5428"/>
      <c r="Y9" s="5428"/>
    </row>
    <row r="10">
      <c r="A10" s="5443" t="s">
        <v>5276</v>
      </c>
      <c r="B10" s="5443"/>
      <c r="C10" s="5443"/>
      <c r="D10" s="5443"/>
      <c r="E10" s="5443"/>
      <c r="F10" s="5443"/>
      <c r="G10" s="5443"/>
      <c r="H10" s="5443"/>
      <c r="I10" s="5443"/>
      <c r="J10" s="5443"/>
      <c r="K10" s="5426"/>
      <c r="L10" s="5426"/>
      <c r="M10" s="5426"/>
      <c r="N10" s="5426"/>
      <c r="O10" s="5426"/>
      <c r="P10" s="5426"/>
      <c r="Q10" s="5426"/>
      <c r="R10" s="5426"/>
      <c r="S10" s="5426"/>
      <c r="T10" s="5426"/>
      <c r="U10" s="5428"/>
      <c r="V10" s="5428"/>
      <c r="W10" s="5428"/>
      <c r="X10" s="5428"/>
      <c r="Y10" s="5428"/>
    </row>
    <row customHeight="true" ht="39.88095238095238" r="11">
      <c r="A11" s="5444" t="s">
        <v>5277</v>
      </c>
      <c r="B11" s="5445" t="s">
        <v>5278</v>
      </c>
      <c r="C11" s="5445"/>
      <c r="D11" s="5446" t="s">
        <v>5279</v>
      </c>
      <c r="E11" s="5447" t="s">
        <v>5280</v>
      </c>
      <c r="F11" s="5446" t="s">
        <v>5281</v>
      </c>
      <c r="G11" s="5448" t="s">
        <v>5282</v>
      </c>
      <c r="H11" s="5446" t="s">
        <v>5283</v>
      </c>
      <c r="I11" s="5446" t="s">
        <v>5284</v>
      </c>
      <c r="J11" s="5446" t="s">
        <v>5285</v>
      </c>
      <c r="K11" s="5426"/>
      <c r="L11" s="5426"/>
      <c r="M11" s="5426"/>
      <c r="N11" s="5426"/>
      <c r="O11" s="5426"/>
      <c r="P11" s="5426"/>
      <c r="Q11" s="5426"/>
      <c r="R11" s="5426"/>
      <c r="S11" s="5426"/>
      <c r="T11" s="5426"/>
      <c r="U11" s="5428"/>
      <c r="V11" s="5428"/>
      <c r="W11" s="5428"/>
      <c r="X11" s="5428"/>
      <c r="Y11" s="5428"/>
    </row>
    <row r="12">
      <c r="A12" s="5431" t="s">
        <v>5286</v>
      </c>
      <c r="B12" s="5431">
        <v>46216</v>
      </c>
      <c r="C12" s="5431" t="str">
        <v>Monday</v>
      </c>
      <c r="D12" s="5437" t="s">
        <v>5287</v>
      </c>
      <c r="E12" s="5434">
        <f t="shared" ref="E12:E13" si="51">24*MOD(TIMEVALUE(TRIM(MID(D12,FIND("-",D12)+1,LEN(D12)))) - TIMEVALUE(TRIM(LEFT(D12,FIND("-",D12)-1))),1)</f>
      </c>
      <c r="F12" s="5449"/>
      <c r="G12" s="5450" t="s">
        <v>5288</v>
      </c>
      <c r="H12" s="5437"/>
      <c r="I12" s="5437" t="s">
        <v>5268</v>
      </c>
      <c r="J12" s="5437"/>
      <c r="K12" s="5426"/>
      <c r="L12" s="5426"/>
      <c r="M12" s="5426"/>
      <c r="N12" s="5426"/>
      <c r="O12" s="5426"/>
      <c r="P12" s="5426"/>
      <c r="Q12" s="5426"/>
      <c r="R12" s="5426"/>
      <c r="S12" s="5426"/>
      <c r="T12" s="5426"/>
      <c r="U12" s="5428"/>
      <c r="V12" s="5428"/>
      <c r="W12" s="5428"/>
      <c r="X12" s="5428"/>
      <c r="Y12" s="5428"/>
    </row>
    <row r="13">
      <c r="A13" s="5431" t="s">
        <v>5286</v>
      </c>
      <c r="B13" s="5431">
        <v>46218</v>
      </c>
      <c r="C13" s="5431" t="str">
        <v>Wednesday</v>
      </c>
      <c r="D13" s="5437" t="s">
        <v>5289</v>
      </c>
      <c r="E13" s="5434">
        <f t="shared" si="51"/>
      </c>
      <c r="F13" s="5449"/>
      <c r="G13" s="5450"/>
      <c r="H13" s="5437"/>
      <c r="I13" s="5438" t="s">
        <v>5268</v>
      </c>
      <c r="J13" s="5437"/>
      <c r="K13" s="5426"/>
      <c r="L13" s="5426"/>
      <c r="M13" s="5426"/>
      <c r="N13" s="5426"/>
      <c r="O13" s="5426"/>
      <c r="P13" s="5426"/>
      <c r="Q13" s="5426"/>
      <c r="R13" s="5426"/>
      <c r="S13" s="5426"/>
      <c r="T13" s="5426"/>
      <c r="U13" s="5428"/>
      <c r="V13" s="5428"/>
      <c r="W13" s="5428"/>
      <c r="X13" s="5428"/>
      <c r="Y13" s="5428"/>
    </row>
    <row r="14">
      <c r="A14" s="5431" t="s">
        <v>5290</v>
      </c>
      <c r="B14" s="5431">
        <v>46218</v>
      </c>
      <c r="C14" s="5431" t="str">
        <v>Wednesday</v>
      </c>
      <c r="D14" s="5437"/>
      <c r="E14" s="5434"/>
      <c r="F14" s="5449"/>
      <c r="G14" s="5450"/>
      <c r="H14" s="5437"/>
      <c r="I14" s="5437" t="s">
        <v>5291</v>
      </c>
      <c r="J14" s="5437"/>
      <c r="K14" s="5426"/>
      <c r="L14" s="5426"/>
      <c r="M14" s="5426"/>
      <c r="N14" s="5426"/>
      <c r="O14" s="5426"/>
      <c r="P14" s="5426"/>
      <c r="Q14" s="5426"/>
      <c r="R14" s="5426"/>
      <c r="S14" s="5426"/>
      <c r="T14" s="5426"/>
      <c r="U14" s="5428"/>
      <c r="V14" s="5428"/>
      <c r="W14" s="5428"/>
      <c r="X14" s="5428"/>
      <c r="Y14" s="5428"/>
    </row>
    <row r="15">
      <c r="A15" s="5431" t="s">
        <v>5290</v>
      </c>
      <c r="B15" s="5431">
        <v>46219</v>
      </c>
      <c r="C15" s="5431" t="str">
        <v>Thursday</v>
      </c>
      <c r="D15" s="5437"/>
      <c r="E15" s="5434"/>
      <c r="F15" s="5449"/>
      <c r="G15" s="5450"/>
      <c r="H15" s="5437"/>
      <c r="I15" s="5437" t="s">
        <v>5291</v>
      </c>
      <c r="J15" s="5437"/>
      <c r="K15" s="5426"/>
      <c r="L15" s="5426"/>
      <c r="M15" s="5426"/>
      <c r="N15" s="5426"/>
      <c r="O15" s="5426"/>
      <c r="P15" s="5426"/>
      <c r="Q15" s="5426"/>
      <c r="R15" s="5426"/>
      <c r="S15" s="5426"/>
      <c r="T15" s="5426"/>
      <c r="U15" s="5428"/>
      <c r="V15" s="5428"/>
      <c r="W15" s="5428"/>
      <c r="X15" s="5428"/>
      <c r="Y15" s="5428"/>
    </row>
    <row customHeight="true" ht="25" r="16">
      <c r="A16" s="5429"/>
      <c r="B16" s="5429"/>
      <c r="C16" s="5429"/>
      <c r="D16" s="5429"/>
      <c r="E16" s="5429"/>
      <c r="F16" s="5429"/>
      <c r="G16" s="5429"/>
      <c r="H16" s="5429"/>
      <c r="I16" s="5429"/>
      <c r="J16" s="5429"/>
      <c r="K16" s="5426"/>
      <c r="L16" s="5426"/>
      <c r="M16" s="5426"/>
      <c r="N16" s="5426"/>
      <c r="O16" s="5426"/>
      <c r="P16" s="5426"/>
      <c r="Q16" s="5426"/>
      <c r="R16" s="5426"/>
      <c r="S16" s="5426"/>
      <c r="T16" s="5426"/>
      <c r="U16" s="5428"/>
      <c r="V16" s="5428"/>
      <c r="W16" s="5428"/>
      <c r="X16" s="5428"/>
      <c r="Y16" s="5428"/>
    </row>
    <row r="17">
      <c r="A17" s="5429" t="s">
        <v>5292</v>
      </c>
      <c r="B17" s="5429"/>
      <c r="C17" s="5429"/>
      <c r="D17" s="5429"/>
      <c r="E17" s="5429"/>
      <c r="F17" s="5429"/>
      <c r="G17" s="5429"/>
      <c r="H17" s="5429"/>
      <c r="I17" s="5429"/>
      <c r="J17" s="5429"/>
      <c r="K17" s="5426"/>
      <c r="L17" s="5426"/>
      <c r="M17" s="5426"/>
      <c r="N17" s="5426"/>
      <c r="O17" s="5426"/>
      <c r="P17" s="5426"/>
      <c r="Q17" s="5426"/>
      <c r="R17" s="5426"/>
      <c r="S17" s="5426"/>
      <c r="T17" s="5426"/>
      <c r="U17" s="5428"/>
      <c r="V17" s="5428"/>
      <c r="W17" s="5428"/>
      <c r="X17" s="5428"/>
      <c r="Y17" s="5428"/>
    </row>
    <row r="18">
      <c r="A18" s="5451" t="s">
        <v>5293</v>
      </c>
      <c r="B18" s="5451"/>
      <c r="C18" s="5451"/>
      <c r="D18" s="5451"/>
      <c r="E18" s="5451"/>
      <c r="F18" s="5451"/>
      <c r="G18" s="5451"/>
      <c r="H18" s="5451"/>
      <c r="I18" s="5451"/>
      <c r="J18" s="5451"/>
      <c r="K18" s="5426"/>
      <c r="L18" s="5426"/>
      <c r="M18" s="5426"/>
      <c r="N18" s="5426"/>
      <c r="O18" s="5426"/>
      <c r="P18" s="5426"/>
      <c r="Q18" s="5426"/>
      <c r="R18" s="5426"/>
      <c r="S18" s="5426"/>
      <c r="T18" s="5426"/>
      <c r="U18" s="5428"/>
      <c r="V18" s="5428"/>
      <c r="W18" s="5428"/>
      <c r="X18" s="5428"/>
      <c r="Y18" s="5428"/>
    </row>
    <row r="19">
      <c r="A19" s="5452" t="s">
        <v>5277</v>
      </c>
      <c r="B19" s="5453" t="s">
        <v>5278</v>
      </c>
      <c r="C19" s="5453"/>
      <c r="D19" s="5454" t="s">
        <v>5279</v>
      </c>
      <c r="E19" s="5454" t="s">
        <v>5280</v>
      </c>
      <c r="F19" s="5454" t="s">
        <v>5281</v>
      </c>
      <c r="G19" s="5455" t="s">
        <v>5294</v>
      </c>
      <c r="H19" s="5454" t="s">
        <v>5283</v>
      </c>
      <c r="I19" s="5454" t="s">
        <v>5284</v>
      </c>
      <c r="J19" s="5454" t="s">
        <v>5285</v>
      </c>
      <c r="K19" s="5428"/>
      <c r="L19" s="5428"/>
      <c r="M19" s="5428"/>
      <c r="N19" s="5428"/>
      <c r="O19" s="5428"/>
      <c r="P19" s="5428"/>
      <c r="Q19" s="5428"/>
      <c r="R19" s="5428"/>
      <c r="S19" s="5428"/>
      <c r="T19" s="5428"/>
      <c r="U19" s="5428"/>
      <c r="V19" s="5428"/>
      <c r="W19" s="5428"/>
      <c r="X19" s="5428"/>
      <c r="Y19" s="5428"/>
    </row>
    <row customHeight="true" ht="18.452380952380953" r="20">
      <c r="A20" s="5431" t="s">
        <v>5295</v>
      </c>
      <c r="B20" s="5432">
        <v>46230</v>
      </c>
      <c r="C20" s="5431" t="str">
        <v>Monday</v>
      </c>
      <c r="D20" s="5433" t="s">
        <v>5296</v>
      </c>
      <c r="E20" s="5438">
        <f t="shared" ref="E20:E25" si="52">24*MOD(TIMEVALUE(TRIM(MID(D20,FIND("-",D20)+1,LEN(D20)))) - TIMEVALUE(TRIM(LEFT(D20,FIND("-",D20)-1))),1)</f>
      </c>
      <c r="F20" s="5438" t="s">
        <v>5297</v>
      </c>
      <c r="G20" s="5456" t="s">
        <v>5298</v>
      </c>
      <c r="H20" s="5457" t="s">
        <v>5299</v>
      </c>
      <c r="I20" s="5438" t="s">
        <v>5268</v>
      </c>
      <c r="J20" s="5437"/>
      <c r="K20" s="5428"/>
      <c r="L20" s="5428"/>
      <c r="M20" s="5428"/>
      <c r="N20" s="5428"/>
      <c r="O20" s="5428"/>
      <c r="P20" s="5428"/>
      <c r="Q20" s="5428"/>
      <c r="R20" s="5428"/>
      <c r="S20" s="5428"/>
      <c r="T20" s="5428"/>
      <c r="U20" s="5428"/>
      <c r="V20" s="5428"/>
      <c r="W20" s="5428"/>
      <c r="X20" s="5428"/>
      <c r="Y20" s="5428"/>
    </row>
    <row customHeight="true" ht="18.452380952380953" r="21">
      <c r="A21" s="5458" t="s">
        <v>5300</v>
      </c>
      <c r="B21" s="5458">
        <v>46230</v>
      </c>
      <c r="C21" s="5458" t="s">
        <v>5270</v>
      </c>
      <c r="D21" s="5459" t="s">
        <v>5296</v>
      </c>
      <c r="E21" s="5460">
        <f t="shared" si="52"/>
      </c>
      <c r="F21" s="5460" t="s">
        <v>5298</v>
      </c>
      <c r="G21" s="5461"/>
      <c r="H21" s="5460"/>
      <c r="I21" s="5460" t="s">
        <v>5268</v>
      </c>
      <c r="J21" s="5460"/>
      <c r="K21" s="5428"/>
      <c r="L21" s="5428"/>
      <c r="M21" s="5428"/>
      <c r="N21" s="5428"/>
      <c r="O21" s="5428"/>
      <c r="P21" s="5428"/>
      <c r="Q21" s="5428"/>
      <c r="R21" s="5428"/>
      <c r="S21" s="5428"/>
      <c r="T21" s="5428"/>
      <c r="U21" s="5428"/>
      <c r="V21" s="5428"/>
      <c r="W21" s="5428"/>
      <c r="X21" s="5428"/>
      <c r="Y21" s="5428"/>
    </row>
    <row r="22">
      <c r="A22" s="5431" t="s">
        <v>5295</v>
      </c>
      <c r="B22" s="5432">
        <v>46230</v>
      </c>
      <c r="C22" s="5431" t="str">
        <v>Monday</v>
      </c>
      <c r="D22" s="5438" t="s">
        <v>5301</v>
      </c>
      <c r="E22" s="5438">
        <f t="shared" si="52"/>
      </c>
      <c r="F22" s="5438" t="s">
        <v>5302</v>
      </c>
      <c r="G22" s="5456" t="s">
        <v>5303</v>
      </c>
      <c r="H22" s="5437"/>
      <c r="I22" s="5438" t="s">
        <v>5268</v>
      </c>
      <c r="J22" s="5437"/>
      <c r="K22" s="5428"/>
      <c r="L22" s="5428"/>
      <c r="M22" s="5428"/>
      <c r="N22" s="5428"/>
      <c r="O22" s="5428"/>
      <c r="P22" s="5428"/>
      <c r="Q22" s="5428"/>
      <c r="R22" s="5428"/>
      <c r="S22" s="5428"/>
      <c r="T22" s="5428"/>
      <c r="U22" s="5428"/>
      <c r="V22" s="5428"/>
      <c r="W22" s="5428"/>
      <c r="X22" s="5428"/>
      <c r="Y22" s="5428"/>
    </row>
    <row customHeight="true" ht="18.452380952380953" r="23">
      <c r="A23" s="5458" t="s">
        <v>5300</v>
      </c>
      <c r="B23" s="5462">
        <v>46230</v>
      </c>
      <c r="C23" s="5463" t="str">
        <v>Monday</v>
      </c>
      <c r="D23" s="5464" t="s">
        <v>5301</v>
      </c>
      <c r="E23" s="5464">
        <f t="shared" si="52"/>
      </c>
      <c r="F23" s="5460" t="s">
        <v>5304</v>
      </c>
      <c r="G23" s="5461"/>
      <c r="H23" s="5460"/>
      <c r="I23" s="5460" t="s">
        <v>5268</v>
      </c>
      <c r="J23" s="5460"/>
      <c r="K23" s="5428"/>
      <c r="L23" s="5428"/>
      <c r="M23" s="5428"/>
      <c r="N23" s="5428"/>
      <c r="O23" s="5428"/>
      <c r="P23" s="5428"/>
      <c r="Q23" s="5428"/>
      <c r="R23" s="5428"/>
      <c r="S23" s="5428"/>
      <c r="T23" s="5428"/>
      <c r="U23" s="5428"/>
      <c r="V23" s="5428"/>
      <c r="W23" s="5428"/>
      <c r="X23" s="5428"/>
      <c r="Y23" s="5428"/>
    </row>
    <row customHeight="true" ht="18.452380952380953" r="24">
      <c r="A24" s="5431" t="s">
        <v>5295</v>
      </c>
      <c r="B24" s="5432">
        <v>46230</v>
      </c>
      <c r="C24" s="5431" t="str">
        <v>Monday</v>
      </c>
      <c r="D24" s="5433" t="s">
        <v>5305</v>
      </c>
      <c r="E24" s="5438">
        <f t="shared" si="52"/>
      </c>
      <c r="F24" s="5438" t="s">
        <v>5306</v>
      </c>
      <c r="G24" s="5456" t="s">
        <v>5307</v>
      </c>
      <c r="H24" s="5437"/>
      <c r="I24" s="5438" t="s">
        <v>5268</v>
      </c>
      <c r="J24" s="5437"/>
      <c r="K24" s="5428"/>
      <c r="L24" s="5428"/>
      <c r="M24" s="5428"/>
      <c r="N24" s="5428"/>
      <c r="O24" s="5428"/>
      <c r="P24" s="5428"/>
      <c r="Q24" s="5428"/>
      <c r="R24" s="5428"/>
      <c r="S24" s="5428"/>
      <c r="T24" s="5428"/>
      <c r="U24" s="5428"/>
      <c r="V24" s="5428"/>
      <c r="W24" s="5428"/>
      <c r="X24" s="5428"/>
      <c r="Y24" s="5428"/>
    </row>
    <row r="25">
      <c r="A25" s="5458" t="s">
        <v>5300</v>
      </c>
      <c r="B25" s="5462">
        <v>46230</v>
      </c>
      <c r="C25" s="5463" t="str">
        <v>Monday</v>
      </c>
      <c r="D25" s="5465" t="s">
        <v>5305</v>
      </c>
      <c r="E25" s="5460">
        <f t="shared" si="52"/>
      </c>
      <c r="F25" s="5460" t="s">
        <v>5308</v>
      </c>
      <c r="G25" s="5466"/>
      <c r="H25" s="5460"/>
      <c r="I25" s="5460" t="s">
        <v>5268</v>
      </c>
      <c r="J25" s="5460"/>
      <c r="K25" s="5428"/>
      <c r="L25" s="5428"/>
      <c r="M25" s="5428"/>
      <c r="N25" s="5428"/>
      <c r="O25" s="5428"/>
      <c r="P25" s="5428"/>
      <c r="Q25" s="5428"/>
      <c r="R25" s="5428"/>
      <c r="S25" s="5428"/>
      <c r="T25" s="5428"/>
      <c r="U25" s="5428"/>
      <c r="V25" s="5428"/>
      <c r="W25" s="5428"/>
      <c r="X25" s="5428"/>
      <c r="Y25" s="5428"/>
    </row>
    <row r="26">
      <c r="A26" s="5431"/>
      <c r="B26" s="5428"/>
      <c r="C26" s="5431"/>
      <c r="D26" s="5438"/>
      <c r="E26" s="5438"/>
      <c r="F26" s="5438"/>
      <c r="G26" s="5467"/>
      <c r="H26" s="5437"/>
      <c r="I26" s="5438"/>
      <c r="J26" s="5437"/>
      <c r="K26" s="5428"/>
      <c r="L26" s="5428"/>
      <c r="M26" s="5428"/>
      <c r="N26" s="5428"/>
      <c r="O26" s="5428"/>
      <c r="P26" s="5428"/>
      <c r="Q26" s="5428"/>
      <c r="R26" s="5428"/>
      <c r="S26" s="5428"/>
      <c r="T26" s="5428"/>
      <c r="U26" s="5428"/>
      <c r="V26" s="5428"/>
      <c r="W26" s="5428"/>
      <c r="X26" s="5428"/>
      <c r="Y26" s="5428"/>
    </row>
    <row customHeight="true" ht="18.452380952380953" r="27">
      <c r="A27" s="5458" t="s">
        <v>5309</v>
      </c>
      <c r="B27" s="5462">
        <v>46231</v>
      </c>
      <c r="C27" s="5458" t="str">
        <v>Tuesday</v>
      </c>
      <c r="D27" s="5459" t="s">
        <v>5310</v>
      </c>
      <c r="E27" s="5460">
        <f t="shared" ref="E27:E34" si="53">24*MOD(TIMEVALUE(TRIM(MID(D27,FIND("-",D27)+1,LEN(D27)))) - TIMEVALUE(TRIM(LEFT(D27,FIND("-",D27)-1))),1)</f>
      </c>
      <c r="F27" s="5460" t="s">
        <v>5298</v>
      </c>
      <c r="G27" s="5466" t="s">
        <v>5311</v>
      </c>
      <c r="H27" s="5460"/>
      <c r="I27" s="5460" t="s">
        <v>5268</v>
      </c>
      <c r="J27" s="5460"/>
      <c r="K27" s="5428"/>
      <c r="L27" s="5428"/>
      <c r="M27" s="5428"/>
      <c r="N27" s="5428"/>
      <c r="O27" s="5428"/>
      <c r="P27" s="5428"/>
      <c r="Q27" s="5428"/>
      <c r="R27" s="5428"/>
      <c r="S27" s="5428"/>
      <c r="T27" s="5428"/>
      <c r="U27" s="5428"/>
      <c r="V27" s="5428"/>
      <c r="W27" s="5428"/>
      <c r="X27" s="5428"/>
      <c r="Y27" s="5428"/>
    </row>
    <row customHeight="true" ht="18.452380952380953" r="28">
      <c r="A28" s="5431" t="s">
        <v>5295</v>
      </c>
      <c r="B28" s="5432">
        <v>46231</v>
      </c>
      <c r="C28" s="5431" t="str">
        <v>Tuesday</v>
      </c>
      <c r="D28" s="5433" t="s">
        <v>5296</v>
      </c>
      <c r="E28" s="5438">
        <f t="shared" si="53"/>
      </c>
      <c r="F28" s="5438" t="s">
        <v>5297</v>
      </c>
      <c r="G28" s="5456" t="s">
        <v>5298</v>
      </c>
      <c r="H28" s="5437"/>
      <c r="I28" s="5438" t="s">
        <v>5268</v>
      </c>
      <c r="J28" s="5437"/>
      <c r="K28" s="5428"/>
      <c r="L28" s="5428"/>
      <c r="M28" s="5428"/>
      <c r="N28" s="5428"/>
      <c r="O28" s="5428"/>
      <c r="P28" s="5428"/>
      <c r="Q28" s="5428"/>
      <c r="R28" s="5428"/>
      <c r="S28" s="5428"/>
      <c r="T28" s="5428"/>
      <c r="U28" s="5428"/>
      <c r="V28" s="5428"/>
      <c r="W28" s="5428"/>
      <c r="X28" s="5428"/>
      <c r="Y28" s="5428"/>
    </row>
    <row customHeight="true" ht="18.452380952380953" r="29">
      <c r="A29" s="5431" t="s">
        <v>5295</v>
      </c>
      <c r="B29" s="5432">
        <v>46231</v>
      </c>
      <c r="C29" s="5431" t="str">
        <v>Tuesday</v>
      </c>
      <c r="D29" s="5433" t="s">
        <v>5312</v>
      </c>
      <c r="E29" s="5438">
        <f t="shared" si="53"/>
      </c>
      <c r="F29" s="5438" t="s">
        <v>5313</v>
      </c>
      <c r="G29" s="5456" t="s">
        <v>5298</v>
      </c>
      <c r="H29" s="5437"/>
      <c r="I29" s="5438" t="s">
        <v>5268</v>
      </c>
      <c r="J29" s="5437"/>
      <c r="K29" s="5428"/>
      <c r="L29" s="5428"/>
      <c r="M29" s="5428"/>
      <c r="N29" s="5428"/>
      <c r="O29" s="5428"/>
      <c r="P29" s="5428"/>
      <c r="Q29" s="5428"/>
      <c r="R29" s="5428"/>
      <c r="S29" s="5428"/>
      <c r="T29" s="5428"/>
      <c r="U29" s="5428"/>
      <c r="V29" s="5428"/>
      <c r="W29" s="5428"/>
      <c r="X29" s="5428"/>
      <c r="Y29" s="5428"/>
    </row>
    <row customHeight="true" ht="18.452380952380953" r="30">
      <c r="A30" s="5458" t="s">
        <v>5300</v>
      </c>
      <c r="B30" s="5462">
        <v>46231</v>
      </c>
      <c r="C30" s="5458" t="str">
        <v>Tuesday</v>
      </c>
      <c r="D30" s="5459" t="s">
        <v>5314</v>
      </c>
      <c r="E30" s="5460">
        <f t="shared" si="53"/>
      </c>
      <c r="F30" s="5460" t="s">
        <v>5298</v>
      </c>
      <c r="G30" s="5466" t="s">
        <v>5311</v>
      </c>
      <c r="H30" s="5460"/>
      <c r="I30" s="5460" t="s">
        <v>5268</v>
      </c>
      <c r="J30" s="5460"/>
      <c r="K30" s="5428"/>
      <c r="L30" s="5428"/>
      <c r="M30" s="5428"/>
      <c r="N30" s="5428"/>
      <c r="O30" s="5428"/>
      <c r="P30" s="5428"/>
      <c r="Q30" s="5428"/>
      <c r="R30" s="5428"/>
      <c r="S30" s="5428"/>
      <c r="T30" s="5428"/>
      <c r="U30" s="5428"/>
      <c r="V30" s="5428"/>
      <c r="W30" s="5428"/>
      <c r="X30" s="5428"/>
      <c r="Y30" s="5428"/>
    </row>
    <row r="31">
      <c r="A31" s="5431" t="s">
        <v>5295</v>
      </c>
      <c r="B31" s="5432">
        <v>46231</v>
      </c>
      <c r="C31" s="5431" t="str">
        <v>Tuesday</v>
      </c>
      <c r="D31" s="5433" t="s">
        <v>5315</v>
      </c>
      <c r="E31" s="5438">
        <f t="shared" si="53"/>
      </c>
      <c r="F31" s="5438" t="s">
        <v>5306</v>
      </c>
      <c r="G31" s="5456" t="s">
        <v>5316</v>
      </c>
      <c r="H31" s="5437"/>
      <c r="I31" s="5438" t="s">
        <v>5268</v>
      </c>
      <c r="J31" s="5437"/>
      <c r="K31" s="5468"/>
      <c r="L31" s="5468"/>
      <c r="M31" s="5468"/>
      <c r="N31" s="5468"/>
      <c r="O31" s="5468"/>
      <c r="P31" s="5468"/>
      <c r="Q31" s="5468"/>
      <c r="R31" s="5468"/>
      <c r="S31" s="5468"/>
      <c r="T31" s="5468"/>
      <c r="U31" s="5468"/>
      <c r="V31" s="5468"/>
      <c r="W31" s="5468"/>
      <c r="X31" s="5468"/>
      <c r="Y31" s="5468"/>
    </row>
    <row r="32">
      <c r="A32" s="5458" t="s">
        <v>5300</v>
      </c>
      <c r="B32" s="5462">
        <v>46231</v>
      </c>
      <c r="C32" s="5458" t="str">
        <v>Tuesday</v>
      </c>
      <c r="D32" s="5459" t="s">
        <v>5315</v>
      </c>
      <c r="E32" s="5460">
        <f t="shared" si="53"/>
      </c>
      <c r="F32" s="5466"/>
      <c r="G32" s="5466" t="s">
        <v>5311</v>
      </c>
      <c r="H32" s="5460"/>
      <c r="I32" s="5460" t="s">
        <v>5268</v>
      </c>
      <c r="J32" s="5460"/>
      <c r="K32" s="5468"/>
      <c r="L32" s="5468"/>
      <c r="M32" s="5468"/>
      <c r="N32" s="5468"/>
      <c r="O32" s="5468"/>
      <c r="P32" s="5468"/>
      <c r="Q32" s="5468"/>
      <c r="R32" s="5468"/>
      <c r="S32" s="5468"/>
      <c r="T32" s="5468"/>
      <c r="U32" s="5468"/>
      <c r="V32" s="5468"/>
      <c r="W32" s="5468"/>
      <c r="X32" s="5468"/>
      <c r="Y32" s="5468"/>
    </row>
    <row customHeight="true" ht="18.452380952380953" r="33">
      <c r="A33" s="5458" t="s">
        <v>5300</v>
      </c>
      <c r="B33" s="5462">
        <v>46231</v>
      </c>
      <c r="C33" s="5458" t="str">
        <v>Tuesday</v>
      </c>
      <c r="D33" s="5459" t="s">
        <v>5317</v>
      </c>
      <c r="E33" s="5460">
        <f t="shared" si="53"/>
      </c>
      <c r="F33" s="5466" t="s">
        <v>5318</v>
      </c>
      <c r="G33" s="5466"/>
      <c r="H33" s="5460"/>
      <c r="I33" s="5460" t="s">
        <v>5268</v>
      </c>
      <c r="J33" s="5460"/>
      <c r="K33" s="5468"/>
      <c r="L33" s="5468"/>
      <c r="M33" s="5468"/>
      <c r="N33" s="5468"/>
      <c r="O33" s="5468"/>
      <c r="P33" s="5468"/>
      <c r="Q33" s="5468"/>
      <c r="R33" s="5468"/>
      <c r="S33" s="5468"/>
      <c r="T33" s="5468"/>
      <c r="U33" s="5468"/>
      <c r="V33" s="5468"/>
      <c r="W33" s="5468"/>
      <c r="X33" s="5468"/>
      <c r="Y33" s="5468"/>
    </row>
    <row customHeight="true" ht="18.452380952380953" r="34">
      <c r="A34" s="5469" t="s">
        <v>5309</v>
      </c>
      <c r="B34" s="5470">
        <v>46231</v>
      </c>
      <c r="C34" s="5469" t="str">
        <v>Tuesday</v>
      </c>
      <c r="D34" s="5471" t="s">
        <v>5319</v>
      </c>
      <c r="E34" s="5472">
        <f t="shared" si="53"/>
      </c>
      <c r="F34" s="5472" t="s">
        <v>5313</v>
      </c>
      <c r="G34" s="5473" t="s">
        <v>5320</v>
      </c>
      <c r="H34" s="5472"/>
      <c r="I34" s="5472" t="s">
        <v>5268</v>
      </c>
      <c r="J34" s="5472"/>
      <c r="K34" s="5468"/>
      <c r="L34" s="5468"/>
      <c r="M34" s="5468"/>
      <c r="N34" s="5468"/>
      <c r="O34" s="5468"/>
      <c r="P34" s="5468"/>
      <c r="Q34" s="5468"/>
      <c r="R34" s="5468"/>
      <c r="S34" s="5468"/>
      <c r="T34" s="5468"/>
      <c r="U34" s="5468"/>
      <c r="V34" s="5468"/>
      <c r="W34" s="5468"/>
      <c r="X34" s="5468"/>
      <c r="Y34" s="5468"/>
    </row>
    <row r="35">
      <c r="A35" s="5431"/>
      <c r="B35" s="5431"/>
      <c r="C35" s="5431"/>
      <c r="D35" s="5438"/>
      <c r="E35" s="5438"/>
      <c r="F35" s="5438"/>
      <c r="G35" s="5467"/>
      <c r="H35" s="5437"/>
      <c r="I35" s="5438"/>
      <c r="J35" s="5437"/>
      <c r="K35" s="5468"/>
      <c r="L35" s="5468"/>
      <c r="M35" s="5468"/>
      <c r="N35" s="5468"/>
      <c r="O35" s="5468"/>
      <c r="P35" s="5468"/>
      <c r="Q35" s="5468"/>
      <c r="R35" s="5468"/>
      <c r="S35" s="5468"/>
      <c r="T35" s="5468"/>
      <c r="U35" s="5468"/>
      <c r="V35" s="5468"/>
      <c r="W35" s="5468"/>
      <c r="X35" s="5468"/>
      <c r="Y35" s="5468"/>
    </row>
    <row r="36">
      <c r="A36" s="5431" t="s">
        <v>5295</v>
      </c>
      <c r="B36" s="5432">
        <v>46232</v>
      </c>
      <c r="C36" s="5431" t="str">
        <v>Wednesday</v>
      </c>
      <c r="D36" s="5433" t="s">
        <v>5321</v>
      </c>
      <c r="E36" s="5438">
        <f t="shared" ref="E36:E43" si="54">24*MOD(TIMEVALUE(TRIM(MID(D36,FIND("-",D36)+1,LEN(D36)))) - TIMEVALUE(TRIM(LEFT(D36,FIND("-",D36)-1))),1)</f>
      </c>
      <c r="F36" s="5438" t="s">
        <v>5297</v>
      </c>
      <c r="G36" s="5456" t="s">
        <v>5298</v>
      </c>
      <c r="H36" s="5457" t="s">
        <v>5299</v>
      </c>
      <c r="I36" s="5438" t="s">
        <v>5268</v>
      </c>
      <c r="J36" s="5438"/>
      <c r="K36" s="5468"/>
      <c r="L36" s="5468"/>
      <c r="M36" s="5468"/>
      <c r="N36" s="5468"/>
      <c r="O36" s="5468"/>
      <c r="P36" s="5468"/>
      <c r="Q36" s="5468"/>
      <c r="R36" s="5468"/>
      <c r="S36" s="5468"/>
      <c r="T36" s="5468"/>
      <c r="U36" s="5468"/>
      <c r="V36" s="5468"/>
      <c r="W36" s="5468"/>
      <c r="X36" s="5468"/>
      <c r="Y36" s="5468"/>
    </row>
    <row customHeight="true" ht="18.452380952380953" r="37">
      <c r="A37" s="5458" t="s">
        <v>5300</v>
      </c>
      <c r="B37" s="5462">
        <v>46232</v>
      </c>
      <c r="C37" s="5458" t="str">
        <v>Wednesday</v>
      </c>
      <c r="D37" s="5459" t="s">
        <v>5321</v>
      </c>
      <c r="E37" s="5460">
        <f t="shared" si="54"/>
      </c>
      <c r="F37" s="5460" t="s">
        <v>5298</v>
      </c>
      <c r="G37" s="5466"/>
      <c r="H37" s="5460"/>
      <c r="I37" s="5460" t="s">
        <v>5268</v>
      </c>
      <c r="J37" s="5460"/>
      <c r="K37" s="5428"/>
      <c r="L37" s="5428"/>
      <c r="M37" s="5428"/>
      <c r="N37" s="5428"/>
      <c r="O37" s="5428"/>
      <c r="P37" s="5428"/>
      <c r="Q37" s="5428"/>
      <c r="R37" s="5428"/>
      <c r="S37" s="5428"/>
      <c r="T37" s="5428"/>
      <c r="U37" s="5428"/>
      <c r="V37" s="5428"/>
      <c r="W37" s="5428"/>
      <c r="X37" s="5428"/>
      <c r="Y37" s="5428"/>
    </row>
    <row r="38">
      <c r="A38" s="5431" t="s">
        <v>5295</v>
      </c>
      <c r="B38" s="5432">
        <v>46232</v>
      </c>
      <c r="C38" s="5431" t="str">
        <v>Wednesday</v>
      </c>
      <c r="D38" s="5433" t="s">
        <v>5296</v>
      </c>
      <c r="E38" s="5438">
        <f t="shared" si="54"/>
      </c>
      <c r="F38" s="5438" t="s">
        <v>5313</v>
      </c>
      <c r="G38" s="5456" t="s">
        <v>5322</v>
      </c>
      <c r="H38" s="5437"/>
      <c r="I38" s="5438" t="s">
        <v>5268</v>
      </c>
      <c r="J38" s="5438"/>
      <c r="K38" s="5428"/>
      <c r="L38" s="5428"/>
      <c r="M38" s="5428"/>
      <c r="N38" s="5428"/>
      <c r="O38" s="5428"/>
      <c r="P38" s="5428"/>
      <c r="Q38" s="5428"/>
      <c r="R38" s="5428"/>
      <c r="S38" s="5428"/>
      <c r="T38" s="5428"/>
      <c r="U38" s="5428"/>
      <c r="V38" s="5428"/>
      <c r="W38" s="5428"/>
      <c r="X38" s="5428"/>
      <c r="Y38" s="5428"/>
    </row>
    <row customHeight="true" ht="18.452380952380953" r="39">
      <c r="A39" s="5431" t="s">
        <v>5295</v>
      </c>
      <c r="B39" s="5432">
        <v>46232</v>
      </c>
      <c r="C39" s="5431" t="str">
        <v>Wednesday</v>
      </c>
      <c r="D39" s="5433" t="s">
        <v>5323</v>
      </c>
      <c r="E39" s="5438">
        <f t="shared" si="54"/>
      </c>
      <c r="F39" s="5438" t="s">
        <v>5302</v>
      </c>
      <c r="G39" s="5456" t="s">
        <v>5303</v>
      </c>
      <c r="H39" s="5437"/>
      <c r="I39" s="5438" t="s">
        <v>5268</v>
      </c>
      <c r="J39" s="5438"/>
      <c r="K39" s="5428"/>
      <c r="L39" s="5428"/>
      <c r="M39" s="5428"/>
      <c r="N39" s="5428"/>
      <c r="O39" s="5428"/>
      <c r="P39" s="5428"/>
      <c r="Q39" s="5428"/>
      <c r="R39" s="5428"/>
      <c r="S39" s="5428"/>
      <c r="T39" s="5428"/>
      <c r="U39" s="5428"/>
      <c r="V39" s="5428"/>
      <c r="W39" s="5428"/>
      <c r="X39" s="5428"/>
      <c r="Y39" s="5428"/>
    </row>
    <row customHeight="true" ht="18.452380952380953" r="40">
      <c r="A40" s="5458" t="s">
        <v>5300</v>
      </c>
      <c r="B40" s="5462">
        <v>46232</v>
      </c>
      <c r="C40" s="5458" t="str">
        <v>Wednesday</v>
      </c>
      <c r="D40" s="5459" t="s">
        <v>5324</v>
      </c>
      <c r="E40" s="5460">
        <f t="shared" si="54"/>
      </c>
      <c r="F40" s="5474"/>
      <c r="G40" s="5466" t="s">
        <v>5311</v>
      </c>
      <c r="H40" s="5460"/>
      <c r="I40" s="5460" t="s">
        <v>5268</v>
      </c>
      <c r="J40" s="5460"/>
      <c r="K40" s="5428"/>
      <c r="L40" s="5428"/>
      <c r="M40" s="5428"/>
      <c r="N40" s="5428"/>
      <c r="O40" s="5428"/>
      <c r="P40" s="5428"/>
      <c r="Q40" s="5428"/>
      <c r="R40" s="5428"/>
      <c r="S40" s="5428"/>
      <c r="T40" s="5428"/>
      <c r="U40" s="5428"/>
      <c r="V40" s="5428"/>
      <c r="W40" s="5428"/>
      <c r="X40" s="5428"/>
      <c r="Y40" s="5428"/>
    </row>
    <row customHeight="true" ht="18.452380952380953" r="41">
      <c r="A41" s="5458" t="s">
        <v>5300</v>
      </c>
      <c r="B41" s="5462">
        <v>46232</v>
      </c>
      <c r="C41" s="5458" t="str">
        <v>Wednesday</v>
      </c>
      <c r="D41" s="5459" t="s">
        <v>5325</v>
      </c>
      <c r="E41" s="5460">
        <f t="shared" si="54"/>
      </c>
      <c r="F41" s="5460" t="s">
        <v>5304</v>
      </c>
      <c r="G41" s="5466"/>
      <c r="H41" s="5460"/>
      <c r="I41" s="5460" t="s">
        <v>5268</v>
      </c>
      <c r="J41" s="5460"/>
      <c r="K41" s="5428"/>
      <c r="L41" s="5428"/>
      <c r="M41" s="5428"/>
      <c r="N41" s="5428"/>
      <c r="O41" s="5428"/>
      <c r="P41" s="5428"/>
      <c r="Q41" s="5428"/>
      <c r="R41" s="5428"/>
      <c r="S41" s="5428"/>
      <c r="T41" s="5428"/>
      <c r="U41" s="5428"/>
      <c r="V41" s="5428"/>
      <c r="W41" s="5428"/>
      <c r="X41" s="5428"/>
      <c r="Y41" s="5428"/>
    </row>
    <row customHeight="true" ht="18.452380952380953" r="42">
      <c r="A42" s="5431" t="s">
        <v>5295</v>
      </c>
      <c r="B42" s="5432">
        <v>46232</v>
      </c>
      <c r="C42" s="5431" t="str">
        <v>Wednesday</v>
      </c>
      <c r="D42" s="5433" t="s">
        <v>5326</v>
      </c>
      <c r="E42" s="5438">
        <f t="shared" si="54"/>
      </c>
      <c r="F42" s="5438" t="s">
        <v>5306</v>
      </c>
      <c r="G42" s="5456" t="s">
        <v>5327</v>
      </c>
      <c r="H42" s="5437"/>
      <c r="I42" s="5438" t="s">
        <v>5268</v>
      </c>
      <c r="J42" s="5438"/>
      <c r="K42" s="5428"/>
      <c r="L42" s="5428"/>
      <c r="M42" s="5428"/>
      <c r="N42" s="5428"/>
      <c r="O42" s="5428"/>
      <c r="P42" s="5428"/>
      <c r="Q42" s="5428"/>
      <c r="R42" s="5428"/>
      <c r="S42" s="5428"/>
      <c r="T42" s="5428"/>
      <c r="U42" s="5428"/>
      <c r="V42" s="5428"/>
      <c r="W42" s="5428"/>
      <c r="X42" s="5428"/>
      <c r="Y42" s="5428"/>
    </row>
    <row r="43">
      <c r="A43" s="5458" t="s">
        <v>5300</v>
      </c>
      <c r="B43" s="5462">
        <v>46232</v>
      </c>
      <c r="C43" s="5458" t="str">
        <v>Wednesday</v>
      </c>
      <c r="D43" s="5459" t="s">
        <v>5305</v>
      </c>
      <c r="E43" s="5460">
        <f t="shared" si="54"/>
      </c>
      <c r="F43" s="5460" t="s">
        <v>5328</v>
      </c>
      <c r="G43" s="5461"/>
      <c r="H43" s="5460"/>
      <c r="I43" s="5460" t="s">
        <v>5268</v>
      </c>
      <c r="J43" s="5460"/>
      <c r="K43" s="5428"/>
      <c r="L43" s="5428"/>
      <c r="M43" s="5428"/>
      <c r="N43" s="5428"/>
      <c r="O43" s="5428"/>
      <c r="P43" s="5428"/>
      <c r="Q43" s="5428"/>
      <c r="R43" s="5428"/>
      <c r="S43" s="5428"/>
      <c r="T43" s="5428"/>
      <c r="U43" s="5428"/>
      <c r="V43" s="5428"/>
      <c r="W43" s="5428"/>
      <c r="X43" s="5428"/>
      <c r="Y43" s="5428"/>
    </row>
    <row r="44">
      <c r="A44" s="5431"/>
      <c r="B44" s="5431"/>
      <c r="C44" s="5431"/>
      <c r="D44" s="5438"/>
      <c r="E44" s="5438"/>
      <c r="F44" s="5438"/>
      <c r="G44" s="5467"/>
      <c r="H44" s="5437"/>
      <c r="I44" s="5438"/>
      <c r="J44" s="5438"/>
      <c r="K44" s="5428"/>
      <c r="L44" s="5428" t="s">
        <v>5329</v>
      </c>
      <c r="M44" s="5428"/>
      <c r="N44" s="5428"/>
      <c r="O44" s="5428"/>
      <c r="P44" s="5428"/>
      <c r="Q44" s="5428"/>
      <c r="R44" s="5428"/>
      <c r="S44" s="5428"/>
      <c r="T44" s="5428"/>
      <c r="U44" s="5428"/>
      <c r="V44" s="5428"/>
      <c r="W44" s="5428"/>
      <c r="X44" s="5428"/>
      <c r="Y44" s="5428"/>
    </row>
    <row r="45">
      <c r="A45" s="5431" t="s">
        <v>5295</v>
      </c>
      <c r="B45" s="5432">
        <v>46233</v>
      </c>
      <c r="C45" s="5431" t="str">
        <v>Thursday</v>
      </c>
      <c r="D45" s="5433" t="s">
        <v>5330</v>
      </c>
      <c r="E45" s="5438">
        <f t="shared" ref="E45:E49" si="55">24*MOD(TIMEVALUE(TRIM(MID(D45,FIND("-",D45)+1,LEN(D45)))) - TIMEVALUE(TRIM(LEFT(D45,FIND("-",D45)-1))),1)</f>
      </c>
      <c r="F45" s="5438" t="s">
        <v>5297</v>
      </c>
      <c r="G45" s="5456" t="s">
        <v>5327</v>
      </c>
      <c r="H45" s="5457" t="s">
        <v>5299</v>
      </c>
      <c r="I45" s="5438" t="s">
        <v>5268</v>
      </c>
      <c r="J45" s="5467"/>
      <c r="K45" s="5428"/>
      <c r="L45" s="5428"/>
      <c r="M45" s="5428"/>
      <c r="N45" s="5428"/>
      <c r="O45" s="5428"/>
      <c r="P45" s="5428"/>
      <c r="Q45" s="5428"/>
      <c r="R45" s="5428"/>
      <c r="S45" s="5428"/>
      <c r="T45" s="5428"/>
      <c r="U45" s="5428"/>
      <c r="V45" s="5428"/>
      <c r="W45" s="5428"/>
      <c r="X45" s="5428"/>
      <c r="Y45" s="5428"/>
    </row>
    <row r="46">
      <c r="A46" s="5431" t="s">
        <v>5295</v>
      </c>
      <c r="B46" s="5432">
        <v>46233</v>
      </c>
      <c r="C46" s="5431" t="str">
        <v>Thursday</v>
      </c>
      <c r="D46" s="5433" t="s">
        <v>5331</v>
      </c>
      <c r="E46" s="5438">
        <f t="shared" si="55"/>
      </c>
      <c r="F46" s="5438" t="s">
        <v>5302</v>
      </c>
      <c r="G46" s="5456" t="s">
        <v>5327</v>
      </c>
      <c r="H46" s="5438"/>
      <c r="I46" s="5438" t="s">
        <v>5268</v>
      </c>
      <c r="J46" s="5467"/>
      <c r="K46" s="5428"/>
      <c r="L46" s="5428"/>
      <c r="M46" s="5428"/>
      <c r="N46" s="5428"/>
      <c r="O46" s="5428"/>
      <c r="P46" s="5428"/>
      <c r="Q46" s="5428"/>
      <c r="R46" s="5428"/>
      <c r="S46" s="5428"/>
      <c r="T46" s="5428"/>
      <c r="U46" s="5428"/>
      <c r="V46" s="5428"/>
      <c r="W46" s="5428"/>
      <c r="X46" s="5428"/>
      <c r="Y46" s="5428"/>
    </row>
    <row r="47">
      <c r="A47" s="5458" t="s">
        <v>5300</v>
      </c>
      <c r="B47" s="5475">
        <v>46233</v>
      </c>
      <c r="C47" s="5458" t="str">
        <v>Thursday</v>
      </c>
      <c r="D47" s="5459" t="s">
        <v>5332</v>
      </c>
      <c r="E47" s="5460">
        <f t="shared" si="55"/>
      </c>
      <c r="F47" s="5460" t="s">
        <v>5328</v>
      </c>
      <c r="G47" s="5461"/>
      <c r="H47" s="5460"/>
      <c r="I47" s="5460" t="s">
        <v>5268</v>
      </c>
      <c r="J47" s="5460"/>
      <c r="K47" s="5428"/>
      <c r="L47" s="5428"/>
      <c r="M47" s="5428"/>
      <c r="N47" s="5428"/>
      <c r="O47" s="5428"/>
      <c r="P47" s="5428"/>
      <c r="Q47" s="5428"/>
      <c r="R47" s="5428"/>
      <c r="S47" s="5428"/>
      <c r="T47" s="5428"/>
      <c r="U47" s="5428"/>
      <c r="V47" s="5428"/>
      <c r="W47" s="5428"/>
      <c r="X47" s="5428"/>
      <c r="Y47" s="5428"/>
    </row>
    <row r="48">
      <c r="A48" s="5431" t="s">
        <v>5295</v>
      </c>
      <c r="B48" s="5432">
        <v>46233</v>
      </c>
      <c r="C48" s="5431" t="str">
        <v>Thursday</v>
      </c>
      <c r="D48" s="5433" t="s">
        <v>5333</v>
      </c>
      <c r="E48" s="5438">
        <f t="shared" si="55"/>
      </c>
      <c r="F48" s="5438" t="s">
        <v>5306</v>
      </c>
      <c r="G48" s="5456" t="s">
        <v>5334</v>
      </c>
      <c r="H48" s="5437"/>
      <c r="I48" s="5438" t="s">
        <v>5268</v>
      </c>
      <c r="J48" s="5438"/>
      <c r="K48" s="5428"/>
      <c r="L48" s="5428"/>
      <c r="M48" s="5428"/>
      <c r="N48" s="5428"/>
      <c r="O48" s="5428"/>
      <c r="P48" s="5428"/>
      <c r="Q48" s="5428"/>
      <c r="R48" s="5428"/>
      <c r="S48" s="5428"/>
      <c r="T48" s="5428"/>
      <c r="U48" s="5428"/>
      <c r="V48" s="5428"/>
      <c r="W48" s="5428"/>
      <c r="X48" s="5428"/>
      <c r="Y48" s="5428"/>
    </row>
    <row customHeight="true" ht="18.452380952380953" r="49">
      <c r="A49" s="5458" t="s">
        <v>5300</v>
      </c>
      <c r="B49" s="5475">
        <v>46233</v>
      </c>
      <c r="C49" s="5458" t="str">
        <v>Thursday</v>
      </c>
      <c r="D49" s="5459" t="s">
        <v>5335</v>
      </c>
      <c r="E49" s="5460">
        <f t="shared" si="55"/>
      </c>
      <c r="F49" s="5460" t="s">
        <v>5308</v>
      </c>
      <c r="G49" s="5461"/>
      <c r="H49" s="5460"/>
      <c r="I49" s="5460" t="s">
        <v>5268</v>
      </c>
      <c r="J49" s="5460"/>
      <c r="K49" s="5428"/>
      <c r="L49" s="5428"/>
      <c r="M49" s="5428"/>
      <c r="N49" s="5428"/>
      <c r="O49" s="5428"/>
      <c r="P49" s="5428"/>
      <c r="Q49" s="5428"/>
      <c r="R49" s="5428"/>
      <c r="S49" s="5428"/>
      <c r="T49" s="5428"/>
      <c r="U49" s="5428"/>
      <c r="V49" s="5428"/>
      <c r="W49" s="5428"/>
      <c r="X49" s="5428"/>
      <c r="Y49" s="5428"/>
    </row>
    <row r="50">
      <c r="A50" s="5431"/>
      <c r="B50" s="5431"/>
      <c r="C50" s="5431"/>
      <c r="D50" s="5438"/>
      <c r="E50" s="5438"/>
      <c r="F50" s="5438"/>
      <c r="G50" s="5467"/>
      <c r="H50" s="5438"/>
      <c r="I50" s="5438"/>
      <c r="J50" s="5438"/>
      <c r="K50" s="5428"/>
      <c r="L50" s="5428"/>
      <c r="M50" s="5428"/>
      <c r="N50" s="5428"/>
      <c r="O50" s="5428"/>
      <c r="P50" s="5428"/>
      <c r="Q50" s="5428"/>
      <c r="R50" s="5428"/>
      <c r="S50" s="5428"/>
      <c r="T50" s="5428"/>
      <c r="U50" s="5428"/>
      <c r="V50" s="5428"/>
      <c r="W50" s="5428"/>
      <c r="X50" s="5428"/>
      <c r="Y50" s="5428"/>
    </row>
    <row r="51">
      <c r="A51" s="5431" t="s">
        <v>5295</v>
      </c>
      <c r="B51" s="5432">
        <v>46234</v>
      </c>
      <c r="C51" s="5431" t="str">
        <v>Friday</v>
      </c>
      <c r="D51" s="5433" t="s">
        <v>5321</v>
      </c>
      <c r="E51" s="5438">
        <f t="shared" ref="E51:E53" si="56">24*MOD(TIMEVALUE(TRIM(MID(D51,FIND("-",D51)+1,LEN(D51)))) - TIMEVALUE(TRIM(LEFT(D51,FIND("-",D51)-1))),1)</f>
      </c>
      <c r="F51" s="5438" t="s">
        <v>5306</v>
      </c>
      <c r="G51" s="5456" t="s">
        <v>5298</v>
      </c>
      <c r="H51" s="5457" t="s">
        <v>5299</v>
      </c>
      <c r="I51" s="5438" t="s">
        <v>5268</v>
      </c>
      <c r="J51" s="5438"/>
      <c r="K51" s="5428"/>
      <c r="L51" s="5428"/>
      <c r="M51" s="5428"/>
      <c r="N51" s="5428"/>
      <c r="O51" s="5428"/>
      <c r="P51" s="5428"/>
      <c r="Q51" s="5428"/>
      <c r="R51" s="5428"/>
      <c r="S51" s="5428"/>
      <c r="T51" s="5428"/>
      <c r="U51" s="5428"/>
      <c r="V51" s="5428"/>
      <c r="W51" s="5428"/>
      <c r="X51" s="5428"/>
      <c r="Y51" s="5428"/>
    </row>
    <row customHeight="true" ht="18.452380952380953" r="52">
      <c r="A52" s="5458" t="s">
        <v>5300</v>
      </c>
      <c r="B52" s="5475">
        <v>46234</v>
      </c>
      <c r="C52" s="5458" t="str">
        <v>Friday</v>
      </c>
      <c r="D52" s="5459" t="s">
        <v>5336</v>
      </c>
      <c r="E52" s="5460">
        <f t="shared" si="56"/>
      </c>
      <c r="F52" s="5474"/>
      <c r="G52" s="5466" t="s">
        <v>5311</v>
      </c>
      <c r="H52" s="5460"/>
      <c r="I52" s="5460" t="s">
        <v>5268</v>
      </c>
      <c r="J52" s="5460"/>
      <c r="K52" s="5428"/>
      <c r="L52" s="5428"/>
      <c r="M52" s="5428"/>
      <c r="N52" s="5428"/>
      <c r="O52" s="5428"/>
      <c r="P52" s="5428"/>
      <c r="Q52" s="5428"/>
      <c r="R52" s="5428"/>
      <c r="S52" s="5428"/>
      <c r="T52" s="5428"/>
      <c r="U52" s="5428"/>
      <c r="V52" s="5428"/>
      <c r="W52" s="5428"/>
      <c r="X52" s="5428"/>
      <c r="Y52" s="5428"/>
    </row>
    <row customHeight="true" ht="18.452380952380953" r="53">
      <c r="A53" s="5458" t="s">
        <v>5300</v>
      </c>
      <c r="B53" s="5475">
        <v>46234</v>
      </c>
      <c r="C53" s="5458" t="str">
        <v>Friday</v>
      </c>
      <c r="D53" s="5459" t="s">
        <v>5337</v>
      </c>
      <c r="E53" s="5460">
        <f t="shared" si="56"/>
      </c>
      <c r="F53" s="5460" t="s">
        <v>5298</v>
      </c>
      <c r="G53" s="5466"/>
      <c r="H53" s="5460"/>
      <c r="I53" s="5460" t="s">
        <v>5268</v>
      </c>
      <c r="J53" s="5460"/>
      <c r="K53" s="5428"/>
      <c r="L53" s="5428"/>
      <c r="M53" s="5428"/>
      <c r="N53" s="5428"/>
      <c r="O53" s="5428"/>
      <c r="P53" s="5428"/>
      <c r="Q53" s="5428"/>
      <c r="R53" s="5428"/>
      <c r="S53" s="5428"/>
      <c r="T53" s="5428"/>
      <c r="U53" s="5428"/>
      <c r="V53" s="5428"/>
      <c r="W53" s="5428"/>
      <c r="X53" s="5428"/>
      <c r="Y53" s="5428"/>
    </row>
    <row r="54">
      <c r="A54" s="5431"/>
      <c r="B54" s="5431"/>
      <c r="C54" s="5431"/>
      <c r="D54" s="5438"/>
      <c r="E54" s="5438"/>
      <c r="F54" s="5438"/>
      <c r="G54" s="5467"/>
      <c r="H54" s="5437"/>
      <c r="I54" s="5438"/>
      <c r="J54" s="5438"/>
      <c r="K54" s="5428"/>
      <c r="L54" s="5428"/>
      <c r="M54" s="5428"/>
      <c r="N54" s="5428"/>
      <c r="O54" s="5428"/>
      <c r="P54" s="5428"/>
      <c r="Q54" s="5428"/>
      <c r="R54" s="5428"/>
      <c r="S54" s="5428"/>
      <c r="T54" s="5428"/>
      <c r="U54" s="5428"/>
      <c r="V54" s="5428"/>
      <c r="W54" s="5428"/>
      <c r="X54" s="5428"/>
      <c r="Y54" s="5428"/>
    </row>
    <row r="55">
      <c r="A55" s="5431" t="s">
        <v>5295</v>
      </c>
      <c r="B55" s="5432">
        <v>46235</v>
      </c>
      <c r="C55" s="5431" t="str">
        <v>Saturday</v>
      </c>
      <c r="D55" s="5433" t="s">
        <v>5330</v>
      </c>
      <c r="E55" s="5438">
        <f t="shared" ref="E55:E57" si="57">24*MOD(TIMEVALUE(TRIM(MID(D55,FIND("-",D55)+1,LEN(D55)))) - TIMEVALUE(TRIM(LEFT(D55,FIND("-",D55)-1))),1)</f>
      </c>
      <c r="F55" s="5438" t="s">
        <v>5306</v>
      </c>
      <c r="G55" s="5456" t="s">
        <v>5327</v>
      </c>
      <c r="H55" s="5457" t="s">
        <v>5299</v>
      </c>
      <c r="I55" s="5438" t="s">
        <v>5268</v>
      </c>
      <c r="J55" s="5438"/>
      <c r="K55" s="5428"/>
      <c r="L55" s="5428"/>
      <c r="M55" s="5428"/>
      <c r="N55" s="5428"/>
      <c r="O55" s="5428"/>
      <c r="P55" s="5428"/>
      <c r="Q55" s="5428"/>
      <c r="R55" s="5428"/>
      <c r="S55" s="5428"/>
      <c r="T55" s="5428"/>
      <c r="U55" s="5428"/>
      <c r="V55" s="5428"/>
      <c r="W55" s="5428"/>
      <c r="X55" s="5428"/>
      <c r="Y55" s="5428"/>
    </row>
    <row r="56">
      <c r="A56" s="5431" t="s">
        <v>5295</v>
      </c>
      <c r="B56" s="5432">
        <v>46235</v>
      </c>
      <c r="C56" s="5431" t="str">
        <v>Saturday</v>
      </c>
      <c r="D56" s="5433" t="s">
        <v>5331</v>
      </c>
      <c r="E56" s="5438">
        <f t="shared" si="57"/>
      </c>
      <c r="F56" s="5438" t="s">
        <v>5313</v>
      </c>
      <c r="G56" s="5456" t="s">
        <v>5327</v>
      </c>
      <c r="H56" s="5438"/>
      <c r="I56" s="5438" t="s">
        <v>5268</v>
      </c>
      <c r="J56" s="5438"/>
      <c r="K56" s="5428"/>
      <c r="L56" s="5428"/>
      <c r="M56" s="5428"/>
      <c r="N56" s="5428"/>
      <c r="O56" s="5428"/>
      <c r="P56" s="5428"/>
      <c r="Q56" s="5428"/>
      <c r="R56" s="5428"/>
      <c r="S56" s="5428"/>
      <c r="T56" s="5428"/>
      <c r="U56" s="5428"/>
      <c r="V56" s="5428"/>
      <c r="W56" s="5428"/>
      <c r="X56" s="5428"/>
      <c r="Y56" s="5428"/>
    </row>
    <row r="57">
      <c r="A57" s="5458" t="s">
        <v>5300</v>
      </c>
      <c r="B57" s="5475">
        <v>46235</v>
      </c>
      <c r="C57" s="5458" t="str">
        <v>Saturday</v>
      </c>
      <c r="D57" s="5459" t="s">
        <v>5338</v>
      </c>
      <c r="E57" s="5460">
        <f t="shared" si="57"/>
      </c>
      <c r="F57" s="5460" t="s">
        <v>5328</v>
      </c>
      <c r="G57" s="5461"/>
      <c r="H57" s="5460"/>
      <c r="I57" s="5460" t="s">
        <v>5268</v>
      </c>
      <c r="J57" s="5460"/>
      <c r="K57" s="5428"/>
      <c r="L57" s="5428"/>
      <c r="M57" s="5428"/>
      <c r="N57" s="5428"/>
      <c r="O57" s="5428"/>
      <c r="P57" s="5428"/>
      <c r="Q57" s="5428"/>
      <c r="R57" s="5428"/>
      <c r="S57" s="5428"/>
      <c r="T57" s="5428"/>
      <c r="U57" s="5428"/>
      <c r="V57" s="5428"/>
      <c r="W57" s="5428"/>
      <c r="X57" s="5428"/>
      <c r="Y57" s="5428"/>
    </row>
    <row r="58">
      <c r="A58" s="5431"/>
      <c r="B58" s="5431"/>
      <c r="C58" s="5431"/>
      <c r="D58" s="5438"/>
      <c r="E58" s="5438"/>
      <c r="F58" s="5438"/>
      <c r="G58" s="5467"/>
      <c r="H58" s="5438"/>
      <c r="I58" s="5438"/>
      <c r="J58" s="5438"/>
      <c r="K58" s="5428"/>
      <c r="L58" s="5428"/>
      <c r="M58" s="5428"/>
      <c r="N58" s="5428"/>
      <c r="O58" s="5428"/>
      <c r="P58" s="5428"/>
      <c r="Q58" s="5428"/>
      <c r="R58" s="5428"/>
      <c r="S58" s="5428"/>
      <c r="T58" s="5428"/>
      <c r="U58" s="5428"/>
      <c r="V58" s="5428"/>
      <c r="W58" s="5428"/>
      <c r="X58" s="5428"/>
      <c r="Y58" s="5428"/>
    </row>
    <row r="59">
      <c r="A59" s="5431" t="s">
        <v>5295</v>
      </c>
      <c r="B59" s="5432">
        <v>46236</v>
      </c>
      <c r="C59" s="5431" t="str">
        <v>Sunday</v>
      </c>
      <c r="D59" s="5433" t="s">
        <v>5339</v>
      </c>
      <c r="E59" s="5438">
        <f t="shared" ref="E59:E61" si="58">24*MOD(TIMEVALUE(TRIM(MID(D59,FIND("-",D59)+1,LEN(D59)))) - TIMEVALUE(TRIM(LEFT(D59,FIND("-",D59)-1))),1)</f>
      </c>
      <c r="F59" s="5438" t="s">
        <v>5302</v>
      </c>
      <c r="G59" s="5456" t="s">
        <v>5298</v>
      </c>
      <c r="H59" s="5457" t="s">
        <v>5299</v>
      </c>
      <c r="I59" s="5438" t="s">
        <v>5268</v>
      </c>
      <c r="J59" s="5438"/>
      <c r="K59" s="5428"/>
      <c r="L59" s="5428"/>
      <c r="M59" s="5428"/>
      <c r="N59" s="5428"/>
      <c r="O59" s="5428"/>
      <c r="P59" s="5428"/>
      <c r="Q59" s="5428"/>
      <c r="R59" s="5428"/>
      <c r="S59" s="5428"/>
      <c r="T59" s="5428"/>
      <c r="U59" s="5428"/>
      <c r="V59" s="5428"/>
      <c r="W59" s="5428"/>
      <c r="X59" s="5428"/>
      <c r="Y59" s="5428"/>
    </row>
    <row r="60">
      <c r="A60" s="5458" t="s">
        <v>5300</v>
      </c>
      <c r="B60" s="5475">
        <v>46236</v>
      </c>
      <c r="C60" s="5458" t="str">
        <v>Sunday</v>
      </c>
      <c r="D60" s="5459" t="s">
        <v>5339</v>
      </c>
      <c r="E60" s="5460">
        <f t="shared" si="58"/>
      </c>
      <c r="F60" s="5460" t="s">
        <v>5298</v>
      </c>
      <c r="G60" s="5461"/>
      <c r="H60" s="5460"/>
      <c r="I60" s="5460" t="s">
        <v>5268</v>
      </c>
      <c r="J60" s="5460"/>
      <c r="K60" s="5428"/>
      <c r="L60" s="5428"/>
      <c r="M60" s="5428"/>
      <c r="N60" s="5428"/>
      <c r="O60" s="5428"/>
      <c r="P60" s="5428"/>
      <c r="Q60" s="5428"/>
      <c r="R60" s="5428"/>
      <c r="S60" s="5428"/>
      <c r="T60" s="5428"/>
      <c r="U60" s="5428"/>
      <c r="V60" s="5428"/>
      <c r="W60" s="5428"/>
      <c r="X60" s="5428"/>
      <c r="Y60" s="5428"/>
    </row>
    <row customHeight="true" ht="18.452380952380953" r="61">
      <c r="A61" s="5458" t="s">
        <v>5309</v>
      </c>
      <c r="B61" s="5475">
        <v>46236</v>
      </c>
      <c r="C61" s="5458" t="str">
        <v>Sunday</v>
      </c>
      <c r="D61" s="5459" t="s">
        <v>5340</v>
      </c>
      <c r="E61" s="5460">
        <f t="shared" si="58"/>
      </c>
      <c r="F61" s="5460" t="s">
        <v>5298</v>
      </c>
      <c r="G61" s="5466" t="s">
        <v>5341</v>
      </c>
      <c r="H61" s="5460"/>
      <c r="I61" s="5460" t="s">
        <v>5268</v>
      </c>
      <c r="J61" s="5460"/>
      <c r="K61" s="5428"/>
      <c r="L61" s="5428"/>
      <c r="M61" s="5428"/>
      <c r="N61" s="5428"/>
      <c r="O61" s="5428"/>
      <c r="P61" s="5428"/>
      <c r="Q61" s="5428"/>
      <c r="R61" s="5428"/>
      <c r="S61" s="5428"/>
      <c r="T61" s="5428"/>
      <c r="U61" s="5428"/>
      <c r="V61" s="5428"/>
      <c r="W61" s="5428"/>
      <c r="X61" s="5428"/>
      <c r="Y61" s="5428"/>
    </row>
    <row r="62">
      <c r="A62" s="5431"/>
      <c r="B62" s="5431"/>
      <c r="C62" s="5431"/>
      <c r="D62" s="5438"/>
      <c r="E62" s="5438"/>
      <c r="F62" s="5438"/>
      <c r="G62" s="5467"/>
      <c r="H62" s="5437"/>
      <c r="I62" s="5438"/>
      <c r="J62" s="5438"/>
      <c r="K62" s="5428"/>
      <c r="L62" s="5428"/>
      <c r="M62" s="5428"/>
      <c r="N62" s="5428"/>
      <c r="O62" s="5428"/>
      <c r="P62" s="5428"/>
      <c r="Q62" s="5428"/>
      <c r="R62" s="5428"/>
      <c r="S62" s="5428"/>
      <c r="T62" s="5428"/>
      <c r="U62" s="5428"/>
      <c r="V62" s="5428"/>
      <c r="W62" s="5428"/>
      <c r="X62" s="5428"/>
      <c r="Y62" s="5428"/>
    </row>
    <row r="63">
      <c r="A63" s="5431"/>
      <c r="B63" s="5431"/>
      <c r="C63" s="5431"/>
      <c r="D63" s="5438"/>
      <c r="E63" s="5438"/>
      <c r="F63" s="5438"/>
      <c r="G63" s="5467"/>
      <c r="H63" s="5438"/>
      <c r="I63" s="5438"/>
      <c r="J63" s="5438"/>
      <c r="K63" s="5428"/>
      <c r="L63" s="5428"/>
      <c r="M63" s="5428"/>
      <c r="N63" s="5428"/>
      <c r="O63" s="5428"/>
      <c r="P63" s="5428"/>
      <c r="Q63" s="5428"/>
      <c r="R63" s="5428"/>
      <c r="S63" s="5428"/>
      <c r="T63" s="5428"/>
      <c r="U63" s="5428"/>
      <c r="V63" s="5428"/>
      <c r="W63" s="5428"/>
      <c r="X63" s="5428"/>
      <c r="Y63" s="5428"/>
    </row>
    <row r="64">
      <c r="A64" s="5428"/>
      <c r="B64" s="5428"/>
      <c r="C64" s="5428"/>
      <c r="D64" s="5428"/>
      <c r="E64" s="5428"/>
      <c r="F64" s="5428"/>
      <c r="G64" s="5428"/>
      <c r="H64" s="5428"/>
      <c r="I64" s="5428"/>
      <c r="J64" s="5428"/>
      <c r="K64" s="5428"/>
      <c r="L64" s="5428"/>
      <c r="M64" s="5428"/>
      <c r="N64" s="5428"/>
      <c r="O64" s="5428"/>
      <c r="P64" s="5428"/>
      <c r="Q64" s="5428"/>
      <c r="R64" s="5428"/>
      <c r="S64" s="5428"/>
      <c r="T64" s="5428"/>
      <c r="U64" s="5428"/>
      <c r="V64" s="5428"/>
      <c r="W64" s="5428"/>
      <c r="X64" s="5428"/>
      <c r="Y64" s="5428"/>
    </row>
    <row r="65">
      <c r="A65" s="5428"/>
      <c r="B65" s="5428"/>
      <c r="C65" s="5428"/>
      <c r="D65" s="5428"/>
      <c r="E65" s="5428"/>
      <c r="F65" s="5428"/>
      <c r="G65" s="5428"/>
      <c r="H65" s="5428"/>
      <c r="I65" s="5428"/>
      <c r="J65" s="5428"/>
      <c r="K65" s="5428"/>
      <c r="L65" s="5428"/>
      <c r="M65" s="5428"/>
      <c r="N65" s="5428"/>
      <c r="O65" s="5428"/>
      <c r="P65" s="5428"/>
      <c r="Q65" s="5428"/>
      <c r="R65" s="5428"/>
      <c r="S65" s="5428"/>
      <c r="T65" s="5428"/>
      <c r="U65" s="5428"/>
      <c r="V65" s="5428"/>
      <c r="W65" s="5428"/>
      <c r="X65" s="5428"/>
      <c r="Y65" s="5428"/>
    </row>
    <row r="66">
      <c r="A66" s="5476" t="s">
        <v>5342</v>
      </c>
      <c r="B66" s="5476"/>
      <c r="C66" s="5476"/>
      <c r="D66" s="5476"/>
      <c r="E66" s="5476"/>
      <c r="F66" s="5476"/>
      <c r="G66" s="5477"/>
      <c r="H66" s="5477"/>
      <c r="I66" s="5477"/>
      <c r="J66" s="5477"/>
      <c r="K66" s="5478"/>
      <c r="L66" s="5478"/>
      <c r="M66" s="5478"/>
      <c r="N66" s="5478"/>
      <c r="O66" s="5426"/>
      <c r="P66" s="5426"/>
      <c r="Q66" s="5426"/>
      <c r="R66" s="5426"/>
      <c r="S66" s="5426"/>
      <c r="T66" s="5426"/>
      <c r="U66" s="5428"/>
      <c r="V66" s="5428"/>
      <c r="W66" s="5428"/>
      <c r="X66" s="5428"/>
      <c r="Y66" s="5428"/>
    </row>
    <row r="67">
      <c r="A67" s="5479" t="s">
        <v>5277</v>
      </c>
      <c r="B67" s="5480" t="s">
        <v>5278</v>
      </c>
      <c r="C67" s="5480"/>
      <c r="D67" s="5481" t="s">
        <v>5279</v>
      </c>
      <c r="E67" s="5481" t="s">
        <v>5280</v>
      </c>
      <c r="F67" s="5479" t="s">
        <v>5281</v>
      </c>
      <c r="G67" s="5482" t="s">
        <v>5294</v>
      </c>
      <c r="H67" s="5479" t="s">
        <v>5283</v>
      </c>
      <c r="I67" s="5479" t="s">
        <v>5284</v>
      </c>
      <c r="J67" s="5479" t="s">
        <v>5285</v>
      </c>
      <c r="K67" s="5478"/>
      <c r="L67" s="5478"/>
      <c r="M67" s="5478"/>
      <c r="N67" s="5478"/>
      <c r="O67" s="5426"/>
      <c r="P67" s="5426"/>
      <c r="Q67" s="5426"/>
      <c r="R67" s="5426"/>
      <c r="S67" s="5426"/>
      <c r="T67" s="5426"/>
      <c r="U67" s="5428"/>
      <c r="V67" s="5428"/>
      <c r="W67" s="5428"/>
      <c r="X67" s="5428"/>
      <c r="Y67" s="5428"/>
    </row>
    <row r="68">
      <c r="A68" s="5439" t="s">
        <v>5342</v>
      </c>
      <c r="B68" s="5432">
        <v>46230</v>
      </c>
      <c r="C68" s="5439" t="str">
        <v>Monday</v>
      </c>
      <c r="D68" s="5483" t="s">
        <v>5343</v>
      </c>
      <c r="E68" s="5457">
        <f t="shared" ref="E68:E75" si="59">24*MOD(TIMEVALUE(TRIM(MID(D68,FIND("-",D68)+1,LEN(D68)))) - TIMEVALUE(TRIM(LEFT(D68,FIND("-",D68)-1))),1)</f>
      </c>
      <c r="F68" s="5484" t="s">
        <v>5297</v>
      </c>
      <c r="G68" s="5485"/>
      <c r="H68" s="5457" t="s">
        <v>5299</v>
      </c>
      <c r="I68" s="5438" t="s">
        <v>5268</v>
      </c>
      <c r="J68" s="5457"/>
      <c r="K68" s="5478"/>
      <c r="L68" s="5478"/>
      <c r="M68" s="5478"/>
      <c r="N68" s="5478"/>
      <c r="O68" s="5426"/>
      <c r="P68" s="5426"/>
      <c r="Q68" s="5426"/>
      <c r="R68" s="5426"/>
      <c r="S68" s="5426"/>
      <c r="T68" s="5426"/>
      <c r="U68" s="5427"/>
      <c r="V68" s="5427"/>
      <c r="W68" s="5427"/>
      <c r="X68" s="5427"/>
      <c r="Y68" s="5427"/>
    </row>
    <row r="69">
      <c r="A69" s="5439" t="s">
        <v>5342</v>
      </c>
      <c r="B69" s="5431">
        <v>46231</v>
      </c>
      <c r="C69" s="5439" t="str">
        <v>Tuesday</v>
      </c>
      <c r="D69" s="5457" t="s">
        <v>5344</v>
      </c>
      <c r="E69" s="5457">
        <f t="shared" si="59"/>
      </c>
      <c r="F69" s="5484" t="s">
        <v>5345</v>
      </c>
      <c r="G69" s="5485"/>
      <c r="H69" s="5457" t="s">
        <v>5299</v>
      </c>
      <c r="I69" s="5438" t="s">
        <v>5268</v>
      </c>
      <c r="J69" s="5457"/>
      <c r="K69" s="5478"/>
      <c r="L69" s="5478"/>
      <c r="M69" s="5478"/>
      <c r="N69" s="5478"/>
      <c r="O69" s="5426"/>
      <c r="P69" s="5426"/>
      <c r="Q69" s="5426"/>
      <c r="R69" s="5426"/>
      <c r="S69" s="5426"/>
      <c r="T69" s="5426"/>
      <c r="U69" s="5427"/>
      <c r="V69" s="5427"/>
      <c r="W69" s="5427"/>
      <c r="X69" s="5427"/>
      <c r="Y69" s="5427"/>
    </row>
    <row r="70">
      <c r="A70" s="5431" t="s">
        <v>5342</v>
      </c>
      <c r="B70" s="5431">
        <v>46232</v>
      </c>
      <c r="C70" s="5431" t="str">
        <v>Wednesday</v>
      </c>
      <c r="D70" s="5438" t="s">
        <v>5344</v>
      </c>
      <c r="E70" s="5438">
        <f t="shared" si="59"/>
      </c>
      <c r="F70" s="5437" t="s">
        <v>5345</v>
      </c>
      <c r="G70" s="5486"/>
      <c r="H70" s="5438" t="s">
        <v>5299</v>
      </c>
      <c r="I70" s="5438" t="s">
        <v>5268</v>
      </c>
      <c r="J70" s="5438"/>
      <c r="K70" s="5478"/>
      <c r="L70" s="5478"/>
      <c r="M70" s="5478"/>
      <c r="N70" s="5478"/>
      <c r="O70" s="5426"/>
      <c r="P70" s="5426"/>
      <c r="Q70" s="5426"/>
      <c r="R70" s="5426"/>
      <c r="S70" s="5426"/>
      <c r="T70" s="5426"/>
      <c r="U70" s="5428"/>
      <c r="V70" s="5428"/>
      <c r="W70" s="5428"/>
      <c r="X70" s="5428"/>
      <c r="Y70" s="5428"/>
    </row>
    <row r="71">
      <c r="A71" s="5431" t="s">
        <v>5342</v>
      </c>
      <c r="B71" s="5431">
        <v>46233</v>
      </c>
      <c r="C71" s="5431" t="str">
        <v>Thursday</v>
      </c>
      <c r="D71" s="5433" t="s">
        <v>5346</v>
      </c>
      <c r="E71" s="5438">
        <f t="shared" si="59"/>
      </c>
      <c r="F71" s="5437" t="s">
        <v>5297</v>
      </c>
      <c r="G71" s="5486"/>
      <c r="H71" s="5438" t="s">
        <v>5299</v>
      </c>
      <c r="I71" s="5438" t="s">
        <v>5268</v>
      </c>
      <c r="J71" s="5438"/>
      <c r="K71" s="5478"/>
      <c r="L71" s="5478"/>
      <c r="M71" s="5478"/>
      <c r="N71" s="5478"/>
      <c r="O71" s="5426"/>
      <c r="P71" s="5426"/>
      <c r="Q71" s="5426"/>
      <c r="R71" s="5426"/>
      <c r="S71" s="5426"/>
      <c r="T71" s="5426"/>
      <c r="U71" s="5428"/>
      <c r="V71" s="5428"/>
      <c r="W71" s="5428"/>
      <c r="X71" s="5428"/>
      <c r="Y71" s="5428"/>
    </row>
    <row r="72">
      <c r="A72" s="5487" t="s">
        <v>5342</v>
      </c>
      <c r="B72" s="5431">
        <v>46234</v>
      </c>
      <c r="C72" s="5487" t="str">
        <v>Friday</v>
      </c>
      <c r="D72" s="5488" t="s">
        <v>5344</v>
      </c>
      <c r="E72" s="5488">
        <f t="shared" si="59"/>
      </c>
      <c r="F72" s="5437" t="s">
        <v>5297</v>
      </c>
      <c r="G72" s="5489"/>
      <c r="H72" s="5488" t="s">
        <v>5299</v>
      </c>
      <c r="I72" s="5438" t="s">
        <v>5268</v>
      </c>
      <c r="J72" s="5488"/>
      <c r="K72" s="5478"/>
      <c r="L72" s="5478"/>
      <c r="M72" s="5478"/>
      <c r="N72" s="5478"/>
      <c r="O72" s="5426"/>
      <c r="P72" s="5426"/>
      <c r="Q72" s="5426"/>
      <c r="R72" s="5426"/>
      <c r="S72" s="5426"/>
      <c r="T72" s="5426"/>
      <c r="U72" s="5428"/>
      <c r="V72" s="5428"/>
      <c r="W72" s="5428"/>
      <c r="X72" s="5428"/>
      <c r="Y72" s="5428"/>
    </row>
    <row r="73">
      <c r="A73" s="5490" t="s">
        <v>5342</v>
      </c>
      <c r="B73" s="5491">
        <v>46234</v>
      </c>
      <c r="C73" s="5490" t="str">
        <v>Friday</v>
      </c>
      <c r="D73" s="5492" t="s">
        <v>5347</v>
      </c>
      <c r="E73" s="5493">
        <f t="shared" si="59"/>
      </c>
      <c r="F73" s="5494" t="s">
        <v>5348</v>
      </c>
      <c r="G73" s="5495"/>
      <c r="H73" s="5493" t="s">
        <v>5299</v>
      </c>
      <c r="I73" s="5494" t="s">
        <v>5268</v>
      </c>
      <c r="J73" s="5496" t="s">
        <v>5349</v>
      </c>
      <c r="K73" s="5478"/>
      <c r="L73" s="5478"/>
      <c r="M73" s="5478"/>
      <c r="N73" s="5478"/>
      <c r="O73" s="5426"/>
      <c r="P73" s="5426"/>
      <c r="Q73" s="5426"/>
      <c r="R73" s="5426"/>
      <c r="S73" s="5426"/>
      <c r="T73" s="5426"/>
      <c r="U73" s="5428"/>
      <c r="V73" s="5428"/>
      <c r="W73" s="5428"/>
      <c r="X73" s="5428"/>
      <c r="Y73" s="5428"/>
    </row>
    <row r="74">
      <c r="A74" s="5431" t="s">
        <v>5342</v>
      </c>
      <c r="B74" s="5431">
        <v>46235</v>
      </c>
      <c r="C74" s="5431" t="str">
        <v>Saturday</v>
      </c>
      <c r="D74" s="5496" t="s">
        <v>5346</v>
      </c>
      <c r="E74" s="5438">
        <f t="shared" si="59"/>
      </c>
      <c r="F74" s="5437" t="s">
        <v>5345</v>
      </c>
      <c r="G74" s="5486"/>
      <c r="H74" s="5438" t="s">
        <v>5299</v>
      </c>
      <c r="I74" s="5438" t="s">
        <v>5268</v>
      </c>
      <c r="J74" s="5438"/>
      <c r="K74" s="5478"/>
      <c r="L74" s="5478"/>
      <c r="M74" s="5478"/>
      <c r="N74" s="5478"/>
      <c r="O74" s="5426"/>
      <c r="P74" s="5426"/>
      <c r="Q74" s="5426"/>
      <c r="R74" s="5426"/>
      <c r="S74" s="5426"/>
      <c r="T74" s="5426"/>
      <c r="U74" s="5428"/>
      <c r="V74" s="5428"/>
      <c r="W74" s="5428"/>
      <c r="X74" s="5428"/>
      <c r="Y74" s="5428"/>
    </row>
    <row r="75">
      <c r="A75" s="5431" t="s">
        <v>5342</v>
      </c>
      <c r="B75" s="5431">
        <v>46236</v>
      </c>
      <c r="C75" s="5431" t="str">
        <v>Sunday</v>
      </c>
      <c r="D75" s="5496" t="s">
        <v>5350</v>
      </c>
      <c r="E75" s="5438">
        <f t="shared" si="59"/>
      </c>
      <c r="F75" s="5437" t="s">
        <v>5313</v>
      </c>
      <c r="G75" s="5486"/>
      <c r="H75" s="5438" t="s">
        <v>5299</v>
      </c>
      <c r="I75" s="5438" t="s">
        <v>5268</v>
      </c>
      <c r="J75" s="5438"/>
      <c r="K75" s="5478"/>
      <c r="L75" s="5478"/>
      <c r="M75" s="5478"/>
      <c r="N75" s="5478"/>
      <c r="O75" s="5426"/>
      <c r="P75" s="5426"/>
      <c r="Q75" s="5426"/>
      <c r="R75" s="5426"/>
      <c r="S75" s="5426"/>
      <c r="T75" s="5426"/>
      <c r="U75" s="5428"/>
      <c r="V75" s="5428"/>
      <c r="W75" s="5428"/>
      <c r="X75" s="5428"/>
      <c r="Y75" s="5428"/>
    </row>
    <row customHeight="true" ht="14.880952380952381" r="76">
      <c r="A76" s="5428"/>
      <c r="B76" s="5428"/>
      <c r="C76" s="5428"/>
      <c r="D76" s="5428"/>
      <c r="E76" s="5428"/>
      <c r="F76" s="5428"/>
      <c r="G76" s="5428"/>
      <c r="H76" s="5428"/>
      <c r="I76" s="5428"/>
      <c r="J76" s="5428"/>
      <c r="K76" s="5428"/>
      <c r="L76" s="5428"/>
      <c r="M76" s="5428"/>
      <c r="N76" s="5428"/>
      <c r="O76" s="5428"/>
      <c r="P76" s="5428"/>
      <c r="Q76" s="5428"/>
      <c r="R76" s="5428"/>
      <c r="S76" s="5428"/>
      <c r="T76" s="5428"/>
      <c r="U76" s="5428"/>
      <c r="V76" s="5428"/>
      <c r="W76" s="5428"/>
      <c r="X76" s="5428"/>
      <c r="Y76" s="5428"/>
    </row>
    <row r="77">
      <c r="A77" s="5431" t="s">
        <v>5351</v>
      </c>
      <c r="B77" s="5432">
        <v>46230</v>
      </c>
      <c r="C77" s="5439" t="str">
        <v>Monday</v>
      </c>
      <c r="D77" s="5483" t="s">
        <v>5352</v>
      </c>
      <c r="E77" s="5457">
        <f t="shared" ref="E77:E83" si="60">24*MOD(TIMEVALUE(TRIM(MID(D77,FIND("-",D77)+1,LEN(D77)))) - TIMEVALUE(TRIM(LEFT(D77,FIND("-",D77)-1))),1)</f>
      </c>
      <c r="F77" s="5438" t="s">
        <v>5353</v>
      </c>
      <c r="G77" s="5497" t="s">
        <v>5354</v>
      </c>
      <c r="H77" s="5457" t="s">
        <v>5299</v>
      </c>
      <c r="I77" s="5438" t="s">
        <v>5268</v>
      </c>
      <c r="J77" s="5438"/>
      <c r="K77" s="5478"/>
      <c r="L77" s="5478"/>
      <c r="M77" s="5478"/>
      <c r="N77" s="5478"/>
      <c r="O77" s="5426"/>
      <c r="P77" s="5426"/>
      <c r="Q77" s="5426"/>
      <c r="R77" s="5426"/>
      <c r="S77" s="5426"/>
      <c r="T77" s="5426"/>
      <c r="U77" s="5428"/>
      <c r="V77" s="5428"/>
      <c r="W77" s="5428"/>
      <c r="X77" s="5428"/>
      <c r="Y77" s="5428"/>
    </row>
    <row r="78">
      <c r="A78" s="5431" t="s">
        <v>5351</v>
      </c>
      <c r="B78" s="5431">
        <v>46231</v>
      </c>
      <c r="C78" s="5439" t="str">
        <v>Tuesday</v>
      </c>
      <c r="D78" s="5483" t="s">
        <v>5355</v>
      </c>
      <c r="E78" s="5457">
        <f t="shared" si="60"/>
      </c>
      <c r="F78" s="5437" t="s">
        <v>5348</v>
      </c>
      <c r="G78" s="5497" t="s">
        <v>5356</v>
      </c>
      <c r="H78" s="5438" t="s">
        <v>5299</v>
      </c>
      <c r="I78" s="5438" t="s">
        <v>5268</v>
      </c>
      <c r="J78" s="5438"/>
      <c r="K78" s="5478"/>
      <c r="L78" s="5478"/>
      <c r="M78" s="5478"/>
      <c r="N78" s="5478"/>
      <c r="O78" s="5426"/>
      <c r="P78" s="5426"/>
      <c r="Q78" s="5426"/>
      <c r="R78" s="5426"/>
      <c r="S78" s="5426"/>
      <c r="T78" s="5426"/>
      <c r="U78" s="5428"/>
      <c r="V78" s="5428"/>
      <c r="W78" s="5428"/>
      <c r="X78" s="5428"/>
      <c r="Y78" s="5428"/>
    </row>
    <row r="79">
      <c r="A79" s="5431" t="s">
        <v>5351</v>
      </c>
      <c r="B79" s="5431">
        <v>46232</v>
      </c>
      <c r="C79" s="5431" t="str">
        <v>Wednesday</v>
      </c>
      <c r="D79" s="5483" t="s">
        <v>5355</v>
      </c>
      <c r="E79" s="5438">
        <f t="shared" si="60"/>
      </c>
      <c r="F79" s="5438" t="s">
        <v>5353</v>
      </c>
      <c r="G79" s="5497" t="s">
        <v>5356</v>
      </c>
      <c r="H79" s="5438" t="s">
        <v>5299</v>
      </c>
      <c r="I79" s="5438" t="s">
        <v>5268</v>
      </c>
      <c r="J79" s="5438"/>
      <c r="K79" s="5478"/>
      <c r="L79" s="5478"/>
      <c r="M79" s="5478"/>
      <c r="N79" s="5478"/>
      <c r="O79" s="5426"/>
      <c r="P79" s="5426"/>
      <c r="Q79" s="5426"/>
      <c r="R79" s="5426"/>
      <c r="S79" s="5426"/>
      <c r="T79" s="5426"/>
      <c r="U79" s="5428"/>
      <c r="V79" s="5428"/>
      <c r="W79" s="5428"/>
      <c r="X79" s="5428"/>
      <c r="Y79" s="5428"/>
    </row>
    <row r="80">
      <c r="A80" s="5431" t="s">
        <v>5351</v>
      </c>
      <c r="B80" s="5431">
        <v>46233</v>
      </c>
      <c r="C80" s="5498" t="str">
        <v>Thursday</v>
      </c>
      <c r="D80" s="5499" t="s">
        <v>5357</v>
      </c>
      <c r="E80" s="5500">
        <f t="shared" si="60"/>
      </c>
      <c r="F80" s="5501" t="s">
        <v>5353</v>
      </c>
      <c r="G80" s="5497" t="s">
        <v>5358</v>
      </c>
      <c r="H80" s="5438" t="s">
        <v>5299</v>
      </c>
      <c r="I80" s="5438" t="s">
        <v>5268</v>
      </c>
      <c r="J80" s="5438"/>
      <c r="K80" s="5478"/>
      <c r="L80" s="5502" t="s">
        <v>5329</v>
      </c>
      <c r="M80" s="5478"/>
      <c r="N80" s="5478"/>
      <c r="O80" s="5426"/>
      <c r="P80" s="5426"/>
      <c r="Q80" s="5426"/>
      <c r="R80" s="5426"/>
      <c r="S80" s="5426"/>
      <c r="T80" s="5426"/>
      <c r="U80" s="5428"/>
      <c r="V80" s="5428"/>
      <c r="W80" s="5428"/>
      <c r="X80" s="5428"/>
      <c r="Y80" s="5428"/>
    </row>
    <row r="81">
      <c r="A81" s="5431" t="s">
        <v>5351</v>
      </c>
      <c r="B81" s="5431">
        <v>46234</v>
      </c>
      <c r="C81" s="5487" t="str">
        <v>Friday</v>
      </c>
      <c r="D81" s="5496" t="s">
        <v>5359</v>
      </c>
      <c r="E81" s="5488">
        <f t="shared" si="60"/>
      </c>
      <c r="F81" s="5501" t="s">
        <v>5360</v>
      </c>
      <c r="G81" s="5497" t="s">
        <v>5356</v>
      </c>
      <c r="H81" s="5438" t="s">
        <v>5299</v>
      </c>
      <c r="I81" s="5438" t="s">
        <v>5268</v>
      </c>
      <c r="J81" s="5457"/>
      <c r="K81" s="5428"/>
      <c r="L81" s="5428"/>
      <c r="M81" s="5428"/>
      <c r="N81" s="5428"/>
      <c r="O81" s="5428"/>
      <c r="P81" s="5428"/>
      <c r="Q81" s="5428"/>
      <c r="R81" s="5428"/>
      <c r="S81" s="5428"/>
      <c r="T81" s="5428"/>
      <c r="U81" s="5428"/>
      <c r="V81" s="5428"/>
      <c r="W81" s="5428"/>
      <c r="X81" s="5428"/>
      <c r="Y81" s="5428"/>
    </row>
    <row r="82">
      <c r="A82" s="5431" t="s">
        <v>5351</v>
      </c>
      <c r="B82" s="5431">
        <v>46235</v>
      </c>
      <c r="C82" s="5431" t="str">
        <v>Saturday</v>
      </c>
      <c r="D82" s="5503" t="s">
        <v>5361</v>
      </c>
      <c r="E82" s="5438">
        <f t="shared" si="60"/>
      </c>
      <c r="F82" s="5501" t="s">
        <v>5360</v>
      </c>
      <c r="G82" s="5497" t="s">
        <v>5358</v>
      </c>
      <c r="H82" s="5438" t="s">
        <v>5299</v>
      </c>
      <c r="I82" s="5438" t="s">
        <v>5268</v>
      </c>
      <c r="J82" s="5504"/>
      <c r="K82" s="5428"/>
      <c r="L82" s="5428"/>
      <c r="M82" s="5428"/>
      <c r="N82" s="5428"/>
      <c r="O82" s="5428"/>
      <c r="P82" s="5428"/>
      <c r="Q82" s="5428"/>
      <c r="R82" s="5428"/>
      <c r="S82" s="5428"/>
      <c r="T82" s="5428"/>
      <c r="U82" s="5428"/>
      <c r="V82" s="5428"/>
      <c r="W82" s="5428"/>
      <c r="X82" s="5428"/>
      <c r="Y82" s="5428"/>
    </row>
    <row r="83">
      <c r="A83" s="5431" t="s">
        <v>5351</v>
      </c>
      <c r="B83" s="5431">
        <v>46236</v>
      </c>
      <c r="C83" s="5431" t="str">
        <v>Sunday</v>
      </c>
      <c r="D83" s="5496" t="s">
        <v>5362</v>
      </c>
      <c r="E83" s="5438">
        <f t="shared" si="60"/>
      </c>
      <c r="F83" s="5501" t="s">
        <v>5360</v>
      </c>
      <c r="G83" s="5497" t="s">
        <v>5363</v>
      </c>
      <c r="H83" s="5438" t="s">
        <v>5299</v>
      </c>
      <c r="I83" s="5438" t="s">
        <v>5268</v>
      </c>
      <c r="J83" s="5504"/>
      <c r="K83" s="5428"/>
      <c r="L83" s="5428"/>
      <c r="M83" s="5428"/>
      <c r="N83" s="5428"/>
      <c r="O83" s="5428"/>
      <c r="P83" s="5428"/>
      <c r="Q83" s="5428"/>
      <c r="R83" s="5428"/>
      <c r="S83" s="5428"/>
      <c r="T83" s="5428"/>
      <c r="U83" s="5428"/>
      <c r="V83" s="5428"/>
      <c r="W83" s="5428"/>
      <c r="X83" s="5428"/>
      <c r="Y83" s="5428"/>
    </row>
    <row r="84">
      <c r="A84" s="5428"/>
      <c r="B84" s="5428"/>
      <c r="C84" s="5428"/>
      <c r="D84" s="5428"/>
      <c r="E84" s="5428"/>
      <c r="F84" s="5428"/>
      <c r="G84" s="5428"/>
      <c r="H84" s="5428"/>
      <c r="I84" s="5428"/>
      <c r="J84" s="5428"/>
      <c r="K84" s="5428"/>
      <c r="L84" s="5428"/>
      <c r="M84" s="5428"/>
      <c r="N84" s="5428"/>
      <c r="O84" s="5428"/>
      <c r="P84" s="5428"/>
      <c r="Q84" s="5428"/>
      <c r="R84" s="5428"/>
      <c r="S84" s="5428"/>
      <c r="T84" s="5428"/>
      <c r="U84" s="5428"/>
      <c r="V84" s="5428"/>
      <c r="W84" s="5428"/>
      <c r="X84" s="5428"/>
      <c r="Y84" s="5428"/>
    </row>
    <row r="85">
      <c r="A85" s="5505" t="s">
        <v>5364</v>
      </c>
      <c r="B85" s="5505"/>
      <c r="C85" s="5505"/>
      <c r="D85" s="5505"/>
      <c r="E85" s="5505"/>
      <c r="F85" s="5505"/>
      <c r="G85" s="5506"/>
      <c r="H85" s="5506"/>
      <c r="I85" s="5506"/>
      <c r="J85" s="5506"/>
      <c r="K85" s="5478"/>
      <c r="L85" s="5478"/>
      <c r="M85" s="5478"/>
      <c r="N85" s="5478"/>
      <c r="O85" s="5426"/>
      <c r="P85" s="5426"/>
      <c r="Q85" s="5426"/>
      <c r="R85" s="5426"/>
      <c r="S85" s="5426"/>
      <c r="T85" s="5426"/>
      <c r="U85" s="5427"/>
      <c r="V85" s="5427"/>
      <c r="W85" s="5427"/>
      <c r="X85" s="5427"/>
      <c r="Y85" s="5427"/>
    </row>
    <row r="86">
      <c r="A86" s="5507" t="s">
        <v>5277</v>
      </c>
      <c r="B86" s="5508" t="s">
        <v>5278</v>
      </c>
      <c r="C86" s="5508"/>
      <c r="D86" s="5509" t="s">
        <v>5279</v>
      </c>
      <c r="E86" s="5509" t="s">
        <v>5280</v>
      </c>
      <c r="F86" s="5509" t="s">
        <v>5281</v>
      </c>
      <c r="G86" s="5510" t="s">
        <v>5294</v>
      </c>
      <c r="H86" s="5507" t="s">
        <v>5283</v>
      </c>
      <c r="I86" s="5507" t="s">
        <v>5284</v>
      </c>
      <c r="J86" s="5507" t="s">
        <v>5285</v>
      </c>
      <c r="K86" s="5478"/>
      <c r="L86" s="5478"/>
      <c r="M86" s="5478"/>
      <c r="N86" s="5478"/>
      <c r="O86" s="5426"/>
      <c r="P86" s="5426"/>
      <c r="Q86" s="5426"/>
      <c r="R86" s="5426"/>
      <c r="S86" s="5426"/>
      <c r="T86" s="5426"/>
      <c r="U86" s="5428"/>
      <c r="V86" s="5428"/>
      <c r="W86" s="5428"/>
      <c r="X86" s="5428"/>
      <c r="Y86" s="5428"/>
    </row>
    <row customHeight="true" ht="18.452380952380953" r="87">
      <c r="A87" s="5431" t="s">
        <v>5365</v>
      </c>
      <c r="B87" s="5511">
        <v>46235</v>
      </c>
      <c r="C87" s="5511" t="str">
        <v>Saturday</v>
      </c>
      <c r="D87" s="5512" t="s">
        <v>5366</v>
      </c>
      <c r="E87" s="5513">
        <f>24*MOD(TIMEVALUE(TRIM(MID(D87,FIND("-",D87)+1,LEN(D87)))) - TIMEVALUE(TRIM(LEFT(D87,FIND("-",D87)-1))),1)</f>
      </c>
      <c r="F87" s="5438" t="s">
        <v>5367</v>
      </c>
      <c r="G87" s="5436"/>
      <c r="H87" s="5438" t="s">
        <v>5299</v>
      </c>
      <c r="I87" s="5438" t="s">
        <v>5268</v>
      </c>
      <c r="J87" s="5438"/>
      <c r="K87" s="5478"/>
      <c r="L87" s="5478"/>
      <c r="M87" s="5478"/>
      <c r="N87" s="5478"/>
      <c r="O87" s="5426"/>
      <c r="P87" s="5426"/>
      <c r="Q87" s="5426"/>
      <c r="R87" s="5426"/>
      <c r="S87" s="5426"/>
      <c r="T87" s="5426"/>
      <c r="U87" s="5427"/>
      <c r="V87" s="5427"/>
      <c r="W87" s="5427"/>
      <c r="X87" s="5427"/>
      <c r="Y87" s="5427"/>
    </row>
    <row customHeight="true" ht="14.880952380952381" r="88"/>
    <row customHeight="true" ht="18.452380952380953" r="89">
      <c r="A89" s="5431" t="s">
        <v>5364</v>
      </c>
      <c r="B89" s="5431">
        <v>46230</v>
      </c>
      <c r="C89" s="5431" t="str">
        <v>Monday</v>
      </c>
      <c r="D89" s="5514" t="s">
        <v>5368</v>
      </c>
      <c r="E89" s="5438">
        <f t="shared" ref="E89:E96" si="61">24*MOD(TIMEVALUE(TRIM(MID(D89,FIND("-",D89)+1,LEN(D89)))) - TIMEVALUE(TRIM(LEFT(D89,FIND("-",D89)-1))),1)</f>
      </c>
      <c r="F89" s="5438" t="s">
        <v>5369</v>
      </c>
      <c r="G89" s="5436" t="s">
        <v>5370</v>
      </c>
      <c r="H89" s="5438" t="s">
        <v>5299</v>
      </c>
      <c r="I89" s="5438" t="s">
        <v>5268</v>
      </c>
      <c r="J89" s="5438"/>
      <c r="K89" s="5478"/>
      <c r="L89" s="5478"/>
      <c r="M89" s="5478"/>
      <c r="N89" s="5478"/>
      <c r="O89" s="5426"/>
      <c r="P89" s="5426"/>
      <c r="Q89" s="5426"/>
      <c r="R89" s="5426"/>
      <c r="S89" s="5426"/>
      <c r="T89" s="5426"/>
      <c r="U89" s="5427"/>
      <c r="V89" s="5427"/>
      <c r="W89" s="5427"/>
      <c r="X89" s="5427"/>
      <c r="Y89" s="5427"/>
    </row>
    <row r="90">
      <c r="A90" s="5431" t="s">
        <v>5364</v>
      </c>
      <c r="B90" s="5431">
        <v>46231</v>
      </c>
      <c r="C90" s="5431" t="str">
        <v>Tuesday</v>
      </c>
      <c r="D90" s="5514" t="s">
        <v>5368</v>
      </c>
      <c r="E90" s="5438">
        <f t="shared" si="61"/>
      </c>
      <c r="F90" s="5438" t="s">
        <v>5369</v>
      </c>
      <c r="G90" s="5436" t="s">
        <v>5371</v>
      </c>
      <c r="H90" s="5438" t="s">
        <v>5299</v>
      </c>
      <c r="I90" s="5438" t="s">
        <v>5268</v>
      </c>
      <c r="J90" s="5438"/>
      <c r="K90" s="5478"/>
      <c r="L90" s="5478"/>
      <c r="M90" s="5478"/>
      <c r="N90" s="5478"/>
      <c r="O90" s="5426"/>
      <c r="P90" s="5426"/>
      <c r="Q90" s="5426"/>
      <c r="R90" s="5426"/>
      <c r="S90" s="5426"/>
      <c r="T90" s="5426"/>
      <c r="U90" s="5427"/>
      <c r="V90" s="5427"/>
      <c r="W90" s="5427"/>
      <c r="X90" s="5427"/>
      <c r="Y90" s="5427"/>
    </row>
    <row r="91">
      <c r="A91" s="5431" t="s">
        <v>5364</v>
      </c>
      <c r="B91" s="5431">
        <v>46232</v>
      </c>
      <c r="C91" s="5431" t="str">
        <v>Wednesday</v>
      </c>
      <c r="D91" s="5514" t="s">
        <v>5368</v>
      </c>
      <c r="E91" s="5438">
        <f t="shared" si="61"/>
      </c>
      <c r="F91" s="5438" t="s">
        <v>5372</v>
      </c>
      <c r="G91" s="5436" t="s">
        <v>5373</v>
      </c>
      <c r="H91" s="5438" t="s">
        <v>5299</v>
      </c>
      <c r="I91" s="5438" t="s">
        <v>5268</v>
      </c>
      <c r="J91" s="5438"/>
      <c r="K91" s="5478"/>
      <c r="L91" s="5478"/>
      <c r="M91" s="5478"/>
      <c r="N91" s="5478"/>
      <c r="O91" s="5426"/>
      <c r="P91" s="5426"/>
      <c r="Q91" s="5426"/>
      <c r="R91" s="5426"/>
      <c r="S91" s="5426"/>
      <c r="T91" s="5426"/>
      <c r="U91" s="5427"/>
      <c r="V91" s="5427"/>
      <c r="W91" s="5427"/>
      <c r="X91" s="5427"/>
      <c r="Y91" s="5427"/>
    </row>
    <row r="92">
      <c r="A92" s="5439" t="s">
        <v>5364</v>
      </c>
      <c r="B92" s="5439">
        <v>46233</v>
      </c>
      <c r="C92" s="5439" t="str">
        <v>Thursday</v>
      </c>
      <c r="D92" s="5515" t="s">
        <v>5374</v>
      </c>
      <c r="E92" s="5457">
        <f t="shared" si="61"/>
      </c>
      <c r="F92" s="5438" t="s">
        <v>5372</v>
      </c>
      <c r="G92" s="5516" t="s">
        <v>5371</v>
      </c>
      <c r="H92" s="5457" t="s">
        <v>5299</v>
      </c>
      <c r="I92" s="5438" t="s">
        <v>5268</v>
      </c>
      <c r="J92" s="5438"/>
      <c r="K92" s="5478"/>
      <c r="L92" s="5478"/>
      <c r="M92" s="5478"/>
      <c r="N92" s="5478"/>
      <c r="O92" s="5426"/>
      <c r="P92" s="5426"/>
      <c r="Q92" s="5426"/>
      <c r="R92" s="5426"/>
      <c r="S92" s="5426"/>
      <c r="T92" s="5426"/>
      <c r="U92" s="5427"/>
      <c r="V92" s="5427"/>
      <c r="W92" s="5427"/>
      <c r="X92" s="5427"/>
      <c r="Y92" s="5427"/>
    </row>
    <row r="93">
      <c r="A93" s="5441" t="s">
        <v>5364</v>
      </c>
      <c r="B93" s="5441">
        <v>46234</v>
      </c>
      <c r="C93" s="5441" t="str">
        <v>Friday</v>
      </c>
      <c r="D93" s="5517" t="s">
        <v>5368</v>
      </c>
      <c r="E93" s="5518">
        <f t="shared" si="61"/>
      </c>
      <c r="F93" s="5438" t="s">
        <v>5372</v>
      </c>
      <c r="G93" s="5519" t="s">
        <v>5375</v>
      </c>
      <c r="H93" s="5518" t="s">
        <v>5299</v>
      </c>
      <c r="I93" s="5438" t="s">
        <v>5268</v>
      </c>
      <c r="J93" s="5520"/>
      <c r="K93" s="5478"/>
      <c r="L93" s="5478"/>
      <c r="M93" s="5478"/>
      <c r="N93" s="5478"/>
      <c r="O93" s="5426"/>
      <c r="P93" s="5426"/>
      <c r="Q93" s="5426"/>
      <c r="R93" s="5426"/>
      <c r="S93" s="5426"/>
      <c r="T93" s="5426"/>
      <c r="U93" s="5427"/>
      <c r="V93" s="5427"/>
      <c r="W93" s="5427"/>
      <c r="X93" s="5427"/>
      <c r="Y93" s="5427"/>
    </row>
    <row r="94">
      <c r="A94" s="5491" t="s">
        <v>5364</v>
      </c>
      <c r="B94" s="5491">
        <v>46235</v>
      </c>
      <c r="C94" s="5491" t="str">
        <v>Saturday</v>
      </c>
      <c r="D94" s="5521" t="s">
        <v>5374</v>
      </c>
      <c r="E94" s="5494">
        <f t="shared" si="61"/>
      </c>
      <c r="F94" s="5494" t="s">
        <v>5372</v>
      </c>
      <c r="G94" s="5522" t="s">
        <v>5376</v>
      </c>
      <c r="H94" s="5494" t="s">
        <v>5299</v>
      </c>
      <c r="I94" s="5494" t="s">
        <v>5268</v>
      </c>
      <c r="J94" s="5438"/>
      <c r="K94" s="5478"/>
      <c r="L94" s="5478"/>
      <c r="M94" s="5478"/>
      <c r="N94" s="5478"/>
      <c r="O94" s="5426"/>
      <c r="P94" s="5426"/>
      <c r="Q94" s="5426"/>
      <c r="R94" s="5426"/>
      <c r="S94" s="5426"/>
      <c r="T94" s="5426"/>
      <c r="U94" s="5427"/>
      <c r="V94" s="5427"/>
      <c r="W94" s="5427"/>
      <c r="X94" s="5427"/>
      <c r="Y94" s="5427"/>
    </row>
    <row customHeight="true" ht="18.452380952380953" r="95">
      <c r="A95" s="5511" t="s">
        <v>5364</v>
      </c>
      <c r="B95" s="5511">
        <v>46235</v>
      </c>
      <c r="C95" s="5511" t="str">
        <v>Saturday</v>
      </c>
      <c r="D95" s="5523" t="s">
        <v>5377</v>
      </c>
      <c r="E95" s="5513">
        <f t="shared" si="61"/>
      </c>
      <c r="F95" s="5438" t="s">
        <v>5367</v>
      </c>
      <c r="G95" s="5519" t="s">
        <v>5376</v>
      </c>
      <c r="H95" s="5518" t="s">
        <v>5299</v>
      </c>
      <c r="I95" s="5438" t="s">
        <v>5268</v>
      </c>
      <c r="J95" s="5524"/>
      <c r="K95" s="5427"/>
      <c r="L95" s="5427"/>
      <c r="M95" s="5427"/>
      <c r="N95" s="5427"/>
      <c r="O95" s="5427"/>
      <c r="P95" s="5427"/>
      <c r="Q95" s="5427"/>
      <c r="R95" s="5427"/>
      <c r="S95" s="5427"/>
      <c r="T95" s="5427"/>
      <c r="U95" s="5427"/>
      <c r="V95" s="5427"/>
      <c r="W95" s="5427"/>
      <c r="X95" s="5427"/>
      <c r="Y95" s="5427"/>
    </row>
    <row r="96">
      <c r="A96" s="5441" t="s">
        <v>5364</v>
      </c>
      <c r="B96" s="5441">
        <v>46236</v>
      </c>
      <c r="C96" s="5441" t="str">
        <v>Sunday</v>
      </c>
      <c r="D96" s="5517" t="s">
        <v>5378</v>
      </c>
      <c r="E96" s="5518">
        <f t="shared" si="61"/>
      </c>
      <c r="F96" s="5518" t="s">
        <v>5369</v>
      </c>
      <c r="G96" s="5519" t="s">
        <v>5360</v>
      </c>
      <c r="H96" s="5518" t="s">
        <v>5299</v>
      </c>
      <c r="I96" s="5438" t="s">
        <v>5268</v>
      </c>
      <c r="J96" s="5524"/>
      <c r="K96" s="5427"/>
      <c r="L96" s="5427"/>
      <c r="M96" s="5427"/>
      <c r="N96" s="5427"/>
      <c r="O96" s="5427"/>
      <c r="P96" s="5427"/>
      <c r="Q96" s="5427"/>
      <c r="R96" s="5427"/>
      <c r="S96" s="5427"/>
      <c r="T96" s="5427"/>
      <c r="U96" s="5427"/>
      <c r="V96" s="5427"/>
      <c r="W96" s="5427"/>
      <c r="X96" s="5427"/>
      <c r="Y96" s="5427"/>
    </row>
    <row customHeight="true" ht="14.880952380952381" r="97">
      <c r="A97" s="5428"/>
      <c r="B97" s="5428"/>
      <c r="C97" s="5428"/>
      <c r="D97" s="5428"/>
      <c r="E97" s="5428"/>
      <c r="F97" s="5428"/>
      <c r="G97" s="5428"/>
      <c r="H97" s="5428"/>
      <c r="I97" s="5428"/>
      <c r="J97" s="5428"/>
      <c r="K97" s="5428"/>
      <c r="L97" s="5428"/>
      <c r="M97" s="5428"/>
      <c r="N97" s="5428"/>
      <c r="O97" s="5428"/>
      <c r="P97" s="5428"/>
      <c r="Q97" s="5428"/>
      <c r="R97" s="5428"/>
      <c r="S97" s="5428"/>
      <c r="T97" s="5428"/>
      <c r="U97" s="5428"/>
      <c r="V97" s="5428"/>
      <c r="W97" s="5428"/>
      <c r="X97" s="5428"/>
      <c r="Y97" s="5428"/>
    </row>
    <row customHeight="true" ht="18.452380952380953" r="98">
      <c r="A98" s="5431" t="s">
        <v>5379</v>
      </c>
      <c r="B98" s="5431">
        <v>46230</v>
      </c>
      <c r="C98" s="5431" t="str">
        <v>Monday</v>
      </c>
      <c r="D98" s="5514" t="s">
        <v>5380</v>
      </c>
      <c r="E98" s="5438">
        <f t="shared" ref="E98:E105" si="62">24*MOD(TIMEVALUE(TRIM(MID(D98,FIND("-",D98)+1,LEN(D98)))) - TIMEVALUE(TRIM(LEFT(D98,FIND("-",D98)-1))),1)</f>
      </c>
      <c r="F98" s="5438" t="s">
        <v>5298</v>
      </c>
      <c r="G98" s="5456" t="s">
        <v>5381</v>
      </c>
      <c r="H98" s="5438" t="s">
        <v>5299</v>
      </c>
      <c r="I98" s="5438" t="s">
        <v>5268</v>
      </c>
      <c r="J98" s="5438"/>
      <c r="K98" s="5427"/>
      <c r="L98" s="5427"/>
      <c r="M98" s="5427"/>
      <c r="N98" s="5427"/>
      <c r="O98" s="5427"/>
      <c r="P98" s="5427"/>
      <c r="Q98" s="5427"/>
      <c r="R98" s="5427"/>
      <c r="S98" s="5427"/>
      <c r="T98" s="5427"/>
      <c r="U98" s="5427"/>
      <c r="V98" s="5427"/>
      <c r="W98" s="5427"/>
      <c r="X98" s="5427"/>
      <c r="Y98" s="5427"/>
    </row>
    <row r="99">
      <c r="A99" s="5431" t="s">
        <v>5379</v>
      </c>
      <c r="B99" s="5431">
        <v>46231</v>
      </c>
      <c r="C99" s="5431" t="str">
        <v>Tuesday</v>
      </c>
      <c r="D99" s="5512" t="s">
        <v>5382</v>
      </c>
      <c r="E99" s="5438">
        <f t="shared" si="62"/>
      </c>
      <c r="F99" s="5438" t="s">
        <v>5348</v>
      </c>
      <c r="G99" s="5456" t="s">
        <v>5381</v>
      </c>
      <c r="H99" s="5438" t="s">
        <v>5299</v>
      </c>
      <c r="I99" s="5438" t="s">
        <v>5268</v>
      </c>
      <c r="J99" s="5438"/>
      <c r="K99" s="5427"/>
      <c r="L99" s="5427"/>
      <c r="M99" s="5427"/>
      <c r="N99" s="5427"/>
      <c r="O99" s="5427"/>
      <c r="P99" s="5427"/>
      <c r="Q99" s="5427"/>
      <c r="R99" s="5427"/>
      <c r="S99" s="5427"/>
      <c r="T99" s="5427"/>
      <c r="U99" s="5427"/>
      <c r="V99" s="5427"/>
      <c r="W99" s="5427"/>
      <c r="X99" s="5427"/>
      <c r="Y99" s="5427"/>
    </row>
    <row r="100">
      <c r="A100" s="5431" t="s">
        <v>5379</v>
      </c>
      <c r="B100" s="5431">
        <v>46232</v>
      </c>
      <c r="C100" s="5431" t="str">
        <v>Wednesday</v>
      </c>
      <c r="D100" s="5514" t="s">
        <v>5383</v>
      </c>
      <c r="E100" s="5438">
        <f t="shared" si="62"/>
      </c>
      <c r="F100" s="5513" t="s">
        <v>5384</v>
      </c>
      <c r="G100" s="5456" t="s">
        <v>5381</v>
      </c>
      <c r="H100" s="5438" t="s">
        <v>5299</v>
      </c>
      <c r="I100" s="5438" t="s">
        <v>5268</v>
      </c>
      <c r="J100" s="5438"/>
      <c r="K100" s="5427"/>
      <c r="L100" s="5427"/>
      <c r="M100" s="5427"/>
      <c r="N100" s="5427"/>
      <c r="O100" s="5427"/>
      <c r="P100" s="5427"/>
      <c r="Q100" s="5427"/>
      <c r="R100" s="5427"/>
      <c r="S100" s="5427"/>
      <c r="T100" s="5427"/>
      <c r="U100" s="5427"/>
      <c r="V100" s="5427"/>
      <c r="W100" s="5427"/>
      <c r="X100" s="5427"/>
      <c r="Y100" s="5427"/>
    </row>
    <row r="101">
      <c r="A101" s="5431" t="s">
        <v>5379</v>
      </c>
      <c r="B101" s="5431">
        <v>46233</v>
      </c>
      <c r="C101" s="5431" t="str">
        <v>Thursday</v>
      </c>
      <c r="D101" s="5512" t="s">
        <v>5385</v>
      </c>
      <c r="E101" s="5438">
        <f t="shared" si="62"/>
      </c>
      <c r="F101" s="5457" t="s">
        <v>5348</v>
      </c>
      <c r="G101" s="5456" t="s">
        <v>5386</v>
      </c>
      <c r="H101" s="5438" t="s">
        <v>5299</v>
      </c>
      <c r="I101" s="5438" t="s">
        <v>5268</v>
      </c>
      <c r="J101" s="5488"/>
      <c r="K101" s="5427"/>
      <c r="L101" s="5427"/>
      <c r="M101" s="5427"/>
      <c r="N101" s="5427"/>
      <c r="O101" s="5427"/>
      <c r="P101" s="5427"/>
      <c r="Q101" s="5427"/>
      <c r="R101" s="5427"/>
      <c r="S101" s="5427"/>
      <c r="T101" s="5427"/>
      <c r="U101" s="5427"/>
      <c r="V101" s="5427"/>
      <c r="W101" s="5427"/>
      <c r="X101" s="5427"/>
      <c r="Y101" s="5427"/>
    </row>
    <row customHeight="true" ht="18.452380952380953" r="102">
      <c r="A102" s="5431" t="s">
        <v>5379</v>
      </c>
      <c r="B102" s="5431">
        <v>46233</v>
      </c>
      <c r="C102" s="5431" t="str">
        <v>Thursday</v>
      </c>
      <c r="D102" s="5512" t="s">
        <v>5387</v>
      </c>
      <c r="E102" s="5438">
        <f t="shared" si="62"/>
      </c>
      <c r="F102" s="5457" t="s">
        <v>5308</v>
      </c>
      <c r="G102" s="5456" t="s">
        <v>5386</v>
      </c>
      <c r="H102" s="5438" t="s">
        <v>5299</v>
      </c>
      <c r="I102" s="5438" t="s">
        <v>5268</v>
      </c>
      <c r="J102" s="5488"/>
      <c r="K102" s="5427"/>
      <c r="L102" s="5427"/>
      <c r="M102" s="5427"/>
      <c r="N102" s="5427"/>
      <c r="O102" s="5427"/>
      <c r="P102" s="5427"/>
      <c r="Q102" s="5427"/>
      <c r="R102" s="5427"/>
      <c r="S102" s="5427"/>
      <c r="T102" s="5427"/>
      <c r="U102" s="5427"/>
      <c r="V102" s="5427"/>
      <c r="W102" s="5427"/>
      <c r="X102" s="5427"/>
      <c r="Y102" s="5427"/>
    </row>
    <row r="103">
      <c r="A103" s="5431" t="s">
        <v>5379</v>
      </c>
      <c r="B103" s="5431">
        <v>46234</v>
      </c>
      <c r="C103" s="5439" t="str">
        <v>Friday</v>
      </c>
      <c r="D103" s="5512" t="s">
        <v>5388</v>
      </c>
      <c r="E103" s="5457">
        <f t="shared" si="62"/>
      </c>
      <c r="F103" s="5518" t="s">
        <v>5348</v>
      </c>
      <c r="G103" s="5456" t="s">
        <v>5381</v>
      </c>
      <c r="H103" s="5438" t="s">
        <v>5299</v>
      </c>
      <c r="I103" s="5438" t="s">
        <v>5268</v>
      </c>
      <c r="J103" s="5488"/>
      <c r="K103" s="5427"/>
      <c r="L103" s="5427"/>
      <c r="M103" s="5427"/>
      <c r="N103" s="5427"/>
      <c r="O103" s="5427"/>
      <c r="P103" s="5427"/>
      <c r="Q103" s="5427"/>
      <c r="R103" s="5427"/>
      <c r="S103" s="5427"/>
      <c r="T103" s="5427"/>
      <c r="U103" s="5427"/>
      <c r="V103" s="5427"/>
      <c r="W103" s="5427"/>
      <c r="X103" s="5427"/>
      <c r="Y103" s="5427"/>
    </row>
    <row r="104">
      <c r="A104" s="5511" t="s">
        <v>5379</v>
      </c>
      <c r="B104" s="5511">
        <v>46235</v>
      </c>
      <c r="C104" s="5511" t="str">
        <v>Saturday</v>
      </c>
      <c r="D104" s="5523" t="s">
        <v>5389</v>
      </c>
      <c r="E104" s="5513">
        <f t="shared" si="62"/>
      </c>
      <c r="F104" s="5513" t="s">
        <v>5298</v>
      </c>
      <c r="G104" s="5525" t="s">
        <v>5386</v>
      </c>
      <c r="H104" s="5513" t="s">
        <v>5299</v>
      </c>
      <c r="I104" s="5513" t="s">
        <v>5268</v>
      </c>
      <c r="J104" s="5496"/>
      <c r="K104" s="5427"/>
      <c r="L104" s="5427"/>
      <c r="M104" s="5427"/>
      <c r="N104" s="5427"/>
      <c r="O104" s="5427"/>
      <c r="P104" s="5427"/>
      <c r="Q104" s="5427"/>
      <c r="R104" s="5427"/>
      <c r="S104" s="5427"/>
      <c r="T104" s="5427"/>
      <c r="U104" s="5427"/>
      <c r="V104" s="5427"/>
      <c r="W104" s="5427"/>
      <c r="X104" s="5427"/>
      <c r="Y104" s="5427"/>
    </row>
    <row r="105">
      <c r="A105" s="5431" t="s">
        <v>5379</v>
      </c>
      <c r="B105" s="5431">
        <v>46236</v>
      </c>
      <c r="C105" s="5487" t="str">
        <v>Sunday</v>
      </c>
      <c r="D105" s="5517" t="s">
        <v>5390</v>
      </c>
      <c r="E105" s="5488">
        <f t="shared" si="62"/>
      </c>
      <c r="F105" s="5501" t="s">
        <v>5360</v>
      </c>
      <c r="G105" s="5456" t="s">
        <v>5391</v>
      </c>
      <c r="H105" s="5438" t="s">
        <v>5299</v>
      </c>
      <c r="I105" s="5438" t="s">
        <v>5268</v>
      </c>
      <c r="J105" s="5488"/>
      <c r="K105" s="5427"/>
      <c r="L105" s="5427"/>
      <c r="M105" s="5427"/>
      <c r="N105" s="5427"/>
      <c r="O105" s="5427"/>
      <c r="P105" s="5427"/>
      <c r="Q105" s="5427"/>
      <c r="R105" s="5427"/>
      <c r="S105" s="5427"/>
      <c r="T105" s="5427"/>
      <c r="U105" s="5427"/>
      <c r="V105" s="5427"/>
      <c r="W105" s="5427"/>
      <c r="X105" s="5427"/>
      <c r="Y105" s="5427"/>
    </row>
    <row r="106">
      <c r="A106" s="5428"/>
      <c r="B106" s="5428"/>
      <c r="C106" s="5428"/>
      <c r="D106" s="5428"/>
      <c r="E106" s="5428"/>
      <c r="F106" s="5428"/>
      <c r="G106" s="5428"/>
      <c r="H106" s="5428"/>
      <c r="I106" s="5428"/>
      <c r="J106" s="5428"/>
      <c r="K106" s="5428"/>
      <c r="L106" s="5428"/>
      <c r="M106" s="5428"/>
      <c r="N106" s="5428"/>
      <c r="O106" s="5428"/>
      <c r="P106" s="5428"/>
      <c r="Q106" s="5428"/>
      <c r="R106" s="5428"/>
      <c r="S106" s="5428"/>
      <c r="T106" s="5428"/>
      <c r="U106" s="5428"/>
      <c r="V106" s="5428"/>
      <c r="W106" s="5428"/>
      <c r="X106" s="5428"/>
      <c r="Y106" s="5428"/>
    </row>
    <row r="107">
      <c r="A107" s="5526" t="s">
        <v>5392</v>
      </c>
      <c r="B107" s="5526"/>
      <c r="C107" s="5526"/>
      <c r="D107" s="5526"/>
      <c r="E107" s="5526"/>
      <c r="F107" s="5526"/>
      <c r="G107" s="5527"/>
      <c r="H107" s="5527"/>
      <c r="I107" s="5527"/>
      <c r="J107" s="5527"/>
      <c r="K107" s="5478"/>
      <c r="L107" s="5478"/>
      <c r="M107" s="5478"/>
      <c r="N107" s="5478"/>
      <c r="O107" s="5426"/>
      <c r="P107" s="5426"/>
      <c r="Q107" s="5426"/>
      <c r="R107" s="5426"/>
      <c r="S107" s="5426"/>
      <c r="T107" s="5426"/>
      <c r="U107" s="5427"/>
      <c r="V107" s="5427"/>
      <c r="W107" s="5427"/>
      <c r="X107" s="5427"/>
      <c r="Y107" s="5427"/>
    </row>
    <row r="108">
      <c r="A108" s="5528" t="s">
        <v>5277</v>
      </c>
      <c r="B108" s="5529" t="s">
        <v>5278</v>
      </c>
      <c r="C108" s="5529"/>
      <c r="D108" s="5530" t="s">
        <v>5279</v>
      </c>
      <c r="E108" s="5530" t="s">
        <v>5280</v>
      </c>
      <c r="F108" s="5530" t="s">
        <v>5281</v>
      </c>
      <c r="G108" s="5531" t="s">
        <v>5294</v>
      </c>
      <c r="H108" s="5528" t="s">
        <v>5283</v>
      </c>
      <c r="I108" s="5528" t="s">
        <v>5284</v>
      </c>
      <c r="J108" s="5528" t="s">
        <v>5285</v>
      </c>
      <c r="K108" s="5478"/>
      <c r="L108" s="5478"/>
      <c r="M108" s="5478"/>
      <c r="N108" s="5478"/>
      <c r="O108" s="5426"/>
      <c r="P108" s="5426"/>
      <c r="Q108" s="5426"/>
      <c r="R108" s="5426"/>
      <c r="S108" s="5426"/>
      <c r="T108" s="5426"/>
      <c r="U108" s="5428"/>
      <c r="V108" s="5428"/>
      <c r="W108" s="5428"/>
      <c r="X108" s="5428"/>
      <c r="Y108" s="5428"/>
    </row>
    <row customHeight="true" ht="18.452380952380953" r="109">
      <c r="A109" s="5431" t="s">
        <v>5393</v>
      </c>
      <c r="B109" s="5432">
        <v>46230</v>
      </c>
      <c r="C109" s="5431" t="str">
        <v>Monday</v>
      </c>
      <c r="D109" s="5515" t="s">
        <v>5394</v>
      </c>
      <c r="E109" s="5438">
        <f t="shared" ref="E109:E112" si="63">24*MOD(TIMEVALUE(TRIM(MID(D109,FIND("-",D109)+1,LEN(D109)))) - TIMEVALUE(TRIM(LEFT(D109,FIND("-",D109)-1))),1)</f>
      </c>
      <c r="F109" s="5513" t="s">
        <v>5313</v>
      </c>
      <c r="G109" s="5532"/>
      <c r="H109" s="5438" t="s">
        <v>5299</v>
      </c>
      <c r="I109" s="5438" t="s">
        <v>5268</v>
      </c>
      <c r="J109" s="5438"/>
      <c r="K109" s="5478"/>
      <c r="L109" s="5478"/>
      <c r="M109" s="5478"/>
      <c r="N109" s="5478"/>
      <c r="O109" s="5426"/>
      <c r="P109" s="5426"/>
      <c r="Q109" s="5426"/>
      <c r="R109" s="5426"/>
      <c r="S109" s="5426"/>
      <c r="T109" s="5426"/>
      <c r="U109" s="5427"/>
      <c r="V109" s="5427"/>
      <c r="W109" s="5427"/>
      <c r="X109" s="5427"/>
      <c r="Y109" s="5427"/>
    </row>
    <row customHeight="true" ht="18.452380952380953" r="110">
      <c r="A110" s="5439" t="s">
        <v>5393</v>
      </c>
      <c r="B110" s="5431">
        <v>46232</v>
      </c>
      <c r="C110" s="5439" t="str">
        <v>Wednesday</v>
      </c>
      <c r="D110" s="5515" t="s">
        <v>5395</v>
      </c>
      <c r="E110" s="5457">
        <f t="shared" si="63"/>
      </c>
      <c r="F110" s="5533" t="s">
        <v>5313</v>
      </c>
      <c r="G110" s="5534"/>
      <c r="H110" s="5438" t="s">
        <v>5299</v>
      </c>
      <c r="I110" s="5438" t="s">
        <v>5268</v>
      </c>
      <c r="J110" s="5438"/>
      <c r="K110" s="5478"/>
      <c r="L110" s="5478"/>
      <c r="M110" s="5478"/>
      <c r="N110" s="5478"/>
      <c r="O110" s="5426"/>
      <c r="P110" s="5426"/>
      <c r="Q110" s="5426"/>
      <c r="R110" s="5426"/>
      <c r="S110" s="5426"/>
      <c r="T110" s="5426"/>
      <c r="U110" s="5427"/>
      <c r="V110" s="5427"/>
      <c r="W110" s="5427"/>
      <c r="X110" s="5427"/>
      <c r="Y110" s="5427"/>
    </row>
    <row customHeight="true" ht="18.452380952380953" r="111">
      <c r="A111" s="5439" t="s">
        <v>5393</v>
      </c>
      <c r="B111" s="5432">
        <v>46236</v>
      </c>
      <c r="C111" s="5439" t="str">
        <v>Sunday</v>
      </c>
      <c r="D111" s="5515" t="s">
        <v>5396</v>
      </c>
      <c r="E111" s="5457">
        <f t="shared" si="63"/>
      </c>
      <c r="F111" s="5533" t="s">
        <v>5348</v>
      </c>
      <c r="G111" s="5534"/>
      <c r="H111" s="5438" t="s">
        <v>5299</v>
      </c>
      <c r="I111" s="5438" t="s">
        <v>5268</v>
      </c>
      <c r="J111" s="5438"/>
      <c r="K111" s="5478"/>
      <c r="L111" s="5478"/>
      <c r="M111" s="5478"/>
      <c r="N111" s="5478"/>
      <c r="O111" s="5426"/>
      <c r="P111" s="5426"/>
      <c r="Q111" s="5426"/>
      <c r="R111" s="5426"/>
      <c r="S111" s="5426"/>
      <c r="T111" s="5426"/>
      <c r="U111" s="5427"/>
      <c r="V111" s="5427"/>
      <c r="W111" s="5427"/>
      <c r="X111" s="5427"/>
      <c r="Y111" s="5427"/>
    </row>
    <row customHeight="true" ht="18.452380952380953" r="112">
      <c r="A112" s="5535" t="s">
        <v>5393</v>
      </c>
      <c r="B112" s="5536">
        <v>46235</v>
      </c>
      <c r="C112" s="5537" t="str">
        <v>Saturday</v>
      </c>
      <c r="D112" s="5538" t="s">
        <v>5397</v>
      </c>
      <c r="E112" s="5539">
        <f t="shared" si="63"/>
      </c>
      <c r="F112" s="5540" t="s">
        <v>5348</v>
      </c>
      <c r="G112" s="5541"/>
      <c r="H112" s="5494" t="s">
        <v>5299</v>
      </c>
      <c r="I112" s="5494" t="s">
        <v>5268</v>
      </c>
      <c r="J112" s="5433" t="s">
        <v>5398</v>
      </c>
      <c r="K112" s="5478"/>
      <c r="L112" s="5478"/>
      <c r="M112" s="5478"/>
      <c r="N112" s="5478"/>
      <c r="O112" s="5426"/>
      <c r="P112" s="5426"/>
      <c r="Q112" s="5426"/>
      <c r="R112" s="5426"/>
      <c r="S112" s="5426"/>
      <c r="T112" s="5426"/>
      <c r="U112" s="5427"/>
      <c r="V112" s="5427"/>
      <c r="W112" s="5427"/>
      <c r="X112" s="5427"/>
      <c r="Y112" s="5427"/>
    </row>
    <row customHeight="true" ht="14.880952380952381" r="113">
      <c r="A113" s="5542"/>
      <c r="B113" s="5542"/>
      <c r="C113" s="5542"/>
      <c r="D113" s="5542"/>
      <c r="E113" s="5542"/>
      <c r="F113" s="5542"/>
      <c r="G113" s="5542"/>
      <c r="H113" s="5542"/>
    </row>
    <row r="114">
      <c r="A114" s="5535" t="s">
        <v>5392</v>
      </c>
      <c r="B114" s="5543">
        <v>46232</v>
      </c>
      <c r="C114" s="5491" t="str">
        <v>Wednesday</v>
      </c>
      <c r="D114" s="5521" t="s">
        <v>5399</v>
      </c>
      <c r="E114" s="5494">
        <f t="shared" ref="E114:E118" si="64">24*MOD(TIMEVALUE(TRIM(MID(D114,FIND("-",D114)+1,LEN(D114)))) - TIMEVALUE(TRIM(LEFT(D114,FIND("-",D114)-1))),1)</f>
      </c>
      <c r="F114" s="5494" t="s">
        <v>5313</v>
      </c>
      <c r="G114" s="5544"/>
      <c r="H114" s="5494" t="s">
        <v>5299</v>
      </c>
      <c r="I114" s="5494" t="s">
        <v>5268</v>
      </c>
      <c r="J114" s="5433" t="s">
        <v>5400</v>
      </c>
      <c r="K114" s="5478"/>
      <c r="L114" s="5478"/>
      <c r="M114" s="5478"/>
      <c r="N114" s="5478"/>
      <c r="O114" s="5426"/>
      <c r="P114" s="5426"/>
      <c r="Q114" s="5426"/>
      <c r="R114" s="5426"/>
      <c r="S114" s="5426"/>
      <c r="T114" s="5426"/>
      <c r="U114" s="5427"/>
      <c r="V114" s="5427"/>
      <c r="W114" s="5427"/>
      <c r="X114" s="5427"/>
      <c r="Y114" s="5427"/>
    </row>
    <row r="115">
      <c r="A115" s="5490" t="s">
        <v>5392</v>
      </c>
      <c r="B115" s="5545">
        <v>46233</v>
      </c>
      <c r="C115" s="5545" t="str">
        <v>Thursday</v>
      </c>
      <c r="D115" s="5546" t="s">
        <v>5401</v>
      </c>
      <c r="E115" s="5547">
        <f t="shared" si="64"/>
      </c>
      <c r="F115" s="5547" t="s">
        <v>5313</v>
      </c>
      <c r="G115" s="5548"/>
      <c r="H115" s="5494" t="s">
        <v>5299</v>
      </c>
      <c r="I115" s="5494" t="s">
        <v>5268</v>
      </c>
      <c r="J115" s="5438"/>
      <c r="K115" s="5478"/>
      <c r="L115" s="5478"/>
      <c r="M115" s="5478"/>
      <c r="N115" s="5478"/>
      <c r="O115" s="5426"/>
      <c r="P115" s="5426"/>
      <c r="Q115" s="5426"/>
      <c r="R115" s="5426"/>
      <c r="S115" s="5426"/>
      <c r="T115" s="5426"/>
      <c r="U115" s="5427"/>
      <c r="V115" s="5427"/>
      <c r="W115" s="5427"/>
      <c r="X115" s="5427"/>
      <c r="Y115" s="5427"/>
    </row>
    <row r="116">
      <c r="A116" s="5549" t="s">
        <v>5392</v>
      </c>
      <c r="B116" s="5535">
        <v>46234</v>
      </c>
      <c r="C116" s="5535" t="str">
        <v>Friday</v>
      </c>
      <c r="D116" s="5538" t="s">
        <v>5401</v>
      </c>
      <c r="E116" s="5540">
        <f t="shared" si="64"/>
      </c>
      <c r="F116" s="5540" t="s">
        <v>5313</v>
      </c>
      <c r="G116" s="5541"/>
      <c r="H116" s="5550" t="s">
        <v>5299</v>
      </c>
      <c r="I116" s="5494" t="s">
        <v>5268</v>
      </c>
      <c r="J116" s="5438"/>
      <c r="K116" s="5478"/>
      <c r="L116" s="5478"/>
      <c r="M116" s="5478"/>
      <c r="N116" s="5478"/>
      <c r="O116" s="5426"/>
      <c r="P116" s="5426"/>
      <c r="Q116" s="5426"/>
      <c r="R116" s="5426"/>
      <c r="S116" s="5426"/>
      <c r="T116" s="5426"/>
      <c r="U116" s="5427"/>
      <c r="V116" s="5427"/>
      <c r="W116" s="5427"/>
      <c r="X116" s="5427"/>
      <c r="Y116" s="5427"/>
    </row>
    <row r="117">
      <c r="A117" s="5491" t="s">
        <v>5392</v>
      </c>
      <c r="B117" s="5491">
        <v>46235</v>
      </c>
      <c r="C117" s="5491" t="str">
        <v>Saturday</v>
      </c>
      <c r="D117" s="5521" t="s">
        <v>5401</v>
      </c>
      <c r="E117" s="5494">
        <f t="shared" si="64"/>
      </c>
      <c r="F117" s="5494" t="s">
        <v>5348</v>
      </c>
      <c r="G117" s="5544"/>
      <c r="H117" s="5494" t="s">
        <v>5299</v>
      </c>
      <c r="I117" s="5494" t="s">
        <v>5268</v>
      </c>
      <c r="J117" s="5438"/>
      <c r="K117" s="5478"/>
      <c r="L117" s="5478"/>
      <c r="M117" s="5478"/>
      <c r="N117" s="5478"/>
      <c r="O117" s="5426"/>
      <c r="P117" s="5426"/>
      <c r="Q117" s="5426"/>
      <c r="R117" s="5426"/>
      <c r="S117" s="5426"/>
      <c r="T117" s="5426"/>
      <c r="U117" s="5427"/>
      <c r="V117" s="5427"/>
      <c r="W117" s="5427"/>
      <c r="X117" s="5427"/>
      <c r="Y117" s="5427"/>
    </row>
    <row r="118">
      <c r="A118" s="5549" t="s">
        <v>5392</v>
      </c>
      <c r="B118" s="5535">
        <v>46236</v>
      </c>
      <c r="C118" s="5535" t="str">
        <v>Sunday</v>
      </c>
      <c r="D118" s="5538" t="s">
        <v>5401</v>
      </c>
      <c r="E118" s="5540">
        <f t="shared" si="64"/>
      </c>
      <c r="F118" s="5540" t="s">
        <v>5313</v>
      </c>
      <c r="G118" s="5541"/>
      <c r="H118" s="5550" t="s">
        <v>5299</v>
      </c>
      <c r="I118" s="5494" t="s">
        <v>5268</v>
      </c>
      <c r="J118" s="5438"/>
      <c r="K118" s="5427"/>
      <c r="L118" s="5427"/>
      <c r="M118" s="5427"/>
      <c r="N118" s="5427"/>
      <c r="O118" s="5427"/>
      <c r="P118" s="5427"/>
      <c r="Q118" s="5427"/>
      <c r="R118" s="5427"/>
      <c r="S118" s="5427"/>
      <c r="T118" s="5427"/>
      <c r="U118" s="5427"/>
      <c r="V118" s="5427"/>
      <c r="W118" s="5427"/>
      <c r="X118" s="5427"/>
      <c r="Y118" s="5427"/>
    </row>
    <row customHeight="true" ht="14.880952380952381" r="119">
      <c r="A119" s="5428"/>
      <c r="B119" s="5428"/>
      <c r="C119" s="5428"/>
      <c r="D119" s="5428"/>
      <c r="E119" s="5428"/>
      <c r="F119" s="5428"/>
      <c r="G119" s="5428"/>
      <c r="H119" s="5428"/>
      <c r="I119" s="5428"/>
      <c r="J119" s="5428"/>
      <c r="K119" s="5428"/>
      <c r="L119" s="5428"/>
      <c r="M119" s="5428"/>
      <c r="N119" s="5428"/>
      <c r="O119" s="5428"/>
      <c r="P119" s="5428"/>
      <c r="Q119" s="5428"/>
      <c r="R119" s="5428"/>
      <c r="S119" s="5428"/>
      <c r="T119" s="5428"/>
      <c r="U119" s="5428"/>
      <c r="V119" s="5428"/>
      <c r="W119" s="5428"/>
      <c r="X119" s="5428"/>
      <c r="Y119" s="5428"/>
    </row>
    <row r="120">
      <c r="A120" s="5491" t="s">
        <v>5402</v>
      </c>
      <c r="B120" s="5491">
        <v>46232</v>
      </c>
      <c r="C120" s="5491" t="str">
        <v>Wednesday</v>
      </c>
      <c r="D120" s="5521" t="s">
        <v>5399</v>
      </c>
      <c r="E120" s="5494">
        <f t="shared" ref="E120:E124" si="65">24*MOD(TIMEVALUE(TRIM(MID(D120,FIND("-",D120)+1,LEN(D120)))) - TIMEVALUE(TRIM(LEFT(D120,FIND("-",D120)-1))),1)</f>
      </c>
      <c r="F120" s="5494" t="s">
        <v>5403</v>
      </c>
      <c r="G120" s="5541"/>
      <c r="H120" s="5550" t="s">
        <v>5299</v>
      </c>
      <c r="I120" s="5551" t="s">
        <v>5268</v>
      </c>
      <c r="J120" s="5499" t="s">
        <v>5400</v>
      </c>
      <c r="K120" s="5427"/>
      <c r="L120" s="5427"/>
      <c r="M120" s="5427"/>
      <c r="N120" s="5427"/>
      <c r="O120" s="5427"/>
      <c r="P120" s="5427"/>
      <c r="Q120" s="5427"/>
      <c r="R120" s="5427"/>
      <c r="S120" s="5427"/>
      <c r="T120" s="5427"/>
      <c r="U120" s="5427"/>
      <c r="V120" s="5427"/>
      <c r="W120" s="5427"/>
      <c r="X120" s="5427"/>
      <c r="Y120" s="5427"/>
    </row>
    <row r="121">
      <c r="A121" s="5491" t="s">
        <v>5402</v>
      </c>
      <c r="B121" s="5491">
        <v>46233</v>
      </c>
      <c r="C121" s="5491" t="str">
        <v>Thursday</v>
      </c>
      <c r="D121" s="5521" t="s">
        <v>5404</v>
      </c>
      <c r="E121" s="5494">
        <f t="shared" si="65"/>
      </c>
      <c r="F121" s="5552" t="s">
        <v>5360</v>
      </c>
      <c r="G121" s="5553"/>
      <c r="H121" s="5494" t="s">
        <v>5299</v>
      </c>
      <c r="I121" s="5494" t="s">
        <v>5268</v>
      </c>
      <c r="J121" s="5518"/>
      <c r="K121" s="5427"/>
      <c r="L121" s="5427"/>
      <c r="M121" s="5427"/>
      <c r="N121" s="5427"/>
      <c r="O121" s="5427"/>
      <c r="P121" s="5427"/>
      <c r="Q121" s="5427"/>
      <c r="R121" s="5427"/>
      <c r="S121" s="5427"/>
      <c r="T121" s="5427"/>
      <c r="U121" s="5427"/>
      <c r="V121" s="5427"/>
      <c r="W121" s="5427"/>
      <c r="X121" s="5427"/>
      <c r="Y121" s="5427"/>
    </row>
    <row r="122">
      <c r="A122" s="5535" t="s">
        <v>5402</v>
      </c>
      <c r="B122" s="5535">
        <v>46234</v>
      </c>
      <c r="C122" s="5535" t="str">
        <v>Friday</v>
      </c>
      <c r="D122" s="5538" t="s">
        <v>5401</v>
      </c>
      <c r="E122" s="5540">
        <f t="shared" si="65"/>
      </c>
      <c r="F122" s="5540" t="s">
        <v>5405</v>
      </c>
      <c r="G122" s="5553"/>
      <c r="H122" s="5494" t="s">
        <v>5299</v>
      </c>
      <c r="I122" s="5494" t="s">
        <v>5268</v>
      </c>
      <c r="J122" s="5518"/>
      <c r="K122" s="5427"/>
      <c r="L122" s="5427"/>
      <c r="M122" s="5427"/>
      <c r="N122" s="5427"/>
      <c r="O122" s="5427"/>
      <c r="P122" s="5427"/>
      <c r="Q122" s="5427"/>
      <c r="R122" s="5427"/>
      <c r="S122" s="5427"/>
      <c r="T122" s="5427"/>
      <c r="U122" s="5427"/>
      <c r="V122" s="5427"/>
      <c r="W122" s="5427"/>
      <c r="X122" s="5427"/>
      <c r="Y122" s="5427"/>
    </row>
    <row r="123">
      <c r="A123" s="5491" t="s">
        <v>5402</v>
      </c>
      <c r="B123" s="5491">
        <v>46235</v>
      </c>
      <c r="C123" s="5491" t="str">
        <v>Saturday</v>
      </c>
      <c r="D123" s="5521" t="s">
        <v>5401</v>
      </c>
      <c r="E123" s="5494">
        <f t="shared" si="65"/>
      </c>
      <c r="F123" s="5494" t="s">
        <v>5403</v>
      </c>
      <c r="G123" s="5553"/>
      <c r="H123" s="5494" t="s">
        <v>5299</v>
      </c>
      <c r="I123" s="5494" t="s">
        <v>5268</v>
      </c>
      <c r="J123" s="5518"/>
      <c r="K123" s="5427"/>
      <c r="L123" s="5427"/>
      <c r="M123" s="5427"/>
      <c r="N123" s="5427"/>
      <c r="O123" s="5427"/>
      <c r="P123" s="5427"/>
      <c r="Q123" s="5427"/>
      <c r="R123" s="5427"/>
      <c r="S123" s="5427"/>
      <c r="T123" s="5427"/>
      <c r="U123" s="5427"/>
      <c r="V123" s="5427"/>
      <c r="W123" s="5427"/>
      <c r="X123" s="5427"/>
      <c r="Y123" s="5427"/>
    </row>
    <row r="124">
      <c r="A124" s="5535" t="s">
        <v>5402</v>
      </c>
      <c r="B124" s="5535">
        <v>46236</v>
      </c>
      <c r="C124" s="5535" t="str">
        <v>Sunday</v>
      </c>
      <c r="D124" s="5538" t="s">
        <v>5401</v>
      </c>
      <c r="E124" s="5540">
        <f t="shared" si="65"/>
      </c>
      <c r="F124" s="5540" t="s">
        <v>5405</v>
      </c>
      <c r="G124" s="5553"/>
      <c r="H124" s="5494" t="s">
        <v>5299</v>
      </c>
      <c r="I124" s="5494" t="s">
        <v>5268</v>
      </c>
      <c r="J124" s="5518"/>
      <c r="K124" s="5427"/>
      <c r="L124" s="5427"/>
      <c r="M124" s="5427"/>
      <c r="N124" s="5427"/>
      <c r="O124" s="5427"/>
      <c r="P124" s="5427"/>
      <c r="Q124" s="5427"/>
      <c r="R124" s="5427"/>
      <c r="S124" s="5427"/>
      <c r="T124" s="5427"/>
      <c r="U124" s="5427"/>
      <c r="V124" s="5427"/>
      <c r="W124" s="5427"/>
      <c r="X124" s="5427"/>
      <c r="Y124" s="5427"/>
    </row>
    <row r="125">
      <c r="A125" s="5428"/>
      <c r="B125" s="5428"/>
      <c r="C125" s="5428"/>
      <c r="D125" s="5428"/>
      <c r="E125" s="5428"/>
      <c r="F125" s="5428"/>
      <c r="G125" s="5428"/>
      <c r="H125" s="5428"/>
      <c r="I125" s="5428"/>
      <c r="J125" s="5428"/>
      <c r="K125" s="5428"/>
      <c r="L125" s="5428"/>
      <c r="M125" s="5428"/>
      <c r="N125" s="5428"/>
      <c r="O125" s="5428"/>
      <c r="P125" s="5428"/>
      <c r="Q125" s="5428"/>
      <c r="R125" s="5428"/>
      <c r="S125" s="5428"/>
      <c r="T125" s="5428"/>
      <c r="U125" s="5428"/>
      <c r="V125" s="5428"/>
      <c r="W125" s="5428"/>
      <c r="X125" s="5428"/>
      <c r="Y125" s="5428"/>
    </row>
    <row r="126">
      <c r="A126" s="5554" t="s">
        <v>5406</v>
      </c>
      <c r="B126" s="5554" t="s">
        <v>5407</v>
      </c>
      <c r="C126" s="5555"/>
      <c r="D126" s="5555"/>
      <c r="E126" s="5555"/>
      <c r="F126" s="5555"/>
      <c r="G126" s="5555"/>
      <c r="H126" s="5555"/>
      <c r="I126" s="5555"/>
      <c r="J126" s="5555"/>
      <c r="K126" s="5426"/>
      <c r="L126" s="5426"/>
      <c r="M126" s="5426"/>
      <c r="N126" s="5426"/>
      <c r="O126" s="5426"/>
      <c r="P126" s="5426"/>
      <c r="Q126" s="5426"/>
      <c r="R126" s="5426"/>
      <c r="S126" s="5426"/>
      <c r="T126" s="5426"/>
      <c r="U126" s="5428"/>
      <c r="V126" s="5428"/>
      <c r="W126" s="5428"/>
      <c r="X126" s="5428"/>
      <c r="Y126" s="5428"/>
    </row>
    <row r="127">
      <c r="A127" s="5556" t="s">
        <v>5277</v>
      </c>
      <c r="B127" s="5557" t="s">
        <v>5278</v>
      </c>
      <c r="C127" s="5557"/>
      <c r="D127" s="5558" t="s">
        <v>5279</v>
      </c>
      <c r="E127" s="5558" t="s">
        <v>5280</v>
      </c>
      <c r="F127" s="5558" t="s">
        <v>5281</v>
      </c>
      <c r="G127" s="5559" t="s">
        <v>5294</v>
      </c>
      <c r="H127" s="5558" t="s">
        <v>5283</v>
      </c>
      <c r="I127" s="5558" t="s">
        <v>5284</v>
      </c>
      <c r="J127" s="5558" t="s">
        <v>5285</v>
      </c>
      <c r="K127" s="5426"/>
      <c r="L127" s="5426"/>
      <c r="M127" s="5426"/>
      <c r="N127" s="5426"/>
      <c r="O127" s="5426"/>
      <c r="P127" s="5426"/>
      <c r="Q127" s="5426"/>
      <c r="R127" s="5426"/>
      <c r="S127" s="5426"/>
      <c r="T127" s="5426"/>
      <c r="U127" s="5428"/>
      <c r="V127" s="5428"/>
      <c r="W127" s="5428"/>
      <c r="X127" s="5428"/>
      <c r="Y127" s="5428"/>
    </row>
    <row r="128">
      <c r="A128" s="5560" t="s">
        <v>5406</v>
      </c>
      <c r="B128" s="5432">
        <v>46231</v>
      </c>
      <c r="C128" s="5431" t="str">
        <v>Tuesday</v>
      </c>
      <c r="D128" s="5561" t="s">
        <v>5330</v>
      </c>
      <c r="E128" s="5438">
        <f t="shared" ref="E128:E137" si="66">24*MOD(TIMEVALUE(TRIM(MID(D128,FIND("-",D128)+1,LEN(D128)))) - TIMEVALUE(TRIM(LEFT(D128,FIND("-",D128)-1))),1)</f>
      </c>
      <c r="F128" s="5437" t="s">
        <v>5408</v>
      </c>
      <c r="G128" s="5562" t="s">
        <v>5409</v>
      </c>
      <c r="H128" s="5437" t="s">
        <v>5299</v>
      </c>
      <c r="I128" s="5438" t="s">
        <v>5291</v>
      </c>
      <c r="J128" s="5563" t="s">
        <v>5410</v>
      </c>
      <c r="K128" s="5426"/>
      <c r="L128" s="5426"/>
      <c r="M128" s="5426"/>
      <c r="N128" s="5426"/>
      <c r="O128" s="5426"/>
      <c r="P128" s="5426"/>
      <c r="Q128" s="5426"/>
      <c r="R128" s="5426"/>
      <c r="S128" s="5426"/>
      <c r="T128" s="5426"/>
      <c r="U128" s="5428"/>
      <c r="V128" s="5428"/>
      <c r="W128" s="5428"/>
      <c r="X128" s="5428"/>
      <c r="Y128" s="5428"/>
    </row>
    <row customHeight="true" ht="18.452380952380953" r="129">
      <c r="A129" s="5560" t="s">
        <v>5406</v>
      </c>
      <c r="B129" s="5432">
        <v>46231</v>
      </c>
      <c r="C129" s="5431" t="str">
        <v>Tuesday</v>
      </c>
      <c r="D129" s="5561" t="s">
        <v>5319</v>
      </c>
      <c r="E129" s="5438">
        <f t="shared" si="66"/>
      </c>
      <c r="F129" s="5437" t="s">
        <v>5411</v>
      </c>
      <c r="G129" s="5562" t="s">
        <v>5409</v>
      </c>
      <c r="H129" s="5437" t="s">
        <v>5299</v>
      </c>
      <c r="I129" s="5438" t="s">
        <v>5291</v>
      </c>
      <c r="J129" s="5564"/>
      <c r="K129" s="5426"/>
      <c r="L129" s="5426"/>
      <c r="M129" s="5426"/>
      <c r="N129" s="5426"/>
      <c r="O129" s="5426"/>
      <c r="P129" s="5426"/>
      <c r="Q129" s="5426"/>
      <c r="R129" s="5426"/>
      <c r="S129" s="5426"/>
      <c r="T129" s="5426"/>
      <c r="U129" s="5428"/>
      <c r="V129" s="5428"/>
      <c r="W129" s="5428"/>
      <c r="X129" s="5428"/>
      <c r="Y129" s="5428"/>
    </row>
    <row r="130">
      <c r="A130" s="5565" t="s">
        <v>5406</v>
      </c>
      <c r="B130" s="5432">
        <v>46232</v>
      </c>
      <c r="C130" s="5431" t="str">
        <v>Wednesday</v>
      </c>
      <c r="D130" s="5561" t="s">
        <v>5412</v>
      </c>
      <c r="E130" s="5438">
        <f t="shared" si="66"/>
      </c>
      <c r="F130" s="5437" t="s">
        <v>5408</v>
      </c>
      <c r="G130" s="5566"/>
      <c r="H130" s="5437" t="s">
        <v>5299</v>
      </c>
      <c r="I130" s="5438" t="s">
        <v>5268</v>
      </c>
      <c r="J130" s="5567"/>
      <c r="K130" s="5426"/>
      <c r="L130" s="5426"/>
      <c r="M130" s="5426"/>
      <c r="N130" s="5426"/>
      <c r="O130" s="5426"/>
      <c r="P130" s="5426"/>
      <c r="Q130" s="5426"/>
      <c r="R130" s="5426"/>
      <c r="S130" s="5426"/>
      <c r="T130" s="5426"/>
      <c r="U130" s="5428"/>
      <c r="V130" s="5428"/>
      <c r="W130" s="5428"/>
      <c r="X130" s="5428"/>
      <c r="Y130" s="5428"/>
    </row>
    <row r="131">
      <c r="A131" s="5565" t="s">
        <v>5406</v>
      </c>
      <c r="B131" s="5432">
        <v>46233</v>
      </c>
      <c r="C131" s="5431" t="str">
        <v>Thursday</v>
      </c>
      <c r="D131" s="5561" t="s">
        <v>5412</v>
      </c>
      <c r="E131" s="5438">
        <f t="shared" si="66"/>
      </c>
      <c r="F131" s="5437" t="s">
        <v>5408</v>
      </c>
      <c r="G131" s="5566"/>
      <c r="H131" s="5437" t="s">
        <v>5299</v>
      </c>
      <c r="I131" s="5438" t="s">
        <v>5268</v>
      </c>
      <c r="J131" s="5567"/>
      <c r="K131" s="5426"/>
      <c r="L131" s="5426"/>
      <c r="M131" s="5426"/>
      <c r="N131" s="5426"/>
      <c r="O131" s="5426"/>
      <c r="P131" s="5426"/>
      <c r="Q131" s="5426"/>
      <c r="R131" s="5426"/>
      <c r="S131" s="5426"/>
      <c r="T131" s="5426"/>
      <c r="U131" s="5428"/>
      <c r="V131" s="5428"/>
      <c r="W131" s="5428"/>
      <c r="X131" s="5428"/>
      <c r="Y131" s="5428"/>
    </row>
    <row r="132">
      <c r="A132" s="5565" t="s">
        <v>5413</v>
      </c>
      <c r="B132" s="5432">
        <v>46234</v>
      </c>
      <c r="C132" s="5431" t="str">
        <v>Friday</v>
      </c>
      <c r="D132" s="5561" t="s">
        <v>5412</v>
      </c>
      <c r="E132" s="5438">
        <f t="shared" si="66"/>
      </c>
      <c r="F132" s="5437" t="s">
        <v>5302</v>
      </c>
      <c r="G132" s="5568" t="s">
        <v>5414</v>
      </c>
      <c r="H132" s="5437" t="s">
        <v>5299</v>
      </c>
      <c r="I132" s="5438" t="s">
        <v>5268</v>
      </c>
      <c r="J132" s="5567"/>
      <c r="K132" s="5426"/>
      <c r="L132" s="5426"/>
      <c r="M132" s="5426"/>
      <c r="N132" s="5426"/>
      <c r="O132" s="5426"/>
      <c r="P132" s="5426"/>
      <c r="Q132" s="5426"/>
      <c r="R132" s="5426"/>
      <c r="S132" s="5426"/>
      <c r="T132" s="5426"/>
      <c r="U132" s="5428"/>
      <c r="V132" s="5428"/>
      <c r="W132" s="5428"/>
      <c r="X132" s="5428"/>
      <c r="Y132" s="5428"/>
    </row>
    <row r="133">
      <c r="A133" s="5560" t="s">
        <v>5406</v>
      </c>
      <c r="B133" s="5432">
        <v>46235</v>
      </c>
      <c r="C133" s="5431" t="str">
        <v>Saturday</v>
      </c>
      <c r="D133" s="5561" t="s">
        <v>5412</v>
      </c>
      <c r="E133" s="5438">
        <f t="shared" si="66"/>
      </c>
      <c r="F133" s="5437" t="s">
        <v>5408</v>
      </c>
      <c r="G133" s="5566"/>
      <c r="H133" s="5437" t="s">
        <v>5299</v>
      </c>
      <c r="I133" s="5438" t="s">
        <v>5268</v>
      </c>
      <c r="J133" s="5564"/>
      <c r="K133" s="5426"/>
      <c r="L133" s="5426"/>
      <c r="M133" s="5426"/>
      <c r="N133" s="5426"/>
      <c r="O133" s="5426"/>
      <c r="P133" s="5426"/>
      <c r="Q133" s="5426"/>
      <c r="R133" s="5426"/>
      <c r="S133" s="5426"/>
      <c r="T133" s="5426"/>
      <c r="U133" s="5428"/>
      <c r="V133" s="5428"/>
      <c r="W133" s="5428"/>
      <c r="X133" s="5428"/>
      <c r="Y133" s="5428"/>
    </row>
    <row r="134">
      <c r="A134" s="5560" t="s">
        <v>5406</v>
      </c>
      <c r="B134" s="5432">
        <v>46236</v>
      </c>
      <c r="C134" s="5431" t="str">
        <v>Sunday</v>
      </c>
      <c r="D134" s="5561" t="s">
        <v>5412</v>
      </c>
      <c r="E134" s="5438">
        <f t="shared" si="66"/>
      </c>
      <c r="F134" s="5437" t="s">
        <v>5408</v>
      </c>
      <c r="G134" s="5569"/>
      <c r="H134" s="5437" t="s">
        <v>5299</v>
      </c>
      <c r="I134" s="5438" t="s">
        <v>5291</v>
      </c>
      <c r="J134" s="5564"/>
      <c r="K134" s="5426"/>
      <c r="L134" s="5426"/>
      <c r="M134" s="5426"/>
      <c r="N134" s="5426"/>
      <c r="O134" s="5426"/>
      <c r="P134" s="5426"/>
      <c r="Q134" s="5426"/>
      <c r="R134" s="5426"/>
      <c r="S134" s="5426"/>
      <c r="T134" s="5426"/>
      <c r="U134" s="5428"/>
      <c r="V134" s="5428"/>
      <c r="W134" s="5428"/>
      <c r="X134" s="5428"/>
      <c r="Y134" s="5428"/>
    </row>
    <row r="135">
      <c r="A135" s="5560" t="s">
        <v>5413</v>
      </c>
      <c r="B135" s="5432">
        <v>46231</v>
      </c>
      <c r="C135" s="5431" t="str">
        <v>Tuesday</v>
      </c>
      <c r="D135" s="5433" t="s">
        <v>5330</v>
      </c>
      <c r="E135" s="5438">
        <f t="shared" si="66"/>
      </c>
      <c r="F135" s="5437" t="s">
        <v>5411</v>
      </c>
      <c r="G135" s="5569"/>
      <c r="H135" s="5437" t="s">
        <v>5299</v>
      </c>
      <c r="I135" s="5438" t="s">
        <v>5291</v>
      </c>
      <c r="J135" s="5564"/>
      <c r="K135" s="5426"/>
      <c r="L135" s="5426"/>
      <c r="M135" s="5426"/>
      <c r="N135" s="5426"/>
      <c r="O135" s="5426"/>
      <c r="P135" s="5426"/>
      <c r="Q135" s="5426"/>
      <c r="R135" s="5426"/>
      <c r="S135" s="5426"/>
      <c r="T135" s="5426"/>
      <c r="U135" s="5428"/>
      <c r="V135" s="5428"/>
      <c r="W135" s="5428"/>
      <c r="X135" s="5428"/>
      <c r="Y135" s="5428"/>
    </row>
    <row customHeight="true" ht="18.452380952380953" r="136">
      <c r="A136" s="5560" t="s">
        <v>5406</v>
      </c>
      <c r="B136" s="5432">
        <v>46234</v>
      </c>
      <c r="C136" s="5431" t="str">
        <v>Friday</v>
      </c>
      <c r="D136" s="5433" t="s">
        <v>5330</v>
      </c>
      <c r="E136" s="5438">
        <f t="shared" si="66"/>
      </c>
      <c r="F136" s="5437" t="s">
        <v>5411</v>
      </c>
      <c r="G136" s="5569"/>
      <c r="H136" s="5437" t="s">
        <v>5299</v>
      </c>
      <c r="I136" s="5438" t="s">
        <v>5291</v>
      </c>
      <c r="J136" s="5564"/>
      <c r="K136" s="5426"/>
      <c r="L136" s="5426"/>
      <c r="M136" s="5426"/>
      <c r="N136" s="5426"/>
      <c r="O136" s="5426"/>
      <c r="P136" s="5426"/>
      <c r="Q136" s="5426"/>
      <c r="R136" s="5426"/>
      <c r="S136" s="5426"/>
      <c r="T136" s="5426"/>
      <c r="U136" s="5428"/>
      <c r="V136" s="5428"/>
      <c r="W136" s="5428"/>
      <c r="X136" s="5428"/>
      <c r="Y136" s="5428"/>
    </row>
    <row customHeight="true" ht="18.452380952380953" r="137">
      <c r="A137" s="5560" t="s">
        <v>5413</v>
      </c>
      <c r="B137" s="5432">
        <v>46232</v>
      </c>
      <c r="C137" s="5431" t="str">
        <v>Wednesday</v>
      </c>
      <c r="D137" s="5433" t="s">
        <v>5415</v>
      </c>
      <c r="E137" s="5438">
        <f t="shared" si="66"/>
      </c>
      <c r="F137" s="5437" t="s">
        <v>5306</v>
      </c>
      <c r="G137" s="5569"/>
      <c r="H137" s="5437" t="s">
        <v>5299</v>
      </c>
      <c r="I137" s="5438" t="s">
        <v>5268</v>
      </c>
      <c r="J137" s="5564"/>
      <c r="K137" s="5426"/>
      <c r="L137" s="5426"/>
      <c r="M137" s="5426"/>
      <c r="N137" s="5426"/>
      <c r="O137" s="5426"/>
      <c r="P137" s="5426"/>
      <c r="Q137" s="5426"/>
      <c r="R137" s="5426"/>
      <c r="S137" s="5426"/>
      <c r="T137" s="5426"/>
      <c r="U137" s="5428"/>
      <c r="V137" s="5428"/>
      <c r="W137" s="5428"/>
      <c r="X137" s="5428"/>
      <c r="Y137" s="5428"/>
    </row>
    <row customHeight="true" ht="18.452380952380953" r="138">
      <c r="A138" s="5560" t="s">
        <v>5413</v>
      </c>
      <c r="B138" s="5432">
        <v>46232</v>
      </c>
      <c r="C138" s="5431" t="str">
        <v>Wednesday</v>
      </c>
      <c r="D138" s="5433" t="s">
        <v>5330</v>
      </c>
      <c r="E138" s="5433">
        <v>2</v>
      </c>
      <c r="F138" s="5437" t="s">
        <v>5302</v>
      </c>
      <c r="G138" s="5569"/>
      <c r="H138" s="5437" t="s">
        <v>5299</v>
      </c>
      <c r="I138" s="5438" t="s">
        <v>5268</v>
      </c>
      <c r="J138" s="5564"/>
      <c r="K138" s="5426"/>
      <c r="L138" s="5426"/>
      <c r="M138" s="5426"/>
      <c r="N138" s="5426"/>
      <c r="O138" s="5426"/>
      <c r="P138" s="5426"/>
      <c r="Q138" s="5426"/>
      <c r="R138" s="5426"/>
      <c r="S138" s="5426"/>
      <c r="T138" s="5426"/>
      <c r="U138" s="5428"/>
      <c r="V138" s="5428"/>
      <c r="W138" s="5428"/>
      <c r="X138" s="5428"/>
      <c r="Y138" s="5428"/>
    </row>
    <row customHeight="true" ht="18.452380952380953" r="139">
      <c r="A139" s="5560" t="s">
        <v>5413</v>
      </c>
      <c r="B139" s="5432">
        <v>46230</v>
      </c>
      <c r="C139" s="5431" t="str">
        <v>Monday</v>
      </c>
      <c r="D139" s="5433" t="s">
        <v>5416</v>
      </c>
      <c r="E139" s="5433">
        <v>5</v>
      </c>
      <c r="F139" s="5437" t="s">
        <v>5417</v>
      </c>
      <c r="G139" s="5569"/>
      <c r="H139" s="5437" t="s">
        <v>5299</v>
      </c>
      <c r="I139" s="5438" t="s">
        <v>5268</v>
      </c>
      <c r="J139" s="5563" t="s">
        <v>5418</v>
      </c>
      <c r="K139" s="5426"/>
      <c r="L139" s="5426"/>
      <c r="M139" s="5426"/>
      <c r="N139" s="5426"/>
      <c r="O139" s="5426"/>
      <c r="P139" s="5426"/>
      <c r="Q139" s="5426"/>
      <c r="R139" s="5426"/>
      <c r="S139" s="5426"/>
      <c r="T139" s="5426"/>
      <c r="U139" s="5428"/>
      <c r="V139" s="5428"/>
      <c r="W139" s="5428"/>
      <c r="X139" s="5428"/>
      <c r="Y139" s="5428"/>
    </row>
    <row r="140">
      <c r="A140" s="5560" t="s">
        <v>5419</v>
      </c>
      <c r="B140" s="5432">
        <v>46231</v>
      </c>
      <c r="C140" s="5431" t="str">
        <v>Tuesday</v>
      </c>
      <c r="D140" s="5561" t="s">
        <v>5412</v>
      </c>
      <c r="E140" s="5438">
        <f t="shared" ref="E140:E156" si="67">24*MOD(TIMEVALUE(TRIM(MID(D140,FIND("-",D140)+1,LEN(D140)))) - TIMEVALUE(TRIM(LEFT(D140,FIND("-",D140)-1))),1)</f>
      </c>
      <c r="F140" s="5437" t="s">
        <v>5420</v>
      </c>
      <c r="G140" s="5569"/>
      <c r="H140" s="5437" t="s">
        <v>5299</v>
      </c>
      <c r="I140" s="5438" t="s">
        <v>5268</v>
      </c>
      <c r="J140" s="5564"/>
      <c r="K140" s="5426"/>
      <c r="L140" s="5426"/>
      <c r="M140" s="5426"/>
      <c r="N140" s="5426"/>
      <c r="O140" s="5426"/>
      <c r="P140" s="5426"/>
      <c r="Q140" s="5426"/>
      <c r="R140" s="5426"/>
      <c r="S140" s="5426"/>
      <c r="T140" s="5426"/>
      <c r="U140" s="5428"/>
      <c r="V140" s="5428"/>
      <c r="W140" s="5428"/>
      <c r="X140" s="5428"/>
      <c r="Y140" s="5428"/>
    </row>
    <row customHeight="true" ht="18.452380952380953" r="141">
      <c r="A141" s="5560" t="s">
        <v>5413</v>
      </c>
      <c r="B141" s="5431">
        <v>46231</v>
      </c>
      <c r="C141" s="5431" t="str">
        <v>Tuesday</v>
      </c>
      <c r="D141" s="5437" t="s">
        <v>5412</v>
      </c>
      <c r="E141" s="5438">
        <f t="shared" si="67"/>
      </c>
      <c r="F141" s="5437" t="s">
        <v>5417</v>
      </c>
      <c r="G141" s="5569"/>
      <c r="H141" s="5437" t="s">
        <v>5299</v>
      </c>
      <c r="I141" s="5438" t="s">
        <v>5291</v>
      </c>
      <c r="J141" s="5564"/>
      <c r="K141" s="5426"/>
      <c r="L141" s="5426"/>
      <c r="M141" s="5426"/>
      <c r="N141" s="5426"/>
      <c r="O141" s="5426"/>
      <c r="P141" s="5426"/>
      <c r="Q141" s="5426"/>
      <c r="R141" s="5426"/>
      <c r="S141" s="5426"/>
      <c r="T141" s="5426"/>
      <c r="U141" s="5428"/>
      <c r="V141" s="5428"/>
      <c r="W141" s="5428"/>
      <c r="X141" s="5428"/>
      <c r="Y141" s="5428"/>
    </row>
    <row customHeight="true" ht="18.452380952380953" r="142">
      <c r="A142" s="5560" t="s">
        <v>5419</v>
      </c>
      <c r="B142" s="5432">
        <v>46232</v>
      </c>
      <c r="C142" s="5431" t="str">
        <v>Wednesday</v>
      </c>
      <c r="D142" s="5561" t="s">
        <v>5421</v>
      </c>
      <c r="E142" s="5438">
        <f t="shared" si="67"/>
      </c>
      <c r="F142" s="5437" t="s">
        <v>5417</v>
      </c>
      <c r="G142" s="5569"/>
      <c r="H142" s="5437" t="s">
        <v>5299</v>
      </c>
      <c r="I142" s="5438" t="s">
        <v>5291</v>
      </c>
      <c r="J142" s="5563" t="s">
        <v>5422</v>
      </c>
      <c r="K142" s="5426"/>
      <c r="L142" s="5426"/>
      <c r="M142" s="5426"/>
      <c r="N142" s="5426"/>
      <c r="O142" s="5426"/>
      <c r="P142" s="5426"/>
      <c r="Q142" s="5426"/>
      <c r="R142" s="5426"/>
      <c r="S142" s="5426"/>
      <c r="T142" s="5426"/>
      <c r="U142" s="5428"/>
      <c r="V142" s="5428"/>
      <c r="W142" s="5428"/>
      <c r="X142" s="5428"/>
      <c r="Y142" s="5428"/>
    </row>
    <row customHeight="true" ht="18.452380952380953" r="143">
      <c r="A143" s="5560" t="s">
        <v>5413</v>
      </c>
      <c r="B143" s="5432">
        <v>46232</v>
      </c>
      <c r="C143" s="5431" t="str">
        <v>Wednesday</v>
      </c>
      <c r="D143" s="5561" t="s">
        <v>5423</v>
      </c>
      <c r="E143" s="5438">
        <f t="shared" si="67"/>
      </c>
      <c r="F143" s="5437" t="s">
        <v>5417</v>
      </c>
      <c r="G143" s="5569"/>
      <c r="H143" s="5437" t="s">
        <v>5299</v>
      </c>
      <c r="I143" s="5438" t="s">
        <v>5291</v>
      </c>
      <c r="J143" s="5563" t="s">
        <v>5424</v>
      </c>
      <c r="K143" s="5426"/>
      <c r="L143" s="5426"/>
      <c r="M143" s="5426"/>
      <c r="N143" s="5426"/>
      <c r="O143" s="5426"/>
      <c r="P143" s="5426"/>
      <c r="Q143" s="5426"/>
      <c r="R143" s="5426"/>
      <c r="S143" s="5426"/>
      <c r="T143" s="5426"/>
      <c r="U143" s="5428"/>
      <c r="V143" s="5428"/>
      <c r="W143" s="5428"/>
      <c r="X143" s="5428"/>
      <c r="Y143" s="5428"/>
    </row>
    <row customHeight="true" ht="18.452380952380953" r="144">
      <c r="A144" s="5560" t="s">
        <v>5419</v>
      </c>
      <c r="B144" s="5432">
        <v>46233</v>
      </c>
      <c r="C144" s="5431" t="str">
        <v>Thursday</v>
      </c>
      <c r="D144" s="5561" t="s">
        <v>5425</v>
      </c>
      <c r="E144" s="5438">
        <f t="shared" si="67"/>
      </c>
      <c r="F144" s="5437" t="s">
        <v>5417</v>
      </c>
      <c r="G144" s="5569"/>
      <c r="H144" s="5437" t="s">
        <v>5299</v>
      </c>
      <c r="I144" s="5438" t="s">
        <v>5291</v>
      </c>
      <c r="J144" s="5564"/>
      <c r="K144" s="5426"/>
      <c r="L144" s="5426"/>
      <c r="M144" s="5426"/>
      <c r="N144" s="5426"/>
      <c r="O144" s="5426"/>
      <c r="P144" s="5426"/>
      <c r="Q144" s="5426"/>
      <c r="R144" s="5426"/>
      <c r="S144" s="5426"/>
      <c r="T144" s="5426"/>
      <c r="U144" s="5428"/>
      <c r="V144" s="5428"/>
      <c r="W144" s="5428"/>
      <c r="X144" s="5428"/>
      <c r="Y144" s="5428"/>
    </row>
    <row customHeight="true" ht="18.452380952380953" r="145">
      <c r="A145" s="5560" t="s">
        <v>5419</v>
      </c>
      <c r="B145" s="5431">
        <v>46233</v>
      </c>
      <c r="C145" s="5431" t="str">
        <v>Thursday</v>
      </c>
      <c r="D145" s="5561" t="s">
        <v>5296</v>
      </c>
      <c r="E145" s="5438">
        <f t="shared" si="67"/>
      </c>
      <c r="F145" s="5437" t="s">
        <v>5420</v>
      </c>
      <c r="G145" s="5569"/>
      <c r="H145" s="5437" t="s">
        <v>5299</v>
      </c>
      <c r="I145" s="5438" t="s">
        <v>5268</v>
      </c>
      <c r="J145" s="5564"/>
      <c r="K145" s="5426"/>
      <c r="L145" s="5426"/>
      <c r="M145" s="5426"/>
      <c r="N145" s="5426"/>
      <c r="O145" s="5426"/>
      <c r="P145" s="5426"/>
      <c r="Q145" s="5426"/>
      <c r="R145" s="5426"/>
      <c r="S145" s="5426"/>
      <c r="T145" s="5426"/>
      <c r="U145" s="5428"/>
      <c r="V145" s="5428"/>
      <c r="W145" s="5428"/>
      <c r="X145" s="5428"/>
      <c r="Y145" s="5428"/>
    </row>
    <row customHeight="true" ht="18.452380952380953" r="146">
      <c r="A146" s="5560" t="s">
        <v>5413</v>
      </c>
      <c r="B146" s="5432">
        <v>46233</v>
      </c>
      <c r="C146" s="5431" t="str">
        <v>Thursday</v>
      </c>
      <c r="D146" s="5561" t="s">
        <v>5426</v>
      </c>
      <c r="E146" s="5438">
        <f t="shared" si="67"/>
      </c>
      <c r="F146" s="5437" t="s">
        <v>5408</v>
      </c>
      <c r="G146" s="5569"/>
      <c r="H146" s="5437" t="s">
        <v>5299</v>
      </c>
      <c r="I146" s="5438" t="s">
        <v>5291</v>
      </c>
      <c r="J146" s="5564"/>
      <c r="K146" s="5426"/>
      <c r="L146" s="5426"/>
      <c r="M146" s="5426"/>
      <c r="N146" s="5426"/>
      <c r="O146" s="5426"/>
      <c r="P146" s="5426"/>
      <c r="Q146" s="5426"/>
      <c r="R146" s="5426"/>
      <c r="S146" s="5426"/>
      <c r="T146" s="5426"/>
      <c r="U146" s="5428"/>
      <c r="V146" s="5428"/>
      <c r="W146" s="5428"/>
      <c r="X146" s="5428"/>
      <c r="Y146" s="5428"/>
    </row>
    <row customHeight="true" ht="18.452380952380953" r="147">
      <c r="A147" s="5560" t="s">
        <v>5413</v>
      </c>
      <c r="B147" s="5432">
        <v>46233</v>
      </c>
      <c r="C147" s="5431" t="str">
        <v>Thursday</v>
      </c>
      <c r="D147" s="5561" t="s">
        <v>5426</v>
      </c>
      <c r="E147" s="5438">
        <f t="shared" si="67"/>
      </c>
      <c r="F147" s="5437" t="s">
        <v>5417</v>
      </c>
      <c r="G147" s="5569"/>
      <c r="H147" s="5437" t="s">
        <v>5299</v>
      </c>
      <c r="I147" s="5438" t="s">
        <v>5291</v>
      </c>
      <c r="J147" s="5564"/>
      <c r="K147" s="5426"/>
      <c r="L147" s="5426"/>
      <c r="M147" s="5426"/>
      <c r="N147" s="5426"/>
      <c r="O147" s="5426"/>
      <c r="P147" s="5426"/>
      <c r="Q147" s="5426"/>
      <c r="R147" s="5426"/>
      <c r="S147" s="5426"/>
      <c r="T147" s="5426"/>
      <c r="U147" s="5428"/>
      <c r="V147" s="5428"/>
      <c r="W147" s="5428"/>
      <c r="X147" s="5428"/>
      <c r="Y147" s="5428"/>
    </row>
    <row customHeight="true" ht="18.452380952380953" r="148">
      <c r="A148" s="5560" t="s">
        <v>5419</v>
      </c>
      <c r="B148" s="5432">
        <v>46234</v>
      </c>
      <c r="C148" s="5431" t="str">
        <v>Friday</v>
      </c>
      <c r="D148" s="5437" t="s">
        <v>5412</v>
      </c>
      <c r="E148" s="5438">
        <f t="shared" si="67"/>
      </c>
      <c r="F148" s="5437" t="s">
        <v>5427</v>
      </c>
      <c r="G148" s="5569"/>
      <c r="H148" s="5437" t="s">
        <v>5299</v>
      </c>
      <c r="I148" s="5438" t="s">
        <v>5291</v>
      </c>
      <c r="J148" s="5564"/>
      <c r="K148" s="5426"/>
      <c r="L148" s="5426"/>
      <c r="M148" s="5426"/>
      <c r="N148" s="5426"/>
      <c r="O148" s="5426"/>
      <c r="P148" s="5426"/>
      <c r="Q148" s="5426"/>
      <c r="R148" s="5426"/>
      <c r="S148" s="5426"/>
      <c r="T148" s="5426"/>
      <c r="U148" s="5428"/>
      <c r="V148" s="5428"/>
      <c r="W148" s="5428"/>
      <c r="X148" s="5428"/>
      <c r="Y148" s="5428"/>
    </row>
    <row customHeight="true" ht="18.452380952380953" r="149">
      <c r="A149" s="5560" t="s">
        <v>5413</v>
      </c>
      <c r="B149" s="5432">
        <v>46234</v>
      </c>
      <c r="C149" s="5431" t="str">
        <v>Friday</v>
      </c>
      <c r="D149" s="5561" t="s">
        <v>5428</v>
      </c>
      <c r="E149" s="5438">
        <f t="shared" si="67"/>
      </c>
      <c r="F149" s="5437" t="s">
        <v>5429</v>
      </c>
      <c r="G149" s="5569"/>
      <c r="H149" s="5437" t="s">
        <v>5299</v>
      </c>
      <c r="I149" s="5438" t="s">
        <v>5291</v>
      </c>
      <c r="J149" s="5564"/>
      <c r="K149" s="5426"/>
      <c r="L149" s="5426"/>
      <c r="M149" s="5426"/>
      <c r="N149" s="5426"/>
      <c r="O149" s="5426"/>
      <c r="P149" s="5426"/>
      <c r="Q149" s="5426"/>
      <c r="R149" s="5426"/>
      <c r="S149" s="5426"/>
      <c r="T149" s="5426"/>
      <c r="U149" s="5428"/>
      <c r="V149" s="5428"/>
      <c r="W149" s="5428"/>
      <c r="X149" s="5428"/>
      <c r="Y149" s="5428"/>
    </row>
    <row customHeight="true" ht="18.452380952380953" r="150">
      <c r="A150" s="5560" t="s">
        <v>5413</v>
      </c>
      <c r="B150" s="5432">
        <v>46234</v>
      </c>
      <c r="C150" s="5431" t="str">
        <v>Friday</v>
      </c>
      <c r="D150" s="5561" t="s">
        <v>5296</v>
      </c>
      <c r="E150" s="5438">
        <f t="shared" si="67"/>
      </c>
      <c r="F150" s="5437" t="s">
        <v>5417</v>
      </c>
      <c r="G150" s="5569"/>
      <c r="H150" s="5437" t="s">
        <v>5299</v>
      </c>
      <c r="I150" s="5438" t="s">
        <v>5291</v>
      </c>
      <c r="J150" s="5563" t="s">
        <v>5430</v>
      </c>
      <c r="K150" s="5426"/>
      <c r="L150" s="5426"/>
      <c r="M150" s="5426"/>
      <c r="N150" s="5426"/>
      <c r="O150" s="5426"/>
      <c r="P150" s="5426"/>
      <c r="Q150" s="5426"/>
      <c r="R150" s="5426"/>
      <c r="S150" s="5426"/>
      <c r="T150" s="5426"/>
      <c r="U150" s="5428"/>
      <c r="V150" s="5428"/>
      <c r="W150" s="5428"/>
      <c r="X150" s="5428"/>
      <c r="Y150" s="5428"/>
    </row>
    <row customHeight="true" ht="18.452380952380953" r="151">
      <c r="A151" s="5560" t="s">
        <v>5413</v>
      </c>
      <c r="B151" s="5431">
        <v>46234</v>
      </c>
      <c r="C151" s="5431" t="str">
        <v>Friday</v>
      </c>
      <c r="D151" s="5561" t="s">
        <v>5315</v>
      </c>
      <c r="E151" s="5438">
        <f t="shared" si="67"/>
      </c>
      <c r="F151" s="5437" t="s">
        <v>5417</v>
      </c>
      <c r="G151" s="5569"/>
      <c r="H151" s="5437" t="s">
        <v>5299</v>
      </c>
      <c r="I151" s="5438" t="s">
        <v>5291</v>
      </c>
      <c r="J151" s="5563" t="s">
        <v>5431</v>
      </c>
      <c r="K151" s="5426"/>
      <c r="L151" s="5426"/>
      <c r="M151" s="5426"/>
      <c r="N151" s="5426"/>
      <c r="O151" s="5426"/>
      <c r="P151" s="5426"/>
      <c r="Q151" s="5426"/>
      <c r="R151" s="5426"/>
      <c r="S151" s="5426"/>
      <c r="T151" s="5426"/>
      <c r="U151" s="5428"/>
      <c r="V151" s="5428"/>
      <c r="W151" s="5428"/>
      <c r="X151" s="5428"/>
      <c r="Y151" s="5428"/>
    </row>
    <row r="152">
      <c r="A152" s="5560" t="s">
        <v>5419</v>
      </c>
      <c r="B152" s="5432">
        <v>46235</v>
      </c>
      <c r="C152" s="5431" t="str">
        <v>Saturday</v>
      </c>
      <c r="D152" s="5561" t="s">
        <v>5432</v>
      </c>
      <c r="E152" s="5438">
        <f t="shared" si="67"/>
      </c>
      <c r="F152" s="5437" t="s">
        <v>5429</v>
      </c>
      <c r="G152" s="5569"/>
      <c r="H152" s="5437" t="s">
        <v>5299</v>
      </c>
      <c r="I152" s="5438" t="s">
        <v>5291</v>
      </c>
      <c r="J152" s="5564"/>
      <c r="K152" s="5426"/>
      <c r="L152" s="5426"/>
      <c r="M152" s="5426"/>
      <c r="N152" s="5426"/>
      <c r="O152" s="5426"/>
      <c r="P152" s="5426"/>
      <c r="Q152" s="5426"/>
      <c r="R152" s="5426"/>
      <c r="S152" s="5426"/>
      <c r="T152" s="5426"/>
      <c r="U152" s="5428"/>
      <c r="V152" s="5428"/>
      <c r="W152" s="5428"/>
      <c r="X152" s="5428"/>
      <c r="Y152" s="5428"/>
    </row>
    <row customHeight="true" ht="18.452380952380953" r="153">
      <c r="A153" s="5560" t="s">
        <v>5419</v>
      </c>
      <c r="B153" s="5432">
        <v>46236</v>
      </c>
      <c r="C153" s="5431" t="str">
        <v>Sunday</v>
      </c>
      <c r="D153" s="5561" t="s">
        <v>5432</v>
      </c>
      <c r="E153" s="5438">
        <f t="shared" si="67"/>
      </c>
      <c r="F153" s="5437" t="s">
        <v>5429</v>
      </c>
      <c r="G153" s="5569"/>
      <c r="H153" s="5437" t="s">
        <v>5299</v>
      </c>
      <c r="I153" s="5438" t="s">
        <v>5291</v>
      </c>
      <c r="J153" s="5564"/>
      <c r="K153" s="5426"/>
      <c r="L153" s="5426"/>
      <c r="M153" s="5426"/>
      <c r="N153" s="5426"/>
      <c r="O153" s="5426"/>
      <c r="P153" s="5426"/>
      <c r="Q153" s="5426"/>
      <c r="R153" s="5426"/>
      <c r="S153" s="5426"/>
      <c r="T153" s="5426"/>
      <c r="U153" s="5428"/>
      <c r="V153" s="5428"/>
      <c r="W153" s="5428"/>
      <c r="X153" s="5428"/>
      <c r="Y153" s="5428"/>
    </row>
    <row customHeight="true" ht="18.452380952380953" r="154">
      <c r="A154" s="5560" t="s">
        <v>5413</v>
      </c>
      <c r="B154" s="5432">
        <v>46235</v>
      </c>
      <c r="C154" s="5431" t="str">
        <v>Saturday</v>
      </c>
      <c r="D154" s="5561" t="s">
        <v>5335</v>
      </c>
      <c r="E154" s="5438">
        <f t="shared" si="67"/>
      </c>
      <c r="F154" s="5437" t="s">
        <v>5417</v>
      </c>
      <c r="G154" s="5569"/>
      <c r="H154" s="5437" t="s">
        <v>5299</v>
      </c>
      <c r="I154" s="5438" t="s">
        <v>5291</v>
      </c>
      <c r="J154" s="5563" t="s">
        <v>5433</v>
      </c>
      <c r="K154" s="5426"/>
      <c r="L154" s="5426"/>
      <c r="M154" s="5426"/>
      <c r="N154" s="5426"/>
      <c r="O154" s="5426"/>
      <c r="P154" s="5426"/>
      <c r="Q154" s="5426"/>
      <c r="R154" s="5426"/>
      <c r="S154" s="5426"/>
      <c r="T154" s="5426"/>
      <c r="U154" s="5428"/>
      <c r="V154" s="5428"/>
      <c r="W154" s="5428"/>
      <c r="X154" s="5428"/>
      <c r="Y154" s="5428"/>
    </row>
    <row customHeight="true" ht="18.452380952380953" r="155">
      <c r="A155" s="5560" t="s">
        <v>5413</v>
      </c>
      <c r="B155" s="5432">
        <v>46236</v>
      </c>
      <c r="C155" s="5431" t="str">
        <v>Sunday</v>
      </c>
      <c r="D155" s="5561" t="s">
        <v>5330</v>
      </c>
      <c r="E155" s="5438">
        <f t="shared" si="67"/>
      </c>
      <c r="F155" s="5437" t="s">
        <v>5306</v>
      </c>
      <c r="G155" s="5569"/>
      <c r="H155" s="5437" t="s">
        <v>5299</v>
      </c>
      <c r="I155" s="5438" t="s">
        <v>5291</v>
      </c>
      <c r="J155" s="5563"/>
      <c r="K155" s="5426"/>
      <c r="L155" s="5426"/>
      <c r="M155" s="5426"/>
      <c r="N155" s="5426"/>
      <c r="O155" s="5426"/>
      <c r="P155" s="5426"/>
      <c r="Q155" s="5426"/>
      <c r="R155" s="5426"/>
      <c r="S155" s="5426"/>
      <c r="T155" s="5426"/>
      <c r="U155" s="5428"/>
      <c r="V155" s="5428"/>
      <c r="W155" s="5428"/>
      <c r="X155" s="5428"/>
      <c r="Y155" s="5428"/>
    </row>
    <row customHeight="true" ht="18.452380952380953" r="156">
      <c r="A156" s="5560" t="s">
        <v>5413</v>
      </c>
      <c r="B156" s="5432">
        <v>46236</v>
      </c>
      <c r="C156" s="5431" t="str">
        <v>Sunday</v>
      </c>
      <c r="D156" s="5561" t="s">
        <v>5434</v>
      </c>
      <c r="E156" s="5438">
        <f t="shared" si="67"/>
      </c>
      <c r="F156" s="5437" t="s">
        <v>5417</v>
      </c>
      <c r="G156" s="5569"/>
      <c r="H156" s="5437" t="s">
        <v>5299</v>
      </c>
      <c r="I156" s="5438" t="s">
        <v>5291</v>
      </c>
      <c r="J156" s="5563" t="s">
        <v>5435</v>
      </c>
      <c r="K156" s="5426"/>
      <c r="L156" s="5426"/>
      <c r="M156" s="5426"/>
      <c r="N156" s="5426"/>
      <c r="O156" s="5426"/>
      <c r="P156" s="5426"/>
      <c r="Q156" s="5426"/>
      <c r="R156" s="5426"/>
      <c r="S156" s="5426"/>
      <c r="T156" s="5426"/>
      <c r="U156" s="5428"/>
      <c r="V156" s="5428"/>
      <c r="W156" s="5428"/>
      <c r="X156" s="5428"/>
      <c r="Y156" s="5428"/>
    </row>
    <row r="157">
      <c r="A157" s="5570" t="s">
        <v>5436</v>
      </c>
      <c r="B157" s="5570" t="s">
        <v>5407</v>
      </c>
      <c r="C157" s="5570"/>
      <c r="D157" s="5570"/>
      <c r="E157" s="5570"/>
      <c r="F157" s="5570"/>
      <c r="G157" s="5570"/>
      <c r="H157" s="5570"/>
      <c r="I157" s="5570"/>
      <c r="J157" s="5570"/>
      <c r="K157" s="5478"/>
      <c r="L157" s="5478"/>
      <c r="M157" s="5478"/>
      <c r="N157" s="5478"/>
      <c r="O157" s="5426"/>
      <c r="P157" s="5426"/>
      <c r="Q157" s="5426"/>
      <c r="R157" s="5426"/>
      <c r="S157" s="5426"/>
      <c r="T157" s="5426"/>
      <c r="U157" s="5428"/>
      <c r="V157" s="5428"/>
      <c r="W157" s="5428"/>
      <c r="X157" s="5428"/>
      <c r="Y157" s="5428"/>
    </row>
    <row r="158">
      <c r="A158" s="5571" t="s">
        <v>5277</v>
      </c>
      <c r="B158" s="5572" t="s">
        <v>5278</v>
      </c>
      <c r="C158" s="5572"/>
      <c r="D158" s="5573" t="s">
        <v>5279</v>
      </c>
      <c r="E158" s="5574" t="s">
        <v>5280</v>
      </c>
      <c r="F158" s="5574" t="s">
        <v>5281</v>
      </c>
      <c r="G158" s="5575" t="s">
        <v>5294</v>
      </c>
      <c r="H158" s="5576" t="s">
        <v>5283</v>
      </c>
      <c r="I158" s="5576" t="s">
        <v>5284</v>
      </c>
      <c r="J158" s="5577" t="s">
        <v>5285</v>
      </c>
      <c r="K158" s="5478"/>
      <c r="L158" s="5478"/>
      <c r="M158" s="5478"/>
      <c r="N158" s="5478"/>
      <c r="O158" s="5426"/>
      <c r="P158" s="5426"/>
      <c r="Q158" s="5426"/>
      <c r="R158" s="5426"/>
      <c r="S158" s="5426"/>
      <c r="T158" s="5426"/>
      <c r="U158" s="5428"/>
      <c r="V158" s="5428"/>
      <c r="W158" s="5428"/>
      <c r="X158" s="5428"/>
      <c r="Y158" s="5428"/>
    </row>
    <row r="159">
      <c r="A159" s="5431" t="s">
        <v>5436</v>
      </c>
      <c r="B159" s="5432">
        <v>46230</v>
      </c>
      <c r="C159" s="5431" t="str">
        <v>Monday</v>
      </c>
      <c r="D159" s="5561" t="s">
        <v>5321</v>
      </c>
      <c r="E159" s="5437">
        <f t="shared" ref="E159:E162" si="68">24*MOD(TIMEVALUE(TRIM(MID(D159,FIND("-",D159)+1,LEN(D159)))) - TIMEVALUE(TRIM(LEFT(D159,FIND("-",D159)-1))),1)</f>
      </c>
      <c r="F159" s="5437" t="s">
        <v>5437</v>
      </c>
      <c r="G159" s="5497" t="s">
        <v>5414</v>
      </c>
      <c r="H159" s="5437" t="s">
        <v>5267</v>
      </c>
      <c r="I159" s="5438" t="s">
        <v>5291</v>
      </c>
      <c r="J159" s="5578"/>
      <c r="K159" s="5478"/>
      <c r="L159" s="5478"/>
      <c r="M159" s="5478"/>
      <c r="N159" s="5478"/>
      <c r="O159" s="5426"/>
      <c r="P159" s="5426"/>
      <c r="Q159" s="5426"/>
      <c r="R159" s="5426"/>
      <c r="S159" s="5426"/>
      <c r="T159" s="5426"/>
      <c r="U159" s="5428"/>
      <c r="V159" s="5428"/>
      <c r="W159" s="5428"/>
      <c r="X159" s="5428"/>
      <c r="Y159" s="5428"/>
    </row>
    <row customHeight="true" ht="18.452380952380953" r="160">
      <c r="A160" s="5431" t="s">
        <v>5436</v>
      </c>
      <c r="B160" s="5432">
        <v>46231</v>
      </c>
      <c r="C160" s="5431" t="str">
        <v>Tuesday</v>
      </c>
      <c r="D160" s="5561" t="s">
        <v>5321</v>
      </c>
      <c r="E160" s="5437">
        <f t="shared" si="68"/>
      </c>
      <c r="F160" s="5437" t="s">
        <v>5437</v>
      </c>
      <c r="G160" s="5497" t="s">
        <v>5414</v>
      </c>
      <c r="H160" s="5437" t="s">
        <v>5267</v>
      </c>
      <c r="I160" s="5438" t="s">
        <v>5291</v>
      </c>
      <c r="J160" s="5578"/>
      <c r="K160" s="5478"/>
      <c r="L160" s="5478"/>
      <c r="M160" s="5478"/>
      <c r="N160" s="5478"/>
      <c r="O160" s="5426"/>
      <c r="P160" s="5426"/>
      <c r="Q160" s="5426"/>
      <c r="R160" s="5426"/>
      <c r="S160" s="5426"/>
      <c r="T160" s="5426"/>
      <c r="U160" s="5428"/>
      <c r="V160" s="5428"/>
      <c r="W160" s="5428"/>
      <c r="X160" s="5428"/>
      <c r="Y160" s="5428"/>
    </row>
    <row customHeight="true" ht="18.452380952380953" r="161">
      <c r="A161" s="5431" t="s">
        <v>5436</v>
      </c>
      <c r="B161" s="5432">
        <v>46233</v>
      </c>
      <c r="C161" s="5431" t="str">
        <v>Thursday</v>
      </c>
      <c r="D161" s="5561" t="s">
        <v>5438</v>
      </c>
      <c r="E161" s="5437">
        <f t="shared" si="68"/>
      </c>
      <c r="F161" s="5437" t="s">
        <v>5437</v>
      </c>
      <c r="G161" s="5497" t="s">
        <v>5414</v>
      </c>
      <c r="H161" s="5437" t="s">
        <v>5267</v>
      </c>
      <c r="I161" s="5438" t="s">
        <v>5291</v>
      </c>
      <c r="J161" s="5578"/>
      <c r="K161" s="5478"/>
      <c r="L161" s="5478"/>
      <c r="M161" s="5478"/>
      <c r="N161" s="5478"/>
      <c r="O161" s="5426"/>
      <c r="P161" s="5426"/>
      <c r="Q161" s="5426"/>
      <c r="R161" s="5426"/>
      <c r="S161" s="5426"/>
      <c r="T161" s="5426"/>
      <c r="U161" s="5428"/>
      <c r="V161" s="5428"/>
      <c r="W161" s="5428"/>
      <c r="X161" s="5428"/>
      <c r="Y161" s="5428"/>
    </row>
    <row customHeight="true" ht="18.452380952380953" r="162">
      <c r="A162" s="5431" t="s">
        <v>5436</v>
      </c>
      <c r="B162" s="5432">
        <v>46234</v>
      </c>
      <c r="C162" s="5431" t="str">
        <v>Friday</v>
      </c>
      <c r="D162" s="5561" t="s">
        <v>5343</v>
      </c>
      <c r="E162" s="5437">
        <f t="shared" si="68"/>
      </c>
      <c r="F162" s="5437" t="s">
        <v>5437</v>
      </c>
      <c r="G162" s="5497" t="s">
        <v>5439</v>
      </c>
      <c r="H162" s="5437" t="s">
        <v>5267</v>
      </c>
      <c r="I162" s="5438" t="s">
        <v>5291</v>
      </c>
      <c r="J162" s="5578"/>
      <c r="K162" s="5478"/>
      <c r="L162" s="5478"/>
      <c r="M162" s="5478"/>
      <c r="N162" s="5478"/>
      <c r="O162" s="5426"/>
      <c r="P162" s="5426"/>
      <c r="Q162" s="5426"/>
      <c r="R162" s="5426"/>
      <c r="S162" s="5426"/>
      <c r="T162" s="5426"/>
      <c r="U162" s="5428"/>
      <c r="V162" s="5428"/>
      <c r="W162" s="5428"/>
      <c r="X162" s="5428"/>
      <c r="Y162" s="5428"/>
    </row>
    <row customHeight="true" ht="18.452380952380953" r="163">
      <c r="A163" s="5431"/>
      <c r="B163" s="5432"/>
      <c r="C163" s="5431"/>
      <c r="D163" s="5561"/>
      <c r="E163" s="5437"/>
      <c r="F163" s="5437"/>
      <c r="G163" s="5486"/>
      <c r="H163" s="5437"/>
      <c r="I163" s="5438"/>
      <c r="J163" s="5578"/>
      <c r="K163" s="5478"/>
      <c r="L163" s="5478"/>
      <c r="M163" s="5478"/>
      <c r="N163" s="5478"/>
      <c r="O163" s="5426"/>
      <c r="P163" s="5426"/>
      <c r="Q163" s="5426"/>
      <c r="R163" s="5426"/>
      <c r="S163" s="5426"/>
      <c r="T163" s="5426"/>
      <c r="U163" s="5428"/>
      <c r="V163" s="5428"/>
      <c r="W163" s="5428"/>
      <c r="X163" s="5428"/>
      <c r="Y163" s="5428"/>
    </row>
    <row r="164">
      <c r="A164" s="5431" t="s">
        <v>5440</v>
      </c>
      <c r="B164" s="5431">
        <v>46230</v>
      </c>
      <c r="C164" s="5431" t="str">
        <v>Monday</v>
      </c>
      <c r="D164" s="5437" t="s">
        <v>5321</v>
      </c>
      <c r="E164" s="5437">
        <f t="shared" ref="E164:E168" si="69">24*MOD(TIMEVALUE(TRIM(MID(D164,FIND("-",D164)+1,LEN(D164)))) - TIMEVALUE(TRIM(LEFT(D164,FIND("-",D164)-1))),1)</f>
      </c>
      <c r="F164" s="5437" t="s">
        <v>5427</v>
      </c>
      <c r="G164" s="5486"/>
      <c r="H164" s="5437" t="s">
        <v>5267</v>
      </c>
      <c r="I164" s="5438" t="s">
        <v>5291</v>
      </c>
      <c r="J164" s="5578"/>
      <c r="K164" s="5478"/>
      <c r="L164" s="5478"/>
      <c r="M164" s="5478"/>
      <c r="N164" s="5478"/>
      <c r="O164" s="5426"/>
      <c r="P164" s="5426"/>
      <c r="Q164" s="5426"/>
      <c r="R164" s="5426"/>
      <c r="S164" s="5426"/>
      <c r="T164" s="5426"/>
      <c r="U164" s="5428"/>
      <c r="V164" s="5428"/>
      <c r="W164" s="5428"/>
      <c r="X164" s="5428"/>
      <c r="Y164" s="5428"/>
    </row>
    <row customHeight="true" ht="16.071428571428573" r="165">
      <c r="A165" s="5431" t="s">
        <v>5440</v>
      </c>
      <c r="B165" s="5431">
        <v>46231</v>
      </c>
      <c r="C165" s="5431" t="str">
        <v>Tuesday</v>
      </c>
      <c r="D165" s="5561" t="s">
        <v>5441</v>
      </c>
      <c r="E165" s="5437">
        <f t="shared" si="69"/>
      </c>
      <c r="F165" s="5437" t="s">
        <v>5427</v>
      </c>
      <c r="G165" s="5486"/>
      <c r="H165" s="5437" t="s">
        <v>5267</v>
      </c>
      <c r="I165" s="5438" t="s">
        <v>5291</v>
      </c>
      <c r="J165" s="5578"/>
      <c r="K165" s="5478"/>
      <c r="L165" s="5478"/>
      <c r="M165" s="5478"/>
      <c r="N165" s="5478"/>
      <c r="O165" s="5426"/>
      <c r="P165" s="5426"/>
      <c r="Q165" s="5426"/>
      <c r="R165" s="5426"/>
      <c r="S165" s="5426"/>
      <c r="T165" s="5426"/>
      <c r="U165" s="5428"/>
      <c r="V165" s="5428"/>
      <c r="W165" s="5428"/>
      <c r="X165" s="5428"/>
      <c r="Y165" s="5428"/>
    </row>
    <row customHeight="true" ht="16.071428571428573" r="166">
      <c r="A166" s="5431" t="s">
        <v>5440</v>
      </c>
      <c r="B166" s="5431">
        <v>46233</v>
      </c>
      <c r="C166" s="5431" t="str">
        <v>Thursday</v>
      </c>
      <c r="D166" s="5437" t="s">
        <v>5438</v>
      </c>
      <c r="E166" s="5437">
        <f t="shared" si="69"/>
      </c>
      <c r="F166" s="5437" t="s">
        <v>5427</v>
      </c>
      <c r="G166" s="5486"/>
      <c r="H166" s="5437" t="s">
        <v>5267</v>
      </c>
      <c r="I166" s="5438" t="s">
        <v>5291</v>
      </c>
      <c r="J166" s="5578"/>
      <c r="K166" s="5478"/>
      <c r="L166" s="5478"/>
      <c r="M166" s="5478"/>
      <c r="N166" s="5478"/>
      <c r="O166" s="5426"/>
      <c r="P166" s="5426"/>
      <c r="Q166" s="5426"/>
      <c r="R166" s="5426"/>
      <c r="S166" s="5426"/>
      <c r="T166" s="5426"/>
      <c r="U166" s="5428"/>
      <c r="V166" s="5428"/>
      <c r="W166" s="5428"/>
      <c r="X166" s="5428"/>
      <c r="Y166" s="5428"/>
    </row>
    <row customHeight="true" ht="16.071428571428573" r="167">
      <c r="A167" s="5431" t="s">
        <v>5440</v>
      </c>
      <c r="B167" s="5431">
        <v>46234</v>
      </c>
      <c r="C167" s="5431" t="str">
        <v>Friday</v>
      </c>
      <c r="D167" s="5437" t="s">
        <v>5343</v>
      </c>
      <c r="E167" s="5437">
        <f t="shared" si="69"/>
      </c>
      <c r="F167" s="5437" t="s">
        <v>5427</v>
      </c>
      <c r="G167" s="5486"/>
      <c r="H167" s="5437" t="s">
        <v>5267</v>
      </c>
      <c r="I167" s="5438" t="s">
        <v>5291</v>
      </c>
      <c r="J167" s="5578"/>
      <c r="K167" s="5478"/>
      <c r="L167" s="5478"/>
      <c r="M167" s="5478"/>
      <c r="N167" s="5478"/>
      <c r="O167" s="5426"/>
      <c r="P167" s="5426"/>
      <c r="Q167" s="5426"/>
      <c r="R167" s="5426"/>
      <c r="S167" s="5426"/>
      <c r="T167" s="5426"/>
      <c r="U167" s="5428"/>
      <c r="V167" s="5428"/>
      <c r="W167" s="5428"/>
      <c r="X167" s="5428"/>
      <c r="Y167" s="5428"/>
    </row>
    <row customHeight="true" ht="16.071428571428573" r="168">
      <c r="A168" s="5431" t="s">
        <v>5440</v>
      </c>
      <c r="B168" s="5431">
        <v>46234</v>
      </c>
      <c r="C168" s="5431" t="str">
        <v>Friday</v>
      </c>
      <c r="D168" s="5437" t="s">
        <v>5343</v>
      </c>
      <c r="E168" s="5437">
        <f t="shared" si="69"/>
      </c>
      <c r="F168" s="5579" t="s">
        <v>5442</v>
      </c>
      <c r="G168" s="5486"/>
      <c r="H168" s="5437" t="s">
        <v>5267</v>
      </c>
      <c r="I168" s="5438" t="s">
        <v>5268</v>
      </c>
      <c r="J168" s="5580" t="s">
        <v>5443</v>
      </c>
      <c r="K168" s="5478"/>
      <c r="L168" s="5478"/>
      <c r="M168" s="5478"/>
      <c r="N168" s="5478"/>
      <c r="O168" s="5426"/>
      <c r="P168" s="5426"/>
      <c r="Q168" s="5426"/>
      <c r="R168" s="5426"/>
      <c r="S168" s="5426"/>
      <c r="T168" s="5426"/>
      <c r="U168" s="5428"/>
      <c r="V168" s="5428"/>
      <c r="W168" s="5428"/>
      <c r="X168" s="5428"/>
      <c r="Y168" s="5428"/>
    </row>
    <row customHeight="true" ht="16.071428571428573" r="169">
      <c r="A169" s="5431"/>
      <c r="B169" s="5431"/>
      <c r="C169" s="5431"/>
      <c r="D169" s="5437"/>
      <c r="E169" s="5437"/>
      <c r="F169" s="5437"/>
      <c r="G169" s="5486"/>
      <c r="H169" s="5437"/>
      <c r="I169" s="5438"/>
      <c r="J169" s="5578"/>
      <c r="K169" s="5478"/>
      <c r="L169" s="5478"/>
      <c r="M169" s="5478"/>
      <c r="N169" s="5478"/>
      <c r="O169" s="5426"/>
      <c r="P169" s="5426"/>
      <c r="Q169" s="5426"/>
      <c r="R169" s="5426"/>
      <c r="S169" s="5426"/>
      <c r="T169" s="5426"/>
      <c r="U169" s="5428"/>
      <c r="V169" s="5428"/>
      <c r="W169" s="5428"/>
      <c r="X169" s="5428"/>
      <c r="Y169" s="5428"/>
    </row>
    <row r="170">
      <c r="A170" s="5431"/>
      <c r="B170" s="5431"/>
      <c r="C170" s="5431"/>
      <c r="D170" s="5437"/>
      <c r="E170" s="5437"/>
      <c r="F170" s="5437"/>
      <c r="G170" s="5486"/>
      <c r="H170" s="5437"/>
      <c r="I170" s="5438"/>
      <c r="J170" s="5578"/>
      <c r="K170" s="5478"/>
      <c r="L170" s="5478"/>
      <c r="M170" s="5478"/>
      <c r="N170" s="5478"/>
      <c r="O170" s="5426"/>
      <c r="P170" s="5426"/>
      <c r="Q170" s="5426"/>
      <c r="R170" s="5426"/>
      <c r="S170" s="5426"/>
      <c r="T170" s="5426"/>
      <c r="U170" s="5428"/>
      <c r="V170" s="5428"/>
      <c r="W170" s="5428"/>
      <c r="X170" s="5428"/>
      <c r="Y170" s="5428"/>
    </row>
    <row r="171">
      <c r="A171" s="5428"/>
      <c r="B171" s="5428"/>
      <c r="C171" s="5428"/>
      <c r="D171" s="5428"/>
      <c r="E171" s="5428"/>
      <c r="F171" s="5428"/>
      <c r="G171" s="5428"/>
      <c r="H171" s="5428"/>
      <c r="I171" s="5428"/>
      <c r="J171" s="5428"/>
      <c r="K171" s="5428"/>
      <c r="L171" s="5428"/>
      <c r="M171" s="5428"/>
      <c r="N171" s="5428"/>
      <c r="O171" s="5428"/>
      <c r="P171" s="5428"/>
      <c r="Q171" s="5428"/>
      <c r="R171" s="5428"/>
      <c r="S171" s="5428"/>
      <c r="T171" s="5428"/>
      <c r="U171" s="5428"/>
      <c r="V171" s="5428"/>
      <c r="W171" s="5428"/>
      <c r="X171" s="5428"/>
      <c r="Y171" s="5428"/>
    </row>
    <row r="172">
      <c r="A172" s="5581" t="s">
        <v>5444</v>
      </c>
      <c r="B172" s="5581"/>
      <c r="C172" s="5581"/>
      <c r="D172" s="5581"/>
      <c r="E172" s="5581"/>
      <c r="F172" s="5581"/>
      <c r="G172" s="5581"/>
      <c r="H172" s="5581" t="s">
        <v>5445</v>
      </c>
      <c r="I172" s="5581"/>
      <c r="J172" s="5581"/>
      <c r="K172" s="5478"/>
      <c r="L172" s="5478"/>
      <c r="M172" s="5478"/>
      <c r="N172" s="5478"/>
      <c r="O172" s="5426"/>
      <c r="P172" s="5426"/>
      <c r="Q172" s="5426"/>
      <c r="R172" s="5426"/>
      <c r="S172" s="5426"/>
      <c r="T172" s="5426"/>
      <c r="U172" s="5427"/>
      <c r="V172" s="5427"/>
      <c r="W172" s="5427"/>
      <c r="X172" s="5427"/>
      <c r="Y172" s="5427"/>
    </row>
    <row r="173">
      <c r="A173" s="5582" t="s">
        <v>5277</v>
      </c>
      <c r="B173" s="5583" t="s">
        <v>5278</v>
      </c>
      <c r="C173" s="5583"/>
      <c r="D173" s="5584" t="s">
        <v>5279</v>
      </c>
      <c r="E173" s="5585" t="s">
        <v>5280</v>
      </c>
      <c r="F173" s="5585" t="s">
        <v>5281</v>
      </c>
      <c r="G173" s="5586" t="s">
        <v>5294</v>
      </c>
      <c r="H173" s="5587" t="s">
        <v>5283</v>
      </c>
      <c r="I173" s="5587" t="s">
        <v>5284</v>
      </c>
      <c r="J173" s="5588" t="s">
        <v>5285</v>
      </c>
      <c r="K173" s="5478"/>
      <c r="L173" s="5478"/>
      <c r="M173" s="5478"/>
      <c r="N173" s="5478"/>
      <c r="O173" s="5426"/>
      <c r="P173" s="5426"/>
      <c r="Q173" s="5426"/>
      <c r="R173" s="5426"/>
      <c r="S173" s="5426"/>
      <c r="T173" s="5426"/>
      <c r="U173" s="5427"/>
      <c r="V173" s="5427"/>
      <c r="W173" s="5427"/>
      <c r="X173" s="5427"/>
      <c r="Y173" s="5427"/>
    </row>
    <row r="174">
      <c r="A174" s="5431" t="s">
        <v>5444</v>
      </c>
      <c r="B174" s="5432">
        <v>46230</v>
      </c>
      <c r="C174" s="5431" t="str">
        <v>Monday</v>
      </c>
      <c r="D174" s="5561" t="s">
        <v>5446</v>
      </c>
      <c r="E174" s="5437">
        <f t="shared" ref="E174:E186" si="70">24*MOD(TIMEVALUE(TRIM(MID(D174,FIND("-",D174)+1,LEN(D174)))) - TIMEVALUE(TRIM(LEFT(D174,FIND("-",D174)-1))),1)</f>
      </c>
      <c r="F174" s="5437" t="s">
        <v>5447</v>
      </c>
      <c r="G174" s="5497" t="s">
        <v>5409</v>
      </c>
      <c r="H174" s="5437" t="s">
        <v>5267</v>
      </c>
      <c r="I174" s="5438" t="s">
        <v>5268</v>
      </c>
      <c r="J174" s="5578"/>
      <c r="K174" s="5478"/>
      <c r="L174" s="5478"/>
      <c r="M174" s="5478"/>
      <c r="N174" s="5478"/>
      <c r="O174" s="5426"/>
      <c r="P174" s="5426"/>
      <c r="Q174" s="5426"/>
      <c r="R174" s="5426"/>
      <c r="S174" s="5426"/>
      <c r="T174" s="5426"/>
      <c r="U174" s="5428"/>
      <c r="V174" s="5428"/>
      <c r="W174" s="5428"/>
      <c r="X174" s="5428"/>
      <c r="Y174" s="5428"/>
    </row>
    <row r="175">
      <c r="A175" s="5431" t="s">
        <v>5444</v>
      </c>
      <c r="B175" s="5432">
        <v>46231</v>
      </c>
      <c r="C175" s="5431" t="str">
        <v>Tuesday</v>
      </c>
      <c r="D175" s="5437" t="s">
        <v>5312</v>
      </c>
      <c r="E175" s="5437">
        <f t="shared" si="70"/>
      </c>
      <c r="F175" s="5437" t="s">
        <v>5411</v>
      </c>
      <c r="G175" s="5497" t="s">
        <v>5448</v>
      </c>
      <c r="H175" s="5437" t="s">
        <v>5267</v>
      </c>
      <c r="I175" s="5438" t="s">
        <v>5268</v>
      </c>
      <c r="J175" s="5578"/>
      <c r="K175" s="5478"/>
      <c r="L175" s="5478"/>
      <c r="M175" s="5478"/>
      <c r="N175" s="5478"/>
      <c r="O175" s="5426"/>
      <c r="P175" s="5426"/>
      <c r="Q175" s="5426"/>
      <c r="R175" s="5426"/>
      <c r="S175" s="5426"/>
      <c r="T175" s="5426"/>
      <c r="U175" s="5428"/>
      <c r="V175" s="5428"/>
      <c r="W175" s="5428"/>
      <c r="X175" s="5428"/>
      <c r="Y175" s="5428"/>
    </row>
    <row r="176">
      <c r="A176" s="5431" t="s">
        <v>5444</v>
      </c>
      <c r="B176" s="5432">
        <v>46232</v>
      </c>
      <c r="C176" s="5431" t="str">
        <v>Wednesday</v>
      </c>
      <c r="D176" s="5561" t="s">
        <v>5426</v>
      </c>
      <c r="E176" s="5437">
        <f t="shared" si="70"/>
      </c>
      <c r="F176" s="5437" t="s">
        <v>5345</v>
      </c>
      <c r="G176" s="5486"/>
      <c r="H176" s="5437" t="s">
        <v>5267</v>
      </c>
      <c r="I176" s="5438" t="s">
        <v>5268</v>
      </c>
      <c r="J176" s="5578"/>
      <c r="K176" s="5478"/>
      <c r="L176" s="5478"/>
      <c r="M176" s="5478"/>
      <c r="N176" s="5478"/>
      <c r="O176" s="5426"/>
      <c r="P176" s="5426"/>
      <c r="Q176" s="5426"/>
      <c r="R176" s="5426"/>
      <c r="S176" s="5426"/>
      <c r="T176" s="5426"/>
      <c r="U176" s="5428"/>
      <c r="V176" s="5428"/>
      <c r="W176" s="5428"/>
      <c r="X176" s="5428"/>
      <c r="Y176" s="5428"/>
    </row>
    <row r="177">
      <c r="A177" s="5431" t="s">
        <v>5444</v>
      </c>
      <c r="B177" s="5432">
        <v>46234</v>
      </c>
      <c r="C177" s="5431" t="str">
        <v>Friday</v>
      </c>
      <c r="D177" s="5437" t="s">
        <v>5312</v>
      </c>
      <c r="E177" s="5437">
        <f t="shared" si="70"/>
      </c>
      <c r="F177" s="5437" t="s">
        <v>5411</v>
      </c>
      <c r="G177" s="5486"/>
      <c r="H177" s="5437" t="s">
        <v>5267</v>
      </c>
      <c r="I177" s="5438" t="s">
        <v>5268</v>
      </c>
      <c r="J177" s="5578"/>
      <c r="K177" s="5478"/>
      <c r="L177" s="5478"/>
      <c r="M177" s="5478"/>
      <c r="N177" s="5478"/>
      <c r="O177" s="5426"/>
      <c r="P177" s="5426"/>
      <c r="Q177" s="5426"/>
      <c r="R177" s="5426"/>
      <c r="S177" s="5426"/>
      <c r="T177" s="5426"/>
      <c r="U177" s="5428"/>
      <c r="V177" s="5428"/>
      <c r="W177" s="5428"/>
      <c r="X177" s="5428"/>
      <c r="Y177" s="5428"/>
    </row>
    <row customHeight="true" ht="18.452380952380953" r="178">
      <c r="A178" s="5431" t="s">
        <v>5449</v>
      </c>
      <c r="B178" s="5432">
        <v>46232</v>
      </c>
      <c r="C178" s="5431" t="str">
        <v>Wednesday</v>
      </c>
      <c r="D178" s="5561" t="s">
        <v>5324</v>
      </c>
      <c r="E178" s="5437">
        <f t="shared" si="70"/>
      </c>
      <c r="F178" s="5437" t="s">
        <v>5345</v>
      </c>
      <c r="G178" s="5486"/>
      <c r="H178" s="5437" t="s">
        <v>5267</v>
      </c>
      <c r="I178" s="5438" t="s">
        <v>5268</v>
      </c>
      <c r="J178" s="5578"/>
      <c r="K178" s="5478"/>
      <c r="L178" s="5478"/>
      <c r="M178" s="5478"/>
      <c r="N178" s="5478"/>
      <c r="O178" s="5426"/>
      <c r="P178" s="5426"/>
      <c r="Q178" s="5426"/>
      <c r="R178" s="5426"/>
      <c r="S178" s="5426"/>
      <c r="T178" s="5426"/>
      <c r="U178" s="5428"/>
      <c r="V178" s="5428"/>
      <c r="W178" s="5428"/>
      <c r="X178" s="5428"/>
      <c r="Y178" s="5428"/>
    </row>
    <row r="179">
      <c r="A179" s="5431" t="s">
        <v>5450</v>
      </c>
      <c r="B179" s="5432">
        <v>46230</v>
      </c>
      <c r="C179" s="5431" t="str">
        <v>Monday</v>
      </c>
      <c r="D179" s="5561" t="s">
        <v>5446</v>
      </c>
      <c r="E179" s="5437">
        <f t="shared" si="70"/>
      </c>
      <c r="F179" s="5437" t="s">
        <v>5420</v>
      </c>
      <c r="G179" s="5497"/>
      <c r="H179" s="5437" t="s">
        <v>5267</v>
      </c>
      <c r="I179" s="5438" t="s">
        <v>5268</v>
      </c>
      <c r="J179" s="5578"/>
      <c r="K179" s="5478"/>
      <c r="L179" s="5478"/>
      <c r="M179" s="5478"/>
      <c r="N179" s="5478"/>
      <c r="O179" s="5426"/>
      <c r="P179" s="5426"/>
      <c r="Q179" s="5426"/>
      <c r="R179" s="5426"/>
      <c r="S179" s="5426"/>
      <c r="T179" s="5426"/>
      <c r="U179" s="5428"/>
      <c r="V179" s="5428"/>
      <c r="W179" s="5428"/>
      <c r="X179" s="5428"/>
      <c r="Y179" s="5428"/>
    </row>
    <row customHeight="true" ht="18.452380952380953" r="180">
      <c r="A180" s="5431" t="s">
        <v>5451</v>
      </c>
      <c r="B180" s="5432">
        <v>46230</v>
      </c>
      <c r="C180" s="5431" t="str">
        <v>Monday</v>
      </c>
      <c r="D180" s="5561" t="s">
        <v>5446</v>
      </c>
      <c r="E180" s="5437">
        <f t="shared" si="70"/>
      </c>
      <c r="F180" s="5437" t="s">
        <v>5417</v>
      </c>
      <c r="G180" s="5497"/>
      <c r="H180" s="5437" t="s">
        <v>5267</v>
      </c>
      <c r="I180" s="5438" t="s">
        <v>5268</v>
      </c>
      <c r="J180" s="5578"/>
      <c r="K180" s="5478"/>
      <c r="L180" s="5478"/>
      <c r="M180" s="5478"/>
      <c r="N180" s="5478"/>
      <c r="O180" s="5426"/>
      <c r="P180" s="5426"/>
      <c r="Q180" s="5426"/>
      <c r="R180" s="5426"/>
      <c r="S180" s="5426"/>
      <c r="T180" s="5426"/>
      <c r="U180" s="5428"/>
      <c r="V180" s="5428"/>
      <c r="W180" s="5428"/>
      <c r="X180" s="5428"/>
      <c r="Y180" s="5428"/>
    </row>
    <row customHeight="true" ht="18.452380952380953" r="181">
      <c r="A181" s="5431" t="s">
        <v>5450</v>
      </c>
      <c r="B181" s="5432">
        <v>46231</v>
      </c>
      <c r="C181" s="5431" t="str">
        <v>Tuesday</v>
      </c>
      <c r="D181" s="5561" t="s">
        <v>5312</v>
      </c>
      <c r="E181" s="5437">
        <f t="shared" si="70"/>
      </c>
      <c r="F181" s="5437" t="s">
        <v>5420</v>
      </c>
      <c r="G181" s="5497"/>
      <c r="H181" s="5437" t="s">
        <v>5267</v>
      </c>
      <c r="I181" s="5438" t="s">
        <v>5268</v>
      </c>
      <c r="J181" s="5580"/>
      <c r="K181" s="5478"/>
      <c r="L181" s="5478"/>
      <c r="M181" s="5478"/>
      <c r="N181" s="5478"/>
      <c r="O181" s="5426"/>
      <c r="P181" s="5426"/>
      <c r="Q181" s="5426"/>
      <c r="R181" s="5426"/>
      <c r="S181" s="5426"/>
      <c r="T181" s="5426"/>
      <c r="U181" s="5428"/>
      <c r="V181" s="5428"/>
      <c r="W181" s="5428"/>
      <c r="X181" s="5428"/>
      <c r="Y181" s="5428"/>
    </row>
    <row customHeight="true" ht="18.452380952380953" r="182">
      <c r="A182" s="5431" t="s">
        <v>5451</v>
      </c>
      <c r="B182" s="5432">
        <v>46231</v>
      </c>
      <c r="C182" s="5431" t="str">
        <v>Tuesday</v>
      </c>
      <c r="D182" s="5561" t="s">
        <v>5312</v>
      </c>
      <c r="E182" s="5437">
        <f t="shared" si="70"/>
      </c>
      <c r="F182" s="5437" t="s">
        <v>5417</v>
      </c>
      <c r="G182" s="5497"/>
      <c r="H182" s="5437" t="s">
        <v>5267</v>
      </c>
      <c r="I182" s="5438" t="s">
        <v>5268</v>
      </c>
      <c r="J182" s="5578"/>
      <c r="K182" s="5478"/>
      <c r="L182" s="5478"/>
      <c r="M182" s="5478"/>
      <c r="N182" s="5478"/>
      <c r="O182" s="5426"/>
      <c r="P182" s="5426"/>
      <c r="Q182" s="5426"/>
      <c r="R182" s="5426"/>
      <c r="S182" s="5426"/>
      <c r="T182" s="5426"/>
      <c r="U182" s="5428"/>
      <c r="V182" s="5428"/>
      <c r="W182" s="5428"/>
      <c r="X182" s="5428"/>
      <c r="Y182" s="5428"/>
    </row>
    <row customHeight="true" ht="18.452380952380953" r="183">
      <c r="A183" s="5431" t="s">
        <v>5451</v>
      </c>
      <c r="B183" s="5431">
        <v>46231</v>
      </c>
      <c r="C183" s="5431" t="str">
        <v>Tuesday</v>
      </c>
      <c r="D183" s="5561" t="s">
        <v>5452</v>
      </c>
      <c r="E183" s="5437">
        <f t="shared" si="70"/>
      </c>
      <c r="F183" s="5437" t="s">
        <v>5417</v>
      </c>
      <c r="G183" s="5486"/>
      <c r="H183" s="5437" t="s">
        <v>5267</v>
      </c>
      <c r="I183" s="5438" t="s">
        <v>5268</v>
      </c>
      <c r="J183" s="5580" t="s">
        <v>5453</v>
      </c>
      <c r="K183" s="5478"/>
      <c r="L183" s="5478"/>
      <c r="M183" s="5478"/>
      <c r="N183" s="5478"/>
      <c r="O183" s="5426"/>
      <c r="P183" s="5426"/>
      <c r="Q183" s="5426"/>
      <c r="R183" s="5426"/>
      <c r="S183" s="5426"/>
      <c r="T183" s="5426"/>
      <c r="U183" s="5428"/>
      <c r="V183" s="5428"/>
      <c r="W183" s="5428"/>
      <c r="X183" s="5428"/>
      <c r="Y183" s="5428"/>
    </row>
    <row customHeight="true" ht="18.452380952380953" r="184">
      <c r="A184" s="5431" t="s">
        <v>5450</v>
      </c>
      <c r="B184" s="5432">
        <v>46232</v>
      </c>
      <c r="C184" s="5431" t="str">
        <v>Wednesday</v>
      </c>
      <c r="D184" s="5561" t="s">
        <v>5323</v>
      </c>
      <c r="E184" s="5437">
        <f t="shared" si="70"/>
      </c>
      <c r="F184" s="5437" t="s">
        <v>5417</v>
      </c>
      <c r="G184" s="5497"/>
      <c r="H184" s="5437" t="s">
        <v>5267</v>
      </c>
      <c r="I184" s="5438" t="s">
        <v>5268</v>
      </c>
      <c r="J184" s="5578"/>
      <c r="K184" s="5478"/>
      <c r="L184" s="5478"/>
      <c r="M184" s="5478"/>
      <c r="N184" s="5478"/>
      <c r="O184" s="5426"/>
      <c r="P184" s="5426"/>
      <c r="Q184" s="5426"/>
      <c r="R184" s="5426"/>
      <c r="S184" s="5426"/>
      <c r="T184" s="5426"/>
      <c r="U184" s="5428"/>
      <c r="V184" s="5428"/>
      <c r="W184" s="5428"/>
      <c r="X184" s="5428"/>
      <c r="Y184" s="5428"/>
    </row>
    <row customHeight="true" ht="18.452380952380953" r="185">
      <c r="A185" s="5431" t="s">
        <v>5450</v>
      </c>
      <c r="B185" s="5432">
        <v>46234</v>
      </c>
      <c r="C185" s="5431" t="str">
        <v>Friday</v>
      </c>
      <c r="D185" s="5561" t="s">
        <v>5312</v>
      </c>
      <c r="E185" s="5437">
        <f t="shared" si="70"/>
      </c>
      <c r="F185" s="5437" t="s">
        <v>5417</v>
      </c>
      <c r="G185" s="5497"/>
      <c r="H185" s="5437" t="s">
        <v>5267</v>
      </c>
      <c r="I185" s="5438" t="s">
        <v>5268</v>
      </c>
      <c r="J185" s="5578"/>
      <c r="K185" s="5478"/>
      <c r="L185" s="5478"/>
      <c r="M185" s="5478"/>
      <c r="N185" s="5478"/>
      <c r="O185" s="5426"/>
      <c r="P185" s="5426"/>
      <c r="Q185" s="5426"/>
      <c r="R185" s="5426"/>
      <c r="S185" s="5426"/>
      <c r="T185" s="5426"/>
      <c r="U185" s="5428"/>
      <c r="V185" s="5428"/>
      <c r="W185" s="5428"/>
      <c r="X185" s="5428"/>
      <c r="Y185" s="5428"/>
    </row>
    <row customHeight="true" ht="18.452380952380953" r="186">
      <c r="A186" s="5431" t="s">
        <v>5451</v>
      </c>
      <c r="B186" s="5432">
        <v>46234</v>
      </c>
      <c r="C186" s="5431" t="str">
        <v>Friday</v>
      </c>
      <c r="D186" s="5561" t="s">
        <v>5323</v>
      </c>
      <c r="E186" s="5437">
        <f t="shared" si="70"/>
      </c>
      <c r="F186" s="5437" t="s">
        <v>5429</v>
      </c>
      <c r="G186" s="5497"/>
      <c r="H186" s="5437" t="s">
        <v>5267</v>
      </c>
      <c r="I186" s="5438" t="s">
        <v>5291</v>
      </c>
      <c r="J186" s="5578"/>
      <c r="K186" s="5478"/>
      <c r="L186" s="5478"/>
      <c r="M186" s="5478"/>
      <c r="N186" s="5478"/>
      <c r="O186" s="5426"/>
      <c r="P186" s="5426"/>
      <c r="Q186" s="5426"/>
      <c r="R186" s="5426"/>
      <c r="S186" s="5426"/>
      <c r="T186" s="5426"/>
      <c r="U186" s="5428"/>
      <c r="V186" s="5428"/>
      <c r="W186" s="5428"/>
      <c r="X186" s="5428"/>
      <c r="Y186" s="5428"/>
    </row>
    <row r="187">
      <c r="A187" s="5589" t="s">
        <v>5454</v>
      </c>
      <c r="B187" s="5589"/>
      <c r="C187" s="5589"/>
      <c r="D187" s="5589"/>
      <c r="E187" s="5589"/>
      <c r="F187" s="5589"/>
      <c r="G187" s="5589"/>
      <c r="H187" s="5589"/>
      <c r="I187" s="5589"/>
      <c r="J187" s="5589"/>
      <c r="K187" s="5590"/>
      <c r="L187" s="5590"/>
      <c r="M187" s="5590"/>
      <c r="N187" s="5590"/>
      <c r="O187" s="5591"/>
      <c r="P187" s="5591"/>
      <c r="Q187" s="5591"/>
      <c r="R187" s="5591"/>
      <c r="S187" s="5591"/>
      <c r="T187" s="5591"/>
      <c r="U187" s="5592"/>
      <c r="V187" s="5592"/>
      <c r="W187" s="5592"/>
      <c r="X187" s="5592"/>
      <c r="Y187" s="5592"/>
    </row>
    <row r="188">
      <c r="A188" s="5593" t="s">
        <v>5277</v>
      </c>
      <c r="B188" s="5594" t="s">
        <v>5278</v>
      </c>
      <c r="C188" s="5594"/>
      <c r="D188" s="5595" t="s">
        <v>5279</v>
      </c>
      <c r="E188" s="5596" t="s">
        <v>5280</v>
      </c>
      <c r="F188" s="5596" t="s">
        <v>5281</v>
      </c>
      <c r="G188" s="5597" t="s">
        <v>5294</v>
      </c>
      <c r="H188" s="5598" t="s">
        <v>5283</v>
      </c>
      <c r="I188" s="5598" t="s">
        <v>5284</v>
      </c>
      <c r="J188" s="5599" t="s">
        <v>5285</v>
      </c>
      <c r="K188" s="5590"/>
      <c r="L188" s="5590"/>
      <c r="M188" s="5590"/>
      <c r="N188" s="5590"/>
      <c r="O188" s="5591"/>
      <c r="P188" s="5591"/>
      <c r="Q188" s="5591"/>
      <c r="R188" s="5591"/>
      <c r="S188" s="5591"/>
      <c r="T188" s="5591"/>
      <c r="U188" s="5592"/>
      <c r="V188" s="5592"/>
      <c r="W188" s="5592"/>
      <c r="X188" s="5592"/>
      <c r="Y188" s="5592"/>
    </row>
    <row customHeight="true" ht="18.452380952380953" r="189">
      <c r="A189" s="5431" t="s">
        <v>5454</v>
      </c>
      <c r="B189" s="5431">
        <v>46232</v>
      </c>
      <c r="C189" s="5431" t="str">
        <v>Wednesday</v>
      </c>
      <c r="D189" s="5438" t="s">
        <v>5346</v>
      </c>
      <c r="E189" s="5438">
        <v>3</v>
      </c>
      <c r="F189" s="5579" t="s">
        <v>5455</v>
      </c>
      <c r="G189" s="5497" t="s">
        <v>5456</v>
      </c>
      <c r="H189" s="5437" t="s">
        <v>5267</v>
      </c>
      <c r="I189" s="5438" t="s">
        <v>5268</v>
      </c>
      <c r="J189" s="5578"/>
      <c r="K189" s="5478"/>
      <c r="L189" s="5478"/>
      <c r="M189" s="5478"/>
      <c r="N189" s="5478"/>
      <c r="O189" s="5426"/>
      <c r="P189" s="5426"/>
      <c r="Q189" s="5426"/>
      <c r="R189" s="5426"/>
      <c r="S189" s="5426"/>
      <c r="T189" s="5426"/>
      <c r="U189" s="5428"/>
      <c r="V189" s="5428"/>
      <c r="W189" s="5428"/>
      <c r="X189" s="5428"/>
      <c r="Y189" s="5428"/>
    </row>
    <row customHeight="true" ht="18.452380952380953" r="190">
      <c r="A190" s="5491" t="s">
        <v>5454</v>
      </c>
      <c r="B190" s="5491">
        <v>46232</v>
      </c>
      <c r="C190" s="5491" t="str">
        <v>Wednesday</v>
      </c>
      <c r="D190" s="5494" t="s">
        <v>5346</v>
      </c>
      <c r="E190" s="5494">
        <v>3</v>
      </c>
      <c r="F190" s="5600" t="s">
        <v>5455</v>
      </c>
      <c r="G190" s="5601" t="s">
        <v>5457</v>
      </c>
      <c r="H190" s="5494" t="s">
        <v>5267</v>
      </c>
      <c r="I190" s="5494" t="s">
        <v>5268</v>
      </c>
      <c r="J190" s="5493"/>
      <c r="K190" s="5602"/>
      <c r="L190" s="5602"/>
      <c r="M190" s="5602"/>
      <c r="N190" s="5602"/>
      <c r="O190" s="5603"/>
      <c r="P190" s="5603"/>
      <c r="Q190" s="5603"/>
      <c r="R190" s="5603"/>
      <c r="S190" s="5603"/>
      <c r="T190" s="5603"/>
      <c r="U190" s="5604"/>
      <c r="V190" s="5604"/>
      <c r="W190" s="5604"/>
      <c r="X190" s="5604"/>
      <c r="Y190" s="5604"/>
    </row>
    <row customHeight="true" ht="18.452380952380953" r="191">
      <c r="A191" s="5431" t="s">
        <v>5454</v>
      </c>
      <c r="B191" s="5431">
        <v>46232</v>
      </c>
      <c r="C191" s="5431" t="str">
        <v>Wednesday</v>
      </c>
      <c r="D191" s="5433" t="s">
        <v>5310</v>
      </c>
      <c r="E191" s="5438">
        <v>3</v>
      </c>
      <c r="F191" s="5579" t="s">
        <v>5458</v>
      </c>
      <c r="G191" s="5497" t="s">
        <v>5456</v>
      </c>
      <c r="H191" s="5437" t="s">
        <v>5267</v>
      </c>
      <c r="I191" s="5438" t="s">
        <v>5268</v>
      </c>
      <c r="J191" s="5578"/>
      <c r="K191" s="5478"/>
      <c r="L191" s="5478"/>
      <c r="M191" s="5478"/>
      <c r="N191" s="5478"/>
      <c r="O191" s="5426"/>
      <c r="P191" s="5426"/>
      <c r="Q191" s="5426"/>
      <c r="R191" s="5426"/>
      <c r="S191" s="5426"/>
      <c r="T191" s="5426"/>
      <c r="U191" s="5428"/>
      <c r="V191" s="5428"/>
      <c r="W191" s="5428"/>
      <c r="X191" s="5428"/>
      <c r="Y191" s="5428"/>
    </row>
    <row customHeight="true" ht="18.452380952380953" r="192">
      <c r="A192" s="5491" t="s">
        <v>5454</v>
      </c>
      <c r="B192" s="5491">
        <v>46232</v>
      </c>
      <c r="C192" s="5491" t="str">
        <v>Wednesday</v>
      </c>
      <c r="D192" s="5605" t="s">
        <v>5310</v>
      </c>
      <c r="E192" s="5494">
        <v>3</v>
      </c>
      <c r="F192" s="5600" t="s">
        <v>5345</v>
      </c>
      <c r="G192" s="5601"/>
      <c r="H192" s="5494" t="s">
        <v>5267</v>
      </c>
      <c r="I192" s="5494" t="s">
        <v>5268</v>
      </c>
      <c r="J192" s="5492" t="s">
        <v>5459</v>
      </c>
      <c r="K192" s="5602"/>
      <c r="L192" s="5602"/>
      <c r="M192" s="5602"/>
      <c r="N192" s="5602"/>
      <c r="O192" s="5603"/>
      <c r="P192" s="5603"/>
      <c r="Q192" s="5603"/>
      <c r="R192" s="5603"/>
      <c r="S192" s="5603"/>
      <c r="T192" s="5603"/>
      <c r="U192" s="5604"/>
      <c r="V192" s="5604"/>
      <c r="W192" s="5604"/>
      <c r="X192" s="5604"/>
      <c r="Y192" s="5604"/>
    </row>
    <row r="193">
      <c r="A193" s="5431" t="s">
        <v>5454</v>
      </c>
      <c r="B193" s="5431">
        <v>46233</v>
      </c>
      <c r="C193" s="5431" t="str">
        <v>Thursday</v>
      </c>
      <c r="D193" s="5438" t="s">
        <v>5346</v>
      </c>
      <c r="E193" s="5438">
        <v>3</v>
      </c>
      <c r="F193" s="5579" t="s">
        <v>5455</v>
      </c>
      <c r="G193" s="5497" t="s">
        <v>5456</v>
      </c>
      <c r="H193" s="5437" t="s">
        <v>5267</v>
      </c>
      <c r="I193" s="5438" t="s">
        <v>5268</v>
      </c>
      <c r="J193" s="5578"/>
      <c r="K193" s="5478"/>
      <c r="L193" s="5478"/>
      <c r="M193" s="5478"/>
      <c r="N193" s="5478"/>
      <c r="O193" s="5426"/>
      <c r="P193" s="5426"/>
      <c r="Q193" s="5426"/>
      <c r="R193" s="5426"/>
      <c r="S193" s="5426"/>
      <c r="T193" s="5426"/>
      <c r="U193" s="5428"/>
      <c r="V193" s="5428"/>
      <c r="W193" s="5428"/>
      <c r="X193" s="5428"/>
      <c r="Y193" s="5428"/>
    </row>
    <row customHeight="true" ht="18.105158730161076" r="194">
      <c r="A194" s="5431" t="s">
        <v>5454</v>
      </c>
      <c r="B194" s="5431">
        <v>46234</v>
      </c>
      <c r="C194" s="5431" t="str">
        <v>Friday</v>
      </c>
      <c r="D194" s="5438" t="s">
        <v>5346</v>
      </c>
      <c r="E194" s="5438">
        <v>3</v>
      </c>
      <c r="F194" s="5579" t="s">
        <v>5455</v>
      </c>
      <c r="G194" s="5497" t="s">
        <v>5457</v>
      </c>
      <c r="H194" s="5437" t="s">
        <v>5267</v>
      </c>
      <c r="I194" s="5438" t="s">
        <v>5268</v>
      </c>
      <c r="J194" s="5578"/>
      <c r="K194" s="5478"/>
      <c r="L194" s="5478"/>
      <c r="M194" s="5478"/>
      <c r="N194" s="5478"/>
      <c r="O194" s="5426"/>
      <c r="P194" s="5426"/>
      <c r="Q194" s="5426"/>
      <c r="R194" s="5426"/>
      <c r="S194" s="5426"/>
      <c r="T194" s="5426"/>
      <c r="U194" s="5428"/>
      <c r="V194" s="5428"/>
      <c r="W194" s="5428"/>
      <c r="X194" s="5428"/>
      <c r="Y194" s="5428"/>
    </row>
    <row r="195">
      <c r="A195" s="5431" t="s">
        <v>5460</v>
      </c>
      <c r="B195" s="5431">
        <v>46231</v>
      </c>
      <c r="C195" s="5431" t="str">
        <v>Tuesday</v>
      </c>
      <c r="D195" s="5438" t="s">
        <v>5331</v>
      </c>
      <c r="E195" s="5437">
        <f t="shared" ref="E195:E198" si="71">24*MOD(TIMEVALUE(TRIM(MID(D195,FIND("-",D195)+1,LEN(D195)))) - TIMEVALUE(TRIM(LEFT(D195,FIND("-",D195)-1))),1)</f>
      </c>
      <c r="F195" s="5579" t="s">
        <v>5455</v>
      </c>
      <c r="G195" s="5497" t="s">
        <v>5457</v>
      </c>
      <c r="H195" s="5437" t="s">
        <v>5267</v>
      </c>
      <c r="I195" s="5438"/>
      <c r="J195" s="5578"/>
      <c r="K195" s="5478"/>
      <c r="L195" s="5478"/>
      <c r="M195" s="5478"/>
      <c r="N195" s="5478"/>
      <c r="O195" s="5426"/>
      <c r="P195" s="5426"/>
      <c r="Q195" s="5426"/>
      <c r="R195" s="5426"/>
      <c r="S195" s="5426"/>
      <c r="T195" s="5426"/>
      <c r="U195" s="5428"/>
      <c r="V195" s="5428"/>
      <c r="W195" s="5428"/>
      <c r="X195" s="5428"/>
      <c r="Y195" s="5428"/>
    </row>
    <row customHeight="true" ht="18.452380952380953" r="196">
      <c r="A196" s="5431" t="s">
        <v>5460</v>
      </c>
      <c r="B196" s="5431">
        <v>46231</v>
      </c>
      <c r="C196" s="5431" t="str">
        <v>Tuesday</v>
      </c>
      <c r="D196" s="5433" t="s">
        <v>5452</v>
      </c>
      <c r="E196" s="5437">
        <f t="shared" si="71"/>
      </c>
      <c r="F196" s="5579" t="s">
        <v>5461</v>
      </c>
      <c r="G196" s="5497" t="s">
        <v>5462</v>
      </c>
      <c r="H196" s="5437" t="s">
        <v>5267</v>
      </c>
      <c r="I196" s="5438"/>
      <c r="J196" s="5578"/>
      <c r="K196" s="5478"/>
      <c r="L196" s="5478"/>
      <c r="M196" s="5478"/>
      <c r="N196" s="5478"/>
      <c r="O196" s="5426"/>
      <c r="P196" s="5426"/>
      <c r="Q196" s="5426"/>
      <c r="R196" s="5426"/>
      <c r="S196" s="5426"/>
      <c r="T196" s="5426"/>
      <c r="U196" s="5428"/>
      <c r="V196" s="5428"/>
      <c r="W196" s="5428"/>
      <c r="X196" s="5428"/>
      <c r="Y196" s="5428"/>
    </row>
    <row customHeight="true" ht="18.452380952380953" r="197">
      <c r="A197" s="5431" t="s">
        <v>5460</v>
      </c>
      <c r="B197" s="5431">
        <v>46232</v>
      </c>
      <c r="C197" s="5431" t="str">
        <v>Wednesday</v>
      </c>
      <c r="D197" s="5433" t="s">
        <v>5463</v>
      </c>
      <c r="E197" s="5437">
        <f t="shared" si="71"/>
      </c>
      <c r="F197" s="5579" t="s">
        <v>5458</v>
      </c>
      <c r="G197" s="5497"/>
      <c r="H197" s="5437" t="s">
        <v>5267</v>
      </c>
      <c r="I197" s="5438"/>
      <c r="J197" s="5580"/>
      <c r="K197" s="5478"/>
      <c r="L197" s="5478"/>
      <c r="M197" s="5478"/>
      <c r="N197" s="5478"/>
      <c r="O197" s="5426"/>
      <c r="P197" s="5426"/>
      <c r="Q197" s="5426"/>
      <c r="R197" s="5426"/>
      <c r="S197" s="5426"/>
      <c r="T197" s="5426"/>
      <c r="U197" s="5428"/>
      <c r="V197" s="5428"/>
      <c r="W197" s="5428"/>
      <c r="X197" s="5428"/>
      <c r="Y197" s="5428"/>
    </row>
    <row customHeight="true" ht="18.452380952380953" r="198">
      <c r="A198" s="5431" t="s">
        <v>5460</v>
      </c>
      <c r="B198" s="5432">
        <v>46236</v>
      </c>
      <c r="C198" s="5431" t="str">
        <v>Sunday</v>
      </c>
      <c r="D198" s="5433" t="s">
        <v>5310</v>
      </c>
      <c r="E198" s="5437">
        <f t="shared" si="71"/>
      </c>
      <c r="F198" s="5606" t="s">
        <v>5464</v>
      </c>
      <c r="G198" s="5497" t="s">
        <v>5465</v>
      </c>
      <c r="H198" s="5437" t="s">
        <v>5267</v>
      </c>
      <c r="I198" s="5438"/>
      <c r="J198" s="5580" t="s">
        <v>5464</v>
      </c>
      <c r="K198" s="5478"/>
      <c r="L198" s="5478"/>
      <c r="M198" s="5478"/>
      <c r="N198" s="5478"/>
      <c r="O198" s="5426"/>
      <c r="P198" s="5426"/>
      <c r="Q198" s="5426"/>
      <c r="R198" s="5426"/>
      <c r="S198" s="5426"/>
      <c r="T198" s="5426"/>
      <c r="U198" s="5428"/>
      <c r="V198" s="5428"/>
      <c r="W198" s="5428"/>
      <c r="X198" s="5428"/>
      <c r="Y198" s="5428"/>
    </row>
    <row r="199">
      <c r="A199" s="5431" t="s">
        <v>5466</v>
      </c>
      <c r="B199" s="5431">
        <v>46232</v>
      </c>
      <c r="C199" s="5431" t="str">
        <v>Wednesday</v>
      </c>
      <c r="D199" s="5438" t="s">
        <v>5346</v>
      </c>
      <c r="E199" s="5438">
        <v>3</v>
      </c>
      <c r="F199" s="5437" t="s">
        <v>5427</v>
      </c>
      <c r="G199" s="5497" t="s">
        <v>5456</v>
      </c>
      <c r="H199" s="5437" t="s">
        <v>5267</v>
      </c>
      <c r="I199" s="5438" t="s">
        <v>5268</v>
      </c>
      <c r="J199" s="5578"/>
      <c r="K199" s="5478"/>
      <c r="L199" s="5478"/>
      <c r="M199" s="5478"/>
      <c r="N199" s="5478"/>
      <c r="O199" s="5426"/>
      <c r="P199" s="5426"/>
      <c r="Q199" s="5426"/>
      <c r="R199" s="5426"/>
      <c r="S199" s="5426"/>
      <c r="T199" s="5426"/>
      <c r="U199" s="5428"/>
      <c r="V199" s="5428"/>
      <c r="W199" s="5428"/>
      <c r="X199" s="5428"/>
      <c r="Y199" s="5428"/>
    </row>
    <row r="200">
      <c r="A200" s="5431" t="s">
        <v>5466</v>
      </c>
      <c r="B200" s="5431">
        <v>46232</v>
      </c>
      <c r="C200" s="5431" t="str">
        <v>Wednesday</v>
      </c>
      <c r="D200" s="5433" t="s">
        <v>5310</v>
      </c>
      <c r="E200" s="5438">
        <v>3</v>
      </c>
      <c r="F200" s="5437" t="s">
        <v>5427</v>
      </c>
      <c r="G200" s="5497" t="s">
        <v>5456</v>
      </c>
      <c r="H200" s="5437" t="s">
        <v>5267</v>
      </c>
      <c r="I200" s="5438" t="s">
        <v>5268</v>
      </c>
      <c r="J200" s="5578"/>
      <c r="K200" s="5478"/>
      <c r="L200" s="5478"/>
      <c r="M200" s="5478"/>
      <c r="N200" s="5478"/>
      <c r="O200" s="5426"/>
      <c r="P200" s="5426"/>
      <c r="Q200" s="5426"/>
      <c r="R200" s="5426"/>
      <c r="S200" s="5426"/>
      <c r="T200" s="5426"/>
      <c r="U200" s="5428"/>
      <c r="V200" s="5428"/>
      <c r="W200" s="5428"/>
      <c r="X200" s="5428"/>
      <c r="Y200" s="5428"/>
    </row>
    <row customHeight="true" ht="18.452380952380953" r="201">
      <c r="A201" s="5431" t="s">
        <v>5466</v>
      </c>
      <c r="B201" s="5431">
        <v>46233</v>
      </c>
      <c r="C201" s="5431" t="str">
        <v>Thursday</v>
      </c>
      <c r="D201" s="5438" t="s">
        <v>5346</v>
      </c>
      <c r="E201" s="5438">
        <v>3</v>
      </c>
      <c r="F201" s="5437" t="s">
        <v>5427</v>
      </c>
      <c r="G201" s="5497" t="s">
        <v>5456</v>
      </c>
      <c r="H201" s="5437" t="s">
        <v>5267</v>
      </c>
      <c r="I201" s="5438" t="s">
        <v>5268</v>
      </c>
      <c r="J201" s="5578"/>
      <c r="K201" s="5478"/>
      <c r="L201" s="5478"/>
      <c r="M201" s="5478"/>
      <c r="N201" s="5478"/>
      <c r="O201" s="5426"/>
      <c r="P201" s="5426"/>
      <c r="Q201" s="5426"/>
      <c r="R201" s="5426"/>
      <c r="S201" s="5426"/>
      <c r="T201" s="5426"/>
      <c r="U201" s="5428"/>
      <c r="V201" s="5428"/>
      <c r="W201" s="5428"/>
      <c r="X201" s="5428"/>
      <c r="Y201" s="5428"/>
    </row>
    <row r="202">
      <c r="A202" s="5607" t="s">
        <v>5467</v>
      </c>
      <c r="B202" s="5607"/>
      <c r="C202" s="5607"/>
      <c r="D202" s="5607"/>
      <c r="E202" s="5607"/>
      <c r="F202" s="5607"/>
      <c r="G202" s="5607"/>
      <c r="H202" s="5607"/>
      <c r="I202" s="5607"/>
      <c r="J202" s="5607"/>
      <c r="K202" s="5428"/>
      <c r="L202" s="5428"/>
      <c r="M202" s="5428"/>
      <c r="N202" s="5428"/>
      <c r="O202" s="5428"/>
      <c r="P202" s="5428"/>
      <c r="Q202" s="5428"/>
      <c r="R202" s="5428"/>
      <c r="S202" s="5428"/>
      <c r="T202" s="5428"/>
      <c r="U202" s="5428"/>
      <c r="V202" s="5428"/>
      <c r="W202" s="5428"/>
      <c r="X202" s="5428"/>
      <c r="Y202" s="5428"/>
    </row>
    <row r="203">
      <c r="A203" s="5608" t="s">
        <v>5277</v>
      </c>
      <c r="B203" s="5609" t="s">
        <v>5278</v>
      </c>
      <c r="C203" s="5609"/>
      <c r="D203" s="5610" t="s">
        <v>5279</v>
      </c>
      <c r="E203" s="5611" t="s">
        <v>5280</v>
      </c>
      <c r="F203" s="5611" t="s">
        <v>5281</v>
      </c>
      <c r="G203" s="5612" t="s">
        <v>5294</v>
      </c>
      <c r="H203" s="5613" t="s">
        <v>5283</v>
      </c>
      <c r="I203" s="5613" t="s">
        <v>5284</v>
      </c>
      <c r="J203" s="5614" t="s">
        <v>5285</v>
      </c>
      <c r="K203" s="5428"/>
      <c r="L203" s="5428"/>
      <c r="M203" s="5428"/>
      <c r="N203" s="5428"/>
      <c r="O203" s="5428"/>
      <c r="P203" s="5428"/>
      <c r="Q203" s="5428"/>
      <c r="R203" s="5428"/>
      <c r="S203" s="5428"/>
      <c r="T203" s="5428"/>
      <c r="U203" s="5428"/>
      <c r="V203" s="5428"/>
      <c r="W203" s="5428"/>
      <c r="X203" s="5428"/>
      <c r="Y203" s="5428"/>
    </row>
    <row r="204">
      <c r="A204" s="5431"/>
      <c r="B204" s="5431"/>
      <c r="C204" s="5431"/>
      <c r="D204" s="5437"/>
      <c r="E204" s="5437"/>
      <c r="F204" s="5437"/>
      <c r="G204" s="5486"/>
      <c r="H204" s="5437"/>
      <c r="I204" s="5438"/>
      <c r="J204" s="5578"/>
      <c r="K204" s="5426"/>
      <c r="L204" s="5426"/>
      <c r="M204" s="5426"/>
      <c r="N204" s="5426"/>
      <c r="O204" s="5426"/>
      <c r="P204" s="5426"/>
      <c r="Q204" s="5426"/>
      <c r="R204" s="5426"/>
      <c r="S204" s="5426"/>
      <c r="T204" s="5426"/>
      <c r="U204" s="5428"/>
      <c r="V204" s="5428"/>
      <c r="W204" s="5428"/>
      <c r="X204" s="5428"/>
      <c r="Y204" s="5428"/>
    </row>
    <row r="205">
      <c r="A205" s="5615" t="s">
        <v>5468</v>
      </c>
      <c r="B205" s="5615"/>
      <c r="C205" s="5615"/>
      <c r="D205" s="5615"/>
      <c r="E205" s="5615"/>
      <c r="F205" s="5615"/>
      <c r="G205" s="5615"/>
      <c r="H205" s="5615"/>
      <c r="I205" s="5615"/>
      <c r="J205" s="5615"/>
      <c r="K205" s="5426"/>
      <c r="L205" s="5426"/>
      <c r="M205" s="5426"/>
      <c r="N205" s="5426"/>
      <c r="O205" s="5426"/>
      <c r="P205" s="5426"/>
      <c r="Q205" s="5426"/>
      <c r="R205" s="5426"/>
      <c r="S205" s="5426"/>
      <c r="T205" s="5426"/>
      <c r="U205" s="5428"/>
      <c r="V205" s="5428"/>
      <c r="W205" s="5428"/>
      <c r="X205" s="5428"/>
      <c r="Y205" s="5428"/>
    </row>
    <row r="206">
      <c r="A206" s="5444" t="s">
        <v>5277</v>
      </c>
      <c r="B206" s="5445" t="s">
        <v>5278</v>
      </c>
      <c r="C206" s="5445"/>
      <c r="D206" s="5446" t="s">
        <v>5279</v>
      </c>
      <c r="E206" s="5446" t="s">
        <v>5280</v>
      </c>
      <c r="F206" s="5446" t="s">
        <v>5281</v>
      </c>
      <c r="G206" s="5616" t="s">
        <v>5294</v>
      </c>
      <c r="H206" s="5446" t="s">
        <v>5283</v>
      </c>
      <c r="I206" s="5446" t="s">
        <v>5284</v>
      </c>
      <c r="J206" s="5446" t="s">
        <v>5285</v>
      </c>
      <c r="K206" s="5426"/>
      <c r="L206" s="5426"/>
      <c r="M206" s="5426"/>
      <c r="N206" s="5426"/>
      <c r="O206" s="5426"/>
      <c r="P206" s="5426"/>
      <c r="Q206" s="5426"/>
      <c r="R206" s="5426"/>
      <c r="S206" s="5426"/>
      <c r="T206" s="5426"/>
      <c r="U206" s="5428"/>
      <c r="V206" s="5428"/>
      <c r="W206" s="5428"/>
      <c r="X206" s="5428"/>
      <c r="Y206" s="5428"/>
    </row>
    <row r="207">
      <c r="A207" s="5431" t="s">
        <v>5468</v>
      </c>
      <c r="B207" s="5432">
        <v>46230</v>
      </c>
      <c r="C207" s="5431" t="str">
        <v>Monday</v>
      </c>
      <c r="D207" s="5438" t="s">
        <v>5343</v>
      </c>
      <c r="E207" s="5437">
        <f t="shared" ref="E207:E212" si="72">24*MOD(TIMEVALUE(TRIM(MID(D207,FIND("-",D207)+1,LEN(D207)))) - TIMEVALUE(TRIM(LEFT(D207,FIND("-",D207)-1))),1)</f>
      </c>
      <c r="F207" s="5437" t="s">
        <v>5302</v>
      </c>
      <c r="G207" s="5497" t="s">
        <v>5417</v>
      </c>
      <c r="H207" s="5437" t="s">
        <v>5299</v>
      </c>
      <c r="I207" s="5437"/>
      <c r="J207" s="5437"/>
      <c r="K207" s="5426"/>
      <c r="L207" s="5426"/>
      <c r="M207" s="5426"/>
      <c r="N207" s="5426"/>
      <c r="O207" s="5426"/>
      <c r="P207" s="5426"/>
      <c r="Q207" s="5426"/>
      <c r="R207" s="5426"/>
      <c r="S207" s="5426"/>
      <c r="T207" s="5426"/>
      <c r="U207" s="5428"/>
      <c r="V207" s="5428"/>
      <c r="W207" s="5428"/>
      <c r="X207" s="5428"/>
      <c r="Y207" s="5428"/>
    </row>
    <row r="208">
      <c r="A208" s="5431" t="s">
        <v>5468</v>
      </c>
      <c r="B208" s="5432">
        <v>46231</v>
      </c>
      <c r="C208" s="5431" t="str">
        <v>Tuesday</v>
      </c>
      <c r="D208" s="5438" t="s">
        <v>5343</v>
      </c>
      <c r="E208" s="5437">
        <f t="shared" si="72"/>
      </c>
      <c r="F208" s="5437" t="s">
        <v>5469</v>
      </c>
      <c r="G208" s="5497" t="s">
        <v>5417</v>
      </c>
      <c r="H208" s="5437" t="s">
        <v>5299</v>
      </c>
      <c r="I208" s="5437"/>
      <c r="J208" s="5437"/>
      <c r="K208" s="5426"/>
      <c r="L208" s="5426"/>
      <c r="M208" s="5426"/>
      <c r="N208" s="5426"/>
      <c r="O208" s="5426"/>
      <c r="P208" s="5426"/>
      <c r="Q208" s="5426"/>
      <c r="R208" s="5426"/>
      <c r="S208" s="5426"/>
      <c r="T208" s="5426"/>
      <c r="U208" s="5428"/>
      <c r="V208" s="5428"/>
      <c r="W208" s="5428"/>
      <c r="X208" s="5428"/>
      <c r="Y208" s="5428"/>
    </row>
    <row r="209">
      <c r="A209" s="5431" t="s">
        <v>5468</v>
      </c>
      <c r="B209" s="5432">
        <v>46232</v>
      </c>
      <c r="C209" s="5431" t="str">
        <v>Wednesday</v>
      </c>
      <c r="D209" s="5438" t="s">
        <v>5343</v>
      </c>
      <c r="E209" s="5437">
        <f t="shared" si="72"/>
      </c>
      <c r="F209" s="5437" t="s">
        <v>5302</v>
      </c>
      <c r="G209" s="5497" t="s">
        <v>5470</v>
      </c>
      <c r="H209" s="5438" t="s">
        <v>5299</v>
      </c>
      <c r="I209" s="5438"/>
      <c r="J209" s="5438"/>
      <c r="K209" s="5426"/>
      <c r="L209" s="5426"/>
      <c r="M209" s="5426"/>
      <c r="N209" s="5426"/>
      <c r="O209" s="5426"/>
      <c r="P209" s="5426"/>
      <c r="Q209" s="5426"/>
      <c r="R209" s="5426"/>
      <c r="S209" s="5426"/>
      <c r="T209" s="5426"/>
      <c r="U209" s="5428"/>
      <c r="V209" s="5428"/>
      <c r="W209" s="5428"/>
      <c r="X209" s="5428"/>
      <c r="Y209" s="5428"/>
    </row>
    <row r="210">
      <c r="A210" s="5431" t="s">
        <v>5468</v>
      </c>
      <c r="B210" s="5432">
        <v>46233</v>
      </c>
      <c r="C210" s="5431" t="str">
        <v>Thursday</v>
      </c>
      <c r="D210" s="5438" t="s">
        <v>5343</v>
      </c>
      <c r="E210" s="5437">
        <f t="shared" si="72"/>
      </c>
      <c r="F210" s="5437" t="s">
        <v>5469</v>
      </c>
      <c r="G210" s="5497" t="s">
        <v>5470</v>
      </c>
      <c r="H210" s="5437" t="s">
        <v>5299</v>
      </c>
      <c r="I210" s="5437"/>
      <c r="J210" s="5437"/>
      <c r="K210" s="5426"/>
      <c r="L210" s="5426"/>
      <c r="M210" s="5426"/>
      <c r="N210" s="5426"/>
      <c r="O210" s="5426"/>
      <c r="P210" s="5426"/>
      <c r="Q210" s="5426"/>
      <c r="R210" s="5426"/>
      <c r="S210" s="5426"/>
      <c r="T210" s="5426"/>
      <c r="U210" s="5428"/>
      <c r="V210" s="5428"/>
      <c r="W210" s="5428"/>
      <c r="X210" s="5428"/>
      <c r="Y210" s="5428"/>
    </row>
    <row r="211">
      <c r="A211" s="5431" t="s">
        <v>5468</v>
      </c>
      <c r="B211" s="5432">
        <v>46234</v>
      </c>
      <c r="C211" s="5431" t="str">
        <v>Friday</v>
      </c>
      <c r="D211" s="5438" t="s">
        <v>5343</v>
      </c>
      <c r="E211" s="5437">
        <f t="shared" si="72"/>
      </c>
      <c r="F211" s="5437" t="s">
        <v>5469</v>
      </c>
      <c r="G211" s="5497" t="s">
        <v>5417</v>
      </c>
      <c r="H211" s="5437" t="s">
        <v>5299</v>
      </c>
      <c r="I211" s="5437"/>
      <c r="J211" s="5437"/>
      <c r="K211" s="5426"/>
      <c r="L211" s="5426"/>
      <c r="M211" s="5426"/>
      <c r="N211" s="5426"/>
      <c r="O211" s="5426"/>
      <c r="P211" s="5426"/>
      <c r="Q211" s="5426"/>
      <c r="R211" s="5426"/>
      <c r="S211" s="5426"/>
      <c r="T211" s="5426"/>
      <c r="U211" s="5428"/>
      <c r="V211" s="5428"/>
      <c r="W211" s="5428"/>
      <c r="X211" s="5428"/>
      <c r="Y211" s="5428"/>
    </row>
    <row customHeight="true" ht="18.452380952380953" r="212">
      <c r="A212" s="5431" t="s">
        <v>5468</v>
      </c>
      <c r="B212" s="5431">
        <v>46234</v>
      </c>
      <c r="C212" s="5431" t="str">
        <v>Friday</v>
      </c>
      <c r="D212" s="5433" t="s">
        <v>5330</v>
      </c>
      <c r="E212" s="5437">
        <f t="shared" si="72"/>
      </c>
      <c r="F212" s="5437" t="s">
        <v>5353</v>
      </c>
      <c r="G212" s="5497" t="s">
        <v>5471</v>
      </c>
      <c r="H212" s="5437" t="s">
        <v>5299</v>
      </c>
      <c r="I212" s="5438" t="s">
        <v>5268</v>
      </c>
      <c r="J212" s="5437"/>
      <c r="K212" s="5426"/>
      <c r="L212" s="5426"/>
      <c r="M212" s="5426"/>
      <c r="N212" s="5426"/>
      <c r="O212" s="5426"/>
      <c r="P212" s="5426"/>
      <c r="Q212" s="5426"/>
      <c r="R212" s="5426"/>
      <c r="S212" s="5426"/>
      <c r="T212" s="5426"/>
      <c r="U212" s="5428"/>
      <c r="V212" s="5428"/>
      <c r="W212" s="5428"/>
      <c r="X212" s="5428"/>
      <c r="Y212" s="5428"/>
    </row>
    <row customHeight="true" ht="18.452380952380953" r="213">
      <c r="A213" s="5431" t="s">
        <v>5468</v>
      </c>
      <c r="B213" s="5431">
        <v>46234</v>
      </c>
      <c r="C213" s="5431" t="str">
        <v>Friday</v>
      </c>
      <c r="D213" s="5433" t="s">
        <v>5415</v>
      </c>
      <c r="E213" s="5561">
        <v>3</v>
      </c>
      <c r="F213" s="5437" t="s">
        <v>5469</v>
      </c>
      <c r="G213" s="5497" t="s">
        <v>5471</v>
      </c>
      <c r="H213" s="5437" t="s">
        <v>5299</v>
      </c>
      <c r="I213" s="5437"/>
      <c r="J213" s="5437"/>
      <c r="K213" s="5426"/>
      <c r="L213" s="5426"/>
      <c r="M213" s="5426"/>
      <c r="N213" s="5426"/>
      <c r="O213" s="5426"/>
      <c r="P213" s="5426"/>
      <c r="Q213" s="5426"/>
      <c r="R213" s="5426"/>
      <c r="S213" s="5426"/>
      <c r="T213" s="5426"/>
      <c r="U213" s="5428"/>
      <c r="V213" s="5428"/>
      <c r="W213" s="5428"/>
      <c r="X213" s="5428"/>
      <c r="Y213" s="5428"/>
    </row>
    <row r="214">
      <c r="A214" s="5431" t="s">
        <v>5468</v>
      </c>
      <c r="B214" s="5432">
        <v>46235</v>
      </c>
      <c r="C214" s="5431" t="str">
        <v>Saturday</v>
      </c>
      <c r="D214" s="5438" t="s">
        <v>5343</v>
      </c>
      <c r="E214" s="5437">
        <f t="shared" ref="E214:E225" si="73">24*MOD(TIMEVALUE(TRIM(MID(D214,FIND("-",D214)+1,LEN(D214)))) - TIMEVALUE(TRIM(LEFT(D214,FIND("-",D214)-1))),1)</f>
      </c>
      <c r="F214" s="5437" t="s">
        <v>5469</v>
      </c>
      <c r="G214" s="5497" t="s">
        <v>5470</v>
      </c>
      <c r="H214" s="5437" t="s">
        <v>5299</v>
      </c>
      <c r="I214" s="5437"/>
      <c r="J214" s="5437"/>
      <c r="K214" s="5426"/>
      <c r="L214" s="5426"/>
      <c r="M214" s="5426"/>
      <c r="N214" s="5426"/>
      <c r="O214" s="5426"/>
      <c r="P214" s="5426"/>
      <c r="Q214" s="5426"/>
      <c r="R214" s="5426"/>
      <c r="S214" s="5426"/>
      <c r="T214" s="5426"/>
      <c r="U214" s="5428"/>
      <c r="V214" s="5428"/>
      <c r="W214" s="5428"/>
      <c r="X214" s="5428"/>
      <c r="Y214" s="5428"/>
    </row>
    <row r="215">
      <c r="A215" s="5431" t="s">
        <v>5468</v>
      </c>
      <c r="B215" s="5432">
        <v>46236</v>
      </c>
      <c r="C215" s="5431" t="str">
        <v>Sunday</v>
      </c>
      <c r="D215" s="5438" t="s">
        <v>5343</v>
      </c>
      <c r="E215" s="5437">
        <f t="shared" si="73"/>
      </c>
      <c r="F215" s="5437" t="s">
        <v>5469</v>
      </c>
      <c r="G215" s="5497" t="s">
        <v>5470</v>
      </c>
      <c r="H215" s="5437" t="s">
        <v>5299</v>
      </c>
      <c r="I215" s="5437"/>
      <c r="J215" s="5437"/>
      <c r="K215" s="5426"/>
      <c r="L215" s="5426"/>
      <c r="M215" s="5426"/>
      <c r="N215" s="5426"/>
      <c r="O215" s="5426"/>
      <c r="P215" s="5426"/>
      <c r="Q215" s="5426"/>
      <c r="R215" s="5426"/>
      <c r="S215" s="5426"/>
      <c r="T215" s="5426"/>
      <c r="U215" s="5428"/>
      <c r="V215" s="5428"/>
      <c r="W215" s="5428"/>
      <c r="X215" s="5428"/>
      <c r="Y215" s="5428"/>
    </row>
    <row customHeight="true" ht="18.452380952380953" r="216">
      <c r="A216" s="5431" t="s">
        <v>5472</v>
      </c>
      <c r="B216" s="5432">
        <v>46230</v>
      </c>
      <c r="C216" s="5431" t="str">
        <v>Monday</v>
      </c>
      <c r="D216" s="5438" t="s">
        <v>5343</v>
      </c>
      <c r="E216" s="5437">
        <f t="shared" si="73"/>
      </c>
      <c r="F216" s="5437" t="s">
        <v>5471</v>
      </c>
      <c r="G216" s="5497" t="s">
        <v>5417</v>
      </c>
      <c r="H216" s="5437" t="s">
        <v>5299</v>
      </c>
      <c r="I216" s="5437"/>
      <c r="J216" s="5437"/>
      <c r="K216" s="5426"/>
      <c r="L216" s="5426"/>
      <c r="M216" s="5426"/>
      <c r="N216" s="5426"/>
      <c r="O216" s="5426"/>
      <c r="P216" s="5426"/>
      <c r="Q216" s="5426"/>
      <c r="R216" s="5426"/>
      <c r="S216" s="5426"/>
      <c r="T216" s="5426"/>
      <c r="U216" s="5428"/>
      <c r="V216" s="5428"/>
      <c r="W216" s="5428"/>
      <c r="X216" s="5428"/>
      <c r="Y216" s="5428"/>
    </row>
    <row r="217">
      <c r="A217" s="5431" t="s">
        <v>5473</v>
      </c>
      <c r="B217" s="5432">
        <v>46230</v>
      </c>
      <c r="C217" s="5431" t="str">
        <v>Monday</v>
      </c>
      <c r="D217" s="5433" t="s">
        <v>5474</v>
      </c>
      <c r="E217" s="5437">
        <f t="shared" si="73"/>
      </c>
      <c r="F217" s="5437" t="s">
        <v>5417</v>
      </c>
      <c r="G217" s="5486"/>
      <c r="H217" s="5438"/>
      <c r="I217" s="5438"/>
      <c r="J217" s="5438"/>
      <c r="K217" s="5426"/>
      <c r="L217" s="5426"/>
      <c r="M217" s="5426"/>
      <c r="N217" s="5426"/>
      <c r="O217" s="5426"/>
      <c r="P217" s="5426"/>
      <c r="Q217" s="5426"/>
      <c r="R217" s="5426"/>
      <c r="S217" s="5426"/>
      <c r="T217" s="5426"/>
      <c r="U217" s="5428"/>
      <c r="V217" s="5428"/>
      <c r="W217" s="5428"/>
      <c r="X217" s="5428"/>
      <c r="Y217" s="5428"/>
    </row>
    <row r="218">
      <c r="A218" s="5431" t="s">
        <v>5473</v>
      </c>
      <c r="B218" s="5432">
        <v>46231</v>
      </c>
      <c r="C218" s="5431" t="str">
        <v>Tuesday</v>
      </c>
      <c r="D218" s="5433" t="s">
        <v>5475</v>
      </c>
      <c r="E218" s="5437">
        <f t="shared" si="73"/>
      </c>
      <c r="F218" s="5437" t="s">
        <v>5417</v>
      </c>
      <c r="G218" s="5486"/>
      <c r="H218" s="5438"/>
      <c r="I218" s="5438"/>
      <c r="J218" s="5438"/>
      <c r="K218" s="5426"/>
      <c r="L218" s="5426"/>
      <c r="M218" s="5426"/>
      <c r="N218" s="5426"/>
      <c r="O218" s="5426"/>
      <c r="P218" s="5426"/>
      <c r="Q218" s="5426"/>
      <c r="R218" s="5426"/>
      <c r="S218" s="5426"/>
      <c r="T218" s="5426"/>
      <c r="U218" s="5428"/>
      <c r="V218" s="5428"/>
      <c r="W218" s="5428"/>
      <c r="X218" s="5428"/>
      <c r="Y218" s="5428"/>
    </row>
    <row customHeight="true" ht="18.452380952380953" r="219">
      <c r="A219" s="5431" t="s">
        <v>5472</v>
      </c>
      <c r="B219" s="5432">
        <v>46231</v>
      </c>
      <c r="C219" s="5431" t="str">
        <v>Tuesday</v>
      </c>
      <c r="D219" s="5433" t="s">
        <v>5340</v>
      </c>
      <c r="E219" s="5437">
        <f t="shared" si="73"/>
      </c>
      <c r="F219" s="5437" t="s">
        <v>5471</v>
      </c>
      <c r="G219" s="5486"/>
      <c r="H219" s="5437" t="s">
        <v>5299</v>
      </c>
      <c r="I219" s="5437"/>
      <c r="J219" s="5437"/>
      <c r="K219" s="5426"/>
      <c r="L219" s="5426"/>
      <c r="M219" s="5426"/>
      <c r="N219" s="5426"/>
      <c r="O219" s="5426"/>
      <c r="P219" s="5426"/>
      <c r="Q219" s="5426"/>
      <c r="R219" s="5426"/>
      <c r="S219" s="5426"/>
      <c r="T219" s="5426"/>
      <c r="U219" s="5428"/>
      <c r="V219" s="5428"/>
      <c r="W219" s="5428"/>
      <c r="X219" s="5428"/>
      <c r="Y219" s="5428"/>
    </row>
    <row r="220">
      <c r="A220" s="5431" t="s">
        <v>5473</v>
      </c>
      <c r="B220" s="5432">
        <v>46232</v>
      </c>
      <c r="C220" s="5431" t="str">
        <v>Wednesday</v>
      </c>
      <c r="D220" s="5433" t="s">
        <v>5476</v>
      </c>
      <c r="E220" s="5437">
        <f t="shared" si="73"/>
      </c>
      <c r="F220" s="5437" t="s">
        <v>5470</v>
      </c>
      <c r="G220" s="5486"/>
      <c r="H220" s="5438"/>
      <c r="I220" s="5438"/>
      <c r="J220" s="5438"/>
      <c r="K220" s="5426"/>
      <c r="L220" s="5426"/>
      <c r="M220" s="5426"/>
      <c r="N220" s="5426"/>
      <c r="O220" s="5426"/>
      <c r="P220" s="5426"/>
      <c r="Q220" s="5426"/>
      <c r="R220" s="5426"/>
      <c r="S220" s="5426"/>
      <c r="T220" s="5426"/>
      <c r="U220" s="5428"/>
      <c r="V220" s="5428"/>
      <c r="W220" s="5428"/>
      <c r="X220" s="5428"/>
      <c r="Y220" s="5428"/>
    </row>
    <row r="221">
      <c r="A221" s="5431" t="s">
        <v>5473</v>
      </c>
      <c r="B221" s="5432">
        <v>46233</v>
      </c>
      <c r="C221" s="5431" t="str">
        <v>Thursday</v>
      </c>
      <c r="D221" s="5433" t="s">
        <v>5476</v>
      </c>
      <c r="E221" s="5437">
        <f t="shared" si="73"/>
      </c>
      <c r="F221" s="5437" t="s">
        <v>5470</v>
      </c>
      <c r="G221" s="5486"/>
      <c r="H221" s="5438"/>
      <c r="I221" s="5438"/>
      <c r="J221" s="5438"/>
      <c r="K221" s="5426"/>
      <c r="L221" s="5426"/>
      <c r="M221" s="5426"/>
      <c r="N221" s="5426"/>
      <c r="O221" s="5426"/>
      <c r="P221" s="5426"/>
      <c r="Q221" s="5426"/>
      <c r="R221" s="5426"/>
      <c r="S221" s="5426"/>
      <c r="T221" s="5426"/>
      <c r="U221" s="5428"/>
      <c r="V221" s="5428"/>
      <c r="W221" s="5428"/>
      <c r="X221" s="5428"/>
      <c r="Y221" s="5428"/>
    </row>
    <row r="222">
      <c r="A222" s="5431" t="s">
        <v>5473</v>
      </c>
      <c r="B222" s="5432">
        <v>46234</v>
      </c>
      <c r="C222" s="5431" t="str">
        <v>Friday</v>
      </c>
      <c r="D222" s="5433" t="s">
        <v>5474</v>
      </c>
      <c r="E222" s="5437">
        <f t="shared" si="73"/>
      </c>
      <c r="F222" s="5437" t="s">
        <v>5417</v>
      </c>
      <c r="G222" s="5486"/>
      <c r="H222" s="5438"/>
      <c r="I222" s="5428"/>
      <c r="J222" s="5428"/>
      <c r="K222" s="5426"/>
      <c r="L222" s="5426"/>
      <c r="M222" s="5426"/>
      <c r="N222" s="5426"/>
      <c r="O222" s="5426"/>
      <c r="P222" s="5426"/>
      <c r="Q222" s="5426"/>
      <c r="R222" s="5426"/>
      <c r="S222" s="5426"/>
      <c r="T222" s="5426"/>
      <c r="U222" s="5428"/>
      <c r="V222" s="5428"/>
      <c r="W222" s="5428"/>
      <c r="X222" s="5428"/>
      <c r="Y222" s="5428"/>
    </row>
    <row customHeight="true" ht="18.452380952380953" r="223">
      <c r="A223" s="5431" t="s">
        <v>5473</v>
      </c>
      <c r="B223" s="5432">
        <v>46234</v>
      </c>
      <c r="C223" s="5431" t="str">
        <v>Friday</v>
      </c>
      <c r="D223" s="5433" t="s">
        <v>5332</v>
      </c>
      <c r="E223" s="5437">
        <f t="shared" si="73"/>
      </c>
      <c r="F223" s="5437" t="s">
        <v>5471</v>
      </c>
      <c r="G223" s="5486"/>
      <c r="H223" s="5438"/>
      <c r="I223" s="5428"/>
      <c r="J223" s="5428"/>
      <c r="K223" s="5426"/>
      <c r="L223" s="5426"/>
      <c r="M223" s="5426"/>
      <c r="N223" s="5426"/>
      <c r="O223" s="5426"/>
      <c r="P223" s="5426"/>
      <c r="Q223" s="5426"/>
      <c r="R223" s="5426"/>
      <c r="S223" s="5426"/>
      <c r="T223" s="5426"/>
      <c r="U223" s="5428"/>
      <c r="V223" s="5428"/>
      <c r="W223" s="5428"/>
      <c r="X223" s="5428"/>
      <c r="Y223" s="5428"/>
    </row>
    <row r="224">
      <c r="A224" s="5431" t="s">
        <v>5473</v>
      </c>
      <c r="B224" s="5432">
        <v>46235</v>
      </c>
      <c r="C224" s="5431" t="str">
        <v>Saturday</v>
      </c>
      <c r="D224" s="5433" t="s">
        <v>5476</v>
      </c>
      <c r="E224" s="5437">
        <f t="shared" si="73"/>
      </c>
      <c r="F224" s="5437" t="s">
        <v>5470</v>
      </c>
      <c r="G224" s="5486"/>
      <c r="H224" s="5438"/>
      <c r="I224" s="5428"/>
      <c r="J224" s="5428"/>
      <c r="K224" s="5426"/>
      <c r="L224" s="5426"/>
      <c r="M224" s="5426"/>
      <c r="N224" s="5426"/>
      <c r="O224" s="5426"/>
      <c r="P224" s="5426"/>
      <c r="Q224" s="5426"/>
      <c r="R224" s="5426"/>
      <c r="S224" s="5426"/>
      <c r="T224" s="5426"/>
      <c r="U224" s="5428"/>
      <c r="V224" s="5428"/>
      <c r="W224" s="5428"/>
      <c r="X224" s="5428"/>
      <c r="Y224" s="5428"/>
    </row>
    <row r="225">
      <c r="A225" s="5431" t="s">
        <v>5473</v>
      </c>
      <c r="B225" s="5432">
        <v>46236</v>
      </c>
      <c r="C225" s="5431" t="str">
        <v>Sunday</v>
      </c>
      <c r="D225" s="5433" t="s">
        <v>5476</v>
      </c>
      <c r="E225" s="5437">
        <f t="shared" si="73"/>
      </c>
      <c r="F225" s="5437" t="s">
        <v>5470</v>
      </c>
      <c r="G225" s="5486"/>
      <c r="H225" s="5437"/>
      <c r="I225" s="5437"/>
      <c r="J225" s="5437"/>
      <c r="K225" s="5426"/>
      <c r="L225" s="5426"/>
      <c r="M225" s="5426"/>
      <c r="N225" s="5426"/>
      <c r="O225" s="5426"/>
      <c r="P225" s="5426"/>
      <c r="Q225" s="5426"/>
      <c r="R225" s="5426"/>
      <c r="S225" s="5426"/>
      <c r="T225" s="5426"/>
      <c r="U225" s="5428"/>
      <c r="V225" s="5428"/>
      <c r="W225" s="5428"/>
      <c r="X225" s="5428"/>
      <c r="Y225" s="5428"/>
    </row>
    <row r="226">
      <c r="A226" s="5428"/>
      <c r="B226" s="5428"/>
      <c r="C226" s="5428"/>
      <c r="D226" s="5428"/>
      <c r="E226" s="5428"/>
      <c r="F226" s="5617"/>
      <c r="G226" s="5618"/>
      <c r="H226" s="5619"/>
      <c r="I226" s="5428"/>
      <c r="J226" s="5428"/>
      <c r="K226" s="5426"/>
      <c r="L226" s="5426"/>
      <c r="M226" s="5426"/>
      <c r="N226" s="5426"/>
      <c r="O226" s="5426"/>
      <c r="P226" s="5426"/>
      <c r="Q226" s="5426"/>
      <c r="R226" s="5426"/>
      <c r="S226" s="5426"/>
      <c r="T226" s="5426"/>
      <c r="U226" s="5428"/>
      <c r="V226" s="5428"/>
      <c r="W226" s="5428"/>
      <c r="X226" s="5428"/>
      <c r="Y226" s="5428"/>
    </row>
    <row r="227">
      <c r="A227" s="5428"/>
      <c r="B227" s="5428"/>
      <c r="C227" s="5428"/>
      <c r="D227" s="5428"/>
      <c r="E227" s="5428"/>
      <c r="F227" s="5617"/>
      <c r="G227" s="5618"/>
      <c r="H227" s="5619"/>
      <c r="I227" s="5428"/>
      <c r="J227" s="5428"/>
      <c r="K227" s="5426"/>
      <c r="L227" s="5426"/>
      <c r="M227" s="5426"/>
      <c r="N227" s="5426"/>
      <c r="O227" s="5426"/>
      <c r="P227" s="5426"/>
      <c r="Q227" s="5426"/>
      <c r="R227" s="5426"/>
      <c r="S227" s="5426"/>
      <c r="T227" s="5426"/>
      <c r="U227" s="5428"/>
      <c r="V227" s="5428"/>
      <c r="W227" s="5428"/>
      <c r="X227" s="5428"/>
      <c r="Y227" s="5428"/>
    </row>
    <row r="228">
      <c r="A228" s="5620" t="s">
        <v>5477</v>
      </c>
      <c r="B228" s="5620"/>
      <c r="C228" s="5620"/>
      <c r="D228" s="5620"/>
      <c r="E228" s="5620"/>
      <c r="F228" s="5620"/>
      <c r="G228" s="5620"/>
      <c r="H228" s="5620"/>
      <c r="I228" s="5620"/>
      <c r="J228" s="5620"/>
      <c r="K228" s="5426"/>
      <c r="L228" s="5426"/>
      <c r="M228" s="5426"/>
      <c r="N228" s="5426"/>
      <c r="O228" s="5426"/>
      <c r="P228" s="5426"/>
      <c r="Q228" s="5426"/>
      <c r="R228" s="5426"/>
      <c r="S228" s="5426"/>
      <c r="T228" s="5426"/>
      <c r="U228" s="5428"/>
      <c r="V228" s="5428"/>
      <c r="W228" s="5428"/>
      <c r="X228" s="5428"/>
      <c r="Y228" s="5428"/>
    </row>
    <row r="229">
      <c r="A229" s="5621" t="s">
        <v>5277</v>
      </c>
      <c r="B229" s="5622" t="s">
        <v>5278</v>
      </c>
      <c r="C229" s="5622"/>
      <c r="D229" s="5623" t="s">
        <v>5279</v>
      </c>
      <c r="E229" s="5623" t="s">
        <v>5280</v>
      </c>
      <c r="F229" s="5623" t="s">
        <v>5281</v>
      </c>
      <c r="G229" s="5624" t="s">
        <v>5294</v>
      </c>
      <c r="H229" s="5623" t="s">
        <v>5283</v>
      </c>
      <c r="I229" s="5623" t="s">
        <v>5284</v>
      </c>
      <c r="J229" s="5623" t="s">
        <v>5285</v>
      </c>
      <c r="K229" s="5426"/>
      <c r="L229" s="5426"/>
      <c r="M229" s="5426"/>
      <c r="N229" s="5426"/>
      <c r="O229" s="5426"/>
      <c r="P229" s="5426"/>
      <c r="Q229" s="5426"/>
      <c r="R229" s="5426"/>
      <c r="S229" s="5426"/>
      <c r="T229" s="5426"/>
      <c r="U229" s="5428"/>
      <c r="V229" s="5428"/>
      <c r="W229" s="5428"/>
      <c r="X229" s="5428"/>
      <c r="Y229" s="5428"/>
    </row>
    <row r="230">
      <c r="A230" s="5431" t="s">
        <v>5478</v>
      </c>
      <c r="B230" s="5432">
        <v>46230</v>
      </c>
      <c r="C230" s="5431" t="str">
        <v>Monday</v>
      </c>
      <c r="D230" s="5433" t="s">
        <v>5344</v>
      </c>
      <c r="E230" s="5437">
        <f t="shared" ref="E230:E250" si="74">24*MOD(TIMEVALUE(TRIM(MID(D230,FIND("-",D230)+1,LEN(D230)))) - TIMEVALUE(TRIM(LEFT(D230,FIND("-",D230)-1))),1)</f>
      </c>
      <c r="F230" s="5437" t="s">
        <v>5369</v>
      </c>
      <c r="G230" s="5497" t="s">
        <v>5479</v>
      </c>
      <c r="H230" s="5437" t="s">
        <v>5299</v>
      </c>
      <c r="I230" s="5438" t="s">
        <v>5268</v>
      </c>
      <c r="J230" s="5437"/>
      <c r="K230" s="5426"/>
      <c r="L230" s="5426"/>
      <c r="M230" s="5426"/>
      <c r="N230" s="5426"/>
      <c r="O230" s="5426"/>
      <c r="P230" s="5426"/>
      <c r="Q230" s="5426"/>
      <c r="R230" s="5426"/>
      <c r="S230" s="5426"/>
      <c r="T230" s="5426"/>
      <c r="U230" s="5428"/>
      <c r="V230" s="5428"/>
      <c r="W230" s="5428"/>
      <c r="X230" s="5428"/>
      <c r="Y230" s="5428"/>
    </row>
    <row customHeight="true" ht="18.452380952380953" r="231">
      <c r="A231" s="5431" t="s">
        <v>5478</v>
      </c>
      <c r="B231" s="5432">
        <v>46231</v>
      </c>
      <c r="C231" s="5431" t="str">
        <v>Tuesday</v>
      </c>
      <c r="D231" s="5433" t="s">
        <v>5344</v>
      </c>
      <c r="E231" s="5437">
        <f t="shared" si="74"/>
      </c>
      <c r="F231" s="5437" t="s">
        <v>5411</v>
      </c>
      <c r="G231" s="5497" t="s">
        <v>5471</v>
      </c>
      <c r="H231" s="5437" t="s">
        <v>5299</v>
      </c>
      <c r="I231" s="5437"/>
      <c r="J231" s="5437"/>
      <c r="K231" s="5426"/>
      <c r="L231" s="5426"/>
      <c r="M231" s="5426"/>
      <c r="N231" s="5426"/>
      <c r="O231" s="5426"/>
      <c r="P231" s="5426"/>
      <c r="Q231" s="5426"/>
      <c r="R231" s="5426"/>
      <c r="S231" s="5426"/>
      <c r="T231" s="5426"/>
      <c r="U231" s="5428"/>
      <c r="V231" s="5428"/>
      <c r="W231" s="5428"/>
      <c r="X231" s="5428"/>
      <c r="Y231" s="5428"/>
    </row>
    <row customHeight="true" ht="18.452380952380953" r="232">
      <c r="A232" s="5431" t="s">
        <v>5478</v>
      </c>
      <c r="B232" s="5432">
        <v>46232</v>
      </c>
      <c r="C232" s="5431" t="str">
        <v>Wednesday</v>
      </c>
      <c r="D232" s="5433" t="s">
        <v>5344</v>
      </c>
      <c r="E232" s="5437">
        <f t="shared" si="74"/>
      </c>
      <c r="F232" s="5437" t="s">
        <v>5411</v>
      </c>
      <c r="G232" s="5497" t="s">
        <v>5471</v>
      </c>
      <c r="H232" s="5437" t="s">
        <v>5299</v>
      </c>
      <c r="I232" s="5437"/>
      <c r="J232" s="5437"/>
      <c r="K232" s="5426"/>
      <c r="L232" s="5426"/>
      <c r="M232" s="5426"/>
      <c r="N232" s="5426"/>
      <c r="O232" s="5426"/>
      <c r="P232" s="5426"/>
      <c r="Q232" s="5426"/>
      <c r="R232" s="5426"/>
      <c r="S232" s="5426"/>
      <c r="T232" s="5426"/>
      <c r="U232" s="5428"/>
      <c r="V232" s="5428"/>
      <c r="W232" s="5428"/>
      <c r="X232" s="5428"/>
      <c r="Y232" s="5428"/>
    </row>
    <row customHeight="true" ht="18.452380952380953" r="233">
      <c r="A233" s="5431" t="s">
        <v>5478</v>
      </c>
      <c r="B233" s="5432">
        <v>46233</v>
      </c>
      <c r="C233" s="5431" t="str">
        <v>Thursday</v>
      </c>
      <c r="D233" s="5433" t="s">
        <v>5344</v>
      </c>
      <c r="E233" s="5437">
        <f t="shared" si="74"/>
      </c>
      <c r="F233" s="5437" t="s">
        <v>5411</v>
      </c>
      <c r="G233" s="5497" t="s">
        <v>5375</v>
      </c>
      <c r="H233" s="5437" t="s">
        <v>5299</v>
      </c>
      <c r="I233" s="5437"/>
      <c r="J233" s="5437"/>
      <c r="K233" s="5426"/>
      <c r="L233" s="5426"/>
      <c r="M233" s="5426"/>
      <c r="N233" s="5426"/>
      <c r="O233" s="5426"/>
      <c r="P233" s="5426"/>
      <c r="Q233" s="5426"/>
      <c r="R233" s="5426"/>
      <c r="S233" s="5426"/>
      <c r="T233" s="5426"/>
      <c r="U233" s="5428"/>
      <c r="V233" s="5428"/>
      <c r="W233" s="5428"/>
      <c r="X233" s="5428"/>
      <c r="Y233" s="5428"/>
    </row>
    <row customHeight="true" ht="18.452380952380953" r="234">
      <c r="A234" s="5431" t="s">
        <v>5478</v>
      </c>
      <c r="B234" s="5432">
        <v>46234</v>
      </c>
      <c r="C234" s="5431" t="str">
        <v>Friday</v>
      </c>
      <c r="D234" s="5433" t="s">
        <v>5344</v>
      </c>
      <c r="E234" s="5437">
        <f t="shared" si="74"/>
      </c>
      <c r="F234" s="5437" t="s">
        <v>5411</v>
      </c>
      <c r="G234" s="5497" t="s">
        <v>5480</v>
      </c>
      <c r="H234" s="5437" t="s">
        <v>5299</v>
      </c>
      <c r="I234" s="5437"/>
      <c r="J234" s="5437"/>
      <c r="K234" s="5426"/>
      <c r="L234" s="5426"/>
      <c r="M234" s="5426"/>
      <c r="N234" s="5426"/>
      <c r="O234" s="5426"/>
      <c r="P234" s="5426"/>
      <c r="Q234" s="5426"/>
      <c r="R234" s="5426"/>
      <c r="S234" s="5426"/>
      <c r="T234" s="5426"/>
      <c r="U234" s="5428"/>
      <c r="V234" s="5428"/>
      <c r="W234" s="5428"/>
      <c r="X234" s="5428"/>
      <c r="Y234" s="5428"/>
    </row>
    <row r="235">
      <c r="A235" s="5431" t="s">
        <v>5478</v>
      </c>
      <c r="B235" s="5432">
        <v>46235</v>
      </c>
      <c r="C235" s="5431" t="str">
        <v>Saturday</v>
      </c>
      <c r="D235" s="5433" t="s">
        <v>5346</v>
      </c>
      <c r="E235" s="5437">
        <f t="shared" si="74"/>
      </c>
      <c r="F235" s="5437" t="s">
        <v>5348</v>
      </c>
      <c r="G235" s="5497" t="s">
        <v>5298</v>
      </c>
      <c r="H235" s="5437" t="s">
        <v>5299</v>
      </c>
      <c r="I235" s="5438" t="s">
        <v>5268</v>
      </c>
      <c r="J235" s="5437"/>
      <c r="K235" s="5426"/>
      <c r="L235" s="5426"/>
      <c r="M235" s="5426"/>
      <c r="N235" s="5426"/>
      <c r="O235" s="5426"/>
      <c r="P235" s="5426"/>
      <c r="Q235" s="5426"/>
      <c r="R235" s="5426"/>
      <c r="S235" s="5426"/>
      <c r="T235" s="5426"/>
      <c r="U235" s="5428"/>
      <c r="V235" s="5428"/>
      <c r="W235" s="5428"/>
      <c r="X235" s="5428"/>
      <c r="Y235" s="5428"/>
    </row>
    <row r="236">
      <c r="A236" s="5431" t="s">
        <v>5478</v>
      </c>
      <c r="B236" s="5432">
        <v>46236</v>
      </c>
      <c r="C236" s="5431" t="str">
        <v>Sunday</v>
      </c>
      <c r="D236" s="5433" t="s">
        <v>5346</v>
      </c>
      <c r="E236" s="5437">
        <f t="shared" si="74"/>
      </c>
      <c r="F236" s="5437" t="s">
        <v>5369</v>
      </c>
      <c r="G236" s="5497" t="s">
        <v>5298</v>
      </c>
      <c r="H236" s="5437" t="s">
        <v>5299</v>
      </c>
      <c r="I236" s="5438" t="s">
        <v>5268</v>
      </c>
      <c r="J236" s="5437"/>
      <c r="K236" s="5426"/>
      <c r="L236" s="5426"/>
      <c r="M236" s="5426"/>
      <c r="N236" s="5426"/>
      <c r="O236" s="5426"/>
      <c r="P236" s="5426"/>
      <c r="Q236" s="5426"/>
      <c r="R236" s="5426"/>
      <c r="S236" s="5426"/>
      <c r="T236" s="5426"/>
      <c r="U236" s="5428"/>
      <c r="V236" s="5428"/>
      <c r="W236" s="5428"/>
      <c r="X236" s="5428"/>
      <c r="Y236" s="5428"/>
    </row>
    <row customHeight="true" ht="18.452380952380953" r="237">
      <c r="A237" s="5431" t="s">
        <v>5481</v>
      </c>
      <c r="B237" s="5432">
        <v>46230</v>
      </c>
      <c r="C237" s="5431" t="str">
        <v>Monday</v>
      </c>
      <c r="D237" s="5433" t="s">
        <v>5482</v>
      </c>
      <c r="E237" s="5437">
        <f t="shared" si="74"/>
      </c>
      <c r="F237" s="5437" t="s">
        <v>5483</v>
      </c>
      <c r="G237" s="5497"/>
      <c r="H237" s="5437" t="s">
        <v>5299</v>
      </c>
      <c r="I237" s="5437"/>
      <c r="J237" s="5561" t="s">
        <v>5484</v>
      </c>
      <c r="K237" s="5426"/>
      <c r="L237" s="5426"/>
      <c r="M237" s="5426"/>
      <c r="N237" s="5426"/>
      <c r="O237" s="5426"/>
      <c r="P237" s="5426"/>
      <c r="Q237" s="5426"/>
      <c r="R237" s="5426"/>
      <c r="S237" s="5426"/>
      <c r="T237" s="5426"/>
      <c r="U237" s="5428"/>
      <c r="V237" s="5428"/>
      <c r="W237" s="5428"/>
      <c r="X237" s="5428"/>
      <c r="Y237" s="5428"/>
    </row>
    <row customHeight="true" ht="18.452380952380953" r="238">
      <c r="A238" s="5431" t="s">
        <v>5481</v>
      </c>
      <c r="B238" s="5432">
        <v>46231</v>
      </c>
      <c r="C238" s="5431" t="str">
        <v>Tuesday</v>
      </c>
      <c r="D238" s="5433" t="s">
        <v>5346</v>
      </c>
      <c r="E238" s="5437">
        <f t="shared" si="74"/>
      </c>
      <c r="F238" s="5437" t="s">
        <v>5471</v>
      </c>
      <c r="G238" s="5497"/>
      <c r="H238" s="5437" t="s">
        <v>5299</v>
      </c>
      <c r="I238" s="5437"/>
      <c r="J238" s="5437"/>
      <c r="K238" s="5426"/>
      <c r="L238" s="5426"/>
      <c r="M238" s="5426"/>
      <c r="N238" s="5426"/>
      <c r="O238" s="5426"/>
      <c r="P238" s="5426"/>
      <c r="Q238" s="5426"/>
      <c r="R238" s="5426"/>
      <c r="S238" s="5426"/>
      <c r="T238" s="5426"/>
      <c r="U238" s="5428"/>
      <c r="V238" s="5428"/>
      <c r="W238" s="5428"/>
      <c r="X238" s="5428"/>
      <c r="Y238" s="5428"/>
    </row>
    <row customHeight="true" ht="18.452380952380953" r="239">
      <c r="A239" s="5431" t="s">
        <v>5481</v>
      </c>
      <c r="B239" s="5432">
        <v>46232</v>
      </c>
      <c r="C239" s="5431" t="str">
        <v>Wednesday</v>
      </c>
      <c r="D239" s="5433" t="s">
        <v>5485</v>
      </c>
      <c r="E239" s="5437">
        <f t="shared" si="74"/>
      </c>
      <c r="F239" s="5437" t="s">
        <v>5471</v>
      </c>
      <c r="G239" s="5497"/>
      <c r="H239" s="5437" t="s">
        <v>5299</v>
      </c>
      <c r="I239" s="5437"/>
      <c r="J239" s="5437"/>
      <c r="K239" s="5426"/>
      <c r="L239" s="5426"/>
      <c r="M239" s="5426"/>
      <c r="N239" s="5426"/>
      <c r="O239" s="5426"/>
      <c r="P239" s="5426"/>
      <c r="Q239" s="5426"/>
      <c r="R239" s="5426"/>
      <c r="S239" s="5426"/>
      <c r="T239" s="5426"/>
      <c r="U239" s="5428"/>
      <c r="V239" s="5428"/>
      <c r="W239" s="5428"/>
      <c r="X239" s="5428"/>
      <c r="Y239" s="5428"/>
    </row>
    <row customHeight="true" ht="18.452380952380953" r="240">
      <c r="A240" s="5431" t="s">
        <v>5481</v>
      </c>
      <c r="B240" s="5431">
        <v>46233</v>
      </c>
      <c r="C240" s="5431" t="str">
        <v>Thursday</v>
      </c>
      <c r="D240" s="5433" t="s">
        <v>5355</v>
      </c>
      <c r="E240" s="5437">
        <f t="shared" si="74"/>
      </c>
      <c r="F240" s="5437" t="s">
        <v>5348</v>
      </c>
      <c r="G240" s="5486"/>
      <c r="H240" s="5437" t="s">
        <v>5299</v>
      </c>
      <c r="I240" s="5438" t="s">
        <v>5268</v>
      </c>
      <c r="J240" s="5437"/>
      <c r="K240" s="5426"/>
      <c r="L240" s="5426"/>
      <c r="M240" s="5426"/>
      <c r="N240" s="5426"/>
      <c r="O240" s="5426"/>
      <c r="P240" s="5426"/>
      <c r="Q240" s="5426"/>
      <c r="R240" s="5426"/>
      <c r="S240" s="5426"/>
      <c r="T240" s="5426"/>
      <c r="U240" s="5428"/>
      <c r="V240" s="5428"/>
      <c r="W240" s="5428"/>
      <c r="X240" s="5428"/>
      <c r="Y240" s="5428"/>
    </row>
    <row customHeight="true" ht="18.452380952380953" r="241">
      <c r="A241" s="5431" t="s">
        <v>5481</v>
      </c>
      <c r="B241" s="5432">
        <v>46234</v>
      </c>
      <c r="C241" s="5431" t="str">
        <v>Friday</v>
      </c>
      <c r="D241" s="5433" t="s">
        <v>5344</v>
      </c>
      <c r="E241" s="5437">
        <f t="shared" si="74"/>
      </c>
      <c r="F241" s="5437" t="s">
        <v>5353</v>
      </c>
      <c r="G241" s="5497"/>
      <c r="H241" s="5437" t="s">
        <v>5299</v>
      </c>
      <c r="I241" s="5438" t="s">
        <v>5268</v>
      </c>
      <c r="J241" s="5437"/>
      <c r="K241" s="5426"/>
      <c r="L241" s="5426"/>
      <c r="M241" s="5426"/>
      <c r="N241" s="5426"/>
      <c r="O241" s="5426"/>
      <c r="P241" s="5426"/>
      <c r="Q241" s="5426"/>
      <c r="R241" s="5426"/>
      <c r="S241" s="5426"/>
      <c r="T241" s="5426"/>
      <c r="U241" s="5428"/>
      <c r="V241" s="5428"/>
      <c r="W241" s="5428"/>
      <c r="X241" s="5428"/>
      <c r="Y241" s="5428"/>
    </row>
    <row customHeight="true" ht="18.452380952380953" r="242">
      <c r="A242" s="5431" t="s">
        <v>5481</v>
      </c>
      <c r="B242" s="5432">
        <v>46235</v>
      </c>
      <c r="C242" s="5431" t="str">
        <v>Saturday</v>
      </c>
      <c r="D242" s="5433" t="s">
        <v>5357</v>
      </c>
      <c r="E242" s="5437">
        <f t="shared" si="74"/>
      </c>
      <c r="F242" s="5437" t="s">
        <v>5298</v>
      </c>
      <c r="G242" s="5497"/>
      <c r="H242" s="5437" t="s">
        <v>5299</v>
      </c>
      <c r="I242" s="5513" t="s">
        <v>5268</v>
      </c>
      <c r="J242" s="5437"/>
      <c r="K242" s="5426"/>
      <c r="L242" s="5426"/>
      <c r="M242" s="5426"/>
      <c r="N242" s="5426"/>
      <c r="O242" s="5426"/>
      <c r="P242" s="5426"/>
      <c r="Q242" s="5426"/>
      <c r="R242" s="5426"/>
      <c r="S242" s="5426"/>
      <c r="T242" s="5426"/>
      <c r="U242" s="5428"/>
      <c r="V242" s="5428"/>
      <c r="W242" s="5428"/>
      <c r="X242" s="5428"/>
      <c r="Y242" s="5428"/>
    </row>
    <row customHeight="true" ht="18.452380952380953" r="243">
      <c r="A243" s="5431" t="s">
        <v>5481</v>
      </c>
      <c r="B243" s="5432">
        <v>46236</v>
      </c>
      <c r="C243" s="5431" t="str">
        <v>Sunday</v>
      </c>
      <c r="D243" s="5433" t="s">
        <v>5486</v>
      </c>
      <c r="E243" s="5437">
        <f t="shared" si="74"/>
      </c>
      <c r="F243" s="5437" t="s">
        <v>5298</v>
      </c>
      <c r="G243" s="5497"/>
      <c r="H243" s="5437" t="s">
        <v>5299</v>
      </c>
      <c r="I243" s="5513" t="s">
        <v>5268</v>
      </c>
      <c r="J243" s="5561" t="s">
        <v>5487</v>
      </c>
      <c r="K243" s="5426"/>
      <c r="L243" s="5426"/>
      <c r="M243" s="5426"/>
      <c r="N243" s="5426"/>
      <c r="O243" s="5426"/>
      <c r="P243" s="5426"/>
      <c r="Q243" s="5426"/>
      <c r="R243" s="5426"/>
      <c r="S243" s="5426"/>
      <c r="T243" s="5426"/>
      <c r="U243" s="5428"/>
      <c r="V243" s="5428"/>
      <c r="W243" s="5428"/>
      <c r="X243" s="5428"/>
      <c r="Y243" s="5428"/>
    </row>
    <row customHeight="true" ht="18.452380952380953" r="244">
      <c r="A244" s="5431" t="s">
        <v>5488</v>
      </c>
      <c r="B244" s="5432">
        <v>46230</v>
      </c>
      <c r="C244" s="5431" t="str">
        <v>Monday</v>
      </c>
      <c r="D244" s="5433" t="s">
        <v>5489</v>
      </c>
      <c r="E244" s="5437">
        <f t="shared" si="74"/>
      </c>
      <c r="F244" s="5437" t="s">
        <v>5471</v>
      </c>
      <c r="G244" s="5497" t="s">
        <v>5479</v>
      </c>
      <c r="H244" s="5437" t="s">
        <v>5299</v>
      </c>
      <c r="I244" s="5437"/>
      <c r="J244" s="5437"/>
      <c r="K244" s="5426"/>
      <c r="L244" s="5426"/>
      <c r="M244" s="5426"/>
      <c r="N244" s="5426"/>
      <c r="O244" s="5426"/>
      <c r="P244" s="5426"/>
      <c r="Q244" s="5426"/>
      <c r="R244" s="5426"/>
      <c r="S244" s="5426"/>
      <c r="T244" s="5426"/>
      <c r="U244" s="5428"/>
      <c r="V244" s="5428"/>
      <c r="W244" s="5428"/>
      <c r="X244" s="5428"/>
      <c r="Y244" s="5428"/>
    </row>
    <row customHeight="true" ht="18.452380952380953" r="245">
      <c r="A245" s="5431" t="s">
        <v>5488</v>
      </c>
      <c r="B245" s="5432">
        <v>46234</v>
      </c>
      <c r="C245" s="5431" t="str">
        <v>Friday</v>
      </c>
      <c r="D245" s="5433" t="s">
        <v>5490</v>
      </c>
      <c r="E245" s="5437">
        <f t="shared" si="74"/>
      </c>
      <c r="F245" s="5437" t="s">
        <v>5298</v>
      </c>
      <c r="G245" s="5497" t="s">
        <v>5479</v>
      </c>
      <c r="H245" s="5437" t="s">
        <v>5299</v>
      </c>
      <c r="I245" s="5437"/>
      <c r="J245" s="5437"/>
      <c r="K245" s="5426"/>
      <c r="L245" s="5426"/>
      <c r="M245" s="5426"/>
      <c r="N245" s="5426"/>
      <c r="O245" s="5426"/>
      <c r="P245" s="5426"/>
      <c r="Q245" s="5426"/>
      <c r="R245" s="5426"/>
      <c r="S245" s="5426"/>
      <c r="T245" s="5426"/>
      <c r="U245" s="5428"/>
      <c r="V245" s="5428"/>
      <c r="W245" s="5428"/>
      <c r="X245" s="5428"/>
      <c r="Y245" s="5428"/>
    </row>
    <row customHeight="true" ht="18.452380952380953" r="246">
      <c r="A246" s="5431" t="s">
        <v>5488</v>
      </c>
      <c r="B246" s="5432">
        <v>46233</v>
      </c>
      <c r="C246" s="5431" t="str">
        <v>Thursday</v>
      </c>
      <c r="D246" s="5433" t="s">
        <v>5491</v>
      </c>
      <c r="E246" s="5437">
        <f t="shared" si="74"/>
      </c>
      <c r="F246" s="5437" t="s">
        <v>5348</v>
      </c>
      <c r="G246" s="5497" t="s">
        <v>5479</v>
      </c>
      <c r="H246" s="5437" t="s">
        <v>5299</v>
      </c>
      <c r="I246" s="5437"/>
      <c r="J246" s="5437"/>
      <c r="K246" s="5426"/>
      <c r="L246" s="5426"/>
      <c r="M246" s="5426"/>
      <c r="N246" s="5426"/>
      <c r="O246" s="5426"/>
      <c r="P246" s="5426"/>
      <c r="Q246" s="5426"/>
      <c r="R246" s="5426"/>
      <c r="S246" s="5426"/>
      <c r="T246" s="5426"/>
      <c r="U246" s="5428"/>
      <c r="V246" s="5428"/>
      <c r="W246" s="5428"/>
      <c r="X246" s="5428"/>
      <c r="Y246" s="5428"/>
    </row>
    <row customHeight="true" ht="18.452380952380953" r="247">
      <c r="A247" s="5431" t="s">
        <v>5488</v>
      </c>
      <c r="B247" s="5432">
        <v>46234</v>
      </c>
      <c r="C247" s="5431" t="str">
        <v>Friday</v>
      </c>
      <c r="D247" s="5433" t="s">
        <v>5492</v>
      </c>
      <c r="E247" s="5437">
        <f t="shared" si="74"/>
      </c>
      <c r="F247" s="5437" t="s">
        <v>5313</v>
      </c>
      <c r="G247" s="5497" t="s">
        <v>5479</v>
      </c>
      <c r="H247" s="5437" t="s">
        <v>5299</v>
      </c>
      <c r="I247" s="5437"/>
      <c r="J247" s="5437"/>
      <c r="K247" s="5426"/>
      <c r="L247" s="5426"/>
      <c r="M247" s="5426"/>
      <c r="N247" s="5426"/>
      <c r="O247" s="5426"/>
      <c r="P247" s="5426"/>
      <c r="Q247" s="5426"/>
      <c r="R247" s="5426"/>
      <c r="S247" s="5426"/>
      <c r="T247" s="5426"/>
      <c r="U247" s="5428"/>
      <c r="V247" s="5428"/>
      <c r="W247" s="5428"/>
      <c r="X247" s="5428"/>
      <c r="Y247" s="5428"/>
    </row>
    <row customHeight="true" ht="18.452380952380953" r="248">
      <c r="A248" s="5431" t="s">
        <v>5488</v>
      </c>
      <c r="B248" s="5432">
        <v>46233</v>
      </c>
      <c r="C248" s="5431" t="str">
        <v>Thursday</v>
      </c>
      <c r="D248" s="5433" t="s">
        <v>5343</v>
      </c>
      <c r="E248" s="5437">
        <f t="shared" si="74"/>
      </c>
      <c r="F248" s="5437" t="s">
        <v>5483</v>
      </c>
      <c r="G248" s="5497"/>
      <c r="H248" s="5437" t="s">
        <v>5299</v>
      </c>
      <c r="I248" s="5437"/>
      <c r="J248" s="5561" t="s">
        <v>5493</v>
      </c>
      <c r="K248" s="5426"/>
      <c r="L248" s="5426"/>
      <c r="M248" s="5426"/>
      <c r="N248" s="5426"/>
      <c r="O248" s="5426"/>
      <c r="P248" s="5426"/>
      <c r="Q248" s="5426"/>
      <c r="R248" s="5426"/>
      <c r="S248" s="5426"/>
      <c r="T248" s="5426"/>
      <c r="U248" s="5428"/>
      <c r="V248" s="5428"/>
      <c r="W248" s="5428"/>
      <c r="X248" s="5428"/>
      <c r="Y248" s="5428"/>
    </row>
    <row customHeight="true" ht="18.452380952380953" r="249">
      <c r="A249" s="5431" t="s">
        <v>5488</v>
      </c>
      <c r="B249" s="5432">
        <v>46234</v>
      </c>
      <c r="C249" s="5431" t="str">
        <v>Friday</v>
      </c>
      <c r="D249" s="5433" t="s">
        <v>5494</v>
      </c>
      <c r="E249" s="5437">
        <f t="shared" si="74"/>
      </c>
      <c r="F249" s="5437" t="s">
        <v>5483</v>
      </c>
      <c r="G249" s="5497"/>
      <c r="H249" s="5437" t="s">
        <v>5299</v>
      </c>
      <c r="I249" s="5437"/>
      <c r="J249" s="5561" t="s">
        <v>5495</v>
      </c>
      <c r="K249" s="5426"/>
      <c r="L249" s="5426"/>
      <c r="M249" s="5426"/>
      <c r="N249" s="5426"/>
      <c r="O249" s="5426"/>
      <c r="P249" s="5426"/>
      <c r="Q249" s="5426"/>
      <c r="R249" s="5426"/>
      <c r="S249" s="5426"/>
      <c r="T249" s="5426"/>
      <c r="U249" s="5428"/>
      <c r="V249" s="5428"/>
      <c r="W249" s="5428"/>
      <c r="X249" s="5428"/>
      <c r="Y249" s="5428"/>
    </row>
    <row customHeight="true" ht="18.452380952380953" r="250">
      <c r="A250" s="5431" t="s">
        <v>5488</v>
      </c>
      <c r="B250" s="5432">
        <v>46235</v>
      </c>
      <c r="C250" s="5431" t="str">
        <v>Saturday</v>
      </c>
      <c r="D250" s="5433" t="s">
        <v>5496</v>
      </c>
      <c r="E250" s="5437">
        <f t="shared" si="74"/>
      </c>
      <c r="F250" s="5437" t="s">
        <v>5483</v>
      </c>
      <c r="G250" s="5497"/>
      <c r="H250" s="5437" t="s">
        <v>5299</v>
      </c>
      <c r="I250" s="5513" t="s">
        <v>5268</v>
      </c>
      <c r="J250" s="5561" t="s">
        <v>5497</v>
      </c>
      <c r="K250" s="5426"/>
      <c r="L250" s="5426"/>
      <c r="M250" s="5426"/>
      <c r="N250" s="5426"/>
      <c r="O250" s="5426"/>
      <c r="P250" s="5426"/>
      <c r="Q250" s="5426"/>
      <c r="R250" s="5426"/>
      <c r="S250" s="5426"/>
      <c r="T250" s="5426"/>
      <c r="U250" s="5428"/>
      <c r="V250" s="5428"/>
      <c r="W250" s="5428"/>
      <c r="X250" s="5428"/>
      <c r="Y250" s="5428"/>
    </row>
    <row customHeight="true" ht="18.452380952380953" r="251">
      <c r="A251" s="5431" t="s">
        <v>5488</v>
      </c>
      <c r="B251" s="5431">
        <v>46236</v>
      </c>
      <c r="C251" s="5431" t="str">
        <v>Sunday</v>
      </c>
      <c r="D251" s="5433" t="s">
        <v>5496</v>
      </c>
      <c r="E251" s="5561">
        <v>2</v>
      </c>
      <c r="F251" s="5437" t="s">
        <v>5483</v>
      </c>
      <c r="G251" s="5497"/>
      <c r="H251" s="5437"/>
      <c r="I251" s="5513"/>
      <c r="J251" s="5625" t="s">
        <v>5498</v>
      </c>
      <c r="K251" s="5426"/>
      <c r="L251" s="5426"/>
      <c r="M251" s="5426"/>
      <c r="N251" s="5426"/>
      <c r="O251" s="5426"/>
      <c r="P251" s="5426"/>
      <c r="Q251" s="5426"/>
      <c r="R251" s="5426"/>
      <c r="S251" s="5426"/>
      <c r="T251" s="5426"/>
      <c r="U251" s="5428"/>
      <c r="V251" s="5428"/>
      <c r="W251" s="5428"/>
      <c r="X251" s="5428"/>
      <c r="Y251" s="5428"/>
    </row>
    <row customHeight="true" ht="18.452380952380953" r="252">
      <c r="A252" s="5431"/>
      <c r="B252" s="5431"/>
      <c r="C252" s="5431"/>
      <c r="D252" s="5438"/>
      <c r="E252" s="5438"/>
      <c r="F252" s="5626"/>
      <c r="G252" s="5467"/>
      <c r="H252" s="5438"/>
      <c r="I252" s="5438"/>
      <c r="J252" s="5438"/>
      <c r="K252" s="5426"/>
      <c r="L252" s="5426"/>
      <c r="M252" s="5426"/>
      <c r="N252" s="5426"/>
      <c r="O252" s="5426"/>
      <c r="P252" s="5426"/>
      <c r="Q252" s="5426"/>
      <c r="R252" s="5426"/>
      <c r="S252" s="5426"/>
      <c r="T252" s="5426"/>
      <c r="U252" s="5428"/>
      <c r="V252" s="5428"/>
      <c r="W252" s="5428"/>
      <c r="X252" s="5428"/>
      <c r="Y252" s="5428"/>
    </row>
    <row r="253">
      <c r="A253" s="5627" t="s">
        <v>5277</v>
      </c>
      <c r="B253" s="5628" t="s">
        <v>5278</v>
      </c>
      <c r="C253" s="5628"/>
      <c r="D253" s="5629" t="s">
        <v>5279</v>
      </c>
      <c r="E253" s="5629" t="s">
        <v>5280</v>
      </c>
      <c r="F253" s="5629" t="s">
        <v>5281</v>
      </c>
      <c r="G253" s="5630" t="s">
        <v>5294</v>
      </c>
      <c r="H253" s="5629" t="s">
        <v>5283</v>
      </c>
      <c r="I253" s="5629" t="s">
        <v>5284</v>
      </c>
      <c r="J253" s="5629" t="s">
        <v>5285</v>
      </c>
      <c r="K253" s="5426"/>
      <c r="L253" s="5426"/>
      <c r="M253" s="5426"/>
      <c r="N253" s="5426"/>
      <c r="O253" s="5426"/>
      <c r="P253" s="5426"/>
      <c r="Q253" s="5426"/>
      <c r="R253" s="5426"/>
      <c r="S253" s="5426"/>
      <c r="T253" s="5426"/>
      <c r="U253" s="5428"/>
      <c r="V253" s="5428"/>
      <c r="W253" s="5428"/>
      <c r="X253" s="5428"/>
      <c r="Y253" s="5428"/>
    </row>
    <row r="254">
      <c r="A254" s="5431" t="s">
        <v>5499</v>
      </c>
      <c r="B254" s="5432">
        <v>46230</v>
      </c>
      <c r="C254" s="5431" t="str">
        <v>Monday</v>
      </c>
      <c r="D254" s="5433" t="s">
        <v>5339</v>
      </c>
      <c r="E254" s="5438">
        <f t="shared" ref="E254:E286" si="75">24*MOD(TIMEVALUE(TRIM(MID(D254,FIND("-",D254)+1,LEN(D254)))) - TIMEVALUE(TRIM(LEFT(D254,FIND("-",D254)-1))),1)</f>
      </c>
      <c r="F254" s="5626" t="s">
        <v>5500</v>
      </c>
      <c r="G254" s="5456" t="s">
        <v>5471</v>
      </c>
      <c r="H254" s="5438"/>
      <c r="I254" s="5438" t="s">
        <v>5268</v>
      </c>
      <c r="J254" s="5438"/>
      <c r="K254" s="5426"/>
      <c r="L254" s="5426"/>
      <c r="M254" s="5426"/>
      <c r="N254" s="5426"/>
      <c r="O254" s="5426"/>
      <c r="P254" s="5426"/>
      <c r="Q254" s="5426"/>
      <c r="R254" s="5426"/>
      <c r="S254" s="5426"/>
      <c r="T254" s="5426"/>
      <c r="U254" s="5428"/>
      <c r="V254" s="5428"/>
      <c r="W254" s="5428"/>
      <c r="X254" s="5428"/>
      <c r="Y254" s="5428"/>
    </row>
    <row customHeight="true" ht="18.452380952380953" r="255">
      <c r="A255" s="5431" t="s">
        <v>5499</v>
      </c>
      <c r="B255" s="5432">
        <v>46230</v>
      </c>
      <c r="C255" s="5431" t="str">
        <v>Monday</v>
      </c>
      <c r="D255" s="5433" t="s">
        <v>5333</v>
      </c>
      <c r="E255" s="5438">
        <f t="shared" si="75"/>
      </c>
      <c r="F255" s="5626" t="s">
        <v>5501</v>
      </c>
      <c r="G255" s="5456" t="s">
        <v>5298</v>
      </c>
      <c r="H255" s="5438"/>
      <c r="I255" s="5438" t="s">
        <v>5268</v>
      </c>
      <c r="J255" s="5438"/>
      <c r="K255" s="5426"/>
      <c r="L255" s="5426"/>
      <c r="M255" s="5426"/>
      <c r="N255" s="5426"/>
      <c r="O255" s="5426"/>
      <c r="P255" s="5426"/>
      <c r="Q255" s="5426"/>
      <c r="R255" s="5426"/>
      <c r="S255" s="5426"/>
      <c r="T255" s="5426"/>
      <c r="U255" s="5428"/>
      <c r="V255" s="5428"/>
      <c r="W255" s="5428"/>
      <c r="X255" s="5428"/>
      <c r="Y255" s="5428"/>
    </row>
    <row customHeight="true" ht="18.452380952380953" r="256">
      <c r="A256" s="5431" t="s">
        <v>5499</v>
      </c>
      <c r="B256" s="5432">
        <v>46230</v>
      </c>
      <c r="C256" s="5431" t="str">
        <v>Monday</v>
      </c>
      <c r="D256" s="5433" t="s">
        <v>5502</v>
      </c>
      <c r="E256" s="5438">
        <f t="shared" si="75"/>
      </c>
      <c r="F256" s="5626" t="s">
        <v>5503</v>
      </c>
      <c r="G256" s="5456" t="s">
        <v>5298</v>
      </c>
      <c r="H256" s="5438"/>
      <c r="I256" s="5438" t="s">
        <v>5268</v>
      </c>
      <c r="J256" s="5438"/>
      <c r="K256" s="5426"/>
      <c r="L256" s="5426"/>
      <c r="M256" s="5426"/>
      <c r="N256" s="5426"/>
      <c r="O256" s="5426"/>
      <c r="P256" s="5426"/>
      <c r="Q256" s="5426"/>
      <c r="R256" s="5426"/>
      <c r="S256" s="5426"/>
      <c r="T256" s="5426"/>
      <c r="U256" s="5428"/>
      <c r="V256" s="5428"/>
      <c r="W256" s="5428"/>
      <c r="X256" s="5428"/>
      <c r="Y256" s="5428"/>
    </row>
    <row r="257">
      <c r="A257" s="5431" t="s">
        <v>5499</v>
      </c>
      <c r="B257" s="5432">
        <v>46231</v>
      </c>
      <c r="C257" s="5431" t="str">
        <v>Tuesday</v>
      </c>
      <c r="D257" s="5433" t="s">
        <v>5339</v>
      </c>
      <c r="E257" s="5438">
        <f t="shared" si="75"/>
      </c>
      <c r="F257" s="5626" t="s">
        <v>5500</v>
      </c>
      <c r="G257" s="5456" t="s">
        <v>5471</v>
      </c>
      <c r="H257" s="5438"/>
      <c r="I257" s="5438" t="s">
        <v>5268</v>
      </c>
      <c r="J257" s="5438"/>
      <c r="K257" s="5426"/>
      <c r="L257" s="5426"/>
      <c r="M257" s="5426"/>
      <c r="N257" s="5426"/>
      <c r="O257" s="5426"/>
      <c r="P257" s="5426"/>
      <c r="Q257" s="5426"/>
      <c r="R257" s="5426"/>
      <c r="S257" s="5426"/>
      <c r="T257" s="5426"/>
      <c r="U257" s="5428"/>
      <c r="V257" s="5428"/>
      <c r="W257" s="5428"/>
      <c r="X257" s="5428"/>
      <c r="Y257" s="5428"/>
    </row>
    <row customHeight="true" ht="18.452380952380953" r="258">
      <c r="A258" s="5431" t="s">
        <v>5499</v>
      </c>
      <c r="B258" s="5432">
        <v>46231</v>
      </c>
      <c r="C258" s="5431" t="str">
        <v>Tuesday</v>
      </c>
      <c r="D258" s="5433" t="s">
        <v>5333</v>
      </c>
      <c r="E258" s="5438">
        <f t="shared" si="75"/>
      </c>
      <c r="F258" s="5626" t="s">
        <v>5501</v>
      </c>
      <c r="G258" s="5456" t="s">
        <v>5504</v>
      </c>
      <c r="H258" s="5438"/>
      <c r="I258" s="5438" t="s">
        <v>5268</v>
      </c>
      <c r="J258" s="5438"/>
      <c r="K258" s="5426"/>
      <c r="L258" s="5426"/>
      <c r="M258" s="5426"/>
      <c r="N258" s="5426"/>
      <c r="O258" s="5426"/>
      <c r="P258" s="5426"/>
      <c r="Q258" s="5426"/>
      <c r="R258" s="5426"/>
      <c r="S258" s="5426"/>
      <c r="T258" s="5426"/>
      <c r="U258" s="5428"/>
      <c r="V258" s="5428"/>
      <c r="W258" s="5428"/>
      <c r="X258" s="5428"/>
      <c r="Y258" s="5428"/>
    </row>
    <row r="259">
      <c r="A259" s="5431" t="s">
        <v>5499</v>
      </c>
      <c r="B259" s="5432">
        <v>46232</v>
      </c>
      <c r="C259" s="5431" t="str">
        <v>Wednesday</v>
      </c>
      <c r="D259" s="5433" t="s">
        <v>5339</v>
      </c>
      <c r="E259" s="5438">
        <f t="shared" si="75"/>
      </c>
      <c r="F259" s="5626" t="s">
        <v>5500</v>
      </c>
      <c r="G259" s="5456" t="s">
        <v>5505</v>
      </c>
      <c r="H259" s="5438"/>
      <c r="I259" s="5438" t="s">
        <v>5268</v>
      </c>
      <c r="J259" s="5438"/>
      <c r="K259" s="5426"/>
      <c r="L259" s="5426"/>
      <c r="M259" s="5426"/>
      <c r="N259" s="5426"/>
      <c r="O259" s="5426"/>
      <c r="P259" s="5426"/>
      <c r="Q259" s="5426"/>
      <c r="R259" s="5426"/>
      <c r="S259" s="5426"/>
      <c r="T259" s="5426"/>
      <c r="U259" s="5428"/>
      <c r="V259" s="5428"/>
      <c r="W259" s="5428"/>
      <c r="X259" s="5428"/>
      <c r="Y259" s="5428"/>
    </row>
    <row customHeight="true" ht="18.452380952380953" r="260">
      <c r="A260" s="5431" t="s">
        <v>5499</v>
      </c>
      <c r="B260" s="5432">
        <v>46232</v>
      </c>
      <c r="C260" s="5431" t="str">
        <v>Wednesday</v>
      </c>
      <c r="D260" s="5433" t="s">
        <v>5333</v>
      </c>
      <c r="E260" s="5438">
        <f t="shared" si="75"/>
      </c>
      <c r="F260" s="5626" t="s">
        <v>5501</v>
      </c>
      <c r="G260" s="5456" t="s">
        <v>5414</v>
      </c>
      <c r="H260" s="5438"/>
      <c r="I260" s="5438" t="s">
        <v>5268</v>
      </c>
      <c r="J260" s="5438"/>
      <c r="K260" s="5426"/>
      <c r="L260" s="5426"/>
      <c r="M260" s="5426"/>
      <c r="N260" s="5426"/>
      <c r="O260" s="5426"/>
      <c r="P260" s="5426"/>
      <c r="Q260" s="5426"/>
      <c r="R260" s="5426"/>
      <c r="S260" s="5426"/>
      <c r="T260" s="5426"/>
      <c r="U260" s="5428"/>
      <c r="V260" s="5428"/>
      <c r="W260" s="5428"/>
      <c r="X260" s="5428"/>
      <c r="Y260" s="5428"/>
    </row>
    <row r="261">
      <c r="A261" s="5431" t="s">
        <v>5499</v>
      </c>
      <c r="B261" s="5432">
        <v>46233</v>
      </c>
      <c r="C261" s="5431" t="str">
        <v>Thursday</v>
      </c>
      <c r="D261" s="5433" t="s">
        <v>5415</v>
      </c>
      <c r="E261" s="5438">
        <f t="shared" si="75"/>
      </c>
      <c r="F261" s="5626" t="s">
        <v>5501</v>
      </c>
      <c r="G261" s="5456" t="s">
        <v>5505</v>
      </c>
      <c r="H261" s="5438"/>
      <c r="I261" s="5438" t="s">
        <v>5268</v>
      </c>
      <c r="J261" s="5438"/>
      <c r="K261" s="5426"/>
      <c r="L261" s="5426"/>
      <c r="M261" s="5426"/>
      <c r="N261" s="5426"/>
      <c r="O261" s="5426"/>
      <c r="P261" s="5426"/>
      <c r="Q261" s="5426"/>
      <c r="R261" s="5426"/>
      <c r="S261" s="5426"/>
      <c r="T261" s="5426"/>
      <c r="U261" s="5428"/>
      <c r="V261" s="5428"/>
      <c r="W261" s="5428"/>
      <c r="X261" s="5428"/>
      <c r="Y261" s="5428"/>
    </row>
    <row customHeight="true" ht="18.452380952380953" r="262">
      <c r="A262" s="5431" t="s">
        <v>5499</v>
      </c>
      <c r="B262" s="5432">
        <v>46233</v>
      </c>
      <c r="C262" s="5431" t="str">
        <v>Thursday</v>
      </c>
      <c r="D262" s="5433" t="s">
        <v>5452</v>
      </c>
      <c r="E262" s="5438">
        <f t="shared" si="75"/>
      </c>
      <c r="F262" s="5626" t="s">
        <v>5469</v>
      </c>
      <c r="G262" s="5456" t="s">
        <v>5506</v>
      </c>
      <c r="H262" s="5438"/>
      <c r="I262" s="5438" t="s">
        <v>5268</v>
      </c>
      <c r="J262" s="5438"/>
      <c r="K262" s="5426"/>
      <c r="L262" s="5426"/>
      <c r="M262" s="5426"/>
      <c r="N262" s="5426"/>
      <c r="O262" s="5426"/>
      <c r="P262" s="5426"/>
      <c r="Q262" s="5426"/>
      <c r="R262" s="5426"/>
      <c r="S262" s="5426"/>
      <c r="T262" s="5426"/>
      <c r="U262" s="5428"/>
      <c r="V262" s="5428"/>
      <c r="W262" s="5428"/>
      <c r="X262" s="5428"/>
      <c r="Y262" s="5428"/>
    </row>
    <row r="263">
      <c r="A263" s="5431" t="s">
        <v>5499</v>
      </c>
      <c r="B263" s="5432">
        <v>46234</v>
      </c>
      <c r="C263" s="5431" t="str">
        <v>Friday</v>
      </c>
      <c r="D263" s="5433" t="s">
        <v>5507</v>
      </c>
      <c r="E263" s="5438">
        <f t="shared" si="75"/>
      </c>
      <c r="F263" s="5626" t="s">
        <v>5500</v>
      </c>
      <c r="G263" s="5456" t="s">
        <v>5505</v>
      </c>
      <c r="H263" s="5438"/>
      <c r="I263" s="5438" t="s">
        <v>5268</v>
      </c>
      <c r="J263" s="5438"/>
      <c r="K263" s="5426"/>
      <c r="L263" s="5426"/>
      <c r="M263" s="5426"/>
      <c r="N263" s="5426"/>
      <c r="O263" s="5426"/>
      <c r="P263" s="5426"/>
      <c r="Q263" s="5426"/>
      <c r="R263" s="5426"/>
      <c r="S263" s="5426"/>
      <c r="T263" s="5426"/>
      <c r="U263" s="5428"/>
      <c r="V263" s="5428"/>
      <c r="W263" s="5428"/>
      <c r="X263" s="5428"/>
      <c r="Y263" s="5428"/>
    </row>
    <row customHeight="true" ht="18.452380952380953" r="264">
      <c r="A264" s="5431" t="s">
        <v>5499</v>
      </c>
      <c r="B264" s="5432">
        <v>46234</v>
      </c>
      <c r="C264" s="5431" t="str">
        <v>Friday</v>
      </c>
      <c r="D264" s="5433" t="s">
        <v>5333</v>
      </c>
      <c r="E264" s="5438">
        <f t="shared" si="75"/>
      </c>
      <c r="F264" s="5626" t="s">
        <v>5501</v>
      </c>
      <c r="G264" s="5456" t="s">
        <v>5375</v>
      </c>
      <c r="H264" s="5438"/>
      <c r="I264" s="5438" t="s">
        <v>5268</v>
      </c>
      <c r="J264" s="5438"/>
      <c r="K264" s="5426"/>
      <c r="L264" s="5426"/>
      <c r="M264" s="5426"/>
      <c r="N264" s="5426"/>
      <c r="O264" s="5426"/>
      <c r="P264" s="5426"/>
      <c r="Q264" s="5426"/>
      <c r="R264" s="5426"/>
      <c r="S264" s="5426"/>
      <c r="T264" s="5426"/>
      <c r="U264" s="5428"/>
      <c r="V264" s="5428"/>
      <c r="W264" s="5428"/>
      <c r="X264" s="5428"/>
      <c r="Y264" s="5428"/>
    </row>
    <row r="265">
      <c r="A265" s="5431" t="s">
        <v>5499</v>
      </c>
      <c r="B265" s="5432">
        <v>46235</v>
      </c>
      <c r="C265" s="5431" t="str">
        <v>Saturday</v>
      </c>
      <c r="D265" s="5433" t="s">
        <v>5339</v>
      </c>
      <c r="E265" s="5438">
        <f t="shared" si="75"/>
      </c>
      <c r="F265" s="5626" t="s">
        <v>5469</v>
      </c>
      <c r="G265" s="5456" t="s">
        <v>5508</v>
      </c>
      <c r="H265" s="5438"/>
      <c r="I265" s="5438" t="s">
        <v>5268</v>
      </c>
      <c r="J265" s="5438"/>
      <c r="K265" s="5426"/>
      <c r="L265" s="5426"/>
      <c r="M265" s="5426"/>
      <c r="N265" s="5426"/>
      <c r="O265" s="5426"/>
      <c r="P265" s="5426"/>
      <c r="Q265" s="5426"/>
      <c r="R265" s="5426"/>
      <c r="S265" s="5426"/>
      <c r="T265" s="5426"/>
      <c r="U265" s="5428"/>
      <c r="V265" s="5428"/>
      <c r="W265" s="5428"/>
      <c r="X265" s="5428"/>
      <c r="Y265" s="5428"/>
    </row>
    <row customHeight="true" ht="18.452380952380953" r="266">
      <c r="A266" s="5431" t="s">
        <v>5499</v>
      </c>
      <c r="B266" s="5432">
        <v>46235</v>
      </c>
      <c r="C266" s="5431" t="str">
        <v>Saturday</v>
      </c>
      <c r="D266" s="5433" t="s">
        <v>5340</v>
      </c>
      <c r="E266" s="5438">
        <f t="shared" si="75"/>
      </c>
      <c r="F266" s="5626" t="s">
        <v>5469</v>
      </c>
      <c r="G266" s="5456" t="s">
        <v>5298</v>
      </c>
      <c r="H266" s="5438"/>
      <c r="I266" s="5438" t="s">
        <v>5268</v>
      </c>
      <c r="J266" s="5438"/>
      <c r="K266" s="5426"/>
      <c r="L266" s="5426"/>
      <c r="M266" s="5426"/>
      <c r="N266" s="5426"/>
      <c r="O266" s="5426"/>
      <c r="P266" s="5426"/>
      <c r="Q266" s="5426"/>
      <c r="R266" s="5426"/>
      <c r="S266" s="5426"/>
      <c r="T266" s="5426"/>
      <c r="U266" s="5428"/>
      <c r="V266" s="5428"/>
      <c r="W266" s="5428"/>
      <c r="X266" s="5428"/>
      <c r="Y266" s="5428"/>
    </row>
    <row r="267">
      <c r="A267" s="5431" t="s">
        <v>5499</v>
      </c>
      <c r="B267" s="5432">
        <v>46236</v>
      </c>
      <c r="C267" s="5431" t="str">
        <v>Sunday</v>
      </c>
      <c r="D267" s="5433" t="s">
        <v>5339</v>
      </c>
      <c r="E267" s="5438">
        <f t="shared" si="75"/>
      </c>
      <c r="F267" s="5626" t="s">
        <v>5500</v>
      </c>
      <c r="G267" s="5456" t="s">
        <v>5508</v>
      </c>
      <c r="H267" s="5438"/>
      <c r="I267" s="5438" t="s">
        <v>5268</v>
      </c>
      <c r="J267" s="5438"/>
      <c r="K267" s="5426"/>
      <c r="L267" s="5426"/>
      <c r="M267" s="5426"/>
      <c r="N267" s="5426"/>
      <c r="O267" s="5426"/>
      <c r="P267" s="5426"/>
      <c r="Q267" s="5426"/>
      <c r="R267" s="5426"/>
      <c r="S267" s="5426"/>
      <c r="T267" s="5426"/>
      <c r="U267" s="5428"/>
      <c r="V267" s="5428"/>
      <c r="W267" s="5428"/>
      <c r="X267" s="5428"/>
      <c r="Y267" s="5428"/>
    </row>
    <row customHeight="true" ht="18.452380952380953" r="268">
      <c r="A268" s="5431" t="s">
        <v>5499</v>
      </c>
      <c r="B268" s="5432">
        <v>46236</v>
      </c>
      <c r="C268" s="5431" t="str">
        <v>Sunday</v>
      </c>
      <c r="D268" s="5433" t="s">
        <v>5333</v>
      </c>
      <c r="E268" s="5438">
        <f t="shared" si="75"/>
      </c>
      <c r="F268" s="5626" t="s">
        <v>5469</v>
      </c>
      <c r="G268" s="5456" t="s">
        <v>5375</v>
      </c>
      <c r="H268" s="5438"/>
      <c r="I268" s="5438" t="s">
        <v>5268</v>
      </c>
      <c r="J268" s="5438"/>
      <c r="K268" s="5426"/>
      <c r="L268" s="5426"/>
      <c r="M268" s="5426"/>
      <c r="N268" s="5426"/>
      <c r="O268" s="5426"/>
      <c r="P268" s="5426"/>
      <c r="Q268" s="5426"/>
      <c r="R268" s="5426"/>
      <c r="S268" s="5426"/>
      <c r="T268" s="5426"/>
      <c r="U268" s="5428"/>
      <c r="V268" s="5428"/>
      <c r="W268" s="5428"/>
      <c r="X268" s="5428"/>
      <c r="Y268" s="5428"/>
    </row>
    <row customHeight="true" ht="18.452380952380953" r="269">
      <c r="A269" s="5431" t="s">
        <v>5509</v>
      </c>
      <c r="B269" s="5432">
        <v>46230</v>
      </c>
      <c r="C269" s="5431" t="str">
        <v>Monday</v>
      </c>
      <c r="D269" s="5433" t="s">
        <v>5438</v>
      </c>
      <c r="E269" s="5438">
        <f t="shared" si="75"/>
      </c>
      <c r="F269" s="5626" t="s">
        <v>5510</v>
      </c>
      <c r="G269" s="5456" t="s">
        <v>5511</v>
      </c>
      <c r="H269" s="5438"/>
      <c r="I269" s="5438" t="s">
        <v>5268</v>
      </c>
      <c r="J269" s="5438"/>
      <c r="K269" s="5426"/>
      <c r="L269" s="5426"/>
      <c r="M269" s="5426"/>
      <c r="N269" s="5426"/>
      <c r="O269" s="5426"/>
      <c r="P269" s="5426"/>
      <c r="Q269" s="5426"/>
      <c r="R269" s="5426"/>
      <c r="S269" s="5426"/>
      <c r="T269" s="5426"/>
      <c r="U269" s="5428"/>
      <c r="V269" s="5428"/>
      <c r="W269" s="5428"/>
      <c r="X269" s="5428"/>
      <c r="Y269" s="5428"/>
    </row>
    <row customHeight="true" ht="18.452380952380953" r="270">
      <c r="A270" s="5431" t="s">
        <v>5509</v>
      </c>
      <c r="B270" s="5432">
        <v>46230</v>
      </c>
      <c r="C270" s="5431" t="str">
        <v>Monday</v>
      </c>
      <c r="D270" s="5433" t="s">
        <v>5331</v>
      </c>
      <c r="E270" s="5438">
        <f t="shared" si="75"/>
      </c>
      <c r="F270" s="5626" t="s">
        <v>5427</v>
      </c>
      <c r="G270" s="5456" t="s">
        <v>5511</v>
      </c>
      <c r="H270" s="5438"/>
      <c r="I270" s="5438" t="s">
        <v>5268</v>
      </c>
      <c r="J270" s="5438"/>
      <c r="K270" s="5426"/>
      <c r="L270" s="5426"/>
      <c r="M270" s="5426"/>
      <c r="N270" s="5426"/>
      <c r="O270" s="5426"/>
      <c r="P270" s="5426"/>
      <c r="Q270" s="5426"/>
      <c r="R270" s="5426"/>
      <c r="S270" s="5426"/>
      <c r="T270" s="5426"/>
      <c r="U270" s="5428"/>
      <c r="V270" s="5428"/>
      <c r="W270" s="5428"/>
      <c r="X270" s="5428"/>
      <c r="Y270" s="5428"/>
    </row>
    <row customHeight="true" ht="18.452380952380953" r="271">
      <c r="A271" s="5431" t="s">
        <v>5509</v>
      </c>
      <c r="B271" s="5432">
        <v>46231</v>
      </c>
      <c r="C271" s="5431" t="str">
        <v>Tuesday</v>
      </c>
      <c r="D271" s="5433" t="s">
        <v>5415</v>
      </c>
      <c r="E271" s="5438">
        <f t="shared" si="75"/>
      </c>
      <c r="F271" s="5579" t="s">
        <v>5512</v>
      </c>
      <c r="G271" s="5456" t="s">
        <v>5511</v>
      </c>
      <c r="H271" s="5438"/>
      <c r="I271" s="5438" t="s">
        <v>5268</v>
      </c>
      <c r="J271" s="5438"/>
      <c r="K271" s="5426"/>
      <c r="L271" s="5426"/>
      <c r="M271" s="5426"/>
      <c r="N271" s="5426"/>
      <c r="O271" s="5426"/>
      <c r="P271" s="5426"/>
      <c r="Q271" s="5426"/>
      <c r="R271" s="5426"/>
      <c r="S271" s="5426"/>
      <c r="T271" s="5426"/>
      <c r="U271" s="5428"/>
      <c r="V271" s="5428"/>
      <c r="W271" s="5428"/>
      <c r="X271" s="5428"/>
      <c r="Y271" s="5428"/>
    </row>
    <row customHeight="true" ht="18.452380952380953" r="272">
      <c r="A272" s="5431" t="s">
        <v>5509</v>
      </c>
      <c r="B272" s="5432">
        <v>46233</v>
      </c>
      <c r="C272" s="5431" t="str">
        <v>Thursday</v>
      </c>
      <c r="D272" s="5433" t="s">
        <v>5513</v>
      </c>
      <c r="E272" s="5438">
        <f t="shared" si="75"/>
      </c>
      <c r="F272" s="5437" t="s">
        <v>5353</v>
      </c>
      <c r="G272" s="5456" t="s">
        <v>5511</v>
      </c>
      <c r="H272" s="5438"/>
      <c r="I272" s="5438" t="s">
        <v>5268</v>
      </c>
      <c r="J272" s="5438"/>
      <c r="K272" s="5426"/>
      <c r="L272" s="5426"/>
      <c r="M272" s="5426"/>
      <c r="N272" s="5426"/>
      <c r="O272" s="5426"/>
      <c r="P272" s="5426"/>
      <c r="Q272" s="5426"/>
      <c r="R272" s="5426"/>
      <c r="S272" s="5426"/>
      <c r="T272" s="5426"/>
      <c r="U272" s="5428"/>
      <c r="V272" s="5428"/>
      <c r="W272" s="5428"/>
      <c r="X272" s="5428"/>
      <c r="Y272" s="5428"/>
    </row>
    <row r="273">
      <c r="A273" s="5431" t="s">
        <v>5514</v>
      </c>
      <c r="B273" s="5432">
        <v>46230</v>
      </c>
      <c r="C273" s="5431" t="str">
        <v>Monday</v>
      </c>
      <c r="D273" s="5433" t="s">
        <v>5339</v>
      </c>
      <c r="E273" s="5438">
        <f t="shared" si="75"/>
      </c>
      <c r="F273" s="5579" t="s">
        <v>5471</v>
      </c>
      <c r="G273" s="5467"/>
      <c r="H273" s="5438"/>
      <c r="I273" s="5438" t="s">
        <v>5268</v>
      </c>
      <c r="J273" s="5438"/>
      <c r="K273" s="5426"/>
      <c r="L273" s="5426"/>
      <c r="M273" s="5426"/>
      <c r="N273" s="5426"/>
      <c r="O273" s="5426"/>
      <c r="P273" s="5426"/>
      <c r="Q273" s="5426"/>
      <c r="R273" s="5426"/>
      <c r="S273" s="5426"/>
      <c r="T273" s="5426"/>
      <c r="U273" s="5428"/>
      <c r="V273" s="5428"/>
      <c r="W273" s="5428"/>
      <c r="X273" s="5428"/>
      <c r="Y273" s="5428"/>
    </row>
    <row customHeight="true" ht="18.452380952380953" r="274">
      <c r="A274" s="5431" t="s">
        <v>5514</v>
      </c>
      <c r="B274" s="5432">
        <v>46230</v>
      </c>
      <c r="C274" s="5431" t="str">
        <v>Monday</v>
      </c>
      <c r="D274" s="5433" t="s">
        <v>5515</v>
      </c>
      <c r="E274" s="5438">
        <f t="shared" si="75"/>
      </c>
      <c r="F274" s="5579" t="s">
        <v>5298</v>
      </c>
      <c r="G274" s="5467"/>
      <c r="H274" s="5438"/>
      <c r="I274" s="5513" t="s">
        <v>5268</v>
      </c>
      <c r="J274" s="5438"/>
      <c r="K274" s="5426"/>
      <c r="L274" s="5426"/>
      <c r="M274" s="5426"/>
      <c r="N274" s="5426"/>
      <c r="O274" s="5426"/>
      <c r="P274" s="5426"/>
      <c r="Q274" s="5426"/>
      <c r="R274" s="5426"/>
      <c r="S274" s="5426"/>
      <c r="T274" s="5426"/>
      <c r="U274" s="5428"/>
      <c r="V274" s="5428"/>
      <c r="W274" s="5428"/>
      <c r="X274" s="5428"/>
      <c r="Y274" s="5428"/>
    </row>
    <row r="275">
      <c r="A275" s="5431" t="s">
        <v>5514</v>
      </c>
      <c r="B275" s="5432">
        <v>46231</v>
      </c>
      <c r="C275" s="5431" t="str">
        <v>Tuesday</v>
      </c>
      <c r="D275" s="5433" t="s">
        <v>5339</v>
      </c>
      <c r="E275" s="5438">
        <f t="shared" si="75"/>
      </c>
      <c r="F275" s="5579" t="s">
        <v>5471</v>
      </c>
      <c r="G275" s="5467"/>
      <c r="H275" s="5438"/>
      <c r="I275" s="5438" t="s">
        <v>5268</v>
      </c>
      <c r="J275" s="5438"/>
      <c r="K275" s="5426"/>
      <c r="L275" s="5426"/>
      <c r="M275" s="5426"/>
      <c r="N275" s="5426"/>
      <c r="O275" s="5426"/>
      <c r="P275" s="5426"/>
      <c r="Q275" s="5426"/>
      <c r="R275" s="5426"/>
      <c r="S275" s="5426"/>
      <c r="T275" s="5426"/>
      <c r="U275" s="5428"/>
      <c r="V275" s="5428"/>
      <c r="W275" s="5428"/>
      <c r="X275" s="5428"/>
      <c r="Y275" s="5428"/>
    </row>
    <row customHeight="true" ht="18.452380952380953" r="276">
      <c r="A276" s="5431" t="s">
        <v>5514</v>
      </c>
      <c r="B276" s="5432">
        <v>46231</v>
      </c>
      <c r="C276" s="5431" t="str">
        <v>Tuesday</v>
      </c>
      <c r="D276" s="5433" t="s">
        <v>5333</v>
      </c>
      <c r="E276" s="5438">
        <f t="shared" si="75"/>
      </c>
      <c r="F276" s="5579" t="s">
        <v>5308</v>
      </c>
      <c r="G276" s="5467"/>
      <c r="H276" s="5438"/>
      <c r="I276" s="5438" t="s">
        <v>5268</v>
      </c>
      <c r="J276" s="5438"/>
      <c r="K276" s="5426"/>
      <c r="L276" s="5426"/>
      <c r="M276" s="5426"/>
      <c r="N276" s="5426"/>
      <c r="O276" s="5426"/>
      <c r="P276" s="5426"/>
      <c r="Q276" s="5426"/>
      <c r="R276" s="5426"/>
      <c r="S276" s="5426"/>
      <c r="T276" s="5426"/>
      <c r="U276" s="5428"/>
      <c r="V276" s="5428"/>
      <c r="W276" s="5428"/>
      <c r="X276" s="5428"/>
      <c r="Y276" s="5428"/>
    </row>
    <row r="277">
      <c r="A277" s="5431" t="s">
        <v>5514</v>
      </c>
      <c r="B277" s="5432">
        <v>46232</v>
      </c>
      <c r="C277" s="5431" t="str">
        <v>Wednesday</v>
      </c>
      <c r="D277" s="5433" t="s">
        <v>5339</v>
      </c>
      <c r="E277" s="5438">
        <f t="shared" si="75"/>
      </c>
      <c r="F277" s="5579" t="s">
        <v>5512</v>
      </c>
      <c r="G277" s="5467"/>
      <c r="H277" s="5438"/>
      <c r="I277" s="5438" t="s">
        <v>5268</v>
      </c>
      <c r="J277" s="5438"/>
      <c r="K277" s="5426"/>
      <c r="L277" s="5426"/>
      <c r="M277" s="5426"/>
      <c r="N277" s="5426"/>
      <c r="O277" s="5426"/>
      <c r="P277" s="5426"/>
      <c r="Q277" s="5426"/>
      <c r="R277" s="5426"/>
      <c r="S277" s="5426"/>
      <c r="T277" s="5426"/>
      <c r="U277" s="5428"/>
      <c r="V277" s="5428"/>
      <c r="W277" s="5428"/>
      <c r="X277" s="5428"/>
      <c r="Y277" s="5428"/>
    </row>
    <row customHeight="true" ht="18.452380952380953" r="278">
      <c r="A278" s="5431" t="s">
        <v>5514</v>
      </c>
      <c r="B278" s="5432">
        <v>46232</v>
      </c>
      <c r="C278" s="5431" t="str">
        <v>Wednesday</v>
      </c>
      <c r="D278" s="5433" t="s">
        <v>5333</v>
      </c>
      <c r="E278" s="5438">
        <f t="shared" si="75"/>
      </c>
      <c r="F278" s="5579" t="s">
        <v>5427</v>
      </c>
      <c r="G278" s="5467"/>
      <c r="H278" s="5438"/>
      <c r="I278" s="5438" t="s">
        <v>5268</v>
      </c>
      <c r="J278" s="5438"/>
      <c r="K278" s="5426"/>
      <c r="L278" s="5426"/>
      <c r="M278" s="5426"/>
      <c r="N278" s="5426"/>
      <c r="O278" s="5426"/>
      <c r="P278" s="5426"/>
      <c r="Q278" s="5426"/>
      <c r="R278" s="5426"/>
      <c r="S278" s="5426"/>
      <c r="T278" s="5426"/>
      <c r="U278" s="5428"/>
      <c r="V278" s="5428"/>
      <c r="W278" s="5428"/>
      <c r="X278" s="5428"/>
      <c r="Y278" s="5428"/>
    </row>
    <row r="279">
      <c r="A279" s="5431" t="s">
        <v>5514</v>
      </c>
      <c r="B279" s="5432">
        <v>46233</v>
      </c>
      <c r="C279" s="5431" t="str">
        <v>Thursday</v>
      </c>
      <c r="D279" s="5433" t="s">
        <v>5415</v>
      </c>
      <c r="E279" s="5438">
        <f t="shared" si="75"/>
      </c>
      <c r="F279" s="5579" t="s">
        <v>5512</v>
      </c>
      <c r="G279" s="5467"/>
      <c r="H279" s="5438"/>
      <c r="I279" s="5438" t="s">
        <v>5268</v>
      </c>
      <c r="J279" s="5438"/>
      <c r="K279" s="5426"/>
      <c r="L279" s="5426"/>
      <c r="M279" s="5426"/>
      <c r="N279" s="5426"/>
      <c r="O279" s="5426"/>
      <c r="P279" s="5426"/>
      <c r="Q279" s="5426"/>
      <c r="R279" s="5426"/>
      <c r="S279" s="5426"/>
      <c r="T279" s="5426"/>
      <c r="U279" s="5428"/>
      <c r="V279" s="5428"/>
      <c r="W279" s="5428"/>
      <c r="X279" s="5428"/>
      <c r="Y279" s="5428"/>
    </row>
    <row customHeight="true" ht="18.452380952380953" r="280">
      <c r="A280" s="5431" t="s">
        <v>5514</v>
      </c>
      <c r="B280" s="5432">
        <v>46233</v>
      </c>
      <c r="C280" s="5431" t="str">
        <v>Thursday</v>
      </c>
      <c r="D280" s="5433" t="s">
        <v>5452</v>
      </c>
      <c r="E280" s="5438">
        <f t="shared" si="75"/>
      </c>
      <c r="F280" s="5579" t="s">
        <v>5353</v>
      </c>
      <c r="G280" s="5467"/>
      <c r="H280" s="5438"/>
      <c r="I280" s="5438" t="s">
        <v>5268</v>
      </c>
      <c r="J280" s="5438"/>
      <c r="K280" s="5426"/>
      <c r="L280" s="5426"/>
      <c r="M280" s="5426"/>
      <c r="N280" s="5426"/>
      <c r="O280" s="5426"/>
      <c r="P280" s="5426"/>
      <c r="Q280" s="5426"/>
      <c r="R280" s="5426"/>
      <c r="S280" s="5426"/>
      <c r="T280" s="5426"/>
      <c r="U280" s="5428"/>
      <c r="V280" s="5428"/>
      <c r="W280" s="5428"/>
      <c r="X280" s="5428"/>
      <c r="Y280" s="5428"/>
    </row>
    <row r="281">
      <c r="A281" s="5431" t="s">
        <v>5514</v>
      </c>
      <c r="B281" s="5432">
        <v>46234</v>
      </c>
      <c r="C281" s="5431" t="str">
        <v>Friday</v>
      </c>
      <c r="D281" s="5433" t="s">
        <v>5507</v>
      </c>
      <c r="E281" s="5438">
        <f t="shared" si="75"/>
      </c>
      <c r="F281" s="5579" t="s">
        <v>5512</v>
      </c>
      <c r="G281" s="5467"/>
      <c r="H281" s="5438"/>
      <c r="I281" s="5438" t="s">
        <v>5268</v>
      </c>
      <c r="J281" s="5438"/>
      <c r="K281" s="5426"/>
      <c r="L281" s="5426"/>
      <c r="M281" s="5426"/>
      <c r="N281" s="5426"/>
      <c r="O281" s="5426"/>
      <c r="P281" s="5426"/>
      <c r="Q281" s="5426"/>
      <c r="R281" s="5426"/>
      <c r="S281" s="5426"/>
      <c r="T281" s="5426"/>
      <c r="U281" s="5428"/>
      <c r="V281" s="5428"/>
      <c r="W281" s="5428"/>
      <c r="X281" s="5428"/>
      <c r="Y281" s="5428"/>
    </row>
    <row customHeight="true" ht="18.452380952380953" r="282">
      <c r="A282" s="5431" t="s">
        <v>5514</v>
      </c>
      <c r="B282" s="5432">
        <v>46234</v>
      </c>
      <c r="C282" s="5431" t="str">
        <v>Friday</v>
      </c>
      <c r="D282" s="5433" t="s">
        <v>5333</v>
      </c>
      <c r="E282" s="5438">
        <f t="shared" si="75"/>
      </c>
      <c r="F282" s="5437" t="s">
        <v>5348</v>
      </c>
      <c r="G282" s="5467"/>
      <c r="H282" s="5438" t="s">
        <v>5299</v>
      </c>
      <c r="I282" s="5438" t="s">
        <v>5268</v>
      </c>
      <c r="J282" s="5438"/>
      <c r="K282" s="5426"/>
      <c r="L282" s="5426"/>
      <c r="M282" s="5426"/>
      <c r="N282" s="5426"/>
      <c r="O282" s="5426"/>
      <c r="P282" s="5426"/>
      <c r="Q282" s="5426"/>
      <c r="R282" s="5426"/>
      <c r="S282" s="5426"/>
      <c r="T282" s="5426"/>
      <c r="U282" s="5428"/>
      <c r="V282" s="5428"/>
      <c r="W282" s="5428"/>
      <c r="X282" s="5428"/>
      <c r="Y282" s="5428"/>
    </row>
    <row r="283">
      <c r="A283" s="5431" t="s">
        <v>5514</v>
      </c>
      <c r="B283" s="5432">
        <v>46235</v>
      </c>
      <c r="C283" s="5431" t="str">
        <v>Saturday</v>
      </c>
      <c r="D283" s="5433" t="s">
        <v>5314</v>
      </c>
      <c r="E283" s="5438">
        <f t="shared" si="75"/>
      </c>
      <c r="F283" s="5626" t="s">
        <v>5510</v>
      </c>
      <c r="G283" s="5467"/>
      <c r="H283" s="5438"/>
      <c r="I283" s="5438" t="s">
        <v>5268</v>
      </c>
      <c r="J283" s="5438"/>
      <c r="K283" s="5426"/>
      <c r="L283" s="5426"/>
      <c r="M283" s="5426"/>
      <c r="N283" s="5426"/>
      <c r="O283" s="5426"/>
      <c r="P283" s="5426"/>
      <c r="Q283" s="5426"/>
      <c r="R283" s="5426"/>
      <c r="S283" s="5426"/>
      <c r="T283" s="5426"/>
      <c r="U283" s="5428"/>
      <c r="V283" s="5428"/>
      <c r="W283" s="5428"/>
      <c r="X283" s="5428"/>
      <c r="Y283" s="5428"/>
    </row>
    <row customHeight="true" ht="18.452380952380953" r="284">
      <c r="A284" s="5431" t="s">
        <v>5514</v>
      </c>
      <c r="B284" s="5432">
        <v>46235</v>
      </c>
      <c r="C284" s="5431" t="str">
        <v>Saturday</v>
      </c>
      <c r="D284" s="5433" t="s">
        <v>5335</v>
      </c>
      <c r="E284" s="5438">
        <f t="shared" si="75"/>
      </c>
      <c r="F284" s="5579" t="s">
        <v>5298</v>
      </c>
      <c r="G284" s="5467"/>
      <c r="H284" s="5438"/>
      <c r="I284" s="5513" t="s">
        <v>5268</v>
      </c>
      <c r="J284" s="5438"/>
      <c r="K284" s="5426"/>
      <c r="L284" s="5426"/>
      <c r="M284" s="5426"/>
      <c r="N284" s="5426"/>
      <c r="O284" s="5426"/>
      <c r="P284" s="5426"/>
      <c r="Q284" s="5426"/>
      <c r="R284" s="5426"/>
      <c r="S284" s="5426"/>
      <c r="T284" s="5426"/>
      <c r="U284" s="5428"/>
      <c r="V284" s="5428"/>
      <c r="W284" s="5428"/>
      <c r="X284" s="5428"/>
      <c r="Y284" s="5428"/>
    </row>
    <row r="285">
      <c r="A285" s="5431" t="s">
        <v>5514</v>
      </c>
      <c r="B285" s="5432">
        <v>46236</v>
      </c>
      <c r="C285" s="5431" t="str">
        <v>Sunday</v>
      </c>
      <c r="D285" s="5433" t="s">
        <v>5314</v>
      </c>
      <c r="E285" s="5438">
        <f t="shared" si="75"/>
      </c>
      <c r="F285" s="5626" t="s">
        <v>5510</v>
      </c>
      <c r="G285" s="5467"/>
      <c r="H285" s="5438"/>
      <c r="I285" s="5438" t="s">
        <v>5268</v>
      </c>
      <c r="J285" s="5438"/>
      <c r="K285" s="5426"/>
      <c r="L285" s="5426"/>
      <c r="M285" s="5426"/>
      <c r="N285" s="5426"/>
      <c r="O285" s="5426"/>
      <c r="P285" s="5426"/>
      <c r="Q285" s="5426"/>
      <c r="R285" s="5426"/>
      <c r="S285" s="5426"/>
      <c r="T285" s="5426"/>
      <c r="U285" s="5428"/>
      <c r="V285" s="5428"/>
      <c r="W285" s="5428"/>
      <c r="X285" s="5428"/>
      <c r="Y285" s="5428"/>
    </row>
    <row customHeight="true" ht="18.452380952380953" r="286">
      <c r="A286" s="5431" t="s">
        <v>5514</v>
      </c>
      <c r="B286" s="5432">
        <v>46236</v>
      </c>
      <c r="C286" s="5431" t="str">
        <v>Sunday</v>
      </c>
      <c r="D286" s="5433" t="s">
        <v>5335</v>
      </c>
      <c r="E286" s="5438">
        <f t="shared" si="75"/>
      </c>
      <c r="F286" s="5437" t="s">
        <v>5348</v>
      </c>
      <c r="G286" s="5467"/>
      <c r="H286" s="5438" t="s">
        <v>5299</v>
      </c>
      <c r="I286" s="5438" t="s">
        <v>5268</v>
      </c>
      <c r="J286" s="5438"/>
      <c r="K286" s="5426"/>
      <c r="L286" s="5426"/>
      <c r="M286" s="5426"/>
      <c r="N286" s="5426"/>
      <c r="O286" s="5426"/>
      <c r="P286" s="5426"/>
      <c r="Q286" s="5426"/>
      <c r="R286" s="5426"/>
      <c r="S286" s="5426"/>
      <c r="T286" s="5426"/>
      <c r="U286" s="5428"/>
      <c r="V286" s="5428"/>
      <c r="W286" s="5428"/>
      <c r="X286" s="5428"/>
      <c r="Y286" s="5428"/>
    </row>
    <row r="287">
      <c r="A287" s="5428"/>
      <c r="B287" s="5428"/>
      <c r="C287" s="5428"/>
      <c r="D287" s="5428"/>
      <c r="E287" s="5428"/>
      <c r="F287" s="5428"/>
      <c r="G287" s="5428"/>
      <c r="H287" s="5619"/>
      <c r="I287" s="5428"/>
      <c r="J287" s="5428"/>
      <c r="K287" s="5428"/>
      <c r="L287" s="5428"/>
      <c r="M287" s="5428"/>
      <c r="N287" s="5428"/>
      <c r="O287" s="5428"/>
      <c r="P287" s="5428"/>
      <c r="Q287" s="5428"/>
      <c r="R287" s="5428"/>
      <c r="S287" s="5428"/>
      <c r="T287" s="5428"/>
      <c r="U287" s="5428"/>
      <c r="V287" s="5428"/>
      <c r="W287" s="5428"/>
      <c r="X287" s="5428"/>
      <c r="Y287" s="5428"/>
    </row>
    <row r="288">
      <c r="A288" s="5631" t="s">
        <v>5516</v>
      </c>
      <c r="B288" s="5632"/>
      <c r="C288" s="5632"/>
      <c r="D288" s="5632"/>
      <c r="E288" s="5632"/>
      <c r="F288" s="5632"/>
      <c r="G288" s="5632"/>
      <c r="H288" s="5632"/>
      <c r="I288" s="5632"/>
      <c r="J288" s="5632"/>
      <c r="K288" s="5426"/>
      <c r="L288" s="5426"/>
      <c r="M288" s="5426"/>
      <c r="N288" s="5426"/>
      <c r="O288" s="5426"/>
      <c r="P288" s="5426"/>
      <c r="Q288" s="5426"/>
      <c r="R288" s="5426"/>
      <c r="S288" s="5426"/>
      <c r="T288" s="5426"/>
      <c r="U288" s="5428"/>
      <c r="V288" s="5428"/>
      <c r="W288" s="5428"/>
      <c r="X288" s="5428"/>
      <c r="Y288" s="5428"/>
    </row>
    <row r="289">
      <c r="A289" s="5627" t="s">
        <v>5277</v>
      </c>
      <c r="B289" s="5628" t="s">
        <v>5278</v>
      </c>
      <c r="C289" s="5628"/>
      <c r="D289" s="5629" t="s">
        <v>5279</v>
      </c>
      <c r="E289" s="5629" t="s">
        <v>5280</v>
      </c>
      <c r="F289" s="5629" t="s">
        <v>5281</v>
      </c>
      <c r="G289" s="5630" t="s">
        <v>5294</v>
      </c>
      <c r="H289" s="5629" t="s">
        <v>5283</v>
      </c>
      <c r="I289" s="5629" t="s">
        <v>5284</v>
      </c>
      <c r="J289" s="5629" t="s">
        <v>5285</v>
      </c>
      <c r="K289" s="5426"/>
      <c r="L289" s="5426"/>
      <c r="M289" s="5426"/>
      <c r="N289" s="5426"/>
      <c r="O289" s="5426"/>
      <c r="P289" s="5426"/>
      <c r="Q289" s="5426"/>
      <c r="R289" s="5426"/>
      <c r="S289" s="5426"/>
      <c r="T289" s="5426"/>
      <c r="U289" s="5428"/>
      <c r="V289" s="5428"/>
      <c r="W289" s="5428"/>
      <c r="X289" s="5428"/>
      <c r="Y289" s="5428"/>
    </row>
    <row r="290">
      <c r="A290" s="5431" t="s">
        <v>5517</v>
      </c>
      <c r="B290" s="5431">
        <v>46230</v>
      </c>
      <c r="C290" s="5431" t="str">
        <v>Monday</v>
      </c>
      <c r="D290" s="5433" t="s">
        <v>5518</v>
      </c>
      <c r="E290" s="5438">
        <f t="shared" ref="E290:E306" si="76">24*MOD(TIMEVALUE(TRIM(MID(D290,FIND("-",D290)+1,LEN(D290)))) - TIMEVALUE(TRIM(LEFT(D290,FIND("-",D290)-1))),1)</f>
      </c>
      <c r="F290" s="5579" t="s">
        <v>5442</v>
      </c>
      <c r="G290" s="5456"/>
      <c r="H290" s="5438" t="s">
        <v>5267</v>
      </c>
      <c r="I290" s="5438" t="s">
        <v>5268</v>
      </c>
      <c r="J290" s="5433" t="s">
        <v>5519</v>
      </c>
      <c r="K290" s="5426"/>
      <c r="L290" s="5426"/>
      <c r="M290" s="5426"/>
      <c r="N290" s="5426"/>
      <c r="O290" s="5426"/>
      <c r="P290" s="5426"/>
      <c r="Q290" s="5426"/>
      <c r="R290" s="5426"/>
      <c r="S290" s="5426"/>
      <c r="T290" s="5426"/>
      <c r="U290" s="5428"/>
      <c r="V290" s="5428"/>
      <c r="W290" s="5428"/>
      <c r="X290" s="5428"/>
      <c r="Y290" s="5428"/>
    </row>
    <row customHeight="true" ht="18.452380952380953" r="291">
      <c r="A291" s="5431" t="s">
        <v>5517</v>
      </c>
      <c r="B291" s="5431">
        <v>46230</v>
      </c>
      <c r="C291" s="5431" t="str">
        <v>Monday</v>
      </c>
      <c r="D291" s="5433" t="s">
        <v>5319</v>
      </c>
      <c r="E291" s="5438">
        <f t="shared" si="76"/>
      </c>
      <c r="F291" s="5579" t="s">
        <v>5369</v>
      </c>
      <c r="G291" s="5467"/>
      <c r="H291" s="5438"/>
      <c r="I291" s="5438" t="s">
        <v>5268</v>
      </c>
      <c r="J291" s="5438"/>
      <c r="K291" s="5426"/>
      <c r="L291" s="5426"/>
      <c r="M291" s="5426"/>
      <c r="N291" s="5426"/>
      <c r="O291" s="5426"/>
      <c r="P291" s="5426"/>
      <c r="Q291" s="5426"/>
      <c r="R291" s="5426"/>
      <c r="S291" s="5426"/>
      <c r="T291" s="5426"/>
      <c r="U291" s="5428"/>
      <c r="V291" s="5428"/>
      <c r="W291" s="5428"/>
      <c r="X291" s="5428"/>
      <c r="Y291" s="5428"/>
    </row>
    <row customHeight="true" ht="18.452380952380953" r="292">
      <c r="A292" s="5431" t="s">
        <v>5517</v>
      </c>
      <c r="B292" s="5432">
        <v>46231</v>
      </c>
      <c r="C292" s="5431" t="str">
        <v>Tuesday</v>
      </c>
      <c r="D292" s="5433" t="s">
        <v>5520</v>
      </c>
      <c r="E292" s="5438">
        <f t="shared" si="76"/>
      </c>
      <c r="F292" s="5579" t="s">
        <v>5521</v>
      </c>
      <c r="G292" s="5467"/>
      <c r="H292" s="5438"/>
      <c r="I292" s="5438" t="s">
        <v>5268</v>
      </c>
      <c r="J292" s="5438"/>
      <c r="K292" s="5426"/>
      <c r="L292" s="5426"/>
      <c r="M292" s="5426"/>
      <c r="N292" s="5426"/>
      <c r="O292" s="5426"/>
      <c r="P292" s="5426"/>
      <c r="Q292" s="5426"/>
      <c r="R292" s="5426"/>
      <c r="S292" s="5426"/>
      <c r="T292" s="5426"/>
      <c r="U292" s="5428"/>
      <c r="V292" s="5428"/>
      <c r="W292" s="5428"/>
      <c r="X292" s="5428"/>
      <c r="Y292" s="5428"/>
    </row>
    <row customHeight="true" ht="18.452380952380953" r="293">
      <c r="A293" s="5431" t="s">
        <v>5517</v>
      </c>
      <c r="B293" s="5432">
        <v>46231</v>
      </c>
      <c r="C293" s="5431" t="str">
        <v>Tuesday</v>
      </c>
      <c r="D293" s="5433" t="s">
        <v>5520</v>
      </c>
      <c r="E293" s="5438">
        <f t="shared" si="76"/>
      </c>
      <c r="F293" s="5579" t="s">
        <v>5442</v>
      </c>
      <c r="G293" s="5456"/>
      <c r="H293" s="5438" t="s">
        <v>5267</v>
      </c>
      <c r="I293" s="5438" t="s">
        <v>5268</v>
      </c>
      <c r="J293" s="5433" t="s">
        <v>5522</v>
      </c>
      <c r="K293" s="5426"/>
      <c r="L293" s="5426"/>
      <c r="M293" s="5426"/>
      <c r="N293" s="5426"/>
      <c r="O293" s="5426"/>
      <c r="P293" s="5426"/>
      <c r="Q293" s="5426"/>
      <c r="R293" s="5426"/>
      <c r="S293" s="5426"/>
      <c r="T293" s="5426"/>
      <c r="U293" s="5428"/>
      <c r="V293" s="5428"/>
      <c r="W293" s="5428"/>
      <c r="X293" s="5428"/>
      <c r="Y293" s="5428"/>
    </row>
    <row customHeight="true" ht="18.452380952380953" r="294">
      <c r="A294" s="5431" t="s">
        <v>5517</v>
      </c>
      <c r="B294" s="5432">
        <v>46231</v>
      </c>
      <c r="C294" s="5431" t="str">
        <v>Tuesday</v>
      </c>
      <c r="D294" s="5433" t="s">
        <v>5312</v>
      </c>
      <c r="E294" s="5438">
        <f t="shared" si="76"/>
      </c>
      <c r="F294" s="5579" t="s">
        <v>5369</v>
      </c>
      <c r="G294" s="5467"/>
      <c r="H294" s="5438"/>
      <c r="I294" s="5438" t="s">
        <v>5268</v>
      </c>
      <c r="J294" s="5438"/>
      <c r="K294" s="5426"/>
      <c r="L294" s="5426"/>
      <c r="M294" s="5426"/>
      <c r="N294" s="5426"/>
      <c r="O294" s="5426"/>
      <c r="P294" s="5426"/>
      <c r="Q294" s="5426"/>
      <c r="R294" s="5426"/>
      <c r="S294" s="5426"/>
      <c r="T294" s="5426"/>
      <c r="U294" s="5428"/>
      <c r="V294" s="5428"/>
      <c r="W294" s="5428"/>
      <c r="X294" s="5428"/>
      <c r="Y294" s="5428"/>
    </row>
    <row customHeight="true" ht="18.452380952380953" r="295">
      <c r="A295" s="5431" t="s">
        <v>5517</v>
      </c>
      <c r="B295" s="5432">
        <v>46232</v>
      </c>
      <c r="C295" s="5431" t="str">
        <v>Wednesday</v>
      </c>
      <c r="D295" s="5433" t="s">
        <v>5310</v>
      </c>
      <c r="E295" s="5438">
        <f t="shared" si="76"/>
      </c>
      <c r="F295" s="5579" t="s">
        <v>5442</v>
      </c>
      <c r="G295" s="5456"/>
      <c r="H295" s="5438" t="s">
        <v>5299</v>
      </c>
      <c r="I295" s="5438" t="s">
        <v>5268</v>
      </c>
      <c r="J295" s="5433" t="s">
        <v>5522</v>
      </c>
      <c r="K295" s="5426"/>
      <c r="L295" s="5426"/>
      <c r="M295" s="5426"/>
      <c r="N295" s="5426"/>
      <c r="O295" s="5426"/>
      <c r="P295" s="5426"/>
      <c r="Q295" s="5426"/>
      <c r="R295" s="5426"/>
      <c r="S295" s="5426"/>
      <c r="T295" s="5426"/>
      <c r="U295" s="5428"/>
      <c r="V295" s="5428"/>
      <c r="W295" s="5428"/>
      <c r="X295" s="5428"/>
      <c r="Y295" s="5428"/>
    </row>
    <row customHeight="true" ht="18.452380952380953" r="296">
      <c r="A296" s="5431" t="s">
        <v>5517</v>
      </c>
      <c r="B296" s="5432">
        <v>46233</v>
      </c>
      <c r="C296" s="5431" t="str">
        <v>Thursday</v>
      </c>
      <c r="D296" s="5433" t="s">
        <v>5476</v>
      </c>
      <c r="E296" s="5438">
        <f t="shared" si="76"/>
      </c>
      <c r="F296" s="5579" t="s">
        <v>5442</v>
      </c>
      <c r="G296" s="5467"/>
      <c r="H296" s="5438" t="s">
        <v>5267</v>
      </c>
      <c r="I296" s="5438" t="s">
        <v>5268</v>
      </c>
      <c r="J296" s="5433" t="s">
        <v>5517</v>
      </c>
      <c r="K296" s="5426"/>
      <c r="L296" s="5426"/>
      <c r="M296" s="5426"/>
      <c r="N296" s="5426"/>
      <c r="O296" s="5426"/>
      <c r="P296" s="5426"/>
      <c r="Q296" s="5426"/>
      <c r="R296" s="5426"/>
      <c r="S296" s="5426"/>
      <c r="T296" s="5426"/>
      <c r="U296" s="5428"/>
      <c r="V296" s="5428"/>
      <c r="W296" s="5428"/>
      <c r="X296" s="5428"/>
      <c r="Y296" s="5428"/>
    </row>
    <row customHeight="true" ht="18.452380952380953" r="297">
      <c r="A297" s="5431" t="s">
        <v>5517</v>
      </c>
      <c r="B297" s="5432">
        <v>46233</v>
      </c>
      <c r="C297" s="5431" t="str">
        <v>Thursday</v>
      </c>
      <c r="D297" s="5433" t="s">
        <v>5523</v>
      </c>
      <c r="E297" s="5438">
        <f t="shared" si="76"/>
      </c>
      <c r="F297" s="5579" t="s">
        <v>5442</v>
      </c>
      <c r="G297" s="5467"/>
      <c r="H297" s="5438" t="s">
        <v>5299</v>
      </c>
      <c r="I297" s="5438" t="s">
        <v>5268</v>
      </c>
      <c r="J297" s="5433" t="s">
        <v>5524</v>
      </c>
      <c r="K297" s="5426"/>
      <c r="L297" s="5426"/>
      <c r="M297" s="5426"/>
      <c r="N297" s="5426"/>
      <c r="O297" s="5426"/>
      <c r="P297" s="5426"/>
      <c r="Q297" s="5426"/>
      <c r="R297" s="5426"/>
      <c r="S297" s="5426"/>
      <c r="T297" s="5426"/>
      <c r="U297" s="5428"/>
      <c r="V297" s="5428"/>
      <c r="W297" s="5428"/>
      <c r="X297" s="5428"/>
      <c r="Y297" s="5428"/>
    </row>
    <row customHeight="true" ht="18.452380952380953" r="298">
      <c r="A298" s="5431" t="s">
        <v>5517</v>
      </c>
      <c r="B298" s="5432">
        <v>46233</v>
      </c>
      <c r="C298" s="5431" t="str">
        <v>Thursday</v>
      </c>
      <c r="D298" s="5433" t="s">
        <v>5310</v>
      </c>
      <c r="E298" s="5438">
        <f t="shared" si="76"/>
      </c>
      <c r="F298" s="5579" t="s">
        <v>5525</v>
      </c>
      <c r="G298" s="5467"/>
      <c r="H298" s="5438"/>
      <c r="I298" s="5438" t="s">
        <v>5268</v>
      </c>
      <c r="J298" s="5438"/>
      <c r="K298" s="5426"/>
      <c r="L298" s="5426"/>
      <c r="M298" s="5426"/>
      <c r="N298" s="5426"/>
      <c r="O298" s="5426"/>
      <c r="P298" s="5426"/>
      <c r="Q298" s="5426"/>
      <c r="R298" s="5426"/>
      <c r="S298" s="5426"/>
      <c r="T298" s="5426"/>
      <c r="U298" s="5428"/>
      <c r="V298" s="5428"/>
      <c r="W298" s="5428"/>
      <c r="X298" s="5428"/>
      <c r="Y298" s="5428"/>
    </row>
    <row customHeight="true" ht="18.452380952380953" r="299">
      <c r="A299" s="5431" t="s">
        <v>5517</v>
      </c>
      <c r="B299" s="5432">
        <v>46234</v>
      </c>
      <c r="C299" s="5431" t="str">
        <v>Friday</v>
      </c>
      <c r="D299" s="5433" t="s">
        <v>5526</v>
      </c>
      <c r="E299" s="5438">
        <f t="shared" si="76"/>
      </c>
      <c r="F299" s="5579" t="s">
        <v>5298</v>
      </c>
      <c r="G299" s="5467"/>
      <c r="H299" s="5438" t="s">
        <v>5299</v>
      </c>
      <c r="I299" s="5438" t="s">
        <v>5268</v>
      </c>
      <c r="J299" s="5433" t="s">
        <v>5443</v>
      </c>
      <c r="K299" s="5426"/>
      <c r="L299" s="5426"/>
      <c r="M299" s="5426"/>
      <c r="N299" s="5426"/>
      <c r="O299" s="5426"/>
      <c r="P299" s="5426"/>
      <c r="Q299" s="5426"/>
      <c r="R299" s="5426"/>
      <c r="S299" s="5426"/>
      <c r="T299" s="5426"/>
      <c r="U299" s="5428"/>
      <c r="V299" s="5428"/>
      <c r="W299" s="5428"/>
      <c r="X299" s="5428"/>
      <c r="Y299" s="5428"/>
    </row>
    <row customHeight="true" ht="18.452380952380953" r="300">
      <c r="A300" s="5431" t="s">
        <v>5517</v>
      </c>
      <c r="B300" s="5432">
        <v>46236</v>
      </c>
      <c r="C300" s="5431" t="str">
        <v>Sunday</v>
      </c>
      <c r="D300" s="5433" t="s">
        <v>5527</v>
      </c>
      <c r="E300" s="5438">
        <f t="shared" si="76"/>
      </c>
      <c r="F300" s="5579" t="s">
        <v>5308</v>
      </c>
      <c r="G300" s="5467"/>
      <c r="H300" s="5438"/>
      <c r="I300" s="5438" t="s">
        <v>5291</v>
      </c>
      <c r="J300" s="5433"/>
      <c r="K300" s="5426"/>
      <c r="L300" s="5426"/>
      <c r="M300" s="5426"/>
      <c r="N300" s="5426"/>
      <c r="O300" s="5426"/>
      <c r="P300" s="5426"/>
      <c r="Q300" s="5426"/>
      <c r="R300" s="5426"/>
      <c r="S300" s="5426"/>
      <c r="T300" s="5426"/>
      <c r="U300" s="5428"/>
      <c r="V300" s="5428"/>
      <c r="W300" s="5428"/>
      <c r="X300" s="5428"/>
      <c r="Y300" s="5428"/>
    </row>
    <row customHeight="true" ht="18.452380952380953" r="301">
      <c r="A301" s="5431" t="s">
        <v>5516</v>
      </c>
      <c r="B301" s="5432">
        <v>46234</v>
      </c>
      <c r="C301" s="5431" t="str">
        <v>Friday</v>
      </c>
      <c r="D301" s="5433" t="s">
        <v>5528</v>
      </c>
      <c r="E301" s="5438">
        <f t="shared" si="76"/>
      </c>
      <c r="F301" s="5579" t="s">
        <v>5529</v>
      </c>
      <c r="G301" s="5456" t="s">
        <v>5409</v>
      </c>
      <c r="H301" s="5438" t="s">
        <v>5299</v>
      </c>
      <c r="I301" s="5438" t="s">
        <v>5268</v>
      </c>
      <c r="J301" s="5438"/>
      <c r="K301" s="5426"/>
      <c r="L301" s="5426"/>
      <c r="M301" s="5426"/>
      <c r="N301" s="5426"/>
      <c r="O301" s="5426"/>
      <c r="P301" s="5426"/>
      <c r="Q301" s="5426"/>
      <c r="R301" s="5426"/>
      <c r="S301" s="5426"/>
      <c r="T301" s="5426"/>
      <c r="U301" s="5428"/>
      <c r="V301" s="5428"/>
      <c r="W301" s="5428"/>
      <c r="X301" s="5428"/>
      <c r="Y301" s="5428"/>
    </row>
    <row customHeight="true" ht="18.452380952380953" r="302">
      <c r="A302" s="5431" t="s">
        <v>5516</v>
      </c>
      <c r="B302" s="5432">
        <v>46235</v>
      </c>
      <c r="C302" s="5431" t="str">
        <v>Saturday</v>
      </c>
      <c r="D302" s="5433" t="s">
        <v>5415</v>
      </c>
      <c r="E302" s="5438">
        <f t="shared" si="76"/>
      </c>
      <c r="F302" s="5579" t="s">
        <v>5529</v>
      </c>
      <c r="G302" s="5456" t="s">
        <v>5530</v>
      </c>
      <c r="H302" s="5438" t="s">
        <v>5299</v>
      </c>
      <c r="I302" s="5438" t="s">
        <v>5268</v>
      </c>
      <c r="J302" s="5438"/>
      <c r="K302" s="5426"/>
      <c r="L302" s="5426"/>
      <c r="M302" s="5426"/>
      <c r="N302" s="5426"/>
      <c r="O302" s="5426"/>
      <c r="P302" s="5426"/>
      <c r="Q302" s="5426"/>
      <c r="R302" s="5426"/>
      <c r="S302" s="5426"/>
      <c r="T302" s="5426"/>
      <c r="U302" s="5428"/>
      <c r="V302" s="5428"/>
      <c r="W302" s="5428"/>
      <c r="X302" s="5428"/>
      <c r="Y302" s="5428"/>
    </row>
    <row customHeight="true" ht="18.452380952380953" r="303">
      <c r="A303" s="5431" t="s">
        <v>5516</v>
      </c>
      <c r="B303" s="5432">
        <v>46236</v>
      </c>
      <c r="C303" s="5431" t="str">
        <v>Sunday</v>
      </c>
      <c r="D303" s="5433" t="s">
        <v>5301</v>
      </c>
      <c r="E303" s="5438">
        <f t="shared" si="76"/>
      </c>
      <c r="F303" s="5579" t="s">
        <v>5529</v>
      </c>
      <c r="G303" s="5456" t="s">
        <v>5409</v>
      </c>
      <c r="H303" s="5438" t="s">
        <v>5299</v>
      </c>
      <c r="I303" s="5438" t="s">
        <v>5268</v>
      </c>
      <c r="J303" s="5438"/>
      <c r="K303" s="5426"/>
      <c r="L303" s="5426"/>
      <c r="M303" s="5426"/>
      <c r="N303" s="5426"/>
      <c r="O303" s="5426"/>
      <c r="P303" s="5426"/>
      <c r="Q303" s="5426"/>
      <c r="R303" s="5426"/>
      <c r="S303" s="5426"/>
      <c r="T303" s="5426"/>
      <c r="U303" s="5428"/>
      <c r="V303" s="5428"/>
      <c r="W303" s="5428"/>
      <c r="X303" s="5428"/>
      <c r="Y303" s="5428"/>
    </row>
    <row customHeight="true" ht="18.452380952380953" r="304">
      <c r="A304" s="5431" t="s">
        <v>5531</v>
      </c>
      <c r="B304" s="5432">
        <v>46235</v>
      </c>
      <c r="C304" s="5431" t="str">
        <v>Saturday</v>
      </c>
      <c r="D304" s="5433" t="s">
        <v>5415</v>
      </c>
      <c r="E304" s="5438">
        <f t="shared" si="76"/>
      </c>
      <c r="F304" s="5579" t="s">
        <v>5308</v>
      </c>
      <c r="G304" s="5467"/>
      <c r="H304" s="5438" t="s">
        <v>5299</v>
      </c>
      <c r="I304" s="5438" t="s">
        <v>5268</v>
      </c>
      <c r="J304" s="5438"/>
      <c r="K304" s="5426"/>
      <c r="L304" s="5426"/>
      <c r="M304" s="5426"/>
      <c r="N304" s="5426"/>
      <c r="O304" s="5426"/>
      <c r="P304" s="5426"/>
      <c r="Q304" s="5426"/>
      <c r="R304" s="5426"/>
      <c r="S304" s="5426"/>
      <c r="T304" s="5426"/>
      <c r="U304" s="5428"/>
      <c r="V304" s="5428"/>
      <c r="W304" s="5428"/>
      <c r="X304" s="5428"/>
      <c r="Y304" s="5428"/>
    </row>
    <row customHeight="true" ht="18.452380952380953" r="305">
      <c r="A305" s="5431" t="s">
        <v>5531</v>
      </c>
      <c r="B305" s="5432">
        <v>46234</v>
      </c>
      <c r="C305" s="5431" t="str">
        <v>Friday</v>
      </c>
      <c r="D305" s="5433" t="s">
        <v>5338</v>
      </c>
      <c r="E305" s="5438">
        <f t="shared" si="76"/>
      </c>
      <c r="F305" s="5579" t="s">
        <v>5442</v>
      </c>
      <c r="G305" s="5467"/>
      <c r="H305" s="5438" t="s">
        <v>5299</v>
      </c>
      <c r="I305" s="5438" t="s">
        <v>5268</v>
      </c>
      <c r="J305" s="5438"/>
      <c r="K305" s="5426"/>
      <c r="L305" s="5426"/>
      <c r="M305" s="5426"/>
      <c r="N305" s="5426"/>
      <c r="O305" s="5426"/>
      <c r="P305" s="5426"/>
      <c r="Q305" s="5426"/>
      <c r="R305" s="5426"/>
      <c r="S305" s="5426"/>
      <c r="T305" s="5426"/>
      <c r="U305" s="5428"/>
      <c r="V305" s="5428"/>
      <c r="W305" s="5428"/>
      <c r="X305" s="5428"/>
      <c r="Y305" s="5428"/>
    </row>
    <row customHeight="true" ht="18.452380952380953" r="306">
      <c r="A306" s="5431" t="s">
        <v>5531</v>
      </c>
      <c r="B306" s="5432">
        <v>46236</v>
      </c>
      <c r="C306" s="5431" t="str">
        <v>Sunday</v>
      </c>
      <c r="D306" s="5633" t="s">
        <v>5532</v>
      </c>
      <c r="E306" s="5438">
        <f t="shared" si="76"/>
      </c>
      <c r="F306" s="5579" t="s">
        <v>5442</v>
      </c>
      <c r="G306" s="5467"/>
      <c r="H306" s="5438" t="s">
        <v>5299</v>
      </c>
      <c r="I306" s="5438" t="s">
        <v>5268</v>
      </c>
      <c r="J306" s="5438"/>
      <c r="K306" s="5426"/>
      <c r="L306" s="5426"/>
      <c r="M306" s="5426"/>
      <c r="N306" s="5426"/>
      <c r="O306" s="5426"/>
      <c r="P306" s="5426"/>
      <c r="Q306" s="5426"/>
      <c r="R306" s="5426"/>
      <c r="S306" s="5426"/>
      <c r="T306" s="5426"/>
      <c r="U306" s="5428"/>
      <c r="V306" s="5428"/>
      <c r="W306" s="5428"/>
      <c r="X306" s="5428"/>
      <c r="Y306" s="5428"/>
    </row>
    <row customHeight="true" ht="18.452380952380953" r="307">
      <c r="A307" s="5431"/>
      <c r="B307" s="5431"/>
      <c r="C307" s="5431"/>
      <c r="D307" s="5433"/>
      <c r="E307" s="5438"/>
      <c r="F307" s="5579"/>
      <c r="G307" s="5467"/>
      <c r="H307" s="5438"/>
      <c r="I307" s="5438"/>
      <c r="J307" s="5438"/>
      <c r="K307" s="5426"/>
      <c r="L307" s="5426"/>
      <c r="M307" s="5426"/>
      <c r="N307" s="5426"/>
      <c r="O307" s="5426"/>
      <c r="P307" s="5426"/>
      <c r="Q307" s="5426"/>
      <c r="R307" s="5426"/>
      <c r="S307" s="5426"/>
      <c r="T307" s="5426"/>
      <c r="U307" s="5428"/>
      <c r="V307" s="5428"/>
      <c r="W307" s="5428"/>
      <c r="X307" s="5428"/>
      <c r="Y307" s="5428"/>
    </row>
    <row customHeight="true" ht="18.452380952380953" r="308">
      <c r="A308" s="5431"/>
      <c r="B308" s="5431"/>
      <c r="C308" s="5431"/>
      <c r="D308" s="5433"/>
      <c r="E308" s="5438"/>
      <c r="F308" s="5579"/>
      <c r="G308" s="5467"/>
      <c r="H308" s="5438"/>
      <c r="I308" s="5438"/>
      <c r="J308" s="5438"/>
      <c r="K308" s="5426"/>
      <c r="L308" s="5426"/>
      <c r="M308" s="5426"/>
      <c r="N308" s="5426"/>
      <c r="O308" s="5426"/>
      <c r="P308" s="5426"/>
      <c r="Q308" s="5426"/>
      <c r="R308" s="5426"/>
      <c r="S308" s="5426"/>
      <c r="T308" s="5426"/>
      <c r="U308" s="5428"/>
      <c r="V308" s="5428"/>
      <c r="W308" s="5428"/>
      <c r="X308" s="5428"/>
      <c r="Y308" s="5428"/>
    </row>
    <row customHeight="true" ht="18.452380952380953" r="309">
      <c r="A309" s="5431"/>
      <c r="B309" s="5431"/>
      <c r="C309" s="5431"/>
      <c r="D309" s="5433"/>
      <c r="E309" s="5438"/>
      <c r="F309" s="5579"/>
      <c r="G309" s="5467"/>
      <c r="H309" s="5438"/>
      <c r="I309" s="5438"/>
      <c r="J309" s="5438"/>
      <c r="K309" s="5426"/>
      <c r="L309" s="5426"/>
      <c r="M309" s="5426"/>
      <c r="N309" s="5426"/>
      <c r="O309" s="5426"/>
      <c r="P309" s="5426"/>
      <c r="Q309" s="5426"/>
      <c r="R309" s="5426"/>
      <c r="S309" s="5426"/>
      <c r="T309" s="5426"/>
      <c r="U309" s="5428"/>
      <c r="V309" s="5428"/>
      <c r="W309" s="5428"/>
      <c r="X309" s="5428"/>
      <c r="Y309" s="5428"/>
    </row>
    <row customHeight="true" ht="18.452380952380953" r="310">
      <c r="A310" s="5431"/>
      <c r="B310" s="5431"/>
      <c r="C310" s="5431"/>
      <c r="D310" s="5433"/>
      <c r="E310" s="5438"/>
      <c r="F310" s="5579"/>
      <c r="G310" s="5467"/>
      <c r="H310" s="5438"/>
      <c r="I310" s="5438"/>
      <c r="J310" s="5438"/>
      <c r="K310" s="5426"/>
      <c r="L310" s="5426"/>
      <c r="M310" s="5426"/>
      <c r="N310" s="5426"/>
      <c r="O310" s="5426"/>
      <c r="P310" s="5426"/>
      <c r="Q310" s="5426"/>
      <c r="R310" s="5426"/>
      <c r="S310" s="5426"/>
      <c r="T310" s="5426"/>
      <c r="U310" s="5428"/>
      <c r="V310" s="5428"/>
      <c r="W310" s="5428"/>
      <c r="X310" s="5428"/>
      <c r="Y310" s="5428"/>
    </row>
    <row r="311">
      <c r="A311" s="5428"/>
      <c r="B311" s="5428"/>
      <c r="C311" s="5428"/>
      <c r="D311" s="5428"/>
      <c r="E311" s="5428"/>
      <c r="F311" s="5428"/>
      <c r="G311" s="5428"/>
      <c r="H311" s="5428"/>
      <c r="I311" s="5428"/>
      <c r="J311" s="5428"/>
      <c r="K311" s="5428"/>
      <c r="L311" s="5428"/>
      <c r="M311" s="5428"/>
      <c r="N311" s="5428"/>
      <c r="O311" s="5428"/>
      <c r="P311" s="5428"/>
      <c r="Q311" s="5428"/>
      <c r="R311" s="5428"/>
      <c r="S311" s="5428"/>
      <c r="T311" s="5428"/>
      <c r="U311" s="5428"/>
      <c r="V311" s="5428"/>
      <c r="W311" s="5428"/>
      <c r="X311" s="5428"/>
      <c r="Y311" s="5428"/>
    </row>
    <row r="312">
      <c r="A312" s="5634" t="s">
        <v>5533</v>
      </c>
      <c r="B312" s="5634"/>
      <c r="C312" s="5634"/>
      <c r="D312" s="5634"/>
      <c r="E312" s="5634"/>
      <c r="F312" s="5634"/>
      <c r="G312" s="5634"/>
      <c r="H312" s="5634"/>
      <c r="I312" s="5634"/>
      <c r="J312" s="5634"/>
      <c r="K312" s="5635"/>
      <c r="L312" s="5635"/>
      <c r="M312" s="5635"/>
      <c r="N312" s="5635"/>
      <c r="O312" s="5635"/>
      <c r="P312" s="5635"/>
      <c r="Q312" s="5635"/>
      <c r="R312" s="5635"/>
      <c r="S312" s="5635"/>
      <c r="T312" s="5635"/>
      <c r="U312" s="5636"/>
      <c r="V312" s="5636"/>
      <c r="W312" s="5636"/>
      <c r="X312" s="5636"/>
      <c r="Y312" s="5636"/>
    </row>
    <row r="313">
      <c r="A313" s="5637" t="s">
        <v>5277</v>
      </c>
      <c r="B313" s="5609" t="s">
        <v>5278</v>
      </c>
      <c r="C313" s="5609"/>
      <c r="D313" s="5614" t="s">
        <v>5279</v>
      </c>
      <c r="E313" s="5614" t="s">
        <v>5280</v>
      </c>
      <c r="F313" s="5614" t="s">
        <v>5281</v>
      </c>
      <c r="G313" s="5638" t="s">
        <v>5294</v>
      </c>
      <c r="H313" s="5614" t="s">
        <v>5283</v>
      </c>
      <c r="I313" s="5614" t="s">
        <v>5284</v>
      </c>
      <c r="J313" s="5614" t="s">
        <v>5285</v>
      </c>
      <c r="K313" s="5635"/>
      <c r="L313" s="5635"/>
      <c r="M313" s="5635"/>
      <c r="N313" s="5635"/>
      <c r="O313" s="5635"/>
      <c r="P313" s="5635"/>
      <c r="Q313" s="5635"/>
      <c r="R313" s="5635"/>
      <c r="S313" s="5635"/>
      <c r="T313" s="5635"/>
      <c r="U313" s="5636"/>
      <c r="V313" s="5636"/>
      <c r="W313" s="5636"/>
      <c r="X313" s="5636"/>
      <c r="Y313" s="5636"/>
    </row>
    <row r="314">
      <c r="A314" s="5431" t="s">
        <v>5533</v>
      </c>
      <c r="B314" s="5431">
        <v>46230</v>
      </c>
      <c r="C314" s="5431" t="str">
        <v>Monday</v>
      </c>
      <c r="D314" s="5433" t="s">
        <v>5415</v>
      </c>
      <c r="E314" s="5438">
        <f t="shared" ref="E314:E330" si="77">24*MOD(TIMEVALUE(TRIM(MID(D314,FIND("-",D314)+1,LEN(D314)))) - TIMEVALUE(TRIM(LEFT(D314,FIND("-",D314)-1))),1)</f>
      </c>
      <c r="F314" s="5579" t="s">
        <v>5353</v>
      </c>
      <c r="G314" s="5456" t="s">
        <v>5479</v>
      </c>
      <c r="H314" s="5438" t="s">
        <v>5299</v>
      </c>
      <c r="I314" s="5438" t="s">
        <v>5268</v>
      </c>
      <c r="J314" s="5438"/>
      <c r="K314" s="5426"/>
      <c r="L314" s="5426"/>
      <c r="M314" s="5426"/>
      <c r="N314" s="5426"/>
      <c r="O314" s="5426"/>
      <c r="P314" s="5426"/>
      <c r="Q314" s="5426"/>
      <c r="R314" s="5426"/>
      <c r="S314" s="5426"/>
      <c r="T314" s="5426"/>
      <c r="U314" s="5428"/>
      <c r="V314" s="5428"/>
      <c r="W314" s="5428"/>
      <c r="X314" s="5428"/>
      <c r="Y314" s="5428"/>
    </row>
    <row r="315">
      <c r="A315" s="5431" t="s">
        <v>5533</v>
      </c>
      <c r="B315" s="5431">
        <v>46231</v>
      </c>
      <c r="C315" s="5431" t="str">
        <v>Tuesday</v>
      </c>
      <c r="D315" s="5433" t="s">
        <v>5339</v>
      </c>
      <c r="E315" s="5438">
        <f t="shared" si="77"/>
      </c>
      <c r="F315" s="5579" t="s">
        <v>5469</v>
      </c>
      <c r="G315" s="5456" t="s">
        <v>5479</v>
      </c>
      <c r="H315" s="5438" t="s">
        <v>5299</v>
      </c>
      <c r="I315" s="5438" t="s">
        <v>5268</v>
      </c>
      <c r="J315" s="5438"/>
      <c r="K315" s="5426"/>
      <c r="L315" s="5426"/>
      <c r="M315" s="5426"/>
      <c r="N315" s="5426"/>
      <c r="O315" s="5426"/>
      <c r="P315" s="5426"/>
      <c r="Q315" s="5426"/>
      <c r="R315" s="5426"/>
      <c r="S315" s="5426"/>
      <c r="T315" s="5426"/>
      <c r="U315" s="5428"/>
      <c r="V315" s="5428"/>
      <c r="W315" s="5428"/>
      <c r="X315" s="5428"/>
      <c r="Y315" s="5428"/>
    </row>
    <row r="316">
      <c r="A316" s="5431" t="s">
        <v>5533</v>
      </c>
      <c r="B316" s="5431">
        <v>46232</v>
      </c>
      <c r="C316" s="5431" t="str">
        <v>Wednesday</v>
      </c>
      <c r="D316" s="5433" t="s">
        <v>5301</v>
      </c>
      <c r="E316" s="5438">
        <f t="shared" si="77"/>
      </c>
      <c r="F316" s="5579" t="s">
        <v>5353</v>
      </c>
      <c r="G316" s="5456" t="s">
        <v>5534</v>
      </c>
      <c r="H316" s="5438" t="s">
        <v>5299</v>
      </c>
      <c r="I316" s="5438" t="s">
        <v>5268</v>
      </c>
      <c r="J316" s="5438"/>
      <c r="K316" s="5426"/>
      <c r="L316" s="5426"/>
      <c r="M316" s="5426"/>
      <c r="N316" s="5426"/>
      <c r="O316" s="5426"/>
      <c r="P316" s="5426"/>
      <c r="Q316" s="5426"/>
      <c r="R316" s="5426"/>
      <c r="S316" s="5426"/>
      <c r="T316" s="5426"/>
      <c r="U316" s="5428"/>
      <c r="V316" s="5428"/>
      <c r="W316" s="5428"/>
      <c r="X316" s="5428"/>
      <c r="Y316" s="5428"/>
    </row>
    <row r="317">
      <c r="A317" s="5431" t="s">
        <v>5533</v>
      </c>
      <c r="B317" s="5431">
        <v>46233</v>
      </c>
      <c r="C317" s="5431" t="str">
        <v>Thursday</v>
      </c>
      <c r="D317" s="5433" t="s">
        <v>5415</v>
      </c>
      <c r="E317" s="5438">
        <f t="shared" si="77"/>
      </c>
      <c r="F317" s="5579" t="s">
        <v>5469</v>
      </c>
      <c r="G317" s="5456" t="s">
        <v>5479</v>
      </c>
      <c r="H317" s="5438" t="s">
        <v>5299</v>
      </c>
      <c r="I317" s="5438" t="s">
        <v>5268</v>
      </c>
      <c r="J317" s="5438"/>
      <c r="K317" s="5426"/>
      <c r="L317" s="5426"/>
      <c r="M317" s="5426"/>
      <c r="N317" s="5426"/>
      <c r="O317" s="5426"/>
      <c r="P317" s="5426"/>
      <c r="Q317" s="5426"/>
      <c r="R317" s="5426"/>
      <c r="S317" s="5426"/>
      <c r="T317" s="5426"/>
      <c r="U317" s="5428"/>
      <c r="V317" s="5428"/>
      <c r="W317" s="5428"/>
      <c r="X317" s="5428"/>
      <c r="Y317" s="5428"/>
    </row>
    <row r="318">
      <c r="A318" s="5431" t="s">
        <v>5533</v>
      </c>
      <c r="B318" s="5431">
        <v>46234</v>
      </c>
      <c r="C318" s="5431" t="str">
        <v>Friday</v>
      </c>
      <c r="D318" s="5433" t="s">
        <v>5535</v>
      </c>
      <c r="E318" s="5438">
        <f t="shared" si="77"/>
      </c>
      <c r="F318" s="5579" t="s">
        <v>5501</v>
      </c>
      <c r="G318" s="5456" t="s">
        <v>5479</v>
      </c>
      <c r="H318" s="5438" t="s">
        <v>5299</v>
      </c>
      <c r="I318" s="5438" t="s">
        <v>5268</v>
      </c>
      <c r="J318" s="5438"/>
      <c r="K318" s="5426"/>
      <c r="L318" s="5426"/>
      <c r="M318" s="5426"/>
      <c r="N318" s="5426"/>
      <c r="O318" s="5426"/>
      <c r="P318" s="5426"/>
      <c r="Q318" s="5426"/>
      <c r="R318" s="5426"/>
      <c r="S318" s="5426"/>
      <c r="T318" s="5426"/>
      <c r="U318" s="5428"/>
      <c r="V318" s="5428"/>
      <c r="W318" s="5428"/>
      <c r="X318" s="5428"/>
      <c r="Y318" s="5428"/>
    </row>
    <row customHeight="true" ht="18.452380952380953" r="319">
      <c r="A319" s="5491" t="s">
        <v>5533</v>
      </c>
      <c r="B319" s="5491">
        <v>46235</v>
      </c>
      <c r="C319" s="5491" t="str">
        <v>Saturday</v>
      </c>
      <c r="D319" s="5605" t="s">
        <v>5528</v>
      </c>
      <c r="E319" s="5494">
        <f t="shared" si="77"/>
      </c>
      <c r="F319" s="5600" t="s">
        <v>5536</v>
      </c>
      <c r="G319" s="5601" t="s">
        <v>5479</v>
      </c>
      <c r="H319" s="5494" t="s">
        <v>5299</v>
      </c>
      <c r="I319" s="5494"/>
      <c r="J319" s="5494"/>
      <c r="K319" s="5603"/>
      <c r="L319" s="5603"/>
      <c r="M319" s="5603"/>
      <c r="N319" s="5603"/>
      <c r="O319" s="5603"/>
      <c r="P319" s="5603"/>
      <c r="Q319" s="5603"/>
      <c r="R319" s="5603"/>
      <c r="S319" s="5603"/>
      <c r="T319" s="5603"/>
      <c r="U319" s="5604"/>
      <c r="V319" s="5604"/>
      <c r="W319" s="5604"/>
      <c r="X319" s="5604"/>
      <c r="Y319" s="5604"/>
    </row>
    <row customHeight="true" ht="18.452380952380953" r="320">
      <c r="A320" s="5431" t="s">
        <v>5533</v>
      </c>
      <c r="B320" s="5431">
        <v>46236</v>
      </c>
      <c r="C320" s="5431" t="str">
        <v>Sunday</v>
      </c>
      <c r="D320" s="5433" t="s">
        <v>5528</v>
      </c>
      <c r="E320" s="5438">
        <f t="shared" si="77"/>
      </c>
      <c r="F320" s="5579" t="s">
        <v>5469</v>
      </c>
      <c r="G320" s="5456" t="s">
        <v>5471</v>
      </c>
      <c r="H320" s="5438" t="s">
        <v>5299</v>
      </c>
      <c r="I320" s="5438"/>
      <c r="J320" s="5438"/>
      <c r="K320" s="5426"/>
      <c r="L320" s="5426"/>
      <c r="M320" s="5426"/>
      <c r="N320" s="5426"/>
      <c r="O320" s="5426"/>
      <c r="P320" s="5426"/>
      <c r="Q320" s="5426"/>
      <c r="R320" s="5426"/>
      <c r="S320" s="5426"/>
      <c r="T320" s="5426"/>
      <c r="U320" s="5428"/>
      <c r="V320" s="5428"/>
      <c r="W320" s="5428"/>
      <c r="X320" s="5428"/>
      <c r="Y320" s="5428"/>
    </row>
    <row customHeight="true" ht="18.452380952380953" r="321">
      <c r="A321" s="5431" t="s">
        <v>5537</v>
      </c>
      <c r="B321" s="5431">
        <v>46230</v>
      </c>
      <c r="C321" s="5431" t="str">
        <v>Monday</v>
      </c>
      <c r="D321" s="5433" t="s">
        <v>5538</v>
      </c>
      <c r="E321" s="5438">
        <f t="shared" si="77"/>
      </c>
      <c r="F321" s="5579" t="s">
        <v>5483</v>
      </c>
      <c r="G321" s="5467"/>
      <c r="H321" s="5438" t="s">
        <v>5299</v>
      </c>
      <c r="I321" s="5438"/>
      <c r="J321" s="5433" t="s">
        <v>5539</v>
      </c>
      <c r="K321" s="5426"/>
      <c r="L321" s="5426"/>
      <c r="M321" s="5426"/>
      <c r="N321" s="5426"/>
      <c r="O321" s="5426"/>
      <c r="P321" s="5426"/>
      <c r="Q321" s="5426"/>
      <c r="R321" s="5426"/>
      <c r="S321" s="5426"/>
      <c r="T321" s="5426"/>
      <c r="U321" s="5428"/>
      <c r="V321" s="5428"/>
      <c r="W321" s="5428"/>
      <c r="X321" s="5428"/>
      <c r="Y321" s="5428"/>
    </row>
    <row customHeight="true" ht="18.452380952380953" r="322">
      <c r="A322" s="5431" t="s">
        <v>5537</v>
      </c>
      <c r="B322" s="5431">
        <v>46231</v>
      </c>
      <c r="C322" s="5431" t="str">
        <v>Tuesday</v>
      </c>
      <c r="D322" s="5433" t="s">
        <v>5540</v>
      </c>
      <c r="E322" s="5438">
        <f t="shared" si="77"/>
      </c>
      <c r="F322" s="5579" t="s">
        <v>5483</v>
      </c>
      <c r="G322" s="5467"/>
      <c r="H322" s="5438" t="s">
        <v>5299</v>
      </c>
      <c r="I322" s="5438"/>
      <c r="J322" s="5433" t="s">
        <v>5541</v>
      </c>
      <c r="K322" s="5426"/>
      <c r="L322" s="5426"/>
      <c r="M322" s="5426"/>
      <c r="N322" s="5426"/>
      <c r="O322" s="5426"/>
      <c r="P322" s="5426"/>
      <c r="Q322" s="5426"/>
      <c r="R322" s="5426"/>
      <c r="S322" s="5426"/>
      <c r="T322" s="5426"/>
      <c r="U322" s="5428"/>
      <c r="V322" s="5428"/>
      <c r="W322" s="5428"/>
      <c r="X322" s="5428"/>
      <c r="Y322" s="5428"/>
    </row>
    <row customHeight="true" ht="18.452380952380953" r="323">
      <c r="A323" s="5431" t="s">
        <v>5537</v>
      </c>
      <c r="B323" s="5431">
        <v>46232</v>
      </c>
      <c r="C323" s="5431" t="str">
        <v>Wednesday</v>
      </c>
      <c r="D323" s="5633" t="s">
        <v>5542</v>
      </c>
      <c r="E323" s="5438">
        <f t="shared" si="77"/>
      </c>
      <c r="F323" s="5579" t="s">
        <v>5534</v>
      </c>
      <c r="G323" s="5467"/>
      <c r="H323" s="5438" t="s">
        <v>5299</v>
      </c>
      <c r="I323" s="5438"/>
      <c r="J323" s="5633" t="s">
        <v>5543</v>
      </c>
      <c r="K323" s="5426"/>
      <c r="L323" s="5426"/>
      <c r="M323" s="5426"/>
      <c r="N323" s="5426"/>
      <c r="O323" s="5426"/>
      <c r="P323" s="5426"/>
      <c r="Q323" s="5426"/>
      <c r="R323" s="5426"/>
      <c r="S323" s="5426"/>
      <c r="T323" s="5426"/>
      <c r="U323" s="5428"/>
      <c r="V323" s="5428"/>
      <c r="W323" s="5428"/>
      <c r="X323" s="5428"/>
      <c r="Y323" s="5428"/>
    </row>
    <row customHeight="true" ht="18.452380952380953" r="324">
      <c r="A324" s="5431" t="s">
        <v>5537</v>
      </c>
      <c r="B324" s="5431">
        <v>46233</v>
      </c>
      <c r="C324" s="5431" t="str">
        <v>Thursday</v>
      </c>
      <c r="D324" s="5433" t="s">
        <v>5542</v>
      </c>
      <c r="E324" s="5438">
        <f t="shared" si="77"/>
      </c>
      <c r="F324" s="5579" t="s">
        <v>5483</v>
      </c>
      <c r="G324" s="5467"/>
      <c r="H324" s="5438" t="s">
        <v>5299</v>
      </c>
      <c r="I324" s="5438"/>
      <c r="J324" s="5633" t="s">
        <v>5544</v>
      </c>
      <c r="K324" s="5426"/>
      <c r="L324" s="5426"/>
      <c r="M324" s="5426"/>
      <c r="N324" s="5426"/>
      <c r="O324" s="5426"/>
      <c r="P324" s="5426"/>
      <c r="Q324" s="5426"/>
      <c r="R324" s="5426"/>
      <c r="S324" s="5426"/>
      <c r="T324" s="5426"/>
      <c r="U324" s="5428"/>
      <c r="V324" s="5428"/>
      <c r="W324" s="5428"/>
      <c r="X324" s="5428"/>
      <c r="Y324" s="5428"/>
    </row>
    <row customHeight="true" ht="18.452380952380953" r="325">
      <c r="A325" s="5431" t="s">
        <v>5537</v>
      </c>
      <c r="B325" s="5431">
        <v>46234</v>
      </c>
      <c r="C325" s="5431" t="str">
        <v>Friday</v>
      </c>
      <c r="D325" s="5433" t="s">
        <v>5535</v>
      </c>
      <c r="E325" s="5438">
        <f t="shared" si="77"/>
      </c>
      <c r="F325" s="5579" t="s">
        <v>5483</v>
      </c>
      <c r="G325" s="5467"/>
      <c r="H325" s="5438" t="s">
        <v>5299</v>
      </c>
      <c r="I325" s="5438"/>
      <c r="J325" s="5438"/>
      <c r="K325" s="5426"/>
      <c r="L325" s="5426"/>
      <c r="M325" s="5426"/>
      <c r="N325" s="5426"/>
      <c r="O325" s="5426"/>
      <c r="P325" s="5426"/>
      <c r="Q325" s="5426"/>
      <c r="R325" s="5426"/>
      <c r="S325" s="5426"/>
      <c r="T325" s="5426"/>
      <c r="U325" s="5428"/>
      <c r="V325" s="5428"/>
      <c r="W325" s="5428"/>
      <c r="X325" s="5428"/>
      <c r="Y325" s="5428"/>
    </row>
    <row customHeight="true" ht="18.452380952380953" r="326">
      <c r="A326" s="5491" t="s">
        <v>5537</v>
      </c>
      <c r="B326" s="5491">
        <v>46235</v>
      </c>
      <c r="C326" s="5491" t="str">
        <v>Saturday</v>
      </c>
      <c r="D326" s="5494" t="s">
        <v>5528</v>
      </c>
      <c r="E326" s="5494">
        <f t="shared" si="77"/>
      </c>
      <c r="F326" s="5600" t="s">
        <v>5483</v>
      </c>
      <c r="G326" s="5639"/>
      <c r="H326" s="5494" t="s">
        <v>5299</v>
      </c>
      <c r="I326" s="5494"/>
      <c r="J326" s="5494"/>
      <c r="K326" s="5603"/>
      <c r="L326" s="5603"/>
      <c r="M326" s="5603"/>
      <c r="N326" s="5603"/>
      <c r="O326" s="5603"/>
      <c r="P326" s="5603"/>
      <c r="Q326" s="5603"/>
      <c r="R326" s="5603"/>
      <c r="S326" s="5603"/>
      <c r="T326" s="5603"/>
      <c r="U326" s="5604"/>
      <c r="V326" s="5604"/>
      <c r="W326" s="5604"/>
      <c r="X326" s="5604"/>
      <c r="Y326" s="5604"/>
    </row>
    <row customHeight="true" ht="18.452380952380953" r="327">
      <c r="A327" s="5431" t="s">
        <v>5537</v>
      </c>
      <c r="B327" s="5431">
        <v>46236</v>
      </c>
      <c r="C327" s="5431" t="str">
        <v>Sunday</v>
      </c>
      <c r="D327" s="5433" t="s">
        <v>5545</v>
      </c>
      <c r="E327" s="5438">
        <f t="shared" si="77"/>
      </c>
      <c r="F327" s="5640" t="s">
        <v>5471</v>
      </c>
      <c r="G327" s="5467"/>
      <c r="H327" s="5438" t="s">
        <v>5299</v>
      </c>
      <c r="I327" s="5438"/>
      <c r="J327" s="5617" t="s">
        <v>5546</v>
      </c>
      <c r="K327" s="5426"/>
      <c r="L327" s="5426"/>
      <c r="M327" s="5426"/>
      <c r="N327" s="5426"/>
      <c r="O327" s="5426"/>
      <c r="P327" s="5426"/>
      <c r="Q327" s="5426"/>
      <c r="R327" s="5426"/>
      <c r="S327" s="5426"/>
      <c r="T327" s="5426"/>
      <c r="U327" s="5428"/>
      <c r="V327" s="5428"/>
      <c r="W327" s="5428"/>
      <c r="X327" s="5428"/>
      <c r="Y327" s="5428"/>
    </row>
    <row customHeight="true" ht="18.452380952380953" r="328">
      <c r="A328" s="5431" t="s">
        <v>5547</v>
      </c>
      <c r="B328" s="5431">
        <v>46234</v>
      </c>
      <c r="C328" s="5431" t="str">
        <v>Friday</v>
      </c>
      <c r="D328" s="5438" t="s">
        <v>5535</v>
      </c>
      <c r="E328" s="5438">
        <f t="shared" si="77"/>
      </c>
      <c r="F328" s="5579" t="s">
        <v>5471</v>
      </c>
      <c r="G328" s="5467"/>
      <c r="H328" s="5438" t="s">
        <v>5299</v>
      </c>
      <c r="I328" s="5438"/>
      <c r="J328" s="5438"/>
      <c r="K328" s="5426"/>
      <c r="L328" s="5426"/>
      <c r="M328" s="5426"/>
      <c r="N328" s="5426"/>
      <c r="O328" s="5426"/>
      <c r="P328" s="5426"/>
      <c r="Q328" s="5426"/>
      <c r="R328" s="5426"/>
      <c r="S328" s="5426"/>
      <c r="T328" s="5426"/>
      <c r="U328" s="5428"/>
      <c r="V328" s="5428"/>
      <c r="W328" s="5428"/>
      <c r="X328" s="5428"/>
      <c r="Y328" s="5428"/>
    </row>
    <row customHeight="true" ht="18.452380952380953" r="329">
      <c r="A329" s="5431" t="s">
        <v>5547</v>
      </c>
      <c r="B329" s="5431">
        <v>46234</v>
      </c>
      <c r="C329" s="5431" t="str">
        <v>Friday</v>
      </c>
      <c r="D329" s="5433" t="s">
        <v>5548</v>
      </c>
      <c r="E329" s="5438">
        <f t="shared" si="77"/>
      </c>
      <c r="F329" s="5579" t="s">
        <v>5483</v>
      </c>
      <c r="G329" s="5467"/>
      <c r="H329" s="5438" t="s">
        <v>5299</v>
      </c>
      <c r="I329" s="5438"/>
      <c r="J329" s="5433" t="s">
        <v>5549</v>
      </c>
      <c r="K329" s="5426"/>
      <c r="L329" s="5426"/>
      <c r="M329" s="5426"/>
      <c r="N329" s="5426"/>
      <c r="O329" s="5426"/>
      <c r="P329" s="5426"/>
      <c r="Q329" s="5426"/>
      <c r="R329" s="5426"/>
      <c r="S329" s="5426"/>
      <c r="T329" s="5426"/>
      <c r="U329" s="5428"/>
      <c r="V329" s="5428"/>
      <c r="W329" s="5428"/>
      <c r="X329" s="5428"/>
      <c r="Y329" s="5428"/>
    </row>
    <row customHeight="true" ht="18.452380952380953" r="330">
      <c r="A330" s="5431" t="s">
        <v>5547</v>
      </c>
      <c r="B330" s="5432">
        <v>46236</v>
      </c>
      <c r="C330" s="5431" t="str">
        <v>Sunday</v>
      </c>
      <c r="D330" s="5433" t="s">
        <v>5550</v>
      </c>
      <c r="E330" s="5438">
        <f t="shared" si="77"/>
      </c>
      <c r="F330" s="5579" t="s">
        <v>5306</v>
      </c>
      <c r="G330" s="5467"/>
      <c r="H330" s="5438" t="s">
        <v>5299</v>
      </c>
      <c r="I330" s="5438"/>
      <c r="J330" s="5433" t="s">
        <v>5549</v>
      </c>
      <c r="K330" s="5426"/>
      <c r="L330" s="5426"/>
      <c r="M330" s="5426"/>
      <c r="N330" s="5426"/>
      <c r="O330" s="5426"/>
      <c r="P330" s="5426"/>
      <c r="Q330" s="5426"/>
      <c r="R330" s="5426"/>
      <c r="S330" s="5426"/>
      <c r="T330" s="5426"/>
      <c r="U330" s="5428"/>
      <c r="V330" s="5428"/>
      <c r="W330" s="5428"/>
      <c r="X330" s="5428"/>
      <c r="Y330" s="5428"/>
    </row>
    <row customHeight="true" ht="18.452380952380953" r="331">
      <c r="A331" s="5431"/>
      <c r="B331" s="5432"/>
      <c r="C331" s="5431"/>
      <c r="D331" s="5433"/>
      <c r="E331" s="5438"/>
      <c r="F331" s="5579"/>
      <c r="G331" s="5456"/>
      <c r="H331" s="5438"/>
      <c r="I331" s="5438"/>
      <c r="J331" s="5438"/>
      <c r="K331" s="5426"/>
      <c r="L331" s="5426"/>
      <c r="M331" s="5426"/>
      <c r="N331" s="5426"/>
      <c r="O331" s="5426"/>
      <c r="P331" s="5426"/>
      <c r="Q331" s="5426"/>
      <c r="R331" s="5426"/>
      <c r="S331" s="5426"/>
      <c r="T331" s="5426"/>
      <c r="U331" s="5428"/>
      <c r="V331" s="5428"/>
      <c r="W331" s="5428"/>
      <c r="X331" s="5428"/>
      <c r="Y331" s="5428"/>
    </row>
    <row r="332">
      <c r="A332" s="5428"/>
      <c r="B332" s="5428"/>
      <c r="C332" s="5428"/>
      <c r="D332" s="5428"/>
      <c r="E332" s="5428"/>
      <c r="F332" s="5428"/>
      <c r="G332" s="5428"/>
      <c r="H332" s="5428"/>
      <c r="I332" s="5428"/>
      <c r="J332" s="5428"/>
      <c r="K332" s="5428"/>
      <c r="L332" s="5428"/>
      <c r="M332" s="5428"/>
      <c r="N332" s="5428"/>
      <c r="O332" s="5428"/>
      <c r="P332" s="5428"/>
      <c r="Q332" s="5428"/>
      <c r="R332" s="5428"/>
      <c r="S332" s="5428"/>
      <c r="T332" s="5428"/>
      <c r="U332" s="5428"/>
      <c r="V332" s="5428"/>
      <c r="W332" s="5428"/>
      <c r="X332" s="5428"/>
      <c r="Y332" s="5428"/>
    </row>
    <row r="333">
      <c r="A333" s="5641" t="s">
        <v>5551</v>
      </c>
      <c r="B333" s="5641"/>
      <c r="C333" s="5641"/>
      <c r="D333" s="5641"/>
      <c r="E333" s="5641"/>
      <c r="F333" s="5641"/>
      <c r="G333" s="5641"/>
      <c r="H333" s="5641"/>
      <c r="I333" s="5641"/>
      <c r="J333" s="5641"/>
      <c r="K333" s="5642"/>
      <c r="L333" s="5642"/>
      <c r="M333" s="5642"/>
      <c r="N333" s="5642"/>
      <c r="O333" s="5642"/>
      <c r="P333" s="5642"/>
      <c r="Q333" s="5642"/>
      <c r="R333" s="5642"/>
      <c r="S333" s="5642"/>
      <c r="T333" s="5642"/>
      <c r="U333" s="5643"/>
      <c r="V333" s="5643"/>
      <c r="W333" s="5643"/>
      <c r="X333" s="5643"/>
      <c r="Y333" s="5643"/>
    </row>
    <row r="334">
      <c r="A334" s="5644" t="s">
        <v>5277</v>
      </c>
      <c r="B334" s="5645" t="s">
        <v>5278</v>
      </c>
      <c r="C334" s="5645"/>
      <c r="D334" s="5646" t="s">
        <v>5279</v>
      </c>
      <c r="E334" s="5646" t="s">
        <v>5280</v>
      </c>
      <c r="F334" s="5646" t="s">
        <v>5281</v>
      </c>
      <c r="G334" s="5647" t="s">
        <v>5294</v>
      </c>
      <c r="H334" s="5646" t="s">
        <v>5283</v>
      </c>
      <c r="I334" s="5646" t="s">
        <v>5284</v>
      </c>
      <c r="J334" s="5646" t="s">
        <v>5285</v>
      </c>
      <c r="K334" s="5642"/>
      <c r="L334" s="5642"/>
      <c r="M334" s="5642"/>
      <c r="N334" s="5642"/>
      <c r="O334" s="5642"/>
      <c r="P334" s="5642"/>
      <c r="Q334" s="5642"/>
      <c r="R334" s="5642"/>
      <c r="S334" s="5642"/>
      <c r="T334" s="5642"/>
      <c r="U334" s="5643"/>
      <c r="V334" s="5643"/>
      <c r="W334" s="5643"/>
      <c r="X334" s="5643"/>
      <c r="Y334" s="5643"/>
    </row>
    <row r="335">
      <c r="A335" s="5431" t="s">
        <v>5552</v>
      </c>
      <c r="B335" s="5432">
        <v>46230</v>
      </c>
      <c r="C335" s="5431" t="str">
        <v>Monday</v>
      </c>
      <c r="D335" s="5433" t="s">
        <v>5333</v>
      </c>
      <c r="E335" s="5433">
        <f t="shared" ref="E335:E352" si="78">24*MOD(TIMEVALUE(TRIM(MID(D335,FIND("-",D335)+1,LEN(D335)))) - TIMEVALUE(TRIM(LEFT(D335,FIND("-",D335)-1))),1)</f>
      </c>
      <c r="F335" s="5626" t="s">
        <v>5503</v>
      </c>
      <c r="G335" s="5456" t="s">
        <v>5534</v>
      </c>
      <c r="H335" s="5438"/>
      <c r="I335" s="5438" t="s">
        <v>5291</v>
      </c>
      <c r="J335" s="5438"/>
      <c r="K335" s="5426"/>
      <c r="L335" s="5426"/>
      <c r="M335" s="5426"/>
      <c r="N335" s="5426"/>
      <c r="O335" s="5426"/>
      <c r="P335" s="5426"/>
      <c r="Q335" s="5426"/>
      <c r="R335" s="5426"/>
      <c r="S335" s="5426"/>
      <c r="T335" s="5426"/>
      <c r="U335" s="5428"/>
      <c r="V335" s="5428"/>
      <c r="W335" s="5428"/>
      <c r="X335" s="5428"/>
      <c r="Y335" s="5428"/>
    </row>
    <row r="336">
      <c r="A336" s="5431" t="s">
        <v>5551</v>
      </c>
      <c r="B336" s="5432">
        <v>46231</v>
      </c>
      <c r="C336" s="5431" t="str">
        <v>Tuesday</v>
      </c>
      <c r="D336" s="5433" t="s">
        <v>5333</v>
      </c>
      <c r="E336" s="5433">
        <f t="shared" si="78"/>
      </c>
      <c r="F336" s="5626" t="s">
        <v>5525</v>
      </c>
      <c r="G336" s="5456" t="s">
        <v>5534</v>
      </c>
      <c r="H336" s="5438"/>
      <c r="I336" s="5438" t="s">
        <v>5268</v>
      </c>
      <c r="J336" s="5438"/>
      <c r="K336" s="5426"/>
      <c r="L336" s="5426"/>
      <c r="M336" s="5426"/>
      <c r="N336" s="5426"/>
      <c r="O336" s="5426"/>
      <c r="P336" s="5426"/>
      <c r="Q336" s="5426"/>
      <c r="R336" s="5426"/>
      <c r="S336" s="5426"/>
      <c r="T336" s="5426"/>
      <c r="U336" s="5428"/>
      <c r="V336" s="5428"/>
      <c r="W336" s="5428"/>
      <c r="X336" s="5428"/>
      <c r="Y336" s="5428"/>
    </row>
    <row r="337">
      <c r="A337" s="5431" t="s">
        <v>5551</v>
      </c>
      <c r="B337" s="5432">
        <v>46232</v>
      </c>
      <c r="C337" s="5431" t="str">
        <v>Wednesday</v>
      </c>
      <c r="D337" s="5433" t="s">
        <v>5343</v>
      </c>
      <c r="E337" s="5433">
        <f t="shared" si="78"/>
      </c>
      <c r="F337" s="5626" t="s">
        <v>5525</v>
      </c>
      <c r="G337" s="5456" t="s">
        <v>5534</v>
      </c>
      <c r="H337" s="5438"/>
      <c r="I337" s="5438" t="s">
        <v>5268</v>
      </c>
      <c r="J337" s="5438"/>
      <c r="K337" s="5426"/>
      <c r="L337" s="5426"/>
      <c r="M337" s="5426"/>
      <c r="N337" s="5426"/>
      <c r="O337" s="5426"/>
      <c r="P337" s="5426"/>
      <c r="Q337" s="5426"/>
      <c r="R337" s="5426"/>
      <c r="S337" s="5426"/>
      <c r="T337" s="5426"/>
      <c r="U337" s="5428"/>
      <c r="V337" s="5428"/>
      <c r="W337" s="5428"/>
      <c r="X337" s="5428"/>
      <c r="Y337" s="5428"/>
    </row>
    <row r="338">
      <c r="A338" s="5431" t="s">
        <v>5551</v>
      </c>
      <c r="B338" s="5432">
        <v>46233</v>
      </c>
      <c r="C338" s="5431" t="str">
        <v>Thursday</v>
      </c>
      <c r="D338" s="5433" t="s">
        <v>5553</v>
      </c>
      <c r="E338" s="5433">
        <f t="shared" si="78"/>
      </c>
      <c r="F338" s="5626" t="s">
        <v>5302</v>
      </c>
      <c r="G338" s="5456" t="s">
        <v>5414</v>
      </c>
      <c r="H338" s="5438"/>
      <c r="I338" s="5438" t="s">
        <v>5291</v>
      </c>
      <c r="J338" s="5438"/>
      <c r="K338" s="5426"/>
      <c r="L338" s="5426"/>
      <c r="M338" s="5426"/>
      <c r="N338" s="5426"/>
      <c r="O338" s="5426"/>
      <c r="P338" s="5426"/>
      <c r="Q338" s="5426"/>
      <c r="R338" s="5426"/>
      <c r="S338" s="5426"/>
      <c r="T338" s="5426"/>
      <c r="U338" s="5428"/>
      <c r="V338" s="5428"/>
      <c r="W338" s="5428"/>
      <c r="X338" s="5428"/>
      <c r="Y338" s="5428"/>
    </row>
    <row r="339">
      <c r="A339" s="5431" t="s">
        <v>5551</v>
      </c>
      <c r="B339" s="5432">
        <v>46234</v>
      </c>
      <c r="C339" s="5431" t="str">
        <v>Friday</v>
      </c>
      <c r="D339" s="5433" t="s">
        <v>5333</v>
      </c>
      <c r="E339" s="5433">
        <f t="shared" si="78"/>
      </c>
      <c r="F339" s="5626" t="s">
        <v>5302</v>
      </c>
      <c r="G339" s="5456" t="s">
        <v>5414</v>
      </c>
      <c r="H339" s="5438"/>
      <c r="I339" s="5438" t="s">
        <v>5291</v>
      </c>
      <c r="J339" s="5438"/>
      <c r="K339" s="5426"/>
      <c r="L339" s="5426"/>
      <c r="M339" s="5426"/>
      <c r="N339" s="5426"/>
      <c r="O339" s="5426"/>
      <c r="P339" s="5426"/>
      <c r="Q339" s="5426"/>
      <c r="R339" s="5426"/>
      <c r="S339" s="5426"/>
      <c r="T339" s="5426"/>
      <c r="U339" s="5428"/>
      <c r="V339" s="5428"/>
      <c r="W339" s="5428"/>
      <c r="X339" s="5428"/>
      <c r="Y339" s="5428"/>
    </row>
    <row customHeight="true" ht="22.61904761904762" r="340">
      <c r="A340" s="5431" t="s">
        <v>5551</v>
      </c>
      <c r="B340" s="5432">
        <v>46235</v>
      </c>
      <c r="C340" s="5431" t="str">
        <v>Saturday</v>
      </c>
      <c r="D340" s="5433" t="s">
        <v>5346</v>
      </c>
      <c r="E340" s="5433">
        <f t="shared" si="78"/>
      </c>
      <c r="F340" s="5626" t="s">
        <v>5503</v>
      </c>
      <c r="G340" s="5456" t="s">
        <v>5414</v>
      </c>
      <c r="H340" s="5438"/>
      <c r="I340" s="5438" t="s">
        <v>5291</v>
      </c>
      <c r="J340" s="5438"/>
      <c r="K340" s="5426"/>
      <c r="L340" s="5426"/>
      <c r="M340" s="5426"/>
      <c r="N340" s="5426"/>
      <c r="O340" s="5426"/>
      <c r="P340" s="5426"/>
      <c r="Q340" s="5426"/>
      <c r="R340" s="5426"/>
      <c r="S340" s="5426"/>
      <c r="T340" s="5426"/>
      <c r="U340" s="5428"/>
      <c r="V340" s="5428"/>
      <c r="W340" s="5428"/>
      <c r="X340" s="5428"/>
      <c r="Y340" s="5428"/>
    </row>
    <row r="341">
      <c r="A341" s="5431" t="s">
        <v>5551</v>
      </c>
      <c r="B341" s="5432">
        <v>46236</v>
      </c>
      <c r="C341" s="5431" t="str">
        <v>Sunday</v>
      </c>
      <c r="D341" s="5433" t="s">
        <v>5343</v>
      </c>
      <c r="E341" s="5433">
        <f t="shared" si="78"/>
      </c>
      <c r="F341" s="5626" t="s">
        <v>5503</v>
      </c>
      <c r="G341" s="5456" t="s">
        <v>5414</v>
      </c>
      <c r="H341" s="5438"/>
      <c r="I341" s="5438" t="s">
        <v>5291</v>
      </c>
      <c r="J341" s="5438"/>
      <c r="K341" s="5426"/>
      <c r="L341" s="5426"/>
      <c r="M341" s="5426"/>
      <c r="N341" s="5426"/>
      <c r="O341" s="5426"/>
      <c r="P341" s="5426"/>
      <c r="Q341" s="5426"/>
      <c r="R341" s="5426"/>
      <c r="S341" s="5426"/>
      <c r="T341" s="5426"/>
      <c r="U341" s="5428"/>
      <c r="V341" s="5428"/>
      <c r="W341" s="5428"/>
      <c r="X341" s="5428"/>
      <c r="Y341" s="5428"/>
    </row>
    <row customHeight="true" ht="20.238095238095237" r="342">
      <c r="A342" s="5431" t="s">
        <v>5554</v>
      </c>
      <c r="B342" s="5432">
        <v>46230</v>
      </c>
      <c r="C342" s="5431" t="str">
        <v>Monday</v>
      </c>
      <c r="D342" s="5433" t="s">
        <v>5555</v>
      </c>
      <c r="E342" s="5433">
        <f t="shared" si="78"/>
      </c>
      <c r="F342" s="5579" t="s">
        <v>5534</v>
      </c>
      <c r="G342" s="5456"/>
      <c r="H342" s="5438"/>
      <c r="I342" s="5438" t="s">
        <v>5291</v>
      </c>
      <c r="J342" s="5438"/>
      <c r="K342" s="5426"/>
      <c r="L342" s="5426"/>
      <c r="M342" s="5426"/>
      <c r="N342" s="5426"/>
      <c r="O342" s="5426"/>
      <c r="P342" s="5426"/>
      <c r="Q342" s="5426"/>
      <c r="R342" s="5426"/>
      <c r="S342" s="5426"/>
      <c r="T342" s="5426"/>
      <c r="U342" s="5428"/>
      <c r="V342" s="5428"/>
      <c r="W342" s="5428"/>
      <c r="X342" s="5428"/>
      <c r="Y342" s="5428"/>
    </row>
    <row customHeight="true" ht="20.238095238095237" r="343">
      <c r="A343" s="5431" t="s">
        <v>5554</v>
      </c>
      <c r="B343" s="5432">
        <v>46231</v>
      </c>
      <c r="C343" s="5431" t="str">
        <v>Tuesday</v>
      </c>
      <c r="D343" s="5433" t="s">
        <v>5556</v>
      </c>
      <c r="E343" s="5433">
        <f t="shared" si="78"/>
      </c>
      <c r="F343" s="5579" t="s">
        <v>5534</v>
      </c>
      <c r="G343" s="5456"/>
      <c r="H343" s="5438"/>
      <c r="I343" s="5438" t="s">
        <v>5291</v>
      </c>
      <c r="J343" s="5438"/>
      <c r="K343" s="5426"/>
      <c r="L343" s="5426"/>
      <c r="M343" s="5426"/>
      <c r="N343" s="5426"/>
      <c r="O343" s="5426"/>
      <c r="P343" s="5426"/>
      <c r="Q343" s="5426"/>
      <c r="R343" s="5426"/>
      <c r="S343" s="5426"/>
      <c r="T343" s="5426"/>
      <c r="U343" s="5428"/>
      <c r="V343" s="5428"/>
      <c r="W343" s="5428"/>
      <c r="X343" s="5428"/>
      <c r="Y343" s="5428"/>
    </row>
    <row customHeight="true" ht="20.238095238095237" r="344">
      <c r="A344" s="5431" t="s">
        <v>5554</v>
      </c>
      <c r="B344" s="5432">
        <v>46232</v>
      </c>
      <c r="C344" s="5431" t="str">
        <v>Wednesday</v>
      </c>
      <c r="D344" s="5633" t="s">
        <v>5476</v>
      </c>
      <c r="E344" s="5433">
        <f t="shared" si="78"/>
      </c>
      <c r="F344" s="5579" t="s">
        <v>5534</v>
      </c>
      <c r="G344" s="5456"/>
      <c r="H344" s="5438"/>
      <c r="I344" s="5438" t="s">
        <v>5291</v>
      </c>
      <c r="J344" s="5633" t="s">
        <v>5557</v>
      </c>
      <c r="K344" s="5426"/>
      <c r="L344" s="5426"/>
      <c r="M344" s="5426"/>
      <c r="N344" s="5426"/>
      <c r="O344" s="5426"/>
      <c r="P344" s="5426"/>
      <c r="Q344" s="5426"/>
      <c r="R344" s="5426"/>
      <c r="S344" s="5426"/>
      <c r="T344" s="5426"/>
      <c r="U344" s="5428"/>
      <c r="V344" s="5428"/>
      <c r="W344" s="5428"/>
      <c r="X344" s="5428"/>
      <c r="Y344" s="5428"/>
    </row>
    <row customHeight="true" ht="20.238095238095237" r="345">
      <c r="A345" s="5431" t="s">
        <v>5554</v>
      </c>
      <c r="B345" s="5432">
        <v>46233</v>
      </c>
      <c r="C345" s="5431" t="str">
        <v>Thursday</v>
      </c>
      <c r="D345" s="5433" t="s">
        <v>5558</v>
      </c>
      <c r="E345" s="5433">
        <f t="shared" si="78"/>
      </c>
      <c r="F345" s="5437" t="s">
        <v>5427</v>
      </c>
      <c r="G345" s="5456"/>
      <c r="H345" s="5438"/>
      <c r="I345" s="5438" t="s">
        <v>5291</v>
      </c>
      <c r="J345" s="5438"/>
      <c r="K345" s="5426"/>
      <c r="L345" s="5426"/>
      <c r="M345" s="5426"/>
      <c r="N345" s="5426"/>
      <c r="O345" s="5426"/>
      <c r="P345" s="5426"/>
      <c r="Q345" s="5426"/>
      <c r="R345" s="5426"/>
      <c r="S345" s="5426"/>
      <c r="T345" s="5426"/>
      <c r="U345" s="5428"/>
      <c r="V345" s="5428"/>
      <c r="W345" s="5428"/>
      <c r="X345" s="5428"/>
      <c r="Y345" s="5428"/>
    </row>
    <row r="346">
      <c r="A346" s="5431" t="s">
        <v>5554</v>
      </c>
      <c r="B346" s="5432">
        <v>46233</v>
      </c>
      <c r="C346" s="5431" t="str">
        <v>Thursday</v>
      </c>
      <c r="D346" s="5633" t="s">
        <v>5559</v>
      </c>
      <c r="E346" s="5433">
        <f t="shared" si="78"/>
      </c>
      <c r="F346" s="5579" t="s">
        <v>5534</v>
      </c>
      <c r="G346" s="5456"/>
      <c r="H346" s="5438"/>
      <c r="I346" s="5438"/>
      <c r="J346" s="5633" t="s">
        <v>5560</v>
      </c>
      <c r="K346" s="5426"/>
      <c r="L346" s="5426"/>
      <c r="M346" s="5426"/>
      <c r="N346" s="5426"/>
      <c r="O346" s="5426"/>
      <c r="P346" s="5426"/>
      <c r="Q346" s="5426"/>
      <c r="R346" s="5426"/>
      <c r="S346" s="5426"/>
      <c r="T346" s="5426"/>
      <c r="U346" s="5428"/>
      <c r="V346" s="5428"/>
      <c r="W346" s="5428"/>
      <c r="X346" s="5428"/>
      <c r="Y346" s="5428"/>
    </row>
    <row customHeight="true" ht="20.238095238095237" r="347">
      <c r="A347" s="5431" t="s">
        <v>5554</v>
      </c>
      <c r="B347" s="5432">
        <v>46232</v>
      </c>
      <c r="C347" s="5431" t="str">
        <v>Wednesday</v>
      </c>
      <c r="D347" s="5433" t="s">
        <v>5561</v>
      </c>
      <c r="E347" s="5433">
        <f t="shared" si="78"/>
      </c>
      <c r="F347" s="5437" t="s">
        <v>5427</v>
      </c>
      <c r="G347" s="5456"/>
      <c r="H347" s="5438"/>
      <c r="I347" s="5438"/>
      <c r="J347" s="5633" t="s">
        <v>5562</v>
      </c>
      <c r="K347" s="5426"/>
      <c r="L347" s="5426"/>
      <c r="M347" s="5426"/>
      <c r="N347" s="5426"/>
      <c r="O347" s="5426"/>
      <c r="P347" s="5426"/>
      <c r="Q347" s="5426"/>
      <c r="R347" s="5426"/>
      <c r="S347" s="5426"/>
      <c r="T347" s="5426"/>
      <c r="U347" s="5428"/>
      <c r="V347" s="5428"/>
      <c r="W347" s="5428"/>
      <c r="X347" s="5428"/>
      <c r="Y347" s="5428"/>
    </row>
    <row customHeight="true" ht="20.238095238095237" r="348">
      <c r="A348" s="5431" t="s">
        <v>5554</v>
      </c>
      <c r="B348" s="5432">
        <v>46234</v>
      </c>
      <c r="C348" s="5431" t="str">
        <v>Friday</v>
      </c>
      <c r="D348" s="5433" t="s">
        <v>5563</v>
      </c>
      <c r="E348" s="5433">
        <f t="shared" si="78"/>
      </c>
      <c r="F348" s="5437" t="s">
        <v>5427</v>
      </c>
      <c r="G348" s="5456"/>
      <c r="H348" s="5438"/>
      <c r="I348" s="5438" t="s">
        <v>5291</v>
      </c>
      <c r="J348" s="5438"/>
      <c r="K348" s="5426"/>
      <c r="L348" s="5426"/>
      <c r="M348" s="5426"/>
      <c r="N348" s="5426"/>
      <c r="O348" s="5426"/>
      <c r="P348" s="5426"/>
      <c r="Q348" s="5426"/>
      <c r="R348" s="5426"/>
      <c r="S348" s="5426"/>
      <c r="T348" s="5426"/>
      <c r="U348" s="5428"/>
      <c r="V348" s="5428"/>
      <c r="W348" s="5428"/>
      <c r="X348" s="5428"/>
      <c r="Y348" s="5428"/>
    </row>
    <row r="349">
      <c r="A349" s="5431" t="s">
        <v>5554</v>
      </c>
      <c r="B349" s="5432">
        <v>46234</v>
      </c>
      <c r="C349" s="5431" t="str">
        <v>Friday</v>
      </c>
      <c r="D349" s="5633" t="s">
        <v>5564</v>
      </c>
      <c r="E349" s="5433">
        <f t="shared" si="78"/>
      </c>
      <c r="F349" s="5579" t="s">
        <v>5534</v>
      </c>
      <c r="G349" s="5456"/>
      <c r="H349" s="5438"/>
      <c r="I349" s="5438"/>
      <c r="J349" s="5633" t="s">
        <v>5560</v>
      </c>
      <c r="K349" s="5426"/>
      <c r="L349" s="5426"/>
      <c r="M349" s="5426"/>
      <c r="N349" s="5426"/>
      <c r="O349" s="5426"/>
      <c r="P349" s="5426"/>
      <c r="Q349" s="5426"/>
      <c r="R349" s="5426"/>
      <c r="S349" s="5426"/>
      <c r="T349" s="5426"/>
      <c r="U349" s="5428"/>
      <c r="V349" s="5428"/>
      <c r="W349" s="5428"/>
      <c r="X349" s="5428"/>
      <c r="Y349" s="5428"/>
    </row>
    <row customHeight="true" ht="20.238095238095237" r="350">
      <c r="A350" s="5431" t="s">
        <v>5554</v>
      </c>
      <c r="B350" s="5431">
        <v>46235</v>
      </c>
      <c r="C350" s="5431" t="str">
        <v>Saturday</v>
      </c>
      <c r="D350" s="5433" t="s">
        <v>5565</v>
      </c>
      <c r="E350" s="5433">
        <f t="shared" si="78"/>
      </c>
      <c r="F350" s="5579" t="s">
        <v>5534</v>
      </c>
      <c r="G350" s="5467"/>
      <c r="H350" s="5438"/>
      <c r="I350" s="5438" t="s">
        <v>5291</v>
      </c>
      <c r="J350" s="5438"/>
      <c r="K350" s="5426"/>
      <c r="L350" s="5426"/>
      <c r="M350" s="5426"/>
      <c r="N350" s="5426"/>
      <c r="O350" s="5426"/>
      <c r="P350" s="5426"/>
      <c r="Q350" s="5426"/>
      <c r="R350" s="5426"/>
      <c r="S350" s="5426"/>
      <c r="T350" s="5426"/>
      <c r="U350" s="5428"/>
      <c r="V350" s="5428"/>
      <c r="W350" s="5428"/>
      <c r="X350" s="5428"/>
      <c r="Y350" s="5428"/>
    </row>
    <row customHeight="true" ht="20.238095238095237" r="351">
      <c r="A351" s="5431" t="s">
        <v>5554</v>
      </c>
      <c r="B351" s="5432">
        <v>46235</v>
      </c>
      <c r="C351" s="5431" t="str">
        <v>Saturday</v>
      </c>
      <c r="D351" s="5433" t="s">
        <v>5566</v>
      </c>
      <c r="E351" s="5433">
        <f t="shared" si="78"/>
      </c>
      <c r="F351" s="5437" t="s">
        <v>5427</v>
      </c>
      <c r="G351" s="5456"/>
      <c r="H351" s="5438"/>
      <c r="I351" s="5438" t="s">
        <v>5291</v>
      </c>
      <c r="J351" s="5438"/>
      <c r="K351" s="5426"/>
      <c r="L351" s="5426"/>
      <c r="M351" s="5426"/>
      <c r="N351" s="5426"/>
      <c r="O351" s="5426"/>
      <c r="P351" s="5426"/>
      <c r="Q351" s="5426"/>
      <c r="R351" s="5426"/>
      <c r="S351" s="5426"/>
      <c r="T351" s="5426"/>
      <c r="U351" s="5428"/>
      <c r="V351" s="5428"/>
      <c r="W351" s="5428"/>
      <c r="X351" s="5428"/>
      <c r="Y351" s="5428"/>
    </row>
    <row customHeight="true" ht="20.238095238095237" r="352">
      <c r="A352" s="5431" t="s">
        <v>5554</v>
      </c>
      <c r="B352" s="5432">
        <v>46236</v>
      </c>
      <c r="C352" s="5431" t="str">
        <v>Sunday</v>
      </c>
      <c r="D352" s="5433" t="s">
        <v>5567</v>
      </c>
      <c r="E352" s="5433">
        <f t="shared" si="78"/>
      </c>
      <c r="F352" s="5437" t="s">
        <v>5427</v>
      </c>
      <c r="G352" s="5456"/>
      <c r="H352" s="5438"/>
      <c r="I352" s="5438" t="s">
        <v>5291</v>
      </c>
      <c r="J352" s="5438"/>
      <c r="K352" s="5426"/>
      <c r="L352" s="5426"/>
      <c r="M352" s="5426"/>
      <c r="N352" s="5426"/>
      <c r="O352" s="5426"/>
      <c r="P352" s="5426"/>
      <c r="Q352" s="5426"/>
      <c r="R352" s="5426"/>
      <c r="S352" s="5426"/>
      <c r="T352" s="5426"/>
      <c r="U352" s="5428"/>
      <c r="V352" s="5428"/>
      <c r="W352" s="5428"/>
      <c r="X352" s="5428"/>
      <c r="Y352" s="5428"/>
    </row>
    <row r="353">
      <c r="A353" s="5428"/>
      <c r="B353" s="5428"/>
      <c r="C353" s="5428"/>
      <c r="D353" s="5428"/>
      <c r="E353" s="5428"/>
      <c r="F353" s="5428"/>
      <c r="G353" s="5428"/>
      <c r="H353" s="5619"/>
      <c r="I353" s="5428"/>
      <c r="J353" s="5428"/>
      <c r="K353" s="5428"/>
      <c r="L353" s="5428"/>
      <c r="M353" s="5428"/>
      <c r="N353" s="5428"/>
      <c r="O353" s="5428"/>
      <c r="P353" s="5428"/>
      <c r="Q353" s="5428"/>
      <c r="R353" s="5428"/>
      <c r="S353" s="5428"/>
      <c r="T353" s="5428"/>
      <c r="U353" s="5428"/>
      <c r="V353" s="5428"/>
      <c r="W353" s="5428"/>
      <c r="X353" s="5428"/>
      <c r="Y353" s="5428"/>
    </row>
    <row r="354">
      <c r="A354" s="5429" t="s">
        <v>5568</v>
      </c>
      <c r="B354" s="5429"/>
      <c r="C354" s="5429"/>
      <c r="D354" s="5429"/>
      <c r="E354" s="5429"/>
      <c r="F354" s="5429"/>
      <c r="G354" s="5429"/>
      <c r="H354" s="5429"/>
      <c r="I354" s="5429"/>
      <c r="J354" s="5429"/>
      <c r="K354" s="5426"/>
      <c r="L354" s="5426"/>
      <c r="M354" s="5426"/>
      <c r="N354" s="5426"/>
      <c r="O354" s="5426"/>
      <c r="P354" s="5426"/>
      <c r="Q354" s="5426"/>
      <c r="R354" s="5426"/>
      <c r="S354" s="5426"/>
      <c r="T354" s="5426"/>
      <c r="U354" s="5428"/>
      <c r="V354" s="5428"/>
      <c r="W354" s="5428"/>
      <c r="X354" s="5428"/>
      <c r="Y354" s="5428"/>
    </row>
    <row r="355">
      <c r="A355" s="5648" t="s">
        <v>5569</v>
      </c>
      <c r="B355" s="5648"/>
      <c r="C355" s="5648"/>
      <c r="D355" s="5648"/>
      <c r="E355" s="5648"/>
      <c r="F355" s="5648"/>
      <c r="G355" s="5648"/>
      <c r="H355" s="5648"/>
      <c r="I355" s="5648"/>
      <c r="J355" s="5648"/>
      <c r="K355" s="5426"/>
      <c r="L355" s="5426"/>
      <c r="M355" s="5426"/>
      <c r="N355" s="5426"/>
      <c r="O355" s="5426"/>
      <c r="P355" s="5426"/>
      <c r="Q355" s="5426"/>
      <c r="R355" s="5426"/>
      <c r="S355" s="5426"/>
      <c r="T355" s="5426"/>
      <c r="U355" s="5428"/>
      <c r="V355" s="5428"/>
      <c r="W355" s="5428"/>
      <c r="X355" s="5428"/>
      <c r="Y355" s="5428"/>
    </row>
    <row r="356">
      <c r="A356" s="5649" t="s">
        <v>5277</v>
      </c>
      <c r="B356" s="5594" t="s">
        <v>5278</v>
      </c>
      <c r="C356" s="5594"/>
      <c r="D356" s="5596" t="s">
        <v>5279</v>
      </c>
      <c r="E356" s="5599" t="s">
        <v>5280</v>
      </c>
      <c r="F356" s="5599" t="s">
        <v>5281</v>
      </c>
      <c r="G356" s="5650" t="s">
        <v>5294</v>
      </c>
      <c r="H356" s="5599" t="s">
        <v>5283</v>
      </c>
      <c r="I356" s="5599" t="s">
        <v>5284</v>
      </c>
      <c r="J356" s="5599" t="s">
        <v>5285</v>
      </c>
      <c r="K356" s="5426"/>
      <c r="L356" s="5426"/>
      <c r="M356" s="5426"/>
      <c r="N356" s="5426"/>
      <c r="O356" s="5426"/>
      <c r="P356" s="5426"/>
      <c r="Q356" s="5426"/>
      <c r="R356" s="5426"/>
      <c r="S356" s="5426"/>
      <c r="T356" s="5428"/>
      <c r="U356" s="5428"/>
      <c r="V356" s="5428"/>
      <c r="W356" s="5428"/>
      <c r="X356" s="5428"/>
      <c r="Y356" s="5428"/>
    </row>
    <row r="357">
      <c r="A357" s="5431" t="s">
        <v>5570</v>
      </c>
      <c r="B357" s="5431">
        <v>46230</v>
      </c>
      <c r="C357" s="5431" t="str">
        <v>Monday</v>
      </c>
      <c r="D357" s="5433" t="s">
        <v>5571</v>
      </c>
      <c r="E357" s="5437">
        <f t="shared" ref="E357:E371" si="79">24*MOD(TIMEVALUE(TRIM(MID(D357,FIND("-",D357)+1,LEN(D357)))) - TIMEVALUE(TRIM(LEFT(D357,FIND("-",D357)-1))),1)</f>
      </c>
      <c r="F357" s="5438" t="s">
        <v>5572</v>
      </c>
      <c r="G357" s="5497" t="s">
        <v>5573</v>
      </c>
      <c r="H357" s="5437" t="s">
        <v>5299</v>
      </c>
      <c r="I357" s="5438" t="s">
        <v>5268</v>
      </c>
      <c r="J357" s="5437"/>
      <c r="K357" s="5426"/>
      <c r="L357" s="5426"/>
      <c r="M357" s="5426"/>
      <c r="N357" s="5426"/>
      <c r="O357" s="5426"/>
      <c r="P357" s="5426"/>
      <c r="Q357" s="5426"/>
      <c r="R357" s="5426"/>
      <c r="S357" s="5426"/>
      <c r="T357" s="5426"/>
      <c r="U357" s="5428"/>
      <c r="V357" s="5428"/>
      <c r="W357" s="5428"/>
      <c r="X357" s="5428"/>
      <c r="Y357" s="5428"/>
    </row>
    <row customHeight="true" ht="18.452380952380953" r="358">
      <c r="A358" s="5431" t="s">
        <v>5570</v>
      </c>
      <c r="B358" s="5431">
        <v>46230</v>
      </c>
      <c r="C358" s="5431" t="str">
        <v>Monday</v>
      </c>
      <c r="D358" s="5433" t="s">
        <v>5346</v>
      </c>
      <c r="E358" s="5437">
        <f t="shared" si="79"/>
      </c>
      <c r="F358" s="5438" t="s">
        <v>5574</v>
      </c>
      <c r="G358" s="5497" t="s">
        <v>5575</v>
      </c>
      <c r="H358" s="5437" t="s">
        <v>5299</v>
      </c>
      <c r="I358" s="5438" t="s">
        <v>5291</v>
      </c>
      <c r="J358" s="5437"/>
      <c r="K358" s="5426"/>
      <c r="L358" s="5426"/>
      <c r="M358" s="5426"/>
      <c r="N358" s="5426"/>
      <c r="O358" s="5426"/>
      <c r="P358" s="5426"/>
      <c r="Q358" s="5426"/>
      <c r="R358" s="5426"/>
      <c r="S358" s="5426"/>
      <c r="T358" s="5426"/>
      <c r="U358" s="5428"/>
      <c r="V358" s="5428"/>
      <c r="W358" s="5428"/>
      <c r="X358" s="5428"/>
      <c r="Y358" s="5428"/>
    </row>
    <row r="359">
      <c r="A359" s="5431" t="s">
        <v>5570</v>
      </c>
      <c r="B359" s="5431">
        <v>46230</v>
      </c>
      <c r="C359" s="5431" t="str">
        <v>Monday</v>
      </c>
      <c r="D359" s="5438" t="s">
        <v>5438</v>
      </c>
      <c r="E359" s="5437">
        <f t="shared" si="79"/>
      </c>
      <c r="F359" s="5438" t="s">
        <v>5572</v>
      </c>
      <c r="G359" s="5651" t="s">
        <v>5576</v>
      </c>
      <c r="H359" s="5437" t="s">
        <v>5299</v>
      </c>
      <c r="I359" s="5438" t="s">
        <v>5268</v>
      </c>
      <c r="J359" s="5437"/>
      <c r="K359" s="5426"/>
      <c r="L359" s="5426"/>
      <c r="M359" s="5426"/>
      <c r="N359" s="5426"/>
      <c r="O359" s="5426"/>
      <c r="P359" s="5426"/>
      <c r="Q359" s="5426"/>
      <c r="R359" s="5426"/>
      <c r="S359" s="5426"/>
      <c r="T359" s="5426"/>
      <c r="U359" s="5428"/>
      <c r="V359" s="5428"/>
      <c r="W359" s="5428"/>
      <c r="X359" s="5428"/>
      <c r="Y359" s="5428"/>
    </row>
    <row r="360">
      <c r="A360" s="5431" t="s">
        <v>5570</v>
      </c>
      <c r="B360" s="5431">
        <v>46230</v>
      </c>
      <c r="C360" s="5431" t="str">
        <v>Monday</v>
      </c>
      <c r="D360" s="5433" t="s">
        <v>5415</v>
      </c>
      <c r="E360" s="5437">
        <f t="shared" si="79"/>
      </c>
      <c r="F360" s="5438" t="s">
        <v>5577</v>
      </c>
      <c r="G360" s="5497" t="s">
        <v>5578</v>
      </c>
      <c r="H360" s="5437" t="s">
        <v>5299</v>
      </c>
      <c r="I360" s="5438" t="s">
        <v>5268</v>
      </c>
      <c r="J360" s="5437"/>
      <c r="K360" s="5426"/>
      <c r="L360" s="5426"/>
      <c r="M360" s="5426"/>
      <c r="N360" s="5426"/>
      <c r="O360" s="5426"/>
      <c r="P360" s="5426"/>
      <c r="Q360" s="5426"/>
      <c r="R360" s="5426"/>
      <c r="S360" s="5426"/>
      <c r="T360" s="5426"/>
      <c r="U360" s="5428"/>
      <c r="V360" s="5428"/>
      <c r="W360" s="5428"/>
      <c r="X360" s="5428"/>
      <c r="Y360" s="5428"/>
    </row>
    <row r="361">
      <c r="A361" s="5431" t="s">
        <v>5570</v>
      </c>
      <c r="B361" s="5431">
        <v>46230</v>
      </c>
      <c r="C361" s="5431" t="str">
        <v>Monday</v>
      </c>
      <c r="D361" s="5433" t="s">
        <v>5452</v>
      </c>
      <c r="E361" s="5437">
        <f t="shared" si="79"/>
      </c>
      <c r="F361" s="5438" t="s">
        <v>5579</v>
      </c>
      <c r="G361" s="5497" t="s">
        <v>5580</v>
      </c>
      <c r="H361" s="5437" t="s">
        <v>5299</v>
      </c>
      <c r="I361" s="5438" t="s">
        <v>5268</v>
      </c>
      <c r="J361" s="5437"/>
      <c r="K361" s="5426"/>
      <c r="L361" s="5426"/>
      <c r="M361" s="5426"/>
      <c r="N361" s="5426"/>
      <c r="O361" s="5426"/>
      <c r="P361" s="5426"/>
      <c r="Q361" s="5426"/>
      <c r="R361" s="5426"/>
      <c r="S361" s="5426"/>
      <c r="T361" s="5426"/>
      <c r="U361" s="5428"/>
      <c r="V361" s="5428"/>
      <c r="W361" s="5428"/>
      <c r="X361" s="5428"/>
      <c r="Y361" s="5428"/>
    </row>
    <row r="362">
      <c r="A362" s="5431" t="s">
        <v>5570</v>
      </c>
      <c r="B362" s="5431">
        <v>46230</v>
      </c>
      <c r="C362" s="5431" t="str">
        <v>Monday</v>
      </c>
      <c r="D362" s="5433" t="s">
        <v>5581</v>
      </c>
      <c r="E362" s="5437">
        <f t="shared" si="79"/>
      </c>
      <c r="F362" s="5438" t="s">
        <v>5582</v>
      </c>
      <c r="G362" s="5497" t="s">
        <v>5583</v>
      </c>
      <c r="H362" s="5437" t="s">
        <v>5299</v>
      </c>
      <c r="I362" s="5438" t="s">
        <v>5268</v>
      </c>
      <c r="J362" s="5437"/>
      <c r="K362" s="5426"/>
      <c r="L362" s="5426"/>
      <c r="M362" s="5426"/>
      <c r="N362" s="5426"/>
      <c r="O362" s="5426"/>
      <c r="P362" s="5426"/>
      <c r="Q362" s="5426"/>
      <c r="R362" s="5426"/>
      <c r="S362" s="5426"/>
      <c r="T362" s="5426"/>
      <c r="U362" s="5428"/>
      <c r="V362" s="5428"/>
      <c r="W362" s="5428"/>
      <c r="X362" s="5428"/>
      <c r="Y362" s="5428"/>
    </row>
    <row customHeight="true" ht="18.452380952380953" r="363">
      <c r="A363" s="5431" t="s">
        <v>5584</v>
      </c>
      <c r="B363" s="5431">
        <v>46230</v>
      </c>
      <c r="C363" s="5431" t="str">
        <v>Monday</v>
      </c>
      <c r="D363" s="5652" t="s">
        <v>5585</v>
      </c>
      <c r="E363" s="5501">
        <f t="shared" si="79"/>
      </c>
      <c r="F363" s="5501" t="s">
        <v>5586</v>
      </c>
      <c r="G363" s="5653"/>
      <c r="H363" s="5437" t="s">
        <v>5299</v>
      </c>
      <c r="I363" s="5438" t="s">
        <v>5268</v>
      </c>
      <c r="J363" s="5501"/>
      <c r="K363" s="5654"/>
      <c r="L363" s="5654"/>
      <c r="M363" s="5654"/>
      <c r="N363" s="5654"/>
      <c r="O363" s="5654"/>
      <c r="P363" s="5654"/>
      <c r="Q363" s="5654"/>
      <c r="R363" s="5654"/>
      <c r="S363" s="5654"/>
      <c r="T363" s="5654"/>
      <c r="U363" s="5655"/>
      <c r="V363" s="5655"/>
      <c r="W363" s="5655"/>
      <c r="X363" s="5655"/>
      <c r="Y363" s="5655"/>
    </row>
    <row r="364">
      <c r="A364" s="5431" t="s">
        <v>5584</v>
      </c>
      <c r="B364" s="5431">
        <v>46230</v>
      </c>
      <c r="C364" s="5431" t="str">
        <v>Monday</v>
      </c>
      <c r="D364" s="5652" t="s">
        <v>5587</v>
      </c>
      <c r="E364" s="5501">
        <f t="shared" si="79"/>
      </c>
      <c r="F364" s="5513" t="s">
        <v>5384</v>
      </c>
      <c r="G364" s="5653"/>
      <c r="H364" s="5437" t="s">
        <v>5299</v>
      </c>
      <c r="I364" s="5438" t="s">
        <v>5268</v>
      </c>
      <c r="J364" s="5501"/>
      <c r="K364" s="5654"/>
      <c r="L364" s="5654"/>
      <c r="M364" s="5654"/>
      <c r="N364" s="5654"/>
      <c r="O364" s="5654"/>
      <c r="P364" s="5654"/>
      <c r="Q364" s="5654"/>
      <c r="R364" s="5654"/>
      <c r="S364" s="5654"/>
      <c r="T364" s="5654"/>
      <c r="U364" s="5655"/>
      <c r="V364" s="5655"/>
      <c r="W364" s="5655"/>
      <c r="X364" s="5655"/>
      <c r="Y364" s="5655"/>
    </row>
    <row customHeight="true" ht="18.452380952380953" r="365">
      <c r="A365" s="5431" t="s">
        <v>5584</v>
      </c>
      <c r="B365" s="5431">
        <v>46230</v>
      </c>
      <c r="C365" s="5431" t="str">
        <v>Monday</v>
      </c>
      <c r="D365" s="5652" t="s">
        <v>5312</v>
      </c>
      <c r="E365" s="5501">
        <f t="shared" si="79"/>
      </c>
      <c r="F365" s="5513" t="s">
        <v>5308</v>
      </c>
      <c r="G365" s="5653"/>
      <c r="H365" s="5437" t="s">
        <v>5299</v>
      </c>
      <c r="I365" s="5438" t="s">
        <v>5268</v>
      </c>
      <c r="J365" s="5501"/>
      <c r="K365" s="5654"/>
      <c r="L365" s="5654"/>
      <c r="M365" s="5654"/>
      <c r="N365" s="5654"/>
      <c r="O365" s="5654"/>
      <c r="P365" s="5654"/>
      <c r="Q365" s="5654"/>
      <c r="R365" s="5654"/>
      <c r="S365" s="5654"/>
      <c r="T365" s="5654"/>
      <c r="U365" s="5655"/>
      <c r="V365" s="5655"/>
      <c r="W365" s="5655"/>
      <c r="X365" s="5655"/>
      <c r="Y365" s="5655"/>
    </row>
    <row customHeight="true" ht="18.452380952380953" r="366">
      <c r="A366" s="5431" t="s">
        <v>5584</v>
      </c>
      <c r="B366" s="5431">
        <v>46230</v>
      </c>
      <c r="C366" s="5431" t="str">
        <v>Monday</v>
      </c>
      <c r="D366" s="5433" t="s">
        <v>5452</v>
      </c>
      <c r="E366" s="5501">
        <f t="shared" si="79"/>
      </c>
      <c r="F366" s="5513" t="s">
        <v>5384</v>
      </c>
      <c r="G366" s="5653"/>
      <c r="H366" s="5437" t="s">
        <v>5299</v>
      </c>
      <c r="I366" s="5438" t="s">
        <v>5268</v>
      </c>
      <c r="J366" s="5501"/>
      <c r="K366" s="5654"/>
      <c r="L366" s="5654"/>
      <c r="M366" s="5654"/>
      <c r="N366" s="5654"/>
      <c r="O366" s="5654"/>
      <c r="P366" s="5654"/>
      <c r="Q366" s="5654"/>
      <c r="R366" s="5654"/>
      <c r="S366" s="5654"/>
      <c r="T366" s="5654"/>
      <c r="U366" s="5655"/>
      <c r="V366" s="5655"/>
      <c r="W366" s="5655"/>
      <c r="X366" s="5655"/>
      <c r="Y366" s="5655"/>
    </row>
    <row r="367">
      <c r="A367" s="5431" t="s">
        <v>5584</v>
      </c>
      <c r="B367" s="5431">
        <v>46230</v>
      </c>
      <c r="C367" s="5431" t="str">
        <v>Monday</v>
      </c>
      <c r="D367" s="5652" t="s">
        <v>5588</v>
      </c>
      <c r="E367" s="5501">
        <f t="shared" si="79"/>
      </c>
      <c r="F367" s="5488" t="s">
        <v>5304</v>
      </c>
      <c r="G367" s="5653"/>
      <c r="H367" s="5437" t="s">
        <v>5299</v>
      </c>
      <c r="I367" s="5438" t="s">
        <v>5268</v>
      </c>
      <c r="J367" s="5501"/>
      <c r="K367" s="5654"/>
      <c r="L367" s="5654"/>
      <c r="M367" s="5654"/>
      <c r="N367" s="5654"/>
      <c r="O367" s="5654"/>
      <c r="P367" s="5654"/>
      <c r="Q367" s="5654"/>
      <c r="R367" s="5654"/>
      <c r="S367" s="5654"/>
      <c r="T367" s="5654"/>
      <c r="U367" s="5655"/>
      <c r="V367" s="5655"/>
      <c r="W367" s="5655"/>
      <c r="X367" s="5655"/>
      <c r="Y367" s="5655"/>
    </row>
    <row customHeight="true" ht="18.452380952380953" r="368">
      <c r="A368" s="5511" t="s">
        <v>5589</v>
      </c>
      <c r="B368" s="5656">
        <v>46230</v>
      </c>
      <c r="C368" s="5511" t="str">
        <v>Monday</v>
      </c>
      <c r="D368" s="5652" t="s">
        <v>5590</v>
      </c>
      <c r="E368" s="5657">
        <f t="shared" si="79"/>
      </c>
      <c r="F368" s="5438" t="s">
        <v>5572</v>
      </c>
      <c r="G368" s="5658"/>
      <c r="H368" s="5513" t="s">
        <v>5299</v>
      </c>
      <c r="I368" s="5513" t="s">
        <v>5268</v>
      </c>
      <c r="J368" s="5513"/>
      <c r="K368" s="5659"/>
      <c r="L368" s="5659"/>
      <c r="M368" s="5659"/>
      <c r="N368" s="5659"/>
      <c r="O368" s="5659"/>
      <c r="P368" s="5659"/>
      <c r="Q368" s="5659"/>
      <c r="R368" s="5659"/>
      <c r="S368" s="5659"/>
      <c r="T368" s="5659"/>
      <c r="U368" s="5468"/>
      <c r="V368" s="5468"/>
      <c r="W368" s="5468"/>
      <c r="X368" s="5468"/>
      <c r="Y368" s="5468"/>
    </row>
    <row customHeight="true" ht="18.452380952380953" r="369">
      <c r="A369" s="5431" t="s">
        <v>5589</v>
      </c>
      <c r="B369" s="5431">
        <v>46230</v>
      </c>
      <c r="C369" s="5431" t="str">
        <v>Monday</v>
      </c>
      <c r="D369" s="5433" t="s">
        <v>5324</v>
      </c>
      <c r="E369" s="5501">
        <f t="shared" si="79"/>
      </c>
      <c r="F369" s="5438" t="s">
        <v>5577</v>
      </c>
      <c r="G369" s="5467"/>
      <c r="H369" s="5438" t="s">
        <v>5299</v>
      </c>
      <c r="I369" s="5438" t="s">
        <v>5268</v>
      </c>
      <c r="J369" s="5438"/>
      <c r="K369" s="5426"/>
      <c r="L369" s="5426"/>
      <c r="M369" s="5426"/>
      <c r="N369" s="5426"/>
      <c r="O369" s="5426"/>
      <c r="P369" s="5426"/>
      <c r="Q369" s="5426"/>
      <c r="R369" s="5426"/>
      <c r="S369" s="5426"/>
      <c r="T369" s="5426"/>
      <c r="U369" s="5427"/>
      <c r="V369" s="5427"/>
      <c r="W369" s="5427"/>
      <c r="X369" s="5427"/>
      <c r="Y369" s="5427"/>
    </row>
    <row customHeight="true" ht="18.452380952380953" r="370">
      <c r="A370" s="5431" t="s">
        <v>5589</v>
      </c>
      <c r="B370" s="5431">
        <v>46230</v>
      </c>
      <c r="C370" s="5431" t="str">
        <v>Monday</v>
      </c>
      <c r="D370" s="5433" t="s">
        <v>5591</v>
      </c>
      <c r="E370" s="5501">
        <f t="shared" si="79"/>
      </c>
      <c r="F370" s="5438" t="s">
        <v>5582</v>
      </c>
      <c r="G370" s="5467"/>
      <c r="H370" s="5438" t="s">
        <v>5299</v>
      </c>
      <c r="I370" s="5438" t="s">
        <v>5268</v>
      </c>
      <c r="J370" s="5438"/>
      <c r="K370" s="5426"/>
      <c r="L370" s="5426"/>
      <c r="M370" s="5426"/>
      <c r="N370" s="5426"/>
      <c r="O370" s="5426"/>
      <c r="P370" s="5426"/>
      <c r="Q370" s="5426"/>
      <c r="R370" s="5426"/>
      <c r="S370" s="5426"/>
      <c r="T370" s="5426"/>
      <c r="U370" s="5427"/>
      <c r="V370" s="5427"/>
      <c r="W370" s="5427"/>
      <c r="X370" s="5427"/>
      <c r="Y370" s="5427"/>
    </row>
    <row customHeight="true" ht="18.452380952380953" r="371">
      <c r="A371" s="5431" t="s">
        <v>5589</v>
      </c>
      <c r="B371" s="5431">
        <v>46230</v>
      </c>
      <c r="C371" s="5431" t="str">
        <v>Monday</v>
      </c>
      <c r="D371" s="5433" t="s">
        <v>5592</v>
      </c>
      <c r="E371" s="5501">
        <f t="shared" si="79"/>
      </c>
      <c r="F371" s="5438" t="s">
        <v>5574</v>
      </c>
      <c r="G371" s="5467"/>
      <c r="H371" s="5438" t="s">
        <v>5299</v>
      </c>
      <c r="I371" s="5438" t="s">
        <v>5268</v>
      </c>
      <c r="J371" s="5438"/>
      <c r="K371" s="5426"/>
      <c r="L371" s="5426"/>
      <c r="M371" s="5426"/>
      <c r="N371" s="5426"/>
      <c r="O371" s="5426"/>
      <c r="P371" s="5426"/>
      <c r="Q371" s="5426"/>
      <c r="R371" s="5426"/>
      <c r="S371" s="5426"/>
      <c r="T371" s="5426"/>
      <c r="U371" s="5427"/>
      <c r="V371" s="5427"/>
      <c r="W371" s="5427"/>
      <c r="X371" s="5427"/>
      <c r="Y371" s="5427"/>
    </row>
    <row customHeight="true" ht="18.452380952380953" r="372">
      <c r="A372" s="5431"/>
      <c r="B372" s="5431"/>
      <c r="C372" s="5431"/>
      <c r="D372" s="5652"/>
      <c r="E372" s="5501"/>
      <c r="F372" s="5513"/>
      <c r="G372" s="5653"/>
      <c r="H372" s="5437"/>
      <c r="I372" s="5438"/>
      <c r="J372" s="5501"/>
      <c r="K372" s="5654"/>
      <c r="L372" s="5654"/>
      <c r="M372" s="5654"/>
      <c r="N372" s="5654"/>
      <c r="O372" s="5654"/>
      <c r="P372" s="5654"/>
      <c r="Q372" s="5654"/>
      <c r="R372" s="5654"/>
      <c r="S372" s="5654"/>
      <c r="T372" s="5654"/>
      <c r="U372" s="5655"/>
      <c r="V372" s="5655"/>
      <c r="W372" s="5655"/>
      <c r="X372" s="5655"/>
      <c r="Y372" s="5655"/>
    </row>
    <row r="373">
      <c r="A373" s="5660" t="s">
        <v>5570</v>
      </c>
      <c r="B373" s="5660">
        <v>46231</v>
      </c>
      <c r="C373" s="5660" t="str">
        <v>Tuesday</v>
      </c>
      <c r="D373" s="5661" t="s">
        <v>5344</v>
      </c>
      <c r="E373" s="5661">
        <f t="shared" ref="E373:E385" si="80">24*MOD(TIMEVALUE(TRIM(MID(D373,FIND("-",D373)+1,LEN(D373)))) - TIMEVALUE(TRIM(LEFT(D373,FIND("-",D373)-1))),1)</f>
      </c>
      <c r="F373" s="5661" t="s">
        <v>5572</v>
      </c>
      <c r="G373" s="5662" t="s">
        <v>5593</v>
      </c>
      <c r="H373" s="5437" t="s">
        <v>5299</v>
      </c>
      <c r="I373" s="5438" t="s">
        <v>5268</v>
      </c>
      <c r="J373" s="5663"/>
      <c r="K373" s="5654"/>
      <c r="L373" s="5654"/>
      <c r="M373" s="5654"/>
      <c r="N373" s="5654"/>
      <c r="O373" s="5654"/>
      <c r="P373" s="5654"/>
      <c r="Q373" s="5654"/>
      <c r="R373" s="5654"/>
      <c r="S373" s="5654"/>
      <c r="T373" s="5654"/>
      <c r="U373" s="5428"/>
      <c r="V373" s="5428"/>
      <c r="W373" s="5428"/>
      <c r="X373" s="5428"/>
      <c r="Y373" s="5428"/>
    </row>
    <row r="374">
      <c r="A374" s="5660" t="s">
        <v>5570</v>
      </c>
      <c r="B374" s="5660">
        <v>46231</v>
      </c>
      <c r="C374" s="5660" t="str">
        <v>Tuesday</v>
      </c>
      <c r="D374" s="5661" t="s">
        <v>5321</v>
      </c>
      <c r="E374" s="5661">
        <f t="shared" si="80"/>
      </c>
      <c r="F374" s="5661" t="s">
        <v>5577</v>
      </c>
      <c r="G374" s="5662" t="s">
        <v>5594</v>
      </c>
      <c r="H374" s="5437" t="s">
        <v>5299</v>
      </c>
      <c r="I374" s="5438" t="s">
        <v>5268</v>
      </c>
      <c r="J374" s="5663"/>
      <c r="K374" s="5654"/>
      <c r="L374" s="5654"/>
      <c r="M374" s="5654"/>
      <c r="N374" s="5654"/>
      <c r="O374" s="5654"/>
      <c r="P374" s="5654"/>
      <c r="Q374" s="5654"/>
      <c r="R374" s="5654"/>
      <c r="S374" s="5654"/>
      <c r="T374" s="5654"/>
      <c r="U374" s="5428"/>
      <c r="V374" s="5428"/>
      <c r="W374" s="5428"/>
      <c r="X374" s="5428"/>
      <c r="Y374" s="5428"/>
    </row>
    <row r="375">
      <c r="A375" s="5660" t="s">
        <v>5570</v>
      </c>
      <c r="B375" s="5660">
        <v>46231</v>
      </c>
      <c r="C375" s="5660" t="str">
        <v>Tuesday</v>
      </c>
      <c r="D375" s="5661" t="s">
        <v>5339</v>
      </c>
      <c r="E375" s="5661">
        <f t="shared" si="80"/>
      </c>
      <c r="F375" s="5661" t="s">
        <v>5345</v>
      </c>
      <c r="G375" s="5662" t="s">
        <v>5595</v>
      </c>
      <c r="H375" s="5437" t="s">
        <v>5299</v>
      </c>
      <c r="I375" s="5438" t="s">
        <v>5268</v>
      </c>
      <c r="J375" s="5663"/>
      <c r="K375" s="5654"/>
      <c r="L375" s="5654"/>
      <c r="M375" s="5654"/>
      <c r="N375" s="5654"/>
      <c r="O375" s="5654"/>
      <c r="P375" s="5654"/>
      <c r="Q375" s="5654"/>
      <c r="R375" s="5654"/>
      <c r="S375" s="5654"/>
      <c r="T375" s="5654"/>
      <c r="U375" s="5428"/>
      <c r="V375" s="5428"/>
      <c r="W375" s="5428"/>
      <c r="X375" s="5428"/>
      <c r="Y375" s="5428"/>
    </row>
    <row r="376">
      <c r="A376" s="5660" t="s">
        <v>5570</v>
      </c>
      <c r="B376" s="5660">
        <v>46231</v>
      </c>
      <c r="C376" s="5660" t="str">
        <v>Tuesday</v>
      </c>
      <c r="D376" s="5664" t="s">
        <v>5596</v>
      </c>
      <c r="E376" s="5661">
        <f t="shared" si="80"/>
      </c>
      <c r="F376" s="5661" t="s">
        <v>5574</v>
      </c>
      <c r="G376" s="5662" t="s">
        <v>5597</v>
      </c>
      <c r="H376" s="5437" t="s">
        <v>5299</v>
      </c>
      <c r="I376" s="5438" t="s">
        <v>5291</v>
      </c>
      <c r="J376" s="5663"/>
      <c r="K376" s="5654"/>
      <c r="L376" s="5654"/>
      <c r="M376" s="5654"/>
      <c r="N376" s="5654"/>
      <c r="O376" s="5654"/>
      <c r="P376" s="5654"/>
      <c r="Q376" s="5654"/>
      <c r="R376" s="5654"/>
      <c r="S376" s="5654"/>
      <c r="T376" s="5654"/>
      <c r="U376" s="5428"/>
      <c r="V376" s="5428"/>
      <c r="W376" s="5428"/>
      <c r="X376" s="5428"/>
      <c r="Y376" s="5428"/>
    </row>
    <row r="377">
      <c r="A377" s="5660" t="s">
        <v>5570</v>
      </c>
      <c r="B377" s="5660">
        <v>46231</v>
      </c>
      <c r="C377" s="5660" t="str">
        <v>Tuesday</v>
      </c>
      <c r="D377" s="5661" t="s">
        <v>5588</v>
      </c>
      <c r="E377" s="5661">
        <f t="shared" si="80"/>
      </c>
      <c r="F377" s="5661" t="s">
        <v>5345</v>
      </c>
      <c r="G377" s="5662" t="s">
        <v>5373</v>
      </c>
      <c r="H377" s="5437" t="s">
        <v>5299</v>
      </c>
      <c r="I377" s="5438" t="s">
        <v>5268</v>
      </c>
      <c r="J377" s="5663"/>
      <c r="K377" s="5654"/>
      <c r="L377" s="5654"/>
      <c r="M377" s="5654"/>
      <c r="N377" s="5654"/>
      <c r="O377" s="5654"/>
      <c r="P377" s="5654"/>
      <c r="Q377" s="5654"/>
      <c r="R377" s="5654"/>
      <c r="S377" s="5654"/>
      <c r="T377" s="5654"/>
      <c r="U377" s="5428"/>
      <c r="V377" s="5428"/>
      <c r="W377" s="5428"/>
      <c r="X377" s="5428"/>
      <c r="Y377" s="5428"/>
    </row>
    <row customHeight="true" ht="18.452380952380953" r="378">
      <c r="A378" s="5660" t="s">
        <v>5584</v>
      </c>
      <c r="B378" s="5660">
        <v>46231</v>
      </c>
      <c r="C378" s="5660" t="str">
        <v>Tuesday</v>
      </c>
      <c r="D378" s="5664" t="s">
        <v>5344</v>
      </c>
      <c r="E378" s="5663">
        <f t="shared" si="80"/>
      </c>
      <c r="F378" s="5665" t="s">
        <v>5308</v>
      </c>
      <c r="G378" s="5666"/>
      <c r="H378" s="5661" t="s">
        <v>5299</v>
      </c>
      <c r="I378" s="5661" t="s">
        <v>5268</v>
      </c>
      <c r="J378" s="5663"/>
      <c r="K378" s="5667"/>
      <c r="L378" s="5667"/>
      <c r="M378" s="5667"/>
      <c r="N378" s="5667"/>
      <c r="O378" s="5667"/>
      <c r="P378" s="5667"/>
      <c r="Q378" s="5667"/>
      <c r="R378" s="5667"/>
      <c r="S378" s="5667"/>
      <c r="T378" s="5667"/>
      <c r="U378" s="5668"/>
      <c r="V378" s="5668"/>
      <c r="W378" s="5668"/>
      <c r="X378" s="5668"/>
      <c r="Y378" s="5668"/>
    </row>
    <row r="379">
      <c r="A379" s="5660" t="s">
        <v>5584</v>
      </c>
      <c r="B379" s="5660">
        <v>46231</v>
      </c>
      <c r="C379" s="5660" t="str">
        <v>Tuesday</v>
      </c>
      <c r="D379" s="5664" t="s">
        <v>5598</v>
      </c>
      <c r="E379" s="5661">
        <f t="shared" si="80"/>
      </c>
      <c r="F379" s="5661" t="s">
        <v>5512</v>
      </c>
      <c r="G379" s="5669"/>
      <c r="H379" s="5437" t="s">
        <v>5299</v>
      </c>
      <c r="I379" s="5438" t="s">
        <v>5268</v>
      </c>
      <c r="J379" s="5670"/>
      <c r="K379" s="5591"/>
      <c r="L379" s="5591"/>
      <c r="M379" s="5591"/>
      <c r="N379" s="5591"/>
      <c r="O379" s="5591"/>
      <c r="P379" s="5591"/>
      <c r="Q379" s="5591"/>
      <c r="R379" s="5591"/>
      <c r="S379" s="5591"/>
      <c r="T379" s="5591"/>
      <c r="U379" s="5428"/>
      <c r="V379" s="5428"/>
      <c r="W379" s="5428"/>
      <c r="X379" s="5428"/>
      <c r="Y379" s="5428"/>
    </row>
    <row customHeight="true" ht="18.452380952380953" r="380">
      <c r="A380" s="5671" t="s">
        <v>5584</v>
      </c>
      <c r="B380" s="5672">
        <v>46231</v>
      </c>
      <c r="C380" s="5671" t="str">
        <v>Tuesday</v>
      </c>
      <c r="D380" s="5673" t="s">
        <v>5296</v>
      </c>
      <c r="E380" s="5674">
        <f t="shared" si="80"/>
      </c>
      <c r="F380" s="5675" t="s">
        <v>5304</v>
      </c>
      <c r="G380" s="5676"/>
      <c r="H380" s="5677" t="s">
        <v>5299</v>
      </c>
      <c r="I380" s="5677" t="s">
        <v>5268</v>
      </c>
      <c r="J380" s="5674"/>
      <c r="K380" s="5678"/>
      <c r="L380" s="5678"/>
      <c r="M380" s="5678"/>
      <c r="N380" s="5678"/>
      <c r="O380" s="5678"/>
      <c r="P380" s="5678"/>
      <c r="Q380" s="5678"/>
      <c r="R380" s="5678"/>
      <c r="S380" s="5678"/>
      <c r="T380" s="5678"/>
      <c r="U380" s="5679"/>
      <c r="V380" s="5679"/>
      <c r="W380" s="5679"/>
      <c r="X380" s="5679"/>
      <c r="Y380" s="5679"/>
    </row>
    <row r="381">
      <c r="A381" s="5660" t="s">
        <v>5584</v>
      </c>
      <c r="B381" s="5660">
        <v>46231</v>
      </c>
      <c r="C381" s="5660" t="str">
        <v>Tuesday</v>
      </c>
      <c r="D381" s="5664" t="s">
        <v>5301</v>
      </c>
      <c r="E381" s="5663">
        <f t="shared" si="80"/>
      </c>
      <c r="F381" s="5661" t="s">
        <v>5384</v>
      </c>
      <c r="G381" s="5669"/>
      <c r="H381" s="5437" t="s">
        <v>5299</v>
      </c>
      <c r="I381" s="5438" t="s">
        <v>5268</v>
      </c>
      <c r="J381" s="5670"/>
      <c r="K381" s="5591"/>
      <c r="L381" s="5591"/>
      <c r="M381" s="5591"/>
      <c r="N381" s="5591"/>
      <c r="O381" s="5591"/>
      <c r="P381" s="5591"/>
      <c r="Q381" s="5591"/>
      <c r="R381" s="5591"/>
      <c r="S381" s="5591"/>
      <c r="T381" s="5591"/>
      <c r="U381" s="5428"/>
      <c r="V381" s="5428"/>
      <c r="W381" s="5428"/>
      <c r="X381" s="5428"/>
      <c r="Y381" s="5428"/>
    </row>
    <row customHeight="true" ht="18.452380952380953" r="382">
      <c r="A382" s="5660" t="s">
        <v>5584</v>
      </c>
      <c r="B382" s="5660">
        <v>46231</v>
      </c>
      <c r="C382" s="5660" t="str">
        <v>Tuesday</v>
      </c>
      <c r="D382" s="5664" t="s">
        <v>5446</v>
      </c>
      <c r="E382" s="5663">
        <f t="shared" si="80"/>
      </c>
      <c r="F382" s="5677" t="s">
        <v>5298</v>
      </c>
      <c r="G382" s="5669"/>
      <c r="H382" s="5437" t="s">
        <v>5299</v>
      </c>
      <c r="I382" s="5677" t="s">
        <v>5268</v>
      </c>
      <c r="J382" s="5670"/>
      <c r="K382" s="5591"/>
      <c r="L382" s="5591"/>
      <c r="M382" s="5591"/>
      <c r="N382" s="5591"/>
      <c r="O382" s="5591"/>
      <c r="P382" s="5591"/>
      <c r="Q382" s="5591"/>
      <c r="R382" s="5591"/>
      <c r="S382" s="5591"/>
      <c r="T382" s="5591"/>
      <c r="U382" s="5428"/>
      <c r="V382" s="5428"/>
      <c r="W382" s="5428"/>
      <c r="X382" s="5428"/>
      <c r="Y382" s="5428"/>
    </row>
    <row r="383">
      <c r="A383" s="5660" t="s">
        <v>5584</v>
      </c>
      <c r="B383" s="5660">
        <v>46231</v>
      </c>
      <c r="C383" s="5660" t="str">
        <v>Tuesday</v>
      </c>
      <c r="D383" s="5664" t="s">
        <v>5588</v>
      </c>
      <c r="E383" s="5663">
        <f t="shared" si="80"/>
      </c>
      <c r="F383" s="5661" t="s">
        <v>5384</v>
      </c>
      <c r="G383" s="5669"/>
      <c r="H383" s="5437" t="s">
        <v>5299</v>
      </c>
      <c r="I383" s="5438" t="s">
        <v>5268</v>
      </c>
      <c r="J383" s="5661"/>
      <c r="K383" s="5591"/>
      <c r="L383" s="5591"/>
      <c r="M383" s="5591"/>
      <c r="N383" s="5591"/>
      <c r="O383" s="5591"/>
      <c r="P383" s="5591"/>
      <c r="Q383" s="5591"/>
      <c r="R383" s="5591"/>
      <c r="S383" s="5591"/>
      <c r="T383" s="5591"/>
      <c r="U383" s="5428"/>
      <c r="V383" s="5428"/>
      <c r="W383" s="5428"/>
      <c r="X383" s="5428"/>
      <c r="Y383" s="5428"/>
    </row>
    <row customHeight="true" ht="18.452380952380953" r="384">
      <c r="A384" s="5660" t="s">
        <v>5589</v>
      </c>
      <c r="B384" s="5660">
        <v>46231</v>
      </c>
      <c r="C384" s="5660" t="str">
        <v>Tuesday</v>
      </c>
      <c r="D384" s="5664" t="s">
        <v>5599</v>
      </c>
      <c r="E384" s="5663">
        <f t="shared" si="80"/>
      </c>
      <c r="F384" s="5661" t="s">
        <v>5345</v>
      </c>
      <c r="G384" s="5669"/>
      <c r="H384" s="5437" t="s">
        <v>5299</v>
      </c>
      <c r="I384" s="5438" t="s">
        <v>5268</v>
      </c>
      <c r="J384" s="5661"/>
      <c r="K384" s="5591"/>
      <c r="L384" s="5591"/>
      <c r="M384" s="5591"/>
      <c r="N384" s="5591"/>
      <c r="O384" s="5591"/>
      <c r="P384" s="5591"/>
      <c r="Q384" s="5591"/>
      <c r="R384" s="5591"/>
      <c r="S384" s="5591"/>
      <c r="T384" s="5591"/>
      <c r="U384" s="5428"/>
      <c r="V384" s="5428"/>
      <c r="W384" s="5428"/>
      <c r="X384" s="5428"/>
      <c r="Y384" s="5428"/>
    </row>
    <row customHeight="true" ht="18.452380952380953" r="385">
      <c r="A385" s="5660" t="s">
        <v>5589</v>
      </c>
      <c r="B385" s="5660">
        <v>46231</v>
      </c>
      <c r="C385" s="5660" t="str">
        <v>Tuesday</v>
      </c>
      <c r="D385" s="5664" t="s">
        <v>5415</v>
      </c>
      <c r="E385" s="5663">
        <f t="shared" si="80"/>
      </c>
      <c r="F385" s="5661" t="s">
        <v>5600</v>
      </c>
      <c r="G385" s="5669"/>
      <c r="H385" s="5437" t="s">
        <v>5299</v>
      </c>
      <c r="I385" s="5438" t="s">
        <v>5268</v>
      </c>
      <c r="J385" s="5661"/>
      <c r="K385" s="5591"/>
      <c r="L385" s="5591"/>
      <c r="M385" s="5591"/>
      <c r="N385" s="5591"/>
      <c r="O385" s="5591"/>
      <c r="P385" s="5591"/>
      <c r="Q385" s="5591"/>
      <c r="R385" s="5591"/>
      <c r="S385" s="5591"/>
      <c r="T385" s="5591"/>
      <c r="U385" s="5428"/>
      <c r="V385" s="5428"/>
      <c r="W385" s="5428"/>
      <c r="X385" s="5428"/>
      <c r="Y385" s="5428"/>
    </row>
    <row customHeight="true" ht="18.452380952380953" r="386">
      <c r="A386" s="5660"/>
      <c r="B386" s="5660"/>
      <c r="C386" s="5660"/>
      <c r="D386" s="5664"/>
      <c r="E386" s="5663"/>
      <c r="F386" s="5661"/>
      <c r="G386" s="5669"/>
      <c r="H386" s="5437"/>
      <c r="I386" s="5438"/>
      <c r="J386" s="5661"/>
      <c r="K386" s="5591"/>
      <c r="L386" s="5591"/>
      <c r="M386" s="5591"/>
      <c r="N386" s="5591"/>
      <c r="O386" s="5591"/>
      <c r="P386" s="5591"/>
      <c r="Q386" s="5591"/>
      <c r="R386" s="5591"/>
      <c r="S386" s="5591"/>
      <c r="T386" s="5591"/>
      <c r="U386" s="5428"/>
      <c r="V386" s="5428"/>
      <c r="W386" s="5428"/>
      <c r="X386" s="5428"/>
      <c r="Y386" s="5428"/>
    </row>
    <row r="387">
      <c r="A387" s="5431" t="s">
        <v>5570</v>
      </c>
      <c r="B387" s="5431">
        <v>46235</v>
      </c>
      <c r="C387" s="5431" t="str">
        <v>Saturday</v>
      </c>
      <c r="D387" s="5433" t="s">
        <v>5601</v>
      </c>
      <c r="E387" s="5437">
        <f t="shared" ref="E387:E398" si="81">24*MOD(TIMEVALUE(TRIM(MID(D387,FIND("-",D387)+1,LEN(D387)))) - TIMEVALUE(TRIM(LEFT(D387,FIND("-",D387)-1))),1)</f>
      </c>
      <c r="F387" s="5513" t="s">
        <v>5579</v>
      </c>
      <c r="G387" s="5680" t="s">
        <v>5602</v>
      </c>
      <c r="H387" s="5437" t="s">
        <v>5299</v>
      </c>
      <c r="I387" s="5438" t="s">
        <v>5268</v>
      </c>
      <c r="J387" s="5437"/>
      <c r="K387" s="5426"/>
      <c r="L387" s="5426"/>
      <c r="M387" s="5426"/>
      <c r="N387" s="5426"/>
      <c r="O387" s="5426"/>
      <c r="P387" s="5426"/>
      <c r="Q387" s="5426"/>
      <c r="R387" s="5426"/>
      <c r="S387" s="5426"/>
      <c r="T387" s="5426"/>
      <c r="U387" s="5428"/>
      <c r="V387" s="5428"/>
      <c r="W387" s="5428"/>
      <c r="X387" s="5428"/>
      <c r="Y387" s="5428"/>
    </row>
    <row r="388">
      <c r="A388" s="5431" t="s">
        <v>5570</v>
      </c>
      <c r="B388" s="5431">
        <v>46235</v>
      </c>
      <c r="C388" s="5431" t="str">
        <v>Saturday</v>
      </c>
      <c r="D388" s="5433" t="s">
        <v>5603</v>
      </c>
      <c r="E388" s="5437">
        <f t="shared" si="81"/>
      </c>
      <c r="F388" s="5513" t="s">
        <v>5574</v>
      </c>
      <c r="G388" s="5680" t="s">
        <v>5594</v>
      </c>
      <c r="H388" s="5437" t="s">
        <v>5299</v>
      </c>
      <c r="I388" s="5438" t="s">
        <v>5291</v>
      </c>
      <c r="J388" s="5681"/>
      <c r="K388" s="5426"/>
      <c r="L388" s="5426"/>
      <c r="M388" s="5426"/>
      <c r="N388" s="5426"/>
      <c r="O388" s="5426"/>
      <c r="P388" s="5426"/>
      <c r="Q388" s="5426"/>
      <c r="R388" s="5426"/>
      <c r="S388" s="5426"/>
      <c r="T388" s="5426"/>
      <c r="U388" s="5428"/>
      <c r="V388" s="5428"/>
      <c r="W388" s="5428"/>
      <c r="X388" s="5428"/>
      <c r="Y388" s="5428"/>
    </row>
    <row customHeight="true" ht="18.452380952380953" r="389">
      <c r="A389" s="5431" t="s">
        <v>5570</v>
      </c>
      <c r="B389" s="5431">
        <v>46235</v>
      </c>
      <c r="C389" s="5431" t="str">
        <v>Saturday</v>
      </c>
      <c r="D389" s="5433" t="s">
        <v>5604</v>
      </c>
      <c r="E389" s="5437">
        <f t="shared" si="81"/>
      </c>
      <c r="F389" s="5513" t="s">
        <v>5367</v>
      </c>
      <c r="G389" s="5680" t="s">
        <v>5594</v>
      </c>
      <c r="H389" s="5437" t="s">
        <v>5299</v>
      </c>
      <c r="I389" s="5438" t="s">
        <v>5291</v>
      </c>
      <c r="J389" s="5681"/>
      <c r="K389" s="5426"/>
      <c r="L389" s="5426"/>
      <c r="M389" s="5426"/>
      <c r="N389" s="5426"/>
      <c r="O389" s="5426"/>
      <c r="P389" s="5426"/>
      <c r="Q389" s="5426"/>
      <c r="R389" s="5426"/>
      <c r="S389" s="5426"/>
      <c r="T389" s="5426"/>
      <c r="U389" s="5428"/>
      <c r="V389" s="5428"/>
      <c r="W389" s="5428"/>
      <c r="X389" s="5428"/>
      <c r="Y389" s="5428"/>
    </row>
    <row r="390">
      <c r="A390" s="5491" t="s">
        <v>5570</v>
      </c>
      <c r="B390" s="5491">
        <v>46235</v>
      </c>
      <c r="C390" s="5491" t="str">
        <v>Saturday</v>
      </c>
      <c r="D390" s="5494" t="s">
        <v>5339</v>
      </c>
      <c r="E390" s="5494">
        <f t="shared" si="81"/>
      </c>
      <c r="F390" s="5494" t="s">
        <v>5345</v>
      </c>
      <c r="G390" s="5682" t="s">
        <v>5605</v>
      </c>
      <c r="H390" s="5494" t="s">
        <v>5299</v>
      </c>
      <c r="I390" s="5494" t="s">
        <v>5268</v>
      </c>
      <c r="J390" s="5683" t="s">
        <v>5606</v>
      </c>
      <c r="K390" s="5603"/>
      <c r="L390" s="5603"/>
      <c r="M390" s="5603"/>
      <c r="N390" s="5603"/>
      <c r="O390" s="5603"/>
      <c r="P390" s="5603"/>
      <c r="Q390" s="5603"/>
      <c r="R390" s="5603"/>
      <c r="S390" s="5603"/>
      <c r="T390" s="5603"/>
      <c r="U390" s="5604"/>
      <c r="V390" s="5604"/>
      <c r="W390" s="5604"/>
      <c r="X390" s="5604"/>
      <c r="Y390" s="5604"/>
    </row>
    <row customHeight="true" ht="18.452380952380953" r="391">
      <c r="A391" s="5431" t="s">
        <v>5570</v>
      </c>
      <c r="B391" s="5431">
        <v>46235</v>
      </c>
      <c r="C391" s="5431" t="str">
        <v>Saturday</v>
      </c>
      <c r="D391" s="5513" t="s">
        <v>5339</v>
      </c>
      <c r="E391" s="5437">
        <f t="shared" si="81"/>
      </c>
      <c r="F391" s="5513" t="s">
        <v>5574</v>
      </c>
      <c r="G391" s="5680" t="s">
        <v>5605</v>
      </c>
      <c r="H391" s="5437" t="s">
        <v>5299</v>
      </c>
      <c r="I391" s="5438" t="s">
        <v>5291</v>
      </c>
      <c r="J391" s="5681"/>
      <c r="K391" s="5426"/>
      <c r="L391" s="5426"/>
      <c r="M391" s="5426"/>
      <c r="N391" s="5426"/>
      <c r="O391" s="5426"/>
      <c r="P391" s="5426"/>
      <c r="Q391" s="5426"/>
      <c r="R391" s="5426"/>
      <c r="S391" s="5426"/>
      <c r="T391" s="5426"/>
      <c r="U391" s="5428"/>
      <c r="V391" s="5428"/>
      <c r="W391" s="5428"/>
      <c r="X391" s="5428"/>
      <c r="Y391" s="5428"/>
    </row>
    <row r="392">
      <c r="A392" s="5431" t="s">
        <v>5570</v>
      </c>
      <c r="B392" s="5431">
        <v>46235</v>
      </c>
      <c r="C392" s="5431" t="str">
        <v>Saturday</v>
      </c>
      <c r="D392" s="5433" t="s">
        <v>5596</v>
      </c>
      <c r="E392" s="5437">
        <f t="shared" si="81"/>
      </c>
      <c r="F392" s="5513" t="s">
        <v>5577</v>
      </c>
      <c r="G392" s="5680" t="s">
        <v>5607</v>
      </c>
      <c r="H392" s="5437" t="s">
        <v>5299</v>
      </c>
      <c r="I392" s="5438" t="s">
        <v>5268</v>
      </c>
      <c r="J392" s="5681"/>
      <c r="K392" s="5426"/>
      <c r="L392" s="5426"/>
      <c r="M392" s="5426"/>
      <c r="N392" s="5426"/>
      <c r="O392" s="5426"/>
      <c r="P392" s="5426"/>
      <c r="Q392" s="5426"/>
      <c r="R392" s="5426"/>
      <c r="S392" s="5426"/>
      <c r="T392" s="5426"/>
      <c r="U392" s="5428"/>
      <c r="V392" s="5428"/>
      <c r="W392" s="5428"/>
      <c r="X392" s="5428"/>
      <c r="Y392" s="5428"/>
    </row>
    <row customHeight="true" ht="18.452380952380953" r="393">
      <c r="A393" s="5431" t="s">
        <v>5570</v>
      </c>
      <c r="B393" s="5431">
        <v>46235</v>
      </c>
      <c r="C393" s="5431" t="str">
        <v>Saturday</v>
      </c>
      <c r="D393" s="5652" t="s">
        <v>5588</v>
      </c>
      <c r="E393" s="5437">
        <f t="shared" si="81"/>
      </c>
      <c r="F393" s="5513" t="s">
        <v>5367</v>
      </c>
      <c r="G393" s="5680" t="s">
        <v>5373</v>
      </c>
      <c r="H393" s="5437" t="s">
        <v>5299</v>
      </c>
      <c r="I393" s="5438" t="s">
        <v>5291</v>
      </c>
      <c r="J393" s="5681"/>
      <c r="K393" s="5426"/>
      <c r="L393" s="5426"/>
      <c r="M393" s="5426"/>
      <c r="N393" s="5426"/>
      <c r="O393" s="5426"/>
      <c r="P393" s="5426"/>
      <c r="Q393" s="5426"/>
      <c r="R393" s="5426"/>
      <c r="S393" s="5426"/>
      <c r="T393" s="5426"/>
      <c r="U393" s="5428"/>
      <c r="V393" s="5428"/>
      <c r="W393" s="5428"/>
      <c r="X393" s="5428"/>
      <c r="Y393" s="5428"/>
    </row>
    <row r="394">
      <c r="A394" s="5431" t="s">
        <v>5584</v>
      </c>
      <c r="B394" s="5431">
        <v>46235</v>
      </c>
      <c r="C394" s="5431" t="str">
        <v>Saturday</v>
      </c>
      <c r="D394" s="5652" t="s">
        <v>5598</v>
      </c>
      <c r="E394" s="5501">
        <f t="shared" si="81"/>
      </c>
      <c r="F394" s="5513" t="s">
        <v>5512</v>
      </c>
      <c r="G394" s="5684"/>
      <c r="H394" s="5437" t="s">
        <v>5299</v>
      </c>
      <c r="I394" s="5438" t="s">
        <v>5268</v>
      </c>
      <c r="J394" s="5681"/>
      <c r="K394" s="5426"/>
      <c r="L394" s="5426"/>
      <c r="M394" s="5426"/>
      <c r="N394" s="5426"/>
      <c r="O394" s="5426"/>
      <c r="P394" s="5426"/>
      <c r="Q394" s="5426"/>
      <c r="R394" s="5426"/>
      <c r="S394" s="5426"/>
      <c r="T394" s="5426"/>
      <c r="U394" s="5428"/>
      <c r="V394" s="5428"/>
      <c r="W394" s="5428"/>
      <c r="X394" s="5428"/>
      <c r="Y394" s="5428"/>
    </row>
    <row r="395">
      <c r="A395" s="5431" t="s">
        <v>5584</v>
      </c>
      <c r="B395" s="5431">
        <v>46235</v>
      </c>
      <c r="C395" s="5431" t="str">
        <v>Saturday</v>
      </c>
      <c r="D395" s="5652" t="s">
        <v>5301</v>
      </c>
      <c r="E395" s="5501">
        <f t="shared" si="81"/>
      </c>
      <c r="F395" s="5513" t="s">
        <v>5384</v>
      </c>
      <c r="G395" s="5684"/>
      <c r="H395" s="5437" t="s">
        <v>5299</v>
      </c>
      <c r="I395" s="5438" t="s">
        <v>5268</v>
      </c>
      <c r="J395" s="5681"/>
      <c r="K395" s="5426"/>
      <c r="L395" s="5426"/>
      <c r="M395" s="5426"/>
      <c r="N395" s="5426"/>
      <c r="O395" s="5426"/>
      <c r="P395" s="5426"/>
      <c r="Q395" s="5426"/>
      <c r="R395" s="5426"/>
      <c r="S395" s="5426"/>
      <c r="T395" s="5426"/>
      <c r="U395" s="5428"/>
      <c r="V395" s="5428"/>
      <c r="W395" s="5428"/>
      <c r="X395" s="5428"/>
      <c r="Y395" s="5428"/>
    </row>
    <row customHeight="true" ht="18.452380952380953" r="396">
      <c r="A396" s="5431" t="s">
        <v>5584</v>
      </c>
      <c r="B396" s="5431">
        <v>46235</v>
      </c>
      <c r="C396" s="5431" t="str">
        <v>Saturday</v>
      </c>
      <c r="D396" s="5652" t="s">
        <v>5446</v>
      </c>
      <c r="E396" s="5501">
        <f t="shared" si="81"/>
      </c>
      <c r="F396" s="5488" t="s">
        <v>5304</v>
      </c>
      <c r="G396" s="5684"/>
      <c r="H396" s="5437" t="s">
        <v>5299</v>
      </c>
      <c r="I396" s="5438" t="s">
        <v>5268</v>
      </c>
      <c r="J396" s="5681"/>
      <c r="K396" s="5426"/>
      <c r="L396" s="5426"/>
      <c r="M396" s="5426"/>
      <c r="N396" s="5426"/>
      <c r="O396" s="5426"/>
      <c r="P396" s="5426"/>
      <c r="Q396" s="5426"/>
      <c r="R396" s="5426"/>
      <c r="S396" s="5426"/>
      <c r="T396" s="5426"/>
      <c r="U396" s="5428"/>
      <c r="V396" s="5428"/>
      <c r="W396" s="5428"/>
      <c r="X396" s="5428"/>
      <c r="Y396" s="5428"/>
    </row>
    <row r="397">
      <c r="A397" s="5431" t="s">
        <v>5584</v>
      </c>
      <c r="B397" s="5431">
        <v>46235</v>
      </c>
      <c r="C397" s="5431" t="str">
        <v>Saturday</v>
      </c>
      <c r="D397" s="5652" t="s">
        <v>5588</v>
      </c>
      <c r="E397" s="5501">
        <f t="shared" si="81"/>
      </c>
      <c r="F397" s="5513" t="s">
        <v>5384</v>
      </c>
      <c r="G397" s="5684"/>
      <c r="H397" s="5437" t="s">
        <v>5299</v>
      </c>
      <c r="I397" s="5438" t="s">
        <v>5268</v>
      </c>
      <c r="J397" s="5681"/>
      <c r="K397" s="5426"/>
      <c r="L397" s="5426"/>
      <c r="M397" s="5426"/>
      <c r="N397" s="5426"/>
      <c r="O397" s="5426"/>
      <c r="P397" s="5426"/>
      <c r="Q397" s="5426"/>
      <c r="R397" s="5426"/>
      <c r="S397" s="5426"/>
      <c r="T397" s="5426"/>
      <c r="U397" s="5428"/>
      <c r="V397" s="5428"/>
      <c r="W397" s="5428"/>
      <c r="X397" s="5428"/>
      <c r="Y397" s="5428"/>
    </row>
    <row customHeight="true" ht="18.452380952380953" r="398">
      <c r="A398" s="5431" t="s">
        <v>5584</v>
      </c>
      <c r="B398" s="5431">
        <v>46235</v>
      </c>
      <c r="C398" s="5431" t="str">
        <v>Saturday</v>
      </c>
      <c r="D398" s="5433" t="s">
        <v>5608</v>
      </c>
      <c r="E398" s="5501">
        <f t="shared" si="81"/>
      </c>
      <c r="F398" s="5438" t="s">
        <v>5384</v>
      </c>
      <c r="G398" s="5680" t="s">
        <v>5609</v>
      </c>
      <c r="H398" s="5437" t="s">
        <v>5299</v>
      </c>
      <c r="I398" s="5438" t="s">
        <v>5268</v>
      </c>
      <c r="J398" s="5681"/>
      <c r="K398" s="5426"/>
      <c r="L398" s="5426"/>
      <c r="M398" s="5426"/>
      <c r="N398" s="5426"/>
      <c r="O398" s="5426"/>
      <c r="P398" s="5426"/>
      <c r="Q398" s="5426"/>
      <c r="R398" s="5426"/>
      <c r="S398" s="5426"/>
      <c r="T398" s="5426"/>
      <c r="U398" s="5428"/>
      <c r="V398" s="5428"/>
      <c r="W398" s="5428"/>
      <c r="X398" s="5428"/>
      <c r="Y398" s="5428"/>
    </row>
    <row customHeight="true" ht="18.452380952380953" r="399">
      <c r="A399" s="5431"/>
      <c r="B399" s="5431"/>
      <c r="C399" s="5431"/>
      <c r="D399" s="5652"/>
      <c r="E399" s="5501"/>
      <c r="F399" s="5513"/>
      <c r="G399" s="5684"/>
      <c r="H399" s="5437"/>
      <c r="I399" s="5438"/>
      <c r="J399" s="5681"/>
      <c r="K399" s="5426"/>
      <c r="L399" s="5426"/>
      <c r="M399" s="5426"/>
      <c r="N399" s="5426"/>
      <c r="O399" s="5426"/>
      <c r="P399" s="5426"/>
      <c r="Q399" s="5426"/>
      <c r="R399" s="5426"/>
      <c r="S399" s="5426"/>
      <c r="T399" s="5426"/>
      <c r="U399" s="5428"/>
      <c r="V399" s="5428"/>
      <c r="W399" s="5428"/>
      <c r="X399" s="5428"/>
      <c r="Y399" s="5428"/>
    </row>
    <row r="400">
      <c r="A400" s="5660" t="s">
        <v>5570</v>
      </c>
      <c r="B400" s="5660">
        <v>46236</v>
      </c>
      <c r="C400" s="5660" t="str">
        <v>Sunday</v>
      </c>
      <c r="D400" s="5664" t="s">
        <v>5344</v>
      </c>
      <c r="E400" s="5661">
        <f t="shared" ref="E400:E409" si="82">24*MOD(TIMEVALUE(TRIM(MID(D400,FIND("-",D400)+1,LEN(D400)))) - TIMEVALUE(TRIM(LEFT(D400,FIND("-",D400)-1))),1)</f>
      </c>
      <c r="F400" s="5661" t="s">
        <v>5579</v>
      </c>
      <c r="G400" s="5685" t="s">
        <v>5610</v>
      </c>
      <c r="H400" s="5437" t="s">
        <v>5299</v>
      </c>
      <c r="I400" s="5438" t="s">
        <v>5268</v>
      </c>
      <c r="J400" s="5681"/>
      <c r="K400" s="5426"/>
      <c r="L400" s="5426"/>
      <c r="M400" s="5426"/>
      <c r="N400" s="5426"/>
      <c r="O400" s="5426"/>
      <c r="P400" s="5426"/>
      <c r="Q400" s="5426"/>
      <c r="R400" s="5426"/>
      <c r="S400" s="5426"/>
      <c r="T400" s="5426"/>
      <c r="U400" s="5428"/>
      <c r="V400" s="5428"/>
      <c r="W400" s="5428"/>
      <c r="X400" s="5428"/>
      <c r="Y400" s="5428"/>
    </row>
    <row r="401">
      <c r="A401" s="5660" t="s">
        <v>5570</v>
      </c>
      <c r="B401" s="5660">
        <v>46236</v>
      </c>
      <c r="C401" s="5660" t="str">
        <v>Sunday</v>
      </c>
      <c r="D401" s="5664" t="s">
        <v>5321</v>
      </c>
      <c r="E401" s="5661">
        <f t="shared" si="82"/>
      </c>
      <c r="F401" s="5661" t="s">
        <v>5577</v>
      </c>
      <c r="G401" s="5685" t="s">
        <v>5611</v>
      </c>
      <c r="H401" s="5437" t="s">
        <v>5299</v>
      </c>
      <c r="I401" s="5438" t="s">
        <v>5268</v>
      </c>
      <c r="J401" s="5681"/>
      <c r="K401" s="5426"/>
      <c r="L401" s="5426"/>
      <c r="M401" s="5426"/>
      <c r="N401" s="5426"/>
      <c r="O401" s="5426"/>
      <c r="P401" s="5426"/>
      <c r="Q401" s="5426"/>
      <c r="R401" s="5426"/>
      <c r="S401" s="5426"/>
      <c r="T401" s="5426"/>
      <c r="U401" s="5428"/>
      <c r="V401" s="5428"/>
      <c r="W401" s="5428"/>
      <c r="X401" s="5428"/>
      <c r="Y401" s="5428"/>
    </row>
    <row r="402">
      <c r="A402" s="5660" t="s">
        <v>5570</v>
      </c>
      <c r="B402" s="5660">
        <v>46236</v>
      </c>
      <c r="C402" s="5660" t="str">
        <v>Sunday</v>
      </c>
      <c r="D402" s="5664" t="s">
        <v>5339</v>
      </c>
      <c r="E402" s="5661">
        <f t="shared" si="82"/>
      </c>
      <c r="F402" s="5677" t="s">
        <v>5612</v>
      </c>
      <c r="G402" s="5685" t="s">
        <v>5373</v>
      </c>
      <c r="H402" s="5437" t="s">
        <v>5299</v>
      </c>
      <c r="I402" s="5438" t="s">
        <v>5268</v>
      </c>
      <c r="J402" s="5681"/>
      <c r="K402" s="5426"/>
      <c r="L402" s="5426"/>
      <c r="M402" s="5426"/>
      <c r="N402" s="5426"/>
      <c r="O402" s="5426"/>
      <c r="P402" s="5426"/>
      <c r="Q402" s="5426"/>
      <c r="R402" s="5426"/>
      <c r="S402" s="5426"/>
      <c r="T402" s="5426"/>
      <c r="U402" s="5428"/>
      <c r="V402" s="5428"/>
      <c r="W402" s="5428"/>
      <c r="X402" s="5428"/>
      <c r="Y402" s="5428"/>
    </row>
    <row r="403">
      <c r="A403" s="5660" t="s">
        <v>5570</v>
      </c>
      <c r="B403" s="5660">
        <v>46236</v>
      </c>
      <c r="C403" s="5660" t="str">
        <v>Sunday</v>
      </c>
      <c r="D403" s="5664" t="s">
        <v>5596</v>
      </c>
      <c r="E403" s="5661">
        <f t="shared" si="82"/>
      </c>
      <c r="F403" s="5661" t="s">
        <v>5574</v>
      </c>
      <c r="G403" s="5685" t="s">
        <v>5613</v>
      </c>
      <c r="H403" s="5437" t="s">
        <v>5299</v>
      </c>
      <c r="I403" s="5438" t="s">
        <v>5291</v>
      </c>
      <c r="J403" s="5681"/>
      <c r="K403" s="5426"/>
      <c r="L403" s="5426"/>
      <c r="M403" s="5426"/>
      <c r="N403" s="5426"/>
      <c r="O403" s="5426"/>
      <c r="P403" s="5426"/>
      <c r="Q403" s="5426"/>
      <c r="R403" s="5426"/>
      <c r="S403" s="5426"/>
      <c r="T403" s="5426"/>
      <c r="U403" s="5428"/>
      <c r="V403" s="5428"/>
      <c r="W403" s="5428"/>
      <c r="X403" s="5428"/>
      <c r="Y403" s="5428"/>
    </row>
    <row r="404">
      <c r="A404" s="5660" t="s">
        <v>5570</v>
      </c>
      <c r="B404" s="5660">
        <v>46236</v>
      </c>
      <c r="C404" s="5660" t="str">
        <v>Sunday</v>
      </c>
      <c r="D404" s="5664" t="s">
        <v>5588</v>
      </c>
      <c r="E404" s="5661">
        <f t="shared" si="82"/>
      </c>
      <c r="F404" s="5677" t="s">
        <v>5367</v>
      </c>
      <c r="G404" s="5685" t="s">
        <v>5614</v>
      </c>
      <c r="H404" s="5437" t="s">
        <v>5299</v>
      </c>
      <c r="I404" s="5438" t="s">
        <v>5268</v>
      </c>
      <c r="J404" s="5681"/>
      <c r="K404" s="5426"/>
      <c r="L404" s="5426"/>
      <c r="M404" s="5426"/>
      <c r="N404" s="5426"/>
      <c r="O404" s="5426"/>
      <c r="P404" s="5426"/>
      <c r="Q404" s="5426"/>
      <c r="R404" s="5426"/>
      <c r="S404" s="5426"/>
      <c r="T404" s="5426"/>
      <c r="U404" s="5428"/>
      <c r="V404" s="5428"/>
      <c r="W404" s="5428"/>
      <c r="X404" s="5428"/>
      <c r="Y404" s="5428"/>
    </row>
    <row r="405">
      <c r="A405" s="5660" t="s">
        <v>5584</v>
      </c>
      <c r="B405" s="5660">
        <v>46236</v>
      </c>
      <c r="C405" s="5660" t="s">
        <v>5615</v>
      </c>
      <c r="D405" s="5673" t="s">
        <v>5598</v>
      </c>
      <c r="E405" s="5674">
        <f t="shared" si="82"/>
      </c>
      <c r="F405" s="5677" t="s">
        <v>5512</v>
      </c>
      <c r="G405" s="5686"/>
      <c r="H405" s="5437" t="s">
        <v>5299</v>
      </c>
      <c r="I405" s="5438" t="s">
        <v>5268</v>
      </c>
      <c r="J405" s="5681"/>
      <c r="K405" s="5426"/>
      <c r="L405" s="5426"/>
      <c r="M405" s="5426"/>
      <c r="N405" s="5426"/>
      <c r="O405" s="5426"/>
      <c r="P405" s="5426"/>
      <c r="Q405" s="5426"/>
      <c r="R405" s="5426"/>
      <c r="S405" s="5426"/>
      <c r="T405" s="5426"/>
      <c r="U405" s="5428"/>
      <c r="V405" s="5428"/>
      <c r="W405" s="5428"/>
      <c r="X405" s="5428"/>
      <c r="Y405" s="5428"/>
    </row>
    <row r="406">
      <c r="A406" s="5660" t="s">
        <v>5584</v>
      </c>
      <c r="B406" s="5660">
        <v>46236</v>
      </c>
      <c r="C406" s="5660" t="s">
        <v>5615</v>
      </c>
      <c r="D406" s="5673" t="s">
        <v>5339</v>
      </c>
      <c r="E406" s="5674">
        <f t="shared" si="82"/>
      </c>
      <c r="F406" s="5677" t="s">
        <v>5384</v>
      </c>
      <c r="G406" s="5686"/>
      <c r="H406" s="5437" t="s">
        <v>5299</v>
      </c>
      <c r="I406" s="5438" t="s">
        <v>5268</v>
      </c>
      <c r="J406" s="5681"/>
      <c r="K406" s="5426"/>
      <c r="L406" s="5426"/>
      <c r="M406" s="5426"/>
      <c r="N406" s="5426"/>
      <c r="O406" s="5426"/>
      <c r="P406" s="5426"/>
      <c r="Q406" s="5426"/>
      <c r="R406" s="5426"/>
      <c r="S406" s="5426"/>
      <c r="T406" s="5426"/>
      <c r="U406" s="5428"/>
      <c r="V406" s="5428"/>
      <c r="W406" s="5428"/>
      <c r="X406" s="5428"/>
      <c r="Y406" s="5428"/>
    </row>
    <row customHeight="true" ht="18.452380952380953" r="407">
      <c r="A407" s="5660" t="s">
        <v>5584</v>
      </c>
      <c r="B407" s="5660">
        <v>46236</v>
      </c>
      <c r="C407" s="5660" t="s">
        <v>5615</v>
      </c>
      <c r="D407" s="5673" t="s">
        <v>5616</v>
      </c>
      <c r="E407" s="5674">
        <f t="shared" si="82"/>
      </c>
      <c r="F407" s="5677" t="s">
        <v>5384</v>
      </c>
      <c r="G407" s="5686"/>
      <c r="H407" s="5437" t="s">
        <v>5299</v>
      </c>
      <c r="I407" s="5438" t="s">
        <v>5268</v>
      </c>
      <c r="J407" s="5681"/>
      <c r="K407" s="5426"/>
      <c r="L407" s="5426"/>
      <c r="M407" s="5426"/>
      <c r="N407" s="5426"/>
      <c r="O407" s="5426"/>
      <c r="P407" s="5426"/>
      <c r="Q407" s="5426"/>
      <c r="R407" s="5426"/>
      <c r="S407" s="5426"/>
      <c r="T407" s="5426"/>
      <c r="U407" s="5428"/>
      <c r="V407" s="5428"/>
      <c r="W407" s="5428"/>
      <c r="X407" s="5428"/>
      <c r="Y407" s="5428"/>
    </row>
    <row r="408">
      <c r="A408" s="5660" t="s">
        <v>5584</v>
      </c>
      <c r="B408" s="5660">
        <v>46236</v>
      </c>
      <c r="C408" s="5660" t="s">
        <v>5615</v>
      </c>
      <c r="D408" s="5673" t="s">
        <v>5617</v>
      </c>
      <c r="E408" s="5674">
        <f t="shared" si="82"/>
      </c>
      <c r="F408" s="5675" t="s">
        <v>5304</v>
      </c>
      <c r="G408" s="5686"/>
      <c r="H408" s="5437" t="s">
        <v>5299</v>
      </c>
      <c r="I408" s="5438" t="s">
        <v>5268</v>
      </c>
      <c r="J408" s="5681"/>
      <c r="K408" s="5426"/>
      <c r="L408" s="5426"/>
      <c r="M408" s="5426"/>
      <c r="N408" s="5426"/>
      <c r="O408" s="5426"/>
      <c r="P408" s="5426"/>
      <c r="Q408" s="5426"/>
      <c r="R408" s="5426"/>
      <c r="S408" s="5426"/>
      <c r="T408" s="5426"/>
      <c r="U408" s="5427"/>
      <c r="V408" s="5427"/>
      <c r="W408" s="5427"/>
      <c r="X408" s="5427"/>
      <c r="Y408" s="5427"/>
    </row>
    <row customHeight="true" ht="18.452380952380953" r="409">
      <c r="A409" s="5660" t="s">
        <v>5589</v>
      </c>
      <c r="B409" s="5660">
        <v>46236</v>
      </c>
      <c r="C409" s="5660" t="s">
        <v>5615</v>
      </c>
      <c r="D409" s="5673" t="s">
        <v>5618</v>
      </c>
      <c r="E409" s="5674">
        <f t="shared" si="82"/>
      </c>
      <c r="F409" s="5675"/>
      <c r="G409" s="5686"/>
      <c r="H409" s="5437"/>
      <c r="I409" s="5438"/>
      <c r="J409" s="5681"/>
      <c r="K409" s="5426"/>
      <c r="L409" s="5426"/>
      <c r="M409" s="5426"/>
      <c r="N409" s="5426"/>
      <c r="O409" s="5426"/>
      <c r="P409" s="5426"/>
      <c r="Q409" s="5426"/>
      <c r="R409" s="5426"/>
      <c r="S409" s="5426"/>
      <c r="T409" s="5426"/>
      <c r="U409" s="5427"/>
      <c r="V409" s="5427"/>
      <c r="W409" s="5427"/>
      <c r="X409" s="5427"/>
      <c r="Y409" s="5427"/>
    </row>
    <row r="410">
      <c r="A410" s="5687"/>
      <c r="B410" s="5687"/>
      <c r="C410" s="5687"/>
      <c r="D410" s="5687"/>
      <c r="E410" s="5687"/>
      <c r="F410" s="5687"/>
      <c r="G410" s="5687"/>
      <c r="H410" s="5687"/>
      <c r="I410" s="5687"/>
      <c r="J410" s="5617"/>
      <c r="K410" s="5426"/>
      <c r="L410" s="5426"/>
      <c r="M410" s="5426"/>
      <c r="N410" s="5426"/>
      <c r="O410" s="5426"/>
      <c r="P410" s="5426"/>
      <c r="Q410" s="5426"/>
      <c r="R410" s="5426"/>
      <c r="S410" s="5426"/>
      <c r="T410" s="5426"/>
      <c r="U410" s="5428"/>
      <c r="V410" s="5428"/>
      <c r="W410" s="5428"/>
      <c r="X410" s="5428"/>
      <c r="Y410" s="5428"/>
    </row>
    <row r="411">
      <c r="A411" s="5648" t="s">
        <v>5619</v>
      </c>
      <c r="B411" s="5648"/>
      <c r="C411" s="5648"/>
      <c r="D411" s="5648"/>
      <c r="E411" s="5648"/>
      <c r="F411" s="5648"/>
      <c r="G411" s="5648"/>
      <c r="H411" s="5648"/>
      <c r="I411" s="5648"/>
      <c r="J411" s="5648"/>
      <c r="K411" s="5426"/>
      <c r="L411" s="5426"/>
      <c r="M411" s="5426"/>
      <c r="N411" s="5426"/>
      <c r="O411" s="5426"/>
      <c r="P411" s="5426"/>
      <c r="Q411" s="5426"/>
      <c r="R411" s="5426"/>
      <c r="S411" s="5426"/>
      <c r="T411" s="5426"/>
      <c r="U411" s="5428"/>
      <c r="V411" s="5428"/>
      <c r="W411" s="5428"/>
      <c r="X411" s="5428"/>
      <c r="Y411" s="5428"/>
    </row>
    <row r="412">
      <c r="A412" s="5649" t="s">
        <v>5277</v>
      </c>
      <c r="B412" s="5594" t="s">
        <v>5278</v>
      </c>
      <c r="C412" s="5594"/>
      <c r="D412" s="5596" t="s">
        <v>5279</v>
      </c>
      <c r="E412" s="5599" t="s">
        <v>5280</v>
      </c>
      <c r="F412" s="5599" t="s">
        <v>5281</v>
      </c>
      <c r="G412" s="5650" t="s">
        <v>5294</v>
      </c>
      <c r="H412" s="5599" t="s">
        <v>5283</v>
      </c>
      <c r="I412" s="5599" t="s">
        <v>5284</v>
      </c>
      <c r="J412" s="5599" t="s">
        <v>5285</v>
      </c>
      <c r="K412" s="5426"/>
      <c r="L412" s="5426"/>
      <c r="M412" s="5426"/>
      <c r="N412" s="5426"/>
      <c r="O412" s="5426"/>
      <c r="P412" s="5426"/>
      <c r="Q412" s="5426"/>
      <c r="R412" s="5426"/>
      <c r="S412" s="5426"/>
      <c r="T412" s="5426"/>
      <c r="U412" s="5428"/>
      <c r="V412" s="5428"/>
      <c r="W412" s="5428"/>
      <c r="X412" s="5428"/>
      <c r="Y412" s="5428"/>
    </row>
    <row r="413">
      <c r="A413" s="5487" t="s">
        <v>5620</v>
      </c>
      <c r="B413" s="5432">
        <v>46232</v>
      </c>
      <c r="C413" s="5431" t="str">
        <v>Wednesday</v>
      </c>
      <c r="D413" s="5561" t="s">
        <v>5621</v>
      </c>
      <c r="E413" s="5437">
        <f t="shared" ref="E413:E414" si="83">24*MOD(TIMEVALUE(TRIM(MID(D413,FIND("-",D413)+1,LEN(D413)))) - TIMEVALUE(TRIM(LEFT(D413,FIND("-",D413)-1))),1)</f>
      </c>
      <c r="F413" s="5513" t="s">
        <v>5574</v>
      </c>
      <c r="G413" s="5688" t="s">
        <v>5610</v>
      </c>
      <c r="H413" s="5437"/>
      <c r="I413" s="5661" t="s">
        <v>5268</v>
      </c>
      <c r="J413" s="5689"/>
      <c r="K413" s="5426"/>
      <c r="L413" s="5426"/>
      <c r="M413" s="5426"/>
      <c r="N413" s="5426"/>
      <c r="O413" s="5426"/>
      <c r="P413" s="5426"/>
      <c r="Q413" s="5426"/>
      <c r="R413" s="5426"/>
      <c r="S413" s="5426"/>
      <c r="T413" s="5426"/>
      <c r="U413" s="5428"/>
      <c r="V413" s="5428"/>
      <c r="W413" s="5428"/>
      <c r="X413" s="5428"/>
      <c r="Y413" s="5428"/>
    </row>
    <row r="414">
      <c r="A414" s="5487" t="s">
        <v>5584</v>
      </c>
      <c r="B414" s="5432">
        <v>46232</v>
      </c>
      <c r="C414" s="5431" t="str">
        <v>Wednesday</v>
      </c>
      <c r="D414" s="5561" t="s">
        <v>5622</v>
      </c>
      <c r="E414" s="5437">
        <f t="shared" si="83"/>
      </c>
      <c r="F414" s="5513" t="s">
        <v>5384</v>
      </c>
      <c r="G414" s="5688" t="s">
        <v>5623</v>
      </c>
      <c r="H414" s="5437"/>
      <c r="I414" s="5661" t="s">
        <v>5268</v>
      </c>
      <c r="J414" s="5689"/>
      <c r="K414" s="5426"/>
      <c r="L414" s="5426"/>
      <c r="M414" s="5426"/>
      <c r="N414" s="5426"/>
      <c r="O414" s="5426"/>
      <c r="P414" s="5426"/>
      <c r="Q414" s="5426"/>
      <c r="R414" s="5426"/>
      <c r="S414" s="5426"/>
      <c r="T414" s="5426"/>
      <c r="U414" s="5428"/>
      <c r="V414" s="5428"/>
      <c r="W414" s="5428"/>
      <c r="X414" s="5428"/>
      <c r="Y414" s="5428"/>
    </row>
    <row r="415">
      <c r="A415" s="5487"/>
      <c r="B415" s="5431"/>
      <c r="C415" s="5431"/>
      <c r="D415" s="5437"/>
      <c r="E415" s="5437"/>
      <c r="F415" s="5437"/>
      <c r="G415" s="5690"/>
      <c r="H415" s="5437"/>
      <c r="I415" s="5661"/>
      <c r="J415" s="5689"/>
      <c r="K415" s="5426"/>
      <c r="L415" s="5426"/>
      <c r="M415" s="5426"/>
      <c r="N415" s="5426"/>
      <c r="O415" s="5426"/>
      <c r="P415" s="5426"/>
      <c r="Q415" s="5426"/>
      <c r="R415" s="5426"/>
      <c r="S415" s="5426"/>
      <c r="T415" s="5426"/>
      <c r="U415" s="5428"/>
      <c r="V415" s="5428"/>
      <c r="W415" s="5428"/>
      <c r="X415" s="5428"/>
      <c r="Y415" s="5428"/>
    </row>
    <row customHeight="true" ht="16.071428571428573" r="416">
      <c r="A416" s="5487"/>
      <c r="B416" s="5431"/>
      <c r="C416" s="5431"/>
      <c r="D416" s="5437"/>
      <c r="E416" s="5437"/>
      <c r="F416" s="5437"/>
      <c r="G416" s="5690"/>
      <c r="H416" s="5437"/>
      <c r="I416" s="5661"/>
      <c r="J416" s="5689"/>
      <c r="K416" s="5426"/>
      <c r="L416" s="5426"/>
      <c r="M416" s="5426"/>
      <c r="N416" s="5426"/>
      <c r="O416" s="5426"/>
      <c r="P416" s="5426"/>
      <c r="Q416" s="5426"/>
      <c r="R416" s="5426"/>
      <c r="S416" s="5426"/>
      <c r="T416" s="5426"/>
      <c r="U416" s="5428"/>
      <c r="V416" s="5428"/>
      <c r="W416" s="5428"/>
      <c r="X416" s="5428"/>
      <c r="Y416" s="5428"/>
    </row>
    <row customHeight="true" ht="33.23485645144371" r="417">
      <c r="A417" s="5691" t="s">
        <v>5624</v>
      </c>
      <c r="B417" s="5691"/>
      <c r="C417" s="5691"/>
      <c r="D417" s="5691"/>
      <c r="E417" s="5691"/>
      <c r="F417" s="5691"/>
      <c r="G417" s="5691"/>
      <c r="H417" s="5691"/>
      <c r="I417" s="5691"/>
      <c r="J417" s="5691"/>
      <c r="K417" s="5426"/>
      <c r="L417" s="5426"/>
      <c r="M417" s="5426"/>
      <c r="N417" s="5426"/>
      <c r="O417" s="5426"/>
      <c r="P417" s="5426"/>
      <c r="Q417" s="5426"/>
      <c r="R417" s="5426"/>
      <c r="S417" s="5426"/>
      <c r="T417" s="5426"/>
      <c r="U417" s="5428"/>
      <c r="V417" s="5428"/>
      <c r="W417" s="5428"/>
      <c r="X417" s="5428"/>
      <c r="Y417" s="5428"/>
    </row>
    <row customHeight="true" ht="27.760108931548054" r="418">
      <c r="A418" s="5692" t="s">
        <v>5277</v>
      </c>
      <c r="B418" s="5693" t="s">
        <v>5278</v>
      </c>
      <c r="C418" s="5693"/>
      <c r="D418" s="5694" t="s">
        <v>5279</v>
      </c>
      <c r="E418" s="5694" t="s">
        <v>5280</v>
      </c>
      <c r="F418" s="5694" t="s">
        <v>5281</v>
      </c>
      <c r="G418" s="5695" t="s">
        <v>5294</v>
      </c>
      <c r="H418" s="5694" t="s">
        <v>5283</v>
      </c>
      <c r="I418" s="5694" t="s">
        <v>5284</v>
      </c>
      <c r="J418" s="5694" t="s">
        <v>5285</v>
      </c>
      <c r="K418" s="5426"/>
      <c r="L418" s="5426"/>
      <c r="M418" s="5426"/>
      <c r="N418" s="5426"/>
      <c r="O418" s="5426"/>
      <c r="P418" s="5426"/>
      <c r="Q418" s="5426"/>
      <c r="R418" s="5426"/>
      <c r="S418" s="5426"/>
      <c r="T418" s="5426"/>
      <c r="U418" s="5428"/>
      <c r="V418" s="5428"/>
      <c r="W418" s="5428"/>
      <c r="X418" s="5428"/>
      <c r="Y418" s="5428"/>
    </row>
    <row customHeight="true" ht="16.071428571428573" r="419">
      <c r="A419" s="5431" t="s">
        <v>5625</v>
      </c>
      <c r="B419" s="5431">
        <v>46230</v>
      </c>
      <c r="C419" s="5431" t="str">
        <v>Monday</v>
      </c>
      <c r="D419" s="5501" t="s">
        <v>5415</v>
      </c>
      <c r="E419" s="5437">
        <f t="shared" ref="E419:E430" si="84">24*MOD(TIMEVALUE(TRIM(MID(D419,FIND("-",D419)+1,LEN(D419)))) - TIMEVALUE(TRIM(LEFT(D419,FIND("-",D419)-1))),1)</f>
      </c>
      <c r="F419" s="5438" t="s">
        <v>5626</v>
      </c>
      <c r="G419" s="5486"/>
      <c r="H419" s="5437" t="s">
        <v>5299</v>
      </c>
      <c r="I419" s="5438" t="s">
        <v>5268</v>
      </c>
      <c r="J419" s="5437"/>
      <c r="K419" s="5426"/>
      <c r="L419" s="5426"/>
      <c r="M419" s="5426"/>
      <c r="N419" s="5426"/>
      <c r="O419" s="5426"/>
      <c r="P419" s="5426"/>
      <c r="Q419" s="5426"/>
      <c r="R419" s="5426"/>
      <c r="S419" s="5426"/>
      <c r="T419" s="5426"/>
      <c r="U419" s="5428"/>
      <c r="V419" s="5428"/>
      <c r="W419" s="5428"/>
      <c r="X419" s="5428"/>
      <c r="Y419" s="5428"/>
    </row>
    <row customHeight="true" ht="16.071428571428573" r="420">
      <c r="A420" s="5696" t="s">
        <v>5625</v>
      </c>
      <c r="B420" s="5696">
        <v>46231</v>
      </c>
      <c r="C420" s="5696" t="str">
        <v>Tuesday</v>
      </c>
      <c r="D420" s="5697" t="s">
        <v>5343</v>
      </c>
      <c r="E420" s="5698">
        <f t="shared" si="84"/>
      </c>
      <c r="F420" s="5698" t="s">
        <v>5626</v>
      </c>
      <c r="G420" s="5699"/>
      <c r="H420" s="5698" t="s">
        <v>5299</v>
      </c>
      <c r="I420" s="5438" t="s">
        <v>5268</v>
      </c>
      <c r="J420" s="5698"/>
      <c r="K420" s="5700"/>
      <c r="L420" s="5700"/>
      <c r="M420" s="5700"/>
      <c r="N420" s="5700"/>
      <c r="O420" s="5700"/>
      <c r="P420" s="5700"/>
      <c r="Q420" s="5700"/>
      <c r="R420" s="5700"/>
      <c r="S420" s="5700"/>
      <c r="T420" s="5700"/>
      <c r="U420" s="5701"/>
      <c r="V420" s="5701"/>
      <c r="W420" s="5701"/>
      <c r="X420" s="5701"/>
      <c r="Y420" s="5701"/>
    </row>
    <row customHeight="true" ht="16.071428571428573" r="421">
      <c r="A421" s="5431" t="s">
        <v>5625</v>
      </c>
      <c r="B421" s="5431">
        <v>46232</v>
      </c>
      <c r="C421" s="5431" t="str">
        <v>Wednesday</v>
      </c>
      <c r="D421" s="5501" t="s">
        <v>5321</v>
      </c>
      <c r="E421" s="5437">
        <f t="shared" si="84"/>
      </c>
      <c r="F421" s="5438" t="s">
        <v>5626</v>
      </c>
      <c r="G421" s="5486"/>
      <c r="H421" s="5437" t="s">
        <v>5299</v>
      </c>
      <c r="I421" s="5438" t="s">
        <v>5268</v>
      </c>
      <c r="J421" s="5437"/>
      <c r="K421" s="5426"/>
      <c r="L421" s="5426"/>
      <c r="M421" s="5426"/>
      <c r="N421" s="5426"/>
      <c r="O421" s="5426"/>
      <c r="P421" s="5426"/>
      <c r="Q421" s="5426"/>
      <c r="R421" s="5426"/>
      <c r="S421" s="5426"/>
      <c r="T421" s="5426"/>
      <c r="U421" s="5428"/>
      <c r="V421" s="5428"/>
      <c r="W421" s="5428"/>
      <c r="X421" s="5428"/>
      <c r="Y421" s="5428"/>
    </row>
    <row customHeight="true" ht="16.071428571428573" r="422">
      <c r="A422" s="5696" t="s">
        <v>5625</v>
      </c>
      <c r="B422" s="5696">
        <v>46234</v>
      </c>
      <c r="C422" s="5696" t="str">
        <v>Friday</v>
      </c>
      <c r="D422" s="5698" t="s">
        <v>5321</v>
      </c>
      <c r="E422" s="5698">
        <f t="shared" si="84"/>
      </c>
      <c r="F422" s="5698" t="s">
        <v>5627</v>
      </c>
      <c r="G422" s="5699"/>
      <c r="H422" s="5698" t="s">
        <v>5299</v>
      </c>
      <c r="I422" s="5438" t="s">
        <v>5268</v>
      </c>
      <c r="J422" s="5698"/>
      <c r="K422" s="5700"/>
      <c r="L422" s="5700"/>
      <c r="M422" s="5700"/>
      <c r="N422" s="5700"/>
      <c r="O422" s="5700"/>
      <c r="P422" s="5700"/>
      <c r="Q422" s="5700"/>
      <c r="R422" s="5700"/>
      <c r="S422" s="5700"/>
      <c r="T422" s="5700"/>
      <c r="U422" s="5428"/>
      <c r="V422" s="5428"/>
      <c r="W422" s="5428"/>
      <c r="X422" s="5428"/>
      <c r="Y422" s="5428"/>
    </row>
    <row customHeight="true" ht="16.071428571428573" r="423">
      <c r="A423" s="5431" t="s">
        <v>5625</v>
      </c>
      <c r="B423" s="5431">
        <v>46235</v>
      </c>
      <c r="C423" s="5431" t="str">
        <v>Saturday</v>
      </c>
      <c r="D423" s="5501" t="s">
        <v>5321</v>
      </c>
      <c r="E423" s="5501">
        <f t="shared" si="84"/>
      </c>
      <c r="F423" s="5438" t="s">
        <v>5525</v>
      </c>
      <c r="G423" s="5653"/>
      <c r="H423" s="5501" t="s">
        <v>5299</v>
      </c>
      <c r="I423" s="5438" t="s">
        <v>5268</v>
      </c>
      <c r="J423" s="5501"/>
      <c r="K423" s="5654"/>
      <c r="L423" s="5654"/>
      <c r="M423" s="5654"/>
      <c r="N423" s="5654"/>
      <c r="O423" s="5654"/>
      <c r="P423" s="5654"/>
      <c r="Q423" s="5654"/>
      <c r="R423" s="5654"/>
      <c r="S423" s="5654"/>
      <c r="T423" s="5654"/>
      <c r="U423" s="5428"/>
      <c r="V423" s="5428"/>
      <c r="W423" s="5428"/>
      <c r="X423" s="5428"/>
      <c r="Y423" s="5428"/>
    </row>
    <row customHeight="true" ht="16.071428571428573" r="424">
      <c r="A424" s="5696" t="s">
        <v>5625</v>
      </c>
      <c r="B424" s="5696">
        <v>46236</v>
      </c>
      <c r="C424" s="5696" t="str">
        <v>Sunday</v>
      </c>
      <c r="D424" s="5702" t="s">
        <v>5321</v>
      </c>
      <c r="E424" s="5702">
        <f t="shared" si="84"/>
      </c>
      <c r="F424" s="5698" t="s">
        <v>5627</v>
      </c>
      <c r="G424" s="5703"/>
      <c r="H424" s="5702" t="s">
        <v>5299</v>
      </c>
      <c r="I424" s="5438" t="s">
        <v>5268</v>
      </c>
      <c r="J424" s="5702"/>
      <c r="K424" s="5704"/>
      <c r="L424" s="5704"/>
      <c r="M424" s="5704"/>
      <c r="N424" s="5704"/>
      <c r="O424" s="5704"/>
      <c r="P424" s="5704"/>
      <c r="Q424" s="5704"/>
      <c r="R424" s="5704"/>
      <c r="S424" s="5704"/>
      <c r="T424" s="5704"/>
      <c r="U424" s="5701"/>
      <c r="V424" s="5701"/>
      <c r="W424" s="5701"/>
      <c r="X424" s="5701"/>
      <c r="Y424" s="5701"/>
    </row>
    <row customHeight="true" ht="16.071428571428573" r="425">
      <c r="A425" s="5431" t="s">
        <v>5628</v>
      </c>
      <c r="B425" s="5431">
        <v>46230</v>
      </c>
      <c r="C425" s="5431" t="str">
        <v>Monday</v>
      </c>
      <c r="D425" s="5433" t="s">
        <v>5629</v>
      </c>
      <c r="E425" s="5437">
        <f t="shared" si="84"/>
      </c>
      <c r="F425" s="5501" t="s">
        <v>5586</v>
      </c>
      <c r="G425" s="5467"/>
      <c r="H425" s="5437" t="s">
        <v>5299</v>
      </c>
      <c r="I425" s="5438" t="s">
        <v>5268</v>
      </c>
      <c r="J425" s="5438"/>
      <c r="K425" s="5426"/>
      <c r="L425" s="5426"/>
      <c r="M425" s="5426"/>
      <c r="N425" s="5426"/>
      <c r="O425" s="5426"/>
      <c r="P425" s="5426"/>
      <c r="Q425" s="5426"/>
      <c r="R425" s="5426"/>
      <c r="S425" s="5426"/>
      <c r="T425" s="5426"/>
      <c r="U425" s="5428"/>
      <c r="V425" s="5428"/>
      <c r="W425" s="5428"/>
      <c r="X425" s="5428"/>
      <c r="Y425" s="5428"/>
    </row>
    <row customHeight="true" ht="16.071428571428573" r="426">
      <c r="A426" s="5431" t="s">
        <v>5628</v>
      </c>
      <c r="B426" s="5431">
        <v>46231</v>
      </c>
      <c r="C426" s="5431" t="str">
        <v>Tuesday</v>
      </c>
      <c r="D426" s="5433" t="s">
        <v>5474</v>
      </c>
      <c r="E426" s="5437">
        <f t="shared" si="84"/>
      </c>
      <c r="F426" s="5501" t="s">
        <v>5586</v>
      </c>
      <c r="G426" s="5467"/>
      <c r="H426" s="5437" t="s">
        <v>5299</v>
      </c>
      <c r="I426" s="5438" t="s">
        <v>5268</v>
      </c>
      <c r="J426" s="5438"/>
      <c r="K426" s="5426"/>
      <c r="L426" s="5426"/>
      <c r="M426" s="5426"/>
      <c r="N426" s="5426"/>
      <c r="O426" s="5426"/>
      <c r="P426" s="5426"/>
      <c r="Q426" s="5426"/>
      <c r="R426" s="5426"/>
      <c r="S426" s="5426"/>
      <c r="T426" s="5426"/>
      <c r="U426" s="5428"/>
      <c r="V426" s="5428"/>
      <c r="W426" s="5428"/>
      <c r="X426" s="5428"/>
      <c r="Y426" s="5428"/>
    </row>
    <row customHeight="true" ht="16.071428571428573" r="427">
      <c r="A427" s="5431" t="s">
        <v>5628</v>
      </c>
      <c r="B427" s="5431">
        <v>46232</v>
      </c>
      <c r="C427" s="5431" t="str">
        <v>Wednesday</v>
      </c>
      <c r="D427" s="5433" t="s">
        <v>5630</v>
      </c>
      <c r="E427" s="5437">
        <f t="shared" si="84"/>
      </c>
      <c r="F427" s="5501" t="s">
        <v>5586</v>
      </c>
      <c r="G427" s="5467"/>
      <c r="H427" s="5437" t="s">
        <v>5299</v>
      </c>
      <c r="I427" s="5438" t="s">
        <v>5268</v>
      </c>
      <c r="J427" s="5438"/>
      <c r="K427" s="5426"/>
      <c r="L427" s="5426"/>
      <c r="M427" s="5426"/>
      <c r="N427" s="5426"/>
      <c r="O427" s="5426"/>
      <c r="P427" s="5426"/>
      <c r="Q427" s="5426"/>
      <c r="R427" s="5426"/>
      <c r="S427" s="5426"/>
      <c r="T427" s="5426"/>
      <c r="U427" s="5428"/>
      <c r="V427" s="5428"/>
      <c r="W427" s="5428"/>
      <c r="X427" s="5428"/>
      <c r="Y427" s="5428"/>
    </row>
    <row customHeight="true" ht="16.071428571428573" r="428">
      <c r="A428" s="5431" t="s">
        <v>5628</v>
      </c>
      <c r="B428" s="5432">
        <v>46234</v>
      </c>
      <c r="C428" s="5431" t="str">
        <v>Friday</v>
      </c>
      <c r="D428" s="5433" t="s">
        <v>5630</v>
      </c>
      <c r="E428" s="5437">
        <f t="shared" si="84"/>
      </c>
      <c r="F428" s="5501" t="s">
        <v>5586</v>
      </c>
      <c r="G428" s="5467"/>
      <c r="H428" s="5437" t="s">
        <v>5299</v>
      </c>
      <c r="I428" s="5438" t="s">
        <v>5268</v>
      </c>
      <c r="J428" s="5438"/>
      <c r="K428" s="5426"/>
      <c r="L428" s="5426"/>
      <c r="M428" s="5426"/>
      <c r="N428" s="5426"/>
      <c r="O428" s="5426"/>
      <c r="P428" s="5426"/>
      <c r="Q428" s="5426"/>
      <c r="R428" s="5426"/>
      <c r="S428" s="5426"/>
      <c r="T428" s="5426"/>
      <c r="U428" s="5428"/>
      <c r="V428" s="5428"/>
      <c r="W428" s="5428"/>
      <c r="X428" s="5428"/>
      <c r="Y428" s="5428"/>
    </row>
    <row customHeight="true" ht="16.071428571428573" r="429">
      <c r="A429" s="5431" t="s">
        <v>5628</v>
      </c>
      <c r="B429" s="5432">
        <v>46235</v>
      </c>
      <c r="C429" s="5431" t="str">
        <v>Saturday</v>
      </c>
      <c r="D429" s="5433" t="s">
        <v>5630</v>
      </c>
      <c r="E429" s="5437">
        <f t="shared" si="84"/>
      </c>
      <c r="F429" s="5501" t="s">
        <v>5586</v>
      </c>
      <c r="G429" s="5467"/>
      <c r="H429" s="5437" t="s">
        <v>5299</v>
      </c>
      <c r="I429" s="5438" t="s">
        <v>5268</v>
      </c>
      <c r="J429" s="5438"/>
      <c r="K429" s="5426"/>
      <c r="L429" s="5426"/>
      <c r="M429" s="5426"/>
      <c r="N429" s="5426"/>
      <c r="O429" s="5426"/>
      <c r="P429" s="5426"/>
      <c r="Q429" s="5426"/>
      <c r="R429" s="5426"/>
      <c r="S429" s="5426"/>
      <c r="T429" s="5426"/>
      <c r="U429" s="5428"/>
      <c r="V429" s="5428"/>
      <c r="W429" s="5428"/>
      <c r="X429" s="5428"/>
      <c r="Y429" s="5428"/>
    </row>
    <row customHeight="true" ht="16.071428571428573" r="430">
      <c r="A430" s="5431" t="s">
        <v>5628</v>
      </c>
      <c r="B430" s="5432">
        <v>46236</v>
      </c>
      <c r="C430" s="5431" t="str">
        <v>Sunday</v>
      </c>
      <c r="D430" s="5433" t="s">
        <v>5630</v>
      </c>
      <c r="E430" s="5437">
        <f t="shared" si="84"/>
      </c>
      <c r="F430" s="5501" t="s">
        <v>5586</v>
      </c>
      <c r="G430" s="5467"/>
      <c r="H430" s="5437" t="s">
        <v>5299</v>
      </c>
      <c r="I430" s="5438" t="s">
        <v>5268</v>
      </c>
      <c r="J430" s="5438"/>
      <c r="K430" s="5427"/>
      <c r="L430" s="5427"/>
      <c r="M430" s="5427"/>
      <c r="N430" s="5427"/>
      <c r="O430" s="5427"/>
      <c r="P430" s="5427"/>
      <c r="Q430" s="5427"/>
      <c r="R430" s="5427"/>
      <c r="S430" s="5427"/>
      <c r="T430" s="5427"/>
      <c r="U430" s="5428"/>
      <c r="V430" s="5428"/>
      <c r="W430" s="5428"/>
      <c r="X430" s="5428"/>
      <c r="Y430" s="5428"/>
    </row>
    <row customHeight="true" ht="16.071428571428573" r="431">
      <c r="A431" s="5431"/>
      <c r="B431" s="5431"/>
      <c r="C431" s="5431"/>
      <c r="D431" s="5438"/>
      <c r="E431" s="5437"/>
      <c r="F431" s="5501"/>
      <c r="G431" s="5467"/>
      <c r="H431" s="5437"/>
      <c r="I431" s="5438"/>
      <c r="J431" s="5438"/>
      <c r="K431" s="5427"/>
      <c r="L431" s="5427"/>
      <c r="M431" s="5427"/>
      <c r="N431" s="5427"/>
      <c r="O431" s="5427"/>
      <c r="P431" s="5427"/>
      <c r="Q431" s="5427"/>
      <c r="R431" s="5427"/>
      <c r="S431" s="5427"/>
      <c r="T431" s="5427"/>
      <c r="U431" s="5428"/>
      <c r="V431" s="5428"/>
      <c r="W431" s="5428"/>
      <c r="X431" s="5428"/>
      <c r="Y431" s="5428"/>
    </row>
    <row customHeight="true" ht="16.071428571428573" r="432">
      <c r="A432" s="5431" t="s">
        <v>5631</v>
      </c>
      <c r="B432" s="5431">
        <v>46218</v>
      </c>
      <c r="C432" s="5431" t="str">
        <v>Wednesday</v>
      </c>
      <c r="D432" s="5501" t="s">
        <v>5492</v>
      </c>
      <c r="E432" s="5437">
        <f t="shared" ref="E432:E433" si="85">24*MOD(TIMEVALUE(TRIM(MID(D432,FIND("-",D432)+1,LEN(D432)))) - TIMEVALUE(TRIM(LEFT(D432,FIND("-",D432)-1))),1)</f>
      </c>
      <c r="F432" s="5438"/>
      <c r="G432" s="5467"/>
      <c r="H432" s="5500" t="s">
        <v>5299</v>
      </c>
      <c r="I432" s="5438" t="s">
        <v>5291</v>
      </c>
      <c r="J432" s="5438"/>
      <c r="K432" s="5427"/>
      <c r="L432" s="5427"/>
      <c r="M432" s="5427"/>
      <c r="N432" s="5427"/>
      <c r="O432" s="5427"/>
      <c r="P432" s="5427"/>
      <c r="Q432" s="5427"/>
      <c r="R432" s="5427"/>
      <c r="S432" s="5427"/>
      <c r="T432" s="5427"/>
      <c r="U432" s="5428"/>
      <c r="V432" s="5428"/>
      <c r="W432" s="5428"/>
      <c r="X432" s="5428"/>
      <c r="Y432" s="5428"/>
    </row>
    <row customHeight="true" ht="16.071428571428573" r="433">
      <c r="A433" s="5431" t="s">
        <v>5631</v>
      </c>
      <c r="B433" s="5432">
        <v>46235</v>
      </c>
      <c r="C433" s="5431" t="str">
        <v>Saturday</v>
      </c>
      <c r="D433" s="5705" t="s">
        <v>5492</v>
      </c>
      <c r="E433" s="5501">
        <f t="shared" si="85"/>
      </c>
      <c r="F433" s="5438"/>
      <c r="G433" s="5706"/>
      <c r="H433" s="5501" t="s">
        <v>5299</v>
      </c>
      <c r="I433" s="5438" t="s">
        <v>5291</v>
      </c>
      <c r="J433" s="5501"/>
      <c r="K433" s="5654"/>
      <c r="L433" s="5654"/>
      <c r="M433" s="5654"/>
      <c r="N433" s="5654"/>
      <c r="O433" s="5654"/>
      <c r="P433" s="5654"/>
      <c r="Q433" s="5654"/>
      <c r="R433" s="5654"/>
      <c r="S433" s="5654"/>
      <c r="T433" s="5654"/>
      <c r="U433" s="5428"/>
      <c r="V433" s="5428"/>
      <c r="W433" s="5428"/>
      <c r="X433" s="5428"/>
      <c r="Y433" s="5428"/>
    </row>
    <row customHeight="true" ht="16.071428571428573" r="434">
      <c r="A434" s="5487"/>
      <c r="B434" s="5431"/>
      <c r="C434" s="5431"/>
      <c r="D434" s="5437"/>
      <c r="E434" s="5437"/>
      <c r="F434" s="5437"/>
      <c r="G434" s="5690"/>
      <c r="H434" s="5437"/>
      <c r="I434" s="5513"/>
      <c r="J434" s="5689"/>
      <c r="K434" s="5426"/>
      <c r="L434" s="5426"/>
      <c r="M434" s="5426"/>
      <c r="N434" s="5426"/>
      <c r="O434" s="5426"/>
      <c r="P434" s="5426"/>
      <c r="Q434" s="5426"/>
      <c r="R434" s="5426"/>
      <c r="S434" s="5426"/>
      <c r="T434" s="5426"/>
      <c r="U434" s="5428"/>
      <c r="V434" s="5428"/>
      <c r="W434" s="5428"/>
      <c r="X434" s="5428"/>
      <c r="Y434" s="5428"/>
    </row>
    <row customHeight="true" ht="16.071428571428573" r="435">
      <c r="A435" s="5487"/>
      <c r="B435" s="5431"/>
      <c r="C435" s="5431"/>
      <c r="D435" s="5437"/>
      <c r="E435" s="5437"/>
      <c r="F435" s="5437"/>
      <c r="G435" s="5690"/>
      <c r="H435" s="5437"/>
      <c r="I435" s="5513"/>
      <c r="J435" s="5689"/>
      <c r="K435" s="5426"/>
      <c r="L435" s="5426"/>
      <c r="M435" s="5426"/>
      <c r="N435" s="5426"/>
      <c r="O435" s="5426"/>
      <c r="P435" s="5426"/>
      <c r="Q435" s="5426"/>
      <c r="R435" s="5426"/>
      <c r="S435" s="5426"/>
      <c r="T435" s="5426"/>
      <c r="U435" s="5428"/>
      <c r="V435" s="5428"/>
      <c r="W435" s="5428"/>
      <c r="X435" s="5428"/>
      <c r="Y435" s="5428"/>
    </row>
    <row customHeight="true" ht="16.071428571428573" r="436">
      <c r="A436" s="5487"/>
      <c r="B436" s="5431"/>
      <c r="C436" s="5431"/>
      <c r="D436" s="5437"/>
      <c r="E436" s="5437"/>
      <c r="F436" s="5437"/>
      <c r="G436" s="5690"/>
      <c r="H436" s="5437"/>
      <c r="I436" s="5513"/>
      <c r="J436" s="5689"/>
      <c r="K436" s="5426"/>
      <c r="L436" s="5426"/>
      <c r="M436" s="5426"/>
      <c r="N436" s="5426"/>
      <c r="O436" s="5426"/>
      <c r="P436" s="5426"/>
      <c r="Q436" s="5426"/>
      <c r="R436" s="5426"/>
      <c r="S436" s="5426"/>
      <c r="T436" s="5426"/>
      <c r="U436" s="5428"/>
      <c r="V436" s="5428"/>
      <c r="W436" s="5428"/>
      <c r="X436" s="5428"/>
      <c r="Y436" s="5428"/>
    </row>
    <row r="437">
      <c r="A437" s="5707"/>
      <c r="B437" s="5707"/>
      <c r="C437" s="5707"/>
      <c r="D437" s="5707"/>
      <c r="E437" s="5707"/>
      <c r="F437" s="5707"/>
      <c r="G437" s="5707"/>
      <c r="H437" s="5707"/>
      <c r="I437" s="5707"/>
      <c r="J437" s="5707"/>
      <c r="K437" s="5426"/>
      <c r="L437" s="5426"/>
      <c r="M437" s="5426"/>
      <c r="N437" s="5426"/>
      <c r="O437" s="5426"/>
      <c r="P437" s="5426"/>
      <c r="Q437" s="5426"/>
      <c r="R437" s="5426"/>
      <c r="S437" s="5426"/>
      <c r="T437" s="5426"/>
      <c r="U437" s="5428"/>
      <c r="V437" s="5428"/>
      <c r="W437" s="5428"/>
      <c r="X437" s="5428"/>
      <c r="Y437" s="5428"/>
    </row>
    <row r="438">
      <c r="A438" s="5608" t="s">
        <v>5277</v>
      </c>
      <c r="B438" s="5609" t="s">
        <v>5278</v>
      </c>
      <c r="C438" s="5609"/>
      <c r="D438" s="5610" t="s">
        <v>5279</v>
      </c>
      <c r="E438" s="5611" t="s">
        <v>5280</v>
      </c>
      <c r="F438" s="5611" t="s">
        <v>5281</v>
      </c>
      <c r="G438" s="5611"/>
      <c r="H438" s="5613" t="s">
        <v>5283</v>
      </c>
      <c r="I438" s="5614" t="s">
        <v>5284</v>
      </c>
      <c r="J438" s="5614" t="s">
        <v>5285</v>
      </c>
      <c r="K438" s="5426"/>
      <c r="L438" s="5426"/>
      <c r="M438" s="5426"/>
      <c r="N438" s="5426"/>
      <c r="O438" s="5426"/>
      <c r="P438" s="5426"/>
      <c r="Q438" s="5426"/>
      <c r="R438" s="5426"/>
      <c r="S438" s="5426"/>
      <c r="T438" s="5426"/>
      <c r="U438" s="5428"/>
      <c r="V438" s="5428"/>
      <c r="W438" s="5428"/>
      <c r="X438" s="5428"/>
      <c r="Y438" s="5428"/>
    </row>
    <row r="439">
      <c r="A439" s="5431"/>
      <c r="B439" s="5431"/>
      <c r="C439" s="5431"/>
      <c r="D439" s="5438"/>
      <c r="E439" s="5438"/>
      <c r="F439" s="5438"/>
      <c r="G439" s="5690"/>
      <c r="H439" s="5434" t="s">
        <v>5299</v>
      </c>
      <c r="I439" s="5438" t="s">
        <v>5268</v>
      </c>
      <c r="J439" s="5567"/>
      <c r="K439" s="5426"/>
      <c r="L439" s="5426"/>
      <c r="M439" s="5426"/>
      <c r="N439" s="5426"/>
      <c r="O439" s="5426"/>
      <c r="P439" s="5426"/>
      <c r="Q439" s="5426"/>
      <c r="R439" s="5426"/>
      <c r="S439" s="5426"/>
      <c r="T439" s="5426"/>
      <c r="U439" s="5428"/>
      <c r="V439" s="5428"/>
      <c r="W439" s="5428"/>
      <c r="X439" s="5428"/>
      <c r="Y439" s="5428"/>
    </row>
    <row r="440">
      <c r="A440" s="5431"/>
      <c r="B440" s="5431"/>
      <c r="C440" s="5431"/>
      <c r="D440" s="5438"/>
      <c r="E440" s="5438"/>
      <c r="F440" s="5438"/>
      <c r="G440" s="5690"/>
      <c r="H440" s="5434" t="s">
        <v>5299</v>
      </c>
      <c r="I440" s="5438" t="s">
        <v>5268</v>
      </c>
      <c r="J440" s="5689"/>
      <c r="K440" s="5426"/>
      <c r="L440" s="5426"/>
      <c r="M440" s="5426"/>
      <c r="N440" s="5426"/>
      <c r="O440" s="5426"/>
      <c r="P440" s="5426"/>
      <c r="Q440" s="5426"/>
      <c r="R440" s="5426"/>
      <c r="S440" s="5426"/>
      <c r="T440" s="5426"/>
      <c r="U440" s="5428"/>
      <c r="V440" s="5428"/>
      <c r="W440" s="5428"/>
      <c r="X440" s="5428"/>
      <c r="Y440" s="5428"/>
    </row>
    <row r="441">
      <c r="A441" s="5431"/>
      <c r="B441" s="5431"/>
      <c r="C441" s="5431"/>
      <c r="D441" s="5438"/>
      <c r="E441" s="5438"/>
      <c r="F441" s="5438"/>
      <c r="G441" s="5690"/>
      <c r="H441" s="5434" t="s">
        <v>5299</v>
      </c>
      <c r="I441" s="5438" t="s">
        <v>5268</v>
      </c>
      <c r="J441" s="5689"/>
      <c r="K441" s="5426"/>
      <c r="L441" s="5426"/>
      <c r="M441" s="5426"/>
      <c r="N441" s="5426"/>
      <c r="O441" s="5426"/>
      <c r="P441" s="5426"/>
      <c r="Q441" s="5426"/>
      <c r="R441" s="5426"/>
      <c r="S441" s="5426"/>
      <c r="T441" s="5426"/>
      <c r="U441" s="5428"/>
      <c r="V441" s="5428"/>
      <c r="W441" s="5428"/>
      <c r="X441" s="5428"/>
      <c r="Y441" s="5428"/>
    </row>
    <row r="442">
      <c r="A442" s="5431"/>
      <c r="B442" s="5431"/>
      <c r="C442" s="5431"/>
      <c r="D442" s="5438"/>
      <c r="E442" s="5438"/>
      <c r="F442" s="5437"/>
      <c r="G442" s="5438"/>
      <c r="H442" s="5434"/>
      <c r="I442" s="5438"/>
      <c r="J442" s="5567"/>
      <c r="K442" s="5426"/>
      <c r="L442" s="5426"/>
      <c r="M442" s="5426"/>
      <c r="N442" s="5426"/>
      <c r="O442" s="5426"/>
      <c r="P442" s="5426"/>
      <c r="Q442" s="5426"/>
      <c r="R442" s="5426"/>
      <c r="S442" s="5426"/>
      <c r="T442" s="5426"/>
      <c r="U442" s="5428"/>
      <c r="V442" s="5428"/>
      <c r="W442" s="5428"/>
      <c r="X442" s="5428"/>
      <c r="Y442" s="5428"/>
    </row>
    <row r="443">
      <c r="A443" s="5617"/>
      <c r="B443" s="5617"/>
      <c r="C443" s="5617"/>
      <c r="D443" s="5617"/>
      <c r="E443" s="5617"/>
      <c r="F443" s="5617"/>
      <c r="G443" s="5708"/>
      <c r="H443" s="5617"/>
      <c r="I443" s="5617"/>
      <c r="J443" s="5617"/>
      <c r="K443" s="5426"/>
      <c r="L443" s="5426"/>
      <c r="M443" s="5426"/>
      <c r="N443" s="5426"/>
      <c r="O443" s="5426"/>
      <c r="P443" s="5426"/>
      <c r="Q443" s="5426"/>
      <c r="R443" s="5426"/>
      <c r="S443" s="5426"/>
      <c r="T443" s="5426"/>
      <c r="U443" s="5428"/>
      <c r="V443" s="5428"/>
      <c r="W443" s="5428"/>
      <c r="X443" s="5428"/>
      <c r="Y443" s="5428"/>
    </row>
    <row r="444">
      <c r="A444" s="5709" t="s">
        <v>5632</v>
      </c>
      <c r="B444" s="5709"/>
      <c r="C444" s="5709"/>
      <c r="D444" s="5709"/>
      <c r="E444" s="5709"/>
      <c r="F444" s="5709"/>
      <c r="G444" s="5709"/>
      <c r="H444" s="5709"/>
      <c r="I444" s="5709"/>
      <c r="J444" s="5709"/>
      <c r="K444" s="5426"/>
      <c r="L444" s="5426"/>
      <c r="M444" s="5426"/>
      <c r="N444" s="5426"/>
      <c r="O444" s="5426"/>
      <c r="P444" s="5426"/>
      <c r="Q444" s="5426"/>
      <c r="R444" s="5426"/>
      <c r="S444" s="5426"/>
      <c r="T444" s="5426"/>
      <c r="U444" s="5428"/>
      <c r="V444" s="5428"/>
      <c r="W444" s="5428"/>
      <c r="X444" s="5428"/>
      <c r="Y444" s="5428"/>
    </row>
    <row r="445">
      <c r="A445" s="5710" t="s">
        <v>5277</v>
      </c>
      <c r="B445" s="5711" t="s">
        <v>5278</v>
      </c>
      <c r="C445" s="5711"/>
      <c r="D445" s="5712" t="s">
        <v>5279</v>
      </c>
      <c r="E445" s="5712" t="s">
        <v>5280</v>
      </c>
      <c r="F445" s="5712" t="s">
        <v>5281</v>
      </c>
      <c r="G445" s="5713" t="s">
        <v>5294</v>
      </c>
      <c r="H445" s="5712" t="s">
        <v>5283</v>
      </c>
      <c r="I445" s="5712" t="s">
        <v>5284</v>
      </c>
      <c r="J445" s="5712" t="s">
        <v>5285</v>
      </c>
      <c r="K445" s="5426"/>
      <c r="L445" s="5426"/>
      <c r="M445" s="5426"/>
      <c r="N445" s="5426"/>
      <c r="O445" s="5426"/>
      <c r="P445" s="5426"/>
      <c r="Q445" s="5426"/>
      <c r="R445" s="5426"/>
      <c r="S445" s="5426"/>
      <c r="T445" s="5426"/>
      <c r="U445" s="5428"/>
      <c r="V445" s="5428"/>
      <c r="W445" s="5428"/>
      <c r="X445" s="5428"/>
      <c r="Y445" s="5428"/>
    </row>
    <row r="446">
      <c r="A446" s="5714"/>
      <c r="B446" s="5714"/>
      <c r="C446" s="5714"/>
      <c r="D446" s="5715"/>
      <c r="E446" s="5715"/>
      <c r="F446" s="5715"/>
      <c r="G446" s="5716"/>
      <c r="H446" s="5715"/>
      <c r="I446" s="5715"/>
      <c r="J446" s="5715"/>
      <c r="K446" s="5717"/>
      <c r="L446" s="5717"/>
      <c r="M446" s="5717"/>
      <c r="N446" s="5717"/>
      <c r="O446" s="5717"/>
      <c r="P446" s="5717"/>
      <c r="Q446" s="5717"/>
      <c r="R446" s="5717"/>
      <c r="S446" s="5717"/>
      <c r="T446" s="5717"/>
      <c r="U446" s="5428"/>
      <c r="V446" s="5428"/>
      <c r="W446" s="5428"/>
      <c r="X446" s="5428"/>
      <c r="Y446" s="5428"/>
    </row>
    <row r="447">
      <c r="A447" s="5714"/>
      <c r="B447" s="5714"/>
      <c r="C447" s="5714"/>
      <c r="D447" s="5715"/>
      <c r="E447" s="5715"/>
      <c r="F447" s="5715"/>
      <c r="G447" s="5716"/>
      <c r="H447" s="5715"/>
      <c r="I447" s="5715"/>
      <c r="J447" s="5715"/>
      <c r="K447" s="5717"/>
      <c r="L447" s="5717"/>
      <c r="M447" s="5717"/>
      <c r="N447" s="5717"/>
      <c r="O447" s="5717"/>
      <c r="P447" s="5717"/>
      <c r="Q447" s="5717"/>
      <c r="R447" s="5717"/>
      <c r="S447" s="5717"/>
      <c r="T447" s="5717"/>
      <c r="U447" s="5428"/>
      <c r="V447" s="5428"/>
      <c r="W447" s="5428"/>
      <c r="X447" s="5428"/>
      <c r="Y447" s="5428"/>
    </row>
    <row r="448">
      <c r="A448" s="5431"/>
      <c r="B448" s="5431"/>
      <c r="C448" s="5431"/>
      <c r="D448" s="5438"/>
      <c r="E448" s="5438"/>
      <c r="F448" s="5437"/>
      <c r="G448" s="5486"/>
      <c r="H448" s="5437"/>
      <c r="I448" s="5437"/>
      <c r="J448" s="5437"/>
      <c r="K448" s="5426"/>
      <c r="L448" s="5426"/>
      <c r="M448" s="5426"/>
      <c r="N448" s="5426"/>
      <c r="O448" s="5426"/>
      <c r="P448" s="5426"/>
      <c r="Q448" s="5426"/>
      <c r="R448" s="5426"/>
      <c r="S448" s="5426"/>
      <c r="T448" s="5426"/>
      <c r="U448" s="5428"/>
      <c r="V448" s="5428"/>
      <c r="W448" s="5428"/>
      <c r="X448" s="5428"/>
      <c r="Y448" s="5428"/>
    </row>
    <row r="449">
      <c r="A449" s="5431"/>
      <c r="B449" s="5431"/>
      <c r="C449" s="5431"/>
      <c r="D449" s="5438"/>
      <c r="E449" s="5438"/>
      <c r="F449" s="5437"/>
      <c r="G449" s="5486"/>
      <c r="H449" s="5437"/>
      <c r="I449" s="5437"/>
      <c r="J449" s="5437"/>
      <c r="K449" s="5426"/>
      <c r="L449" s="5426"/>
      <c r="M449" s="5426"/>
      <c r="N449" s="5426"/>
      <c r="O449" s="5426"/>
      <c r="P449" s="5426"/>
      <c r="Q449" s="5426"/>
      <c r="R449" s="5426"/>
      <c r="S449" s="5426"/>
      <c r="T449" s="5426"/>
      <c r="U449" s="5428"/>
      <c r="V449" s="5428"/>
      <c r="W449" s="5428"/>
      <c r="X449" s="5428"/>
      <c r="Y449" s="5428"/>
    </row>
    <row r="450">
      <c r="A450" s="5714"/>
      <c r="B450" s="5714"/>
      <c r="C450" s="5714"/>
      <c r="D450" s="5715"/>
      <c r="E450" s="5715"/>
      <c r="F450" s="5715"/>
      <c r="G450" s="5716"/>
      <c r="H450" s="5715"/>
      <c r="I450" s="5715"/>
      <c r="J450" s="5715"/>
      <c r="K450" s="5717"/>
      <c r="L450" s="5717"/>
      <c r="M450" s="5717"/>
      <c r="N450" s="5717"/>
      <c r="O450" s="5717"/>
      <c r="P450" s="5717"/>
      <c r="Q450" s="5717"/>
      <c r="R450" s="5717"/>
      <c r="S450" s="5717"/>
      <c r="T450" s="5717"/>
      <c r="U450" s="5428"/>
      <c r="V450" s="5428"/>
      <c r="W450" s="5428"/>
      <c r="X450" s="5428"/>
      <c r="Y450" s="5428"/>
    </row>
    <row r="451">
      <c r="A451" s="5714"/>
      <c r="B451" s="5714"/>
      <c r="C451" s="5714"/>
      <c r="D451" s="5715"/>
      <c r="E451" s="5715"/>
      <c r="F451" s="5715"/>
      <c r="G451" s="5716"/>
      <c r="H451" s="5715"/>
      <c r="I451" s="5715"/>
      <c r="J451" s="5715"/>
      <c r="K451" s="5717"/>
      <c r="L451" s="5717"/>
      <c r="M451" s="5717"/>
      <c r="N451" s="5717"/>
      <c r="O451" s="5717"/>
      <c r="P451" s="5717"/>
      <c r="Q451" s="5717"/>
      <c r="R451" s="5717"/>
      <c r="S451" s="5717"/>
      <c r="T451" s="5717"/>
      <c r="U451" s="5428"/>
      <c r="V451" s="5428"/>
      <c r="W451" s="5428"/>
      <c r="X451" s="5428"/>
      <c r="Y451" s="5428"/>
    </row>
    <row r="452">
      <c r="A452" s="5617"/>
      <c r="B452" s="5617"/>
      <c r="C452" s="5617"/>
      <c r="D452" s="5428"/>
      <c r="E452" s="5617"/>
      <c r="F452" s="5617"/>
      <c r="G452" s="5708"/>
      <c r="H452" s="5617"/>
      <c r="I452" s="5617"/>
      <c r="J452" s="5617"/>
      <c r="K452" s="5426"/>
      <c r="L452" s="5426"/>
      <c r="M452" s="5426"/>
      <c r="N452" s="5426"/>
      <c r="O452" s="5426"/>
      <c r="P452" s="5426"/>
      <c r="Q452" s="5426"/>
      <c r="R452" s="5426"/>
      <c r="S452" s="5426"/>
      <c r="T452" s="5426"/>
      <c r="U452" s="5428"/>
      <c r="V452" s="5428"/>
      <c r="W452" s="5428"/>
      <c r="X452" s="5428"/>
      <c r="Y452" s="5428"/>
    </row>
    <row r="453">
      <c r="A453" s="5554" t="s">
        <v>5633</v>
      </c>
      <c r="B453" s="5554"/>
      <c r="C453" s="5554"/>
      <c r="D453" s="5554"/>
      <c r="E453" s="5554"/>
      <c r="F453" s="5554"/>
      <c r="G453" s="5554"/>
      <c r="H453" s="5554"/>
      <c r="I453" s="5554"/>
      <c r="J453" s="5554"/>
      <c r="K453" s="5478"/>
      <c r="L453" s="5478"/>
      <c r="M453" s="5478"/>
      <c r="N453" s="5478"/>
      <c r="O453" s="5426"/>
      <c r="P453" s="5426"/>
      <c r="Q453" s="5426"/>
      <c r="R453" s="5426"/>
      <c r="S453" s="5426"/>
      <c r="T453" s="5426"/>
      <c r="U453" s="5428"/>
      <c r="V453" s="5428"/>
      <c r="W453" s="5428"/>
      <c r="X453" s="5428"/>
      <c r="Y453" s="5428"/>
    </row>
    <row r="454">
      <c r="A454" s="5554"/>
      <c r="B454" s="5554"/>
      <c r="C454" s="5554"/>
      <c r="D454" s="5554"/>
      <c r="E454" s="5554"/>
      <c r="F454" s="5554"/>
      <c r="G454" s="5554"/>
      <c r="H454" s="5554"/>
      <c r="I454" s="5554"/>
      <c r="J454" s="5554"/>
      <c r="K454" s="5478"/>
      <c r="L454" s="5478"/>
      <c r="M454" s="5478"/>
      <c r="N454" s="5478"/>
      <c r="O454" s="5426"/>
      <c r="P454" s="5426"/>
      <c r="Q454" s="5426"/>
      <c r="R454" s="5426"/>
      <c r="S454" s="5426"/>
      <c r="T454" s="5426"/>
      <c r="U454" s="5428"/>
      <c r="V454" s="5428"/>
      <c r="W454" s="5428"/>
      <c r="X454" s="5428"/>
      <c r="Y454" s="5428"/>
    </row>
    <row r="455">
      <c r="A455" s="5556" t="s">
        <v>5277</v>
      </c>
      <c r="B455" s="5557" t="s">
        <v>5278</v>
      </c>
      <c r="C455" s="5557"/>
      <c r="D455" s="5558" t="s">
        <v>5279</v>
      </c>
      <c r="E455" s="5558" t="s">
        <v>5280</v>
      </c>
      <c r="F455" s="5558" t="s">
        <v>5281</v>
      </c>
      <c r="G455" s="5559" t="s">
        <v>5294</v>
      </c>
      <c r="H455" s="5558" t="s">
        <v>5283</v>
      </c>
      <c r="I455" s="5558" t="s">
        <v>5284</v>
      </c>
      <c r="J455" s="5558" t="s">
        <v>5285</v>
      </c>
      <c r="K455" s="5478"/>
      <c r="L455" s="5478"/>
      <c r="M455" s="5478"/>
      <c r="N455" s="5478"/>
      <c r="O455" s="5426"/>
      <c r="P455" s="5426"/>
      <c r="Q455" s="5426"/>
      <c r="R455" s="5426"/>
      <c r="S455" s="5426"/>
      <c r="T455" s="5426"/>
      <c r="U455" s="5428"/>
      <c r="V455" s="5428"/>
      <c r="W455" s="5428"/>
      <c r="X455" s="5428"/>
      <c r="Y455" s="5428"/>
    </row>
    <row r="456">
      <c r="A456" s="5431"/>
      <c r="B456" s="5431"/>
      <c r="C456" s="5431"/>
      <c r="D456" s="5438"/>
      <c r="E456" s="5438"/>
      <c r="F456" s="5437"/>
      <c r="G456" s="5486"/>
      <c r="H456" s="5437"/>
      <c r="I456" s="5438"/>
      <c r="J456" s="5437"/>
      <c r="K456" s="5478"/>
      <c r="L456" s="5478"/>
      <c r="M456" s="5478"/>
      <c r="N456" s="5478"/>
      <c r="O456" s="5426"/>
      <c r="P456" s="5426"/>
      <c r="Q456" s="5426"/>
      <c r="R456" s="5426"/>
      <c r="S456" s="5426"/>
      <c r="T456" s="5426"/>
      <c r="U456" s="5428"/>
      <c r="V456" s="5428"/>
      <c r="W456" s="5428"/>
      <c r="X456" s="5428"/>
      <c r="Y456" s="5428"/>
    </row>
    <row r="457">
      <c r="A457" s="5431"/>
      <c r="B457" s="5431"/>
      <c r="C457" s="5431"/>
      <c r="D457" s="5438"/>
      <c r="E457" s="5438"/>
      <c r="F457" s="5579"/>
      <c r="G457" s="5486"/>
      <c r="H457" s="5437"/>
      <c r="I457" s="5438"/>
      <c r="J457" s="5437"/>
      <c r="K457" s="5478"/>
      <c r="L457" s="5478"/>
      <c r="M457" s="5478"/>
      <c r="N457" s="5478"/>
      <c r="O457" s="5426"/>
      <c r="P457" s="5426"/>
      <c r="Q457" s="5426"/>
      <c r="R457" s="5426"/>
      <c r="S457" s="5426"/>
      <c r="T457" s="5426"/>
      <c r="U457" s="5428"/>
      <c r="V457" s="5428"/>
      <c r="W457" s="5428"/>
      <c r="X457" s="5428"/>
      <c r="Y457" s="5428"/>
    </row>
    <row r="458">
      <c r="A458" s="5431"/>
      <c r="B458" s="5431"/>
      <c r="C458" s="5431"/>
      <c r="D458" s="5438"/>
      <c r="E458" s="5438"/>
      <c r="F458" s="5437"/>
      <c r="G458" s="5486"/>
      <c r="H458" s="5437"/>
      <c r="I458" s="5438"/>
      <c r="J458" s="5437"/>
      <c r="K458" s="5478"/>
      <c r="L458" s="5478"/>
      <c r="M458" s="5478"/>
      <c r="N458" s="5478"/>
      <c r="O458" s="5426"/>
      <c r="P458" s="5426"/>
      <c r="Q458" s="5426"/>
      <c r="R458" s="5426"/>
      <c r="S458" s="5426"/>
      <c r="T458" s="5426"/>
      <c r="U458" s="5428"/>
      <c r="V458" s="5428"/>
      <c r="W458" s="5428"/>
      <c r="X458" s="5428"/>
      <c r="Y458" s="5428"/>
    </row>
    <row r="459">
      <c r="A459" s="5431"/>
      <c r="B459" s="5431"/>
      <c r="C459" s="5431"/>
      <c r="D459" s="5438"/>
      <c r="E459" s="5438"/>
      <c r="F459" s="5579"/>
      <c r="G459" s="5486"/>
      <c r="H459" s="5437"/>
      <c r="I459" s="5438"/>
      <c r="J459" s="5437"/>
      <c r="K459" s="5478"/>
      <c r="L459" s="5478"/>
      <c r="M459" s="5478"/>
      <c r="N459" s="5478"/>
      <c r="O459" s="5426"/>
      <c r="P459" s="5426"/>
      <c r="Q459" s="5426"/>
      <c r="R459" s="5426"/>
      <c r="S459" s="5426"/>
      <c r="T459" s="5426"/>
      <c r="U459" s="5428"/>
      <c r="V459" s="5428"/>
      <c r="W459" s="5428"/>
      <c r="X459" s="5428"/>
      <c r="Y459" s="5428"/>
    </row>
    <row r="460">
      <c r="A460" s="5431"/>
      <c r="B460" s="5431"/>
      <c r="C460" s="5431"/>
      <c r="D460" s="5438"/>
      <c r="E460" s="5438"/>
      <c r="F460" s="5579"/>
      <c r="G460" s="5486"/>
      <c r="H460" s="5437"/>
      <c r="I460" s="5438"/>
      <c r="J460" s="5437"/>
      <c r="K460" s="5478"/>
      <c r="L460" s="5478"/>
      <c r="M460" s="5478"/>
      <c r="N460" s="5478"/>
      <c r="O460" s="5426"/>
      <c r="P460" s="5426"/>
      <c r="Q460" s="5426"/>
      <c r="R460" s="5426"/>
      <c r="S460" s="5426"/>
      <c r="T460" s="5426"/>
      <c r="U460" s="5428"/>
      <c r="V460" s="5428"/>
      <c r="W460" s="5428"/>
      <c r="X460" s="5428"/>
      <c r="Y460" s="5428"/>
    </row>
    <row r="461">
      <c r="A461" s="5718" t="s">
        <v>5634</v>
      </c>
      <c r="B461" s="5718"/>
      <c r="C461" s="5718"/>
      <c r="D461" s="5718"/>
      <c r="E461" s="5718"/>
      <c r="F461" s="5718"/>
      <c r="G461" s="5718"/>
      <c r="H461" s="5718"/>
      <c r="I461" s="5718"/>
      <c r="J461" s="5718"/>
      <c r="K461" s="5426"/>
      <c r="L461" s="5426"/>
      <c r="M461" s="5426"/>
      <c r="N461" s="5426"/>
      <c r="O461" s="5426"/>
      <c r="P461" s="5426"/>
      <c r="Q461" s="5426"/>
      <c r="R461" s="5426"/>
      <c r="S461" s="5426"/>
      <c r="T461" s="5426"/>
      <c r="U461" s="5428"/>
      <c r="V461" s="5428"/>
      <c r="W461" s="5428"/>
      <c r="X461" s="5428"/>
      <c r="Y461" s="5428"/>
    </row>
    <row r="462">
      <c r="A462" s="5719" t="s">
        <v>5277</v>
      </c>
      <c r="B462" s="5720" t="s">
        <v>5278</v>
      </c>
      <c r="C462" s="5720"/>
      <c r="D462" s="5721" t="s">
        <v>5279</v>
      </c>
      <c r="E462" s="5721" t="s">
        <v>5280</v>
      </c>
      <c r="F462" s="5721" t="s">
        <v>5281</v>
      </c>
      <c r="G462" s="5722" t="s">
        <v>5294</v>
      </c>
      <c r="H462" s="5721" t="s">
        <v>5283</v>
      </c>
      <c r="I462" s="5721" t="s">
        <v>5284</v>
      </c>
      <c r="J462" s="5721" t="s">
        <v>5285</v>
      </c>
      <c r="K462" s="5426"/>
      <c r="L462" s="5426"/>
      <c r="M462" s="5426"/>
      <c r="N462" s="5426"/>
      <c r="O462" s="5426"/>
      <c r="P462" s="5426"/>
      <c r="Q462" s="5426"/>
      <c r="R462" s="5426"/>
      <c r="S462" s="5426"/>
      <c r="T462" s="5426"/>
      <c r="U462" s="5428"/>
      <c r="V462" s="5428"/>
      <c r="W462" s="5428"/>
      <c r="X462" s="5428"/>
      <c r="Y462" s="5428"/>
    </row>
    <row r="463">
      <c r="A463" s="5431" t="s">
        <v>5635</v>
      </c>
      <c r="B463" s="5431">
        <v>46231</v>
      </c>
      <c r="C463" s="5431" t="str">
        <v>Tuesday</v>
      </c>
      <c r="D463" s="5500" t="s">
        <v>5636</v>
      </c>
      <c r="E463" s="5438">
        <v>1</v>
      </c>
      <c r="F463" s="5438" t="s">
        <v>5637</v>
      </c>
      <c r="G463" s="5658"/>
      <c r="H463" s="5513" t="s">
        <v>5267</v>
      </c>
      <c r="I463" s="5513"/>
      <c r="J463" s="5513"/>
      <c r="K463" s="5659"/>
      <c r="L463" s="5659"/>
      <c r="M463" s="5659"/>
      <c r="N463" s="5659"/>
      <c r="O463" s="5659"/>
      <c r="P463" s="5659"/>
      <c r="Q463" s="5659"/>
      <c r="R463" s="5659"/>
      <c r="S463" s="5659"/>
      <c r="T463" s="5659"/>
      <c r="U463" s="5468"/>
      <c r="V463" s="5468"/>
      <c r="W463" s="5468"/>
      <c r="X463" s="5468"/>
      <c r="Y463" s="5468"/>
    </row>
    <row r="464">
      <c r="A464" s="5660" t="s">
        <v>5638</v>
      </c>
      <c r="B464" s="5660">
        <v>46231</v>
      </c>
      <c r="C464" s="5660" t="str">
        <v>Tuesday</v>
      </c>
      <c r="D464" s="5661" t="s">
        <v>5415</v>
      </c>
      <c r="E464" s="5661">
        <f t="shared" ref="E464:E482" si="86">24*MOD(TIMEVALUE(TRIM(MID(D464,FIND("-",D464)+1,LEN(D464)))) - TIMEVALUE(TRIM(LEFT(D464,FIND("-",D464)-1))),1)</f>
      </c>
      <c r="F464" s="5661" t="s">
        <v>5639</v>
      </c>
      <c r="G464" s="5658"/>
      <c r="H464" s="5513" t="s">
        <v>5267</v>
      </c>
      <c r="I464" s="5513"/>
      <c r="J464" s="5513"/>
      <c r="K464" s="5659"/>
      <c r="L464" s="5659"/>
      <c r="M464" s="5659"/>
      <c r="N464" s="5659"/>
      <c r="O464" s="5659"/>
      <c r="P464" s="5659"/>
      <c r="Q464" s="5659"/>
      <c r="R464" s="5659"/>
      <c r="S464" s="5659"/>
      <c r="T464" s="5659"/>
      <c r="U464" s="5468"/>
      <c r="V464" s="5468"/>
      <c r="W464" s="5468"/>
      <c r="X464" s="5468"/>
      <c r="Y464" s="5468"/>
    </row>
    <row r="465">
      <c r="A465" s="5660" t="s">
        <v>5638</v>
      </c>
      <c r="B465" s="5660">
        <v>46231</v>
      </c>
      <c r="C465" s="5660" t="str">
        <v>Tuesday</v>
      </c>
      <c r="D465" s="5661" t="s">
        <v>5452</v>
      </c>
      <c r="E465" s="5661">
        <f t="shared" si="86"/>
      </c>
      <c r="F465" s="5661" t="s">
        <v>5637</v>
      </c>
      <c r="G465" s="5658"/>
      <c r="H465" s="5513" t="s">
        <v>5267</v>
      </c>
      <c r="I465" s="5513"/>
      <c r="J465" s="5513"/>
      <c r="K465" s="5659"/>
      <c r="L465" s="5659"/>
      <c r="M465" s="5659"/>
      <c r="N465" s="5659"/>
      <c r="O465" s="5659"/>
      <c r="P465" s="5659"/>
      <c r="Q465" s="5659"/>
      <c r="R465" s="5659"/>
      <c r="S465" s="5659"/>
      <c r="T465" s="5659"/>
      <c r="U465" s="5468"/>
      <c r="V465" s="5468"/>
      <c r="W465" s="5468"/>
      <c r="X465" s="5468"/>
      <c r="Y465" s="5468"/>
    </row>
    <row r="466">
      <c r="A466" s="5431" t="s">
        <v>5640</v>
      </c>
      <c r="B466" s="5431">
        <v>46231</v>
      </c>
      <c r="C466" s="5431" t="str">
        <v>Tuesday</v>
      </c>
      <c r="D466" s="5500" t="s">
        <v>5641</v>
      </c>
      <c r="E466" s="5438">
        <f t="shared" si="86"/>
      </c>
      <c r="F466" s="5438" t="s">
        <v>5642</v>
      </c>
      <c r="G466" s="5658"/>
      <c r="H466" s="5513" t="s">
        <v>5267</v>
      </c>
      <c r="I466" s="5513"/>
      <c r="J466" s="5513"/>
      <c r="K466" s="5659"/>
      <c r="L466" s="5659"/>
      <c r="M466" s="5659"/>
      <c r="N466" s="5659"/>
      <c r="O466" s="5659"/>
      <c r="P466" s="5659"/>
      <c r="Q466" s="5659"/>
      <c r="R466" s="5659"/>
      <c r="S466" s="5659"/>
      <c r="T466" s="5659"/>
      <c r="U466" s="5468"/>
      <c r="V466" s="5468"/>
      <c r="W466" s="5468"/>
      <c r="X466" s="5468"/>
      <c r="Y466" s="5468"/>
    </row>
    <row r="467">
      <c r="A467" s="5431" t="s">
        <v>5640</v>
      </c>
      <c r="B467" s="5431">
        <v>46231</v>
      </c>
      <c r="C467" s="5431" t="str">
        <v>Tuesday</v>
      </c>
      <c r="D467" s="5500" t="s">
        <v>5643</v>
      </c>
      <c r="E467" s="5438">
        <f t="shared" si="86"/>
      </c>
      <c r="F467" s="5438" t="s">
        <v>5639</v>
      </c>
      <c r="G467" s="5658"/>
      <c r="H467" s="5513" t="s">
        <v>5267</v>
      </c>
      <c r="I467" s="5513"/>
      <c r="J467" s="5513"/>
      <c r="K467" s="5659"/>
      <c r="L467" s="5659"/>
      <c r="M467" s="5659"/>
      <c r="N467" s="5659"/>
      <c r="O467" s="5659"/>
      <c r="P467" s="5659"/>
      <c r="Q467" s="5659"/>
      <c r="R467" s="5659"/>
      <c r="S467" s="5659"/>
      <c r="T467" s="5659"/>
      <c r="U467" s="5468"/>
      <c r="V467" s="5468"/>
      <c r="W467" s="5468"/>
      <c r="X467" s="5468"/>
      <c r="Y467" s="5468"/>
    </row>
    <row r="468">
      <c r="A468" s="5431" t="s">
        <v>5635</v>
      </c>
      <c r="B468" s="5431">
        <v>46232</v>
      </c>
      <c r="C468" s="5431" t="str">
        <v>Wednesday</v>
      </c>
      <c r="D468" s="5723" t="s">
        <v>5644</v>
      </c>
      <c r="E468" s="5438">
        <f t="shared" si="86"/>
      </c>
      <c r="F468" s="5438" t="s">
        <v>5574</v>
      </c>
      <c r="G468" s="5658"/>
      <c r="H468" s="5513" t="s">
        <v>5267</v>
      </c>
      <c r="I468" s="5513"/>
      <c r="J468" s="5513"/>
      <c r="K468" s="5659"/>
      <c r="L468" s="5659"/>
      <c r="M468" s="5659"/>
      <c r="N468" s="5659"/>
      <c r="O468" s="5659"/>
      <c r="P468" s="5659"/>
      <c r="Q468" s="5659"/>
      <c r="R468" s="5659"/>
      <c r="S468" s="5659"/>
      <c r="T468" s="5659"/>
      <c r="U468" s="5468"/>
      <c r="V468" s="5468"/>
      <c r="W468" s="5468"/>
      <c r="X468" s="5468"/>
      <c r="Y468" s="5468"/>
    </row>
    <row r="469">
      <c r="A469" s="5660" t="s">
        <v>5638</v>
      </c>
      <c r="B469" s="5660">
        <v>46232</v>
      </c>
      <c r="C469" s="5660" t="str">
        <v>Wednesday</v>
      </c>
      <c r="D469" s="5661" t="s">
        <v>5513</v>
      </c>
      <c r="E469" s="5661">
        <f t="shared" si="86"/>
      </c>
      <c r="F469" s="5661" t="s">
        <v>5574</v>
      </c>
      <c r="G469" s="5658"/>
      <c r="H469" s="5513" t="s">
        <v>5267</v>
      </c>
      <c r="I469" s="5513"/>
      <c r="J469" s="5513"/>
      <c r="K469" s="5659"/>
      <c r="L469" s="5659"/>
      <c r="M469" s="5659"/>
      <c r="N469" s="5659"/>
      <c r="O469" s="5659"/>
      <c r="P469" s="5659"/>
      <c r="Q469" s="5659"/>
      <c r="R469" s="5659"/>
      <c r="S469" s="5659"/>
      <c r="T469" s="5659"/>
      <c r="U469" s="5468"/>
      <c r="V469" s="5468"/>
      <c r="W469" s="5468"/>
      <c r="X469" s="5468"/>
      <c r="Y469" s="5468"/>
    </row>
    <row r="470">
      <c r="A470" s="5660" t="s">
        <v>5638</v>
      </c>
      <c r="B470" s="5660">
        <v>46232</v>
      </c>
      <c r="C470" s="5660" t="str">
        <v>Wednesday</v>
      </c>
      <c r="D470" s="5661" t="s">
        <v>5558</v>
      </c>
      <c r="E470" s="5661">
        <f t="shared" si="86"/>
      </c>
      <c r="F470" s="5661" t="s">
        <v>5639</v>
      </c>
      <c r="G470" s="5658"/>
      <c r="H470" s="5513" t="s">
        <v>5267</v>
      </c>
      <c r="I470" s="5513"/>
      <c r="J470" s="5513"/>
      <c r="K470" s="5659"/>
      <c r="L470" s="5659"/>
      <c r="M470" s="5659"/>
      <c r="N470" s="5659"/>
      <c r="O470" s="5659"/>
      <c r="P470" s="5659"/>
      <c r="Q470" s="5659"/>
      <c r="R470" s="5659"/>
      <c r="S470" s="5659"/>
      <c r="T470" s="5659"/>
      <c r="U470" s="5468"/>
      <c r="V470" s="5468"/>
      <c r="W470" s="5468"/>
      <c r="X470" s="5468"/>
      <c r="Y470" s="5468"/>
    </row>
    <row r="471">
      <c r="A471" s="5431" t="s">
        <v>5640</v>
      </c>
      <c r="B471" s="5431">
        <v>46232</v>
      </c>
      <c r="C471" s="5431" t="str">
        <v>Wednesday</v>
      </c>
      <c r="D471" s="5500" t="s">
        <v>5513</v>
      </c>
      <c r="E471" s="5438">
        <f t="shared" si="86"/>
      </c>
      <c r="F471" s="5438" t="s">
        <v>5645</v>
      </c>
      <c r="G471" s="5658"/>
      <c r="H471" s="5513" t="s">
        <v>5267</v>
      </c>
      <c r="I471" s="5513" t="s">
        <v>5268</v>
      </c>
      <c r="J471" s="5513"/>
      <c r="K471" s="5659"/>
      <c r="L471" s="5659"/>
      <c r="M471" s="5659"/>
      <c r="N471" s="5659"/>
      <c r="O471" s="5659"/>
      <c r="P471" s="5659"/>
      <c r="Q471" s="5659"/>
      <c r="R471" s="5659"/>
      <c r="S471" s="5659"/>
      <c r="T471" s="5659"/>
      <c r="U471" s="5468"/>
      <c r="V471" s="5468"/>
      <c r="W471" s="5468"/>
      <c r="X471" s="5468"/>
      <c r="Y471" s="5468"/>
    </row>
    <row r="472">
      <c r="A472" s="5431" t="s">
        <v>5640</v>
      </c>
      <c r="B472" s="5431">
        <v>46232</v>
      </c>
      <c r="C472" s="5431" t="str">
        <v>Wednesday</v>
      </c>
      <c r="D472" s="5500" t="s">
        <v>5558</v>
      </c>
      <c r="E472" s="5438">
        <f t="shared" si="86"/>
      </c>
      <c r="F472" s="5438" t="s">
        <v>5642</v>
      </c>
      <c r="G472" s="5658"/>
      <c r="H472" s="5513" t="s">
        <v>5267</v>
      </c>
      <c r="I472" s="5513"/>
      <c r="J472" s="5513"/>
      <c r="K472" s="5659"/>
      <c r="L472" s="5659"/>
      <c r="M472" s="5659"/>
      <c r="N472" s="5659"/>
      <c r="O472" s="5659"/>
      <c r="P472" s="5659"/>
      <c r="Q472" s="5659"/>
      <c r="R472" s="5659"/>
      <c r="S472" s="5659"/>
      <c r="T472" s="5659"/>
      <c r="U472" s="5468"/>
      <c r="V472" s="5468"/>
      <c r="W472" s="5468"/>
      <c r="X472" s="5468"/>
      <c r="Y472" s="5468"/>
    </row>
    <row r="473">
      <c r="A473" s="5431" t="s">
        <v>5635</v>
      </c>
      <c r="B473" s="5431">
        <v>46233</v>
      </c>
      <c r="C473" s="5431" t="str">
        <v>Thursday</v>
      </c>
      <c r="D473" s="5500" t="s">
        <v>5644</v>
      </c>
      <c r="E473" s="5438">
        <f t="shared" si="86"/>
      </c>
      <c r="F473" s="5438" t="s">
        <v>5639</v>
      </c>
      <c r="G473" s="5658"/>
      <c r="H473" s="5513" t="s">
        <v>5267</v>
      </c>
      <c r="I473" s="5513"/>
      <c r="J473" s="5513"/>
      <c r="K473" s="5659"/>
      <c r="L473" s="5659"/>
      <c r="M473" s="5659"/>
      <c r="N473" s="5659"/>
      <c r="O473" s="5659"/>
      <c r="P473" s="5659"/>
      <c r="Q473" s="5659"/>
      <c r="R473" s="5659"/>
      <c r="S473" s="5659"/>
      <c r="T473" s="5659"/>
      <c r="U473" s="5468"/>
      <c r="V473" s="5468"/>
      <c r="W473" s="5468"/>
      <c r="X473" s="5468"/>
      <c r="Y473" s="5468"/>
    </row>
    <row r="474">
      <c r="A474" s="5660" t="s">
        <v>5638</v>
      </c>
      <c r="B474" s="5660">
        <v>46233</v>
      </c>
      <c r="C474" s="5660" t="str">
        <v>Thursday</v>
      </c>
      <c r="D474" s="5661" t="s">
        <v>5415</v>
      </c>
      <c r="E474" s="5661">
        <f t="shared" si="86"/>
      </c>
      <c r="F474" s="5661" t="s">
        <v>5639</v>
      </c>
      <c r="G474" s="5658"/>
      <c r="H474" s="5513" t="s">
        <v>5267</v>
      </c>
      <c r="I474" s="5513"/>
      <c r="J474" s="5513"/>
      <c r="K474" s="5659"/>
      <c r="L474" s="5659"/>
      <c r="M474" s="5659"/>
      <c r="N474" s="5659"/>
      <c r="O474" s="5659"/>
      <c r="P474" s="5659"/>
      <c r="Q474" s="5659"/>
      <c r="R474" s="5659"/>
      <c r="S474" s="5659"/>
      <c r="T474" s="5659"/>
      <c r="U474" s="5468"/>
      <c r="V474" s="5468"/>
      <c r="W474" s="5468"/>
      <c r="X474" s="5468"/>
      <c r="Y474" s="5468"/>
    </row>
    <row r="475">
      <c r="A475" s="5660" t="s">
        <v>5638</v>
      </c>
      <c r="B475" s="5660">
        <v>46233</v>
      </c>
      <c r="C475" s="5660" t="str">
        <v>Thursday</v>
      </c>
      <c r="D475" s="5661" t="s">
        <v>5452</v>
      </c>
      <c r="E475" s="5661">
        <f t="shared" si="86"/>
      </c>
      <c r="F475" s="5661" t="s">
        <v>5574</v>
      </c>
      <c r="G475" s="5658"/>
      <c r="H475" s="5513" t="s">
        <v>5267</v>
      </c>
      <c r="I475" s="5513"/>
      <c r="J475" s="5513"/>
      <c r="K475" s="5659"/>
      <c r="L475" s="5659"/>
      <c r="M475" s="5659"/>
      <c r="N475" s="5659"/>
      <c r="O475" s="5659"/>
      <c r="P475" s="5659"/>
      <c r="Q475" s="5659"/>
      <c r="R475" s="5659"/>
      <c r="S475" s="5659"/>
      <c r="T475" s="5659"/>
      <c r="U475" s="5468"/>
      <c r="V475" s="5468"/>
      <c r="W475" s="5468"/>
      <c r="X475" s="5468"/>
      <c r="Y475" s="5468"/>
    </row>
    <row r="476">
      <c r="A476" s="5431" t="s">
        <v>5640</v>
      </c>
      <c r="B476" s="5431">
        <v>46233</v>
      </c>
      <c r="C476" s="5431" t="str">
        <v>Thursday</v>
      </c>
      <c r="D476" s="5500" t="s">
        <v>5415</v>
      </c>
      <c r="E476" s="5438">
        <f t="shared" si="86"/>
      </c>
      <c r="F476" s="5438" t="s">
        <v>5642</v>
      </c>
      <c r="G476" s="5724"/>
      <c r="H476" s="5513" t="s">
        <v>5267</v>
      </c>
      <c r="I476" s="5513"/>
      <c r="J476" s="5513"/>
      <c r="K476" s="5659"/>
      <c r="L476" s="5659"/>
      <c r="M476" s="5659"/>
      <c r="N476" s="5659"/>
      <c r="O476" s="5659"/>
      <c r="P476" s="5659"/>
      <c r="Q476" s="5659"/>
      <c r="R476" s="5659"/>
      <c r="S476" s="5659"/>
      <c r="T476" s="5659"/>
      <c r="U476" s="5468"/>
      <c r="V476" s="5468"/>
      <c r="W476" s="5468"/>
      <c r="X476" s="5468"/>
      <c r="Y476" s="5468"/>
    </row>
    <row r="477">
      <c r="A477" s="5431" t="s">
        <v>5640</v>
      </c>
      <c r="B477" s="5431">
        <v>46233</v>
      </c>
      <c r="C477" s="5431" t="str">
        <v>Thursday</v>
      </c>
      <c r="D477" s="5500" t="s">
        <v>5452</v>
      </c>
      <c r="E477" s="5438">
        <f t="shared" si="86"/>
      </c>
      <c r="F477" s="5438" t="s">
        <v>5645</v>
      </c>
      <c r="G477" s="5658"/>
      <c r="H477" s="5513" t="s">
        <v>5267</v>
      </c>
      <c r="I477" s="5513" t="s">
        <v>5268</v>
      </c>
      <c r="J477" s="5513"/>
      <c r="K477" s="5659"/>
      <c r="L477" s="5659"/>
      <c r="M477" s="5659"/>
      <c r="N477" s="5659"/>
      <c r="O477" s="5659"/>
      <c r="P477" s="5659"/>
      <c r="Q477" s="5659"/>
      <c r="R477" s="5659"/>
      <c r="S477" s="5659"/>
      <c r="T477" s="5659"/>
      <c r="U477" s="5468"/>
      <c r="V477" s="5468"/>
      <c r="W477" s="5468"/>
      <c r="X477" s="5468"/>
      <c r="Y477" s="5468"/>
    </row>
    <row r="478">
      <c r="A478" s="5660" t="s">
        <v>5638</v>
      </c>
      <c r="B478" s="5660">
        <v>46234</v>
      </c>
      <c r="C478" s="5660" t="str">
        <v>Friday</v>
      </c>
      <c r="D478" s="5661" t="s">
        <v>5415</v>
      </c>
      <c r="E478" s="5661">
        <f t="shared" si="86"/>
      </c>
      <c r="F478" s="5661" t="s">
        <v>5639</v>
      </c>
      <c r="G478" s="5658"/>
      <c r="H478" s="5513" t="s">
        <v>5267</v>
      </c>
      <c r="I478" s="5513"/>
      <c r="J478" s="5513"/>
      <c r="K478" s="5659"/>
      <c r="L478" s="5659"/>
      <c r="M478" s="5659"/>
      <c r="N478" s="5659"/>
      <c r="O478" s="5659"/>
      <c r="P478" s="5659"/>
      <c r="Q478" s="5659"/>
      <c r="R478" s="5659"/>
      <c r="S478" s="5659"/>
      <c r="T478" s="5659"/>
      <c r="U478" s="5468"/>
      <c r="V478" s="5468"/>
      <c r="W478" s="5468"/>
      <c r="X478" s="5468"/>
      <c r="Y478" s="5468"/>
    </row>
    <row r="479">
      <c r="A479" s="5660" t="s">
        <v>5638</v>
      </c>
      <c r="B479" s="5660">
        <v>46234</v>
      </c>
      <c r="C479" s="5660" t="str">
        <v>Friday</v>
      </c>
      <c r="D479" s="5661" t="s">
        <v>5452</v>
      </c>
      <c r="E479" s="5661">
        <f t="shared" si="86"/>
      </c>
      <c r="F479" s="5661" t="s">
        <v>5642</v>
      </c>
      <c r="G479" s="5658"/>
      <c r="H479" s="5513" t="s">
        <v>5267</v>
      </c>
      <c r="I479" s="5513"/>
      <c r="J479" s="5513"/>
      <c r="K479" s="5659"/>
      <c r="L479" s="5659"/>
      <c r="M479" s="5659"/>
      <c r="N479" s="5659"/>
      <c r="O479" s="5659"/>
      <c r="P479" s="5659"/>
      <c r="Q479" s="5659"/>
      <c r="R479" s="5659"/>
      <c r="S479" s="5659"/>
      <c r="T479" s="5659"/>
      <c r="U479" s="5468"/>
      <c r="V479" s="5468"/>
      <c r="W479" s="5468"/>
      <c r="X479" s="5468"/>
      <c r="Y479" s="5468"/>
    </row>
    <row r="480">
      <c r="A480" s="5431" t="s">
        <v>5640</v>
      </c>
      <c r="B480" s="5431">
        <v>46234</v>
      </c>
      <c r="C480" s="5431" t="str">
        <v>Friday</v>
      </c>
      <c r="D480" s="5500" t="s">
        <v>5646</v>
      </c>
      <c r="E480" s="5438">
        <f t="shared" si="86"/>
      </c>
      <c r="F480" s="5438" t="s">
        <v>5642</v>
      </c>
      <c r="G480" s="5658"/>
      <c r="H480" s="5513" t="s">
        <v>5267</v>
      </c>
      <c r="I480" s="5513"/>
      <c r="J480" s="5513"/>
      <c r="K480" s="5659"/>
      <c r="L480" s="5659"/>
      <c r="M480" s="5659"/>
      <c r="N480" s="5659"/>
      <c r="O480" s="5659"/>
      <c r="P480" s="5659"/>
      <c r="Q480" s="5659"/>
      <c r="R480" s="5659"/>
      <c r="S480" s="5659"/>
      <c r="T480" s="5659"/>
      <c r="U480" s="5468"/>
      <c r="V480" s="5468"/>
      <c r="W480" s="5468"/>
      <c r="X480" s="5468"/>
      <c r="Y480" s="5468"/>
    </row>
    <row r="481">
      <c r="A481" s="5431" t="s">
        <v>5635</v>
      </c>
      <c r="B481" s="5431">
        <v>46234</v>
      </c>
      <c r="C481" s="5431" t="str">
        <v>Friday</v>
      </c>
      <c r="D481" s="5723" t="s">
        <v>5434</v>
      </c>
      <c r="E481" s="5438">
        <f t="shared" si="86"/>
      </c>
      <c r="F481" s="5438" t="s">
        <v>5645</v>
      </c>
      <c r="G481" s="5658"/>
      <c r="H481" s="5513" t="s">
        <v>5267</v>
      </c>
      <c r="I481" s="5513" t="s">
        <v>5268</v>
      </c>
      <c r="J481" s="5658"/>
      <c r="K481" s="5659"/>
      <c r="L481" s="5659"/>
      <c r="M481" s="5659"/>
      <c r="N481" s="5659"/>
      <c r="O481" s="5659"/>
      <c r="P481" s="5659"/>
      <c r="Q481" s="5659"/>
      <c r="R481" s="5659"/>
      <c r="S481" s="5659"/>
      <c r="T481" s="5659"/>
      <c r="U481" s="5468"/>
      <c r="V481" s="5468"/>
      <c r="W481" s="5468"/>
      <c r="X481" s="5468"/>
      <c r="Y481" s="5468"/>
    </row>
    <row r="482">
      <c r="A482" s="5431" t="s">
        <v>5640</v>
      </c>
      <c r="B482" s="5431">
        <v>46234</v>
      </c>
      <c r="C482" s="5431" t="str">
        <v>Friday</v>
      </c>
      <c r="D482" s="5500" t="s">
        <v>5558</v>
      </c>
      <c r="E482" s="5438">
        <f t="shared" si="86"/>
      </c>
      <c r="F482" s="5438" t="s">
        <v>5645</v>
      </c>
      <c r="G482" s="5658"/>
      <c r="H482" s="5513" t="s">
        <v>5267</v>
      </c>
      <c r="I482" s="5513" t="s">
        <v>5268</v>
      </c>
      <c r="J482" s="5658"/>
      <c r="K482" s="5659"/>
      <c r="L482" s="5659"/>
      <c r="M482" s="5659"/>
      <c r="N482" s="5659"/>
      <c r="O482" s="5659"/>
      <c r="P482" s="5659"/>
      <c r="Q482" s="5659"/>
      <c r="R482" s="5659"/>
      <c r="S482" s="5659"/>
      <c r="T482" s="5659"/>
      <c r="U482" s="5468"/>
      <c r="V482" s="5468"/>
      <c r="W482" s="5468"/>
      <c r="X482" s="5468"/>
      <c r="Y482" s="5468"/>
    </row>
    <row r="483">
      <c r="A483" s="5431" t="s">
        <v>5635</v>
      </c>
      <c r="B483" s="5431">
        <v>46235</v>
      </c>
      <c r="C483" s="5431" t="str">
        <v>Saturday</v>
      </c>
      <c r="D483" s="5500" t="s">
        <v>5324</v>
      </c>
      <c r="E483" s="5438">
        <v>1</v>
      </c>
      <c r="F483" s="5438" t="s">
        <v>5637</v>
      </c>
      <c r="G483" s="5658"/>
      <c r="H483" s="5513" t="s">
        <v>5267</v>
      </c>
      <c r="I483" s="5513"/>
      <c r="J483" s="5725"/>
      <c r="K483" s="5659"/>
      <c r="L483" s="5659"/>
      <c r="M483" s="5659"/>
      <c r="N483" s="5659"/>
      <c r="O483" s="5659"/>
      <c r="P483" s="5659"/>
      <c r="Q483" s="5659"/>
      <c r="R483" s="5659"/>
      <c r="S483" s="5659"/>
      <c r="T483" s="5659"/>
      <c r="U483" s="5468"/>
      <c r="V483" s="5468"/>
      <c r="W483" s="5468"/>
      <c r="X483" s="5468"/>
      <c r="Y483" s="5468"/>
    </row>
    <row r="484">
      <c r="A484" s="5660" t="s">
        <v>5638</v>
      </c>
      <c r="B484" s="5660">
        <v>46235</v>
      </c>
      <c r="C484" s="5660" t="str">
        <v>Saturday</v>
      </c>
      <c r="D484" s="5661" t="s">
        <v>5415</v>
      </c>
      <c r="E484" s="5661">
        <f t="shared" ref="E484:E491" si="87">24*MOD(TIMEVALUE(TRIM(MID(D484,FIND("-",D484)+1,LEN(D484)))) - TIMEVALUE(TRIM(LEFT(D484,FIND("-",D484)-1))),1)</f>
      </c>
      <c r="F484" s="5661" t="s">
        <v>5637</v>
      </c>
      <c r="G484" s="5658"/>
      <c r="H484" s="5513" t="s">
        <v>5267</v>
      </c>
      <c r="I484" s="5513"/>
      <c r="J484" s="5725"/>
      <c r="K484" s="5659"/>
      <c r="L484" s="5659"/>
      <c r="M484" s="5659"/>
      <c r="N484" s="5659"/>
      <c r="O484" s="5659"/>
      <c r="P484" s="5659"/>
      <c r="Q484" s="5659"/>
      <c r="R484" s="5659"/>
      <c r="S484" s="5659"/>
      <c r="T484" s="5659"/>
      <c r="U484" s="5468"/>
      <c r="V484" s="5468"/>
      <c r="W484" s="5468"/>
      <c r="X484" s="5468"/>
      <c r="Y484" s="5468"/>
    </row>
    <row r="485">
      <c r="A485" s="5660" t="s">
        <v>5638</v>
      </c>
      <c r="B485" s="5660">
        <v>46235</v>
      </c>
      <c r="C485" s="5660" t="str">
        <v>Saturday</v>
      </c>
      <c r="D485" s="5661" t="s">
        <v>5452</v>
      </c>
      <c r="E485" s="5661">
        <f t="shared" si="87"/>
      </c>
      <c r="F485" s="5661" t="s">
        <v>5639</v>
      </c>
      <c r="G485" s="5658"/>
      <c r="H485" s="5513" t="s">
        <v>5267</v>
      </c>
      <c r="I485" s="5513"/>
      <c r="J485" s="5725"/>
      <c r="K485" s="5659"/>
      <c r="L485" s="5659"/>
      <c r="M485" s="5659"/>
      <c r="N485" s="5659"/>
      <c r="O485" s="5659"/>
      <c r="P485" s="5659"/>
      <c r="Q485" s="5659"/>
      <c r="R485" s="5659"/>
      <c r="S485" s="5659"/>
      <c r="T485" s="5659"/>
      <c r="U485" s="5468"/>
      <c r="V485" s="5468"/>
      <c r="W485" s="5468"/>
      <c r="X485" s="5468"/>
      <c r="Y485" s="5468"/>
    </row>
    <row r="486">
      <c r="A486" s="5431" t="s">
        <v>5640</v>
      </c>
      <c r="B486" s="5431">
        <v>46235</v>
      </c>
      <c r="C486" s="5431" t="str">
        <v>Saturday</v>
      </c>
      <c r="D486" s="5500" t="s">
        <v>5647</v>
      </c>
      <c r="E486" s="5438">
        <f t="shared" si="87"/>
      </c>
      <c r="F486" s="5438" t="s">
        <v>5642</v>
      </c>
      <c r="G486" s="5658"/>
      <c r="H486" s="5513" t="s">
        <v>5267</v>
      </c>
      <c r="I486" s="5513"/>
      <c r="J486" s="5725"/>
      <c r="K486" s="5659"/>
      <c r="L486" s="5659"/>
      <c r="M486" s="5659"/>
      <c r="N486" s="5659"/>
      <c r="O486" s="5659"/>
      <c r="P486" s="5659"/>
      <c r="Q486" s="5659"/>
      <c r="R486" s="5659"/>
      <c r="S486" s="5659"/>
      <c r="T486" s="5659"/>
      <c r="U486" s="5468"/>
      <c r="V486" s="5468"/>
      <c r="W486" s="5468"/>
      <c r="X486" s="5468"/>
      <c r="Y486" s="5468"/>
    </row>
    <row r="487">
      <c r="A487" s="5431" t="s">
        <v>5640</v>
      </c>
      <c r="B487" s="5431">
        <v>46235</v>
      </c>
      <c r="C487" s="5431" t="str">
        <v>Saturday</v>
      </c>
      <c r="D487" s="5500" t="s">
        <v>5643</v>
      </c>
      <c r="E487" s="5438">
        <f t="shared" si="87"/>
      </c>
      <c r="F487" s="5438" t="s">
        <v>5308</v>
      </c>
      <c r="G487" s="5658"/>
      <c r="H487" s="5513" t="s">
        <v>5267</v>
      </c>
      <c r="I487" s="5513"/>
      <c r="J487" s="5725"/>
      <c r="K487" s="5659"/>
      <c r="L487" s="5659"/>
      <c r="M487" s="5659"/>
      <c r="N487" s="5659"/>
      <c r="O487" s="5659"/>
      <c r="P487" s="5659"/>
      <c r="Q487" s="5659"/>
      <c r="R487" s="5659"/>
      <c r="S487" s="5659"/>
      <c r="T487" s="5659"/>
      <c r="U487" s="5468"/>
      <c r="V487" s="5468"/>
      <c r="W487" s="5468"/>
      <c r="X487" s="5468"/>
      <c r="Y487" s="5468"/>
    </row>
    <row r="488">
      <c r="A488" s="5660" t="s">
        <v>5638</v>
      </c>
      <c r="B488" s="5660">
        <v>46236</v>
      </c>
      <c r="C488" s="5660" t="str">
        <v>Sunday</v>
      </c>
      <c r="D488" s="5661" t="s">
        <v>5415</v>
      </c>
      <c r="E488" s="5661">
        <f t="shared" si="87"/>
      </c>
      <c r="F488" s="5661" t="s">
        <v>5639</v>
      </c>
      <c r="G488" s="5658"/>
      <c r="H488" s="5513" t="s">
        <v>5267</v>
      </c>
      <c r="I488" s="5513"/>
      <c r="J488" s="5725"/>
      <c r="K488" s="5659"/>
      <c r="L488" s="5659"/>
      <c r="M488" s="5659"/>
      <c r="N488" s="5659"/>
      <c r="O488" s="5659"/>
      <c r="P488" s="5659"/>
      <c r="Q488" s="5659"/>
      <c r="R488" s="5659"/>
      <c r="S488" s="5659"/>
      <c r="T488" s="5659"/>
      <c r="U488" s="5468"/>
      <c r="V488" s="5468"/>
      <c r="W488" s="5468"/>
      <c r="X488" s="5468"/>
      <c r="Y488" s="5468"/>
    </row>
    <row r="489">
      <c r="A489" s="5660" t="s">
        <v>5638</v>
      </c>
      <c r="B489" s="5660">
        <v>46236</v>
      </c>
      <c r="C489" s="5660" t="str">
        <v>Sunday</v>
      </c>
      <c r="D489" s="5661" t="s">
        <v>5452</v>
      </c>
      <c r="E489" s="5661">
        <f t="shared" si="87"/>
      </c>
      <c r="F489" s="5661" t="s">
        <v>5642</v>
      </c>
      <c r="G489" s="5658"/>
      <c r="H489" s="5513" t="s">
        <v>5267</v>
      </c>
      <c r="I489" s="5513"/>
      <c r="J489" s="5725"/>
      <c r="K489" s="5659"/>
      <c r="L489" s="5659"/>
      <c r="M489" s="5659"/>
      <c r="N489" s="5659"/>
      <c r="O489" s="5659"/>
      <c r="P489" s="5659"/>
      <c r="Q489" s="5659"/>
      <c r="R489" s="5659"/>
      <c r="S489" s="5659"/>
      <c r="T489" s="5659"/>
      <c r="U489" s="5468"/>
      <c r="V489" s="5468"/>
      <c r="W489" s="5468"/>
      <c r="X489" s="5468"/>
      <c r="Y489" s="5468"/>
    </row>
    <row r="490">
      <c r="A490" s="5431" t="s">
        <v>5640</v>
      </c>
      <c r="B490" s="5431">
        <v>46236</v>
      </c>
      <c r="C490" s="5431" t="str">
        <v>Sunday</v>
      </c>
      <c r="D490" s="5500" t="s">
        <v>5646</v>
      </c>
      <c r="E490" s="5438">
        <f t="shared" si="87"/>
      </c>
      <c r="F490" s="5438" t="s">
        <v>5642</v>
      </c>
      <c r="G490" s="5658"/>
      <c r="H490" s="5513" t="s">
        <v>5267</v>
      </c>
      <c r="I490" s="5513"/>
      <c r="J490" s="5725"/>
      <c r="K490" s="5659"/>
      <c r="L490" s="5659"/>
      <c r="M490" s="5659"/>
      <c r="N490" s="5659"/>
      <c r="O490" s="5659"/>
      <c r="P490" s="5659"/>
      <c r="Q490" s="5659"/>
      <c r="R490" s="5659"/>
      <c r="S490" s="5659"/>
      <c r="T490" s="5659"/>
      <c r="U490" s="5468"/>
      <c r="V490" s="5468"/>
      <c r="W490" s="5468"/>
      <c r="X490" s="5468"/>
      <c r="Y490" s="5468"/>
    </row>
    <row r="491">
      <c r="A491" s="5431" t="s">
        <v>5640</v>
      </c>
      <c r="B491" s="5431">
        <v>46236</v>
      </c>
      <c r="C491" s="5431" t="str">
        <v>Sunday</v>
      </c>
      <c r="D491" s="5500" t="s">
        <v>5558</v>
      </c>
      <c r="E491" s="5438">
        <f t="shared" si="87"/>
      </c>
      <c r="F491" s="5438" t="s">
        <v>5308</v>
      </c>
      <c r="G491" s="5658"/>
      <c r="H491" s="5513" t="s">
        <v>5267</v>
      </c>
      <c r="I491" s="5513"/>
      <c r="J491" s="5725"/>
      <c r="K491" s="5659"/>
      <c r="L491" s="5659"/>
      <c r="M491" s="5659"/>
      <c r="N491" s="5659"/>
      <c r="O491" s="5659"/>
      <c r="P491" s="5659"/>
      <c r="Q491" s="5659"/>
      <c r="R491" s="5659"/>
      <c r="S491" s="5659"/>
      <c r="T491" s="5659"/>
      <c r="U491" s="5468"/>
      <c r="V491" s="5468"/>
      <c r="W491" s="5468"/>
      <c r="X491" s="5468"/>
      <c r="Y491" s="5468"/>
    </row>
    <row customHeight="true" ht="16.071428571428573" r="492">
      <c r="A492" s="5726"/>
      <c r="B492" s="5511"/>
      <c r="C492" s="5511"/>
      <c r="D492" s="5513"/>
      <c r="E492" s="5513"/>
      <c r="F492" s="5513"/>
      <c r="G492" s="5658"/>
      <c r="H492" s="5513"/>
      <c r="I492" s="5513"/>
      <c r="J492" s="5513"/>
      <c r="K492" s="5659"/>
      <c r="L492" s="5659"/>
      <c r="M492" s="5659"/>
      <c r="N492" s="5659"/>
      <c r="O492" s="5659"/>
      <c r="P492" s="5659"/>
      <c r="Q492" s="5659"/>
      <c r="R492" s="5659"/>
      <c r="S492" s="5659"/>
      <c r="T492" s="5659"/>
      <c r="U492" s="5468"/>
      <c r="V492" s="5468"/>
      <c r="W492" s="5468"/>
      <c r="X492" s="5468"/>
      <c r="Y492" s="5468"/>
    </row>
    <row r="493">
      <c r="A493" s="5727" t="s">
        <v>5648</v>
      </c>
      <c r="B493" s="5727"/>
      <c r="C493" s="5727"/>
      <c r="D493" s="5727"/>
      <c r="E493" s="5727"/>
      <c r="F493" s="5727"/>
      <c r="G493" s="5727"/>
      <c r="H493" s="5727"/>
      <c r="I493" s="5727"/>
      <c r="J493" s="5727"/>
      <c r="K493" s="5426"/>
      <c r="L493" s="5426"/>
      <c r="M493" s="5426"/>
      <c r="N493" s="5426"/>
      <c r="O493" s="5426"/>
      <c r="P493" s="5426"/>
      <c r="Q493" s="5426"/>
      <c r="R493" s="5426"/>
      <c r="S493" s="5426"/>
      <c r="T493" s="5426"/>
      <c r="U493" s="5428"/>
      <c r="V493" s="5428"/>
      <c r="W493" s="5428"/>
      <c r="X493" s="5428"/>
      <c r="Y493" s="5428"/>
    </row>
    <row r="494">
      <c r="A494" s="5728" t="s">
        <v>5277</v>
      </c>
      <c r="B494" s="5729" t="s">
        <v>5278</v>
      </c>
      <c r="C494" s="5729"/>
      <c r="D494" s="5730" t="s">
        <v>5279</v>
      </c>
      <c r="E494" s="5730" t="s">
        <v>5280</v>
      </c>
      <c r="F494" s="5730" t="s">
        <v>5281</v>
      </c>
      <c r="G494" s="5731" t="s">
        <v>5294</v>
      </c>
      <c r="H494" s="5730" t="s">
        <v>5283</v>
      </c>
      <c r="I494" s="5730" t="s">
        <v>5284</v>
      </c>
      <c r="J494" s="5730" t="s">
        <v>5285</v>
      </c>
      <c r="K494" s="5426"/>
      <c r="L494" s="5426"/>
      <c r="M494" s="5426"/>
      <c r="N494" s="5426"/>
      <c r="O494" s="5426"/>
      <c r="P494" s="5426"/>
      <c r="Q494" s="5426"/>
      <c r="R494" s="5426"/>
      <c r="S494" s="5426"/>
      <c r="T494" s="5426"/>
      <c r="U494" s="5428"/>
      <c r="V494" s="5428"/>
      <c r="W494" s="5428"/>
      <c r="X494" s="5428"/>
      <c r="Y494" s="5428"/>
    </row>
    <row customHeight="true" ht="18.452380952380953" r="495">
      <c r="A495" s="5431" t="s">
        <v>5649</v>
      </c>
      <c r="B495" s="5431">
        <v>46231</v>
      </c>
      <c r="C495" s="5431" t="str">
        <v>Tuesday</v>
      </c>
      <c r="D495" s="5437" t="s">
        <v>5296</v>
      </c>
      <c r="E495" s="5437">
        <f t="shared" ref="E495:E503" si="88">24*MOD(TIMEVALUE(TRIM(MID(D495,FIND("-",D495)+1,LEN(D495)))) - TIMEVALUE(TRIM(LEFT(D495,FIND("-",D495)-1))),1)</f>
      </c>
      <c r="F495" s="5438" t="s">
        <v>5521</v>
      </c>
      <c r="G495" s="5486"/>
      <c r="H495" s="5437" t="s">
        <v>5267</v>
      </c>
      <c r="I495" s="5437" t="s">
        <v>5268</v>
      </c>
      <c r="J495" s="5437"/>
      <c r="K495" s="5426"/>
      <c r="L495" s="5426"/>
      <c r="M495" s="5426"/>
      <c r="N495" s="5426"/>
      <c r="O495" s="5426"/>
      <c r="P495" s="5426"/>
      <c r="Q495" s="5426"/>
      <c r="R495" s="5426"/>
      <c r="S495" s="5426"/>
      <c r="T495" s="5426"/>
      <c r="U495" s="5428"/>
      <c r="V495" s="5428"/>
      <c r="W495" s="5428"/>
      <c r="X495" s="5428"/>
      <c r="Y495" s="5428"/>
    </row>
    <row customHeight="true" ht="18.452380952380953" r="496">
      <c r="A496" s="5431" t="s">
        <v>5650</v>
      </c>
      <c r="B496" s="5431">
        <v>46231</v>
      </c>
      <c r="C496" s="5431" t="str">
        <v>Tuesday</v>
      </c>
      <c r="D496" s="5561" t="s">
        <v>5651</v>
      </c>
      <c r="E496" s="5437">
        <f t="shared" si="88"/>
      </c>
      <c r="F496" s="5438" t="s">
        <v>5521</v>
      </c>
      <c r="G496" s="5497" t="s">
        <v>5652</v>
      </c>
      <c r="H496" s="5437" t="s">
        <v>5267</v>
      </c>
      <c r="I496" s="5437" t="s">
        <v>5268</v>
      </c>
      <c r="J496" s="5561" t="s">
        <v>5653</v>
      </c>
      <c r="K496" s="5426"/>
      <c r="L496" s="5426"/>
      <c r="M496" s="5426"/>
      <c r="N496" s="5426"/>
      <c r="O496" s="5426"/>
      <c r="P496" s="5426"/>
      <c r="Q496" s="5426"/>
      <c r="R496" s="5426"/>
      <c r="S496" s="5426"/>
      <c r="T496" s="5426"/>
      <c r="U496" s="5428"/>
      <c r="V496" s="5428"/>
      <c r="W496" s="5428"/>
      <c r="X496" s="5428"/>
      <c r="Y496" s="5428"/>
    </row>
    <row r="497">
      <c r="A497" s="5431" t="s">
        <v>5649</v>
      </c>
      <c r="B497" s="5431">
        <v>46231</v>
      </c>
      <c r="C497" s="5431" t="str">
        <v>Tuesday</v>
      </c>
      <c r="D497" s="5437" t="s">
        <v>5312</v>
      </c>
      <c r="E497" s="5437">
        <f t="shared" si="88"/>
      </c>
      <c r="F497" s="5438" t="s">
        <v>5626</v>
      </c>
      <c r="G497" s="5486"/>
      <c r="H497" s="5437" t="s">
        <v>5267</v>
      </c>
      <c r="I497" s="5437" t="s">
        <v>5268</v>
      </c>
      <c r="J497" s="5437"/>
      <c r="K497" s="5426"/>
      <c r="L497" s="5426"/>
      <c r="M497" s="5426"/>
      <c r="N497" s="5426"/>
      <c r="O497" s="5426"/>
      <c r="P497" s="5426"/>
      <c r="Q497" s="5426"/>
      <c r="R497" s="5426"/>
      <c r="S497" s="5426"/>
      <c r="T497" s="5426"/>
      <c r="U497" s="5428"/>
      <c r="V497" s="5428"/>
      <c r="W497" s="5428"/>
      <c r="X497" s="5428"/>
      <c r="Y497" s="5428"/>
    </row>
    <row r="498">
      <c r="A498" s="5660" t="s">
        <v>5654</v>
      </c>
      <c r="B498" s="5660">
        <v>46231</v>
      </c>
      <c r="C498" s="5660" t="str">
        <v>Tuesday</v>
      </c>
      <c r="D498" s="5664" t="s">
        <v>5655</v>
      </c>
      <c r="E498" s="5661">
        <f t="shared" si="88"/>
      </c>
      <c r="F498" s="5661" t="s">
        <v>5656</v>
      </c>
      <c r="G498" s="5669"/>
      <c r="H498" s="5661" t="s">
        <v>5267</v>
      </c>
      <c r="I498" s="5661" t="s">
        <v>5268</v>
      </c>
      <c r="J498" s="5661"/>
      <c r="K498" s="5426"/>
      <c r="L498" s="5426"/>
      <c r="M498" s="5426"/>
      <c r="N498" s="5426"/>
      <c r="O498" s="5426"/>
      <c r="P498" s="5426"/>
      <c r="Q498" s="5426"/>
      <c r="R498" s="5426"/>
      <c r="S498" s="5426"/>
      <c r="T498" s="5426"/>
      <c r="U498" s="5428"/>
      <c r="V498" s="5428"/>
      <c r="W498" s="5428"/>
      <c r="X498" s="5428"/>
      <c r="Y498" s="5428"/>
    </row>
    <row r="499">
      <c r="A499" s="5431" t="s">
        <v>5649</v>
      </c>
      <c r="B499" s="5431">
        <v>46232</v>
      </c>
      <c r="C499" s="5431" t="str">
        <v>Wednesday</v>
      </c>
      <c r="D499" s="5437" t="s">
        <v>5325</v>
      </c>
      <c r="E499" s="5437">
        <f t="shared" si="88"/>
      </c>
      <c r="F499" s="5438" t="s">
        <v>5626</v>
      </c>
      <c r="G499" s="5486"/>
      <c r="H499" s="5437" t="s">
        <v>5267</v>
      </c>
      <c r="I499" s="5437" t="s">
        <v>5268</v>
      </c>
      <c r="J499" s="5437"/>
      <c r="K499" s="5426"/>
      <c r="L499" s="5426"/>
      <c r="M499" s="5426"/>
      <c r="N499" s="5426"/>
      <c r="O499" s="5426"/>
      <c r="P499" s="5426"/>
      <c r="Q499" s="5426"/>
      <c r="R499" s="5426"/>
      <c r="S499" s="5426"/>
      <c r="T499" s="5426"/>
      <c r="U499" s="5428"/>
      <c r="V499" s="5428"/>
      <c r="W499" s="5428"/>
      <c r="X499" s="5428"/>
      <c r="Y499" s="5428"/>
    </row>
    <row customHeight="true" ht="18.452380952380953" r="500">
      <c r="A500" s="5431" t="s">
        <v>5650</v>
      </c>
      <c r="B500" s="5431">
        <v>46232</v>
      </c>
      <c r="C500" s="5431" t="str">
        <v>Wednesday</v>
      </c>
      <c r="D500" s="5561" t="s">
        <v>5331</v>
      </c>
      <c r="E500" s="5437">
        <f t="shared" si="88"/>
      </c>
      <c r="F500" s="5732" t="s">
        <v>5657</v>
      </c>
      <c r="G500" s="5456" t="s">
        <v>5658</v>
      </c>
      <c r="H500" s="5437" t="s">
        <v>5267</v>
      </c>
      <c r="I500" s="5732" t="s">
        <v>5268</v>
      </c>
      <c r="J500" s="5561" t="s">
        <v>5659</v>
      </c>
      <c r="K500" s="5426"/>
      <c r="L500" s="5426"/>
      <c r="M500" s="5426"/>
      <c r="N500" s="5426"/>
      <c r="O500" s="5426"/>
      <c r="P500" s="5426"/>
      <c r="Q500" s="5426"/>
      <c r="R500" s="5426"/>
      <c r="S500" s="5426"/>
      <c r="T500" s="5426"/>
      <c r="U500" s="5428"/>
      <c r="V500" s="5428"/>
      <c r="W500" s="5428"/>
      <c r="X500" s="5428"/>
      <c r="Y500" s="5428"/>
    </row>
    <row customHeight="true" ht="18.452380952380953" r="501">
      <c r="A501" s="5431" t="s">
        <v>5650</v>
      </c>
      <c r="B501" s="5431">
        <v>46232</v>
      </c>
      <c r="C501" s="5431" t="str">
        <v>Wednesday</v>
      </c>
      <c r="D501" s="5561" t="s">
        <v>5660</v>
      </c>
      <c r="E501" s="5437">
        <f t="shared" si="88"/>
      </c>
      <c r="F501" s="5513" t="s">
        <v>5661</v>
      </c>
      <c r="G501" s="5456" t="s">
        <v>5658</v>
      </c>
      <c r="H501" s="5437" t="s">
        <v>5267</v>
      </c>
      <c r="I501" s="5437" t="s">
        <v>5268</v>
      </c>
      <c r="J501" s="5561" t="s">
        <v>5662</v>
      </c>
      <c r="K501" s="5426"/>
      <c r="L501" s="5426"/>
      <c r="M501" s="5426"/>
      <c r="N501" s="5426"/>
      <c r="O501" s="5426"/>
      <c r="P501" s="5426"/>
      <c r="Q501" s="5426"/>
      <c r="R501" s="5426"/>
      <c r="S501" s="5426"/>
      <c r="T501" s="5426"/>
      <c r="U501" s="5428"/>
      <c r="V501" s="5428"/>
      <c r="W501" s="5428"/>
      <c r="X501" s="5428"/>
      <c r="Y501" s="5428"/>
    </row>
    <row customHeight="true" ht="18.452380952380953" r="502">
      <c r="A502" s="5491" t="s">
        <v>5650</v>
      </c>
      <c r="B502" s="5491">
        <v>46232</v>
      </c>
      <c r="C502" s="5491" t="str">
        <v>Wednesday</v>
      </c>
      <c r="D502" s="5605" t="s">
        <v>5523</v>
      </c>
      <c r="E502" s="5494">
        <f t="shared" si="88"/>
      </c>
      <c r="F502" s="5494" t="s">
        <v>5663</v>
      </c>
      <c r="G502" s="5601" t="s">
        <v>5658</v>
      </c>
      <c r="H502" s="5494" t="s">
        <v>5267</v>
      </c>
      <c r="I502" s="5494" t="s">
        <v>5268</v>
      </c>
      <c r="J502" s="5605" t="s">
        <v>5664</v>
      </c>
      <c r="K502" s="5426"/>
      <c r="L502" s="5426"/>
      <c r="M502" s="5426"/>
      <c r="N502" s="5426"/>
      <c r="O502" s="5426"/>
      <c r="P502" s="5426"/>
      <c r="Q502" s="5426"/>
      <c r="R502" s="5426"/>
      <c r="S502" s="5426"/>
      <c r="T502" s="5426"/>
      <c r="U502" s="5428"/>
      <c r="V502" s="5428"/>
      <c r="W502" s="5428"/>
      <c r="X502" s="5428"/>
      <c r="Y502" s="5428"/>
    </row>
    <row r="503">
      <c r="A503" s="5660" t="s">
        <v>5654</v>
      </c>
      <c r="B503" s="5660">
        <v>46232</v>
      </c>
      <c r="C503" s="5660" t="str">
        <v>Wednesday</v>
      </c>
      <c r="D503" s="5661" t="s">
        <v>5665</v>
      </c>
      <c r="E503" s="5661">
        <f t="shared" si="88"/>
      </c>
      <c r="F503" s="5661" t="s">
        <v>5656</v>
      </c>
      <c r="G503" s="5669"/>
      <c r="H503" s="5661" t="s">
        <v>5267</v>
      </c>
      <c r="I503" s="5661" t="s">
        <v>5268</v>
      </c>
      <c r="J503" s="5661"/>
      <c r="K503" s="5426"/>
      <c r="L503" s="5426"/>
      <c r="M503" s="5426"/>
      <c r="N503" s="5426"/>
      <c r="O503" s="5426"/>
      <c r="P503" s="5426"/>
      <c r="Q503" s="5426"/>
      <c r="R503" s="5426"/>
      <c r="S503" s="5426"/>
      <c r="T503" s="5426"/>
      <c r="U503" s="5428"/>
      <c r="V503" s="5428"/>
      <c r="W503" s="5428"/>
      <c r="X503" s="5428"/>
      <c r="Y503" s="5428"/>
    </row>
    <row customHeight="true" ht="18.452380952380953" r="504">
      <c r="A504" s="5733"/>
      <c r="B504" s="5733"/>
      <c r="C504" s="5733"/>
      <c r="D504" s="5734"/>
      <c r="E504" s="5735"/>
      <c r="F504" s="5735"/>
      <c r="G504" s="5736"/>
      <c r="H504" s="5735"/>
      <c r="I504" s="5735"/>
      <c r="J504" s="5734"/>
      <c r="K504" s="5659"/>
      <c r="L504" s="5659"/>
      <c r="M504" s="5659"/>
      <c r="N504" s="5659"/>
      <c r="O504" s="5659"/>
      <c r="P504" s="5659"/>
      <c r="Q504" s="5659"/>
      <c r="R504" s="5659"/>
      <c r="S504" s="5659"/>
      <c r="T504" s="5659"/>
      <c r="U504" s="5468"/>
      <c r="V504" s="5468"/>
      <c r="W504" s="5468"/>
      <c r="X504" s="5468"/>
      <c r="Y504" s="5468"/>
    </row>
    <row customHeight="true" ht="18.452380952380953" r="505">
      <c r="A505" s="5431" t="s">
        <v>5650</v>
      </c>
      <c r="B505" s="5431">
        <v>46233</v>
      </c>
      <c r="C505" s="5431" t="str">
        <v>Thursday</v>
      </c>
      <c r="D505" s="5433" t="s">
        <v>5666</v>
      </c>
      <c r="E505" s="5438">
        <f t="shared" ref="E505:E537" si="89">24*MOD(TIMEVALUE(TRIM(MID(D505,FIND("-",D505)+1,LEN(D505)))) - TIMEVALUE(TRIM(LEFT(D505,FIND("-",D505)-1))),1)</f>
      </c>
      <c r="F505" s="5438" t="s">
        <v>5458</v>
      </c>
      <c r="G505" s="5456" t="s">
        <v>5667</v>
      </c>
      <c r="H505" s="5437" t="s">
        <v>5267</v>
      </c>
      <c r="I505" s="5437" t="s">
        <v>5268</v>
      </c>
      <c r="J505" s="5561" t="s">
        <v>5668</v>
      </c>
      <c r="K505" s="5426"/>
      <c r="L505" s="5426"/>
      <c r="M505" s="5426"/>
      <c r="N505" s="5426"/>
      <c r="O505" s="5426"/>
      <c r="P505" s="5426"/>
      <c r="Q505" s="5426"/>
      <c r="R505" s="5426"/>
      <c r="S505" s="5426"/>
      <c r="T505" s="5426"/>
      <c r="U505" s="5428"/>
      <c r="V505" s="5428"/>
      <c r="W505" s="5428"/>
      <c r="X505" s="5428"/>
      <c r="Y505" s="5428"/>
    </row>
    <row r="506">
      <c r="A506" s="5431" t="s">
        <v>5649</v>
      </c>
      <c r="B506" s="5431">
        <v>46233</v>
      </c>
      <c r="C506" s="5431" t="str">
        <v>Thursday</v>
      </c>
      <c r="D506" s="5438" t="s">
        <v>5476</v>
      </c>
      <c r="E506" s="5438">
        <f t="shared" si="89"/>
      </c>
      <c r="F506" s="5438" t="s">
        <v>5458</v>
      </c>
      <c r="G506" s="5467" t="s">
        <v>5669</v>
      </c>
      <c r="H506" s="5437" t="s">
        <v>5267</v>
      </c>
      <c r="I506" s="5437" t="s">
        <v>5268</v>
      </c>
      <c r="J506" s="5437"/>
      <c r="K506" s="5426"/>
      <c r="L506" s="5426"/>
      <c r="M506" s="5426"/>
      <c r="N506" s="5426"/>
      <c r="O506" s="5426"/>
      <c r="P506" s="5426"/>
      <c r="Q506" s="5426"/>
      <c r="R506" s="5426"/>
      <c r="S506" s="5426"/>
      <c r="T506" s="5426"/>
      <c r="U506" s="5428"/>
      <c r="V506" s="5428"/>
      <c r="W506" s="5428"/>
      <c r="X506" s="5428"/>
      <c r="Y506" s="5428"/>
    </row>
    <row customHeight="true" ht="18.452380952380953" r="507">
      <c r="A507" s="5431" t="s">
        <v>5650</v>
      </c>
      <c r="B507" s="5431">
        <v>46233</v>
      </c>
      <c r="C507" s="5431" t="str">
        <v>Thursday</v>
      </c>
      <c r="D507" s="5433" t="s">
        <v>5670</v>
      </c>
      <c r="E507" s="5438">
        <f t="shared" si="89"/>
      </c>
      <c r="F507" s="5438" t="s">
        <v>5626</v>
      </c>
      <c r="G507" s="5456" t="s">
        <v>5671</v>
      </c>
      <c r="H507" s="5437" t="s">
        <v>5267</v>
      </c>
      <c r="I507" s="5437" t="s">
        <v>5268</v>
      </c>
      <c r="J507" s="5561" t="s">
        <v>5672</v>
      </c>
      <c r="K507" s="5426"/>
      <c r="L507" s="5426"/>
      <c r="M507" s="5426"/>
      <c r="N507" s="5426"/>
      <c r="O507" s="5426"/>
      <c r="P507" s="5426"/>
      <c r="Q507" s="5426"/>
      <c r="R507" s="5426"/>
      <c r="S507" s="5426"/>
      <c r="T507" s="5426"/>
      <c r="U507" s="5428"/>
      <c r="V507" s="5428"/>
      <c r="W507" s="5428"/>
      <c r="X507" s="5428"/>
      <c r="Y507" s="5428"/>
    </row>
    <row r="508">
      <c r="A508" s="5431" t="s">
        <v>5649</v>
      </c>
      <c r="B508" s="5431">
        <v>46233</v>
      </c>
      <c r="C508" s="5431" t="str">
        <v>Thursday</v>
      </c>
      <c r="D508" s="5438" t="s">
        <v>5339</v>
      </c>
      <c r="E508" s="5438">
        <f t="shared" si="89"/>
      </c>
      <c r="F508" s="5438" t="s">
        <v>5626</v>
      </c>
      <c r="G508" s="5467" t="s">
        <v>5673</v>
      </c>
      <c r="H508" s="5437" t="s">
        <v>5267</v>
      </c>
      <c r="I508" s="5437" t="s">
        <v>5268</v>
      </c>
      <c r="J508" s="5437"/>
      <c r="K508" s="5426"/>
      <c r="L508" s="5426"/>
      <c r="M508" s="5426"/>
      <c r="N508" s="5426"/>
      <c r="O508" s="5426"/>
      <c r="P508" s="5426"/>
      <c r="Q508" s="5426"/>
      <c r="R508" s="5426"/>
      <c r="S508" s="5426"/>
      <c r="T508" s="5426"/>
      <c r="U508" s="5428"/>
      <c r="V508" s="5428"/>
      <c r="W508" s="5428"/>
      <c r="X508" s="5428"/>
      <c r="Y508" s="5428"/>
    </row>
    <row customHeight="true" ht="18.452380952380953" r="509">
      <c r="A509" s="5431" t="s">
        <v>5650</v>
      </c>
      <c r="B509" s="5431">
        <v>46233</v>
      </c>
      <c r="C509" s="5431" t="str">
        <v>Thursday</v>
      </c>
      <c r="D509" s="5433" t="s">
        <v>5674</v>
      </c>
      <c r="E509" s="5438">
        <f t="shared" si="89"/>
      </c>
      <c r="F509" s="5438" t="s">
        <v>5458</v>
      </c>
      <c r="G509" s="5456" t="s">
        <v>5675</v>
      </c>
      <c r="H509" s="5437" t="s">
        <v>5267</v>
      </c>
      <c r="I509" s="5437" t="s">
        <v>5268</v>
      </c>
      <c r="J509" s="5437"/>
      <c r="K509" s="5426"/>
      <c r="L509" s="5426"/>
      <c r="M509" s="5426"/>
      <c r="N509" s="5426"/>
      <c r="O509" s="5426"/>
      <c r="P509" s="5426"/>
      <c r="Q509" s="5426"/>
      <c r="R509" s="5426"/>
      <c r="S509" s="5426"/>
      <c r="T509" s="5426"/>
      <c r="U509" s="5428"/>
      <c r="V509" s="5428"/>
      <c r="W509" s="5428"/>
      <c r="X509" s="5428"/>
      <c r="Y509" s="5428"/>
    </row>
    <row r="510">
      <c r="A510" s="5431" t="s">
        <v>5649</v>
      </c>
      <c r="B510" s="5431">
        <v>46233</v>
      </c>
      <c r="C510" s="5431" t="str">
        <v>Thursday</v>
      </c>
      <c r="D510" s="5438" t="s">
        <v>5333</v>
      </c>
      <c r="E510" s="5438">
        <f t="shared" si="89"/>
      </c>
      <c r="F510" s="5438" t="s">
        <v>5458</v>
      </c>
      <c r="G510" s="5467" t="s">
        <v>5676</v>
      </c>
      <c r="H510" s="5437" t="s">
        <v>5267</v>
      </c>
      <c r="I510" s="5437" t="s">
        <v>5268</v>
      </c>
      <c r="J510" s="5437"/>
      <c r="K510" s="5426"/>
      <c r="L510" s="5426"/>
      <c r="M510" s="5426"/>
      <c r="N510" s="5426"/>
      <c r="O510" s="5426"/>
      <c r="P510" s="5426"/>
      <c r="Q510" s="5426"/>
      <c r="R510" s="5426"/>
      <c r="S510" s="5426"/>
      <c r="T510" s="5426"/>
      <c r="U510" s="5428"/>
      <c r="V510" s="5428"/>
      <c r="W510" s="5428"/>
      <c r="X510" s="5428"/>
      <c r="Y510" s="5428"/>
    </row>
    <row r="511">
      <c r="A511" s="5431" t="s">
        <v>5650</v>
      </c>
      <c r="B511" s="5431">
        <v>46233</v>
      </c>
      <c r="C511" s="5431" t="str">
        <v>Thursday</v>
      </c>
      <c r="D511" s="5438" t="s">
        <v>5333</v>
      </c>
      <c r="E511" s="5437">
        <f t="shared" si="89"/>
      </c>
      <c r="F511" s="5438" t="s">
        <v>5600</v>
      </c>
      <c r="G511" s="5456" t="s">
        <v>5677</v>
      </c>
      <c r="H511" s="5437" t="s">
        <v>5267</v>
      </c>
      <c r="I511" s="5437" t="s">
        <v>5268</v>
      </c>
      <c r="J511" s="5561" t="s">
        <v>5678</v>
      </c>
      <c r="K511" s="5426"/>
      <c r="L511" s="5426"/>
      <c r="M511" s="5426"/>
      <c r="N511" s="5426"/>
      <c r="O511" s="5426"/>
      <c r="P511" s="5426"/>
      <c r="Q511" s="5426"/>
      <c r="R511" s="5426"/>
      <c r="S511" s="5426"/>
      <c r="T511" s="5426"/>
      <c r="U511" s="5428"/>
      <c r="V511" s="5428"/>
      <c r="W511" s="5428"/>
      <c r="X511" s="5428"/>
      <c r="Y511" s="5428"/>
    </row>
    <row r="512">
      <c r="A512" s="5660" t="s">
        <v>5654</v>
      </c>
      <c r="B512" s="5660">
        <v>46233</v>
      </c>
      <c r="C512" s="5660" t="str">
        <v>Thursday</v>
      </c>
      <c r="D512" s="5664" t="s">
        <v>5679</v>
      </c>
      <c r="E512" s="5661">
        <f t="shared" si="89"/>
      </c>
      <c r="F512" s="5677" t="s">
        <v>5657</v>
      </c>
      <c r="G512" s="5662" t="s">
        <v>5680</v>
      </c>
      <c r="H512" s="5661" t="s">
        <v>5267</v>
      </c>
      <c r="I512" s="5661" t="s">
        <v>5268</v>
      </c>
      <c r="J512" s="5664"/>
      <c r="K512" s="5426"/>
      <c r="L512" s="5426"/>
      <c r="M512" s="5426"/>
      <c r="N512" s="5426"/>
      <c r="O512" s="5426"/>
      <c r="P512" s="5426"/>
      <c r="Q512" s="5426"/>
      <c r="R512" s="5426"/>
      <c r="S512" s="5426"/>
      <c r="T512" s="5426"/>
      <c r="U512" s="5428"/>
      <c r="V512" s="5428"/>
      <c r="W512" s="5428"/>
      <c r="X512" s="5428"/>
      <c r="Y512" s="5428"/>
    </row>
    <row r="513">
      <c r="A513" s="5660" t="s">
        <v>5654</v>
      </c>
      <c r="B513" s="5660">
        <v>46233</v>
      </c>
      <c r="C513" s="5660" t="str">
        <v>Thursday</v>
      </c>
      <c r="D513" s="5664" t="s">
        <v>5681</v>
      </c>
      <c r="E513" s="5661">
        <f t="shared" si="89"/>
      </c>
      <c r="F513" s="5661" t="s">
        <v>5656</v>
      </c>
      <c r="G513" s="5669"/>
      <c r="H513" s="5661" t="s">
        <v>5267</v>
      </c>
      <c r="I513" s="5661" t="s">
        <v>5268</v>
      </c>
      <c r="J513" s="5661"/>
      <c r="K513" s="5426"/>
      <c r="L513" s="5426"/>
      <c r="M513" s="5426"/>
      <c r="N513" s="5426"/>
      <c r="O513" s="5426"/>
      <c r="P513" s="5426"/>
      <c r="Q513" s="5426"/>
      <c r="R513" s="5426"/>
      <c r="S513" s="5426"/>
      <c r="T513" s="5426"/>
      <c r="U513" s="5428"/>
      <c r="V513" s="5428"/>
      <c r="W513" s="5428"/>
      <c r="X513" s="5428"/>
      <c r="Y513" s="5428"/>
    </row>
    <row customHeight="true" ht="18.452380952380953" r="514">
      <c r="A514" s="5660" t="s">
        <v>5650</v>
      </c>
      <c r="B514" s="5660">
        <v>46233</v>
      </c>
      <c r="C514" s="5660" t="str">
        <v>Thursday</v>
      </c>
      <c r="D514" s="5664" t="s">
        <v>5674</v>
      </c>
      <c r="E514" s="5661">
        <f t="shared" si="89"/>
      </c>
      <c r="F514" s="5677" t="s">
        <v>5657</v>
      </c>
      <c r="G514" s="5669"/>
      <c r="H514" s="5661" t="s">
        <v>5267</v>
      </c>
      <c r="I514" s="5661" t="s">
        <v>5268</v>
      </c>
      <c r="J514" s="5661"/>
      <c r="K514" s="5426"/>
      <c r="L514" s="5426"/>
      <c r="M514" s="5426"/>
      <c r="N514" s="5426"/>
      <c r="O514" s="5426"/>
      <c r="P514" s="5426"/>
      <c r="Q514" s="5426"/>
      <c r="R514" s="5426"/>
      <c r="S514" s="5426"/>
      <c r="T514" s="5426"/>
      <c r="U514" s="5428"/>
      <c r="V514" s="5428"/>
      <c r="W514" s="5428"/>
      <c r="X514" s="5428"/>
      <c r="Y514" s="5428"/>
    </row>
    <row r="515">
      <c r="A515" s="5660" t="s">
        <v>5654</v>
      </c>
      <c r="B515" s="5660">
        <v>46233</v>
      </c>
      <c r="C515" s="5660" t="str">
        <v>Thursday</v>
      </c>
      <c r="D515" s="5664" t="s">
        <v>5682</v>
      </c>
      <c r="E515" s="5661">
        <f t="shared" si="89"/>
      </c>
      <c r="F515" s="5677" t="s">
        <v>5657</v>
      </c>
      <c r="G515" s="5669"/>
      <c r="H515" s="5661" t="s">
        <v>5267</v>
      </c>
      <c r="I515" s="5661" t="s">
        <v>5268</v>
      </c>
      <c r="J515" s="5661"/>
      <c r="K515" s="5426"/>
      <c r="L515" s="5426"/>
      <c r="M515" s="5426"/>
      <c r="N515" s="5426"/>
      <c r="O515" s="5426"/>
      <c r="P515" s="5426"/>
      <c r="Q515" s="5426"/>
      <c r="R515" s="5426"/>
      <c r="S515" s="5426"/>
      <c r="T515" s="5426"/>
      <c r="U515" s="5428"/>
      <c r="V515" s="5428"/>
      <c r="W515" s="5428"/>
      <c r="X515" s="5428"/>
      <c r="Y515" s="5428"/>
    </row>
    <row r="516">
      <c r="A516" s="5431" t="s">
        <v>5649</v>
      </c>
      <c r="B516" s="5431">
        <v>46234</v>
      </c>
      <c r="C516" s="5431" t="str">
        <v>Friday</v>
      </c>
      <c r="D516" s="5438" t="s">
        <v>5683</v>
      </c>
      <c r="E516" s="5437">
        <f t="shared" si="89"/>
      </c>
      <c r="F516" s="5438" t="s">
        <v>5458</v>
      </c>
      <c r="G516" s="5467" t="s">
        <v>5684</v>
      </c>
      <c r="H516" s="5437" t="s">
        <v>5267</v>
      </c>
      <c r="I516" s="5437" t="s">
        <v>5268</v>
      </c>
      <c r="J516" s="5437"/>
      <c r="K516" s="5426"/>
      <c r="L516" s="5426"/>
      <c r="M516" s="5426"/>
      <c r="N516" s="5426"/>
      <c r="O516" s="5426"/>
      <c r="P516" s="5426"/>
      <c r="Q516" s="5426"/>
      <c r="R516" s="5426"/>
      <c r="S516" s="5426"/>
      <c r="T516" s="5426"/>
      <c r="U516" s="5428"/>
      <c r="V516" s="5428"/>
      <c r="W516" s="5428"/>
      <c r="X516" s="5428"/>
      <c r="Y516" s="5428"/>
    </row>
    <row r="517">
      <c r="A517" s="5431" t="s">
        <v>5649</v>
      </c>
      <c r="B517" s="5431">
        <v>46234</v>
      </c>
      <c r="C517" s="5431" t="str">
        <v>Friday</v>
      </c>
      <c r="D517" s="5438" t="s">
        <v>5685</v>
      </c>
      <c r="E517" s="5437">
        <f t="shared" si="89"/>
      </c>
      <c r="F517" s="5438" t="s">
        <v>5626</v>
      </c>
      <c r="G517" s="5467" t="s">
        <v>5686</v>
      </c>
      <c r="H517" s="5437" t="s">
        <v>5267</v>
      </c>
      <c r="I517" s="5437" t="s">
        <v>5268</v>
      </c>
      <c r="J517" s="5437"/>
      <c r="K517" s="5426"/>
      <c r="L517" s="5426"/>
      <c r="M517" s="5426"/>
      <c r="N517" s="5426"/>
      <c r="O517" s="5426"/>
      <c r="P517" s="5426"/>
      <c r="Q517" s="5426"/>
      <c r="R517" s="5426"/>
      <c r="S517" s="5426"/>
      <c r="T517" s="5426"/>
      <c r="U517" s="5428"/>
      <c r="V517" s="5428"/>
      <c r="W517" s="5428"/>
      <c r="X517" s="5428"/>
      <c r="Y517" s="5428"/>
    </row>
    <row r="518">
      <c r="A518" s="5431" t="s">
        <v>5649</v>
      </c>
      <c r="B518" s="5431">
        <v>46234</v>
      </c>
      <c r="C518" s="5431" t="str">
        <v>Friday</v>
      </c>
      <c r="D518" s="5433" t="s">
        <v>5687</v>
      </c>
      <c r="E518" s="5437">
        <f t="shared" si="89"/>
      </c>
      <c r="F518" s="5438" t="s">
        <v>5458</v>
      </c>
      <c r="G518" s="5467" t="s">
        <v>5688</v>
      </c>
      <c r="H518" s="5437" t="s">
        <v>5267</v>
      </c>
      <c r="I518" s="5437" t="s">
        <v>5268</v>
      </c>
      <c r="J518" s="5437"/>
      <c r="K518" s="5426"/>
      <c r="L518" s="5426"/>
      <c r="M518" s="5426"/>
      <c r="N518" s="5426"/>
      <c r="O518" s="5426"/>
      <c r="P518" s="5426"/>
      <c r="Q518" s="5426"/>
      <c r="R518" s="5426"/>
      <c r="S518" s="5426"/>
      <c r="T518" s="5426"/>
      <c r="U518" s="5428"/>
      <c r="V518" s="5428"/>
      <c r="W518" s="5428"/>
      <c r="X518" s="5428"/>
      <c r="Y518" s="5428"/>
    </row>
    <row customHeight="true" ht="18.452380952380953" r="519">
      <c r="A519" s="5431" t="s">
        <v>5650</v>
      </c>
      <c r="B519" s="5432">
        <v>46234</v>
      </c>
      <c r="C519" s="5431" t="str">
        <v>Friday</v>
      </c>
      <c r="D519" s="5433" t="s">
        <v>5689</v>
      </c>
      <c r="E519" s="5437">
        <f t="shared" si="89"/>
      </c>
      <c r="F519" s="5438" t="s">
        <v>5627</v>
      </c>
      <c r="G519" s="5456" t="s">
        <v>5690</v>
      </c>
      <c r="H519" s="5437" t="s">
        <v>5267</v>
      </c>
      <c r="I519" s="5437" t="s">
        <v>5268</v>
      </c>
      <c r="J519" s="5561" t="s">
        <v>5672</v>
      </c>
      <c r="K519" s="5426"/>
      <c r="L519" s="5426"/>
      <c r="M519" s="5426"/>
      <c r="N519" s="5426"/>
      <c r="O519" s="5426"/>
      <c r="P519" s="5426"/>
      <c r="Q519" s="5426"/>
      <c r="R519" s="5426"/>
      <c r="S519" s="5426"/>
      <c r="T519" s="5426"/>
      <c r="U519" s="5428"/>
      <c r="V519" s="5428"/>
      <c r="W519" s="5428"/>
      <c r="X519" s="5428"/>
      <c r="Y519" s="5428"/>
    </row>
    <row customHeight="true" ht="18.452380952380953" r="520">
      <c r="A520" s="5431" t="s">
        <v>5650</v>
      </c>
      <c r="B520" s="5432">
        <v>46234</v>
      </c>
      <c r="C520" s="5431" t="str">
        <v>Friday</v>
      </c>
      <c r="D520" s="5433" t="s">
        <v>5691</v>
      </c>
      <c r="E520" s="5437">
        <f t="shared" si="89"/>
      </c>
      <c r="F520" s="5438" t="s">
        <v>5455</v>
      </c>
      <c r="G520" s="5456" t="s">
        <v>5692</v>
      </c>
      <c r="H520" s="5437" t="s">
        <v>5267</v>
      </c>
      <c r="I520" s="5437" t="s">
        <v>5268</v>
      </c>
      <c r="J520" s="5561" t="s">
        <v>5693</v>
      </c>
      <c r="K520" s="5426"/>
      <c r="L520" s="5426"/>
      <c r="M520" s="5426"/>
      <c r="N520" s="5426"/>
      <c r="O520" s="5426"/>
      <c r="P520" s="5426"/>
      <c r="Q520" s="5426"/>
      <c r="R520" s="5426"/>
      <c r="S520" s="5426"/>
      <c r="T520" s="5426"/>
      <c r="U520" s="5428"/>
      <c r="V520" s="5428"/>
      <c r="W520" s="5428"/>
      <c r="X520" s="5428"/>
      <c r="Y520" s="5428"/>
    </row>
    <row r="521">
      <c r="A521" s="5660" t="s">
        <v>5654</v>
      </c>
      <c r="B521" s="5660">
        <v>46234</v>
      </c>
      <c r="C521" s="5660" t="str">
        <v>Friday</v>
      </c>
      <c r="D521" s="5661" t="s">
        <v>5694</v>
      </c>
      <c r="E521" s="5661">
        <f t="shared" si="89"/>
      </c>
      <c r="F521" s="5677" t="s">
        <v>5657</v>
      </c>
      <c r="G521" s="5669"/>
      <c r="H521" s="5661" t="s">
        <v>5267</v>
      </c>
      <c r="I521" s="5661" t="s">
        <v>5268</v>
      </c>
      <c r="J521" s="5661"/>
      <c r="K521" s="5426"/>
      <c r="L521" s="5426"/>
      <c r="M521" s="5426"/>
      <c r="N521" s="5426"/>
      <c r="O521" s="5426"/>
      <c r="P521" s="5426"/>
      <c r="Q521" s="5426"/>
      <c r="R521" s="5426"/>
      <c r="S521" s="5426"/>
      <c r="T521" s="5426"/>
      <c r="U521" s="5428"/>
      <c r="V521" s="5428"/>
      <c r="W521" s="5428"/>
      <c r="X521" s="5428"/>
      <c r="Y521" s="5428"/>
    </row>
    <row r="522">
      <c r="A522" s="5660" t="s">
        <v>5654</v>
      </c>
      <c r="B522" s="5660">
        <v>46234</v>
      </c>
      <c r="C522" s="5660" t="str">
        <v>Friday</v>
      </c>
      <c r="D522" s="5661" t="s">
        <v>5685</v>
      </c>
      <c r="E522" s="5661">
        <f t="shared" si="89"/>
      </c>
      <c r="F522" s="5661" t="s">
        <v>5656</v>
      </c>
      <c r="G522" s="5669"/>
      <c r="H522" s="5661" t="s">
        <v>5267</v>
      </c>
      <c r="I522" s="5661" t="s">
        <v>5268</v>
      </c>
      <c r="J522" s="5661"/>
      <c r="K522" s="5426"/>
      <c r="L522" s="5426"/>
      <c r="M522" s="5426"/>
      <c r="N522" s="5426"/>
      <c r="O522" s="5426"/>
      <c r="P522" s="5426"/>
      <c r="Q522" s="5426"/>
      <c r="R522" s="5426"/>
      <c r="S522" s="5426"/>
      <c r="T522" s="5426"/>
      <c r="U522" s="5428"/>
      <c r="V522" s="5428"/>
      <c r="W522" s="5428"/>
      <c r="X522" s="5428"/>
      <c r="Y522" s="5428"/>
    </row>
    <row r="523">
      <c r="A523" s="5660" t="s">
        <v>5654</v>
      </c>
      <c r="B523" s="5660">
        <v>46234</v>
      </c>
      <c r="C523" s="5660" t="str">
        <v>Friday</v>
      </c>
      <c r="D523" s="5664" t="s">
        <v>5687</v>
      </c>
      <c r="E523" s="5661">
        <f t="shared" si="89"/>
      </c>
      <c r="F523" s="5677" t="s">
        <v>5657</v>
      </c>
      <c r="G523" s="5669"/>
      <c r="H523" s="5661" t="s">
        <v>5267</v>
      </c>
      <c r="I523" s="5661" t="s">
        <v>5268</v>
      </c>
      <c r="J523" s="5661"/>
      <c r="K523" s="5426"/>
      <c r="L523" s="5426"/>
      <c r="M523" s="5426"/>
      <c r="N523" s="5426"/>
      <c r="O523" s="5426"/>
      <c r="P523" s="5426"/>
      <c r="Q523" s="5426"/>
      <c r="R523" s="5426"/>
      <c r="S523" s="5426"/>
      <c r="T523" s="5426"/>
      <c r="U523" s="5428"/>
      <c r="V523" s="5428"/>
      <c r="W523" s="5428"/>
      <c r="X523" s="5428"/>
      <c r="Y523" s="5428"/>
    </row>
    <row r="524">
      <c r="A524" s="5431" t="s">
        <v>5649</v>
      </c>
      <c r="B524" s="5431">
        <v>46235</v>
      </c>
      <c r="C524" s="5431" t="str">
        <v>Saturday</v>
      </c>
      <c r="D524" s="5438" t="s">
        <v>5695</v>
      </c>
      <c r="E524" s="5437">
        <f t="shared" si="89"/>
      </c>
      <c r="F524" s="5438" t="s">
        <v>5627</v>
      </c>
      <c r="G524" s="5467" t="s">
        <v>5696</v>
      </c>
      <c r="H524" s="5437" t="s">
        <v>5267</v>
      </c>
      <c r="I524" s="5437" t="s">
        <v>5268</v>
      </c>
      <c r="J524" s="5437"/>
      <c r="K524" s="5426"/>
      <c r="L524" s="5426"/>
      <c r="M524" s="5426"/>
      <c r="N524" s="5426"/>
      <c r="O524" s="5426"/>
      <c r="P524" s="5426"/>
      <c r="Q524" s="5426"/>
      <c r="R524" s="5426"/>
      <c r="S524" s="5426"/>
      <c r="T524" s="5426"/>
      <c r="U524" s="5428"/>
      <c r="V524" s="5428"/>
      <c r="W524" s="5428"/>
      <c r="X524" s="5428"/>
      <c r="Y524" s="5428"/>
    </row>
    <row r="525">
      <c r="A525" s="5431" t="s">
        <v>5649</v>
      </c>
      <c r="B525" s="5431">
        <v>46235</v>
      </c>
      <c r="C525" s="5431" t="str">
        <v>Saturday</v>
      </c>
      <c r="D525" s="5438" t="s">
        <v>5415</v>
      </c>
      <c r="E525" s="5437">
        <f t="shared" si="89"/>
      </c>
      <c r="F525" s="5438" t="s">
        <v>5600</v>
      </c>
      <c r="G525" s="5467" t="s">
        <v>5697</v>
      </c>
      <c r="H525" s="5437" t="s">
        <v>5267</v>
      </c>
      <c r="I525" s="5437" t="s">
        <v>5268</v>
      </c>
      <c r="J525" s="5437"/>
      <c r="K525" s="5426"/>
      <c r="L525" s="5426"/>
      <c r="M525" s="5426"/>
      <c r="N525" s="5426"/>
      <c r="O525" s="5426"/>
      <c r="P525" s="5426"/>
      <c r="Q525" s="5426"/>
      <c r="R525" s="5426"/>
      <c r="S525" s="5426"/>
      <c r="T525" s="5426"/>
      <c r="U525" s="5428"/>
      <c r="V525" s="5428"/>
      <c r="W525" s="5428"/>
      <c r="X525" s="5428"/>
      <c r="Y525" s="5428"/>
    </row>
    <row r="526">
      <c r="A526" s="5431" t="s">
        <v>5649</v>
      </c>
      <c r="B526" s="5431">
        <v>46235</v>
      </c>
      <c r="C526" s="5431" t="str">
        <v>Saturday</v>
      </c>
      <c r="D526" s="5438" t="s">
        <v>5452</v>
      </c>
      <c r="E526" s="5437">
        <f t="shared" si="89"/>
      </c>
      <c r="F526" s="5438" t="s">
        <v>5455</v>
      </c>
      <c r="G526" s="5467" t="s">
        <v>5698</v>
      </c>
      <c r="H526" s="5437" t="s">
        <v>5267</v>
      </c>
      <c r="I526" s="5437" t="s">
        <v>5268</v>
      </c>
      <c r="J526" s="5437"/>
      <c r="K526" s="5426"/>
      <c r="L526" s="5426"/>
      <c r="M526" s="5426"/>
      <c r="N526" s="5426"/>
      <c r="O526" s="5426"/>
      <c r="P526" s="5426"/>
      <c r="Q526" s="5426"/>
      <c r="R526" s="5426"/>
      <c r="S526" s="5426"/>
      <c r="T526" s="5426"/>
      <c r="U526" s="5428"/>
      <c r="V526" s="5428"/>
      <c r="W526" s="5428"/>
      <c r="X526" s="5428"/>
      <c r="Y526" s="5428"/>
    </row>
    <row r="527">
      <c r="A527" s="5660" t="s">
        <v>5654</v>
      </c>
      <c r="B527" s="5660">
        <v>46235</v>
      </c>
      <c r="C527" s="5660" t="str">
        <v>Saturday</v>
      </c>
      <c r="D527" s="5664" t="s">
        <v>5699</v>
      </c>
      <c r="E527" s="5661">
        <f t="shared" si="89"/>
      </c>
      <c r="F527" s="5677" t="s">
        <v>5661</v>
      </c>
      <c r="G527" s="5669"/>
      <c r="H527" s="5661" t="s">
        <v>5267</v>
      </c>
      <c r="I527" s="5661" t="s">
        <v>5268</v>
      </c>
      <c r="J527" s="5661"/>
      <c r="K527" s="5426"/>
      <c r="L527" s="5426"/>
      <c r="M527" s="5426"/>
      <c r="N527" s="5426"/>
      <c r="O527" s="5426"/>
      <c r="P527" s="5426"/>
      <c r="Q527" s="5426"/>
      <c r="R527" s="5426"/>
      <c r="S527" s="5426"/>
      <c r="T527" s="5426"/>
      <c r="U527" s="5428"/>
      <c r="V527" s="5428"/>
      <c r="W527" s="5428"/>
      <c r="X527" s="5428"/>
      <c r="Y527" s="5428"/>
    </row>
    <row r="528">
      <c r="A528" s="5660" t="s">
        <v>5654</v>
      </c>
      <c r="B528" s="5660">
        <v>46235</v>
      </c>
      <c r="C528" s="5660" t="str">
        <v>Saturday</v>
      </c>
      <c r="D528" s="5664" t="s">
        <v>5325</v>
      </c>
      <c r="E528" s="5661">
        <f t="shared" si="89"/>
      </c>
      <c r="F528" s="5661" t="s">
        <v>5656</v>
      </c>
      <c r="G528" s="5669"/>
      <c r="H528" s="5661" t="s">
        <v>5267</v>
      </c>
      <c r="I528" s="5661" t="s">
        <v>5268</v>
      </c>
      <c r="J528" s="5661"/>
      <c r="K528" s="5426"/>
      <c r="L528" s="5426"/>
      <c r="M528" s="5426"/>
      <c r="N528" s="5426"/>
      <c r="O528" s="5426"/>
      <c r="P528" s="5426"/>
      <c r="Q528" s="5426"/>
      <c r="R528" s="5426"/>
      <c r="S528" s="5426"/>
      <c r="T528" s="5426"/>
      <c r="U528" s="5428"/>
      <c r="V528" s="5428"/>
      <c r="W528" s="5428"/>
      <c r="X528" s="5428"/>
      <c r="Y528" s="5428"/>
    </row>
    <row r="529">
      <c r="A529" s="5660" t="s">
        <v>5654</v>
      </c>
      <c r="B529" s="5660">
        <v>46235</v>
      </c>
      <c r="C529" s="5660" t="str">
        <v>Saturday</v>
      </c>
      <c r="D529" s="5664" t="s">
        <v>5700</v>
      </c>
      <c r="E529" s="5661">
        <f t="shared" si="89"/>
      </c>
      <c r="F529" s="5677" t="s">
        <v>5661</v>
      </c>
      <c r="G529" s="5669"/>
      <c r="H529" s="5661" t="s">
        <v>5267</v>
      </c>
      <c r="I529" s="5661" t="s">
        <v>5268</v>
      </c>
      <c r="J529" s="5664"/>
      <c r="K529" s="5426"/>
      <c r="L529" s="5426"/>
      <c r="M529" s="5426"/>
      <c r="N529" s="5426"/>
      <c r="O529" s="5426"/>
      <c r="P529" s="5426"/>
      <c r="Q529" s="5426"/>
      <c r="R529" s="5426"/>
      <c r="S529" s="5426"/>
      <c r="T529" s="5426"/>
      <c r="U529" s="5428"/>
      <c r="V529" s="5428"/>
      <c r="W529" s="5428"/>
      <c r="X529" s="5428"/>
      <c r="Y529" s="5428"/>
    </row>
    <row r="530">
      <c r="A530" s="5431" t="s">
        <v>5649</v>
      </c>
      <c r="B530" s="5431">
        <v>46236</v>
      </c>
      <c r="C530" s="5431" t="str">
        <v>Sunday</v>
      </c>
      <c r="D530" s="5437" t="s">
        <v>5476</v>
      </c>
      <c r="E530" s="5437">
        <f t="shared" si="89"/>
      </c>
      <c r="F530" s="5438" t="s">
        <v>5458</v>
      </c>
      <c r="G530" s="5467" t="s">
        <v>5701</v>
      </c>
      <c r="H530" s="5437" t="s">
        <v>5267</v>
      </c>
      <c r="I530" s="5437" t="s">
        <v>5268</v>
      </c>
      <c r="J530" s="5437"/>
      <c r="K530" s="5426"/>
      <c r="L530" s="5426"/>
      <c r="M530" s="5426"/>
      <c r="N530" s="5426"/>
      <c r="O530" s="5426"/>
      <c r="P530" s="5426"/>
      <c r="Q530" s="5426"/>
      <c r="R530" s="5426"/>
      <c r="S530" s="5426"/>
      <c r="T530" s="5426"/>
      <c r="U530" s="5428"/>
      <c r="V530" s="5428"/>
      <c r="W530" s="5428"/>
      <c r="X530" s="5428"/>
      <c r="Y530" s="5428"/>
    </row>
    <row customHeight="true" ht="18.452380952380953" r="531">
      <c r="A531" s="5491" t="s">
        <v>5650</v>
      </c>
      <c r="B531" s="5491">
        <v>46236</v>
      </c>
      <c r="C531" s="5491" t="str">
        <v>Sunday</v>
      </c>
      <c r="D531" s="5605" t="s">
        <v>5425</v>
      </c>
      <c r="E531" s="5494">
        <f t="shared" si="89"/>
      </c>
      <c r="F531" s="5494" t="s">
        <v>5521</v>
      </c>
      <c r="G531" s="5601" t="s">
        <v>5702</v>
      </c>
      <c r="H531" s="5494" t="s">
        <v>5267</v>
      </c>
      <c r="I531" s="5494" t="s">
        <v>5268</v>
      </c>
      <c r="J531" s="5605" t="s">
        <v>5703</v>
      </c>
      <c r="K531" s="5426"/>
      <c r="L531" s="5426"/>
      <c r="M531" s="5426"/>
      <c r="N531" s="5426"/>
      <c r="O531" s="5426"/>
      <c r="P531" s="5426"/>
      <c r="Q531" s="5426"/>
      <c r="R531" s="5426"/>
      <c r="S531" s="5426"/>
      <c r="T531" s="5426"/>
      <c r="U531" s="5428"/>
      <c r="V531" s="5428"/>
      <c r="W531" s="5428"/>
      <c r="X531" s="5428"/>
      <c r="Y531" s="5428"/>
    </row>
    <row customHeight="true" ht="18.452380952380953" r="532">
      <c r="A532" s="5431" t="s">
        <v>5650</v>
      </c>
      <c r="B532" s="5431">
        <v>46236</v>
      </c>
      <c r="C532" s="5431" t="str">
        <v>Sunday</v>
      </c>
      <c r="D532" s="5561" t="s">
        <v>5704</v>
      </c>
      <c r="E532" s="5437">
        <f t="shared" si="89"/>
      </c>
      <c r="F532" s="5438" t="s">
        <v>5521</v>
      </c>
      <c r="G532" s="5467" t="s">
        <v>5705</v>
      </c>
      <c r="H532" s="5437" t="s">
        <v>5267</v>
      </c>
      <c r="I532" s="5437" t="s">
        <v>5268</v>
      </c>
      <c r="J532" s="5437"/>
      <c r="K532" s="5426"/>
      <c r="L532" s="5426"/>
      <c r="M532" s="5426"/>
      <c r="N532" s="5426"/>
      <c r="O532" s="5426"/>
      <c r="P532" s="5426"/>
      <c r="Q532" s="5426"/>
      <c r="R532" s="5426"/>
      <c r="S532" s="5426"/>
      <c r="T532" s="5426"/>
      <c r="U532" s="5428"/>
      <c r="V532" s="5428"/>
      <c r="W532" s="5428"/>
      <c r="X532" s="5428"/>
      <c r="Y532" s="5428"/>
    </row>
    <row r="533">
      <c r="A533" s="5431" t="s">
        <v>5649</v>
      </c>
      <c r="B533" s="5431">
        <v>46236</v>
      </c>
      <c r="C533" s="5431" t="str">
        <v>Sunday</v>
      </c>
      <c r="D533" s="5437" t="s">
        <v>5339</v>
      </c>
      <c r="E533" s="5437">
        <f t="shared" si="89"/>
      </c>
      <c r="F533" s="5438" t="s">
        <v>5521</v>
      </c>
      <c r="G533" s="5467" t="s">
        <v>5706</v>
      </c>
      <c r="H533" s="5437" t="s">
        <v>5267</v>
      </c>
      <c r="I533" s="5437" t="s">
        <v>5268</v>
      </c>
      <c r="J533" s="5437"/>
      <c r="K533" s="5426"/>
      <c r="L533" s="5426"/>
      <c r="M533" s="5426"/>
      <c r="N533" s="5426"/>
      <c r="O533" s="5426"/>
      <c r="P533" s="5426"/>
      <c r="Q533" s="5426"/>
      <c r="R533" s="5426"/>
      <c r="S533" s="5426"/>
      <c r="T533" s="5426"/>
      <c r="U533" s="5428"/>
      <c r="V533" s="5428"/>
      <c r="W533" s="5428"/>
      <c r="X533" s="5428"/>
      <c r="Y533" s="5428"/>
    </row>
    <row r="534">
      <c r="A534" s="5431" t="s">
        <v>5649</v>
      </c>
      <c r="B534" s="5431">
        <v>46236</v>
      </c>
      <c r="C534" s="5431" t="str">
        <v>Sunday</v>
      </c>
      <c r="D534" s="5437" t="s">
        <v>5333</v>
      </c>
      <c r="E534" s="5437">
        <f t="shared" si="89"/>
      </c>
      <c r="F534" s="5438" t="s">
        <v>5458</v>
      </c>
      <c r="G534" s="5467" t="s">
        <v>5707</v>
      </c>
      <c r="H534" s="5437" t="s">
        <v>5267</v>
      </c>
      <c r="I534" s="5437" t="s">
        <v>5268</v>
      </c>
      <c r="J534" s="5437"/>
      <c r="K534" s="5426"/>
      <c r="L534" s="5426"/>
      <c r="M534" s="5426"/>
      <c r="N534" s="5426"/>
      <c r="O534" s="5426"/>
      <c r="P534" s="5426"/>
      <c r="Q534" s="5426"/>
      <c r="R534" s="5426"/>
      <c r="S534" s="5426"/>
      <c r="T534" s="5426"/>
      <c r="U534" s="5428"/>
      <c r="V534" s="5428"/>
      <c r="W534" s="5428"/>
      <c r="X534" s="5428"/>
      <c r="Y534" s="5428"/>
    </row>
    <row r="535">
      <c r="A535" s="5660" t="s">
        <v>5654</v>
      </c>
      <c r="B535" s="5660">
        <v>46236</v>
      </c>
      <c r="C535" s="5660" t="str">
        <v>Sunday</v>
      </c>
      <c r="D535" s="5664" t="s">
        <v>5708</v>
      </c>
      <c r="E535" s="5661">
        <f t="shared" si="89"/>
      </c>
      <c r="F535" s="5677" t="s">
        <v>5657</v>
      </c>
      <c r="G535" s="5669"/>
      <c r="H535" s="5661" t="s">
        <v>5267</v>
      </c>
      <c r="I535" s="5661" t="s">
        <v>5268</v>
      </c>
      <c r="J535" s="5661"/>
      <c r="K535" s="5426"/>
      <c r="L535" s="5426"/>
      <c r="M535" s="5426"/>
      <c r="N535" s="5426"/>
      <c r="O535" s="5426"/>
      <c r="P535" s="5426"/>
      <c r="Q535" s="5426"/>
      <c r="R535" s="5426"/>
      <c r="S535" s="5426"/>
      <c r="T535" s="5426"/>
      <c r="U535" s="5428"/>
      <c r="V535" s="5428"/>
      <c r="W535" s="5428"/>
      <c r="X535" s="5428"/>
      <c r="Y535" s="5428"/>
    </row>
    <row r="536">
      <c r="A536" s="5660" t="s">
        <v>5654</v>
      </c>
      <c r="B536" s="5660">
        <v>46236</v>
      </c>
      <c r="C536" s="5660" t="str">
        <v>Sunday</v>
      </c>
      <c r="D536" s="5664" t="s">
        <v>5709</v>
      </c>
      <c r="E536" s="5661">
        <f t="shared" si="89"/>
      </c>
      <c r="F536" s="5661" t="s">
        <v>5710</v>
      </c>
      <c r="G536" s="5669"/>
      <c r="H536" s="5661" t="s">
        <v>5267</v>
      </c>
      <c r="I536" s="5661" t="s">
        <v>5268</v>
      </c>
      <c r="J536" s="5664" t="s">
        <v>5711</v>
      </c>
      <c r="K536" s="5426"/>
      <c r="L536" s="5426"/>
      <c r="M536" s="5426"/>
      <c r="N536" s="5426"/>
      <c r="O536" s="5426"/>
      <c r="P536" s="5426"/>
      <c r="Q536" s="5426"/>
      <c r="R536" s="5426"/>
      <c r="S536" s="5426"/>
      <c r="T536" s="5426"/>
      <c r="U536" s="5428"/>
      <c r="V536" s="5428"/>
      <c r="W536" s="5428"/>
      <c r="X536" s="5428"/>
      <c r="Y536" s="5428"/>
    </row>
    <row r="537">
      <c r="A537" s="5660" t="s">
        <v>5654</v>
      </c>
      <c r="B537" s="5660">
        <v>46236</v>
      </c>
      <c r="C537" s="5660" t="str">
        <v>Sunday</v>
      </c>
      <c r="D537" s="5661" t="s">
        <v>5333</v>
      </c>
      <c r="E537" s="5661">
        <f t="shared" si="89"/>
      </c>
      <c r="F537" s="5677" t="s">
        <v>5657</v>
      </c>
      <c r="G537" s="5669"/>
      <c r="H537" s="5661" t="s">
        <v>5267</v>
      </c>
      <c r="I537" s="5661" t="s">
        <v>5268</v>
      </c>
      <c r="J537" s="5661"/>
      <c r="K537" s="5426"/>
      <c r="L537" s="5426"/>
      <c r="M537" s="5426"/>
      <c r="N537" s="5426"/>
      <c r="O537" s="5426"/>
      <c r="P537" s="5426"/>
      <c r="Q537" s="5426"/>
      <c r="R537" s="5426"/>
      <c r="S537" s="5426"/>
      <c r="T537" s="5426"/>
      <c r="U537" s="5428"/>
      <c r="V537" s="5428"/>
      <c r="W537" s="5428"/>
      <c r="X537" s="5428"/>
      <c r="Y537" s="5428"/>
    </row>
    <row r="538">
      <c r="A538" s="5431"/>
      <c r="B538" s="5431"/>
      <c r="C538" s="5431"/>
      <c r="D538" s="5437"/>
      <c r="E538" s="5437"/>
      <c r="F538" s="5438"/>
      <c r="G538" s="5486"/>
      <c r="H538" s="5438"/>
      <c r="I538" s="5437"/>
      <c r="J538" s="5438"/>
      <c r="K538" s="5426"/>
      <c r="L538" s="5426"/>
      <c r="M538" s="5426"/>
      <c r="N538" s="5426"/>
      <c r="O538" s="5426"/>
      <c r="P538" s="5426"/>
      <c r="Q538" s="5426"/>
      <c r="R538" s="5426"/>
      <c r="S538" s="5426"/>
      <c r="T538" s="5426"/>
      <c r="U538" s="5428"/>
      <c r="V538" s="5428"/>
      <c r="W538" s="5428"/>
      <c r="X538" s="5428"/>
      <c r="Y538" s="5428"/>
    </row>
    <row r="539">
      <c r="A539" s="5431"/>
      <c r="B539" s="5431"/>
      <c r="C539" s="5431"/>
      <c r="D539" s="5437"/>
      <c r="E539" s="5437"/>
      <c r="F539" s="5438"/>
      <c r="G539" s="5486"/>
      <c r="H539" s="5438"/>
      <c r="I539" s="5437"/>
      <c r="J539" s="5438"/>
      <c r="K539" s="5426"/>
      <c r="L539" s="5426"/>
      <c r="M539" s="5426"/>
      <c r="N539" s="5426"/>
      <c r="O539" s="5426"/>
      <c r="P539" s="5426"/>
      <c r="Q539" s="5426"/>
      <c r="R539" s="5426"/>
      <c r="S539" s="5426"/>
      <c r="T539" s="5426"/>
      <c r="U539" s="5428"/>
      <c r="V539" s="5428"/>
      <c r="W539" s="5428"/>
      <c r="X539" s="5428"/>
      <c r="Y539" s="5428"/>
    </row>
    <row customHeight="true" ht="16.071428571428573" r="540">
      <c r="A540" s="5431"/>
      <c r="B540" s="5431"/>
      <c r="C540" s="5431"/>
      <c r="D540" s="5437"/>
      <c r="E540" s="5437"/>
      <c r="F540" s="5438"/>
      <c r="G540" s="5486"/>
      <c r="H540" s="5438"/>
      <c r="I540" s="5437"/>
      <c r="J540" s="5438"/>
      <c r="K540" s="5426"/>
      <c r="L540" s="5426"/>
      <c r="M540" s="5426"/>
      <c r="N540" s="5426"/>
      <c r="O540" s="5426"/>
      <c r="P540" s="5426"/>
      <c r="Q540" s="5426"/>
      <c r="R540" s="5426"/>
      <c r="S540" s="5426"/>
      <c r="T540" s="5426"/>
      <c r="U540" s="5428"/>
      <c r="V540" s="5428"/>
      <c r="W540" s="5428"/>
      <c r="X540" s="5428"/>
      <c r="Y540" s="5428"/>
    </row>
    <row r="541">
      <c r="A541" s="5617"/>
      <c r="B541" s="5617"/>
      <c r="C541" s="5617"/>
      <c r="D541" s="5617"/>
      <c r="E541" s="5617"/>
      <c r="F541" s="5617"/>
      <c r="G541" s="5708"/>
      <c r="H541" s="5617"/>
      <c r="I541" s="5617"/>
      <c r="J541" s="5617"/>
      <c r="K541" s="5426"/>
      <c r="L541" s="5426"/>
      <c r="M541" s="5426"/>
      <c r="N541" s="5426"/>
      <c r="O541" s="5426"/>
      <c r="P541" s="5426"/>
      <c r="Q541" s="5426"/>
      <c r="R541" s="5426"/>
      <c r="S541" s="5426"/>
      <c r="T541" s="5426"/>
      <c r="U541" s="5428"/>
      <c r="V541" s="5428"/>
      <c r="W541" s="5428"/>
      <c r="X541" s="5428"/>
      <c r="Y541" s="5428"/>
    </row>
    <row r="542">
      <c r="A542" s="5617"/>
      <c r="B542" s="5617"/>
      <c r="C542" s="5617"/>
      <c r="D542" s="5617"/>
      <c r="E542" s="5617"/>
      <c r="F542" s="5617"/>
      <c r="G542" s="5708"/>
      <c r="H542" s="5617"/>
      <c r="I542" s="5617"/>
      <c r="J542" s="5617"/>
      <c r="K542" s="5426"/>
      <c r="L542" s="5426"/>
      <c r="M542" s="5426"/>
      <c r="N542" s="5426"/>
      <c r="O542" s="5426"/>
      <c r="P542" s="5426"/>
      <c r="Q542" s="5426"/>
      <c r="R542" s="5426"/>
      <c r="S542" s="5426"/>
      <c r="T542" s="5426"/>
      <c r="U542" s="5428"/>
      <c r="V542" s="5428"/>
      <c r="W542" s="5428"/>
      <c r="X542" s="5428"/>
      <c r="Y542" s="5428"/>
    </row>
    <row r="543">
      <c r="A543" s="5431"/>
      <c r="B543" s="5437"/>
      <c r="C543" s="5437"/>
      <c r="D543" s="5737"/>
      <c r="E543" s="5437"/>
      <c r="F543" s="5437"/>
      <c r="G543" s="5690"/>
      <c r="H543" s="5437"/>
      <c r="I543" s="5437"/>
      <c r="J543" s="5689"/>
      <c r="K543" s="5426"/>
      <c r="L543" s="5426"/>
      <c r="M543" s="5426"/>
      <c r="N543" s="5426"/>
      <c r="O543" s="5426"/>
      <c r="P543" s="5426"/>
      <c r="Q543" s="5426"/>
      <c r="R543" s="5426"/>
      <c r="S543" s="5426"/>
      <c r="T543" s="5426"/>
      <c r="U543" s="5428"/>
      <c r="V543" s="5428"/>
      <c r="W543" s="5428"/>
      <c r="X543" s="5428"/>
      <c r="Y543" s="5428"/>
    </row>
    <row r="544">
      <c r="A544" s="5738" t="s">
        <v>5712</v>
      </c>
      <c r="B544" s="5738"/>
      <c r="C544" s="5738"/>
      <c r="D544" s="5738"/>
      <c r="E544" s="5738"/>
      <c r="F544" s="5738"/>
      <c r="G544" s="5738"/>
      <c r="H544" s="5738"/>
      <c r="I544" s="5738"/>
      <c r="J544" s="5738"/>
      <c r="K544" s="5738"/>
      <c r="L544" s="5426"/>
      <c r="M544" s="5426"/>
      <c r="N544" s="5426"/>
      <c r="O544" s="5426"/>
      <c r="P544" s="5426"/>
      <c r="Q544" s="5426"/>
      <c r="R544" s="5426"/>
      <c r="S544" s="5426"/>
      <c r="T544" s="5426"/>
      <c r="U544" s="5428"/>
      <c r="V544" s="5428"/>
      <c r="W544" s="5428"/>
      <c r="X544" s="5428"/>
      <c r="Y544" s="5428"/>
    </row>
    <row r="545">
      <c r="A545" s="5739" t="s">
        <v>5277</v>
      </c>
      <c r="B545" s="5740" t="s">
        <v>5278</v>
      </c>
      <c r="C545" s="5740"/>
      <c r="D545" s="5741" t="s">
        <v>5279</v>
      </c>
      <c r="E545" s="5741" t="s">
        <v>5280</v>
      </c>
      <c r="F545" s="5741" t="s">
        <v>5281</v>
      </c>
      <c r="G545" s="5742" t="s">
        <v>5713</v>
      </c>
      <c r="H545" s="5741" t="s">
        <v>5283</v>
      </c>
      <c r="I545" s="5741" t="s">
        <v>5284</v>
      </c>
      <c r="J545" s="5741"/>
      <c r="K545" s="5743" t="s">
        <v>5714</v>
      </c>
      <c r="L545" s="5426"/>
      <c r="M545" s="5426"/>
      <c r="N545" s="5426"/>
      <c r="O545" s="5426"/>
      <c r="P545" s="5426"/>
      <c r="Q545" s="5426"/>
      <c r="R545" s="5426"/>
      <c r="S545" s="5426"/>
      <c r="T545" s="5426"/>
      <c r="U545" s="5428"/>
      <c r="V545" s="5428"/>
      <c r="W545" s="5428"/>
      <c r="X545" s="5428"/>
      <c r="Y545" s="5428"/>
    </row>
    <row r="546">
      <c r="A546" s="5431" t="s">
        <v>5712</v>
      </c>
      <c r="B546" s="5431">
        <v>46216</v>
      </c>
      <c r="C546" s="5431" t="str">
        <v>Monday</v>
      </c>
      <c r="D546" s="5437" t="s">
        <v>5715</v>
      </c>
      <c r="E546" s="5437">
        <v>3</v>
      </c>
      <c r="F546" s="5437"/>
      <c r="G546" s="5486" t="s">
        <v>5716</v>
      </c>
      <c r="H546" s="5437" t="s">
        <v>5267</v>
      </c>
      <c r="I546" s="5437" t="s">
        <v>5268</v>
      </c>
      <c r="J546" s="5437"/>
      <c r="K546" s="5744"/>
      <c r="L546" s="5426"/>
      <c r="M546" s="5426"/>
      <c r="N546" s="5426"/>
      <c r="O546" s="5426"/>
      <c r="P546" s="5426"/>
      <c r="Q546" s="5426"/>
      <c r="R546" s="5426"/>
      <c r="S546" s="5426"/>
      <c r="T546" s="5426"/>
      <c r="U546" s="5428"/>
      <c r="V546" s="5428"/>
      <c r="W546" s="5428"/>
      <c r="X546" s="5428"/>
      <c r="Y546" s="5428"/>
    </row>
    <row r="547">
      <c r="A547" s="5431" t="s">
        <v>5712</v>
      </c>
      <c r="B547" s="5431">
        <v>46221</v>
      </c>
      <c r="C547" s="5431" t="str">
        <v>Saturday</v>
      </c>
      <c r="D547" s="5437" t="s">
        <v>5685</v>
      </c>
      <c r="E547" s="5437">
        <v>3</v>
      </c>
      <c r="F547" s="5437"/>
      <c r="G547" s="5486" t="s">
        <v>5716</v>
      </c>
      <c r="H547" s="5437" t="s">
        <v>5267</v>
      </c>
      <c r="I547" s="5437" t="s">
        <v>5268</v>
      </c>
      <c r="J547" s="5437"/>
      <c r="K547" s="5744"/>
      <c r="L547" s="5426"/>
      <c r="M547" s="5426"/>
      <c r="N547" s="5426"/>
      <c r="O547" s="5426"/>
      <c r="P547" s="5426"/>
      <c r="Q547" s="5426"/>
      <c r="R547" s="5426"/>
      <c r="S547" s="5426"/>
      <c r="T547" s="5426"/>
      <c r="U547" s="5428"/>
      <c r="V547" s="5428"/>
      <c r="W547" s="5428"/>
      <c r="X547" s="5428"/>
      <c r="Y547" s="5428"/>
    </row>
    <row r="548">
      <c r="A548" s="5431" t="s">
        <v>5712</v>
      </c>
      <c r="B548" s="5431">
        <v>46221</v>
      </c>
      <c r="C548" s="5431" t="str">
        <v>Saturday</v>
      </c>
      <c r="D548" s="5437" t="s">
        <v>5685</v>
      </c>
      <c r="E548" s="5437">
        <v>3</v>
      </c>
      <c r="F548" s="5437"/>
      <c r="G548" s="5486" t="s">
        <v>5716</v>
      </c>
      <c r="H548" s="5437" t="s">
        <v>5267</v>
      </c>
      <c r="I548" s="5437" t="s">
        <v>5268</v>
      </c>
      <c r="J548" s="5437" t="s">
        <v>5717</v>
      </c>
      <c r="K548" s="5744"/>
      <c r="L548" s="5426"/>
      <c r="M548" s="5426"/>
      <c r="N548" s="5426"/>
      <c r="O548" s="5426"/>
      <c r="P548" s="5426"/>
      <c r="Q548" s="5426"/>
      <c r="R548" s="5426"/>
      <c r="S548" s="5426"/>
      <c r="T548" s="5426"/>
      <c r="U548" s="5428"/>
      <c r="V548" s="5428"/>
      <c r="W548" s="5428"/>
      <c r="X548" s="5428"/>
      <c r="Y548" s="5428"/>
    </row>
    <row r="549">
      <c r="A549" s="5428"/>
      <c r="B549" s="5428"/>
      <c r="C549" s="5428"/>
      <c r="D549" s="5428"/>
      <c r="E549" s="5428"/>
      <c r="F549" s="5428"/>
      <c r="G549" s="5428"/>
      <c r="H549" s="5428"/>
      <c r="I549" s="5428"/>
      <c r="J549" s="5428"/>
      <c r="K549" s="5428"/>
      <c r="L549" s="5428"/>
      <c r="M549" s="5428"/>
      <c r="N549" s="5428"/>
      <c r="O549" s="5428"/>
      <c r="P549" s="5428"/>
      <c r="Q549" s="5428"/>
      <c r="R549" s="5428"/>
      <c r="S549" s="5428"/>
      <c r="T549" s="5428"/>
      <c r="U549" s="5428"/>
      <c r="V549" s="5428"/>
      <c r="W549" s="5428"/>
      <c r="X549" s="5428"/>
      <c r="Y549" s="5428"/>
    </row>
    <row r="550"/>
    <row r="551">
      <c r="A551" s="5428"/>
      <c r="B551" s="5428"/>
      <c r="C551" s="5428"/>
      <c r="D551" s="5428"/>
      <c r="E551" s="5428"/>
      <c r="F551" s="5428"/>
      <c r="G551" s="5428"/>
      <c r="H551" s="5619"/>
      <c r="I551" s="5428"/>
      <c r="J551" s="5428"/>
      <c r="K551" s="5427"/>
      <c r="L551" s="5427"/>
      <c r="M551" s="5427"/>
      <c r="N551" s="5427"/>
      <c r="O551" s="5427"/>
      <c r="P551" s="5427"/>
      <c r="Q551" s="5427"/>
      <c r="R551" s="5427"/>
      <c r="S551" s="5427"/>
      <c r="T551" s="5427"/>
      <c r="U551" s="5428"/>
      <c r="V551" s="5428"/>
      <c r="W551" s="5428"/>
      <c r="X551" s="5428"/>
      <c r="Y551" s="5428"/>
    </row>
    <row r="552">
      <c r="A552" s="5745" t="s">
        <v>5718</v>
      </c>
      <c r="B552" s="5745"/>
      <c r="C552" s="5745"/>
      <c r="D552" s="5745"/>
      <c r="E552" s="5745"/>
      <c r="F552" s="5745"/>
      <c r="G552" s="5745"/>
      <c r="H552" s="5745"/>
      <c r="I552" s="5745"/>
      <c r="J552" s="5745"/>
      <c r="K552" s="5426"/>
      <c r="L552" s="5426"/>
      <c r="M552" s="5426"/>
      <c r="N552" s="5426"/>
      <c r="O552" s="5426"/>
      <c r="P552" s="5426"/>
      <c r="Q552" s="5426"/>
      <c r="R552" s="5426"/>
      <c r="S552" s="5426"/>
      <c r="T552" s="5426"/>
      <c r="U552" s="5428"/>
      <c r="V552" s="5428"/>
      <c r="W552" s="5428"/>
      <c r="X552" s="5428"/>
      <c r="Y552" s="5428"/>
    </row>
    <row r="553">
      <c r="A553" s="5746" t="s">
        <v>5277</v>
      </c>
      <c r="B553" s="5747" t="s">
        <v>5278</v>
      </c>
      <c r="C553" s="5747"/>
      <c r="D553" s="5748" t="s">
        <v>5279</v>
      </c>
      <c r="E553" s="5748" t="s">
        <v>5280</v>
      </c>
      <c r="F553" s="5748" t="s">
        <v>5281</v>
      </c>
      <c r="G553" s="5749" t="s">
        <v>5294</v>
      </c>
      <c r="H553" s="5748" t="s">
        <v>5283</v>
      </c>
      <c r="I553" s="5748" t="s">
        <v>5284</v>
      </c>
      <c r="J553" s="5748" t="s">
        <v>5285</v>
      </c>
      <c r="K553" s="5426"/>
      <c r="L553" s="5426"/>
      <c r="M553" s="5426"/>
      <c r="N553" s="5426"/>
      <c r="O553" s="5426"/>
      <c r="P553" s="5426"/>
      <c r="Q553" s="5426"/>
      <c r="R553" s="5426"/>
      <c r="S553" s="5426"/>
      <c r="T553" s="5426"/>
      <c r="U553" s="5428"/>
      <c r="V553" s="5428"/>
      <c r="W553" s="5428"/>
      <c r="X553" s="5428"/>
      <c r="Y553" s="5428"/>
    </row>
    <row customHeight="true" ht="18.452380952380953" r="554">
      <c r="A554" s="5660" t="s">
        <v>5719</v>
      </c>
      <c r="B554" s="5750">
        <v>46231</v>
      </c>
      <c r="C554" s="5660" t="str">
        <v>Tuesday</v>
      </c>
      <c r="D554" s="5664" t="s">
        <v>5339</v>
      </c>
      <c r="E554" s="5661">
        <f t="shared" ref="E554:E560" si="90">24*MOD(TIMEVALUE(TRIM(MID(D554,FIND("-",D554)+1,LEN(D554)))) - TIMEVALUE(TRIM(LEFT(D554,FIND("-",D554)-1))),1)</f>
      </c>
      <c r="F554" s="5661" t="s">
        <v>5720</v>
      </c>
      <c r="G554" s="5669"/>
      <c r="H554" s="5661" t="s">
        <v>5299</v>
      </c>
      <c r="I554" s="5661" t="s">
        <v>5268</v>
      </c>
      <c r="J554" s="5661"/>
      <c r="K554" s="5591"/>
      <c r="L554" s="5591"/>
      <c r="M554" s="5591"/>
      <c r="N554" s="5591"/>
      <c r="O554" s="5591"/>
      <c r="P554" s="5591"/>
      <c r="Q554" s="5591"/>
      <c r="R554" s="5591"/>
      <c r="S554" s="5591"/>
      <c r="T554" s="5591"/>
      <c r="U554" s="5428"/>
      <c r="V554" s="5428"/>
      <c r="W554" s="5428"/>
      <c r="X554" s="5428"/>
      <c r="Y554" s="5428"/>
    </row>
    <row r="555">
      <c r="A555" s="5491" t="s">
        <v>5719</v>
      </c>
      <c r="B555" s="5536">
        <v>46231</v>
      </c>
      <c r="C555" s="5491" t="str">
        <v>Tuesday</v>
      </c>
      <c r="D555" s="5605" t="s">
        <v>5340</v>
      </c>
      <c r="E555" s="5494">
        <f t="shared" si="90"/>
      </c>
      <c r="F555" s="5494" t="s">
        <v>5348</v>
      </c>
      <c r="G555" s="5639"/>
      <c r="H555" s="5494" t="s">
        <v>5299</v>
      </c>
      <c r="I555" s="5494" t="s">
        <v>5268</v>
      </c>
      <c r="J555" s="5605" t="s">
        <v>5721</v>
      </c>
      <c r="K555" s="5603"/>
      <c r="L555" s="5603"/>
      <c r="M555" s="5603"/>
      <c r="N555" s="5603"/>
      <c r="O555" s="5603"/>
      <c r="P555" s="5603"/>
      <c r="Q555" s="5603"/>
      <c r="R555" s="5603"/>
      <c r="S555" s="5603"/>
      <c r="T555" s="5603"/>
      <c r="U555" s="5604"/>
      <c r="V555" s="5604"/>
      <c r="W555" s="5604"/>
      <c r="X555" s="5604"/>
      <c r="Y555" s="5604"/>
    </row>
    <row r="556">
      <c r="A556" s="5660" t="s">
        <v>5719</v>
      </c>
      <c r="B556" s="5750">
        <v>46232</v>
      </c>
      <c r="C556" s="5660" t="str">
        <v>Wednesday</v>
      </c>
      <c r="D556" s="5664" t="s">
        <v>5301</v>
      </c>
      <c r="E556" s="5661">
        <f t="shared" si="90"/>
      </c>
      <c r="F556" s="5661" t="s">
        <v>5720</v>
      </c>
      <c r="G556" s="5669"/>
      <c r="H556" s="5661" t="s">
        <v>5299</v>
      </c>
      <c r="I556" s="5661" t="s">
        <v>5268</v>
      </c>
      <c r="J556" s="5661"/>
      <c r="K556" s="5591"/>
      <c r="L556" s="5591"/>
      <c r="M556" s="5591"/>
      <c r="N556" s="5591"/>
      <c r="O556" s="5591"/>
      <c r="P556" s="5591"/>
      <c r="Q556" s="5591"/>
      <c r="R556" s="5591"/>
      <c r="S556" s="5591"/>
      <c r="T556" s="5591"/>
      <c r="U556" s="5428"/>
      <c r="V556" s="5428"/>
      <c r="W556" s="5428"/>
      <c r="X556" s="5428"/>
      <c r="Y556" s="5428"/>
    </row>
    <row r="557">
      <c r="A557" s="5660" t="s">
        <v>5719</v>
      </c>
      <c r="B557" s="5750">
        <v>46233</v>
      </c>
      <c r="C557" s="5660" t="str">
        <v>Thursday</v>
      </c>
      <c r="D557" s="5751" t="s">
        <v>5722</v>
      </c>
      <c r="E557" s="5661">
        <f t="shared" si="90"/>
      </c>
      <c r="F557" s="5661" t="s">
        <v>5348</v>
      </c>
      <c r="G557" s="5669"/>
      <c r="H557" s="5661" t="s">
        <v>5299</v>
      </c>
      <c r="I557" s="5661" t="s">
        <v>5268</v>
      </c>
      <c r="J557" s="5661"/>
      <c r="K557" s="5591"/>
      <c r="L557" s="5591"/>
      <c r="M557" s="5591"/>
      <c r="N557" s="5591"/>
      <c r="O557" s="5591"/>
      <c r="P557" s="5591"/>
      <c r="Q557" s="5591"/>
      <c r="R557" s="5591"/>
      <c r="S557" s="5591"/>
      <c r="T557" s="5591"/>
      <c r="U557" s="5428"/>
      <c r="V557" s="5428"/>
      <c r="W557" s="5428"/>
      <c r="X557" s="5428"/>
      <c r="Y557" s="5428"/>
    </row>
    <row r="558">
      <c r="A558" s="5660" t="s">
        <v>5719</v>
      </c>
      <c r="B558" s="5750">
        <v>46234</v>
      </c>
      <c r="C558" s="5660" t="str">
        <v>Friday</v>
      </c>
      <c r="D558" s="5661" t="s">
        <v>5301</v>
      </c>
      <c r="E558" s="5661">
        <f t="shared" si="90"/>
      </c>
      <c r="F558" s="5661" t="s">
        <v>5720</v>
      </c>
      <c r="G558" s="5669"/>
      <c r="H558" s="5661" t="s">
        <v>5299</v>
      </c>
      <c r="I558" s="5661" t="s">
        <v>5268</v>
      </c>
      <c r="J558" s="5661"/>
      <c r="K558" s="5591"/>
      <c r="L558" s="5591"/>
      <c r="M558" s="5591"/>
      <c r="N558" s="5591"/>
      <c r="O558" s="5591"/>
      <c r="P558" s="5591"/>
      <c r="Q558" s="5591"/>
      <c r="R558" s="5591"/>
      <c r="S558" s="5591"/>
      <c r="T558" s="5591"/>
      <c r="U558" s="5428"/>
      <c r="V558" s="5428"/>
      <c r="W558" s="5428"/>
      <c r="X558" s="5428"/>
      <c r="Y558" s="5428"/>
    </row>
    <row r="559">
      <c r="A559" s="5660" t="s">
        <v>5719</v>
      </c>
      <c r="B559" s="5750">
        <v>46235</v>
      </c>
      <c r="C559" s="5660" t="str">
        <v>Saturday</v>
      </c>
      <c r="D559" s="5664" t="s">
        <v>5325</v>
      </c>
      <c r="E559" s="5661">
        <f t="shared" si="90"/>
      </c>
      <c r="F559" s="5661" t="s">
        <v>5348</v>
      </c>
      <c r="G559" s="5669"/>
      <c r="H559" s="5661" t="s">
        <v>5299</v>
      </c>
      <c r="I559" s="5661" t="s">
        <v>5268</v>
      </c>
      <c r="J559" s="5661"/>
      <c r="K559" s="5591"/>
      <c r="L559" s="5591"/>
      <c r="M559" s="5591"/>
      <c r="N559" s="5591"/>
      <c r="O559" s="5591"/>
      <c r="P559" s="5591"/>
      <c r="Q559" s="5591"/>
      <c r="R559" s="5591"/>
      <c r="S559" s="5591"/>
      <c r="T559" s="5591"/>
      <c r="U559" s="5428"/>
      <c r="V559" s="5428"/>
      <c r="W559" s="5428"/>
      <c r="X559" s="5428"/>
      <c r="Y559" s="5428"/>
    </row>
    <row r="560">
      <c r="A560" s="5491" t="s">
        <v>5719</v>
      </c>
      <c r="B560" s="5536">
        <v>46236</v>
      </c>
      <c r="C560" s="5491" t="str">
        <v>Sunday</v>
      </c>
      <c r="D560" s="5605" t="s">
        <v>5333</v>
      </c>
      <c r="E560" s="5494">
        <f t="shared" si="90"/>
      </c>
      <c r="F560" s="5494" t="s">
        <v>5582</v>
      </c>
      <c r="G560" s="5639"/>
      <c r="H560" s="5494"/>
      <c r="I560" s="5494" t="s">
        <v>5268</v>
      </c>
      <c r="J560" s="5494"/>
      <c r="K560" s="5603"/>
      <c r="L560" s="5603"/>
      <c r="M560" s="5603"/>
      <c r="N560" s="5603"/>
      <c r="O560" s="5603"/>
      <c r="P560" s="5603"/>
      <c r="Q560" s="5603"/>
      <c r="R560" s="5603"/>
      <c r="S560" s="5603"/>
      <c r="T560" s="5603"/>
      <c r="U560" s="5604"/>
      <c r="V560" s="5604"/>
      <c r="W560" s="5604"/>
      <c r="X560" s="5604"/>
      <c r="Y560" s="5604"/>
    </row>
    <row r="561">
      <c r="A561" s="5431"/>
      <c r="B561" s="5431"/>
      <c r="C561" s="5431"/>
      <c r="D561" s="5437"/>
      <c r="E561" s="5437"/>
      <c r="F561" s="5437"/>
      <c r="G561" s="5486"/>
      <c r="H561" s="5438"/>
      <c r="I561" s="5438"/>
      <c r="J561" s="5437"/>
      <c r="K561" s="5426"/>
      <c r="L561" s="5426"/>
      <c r="M561" s="5426"/>
      <c r="N561" s="5426"/>
      <c r="O561" s="5426"/>
      <c r="P561" s="5426"/>
      <c r="Q561" s="5426"/>
      <c r="R561" s="5426"/>
      <c r="S561" s="5426"/>
      <c r="T561" s="5426"/>
      <c r="U561" s="5428"/>
      <c r="V561" s="5428"/>
      <c r="W561" s="5428"/>
      <c r="X561" s="5428"/>
      <c r="Y561" s="5428"/>
    </row>
    <row r="562">
      <c r="A562" s="5660" t="s">
        <v>5723</v>
      </c>
      <c r="B562" s="5750">
        <v>46231</v>
      </c>
      <c r="C562" s="5660" t="str">
        <v>Tuesday</v>
      </c>
      <c r="D562" s="5664" t="s">
        <v>5724</v>
      </c>
      <c r="E562" s="5661">
        <f t="shared" ref="E562:E567" si="91">24*MOD(TIMEVALUE(TRIM(MID(D562,FIND("-",D562)+1,LEN(D562)))) - TIMEVALUE(TRIM(LEFT(D562,FIND("-",D562)-1))),1)</f>
      </c>
      <c r="F562" s="5661" t="s">
        <v>5405</v>
      </c>
      <c r="G562" s="5662" t="s">
        <v>5725</v>
      </c>
      <c r="H562" s="5661" t="s">
        <v>5299</v>
      </c>
      <c r="I562" s="5661" t="s">
        <v>5268</v>
      </c>
      <c r="J562" s="5661"/>
      <c r="K562" s="5591"/>
      <c r="L562" s="5591"/>
      <c r="M562" s="5591"/>
      <c r="N562" s="5591"/>
      <c r="O562" s="5591"/>
      <c r="P562" s="5591"/>
      <c r="Q562" s="5591"/>
      <c r="R562" s="5591"/>
      <c r="S562" s="5591"/>
      <c r="T562" s="5591"/>
      <c r="U562" s="5428"/>
      <c r="V562" s="5428"/>
      <c r="W562" s="5428"/>
      <c r="X562" s="5428"/>
      <c r="Y562" s="5428"/>
    </row>
    <row r="563">
      <c r="A563" s="5660" t="s">
        <v>5723</v>
      </c>
      <c r="B563" s="5750">
        <v>46232</v>
      </c>
      <c r="C563" s="5660" t="str">
        <v>Wednesday</v>
      </c>
      <c r="D563" s="5664" t="s">
        <v>5726</v>
      </c>
      <c r="E563" s="5661">
        <f t="shared" si="91"/>
      </c>
      <c r="F563" s="5661" t="s">
        <v>5405</v>
      </c>
      <c r="G563" s="5669"/>
      <c r="H563" s="5661" t="s">
        <v>5299</v>
      </c>
      <c r="I563" s="5661" t="s">
        <v>5268</v>
      </c>
      <c r="J563" s="5661"/>
      <c r="K563" s="5591"/>
      <c r="L563" s="5591"/>
      <c r="M563" s="5591"/>
      <c r="N563" s="5591"/>
      <c r="O563" s="5591"/>
      <c r="P563" s="5591"/>
      <c r="Q563" s="5591"/>
      <c r="R563" s="5591"/>
      <c r="S563" s="5591"/>
      <c r="T563" s="5591"/>
      <c r="U563" s="5428"/>
      <c r="V563" s="5428"/>
      <c r="W563" s="5428"/>
      <c r="X563" s="5428"/>
      <c r="Y563" s="5428"/>
    </row>
    <row r="564">
      <c r="A564" s="5660" t="s">
        <v>5723</v>
      </c>
      <c r="B564" s="5750">
        <v>46233</v>
      </c>
      <c r="C564" s="5660" t="str">
        <v>Thursday</v>
      </c>
      <c r="D564" s="5664" t="s">
        <v>5726</v>
      </c>
      <c r="E564" s="5661">
        <f t="shared" si="91"/>
      </c>
      <c r="F564" s="5661" t="s">
        <v>5405</v>
      </c>
      <c r="G564" s="5662"/>
      <c r="H564" s="5661" t="s">
        <v>5299</v>
      </c>
      <c r="I564" s="5661" t="s">
        <v>5268</v>
      </c>
      <c r="J564" s="5661"/>
      <c r="K564" s="5591"/>
      <c r="L564" s="5591"/>
      <c r="M564" s="5591"/>
      <c r="N564" s="5591"/>
      <c r="O564" s="5591"/>
      <c r="P564" s="5591"/>
      <c r="Q564" s="5591"/>
      <c r="R564" s="5591"/>
      <c r="S564" s="5591"/>
      <c r="T564" s="5591"/>
      <c r="U564" s="5428"/>
      <c r="V564" s="5428"/>
      <c r="W564" s="5428"/>
      <c r="X564" s="5428"/>
      <c r="Y564" s="5428"/>
    </row>
    <row r="565">
      <c r="A565" s="5660" t="s">
        <v>5723</v>
      </c>
      <c r="B565" s="5750">
        <v>46234</v>
      </c>
      <c r="C565" s="5660" t="str">
        <v>Friday</v>
      </c>
      <c r="D565" s="5661" t="s">
        <v>5726</v>
      </c>
      <c r="E565" s="5663">
        <f t="shared" si="91"/>
      </c>
      <c r="F565" s="5661" t="s">
        <v>5727</v>
      </c>
      <c r="G565" s="5666"/>
      <c r="H565" s="5663" t="s">
        <v>5299</v>
      </c>
      <c r="I565" s="5661" t="s">
        <v>5268</v>
      </c>
      <c r="J565" s="5663"/>
      <c r="K565" s="5667"/>
      <c r="L565" s="5667"/>
      <c r="M565" s="5667"/>
      <c r="N565" s="5667"/>
      <c r="O565" s="5667"/>
      <c r="P565" s="5667"/>
      <c r="Q565" s="5667"/>
      <c r="R565" s="5667"/>
      <c r="S565" s="5667"/>
      <c r="T565" s="5667"/>
      <c r="U565" s="5752"/>
      <c r="V565" s="5752"/>
      <c r="W565" s="5752"/>
      <c r="X565" s="5752"/>
      <c r="Y565" s="5752"/>
    </row>
    <row r="566">
      <c r="A566" s="5660" t="s">
        <v>5723</v>
      </c>
      <c r="B566" s="5750">
        <v>46235</v>
      </c>
      <c r="C566" s="5660" t="str">
        <v>Saturday</v>
      </c>
      <c r="D566" s="5661" t="s">
        <v>5726</v>
      </c>
      <c r="E566" s="5661">
        <f t="shared" si="91"/>
      </c>
      <c r="F566" s="5661" t="s">
        <v>5727</v>
      </c>
      <c r="G566" s="5669"/>
      <c r="H566" s="5661" t="s">
        <v>5299</v>
      </c>
      <c r="I566" s="5661" t="s">
        <v>5268</v>
      </c>
      <c r="J566" s="5661"/>
      <c r="K566" s="5591"/>
      <c r="L566" s="5591"/>
      <c r="M566" s="5591"/>
      <c r="N566" s="5591"/>
      <c r="O566" s="5591"/>
      <c r="P566" s="5591"/>
      <c r="Q566" s="5591"/>
      <c r="R566" s="5591"/>
      <c r="S566" s="5591"/>
      <c r="T566" s="5591"/>
      <c r="U566" s="5428"/>
      <c r="V566" s="5428"/>
      <c r="W566" s="5428"/>
      <c r="X566" s="5428"/>
      <c r="Y566" s="5428"/>
    </row>
    <row r="567">
      <c r="A567" s="5491" t="s">
        <v>5723</v>
      </c>
      <c r="B567" s="5536">
        <v>46236</v>
      </c>
      <c r="C567" s="5491" t="str">
        <v>Sunday</v>
      </c>
      <c r="D567" s="5605" t="s">
        <v>5728</v>
      </c>
      <c r="E567" s="5494">
        <f t="shared" si="91"/>
      </c>
      <c r="F567" s="5494" t="s">
        <v>5727</v>
      </c>
      <c r="G567" s="5639"/>
      <c r="H567" s="5494"/>
      <c r="I567" s="5494" t="s">
        <v>5291</v>
      </c>
      <c r="J567" s="5494"/>
      <c r="K567" s="5603"/>
      <c r="L567" s="5603"/>
      <c r="M567" s="5603"/>
      <c r="N567" s="5603"/>
      <c r="O567" s="5603"/>
      <c r="P567" s="5603"/>
      <c r="Q567" s="5603"/>
      <c r="R567" s="5603"/>
      <c r="S567" s="5603"/>
      <c r="T567" s="5603"/>
      <c r="U567" s="5604"/>
      <c r="V567" s="5604"/>
      <c r="W567" s="5604"/>
      <c r="X567" s="5604"/>
      <c r="Y567" s="5604"/>
    </row>
    <row r="568">
      <c r="A568" s="5431"/>
      <c r="B568" s="5431"/>
      <c r="C568" s="5431"/>
      <c r="D568" s="5438"/>
      <c r="E568" s="5438"/>
      <c r="F568" s="5438"/>
      <c r="G568" s="5467"/>
      <c r="H568" s="5438"/>
      <c r="I568" s="5438"/>
      <c r="J568" s="5438"/>
      <c r="K568" s="5426"/>
      <c r="L568" s="5426"/>
      <c r="M568" s="5426"/>
      <c r="N568" s="5426"/>
      <c r="O568" s="5426"/>
      <c r="P568" s="5426"/>
      <c r="Q568" s="5426"/>
      <c r="R568" s="5426"/>
      <c r="S568" s="5426"/>
      <c r="T568" s="5426"/>
      <c r="U568" s="5427"/>
      <c r="V568" s="5427"/>
      <c r="W568" s="5427"/>
      <c r="X568" s="5427"/>
      <c r="Y568" s="5427"/>
    </row>
    <row r="569">
      <c r="A569" s="5431"/>
      <c r="B569" s="5431"/>
      <c r="C569" s="5431"/>
      <c r="D569" s="5437"/>
      <c r="E569" s="5437"/>
      <c r="F569" s="5437"/>
      <c r="G569" s="5486"/>
      <c r="H569" s="5437"/>
      <c r="I569" s="5437"/>
      <c r="J569" s="5437"/>
      <c r="K569" s="5426"/>
      <c r="L569" s="5426"/>
      <c r="M569" s="5426"/>
      <c r="N569" s="5426"/>
      <c r="O569" s="5426"/>
      <c r="P569" s="5426"/>
      <c r="Q569" s="5426"/>
      <c r="R569" s="5426"/>
      <c r="S569" s="5426"/>
      <c r="T569" s="5426"/>
      <c r="U569" s="5428"/>
      <c r="V569" s="5428"/>
      <c r="W569" s="5428"/>
      <c r="X569" s="5428"/>
      <c r="Y569" s="5428"/>
    </row>
    <row r="570">
      <c r="A570" s="5431"/>
      <c r="B570" s="5431"/>
      <c r="C570" s="5431"/>
      <c r="D570" s="5438"/>
      <c r="E570" s="5437"/>
      <c r="F570" s="5438"/>
      <c r="G570" s="5467"/>
      <c r="H570" s="5500"/>
      <c r="I570" s="5438"/>
      <c r="J570" s="5438"/>
      <c r="K570" s="5426"/>
      <c r="L570" s="5426"/>
      <c r="M570" s="5426"/>
      <c r="N570" s="5426"/>
      <c r="O570" s="5426"/>
      <c r="P570" s="5426"/>
      <c r="Q570" s="5426"/>
      <c r="R570" s="5426"/>
      <c r="S570" s="5426"/>
      <c r="T570" s="5426"/>
      <c r="U570" s="5427"/>
      <c r="V570" s="5427"/>
      <c r="W570" s="5427"/>
      <c r="X570" s="5427"/>
      <c r="Y570" s="5427"/>
    </row>
    <row r="571">
      <c r="A571" s="5431"/>
      <c r="B571" s="5431"/>
      <c r="C571" s="5431"/>
      <c r="D571" s="5437"/>
      <c r="E571" s="5437"/>
      <c r="F571" s="5437"/>
      <c r="G571" s="5486"/>
      <c r="H571" s="5437"/>
      <c r="I571" s="5437"/>
      <c r="J571" s="5437"/>
      <c r="K571" s="5426"/>
      <c r="L571" s="5426"/>
      <c r="M571" s="5426"/>
      <c r="N571" s="5426"/>
      <c r="O571" s="5426"/>
      <c r="P571" s="5426"/>
      <c r="Q571" s="5426"/>
      <c r="R571" s="5426"/>
      <c r="S571" s="5426"/>
      <c r="T571" s="5426"/>
      <c r="U571" s="5428"/>
      <c r="V571" s="5428"/>
      <c r="W571" s="5428"/>
      <c r="X571" s="5428"/>
      <c r="Y571" s="5428"/>
    </row>
    <row r="572">
      <c r="A572" s="5753" t="s">
        <v>5729</v>
      </c>
      <c r="B572" s="5753"/>
      <c r="C572" s="5753"/>
      <c r="D572" s="5753"/>
      <c r="E572" s="5753"/>
      <c r="F572" s="5753"/>
      <c r="G572" s="5753"/>
      <c r="H572" s="5753"/>
      <c r="I572" s="5753"/>
      <c r="J572" s="5753"/>
      <c r="K572" s="5754"/>
      <c r="L572" s="5754"/>
      <c r="M572" s="5754"/>
      <c r="N572" s="5754"/>
      <c r="O572" s="5755"/>
      <c r="P572" s="5755"/>
      <c r="Q572" s="5755"/>
      <c r="R572" s="5755"/>
      <c r="S572" s="5755"/>
      <c r="T572" s="5755"/>
      <c r="U572" s="5428"/>
      <c r="V572" s="5428"/>
      <c r="W572" s="5428"/>
      <c r="X572" s="5428"/>
      <c r="Y572" s="5428"/>
    </row>
    <row r="573">
      <c r="A573" s="5756" t="s">
        <v>5277</v>
      </c>
      <c r="B573" s="5757" t="s">
        <v>5278</v>
      </c>
      <c r="C573" s="5757"/>
      <c r="D573" s="5758" t="s">
        <v>5279</v>
      </c>
      <c r="E573" s="5758" t="s">
        <v>5280</v>
      </c>
      <c r="F573" s="5758" t="s">
        <v>5281</v>
      </c>
      <c r="G573" s="5759" t="s">
        <v>5294</v>
      </c>
      <c r="H573" s="5758" t="s">
        <v>5283</v>
      </c>
      <c r="I573" s="5758" t="s">
        <v>5284</v>
      </c>
      <c r="J573" s="5758" t="s">
        <v>5285</v>
      </c>
      <c r="K573" s="5754"/>
      <c r="L573" s="5754"/>
      <c r="M573" s="5754"/>
      <c r="N573" s="5754"/>
      <c r="O573" s="5755"/>
      <c r="P573" s="5755"/>
      <c r="Q573" s="5755"/>
      <c r="R573" s="5755"/>
      <c r="S573" s="5755"/>
      <c r="T573" s="5755"/>
      <c r="U573" s="5428"/>
      <c r="V573" s="5428"/>
      <c r="W573" s="5428"/>
      <c r="X573" s="5428"/>
      <c r="Y573" s="5428"/>
    </row>
    <row r="574">
      <c r="A574" s="5431" t="s">
        <v>5729</v>
      </c>
      <c r="B574" s="5431">
        <v>46231</v>
      </c>
      <c r="C574" s="5431" t="str">
        <v>Tuesday</v>
      </c>
      <c r="D574" s="5433" t="s">
        <v>5730</v>
      </c>
      <c r="E574" s="5438">
        <f t="shared" ref="E574:E575" si="92">24*MOD(TIMEVALUE(TRIM(MID(D574,FIND("-",D574)+1,LEN(D574)))) - TIMEVALUE(TRIM(LEFT(D574,FIND("-",D574)-1))),1)</f>
      </c>
      <c r="F574" s="5437" t="s">
        <v>5500</v>
      </c>
      <c r="G574" s="5456" t="s">
        <v>5731</v>
      </c>
      <c r="H574" s="5500" t="s">
        <v>5299</v>
      </c>
      <c r="I574" s="5438" t="s">
        <v>5268</v>
      </c>
      <c r="J574" s="5438"/>
      <c r="K574" s="5478"/>
      <c r="L574" s="5478"/>
      <c r="M574" s="5478"/>
      <c r="N574" s="5478"/>
      <c r="O574" s="5426"/>
      <c r="P574" s="5426"/>
      <c r="Q574" s="5426"/>
      <c r="R574" s="5426"/>
      <c r="S574" s="5426"/>
      <c r="T574" s="5426"/>
      <c r="U574" s="5428"/>
      <c r="V574" s="5428"/>
      <c r="W574" s="5428"/>
      <c r="X574" s="5428"/>
      <c r="Y574" s="5428"/>
    </row>
    <row r="575">
      <c r="A575" s="5760" t="s">
        <v>5732</v>
      </c>
      <c r="B575" s="5760">
        <v>46231</v>
      </c>
      <c r="C575" s="5760" t="str">
        <v>Tuesday</v>
      </c>
      <c r="D575" s="5761" t="s">
        <v>5730</v>
      </c>
      <c r="E575" s="5762">
        <f t="shared" si="92"/>
      </c>
      <c r="F575" s="5762"/>
      <c r="G575" s="5763"/>
      <c r="H575" s="5764" t="s">
        <v>5299</v>
      </c>
      <c r="I575" s="5438" t="s">
        <v>5291</v>
      </c>
      <c r="J575" s="5762"/>
      <c r="K575" s="5478"/>
      <c r="L575" s="5478"/>
      <c r="M575" s="5478"/>
      <c r="N575" s="5478"/>
      <c r="O575" s="5426"/>
      <c r="P575" s="5426"/>
      <c r="Q575" s="5426"/>
      <c r="R575" s="5426"/>
      <c r="S575" s="5426"/>
      <c r="T575" s="5426"/>
      <c r="U575" s="5428"/>
      <c r="V575" s="5428"/>
      <c r="W575" s="5428"/>
      <c r="X575" s="5428"/>
      <c r="Y575" s="5428"/>
    </row>
    <row r="576">
      <c r="A576" s="5431" t="s">
        <v>5729</v>
      </c>
      <c r="B576" s="5431"/>
      <c r="C576" s="5431"/>
      <c r="D576" s="5438"/>
      <c r="E576" s="5765">
        <f>3</f>
      </c>
      <c r="F576" s="5437"/>
      <c r="G576" s="5467"/>
      <c r="H576" s="5500"/>
      <c r="I576" s="5437"/>
      <c r="J576" s="5438"/>
      <c r="K576" s="5478"/>
      <c r="L576" s="5478"/>
      <c r="M576" s="5478"/>
      <c r="N576" s="5478"/>
      <c r="O576" s="5426"/>
      <c r="P576" s="5426"/>
      <c r="Q576" s="5426"/>
      <c r="R576" s="5426"/>
      <c r="S576" s="5426"/>
      <c r="T576" s="5426"/>
      <c r="U576" s="5428"/>
      <c r="V576" s="5428"/>
      <c r="W576" s="5428"/>
      <c r="X576" s="5428"/>
      <c r="Y576" s="5428"/>
    </row>
    <row r="577">
      <c r="A577" s="5431" t="s">
        <v>5729</v>
      </c>
      <c r="B577" s="5431">
        <v>46232</v>
      </c>
      <c r="C577" s="5431" t="str">
        <v>Wednesday</v>
      </c>
      <c r="D577" s="5433" t="s">
        <v>5733</v>
      </c>
      <c r="E577" s="5438">
        <f t="shared" ref="E577:E578" si="93">24*MOD(TIMEVALUE(TRIM(MID(D577,FIND("-",D577)+1,LEN(D577)))) - TIMEVALUE(TRIM(LEFT(D577,FIND("-",D577)-1))),1)</f>
      </c>
      <c r="F577" s="5437" t="s">
        <v>5372</v>
      </c>
      <c r="G577" s="5456" t="s">
        <v>5734</v>
      </c>
      <c r="H577" s="5500" t="s">
        <v>5299</v>
      </c>
      <c r="I577" s="5438" t="s">
        <v>5268</v>
      </c>
      <c r="J577" s="5438"/>
      <c r="K577" s="5478"/>
      <c r="L577" s="5478"/>
      <c r="M577" s="5478"/>
      <c r="N577" s="5478"/>
      <c r="O577" s="5426"/>
      <c r="P577" s="5426"/>
      <c r="Q577" s="5426"/>
      <c r="R577" s="5426"/>
      <c r="S577" s="5426"/>
      <c r="T577" s="5426"/>
      <c r="U577" s="5428"/>
      <c r="V577" s="5428"/>
      <c r="W577" s="5428"/>
      <c r="X577" s="5428"/>
      <c r="Y577" s="5428"/>
    </row>
    <row r="578">
      <c r="A578" s="5760" t="s">
        <v>5732</v>
      </c>
      <c r="B578" s="5760">
        <v>46232</v>
      </c>
      <c r="C578" s="5760" t="str">
        <v>Wednesday</v>
      </c>
      <c r="D578" s="5761" t="s">
        <v>5733</v>
      </c>
      <c r="E578" s="5762">
        <f t="shared" si="93"/>
      </c>
      <c r="F578" s="5762"/>
      <c r="G578" s="5763"/>
      <c r="H578" s="5764" t="s">
        <v>5299</v>
      </c>
      <c r="I578" s="5438" t="s">
        <v>5291</v>
      </c>
      <c r="J578" s="5761"/>
      <c r="K578" s="5478"/>
      <c r="L578" s="5478"/>
      <c r="M578" s="5478"/>
      <c r="N578" s="5478"/>
      <c r="O578" s="5426"/>
      <c r="P578" s="5426"/>
      <c r="Q578" s="5426"/>
      <c r="R578" s="5426"/>
      <c r="S578" s="5426"/>
      <c r="T578" s="5426"/>
      <c r="U578" s="5428"/>
      <c r="V578" s="5428"/>
      <c r="W578" s="5428"/>
      <c r="X578" s="5428"/>
      <c r="Y578" s="5428"/>
    </row>
    <row r="579">
      <c r="A579" s="5431" t="s">
        <v>5729</v>
      </c>
      <c r="B579" s="5431"/>
      <c r="C579" s="5431"/>
      <c r="D579" s="5438"/>
      <c r="E579" s="5765">
        <f>3</f>
      </c>
      <c r="F579" s="5437"/>
      <c r="G579" s="5467"/>
      <c r="H579" s="5500"/>
      <c r="I579" s="5437"/>
      <c r="J579" s="5438"/>
      <c r="K579" s="5478"/>
      <c r="L579" s="5478"/>
      <c r="M579" s="5478"/>
      <c r="N579" s="5478"/>
      <c r="O579" s="5426"/>
      <c r="P579" s="5426"/>
      <c r="Q579" s="5426"/>
      <c r="R579" s="5426"/>
      <c r="S579" s="5426"/>
      <c r="T579" s="5426"/>
      <c r="U579" s="5428"/>
      <c r="V579" s="5428"/>
      <c r="W579" s="5428"/>
      <c r="X579" s="5428"/>
      <c r="Y579" s="5428"/>
    </row>
    <row r="580">
      <c r="A580" s="5431" t="s">
        <v>5729</v>
      </c>
      <c r="B580" s="5431">
        <v>46233</v>
      </c>
      <c r="C580" s="5431" t="str">
        <v>Thursday</v>
      </c>
      <c r="D580" s="5433" t="s">
        <v>5735</v>
      </c>
      <c r="E580" s="5438">
        <f t="shared" ref="E580:E581" si="94">24*MOD(TIMEVALUE(TRIM(MID(D580,FIND("-",D580)+1,LEN(D580)))) - TIMEVALUE(TRIM(LEFT(D580,FIND("-",D580)-1))),1)</f>
      </c>
      <c r="F580" s="5513" t="s">
        <v>5525</v>
      </c>
      <c r="G580" s="5456" t="s">
        <v>5736</v>
      </c>
      <c r="H580" s="5500" t="s">
        <v>5299</v>
      </c>
      <c r="I580" s="5438" t="s">
        <v>5268</v>
      </c>
      <c r="J580" s="5438"/>
      <c r="K580" s="5478"/>
      <c r="L580" s="5478"/>
      <c r="M580" s="5478"/>
      <c r="N580" s="5478"/>
      <c r="O580" s="5426"/>
      <c r="P580" s="5426"/>
      <c r="Q580" s="5426"/>
      <c r="R580" s="5426"/>
      <c r="S580" s="5426"/>
      <c r="T580" s="5426"/>
      <c r="U580" s="5428"/>
      <c r="V580" s="5428"/>
      <c r="W580" s="5428"/>
      <c r="X580" s="5428"/>
      <c r="Y580" s="5428"/>
    </row>
    <row r="581">
      <c r="A581" s="5760" t="s">
        <v>5732</v>
      </c>
      <c r="B581" s="5760">
        <v>46233</v>
      </c>
      <c r="C581" s="5760" t="str">
        <v>Thursday</v>
      </c>
      <c r="D581" s="5761" t="s">
        <v>5735</v>
      </c>
      <c r="E581" s="5762">
        <f t="shared" si="94"/>
      </c>
      <c r="F581" s="5762"/>
      <c r="G581" s="5763"/>
      <c r="H581" s="5764" t="s">
        <v>5299</v>
      </c>
      <c r="I581" s="5438" t="s">
        <v>5291</v>
      </c>
      <c r="J581" s="5762"/>
      <c r="K581" s="5478"/>
      <c r="L581" s="5478"/>
      <c r="M581" s="5478"/>
      <c r="N581" s="5478"/>
      <c r="O581" s="5426"/>
      <c r="P581" s="5426"/>
      <c r="Q581" s="5426"/>
      <c r="R581" s="5426"/>
      <c r="S581" s="5426"/>
      <c r="T581" s="5426"/>
      <c r="U581" s="5428"/>
      <c r="V581" s="5428"/>
      <c r="W581" s="5428"/>
      <c r="X581" s="5428"/>
      <c r="Y581" s="5428"/>
    </row>
    <row r="582">
      <c r="A582" s="5431" t="s">
        <v>5729</v>
      </c>
      <c r="B582" s="5431"/>
      <c r="C582" s="5431"/>
      <c r="D582" s="5438"/>
      <c r="E582" s="5765">
        <f>3</f>
      </c>
      <c r="F582" s="5437"/>
      <c r="G582" s="5467"/>
      <c r="H582" s="5500"/>
      <c r="I582" s="5437"/>
      <c r="J582" s="5438"/>
      <c r="K582" s="5478"/>
      <c r="L582" s="5478"/>
      <c r="M582" s="5478"/>
      <c r="N582" s="5478"/>
      <c r="O582" s="5426"/>
      <c r="P582" s="5426"/>
      <c r="Q582" s="5426"/>
      <c r="R582" s="5426"/>
      <c r="S582" s="5426"/>
      <c r="T582" s="5426"/>
      <c r="U582" s="5428"/>
      <c r="V582" s="5428"/>
      <c r="W582" s="5428"/>
      <c r="X582" s="5428"/>
      <c r="Y582" s="5428"/>
    </row>
    <row r="583">
      <c r="A583" s="5431" t="s">
        <v>5729</v>
      </c>
      <c r="B583" s="5431">
        <v>46234</v>
      </c>
      <c r="C583" s="5431" t="str">
        <v>Friday</v>
      </c>
      <c r="D583" s="5433" t="s">
        <v>5730</v>
      </c>
      <c r="E583" s="5438">
        <f t="shared" ref="E583:E584" si="95">24*MOD(TIMEVALUE(TRIM(MID(D583,FIND("-",D583)+1,LEN(D583)))) - TIMEVALUE(TRIM(LEFT(D583,FIND("-",D583)-1))),1)</f>
      </c>
      <c r="F583" s="5437" t="s">
        <v>5500</v>
      </c>
      <c r="G583" s="5456" t="s">
        <v>5737</v>
      </c>
      <c r="H583" s="5500" t="s">
        <v>5299</v>
      </c>
      <c r="I583" s="5438" t="s">
        <v>5268</v>
      </c>
      <c r="J583" s="5438"/>
      <c r="K583" s="5478"/>
      <c r="L583" s="5478"/>
      <c r="M583" s="5478"/>
      <c r="N583" s="5478"/>
      <c r="O583" s="5426"/>
      <c r="P583" s="5426"/>
      <c r="Q583" s="5426"/>
      <c r="R583" s="5426"/>
      <c r="S583" s="5426"/>
      <c r="T583" s="5426"/>
      <c r="U583" s="5428"/>
      <c r="V583" s="5428"/>
      <c r="W583" s="5428"/>
      <c r="X583" s="5428"/>
      <c r="Y583" s="5428"/>
    </row>
    <row r="584">
      <c r="A584" s="5760" t="s">
        <v>5732</v>
      </c>
      <c r="B584" s="5760">
        <v>46234</v>
      </c>
      <c r="C584" s="5760" t="str">
        <v>Friday</v>
      </c>
      <c r="D584" s="5761" t="s">
        <v>5730</v>
      </c>
      <c r="E584" s="5762">
        <f t="shared" si="95"/>
      </c>
      <c r="F584" s="5762" t="s">
        <v>5738</v>
      </c>
      <c r="G584" s="5763"/>
      <c r="H584" s="5764" t="s">
        <v>5299</v>
      </c>
      <c r="I584" s="5438" t="s">
        <v>5268</v>
      </c>
      <c r="J584" s="5762"/>
      <c r="K584" s="5478"/>
      <c r="L584" s="5478"/>
      <c r="M584" s="5478"/>
      <c r="N584" s="5478"/>
      <c r="O584" s="5426"/>
      <c r="P584" s="5426"/>
      <c r="Q584" s="5426"/>
      <c r="R584" s="5426"/>
      <c r="S584" s="5426"/>
      <c r="T584" s="5426"/>
      <c r="U584" s="5428"/>
      <c r="V584" s="5428"/>
      <c r="W584" s="5428"/>
      <c r="X584" s="5428"/>
      <c r="Y584" s="5428"/>
    </row>
    <row r="585">
      <c r="A585" s="5431" t="s">
        <v>5729</v>
      </c>
      <c r="B585" s="5431"/>
      <c r="C585" s="5431"/>
      <c r="D585" s="5438"/>
      <c r="E585" s="5765">
        <f>3</f>
      </c>
      <c r="F585" s="5437"/>
      <c r="G585" s="5467"/>
      <c r="H585" s="5500"/>
      <c r="I585" s="5437"/>
      <c r="J585" s="5438"/>
      <c r="K585" s="5478"/>
      <c r="L585" s="5478"/>
      <c r="M585" s="5478"/>
      <c r="N585" s="5478"/>
      <c r="O585" s="5426"/>
      <c r="P585" s="5426"/>
      <c r="Q585" s="5426"/>
      <c r="R585" s="5426"/>
      <c r="S585" s="5426"/>
      <c r="T585" s="5426"/>
      <c r="U585" s="5428"/>
      <c r="V585" s="5428"/>
      <c r="W585" s="5428"/>
      <c r="X585" s="5428"/>
      <c r="Y585" s="5428"/>
    </row>
    <row r="586">
      <c r="A586" s="5431" t="s">
        <v>5729</v>
      </c>
      <c r="B586" s="5431">
        <v>46235</v>
      </c>
      <c r="C586" s="5431" t="str">
        <v>Saturday</v>
      </c>
      <c r="D586" s="5433" t="s">
        <v>5321</v>
      </c>
      <c r="E586" s="5438">
        <f t="shared" ref="E586:E587" si="96">24*MOD(TIMEVALUE(TRIM(MID(D586,FIND("-",D586)+1,LEN(D586)))) - TIMEVALUE(TRIM(LEFT(D586,FIND("-",D586)-1))),1)</f>
      </c>
      <c r="F586" s="5437" t="s">
        <v>5500</v>
      </c>
      <c r="G586" s="5467"/>
      <c r="H586" s="5500" t="s">
        <v>5299</v>
      </c>
      <c r="I586" s="5438" t="s">
        <v>5268</v>
      </c>
      <c r="J586" s="5438"/>
      <c r="K586" s="5478"/>
      <c r="L586" s="5478"/>
      <c r="M586" s="5478"/>
      <c r="N586" s="5478"/>
      <c r="O586" s="5426"/>
      <c r="P586" s="5426"/>
      <c r="Q586" s="5426"/>
      <c r="R586" s="5426"/>
      <c r="S586" s="5426"/>
      <c r="T586" s="5426"/>
      <c r="U586" s="5428"/>
      <c r="V586" s="5428"/>
      <c r="W586" s="5428"/>
      <c r="X586" s="5428"/>
      <c r="Y586" s="5428"/>
    </row>
    <row r="587">
      <c r="A587" s="5760" t="s">
        <v>5732</v>
      </c>
      <c r="B587" s="5760">
        <v>46235</v>
      </c>
      <c r="C587" s="5760" t="str">
        <v>Saturday</v>
      </c>
      <c r="D587" s="5761" t="s">
        <v>5739</v>
      </c>
      <c r="E587" s="5762">
        <f t="shared" si="96"/>
      </c>
      <c r="F587" s="5762" t="s">
        <v>5738</v>
      </c>
      <c r="G587" s="5763"/>
      <c r="H587" s="5764" t="s">
        <v>5299</v>
      </c>
      <c r="I587" s="5438" t="s">
        <v>5268</v>
      </c>
      <c r="J587" s="5762"/>
      <c r="K587" s="5478"/>
      <c r="L587" s="5478"/>
      <c r="M587" s="5478"/>
      <c r="N587" s="5478"/>
      <c r="O587" s="5426"/>
      <c r="P587" s="5426"/>
      <c r="Q587" s="5426"/>
      <c r="R587" s="5426"/>
      <c r="S587" s="5426"/>
      <c r="T587" s="5426"/>
      <c r="U587" s="5428"/>
      <c r="V587" s="5428"/>
      <c r="W587" s="5428"/>
      <c r="X587" s="5428"/>
      <c r="Y587" s="5428"/>
    </row>
    <row r="588">
      <c r="A588" s="5431" t="s">
        <v>5729</v>
      </c>
      <c r="B588" s="5431"/>
      <c r="C588" s="5431"/>
      <c r="D588" s="5438"/>
      <c r="E588" s="5765">
        <f>3</f>
      </c>
      <c r="F588" s="5437"/>
      <c r="G588" s="5467"/>
      <c r="H588" s="5500"/>
      <c r="I588" s="5437"/>
      <c r="J588" s="5438"/>
      <c r="K588" s="5478"/>
      <c r="L588" s="5478"/>
      <c r="M588" s="5478"/>
      <c r="N588" s="5478"/>
      <c r="O588" s="5426"/>
      <c r="P588" s="5426"/>
      <c r="Q588" s="5426"/>
      <c r="R588" s="5426"/>
      <c r="S588" s="5426"/>
      <c r="T588" s="5426"/>
      <c r="U588" s="5428"/>
      <c r="V588" s="5428"/>
      <c r="W588" s="5428"/>
      <c r="X588" s="5428"/>
      <c r="Y588" s="5428"/>
    </row>
    <row customHeight="true" ht="18.452380952380953" r="589">
      <c r="A589" s="5431" t="s">
        <v>5729</v>
      </c>
      <c r="B589" s="5432">
        <v>46236</v>
      </c>
      <c r="C589" s="5431" t="str">
        <v>Sunday</v>
      </c>
      <c r="D589" s="5433" t="s">
        <v>5321</v>
      </c>
      <c r="E589" s="5438">
        <f t="shared" ref="E589:E590" si="97">24*MOD(TIMEVALUE(TRIM(MID(D589,FIND("-",D589)+1,LEN(D589)))) - TIMEVALUE(TRIM(LEFT(D589,FIND("-",D589)-1))),1)</f>
      </c>
      <c r="F589" s="5437" t="s">
        <v>5500</v>
      </c>
      <c r="G589" s="5456"/>
      <c r="H589" s="5500" t="s">
        <v>5299</v>
      </c>
      <c r="I589" s="5438" t="s">
        <v>5268</v>
      </c>
      <c r="J589" s="5438"/>
      <c r="K589" s="5478"/>
      <c r="L589" s="5478"/>
      <c r="M589" s="5478"/>
      <c r="N589" s="5478"/>
      <c r="O589" s="5426"/>
      <c r="P589" s="5426"/>
      <c r="Q589" s="5426"/>
      <c r="R589" s="5426"/>
      <c r="S589" s="5426"/>
      <c r="T589" s="5426"/>
      <c r="U589" s="5428"/>
      <c r="V589" s="5428"/>
      <c r="W589" s="5428"/>
      <c r="X589" s="5428"/>
      <c r="Y589" s="5428"/>
    </row>
    <row customHeight="true" ht="18.452380952380953" r="590">
      <c r="A590" s="5760" t="s">
        <v>5732</v>
      </c>
      <c r="B590" s="5766">
        <v>46236</v>
      </c>
      <c r="C590" s="5760" t="str">
        <v>Sunday</v>
      </c>
      <c r="D590" s="5761" t="s">
        <v>5739</v>
      </c>
      <c r="E590" s="5762">
        <f t="shared" si="97"/>
      </c>
      <c r="F590" s="5762" t="s">
        <v>5738</v>
      </c>
      <c r="G590" s="5763"/>
      <c r="H590" s="5764" t="s">
        <v>5299</v>
      </c>
      <c r="I590" s="5438" t="s">
        <v>5268</v>
      </c>
      <c r="J590" s="5762"/>
      <c r="K590" s="5478"/>
      <c r="L590" s="5478"/>
      <c r="M590" s="5478"/>
      <c r="N590" s="5478"/>
      <c r="O590" s="5426"/>
      <c r="P590" s="5426"/>
      <c r="Q590" s="5426"/>
      <c r="R590" s="5426"/>
      <c r="S590" s="5426"/>
      <c r="T590" s="5426"/>
      <c r="U590" s="5428"/>
      <c r="V590" s="5428"/>
      <c r="W590" s="5428"/>
      <c r="X590" s="5428"/>
      <c r="Y590" s="5428"/>
    </row>
    <row customHeight="true" ht="18.452380952380953" r="591">
      <c r="A591" s="5431" t="s">
        <v>5729</v>
      </c>
      <c r="B591" s="5431"/>
      <c r="C591" s="5431"/>
      <c r="D591" s="5438"/>
      <c r="E591" s="5765">
        <f>3</f>
      </c>
      <c r="F591" s="5437"/>
      <c r="G591" s="5467"/>
      <c r="H591" s="5500"/>
      <c r="I591" s="5437"/>
      <c r="J591" s="5438"/>
      <c r="K591" s="5478"/>
      <c r="L591" s="5478"/>
      <c r="M591" s="5478"/>
      <c r="N591" s="5478"/>
      <c r="O591" s="5426"/>
      <c r="P591" s="5426"/>
      <c r="Q591" s="5426"/>
      <c r="R591" s="5426"/>
      <c r="S591" s="5426"/>
      <c r="T591" s="5426"/>
      <c r="U591" s="5428"/>
      <c r="V591" s="5428"/>
      <c r="W591" s="5428"/>
      <c r="X591" s="5428"/>
      <c r="Y591" s="5428"/>
    </row>
    <row r="592">
      <c r="A592" s="5565"/>
      <c r="B592" s="5431"/>
      <c r="C592" s="5431"/>
      <c r="D592" s="5438"/>
      <c r="E592" s="5438"/>
      <c r="F592" s="5438"/>
      <c r="G592" s="5467"/>
      <c r="H592" s="5500"/>
      <c r="I592" s="5438"/>
      <c r="J592" s="5438"/>
      <c r="K592" s="5478"/>
      <c r="L592" s="5478"/>
      <c r="M592" s="5478"/>
      <c r="N592" s="5478"/>
      <c r="O592" s="5426"/>
      <c r="P592" s="5426"/>
      <c r="Q592" s="5426"/>
      <c r="R592" s="5426"/>
      <c r="S592" s="5426"/>
      <c r="T592" s="5426"/>
      <c r="U592" s="5428"/>
      <c r="V592" s="5428"/>
      <c r="W592" s="5428"/>
      <c r="X592" s="5428"/>
      <c r="Y592" s="5428"/>
    </row>
    <row r="593">
      <c r="A593" s="5431"/>
      <c r="B593" s="5431"/>
      <c r="C593" s="5431"/>
      <c r="D593" s="5438"/>
      <c r="E593" s="5438"/>
      <c r="F593" s="5438"/>
      <c r="G593" s="5467"/>
      <c r="H593" s="5500"/>
      <c r="I593" s="5438"/>
      <c r="J593" s="5438"/>
      <c r="K593" s="5478"/>
      <c r="L593" s="5478"/>
      <c r="M593" s="5478"/>
      <c r="N593" s="5478"/>
      <c r="O593" s="5426"/>
      <c r="P593" s="5426"/>
      <c r="Q593" s="5426"/>
      <c r="R593" s="5426"/>
      <c r="S593" s="5426"/>
      <c r="T593" s="5426"/>
      <c r="U593" s="5428"/>
      <c r="V593" s="5428"/>
      <c r="W593" s="5428"/>
      <c r="X593" s="5428"/>
      <c r="Y593" s="5428"/>
    </row>
    <row r="594">
      <c r="A594" s="5431" t="s">
        <v>5740</v>
      </c>
      <c r="B594" s="5431">
        <v>46231</v>
      </c>
      <c r="C594" s="5431" t="str">
        <v>Tuesday</v>
      </c>
      <c r="D594" s="5561" t="s">
        <v>5741</v>
      </c>
      <c r="E594" s="5437">
        <f t="shared" ref="E594:E599" si="98">24*MOD(TIMEVALUE(TRIM(MID(D594,FIND("-",D594)+1,LEN(D594)))) - TIMEVALUE(TRIM(LEFT(D594,FIND("-",D594)-1))),1)</f>
      </c>
      <c r="F594" s="5438" t="s">
        <v>5742</v>
      </c>
      <c r="G594" s="5497" t="s">
        <v>5743</v>
      </c>
      <c r="H594" s="5689" t="s">
        <v>5299</v>
      </c>
      <c r="I594" s="5438" t="s">
        <v>5268</v>
      </c>
      <c r="J594" s="5437"/>
      <c r="K594" s="5478"/>
      <c r="L594" s="5478"/>
      <c r="M594" s="5478"/>
      <c r="N594" s="5478"/>
      <c r="O594" s="5426"/>
      <c r="P594" s="5426"/>
      <c r="Q594" s="5426"/>
      <c r="R594" s="5426"/>
      <c r="S594" s="5426"/>
      <c r="T594" s="5426"/>
      <c r="U594" s="5428"/>
      <c r="V594" s="5428"/>
      <c r="W594" s="5428"/>
      <c r="X594" s="5428"/>
      <c r="Y594" s="5428"/>
    </row>
    <row r="595">
      <c r="A595" s="5431" t="s">
        <v>5740</v>
      </c>
      <c r="B595" s="5431">
        <v>46235</v>
      </c>
      <c r="C595" s="5431" t="str">
        <v>Saturday</v>
      </c>
      <c r="D595" s="5433" t="s">
        <v>5739</v>
      </c>
      <c r="E595" s="5437">
        <f t="shared" si="98"/>
      </c>
      <c r="F595" s="5438" t="s">
        <v>5742</v>
      </c>
      <c r="G595" s="5486"/>
      <c r="H595" s="5689" t="s">
        <v>5299</v>
      </c>
      <c r="I595" s="5438" t="s">
        <v>5268</v>
      </c>
      <c r="J595" s="5437"/>
      <c r="K595" s="5478"/>
      <c r="L595" s="5478"/>
      <c r="M595" s="5478"/>
      <c r="N595" s="5478"/>
      <c r="O595" s="5426"/>
      <c r="P595" s="5426"/>
      <c r="Q595" s="5426"/>
      <c r="R595" s="5426"/>
      <c r="S595" s="5426"/>
      <c r="T595" s="5426"/>
      <c r="U595" s="5428"/>
      <c r="V595" s="5428"/>
      <c r="W595" s="5428"/>
      <c r="X595" s="5428"/>
      <c r="Y595" s="5428"/>
    </row>
    <row r="596">
      <c r="A596" s="5431" t="s">
        <v>5740</v>
      </c>
      <c r="B596" s="5432">
        <v>46236</v>
      </c>
      <c r="C596" s="5431" t="str">
        <v>Sunday</v>
      </c>
      <c r="D596" s="5433" t="s">
        <v>5739</v>
      </c>
      <c r="E596" s="5437">
        <f t="shared" si="98"/>
      </c>
      <c r="F596" s="5438" t="s">
        <v>5742</v>
      </c>
      <c r="G596" s="5486"/>
      <c r="H596" s="5689" t="s">
        <v>5299</v>
      </c>
      <c r="I596" s="5438" t="s">
        <v>5268</v>
      </c>
      <c r="J596" s="5437"/>
      <c r="K596" s="5478"/>
      <c r="L596" s="5478"/>
      <c r="M596" s="5478"/>
      <c r="N596" s="5478"/>
      <c r="O596" s="5426"/>
      <c r="P596" s="5426"/>
      <c r="Q596" s="5426"/>
      <c r="R596" s="5426"/>
      <c r="S596" s="5426"/>
      <c r="T596" s="5426"/>
      <c r="U596" s="5428"/>
      <c r="V596" s="5428"/>
      <c r="W596" s="5428"/>
      <c r="X596" s="5428"/>
      <c r="Y596" s="5428"/>
    </row>
    <row r="597">
      <c r="A597" s="5431" t="s">
        <v>5740</v>
      </c>
      <c r="B597" s="5431">
        <v>46234</v>
      </c>
      <c r="C597" s="5431" t="str">
        <v>Friday</v>
      </c>
      <c r="D597" s="5433" t="s">
        <v>5730</v>
      </c>
      <c r="E597" s="5437">
        <f t="shared" si="98"/>
      </c>
      <c r="F597" s="5438"/>
      <c r="G597" s="5486"/>
      <c r="H597" s="5689" t="s">
        <v>5299</v>
      </c>
      <c r="I597" s="5438" t="s">
        <v>5291</v>
      </c>
      <c r="J597" s="5437"/>
      <c r="K597" s="5478"/>
      <c r="L597" s="5478"/>
      <c r="M597" s="5478"/>
      <c r="N597" s="5478"/>
      <c r="O597" s="5426"/>
      <c r="P597" s="5426"/>
      <c r="Q597" s="5426"/>
      <c r="R597" s="5426"/>
      <c r="S597" s="5426"/>
      <c r="T597" s="5426"/>
      <c r="U597" s="5428"/>
      <c r="V597" s="5428"/>
      <c r="W597" s="5428"/>
      <c r="X597" s="5428"/>
      <c r="Y597" s="5428"/>
    </row>
    <row r="598">
      <c r="A598" s="5431" t="s">
        <v>5740</v>
      </c>
      <c r="B598" s="5431">
        <v>46220</v>
      </c>
      <c r="C598" s="5431" t="str">
        <v>Friday</v>
      </c>
      <c r="D598" s="5437" t="s">
        <v>5670</v>
      </c>
      <c r="E598" s="5437">
        <f t="shared" si="98"/>
      </c>
      <c r="F598" s="5438"/>
      <c r="G598" s="5486"/>
      <c r="H598" s="5689" t="s">
        <v>5299</v>
      </c>
      <c r="I598" s="5438" t="s">
        <v>5291</v>
      </c>
      <c r="J598" s="5437"/>
      <c r="K598" s="5478"/>
      <c r="L598" s="5478"/>
      <c r="M598" s="5478"/>
      <c r="N598" s="5478"/>
      <c r="O598" s="5426"/>
      <c r="P598" s="5426"/>
      <c r="Q598" s="5426"/>
      <c r="R598" s="5426"/>
      <c r="S598" s="5426"/>
      <c r="T598" s="5426"/>
      <c r="U598" s="5428"/>
      <c r="V598" s="5428"/>
      <c r="W598" s="5428"/>
      <c r="X598" s="5428"/>
      <c r="Y598" s="5428"/>
    </row>
    <row r="599">
      <c r="A599" s="5431" t="s">
        <v>5740</v>
      </c>
      <c r="B599" s="5431">
        <v>46219</v>
      </c>
      <c r="C599" s="5431" t="str">
        <v>Thursday</v>
      </c>
      <c r="D599" s="5437" t="s">
        <v>5526</v>
      </c>
      <c r="E599" s="5437">
        <f t="shared" si="98"/>
      </c>
      <c r="F599" s="5438"/>
      <c r="G599" s="5486"/>
      <c r="H599" s="5689" t="s">
        <v>5299</v>
      </c>
      <c r="I599" s="5438" t="s">
        <v>5291</v>
      </c>
      <c r="J599" s="5437"/>
      <c r="K599" s="5478"/>
      <c r="L599" s="5478"/>
      <c r="M599" s="5478"/>
      <c r="N599" s="5478"/>
      <c r="O599" s="5426"/>
      <c r="P599" s="5426"/>
      <c r="Q599" s="5426"/>
      <c r="R599" s="5426"/>
      <c r="S599" s="5426"/>
      <c r="T599" s="5426"/>
      <c r="U599" s="5428"/>
      <c r="V599" s="5428"/>
      <c r="W599" s="5428"/>
      <c r="X599" s="5428"/>
      <c r="Y599" s="5428"/>
    </row>
    <row r="600">
      <c r="A600" s="5617"/>
      <c r="B600" s="5617"/>
      <c r="C600" s="5617"/>
      <c r="D600" s="5617"/>
      <c r="E600" s="5617"/>
      <c r="F600" s="5617"/>
      <c r="G600" s="5708"/>
      <c r="H600" s="5617"/>
      <c r="I600" s="5617"/>
      <c r="J600" s="5617"/>
      <c r="K600" s="5478"/>
      <c r="L600" s="5478"/>
      <c r="M600" s="5478"/>
      <c r="N600" s="5478"/>
      <c r="O600" s="5426"/>
      <c r="P600" s="5426"/>
      <c r="Q600" s="5426"/>
      <c r="R600" s="5426"/>
      <c r="S600" s="5426"/>
      <c r="T600" s="5426"/>
      <c r="U600" s="5428"/>
      <c r="V600" s="5428"/>
      <c r="W600" s="5428"/>
      <c r="X600" s="5428"/>
      <c r="Y600" s="5428"/>
    </row>
    <row r="601">
      <c r="A601" s="5767" t="s">
        <v>5744</v>
      </c>
      <c r="B601" s="5767"/>
      <c r="C601" s="5767"/>
      <c r="D601" s="5767"/>
      <c r="E601" s="5767"/>
      <c r="F601" s="5767"/>
      <c r="G601" s="5767"/>
      <c r="H601" s="5767"/>
      <c r="I601" s="5767"/>
      <c r="J601" s="5767"/>
      <c r="K601" s="5478"/>
      <c r="L601" s="5478"/>
      <c r="M601" s="5478"/>
      <c r="N601" s="5478"/>
      <c r="O601" s="5426"/>
      <c r="P601" s="5426"/>
      <c r="Q601" s="5426"/>
      <c r="R601" s="5426"/>
      <c r="S601" s="5426"/>
      <c r="T601" s="5426"/>
      <c r="U601" s="5428"/>
      <c r="V601" s="5428"/>
      <c r="W601" s="5428"/>
      <c r="X601" s="5428"/>
      <c r="Y601" s="5428"/>
    </row>
    <row r="602">
      <c r="A602" s="5768" t="s">
        <v>5745</v>
      </c>
      <c r="B602" s="5769" t="s">
        <v>5278</v>
      </c>
      <c r="C602" s="5769"/>
      <c r="D602" s="5770" t="s">
        <v>5279</v>
      </c>
      <c r="E602" s="5770" t="s">
        <v>5280</v>
      </c>
      <c r="F602" s="5770"/>
      <c r="G602" s="5771"/>
      <c r="H602" s="5770" t="s">
        <v>5283</v>
      </c>
      <c r="I602" s="5770" t="s">
        <v>5284</v>
      </c>
      <c r="J602" s="5770" t="s">
        <v>5285</v>
      </c>
      <c r="K602" s="5478"/>
      <c r="L602" s="5478"/>
      <c r="M602" s="5478"/>
      <c r="N602" s="5478"/>
      <c r="O602" s="5426"/>
      <c r="P602" s="5426"/>
      <c r="Q602" s="5426"/>
      <c r="R602" s="5426"/>
      <c r="S602" s="5426"/>
      <c r="T602" s="5426"/>
      <c r="U602" s="5428"/>
      <c r="V602" s="5428"/>
      <c r="W602" s="5428"/>
      <c r="X602" s="5428"/>
      <c r="Y602" s="5428"/>
    </row>
    <row r="603">
      <c r="A603" s="5714" t="s">
        <v>5745</v>
      </c>
      <c r="B603" s="5714">
        <v>46217</v>
      </c>
      <c r="C603" s="5714" t="str">
        <v>Tuesday</v>
      </c>
      <c r="D603" s="5715" t="s">
        <v>5746</v>
      </c>
      <c r="E603" s="5715">
        <f t="shared" ref="E603:E614" si="99">24*MOD(TIMEVALUE(TRIM(MID(D603,FIND("-",D603)+1,LEN(D603)))) - TIMEVALUE(TRIM(LEFT(D603,FIND("-",D603)-1))),1)</f>
      </c>
      <c r="F603" s="5715"/>
      <c r="G603" s="5716" t="s">
        <v>5747</v>
      </c>
      <c r="H603" s="5715" t="s">
        <v>5299</v>
      </c>
      <c r="I603" s="5715" t="s">
        <v>5268</v>
      </c>
      <c r="J603" s="5715" t="s">
        <v>5748</v>
      </c>
      <c r="K603" s="5478"/>
      <c r="L603" s="5478"/>
      <c r="M603" s="5478"/>
      <c r="N603" s="5478"/>
      <c r="O603" s="5426"/>
      <c r="P603" s="5426"/>
      <c r="Q603" s="5426"/>
      <c r="R603" s="5426"/>
      <c r="S603" s="5426"/>
      <c r="T603" s="5426"/>
      <c r="U603" s="5428"/>
      <c r="V603" s="5428"/>
      <c r="W603" s="5428"/>
      <c r="X603" s="5428"/>
      <c r="Y603" s="5428"/>
    </row>
    <row r="604">
      <c r="A604" s="5772" t="s">
        <v>5749</v>
      </c>
      <c r="B604" s="5772">
        <v>46217</v>
      </c>
      <c r="C604" s="5772" t="str">
        <v>Tuesday</v>
      </c>
      <c r="D604" s="5773" t="s">
        <v>5746</v>
      </c>
      <c r="E604" s="5773">
        <f t="shared" si="99"/>
      </c>
      <c r="F604" s="5773"/>
      <c r="G604" s="5774"/>
      <c r="H604" s="5773" t="s">
        <v>5299</v>
      </c>
      <c r="I604" s="5437" t="s">
        <v>5268</v>
      </c>
      <c r="J604" s="5773"/>
      <c r="K604" s="5478"/>
      <c r="L604" s="5478"/>
      <c r="M604" s="5478"/>
      <c r="N604" s="5478"/>
      <c r="O604" s="5426"/>
      <c r="P604" s="5426"/>
      <c r="Q604" s="5426"/>
      <c r="R604" s="5426"/>
      <c r="S604" s="5426"/>
      <c r="T604" s="5426"/>
      <c r="U604" s="5428"/>
      <c r="V604" s="5428"/>
      <c r="W604" s="5428"/>
      <c r="X604" s="5428"/>
      <c r="Y604" s="5428"/>
    </row>
    <row r="605">
      <c r="A605" s="5431" t="s">
        <v>5745</v>
      </c>
      <c r="B605" s="5431">
        <v>46218</v>
      </c>
      <c r="C605" s="5431" t="str">
        <v>Wednesday</v>
      </c>
      <c r="D605" s="5438" t="s">
        <v>5746</v>
      </c>
      <c r="E605" s="5437">
        <f t="shared" si="99"/>
      </c>
      <c r="F605" s="5438"/>
      <c r="G605" s="5486" t="s">
        <v>5747</v>
      </c>
      <c r="H605" s="5437" t="s">
        <v>5299</v>
      </c>
      <c r="I605" s="5437" t="s">
        <v>5268</v>
      </c>
      <c r="J605" s="5437"/>
      <c r="K605" s="5478"/>
      <c r="L605" s="5478"/>
      <c r="M605" s="5478"/>
      <c r="N605" s="5478"/>
      <c r="O605" s="5426"/>
      <c r="P605" s="5426"/>
      <c r="Q605" s="5426"/>
      <c r="R605" s="5426"/>
      <c r="S605" s="5426"/>
      <c r="T605" s="5426"/>
      <c r="U605" s="5428"/>
      <c r="V605" s="5428"/>
      <c r="W605" s="5428"/>
      <c r="X605" s="5428"/>
      <c r="Y605" s="5428"/>
    </row>
    <row r="606">
      <c r="A606" s="5772" t="s">
        <v>5749</v>
      </c>
      <c r="B606" s="5772">
        <v>46218</v>
      </c>
      <c r="C606" s="5772" t="str">
        <v>Wednesday</v>
      </c>
      <c r="D606" s="5773" t="s">
        <v>5746</v>
      </c>
      <c r="E606" s="5773">
        <f t="shared" si="99"/>
      </c>
      <c r="F606" s="5773"/>
      <c r="G606" s="5774"/>
      <c r="H606" s="5773" t="s">
        <v>5299</v>
      </c>
      <c r="I606" s="5437" t="s">
        <v>5268</v>
      </c>
      <c r="J606" s="5773"/>
      <c r="K606" s="5478"/>
      <c r="L606" s="5478"/>
      <c r="M606" s="5478"/>
      <c r="N606" s="5478"/>
      <c r="O606" s="5426"/>
      <c r="P606" s="5426"/>
      <c r="Q606" s="5426"/>
      <c r="R606" s="5426"/>
      <c r="S606" s="5426"/>
      <c r="T606" s="5426"/>
      <c r="U606" s="5428"/>
      <c r="V606" s="5428"/>
      <c r="W606" s="5428"/>
      <c r="X606" s="5428"/>
      <c r="Y606" s="5428"/>
    </row>
    <row r="607">
      <c r="A607" s="5431" t="s">
        <v>5745</v>
      </c>
      <c r="B607" s="5431">
        <v>46219</v>
      </c>
      <c r="C607" s="5431" t="str">
        <v>Thursday</v>
      </c>
      <c r="D607" s="5438" t="s">
        <v>5746</v>
      </c>
      <c r="E607" s="5437">
        <f t="shared" si="99"/>
      </c>
      <c r="F607" s="5438"/>
      <c r="G607" s="5486" t="s">
        <v>5750</v>
      </c>
      <c r="H607" s="5437" t="s">
        <v>5299</v>
      </c>
      <c r="I607" s="5437" t="s">
        <v>5268</v>
      </c>
      <c r="J607" s="5437"/>
      <c r="K607" s="5478"/>
      <c r="L607" s="5478"/>
      <c r="M607" s="5478"/>
      <c r="N607" s="5478"/>
      <c r="O607" s="5426"/>
      <c r="P607" s="5426"/>
      <c r="Q607" s="5426"/>
      <c r="R607" s="5426"/>
      <c r="S607" s="5426"/>
      <c r="T607" s="5426"/>
      <c r="U607" s="5428"/>
      <c r="V607" s="5428"/>
      <c r="W607" s="5428"/>
      <c r="X607" s="5428"/>
      <c r="Y607" s="5428"/>
    </row>
    <row r="608">
      <c r="A608" s="5772" t="s">
        <v>5749</v>
      </c>
      <c r="B608" s="5772">
        <v>46219</v>
      </c>
      <c r="C608" s="5772" t="str">
        <v>Thursday</v>
      </c>
      <c r="D608" s="5773" t="s">
        <v>5746</v>
      </c>
      <c r="E608" s="5773">
        <f t="shared" si="99"/>
      </c>
      <c r="F608" s="5773"/>
      <c r="G608" s="5774"/>
      <c r="H608" s="5773" t="s">
        <v>5299</v>
      </c>
      <c r="I608" s="5438" t="s">
        <v>5268</v>
      </c>
      <c r="J608" s="5773"/>
      <c r="K608" s="5478"/>
      <c r="L608" s="5478"/>
      <c r="M608" s="5478"/>
      <c r="N608" s="5478"/>
      <c r="O608" s="5426"/>
      <c r="P608" s="5426"/>
      <c r="Q608" s="5426"/>
      <c r="R608" s="5426"/>
      <c r="S608" s="5426"/>
      <c r="T608" s="5426"/>
      <c r="U608" s="5428"/>
      <c r="V608" s="5428"/>
      <c r="W608" s="5428"/>
      <c r="X608" s="5428"/>
      <c r="Y608" s="5428"/>
    </row>
    <row r="609">
      <c r="A609" s="5431" t="s">
        <v>5745</v>
      </c>
      <c r="B609" s="5431">
        <v>46220</v>
      </c>
      <c r="C609" s="5431" t="str">
        <v>Friday</v>
      </c>
      <c r="D609" s="5438" t="s">
        <v>5746</v>
      </c>
      <c r="E609" s="5437">
        <f t="shared" si="99"/>
      </c>
      <c r="F609" s="5438"/>
      <c r="G609" s="5486" t="s">
        <v>5750</v>
      </c>
      <c r="H609" s="5437" t="s">
        <v>5299</v>
      </c>
      <c r="I609" s="5437" t="s">
        <v>5268</v>
      </c>
      <c r="J609" s="5437"/>
      <c r="K609" s="5478"/>
      <c r="L609" s="5478"/>
      <c r="M609" s="5478"/>
      <c r="N609" s="5478"/>
      <c r="O609" s="5426"/>
      <c r="P609" s="5426"/>
      <c r="Q609" s="5426"/>
      <c r="R609" s="5426"/>
      <c r="S609" s="5426"/>
      <c r="T609" s="5426"/>
      <c r="U609" s="5428"/>
      <c r="V609" s="5428"/>
      <c r="W609" s="5428"/>
      <c r="X609" s="5428"/>
      <c r="Y609" s="5428"/>
    </row>
    <row r="610">
      <c r="A610" s="5772" t="s">
        <v>5749</v>
      </c>
      <c r="B610" s="5772">
        <v>46220</v>
      </c>
      <c r="C610" s="5772" t="str">
        <v>Friday</v>
      </c>
      <c r="D610" s="5773" t="s">
        <v>5746</v>
      </c>
      <c r="E610" s="5773">
        <f t="shared" si="99"/>
      </c>
      <c r="F610" s="5773"/>
      <c r="G610" s="5774"/>
      <c r="H610" s="5773" t="s">
        <v>5299</v>
      </c>
      <c r="I610" s="5438" t="s">
        <v>5268</v>
      </c>
      <c r="J610" s="5773"/>
      <c r="K610" s="5478"/>
      <c r="L610" s="5478"/>
      <c r="M610" s="5478"/>
      <c r="N610" s="5478"/>
      <c r="O610" s="5426"/>
      <c r="P610" s="5426"/>
      <c r="Q610" s="5426"/>
      <c r="R610" s="5426"/>
      <c r="S610" s="5426"/>
      <c r="T610" s="5426"/>
      <c r="U610" s="5428"/>
      <c r="V610" s="5428"/>
      <c r="W610" s="5428"/>
      <c r="X610" s="5428"/>
      <c r="Y610" s="5428"/>
    </row>
    <row r="611">
      <c r="A611" s="5431" t="s">
        <v>5745</v>
      </c>
      <c r="B611" s="5431">
        <v>46221</v>
      </c>
      <c r="C611" s="5431" t="str">
        <v>Saturday</v>
      </c>
      <c r="D611" s="5438" t="s">
        <v>5746</v>
      </c>
      <c r="E611" s="5437">
        <f t="shared" si="99"/>
      </c>
      <c r="F611" s="5438"/>
      <c r="G611" s="5486" t="s">
        <v>5747</v>
      </c>
      <c r="H611" s="5437" t="s">
        <v>5299</v>
      </c>
      <c r="I611" s="5437" t="s">
        <v>5268</v>
      </c>
      <c r="J611" s="5437"/>
      <c r="K611" s="5478"/>
      <c r="L611" s="5478"/>
      <c r="M611" s="5478"/>
      <c r="N611" s="5478"/>
      <c r="O611" s="5426"/>
      <c r="P611" s="5426"/>
      <c r="Q611" s="5426"/>
      <c r="R611" s="5426"/>
      <c r="S611" s="5426"/>
      <c r="T611" s="5426"/>
      <c r="U611" s="5428"/>
      <c r="V611" s="5428"/>
      <c r="W611" s="5428"/>
      <c r="X611" s="5428"/>
      <c r="Y611" s="5428"/>
    </row>
    <row r="612">
      <c r="A612" s="5772" t="s">
        <v>5749</v>
      </c>
      <c r="B612" s="5772">
        <v>46221</v>
      </c>
      <c r="C612" s="5772" t="str">
        <v>Saturday</v>
      </c>
      <c r="D612" s="5773" t="s">
        <v>5746</v>
      </c>
      <c r="E612" s="5773">
        <f t="shared" si="99"/>
      </c>
      <c r="F612" s="5773"/>
      <c r="G612" s="5774"/>
      <c r="H612" s="5773" t="s">
        <v>5299</v>
      </c>
      <c r="I612" s="5437" t="s">
        <v>5268</v>
      </c>
      <c r="J612" s="5773"/>
      <c r="K612" s="5478"/>
      <c r="L612" s="5478"/>
      <c r="M612" s="5478"/>
      <c r="N612" s="5478"/>
      <c r="O612" s="5426"/>
      <c r="P612" s="5426"/>
      <c r="Q612" s="5426"/>
      <c r="R612" s="5426"/>
      <c r="S612" s="5426"/>
      <c r="T612" s="5426"/>
      <c r="U612" s="5428"/>
      <c r="V612" s="5428"/>
      <c r="W612" s="5428"/>
      <c r="X612" s="5428"/>
      <c r="Y612" s="5428"/>
    </row>
    <row r="613">
      <c r="A613" s="5431" t="s">
        <v>5745</v>
      </c>
      <c r="B613" s="5431">
        <v>46222</v>
      </c>
      <c r="C613" s="5431" t="str">
        <v>Sunday</v>
      </c>
      <c r="D613" s="5438" t="s">
        <v>5746</v>
      </c>
      <c r="E613" s="5437">
        <f t="shared" si="99"/>
      </c>
      <c r="F613" s="5438"/>
      <c r="G613" s="5486" t="s">
        <v>5747</v>
      </c>
      <c r="H613" s="5437" t="s">
        <v>5299</v>
      </c>
      <c r="I613" s="5437" t="s">
        <v>5291</v>
      </c>
      <c r="J613" s="5437"/>
      <c r="K613" s="5478"/>
      <c r="L613" s="5478"/>
      <c r="M613" s="5478"/>
      <c r="N613" s="5478"/>
      <c r="O613" s="5426"/>
      <c r="P613" s="5426"/>
      <c r="Q613" s="5426"/>
      <c r="R613" s="5426"/>
      <c r="S613" s="5426"/>
      <c r="T613" s="5426"/>
      <c r="U613" s="5428"/>
      <c r="V613" s="5428"/>
      <c r="W613" s="5428"/>
      <c r="X613" s="5428"/>
      <c r="Y613" s="5428"/>
    </row>
    <row r="614">
      <c r="A614" s="5772" t="s">
        <v>5749</v>
      </c>
      <c r="B614" s="5772">
        <v>46222</v>
      </c>
      <c r="C614" s="5772" t="str">
        <v>Sunday</v>
      </c>
      <c r="D614" s="5773" t="s">
        <v>5746</v>
      </c>
      <c r="E614" s="5773">
        <f t="shared" si="99"/>
      </c>
      <c r="F614" s="5773"/>
      <c r="G614" s="5774"/>
      <c r="H614" s="5773" t="s">
        <v>5299</v>
      </c>
      <c r="I614" s="5437" t="s">
        <v>5268</v>
      </c>
      <c r="J614" s="5773"/>
      <c r="K614" s="5478"/>
      <c r="L614" s="5478"/>
      <c r="M614" s="5478"/>
      <c r="N614" s="5478"/>
      <c r="O614" s="5426"/>
      <c r="P614" s="5426"/>
      <c r="Q614" s="5426"/>
      <c r="R614" s="5426"/>
      <c r="S614" s="5426"/>
      <c r="T614" s="5426"/>
      <c r="U614" s="5428"/>
      <c r="V614" s="5428"/>
      <c r="W614" s="5428"/>
      <c r="X614" s="5428"/>
      <c r="Y614" s="5428"/>
    </row>
    <row r="615">
      <c r="A615" s="5431"/>
      <c r="B615" s="5431"/>
      <c r="C615" s="5431"/>
      <c r="D615" s="5431"/>
      <c r="E615" s="5431"/>
      <c r="F615" s="5431"/>
      <c r="G615" s="5431"/>
      <c r="H615" s="5431"/>
      <c r="I615" s="5431"/>
      <c r="J615" s="5431"/>
      <c r="K615" s="5478"/>
      <c r="L615" s="5478"/>
      <c r="M615" s="5478"/>
      <c r="N615" s="5478"/>
      <c r="O615" s="5426"/>
      <c r="P615" s="5426"/>
      <c r="Q615" s="5426"/>
      <c r="R615" s="5426"/>
      <c r="S615" s="5426"/>
      <c r="T615" s="5426"/>
      <c r="U615" s="5428"/>
      <c r="V615" s="5428"/>
      <c r="W615" s="5428"/>
      <c r="X615" s="5428"/>
      <c r="Y615" s="5428"/>
    </row>
    <row r="616">
      <c r="A616" s="5431" t="s">
        <v>5751</v>
      </c>
      <c r="B616" s="5431">
        <v>46183</v>
      </c>
      <c r="C616" s="5431" t="str">
        <v>Wednesday</v>
      </c>
      <c r="D616" s="5437" t="s">
        <v>5526</v>
      </c>
      <c r="E616" s="5437">
        <f t="shared" ref="E616:E617" si="100">24*MOD(TIMEVALUE(TRIM(MID(D616,FIND("-",D616)+1,LEN(D616)))) - TIMEVALUE(TRIM(LEFT(D616,FIND("-",D616)-1))),1)</f>
      </c>
      <c r="F616" s="5437"/>
      <c r="G616" s="5486"/>
      <c r="H616" s="5437" t="s">
        <v>5299</v>
      </c>
      <c r="I616" s="5437" t="s">
        <v>5268</v>
      </c>
      <c r="J616" s="5437"/>
      <c r="K616" s="5478"/>
      <c r="L616" s="5478"/>
      <c r="M616" s="5478"/>
      <c r="N616" s="5478"/>
      <c r="O616" s="5426"/>
      <c r="P616" s="5426"/>
      <c r="Q616" s="5426"/>
      <c r="R616" s="5426"/>
      <c r="S616" s="5426"/>
      <c r="T616" s="5426"/>
      <c r="U616" s="5428"/>
      <c r="V616" s="5428"/>
      <c r="W616" s="5428"/>
      <c r="X616" s="5428"/>
      <c r="Y616" s="5428"/>
    </row>
    <row r="617">
      <c r="A617" s="5431" t="s">
        <v>5751</v>
      </c>
      <c r="B617" s="5431">
        <v>46180</v>
      </c>
      <c r="C617" s="5431" t="str">
        <v>Sunday</v>
      </c>
      <c r="D617" s="5437" t="s">
        <v>5333</v>
      </c>
      <c r="E617" s="5437">
        <f t="shared" si="100"/>
      </c>
      <c r="F617" s="5437"/>
      <c r="G617" s="5485"/>
      <c r="H617" s="5437" t="s">
        <v>5299</v>
      </c>
      <c r="I617" s="5437" t="s">
        <v>5291</v>
      </c>
      <c r="J617" s="5484"/>
      <c r="K617" s="5478"/>
      <c r="L617" s="5478"/>
      <c r="M617" s="5478"/>
      <c r="N617" s="5478"/>
      <c r="O617" s="5426"/>
      <c r="P617" s="5426"/>
      <c r="Q617" s="5426"/>
      <c r="R617" s="5426"/>
      <c r="S617" s="5426"/>
      <c r="T617" s="5426"/>
      <c r="U617" s="5428"/>
      <c r="V617" s="5428"/>
      <c r="W617" s="5428"/>
      <c r="X617" s="5428"/>
      <c r="Y617" s="5428"/>
    </row>
    <row r="618">
      <c r="A618" s="5428"/>
      <c r="B618" s="5428"/>
      <c r="C618" s="5428"/>
      <c r="D618" s="5428"/>
      <c r="E618" s="5428"/>
      <c r="F618" s="5428"/>
      <c r="G618" s="5428"/>
      <c r="H618" s="5428"/>
      <c r="I618" s="5428"/>
      <c r="J618" s="5428"/>
      <c r="K618" s="5428"/>
      <c r="L618" s="5428"/>
      <c r="M618" s="5428"/>
      <c r="N618" s="5428"/>
      <c r="O618" s="5428"/>
      <c r="P618" s="5428"/>
      <c r="Q618" s="5428"/>
      <c r="R618" s="5428"/>
      <c r="S618" s="5428"/>
      <c r="T618" s="5428"/>
      <c r="U618" s="5428"/>
      <c r="V618" s="5428"/>
      <c r="W618" s="5428"/>
      <c r="X618" s="5428"/>
      <c r="Y618" s="5428"/>
    </row>
    <row r="619">
      <c r="A619" s="5775" t="s">
        <v>5752</v>
      </c>
      <c r="B619" s="5775"/>
      <c r="C619" s="5775"/>
      <c r="D619" s="5775"/>
      <c r="E619" s="5775"/>
      <c r="F619" s="5775"/>
      <c r="G619" s="5775"/>
      <c r="H619" s="5775"/>
      <c r="I619" s="5775"/>
      <c r="J619" s="5775"/>
      <c r="K619" s="5478"/>
      <c r="L619" s="5478"/>
      <c r="M619" s="5478"/>
      <c r="N619" s="5478"/>
      <c r="O619" s="5426"/>
      <c r="P619" s="5426"/>
      <c r="Q619" s="5426"/>
      <c r="R619" s="5426"/>
      <c r="S619" s="5426"/>
      <c r="T619" s="5426"/>
      <c r="U619" s="5428"/>
      <c r="V619" s="5428"/>
      <c r="W619" s="5428"/>
      <c r="X619" s="5428"/>
      <c r="Y619" s="5428"/>
    </row>
    <row r="620">
      <c r="A620" s="5627" t="s">
        <v>5752</v>
      </c>
      <c r="B620" s="5628" t="s">
        <v>5278</v>
      </c>
      <c r="C620" s="5628"/>
      <c r="D620" s="5629" t="s">
        <v>5279</v>
      </c>
      <c r="E620" s="5629" t="s">
        <v>5280</v>
      </c>
      <c r="F620" s="5629" t="s">
        <v>5281</v>
      </c>
      <c r="G620" s="5630" t="s">
        <v>5294</v>
      </c>
      <c r="H620" s="5629" t="s">
        <v>5283</v>
      </c>
      <c r="I620" s="5629" t="s">
        <v>5284</v>
      </c>
      <c r="J620" s="5629" t="s">
        <v>5285</v>
      </c>
      <c r="K620" s="5478"/>
      <c r="L620" s="5478"/>
      <c r="M620" s="5478"/>
      <c r="N620" s="5478"/>
      <c r="O620" s="5426"/>
      <c r="P620" s="5426"/>
      <c r="Q620" s="5426"/>
      <c r="R620" s="5426"/>
      <c r="S620" s="5426"/>
      <c r="T620" s="5426"/>
      <c r="U620" s="5428"/>
      <c r="V620" s="5428"/>
      <c r="W620" s="5428"/>
      <c r="X620" s="5428"/>
      <c r="Y620" s="5428"/>
    </row>
    <row r="621">
      <c r="A621" s="5431" t="s">
        <v>5752</v>
      </c>
      <c r="B621" s="5431">
        <v>46231</v>
      </c>
      <c r="C621" s="5431" t="str">
        <v>Tuesday</v>
      </c>
      <c r="D621" s="5433" t="s">
        <v>5753</v>
      </c>
      <c r="E621" s="5773">
        <f t="shared" ref="E621:E625" si="101">24*MOD(TIMEVALUE(TRIM(MID(D621,FIND("-",D621)+1,LEN(D621)))) - TIMEVALUE(TRIM(LEFT(D621,FIND("-",D621)-1))),1)</f>
      </c>
      <c r="F621" s="5438" t="s">
        <v>5612</v>
      </c>
      <c r="G621" s="5456" t="s">
        <v>5754</v>
      </c>
      <c r="H621" s="5513" t="s">
        <v>5299</v>
      </c>
      <c r="I621" s="5513" t="s">
        <v>5268</v>
      </c>
      <c r="J621" s="5513"/>
      <c r="K621" s="5478"/>
      <c r="L621" s="5776"/>
      <c r="M621" s="5776"/>
      <c r="N621" s="5776"/>
      <c r="O621" s="5427"/>
      <c r="P621" s="5427"/>
      <c r="Q621" s="5427"/>
      <c r="R621" s="5427"/>
      <c r="S621" s="5427"/>
      <c r="T621" s="5427"/>
      <c r="U621" s="5427"/>
      <c r="V621" s="5427"/>
      <c r="W621" s="5427"/>
      <c r="X621" s="5427"/>
      <c r="Y621" s="5427"/>
    </row>
    <row r="622">
      <c r="A622" s="5777" t="s">
        <v>5755</v>
      </c>
      <c r="B622" s="5777">
        <v>46231</v>
      </c>
      <c r="C622" s="5777" t="str">
        <v>Tuesday</v>
      </c>
      <c r="D622" s="5778" t="s">
        <v>5315</v>
      </c>
      <c r="E622" s="5778">
        <f t="shared" si="101"/>
      </c>
      <c r="F622" s="5778" t="s">
        <v>5304</v>
      </c>
      <c r="G622" s="5779"/>
      <c r="H622" s="5778" t="s">
        <v>5299</v>
      </c>
      <c r="I622" s="5438" t="s">
        <v>5268</v>
      </c>
      <c r="J622" s="5778"/>
      <c r="K622" s="5478"/>
      <c r="L622" s="5776"/>
      <c r="M622" s="5776"/>
      <c r="N622" s="5776"/>
      <c r="O622" s="5427"/>
      <c r="P622" s="5427"/>
      <c r="Q622" s="5427"/>
      <c r="R622" s="5427"/>
      <c r="S622" s="5427"/>
      <c r="T622" s="5427"/>
      <c r="U622" s="5427"/>
      <c r="V622" s="5427"/>
      <c r="W622" s="5427"/>
      <c r="X622" s="5427"/>
      <c r="Y622" s="5427"/>
    </row>
    <row r="623">
      <c r="A623" s="5431" t="s">
        <v>5752</v>
      </c>
      <c r="B623" s="5431">
        <v>46232</v>
      </c>
      <c r="C623" s="5431" t="str">
        <v>Wednesday</v>
      </c>
      <c r="D623" s="5438" t="s">
        <v>5315</v>
      </c>
      <c r="E623" s="5437">
        <f t="shared" si="101"/>
      </c>
      <c r="F623" s="5438" t="s">
        <v>5367</v>
      </c>
      <c r="G623" s="5497" t="s">
        <v>5756</v>
      </c>
      <c r="H623" s="5438" t="s">
        <v>5299</v>
      </c>
      <c r="I623" s="5438" t="s">
        <v>5268</v>
      </c>
      <c r="J623" s="5437"/>
      <c r="K623" s="5478"/>
      <c r="L623" s="5776"/>
      <c r="M623" s="5776"/>
      <c r="N623" s="5776"/>
      <c r="O623" s="5427"/>
      <c r="P623" s="5427"/>
      <c r="Q623" s="5427"/>
      <c r="R623" s="5427"/>
      <c r="S623" s="5427"/>
      <c r="T623" s="5427"/>
      <c r="U623" s="5427"/>
      <c r="V623" s="5427"/>
      <c r="W623" s="5427"/>
      <c r="X623" s="5427"/>
      <c r="Y623" s="5427"/>
    </row>
    <row r="624">
      <c r="A624" s="5777" t="s">
        <v>5755</v>
      </c>
      <c r="B624" s="5777">
        <v>46232</v>
      </c>
      <c r="C624" s="5777" t="str">
        <v>Wednesday</v>
      </c>
      <c r="D624" s="5778" t="s">
        <v>5757</v>
      </c>
      <c r="E624" s="5778">
        <f t="shared" si="101"/>
      </c>
      <c r="F624" s="5778" t="s">
        <v>5645</v>
      </c>
      <c r="G624" s="5779"/>
      <c r="H624" s="5778" t="s">
        <v>5299</v>
      </c>
      <c r="I624" s="5778" t="s">
        <v>5268</v>
      </c>
      <c r="J624" s="5778"/>
      <c r="K624" s="5478"/>
      <c r="L624" s="5776"/>
      <c r="M624" s="5776"/>
      <c r="N624" s="5776"/>
      <c r="O624" s="5427"/>
      <c r="P624" s="5427"/>
      <c r="Q624" s="5427"/>
      <c r="R624" s="5427"/>
      <c r="S624" s="5427"/>
      <c r="T624" s="5427"/>
      <c r="U624" s="5427"/>
      <c r="V624" s="5427"/>
      <c r="W624" s="5427"/>
      <c r="X624" s="5427"/>
      <c r="Y624" s="5427"/>
    </row>
    <row r="625">
      <c r="A625" s="5431" t="s">
        <v>5752</v>
      </c>
      <c r="B625" s="5431">
        <v>46233</v>
      </c>
      <c r="C625" s="5431" t="str">
        <v>Thursday</v>
      </c>
      <c r="D625" s="5433" t="s">
        <v>5758</v>
      </c>
      <c r="E625" s="5437">
        <f t="shared" si="101"/>
      </c>
      <c r="F625" s="5438" t="s">
        <v>5759</v>
      </c>
      <c r="G625" s="5497" t="s">
        <v>5760</v>
      </c>
      <c r="H625" s="5438" t="s">
        <v>5299</v>
      </c>
      <c r="I625" s="5438" t="s">
        <v>5268</v>
      </c>
      <c r="J625" s="5437"/>
      <c r="K625" s="5478"/>
      <c r="L625" s="5776"/>
      <c r="M625" s="5776"/>
      <c r="N625" s="5776"/>
      <c r="O625" s="5427"/>
      <c r="P625" s="5427"/>
      <c r="Q625" s="5427"/>
      <c r="R625" s="5427"/>
      <c r="S625" s="5427"/>
      <c r="T625" s="5427"/>
      <c r="U625" s="5428"/>
      <c r="V625" s="5428"/>
      <c r="W625" s="5428"/>
      <c r="X625" s="5428"/>
      <c r="Y625" s="5428"/>
    </row>
    <row customHeight="true" ht="18.452380952380953" r="626">
      <c r="A626" s="5431" t="s">
        <v>5752</v>
      </c>
      <c r="B626" s="5431">
        <v>46233</v>
      </c>
      <c r="C626" s="5431" t="str">
        <v>Thursday</v>
      </c>
      <c r="D626" s="5433" t="s">
        <v>5753</v>
      </c>
      <c r="E626" s="5561">
        <v>2</v>
      </c>
      <c r="F626" s="5438" t="s">
        <v>5367</v>
      </c>
      <c r="G626" s="5497" t="s">
        <v>5303</v>
      </c>
      <c r="H626" s="5438"/>
      <c r="I626" s="5438" t="s">
        <v>5268</v>
      </c>
      <c r="J626" s="5437"/>
      <c r="K626" s="5478"/>
      <c r="L626" s="5776"/>
      <c r="M626" s="5776"/>
      <c r="N626" s="5776"/>
      <c r="O626" s="5427"/>
      <c r="P626" s="5427"/>
      <c r="Q626" s="5427"/>
      <c r="R626" s="5427"/>
      <c r="S626" s="5427"/>
      <c r="T626" s="5427"/>
      <c r="U626" s="5428"/>
      <c r="V626" s="5428"/>
      <c r="W626" s="5428"/>
      <c r="X626" s="5428"/>
      <c r="Y626" s="5428"/>
    </row>
    <row r="627">
      <c r="A627" s="5777" t="s">
        <v>5755</v>
      </c>
      <c r="B627" s="5777">
        <v>46233</v>
      </c>
      <c r="C627" s="5777" t="str">
        <v>Thursday</v>
      </c>
      <c r="D627" s="5780" t="s">
        <v>5491</v>
      </c>
      <c r="E627" s="5778">
        <f t="shared" ref="E627:E633" si="102">24*MOD(TIMEVALUE(TRIM(MID(D627,FIND("-",D627)+1,LEN(D627)))) - TIMEVALUE(TRIM(LEFT(D627,FIND("-",D627)-1))),1)</f>
      </c>
      <c r="F627" s="5781" t="s">
        <v>5512</v>
      </c>
      <c r="G627" s="5779"/>
      <c r="H627" s="5778" t="s">
        <v>5299</v>
      </c>
      <c r="I627" s="5778" t="s">
        <v>5268</v>
      </c>
      <c r="J627" s="5778"/>
      <c r="K627" s="5478"/>
      <c r="L627" s="5776"/>
      <c r="M627" s="5776"/>
      <c r="N627" s="5776"/>
      <c r="O627" s="5427"/>
      <c r="P627" s="5427"/>
      <c r="Q627" s="5427"/>
      <c r="R627" s="5427"/>
      <c r="S627" s="5427"/>
      <c r="T627" s="5427"/>
      <c r="U627" s="5428"/>
      <c r="V627" s="5428"/>
      <c r="W627" s="5428"/>
      <c r="X627" s="5428"/>
      <c r="Y627" s="5428"/>
    </row>
    <row customHeight="true" ht="18.452380952380953" r="628">
      <c r="A628" s="5777" t="s">
        <v>5755</v>
      </c>
      <c r="B628" s="5777">
        <v>46233</v>
      </c>
      <c r="C628" s="5777" t="str">
        <v>Thursday</v>
      </c>
      <c r="D628" s="5780" t="s">
        <v>5616</v>
      </c>
      <c r="E628" s="5778">
        <f t="shared" si="102"/>
      </c>
      <c r="F628" s="5778" t="s">
        <v>5304</v>
      </c>
      <c r="G628" s="5779"/>
      <c r="H628" s="5778"/>
      <c r="I628" s="5438" t="s">
        <v>5268</v>
      </c>
      <c r="J628" s="5778"/>
      <c r="K628" s="5478"/>
      <c r="L628" s="5776"/>
      <c r="M628" s="5776"/>
      <c r="N628" s="5776"/>
      <c r="O628" s="5427"/>
      <c r="P628" s="5427"/>
      <c r="Q628" s="5427"/>
      <c r="R628" s="5427"/>
      <c r="S628" s="5427"/>
      <c r="T628" s="5427"/>
      <c r="U628" s="5428"/>
      <c r="V628" s="5428"/>
      <c r="W628" s="5428"/>
      <c r="X628" s="5428"/>
      <c r="Y628" s="5428"/>
    </row>
    <row r="629">
      <c r="A629" s="5431" t="s">
        <v>5752</v>
      </c>
      <c r="B629" s="5431">
        <v>46234</v>
      </c>
      <c r="C629" s="5431" t="str">
        <v>Friday</v>
      </c>
      <c r="D629" s="5438" t="s">
        <v>5730</v>
      </c>
      <c r="E629" s="5437">
        <f t="shared" si="102"/>
      </c>
      <c r="F629" s="5438" t="s">
        <v>5612</v>
      </c>
      <c r="G629" s="5497" t="s">
        <v>5303</v>
      </c>
      <c r="H629" s="5778" t="s">
        <v>5299</v>
      </c>
      <c r="I629" s="5778" t="s">
        <v>5268</v>
      </c>
      <c r="J629" s="5778"/>
      <c r="K629" s="5478"/>
      <c r="L629" s="5776"/>
      <c r="M629" s="5776"/>
      <c r="N629" s="5776"/>
      <c r="O629" s="5427"/>
      <c r="P629" s="5427"/>
      <c r="Q629" s="5427"/>
      <c r="R629" s="5427"/>
      <c r="S629" s="5427"/>
      <c r="T629" s="5427"/>
      <c r="U629" s="5428"/>
      <c r="V629" s="5428"/>
      <c r="W629" s="5428"/>
      <c r="X629" s="5428"/>
      <c r="Y629" s="5428"/>
    </row>
    <row r="630">
      <c r="A630" s="5777" t="s">
        <v>5755</v>
      </c>
      <c r="B630" s="5777">
        <v>46234</v>
      </c>
      <c r="C630" s="5777" t="str">
        <v>Friday</v>
      </c>
      <c r="D630" s="5778" t="s">
        <v>5730</v>
      </c>
      <c r="E630" s="5778">
        <f t="shared" si="102"/>
      </c>
      <c r="F630" s="5778" t="s">
        <v>5304</v>
      </c>
      <c r="G630" s="5779"/>
      <c r="H630" s="5438" t="s">
        <v>5299</v>
      </c>
      <c r="I630" s="5438" t="s">
        <v>5268</v>
      </c>
      <c r="J630" s="5437"/>
      <c r="K630" s="5478"/>
      <c r="L630" s="5776"/>
      <c r="M630" s="5776"/>
      <c r="N630" s="5776"/>
      <c r="O630" s="5427"/>
      <c r="P630" s="5427"/>
      <c r="Q630" s="5427"/>
      <c r="R630" s="5427"/>
      <c r="S630" s="5427"/>
      <c r="T630" s="5427"/>
      <c r="U630" s="5428"/>
      <c r="V630" s="5428"/>
      <c r="W630" s="5428"/>
      <c r="X630" s="5428"/>
      <c r="Y630" s="5428"/>
    </row>
    <row r="631">
      <c r="A631" s="5431" t="s">
        <v>5752</v>
      </c>
      <c r="B631" s="5431">
        <v>46235</v>
      </c>
      <c r="C631" s="5431" t="str">
        <v>Saturday</v>
      </c>
      <c r="D631" s="5433" t="s">
        <v>5757</v>
      </c>
      <c r="E631" s="5437">
        <f t="shared" si="102"/>
      </c>
      <c r="F631" s="5438" t="s">
        <v>5612</v>
      </c>
      <c r="G631" s="5497" t="s">
        <v>5761</v>
      </c>
      <c r="H631" s="5778" t="s">
        <v>5299</v>
      </c>
      <c r="I631" s="5778" t="s">
        <v>5268</v>
      </c>
      <c r="J631" s="5778"/>
      <c r="K631" s="5478"/>
      <c r="L631" s="5776"/>
      <c r="M631" s="5776"/>
      <c r="N631" s="5776"/>
      <c r="O631" s="5427"/>
      <c r="P631" s="5427"/>
      <c r="Q631" s="5427"/>
      <c r="R631" s="5427"/>
      <c r="S631" s="5427"/>
      <c r="T631" s="5427"/>
      <c r="U631" s="5428"/>
      <c r="V631" s="5428"/>
      <c r="W631" s="5428"/>
      <c r="X631" s="5428"/>
      <c r="Y631" s="5428"/>
    </row>
    <row r="632">
      <c r="A632" s="5777" t="s">
        <v>5755</v>
      </c>
      <c r="B632" s="5777">
        <v>46235</v>
      </c>
      <c r="C632" s="5777" t="str">
        <v>Saturday</v>
      </c>
      <c r="D632" s="5780" t="s">
        <v>5757</v>
      </c>
      <c r="E632" s="5778">
        <f t="shared" si="102"/>
      </c>
      <c r="F632" s="5782" t="s">
        <v>5738</v>
      </c>
      <c r="G632" s="5779"/>
      <c r="H632" s="5778" t="s">
        <v>5299</v>
      </c>
      <c r="I632" s="5778" t="s">
        <v>5268</v>
      </c>
      <c r="J632" s="5778"/>
      <c r="K632" s="5478"/>
      <c r="L632" s="5776"/>
      <c r="M632" s="5776"/>
      <c r="N632" s="5776"/>
      <c r="O632" s="5427"/>
      <c r="P632" s="5427"/>
      <c r="Q632" s="5427"/>
      <c r="R632" s="5427"/>
      <c r="S632" s="5427"/>
      <c r="T632" s="5427"/>
      <c r="U632" s="5428"/>
      <c r="V632" s="5428"/>
      <c r="W632" s="5428"/>
      <c r="X632" s="5428"/>
      <c r="Y632" s="5428"/>
    </row>
    <row r="633">
      <c r="A633" s="5431" t="s">
        <v>5752</v>
      </c>
      <c r="B633" s="5431">
        <v>46236</v>
      </c>
      <c r="C633" s="5431" t="str">
        <v>Sunday</v>
      </c>
      <c r="D633" s="5433" t="s">
        <v>5340</v>
      </c>
      <c r="E633" s="5437">
        <f t="shared" si="102"/>
      </c>
      <c r="F633" s="5438" t="s">
        <v>5367</v>
      </c>
      <c r="G633" s="5497" t="s">
        <v>5303</v>
      </c>
      <c r="H633" s="5778" t="s">
        <v>5299</v>
      </c>
      <c r="I633" s="5778" t="s">
        <v>5268</v>
      </c>
      <c r="J633" s="5778"/>
      <c r="K633" s="5478"/>
      <c r="L633" s="5776"/>
      <c r="M633" s="5776"/>
      <c r="N633" s="5776"/>
      <c r="O633" s="5427"/>
      <c r="P633" s="5427"/>
      <c r="Q633" s="5427"/>
      <c r="R633" s="5427"/>
      <c r="S633" s="5427"/>
      <c r="T633" s="5427"/>
      <c r="U633" s="5428"/>
      <c r="V633" s="5428"/>
      <c r="W633" s="5428"/>
      <c r="X633" s="5428"/>
      <c r="Y633" s="5428"/>
    </row>
    <row customHeight="true" ht="18.452380952380953" r="634">
      <c r="A634" s="5491" t="s">
        <v>5752</v>
      </c>
      <c r="B634" s="5536">
        <v>46236</v>
      </c>
      <c r="C634" s="5491" t="str">
        <v>Sunday</v>
      </c>
      <c r="D634" s="5605" t="s">
        <v>5446</v>
      </c>
      <c r="E634" s="5605">
        <v>2</v>
      </c>
      <c r="F634" s="5494" t="s">
        <v>5759</v>
      </c>
      <c r="G634" s="5601" t="s">
        <v>5303</v>
      </c>
      <c r="H634" s="5494" t="s">
        <v>5299</v>
      </c>
      <c r="I634" s="5513" t="s">
        <v>5268</v>
      </c>
      <c r="J634" s="5652" t="s">
        <v>5762</v>
      </c>
      <c r="K634" s="5478"/>
      <c r="L634" s="5776"/>
      <c r="M634" s="5776"/>
      <c r="N634" s="5776"/>
      <c r="O634" s="5427"/>
      <c r="P634" s="5427"/>
      <c r="Q634" s="5427"/>
      <c r="R634" s="5427"/>
      <c r="S634" s="5427"/>
      <c r="T634" s="5427"/>
      <c r="U634" s="5428"/>
      <c r="V634" s="5428"/>
      <c r="W634" s="5428"/>
      <c r="X634" s="5428"/>
      <c r="Y634" s="5428"/>
    </row>
    <row r="635">
      <c r="A635" s="5777" t="s">
        <v>5755</v>
      </c>
      <c r="B635" s="5777">
        <v>46236</v>
      </c>
      <c r="C635" s="5777" t="str">
        <v>Sunday</v>
      </c>
      <c r="D635" s="5780" t="s">
        <v>5763</v>
      </c>
      <c r="E635" s="5778">
        <f t="shared" ref="E635:E636" si="103">24*MOD(TIMEVALUE(TRIM(MID(D635,FIND("-",D635)+1,LEN(D635)))) - TIMEVALUE(TRIM(LEFT(D635,FIND("-",D635)-1))),1)</f>
      </c>
      <c r="F635" s="5778" t="s">
        <v>5304</v>
      </c>
      <c r="G635" s="5779"/>
      <c r="H635" s="5438"/>
      <c r="I635" s="5438" t="s">
        <v>5268</v>
      </c>
      <c r="J635" s="5438"/>
      <c r="K635" s="5478"/>
      <c r="L635" s="5776"/>
      <c r="M635" s="5776"/>
      <c r="N635" s="5776"/>
      <c r="O635" s="5427"/>
      <c r="P635" s="5427"/>
      <c r="Q635" s="5427"/>
      <c r="R635" s="5427"/>
      <c r="S635" s="5427"/>
      <c r="T635" s="5427"/>
      <c r="U635" s="5428"/>
      <c r="V635" s="5428"/>
      <c r="W635" s="5428"/>
      <c r="X635" s="5428"/>
      <c r="Y635" s="5428"/>
    </row>
    <row r="636">
      <c r="A636" s="5783" t="s">
        <v>5764</v>
      </c>
      <c r="B636" s="5784">
        <v>46232</v>
      </c>
      <c r="C636" s="5783" t="str">
        <v>Wednesday</v>
      </c>
      <c r="D636" s="5785" t="s">
        <v>5636</v>
      </c>
      <c r="E636" s="5786">
        <f t="shared" si="103"/>
      </c>
      <c r="F636" s="5781" t="s">
        <v>5512</v>
      </c>
      <c r="G636" s="5456" t="s">
        <v>5765</v>
      </c>
      <c r="H636" s="5438"/>
      <c r="I636" s="5437" t="s">
        <v>5268</v>
      </c>
      <c r="J636" s="5438"/>
      <c r="K636" s="5428"/>
      <c r="L636" s="5428"/>
      <c r="M636" s="5428"/>
      <c r="N636" s="5428"/>
      <c r="O636" s="5428"/>
      <c r="P636" s="5428"/>
      <c r="Q636" s="5428"/>
      <c r="R636" s="5428"/>
      <c r="S636" s="5428"/>
      <c r="T636" s="5428"/>
      <c r="U636" s="5428"/>
      <c r="V636" s="5428"/>
      <c r="W636" s="5428"/>
      <c r="X636" s="5428"/>
      <c r="Y636" s="5428"/>
    </row>
    <row r="637">
      <c r="A637" s="5783" t="s">
        <v>5764</v>
      </c>
      <c r="B637" s="5431">
        <v>46233</v>
      </c>
      <c r="C637" s="5432" t="s">
        <v>5766</v>
      </c>
      <c r="D637" s="5561" t="s">
        <v>5527</v>
      </c>
      <c r="E637" s="5561">
        <v>1</v>
      </c>
      <c r="F637" s="5438"/>
      <c r="G637" s="5467"/>
      <c r="H637" s="5438"/>
      <c r="I637" s="5437"/>
      <c r="J637" s="5438"/>
      <c r="K637" s="5428"/>
      <c r="L637" s="5428"/>
      <c r="M637" s="5428"/>
      <c r="N637" s="5428"/>
      <c r="O637" s="5428"/>
      <c r="P637" s="5428"/>
      <c r="Q637" s="5428"/>
      <c r="R637" s="5428"/>
      <c r="S637" s="5428"/>
      <c r="T637" s="5428"/>
      <c r="U637" s="5428"/>
      <c r="V637" s="5428"/>
      <c r="W637" s="5428"/>
      <c r="X637" s="5428"/>
      <c r="Y637" s="5428"/>
    </row>
    <row r="638">
      <c r="A638" s="5787" t="s">
        <v>5767</v>
      </c>
      <c r="B638" s="5787"/>
      <c r="C638" s="5787"/>
      <c r="D638" s="5787"/>
      <c r="E638" s="5787"/>
      <c r="F638" s="5787"/>
      <c r="G638" s="5787"/>
      <c r="H638" s="5787"/>
      <c r="I638" s="5787"/>
      <c r="J638" s="5787"/>
      <c r="K638" s="5428"/>
      <c r="L638" s="5428"/>
      <c r="M638" s="5428"/>
      <c r="N638" s="5428"/>
      <c r="O638" s="5428"/>
      <c r="P638" s="5428"/>
      <c r="Q638" s="5428"/>
      <c r="R638" s="5428"/>
      <c r="S638" s="5428"/>
      <c r="T638" s="5428"/>
      <c r="U638" s="5428"/>
      <c r="V638" s="5428"/>
      <c r="W638" s="5428"/>
      <c r="X638" s="5428"/>
      <c r="Y638" s="5428"/>
    </row>
    <row r="639">
      <c r="A639" s="5649" t="s">
        <v>5767</v>
      </c>
      <c r="B639" s="5594" t="s">
        <v>5278</v>
      </c>
      <c r="C639" s="5594"/>
      <c r="D639" s="5599" t="s">
        <v>5279</v>
      </c>
      <c r="E639" s="5599" t="s">
        <v>5280</v>
      </c>
      <c r="F639" s="5599" t="s">
        <v>5281</v>
      </c>
      <c r="G639" s="5650" t="s">
        <v>5294</v>
      </c>
      <c r="H639" s="5599" t="s">
        <v>5283</v>
      </c>
      <c r="I639" s="5599" t="s">
        <v>5284</v>
      </c>
      <c r="J639" s="5599" t="s">
        <v>5285</v>
      </c>
      <c r="K639" s="5428"/>
      <c r="L639" s="5428"/>
      <c r="M639" s="5428"/>
      <c r="N639" s="5428"/>
      <c r="O639" s="5428"/>
      <c r="P639" s="5428"/>
      <c r="Q639" s="5428"/>
      <c r="R639" s="5428"/>
      <c r="S639" s="5428"/>
      <c r="T639" s="5428"/>
      <c r="U639" s="5428"/>
      <c r="V639" s="5428"/>
      <c r="W639" s="5428"/>
      <c r="X639" s="5428"/>
      <c r="Y639" s="5428"/>
    </row>
    <row r="640">
      <c r="A640" s="5788" t="s">
        <v>5767</v>
      </c>
      <c r="B640" s="5491">
        <v>46232</v>
      </c>
      <c r="C640" s="5491" t="s">
        <v>5768</v>
      </c>
      <c r="D640" s="5605" t="s">
        <v>5520</v>
      </c>
      <c r="E640" s="5494">
        <f t="shared" ref="E640:E643" si="104">24*MOD(TIMEVALUE(TRIM(MID(D640,FIND("-",D640)+1,LEN(D640)))) - TIMEVALUE(TRIM(LEFT(D640,FIND("-",D640)-1))),1)</f>
      </c>
      <c r="F640" s="5494" t="s">
        <v>5458</v>
      </c>
      <c r="G640" s="5639" t="s">
        <v>5765</v>
      </c>
      <c r="H640" s="5494" t="s">
        <v>5299</v>
      </c>
      <c r="I640" s="5494" t="s">
        <v>5268</v>
      </c>
      <c r="J640" s="5433"/>
      <c r="K640" s="5428"/>
      <c r="L640" s="5428"/>
      <c r="M640" s="5428"/>
      <c r="N640" s="5428"/>
      <c r="O640" s="5428"/>
      <c r="P640" s="5428"/>
      <c r="Q640" s="5428"/>
      <c r="R640" s="5428"/>
      <c r="S640" s="5428"/>
      <c r="T640" s="5428"/>
      <c r="U640" s="5428"/>
      <c r="V640" s="5428"/>
      <c r="W640" s="5428"/>
      <c r="X640" s="5428"/>
      <c r="Y640" s="5428"/>
    </row>
    <row r="641">
      <c r="A641" s="5788" t="s">
        <v>5767</v>
      </c>
      <c r="B641" s="5789">
        <v>46233</v>
      </c>
      <c r="C641" s="5491" t="s">
        <v>5766</v>
      </c>
      <c r="D641" s="5605" t="s">
        <v>5331</v>
      </c>
      <c r="E641" s="5494">
        <f t="shared" si="104"/>
      </c>
      <c r="F641" s="5494" t="s">
        <v>5759</v>
      </c>
      <c r="G641" s="5601" t="s">
        <v>5756</v>
      </c>
      <c r="H641" s="5603" t="s">
        <v>5299</v>
      </c>
      <c r="I641" s="5494" t="s">
        <v>5268</v>
      </c>
      <c r="J641" s="5433" t="s">
        <v>5769</v>
      </c>
      <c r="K641" s="5428"/>
      <c r="L641" s="5428"/>
      <c r="M641" s="5428"/>
      <c r="N641" s="5428"/>
      <c r="O641" s="5428"/>
      <c r="P641" s="5428"/>
      <c r="Q641" s="5428"/>
      <c r="R641" s="5428"/>
      <c r="S641" s="5428"/>
      <c r="T641" s="5428"/>
      <c r="U641" s="5428"/>
      <c r="V641" s="5428"/>
      <c r="W641" s="5428"/>
      <c r="X641" s="5428"/>
      <c r="Y641" s="5428"/>
    </row>
    <row customHeight="true" ht="18.452380952380953" r="642">
      <c r="A642" s="5788" t="s">
        <v>5770</v>
      </c>
      <c r="B642" s="5789">
        <v>46233</v>
      </c>
      <c r="C642" s="5491" t="s">
        <v>5766</v>
      </c>
      <c r="D642" s="5605" t="s">
        <v>5771</v>
      </c>
      <c r="E642" s="5494">
        <f t="shared" si="104"/>
      </c>
      <c r="F642" s="5494" t="s">
        <v>5645</v>
      </c>
      <c r="G642" s="5639"/>
      <c r="H642" s="5494" t="s">
        <v>5299</v>
      </c>
      <c r="I642" s="5494" t="s">
        <v>5268</v>
      </c>
      <c r="J642" s="5433" t="s">
        <v>5769</v>
      </c>
      <c r="K642" s="5428"/>
      <c r="L642" s="5428"/>
      <c r="M642" s="5428"/>
      <c r="N642" s="5428"/>
      <c r="O642" s="5428"/>
      <c r="P642" s="5428"/>
      <c r="Q642" s="5428"/>
      <c r="R642" s="5428"/>
      <c r="S642" s="5428"/>
      <c r="T642" s="5428"/>
      <c r="U642" s="5428"/>
      <c r="V642" s="5428"/>
      <c r="W642" s="5428"/>
      <c r="X642" s="5428"/>
      <c r="Y642" s="5428"/>
    </row>
    <row r="643">
      <c r="A643" s="5790" t="s">
        <v>5767</v>
      </c>
      <c r="B643" s="5511">
        <v>46234</v>
      </c>
      <c r="C643" s="5511" t="s">
        <v>5274</v>
      </c>
      <c r="D643" s="5652" t="s">
        <v>5330</v>
      </c>
      <c r="E643" s="5513">
        <f t="shared" si="104"/>
      </c>
      <c r="F643" s="5657" t="s">
        <v>5720</v>
      </c>
      <c r="G643" s="5525" t="s">
        <v>5504</v>
      </c>
      <c r="H643" s="5513" t="s">
        <v>5299</v>
      </c>
      <c r="I643" s="5513" t="s">
        <v>5268</v>
      </c>
      <c r="J643" s="5433"/>
      <c r="K643" s="5428"/>
      <c r="L643" s="5428"/>
      <c r="M643" s="5428"/>
      <c r="N643" s="5428"/>
      <c r="O643" s="5428"/>
      <c r="P643" s="5428"/>
      <c r="Q643" s="5428"/>
      <c r="R643" s="5428"/>
      <c r="S643" s="5428"/>
      <c r="T643" s="5428"/>
      <c r="U643" s="5428"/>
      <c r="V643" s="5428"/>
      <c r="W643" s="5428"/>
      <c r="X643" s="5428"/>
      <c r="Y643" s="5428"/>
    </row>
    <row customHeight="true" ht="18.452380952380953" r="644">
      <c r="A644" s="5790" t="s">
        <v>5767</v>
      </c>
      <c r="B644" s="5511">
        <v>46234</v>
      </c>
      <c r="C644" s="5511" t="s">
        <v>5274</v>
      </c>
      <c r="D644" s="5652" t="s">
        <v>5319</v>
      </c>
      <c r="E644" s="5652">
        <v>1</v>
      </c>
      <c r="F644" s="5657" t="s">
        <v>5458</v>
      </c>
      <c r="G644" s="5525" t="s">
        <v>5772</v>
      </c>
      <c r="H644" s="5513"/>
      <c r="I644" s="5513"/>
      <c r="J644" s="5433"/>
      <c r="K644" s="5428"/>
      <c r="L644" s="5428"/>
      <c r="M644" s="5428"/>
      <c r="N644" s="5428"/>
      <c r="O644" s="5428"/>
      <c r="P644" s="5428"/>
      <c r="Q644" s="5428"/>
      <c r="R644" s="5428"/>
      <c r="S644" s="5428"/>
      <c r="T644" s="5428"/>
      <c r="U644" s="5428"/>
      <c r="V644" s="5428"/>
      <c r="W644" s="5428"/>
      <c r="X644" s="5428"/>
      <c r="Y644" s="5428"/>
    </row>
    <row customHeight="true" ht="18.452380952380953" r="645">
      <c r="A645" s="5791" t="s">
        <v>5770</v>
      </c>
      <c r="B645" s="5672">
        <v>46234</v>
      </c>
      <c r="C645" s="5672" t="s">
        <v>5274</v>
      </c>
      <c r="D645" s="5673" t="s">
        <v>5773</v>
      </c>
      <c r="E645" s="5677">
        <f t="shared" ref="E645:E652" si="105">24*MOD(TIMEVALUE(TRIM(MID(D645,FIND("-",D645)+1,LEN(D645)))) - TIMEVALUE(TRIM(LEFT(D645,FIND("-",D645)-1))),1)</f>
      </c>
      <c r="F645" s="5674" t="s">
        <v>5308</v>
      </c>
      <c r="G645" s="5792"/>
      <c r="H645" s="5677"/>
      <c r="I645" s="5677" t="s">
        <v>5268</v>
      </c>
      <c r="J645" s="5677"/>
      <c r="K645" s="5428"/>
      <c r="L645" s="5428"/>
      <c r="M645" s="5428"/>
      <c r="N645" s="5428"/>
      <c r="O645" s="5428"/>
      <c r="P645" s="5428"/>
      <c r="Q645" s="5428"/>
      <c r="R645" s="5428"/>
      <c r="S645" s="5428"/>
      <c r="T645" s="5428"/>
      <c r="U645" s="5428"/>
      <c r="V645" s="5428"/>
      <c r="W645" s="5428"/>
      <c r="X645" s="5428"/>
      <c r="Y645" s="5428"/>
    </row>
    <row r="646">
      <c r="A646" s="5793" t="s">
        <v>5767</v>
      </c>
      <c r="B646" s="5431">
        <v>46235</v>
      </c>
      <c r="C646" s="5431" t="s">
        <v>5774</v>
      </c>
      <c r="D646" s="5561" t="s">
        <v>5775</v>
      </c>
      <c r="E646" s="5513">
        <f t="shared" si="105"/>
      </c>
      <c r="F646" s="5438" t="s">
        <v>5577</v>
      </c>
      <c r="G646" s="5456" t="s">
        <v>5776</v>
      </c>
      <c r="H646" s="5438" t="s">
        <v>5299</v>
      </c>
      <c r="I646" s="5437" t="s">
        <v>5268</v>
      </c>
      <c r="J646" s="5438"/>
      <c r="K646" s="5428"/>
      <c r="L646" s="5428"/>
      <c r="M646" s="5428"/>
      <c r="N646" s="5428"/>
      <c r="O646" s="5428"/>
      <c r="P646" s="5428"/>
      <c r="Q646" s="5428"/>
      <c r="R646" s="5428"/>
      <c r="S646" s="5428"/>
      <c r="T646" s="5428"/>
      <c r="U646" s="5428"/>
      <c r="V646" s="5428"/>
      <c r="W646" s="5428"/>
      <c r="X646" s="5428"/>
      <c r="Y646" s="5428"/>
    </row>
    <row r="647">
      <c r="A647" s="5788" t="s">
        <v>5770</v>
      </c>
      <c r="B647" s="5491">
        <v>46235</v>
      </c>
      <c r="C647" s="5491" t="s">
        <v>5774</v>
      </c>
      <c r="D647" s="5794" t="s">
        <v>5777</v>
      </c>
      <c r="E647" s="5494">
        <f t="shared" si="105"/>
      </c>
      <c r="F647" s="5552" t="s">
        <v>5360</v>
      </c>
      <c r="G647" s="5639"/>
      <c r="H647" s="5494"/>
      <c r="I647" s="5494"/>
      <c r="J647" s="5664" t="s">
        <v>5778</v>
      </c>
      <c r="K647" s="5428"/>
      <c r="L647" s="5428"/>
      <c r="M647" s="5428"/>
      <c r="N647" s="5428"/>
      <c r="O647" s="5428"/>
      <c r="P647" s="5428"/>
      <c r="Q647" s="5428"/>
      <c r="R647" s="5428"/>
      <c r="S647" s="5428"/>
      <c r="T647" s="5428"/>
      <c r="U647" s="5428"/>
      <c r="V647" s="5428"/>
      <c r="W647" s="5428"/>
      <c r="X647" s="5428"/>
      <c r="Y647" s="5428"/>
    </row>
    <row r="648">
      <c r="A648" s="5793" t="s">
        <v>5767</v>
      </c>
      <c r="B648" s="5431">
        <v>46236</v>
      </c>
      <c r="C648" s="5431" t="s">
        <v>5615</v>
      </c>
      <c r="D648" s="5561" t="s">
        <v>5330</v>
      </c>
      <c r="E648" s="5513">
        <f t="shared" si="105"/>
      </c>
      <c r="F648" s="5438" t="s">
        <v>5367</v>
      </c>
      <c r="G648" s="5456" t="s">
        <v>5765</v>
      </c>
      <c r="H648" s="5617" t="s">
        <v>5299</v>
      </c>
      <c r="I648" s="5437" t="s">
        <v>5268</v>
      </c>
      <c r="J648" s="5438"/>
      <c r="K648" s="5428"/>
      <c r="L648" s="5428"/>
      <c r="M648" s="5428"/>
      <c r="N648" s="5428"/>
      <c r="O648" s="5428"/>
      <c r="P648" s="5428"/>
      <c r="Q648" s="5428"/>
      <c r="R648" s="5428"/>
      <c r="S648" s="5428"/>
      <c r="T648" s="5428"/>
      <c r="U648" s="5428"/>
      <c r="V648" s="5428"/>
      <c r="W648" s="5428"/>
      <c r="X648" s="5428"/>
      <c r="Y648" s="5428"/>
    </row>
    <row r="649">
      <c r="A649" s="5793" t="s">
        <v>5779</v>
      </c>
      <c r="B649" s="5431">
        <v>46232</v>
      </c>
      <c r="C649" s="5431" t="s">
        <v>5768</v>
      </c>
      <c r="D649" s="5561" t="s">
        <v>5310</v>
      </c>
      <c r="E649" s="5513">
        <f t="shared" si="105"/>
      </c>
      <c r="F649" s="5438" t="s">
        <v>5577</v>
      </c>
      <c r="G649" s="5456" t="s">
        <v>5765</v>
      </c>
      <c r="H649" s="5438" t="s">
        <v>5299</v>
      </c>
      <c r="I649" s="5437" t="s">
        <v>5268</v>
      </c>
      <c r="J649" s="5438"/>
    </row>
    <row r="650">
      <c r="A650" s="5793" t="s">
        <v>5779</v>
      </c>
      <c r="B650" s="5431">
        <v>46232</v>
      </c>
      <c r="C650" s="5431" t="s">
        <v>5768</v>
      </c>
      <c r="D650" s="5561" t="s">
        <v>5604</v>
      </c>
      <c r="E650" s="5513">
        <f t="shared" si="105"/>
      </c>
      <c r="F650" s="5438" t="s">
        <v>5759</v>
      </c>
      <c r="G650" s="5467" t="s">
        <v>5765</v>
      </c>
      <c r="H650" s="5617" t="s">
        <v>5299</v>
      </c>
      <c r="I650" s="5437" t="s">
        <v>5268</v>
      </c>
      <c r="J650" s="5438"/>
    </row>
    <row r="651">
      <c r="A651" s="5793" t="s">
        <v>5779</v>
      </c>
      <c r="B651" s="5795">
        <v>46232</v>
      </c>
      <c r="C651" s="5432" t="s">
        <v>5768</v>
      </c>
      <c r="D651" s="5561" t="s">
        <v>5310</v>
      </c>
      <c r="E651" s="5513">
        <f t="shared" si="105"/>
      </c>
      <c r="F651" s="5438" t="s">
        <v>5720</v>
      </c>
      <c r="G651" s="5467" t="s">
        <v>5765</v>
      </c>
      <c r="H651" s="5438" t="s">
        <v>5299</v>
      </c>
      <c r="I651" s="5437" t="s">
        <v>5268</v>
      </c>
      <c r="J651" s="5438"/>
    </row>
    <row r="652">
      <c r="A652" s="5793" t="s">
        <v>5779</v>
      </c>
      <c r="B652" s="5795">
        <v>46232</v>
      </c>
      <c r="C652" s="5656" t="s">
        <v>5768</v>
      </c>
      <c r="D652" s="5561" t="s">
        <v>5310</v>
      </c>
      <c r="E652" s="5513">
        <f t="shared" si="105"/>
      </c>
      <c r="F652" s="5435" t="s">
        <v>5271</v>
      </c>
      <c r="G652" s="5467" t="s">
        <v>5765</v>
      </c>
    </row>
    <row r="653">
      <c r="A653" s="5793" t="s">
        <v>5779</v>
      </c>
      <c r="B653" s="5795">
        <v>46235</v>
      </c>
      <c r="C653" s="5511" t="str">
        <v>Saturday</v>
      </c>
      <c r="D653" s="5796" t="s">
        <v>5565</v>
      </c>
      <c r="E653" s="5652">
        <v>1</v>
      </c>
      <c r="F653" s="5438" t="s">
        <v>5367</v>
      </c>
      <c r="G653" s="5467" t="s">
        <v>5765</v>
      </c>
    </row>
    <row customHeight="true" ht="18.452380952380953" r="654">
      <c r="A654" s="5793" t="s">
        <v>5779</v>
      </c>
      <c r="B654" s="5795" t="s">
        <v>5780</v>
      </c>
      <c r="C654" s="5656" t="s">
        <v>5774</v>
      </c>
      <c r="D654" s="5796" t="s">
        <v>5604</v>
      </c>
      <c r="E654" s="5652">
        <v>1</v>
      </c>
      <c r="F654" s="5513" t="s">
        <v>5458</v>
      </c>
      <c r="G654" s="5456" t="s">
        <v>5765</v>
      </c>
    </row>
    <row r="655">
      <c r="E655" s="5513"/>
    </row>
    <row r="656">
      <c r="E656" s="5513"/>
    </row>
    <row r="657">
      <c r="E657" s="5513"/>
    </row>
    <row r="658">
      <c r="E658" s="5513"/>
    </row>
  </sheetData>
  <autoFilter ref="A1:Y662"/>
  <mergeCells>
    <mergeCell ref="B108:C108"/>
    <mergeCell ref="A107:F107"/>
    <mergeCell ref="B11:C11"/>
    <mergeCell ref="A10:J10"/>
    <mergeCell ref="A17:J17"/>
    <mergeCell ref="A18:I18"/>
    <mergeCell ref="B19:C19"/>
    <mergeCell ref="A85:F85"/>
    <mergeCell ref="B86:C86"/>
    <mergeCell ref="A66:F66"/>
    <mergeCell ref="B67:C67"/>
    <mergeCell ref="A2:J2"/>
    <mergeCell ref="A3:J3"/>
    <mergeCell ref="B127:C127"/>
    <mergeCell ref="J114:J118"/>
    <mergeCell ref="J120:J124"/>
  </mergeCells>
  <dataValidations count="4">
    <dataValidation allowBlank="true" errorStyle="stop" showErrorMessage="true" sqref="H4:H9 H12:H15 H20:H63 H68:H75 H77:H83 H87:H87 H89:H96 H98:H105 H109:H112 H114:H118 H120:H124 H128:H156 H159:H170 H174:H186 H189:H201 H207:H225 H230:H252 H254:H286 H290:H310 H314:H331 H335:H352 H357:H409 H413:H416 H432:H432 H434:H436 H438:H442 H446:H451 H463:H492 H495:H540 H543:H543 H545:H548 H554:H570 H574:H599" type="list">
      <formula1>"8461 Higuera Street,3619 Eastham Drive"</formula1>
    </dataValidation>
    <dataValidation allowBlank="true" errorStyle="stop" showErrorMessage="true" sqref="I128:I156 I159:I170 I174:I186 I189:I201 I456:I460 I545:I547 J545:J547 K545:K545" type="list">
      <formula1>"PENDING,YES"</formula1>
    </dataValidation>
    <dataValidation allowBlank="true" errorStyle="stop" showErrorMessage="true" sqref="I4:I9 I12:I15 I20:I63 I68:I75 I77:I83 I87:I87 I89:I96 I98:I105 I109:I112 I114:I118 I120:I124 I207:I221 I225:I225 I230:I252 I254:I286 I290:I310 I314:I331 I335:I352 I357:I409 I413:I416 I419:I436 I438:I442 I446:I451 I463:I492 I495:I540 I543:I543 I554:I570 I574:I599 I602:I614 I616:I617 I620:I637 I639:I651" type="list">
      <formula1>"YES,PENDING"</formula1>
    </dataValidation>
    <dataValidation allowBlank="true" errorStyle="stop" showErrorMessage="true" sqref="I548:I548 J548:J548" type="list">
      <formula1>"PENDING,YES,Back up"</formula1>
    </dataValidation>
  </dataValidations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6" min="6" style="0" width="39.15492957746479"/>
    <col collapsed="false" customWidth="true" hidden="false" max="10" min="10" style="0" width="39.15492957746479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2" min="2" style="0" width="14.47887323943662"/>
    <col collapsed="false" customWidth="true" hidden="false" max="5" min="5" style="0" width="14.47887323943662"/>
    <col collapsed="false" customWidth="true" hidden="false" max="9" min="9" style="0" width="15.6056338028169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25" min="25" style="0" width="11.211267605633802"/>
    <col collapsed="false" customWidth="true" hidden="false" max="1" min="1" style="0" width="29.464788732394368"/>
    <col collapsed="false" customWidth="true" hidden="false" max="8" min="8" style="0" width="22.92957746478873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4" min="4" style="0" width="21.577464788732396"/>
    <col collapsed="false" customWidth="true" hidden="false" max="7" min="7" style="0" width="39.15492957746479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3" min="3" style="0" width="14.47887323943662"/>
  </cols>
  <sheetData>
    <row r="1">
      <c r="A1" s="5797"/>
      <c r="B1" s="5797"/>
      <c r="C1" s="5797"/>
      <c r="D1" s="5797"/>
      <c r="E1" s="5798"/>
      <c r="F1" s="5799"/>
      <c r="G1" s="5797"/>
      <c r="H1" s="5800"/>
      <c r="I1" s="5797"/>
      <c r="J1" s="5797"/>
      <c r="K1" s="5801"/>
      <c r="L1" s="5802"/>
      <c r="M1" s="5801"/>
      <c r="N1" s="5801"/>
      <c r="O1" s="5801"/>
      <c r="P1" s="5801"/>
      <c r="Q1" s="5801"/>
      <c r="R1" s="5801"/>
      <c r="S1" s="5801"/>
      <c r="T1" s="5801"/>
      <c r="U1" s="5803"/>
      <c r="V1" s="5803"/>
      <c r="W1" s="5803"/>
      <c r="X1" s="5803"/>
      <c r="Y1" s="5803"/>
    </row>
    <row r="2">
      <c r="A2" s="5804"/>
      <c r="B2" s="5804"/>
      <c r="C2" s="5804"/>
      <c r="D2" s="5804"/>
      <c r="E2" s="5804"/>
      <c r="F2" s="5804"/>
      <c r="G2" s="5804"/>
      <c r="H2" s="5804"/>
      <c r="I2" s="5804"/>
      <c r="J2" s="5804"/>
      <c r="K2" s="5801"/>
      <c r="L2" s="5801"/>
      <c r="M2" s="5801"/>
      <c r="N2" s="5801"/>
      <c r="O2" s="5801"/>
      <c r="P2" s="5801"/>
      <c r="Q2" s="5801"/>
      <c r="R2" s="5801"/>
      <c r="S2" s="5801"/>
      <c r="T2" s="5801"/>
      <c r="U2" s="5803"/>
      <c r="V2" s="5803"/>
      <c r="W2" s="5803"/>
      <c r="X2" s="5803"/>
      <c r="Y2" s="5803"/>
    </row>
    <row r="3">
      <c r="A3" s="5805" t="s">
        <v>5781</v>
      </c>
      <c r="B3" s="5805"/>
      <c r="C3" s="5806"/>
      <c r="D3" s="5806"/>
      <c r="E3" s="5806"/>
      <c r="F3" s="5805"/>
      <c r="G3" s="5806"/>
      <c r="H3" s="5806"/>
      <c r="I3" s="5806"/>
      <c r="J3" s="5806"/>
      <c r="K3" s="5801"/>
      <c r="L3" s="5801"/>
      <c r="M3" s="5801"/>
      <c r="N3" s="5801"/>
      <c r="O3" s="5801"/>
      <c r="P3" s="5801"/>
      <c r="Q3" s="5801"/>
      <c r="R3" s="5801"/>
      <c r="S3" s="5801"/>
      <c r="T3" s="5801"/>
      <c r="U3" s="5803"/>
      <c r="V3" s="5803"/>
      <c r="W3" s="5803"/>
      <c r="X3" s="5803"/>
      <c r="Y3" s="5803"/>
    </row>
    <row r="4">
      <c r="A4" s="5807" t="s">
        <v>5782</v>
      </c>
      <c r="B4" s="5808" t="s">
        <v>5783</v>
      </c>
      <c r="C4" s="5808"/>
      <c r="D4" s="5809" t="s">
        <v>5784</v>
      </c>
      <c r="E4" s="5810" t="s">
        <v>5785</v>
      </c>
      <c r="F4" s="5809" t="s">
        <v>5786</v>
      </c>
      <c r="G4" s="5811" t="s">
        <v>5787</v>
      </c>
      <c r="H4" s="5809" t="s">
        <v>5788</v>
      </c>
      <c r="I4" s="5809" t="s">
        <v>5789</v>
      </c>
      <c r="J4" s="5809" t="s">
        <v>5790</v>
      </c>
      <c r="K4" s="5801"/>
      <c r="L4" s="5801"/>
      <c r="M4" s="5801"/>
      <c r="N4" s="5801"/>
      <c r="O4" s="5801"/>
      <c r="P4" s="5801"/>
      <c r="Q4" s="5801"/>
      <c r="R4" s="5801"/>
      <c r="S4" s="5801"/>
      <c r="T4" s="5801"/>
      <c r="U4" s="5803"/>
      <c r="V4" s="5803"/>
      <c r="W4" s="5803"/>
      <c r="X4" s="5803"/>
      <c r="Y4" s="5803"/>
    </row>
    <row r="5">
      <c r="A5" s="5812" t="s">
        <v>5791</v>
      </c>
      <c r="B5" s="5812">
        <v>46223</v>
      </c>
      <c r="C5" s="5812" t="str">
        <v>Monday</v>
      </c>
      <c r="D5" s="5813" t="s">
        <v>5792</v>
      </c>
      <c r="E5" s="5813">
        <f t="shared" ref="E5:E7" si="53">24*MOD(TIMEVALUE(TRIM(MID(D5,FIND("-",D5)+1,LEN(D5)))) - TIMEVALUE(TRIM(LEFT(D5,FIND("-",D5)-1))),1)</f>
      </c>
      <c r="F5" s="5814" t="s">
        <v>5793</v>
      </c>
      <c r="G5" s="5815"/>
      <c r="H5" s="5816" t="s">
        <v>5794</v>
      </c>
      <c r="I5" s="5816" t="s">
        <v>5795</v>
      </c>
      <c r="J5" s="5813"/>
      <c r="K5" s="5801"/>
      <c r="L5" s="5801"/>
      <c r="M5" s="5801"/>
      <c r="N5" s="5801"/>
      <c r="O5" s="5801"/>
      <c r="P5" s="5801"/>
      <c r="Q5" s="5801"/>
      <c r="R5" s="5801"/>
      <c r="S5" s="5801"/>
      <c r="T5" s="5801"/>
      <c r="U5" s="5803"/>
      <c r="V5" s="5803"/>
      <c r="W5" s="5803"/>
      <c r="X5" s="5803"/>
      <c r="Y5" s="5803"/>
    </row>
    <row r="6">
      <c r="A6" s="5812" t="s">
        <v>5796</v>
      </c>
      <c r="B6" s="5812">
        <v>46224</v>
      </c>
      <c r="C6" s="5812" t="str">
        <v>Tuesday</v>
      </c>
      <c r="D6" s="5816" t="s">
        <v>5797</v>
      </c>
      <c r="E6" s="5817">
        <f t="shared" si="53"/>
      </c>
      <c r="F6" s="5818" t="s">
        <v>5798</v>
      </c>
      <c r="G6" s="5819"/>
      <c r="H6" s="5816"/>
      <c r="I6" s="5816" t="s">
        <v>5795</v>
      </c>
      <c r="J6" s="5816"/>
      <c r="K6" s="5801"/>
      <c r="L6" s="5801"/>
      <c r="M6" s="5801"/>
      <c r="N6" s="5801"/>
      <c r="O6" s="5801"/>
      <c r="P6" s="5801"/>
      <c r="Q6" s="5801"/>
      <c r="R6" s="5801"/>
      <c r="S6" s="5801"/>
      <c r="T6" s="5801"/>
      <c r="U6" s="5803"/>
      <c r="V6" s="5803"/>
      <c r="W6" s="5803"/>
      <c r="X6" s="5803"/>
      <c r="Y6" s="5803"/>
    </row>
    <row r="7">
      <c r="A7" s="5820" t="s">
        <v>5791</v>
      </c>
      <c r="B7" s="5820">
        <v>46225</v>
      </c>
      <c r="C7" s="5820" t="str">
        <v>Wednesday</v>
      </c>
      <c r="D7" s="5821" t="s">
        <v>5799</v>
      </c>
      <c r="E7" s="5822">
        <f t="shared" si="53"/>
      </c>
      <c r="F7" s="5823" t="s">
        <v>5800</v>
      </c>
      <c r="G7" s="5824"/>
      <c r="H7" s="5821"/>
      <c r="I7" s="5821" t="s">
        <v>5795</v>
      </c>
      <c r="J7" s="5821" t="s">
        <v>5801</v>
      </c>
      <c r="K7" s="5825"/>
      <c r="L7" s="5825"/>
      <c r="M7" s="5825"/>
      <c r="N7" s="5825"/>
      <c r="O7" s="5825"/>
      <c r="P7" s="5825"/>
      <c r="Q7" s="5825"/>
      <c r="R7" s="5825"/>
      <c r="S7" s="5825"/>
      <c r="T7" s="5825"/>
      <c r="U7" s="5826"/>
      <c r="V7" s="5826"/>
      <c r="W7" s="5826"/>
      <c r="X7" s="5826"/>
      <c r="Y7" s="5826"/>
    </row>
    <row r="8">
      <c r="A8" s="5812"/>
      <c r="B8" s="5812"/>
      <c r="C8" s="5812"/>
      <c r="D8" s="5816"/>
      <c r="E8" s="5817"/>
      <c r="F8" s="5818"/>
      <c r="G8" s="5819"/>
      <c r="H8" s="5816"/>
      <c r="I8" s="5816"/>
      <c r="J8" s="5816"/>
      <c r="K8" s="5801"/>
      <c r="L8" s="5801"/>
      <c r="M8" s="5801"/>
      <c r="N8" s="5801"/>
      <c r="O8" s="5801"/>
      <c r="P8" s="5801"/>
      <c r="Q8" s="5801"/>
      <c r="R8" s="5801"/>
      <c r="S8" s="5801"/>
      <c r="T8" s="5801"/>
      <c r="U8" s="5803"/>
      <c r="V8" s="5803"/>
      <c r="W8" s="5803"/>
      <c r="X8" s="5803"/>
      <c r="Y8" s="5803"/>
    </row>
    <row r="9">
      <c r="A9" s="5812" t="s">
        <v>5802</v>
      </c>
      <c r="B9" s="5812">
        <v>46223</v>
      </c>
      <c r="C9" s="5812" t="s">
        <v>5803</v>
      </c>
      <c r="D9" s="5816" t="s">
        <v>5804</v>
      </c>
      <c r="E9" s="5817">
        <v>3</v>
      </c>
      <c r="F9" s="5818" t="s">
        <v>5805</v>
      </c>
      <c r="G9" s="5819" t="s">
        <v>5806</v>
      </c>
      <c r="H9" s="5816"/>
      <c r="I9" s="5816" t="s">
        <v>5795</v>
      </c>
      <c r="J9" s="5816"/>
      <c r="K9" s="5801"/>
      <c r="L9" s="5801"/>
      <c r="M9" s="5801"/>
      <c r="N9" s="5801"/>
      <c r="O9" s="5801"/>
      <c r="P9" s="5801"/>
      <c r="Q9" s="5801"/>
      <c r="R9" s="5801"/>
      <c r="S9" s="5801"/>
      <c r="T9" s="5801"/>
      <c r="U9" s="5803"/>
      <c r="V9" s="5803"/>
      <c r="W9" s="5803"/>
      <c r="X9" s="5803"/>
      <c r="Y9" s="5803"/>
    </row>
    <row customHeight="true" ht="18.452380952380953" r="10">
      <c r="A10" s="5812"/>
      <c r="B10" s="5812"/>
      <c r="C10" s="5812"/>
      <c r="D10" s="5816"/>
      <c r="E10" s="5817"/>
      <c r="F10" s="5818"/>
      <c r="G10" s="5819"/>
      <c r="H10" s="5816"/>
      <c r="I10" s="5816"/>
      <c r="J10" s="5816"/>
      <c r="K10" s="5801"/>
      <c r="L10" s="5801"/>
      <c r="M10" s="5801"/>
      <c r="N10" s="5801"/>
      <c r="O10" s="5801"/>
      <c r="P10" s="5801"/>
      <c r="Q10" s="5801"/>
      <c r="R10" s="5801"/>
      <c r="S10" s="5801"/>
      <c r="T10" s="5801"/>
      <c r="U10" s="5803"/>
      <c r="V10" s="5803"/>
      <c r="W10" s="5803"/>
      <c r="X10" s="5803"/>
      <c r="Y10" s="5803"/>
    </row>
    <row r="11">
      <c r="A11" s="5804" t="s">
        <v>5807</v>
      </c>
      <c r="B11" s="5804"/>
      <c r="C11" s="5804"/>
      <c r="D11" s="5804"/>
      <c r="E11" s="5804"/>
      <c r="F11" s="5804"/>
      <c r="G11" s="5804"/>
      <c r="H11" s="5804"/>
      <c r="I11" s="5804"/>
      <c r="J11" s="5804"/>
      <c r="K11" s="5801"/>
      <c r="L11" s="5801"/>
      <c r="M11" s="5801"/>
      <c r="N11" s="5801"/>
      <c r="O11" s="5801"/>
      <c r="P11" s="5801"/>
      <c r="Q11" s="5801"/>
      <c r="R11" s="5801"/>
      <c r="S11" s="5801"/>
      <c r="T11" s="5801"/>
      <c r="U11" s="5803"/>
      <c r="V11" s="5803"/>
      <c r="W11" s="5803"/>
      <c r="X11" s="5803"/>
      <c r="Y11" s="5803"/>
    </row>
    <row r="12">
      <c r="A12" s="5827" t="s">
        <v>5808</v>
      </c>
      <c r="B12" s="5827"/>
      <c r="C12" s="5827"/>
      <c r="D12" s="5827"/>
      <c r="E12" s="5827"/>
      <c r="F12" s="5827"/>
      <c r="G12" s="5827"/>
      <c r="H12" s="5827"/>
      <c r="I12" s="5827"/>
      <c r="J12" s="5827"/>
      <c r="K12" s="5801"/>
      <c r="L12" s="5801"/>
      <c r="M12" s="5801"/>
      <c r="N12" s="5801"/>
      <c r="O12" s="5801"/>
      <c r="P12" s="5801"/>
      <c r="Q12" s="5801"/>
      <c r="R12" s="5801"/>
      <c r="S12" s="5801"/>
      <c r="T12" s="5801"/>
      <c r="U12" s="5803"/>
      <c r="V12" s="5803"/>
      <c r="W12" s="5803"/>
      <c r="X12" s="5803"/>
      <c r="Y12" s="5803"/>
    </row>
    <row r="13">
      <c r="A13" s="5828" t="s">
        <v>5782</v>
      </c>
      <c r="B13" s="5829" t="s">
        <v>5783</v>
      </c>
      <c r="C13" s="5829"/>
      <c r="D13" s="5830" t="s">
        <v>5784</v>
      </c>
      <c r="E13" s="5830" t="s">
        <v>5785</v>
      </c>
      <c r="F13" s="5830" t="s">
        <v>5786</v>
      </c>
      <c r="G13" s="5831" t="s">
        <v>5809</v>
      </c>
      <c r="H13" s="5830" t="s">
        <v>5788</v>
      </c>
      <c r="I13" s="5830" t="s">
        <v>5789</v>
      </c>
      <c r="J13" s="5830" t="s">
        <v>5790</v>
      </c>
      <c r="K13" s="5803"/>
      <c r="L13" s="5803"/>
      <c r="M13" s="5803"/>
      <c r="N13" s="5803"/>
      <c r="O13" s="5803"/>
      <c r="P13" s="5803"/>
      <c r="Q13" s="5803"/>
      <c r="R13" s="5803"/>
      <c r="S13" s="5803"/>
      <c r="T13" s="5803"/>
      <c r="U13" s="5803"/>
      <c r="V13" s="5803"/>
      <c r="W13" s="5803"/>
      <c r="X13" s="5803"/>
      <c r="Y13" s="5803"/>
    </row>
    <row r="14">
      <c r="A14" s="5832" t="s">
        <v>5810</v>
      </c>
      <c r="B14" s="5832">
        <v>46223</v>
      </c>
      <c r="C14" s="5832" t="str">
        <v>Monday</v>
      </c>
      <c r="D14" s="5833" t="s">
        <v>5811</v>
      </c>
      <c r="E14" s="5833">
        <f t="shared" ref="E14:E20" si="54">24*MOD(TIMEVALUE(TRIM(MID(D14,FIND("-",D14)+1,LEN(D14)))) - TIMEVALUE(TRIM(LEFT(D14,FIND("-",D14)-1))),1)</f>
      </c>
      <c r="F14" s="5833" t="s">
        <v>5812</v>
      </c>
      <c r="G14" s="5833" t="s">
        <v>5813</v>
      </c>
      <c r="H14" s="5833"/>
      <c r="I14" s="5833" t="s">
        <v>5795</v>
      </c>
      <c r="J14" s="5834"/>
      <c r="K14" s="5802"/>
      <c r="L14" s="5802"/>
      <c r="M14" s="5802"/>
      <c r="N14" s="5802"/>
      <c r="O14" s="5802"/>
      <c r="P14" s="5802"/>
      <c r="Q14" s="5802"/>
      <c r="R14" s="5802"/>
      <c r="S14" s="5802"/>
      <c r="T14" s="5802"/>
      <c r="U14" s="5802"/>
      <c r="V14" s="5803"/>
      <c r="W14" s="5803"/>
      <c r="X14" s="5803"/>
      <c r="Y14" s="5803"/>
    </row>
    <row r="15">
      <c r="A15" s="5812" t="s">
        <v>5814</v>
      </c>
      <c r="B15" s="5812">
        <v>46223</v>
      </c>
      <c r="C15" s="5812" t="str">
        <v>Monday</v>
      </c>
      <c r="D15" s="5813" t="s">
        <v>5815</v>
      </c>
      <c r="E15" s="5813">
        <f t="shared" si="54"/>
      </c>
      <c r="F15" s="5813" t="s">
        <v>5816</v>
      </c>
      <c r="G15" s="5813" t="s">
        <v>5817</v>
      </c>
      <c r="H15" s="5813"/>
      <c r="I15" s="5813" t="s">
        <v>5795</v>
      </c>
      <c r="J15" s="5835"/>
      <c r="K15" s="5802"/>
      <c r="L15" s="5802"/>
      <c r="M15" s="5802"/>
      <c r="N15" s="5802"/>
      <c r="O15" s="5802"/>
      <c r="P15" s="5802"/>
      <c r="Q15" s="5802"/>
      <c r="R15" s="5802"/>
      <c r="S15" s="5802"/>
      <c r="T15" s="5802"/>
      <c r="U15" s="5802"/>
      <c r="V15" s="5803"/>
      <c r="W15" s="5803"/>
      <c r="X15" s="5803"/>
      <c r="Y15" s="5803"/>
    </row>
    <row r="16">
      <c r="A16" s="5812" t="s">
        <v>5818</v>
      </c>
      <c r="B16" s="5812">
        <v>46223</v>
      </c>
      <c r="C16" s="5812" t="str">
        <v>Monday</v>
      </c>
      <c r="D16" s="5813" t="s">
        <v>5819</v>
      </c>
      <c r="E16" s="5813">
        <f t="shared" si="54"/>
      </c>
      <c r="F16" s="5813" t="s">
        <v>5816</v>
      </c>
      <c r="G16" s="5836" t="s">
        <v>5812</v>
      </c>
      <c r="H16" s="5816"/>
      <c r="I16" s="5813" t="s">
        <v>5795</v>
      </c>
      <c r="J16" s="5837"/>
      <c r="K16" s="5802"/>
      <c r="L16" s="5802"/>
      <c r="M16" s="5802"/>
      <c r="N16" s="5802"/>
      <c r="O16" s="5802"/>
      <c r="P16" s="5802"/>
      <c r="Q16" s="5802"/>
      <c r="R16" s="5802"/>
      <c r="S16" s="5802"/>
      <c r="T16" s="5802"/>
      <c r="U16" s="5802"/>
      <c r="V16" s="5803"/>
      <c r="W16" s="5803"/>
      <c r="X16" s="5803"/>
      <c r="Y16" s="5803"/>
    </row>
    <row r="17">
      <c r="A17" s="5812" t="s">
        <v>5818</v>
      </c>
      <c r="B17" s="5812">
        <v>46223</v>
      </c>
      <c r="C17" s="5812" t="str">
        <v>Monday</v>
      </c>
      <c r="D17" s="5813" t="s">
        <v>5820</v>
      </c>
      <c r="E17" s="5813">
        <f t="shared" si="54"/>
      </c>
      <c r="F17" s="5813" t="s">
        <v>5821</v>
      </c>
      <c r="G17" s="5836" t="s">
        <v>5812</v>
      </c>
      <c r="H17" s="5816"/>
      <c r="I17" s="5813" t="s">
        <v>5795</v>
      </c>
      <c r="J17" s="5816"/>
      <c r="K17" s="5802"/>
      <c r="L17" s="5802"/>
      <c r="M17" s="5802"/>
      <c r="N17" s="5802"/>
      <c r="O17" s="5802"/>
      <c r="P17" s="5802"/>
      <c r="Q17" s="5802"/>
      <c r="R17" s="5802"/>
      <c r="S17" s="5802"/>
      <c r="T17" s="5802"/>
      <c r="U17" s="5802"/>
      <c r="V17" s="5803"/>
      <c r="W17" s="5803"/>
      <c r="X17" s="5803"/>
      <c r="Y17" s="5803"/>
    </row>
    <row r="18">
      <c r="A18" s="5832" t="s">
        <v>5822</v>
      </c>
      <c r="B18" s="5832">
        <v>46223</v>
      </c>
      <c r="C18" s="5832" t="str">
        <v>Monday</v>
      </c>
      <c r="D18" s="5833" t="s">
        <v>5823</v>
      </c>
      <c r="E18" s="5833">
        <f t="shared" si="54"/>
      </c>
      <c r="F18" s="5833" t="s">
        <v>5812</v>
      </c>
      <c r="G18" s="5838" t="s">
        <v>5824</v>
      </c>
      <c r="H18" s="5833"/>
      <c r="I18" s="5833" t="s">
        <v>5795</v>
      </c>
      <c r="J18" s="5833" t="s">
        <v>5825</v>
      </c>
      <c r="K18" s="5802"/>
      <c r="L18" s="5802"/>
      <c r="M18" s="5802"/>
      <c r="N18" s="5802"/>
      <c r="O18" s="5802"/>
      <c r="P18" s="5802"/>
      <c r="Q18" s="5802"/>
      <c r="R18" s="5802"/>
      <c r="S18" s="5802"/>
      <c r="T18" s="5802"/>
      <c r="U18" s="5802"/>
      <c r="V18" s="5803"/>
      <c r="W18" s="5803"/>
      <c r="X18" s="5803"/>
      <c r="Y18" s="5803"/>
    </row>
    <row r="19">
      <c r="A19" s="5839" t="s">
        <v>5810</v>
      </c>
      <c r="B19" s="5839">
        <v>46223</v>
      </c>
      <c r="C19" s="5839" t="str">
        <v>Monday</v>
      </c>
      <c r="D19" s="5840" t="s">
        <v>5826</v>
      </c>
      <c r="E19" s="5840">
        <f t="shared" si="54"/>
      </c>
      <c r="F19" s="5840" t="s">
        <v>5827</v>
      </c>
      <c r="G19" s="5841" t="s">
        <v>5828</v>
      </c>
      <c r="H19" s="5840"/>
      <c r="I19" s="5840" t="s">
        <v>5795</v>
      </c>
      <c r="J19" s="5840"/>
      <c r="K19" s="5802"/>
      <c r="L19" s="5802"/>
      <c r="M19" s="5802"/>
      <c r="N19" s="5802"/>
      <c r="O19" s="5802"/>
      <c r="P19" s="5802"/>
      <c r="Q19" s="5802"/>
      <c r="R19" s="5802"/>
      <c r="S19" s="5802"/>
      <c r="T19" s="5802"/>
      <c r="U19" s="5802"/>
      <c r="V19" s="5803"/>
      <c r="W19" s="5803"/>
      <c r="X19" s="5803"/>
      <c r="Y19" s="5803"/>
    </row>
    <row r="20">
      <c r="A20" s="5839" t="s">
        <v>5810</v>
      </c>
      <c r="B20" s="5839">
        <v>46223</v>
      </c>
      <c r="C20" s="5839" t="str">
        <v>Monday</v>
      </c>
      <c r="D20" s="5840" t="s">
        <v>5829</v>
      </c>
      <c r="E20" s="5840">
        <f t="shared" si="54"/>
      </c>
      <c r="F20" s="5840" t="s">
        <v>5816</v>
      </c>
      <c r="G20" s="5841" t="s">
        <v>5830</v>
      </c>
      <c r="H20" s="5840"/>
      <c r="I20" s="5840" t="s">
        <v>5795</v>
      </c>
      <c r="J20" s="5840"/>
      <c r="K20" s="5802"/>
      <c r="L20" s="5802"/>
      <c r="M20" s="5802"/>
      <c r="N20" s="5802"/>
      <c r="O20" s="5802"/>
      <c r="P20" s="5802"/>
      <c r="Q20" s="5802"/>
      <c r="R20" s="5802"/>
      <c r="S20" s="5802"/>
      <c r="T20" s="5802"/>
      <c r="U20" s="5802"/>
      <c r="V20" s="5803"/>
      <c r="W20" s="5803"/>
      <c r="X20" s="5803"/>
      <c r="Y20" s="5803"/>
    </row>
    <row r="21">
      <c r="A21" s="5812"/>
      <c r="B21" s="5803"/>
      <c r="C21" s="5812"/>
      <c r="D21" s="5813"/>
      <c r="E21" s="5813"/>
      <c r="F21" s="5813"/>
      <c r="G21" s="5836"/>
      <c r="H21" s="5816"/>
      <c r="I21" s="5813"/>
      <c r="J21" s="5816"/>
      <c r="K21" s="5802"/>
      <c r="L21" s="5802"/>
      <c r="M21" s="5802"/>
      <c r="N21" s="5802"/>
      <c r="O21" s="5802"/>
      <c r="P21" s="5802"/>
      <c r="Q21" s="5802"/>
      <c r="R21" s="5802"/>
      <c r="S21" s="5802"/>
      <c r="T21" s="5802"/>
      <c r="U21" s="5802"/>
      <c r="V21" s="5803"/>
      <c r="W21" s="5803"/>
      <c r="X21" s="5803"/>
      <c r="Y21" s="5803"/>
    </row>
    <row r="22">
      <c r="A22" s="5812" t="s">
        <v>5818</v>
      </c>
      <c r="B22" s="5812">
        <v>46224</v>
      </c>
      <c r="C22" s="5812" t="str">
        <v>Tuesday</v>
      </c>
      <c r="D22" s="5813" t="s">
        <v>5826</v>
      </c>
      <c r="E22" s="5813">
        <f t="shared" ref="E22:E27" si="55">24*MOD(TIMEVALUE(TRIM(MID(D22,FIND("-",D22)+1,LEN(D22)))) - TIMEVALUE(TRIM(LEFT(D22,FIND("-",D22)-1))),1)</f>
      </c>
      <c r="F22" s="5813" t="s">
        <v>5831</v>
      </c>
      <c r="G22" s="5836" t="s">
        <v>5832</v>
      </c>
      <c r="H22" s="5816"/>
      <c r="I22" s="5813" t="s">
        <v>5795</v>
      </c>
      <c r="J22" s="5816"/>
      <c r="K22" s="5802"/>
      <c r="L22" s="5802"/>
      <c r="M22" s="5802"/>
      <c r="N22" s="5802"/>
      <c r="O22" s="5802"/>
      <c r="P22" s="5802"/>
      <c r="Q22" s="5802"/>
      <c r="R22" s="5802"/>
      <c r="S22" s="5802"/>
      <c r="T22" s="5802"/>
      <c r="U22" s="5802"/>
      <c r="V22" s="5803"/>
      <c r="W22" s="5803"/>
      <c r="X22" s="5803"/>
      <c r="Y22" s="5803"/>
    </row>
    <row r="23">
      <c r="A23" s="5832" t="s">
        <v>5822</v>
      </c>
      <c r="B23" s="5832">
        <v>46224</v>
      </c>
      <c r="C23" s="5832" t="str">
        <v>Tuesday</v>
      </c>
      <c r="D23" s="5833" t="s">
        <v>5826</v>
      </c>
      <c r="E23" s="5833">
        <f t="shared" si="55"/>
      </c>
      <c r="F23" s="5842" t="s">
        <v>5833</v>
      </c>
      <c r="G23" s="5843"/>
      <c r="H23" s="5844"/>
      <c r="I23" s="5833" t="s">
        <v>5795</v>
      </c>
      <c r="J23" s="5833"/>
      <c r="K23" s="5802"/>
      <c r="L23" s="5802"/>
      <c r="M23" s="5802"/>
      <c r="N23" s="5802"/>
      <c r="O23" s="5802"/>
      <c r="P23" s="5802"/>
      <c r="Q23" s="5802"/>
      <c r="R23" s="5802"/>
      <c r="S23" s="5802"/>
      <c r="T23" s="5802"/>
      <c r="U23" s="5802"/>
      <c r="V23" s="5803"/>
      <c r="W23" s="5803"/>
      <c r="X23" s="5803"/>
      <c r="Y23" s="5803"/>
    </row>
    <row r="24">
      <c r="A24" s="5812" t="s">
        <v>5818</v>
      </c>
      <c r="B24" s="5812">
        <v>46224</v>
      </c>
      <c r="C24" s="5812" t="str">
        <v>Tuesday</v>
      </c>
      <c r="D24" s="5813" t="s">
        <v>5834</v>
      </c>
      <c r="E24" s="5813">
        <f t="shared" si="55"/>
      </c>
      <c r="F24" s="5813" t="s">
        <v>5816</v>
      </c>
      <c r="G24" s="5836" t="s">
        <v>5812</v>
      </c>
      <c r="H24" s="5816"/>
      <c r="I24" s="5813" t="s">
        <v>5795</v>
      </c>
      <c r="J24" s="5816"/>
      <c r="K24" s="5802"/>
      <c r="L24" s="5802"/>
      <c r="M24" s="5802"/>
      <c r="N24" s="5802"/>
      <c r="O24" s="5802"/>
      <c r="P24" s="5802"/>
      <c r="Q24" s="5802"/>
      <c r="R24" s="5802"/>
      <c r="S24" s="5802"/>
      <c r="T24" s="5802"/>
      <c r="U24" s="5802"/>
      <c r="V24" s="5803"/>
      <c r="W24" s="5803"/>
      <c r="X24" s="5803"/>
      <c r="Y24" s="5803"/>
    </row>
    <row r="25">
      <c r="A25" s="5832" t="s">
        <v>5822</v>
      </c>
      <c r="B25" s="5832">
        <v>46224</v>
      </c>
      <c r="C25" s="5832" t="str">
        <v>Tuesday</v>
      </c>
      <c r="D25" s="5833" t="s">
        <v>5835</v>
      </c>
      <c r="E25" s="5833">
        <f t="shared" si="55"/>
      </c>
      <c r="F25" s="5833" t="s">
        <v>5812</v>
      </c>
      <c r="G25" s="5838" t="s">
        <v>5836</v>
      </c>
      <c r="H25" s="5833"/>
      <c r="I25" s="5833" t="s">
        <v>5795</v>
      </c>
      <c r="J25" s="5833" t="s">
        <v>5825</v>
      </c>
      <c r="K25" s="5802"/>
      <c r="L25" s="5802"/>
      <c r="M25" s="5802"/>
      <c r="N25" s="5802"/>
      <c r="O25" s="5802"/>
      <c r="P25" s="5802"/>
      <c r="Q25" s="5802"/>
      <c r="R25" s="5802"/>
      <c r="S25" s="5802"/>
      <c r="T25" s="5802"/>
      <c r="U25" s="5802"/>
      <c r="V25" s="5803"/>
      <c r="W25" s="5803"/>
      <c r="X25" s="5803"/>
      <c r="Y25" s="5803"/>
    </row>
    <row r="26">
      <c r="A26" s="5839" t="s">
        <v>5810</v>
      </c>
      <c r="B26" s="5839">
        <v>46224</v>
      </c>
      <c r="C26" s="5839" t="str">
        <v>Tuesday</v>
      </c>
      <c r="D26" s="5840" t="s">
        <v>5837</v>
      </c>
      <c r="E26" s="5840">
        <f t="shared" si="55"/>
      </c>
      <c r="F26" s="5840" t="s">
        <v>5838</v>
      </c>
      <c r="G26" s="5841" t="s">
        <v>5828</v>
      </c>
      <c r="H26" s="5840"/>
      <c r="I26" s="5840" t="s">
        <v>5795</v>
      </c>
      <c r="J26" s="5840" t="s">
        <v>5825</v>
      </c>
      <c r="K26" s="5802"/>
      <c r="L26" s="5802"/>
      <c r="M26" s="5802"/>
      <c r="N26" s="5802"/>
      <c r="O26" s="5802"/>
      <c r="P26" s="5802"/>
      <c r="Q26" s="5802"/>
      <c r="R26" s="5802"/>
      <c r="S26" s="5802"/>
      <c r="T26" s="5802"/>
      <c r="U26" s="5802"/>
      <c r="V26" s="5803"/>
      <c r="W26" s="5803"/>
      <c r="X26" s="5803"/>
      <c r="Y26" s="5803"/>
    </row>
    <row r="27">
      <c r="A27" s="5839" t="s">
        <v>5810</v>
      </c>
      <c r="B27" s="5839">
        <v>46224</v>
      </c>
      <c r="C27" s="5839" t="str">
        <v>Tuesday</v>
      </c>
      <c r="D27" s="5840" t="s">
        <v>5839</v>
      </c>
      <c r="E27" s="5840">
        <f t="shared" si="55"/>
      </c>
      <c r="F27" s="5840" t="s">
        <v>5816</v>
      </c>
      <c r="G27" s="5841" t="s">
        <v>5840</v>
      </c>
      <c r="H27" s="5840"/>
      <c r="I27" s="5840" t="s">
        <v>5795</v>
      </c>
      <c r="J27" s="5840"/>
      <c r="K27" s="5802"/>
      <c r="L27" s="5802"/>
      <c r="M27" s="5802"/>
      <c r="N27" s="5802"/>
      <c r="O27" s="5802"/>
      <c r="P27" s="5802"/>
      <c r="Q27" s="5802"/>
      <c r="R27" s="5802"/>
      <c r="S27" s="5802"/>
      <c r="T27" s="5802"/>
      <c r="U27" s="5802"/>
      <c r="V27" s="5803"/>
      <c r="W27" s="5803"/>
      <c r="X27" s="5803"/>
      <c r="Y27" s="5803"/>
    </row>
    <row r="28">
      <c r="A28" s="5812"/>
      <c r="B28" s="5812"/>
      <c r="C28" s="5812"/>
      <c r="D28" s="5813"/>
      <c r="E28" s="5813"/>
      <c r="F28" s="5813"/>
      <c r="G28" s="5836"/>
      <c r="H28" s="5816"/>
      <c r="I28" s="5813"/>
      <c r="J28" s="5816"/>
      <c r="K28" s="5802"/>
      <c r="L28" s="5802"/>
      <c r="M28" s="5802"/>
      <c r="N28" s="5802"/>
      <c r="O28" s="5802"/>
      <c r="P28" s="5802"/>
      <c r="Q28" s="5802"/>
      <c r="R28" s="5802"/>
      <c r="S28" s="5802"/>
      <c r="T28" s="5802"/>
      <c r="U28" s="5802"/>
      <c r="V28" s="5803"/>
      <c r="W28" s="5803"/>
      <c r="X28" s="5803"/>
      <c r="Y28" s="5803"/>
    </row>
    <row r="29">
      <c r="A29" s="5845" t="s">
        <v>5818</v>
      </c>
      <c r="B29" s="5845">
        <v>46225</v>
      </c>
      <c r="C29" s="5845" t="str">
        <v>Wednesday</v>
      </c>
      <c r="D29" s="5846" t="s">
        <v>5841</v>
      </c>
      <c r="E29" s="5846">
        <f t="shared" ref="E29:E34" si="56">24*MOD(TIMEVALUE(TRIM(MID(D29,FIND("-",D29)+1,LEN(D29)))) - TIMEVALUE(TRIM(LEFT(D29,FIND("-",D29)-1))),1)</f>
      </c>
      <c r="F29" s="5846" t="s">
        <v>5805</v>
      </c>
      <c r="G29" s="5847" t="s">
        <v>5832</v>
      </c>
      <c r="H29" s="5848"/>
      <c r="I29" s="5816" t="s">
        <v>5795</v>
      </c>
      <c r="J29" s="5846"/>
      <c r="K29" s="5802"/>
      <c r="L29" s="5802"/>
      <c r="M29" s="5802"/>
      <c r="N29" s="5802"/>
      <c r="O29" s="5802"/>
      <c r="P29" s="5802"/>
      <c r="Q29" s="5802"/>
      <c r="R29" s="5802"/>
      <c r="S29" s="5802"/>
      <c r="T29" s="5802"/>
      <c r="U29" s="5802"/>
      <c r="V29" s="5803"/>
      <c r="W29" s="5803"/>
      <c r="X29" s="5803"/>
      <c r="Y29" s="5803"/>
    </row>
    <row r="30">
      <c r="A30" s="5849" t="s">
        <v>5822</v>
      </c>
      <c r="B30" s="5849">
        <v>46225</v>
      </c>
      <c r="C30" s="5849" t="str">
        <v>Wednesday</v>
      </c>
      <c r="D30" s="5850" t="s">
        <v>5841</v>
      </c>
      <c r="E30" s="5850">
        <f t="shared" si="56"/>
      </c>
      <c r="F30" s="5850" t="s">
        <v>5833</v>
      </c>
      <c r="G30" s="5851"/>
      <c r="H30" s="5850"/>
      <c r="I30" s="5833" t="s">
        <v>5795</v>
      </c>
      <c r="J30" s="5850"/>
      <c r="K30" s="5802"/>
      <c r="L30" s="5802"/>
      <c r="M30" s="5802"/>
      <c r="N30" s="5802"/>
      <c r="O30" s="5802"/>
      <c r="P30" s="5802"/>
      <c r="Q30" s="5802"/>
      <c r="R30" s="5802"/>
      <c r="S30" s="5802"/>
      <c r="T30" s="5802"/>
      <c r="U30" s="5802"/>
      <c r="V30" s="5803"/>
      <c r="W30" s="5803"/>
      <c r="X30" s="5803"/>
      <c r="Y30" s="5803"/>
    </row>
    <row r="31">
      <c r="A31" s="5812" t="s">
        <v>5818</v>
      </c>
      <c r="B31" s="5812">
        <v>46225</v>
      </c>
      <c r="C31" s="5812" t="str">
        <v>Wednesday</v>
      </c>
      <c r="D31" s="5813" t="s">
        <v>5842</v>
      </c>
      <c r="E31" s="5813">
        <f t="shared" si="56"/>
      </c>
      <c r="F31" s="5813" t="s">
        <v>5821</v>
      </c>
      <c r="G31" s="5836" t="s">
        <v>5843</v>
      </c>
      <c r="H31" s="5816"/>
      <c r="I31" s="5813" t="s">
        <v>5795</v>
      </c>
      <c r="J31" s="5813"/>
      <c r="K31" s="5802"/>
      <c r="L31" s="5802"/>
      <c r="M31" s="5802"/>
      <c r="N31" s="5802"/>
      <c r="O31" s="5802"/>
      <c r="P31" s="5802"/>
      <c r="Q31" s="5802"/>
      <c r="R31" s="5802"/>
      <c r="S31" s="5802"/>
      <c r="T31" s="5802"/>
      <c r="U31" s="5802"/>
      <c r="V31" s="5803"/>
      <c r="W31" s="5803"/>
      <c r="X31" s="5803"/>
      <c r="Y31" s="5803"/>
    </row>
    <row r="32">
      <c r="A32" s="5832" t="s">
        <v>5822</v>
      </c>
      <c r="B32" s="5832">
        <v>46225</v>
      </c>
      <c r="C32" s="5832" t="str">
        <v>Wednesday</v>
      </c>
      <c r="D32" s="5833" t="s">
        <v>5842</v>
      </c>
      <c r="E32" s="5833">
        <f t="shared" si="56"/>
      </c>
      <c r="F32" s="5833" t="s">
        <v>5844</v>
      </c>
      <c r="G32" s="5838"/>
      <c r="H32" s="5833"/>
      <c r="I32" s="5833" t="s">
        <v>5795</v>
      </c>
      <c r="J32" s="5833"/>
      <c r="K32" s="5802"/>
      <c r="L32" s="5802"/>
      <c r="M32" s="5802"/>
      <c r="N32" s="5802"/>
      <c r="O32" s="5802"/>
      <c r="P32" s="5802"/>
      <c r="Q32" s="5802"/>
      <c r="R32" s="5802"/>
      <c r="S32" s="5802"/>
      <c r="T32" s="5802"/>
      <c r="U32" s="5802"/>
      <c r="V32" s="5803"/>
      <c r="W32" s="5803"/>
      <c r="X32" s="5803"/>
      <c r="Y32" s="5803"/>
    </row>
    <row r="33">
      <c r="A33" s="5812" t="s">
        <v>5818</v>
      </c>
      <c r="B33" s="5812">
        <v>46225</v>
      </c>
      <c r="C33" s="5812" t="str">
        <v>Wednesday</v>
      </c>
      <c r="D33" s="5813" t="s">
        <v>5845</v>
      </c>
      <c r="E33" s="5813">
        <f t="shared" si="56"/>
      </c>
      <c r="F33" s="5813" t="s">
        <v>5816</v>
      </c>
      <c r="G33" s="5836" t="s">
        <v>5825</v>
      </c>
      <c r="H33" s="5816"/>
      <c r="I33" s="5813" t="s">
        <v>5795</v>
      </c>
      <c r="J33" s="5813" t="s">
        <v>5846</v>
      </c>
      <c r="K33" s="5802"/>
      <c r="L33" s="5802"/>
      <c r="M33" s="5802"/>
      <c r="N33" s="5802"/>
      <c r="O33" s="5802"/>
      <c r="P33" s="5802"/>
      <c r="Q33" s="5802"/>
      <c r="R33" s="5802"/>
      <c r="S33" s="5802"/>
      <c r="T33" s="5802"/>
      <c r="U33" s="5802"/>
      <c r="V33" s="5803"/>
      <c r="W33" s="5803"/>
      <c r="X33" s="5803"/>
      <c r="Y33" s="5803"/>
    </row>
    <row r="34">
      <c r="A34" s="5832" t="s">
        <v>5822</v>
      </c>
      <c r="B34" s="5832">
        <v>46225</v>
      </c>
      <c r="C34" s="5832" t="str">
        <v>Wednesday</v>
      </c>
      <c r="D34" s="5833" t="s">
        <v>5845</v>
      </c>
      <c r="E34" s="5833">
        <f t="shared" si="56"/>
      </c>
      <c r="F34" s="5852"/>
      <c r="G34" s="5838" t="s">
        <v>5825</v>
      </c>
      <c r="H34" s="5833"/>
      <c r="I34" s="5833" t="s">
        <v>5795</v>
      </c>
      <c r="J34" s="5833"/>
      <c r="K34" s="5802"/>
      <c r="L34" s="5802"/>
      <c r="M34" s="5802"/>
      <c r="N34" s="5802"/>
      <c r="O34" s="5802"/>
      <c r="P34" s="5802"/>
      <c r="Q34" s="5802"/>
      <c r="R34" s="5802"/>
      <c r="S34" s="5802"/>
      <c r="T34" s="5802"/>
      <c r="U34" s="5802"/>
      <c r="V34" s="5803"/>
      <c r="W34" s="5803"/>
      <c r="X34" s="5803"/>
      <c r="Y34" s="5803"/>
    </row>
    <row r="35">
      <c r="A35" s="5812"/>
      <c r="B35" s="5812"/>
      <c r="C35" s="5812"/>
      <c r="D35" s="5813"/>
      <c r="E35" s="5813"/>
      <c r="F35" s="5813"/>
      <c r="G35" s="5836"/>
      <c r="H35" s="5816"/>
      <c r="I35" s="5813"/>
      <c r="J35" s="5813"/>
      <c r="K35" s="5802"/>
      <c r="L35" s="5802"/>
      <c r="M35" s="5802"/>
      <c r="N35" s="5802"/>
      <c r="O35" s="5802"/>
      <c r="P35" s="5802"/>
      <c r="Q35" s="5802"/>
      <c r="R35" s="5802"/>
      <c r="S35" s="5802"/>
      <c r="T35" s="5802"/>
      <c r="U35" s="5802"/>
      <c r="V35" s="5803"/>
      <c r="W35" s="5803"/>
      <c r="X35" s="5803"/>
      <c r="Y35" s="5803"/>
    </row>
    <row r="36">
      <c r="A36" s="5812" t="s">
        <v>5818</v>
      </c>
      <c r="B36" s="5812">
        <v>46226</v>
      </c>
      <c r="C36" s="5812" t="str">
        <v>Thursday</v>
      </c>
      <c r="D36" s="5813" t="s">
        <v>5847</v>
      </c>
      <c r="E36" s="5813">
        <f t="shared" ref="E36:E44" si="57">24*MOD(TIMEVALUE(TRIM(MID(D36,FIND("-",D36)+1,LEN(D36)))) - TIMEVALUE(TRIM(LEFT(D36,FIND("-",D36)-1))),1)</f>
      </c>
      <c r="F36" s="5813" t="s">
        <v>5821</v>
      </c>
      <c r="G36" s="5836" t="s">
        <v>5812</v>
      </c>
      <c r="H36" s="5816"/>
      <c r="I36" s="5813" t="s">
        <v>5795</v>
      </c>
      <c r="J36" s="5813"/>
      <c r="K36" s="5802"/>
      <c r="L36" s="5802"/>
      <c r="M36" s="5802"/>
      <c r="N36" s="5802"/>
      <c r="O36" s="5802"/>
      <c r="P36" s="5802"/>
      <c r="Q36" s="5802"/>
      <c r="R36" s="5802"/>
      <c r="S36" s="5802"/>
      <c r="T36" s="5802"/>
      <c r="U36" s="5802"/>
      <c r="V36" s="5803"/>
      <c r="W36" s="5803"/>
      <c r="X36" s="5803"/>
      <c r="Y36" s="5803"/>
    </row>
    <row r="37">
      <c r="A37" s="5812" t="s">
        <v>5818</v>
      </c>
      <c r="B37" s="5812">
        <v>46226</v>
      </c>
      <c r="C37" s="5812" t="str">
        <v>Thursday</v>
      </c>
      <c r="D37" s="5813" t="s">
        <v>5804</v>
      </c>
      <c r="E37" s="5813">
        <f t="shared" si="57"/>
      </c>
      <c r="F37" s="5813" t="s">
        <v>5831</v>
      </c>
      <c r="G37" s="5836" t="s">
        <v>5848</v>
      </c>
      <c r="H37" s="5816"/>
      <c r="I37" s="5813" t="s">
        <v>5795</v>
      </c>
      <c r="J37" s="5813"/>
      <c r="K37" s="5802"/>
      <c r="L37" s="5802"/>
      <c r="M37" s="5802"/>
      <c r="N37" s="5802"/>
      <c r="O37" s="5802"/>
      <c r="P37" s="5802"/>
      <c r="Q37" s="5802"/>
      <c r="R37" s="5802"/>
      <c r="S37" s="5802"/>
      <c r="T37" s="5802"/>
      <c r="U37" s="5802"/>
      <c r="V37" s="5803"/>
      <c r="W37" s="5803"/>
      <c r="X37" s="5803"/>
      <c r="Y37" s="5803"/>
    </row>
    <row r="38">
      <c r="A38" s="5832" t="s">
        <v>5822</v>
      </c>
      <c r="B38" s="5832">
        <v>46226</v>
      </c>
      <c r="C38" s="5832" t="str">
        <v>Thursday</v>
      </c>
      <c r="D38" s="5833" t="s">
        <v>5849</v>
      </c>
      <c r="E38" s="5833">
        <f t="shared" si="57"/>
      </c>
      <c r="F38" s="5833" t="s">
        <v>5812</v>
      </c>
      <c r="G38" s="5838"/>
      <c r="H38" s="5833"/>
      <c r="I38" s="5833" t="s">
        <v>5795</v>
      </c>
      <c r="J38" s="5833"/>
      <c r="K38" s="5802"/>
      <c r="L38" s="5802"/>
      <c r="M38" s="5802"/>
      <c r="N38" s="5802"/>
      <c r="O38" s="5802"/>
      <c r="P38" s="5802"/>
      <c r="Q38" s="5802"/>
      <c r="R38" s="5802"/>
      <c r="S38" s="5802"/>
      <c r="T38" s="5802"/>
      <c r="U38" s="5802"/>
      <c r="V38" s="5803"/>
      <c r="W38" s="5803"/>
      <c r="X38" s="5803"/>
      <c r="Y38" s="5803"/>
    </row>
    <row r="39">
      <c r="A39" s="5832" t="s">
        <v>5822</v>
      </c>
      <c r="B39" s="5832">
        <v>46226</v>
      </c>
      <c r="C39" s="5832" t="str">
        <v>Thursday</v>
      </c>
      <c r="D39" s="5833" t="s">
        <v>5826</v>
      </c>
      <c r="E39" s="5833">
        <f t="shared" si="57"/>
      </c>
      <c r="F39" s="5852"/>
      <c r="G39" s="5838" t="s">
        <v>5825</v>
      </c>
      <c r="H39" s="5833"/>
      <c r="I39" s="5833" t="s">
        <v>5795</v>
      </c>
      <c r="J39" s="5833"/>
      <c r="K39" s="5802"/>
      <c r="L39" s="5802"/>
      <c r="M39" s="5802"/>
      <c r="N39" s="5802"/>
      <c r="O39" s="5802"/>
      <c r="P39" s="5802"/>
      <c r="Q39" s="5802"/>
      <c r="R39" s="5802"/>
      <c r="S39" s="5802"/>
      <c r="T39" s="5802"/>
      <c r="U39" s="5802"/>
      <c r="V39" s="5803"/>
      <c r="W39" s="5803"/>
      <c r="X39" s="5803"/>
      <c r="Y39" s="5803"/>
    </row>
    <row r="40">
      <c r="A40" s="5812" t="s">
        <v>5818</v>
      </c>
      <c r="B40" s="5812">
        <v>46226</v>
      </c>
      <c r="C40" s="5812" t="str">
        <v>Thursday</v>
      </c>
      <c r="D40" s="5813" t="s">
        <v>5834</v>
      </c>
      <c r="E40" s="5813">
        <f t="shared" si="57"/>
      </c>
      <c r="F40" s="5813" t="s">
        <v>5816</v>
      </c>
      <c r="G40" s="5836" t="s">
        <v>5850</v>
      </c>
      <c r="H40" s="5816"/>
      <c r="I40" s="5813" t="s">
        <v>5795</v>
      </c>
      <c r="J40" s="5813"/>
      <c r="K40" s="5802"/>
      <c r="L40" s="5802"/>
      <c r="M40" s="5802"/>
      <c r="N40" s="5802"/>
      <c r="O40" s="5802"/>
      <c r="P40" s="5802"/>
      <c r="Q40" s="5802"/>
      <c r="R40" s="5802"/>
      <c r="S40" s="5802"/>
      <c r="T40" s="5802"/>
      <c r="U40" s="5802"/>
      <c r="V40" s="5803"/>
      <c r="W40" s="5803"/>
      <c r="X40" s="5803"/>
      <c r="Y40" s="5803"/>
    </row>
    <row r="41">
      <c r="A41" s="5832" t="s">
        <v>5822</v>
      </c>
      <c r="B41" s="5832">
        <v>46226</v>
      </c>
      <c r="C41" s="5832" t="str">
        <v>Thursday</v>
      </c>
      <c r="D41" s="5833" t="s">
        <v>5834</v>
      </c>
      <c r="E41" s="5833">
        <f t="shared" si="57"/>
      </c>
      <c r="F41" s="5833" t="s">
        <v>5851</v>
      </c>
      <c r="G41" s="5838"/>
      <c r="H41" s="5833"/>
      <c r="I41" s="5833" t="s">
        <v>5795</v>
      </c>
      <c r="J41" s="5833"/>
      <c r="K41" s="5802"/>
      <c r="L41" s="5802"/>
      <c r="M41" s="5802"/>
      <c r="N41" s="5802"/>
      <c r="O41" s="5802"/>
      <c r="P41" s="5802"/>
      <c r="Q41" s="5802"/>
      <c r="R41" s="5802"/>
      <c r="S41" s="5802"/>
      <c r="T41" s="5802"/>
      <c r="U41" s="5802"/>
      <c r="V41" s="5803"/>
      <c r="W41" s="5803"/>
      <c r="X41" s="5803"/>
      <c r="Y41" s="5803"/>
    </row>
    <row r="42">
      <c r="A42" s="5812" t="s">
        <v>5818</v>
      </c>
      <c r="B42" s="5812">
        <v>46226</v>
      </c>
      <c r="C42" s="5812" t="str">
        <v>Thursday</v>
      </c>
      <c r="D42" s="5813" t="s">
        <v>5839</v>
      </c>
      <c r="E42" s="5813">
        <f t="shared" si="57"/>
      </c>
      <c r="F42" s="5813" t="s">
        <v>5831</v>
      </c>
      <c r="G42" s="5836" t="s">
        <v>5832</v>
      </c>
      <c r="H42" s="5816"/>
      <c r="I42" s="5813" t="s">
        <v>5795</v>
      </c>
      <c r="J42" s="5813"/>
      <c r="K42" s="5802"/>
      <c r="L42" s="5802"/>
      <c r="M42" s="5802"/>
      <c r="N42" s="5802"/>
      <c r="O42" s="5802"/>
      <c r="P42" s="5802"/>
      <c r="Q42" s="5802"/>
      <c r="R42" s="5802"/>
      <c r="S42" s="5802"/>
      <c r="T42" s="5802"/>
      <c r="U42" s="5802"/>
      <c r="V42" s="5803"/>
      <c r="W42" s="5803"/>
      <c r="X42" s="5803"/>
      <c r="Y42" s="5803"/>
    </row>
    <row r="43">
      <c r="A43" s="5812" t="s">
        <v>5818</v>
      </c>
      <c r="B43" s="5812">
        <v>46226</v>
      </c>
      <c r="C43" s="5812" t="str">
        <v>Thursday</v>
      </c>
      <c r="D43" s="5813" t="s">
        <v>5852</v>
      </c>
      <c r="E43" s="5813">
        <f t="shared" si="57"/>
      </c>
      <c r="F43" s="5813" t="s">
        <v>5816</v>
      </c>
      <c r="G43" s="5836" t="s">
        <v>5832</v>
      </c>
      <c r="H43" s="5816"/>
      <c r="I43" s="5813" t="s">
        <v>5795</v>
      </c>
      <c r="J43" s="5813"/>
      <c r="K43" s="5802"/>
      <c r="L43" s="5802"/>
      <c r="M43" s="5802"/>
      <c r="N43" s="5802"/>
      <c r="O43" s="5802"/>
      <c r="P43" s="5802"/>
      <c r="Q43" s="5802"/>
      <c r="R43" s="5802"/>
      <c r="S43" s="5802"/>
      <c r="T43" s="5802"/>
      <c r="U43" s="5802"/>
      <c r="V43" s="5803"/>
      <c r="W43" s="5803"/>
      <c r="X43" s="5803"/>
      <c r="Y43" s="5803"/>
    </row>
    <row r="44">
      <c r="A44" s="5832" t="s">
        <v>5822</v>
      </c>
      <c r="B44" s="5832">
        <v>46226</v>
      </c>
      <c r="C44" s="5832" t="str">
        <v>Thursday</v>
      </c>
      <c r="D44" s="5833" t="s">
        <v>5853</v>
      </c>
      <c r="E44" s="5833">
        <f t="shared" si="57"/>
      </c>
      <c r="F44" s="5833" t="s">
        <v>5833</v>
      </c>
      <c r="G44" s="5838"/>
      <c r="H44" s="5833"/>
      <c r="I44" s="5833" t="s">
        <v>5795</v>
      </c>
      <c r="J44" s="5833"/>
      <c r="K44" s="5802"/>
      <c r="L44" s="5802"/>
      <c r="M44" s="5802"/>
      <c r="N44" s="5802"/>
      <c r="O44" s="5802"/>
      <c r="P44" s="5802"/>
      <c r="Q44" s="5802"/>
      <c r="R44" s="5802"/>
      <c r="S44" s="5802"/>
      <c r="T44" s="5802"/>
      <c r="U44" s="5802"/>
      <c r="V44" s="5803"/>
      <c r="W44" s="5803"/>
      <c r="X44" s="5803"/>
      <c r="Y44" s="5803"/>
    </row>
    <row r="45">
      <c r="A45" s="5812"/>
      <c r="B45" s="5812"/>
      <c r="C45" s="5812"/>
      <c r="D45" s="5813"/>
      <c r="E45" s="5813"/>
      <c r="F45" s="5813"/>
      <c r="G45" s="5836"/>
      <c r="H45" s="5816"/>
      <c r="I45" s="5813"/>
      <c r="J45" s="5813"/>
      <c r="K45" s="5802"/>
      <c r="L45" s="5802"/>
      <c r="M45" s="5802"/>
      <c r="N45" s="5802"/>
      <c r="O45" s="5802"/>
      <c r="P45" s="5802"/>
      <c r="Q45" s="5802"/>
      <c r="R45" s="5802"/>
      <c r="S45" s="5802"/>
      <c r="T45" s="5802"/>
      <c r="U45" s="5802"/>
      <c r="V45" s="5803"/>
      <c r="W45" s="5803"/>
      <c r="X45" s="5803"/>
      <c r="Y45" s="5803"/>
    </row>
    <row r="46">
      <c r="A46" s="5812" t="s">
        <v>5818</v>
      </c>
      <c r="B46" s="5812">
        <v>46227</v>
      </c>
      <c r="C46" s="5812" t="str">
        <v>Friday</v>
      </c>
      <c r="D46" s="5853" t="s">
        <v>5854</v>
      </c>
      <c r="E46" s="5813">
        <f t="shared" ref="E46:E56" si="58">24*MOD(TIMEVALUE(TRIM(MID(D46,FIND("-",D46)+1,LEN(D46)))) - TIMEVALUE(TRIM(LEFT(D46,FIND("-",D46)-1))),1)</f>
      </c>
      <c r="F46" s="5813" t="s">
        <v>5821</v>
      </c>
      <c r="G46" s="5836" t="s">
        <v>5825</v>
      </c>
      <c r="H46" s="5813"/>
      <c r="I46" s="5813" t="s">
        <v>5795</v>
      </c>
      <c r="J46" s="5836"/>
      <c r="K46" s="5802"/>
      <c r="L46" s="5802"/>
      <c r="M46" s="5802"/>
      <c r="N46" s="5802"/>
      <c r="O46" s="5802"/>
      <c r="P46" s="5802"/>
      <c r="Q46" s="5802"/>
      <c r="R46" s="5802"/>
      <c r="S46" s="5802"/>
      <c r="T46" s="5802"/>
      <c r="U46" s="5802"/>
      <c r="V46" s="5803"/>
      <c r="W46" s="5803"/>
      <c r="X46" s="5803"/>
      <c r="Y46" s="5803"/>
    </row>
    <row r="47">
      <c r="A47" s="5832" t="s">
        <v>5822</v>
      </c>
      <c r="B47" s="5832">
        <v>46227</v>
      </c>
      <c r="C47" s="5832" t="str">
        <v>Friday</v>
      </c>
      <c r="D47" s="5833" t="s">
        <v>5792</v>
      </c>
      <c r="E47" s="5833">
        <f t="shared" si="58"/>
      </c>
      <c r="F47" s="5854"/>
      <c r="G47" s="5838" t="s">
        <v>5825</v>
      </c>
      <c r="H47" s="5833"/>
      <c r="I47" s="5833" t="s">
        <v>5795</v>
      </c>
      <c r="J47" s="5833"/>
      <c r="K47" s="5802"/>
      <c r="L47" s="5802"/>
      <c r="M47" s="5802"/>
      <c r="N47" s="5802"/>
      <c r="O47" s="5802"/>
      <c r="P47" s="5802"/>
      <c r="Q47" s="5802"/>
      <c r="R47" s="5802"/>
      <c r="S47" s="5802"/>
      <c r="T47" s="5802"/>
      <c r="U47" s="5802"/>
      <c r="V47" s="5803"/>
      <c r="W47" s="5803"/>
      <c r="X47" s="5803"/>
      <c r="Y47" s="5803"/>
    </row>
    <row r="48">
      <c r="A48" s="5812" t="s">
        <v>5818</v>
      </c>
      <c r="B48" s="5812">
        <v>46227</v>
      </c>
      <c r="C48" s="5812" t="str">
        <v>Friday</v>
      </c>
      <c r="D48" s="5853" t="s">
        <v>5855</v>
      </c>
      <c r="E48" s="5813">
        <f t="shared" si="58"/>
      </c>
      <c r="F48" s="5813" t="s">
        <v>5831</v>
      </c>
      <c r="G48" s="5836" t="s">
        <v>5850</v>
      </c>
      <c r="H48" s="5816"/>
      <c r="I48" s="5813" t="s">
        <v>5795</v>
      </c>
      <c r="J48" s="5813"/>
      <c r="K48" s="5802"/>
      <c r="L48" s="5802"/>
      <c r="M48" s="5802"/>
      <c r="N48" s="5802"/>
      <c r="O48" s="5802"/>
      <c r="P48" s="5802"/>
      <c r="Q48" s="5802"/>
      <c r="R48" s="5802"/>
      <c r="S48" s="5802"/>
      <c r="T48" s="5802"/>
      <c r="U48" s="5802"/>
      <c r="V48" s="5803"/>
      <c r="W48" s="5803"/>
      <c r="X48" s="5803"/>
      <c r="Y48" s="5803"/>
    </row>
    <row r="49">
      <c r="A49" s="5832" t="s">
        <v>5822</v>
      </c>
      <c r="B49" s="5832">
        <v>46227</v>
      </c>
      <c r="C49" s="5832" t="str">
        <v>Friday</v>
      </c>
      <c r="D49" s="5833" t="s">
        <v>5804</v>
      </c>
      <c r="E49" s="5833">
        <f t="shared" si="58"/>
      </c>
      <c r="F49" s="5833" t="s">
        <v>5851</v>
      </c>
      <c r="G49" s="5838"/>
      <c r="H49" s="5833"/>
      <c r="I49" s="5833" t="s">
        <v>5795</v>
      </c>
      <c r="J49" s="5833"/>
      <c r="K49" s="5802"/>
      <c r="L49" s="5802"/>
      <c r="M49" s="5802"/>
      <c r="N49" s="5802"/>
      <c r="O49" s="5802"/>
      <c r="P49" s="5802"/>
      <c r="Q49" s="5802"/>
      <c r="R49" s="5802"/>
      <c r="S49" s="5802"/>
      <c r="T49" s="5802"/>
      <c r="U49" s="5802"/>
      <c r="V49" s="5803"/>
      <c r="W49" s="5803"/>
      <c r="X49" s="5803"/>
      <c r="Y49" s="5803"/>
    </row>
    <row r="50">
      <c r="A50" s="5812" t="s">
        <v>5818</v>
      </c>
      <c r="B50" s="5812">
        <v>46227</v>
      </c>
      <c r="C50" s="5812" t="str">
        <v>Friday</v>
      </c>
      <c r="D50" s="5813" t="s">
        <v>5856</v>
      </c>
      <c r="E50" s="5813">
        <f t="shared" si="58"/>
      </c>
      <c r="F50" s="5813" t="s">
        <v>5816</v>
      </c>
      <c r="G50" s="5836" t="s">
        <v>5832</v>
      </c>
      <c r="H50" s="5816"/>
      <c r="I50" s="5813" t="s">
        <v>5795</v>
      </c>
      <c r="J50" s="5813"/>
      <c r="K50" s="5802"/>
      <c r="L50" s="5802"/>
      <c r="M50" s="5802"/>
      <c r="N50" s="5802"/>
      <c r="O50" s="5802"/>
      <c r="P50" s="5802"/>
      <c r="Q50" s="5802"/>
      <c r="R50" s="5802"/>
      <c r="S50" s="5802"/>
      <c r="T50" s="5802"/>
      <c r="U50" s="5802"/>
      <c r="V50" s="5802"/>
      <c r="W50" s="5802"/>
      <c r="X50" s="5802"/>
      <c r="Y50" s="5802"/>
    </row>
    <row r="51">
      <c r="A51" s="5832" t="s">
        <v>5822</v>
      </c>
      <c r="B51" s="5832">
        <v>46227</v>
      </c>
      <c r="C51" s="5832" t="str">
        <v>Friday</v>
      </c>
      <c r="D51" s="5833" t="s">
        <v>5834</v>
      </c>
      <c r="E51" s="5833">
        <f t="shared" si="58"/>
      </c>
      <c r="F51" s="5833" t="s">
        <v>5833</v>
      </c>
      <c r="G51" s="5838"/>
      <c r="H51" s="5833"/>
      <c r="I51" s="5833" t="s">
        <v>5795</v>
      </c>
      <c r="J51" s="5833"/>
      <c r="K51" s="5802"/>
      <c r="L51" s="5802"/>
      <c r="M51" s="5802"/>
      <c r="N51" s="5802"/>
      <c r="O51" s="5802"/>
      <c r="P51" s="5802"/>
      <c r="Q51" s="5802"/>
      <c r="R51" s="5802"/>
      <c r="S51" s="5802"/>
      <c r="T51" s="5802"/>
      <c r="U51" s="5802"/>
      <c r="V51" s="5802"/>
      <c r="W51" s="5802"/>
      <c r="X51" s="5802"/>
      <c r="Y51" s="5802"/>
    </row>
    <row r="52">
      <c r="A52" s="5812" t="s">
        <v>5818</v>
      </c>
      <c r="B52" s="5812">
        <v>46227</v>
      </c>
      <c r="C52" s="5812" t="str">
        <v>Friday</v>
      </c>
      <c r="D52" s="5813" t="s">
        <v>5857</v>
      </c>
      <c r="E52" s="5813">
        <f t="shared" si="58"/>
      </c>
      <c r="F52" s="5813" t="s">
        <v>5821</v>
      </c>
      <c r="G52" s="5836" t="s">
        <v>5812</v>
      </c>
      <c r="H52" s="5816"/>
      <c r="I52" s="5813" t="s">
        <v>5795</v>
      </c>
      <c r="J52" s="5813"/>
      <c r="K52" s="5802"/>
      <c r="L52" s="5802"/>
      <c r="M52" s="5802"/>
      <c r="N52" s="5802"/>
      <c r="O52" s="5802"/>
      <c r="P52" s="5802"/>
      <c r="Q52" s="5802"/>
      <c r="R52" s="5802"/>
      <c r="S52" s="5802"/>
      <c r="T52" s="5802"/>
      <c r="U52" s="5802"/>
      <c r="V52" s="5802"/>
      <c r="W52" s="5802"/>
      <c r="X52" s="5802"/>
      <c r="Y52" s="5802"/>
    </row>
    <row r="53">
      <c r="A53" s="5832" t="s">
        <v>5822</v>
      </c>
      <c r="B53" s="5832">
        <v>46227</v>
      </c>
      <c r="C53" s="5832" t="str">
        <v>Friday</v>
      </c>
      <c r="D53" s="5833" t="s">
        <v>5858</v>
      </c>
      <c r="E53" s="5833">
        <f t="shared" si="58"/>
      </c>
      <c r="F53" s="5833" t="s">
        <v>5812</v>
      </c>
      <c r="G53" s="5838" t="s">
        <v>5824</v>
      </c>
      <c r="H53" s="5833"/>
      <c r="I53" s="5833" t="s">
        <v>5795</v>
      </c>
      <c r="J53" s="5833"/>
      <c r="K53" s="5802"/>
      <c r="L53" s="5802"/>
      <c r="M53" s="5802"/>
      <c r="N53" s="5802"/>
      <c r="O53" s="5802"/>
      <c r="P53" s="5802"/>
      <c r="Q53" s="5802"/>
      <c r="R53" s="5802"/>
      <c r="S53" s="5802"/>
      <c r="T53" s="5802"/>
      <c r="U53" s="5802"/>
      <c r="V53" s="5802"/>
      <c r="W53" s="5802"/>
      <c r="X53" s="5802"/>
      <c r="Y53" s="5802"/>
    </row>
    <row r="54">
      <c r="A54" s="5839" t="s">
        <v>5818</v>
      </c>
      <c r="B54" s="5839">
        <v>46227</v>
      </c>
      <c r="C54" s="5839" t="str">
        <v>Friday</v>
      </c>
      <c r="D54" s="5855" t="s">
        <v>5855</v>
      </c>
      <c r="E54" s="5840">
        <f t="shared" si="58"/>
      </c>
      <c r="F54" s="5840" t="s">
        <v>5821</v>
      </c>
      <c r="G54" s="5841" t="s">
        <v>5859</v>
      </c>
      <c r="H54" s="5840"/>
      <c r="I54" s="5840" t="s">
        <v>5795</v>
      </c>
      <c r="J54" s="5840"/>
      <c r="K54" s="5802"/>
      <c r="L54" s="5802" t="s">
        <v>5860</v>
      </c>
      <c r="M54" s="5802"/>
      <c r="N54" s="5802"/>
      <c r="O54" s="5802"/>
      <c r="P54" s="5802"/>
      <c r="Q54" s="5802"/>
      <c r="R54" s="5802"/>
      <c r="S54" s="5802"/>
      <c r="T54" s="5802"/>
      <c r="U54" s="5802"/>
      <c r="V54" s="5803"/>
      <c r="W54" s="5803"/>
      <c r="X54" s="5803"/>
      <c r="Y54" s="5803"/>
    </row>
    <row r="55">
      <c r="A55" s="5839" t="s">
        <v>5810</v>
      </c>
      <c r="B55" s="5839">
        <v>46227</v>
      </c>
      <c r="C55" s="5839" t="str">
        <v>Friday</v>
      </c>
      <c r="D55" s="5840" t="s">
        <v>5811</v>
      </c>
      <c r="E55" s="5840">
        <f t="shared" si="58"/>
      </c>
      <c r="F55" s="5840" t="s">
        <v>5827</v>
      </c>
      <c r="G55" s="5841" t="s">
        <v>5861</v>
      </c>
      <c r="H55" s="5840"/>
      <c r="I55" s="5840" t="s">
        <v>5795</v>
      </c>
      <c r="J55" s="5840"/>
      <c r="K55" s="5802"/>
      <c r="L55" s="5802"/>
      <c r="M55" s="5802"/>
      <c r="N55" s="5802"/>
      <c r="O55" s="5802"/>
      <c r="P55" s="5802"/>
      <c r="Q55" s="5802"/>
      <c r="R55" s="5802"/>
      <c r="S55" s="5802"/>
      <c r="T55" s="5802"/>
      <c r="U55" s="5802"/>
      <c r="V55" s="5803"/>
      <c r="W55" s="5803"/>
      <c r="X55" s="5803"/>
      <c r="Y55" s="5803"/>
    </row>
    <row r="56">
      <c r="A56" s="5839" t="s">
        <v>5810</v>
      </c>
      <c r="B56" s="5839">
        <v>46227</v>
      </c>
      <c r="C56" s="5839" t="str">
        <v>Friday</v>
      </c>
      <c r="D56" s="5840" t="s">
        <v>5811</v>
      </c>
      <c r="E56" s="5840">
        <f t="shared" si="58"/>
      </c>
      <c r="F56" s="5840" t="s">
        <v>5838</v>
      </c>
      <c r="G56" s="5841" t="s">
        <v>5861</v>
      </c>
      <c r="H56" s="5840"/>
      <c r="I56" s="5840" t="s">
        <v>5795</v>
      </c>
      <c r="J56" s="5840"/>
      <c r="K56" s="5802"/>
      <c r="L56" s="5802"/>
      <c r="M56" s="5802"/>
      <c r="N56" s="5802"/>
      <c r="O56" s="5802"/>
      <c r="P56" s="5802"/>
      <c r="Q56" s="5802"/>
      <c r="R56" s="5802"/>
      <c r="S56" s="5802"/>
      <c r="T56" s="5802"/>
      <c r="U56" s="5802"/>
      <c r="V56" s="5803"/>
      <c r="W56" s="5803"/>
      <c r="X56" s="5803"/>
      <c r="Y56" s="5803"/>
    </row>
    <row r="57">
      <c r="A57" s="5812"/>
      <c r="B57" s="5812"/>
      <c r="C57" s="5812"/>
      <c r="D57" s="5813"/>
      <c r="E57" s="5813"/>
      <c r="F57" s="5813"/>
      <c r="G57" s="5836"/>
      <c r="H57" s="5816"/>
      <c r="I57" s="5813"/>
      <c r="J57" s="5813"/>
      <c r="K57" s="5802"/>
      <c r="L57" s="5802"/>
      <c r="M57" s="5802"/>
      <c r="N57" s="5802"/>
      <c r="O57" s="5802"/>
      <c r="P57" s="5802"/>
      <c r="Q57" s="5802"/>
      <c r="R57" s="5802"/>
      <c r="S57" s="5802"/>
      <c r="T57" s="5802"/>
      <c r="U57" s="5802"/>
      <c r="V57" s="5802"/>
      <c r="W57" s="5802"/>
      <c r="X57" s="5802"/>
      <c r="Y57" s="5802"/>
    </row>
    <row r="58">
      <c r="A58" s="5812" t="s">
        <v>5818</v>
      </c>
      <c r="B58" s="5812">
        <v>46228</v>
      </c>
      <c r="C58" s="5812" t="str">
        <v>Saturday</v>
      </c>
      <c r="D58" s="5813" t="s">
        <v>5849</v>
      </c>
      <c r="E58" s="5813">
        <f t="shared" ref="E58:E65" si="59">24*MOD(TIMEVALUE(TRIM(MID(D58,FIND("-",D58)+1,LEN(D58)))) - TIMEVALUE(TRIM(LEFT(D58,FIND("-",D58)-1))),1)</f>
      </c>
      <c r="F58" s="5813" t="s">
        <v>5816</v>
      </c>
      <c r="G58" s="5836" t="s">
        <v>5832</v>
      </c>
      <c r="H58" s="5816"/>
      <c r="I58" s="5813" t="s">
        <v>5795</v>
      </c>
      <c r="J58" s="5813"/>
      <c r="K58" s="5802"/>
      <c r="L58" s="5802"/>
      <c r="M58" s="5802"/>
      <c r="N58" s="5802"/>
      <c r="O58" s="5802"/>
      <c r="P58" s="5802"/>
      <c r="Q58" s="5802"/>
      <c r="R58" s="5802"/>
      <c r="S58" s="5802"/>
      <c r="T58" s="5802"/>
      <c r="U58" s="5802"/>
      <c r="V58" s="5802"/>
      <c r="W58" s="5802"/>
      <c r="X58" s="5802"/>
      <c r="Y58" s="5802"/>
    </row>
    <row r="59">
      <c r="A59" s="5832" t="s">
        <v>5822</v>
      </c>
      <c r="B59" s="5832">
        <v>46228</v>
      </c>
      <c r="C59" s="5832" t="str">
        <v>Saturday</v>
      </c>
      <c r="D59" s="5833" t="s">
        <v>5849</v>
      </c>
      <c r="E59" s="5833">
        <f t="shared" si="59"/>
      </c>
      <c r="F59" s="5833" t="s">
        <v>5833</v>
      </c>
      <c r="G59" s="5856"/>
      <c r="H59" s="5833"/>
      <c r="I59" s="5833" t="s">
        <v>5795</v>
      </c>
      <c r="J59" s="5833"/>
      <c r="K59" s="5802"/>
      <c r="L59" s="5802"/>
      <c r="M59" s="5802"/>
      <c r="N59" s="5802"/>
      <c r="O59" s="5802"/>
      <c r="P59" s="5802"/>
      <c r="Q59" s="5802"/>
      <c r="R59" s="5802"/>
      <c r="S59" s="5802"/>
      <c r="T59" s="5802"/>
      <c r="U59" s="5802"/>
      <c r="V59" s="5802"/>
      <c r="W59" s="5802"/>
      <c r="X59" s="5802"/>
      <c r="Y59" s="5802"/>
    </row>
    <row r="60">
      <c r="A60" s="5812" t="s">
        <v>5818</v>
      </c>
      <c r="B60" s="5812">
        <v>46228</v>
      </c>
      <c r="C60" s="5812" t="str">
        <v>Saturday</v>
      </c>
      <c r="D60" s="5813" t="s">
        <v>5826</v>
      </c>
      <c r="E60" s="5813">
        <f t="shared" si="59"/>
      </c>
      <c r="F60" s="5813" t="s">
        <v>5862</v>
      </c>
      <c r="G60" s="5836" t="s">
        <v>5843</v>
      </c>
      <c r="H60" s="5816"/>
      <c r="I60" s="5813" t="s">
        <v>5795</v>
      </c>
      <c r="J60" s="5813"/>
      <c r="K60" s="5802"/>
      <c r="L60" s="5802"/>
      <c r="M60" s="5802"/>
      <c r="N60" s="5802"/>
      <c r="O60" s="5802"/>
      <c r="P60" s="5802"/>
      <c r="Q60" s="5802"/>
      <c r="R60" s="5802"/>
      <c r="S60" s="5802"/>
      <c r="T60" s="5802"/>
      <c r="U60" s="5802"/>
      <c r="V60" s="5802"/>
      <c r="W60" s="5802"/>
      <c r="X60" s="5802"/>
      <c r="Y60" s="5802"/>
    </row>
    <row r="61">
      <c r="A61" s="5832" t="s">
        <v>5822</v>
      </c>
      <c r="B61" s="5832">
        <v>46228</v>
      </c>
      <c r="C61" s="5832" t="str">
        <v>Saturday</v>
      </c>
      <c r="D61" s="5833" t="s">
        <v>5826</v>
      </c>
      <c r="E61" s="5833">
        <f t="shared" si="59"/>
      </c>
      <c r="F61" s="5833" t="s">
        <v>5844</v>
      </c>
      <c r="G61" s="5856" t="s">
        <v>5825</v>
      </c>
      <c r="H61" s="5833"/>
      <c r="I61" s="5833" t="s">
        <v>5795</v>
      </c>
      <c r="J61" s="5833"/>
      <c r="K61" s="5802"/>
      <c r="L61" s="5802"/>
      <c r="M61" s="5802"/>
      <c r="N61" s="5802"/>
      <c r="O61" s="5802"/>
      <c r="P61" s="5802"/>
      <c r="Q61" s="5802"/>
      <c r="R61" s="5802"/>
      <c r="S61" s="5802"/>
      <c r="T61" s="5802"/>
      <c r="U61" s="5802"/>
      <c r="V61" s="5802"/>
      <c r="W61" s="5802"/>
      <c r="X61" s="5802"/>
      <c r="Y61" s="5802"/>
    </row>
    <row r="62">
      <c r="A62" s="5812" t="s">
        <v>5818</v>
      </c>
      <c r="B62" s="5812">
        <v>46228</v>
      </c>
      <c r="C62" s="5812" t="str">
        <v>Saturday</v>
      </c>
      <c r="D62" s="5813" t="s">
        <v>5834</v>
      </c>
      <c r="E62" s="5813">
        <f t="shared" si="59"/>
      </c>
      <c r="F62" s="5813" t="s">
        <v>5793</v>
      </c>
      <c r="G62" s="5836" t="s">
        <v>5850</v>
      </c>
      <c r="H62" s="5857"/>
      <c r="I62" s="5858" t="s">
        <v>5795</v>
      </c>
      <c r="J62" s="5813"/>
      <c r="K62" s="5802"/>
      <c r="L62" s="5802"/>
      <c r="M62" s="5802"/>
      <c r="N62" s="5802"/>
      <c r="O62" s="5802"/>
      <c r="P62" s="5802"/>
      <c r="Q62" s="5802"/>
      <c r="R62" s="5802"/>
      <c r="S62" s="5802"/>
      <c r="T62" s="5802"/>
      <c r="U62" s="5802"/>
      <c r="V62" s="5802"/>
      <c r="W62" s="5802"/>
      <c r="X62" s="5802"/>
      <c r="Y62" s="5802"/>
    </row>
    <row r="63">
      <c r="A63" s="5832" t="s">
        <v>5822</v>
      </c>
      <c r="B63" s="5832">
        <v>46228</v>
      </c>
      <c r="C63" s="5832" t="str">
        <v>Saturday</v>
      </c>
      <c r="D63" s="5833" t="s">
        <v>5834</v>
      </c>
      <c r="E63" s="5833">
        <f t="shared" si="59"/>
      </c>
      <c r="F63" s="5833" t="s">
        <v>5851</v>
      </c>
      <c r="G63" s="5856"/>
      <c r="H63" s="5833"/>
      <c r="I63" s="5833" t="s">
        <v>5795</v>
      </c>
      <c r="J63" s="5833"/>
      <c r="K63" s="5802"/>
      <c r="L63" s="5802"/>
      <c r="M63" s="5802"/>
      <c r="N63" s="5802"/>
      <c r="O63" s="5802"/>
      <c r="P63" s="5802"/>
      <c r="Q63" s="5802"/>
      <c r="R63" s="5802"/>
      <c r="S63" s="5802"/>
      <c r="T63" s="5802"/>
      <c r="U63" s="5802"/>
      <c r="V63" s="5802"/>
      <c r="W63" s="5802"/>
      <c r="X63" s="5802"/>
      <c r="Y63" s="5802"/>
    </row>
    <row r="64">
      <c r="A64" s="5812" t="s">
        <v>5818</v>
      </c>
      <c r="B64" s="5812">
        <v>46228</v>
      </c>
      <c r="C64" s="5812" t="str">
        <v>Saturday</v>
      </c>
      <c r="D64" s="5813" t="s">
        <v>5863</v>
      </c>
      <c r="E64" s="5813">
        <f t="shared" si="59"/>
      </c>
      <c r="F64" s="5813" t="s">
        <v>5821</v>
      </c>
      <c r="G64" s="5836" t="s">
        <v>5812</v>
      </c>
      <c r="H64" s="5857"/>
      <c r="I64" s="5813" t="s">
        <v>5795</v>
      </c>
      <c r="J64" s="5813"/>
      <c r="K64" s="5802"/>
      <c r="L64" s="5802"/>
      <c r="M64" s="5802"/>
      <c r="N64" s="5802"/>
      <c r="O64" s="5802"/>
      <c r="P64" s="5802"/>
      <c r="Q64" s="5802"/>
      <c r="R64" s="5802"/>
      <c r="S64" s="5802"/>
      <c r="T64" s="5802"/>
      <c r="U64" s="5802"/>
      <c r="V64" s="5802"/>
      <c r="W64" s="5802"/>
      <c r="X64" s="5802"/>
      <c r="Y64" s="5802"/>
    </row>
    <row r="65">
      <c r="A65" s="5832" t="s">
        <v>5822</v>
      </c>
      <c r="B65" s="5832">
        <v>46228</v>
      </c>
      <c r="C65" s="5832" t="str">
        <v>Saturday</v>
      </c>
      <c r="D65" s="5833" t="s">
        <v>5857</v>
      </c>
      <c r="E65" s="5833">
        <f t="shared" si="59"/>
      </c>
      <c r="F65" s="5833" t="s">
        <v>5812</v>
      </c>
      <c r="G65" s="5838" t="s">
        <v>5824</v>
      </c>
      <c r="H65" s="5833"/>
      <c r="I65" s="5833" t="s">
        <v>5795</v>
      </c>
      <c r="J65" s="5833"/>
      <c r="K65" s="5802"/>
      <c r="L65" s="5802"/>
      <c r="M65" s="5802"/>
      <c r="N65" s="5802"/>
      <c r="O65" s="5802"/>
      <c r="P65" s="5802"/>
      <c r="Q65" s="5802"/>
      <c r="R65" s="5802"/>
      <c r="S65" s="5802"/>
      <c r="T65" s="5802"/>
      <c r="U65" s="5802"/>
      <c r="V65" s="5802"/>
      <c r="W65" s="5802"/>
      <c r="X65" s="5802"/>
      <c r="Y65" s="5802"/>
    </row>
    <row r="66">
      <c r="A66" s="5812"/>
      <c r="B66" s="5812"/>
      <c r="C66" s="5812"/>
      <c r="D66" s="5817"/>
      <c r="E66" s="5817"/>
      <c r="F66" s="5859"/>
      <c r="G66" s="5860"/>
      <c r="H66" s="5816"/>
      <c r="I66" s="5858"/>
      <c r="J66" s="5813"/>
      <c r="K66" s="5802"/>
      <c r="L66" s="5802"/>
      <c r="M66" s="5802"/>
      <c r="N66" s="5802"/>
      <c r="O66" s="5802"/>
      <c r="P66" s="5802"/>
      <c r="Q66" s="5802"/>
      <c r="R66" s="5802"/>
      <c r="S66" s="5802"/>
      <c r="T66" s="5802"/>
      <c r="U66" s="5802"/>
      <c r="V66" s="5802"/>
      <c r="W66" s="5802"/>
      <c r="X66" s="5802"/>
      <c r="Y66" s="5802"/>
    </row>
    <row r="67">
      <c r="A67" s="5812" t="s">
        <v>5818</v>
      </c>
      <c r="B67" s="5812">
        <v>46229</v>
      </c>
      <c r="C67" s="5812" t="str">
        <v>Sunday</v>
      </c>
      <c r="D67" s="5813" t="s">
        <v>5847</v>
      </c>
      <c r="E67" s="5813">
        <f t="shared" ref="E67:E71" si="60">24*MOD(TIMEVALUE(TRIM(MID(D67,FIND("-",D67)+1,LEN(D67)))) - TIMEVALUE(TRIM(LEFT(D67,FIND("-",D67)-1))),1)</f>
      </c>
      <c r="F67" s="5813" t="s">
        <v>5821</v>
      </c>
      <c r="G67" s="5836" t="s">
        <v>5850</v>
      </c>
      <c r="H67" s="5813"/>
      <c r="I67" s="5813" t="s">
        <v>5795</v>
      </c>
      <c r="J67" s="5813"/>
      <c r="K67" s="5802"/>
      <c r="L67" s="5802"/>
      <c r="M67" s="5802"/>
      <c r="N67" s="5802"/>
      <c r="O67" s="5802"/>
      <c r="P67" s="5802"/>
      <c r="Q67" s="5802"/>
      <c r="R67" s="5802"/>
      <c r="S67" s="5802"/>
      <c r="T67" s="5802"/>
      <c r="U67" s="5802"/>
      <c r="V67" s="5803"/>
      <c r="W67" s="5803"/>
      <c r="X67" s="5803"/>
      <c r="Y67" s="5803"/>
    </row>
    <row r="68">
      <c r="A68" s="5812" t="s">
        <v>5818</v>
      </c>
      <c r="B68" s="5812">
        <v>46229</v>
      </c>
      <c r="C68" s="5812" t="str">
        <v>Sunday</v>
      </c>
      <c r="D68" s="5813" t="s">
        <v>5864</v>
      </c>
      <c r="E68" s="5813">
        <f t="shared" si="60"/>
      </c>
      <c r="F68" s="5813" t="s">
        <v>5862</v>
      </c>
      <c r="G68" s="5836" t="s">
        <v>5850</v>
      </c>
      <c r="H68" s="5816"/>
      <c r="I68" s="5813" t="s">
        <v>5795</v>
      </c>
      <c r="J68" s="5813"/>
      <c r="K68" s="5802"/>
      <c r="L68" s="5802"/>
      <c r="M68" s="5802"/>
      <c r="N68" s="5802"/>
      <c r="O68" s="5802"/>
      <c r="P68" s="5802"/>
      <c r="Q68" s="5802"/>
      <c r="R68" s="5802"/>
      <c r="S68" s="5802"/>
      <c r="T68" s="5802"/>
      <c r="U68" s="5802"/>
      <c r="V68" s="5803"/>
      <c r="W68" s="5803"/>
      <c r="X68" s="5803"/>
      <c r="Y68" s="5803"/>
    </row>
    <row r="69">
      <c r="A69" s="5861" t="s">
        <v>5822</v>
      </c>
      <c r="B69" s="5861">
        <v>46229</v>
      </c>
      <c r="C69" s="5861" t="str">
        <v>Sunday</v>
      </c>
      <c r="D69" s="5862" t="s">
        <v>5849</v>
      </c>
      <c r="E69" s="5862">
        <f t="shared" si="60"/>
      </c>
      <c r="F69" s="5862" t="s">
        <v>5851</v>
      </c>
      <c r="G69" s="5863"/>
      <c r="H69" s="5862"/>
      <c r="I69" s="5862" t="s">
        <v>5795</v>
      </c>
      <c r="J69" s="5864" t="s">
        <v>5865</v>
      </c>
      <c r="K69" s="5865"/>
      <c r="L69" s="5865"/>
      <c r="M69" s="5865"/>
      <c r="N69" s="5865"/>
      <c r="O69" s="5865"/>
      <c r="P69" s="5865"/>
      <c r="Q69" s="5865"/>
      <c r="R69" s="5865"/>
      <c r="S69" s="5865"/>
      <c r="T69" s="5865"/>
      <c r="U69" s="5865"/>
      <c r="V69" s="5865"/>
      <c r="W69" s="5865"/>
      <c r="X69" s="5865"/>
      <c r="Y69" s="5865"/>
    </row>
    <row r="70">
      <c r="A70" s="5812" t="s">
        <v>5818</v>
      </c>
      <c r="B70" s="5812">
        <v>46229</v>
      </c>
      <c r="C70" s="5812" t="str">
        <v>Sunday</v>
      </c>
      <c r="D70" s="5813" t="s">
        <v>5842</v>
      </c>
      <c r="E70" s="5813">
        <f t="shared" si="60"/>
      </c>
      <c r="F70" s="5813" t="s">
        <v>5821</v>
      </c>
      <c r="G70" s="5836" t="s">
        <v>5812</v>
      </c>
      <c r="H70" s="5816"/>
      <c r="I70" s="5813" t="s">
        <v>5795</v>
      </c>
      <c r="J70" s="5813"/>
      <c r="K70" s="5802"/>
      <c r="L70" s="5802"/>
      <c r="M70" s="5802"/>
      <c r="N70" s="5802"/>
      <c r="O70" s="5802"/>
      <c r="P70" s="5802"/>
      <c r="Q70" s="5802"/>
      <c r="R70" s="5802"/>
      <c r="S70" s="5802"/>
      <c r="T70" s="5802"/>
      <c r="U70" s="5802"/>
      <c r="V70" s="5803"/>
      <c r="W70" s="5803"/>
      <c r="X70" s="5803"/>
      <c r="Y70" s="5803"/>
    </row>
    <row r="71">
      <c r="A71" s="5832" t="s">
        <v>5822</v>
      </c>
      <c r="B71" s="5832">
        <v>46229</v>
      </c>
      <c r="C71" s="5832" t="str">
        <v>Sunday</v>
      </c>
      <c r="D71" s="5866" t="s">
        <v>5866</v>
      </c>
      <c r="E71" s="5833">
        <f t="shared" si="60"/>
      </c>
      <c r="F71" s="5833" t="s">
        <v>5812</v>
      </c>
      <c r="G71" s="5867" t="s">
        <v>5867</v>
      </c>
      <c r="H71" s="5833"/>
      <c r="I71" s="5833" t="s">
        <v>5795</v>
      </c>
      <c r="J71" s="5833"/>
      <c r="K71" s="5802"/>
      <c r="L71" s="5802"/>
      <c r="M71" s="5802"/>
      <c r="N71" s="5802"/>
      <c r="O71" s="5802"/>
      <c r="P71" s="5802"/>
      <c r="Q71" s="5802"/>
      <c r="R71" s="5802"/>
      <c r="S71" s="5802"/>
      <c r="T71" s="5802"/>
      <c r="U71" s="5802"/>
      <c r="V71" s="5802"/>
      <c r="W71" s="5802"/>
      <c r="X71" s="5802"/>
      <c r="Y71" s="5802"/>
    </row>
    <row r="72">
      <c r="A72" s="5803"/>
      <c r="B72" s="5803"/>
      <c r="C72" s="5803"/>
      <c r="D72" s="5803"/>
      <c r="E72" s="5803"/>
      <c r="F72" s="5803"/>
      <c r="G72" s="5803"/>
      <c r="H72" s="5803"/>
      <c r="I72" s="5803"/>
      <c r="J72" s="5803"/>
      <c r="K72" s="5802"/>
      <c r="L72" s="5802"/>
      <c r="M72" s="5802"/>
      <c r="N72" s="5802"/>
      <c r="O72" s="5802"/>
      <c r="P72" s="5802"/>
      <c r="Q72" s="5802"/>
      <c r="R72" s="5802"/>
      <c r="S72" s="5802"/>
      <c r="T72" s="5802"/>
      <c r="U72" s="5802"/>
      <c r="V72" s="5803"/>
      <c r="W72" s="5803"/>
      <c r="X72" s="5803"/>
      <c r="Y72" s="5803"/>
    </row>
    <row r="73">
      <c r="A73" s="5868" t="s">
        <v>5868</v>
      </c>
      <c r="B73" s="5868"/>
      <c r="C73" s="5868"/>
      <c r="D73" s="5868"/>
      <c r="E73" s="5868"/>
      <c r="F73" s="5868"/>
      <c r="G73" s="5869"/>
      <c r="H73" s="5869"/>
      <c r="I73" s="5869"/>
      <c r="J73" s="5869"/>
      <c r="K73" s="5870"/>
      <c r="L73" s="5870"/>
      <c r="M73" s="5870"/>
      <c r="N73" s="5870"/>
      <c r="O73" s="5801"/>
      <c r="P73" s="5801"/>
      <c r="Q73" s="5801"/>
      <c r="R73" s="5801"/>
      <c r="S73" s="5801"/>
      <c r="T73" s="5801"/>
      <c r="U73" s="5802"/>
      <c r="V73" s="5803"/>
      <c r="W73" s="5803"/>
      <c r="X73" s="5803"/>
      <c r="Y73" s="5803"/>
    </row>
    <row r="74">
      <c r="A74" s="5871" t="s">
        <v>5782</v>
      </c>
      <c r="B74" s="5872" t="s">
        <v>5783</v>
      </c>
      <c r="C74" s="5872"/>
      <c r="D74" s="5873" t="s">
        <v>5784</v>
      </c>
      <c r="E74" s="5873" t="s">
        <v>5785</v>
      </c>
      <c r="F74" s="5873" t="s">
        <v>5786</v>
      </c>
      <c r="G74" s="5874" t="s">
        <v>5809</v>
      </c>
      <c r="H74" s="5871" t="s">
        <v>5788</v>
      </c>
      <c r="I74" s="5871" t="s">
        <v>5789</v>
      </c>
      <c r="J74" s="5871" t="s">
        <v>5790</v>
      </c>
      <c r="K74" s="5870"/>
      <c r="L74" s="5870"/>
      <c r="M74" s="5870"/>
      <c r="N74" s="5870"/>
      <c r="O74" s="5801"/>
      <c r="P74" s="5801"/>
      <c r="Q74" s="5801"/>
      <c r="R74" s="5801"/>
      <c r="S74" s="5801"/>
      <c r="T74" s="5801"/>
      <c r="U74" s="5802"/>
      <c r="V74" s="5803"/>
      <c r="W74" s="5803"/>
      <c r="X74" s="5803"/>
      <c r="Y74" s="5803"/>
    </row>
    <row r="75">
      <c r="A75" s="5812" t="s">
        <v>5869</v>
      </c>
      <c r="B75" s="5812">
        <v>46225</v>
      </c>
      <c r="C75" s="5875" t="str">
        <v>Wednesday</v>
      </c>
      <c r="D75" s="5813" t="s">
        <v>5870</v>
      </c>
      <c r="E75" s="5858">
        <f>24*MOD(TIMEVALUE(TRIM(MID(D75,FIND("-",D75)+1,LEN(D75)))) - TIMEVALUE(TRIM(LEFT(D75,FIND("-",D75)-1))),1)</f>
      </c>
      <c r="F75" s="5813" t="s">
        <v>5871</v>
      </c>
      <c r="G75" s="5876"/>
      <c r="H75" s="5813" t="s">
        <v>5794</v>
      </c>
      <c r="I75" s="5813" t="s">
        <v>5795</v>
      </c>
      <c r="J75" s="5813"/>
      <c r="K75" s="5870"/>
      <c r="L75" s="5870"/>
      <c r="M75" s="5870"/>
      <c r="N75" s="5870"/>
      <c r="O75" s="5801"/>
      <c r="P75" s="5801"/>
      <c r="Q75" s="5801"/>
      <c r="R75" s="5801"/>
      <c r="S75" s="5801"/>
      <c r="T75" s="5801"/>
      <c r="U75" s="5802"/>
      <c r="V75" s="5803"/>
      <c r="W75" s="5803"/>
      <c r="X75" s="5803"/>
      <c r="Y75" s="5803"/>
    </row>
    <row r="76">
      <c r="A76" s="5803"/>
      <c r="B76" s="5803"/>
      <c r="C76" s="5803"/>
      <c r="D76" s="5803"/>
      <c r="E76" s="5803"/>
      <c r="F76" s="5803"/>
      <c r="G76" s="5803"/>
      <c r="H76" s="5803"/>
      <c r="I76" s="5803"/>
      <c r="J76" s="5803"/>
      <c r="K76" s="5803"/>
      <c r="L76" s="5803"/>
      <c r="M76" s="5803"/>
      <c r="N76" s="5803"/>
      <c r="O76" s="5803"/>
      <c r="P76" s="5803"/>
      <c r="Q76" s="5803"/>
      <c r="R76" s="5803"/>
      <c r="S76" s="5803"/>
      <c r="T76" s="5803"/>
      <c r="U76" s="5803"/>
      <c r="V76" s="5803"/>
      <c r="W76" s="5803"/>
      <c r="X76" s="5803"/>
      <c r="Y76" s="5803"/>
    </row>
    <row r="77">
      <c r="A77" s="5845" t="s">
        <v>5868</v>
      </c>
      <c r="B77" s="5845">
        <v>46224</v>
      </c>
      <c r="C77" s="5845" t="str">
        <v>Tuesday</v>
      </c>
      <c r="D77" s="5846" t="s">
        <v>5872</v>
      </c>
      <c r="E77" s="5848">
        <f t="shared" ref="E77:E82" si="61">24*MOD(TIMEVALUE(TRIM(MID(D77,FIND("-",D77)+1,LEN(D77)))) - TIMEVALUE(TRIM(LEFT(D77,FIND("-",D77)-1))),1)</f>
      </c>
      <c r="F77" s="5848" t="s">
        <v>5873</v>
      </c>
      <c r="G77" s="5877"/>
      <c r="H77" s="5846" t="s">
        <v>5794</v>
      </c>
      <c r="I77" s="5846" t="s">
        <v>5795</v>
      </c>
      <c r="J77" s="5846"/>
      <c r="K77" s="5870"/>
      <c r="L77" s="5870"/>
      <c r="M77" s="5870"/>
      <c r="N77" s="5870"/>
      <c r="O77" s="5801"/>
      <c r="P77" s="5801"/>
      <c r="Q77" s="5801"/>
      <c r="R77" s="5801"/>
      <c r="S77" s="5801"/>
      <c r="T77" s="5801"/>
      <c r="U77" s="5802"/>
      <c r="V77" s="5803"/>
      <c r="W77" s="5803"/>
      <c r="X77" s="5803"/>
      <c r="Y77" s="5803"/>
    </row>
    <row r="78">
      <c r="A78" s="5812" t="s">
        <v>5868</v>
      </c>
      <c r="B78" s="5812">
        <v>46225</v>
      </c>
      <c r="C78" s="5812" t="str">
        <v>Wednesday</v>
      </c>
      <c r="D78" s="5799" t="s">
        <v>5874</v>
      </c>
      <c r="E78" s="5813">
        <f t="shared" si="61"/>
      </c>
      <c r="F78" s="5816" t="s">
        <v>5873</v>
      </c>
      <c r="G78" s="5876"/>
      <c r="H78" s="5813" t="s">
        <v>5794</v>
      </c>
      <c r="I78" s="5813" t="s">
        <v>5795</v>
      </c>
      <c r="J78" s="5813"/>
      <c r="K78" s="5870"/>
      <c r="L78" s="5870"/>
      <c r="M78" s="5870"/>
      <c r="N78" s="5870"/>
      <c r="O78" s="5801"/>
      <c r="P78" s="5801"/>
      <c r="Q78" s="5801"/>
      <c r="R78" s="5801"/>
      <c r="S78" s="5801"/>
      <c r="T78" s="5801"/>
      <c r="U78" s="5802"/>
      <c r="V78" s="5802"/>
      <c r="W78" s="5802"/>
      <c r="X78" s="5802"/>
      <c r="Y78" s="5802"/>
    </row>
    <row r="79">
      <c r="A79" s="5812" t="s">
        <v>5868</v>
      </c>
      <c r="B79" s="5812">
        <v>46226</v>
      </c>
      <c r="C79" s="5812" t="str">
        <v>Thursday</v>
      </c>
      <c r="D79" s="5878" t="s">
        <v>5875</v>
      </c>
      <c r="E79" s="5813">
        <f t="shared" si="61"/>
      </c>
      <c r="F79" s="5816" t="s">
        <v>5876</v>
      </c>
      <c r="G79" s="5876" t="s">
        <v>5877</v>
      </c>
      <c r="H79" s="5813" t="s">
        <v>5794</v>
      </c>
      <c r="I79" s="5813" t="s">
        <v>5795</v>
      </c>
      <c r="J79" s="5813"/>
      <c r="K79" s="5870"/>
      <c r="L79" s="5870"/>
      <c r="M79" s="5870"/>
      <c r="N79" s="5870"/>
      <c r="O79" s="5801"/>
      <c r="P79" s="5801"/>
      <c r="Q79" s="5801"/>
      <c r="R79" s="5801"/>
      <c r="S79" s="5801"/>
      <c r="T79" s="5801"/>
      <c r="U79" s="5802"/>
      <c r="V79" s="5803"/>
      <c r="W79" s="5803"/>
      <c r="X79" s="5803"/>
      <c r="Y79" s="5803"/>
    </row>
    <row r="80">
      <c r="A80" s="5812" t="s">
        <v>5868</v>
      </c>
      <c r="B80" s="5812">
        <v>46227</v>
      </c>
      <c r="C80" s="5812" t="str">
        <v>Friday</v>
      </c>
      <c r="D80" s="5813" t="s">
        <v>5872</v>
      </c>
      <c r="E80" s="5813">
        <f t="shared" si="61"/>
      </c>
      <c r="F80" s="5816" t="s">
        <v>5876</v>
      </c>
      <c r="G80" s="5879" t="s">
        <v>5878</v>
      </c>
      <c r="H80" s="5813" t="s">
        <v>5794</v>
      </c>
      <c r="I80" s="5816" t="s">
        <v>5795</v>
      </c>
      <c r="J80" s="5813"/>
      <c r="K80" s="5870"/>
      <c r="L80" s="5870"/>
      <c r="M80" s="5870"/>
      <c r="N80" s="5870"/>
      <c r="O80" s="5801"/>
      <c r="P80" s="5801"/>
      <c r="Q80" s="5801"/>
      <c r="R80" s="5801"/>
      <c r="S80" s="5801"/>
      <c r="T80" s="5801"/>
      <c r="U80" s="5802"/>
      <c r="V80" s="5803"/>
      <c r="W80" s="5803"/>
      <c r="X80" s="5803"/>
      <c r="Y80" s="5803"/>
    </row>
    <row r="81">
      <c r="A81" s="5861" t="s">
        <v>5868</v>
      </c>
      <c r="B81" s="5861">
        <v>46228</v>
      </c>
      <c r="C81" s="5861" t="str">
        <v>Saturday</v>
      </c>
      <c r="D81" s="5862" t="s">
        <v>5879</v>
      </c>
      <c r="E81" s="5862">
        <f t="shared" si="61"/>
      </c>
      <c r="F81" s="5862" t="s">
        <v>5873</v>
      </c>
      <c r="G81" s="5863" t="s">
        <v>5880</v>
      </c>
      <c r="H81" s="5862" t="s">
        <v>5794</v>
      </c>
      <c r="I81" s="5862" t="s">
        <v>5881</v>
      </c>
      <c r="J81" s="5853" t="s">
        <v>5882</v>
      </c>
      <c r="K81" s="5870"/>
      <c r="L81" s="5870"/>
      <c r="M81" s="5870"/>
      <c r="N81" s="5870"/>
      <c r="O81" s="5801"/>
      <c r="P81" s="5801"/>
      <c r="Q81" s="5801"/>
      <c r="R81" s="5801"/>
      <c r="S81" s="5801"/>
      <c r="T81" s="5801"/>
      <c r="U81" s="5802"/>
      <c r="V81" s="5803"/>
      <c r="W81" s="5803"/>
      <c r="X81" s="5803"/>
      <c r="Y81" s="5803"/>
    </row>
    <row r="82">
      <c r="A82" s="5880" t="s">
        <v>5868</v>
      </c>
      <c r="B82" s="5812">
        <v>46229</v>
      </c>
      <c r="C82" s="5880" t="str">
        <v>Sunday</v>
      </c>
      <c r="D82" s="5881" t="s">
        <v>5872</v>
      </c>
      <c r="E82" s="5881">
        <f t="shared" si="61"/>
      </c>
      <c r="F82" s="5816" t="s">
        <v>5876</v>
      </c>
      <c r="G82" s="5882"/>
      <c r="H82" s="5881" t="s">
        <v>5794</v>
      </c>
      <c r="I82" s="5813" t="s">
        <v>5795</v>
      </c>
      <c r="J82" s="5881"/>
      <c r="K82" s="5870"/>
      <c r="L82" s="5870"/>
      <c r="M82" s="5870"/>
      <c r="N82" s="5870"/>
      <c r="O82" s="5801"/>
      <c r="P82" s="5801"/>
      <c r="Q82" s="5801"/>
      <c r="R82" s="5801"/>
      <c r="S82" s="5801"/>
      <c r="T82" s="5801"/>
      <c r="U82" s="5802"/>
      <c r="V82" s="5803"/>
      <c r="W82" s="5803"/>
      <c r="X82" s="5803"/>
      <c r="Y82" s="5803"/>
    </row>
    <row r="83">
      <c r="A83" s="5803"/>
      <c r="B83" s="5803"/>
      <c r="C83" s="5803"/>
      <c r="D83" s="5803"/>
      <c r="E83" s="5803"/>
      <c r="F83" s="5803"/>
      <c r="G83" s="5803"/>
      <c r="H83" s="5803"/>
      <c r="I83" s="5803"/>
      <c r="J83" s="5803"/>
      <c r="K83" s="5802"/>
      <c r="L83" s="5870"/>
      <c r="M83" s="5802"/>
      <c r="N83" s="5802"/>
      <c r="O83" s="5802"/>
      <c r="P83" s="5802"/>
      <c r="Q83" s="5802"/>
      <c r="R83" s="5802"/>
      <c r="S83" s="5802"/>
      <c r="T83" s="5802"/>
      <c r="U83" s="5802"/>
      <c r="V83" s="5803"/>
      <c r="W83" s="5803"/>
      <c r="X83" s="5803"/>
      <c r="Y83" s="5803"/>
    </row>
    <row r="84">
      <c r="A84" s="5812" t="s">
        <v>5883</v>
      </c>
      <c r="B84" s="5812">
        <v>46224</v>
      </c>
      <c r="C84" s="5812" t="str">
        <v>Tuesday</v>
      </c>
      <c r="D84" s="5813" t="s">
        <v>5884</v>
      </c>
      <c r="E84" s="5813">
        <f t="shared" ref="E84:E88" si="62">24*MOD(TIMEVALUE(TRIM(MID(D84,FIND("-",D84)+1,LEN(D84)))) - TIMEVALUE(TRIM(LEFT(D84,FIND("-",D84)-1))),1)</f>
      </c>
      <c r="F84" s="5816" t="s">
        <v>5876</v>
      </c>
      <c r="G84" s="5876"/>
      <c r="H84" s="5813" t="s">
        <v>5794</v>
      </c>
      <c r="I84" s="5813" t="s">
        <v>5795</v>
      </c>
      <c r="J84" s="5813" t="s">
        <v>5885</v>
      </c>
      <c r="K84" s="5870"/>
      <c r="L84" s="5870"/>
      <c r="M84" s="5870"/>
      <c r="N84" s="5870"/>
      <c r="O84" s="5801"/>
      <c r="P84" s="5801"/>
      <c r="Q84" s="5801"/>
      <c r="R84" s="5801"/>
      <c r="S84" s="5801"/>
      <c r="T84" s="5801"/>
      <c r="U84" s="5802"/>
      <c r="V84" s="5803"/>
      <c r="W84" s="5803"/>
      <c r="X84" s="5803"/>
      <c r="Y84" s="5803"/>
    </row>
    <row r="85">
      <c r="A85" s="5812" t="s">
        <v>5883</v>
      </c>
      <c r="B85" s="5812">
        <v>46225</v>
      </c>
      <c r="C85" s="5812" t="str">
        <v>Wednesday</v>
      </c>
      <c r="D85" s="5846" t="s">
        <v>5886</v>
      </c>
      <c r="E85" s="5813">
        <f t="shared" si="62"/>
      </c>
      <c r="F85" s="5813" t="s">
        <v>5831</v>
      </c>
      <c r="G85" s="5876"/>
      <c r="H85" s="5813" t="s">
        <v>5794</v>
      </c>
      <c r="I85" s="5813" t="s">
        <v>5795</v>
      </c>
      <c r="J85" s="5813"/>
      <c r="K85" s="5870"/>
      <c r="L85" s="5870"/>
      <c r="M85" s="5870"/>
      <c r="N85" s="5870"/>
      <c r="O85" s="5801"/>
      <c r="P85" s="5801"/>
      <c r="Q85" s="5801"/>
      <c r="R85" s="5801"/>
      <c r="S85" s="5801"/>
      <c r="T85" s="5801"/>
      <c r="U85" s="5802"/>
      <c r="V85" s="5803"/>
      <c r="W85" s="5803"/>
      <c r="X85" s="5803"/>
      <c r="Y85" s="5803"/>
    </row>
    <row r="86">
      <c r="A86" s="5812" t="s">
        <v>5883</v>
      </c>
      <c r="B86" s="5812">
        <v>46227</v>
      </c>
      <c r="C86" s="5845" t="str">
        <v>Friday</v>
      </c>
      <c r="D86" s="5883" t="s">
        <v>5887</v>
      </c>
      <c r="E86" s="5846">
        <f t="shared" si="62"/>
      </c>
      <c r="F86" s="5813" t="s">
        <v>5831</v>
      </c>
      <c r="G86" s="5877"/>
      <c r="H86" s="5813" t="s">
        <v>5794</v>
      </c>
      <c r="I86" s="5813" t="s">
        <v>5795</v>
      </c>
      <c r="J86" s="5813"/>
      <c r="K86" s="5870"/>
      <c r="L86" s="5870"/>
      <c r="M86" s="5870"/>
      <c r="N86" s="5870"/>
      <c r="O86" s="5801"/>
      <c r="P86" s="5801"/>
      <c r="Q86" s="5801"/>
      <c r="R86" s="5801"/>
      <c r="S86" s="5801"/>
      <c r="T86" s="5801"/>
      <c r="U86" s="5802"/>
      <c r="V86" s="5803"/>
      <c r="W86" s="5803"/>
      <c r="X86" s="5803"/>
      <c r="Y86" s="5803"/>
    </row>
    <row r="87">
      <c r="A87" s="5861" t="s">
        <v>5883</v>
      </c>
      <c r="B87" s="5884">
        <v>46228</v>
      </c>
      <c r="C87" s="5884" t="str">
        <v>Saturday</v>
      </c>
      <c r="D87" s="5862" t="s">
        <v>5888</v>
      </c>
      <c r="E87" s="5885">
        <f t="shared" si="62"/>
      </c>
      <c r="F87" s="5886" t="s">
        <v>5871</v>
      </c>
      <c r="G87" s="5863"/>
      <c r="H87" s="5887" t="s">
        <v>5794</v>
      </c>
      <c r="I87" s="5862" t="s">
        <v>5795</v>
      </c>
      <c r="J87" s="5853" t="s">
        <v>5889</v>
      </c>
      <c r="K87" s="5802"/>
      <c r="L87" s="5802"/>
      <c r="M87" s="5802"/>
      <c r="N87" s="5802"/>
      <c r="O87" s="5802"/>
      <c r="P87" s="5802"/>
      <c r="Q87" s="5802"/>
      <c r="R87" s="5802"/>
      <c r="S87" s="5802"/>
      <c r="T87" s="5802"/>
      <c r="U87" s="5802"/>
      <c r="V87" s="5803"/>
      <c r="W87" s="5803"/>
      <c r="X87" s="5803"/>
      <c r="Y87" s="5803"/>
    </row>
    <row r="88">
      <c r="A88" s="5812" t="s">
        <v>5883</v>
      </c>
      <c r="B88" s="5812">
        <v>46229</v>
      </c>
      <c r="C88" s="5880" t="str">
        <v>Sunday</v>
      </c>
      <c r="D88" s="5881" t="s">
        <v>5884</v>
      </c>
      <c r="E88" s="5881">
        <f t="shared" si="62"/>
      </c>
      <c r="F88" s="5888" t="s">
        <v>5871</v>
      </c>
      <c r="G88" s="5876"/>
      <c r="H88" s="5889" t="s">
        <v>5794</v>
      </c>
      <c r="I88" s="5813" t="s">
        <v>5795</v>
      </c>
      <c r="J88" s="5813"/>
      <c r="K88" s="5802"/>
      <c r="L88" s="5802"/>
      <c r="M88" s="5802"/>
      <c r="N88" s="5802"/>
      <c r="O88" s="5802"/>
      <c r="P88" s="5802"/>
      <c r="Q88" s="5802"/>
      <c r="R88" s="5802"/>
      <c r="S88" s="5802"/>
      <c r="T88" s="5802"/>
      <c r="U88" s="5802"/>
      <c r="V88" s="5803"/>
      <c r="W88" s="5803"/>
      <c r="X88" s="5803"/>
      <c r="Y88" s="5803"/>
    </row>
    <row r="89">
      <c r="A89" s="5803"/>
      <c r="B89" s="5803"/>
      <c r="C89" s="5803"/>
      <c r="D89" s="5803"/>
      <c r="E89" s="5803"/>
      <c r="F89" s="5803"/>
      <c r="G89" s="5803"/>
      <c r="H89" s="5803"/>
      <c r="I89" s="5803"/>
      <c r="J89" s="5803"/>
      <c r="K89" s="5802"/>
      <c r="L89" s="5802"/>
      <c r="M89" s="5802"/>
      <c r="N89" s="5802"/>
      <c r="O89" s="5802"/>
      <c r="P89" s="5802"/>
      <c r="Q89" s="5802"/>
      <c r="R89" s="5802"/>
      <c r="S89" s="5802"/>
      <c r="T89" s="5802"/>
      <c r="U89" s="5802"/>
      <c r="V89" s="5803"/>
      <c r="W89" s="5803"/>
      <c r="X89" s="5803"/>
      <c r="Y89" s="5803"/>
    </row>
    <row r="90">
      <c r="A90" s="5890" t="s">
        <v>5890</v>
      </c>
      <c r="B90" s="5890"/>
      <c r="C90" s="5890"/>
      <c r="D90" s="5890"/>
      <c r="E90" s="5890"/>
      <c r="F90" s="5890"/>
      <c r="G90" s="5891"/>
      <c r="H90" s="5891"/>
      <c r="I90" s="5891"/>
      <c r="J90" s="5891"/>
      <c r="K90" s="5870"/>
      <c r="L90" s="5870"/>
      <c r="M90" s="5870"/>
      <c r="N90" s="5870"/>
      <c r="O90" s="5801"/>
      <c r="P90" s="5801"/>
      <c r="Q90" s="5801"/>
      <c r="R90" s="5801"/>
      <c r="S90" s="5801"/>
      <c r="T90" s="5801"/>
      <c r="U90" s="5802"/>
      <c r="V90" s="5802"/>
      <c r="W90" s="5802"/>
      <c r="X90" s="5802"/>
      <c r="Y90" s="5802"/>
    </row>
    <row r="91">
      <c r="A91" s="5892" t="s">
        <v>5782</v>
      </c>
      <c r="B91" s="5893" t="s">
        <v>5783</v>
      </c>
      <c r="C91" s="5893"/>
      <c r="D91" s="5894" t="s">
        <v>5784</v>
      </c>
      <c r="E91" s="5894" t="s">
        <v>5785</v>
      </c>
      <c r="F91" s="5894" t="s">
        <v>5786</v>
      </c>
      <c r="G91" s="5895" t="s">
        <v>5809</v>
      </c>
      <c r="H91" s="5892" t="s">
        <v>5788</v>
      </c>
      <c r="I91" s="5892" t="s">
        <v>5789</v>
      </c>
      <c r="J91" s="5892" t="s">
        <v>5790</v>
      </c>
      <c r="K91" s="5870"/>
      <c r="L91" s="5870"/>
      <c r="M91" s="5870"/>
      <c r="N91" s="5870"/>
      <c r="O91" s="5801"/>
      <c r="P91" s="5801"/>
      <c r="Q91" s="5801"/>
      <c r="R91" s="5801"/>
      <c r="S91" s="5801"/>
      <c r="T91" s="5801"/>
      <c r="U91" s="5802"/>
      <c r="V91" s="5803"/>
      <c r="W91" s="5803"/>
      <c r="X91" s="5803"/>
      <c r="Y91" s="5803"/>
    </row>
    <row r="92">
      <c r="A92" s="5812" t="s">
        <v>5891</v>
      </c>
      <c r="B92" s="5812">
        <v>46224</v>
      </c>
      <c r="C92" s="5812" t="str">
        <v>Tuesday</v>
      </c>
      <c r="D92" s="5896" t="s">
        <v>5892</v>
      </c>
      <c r="E92" s="5813">
        <f t="shared" ref="E92:E93" si="63">24*MOD(TIMEVALUE(TRIM(MID(D92,FIND("-",D92)+1,LEN(D92)))) - TIMEVALUE(TRIM(LEFT(D92,FIND("-",D92)-1))),1)</f>
      </c>
      <c r="F92" s="5813" t="s">
        <v>5893</v>
      </c>
      <c r="G92" s="5815" t="s">
        <v>5877</v>
      </c>
      <c r="H92" s="5813" t="s">
        <v>5794</v>
      </c>
      <c r="I92" s="5813" t="s">
        <v>5795</v>
      </c>
      <c r="J92" s="5813"/>
      <c r="K92" s="5870"/>
      <c r="L92" s="5870"/>
      <c r="M92" s="5870"/>
      <c r="N92" s="5870"/>
      <c r="O92" s="5801"/>
      <c r="P92" s="5801"/>
      <c r="Q92" s="5801"/>
      <c r="R92" s="5801"/>
      <c r="S92" s="5801"/>
      <c r="T92" s="5801"/>
      <c r="U92" s="5802"/>
      <c r="V92" s="5802"/>
      <c r="W92" s="5802"/>
      <c r="X92" s="5802"/>
      <c r="Y92" s="5802"/>
    </row>
    <row r="93">
      <c r="A93" s="5812" t="s">
        <v>5891</v>
      </c>
      <c r="B93" s="5812">
        <v>46228</v>
      </c>
      <c r="C93" s="5812" t="str">
        <v>Saturday</v>
      </c>
      <c r="D93" s="5897" t="s">
        <v>5894</v>
      </c>
      <c r="E93" s="5813">
        <f t="shared" si="63"/>
      </c>
      <c r="F93" s="5888" t="s">
        <v>5871</v>
      </c>
      <c r="G93" s="5815"/>
      <c r="H93" s="5813" t="s">
        <v>5794</v>
      </c>
      <c r="I93" s="5813" t="s">
        <v>5795</v>
      </c>
      <c r="J93" s="5813"/>
      <c r="K93" s="5870"/>
      <c r="L93" s="5870"/>
      <c r="M93" s="5870"/>
      <c r="N93" s="5870"/>
      <c r="O93" s="5801"/>
      <c r="P93" s="5801"/>
      <c r="Q93" s="5801"/>
      <c r="R93" s="5801"/>
      <c r="S93" s="5801"/>
      <c r="T93" s="5801"/>
      <c r="U93" s="5802"/>
      <c r="V93" s="5802"/>
      <c r="W93" s="5802"/>
      <c r="X93" s="5802"/>
      <c r="Y93" s="5802"/>
    </row>
    <row r="94">
      <c r="A94" s="5803"/>
      <c r="B94" s="5803"/>
      <c r="C94" s="5803"/>
      <c r="D94" s="5803"/>
      <c r="E94" s="5803"/>
      <c r="F94" s="5803"/>
      <c r="G94" s="5803"/>
      <c r="H94" s="5803"/>
      <c r="I94" s="5803"/>
      <c r="J94" s="5803"/>
      <c r="K94" s="5803"/>
      <c r="L94" s="5803"/>
      <c r="M94" s="5803"/>
      <c r="N94" s="5803"/>
      <c r="O94" s="5803"/>
      <c r="P94" s="5803"/>
      <c r="Q94" s="5803"/>
      <c r="R94" s="5803"/>
      <c r="S94" s="5803"/>
      <c r="T94" s="5803"/>
      <c r="U94" s="5803"/>
      <c r="V94" s="5803"/>
      <c r="W94" s="5803"/>
      <c r="X94" s="5803"/>
      <c r="Y94" s="5803"/>
    </row>
    <row r="95">
      <c r="A95" s="5812" t="s">
        <v>5890</v>
      </c>
      <c r="B95" s="5812">
        <v>46224</v>
      </c>
      <c r="C95" s="5812" t="str">
        <v>Tuesday</v>
      </c>
      <c r="D95" s="5896" t="s">
        <v>5892</v>
      </c>
      <c r="E95" s="5813">
        <f t="shared" ref="E95:E100" si="64">24*MOD(TIMEVALUE(TRIM(MID(D95,FIND("-",D95)+1,LEN(D95)))) - TIMEVALUE(TRIM(LEFT(D95,FIND("-",D95)-1))),1)</f>
      </c>
      <c r="F95" s="5813" t="s">
        <v>5798</v>
      </c>
      <c r="G95" s="5815"/>
      <c r="H95" s="5813" t="s">
        <v>5794</v>
      </c>
      <c r="I95" s="5813" t="s">
        <v>5795</v>
      </c>
      <c r="J95" s="5813"/>
      <c r="K95" s="5870"/>
      <c r="L95" s="5870"/>
      <c r="M95" s="5870"/>
      <c r="N95" s="5870"/>
      <c r="O95" s="5801"/>
      <c r="P95" s="5801"/>
      <c r="Q95" s="5801"/>
      <c r="R95" s="5801"/>
      <c r="S95" s="5801"/>
      <c r="T95" s="5801"/>
      <c r="U95" s="5802"/>
      <c r="V95" s="5802"/>
      <c r="W95" s="5802"/>
      <c r="X95" s="5802"/>
      <c r="Y95" s="5802"/>
    </row>
    <row r="96">
      <c r="A96" s="5812" t="s">
        <v>5890</v>
      </c>
      <c r="B96" s="5812">
        <v>46225</v>
      </c>
      <c r="C96" s="5812" t="str">
        <v>Wednesday</v>
      </c>
      <c r="D96" s="5896" t="s">
        <v>5892</v>
      </c>
      <c r="E96" s="5813">
        <f t="shared" si="64"/>
      </c>
      <c r="F96" s="5813" t="s">
        <v>5798</v>
      </c>
      <c r="G96" s="5815"/>
      <c r="H96" s="5813" t="s">
        <v>5794</v>
      </c>
      <c r="I96" s="5813" t="s">
        <v>5795</v>
      </c>
      <c r="J96" s="5813"/>
      <c r="K96" s="5870"/>
      <c r="L96" s="5870"/>
      <c r="M96" s="5870"/>
      <c r="N96" s="5870"/>
      <c r="O96" s="5801"/>
      <c r="P96" s="5801"/>
      <c r="Q96" s="5801"/>
      <c r="R96" s="5801"/>
      <c r="S96" s="5801"/>
      <c r="T96" s="5801"/>
      <c r="U96" s="5802"/>
      <c r="V96" s="5802"/>
      <c r="W96" s="5802"/>
      <c r="X96" s="5802"/>
      <c r="Y96" s="5802"/>
    </row>
    <row r="97">
      <c r="A97" s="5812" t="s">
        <v>5890</v>
      </c>
      <c r="B97" s="5812">
        <v>46226</v>
      </c>
      <c r="C97" s="5812" t="str">
        <v>Thursday</v>
      </c>
      <c r="D97" s="5897" t="s">
        <v>5895</v>
      </c>
      <c r="E97" s="5813">
        <f t="shared" si="64"/>
      </c>
      <c r="F97" s="5813" t="s">
        <v>5896</v>
      </c>
      <c r="G97" s="5815"/>
      <c r="H97" s="5813" t="s">
        <v>5794</v>
      </c>
      <c r="I97" s="5813" t="s">
        <v>5795</v>
      </c>
      <c r="J97" s="5813"/>
      <c r="K97" s="5870"/>
      <c r="L97" s="5870"/>
      <c r="M97" s="5870"/>
      <c r="N97" s="5870"/>
      <c r="O97" s="5801"/>
      <c r="P97" s="5801"/>
      <c r="Q97" s="5801"/>
      <c r="R97" s="5801"/>
      <c r="S97" s="5801"/>
      <c r="T97" s="5801"/>
      <c r="U97" s="5802"/>
      <c r="V97" s="5802"/>
      <c r="W97" s="5802"/>
      <c r="X97" s="5802"/>
      <c r="Y97" s="5802"/>
    </row>
    <row r="98">
      <c r="A98" s="5845" t="s">
        <v>5890</v>
      </c>
      <c r="B98" s="5812">
        <v>46227</v>
      </c>
      <c r="C98" s="5845" t="str">
        <v>Friday</v>
      </c>
      <c r="D98" s="5896" t="s">
        <v>5897</v>
      </c>
      <c r="E98" s="5846">
        <f t="shared" si="64"/>
      </c>
      <c r="F98" s="5813" t="s">
        <v>5896</v>
      </c>
      <c r="G98" s="5898"/>
      <c r="H98" s="5813" t="s">
        <v>5794</v>
      </c>
      <c r="I98" s="5813" t="s">
        <v>5795</v>
      </c>
      <c r="J98" s="5846"/>
      <c r="K98" s="5870"/>
      <c r="L98" s="5870"/>
      <c r="M98" s="5870"/>
      <c r="N98" s="5870"/>
      <c r="O98" s="5801"/>
      <c r="P98" s="5801"/>
      <c r="Q98" s="5801"/>
      <c r="R98" s="5801"/>
      <c r="S98" s="5801"/>
      <c r="T98" s="5801"/>
      <c r="U98" s="5802"/>
      <c r="V98" s="5802"/>
      <c r="W98" s="5802"/>
      <c r="X98" s="5802"/>
      <c r="Y98" s="5802"/>
    </row>
    <row r="99">
      <c r="A99" s="5812" t="s">
        <v>5890</v>
      </c>
      <c r="B99" s="5812">
        <v>46228</v>
      </c>
      <c r="C99" s="5812" t="str">
        <v>Saturday</v>
      </c>
      <c r="D99" s="5896" t="s">
        <v>5898</v>
      </c>
      <c r="E99" s="5813">
        <f t="shared" si="64"/>
      </c>
      <c r="F99" s="5813" t="s">
        <v>5896</v>
      </c>
      <c r="G99" s="5815"/>
      <c r="H99" s="5813" t="s">
        <v>5794</v>
      </c>
      <c r="I99" s="5813" t="s">
        <v>5795</v>
      </c>
      <c r="J99" s="5813"/>
      <c r="K99" s="5870"/>
      <c r="L99" s="5870"/>
      <c r="M99" s="5870"/>
      <c r="N99" s="5870"/>
      <c r="O99" s="5801"/>
      <c r="P99" s="5801"/>
      <c r="Q99" s="5801"/>
      <c r="R99" s="5801"/>
      <c r="S99" s="5801"/>
      <c r="T99" s="5801"/>
      <c r="U99" s="5802"/>
      <c r="V99" s="5802"/>
      <c r="W99" s="5802"/>
      <c r="X99" s="5802"/>
      <c r="Y99" s="5802"/>
    </row>
    <row r="100">
      <c r="A100" s="5880" t="s">
        <v>5890</v>
      </c>
      <c r="B100" s="5812">
        <v>46229</v>
      </c>
      <c r="C100" s="5880" t="str">
        <v>Sunday</v>
      </c>
      <c r="D100" s="5897" t="s">
        <v>5895</v>
      </c>
      <c r="E100" s="5881">
        <f t="shared" si="64"/>
      </c>
      <c r="F100" s="5813" t="s">
        <v>5876</v>
      </c>
      <c r="G100" s="5899"/>
      <c r="H100" s="5813" t="s">
        <v>5794</v>
      </c>
      <c r="I100" s="5813" t="s">
        <v>5795</v>
      </c>
      <c r="J100" s="5881"/>
      <c r="K100" s="5802"/>
      <c r="L100" s="5802"/>
      <c r="M100" s="5802"/>
      <c r="N100" s="5802"/>
      <c r="O100" s="5802"/>
      <c r="P100" s="5802"/>
      <c r="Q100" s="5802"/>
      <c r="R100" s="5802"/>
      <c r="S100" s="5802"/>
      <c r="T100" s="5802"/>
      <c r="U100" s="5802"/>
      <c r="V100" s="5802"/>
      <c r="W100" s="5802"/>
      <c r="X100" s="5802"/>
      <c r="Y100" s="5802"/>
    </row>
    <row r="101">
      <c r="A101" s="5803"/>
      <c r="B101" s="5803"/>
      <c r="C101" s="5803"/>
      <c r="D101" s="5803"/>
      <c r="E101" s="5803"/>
      <c r="F101" s="5803"/>
      <c r="G101" s="5803"/>
      <c r="H101" s="5803"/>
      <c r="I101" s="5803"/>
      <c r="J101" s="5803"/>
      <c r="K101" s="5802"/>
      <c r="L101" s="5802"/>
      <c r="M101" s="5802"/>
      <c r="N101" s="5802"/>
      <c r="O101" s="5802"/>
      <c r="P101" s="5802"/>
      <c r="Q101" s="5802"/>
      <c r="R101" s="5802"/>
      <c r="S101" s="5802"/>
      <c r="T101" s="5802"/>
      <c r="U101" s="5802"/>
      <c r="V101" s="5803"/>
      <c r="W101" s="5803"/>
      <c r="X101" s="5803"/>
      <c r="Y101" s="5803"/>
    </row>
    <row r="102">
      <c r="A102" s="5812" t="s">
        <v>5899</v>
      </c>
      <c r="B102" s="5812">
        <v>46224</v>
      </c>
      <c r="C102" s="5812" t="str">
        <v>Tuesday</v>
      </c>
      <c r="D102" s="5896" t="s">
        <v>5900</v>
      </c>
      <c r="E102" s="5813">
        <f t="shared" ref="E102:E107" si="65">24*MOD(TIMEVALUE(TRIM(MID(D102,FIND("-",D102)+1,LEN(D102)))) - TIMEVALUE(TRIM(LEFT(D102,FIND("-",D102)-1))),1)</f>
      </c>
      <c r="F102" s="5813" t="s">
        <v>5876</v>
      </c>
      <c r="G102" s="5836"/>
      <c r="H102" s="5813" t="s">
        <v>5794</v>
      </c>
      <c r="I102" s="5813" t="s">
        <v>5795</v>
      </c>
      <c r="J102" s="5813" t="s">
        <v>5885</v>
      </c>
      <c r="K102" s="5802"/>
      <c r="L102" s="5802"/>
      <c r="M102" s="5802"/>
      <c r="N102" s="5802"/>
      <c r="O102" s="5802"/>
      <c r="P102" s="5802"/>
      <c r="Q102" s="5802"/>
      <c r="R102" s="5802"/>
      <c r="S102" s="5802"/>
      <c r="T102" s="5802"/>
      <c r="U102" s="5802"/>
      <c r="V102" s="5802"/>
      <c r="W102" s="5802"/>
      <c r="X102" s="5802"/>
      <c r="Y102" s="5802"/>
    </row>
    <row r="103">
      <c r="A103" s="5812" t="s">
        <v>5899</v>
      </c>
      <c r="B103" s="5812">
        <v>46225</v>
      </c>
      <c r="C103" s="5812" t="str">
        <v>Wednesday</v>
      </c>
      <c r="D103" s="5900" t="s">
        <v>5901</v>
      </c>
      <c r="E103" s="5813">
        <f t="shared" si="65"/>
      </c>
      <c r="F103" s="5881" t="s">
        <v>5902</v>
      </c>
      <c r="G103" s="5899"/>
      <c r="H103" s="5813" t="s">
        <v>5794</v>
      </c>
      <c r="I103" s="5813" t="s">
        <v>5795</v>
      </c>
      <c r="J103" s="5881"/>
      <c r="K103" s="5802"/>
      <c r="L103" s="5802"/>
      <c r="M103" s="5802"/>
      <c r="N103" s="5802"/>
      <c r="O103" s="5802"/>
      <c r="P103" s="5802"/>
      <c r="Q103" s="5802"/>
      <c r="R103" s="5802"/>
      <c r="S103" s="5802"/>
      <c r="T103" s="5802"/>
      <c r="U103" s="5802"/>
      <c r="V103" s="5802"/>
      <c r="W103" s="5802"/>
      <c r="X103" s="5802"/>
      <c r="Y103" s="5802"/>
    </row>
    <row r="104">
      <c r="A104" s="5812" t="s">
        <v>5899</v>
      </c>
      <c r="B104" s="5812">
        <v>46226</v>
      </c>
      <c r="C104" s="5812" t="str">
        <v>Thursday</v>
      </c>
      <c r="D104" s="5896" t="s">
        <v>5903</v>
      </c>
      <c r="E104" s="5813">
        <f t="shared" si="65"/>
      </c>
      <c r="F104" s="5813" t="s">
        <v>5876</v>
      </c>
      <c r="G104" s="5899"/>
      <c r="H104" s="5813" t="s">
        <v>5794</v>
      </c>
      <c r="I104" s="5813" t="s">
        <v>5795</v>
      </c>
      <c r="J104" s="5813" t="s">
        <v>5885</v>
      </c>
      <c r="K104" s="5802"/>
      <c r="L104" s="5802"/>
      <c r="M104" s="5802"/>
      <c r="N104" s="5802"/>
      <c r="O104" s="5802"/>
      <c r="P104" s="5802"/>
      <c r="Q104" s="5802"/>
      <c r="R104" s="5802"/>
      <c r="S104" s="5802"/>
      <c r="T104" s="5802"/>
      <c r="U104" s="5802"/>
      <c r="V104" s="5802"/>
      <c r="W104" s="5802"/>
      <c r="X104" s="5802"/>
      <c r="Y104" s="5802"/>
    </row>
    <row r="105">
      <c r="A105" s="5812" t="s">
        <v>5899</v>
      </c>
      <c r="B105" s="5812">
        <v>46227</v>
      </c>
      <c r="C105" s="5845" t="str">
        <v>Friday</v>
      </c>
      <c r="D105" s="5896" t="s">
        <v>5903</v>
      </c>
      <c r="E105" s="5846">
        <f t="shared" si="65"/>
      </c>
      <c r="F105" s="5813" t="s">
        <v>5876</v>
      </c>
      <c r="G105" s="5899"/>
      <c r="H105" s="5813" t="s">
        <v>5794</v>
      </c>
      <c r="I105" s="5813" t="s">
        <v>5795</v>
      </c>
      <c r="J105" s="5881"/>
      <c r="K105" s="5802"/>
      <c r="L105" s="5802"/>
      <c r="M105" s="5802"/>
      <c r="N105" s="5802"/>
      <c r="O105" s="5802"/>
      <c r="P105" s="5802"/>
      <c r="Q105" s="5802"/>
      <c r="R105" s="5802"/>
      <c r="S105" s="5802"/>
      <c r="T105" s="5802"/>
      <c r="U105" s="5802"/>
      <c r="V105" s="5802"/>
      <c r="W105" s="5802"/>
      <c r="X105" s="5802"/>
      <c r="Y105" s="5802"/>
    </row>
    <row r="106">
      <c r="A106" s="5812" t="s">
        <v>5899</v>
      </c>
      <c r="B106" s="5812">
        <v>46228</v>
      </c>
      <c r="C106" s="5812" t="str">
        <v>Saturday</v>
      </c>
      <c r="D106" s="5896" t="s">
        <v>5904</v>
      </c>
      <c r="E106" s="5813">
        <f t="shared" si="65"/>
      </c>
      <c r="F106" s="5888" t="s">
        <v>5812</v>
      </c>
      <c r="G106" s="5899"/>
      <c r="H106" s="5813" t="s">
        <v>5794</v>
      </c>
      <c r="I106" s="5813" t="s">
        <v>5795</v>
      </c>
      <c r="J106" s="5881"/>
      <c r="K106" s="5802"/>
      <c r="L106" s="5802"/>
      <c r="M106" s="5802"/>
      <c r="N106" s="5802"/>
      <c r="O106" s="5802"/>
      <c r="P106" s="5802"/>
      <c r="Q106" s="5802"/>
      <c r="R106" s="5802"/>
      <c r="S106" s="5802"/>
      <c r="T106" s="5802"/>
      <c r="U106" s="5802"/>
      <c r="V106" s="5802"/>
      <c r="W106" s="5802"/>
      <c r="X106" s="5802"/>
      <c r="Y106" s="5802"/>
    </row>
    <row r="107">
      <c r="A107" s="5812" t="s">
        <v>5899</v>
      </c>
      <c r="B107" s="5812">
        <v>46229</v>
      </c>
      <c r="C107" s="5880" t="str">
        <v>Sunday</v>
      </c>
      <c r="D107" s="5896" t="s">
        <v>5905</v>
      </c>
      <c r="E107" s="5881">
        <f t="shared" si="65"/>
      </c>
      <c r="F107" s="5888" t="s">
        <v>5871</v>
      </c>
      <c r="G107" s="5899"/>
      <c r="H107" s="5813" t="s">
        <v>5794</v>
      </c>
      <c r="I107" s="5813" t="s">
        <v>5795</v>
      </c>
      <c r="J107" s="5881"/>
      <c r="K107" s="5802"/>
      <c r="L107" s="5802"/>
      <c r="M107" s="5802"/>
      <c r="N107" s="5802"/>
      <c r="O107" s="5802"/>
      <c r="P107" s="5802"/>
      <c r="Q107" s="5802"/>
      <c r="R107" s="5802"/>
      <c r="S107" s="5802"/>
      <c r="T107" s="5802"/>
      <c r="U107" s="5802"/>
      <c r="V107" s="5802"/>
      <c r="W107" s="5802"/>
      <c r="X107" s="5802"/>
      <c r="Y107" s="5802"/>
    </row>
    <row r="108">
      <c r="A108" s="5803"/>
      <c r="B108" s="5803"/>
      <c r="C108" s="5803"/>
      <c r="D108" s="5803"/>
      <c r="E108" s="5803"/>
      <c r="F108" s="5803"/>
      <c r="G108" s="5803"/>
      <c r="H108" s="5803"/>
      <c r="I108" s="5803"/>
      <c r="J108" s="5803"/>
      <c r="K108" s="5802"/>
      <c r="L108" s="5802"/>
      <c r="M108" s="5802"/>
      <c r="N108" s="5802"/>
      <c r="O108" s="5802"/>
      <c r="P108" s="5802"/>
      <c r="Q108" s="5802"/>
      <c r="R108" s="5802"/>
      <c r="S108" s="5802"/>
      <c r="T108" s="5802"/>
      <c r="U108" s="5802"/>
      <c r="V108" s="5803"/>
      <c r="W108" s="5803"/>
      <c r="X108" s="5803"/>
      <c r="Y108" s="5803"/>
    </row>
    <row r="109">
      <c r="A109" s="5901" t="s">
        <v>5906</v>
      </c>
      <c r="B109" s="5901"/>
      <c r="C109" s="5901"/>
      <c r="D109" s="5901"/>
      <c r="E109" s="5901"/>
      <c r="F109" s="5901"/>
      <c r="G109" s="5902"/>
      <c r="H109" s="5902"/>
      <c r="I109" s="5902"/>
      <c r="J109" s="5902"/>
      <c r="K109" s="5870"/>
      <c r="L109" s="5870"/>
      <c r="M109" s="5870"/>
      <c r="N109" s="5870"/>
      <c r="O109" s="5801"/>
      <c r="P109" s="5801"/>
      <c r="Q109" s="5801"/>
      <c r="R109" s="5801"/>
      <c r="S109" s="5801"/>
      <c r="T109" s="5801"/>
      <c r="U109" s="5802"/>
      <c r="V109" s="5802"/>
      <c r="W109" s="5802"/>
      <c r="X109" s="5802"/>
      <c r="Y109" s="5802"/>
    </row>
    <row r="110">
      <c r="A110" s="5903" t="s">
        <v>5782</v>
      </c>
      <c r="B110" s="5904" t="s">
        <v>5783</v>
      </c>
      <c r="C110" s="5904"/>
      <c r="D110" s="5905" t="s">
        <v>5784</v>
      </c>
      <c r="E110" s="5905" t="s">
        <v>5785</v>
      </c>
      <c r="F110" s="5905" t="s">
        <v>5786</v>
      </c>
      <c r="G110" s="5906" t="s">
        <v>5809</v>
      </c>
      <c r="H110" s="5903" t="s">
        <v>5788</v>
      </c>
      <c r="I110" s="5903" t="s">
        <v>5789</v>
      </c>
      <c r="J110" s="5903" t="s">
        <v>5790</v>
      </c>
      <c r="K110" s="5870"/>
      <c r="L110" s="5870"/>
      <c r="M110" s="5870"/>
      <c r="N110" s="5870"/>
      <c r="O110" s="5801"/>
      <c r="P110" s="5801"/>
      <c r="Q110" s="5801"/>
      <c r="R110" s="5801"/>
      <c r="S110" s="5801"/>
      <c r="T110" s="5801"/>
      <c r="U110" s="5802"/>
      <c r="V110" s="5803"/>
      <c r="W110" s="5803"/>
      <c r="X110" s="5803"/>
      <c r="Y110" s="5803"/>
    </row>
    <row r="111">
      <c r="A111" s="5820" t="s">
        <v>5907</v>
      </c>
      <c r="B111" s="5820">
        <v>46224</v>
      </c>
      <c r="C111" s="5820" t="str">
        <v>Tuesday</v>
      </c>
      <c r="D111" s="5907" t="s">
        <v>5908</v>
      </c>
      <c r="E111" s="5821">
        <f>24*MOD(TIMEVALUE(TRIM(MID(D111,FIND("-",D111)+1,LEN(D111)))) - TIMEVALUE(TRIM(LEFT(D111,FIND("-",D111)-1))),1)</f>
      </c>
      <c r="F111" s="5821" t="s">
        <v>5873</v>
      </c>
      <c r="G111" s="5908"/>
      <c r="H111" s="5821" t="s">
        <v>5794</v>
      </c>
      <c r="I111" s="5821" t="s">
        <v>5795</v>
      </c>
      <c r="J111" s="5813" t="s">
        <v>5909</v>
      </c>
      <c r="K111" s="5870"/>
      <c r="L111" s="5870"/>
      <c r="M111" s="5870"/>
      <c r="N111" s="5870"/>
      <c r="O111" s="5801"/>
      <c r="P111" s="5801"/>
      <c r="Q111" s="5801"/>
      <c r="R111" s="5801"/>
      <c r="S111" s="5801"/>
      <c r="T111" s="5801"/>
      <c r="U111" s="5802"/>
      <c r="V111" s="5802"/>
      <c r="W111" s="5802"/>
      <c r="X111" s="5802"/>
      <c r="Y111" s="5802"/>
    </row>
    <row r="112">
      <c r="A112" s="5803"/>
      <c r="B112" s="5803"/>
      <c r="C112" s="5803"/>
      <c r="D112" s="5803"/>
      <c r="E112" s="5803"/>
      <c r="F112" s="5803"/>
      <c r="G112" s="5803"/>
      <c r="H112" s="5803"/>
      <c r="I112" s="5803"/>
      <c r="J112" s="5803"/>
      <c r="K112" s="5802"/>
      <c r="L112" s="5802"/>
      <c r="M112" s="5802"/>
      <c r="N112" s="5802"/>
      <c r="O112" s="5802"/>
      <c r="P112" s="5802"/>
      <c r="Q112" s="5802"/>
      <c r="R112" s="5802"/>
      <c r="S112" s="5802"/>
      <c r="T112" s="5802"/>
      <c r="U112" s="5802"/>
      <c r="V112" s="5803"/>
      <c r="W112" s="5803"/>
      <c r="X112" s="5803"/>
      <c r="Y112" s="5803"/>
    </row>
    <row r="113">
      <c r="A113" s="5909" t="s">
        <v>5910</v>
      </c>
      <c r="B113" s="5909"/>
      <c r="C113" s="5910"/>
      <c r="D113" s="5910"/>
      <c r="E113" s="5910"/>
      <c r="F113" s="5910"/>
      <c r="G113" s="5910"/>
      <c r="H113" s="5909" t="s">
        <v>5911</v>
      </c>
      <c r="I113" s="5910"/>
      <c r="J113" s="5910"/>
      <c r="K113" s="5801"/>
      <c r="L113" s="5801"/>
      <c r="M113" s="5801"/>
      <c r="N113" s="5801"/>
      <c r="O113" s="5801"/>
      <c r="P113" s="5801"/>
      <c r="Q113" s="5801"/>
      <c r="R113" s="5801"/>
      <c r="S113" s="5801"/>
      <c r="T113" s="5801"/>
      <c r="U113" s="5802"/>
      <c r="V113" s="5803"/>
      <c r="W113" s="5803"/>
      <c r="X113" s="5803"/>
      <c r="Y113" s="5803"/>
    </row>
    <row r="114">
      <c r="A114" s="5911" t="s">
        <v>5782</v>
      </c>
      <c r="B114" s="5912" t="s">
        <v>5783</v>
      </c>
      <c r="C114" s="5912"/>
      <c r="D114" s="5913" t="s">
        <v>5784</v>
      </c>
      <c r="E114" s="5913" t="s">
        <v>5785</v>
      </c>
      <c r="F114" s="5913" t="s">
        <v>5786</v>
      </c>
      <c r="G114" s="5914" t="s">
        <v>5809</v>
      </c>
      <c r="H114" s="5913" t="s">
        <v>5788</v>
      </c>
      <c r="I114" s="5913" t="s">
        <v>5789</v>
      </c>
      <c r="J114" s="5913" t="s">
        <v>5790</v>
      </c>
      <c r="K114" s="5801"/>
      <c r="L114" s="5801"/>
      <c r="M114" s="5801"/>
      <c r="N114" s="5801"/>
      <c r="O114" s="5801"/>
      <c r="P114" s="5801"/>
      <c r="Q114" s="5801"/>
      <c r="R114" s="5801"/>
      <c r="S114" s="5801"/>
      <c r="T114" s="5801"/>
      <c r="U114" s="5802"/>
      <c r="V114" s="5803"/>
      <c r="W114" s="5803"/>
      <c r="X114" s="5803"/>
      <c r="Y114" s="5803"/>
    </row>
    <row r="115">
      <c r="A115" s="5915" t="s">
        <v>5910</v>
      </c>
      <c r="B115" s="5812">
        <v>46223</v>
      </c>
      <c r="C115" s="5812" t="str">
        <v>Monday</v>
      </c>
      <c r="D115" s="5813" t="s">
        <v>5842</v>
      </c>
      <c r="E115" s="5813">
        <f t="shared" ref="E115:E135" si="66">24*MOD(TIMEVALUE(TRIM(MID(D115,FIND("-",D115)+1,LEN(D115)))) - TIMEVALUE(TRIM(LEFT(D115,FIND("-",D115)-1))),1)</f>
      </c>
      <c r="F115" s="5816" t="s">
        <v>5800</v>
      </c>
      <c r="G115" s="5876" t="s">
        <v>5912</v>
      </c>
      <c r="H115" s="5816" t="s">
        <v>5794</v>
      </c>
      <c r="I115" s="5813" t="s">
        <v>5795</v>
      </c>
      <c r="J115" s="5859" t="s">
        <v>5913</v>
      </c>
      <c r="K115" s="5801"/>
      <c r="L115" s="5801"/>
      <c r="M115" s="5801"/>
      <c r="N115" s="5801"/>
      <c r="O115" s="5801"/>
      <c r="P115" s="5801"/>
      <c r="Q115" s="5801"/>
      <c r="R115" s="5801"/>
      <c r="S115" s="5801"/>
      <c r="T115" s="5801"/>
      <c r="U115" s="5802"/>
      <c r="V115" s="5803"/>
      <c r="W115" s="5803"/>
      <c r="X115" s="5803"/>
      <c r="Y115" s="5803"/>
    </row>
    <row r="116">
      <c r="A116" s="5915" t="s">
        <v>5910</v>
      </c>
      <c r="B116" s="5812">
        <v>46223</v>
      </c>
      <c r="C116" s="5812" t="str">
        <v>Monday</v>
      </c>
      <c r="D116" s="5813" t="s">
        <v>5820</v>
      </c>
      <c r="E116" s="5813">
        <f t="shared" si="66"/>
      </c>
      <c r="F116" s="5816" t="s">
        <v>5914</v>
      </c>
      <c r="G116" s="5876" t="s">
        <v>5915</v>
      </c>
      <c r="H116" s="5816" t="s">
        <v>5794</v>
      </c>
      <c r="I116" s="5813" t="s">
        <v>5795</v>
      </c>
      <c r="J116" s="5859"/>
      <c r="K116" s="5801"/>
      <c r="L116" s="5801"/>
      <c r="M116" s="5801"/>
      <c r="N116" s="5801"/>
      <c r="O116" s="5801"/>
      <c r="P116" s="5801"/>
      <c r="Q116" s="5801"/>
      <c r="R116" s="5801"/>
      <c r="S116" s="5801"/>
      <c r="T116" s="5801"/>
      <c r="U116" s="5802"/>
      <c r="V116" s="5803"/>
      <c r="W116" s="5803"/>
      <c r="X116" s="5803"/>
      <c r="Y116" s="5803"/>
    </row>
    <row r="117">
      <c r="A117" s="5916" t="s">
        <v>5910</v>
      </c>
      <c r="B117" s="5812">
        <v>46224</v>
      </c>
      <c r="C117" s="5812" t="str">
        <v>Tuesday</v>
      </c>
      <c r="D117" s="5813" t="s">
        <v>5842</v>
      </c>
      <c r="E117" s="5813">
        <f t="shared" si="66"/>
      </c>
      <c r="F117" s="5816" t="s">
        <v>5916</v>
      </c>
      <c r="G117" s="5836" t="s">
        <v>5917</v>
      </c>
      <c r="H117" s="5816" t="s">
        <v>5794</v>
      </c>
      <c r="I117" s="5813" t="s">
        <v>5795</v>
      </c>
      <c r="J117" s="5859" t="s">
        <v>5913</v>
      </c>
      <c r="K117" s="5801"/>
      <c r="L117" s="5801"/>
      <c r="M117" s="5801"/>
      <c r="N117" s="5801"/>
      <c r="O117" s="5801"/>
      <c r="P117" s="5801"/>
      <c r="Q117" s="5801"/>
      <c r="R117" s="5801"/>
      <c r="S117" s="5801"/>
      <c r="T117" s="5801"/>
      <c r="U117" s="5802"/>
      <c r="V117" s="5803"/>
      <c r="W117" s="5803"/>
      <c r="X117" s="5803"/>
      <c r="Y117" s="5803"/>
    </row>
    <row r="118">
      <c r="A118" s="5915" t="s">
        <v>5910</v>
      </c>
      <c r="B118" s="5812">
        <v>46224</v>
      </c>
      <c r="C118" s="5812" t="str">
        <v>Tuesday</v>
      </c>
      <c r="D118" s="5813" t="s">
        <v>5820</v>
      </c>
      <c r="E118" s="5813">
        <f t="shared" si="66"/>
      </c>
      <c r="F118" s="5816" t="s">
        <v>5914</v>
      </c>
      <c r="G118" s="5836" t="s">
        <v>5918</v>
      </c>
      <c r="H118" s="5816" t="s">
        <v>5794</v>
      </c>
      <c r="I118" s="5813" t="s">
        <v>5795</v>
      </c>
      <c r="J118" s="5859"/>
      <c r="K118" s="5801"/>
      <c r="L118" s="5801"/>
      <c r="M118" s="5801"/>
      <c r="N118" s="5801"/>
      <c r="O118" s="5801"/>
      <c r="P118" s="5801"/>
      <c r="Q118" s="5801"/>
      <c r="R118" s="5801"/>
      <c r="S118" s="5801"/>
      <c r="T118" s="5801"/>
      <c r="U118" s="5802"/>
      <c r="V118" s="5803"/>
      <c r="W118" s="5803"/>
      <c r="X118" s="5803"/>
      <c r="Y118" s="5803"/>
    </row>
    <row r="119">
      <c r="A119" s="5916" t="s">
        <v>5910</v>
      </c>
      <c r="B119" s="5812">
        <v>46225</v>
      </c>
      <c r="C119" s="5812" t="str">
        <v>Wednesday</v>
      </c>
      <c r="D119" s="5813" t="s">
        <v>5842</v>
      </c>
      <c r="E119" s="5813">
        <f t="shared" si="66"/>
      </c>
      <c r="F119" s="5816" t="s">
        <v>5873</v>
      </c>
      <c r="G119" s="5876" t="s">
        <v>5919</v>
      </c>
      <c r="H119" s="5816" t="s">
        <v>5794</v>
      </c>
      <c r="I119" s="5813" t="s">
        <v>5795</v>
      </c>
      <c r="J119" s="5859" t="s">
        <v>5913</v>
      </c>
      <c r="K119" s="5801"/>
      <c r="L119" s="5801"/>
      <c r="M119" s="5801"/>
      <c r="N119" s="5801"/>
      <c r="O119" s="5801"/>
      <c r="P119" s="5801"/>
      <c r="Q119" s="5801"/>
      <c r="R119" s="5801"/>
      <c r="S119" s="5801"/>
      <c r="T119" s="5801"/>
      <c r="U119" s="5802"/>
      <c r="V119" s="5803"/>
      <c r="W119" s="5803"/>
      <c r="X119" s="5803"/>
      <c r="Y119" s="5803"/>
    </row>
    <row r="120">
      <c r="A120" s="5915" t="s">
        <v>5910</v>
      </c>
      <c r="B120" s="5812">
        <v>46225</v>
      </c>
      <c r="C120" s="5812" t="str">
        <v>Wednesday</v>
      </c>
      <c r="D120" s="5813" t="s">
        <v>5820</v>
      </c>
      <c r="E120" s="5813">
        <f t="shared" si="66"/>
      </c>
      <c r="F120" s="5816" t="s">
        <v>5914</v>
      </c>
      <c r="G120" s="5836" t="s">
        <v>5918</v>
      </c>
      <c r="H120" s="5816" t="s">
        <v>5794</v>
      </c>
      <c r="I120" s="5813" t="s">
        <v>5795</v>
      </c>
      <c r="J120" s="5859"/>
      <c r="K120" s="5801"/>
      <c r="L120" s="5801"/>
      <c r="M120" s="5801"/>
      <c r="N120" s="5801"/>
      <c r="O120" s="5801"/>
      <c r="P120" s="5801"/>
      <c r="Q120" s="5801"/>
      <c r="R120" s="5801"/>
      <c r="S120" s="5801"/>
      <c r="T120" s="5801"/>
      <c r="U120" s="5802"/>
      <c r="V120" s="5803"/>
      <c r="W120" s="5803"/>
      <c r="X120" s="5803"/>
      <c r="Y120" s="5803"/>
    </row>
    <row r="121">
      <c r="A121" s="5915" t="s">
        <v>5910</v>
      </c>
      <c r="B121" s="5812">
        <v>46226</v>
      </c>
      <c r="C121" s="5812" t="str">
        <v>Thursday</v>
      </c>
      <c r="D121" s="5813" t="s">
        <v>5842</v>
      </c>
      <c r="E121" s="5813">
        <f t="shared" si="66"/>
      </c>
      <c r="F121" s="5816" t="s">
        <v>5800</v>
      </c>
      <c r="G121" s="5876" t="s">
        <v>5919</v>
      </c>
      <c r="H121" s="5816" t="s">
        <v>5794</v>
      </c>
      <c r="I121" s="5813" t="s">
        <v>5795</v>
      </c>
      <c r="J121" s="5859" t="s">
        <v>5913</v>
      </c>
      <c r="K121" s="5801"/>
      <c r="L121" s="5801"/>
      <c r="M121" s="5801"/>
      <c r="N121" s="5801"/>
      <c r="O121" s="5801"/>
      <c r="P121" s="5801"/>
      <c r="Q121" s="5801"/>
      <c r="R121" s="5801"/>
      <c r="S121" s="5801"/>
      <c r="T121" s="5801"/>
      <c r="U121" s="5802"/>
      <c r="V121" s="5803"/>
      <c r="W121" s="5803"/>
      <c r="X121" s="5803"/>
      <c r="Y121" s="5803"/>
    </row>
    <row r="122">
      <c r="A122" s="5915" t="s">
        <v>5910</v>
      </c>
      <c r="B122" s="5812">
        <v>46226</v>
      </c>
      <c r="C122" s="5812" t="str">
        <v>Thursday</v>
      </c>
      <c r="D122" s="5813" t="s">
        <v>5820</v>
      </c>
      <c r="E122" s="5813">
        <f t="shared" si="66"/>
      </c>
      <c r="F122" s="5816" t="s">
        <v>5914</v>
      </c>
      <c r="G122" s="5836" t="s">
        <v>5918</v>
      </c>
      <c r="H122" s="5816" t="s">
        <v>5794</v>
      </c>
      <c r="I122" s="5813" t="s">
        <v>5795</v>
      </c>
      <c r="J122" s="5859"/>
      <c r="K122" s="5801"/>
      <c r="L122" s="5801"/>
      <c r="M122" s="5801"/>
      <c r="N122" s="5801"/>
      <c r="O122" s="5801"/>
      <c r="P122" s="5801"/>
      <c r="Q122" s="5801"/>
      <c r="R122" s="5801"/>
      <c r="S122" s="5801"/>
      <c r="T122" s="5801"/>
      <c r="U122" s="5802"/>
      <c r="V122" s="5803"/>
      <c r="W122" s="5803"/>
      <c r="X122" s="5803"/>
      <c r="Y122" s="5803"/>
    </row>
    <row r="123">
      <c r="A123" s="5915" t="s">
        <v>5910</v>
      </c>
      <c r="B123" s="5812">
        <v>46227</v>
      </c>
      <c r="C123" s="5812" t="str">
        <v>Friday</v>
      </c>
      <c r="D123" s="5813" t="s">
        <v>5920</v>
      </c>
      <c r="E123" s="5813">
        <f t="shared" si="66"/>
      </c>
      <c r="F123" s="5816" t="s">
        <v>5916</v>
      </c>
      <c r="G123" s="5876" t="s">
        <v>5921</v>
      </c>
      <c r="H123" s="5816" t="s">
        <v>5794</v>
      </c>
      <c r="I123" s="5813" t="s">
        <v>5795</v>
      </c>
      <c r="J123" s="5859" t="s">
        <v>5913</v>
      </c>
      <c r="K123" s="5801"/>
      <c r="L123" s="5801"/>
      <c r="M123" s="5801"/>
      <c r="N123" s="5801"/>
      <c r="O123" s="5801"/>
      <c r="P123" s="5801"/>
      <c r="Q123" s="5801"/>
      <c r="R123" s="5801"/>
      <c r="S123" s="5801"/>
      <c r="T123" s="5801"/>
      <c r="U123" s="5802"/>
      <c r="V123" s="5803"/>
      <c r="W123" s="5803"/>
      <c r="X123" s="5803"/>
      <c r="Y123" s="5803"/>
    </row>
    <row r="124">
      <c r="A124" s="5915" t="s">
        <v>5910</v>
      </c>
      <c r="B124" s="5812">
        <v>46228</v>
      </c>
      <c r="C124" s="5812" t="str">
        <v>Saturday</v>
      </c>
      <c r="D124" s="5853" t="s">
        <v>5922</v>
      </c>
      <c r="E124" s="5813">
        <f t="shared" si="66"/>
      </c>
      <c r="F124" s="5816" t="s">
        <v>5923</v>
      </c>
      <c r="G124" s="5836" t="s">
        <v>5915</v>
      </c>
      <c r="H124" s="5816" t="s">
        <v>5794</v>
      </c>
      <c r="I124" s="5813" t="s">
        <v>5881</v>
      </c>
      <c r="J124" s="5917" t="s">
        <v>5924</v>
      </c>
      <c r="K124" s="5801"/>
      <c r="L124" s="5801"/>
      <c r="M124" s="5801"/>
      <c r="N124" s="5801"/>
      <c r="O124" s="5801"/>
      <c r="P124" s="5801"/>
      <c r="Q124" s="5801"/>
      <c r="R124" s="5801"/>
      <c r="S124" s="5801"/>
      <c r="T124" s="5801"/>
      <c r="U124" s="5802"/>
      <c r="V124" s="5803"/>
      <c r="W124" s="5803"/>
      <c r="X124" s="5803"/>
      <c r="Y124" s="5803"/>
    </row>
    <row r="125">
      <c r="A125" s="5915" t="s">
        <v>5910</v>
      </c>
      <c r="B125" s="5812">
        <v>46229</v>
      </c>
      <c r="C125" s="5812" t="str">
        <v>Sunday</v>
      </c>
      <c r="D125" s="5813" t="s">
        <v>5925</v>
      </c>
      <c r="E125" s="5813">
        <f t="shared" si="66"/>
      </c>
      <c r="F125" s="5816" t="s">
        <v>5916</v>
      </c>
      <c r="G125" s="5876" t="s">
        <v>5919</v>
      </c>
      <c r="H125" s="5816" t="s">
        <v>5794</v>
      </c>
      <c r="I125" s="5813" t="s">
        <v>5795</v>
      </c>
      <c r="J125" s="5859" t="s">
        <v>5913</v>
      </c>
      <c r="K125" s="5801"/>
      <c r="L125" s="5801"/>
      <c r="M125" s="5801"/>
      <c r="N125" s="5801"/>
      <c r="O125" s="5801"/>
      <c r="P125" s="5801"/>
      <c r="Q125" s="5801"/>
      <c r="R125" s="5801"/>
      <c r="S125" s="5801"/>
      <c r="T125" s="5801"/>
      <c r="U125" s="5802"/>
      <c r="V125" s="5803"/>
      <c r="W125" s="5803"/>
      <c r="X125" s="5803"/>
      <c r="Y125" s="5803"/>
    </row>
    <row r="126">
      <c r="A126" s="5918" t="s">
        <v>5910</v>
      </c>
      <c r="B126" s="5861">
        <v>46229</v>
      </c>
      <c r="C126" s="5861" t="str">
        <v>Sunday</v>
      </c>
      <c r="D126" s="5862" t="s">
        <v>5926</v>
      </c>
      <c r="E126" s="5862">
        <f t="shared" si="66"/>
      </c>
      <c r="F126" s="5862" t="s">
        <v>5923</v>
      </c>
      <c r="G126" s="5863" t="s">
        <v>5918</v>
      </c>
      <c r="H126" s="5862" t="s">
        <v>5794</v>
      </c>
      <c r="I126" s="5862" t="s">
        <v>5881</v>
      </c>
      <c r="J126" s="5919" t="s">
        <v>5913</v>
      </c>
      <c r="K126" s="5920"/>
      <c r="L126" s="5920"/>
      <c r="M126" s="5920"/>
      <c r="N126" s="5920"/>
      <c r="O126" s="5920"/>
      <c r="P126" s="5920"/>
      <c r="Q126" s="5920"/>
      <c r="R126" s="5920"/>
      <c r="S126" s="5920"/>
      <c r="T126" s="5920"/>
      <c r="U126" s="5865"/>
      <c r="V126" s="5865"/>
      <c r="W126" s="5865"/>
      <c r="X126" s="5865"/>
      <c r="Y126" s="5865"/>
    </row>
    <row r="127">
      <c r="A127" s="5915" t="s">
        <v>5927</v>
      </c>
      <c r="B127" s="5812">
        <v>46223</v>
      </c>
      <c r="C127" s="5812" t="str">
        <v>Monday</v>
      </c>
      <c r="D127" s="5813" t="s">
        <v>5864</v>
      </c>
      <c r="E127" s="5813">
        <f t="shared" si="66"/>
      </c>
      <c r="F127" s="5816" t="s">
        <v>5800</v>
      </c>
      <c r="G127" s="5876" t="s">
        <v>5919</v>
      </c>
      <c r="H127" s="5816" t="s">
        <v>5794</v>
      </c>
      <c r="I127" s="5813" t="s">
        <v>5795</v>
      </c>
      <c r="J127" s="5859"/>
      <c r="K127" s="5801"/>
      <c r="L127" s="5801"/>
      <c r="M127" s="5801"/>
      <c r="N127" s="5801"/>
      <c r="O127" s="5801"/>
      <c r="P127" s="5801"/>
      <c r="Q127" s="5801"/>
      <c r="R127" s="5801"/>
      <c r="S127" s="5801"/>
      <c r="T127" s="5801"/>
      <c r="U127" s="5802"/>
      <c r="V127" s="5803"/>
      <c r="W127" s="5803"/>
      <c r="X127" s="5803"/>
      <c r="Y127" s="5803"/>
    </row>
    <row r="128">
      <c r="A128" s="5915" t="s">
        <v>5927</v>
      </c>
      <c r="B128" s="5812">
        <v>46223</v>
      </c>
      <c r="C128" s="5812" t="str">
        <v>Monday</v>
      </c>
      <c r="D128" s="5813" t="s">
        <v>5864</v>
      </c>
      <c r="E128" s="5813">
        <f t="shared" si="66"/>
      </c>
      <c r="F128" s="5816" t="s">
        <v>5916</v>
      </c>
      <c r="G128" s="5876" t="s">
        <v>5919</v>
      </c>
      <c r="H128" s="5816" t="s">
        <v>5794</v>
      </c>
      <c r="I128" s="5813" t="s">
        <v>5795</v>
      </c>
      <c r="J128" s="5859"/>
      <c r="K128" s="5801"/>
      <c r="L128" s="5801"/>
      <c r="M128" s="5801"/>
      <c r="N128" s="5801"/>
      <c r="O128" s="5801"/>
      <c r="P128" s="5801"/>
      <c r="Q128" s="5801"/>
      <c r="R128" s="5801"/>
      <c r="S128" s="5801"/>
      <c r="T128" s="5801"/>
      <c r="U128" s="5802"/>
      <c r="V128" s="5803"/>
      <c r="W128" s="5803"/>
      <c r="X128" s="5803"/>
      <c r="Y128" s="5803"/>
    </row>
    <row r="129">
      <c r="A129" s="5915" t="s">
        <v>5927</v>
      </c>
      <c r="B129" s="5812">
        <v>46225</v>
      </c>
      <c r="C129" s="5812" t="str">
        <v>Wednesday</v>
      </c>
      <c r="D129" s="5813" t="s">
        <v>5864</v>
      </c>
      <c r="E129" s="5813">
        <f t="shared" si="66"/>
      </c>
      <c r="F129" s="5816" t="s">
        <v>5873</v>
      </c>
      <c r="G129" s="5876" t="s">
        <v>5919</v>
      </c>
      <c r="H129" s="5816" t="s">
        <v>5794</v>
      </c>
      <c r="I129" s="5813" t="s">
        <v>5795</v>
      </c>
      <c r="J129" s="5859"/>
      <c r="K129" s="5801"/>
      <c r="L129" s="5801"/>
      <c r="M129" s="5801"/>
      <c r="N129" s="5801"/>
      <c r="O129" s="5801"/>
      <c r="P129" s="5801"/>
      <c r="Q129" s="5801"/>
      <c r="R129" s="5801"/>
      <c r="S129" s="5801"/>
      <c r="T129" s="5801"/>
      <c r="U129" s="5802"/>
      <c r="V129" s="5803"/>
      <c r="W129" s="5803"/>
      <c r="X129" s="5803"/>
      <c r="Y129" s="5803"/>
    </row>
    <row r="130">
      <c r="A130" s="5915" t="s">
        <v>5928</v>
      </c>
      <c r="B130" s="5812">
        <v>46223</v>
      </c>
      <c r="C130" s="5812" t="str">
        <v>Monday</v>
      </c>
      <c r="D130" s="5813" t="s">
        <v>5929</v>
      </c>
      <c r="E130" s="5813">
        <f t="shared" si="66"/>
      </c>
      <c r="F130" s="5816" t="s">
        <v>5930</v>
      </c>
      <c r="G130" s="5876"/>
      <c r="H130" s="5816" t="s">
        <v>5794</v>
      </c>
      <c r="I130" s="5813" t="s">
        <v>5881</v>
      </c>
      <c r="J130" s="5859"/>
      <c r="K130" s="5801"/>
      <c r="L130" s="5801"/>
      <c r="M130" s="5801"/>
      <c r="N130" s="5801"/>
      <c r="O130" s="5801"/>
      <c r="P130" s="5801"/>
      <c r="Q130" s="5801"/>
      <c r="R130" s="5801"/>
      <c r="S130" s="5801"/>
      <c r="T130" s="5801"/>
      <c r="U130" s="5802"/>
      <c r="V130" s="5803"/>
      <c r="W130" s="5803"/>
      <c r="X130" s="5803"/>
      <c r="Y130" s="5803"/>
    </row>
    <row r="131">
      <c r="A131" s="5915" t="s">
        <v>5928</v>
      </c>
      <c r="B131" s="5812">
        <v>46224</v>
      </c>
      <c r="C131" s="5812" t="str">
        <v>Tuesday</v>
      </c>
      <c r="D131" s="5813" t="s">
        <v>5820</v>
      </c>
      <c r="E131" s="5813">
        <f t="shared" si="66"/>
      </c>
      <c r="F131" s="5816" t="s">
        <v>5930</v>
      </c>
      <c r="G131" s="5876"/>
      <c r="H131" s="5816" t="s">
        <v>5794</v>
      </c>
      <c r="I131" s="5813" t="s">
        <v>5881</v>
      </c>
      <c r="J131" s="5859"/>
      <c r="K131" s="5801"/>
      <c r="L131" s="5801"/>
      <c r="M131" s="5801"/>
      <c r="N131" s="5801"/>
      <c r="O131" s="5801"/>
      <c r="P131" s="5801"/>
      <c r="Q131" s="5801"/>
      <c r="R131" s="5801"/>
      <c r="S131" s="5801"/>
      <c r="T131" s="5801"/>
      <c r="U131" s="5802"/>
      <c r="V131" s="5803"/>
      <c r="W131" s="5803"/>
      <c r="X131" s="5803"/>
      <c r="Y131" s="5803"/>
    </row>
    <row r="132">
      <c r="A132" s="5915" t="s">
        <v>5928</v>
      </c>
      <c r="B132" s="5812">
        <v>46225</v>
      </c>
      <c r="C132" s="5812" t="str">
        <v>Wednesday</v>
      </c>
      <c r="D132" s="5813" t="s">
        <v>5866</v>
      </c>
      <c r="E132" s="5813">
        <f t="shared" si="66"/>
      </c>
      <c r="F132" s="5816" t="s">
        <v>5930</v>
      </c>
      <c r="G132" s="5876"/>
      <c r="H132" s="5816" t="s">
        <v>5794</v>
      </c>
      <c r="I132" s="5813" t="s">
        <v>5881</v>
      </c>
      <c r="J132" s="5859"/>
      <c r="K132" s="5801"/>
      <c r="L132" s="5801"/>
      <c r="M132" s="5801"/>
      <c r="N132" s="5801"/>
      <c r="O132" s="5801"/>
      <c r="P132" s="5801"/>
      <c r="Q132" s="5801"/>
      <c r="R132" s="5801"/>
      <c r="S132" s="5801"/>
      <c r="T132" s="5801"/>
      <c r="U132" s="5802"/>
      <c r="V132" s="5803"/>
      <c r="W132" s="5803"/>
      <c r="X132" s="5803"/>
      <c r="Y132" s="5803"/>
    </row>
    <row r="133">
      <c r="A133" s="5915" t="s">
        <v>5928</v>
      </c>
      <c r="B133" s="5812">
        <v>46226</v>
      </c>
      <c r="C133" s="5812" t="str">
        <v>Thursday</v>
      </c>
      <c r="D133" s="5853" t="s">
        <v>5931</v>
      </c>
      <c r="E133" s="5813">
        <f t="shared" si="66"/>
      </c>
      <c r="F133" s="5816" t="s">
        <v>5930</v>
      </c>
      <c r="G133" s="5921"/>
      <c r="H133" s="5816" t="s">
        <v>5794</v>
      </c>
      <c r="I133" s="5813"/>
      <c r="J133" s="5859"/>
      <c r="K133" s="5801"/>
      <c r="L133" s="5801"/>
      <c r="M133" s="5801"/>
      <c r="N133" s="5801"/>
      <c r="O133" s="5801"/>
      <c r="P133" s="5801"/>
      <c r="Q133" s="5801"/>
      <c r="R133" s="5801"/>
      <c r="S133" s="5801"/>
      <c r="T133" s="5801"/>
      <c r="U133" s="5802"/>
      <c r="V133" s="5803"/>
      <c r="W133" s="5803"/>
      <c r="X133" s="5803"/>
      <c r="Y133" s="5803"/>
    </row>
    <row r="134">
      <c r="A134" s="5915" t="s">
        <v>5928</v>
      </c>
      <c r="B134" s="5812">
        <v>46227</v>
      </c>
      <c r="C134" s="5812" t="str">
        <v>Friday</v>
      </c>
      <c r="D134" s="5813" t="s">
        <v>5932</v>
      </c>
      <c r="E134" s="5813">
        <f t="shared" si="66"/>
      </c>
      <c r="F134" s="5816" t="s">
        <v>5930</v>
      </c>
      <c r="G134" s="5876"/>
      <c r="H134" s="5816" t="s">
        <v>5794</v>
      </c>
      <c r="I134" s="5813" t="s">
        <v>5881</v>
      </c>
      <c r="J134" s="5859"/>
      <c r="K134" s="5801"/>
      <c r="L134" s="5801"/>
      <c r="M134" s="5801"/>
      <c r="N134" s="5801"/>
      <c r="O134" s="5801"/>
      <c r="P134" s="5801"/>
      <c r="Q134" s="5801"/>
      <c r="R134" s="5801"/>
      <c r="S134" s="5801"/>
      <c r="T134" s="5801"/>
      <c r="U134" s="5802"/>
      <c r="V134" s="5803"/>
      <c r="W134" s="5803"/>
      <c r="X134" s="5803"/>
      <c r="Y134" s="5803"/>
    </row>
    <row r="135">
      <c r="A135" s="5922" t="s">
        <v>5928</v>
      </c>
      <c r="B135" s="5923">
        <v>46229</v>
      </c>
      <c r="C135" s="5923" t="str">
        <v>Sunday</v>
      </c>
      <c r="D135" s="5924" t="s">
        <v>5933</v>
      </c>
      <c r="E135" s="5925">
        <f t="shared" si="66"/>
      </c>
      <c r="F135" s="5925" t="s">
        <v>5930</v>
      </c>
      <c r="G135" s="5926"/>
      <c r="H135" s="5925" t="s">
        <v>5794</v>
      </c>
      <c r="I135" s="5925" t="s">
        <v>5881</v>
      </c>
      <c r="J135" s="5927" t="s">
        <v>5934</v>
      </c>
      <c r="K135" s="5928"/>
      <c r="L135" s="5928"/>
      <c r="M135" s="5928"/>
      <c r="N135" s="5928"/>
      <c r="O135" s="5928"/>
      <c r="P135" s="5928"/>
      <c r="Q135" s="5928"/>
      <c r="R135" s="5928"/>
      <c r="S135" s="5928"/>
      <c r="T135" s="5928"/>
      <c r="U135" s="5929"/>
      <c r="V135" s="5929"/>
      <c r="W135" s="5929"/>
      <c r="X135" s="5929"/>
      <c r="Y135" s="5929"/>
    </row>
    <row r="136">
      <c r="A136" s="5915"/>
      <c r="B136" s="5812"/>
      <c r="C136" s="5812"/>
      <c r="D136" s="5813"/>
      <c r="E136" s="5813"/>
      <c r="F136" s="5816"/>
      <c r="G136" s="5930"/>
      <c r="H136" s="5816"/>
      <c r="I136" s="5813"/>
      <c r="J136" s="5931"/>
      <c r="K136" s="5801"/>
      <c r="L136" s="5801"/>
      <c r="M136" s="5801"/>
      <c r="N136" s="5801"/>
      <c r="O136" s="5801"/>
      <c r="P136" s="5801"/>
      <c r="Q136" s="5801"/>
      <c r="R136" s="5801"/>
      <c r="S136" s="5801"/>
      <c r="T136" s="5801"/>
      <c r="U136" s="5802"/>
      <c r="V136" s="5803"/>
      <c r="W136" s="5803"/>
      <c r="X136" s="5803"/>
      <c r="Y136" s="5803"/>
    </row>
    <row r="137">
      <c r="A137" s="5915" t="s">
        <v>5928</v>
      </c>
      <c r="B137" s="5812">
        <v>46223</v>
      </c>
      <c r="C137" s="5812" t="str">
        <v>Monday</v>
      </c>
      <c r="D137" s="5813" t="s">
        <v>5854</v>
      </c>
      <c r="E137" s="5813">
        <f t="shared" ref="E137:E145" si="67">24*MOD(TIMEVALUE(TRIM(MID(D137,FIND("-",D137)+1,LEN(D137)))) - TIMEVALUE(TRIM(LEFT(D137,FIND("-",D137)-1))),1)</f>
      </c>
      <c r="F137" s="5816" t="s">
        <v>5935</v>
      </c>
      <c r="G137" s="5876"/>
      <c r="H137" s="5816" t="s">
        <v>5794</v>
      </c>
      <c r="I137" s="5813" t="s">
        <v>5881</v>
      </c>
      <c r="J137" s="5859"/>
      <c r="K137" s="5801"/>
      <c r="L137" s="5801"/>
      <c r="M137" s="5801"/>
      <c r="N137" s="5801"/>
      <c r="O137" s="5801"/>
      <c r="P137" s="5801"/>
      <c r="Q137" s="5801"/>
      <c r="R137" s="5801"/>
      <c r="S137" s="5801"/>
      <c r="T137" s="5801"/>
      <c r="U137" s="5802"/>
      <c r="V137" s="5803"/>
      <c r="W137" s="5803"/>
      <c r="X137" s="5803"/>
      <c r="Y137" s="5803"/>
    </row>
    <row r="138">
      <c r="A138" s="5915" t="s">
        <v>5928</v>
      </c>
      <c r="B138" s="5812">
        <v>46223</v>
      </c>
      <c r="C138" s="5812" t="str">
        <v>Monday</v>
      </c>
      <c r="D138" s="5813" t="s">
        <v>5936</v>
      </c>
      <c r="E138" s="5813">
        <f t="shared" si="67"/>
      </c>
      <c r="F138" s="5816" t="s">
        <v>5935</v>
      </c>
      <c r="G138" s="5876"/>
      <c r="H138" s="5816" t="s">
        <v>5794</v>
      </c>
      <c r="I138" s="5813" t="s">
        <v>5881</v>
      </c>
      <c r="J138" s="5859"/>
      <c r="K138" s="5801"/>
      <c r="L138" s="5801"/>
      <c r="M138" s="5801"/>
      <c r="N138" s="5801"/>
      <c r="O138" s="5801"/>
      <c r="P138" s="5801"/>
      <c r="Q138" s="5801"/>
      <c r="R138" s="5801"/>
      <c r="S138" s="5801"/>
      <c r="T138" s="5801"/>
      <c r="U138" s="5802"/>
      <c r="V138" s="5803"/>
      <c r="W138" s="5803"/>
      <c r="X138" s="5803"/>
      <c r="Y138" s="5803"/>
    </row>
    <row r="139">
      <c r="A139" s="5915" t="s">
        <v>5928</v>
      </c>
      <c r="B139" s="5812">
        <v>46224</v>
      </c>
      <c r="C139" s="5812" t="str">
        <v>Tuesday</v>
      </c>
      <c r="D139" s="5813" t="s">
        <v>5937</v>
      </c>
      <c r="E139" s="5813">
        <f t="shared" si="67"/>
      </c>
      <c r="F139" s="5816" t="s">
        <v>5935</v>
      </c>
      <c r="G139" s="5876"/>
      <c r="H139" s="5816" t="s">
        <v>5794</v>
      </c>
      <c r="I139" s="5813" t="s">
        <v>5881</v>
      </c>
      <c r="J139" s="5859"/>
      <c r="K139" s="5801"/>
      <c r="L139" s="5801"/>
      <c r="M139" s="5801"/>
      <c r="N139" s="5801"/>
      <c r="O139" s="5801"/>
      <c r="P139" s="5801"/>
      <c r="Q139" s="5801"/>
      <c r="R139" s="5801"/>
      <c r="S139" s="5801"/>
      <c r="T139" s="5801"/>
      <c r="U139" s="5802"/>
      <c r="V139" s="5803"/>
      <c r="W139" s="5803"/>
      <c r="X139" s="5803"/>
      <c r="Y139" s="5803"/>
    </row>
    <row r="140">
      <c r="A140" s="5915" t="s">
        <v>5928</v>
      </c>
      <c r="B140" s="5812">
        <v>46224</v>
      </c>
      <c r="C140" s="5812" t="str">
        <v>Tuesday</v>
      </c>
      <c r="D140" s="5813" t="s">
        <v>5938</v>
      </c>
      <c r="E140" s="5813">
        <f t="shared" si="67"/>
      </c>
      <c r="F140" s="5816" t="s">
        <v>5935</v>
      </c>
      <c r="G140" s="5876"/>
      <c r="H140" s="5816" t="s">
        <v>5794</v>
      </c>
      <c r="I140" s="5813" t="s">
        <v>5881</v>
      </c>
      <c r="J140" s="5859"/>
      <c r="K140" s="5801"/>
      <c r="L140" s="5801"/>
      <c r="M140" s="5801"/>
      <c r="N140" s="5801"/>
      <c r="O140" s="5801"/>
      <c r="P140" s="5801"/>
      <c r="Q140" s="5801"/>
      <c r="R140" s="5801"/>
      <c r="S140" s="5801"/>
      <c r="T140" s="5801"/>
      <c r="U140" s="5802"/>
      <c r="V140" s="5803"/>
      <c r="W140" s="5803"/>
      <c r="X140" s="5803"/>
      <c r="Y140" s="5803"/>
    </row>
    <row r="141">
      <c r="A141" s="5915" t="s">
        <v>5928</v>
      </c>
      <c r="B141" s="5812">
        <v>46225</v>
      </c>
      <c r="C141" s="5812" t="str">
        <v>Wednesday</v>
      </c>
      <c r="D141" s="5813" t="s">
        <v>5939</v>
      </c>
      <c r="E141" s="5813">
        <f t="shared" si="67"/>
      </c>
      <c r="F141" s="5816" t="s">
        <v>5935</v>
      </c>
      <c r="G141" s="5876"/>
      <c r="H141" s="5816" t="s">
        <v>5794</v>
      </c>
      <c r="I141" s="5813" t="s">
        <v>5881</v>
      </c>
      <c r="J141" s="5859"/>
      <c r="K141" s="5801"/>
      <c r="L141" s="5801"/>
      <c r="M141" s="5801"/>
      <c r="N141" s="5801"/>
      <c r="O141" s="5801"/>
      <c r="P141" s="5801"/>
      <c r="Q141" s="5801"/>
      <c r="R141" s="5801"/>
      <c r="S141" s="5801"/>
      <c r="T141" s="5801"/>
      <c r="U141" s="5802"/>
      <c r="V141" s="5803"/>
      <c r="W141" s="5803"/>
      <c r="X141" s="5803"/>
      <c r="Y141" s="5803"/>
    </row>
    <row r="142">
      <c r="A142" s="5915" t="s">
        <v>5928</v>
      </c>
      <c r="B142" s="5812">
        <v>46225</v>
      </c>
      <c r="C142" s="5812" t="str">
        <v>Wednesday</v>
      </c>
      <c r="D142" s="5813" t="s">
        <v>5940</v>
      </c>
      <c r="E142" s="5813">
        <f t="shared" si="67"/>
      </c>
      <c r="F142" s="5816" t="s">
        <v>5935</v>
      </c>
      <c r="G142" s="5876"/>
      <c r="H142" s="5816" t="s">
        <v>5794</v>
      </c>
      <c r="I142" s="5813" t="s">
        <v>5881</v>
      </c>
      <c r="J142" s="5859"/>
      <c r="K142" s="5801"/>
      <c r="L142" s="5801"/>
      <c r="M142" s="5801"/>
      <c r="N142" s="5801"/>
      <c r="O142" s="5801"/>
      <c r="P142" s="5801"/>
      <c r="Q142" s="5801"/>
      <c r="R142" s="5801"/>
      <c r="S142" s="5801"/>
      <c r="T142" s="5801"/>
      <c r="U142" s="5802"/>
      <c r="V142" s="5803"/>
      <c r="W142" s="5803"/>
      <c r="X142" s="5803"/>
      <c r="Y142" s="5803"/>
    </row>
    <row r="143">
      <c r="A143" s="5915" t="s">
        <v>5928</v>
      </c>
      <c r="B143" s="5812">
        <v>46226</v>
      </c>
      <c r="C143" s="5812" t="str">
        <v>Thursday</v>
      </c>
      <c r="D143" s="5813" t="s">
        <v>5941</v>
      </c>
      <c r="E143" s="5813">
        <f t="shared" si="67"/>
      </c>
      <c r="F143" s="5816" t="s">
        <v>5935</v>
      </c>
      <c r="G143" s="5876"/>
      <c r="H143" s="5816" t="s">
        <v>5794</v>
      </c>
      <c r="I143" s="5813" t="s">
        <v>5881</v>
      </c>
      <c r="J143" s="5859"/>
      <c r="K143" s="5801"/>
      <c r="L143" s="5801"/>
      <c r="M143" s="5801"/>
      <c r="N143" s="5801"/>
      <c r="O143" s="5801"/>
      <c r="P143" s="5801"/>
      <c r="Q143" s="5801"/>
      <c r="R143" s="5801"/>
      <c r="S143" s="5801"/>
      <c r="T143" s="5801"/>
      <c r="U143" s="5802"/>
      <c r="V143" s="5803"/>
      <c r="W143" s="5803"/>
      <c r="X143" s="5803"/>
      <c r="Y143" s="5803"/>
    </row>
    <row r="144">
      <c r="A144" s="5915" t="s">
        <v>5928</v>
      </c>
      <c r="B144" s="5812">
        <v>46226</v>
      </c>
      <c r="C144" s="5812" t="str">
        <v>Thursday</v>
      </c>
      <c r="D144" s="5813" t="s">
        <v>5942</v>
      </c>
      <c r="E144" s="5813">
        <f t="shared" si="67"/>
      </c>
      <c r="F144" s="5816" t="s">
        <v>5935</v>
      </c>
      <c r="G144" s="5876"/>
      <c r="H144" s="5816" t="s">
        <v>5794</v>
      </c>
      <c r="I144" s="5813" t="s">
        <v>5881</v>
      </c>
      <c r="J144" s="5859"/>
      <c r="K144" s="5801"/>
      <c r="L144" s="5801"/>
      <c r="M144" s="5801"/>
      <c r="N144" s="5801"/>
      <c r="O144" s="5801"/>
      <c r="P144" s="5801"/>
      <c r="Q144" s="5801"/>
      <c r="R144" s="5801"/>
      <c r="S144" s="5801"/>
      <c r="T144" s="5801"/>
      <c r="U144" s="5802"/>
      <c r="V144" s="5803"/>
      <c r="W144" s="5803"/>
      <c r="X144" s="5803"/>
      <c r="Y144" s="5803"/>
    </row>
    <row r="145">
      <c r="A145" s="5915" t="s">
        <v>5928</v>
      </c>
      <c r="B145" s="5812">
        <v>46229</v>
      </c>
      <c r="C145" s="5812" t="str">
        <v>Sunday</v>
      </c>
      <c r="D145" s="5813" t="s">
        <v>5943</v>
      </c>
      <c r="E145" s="5813">
        <f t="shared" si="67"/>
      </c>
      <c r="F145" s="5816" t="s">
        <v>5935</v>
      </c>
      <c r="G145" s="5876"/>
      <c r="H145" s="5816" t="s">
        <v>5794</v>
      </c>
      <c r="I145" s="5813" t="s">
        <v>5881</v>
      </c>
      <c r="J145" s="5859"/>
      <c r="K145" s="5801"/>
      <c r="L145" s="5801"/>
      <c r="M145" s="5801"/>
      <c r="N145" s="5801"/>
      <c r="O145" s="5801"/>
      <c r="P145" s="5801"/>
      <c r="Q145" s="5801"/>
      <c r="R145" s="5801"/>
      <c r="S145" s="5801"/>
      <c r="T145" s="5801"/>
      <c r="U145" s="5802"/>
      <c r="V145" s="5803"/>
      <c r="W145" s="5803"/>
      <c r="X145" s="5803"/>
      <c r="Y145" s="5803"/>
    </row>
    <row r="146">
      <c r="A146" s="5915"/>
      <c r="B146" s="5812"/>
      <c r="C146" s="5812"/>
      <c r="D146" s="5813"/>
      <c r="E146" s="5813"/>
      <c r="F146" s="5816"/>
      <c r="G146" s="5876"/>
      <c r="H146" s="5816"/>
      <c r="I146" s="5813"/>
      <c r="J146" s="5859"/>
      <c r="K146" s="5801"/>
      <c r="L146" s="5801"/>
      <c r="M146" s="5801"/>
      <c r="N146" s="5801"/>
      <c r="O146" s="5801"/>
      <c r="P146" s="5801"/>
      <c r="Q146" s="5801"/>
      <c r="R146" s="5801"/>
      <c r="S146" s="5801"/>
      <c r="T146" s="5801"/>
      <c r="U146" s="5802"/>
      <c r="V146" s="5803"/>
      <c r="W146" s="5803"/>
      <c r="X146" s="5803"/>
      <c r="Y146" s="5803"/>
    </row>
    <row r="147">
      <c r="A147" s="5915"/>
      <c r="B147" s="5812"/>
      <c r="C147" s="5812"/>
      <c r="D147" s="5813"/>
      <c r="E147" s="5813"/>
      <c r="F147" s="5816"/>
      <c r="G147" s="5930"/>
      <c r="H147" s="5816"/>
      <c r="I147" s="5813"/>
      <c r="J147" s="5931"/>
      <c r="K147" s="5801"/>
      <c r="L147" s="5801"/>
      <c r="M147" s="5801"/>
      <c r="N147" s="5801"/>
      <c r="O147" s="5801"/>
      <c r="P147" s="5801"/>
      <c r="Q147" s="5801"/>
      <c r="R147" s="5801"/>
      <c r="S147" s="5801"/>
      <c r="T147" s="5801"/>
      <c r="U147" s="5802"/>
      <c r="V147" s="5803"/>
      <c r="W147" s="5803"/>
      <c r="X147" s="5803"/>
      <c r="Y147" s="5803"/>
    </row>
    <row r="148">
      <c r="A148" s="5803"/>
      <c r="B148" s="5803"/>
      <c r="C148" s="5803"/>
      <c r="D148" s="5803"/>
      <c r="E148" s="5803"/>
      <c r="F148" s="5803"/>
      <c r="G148" s="5803"/>
      <c r="H148" s="5803"/>
      <c r="I148" s="5803"/>
      <c r="J148" s="5803"/>
      <c r="K148" s="5802"/>
      <c r="L148" s="5802"/>
      <c r="M148" s="5802"/>
      <c r="N148" s="5802"/>
      <c r="O148" s="5802"/>
      <c r="P148" s="5802"/>
      <c r="Q148" s="5802"/>
      <c r="R148" s="5802"/>
      <c r="S148" s="5802"/>
      <c r="T148" s="5802"/>
      <c r="U148" s="5802"/>
      <c r="V148" s="5803"/>
      <c r="W148" s="5803"/>
      <c r="X148" s="5803"/>
      <c r="Y148" s="5803"/>
    </row>
    <row r="149">
      <c r="A149" s="5932" t="s">
        <v>5944</v>
      </c>
      <c r="B149" s="5932"/>
      <c r="C149" s="5932"/>
      <c r="D149" s="5932"/>
      <c r="E149" s="5932"/>
      <c r="F149" s="5932"/>
      <c r="G149" s="5932"/>
      <c r="H149" s="5932" t="s">
        <v>5911</v>
      </c>
      <c r="I149" s="5932"/>
      <c r="J149" s="5932"/>
      <c r="K149" s="5870"/>
      <c r="L149" s="5870"/>
      <c r="M149" s="5870"/>
      <c r="N149" s="5870"/>
      <c r="O149" s="5801"/>
      <c r="P149" s="5801"/>
      <c r="Q149" s="5801"/>
      <c r="R149" s="5801"/>
      <c r="S149" s="5801"/>
      <c r="T149" s="5801"/>
      <c r="U149" s="5802"/>
      <c r="V149" s="5803"/>
      <c r="W149" s="5803"/>
      <c r="X149" s="5803"/>
      <c r="Y149" s="5803"/>
    </row>
    <row r="150">
      <c r="A150" s="5933" t="s">
        <v>5782</v>
      </c>
      <c r="B150" s="5934" t="s">
        <v>5783</v>
      </c>
      <c r="C150" s="5934"/>
      <c r="D150" s="5935" t="s">
        <v>5784</v>
      </c>
      <c r="E150" s="5936" t="s">
        <v>5785</v>
      </c>
      <c r="F150" s="5936" t="s">
        <v>5786</v>
      </c>
      <c r="G150" s="5937" t="s">
        <v>5809</v>
      </c>
      <c r="H150" s="5938" t="s">
        <v>5788</v>
      </c>
      <c r="I150" s="5938" t="s">
        <v>5789</v>
      </c>
      <c r="J150" s="5939" t="s">
        <v>5790</v>
      </c>
      <c r="K150" s="5870"/>
      <c r="L150" s="5870"/>
      <c r="M150" s="5870"/>
      <c r="N150" s="5870"/>
      <c r="O150" s="5801"/>
      <c r="P150" s="5801"/>
      <c r="Q150" s="5801"/>
      <c r="R150" s="5801"/>
      <c r="S150" s="5801"/>
      <c r="T150" s="5801"/>
      <c r="U150" s="5802"/>
      <c r="V150" s="5803"/>
      <c r="W150" s="5803"/>
      <c r="X150" s="5803"/>
      <c r="Y150" s="5803"/>
    </row>
    <row r="151">
      <c r="A151" s="5812" t="s">
        <v>5944</v>
      </c>
      <c r="B151" s="5812">
        <v>46224</v>
      </c>
      <c r="C151" s="5812" t="str">
        <v>Tuesday</v>
      </c>
      <c r="D151" s="5816" t="s">
        <v>5841</v>
      </c>
      <c r="E151" s="5816">
        <f t="shared" ref="E151:E164" si="68">24*MOD(TIMEVALUE(TRIM(MID(D151,FIND("-",D151)+1,LEN(D151)))) - TIMEVALUE(TRIM(LEFT(D151,FIND("-",D151)-1))),1)</f>
      </c>
      <c r="F151" s="5813" t="s">
        <v>5945</v>
      </c>
      <c r="G151" s="5876" t="s">
        <v>5946</v>
      </c>
      <c r="H151" s="5816" t="s">
        <v>5947</v>
      </c>
      <c r="I151" s="5813" t="s">
        <v>5881</v>
      </c>
      <c r="J151" s="5837"/>
      <c r="K151" s="5870"/>
      <c r="L151" s="5870"/>
      <c r="M151" s="5870"/>
      <c r="N151" s="5870"/>
      <c r="O151" s="5801"/>
      <c r="P151" s="5801"/>
      <c r="Q151" s="5801"/>
      <c r="R151" s="5801"/>
      <c r="S151" s="5801"/>
      <c r="T151" s="5801"/>
      <c r="U151" s="5802"/>
      <c r="V151" s="5802"/>
      <c r="W151" s="5802"/>
      <c r="X151" s="5802"/>
      <c r="Y151" s="5802"/>
    </row>
    <row r="152">
      <c r="A152" s="5820" t="s">
        <v>5944</v>
      </c>
      <c r="B152" s="5820">
        <v>46226</v>
      </c>
      <c r="C152" s="5820" t="str">
        <v>Thursday</v>
      </c>
      <c r="D152" s="5821" t="s">
        <v>5841</v>
      </c>
      <c r="E152" s="5821">
        <f t="shared" si="68"/>
      </c>
      <c r="F152" s="5821" t="s">
        <v>5945</v>
      </c>
      <c r="G152" s="5908" t="s">
        <v>5948</v>
      </c>
      <c r="H152" s="5821" t="s">
        <v>5947</v>
      </c>
      <c r="I152" s="5821" t="s">
        <v>5881</v>
      </c>
      <c r="J152" s="5940" t="s">
        <v>5949</v>
      </c>
      <c r="K152" s="5941"/>
      <c r="L152" s="5941"/>
      <c r="M152" s="5941"/>
      <c r="N152" s="5941"/>
      <c r="O152" s="5825"/>
      <c r="P152" s="5825"/>
      <c r="Q152" s="5825"/>
      <c r="R152" s="5825"/>
      <c r="S152" s="5825"/>
      <c r="T152" s="5825"/>
      <c r="U152" s="5826"/>
      <c r="V152" s="5826"/>
      <c r="W152" s="5826"/>
      <c r="X152" s="5826"/>
      <c r="Y152" s="5826"/>
    </row>
    <row r="153">
      <c r="A153" s="5861" t="s">
        <v>5944</v>
      </c>
      <c r="B153" s="5861">
        <v>46227</v>
      </c>
      <c r="C153" s="5861" t="str">
        <v>Friday</v>
      </c>
      <c r="D153" s="5862" t="s">
        <v>5841</v>
      </c>
      <c r="E153" s="5862">
        <f t="shared" si="68"/>
      </c>
      <c r="F153" s="5862" t="s">
        <v>5945</v>
      </c>
      <c r="G153" s="5863" t="s">
        <v>5918</v>
      </c>
      <c r="H153" s="5862" t="s">
        <v>5947</v>
      </c>
      <c r="I153" s="5862" t="s">
        <v>5881</v>
      </c>
      <c r="J153" s="5942"/>
      <c r="K153" s="5943"/>
      <c r="L153" s="5943"/>
      <c r="M153" s="5943"/>
      <c r="N153" s="5943"/>
      <c r="O153" s="5920"/>
      <c r="P153" s="5920"/>
      <c r="Q153" s="5920"/>
      <c r="R153" s="5920"/>
      <c r="S153" s="5920"/>
      <c r="T153" s="5920"/>
      <c r="U153" s="5865"/>
      <c r="V153" s="5865"/>
      <c r="W153" s="5865"/>
      <c r="X153" s="5865"/>
      <c r="Y153" s="5865"/>
    </row>
    <row customHeight="true" ht="18.452380952380953" r="154">
      <c r="A154" s="5812" t="s">
        <v>5944</v>
      </c>
      <c r="B154" s="5944">
        <v>46227</v>
      </c>
      <c r="C154" s="5812" t="str">
        <v>Friday</v>
      </c>
      <c r="D154" s="5945" t="s">
        <v>5811</v>
      </c>
      <c r="E154" s="5813">
        <f t="shared" si="68"/>
      </c>
      <c r="F154" s="5813" t="s">
        <v>5950</v>
      </c>
      <c r="G154" s="5836" t="s">
        <v>5918</v>
      </c>
      <c r="H154" s="5813" t="s">
        <v>5947</v>
      </c>
      <c r="I154" s="5813" t="s">
        <v>5881</v>
      </c>
      <c r="J154" s="5881"/>
      <c r="K154" s="5870"/>
      <c r="L154" s="5870"/>
      <c r="M154" s="5870"/>
      <c r="N154" s="5870"/>
      <c r="O154" s="5801"/>
      <c r="P154" s="5801"/>
      <c r="Q154" s="5801"/>
      <c r="R154" s="5801"/>
      <c r="S154" s="5801"/>
      <c r="T154" s="5801"/>
      <c r="U154" s="5802"/>
      <c r="V154" s="5802"/>
      <c r="W154" s="5802"/>
      <c r="X154" s="5802"/>
      <c r="Y154" s="5802"/>
    </row>
    <row r="155">
      <c r="A155" s="5812" t="s">
        <v>5944</v>
      </c>
      <c r="B155" s="5812">
        <v>46228</v>
      </c>
      <c r="C155" s="5812" t="str">
        <v>Saturday</v>
      </c>
      <c r="D155" s="5816" t="s">
        <v>5841</v>
      </c>
      <c r="E155" s="5813">
        <f t="shared" si="68"/>
      </c>
      <c r="F155" s="5813" t="s">
        <v>5945</v>
      </c>
      <c r="G155" s="5836" t="s">
        <v>5918</v>
      </c>
      <c r="H155" s="5813" t="s">
        <v>5947</v>
      </c>
      <c r="I155" s="5813" t="s">
        <v>5881</v>
      </c>
      <c r="J155" s="5881"/>
      <c r="K155" s="5870"/>
      <c r="L155" s="5870"/>
      <c r="M155" s="5870"/>
      <c r="N155" s="5870"/>
      <c r="O155" s="5801"/>
      <c r="P155" s="5801"/>
      <c r="Q155" s="5801"/>
      <c r="R155" s="5801"/>
      <c r="S155" s="5801"/>
      <c r="T155" s="5801"/>
      <c r="U155" s="5802"/>
      <c r="V155" s="5802"/>
      <c r="W155" s="5802"/>
      <c r="X155" s="5802"/>
      <c r="Y155" s="5802"/>
    </row>
    <row r="156">
      <c r="A156" s="5812" t="s">
        <v>5951</v>
      </c>
      <c r="B156" s="5812">
        <v>46223</v>
      </c>
      <c r="C156" s="5812" t="str">
        <v>Monday</v>
      </c>
      <c r="D156" s="5813" t="s">
        <v>5952</v>
      </c>
      <c r="E156" s="5813">
        <f t="shared" si="68"/>
      </c>
      <c r="F156" s="5813" t="s">
        <v>5945</v>
      </c>
      <c r="G156" s="5876" t="s">
        <v>5953</v>
      </c>
      <c r="H156" s="5813" t="s">
        <v>5947</v>
      </c>
      <c r="I156" s="5813" t="s">
        <v>5881</v>
      </c>
      <c r="J156" s="5881"/>
      <c r="K156" s="5870"/>
      <c r="L156" s="5870"/>
      <c r="M156" s="5870"/>
      <c r="N156" s="5870"/>
      <c r="O156" s="5801"/>
      <c r="P156" s="5801"/>
      <c r="Q156" s="5801"/>
      <c r="R156" s="5801"/>
      <c r="S156" s="5801"/>
      <c r="T156" s="5801"/>
      <c r="U156" s="5802"/>
      <c r="V156" s="5802"/>
      <c r="W156" s="5802"/>
      <c r="X156" s="5802"/>
      <c r="Y156" s="5802"/>
    </row>
    <row r="157">
      <c r="A157" s="5812" t="s">
        <v>5951</v>
      </c>
      <c r="B157" s="5812">
        <v>46223</v>
      </c>
      <c r="C157" s="5812" t="str">
        <v>Monday</v>
      </c>
      <c r="D157" s="5813" t="s">
        <v>5954</v>
      </c>
      <c r="E157" s="5813">
        <f t="shared" si="68"/>
      </c>
      <c r="F157" s="5813" t="s">
        <v>5914</v>
      </c>
      <c r="G157" s="5876" t="s">
        <v>5953</v>
      </c>
      <c r="H157" s="5813" t="s">
        <v>5947</v>
      </c>
      <c r="I157" s="5813" t="s">
        <v>5881</v>
      </c>
      <c r="J157" s="5881"/>
      <c r="K157" s="5870"/>
      <c r="L157" s="5870"/>
      <c r="M157" s="5870"/>
      <c r="N157" s="5870"/>
      <c r="O157" s="5801"/>
      <c r="P157" s="5801"/>
      <c r="Q157" s="5801"/>
      <c r="R157" s="5801"/>
      <c r="S157" s="5801"/>
      <c r="T157" s="5801"/>
      <c r="U157" s="5802"/>
      <c r="V157" s="5802"/>
      <c r="W157" s="5802"/>
      <c r="X157" s="5802"/>
      <c r="Y157" s="5802"/>
    </row>
    <row r="158">
      <c r="A158" s="5812" t="s">
        <v>5951</v>
      </c>
      <c r="B158" s="5812">
        <v>46226</v>
      </c>
      <c r="C158" s="5812" t="str">
        <v>Thursday</v>
      </c>
      <c r="D158" s="5816" t="s">
        <v>5955</v>
      </c>
      <c r="E158" s="5813">
        <f t="shared" si="68"/>
      </c>
      <c r="F158" s="5813" t="s">
        <v>5950</v>
      </c>
      <c r="G158" s="5876" t="s">
        <v>5956</v>
      </c>
      <c r="H158" s="5813" t="s">
        <v>5947</v>
      </c>
      <c r="I158" s="5813" t="s">
        <v>5881</v>
      </c>
      <c r="J158" s="5881"/>
      <c r="K158" s="5870"/>
      <c r="L158" s="5870"/>
      <c r="M158" s="5870"/>
      <c r="N158" s="5870"/>
      <c r="O158" s="5801"/>
      <c r="P158" s="5801"/>
      <c r="Q158" s="5801"/>
      <c r="R158" s="5801"/>
      <c r="S158" s="5801"/>
      <c r="T158" s="5801"/>
      <c r="U158" s="5802"/>
      <c r="V158" s="5802"/>
      <c r="W158" s="5802"/>
      <c r="X158" s="5802"/>
      <c r="Y158" s="5802"/>
    </row>
    <row r="159">
      <c r="A159" s="5812" t="s">
        <v>5951</v>
      </c>
      <c r="B159" s="5812">
        <v>46226</v>
      </c>
      <c r="C159" s="5812" t="str">
        <v>Thursday</v>
      </c>
      <c r="D159" s="5816" t="s">
        <v>5957</v>
      </c>
      <c r="E159" s="5813">
        <f t="shared" si="68"/>
      </c>
      <c r="F159" s="5813" t="s">
        <v>5950</v>
      </c>
      <c r="G159" s="5876" t="s">
        <v>5958</v>
      </c>
      <c r="H159" s="5813" t="s">
        <v>5947</v>
      </c>
      <c r="I159" s="5813" t="s">
        <v>5881</v>
      </c>
      <c r="J159" s="5881"/>
      <c r="K159" s="5870"/>
      <c r="L159" s="5870"/>
      <c r="M159" s="5870"/>
      <c r="N159" s="5870"/>
      <c r="O159" s="5801"/>
      <c r="P159" s="5801"/>
      <c r="Q159" s="5801"/>
      <c r="R159" s="5801"/>
      <c r="S159" s="5801"/>
      <c r="T159" s="5801"/>
      <c r="U159" s="5802"/>
      <c r="V159" s="5802"/>
      <c r="W159" s="5802"/>
      <c r="X159" s="5802"/>
      <c r="Y159" s="5802"/>
    </row>
    <row r="160">
      <c r="A160" s="5812" t="s">
        <v>5951</v>
      </c>
      <c r="B160" s="5812">
        <v>46227</v>
      </c>
      <c r="C160" s="5812" t="str">
        <v>Friday</v>
      </c>
      <c r="D160" s="5945" t="s">
        <v>5792</v>
      </c>
      <c r="E160" s="5813">
        <f t="shared" si="68"/>
      </c>
      <c r="F160" s="5813" t="s">
        <v>5950</v>
      </c>
      <c r="G160" s="5876"/>
      <c r="H160" s="5813" t="s">
        <v>5947</v>
      </c>
      <c r="I160" s="5813" t="s">
        <v>5881</v>
      </c>
      <c r="J160" s="5881"/>
      <c r="K160" s="5870"/>
      <c r="L160" s="5870"/>
      <c r="M160" s="5870"/>
      <c r="N160" s="5870"/>
      <c r="O160" s="5801"/>
      <c r="P160" s="5801"/>
      <c r="Q160" s="5801"/>
      <c r="R160" s="5801"/>
      <c r="S160" s="5801"/>
      <c r="T160" s="5801"/>
      <c r="U160" s="5802"/>
      <c r="V160" s="5802"/>
      <c r="W160" s="5802"/>
      <c r="X160" s="5802"/>
      <c r="Y160" s="5802"/>
    </row>
    <row r="161">
      <c r="A161" s="5812" t="s">
        <v>5959</v>
      </c>
      <c r="B161" s="5812">
        <v>46224</v>
      </c>
      <c r="C161" s="5812" t="str">
        <v>Tuesday</v>
      </c>
      <c r="D161" s="5816" t="s">
        <v>5841</v>
      </c>
      <c r="E161" s="5816">
        <f t="shared" si="68"/>
      </c>
      <c r="F161" s="5813" t="s">
        <v>5914</v>
      </c>
      <c r="G161" s="5876"/>
      <c r="H161" s="5816" t="s">
        <v>5947</v>
      </c>
      <c r="I161" s="5813" t="s">
        <v>5881</v>
      </c>
      <c r="J161" s="5837"/>
      <c r="K161" s="5870"/>
      <c r="L161" s="5870"/>
      <c r="M161" s="5870"/>
      <c r="N161" s="5870"/>
      <c r="O161" s="5801"/>
      <c r="P161" s="5801"/>
      <c r="Q161" s="5801"/>
      <c r="R161" s="5801"/>
      <c r="S161" s="5801"/>
      <c r="T161" s="5801"/>
      <c r="U161" s="5802"/>
      <c r="V161" s="5802"/>
      <c r="W161" s="5802"/>
      <c r="X161" s="5802"/>
      <c r="Y161" s="5802"/>
    </row>
    <row r="162">
      <c r="A162" s="5820" t="s">
        <v>5959</v>
      </c>
      <c r="B162" s="5820">
        <v>46226</v>
      </c>
      <c r="C162" s="5820" t="str">
        <v>Thursday</v>
      </c>
      <c r="D162" s="5821" t="s">
        <v>5841</v>
      </c>
      <c r="E162" s="5821">
        <f t="shared" si="68"/>
      </c>
      <c r="F162" s="5821" t="s">
        <v>5914</v>
      </c>
      <c r="G162" s="5908"/>
      <c r="H162" s="5821" t="s">
        <v>5947</v>
      </c>
      <c r="I162" s="5821" t="s">
        <v>5881</v>
      </c>
      <c r="J162" s="5940" t="s">
        <v>5960</v>
      </c>
      <c r="K162" s="5941"/>
      <c r="L162" s="5941"/>
      <c r="M162" s="5941"/>
      <c r="N162" s="5941"/>
      <c r="O162" s="5825"/>
      <c r="P162" s="5825"/>
      <c r="Q162" s="5825"/>
      <c r="R162" s="5825"/>
      <c r="S162" s="5825"/>
      <c r="T162" s="5825"/>
      <c r="U162" s="5826"/>
      <c r="V162" s="5826"/>
      <c r="W162" s="5826"/>
      <c r="X162" s="5826"/>
      <c r="Y162" s="5826"/>
    </row>
    <row r="163">
      <c r="A163" s="5812" t="s">
        <v>5959</v>
      </c>
      <c r="B163" s="5812">
        <v>46227</v>
      </c>
      <c r="C163" s="5812" t="str">
        <v>Friday</v>
      </c>
      <c r="D163" s="5945" t="s">
        <v>5955</v>
      </c>
      <c r="E163" s="5813">
        <f t="shared" si="68"/>
      </c>
      <c r="F163" s="5813" t="s">
        <v>5930</v>
      </c>
      <c r="G163" s="5836"/>
      <c r="H163" s="5813" t="s">
        <v>5947</v>
      </c>
      <c r="I163" s="5813" t="s">
        <v>5881</v>
      </c>
      <c r="J163" s="5881"/>
      <c r="K163" s="5870"/>
      <c r="L163" s="5870"/>
      <c r="M163" s="5870"/>
      <c r="N163" s="5870"/>
      <c r="O163" s="5801"/>
      <c r="P163" s="5801"/>
      <c r="Q163" s="5801"/>
      <c r="R163" s="5801"/>
      <c r="S163" s="5801"/>
      <c r="T163" s="5801"/>
      <c r="U163" s="5802"/>
      <c r="V163" s="5802"/>
      <c r="W163" s="5802"/>
      <c r="X163" s="5802"/>
      <c r="Y163" s="5802"/>
    </row>
    <row r="164">
      <c r="A164" s="5812" t="s">
        <v>5959</v>
      </c>
      <c r="B164" s="5812">
        <v>46228</v>
      </c>
      <c r="C164" s="5812" t="str">
        <v>Saturday</v>
      </c>
      <c r="D164" s="5946" t="s">
        <v>5961</v>
      </c>
      <c r="E164" s="5813">
        <f t="shared" si="68"/>
      </c>
      <c r="F164" s="5947" t="s">
        <v>5930</v>
      </c>
      <c r="G164" s="5948"/>
      <c r="H164" s="5947" t="s">
        <v>5947</v>
      </c>
      <c r="I164" s="5947" t="s">
        <v>5881</v>
      </c>
      <c r="J164" s="5949"/>
      <c r="K164" s="5870"/>
      <c r="L164" s="5870"/>
      <c r="M164" s="5870"/>
      <c r="N164" s="5870"/>
      <c r="O164" s="5801"/>
      <c r="P164" s="5801"/>
      <c r="Q164" s="5801"/>
      <c r="R164" s="5801"/>
      <c r="S164" s="5801"/>
      <c r="T164" s="5801"/>
      <c r="U164" s="5802"/>
      <c r="V164" s="5802"/>
      <c r="W164" s="5802"/>
      <c r="X164" s="5802"/>
      <c r="Y164" s="5802"/>
    </row>
    <row customHeight="true" ht="18.452380952380953" r="165">
      <c r="A165" s="5812"/>
      <c r="B165" s="5812"/>
      <c r="C165" s="5812"/>
      <c r="D165" s="5950"/>
      <c r="E165" s="5813"/>
      <c r="F165" s="5947"/>
      <c r="G165" s="5948"/>
      <c r="H165" s="5947"/>
      <c r="I165" s="5947"/>
      <c r="J165" s="5949"/>
      <c r="K165" s="5870"/>
      <c r="L165" s="5870"/>
      <c r="M165" s="5870"/>
      <c r="N165" s="5870"/>
      <c r="O165" s="5801"/>
      <c r="P165" s="5801"/>
      <c r="Q165" s="5801"/>
      <c r="R165" s="5801"/>
      <c r="S165" s="5801"/>
      <c r="T165" s="5801"/>
      <c r="U165" s="5802"/>
      <c r="V165" s="5802"/>
      <c r="W165" s="5802"/>
      <c r="X165" s="5802"/>
      <c r="Y165" s="5802"/>
    </row>
    <row customHeight="true" ht="18.452380952380953" r="166">
      <c r="A166" s="5812"/>
      <c r="B166" s="5812"/>
      <c r="C166" s="5812"/>
      <c r="D166" s="5950"/>
      <c r="E166" s="5813"/>
      <c r="F166" s="5947"/>
      <c r="G166" s="5948"/>
      <c r="H166" s="5947"/>
      <c r="I166" s="5947"/>
      <c r="J166" s="5949"/>
      <c r="K166" s="5870"/>
      <c r="L166" s="5870"/>
      <c r="M166" s="5870"/>
      <c r="N166" s="5870"/>
      <c r="O166" s="5801"/>
      <c r="P166" s="5801"/>
      <c r="Q166" s="5801"/>
      <c r="R166" s="5801"/>
      <c r="S166" s="5801"/>
      <c r="T166" s="5801"/>
      <c r="U166" s="5802"/>
      <c r="V166" s="5802"/>
      <c r="W166" s="5802"/>
      <c r="X166" s="5802"/>
      <c r="Y166" s="5802"/>
    </row>
    <row customHeight="true" ht="32.142857142857146" r="167">
      <c r="A167" s="5951" t="s">
        <v>5962</v>
      </c>
      <c r="B167" s="5952"/>
      <c r="C167" s="5952"/>
      <c r="D167" s="5953"/>
      <c r="E167" s="5954"/>
      <c r="F167" s="5954"/>
      <c r="G167" s="5955"/>
      <c r="H167" s="5956" t="s">
        <v>5963</v>
      </c>
      <c r="I167" s="5956"/>
      <c r="J167" s="5957"/>
      <c r="K167" s="5870"/>
      <c r="L167" s="5870"/>
      <c r="M167" s="5870"/>
      <c r="N167" s="5870"/>
      <c r="O167" s="5801"/>
      <c r="P167" s="5801"/>
      <c r="Q167" s="5801"/>
      <c r="R167" s="5801"/>
      <c r="S167" s="5801"/>
      <c r="T167" s="5801"/>
      <c r="U167" s="5802"/>
      <c r="V167" s="5802"/>
      <c r="W167" s="5802"/>
      <c r="X167" s="5802"/>
      <c r="Y167" s="5802"/>
    </row>
    <row r="168">
      <c r="A168" s="5958" t="s">
        <v>5782</v>
      </c>
      <c r="B168" s="5952" t="s">
        <v>5783</v>
      </c>
      <c r="C168" s="5952"/>
      <c r="D168" s="5953" t="s">
        <v>5964</v>
      </c>
      <c r="E168" s="5954" t="s">
        <v>5785</v>
      </c>
      <c r="F168" s="5954" t="s">
        <v>5786</v>
      </c>
      <c r="G168" s="5955" t="s">
        <v>5809</v>
      </c>
      <c r="H168" s="5956" t="s">
        <v>5788</v>
      </c>
      <c r="I168" s="5956" t="s">
        <v>5789</v>
      </c>
      <c r="J168" s="5957" t="s">
        <v>5790</v>
      </c>
      <c r="K168" s="5870"/>
      <c r="L168" s="5870"/>
      <c r="M168" s="5870"/>
      <c r="N168" s="5870"/>
      <c r="O168" s="5801"/>
      <c r="P168" s="5801"/>
      <c r="Q168" s="5801"/>
      <c r="R168" s="5801"/>
      <c r="S168" s="5801"/>
      <c r="T168" s="5801"/>
      <c r="U168" s="5802"/>
      <c r="V168" s="5802"/>
      <c r="W168" s="5802"/>
      <c r="X168" s="5802"/>
      <c r="Y168" s="5802"/>
    </row>
    <row r="169">
      <c r="A169" s="5812" t="s">
        <v>5962</v>
      </c>
      <c r="B169" s="5812">
        <v>46223</v>
      </c>
      <c r="C169" s="5812" t="str">
        <v>Monday</v>
      </c>
      <c r="D169" s="5816" t="s">
        <v>5957</v>
      </c>
      <c r="E169" s="5816">
        <f t="shared" ref="E169:E177" si="69">24*MOD(TIMEVALUE(TRIM(MID(D169,FIND("-",D169)+1,LEN(D169)))) - TIMEVALUE(TRIM(LEFT(D169,FIND("-",D169)-1))),1)</f>
      </c>
      <c r="F169" s="5816" t="s">
        <v>5873</v>
      </c>
      <c r="G169" s="5876" t="s">
        <v>5919</v>
      </c>
      <c r="H169" s="5816" t="s">
        <v>5947</v>
      </c>
      <c r="I169" s="5813" t="s">
        <v>5795</v>
      </c>
      <c r="J169" s="5837"/>
      <c r="K169" s="5870"/>
      <c r="L169" s="5870"/>
      <c r="M169" s="5870"/>
      <c r="N169" s="5870"/>
      <c r="O169" s="5801"/>
      <c r="P169" s="5801"/>
      <c r="Q169" s="5801"/>
      <c r="R169" s="5801"/>
      <c r="S169" s="5801"/>
      <c r="T169" s="5801"/>
      <c r="U169" s="5802"/>
      <c r="V169" s="5803"/>
      <c r="W169" s="5803"/>
      <c r="X169" s="5803"/>
      <c r="Y169" s="5803"/>
    </row>
    <row r="170">
      <c r="A170" s="5812" t="s">
        <v>5962</v>
      </c>
      <c r="B170" s="5812">
        <v>46224</v>
      </c>
      <c r="C170" s="5812" t="str">
        <v>Tuesday</v>
      </c>
      <c r="D170" s="5816" t="s">
        <v>5965</v>
      </c>
      <c r="E170" s="5816">
        <f t="shared" si="69"/>
      </c>
      <c r="F170" s="5816" t="s">
        <v>5800</v>
      </c>
      <c r="G170" s="5876" t="s">
        <v>5919</v>
      </c>
      <c r="H170" s="5816" t="s">
        <v>5947</v>
      </c>
      <c r="I170" s="5813" t="s">
        <v>5795</v>
      </c>
      <c r="J170" s="5837"/>
      <c r="K170" s="5870"/>
      <c r="L170" s="5870"/>
      <c r="M170" s="5870"/>
      <c r="N170" s="5870"/>
      <c r="O170" s="5801"/>
      <c r="P170" s="5801"/>
      <c r="Q170" s="5801"/>
      <c r="R170" s="5801"/>
      <c r="S170" s="5801"/>
      <c r="T170" s="5801"/>
      <c r="U170" s="5802"/>
      <c r="V170" s="5803"/>
      <c r="W170" s="5803"/>
      <c r="X170" s="5803"/>
      <c r="Y170" s="5803"/>
    </row>
    <row r="171">
      <c r="A171" s="5812" t="s">
        <v>5962</v>
      </c>
      <c r="B171" s="5812">
        <v>46225</v>
      </c>
      <c r="C171" s="5812" t="str">
        <v>Wednesday</v>
      </c>
      <c r="D171" s="5816" t="s">
        <v>5837</v>
      </c>
      <c r="E171" s="5816">
        <f t="shared" si="69"/>
      </c>
      <c r="F171" s="5816" t="s">
        <v>5873</v>
      </c>
      <c r="G171" s="5876" t="s">
        <v>5966</v>
      </c>
      <c r="H171" s="5816" t="s">
        <v>5947</v>
      </c>
      <c r="I171" s="5813" t="s">
        <v>5795</v>
      </c>
      <c r="J171" s="5837"/>
      <c r="K171" s="5870"/>
      <c r="L171" s="5870"/>
      <c r="M171" s="5870"/>
      <c r="N171" s="5870"/>
      <c r="O171" s="5801"/>
      <c r="P171" s="5801"/>
      <c r="Q171" s="5801"/>
      <c r="R171" s="5801"/>
      <c r="S171" s="5801"/>
      <c r="T171" s="5801"/>
      <c r="U171" s="5802"/>
      <c r="V171" s="5803"/>
      <c r="W171" s="5803"/>
      <c r="X171" s="5803"/>
      <c r="Y171" s="5803"/>
    </row>
    <row r="172">
      <c r="A172" s="5812" t="s">
        <v>5962</v>
      </c>
      <c r="B172" s="5812">
        <v>46227</v>
      </c>
      <c r="C172" s="5812" t="str">
        <v>Friday</v>
      </c>
      <c r="D172" s="5816" t="s">
        <v>5965</v>
      </c>
      <c r="E172" s="5816">
        <f t="shared" si="69"/>
      </c>
      <c r="F172" s="5816" t="s">
        <v>5800</v>
      </c>
      <c r="G172" s="5876" t="s">
        <v>5915</v>
      </c>
      <c r="H172" s="5816" t="s">
        <v>5947</v>
      </c>
      <c r="I172" s="5813" t="s">
        <v>5795</v>
      </c>
      <c r="J172" s="5837"/>
      <c r="K172" s="5870"/>
      <c r="L172" s="5870"/>
      <c r="M172" s="5870"/>
      <c r="N172" s="5870"/>
      <c r="O172" s="5801"/>
      <c r="P172" s="5801"/>
      <c r="Q172" s="5801"/>
      <c r="R172" s="5801"/>
      <c r="S172" s="5801"/>
      <c r="T172" s="5801"/>
      <c r="U172" s="5802"/>
      <c r="V172" s="5803"/>
      <c r="W172" s="5803"/>
      <c r="X172" s="5803"/>
      <c r="Y172" s="5803"/>
    </row>
    <row r="173">
      <c r="A173" s="5812" t="s">
        <v>5967</v>
      </c>
      <c r="B173" s="5812">
        <v>46223</v>
      </c>
      <c r="C173" s="5812" t="str">
        <v>Monday</v>
      </c>
      <c r="D173" s="5816" t="s">
        <v>5968</v>
      </c>
      <c r="E173" s="5816">
        <f t="shared" si="69"/>
      </c>
      <c r="F173" s="5816" t="s">
        <v>5873</v>
      </c>
      <c r="G173" s="5876" t="s">
        <v>5953</v>
      </c>
      <c r="H173" s="5816" t="s">
        <v>5947</v>
      </c>
      <c r="I173" s="5813" t="s">
        <v>5795</v>
      </c>
      <c r="J173" s="5837"/>
      <c r="K173" s="5870"/>
      <c r="L173" s="5870"/>
      <c r="M173" s="5870"/>
      <c r="N173" s="5870"/>
      <c r="O173" s="5801"/>
      <c r="P173" s="5801"/>
      <c r="Q173" s="5801"/>
      <c r="R173" s="5801"/>
      <c r="S173" s="5801"/>
      <c r="T173" s="5801"/>
      <c r="U173" s="5802"/>
      <c r="V173" s="5803"/>
      <c r="W173" s="5803"/>
      <c r="X173" s="5803"/>
      <c r="Y173" s="5803"/>
    </row>
    <row r="174">
      <c r="A174" s="5812" t="s">
        <v>5967</v>
      </c>
      <c r="B174" s="5812">
        <v>46226</v>
      </c>
      <c r="C174" s="5812" t="str">
        <v>Thursday</v>
      </c>
      <c r="D174" s="5816" t="s">
        <v>5864</v>
      </c>
      <c r="E174" s="5816">
        <f t="shared" si="69"/>
      </c>
      <c r="F174" s="5816" t="s">
        <v>5800</v>
      </c>
      <c r="G174" s="5876" t="s">
        <v>5919</v>
      </c>
      <c r="H174" s="5816" t="s">
        <v>5947</v>
      </c>
      <c r="I174" s="5813" t="s">
        <v>5795</v>
      </c>
      <c r="J174" s="5837"/>
      <c r="K174" s="5870"/>
      <c r="L174" s="5870"/>
      <c r="M174" s="5870"/>
      <c r="N174" s="5870"/>
      <c r="O174" s="5801"/>
      <c r="P174" s="5801"/>
      <c r="Q174" s="5801"/>
      <c r="R174" s="5801"/>
      <c r="S174" s="5801"/>
      <c r="T174" s="5801"/>
      <c r="U174" s="5802"/>
      <c r="V174" s="5803"/>
      <c r="W174" s="5803"/>
      <c r="X174" s="5803"/>
      <c r="Y174" s="5803"/>
    </row>
    <row r="175">
      <c r="A175" s="5812" t="s">
        <v>5967</v>
      </c>
      <c r="B175" s="5812">
        <v>46225</v>
      </c>
      <c r="C175" s="5812" t="str">
        <v>Wednesday</v>
      </c>
      <c r="D175" s="5945" t="s">
        <v>5969</v>
      </c>
      <c r="E175" s="5816">
        <f t="shared" si="69"/>
      </c>
      <c r="F175" s="5816" t="s">
        <v>5923</v>
      </c>
      <c r="G175" s="5876" t="s">
        <v>5958</v>
      </c>
      <c r="H175" s="5816" t="s">
        <v>5947</v>
      </c>
      <c r="I175" s="5813" t="s">
        <v>5795</v>
      </c>
      <c r="J175" s="5837" t="s">
        <v>5970</v>
      </c>
      <c r="K175" s="5870"/>
      <c r="L175" s="5870"/>
      <c r="M175" s="5870"/>
      <c r="N175" s="5870"/>
      <c r="O175" s="5801"/>
      <c r="P175" s="5801"/>
      <c r="Q175" s="5801"/>
      <c r="R175" s="5801"/>
      <c r="S175" s="5801"/>
      <c r="T175" s="5801"/>
      <c r="U175" s="5802"/>
      <c r="V175" s="5803"/>
      <c r="W175" s="5803"/>
      <c r="X175" s="5803"/>
      <c r="Y175" s="5803"/>
    </row>
    <row r="176">
      <c r="A176" s="5812" t="s">
        <v>5971</v>
      </c>
      <c r="B176" s="5812">
        <v>46224</v>
      </c>
      <c r="C176" s="5812" t="str">
        <v>Tuesday</v>
      </c>
      <c r="D176" s="5816" t="s">
        <v>5932</v>
      </c>
      <c r="E176" s="5816">
        <f t="shared" si="69"/>
      </c>
      <c r="F176" s="5816" t="s">
        <v>5923</v>
      </c>
      <c r="G176" s="5876" t="s">
        <v>5972</v>
      </c>
      <c r="H176" s="5816" t="s">
        <v>5947</v>
      </c>
      <c r="I176" s="5813" t="s">
        <v>5795</v>
      </c>
      <c r="J176" s="5837"/>
      <c r="K176" s="5870"/>
      <c r="L176" s="5870"/>
      <c r="M176" s="5870"/>
      <c r="N176" s="5870"/>
      <c r="O176" s="5801"/>
      <c r="P176" s="5801"/>
      <c r="Q176" s="5801"/>
      <c r="R176" s="5801"/>
      <c r="S176" s="5801"/>
      <c r="T176" s="5801"/>
      <c r="U176" s="5802"/>
      <c r="V176" s="5803"/>
      <c r="W176" s="5803"/>
      <c r="X176" s="5803"/>
      <c r="Y176" s="5803"/>
    </row>
    <row r="177">
      <c r="A177" s="5812" t="s">
        <v>5971</v>
      </c>
      <c r="B177" s="5812">
        <v>46225</v>
      </c>
      <c r="C177" s="5812" t="str">
        <v>Wednesday</v>
      </c>
      <c r="D177" s="5816" t="s">
        <v>5973</v>
      </c>
      <c r="E177" s="5816">
        <f t="shared" si="69"/>
      </c>
      <c r="F177" s="5816" t="s">
        <v>5923</v>
      </c>
      <c r="G177" s="5876"/>
      <c r="H177" s="5816" t="s">
        <v>5947</v>
      </c>
      <c r="I177" s="5813" t="s">
        <v>5795</v>
      </c>
      <c r="J177" s="5837"/>
      <c r="K177" s="5870"/>
      <c r="L177" s="5870"/>
      <c r="M177" s="5870"/>
      <c r="N177" s="5870"/>
      <c r="O177" s="5801"/>
      <c r="P177" s="5801"/>
      <c r="Q177" s="5801"/>
      <c r="R177" s="5801"/>
      <c r="S177" s="5801"/>
      <c r="T177" s="5801"/>
      <c r="U177" s="5802"/>
      <c r="V177" s="5803"/>
      <c r="W177" s="5803"/>
      <c r="X177" s="5803"/>
      <c r="Y177" s="5803"/>
    </row>
    <row r="178">
      <c r="A178" s="5812"/>
      <c r="B178" s="5812"/>
      <c r="C178" s="5812"/>
      <c r="D178" s="5816"/>
      <c r="E178" s="5816"/>
      <c r="F178" s="5816"/>
      <c r="G178" s="5876"/>
      <c r="H178" s="5816"/>
      <c r="I178" s="5813"/>
      <c r="J178" s="5837"/>
      <c r="K178" s="5870"/>
      <c r="L178" s="5870"/>
      <c r="M178" s="5870"/>
      <c r="N178" s="5870"/>
      <c r="O178" s="5801"/>
      <c r="P178" s="5801"/>
      <c r="Q178" s="5801"/>
      <c r="R178" s="5801"/>
      <c r="S178" s="5801"/>
      <c r="T178" s="5801"/>
      <c r="U178" s="5802"/>
      <c r="V178" s="5803"/>
      <c r="W178" s="5803"/>
      <c r="X178" s="5803"/>
      <c r="Y178" s="5803"/>
    </row>
    <row r="179">
      <c r="A179" s="5812" t="s">
        <v>5974</v>
      </c>
      <c r="B179" s="5812">
        <v>46223</v>
      </c>
      <c r="C179" s="5812" t="str">
        <v>Monday</v>
      </c>
      <c r="D179" s="5816" t="s">
        <v>5975</v>
      </c>
      <c r="E179" s="5816">
        <f t="shared" ref="E179:E184" si="70">24*MOD(TIMEVALUE(TRIM(MID(D179,FIND("-",D179)+1,LEN(D179)))) - TIMEVALUE(TRIM(LEFT(D179,FIND("-",D179)-1))),1)</f>
      </c>
      <c r="F179" s="5816" t="s">
        <v>5976</v>
      </c>
      <c r="G179" s="5876"/>
      <c r="H179" s="5816"/>
      <c r="I179" s="5813" t="s">
        <v>5881</v>
      </c>
      <c r="J179" s="5837"/>
      <c r="K179" s="5870"/>
      <c r="L179" s="5870"/>
      <c r="M179" s="5870"/>
      <c r="N179" s="5870"/>
      <c r="O179" s="5801"/>
      <c r="P179" s="5801"/>
      <c r="Q179" s="5801"/>
      <c r="R179" s="5801"/>
      <c r="S179" s="5801"/>
      <c r="T179" s="5801"/>
      <c r="U179" s="5802"/>
      <c r="V179" s="5803"/>
      <c r="W179" s="5803"/>
      <c r="X179" s="5803"/>
      <c r="Y179" s="5803"/>
    </row>
    <row r="180">
      <c r="A180" s="5812" t="s">
        <v>5974</v>
      </c>
      <c r="B180" s="5812">
        <v>46224</v>
      </c>
      <c r="C180" s="5812" t="str">
        <v>Tuesday</v>
      </c>
      <c r="D180" s="5816" t="s">
        <v>5841</v>
      </c>
      <c r="E180" s="5816">
        <f t="shared" si="70"/>
      </c>
      <c r="F180" s="5816" t="s">
        <v>5976</v>
      </c>
      <c r="G180" s="5876"/>
      <c r="H180" s="5816"/>
      <c r="I180" s="5813" t="s">
        <v>5881</v>
      </c>
      <c r="J180" s="5837"/>
      <c r="K180" s="5870"/>
      <c r="L180" s="5870"/>
      <c r="M180" s="5870"/>
      <c r="N180" s="5870"/>
      <c r="O180" s="5801"/>
      <c r="P180" s="5801"/>
      <c r="Q180" s="5801"/>
      <c r="R180" s="5801"/>
      <c r="S180" s="5801"/>
      <c r="T180" s="5801"/>
      <c r="U180" s="5802"/>
      <c r="V180" s="5803"/>
      <c r="W180" s="5803"/>
      <c r="X180" s="5803"/>
      <c r="Y180" s="5803"/>
    </row>
    <row r="181">
      <c r="A181" s="5812" t="s">
        <v>5974</v>
      </c>
      <c r="B181" s="5812">
        <v>46224</v>
      </c>
      <c r="C181" s="5812" t="str">
        <v>Tuesday</v>
      </c>
      <c r="D181" s="5816" t="s">
        <v>5977</v>
      </c>
      <c r="E181" s="5816">
        <f t="shared" si="70"/>
      </c>
      <c r="F181" s="5816" t="s">
        <v>5976</v>
      </c>
      <c r="G181" s="5876"/>
      <c r="H181" s="5816"/>
      <c r="I181" s="5813" t="s">
        <v>5881</v>
      </c>
      <c r="J181" s="5837"/>
      <c r="K181" s="5870"/>
      <c r="L181" s="5870"/>
      <c r="M181" s="5870"/>
      <c r="N181" s="5870"/>
      <c r="O181" s="5801"/>
      <c r="P181" s="5801"/>
      <c r="Q181" s="5801"/>
      <c r="R181" s="5801"/>
      <c r="S181" s="5801"/>
      <c r="T181" s="5801"/>
      <c r="U181" s="5802"/>
      <c r="V181" s="5803"/>
      <c r="W181" s="5803"/>
      <c r="X181" s="5803"/>
      <c r="Y181" s="5803"/>
    </row>
    <row r="182">
      <c r="A182" s="5812" t="s">
        <v>5974</v>
      </c>
      <c r="B182" s="5812">
        <v>46225</v>
      </c>
      <c r="C182" s="5812" t="str">
        <v>Wednesday</v>
      </c>
      <c r="D182" s="5816" t="s">
        <v>5811</v>
      </c>
      <c r="E182" s="5816">
        <f t="shared" si="70"/>
      </c>
      <c r="F182" s="5816" t="s">
        <v>5976</v>
      </c>
      <c r="G182" s="5876"/>
      <c r="H182" s="5816"/>
      <c r="I182" s="5813" t="s">
        <v>5881</v>
      </c>
      <c r="J182" s="5837" t="s">
        <v>5978</v>
      </c>
      <c r="K182" s="5870"/>
      <c r="L182" s="5870"/>
      <c r="M182" s="5870"/>
      <c r="N182" s="5870"/>
      <c r="O182" s="5801"/>
      <c r="P182" s="5801"/>
      <c r="Q182" s="5801"/>
      <c r="R182" s="5801"/>
      <c r="S182" s="5801"/>
      <c r="T182" s="5801"/>
      <c r="U182" s="5802"/>
      <c r="V182" s="5803"/>
      <c r="W182" s="5803"/>
      <c r="X182" s="5803"/>
      <c r="Y182" s="5803"/>
    </row>
    <row r="183">
      <c r="A183" s="5812" t="s">
        <v>5974</v>
      </c>
      <c r="B183" s="5812">
        <v>46227</v>
      </c>
      <c r="C183" s="5812" t="str">
        <v>Friday</v>
      </c>
      <c r="D183" s="5816" t="s">
        <v>5979</v>
      </c>
      <c r="E183" s="5816">
        <f t="shared" si="70"/>
      </c>
      <c r="F183" s="5816" t="s">
        <v>5976</v>
      </c>
      <c r="G183" s="5876"/>
      <c r="H183" s="5816"/>
      <c r="I183" s="5813" t="s">
        <v>5881</v>
      </c>
      <c r="J183" s="5837"/>
      <c r="K183" s="5870"/>
      <c r="L183" s="5870"/>
      <c r="M183" s="5870"/>
      <c r="N183" s="5870"/>
      <c r="O183" s="5801"/>
      <c r="P183" s="5801"/>
      <c r="Q183" s="5801"/>
      <c r="R183" s="5801"/>
      <c r="S183" s="5801"/>
      <c r="T183" s="5801"/>
      <c r="U183" s="5802"/>
      <c r="V183" s="5803"/>
      <c r="W183" s="5803"/>
      <c r="X183" s="5803"/>
      <c r="Y183" s="5803"/>
    </row>
    <row r="184">
      <c r="A184" s="5812" t="s">
        <v>5974</v>
      </c>
      <c r="B184" s="5812">
        <v>46228</v>
      </c>
      <c r="C184" s="5812" t="str">
        <v>Saturday</v>
      </c>
      <c r="D184" s="5945" t="s">
        <v>5980</v>
      </c>
      <c r="E184" s="5816">
        <f t="shared" si="70"/>
      </c>
      <c r="F184" s="5816" t="s">
        <v>5976</v>
      </c>
      <c r="G184" s="5876"/>
      <c r="H184" s="5816"/>
      <c r="I184" s="5813" t="s">
        <v>5881</v>
      </c>
      <c r="J184" s="5837"/>
      <c r="K184" s="5870"/>
      <c r="L184" s="5870"/>
      <c r="M184" s="5870"/>
      <c r="N184" s="5870"/>
      <c r="O184" s="5801"/>
      <c r="P184" s="5801"/>
      <c r="Q184" s="5801"/>
      <c r="R184" s="5801"/>
      <c r="S184" s="5801"/>
      <c r="T184" s="5801"/>
      <c r="U184" s="5802"/>
      <c r="V184" s="5803"/>
      <c r="W184" s="5803"/>
      <c r="X184" s="5803"/>
      <c r="Y184" s="5803"/>
    </row>
    <row r="185">
      <c r="A185" s="5812"/>
      <c r="B185" s="5812"/>
      <c r="C185" s="5812"/>
      <c r="D185" s="5816"/>
      <c r="E185" s="5816"/>
      <c r="F185" s="5816"/>
      <c r="G185" s="5876"/>
      <c r="H185" s="5816"/>
      <c r="I185" s="5813"/>
      <c r="J185" s="5837"/>
      <c r="K185" s="5870"/>
      <c r="L185" s="5870"/>
      <c r="M185" s="5870"/>
      <c r="N185" s="5870"/>
      <c r="O185" s="5801"/>
      <c r="P185" s="5801"/>
      <c r="Q185" s="5801"/>
      <c r="R185" s="5801"/>
      <c r="S185" s="5801"/>
      <c r="T185" s="5801"/>
      <c r="U185" s="5802"/>
      <c r="V185" s="5803"/>
      <c r="W185" s="5803"/>
      <c r="X185" s="5803"/>
      <c r="Y185" s="5803"/>
    </row>
    <row r="186">
      <c r="A186" s="5812"/>
      <c r="B186" s="5812"/>
      <c r="C186" s="5812"/>
      <c r="D186" s="5816"/>
      <c r="E186" s="5816"/>
      <c r="F186" s="5816"/>
      <c r="G186" s="5876"/>
      <c r="H186" s="5816"/>
      <c r="I186" s="5813"/>
      <c r="J186" s="5837"/>
      <c r="K186" s="5870"/>
      <c r="L186" s="5870"/>
      <c r="M186" s="5870"/>
      <c r="N186" s="5870"/>
      <c r="O186" s="5801"/>
      <c r="P186" s="5801"/>
      <c r="Q186" s="5801"/>
      <c r="R186" s="5801"/>
      <c r="S186" s="5801"/>
      <c r="T186" s="5801"/>
      <c r="U186" s="5802"/>
      <c r="V186" s="5803"/>
      <c r="W186" s="5803"/>
      <c r="X186" s="5803"/>
      <c r="Y186" s="5803"/>
    </row>
    <row r="187">
      <c r="A187" s="5812"/>
      <c r="B187" s="5812"/>
      <c r="C187" s="5812"/>
      <c r="D187" s="5816"/>
      <c r="E187" s="5816"/>
      <c r="F187" s="5816"/>
      <c r="G187" s="5876"/>
      <c r="H187" s="5816"/>
      <c r="I187" s="5813"/>
      <c r="J187" s="5837"/>
      <c r="K187" s="5870"/>
      <c r="L187" s="5870"/>
      <c r="M187" s="5870"/>
      <c r="N187" s="5870"/>
      <c r="O187" s="5801"/>
      <c r="P187" s="5801"/>
      <c r="Q187" s="5801"/>
      <c r="R187" s="5801"/>
      <c r="S187" s="5801"/>
      <c r="T187" s="5801"/>
      <c r="U187" s="5802"/>
      <c r="V187" s="5803"/>
      <c r="W187" s="5803"/>
      <c r="X187" s="5803"/>
      <c r="Y187" s="5803"/>
    </row>
    <row r="188">
      <c r="A188" s="5812"/>
      <c r="B188" s="5812"/>
      <c r="C188" s="5812"/>
      <c r="D188" s="5816"/>
      <c r="E188" s="5816"/>
      <c r="F188" s="5816"/>
      <c r="G188" s="5876"/>
      <c r="H188" s="5816"/>
      <c r="I188" s="5813"/>
      <c r="J188" s="5837"/>
      <c r="K188" s="5870"/>
      <c r="L188" s="5870"/>
      <c r="M188" s="5870"/>
      <c r="N188" s="5870"/>
      <c r="O188" s="5801"/>
      <c r="P188" s="5801"/>
      <c r="Q188" s="5801"/>
      <c r="R188" s="5801"/>
      <c r="S188" s="5801"/>
      <c r="T188" s="5801"/>
      <c r="U188" s="5802"/>
      <c r="V188" s="5803"/>
      <c r="W188" s="5803"/>
      <c r="X188" s="5803"/>
      <c r="Y188" s="5803"/>
    </row>
    <row r="189">
      <c r="A189" s="5812"/>
      <c r="B189" s="5812"/>
      <c r="C189" s="5812"/>
      <c r="D189" s="5816"/>
      <c r="E189" s="5816"/>
      <c r="F189" s="5816"/>
      <c r="G189" s="5876"/>
      <c r="H189" s="5816"/>
      <c r="I189" s="5813"/>
      <c r="J189" s="5837"/>
      <c r="K189" s="5870"/>
      <c r="L189" s="5870"/>
      <c r="M189" s="5870"/>
      <c r="N189" s="5870"/>
      <c r="O189" s="5801"/>
      <c r="P189" s="5801"/>
      <c r="Q189" s="5801"/>
      <c r="R189" s="5801"/>
      <c r="S189" s="5801"/>
      <c r="T189" s="5801"/>
      <c r="U189" s="5802"/>
      <c r="V189" s="5803"/>
      <c r="W189" s="5803"/>
      <c r="X189" s="5803"/>
      <c r="Y189" s="5803"/>
    </row>
    <row r="190">
      <c r="A190" s="5959" t="s">
        <v>5981</v>
      </c>
      <c r="B190" s="5959"/>
      <c r="C190" s="5959"/>
      <c r="D190" s="5959"/>
      <c r="E190" s="5959"/>
      <c r="F190" s="5959"/>
      <c r="G190" s="5959"/>
      <c r="H190" s="5959"/>
      <c r="I190" s="5959"/>
      <c r="J190" s="5959"/>
      <c r="K190" s="5870"/>
      <c r="L190" s="5870"/>
      <c r="M190" s="5870"/>
      <c r="N190" s="5870"/>
      <c r="O190" s="5801"/>
      <c r="P190" s="5801"/>
      <c r="Q190" s="5801"/>
      <c r="R190" s="5801"/>
      <c r="S190" s="5801"/>
      <c r="T190" s="5801"/>
      <c r="U190" s="5802"/>
      <c r="V190" s="5802"/>
      <c r="W190" s="5802"/>
      <c r="X190" s="5802"/>
      <c r="Y190" s="5802"/>
    </row>
    <row r="191">
      <c r="A191" s="5960" t="s">
        <v>5782</v>
      </c>
      <c r="B191" s="5961" t="s">
        <v>5783</v>
      </c>
      <c r="C191" s="5961"/>
      <c r="D191" s="5962" t="s">
        <v>5784</v>
      </c>
      <c r="E191" s="5963" t="s">
        <v>5785</v>
      </c>
      <c r="F191" s="5963" t="s">
        <v>5786</v>
      </c>
      <c r="G191" s="5964" t="s">
        <v>5809</v>
      </c>
      <c r="H191" s="5965" t="s">
        <v>5788</v>
      </c>
      <c r="I191" s="5965" t="s">
        <v>5789</v>
      </c>
      <c r="J191" s="5966" t="s">
        <v>5790</v>
      </c>
      <c r="K191" s="5870"/>
      <c r="L191" s="5870"/>
      <c r="M191" s="5870"/>
      <c r="N191" s="5870"/>
      <c r="O191" s="5801"/>
      <c r="P191" s="5801"/>
      <c r="Q191" s="5801"/>
      <c r="R191" s="5801"/>
      <c r="S191" s="5801"/>
      <c r="T191" s="5801"/>
      <c r="U191" s="5802"/>
      <c r="V191" s="5802"/>
      <c r="W191" s="5802"/>
      <c r="X191" s="5802"/>
      <c r="Y191" s="5802"/>
    </row>
    <row r="192">
      <c r="A192" s="5812" t="s">
        <v>5981</v>
      </c>
      <c r="B192" s="5812">
        <v>46227</v>
      </c>
      <c r="C192" s="5812" t="str">
        <v>Friday</v>
      </c>
      <c r="D192" s="5816" t="s">
        <v>5870</v>
      </c>
      <c r="E192" s="5816">
        <f t="shared" ref="E192:E198" si="71">24*MOD(TIMEVALUE(TRIM(MID(D192,FIND("-",D192)+1,LEN(D192)))) - TIMEVALUE(TRIM(LEFT(D192,FIND("-",D192)-1))),1)</f>
      </c>
      <c r="F192" s="5816" t="s">
        <v>5805</v>
      </c>
      <c r="G192" s="5876"/>
      <c r="H192" s="5816" t="s">
        <v>5947</v>
      </c>
      <c r="I192" s="5813" t="s">
        <v>5881</v>
      </c>
      <c r="J192" s="5837"/>
      <c r="K192" s="5870"/>
      <c r="L192" s="5870"/>
      <c r="M192" s="5870"/>
      <c r="N192" s="5870"/>
      <c r="O192" s="5801"/>
      <c r="P192" s="5801"/>
      <c r="Q192" s="5801"/>
      <c r="R192" s="5801"/>
      <c r="S192" s="5801"/>
      <c r="T192" s="5801"/>
      <c r="U192" s="5802"/>
      <c r="V192" s="5803"/>
      <c r="W192" s="5803"/>
      <c r="X192" s="5803"/>
      <c r="Y192" s="5803"/>
    </row>
    <row r="193">
      <c r="A193" s="5812" t="s">
        <v>5982</v>
      </c>
      <c r="B193" s="5812">
        <v>46224</v>
      </c>
      <c r="C193" s="5812" t="str">
        <v>Tuesday</v>
      </c>
      <c r="D193" s="5816" t="s">
        <v>5849</v>
      </c>
      <c r="E193" s="5816">
        <f t="shared" si="71"/>
      </c>
      <c r="F193" s="5816" t="s">
        <v>5983</v>
      </c>
      <c r="G193" s="5876" t="s">
        <v>5984</v>
      </c>
      <c r="H193" s="5816" t="s">
        <v>5947</v>
      </c>
      <c r="I193" s="5813" t="s">
        <v>5881</v>
      </c>
      <c r="J193" s="5837"/>
      <c r="K193" s="5870"/>
      <c r="L193" s="5870"/>
      <c r="M193" s="5870"/>
      <c r="N193" s="5870"/>
      <c r="O193" s="5801"/>
      <c r="P193" s="5801"/>
      <c r="Q193" s="5801"/>
      <c r="R193" s="5801"/>
      <c r="S193" s="5801"/>
      <c r="T193" s="5801"/>
      <c r="U193" s="5802"/>
      <c r="V193" s="5803"/>
      <c r="W193" s="5803"/>
      <c r="X193" s="5803"/>
      <c r="Y193" s="5803"/>
    </row>
    <row r="194">
      <c r="A194" s="5812" t="s">
        <v>5982</v>
      </c>
      <c r="B194" s="5812">
        <v>46224</v>
      </c>
      <c r="C194" s="5812" t="str">
        <v>Tuesday</v>
      </c>
      <c r="D194" s="5816" t="s">
        <v>5926</v>
      </c>
      <c r="E194" s="5816">
        <f t="shared" si="71"/>
      </c>
      <c r="F194" s="5816" t="s">
        <v>5873</v>
      </c>
      <c r="G194" s="5876" t="s">
        <v>5919</v>
      </c>
      <c r="H194" s="5816" t="s">
        <v>5947</v>
      </c>
      <c r="I194" s="5813" t="s">
        <v>5881</v>
      </c>
      <c r="J194" s="5837"/>
      <c r="K194" s="5870"/>
      <c r="L194" s="5870"/>
      <c r="M194" s="5870"/>
      <c r="N194" s="5870"/>
      <c r="O194" s="5801"/>
      <c r="P194" s="5801"/>
      <c r="Q194" s="5801"/>
      <c r="R194" s="5801"/>
      <c r="S194" s="5801"/>
      <c r="T194" s="5801"/>
      <c r="U194" s="5802"/>
      <c r="V194" s="5803"/>
      <c r="W194" s="5803"/>
      <c r="X194" s="5803"/>
      <c r="Y194" s="5803"/>
    </row>
    <row r="195">
      <c r="A195" s="5812" t="s">
        <v>5982</v>
      </c>
      <c r="B195" s="5812">
        <v>46225</v>
      </c>
      <c r="C195" s="5812" t="str">
        <v>Wednesday</v>
      </c>
      <c r="D195" s="5816" t="s">
        <v>5985</v>
      </c>
      <c r="E195" s="5816">
        <f t="shared" si="71"/>
      </c>
      <c r="F195" s="5816" t="s">
        <v>5873</v>
      </c>
      <c r="G195" s="5876" t="s">
        <v>5919</v>
      </c>
      <c r="H195" s="5816" t="s">
        <v>5947</v>
      </c>
      <c r="I195" s="5813" t="s">
        <v>5881</v>
      </c>
      <c r="J195" s="5837"/>
      <c r="K195" s="5870"/>
      <c r="L195" s="5870"/>
      <c r="M195" s="5870"/>
      <c r="N195" s="5870"/>
      <c r="O195" s="5801"/>
      <c r="P195" s="5801"/>
      <c r="Q195" s="5801"/>
      <c r="R195" s="5801"/>
      <c r="S195" s="5801"/>
      <c r="T195" s="5801"/>
      <c r="U195" s="5802"/>
      <c r="V195" s="5803"/>
      <c r="W195" s="5803"/>
      <c r="X195" s="5803"/>
      <c r="Y195" s="5803"/>
    </row>
    <row r="196">
      <c r="A196" s="5812" t="s">
        <v>5982</v>
      </c>
      <c r="B196" s="5812">
        <v>46227</v>
      </c>
      <c r="C196" s="5812" t="str">
        <v>Friday</v>
      </c>
      <c r="D196" s="5816" t="s">
        <v>5986</v>
      </c>
      <c r="E196" s="5816">
        <f t="shared" si="71"/>
      </c>
      <c r="F196" s="5816" t="s">
        <v>5805</v>
      </c>
      <c r="G196" s="5876"/>
      <c r="H196" s="5816" t="s">
        <v>5947</v>
      </c>
      <c r="I196" s="5813" t="s">
        <v>5881</v>
      </c>
      <c r="J196" s="5837"/>
      <c r="K196" s="5870"/>
      <c r="L196" s="5870"/>
      <c r="M196" s="5870"/>
      <c r="N196" s="5870"/>
      <c r="O196" s="5801"/>
      <c r="P196" s="5801"/>
      <c r="Q196" s="5801"/>
      <c r="R196" s="5801"/>
      <c r="S196" s="5801"/>
      <c r="T196" s="5801"/>
      <c r="U196" s="5802"/>
      <c r="V196" s="5803"/>
      <c r="W196" s="5803"/>
      <c r="X196" s="5803"/>
      <c r="Y196" s="5803"/>
    </row>
    <row r="197">
      <c r="A197" s="5861" t="s">
        <v>5982</v>
      </c>
      <c r="B197" s="5861">
        <v>46228</v>
      </c>
      <c r="C197" s="5861" t="str">
        <v>Saturday</v>
      </c>
      <c r="D197" s="5862" t="s">
        <v>5864</v>
      </c>
      <c r="E197" s="5862">
        <f t="shared" si="71"/>
      </c>
      <c r="F197" s="5862" t="s">
        <v>5987</v>
      </c>
      <c r="G197" s="5863" t="s">
        <v>5958</v>
      </c>
      <c r="H197" s="5862" t="s">
        <v>5947</v>
      </c>
      <c r="I197" s="5862" t="s">
        <v>5881</v>
      </c>
      <c r="J197" s="5942"/>
      <c r="K197" s="5943"/>
      <c r="L197" s="5943"/>
      <c r="M197" s="5943"/>
      <c r="N197" s="5943"/>
      <c r="O197" s="5920"/>
      <c r="P197" s="5920"/>
      <c r="Q197" s="5920"/>
      <c r="R197" s="5920"/>
      <c r="S197" s="5920"/>
      <c r="T197" s="5920"/>
      <c r="U197" s="5865"/>
      <c r="V197" s="5865"/>
      <c r="W197" s="5865"/>
      <c r="X197" s="5865"/>
      <c r="Y197" s="5865"/>
    </row>
    <row r="198">
      <c r="A198" s="5812" t="s">
        <v>5988</v>
      </c>
      <c r="B198" s="5812">
        <v>46227</v>
      </c>
      <c r="C198" s="5812" t="str">
        <v>Friday</v>
      </c>
      <c r="D198" s="5816" t="s">
        <v>5870</v>
      </c>
      <c r="E198" s="5816">
        <f t="shared" si="71"/>
      </c>
      <c r="F198" s="5816" t="s">
        <v>5976</v>
      </c>
      <c r="G198" s="5876"/>
      <c r="H198" s="5816" t="s">
        <v>5947</v>
      </c>
      <c r="I198" s="5813" t="s">
        <v>5881</v>
      </c>
      <c r="J198" s="5837"/>
      <c r="K198" s="5870"/>
      <c r="L198" s="5870"/>
      <c r="M198" s="5870"/>
      <c r="N198" s="5870"/>
      <c r="O198" s="5801"/>
      <c r="P198" s="5801"/>
      <c r="Q198" s="5801"/>
      <c r="R198" s="5801"/>
      <c r="S198" s="5801"/>
      <c r="T198" s="5801"/>
      <c r="U198" s="5802"/>
      <c r="V198" s="5803"/>
      <c r="W198" s="5803"/>
      <c r="X198" s="5803"/>
      <c r="Y198" s="5803"/>
    </row>
    <row r="199">
      <c r="A199" s="5812"/>
      <c r="B199" s="5812"/>
      <c r="C199" s="5812"/>
      <c r="D199" s="5816"/>
      <c r="E199" s="5816"/>
      <c r="F199" s="5816"/>
      <c r="G199" s="5876"/>
      <c r="H199" s="5816"/>
      <c r="I199" s="5813"/>
      <c r="J199" s="5837"/>
      <c r="K199" s="5870"/>
      <c r="L199" s="5870"/>
      <c r="M199" s="5870"/>
      <c r="N199" s="5870"/>
      <c r="O199" s="5801"/>
      <c r="P199" s="5801"/>
      <c r="Q199" s="5801"/>
      <c r="R199" s="5801"/>
      <c r="S199" s="5801"/>
      <c r="T199" s="5801"/>
      <c r="U199" s="5802"/>
      <c r="V199" s="5803"/>
      <c r="W199" s="5803"/>
      <c r="X199" s="5803"/>
      <c r="Y199" s="5803"/>
    </row>
    <row r="200">
      <c r="A200" s="5812"/>
      <c r="B200" s="5812"/>
      <c r="C200" s="5812"/>
      <c r="D200" s="5816"/>
      <c r="E200" s="5816"/>
      <c r="F200" s="5816"/>
      <c r="G200" s="5876"/>
      <c r="H200" s="5816"/>
      <c r="I200" s="5813"/>
      <c r="J200" s="5837"/>
      <c r="K200" s="5870"/>
      <c r="L200" s="5870"/>
      <c r="M200" s="5870"/>
      <c r="N200" s="5870"/>
      <c r="O200" s="5801"/>
      <c r="P200" s="5801"/>
      <c r="Q200" s="5801"/>
      <c r="R200" s="5801"/>
      <c r="S200" s="5801"/>
      <c r="T200" s="5801"/>
      <c r="U200" s="5802"/>
      <c r="V200" s="5803"/>
      <c r="W200" s="5803"/>
      <c r="X200" s="5803"/>
      <c r="Y200" s="5803"/>
    </row>
    <row r="201">
      <c r="A201" s="5803"/>
      <c r="B201" s="5803"/>
      <c r="C201" s="5803"/>
      <c r="D201" s="5803"/>
      <c r="E201" s="5803"/>
      <c r="F201" s="5803"/>
      <c r="G201" s="5803"/>
      <c r="H201" s="5803"/>
      <c r="I201" s="5803"/>
      <c r="J201" s="5803"/>
      <c r="K201" s="5802"/>
      <c r="L201" s="5802"/>
      <c r="M201" s="5802"/>
      <c r="N201" s="5802"/>
      <c r="O201" s="5802"/>
      <c r="P201" s="5802"/>
      <c r="Q201" s="5802"/>
      <c r="R201" s="5802"/>
      <c r="S201" s="5802"/>
      <c r="T201" s="5802"/>
      <c r="U201" s="5802"/>
      <c r="V201" s="5803"/>
      <c r="W201" s="5803"/>
      <c r="X201" s="5803"/>
      <c r="Y201" s="5803"/>
    </row>
    <row r="202">
      <c r="A202" s="5967" t="s">
        <v>5989</v>
      </c>
      <c r="B202" s="5967"/>
      <c r="C202" s="5967"/>
      <c r="D202" s="5967"/>
      <c r="E202" s="5967"/>
      <c r="F202" s="5967"/>
      <c r="G202" s="5967"/>
      <c r="H202" s="5967"/>
      <c r="I202" s="5967"/>
      <c r="J202" s="5967"/>
      <c r="K202" s="5802"/>
      <c r="L202" s="5802"/>
      <c r="M202" s="5802"/>
      <c r="N202" s="5802"/>
      <c r="O202" s="5802"/>
      <c r="P202" s="5802"/>
      <c r="Q202" s="5802"/>
      <c r="R202" s="5802"/>
      <c r="S202" s="5802"/>
      <c r="T202" s="5802"/>
      <c r="U202" s="5802"/>
      <c r="V202" s="5803"/>
      <c r="W202" s="5803"/>
      <c r="X202" s="5803"/>
      <c r="Y202" s="5803"/>
    </row>
    <row r="203">
      <c r="A203" s="5968" t="s">
        <v>5782</v>
      </c>
      <c r="B203" s="5969" t="s">
        <v>5783</v>
      </c>
      <c r="C203" s="5969"/>
      <c r="D203" s="5970" t="s">
        <v>5784</v>
      </c>
      <c r="E203" s="5971" t="s">
        <v>5785</v>
      </c>
      <c r="F203" s="5971" t="s">
        <v>5786</v>
      </c>
      <c r="G203" s="5972" t="s">
        <v>5809</v>
      </c>
      <c r="H203" s="5973" t="s">
        <v>5788</v>
      </c>
      <c r="I203" s="5973" t="s">
        <v>5789</v>
      </c>
      <c r="J203" s="5974" t="s">
        <v>5790</v>
      </c>
      <c r="K203" s="5802"/>
      <c r="L203" s="5802"/>
      <c r="M203" s="5802"/>
      <c r="N203" s="5802"/>
      <c r="O203" s="5802"/>
      <c r="P203" s="5802"/>
      <c r="Q203" s="5802"/>
      <c r="R203" s="5802"/>
      <c r="S203" s="5802"/>
      <c r="T203" s="5802"/>
      <c r="U203" s="5802"/>
      <c r="V203" s="5803"/>
      <c r="W203" s="5803"/>
      <c r="X203" s="5803"/>
      <c r="Y203" s="5803"/>
    </row>
    <row r="204">
      <c r="A204" s="5812"/>
      <c r="B204" s="5812"/>
      <c r="C204" s="5812"/>
      <c r="D204" s="5816"/>
      <c r="E204" s="5816"/>
      <c r="F204" s="5816"/>
      <c r="G204" s="5876"/>
      <c r="H204" s="5816"/>
      <c r="I204" s="5813"/>
      <c r="J204" s="5837"/>
      <c r="K204" s="5801"/>
      <c r="L204" s="5801"/>
      <c r="M204" s="5801"/>
      <c r="N204" s="5801"/>
      <c r="O204" s="5801"/>
      <c r="P204" s="5801"/>
      <c r="Q204" s="5801"/>
      <c r="R204" s="5801"/>
      <c r="S204" s="5801"/>
      <c r="T204" s="5801"/>
      <c r="U204" s="5802"/>
      <c r="V204" s="5803"/>
      <c r="W204" s="5803"/>
      <c r="X204" s="5803"/>
      <c r="Y204" s="5803"/>
    </row>
    <row r="205">
      <c r="A205" s="5806" t="s">
        <v>5990</v>
      </c>
      <c r="B205" s="5806"/>
      <c r="C205" s="5806"/>
      <c r="D205" s="5806"/>
      <c r="E205" s="5806"/>
      <c r="F205" s="5806"/>
      <c r="G205" s="5806"/>
      <c r="H205" s="5806"/>
      <c r="I205" s="5806"/>
      <c r="J205" s="5806"/>
      <c r="K205" s="5801"/>
      <c r="L205" s="5801"/>
      <c r="M205" s="5801"/>
      <c r="N205" s="5801"/>
      <c r="O205" s="5801"/>
      <c r="P205" s="5801"/>
      <c r="Q205" s="5801"/>
      <c r="R205" s="5801"/>
      <c r="S205" s="5801"/>
      <c r="T205" s="5801"/>
      <c r="U205" s="5802"/>
      <c r="V205" s="5803"/>
      <c r="W205" s="5803"/>
      <c r="X205" s="5803"/>
      <c r="Y205" s="5803"/>
    </row>
    <row r="206">
      <c r="A206" s="5807" t="s">
        <v>5782</v>
      </c>
      <c r="B206" s="5808" t="s">
        <v>5783</v>
      </c>
      <c r="C206" s="5808"/>
      <c r="D206" s="5809" t="s">
        <v>5784</v>
      </c>
      <c r="E206" s="5809" t="s">
        <v>5785</v>
      </c>
      <c r="F206" s="5809" t="s">
        <v>5786</v>
      </c>
      <c r="G206" s="5975" t="s">
        <v>5809</v>
      </c>
      <c r="H206" s="5809" t="s">
        <v>5788</v>
      </c>
      <c r="I206" s="5809" t="s">
        <v>5789</v>
      </c>
      <c r="J206" s="5809" t="s">
        <v>5790</v>
      </c>
      <c r="K206" s="5801"/>
      <c r="L206" s="5801"/>
      <c r="M206" s="5801"/>
      <c r="N206" s="5801"/>
      <c r="O206" s="5801"/>
      <c r="P206" s="5801"/>
      <c r="Q206" s="5801"/>
      <c r="R206" s="5801"/>
      <c r="S206" s="5801"/>
      <c r="T206" s="5801"/>
      <c r="U206" s="5802"/>
      <c r="V206" s="5803"/>
      <c r="W206" s="5803"/>
      <c r="X206" s="5803"/>
      <c r="Y206" s="5803"/>
    </row>
    <row r="207">
      <c r="A207" s="5812" t="s">
        <v>5990</v>
      </c>
      <c r="B207" s="5812">
        <v>46223</v>
      </c>
      <c r="C207" s="5812" t="str">
        <v>Monday</v>
      </c>
      <c r="D207" s="5813" t="s">
        <v>5847</v>
      </c>
      <c r="E207" s="5816">
        <f t="shared" ref="E207:E225" si="72">24*MOD(TIMEVALUE(TRIM(MID(D207,FIND("-",D207)+1,LEN(D207)))) - TIMEVALUE(TRIM(LEFT(D207,FIND("-",D207)-1))),1)</f>
      </c>
      <c r="F207" s="5816" t="s">
        <v>5821</v>
      </c>
      <c r="G207" s="5876" t="s">
        <v>5991</v>
      </c>
      <c r="H207" s="5816" t="s">
        <v>5794</v>
      </c>
      <c r="I207" s="5813" t="s">
        <v>5795</v>
      </c>
      <c r="J207" s="5816"/>
      <c r="K207" s="5801"/>
      <c r="L207" s="5801"/>
      <c r="M207" s="5801"/>
      <c r="N207" s="5801"/>
      <c r="O207" s="5801"/>
      <c r="P207" s="5801"/>
      <c r="Q207" s="5801"/>
      <c r="R207" s="5801"/>
      <c r="S207" s="5801"/>
      <c r="T207" s="5801"/>
      <c r="U207" s="5802"/>
      <c r="V207" s="5803"/>
      <c r="W207" s="5803"/>
      <c r="X207" s="5803"/>
      <c r="Y207" s="5803"/>
    </row>
    <row r="208">
      <c r="A208" s="5812" t="s">
        <v>5990</v>
      </c>
      <c r="B208" s="5812">
        <v>46224</v>
      </c>
      <c r="C208" s="5812" t="str">
        <v>Tuesday</v>
      </c>
      <c r="D208" s="5813" t="s">
        <v>5847</v>
      </c>
      <c r="E208" s="5816">
        <f t="shared" si="72"/>
      </c>
      <c r="F208" s="5816" t="s">
        <v>5831</v>
      </c>
      <c r="G208" s="5876" t="s">
        <v>5991</v>
      </c>
      <c r="H208" s="5816" t="s">
        <v>5794</v>
      </c>
      <c r="I208" s="5816"/>
      <c r="J208" s="5816"/>
      <c r="K208" s="5801"/>
      <c r="L208" s="5801"/>
      <c r="M208" s="5801"/>
      <c r="N208" s="5801"/>
      <c r="O208" s="5801"/>
      <c r="P208" s="5801"/>
      <c r="Q208" s="5801"/>
      <c r="R208" s="5801"/>
      <c r="S208" s="5801"/>
      <c r="T208" s="5801"/>
      <c r="U208" s="5802"/>
      <c r="V208" s="5803"/>
      <c r="W208" s="5803"/>
      <c r="X208" s="5803"/>
      <c r="Y208" s="5803"/>
    </row>
    <row r="209">
      <c r="A209" s="5812" t="s">
        <v>5990</v>
      </c>
      <c r="B209" s="5812">
        <v>46225</v>
      </c>
      <c r="C209" s="5812" t="str">
        <v>Wednesday</v>
      </c>
      <c r="D209" s="5813" t="s">
        <v>5847</v>
      </c>
      <c r="E209" s="5816">
        <f t="shared" si="72"/>
      </c>
      <c r="F209" s="5816" t="s">
        <v>5821</v>
      </c>
      <c r="G209" s="5876" t="s">
        <v>5992</v>
      </c>
      <c r="H209" s="5813"/>
      <c r="I209" s="5813" t="s">
        <v>5795</v>
      </c>
      <c r="J209" s="5813"/>
      <c r="K209" s="5801"/>
      <c r="L209" s="5801"/>
      <c r="M209" s="5801"/>
      <c r="N209" s="5801"/>
      <c r="O209" s="5801"/>
      <c r="P209" s="5801"/>
      <c r="Q209" s="5801"/>
      <c r="R209" s="5801"/>
      <c r="S209" s="5801"/>
      <c r="T209" s="5801"/>
      <c r="U209" s="5802"/>
      <c r="V209" s="5803"/>
      <c r="W209" s="5803"/>
      <c r="X209" s="5803"/>
      <c r="Y209" s="5803"/>
    </row>
    <row r="210">
      <c r="A210" s="5812" t="s">
        <v>5990</v>
      </c>
      <c r="B210" s="5812">
        <v>46226</v>
      </c>
      <c r="C210" s="5812" t="str">
        <v>Thursday</v>
      </c>
      <c r="D210" s="5813" t="s">
        <v>5847</v>
      </c>
      <c r="E210" s="5816">
        <f t="shared" si="72"/>
      </c>
      <c r="F210" s="5816" t="s">
        <v>5831</v>
      </c>
      <c r="G210" s="5876" t="s">
        <v>5991</v>
      </c>
      <c r="H210" s="5816" t="s">
        <v>5794</v>
      </c>
      <c r="I210" s="5813" t="s">
        <v>5795</v>
      </c>
      <c r="J210" s="5816"/>
      <c r="K210" s="5801"/>
      <c r="L210" s="5801"/>
      <c r="M210" s="5801"/>
      <c r="N210" s="5801"/>
      <c r="O210" s="5801"/>
      <c r="P210" s="5801"/>
      <c r="Q210" s="5801"/>
      <c r="R210" s="5801"/>
      <c r="S210" s="5801"/>
      <c r="T210" s="5801"/>
      <c r="U210" s="5802"/>
      <c r="V210" s="5803"/>
      <c r="W210" s="5803"/>
      <c r="X210" s="5803"/>
      <c r="Y210" s="5803"/>
    </row>
    <row r="211">
      <c r="A211" s="5812" t="s">
        <v>5990</v>
      </c>
      <c r="B211" s="5812">
        <v>46227</v>
      </c>
      <c r="C211" s="5812" t="str">
        <v>Friday</v>
      </c>
      <c r="D211" s="5813" t="s">
        <v>5847</v>
      </c>
      <c r="E211" s="5816">
        <f t="shared" si="72"/>
      </c>
      <c r="F211" s="5816" t="s">
        <v>5993</v>
      </c>
      <c r="G211" s="5876" t="s">
        <v>5991</v>
      </c>
      <c r="H211" s="5816" t="s">
        <v>5794</v>
      </c>
      <c r="I211" s="5816"/>
      <c r="J211" s="5816"/>
      <c r="K211" s="5801"/>
      <c r="L211" s="5801"/>
      <c r="M211" s="5801"/>
      <c r="N211" s="5801"/>
      <c r="O211" s="5801"/>
      <c r="P211" s="5801"/>
      <c r="Q211" s="5801"/>
      <c r="R211" s="5801"/>
      <c r="S211" s="5801"/>
      <c r="T211" s="5801"/>
      <c r="U211" s="5802"/>
      <c r="V211" s="5803"/>
      <c r="W211" s="5803"/>
      <c r="X211" s="5803"/>
      <c r="Y211" s="5803"/>
    </row>
    <row r="212">
      <c r="A212" s="5812" t="s">
        <v>5990</v>
      </c>
      <c r="B212" s="5812">
        <v>46228</v>
      </c>
      <c r="C212" s="5812" t="str">
        <v>Saturday</v>
      </c>
      <c r="D212" s="5813" t="s">
        <v>5847</v>
      </c>
      <c r="E212" s="5816">
        <f t="shared" si="72"/>
      </c>
      <c r="F212" s="5816" t="s">
        <v>5993</v>
      </c>
      <c r="G212" s="5876" t="s">
        <v>5991</v>
      </c>
      <c r="H212" s="5816" t="s">
        <v>5794</v>
      </c>
      <c r="I212" s="5816"/>
      <c r="J212" s="5816"/>
      <c r="K212" s="5801"/>
      <c r="L212" s="5801"/>
      <c r="M212" s="5801"/>
      <c r="N212" s="5801"/>
      <c r="O212" s="5801"/>
      <c r="P212" s="5801"/>
      <c r="Q212" s="5801"/>
      <c r="R212" s="5801"/>
      <c r="S212" s="5801"/>
      <c r="T212" s="5801"/>
      <c r="U212" s="5802"/>
      <c r="V212" s="5803"/>
      <c r="W212" s="5803"/>
      <c r="X212" s="5803"/>
      <c r="Y212" s="5803"/>
    </row>
    <row r="213">
      <c r="A213" s="5812" t="s">
        <v>5990</v>
      </c>
      <c r="B213" s="5812">
        <v>46229</v>
      </c>
      <c r="C213" s="5812" t="str">
        <v>Sunday</v>
      </c>
      <c r="D213" s="5813" t="s">
        <v>5847</v>
      </c>
      <c r="E213" s="5816">
        <f t="shared" si="72"/>
      </c>
      <c r="F213" s="5816" t="s">
        <v>5993</v>
      </c>
      <c r="G213" s="5876" t="s">
        <v>5991</v>
      </c>
      <c r="H213" s="5816" t="s">
        <v>5794</v>
      </c>
      <c r="I213" s="5816"/>
      <c r="J213" s="5816"/>
      <c r="K213" s="5801"/>
      <c r="L213" s="5801"/>
      <c r="M213" s="5801"/>
      <c r="N213" s="5801"/>
      <c r="O213" s="5801"/>
      <c r="P213" s="5801"/>
      <c r="Q213" s="5801"/>
      <c r="R213" s="5801"/>
      <c r="S213" s="5801"/>
      <c r="T213" s="5801"/>
      <c r="U213" s="5802"/>
      <c r="V213" s="5803"/>
      <c r="W213" s="5803"/>
      <c r="X213" s="5803"/>
      <c r="Y213" s="5803"/>
    </row>
    <row r="214">
      <c r="A214" s="5812" t="s">
        <v>5994</v>
      </c>
      <c r="B214" s="5812">
        <v>46223</v>
      </c>
      <c r="C214" s="5812" t="str">
        <v>Monday</v>
      </c>
      <c r="D214" s="5853" t="s">
        <v>5995</v>
      </c>
      <c r="E214" s="5816">
        <f t="shared" si="72"/>
      </c>
      <c r="F214" s="5816" t="s">
        <v>5996</v>
      </c>
      <c r="G214" s="5876"/>
      <c r="H214" s="5813"/>
      <c r="I214" s="5813"/>
      <c r="J214" s="5813"/>
      <c r="K214" s="5801"/>
      <c r="L214" s="5801"/>
      <c r="M214" s="5801"/>
      <c r="N214" s="5801"/>
      <c r="O214" s="5801"/>
      <c r="P214" s="5801"/>
      <c r="Q214" s="5801"/>
      <c r="R214" s="5801"/>
      <c r="S214" s="5801"/>
      <c r="T214" s="5801"/>
      <c r="U214" s="5802"/>
      <c r="V214" s="5803"/>
      <c r="W214" s="5803"/>
      <c r="X214" s="5803"/>
      <c r="Y214" s="5803"/>
    </row>
    <row r="215">
      <c r="A215" s="5812" t="s">
        <v>5997</v>
      </c>
      <c r="B215" s="5812">
        <v>46223</v>
      </c>
      <c r="C215" s="5812" t="str">
        <v>Monday</v>
      </c>
      <c r="D215" s="5853" t="s">
        <v>5799</v>
      </c>
      <c r="E215" s="5816">
        <f t="shared" si="72"/>
      </c>
      <c r="F215" s="5816" t="s">
        <v>5996</v>
      </c>
      <c r="G215" s="5876"/>
      <c r="H215" s="5813"/>
      <c r="I215" s="5813"/>
      <c r="J215" s="5813"/>
      <c r="K215" s="5801"/>
      <c r="L215" s="5801"/>
      <c r="M215" s="5801"/>
      <c r="N215" s="5801"/>
      <c r="O215" s="5801"/>
      <c r="P215" s="5801"/>
      <c r="Q215" s="5801"/>
      <c r="R215" s="5801"/>
      <c r="S215" s="5801"/>
      <c r="T215" s="5801"/>
      <c r="U215" s="5802"/>
      <c r="V215" s="5803"/>
      <c r="W215" s="5803"/>
      <c r="X215" s="5803"/>
      <c r="Y215" s="5803"/>
    </row>
    <row r="216">
      <c r="A216" s="5812" t="s">
        <v>5997</v>
      </c>
      <c r="B216" s="5812">
        <v>46224</v>
      </c>
      <c r="C216" s="5812" t="str">
        <v>Tuesday</v>
      </c>
      <c r="D216" s="5813" t="s">
        <v>5998</v>
      </c>
      <c r="E216" s="5816">
        <f t="shared" si="72"/>
      </c>
      <c r="F216" s="5816" t="s">
        <v>5996</v>
      </c>
      <c r="G216" s="5876"/>
      <c r="H216" s="5813"/>
      <c r="I216" s="5813"/>
      <c r="J216" s="5813"/>
      <c r="K216" s="5801"/>
      <c r="L216" s="5801"/>
      <c r="M216" s="5801"/>
      <c r="N216" s="5801"/>
      <c r="O216" s="5801"/>
      <c r="P216" s="5801"/>
      <c r="Q216" s="5801"/>
      <c r="R216" s="5801"/>
      <c r="S216" s="5801"/>
      <c r="T216" s="5801"/>
      <c r="U216" s="5802"/>
      <c r="V216" s="5803"/>
      <c r="W216" s="5803"/>
      <c r="X216" s="5803"/>
      <c r="Y216" s="5803"/>
    </row>
    <row r="217">
      <c r="A217" s="5812" t="s">
        <v>5997</v>
      </c>
      <c r="B217" s="5812">
        <v>46225</v>
      </c>
      <c r="C217" s="5812" t="str">
        <v>Wednesday</v>
      </c>
      <c r="D217" s="5853" t="s">
        <v>5999</v>
      </c>
      <c r="E217" s="5816">
        <f t="shared" si="72"/>
      </c>
      <c r="F217" s="5816" t="s">
        <v>5996</v>
      </c>
      <c r="G217" s="5876"/>
      <c r="H217" s="5813"/>
      <c r="I217" s="5813"/>
      <c r="J217" s="5813"/>
      <c r="K217" s="5801"/>
      <c r="L217" s="5801"/>
      <c r="M217" s="5801"/>
      <c r="N217" s="5801"/>
      <c r="O217" s="5801"/>
      <c r="P217" s="5801"/>
      <c r="Q217" s="5801"/>
      <c r="R217" s="5801"/>
      <c r="S217" s="5801"/>
      <c r="T217" s="5801"/>
      <c r="U217" s="5802"/>
      <c r="V217" s="5803"/>
      <c r="W217" s="5803"/>
      <c r="X217" s="5803"/>
      <c r="Y217" s="5803"/>
    </row>
    <row r="218">
      <c r="A218" s="5812" t="s">
        <v>5997</v>
      </c>
      <c r="B218" s="5976">
        <v>46226</v>
      </c>
      <c r="C218" s="5812" t="str">
        <v>Thursday</v>
      </c>
      <c r="D218" s="5813" t="s">
        <v>5837</v>
      </c>
      <c r="E218" s="5816">
        <f t="shared" si="72"/>
      </c>
      <c r="F218" s="5816" t="s">
        <v>5993</v>
      </c>
      <c r="G218" s="5876"/>
      <c r="H218" s="5813"/>
      <c r="I218" s="5813"/>
      <c r="J218" s="5813"/>
      <c r="K218" s="5801"/>
      <c r="L218" s="5801"/>
      <c r="M218" s="5801"/>
      <c r="N218" s="5801"/>
      <c r="O218" s="5801"/>
      <c r="P218" s="5801"/>
      <c r="Q218" s="5801"/>
      <c r="R218" s="5801"/>
      <c r="S218" s="5801"/>
      <c r="T218" s="5801"/>
      <c r="U218" s="5802"/>
      <c r="V218" s="5803"/>
      <c r="W218" s="5803"/>
      <c r="X218" s="5803"/>
      <c r="Y218" s="5803"/>
    </row>
    <row r="219">
      <c r="A219" s="5812" t="s">
        <v>5997</v>
      </c>
      <c r="B219" s="5976">
        <v>46228</v>
      </c>
      <c r="C219" s="5812" t="str">
        <v>Saturday</v>
      </c>
      <c r="D219" s="5813" t="s">
        <v>5837</v>
      </c>
      <c r="E219" s="5816">
        <f t="shared" si="72"/>
      </c>
      <c r="F219" s="5816" t="s">
        <v>5831</v>
      </c>
      <c r="G219" s="5876"/>
      <c r="H219" s="5813"/>
      <c r="I219" s="5813"/>
      <c r="J219" s="5813"/>
      <c r="K219" s="5801"/>
      <c r="L219" s="5801"/>
      <c r="M219" s="5801"/>
      <c r="N219" s="5801"/>
      <c r="O219" s="5801"/>
      <c r="P219" s="5801"/>
      <c r="Q219" s="5801"/>
      <c r="R219" s="5801"/>
      <c r="S219" s="5801"/>
      <c r="T219" s="5801"/>
      <c r="U219" s="5802"/>
      <c r="V219" s="5803"/>
      <c r="W219" s="5803"/>
      <c r="X219" s="5803"/>
      <c r="Y219" s="5803"/>
    </row>
    <row r="220">
      <c r="A220" s="5812" t="s">
        <v>5997</v>
      </c>
      <c r="B220" s="5812">
        <v>46228</v>
      </c>
      <c r="C220" s="5812" t="str">
        <v>Saturday</v>
      </c>
      <c r="D220" s="5813" t="s">
        <v>6000</v>
      </c>
      <c r="E220" s="5816">
        <f t="shared" si="72"/>
      </c>
      <c r="F220" s="5816" t="s">
        <v>6001</v>
      </c>
      <c r="G220" s="5876"/>
      <c r="H220" s="5813"/>
      <c r="I220" s="5813"/>
      <c r="J220" s="5813"/>
      <c r="K220" s="5801"/>
      <c r="L220" s="5801"/>
      <c r="M220" s="5801"/>
      <c r="N220" s="5801"/>
      <c r="O220" s="5801"/>
      <c r="P220" s="5801"/>
      <c r="Q220" s="5801"/>
      <c r="R220" s="5801"/>
      <c r="S220" s="5801"/>
      <c r="T220" s="5801"/>
      <c r="U220" s="5802"/>
      <c r="V220" s="5803"/>
      <c r="W220" s="5803"/>
      <c r="X220" s="5803"/>
      <c r="Y220" s="5803"/>
    </row>
    <row r="221">
      <c r="A221" s="5812" t="s">
        <v>5994</v>
      </c>
      <c r="B221" s="5812">
        <v>46224</v>
      </c>
      <c r="C221" s="5812" t="str">
        <v>Tuesday</v>
      </c>
      <c r="D221" s="5813" t="s">
        <v>5995</v>
      </c>
      <c r="E221" s="5816">
        <f t="shared" si="72"/>
      </c>
      <c r="F221" s="5816" t="s">
        <v>5996</v>
      </c>
      <c r="G221" s="5876"/>
      <c r="H221" s="5813"/>
      <c r="I221" s="5813" t="s">
        <v>5795</v>
      </c>
      <c r="J221" s="5813"/>
      <c r="K221" s="5801"/>
      <c r="L221" s="5801"/>
      <c r="M221" s="5801"/>
      <c r="N221" s="5801"/>
      <c r="O221" s="5801"/>
      <c r="P221" s="5801"/>
      <c r="Q221" s="5801"/>
      <c r="R221" s="5801"/>
      <c r="S221" s="5801"/>
      <c r="T221" s="5801"/>
      <c r="U221" s="5802"/>
      <c r="V221" s="5803"/>
      <c r="W221" s="5803"/>
      <c r="X221" s="5803"/>
      <c r="Y221" s="5803"/>
    </row>
    <row r="222">
      <c r="A222" s="5812" t="s">
        <v>5994</v>
      </c>
      <c r="B222" s="5812">
        <v>46225</v>
      </c>
      <c r="C222" s="5812" t="str">
        <v>Wednesday</v>
      </c>
      <c r="D222" s="5813" t="s">
        <v>5847</v>
      </c>
      <c r="E222" s="5816">
        <f t="shared" si="72"/>
      </c>
      <c r="F222" s="5816" t="s">
        <v>5916</v>
      </c>
      <c r="G222" s="5876"/>
      <c r="H222" s="5813"/>
      <c r="I222" s="5813"/>
      <c r="J222" s="5813"/>
      <c r="K222" s="5801"/>
      <c r="L222" s="5801"/>
      <c r="M222" s="5801"/>
      <c r="N222" s="5801"/>
      <c r="O222" s="5801"/>
      <c r="P222" s="5801"/>
      <c r="Q222" s="5801"/>
      <c r="R222" s="5801"/>
      <c r="S222" s="5801"/>
      <c r="T222" s="5801"/>
      <c r="U222" s="5802"/>
      <c r="V222" s="5803"/>
      <c r="W222" s="5803"/>
      <c r="X222" s="5803"/>
      <c r="Y222" s="5803"/>
    </row>
    <row r="223">
      <c r="A223" s="5812" t="s">
        <v>5994</v>
      </c>
      <c r="B223" s="5812">
        <v>46226</v>
      </c>
      <c r="C223" s="5812" t="str">
        <v>Thursday</v>
      </c>
      <c r="D223" s="5813" t="s">
        <v>6002</v>
      </c>
      <c r="E223" s="5816">
        <f t="shared" si="72"/>
      </c>
      <c r="F223" s="5816" t="s">
        <v>5996</v>
      </c>
      <c r="G223" s="5876"/>
      <c r="H223" s="5813"/>
      <c r="I223" s="5813"/>
      <c r="J223" s="5813"/>
      <c r="K223" s="5801"/>
      <c r="L223" s="5801"/>
      <c r="M223" s="5801"/>
      <c r="N223" s="5801"/>
      <c r="O223" s="5801"/>
      <c r="P223" s="5801"/>
      <c r="Q223" s="5801"/>
      <c r="R223" s="5801"/>
      <c r="S223" s="5801"/>
      <c r="T223" s="5801"/>
      <c r="U223" s="5802"/>
      <c r="V223" s="5803"/>
      <c r="W223" s="5803"/>
      <c r="X223" s="5803"/>
      <c r="Y223" s="5803"/>
    </row>
    <row r="224">
      <c r="A224" s="5812" t="s">
        <v>5994</v>
      </c>
      <c r="B224" s="5812">
        <v>46227</v>
      </c>
      <c r="C224" s="5812" t="str">
        <v>Friday</v>
      </c>
      <c r="D224" s="5813" t="s">
        <v>6002</v>
      </c>
      <c r="E224" s="5816">
        <f t="shared" si="72"/>
      </c>
      <c r="F224" s="5816" t="s">
        <v>5996</v>
      </c>
      <c r="G224" s="5876"/>
      <c r="H224" s="5813"/>
      <c r="I224" s="5803"/>
      <c r="J224" s="5803"/>
      <c r="K224" s="5801"/>
      <c r="L224" s="5801"/>
      <c r="M224" s="5801"/>
      <c r="N224" s="5801"/>
      <c r="O224" s="5801"/>
      <c r="P224" s="5801"/>
      <c r="Q224" s="5801"/>
      <c r="R224" s="5801"/>
      <c r="S224" s="5801"/>
      <c r="T224" s="5801"/>
      <c r="U224" s="5802"/>
      <c r="V224" s="5803"/>
      <c r="W224" s="5803"/>
      <c r="X224" s="5803"/>
      <c r="Y224" s="5803"/>
    </row>
    <row r="225">
      <c r="A225" s="5812" t="s">
        <v>5994</v>
      </c>
      <c r="B225" s="5812">
        <v>46228</v>
      </c>
      <c r="C225" s="5812" t="str">
        <v>Saturday</v>
      </c>
      <c r="D225" s="5813" t="s">
        <v>6003</v>
      </c>
      <c r="E225" s="5816">
        <f t="shared" si="72"/>
      </c>
      <c r="F225" s="5816" t="s">
        <v>5996</v>
      </c>
      <c r="G225" s="5876"/>
      <c r="H225" s="5813"/>
      <c r="I225" s="5803"/>
      <c r="J225" s="5803"/>
      <c r="K225" s="5801"/>
      <c r="L225" s="5801"/>
      <c r="M225" s="5801"/>
      <c r="N225" s="5801"/>
      <c r="O225" s="5801"/>
      <c r="P225" s="5801"/>
      <c r="Q225" s="5801"/>
      <c r="R225" s="5801"/>
      <c r="S225" s="5801"/>
      <c r="T225" s="5801"/>
      <c r="U225" s="5802"/>
      <c r="V225" s="5803"/>
      <c r="W225" s="5803"/>
      <c r="X225" s="5803"/>
      <c r="Y225" s="5803"/>
    </row>
    <row r="226">
      <c r="A226" s="5812" t="s">
        <v>5994</v>
      </c>
      <c r="B226" s="5812">
        <v>46229</v>
      </c>
      <c r="C226" s="5812" t="str">
        <v>Sunday</v>
      </c>
      <c r="D226" s="5947" t="s">
        <v>5995</v>
      </c>
      <c r="E226" s="5977">
        <v>5</v>
      </c>
      <c r="F226" s="5950" t="s">
        <v>6001</v>
      </c>
      <c r="G226" s="5978"/>
      <c r="H226" s="5947"/>
      <c r="I226" s="5979"/>
      <c r="J226" s="5979"/>
      <c r="K226" s="5801"/>
      <c r="L226" s="5801"/>
      <c r="M226" s="5801"/>
      <c r="N226" s="5801"/>
      <c r="O226" s="5801"/>
      <c r="P226" s="5801"/>
      <c r="Q226" s="5801"/>
      <c r="R226" s="5801"/>
      <c r="S226" s="5801"/>
      <c r="T226" s="5801"/>
      <c r="U226" s="5802"/>
      <c r="V226" s="5803"/>
      <c r="W226" s="5803"/>
      <c r="X226" s="5803"/>
      <c r="Y226" s="5803"/>
    </row>
    <row r="227">
      <c r="A227" s="5980" t="s">
        <v>6004</v>
      </c>
      <c r="B227" s="5980"/>
      <c r="C227" s="5980"/>
      <c r="D227" s="5980"/>
      <c r="E227" s="5980"/>
      <c r="F227" s="5980"/>
      <c r="G227" s="5980"/>
      <c r="H227" s="5980"/>
      <c r="I227" s="5980"/>
      <c r="J227" s="5980"/>
      <c r="K227" s="5801"/>
      <c r="L227" s="5801"/>
      <c r="M227" s="5801"/>
      <c r="N227" s="5801"/>
      <c r="O227" s="5801"/>
      <c r="P227" s="5801"/>
      <c r="Q227" s="5801"/>
      <c r="R227" s="5801"/>
      <c r="S227" s="5801"/>
      <c r="T227" s="5801"/>
      <c r="U227" s="5802"/>
      <c r="V227" s="5803"/>
      <c r="W227" s="5803"/>
      <c r="X227" s="5803"/>
      <c r="Y227" s="5803"/>
    </row>
    <row r="228">
      <c r="A228" s="5981" t="s">
        <v>5782</v>
      </c>
      <c r="B228" s="5982" t="s">
        <v>5783</v>
      </c>
      <c r="C228" s="5982"/>
      <c r="D228" s="5983" t="s">
        <v>5784</v>
      </c>
      <c r="E228" s="5983" t="s">
        <v>5785</v>
      </c>
      <c r="F228" s="5984" t="s">
        <v>5786</v>
      </c>
      <c r="G228" s="5985" t="s">
        <v>5809</v>
      </c>
      <c r="H228" s="5983" t="s">
        <v>5788</v>
      </c>
      <c r="I228" s="5983" t="s">
        <v>5789</v>
      </c>
      <c r="J228" s="5983" t="s">
        <v>5790</v>
      </c>
      <c r="K228" s="5801"/>
      <c r="L228" s="5801"/>
      <c r="M228" s="5801"/>
      <c r="N228" s="5801"/>
      <c r="O228" s="5801"/>
      <c r="P228" s="5801"/>
      <c r="Q228" s="5801"/>
      <c r="R228" s="5801"/>
      <c r="S228" s="5801"/>
      <c r="T228" s="5801"/>
      <c r="U228" s="5802"/>
      <c r="V228" s="5803"/>
      <c r="W228" s="5803"/>
      <c r="X228" s="5803"/>
      <c r="Y228" s="5803"/>
    </row>
    <row r="229">
      <c r="A229" s="5812" t="s">
        <v>6005</v>
      </c>
      <c r="B229" s="5812">
        <v>46224</v>
      </c>
      <c r="C229" s="5812" t="str">
        <v>Tuesday</v>
      </c>
      <c r="D229" s="5813" t="s">
        <v>6006</v>
      </c>
      <c r="E229" s="5813">
        <f t="shared" ref="E229:E237" si="73">24*MOD(TIMEVALUE(TRIM(MID(D229,FIND("-",D229)+1,LEN(D229)))) - TIMEVALUE(TRIM(LEFT(D229,FIND("-",D229)-1))),1)</f>
      </c>
      <c r="F229" s="5986" t="s">
        <v>5800</v>
      </c>
      <c r="G229" s="5836" t="s">
        <v>6007</v>
      </c>
      <c r="H229" s="5813"/>
      <c r="I229" s="5813" t="s">
        <v>5795</v>
      </c>
      <c r="J229" s="5813"/>
      <c r="K229" s="5801"/>
      <c r="L229" s="5801"/>
      <c r="M229" s="5801"/>
      <c r="N229" s="5801"/>
      <c r="O229" s="5801"/>
      <c r="P229" s="5801"/>
      <c r="Q229" s="5801"/>
      <c r="R229" s="5801"/>
      <c r="S229" s="5801"/>
      <c r="T229" s="5801"/>
      <c r="U229" s="5802"/>
      <c r="V229" s="5803"/>
      <c r="W229" s="5803"/>
      <c r="X229" s="5803"/>
      <c r="Y229" s="5803"/>
    </row>
    <row r="230">
      <c r="A230" s="5812" t="s">
        <v>6005</v>
      </c>
      <c r="B230" s="5812">
        <v>46225</v>
      </c>
      <c r="C230" s="5812" t="str">
        <v>Wednesday</v>
      </c>
      <c r="D230" s="5813" t="s">
        <v>6006</v>
      </c>
      <c r="E230" s="5813">
        <f t="shared" si="73"/>
      </c>
      <c r="F230" s="5986" t="s">
        <v>5800</v>
      </c>
      <c r="G230" s="5836" t="s">
        <v>6008</v>
      </c>
      <c r="H230" s="5813"/>
      <c r="I230" s="5813" t="s">
        <v>5795</v>
      </c>
      <c r="J230" s="5813"/>
      <c r="K230" s="5801"/>
      <c r="L230" s="5801"/>
      <c r="M230" s="5801"/>
      <c r="N230" s="5801"/>
      <c r="O230" s="5801"/>
      <c r="P230" s="5801"/>
      <c r="Q230" s="5801"/>
      <c r="R230" s="5801"/>
      <c r="S230" s="5801"/>
      <c r="T230" s="5801"/>
      <c r="U230" s="5802"/>
      <c r="V230" s="5803"/>
      <c r="W230" s="5803"/>
      <c r="X230" s="5803"/>
      <c r="Y230" s="5803"/>
    </row>
    <row r="231">
      <c r="A231" s="5812" t="s">
        <v>6005</v>
      </c>
      <c r="B231" s="5812">
        <v>46226</v>
      </c>
      <c r="C231" s="5812" t="str">
        <v>Thursday</v>
      </c>
      <c r="D231" s="5813" t="s">
        <v>6006</v>
      </c>
      <c r="E231" s="5813">
        <f t="shared" si="73"/>
      </c>
      <c r="F231" s="5986" t="s">
        <v>5800</v>
      </c>
      <c r="G231" s="5836" t="s">
        <v>6007</v>
      </c>
      <c r="H231" s="5813"/>
      <c r="I231" s="5813" t="s">
        <v>5795</v>
      </c>
      <c r="J231" s="5813"/>
      <c r="K231" s="5801"/>
      <c r="L231" s="5801"/>
      <c r="M231" s="5801"/>
      <c r="N231" s="5801"/>
      <c r="O231" s="5801"/>
      <c r="P231" s="5801"/>
      <c r="Q231" s="5801"/>
      <c r="R231" s="5801"/>
      <c r="S231" s="5801"/>
      <c r="T231" s="5801"/>
      <c r="U231" s="5802"/>
      <c r="V231" s="5803"/>
      <c r="W231" s="5803"/>
      <c r="X231" s="5803"/>
      <c r="Y231" s="5803"/>
    </row>
    <row r="232">
      <c r="A232" s="5812" t="s">
        <v>6005</v>
      </c>
      <c r="B232" s="5812">
        <v>46227</v>
      </c>
      <c r="C232" s="5812" t="str">
        <v>Friday</v>
      </c>
      <c r="D232" s="5813" t="s">
        <v>6006</v>
      </c>
      <c r="E232" s="5813">
        <f t="shared" si="73"/>
      </c>
      <c r="F232" s="5986" t="s">
        <v>5800</v>
      </c>
      <c r="G232" s="5836" t="s">
        <v>6008</v>
      </c>
      <c r="H232" s="5813"/>
      <c r="I232" s="5813" t="s">
        <v>5795</v>
      </c>
      <c r="J232" s="5813"/>
      <c r="K232" s="5801"/>
      <c r="L232" s="5801"/>
      <c r="M232" s="5801"/>
      <c r="N232" s="5801"/>
      <c r="O232" s="5801"/>
      <c r="P232" s="5801"/>
      <c r="Q232" s="5801"/>
      <c r="R232" s="5801"/>
      <c r="S232" s="5801"/>
      <c r="T232" s="5801"/>
      <c r="U232" s="5802"/>
      <c r="V232" s="5803"/>
      <c r="W232" s="5803"/>
      <c r="X232" s="5803"/>
      <c r="Y232" s="5803"/>
    </row>
    <row r="233">
      <c r="A233" s="5812" t="s">
        <v>6009</v>
      </c>
      <c r="B233" s="5812">
        <v>46224</v>
      </c>
      <c r="C233" s="5812" t="str">
        <v>Tuesday</v>
      </c>
      <c r="D233" s="5813" t="s">
        <v>6006</v>
      </c>
      <c r="E233" s="5813">
        <f t="shared" si="73"/>
      </c>
      <c r="F233" s="5986" t="s">
        <v>5831</v>
      </c>
      <c r="G233" s="5836"/>
      <c r="H233" s="5813"/>
      <c r="I233" s="5813" t="s">
        <v>5795</v>
      </c>
      <c r="J233" s="5813"/>
      <c r="K233" s="5801"/>
      <c r="L233" s="5801"/>
      <c r="M233" s="5801"/>
      <c r="N233" s="5801"/>
      <c r="O233" s="5801"/>
      <c r="P233" s="5801"/>
      <c r="Q233" s="5801"/>
      <c r="R233" s="5801"/>
      <c r="S233" s="5801"/>
      <c r="T233" s="5801"/>
      <c r="U233" s="5802"/>
      <c r="V233" s="5803"/>
      <c r="W233" s="5803"/>
      <c r="X233" s="5803"/>
      <c r="Y233" s="5803"/>
    </row>
    <row r="234">
      <c r="A234" s="5812" t="s">
        <v>6009</v>
      </c>
      <c r="B234" s="5812">
        <v>46223</v>
      </c>
      <c r="C234" s="5812" t="str">
        <v>Monday</v>
      </c>
      <c r="D234" s="5813" t="s">
        <v>6010</v>
      </c>
      <c r="E234" s="5813">
        <f t="shared" si="73"/>
      </c>
      <c r="F234" s="5986" t="s">
        <v>6008</v>
      </c>
      <c r="G234" s="5836"/>
      <c r="H234" s="5813"/>
      <c r="I234" s="5813" t="s">
        <v>5795</v>
      </c>
      <c r="J234" s="5813"/>
      <c r="K234" s="5801"/>
      <c r="L234" s="5801"/>
      <c r="M234" s="5801"/>
      <c r="N234" s="5801"/>
      <c r="O234" s="5801"/>
      <c r="P234" s="5801"/>
      <c r="Q234" s="5801"/>
      <c r="R234" s="5801"/>
      <c r="S234" s="5801"/>
      <c r="T234" s="5801"/>
      <c r="U234" s="5802"/>
      <c r="V234" s="5803"/>
      <c r="W234" s="5803"/>
      <c r="X234" s="5803"/>
      <c r="Y234" s="5803"/>
    </row>
    <row r="235">
      <c r="A235" s="5812" t="s">
        <v>6009</v>
      </c>
      <c r="B235" s="5812">
        <v>46225</v>
      </c>
      <c r="C235" s="5812" t="str">
        <v>Wednesday</v>
      </c>
      <c r="D235" s="5813" t="s">
        <v>6011</v>
      </c>
      <c r="E235" s="5813">
        <f t="shared" si="73"/>
      </c>
      <c r="F235" s="5986" t="s">
        <v>6008</v>
      </c>
      <c r="G235" s="5836"/>
      <c r="H235" s="5813"/>
      <c r="I235" s="5813" t="s">
        <v>5795</v>
      </c>
      <c r="J235" s="5813"/>
      <c r="K235" s="5801"/>
      <c r="L235" s="5801"/>
      <c r="M235" s="5801"/>
      <c r="N235" s="5801"/>
      <c r="O235" s="5801"/>
      <c r="P235" s="5801"/>
      <c r="Q235" s="5801"/>
      <c r="R235" s="5801"/>
      <c r="S235" s="5801"/>
      <c r="T235" s="5801"/>
      <c r="U235" s="5802"/>
      <c r="V235" s="5803"/>
      <c r="W235" s="5803"/>
      <c r="X235" s="5803"/>
      <c r="Y235" s="5803"/>
    </row>
    <row r="236">
      <c r="A236" s="5812" t="s">
        <v>6009</v>
      </c>
      <c r="B236" s="5812">
        <v>46226</v>
      </c>
      <c r="C236" s="5812" t="str">
        <v>Thursday</v>
      </c>
      <c r="D236" s="5813" t="s">
        <v>6006</v>
      </c>
      <c r="E236" s="5813">
        <f t="shared" si="73"/>
      </c>
      <c r="F236" s="5986" t="s">
        <v>5831</v>
      </c>
      <c r="G236" s="5836"/>
      <c r="H236" s="5813"/>
      <c r="I236" s="5813" t="s">
        <v>5795</v>
      </c>
      <c r="J236" s="5813"/>
      <c r="K236" s="5801"/>
      <c r="L236" s="5801"/>
      <c r="M236" s="5801"/>
      <c r="N236" s="5801"/>
      <c r="O236" s="5801"/>
      <c r="P236" s="5801"/>
      <c r="Q236" s="5801"/>
      <c r="R236" s="5801"/>
      <c r="S236" s="5801"/>
      <c r="T236" s="5801"/>
      <c r="U236" s="5802"/>
      <c r="V236" s="5803"/>
      <c r="W236" s="5803"/>
      <c r="X236" s="5803"/>
      <c r="Y236" s="5803"/>
    </row>
    <row r="237">
      <c r="A237" s="5812" t="s">
        <v>6009</v>
      </c>
      <c r="B237" s="5812">
        <v>46227</v>
      </c>
      <c r="C237" s="5812" t="str">
        <v>Friday</v>
      </c>
      <c r="D237" s="5813" t="s">
        <v>6012</v>
      </c>
      <c r="E237" s="5813">
        <f t="shared" si="73"/>
      </c>
      <c r="F237" s="5986" t="s">
        <v>6008</v>
      </c>
      <c r="G237" s="5836"/>
      <c r="H237" s="5813"/>
      <c r="I237" s="5813" t="s">
        <v>5795</v>
      </c>
      <c r="J237" s="5813"/>
      <c r="K237" s="5801"/>
      <c r="L237" s="5801"/>
      <c r="M237" s="5801"/>
      <c r="N237" s="5801"/>
      <c r="O237" s="5801"/>
      <c r="P237" s="5801"/>
      <c r="Q237" s="5801"/>
      <c r="R237" s="5801"/>
      <c r="S237" s="5801"/>
      <c r="T237" s="5801"/>
      <c r="U237" s="5802"/>
      <c r="V237" s="5803"/>
      <c r="W237" s="5803"/>
      <c r="X237" s="5803"/>
      <c r="Y237" s="5803"/>
    </row>
    <row r="238">
      <c r="A238" s="5803"/>
      <c r="B238" s="5803"/>
      <c r="C238" s="5803"/>
      <c r="D238" s="5803"/>
      <c r="E238" s="5803"/>
      <c r="F238" s="5987"/>
      <c r="G238" s="5988"/>
      <c r="H238" s="5989"/>
      <c r="I238" s="5803"/>
      <c r="J238" s="5803"/>
      <c r="K238" s="5801"/>
      <c r="L238" s="5801"/>
      <c r="M238" s="5801"/>
      <c r="N238" s="5801"/>
      <c r="O238" s="5801"/>
      <c r="P238" s="5801"/>
      <c r="Q238" s="5801"/>
      <c r="R238" s="5801"/>
      <c r="S238" s="5801"/>
      <c r="T238" s="5801"/>
      <c r="U238" s="5802"/>
      <c r="V238" s="5803"/>
      <c r="W238" s="5803"/>
      <c r="X238" s="5803"/>
      <c r="Y238" s="5803"/>
    </row>
    <row r="239">
      <c r="A239" s="5990" t="s">
        <v>6013</v>
      </c>
      <c r="B239" s="5990"/>
      <c r="C239" s="5990"/>
      <c r="D239" s="5990"/>
      <c r="E239" s="5990"/>
      <c r="F239" s="5990"/>
      <c r="G239" s="5990"/>
      <c r="H239" s="5990"/>
      <c r="I239" s="5990"/>
      <c r="J239" s="5990"/>
      <c r="K239" s="5801"/>
      <c r="L239" s="5801"/>
      <c r="M239" s="5801"/>
      <c r="N239" s="5801"/>
      <c r="O239" s="5801"/>
      <c r="P239" s="5801"/>
      <c r="Q239" s="5801"/>
      <c r="R239" s="5801"/>
      <c r="S239" s="5801"/>
      <c r="T239" s="5801"/>
      <c r="U239" s="5802"/>
      <c r="V239" s="5803"/>
      <c r="W239" s="5803"/>
      <c r="X239" s="5803"/>
      <c r="Y239" s="5803"/>
    </row>
    <row r="240">
      <c r="A240" s="5991" t="s">
        <v>5782</v>
      </c>
      <c r="B240" s="5992" t="s">
        <v>5783</v>
      </c>
      <c r="C240" s="5992"/>
      <c r="D240" s="5993" t="s">
        <v>5784</v>
      </c>
      <c r="E240" s="5993" t="s">
        <v>5785</v>
      </c>
      <c r="F240" s="5993" t="s">
        <v>5786</v>
      </c>
      <c r="G240" s="5994" t="s">
        <v>5809</v>
      </c>
      <c r="H240" s="5993" t="s">
        <v>5788</v>
      </c>
      <c r="I240" s="5993" t="s">
        <v>5789</v>
      </c>
      <c r="J240" s="5993" t="s">
        <v>5790</v>
      </c>
      <c r="K240" s="5801"/>
      <c r="L240" s="5801"/>
      <c r="M240" s="5801"/>
      <c r="N240" s="5801"/>
      <c r="O240" s="5801"/>
      <c r="P240" s="5801"/>
      <c r="Q240" s="5801"/>
      <c r="R240" s="5801"/>
      <c r="S240" s="5801"/>
      <c r="T240" s="5801"/>
      <c r="U240" s="5802"/>
      <c r="V240" s="5803"/>
      <c r="W240" s="5803"/>
      <c r="X240" s="5803"/>
      <c r="Y240" s="5803"/>
    </row>
    <row r="241">
      <c r="A241" s="5812" t="s">
        <v>6014</v>
      </c>
      <c r="B241" s="5812">
        <v>46223</v>
      </c>
      <c r="C241" s="5812" t="str">
        <v>Monday</v>
      </c>
      <c r="D241" s="5813" t="s">
        <v>5799</v>
      </c>
      <c r="E241" s="5813">
        <f t="shared" ref="E241:E271" si="74">24*MOD(TIMEVALUE(TRIM(MID(D241,FIND("-",D241)+1,LEN(D241)))) - TIMEVALUE(TRIM(LEFT(D241,FIND("-",D241)-1))),1)</f>
      </c>
      <c r="F241" s="5986" t="s">
        <v>5916</v>
      </c>
      <c r="G241" s="5836" t="s">
        <v>6015</v>
      </c>
      <c r="H241" s="5813"/>
      <c r="I241" s="5813" t="s">
        <v>5795</v>
      </c>
      <c r="J241" s="5813"/>
      <c r="K241" s="5801"/>
      <c r="L241" s="5801"/>
      <c r="M241" s="5801"/>
      <c r="N241" s="5801"/>
      <c r="O241" s="5801"/>
      <c r="P241" s="5801"/>
      <c r="Q241" s="5801"/>
      <c r="R241" s="5801"/>
      <c r="S241" s="5801"/>
      <c r="T241" s="5801"/>
      <c r="U241" s="5802"/>
      <c r="V241" s="5803"/>
      <c r="W241" s="5803"/>
      <c r="X241" s="5803"/>
      <c r="Y241" s="5803"/>
    </row>
    <row r="242">
      <c r="A242" s="5812" t="s">
        <v>6014</v>
      </c>
      <c r="B242" s="5812">
        <v>46223</v>
      </c>
      <c r="C242" s="5812" t="str">
        <v>Monday</v>
      </c>
      <c r="D242" s="5813" t="s">
        <v>6016</v>
      </c>
      <c r="E242" s="5813">
        <f t="shared" si="74"/>
      </c>
      <c r="F242" s="5986" t="s">
        <v>5945</v>
      </c>
      <c r="G242" s="5836" t="s">
        <v>6001</v>
      </c>
      <c r="H242" s="5813"/>
      <c r="I242" s="5813" t="s">
        <v>5795</v>
      </c>
      <c r="J242" s="5813"/>
      <c r="K242" s="5801"/>
      <c r="L242" s="5801"/>
      <c r="M242" s="5801"/>
      <c r="N242" s="5801"/>
      <c r="O242" s="5801"/>
      <c r="P242" s="5801"/>
      <c r="Q242" s="5801"/>
      <c r="R242" s="5801"/>
      <c r="S242" s="5801"/>
      <c r="T242" s="5801"/>
      <c r="U242" s="5802"/>
      <c r="V242" s="5803"/>
      <c r="W242" s="5803"/>
      <c r="X242" s="5803"/>
      <c r="Y242" s="5803"/>
    </row>
    <row r="243">
      <c r="A243" s="5812" t="s">
        <v>6014</v>
      </c>
      <c r="B243" s="5812">
        <v>46224</v>
      </c>
      <c r="C243" s="5812" t="str">
        <v>Tuesday</v>
      </c>
      <c r="D243" s="5813" t="s">
        <v>6017</v>
      </c>
      <c r="E243" s="5813">
        <f t="shared" si="74"/>
      </c>
      <c r="F243" s="5986" t="s">
        <v>5945</v>
      </c>
      <c r="G243" s="5836" t="s">
        <v>6015</v>
      </c>
      <c r="H243" s="5813"/>
      <c r="I243" s="5813" t="s">
        <v>5795</v>
      </c>
      <c r="J243" s="5813"/>
      <c r="K243" s="5801"/>
      <c r="L243" s="5801"/>
      <c r="M243" s="5801"/>
      <c r="N243" s="5801"/>
      <c r="O243" s="5801"/>
      <c r="P243" s="5801"/>
      <c r="Q243" s="5801"/>
      <c r="R243" s="5801"/>
      <c r="S243" s="5801"/>
      <c r="T243" s="5801"/>
      <c r="U243" s="5802"/>
      <c r="V243" s="5803"/>
      <c r="W243" s="5803"/>
      <c r="X243" s="5803"/>
      <c r="Y243" s="5803"/>
    </row>
    <row r="244">
      <c r="A244" s="5812" t="s">
        <v>6014</v>
      </c>
      <c r="B244" s="5812">
        <v>46224</v>
      </c>
      <c r="C244" s="5812" t="str">
        <v>Tuesday</v>
      </c>
      <c r="D244" s="5813" t="s">
        <v>6018</v>
      </c>
      <c r="E244" s="5813">
        <f t="shared" si="74"/>
      </c>
      <c r="F244" s="5986" t="s">
        <v>5916</v>
      </c>
      <c r="G244" s="5836" t="s">
        <v>6001</v>
      </c>
      <c r="H244" s="5813"/>
      <c r="I244" s="5813" t="s">
        <v>5795</v>
      </c>
      <c r="J244" s="5813"/>
      <c r="K244" s="5801"/>
      <c r="L244" s="5801"/>
      <c r="M244" s="5801"/>
      <c r="N244" s="5801"/>
      <c r="O244" s="5801"/>
      <c r="P244" s="5801"/>
      <c r="Q244" s="5801"/>
      <c r="R244" s="5801"/>
      <c r="S244" s="5801"/>
      <c r="T244" s="5801"/>
      <c r="U244" s="5802"/>
      <c r="V244" s="5803"/>
      <c r="W244" s="5803"/>
      <c r="X244" s="5803"/>
      <c r="Y244" s="5803"/>
    </row>
    <row r="245">
      <c r="A245" s="5812" t="s">
        <v>6014</v>
      </c>
      <c r="B245" s="5812">
        <v>46225</v>
      </c>
      <c r="C245" s="5812" t="str">
        <v>Wednesday</v>
      </c>
      <c r="D245" s="5813" t="s">
        <v>5799</v>
      </c>
      <c r="E245" s="5813">
        <f t="shared" si="74"/>
      </c>
      <c r="F245" s="5986" t="s">
        <v>5916</v>
      </c>
      <c r="G245" s="5836" t="s">
        <v>6001</v>
      </c>
      <c r="H245" s="5813"/>
      <c r="I245" s="5813" t="s">
        <v>5795</v>
      </c>
      <c r="J245" s="5813"/>
      <c r="K245" s="5801"/>
      <c r="L245" s="5801"/>
      <c r="M245" s="5801"/>
      <c r="N245" s="5801"/>
      <c r="O245" s="5801"/>
      <c r="P245" s="5801"/>
      <c r="Q245" s="5801"/>
      <c r="R245" s="5801"/>
      <c r="S245" s="5801"/>
      <c r="T245" s="5801"/>
      <c r="U245" s="5802"/>
      <c r="V245" s="5803"/>
      <c r="W245" s="5803"/>
      <c r="X245" s="5803"/>
      <c r="Y245" s="5803"/>
    </row>
    <row r="246">
      <c r="A246" s="5812" t="s">
        <v>6014</v>
      </c>
      <c r="B246" s="5812">
        <v>46225</v>
      </c>
      <c r="C246" s="5812" t="str">
        <v>Wednesday</v>
      </c>
      <c r="D246" s="5813" t="s">
        <v>6016</v>
      </c>
      <c r="E246" s="5813">
        <f t="shared" si="74"/>
      </c>
      <c r="F246" s="5986" t="s">
        <v>5831</v>
      </c>
      <c r="G246" s="5836" t="s">
        <v>6008</v>
      </c>
      <c r="H246" s="5813"/>
      <c r="I246" s="5813" t="s">
        <v>5795</v>
      </c>
      <c r="J246" s="5813"/>
      <c r="K246" s="5801"/>
      <c r="L246" s="5801"/>
      <c r="M246" s="5801"/>
      <c r="N246" s="5801"/>
      <c r="O246" s="5801"/>
      <c r="P246" s="5801"/>
      <c r="Q246" s="5801"/>
      <c r="R246" s="5801"/>
      <c r="S246" s="5801"/>
      <c r="T246" s="5801"/>
      <c r="U246" s="5802"/>
      <c r="V246" s="5803"/>
      <c r="W246" s="5803"/>
      <c r="X246" s="5803"/>
      <c r="Y246" s="5803"/>
    </row>
    <row r="247">
      <c r="A247" s="5812" t="s">
        <v>6014</v>
      </c>
      <c r="B247" s="5812">
        <v>46225</v>
      </c>
      <c r="C247" s="5812" t="str">
        <v>Wednesday</v>
      </c>
      <c r="D247" s="5813" t="s">
        <v>6019</v>
      </c>
      <c r="E247" s="5813">
        <f t="shared" si="74"/>
      </c>
      <c r="F247" s="5986" t="s">
        <v>5916</v>
      </c>
      <c r="G247" s="5836"/>
      <c r="H247" s="5813"/>
      <c r="I247" s="5813" t="s">
        <v>5795</v>
      </c>
      <c r="J247" s="5813"/>
      <c r="K247" s="5801"/>
      <c r="L247" s="5801"/>
      <c r="M247" s="5801"/>
      <c r="N247" s="5801"/>
      <c r="O247" s="5801"/>
      <c r="P247" s="5801"/>
      <c r="Q247" s="5801"/>
      <c r="R247" s="5801"/>
      <c r="S247" s="5801"/>
      <c r="T247" s="5801"/>
      <c r="U247" s="5802"/>
      <c r="V247" s="5803"/>
      <c r="W247" s="5803"/>
      <c r="X247" s="5803"/>
      <c r="Y247" s="5803"/>
    </row>
    <row r="248">
      <c r="A248" s="5812" t="s">
        <v>6014</v>
      </c>
      <c r="B248" s="5812">
        <v>46226</v>
      </c>
      <c r="C248" s="5812" t="str">
        <v>Thursday</v>
      </c>
      <c r="D248" s="5813" t="s">
        <v>6020</v>
      </c>
      <c r="E248" s="5813">
        <f t="shared" si="74"/>
      </c>
      <c r="F248" s="5986" t="s">
        <v>5916</v>
      </c>
      <c r="G248" s="5836" t="s">
        <v>6021</v>
      </c>
      <c r="H248" s="5813"/>
      <c r="I248" s="5813" t="s">
        <v>5795</v>
      </c>
      <c r="J248" s="5813"/>
      <c r="K248" s="5801"/>
      <c r="L248" s="5801"/>
      <c r="M248" s="5801"/>
      <c r="N248" s="5801"/>
      <c r="O248" s="5801"/>
      <c r="P248" s="5801"/>
      <c r="Q248" s="5801"/>
      <c r="R248" s="5801"/>
      <c r="S248" s="5801"/>
      <c r="T248" s="5801"/>
      <c r="U248" s="5802"/>
      <c r="V248" s="5803"/>
      <c r="W248" s="5803"/>
      <c r="X248" s="5803"/>
      <c r="Y248" s="5803"/>
    </row>
    <row r="249">
      <c r="A249" s="5812" t="s">
        <v>6014</v>
      </c>
      <c r="B249" s="5812">
        <v>46226</v>
      </c>
      <c r="C249" s="5812" t="str">
        <v>Thursday</v>
      </c>
      <c r="D249" s="5813" t="s">
        <v>6022</v>
      </c>
      <c r="E249" s="5813">
        <f t="shared" si="74"/>
      </c>
      <c r="F249" s="5986" t="s">
        <v>5831</v>
      </c>
      <c r="G249" s="5836" t="s">
        <v>6021</v>
      </c>
      <c r="H249" s="5813"/>
      <c r="I249" s="5813" t="s">
        <v>5795</v>
      </c>
      <c r="J249" s="5813"/>
      <c r="K249" s="5801"/>
      <c r="L249" s="5801"/>
      <c r="M249" s="5801"/>
      <c r="N249" s="5801"/>
      <c r="O249" s="5801"/>
      <c r="P249" s="5801"/>
      <c r="Q249" s="5801"/>
      <c r="R249" s="5801"/>
      <c r="S249" s="5801"/>
      <c r="T249" s="5801"/>
      <c r="U249" s="5802"/>
      <c r="V249" s="5803"/>
      <c r="W249" s="5803"/>
      <c r="X249" s="5803"/>
      <c r="Y249" s="5803"/>
    </row>
    <row r="250">
      <c r="A250" s="5812" t="s">
        <v>6014</v>
      </c>
      <c r="B250" s="5812">
        <v>46226</v>
      </c>
      <c r="C250" s="5812" t="str">
        <v>Thursday</v>
      </c>
      <c r="D250" s="5813" t="s">
        <v>6023</v>
      </c>
      <c r="E250" s="5813">
        <f t="shared" si="74"/>
      </c>
      <c r="F250" s="5986" t="s">
        <v>5916</v>
      </c>
      <c r="G250" s="5836" t="s">
        <v>6024</v>
      </c>
      <c r="H250" s="5813"/>
      <c r="I250" s="5813" t="s">
        <v>5795</v>
      </c>
      <c r="J250" s="5813"/>
      <c r="K250" s="5801"/>
      <c r="L250" s="5801"/>
      <c r="M250" s="5801"/>
      <c r="N250" s="5801"/>
      <c r="O250" s="5801"/>
      <c r="P250" s="5801"/>
      <c r="Q250" s="5801"/>
      <c r="R250" s="5801"/>
      <c r="S250" s="5801"/>
      <c r="T250" s="5801"/>
      <c r="U250" s="5802"/>
      <c r="V250" s="5803"/>
      <c r="W250" s="5803"/>
      <c r="X250" s="5803"/>
      <c r="Y250" s="5803"/>
    </row>
    <row r="251">
      <c r="A251" s="5812" t="s">
        <v>6014</v>
      </c>
      <c r="B251" s="5812">
        <v>46227</v>
      </c>
      <c r="C251" s="5812" t="str">
        <v>Friday</v>
      </c>
      <c r="D251" s="5813" t="s">
        <v>6025</v>
      </c>
      <c r="E251" s="5813">
        <f t="shared" si="74"/>
      </c>
      <c r="F251" s="5986" t="s">
        <v>5916</v>
      </c>
      <c r="G251" s="5836" t="s">
        <v>5812</v>
      </c>
      <c r="H251" s="5813"/>
      <c r="I251" s="5813" t="s">
        <v>5795</v>
      </c>
      <c r="J251" s="5813"/>
      <c r="K251" s="5801"/>
      <c r="L251" s="5801"/>
      <c r="M251" s="5801"/>
      <c r="N251" s="5801"/>
      <c r="O251" s="5801"/>
      <c r="P251" s="5801"/>
      <c r="Q251" s="5801"/>
      <c r="R251" s="5801"/>
      <c r="S251" s="5801"/>
      <c r="T251" s="5801"/>
      <c r="U251" s="5802"/>
      <c r="V251" s="5803"/>
      <c r="W251" s="5803"/>
      <c r="X251" s="5803"/>
      <c r="Y251" s="5803"/>
    </row>
    <row r="252">
      <c r="A252" s="5812" t="s">
        <v>6014</v>
      </c>
      <c r="B252" s="5812">
        <v>46227</v>
      </c>
      <c r="C252" s="5812" t="str">
        <v>Friday</v>
      </c>
      <c r="D252" s="5813" t="s">
        <v>5932</v>
      </c>
      <c r="E252" s="5813">
        <f t="shared" si="74"/>
      </c>
      <c r="F252" s="5986" t="s">
        <v>5993</v>
      </c>
      <c r="G252" s="5836" t="s">
        <v>6026</v>
      </c>
      <c r="H252" s="5813"/>
      <c r="I252" s="5813" t="s">
        <v>5795</v>
      </c>
      <c r="J252" s="5813"/>
      <c r="K252" s="5801"/>
      <c r="L252" s="5801"/>
      <c r="M252" s="5801"/>
      <c r="N252" s="5801"/>
      <c r="O252" s="5801"/>
      <c r="P252" s="5801"/>
      <c r="Q252" s="5801"/>
      <c r="R252" s="5801"/>
      <c r="S252" s="5801"/>
      <c r="T252" s="5801"/>
      <c r="U252" s="5802"/>
      <c r="V252" s="5803"/>
      <c r="W252" s="5803"/>
      <c r="X252" s="5803"/>
      <c r="Y252" s="5803"/>
    </row>
    <row r="253">
      <c r="A253" s="5812" t="s">
        <v>6014</v>
      </c>
      <c r="B253" s="5812">
        <v>46228</v>
      </c>
      <c r="C253" s="5812" t="str">
        <v>Saturday</v>
      </c>
      <c r="D253" s="5813" t="s">
        <v>5842</v>
      </c>
      <c r="E253" s="5813">
        <f t="shared" si="74"/>
      </c>
      <c r="F253" s="5986" t="s">
        <v>5945</v>
      </c>
      <c r="G253" s="5836" t="s">
        <v>6015</v>
      </c>
      <c r="H253" s="5813"/>
      <c r="I253" s="5813" t="s">
        <v>5795</v>
      </c>
      <c r="J253" s="5813"/>
      <c r="K253" s="5801"/>
      <c r="L253" s="5801"/>
      <c r="M253" s="5801"/>
      <c r="N253" s="5801"/>
      <c r="O253" s="5801"/>
      <c r="P253" s="5801"/>
      <c r="Q253" s="5801"/>
      <c r="R253" s="5801"/>
      <c r="S253" s="5801"/>
      <c r="T253" s="5801"/>
      <c r="U253" s="5802"/>
      <c r="V253" s="5803"/>
      <c r="W253" s="5803"/>
      <c r="X253" s="5803"/>
      <c r="Y253" s="5803"/>
    </row>
    <row r="254">
      <c r="A254" s="5812" t="s">
        <v>6014</v>
      </c>
      <c r="B254" s="5812">
        <v>46228</v>
      </c>
      <c r="C254" s="5812" t="str">
        <v>Saturday</v>
      </c>
      <c r="D254" s="5813" t="s">
        <v>6027</v>
      </c>
      <c r="E254" s="5813">
        <f t="shared" si="74"/>
      </c>
      <c r="F254" s="5986" t="s">
        <v>5993</v>
      </c>
      <c r="G254" s="5836" t="s">
        <v>6001</v>
      </c>
      <c r="H254" s="5813"/>
      <c r="I254" s="5813" t="s">
        <v>5795</v>
      </c>
      <c r="J254" s="5813"/>
      <c r="K254" s="5801"/>
      <c r="L254" s="5801"/>
      <c r="M254" s="5801"/>
      <c r="N254" s="5801"/>
      <c r="O254" s="5801"/>
      <c r="P254" s="5801"/>
      <c r="Q254" s="5801"/>
      <c r="R254" s="5801"/>
      <c r="S254" s="5801"/>
      <c r="T254" s="5801"/>
      <c r="U254" s="5802"/>
      <c r="V254" s="5803"/>
      <c r="W254" s="5803"/>
      <c r="X254" s="5803"/>
      <c r="Y254" s="5803"/>
    </row>
    <row r="255">
      <c r="A255" s="5812" t="s">
        <v>6014</v>
      </c>
      <c r="B255" s="5812">
        <v>46229</v>
      </c>
      <c r="C255" s="5812" t="str">
        <v>Sunday</v>
      </c>
      <c r="D255" s="5813" t="s">
        <v>5926</v>
      </c>
      <c r="E255" s="5813">
        <f t="shared" si="74"/>
      </c>
      <c r="F255" s="5986" t="s">
        <v>5916</v>
      </c>
      <c r="G255" s="5836" t="s">
        <v>6015</v>
      </c>
      <c r="H255" s="5813"/>
      <c r="I255" s="5813" t="s">
        <v>5795</v>
      </c>
      <c r="J255" s="5813"/>
      <c r="K255" s="5801"/>
      <c r="L255" s="5801"/>
      <c r="M255" s="5801"/>
      <c r="N255" s="5801"/>
      <c r="O255" s="5801"/>
      <c r="P255" s="5801"/>
      <c r="Q255" s="5801"/>
      <c r="R255" s="5801"/>
      <c r="S255" s="5801"/>
      <c r="T255" s="5801"/>
      <c r="U255" s="5802"/>
      <c r="V255" s="5803"/>
      <c r="W255" s="5803"/>
      <c r="X255" s="5803"/>
      <c r="Y255" s="5803"/>
    </row>
    <row r="256">
      <c r="A256" s="5812" t="s">
        <v>6014</v>
      </c>
      <c r="B256" s="5812">
        <v>46229</v>
      </c>
      <c r="C256" s="5812" t="str">
        <v>Sunday</v>
      </c>
      <c r="D256" s="5813" t="s">
        <v>5837</v>
      </c>
      <c r="E256" s="5813">
        <f t="shared" si="74"/>
      </c>
      <c r="F256" s="5986" t="s">
        <v>5993</v>
      </c>
      <c r="G256" s="5836" t="s">
        <v>6001</v>
      </c>
      <c r="H256" s="5813"/>
      <c r="I256" s="5813" t="s">
        <v>5795</v>
      </c>
      <c r="J256" s="5813"/>
      <c r="K256" s="5801"/>
      <c r="L256" s="5801"/>
      <c r="M256" s="5801"/>
      <c r="N256" s="5801"/>
      <c r="O256" s="5801"/>
      <c r="P256" s="5801"/>
      <c r="Q256" s="5801"/>
      <c r="R256" s="5801"/>
      <c r="S256" s="5801"/>
      <c r="T256" s="5801"/>
      <c r="U256" s="5802"/>
      <c r="V256" s="5803"/>
      <c r="W256" s="5803"/>
      <c r="X256" s="5803"/>
      <c r="Y256" s="5803"/>
    </row>
    <row r="257">
      <c r="A257" s="5812" t="s">
        <v>6028</v>
      </c>
      <c r="B257" s="5812">
        <v>46224</v>
      </c>
      <c r="C257" s="5812" t="str">
        <v>Tuesday</v>
      </c>
      <c r="D257" s="5813" t="s">
        <v>5829</v>
      </c>
      <c r="E257" s="5813">
        <f t="shared" si="74"/>
      </c>
      <c r="F257" s="5986" t="s">
        <v>5876</v>
      </c>
      <c r="G257" s="5836" t="s">
        <v>6029</v>
      </c>
      <c r="H257" s="5813"/>
      <c r="I257" s="5813" t="s">
        <v>5795</v>
      </c>
      <c r="J257" s="5813"/>
      <c r="K257" s="5801"/>
      <c r="L257" s="5801"/>
      <c r="M257" s="5801"/>
      <c r="N257" s="5801"/>
      <c r="O257" s="5801"/>
      <c r="P257" s="5801"/>
      <c r="Q257" s="5801"/>
      <c r="R257" s="5801"/>
      <c r="S257" s="5801"/>
      <c r="T257" s="5801"/>
      <c r="U257" s="5802"/>
      <c r="V257" s="5803"/>
      <c r="W257" s="5803"/>
      <c r="X257" s="5803"/>
      <c r="Y257" s="5803"/>
    </row>
    <row r="258">
      <c r="A258" s="5812" t="s">
        <v>6030</v>
      </c>
      <c r="B258" s="5812">
        <v>46223</v>
      </c>
      <c r="C258" s="5812" t="str">
        <v>Monday</v>
      </c>
      <c r="D258" s="5813" t="s">
        <v>6031</v>
      </c>
      <c r="E258" s="5813">
        <f t="shared" si="74"/>
      </c>
      <c r="F258" s="5986" t="s">
        <v>6015</v>
      </c>
      <c r="G258" s="5836"/>
      <c r="H258" s="5813"/>
      <c r="I258" s="5813" t="s">
        <v>5795</v>
      </c>
      <c r="J258" s="5813"/>
      <c r="K258" s="5801"/>
      <c r="L258" s="5801"/>
      <c r="M258" s="5801"/>
      <c r="N258" s="5801"/>
      <c r="O258" s="5801"/>
      <c r="P258" s="5801"/>
      <c r="Q258" s="5801"/>
      <c r="R258" s="5801"/>
      <c r="S258" s="5801"/>
      <c r="T258" s="5801"/>
      <c r="U258" s="5802"/>
      <c r="V258" s="5803"/>
      <c r="W258" s="5803"/>
      <c r="X258" s="5803"/>
      <c r="Y258" s="5803"/>
    </row>
    <row r="259">
      <c r="A259" s="5812" t="s">
        <v>6030</v>
      </c>
      <c r="B259" s="5812">
        <v>46223</v>
      </c>
      <c r="C259" s="5812" t="str">
        <v>Monday</v>
      </c>
      <c r="D259" s="5813" t="s">
        <v>6016</v>
      </c>
      <c r="E259" s="5813">
        <f t="shared" si="74"/>
      </c>
      <c r="F259" s="5986" t="s">
        <v>6001</v>
      </c>
      <c r="G259" s="5836"/>
      <c r="H259" s="5813"/>
      <c r="I259" s="5813" t="s">
        <v>5795</v>
      </c>
      <c r="J259" s="5813"/>
      <c r="K259" s="5801"/>
      <c r="L259" s="5801"/>
      <c r="M259" s="5801"/>
      <c r="N259" s="5801"/>
      <c r="O259" s="5801"/>
      <c r="P259" s="5801"/>
      <c r="Q259" s="5801"/>
      <c r="R259" s="5801"/>
      <c r="S259" s="5801"/>
      <c r="T259" s="5801"/>
      <c r="U259" s="5802"/>
      <c r="V259" s="5803"/>
      <c r="W259" s="5803"/>
      <c r="X259" s="5803"/>
      <c r="Y259" s="5803"/>
    </row>
    <row r="260">
      <c r="A260" s="5812" t="s">
        <v>6030</v>
      </c>
      <c r="B260" s="5812">
        <v>46224</v>
      </c>
      <c r="C260" s="5812" t="str">
        <v>Tuesday</v>
      </c>
      <c r="D260" s="5813" t="s">
        <v>6032</v>
      </c>
      <c r="E260" s="5813">
        <f t="shared" si="74"/>
      </c>
      <c r="F260" s="5986" t="s">
        <v>6015</v>
      </c>
      <c r="G260" s="5836"/>
      <c r="H260" s="5813"/>
      <c r="I260" s="5813" t="s">
        <v>5795</v>
      </c>
      <c r="J260" s="5813"/>
      <c r="K260" s="5801"/>
      <c r="L260" s="5801"/>
      <c r="M260" s="5801"/>
      <c r="N260" s="5801"/>
      <c r="O260" s="5801"/>
      <c r="P260" s="5801"/>
      <c r="Q260" s="5801"/>
      <c r="R260" s="5801"/>
      <c r="S260" s="5801"/>
      <c r="T260" s="5801"/>
      <c r="U260" s="5802"/>
      <c r="V260" s="5803"/>
      <c r="W260" s="5803"/>
      <c r="X260" s="5803"/>
      <c r="Y260" s="5803"/>
    </row>
    <row r="261">
      <c r="A261" s="5812" t="s">
        <v>6030</v>
      </c>
      <c r="B261" s="5812">
        <v>46224</v>
      </c>
      <c r="C261" s="5812" t="str">
        <v>Tuesday</v>
      </c>
      <c r="D261" s="5813" t="s">
        <v>6018</v>
      </c>
      <c r="E261" s="5813">
        <f t="shared" si="74"/>
      </c>
      <c r="F261" s="5986" t="s">
        <v>6001</v>
      </c>
      <c r="G261" s="5836"/>
      <c r="H261" s="5813"/>
      <c r="I261" s="5813" t="s">
        <v>5795</v>
      </c>
      <c r="J261" s="5813"/>
      <c r="K261" s="5801"/>
      <c r="L261" s="5801"/>
      <c r="M261" s="5801"/>
      <c r="N261" s="5801"/>
      <c r="O261" s="5801"/>
      <c r="P261" s="5801"/>
      <c r="Q261" s="5801"/>
      <c r="R261" s="5801"/>
      <c r="S261" s="5801"/>
      <c r="T261" s="5801"/>
      <c r="U261" s="5802"/>
      <c r="V261" s="5803"/>
      <c r="W261" s="5803"/>
      <c r="X261" s="5803"/>
      <c r="Y261" s="5803"/>
    </row>
    <row r="262">
      <c r="A262" s="5812" t="s">
        <v>6030</v>
      </c>
      <c r="B262" s="5812">
        <v>46225</v>
      </c>
      <c r="C262" s="5812" t="str">
        <v>Wednesday</v>
      </c>
      <c r="D262" s="5813" t="s">
        <v>6033</v>
      </c>
      <c r="E262" s="5813">
        <f t="shared" si="74"/>
      </c>
      <c r="F262" s="5986" t="s">
        <v>6008</v>
      </c>
      <c r="G262" s="5836"/>
      <c r="H262" s="5813"/>
      <c r="I262" s="5813" t="s">
        <v>5795</v>
      </c>
      <c r="J262" s="5813"/>
      <c r="K262" s="5801"/>
      <c r="L262" s="5801"/>
      <c r="M262" s="5801"/>
      <c r="N262" s="5801"/>
      <c r="O262" s="5801"/>
      <c r="P262" s="5801"/>
      <c r="Q262" s="5801"/>
      <c r="R262" s="5801"/>
      <c r="S262" s="5801"/>
      <c r="T262" s="5801"/>
      <c r="U262" s="5802"/>
      <c r="V262" s="5803"/>
      <c r="W262" s="5803"/>
      <c r="X262" s="5803"/>
      <c r="Y262" s="5803"/>
    </row>
    <row r="263">
      <c r="A263" s="5812" t="s">
        <v>6030</v>
      </c>
      <c r="B263" s="5812">
        <v>46225</v>
      </c>
      <c r="C263" s="5812" t="str">
        <v>Wednesday</v>
      </c>
      <c r="D263" s="5813" t="s">
        <v>6034</v>
      </c>
      <c r="E263" s="5813">
        <f t="shared" si="74"/>
      </c>
      <c r="F263" s="5986" t="s">
        <v>6001</v>
      </c>
      <c r="G263" s="5836"/>
      <c r="H263" s="5813"/>
      <c r="I263" s="5813" t="s">
        <v>5795</v>
      </c>
      <c r="J263" s="5813"/>
      <c r="K263" s="5801"/>
      <c r="L263" s="5801"/>
      <c r="M263" s="5801"/>
      <c r="N263" s="5801"/>
      <c r="O263" s="5801"/>
      <c r="P263" s="5801"/>
      <c r="Q263" s="5801"/>
      <c r="R263" s="5801"/>
      <c r="S263" s="5801"/>
      <c r="T263" s="5801"/>
      <c r="U263" s="5802"/>
      <c r="V263" s="5803"/>
      <c r="W263" s="5803"/>
      <c r="X263" s="5803"/>
      <c r="Y263" s="5803"/>
    </row>
    <row r="264">
      <c r="A264" s="5812" t="s">
        <v>6030</v>
      </c>
      <c r="B264" s="5812">
        <v>46226</v>
      </c>
      <c r="C264" s="5812" t="str">
        <v>Thursday</v>
      </c>
      <c r="D264" s="5813" t="s">
        <v>6035</v>
      </c>
      <c r="E264" s="5813">
        <f t="shared" si="74"/>
      </c>
      <c r="F264" s="5986" t="s">
        <v>6036</v>
      </c>
      <c r="G264" s="5836"/>
      <c r="H264" s="5813"/>
      <c r="I264" s="5813" t="s">
        <v>5795</v>
      </c>
      <c r="J264" s="5813"/>
      <c r="K264" s="5801"/>
      <c r="L264" s="5801"/>
      <c r="M264" s="5801"/>
      <c r="N264" s="5801"/>
      <c r="O264" s="5801"/>
      <c r="P264" s="5801"/>
      <c r="Q264" s="5801"/>
      <c r="R264" s="5801"/>
      <c r="S264" s="5801"/>
      <c r="T264" s="5801"/>
      <c r="U264" s="5802"/>
      <c r="V264" s="5803"/>
      <c r="W264" s="5803"/>
      <c r="X264" s="5803"/>
      <c r="Y264" s="5803"/>
    </row>
    <row r="265">
      <c r="A265" s="5812" t="s">
        <v>6030</v>
      </c>
      <c r="B265" s="5812">
        <v>46226</v>
      </c>
      <c r="C265" s="5812" t="str">
        <v>Thursday</v>
      </c>
      <c r="D265" s="5813" t="s">
        <v>6031</v>
      </c>
      <c r="E265" s="5813">
        <f t="shared" si="74"/>
      </c>
      <c r="F265" s="5986" t="s">
        <v>6015</v>
      </c>
      <c r="G265" s="5836"/>
      <c r="H265" s="5813"/>
      <c r="I265" s="5813" t="s">
        <v>5795</v>
      </c>
      <c r="J265" s="5813"/>
      <c r="K265" s="5801"/>
      <c r="L265" s="5801"/>
      <c r="M265" s="5801"/>
      <c r="N265" s="5801"/>
      <c r="O265" s="5801"/>
      <c r="P265" s="5801"/>
      <c r="Q265" s="5801"/>
      <c r="R265" s="5801"/>
      <c r="S265" s="5801"/>
      <c r="T265" s="5801"/>
      <c r="U265" s="5802"/>
      <c r="V265" s="5803"/>
      <c r="W265" s="5803"/>
      <c r="X265" s="5803"/>
      <c r="Y265" s="5803"/>
    </row>
    <row r="266">
      <c r="A266" s="5812" t="s">
        <v>6030</v>
      </c>
      <c r="B266" s="5812">
        <v>46226</v>
      </c>
      <c r="C266" s="5812" t="str">
        <v>Thursday</v>
      </c>
      <c r="D266" s="5813" t="s">
        <v>6033</v>
      </c>
      <c r="E266" s="5813">
        <f t="shared" si="74"/>
      </c>
      <c r="F266" s="5986" t="s">
        <v>5876</v>
      </c>
      <c r="G266" s="5836"/>
      <c r="H266" s="5813"/>
      <c r="I266" s="5813" t="s">
        <v>5795</v>
      </c>
      <c r="J266" s="5813"/>
      <c r="K266" s="5801"/>
      <c r="L266" s="5801"/>
      <c r="M266" s="5801"/>
      <c r="N266" s="5801"/>
      <c r="O266" s="5801"/>
      <c r="P266" s="5801"/>
      <c r="Q266" s="5801"/>
      <c r="R266" s="5801"/>
      <c r="S266" s="5801"/>
      <c r="T266" s="5801"/>
      <c r="U266" s="5802"/>
      <c r="V266" s="5803"/>
      <c r="W266" s="5803"/>
      <c r="X266" s="5803"/>
      <c r="Y266" s="5803"/>
    </row>
    <row r="267">
      <c r="A267" s="5812" t="s">
        <v>6030</v>
      </c>
      <c r="B267" s="5812">
        <v>46227</v>
      </c>
      <c r="C267" s="5812" t="str">
        <v>Friday</v>
      </c>
      <c r="D267" s="5813" t="s">
        <v>6037</v>
      </c>
      <c r="E267" s="5813">
        <f t="shared" si="74"/>
      </c>
      <c r="F267" s="5986" t="s">
        <v>5812</v>
      </c>
      <c r="G267" s="5836"/>
      <c r="H267" s="5813"/>
      <c r="I267" s="5813" t="s">
        <v>5795</v>
      </c>
      <c r="J267" s="5813"/>
      <c r="K267" s="5801"/>
      <c r="L267" s="5801"/>
      <c r="M267" s="5801"/>
      <c r="N267" s="5801"/>
      <c r="O267" s="5801"/>
      <c r="P267" s="5801"/>
      <c r="Q267" s="5801"/>
      <c r="R267" s="5801"/>
      <c r="S267" s="5801"/>
      <c r="T267" s="5801"/>
      <c r="U267" s="5802"/>
      <c r="V267" s="5803"/>
      <c r="W267" s="5803"/>
      <c r="X267" s="5803"/>
      <c r="Y267" s="5803"/>
    </row>
    <row r="268">
      <c r="A268" s="5812" t="s">
        <v>6030</v>
      </c>
      <c r="B268" s="5812">
        <v>46227</v>
      </c>
      <c r="C268" s="5812" t="str">
        <v>Friday</v>
      </c>
      <c r="D268" s="5813" t="s">
        <v>6038</v>
      </c>
      <c r="E268" s="5813">
        <f t="shared" si="74"/>
      </c>
      <c r="F268" s="5986" t="s">
        <v>5876</v>
      </c>
      <c r="G268" s="5836"/>
      <c r="H268" s="5813"/>
      <c r="I268" s="5813" t="s">
        <v>5795</v>
      </c>
      <c r="J268" s="5813"/>
      <c r="K268" s="5801"/>
      <c r="L268" s="5801"/>
      <c r="M268" s="5801"/>
      <c r="N268" s="5801"/>
      <c r="O268" s="5801"/>
      <c r="P268" s="5801"/>
      <c r="Q268" s="5801"/>
      <c r="R268" s="5801"/>
      <c r="S268" s="5801"/>
      <c r="T268" s="5801"/>
      <c r="U268" s="5802"/>
      <c r="V268" s="5803"/>
      <c r="W268" s="5803"/>
      <c r="X268" s="5803"/>
      <c r="Y268" s="5803"/>
    </row>
    <row r="269">
      <c r="A269" s="5812" t="s">
        <v>6030</v>
      </c>
      <c r="B269" s="5812">
        <v>46228</v>
      </c>
      <c r="C269" s="5812" t="str">
        <v>Saturday</v>
      </c>
      <c r="D269" s="5813" t="s">
        <v>5842</v>
      </c>
      <c r="E269" s="5813">
        <f t="shared" si="74"/>
      </c>
      <c r="F269" s="5986" t="s">
        <v>6015</v>
      </c>
      <c r="G269" s="5836"/>
      <c r="H269" s="5813"/>
      <c r="I269" s="5813" t="s">
        <v>5795</v>
      </c>
      <c r="J269" s="5813"/>
      <c r="K269" s="5801"/>
      <c r="L269" s="5801"/>
      <c r="M269" s="5801"/>
      <c r="N269" s="5801"/>
      <c r="O269" s="5801"/>
      <c r="P269" s="5801"/>
      <c r="Q269" s="5801"/>
      <c r="R269" s="5801"/>
      <c r="S269" s="5801"/>
      <c r="T269" s="5801"/>
      <c r="U269" s="5802"/>
      <c r="V269" s="5803"/>
      <c r="W269" s="5803"/>
      <c r="X269" s="5803"/>
      <c r="Y269" s="5803"/>
    </row>
    <row r="270">
      <c r="A270" s="5812" t="s">
        <v>6030</v>
      </c>
      <c r="B270" s="5812">
        <v>46228</v>
      </c>
      <c r="C270" s="5812" t="str">
        <v>Saturday</v>
      </c>
      <c r="D270" s="5813" t="s">
        <v>6027</v>
      </c>
      <c r="E270" s="5813">
        <f t="shared" si="74"/>
      </c>
      <c r="F270" s="5986" t="s">
        <v>6001</v>
      </c>
      <c r="G270" s="5836"/>
      <c r="H270" s="5813"/>
      <c r="I270" s="5813" t="s">
        <v>5795</v>
      </c>
      <c r="J270" s="5813"/>
      <c r="K270" s="5801"/>
      <c r="L270" s="5801"/>
      <c r="M270" s="5801"/>
      <c r="N270" s="5801"/>
      <c r="O270" s="5801"/>
      <c r="P270" s="5801"/>
      <c r="Q270" s="5801"/>
      <c r="R270" s="5801"/>
      <c r="S270" s="5801"/>
      <c r="T270" s="5801"/>
      <c r="U270" s="5802"/>
      <c r="V270" s="5803"/>
      <c r="W270" s="5803"/>
      <c r="X270" s="5803"/>
      <c r="Y270" s="5803"/>
    </row>
    <row r="271">
      <c r="A271" s="5812" t="s">
        <v>6030</v>
      </c>
      <c r="B271" s="5812">
        <v>46229</v>
      </c>
      <c r="C271" s="5812" t="str">
        <v>Sunday</v>
      </c>
      <c r="D271" s="5813" t="s">
        <v>5926</v>
      </c>
      <c r="E271" s="5813">
        <f t="shared" si="74"/>
      </c>
      <c r="F271" s="5986" t="s">
        <v>6015</v>
      </c>
      <c r="G271" s="5836"/>
      <c r="H271" s="5813"/>
      <c r="I271" s="5813" t="s">
        <v>5795</v>
      </c>
      <c r="J271" s="5813"/>
      <c r="K271" s="5801"/>
      <c r="L271" s="5801"/>
      <c r="M271" s="5801"/>
      <c r="N271" s="5801"/>
      <c r="O271" s="5801"/>
      <c r="P271" s="5801"/>
      <c r="Q271" s="5801"/>
      <c r="R271" s="5801"/>
      <c r="S271" s="5801"/>
      <c r="T271" s="5801"/>
      <c r="U271" s="5802"/>
      <c r="V271" s="5803"/>
      <c r="W271" s="5803"/>
      <c r="X271" s="5803"/>
      <c r="Y271" s="5803"/>
    </row>
    <row r="272">
      <c r="A272" s="5812" t="s">
        <v>6030</v>
      </c>
      <c r="B272" s="5812">
        <v>46229</v>
      </c>
      <c r="C272" s="5812" t="str">
        <v>Sunday</v>
      </c>
      <c r="D272" s="5947" t="s">
        <v>5837</v>
      </c>
      <c r="E272" s="5977">
        <v>2</v>
      </c>
      <c r="F272" s="5986" t="s">
        <v>6001</v>
      </c>
      <c r="G272" s="5948"/>
      <c r="H272" s="5947"/>
      <c r="I272" s="5947" t="s">
        <v>5795</v>
      </c>
      <c r="J272" s="5947"/>
      <c r="K272" s="5801"/>
      <c r="L272" s="5801"/>
      <c r="M272" s="5801"/>
      <c r="N272" s="5801"/>
      <c r="O272" s="5801"/>
      <c r="P272" s="5801"/>
      <c r="Q272" s="5801"/>
      <c r="R272" s="5801"/>
      <c r="S272" s="5801"/>
      <c r="T272" s="5801"/>
      <c r="U272" s="5802"/>
      <c r="V272" s="5803"/>
      <c r="W272" s="5803"/>
      <c r="X272" s="5803"/>
      <c r="Y272" s="5803"/>
    </row>
    <row r="273">
      <c r="A273" s="5991" t="s">
        <v>5782</v>
      </c>
      <c r="B273" s="5992" t="s">
        <v>5783</v>
      </c>
      <c r="C273" s="5992"/>
      <c r="D273" s="5993" t="s">
        <v>5784</v>
      </c>
      <c r="E273" s="5993" t="s">
        <v>5785</v>
      </c>
      <c r="F273" s="5993" t="s">
        <v>5786</v>
      </c>
      <c r="G273" s="5994" t="s">
        <v>5809</v>
      </c>
      <c r="H273" s="5993" t="s">
        <v>5788</v>
      </c>
      <c r="I273" s="5993" t="s">
        <v>5789</v>
      </c>
      <c r="J273" s="5993" t="s">
        <v>5790</v>
      </c>
      <c r="K273" s="5801"/>
      <c r="L273" s="5801"/>
      <c r="M273" s="5801"/>
      <c r="N273" s="5801"/>
      <c r="O273" s="5801"/>
      <c r="P273" s="5801"/>
      <c r="Q273" s="5801"/>
      <c r="R273" s="5801"/>
      <c r="S273" s="5801"/>
      <c r="T273" s="5801"/>
      <c r="U273" s="5802"/>
      <c r="V273" s="5803"/>
      <c r="W273" s="5803"/>
      <c r="X273" s="5803"/>
      <c r="Y273" s="5803"/>
    </row>
    <row r="274">
      <c r="A274" s="5812"/>
      <c r="B274" s="5812"/>
      <c r="C274" s="5812"/>
      <c r="D274" s="5813"/>
      <c r="E274" s="5813"/>
      <c r="F274" s="5995"/>
      <c r="G274" s="5836"/>
      <c r="H274" s="5813"/>
      <c r="I274" s="5813"/>
      <c r="J274" s="5813"/>
      <c r="K274" s="5801"/>
      <c r="L274" s="5801"/>
      <c r="M274" s="5801"/>
      <c r="N274" s="5801"/>
      <c r="O274" s="5801"/>
      <c r="P274" s="5801"/>
      <c r="Q274" s="5801"/>
      <c r="R274" s="5801"/>
      <c r="S274" s="5801"/>
      <c r="T274" s="5801"/>
      <c r="U274" s="5802"/>
      <c r="V274" s="5803"/>
      <c r="W274" s="5803"/>
      <c r="X274" s="5803"/>
      <c r="Y274" s="5803"/>
    </row>
    <row r="275">
      <c r="A275" s="5803"/>
      <c r="B275" s="5803"/>
      <c r="C275" s="5803"/>
      <c r="D275" s="5803"/>
      <c r="E275" s="5803"/>
      <c r="F275" s="5803"/>
      <c r="G275" s="5803"/>
      <c r="H275" s="5803"/>
      <c r="I275" s="5803"/>
      <c r="J275" s="5803"/>
      <c r="K275" s="5802"/>
      <c r="L275" s="5802"/>
      <c r="M275" s="5802"/>
      <c r="N275" s="5802"/>
      <c r="O275" s="5802"/>
      <c r="P275" s="5802"/>
      <c r="Q275" s="5802"/>
      <c r="R275" s="5802"/>
      <c r="S275" s="5802"/>
      <c r="T275" s="5802"/>
      <c r="U275" s="5802"/>
      <c r="V275" s="5802"/>
      <c r="W275" s="5802"/>
      <c r="X275" s="5802"/>
      <c r="Y275" s="5802"/>
    </row>
    <row r="276">
      <c r="A276" s="5996" t="s">
        <v>6039</v>
      </c>
      <c r="B276" s="5996"/>
      <c r="C276" s="5996"/>
      <c r="D276" s="5996"/>
      <c r="E276" s="5996"/>
      <c r="F276" s="5996"/>
      <c r="G276" s="5996"/>
      <c r="H276" s="5996"/>
      <c r="I276" s="5996"/>
      <c r="J276" s="5996"/>
      <c r="K276" s="5801"/>
      <c r="L276" s="5801"/>
      <c r="M276" s="5801"/>
      <c r="N276" s="5801"/>
      <c r="O276" s="5801"/>
      <c r="P276" s="5801"/>
      <c r="Q276" s="5801"/>
      <c r="R276" s="5801"/>
      <c r="S276" s="5801"/>
      <c r="T276" s="5801"/>
      <c r="U276" s="5802"/>
      <c r="V276" s="5802"/>
      <c r="W276" s="5802"/>
      <c r="X276" s="5802"/>
      <c r="Y276" s="5802"/>
    </row>
    <row r="277">
      <c r="A277" s="5997" t="s">
        <v>5782</v>
      </c>
      <c r="B277" s="5969" t="s">
        <v>5783</v>
      </c>
      <c r="C277" s="5969"/>
      <c r="D277" s="5974" t="s">
        <v>5784</v>
      </c>
      <c r="E277" s="5974" t="s">
        <v>5785</v>
      </c>
      <c r="F277" s="5974" t="s">
        <v>5786</v>
      </c>
      <c r="G277" s="5998" t="s">
        <v>5809</v>
      </c>
      <c r="H277" s="5974" t="s">
        <v>5788</v>
      </c>
      <c r="I277" s="5974" t="s">
        <v>5789</v>
      </c>
      <c r="J277" s="5974" t="s">
        <v>5790</v>
      </c>
      <c r="K277" s="5801"/>
      <c r="L277" s="5801"/>
      <c r="M277" s="5801"/>
      <c r="N277" s="5801"/>
      <c r="O277" s="5801"/>
      <c r="P277" s="5801"/>
      <c r="Q277" s="5801"/>
      <c r="R277" s="5801"/>
      <c r="S277" s="5801"/>
      <c r="T277" s="5801"/>
      <c r="U277" s="5802"/>
      <c r="V277" s="5802"/>
      <c r="W277" s="5802"/>
      <c r="X277" s="5802"/>
      <c r="Y277" s="5802"/>
    </row>
    <row r="278">
      <c r="A278" s="5812" t="s">
        <v>6039</v>
      </c>
      <c r="B278" s="5812">
        <v>46225</v>
      </c>
      <c r="C278" s="5812" t="str">
        <v>Wednesday</v>
      </c>
      <c r="D278" s="5813" t="s">
        <v>5926</v>
      </c>
      <c r="E278" s="5813">
        <v>3</v>
      </c>
      <c r="F278" s="5986" t="s">
        <v>5831</v>
      </c>
      <c r="G278" s="5836" t="s">
        <v>6008</v>
      </c>
      <c r="H278" s="5813"/>
      <c r="I278" s="5813" t="s">
        <v>5795</v>
      </c>
      <c r="J278" s="5813"/>
      <c r="K278" s="5801"/>
      <c r="L278" s="5801"/>
      <c r="M278" s="5801"/>
      <c r="N278" s="5801"/>
      <c r="O278" s="5801"/>
      <c r="P278" s="5801"/>
      <c r="Q278" s="5801"/>
      <c r="R278" s="5801"/>
      <c r="S278" s="5801"/>
      <c r="T278" s="5801"/>
      <c r="U278" s="5802"/>
      <c r="V278" s="5802"/>
      <c r="W278" s="5802"/>
      <c r="X278" s="5802"/>
      <c r="Y278" s="5802"/>
    </row>
    <row r="279">
      <c r="A279" s="5812" t="s">
        <v>6039</v>
      </c>
      <c r="B279" s="5812">
        <v>46226</v>
      </c>
      <c r="C279" s="5812" t="str">
        <v>Thursday</v>
      </c>
      <c r="D279" s="5853" t="s">
        <v>5820</v>
      </c>
      <c r="E279" s="5853">
        <v>2</v>
      </c>
      <c r="F279" s="5986" t="s">
        <v>5831</v>
      </c>
      <c r="G279" s="5836" t="s">
        <v>6008</v>
      </c>
      <c r="H279" s="5813"/>
      <c r="I279" s="5813" t="s">
        <v>5795</v>
      </c>
      <c r="J279" s="5813"/>
      <c r="K279" s="5801"/>
      <c r="L279" s="5801"/>
      <c r="M279" s="5801"/>
      <c r="N279" s="5801"/>
      <c r="O279" s="5801"/>
      <c r="P279" s="5801"/>
      <c r="Q279" s="5801"/>
      <c r="R279" s="5801"/>
      <c r="S279" s="5801"/>
      <c r="T279" s="5801"/>
      <c r="U279" s="5802"/>
      <c r="V279" s="5802"/>
      <c r="W279" s="5802"/>
      <c r="X279" s="5802"/>
      <c r="Y279" s="5802"/>
    </row>
    <row r="280">
      <c r="A280" s="5812" t="s">
        <v>6039</v>
      </c>
      <c r="B280" s="5812">
        <v>46227</v>
      </c>
      <c r="C280" s="5812" t="str">
        <v>Friday</v>
      </c>
      <c r="D280" s="5813" t="s">
        <v>5842</v>
      </c>
      <c r="E280" s="5813">
        <v>3</v>
      </c>
      <c r="F280" s="5986" t="s">
        <v>5993</v>
      </c>
      <c r="G280" s="5836" t="s">
        <v>6008</v>
      </c>
      <c r="H280" s="5813"/>
      <c r="I280" s="5813" t="s">
        <v>5795</v>
      </c>
      <c r="J280" s="5813"/>
      <c r="K280" s="5801"/>
      <c r="L280" s="5801"/>
      <c r="M280" s="5801"/>
      <c r="N280" s="5801"/>
      <c r="O280" s="5801"/>
      <c r="P280" s="5801"/>
      <c r="Q280" s="5801"/>
      <c r="R280" s="5801"/>
      <c r="S280" s="5801"/>
      <c r="T280" s="5801"/>
      <c r="U280" s="5802"/>
      <c r="V280" s="5802"/>
      <c r="W280" s="5802"/>
      <c r="X280" s="5802"/>
      <c r="Y280" s="5802"/>
    </row>
    <row r="281">
      <c r="A281" s="5812" t="s">
        <v>6039</v>
      </c>
      <c r="B281" s="5812">
        <v>46228</v>
      </c>
      <c r="C281" s="5812" t="str">
        <v>Saturday</v>
      </c>
      <c r="D281" s="5813" t="s">
        <v>6040</v>
      </c>
      <c r="E281" s="5813">
        <v>2</v>
      </c>
      <c r="F281" s="5986" t="s">
        <v>5993</v>
      </c>
      <c r="G281" s="5836" t="s">
        <v>6008</v>
      </c>
      <c r="H281" s="5813"/>
      <c r="I281" s="5813" t="s">
        <v>5795</v>
      </c>
      <c r="J281" s="5813"/>
      <c r="K281" s="5801"/>
      <c r="L281" s="5801"/>
      <c r="M281" s="5801"/>
      <c r="N281" s="5801"/>
      <c r="O281" s="5801"/>
      <c r="P281" s="5801"/>
      <c r="Q281" s="5801"/>
      <c r="R281" s="5801"/>
      <c r="S281" s="5801"/>
      <c r="T281" s="5801"/>
      <c r="U281" s="5802"/>
      <c r="V281" s="5802"/>
      <c r="W281" s="5802"/>
      <c r="X281" s="5802"/>
      <c r="Y281" s="5802"/>
    </row>
    <row r="282">
      <c r="A282" s="5812" t="s">
        <v>6039</v>
      </c>
      <c r="B282" s="5812">
        <v>46229</v>
      </c>
      <c r="C282" s="5812" t="str">
        <v>Sunday</v>
      </c>
      <c r="D282" s="5813" t="s">
        <v>6041</v>
      </c>
      <c r="E282" s="5813">
        <v>2</v>
      </c>
      <c r="F282" s="5986" t="s">
        <v>5993</v>
      </c>
      <c r="G282" s="5836" t="s">
        <v>6008</v>
      </c>
      <c r="H282" s="5813"/>
      <c r="I282" s="5813" t="s">
        <v>5795</v>
      </c>
      <c r="J282" s="5813"/>
      <c r="K282" s="5801"/>
      <c r="L282" s="5801"/>
      <c r="M282" s="5801"/>
      <c r="N282" s="5801"/>
      <c r="O282" s="5801"/>
      <c r="P282" s="5801"/>
      <c r="Q282" s="5801"/>
      <c r="R282" s="5801"/>
      <c r="S282" s="5801"/>
      <c r="T282" s="5801"/>
      <c r="U282" s="5802"/>
      <c r="V282" s="5802"/>
      <c r="W282" s="5802"/>
      <c r="X282" s="5802"/>
      <c r="Y282" s="5802"/>
    </row>
    <row r="283">
      <c r="A283" s="5812" t="s">
        <v>6042</v>
      </c>
      <c r="B283" s="5812">
        <v>46224</v>
      </c>
      <c r="C283" s="5812" t="str">
        <v>Tuesday</v>
      </c>
      <c r="D283" s="5813" t="s">
        <v>6043</v>
      </c>
      <c r="E283" s="5813">
        <v>8</v>
      </c>
      <c r="F283" s="5986" t="s">
        <v>6008</v>
      </c>
      <c r="G283" s="5836"/>
      <c r="H283" s="5813"/>
      <c r="I283" s="5813" t="s">
        <v>5795</v>
      </c>
      <c r="J283" s="5813"/>
      <c r="K283" s="5801"/>
      <c r="L283" s="5801"/>
      <c r="M283" s="5801"/>
      <c r="N283" s="5801"/>
      <c r="O283" s="5801"/>
      <c r="P283" s="5801"/>
      <c r="Q283" s="5801"/>
      <c r="R283" s="5801"/>
      <c r="S283" s="5801"/>
      <c r="T283" s="5801"/>
      <c r="U283" s="5802"/>
      <c r="V283" s="5802"/>
      <c r="W283" s="5802"/>
      <c r="X283" s="5802"/>
      <c r="Y283" s="5802"/>
    </row>
    <row r="284">
      <c r="A284" s="5812" t="s">
        <v>6044</v>
      </c>
      <c r="B284" s="5812">
        <v>46225</v>
      </c>
      <c r="C284" s="5812" t="str">
        <v>Wednesday</v>
      </c>
      <c r="D284" s="5813" t="s">
        <v>5926</v>
      </c>
      <c r="E284" s="5813">
        <v>3</v>
      </c>
      <c r="F284" s="5986" t="s">
        <v>6008</v>
      </c>
      <c r="G284" s="5836"/>
      <c r="H284" s="5813"/>
      <c r="I284" s="5813" t="s">
        <v>5795</v>
      </c>
      <c r="J284" s="5813"/>
      <c r="K284" s="5801"/>
      <c r="L284" s="5801"/>
      <c r="M284" s="5801"/>
      <c r="N284" s="5801"/>
      <c r="O284" s="5801"/>
      <c r="P284" s="5801"/>
      <c r="Q284" s="5801"/>
      <c r="R284" s="5801"/>
      <c r="S284" s="5801"/>
      <c r="T284" s="5801"/>
      <c r="U284" s="5802"/>
      <c r="V284" s="5802"/>
      <c r="W284" s="5802"/>
      <c r="X284" s="5802"/>
      <c r="Y284" s="5802"/>
    </row>
    <row r="285">
      <c r="A285" s="5812" t="s">
        <v>6044</v>
      </c>
      <c r="B285" s="5812">
        <v>46226</v>
      </c>
      <c r="C285" s="5812" t="str">
        <v>Thursday</v>
      </c>
      <c r="D285" s="5813" t="s">
        <v>6045</v>
      </c>
      <c r="E285" s="5813">
        <v>10</v>
      </c>
      <c r="F285" s="5986" t="s">
        <v>6008</v>
      </c>
      <c r="G285" s="5836"/>
      <c r="H285" s="5813"/>
      <c r="I285" s="5813" t="s">
        <v>5795</v>
      </c>
      <c r="J285" s="5813"/>
      <c r="K285" s="5801"/>
      <c r="L285" s="5801"/>
      <c r="M285" s="5801"/>
      <c r="N285" s="5801"/>
      <c r="O285" s="5801"/>
      <c r="P285" s="5801"/>
      <c r="Q285" s="5801"/>
      <c r="R285" s="5801"/>
      <c r="S285" s="5801"/>
      <c r="T285" s="5801"/>
      <c r="U285" s="5802"/>
      <c r="V285" s="5802"/>
      <c r="W285" s="5802"/>
      <c r="X285" s="5802"/>
      <c r="Y285" s="5802"/>
    </row>
    <row r="286">
      <c r="A286" s="5812" t="s">
        <v>6044</v>
      </c>
      <c r="B286" s="5812">
        <v>46227</v>
      </c>
      <c r="C286" s="5812" t="str">
        <v>Friday</v>
      </c>
      <c r="D286" s="5813" t="s">
        <v>5866</v>
      </c>
      <c r="E286" s="5813">
        <v>5</v>
      </c>
      <c r="F286" s="5986" t="s">
        <v>6008</v>
      </c>
      <c r="G286" s="5836"/>
      <c r="H286" s="5813"/>
      <c r="I286" s="5813" t="s">
        <v>5795</v>
      </c>
      <c r="J286" s="5813"/>
      <c r="K286" s="5801"/>
      <c r="L286" s="5801"/>
      <c r="M286" s="5801"/>
      <c r="N286" s="5801"/>
      <c r="O286" s="5801"/>
      <c r="P286" s="5801"/>
      <c r="Q286" s="5801"/>
      <c r="R286" s="5801"/>
      <c r="S286" s="5801"/>
      <c r="T286" s="5801"/>
      <c r="U286" s="5802"/>
      <c r="V286" s="5802"/>
      <c r="W286" s="5802"/>
      <c r="X286" s="5802"/>
      <c r="Y286" s="5802"/>
    </row>
    <row r="287">
      <c r="A287" s="5812" t="s">
        <v>6044</v>
      </c>
      <c r="B287" s="5812">
        <v>46228</v>
      </c>
      <c r="C287" s="5812" t="str">
        <v>Saturday</v>
      </c>
      <c r="D287" s="5813" t="s">
        <v>6046</v>
      </c>
      <c r="E287" s="5813">
        <v>6.5</v>
      </c>
      <c r="F287" s="5986" t="s">
        <v>6008</v>
      </c>
      <c r="G287" s="5836"/>
      <c r="H287" s="5813"/>
      <c r="I287" s="5813" t="s">
        <v>5795</v>
      </c>
      <c r="J287" s="5813"/>
      <c r="K287" s="5801"/>
      <c r="L287" s="5801"/>
      <c r="M287" s="5801"/>
      <c r="N287" s="5801"/>
      <c r="O287" s="5801"/>
      <c r="P287" s="5801"/>
      <c r="Q287" s="5801"/>
      <c r="R287" s="5801"/>
      <c r="S287" s="5801"/>
      <c r="T287" s="5801"/>
      <c r="U287" s="5802"/>
      <c r="V287" s="5802"/>
      <c r="W287" s="5802"/>
      <c r="X287" s="5802"/>
      <c r="Y287" s="5802"/>
    </row>
    <row r="288">
      <c r="A288" s="5812" t="s">
        <v>6044</v>
      </c>
      <c r="B288" s="5812">
        <v>46229</v>
      </c>
      <c r="C288" s="5812" t="str">
        <v>Sunday</v>
      </c>
      <c r="D288" s="5853" t="s">
        <v>6047</v>
      </c>
      <c r="E288" s="5853">
        <v>4</v>
      </c>
      <c r="F288" s="5986" t="s">
        <v>6008</v>
      </c>
      <c r="G288" s="5836"/>
      <c r="H288" s="5813"/>
      <c r="I288" s="5813" t="s">
        <v>5795</v>
      </c>
      <c r="J288" s="5813"/>
      <c r="K288" s="5801"/>
      <c r="L288" s="5801"/>
      <c r="M288" s="5801"/>
      <c r="N288" s="5801"/>
      <c r="O288" s="5801"/>
      <c r="P288" s="5801"/>
      <c r="Q288" s="5801"/>
      <c r="R288" s="5801"/>
      <c r="S288" s="5801"/>
      <c r="T288" s="5801"/>
      <c r="U288" s="5802"/>
      <c r="V288" s="5802"/>
      <c r="W288" s="5802"/>
      <c r="X288" s="5802"/>
      <c r="Y288" s="5802"/>
    </row>
    <row r="289">
      <c r="A289" s="5803"/>
      <c r="B289" s="5803"/>
      <c r="C289" s="5803"/>
      <c r="D289" s="5803"/>
      <c r="E289" s="5803"/>
      <c r="F289" s="5803"/>
      <c r="G289" s="5803"/>
      <c r="H289" s="5803"/>
      <c r="I289" s="5803"/>
      <c r="J289" s="5803"/>
      <c r="K289" s="5802"/>
      <c r="L289" s="5802"/>
      <c r="M289" s="5802"/>
      <c r="N289" s="5802"/>
      <c r="O289" s="5802"/>
      <c r="P289" s="5802"/>
      <c r="Q289" s="5802"/>
      <c r="R289" s="5802"/>
      <c r="S289" s="5802"/>
      <c r="T289" s="5802"/>
      <c r="U289" s="5802"/>
      <c r="V289" s="5802"/>
      <c r="W289" s="5802"/>
      <c r="X289" s="5802"/>
      <c r="Y289" s="5802"/>
    </row>
    <row r="290">
      <c r="A290" s="5999" t="s">
        <v>6048</v>
      </c>
      <c r="B290" s="5999"/>
      <c r="C290" s="5999"/>
      <c r="D290" s="5999"/>
      <c r="E290" s="5999"/>
      <c r="F290" s="5999"/>
      <c r="G290" s="5999"/>
      <c r="H290" s="5999"/>
      <c r="I290" s="5999"/>
      <c r="J290" s="5999"/>
      <c r="K290" s="5801"/>
      <c r="L290" s="5801"/>
      <c r="M290" s="5801"/>
      <c r="N290" s="5801"/>
      <c r="O290" s="5801"/>
      <c r="P290" s="5801"/>
      <c r="Q290" s="5801"/>
      <c r="R290" s="5801"/>
      <c r="S290" s="5801"/>
      <c r="T290" s="5801"/>
      <c r="U290" s="5802"/>
      <c r="V290" s="5802"/>
      <c r="W290" s="5802"/>
      <c r="X290" s="5802"/>
      <c r="Y290" s="5802"/>
    </row>
    <row r="291">
      <c r="A291" s="6000" t="s">
        <v>5782</v>
      </c>
      <c r="B291" s="6001" t="s">
        <v>5783</v>
      </c>
      <c r="C291" s="6001"/>
      <c r="D291" s="6002" t="s">
        <v>5784</v>
      </c>
      <c r="E291" s="6002" t="s">
        <v>5785</v>
      </c>
      <c r="F291" s="6002" t="s">
        <v>5786</v>
      </c>
      <c r="G291" s="6003" t="s">
        <v>5809</v>
      </c>
      <c r="H291" s="6002" t="s">
        <v>5788</v>
      </c>
      <c r="I291" s="6002" t="s">
        <v>5789</v>
      </c>
      <c r="J291" s="6002" t="s">
        <v>5790</v>
      </c>
      <c r="K291" s="5801"/>
      <c r="L291" s="5801"/>
      <c r="M291" s="5801"/>
      <c r="N291" s="5801"/>
      <c r="O291" s="5801"/>
      <c r="P291" s="5801"/>
      <c r="Q291" s="5801"/>
      <c r="R291" s="5801"/>
      <c r="S291" s="5801"/>
      <c r="T291" s="5801"/>
      <c r="U291" s="5802"/>
      <c r="V291" s="5802"/>
      <c r="W291" s="5802"/>
      <c r="X291" s="5802"/>
      <c r="Y291" s="5802"/>
    </row>
    <row r="292">
      <c r="A292" s="5812" t="s">
        <v>6049</v>
      </c>
      <c r="B292" s="5812">
        <v>46224</v>
      </c>
      <c r="C292" s="5812" t="str">
        <v>Tuesday</v>
      </c>
      <c r="D292" s="5813" t="s">
        <v>5841</v>
      </c>
      <c r="E292" s="5813">
        <v>3</v>
      </c>
      <c r="F292" s="5995" t="s">
        <v>5916</v>
      </c>
      <c r="G292" s="5836"/>
      <c r="H292" s="5813"/>
      <c r="I292" s="5813" t="s">
        <v>5795</v>
      </c>
      <c r="J292" s="5813"/>
      <c r="K292" s="5801"/>
      <c r="L292" s="5801"/>
      <c r="M292" s="5801"/>
      <c r="N292" s="5801"/>
      <c r="O292" s="5801"/>
      <c r="P292" s="5801"/>
      <c r="Q292" s="5801"/>
      <c r="R292" s="5801"/>
      <c r="S292" s="5801"/>
      <c r="T292" s="5801"/>
      <c r="U292" s="5802"/>
      <c r="V292" s="5802"/>
      <c r="W292" s="5802"/>
      <c r="X292" s="5802"/>
      <c r="Y292" s="5802"/>
    </row>
    <row r="293">
      <c r="A293" s="5812" t="s">
        <v>6049</v>
      </c>
      <c r="B293" s="5812">
        <v>46224</v>
      </c>
      <c r="C293" s="5812" t="str">
        <v>Tuesday</v>
      </c>
      <c r="D293" s="5813" t="s">
        <v>5841</v>
      </c>
      <c r="E293" s="5813">
        <v>3</v>
      </c>
      <c r="F293" s="5995" t="s">
        <v>6050</v>
      </c>
      <c r="G293" s="5836"/>
      <c r="H293" s="5813"/>
      <c r="I293" s="5813" t="s">
        <v>5795</v>
      </c>
      <c r="J293" s="5813"/>
      <c r="K293" s="5801"/>
      <c r="L293" s="5801"/>
      <c r="M293" s="5801"/>
      <c r="N293" s="5801"/>
      <c r="O293" s="5801"/>
      <c r="P293" s="5801"/>
      <c r="Q293" s="5801"/>
      <c r="R293" s="5801"/>
      <c r="S293" s="5801"/>
      <c r="T293" s="5801"/>
      <c r="U293" s="5802"/>
      <c r="V293" s="5802"/>
      <c r="W293" s="5802"/>
      <c r="X293" s="5802"/>
      <c r="Y293" s="5802"/>
    </row>
    <row r="294">
      <c r="A294" s="5812" t="s">
        <v>6049</v>
      </c>
      <c r="B294" s="5812">
        <v>46224</v>
      </c>
      <c r="C294" s="5812" t="str">
        <v>Tuesday</v>
      </c>
      <c r="D294" s="5813" t="s">
        <v>5864</v>
      </c>
      <c r="E294" s="5813">
        <v>1</v>
      </c>
      <c r="F294" s="5995" t="s">
        <v>5831</v>
      </c>
      <c r="G294" s="5836"/>
      <c r="H294" s="5813"/>
      <c r="I294" s="5813" t="s">
        <v>5795</v>
      </c>
      <c r="J294" s="5813"/>
      <c r="K294" s="5801"/>
      <c r="L294" s="5801"/>
      <c r="M294" s="5801"/>
      <c r="N294" s="5801"/>
      <c r="O294" s="5801"/>
      <c r="P294" s="5801"/>
      <c r="Q294" s="5801"/>
      <c r="R294" s="5801"/>
      <c r="S294" s="5801"/>
      <c r="T294" s="5801"/>
      <c r="U294" s="5802"/>
      <c r="V294" s="5802"/>
      <c r="W294" s="5802"/>
      <c r="X294" s="5802"/>
      <c r="Y294" s="5802"/>
    </row>
    <row r="295">
      <c r="A295" s="5812" t="s">
        <v>6049</v>
      </c>
      <c r="B295" s="5812">
        <v>46226</v>
      </c>
      <c r="C295" s="5812" t="str">
        <v>Thursday</v>
      </c>
      <c r="D295" s="5813" t="s">
        <v>5841</v>
      </c>
      <c r="E295" s="5813">
        <v>3</v>
      </c>
      <c r="F295" s="5995" t="s">
        <v>5893</v>
      </c>
      <c r="G295" s="5836"/>
      <c r="H295" s="5813"/>
      <c r="I295" s="5813" t="s">
        <v>5795</v>
      </c>
      <c r="J295" s="5813"/>
      <c r="K295" s="5801"/>
      <c r="L295" s="5801"/>
      <c r="M295" s="5801"/>
      <c r="N295" s="5801"/>
      <c r="O295" s="5801"/>
      <c r="P295" s="5801"/>
      <c r="Q295" s="5801"/>
      <c r="R295" s="5801"/>
      <c r="S295" s="5801"/>
      <c r="T295" s="5801"/>
      <c r="U295" s="5802"/>
      <c r="V295" s="5802"/>
      <c r="W295" s="5802"/>
      <c r="X295" s="5802"/>
      <c r="Y295" s="5802"/>
    </row>
    <row r="296">
      <c r="A296" s="5812" t="s">
        <v>6049</v>
      </c>
      <c r="B296" s="5812">
        <v>46228</v>
      </c>
      <c r="C296" s="5812" t="str">
        <v>Saturday</v>
      </c>
      <c r="D296" s="5813" t="s">
        <v>6051</v>
      </c>
      <c r="E296" s="5813">
        <v>3</v>
      </c>
      <c r="F296" s="5995" t="s">
        <v>6050</v>
      </c>
      <c r="G296" s="5836"/>
      <c r="H296" s="5813"/>
      <c r="I296" s="5813" t="s">
        <v>5795</v>
      </c>
      <c r="J296" s="5813"/>
      <c r="K296" s="5801"/>
      <c r="L296" s="5801"/>
      <c r="M296" s="5801"/>
      <c r="N296" s="5801"/>
      <c r="O296" s="5801"/>
      <c r="P296" s="5801"/>
      <c r="Q296" s="5801"/>
      <c r="R296" s="5801"/>
      <c r="S296" s="5801"/>
      <c r="T296" s="5801"/>
      <c r="U296" s="5802"/>
      <c r="V296" s="5802"/>
      <c r="W296" s="5802"/>
      <c r="X296" s="5802"/>
      <c r="Y296" s="5802"/>
    </row>
    <row r="297">
      <c r="A297" s="5812" t="s">
        <v>6048</v>
      </c>
      <c r="B297" s="5812">
        <v>46227</v>
      </c>
      <c r="C297" s="5812" t="str">
        <v>Friday</v>
      </c>
      <c r="D297" s="5813" t="s">
        <v>6052</v>
      </c>
      <c r="E297" s="5813">
        <v>3</v>
      </c>
      <c r="F297" s="5995" t="s">
        <v>5831</v>
      </c>
      <c r="G297" s="5836" t="s">
        <v>6053</v>
      </c>
      <c r="H297" s="5813"/>
      <c r="I297" s="5813" t="s">
        <v>5795</v>
      </c>
      <c r="J297" s="5813"/>
      <c r="K297" s="5801"/>
      <c r="L297" s="5801"/>
      <c r="M297" s="5801"/>
      <c r="N297" s="5801"/>
      <c r="O297" s="5801"/>
      <c r="P297" s="5801"/>
      <c r="Q297" s="5801"/>
      <c r="R297" s="5801"/>
      <c r="S297" s="5801"/>
      <c r="T297" s="5801"/>
      <c r="U297" s="5802"/>
      <c r="V297" s="5802"/>
      <c r="W297" s="5802"/>
      <c r="X297" s="5802"/>
      <c r="Y297" s="5802"/>
    </row>
    <row customHeight="true" ht="18.452380952380953" r="298">
      <c r="A298" s="5812" t="s">
        <v>6048</v>
      </c>
      <c r="B298" s="5812">
        <v>46227</v>
      </c>
      <c r="C298" s="5812" t="str">
        <v>Friday</v>
      </c>
      <c r="D298" s="5813" t="s">
        <v>6054</v>
      </c>
      <c r="E298" s="5813">
        <v>2</v>
      </c>
      <c r="F298" s="5995" t="s">
        <v>5893</v>
      </c>
      <c r="G298" s="5836" t="s">
        <v>6053</v>
      </c>
      <c r="H298" s="5813"/>
      <c r="I298" s="5813" t="s">
        <v>5795</v>
      </c>
      <c r="J298" s="5813"/>
      <c r="K298" s="5801"/>
      <c r="L298" s="5801"/>
      <c r="M298" s="5801"/>
      <c r="N298" s="5801"/>
      <c r="O298" s="5801"/>
      <c r="P298" s="5801"/>
      <c r="Q298" s="5801"/>
      <c r="R298" s="5801"/>
      <c r="S298" s="5801"/>
      <c r="T298" s="5801"/>
      <c r="U298" s="5802"/>
      <c r="V298" s="5802"/>
      <c r="W298" s="5802"/>
      <c r="X298" s="5802"/>
      <c r="Y298" s="5802"/>
    </row>
    <row customHeight="true" ht="18.452380952380953" r="299">
      <c r="A299" s="5812" t="s">
        <v>6048</v>
      </c>
      <c r="B299" s="5812">
        <v>46228</v>
      </c>
      <c r="C299" s="5812" t="str">
        <v>Saturday</v>
      </c>
      <c r="D299" s="5813" t="s">
        <v>5847</v>
      </c>
      <c r="E299" s="5813">
        <v>3</v>
      </c>
      <c r="F299" s="5995" t="s">
        <v>5893</v>
      </c>
      <c r="G299" s="5836" t="s">
        <v>6053</v>
      </c>
      <c r="H299" s="5813"/>
      <c r="I299" s="5813" t="s">
        <v>5795</v>
      </c>
      <c r="J299" s="5813"/>
      <c r="K299" s="5801"/>
      <c r="L299" s="5801"/>
      <c r="M299" s="5801"/>
      <c r="N299" s="5801"/>
      <c r="O299" s="5801"/>
      <c r="P299" s="5801"/>
      <c r="Q299" s="5801"/>
      <c r="R299" s="5801"/>
      <c r="S299" s="5801"/>
      <c r="T299" s="5801"/>
      <c r="U299" s="5802"/>
      <c r="V299" s="5802"/>
      <c r="W299" s="5802"/>
      <c r="X299" s="5802"/>
      <c r="Y299" s="5802"/>
    </row>
    <row customHeight="true" ht="18.452380952380953" r="300">
      <c r="A300" s="5812" t="s">
        <v>6048</v>
      </c>
      <c r="B300" s="5812">
        <v>46229</v>
      </c>
      <c r="C300" s="5812" t="str">
        <v>Sunday</v>
      </c>
      <c r="D300" s="5813" t="s">
        <v>5847</v>
      </c>
      <c r="E300" s="5813">
        <v>3</v>
      </c>
      <c r="F300" s="5995" t="s">
        <v>6050</v>
      </c>
      <c r="G300" s="5836" t="s">
        <v>6053</v>
      </c>
      <c r="H300" s="5813"/>
      <c r="I300" s="5813" t="s">
        <v>5795</v>
      </c>
      <c r="J300" s="5813"/>
      <c r="K300" s="5801"/>
      <c r="L300" s="5801"/>
      <c r="M300" s="5801"/>
      <c r="N300" s="5801"/>
      <c r="O300" s="5801"/>
      <c r="P300" s="5801"/>
      <c r="Q300" s="5801"/>
      <c r="R300" s="5801"/>
      <c r="S300" s="5801"/>
      <c r="T300" s="5801"/>
      <c r="U300" s="5802"/>
      <c r="V300" s="5802"/>
      <c r="W300" s="5802"/>
      <c r="X300" s="5802"/>
      <c r="Y300" s="5802"/>
    </row>
    <row customHeight="true" ht="18.452380952380953" r="301">
      <c r="A301" s="5812" t="s">
        <v>6055</v>
      </c>
      <c r="B301" s="5812">
        <v>46227</v>
      </c>
      <c r="C301" s="5812" t="str">
        <v>Friday</v>
      </c>
      <c r="D301" s="5813" t="s">
        <v>6056</v>
      </c>
      <c r="E301" s="5813">
        <v>5.5</v>
      </c>
      <c r="F301" s="5995" t="s">
        <v>6015</v>
      </c>
      <c r="G301" s="5836"/>
      <c r="H301" s="5813"/>
      <c r="I301" s="5813" t="s">
        <v>5795</v>
      </c>
      <c r="J301" s="5813"/>
      <c r="K301" s="5801"/>
      <c r="L301" s="5801"/>
      <c r="M301" s="5801"/>
      <c r="N301" s="5801"/>
      <c r="O301" s="5801"/>
      <c r="P301" s="5801"/>
      <c r="Q301" s="5801"/>
      <c r="R301" s="5801"/>
      <c r="S301" s="5801"/>
      <c r="T301" s="5801"/>
      <c r="U301" s="5802"/>
      <c r="V301" s="5802"/>
      <c r="W301" s="5802"/>
      <c r="X301" s="5802"/>
      <c r="Y301" s="5802"/>
    </row>
    <row r="302">
      <c r="A302" s="5812" t="s">
        <v>6055</v>
      </c>
      <c r="B302" s="5812">
        <v>46228</v>
      </c>
      <c r="C302" s="5812" t="str">
        <v>Saturday</v>
      </c>
      <c r="D302" s="5813" t="s">
        <v>6057</v>
      </c>
      <c r="E302" s="5813">
        <v>4.5</v>
      </c>
      <c r="F302" s="5995" t="s">
        <v>6015</v>
      </c>
      <c r="G302" s="5836"/>
      <c r="H302" s="5813"/>
      <c r="I302" s="5813" t="s">
        <v>5795</v>
      </c>
      <c r="J302" s="5813"/>
      <c r="K302" s="5801"/>
      <c r="L302" s="5801"/>
      <c r="M302" s="5801"/>
      <c r="N302" s="5801"/>
      <c r="O302" s="5801"/>
      <c r="P302" s="5801"/>
      <c r="Q302" s="5801"/>
      <c r="R302" s="5801"/>
      <c r="S302" s="5801"/>
      <c r="T302" s="5801"/>
      <c r="U302" s="5802"/>
      <c r="V302" s="5802"/>
      <c r="W302" s="5802"/>
      <c r="X302" s="5802"/>
      <c r="Y302" s="5802"/>
    </row>
    <row r="303">
      <c r="A303" s="5812" t="s">
        <v>6055</v>
      </c>
      <c r="B303" s="5812">
        <v>46229</v>
      </c>
      <c r="C303" s="5812" t="str">
        <v>Sunday</v>
      </c>
      <c r="D303" s="6004" t="s">
        <v>5849</v>
      </c>
      <c r="E303" s="6005">
        <v>4</v>
      </c>
      <c r="F303" s="5995" t="s">
        <v>6015</v>
      </c>
      <c r="G303" s="5948"/>
      <c r="H303" s="5947"/>
      <c r="I303" s="5947" t="s">
        <v>5795</v>
      </c>
      <c r="J303" s="5947"/>
      <c r="K303" s="5801"/>
      <c r="L303" s="5801"/>
      <c r="M303" s="5801"/>
      <c r="N303" s="5801"/>
      <c r="O303" s="5801"/>
      <c r="P303" s="5801"/>
      <c r="Q303" s="5801"/>
      <c r="R303" s="5801"/>
      <c r="S303" s="5801"/>
      <c r="T303" s="5801"/>
      <c r="U303" s="5802"/>
      <c r="V303" s="5802"/>
      <c r="W303" s="5802"/>
      <c r="X303" s="5802"/>
      <c r="Y303" s="5802"/>
    </row>
    <row r="304">
      <c r="A304" s="6006" t="s">
        <v>6058</v>
      </c>
      <c r="B304" s="6006"/>
      <c r="C304" s="6006"/>
      <c r="D304" s="6006"/>
      <c r="E304" s="6006"/>
      <c r="F304" s="6006"/>
      <c r="G304" s="6006"/>
      <c r="H304" s="6006"/>
      <c r="I304" s="6006"/>
      <c r="J304" s="6006"/>
      <c r="K304" s="5801"/>
      <c r="L304" s="5801"/>
      <c r="M304" s="5801"/>
      <c r="N304" s="5801"/>
      <c r="O304" s="5801"/>
      <c r="P304" s="5801"/>
      <c r="Q304" s="5801"/>
      <c r="R304" s="5801"/>
      <c r="S304" s="5801"/>
      <c r="T304" s="5801"/>
      <c r="U304" s="5802"/>
      <c r="V304" s="5803"/>
      <c r="W304" s="5803"/>
      <c r="X304" s="5803"/>
      <c r="Y304" s="5803"/>
    </row>
    <row r="305">
      <c r="A305" s="6007" t="s">
        <v>5782</v>
      </c>
      <c r="B305" s="5961" t="s">
        <v>5783</v>
      </c>
      <c r="C305" s="5961"/>
      <c r="D305" s="5963" t="s">
        <v>5784</v>
      </c>
      <c r="E305" s="5966" t="s">
        <v>5785</v>
      </c>
      <c r="F305" s="5966" t="s">
        <v>5786</v>
      </c>
      <c r="G305" s="6008" t="s">
        <v>5809</v>
      </c>
      <c r="H305" s="5966" t="s">
        <v>5788</v>
      </c>
      <c r="I305" s="5966" t="s">
        <v>5789</v>
      </c>
      <c r="J305" s="5966" t="s">
        <v>5790</v>
      </c>
      <c r="K305" s="5801"/>
      <c r="L305" s="5801"/>
      <c r="M305" s="5801"/>
      <c r="N305" s="5801"/>
      <c r="O305" s="5801"/>
      <c r="P305" s="5801"/>
      <c r="Q305" s="5801"/>
      <c r="R305" s="5801"/>
      <c r="S305" s="5801"/>
      <c r="T305" s="5802"/>
      <c r="U305" s="5802"/>
      <c r="V305" s="5803"/>
      <c r="W305" s="5803"/>
      <c r="X305" s="5803"/>
      <c r="Y305" s="5803"/>
    </row>
    <row r="306">
      <c r="A306" s="5812" t="s">
        <v>6059</v>
      </c>
      <c r="B306" s="5812">
        <v>46223</v>
      </c>
      <c r="C306" s="5812" t="str">
        <v>Monday</v>
      </c>
      <c r="D306" s="5813" t="s">
        <v>5872</v>
      </c>
      <c r="E306" s="5816">
        <f t="shared" ref="E306:E320" si="75">24*MOD(TIMEVALUE(TRIM(MID(D306,FIND("-",D306)+1,LEN(D306)))) - TIMEVALUE(TRIM(LEFT(D306,FIND("-",D306)-1))),1)</f>
      </c>
      <c r="F306" s="5813" t="s">
        <v>5987</v>
      </c>
      <c r="G306" s="5876" t="s">
        <v>6060</v>
      </c>
      <c r="H306" s="5816" t="s">
        <v>5794</v>
      </c>
      <c r="I306" s="5813" t="s">
        <v>5795</v>
      </c>
      <c r="J306" s="5816"/>
      <c r="K306" s="5801"/>
      <c r="L306" s="5801"/>
      <c r="M306" s="5801"/>
      <c r="N306" s="5801"/>
      <c r="O306" s="5801"/>
      <c r="P306" s="5801"/>
      <c r="Q306" s="5801"/>
      <c r="R306" s="5801"/>
      <c r="S306" s="5801"/>
      <c r="T306" s="5801"/>
      <c r="U306" s="5802"/>
      <c r="V306" s="5803"/>
      <c r="W306" s="5803"/>
      <c r="X306" s="5803"/>
      <c r="Y306" s="5803"/>
    </row>
    <row r="307">
      <c r="A307" s="5812" t="s">
        <v>6059</v>
      </c>
      <c r="B307" s="5812">
        <v>46223</v>
      </c>
      <c r="C307" s="5812" t="str">
        <v>Monday</v>
      </c>
      <c r="D307" s="5813" t="s">
        <v>5841</v>
      </c>
      <c r="E307" s="5816">
        <f t="shared" si="75"/>
      </c>
      <c r="F307" s="5813" t="s">
        <v>5873</v>
      </c>
      <c r="G307" s="5876" t="s">
        <v>6061</v>
      </c>
      <c r="H307" s="5816" t="s">
        <v>5794</v>
      </c>
      <c r="I307" s="5813" t="s">
        <v>5795</v>
      </c>
      <c r="J307" s="5816"/>
      <c r="K307" s="5801"/>
      <c r="L307" s="5801"/>
      <c r="M307" s="5801"/>
      <c r="N307" s="5801"/>
      <c r="O307" s="5801"/>
      <c r="P307" s="5801"/>
      <c r="Q307" s="5801"/>
      <c r="R307" s="5801"/>
      <c r="S307" s="5801"/>
      <c r="T307" s="5801"/>
      <c r="U307" s="5802"/>
      <c r="V307" s="5803"/>
      <c r="W307" s="5803"/>
      <c r="X307" s="5803"/>
      <c r="Y307" s="5803"/>
    </row>
    <row r="308">
      <c r="A308" s="5812" t="s">
        <v>6059</v>
      </c>
      <c r="B308" s="5812">
        <v>46223</v>
      </c>
      <c r="C308" s="5812" t="str">
        <v>Monday</v>
      </c>
      <c r="D308" s="5813" t="s">
        <v>5842</v>
      </c>
      <c r="E308" s="5816">
        <f t="shared" si="75"/>
      </c>
      <c r="F308" s="5813" t="s">
        <v>5987</v>
      </c>
      <c r="G308" s="5876" t="s">
        <v>6062</v>
      </c>
      <c r="H308" s="5816" t="s">
        <v>5794</v>
      </c>
      <c r="I308" s="5813" t="s">
        <v>5795</v>
      </c>
      <c r="J308" s="5816"/>
      <c r="K308" s="5801"/>
      <c r="L308" s="5801"/>
      <c r="M308" s="5801"/>
      <c r="N308" s="5801"/>
      <c r="O308" s="5801"/>
      <c r="P308" s="5801"/>
      <c r="Q308" s="5801"/>
      <c r="R308" s="5801"/>
      <c r="S308" s="5801"/>
      <c r="T308" s="5801"/>
      <c r="U308" s="5802"/>
      <c r="V308" s="5803"/>
      <c r="W308" s="5803"/>
      <c r="X308" s="5803"/>
      <c r="Y308" s="5803"/>
    </row>
    <row r="309">
      <c r="A309" s="5812" t="s">
        <v>6059</v>
      </c>
      <c r="B309" s="5812">
        <v>46223</v>
      </c>
      <c r="C309" s="5812" t="str">
        <v>Monday</v>
      </c>
      <c r="D309" s="5888" t="s">
        <v>6063</v>
      </c>
      <c r="E309" s="5816">
        <f t="shared" si="75"/>
      </c>
      <c r="F309" s="5813" t="s">
        <v>6064</v>
      </c>
      <c r="G309" s="5876" t="s">
        <v>6065</v>
      </c>
      <c r="H309" s="5816" t="s">
        <v>5794</v>
      </c>
      <c r="I309" s="5813" t="s">
        <v>5795</v>
      </c>
      <c r="J309" s="5816"/>
      <c r="K309" s="5801"/>
      <c r="L309" s="5801"/>
      <c r="M309" s="5801"/>
      <c r="N309" s="5801"/>
      <c r="O309" s="5801"/>
      <c r="P309" s="5801"/>
      <c r="Q309" s="5801"/>
      <c r="R309" s="5801"/>
      <c r="S309" s="5801"/>
      <c r="T309" s="5801"/>
      <c r="U309" s="5802"/>
      <c r="V309" s="5803"/>
      <c r="W309" s="5803"/>
      <c r="X309" s="5803"/>
      <c r="Y309" s="5803"/>
    </row>
    <row r="310">
      <c r="A310" s="5812" t="s">
        <v>6059</v>
      </c>
      <c r="B310" s="5812">
        <v>46223</v>
      </c>
      <c r="C310" s="5812" t="str">
        <v>Monday</v>
      </c>
      <c r="D310" s="5888" t="s">
        <v>6066</v>
      </c>
      <c r="E310" s="5816">
        <f t="shared" si="75"/>
      </c>
      <c r="F310" s="5813" t="s">
        <v>5873</v>
      </c>
      <c r="G310" s="5876" t="s">
        <v>6067</v>
      </c>
      <c r="H310" s="5816" t="s">
        <v>5794</v>
      </c>
      <c r="I310" s="5813" t="s">
        <v>5795</v>
      </c>
      <c r="J310" s="5816"/>
      <c r="K310" s="5801"/>
      <c r="L310" s="5801"/>
      <c r="M310" s="5801"/>
      <c r="N310" s="5801"/>
      <c r="O310" s="5801"/>
      <c r="P310" s="5801"/>
      <c r="Q310" s="5801"/>
      <c r="R310" s="5801"/>
      <c r="S310" s="5801"/>
      <c r="T310" s="5801"/>
      <c r="U310" s="5802"/>
      <c r="V310" s="5803"/>
      <c r="W310" s="5803"/>
      <c r="X310" s="5803"/>
      <c r="Y310" s="5803"/>
    </row>
    <row r="311">
      <c r="A311" s="5812" t="s">
        <v>6059</v>
      </c>
      <c r="B311" s="5812">
        <v>46223</v>
      </c>
      <c r="C311" s="5812" t="str">
        <v>Monday</v>
      </c>
      <c r="D311" s="5816" t="s">
        <v>6068</v>
      </c>
      <c r="E311" s="5816">
        <f t="shared" si="75"/>
      </c>
      <c r="F311" s="5813" t="s">
        <v>6064</v>
      </c>
      <c r="G311" s="5876" t="s">
        <v>6067</v>
      </c>
      <c r="H311" s="5816" t="s">
        <v>5794</v>
      </c>
      <c r="I311" s="5813" t="s">
        <v>5795</v>
      </c>
      <c r="J311" s="5816"/>
      <c r="K311" s="5801"/>
      <c r="L311" s="5801"/>
      <c r="M311" s="5801"/>
      <c r="N311" s="5801"/>
      <c r="O311" s="5801"/>
      <c r="P311" s="5801"/>
      <c r="Q311" s="5801"/>
      <c r="R311" s="5801"/>
      <c r="S311" s="5801"/>
      <c r="T311" s="5801"/>
      <c r="U311" s="5802"/>
      <c r="V311" s="5803"/>
      <c r="W311" s="5803"/>
      <c r="X311" s="5803"/>
      <c r="Y311" s="5803"/>
    </row>
    <row r="312">
      <c r="A312" s="5812" t="s">
        <v>6069</v>
      </c>
      <c r="B312" s="5812">
        <v>46223</v>
      </c>
      <c r="C312" s="5812" t="str">
        <v>Monday</v>
      </c>
      <c r="D312" s="5888" t="s">
        <v>6070</v>
      </c>
      <c r="E312" s="5888">
        <f t="shared" si="75"/>
      </c>
      <c r="F312" s="5881" t="s">
        <v>5851</v>
      </c>
      <c r="G312" s="6009"/>
      <c r="H312" s="5816" t="s">
        <v>5794</v>
      </c>
      <c r="I312" s="5813" t="s">
        <v>5795</v>
      </c>
      <c r="J312" s="5888"/>
      <c r="K312" s="6010"/>
      <c r="L312" s="6010"/>
      <c r="M312" s="6010"/>
      <c r="N312" s="6010"/>
      <c r="O312" s="6010"/>
      <c r="P312" s="6010"/>
      <c r="Q312" s="6010"/>
      <c r="R312" s="6010"/>
      <c r="S312" s="6010"/>
      <c r="T312" s="6010"/>
      <c r="U312" s="6011"/>
      <c r="V312" s="6011"/>
      <c r="W312" s="6011"/>
      <c r="X312" s="6011"/>
      <c r="Y312" s="6011"/>
    </row>
    <row r="313">
      <c r="A313" s="5812" t="s">
        <v>6069</v>
      </c>
      <c r="B313" s="5812">
        <v>46223</v>
      </c>
      <c r="C313" s="5812" t="str">
        <v>Monday</v>
      </c>
      <c r="D313" s="5888" t="s">
        <v>5908</v>
      </c>
      <c r="E313" s="5888">
        <f t="shared" si="75"/>
      </c>
      <c r="F313" s="5888" t="s">
        <v>5844</v>
      </c>
      <c r="G313" s="6009"/>
      <c r="H313" s="5816" t="s">
        <v>5794</v>
      </c>
      <c r="I313" s="5813" t="s">
        <v>5795</v>
      </c>
      <c r="J313" s="5888"/>
      <c r="K313" s="6010"/>
      <c r="L313" s="6010"/>
      <c r="M313" s="6010"/>
      <c r="N313" s="6010"/>
      <c r="O313" s="6010"/>
      <c r="P313" s="6010"/>
      <c r="Q313" s="6010"/>
      <c r="R313" s="6010"/>
      <c r="S313" s="6010"/>
      <c r="T313" s="6010"/>
      <c r="U313" s="6011"/>
      <c r="V313" s="6011"/>
      <c r="W313" s="6011"/>
      <c r="X313" s="6011"/>
      <c r="Y313" s="6011"/>
    </row>
    <row r="314">
      <c r="A314" s="5812" t="s">
        <v>6069</v>
      </c>
      <c r="B314" s="5812">
        <v>46223</v>
      </c>
      <c r="C314" s="5812" t="str">
        <v>Monday</v>
      </c>
      <c r="D314" s="5888" t="s">
        <v>6071</v>
      </c>
      <c r="E314" s="5888">
        <f t="shared" si="75"/>
      </c>
      <c r="F314" s="5888" t="s">
        <v>6072</v>
      </c>
      <c r="G314" s="6009"/>
      <c r="H314" s="5816" t="s">
        <v>5794</v>
      </c>
      <c r="I314" s="5813" t="s">
        <v>5795</v>
      </c>
      <c r="J314" s="5888"/>
      <c r="K314" s="6010"/>
      <c r="L314" s="6010"/>
      <c r="M314" s="6010"/>
      <c r="N314" s="6010"/>
      <c r="O314" s="6010"/>
      <c r="P314" s="6010"/>
      <c r="Q314" s="6010"/>
      <c r="R314" s="6010"/>
      <c r="S314" s="6010"/>
      <c r="T314" s="6010"/>
      <c r="U314" s="6011"/>
      <c r="V314" s="6011"/>
      <c r="W314" s="6011"/>
      <c r="X314" s="6011"/>
      <c r="Y314" s="6011"/>
    </row>
    <row r="315">
      <c r="A315" s="5812" t="s">
        <v>6069</v>
      </c>
      <c r="B315" s="5812">
        <v>46223</v>
      </c>
      <c r="C315" s="5812" t="str">
        <v>Monday</v>
      </c>
      <c r="D315" s="5888" t="s">
        <v>6073</v>
      </c>
      <c r="E315" s="5888">
        <f t="shared" si="75"/>
      </c>
      <c r="F315" s="5888" t="s">
        <v>5844</v>
      </c>
      <c r="G315" s="6009"/>
      <c r="H315" s="5816" t="s">
        <v>5794</v>
      </c>
      <c r="I315" s="5813" t="s">
        <v>5795</v>
      </c>
      <c r="J315" s="5888"/>
      <c r="K315" s="6010"/>
      <c r="L315" s="6010"/>
      <c r="M315" s="6010"/>
      <c r="N315" s="6010"/>
      <c r="O315" s="6010"/>
      <c r="P315" s="6010"/>
      <c r="Q315" s="6010"/>
      <c r="R315" s="6010"/>
      <c r="S315" s="6010"/>
      <c r="T315" s="6010"/>
      <c r="U315" s="6011"/>
      <c r="V315" s="6011"/>
      <c r="W315" s="6011"/>
      <c r="X315" s="6011"/>
      <c r="Y315" s="6011"/>
    </row>
    <row r="316">
      <c r="A316" s="5812" t="s">
        <v>6069</v>
      </c>
      <c r="B316" s="5812">
        <v>46223</v>
      </c>
      <c r="C316" s="5812" t="str">
        <v>Monday</v>
      </c>
      <c r="D316" s="5888" t="s">
        <v>6074</v>
      </c>
      <c r="E316" s="5888">
        <f t="shared" si="75"/>
      </c>
      <c r="F316" s="5816" t="s">
        <v>6075</v>
      </c>
      <c r="G316" s="6009" t="s">
        <v>6076</v>
      </c>
      <c r="H316" s="5816" t="s">
        <v>5794</v>
      </c>
      <c r="I316" s="5813" t="s">
        <v>5795</v>
      </c>
      <c r="J316" s="5888"/>
      <c r="K316" s="6010"/>
      <c r="L316" s="6010"/>
      <c r="M316" s="6010"/>
      <c r="N316" s="6010"/>
      <c r="O316" s="6010"/>
      <c r="P316" s="6010"/>
      <c r="Q316" s="6010"/>
      <c r="R316" s="6010"/>
      <c r="S316" s="6010"/>
      <c r="T316" s="6010"/>
      <c r="U316" s="6011"/>
      <c r="V316" s="6011"/>
      <c r="W316" s="6011"/>
      <c r="X316" s="6011"/>
      <c r="Y316" s="6011"/>
    </row>
    <row r="317">
      <c r="A317" s="5812" t="s">
        <v>6077</v>
      </c>
      <c r="B317" s="5812">
        <v>46223</v>
      </c>
      <c r="C317" s="5812" t="str">
        <v>Monday</v>
      </c>
      <c r="D317" s="5888" t="s">
        <v>6078</v>
      </c>
      <c r="E317" s="5888">
        <f t="shared" si="75"/>
      </c>
      <c r="F317" s="5888" t="s">
        <v>6079</v>
      </c>
      <c r="G317" s="6009" t="s">
        <v>6080</v>
      </c>
      <c r="H317" s="5816" t="s">
        <v>5794</v>
      </c>
      <c r="I317" s="5813" t="s">
        <v>5795</v>
      </c>
      <c r="J317" s="5888"/>
      <c r="K317" s="6010"/>
      <c r="L317" s="6010"/>
      <c r="M317" s="6010"/>
      <c r="N317" s="6010"/>
      <c r="O317" s="6010"/>
      <c r="P317" s="6010"/>
      <c r="Q317" s="6010"/>
      <c r="R317" s="6010"/>
      <c r="S317" s="6010"/>
      <c r="T317" s="6010"/>
      <c r="U317" s="6011"/>
      <c r="V317" s="6011"/>
      <c r="W317" s="6011"/>
      <c r="X317" s="6011"/>
      <c r="Y317" s="6011"/>
    </row>
    <row r="318">
      <c r="A318" s="5812" t="s">
        <v>6069</v>
      </c>
      <c r="B318" s="5812">
        <v>46223</v>
      </c>
      <c r="C318" s="5812" t="str">
        <v>Monday</v>
      </c>
      <c r="D318" s="5888" t="s">
        <v>6081</v>
      </c>
      <c r="E318" s="5888">
        <f t="shared" si="75"/>
      </c>
      <c r="F318" s="5881" t="s">
        <v>6082</v>
      </c>
      <c r="G318" s="6009" t="s">
        <v>6083</v>
      </c>
      <c r="H318" s="5816" t="s">
        <v>5794</v>
      </c>
      <c r="I318" s="5813" t="s">
        <v>5795</v>
      </c>
      <c r="J318" s="5888"/>
      <c r="K318" s="6010"/>
      <c r="L318" s="6010"/>
      <c r="M318" s="6010"/>
      <c r="N318" s="6010"/>
      <c r="O318" s="6010"/>
      <c r="P318" s="6010"/>
      <c r="Q318" s="6010"/>
      <c r="R318" s="6010"/>
      <c r="S318" s="6010"/>
      <c r="T318" s="6010"/>
      <c r="U318" s="6011"/>
      <c r="V318" s="6011"/>
      <c r="W318" s="6011"/>
      <c r="X318" s="6011"/>
      <c r="Y318" s="6011"/>
    </row>
    <row r="319">
      <c r="A319" s="5812" t="s">
        <v>6069</v>
      </c>
      <c r="B319" s="5812">
        <v>46223</v>
      </c>
      <c r="C319" s="5812" t="str">
        <v>Monday</v>
      </c>
      <c r="D319" s="5888" t="s">
        <v>6084</v>
      </c>
      <c r="E319" s="5888">
        <f t="shared" si="75"/>
      </c>
      <c r="F319" s="5881" t="s">
        <v>6082</v>
      </c>
      <c r="G319" s="6009" t="s">
        <v>6083</v>
      </c>
      <c r="H319" s="5816" t="s">
        <v>5794</v>
      </c>
      <c r="I319" s="5813" t="s">
        <v>5795</v>
      </c>
      <c r="J319" s="5888"/>
      <c r="K319" s="6010"/>
      <c r="L319" s="6010"/>
      <c r="M319" s="6010"/>
      <c r="N319" s="6010"/>
      <c r="O319" s="6010"/>
      <c r="P319" s="6010"/>
      <c r="Q319" s="6010"/>
      <c r="R319" s="6010"/>
      <c r="S319" s="6010"/>
      <c r="T319" s="6010"/>
      <c r="U319" s="6011"/>
      <c r="V319" s="6011"/>
      <c r="W319" s="6011"/>
      <c r="X319" s="6011"/>
      <c r="Y319" s="6011"/>
    </row>
    <row r="320">
      <c r="A320" s="5812" t="s">
        <v>6069</v>
      </c>
      <c r="B320" s="5812">
        <v>46223</v>
      </c>
      <c r="C320" s="5812" t="str">
        <v>Monday</v>
      </c>
      <c r="D320" s="5888" t="s">
        <v>5926</v>
      </c>
      <c r="E320" s="5888">
        <f t="shared" si="75"/>
      </c>
      <c r="F320" s="5813" t="s">
        <v>6085</v>
      </c>
      <c r="G320" s="6009" t="s">
        <v>6083</v>
      </c>
      <c r="H320" s="5816" t="s">
        <v>5794</v>
      </c>
      <c r="I320" s="5813" t="s">
        <v>5795</v>
      </c>
      <c r="J320" s="5888"/>
      <c r="K320" s="6010"/>
      <c r="L320" s="6010"/>
      <c r="M320" s="6010"/>
      <c r="N320" s="6010"/>
      <c r="O320" s="6010"/>
      <c r="P320" s="6010"/>
      <c r="Q320" s="6010"/>
      <c r="R320" s="6010"/>
      <c r="S320" s="6010"/>
      <c r="T320" s="6010"/>
      <c r="U320" s="5802"/>
      <c r="V320" s="5802"/>
      <c r="W320" s="5802"/>
      <c r="X320" s="5802"/>
      <c r="Y320" s="5802"/>
    </row>
    <row r="321">
      <c r="A321" s="5812"/>
      <c r="B321" s="5812"/>
      <c r="C321" s="5812"/>
      <c r="D321" s="5888"/>
      <c r="E321" s="5888"/>
      <c r="F321" s="5888"/>
      <c r="G321" s="6009"/>
      <c r="H321" s="5816"/>
      <c r="I321" s="5813"/>
      <c r="J321" s="5888"/>
      <c r="K321" s="6010"/>
      <c r="L321" s="6010"/>
      <c r="M321" s="6010"/>
      <c r="N321" s="6010"/>
      <c r="O321" s="6010"/>
      <c r="P321" s="6010"/>
      <c r="Q321" s="6010"/>
      <c r="R321" s="6010"/>
      <c r="S321" s="6010"/>
      <c r="T321" s="6010"/>
      <c r="U321" s="6011"/>
      <c r="V321" s="6011"/>
      <c r="W321" s="6011"/>
      <c r="X321" s="6011"/>
      <c r="Y321" s="6011"/>
    </row>
    <row r="322">
      <c r="A322" s="6012" t="s">
        <v>6059</v>
      </c>
      <c r="B322" s="6012">
        <v>46224</v>
      </c>
      <c r="C322" s="6012" t="str">
        <v>Tuesday</v>
      </c>
      <c r="D322" s="6013" t="s">
        <v>6086</v>
      </c>
      <c r="E322" s="6013">
        <f t="shared" ref="E322:E335" si="76">24*MOD(TIMEVALUE(TRIM(MID(D322,FIND("-",D322)+1,LEN(D322)))) - TIMEVALUE(TRIM(LEFT(D322,FIND("-",D322)-1))),1)</f>
      </c>
      <c r="F322" s="6013" t="s">
        <v>5987</v>
      </c>
      <c r="G322" s="6014" t="s">
        <v>6087</v>
      </c>
      <c r="H322" s="6013" t="s">
        <v>5794</v>
      </c>
      <c r="I322" s="5813" t="s">
        <v>5795</v>
      </c>
      <c r="J322" s="5816"/>
      <c r="K322" s="6010"/>
      <c r="L322" s="6010"/>
      <c r="M322" s="6010"/>
      <c r="N322" s="6010"/>
      <c r="O322" s="6010"/>
      <c r="P322" s="6010"/>
      <c r="Q322" s="6010"/>
      <c r="R322" s="6010"/>
      <c r="S322" s="6010"/>
      <c r="T322" s="6010"/>
      <c r="U322" s="5802"/>
      <c r="V322" s="5803"/>
      <c r="W322" s="5803"/>
      <c r="X322" s="5803"/>
      <c r="Y322" s="5803"/>
    </row>
    <row r="323">
      <c r="A323" s="6012" t="s">
        <v>6059</v>
      </c>
      <c r="B323" s="6012">
        <v>46224</v>
      </c>
      <c r="C323" s="6012" t="str">
        <v>Tuesday</v>
      </c>
      <c r="D323" s="6013" t="s">
        <v>6052</v>
      </c>
      <c r="E323" s="6013">
        <f t="shared" si="76"/>
      </c>
      <c r="F323" s="6013" t="s">
        <v>5873</v>
      </c>
      <c r="G323" s="6014" t="s">
        <v>6088</v>
      </c>
      <c r="H323" s="6013" t="s">
        <v>5794</v>
      </c>
      <c r="I323" s="5813" t="s">
        <v>5795</v>
      </c>
      <c r="J323" s="6015"/>
      <c r="K323" s="6010"/>
      <c r="L323" s="6010"/>
      <c r="M323" s="6010"/>
      <c r="N323" s="6010"/>
      <c r="O323" s="6010"/>
      <c r="P323" s="6010"/>
      <c r="Q323" s="6010"/>
      <c r="R323" s="6010"/>
      <c r="S323" s="6010"/>
      <c r="T323" s="6010"/>
      <c r="U323" s="5802"/>
      <c r="V323" s="5803"/>
      <c r="W323" s="5803"/>
      <c r="X323" s="5803"/>
      <c r="Y323" s="5803"/>
    </row>
    <row r="324">
      <c r="A324" s="6012" t="s">
        <v>6059</v>
      </c>
      <c r="B324" s="6012">
        <v>46224</v>
      </c>
      <c r="C324" s="6012" t="str">
        <v>Tuesday</v>
      </c>
      <c r="D324" s="6013" t="s">
        <v>6089</v>
      </c>
      <c r="E324" s="6013">
        <f t="shared" si="76"/>
      </c>
      <c r="F324" s="6013" t="s">
        <v>5987</v>
      </c>
      <c r="G324" s="6014" t="s">
        <v>6090</v>
      </c>
      <c r="H324" s="6013" t="s">
        <v>5794</v>
      </c>
      <c r="I324" s="5813" t="s">
        <v>5795</v>
      </c>
      <c r="J324" s="6015"/>
      <c r="K324" s="6010"/>
      <c r="L324" s="6010"/>
      <c r="M324" s="6010"/>
      <c r="N324" s="6010"/>
      <c r="O324" s="6010"/>
      <c r="P324" s="6010"/>
      <c r="Q324" s="6010"/>
      <c r="R324" s="6010"/>
      <c r="S324" s="6010"/>
      <c r="T324" s="6010"/>
      <c r="U324" s="5802"/>
      <c r="V324" s="5803"/>
      <c r="W324" s="5803"/>
      <c r="X324" s="5803"/>
      <c r="Y324" s="5803"/>
    </row>
    <row r="325">
      <c r="A325" s="6012" t="s">
        <v>6059</v>
      </c>
      <c r="B325" s="6012">
        <v>46224</v>
      </c>
      <c r="C325" s="6012" t="str">
        <v>Tuesday</v>
      </c>
      <c r="D325" s="6013" t="s">
        <v>5845</v>
      </c>
      <c r="E325" s="6013">
        <f t="shared" si="76"/>
      </c>
      <c r="F325" s="6013" t="s">
        <v>6091</v>
      </c>
      <c r="G325" s="6014" t="s">
        <v>6092</v>
      </c>
      <c r="H325" s="6013" t="s">
        <v>5794</v>
      </c>
      <c r="I325" s="5813" t="s">
        <v>5795</v>
      </c>
      <c r="J325" s="6015"/>
      <c r="K325" s="6010"/>
      <c r="L325" s="6010"/>
      <c r="M325" s="6010"/>
      <c r="N325" s="6010"/>
      <c r="O325" s="6010"/>
      <c r="P325" s="6010"/>
      <c r="Q325" s="6010"/>
      <c r="R325" s="6010"/>
      <c r="S325" s="6010"/>
      <c r="T325" s="6010"/>
      <c r="U325" s="5802"/>
      <c r="V325" s="5803"/>
      <c r="W325" s="5803"/>
      <c r="X325" s="5803"/>
      <c r="Y325" s="5803"/>
    </row>
    <row r="326">
      <c r="A326" s="6012" t="s">
        <v>6059</v>
      </c>
      <c r="B326" s="6012">
        <v>46224</v>
      </c>
      <c r="C326" s="6012" t="str">
        <v>Tuesday</v>
      </c>
      <c r="D326" s="6013" t="s">
        <v>6073</v>
      </c>
      <c r="E326" s="6013">
        <f t="shared" si="76"/>
      </c>
      <c r="F326" s="6013" t="s">
        <v>6064</v>
      </c>
      <c r="G326" s="6014" t="s">
        <v>5844</v>
      </c>
      <c r="H326" s="6013" t="s">
        <v>5794</v>
      </c>
      <c r="I326" s="5813" t="s">
        <v>5795</v>
      </c>
      <c r="J326" s="6015"/>
      <c r="K326" s="6010"/>
      <c r="L326" s="6010"/>
      <c r="M326" s="6010"/>
      <c r="N326" s="6010"/>
      <c r="O326" s="6010"/>
      <c r="P326" s="6010"/>
      <c r="Q326" s="6010"/>
      <c r="R326" s="6010"/>
      <c r="S326" s="6010"/>
      <c r="T326" s="6010"/>
      <c r="U326" s="5802"/>
      <c r="V326" s="5803"/>
      <c r="W326" s="5803"/>
      <c r="X326" s="5803"/>
      <c r="Y326" s="5803"/>
    </row>
    <row r="327">
      <c r="A327" s="6012" t="s">
        <v>6069</v>
      </c>
      <c r="B327" s="6012">
        <v>46224</v>
      </c>
      <c r="C327" s="6012" t="str">
        <v>Tuesday</v>
      </c>
      <c r="D327" s="6015" t="s">
        <v>6093</v>
      </c>
      <c r="E327" s="6015">
        <f t="shared" si="76"/>
      </c>
      <c r="F327" s="6016" t="s">
        <v>5851</v>
      </c>
      <c r="G327" s="6014"/>
      <c r="H327" s="6013" t="s">
        <v>5794</v>
      </c>
      <c r="I327" s="5813" t="s">
        <v>5795</v>
      </c>
      <c r="J327" s="6017"/>
      <c r="K327" s="5801"/>
      <c r="L327" s="5801"/>
      <c r="M327" s="5801"/>
      <c r="N327" s="5801"/>
      <c r="O327" s="5801"/>
      <c r="P327" s="5801"/>
      <c r="Q327" s="5801"/>
      <c r="R327" s="5801"/>
      <c r="S327" s="5801"/>
      <c r="T327" s="5801"/>
      <c r="U327" s="5802"/>
      <c r="V327" s="5803"/>
      <c r="W327" s="5803"/>
      <c r="X327" s="5803"/>
      <c r="Y327" s="5803"/>
    </row>
    <row r="328">
      <c r="A328" s="6012" t="s">
        <v>6069</v>
      </c>
      <c r="B328" s="6012">
        <v>46224</v>
      </c>
      <c r="C328" s="6012" t="str">
        <v>Tuesday</v>
      </c>
      <c r="D328" s="6015" t="s">
        <v>6074</v>
      </c>
      <c r="E328" s="6015">
        <f t="shared" si="76"/>
      </c>
      <c r="F328" s="6013" t="s">
        <v>5844</v>
      </c>
      <c r="G328" s="6014"/>
      <c r="H328" s="6013" t="s">
        <v>5794</v>
      </c>
      <c r="I328" s="5813" t="s">
        <v>5795</v>
      </c>
      <c r="J328" s="6017"/>
      <c r="K328" s="5801"/>
      <c r="L328" s="5801"/>
      <c r="M328" s="5801"/>
      <c r="N328" s="5801"/>
      <c r="O328" s="5801"/>
      <c r="P328" s="5801"/>
      <c r="Q328" s="5801"/>
      <c r="R328" s="5801"/>
      <c r="S328" s="5801"/>
      <c r="T328" s="5801"/>
      <c r="U328" s="5802"/>
      <c r="V328" s="5803"/>
      <c r="W328" s="5803"/>
      <c r="X328" s="5803"/>
      <c r="Y328" s="5803"/>
    </row>
    <row r="329">
      <c r="A329" s="6012" t="s">
        <v>6069</v>
      </c>
      <c r="B329" s="6012">
        <v>46224</v>
      </c>
      <c r="C329" s="6012" t="str">
        <v>Tuesday</v>
      </c>
      <c r="D329" s="6015" t="s">
        <v>6071</v>
      </c>
      <c r="E329" s="6015">
        <f t="shared" si="76"/>
      </c>
      <c r="F329" s="6016" t="s">
        <v>6036</v>
      </c>
      <c r="G329" s="6014"/>
      <c r="H329" s="6013" t="s">
        <v>5794</v>
      </c>
      <c r="I329" s="5813" t="s">
        <v>5795</v>
      </c>
      <c r="J329" s="6013"/>
      <c r="K329" s="5801"/>
      <c r="L329" s="5801"/>
      <c r="M329" s="5801"/>
      <c r="N329" s="5801"/>
      <c r="O329" s="5801"/>
      <c r="P329" s="5801"/>
      <c r="Q329" s="5801"/>
      <c r="R329" s="5801"/>
      <c r="S329" s="5801"/>
      <c r="T329" s="5801"/>
      <c r="U329" s="5802"/>
      <c r="V329" s="5803"/>
      <c r="W329" s="5803"/>
      <c r="X329" s="5803"/>
      <c r="Y329" s="5803"/>
    </row>
    <row r="330">
      <c r="A330" s="6012" t="s">
        <v>6069</v>
      </c>
      <c r="B330" s="6012">
        <v>46224</v>
      </c>
      <c r="C330" s="6012" t="str">
        <v>Tuesday</v>
      </c>
      <c r="D330" s="6015" t="s">
        <v>6073</v>
      </c>
      <c r="E330" s="6015">
        <f t="shared" si="76"/>
      </c>
      <c r="F330" s="6013" t="s">
        <v>5844</v>
      </c>
      <c r="G330" s="6014"/>
      <c r="H330" s="6013" t="s">
        <v>5794</v>
      </c>
      <c r="I330" s="5813" t="s">
        <v>5795</v>
      </c>
      <c r="J330" s="6013"/>
      <c r="K330" s="5801"/>
      <c r="L330" s="5801"/>
      <c r="M330" s="5801"/>
      <c r="N330" s="5801"/>
      <c r="O330" s="5801"/>
      <c r="P330" s="5801"/>
      <c r="Q330" s="5801"/>
      <c r="R330" s="5801"/>
      <c r="S330" s="5801"/>
      <c r="T330" s="5801"/>
      <c r="U330" s="5802"/>
      <c r="V330" s="5803"/>
      <c r="W330" s="5803"/>
      <c r="X330" s="5803"/>
      <c r="Y330" s="5803"/>
    </row>
    <row r="331">
      <c r="A331" s="6012" t="s">
        <v>6069</v>
      </c>
      <c r="B331" s="6012">
        <v>46224</v>
      </c>
      <c r="C331" s="6012" t="str">
        <v>Tuesday</v>
      </c>
      <c r="D331" s="6015" t="s">
        <v>6094</v>
      </c>
      <c r="E331" s="6015">
        <f t="shared" si="76"/>
      </c>
      <c r="F331" s="6013" t="s">
        <v>6085</v>
      </c>
      <c r="G331" s="6014" t="s">
        <v>6083</v>
      </c>
      <c r="H331" s="6013" t="s">
        <v>5794</v>
      </c>
      <c r="I331" s="5813" t="s">
        <v>5795</v>
      </c>
      <c r="J331" s="6013"/>
      <c r="K331" s="5801"/>
      <c r="L331" s="5801"/>
      <c r="M331" s="5801"/>
      <c r="N331" s="5801"/>
      <c r="O331" s="5801"/>
      <c r="P331" s="5801"/>
      <c r="Q331" s="5801"/>
      <c r="R331" s="5801"/>
      <c r="S331" s="5801"/>
      <c r="T331" s="5801"/>
      <c r="U331" s="5802"/>
      <c r="V331" s="5803"/>
      <c r="W331" s="5803"/>
      <c r="X331" s="5803"/>
      <c r="Y331" s="5803"/>
    </row>
    <row r="332">
      <c r="A332" s="6012" t="s">
        <v>6069</v>
      </c>
      <c r="B332" s="6012">
        <v>46224</v>
      </c>
      <c r="C332" s="6012" t="str">
        <v>Tuesday</v>
      </c>
      <c r="D332" s="6015" t="s">
        <v>6081</v>
      </c>
      <c r="E332" s="6015">
        <f t="shared" si="76"/>
      </c>
      <c r="F332" s="6016" t="s">
        <v>6082</v>
      </c>
      <c r="G332" s="6014" t="s">
        <v>6083</v>
      </c>
      <c r="H332" s="6013"/>
      <c r="I332" s="5813" t="s">
        <v>5795</v>
      </c>
      <c r="J332" s="6015"/>
      <c r="K332" s="6018"/>
      <c r="L332" s="6018"/>
      <c r="M332" s="6018"/>
      <c r="N332" s="6018"/>
      <c r="O332" s="6018"/>
      <c r="P332" s="6018"/>
      <c r="Q332" s="6018"/>
      <c r="R332" s="6018"/>
      <c r="S332" s="6018"/>
      <c r="T332" s="6018"/>
      <c r="U332" s="6019"/>
      <c r="V332" s="6019"/>
      <c r="W332" s="6019"/>
      <c r="X332" s="6019"/>
      <c r="Y332" s="6019"/>
    </row>
    <row r="333">
      <c r="A333" s="6012" t="s">
        <v>6069</v>
      </c>
      <c r="B333" s="6012">
        <v>46224</v>
      </c>
      <c r="C333" s="6012" t="str">
        <v>Tuesday</v>
      </c>
      <c r="D333" s="6015" t="s">
        <v>6084</v>
      </c>
      <c r="E333" s="6015">
        <f t="shared" si="76"/>
      </c>
      <c r="F333" s="6016" t="s">
        <v>6082</v>
      </c>
      <c r="G333" s="6014" t="s">
        <v>6083</v>
      </c>
      <c r="H333" s="6013"/>
      <c r="I333" s="5813" t="s">
        <v>5795</v>
      </c>
      <c r="J333" s="6015"/>
      <c r="K333" s="6018"/>
      <c r="L333" s="6018"/>
      <c r="M333" s="6018"/>
      <c r="N333" s="6018"/>
      <c r="O333" s="6018"/>
      <c r="P333" s="6018"/>
      <c r="Q333" s="6018"/>
      <c r="R333" s="6018"/>
      <c r="S333" s="6018"/>
      <c r="T333" s="6018"/>
      <c r="U333" s="6019"/>
      <c r="V333" s="6019"/>
      <c r="W333" s="6019"/>
      <c r="X333" s="6019"/>
      <c r="Y333" s="6019"/>
    </row>
    <row customHeight="true" ht="18.452380952380953" r="334">
      <c r="A334" s="6012" t="s">
        <v>6069</v>
      </c>
      <c r="B334" s="6012">
        <v>46224</v>
      </c>
      <c r="C334" s="6012" t="str">
        <v>Tuesday</v>
      </c>
      <c r="D334" s="6013" t="s">
        <v>6095</v>
      </c>
      <c r="E334" s="6013">
        <f t="shared" si="76"/>
      </c>
      <c r="F334" s="6013" t="s">
        <v>5987</v>
      </c>
      <c r="G334" s="6014"/>
      <c r="H334" s="6013"/>
      <c r="I334" s="5813"/>
      <c r="J334" s="6015"/>
      <c r="K334" s="6018"/>
      <c r="L334" s="6018"/>
      <c r="M334" s="6018"/>
      <c r="N334" s="6018"/>
      <c r="O334" s="6018"/>
      <c r="P334" s="6018"/>
      <c r="Q334" s="6018"/>
      <c r="R334" s="6018"/>
      <c r="S334" s="6018"/>
      <c r="T334" s="6018"/>
      <c r="U334" s="6019"/>
      <c r="V334" s="6019"/>
      <c r="W334" s="6019"/>
      <c r="X334" s="6019"/>
      <c r="Y334" s="6019"/>
    </row>
    <row customHeight="true" ht="18.452380952380953" r="335">
      <c r="A335" s="6012" t="s">
        <v>6069</v>
      </c>
      <c r="B335" s="6012">
        <v>46224</v>
      </c>
      <c r="C335" s="6012" t="str">
        <v>Tuesday</v>
      </c>
      <c r="D335" s="6013" t="s">
        <v>6096</v>
      </c>
      <c r="E335" s="6013">
        <f t="shared" si="76"/>
      </c>
      <c r="F335" s="6013" t="s">
        <v>6091</v>
      </c>
      <c r="G335" s="6014"/>
      <c r="H335" s="6013"/>
      <c r="I335" s="5813"/>
      <c r="J335" s="6015"/>
      <c r="K335" s="6018"/>
      <c r="L335" s="6018"/>
      <c r="M335" s="6018"/>
      <c r="N335" s="6018"/>
      <c r="O335" s="6018"/>
      <c r="P335" s="6018"/>
      <c r="Q335" s="6018"/>
      <c r="R335" s="6018"/>
      <c r="S335" s="6018"/>
      <c r="T335" s="6018"/>
      <c r="U335" s="6019"/>
      <c r="V335" s="6019"/>
      <c r="W335" s="6019"/>
      <c r="X335" s="6019"/>
      <c r="Y335" s="6019"/>
    </row>
    <row r="336">
      <c r="A336" s="5812"/>
      <c r="B336" s="5812"/>
      <c r="C336" s="5812"/>
      <c r="D336" s="5888"/>
      <c r="E336" s="5888"/>
      <c r="F336" s="5813"/>
      <c r="G336" s="5836"/>
      <c r="H336" s="5813"/>
      <c r="I336" s="5813"/>
      <c r="J336" s="5813"/>
      <c r="K336" s="5801"/>
      <c r="L336" s="5801"/>
      <c r="M336" s="5801"/>
      <c r="N336" s="5801"/>
      <c r="O336" s="5801"/>
      <c r="P336" s="5801"/>
      <c r="Q336" s="5801"/>
      <c r="R336" s="5801"/>
      <c r="S336" s="5801"/>
      <c r="T336" s="5801"/>
      <c r="U336" s="5802"/>
      <c r="V336" s="5802"/>
      <c r="W336" s="5802"/>
      <c r="X336" s="5802"/>
      <c r="Y336" s="5802"/>
    </row>
    <row r="337">
      <c r="A337" s="5812" t="s">
        <v>6059</v>
      </c>
      <c r="B337" s="5812">
        <v>46228</v>
      </c>
      <c r="C337" s="5812" t="str">
        <v>Saturday</v>
      </c>
      <c r="D337" s="5813" t="s">
        <v>6006</v>
      </c>
      <c r="E337" s="5816">
        <f t="shared" ref="E337:E352" si="77">24*MOD(TIMEVALUE(TRIM(MID(D337,FIND("-",D337)+1,LEN(D337)))) - TIMEVALUE(TRIM(LEFT(D337,FIND("-",D337)-1))),1)</f>
      </c>
      <c r="F337" s="5813" t="s">
        <v>6097</v>
      </c>
      <c r="G337" s="6020" t="s">
        <v>6098</v>
      </c>
      <c r="H337" s="5813" t="s">
        <v>5794</v>
      </c>
      <c r="I337" s="5813" t="s">
        <v>5795</v>
      </c>
      <c r="J337" s="5816"/>
      <c r="K337" s="5801"/>
      <c r="L337" s="5801"/>
      <c r="M337" s="5801"/>
      <c r="N337" s="5801"/>
      <c r="O337" s="5801"/>
      <c r="P337" s="5801"/>
      <c r="Q337" s="5801"/>
      <c r="R337" s="5801"/>
      <c r="S337" s="5801"/>
      <c r="T337" s="5801"/>
      <c r="U337" s="5802"/>
      <c r="V337" s="5803"/>
      <c r="W337" s="5803"/>
      <c r="X337" s="5803"/>
      <c r="Y337" s="5803"/>
    </row>
    <row r="338">
      <c r="A338" s="5812" t="s">
        <v>6059</v>
      </c>
      <c r="B338" s="5812">
        <v>46228</v>
      </c>
      <c r="C338" s="5812" t="str">
        <v>Saturday</v>
      </c>
      <c r="D338" s="5853" t="s">
        <v>6099</v>
      </c>
      <c r="E338" s="5816">
        <f t="shared" si="77"/>
      </c>
      <c r="F338" s="5813" t="s">
        <v>5987</v>
      </c>
      <c r="G338" s="6021" t="s">
        <v>6100</v>
      </c>
      <c r="H338" s="5813" t="s">
        <v>5794</v>
      </c>
      <c r="I338" s="5813" t="s">
        <v>5795</v>
      </c>
      <c r="J338" s="6022" t="s">
        <v>6101</v>
      </c>
      <c r="K338" s="5801"/>
      <c r="L338" s="5801"/>
      <c r="M338" s="5801"/>
      <c r="N338" s="5801"/>
      <c r="O338" s="5801"/>
      <c r="P338" s="5801"/>
      <c r="Q338" s="5801"/>
      <c r="R338" s="5801"/>
      <c r="S338" s="5801"/>
      <c r="T338" s="5801"/>
      <c r="U338" s="5802"/>
      <c r="V338" s="5803"/>
      <c r="W338" s="5803"/>
      <c r="X338" s="5803"/>
      <c r="Y338" s="5803"/>
    </row>
    <row r="339">
      <c r="A339" s="5812" t="s">
        <v>6059</v>
      </c>
      <c r="B339" s="5812">
        <v>46228</v>
      </c>
      <c r="C339" s="5812" t="str">
        <v>Saturday</v>
      </c>
      <c r="D339" s="5853" t="s">
        <v>6102</v>
      </c>
      <c r="E339" s="5816">
        <f t="shared" si="77"/>
      </c>
      <c r="F339" s="5813" t="s">
        <v>6103</v>
      </c>
      <c r="G339" s="6021" t="s">
        <v>6104</v>
      </c>
      <c r="H339" s="5813" t="s">
        <v>5794</v>
      </c>
      <c r="I339" s="5813" t="s">
        <v>5795</v>
      </c>
      <c r="J339" s="6022" t="s">
        <v>6101</v>
      </c>
      <c r="K339" s="5801"/>
      <c r="L339" s="5801"/>
      <c r="M339" s="5801"/>
      <c r="N339" s="5801"/>
      <c r="O339" s="5801"/>
      <c r="P339" s="5801"/>
      <c r="Q339" s="5801"/>
      <c r="R339" s="5801"/>
      <c r="S339" s="5801"/>
      <c r="T339" s="5801"/>
      <c r="U339" s="5802"/>
      <c r="V339" s="5803"/>
      <c r="W339" s="5803"/>
      <c r="X339" s="5803"/>
      <c r="Y339" s="5803"/>
    </row>
    <row r="340">
      <c r="A340" s="5812" t="s">
        <v>6059</v>
      </c>
      <c r="B340" s="5812">
        <v>46228</v>
      </c>
      <c r="C340" s="5812" t="str">
        <v>Saturday</v>
      </c>
      <c r="D340" s="5888" t="s">
        <v>5834</v>
      </c>
      <c r="E340" s="5816">
        <f t="shared" si="77"/>
      </c>
      <c r="F340" s="5813" t="s">
        <v>6064</v>
      </c>
      <c r="G340" s="6021" t="s">
        <v>6065</v>
      </c>
      <c r="H340" s="5813" t="s">
        <v>5794</v>
      </c>
      <c r="I340" s="5813" t="s">
        <v>5795</v>
      </c>
      <c r="J340" s="6022" t="s">
        <v>6101</v>
      </c>
      <c r="K340" s="5801"/>
      <c r="L340" s="5801"/>
      <c r="M340" s="5801"/>
      <c r="N340" s="5801"/>
      <c r="O340" s="5801"/>
      <c r="P340" s="5801"/>
      <c r="Q340" s="5801"/>
      <c r="R340" s="5801"/>
      <c r="S340" s="5801"/>
      <c r="T340" s="5801"/>
      <c r="U340" s="5802"/>
      <c r="V340" s="5803"/>
      <c r="W340" s="5803"/>
      <c r="X340" s="5803"/>
      <c r="Y340" s="5803"/>
    </row>
    <row r="341">
      <c r="A341" s="5812" t="s">
        <v>6059</v>
      </c>
      <c r="B341" s="5812">
        <v>46228</v>
      </c>
      <c r="C341" s="5812" t="str">
        <v>Saturday</v>
      </c>
      <c r="D341" s="5888" t="s">
        <v>5863</v>
      </c>
      <c r="E341" s="5816">
        <f t="shared" si="77"/>
      </c>
      <c r="F341" s="5813" t="s">
        <v>6091</v>
      </c>
      <c r="G341" s="6023" t="s">
        <v>6105</v>
      </c>
      <c r="H341" s="5813" t="s">
        <v>5794</v>
      </c>
      <c r="I341" s="5813" t="s">
        <v>5795</v>
      </c>
      <c r="J341" s="6022"/>
      <c r="K341" s="5801"/>
      <c r="L341" s="5801"/>
      <c r="M341" s="5801"/>
      <c r="N341" s="5801"/>
      <c r="O341" s="5801"/>
      <c r="P341" s="5801"/>
      <c r="Q341" s="5801"/>
      <c r="R341" s="5801"/>
      <c r="S341" s="5801"/>
      <c r="T341" s="5801"/>
      <c r="U341" s="5802"/>
      <c r="V341" s="5803"/>
      <c r="W341" s="5803"/>
      <c r="X341" s="5803"/>
      <c r="Y341" s="5803"/>
    </row>
    <row customHeight="true" ht="18.452380952380953" r="342">
      <c r="A342" s="5812" t="s">
        <v>6059</v>
      </c>
      <c r="B342" s="5812">
        <v>46228</v>
      </c>
      <c r="C342" s="5812" t="str">
        <v>Saturday</v>
      </c>
      <c r="D342" s="5853" t="s">
        <v>6106</v>
      </c>
      <c r="E342" s="5816">
        <f t="shared" si="77"/>
      </c>
      <c r="F342" s="5813" t="s">
        <v>6103</v>
      </c>
      <c r="G342" s="6021" t="s">
        <v>6107</v>
      </c>
      <c r="H342" s="5813" t="s">
        <v>5794</v>
      </c>
      <c r="I342" s="5813" t="s">
        <v>5795</v>
      </c>
      <c r="J342" s="6022" t="s">
        <v>6101</v>
      </c>
      <c r="K342" s="5801"/>
      <c r="L342" s="5801"/>
      <c r="M342" s="5801"/>
      <c r="N342" s="5801"/>
      <c r="O342" s="5801"/>
      <c r="P342" s="5801"/>
      <c r="Q342" s="5801"/>
      <c r="R342" s="5801"/>
      <c r="S342" s="5801"/>
      <c r="T342" s="5801"/>
      <c r="U342" s="5802"/>
      <c r="V342" s="5803"/>
      <c r="W342" s="5803"/>
      <c r="X342" s="5803"/>
      <c r="Y342" s="5803"/>
    </row>
    <row customHeight="true" ht="18.452380952380953" r="343">
      <c r="A343" s="5812" t="s">
        <v>6059</v>
      </c>
      <c r="B343" s="5812">
        <v>46228</v>
      </c>
      <c r="C343" s="5812" t="str">
        <v>Saturday</v>
      </c>
      <c r="D343" s="6024" t="s">
        <v>6108</v>
      </c>
      <c r="E343" s="5816">
        <f t="shared" si="77"/>
      </c>
      <c r="F343" s="5813" t="s">
        <v>6091</v>
      </c>
      <c r="G343" s="6023" t="s">
        <v>6067</v>
      </c>
      <c r="H343" s="5813" t="s">
        <v>5794</v>
      </c>
      <c r="I343" s="5813" t="s">
        <v>5795</v>
      </c>
      <c r="J343" s="6022"/>
      <c r="K343" s="5801"/>
      <c r="L343" s="5801"/>
      <c r="M343" s="5801"/>
      <c r="N343" s="5801"/>
      <c r="O343" s="5801"/>
      <c r="P343" s="5801"/>
      <c r="Q343" s="5801"/>
      <c r="R343" s="5801"/>
      <c r="S343" s="5801"/>
      <c r="T343" s="5801"/>
      <c r="U343" s="5802"/>
      <c r="V343" s="5803"/>
      <c r="W343" s="5803"/>
      <c r="X343" s="5803"/>
      <c r="Y343" s="5803"/>
    </row>
    <row r="344">
      <c r="A344" s="5861" t="s">
        <v>6059</v>
      </c>
      <c r="B344" s="5861">
        <v>46228</v>
      </c>
      <c r="C344" s="5861" t="str">
        <v>Saturday</v>
      </c>
      <c r="D344" s="5862" t="s">
        <v>6109</v>
      </c>
      <c r="E344" s="5886">
        <f t="shared" si="77"/>
      </c>
      <c r="F344" s="5862" t="s">
        <v>6064</v>
      </c>
      <c r="G344" s="6025" t="s">
        <v>6110</v>
      </c>
      <c r="H344" s="5862" t="s">
        <v>5794</v>
      </c>
      <c r="I344" s="5862" t="s">
        <v>5795</v>
      </c>
      <c r="J344" s="6026" t="s">
        <v>6111</v>
      </c>
      <c r="K344" s="5920"/>
      <c r="L344" s="5920"/>
      <c r="M344" s="5920"/>
      <c r="N344" s="5920"/>
      <c r="O344" s="5920"/>
      <c r="P344" s="5920"/>
      <c r="Q344" s="5920"/>
      <c r="R344" s="5920"/>
      <c r="S344" s="5920"/>
      <c r="T344" s="5920"/>
      <c r="U344" s="5865"/>
      <c r="V344" s="5865"/>
      <c r="W344" s="5865"/>
      <c r="X344" s="5865"/>
      <c r="Y344" s="5865"/>
    </row>
    <row r="345">
      <c r="A345" s="5812" t="s">
        <v>6069</v>
      </c>
      <c r="B345" s="5812">
        <v>46228</v>
      </c>
      <c r="C345" s="5812" t="str">
        <v>Saturday</v>
      </c>
      <c r="D345" s="5888" t="s">
        <v>6112</v>
      </c>
      <c r="E345" s="5888">
        <f t="shared" si="77"/>
      </c>
      <c r="F345" s="5881" t="s">
        <v>5851</v>
      </c>
      <c r="G345" s="6021"/>
      <c r="H345" s="5813" t="s">
        <v>5794</v>
      </c>
      <c r="I345" s="5813" t="s">
        <v>5795</v>
      </c>
      <c r="J345" s="6027"/>
      <c r="K345" s="5801"/>
      <c r="L345" s="5801"/>
      <c r="M345" s="5801"/>
      <c r="N345" s="5801"/>
      <c r="O345" s="5801"/>
      <c r="P345" s="5801"/>
      <c r="Q345" s="5801"/>
      <c r="R345" s="5801"/>
      <c r="S345" s="5801"/>
      <c r="T345" s="5801"/>
      <c r="U345" s="5802"/>
      <c r="V345" s="5803"/>
      <c r="W345" s="5803"/>
      <c r="X345" s="5803"/>
      <c r="Y345" s="5803"/>
    </row>
    <row r="346">
      <c r="A346" s="5812" t="s">
        <v>6069</v>
      </c>
      <c r="B346" s="5812">
        <v>46228</v>
      </c>
      <c r="C346" s="5812" t="str">
        <v>Saturday</v>
      </c>
      <c r="D346" s="5888" t="s">
        <v>6113</v>
      </c>
      <c r="E346" s="5888">
        <f t="shared" si="77"/>
      </c>
      <c r="F346" s="5816" t="s">
        <v>6075</v>
      </c>
      <c r="G346" s="6023" t="s">
        <v>6114</v>
      </c>
      <c r="H346" s="5813" t="s">
        <v>5794</v>
      </c>
      <c r="I346" s="5813" t="s">
        <v>5795</v>
      </c>
      <c r="J346" s="6027"/>
      <c r="K346" s="5801"/>
      <c r="L346" s="5801"/>
      <c r="M346" s="5801"/>
      <c r="N346" s="5801"/>
      <c r="O346" s="5801"/>
      <c r="P346" s="5801"/>
      <c r="Q346" s="5801"/>
      <c r="R346" s="5801"/>
      <c r="S346" s="5801"/>
      <c r="T346" s="5801"/>
      <c r="U346" s="5802"/>
      <c r="V346" s="5803"/>
      <c r="W346" s="5803"/>
      <c r="X346" s="5803"/>
      <c r="Y346" s="5803"/>
    </row>
    <row r="347">
      <c r="A347" s="5812" t="s">
        <v>6069</v>
      </c>
      <c r="B347" s="5812">
        <v>46228</v>
      </c>
      <c r="C347" s="5812" t="str">
        <v>Saturday</v>
      </c>
      <c r="D347" s="5888" t="s">
        <v>6071</v>
      </c>
      <c r="E347" s="5888">
        <f t="shared" si="77"/>
      </c>
      <c r="F347" s="5888" t="s">
        <v>6072</v>
      </c>
      <c r="G347" s="6021"/>
      <c r="H347" s="5813" t="s">
        <v>5794</v>
      </c>
      <c r="I347" s="5813" t="s">
        <v>5795</v>
      </c>
      <c r="J347" s="6027"/>
      <c r="K347" s="5801"/>
      <c r="L347" s="5801"/>
      <c r="M347" s="5801"/>
      <c r="N347" s="5801"/>
      <c r="O347" s="5801"/>
      <c r="P347" s="5801"/>
      <c r="Q347" s="5801"/>
      <c r="R347" s="5801"/>
      <c r="S347" s="5801"/>
      <c r="T347" s="5801"/>
      <c r="U347" s="5802"/>
      <c r="V347" s="5803"/>
      <c r="W347" s="5803"/>
      <c r="X347" s="5803"/>
      <c r="Y347" s="5803"/>
    </row>
    <row r="348">
      <c r="A348" s="5812" t="s">
        <v>6069</v>
      </c>
      <c r="B348" s="5812">
        <v>46228</v>
      </c>
      <c r="C348" s="5812" t="str">
        <v>Saturday</v>
      </c>
      <c r="D348" s="5888" t="s">
        <v>6115</v>
      </c>
      <c r="E348" s="5888">
        <f t="shared" si="77"/>
      </c>
      <c r="F348" s="5881" t="s">
        <v>6082</v>
      </c>
      <c r="G348" s="6021" t="s">
        <v>6116</v>
      </c>
      <c r="H348" s="5813" t="s">
        <v>5794</v>
      </c>
      <c r="I348" s="5813" t="s">
        <v>5795</v>
      </c>
      <c r="J348" s="6027"/>
      <c r="K348" s="5801"/>
      <c r="L348" s="5801"/>
      <c r="M348" s="5801"/>
      <c r="N348" s="5801"/>
      <c r="O348" s="5801"/>
      <c r="P348" s="5801"/>
      <c r="Q348" s="5801"/>
      <c r="R348" s="5801"/>
      <c r="S348" s="5801"/>
      <c r="T348" s="5801"/>
      <c r="U348" s="5802"/>
      <c r="V348" s="5803"/>
      <c r="W348" s="5803"/>
      <c r="X348" s="5803"/>
      <c r="Y348" s="5803"/>
    </row>
    <row r="349">
      <c r="A349" s="5812" t="s">
        <v>6069</v>
      </c>
      <c r="B349" s="5812">
        <v>46228</v>
      </c>
      <c r="C349" s="5812" t="str">
        <v>Saturday</v>
      </c>
      <c r="D349" s="5888" t="s">
        <v>6117</v>
      </c>
      <c r="E349" s="5888">
        <f t="shared" si="77"/>
      </c>
      <c r="F349" s="5881" t="s">
        <v>5844</v>
      </c>
      <c r="G349" s="6021"/>
      <c r="H349" s="5813" t="s">
        <v>5794</v>
      </c>
      <c r="I349" s="5813" t="s">
        <v>5795</v>
      </c>
      <c r="J349" s="6027"/>
      <c r="K349" s="5801"/>
      <c r="L349" s="5801"/>
      <c r="M349" s="5801"/>
      <c r="N349" s="5801"/>
      <c r="O349" s="5801"/>
      <c r="P349" s="5801"/>
      <c r="Q349" s="5801"/>
      <c r="R349" s="5801"/>
      <c r="S349" s="5801"/>
      <c r="T349" s="5801"/>
      <c r="U349" s="5802"/>
      <c r="V349" s="5803"/>
      <c r="W349" s="5803"/>
      <c r="X349" s="5803"/>
      <c r="Y349" s="5803"/>
    </row>
    <row r="350">
      <c r="A350" s="5812" t="s">
        <v>6069</v>
      </c>
      <c r="B350" s="5812">
        <v>46228</v>
      </c>
      <c r="C350" s="5812" t="str">
        <v>Saturday</v>
      </c>
      <c r="D350" s="5888" t="s">
        <v>6118</v>
      </c>
      <c r="E350" s="5888">
        <f t="shared" si="77"/>
      </c>
      <c r="F350" s="5881" t="s">
        <v>6082</v>
      </c>
      <c r="G350" s="6021" t="s">
        <v>6083</v>
      </c>
      <c r="H350" s="5813" t="s">
        <v>5794</v>
      </c>
      <c r="I350" s="5813" t="s">
        <v>5795</v>
      </c>
      <c r="J350" s="6027"/>
      <c r="K350" s="5801"/>
      <c r="L350" s="5801"/>
      <c r="M350" s="5801"/>
      <c r="N350" s="5801"/>
      <c r="O350" s="5801"/>
      <c r="P350" s="5801"/>
      <c r="Q350" s="5801"/>
      <c r="R350" s="5801"/>
      <c r="S350" s="5801"/>
      <c r="T350" s="5801"/>
      <c r="U350" s="5802"/>
      <c r="V350" s="5803"/>
      <c r="W350" s="5803"/>
      <c r="X350" s="5803"/>
      <c r="Y350" s="5803"/>
    </row>
    <row r="351">
      <c r="A351" s="5812" t="s">
        <v>6069</v>
      </c>
      <c r="B351" s="5812">
        <v>46228</v>
      </c>
      <c r="C351" s="5812" t="str">
        <v>Saturday</v>
      </c>
      <c r="D351" s="5888" t="s">
        <v>6119</v>
      </c>
      <c r="E351" s="5888">
        <f t="shared" si="77"/>
      </c>
      <c r="F351" s="5813" t="s">
        <v>5812</v>
      </c>
      <c r="G351" s="6021" t="s">
        <v>6120</v>
      </c>
      <c r="H351" s="5813" t="s">
        <v>5794</v>
      </c>
      <c r="I351" s="5813" t="s">
        <v>5795</v>
      </c>
      <c r="J351" s="6027"/>
      <c r="K351" s="5801"/>
      <c r="L351" s="5801"/>
      <c r="M351" s="5801"/>
      <c r="N351" s="5801"/>
      <c r="O351" s="5801"/>
      <c r="P351" s="5801"/>
      <c r="Q351" s="5801"/>
      <c r="R351" s="5801"/>
      <c r="S351" s="5801"/>
      <c r="T351" s="5801"/>
      <c r="U351" s="5802"/>
      <c r="V351" s="5803"/>
      <c r="W351" s="5803"/>
      <c r="X351" s="5803"/>
      <c r="Y351" s="5803"/>
    </row>
    <row r="352">
      <c r="A352" s="5812" t="s">
        <v>6077</v>
      </c>
      <c r="B352" s="5812">
        <v>46228</v>
      </c>
      <c r="C352" s="5812" t="str">
        <v>Saturday</v>
      </c>
      <c r="D352" s="5888" t="s">
        <v>6121</v>
      </c>
      <c r="E352" s="5888">
        <f t="shared" si="77"/>
      </c>
      <c r="F352" s="5888" t="s">
        <v>6079</v>
      </c>
      <c r="G352" s="6009" t="s">
        <v>6122</v>
      </c>
      <c r="H352" s="5813" t="s">
        <v>5794</v>
      </c>
      <c r="I352" s="5813" t="s">
        <v>5795</v>
      </c>
      <c r="J352" s="5888"/>
      <c r="K352" s="6010"/>
      <c r="L352" s="6010"/>
      <c r="M352" s="6010"/>
      <c r="N352" s="6010"/>
      <c r="O352" s="6010"/>
      <c r="P352" s="6010"/>
      <c r="Q352" s="6010"/>
      <c r="R352" s="6010"/>
      <c r="S352" s="6010"/>
      <c r="T352" s="6010"/>
      <c r="U352" s="6011"/>
      <c r="V352" s="6011"/>
      <c r="W352" s="6011"/>
      <c r="X352" s="6011"/>
      <c r="Y352" s="6011"/>
    </row>
    <row r="353">
      <c r="A353" s="5812"/>
      <c r="B353" s="5812"/>
      <c r="C353" s="5812"/>
      <c r="D353" s="5813"/>
      <c r="E353" s="5888"/>
      <c r="F353" s="5881"/>
      <c r="G353" s="6021"/>
      <c r="H353" s="5813"/>
      <c r="I353" s="5813"/>
      <c r="J353" s="6027"/>
      <c r="K353" s="5801"/>
      <c r="L353" s="5801"/>
      <c r="M353" s="5801"/>
      <c r="N353" s="5801"/>
      <c r="O353" s="5801"/>
      <c r="P353" s="5801"/>
      <c r="Q353" s="5801"/>
      <c r="R353" s="5801"/>
      <c r="S353" s="5801"/>
      <c r="T353" s="5801"/>
      <c r="U353" s="5802"/>
      <c r="V353" s="5803"/>
      <c r="W353" s="5803"/>
      <c r="X353" s="5803"/>
      <c r="Y353" s="5803"/>
    </row>
    <row r="354">
      <c r="A354" s="6012" t="s">
        <v>6059</v>
      </c>
      <c r="B354" s="6012">
        <v>46229</v>
      </c>
      <c r="C354" s="6012" t="str">
        <v>Sunday</v>
      </c>
      <c r="D354" s="6013" t="s">
        <v>5872</v>
      </c>
      <c r="E354" s="6013">
        <f t="shared" ref="E354:E365" si="78">24*MOD(TIMEVALUE(TRIM(MID(D354,FIND("-",D354)+1,LEN(D354)))) - TIMEVALUE(TRIM(LEFT(D354,FIND("-",D354)-1))),1)</f>
      </c>
      <c r="F354" s="6013" t="s">
        <v>5987</v>
      </c>
      <c r="G354" s="6028" t="s">
        <v>6123</v>
      </c>
      <c r="H354" s="6013" t="s">
        <v>5794</v>
      </c>
      <c r="I354" s="5813" t="s">
        <v>5795</v>
      </c>
      <c r="J354" s="6027"/>
      <c r="K354" s="5801"/>
      <c r="L354" s="5801"/>
      <c r="M354" s="5801"/>
      <c r="N354" s="5801"/>
      <c r="O354" s="5801"/>
      <c r="P354" s="5801"/>
      <c r="Q354" s="5801"/>
      <c r="R354" s="5801"/>
      <c r="S354" s="5801"/>
      <c r="T354" s="5801"/>
      <c r="U354" s="5802"/>
      <c r="V354" s="5803"/>
      <c r="W354" s="5803"/>
      <c r="X354" s="5803"/>
      <c r="Y354" s="5803"/>
    </row>
    <row r="355">
      <c r="A355" s="6012" t="s">
        <v>6059</v>
      </c>
      <c r="B355" s="6012">
        <v>46229</v>
      </c>
      <c r="C355" s="6012" t="str">
        <v>Sunday</v>
      </c>
      <c r="D355" s="6013" t="s">
        <v>5792</v>
      </c>
      <c r="E355" s="6013">
        <f t="shared" si="78"/>
      </c>
      <c r="F355" s="6013" t="s">
        <v>6103</v>
      </c>
      <c r="G355" s="6028" t="s">
        <v>6124</v>
      </c>
      <c r="H355" s="6013" t="s">
        <v>5794</v>
      </c>
      <c r="I355" s="5813" t="s">
        <v>5795</v>
      </c>
      <c r="J355" s="6027"/>
      <c r="K355" s="5801"/>
      <c r="L355" s="5801"/>
      <c r="M355" s="5801"/>
      <c r="N355" s="5801"/>
      <c r="O355" s="5801"/>
      <c r="P355" s="5801"/>
      <c r="Q355" s="5801"/>
      <c r="R355" s="5801"/>
      <c r="S355" s="5801"/>
      <c r="T355" s="5801"/>
      <c r="U355" s="5802"/>
      <c r="V355" s="5803"/>
      <c r="W355" s="5803"/>
      <c r="X355" s="5803"/>
      <c r="Y355" s="5803"/>
    </row>
    <row r="356">
      <c r="A356" s="6012" t="s">
        <v>6059</v>
      </c>
      <c r="B356" s="6012">
        <v>46229</v>
      </c>
      <c r="C356" s="6012" t="str">
        <v>Sunday</v>
      </c>
      <c r="D356" s="6013" t="s">
        <v>5804</v>
      </c>
      <c r="E356" s="6013">
        <f t="shared" si="78"/>
      </c>
      <c r="F356" s="6013" t="s">
        <v>5987</v>
      </c>
      <c r="G356" s="6028" t="s">
        <v>6125</v>
      </c>
      <c r="H356" s="6013" t="s">
        <v>5794</v>
      </c>
      <c r="I356" s="5813" t="s">
        <v>5795</v>
      </c>
      <c r="J356" s="6027"/>
      <c r="K356" s="5801"/>
      <c r="L356" s="5801"/>
      <c r="M356" s="5801"/>
      <c r="N356" s="5801"/>
      <c r="O356" s="5801"/>
      <c r="P356" s="5801"/>
      <c r="Q356" s="5801"/>
      <c r="R356" s="5801"/>
      <c r="S356" s="5801"/>
      <c r="T356" s="5801"/>
      <c r="U356" s="5802"/>
      <c r="V356" s="5803"/>
      <c r="W356" s="5803"/>
      <c r="X356" s="5803"/>
      <c r="Y356" s="5803"/>
    </row>
    <row r="357">
      <c r="A357" s="6012" t="s">
        <v>6059</v>
      </c>
      <c r="B357" s="6012">
        <v>46229</v>
      </c>
      <c r="C357" s="6012" t="str">
        <v>Sunday</v>
      </c>
      <c r="D357" s="6015" t="s">
        <v>5834</v>
      </c>
      <c r="E357" s="6013">
        <f t="shared" si="78"/>
      </c>
      <c r="F357" s="6013" t="s">
        <v>6064</v>
      </c>
      <c r="G357" s="6028" t="s">
        <v>6126</v>
      </c>
      <c r="H357" s="6013" t="s">
        <v>5794</v>
      </c>
      <c r="I357" s="5813" t="s">
        <v>5795</v>
      </c>
      <c r="J357" s="6027"/>
      <c r="K357" s="5801"/>
      <c r="L357" s="5801"/>
      <c r="M357" s="5801"/>
      <c r="N357" s="5801"/>
      <c r="O357" s="5801"/>
      <c r="P357" s="5801"/>
      <c r="Q357" s="5801"/>
      <c r="R357" s="5801"/>
      <c r="S357" s="5801"/>
      <c r="T357" s="5801"/>
      <c r="U357" s="5802"/>
      <c r="V357" s="5803"/>
      <c r="W357" s="5803"/>
      <c r="X357" s="5803"/>
      <c r="Y357" s="5803"/>
    </row>
    <row r="358">
      <c r="A358" s="6012" t="s">
        <v>6059</v>
      </c>
      <c r="B358" s="6012">
        <v>46229</v>
      </c>
      <c r="C358" s="6012" t="str">
        <v>Sunday</v>
      </c>
      <c r="D358" s="6015" t="s">
        <v>5863</v>
      </c>
      <c r="E358" s="6013">
        <f t="shared" si="78"/>
      </c>
      <c r="F358" s="6013" t="s">
        <v>6091</v>
      </c>
      <c r="G358" s="6028" t="s">
        <v>6127</v>
      </c>
      <c r="H358" s="6013" t="s">
        <v>5794</v>
      </c>
      <c r="I358" s="5813" t="s">
        <v>5795</v>
      </c>
      <c r="J358" s="6027"/>
      <c r="K358" s="5801"/>
      <c r="L358" s="5801"/>
      <c r="M358" s="5801"/>
      <c r="N358" s="5801"/>
      <c r="O358" s="5801"/>
      <c r="P358" s="5801"/>
      <c r="Q358" s="5801"/>
      <c r="R358" s="5801"/>
      <c r="S358" s="5801"/>
      <c r="T358" s="5801"/>
      <c r="U358" s="5802"/>
      <c r="V358" s="5803"/>
      <c r="W358" s="5803"/>
      <c r="X358" s="5803"/>
      <c r="Y358" s="5803"/>
    </row>
    <row r="359">
      <c r="A359" s="6012" t="s">
        <v>6059</v>
      </c>
      <c r="B359" s="6012">
        <v>46229</v>
      </c>
      <c r="C359" s="6012" t="str">
        <v>Sunday</v>
      </c>
      <c r="D359" s="6013" t="s">
        <v>6109</v>
      </c>
      <c r="E359" s="6015">
        <f t="shared" si="78"/>
      </c>
      <c r="F359" s="6013" t="s">
        <v>6064</v>
      </c>
      <c r="G359" s="6028" t="s">
        <v>6128</v>
      </c>
      <c r="H359" s="6013" t="s">
        <v>5794</v>
      </c>
      <c r="I359" s="5813" t="s">
        <v>5795</v>
      </c>
      <c r="J359" s="6027"/>
      <c r="K359" s="5801"/>
      <c r="L359" s="5801"/>
      <c r="M359" s="5801"/>
      <c r="N359" s="5801"/>
      <c r="O359" s="5801"/>
      <c r="P359" s="5801"/>
      <c r="Q359" s="5801"/>
      <c r="R359" s="5801"/>
      <c r="S359" s="5801"/>
      <c r="T359" s="5801"/>
      <c r="U359" s="5802"/>
      <c r="V359" s="5803"/>
      <c r="W359" s="5803"/>
      <c r="X359" s="5803"/>
      <c r="Y359" s="5803"/>
    </row>
    <row r="360">
      <c r="A360" s="6012" t="s">
        <v>6069</v>
      </c>
      <c r="B360" s="6012">
        <v>46229</v>
      </c>
      <c r="C360" s="6012" t="str">
        <v>Sunday</v>
      </c>
      <c r="D360" s="6029" t="s">
        <v>6129</v>
      </c>
      <c r="E360" s="6015">
        <f t="shared" si="78"/>
      </c>
      <c r="F360" s="6016" t="s">
        <v>6082</v>
      </c>
      <c r="G360" s="6028"/>
      <c r="H360" s="6013" t="s">
        <v>5794</v>
      </c>
      <c r="I360" s="5813" t="s">
        <v>5795</v>
      </c>
      <c r="J360" s="6027"/>
      <c r="K360" s="5801"/>
      <c r="L360" s="5801"/>
      <c r="M360" s="5801"/>
      <c r="N360" s="5801"/>
      <c r="O360" s="5801"/>
      <c r="P360" s="5801"/>
      <c r="Q360" s="5801"/>
      <c r="R360" s="5801"/>
      <c r="S360" s="5801"/>
      <c r="T360" s="5801"/>
      <c r="U360" s="5802"/>
      <c r="V360" s="5803"/>
      <c r="W360" s="5803"/>
      <c r="X360" s="5803"/>
      <c r="Y360" s="5803"/>
    </row>
    <row r="361">
      <c r="A361" s="6012" t="s">
        <v>6069</v>
      </c>
      <c r="B361" s="6012">
        <v>46229</v>
      </c>
      <c r="C361" s="6012" t="str">
        <v>Sunday</v>
      </c>
      <c r="D361" s="6015" t="s">
        <v>6130</v>
      </c>
      <c r="E361" s="6015">
        <f t="shared" si="78"/>
      </c>
      <c r="F361" s="6013" t="s">
        <v>6075</v>
      </c>
      <c r="G361" s="6028"/>
      <c r="H361" s="6013" t="s">
        <v>5794</v>
      </c>
      <c r="I361" s="5813" t="s">
        <v>5795</v>
      </c>
      <c r="J361" s="6027"/>
      <c r="K361" s="5801"/>
      <c r="L361" s="5801"/>
      <c r="M361" s="5801"/>
      <c r="N361" s="5801"/>
      <c r="O361" s="5801"/>
      <c r="P361" s="5801"/>
      <c r="Q361" s="5801"/>
      <c r="R361" s="5801"/>
      <c r="S361" s="5801"/>
      <c r="T361" s="5801"/>
      <c r="U361" s="5802"/>
      <c r="V361" s="5803"/>
      <c r="W361" s="5803"/>
      <c r="X361" s="5803"/>
      <c r="Y361" s="5803"/>
    </row>
    <row r="362">
      <c r="A362" s="6012" t="s">
        <v>6069</v>
      </c>
      <c r="B362" s="6012">
        <v>46229</v>
      </c>
      <c r="C362" s="6012" t="str">
        <v>Sunday</v>
      </c>
      <c r="D362" s="6015" t="s">
        <v>6131</v>
      </c>
      <c r="E362" s="6015">
        <f t="shared" si="78"/>
      </c>
      <c r="F362" s="6013" t="s">
        <v>6075</v>
      </c>
      <c r="G362" s="6028"/>
      <c r="H362" s="6013" t="s">
        <v>5794</v>
      </c>
      <c r="I362" s="5813" t="s">
        <v>5795</v>
      </c>
      <c r="J362" s="6027"/>
      <c r="K362" s="5801"/>
      <c r="L362" s="5801"/>
      <c r="M362" s="5801"/>
      <c r="N362" s="5801"/>
      <c r="O362" s="5801"/>
      <c r="P362" s="5801"/>
      <c r="Q362" s="5801"/>
      <c r="R362" s="5801"/>
      <c r="S362" s="5801"/>
      <c r="T362" s="5801"/>
      <c r="U362" s="5802"/>
      <c r="V362" s="5803"/>
      <c r="W362" s="5803"/>
      <c r="X362" s="5803"/>
      <c r="Y362" s="5803"/>
    </row>
    <row r="363">
      <c r="A363" s="6012" t="s">
        <v>6069</v>
      </c>
      <c r="B363" s="6012">
        <v>46229</v>
      </c>
      <c r="C363" s="6012" t="str">
        <v>Sunday</v>
      </c>
      <c r="D363" s="6015" t="s">
        <v>6132</v>
      </c>
      <c r="E363" s="6015">
        <f t="shared" si="78"/>
      </c>
      <c r="F363" s="6013" t="s">
        <v>5812</v>
      </c>
      <c r="G363" s="6028"/>
      <c r="H363" s="6013" t="s">
        <v>5794</v>
      </c>
      <c r="I363" s="5813" t="s">
        <v>5795</v>
      </c>
      <c r="J363" s="6027"/>
      <c r="K363" s="5801"/>
      <c r="L363" s="5801"/>
      <c r="M363" s="5801"/>
      <c r="N363" s="5801"/>
      <c r="O363" s="5801"/>
      <c r="P363" s="5801"/>
      <c r="Q363" s="5801"/>
      <c r="R363" s="5801"/>
      <c r="S363" s="5801"/>
      <c r="T363" s="5801"/>
      <c r="U363" s="5802"/>
      <c r="V363" s="5803"/>
      <c r="W363" s="5803"/>
      <c r="X363" s="5803"/>
      <c r="Y363" s="5803"/>
    </row>
    <row r="364">
      <c r="A364" s="6012" t="s">
        <v>6069</v>
      </c>
      <c r="B364" s="6012">
        <v>46229</v>
      </c>
      <c r="C364" s="6012" t="str">
        <v>Sunday</v>
      </c>
      <c r="D364" s="6015" t="s">
        <v>6073</v>
      </c>
      <c r="E364" s="6015">
        <f t="shared" si="78"/>
      </c>
      <c r="F364" s="6013" t="s">
        <v>6085</v>
      </c>
      <c r="G364" s="6028" t="s">
        <v>6133</v>
      </c>
      <c r="H364" s="6013" t="s">
        <v>5794</v>
      </c>
      <c r="I364" s="5813" t="s">
        <v>5795</v>
      </c>
      <c r="J364" s="6027"/>
      <c r="K364" s="5801"/>
      <c r="L364" s="5801"/>
      <c r="M364" s="5801"/>
      <c r="N364" s="5801"/>
      <c r="O364" s="5801"/>
      <c r="P364" s="5801"/>
      <c r="Q364" s="5801"/>
      <c r="R364" s="5801"/>
      <c r="S364" s="5801"/>
      <c r="T364" s="5801"/>
      <c r="U364" s="5802"/>
      <c r="V364" s="5803"/>
      <c r="W364" s="5803"/>
      <c r="X364" s="5803"/>
      <c r="Y364" s="5803"/>
    </row>
    <row r="365">
      <c r="A365" s="6012" t="s">
        <v>6069</v>
      </c>
      <c r="B365" s="6012">
        <v>46229</v>
      </c>
      <c r="C365" s="6012" t="str">
        <v>Sunday</v>
      </c>
      <c r="D365" s="6015" t="s">
        <v>6134</v>
      </c>
      <c r="E365" s="6015">
        <f t="shared" si="78"/>
      </c>
      <c r="F365" s="6013" t="s">
        <v>5812</v>
      </c>
      <c r="G365" s="6028"/>
      <c r="H365" s="6013" t="s">
        <v>5794</v>
      </c>
      <c r="I365" s="5813" t="s">
        <v>5795</v>
      </c>
      <c r="J365" s="6027"/>
      <c r="K365" s="5801"/>
      <c r="L365" s="5801"/>
      <c r="M365" s="5801"/>
      <c r="N365" s="5801"/>
      <c r="O365" s="5801"/>
      <c r="P365" s="5801"/>
      <c r="Q365" s="5801"/>
      <c r="R365" s="5801"/>
      <c r="S365" s="5801"/>
      <c r="T365" s="5801"/>
      <c r="U365" s="5802"/>
      <c r="V365" s="5803"/>
      <c r="W365" s="5803"/>
      <c r="X365" s="5803"/>
      <c r="Y365" s="5803"/>
    </row>
    <row r="366">
      <c r="A366" s="6012"/>
      <c r="B366" s="6012"/>
      <c r="C366" s="6012"/>
      <c r="D366" s="6015"/>
      <c r="E366" s="6015"/>
      <c r="F366" s="6016"/>
      <c r="G366" s="6028"/>
      <c r="H366" s="6013"/>
      <c r="I366" s="5813"/>
      <c r="J366" s="6027"/>
      <c r="K366" s="5801"/>
      <c r="L366" s="5801"/>
      <c r="M366" s="5801"/>
      <c r="N366" s="5801"/>
      <c r="O366" s="5801"/>
      <c r="P366" s="5801"/>
      <c r="Q366" s="5801"/>
      <c r="R366" s="5801"/>
      <c r="S366" s="5801"/>
      <c r="T366" s="5801"/>
      <c r="U366" s="5802"/>
      <c r="V366" s="5803"/>
      <c r="W366" s="5803"/>
      <c r="X366" s="5803"/>
      <c r="Y366" s="5803"/>
    </row>
    <row r="367">
      <c r="A367" s="6012"/>
      <c r="B367" s="6012"/>
      <c r="C367" s="6012"/>
      <c r="D367" s="6015"/>
      <c r="E367" s="6015"/>
      <c r="F367" s="6016"/>
      <c r="G367" s="6028"/>
      <c r="H367" s="6013"/>
      <c r="I367" s="5813"/>
      <c r="J367" s="6027"/>
      <c r="K367" s="5801"/>
      <c r="L367" s="5801"/>
      <c r="M367" s="5801"/>
      <c r="N367" s="5801"/>
      <c r="O367" s="5801"/>
      <c r="P367" s="5801"/>
      <c r="Q367" s="5801"/>
      <c r="R367" s="5801"/>
      <c r="S367" s="5801"/>
      <c r="T367" s="5801"/>
      <c r="U367" s="5802"/>
      <c r="V367" s="5803"/>
      <c r="W367" s="5803"/>
      <c r="X367" s="5803"/>
      <c r="Y367" s="5803"/>
    </row>
    <row r="368">
      <c r="A368" s="6030"/>
      <c r="B368" s="6030"/>
      <c r="C368" s="6030"/>
      <c r="D368" s="6030"/>
      <c r="E368" s="6030"/>
      <c r="F368" s="6030"/>
      <c r="G368" s="6030"/>
      <c r="H368" s="6030"/>
      <c r="I368" s="6030"/>
      <c r="J368" s="5987"/>
      <c r="K368" s="5801"/>
      <c r="L368" s="5801"/>
      <c r="M368" s="5801"/>
      <c r="N368" s="5801"/>
      <c r="O368" s="5801"/>
      <c r="P368" s="5801"/>
      <c r="Q368" s="5801"/>
      <c r="R368" s="5801"/>
      <c r="S368" s="5801"/>
      <c r="T368" s="5801"/>
      <c r="U368" s="5802"/>
      <c r="V368" s="5803"/>
      <c r="W368" s="5803"/>
      <c r="X368" s="5803"/>
      <c r="Y368" s="5803"/>
    </row>
    <row r="369">
      <c r="A369" s="6006" t="s">
        <v>6135</v>
      </c>
      <c r="B369" s="6006"/>
      <c r="C369" s="6006"/>
      <c r="D369" s="6006"/>
      <c r="E369" s="6006"/>
      <c r="F369" s="6006"/>
      <c r="G369" s="6006"/>
      <c r="H369" s="6006"/>
      <c r="I369" s="6006"/>
      <c r="J369" s="6006"/>
      <c r="K369" s="5801"/>
      <c r="L369" s="5801"/>
      <c r="M369" s="5801"/>
      <c r="N369" s="5801"/>
      <c r="O369" s="5801"/>
      <c r="P369" s="5801"/>
      <c r="Q369" s="5801"/>
      <c r="R369" s="5801"/>
      <c r="S369" s="5801"/>
      <c r="T369" s="5801"/>
      <c r="U369" s="5802"/>
      <c r="V369" s="5803"/>
      <c r="W369" s="5803"/>
      <c r="X369" s="5803"/>
      <c r="Y369" s="5803"/>
    </row>
    <row r="370">
      <c r="A370" s="6007" t="s">
        <v>5782</v>
      </c>
      <c r="B370" s="5961" t="s">
        <v>5783</v>
      </c>
      <c r="C370" s="5961"/>
      <c r="D370" s="5963" t="s">
        <v>5784</v>
      </c>
      <c r="E370" s="5966" t="s">
        <v>5785</v>
      </c>
      <c r="F370" s="5966" t="s">
        <v>5786</v>
      </c>
      <c r="G370" s="6008" t="s">
        <v>5809</v>
      </c>
      <c r="H370" s="5966" t="s">
        <v>5788</v>
      </c>
      <c r="I370" s="5966" t="s">
        <v>5789</v>
      </c>
      <c r="J370" s="5966" t="s">
        <v>5790</v>
      </c>
      <c r="K370" s="5801"/>
      <c r="L370" s="5801"/>
      <c r="M370" s="5801"/>
      <c r="N370" s="5801"/>
      <c r="O370" s="5801"/>
      <c r="P370" s="5801"/>
      <c r="Q370" s="5801"/>
      <c r="R370" s="5801"/>
      <c r="S370" s="5801"/>
      <c r="T370" s="5801"/>
      <c r="U370" s="5802"/>
      <c r="V370" s="5803"/>
      <c r="W370" s="5803"/>
      <c r="X370" s="5803"/>
      <c r="Y370" s="5803"/>
    </row>
    <row r="371">
      <c r="A371" s="5880" t="s">
        <v>6136</v>
      </c>
      <c r="B371" s="5812">
        <v>46218</v>
      </c>
      <c r="C371" s="5812" t="str">
        <v>Wednesday</v>
      </c>
      <c r="D371" s="5816" t="s">
        <v>6137</v>
      </c>
      <c r="E371" s="5816">
        <f t="shared" ref="E371:E373" si="79">24*MOD(TIMEVALUE(TRIM(MID(D371,FIND("-",D371)+1,LEN(D371)))) - TIMEVALUE(TRIM(LEFT(D371,FIND("-",D371)-1))),1)</f>
      </c>
      <c r="F371" s="5816"/>
      <c r="G371" s="6031"/>
      <c r="H371" s="5816"/>
      <c r="I371" s="6013" t="s">
        <v>5795</v>
      </c>
      <c r="J371" s="5857"/>
      <c r="K371" s="5801"/>
      <c r="L371" s="5801"/>
      <c r="M371" s="5801"/>
      <c r="N371" s="5801"/>
      <c r="O371" s="5801"/>
      <c r="P371" s="5801"/>
      <c r="Q371" s="5801"/>
      <c r="R371" s="5801"/>
      <c r="S371" s="5801"/>
      <c r="T371" s="5801"/>
      <c r="U371" s="5802"/>
      <c r="V371" s="5803"/>
      <c r="W371" s="5803"/>
      <c r="X371" s="5803"/>
      <c r="Y371" s="5803"/>
    </row>
    <row r="372">
      <c r="A372" s="5880" t="s">
        <v>6136</v>
      </c>
      <c r="B372" s="5812">
        <v>46219</v>
      </c>
      <c r="C372" s="5812" t="str">
        <v>Thursday</v>
      </c>
      <c r="D372" s="5816" t="s">
        <v>5892</v>
      </c>
      <c r="E372" s="5816">
        <f t="shared" si="79"/>
      </c>
      <c r="F372" s="5816"/>
      <c r="G372" s="6031"/>
      <c r="H372" s="5816"/>
      <c r="I372" s="6013"/>
      <c r="J372" s="5857"/>
      <c r="K372" s="5801"/>
      <c r="L372" s="5801"/>
      <c r="M372" s="5801"/>
      <c r="N372" s="5801"/>
      <c r="O372" s="5801"/>
      <c r="P372" s="5801"/>
      <c r="Q372" s="5801"/>
      <c r="R372" s="5801"/>
      <c r="S372" s="5801"/>
      <c r="T372" s="5801"/>
      <c r="U372" s="5802"/>
      <c r="V372" s="5803"/>
      <c r="W372" s="5803"/>
      <c r="X372" s="5803"/>
      <c r="Y372" s="5803"/>
    </row>
    <row r="373">
      <c r="A373" s="5880" t="s">
        <v>6069</v>
      </c>
      <c r="B373" s="5812">
        <v>46219</v>
      </c>
      <c r="C373" s="5812" t="str">
        <v>Thursday</v>
      </c>
      <c r="D373" s="5816" t="s">
        <v>5892</v>
      </c>
      <c r="E373" s="5816">
        <f t="shared" si="79"/>
      </c>
      <c r="F373" s="5816"/>
      <c r="G373" s="6031"/>
      <c r="H373" s="5816"/>
      <c r="I373" s="5813" t="s">
        <v>5795</v>
      </c>
      <c r="J373" s="5857"/>
      <c r="K373" s="5801"/>
      <c r="L373" s="5801"/>
      <c r="M373" s="5801"/>
      <c r="N373" s="5801"/>
      <c r="O373" s="5801"/>
      <c r="P373" s="5801"/>
      <c r="Q373" s="5801"/>
      <c r="R373" s="5801"/>
      <c r="S373" s="5801"/>
      <c r="T373" s="5801"/>
      <c r="U373" s="5802"/>
      <c r="V373" s="5803"/>
      <c r="W373" s="5803"/>
      <c r="X373" s="5803"/>
      <c r="Y373" s="5803"/>
    </row>
    <row r="374">
      <c r="A374" s="5880"/>
      <c r="B374" s="5812"/>
      <c r="C374" s="5812"/>
      <c r="D374" s="5816"/>
      <c r="E374" s="5816"/>
      <c r="F374" s="5816"/>
      <c r="G374" s="6031"/>
      <c r="H374" s="5816"/>
      <c r="I374" s="6013"/>
      <c r="J374" s="5857"/>
      <c r="K374" s="5801"/>
      <c r="L374" s="5801"/>
      <c r="M374" s="5801"/>
      <c r="N374" s="5801"/>
      <c r="O374" s="5801"/>
      <c r="P374" s="5801"/>
      <c r="Q374" s="5801"/>
      <c r="R374" s="5801"/>
      <c r="S374" s="5801"/>
      <c r="T374" s="5801"/>
      <c r="U374" s="5802"/>
      <c r="V374" s="5803"/>
      <c r="W374" s="5803"/>
      <c r="X374" s="5803"/>
      <c r="Y374" s="5803"/>
    </row>
    <row r="375">
      <c r="A375" s="5967" t="s">
        <v>6138</v>
      </c>
      <c r="B375" s="5967"/>
      <c r="C375" s="5967"/>
      <c r="D375" s="5967"/>
      <c r="E375" s="5967"/>
      <c r="F375" s="5967"/>
      <c r="G375" s="5967"/>
      <c r="H375" s="5967"/>
      <c r="I375" s="5967"/>
      <c r="J375" s="5967"/>
      <c r="K375" s="5801"/>
      <c r="L375" s="5801"/>
      <c r="M375" s="5801"/>
      <c r="N375" s="5801"/>
      <c r="O375" s="5801"/>
      <c r="P375" s="5801"/>
      <c r="Q375" s="5801"/>
      <c r="R375" s="5801"/>
      <c r="S375" s="5801"/>
      <c r="T375" s="5801"/>
      <c r="U375" s="5802"/>
      <c r="V375" s="5803"/>
      <c r="W375" s="5803"/>
      <c r="X375" s="5803"/>
      <c r="Y375" s="5803"/>
    </row>
    <row r="376">
      <c r="A376" s="5968" t="s">
        <v>5782</v>
      </c>
      <c r="B376" s="5969" t="s">
        <v>5783</v>
      </c>
      <c r="C376" s="5969"/>
      <c r="D376" s="5970" t="s">
        <v>5784</v>
      </c>
      <c r="E376" s="5971" t="s">
        <v>5785</v>
      </c>
      <c r="F376" s="5971" t="s">
        <v>5786</v>
      </c>
      <c r="G376" s="5971"/>
      <c r="H376" s="5973" t="s">
        <v>5788</v>
      </c>
      <c r="I376" s="5974" t="s">
        <v>5789</v>
      </c>
      <c r="J376" s="5974" t="s">
        <v>5790</v>
      </c>
      <c r="K376" s="5801"/>
      <c r="L376" s="5801"/>
      <c r="M376" s="5801"/>
      <c r="N376" s="5801"/>
      <c r="O376" s="5801"/>
      <c r="P376" s="5801"/>
      <c r="Q376" s="5801"/>
      <c r="R376" s="5801"/>
      <c r="S376" s="5801"/>
      <c r="T376" s="5801"/>
      <c r="U376" s="5802"/>
      <c r="V376" s="5803"/>
      <c r="W376" s="5803"/>
      <c r="X376" s="5803"/>
      <c r="Y376" s="5803"/>
    </row>
    <row r="377">
      <c r="A377" s="5812" t="s">
        <v>6139</v>
      </c>
      <c r="B377" s="5812">
        <v>46224</v>
      </c>
      <c r="C377" s="5812" t="str">
        <v>Tuesday</v>
      </c>
      <c r="D377" s="5813" t="s">
        <v>5819</v>
      </c>
      <c r="E377" s="5813">
        <v>2</v>
      </c>
      <c r="F377" s="5813" t="s">
        <v>5800</v>
      </c>
      <c r="G377" s="6031" t="s">
        <v>6140</v>
      </c>
      <c r="H377" s="5817" t="s">
        <v>5794</v>
      </c>
      <c r="I377" s="5813" t="s">
        <v>5795</v>
      </c>
      <c r="J377" s="6032"/>
      <c r="K377" s="5801"/>
      <c r="L377" s="5801"/>
      <c r="M377" s="5801"/>
      <c r="N377" s="5801"/>
      <c r="O377" s="5801"/>
      <c r="P377" s="5801"/>
      <c r="Q377" s="5801"/>
      <c r="R377" s="5801"/>
      <c r="S377" s="5801"/>
      <c r="T377" s="5801"/>
      <c r="U377" s="5802"/>
      <c r="V377" s="5803"/>
      <c r="W377" s="5803"/>
      <c r="X377" s="5803"/>
      <c r="Y377" s="5803"/>
    </row>
    <row r="378">
      <c r="A378" s="5812" t="s">
        <v>6139</v>
      </c>
      <c r="B378" s="5812">
        <v>46225</v>
      </c>
      <c r="C378" s="5812" t="str">
        <v>Wednesday</v>
      </c>
      <c r="D378" s="5813" t="s">
        <v>6141</v>
      </c>
      <c r="E378" s="5813">
        <v>2</v>
      </c>
      <c r="F378" s="5813" t="s">
        <v>5816</v>
      </c>
      <c r="G378" s="6031" t="s">
        <v>6140</v>
      </c>
      <c r="H378" s="5817" t="s">
        <v>5794</v>
      </c>
      <c r="I378" s="5813" t="s">
        <v>5795</v>
      </c>
      <c r="J378" s="5857"/>
      <c r="K378" s="5801"/>
      <c r="L378" s="5801"/>
      <c r="M378" s="5801"/>
      <c r="N378" s="5801"/>
      <c r="O378" s="5801"/>
      <c r="P378" s="5801"/>
      <c r="Q378" s="5801"/>
      <c r="R378" s="5801"/>
      <c r="S378" s="5801"/>
      <c r="T378" s="5801"/>
      <c r="U378" s="5802"/>
      <c r="V378" s="5803"/>
      <c r="W378" s="5803"/>
      <c r="X378" s="5803"/>
      <c r="Y378" s="5803"/>
    </row>
    <row r="379">
      <c r="A379" s="5812" t="s">
        <v>6139</v>
      </c>
      <c r="B379" s="5812">
        <v>46227</v>
      </c>
      <c r="C379" s="5812" t="str">
        <v>Friday</v>
      </c>
      <c r="D379" s="5813" t="s">
        <v>5842</v>
      </c>
      <c r="E379" s="5813">
        <v>3</v>
      </c>
      <c r="F379" s="5813" t="s">
        <v>5800</v>
      </c>
      <c r="G379" s="6031" t="s">
        <v>6140</v>
      </c>
      <c r="H379" s="5817" t="s">
        <v>5794</v>
      </c>
      <c r="I379" s="5813" t="s">
        <v>5795</v>
      </c>
      <c r="J379" s="5857"/>
      <c r="K379" s="5801"/>
      <c r="L379" s="5801"/>
      <c r="M379" s="5801"/>
      <c r="N379" s="5801"/>
      <c r="O379" s="5801"/>
      <c r="P379" s="5801"/>
      <c r="Q379" s="5801"/>
      <c r="R379" s="5801"/>
      <c r="S379" s="5801"/>
      <c r="T379" s="5801"/>
      <c r="U379" s="5802"/>
      <c r="V379" s="5803"/>
      <c r="W379" s="5803"/>
      <c r="X379" s="5803"/>
      <c r="Y379" s="5803"/>
    </row>
    <row r="380">
      <c r="A380" s="5812" t="s">
        <v>6142</v>
      </c>
      <c r="B380" s="5812">
        <v>46224</v>
      </c>
      <c r="C380" s="5812" t="str">
        <v>Tuesday</v>
      </c>
      <c r="D380" s="5813" t="s">
        <v>5864</v>
      </c>
      <c r="E380" s="5813">
        <v>1</v>
      </c>
      <c r="F380" s="5813" t="s">
        <v>5800</v>
      </c>
      <c r="G380" s="5813"/>
      <c r="H380" s="5817" t="s">
        <v>5794</v>
      </c>
      <c r="I380" s="5813"/>
      <c r="J380" s="6032"/>
      <c r="K380" s="5801"/>
      <c r="L380" s="5801"/>
      <c r="M380" s="5801"/>
      <c r="N380" s="5801"/>
      <c r="O380" s="5801"/>
      <c r="P380" s="5801"/>
      <c r="Q380" s="5801"/>
      <c r="R380" s="5801"/>
      <c r="S380" s="5801"/>
      <c r="T380" s="5801"/>
      <c r="U380" s="5802"/>
      <c r="V380" s="5803"/>
      <c r="W380" s="5803"/>
      <c r="X380" s="5803"/>
      <c r="Y380" s="5803"/>
    </row>
    <row r="381">
      <c r="A381" s="5812" t="s">
        <v>6143</v>
      </c>
      <c r="B381" s="5812">
        <v>46225</v>
      </c>
      <c r="C381" s="5812" t="str">
        <v>Wednesday</v>
      </c>
      <c r="D381" s="5813" t="s">
        <v>6141</v>
      </c>
      <c r="E381" s="5813">
        <v>2</v>
      </c>
      <c r="F381" s="5813" t="s">
        <v>5844</v>
      </c>
      <c r="G381" s="5813"/>
      <c r="H381" s="5817"/>
      <c r="I381" s="5813"/>
      <c r="J381" s="6032"/>
      <c r="K381" s="5801"/>
      <c r="L381" s="5801"/>
      <c r="M381" s="5801"/>
      <c r="N381" s="5801"/>
      <c r="O381" s="5801"/>
      <c r="P381" s="5801"/>
      <c r="Q381" s="5801"/>
      <c r="R381" s="5801"/>
      <c r="S381" s="5801"/>
      <c r="T381" s="5801"/>
      <c r="U381" s="5802"/>
      <c r="V381" s="5803"/>
      <c r="W381" s="5803"/>
      <c r="X381" s="5803"/>
      <c r="Y381" s="5803"/>
    </row>
    <row r="382">
      <c r="A382" s="5812"/>
      <c r="B382" s="5812"/>
      <c r="C382" s="5812"/>
      <c r="D382" s="5813"/>
      <c r="E382" s="5813"/>
      <c r="F382" s="5816"/>
      <c r="G382" s="5813"/>
      <c r="H382" s="5817"/>
      <c r="I382" s="5813"/>
      <c r="J382" s="6032"/>
      <c r="K382" s="5801"/>
      <c r="L382" s="5801"/>
      <c r="M382" s="5801"/>
      <c r="N382" s="5801"/>
      <c r="O382" s="5801"/>
      <c r="P382" s="5801"/>
      <c r="Q382" s="5801"/>
      <c r="R382" s="5801"/>
      <c r="S382" s="5801"/>
      <c r="T382" s="5801"/>
      <c r="U382" s="5802"/>
      <c r="V382" s="5803"/>
      <c r="W382" s="5803"/>
      <c r="X382" s="5803"/>
      <c r="Y382" s="5803"/>
    </row>
    <row r="383">
      <c r="A383" s="5987"/>
      <c r="B383" s="5987"/>
      <c r="C383" s="5987"/>
      <c r="D383" s="5987"/>
      <c r="E383" s="5987"/>
      <c r="F383" s="5987"/>
      <c r="G383" s="6033"/>
      <c r="H383" s="5987"/>
      <c r="I383" s="5987"/>
      <c r="J383" s="5987"/>
      <c r="K383" s="5801"/>
      <c r="L383" s="5801"/>
      <c r="M383" s="5801"/>
      <c r="N383" s="5801"/>
      <c r="O383" s="5801"/>
      <c r="P383" s="5801"/>
      <c r="Q383" s="5801"/>
      <c r="R383" s="5801"/>
      <c r="S383" s="5801"/>
      <c r="T383" s="5801"/>
      <c r="U383" s="5802"/>
      <c r="V383" s="5803"/>
      <c r="W383" s="5803"/>
      <c r="X383" s="5803"/>
      <c r="Y383" s="5803"/>
    </row>
    <row r="384">
      <c r="A384" s="6034" t="s">
        <v>6144</v>
      </c>
      <c r="B384" s="6034"/>
      <c r="C384" s="6034"/>
      <c r="D384" s="6034"/>
      <c r="E384" s="6034"/>
      <c r="F384" s="6034"/>
      <c r="G384" s="6034"/>
      <c r="H384" s="6034"/>
      <c r="I384" s="6034"/>
      <c r="J384" s="6034"/>
      <c r="K384" s="5801"/>
      <c r="L384" s="5801"/>
      <c r="M384" s="5801"/>
      <c r="N384" s="5801"/>
      <c r="O384" s="5801"/>
      <c r="P384" s="5801"/>
      <c r="Q384" s="5801"/>
      <c r="R384" s="5801"/>
      <c r="S384" s="5801"/>
      <c r="T384" s="5801"/>
      <c r="U384" s="5802"/>
      <c r="V384" s="5803"/>
      <c r="W384" s="5803"/>
      <c r="X384" s="5803"/>
      <c r="Y384" s="5803"/>
    </row>
    <row r="385">
      <c r="A385" s="6035" t="s">
        <v>5782</v>
      </c>
      <c r="B385" s="6036" t="s">
        <v>5783</v>
      </c>
      <c r="C385" s="6036"/>
      <c r="D385" s="6037" t="s">
        <v>5784</v>
      </c>
      <c r="E385" s="6037" t="s">
        <v>5785</v>
      </c>
      <c r="F385" s="6037" t="s">
        <v>5786</v>
      </c>
      <c r="G385" s="6038" t="s">
        <v>5809</v>
      </c>
      <c r="H385" s="6037" t="s">
        <v>5788</v>
      </c>
      <c r="I385" s="6037" t="s">
        <v>5789</v>
      </c>
      <c r="J385" s="6037" t="s">
        <v>5790</v>
      </c>
      <c r="K385" s="5801"/>
      <c r="L385" s="5801"/>
      <c r="M385" s="5801"/>
      <c r="N385" s="5801"/>
      <c r="O385" s="5801"/>
      <c r="P385" s="5801"/>
      <c r="Q385" s="5801"/>
      <c r="R385" s="5801"/>
      <c r="S385" s="5801"/>
      <c r="T385" s="5801"/>
      <c r="U385" s="5802"/>
      <c r="V385" s="5803"/>
      <c r="W385" s="5803"/>
      <c r="X385" s="5803"/>
      <c r="Y385" s="5803"/>
    </row>
    <row r="386">
      <c r="A386" s="5820"/>
      <c r="B386" s="5820"/>
      <c r="C386" s="5820"/>
      <c r="D386" s="5821"/>
      <c r="E386" s="5821"/>
      <c r="F386" s="5821"/>
      <c r="G386" s="5908"/>
      <c r="H386" s="5821"/>
      <c r="I386" s="5821"/>
      <c r="J386" s="5821"/>
      <c r="K386" s="5801"/>
      <c r="L386" s="5801"/>
      <c r="M386" s="5801"/>
      <c r="N386" s="5801"/>
      <c r="O386" s="5801"/>
      <c r="P386" s="5801"/>
      <c r="Q386" s="5801"/>
      <c r="R386" s="5801"/>
      <c r="S386" s="5801"/>
      <c r="T386" s="5801"/>
      <c r="U386" s="5802"/>
      <c r="V386" s="5803"/>
      <c r="W386" s="5803"/>
      <c r="X386" s="5803"/>
      <c r="Y386" s="5803"/>
    </row>
    <row r="387">
      <c r="A387" s="5820"/>
      <c r="B387" s="5820"/>
      <c r="C387" s="5820"/>
      <c r="D387" s="5821"/>
      <c r="E387" s="5821"/>
      <c r="F387" s="5821"/>
      <c r="G387" s="5908"/>
      <c r="H387" s="5821"/>
      <c r="I387" s="5821"/>
      <c r="J387" s="5821"/>
      <c r="K387" s="5801"/>
      <c r="L387" s="5801"/>
      <c r="M387" s="5801"/>
      <c r="N387" s="5801"/>
      <c r="O387" s="5801"/>
      <c r="P387" s="5801"/>
      <c r="Q387" s="5801"/>
      <c r="R387" s="5801"/>
      <c r="S387" s="5801"/>
      <c r="T387" s="5801"/>
      <c r="U387" s="5802"/>
      <c r="V387" s="5803"/>
      <c r="W387" s="5803"/>
      <c r="X387" s="5803"/>
      <c r="Y387" s="5803"/>
    </row>
    <row r="388">
      <c r="A388" s="5812"/>
      <c r="B388" s="5812"/>
      <c r="C388" s="5812"/>
      <c r="D388" s="5813"/>
      <c r="E388" s="5813"/>
      <c r="F388" s="5816"/>
      <c r="G388" s="5876"/>
      <c r="H388" s="5816"/>
      <c r="I388" s="5816"/>
      <c r="J388" s="5816"/>
      <c r="K388" s="5801"/>
      <c r="L388" s="5801"/>
      <c r="M388" s="5801"/>
      <c r="N388" s="5801"/>
      <c r="O388" s="5801"/>
      <c r="P388" s="5801"/>
      <c r="Q388" s="5801"/>
      <c r="R388" s="5801"/>
      <c r="S388" s="5801"/>
      <c r="T388" s="5801"/>
      <c r="U388" s="5802"/>
      <c r="V388" s="5803"/>
      <c r="W388" s="5803"/>
      <c r="X388" s="5803"/>
      <c r="Y388" s="5803"/>
    </row>
    <row r="389">
      <c r="A389" s="5812"/>
      <c r="B389" s="5812"/>
      <c r="C389" s="5812"/>
      <c r="D389" s="5813"/>
      <c r="E389" s="5813"/>
      <c r="F389" s="5816"/>
      <c r="G389" s="5876"/>
      <c r="H389" s="5816"/>
      <c r="I389" s="5816"/>
      <c r="J389" s="5816"/>
      <c r="K389" s="5801"/>
      <c r="L389" s="5801"/>
      <c r="M389" s="5801"/>
      <c r="N389" s="5801"/>
      <c r="O389" s="5801"/>
      <c r="P389" s="5801"/>
      <c r="Q389" s="5801"/>
      <c r="R389" s="5801"/>
      <c r="S389" s="5801"/>
      <c r="T389" s="5801"/>
      <c r="U389" s="5802"/>
      <c r="V389" s="5803"/>
      <c r="W389" s="5803"/>
      <c r="X389" s="5803"/>
      <c r="Y389" s="5803"/>
    </row>
    <row r="390">
      <c r="A390" s="5820"/>
      <c r="B390" s="5820"/>
      <c r="C390" s="5820"/>
      <c r="D390" s="5821"/>
      <c r="E390" s="5821"/>
      <c r="F390" s="5821"/>
      <c r="G390" s="5908"/>
      <c r="H390" s="5821"/>
      <c r="I390" s="5821"/>
      <c r="J390" s="5821"/>
      <c r="K390" s="5801"/>
      <c r="L390" s="5801"/>
      <c r="M390" s="5801"/>
      <c r="N390" s="5801"/>
      <c r="O390" s="5801"/>
      <c r="P390" s="5801"/>
      <c r="Q390" s="5801"/>
      <c r="R390" s="5801"/>
      <c r="S390" s="5801"/>
      <c r="T390" s="5801"/>
      <c r="U390" s="5802"/>
      <c r="V390" s="5803"/>
      <c r="W390" s="5803"/>
      <c r="X390" s="5803"/>
      <c r="Y390" s="5803"/>
    </row>
    <row r="391">
      <c r="A391" s="5820"/>
      <c r="B391" s="5820"/>
      <c r="C391" s="5820"/>
      <c r="D391" s="5821"/>
      <c r="E391" s="5821"/>
      <c r="F391" s="5821"/>
      <c r="G391" s="5908"/>
      <c r="H391" s="5821"/>
      <c r="I391" s="5821"/>
      <c r="J391" s="5821"/>
      <c r="K391" s="5801"/>
      <c r="L391" s="5801"/>
      <c r="M391" s="5801"/>
      <c r="N391" s="5801"/>
      <c r="O391" s="5801"/>
      <c r="P391" s="5801"/>
      <c r="Q391" s="5801"/>
      <c r="R391" s="5801"/>
      <c r="S391" s="5801"/>
      <c r="T391" s="5801"/>
      <c r="U391" s="5802"/>
      <c r="V391" s="5803"/>
      <c r="W391" s="5803"/>
      <c r="X391" s="5803"/>
      <c r="Y391" s="5803"/>
    </row>
    <row r="392">
      <c r="A392" s="5987"/>
      <c r="B392" s="5987"/>
      <c r="C392" s="5987"/>
      <c r="D392" s="5803"/>
      <c r="E392" s="5987"/>
      <c r="F392" s="5987"/>
      <c r="G392" s="6033"/>
      <c r="H392" s="5987"/>
      <c r="I392" s="5987"/>
      <c r="J392" s="5987"/>
      <c r="K392" s="5801"/>
      <c r="L392" s="5801"/>
      <c r="M392" s="5801"/>
      <c r="N392" s="5801"/>
      <c r="O392" s="5801"/>
      <c r="P392" s="5801"/>
      <c r="Q392" s="5801"/>
      <c r="R392" s="5801"/>
      <c r="S392" s="5801"/>
      <c r="T392" s="5801"/>
      <c r="U392" s="5802"/>
      <c r="V392" s="5803"/>
      <c r="W392" s="5803"/>
      <c r="X392" s="5803"/>
      <c r="Y392" s="5803"/>
    </row>
    <row r="393">
      <c r="A393" s="5909" t="s">
        <v>6145</v>
      </c>
      <c r="B393" s="5909"/>
      <c r="C393" s="5909"/>
      <c r="D393" s="5909"/>
      <c r="E393" s="5909"/>
      <c r="F393" s="5909"/>
      <c r="G393" s="5909"/>
      <c r="H393" s="5909"/>
      <c r="I393" s="5909"/>
      <c r="J393" s="5909"/>
      <c r="K393" s="5870"/>
      <c r="L393" s="5870"/>
      <c r="M393" s="5870"/>
      <c r="N393" s="5870"/>
      <c r="O393" s="5801"/>
      <c r="P393" s="5801"/>
      <c r="Q393" s="5801"/>
      <c r="R393" s="5801"/>
      <c r="S393" s="5801"/>
      <c r="T393" s="5801"/>
      <c r="U393" s="5802"/>
      <c r="V393" s="5803"/>
      <c r="W393" s="5803"/>
      <c r="X393" s="5803"/>
      <c r="Y393" s="5803"/>
    </row>
    <row r="394">
      <c r="A394" s="5909"/>
      <c r="B394" s="5909"/>
      <c r="C394" s="5909"/>
      <c r="D394" s="5909"/>
      <c r="E394" s="5909"/>
      <c r="F394" s="5909"/>
      <c r="G394" s="5909"/>
      <c r="H394" s="5909"/>
      <c r="I394" s="5909"/>
      <c r="J394" s="5909"/>
      <c r="K394" s="5870"/>
      <c r="L394" s="5870"/>
      <c r="M394" s="5870"/>
      <c r="N394" s="5870"/>
      <c r="O394" s="5801"/>
      <c r="P394" s="5801"/>
      <c r="Q394" s="5801"/>
      <c r="R394" s="5801"/>
      <c r="S394" s="5801"/>
      <c r="T394" s="5801"/>
      <c r="U394" s="5802"/>
      <c r="V394" s="5803"/>
      <c r="W394" s="5803"/>
      <c r="X394" s="5803"/>
      <c r="Y394" s="5803"/>
    </row>
    <row r="395">
      <c r="A395" s="5911" t="s">
        <v>5782</v>
      </c>
      <c r="B395" s="5912" t="s">
        <v>5783</v>
      </c>
      <c r="C395" s="5912"/>
      <c r="D395" s="5913" t="s">
        <v>5784</v>
      </c>
      <c r="E395" s="5913" t="s">
        <v>5785</v>
      </c>
      <c r="F395" s="5913" t="s">
        <v>5786</v>
      </c>
      <c r="G395" s="5914" t="s">
        <v>5809</v>
      </c>
      <c r="H395" s="5913" t="s">
        <v>5788</v>
      </c>
      <c r="I395" s="5913" t="s">
        <v>5789</v>
      </c>
      <c r="J395" s="5913" t="s">
        <v>5790</v>
      </c>
      <c r="K395" s="5870"/>
      <c r="L395" s="5870"/>
      <c r="M395" s="5870"/>
      <c r="N395" s="5870"/>
      <c r="O395" s="5801"/>
      <c r="P395" s="5801"/>
      <c r="Q395" s="5801"/>
      <c r="R395" s="5801"/>
      <c r="S395" s="5801"/>
      <c r="T395" s="5801"/>
      <c r="U395" s="5802"/>
      <c r="V395" s="5803"/>
      <c r="W395" s="5803"/>
      <c r="X395" s="5803"/>
      <c r="Y395" s="5803"/>
    </row>
    <row r="396">
      <c r="A396" s="5812"/>
      <c r="B396" s="5812"/>
      <c r="C396" s="5812"/>
      <c r="D396" s="5813"/>
      <c r="E396" s="5813"/>
      <c r="F396" s="5816"/>
      <c r="G396" s="5876"/>
      <c r="H396" s="5816"/>
      <c r="I396" s="5813"/>
      <c r="J396" s="5816"/>
      <c r="K396" s="5870"/>
      <c r="L396" s="5870"/>
      <c r="M396" s="5870"/>
      <c r="N396" s="5870"/>
      <c r="O396" s="5801"/>
      <c r="P396" s="5801"/>
      <c r="Q396" s="5801"/>
      <c r="R396" s="5801"/>
      <c r="S396" s="5801"/>
      <c r="T396" s="5801"/>
      <c r="U396" s="5802"/>
      <c r="V396" s="5803"/>
      <c r="W396" s="5803"/>
      <c r="X396" s="5803"/>
      <c r="Y396" s="5803"/>
    </row>
    <row r="397">
      <c r="A397" s="5812"/>
      <c r="B397" s="5812"/>
      <c r="C397" s="5812"/>
      <c r="D397" s="5813"/>
      <c r="E397" s="5813"/>
      <c r="F397" s="5986"/>
      <c r="G397" s="5876"/>
      <c r="H397" s="5816"/>
      <c r="I397" s="5813"/>
      <c r="J397" s="5816"/>
      <c r="K397" s="5870"/>
      <c r="L397" s="5870"/>
      <c r="M397" s="5870"/>
      <c r="N397" s="5870"/>
      <c r="O397" s="5801"/>
      <c r="P397" s="5801"/>
      <c r="Q397" s="5801"/>
      <c r="R397" s="5801"/>
      <c r="S397" s="5801"/>
      <c r="T397" s="5801"/>
      <c r="U397" s="5802"/>
      <c r="V397" s="5803"/>
      <c r="W397" s="5803"/>
      <c r="X397" s="5803"/>
      <c r="Y397" s="5803"/>
    </row>
    <row r="398">
      <c r="A398" s="5812"/>
      <c r="B398" s="5812"/>
      <c r="C398" s="5812"/>
      <c r="D398" s="5813"/>
      <c r="E398" s="5813"/>
      <c r="F398" s="5816"/>
      <c r="G398" s="5876"/>
      <c r="H398" s="5816"/>
      <c r="I398" s="5813"/>
      <c r="J398" s="5816"/>
      <c r="K398" s="5870"/>
      <c r="L398" s="5870"/>
      <c r="M398" s="5870"/>
      <c r="N398" s="5870"/>
      <c r="O398" s="5801"/>
      <c r="P398" s="5801"/>
      <c r="Q398" s="5801"/>
      <c r="R398" s="5801"/>
      <c r="S398" s="5801"/>
      <c r="T398" s="5801"/>
      <c r="U398" s="5802"/>
      <c r="V398" s="5803"/>
      <c r="W398" s="5803"/>
      <c r="X398" s="5803"/>
      <c r="Y398" s="5803"/>
    </row>
    <row r="399">
      <c r="A399" s="5812"/>
      <c r="B399" s="5812"/>
      <c r="C399" s="5812"/>
      <c r="D399" s="5813"/>
      <c r="E399" s="5813"/>
      <c r="F399" s="5986"/>
      <c r="G399" s="5876"/>
      <c r="H399" s="5816"/>
      <c r="I399" s="5813"/>
      <c r="J399" s="5816"/>
      <c r="K399" s="5870"/>
      <c r="L399" s="5870"/>
      <c r="M399" s="5870"/>
      <c r="N399" s="5870"/>
      <c r="O399" s="5801"/>
      <c r="P399" s="5801"/>
      <c r="Q399" s="5801"/>
      <c r="R399" s="5801"/>
      <c r="S399" s="5801"/>
      <c r="T399" s="5801"/>
      <c r="U399" s="5802"/>
      <c r="V399" s="5803"/>
      <c r="W399" s="5803"/>
      <c r="X399" s="5803"/>
      <c r="Y399" s="5803"/>
    </row>
    <row r="400">
      <c r="A400" s="5812"/>
      <c r="B400" s="5812"/>
      <c r="C400" s="5812"/>
      <c r="D400" s="5813"/>
      <c r="E400" s="5813"/>
      <c r="F400" s="5986"/>
      <c r="G400" s="5876"/>
      <c r="H400" s="5816"/>
      <c r="I400" s="5813"/>
      <c r="J400" s="5816"/>
      <c r="K400" s="5870"/>
      <c r="L400" s="5870"/>
      <c r="M400" s="5870"/>
      <c r="N400" s="5870"/>
      <c r="O400" s="5801"/>
      <c r="P400" s="5801"/>
      <c r="Q400" s="5801"/>
      <c r="R400" s="5801"/>
      <c r="S400" s="5801"/>
      <c r="T400" s="5801"/>
      <c r="U400" s="5802"/>
      <c r="V400" s="5803"/>
      <c r="W400" s="5803"/>
      <c r="X400" s="5803"/>
      <c r="Y400" s="5803"/>
    </row>
    <row r="401">
      <c r="A401" s="6039" t="s">
        <v>6146</v>
      </c>
      <c r="B401" s="6039"/>
      <c r="C401" s="6039"/>
      <c r="D401" s="6039"/>
      <c r="E401" s="6039"/>
      <c r="F401" s="6039"/>
      <c r="G401" s="6039"/>
      <c r="H401" s="6039"/>
      <c r="I401" s="6039"/>
      <c r="J401" s="6039"/>
      <c r="K401" s="5801"/>
      <c r="L401" s="5801"/>
      <c r="M401" s="5801"/>
      <c r="N401" s="5801"/>
      <c r="O401" s="5801"/>
      <c r="P401" s="5801"/>
      <c r="Q401" s="5801"/>
      <c r="R401" s="5801"/>
      <c r="S401" s="5801"/>
      <c r="T401" s="5801"/>
      <c r="U401" s="5802"/>
      <c r="V401" s="5803"/>
      <c r="W401" s="5803"/>
      <c r="X401" s="5803"/>
      <c r="Y401" s="5803"/>
    </row>
    <row r="402">
      <c r="A402" s="6040" t="s">
        <v>5782</v>
      </c>
      <c r="B402" s="6041" t="s">
        <v>5783</v>
      </c>
      <c r="C402" s="6041"/>
      <c r="D402" s="6042" t="s">
        <v>5784</v>
      </c>
      <c r="E402" s="6042" t="s">
        <v>5785</v>
      </c>
      <c r="F402" s="6042" t="s">
        <v>5786</v>
      </c>
      <c r="G402" s="6043" t="s">
        <v>5809</v>
      </c>
      <c r="H402" s="6042" t="s">
        <v>5788</v>
      </c>
      <c r="I402" s="6042" t="s">
        <v>5789</v>
      </c>
      <c r="J402" s="6042" t="s">
        <v>5790</v>
      </c>
      <c r="K402" s="5928"/>
      <c r="L402" s="5928"/>
      <c r="M402" s="5928"/>
      <c r="N402" s="5928"/>
      <c r="O402" s="5928"/>
      <c r="P402" s="5928"/>
      <c r="Q402" s="5928"/>
      <c r="R402" s="5928"/>
      <c r="S402" s="5928"/>
      <c r="T402" s="5928"/>
      <c r="U402" s="5929"/>
      <c r="V402" s="5929"/>
      <c r="W402" s="5929"/>
      <c r="X402" s="5929"/>
      <c r="Y402" s="5929"/>
    </row>
    <row customHeight="true" ht="18.452380952380953" r="403">
      <c r="A403" s="6044" t="s">
        <v>6147</v>
      </c>
      <c r="B403" s="6044">
        <v>46228</v>
      </c>
      <c r="C403" s="6044" t="str">
        <v>Saturday</v>
      </c>
      <c r="D403" s="6045" t="s">
        <v>6148</v>
      </c>
      <c r="E403" s="6045">
        <f t="shared" ref="E403:E416" si="80">24*MOD(TIMEVALUE(TRIM(MID(D403,FIND("-",D403)+1,LEN(D403)))) - TIMEVALUE(TRIM(LEFT(D403,FIND("-",D403)-1))),1)</f>
      </c>
      <c r="F403" s="6045" t="s">
        <v>6149</v>
      </c>
      <c r="G403" s="6046"/>
      <c r="H403" s="6045"/>
      <c r="I403" s="6045"/>
      <c r="J403" s="6045"/>
      <c r="K403" s="5928"/>
      <c r="L403" s="5928"/>
      <c r="M403" s="5928"/>
      <c r="N403" s="5928"/>
      <c r="O403" s="5928"/>
      <c r="P403" s="5928"/>
      <c r="Q403" s="5928"/>
      <c r="R403" s="5928"/>
      <c r="S403" s="5928"/>
      <c r="T403" s="5928"/>
      <c r="U403" s="5929"/>
      <c r="V403" s="5929"/>
      <c r="W403" s="5929"/>
      <c r="X403" s="5929"/>
      <c r="Y403" s="5929"/>
    </row>
    <row customHeight="true" ht="18.452380952380953" r="404">
      <c r="A404" s="6044" t="s">
        <v>6147</v>
      </c>
      <c r="B404" s="6044">
        <v>46229</v>
      </c>
      <c r="C404" s="6044" t="str">
        <v>Sunday</v>
      </c>
      <c r="D404" s="6045" t="s">
        <v>6150</v>
      </c>
      <c r="E404" s="6045">
        <f t="shared" si="80"/>
      </c>
      <c r="F404" s="6045" t="s">
        <v>6149</v>
      </c>
      <c r="G404" s="6046"/>
      <c r="H404" s="6045"/>
      <c r="I404" s="6045"/>
      <c r="J404" s="6045"/>
      <c r="K404" s="5928"/>
      <c r="L404" s="5928"/>
      <c r="M404" s="5928"/>
      <c r="N404" s="5928"/>
      <c r="O404" s="5928"/>
      <c r="P404" s="5928"/>
      <c r="Q404" s="5928"/>
      <c r="R404" s="5928"/>
      <c r="S404" s="5928"/>
      <c r="T404" s="5928"/>
      <c r="U404" s="5929"/>
      <c r="V404" s="5929"/>
      <c r="W404" s="5929"/>
      <c r="X404" s="5929"/>
      <c r="Y404" s="5929"/>
    </row>
    <row customHeight="true" ht="18.452380952380953" r="405">
      <c r="A405" s="6044" t="s">
        <v>6147</v>
      </c>
      <c r="B405" s="6044">
        <v>46229</v>
      </c>
      <c r="C405" s="6044" t="str">
        <v>Sunday</v>
      </c>
      <c r="D405" s="6045" t="s">
        <v>5968</v>
      </c>
      <c r="E405" s="6045">
        <f t="shared" si="80"/>
      </c>
      <c r="F405" s="6045" t="s">
        <v>6151</v>
      </c>
      <c r="G405" s="6046"/>
      <c r="H405" s="6045"/>
      <c r="I405" s="6045"/>
      <c r="J405" s="6045"/>
      <c r="K405" s="5928"/>
      <c r="L405" s="5928"/>
      <c r="M405" s="5928"/>
      <c r="N405" s="5928"/>
      <c r="O405" s="5928"/>
      <c r="P405" s="5928"/>
      <c r="Q405" s="5928"/>
      <c r="R405" s="5928"/>
      <c r="S405" s="5928"/>
      <c r="T405" s="5928"/>
      <c r="U405" s="5929"/>
      <c r="V405" s="5929"/>
      <c r="W405" s="5929"/>
      <c r="X405" s="5929"/>
      <c r="Y405" s="5929"/>
    </row>
    <row customHeight="true" ht="18.452380952380953" r="406">
      <c r="A406" s="6044" t="s">
        <v>6147</v>
      </c>
      <c r="B406" s="6044">
        <v>46225</v>
      </c>
      <c r="C406" s="6044" t="str">
        <v>Wednesday</v>
      </c>
      <c r="D406" s="6045" t="s">
        <v>6150</v>
      </c>
      <c r="E406" s="6045">
        <f t="shared" si="80"/>
      </c>
      <c r="F406" s="6045" t="s">
        <v>6151</v>
      </c>
      <c r="G406" s="6046"/>
      <c r="H406" s="6045"/>
      <c r="I406" s="6045" t="s">
        <v>5795</v>
      </c>
      <c r="J406" s="6045"/>
      <c r="K406" s="5928"/>
      <c r="L406" s="5928"/>
      <c r="M406" s="5928"/>
      <c r="N406" s="5928"/>
      <c r="O406" s="5928"/>
      <c r="P406" s="5928"/>
      <c r="Q406" s="5928"/>
      <c r="R406" s="5928"/>
      <c r="S406" s="5928"/>
      <c r="T406" s="5928"/>
      <c r="U406" s="5929"/>
      <c r="V406" s="5929"/>
      <c r="W406" s="5929"/>
      <c r="X406" s="5929"/>
      <c r="Y406" s="5929"/>
    </row>
    <row customHeight="true" ht="18.452380952380953" r="407">
      <c r="A407" s="6044" t="s">
        <v>6152</v>
      </c>
      <c r="B407" s="6044">
        <v>46228</v>
      </c>
      <c r="C407" s="6044" t="str">
        <v>Saturday</v>
      </c>
      <c r="D407" s="6045" t="s">
        <v>5815</v>
      </c>
      <c r="E407" s="6045">
        <f t="shared" si="80"/>
      </c>
      <c r="F407" s="6045" t="s">
        <v>6151</v>
      </c>
      <c r="G407" s="6046"/>
      <c r="H407" s="6045"/>
      <c r="I407" s="6045"/>
      <c r="J407" s="6045"/>
      <c r="K407" s="5928"/>
      <c r="L407" s="5928"/>
      <c r="M407" s="5928"/>
      <c r="N407" s="5928"/>
      <c r="O407" s="5928"/>
      <c r="P407" s="5928"/>
      <c r="Q407" s="5928"/>
      <c r="R407" s="5928"/>
      <c r="S407" s="5928"/>
      <c r="T407" s="5928"/>
      <c r="U407" s="5929"/>
      <c r="V407" s="5929"/>
      <c r="W407" s="5929"/>
      <c r="X407" s="5929"/>
      <c r="Y407" s="5929"/>
    </row>
    <row customHeight="true" ht="18.452380952380953" r="408">
      <c r="A408" s="6044" t="s">
        <v>6152</v>
      </c>
      <c r="B408" s="6044">
        <v>46227</v>
      </c>
      <c r="C408" s="6044" t="str">
        <v>Friday</v>
      </c>
      <c r="D408" s="6045" t="s">
        <v>6153</v>
      </c>
      <c r="E408" s="6045">
        <f t="shared" si="80"/>
      </c>
      <c r="F408" s="6045" t="s">
        <v>6154</v>
      </c>
      <c r="G408" s="6046"/>
      <c r="H408" s="6045"/>
      <c r="I408" s="6045"/>
      <c r="J408" s="6045"/>
      <c r="K408" s="5928"/>
      <c r="L408" s="5928"/>
      <c r="M408" s="5928"/>
      <c r="N408" s="5928"/>
      <c r="O408" s="5928"/>
      <c r="P408" s="5928"/>
      <c r="Q408" s="5928"/>
      <c r="R408" s="5928"/>
      <c r="S408" s="5928"/>
      <c r="T408" s="5928"/>
      <c r="U408" s="5929"/>
      <c r="V408" s="5929"/>
      <c r="W408" s="5929"/>
      <c r="X408" s="5929"/>
      <c r="Y408" s="5929"/>
    </row>
    <row customHeight="true" ht="18.452380952380953" r="409">
      <c r="A409" s="6044" t="s">
        <v>6147</v>
      </c>
      <c r="B409" s="6044">
        <v>46224</v>
      </c>
      <c r="C409" s="6044" t="str">
        <v>Tuesday</v>
      </c>
      <c r="D409" s="6045" t="s">
        <v>6155</v>
      </c>
      <c r="E409" s="6045">
        <f t="shared" si="80"/>
      </c>
      <c r="F409" s="6045" t="s">
        <v>6156</v>
      </c>
      <c r="G409" s="6046"/>
      <c r="H409" s="6045"/>
      <c r="I409" s="6045"/>
      <c r="J409" s="6045"/>
      <c r="K409" s="5928"/>
      <c r="L409" s="5928"/>
      <c r="M409" s="5928"/>
      <c r="N409" s="5928"/>
      <c r="O409" s="5928"/>
      <c r="P409" s="5928"/>
      <c r="Q409" s="5928"/>
      <c r="R409" s="5928"/>
      <c r="S409" s="5928"/>
      <c r="T409" s="5928"/>
      <c r="U409" s="5929"/>
      <c r="V409" s="5929"/>
      <c r="W409" s="5929"/>
      <c r="X409" s="5929"/>
      <c r="Y409" s="5929"/>
    </row>
    <row customHeight="true" ht="18.452380952380953" r="410">
      <c r="A410" s="6044" t="s">
        <v>6147</v>
      </c>
      <c r="B410" s="6044">
        <v>46226</v>
      </c>
      <c r="C410" s="6044" t="str">
        <v>Thursday</v>
      </c>
      <c r="D410" s="6045" t="s">
        <v>5815</v>
      </c>
      <c r="E410" s="6045">
        <f t="shared" si="80"/>
      </c>
      <c r="F410" s="6045" t="s">
        <v>6151</v>
      </c>
      <c r="G410" s="6046"/>
      <c r="H410" s="6045"/>
      <c r="I410" s="6045"/>
      <c r="J410" s="6045"/>
      <c r="K410" s="5928"/>
      <c r="L410" s="5928"/>
      <c r="M410" s="5928"/>
      <c r="N410" s="5928"/>
      <c r="O410" s="5928"/>
      <c r="P410" s="5928"/>
      <c r="Q410" s="5928"/>
      <c r="R410" s="5928"/>
      <c r="S410" s="5928"/>
      <c r="T410" s="5928"/>
      <c r="U410" s="5929"/>
      <c r="V410" s="5929"/>
      <c r="W410" s="5929"/>
      <c r="X410" s="5929"/>
      <c r="Y410" s="5929"/>
    </row>
    <row customHeight="true" ht="18.452380952380953" r="411">
      <c r="A411" s="6012" t="s">
        <v>6157</v>
      </c>
      <c r="B411" s="6012">
        <v>46224</v>
      </c>
      <c r="C411" s="6012" t="str">
        <v>Tuesday</v>
      </c>
      <c r="D411" s="6013" t="s">
        <v>6158</v>
      </c>
      <c r="E411" s="6013">
        <f t="shared" si="80"/>
      </c>
      <c r="F411" s="6013" t="s">
        <v>6156</v>
      </c>
      <c r="G411" s="6014"/>
      <c r="H411" s="6013" t="s">
        <v>5947</v>
      </c>
      <c r="I411" s="6013" t="s">
        <v>5795</v>
      </c>
      <c r="J411" s="6013"/>
      <c r="K411" s="5928"/>
      <c r="L411" s="5928"/>
      <c r="M411" s="5928"/>
      <c r="N411" s="5928"/>
      <c r="O411" s="5928"/>
      <c r="P411" s="5928"/>
      <c r="Q411" s="5928"/>
      <c r="R411" s="5928"/>
      <c r="S411" s="5928"/>
      <c r="T411" s="5928"/>
      <c r="U411" s="5929"/>
      <c r="V411" s="5929"/>
      <c r="W411" s="5929"/>
      <c r="X411" s="5929"/>
      <c r="Y411" s="5929"/>
    </row>
    <row customHeight="true" ht="18.452380952380953" r="412">
      <c r="A412" s="5820" t="s">
        <v>6157</v>
      </c>
      <c r="B412" s="5820">
        <v>46224</v>
      </c>
      <c r="C412" s="5820" t="str">
        <v>Tuesday</v>
      </c>
      <c r="D412" s="5821" t="s">
        <v>5826</v>
      </c>
      <c r="E412" s="5821">
        <f t="shared" si="80"/>
      </c>
      <c r="F412" s="5821" t="s">
        <v>6159</v>
      </c>
      <c r="G412" s="5908"/>
      <c r="H412" s="5821" t="s">
        <v>5947</v>
      </c>
      <c r="I412" s="5821" t="s">
        <v>5795</v>
      </c>
      <c r="J412" s="5821" t="s">
        <v>6160</v>
      </c>
      <c r="K412" s="5928"/>
      <c r="L412" s="5928"/>
      <c r="M412" s="5928"/>
      <c r="N412" s="5928"/>
      <c r="O412" s="5928"/>
      <c r="P412" s="5928"/>
      <c r="Q412" s="5928"/>
      <c r="R412" s="5928"/>
      <c r="S412" s="5928"/>
      <c r="T412" s="5928"/>
      <c r="U412" s="5929"/>
      <c r="V412" s="5929"/>
      <c r="W412" s="5929"/>
      <c r="X412" s="5929"/>
      <c r="Y412" s="5929"/>
    </row>
    <row r="413">
      <c r="A413" s="6012" t="s">
        <v>6157</v>
      </c>
      <c r="B413" s="6012">
        <v>46224</v>
      </c>
      <c r="C413" s="6012" t="str">
        <v>Tuesday</v>
      </c>
      <c r="D413" s="6013" t="s">
        <v>6161</v>
      </c>
      <c r="E413" s="6013">
        <f t="shared" si="80"/>
      </c>
      <c r="F413" s="6013" t="s">
        <v>6064</v>
      </c>
      <c r="G413" s="6014"/>
      <c r="H413" s="6013" t="s">
        <v>5947</v>
      </c>
      <c r="I413" s="6013" t="s">
        <v>5795</v>
      </c>
      <c r="J413" s="6013"/>
      <c r="K413" s="5928"/>
      <c r="L413" s="5928"/>
      <c r="M413" s="5928"/>
      <c r="N413" s="5928"/>
      <c r="O413" s="5928"/>
      <c r="P413" s="5928"/>
      <c r="Q413" s="5928"/>
      <c r="R413" s="5928"/>
      <c r="S413" s="5928"/>
      <c r="T413" s="5928"/>
      <c r="U413" s="5929"/>
      <c r="V413" s="5929"/>
      <c r="W413" s="5929"/>
      <c r="X413" s="5929"/>
      <c r="Y413" s="5929"/>
    </row>
    <row r="414">
      <c r="A414" s="6012" t="s">
        <v>6157</v>
      </c>
      <c r="B414" s="6012">
        <v>46224</v>
      </c>
      <c r="C414" s="6012" t="str">
        <v>Tuesday</v>
      </c>
      <c r="D414" s="6013" t="s">
        <v>5857</v>
      </c>
      <c r="E414" s="6013">
        <f t="shared" si="80"/>
      </c>
      <c r="F414" s="6013" t="s">
        <v>6154</v>
      </c>
      <c r="G414" s="6014"/>
      <c r="H414" s="6013" t="s">
        <v>5947</v>
      </c>
      <c r="I414" s="6013" t="s">
        <v>5795</v>
      </c>
      <c r="J414" s="6013"/>
      <c r="K414" s="5928"/>
      <c r="L414" s="5928"/>
      <c r="M414" s="5928"/>
      <c r="N414" s="5928"/>
      <c r="O414" s="5928"/>
      <c r="P414" s="5928"/>
      <c r="Q414" s="5928"/>
      <c r="R414" s="5928"/>
      <c r="S414" s="5928"/>
      <c r="T414" s="5928"/>
      <c r="U414" s="5929"/>
      <c r="V414" s="5929"/>
      <c r="W414" s="5929"/>
      <c r="X414" s="5929"/>
      <c r="Y414" s="5929"/>
    </row>
    <row r="415">
      <c r="A415" s="5812" t="s">
        <v>6157</v>
      </c>
      <c r="B415" s="5812">
        <v>46225</v>
      </c>
      <c r="C415" s="5812" t="str">
        <v>Wednesday</v>
      </c>
      <c r="D415" s="5813" t="s">
        <v>5841</v>
      </c>
      <c r="E415" s="5813">
        <f t="shared" si="80"/>
      </c>
      <c r="F415" s="5813" t="s">
        <v>6156</v>
      </c>
      <c r="G415" s="5836"/>
      <c r="H415" s="5813" t="s">
        <v>5947</v>
      </c>
      <c r="I415" s="5813" t="s">
        <v>5795</v>
      </c>
      <c r="J415" s="5813"/>
      <c r="K415" s="5928"/>
      <c r="L415" s="5928"/>
      <c r="M415" s="5928"/>
      <c r="N415" s="5928"/>
      <c r="O415" s="5928"/>
      <c r="P415" s="5928"/>
      <c r="Q415" s="5928"/>
      <c r="R415" s="5928"/>
      <c r="S415" s="5928"/>
      <c r="T415" s="5928"/>
      <c r="U415" s="5929"/>
      <c r="V415" s="5929"/>
      <c r="W415" s="5929"/>
      <c r="X415" s="5929"/>
      <c r="Y415" s="5929"/>
    </row>
    <row r="416">
      <c r="A416" s="5820" t="s">
        <v>6157</v>
      </c>
      <c r="B416" s="5820">
        <v>46225</v>
      </c>
      <c r="C416" s="5820" t="str">
        <v>Wednesday</v>
      </c>
      <c r="D416" s="5821" t="s">
        <v>5826</v>
      </c>
      <c r="E416" s="5821">
        <f t="shared" si="80"/>
      </c>
      <c r="F416" s="5821" t="s">
        <v>6159</v>
      </c>
      <c r="G416" s="5908"/>
      <c r="H416" s="5821" t="s">
        <v>5947</v>
      </c>
      <c r="I416" s="5821" t="s">
        <v>5795</v>
      </c>
      <c r="J416" s="5821" t="s">
        <v>6160</v>
      </c>
      <c r="K416" s="5928"/>
      <c r="L416" s="5928"/>
      <c r="M416" s="5928"/>
      <c r="N416" s="5928"/>
      <c r="O416" s="5928"/>
      <c r="P416" s="5928"/>
      <c r="Q416" s="5928"/>
      <c r="R416" s="5928"/>
      <c r="S416" s="5928"/>
      <c r="T416" s="5928"/>
      <c r="U416" s="5929"/>
      <c r="V416" s="5929"/>
      <c r="W416" s="5929"/>
      <c r="X416" s="5929"/>
      <c r="Y416" s="5929"/>
    </row>
    <row r="417">
      <c r="A417" s="5812" t="s">
        <v>6157</v>
      </c>
      <c r="B417" s="5812">
        <v>46225</v>
      </c>
      <c r="C417" s="5812" t="str">
        <v>Wednesday</v>
      </c>
      <c r="D417" s="5813" t="s">
        <v>5826</v>
      </c>
      <c r="E417" s="5813">
        <v>2</v>
      </c>
      <c r="F417" s="5813" t="s">
        <v>6151</v>
      </c>
      <c r="G417" s="5836"/>
      <c r="H417" s="5813"/>
      <c r="I417" s="5813" t="s">
        <v>5795</v>
      </c>
      <c r="J417" s="5813"/>
      <c r="K417" s="5928"/>
      <c r="L417" s="5928"/>
      <c r="M417" s="5928"/>
      <c r="N417" s="5928"/>
      <c r="O417" s="5928"/>
      <c r="P417" s="5928"/>
      <c r="Q417" s="5928"/>
      <c r="R417" s="5928"/>
      <c r="S417" s="5928"/>
      <c r="T417" s="5928"/>
      <c r="U417" s="5929"/>
      <c r="V417" s="5929"/>
      <c r="W417" s="5929"/>
      <c r="X417" s="5929"/>
      <c r="Y417" s="5929"/>
    </row>
    <row r="418">
      <c r="A418" s="5812" t="s">
        <v>6157</v>
      </c>
      <c r="B418" s="5812">
        <v>46225</v>
      </c>
      <c r="C418" s="5812" t="str">
        <v>Wednesday</v>
      </c>
      <c r="D418" s="5813" t="s">
        <v>5834</v>
      </c>
      <c r="E418" s="5813">
        <f t="shared" ref="E418:E432" si="81">24*MOD(TIMEVALUE(TRIM(MID(D418,FIND("-",D418)+1,LEN(D418)))) - TIMEVALUE(TRIM(LEFT(D418,FIND("-",D418)-1))),1)</f>
      </c>
      <c r="F418" s="5813" t="s">
        <v>6064</v>
      </c>
      <c r="G418" s="5836"/>
      <c r="H418" s="5813" t="s">
        <v>5947</v>
      </c>
      <c r="I418" s="5813" t="s">
        <v>5795</v>
      </c>
      <c r="J418" s="5813"/>
      <c r="K418" s="5928"/>
      <c r="L418" s="5928"/>
      <c r="M418" s="5928"/>
      <c r="N418" s="5928"/>
      <c r="O418" s="5928"/>
      <c r="P418" s="5928"/>
      <c r="Q418" s="5928"/>
      <c r="R418" s="5928"/>
      <c r="S418" s="5928"/>
      <c r="T418" s="5928"/>
      <c r="U418" s="5929"/>
      <c r="V418" s="5929"/>
      <c r="W418" s="5929"/>
      <c r="X418" s="5929"/>
      <c r="Y418" s="5929"/>
    </row>
    <row r="419">
      <c r="A419" s="5812" t="s">
        <v>6157</v>
      </c>
      <c r="B419" s="5812">
        <v>46225</v>
      </c>
      <c r="C419" s="5812" t="str">
        <v>Wednesday</v>
      </c>
      <c r="D419" s="5813" t="s">
        <v>5857</v>
      </c>
      <c r="E419" s="5813">
        <f t="shared" si="81"/>
      </c>
      <c r="F419" s="5813" t="s">
        <v>6154</v>
      </c>
      <c r="G419" s="5836"/>
      <c r="H419" s="5813" t="s">
        <v>5947</v>
      </c>
      <c r="I419" s="5813" t="s">
        <v>5795</v>
      </c>
      <c r="J419" s="5813"/>
      <c r="K419" s="5928"/>
      <c r="L419" s="5928"/>
      <c r="M419" s="5928"/>
      <c r="N419" s="5928"/>
      <c r="O419" s="5928"/>
      <c r="P419" s="5928"/>
      <c r="Q419" s="5928"/>
      <c r="R419" s="5928"/>
      <c r="S419" s="5928"/>
      <c r="T419" s="5928"/>
      <c r="U419" s="5929"/>
      <c r="V419" s="5929"/>
      <c r="W419" s="5929"/>
      <c r="X419" s="5929"/>
      <c r="Y419" s="5929"/>
    </row>
    <row r="420">
      <c r="A420" s="6012" t="s">
        <v>6157</v>
      </c>
      <c r="B420" s="6012">
        <v>46226</v>
      </c>
      <c r="C420" s="6012" t="str">
        <v>Thursday</v>
      </c>
      <c r="D420" s="6013" t="s">
        <v>5841</v>
      </c>
      <c r="E420" s="6013">
        <f t="shared" si="81"/>
      </c>
      <c r="F420" s="6013" t="s">
        <v>6156</v>
      </c>
      <c r="G420" s="6014"/>
      <c r="H420" s="6013" t="s">
        <v>5947</v>
      </c>
      <c r="I420" s="6013"/>
      <c r="J420" s="6013"/>
      <c r="K420" s="5928"/>
      <c r="L420" s="5928"/>
      <c r="M420" s="5928"/>
      <c r="N420" s="5928"/>
      <c r="O420" s="5928"/>
      <c r="P420" s="5928"/>
      <c r="Q420" s="5928"/>
      <c r="R420" s="5928"/>
      <c r="S420" s="5928"/>
      <c r="T420" s="5928"/>
      <c r="U420" s="5929"/>
      <c r="V420" s="5929"/>
      <c r="W420" s="5929"/>
      <c r="X420" s="5929"/>
      <c r="Y420" s="5929"/>
    </row>
    <row r="421">
      <c r="A421" s="5820" t="s">
        <v>6157</v>
      </c>
      <c r="B421" s="5820">
        <v>46226</v>
      </c>
      <c r="C421" s="5820" t="str">
        <v>Thursday</v>
      </c>
      <c r="D421" s="5821" t="s">
        <v>5826</v>
      </c>
      <c r="E421" s="5821">
        <f t="shared" si="81"/>
      </c>
      <c r="F421" s="5821" t="s">
        <v>6159</v>
      </c>
      <c r="G421" s="5908"/>
      <c r="H421" s="5821" t="s">
        <v>5947</v>
      </c>
      <c r="I421" s="5821" t="s">
        <v>5795</v>
      </c>
      <c r="J421" s="5821" t="s">
        <v>6160</v>
      </c>
      <c r="K421" s="5928"/>
      <c r="L421" s="5928"/>
      <c r="M421" s="5928"/>
      <c r="N421" s="5928"/>
      <c r="O421" s="5928"/>
      <c r="P421" s="5928"/>
      <c r="Q421" s="5928"/>
      <c r="R421" s="5928"/>
      <c r="S421" s="5928"/>
      <c r="T421" s="5928"/>
      <c r="U421" s="5929"/>
      <c r="V421" s="5929"/>
      <c r="W421" s="5929"/>
      <c r="X421" s="5929"/>
      <c r="Y421" s="5929"/>
    </row>
    <row r="422">
      <c r="A422" s="6012" t="s">
        <v>6157</v>
      </c>
      <c r="B422" s="6012">
        <v>46226</v>
      </c>
      <c r="C422" s="6012" t="str">
        <v>Thursday</v>
      </c>
      <c r="D422" s="5799" t="s">
        <v>5866</v>
      </c>
      <c r="E422" s="6013">
        <f t="shared" si="81"/>
      </c>
      <c r="F422" s="6013" t="s">
        <v>6151</v>
      </c>
      <c r="G422" s="6014"/>
      <c r="H422" s="6013" t="s">
        <v>5947</v>
      </c>
      <c r="I422" s="6013"/>
      <c r="J422" s="6013"/>
      <c r="K422" s="5928"/>
      <c r="L422" s="5928"/>
      <c r="M422" s="5928"/>
      <c r="N422" s="5928"/>
      <c r="O422" s="5928"/>
      <c r="P422" s="5928"/>
      <c r="Q422" s="5928"/>
      <c r="R422" s="5928"/>
      <c r="S422" s="5928"/>
      <c r="T422" s="5928"/>
      <c r="U422" s="5929"/>
      <c r="V422" s="5929"/>
      <c r="W422" s="5929"/>
      <c r="X422" s="5929"/>
      <c r="Y422" s="5929"/>
    </row>
    <row r="423">
      <c r="A423" s="6012" t="s">
        <v>6157</v>
      </c>
      <c r="B423" s="6012">
        <v>46226</v>
      </c>
      <c r="C423" s="6012" t="str">
        <v>Thursday</v>
      </c>
      <c r="D423" s="6013" t="s">
        <v>5858</v>
      </c>
      <c r="E423" s="6013">
        <f t="shared" si="81"/>
      </c>
      <c r="F423" s="6013" t="s">
        <v>6154</v>
      </c>
      <c r="G423" s="6014"/>
      <c r="H423" s="6013" t="s">
        <v>5947</v>
      </c>
      <c r="I423" s="6013" t="s">
        <v>5795</v>
      </c>
      <c r="J423" s="6013"/>
      <c r="K423" s="5928"/>
      <c r="L423" s="5928"/>
      <c r="M423" s="5928"/>
      <c r="N423" s="5928"/>
      <c r="O423" s="5928"/>
      <c r="P423" s="5928"/>
      <c r="Q423" s="5928"/>
      <c r="R423" s="5928"/>
      <c r="S423" s="5928"/>
      <c r="T423" s="5928"/>
      <c r="U423" s="5929"/>
      <c r="V423" s="5929"/>
      <c r="W423" s="5929"/>
      <c r="X423" s="5929"/>
      <c r="Y423" s="5929"/>
    </row>
    <row r="424">
      <c r="A424" s="5812" t="s">
        <v>6157</v>
      </c>
      <c r="B424" s="5812">
        <v>46227</v>
      </c>
      <c r="C424" s="5812" t="str">
        <v>Friday</v>
      </c>
      <c r="D424" s="5799" t="s">
        <v>5955</v>
      </c>
      <c r="E424" s="5813">
        <f t="shared" si="81"/>
      </c>
      <c r="F424" s="5813" t="s">
        <v>6156</v>
      </c>
      <c r="G424" s="5836"/>
      <c r="H424" s="5813" t="s">
        <v>5947</v>
      </c>
      <c r="I424" s="5813"/>
      <c r="J424" s="5813"/>
      <c r="K424" s="5928"/>
      <c r="L424" s="5928"/>
      <c r="M424" s="5928"/>
      <c r="N424" s="5928"/>
      <c r="O424" s="5928"/>
      <c r="P424" s="5928"/>
      <c r="Q424" s="5928"/>
      <c r="R424" s="5928"/>
      <c r="S424" s="5928"/>
      <c r="T424" s="5928"/>
      <c r="U424" s="5929"/>
      <c r="V424" s="5929"/>
      <c r="W424" s="5929"/>
      <c r="X424" s="5929"/>
      <c r="Y424" s="5929"/>
    </row>
    <row r="425">
      <c r="A425" s="5820" t="s">
        <v>6157</v>
      </c>
      <c r="B425" s="5820">
        <v>46227</v>
      </c>
      <c r="C425" s="5820" t="str">
        <v>Friday</v>
      </c>
      <c r="D425" s="5821" t="s">
        <v>5826</v>
      </c>
      <c r="E425" s="5821">
        <f t="shared" si="81"/>
      </c>
      <c r="F425" s="5821" t="s">
        <v>6159</v>
      </c>
      <c r="G425" s="5908"/>
      <c r="H425" s="5821" t="s">
        <v>5947</v>
      </c>
      <c r="I425" s="5821" t="s">
        <v>5795</v>
      </c>
      <c r="J425" s="5821" t="s">
        <v>6160</v>
      </c>
      <c r="K425" s="5928"/>
      <c r="L425" s="5928"/>
      <c r="M425" s="5928"/>
      <c r="N425" s="5928"/>
      <c r="O425" s="5928"/>
      <c r="P425" s="5928"/>
      <c r="Q425" s="5928"/>
      <c r="R425" s="5928"/>
      <c r="S425" s="5928"/>
      <c r="T425" s="5928"/>
      <c r="U425" s="5929"/>
      <c r="V425" s="5929"/>
      <c r="W425" s="5929"/>
      <c r="X425" s="5929"/>
      <c r="Y425" s="5929"/>
    </row>
    <row r="426">
      <c r="A426" s="5812" t="s">
        <v>6157</v>
      </c>
      <c r="B426" s="5812">
        <v>46227</v>
      </c>
      <c r="C426" s="5812" t="str">
        <v>Friday</v>
      </c>
      <c r="D426" s="5799" t="s">
        <v>5856</v>
      </c>
      <c r="E426" s="5813">
        <f t="shared" si="81"/>
      </c>
      <c r="F426" s="5813" t="s">
        <v>6064</v>
      </c>
      <c r="G426" s="6047"/>
      <c r="H426" s="5813" t="s">
        <v>5947</v>
      </c>
      <c r="I426" s="5813"/>
      <c r="J426" s="5813"/>
      <c r="K426" s="5928"/>
      <c r="L426" s="5928"/>
      <c r="M426" s="5928"/>
      <c r="N426" s="5928"/>
      <c r="O426" s="5928"/>
      <c r="P426" s="5928"/>
      <c r="Q426" s="5928"/>
      <c r="R426" s="5928"/>
      <c r="S426" s="5928"/>
      <c r="T426" s="5928"/>
      <c r="U426" s="5929"/>
      <c r="V426" s="5929"/>
      <c r="W426" s="5929"/>
      <c r="X426" s="5929"/>
      <c r="Y426" s="5929"/>
    </row>
    <row r="427">
      <c r="A427" s="5812" t="s">
        <v>6157</v>
      </c>
      <c r="B427" s="5812">
        <v>46227</v>
      </c>
      <c r="C427" s="5812" t="str">
        <v>Friday</v>
      </c>
      <c r="D427" s="5813" t="s">
        <v>5858</v>
      </c>
      <c r="E427" s="5813">
        <f t="shared" si="81"/>
      </c>
      <c r="F427" s="5813" t="s">
        <v>6154</v>
      </c>
      <c r="G427" s="5836"/>
      <c r="H427" s="5813" t="s">
        <v>5947</v>
      </c>
      <c r="I427" s="5813" t="s">
        <v>5795</v>
      </c>
      <c r="J427" s="5813"/>
      <c r="K427" s="5928"/>
      <c r="L427" s="5928"/>
      <c r="M427" s="5928"/>
      <c r="N427" s="5928"/>
      <c r="O427" s="5928"/>
      <c r="P427" s="5928"/>
      <c r="Q427" s="5928"/>
      <c r="R427" s="5928"/>
      <c r="S427" s="5928"/>
      <c r="T427" s="5928"/>
      <c r="U427" s="5929"/>
      <c r="V427" s="5929"/>
      <c r="W427" s="5929"/>
      <c r="X427" s="5929"/>
      <c r="Y427" s="5929"/>
    </row>
    <row r="428">
      <c r="A428" s="6012" t="s">
        <v>6157</v>
      </c>
      <c r="B428" s="6012">
        <v>46228</v>
      </c>
      <c r="C428" s="6012" t="str">
        <v>Saturday</v>
      </c>
      <c r="D428" s="6013" t="s">
        <v>5841</v>
      </c>
      <c r="E428" s="6013">
        <f t="shared" si="81"/>
      </c>
      <c r="F428" s="6013" t="s">
        <v>6156</v>
      </c>
      <c r="G428" s="6014"/>
      <c r="H428" s="6013" t="s">
        <v>5947</v>
      </c>
      <c r="I428" s="6013" t="s">
        <v>5795</v>
      </c>
      <c r="J428" s="6013"/>
      <c r="K428" s="5928"/>
      <c r="L428" s="5928"/>
      <c r="M428" s="5928"/>
      <c r="N428" s="5928"/>
      <c r="O428" s="5928"/>
      <c r="P428" s="5928"/>
      <c r="Q428" s="5928"/>
      <c r="R428" s="5928"/>
      <c r="S428" s="5928"/>
      <c r="T428" s="5928"/>
      <c r="U428" s="5929"/>
      <c r="V428" s="5929"/>
      <c r="W428" s="5929"/>
      <c r="X428" s="5929"/>
      <c r="Y428" s="5929"/>
    </row>
    <row r="429">
      <c r="A429" s="6012" t="s">
        <v>6157</v>
      </c>
      <c r="B429" s="6012">
        <v>46228</v>
      </c>
      <c r="C429" s="6012" t="str">
        <v>Saturday</v>
      </c>
      <c r="D429" s="6013" t="s">
        <v>5799</v>
      </c>
      <c r="E429" s="6013">
        <f t="shared" si="81"/>
      </c>
      <c r="F429" s="6013" t="s">
        <v>6151</v>
      </c>
      <c r="G429" s="6014"/>
      <c r="H429" s="6013" t="s">
        <v>5947</v>
      </c>
      <c r="I429" s="6013" t="s">
        <v>5795</v>
      </c>
      <c r="J429" s="6013"/>
      <c r="K429" s="5928"/>
      <c r="L429" s="5928"/>
      <c r="M429" s="5928"/>
      <c r="N429" s="5928"/>
      <c r="O429" s="5928"/>
      <c r="P429" s="5928"/>
      <c r="Q429" s="5928"/>
      <c r="R429" s="5928"/>
      <c r="S429" s="5928"/>
      <c r="T429" s="5928"/>
      <c r="U429" s="5929"/>
      <c r="V429" s="5929"/>
      <c r="W429" s="5929"/>
      <c r="X429" s="5929"/>
      <c r="Y429" s="5929"/>
    </row>
    <row r="430">
      <c r="A430" s="6012" t="s">
        <v>6157</v>
      </c>
      <c r="B430" s="6012">
        <v>46228</v>
      </c>
      <c r="C430" s="6012" t="str">
        <v>Saturday</v>
      </c>
      <c r="D430" s="6013" t="s">
        <v>6033</v>
      </c>
      <c r="E430" s="6013">
        <f t="shared" si="81"/>
      </c>
      <c r="F430" s="6013" t="s">
        <v>6154</v>
      </c>
      <c r="G430" s="6014"/>
      <c r="H430" s="6013" t="s">
        <v>5947</v>
      </c>
      <c r="I430" s="6013" t="s">
        <v>5795</v>
      </c>
      <c r="J430" s="6013"/>
      <c r="K430" s="5928"/>
      <c r="L430" s="5928"/>
      <c r="M430" s="5928"/>
      <c r="N430" s="5928"/>
      <c r="O430" s="5928"/>
      <c r="P430" s="5928"/>
      <c r="Q430" s="5928"/>
      <c r="R430" s="5928"/>
      <c r="S430" s="5928"/>
      <c r="T430" s="5928"/>
      <c r="U430" s="5929"/>
      <c r="V430" s="5929"/>
      <c r="W430" s="5929"/>
      <c r="X430" s="5929"/>
      <c r="Y430" s="5929"/>
    </row>
    <row r="431">
      <c r="A431" s="5820" t="s">
        <v>6157</v>
      </c>
      <c r="B431" s="5820">
        <v>46229</v>
      </c>
      <c r="C431" s="5820" t="str">
        <v>Sunday</v>
      </c>
      <c r="D431" s="5821" t="s">
        <v>5792</v>
      </c>
      <c r="E431" s="5821">
        <f t="shared" si="81"/>
      </c>
      <c r="F431" s="5821" t="s">
        <v>6149</v>
      </c>
      <c r="G431" s="5908"/>
      <c r="H431" s="5821" t="s">
        <v>5947</v>
      </c>
      <c r="I431" s="5821"/>
      <c r="J431" s="5908" t="s">
        <v>6162</v>
      </c>
      <c r="K431" s="5928"/>
      <c r="L431" s="5928"/>
      <c r="M431" s="5928"/>
      <c r="N431" s="5928"/>
      <c r="O431" s="5928"/>
      <c r="P431" s="5928"/>
      <c r="Q431" s="5928"/>
      <c r="R431" s="5928"/>
      <c r="S431" s="5928"/>
      <c r="T431" s="5928"/>
      <c r="U431" s="5929"/>
      <c r="V431" s="5929"/>
      <c r="W431" s="5929"/>
      <c r="X431" s="5929"/>
      <c r="Y431" s="5929"/>
    </row>
    <row r="432">
      <c r="A432" s="5820" t="s">
        <v>6157</v>
      </c>
      <c r="B432" s="5820">
        <v>46229</v>
      </c>
      <c r="C432" s="5820" t="str">
        <v>Sunday</v>
      </c>
      <c r="D432" s="5821" t="s">
        <v>5811</v>
      </c>
      <c r="E432" s="5821">
        <f t="shared" si="81"/>
      </c>
      <c r="F432" s="5821" t="s">
        <v>6151</v>
      </c>
      <c r="G432" s="5908"/>
      <c r="H432" s="5821" t="s">
        <v>5947</v>
      </c>
      <c r="I432" s="5821"/>
      <c r="J432" s="5908" t="s">
        <v>6162</v>
      </c>
      <c r="K432" s="5928"/>
      <c r="L432" s="5928"/>
      <c r="M432" s="5928"/>
      <c r="N432" s="5928"/>
      <c r="O432" s="5928"/>
      <c r="P432" s="5928"/>
      <c r="Q432" s="5928"/>
      <c r="R432" s="5928"/>
      <c r="S432" s="5928"/>
      <c r="T432" s="5928"/>
      <c r="U432" s="5929"/>
      <c r="V432" s="5929"/>
      <c r="W432" s="5929"/>
      <c r="X432" s="5929"/>
      <c r="Y432" s="5929"/>
    </row>
    <row r="433">
      <c r="A433" s="5820" t="s">
        <v>6157</v>
      </c>
      <c r="B433" s="5820">
        <v>46229</v>
      </c>
      <c r="C433" s="5820" t="str">
        <v>Sunday</v>
      </c>
      <c r="D433" s="5821" t="s">
        <v>5968</v>
      </c>
      <c r="E433" s="5821">
        <v>1</v>
      </c>
      <c r="F433" s="5821" t="s">
        <v>6149</v>
      </c>
      <c r="G433" s="5908"/>
      <c r="H433" s="5821" t="s">
        <v>5947</v>
      </c>
      <c r="I433" s="5821"/>
      <c r="J433" s="5908" t="s">
        <v>6162</v>
      </c>
      <c r="K433" s="5928"/>
      <c r="L433" s="5928"/>
      <c r="M433" s="5928"/>
      <c r="N433" s="5928"/>
      <c r="O433" s="5928"/>
      <c r="P433" s="5928"/>
      <c r="Q433" s="5928"/>
      <c r="R433" s="5928"/>
      <c r="S433" s="5928"/>
      <c r="T433" s="5928"/>
      <c r="U433" s="5929"/>
      <c r="V433" s="5929"/>
      <c r="W433" s="5929"/>
      <c r="X433" s="5929"/>
      <c r="Y433" s="5929"/>
    </row>
    <row r="434">
      <c r="A434" s="5812" t="s">
        <v>6157</v>
      </c>
      <c r="B434" s="5812">
        <v>46229</v>
      </c>
      <c r="C434" s="5812" t="str">
        <v>Sunday</v>
      </c>
      <c r="D434" s="5813" t="s">
        <v>5957</v>
      </c>
      <c r="E434" s="5813">
        <v>2</v>
      </c>
      <c r="F434" s="5799" t="s">
        <v>6151</v>
      </c>
      <c r="G434" s="5836"/>
      <c r="H434" s="5813" t="s">
        <v>5947</v>
      </c>
      <c r="I434" s="5813"/>
      <c r="J434" s="5836"/>
      <c r="K434" s="5928"/>
      <c r="L434" s="5928"/>
      <c r="M434" s="5928"/>
      <c r="N434" s="5928"/>
      <c r="O434" s="5928"/>
      <c r="P434" s="5928"/>
      <c r="Q434" s="5928"/>
      <c r="R434" s="5928"/>
      <c r="S434" s="5928"/>
      <c r="T434" s="5928"/>
      <c r="U434" s="5929"/>
      <c r="V434" s="5929"/>
      <c r="W434" s="5929"/>
      <c r="X434" s="5929"/>
      <c r="Y434" s="5929"/>
    </row>
    <row r="435">
      <c r="A435" s="5812" t="s">
        <v>6157</v>
      </c>
      <c r="B435" s="5812">
        <v>46229</v>
      </c>
      <c r="C435" s="5812" t="str">
        <v>Sunday</v>
      </c>
      <c r="D435" s="5813" t="s">
        <v>6033</v>
      </c>
      <c r="E435" s="5813">
        <f t="shared" ref="E435:E457" si="82">24*MOD(TIMEVALUE(TRIM(MID(D435,FIND("-",D435)+1,LEN(D435)))) - TIMEVALUE(TRIM(LEFT(D435,FIND("-",D435)-1))),1)</f>
      </c>
      <c r="F435" s="5813" t="s">
        <v>6154</v>
      </c>
      <c r="G435" s="5836"/>
      <c r="H435" s="5813" t="s">
        <v>5947</v>
      </c>
      <c r="I435" s="5813" t="s">
        <v>5795</v>
      </c>
      <c r="J435" s="6048"/>
      <c r="K435" s="5928"/>
      <c r="L435" s="5928"/>
      <c r="M435" s="5928"/>
      <c r="N435" s="5928"/>
      <c r="O435" s="5928"/>
      <c r="P435" s="5928"/>
      <c r="Q435" s="5928"/>
      <c r="R435" s="5928"/>
      <c r="S435" s="5928"/>
      <c r="T435" s="5928"/>
      <c r="U435" s="5929"/>
      <c r="V435" s="5929"/>
      <c r="W435" s="5929"/>
      <c r="X435" s="5929"/>
      <c r="Y435" s="5929"/>
    </row>
    <row r="436">
      <c r="A436" s="6049" t="s">
        <v>6163</v>
      </c>
      <c r="B436" s="6049">
        <v>46224</v>
      </c>
      <c r="C436" s="6049" t="str">
        <v>Tuesday</v>
      </c>
      <c r="D436" s="6050" t="s">
        <v>6164</v>
      </c>
      <c r="E436" s="6051">
        <f t="shared" si="82"/>
      </c>
      <c r="F436" s="6051" t="s">
        <v>6165</v>
      </c>
      <c r="G436" s="6052"/>
      <c r="H436" s="6051" t="s">
        <v>5947</v>
      </c>
      <c r="I436" s="6051" t="s">
        <v>5795</v>
      </c>
      <c r="J436" s="6053"/>
      <c r="K436" s="5928"/>
      <c r="L436" s="5928"/>
      <c r="M436" s="5928"/>
      <c r="N436" s="5928"/>
      <c r="O436" s="5928"/>
      <c r="P436" s="5928"/>
      <c r="Q436" s="5928"/>
      <c r="R436" s="5928"/>
      <c r="S436" s="5928"/>
      <c r="T436" s="5928"/>
      <c r="U436" s="5929"/>
      <c r="V436" s="5929"/>
      <c r="W436" s="5929"/>
      <c r="X436" s="5929"/>
      <c r="Y436" s="5929"/>
    </row>
    <row r="437">
      <c r="A437" s="5820" t="s">
        <v>6163</v>
      </c>
      <c r="B437" s="5820">
        <v>46224</v>
      </c>
      <c r="C437" s="5820" t="str">
        <v>Tuesday</v>
      </c>
      <c r="D437" s="6054" t="s">
        <v>5842</v>
      </c>
      <c r="E437" s="5821">
        <f t="shared" si="82"/>
      </c>
      <c r="F437" s="5821" t="s">
        <v>6166</v>
      </c>
      <c r="G437" s="5908"/>
      <c r="H437" s="5821" t="s">
        <v>5947</v>
      </c>
      <c r="I437" s="5821" t="s">
        <v>5795</v>
      </c>
      <c r="J437" s="6055" t="s">
        <v>6167</v>
      </c>
      <c r="K437" s="5928"/>
      <c r="L437" s="5928"/>
      <c r="M437" s="5928"/>
      <c r="N437" s="5928"/>
      <c r="O437" s="5928"/>
      <c r="P437" s="5928"/>
      <c r="Q437" s="5928"/>
      <c r="R437" s="5928"/>
      <c r="S437" s="5928"/>
      <c r="T437" s="5928"/>
      <c r="U437" s="5929"/>
      <c r="V437" s="5929"/>
      <c r="W437" s="5929"/>
      <c r="X437" s="5929"/>
      <c r="Y437" s="5929"/>
    </row>
    <row r="438">
      <c r="A438" s="6049" t="s">
        <v>6163</v>
      </c>
      <c r="B438" s="6049">
        <v>46224</v>
      </c>
      <c r="C438" s="6049" t="str">
        <v>Tuesday</v>
      </c>
      <c r="D438" s="6050" t="s">
        <v>5819</v>
      </c>
      <c r="E438" s="6051">
        <f t="shared" si="82"/>
      </c>
      <c r="F438" s="6051" t="s">
        <v>5844</v>
      </c>
      <c r="G438" s="6052"/>
      <c r="H438" s="6051" t="s">
        <v>5947</v>
      </c>
      <c r="I438" s="6051" t="s">
        <v>5795</v>
      </c>
      <c r="J438" s="6053" t="s">
        <v>6168</v>
      </c>
      <c r="K438" s="5928"/>
      <c r="L438" s="5928"/>
      <c r="M438" s="5928"/>
      <c r="N438" s="5928"/>
      <c r="O438" s="5928"/>
      <c r="P438" s="5928"/>
      <c r="Q438" s="5928"/>
      <c r="R438" s="5928"/>
      <c r="S438" s="5928"/>
      <c r="T438" s="5928"/>
      <c r="U438" s="5929"/>
      <c r="V438" s="5929"/>
      <c r="W438" s="5929"/>
      <c r="X438" s="5929"/>
      <c r="Y438" s="5929"/>
    </row>
    <row r="439">
      <c r="A439" s="6049" t="s">
        <v>6163</v>
      </c>
      <c r="B439" s="6049">
        <v>46224</v>
      </c>
      <c r="C439" s="6049" t="str">
        <v>Tuesday</v>
      </c>
      <c r="D439" s="6050" t="s">
        <v>5820</v>
      </c>
      <c r="E439" s="6051">
        <f t="shared" si="82"/>
      </c>
      <c r="F439" s="6051" t="s">
        <v>6165</v>
      </c>
      <c r="G439" s="6052"/>
      <c r="H439" s="6051" t="s">
        <v>5947</v>
      </c>
      <c r="I439" s="6051" t="s">
        <v>5795</v>
      </c>
      <c r="J439" s="6053"/>
      <c r="K439" s="5928"/>
      <c r="L439" s="5928"/>
      <c r="M439" s="5928"/>
      <c r="N439" s="5928"/>
      <c r="O439" s="5928"/>
      <c r="P439" s="5928"/>
      <c r="Q439" s="5928"/>
      <c r="R439" s="5928"/>
      <c r="S439" s="5928"/>
      <c r="T439" s="5928"/>
      <c r="U439" s="5929"/>
      <c r="V439" s="5929"/>
      <c r="W439" s="5929"/>
      <c r="X439" s="5929"/>
      <c r="Y439" s="5929"/>
    </row>
    <row r="440">
      <c r="A440" s="6049" t="s">
        <v>6163</v>
      </c>
      <c r="B440" s="6049">
        <v>46224</v>
      </c>
      <c r="C440" s="6049" t="str">
        <v>Tuesday</v>
      </c>
      <c r="D440" s="6050" t="s">
        <v>5857</v>
      </c>
      <c r="E440" s="6051">
        <f t="shared" si="82"/>
      </c>
      <c r="F440" s="6051" t="s">
        <v>6166</v>
      </c>
      <c r="G440" s="6052"/>
      <c r="H440" s="6051" t="s">
        <v>5947</v>
      </c>
      <c r="I440" s="6051" t="s">
        <v>5795</v>
      </c>
      <c r="J440" s="6053"/>
      <c r="K440" s="5928"/>
      <c r="L440" s="5928"/>
      <c r="M440" s="5928"/>
      <c r="N440" s="5928"/>
      <c r="O440" s="5928"/>
      <c r="P440" s="5928"/>
      <c r="Q440" s="5928"/>
      <c r="R440" s="5928"/>
      <c r="S440" s="5928"/>
      <c r="T440" s="5928"/>
      <c r="U440" s="5929"/>
      <c r="V440" s="5929"/>
      <c r="W440" s="5929"/>
      <c r="X440" s="5929"/>
      <c r="Y440" s="5929"/>
    </row>
    <row r="441">
      <c r="A441" s="5812" t="s">
        <v>6163</v>
      </c>
      <c r="B441" s="5812">
        <v>46225</v>
      </c>
      <c r="C441" s="5812" t="str">
        <v>Wednesday</v>
      </c>
      <c r="D441" s="5858" t="s">
        <v>6169</v>
      </c>
      <c r="E441" s="5813">
        <f t="shared" si="82"/>
      </c>
      <c r="F441" s="5813" t="s">
        <v>6165</v>
      </c>
      <c r="G441" s="5836"/>
      <c r="H441" s="5813" t="s">
        <v>5947</v>
      </c>
      <c r="I441" s="5813" t="s">
        <v>5795</v>
      </c>
      <c r="J441" s="6048"/>
      <c r="K441" s="5928"/>
      <c r="L441" s="5928"/>
      <c r="M441" s="5928"/>
      <c r="N441" s="5928"/>
      <c r="O441" s="5928"/>
      <c r="P441" s="5928"/>
      <c r="Q441" s="5928"/>
      <c r="R441" s="5928"/>
      <c r="S441" s="5928"/>
      <c r="T441" s="5928"/>
      <c r="U441" s="5929"/>
      <c r="V441" s="5929"/>
      <c r="W441" s="5929"/>
      <c r="X441" s="5929"/>
      <c r="Y441" s="5929"/>
    </row>
    <row r="442">
      <c r="A442" s="5812" t="s">
        <v>6163</v>
      </c>
      <c r="B442" s="5812">
        <v>46225</v>
      </c>
      <c r="C442" s="5812" t="str">
        <v>Wednesday</v>
      </c>
      <c r="D442" s="5858" t="s">
        <v>6170</v>
      </c>
      <c r="E442" s="5813">
        <f t="shared" si="82"/>
      </c>
      <c r="F442" s="5813" t="s">
        <v>6166</v>
      </c>
      <c r="G442" s="5836"/>
      <c r="H442" s="5813" t="s">
        <v>5947</v>
      </c>
      <c r="I442" s="5813" t="s">
        <v>5795</v>
      </c>
      <c r="J442" s="6048"/>
      <c r="K442" s="5928"/>
      <c r="L442" s="5928"/>
      <c r="M442" s="5928"/>
      <c r="N442" s="5928"/>
      <c r="O442" s="5928"/>
      <c r="P442" s="5928"/>
      <c r="Q442" s="5928"/>
      <c r="R442" s="5928"/>
      <c r="S442" s="5928"/>
      <c r="T442" s="5928"/>
      <c r="U442" s="5929"/>
      <c r="V442" s="5929"/>
      <c r="W442" s="5929"/>
      <c r="X442" s="5929"/>
      <c r="Y442" s="5929"/>
    </row>
    <row r="443">
      <c r="A443" s="5812" t="s">
        <v>6163</v>
      </c>
      <c r="B443" s="5812">
        <v>46225</v>
      </c>
      <c r="C443" s="5812" t="str">
        <v>Wednesday</v>
      </c>
      <c r="D443" s="5858" t="s">
        <v>6171</v>
      </c>
      <c r="E443" s="5813">
        <f t="shared" si="82"/>
      </c>
      <c r="F443" s="5813" t="s">
        <v>6165</v>
      </c>
      <c r="G443" s="5836"/>
      <c r="H443" s="5813" t="s">
        <v>5947</v>
      </c>
      <c r="I443" s="5813" t="s">
        <v>5795</v>
      </c>
      <c r="J443" s="6048"/>
      <c r="K443" s="5928"/>
      <c r="L443" s="5928"/>
      <c r="M443" s="5928"/>
      <c r="N443" s="5928"/>
      <c r="O443" s="5928"/>
      <c r="P443" s="5928"/>
      <c r="Q443" s="5928"/>
      <c r="R443" s="5928"/>
      <c r="S443" s="5928"/>
      <c r="T443" s="5928"/>
      <c r="U443" s="5929"/>
      <c r="V443" s="5929"/>
      <c r="W443" s="5929"/>
      <c r="X443" s="5929"/>
      <c r="Y443" s="5929"/>
    </row>
    <row r="444">
      <c r="A444" s="5812" t="s">
        <v>6163</v>
      </c>
      <c r="B444" s="5812">
        <v>46225</v>
      </c>
      <c r="C444" s="5812" t="str">
        <v>Wednesday</v>
      </c>
      <c r="D444" s="5858" t="s">
        <v>6172</v>
      </c>
      <c r="E444" s="5813">
        <f t="shared" si="82"/>
      </c>
      <c r="F444" s="5813" t="s">
        <v>6166</v>
      </c>
      <c r="G444" s="5836"/>
      <c r="H444" s="5813" t="s">
        <v>5947</v>
      </c>
      <c r="I444" s="5813" t="s">
        <v>5795</v>
      </c>
      <c r="J444" s="6048"/>
      <c r="K444" s="5928"/>
      <c r="L444" s="5928"/>
      <c r="M444" s="5928"/>
      <c r="N444" s="5928"/>
      <c r="O444" s="5928"/>
      <c r="P444" s="5928"/>
      <c r="Q444" s="5928"/>
      <c r="R444" s="5928"/>
      <c r="S444" s="5928"/>
      <c r="T444" s="5928"/>
      <c r="U444" s="5929"/>
      <c r="V444" s="5929"/>
      <c r="W444" s="5929"/>
      <c r="X444" s="5929"/>
      <c r="Y444" s="5929"/>
    </row>
    <row r="445">
      <c r="A445" s="6049" t="s">
        <v>6163</v>
      </c>
      <c r="B445" s="6049">
        <v>46226</v>
      </c>
      <c r="C445" s="6049" t="str">
        <v>Thursday</v>
      </c>
      <c r="D445" s="6050" t="s">
        <v>5961</v>
      </c>
      <c r="E445" s="6051">
        <f t="shared" si="82"/>
      </c>
      <c r="F445" s="6051" t="s">
        <v>6165</v>
      </c>
      <c r="G445" s="6052"/>
      <c r="H445" s="6051" t="s">
        <v>5947</v>
      </c>
      <c r="I445" s="6051" t="s">
        <v>5795</v>
      </c>
      <c r="J445" s="6053"/>
      <c r="K445" s="5928"/>
      <c r="L445" s="5928"/>
      <c r="M445" s="5928"/>
      <c r="N445" s="5928"/>
      <c r="O445" s="5928"/>
      <c r="P445" s="5928"/>
      <c r="Q445" s="5928"/>
      <c r="R445" s="5928"/>
      <c r="S445" s="5928"/>
      <c r="T445" s="5928"/>
      <c r="U445" s="5929"/>
      <c r="V445" s="5929"/>
      <c r="W445" s="5929"/>
      <c r="X445" s="5929"/>
      <c r="Y445" s="5929"/>
    </row>
    <row r="446">
      <c r="A446" s="6049" t="s">
        <v>6163</v>
      </c>
      <c r="B446" s="6049">
        <v>46226</v>
      </c>
      <c r="C446" s="6049" t="str">
        <v>Thursday</v>
      </c>
      <c r="D446" s="6051" t="s">
        <v>5799</v>
      </c>
      <c r="E446" s="6051">
        <f t="shared" si="82"/>
      </c>
      <c r="F446" s="6051" t="s">
        <v>6154</v>
      </c>
      <c r="G446" s="6052" t="s">
        <v>6173</v>
      </c>
      <c r="H446" s="6051" t="s">
        <v>5947</v>
      </c>
      <c r="I446" s="6051" t="s">
        <v>5795</v>
      </c>
      <c r="J446" s="6053"/>
      <c r="K446" s="5928"/>
      <c r="L446" s="5928"/>
      <c r="M446" s="5928"/>
      <c r="N446" s="5928"/>
      <c r="O446" s="5928"/>
      <c r="P446" s="5928"/>
      <c r="Q446" s="5928"/>
      <c r="R446" s="5928"/>
      <c r="S446" s="5928"/>
      <c r="T446" s="5928"/>
      <c r="U446" s="5929"/>
      <c r="V446" s="5929"/>
      <c r="W446" s="5929"/>
      <c r="X446" s="5929"/>
      <c r="Y446" s="5929"/>
    </row>
    <row r="447">
      <c r="A447" s="6049" t="s">
        <v>6163</v>
      </c>
      <c r="B447" s="6049">
        <v>46226</v>
      </c>
      <c r="C447" s="6049" t="str">
        <v>Thursday</v>
      </c>
      <c r="D447" s="6051" t="s">
        <v>5940</v>
      </c>
      <c r="E447" s="6051">
        <f t="shared" si="82"/>
      </c>
      <c r="F447" s="6051" t="s">
        <v>6166</v>
      </c>
      <c r="G447" s="6052"/>
      <c r="H447" s="6051" t="s">
        <v>5947</v>
      </c>
      <c r="I447" s="6051" t="s">
        <v>5795</v>
      </c>
      <c r="J447" s="6053"/>
      <c r="K447" s="5928"/>
      <c r="L447" s="5928"/>
      <c r="M447" s="5928"/>
      <c r="N447" s="5928"/>
      <c r="O447" s="5928"/>
      <c r="P447" s="5928"/>
      <c r="Q447" s="5928"/>
      <c r="R447" s="5928"/>
      <c r="S447" s="5928"/>
      <c r="T447" s="5928"/>
      <c r="U447" s="5929"/>
      <c r="V447" s="5929"/>
      <c r="W447" s="5929"/>
      <c r="X447" s="5929"/>
      <c r="Y447" s="5929"/>
    </row>
    <row r="448">
      <c r="A448" s="5812" t="s">
        <v>6163</v>
      </c>
      <c r="B448" s="5812">
        <v>46227</v>
      </c>
      <c r="C448" s="5812" t="str">
        <v>Friday</v>
      </c>
      <c r="D448" s="5858" t="s">
        <v>5961</v>
      </c>
      <c r="E448" s="5813">
        <f t="shared" si="82"/>
      </c>
      <c r="F448" s="5813" t="s">
        <v>6165</v>
      </c>
      <c r="G448" s="5836"/>
      <c r="H448" s="5813" t="s">
        <v>5947</v>
      </c>
      <c r="I448" s="5813" t="s">
        <v>5795</v>
      </c>
      <c r="J448" s="6048"/>
      <c r="K448" s="5928"/>
      <c r="L448" s="5928"/>
      <c r="M448" s="5928"/>
      <c r="N448" s="5928"/>
      <c r="O448" s="5928"/>
      <c r="P448" s="5928"/>
      <c r="Q448" s="5928"/>
      <c r="R448" s="5928"/>
      <c r="S448" s="5928"/>
      <c r="T448" s="5928"/>
      <c r="U448" s="5929"/>
      <c r="V448" s="5929"/>
      <c r="W448" s="5929"/>
      <c r="X448" s="5929"/>
      <c r="Y448" s="5929"/>
    </row>
    <row r="449">
      <c r="A449" s="5812" t="s">
        <v>6163</v>
      </c>
      <c r="B449" s="5812">
        <v>46227</v>
      </c>
      <c r="C449" s="5812" t="str">
        <v>Friday</v>
      </c>
      <c r="D449" s="5858" t="s">
        <v>5842</v>
      </c>
      <c r="E449" s="5813">
        <f t="shared" si="82"/>
      </c>
      <c r="F449" s="5813" t="s">
        <v>6166</v>
      </c>
      <c r="G449" s="5836"/>
      <c r="H449" s="5813" t="s">
        <v>5947</v>
      </c>
      <c r="I449" s="5813" t="s">
        <v>5795</v>
      </c>
      <c r="J449" s="6048"/>
      <c r="K449" s="5928"/>
      <c r="L449" s="5928"/>
      <c r="M449" s="5928"/>
      <c r="N449" s="5928"/>
      <c r="O449" s="5928"/>
      <c r="P449" s="5928"/>
      <c r="Q449" s="5928"/>
      <c r="R449" s="5928"/>
      <c r="S449" s="5928"/>
      <c r="T449" s="5928"/>
      <c r="U449" s="5929"/>
      <c r="V449" s="5929"/>
      <c r="W449" s="5929"/>
      <c r="X449" s="5929"/>
      <c r="Y449" s="5929"/>
    </row>
    <row r="450">
      <c r="A450" s="5812" t="s">
        <v>6163</v>
      </c>
      <c r="B450" s="5812">
        <v>46227</v>
      </c>
      <c r="C450" s="5812" t="str">
        <v>Friday</v>
      </c>
      <c r="D450" s="5858" t="s">
        <v>6174</v>
      </c>
      <c r="E450" s="5813">
        <f t="shared" si="82"/>
      </c>
      <c r="F450" s="5813" t="s">
        <v>6165</v>
      </c>
      <c r="G450" s="5836"/>
      <c r="H450" s="5813" t="s">
        <v>5947</v>
      </c>
      <c r="I450" s="5813" t="s">
        <v>5795</v>
      </c>
      <c r="J450" s="6048"/>
      <c r="K450" s="5928"/>
      <c r="L450" s="5928"/>
      <c r="M450" s="5928"/>
      <c r="N450" s="5928"/>
      <c r="O450" s="5928"/>
      <c r="P450" s="5928"/>
      <c r="Q450" s="5928"/>
      <c r="R450" s="5928"/>
      <c r="S450" s="5928"/>
      <c r="T450" s="5928"/>
      <c r="U450" s="5929"/>
      <c r="V450" s="5929"/>
      <c r="W450" s="5929"/>
      <c r="X450" s="5929"/>
      <c r="Y450" s="5929"/>
    </row>
    <row r="451">
      <c r="A451" s="5812" t="s">
        <v>6163</v>
      </c>
      <c r="B451" s="5812">
        <v>46227</v>
      </c>
      <c r="C451" s="5812" t="str">
        <v>Friday</v>
      </c>
      <c r="D451" s="5858" t="s">
        <v>5858</v>
      </c>
      <c r="E451" s="5813">
        <f t="shared" si="82"/>
      </c>
      <c r="F451" s="5813" t="s">
        <v>6166</v>
      </c>
      <c r="G451" s="5836"/>
      <c r="H451" s="5813" t="s">
        <v>5947</v>
      </c>
      <c r="I451" s="5813" t="s">
        <v>5795</v>
      </c>
      <c r="J451" s="6048"/>
      <c r="K451" s="5928"/>
      <c r="L451" s="5928"/>
      <c r="M451" s="5928"/>
      <c r="N451" s="5928"/>
      <c r="O451" s="5928"/>
      <c r="P451" s="5928"/>
      <c r="Q451" s="5928"/>
      <c r="R451" s="5928"/>
      <c r="S451" s="5928"/>
      <c r="T451" s="5928"/>
      <c r="U451" s="5929"/>
      <c r="V451" s="5929"/>
      <c r="W451" s="5929"/>
      <c r="X451" s="5929"/>
      <c r="Y451" s="5929"/>
    </row>
    <row r="452">
      <c r="A452" s="6049" t="s">
        <v>6163</v>
      </c>
      <c r="B452" s="6049">
        <v>46228</v>
      </c>
      <c r="C452" s="6049" t="str">
        <v>Saturday</v>
      </c>
      <c r="D452" s="6050" t="s">
        <v>5961</v>
      </c>
      <c r="E452" s="6051">
        <f t="shared" si="82"/>
      </c>
      <c r="F452" s="6051" t="s">
        <v>6165</v>
      </c>
      <c r="G452" s="6052"/>
      <c r="H452" s="6051" t="s">
        <v>5947</v>
      </c>
      <c r="I452" s="6051" t="s">
        <v>5795</v>
      </c>
      <c r="J452" s="6053"/>
      <c r="K452" s="5928"/>
      <c r="L452" s="5928"/>
      <c r="M452" s="5928"/>
      <c r="N452" s="5928"/>
      <c r="O452" s="5928"/>
      <c r="P452" s="5928"/>
      <c r="Q452" s="5928"/>
      <c r="R452" s="5928"/>
      <c r="S452" s="5928"/>
      <c r="T452" s="5928"/>
      <c r="U452" s="5929"/>
      <c r="V452" s="5929"/>
      <c r="W452" s="5929"/>
      <c r="X452" s="5929"/>
      <c r="Y452" s="5929"/>
    </row>
    <row r="453">
      <c r="A453" s="6049" t="s">
        <v>6163</v>
      </c>
      <c r="B453" s="6049">
        <v>46228</v>
      </c>
      <c r="C453" s="6049" t="str">
        <v>Saturday</v>
      </c>
      <c r="D453" s="6050" t="s">
        <v>6175</v>
      </c>
      <c r="E453" s="6051">
        <f t="shared" si="82"/>
      </c>
      <c r="F453" s="6051" t="s">
        <v>6154</v>
      </c>
      <c r="G453" s="6052" t="s">
        <v>6176</v>
      </c>
      <c r="H453" s="6051" t="s">
        <v>5947</v>
      </c>
      <c r="I453" s="6051" t="s">
        <v>5795</v>
      </c>
      <c r="J453" s="6053"/>
      <c r="K453" s="5928"/>
      <c r="L453" s="5928"/>
      <c r="M453" s="5928"/>
      <c r="N453" s="5928"/>
      <c r="O453" s="5928"/>
      <c r="P453" s="5928"/>
      <c r="Q453" s="5928"/>
      <c r="R453" s="5928"/>
      <c r="S453" s="5928"/>
      <c r="T453" s="5928"/>
      <c r="U453" s="5929"/>
      <c r="V453" s="5929"/>
      <c r="W453" s="5929"/>
      <c r="X453" s="5929"/>
      <c r="Y453" s="5929"/>
    </row>
    <row r="454">
      <c r="A454" s="6049" t="s">
        <v>6163</v>
      </c>
      <c r="B454" s="6049">
        <v>46228</v>
      </c>
      <c r="C454" s="6049" t="str">
        <v>Saturday</v>
      </c>
      <c r="D454" s="6051" t="s">
        <v>6177</v>
      </c>
      <c r="E454" s="6051">
        <f t="shared" si="82"/>
      </c>
      <c r="F454" s="6051" t="s">
        <v>5844</v>
      </c>
      <c r="G454" s="6052"/>
      <c r="H454" s="6051" t="s">
        <v>5947</v>
      </c>
      <c r="I454" s="6051" t="s">
        <v>5795</v>
      </c>
      <c r="J454" s="6053"/>
      <c r="K454" s="5928"/>
      <c r="L454" s="5928"/>
      <c r="M454" s="5928"/>
      <c r="N454" s="5928"/>
      <c r="O454" s="5928"/>
      <c r="P454" s="5928"/>
      <c r="Q454" s="5928"/>
      <c r="R454" s="5928"/>
      <c r="S454" s="5928"/>
      <c r="T454" s="5928"/>
      <c r="U454" s="5929"/>
      <c r="V454" s="5929"/>
      <c r="W454" s="5929"/>
      <c r="X454" s="5929"/>
      <c r="Y454" s="5929"/>
    </row>
    <row r="455">
      <c r="A455" s="5820" t="s">
        <v>6163</v>
      </c>
      <c r="B455" s="5820">
        <v>46229</v>
      </c>
      <c r="C455" s="5820" t="str">
        <v>Sunday</v>
      </c>
      <c r="D455" s="5821" t="s">
        <v>6164</v>
      </c>
      <c r="E455" s="5821">
        <f t="shared" si="82"/>
      </c>
      <c r="F455" s="5821" t="s">
        <v>5844</v>
      </c>
      <c r="G455" s="5908"/>
      <c r="H455" s="5821" t="s">
        <v>5947</v>
      </c>
      <c r="I455" s="6056" t="s">
        <v>5795</v>
      </c>
      <c r="J455" s="5908" t="s">
        <v>6162</v>
      </c>
      <c r="K455" s="5928"/>
      <c r="L455" s="5928"/>
      <c r="M455" s="5928"/>
      <c r="N455" s="5928"/>
      <c r="O455" s="5928"/>
      <c r="P455" s="5928"/>
      <c r="Q455" s="5928"/>
      <c r="R455" s="5928"/>
      <c r="S455" s="5928"/>
      <c r="T455" s="5928"/>
      <c r="U455" s="5929"/>
      <c r="V455" s="5929"/>
      <c r="W455" s="5929"/>
      <c r="X455" s="5929"/>
      <c r="Y455" s="5929"/>
    </row>
    <row r="456">
      <c r="A456" s="5812" t="s">
        <v>6163</v>
      </c>
      <c r="B456" s="5812">
        <v>46229</v>
      </c>
      <c r="C456" s="5812" t="str">
        <v>Sunday</v>
      </c>
      <c r="D456" s="5813" t="s">
        <v>6178</v>
      </c>
      <c r="E456" s="5813">
        <f t="shared" si="82"/>
      </c>
      <c r="F456" s="5813" t="s">
        <v>6154</v>
      </c>
      <c r="G456" s="5836"/>
      <c r="H456" s="5813" t="s">
        <v>5947</v>
      </c>
      <c r="I456" s="5846" t="s">
        <v>5795</v>
      </c>
      <c r="J456" s="6057"/>
      <c r="K456" s="5928"/>
      <c r="L456" s="5928"/>
      <c r="M456" s="5928"/>
      <c r="N456" s="5928"/>
      <c r="O456" s="5928"/>
      <c r="P456" s="5928"/>
      <c r="Q456" s="5928"/>
      <c r="R456" s="5928"/>
      <c r="S456" s="5928"/>
      <c r="T456" s="5928"/>
      <c r="U456" s="5929"/>
      <c r="V456" s="5929"/>
      <c r="W456" s="5929"/>
      <c r="X456" s="5929"/>
      <c r="Y456" s="5929"/>
    </row>
    <row r="457">
      <c r="A457" s="5812" t="s">
        <v>6163</v>
      </c>
      <c r="B457" s="5812">
        <v>46229</v>
      </c>
      <c r="C457" s="5812" t="str">
        <v>Sunday</v>
      </c>
      <c r="D457" s="5813" t="s">
        <v>6177</v>
      </c>
      <c r="E457" s="5813">
        <f t="shared" si="82"/>
      </c>
      <c r="F457" s="5813" t="s">
        <v>5844</v>
      </c>
      <c r="G457" s="5836"/>
      <c r="H457" s="5813" t="s">
        <v>5947</v>
      </c>
      <c r="I457" s="5846" t="s">
        <v>5795</v>
      </c>
      <c r="J457" s="6057"/>
      <c r="K457" s="5801"/>
      <c r="L457" s="5801"/>
      <c r="M457" s="5801"/>
      <c r="N457" s="5801"/>
      <c r="O457" s="5801"/>
      <c r="P457" s="5801"/>
      <c r="Q457" s="5801"/>
      <c r="R457" s="5801"/>
      <c r="S457" s="5801"/>
      <c r="T457" s="5801"/>
      <c r="U457" s="5802"/>
      <c r="V457" s="5803"/>
      <c r="W457" s="5803"/>
      <c r="X457" s="5803"/>
      <c r="Y457" s="5803"/>
    </row>
    <row r="458">
      <c r="A458" s="5812"/>
      <c r="B458" s="5812"/>
      <c r="C458" s="5812"/>
      <c r="D458" s="5813"/>
      <c r="E458" s="5813"/>
      <c r="F458" s="5813"/>
      <c r="G458" s="5836"/>
      <c r="H458" s="5813"/>
      <c r="I458" s="5846"/>
      <c r="J458" s="6057"/>
      <c r="K458" s="5801"/>
      <c r="L458" s="5801"/>
      <c r="M458" s="5801"/>
      <c r="N458" s="5801"/>
      <c r="O458" s="5801"/>
      <c r="P458" s="5801"/>
      <c r="Q458" s="5801"/>
      <c r="R458" s="5801"/>
      <c r="S458" s="5801"/>
      <c r="T458" s="5801"/>
      <c r="U458" s="5802"/>
      <c r="V458" s="5803"/>
      <c r="W458" s="5803"/>
      <c r="X458" s="5803"/>
      <c r="Y458" s="5803"/>
    </row>
    <row r="459">
      <c r="A459" s="5812"/>
      <c r="B459" s="5812"/>
      <c r="C459" s="5812"/>
      <c r="D459" s="5813"/>
      <c r="E459" s="5813"/>
      <c r="F459" s="5813"/>
      <c r="G459" s="5836"/>
      <c r="H459" s="5813"/>
      <c r="I459" s="5846"/>
      <c r="J459" s="6057"/>
      <c r="K459" s="5801"/>
      <c r="L459" s="5801"/>
      <c r="M459" s="5801"/>
      <c r="N459" s="5801"/>
      <c r="O459" s="5801"/>
      <c r="P459" s="5801"/>
      <c r="Q459" s="5801"/>
      <c r="R459" s="5801"/>
      <c r="S459" s="5801"/>
      <c r="T459" s="5801"/>
      <c r="U459" s="5802"/>
      <c r="V459" s="5803"/>
      <c r="W459" s="5803"/>
      <c r="X459" s="5803"/>
      <c r="Y459" s="5803"/>
    </row>
    <row r="460">
      <c r="A460" s="5812"/>
      <c r="B460" s="5812"/>
      <c r="C460" s="5812"/>
      <c r="D460" s="5813"/>
      <c r="E460" s="5813"/>
      <c r="F460" s="5813"/>
      <c r="G460" s="5836"/>
      <c r="H460" s="5813"/>
      <c r="I460" s="5846"/>
      <c r="J460" s="6057"/>
      <c r="K460" s="5801"/>
      <c r="L460" s="5801"/>
      <c r="M460" s="5801"/>
      <c r="N460" s="5801"/>
      <c r="O460" s="5801"/>
      <c r="P460" s="5801"/>
      <c r="Q460" s="5801"/>
      <c r="R460" s="5801"/>
      <c r="S460" s="5801"/>
      <c r="T460" s="5801"/>
      <c r="U460" s="5802"/>
      <c r="V460" s="5803"/>
      <c r="W460" s="5803"/>
      <c r="X460" s="5803"/>
      <c r="Y460" s="5803"/>
    </row>
    <row r="461">
      <c r="A461" s="6058" t="s">
        <v>6179</v>
      </c>
      <c r="B461" s="6058"/>
      <c r="C461" s="6058"/>
      <c r="D461" s="6058"/>
      <c r="E461" s="6058"/>
      <c r="F461" s="6058"/>
      <c r="G461" s="6058"/>
      <c r="H461" s="6058"/>
      <c r="I461" s="6058"/>
      <c r="J461" s="6058"/>
      <c r="K461" s="5801"/>
      <c r="L461" s="5801"/>
      <c r="M461" s="5801"/>
      <c r="N461" s="5801"/>
      <c r="O461" s="5801"/>
      <c r="P461" s="5801"/>
      <c r="Q461" s="5801"/>
      <c r="R461" s="5801"/>
      <c r="S461" s="5801"/>
      <c r="T461" s="5801"/>
      <c r="U461" s="5802"/>
      <c r="V461" s="5803"/>
      <c r="W461" s="5803"/>
      <c r="X461" s="5803"/>
      <c r="Y461" s="5803"/>
    </row>
    <row r="462">
      <c r="A462" s="6059" t="s">
        <v>5782</v>
      </c>
      <c r="B462" s="6060" t="s">
        <v>5783</v>
      </c>
      <c r="C462" s="6060"/>
      <c r="D462" s="6061" t="s">
        <v>5784</v>
      </c>
      <c r="E462" s="6061" t="s">
        <v>5785</v>
      </c>
      <c r="F462" s="6061" t="s">
        <v>5786</v>
      </c>
      <c r="G462" s="6062" t="s">
        <v>5809</v>
      </c>
      <c r="H462" s="6061" t="s">
        <v>5788</v>
      </c>
      <c r="I462" s="6061" t="s">
        <v>5789</v>
      </c>
      <c r="J462" s="6061" t="s">
        <v>5790</v>
      </c>
      <c r="K462" s="5801"/>
      <c r="L462" s="5801"/>
      <c r="M462" s="5801"/>
      <c r="N462" s="5801"/>
      <c r="O462" s="5801"/>
      <c r="P462" s="5801"/>
      <c r="Q462" s="5801"/>
      <c r="R462" s="5801"/>
      <c r="S462" s="5801"/>
      <c r="T462" s="5801"/>
      <c r="U462" s="5802"/>
      <c r="V462" s="5803"/>
      <c r="W462" s="5803"/>
      <c r="X462" s="5803"/>
      <c r="Y462" s="5803"/>
    </row>
    <row r="463">
      <c r="A463" s="5812" t="s">
        <v>6180</v>
      </c>
      <c r="B463" s="5812">
        <v>46224</v>
      </c>
      <c r="C463" s="5812" t="str">
        <v>Tuesday</v>
      </c>
      <c r="D463" s="5816" t="s">
        <v>6155</v>
      </c>
      <c r="E463" s="5816">
        <f t="shared" ref="E463:E483" si="83">24*MOD(TIMEVALUE(TRIM(MID(D463,FIND("-",D463)+1,LEN(D463)))) - TIMEVALUE(TRIM(LEFT(D463,FIND("-",D463)-1))),1)</f>
      </c>
      <c r="F463" s="5813" t="s">
        <v>6181</v>
      </c>
      <c r="G463" s="5876" t="s">
        <v>6182</v>
      </c>
      <c r="H463" s="5816" t="s">
        <v>5947</v>
      </c>
      <c r="I463" s="5816" t="s">
        <v>5795</v>
      </c>
      <c r="J463" s="5813" t="s">
        <v>6183</v>
      </c>
      <c r="K463" s="5801"/>
      <c r="L463" s="5801"/>
      <c r="M463" s="5801"/>
      <c r="N463" s="5801"/>
      <c r="O463" s="5801"/>
      <c r="P463" s="5801"/>
      <c r="Q463" s="5801"/>
      <c r="R463" s="5801"/>
      <c r="S463" s="5801"/>
      <c r="T463" s="5801"/>
      <c r="U463" s="5802"/>
      <c r="V463" s="5803"/>
      <c r="W463" s="5803"/>
      <c r="X463" s="5803"/>
      <c r="Y463" s="5803"/>
    </row>
    <row r="464">
      <c r="A464" s="5812" t="s">
        <v>6184</v>
      </c>
      <c r="B464" s="5812">
        <v>46224</v>
      </c>
      <c r="C464" s="5812" t="str">
        <v>Tuesday</v>
      </c>
      <c r="D464" s="5816" t="s">
        <v>5957</v>
      </c>
      <c r="E464" s="5816">
        <f t="shared" si="83"/>
      </c>
      <c r="F464" s="5813" t="s">
        <v>6181</v>
      </c>
      <c r="G464" s="5876"/>
      <c r="H464" s="5816" t="s">
        <v>5947</v>
      </c>
      <c r="I464" s="5816" t="s">
        <v>5795</v>
      </c>
      <c r="J464" s="5813" t="s">
        <v>6185</v>
      </c>
      <c r="K464" s="5801"/>
      <c r="L464" s="5801"/>
      <c r="M464" s="5801"/>
      <c r="N464" s="5801"/>
      <c r="O464" s="5801"/>
      <c r="P464" s="5801"/>
      <c r="Q464" s="5801"/>
      <c r="R464" s="5801"/>
      <c r="S464" s="5801"/>
      <c r="T464" s="5801"/>
      <c r="U464" s="5802"/>
      <c r="V464" s="5803"/>
      <c r="W464" s="5803"/>
      <c r="X464" s="5803"/>
      <c r="Y464" s="5803"/>
    </row>
    <row r="465">
      <c r="A465" s="5812" t="s">
        <v>6180</v>
      </c>
      <c r="B465" s="5812">
        <v>46224</v>
      </c>
      <c r="C465" s="5812" t="str">
        <v>Tuesday</v>
      </c>
      <c r="D465" s="5816" t="s">
        <v>6186</v>
      </c>
      <c r="E465" s="5816">
        <f t="shared" si="83"/>
      </c>
      <c r="F465" s="5813" t="s">
        <v>6187</v>
      </c>
      <c r="G465" s="5836" t="s">
        <v>6188</v>
      </c>
      <c r="H465" s="5813" t="s">
        <v>5947</v>
      </c>
      <c r="I465" s="5813" t="s">
        <v>5795</v>
      </c>
      <c r="J465" s="5813" t="s">
        <v>6189</v>
      </c>
      <c r="K465" s="5801"/>
      <c r="L465" s="5801"/>
      <c r="M465" s="5801"/>
      <c r="N465" s="5801"/>
      <c r="O465" s="5801"/>
      <c r="P465" s="5801"/>
      <c r="Q465" s="5801"/>
      <c r="R465" s="5801"/>
      <c r="S465" s="5801"/>
      <c r="T465" s="5801"/>
      <c r="U465" s="5802"/>
      <c r="V465" s="5803"/>
      <c r="W465" s="5803"/>
      <c r="X465" s="5803"/>
      <c r="Y465" s="5803"/>
    </row>
    <row r="466">
      <c r="A466" s="5812" t="s">
        <v>6184</v>
      </c>
      <c r="B466" s="5812">
        <v>46224</v>
      </c>
      <c r="C466" s="5812" t="str">
        <v>Tuesday</v>
      </c>
      <c r="D466" s="5813" t="s">
        <v>5837</v>
      </c>
      <c r="E466" s="5813">
        <f t="shared" si="83"/>
      </c>
      <c r="F466" s="5813" t="s">
        <v>6187</v>
      </c>
      <c r="G466" s="5836"/>
      <c r="H466" s="5813" t="s">
        <v>5947</v>
      </c>
      <c r="I466" s="5813" t="s">
        <v>5795</v>
      </c>
      <c r="J466" s="5813"/>
      <c r="K466" s="5801"/>
      <c r="L466" s="5801"/>
      <c r="M466" s="5801"/>
      <c r="N466" s="5801"/>
      <c r="O466" s="5801"/>
      <c r="P466" s="5801"/>
      <c r="Q466" s="5801"/>
      <c r="R466" s="5801"/>
      <c r="S466" s="5801"/>
      <c r="T466" s="5801"/>
      <c r="U466" s="5802"/>
      <c r="V466" s="5803"/>
      <c r="W466" s="5803"/>
      <c r="X466" s="5803"/>
      <c r="Y466" s="5803"/>
    </row>
    <row r="467">
      <c r="A467" s="6012" t="s">
        <v>6190</v>
      </c>
      <c r="B467" s="6012">
        <v>46224</v>
      </c>
      <c r="C467" s="6012" t="str">
        <v>Tuesday</v>
      </c>
      <c r="D467" s="6013" t="s">
        <v>6191</v>
      </c>
      <c r="E467" s="6013">
        <f t="shared" si="83"/>
      </c>
      <c r="F467" s="6013" t="s">
        <v>6192</v>
      </c>
      <c r="G467" s="6014"/>
      <c r="H467" s="6013" t="s">
        <v>5947</v>
      </c>
      <c r="I467" s="6013" t="s">
        <v>5795</v>
      </c>
      <c r="J467" s="6013"/>
      <c r="K467" s="5801"/>
      <c r="L467" s="5801"/>
      <c r="M467" s="5801"/>
      <c r="N467" s="5801"/>
      <c r="O467" s="5801"/>
      <c r="P467" s="5801"/>
      <c r="Q467" s="5801"/>
      <c r="R467" s="5801"/>
      <c r="S467" s="5801"/>
      <c r="T467" s="5801"/>
      <c r="U467" s="5802"/>
      <c r="V467" s="5803"/>
      <c r="W467" s="5803"/>
      <c r="X467" s="5803"/>
      <c r="Y467" s="5803"/>
    </row>
    <row r="468">
      <c r="A468" s="5812" t="s">
        <v>6184</v>
      </c>
      <c r="B468" s="5812">
        <v>46225</v>
      </c>
      <c r="C468" s="5812" t="str">
        <v>Wednesday</v>
      </c>
      <c r="D468" s="5816" t="s">
        <v>5856</v>
      </c>
      <c r="E468" s="5816">
        <f t="shared" si="83"/>
      </c>
      <c r="F468" s="5813" t="s">
        <v>5798</v>
      </c>
      <c r="G468" s="5876"/>
      <c r="H468" s="5816" t="s">
        <v>5947</v>
      </c>
      <c r="I468" s="5816" t="s">
        <v>5795</v>
      </c>
      <c r="J468" s="5816"/>
      <c r="K468" s="5801"/>
      <c r="L468" s="5801"/>
      <c r="M468" s="5801"/>
      <c r="N468" s="5801"/>
      <c r="O468" s="5801"/>
      <c r="P468" s="5801"/>
      <c r="Q468" s="5801"/>
      <c r="R468" s="5801"/>
      <c r="S468" s="5801"/>
      <c r="T468" s="5801"/>
      <c r="U468" s="5802"/>
      <c r="V468" s="5803"/>
      <c r="W468" s="5803"/>
      <c r="X468" s="5803"/>
      <c r="Y468" s="5803"/>
    </row>
    <row r="469">
      <c r="A469" s="6012" t="s">
        <v>6190</v>
      </c>
      <c r="B469" s="6012">
        <v>46225</v>
      </c>
      <c r="C469" s="6012" t="str">
        <v>Wednesday</v>
      </c>
      <c r="D469" s="6013" t="s">
        <v>6193</v>
      </c>
      <c r="E469" s="6013">
        <f t="shared" si="83"/>
      </c>
      <c r="F469" s="6013" t="s">
        <v>6192</v>
      </c>
      <c r="G469" s="6014" t="s">
        <v>6194</v>
      </c>
      <c r="H469" s="6013" t="s">
        <v>5947</v>
      </c>
      <c r="I469" s="6013" t="s">
        <v>5795</v>
      </c>
      <c r="J469" s="6013"/>
      <c r="K469" s="5801"/>
      <c r="L469" s="5801"/>
      <c r="M469" s="5801"/>
      <c r="N469" s="5801"/>
      <c r="O469" s="5801"/>
      <c r="P469" s="5801"/>
      <c r="Q469" s="5801"/>
      <c r="R469" s="5801"/>
      <c r="S469" s="5801"/>
      <c r="T469" s="5801"/>
      <c r="U469" s="5802"/>
      <c r="V469" s="5803"/>
      <c r="W469" s="5803"/>
      <c r="X469" s="5803"/>
      <c r="Y469" s="5803"/>
    </row>
    <row r="470">
      <c r="A470" s="5812" t="s">
        <v>6180</v>
      </c>
      <c r="B470" s="5812">
        <v>46226</v>
      </c>
      <c r="C470" s="5812" t="str">
        <v>Thursday</v>
      </c>
      <c r="D470" s="5813" t="s">
        <v>5855</v>
      </c>
      <c r="E470" s="5813">
        <f t="shared" si="83"/>
      </c>
      <c r="F470" s="5813" t="s">
        <v>6195</v>
      </c>
      <c r="G470" s="6063" t="s">
        <v>6196</v>
      </c>
      <c r="H470" s="5816" t="s">
        <v>5947</v>
      </c>
      <c r="I470" s="5816" t="s">
        <v>5795</v>
      </c>
      <c r="J470" s="5816"/>
      <c r="K470" s="5801"/>
      <c r="L470" s="5801"/>
      <c r="M470" s="5801"/>
      <c r="N470" s="5801"/>
      <c r="O470" s="5801"/>
      <c r="P470" s="5801"/>
      <c r="Q470" s="5801"/>
      <c r="R470" s="5801"/>
      <c r="S470" s="5801"/>
      <c r="T470" s="5801"/>
      <c r="U470" s="5802"/>
      <c r="V470" s="5803"/>
      <c r="W470" s="5803"/>
      <c r="X470" s="5803"/>
      <c r="Y470" s="5803"/>
    </row>
    <row r="471">
      <c r="A471" s="5812" t="s">
        <v>6184</v>
      </c>
      <c r="B471" s="5812">
        <v>46226</v>
      </c>
      <c r="C471" s="5812" t="str">
        <v>Thursday</v>
      </c>
      <c r="D471" s="5813" t="s">
        <v>5819</v>
      </c>
      <c r="E471" s="5813">
        <f t="shared" si="83"/>
      </c>
      <c r="F471" s="5813" t="s">
        <v>6195</v>
      </c>
      <c r="G471" s="5836"/>
      <c r="H471" s="5816" t="s">
        <v>5947</v>
      </c>
      <c r="I471" s="5816" t="s">
        <v>5795</v>
      </c>
      <c r="J471" s="5816"/>
      <c r="K471" s="5801"/>
      <c r="L471" s="5801"/>
      <c r="M471" s="5801"/>
      <c r="N471" s="5801"/>
      <c r="O471" s="5801"/>
      <c r="P471" s="5801"/>
      <c r="Q471" s="5801"/>
      <c r="R471" s="5801"/>
      <c r="S471" s="5801"/>
      <c r="T471" s="5801"/>
      <c r="U471" s="5802"/>
      <c r="V471" s="5803"/>
      <c r="W471" s="5803"/>
      <c r="X471" s="5803"/>
      <c r="Y471" s="5803"/>
    </row>
    <row r="472">
      <c r="A472" s="5812" t="s">
        <v>6180</v>
      </c>
      <c r="B472" s="5812">
        <v>46226</v>
      </c>
      <c r="C472" s="5812" t="str">
        <v>Thursday</v>
      </c>
      <c r="D472" s="5813" t="s">
        <v>6161</v>
      </c>
      <c r="E472" s="5813">
        <f t="shared" si="83"/>
      </c>
      <c r="F472" s="5813" t="s">
        <v>6079</v>
      </c>
      <c r="G472" s="5836" t="s">
        <v>6197</v>
      </c>
      <c r="H472" s="5816" t="s">
        <v>5947</v>
      </c>
      <c r="I472" s="5816" t="s">
        <v>5795</v>
      </c>
      <c r="J472" s="5816"/>
      <c r="K472" s="5801"/>
      <c r="L472" s="5801"/>
      <c r="M472" s="5801"/>
      <c r="N472" s="5801"/>
      <c r="O472" s="5801"/>
      <c r="P472" s="5801"/>
      <c r="Q472" s="5801"/>
      <c r="R472" s="5801"/>
      <c r="S472" s="5801"/>
      <c r="T472" s="5801"/>
      <c r="U472" s="5802"/>
      <c r="V472" s="5803"/>
      <c r="W472" s="5803"/>
      <c r="X472" s="5803"/>
      <c r="Y472" s="5803"/>
    </row>
    <row r="473">
      <c r="A473" s="5812" t="s">
        <v>6184</v>
      </c>
      <c r="B473" s="5812">
        <v>46226</v>
      </c>
      <c r="C473" s="5812" t="str">
        <v>Thursday</v>
      </c>
      <c r="D473" s="5813" t="s">
        <v>5820</v>
      </c>
      <c r="E473" s="5813">
        <f t="shared" si="83"/>
      </c>
      <c r="F473" s="5813" t="s">
        <v>6187</v>
      </c>
      <c r="G473" s="5836"/>
      <c r="H473" s="5816" t="s">
        <v>5947</v>
      </c>
      <c r="I473" s="5816" t="s">
        <v>5795</v>
      </c>
      <c r="J473" s="5816"/>
      <c r="K473" s="5801"/>
      <c r="L473" s="5801"/>
      <c r="M473" s="5801"/>
      <c r="N473" s="5801"/>
      <c r="O473" s="5801"/>
      <c r="P473" s="5801"/>
      <c r="Q473" s="5801"/>
      <c r="R473" s="5801"/>
      <c r="S473" s="5801"/>
      <c r="T473" s="5801"/>
      <c r="U473" s="5802"/>
      <c r="V473" s="5803"/>
      <c r="W473" s="5803"/>
      <c r="X473" s="5803"/>
      <c r="Y473" s="5803"/>
    </row>
    <row r="474">
      <c r="A474" s="6012" t="s">
        <v>6190</v>
      </c>
      <c r="B474" s="6012">
        <v>46226</v>
      </c>
      <c r="C474" s="6012" t="str">
        <v>Thursday</v>
      </c>
      <c r="D474" s="6013" t="s">
        <v>6193</v>
      </c>
      <c r="E474" s="6013">
        <f t="shared" si="83"/>
      </c>
      <c r="F474" s="6013" t="s">
        <v>6192</v>
      </c>
      <c r="G474" s="6014"/>
      <c r="H474" s="6013" t="s">
        <v>5947</v>
      </c>
      <c r="I474" s="6013" t="s">
        <v>5795</v>
      </c>
      <c r="J474" s="6013"/>
      <c r="K474" s="5801"/>
      <c r="L474" s="5801"/>
      <c r="M474" s="5801"/>
      <c r="N474" s="5801"/>
      <c r="O474" s="5801"/>
      <c r="P474" s="5801"/>
      <c r="Q474" s="5801"/>
      <c r="R474" s="5801"/>
      <c r="S474" s="5801"/>
      <c r="T474" s="5801"/>
      <c r="U474" s="5802"/>
      <c r="V474" s="5803"/>
      <c r="W474" s="5803"/>
      <c r="X474" s="5803"/>
      <c r="Y474" s="5803"/>
    </row>
    <row r="475">
      <c r="A475" s="5812" t="s">
        <v>6180</v>
      </c>
      <c r="B475" s="5812">
        <v>46227</v>
      </c>
      <c r="C475" s="5812" t="str">
        <v>Friday</v>
      </c>
      <c r="D475" s="5816" t="s">
        <v>6198</v>
      </c>
      <c r="E475" s="5816">
        <f t="shared" si="83"/>
      </c>
      <c r="F475" s="5813" t="s">
        <v>6199</v>
      </c>
      <c r="G475" s="5876" t="s">
        <v>6200</v>
      </c>
      <c r="H475" s="5816" t="s">
        <v>5947</v>
      </c>
      <c r="I475" s="5816" t="s">
        <v>5795</v>
      </c>
      <c r="J475" s="5813"/>
      <c r="K475" s="5801"/>
      <c r="L475" s="5801"/>
      <c r="M475" s="5801"/>
      <c r="N475" s="5801"/>
      <c r="O475" s="5801"/>
      <c r="P475" s="5801"/>
      <c r="Q475" s="5801"/>
      <c r="R475" s="5801"/>
      <c r="S475" s="5801"/>
      <c r="T475" s="5801"/>
      <c r="U475" s="5802"/>
      <c r="V475" s="5803"/>
      <c r="W475" s="5803"/>
      <c r="X475" s="5803"/>
      <c r="Y475" s="5803"/>
    </row>
    <row r="476">
      <c r="A476" s="5812" t="s">
        <v>6184</v>
      </c>
      <c r="B476" s="5812">
        <v>46227</v>
      </c>
      <c r="C476" s="5812" t="str">
        <v>Friday</v>
      </c>
      <c r="D476" s="5816" t="s">
        <v>5826</v>
      </c>
      <c r="E476" s="5816">
        <f t="shared" si="83"/>
      </c>
      <c r="F476" s="5813" t="s">
        <v>6199</v>
      </c>
      <c r="G476" s="5876" t="s">
        <v>6201</v>
      </c>
      <c r="H476" s="5816" t="s">
        <v>5947</v>
      </c>
      <c r="I476" s="5816" t="s">
        <v>5795</v>
      </c>
      <c r="J476" s="5816" t="s">
        <v>6185</v>
      </c>
      <c r="K476" s="5801"/>
      <c r="L476" s="5801"/>
      <c r="M476" s="5801"/>
      <c r="N476" s="5801"/>
      <c r="O476" s="5801"/>
      <c r="P476" s="5801"/>
      <c r="Q476" s="5801"/>
      <c r="R476" s="5801"/>
      <c r="S476" s="5801"/>
      <c r="T476" s="5801"/>
      <c r="U476" s="5802"/>
      <c r="V476" s="5803"/>
      <c r="W476" s="5803"/>
      <c r="X476" s="5803"/>
      <c r="Y476" s="5803"/>
    </row>
    <row r="477">
      <c r="A477" s="5861" t="s">
        <v>6180</v>
      </c>
      <c r="B477" s="5861">
        <v>46227</v>
      </c>
      <c r="C477" s="5861" t="str">
        <v>Friday</v>
      </c>
      <c r="D477" s="5862" t="s">
        <v>6155</v>
      </c>
      <c r="E477" s="5862">
        <f t="shared" si="83"/>
      </c>
      <c r="F477" s="5862" t="s">
        <v>6202</v>
      </c>
      <c r="G477" s="5863" t="s">
        <v>6203</v>
      </c>
      <c r="H477" s="5862" t="s">
        <v>5947</v>
      </c>
      <c r="I477" s="5862" t="s">
        <v>5795</v>
      </c>
      <c r="J477" s="5864" t="s">
        <v>6204</v>
      </c>
      <c r="K477" s="5801"/>
      <c r="L477" s="5801"/>
      <c r="M477" s="5801"/>
      <c r="N477" s="5801"/>
      <c r="O477" s="5801"/>
      <c r="P477" s="5801"/>
      <c r="Q477" s="5801"/>
      <c r="R477" s="5801"/>
      <c r="S477" s="5801"/>
      <c r="T477" s="5801"/>
      <c r="U477" s="5802"/>
      <c r="V477" s="5803"/>
      <c r="W477" s="5803"/>
      <c r="X477" s="5803"/>
      <c r="Y477" s="5803"/>
    </row>
    <row r="478">
      <c r="A478" s="5861" t="s">
        <v>6184</v>
      </c>
      <c r="B478" s="5861">
        <v>46227</v>
      </c>
      <c r="C478" s="5861" t="str">
        <v>Friday</v>
      </c>
      <c r="D478" s="5862" t="s">
        <v>5957</v>
      </c>
      <c r="E478" s="5862">
        <f t="shared" si="83"/>
      </c>
      <c r="F478" s="5862" t="s">
        <v>6202</v>
      </c>
      <c r="G478" s="5863"/>
      <c r="H478" s="5862" t="s">
        <v>5947</v>
      </c>
      <c r="I478" s="5862" t="s">
        <v>5795</v>
      </c>
      <c r="J478" s="5864" t="s">
        <v>6204</v>
      </c>
      <c r="K478" s="5801"/>
      <c r="L478" s="5801"/>
      <c r="M478" s="5801"/>
      <c r="N478" s="5801"/>
      <c r="O478" s="5801"/>
      <c r="P478" s="5801"/>
      <c r="Q478" s="5801"/>
      <c r="R478" s="5801"/>
      <c r="S478" s="5801"/>
      <c r="T478" s="5801"/>
      <c r="U478" s="5802"/>
      <c r="V478" s="5803"/>
      <c r="W478" s="5803"/>
      <c r="X478" s="5803"/>
      <c r="Y478" s="5803"/>
    </row>
    <row r="479">
      <c r="A479" s="5812" t="s">
        <v>6180</v>
      </c>
      <c r="B479" s="5812">
        <v>46227</v>
      </c>
      <c r="C479" s="5812" t="str">
        <v>Friday</v>
      </c>
      <c r="D479" s="5816" t="s">
        <v>6205</v>
      </c>
      <c r="E479" s="5816">
        <f t="shared" si="83"/>
      </c>
      <c r="F479" s="6064" t="s">
        <v>6206</v>
      </c>
      <c r="G479" s="5876" t="s">
        <v>6207</v>
      </c>
      <c r="H479" s="5816" t="s">
        <v>5947</v>
      </c>
      <c r="I479" s="5816" t="s">
        <v>5795</v>
      </c>
      <c r="J479" s="5816"/>
      <c r="K479" s="5801"/>
      <c r="L479" s="5801"/>
      <c r="M479" s="5801"/>
      <c r="N479" s="5801"/>
      <c r="O479" s="5801"/>
      <c r="P479" s="5801"/>
      <c r="Q479" s="5801"/>
      <c r="R479" s="5801"/>
      <c r="S479" s="5801"/>
      <c r="T479" s="5801"/>
      <c r="U479" s="5802"/>
      <c r="V479" s="5803"/>
      <c r="W479" s="5803"/>
      <c r="X479" s="5803"/>
      <c r="Y479" s="5803"/>
    </row>
    <row customHeight="true" ht="18.452380952380953" r="480">
      <c r="A480" s="5923" t="s">
        <v>6180</v>
      </c>
      <c r="B480" s="5812">
        <v>46227</v>
      </c>
      <c r="C480" s="5812" t="str">
        <v>Friday</v>
      </c>
      <c r="D480" s="5945" t="s">
        <v>6208</v>
      </c>
      <c r="E480" s="5816">
        <f t="shared" si="83"/>
      </c>
      <c r="F480" s="5813" t="s">
        <v>6192</v>
      </c>
      <c r="G480" s="5876" t="s">
        <v>6209</v>
      </c>
      <c r="H480" s="5816" t="s">
        <v>5947</v>
      </c>
      <c r="I480" s="5925" t="s">
        <v>5795</v>
      </c>
      <c r="J480" s="5924"/>
      <c r="K480" s="5801"/>
      <c r="L480" s="5801"/>
      <c r="M480" s="5801"/>
      <c r="N480" s="5801"/>
      <c r="O480" s="5801"/>
      <c r="P480" s="5801"/>
      <c r="Q480" s="5801"/>
      <c r="R480" s="5801"/>
      <c r="S480" s="5801"/>
      <c r="T480" s="5801"/>
      <c r="U480" s="5802"/>
      <c r="V480" s="5803"/>
      <c r="W480" s="5803"/>
      <c r="X480" s="5803"/>
      <c r="Y480" s="5803"/>
    </row>
    <row r="481">
      <c r="A481" s="5861" t="s">
        <v>6190</v>
      </c>
      <c r="B481" s="5861">
        <v>46227</v>
      </c>
      <c r="C481" s="5861" t="str">
        <v>Friday</v>
      </c>
      <c r="D481" s="5864" t="s">
        <v>6210</v>
      </c>
      <c r="E481" s="5862">
        <f t="shared" si="83"/>
      </c>
      <c r="F481" s="5862" t="s">
        <v>6192</v>
      </c>
      <c r="G481" s="5863"/>
      <c r="H481" s="5862" t="s">
        <v>5947</v>
      </c>
      <c r="I481" s="5862" t="s">
        <v>5795</v>
      </c>
      <c r="J481" s="5864" t="s">
        <v>6211</v>
      </c>
      <c r="K481" s="5801"/>
      <c r="L481" s="5801"/>
      <c r="M481" s="5801"/>
      <c r="N481" s="5801"/>
      <c r="O481" s="5801"/>
      <c r="P481" s="5801"/>
      <c r="Q481" s="5801"/>
      <c r="R481" s="5801"/>
      <c r="S481" s="5801"/>
      <c r="T481" s="5801"/>
      <c r="U481" s="5802"/>
      <c r="V481" s="5803"/>
      <c r="W481" s="5803"/>
      <c r="X481" s="5803"/>
      <c r="Y481" s="5803"/>
    </row>
    <row r="482">
      <c r="A482" s="5812" t="s">
        <v>6184</v>
      </c>
      <c r="B482" s="5812">
        <v>46228</v>
      </c>
      <c r="C482" s="5812" t="str">
        <v>Saturday</v>
      </c>
      <c r="D482" s="5816" t="s">
        <v>5799</v>
      </c>
      <c r="E482" s="5816">
        <f t="shared" si="83"/>
      </c>
      <c r="F482" s="5813" t="s">
        <v>5798</v>
      </c>
      <c r="G482" s="5876"/>
      <c r="H482" s="5816" t="s">
        <v>5947</v>
      </c>
      <c r="I482" s="5816" t="s">
        <v>5795</v>
      </c>
      <c r="J482" s="5816"/>
      <c r="K482" s="5801"/>
      <c r="L482" s="5801"/>
      <c r="M482" s="5801"/>
      <c r="N482" s="5801"/>
      <c r="O482" s="5801"/>
      <c r="P482" s="5801"/>
      <c r="Q482" s="5801"/>
      <c r="R482" s="5801"/>
      <c r="S482" s="5801"/>
      <c r="T482" s="5801"/>
      <c r="U482" s="5802"/>
      <c r="V482" s="5803"/>
      <c r="W482" s="5803"/>
      <c r="X482" s="5803"/>
      <c r="Y482" s="5803"/>
    </row>
    <row r="483">
      <c r="A483" s="6012" t="s">
        <v>6190</v>
      </c>
      <c r="B483" s="6012">
        <v>46228</v>
      </c>
      <c r="C483" s="6012" t="str">
        <v>Saturday</v>
      </c>
      <c r="D483" s="6013" t="s">
        <v>6212</v>
      </c>
      <c r="E483" s="6013">
        <f t="shared" si="83"/>
      </c>
      <c r="F483" s="6013" t="s">
        <v>6192</v>
      </c>
      <c r="G483" s="6014"/>
      <c r="H483" s="6013" t="s">
        <v>5947</v>
      </c>
      <c r="I483" s="6013" t="s">
        <v>5795</v>
      </c>
      <c r="J483" s="6013"/>
      <c r="K483" s="5801"/>
      <c r="L483" s="5801"/>
      <c r="M483" s="5801"/>
      <c r="N483" s="5801"/>
      <c r="O483" s="5801"/>
      <c r="P483" s="5801"/>
      <c r="Q483" s="5801"/>
      <c r="R483" s="5801"/>
      <c r="S483" s="5801"/>
      <c r="T483" s="5801"/>
      <c r="U483" s="5802"/>
      <c r="V483" s="5803"/>
      <c r="W483" s="5803"/>
      <c r="X483" s="5803"/>
      <c r="Y483" s="5803"/>
    </row>
    <row customHeight="true" ht="18.452380952380953" r="484">
      <c r="A484" s="5812"/>
      <c r="B484" s="5944"/>
      <c r="C484" s="5812"/>
      <c r="D484" s="5945"/>
      <c r="E484" s="5816"/>
      <c r="F484" s="5813"/>
      <c r="G484" s="5876"/>
      <c r="H484" s="5816"/>
      <c r="I484" s="5816"/>
      <c r="J484" s="5945"/>
      <c r="K484" s="5801"/>
      <c r="L484" s="5801"/>
      <c r="M484" s="5801"/>
      <c r="N484" s="5801"/>
      <c r="O484" s="5801"/>
      <c r="P484" s="5801"/>
      <c r="Q484" s="5801"/>
      <c r="R484" s="5801"/>
      <c r="S484" s="5801"/>
      <c r="T484" s="5801"/>
      <c r="U484" s="5802"/>
      <c r="V484" s="5803"/>
      <c r="W484" s="5803"/>
      <c r="X484" s="5803"/>
      <c r="Y484" s="5803"/>
    </row>
    <row r="485">
      <c r="A485" s="5812" t="s">
        <v>6184</v>
      </c>
      <c r="B485" s="5812">
        <v>46229</v>
      </c>
      <c r="C485" s="5812" t="str">
        <v>Sunday</v>
      </c>
      <c r="D485" s="5816" t="s">
        <v>5849</v>
      </c>
      <c r="E485" s="5816">
        <f t="shared" ref="E485:E490" si="84">24*MOD(TIMEVALUE(TRIM(MID(D485,FIND("-",D485)+1,LEN(D485)))) - TIMEVALUE(TRIM(LEFT(D485,FIND("-",D485)-1))),1)</f>
      </c>
      <c r="F485" s="5813" t="s">
        <v>5798</v>
      </c>
      <c r="G485" s="5876" t="s">
        <v>6213</v>
      </c>
      <c r="H485" s="5816" t="s">
        <v>5947</v>
      </c>
      <c r="I485" s="5816" t="s">
        <v>5795</v>
      </c>
      <c r="J485" s="5816"/>
      <c r="K485" s="5801"/>
      <c r="L485" s="5801"/>
      <c r="M485" s="5801"/>
      <c r="N485" s="5801"/>
      <c r="O485" s="5801"/>
      <c r="P485" s="5801"/>
      <c r="Q485" s="5801"/>
      <c r="R485" s="5801"/>
      <c r="S485" s="5801"/>
      <c r="T485" s="5801"/>
      <c r="U485" s="5802"/>
      <c r="V485" s="5803"/>
      <c r="W485" s="5803"/>
      <c r="X485" s="5803"/>
      <c r="Y485" s="5803"/>
    </row>
    <row r="486">
      <c r="A486" s="5812" t="s">
        <v>6184</v>
      </c>
      <c r="B486" s="5812">
        <v>46229</v>
      </c>
      <c r="C486" s="5812" t="str">
        <v>Sunday</v>
      </c>
      <c r="D486" s="5816" t="s">
        <v>6214</v>
      </c>
      <c r="E486" s="5816">
        <f t="shared" si="84"/>
      </c>
      <c r="F486" s="5813" t="s">
        <v>6187</v>
      </c>
      <c r="G486" s="5876" t="s">
        <v>6215</v>
      </c>
      <c r="H486" s="5816" t="s">
        <v>5947</v>
      </c>
      <c r="I486" s="5816" t="s">
        <v>5795</v>
      </c>
      <c r="J486" s="5816"/>
      <c r="K486" s="5801"/>
      <c r="L486" s="5801"/>
      <c r="M486" s="5801"/>
      <c r="N486" s="5801"/>
      <c r="O486" s="5801"/>
      <c r="P486" s="5801"/>
      <c r="Q486" s="5801"/>
      <c r="R486" s="5801"/>
      <c r="S486" s="5801"/>
      <c r="T486" s="5801"/>
      <c r="U486" s="5802"/>
      <c r="V486" s="5803"/>
      <c r="W486" s="5803"/>
      <c r="X486" s="5803"/>
      <c r="Y486" s="5803"/>
    </row>
    <row r="487">
      <c r="A487" s="5812" t="s">
        <v>6184</v>
      </c>
      <c r="B487" s="5812">
        <v>46229</v>
      </c>
      <c r="C487" s="5812" t="str">
        <v>Sunday</v>
      </c>
      <c r="D487" s="5816" t="s">
        <v>6216</v>
      </c>
      <c r="E487" s="5816">
        <f t="shared" si="84"/>
      </c>
      <c r="F487" s="5813" t="s">
        <v>5798</v>
      </c>
      <c r="G487" s="5876" t="s">
        <v>6217</v>
      </c>
      <c r="H487" s="5816" t="s">
        <v>5947</v>
      </c>
      <c r="I487" s="5816" t="s">
        <v>5795</v>
      </c>
      <c r="J487" s="5816" t="s">
        <v>6218</v>
      </c>
      <c r="K487" s="5801"/>
      <c r="L487" s="5801"/>
      <c r="M487" s="5801"/>
      <c r="N487" s="5801"/>
      <c r="O487" s="5801"/>
      <c r="P487" s="5801"/>
      <c r="Q487" s="5801"/>
      <c r="R487" s="5801"/>
      <c r="S487" s="5801"/>
      <c r="T487" s="5801"/>
      <c r="U487" s="5802"/>
      <c r="V487" s="5803"/>
      <c r="W487" s="5803"/>
      <c r="X487" s="5803"/>
      <c r="Y487" s="5803"/>
    </row>
    <row r="488">
      <c r="A488" s="6012" t="s">
        <v>6190</v>
      </c>
      <c r="B488" s="6012">
        <v>46229</v>
      </c>
      <c r="C488" s="6012" t="str">
        <v>Sunday</v>
      </c>
      <c r="D488" s="6013" t="s">
        <v>6219</v>
      </c>
      <c r="E488" s="6013">
        <f t="shared" si="84"/>
      </c>
      <c r="F488" s="6013"/>
      <c r="G488" s="6014" t="s">
        <v>6220</v>
      </c>
      <c r="H488" s="6013" t="s">
        <v>5947</v>
      </c>
      <c r="I488" s="6013" t="s">
        <v>5795</v>
      </c>
      <c r="J488" s="6013"/>
      <c r="K488" s="5801"/>
      <c r="L488" s="5801"/>
      <c r="M488" s="5801"/>
      <c r="N488" s="5801"/>
      <c r="O488" s="5801"/>
      <c r="P488" s="5801"/>
      <c r="Q488" s="5801"/>
      <c r="R488" s="5801"/>
      <c r="S488" s="5801"/>
      <c r="T488" s="5801"/>
      <c r="U488" s="5802"/>
      <c r="V488" s="5803"/>
      <c r="W488" s="5803"/>
      <c r="X488" s="5803"/>
      <c r="Y488" s="5803"/>
    </row>
    <row r="489">
      <c r="A489" s="6012" t="s">
        <v>6190</v>
      </c>
      <c r="B489" s="6012">
        <v>46229</v>
      </c>
      <c r="C489" s="6012" t="str">
        <v>Sunday</v>
      </c>
      <c r="D489" s="6013" t="s">
        <v>6158</v>
      </c>
      <c r="E489" s="6013">
        <f t="shared" si="84"/>
      </c>
      <c r="F489" s="6013" t="s">
        <v>6192</v>
      </c>
      <c r="G489" s="6014"/>
      <c r="H489" s="6013" t="s">
        <v>5947</v>
      </c>
      <c r="I489" s="6013" t="s">
        <v>5795</v>
      </c>
      <c r="J489" s="6013" t="s">
        <v>6221</v>
      </c>
      <c r="K489" s="5801"/>
      <c r="L489" s="5801"/>
      <c r="M489" s="5801"/>
      <c r="N489" s="5801"/>
      <c r="O489" s="5801"/>
      <c r="P489" s="5801"/>
      <c r="Q489" s="5801"/>
      <c r="R489" s="5801"/>
      <c r="S489" s="5801"/>
      <c r="T489" s="5801"/>
      <c r="U489" s="5802"/>
      <c r="V489" s="5803"/>
      <c r="W489" s="5803"/>
      <c r="X489" s="5803"/>
      <c r="Y489" s="5803"/>
    </row>
    <row r="490">
      <c r="A490" s="6012" t="s">
        <v>6190</v>
      </c>
      <c r="B490" s="6012">
        <v>46229</v>
      </c>
      <c r="C490" s="6012" t="str">
        <v>Sunday</v>
      </c>
      <c r="D490" s="6013" t="s">
        <v>6222</v>
      </c>
      <c r="E490" s="6013">
        <f t="shared" si="84"/>
      </c>
      <c r="F490" s="6013" t="s">
        <v>6223</v>
      </c>
      <c r="G490" s="6014"/>
      <c r="H490" s="6013" t="s">
        <v>5947</v>
      </c>
      <c r="I490" s="6013" t="s">
        <v>5795</v>
      </c>
      <c r="J490" s="6013" t="s">
        <v>6221</v>
      </c>
      <c r="K490" s="5801"/>
      <c r="L490" s="5801"/>
      <c r="M490" s="5801"/>
      <c r="N490" s="5801"/>
      <c r="O490" s="5801"/>
      <c r="P490" s="5801"/>
      <c r="Q490" s="5801"/>
      <c r="R490" s="5801"/>
      <c r="S490" s="5801"/>
      <c r="T490" s="5801"/>
      <c r="U490" s="5802"/>
      <c r="V490" s="5803"/>
      <c r="W490" s="5803"/>
      <c r="X490" s="5803"/>
      <c r="Y490" s="5803"/>
    </row>
    <row r="491">
      <c r="A491" s="6012"/>
      <c r="B491" s="6012"/>
      <c r="C491" s="6012"/>
      <c r="D491" s="6013"/>
      <c r="E491" s="6013"/>
      <c r="F491" s="6013"/>
      <c r="G491" s="6014"/>
      <c r="H491" s="6013"/>
      <c r="I491" s="6013"/>
      <c r="J491" s="6013"/>
      <c r="K491" s="5801"/>
      <c r="L491" s="5801"/>
      <c r="M491" s="5801"/>
      <c r="N491" s="5801"/>
      <c r="O491" s="5801"/>
      <c r="P491" s="5801"/>
      <c r="Q491" s="5801"/>
      <c r="R491" s="5801"/>
      <c r="S491" s="5801"/>
      <c r="T491" s="5801"/>
      <c r="U491" s="5802"/>
      <c r="V491" s="5803"/>
      <c r="W491" s="5803"/>
      <c r="X491" s="5803"/>
      <c r="Y491" s="5803"/>
    </row>
    <row r="492">
      <c r="A492" s="6012"/>
      <c r="B492" s="6012"/>
      <c r="C492" s="6012"/>
      <c r="D492" s="6013"/>
      <c r="E492" s="6013"/>
      <c r="F492" s="6013"/>
      <c r="G492" s="6014"/>
      <c r="H492" s="6013"/>
      <c r="I492" s="6013"/>
      <c r="J492" s="6013"/>
      <c r="K492" s="5801"/>
      <c r="L492" s="5801"/>
      <c r="M492" s="5801"/>
      <c r="N492" s="5801"/>
      <c r="O492" s="5801"/>
      <c r="P492" s="5801"/>
      <c r="Q492" s="5801"/>
      <c r="R492" s="5801"/>
      <c r="S492" s="5801"/>
      <c r="T492" s="5801"/>
      <c r="U492" s="5802"/>
      <c r="V492" s="5803"/>
      <c r="W492" s="5803"/>
      <c r="X492" s="5803"/>
      <c r="Y492" s="5803"/>
    </row>
    <row r="493">
      <c r="A493" s="5812"/>
      <c r="B493" s="5812"/>
      <c r="C493" s="5812"/>
      <c r="D493" s="5816"/>
      <c r="E493" s="5816"/>
      <c r="F493" s="5813"/>
      <c r="G493" s="5876"/>
      <c r="H493" s="5816"/>
      <c r="I493" s="5816"/>
      <c r="J493" s="5813"/>
      <c r="K493" s="5801"/>
      <c r="L493" s="5801"/>
      <c r="M493" s="5801"/>
      <c r="N493" s="5801"/>
      <c r="O493" s="5801"/>
      <c r="P493" s="5801"/>
      <c r="Q493" s="5801"/>
      <c r="R493" s="5801"/>
      <c r="S493" s="5801"/>
      <c r="T493" s="5801"/>
      <c r="U493" s="5802"/>
      <c r="V493" s="5803"/>
      <c r="W493" s="5803"/>
      <c r="X493" s="5803"/>
      <c r="Y493" s="5803"/>
    </row>
    <row r="494">
      <c r="A494" s="5987"/>
      <c r="B494" s="5987"/>
      <c r="C494" s="5987"/>
      <c r="D494" s="5987"/>
      <c r="E494" s="5987"/>
      <c r="F494" s="5987"/>
      <c r="G494" s="6033"/>
      <c r="H494" s="5987"/>
      <c r="I494" s="5987"/>
      <c r="J494" s="5987"/>
      <c r="K494" s="5801"/>
      <c r="L494" s="5801"/>
      <c r="M494" s="5801"/>
      <c r="N494" s="5801"/>
      <c r="O494" s="5801"/>
      <c r="P494" s="5801"/>
      <c r="Q494" s="5801"/>
      <c r="R494" s="5801"/>
      <c r="S494" s="5801"/>
      <c r="T494" s="5801"/>
      <c r="U494" s="5802"/>
      <c r="V494" s="5803"/>
      <c r="W494" s="5803"/>
      <c r="X494" s="5803"/>
      <c r="Y494" s="5803"/>
    </row>
    <row r="495">
      <c r="A495" s="5987"/>
      <c r="B495" s="5987"/>
      <c r="C495" s="5987"/>
      <c r="D495" s="5987"/>
      <c r="E495" s="5987"/>
      <c r="F495" s="5987"/>
      <c r="G495" s="6033"/>
      <c r="H495" s="5987"/>
      <c r="I495" s="5987"/>
      <c r="J495" s="5987"/>
      <c r="K495" s="5801"/>
      <c r="L495" s="5801"/>
      <c r="M495" s="5801"/>
      <c r="N495" s="5801"/>
      <c r="O495" s="5801"/>
      <c r="P495" s="5801"/>
      <c r="Q495" s="5801"/>
      <c r="R495" s="5801"/>
      <c r="S495" s="5801"/>
      <c r="T495" s="5801"/>
      <c r="U495" s="5802"/>
      <c r="V495" s="5803"/>
      <c r="W495" s="5803"/>
      <c r="X495" s="5803"/>
      <c r="Y495" s="5803"/>
    </row>
    <row r="496">
      <c r="A496" s="5812"/>
      <c r="B496" s="5816"/>
      <c r="C496" s="5816"/>
      <c r="D496" s="6065"/>
      <c r="E496" s="5816"/>
      <c r="F496" s="5816"/>
      <c r="G496" s="6031"/>
      <c r="H496" s="5816"/>
      <c r="I496" s="5816"/>
      <c r="J496" s="5857"/>
      <c r="K496" s="5801"/>
      <c r="L496" s="5801"/>
      <c r="M496" s="5801"/>
      <c r="N496" s="5801"/>
      <c r="O496" s="5801"/>
      <c r="P496" s="5801"/>
      <c r="Q496" s="5801"/>
      <c r="R496" s="5801"/>
      <c r="S496" s="5801"/>
      <c r="T496" s="5801"/>
      <c r="U496" s="5803"/>
      <c r="V496" s="5803"/>
      <c r="W496" s="5803"/>
      <c r="X496" s="5803"/>
      <c r="Y496" s="5803"/>
    </row>
    <row r="497">
      <c r="A497" s="6066" t="s">
        <v>6224</v>
      </c>
      <c r="B497" s="6066"/>
      <c r="C497" s="6066"/>
      <c r="D497" s="6066"/>
      <c r="E497" s="6066"/>
      <c r="F497" s="6066"/>
      <c r="G497" s="6066"/>
      <c r="H497" s="6066"/>
      <c r="I497" s="6066"/>
      <c r="J497" s="6066"/>
      <c r="K497" s="6066"/>
      <c r="L497" s="5801"/>
      <c r="M497" s="5801"/>
      <c r="N497" s="5801"/>
      <c r="O497" s="5801"/>
      <c r="P497" s="5801"/>
      <c r="Q497" s="5801"/>
      <c r="R497" s="5801"/>
      <c r="S497" s="5801"/>
      <c r="T497" s="5801"/>
      <c r="U497" s="5803"/>
      <c r="V497" s="5803"/>
      <c r="W497" s="5803"/>
      <c r="X497" s="5803"/>
      <c r="Y497" s="5803"/>
    </row>
    <row r="498">
      <c r="A498" s="6067" t="s">
        <v>5782</v>
      </c>
      <c r="B498" s="6068" t="s">
        <v>5783</v>
      </c>
      <c r="C498" s="6068"/>
      <c r="D498" s="6069" t="s">
        <v>5784</v>
      </c>
      <c r="E498" s="6069" t="s">
        <v>5785</v>
      </c>
      <c r="F498" s="6069" t="s">
        <v>5786</v>
      </c>
      <c r="G498" s="6070" t="s">
        <v>6225</v>
      </c>
      <c r="H498" s="6069" t="s">
        <v>5788</v>
      </c>
      <c r="I498" s="6069" t="s">
        <v>5789</v>
      </c>
      <c r="J498" s="6069"/>
      <c r="K498" s="6071" t="s">
        <v>6226</v>
      </c>
      <c r="L498" s="5801"/>
      <c r="M498" s="5801"/>
      <c r="N498" s="5801"/>
      <c r="O498" s="5801"/>
      <c r="P498" s="5801"/>
      <c r="Q498" s="5801"/>
      <c r="R498" s="5801"/>
      <c r="S498" s="5801"/>
      <c r="T498" s="5801"/>
      <c r="U498" s="5803"/>
      <c r="V498" s="5803"/>
      <c r="W498" s="5803"/>
      <c r="X498" s="5803"/>
      <c r="Y498" s="5803"/>
    </row>
    <row r="499">
      <c r="A499" s="5812" t="s">
        <v>6224</v>
      </c>
      <c r="B499" s="5812">
        <v>46223</v>
      </c>
      <c r="C499" s="5812" t="str">
        <v>Monday</v>
      </c>
      <c r="D499" s="5816" t="s">
        <v>6227</v>
      </c>
      <c r="E499" s="5816">
        <v>3</v>
      </c>
      <c r="F499" s="5816" t="s">
        <v>5821</v>
      </c>
      <c r="G499" s="5876" t="s">
        <v>6228</v>
      </c>
      <c r="H499" s="5816" t="s">
        <v>5947</v>
      </c>
      <c r="I499" s="5816" t="s">
        <v>5795</v>
      </c>
      <c r="J499" s="5816"/>
      <c r="K499" s="6072"/>
      <c r="L499" s="5801"/>
      <c r="M499" s="5801"/>
      <c r="N499" s="5801"/>
      <c r="O499" s="5801"/>
      <c r="P499" s="5801"/>
      <c r="Q499" s="5801"/>
      <c r="R499" s="5801"/>
      <c r="S499" s="5801"/>
      <c r="T499" s="5801"/>
      <c r="U499" s="5803"/>
      <c r="V499" s="5803"/>
      <c r="W499" s="5803"/>
      <c r="X499" s="5803"/>
      <c r="Y499" s="5803"/>
    </row>
    <row r="500">
      <c r="A500" s="6073" t="s">
        <v>6229</v>
      </c>
      <c r="B500" s="6073"/>
      <c r="C500" s="6073"/>
      <c r="D500" s="6073"/>
      <c r="E500" s="6073"/>
      <c r="F500" s="6073"/>
      <c r="G500" s="6073"/>
      <c r="H500" s="6073"/>
      <c r="I500" s="6073"/>
      <c r="J500" s="6073"/>
      <c r="K500" s="5801"/>
      <c r="L500" s="5801"/>
      <c r="M500" s="5801"/>
      <c r="N500" s="5801"/>
      <c r="O500" s="5801"/>
      <c r="P500" s="5801"/>
      <c r="Q500" s="5801"/>
      <c r="R500" s="5801"/>
      <c r="S500" s="5801"/>
      <c r="T500" s="5801"/>
      <c r="U500" s="5803"/>
      <c r="V500" s="5803"/>
      <c r="W500" s="5803"/>
      <c r="X500" s="5803"/>
      <c r="Y500" s="5803"/>
    </row>
    <row r="501">
      <c r="A501" s="6074" t="s">
        <v>5782</v>
      </c>
      <c r="B501" s="6075" t="s">
        <v>5783</v>
      </c>
      <c r="C501" s="6075"/>
      <c r="D501" s="6076" t="s">
        <v>5784</v>
      </c>
      <c r="E501" s="6076" t="s">
        <v>5785</v>
      </c>
      <c r="F501" s="6076" t="s">
        <v>5786</v>
      </c>
      <c r="G501" s="6077" t="s">
        <v>5809</v>
      </c>
      <c r="H501" s="6076" t="s">
        <v>5788</v>
      </c>
      <c r="I501" s="6076" t="s">
        <v>5789</v>
      </c>
      <c r="J501" s="6076" t="s">
        <v>5790</v>
      </c>
      <c r="K501" s="5801"/>
      <c r="L501" s="5801"/>
      <c r="M501" s="5801"/>
      <c r="N501" s="5801"/>
      <c r="O501" s="5801"/>
      <c r="P501" s="5801"/>
      <c r="Q501" s="5801"/>
      <c r="R501" s="5801"/>
      <c r="S501" s="5801"/>
      <c r="T501" s="5801"/>
      <c r="U501" s="5803"/>
      <c r="V501" s="5803"/>
      <c r="W501" s="5803"/>
      <c r="X501" s="5803"/>
      <c r="Y501" s="5803"/>
    </row>
    <row r="502">
      <c r="A502" s="5812" t="s">
        <v>6230</v>
      </c>
      <c r="B502" s="5812">
        <v>46223</v>
      </c>
      <c r="C502" s="5812" t="str">
        <v>Monday</v>
      </c>
      <c r="D502" s="5888" t="s">
        <v>5841</v>
      </c>
      <c r="E502" s="5816">
        <f t="shared" ref="E502:E510" si="85">24*MOD(TIMEVALUE(TRIM(MID(D502,FIND("-",D502)+1,LEN(D502)))) - TIMEVALUE(TRIM(LEFT(D502,FIND("-",D502)-1))),1)</f>
      </c>
      <c r="F502" s="5813" t="s">
        <v>6231</v>
      </c>
      <c r="G502" s="5876" t="s">
        <v>6232</v>
      </c>
      <c r="H502" s="5816" t="s">
        <v>5794</v>
      </c>
      <c r="I502" s="5813" t="s">
        <v>5795</v>
      </c>
      <c r="J502" s="5816"/>
      <c r="K502" s="5801"/>
      <c r="L502" s="5801"/>
      <c r="M502" s="5801"/>
      <c r="N502" s="5801"/>
      <c r="O502" s="5801"/>
      <c r="P502" s="5801"/>
      <c r="Q502" s="5801"/>
      <c r="R502" s="5801"/>
      <c r="S502" s="5801"/>
      <c r="T502" s="5801"/>
      <c r="U502" s="5803"/>
      <c r="V502" s="5803"/>
      <c r="W502" s="5803"/>
      <c r="X502" s="5803"/>
      <c r="Y502" s="5803"/>
    </row>
    <row r="503">
      <c r="A503" s="6078" t="s">
        <v>6230</v>
      </c>
      <c r="B503" s="6078">
        <v>46224</v>
      </c>
      <c r="C503" s="6078" t="str">
        <v>Tuesday</v>
      </c>
      <c r="D503" s="6079" t="s">
        <v>5841</v>
      </c>
      <c r="E503" s="6079">
        <f t="shared" si="85"/>
      </c>
      <c r="F503" s="6079" t="s">
        <v>6181</v>
      </c>
      <c r="G503" s="6080" t="s">
        <v>6092</v>
      </c>
      <c r="H503" s="6079" t="s">
        <v>5794</v>
      </c>
      <c r="I503" s="5813" t="s">
        <v>5795</v>
      </c>
      <c r="J503" s="6079"/>
      <c r="K503" s="5801"/>
      <c r="L503" s="5801"/>
      <c r="M503" s="5801"/>
      <c r="N503" s="5801"/>
      <c r="O503" s="5801"/>
      <c r="P503" s="5801"/>
      <c r="Q503" s="5801"/>
      <c r="R503" s="5801"/>
      <c r="S503" s="5801"/>
      <c r="T503" s="5801"/>
      <c r="U503" s="5802"/>
      <c r="V503" s="5802"/>
      <c r="W503" s="5802"/>
      <c r="X503" s="5802"/>
      <c r="Y503" s="5802"/>
    </row>
    <row r="504">
      <c r="A504" s="5812" t="s">
        <v>6230</v>
      </c>
      <c r="B504" s="5812">
        <v>46226</v>
      </c>
      <c r="C504" s="5812" t="str">
        <v>Thursday</v>
      </c>
      <c r="D504" s="5888" t="s">
        <v>5847</v>
      </c>
      <c r="E504" s="5816">
        <f t="shared" si="85"/>
      </c>
      <c r="F504" s="5813" t="s">
        <v>6231</v>
      </c>
      <c r="G504" s="5876" t="s">
        <v>6092</v>
      </c>
      <c r="H504" s="5816" t="s">
        <v>5794</v>
      </c>
      <c r="I504" s="5813" t="s">
        <v>5795</v>
      </c>
      <c r="J504" s="5816"/>
      <c r="K504" s="5801"/>
      <c r="L504" s="5801"/>
      <c r="M504" s="5801"/>
      <c r="N504" s="5801"/>
      <c r="O504" s="5801"/>
      <c r="P504" s="5801"/>
      <c r="Q504" s="5801"/>
      <c r="R504" s="5801"/>
      <c r="S504" s="5801"/>
      <c r="T504" s="5801"/>
      <c r="U504" s="5802"/>
      <c r="V504" s="5802"/>
      <c r="W504" s="5802"/>
      <c r="X504" s="5802"/>
      <c r="Y504" s="5802"/>
    </row>
    <row r="505">
      <c r="A505" s="6078" t="s">
        <v>6230</v>
      </c>
      <c r="B505" s="6078">
        <v>46228</v>
      </c>
      <c r="C505" s="6078" t="str">
        <v>Saturday</v>
      </c>
      <c r="D505" s="6079" t="s">
        <v>5841</v>
      </c>
      <c r="E505" s="6081">
        <f t="shared" si="85"/>
      </c>
      <c r="F505" s="6079" t="s">
        <v>6199</v>
      </c>
      <c r="G505" s="6082" t="s">
        <v>6080</v>
      </c>
      <c r="H505" s="6081" t="s">
        <v>5794</v>
      </c>
      <c r="I505" s="6079" t="s">
        <v>5795</v>
      </c>
      <c r="J505" s="6081"/>
      <c r="K505" s="6083"/>
      <c r="L505" s="6083"/>
      <c r="M505" s="6083"/>
      <c r="N505" s="6083"/>
      <c r="O505" s="6083"/>
      <c r="P505" s="6083"/>
      <c r="Q505" s="6083"/>
      <c r="R505" s="6083"/>
      <c r="S505" s="6083"/>
      <c r="T505" s="6083"/>
      <c r="U505" s="6084"/>
      <c r="V505" s="6084"/>
      <c r="W505" s="6084"/>
      <c r="X505" s="6084"/>
      <c r="Y505" s="6084"/>
    </row>
    <row r="506">
      <c r="A506" s="5812" t="s">
        <v>6230</v>
      </c>
      <c r="B506" s="5812">
        <v>46229</v>
      </c>
      <c r="C506" s="5812" t="str">
        <v>Sunday</v>
      </c>
      <c r="D506" s="5888" t="s">
        <v>5841</v>
      </c>
      <c r="E506" s="5888">
        <f t="shared" si="85"/>
      </c>
      <c r="F506" s="5813" t="s">
        <v>6199</v>
      </c>
      <c r="G506" s="6009" t="s">
        <v>6080</v>
      </c>
      <c r="H506" s="5888" t="s">
        <v>5794</v>
      </c>
      <c r="I506" s="5813" t="s">
        <v>5795</v>
      </c>
      <c r="J506" s="5888"/>
      <c r="K506" s="6010"/>
      <c r="L506" s="6010"/>
      <c r="M506" s="6010"/>
      <c r="N506" s="6010"/>
      <c r="O506" s="6010"/>
      <c r="P506" s="6010"/>
      <c r="Q506" s="6010"/>
      <c r="R506" s="6010"/>
      <c r="S506" s="6010"/>
      <c r="T506" s="6010"/>
      <c r="U506" s="5802"/>
      <c r="V506" s="5802"/>
      <c r="W506" s="5802"/>
      <c r="X506" s="5802"/>
      <c r="Y506" s="5802"/>
    </row>
    <row r="507">
      <c r="A507" s="6078" t="s">
        <v>6233</v>
      </c>
      <c r="B507" s="6078">
        <v>46223</v>
      </c>
      <c r="C507" s="6078" t="str">
        <v>Monday</v>
      </c>
      <c r="D507" s="6079" t="s">
        <v>6234</v>
      </c>
      <c r="E507" s="6079">
        <f t="shared" si="85"/>
      </c>
      <c r="F507" s="6081" t="s">
        <v>5893</v>
      </c>
      <c r="G507" s="6080"/>
      <c r="H507" s="6079" t="s">
        <v>5794</v>
      </c>
      <c r="I507" s="5813" t="s">
        <v>5795</v>
      </c>
      <c r="J507" s="6079"/>
      <c r="K507" s="6085"/>
      <c r="L507" s="6085"/>
      <c r="M507" s="6085"/>
      <c r="N507" s="6085"/>
      <c r="O507" s="6085"/>
      <c r="P507" s="6085"/>
      <c r="Q507" s="6085"/>
      <c r="R507" s="6085"/>
      <c r="S507" s="6085"/>
      <c r="T507" s="6085"/>
      <c r="U507" s="6084"/>
      <c r="V507" s="6084"/>
      <c r="W507" s="6084"/>
      <c r="X507" s="6084"/>
      <c r="Y507" s="6084"/>
    </row>
    <row r="508">
      <c r="A508" s="6078" t="s">
        <v>6233</v>
      </c>
      <c r="B508" s="6078">
        <v>46224</v>
      </c>
      <c r="C508" s="6078" t="str">
        <v>Tuesday</v>
      </c>
      <c r="D508" s="6079" t="s">
        <v>6235</v>
      </c>
      <c r="E508" s="6079">
        <f t="shared" si="85"/>
      </c>
      <c r="F508" s="6081" t="s">
        <v>6036</v>
      </c>
      <c r="G508" s="6080"/>
      <c r="H508" s="6079" t="s">
        <v>5794</v>
      </c>
      <c r="I508" s="6079" t="s">
        <v>5795</v>
      </c>
      <c r="J508" s="6079"/>
      <c r="K508" s="6085"/>
      <c r="L508" s="6085"/>
      <c r="M508" s="6085"/>
      <c r="N508" s="6085"/>
      <c r="O508" s="6085"/>
      <c r="P508" s="6085"/>
      <c r="Q508" s="6085"/>
      <c r="R508" s="6085"/>
      <c r="S508" s="6085"/>
      <c r="T508" s="6085"/>
      <c r="U508" s="6084"/>
      <c r="V508" s="6084"/>
      <c r="W508" s="6084"/>
      <c r="X508" s="6084"/>
      <c r="Y508" s="6084"/>
    </row>
    <row r="509">
      <c r="A509" s="6078" t="s">
        <v>6233</v>
      </c>
      <c r="B509" s="6078">
        <v>46226</v>
      </c>
      <c r="C509" s="6078" t="str">
        <v>Thursday</v>
      </c>
      <c r="D509" s="6079" t="s">
        <v>6236</v>
      </c>
      <c r="E509" s="6079">
        <f t="shared" si="85"/>
      </c>
      <c r="F509" s="6081" t="s">
        <v>6036</v>
      </c>
      <c r="G509" s="6080"/>
      <c r="H509" s="6079" t="s">
        <v>5794</v>
      </c>
      <c r="I509" s="6079" t="s">
        <v>5795</v>
      </c>
      <c r="J509" s="6079"/>
      <c r="K509" s="6085"/>
      <c r="L509" s="6085"/>
      <c r="M509" s="6085"/>
      <c r="N509" s="6085"/>
      <c r="O509" s="6085"/>
      <c r="P509" s="6085"/>
      <c r="Q509" s="6085"/>
      <c r="R509" s="6085"/>
      <c r="S509" s="6085"/>
      <c r="T509" s="6085"/>
      <c r="U509" s="6084"/>
      <c r="V509" s="6084"/>
      <c r="W509" s="6084"/>
      <c r="X509" s="6084"/>
      <c r="Y509" s="6084"/>
    </row>
    <row r="510">
      <c r="A510" s="6078" t="s">
        <v>6233</v>
      </c>
      <c r="B510" s="6078">
        <v>46228</v>
      </c>
      <c r="C510" s="6078" t="str">
        <v>Saturday</v>
      </c>
      <c r="D510" s="6079" t="s">
        <v>6237</v>
      </c>
      <c r="E510" s="6079">
        <f t="shared" si="85"/>
      </c>
      <c r="F510" s="6086"/>
      <c r="G510" s="6080"/>
      <c r="H510" s="6079" t="s">
        <v>5794</v>
      </c>
      <c r="I510" s="6079" t="s">
        <v>5881</v>
      </c>
      <c r="J510" s="6079"/>
      <c r="K510" s="6085"/>
      <c r="L510" s="6085"/>
      <c r="M510" s="6085"/>
      <c r="N510" s="6085"/>
      <c r="O510" s="6085"/>
      <c r="P510" s="6085"/>
      <c r="Q510" s="6085"/>
      <c r="R510" s="6085"/>
      <c r="S510" s="6085"/>
      <c r="T510" s="6085"/>
      <c r="U510" s="6084"/>
      <c r="V510" s="6084"/>
      <c r="W510" s="6084"/>
      <c r="X510" s="6084"/>
      <c r="Y510" s="6084"/>
    </row>
    <row r="511">
      <c r="A511" s="5812"/>
      <c r="B511" s="5812"/>
      <c r="C511" s="5812"/>
      <c r="D511" s="5813"/>
      <c r="E511" s="5816"/>
      <c r="F511" s="5813"/>
      <c r="G511" s="5836"/>
      <c r="H511" s="5816"/>
      <c r="I511" s="5813"/>
      <c r="J511" s="5813"/>
      <c r="K511" s="5802"/>
      <c r="L511" s="5802"/>
      <c r="M511" s="5802"/>
      <c r="N511" s="5802"/>
      <c r="O511" s="5802"/>
      <c r="P511" s="5802"/>
      <c r="Q511" s="5802"/>
      <c r="R511" s="5802"/>
      <c r="S511" s="5802"/>
      <c r="T511" s="5802"/>
      <c r="U511" s="5802"/>
      <c r="V511" s="5802"/>
      <c r="W511" s="5802"/>
      <c r="X511" s="5802"/>
      <c r="Y511" s="5802"/>
    </row>
    <row r="512">
      <c r="A512" s="5812" t="s">
        <v>6238</v>
      </c>
      <c r="B512" s="5812">
        <v>46223</v>
      </c>
      <c r="C512" s="5812" t="str">
        <v>Monday</v>
      </c>
      <c r="D512" s="5888" t="s">
        <v>5841</v>
      </c>
      <c r="E512" s="5816">
        <f t="shared" ref="E512:E517" si="86">24*MOD(TIMEVALUE(TRIM(MID(D512,FIND("-",D512)+1,LEN(D512)))) - TIMEVALUE(TRIM(LEFT(D512,FIND("-",D512)-1))),1)</f>
      </c>
      <c r="F512" s="5813" t="s">
        <v>6181</v>
      </c>
      <c r="G512" s="5836" t="s">
        <v>6080</v>
      </c>
      <c r="H512" s="5816" t="s">
        <v>5794</v>
      </c>
      <c r="I512" s="5813" t="s">
        <v>5795</v>
      </c>
      <c r="J512" s="5813"/>
      <c r="K512" s="5802"/>
      <c r="L512" s="5802"/>
      <c r="M512" s="5802"/>
      <c r="N512" s="5802"/>
      <c r="O512" s="5802"/>
      <c r="P512" s="5802"/>
      <c r="Q512" s="5802"/>
      <c r="R512" s="5802"/>
      <c r="S512" s="5802"/>
      <c r="T512" s="5802"/>
      <c r="U512" s="5802"/>
      <c r="V512" s="5802"/>
      <c r="W512" s="5802"/>
      <c r="X512" s="5802"/>
      <c r="Y512" s="5802"/>
    </row>
    <row r="513">
      <c r="A513" s="5812" t="s">
        <v>6238</v>
      </c>
      <c r="B513" s="5812">
        <v>46224</v>
      </c>
      <c r="C513" s="5812" t="str">
        <v>Tuesday</v>
      </c>
      <c r="D513" s="5888" t="s">
        <v>6239</v>
      </c>
      <c r="E513" s="5816">
        <f t="shared" si="86"/>
      </c>
      <c r="F513" s="5813" t="s">
        <v>6181</v>
      </c>
      <c r="G513" s="5836" t="s">
        <v>6080</v>
      </c>
      <c r="H513" s="5816" t="s">
        <v>5794</v>
      </c>
      <c r="I513" s="5813" t="s">
        <v>5795</v>
      </c>
      <c r="J513" s="5813"/>
      <c r="K513" s="5802"/>
      <c r="L513" s="5802"/>
      <c r="M513" s="5802"/>
      <c r="N513" s="5802"/>
      <c r="O513" s="5802"/>
      <c r="P513" s="5802"/>
      <c r="Q513" s="5802"/>
      <c r="R513" s="5802"/>
      <c r="S513" s="5802"/>
      <c r="T513" s="5802"/>
      <c r="U513" s="5802"/>
      <c r="V513" s="5802"/>
      <c r="W513" s="5802"/>
      <c r="X513" s="5802"/>
      <c r="Y513" s="5802"/>
    </row>
    <row r="514">
      <c r="A514" s="5812" t="s">
        <v>6238</v>
      </c>
      <c r="B514" s="5812">
        <v>46228</v>
      </c>
      <c r="C514" s="5812" t="str">
        <v>Saturday</v>
      </c>
      <c r="D514" s="5888" t="s">
        <v>5837</v>
      </c>
      <c r="E514" s="5816">
        <f t="shared" si="86"/>
      </c>
      <c r="F514" s="5888" t="s">
        <v>6079</v>
      </c>
      <c r="G514" s="5836"/>
      <c r="H514" s="5816" t="s">
        <v>5794</v>
      </c>
      <c r="I514" s="5813" t="s">
        <v>5795</v>
      </c>
      <c r="J514" s="5813"/>
      <c r="K514" s="5802"/>
      <c r="L514" s="5802"/>
      <c r="M514" s="5802"/>
      <c r="N514" s="5802"/>
      <c r="O514" s="5802"/>
      <c r="P514" s="5802"/>
      <c r="Q514" s="5802"/>
      <c r="R514" s="5802"/>
      <c r="S514" s="5802"/>
      <c r="T514" s="5802"/>
      <c r="U514" s="5802"/>
      <c r="V514" s="5802"/>
      <c r="W514" s="5802"/>
      <c r="X514" s="5802"/>
      <c r="Y514" s="5802"/>
    </row>
    <row r="515">
      <c r="A515" s="5812" t="s">
        <v>6233</v>
      </c>
      <c r="B515" s="5812">
        <v>46226</v>
      </c>
      <c r="C515" s="5812" t="str">
        <v>Thursday</v>
      </c>
      <c r="D515" s="5888" t="s">
        <v>6240</v>
      </c>
      <c r="E515" s="5888">
        <f t="shared" si="86"/>
      </c>
      <c r="F515" s="5881" t="s">
        <v>6082</v>
      </c>
      <c r="G515" s="6009"/>
      <c r="H515" s="5816" t="s">
        <v>5794</v>
      </c>
      <c r="I515" s="5813" t="s">
        <v>5881</v>
      </c>
      <c r="J515" s="5888"/>
      <c r="K515" s="6010"/>
      <c r="L515" s="6010"/>
      <c r="M515" s="6010"/>
      <c r="N515" s="6010"/>
      <c r="O515" s="6010"/>
      <c r="P515" s="6010"/>
      <c r="Q515" s="6010"/>
      <c r="R515" s="6010"/>
      <c r="S515" s="6010"/>
      <c r="T515" s="6010"/>
      <c r="U515" s="5802"/>
      <c r="V515" s="5802"/>
      <c r="W515" s="5802"/>
      <c r="X515" s="5802"/>
      <c r="Y515" s="5802"/>
    </row>
    <row r="516">
      <c r="A516" s="5812" t="s">
        <v>6233</v>
      </c>
      <c r="B516" s="5812">
        <v>46223</v>
      </c>
      <c r="C516" s="5812" t="str">
        <v>Monday</v>
      </c>
      <c r="D516" s="5888" t="s">
        <v>5849</v>
      </c>
      <c r="E516" s="5888">
        <f t="shared" si="86"/>
      </c>
      <c r="F516" s="5813" t="s">
        <v>6085</v>
      </c>
      <c r="G516" s="6009"/>
      <c r="H516" s="5816" t="s">
        <v>5794</v>
      </c>
      <c r="I516" s="5813" t="s">
        <v>5881</v>
      </c>
      <c r="J516" s="5888"/>
      <c r="K516" s="6010"/>
      <c r="L516" s="6010"/>
      <c r="M516" s="6010"/>
      <c r="N516" s="6010"/>
      <c r="O516" s="6010"/>
      <c r="P516" s="6010"/>
      <c r="Q516" s="6010"/>
      <c r="R516" s="6010"/>
      <c r="S516" s="6010"/>
      <c r="T516" s="6010"/>
      <c r="U516" s="5802"/>
      <c r="V516" s="5802"/>
      <c r="W516" s="5802"/>
      <c r="X516" s="5802"/>
      <c r="Y516" s="5802"/>
    </row>
    <row r="517">
      <c r="A517" s="5812" t="s">
        <v>6233</v>
      </c>
      <c r="B517" s="5812">
        <v>46228</v>
      </c>
      <c r="C517" s="5812" t="str">
        <v>Saturday</v>
      </c>
      <c r="D517" s="5888" t="s">
        <v>6241</v>
      </c>
      <c r="E517" s="5888">
        <f t="shared" si="86"/>
      </c>
      <c r="F517" s="5813" t="s">
        <v>6085</v>
      </c>
      <c r="G517" s="6009"/>
      <c r="H517" s="5816" t="s">
        <v>5794</v>
      </c>
      <c r="I517" s="5813" t="s">
        <v>5881</v>
      </c>
      <c r="J517" s="5888"/>
      <c r="K517" s="6010"/>
      <c r="L517" s="6010"/>
      <c r="M517" s="6010"/>
      <c r="N517" s="6010"/>
      <c r="O517" s="6010"/>
      <c r="P517" s="6010"/>
      <c r="Q517" s="6010"/>
      <c r="R517" s="6010"/>
      <c r="S517" s="6010"/>
      <c r="T517" s="6010"/>
      <c r="U517" s="5802"/>
      <c r="V517" s="5802"/>
      <c r="W517" s="5802"/>
      <c r="X517" s="5802"/>
      <c r="Y517" s="5802"/>
    </row>
    <row r="518">
      <c r="A518" s="5803"/>
      <c r="B518" s="5803"/>
      <c r="C518" s="5803"/>
      <c r="D518" s="5803"/>
      <c r="E518" s="5803"/>
      <c r="F518" s="5803"/>
      <c r="G518" s="5803"/>
      <c r="H518" s="5989"/>
      <c r="I518" s="5803"/>
      <c r="J518" s="5803"/>
      <c r="K518" s="5802"/>
      <c r="L518" s="5802"/>
      <c r="M518" s="5802"/>
      <c r="N518" s="5802"/>
      <c r="O518" s="5802"/>
      <c r="P518" s="5802"/>
      <c r="Q518" s="5802"/>
      <c r="R518" s="5802"/>
      <c r="S518" s="5802"/>
      <c r="T518" s="5802"/>
      <c r="U518" s="5802"/>
      <c r="V518" s="5802"/>
      <c r="W518" s="5802"/>
      <c r="X518" s="5802"/>
      <c r="Y518" s="5802"/>
    </row>
    <row r="519">
      <c r="A519" s="6087" t="s">
        <v>6242</v>
      </c>
      <c r="B519" s="6087"/>
      <c r="C519" s="6087"/>
      <c r="D519" s="6087"/>
      <c r="E519" s="6087"/>
      <c r="F519" s="6087"/>
      <c r="G519" s="6087"/>
      <c r="H519" s="6087"/>
      <c r="I519" s="6087"/>
      <c r="J519" s="6087"/>
      <c r="K519" s="5802"/>
      <c r="L519" s="5802"/>
      <c r="M519" s="5802"/>
      <c r="N519" s="5802"/>
      <c r="O519" s="5802"/>
      <c r="P519" s="5802"/>
      <c r="Q519" s="5802"/>
      <c r="R519" s="5802"/>
      <c r="S519" s="5802"/>
      <c r="T519" s="5802"/>
      <c r="U519" s="5802"/>
      <c r="V519" s="5802"/>
      <c r="W519" s="5802"/>
      <c r="X519" s="5802"/>
      <c r="Y519" s="5802"/>
    </row>
    <row r="520">
      <c r="A520" s="6088" t="s">
        <v>5782</v>
      </c>
      <c r="B520" s="6089" t="s">
        <v>5783</v>
      </c>
      <c r="C520" s="6089"/>
      <c r="D520" s="6090" t="s">
        <v>5784</v>
      </c>
      <c r="E520" s="6090" t="s">
        <v>5785</v>
      </c>
      <c r="F520" s="6090" t="s">
        <v>5786</v>
      </c>
      <c r="G520" s="6091" t="s">
        <v>5809</v>
      </c>
      <c r="H520" s="6090" t="s">
        <v>5788</v>
      </c>
      <c r="I520" s="6090" t="s">
        <v>5789</v>
      </c>
      <c r="J520" s="6090" t="s">
        <v>5790</v>
      </c>
      <c r="K520" s="5802"/>
      <c r="L520" s="5802"/>
      <c r="M520" s="5802"/>
      <c r="N520" s="5802"/>
      <c r="O520" s="5802"/>
      <c r="P520" s="5802"/>
      <c r="Q520" s="5802"/>
      <c r="R520" s="5802"/>
      <c r="S520" s="5802"/>
      <c r="T520" s="5802"/>
      <c r="U520" s="5802"/>
      <c r="V520" s="5802"/>
      <c r="W520" s="5802"/>
      <c r="X520" s="5802"/>
      <c r="Y520" s="5802"/>
    </row>
    <row r="521">
      <c r="A521" s="5803"/>
      <c r="B521" s="5803"/>
      <c r="C521" s="5803"/>
      <c r="D521" s="5803"/>
      <c r="E521" s="5803"/>
      <c r="F521" s="5803"/>
      <c r="G521" s="5803"/>
      <c r="H521" s="5989"/>
      <c r="I521" s="5803"/>
      <c r="J521" s="5803"/>
      <c r="K521" s="5802"/>
      <c r="L521" s="5802"/>
      <c r="M521" s="5802"/>
      <c r="N521" s="5802"/>
      <c r="O521" s="5802"/>
      <c r="P521" s="5802"/>
      <c r="Q521" s="5802"/>
      <c r="R521" s="5802"/>
      <c r="S521" s="5802"/>
      <c r="T521" s="5802"/>
      <c r="U521" s="5802"/>
      <c r="V521" s="5802"/>
      <c r="W521" s="5802"/>
      <c r="X521" s="5802"/>
      <c r="Y521" s="5802"/>
    </row>
    <row r="522">
      <c r="A522" s="6092" t="s">
        <v>6243</v>
      </c>
      <c r="B522" s="6092"/>
      <c r="C522" s="6092"/>
      <c r="D522" s="6092"/>
      <c r="E522" s="6092"/>
      <c r="F522" s="6092"/>
      <c r="G522" s="6092"/>
      <c r="H522" s="6092"/>
      <c r="I522" s="6092"/>
      <c r="J522" s="6092"/>
      <c r="K522" s="5801"/>
      <c r="L522" s="5801"/>
      <c r="M522" s="5801"/>
      <c r="N522" s="5801"/>
      <c r="O522" s="5801"/>
      <c r="P522" s="5801"/>
      <c r="Q522" s="5801"/>
      <c r="R522" s="5801"/>
      <c r="S522" s="5801"/>
      <c r="T522" s="5801"/>
      <c r="U522" s="5802"/>
      <c r="V522" s="5802"/>
      <c r="W522" s="5802"/>
      <c r="X522" s="5802"/>
      <c r="Y522" s="5802"/>
    </row>
    <row r="523">
      <c r="A523" s="6093" t="s">
        <v>5782</v>
      </c>
      <c r="B523" s="6094" t="s">
        <v>5783</v>
      </c>
      <c r="C523" s="6094"/>
      <c r="D523" s="6095" t="s">
        <v>5784</v>
      </c>
      <c r="E523" s="6095" t="s">
        <v>5785</v>
      </c>
      <c r="F523" s="6095" t="s">
        <v>5786</v>
      </c>
      <c r="G523" s="6096" t="s">
        <v>5809</v>
      </c>
      <c r="H523" s="6095" t="s">
        <v>5788</v>
      </c>
      <c r="I523" s="6095" t="s">
        <v>5789</v>
      </c>
      <c r="J523" s="6095" t="s">
        <v>5790</v>
      </c>
      <c r="K523" s="5801"/>
      <c r="L523" s="5801"/>
      <c r="M523" s="5801"/>
      <c r="N523" s="5801"/>
      <c r="O523" s="5801"/>
      <c r="P523" s="5801"/>
      <c r="Q523" s="5801"/>
      <c r="R523" s="5801"/>
      <c r="S523" s="5801"/>
      <c r="T523" s="5801"/>
      <c r="U523" s="5802"/>
      <c r="V523" s="5802"/>
      <c r="W523" s="5802"/>
      <c r="X523" s="5802"/>
      <c r="Y523" s="5802"/>
    </row>
    <row r="524">
      <c r="A524" s="6012" t="s">
        <v>6244</v>
      </c>
      <c r="B524" s="6012">
        <v>46225</v>
      </c>
      <c r="C524" s="6012" t="str">
        <v>Wednesday</v>
      </c>
      <c r="D524" s="6013" t="s">
        <v>5820</v>
      </c>
      <c r="E524" s="6013">
        <f t="shared" ref="E524:E533" si="87">24*MOD(TIMEVALUE(TRIM(MID(D524,FIND("-",D524)+1,LEN(D524)))) - TIMEVALUE(TRIM(LEFT(D524,FIND("-",D524)-1))),1)</f>
      </c>
      <c r="F524" s="6013" t="s">
        <v>6245</v>
      </c>
      <c r="G524" s="6014" t="s">
        <v>6246</v>
      </c>
      <c r="H524" s="6013" t="s">
        <v>5794</v>
      </c>
      <c r="I524" s="6013" t="s">
        <v>5795</v>
      </c>
      <c r="J524" s="6013"/>
      <c r="K524" s="5801"/>
      <c r="L524" s="5801"/>
      <c r="M524" s="5801"/>
      <c r="N524" s="5801"/>
      <c r="O524" s="5801"/>
      <c r="P524" s="5801"/>
      <c r="Q524" s="5801"/>
      <c r="R524" s="5801"/>
      <c r="S524" s="5801"/>
      <c r="T524" s="5801"/>
      <c r="U524" s="5802"/>
      <c r="V524" s="5802"/>
      <c r="W524" s="5802"/>
      <c r="X524" s="5802"/>
      <c r="Y524" s="5802"/>
    </row>
    <row r="525">
      <c r="A525" s="6012" t="s">
        <v>6244</v>
      </c>
      <c r="B525" s="6012">
        <v>46225</v>
      </c>
      <c r="C525" s="6012" t="str">
        <v>Wednesday</v>
      </c>
      <c r="D525" s="6013" t="s">
        <v>5839</v>
      </c>
      <c r="E525" s="6013">
        <f t="shared" si="87"/>
      </c>
      <c r="F525" s="6013" t="s">
        <v>6195</v>
      </c>
      <c r="G525" s="6014" t="s">
        <v>6247</v>
      </c>
      <c r="H525" s="6013" t="s">
        <v>5794</v>
      </c>
      <c r="I525" s="6013" t="s">
        <v>5795</v>
      </c>
      <c r="J525" s="6013"/>
      <c r="K525" s="5801"/>
      <c r="L525" s="5801"/>
      <c r="M525" s="5801"/>
      <c r="N525" s="5801"/>
      <c r="O525" s="5801"/>
      <c r="P525" s="5801"/>
      <c r="Q525" s="5801"/>
      <c r="R525" s="5801"/>
      <c r="S525" s="5801"/>
      <c r="T525" s="5801"/>
      <c r="U525" s="5802"/>
      <c r="V525" s="5802"/>
      <c r="W525" s="5802"/>
      <c r="X525" s="5802"/>
      <c r="Y525" s="5802"/>
    </row>
    <row r="526">
      <c r="A526" s="6012" t="s">
        <v>6244</v>
      </c>
      <c r="B526" s="6012">
        <v>46225</v>
      </c>
      <c r="C526" s="6012" t="str">
        <v>Wednesday</v>
      </c>
      <c r="D526" s="6013" t="s">
        <v>5985</v>
      </c>
      <c r="E526" s="6013">
        <f t="shared" si="87"/>
      </c>
      <c r="F526" s="6013" t="s">
        <v>6091</v>
      </c>
      <c r="G526" s="6014" t="s">
        <v>6248</v>
      </c>
      <c r="H526" s="6013" t="s">
        <v>5794</v>
      </c>
      <c r="I526" s="6013" t="s">
        <v>5795</v>
      </c>
      <c r="J526" s="6013"/>
      <c r="K526" s="5801"/>
      <c r="L526" s="5801"/>
      <c r="M526" s="5801"/>
      <c r="N526" s="5801"/>
      <c r="O526" s="5801"/>
      <c r="P526" s="5801"/>
      <c r="Q526" s="5801"/>
      <c r="R526" s="5801"/>
      <c r="S526" s="5801"/>
      <c r="T526" s="5801"/>
      <c r="U526" s="5802"/>
      <c r="V526" s="5802"/>
      <c r="W526" s="5802"/>
      <c r="X526" s="5802"/>
      <c r="Y526" s="5802"/>
    </row>
    <row r="527">
      <c r="A527" s="5861" t="s">
        <v>6244</v>
      </c>
      <c r="B527" s="5861">
        <v>46226</v>
      </c>
      <c r="C527" s="5861" t="str">
        <v>Thursday</v>
      </c>
      <c r="D527" s="5862" t="s">
        <v>5842</v>
      </c>
      <c r="E527" s="5862">
        <f t="shared" si="87"/>
      </c>
      <c r="F527" s="5862" t="s">
        <v>6245</v>
      </c>
      <c r="G527" s="5863" t="s">
        <v>6249</v>
      </c>
      <c r="H527" s="5862" t="s">
        <v>5794</v>
      </c>
      <c r="I527" s="5862" t="s">
        <v>5795</v>
      </c>
      <c r="J527" s="5864" t="s">
        <v>6250</v>
      </c>
      <c r="K527" s="5920"/>
      <c r="L527" s="5920"/>
      <c r="M527" s="5920"/>
      <c r="N527" s="5920"/>
      <c r="O527" s="5920"/>
      <c r="P527" s="5920"/>
      <c r="Q527" s="5920"/>
      <c r="R527" s="5920"/>
      <c r="S527" s="5920"/>
      <c r="T527" s="5920"/>
      <c r="U527" s="5865"/>
      <c r="V527" s="5865"/>
      <c r="W527" s="5865"/>
      <c r="X527" s="5865"/>
      <c r="Y527" s="5865"/>
    </row>
    <row customHeight="true" ht="18.452380952380953" r="528">
      <c r="A528" s="6012" t="s">
        <v>6244</v>
      </c>
      <c r="B528" s="6012">
        <v>46226</v>
      </c>
      <c r="C528" s="6012" t="str">
        <v>Thursday</v>
      </c>
      <c r="D528" s="6097" t="s">
        <v>5999</v>
      </c>
      <c r="E528" s="6013">
        <f t="shared" si="87"/>
      </c>
      <c r="F528" s="6013" t="s">
        <v>6091</v>
      </c>
      <c r="G528" s="6098" t="s">
        <v>6246</v>
      </c>
      <c r="H528" s="6013" t="s">
        <v>5794</v>
      </c>
      <c r="I528" s="6013" t="s">
        <v>5795</v>
      </c>
      <c r="J528" s="6013"/>
      <c r="K528" s="5801"/>
      <c r="L528" s="5801"/>
      <c r="M528" s="5801"/>
      <c r="N528" s="5801"/>
      <c r="O528" s="5801"/>
      <c r="P528" s="5801"/>
      <c r="Q528" s="5801"/>
      <c r="R528" s="5801"/>
      <c r="S528" s="5801"/>
      <c r="T528" s="5801"/>
      <c r="U528" s="5802"/>
      <c r="V528" s="5802"/>
      <c r="W528" s="5802"/>
      <c r="X528" s="5802"/>
      <c r="Y528" s="5802"/>
    </row>
    <row r="529">
      <c r="A529" s="5820" t="s">
        <v>6244</v>
      </c>
      <c r="B529" s="5820">
        <v>46226</v>
      </c>
      <c r="C529" s="5820" t="str">
        <v>Thursday</v>
      </c>
      <c r="D529" s="5821" t="s">
        <v>6251</v>
      </c>
      <c r="E529" s="5821">
        <f t="shared" si="87"/>
      </c>
      <c r="F529" s="5821" t="s">
        <v>6195</v>
      </c>
      <c r="G529" s="5908" t="s">
        <v>6246</v>
      </c>
      <c r="H529" s="5821" t="s">
        <v>5794</v>
      </c>
      <c r="I529" s="5821" t="s">
        <v>5795</v>
      </c>
      <c r="J529" s="6099" t="s">
        <v>6252</v>
      </c>
      <c r="K529" s="5825"/>
      <c r="L529" s="5825"/>
      <c r="M529" s="5825"/>
      <c r="N529" s="5825"/>
      <c r="O529" s="5825"/>
      <c r="P529" s="5825"/>
      <c r="Q529" s="5825"/>
      <c r="R529" s="5825"/>
      <c r="S529" s="5825"/>
      <c r="T529" s="5825"/>
      <c r="U529" s="5826"/>
      <c r="V529" s="5826"/>
      <c r="W529" s="5826"/>
      <c r="X529" s="5826"/>
      <c r="Y529" s="5826"/>
    </row>
    <row r="530">
      <c r="A530" s="5861" t="s">
        <v>6244</v>
      </c>
      <c r="B530" s="5861">
        <v>46227</v>
      </c>
      <c r="C530" s="5861" t="str">
        <v>Friday</v>
      </c>
      <c r="D530" s="5862" t="s">
        <v>5834</v>
      </c>
      <c r="E530" s="5862">
        <f t="shared" si="87"/>
      </c>
      <c r="F530" s="5862" t="s">
        <v>6245</v>
      </c>
      <c r="G530" s="5863" t="s">
        <v>6246</v>
      </c>
      <c r="H530" s="5862" t="s">
        <v>5794</v>
      </c>
      <c r="I530" s="5862" t="s">
        <v>5795</v>
      </c>
      <c r="J530" s="5864" t="s">
        <v>6250</v>
      </c>
      <c r="K530" s="5920"/>
      <c r="L530" s="5920"/>
      <c r="M530" s="5920"/>
      <c r="N530" s="5920"/>
      <c r="O530" s="5920"/>
      <c r="P530" s="5920"/>
      <c r="Q530" s="5920"/>
      <c r="R530" s="5920"/>
      <c r="S530" s="5920"/>
      <c r="T530" s="5920"/>
      <c r="U530" s="5865"/>
      <c r="V530" s="5865"/>
      <c r="W530" s="5865"/>
      <c r="X530" s="5865"/>
      <c r="Y530" s="5865"/>
    </row>
    <row r="531">
      <c r="A531" s="6012" t="s">
        <v>6244</v>
      </c>
      <c r="B531" s="6012">
        <v>46228</v>
      </c>
      <c r="C531" s="6012" t="str">
        <v>Saturday</v>
      </c>
      <c r="D531" s="6013" t="s">
        <v>5834</v>
      </c>
      <c r="E531" s="6013">
        <f t="shared" si="87"/>
      </c>
      <c r="F531" s="6013" t="s">
        <v>6187</v>
      </c>
      <c r="G531" s="6014"/>
      <c r="H531" s="6013" t="s">
        <v>5794</v>
      </c>
      <c r="I531" s="6013" t="s">
        <v>5795</v>
      </c>
      <c r="J531" s="6013"/>
      <c r="K531" s="5801"/>
      <c r="L531" s="5801"/>
      <c r="M531" s="5801"/>
      <c r="N531" s="5801"/>
      <c r="O531" s="5801"/>
      <c r="P531" s="5801"/>
      <c r="Q531" s="5801"/>
      <c r="R531" s="5801"/>
      <c r="S531" s="5801"/>
      <c r="T531" s="5801"/>
      <c r="U531" s="5802"/>
      <c r="V531" s="5802"/>
      <c r="W531" s="5802"/>
      <c r="X531" s="5802"/>
      <c r="Y531" s="5802"/>
    </row>
    <row customHeight="true" ht="18.452380952380953" r="532">
      <c r="A532" s="6012" t="s">
        <v>6244</v>
      </c>
      <c r="B532" s="6012">
        <v>46229</v>
      </c>
      <c r="C532" s="6012" t="str">
        <v>Sunday</v>
      </c>
      <c r="D532" s="6013" t="s">
        <v>5826</v>
      </c>
      <c r="E532" s="6013">
        <f t="shared" si="87"/>
      </c>
      <c r="F532" s="6013" t="s">
        <v>6091</v>
      </c>
      <c r="G532" s="6098" t="s">
        <v>6253</v>
      </c>
      <c r="H532" s="6013"/>
      <c r="I532" s="6013" t="s">
        <v>5795</v>
      </c>
      <c r="J532" s="6013"/>
      <c r="K532" s="5801"/>
      <c r="L532" s="5801"/>
      <c r="M532" s="5801"/>
      <c r="N532" s="5801"/>
      <c r="O532" s="5801"/>
      <c r="P532" s="5801"/>
      <c r="Q532" s="5801"/>
      <c r="R532" s="5801"/>
      <c r="S532" s="5801"/>
      <c r="T532" s="5801"/>
      <c r="U532" s="5802"/>
      <c r="V532" s="5802"/>
      <c r="W532" s="5802"/>
      <c r="X532" s="5802"/>
      <c r="Y532" s="5802"/>
    </row>
    <row r="533">
      <c r="A533" s="6012" t="s">
        <v>6244</v>
      </c>
      <c r="B533" s="6012">
        <v>46229</v>
      </c>
      <c r="C533" s="6012" t="str">
        <v>Sunday</v>
      </c>
      <c r="D533" s="6013" t="s">
        <v>5834</v>
      </c>
      <c r="E533" s="6013">
        <f t="shared" si="87"/>
      </c>
      <c r="F533" s="6013" t="s">
        <v>5876</v>
      </c>
      <c r="G533" s="6098" t="s">
        <v>6254</v>
      </c>
      <c r="H533" s="6013" t="s">
        <v>5794</v>
      </c>
      <c r="I533" s="6013" t="s">
        <v>5795</v>
      </c>
      <c r="J533" s="6013"/>
      <c r="K533" s="5801"/>
      <c r="L533" s="5801"/>
      <c r="M533" s="5801"/>
      <c r="N533" s="5801"/>
      <c r="O533" s="5801"/>
      <c r="P533" s="5801"/>
      <c r="Q533" s="5801"/>
      <c r="R533" s="5801"/>
      <c r="S533" s="5801"/>
      <c r="T533" s="5801"/>
      <c r="U533" s="5802"/>
      <c r="V533" s="5802"/>
      <c r="W533" s="5802"/>
      <c r="X533" s="5802"/>
      <c r="Y533" s="5802"/>
    </row>
    <row r="534">
      <c r="A534" s="5812"/>
      <c r="B534" s="5812"/>
      <c r="C534" s="5812"/>
      <c r="D534" s="5816"/>
      <c r="E534" s="5816"/>
      <c r="F534" s="5816"/>
      <c r="G534" s="5876"/>
      <c r="H534" s="5813"/>
      <c r="I534" s="5813"/>
      <c r="J534" s="5816"/>
      <c r="K534" s="5801"/>
      <c r="L534" s="5801"/>
      <c r="M534" s="5801"/>
      <c r="N534" s="5801"/>
      <c r="O534" s="5801"/>
      <c r="P534" s="5801"/>
      <c r="Q534" s="5801"/>
      <c r="R534" s="5801"/>
      <c r="S534" s="5801"/>
      <c r="T534" s="5801"/>
      <c r="U534" s="5802"/>
      <c r="V534" s="5802"/>
      <c r="W534" s="5802"/>
      <c r="X534" s="5802"/>
      <c r="Y534" s="5802"/>
    </row>
    <row r="535">
      <c r="A535" s="6012" t="s">
        <v>6255</v>
      </c>
      <c r="B535" s="6012">
        <v>46225</v>
      </c>
      <c r="C535" s="6012" t="str">
        <v>Wednesday</v>
      </c>
      <c r="D535" s="6013" t="s">
        <v>6256</v>
      </c>
      <c r="E535" s="6013">
        <f t="shared" ref="E535:E541" si="88">24*MOD(TIMEVALUE(TRIM(MID(D535,FIND("-",D535)+1,LEN(D535)))) - TIMEVALUE(TRIM(LEFT(D535,FIND("-",D535)-1))),1)</f>
      </c>
      <c r="F535" s="6013" t="s">
        <v>5902</v>
      </c>
      <c r="G535" s="6014"/>
      <c r="H535" s="6013" t="s">
        <v>5794</v>
      </c>
      <c r="I535" s="6013" t="s">
        <v>5795</v>
      </c>
      <c r="J535" s="6013"/>
      <c r="K535" s="5801"/>
      <c r="L535" s="5801"/>
      <c r="M535" s="5801"/>
      <c r="N535" s="5801"/>
      <c r="O535" s="5801"/>
      <c r="P535" s="5801"/>
      <c r="Q535" s="5801"/>
      <c r="R535" s="5801"/>
      <c r="S535" s="5801"/>
      <c r="T535" s="5801"/>
      <c r="U535" s="5802"/>
      <c r="V535" s="5802"/>
      <c r="W535" s="5802"/>
      <c r="X535" s="5802"/>
      <c r="Y535" s="5802"/>
    </row>
    <row r="536">
      <c r="A536" s="6012" t="s">
        <v>6255</v>
      </c>
      <c r="B536" s="6012">
        <v>46225</v>
      </c>
      <c r="C536" s="6012" t="str">
        <v>Wednesday</v>
      </c>
      <c r="D536" s="6013" t="s">
        <v>5985</v>
      </c>
      <c r="E536" s="6013">
        <f t="shared" si="88"/>
      </c>
      <c r="F536" s="6013" t="s">
        <v>6248</v>
      </c>
      <c r="G536" s="6014"/>
      <c r="H536" s="6013" t="s">
        <v>5794</v>
      </c>
      <c r="I536" s="6013" t="s">
        <v>5795</v>
      </c>
      <c r="J536" s="6013"/>
      <c r="K536" s="5801"/>
      <c r="L536" s="5801"/>
      <c r="M536" s="5801"/>
      <c r="N536" s="5801"/>
      <c r="O536" s="5801"/>
      <c r="P536" s="5801"/>
      <c r="Q536" s="5801"/>
      <c r="R536" s="5801"/>
      <c r="S536" s="5801"/>
      <c r="T536" s="5801"/>
      <c r="U536" s="5802"/>
      <c r="V536" s="5802"/>
      <c r="W536" s="5802"/>
      <c r="X536" s="5802"/>
      <c r="Y536" s="5802"/>
    </row>
    <row r="537">
      <c r="A537" s="6012" t="s">
        <v>6255</v>
      </c>
      <c r="B537" s="6012">
        <v>46226</v>
      </c>
      <c r="C537" s="6012" t="str">
        <v>Thursday</v>
      </c>
      <c r="D537" s="6013" t="s">
        <v>5929</v>
      </c>
      <c r="E537" s="6013">
        <f t="shared" si="88"/>
      </c>
      <c r="F537" s="6013" t="s">
        <v>5902</v>
      </c>
      <c r="G537" s="6100"/>
      <c r="H537" s="6015" t="s">
        <v>5794</v>
      </c>
      <c r="I537" s="6013" t="s">
        <v>5795</v>
      </c>
      <c r="J537" s="6015"/>
      <c r="K537" s="6010"/>
      <c r="L537" s="6010"/>
      <c r="M537" s="6010"/>
      <c r="N537" s="6010"/>
      <c r="O537" s="6010"/>
      <c r="P537" s="6010"/>
      <c r="Q537" s="6010"/>
      <c r="R537" s="6010"/>
      <c r="S537" s="6010"/>
      <c r="T537" s="6010"/>
      <c r="U537" s="6011"/>
      <c r="V537" s="6011"/>
      <c r="W537" s="6011"/>
      <c r="X537" s="6011"/>
      <c r="Y537" s="6011"/>
    </row>
    <row r="538">
      <c r="A538" s="6012" t="s">
        <v>6257</v>
      </c>
      <c r="B538" s="6012">
        <v>46226</v>
      </c>
      <c r="C538" s="6012" t="str">
        <v>Thursday</v>
      </c>
      <c r="D538" s="6097" t="s">
        <v>5929</v>
      </c>
      <c r="E538" s="6013">
        <f t="shared" si="88"/>
      </c>
      <c r="F538" s="6013" t="s">
        <v>6248</v>
      </c>
      <c r="G538" s="6014"/>
      <c r="H538" s="6013" t="s">
        <v>5794</v>
      </c>
      <c r="I538" s="6013" t="s">
        <v>5795</v>
      </c>
      <c r="J538" s="6013"/>
      <c r="K538" s="5801"/>
      <c r="L538" s="5801"/>
      <c r="M538" s="5801"/>
      <c r="N538" s="5801"/>
      <c r="O538" s="5801"/>
      <c r="P538" s="5801"/>
      <c r="Q538" s="5801"/>
      <c r="R538" s="5801"/>
      <c r="S538" s="5801"/>
      <c r="T538" s="5801"/>
      <c r="U538" s="5802"/>
      <c r="V538" s="5802"/>
      <c r="W538" s="5802"/>
      <c r="X538" s="5802"/>
      <c r="Y538" s="5802"/>
    </row>
    <row r="539">
      <c r="A539" s="6012" t="s">
        <v>6255</v>
      </c>
      <c r="B539" s="6012">
        <v>46227</v>
      </c>
      <c r="C539" s="6012" t="str">
        <v>Friday</v>
      </c>
      <c r="D539" s="6013" t="s">
        <v>6258</v>
      </c>
      <c r="E539" s="6013">
        <f t="shared" si="88"/>
      </c>
      <c r="F539" s="6013" t="s">
        <v>5902</v>
      </c>
      <c r="G539" s="6014"/>
      <c r="H539" s="6015" t="s">
        <v>5794</v>
      </c>
      <c r="I539" s="6013" t="s">
        <v>5795</v>
      </c>
      <c r="J539" s="6013"/>
      <c r="K539" s="5801"/>
      <c r="L539" s="5801"/>
      <c r="M539" s="5801"/>
      <c r="N539" s="5801"/>
      <c r="O539" s="5801"/>
      <c r="P539" s="5801"/>
      <c r="Q539" s="5801"/>
      <c r="R539" s="5801"/>
      <c r="S539" s="5801"/>
      <c r="T539" s="5801"/>
      <c r="U539" s="5802"/>
      <c r="V539" s="5802"/>
      <c r="W539" s="5802"/>
      <c r="X539" s="5802"/>
      <c r="Y539" s="5802"/>
    </row>
    <row r="540">
      <c r="A540" s="5861" t="s">
        <v>6255</v>
      </c>
      <c r="B540" s="5861">
        <v>46228</v>
      </c>
      <c r="C540" s="5861" t="str">
        <v>Saturday</v>
      </c>
      <c r="D540" s="5862" t="s">
        <v>6258</v>
      </c>
      <c r="E540" s="5862">
        <f t="shared" si="88"/>
      </c>
      <c r="F540" s="5862" t="s">
        <v>6259</v>
      </c>
      <c r="G540" s="5863"/>
      <c r="H540" s="5886" t="s">
        <v>5794</v>
      </c>
      <c r="I540" s="5862" t="s">
        <v>5795</v>
      </c>
      <c r="J540" s="5862"/>
      <c r="K540" s="5920"/>
      <c r="L540" s="5920"/>
      <c r="M540" s="5920"/>
      <c r="N540" s="5920"/>
      <c r="O540" s="5920"/>
      <c r="P540" s="5920"/>
      <c r="Q540" s="5920"/>
      <c r="R540" s="5920"/>
      <c r="S540" s="5920"/>
      <c r="T540" s="5920"/>
      <c r="U540" s="5865"/>
      <c r="V540" s="5865"/>
      <c r="W540" s="5865"/>
      <c r="X540" s="5865"/>
      <c r="Y540" s="5865"/>
    </row>
    <row r="541">
      <c r="A541" s="5861" t="s">
        <v>6255</v>
      </c>
      <c r="B541" s="5861">
        <v>46229</v>
      </c>
      <c r="C541" s="5861" t="str">
        <v>Sunday</v>
      </c>
      <c r="D541" s="5864" t="s">
        <v>6260</v>
      </c>
      <c r="E541" s="5862">
        <f t="shared" si="88"/>
      </c>
      <c r="F541" s="5862" t="s">
        <v>6259</v>
      </c>
      <c r="G541" s="5863"/>
      <c r="H541" s="5862" t="s">
        <v>5794</v>
      </c>
      <c r="I541" s="5862" t="s">
        <v>5795</v>
      </c>
      <c r="J541" s="5862"/>
      <c r="K541" s="5920"/>
      <c r="L541" s="5920"/>
      <c r="M541" s="5920"/>
      <c r="N541" s="5920"/>
      <c r="O541" s="5920"/>
      <c r="P541" s="5920"/>
      <c r="Q541" s="5920"/>
      <c r="R541" s="5920"/>
      <c r="S541" s="5920"/>
      <c r="T541" s="5920"/>
      <c r="U541" s="5865"/>
      <c r="V541" s="5865"/>
      <c r="W541" s="5865"/>
      <c r="X541" s="5865"/>
      <c r="Y541" s="5865"/>
    </row>
    <row r="542">
      <c r="A542" s="5812"/>
      <c r="B542" s="5812"/>
      <c r="C542" s="5812"/>
      <c r="D542" s="5813"/>
      <c r="E542" s="5813"/>
      <c r="F542" s="5813"/>
      <c r="G542" s="5836"/>
      <c r="H542" s="5813"/>
      <c r="I542" s="5813"/>
      <c r="J542" s="5813"/>
      <c r="K542" s="5801"/>
      <c r="L542" s="5801"/>
      <c r="M542" s="5801"/>
      <c r="N542" s="5801"/>
      <c r="O542" s="5801"/>
      <c r="P542" s="5801"/>
      <c r="Q542" s="5801"/>
      <c r="R542" s="5801"/>
      <c r="S542" s="5801"/>
      <c r="T542" s="5801"/>
      <c r="U542" s="5802"/>
      <c r="V542" s="5802"/>
      <c r="W542" s="5802"/>
      <c r="X542" s="5802"/>
      <c r="Y542" s="5802"/>
    </row>
    <row r="543">
      <c r="A543" s="6012" t="s">
        <v>6257</v>
      </c>
      <c r="B543" s="6012">
        <v>46227</v>
      </c>
      <c r="C543" s="6012" t="str">
        <v>Friday</v>
      </c>
      <c r="D543" s="6013" t="s">
        <v>5834</v>
      </c>
      <c r="E543" s="6013">
        <f t="shared" ref="E543:E548" si="89">24*MOD(TIMEVALUE(TRIM(MID(D543,FIND("-",D543)+1,LEN(D543)))) - TIMEVALUE(TRIM(LEFT(D543,FIND("-",D543)-1))),1)</f>
      </c>
      <c r="F543" s="6013" t="s">
        <v>5996</v>
      </c>
      <c r="G543" s="6014"/>
      <c r="H543" s="6013"/>
      <c r="I543" s="6013" t="s">
        <v>5795</v>
      </c>
      <c r="J543" s="6013"/>
      <c r="K543" s="5801"/>
      <c r="L543" s="5801"/>
      <c r="M543" s="5801"/>
      <c r="N543" s="5801"/>
      <c r="O543" s="5801"/>
      <c r="P543" s="5801"/>
      <c r="Q543" s="5801"/>
      <c r="R543" s="5801"/>
      <c r="S543" s="5801"/>
      <c r="T543" s="5801"/>
      <c r="U543" s="5802"/>
      <c r="V543" s="5802"/>
      <c r="W543" s="5802"/>
      <c r="X543" s="5802"/>
      <c r="Y543" s="5802"/>
    </row>
    <row r="544">
      <c r="A544" s="6012" t="s">
        <v>6257</v>
      </c>
      <c r="B544" s="6012">
        <v>46225</v>
      </c>
      <c r="C544" s="6012" t="str">
        <v>Wednesday</v>
      </c>
      <c r="D544" s="6013" t="s">
        <v>5845</v>
      </c>
      <c r="E544" s="6013">
        <f t="shared" si="89"/>
      </c>
      <c r="F544" s="6013" t="s">
        <v>5996</v>
      </c>
      <c r="G544" s="6014"/>
      <c r="H544" s="6013"/>
      <c r="I544" s="6013" t="s">
        <v>5795</v>
      </c>
      <c r="J544" s="6013"/>
      <c r="K544" s="5801"/>
      <c r="L544" s="5801"/>
      <c r="M544" s="5801"/>
      <c r="N544" s="5801"/>
      <c r="O544" s="5801"/>
      <c r="P544" s="5801"/>
      <c r="Q544" s="5801"/>
      <c r="R544" s="5801"/>
      <c r="S544" s="5801"/>
      <c r="T544" s="5801"/>
      <c r="U544" s="5802"/>
      <c r="V544" s="5802"/>
      <c r="W544" s="5802"/>
      <c r="X544" s="5802"/>
      <c r="Y544" s="5802"/>
    </row>
    <row r="545">
      <c r="A545" s="6012" t="s">
        <v>6257</v>
      </c>
      <c r="B545" s="6012">
        <v>46224</v>
      </c>
      <c r="C545" s="6012" t="str">
        <v>Tuesday</v>
      </c>
      <c r="D545" s="6013" t="s">
        <v>5819</v>
      </c>
      <c r="E545" s="6013">
        <f t="shared" si="89"/>
      </c>
      <c r="F545" s="6013" t="s">
        <v>5996</v>
      </c>
      <c r="G545" s="6014"/>
      <c r="H545" s="6013"/>
      <c r="I545" s="6013" t="s">
        <v>5795</v>
      </c>
      <c r="J545" s="6013"/>
      <c r="K545" s="5801"/>
      <c r="L545" s="5801"/>
      <c r="M545" s="5801"/>
      <c r="N545" s="5801"/>
      <c r="O545" s="5801"/>
      <c r="P545" s="5801"/>
      <c r="Q545" s="5801"/>
      <c r="R545" s="5801"/>
      <c r="S545" s="5801"/>
      <c r="T545" s="5801"/>
      <c r="U545" s="5802"/>
      <c r="V545" s="5802"/>
      <c r="W545" s="5802"/>
      <c r="X545" s="5802"/>
      <c r="Y545" s="5802"/>
    </row>
    <row r="546">
      <c r="A546" s="6012" t="s">
        <v>6257</v>
      </c>
      <c r="B546" s="6012">
        <v>46223</v>
      </c>
      <c r="C546" s="6012" t="str">
        <v>Monday</v>
      </c>
      <c r="D546" s="6013" t="s">
        <v>5837</v>
      </c>
      <c r="E546" s="6013">
        <f t="shared" si="89"/>
      </c>
      <c r="F546" s="6013" t="s">
        <v>5996</v>
      </c>
      <c r="G546" s="6014"/>
      <c r="H546" s="6013"/>
      <c r="I546" s="6013" t="s">
        <v>5795</v>
      </c>
      <c r="J546" s="6013"/>
      <c r="K546" s="5801"/>
      <c r="L546" s="5801"/>
      <c r="M546" s="5801"/>
      <c r="N546" s="5801"/>
      <c r="O546" s="5801"/>
      <c r="P546" s="5801"/>
      <c r="Q546" s="5801"/>
      <c r="R546" s="5801"/>
      <c r="S546" s="5801"/>
      <c r="T546" s="5801"/>
      <c r="U546" s="5802"/>
      <c r="V546" s="5802"/>
      <c r="W546" s="5802"/>
      <c r="X546" s="5802"/>
      <c r="Y546" s="5802"/>
    </row>
    <row r="547">
      <c r="A547" s="6012" t="s">
        <v>6257</v>
      </c>
      <c r="B547" s="6012">
        <v>46228</v>
      </c>
      <c r="C547" s="6012" t="str">
        <v>Saturday</v>
      </c>
      <c r="D547" s="6013" t="s">
        <v>6261</v>
      </c>
      <c r="E547" s="6013">
        <f t="shared" si="89"/>
      </c>
      <c r="F547" s="6013" t="s">
        <v>5876</v>
      </c>
      <c r="G547" s="6014" t="s">
        <v>6262</v>
      </c>
      <c r="H547" s="6013"/>
      <c r="I547" s="6013" t="s">
        <v>5795</v>
      </c>
      <c r="J547" s="6013"/>
      <c r="K547" s="5801"/>
      <c r="L547" s="5801"/>
      <c r="M547" s="5801"/>
      <c r="N547" s="5801"/>
      <c r="O547" s="5801"/>
      <c r="P547" s="5801"/>
      <c r="Q547" s="5801"/>
      <c r="R547" s="5801"/>
      <c r="S547" s="5801"/>
      <c r="T547" s="5801"/>
      <c r="U547" s="5802"/>
      <c r="V547" s="5802"/>
      <c r="W547" s="5802"/>
      <c r="X547" s="5802"/>
      <c r="Y547" s="5802"/>
    </row>
    <row r="548">
      <c r="A548" s="6012" t="s">
        <v>6263</v>
      </c>
      <c r="B548" s="6012">
        <v>46225</v>
      </c>
      <c r="C548" s="6012" t="str">
        <v>Wednesday</v>
      </c>
      <c r="D548" s="6013" t="s">
        <v>6264</v>
      </c>
      <c r="E548" s="6013">
        <f t="shared" si="89"/>
      </c>
      <c r="F548" s="6013" t="s">
        <v>6259</v>
      </c>
      <c r="G548" s="6014"/>
      <c r="H548" s="6013"/>
      <c r="I548" s="6013" t="s">
        <v>5795</v>
      </c>
      <c r="J548" s="6013"/>
      <c r="K548" s="5801"/>
      <c r="L548" s="5801"/>
      <c r="M548" s="5801"/>
      <c r="N548" s="5801"/>
      <c r="O548" s="5801"/>
      <c r="P548" s="5801"/>
      <c r="Q548" s="5801"/>
      <c r="R548" s="5801"/>
      <c r="S548" s="5801"/>
      <c r="T548" s="5801"/>
      <c r="U548" s="5802"/>
      <c r="V548" s="5802"/>
      <c r="W548" s="5802"/>
      <c r="X548" s="5802"/>
      <c r="Y548" s="5802"/>
    </row>
    <row r="549">
      <c r="A549" s="6012"/>
      <c r="B549" s="6012"/>
      <c r="C549" s="6012"/>
      <c r="D549" s="6013"/>
      <c r="E549" s="6013"/>
      <c r="F549" s="6013"/>
      <c r="G549" s="6014"/>
      <c r="H549" s="6013"/>
      <c r="I549" s="6013"/>
      <c r="J549" s="6013"/>
      <c r="K549" s="5801"/>
      <c r="L549" s="5801"/>
      <c r="M549" s="5801"/>
      <c r="N549" s="5801"/>
      <c r="O549" s="5801"/>
      <c r="P549" s="5801"/>
      <c r="Q549" s="5801"/>
      <c r="R549" s="5801"/>
      <c r="S549" s="5801"/>
      <c r="T549" s="5801"/>
      <c r="U549" s="5802"/>
      <c r="V549" s="5802"/>
      <c r="W549" s="5802"/>
      <c r="X549" s="5802"/>
      <c r="Y549" s="5802"/>
    </row>
    <row r="550">
      <c r="A550" s="6012" t="s">
        <v>6263</v>
      </c>
      <c r="B550" s="6012">
        <v>46226</v>
      </c>
      <c r="C550" s="6012" t="str">
        <v>Thursday</v>
      </c>
      <c r="D550" s="6013" t="s">
        <v>5929</v>
      </c>
      <c r="E550" s="6013">
        <f t="shared" ref="E550:E551" si="90">24*MOD(TIMEVALUE(TRIM(MID(D550,FIND("-",D550)+1,LEN(D550)))) - TIMEVALUE(TRIM(LEFT(D550,FIND("-",D550)-1))),1)</f>
      </c>
      <c r="F550" s="6013" t="s">
        <v>6248</v>
      </c>
      <c r="G550" s="6014" t="s">
        <v>6262</v>
      </c>
      <c r="H550" s="6013"/>
      <c r="I550" s="6013" t="s">
        <v>5795</v>
      </c>
      <c r="J550" s="6013"/>
      <c r="K550" s="5801"/>
      <c r="L550" s="5801"/>
      <c r="M550" s="5801"/>
      <c r="N550" s="5801"/>
      <c r="O550" s="5801"/>
      <c r="P550" s="5801"/>
      <c r="Q550" s="5801"/>
      <c r="R550" s="5801"/>
      <c r="S550" s="5801"/>
      <c r="T550" s="5801"/>
      <c r="U550" s="5802"/>
      <c r="V550" s="5802"/>
      <c r="W550" s="5802"/>
      <c r="X550" s="5802"/>
      <c r="Y550" s="5802"/>
    </row>
    <row r="551">
      <c r="A551" s="6012" t="s">
        <v>6263</v>
      </c>
      <c r="B551" s="6012">
        <v>46225</v>
      </c>
      <c r="C551" s="6012" t="str">
        <v>Wednesday</v>
      </c>
      <c r="D551" s="6013" t="s">
        <v>5839</v>
      </c>
      <c r="E551" s="6013">
        <f t="shared" si="90"/>
      </c>
      <c r="F551" s="6013" t="s">
        <v>6248</v>
      </c>
      <c r="G551" s="6014" t="s">
        <v>6262</v>
      </c>
      <c r="H551" s="6013"/>
      <c r="I551" s="6013" t="s">
        <v>5795</v>
      </c>
      <c r="J551" s="6013"/>
      <c r="K551" s="5801"/>
      <c r="L551" s="5801"/>
      <c r="M551" s="5801"/>
      <c r="N551" s="5801"/>
      <c r="O551" s="5801"/>
      <c r="P551" s="5801"/>
      <c r="Q551" s="5801"/>
      <c r="R551" s="5801"/>
      <c r="S551" s="5801"/>
      <c r="T551" s="5801"/>
      <c r="U551" s="5802"/>
      <c r="V551" s="5802"/>
      <c r="W551" s="5802"/>
      <c r="X551" s="5802"/>
      <c r="Y551" s="5802"/>
    </row>
    <row r="552">
      <c r="A552" s="5812"/>
      <c r="B552" s="5812"/>
      <c r="C552" s="5812"/>
      <c r="D552" s="5816"/>
      <c r="E552" s="5816"/>
      <c r="F552" s="5816"/>
      <c r="G552" s="5876"/>
      <c r="H552" s="5816"/>
      <c r="I552" s="5816"/>
      <c r="J552" s="5816"/>
      <c r="K552" s="5801"/>
      <c r="L552" s="5801"/>
      <c r="M552" s="5801"/>
      <c r="N552" s="5801"/>
      <c r="O552" s="5801"/>
      <c r="P552" s="5801"/>
      <c r="Q552" s="5801"/>
      <c r="R552" s="5801"/>
      <c r="S552" s="5801"/>
      <c r="T552" s="5801"/>
      <c r="U552" s="5802"/>
      <c r="V552" s="5802"/>
      <c r="W552" s="5802"/>
      <c r="X552" s="5802"/>
      <c r="Y552" s="5802"/>
    </row>
    <row r="553">
      <c r="A553" s="6101" t="s">
        <v>6265</v>
      </c>
      <c r="B553" s="6101"/>
      <c r="C553" s="6101"/>
      <c r="D553" s="6101"/>
      <c r="E553" s="6101"/>
      <c r="F553" s="6101"/>
      <c r="G553" s="6101"/>
      <c r="H553" s="6101"/>
      <c r="I553" s="6101"/>
      <c r="J553" s="6101"/>
      <c r="K553" s="5801"/>
      <c r="L553" s="5801"/>
      <c r="M553" s="5801"/>
      <c r="N553" s="5801"/>
      <c r="O553" s="5801"/>
      <c r="P553" s="5801"/>
      <c r="Q553" s="5801"/>
      <c r="R553" s="5801"/>
      <c r="S553" s="5801"/>
      <c r="T553" s="5801"/>
      <c r="U553" s="5802"/>
      <c r="V553" s="5802"/>
      <c r="W553" s="5802"/>
      <c r="X553" s="5802"/>
      <c r="Y553" s="5802"/>
    </row>
    <row r="554">
      <c r="A554" s="6102" t="s">
        <v>5782</v>
      </c>
      <c r="B554" s="6103" t="s">
        <v>5783</v>
      </c>
      <c r="C554" s="6103"/>
      <c r="D554" s="6104" t="s">
        <v>5784</v>
      </c>
      <c r="E554" s="6104" t="s">
        <v>5785</v>
      </c>
      <c r="F554" s="6104" t="s">
        <v>5786</v>
      </c>
      <c r="G554" s="6105" t="s">
        <v>5809</v>
      </c>
      <c r="H554" s="6104" t="s">
        <v>5788</v>
      </c>
      <c r="I554" s="6104" t="s">
        <v>5789</v>
      </c>
      <c r="J554" s="6104" t="s">
        <v>5790</v>
      </c>
      <c r="K554" s="5801"/>
      <c r="L554" s="5801"/>
      <c r="M554" s="5801"/>
      <c r="N554" s="5801"/>
      <c r="O554" s="5801"/>
      <c r="P554" s="5801"/>
      <c r="Q554" s="5801"/>
      <c r="R554" s="5801"/>
      <c r="S554" s="5801"/>
      <c r="T554" s="5801"/>
      <c r="U554" s="5803"/>
      <c r="V554" s="5803"/>
      <c r="W554" s="5803"/>
      <c r="X554" s="5803"/>
      <c r="Y554" s="5803"/>
    </row>
    <row r="555">
      <c r="A555" s="5812" t="s">
        <v>6265</v>
      </c>
      <c r="B555" s="5812">
        <v>46224</v>
      </c>
      <c r="C555" s="5812" t="str">
        <v>Tuesday</v>
      </c>
      <c r="D555" s="5813" t="s">
        <v>5847</v>
      </c>
      <c r="E555" s="5816">
        <f t="shared" ref="E555:E559" si="91">24*MOD(TIMEVALUE(TRIM(MID(D555,FIND("-",D555)+1,LEN(D555)))) - TIMEVALUE(TRIM(LEFT(D555,FIND("-",D555)-1))),1)</f>
      </c>
      <c r="F555" s="5816" t="s">
        <v>6245</v>
      </c>
      <c r="G555" s="5836" t="s">
        <v>6266</v>
      </c>
      <c r="H555" s="5858" t="s">
        <v>5794</v>
      </c>
      <c r="I555" s="5813" t="s">
        <v>5795</v>
      </c>
      <c r="J555" s="5813"/>
      <c r="K555" s="5801"/>
      <c r="L555" s="5801"/>
      <c r="M555" s="5801"/>
      <c r="N555" s="5801"/>
      <c r="O555" s="5801"/>
      <c r="P555" s="5801"/>
      <c r="Q555" s="5801"/>
      <c r="R555" s="5801"/>
      <c r="S555" s="5801"/>
      <c r="T555" s="5801"/>
      <c r="U555" s="5802"/>
      <c r="V555" s="5802"/>
      <c r="W555" s="5802"/>
      <c r="X555" s="5802"/>
      <c r="Y555" s="5802"/>
    </row>
    <row r="556">
      <c r="A556" s="5812" t="s">
        <v>6265</v>
      </c>
      <c r="B556" s="5812">
        <v>46225</v>
      </c>
      <c r="C556" s="5812" t="str">
        <v>Wednesday</v>
      </c>
      <c r="D556" s="5813" t="s">
        <v>5847</v>
      </c>
      <c r="E556" s="5816">
        <f t="shared" si="91"/>
      </c>
      <c r="F556" s="5816" t="s">
        <v>6091</v>
      </c>
      <c r="G556" s="5836" t="s">
        <v>6267</v>
      </c>
      <c r="H556" s="5858" t="s">
        <v>5794</v>
      </c>
      <c r="I556" s="5813" t="s">
        <v>5795</v>
      </c>
      <c r="J556" s="5813"/>
      <c r="K556" s="5801"/>
      <c r="L556" s="5801"/>
      <c r="M556" s="5801"/>
      <c r="N556" s="5801"/>
      <c r="O556" s="5801"/>
      <c r="P556" s="5801"/>
      <c r="Q556" s="5801"/>
      <c r="R556" s="5801"/>
      <c r="S556" s="5801"/>
      <c r="T556" s="5801"/>
      <c r="U556" s="5802"/>
      <c r="V556" s="5802"/>
      <c r="W556" s="5802"/>
      <c r="X556" s="5802"/>
      <c r="Y556" s="5802"/>
    </row>
    <row r="557">
      <c r="A557" s="5820" t="s">
        <v>6265</v>
      </c>
      <c r="B557" s="5820">
        <v>46226</v>
      </c>
      <c r="C557" s="5820" t="str">
        <v>Thursday</v>
      </c>
      <c r="D557" s="5821" t="s">
        <v>5847</v>
      </c>
      <c r="E557" s="5821">
        <f t="shared" si="91"/>
      </c>
      <c r="F557" s="5821" t="s">
        <v>6245</v>
      </c>
      <c r="G557" s="5908"/>
      <c r="H557" s="6054" t="s">
        <v>5794</v>
      </c>
      <c r="I557" s="5821" t="s">
        <v>5795</v>
      </c>
      <c r="J557" s="5821" t="s">
        <v>6268</v>
      </c>
      <c r="K557" s="5825"/>
      <c r="L557" s="5825"/>
      <c r="M557" s="5825"/>
      <c r="N557" s="5825"/>
      <c r="O557" s="5825"/>
      <c r="P557" s="5825"/>
      <c r="Q557" s="5825"/>
      <c r="R557" s="5825"/>
      <c r="S557" s="5825"/>
      <c r="T557" s="5825"/>
      <c r="U557" s="5826"/>
      <c r="V557" s="5826"/>
      <c r="W557" s="5826"/>
      <c r="X557" s="5826"/>
      <c r="Y557" s="5826"/>
    </row>
    <row r="558">
      <c r="A558" s="5820" t="s">
        <v>6265</v>
      </c>
      <c r="B558" s="5820">
        <v>46228</v>
      </c>
      <c r="C558" s="5820" t="str">
        <v>Saturday</v>
      </c>
      <c r="D558" s="5821" t="s">
        <v>5847</v>
      </c>
      <c r="E558" s="5821">
        <f t="shared" si="91"/>
      </c>
      <c r="F558" s="5821" t="s">
        <v>6245</v>
      </c>
      <c r="G558" s="5908" t="s">
        <v>6269</v>
      </c>
      <c r="H558" s="6054" t="s">
        <v>5794</v>
      </c>
      <c r="I558" s="5821" t="s">
        <v>5795</v>
      </c>
      <c r="J558" s="5821"/>
      <c r="K558" s="5825"/>
      <c r="L558" s="5825"/>
      <c r="M558" s="5825"/>
      <c r="N558" s="5825"/>
      <c r="O558" s="5825"/>
      <c r="P558" s="5825"/>
      <c r="Q558" s="5825"/>
      <c r="R558" s="5825"/>
      <c r="S558" s="5825"/>
      <c r="T558" s="5825"/>
      <c r="U558" s="5826"/>
      <c r="V558" s="5826"/>
      <c r="W558" s="5826"/>
      <c r="X558" s="5826"/>
      <c r="Y558" s="5826"/>
    </row>
    <row r="559">
      <c r="A559" s="5820" t="s">
        <v>6265</v>
      </c>
      <c r="B559" s="5820">
        <v>46229</v>
      </c>
      <c r="C559" s="5820" t="str">
        <v>Sunday</v>
      </c>
      <c r="D559" s="5821" t="s">
        <v>5847</v>
      </c>
      <c r="E559" s="5821">
        <f t="shared" si="91"/>
      </c>
      <c r="F559" s="5821" t="s">
        <v>6091</v>
      </c>
      <c r="G559" s="5908" t="s">
        <v>6269</v>
      </c>
      <c r="H559" s="6054" t="s">
        <v>5794</v>
      </c>
      <c r="I559" s="5821" t="s">
        <v>5795</v>
      </c>
      <c r="J559" s="5821"/>
      <c r="K559" s="5825"/>
      <c r="L559" s="5825"/>
      <c r="M559" s="5825"/>
      <c r="N559" s="5825"/>
      <c r="O559" s="5825"/>
      <c r="P559" s="5825"/>
      <c r="Q559" s="5825"/>
      <c r="R559" s="5825"/>
      <c r="S559" s="5825"/>
      <c r="T559" s="5825"/>
      <c r="U559" s="5826"/>
      <c r="V559" s="5826"/>
      <c r="W559" s="5826"/>
      <c r="X559" s="5826"/>
      <c r="Y559" s="5826"/>
    </row>
    <row r="560">
      <c r="A560" s="5812"/>
      <c r="B560" s="5812"/>
      <c r="C560" s="5812"/>
      <c r="D560" s="5813"/>
      <c r="E560" s="5813"/>
      <c r="F560" s="5816"/>
      <c r="G560" s="5836"/>
      <c r="H560" s="5858"/>
      <c r="I560" s="5813"/>
      <c r="J560" s="5813"/>
      <c r="K560" s="5801"/>
      <c r="L560" s="5801"/>
      <c r="M560" s="5801"/>
      <c r="N560" s="5801"/>
      <c r="O560" s="5801"/>
      <c r="P560" s="5801"/>
      <c r="Q560" s="5801"/>
      <c r="R560" s="5801"/>
      <c r="S560" s="5801"/>
      <c r="T560" s="5801"/>
      <c r="U560" s="5802"/>
      <c r="V560" s="5802"/>
      <c r="W560" s="5802"/>
      <c r="X560" s="5802"/>
      <c r="Y560" s="5802"/>
    </row>
    <row r="561">
      <c r="A561" s="5812" t="s">
        <v>6270</v>
      </c>
      <c r="B561" s="5812">
        <v>46225</v>
      </c>
      <c r="C561" s="5812" t="str">
        <v>Wednesday</v>
      </c>
      <c r="D561" s="5813" t="s">
        <v>6271</v>
      </c>
      <c r="E561" s="5816">
        <f t="shared" ref="E561:E565" si="92">24*MOD(TIMEVALUE(TRIM(MID(D561,FIND("-",D561)+1,LEN(D561)))) - TIMEVALUE(TRIM(LEFT(D561,FIND("-",D561)-1))),1)</f>
      </c>
      <c r="F561" s="5813" t="s">
        <v>6248</v>
      </c>
      <c r="G561" s="5836"/>
      <c r="H561" s="5858" t="s">
        <v>5794</v>
      </c>
      <c r="I561" s="5813" t="s">
        <v>5795</v>
      </c>
      <c r="J561" s="5813"/>
      <c r="K561" s="5801"/>
      <c r="L561" s="5801"/>
      <c r="M561" s="5801"/>
      <c r="N561" s="5801"/>
      <c r="O561" s="5801"/>
      <c r="P561" s="5801"/>
      <c r="Q561" s="5801"/>
      <c r="R561" s="5801"/>
      <c r="S561" s="5801"/>
      <c r="T561" s="5801"/>
      <c r="U561" s="5802"/>
      <c r="V561" s="5802"/>
      <c r="W561" s="5802"/>
      <c r="X561" s="5802"/>
      <c r="Y561" s="5802"/>
    </row>
    <row r="562">
      <c r="A562" s="5820" t="s">
        <v>6270</v>
      </c>
      <c r="B562" s="5820">
        <v>46226</v>
      </c>
      <c r="C562" s="5820" t="str">
        <v>Thursday</v>
      </c>
      <c r="D562" s="5821" t="s">
        <v>6272</v>
      </c>
      <c r="E562" s="5821">
        <f t="shared" si="92"/>
      </c>
      <c r="F562" s="5821" t="s">
        <v>6248</v>
      </c>
      <c r="G562" s="5908"/>
      <c r="H562" s="6054" t="s">
        <v>5794</v>
      </c>
      <c r="I562" s="5821" t="s">
        <v>5795</v>
      </c>
      <c r="J562" s="5821" t="s">
        <v>6268</v>
      </c>
      <c r="K562" s="5825"/>
      <c r="L562" s="5825"/>
      <c r="M562" s="5825"/>
      <c r="N562" s="5825"/>
      <c r="O562" s="5825"/>
      <c r="P562" s="5825"/>
      <c r="Q562" s="5825"/>
      <c r="R562" s="5825"/>
      <c r="S562" s="5825"/>
      <c r="T562" s="5825"/>
      <c r="U562" s="5826"/>
      <c r="V562" s="5826"/>
      <c r="W562" s="5826"/>
      <c r="X562" s="5826"/>
      <c r="Y562" s="5826"/>
    </row>
    <row r="563">
      <c r="A563" s="5820" t="s">
        <v>6270</v>
      </c>
      <c r="B563" s="5820">
        <v>46227</v>
      </c>
      <c r="C563" s="5820" t="str">
        <v>Friday</v>
      </c>
      <c r="D563" s="5821" t="s">
        <v>6272</v>
      </c>
      <c r="E563" s="5821">
        <f t="shared" si="92"/>
      </c>
      <c r="F563" s="5821" t="s">
        <v>6248</v>
      </c>
      <c r="G563" s="5908"/>
      <c r="H563" s="6054" t="s">
        <v>5794</v>
      </c>
      <c r="I563" s="5821" t="s">
        <v>5795</v>
      </c>
      <c r="J563" s="5821"/>
      <c r="K563" s="5825"/>
      <c r="L563" s="5825"/>
      <c r="M563" s="5825"/>
      <c r="N563" s="5825"/>
      <c r="O563" s="5825"/>
      <c r="P563" s="5825"/>
      <c r="Q563" s="5825"/>
      <c r="R563" s="5825"/>
      <c r="S563" s="5825"/>
      <c r="T563" s="5825"/>
      <c r="U563" s="5826"/>
      <c r="V563" s="5826"/>
      <c r="W563" s="5826"/>
      <c r="X563" s="5826"/>
      <c r="Y563" s="5826"/>
    </row>
    <row r="564">
      <c r="A564" s="5812" t="s">
        <v>6270</v>
      </c>
      <c r="B564" s="5812">
        <v>46228</v>
      </c>
      <c r="C564" s="5812" t="str">
        <v>Saturday</v>
      </c>
      <c r="D564" s="5813" t="s">
        <v>6272</v>
      </c>
      <c r="E564" s="5816">
        <f t="shared" si="92"/>
      </c>
      <c r="F564" s="5813" t="s">
        <v>5862</v>
      </c>
      <c r="G564" s="5836"/>
      <c r="H564" s="5858" t="s">
        <v>5794</v>
      </c>
      <c r="I564" s="5813" t="s">
        <v>5795</v>
      </c>
      <c r="J564" s="5813"/>
      <c r="K564" s="5801"/>
      <c r="L564" s="5801"/>
      <c r="M564" s="5801"/>
      <c r="N564" s="5801"/>
      <c r="O564" s="5801"/>
      <c r="P564" s="5801"/>
      <c r="Q564" s="5801"/>
      <c r="R564" s="5801"/>
      <c r="S564" s="5801"/>
      <c r="T564" s="5801"/>
      <c r="U564" s="5802"/>
      <c r="V564" s="5802"/>
      <c r="W564" s="5802"/>
      <c r="X564" s="5802"/>
      <c r="Y564" s="5802"/>
    </row>
    <row r="565">
      <c r="A565" s="5812" t="s">
        <v>6270</v>
      </c>
      <c r="B565" s="5812">
        <v>46229</v>
      </c>
      <c r="C565" s="5812" t="str">
        <v>Sunday</v>
      </c>
      <c r="D565" s="5813" t="s">
        <v>6272</v>
      </c>
      <c r="E565" s="5816">
        <f t="shared" si="92"/>
      </c>
      <c r="F565" s="5813" t="s">
        <v>5862</v>
      </c>
      <c r="G565" s="5836"/>
      <c r="H565" s="5858" t="s">
        <v>5794</v>
      </c>
      <c r="I565" s="5813" t="s">
        <v>5795</v>
      </c>
      <c r="J565" s="5813"/>
      <c r="K565" s="5801"/>
      <c r="L565" s="5801"/>
      <c r="M565" s="5801"/>
      <c r="N565" s="5801"/>
      <c r="O565" s="5801"/>
      <c r="P565" s="5801"/>
      <c r="Q565" s="5801"/>
      <c r="R565" s="5801"/>
      <c r="S565" s="5801"/>
      <c r="T565" s="5801"/>
      <c r="U565" s="5802"/>
      <c r="V565" s="5802"/>
      <c r="W565" s="5802"/>
      <c r="X565" s="5802"/>
      <c r="Y565" s="5802"/>
    </row>
    <row r="566">
      <c r="A566" s="5812"/>
      <c r="B566" s="5812"/>
      <c r="C566" s="5812"/>
      <c r="D566" s="5813"/>
      <c r="E566" s="5816"/>
      <c r="F566" s="5813"/>
      <c r="G566" s="5836"/>
      <c r="H566" s="5858"/>
      <c r="I566" s="5813"/>
      <c r="J566" s="5813"/>
      <c r="K566" s="5801"/>
      <c r="L566" s="5801"/>
      <c r="M566" s="5801"/>
      <c r="N566" s="5801"/>
      <c r="O566" s="5801"/>
      <c r="P566" s="5801"/>
      <c r="Q566" s="5801"/>
      <c r="R566" s="5801"/>
      <c r="S566" s="5801"/>
      <c r="T566" s="5801"/>
      <c r="U566" s="5802"/>
      <c r="V566" s="5802"/>
      <c r="W566" s="5802"/>
      <c r="X566" s="5802"/>
      <c r="Y566" s="5802"/>
    </row>
    <row r="567">
      <c r="A567" s="5812" t="s">
        <v>6273</v>
      </c>
      <c r="B567" s="5812">
        <v>46224</v>
      </c>
      <c r="C567" s="5812" t="str">
        <v>Tuesday</v>
      </c>
      <c r="D567" s="5813" t="s">
        <v>6274</v>
      </c>
      <c r="E567" s="5816">
        <f t="shared" ref="E567:E569" si="93">24*MOD(TIMEVALUE(TRIM(MID(D567,FIND("-",D567)+1,LEN(D567)))) - TIMEVALUE(TRIM(LEFT(D567,FIND("-",D567)-1))),1)</f>
      </c>
      <c r="F567" s="5816" t="s">
        <v>6245</v>
      </c>
      <c r="G567" s="5813"/>
      <c r="H567" s="5858"/>
      <c r="I567" s="5813" t="s">
        <v>5795</v>
      </c>
      <c r="J567" s="5813"/>
      <c r="K567" s="5801"/>
      <c r="L567" s="5801"/>
      <c r="M567" s="5801"/>
      <c r="N567" s="5801"/>
      <c r="O567" s="5801"/>
      <c r="P567" s="5801"/>
      <c r="Q567" s="5801"/>
      <c r="R567" s="5801"/>
      <c r="S567" s="5801"/>
      <c r="T567" s="5801"/>
      <c r="U567" s="5802"/>
      <c r="V567" s="5802"/>
      <c r="W567" s="5802"/>
      <c r="X567" s="5802"/>
      <c r="Y567" s="5802"/>
    </row>
    <row r="568">
      <c r="A568" s="5812" t="s">
        <v>6273</v>
      </c>
      <c r="B568" s="5812">
        <v>46226</v>
      </c>
      <c r="C568" s="5812" t="str">
        <v>Thursday</v>
      </c>
      <c r="D568" s="5813" t="s">
        <v>5847</v>
      </c>
      <c r="E568" s="5816">
        <f t="shared" si="93"/>
      </c>
      <c r="F568" s="5813" t="s">
        <v>5893</v>
      </c>
      <c r="G568" s="5813"/>
      <c r="H568" s="5858"/>
      <c r="I568" s="5813" t="s">
        <v>5795</v>
      </c>
      <c r="J568" s="5813"/>
      <c r="K568" s="5801"/>
      <c r="L568" s="5801"/>
      <c r="M568" s="5801"/>
      <c r="N568" s="5801"/>
      <c r="O568" s="5801"/>
      <c r="P568" s="5801"/>
      <c r="Q568" s="5801"/>
      <c r="R568" s="5801"/>
      <c r="S568" s="5801"/>
      <c r="T568" s="5801"/>
      <c r="U568" s="5802"/>
      <c r="V568" s="5802"/>
      <c r="W568" s="5802"/>
      <c r="X568" s="5802"/>
      <c r="Y568" s="5802"/>
    </row>
    <row r="569">
      <c r="A569" s="5812" t="s">
        <v>6275</v>
      </c>
      <c r="B569" s="5812">
        <v>46225</v>
      </c>
      <c r="C569" s="5812" t="str">
        <v>Wednesday</v>
      </c>
      <c r="D569" s="5813" t="s">
        <v>6276</v>
      </c>
      <c r="E569" s="5816">
        <f t="shared" si="93"/>
      </c>
      <c r="F569" s="5813" t="s">
        <v>6248</v>
      </c>
      <c r="G569" s="5813" t="s">
        <v>6277</v>
      </c>
      <c r="H569" s="5858" t="s">
        <v>5794</v>
      </c>
      <c r="I569" s="5813" t="s">
        <v>5795</v>
      </c>
      <c r="J569" s="5813"/>
      <c r="K569" s="5801"/>
      <c r="L569" s="5801"/>
      <c r="M569" s="5801"/>
      <c r="N569" s="5801"/>
      <c r="O569" s="5801"/>
      <c r="P569" s="5801"/>
      <c r="Q569" s="5801"/>
      <c r="R569" s="5801"/>
      <c r="S569" s="5801"/>
      <c r="T569" s="5801"/>
      <c r="U569" s="5802"/>
      <c r="V569" s="5802"/>
      <c r="W569" s="5802"/>
      <c r="X569" s="5802"/>
      <c r="Y569" s="5802"/>
    </row>
    <row r="570">
      <c r="A570" s="5812"/>
      <c r="B570" s="5812"/>
      <c r="C570" s="5812"/>
      <c r="D570" s="5816"/>
      <c r="E570" s="5816"/>
      <c r="F570" s="5816"/>
      <c r="G570" s="5876"/>
      <c r="H570" s="5816"/>
      <c r="I570" s="5816"/>
      <c r="J570" s="5816"/>
      <c r="K570" s="5801"/>
      <c r="L570" s="5801"/>
      <c r="M570" s="5801"/>
      <c r="N570" s="5801"/>
      <c r="O570" s="5801"/>
      <c r="P570" s="5801"/>
      <c r="Q570" s="5801"/>
      <c r="R570" s="5801"/>
      <c r="S570" s="5801"/>
      <c r="T570" s="5801"/>
      <c r="U570" s="5802"/>
      <c r="V570" s="5803"/>
      <c r="W570" s="5803"/>
      <c r="X570" s="5803"/>
      <c r="Y570" s="5803"/>
    </row>
    <row r="571">
      <c r="A571" s="6106" t="s">
        <v>6278</v>
      </c>
      <c r="B571" s="6106"/>
      <c r="C571" s="6106"/>
      <c r="D571" s="6106"/>
      <c r="E571" s="6106"/>
      <c r="F571" s="6106"/>
      <c r="G571" s="6106"/>
      <c r="H571" s="6106"/>
      <c r="I571" s="6106"/>
      <c r="J571" s="6106"/>
      <c r="K571" s="5870"/>
      <c r="L571" s="5870"/>
      <c r="M571" s="5870"/>
      <c r="N571" s="5870"/>
      <c r="O571" s="5801"/>
      <c r="P571" s="5801"/>
      <c r="Q571" s="5801"/>
      <c r="R571" s="5801"/>
      <c r="S571" s="5801"/>
      <c r="T571" s="5801"/>
      <c r="U571" s="5802"/>
      <c r="V571" s="5803"/>
      <c r="W571" s="5803"/>
      <c r="X571" s="5803"/>
      <c r="Y571" s="5803"/>
    </row>
    <row r="572">
      <c r="A572" s="6107" t="s">
        <v>5782</v>
      </c>
      <c r="B572" s="6108" t="s">
        <v>5783</v>
      </c>
      <c r="C572" s="6108"/>
      <c r="D572" s="6109" t="s">
        <v>5784</v>
      </c>
      <c r="E572" s="6109" t="s">
        <v>5785</v>
      </c>
      <c r="F572" s="6109" t="s">
        <v>5786</v>
      </c>
      <c r="G572" s="6110" t="s">
        <v>5809</v>
      </c>
      <c r="H572" s="6109" t="s">
        <v>5788</v>
      </c>
      <c r="I572" s="6109" t="s">
        <v>5789</v>
      </c>
      <c r="J572" s="6109" t="s">
        <v>5790</v>
      </c>
      <c r="K572" s="5870"/>
      <c r="L572" s="5870"/>
      <c r="M572" s="5870"/>
      <c r="N572" s="5870"/>
      <c r="O572" s="5801"/>
      <c r="P572" s="5801"/>
      <c r="Q572" s="5801"/>
      <c r="R572" s="5801"/>
      <c r="S572" s="5801"/>
      <c r="T572" s="5801"/>
      <c r="U572" s="5802"/>
      <c r="V572" s="5803"/>
      <c r="W572" s="5803"/>
      <c r="X572" s="5803"/>
      <c r="Y572" s="5803"/>
    </row>
    <row r="573">
      <c r="A573" s="5812" t="s">
        <v>6278</v>
      </c>
      <c r="B573" s="5812">
        <v>46224</v>
      </c>
      <c r="C573" s="5812" t="str">
        <v>Tuesday</v>
      </c>
      <c r="D573" s="5813" t="s">
        <v>5926</v>
      </c>
      <c r="E573" s="5813">
        <f t="shared" ref="E573:E574" si="94">24*MOD(TIMEVALUE(TRIM(MID(D573,FIND("-",D573)+1,LEN(D573)))) - TIMEVALUE(TRIM(LEFT(D573,FIND("-",D573)-1))),1)</f>
      </c>
      <c r="F573" s="5816"/>
      <c r="G573" s="5836"/>
      <c r="H573" s="5858" t="s">
        <v>5794</v>
      </c>
      <c r="I573" s="5813" t="s">
        <v>5881</v>
      </c>
      <c r="J573" s="5813"/>
      <c r="K573" s="5870"/>
      <c r="L573" s="5870"/>
      <c r="M573" s="5870"/>
      <c r="N573" s="5870"/>
      <c r="O573" s="5801"/>
      <c r="P573" s="5801"/>
      <c r="Q573" s="5801"/>
      <c r="R573" s="5801"/>
      <c r="S573" s="5801"/>
      <c r="T573" s="5801"/>
      <c r="U573" s="5802"/>
      <c r="V573" s="5803"/>
      <c r="W573" s="5803"/>
      <c r="X573" s="5803"/>
      <c r="Y573" s="5803"/>
    </row>
    <row r="574">
      <c r="A574" s="6111" t="s">
        <v>6279</v>
      </c>
      <c r="B574" s="6111">
        <v>46224</v>
      </c>
      <c r="C574" s="6111" t="str">
        <v>Tuesday</v>
      </c>
      <c r="D574" s="6112" t="s">
        <v>5926</v>
      </c>
      <c r="E574" s="6112">
        <f t="shared" si="94"/>
      </c>
      <c r="F574" s="6112"/>
      <c r="G574" s="6113"/>
      <c r="H574" s="6114" t="s">
        <v>5794</v>
      </c>
      <c r="I574" s="5813" t="s">
        <v>5881</v>
      </c>
      <c r="J574" s="6112"/>
      <c r="K574" s="5870"/>
      <c r="L574" s="5870"/>
      <c r="M574" s="5870"/>
      <c r="N574" s="5870"/>
      <c r="O574" s="5801"/>
      <c r="P574" s="5801"/>
      <c r="Q574" s="5801"/>
      <c r="R574" s="5801"/>
      <c r="S574" s="5801"/>
      <c r="T574" s="5801"/>
      <c r="U574" s="5802"/>
      <c r="V574" s="5803"/>
      <c r="W574" s="5803"/>
      <c r="X574" s="5803"/>
      <c r="Y574" s="5803"/>
    </row>
    <row r="575">
      <c r="A575" s="5812" t="s">
        <v>6278</v>
      </c>
      <c r="B575" s="5812"/>
      <c r="C575" s="5812"/>
      <c r="D575" s="5813"/>
      <c r="E575" s="6115">
        <f>E573</f>
      </c>
      <c r="F575" s="5816"/>
      <c r="G575" s="5836"/>
      <c r="H575" s="5858"/>
      <c r="I575" s="5816"/>
      <c r="J575" s="5813"/>
      <c r="K575" s="5870"/>
      <c r="L575" s="5870"/>
      <c r="M575" s="5870"/>
      <c r="N575" s="5870"/>
      <c r="O575" s="5801"/>
      <c r="P575" s="5801"/>
      <c r="Q575" s="5801"/>
      <c r="R575" s="5801"/>
      <c r="S575" s="5801"/>
      <c r="T575" s="5801"/>
      <c r="U575" s="5803"/>
      <c r="V575" s="5803"/>
      <c r="W575" s="5803"/>
      <c r="X575" s="5803"/>
      <c r="Y575" s="5803"/>
    </row>
    <row r="576">
      <c r="A576" s="5812" t="s">
        <v>6278</v>
      </c>
      <c r="B576" s="5812">
        <v>46225</v>
      </c>
      <c r="C576" s="5812" t="str">
        <v>Wednesday</v>
      </c>
      <c r="D576" s="5813" t="s">
        <v>5926</v>
      </c>
      <c r="E576" s="5813">
        <f t="shared" ref="E576:E577" si="95">24*MOD(TIMEVALUE(TRIM(MID(D576,FIND("-",D576)+1,LEN(D576)))) - TIMEVALUE(TRIM(LEFT(D576,FIND("-",D576)-1))),1)</f>
      </c>
      <c r="F576" s="5816"/>
      <c r="G576" s="5836"/>
      <c r="H576" s="5858" t="s">
        <v>5794</v>
      </c>
      <c r="I576" s="5813" t="s">
        <v>5881</v>
      </c>
      <c r="J576" s="5813"/>
      <c r="K576" s="5870"/>
      <c r="L576" s="5870"/>
      <c r="M576" s="5870"/>
      <c r="N576" s="5870"/>
      <c r="O576" s="5801"/>
      <c r="P576" s="5801"/>
      <c r="Q576" s="5801"/>
      <c r="R576" s="5801"/>
      <c r="S576" s="5801"/>
      <c r="T576" s="5801"/>
      <c r="U576" s="5803"/>
      <c r="V576" s="5803"/>
      <c r="W576" s="5803"/>
      <c r="X576" s="5803"/>
      <c r="Y576" s="5803"/>
    </row>
    <row r="577">
      <c r="A577" s="6111" t="s">
        <v>6279</v>
      </c>
      <c r="B577" s="6111">
        <v>46225</v>
      </c>
      <c r="C577" s="6111" t="str">
        <v>Wednesday</v>
      </c>
      <c r="D577" s="6112" t="s">
        <v>5926</v>
      </c>
      <c r="E577" s="6112">
        <f t="shared" si="95"/>
      </c>
      <c r="F577" s="6112"/>
      <c r="G577" s="6113"/>
      <c r="H577" s="6114" t="s">
        <v>5794</v>
      </c>
      <c r="I577" s="5813" t="s">
        <v>5881</v>
      </c>
      <c r="J577" s="6112"/>
      <c r="K577" s="5870"/>
      <c r="L577" s="5870"/>
      <c r="M577" s="5870"/>
      <c r="N577" s="5870"/>
      <c r="O577" s="5801"/>
      <c r="P577" s="5801"/>
      <c r="Q577" s="5801"/>
      <c r="R577" s="5801"/>
      <c r="S577" s="5801"/>
      <c r="T577" s="5801"/>
      <c r="U577" s="5803"/>
      <c r="V577" s="5803"/>
      <c r="W577" s="5803"/>
      <c r="X577" s="5803"/>
      <c r="Y577" s="5803"/>
    </row>
    <row r="578">
      <c r="A578" s="5812" t="s">
        <v>6278</v>
      </c>
      <c r="B578" s="5812"/>
      <c r="C578" s="5812"/>
      <c r="D578" s="5813"/>
      <c r="E578" s="6115">
        <f>E576</f>
      </c>
      <c r="F578" s="5816"/>
      <c r="G578" s="5836"/>
      <c r="H578" s="5858"/>
      <c r="I578" s="5816"/>
      <c r="J578" s="5813"/>
      <c r="K578" s="5870"/>
      <c r="L578" s="5870"/>
      <c r="M578" s="5870"/>
      <c r="N578" s="5870"/>
      <c r="O578" s="5801"/>
      <c r="P578" s="5801"/>
      <c r="Q578" s="5801"/>
      <c r="R578" s="5801"/>
      <c r="S578" s="5801"/>
      <c r="T578" s="5801"/>
      <c r="U578" s="5803"/>
      <c r="V578" s="5803"/>
      <c r="W578" s="5803"/>
      <c r="X578" s="5803"/>
      <c r="Y578" s="5803"/>
    </row>
    <row r="579">
      <c r="A579" s="5861" t="s">
        <v>6278</v>
      </c>
      <c r="B579" s="5861">
        <v>46226</v>
      </c>
      <c r="C579" s="5861" t="str">
        <v>Thursday</v>
      </c>
      <c r="D579" s="5862" t="s">
        <v>6280</v>
      </c>
      <c r="E579" s="5862">
        <f t="shared" ref="E579:E580" si="96">24*MOD(TIMEVALUE(TRIM(MID(D579,FIND("-",D579)+1,LEN(D579)))) - TIMEVALUE(TRIM(LEFT(D579,FIND("-",D579)-1))),1)</f>
      </c>
      <c r="F579" s="5862" t="s">
        <v>5896</v>
      </c>
      <c r="G579" s="5863"/>
      <c r="H579" s="5885" t="s">
        <v>5794</v>
      </c>
      <c r="I579" s="5862" t="s">
        <v>5795</v>
      </c>
      <c r="J579" s="5864" t="s">
        <v>6268</v>
      </c>
      <c r="K579" s="5943"/>
      <c r="L579" s="5943"/>
      <c r="M579" s="5943"/>
      <c r="N579" s="5943"/>
      <c r="O579" s="5920"/>
      <c r="P579" s="5920"/>
      <c r="Q579" s="5920"/>
      <c r="R579" s="5920"/>
      <c r="S579" s="5920"/>
      <c r="T579" s="5920"/>
      <c r="U579" s="5865"/>
      <c r="V579" s="5865"/>
      <c r="W579" s="5865"/>
      <c r="X579" s="5865"/>
      <c r="Y579" s="5865"/>
    </row>
    <row r="580">
      <c r="A580" s="5861" t="s">
        <v>6279</v>
      </c>
      <c r="B580" s="5861">
        <v>46226</v>
      </c>
      <c r="C580" s="5861" t="str">
        <v>Thursday</v>
      </c>
      <c r="D580" s="5862" t="s">
        <v>6281</v>
      </c>
      <c r="E580" s="5862">
        <f t="shared" si="96"/>
      </c>
      <c r="F580" s="5862" t="s">
        <v>6036</v>
      </c>
      <c r="G580" s="5863"/>
      <c r="H580" s="5885" t="s">
        <v>5794</v>
      </c>
      <c r="I580" s="5862" t="s">
        <v>5795</v>
      </c>
      <c r="J580" s="5864" t="s">
        <v>6282</v>
      </c>
      <c r="K580" s="5943"/>
      <c r="L580" s="5943"/>
      <c r="M580" s="5943"/>
      <c r="N580" s="5943"/>
      <c r="O580" s="5920"/>
      <c r="P580" s="5920"/>
      <c r="Q580" s="5920"/>
      <c r="R580" s="5920"/>
      <c r="S580" s="5920"/>
      <c r="T580" s="5920"/>
      <c r="U580" s="5865"/>
      <c r="V580" s="5865"/>
      <c r="W580" s="5865"/>
      <c r="X580" s="5865"/>
      <c r="Y580" s="5865"/>
    </row>
    <row r="581">
      <c r="A581" s="5812" t="s">
        <v>6278</v>
      </c>
      <c r="B581" s="5812"/>
      <c r="C581" s="5812"/>
      <c r="D581" s="5813"/>
      <c r="E581" s="6115">
        <f>E579</f>
      </c>
      <c r="F581" s="5816"/>
      <c r="G581" s="5836"/>
      <c r="H581" s="5858"/>
      <c r="I581" s="5816"/>
      <c r="J581" s="5813"/>
      <c r="K581" s="5870"/>
      <c r="L581" s="5870"/>
      <c r="M581" s="5870"/>
      <c r="N581" s="5870"/>
      <c r="O581" s="5801"/>
      <c r="P581" s="5801"/>
      <c r="Q581" s="5801"/>
      <c r="R581" s="5801"/>
      <c r="S581" s="5801"/>
      <c r="T581" s="5801"/>
      <c r="U581" s="5803"/>
      <c r="V581" s="5803"/>
      <c r="W581" s="5803"/>
      <c r="X581" s="5803"/>
      <c r="Y581" s="5803"/>
    </row>
    <row r="582">
      <c r="A582" s="5812" t="s">
        <v>6278</v>
      </c>
      <c r="B582" s="5812">
        <v>46227</v>
      </c>
      <c r="C582" s="5812" t="str">
        <v>Friday</v>
      </c>
      <c r="D582" s="5813" t="s">
        <v>5841</v>
      </c>
      <c r="E582" s="5813">
        <f t="shared" ref="E582:E583" si="97">24*MOD(TIMEVALUE(TRIM(MID(D582,FIND("-",D582)+1,LEN(D582)))) - TIMEVALUE(TRIM(LEFT(D582,FIND("-",D582)-1))),1)</f>
      </c>
      <c r="F582" s="5816" t="s">
        <v>5916</v>
      </c>
      <c r="G582" s="5836"/>
      <c r="H582" s="5858" t="s">
        <v>5794</v>
      </c>
      <c r="I582" s="5813" t="s">
        <v>5881</v>
      </c>
      <c r="J582" s="5813"/>
      <c r="K582" s="5870"/>
      <c r="L582" s="5870"/>
      <c r="M582" s="5870"/>
      <c r="N582" s="5870"/>
      <c r="O582" s="5801"/>
      <c r="P582" s="5801"/>
      <c r="Q582" s="5801"/>
      <c r="R582" s="5801"/>
      <c r="S582" s="5801"/>
      <c r="T582" s="5801"/>
      <c r="U582" s="5803"/>
      <c r="V582" s="5803"/>
      <c r="W582" s="5803"/>
      <c r="X582" s="5803"/>
      <c r="Y582" s="5803"/>
    </row>
    <row r="583">
      <c r="A583" s="6111" t="s">
        <v>6279</v>
      </c>
      <c r="B583" s="6111">
        <v>46227</v>
      </c>
      <c r="C583" s="6111" t="str">
        <v>Friday</v>
      </c>
      <c r="D583" s="6112" t="s">
        <v>5961</v>
      </c>
      <c r="E583" s="6112">
        <f t="shared" si="97"/>
      </c>
      <c r="F583" s="6112" t="s">
        <v>6036</v>
      </c>
      <c r="G583" s="6113"/>
      <c r="H583" s="6114" t="s">
        <v>5794</v>
      </c>
      <c r="I583" s="5813" t="s">
        <v>5795</v>
      </c>
      <c r="J583" s="6112"/>
      <c r="K583" s="5870"/>
      <c r="L583" s="5870"/>
      <c r="M583" s="5870"/>
      <c r="N583" s="5870"/>
      <c r="O583" s="5801"/>
      <c r="P583" s="5801"/>
      <c r="Q583" s="5801"/>
      <c r="R583" s="5801"/>
      <c r="S583" s="5801"/>
      <c r="T583" s="5801"/>
      <c r="U583" s="5803"/>
      <c r="V583" s="5803"/>
      <c r="W583" s="5803"/>
      <c r="X583" s="5803"/>
      <c r="Y583" s="5803"/>
    </row>
    <row r="584">
      <c r="A584" s="5812" t="s">
        <v>6278</v>
      </c>
      <c r="B584" s="5812"/>
      <c r="C584" s="5812"/>
      <c r="D584" s="5813"/>
      <c r="E584" s="6115">
        <f>E582</f>
      </c>
      <c r="F584" s="5816"/>
      <c r="G584" s="5836"/>
      <c r="H584" s="5858"/>
      <c r="I584" s="5816"/>
      <c r="J584" s="5813"/>
      <c r="K584" s="5870"/>
      <c r="L584" s="5870"/>
      <c r="M584" s="5870"/>
      <c r="N584" s="5870"/>
      <c r="O584" s="5801"/>
      <c r="P584" s="5801"/>
      <c r="Q584" s="5801"/>
      <c r="R584" s="5801"/>
      <c r="S584" s="5801"/>
      <c r="T584" s="5801"/>
      <c r="U584" s="5803"/>
      <c r="V584" s="5803"/>
      <c r="W584" s="5803"/>
      <c r="X584" s="5803"/>
      <c r="Y584" s="5803"/>
    </row>
    <row r="585">
      <c r="A585" s="5812" t="s">
        <v>6278</v>
      </c>
      <c r="B585" s="5812">
        <v>46228</v>
      </c>
      <c r="C585" s="5812" t="str">
        <v>Saturday</v>
      </c>
      <c r="D585" s="5813" t="s">
        <v>5841</v>
      </c>
      <c r="E585" s="5813">
        <f t="shared" ref="E585:E586" si="98">24*MOD(TIMEVALUE(TRIM(MID(D585,FIND("-",D585)+1,LEN(D585)))) - TIMEVALUE(TRIM(LEFT(D585,FIND("-",D585)-1))),1)</f>
      </c>
      <c r="F585" s="5816" t="s">
        <v>5896</v>
      </c>
      <c r="G585" s="5836"/>
      <c r="H585" s="5858" t="s">
        <v>5794</v>
      </c>
      <c r="I585" s="5813" t="s">
        <v>5795</v>
      </c>
      <c r="J585" s="5813"/>
      <c r="K585" s="5870"/>
      <c r="L585" s="5870"/>
      <c r="M585" s="5870"/>
      <c r="N585" s="5870"/>
      <c r="O585" s="5801"/>
      <c r="P585" s="5801"/>
      <c r="Q585" s="5801"/>
      <c r="R585" s="5801"/>
      <c r="S585" s="5801"/>
      <c r="T585" s="5801"/>
      <c r="U585" s="5803"/>
      <c r="V585" s="5803"/>
      <c r="W585" s="5803"/>
      <c r="X585" s="5803"/>
      <c r="Y585" s="5803"/>
    </row>
    <row r="586">
      <c r="A586" s="6111" t="s">
        <v>6279</v>
      </c>
      <c r="B586" s="6111">
        <v>46228</v>
      </c>
      <c r="C586" s="6111" t="str">
        <v>Saturday</v>
      </c>
      <c r="D586" s="6112" t="s">
        <v>5961</v>
      </c>
      <c r="E586" s="6112">
        <f t="shared" si="98"/>
      </c>
      <c r="F586" s="6112" t="s">
        <v>5893</v>
      </c>
      <c r="G586" s="6113"/>
      <c r="H586" s="6114" t="s">
        <v>5794</v>
      </c>
      <c r="I586" s="5813" t="s">
        <v>5795</v>
      </c>
      <c r="J586" s="6112"/>
      <c r="K586" s="5870"/>
      <c r="L586" s="5870"/>
      <c r="M586" s="5870"/>
      <c r="N586" s="5870"/>
      <c r="O586" s="5801"/>
      <c r="P586" s="5801"/>
      <c r="Q586" s="5801"/>
      <c r="R586" s="5801"/>
      <c r="S586" s="5801"/>
      <c r="T586" s="5801"/>
      <c r="U586" s="5803"/>
      <c r="V586" s="5803"/>
      <c r="W586" s="5803"/>
      <c r="X586" s="5803"/>
      <c r="Y586" s="5803"/>
    </row>
    <row r="587">
      <c r="A587" s="5812" t="s">
        <v>6278</v>
      </c>
      <c r="B587" s="5812"/>
      <c r="C587" s="5812"/>
      <c r="D587" s="5813"/>
      <c r="E587" s="6115">
        <f>E585</f>
      </c>
      <c r="F587" s="5816"/>
      <c r="G587" s="5836"/>
      <c r="H587" s="5858"/>
      <c r="I587" s="5816"/>
      <c r="J587" s="5813"/>
      <c r="K587" s="5870"/>
      <c r="L587" s="5870"/>
      <c r="M587" s="5870"/>
      <c r="N587" s="5870"/>
      <c r="O587" s="5801"/>
      <c r="P587" s="5801"/>
      <c r="Q587" s="5801"/>
      <c r="R587" s="5801"/>
      <c r="S587" s="5801"/>
      <c r="T587" s="5801"/>
      <c r="U587" s="5803"/>
      <c r="V587" s="5803"/>
      <c r="W587" s="5803"/>
      <c r="X587" s="5803"/>
      <c r="Y587" s="5803"/>
    </row>
    <row r="588">
      <c r="A588" s="5812" t="s">
        <v>6278</v>
      </c>
      <c r="B588" s="5812">
        <v>46229</v>
      </c>
      <c r="C588" s="5812" t="str">
        <v>Sunday</v>
      </c>
      <c r="D588" s="5813" t="s">
        <v>5842</v>
      </c>
      <c r="E588" s="5813">
        <f t="shared" ref="E588:E589" si="99">24*MOD(TIMEVALUE(TRIM(MID(D588,FIND("-",D588)+1,LEN(D588)))) - TIMEVALUE(TRIM(LEFT(D588,FIND("-",D588)-1))),1)</f>
      </c>
      <c r="F588" s="5816" t="s">
        <v>6103</v>
      </c>
      <c r="G588" s="5836" t="s">
        <v>6283</v>
      </c>
      <c r="H588" s="5858" t="s">
        <v>5794</v>
      </c>
      <c r="I588" s="5813" t="s">
        <v>5795</v>
      </c>
      <c r="J588" s="5813"/>
      <c r="K588" s="5870"/>
      <c r="L588" s="5870"/>
      <c r="M588" s="5870"/>
      <c r="N588" s="5870"/>
      <c r="O588" s="5801"/>
      <c r="P588" s="5801"/>
      <c r="Q588" s="5801"/>
      <c r="R588" s="5801"/>
      <c r="S588" s="5801"/>
      <c r="T588" s="5801"/>
      <c r="U588" s="5803"/>
      <c r="V588" s="5803"/>
      <c r="W588" s="5803"/>
      <c r="X588" s="5803"/>
      <c r="Y588" s="5803"/>
    </row>
    <row r="589">
      <c r="A589" s="6111" t="s">
        <v>6279</v>
      </c>
      <c r="B589" s="6111">
        <v>46229</v>
      </c>
      <c r="C589" s="6111" t="str">
        <v>Sunday</v>
      </c>
      <c r="D589" s="6112" t="s">
        <v>5842</v>
      </c>
      <c r="E589" s="6112">
        <f t="shared" si="99"/>
      </c>
      <c r="F589" s="6112"/>
      <c r="G589" s="6113"/>
      <c r="H589" s="6114" t="s">
        <v>5794</v>
      </c>
      <c r="I589" s="5813" t="s">
        <v>5881</v>
      </c>
      <c r="J589" s="6112"/>
      <c r="K589" s="5870"/>
      <c r="L589" s="5870"/>
      <c r="M589" s="5870"/>
      <c r="N589" s="5870"/>
      <c r="O589" s="5801"/>
      <c r="P589" s="5801"/>
      <c r="Q589" s="5801"/>
      <c r="R589" s="5801"/>
      <c r="S589" s="5801"/>
      <c r="T589" s="5801"/>
      <c r="U589" s="5803"/>
      <c r="V589" s="5803"/>
      <c r="W589" s="5803"/>
      <c r="X589" s="5803"/>
      <c r="Y589" s="5803"/>
    </row>
    <row r="590">
      <c r="A590" s="5812"/>
      <c r="B590" s="5812"/>
      <c r="C590" s="5812"/>
      <c r="D590" s="5813"/>
      <c r="E590" s="6115">
        <f>E588</f>
      </c>
      <c r="F590" s="5816"/>
      <c r="G590" s="5836"/>
      <c r="H590" s="5858"/>
      <c r="I590" s="5813"/>
      <c r="J590" s="5813"/>
      <c r="K590" s="5870"/>
      <c r="L590" s="5870"/>
      <c r="M590" s="5870"/>
      <c r="N590" s="5870"/>
      <c r="O590" s="5801"/>
      <c r="P590" s="5801"/>
      <c r="Q590" s="5801"/>
      <c r="R590" s="5801"/>
      <c r="S590" s="5801"/>
      <c r="T590" s="5801"/>
      <c r="U590" s="5803"/>
      <c r="V590" s="5803"/>
      <c r="W590" s="5803"/>
      <c r="X590" s="5803"/>
      <c r="Y590" s="5803"/>
    </row>
    <row r="591">
      <c r="A591" s="5812"/>
      <c r="B591" s="5812"/>
      <c r="C591" s="5812"/>
      <c r="D591" s="5813"/>
      <c r="E591" s="6115"/>
      <c r="F591" s="5816"/>
      <c r="G591" s="5836"/>
      <c r="H591" s="5858"/>
      <c r="I591" s="5813"/>
      <c r="J591" s="5813"/>
      <c r="K591" s="5870"/>
      <c r="L591" s="5870"/>
      <c r="M591" s="5870"/>
      <c r="N591" s="5870"/>
      <c r="O591" s="5801"/>
      <c r="P591" s="5801"/>
      <c r="Q591" s="5801"/>
      <c r="R591" s="5801"/>
      <c r="S591" s="5801"/>
      <c r="T591" s="5801"/>
      <c r="U591" s="5803"/>
      <c r="V591" s="5803"/>
      <c r="W591" s="5803"/>
      <c r="X591" s="5803"/>
      <c r="Y591" s="5803"/>
    </row>
    <row r="592">
      <c r="A592" s="5916"/>
      <c r="B592" s="5812"/>
      <c r="C592" s="5812"/>
      <c r="D592" s="5813"/>
      <c r="E592" s="5813"/>
      <c r="F592" s="5813"/>
      <c r="G592" s="5836"/>
      <c r="H592" s="5858"/>
      <c r="I592" s="5813"/>
      <c r="J592" s="5813"/>
      <c r="K592" s="5870"/>
      <c r="L592" s="5870"/>
      <c r="M592" s="5870"/>
      <c r="N592" s="5870"/>
      <c r="O592" s="5801"/>
      <c r="P592" s="5801"/>
      <c r="Q592" s="5801"/>
      <c r="R592" s="5801"/>
      <c r="S592" s="5801"/>
      <c r="T592" s="5801"/>
      <c r="U592" s="5803"/>
      <c r="V592" s="5803"/>
      <c r="W592" s="5803"/>
      <c r="X592" s="5803"/>
      <c r="Y592" s="5803"/>
    </row>
    <row r="593">
      <c r="A593" s="5812"/>
      <c r="B593" s="5812"/>
      <c r="C593" s="5812"/>
      <c r="D593" s="5813"/>
      <c r="E593" s="5813"/>
      <c r="F593" s="5813"/>
      <c r="G593" s="5836"/>
      <c r="H593" s="5858"/>
      <c r="I593" s="5813"/>
      <c r="J593" s="5813"/>
      <c r="K593" s="5870"/>
      <c r="L593" s="5870"/>
      <c r="M593" s="5870"/>
      <c r="N593" s="5870"/>
      <c r="O593" s="5801"/>
      <c r="P593" s="5801"/>
      <c r="Q593" s="5801"/>
      <c r="R593" s="5801"/>
      <c r="S593" s="5801"/>
      <c r="T593" s="5801"/>
      <c r="U593" s="5803"/>
      <c r="V593" s="5803"/>
      <c r="W593" s="5803"/>
      <c r="X593" s="5803"/>
      <c r="Y593" s="5803"/>
    </row>
    <row r="594">
      <c r="A594" s="5812" t="s">
        <v>6284</v>
      </c>
      <c r="B594" s="5812">
        <v>46226</v>
      </c>
      <c r="C594" s="5812" t="str">
        <v>Thursday</v>
      </c>
      <c r="D594" s="5816" t="s">
        <v>6285</v>
      </c>
      <c r="E594" s="5816">
        <f t="shared" ref="E594:E599" si="100">24*MOD(TIMEVALUE(TRIM(MID(D594,FIND("-",D594)+1,LEN(D594)))) - TIMEVALUE(TRIM(LEFT(D594,FIND("-",D594)-1))),1)</f>
      </c>
      <c r="F594" s="5813" t="s">
        <v>5896</v>
      </c>
      <c r="G594" s="5876" t="s">
        <v>6286</v>
      </c>
      <c r="H594" s="5857" t="s">
        <v>5794</v>
      </c>
      <c r="I594" s="5813" t="s">
        <v>5795</v>
      </c>
      <c r="J594" s="5816"/>
      <c r="K594" s="5870"/>
      <c r="L594" s="5870"/>
      <c r="M594" s="5870"/>
      <c r="N594" s="5870"/>
      <c r="O594" s="5801"/>
      <c r="P594" s="5801"/>
      <c r="Q594" s="5801"/>
      <c r="R594" s="5801"/>
      <c r="S594" s="5801"/>
      <c r="T594" s="5801"/>
      <c r="U594" s="5803"/>
      <c r="V594" s="5803"/>
      <c r="W594" s="5803"/>
      <c r="X594" s="5803"/>
      <c r="Y594" s="5803"/>
    </row>
    <row r="595">
      <c r="A595" s="5812" t="s">
        <v>6284</v>
      </c>
      <c r="B595" s="5812">
        <v>46227</v>
      </c>
      <c r="C595" s="5812" t="str">
        <v>Friday</v>
      </c>
      <c r="D595" s="5816" t="s">
        <v>5864</v>
      </c>
      <c r="E595" s="5816">
        <f t="shared" si="100"/>
      </c>
      <c r="F595" s="5813" t="s">
        <v>5893</v>
      </c>
      <c r="G595" s="5876" t="s">
        <v>6287</v>
      </c>
      <c r="H595" s="5857" t="s">
        <v>5794</v>
      </c>
      <c r="I595" s="5813" t="s">
        <v>5795</v>
      </c>
      <c r="J595" s="5816"/>
      <c r="K595" s="5870"/>
      <c r="L595" s="5870"/>
      <c r="M595" s="5870"/>
      <c r="N595" s="5870"/>
      <c r="O595" s="5801"/>
      <c r="P595" s="5801"/>
      <c r="Q595" s="5801"/>
      <c r="R595" s="5801"/>
      <c r="S595" s="5801"/>
      <c r="T595" s="5801"/>
      <c r="U595" s="5803"/>
      <c r="V595" s="5803"/>
      <c r="W595" s="5803"/>
      <c r="X595" s="5803"/>
      <c r="Y595" s="5803"/>
    </row>
    <row r="596">
      <c r="A596" s="5812" t="s">
        <v>6284</v>
      </c>
      <c r="B596" s="5812">
        <v>46217</v>
      </c>
      <c r="C596" s="5812" t="str">
        <v>Tuesday</v>
      </c>
      <c r="D596" s="5816" t="s">
        <v>5815</v>
      </c>
      <c r="E596" s="5816">
        <f t="shared" si="100"/>
      </c>
      <c r="F596" s="5813"/>
      <c r="G596" s="5876"/>
      <c r="H596" s="5857" t="s">
        <v>5794</v>
      </c>
      <c r="I596" s="5813" t="s">
        <v>5881</v>
      </c>
      <c r="J596" s="5816"/>
      <c r="K596" s="5870"/>
      <c r="L596" s="5870"/>
      <c r="M596" s="5870"/>
      <c r="N596" s="5870"/>
      <c r="O596" s="5801"/>
      <c r="P596" s="5801"/>
      <c r="Q596" s="5801"/>
      <c r="R596" s="5801"/>
      <c r="S596" s="5801"/>
      <c r="T596" s="5801"/>
      <c r="U596" s="5803"/>
      <c r="V596" s="5803"/>
      <c r="W596" s="5803"/>
      <c r="X596" s="5803"/>
      <c r="Y596" s="5803"/>
    </row>
    <row r="597">
      <c r="A597" s="5812" t="s">
        <v>6284</v>
      </c>
      <c r="B597" s="5812">
        <v>46219</v>
      </c>
      <c r="C597" s="5812" t="str">
        <v>Thursday</v>
      </c>
      <c r="D597" s="5816" t="s">
        <v>5829</v>
      </c>
      <c r="E597" s="5816">
        <f t="shared" si="100"/>
      </c>
      <c r="F597" s="5813"/>
      <c r="G597" s="5876"/>
      <c r="H597" s="5857" t="s">
        <v>5794</v>
      </c>
      <c r="I597" s="5813" t="s">
        <v>5881</v>
      </c>
      <c r="J597" s="5816"/>
      <c r="K597" s="5870"/>
      <c r="L597" s="5870"/>
      <c r="M597" s="5870"/>
      <c r="N597" s="5870"/>
      <c r="O597" s="5801"/>
      <c r="P597" s="5801"/>
      <c r="Q597" s="5801"/>
      <c r="R597" s="5801"/>
      <c r="S597" s="5801"/>
      <c r="T597" s="5801"/>
      <c r="U597" s="5803"/>
      <c r="V597" s="5803"/>
      <c r="W597" s="5803"/>
      <c r="X597" s="5803"/>
      <c r="Y597" s="5803"/>
    </row>
    <row r="598">
      <c r="A598" s="5812" t="s">
        <v>6284</v>
      </c>
      <c r="B598" s="5812">
        <v>46220</v>
      </c>
      <c r="C598" s="5812" t="str">
        <v>Friday</v>
      </c>
      <c r="D598" s="5816" t="s">
        <v>5815</v>
      </c>
      <c r="E598" s="5816">
        <f t="shared" si="100"/>
      </c>
      <c r="F598" s="5813"/>
      <c r="G598" s="5876"/>
      <c r="H598" s="5857" t="s">
        <v>5794</v>
      </c>
      <c r="I598" s="5813" t="s">
        <v>5881</v>
      </c>
      <c r="J598" s="5816"/>
      <c r="K598" s="5870"/>
      <c r="L598" s="5870"/>
      <c r="M598" s="5870"/>
      <c r="N598" s="5870"/>
      <c r="O598" s="5801"/>
      <c r="P598" s="5801"/>
      <c r="Q598" s="5801"/>
      <c r="R598" s="5801"/>
      <c r="S598" s="5801"/>
      <c r="T598" s="5801"/>
      <c r="U598" s="5803"/>
      <c r="V598" s="5803"/>
      <c r="W598" s="5803"/>
      <c r="X598" s="5803"/>
      <c r="Y598" s="5803"/>
    </row>
    <row r="599">
      <c r="A599" s="5812" t="s">
        <v>6284</v>
      </c>
      <c r="B599" s="5812">
        <v>46219</v>
      </c>
      <c r="C599" s="5812" t="str">
        <v>Thursday</v>
      </c>
      <c r="D599" s="5816" t="s">
        <v>6288</v>
      </c>
      <c r="E599" s="5816">
        <f t="shared" si="100"/>
      </c>
      <c r="F599" s="5813"/>
      <c r="G599" s="5876"/>
      <c r="H599" s="5857" t="s">
        <v>5794</v>
      </c>
      <c r="I599" s="5813" t="s">
        <v>5881</v>
      </c>
      <c r="J599" s="5816"/>
      <c r="K599" s="5870"/>
      <c r="L599" s="5870"/>
      <c r="M599" s="5870"/>
      <c r="N599" s="5870"/>
      <c r="O599" s="5801"/>
      <c r="P599" s="5801"/>
      <c r="Q599" s="5801"/>
      <c r="R599" s="5801"/>
      <c r="S599" s="5801"/>
      <c r="T599" s="5801"/>
      <c r="U599" s="5803"/>
      <c r="V599" s="5803"/>
      <c r="W599" s="5803"/>
      <c r="X599" s="5803"/>
      <c r="Y599" s="5803"/>
    </row>
    <row r="600">
      <c r="A600" s="5987"/>
      <c r="B600" s="5987"/>
      <c r="C600" s="5987"/>
      <c r="D600" s="5987"/>
      <c r="E600" s="5987"/>
      <c r="F600" s="5987"/>
      <c r="G600" s="6033"/>
      <c r="H600" s="5987"/>
      <c r="I600" s="5987"/>
      <c r="J600" s="5987"/>
      <c r="K600" s="5870"/>
      <c r="L600" s="5870"/>
      <c r="M600" s="5870"/>
      <c r="N600" s="5870"/>
      <c r="O600" s="5801"/>
      <c r="P600" s="5801"/>
      <c r="Q600" s="5801"/>
      <c r="R600" s="5801"/>
      <c r="S600" s="5801"/>
      <c r="T600" s="5801"/>
      <c r="U600" s="5803"/>
      <c r="V600" s="5803"/>
      <c r="W600" s="5803"/>
      <c r="X600" s="5803"/>
      <c r="Y600" s="5803"/>
    </row>
    <row r="601">
      <c r="A601" s="6116" t="s">
        <v>6289</v>
      </c>
      <c r="B601" s="6116"/>
      <c r="C601" s="6116"/>
      <c r="D601" s="6116"/>
      <c r="E601" s="6116"/>
      <c r="F601" s="6116"/>
      <c r="G601" s="6116"/>
      <c r="H601" s="6116"/>
      <c r="I601" s="6116"/>
      <c r="J601" s="6116"/>
      <c r="K601" s="5870"/>
      <c r="L601" s="5870"/>
      <c r="M601" s="5870"/>
      <c r="N601" s="5870"/>
      <c r="O601" s="5801"/>
      <c r="P601" s="5801"/>
      <c r="Q601" s="5801"/>
      <c r="R601" s="5801"/>
      <c r="S601" s="5801"/>
      <c r="T601" s="5801"/>
      <c r="U601" s="5803"/>
      <c r="V601" s="5803"/>
      <c r="W601" s="5803"/>
      <c r="X601" s="5803"/>
      <c r="Y601" s="5803"/>
    </row>
    <row r="602">
      <c r="A602" s="6117" t="s">
        <v>6290</v>
      </c>
      <c r="B602" s="6118" t="s">
        <v>5783</v>
      </c>
      <c r="C602" s="6118"/>
      <c r="D602" s="6119" t="s">
        <v>5784</v>
      </c>
      <c r="E602" s="6119" t="s">
        <v>5785</v>
      </c>
      <c r="F602" s="6119"/>
      <c r="G602" s="6120"/>
      <c r="H602" s="6119" t="s">
        <v>5788</v>
      </c>
      <c r="I602" s="6119" t="s">
        <v>5789</v>
      </c>
      <c r="J602" s="6119" t="s">
        <v>5790</v>
      </c>
      <c r="K602" s="5870"/>
      <c r="L602" s="5870"/>
      <c r="M602" s="5870"/>
      <c r="N602" s="5870"/>
      <c r="O602" s="5801"/>
      <c r="P602" s="5801"/>
      <c r="Q602" s="5801"/>
      <c r="R602" s="5801"/>
      <c r="S602" s="5801"/>
      <c r="T602" s="5801"/>
      <c r="U602" s="5803"/>
      <c r="V602" s="5803"/>
      <c r="W602" s="5803"/>
      <c r="X602" s="5803"/>
      <c r="Y602" s="5803"/>
    </row>
    <row r="603">
      <c r="A603" s="5812" t="s">
        <v>6290</v>
      </c>
      <c r="B603" s="5812">
        <v>46217</v>
      </c>
      <c r="C603" s="5812" t="str">
        <v>Tuesday</v>
      </c>
      <c r="D603" s="5813" t="s">
        <v>6280</v>
      </c>
      <c r="E603" s="5816">
        <f t="shared" ref="E603:E614" si="101">24*MOD(TIMEVALUE(TRIM(MID(D603,FIND("-",D603)+1,LEN(D603)))) - TIMEVALUE(TRIM(LEFT(D603,FIND("-",D603)-1))),1)</f>
      </c>
      <c r="F603" s="5813"/>
      <c r="G603" s="5876"/>
      <c r="H603" s="5816" t="s">
        <v>5794</v>
      </c>
      <c r="I603" s="5816" t="s">
        <v>5881</v>
      </c>
      <c r="J603" s="5816"/>
      <c r="K603" s="5870"/>
      <c r="L603" s="5870"/>
      <c r="M603" s="5870"/>
      <c r="N603" s="5870"/>
      <c r="O603" s="5801"/>
      <c r="P603" s="5801"/>
      <c r="Q603" s="5801"/>
      <c r="R603" s="5801"/>
      <c r="S603" s="5801"/>
      <c r="T603" s="5801"/>
      <c r="U603" s="5803"/>
      <c r="V603" s="5803"/>
      <c r="W603" s="5803"/>
      <c r="X603" s="5803"/>
      <c r="Y603" s="5803"/>
    </row>
    <row r="604">
      <c r="A604" s="6044" t="s">
        <v>6291</v>
      </c>
      <c r="B604" s="6044">
        <v>46217</v>
      </c>
      <c r="C604" s="6044" t="str">
        <v>Tuesday</v>
      </c>
      <c r="D604" s="6045" t="s">
        <v>6280</v>
      </c>
      <c r="E604" s="6045">
        <f t="shared" si="101"/>
      </c>
      <c r="F604" s="6045"/>
      <c r="G604" s="6046"/>
      <c r="H604" s="6045" t="s">
        <v>5794</v>
      </c>
      <c r="I604" s="5816" t="s">
        <v>5881</v>
      </c>
      <c r="J604" s="6045"/>
      <c r="K604" s="5870"/>
      <c r="L604" s="5870"/>
      <c r="M604" s="5870"/>
      <c r="N604" s="5870"/>
      <c r="O604" s="5801"/>
      <c r="P604" s="5801"/>
      <c r="Q604" s="5801"/>
      <c r="R604" s="5801"/>
      <c r="S604" s="5801"/>
      <c r="T604" s="5801"/>
      <c r="U604" s="5803"/>
      <c r="V604" s="5803"/>
      <c r="W604" s="5803"/>
      <c r="X604" s="5803"/>
      <c r="Y604" s="5803"/>
    </row>
    <row r="605">
      <c r="A605" s="5812" t="s">
        <v>6290</v>
      </c>
      <c r="B605" s="5812">
        <v>46218</v>
      </c>
      <c r="C605" s="5812" t="str">
        <v>Wednesday</v>
      </c>
      <c r="D605" s="5813" t="s">
        <v>6280</v>
      </c>
      <c r="E605" s="5816">
        <f t="shared" si="101"/>
      </c>
      <c r="F605" s="5813"/>
      <c r="G605" s="5876"/>
      <c r="H605" s="5816" t="s">
        <v>5794</v>
      </c>
      <c r="I605" s="5816" t="s">
        <v>5881</v>
      </c>
      <c r="J605" s="5816"/>
      <c r="K605" s="5870"/>
      <c r="L605" s="5870"/>
      <c r="M605" s="5870"/>
      <c r="N605" s="5870"/>
      <c r="O605" s="5801"/>
      <c r="P605" s="5801"/>
      <c r="Q605" s="5801"/>
      <c r="R605" s="5801"/>
      <c r="S605" s="5801"/>
      <c r="T605" s="5801"/>
      <c r="U605" s="5803"/>
      <c r="V605" s="5803"/>
      <c r="W605" s="5803"/>
      <c r="X605" s="5803"/>
      <c r="Y605" s="5803"/>
    </row>
    <row r="606">
      <c r="A606" s="6044" t="s">
        <v>6291</v>
      </c>
      <c r="B606" s="6044">
        <v>46218</v>
      </c>
      <c r="C606" s="6044" t="str">
        <v>Wednesday</v>
      </c>
      <c r="D606" s="6045" t="s">
        <v>6280</v>
      </c>
      <c r="E606" s="6045">
        <f t="shared" si="101"/>
      </c>
      <c r="F606" s="6045"/>
      <c r="G606" s="6046"/>
      <c r="H606" s="6045" t="s">
        <v>5794</v>
      </c>
      <c r="I606" s="5816" t="s">
        <v>5881</v>
      </c>
      <c r="J606" s="6045"/>
      <c r="K606" s="5870"/>
      <c r="L606" s="5870"/>
      <c r="M606" s="5870"/>
      <c r="N606" s="5870"/>
      <c r="O606" s="5801"/>
      <c r="P606" s="5801"/>
      <c r="Q606" s="5801"/>
      <c r="R606" s="5801"/>
      <c r="S606" s="5801"/>
      <c r="T606" s="5801"/>
      <c r="U606" s="5803"/>
      <c r="V606" s="5803"/>
      <c r="W606" s="5803"/>
      <c r="X606" s="5803"/>
      <c r="Y606" s="5803"/>
    </row>
    <row r="607">
      <c r="A607" s="5812" t="s">
        <v>6290</v>
      </c>
      <c r="B607" s="5812">
        <v>46219</v>
      </c>
      <c r="C607" s="5812" t="str">
        <v>Thursday</v>
      </c>
      <c r="D607" s="5813" t="s">
        <v>6280</v>
      </c>
      <c r="E607" s="5816">
        <f t="shared" si="101"/>
      </c>
      <c r="F607" s="5813"/>
      <c r="G607" s="5876"/>
      <c r="H607" s="5816" t="s">
        <v>5794</v>
      </c>
      <c r="I607" s="5816" t="s">
        <v>5881</v>
      </c>
      <c r="J607" s="5816"/>
      <c r="K607" s="5870"/>
      <c r="L607" s="5870"/>
      <c r="M607" s="5870"/>
      <c r="N607" s="5870"/>
      <c r="O607" s="5801"/>
      <c r="P607" s="5801"/>
      <c r="Q607" s="5801"/>
      <c r="R607" s="5801"/>
      <c r="S607" s="5801"/>
      <c r="T607" s="5801"/>
      <c r="U607" s="5803"/>
      <c r="V607" s="5803"/>
      <c r="W607" s="5803"/>
      <c r="X607" s="5803"/>
      <c r="Y607" s="5803"/>
    </row>
    <row r="608">
      <c r="A608" s="6044" t="s">
        <v>6291</v>
      </c>
      <c r="B608" s="6044">
        <v>46219</v>
      </c>
      <c r="C608" s="6044" t="str">
        <v>Thursday</v>
      </c>
      <c r="D608" s="6045" t="s">
        <v>6280</v>
      </c>
      <c r="E608" s="6045">
        <f t="shared" si="101"/>
      </c>
      <c r="F608" s="6045"/>
      <c r="G608" s="6046"/>
      <c r="H608" s="6045" t="s">
        <v>5794</v>
      </c>
      <c r="I608" s="5816" t="s">
        <v>5881</v>
      </c>
      <c r="J608" s="6045"/>
      <c r="K608" s="5870"/>
      <c r="L608" s="5870"/>
      <c r="M608" s="5870"/>
      <c r="N608" s="5870"/>
      <c r="O608" s="5801"/>
      <c r="P608" s="5801"/>
      <c r="Q608" s="5801"/>
      <c r="R608" s="5801"/>
      <c r="S608" s="5801"/>
      <c r="T608" s="5801"/>
      <c r="U608" s="5803"/>
      <c r="V608" s="5803"/>
      <c r="W608" s="5803"/>
      <c r="X608" s="5803"/>
      <c r="Y608" s="5803"/>
    </row>
    <row r="609">
      <c r="A609" s="5812" t="s">
        <v>6290</v>
      </c>
      <c r="B609" s="5812">
        <v>46220</v>
      </c>
      <c r="C609" s="5812" t="str">
        <v>Friday</v>
      </c>
      <c r="D609" s="5813" t="s">
        <v>6280</v>
      </c>
      <c r="E609" s="5816">
        <f t="shared" si="101"/>
      </c>
      <c r="F609" s="5813"/>
      <c r="G609" s="5876"/>
      <c r="H609" s="5816" t="s">
        <v>5794</v>
      </c>
      <c r="I609" s="5816" t="s">
        <v>5881</v>
      </c>
      <c r="J609" s="5816"/>
      <c r="K609" s="5870"/>
      <c r="L609" s="5870"/>
      <c r="M609" s="5870"/>
      <c r="N609" s="5870"/>
      <c r="O609" s="5801"/>
      <c r="P609" s="5801"/>
      <c r="Q609" s="5801"/>
      <c r="R609" s="5801"/>
      <c r="S609" s="5801"/>
      <c r="T609" s="5801"/>
      <c r="U609" s="5803"/>
      <c r="V609" s="5803"/>
      <c r="W609" s="5803"/>
      <c r="X609" s="5803"/>
      <c r="Y609" s="5803"/>
    </row>
    <row r="610">
      <c r="A610" s="6044" t="s">
        <v>6291</v>
      </c>
      <c r="B610" s="6044">
        <v>46220</v>
      </c>
      <c r="C610" s="6044" t="str">
        <v>Friday</v>
      </c>
      <c r="D610" s="6045" t="s">
        <v>6280</v>
      </c>
      <c r="E610" s="6045">
        <f t="shared" si="101"/>
      </c>
      <c r="F610" s="6045"/>
      <c r="G610" s="6046"/>
      <c r="H610" s="6045" t="s">
        <v>5794</v>
      </c>
      <c r="I610" s="5816" t="s">
        <v>5881</v>
      </c>
      <c r="J610" s="6045"/>
      <c r="K610" s="5870"/>
      <c r="L610" s="5870"/>
      <c r="M610" s="5870"/>
      <c r="N610" s="5870"/>
      <c r="O610" s="5801"/>
      <c r="P610" s="5801"/>
      <c r="Q610" s="5801"/>
      <c r="R610" s="5801"/>
      <c r="S610" s="5801"/>
      <c r="T610" s="5801"/>
      <c r="U610" s="5803"/>
      <c r="V610" s="5803"/>
      <c r="W610" s="5803"/>
      <c r="X610" s="5803"/>
      <c r="Y610" s="5803"/>
    </row>
    <row r="611">
      <c r="A611" s="5812" t="s">
        <v>6290</v>
      </c>
      <c r="B611" s="5812">
        <v>46221</v>
      </c>
      <c r="C611" s="5812" t="str">
        <v>Saturday</v>
      </c>
      <c r="D611" s="5813" t="s">
        <v>6280</v>
      </c>
      <c r="E611" s="5816">
        <f t="shared" si="101"/>
      </c>
      <c r="F611" s="5813"/>
      <c r="G611" s="5876"/>
      <c r="H611" s="5816" t="s">
        <v>5794</v>
      </c>
      <c r="I611" s="5816" t="s">
        <v>5881</v>
      </c>
      <c r="J611" s="5816"/>
      <c r="K611" s="5870"/>
      <c r="L611" s="5870"/>
      <c r="M611" s="5870"/>
      <c r="N611" s="5870"/>
      <c r="O611" s="5801"/>
      <c r="P611" s="5801"/>
      <c r="Q611" s="5801"/>
      <c r="R611" s="5801"/>
      <c r="S611" s="5801"/>
      <c r="T611" s="5801"/>
      <c r="U611" s="5803"/>
      <c r="V611" s="5803"/>
      <c r="W611" s="5803"/>
      <c r="X611" s="5803"/>
      <c r="Y611" s="5803"/>
    </row>
    <row r="612">
      <c r="A612" s="6044" t="s">
        <v>6291</v>
      </c>
      <c r="B612" s="6044">
        <v>46221</v>
      </c>
      <c r="C612" s="6044" t="str">
        <v>Saturday</v>
      </c>
      <c r="D612" s="6045" t="s">
        <v>6280</v>
      </c>
      <c r="E612" s="6045">
        <f t="shared" si="101"/>
      </c>
      <c r="F612" s="6045"/>
      <c r="G612" s="6046"/>
      <c r="H612" s="6045" t="s">
        <v>5794</v>
      </c>
      <c r="I612" s="5816" t="s">
        <v>5881</v>
      </c>
      <c r="J612" s="6045"/>
      <c r="K612" s="5870"/>
      <c r="L612" s="5870"/>
      <c r="M612" s="5870"/>
      <c r="N612" s="5870"/>
      <c r="O612" s="5801"/>
      <c r="P612" s="5801"/>
      <c r="Q612" s="5801"/>
      <c r="R612" s="5801"/>
      <c r="S612" s="5801"/>
      <c r="T612" s="5801"/>
      <c r="U612" s="5803"/>
      <c r="V612" s="5803"/>
      <c r="W612" s="5803"/>
      <c r="X612" s="5803"/>
      <c r="Y612" s="5803"/>
    </row>
    <row r="613">
      <c r="A613" s="5812" t="s">
        <v>6290</v>
      </c>
      <c r="B613" s="5812">
        <v>46222</v>
      </c>
      <c r="C613" s="5812" t="str">
        <v>Sunday</v>
      </c>
      <c r="D613" s="5813" t="s">
        <v>6280</v>
      </c>
      <c r="E613" s="5816">
        <f t="shared" si="101"/>
      </c>
      <c r="F613" s="5813"/>
      <c r="G613" s="5876"/>
      <c r="H613" s="5816" t="s">
        <v>5794</v>
      </c>
      <c r="I613" s="5816" t="s">
        <v>5881</v>
      </c>
      <c r="J613" s="5816"/>
      <c r="K613" s="5870"/>
      <c r="L613" s="5870"/>
      <c r="M613" s="5870"/>
      <c r="N613" s="5870"/>
      <c r="O613" s="5801"/>
      <c r="P613" s="5801"/>
      <c r="Q613" s="5801"/>
      <c r="R613" s="5801"/>
      <c r="S613" s="5801"/>
      <c r="T613" s="5801"/>
      <c r="U613" s="5803"/>
      <c r="V613" s="5803"/>
      <c r="W613" s="5803"/>
      <c r="X613" s="5803"/>
      <c r="Y613" s="5803"/>
    </row>
    <row r="614">
      <c r="A614" s="6044" t="s">
        <v>6291</v>
      </c>
      <c r="B614" s="6044">
        <v>46222</v>
      </c>
      <c r="C614" s="6044" t="str">
        <v>Sunday</v>
      </c>
      <c r="D614" s="6045" t="s">
        <v>6280</v>
      </c>
      <c r="E614" s="6045">
        <f t="shared" si="101"/>
      </c>
      <c r="F614" s="6045"/>
      <c r="G614" s="6046"/>
      <c r="H614" s="6045" t="s">
        <v>5794</v>
      </c>
      <c r="I614" s="5816" t="s">
        <v>5881</v>
      </c>
      <c r="J614" s="6045"/>
      <c r="K614" s="5870"/>
      <c r="L614" s="5870"/>
      <c r="M614" s="5870"/>
      <c r="N614" s="5870"/>
      <c r="O614" s="5801"/>
      <c r="P614" s="5801"/>
      <c r="Q614" s="5801"/>
      <c r="R614" s="5801"/>
      <c r="S614" s="5801"/>
      <c r="T614" s="5801"/>
      <c r="U614" s="5803"/>
      <c r="V614" s="5803"/>
      <c r="W614" s="5803"/>
      <c r="X614" s="5803"/>
      <c r="Y614" s="5803"/>
    </row>
    <row r="615">
      <c r="A615" s="5812"/>
      <c r="B615" s="5812"/>
      <c r="C615" s="5812"/>
      <c r="D615" s="5812"/>
      <c r="E615" s="5812"/>
      <c r="F615" s="5812"/>
      <c r="G615" s="5812"/>
      <c r="H615" s="5812"/>
      <c r="I615" s="5812"/>
      <c r="J615" s="5812"/>
      <c r="K615" s="5870"/>
      <c r="L615" s="5870"/>
      <c r="M615" s="5870"/>
      <c r="N615" s="5870"/>
      <c r="O615" s="5801"/>
      <c r="P615" s="5801"/>
      <c r="Q615" s="5801"/>
      <c r="R615" s="5801"/>
      <c r="S615" s="5801"/>
      <c r="T615" s="5801"/>
      <c r="U615" s="5803"/>
      <c r="V615" s="5803"/>
      <c r="W615" s="5803"/>
      <c r="X615" s="5803"/>
      <c r="Y615" s="5803"/>
    </row>
    <row r="616">
      <c r="A616" s="5812" t="s">
        <v>6292</v>
      </c>
      <c r="B616" s="5812">
        <v>46218</v>
      </c>
      <c r="C616" s="5812" t="str">
        <v>Wednesday</v>
      </c>
      <c r="D616" s="5816" t="s">
        <v>6288</v>
      </c>
      <c r="E616" s="5816">
        <f t="shared" ref="E616:E617" si="102">24*MOD(TIMEVALUE(TRIM(MID(D616,FIND("-",D616)+1,LEN(D616)))) - TIMEVALUE(TRIM(LEFT(D616,FIND("-",D616)-1))),1)</f>
      </c>
      <c r="F616" s="5816"/>
      <c r="G616" s="5876"/>
      <c r="H616" s="5816" t="s">
        <v>5794</v>
      </c>
      <c r="I616" s="5816" t="s">
        <v>5881</v>
      </c>
      <c r="J616" s="5816"/>
      <c r="K616" s="5870"/>
      <c r="L616" s="5870"/>
      <c r="M616" s="5870"/>
      <c r="N616" s="5870"/>
      <c r="O616" s="5801"/>
      <c r="P616" s="5801"/>
      <c r="Q616" s="5801"/>
      <c r="R616" s="5801"/>
      <c r="S616" s="5801"/>
      <c r="T616" s="5801"/>
      <c r="U616" s="5803"/>
      <c r="V616" s="5803"/>
      <c r="W616" s="5803"/>
      <c r="X616" s="5803"/>
      <c r="Y616" s="5803"/>
    </row>
    <row r="617">
      <c r="A617" s="5812" t="s">
        <v>6292</v>
      </c>
      <c r="B617" s="5812">
        <v>46180</v>
      </c>
      <c r="C617" s="5812" t="str">
        <v>Sunday</v>
      </c>
      <c r="D617" s="5816" t="s">
        <v>5845</v>
      </c>
      <c r="E617" s="5816">
        <f t="shared" si="102"/>
      </c>
      <c r="F617" s="5816"/>
      <c r="G617" s="5877"/>
      <c r="H617" s="5816" t="s">
        <v>5794</v>
      </c>
      <c r="I617" s="5816" t="s">
        <v>5881</v>
      </c>
      <c r="J617" s="5848"/>
      <c r="K617" s="5870"/>
      <c r="L617" s="5870"/>
      <c r="M617" s="5870"/>
      <c r="N617" s="5870"/>
      <c r="O617" s="5801"/>
      <c r="P617" s="5801"/>
      <c r="Q617" s="5801"/>
      <c r="R617" s="5801"/>
      <c r="S617" s="5801"/>
      <c r="T617" s="5801"/>
      <c r="U617" s="5803"/>
      <c r="V617" s="5803"/>
      <c r="W617" s="5803"/>
      <c r="X617" s="5803"/>
      <c r="Y617" s="5803"/>
    </row>
    <row r="618">
      <c r="A618" s="5812"/>
      <c r="B618" s="5812"/>
      <c r="C618" s="5812"/>
      <c r="D618" s="5816"/>
      <c r="E618" s="5848"/>
      <c r="F618" s="5848"/>
      <c r="G618" s="5877"/>
      <c r="H618" s="5816"/>
      <c r="I618" s="5816"/>
      <c r="J618" s="5848"/>
      <c r="K618" s="5870"/>
      <c r="L618" s="5870"/>
      <c r="M618" s="5870"/>
      <c r="N618" s="5870"/>
      <c r="O618" s="5801"/>
      <c r="P618" s="5801"/>
      <c r="Q618" s="5801"/>
      <c r="R618" s="5801"/>
      <c r="S618" s="5801"/>
      <c r="T618" s="5801"/>
      <c r="U618" s="5803"/>
      <c r="V618" s="5803"/>
      <c r="W618" s="5803"/>
      <c r="X618" s="5803"/>
      <c r="Y618" s="5803"/>
    </row>
    <row r="619">
      <c r="A619" s="5987"/>
      <c r="B619" s="5987"/>
      <c r="C619" s="5987"/>
      <c r="D619" s="5987"/>
      <c r="E619" s="5987"/>
      <c r="F619" s="5987"/>
      <c r="G619" s="6033"/>
      <c r="H619" s="5987"/>
      <c r="I619" s="5987"/>
      <c r="J619" s="5987"/>
      <c r="K619" s="5870"/>
      <c r="L619" s="5870"/>
      <c r="M619" s="5870"/>
      <c r="N619" s="5870"/>
      <c r="O619" s="5801"/>
      <c r="P619" s="5801"/>
      <c r="Q619" s="5801"/>
      <c r="R619" s="5801"/>
      <c r="S619" s="5801"/>
      <c r="T619" s="5801"/>
      <c r="U619" s="5803"/>
      <c r="V619" s="5803"/>
      <c r="W619" s="5803"/>
      <c r="X619" s="5803"/>
      <c r="Y619" s="5803"/>
    </row>
    <row r="620">
      <c r="A620" s="6121" t="s">
        <v>6293</v>
      </c>
      <c r="B620" s="6121"/>
      <c r="C620" s="6121"/>
      <c r="D620" s="6121"/>
      <c r="E620" s="6121"/>
      <c r="F620" s="6121"/>
      <c r="G620" s="6121"/>
      <c r="H620" s="6121"/>
      <c r="I620" s="6121"/>
      <c r="J620" s="6121"/>
      <c r="K620" s="5870"/>
      <c r="L620" s="5870"/>
      <c r="M620" s="5870"/>
      <c r="N620" s="5870"/>
      <c r="O620" s="5801"/>
      <c r="P620" s="5801"/>
      <c r="Q620" s="5801"/>
      <c r="R620" s="5801"/>
      <c r="S620" s="5801"/>
      <c r="T620" s="5801"/>
      <c r="U620" s="5803"/>
      <c r="V620" s="5803"/>
      <c r="W620" s="5803"/>
      <c r="X620" s="5803"/>
      <c r="Y620" s="5803"/>
    </row>
    <row r="621">
      <c r="A621" s="5991" t="s">
        <v>6293</v>
      </c>
      <c r="B621" s="5992" t="s">
        <v>5783</v>
      </c>
      <c r="C621" s="5992"/>
      <c r="D621" s="5993" t="s">
        <v>5784</v>
      </c>
      <c r="E621" s="5993" t="s">
        <v>5785</v>
      </c>
      <c r="F621" s="5993" t="s">
        <v>5786</v>
      </c>
      <c r="G621" s="5994" t="s">
        <v>5809</v>
      </c>
      <c r="H621" s="5993" t="s">
        <v>5788</v>
      </c>
      <c r="I621" s="5993" t="s">
        <v>5789</v>
      </c>
      <c r="J621" s="5993" t="s">
        <v>5790</v>
      </c>
      <c r="K621" s="5870"/>
      <c r="L621" s="5870"/>
      <c r="M621" s="5870"/>
      <c r="N621" s="5870"/>
      <c r="O621" s="5801"/>
      <c r="P621" s="5801"/>
      <c r="Q621" s="5801"/>
      <c r="R621" s="5801"/>
      <c r="S621" s="5801"/>
      <c r="T621" s="5801"/>
      <c r="U621" s="5803"/>
      <c r="V621" s="5803"/>
      <c r="W621" s="5803"/>
      <c r="X621" s="5803"/>
      <c r="Y621" s="5803"/>
    </row>
    <row r="622">
      <c r="A622" s="5812" t="s">
        <v>6293</v>
      </c>
      <c r="B622" s="5812">
        <v>46224</v>
      </c>
      <c r="C622" s="5812" t="str">
        <v>Tuesday</v>
      </c>
      <c r="D622" s="5813" t="s">
        <v>6294</v>
      </c>
      <c r="E622" s="5813">
        <f t="shared" ref="E622:E625" si="103">24*MOD(TIMEVALUE(TRIM(MID(D622,FIND("-",D622)+1,LEN(D622)))) - TIMEVALUE(TRIM(LEFT(D622,FIND("-",D622)-1))),1)</f>
      </c>
      <c r="F622" s="5813" t="s">
        <v>6245</v>
      </c>
      <c r="G622" s="5836" t="s">
        <v>6295</v>
      </c>
      <c r="H622" s="5813" t="s">
        <v>5794</v>
      </c>
      <c r="I622" s="5813" t="s">
        <v>5795</v>
      </c>
      <c r="J622" s="5813"/>
      <c r="K622" s="5870"/>
      <c r="L622" s="6122"/>
      <c r="M622" s="6122"/>
      <c r="N622" s="6122"/>
      <c r="O622" s="5802"/>
      <c r="P622" s="5802"/>
      <c r="Q622" s="5802"/>
      <c r="R622" s="5802"/>
      <c r="S622" s="5802"/>
      <c r="T622" s="5802"/>
      <c r="U622" s="5802"/>
      <c r="V622" s="5802"/>
      <c r="W622" s="5802"/>
      <c r="X622" s="5802"/>
      <c r="Y622" s="5802"/>
    </row>
    <row r="623">
      <c r="A623" s="5812" t="s">
        <v>6293</v>
      </c>
      <c r="B623" s="5812">
        <v>46224</v>
      </c>
      <c r="C623" s="5812" t="str">
        <v>Tuesday</v>
      </c>
      <c r="D623" s="5813" t="s">
        <v>5940</v>
      </c>
      <c r="E623" s="5813">
        <f t="shared" si="103"/>
      </c>
      <c r="F623" s="5813" t="s">
        <v>6103</v>
      </c>
      <c r="G623" s="5836" t="s">
        <v>6296</v>
      </c>
      <c r="H623" s="5813" t="s">
        <v>5794</v>
      </c>
      <c r="I623" s="5813" t="s">
        <v>5795</v>
      </c>
      <c r="J623" s="5813"/>
      <c r="K623" s="5870"/>
      <c r="L623" s="6122"/>
      <c r="M623" s="6122"/>
      <c r="N623" s="6122"/>
      <c r="O623" s="5802"/>
      <c r="P623" s="5802"/>
      <c r="Q623" s="5802"/>
      <c r="R623" s="5802"/>
      <c r="S623" s="5802"/>
      <c r="T623" s="5802"/>
      <c r="U623" s="5802"/>
      <c r="V623" s="5802"/>
      <c r="W623" s="5802"/>
      <c r="X623" s="5802"/>
      <c r="Y623" s="5802"/>
    </row>
    <row r="624">
      <c r="A624" s="6123" t="s">
        <v>6297</v>
      </c>
      <c r="B624" s="6123">
        <v>46224</v>
      </c>
      <c r="C624" s="6123" t="s">
        <v>6298</v>
      </c>
      <c r="D624" s="6124" t="s">
        <v>6033</v>
      </c>
      <c r="E624" s="6013">
        <f t="shared" si="103"/>
      </c>
      <c r="F624" s="6124" t="s">
        <v>5902</v>
      </c>
      <c r="G624" s="6125"/>
      <c r="H624" s="6124" t="s">
        <v>5794</v>
      </c>
      <c r="I624" s="6124" t="s">
        <v>5795</v>
      </c>
      <c r="J624" s="6124"/>
      <c r="K624" s="6126"/>
      <c r="L624" s="6127"/>
      <c r="M624" s="6127"/>
      <c r="N624" s="6127"/>
      <c r="O624" s="6128"/>
      <c r="P624" s="6128"/>
      <c r="Q624" s="6128"/>
      <c r="R624" s="6128"/>
      <c r="S624" s="6128"/>
      <c r="T624" s="6128"/>
      <c r="U624" s="6128"/>
      <c r="V624" s="6128"/>
      <c r="W624" s="6128"/>
      <c r="X624" s="6128"/>
      <c r="Y624" s="6128"/>
    </row>
    <row r="625">
      <c r="A625" s="5812" t="s">
        <v>6293</v>
      </c>
      <c r="B625" s="5812">
        <v>46225</v>
      </c>
      <c r="C625" s="5812" t="str">
        <v>Wednesday</v>
      </c>
      <c r="D625" s="5813" t="s">
        <v>6016</v>
      </c>
      <c r="E625" s="5813">
        <f t="shared" si="103"/>
      </c>
      <c r="F625" s="5813" t="s">
        <v>5793</v>
      </c>
      <c r="G625" s="5836" t="s">
        <v>6299</v>
      </c>
      <c r="H625" s="5813" t="s">
        <v>5794</v>
      </c>
      <c r="I625" s="5813" t="s">
        <v>5795</v>
      </c>
      <c r="J625" s="5813"/>
      <c r="K625" s="5870"/>
      <c r="L625" s="6122"/>
      <c r="M625" s="6122"/>
      <c r="N625" s="6122"/>
      <c r="O625" s="5802"/>
      <c r="P625" s="5802"/>
      <c r="Q625" s="5802"/>
      <c r="R625" s="5802"/>
      <c r="S625" s="5802"/>
      <c r="T625" s="5802"/>
      <c r="U625" s="5803"/>
      <c r="V625" s="5803"/>
      <c r="W625" s="5803"/>
      <c r="X625" s="5803"/>
      <c r="Y625" s="5803"/>
    </row>
    <row r="626">
      <c r="A626" s="6123" t="s">
        <v>6297</v>
      </c>
      <c r="B626" s="6123">
        <v>46225</v>
      </c>
      <c r="C626" s="6123" t="s">
        <v>6300</v>
      </c>
      <c r="D626" s="6124" t="s">
        <v>6016</v>
      </c>
      <c r="E626" s="6124">
        <v>3</v>
      </c>
      <c r="F626" s="6124" t="s">
        <v>5851</v>
      </c>
      <c r="G626" s="6125"/>
      <c r="H626" s="6124" t="s">
        <v>5794</v>
      </c>
      <c r="I626" s="6124" t="s">
        <v>5795</v>
      </c>
      <c r="J626" s="6124"/>
      <c r="K626" s="6126"/>
      <c r="L626" s="6127"/>
      <c r="M626" s="6127"/>
      <c r="N626" s="6127"/>
      <c r="O626" s="6128"/>
      <c r="P626" s="6128"/>
      <c r="Q626" s="6128"/>
      <c r="R626" s="6128"/>
      <c r="S626" s="6128"/>
      <c r="T626" s="6128"/>
      <c r="U626" s="6128"/>
      <c r="V626" s="6128"/>
      <c r="W626" s="6128"/>
      <c r="X626" s="6128"/>
      <c r="Y626" s="6128"/>
    </row>
    <row r="627">
      <c r="A627" s="5812" t="s">
        <v>6293</v>
      </c>
      <c r="B627" s="5812">
        <v>46226</v>
      </c>
      <c r="C627" s="5812" t="str">
        <v>Thursday</v>
      </c>
      <c r="D627" s="5813" t="s">
        <v>5998</v>
      </c>
      <c r="E627" s="5813">
        <f t="shared" ref="E627:E629" si="104">24*MOD(TIMEVALUE(TRIM(MID(D627,FIND("-",D627)+1,LEN(D627)))) - TIMEVALUE(TRIM(LEFT(D627,FIND("-",D627)-1))),1)</f>
      </c>
      <c r="F627" s="5813" t="s">
        <v>6245</v>
      </c>
      <c r="G627" s="5836" t="s">
        <v>6296</v>
      </c>
      <c r="H627" s="5813" t="s">
        <v>5794</v>
      </c>
      <c r="I627" s="5813" t="s">
        <v>5795</v>
      </c>
      <c r="J627" s="5816"/>
      <c r="K627" s="5870"/>
      <c r="L627" s="6122"/>
      <c r="M627" s="6122"/>
      <c r="N627" s="6122"/>
      <c r="O627" s="5802"/>
      <c r="P627" s="5802"/>
      <c r="Q627" s="5802"/>
      <c r="R627" s="5802"/>
      <c r="S627" s="5802"/>
      <c r="T627" s="5802"/>
      <c r="U627" s="5802"/>
      <c r="V627" s="5802"/>
      <c r="W627" s="5802"/>
      <c r="X627" s="5802"/>
      <c r="Y627" s="5802"/>
    </row>
    <row r="628">
      <c r="A628" s="5812" t="s">
        <v>6293</v>
      </c>
      <c r="B628" s="5812">
        <v>46226</v>
      </c>
      <c r="C628" s="5812" t="str">
        <v>Thursday</v>
      </c>
      <c r="D628" s="5813" t="s">
        <v>5857</v>
      </c>
      <c r="E628" s="5813">
        <f t="shared" si="104"/>
      </c>
      <c r="F628" s="5813" t="s">
        <v>6091</v>
      </c>
      <c r="G628" s="5836" t="s">
        <v>6301</v>
      </c>
      <c r="H628" s="5813" t="s">
        <v>5794</v>
      </c>
      <c r="I628" s="5813" t="s">
        <v>5795</v>
      </c>
      <c r="J628" s="5813"/>
      <c r="K628" s="5870"/>
      <c r="L628" s="6122"/>
      <c r="M628" s="6122"/>
      <c r="N628" s="6122"/>
      <c r="O628" s="5802"/>
      <c r="P628" s="5802"/>
      <c r="Q628" s="5802"/>
      <c r="R628" s="5802"/>
      <c r="S628" s="5802"/>
      <c r="T628" s="5802"/>
      <c r="U628" s="5802"/>
      <c r="V628" s="5802"/>
      <c r="W628" s="5802"/>
      <c r="X628" s="5802"/>
      <c r="Y628" s="5802"/>
    </row>
    <row r="629">
      <c r="A629" s="6123" t="s">
        <v>6297</v>
      </c>
      <c r="B629" s="6123">
        <v>46226</v>
      </c>
      <c r="C629" s="6123" t="str">
        <v>Thursday</v>
      </c>
      <c r="D629" s="6124" t="s">
        <v>6302</v>
      </c>
      <c r="E629" s="6124">
        <f t="shared" si="104"/>
      </c>
      <c r="F629" s="6124" t="s">
        <v>5902</v>
      </c>
      <c r="G629" s="6125"/>
      <c r="H629" s="6124" t="s">
        <v>5794</v>
      </c>
      <c r="I629" s="6124" t="s">
        <v>5795</v>
      </c>
      <c r="J629" s="6124"/>
      <c r="K629" s="6126"/>
      <c r="L629" s="6127"/>
      <c r="M629" s="6127"/>
      <c r="N629" s="6127"/>
      <c r="O629" s="6128"/>
      <c r="P629" s="6128"/>
      <c r="Q629" s="6128"/>
      <c r="R629" s="6128"/>
      <c r="S629" s="6128"/>
      <c r="T629" s="6128"/>
      <c r="U629" s="6128"/>
      <c r="V629" s="6128"/>
      <c r="W629" s="6128"/>
      <c r="X629" s="6128"/>
      <c r="Y629" s="6128"/>
    </row>
    <row r="630">
      <c r="A630" s="6123" t="s">
        <v>6297</v>
      </c>
      <c r="B630" s="6123">
        <v>46226</v>
      </c>
      <c r="C630" s="6123" t="str">
        <v>Thursday</v>
      </c>
      <c r="D630" s="6124" t="s">
        <v>5985</v>
      </c>
      <c r="E630" s="6124">
        <v>2</v>
      </c>
      <c r="F630" s="6124" t="s">
        <v>6036</v>
      </c>
      <c r="G630" s="6125"/>
      <c r="H630" s="6124" t="s">
        <v>5794</v>
      </c>
      <c r="I630" s="6124" t="s">
        <v>5795</v>
      </c>
      <c r="J630" s="6124"/>
      <c r="K630" s="6126"/>
      <c r="L630" s="6127"/>
      <c r="M630" s="6127"/>
      <c r="N630" s="6127"/>
      <c r="O630" s="6128"/>
      <c r="P630" s="6128"/>
      <c r="Q630" s="6128"/>
      <c r="R630" s="6128"/>
      <c r="S630" s="6128"/>
      <c r="T630" s="6128"/>
      <c r="U630" s="6128"/>
      <c r="V630" s="6128"/>
      <c r="W630" s="6128"/>
      <c r="X630" s="6128"/>
      <c r="Y630" s="6128"/>
    </row>
    <row r="631">
      <c r="A631" s="5812" t="s">
        <v>6293</v>
      </c>
      <c r="B631" s="5812">
        <v>46227</v>
      </c>
      <c r="C631" s="5812" t="s">
        <v>6303</v>
      </c>
      <c r="D631" s="5813" t="s">
        <v>6016</v>
      </c>
      <c r="E631" s="5813">
        <v>3</v>
      </c>
      <c r="F631" s="5813" t="s">
        <v>6091</v>
      </c>
      <c r="G631" s="5836" t="s">
        <v>6021</v>
      </c>
      <c r="H631" s="5813" t="s">
        <v>5794</v>
      </c>
      <c r="I631" s="5813" t="s">
        <v>5795</v>
      </c>
      <c r="J631" s="5813"/>
      <c r="K631" s="5870"/>
      <c r="L631" s="6122"/>
      <c r="M631" s="6122"/>
      <c r="N631" s="6122"/>
      <c r="O631" s="5802"/>
      <c r="P631" s="5802"/>
      <c r="Q631" s="5802"/>
      <c r="R631" s="5802"/>
      <c r="S631" s="5802"/>
      <c r="T631" s="5802"/>
      <c r="U631" s="5802"/>
      <c r="V631" s="5802"/>
      <c r="W631" s="5802"/>
      <c r="X631" s="5802"/>
      <c r="Y631" s="5802"/>
    </row>
    <row r="632">
      <c r="A632" s="6123" t="s">
        <v>6297</v>
      </c>
      <c r="B632" s="6123">
        <v>46227</v>
      </c>
      <c r="C632" s="6123" t="s">
        <v>6303</v>
      </c>
      <c r="D632" s="6124" t="s">
        <v>6016</v>
      </c>
      <c r="E632" s="6124">
        <v>3</v>
      </c>
      <c r="F632" s="6124" t="s">
        <v>6036</v>
      </c>
      <c r="G632" s="6125"/>
      <c r="H632" s="6124" t="s">
        <v>5794</v>
      </c>
      <c r="I632" s="6124" t="s">
        <v>5795</v>
      </c>
      <c r="J632" s="6124"/>
      <c r="K632" s="6126"/>
      <c r="L632" s="6127"/>
      <c r="M632" s="6127"/>
      <c r="N632" s="6127"/>
      <c r="O632" s="6128"/>
      <c r="P632" s="6128"/>
      <c r="Q632" s="6128"/>
      <c r="R632" s="6128"/>
      <c r="S632" s="6128"/>
      <c r="T632" s="6128"/>
      <c r="U632" s="6128"/>
      <c r="V632" s="6128"/>
      <c r="W632" s="6128"/>
      <c r="X632" s="6128"/>
      <c r="Y632" s="6128"/>
    </row>
    <row r="633">
      <c r="A633" s="5812" t="s">
        <v>6293</v>
      </c>
      <c r="B633" s="5812">
        <v>46228</v>
      </c>
      <c r="C633" s="5812" t="str">
        <v>Saturday</v>
      </c>
      <c r="D633" s="5853" t="s">
        <v>6304</v>
      </c>
      <c r="E633" s="5813">
        <f>24*MOD(TIMEVALUE(TRIM(MID(D633,FIND("-",D633)+1,LEN(D633)))) - TIMEVALUE(TRIM(LEFT(D633,FIND("-",D633)-1))),1)</f>
      </c>
      <c r="F633" s="5813" t="s">
        <v>6103</v>
      </c>
      <c r="G633" s="5836" t="s">
        <v>6305</v>
      </c>
      <c r="H633" s="5813" t="s">
        <v>5794</v>
      </c>
      <c r="I633" s="5813" t="s">
        <v>5795</v>
      </c>
      <c r="J633" s="5813"/>
      <c r="K633" s="5870"/>
      <c r="L633" s="6122"/>
      <c r="M633" s="6122"/>
      <c r="N633" s="6122"/>
      <c r="O633" s="5802"/>
      <c r="P633" s="5802"/>
      <c r="Q633" s="5802"/>
      <c r="R633" s="5802"/>
      <c r="S633" s="5802"/>
      <c r="T633" s="5802"/>
      <c r="U633" s="5803"/>
      <c r="V633" s="5803"/>
      <c r="W633" s="5803"/>
      <c r="X633" s="5803"/>
      <c r="Y633" s="5803"/>
    </row>
    <row r="634">
      <c r="A634" s="6123" t="s">
        <v>6297</v>
      </c>
      <c r="B634" s="6123">
        <v>46228</v>
      </c>
      <c r="C634" s="6123" t="s">
        <v>6306</v>
      </c>
      <c r="D634" s="6124" t="s">
        <v>5863</v>
      </c>
      <c r="E634" s="6124">
        <v>2</v>
      </c>
      <c r="F634" s="6124" t="s">
        <v>5851</v>
      </c>
      <c r="G634" s="6125"/>
      <c r="H634" s="6124" t="s">
        <v>5794</v>
      </c>
      <c r="I634" s="6124" t="s">
        <v>5795</v>
      </c>
      <c r="J634" s="6124"/>
      <c r="K634" s="6126"/>
      <c r="L634" s="6127"/>
      <c r="M634" s="6127"/>
      <c r="N634" s="6127"/>
      <c r="O634" s="6128"/>
      <c r="P634" s="6128"/>
      <c r="Q634" s="6128"/>
      <c r="R634" s="6128"/>
      <c r="S634" s="6128"/>
      <c r="T634" s="6128"/>
      <c r="U634" s="6128"/>
      <c r="V634" s="6128"/>
      <c r="W634" s="6128"/>
      <c r="X634" s="6128"/>
      <c r="Y634" s="6128"/>
    </row>
    <row r="635">
      <c r="A635" s="5861" t="s">
        <v>6293</v>
      </c>
      <c r="B635" s="5861">
        <v>46229</v>
      </c>
      <c r="C635" s="5861" t="str">
        <v>Sunday</v>
      </c>
      <c r="D635" s="5862" t="s">
        <v>6016</v>
      </c>
      <c r="E635" s="5862">
        <f>24*MOD(TIMEVALUE(TRIM(MID(D635,FIND("-",D635)+1,LEN(D635)))) - TIMEVALUE(TRIM(LEFT(D635,FIND("-",D635)-1))),1)</f>
      </c>
      <c r="F635" s="5862" t="s">
        <v>6103</v>
      </c>
      <c r="G635" s="5863"/>
      <c r="H635" s="5862" t="s">
        <v>5794</v>
      </c>
      <c r="I635" s="5862" t="s">
        <v>5881</v>
      </c>
      <c r="J635" s="5945" t="s">
        <v>6307</v>
      </c>
      <c r="K635" s="5870"/>
      <c r="L635" s="6122"/>
      <c r="M635" s="6122"/>
      <c r="N635" s="6122"/>
      <c r="O635" s="5802"/>
      <c r="P635" s="5802"/>
      <c r="Q635" s="5802"/>
      <c r="R635" s="5802"/>
      <c r="S635" s="5802"/>
      <c r="T635" s="5802"/>
      <c r="U635" s="5803"/>
      <c r="V635" s="5803"/>
      <c r="W635" s="5803"/>
      <c r="X635" s="5803"/>
      <c r="Y635" s="5803"/>
    </row>
    <row r="636">
      <c r="A636" s="5861" t="s">
        <v>6297</v>
      </c>
      <c r="B636" s="5861">
        <v>46229</v>
      </c>
      <c r="C636" s="5861" t="s">
        <v>6308</v>
      </c>
      <c r="D636" s="5862" t="s">
        <v>6016</v>
      </c>
      <c r="E636" s="5862">
        <v>3</v>
      </c>
      <c r="F636" s="5862" t="s">
        <v>5851</v>
      </c>
      <c r="G636" s="5863"/>
      <c r="H636" s="5862" t="s">
        <v>5794</v>
      </c>
      <c r="I636" s="5862" t="s">
        <v>5881</v>
      </c>
      <c r="J636" s="6124"/>
      <c r="K636" s="6126"/>
      <c r="L636" s="6127"/>
      <c r="M636" s="6127"/>
      <c r="N636" s="6127"/>
      <c r="O636" s="6128"/>
      <c r="P636" s="6128"/>
      <c r="Q636" s="6128"/>
      <c r="R636" s="6128"/>
      <c r="S636" s="6128"/>
      <c r="T636" s="6128"/>
      <c r="U636" s="6128"/>
      <c r="V636" s="6128"/>
      <c r="W636" s="6128"/>
      <c r="X636" s="6128"/>
      <c r="Y636" s="6128"/>
    </row>
    <row r="637">
      <c r="A637" s="5812"/>
      <c r="B637" s="5812"/>
      <c r="C637" s="5812"/>
      <c r="D637" s="5813"/>
      <c r="E637" s="5813"/>
      <c r="F637" s="5813"/>
      <c r="G637" s="5836"/>
      <c r="H637" s="5813"/>
      <c r="I637" s="5813" t="s">
        <v>5881</v>
      </c>
      <c r="J637" s="5813"/>
      <c r="K637" s="5870"/>
      <c r="L637" s="6122"/>
      <c r="M637" s="6122"/>
      <c r="N637" s="6122"/>
      <c r="O637" s="5802"/>
      <c r="P637" s="5802"/>
      <c r="Q637" s="5802"/>
      <c r="R637" s="5802"/>
      <c r="S637" s="5802"/>
      <c r="T637" s="5802"/>
      <c r="U637" s="5803"/>
      <c r="V637" s="5803"/>
      <c r="W637" s="5803"/>
      <c r="X637" s="5803"/>
      <c r="Y637" s="5803"/>
    </row>
    <row r="638">
      <c r="A638" s="5812" t="s">
        <v>6309</v>
      </c>
      <c r="B638" s="5812">
        <v>46225</v>
      </c>
      <c r="C638" s="5812" t="str">
        <v>Wednesday</v>
      </c>
      <c r="D638" s="5816" t="s">
        <v>5820</v>
      </c>
      <c r="E638" s="5816">
        <v>2</v>
      </c>
      <c r="F638" s="5813" t="s">
        <v>6091</v>
      </c>
      <c r="G638" s="5836" t="s">
        <v>6310</v>
      </c>
      <c r="H638" s="5813" t="s">
        <v>5794</v>
      </c>
      <c r="I638" s="5813" t="s">
        <v>5795</v>
      </c>
      <c r="J638" s="5862"/>
      <c r="K638" s="5870"/>
      <c r="L638" s="6122"/>
      <c r="M638" s="6122"/>
      <c r="N638" s="6122"/>
      <c r="O638" s="5802"/>
      <c r="P638" s="5802"/>
      <c r="Q638" s="5802"/>
      <c r="R638" s="5802"/>
      <c r="S638" s="5802"/>
      <c r="T638" s="5802"/>
      <c r="U638" s="5803"/>
      <c r="V638" s="5803"/>
      <c r="W638" s="5803"/>
      <c r="X638" s="5803"/>
      <c r="Y638" s="5803"/>
    </row>
    <row r="639">
      <c r="A639" s="5812"/>
      <c r="B639" s="5812"/>
      <c r="C639" s="5812"/>
      <c r="D639" s="6129"/>
      <c r="E639" s="6130"/>
      <c r="F639" s="5813"/>
      <c r="G639" s="5836"/>
      <c r="H639" s="5813"/>
      <c r="I639" s="5813"/>
      <c r="J639" s="5813"/>
      <c r="K639" s="5803"/>
      <c r="L639" s="5803"/>
      <c r="M639" s="5803"/>
      <c r="N639" s="5803"/>
      <c r="O639" s="5803"/>
      <c r="P639" s="5803"/>
      <c r="Q639" s="5803"/>
      <c r="R639" s="5803"/>
      <c r="S639" s="5803"/>
      <c r="T639" s="5803"/>
      <c r="U639" s="5803"/>
      <c r="V639" s="5803"/>
      <c r="W639" s="5803"/>
      <c r="X639" s="5803"/>
      <c r="Y639" s="5803"/>
    </row>
  </sheetData>
  <autoFilter ref="A1:Y639"/>
  <mergeCells>
    <mergeCell ref="B291:C291"/>
    <mergeCell ref="B305:C305"/>
    <mergeCell ref="B277:C277"/>
    <mergeCell ref="B240:C240"/>
    <mergeCell ref="B228:C228"/>
    <mergeCell ref="B206:C206"/>
    <mergeCell ref="B4:C4"/>
    <mergeCell ref="A3:J3"/>
    <mergeCell ref="A12:J12"/>
    <mergeCell ref="A73:F73"/>
    <mergeCell ref="B74:C74"/>
    <mergeCell ref="A90:F90"/>
    <mergeCell ref="B91:C91"/>
    <mergeCell ref="A109:F109"/>
    <mergeCell ref="B110:C110"/>
    <mergeCell ref="B114:C114"/>
    <mergeCell ref="B203:C203"/>
    <mergeCell ref="B273:C273"/>
    <mergeCell ref="B13:C13"/>
    <mergeCell ref="A2:J2"/>
  </mergeCells>
  <dataValidations count="3">
    <dataValidation allowBlank="true" errorStyle="stop" showErrorMessage="true" sqref="I115:I115 I117:I117 I121:I121 I125:I125 I127:I128 I133:I133 I136:I136 I147:I147 I151:I167 I170:I170 I172:I172 I174:I189 I192:I200 I396:I400 I498:I499 J498:J499 K498:K498" type="list">
      <formula1>"PENDING,YES"</formula1>
    </dataValidation>
    <dataValidation allowBlank="true" errorStyle="stop" showErrorMessage="true" sqref="I5:I10 I14:I71 I75:I75 I77:I82 I84:I88 I92:I93 I95:I100 I102:I107 I111:I111 I116:I116 I118:I120 I122:I124 I126:I126 I129:I132 I134:I135 I137:I146 I169:I169 I171:I171 I173:I173 I207:I223 I228:I237 I241:I272 I274:I274 I278:I288 I292:I303 I306:I367 I371:I374 I376:I382 I386:I391 I403:I460 I463:I493 I496:I496 I502:I517 I524:I552 I555:I569 I573:I599 I602:I614 I616:I618 I621:I639" type="list">
      <formula1>"YES,PENDING"</formula1>
    </dataValidation>
    <dataValidation allowBlank="true" errorStyle="stop" showErrorMessage="true" sqref="H5:H10 H14:H71 H75:H75 H77:H82 H84:H88 H92:H93 H95:H100 H102:H107 H111:H111 H115:H147 H151:H167 H169:H189 H192:H200 H207:H226 H228:H237 H241:H272 H274:H274 H278:H288 H292:H303 H306:H319 H321:H367 H371:H374 H376:H382 H386:H391 H403:H460 H463:H493 H496:H496 H498:H499 H524:H552 H555:H569 H573:H599" type="list">
      <formula1>"8461 Higuera Street,3619 Eastham Drive"</formula1>
    </dataValidation>
  </dataValidations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0" min="10" style="0" width="39.15492957746479"/>
    <col collapsed="false" customWidth="true" hidden="false" max="14" min="14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25" min="25" style="0" width="11.211267605633802"/>
    <col collapsed="false" customWidth="true" hidden="false" max="2" min="2" style="0" width="14.47887323943662"/>
    <col collapsed="false" customWidth="true" hidden="false" max="6" min="6" style="0" width="29.464788732394368"/>
    <col collapsed="false" customWidth="true" hidden="false" max="9" min="9" style="0" width="15.605633802816902"/>
    <col collapsed="false" customWidth="true" hidden="false" max="13" min="13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1" min="1" style="0" width="29.464788732394368"/>
    <col collapsed="false" customWidth="true" hidden="false" max="5" min="5" style="0" width="14.4788732394366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4" min="4" style="0" width="21.577464788732396"/>
    <col collapsed="false" customWidth="true" hidden="false" max="8" min="8" style="0" width="22.929577464788732"/>
    <col collapsed="false" customWidth="true" hidden="false" max="11" min="11" style="0" width="14.028169014084508"/>
    <col collapsed="false" customWidth="true" hidden="false" max="15" min="15" style="0" width="11.211267605633802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3" min="3" style="0" width="14.47887323943662"/>
    <col collapsed="false" customWidth="true" hidden="false" max="7" min="7" style="0" width="28.225352112676056"/>
  </cols>
  <sheetData>
    <row r="1">
      <c r="A1" s="6131"/>
      <c r="B1" s="6131"/>
      <c r="C1" s="6131"/>
      <c r="D1" s="6131"/>
      <c r="E1" s="6131"/>
      <c r="F1" s="6131" t="s">
        <v>6311</v>
      </c>
      <c r="G1" s="6131"/>
      <c r="H1" s="6132"/>
      <c r="I1" s="6131"/>
      <c r="J1" s="6131"/>
      <c r="K1" s="6133"/>
      <c r="L1" s="6134"/>
      <c r="M1" s="6133"/>
      <c r="N1" s="6133"/>
      <c r="O1" s="6133"/>
      <c r="P1" s="6133"/>
      <c r="Q1" s="6133"/>
      <c r="R1" s="6133"/>
      <c r="S1" s="6133"/>
      <c r="T1" s="6133"/>
      <c r="U1" s="6135"/>
      <c r="V1" s="6135"/>
      <c r="W1" s="6135"/>
      <c r="X1" s="6135"/>
      <c r="Y1" s="6135"/>
    </row>
    <row r="2">
      <c r="A2" s="6136"/>
      <c r="B2" s="6136"/>
      <c r="C2" s="6136"/>
      <c r="D2" s="6136"/>
      <c r="E2" s="6136"/>
      <c r="F2" s="6136"/>
      <c r="G2" s="6136"/>
      <c r="H2" s="6136"/>
      <c r="I2" s="6136"/>
      <c r="J2" s="6136"/>
      <c r="K2" s="6133"/>
      <c r="L2" s="6133"/>
      <c r="M2" s="6133"/>
      <c r="N2" s="6133"/>
      <c r="O2" s="6133"/>
      <c r="P2" s="6133"/>
      <c r="Q2" s="6133"/>
      <c r="R2" s="6133"/>
      <c r="S2" s="6133"/>
      <c r="T2" s="6133"/>
      <c r="U2" s="6135"/>
      <c r="V2" s="6135"/>
      <c r="W2" s="6135"/>
      <c r="X2" s="6135"/>
      <c r="Y2" s="6135"/>
    </row>
    <row r="3">
      <c r="A3" s="6137" t="s">
        <v>6312</v>
      </c>
      <c r="B3" s="6137"/>
      <c r="C3" s="6137"/>
      <c r="D3" s="6137"/>
      <c r="E3" s="6137"/>
      <c r="F3" s="6137"/>
      <c r="G3" s="6137"/>
      <c r="H3" s="6137"/>
      <c r="I3" s="6137"/>
      <c r="J3" s="6137"/>
      <c r="K3" s="6133"/>
      <c r="L3" s="6133"/>
      <c r="M3" s="6133"/>
      <c r="N3" s="6133"/>
      <c r="O3" s="6133"/>
      <c r="P3" s="6133"/>
      <c r="Q3" s="6133"/>
      <c r="R3" s="6133"/>
      <c r="S3" s="6133"/>
      <c r="T3" s="6133"/>
      <c r="U3" s="6135"/>
      <c r="V3" s="6135"/>
      <c r="W3" s="6135"/>
      <c r="X3" s="6135"/>
      <c r="Y3" s="6135"/>
    </row>
    <row r="4">
      <c r="A4" s="6138" t="s">
        <v>6313</v>
      </c>
      <c r="B4" s="6139" t="s">
        <v>6314</v>
      </c>
      <c r="C4" s="6139"/>
      <c r="D4" s="6140" t="s">
        <v>6315</v>
      </c>
      <c r="E4" s="6141" t="s">
        <v>6316</v>
      </c>
      <c r="F4" s="6140" t="s">
        <v>6317</v>
      </c>
      <c r="G4" s="6142" t="s">
        <v>6318</v>
      </c>
      <c r="H4" s="6140" t="s">
        <v>6319</v>
      </c>
      <c r="I4" s="6140" t="s">
        <v>6320</v>
      </c>
      <c r="J4" s="6140" t="s">
        <v>6321</v>
      </c>
      <c r="K4" s="6133"/>
      <c r="L4" s="6133"/>
      <c r="M4" s="6133"/>
      <c r="N4" s="6133"/>
      <c r="O4" s="6133"/>
      <c r="P4" s="6133"/>
      <c r="Q4" s="6133"/>
      <c r="R4" s="6133"/>
      <c r="S4" s="6133"/>
      <c r="T4" s="6133"/>
      <c r="U4" s="6135"/>
      <c r="V4" s="6135"/>
      <c r="W4" s="6135"/>
      <c r="X4" s="6135"/>
      <c r="Y4" s="6135"/>
    </row>
    <row r="5">
      <c r="A5" s="6143" t="s">
        <v>6322</v>
      </c>
      <c r="B5" s="6143">
        <v>46216</v>
      </c>
      <c r="C5" s="6143" t="str">
        <v>Monday</v>
      </c>
      <c r="D5" s="6144" t="s">
        <v>6323</v>
      </c>
      <c r="E5" s="6144">
        <f>24*MOD(TIMEVALUE(TRIM(MID(D5,FIND("-",D5)+1,LEN(D5)))) - TIMEVALUE(TRIM(LEFT(D5,FIND("-",D5)-1))),1)</f>
      </c>
      <c r="F5" s="6145" t="s">
        <v>6324</v>
      </c>
      <c r="G5" s="6146"/>
      <c r="H5" s="6147" t="s">
        <v>6325</v>
      </c>
      <c r="I5" s="6147" t="s">
        <v>6326</v>
      </c>
      <c r="J5" s="6144"/>
      <c r="K5" s="6133"/>
      <c r="L5" s="6133"/>
      <c r="M5" s="6133"/>
      <c r="N5" s="6133"/>
      <c r="O5" s="6133"/>
      <c r="P5" s="6133"/>
      <c r="Q5" s="6133"/>
      <c r="R5" s="6133"/>
      <c r="S5" s="6133"/>
      <c r="T5" s="6133"/>
      <c r="U5" s="6135"/>
      <c r="V5" s="6135"/>
      <c r="W5" s="6135"/>
      <c r="X5" s="6135"/>
      <c r="Y5" s="6135"/>
    </row>
    <row r="6">
      <c r="A6" s="6143" t="s">
        <v>6322</v>
      </c>
      <c r="B6" s="6143">
        <v>46217</v>
      </c>
      <c r="C6" s="6143" t="str">
        <v>Tuesday</v>
      </c>
      <c r="D6" s="6147" t="s">
        <v>6327</v>
      </c>
      <c r="E6" s="6148">
        <v>3</v>
      </c>
      <c r="F6" s="6149" t="s">
        <v>6328</v>
      </c>
      <c r="G6" s="6150"/>
      <c r="H6" s="6147"/>
      <c r="I6" s="6144" t="s">
        <v>6326</v>
      </c>
      <c r="J6" s="6147"/>
      <c r="K6" s="6133"/>
      <c r="L6" s="6133"/>
      <c r="M6" s="6133"/>
      <c r="N6" s="6133"/>
      <c r="O6" s="6133"/>
      <c r="P6" s="6133"/>
      <c r="Q6" s="6133"/>
      <c r="R6" s="6133"/>
      <c r="S6" s="6133"/>
      <c r="T6" s="6133"/>
      <c r="U6" s="6135"/>
      <c r="V6" s="6135"/>
      <c r="W6" s="6135"/>
      <c r="X6" s="6135"/>
      <c r="Y6" s="6135"/>
    </row>
    <row r="7">
      <c r="A7" s="6143" t="s">
        <v>6329</v>
      </c>
      <c r="B7" s="6143">
        <v>46216</v>
      </c>
      <c r="C7" s="6143" t="str">
        <v>Monday</v>
      </c>
      <c r="D7" s="6147" t="s">
        <v>6330</v>
      </c>
      <c r="E7" s="6148">
        <f t="shared" ref="E7:E8" si="50">24*MOD(TIMEVALUE(TRIM(MID(D7,FIND("-",D7)+1,LEN(D7)))) - TIMEVALUE(TRIM(LEFT(D7,FIND("-",D7)-1))),1)</f>
      </c>
      <c r="F7" s="6149"/>
      <c r="G7" s="6150" t="s">
        <v>6331</v>
      </c>
      <c r="H7" s="6147"/>
      <c r="I7" s="6147" t="s">
        <v>6326</v>
      </c>
      <c r="J7" s="6147"/>
      <c r="K7" s="6133"/>
      <c r="L7" s="6133"/>
      <c r="M7" s="6133"/>
      <c r="N7" s="6133"/>
      <c r="O7" s="6133"/>
      <c r="P7" s="6133"/>
      <c r="Q7" s="6133"/>
      <c r="R7" s="6133"/>
      <c r="S7" s="6133"/>
      <c r="T7" s="6133"/>
      <c r="U7" s="6135"/>
      <c r="V7" s="6135"/>
      <c r="W7" s="6135"/>
      <c r="X7" s="6135"/>
      <c r="Y7" s="6135"/>
    </row>
    <row r="8">
      <c r="A8" s="6143" t="s">
        <v>6329</v>
      </c>
      <c r="B8" s="6143">
        <v>46218</v>
      </c>
      <c r="C8" s="6143" t="str">
        <v>Wednesday</v>
      </c>
      <c r="D8" s="6147" t="s">
        <v>6332</v>
      </c>
      <c r="E8" s="6148">
        <f t="shared" si="50"/>
      </c>
      <c r="F8" s="6149" t="s">
        <v>6328</v>
      </c>
      <c r="G8" s="6150"/>
      <c r="H8" s="6147"/>
      <c r="I8" s="6144" t="s">
        <v>6326</v>
      </c>
      <c r="J8" s="6147"/>
      <c r="K8" s="6133"/>
      <c r="L8" s="6133"/>
      <c r="M8" s="6133"/>
      <c r="N8" s="6133"/>
      <c r="O8" s="6133"/>
      <c r="P8" s="6133"/>
      <c r="Q8" s="6133"/>
      <c r="R8" s="6133"/>
      <c r="S8" s="6133"/>
      <c r="T8" s="6133"/>
      <c r="U8" s="6135"/>
      <c r="V8" s="6135"/>
      <c r="W8" s="6135"/>
      <c r="X8" s="6135"/>
      <c r="Y8" s="6135"/>
    </row>
    <row r="9">
      <c r="A9" s="6136" t="s">
        <v>6333</v>
      </c>
      <c r="B9" s="6136"/>
      <c r="C9" s="6136"/>
      <c r="D9" s="6136"/>
      <c r="E9" s="6136"/>
      <c r="F9" s="6136"/>
      <c r="G9" s="6136"/>
      <c r="H9" s="6136"/>
      <c r="I9" s="6136"/>
      <c r="J9" s="6136"/>
      <c r="K9" s="6133"/>
      <c r="L9" s="6133"/>
      <c r="M9" s="6133"/>
      <c r="N9" s="6133"/>
      <c r="O9" s="6133"/>
      <c r="P9" s="6133"/>
      <c r="Q9" s="6133"/>
      <c r="R9" s="6133"/>
      <c r="S9" s="6133"/>
      <c r="T9" s="6133"/>
      <c r="U9" s="6135"/>
      <c r="V9" s="6135"/>
      <c r="W9" s="6135"/>
      <c r="X9" s="6135"/>
      <c r="Y9" s="6135"/>
    </row>
    <row r="10">
      <c r="A10" s="6151" t="s">
        <v>6334</v>
      </c>
      <c r="B10" s="6151"/>
      <c r="C10" s="6151"/>
      <c r="D10" s="6151"/>
      <c r="E10" s="6151"/>
      <c r="F10" s="6151"/>
      <c r="G10" s="6151"/>
      <c r="H10" s="6151"/>
      <c r="I10" s="6151"/>
      <c r="J10" s="6151"/>
      <c r="K10" s="6133"/>
      <c r="L10" s="6133"/>
      <c r="M10" s="6133"/>
      <c r="N10" s="6133"/>
      <c r="O10" s="6133"/>
      <c r="P10" s="6133"/>
      <c r="Q10" s="6133"/>
      <c r="R10" s="6133"/>
      <c r="S10" s="6133"/>
      <c r="T10" s="6133"/>
      <c r="U10" s="6135"/>
      <c r="V10" s="6135"/>
      <c r="W10" s="6135"/>
      <c r="X10" s="6135"/>
      <c r="Y10" s="6135"/>
    </row>
    <row r="11">
      <c r="A11" s="6152" t="s">
        <v>6313</v>
      </c>
      <c r="B11" s="6153" t="s">
        <v>6314</v>
      </c>
      <c r="C11" s="6153"/>
      <c r="D11" s="6154" t="s">
        <v>6315</v>
      </c>
      <c r="E11" s="6154" t="s">
        <v>6316</v>
      </c>
      <c r="F11" s="6154" t="s">
        <v>6317</v>
      </c>
      <c r="G11" s="6155" t="s">
        <v>6335</v>
      </c>
      <c r="H11" s="6154" t="s">
        <v>6319</v>
      </c>
      <c r="I11" s="6154" t="s">
        <v>6320</v>
      </c>
      <c r="J11" s="6154" t="s">
        <v>6321</v>
      </c>
      <c r="K11" s="6135"/>
      <c r="L11" s="6135"/>
      <c r="M11" s="6135"/>
      <c r="N11" s="6135"/>
      <c r="O11" s="6135"/>
      <c r="P11" s="6135"/>
      <c r="Q11" s="6135"/>
      <c r="R11" s="6135"/>
      <c r="S11" s="6135"/>
      <c r="T11" s="6135"/>
      <c r="U11" s="6135"/>
      <c r="V11" s="6135"/>
      <c r="W11" s="6135"/>
      <c r="X11" s="6135"/>
      <c r="Y11" s="6135"/>
    </row>
    <row r="12">
      <c r="A12" s="6156" t="s">
        <v>6336</v>
      </c>
      <c r="B12" s="6156">
        <v>46216</v>
      </c>
      <c r="C12" s="6156" t="str">
        <v>Monday</v>
      </c>
      <c r="D12" s="6157" t="s">
        <v>6337</v>
      </c>
      <c r="E12" s="6157">
        <f t="shared" ref="E12:E15" si="51">24*MOD(TIMEVALUE(TRIM(MID(D12,FIND("-",D12)+1,LEN(D12)))) - TIMEVALUE(TRIM(LEFT(D12,FIND("-",D12)-1))),1)</f>
      </c>
      <c r="F12" s="6157" t="s">
        <v>6338</v>
      </c>
      <c r="G12" s="6158" t="s">
        <v>6339</v>
      </c>
      <c r="H12" s="6157"/>
      <c r="I12" s="6157" t="s">
        <v>6326</v>
      </c>
      <c r="J12" s="6157" t="s">
        <v>6340</v>
      </c>
      <c r="K12" s="6159"/>
      <c r="L12" s="6159"/>
      <c r="M12" s="6159"/>
      <c r="N12" s="6159"/>
      <c r="O12" s="6159"/>
      <c r="P12" s="6159"/>
      <c r="Q12" s="6159"/>
      <c r="R12" s="6159"/>
      <c r="S12" s="6159"/>
      <c r="T12" s="6159"/>
      <c r="U12" s="6159"/>
      <c r="V12" s="6159"/>
      <c r="W12" s="6159"/>
      <c r="X12" s="6159"/>
      <c r="Y12" s="6159"/>
    </row>
    <row r="13">
      <c r="A13" s="6160" t="s">
        <v>6341</v>
      </c>
      <c r="B13" s="6160">
        <v>46216</v>
      </c>
      <c r="C13" s="6160" t="str">
        <v>Monday</v>
      </c>
      <c r="D13" s="6161" t="s">
        <v>6337</v>
      </c>
      <c r="E13" s="6161">
        <f t="shared" si="51"/>
      </c>
      <c r="F13" s="6161" t="s">
        <v>6342</v>
      </c>
      <c r="G13" s="6162"/>
      <c r="H13" s="6161" t="s">
        <v>6325</v>
      </c>
      <c r="I13" s="6161" t="s">
        <v>6326</v>
      </c>
      <c r="J13" s="6161"/>
      <c r="K13" s="6135"/>
      <c r="L13" s="6135"/>
      <c r="M13" s="6135"/>
      <c r="N13" s="6135"/>
      <c r="O13" s="6135"/>
      <c r="P13" s="6135"/>
      <c r="Q13" s="6135"/>
      <c r="R13" s="6135"/>
      <c r="S13" s="6135"/>
      <c r="T13" s="6135"/>
      <c r="U13" s="6135"/>
      <c r="V13" s="6135"/>
      <c r="W13" s="6135"/>
      <c r="X13" s="6135"/>
      <c r="Y13" s="6135"/>
    </row>
    <row r="14">
      <c r="A14" s="6143" t="s">
        <v>6336</v>
      </c>
      <c r="B14" s="6143">
        <v>46216</v>
      </c>
      <c r="C14" s="6143" t="str">
        <v>Monday</v>
      </c>
      <c r="D14" s="6144" t="s">
        <v>6343</v>
      </c>
      <c r="E14" s="6144">
        <f t="shared" si="51"/>
      </c>
      <c r="F14" s="6144" t="s">
        <v>6344</v>
      </c>
      <c r="G14" s="6163" t="s">
        <v>6339</v>
      </c>
      <c r="H14" s="6147"/>
      <c r="I14" s="6144" t="s">
        <v>6326</v>
      </c>
      <c r="J14" s="6147" t="s">
        <v>6345</v>
      </c>
      <c r="K14" s="6135"/>
      <c r="L14" s="6135"/>
      <c r="M14" s="6135"/>
      <c r="N14" s="6135"/>
      <c r="O14" s="6135"/>
      <c r="P14" s="6135"/>
      <c r="Q14" s="6135"/>
      <c r="R14" s="6135"/>
      <c r="S14" s="6135"/>
      <c r="T14" s="6135"/>
      <c r="U14" s="6135"/>
      <c r="V14" s="6135"/>
      <c r="W14" s="6135"/>
      <c r="X14" s="6135"/>
      <c r="Y14" s="6135"/>
    </row>
    <row r="15">
      <c r="A15" s="6160" t="s">
        <v>6341</v>
      </c>
      <c r="B15" s="6160">
        <v>46216</v>
      </c>
      <c r="C15" s="6160" t="str">
        <v>Monday</v>
      </c>
      <c r="D15" s="6161" t="s">
        <v>6343</v>
      </c>
      <c r="E15" s="6161">
        <f t="shared" si="51"/>
      </c>
      <c r="F15" s="6161" t="s">
        <v>6342</v>
      </c>
      <c r="G15" s="6162"/>
      <c r="H15" s="6161" t="s">
        <v>6325</v>
      </c>
      <c r="I15" s="6161" t="s">
        <v>6326</v>
      </c>
      <c r="J15" s="6161"/>
      <c r="K15" s="6135"/>
      <c r="L15" s="6135"/>
      <c r="M15" s="6135"/>
      <c r="N15" s="6135"/>
      <c r="O15" s="6135"/>
      <c r="P15" s="6135"/>
      <c r="Q15" s="6135"/>
      <c r="R15" s="6135"/>
      <c r="S15" s="6135"/>
      <c r="T15" s="6135"/>
      <c r="U15" s="6135"/>
      <c r="V15" s="6135"/>
      <c r="W15" s="6135"/>
      <c r="X15" s="6135"/>
      <c r="Y15" s="6135"/>
    </row>
    <row r="16">
      <c r="A16" s="6143"/>
      <c r="B16" s="6135"/>
      <c r="C16" s="6143"/>
      <c r="D16" s="6144"/>
      <c r="E16" s="6144"/>
      <c r="F16" s="6144"/>
      <c r="G16" s="6163"/>
      <c r="H16" s="6147"/>
      <c r="I16" s="6144"/>
      <c r="J16" s="6147"/>
      <c r="K16" s="6135"/>
      <c r="L16" s="6135"/>
      <c r="M16" s="6135"/>
      <c r="N16" s="6135"/>
      <c r="O16" s="6135"/>
      <c r="P16" s="6135"/>
      <c r="Q16" s="6135"/>
      <c r="R16" s="6135"/>
      <c r="S16" s="6135"/>
      <c r="T16" s="6135"/>
      <c r="U16" s="6135"/>
      <c r="V16" s="6135"/>
      <c r="W16" s="6135"/>
      <c r="X16" s="6135"/>
      <c r="Y16" s="6135"/>
    </row>
    <row r="17">
      <c r="A17" s="6143" t="s">
        <v>6336</v>
      </c>
      <c r="B17" s="6143">
        <v>46217</v>
      </c>
      <c r="C17" s="6143" t="str">
        <v>Tuesday</v>
      </c>
      <c r="D17" s="6144" t="s">
        <v>6346</v>
      </c>
      <c r="E17" s="6144">
        <f t="shared" ref="E17:E20" si="52">24*MOD(TIMEVALUE(TRIM(MID(D17,FIND("-",D17)+1,LEN(D17)))) - TIMEVALUE(TRIM(LEFT(D17,FIND("-",D17)-1))),1)</f>
      </c>
      <c r="F17" s="6144" t="s">
        <v>6347</v>
      </c>
      <c r="G17" s="6163" t="s">
        <v>6348</v>
      </c>
      <c r="H17" s="6147"/>
      <c r="I17" s="6144" t="s">
        <v>6326</v>
      </c>
      <c r="J17" s="6147"/>
      <c r="K17" s="6135"/>
      <c r="L17" s="6135"/>
      <c r="M17" s="6135"/>
      <c r="N17" s="6135"/>
      <c r="O17" s="6135"/>
      <c r="P17" s="6135"/>
      <c r="Q17" s="6135"/>
      <c r="R17" s="6135"/>
      <c r="S17" s="6135"/>
      <c r="T17" s="6135"/>
      <c r="U17" s="6135"/>
      <c r="V17" s="6135"/>
      <c r="W17" s="6135"/>
      <c r="X17" s="6135"/>
      <c r="Y17" s="6135"/>
    </row>
    <row r="18">
      <c r="A18" s="6160" t="s">
        <v>6341</v>
      </c>
      <c r="B18" s="6160">
        <v>46217</v>
      </c>
      <c r="C18" s="6160" t="str">
        <v>Tuesday</v>
      </c>
      <c r="D18" s="6161" t="s">
        <v>6346</v>
      </c>
      <c r="E18" s="6161">
        <f t="shared" si="52"/>
      </c>
      <c r="F18" s="6161" t="s">
        <v>6348</v>
      </c>
      <c r="G18" s="6162"/>
      <c r="H18" s="6161"/>
      <c r="I18" s="6161" t="s">
        <v>6326</v>
      </c>
      <c r="J18" s="6161"/>
      <c r="K18" s="6135"/>
      <c r="L18" s="6135"/>
      <c r="M18" s="6135"/>
      <c r="N18" s="6135"/>
      <c r="O18" s="6135"/>
      <c r="P18" s="6135"/>
      <c r="Q18" s="6135"/>
      <c r="R18" s="6135"/>
      <c r="S18" s="6135"/>
      <c r="T18" s="6135"/>
      <c r="U18" s="6135"/>
      <c r="V18" s="6135"/>
      <c r="W18" s="6135"/>
      <c r="X18" s="6135"/>
      <c r="Y18" s="6135"/>
    </row>
    <row r="19">
      <c r="A19" s="6143" t="s">
        <v>6336</v>
      </c>
      <c r="B19" s="6143">
        <v>46217</v>
      </c>
      <c r="C19" s="6143" t="str">
        <v>Tuesday</v>
      </c>
      <c r="D19" s="6144" t="s">
        <v>6349</v>
      </c>
      <c r="E19" s="6144">
        <f t="shared" si="52"/>
      </c>
      <c r="F19" s="6144" t="s">
        <v>6344</v>
      </c>
      <c r="G19" s="6163" t="s">
        <v>6348</v>
      </c>
      <c r="H19" s="6147"/>
      <c r="I19" s="6144" t="s">
        <v>6326</v>
      </c>
      <c r="J19" s="6147"/>
      <c r="K19" s="6135"/>
      <c r="L19" s="6135"/>
      <c r="M19" s="6135"/>
      <c r="N19" s="6135"/>
      <c r="O19" s="6135"/>
      <c r="P19" s="6135"/>
      <c r="Q19" s="6135"/>
      <c r="R19" s="6135"/>
      <c r="S19" s="6135"/>
      <c r="T19" s="6135"/>
      <c r="U19" s="6135"/>
      <c r="V19" s="6135"/>
      <c r="W19" s="6135"/>
      <c r="X19" s="6135"/>
      <c r="Y19" s="6135"/>
    </row>
    <row r="20">
      <c r="A20" s="6160" t="s">
        <v>6341</v>
      </c>
      <c r="B20" s="6160">
        <v>46217</v>
      </c>
      <c r="C20" s="6160" t="str">
        <v>Tuesday</v>
      </c>
      <c r="D20" s="6161" t="s">
        <v>6349</v>
      </c>
      <c r="E20" s="6161">
        <f t="shared" si="52"/>
      </c>
      <c r="F20" s="6161" t="s">
        <v>6348</v>
      </c>
      <c r="G20" s="6162"/>
      <c r="H20" s="6161"/>
      <c r="I20" s="6161" t="s">
        <v>6326</v>
      </c>
      <c r="J20" s="6161"/>
      <c r="K20" s="6135"/>
      <c r="L20" s="6135"/>
      <c r="M20" s="6135"/>
      <c r="N20" s="6135"/>
      <c r="O20" s="6135"/>
      <c r="P20" s="6135"/>
      <c r="Q20" s="6135"/>
      <c r="R20" s="6135"/>
      <c r="S20" s="6135"/>
      <c r="T20" s="6135"/>
      <c r="U20" s="6135"/>
      <c r="V20" s="6135"/>
      <c r="W20" s="6135"/>
      <c r="X20" s="6135"/>
      <c r="Y20" s="6135"/>
    </row>
    <row r="21">
      <c r="A21" s="6143"/>
      <c r="B21" s="6143"/>
      <c r="C21" s="6143"/>
      <c r="D21" s="6144"/>
      <c r="E21" s="6144"/>
      <c r="F21" s="6144"/>
      <c r="G21" s="6163"/>
      <c r="H21" s="6147"/>
      <c r="I21" s="6144"/>
      <c r="J21" s="6147"/>
      <c r="K21" s="6135"/>
      <c r="L21" s="6135"/>
      <c r="M21" s="6135"/>
      <c r="N21" s="6135"/>
      <c r="O21" s="6135"/>
      <c r="P21" s="6135"/>
      <c r="Q21" s="6135"/>
      <c r="R21" s="6135"/>
      <c r="S21" s="6135"/>
      <c r="T21" s="6135"/>
      <c r="U21" s="6135"/>
      <c r="V21" s="6135"/>
      <c r="W21" s="6135"/>
      <c r="X21" s="6135"/>
      <c r="Y21" s="6135"/>
    </row>
    <row r="22">
      <c r="A22" s="6143" t="s">
        <v>6336</v>
      </c>
      <c r="B22" s="6143">
        <v>46218</v>
      </c>
      <c r="C22" s="6143" t="str">
        <v>Wednesday</v>
      </c>
      <c r="D22" s="6144" t="s">
        <v>6350</v>
      </c>
      <c r="E22" s="6144">
        <f t="shared" ref="E22:E25" si="53">24*MOD(TIMEVALUE(TRIM(MID(D22,FIND("-",D22)+1,LEN(D22)))) - TIMEVALUE(TRIM(LEFT(D22,FIND("-",D22)-1))),1)</f>
      </c>
      <c r="F22" s="6144" t="s">
        <v>6328</v>
      </c>
      <c r="G22" s="6163" t="s">
        <v>6351</v>
      </c>
      <c r="H22" s="6147"/>
      <c r="I22" s="6144" t="s">
        <v>6326</v>
      </c>
      <c r="J22" s="6144"/>
      <c r="K22" s="6135"/>
      <c r="L22" s="6135"/>
      <c r="M22" s="6135"/>
      <c r="N22" s="6135"/>
      <c r="O22" s="6135"/>
      <c r="P22" s="6135"/>
      <c r="Q22" s="6135"/>
      <c r="R22" s="6135"/>
      <c r="S22" s="6135"/>
      <c r="T22" s="6135"/>
      <c r="U22" s="6135"/>
      <c r="V22" s="6135"/>
      <c r="W22" s="6135"/>
      <c r="X22" s="6135"/>
      <c r="Y22" s="6135"/>
    </row>
    <row r="23">
      <c r="A23" s="6160" t="s">
        <v>6341</v>
      </c>
      <c r="B23" s="6160">
        <v>46218</v>
      </c>
      <c r="C23" s="6160" t="str">
        <v>Wednesday</v>
      </c>
      <c r="D23" s="6161" t="s">
        <v>6350</v>
      </c>
      <c r="E23" s="6161">
        <f t="shared" si="53"/>
      </c>
      <c r="F23" s="6161" t="s">
        <v>6352</v>
      </c>
      <c r="G23" s="6162"/>
      <c r="H23" s="6161"/>
      <c r="I23" s="6161" t="s">
        <v>6326</v>
      </c>
      <c r="J23" s="6161"/>
      <c r="K23" s="6135"/>
      <c r="L23" s="6135"/>
      <c r="M23" s="6135"/>
      <c r="N23" s="6135"/>
      <c r="O23" s="6135"/>
      <c r="P23" s="6135"/>
      <c r="Q23" s="6135"/>
      <c r="R23" s="6135"/>
      <c r="S23" s="6135"/>
      <c r="T23" s="6135"/>
      <c r="U23" s="6135"/>
      <c r="V23" s="6135"/>
      <c r="W23" s="6135"/>
      <c r="X23" s="6135"/>
      <c r="Y23" s="6135"/>
    </row>
    <row r="24">
      <c r="A24" s="6143" t="s">
        <v>6336</v>
      </c>
      <c r="B24" s="6143">
        <v>46218</v>
      </c>
      <c r="C24" s="6143" t="str">
        <v>Wednesday</v>
      </c>
      <c r="D24" s="6144" t="s">
        <v>6353</v>
      </c>
      <c r="E24" s="6144">
        <f t="shared" si="53"/>
      </c>
      <c r="F24" s="6144" t="s">
        <v>6347</v>
      </c>
      <c r="G24" s="6163" t="s">
        <v>6351</v>
      </c>
      <c r="H24" s="6147"/>
      <c r="I24" s="6144" t="s">
        <v>6326</v>
      </c>
      <c r="J24" s="6144"/>
      <c r="K24" s="6135"/>
      <c r="L24" s="6135"/>
      <c r="M24" s="6135"/>
      <c r="N24" s="6135"/>
      <c r="O24" s="6135"/>
      <c r="P24" s="6135"/>
      <c r="Q24" s="6135"/>
      <c r="R24" s="6135"/>
      <c r="S24" s="6135"/>
      <c r="T24" s="6135"/>
      <c r="U24" s="6135"/>
      <c r="V24" s="6135"/>
      <c r="W24" s="6135"/>
      <c r="X24" s="6135"/>
      <c r="Y24" s="6135"/>
    </row>
    <row r="25">
      <c r="A25" s="6160" t="s">
        <v>6341</v>
      </c>
      <c r="B25" s="6160">
        <v>46218</v>
      </c>
      <c r="C25" s="6160" t="str">
        <v>Wednesday</v>
      </c>
      <c r="D25" s="6161" t="s">
        <v>6353</v>
      </c>
      <c r="E25" s="6161">
        <f t="shared" si="53"/>
      </c>
      <c r="F25" s="6161" t="s">
        <v>6352</v>
      </c>
      <c r="G25" s="6162"/>
      <c r="H25" s="6161"/>
      <c r="I25" s="6161" t="s">
        <v>6326</v>
      </c>
      <c r="J25" s="6161"/>
      <c r="K25" s="6135"/>
      <c r="L25" s="6135"/>
      <c r="M25" s="6135"/>
      <c r="N25" s="6135"/>
      <c r="O25" s="6135"/>
      <c r="P25" s="6135"/>
      <c r="Q25" s="6135"/>
      <c r="R25" s="6135"/>
      <c r="S25" s="6135"/>
      <c r="T25" s="6135"/>
      <c r="U25" s="6135"/>
      <c r="V25" s="6135"/>
      <c r="W25" s="6135"/>
      <c r="X25" s="6135"/>
      <c r="Y25" s="6135"/>
    </row>
    <row r="26">
      <c r="A26" s="6143"/>
      <c r="B26" s="6143"/>
      <c r="C26" s="6143"/>
      <c r="D26" s="6144"/>
      <c r="E26" s="6144"/>
      <c r="F26" s="6144"/>
      <c r="G26" s="6163"/>
      <c r="H26" s="6147"/>
      <c r="I26" s="6144"/>
      <c r="J26" s="6144"/>
      <c r="K26" s="6135"/>
      <c r="L26" s="6135" t="s">
        <v>6354</v>
      </c>
      <c r="M26" s="6135"/>
      <c r="N26" s="6135"/>
      <c r="O26" s="6135"/>
      <c r="P26" s="6135"/>
      <c r="Q26" s="6135"/>
      <c r="R26" s="6135"/>
      <c r="S26" s="6135"/>
      <c r="T26" s="6135"/>
      <c r="U26" s="6135"/>
      <c r="V26" s="6135"/>
      <c r="W26" s="6135"/>
      <c r="X26" s="6135"/>
      <c r="Y26" s="6135"/>
    </row>
    <row r="27">
      <c r="A27" s="6143" t="s">
        <v>6336</v>
      </c>
      <c r="B27" s="6143">
        <v>46219</v>
      </c>
      <c r="C27" s="6143" t="str">
        <v>Thursday</v>
      </c>
      <c r="D27" s="6144" t="s">
        <v>6350</v>
      </c>
      <c r="E27" s="6144">
        <f t="shared" ref="E27:E32" si="54">24*MOD(TIMEVALUE(TRIM(MID(D27,FIND("-",D27)+1,LEN(D27)))) - TIMEVALUE(TRIM(LEFT(D27,FIND("-",D27)-1))),1)</f>
      </c>
      <c r="F27" s="6144" t="s">
        <v>6328</v>
      </c>
      <c r="G27" s="6163" t="s">
        <v>6348</v>
      </c>
      <c r="H27" s="6144"/>
      <c r="I27" s="6144" t="s">
        <v>6326</v>
      </c>
      <c r="J27" s="6163"/>
      <c r="K27" s="6135"/>
      <c r="L27" s="6135"/>
      <c r="M27" s="6135"/>
      <c r="N27" s="6135"/>
      <c r="O27" s="6135"/>
      <c r="P27" s="6135"/>
      <c r="Q27" s="6135"/>
      <c r="R27" s="6135"/>
      <c r="S27" s="6135"/>
      <c r="T27" s="6135"/>
      <c r="U27" s="6135"/>
      <c r="V27" s="6135"/>
      <c r="W27" s="6135"/>
      <c r="X27" s="6135"/>
      <c r="Y27" s="6135"/>
    </row>
    <row r="28">
      <c r="A28" s="6160" t="s">
        <v>6341</v>
      </c>
      <c r="B28" s="6160">
        <v>46219</v>
      </c>
      <c r="C28" s="6160" t="str">
        <v>Thursday</v>
      </c>
      <c r="D28" s="6161" t="s">
        <v>6350</v>
      </c>
      <c r="E28" s="6161">
        <f t="shared" si="54"/>
      </c>
      <c r="F28" s="6161" t="s">
        <v>6348</v>
      </c>
      <c r="G28" s="6162"/>
      <c r="H28" s="6161"/>
      <c r="I28" s="6161" t="s">
        <v>6326</v>
      </c>
      <c r="J28" s="6161"/>
      <c r="K28" s="6135"/>
      <c r="L28" s="6135"/>
      <c r="M28" s="6135"/>
      <c r="N28" s="6135"/>
      <c r="O28" s="6135"/>
      <c r="P28" s="6135"/>
      <c r="Q28" s="6135"/>
      <c r="R28" s="6135"/>
      <c r="S28" s="6135"/>
      <c r="T28" s="6135"/>
      <c r="U28" s="6135"/>
      <c r="V28" s="6135"/>
      <c r="W28" s="6135"/>
      <c r="X28" s="6135"/>
      <c r="Y28" s="6135"/>
    </row>
    <row r="29">
      <c r="A29" s="6143" t="s">
        <v>6336</v>
      </c>
      <c r="B29" s="6143">
        <v>46219</v>
      </c>
      <c r="C29" s="6143" t="str">
        <v>Thursday</v>
      </c>
      <c r="D29" s="6144" t="s">
        <v>6353</v>
      </c>
      <c r="E29" s="6144">
        <f t="shared" si="54"/>
      </c>
      <c r="F29" s="6144" t="s">
        <v>6344</v>
      </c>
      <c r="G29" s="6163" t="s">
        <v>6351</v>
      </c>
      <c r="H29" s="6144"/>
      <c r="I29" s="6144" t="s">
        <v>6326</v>
      </c>
      <c r="J29" s="6163"/>
      <c r="K29" s="6135"/>
      <c r="L29" s="6135"/>
      <c r="M29" s="6135"/>
      <c r="N29" s="6135"/>
      <c r="O29" s="6135"/>
      <c r="P29" s="6135"/>
      <c r="Q29" s="6135"/>
      <c r="R29" s="6135"/>
      <c r="S29" s="6135"/>
      <c r="T29" s="6135"/>
      <c r="U29" s="6135"/>
      <c r="V29" s="6135"/>
      <c r="W29" s="6135"/>
      <c r="X29" s="6135"/>
      <c r="Y29" s="6135"/>
    </row>
    <row r="30">
      <c r="A30" s="6160" t="s">
        <v>6341</v>
      </c>
      <c r="B30" s="6160">
        <v>46219</v>
      </c>
      <c r="C30" s="6160" t="str">
        <v>Thursday</v>
      </c>
      <c r="D30" s="6161" t="s">
        <v>6353</v>
      </c>
      <c r="E30" s="6161">
        <f t="shared" si="54"/>
      </c>
      <c r="F30" s="6161" t="s">
        <v>6352</v>
      </c>
      <c r="G30" s="6162"/>
      <c r="H30" s="6161"/>
      <c r="I30" s="6161" t="s">
        <v>6326</v>
      </c>
      <c r="J30" s="6161"/>
      <c r="K30" s="6135"/>
      <c r="L30" s="6135"/>
      <c r="M30" s="6135"/>
      <c r="N30" s="6135"/>
      <c r="O30" s="6135"/>
      <c r="P30" s="6135"/>
      <c r="Q30" s="6135"/>
      <c r="R30" s="6135"/>
      <c r="S30" s="6135"/>
      <c r="T30" s="6135"/>
      <c r="U30" s="6135"/>
      <c r="V30" s="6135"/>
      <c r="W30" s="6135"/>
      <c r="X30" s="6135"/>
      <c r="Y30" s="6135"/>
    </row>
    <row r="31">
      <c r="A31" s="6143" t="s">
        <v>6336</v>
      </c>
      <c r="B31" s="6143">
        <v>46219</v>
      </c>
      <c r="C31" s="6143" t="str">
        <v>Thursday</v>
      </c>
      <c r="D31" s="6144" t="s">
        <v>6355</v>
      </c>
      <c r="E31" s="6144">
        <f t="shared" si="54"/>
      </c>
      <c r="F31" s="6144" t="s">
        <v>6347</v>
      </c>
      <c r="G31" s="6163" t="s">
        <v>6351</v>
      </c>
      <c r="H31" s="6147"/>
      <c r="I31" s="6144" t="s">
        <v>6326</v>
      </c>
      <c r="J31" s="6144"/>
      <c r="K31" s="6135"/>
      <c r="L31" s="6135"/>
      <c r="M31" s="6135"/>
      <c r="N31" s="6135"/>
      <c r="O31" s="6135"/>
      <c r="P31" s="6135"/>
      <c r="Q31" s="6135"/>
      <c r="R31" s="6135"/>
      <c r="S31" s="6135"/>
      <c r="T31" s="6135"/>
      <c r="U31" s="6135"/>
      <c r="V31" s="6135"/>
      <c r="W31" s="6135"/>
      <c r="X31" s="6135"/>
      <c r="Y31" s="6135"/>
    </row>
    <row r="32">
      <c r="A32" s="6160" t="s">
        <v>6341</v>
      </c>
      <c r="B32" s="6160">
        <v>46219</v>
      </c>
      <c r="C32" s="6160" t="str">
        <v>Thursday</v>
      </c>
      <c r="D32" s="6161" t="s">
        <v>6355</v>
      </c>
      <c r="E32" s="6161">
        <f t="shared" si="54"/>
      </c>
      <c r="F32" s="6161" t="s">
        <v>6352</v>
      </c>
      <c r="G32" s="6162"/>
      <c r="H32" s="6161"/>
      <c r="I32" s="6161" t="s">
        <v>6326</v>
      </c>
      <c r="J32" s="6161"/>
      <c r="K32" s="6135"/>
      <c r="L32" s="6135"/>
      <c r="M32" s="6135"/>
      <c r="N32" s="6135"/>
      <c r="O32" s="6135"/>
      <c r="P32" s="6135"/>
      <c r="Q32" s="6135"/>
      <c r="R32" s="6135"/>
      <c r="S32" s="6135"/>
      <c r="T32" s="6135"/>
      <c r="U32" s="6135"/>
      <c r="V32" s="6135"/>
      <c r="W32" s="6135"/>
      <c r="X32" s="6135"/>
      <c r="Y32" s="6135"/>
    </row>
    <row r="33">
      <c r="A33" s="6143"/>
      <c r="B33" s="6143"/>
      <c r="C33" s="6143"/>
      <c r="D33" s="6144"/>
      <c r="E33" s="6144"/>
      <c r="F33" s="6144"/>
      <c r="G33" s="6163"/>
      <c r="H33" s="6144"/>
      <c r="I33" s="6144"/>
      <c r="J33" s="6144"/>
      <c r="K33" s="6135"/>
      <c r="L33" s="6135"/>
      <c r="M33" s="6135"/>
      <c r="N33" s="6135"/>
      <c r="O33" s="6135"/>
      <c r="P33" s="6135"/>
      <c r="Q33" s="6135"/>
      <c r="R33" s="6135"/>
      <c r="S33" s="6135"/>
      <c r="T33" s="6135"/>
      <c r="U33" s="6135"/>
      <c r="V33" s="6135"/>
      <c r="W33" s="6135"/>
      <c r="X33" s="6135"/>
      <c r="Y33" s="6135"/>
    </row>
    <row r="34">
      <c r="A34" s="6143" t="s">
        <v>6336</v>
      </c>
      <c r="B34" s="6143">
        <v>46220</v>
      </c>
      <c r="C34" s="6143" t="str">
        <v>Friday</v>
      </c>
      <c r="D34" s="6144" t="s">
        <v>6327</v>
      </c>
      <c r="E34" s="6144">
        <f t="shared" ref="E34:E37" si="55">24*MOD(TIMEVALUE(TRIM(MID(D34,FIND("-",D34)+1,LEN(D34)))) - TIMEVALUE(TRIM(LEFT(D34,FIND("-",D34)-1))),1)</f>
      </c>
      <c r="F34" s="6144" t="s">
        <v>6347</v>
      </c>
      <c r="G34" s="6163" t="s">
        <v>6351</v>
      </c>
      <c r="H34" s="6147"/>
      <c r="I34" s="6144" t="s">
        <v>6326</v>
      </c>
      <c r="J34" s="6144"/>
      <c r="K34" s="6135"/>
      <c r="L34" s="6135"/>
      <c r="M34" s="6135"/>
      <c r="N34" s="6135"/>
      <c r="O34" s="6135"/>
      <c r="P34" s="6135"/>
      <c r="Q34" s="6135"/>
      <c r="R34" s="6135"/>
      <c r="S34" s="6135"/>
      <c r="T34" s="6135"/>
      <c r="U34" s="6135"/>
      <c r="V34" s="6135"/>
      <c r="W34" s="6135"/>
      <c r="X34" s="6135"/>
      <c r="Y34" s="6135"/>
    </row>
    <row r="35">
      <c r="A35" s="6160" t="s">
        <v>6341</v>
      </c>
      <c r="B35" s="6160">
        <v>46220</v>
      </c>
      <c r="C35" s="6160" t="str">
        <v>Friday</v>
      </c>
      <c r="D35" s="6161" t="s">
        <v>6327</v>
      </c>
      <c r="E35" s="6161">
        <f t="shared" si="55"/>
      </c>
      <c r="F35" s="6161" t="s">
        <v>6352</v>
      </c>
      <c r="G35" s="6162"/>
      <c r="H35" s="6161"/>
      <c r="I35" s="6161" t="s">
        <v>6326</v>
      </c>
      <c r="J35" s="6161"/>
      <c r="K35" s="6135"/>
      <c r="L35" s="6135"/>
      <c r="M35" s="6135"/>
      <c r="N35" s="6135"/>
      <c r="O35" s="6135"/>
      <c r="P35" s="6135"/>
      <c r="Q35" s="6135"/>
      <c r="R35" s="6135"/>
      <c r="S35" s="6135"/>
      <c r="T35" s="6135"/>
      <c r="U35" s="6135"/>
      <c r="V35" s="6135"/>
      <c r="W35" s="6135"/>
      <c r="X35" s="6135"/>
      <c r="Y35" s="6135"/>
    </row>
    <row r="36">
      <c r="A36" s="6143" t="s">
        <v>6336</v>
      </c>
      <c r="B36" s="6143">
        <v>46220</v>
      </c>
      <c r="C36" s="6143" t="str">
        <v>Friday</v>
      </c>
      <c r="D36" s="6144" t="s">
        <v>6356</v>
      </c>
      <c r="E36" s="6144">
        <f t="shared" si="55"/>
      </c>
      <c r="F36" s="6144" t="s">
        <v>6344</v>
      </c>
      <c r="G36" s="6163" t="s">
        <v>6348</v>
      </c>
      <c r="H36" s="6147"/>
      <c r="I36" s="6144" t="s">
        <v>6326</v>
      </c>
      <c r="J36" s="6144"/>
      <c r="K36" s="6135"/>
      <c r="L36" s="6135"/>
      <c r="M36" s="6135"/>
      <c r="N36" s="6135"/>
      <c r="O36" s="6135"/>
      <c r="P36" s="6135"/>
      <c r="Q36" s="6135"/>
      <c r="R36" s="6135"/>
      <c r="S36" s="6135"/>
      <c r="T36" s="6135"/>
      <c r="U36" s="6135"/>
      <c r="V36" s="6135"/>
      <c r="W36" s="6135"/>
      <c r="X36" s="6135"/>
      <c r="Y36" s="6135"/>
    </row>
    <row r="37">
      <c r="A37" s="6160" t="s">
        <v>6341</v>
      </c>
      <c r="B37" s="6160">
        <v>46220</v>
      </c>
      <c r="C37" s="6160" t="str">
        <v>Friday</v>
      </c>
      <c r="D37" s="6161" t="s">
        <v>6356</v>
      </c>
      <c r="E37" s="6161">
        <f t="shared" si="55"/>
      </c>
      <c r="F37" s="6161" t="s">
        <v>6348</v>
      </c>
      <c r="G37" s="6162"/>
      <c r="H37" s="6161"/>
      <c r="I37" s="6161" t="s">
        <v>6326</v>
      </c>
      <c r="J37" s="6161"/>
      <c r="K37" s="6135"/>
      <c r="L37" s="6135"/>
      <c r="M37" s="6135"/>
      <c r="N37" s="6135"/>
      <c r="O37" s="6135"/>
      <c r="P37" s="6135"/>
      <c r="Q37" s="6135"/>
      <c r="R37" s="6135"/>
      <c r="S37" s="6135"/>
      <c r="T37" s="6135"/>
      <c r="U37" s="6135"/>
      <c r="V37" s="6135"/>
      <c r="W37" s="6135"/>
      <c r="X37" s="6135"/>
      <c r="Y37" s="6135"/>
    </row>
    <row r="38">
      <c r="A38" s="6143"/>
      <c r="B38" s="6143"/>
      <c r="C38" s="6143"/>
      <c r="D38" s="6144"/>
      <c r="E38" s="6144"/>
      <c r="F38" s="6144"/>
      <c r="G38" s="6163"/>
      <c r="H38" s="6147"/>
      <c r="I38" s="6144"/>
      <c r="J38" s="6144"/>
      <c r="K38" s="6135"/>
      <c r="L38" s="6135"/>
      <c r="M38" s="6135"/>
      <c r="N38" s="6135"/>
      <c r="O38" s="6135"/>
      <c r="P38" s="6135"/>
      <c r="Q38" s="6135"/>
      <c r="R38" s="6135"/>
      <c r="S38" s="6135"/>
      <c r="T38" s="6135"/>
      <c r="U38" s="6135"/>
      <c r="V38" s="6135"/>
      <c r="W38" s="6135"/>
      <c r="X38" s="6135"/>
      <c r="Y38" s="6135"/>
    </row>
    <row r="39">
      <c r="A39" s="6143" t="s">
        <v>6336</v>
      </c>
      <c r="B39" s="6143">
        <v>46221</v>
      </c>
      <c r="C39" s="6143" t="str">
        <v>Saturday</v>
      </c>
      <c r="D39" s="6144" t="s">
        <v>6357</v>
      </c>
      <c r="E39" s="6144">
        <f t="shared" ref="E39:E42" si="56">24*MOD(TIMEVALUE(TRIM(MID(D39,FIND("-",D39)+1,LEN(D39)))) - TIMEVALUE(TRIM(LEFT(D39,FIND("-",D39)-1))),1)</f>
      </c>
      <c r="F39" s="6144" t="s">
        <v>6344</v>
      </c>
      <c r="G39" s="6163" t="s">
        <v>6351</v>
      </c>
      <c r="H39" s="6144"/>
      <c r="I39" s="6144" t="s">
        <v>6326</v>
      </c>
      <c r="J39" s="6144"/>
      <c r="K39" s="6135"/>
      <c r="L39" s="6135"/>
      <c r="M39" s="6135"/>
      <c r="N39" s="6135"/>
      <c r="O39" s="6135"/>
      <c r="P39" s="6135"/>
      <c r="Q39" s="6135"/>
      <c r="R39" s="6135"/>
      <c r="S39" s="6135"/>
      <c r="T39" s="6135"/>
      <c r="U39" s="6135"/>
      <c r="V39" s="6135"/>
      <c r="W39" s="6135"/>
      <c r="X39" s="6135"/>
      <c r="Y39" s="6135"/>
    </row>
    <row r="40">
      <c r="A40" s="6160" t="s">
        <v>6341</v>
      </c>
      <c r="B40" s="6160">
        <v>46221</v>
      </c>
      <c r="C40" s="6160" t="str">
        <v>Saturday</v>
      </c>
      <c r="D40" s="6161" t="s">
        <v>6357</v>
      </c>
      <c r="E40" s="6161">
        <f t="shared" si="56"/>
      </c>
      <c r="F40" s="6161" t="s">
        <v>6352</v>
      </c>
      <c r="G40" s="6162"/>
      <c r="H40" s="6161"/>
      <c r="I40" s="6161" t="s">
        <v>6326</v>
      </c>
      <c r="J40" s="6161"/>
      <c r="K40" s="6135"/>
      <c r="L40" s="6135"/>
      <c r="M40" s="6135"/>
      <c r="N40" s="6135"/>
      <c r="O40" s="6135"/>
      <c r="P40" s="6135"/>
      <c r="Q40" s="6135"/>
      <c r="R40" s="6135"/>
      <c r="S40" s="6135"/>
      <c r="T40" s="6135"/>
      <c r="U40" s="6135"/>
      <c r="V40" s="6135"/>
      <c r="W40" s="6135"/>
      <c r="X40" s="6135"/>
      <c r="Y40" s="6135"/>
    </row>
    <row r="41">
      <c r="A41" s="6143" t="s">
        <v>6336</v>
      </c>
      <c r="B41" s="6143">
        <v>46221</v>
      </c>
      <c r="C41" s="6143" t="str">
        <v>Saturday</v>
      </c>
      <c r="D41" s="6144" t="s">
        <v>6358</v>
      </c>
      <c r="E41" s="6144">
        <f t="shared" si="56"/>
      </c>
      <c r="F41" s="6144" t="s">
        <v>6328</v>
      </c>
      <c r="G41" s="6163" t="s">
        <v>6339</v>
      </c>
      <c r="H41" s="6144"/>
      <c r="I41" s="6144" t="s">
        <v>6326</v>
      </c>
      <c r="J41" s="6144"/>
      <c r="K41" s="6135"/>
      <c r="L41" s="6135"/>
      <c r="M41" s="6135"/>
      <c r="N41" s="6135"/>
      <c r="O41" s="6135"/>
      <c r="P41" s="6135"/>
      <c r="Q41" s="6135"/>
      <c r="R41" s="6135"/>
      <c r="S41" s="6135"/>
      <c r="T41" s="6135"/>
      <c r="U41" s="6135"/>
      <c r="V41" s="6135"/>
      <c r="W41" s="6135"/>
      <c r="X41" s="6135"/>
      <c r="Y41" s="6135"/>
    </row>
    <row r="42">
      <c r="A42" s="6160" t="s">
        <v>6341</v>
      </c>
      <c r="B42" s="6160">
        <v>46221</v>
      </c>
      <c r="C42" s="6160" t="str">
        <v>Saturday</v>
      </c>
      <c r="D42" s="6161" t="s">
        <v>6358</v>
      </c>
      <c r="E42" s="6161">
        <f t="shared" si="56"/>
      </c>
      <c r="F42" s="6161" t="s">
        <v>6342</v>
      </c>
      <c r="G42" s="6162"/>
      <c r="H42" s="6161" t="s">
        <v>6325</v>
      </c>
      <c r="I42" s="6161" t="s">
        <v>6326</v>
      </c>
      <c r="J42" s="6161"/>
      <c r="K42" s="6135"/>
      <c r="L42" s="6135"/>
      <c r="M42" s="6135"/>
      <c r="N42" s="6135"/>
      <c r="O42" s="6135"/>
      <c r="P42" s="6135"/>
      <c r="Q42" s="6135"/>
      <c r="R42" s="6135"/>
      <c r="S42" s="6135"/>
      <c r="T42" s="6135"/>
      <c r="U42" s="6135"/>
      <c r="V42" s="6135"/>
      <c r="W42" s="6135"/>
      <c r="X42" s="6135"/>
      <c r="Y42" s="6135"/>
    </row>
    <row r="43">
      <c r="A43" s="6143"/>
      <c r="B43" s="6143"/>
      <c r="C43" s="6143"/>
      <c r="D43" s="6144"/>
      <c r="E43" s="6144"/>
      <c r="F43" s="6144"/>
      <c r="G43" s="6163"/>
      <c r="H43" s="6144"/>
      <c r="I43" s="6144"/>
      <c r="J43" s="6144"/>
      <c r="K43" s="6135"/>
      <c r="L43" s="6135"/>
      <c r="M43" s="6135"/>
      <c r="N43" s="6135"/>
      <c r="O43" s="6135"/>
      <c r="P43" s="6135"/>
      <c r="Q43" s="6135"/>
      <c r="R43" s="6135"/>
      <c r="S43" s="6135"/>
      <c r="T43" s="6135"/>
      <c r="U43" s="6135"/>
      <c r="V43" s="6135"/>
      <c r="W43" s="6135"/>
      <c r="X43" s="6135"/>
      <c r="Y43" s="6135"/>
    </row>
    <row r="44">
      <c r="A44" s="6143" t="s">
        <v>6336</v>
      </c>
      <c r="B44" s="6143">
        <v>46222</v>
      </c>
      <c r="C44" s="6143" t="str">
        <v>Sunday</v>
      </c>
      <c r="D44" s="6144" t="s">
        <v>6359</v>
      </c>
      <c r="E44" s="6144">
        <f t="shared" ref="E44:E47" si="57">24*MOD(TIMEVALUE(TRIM(MID(D44,FIND("-",D44)+1,LEN(D44)))) - TIMEVALUE(TRIM(LEFT(D44,FIND("-",D44)-1))),1)</f>
      </c>
      <c r="F44" s="6144" t="s">
        <v>6347</v>
      </c>
      <c r="G44" s="6163" t="s">
        <v>6339</v>
      </c>
      <c r="H44" s="6144"/>
      <c r="I44" s="6144" t="s">
        <v>6326</v>
      </c>
      <c r="J44" s="6144"/>
      <c r="K44" s="6135"/>
      <c r="L44" s="6135"/>
      <c r="M44" s="6135"/>
      <c r="N44" s="6135"/>
      <c r="O44" s="6135"/>
      <c r="P44" s="6135"/>
      <c r="Q44" s="6135"/>
      <c r="R44" s="6135"/>
      <c r="S44" s="6135"/>
      <c r="T44" s="6135"/>
      <c r="U44" s="6135"/>
      <c r="V44" s="6135"/>
      <c r="W44" s="6135"/>
      <c r="X44" s="6135"/>
      <c r="Y44" s="6135"/>
    </row>
    <row r="45">
      <c r="A45" s="6160" t="s">
        <v>6341</v>
      </c>
      <c r="B45" s="6160">
        <v>46222</v>
      </c>
      <c r="C45" s="6160" t="str">
        <v>Sunday</v>
      </c>
      <c r="D45" s="6161" t="s">
        <v>6359</v>
      </c>
      <c r="E45" s="6161">
        <f t="shared" si="57"/>
      </c>
      <c r="F45" s="6161" t="s">
        <v>6342</v>
      </c>
      <c r="G45" s="6162"/>
      <c r="H45" s="6161" t="s">
        <v>6325</v>
      </c>
      <c r="I45" s="6161" t="s">
        <v>6326</v>
      </c>
      <c r="J45" s="6161"/>
      <c r="K45" s="6135"/>
      <c r="L45" s="6135"/>
      <c r="M45" s="6135"/>
      <c r="N45" s="6135"/>
      <c r="O45" s="6135"/>
      <c r="P45" s="6135"/>
      <c r="Q45" s="6135"/>
      <c r="R45" s="6135"/>
      <c r="S45" s="6135"/>
      <c r="T45" s="6135"/>
      <c r="U45" s="6135"/>
      <c r="V45" s="6135"/>
      <c r="W45" s="6135"/>
      <c r="X45" s="6135"/>
      <c r="Y45" s="6135"/>
    </row>
    <row r="46">
      <c r="A46" s="6143" t="s">
        <v>6336</v>
      </c>
      <c r="B46" s="6143">
        <v>46222</v>
      </c>
      <c r="C46" s="6143" t="str">
        <v>Sunday</v>
      </c>
      <c r="D46" s="6144" t="s">
        <v>6346</v>
      </c>
      <c r="E46" s="6144">
        <f t="shared" si="57"/>
      </c>
      <c r="F46" s="6144" t="s">
        <v>6360</v>
      </c>
      <c r="G46" s="6163" t="s">
        <v>6339</v>
      </c>
      <c r="H46" s="6144"/>
      <c r="I46" s="6144" t="s">
        <v>6326</v>
      </c>
      <c r="J46" s="6144"/>
      <c r="K46" s="6135"/>
      <c r="L46" s="6135"/>
      <c r="M46" s="6135"/>
      <c r="N46" s="6135"/>
      <c r="O46" s="6135"/>
      <c r="P46" s="6135"/>
      <c r="Q46" s="6135"/>
      <c r="R46" s="6135"/>
      <c r="S46" s="6135"/>
      <c r="T46" s="6135"/>
      <c r="U46" s="6135"/>
      <c r="V46" s="6135"/>
      <c r="W46" s="6135"/>
      <c r="X46" s="6135"/>
      <c r="Y46" s="6135"/>
    </row>
    <row r="47">
      <c r="A47" s="6160" t="s">
        <v>6341</v>
      </c>
      <c r="B47" s="6160">
        <v>46222</v>
      </c>
      <c r="C47" s="6160" t="str">
        <v>Sunday</v>
      </c>
      <c r="D47" s="6161" t="s">
        <v>6346</v>
      </c>
      <c r="E47" s="6161">
        <f t="shared" si="57"/>
      </c>
      <c r="F47" s="6161" t="s">
        <v>6342</v>
      </c>
      <c r="G47" s="6162"/>
      <c r="H47" s="6161" t="s">
        <v>6325</v>
      </c>
      <c r="I47" s="6161" t="s">
        <v>6326</v>
      </c>
      <c r="J47" s="6161"/>
      <c r="K47" s="6135"/>
      <c r="L47" s="6135"/>
      <c r="M47" s="6135"/>
      <c r="N47" s="6135"/>
      <c r="O47" s="6135"/>
      <c r="P47" s="6135"/>
      <c r="Q47" s="6135"/>
      <c r="R47" s="6135"/>
      <c r="S47" s="6135"/>
      <c r="T47" s="6135"/>
      <c r="U47" s="6135"/>
      <c r="V47" s="6135"/>
      <c r="W47" s="6135"/>
      <c r="X47" s="6135"/>
      <c r="Y47" s="6135"/>
    </row>
    <row r="48">
      <c r="A48" s="6143"/>
      <c r="B48" s="6143"/>
      <c r="C48" s="6143"/>
      <c r="D48" s="6144"/>
      <c r="E48" s="6144"/>
      <c r="F48" s="6144"/>
      <c r="G48" s="6163"/>
      <c r="H48" s="6147"/>
      <c r="I48" s="6144"/>
      <c r="J48" s="6144"/>
      <c r="K48" s="6135"/>
      <c r="L48" s="6135"/>
      <c r="M48" s="6135"/>
      <c r="N48" s="6135"/>
      <c r="O48" s="6135"/>
      <c r="P48" s="6135"/>
      <c r="Q48" s="6135"/>
      <c r="R48" s="6135"/>
      <c r="S48" s="6135"/>
      <c r="T48" s="6135"/>
      <c r="U48" s="6135"/>
      <c r="V48" s="6135"/>
      <c r="W48" s="6135"/>
      <c r="X48" s="6135"/>
      <c r="Y48" s="6135"/>
    </row>
    <row r="49">
      <c r="A49" s="6143" t="s">
        <v>6361</v>
      </c>
      <c r="B49" s="6143">
        <v>46216</v>
      </c>
      <c r="C49" s="6143" t="str">
        <v>Monday</v>
      </c>
      <c r="D49" s="6144" t="s">
        <v>6362</v>
      </c>
      <c r="E49" s="6144">
        <f t="shared" ref="E49:E53" si="58">24*MOD(TIMEVALUE(TRIM(MID(D49,FIND("-",D49)+1,LEN(D49)))) - TIMEVALUE(TRIM(LEFT(D49,FIND("-",D49)-1))),1)</f>
      </c>
      <c r="F49" s="6144" t="s">
        <v>6348</v>
      </c>
      <c r="G49" s="6163"/>
      <c r="H49" s="6144"/>
      <c r="I49" s="6144"/>
      <c r="J49" s="6144" t="s">
        <v>6363</v>
      </c>
      <c r="K49" s="6135"/>
      <c r="L49" s="6135"/>
      <c r="M49" s="6135"/>
      <c r="N49" s="6135"/>
      <c r="O49" s="6135"/>
      <c r="P49" s="6135"/>
      <c r="Q49" s="6135"/>
      <c r="R49" s="6135"/>
      <c r="S49" s="6135"/>
      <c r="T49" s="6135"/>
      <c r="U49" s="6135"/>
      <c r="V49" s="6135"/>
      <c r="W49" s="6135"/>
      <c r="X49" s="6135"/>
      <c r="Y49" s="6135"/>
    </row>
    <row r="50">
      <c r="A50" s="6143" t="s">
        <v>6361</v>
      </c>
      <c r="B50" s="6143">
        <v>46217</v>
      </c>
      <c r="C50" s="6143" t="str">
        <v>Tuesday</v>
      </c>
      <c r="D50" s="6144" t="s">
        <v>6359</v>
      </c>
      <c r="E50" s="6144">
        <f t="shared" si="58"/>
      </c>
      <c r="F50" s="6144" t="s">
        <v>6348</v>
      </c>
      <c r="G50" s="6163"/>
      <c r="H50" s="6144"/>
      <c r="I50" s="6144"/>
      <c r="J50" s="6144" t="s">
        <v>6364</v>
      </c>
      <c r="K50" s="6135"/>
      <c r="L50" s="6135"/>
      <c r="M50" s="6135"/>
      <c r="N50" s="6135"/>
      <c r="O50" s="6135"/>
      <c r="P50" s="6135"/>
      <c r="Q50" s="6135"/>
      <c r="R50" s="6135"/>
      <c r="S50" s="6135"/>
      <c r="T50" s="6135"/>
      <c r="U50" s="6135"/>
      <c r="V50" s="6135"/>
      <c r="W50" s="6135"/>
      <c r="X50" s="6135"/>
      <c r="Y50" s="6135"/>
    </row>
    <row r="51">
      <c r="A51" s="6143" t="s">
        <v>6361</v>
      </c>
      <c r="B51" s="6143">
        <v>46217</v>
      </c>
      <c r="C51" s="6143" t="str">
        <v>Tuesday</v>
      </c>
      <c r="D51" s="6144" t="s">
        <v>6365</v>
      </c>
      <c r="E51" s="6144">
        <f t="shared" si="58"/>
      </c>
      <c r="F51" s="6144" t="s">
        <v>6348</v>
      </c>
      <c r="G51" s="6163"/>
      <c r="H51" s="6144"/>
      <c r="I51" s="6144"/>
      <c r="J51" s="6144" t="s">
        <v>6364</v>
      </c>
      <c r="K51" s="6135"/>
      <c r="L51" s="6135"/>
      <c r="M51" s="6135"/>
      <c r="N51" s="6135"/>
      <c r="O51" s="6135"/>
      <c r="P51" s="6135"/>
      <c r="Q51" s="6135"/>
      <c r="R51" s="6135"/>
      <c r="S51" s="6135"/>
      <c r="T51" s="6135"/>
      <c r="U51" s="6135"/>
      <c r="V51" s="6135"/>
      <c r="W51" s="6135"/>
      <c r="X51" s="6135"/>
      <c r="Y51" s="6135"/>
    </row>
    <row r="52">
      <c r="A52" s="6143" t="s">
        <v>6361</v>
      </c>
      <c r="B52" s="6143">
        <v>46219</v>
      </c>
      <c r="C52" s="6143" t="str">
        <v>Thursday</v>
      </c>
      <c r="D52" s="6144" t="s">
        <v>6366</v>
      </c>
      <c r="E52" s="6144">
        <f t="shared" si="58"/>
      </c>
      <c r="F52" s="6144" t="s">
        <v>6348</v>
      </c>
      <c r="G52" s="6163"/>
      <c r="H52" s="6144"/>
      <c r="I52" s="6144"/>
      <c r="J52" s="6144" t="s">
        <v>6367</v>
      </c>
      <c r="K52" s="6135"/>
      <c r="L52" s="6135"/>
      <c r="M52" s="6135"/>
      <c r="N52" s="6135"/>
      <c r="O52" s="6135"/>
      <c r="P52" s="6135"/>
      <c r="Q52" s="6135"/>
      <c r="R52" s="6135"/>
      <c r="S52" s="6135"/>
      <c r="T52" s="6135"/>
      <c r="U52" s="6135"/>
      <c r="V52" s="6135"/>
      <c r="W52" s="6135"/>
      <c r="X52" s="6135"/>
      <c r="Y52" s="6135"/>
    </row>
    <row r="53">
      <c r="A53" s="6143" t="s">
        <v>6361</v>
      </c>
      <c r="B53" s="6143">
        <v>46220</v>
      </c>
      <c r="C53" s="6143" t="str">
        <v>Friday</v>
      </c>
      <c r="D53" s="6144" t="s">
        <v>6368</v>
      </c>
      <c r="E53" s="6144">
        <f t="shared" si="58"/>
      </c>
      <c r="F53" s="6144" t="s">
        <v>6348</v>
      </c>
      <c r="G53" s="6144"/>
      <c r="H53" s="6147"/>
      <c r="I53" s="6144"/>
      <c r="J53" s="6144"/>
      <c r="K53" s="6135"/>
      <c r="L53" s="6135"/>
      <c r="M53" s="6135"/>
      <c r="N53" s="6135"/>
      <c r="O53" s="6135"/>
      <c r="P53" s="6135"/>
      <c r="Q53" s="6135"/>
      <c r="R53" s="6135"/>
      <c r="S53" s="6135"/>
      <c r="T53" s="6135"/>
      <c r="U53" s="6135"/>
      <c r="V53" s="6135"/>
      <c r="W53" s="6135"/>
      <c r="X53" s="6135"/>
      <c r="Y53" s="6135"/>
    </row>
    <row r="54">
      <c r="A54" s="6143"/>
      <c r="B54" s="6143"/>
      <c r="C54" s="6143"/>
      <c r="D54" s="6144"/>
      <c r="E54" s="6144"/>
      <c r="F54" s="6144"/>
      <c r="G54" s="6163"/>
      <c r="H54" s="6147"/>
      <c r="I54" s="6144"/>
      <c r="J54" s="6144"/>
      <c r="K54" s="6135"/>
      <c r="L54" s="6135"/>
      <c r="M54" s="6135"/>
      <c r="N54" s="6135"/>
      <c r="O54" s="6135"/>
      <c r="P54" s="6135"/>
      <c r="Q54" s="6135"/>
      <c r="R54" s="6135"/>
      <c r="S54" s="6135"/>
      <c r="T54" s="6135"/>
      <c r="U54" s="6135"/>
      <c r="V54" s="6135"/>
      <c r="W54" s="6135"/>
      <c r="X54" s="6135"/>
      <c r="Y54" s="6135"/>
    </row>
    <row r="55">
      <c r="A55" s="6135"/>
      <c r="B55" s="6135"/>
      <c r="C55" s="6135"/>
      <c r="D55" s="6135"/>
      <c r="E55" s="6135"/>
      <c r="F55" s="6135"/>
      <c r="G55" s="6135"/>
      <c r="H55" s="6135"/>
      <c r="I55" s="6135"/>
      <c r="J55" s="6135"/>
      <c r="K55" s="6135"/>
      <c r="L55" s="6135"/>
      <c r="M55" s="6135"/>
      <c r="N55" s="6135"/>
      <c r="O55" s="6135"/>
      <c r="P55" s="6135"/>
      <c r="Q55" s="6135"/>
      <c r="R55" s="6135"/>
      <c r="S55" s="6135"/>
      <c r="T55" s="6135"/>
      <c r="U55" s="6135"/>
      <c r="V55" s="6135"/>
      <c r="W55" s="6135"/>
      <c r="X55" s="6135"/>
      <c r="Y55" s="6135"/>
    </row>
    <row r="56">
      <c r="A56" s="6164" t="s">
        <v>6369</v>
      </c>
      <c r="B56" s="6164"/>
      <c r="C56" s="6164"/>
      <c r="D56" s="6164"/>
      <c r="E56" s="6164"/>
      <c r="F56" s="6164"/>
      <c r="G56" s="6165"/>
      <c r="H56" s="6165"/>
      <c r="I56" s="6165"/>
      <c r="J56" s="6165"/>
      <c r="K56" s="6166"/>
      <c r="L56" s="6166"/>
      <c r="M56" s="6166"/>
      <c r="N56" s="6166"/>
      <c r="O56" s="6133"/>
      <c r="P56" s="6133"/>
      <c r="Q56" s="6133"/>
      <c r="R56" s="6133"/>
      <c r="S56" s="6133"/>
      <c r="T56" s="6133"/>
      <c r="U56" s="6134"/>
      <c r="V56" s="6134"/>
      <c r="W56" s="6134"/>
      <c r="X56" s="6134"/>
      <c r="Y56" s="6134"/>
    </row>
    <row r="57">
      <c r="A57" s="6167" t="s">
        <v>6313</v>
      </c>
      <c r="B57" s="6168" t="s">
        <v>6314</v>
      </c>
      <c r="C57" s="6168"/>
      <c r="D57" s="6169" t="s">
        <v>6315</v>
      </c>
      <c r="E57" s="6169" t="s">
        <v>6316</v>
      </c>
      <c r="F57" s="6169" t="s">
        <v>6317</v>
      </c>
      <c r="G57" s="6170" t="s">
        <v>6335</v>
      </c>
      <c r="H57" s="6171" t="s">
        <v>6319</v>
      </c>
      <c r="I57" s="6171" t="s">
        <v>6320</v>
      </c>
      <c r="J57" s="6171" t="s">
        <v>6321</v>
      </c>
      <c r="K57" s="6166"/>
      <c r="L57" s="6166"/>
      <c r="M57" s="6166"/>
      <c r="N57" s="6166"/>
      <c r="O57" s="6133"/>
      <c r="P57" s="6133"/>
      <c r="Q57" s="6133"/>
      <c r="R57" s="6133"/>
      <c r="S57" s="6133"/>
      <c r="T57" s="6133"/>
      <c r="U57" s="6135"/>
      <c r="V57" s="6135"/>
      <c r="W57" s="6135"/>
      <c r="X57" s="6135"/>
      <c r="Y57" s="6135"/>
    </row>
    <row r="58">
      <c r="A58" s="6143" t="s">
        <v>6370</v>
      </c>
      <c r="B58" s="6143">
        <v>46218</v>
      </c>
      <c r="C58" s="6143" t="str">
        <v>Wednesday</v>
      </c>
      <c r="D58" s="6172" t="s">
        <v>6371</v>
      </c>
      <c r="E58" s="6144">
        <f t="shared" ref="E58:E59" si="59">24*MOD(TIMEVALUE(TRIM(MID(D58,FIND("-",D58)+1,LEN(D58)))) - TIMEVALUE(TRIM(LEFT(D58,FIND("-",D58)-1))),1)</f>
      </c>
      <c r="F58" s="6144" t="s">
        <v>6372</v>
      </c>
      <c r="G58" s="6146" t="s">
        <v>6373</v>
      </c>
      <c r="H58" s="6144" t="s">
        <v>6325</v>
      </c>
      <c r="I58" s="6144" t="s">
        <v>6326</v>
      </c>
      <c r="J58" s="6144"/>
      <c r="K58" s="6166"/>
      <c r="L58" s="6166"/>
      <c r="M58" s="6166"/>
      <c r="N58" s="6166"/>
      <c r="O58" s="6133"/>
      <c r="P58" s="6133"/>
      <c r="Q58" s="6133"/>
      <c r="R58" s="6133"/>
      <c r="S58" s="6133"/>
      <c r="T58" s="6133"/>
      <c r="U58" s="6134"/>
      <c r="V58" s="6134"/>
      <c r="W58" s="6134"/>
      <c r="X58" s="6134"/>
      <c r="Y58" s="6134"/>
    </row>
    <row r="59">
      <c r="A59" s="6143" t="s">
        <v>6370</v>
      </c>
      <c r="B59" s="6143">
        <v>46219</v>
      </c>
      <c r="C59" s="6143" t="str">
        <v>Thursday</v>
      </c>
      <c r="D59" s="6172" t="s">
        <v>6374</v>
      </c>
      <c r="E59" s="6144">
        <f t="shared" si="59"/>
      </c>
      <c r="F59" s="6144" t="s">
        <v>6324</v>
      </c>
      <c r="G59" s="6146" t="s">
        <v>6373</v>
      </c>
      <c r="H59" s="6144" t="s">
        <v>6325</v>
      </c>
      <c r="I59" s="6144" t="s">
        <v>6326</v>
      </c>
      <c r="J59" s="6144"/>
      <c r="K59" s="6166"/>
      <c r="L59" s="6166"/>
      <c r="M59" s="6166"/>
      <c r="N59" s="6166"/>
      <c r="O59" s="6133"/>
      <c r="P59" s="6133"/>
      <c r="Q59" s="6133"/>
      <c r="R59" s="6133"/>
      <c r="S59" s="6133"/>
      <c r="T59" s="6133"/>
      <c r="U59" s="6134"/>
      <c r="V59" s="6134"/>
      <c r="W59" s="6134"/>
      <c r="X59" s="6134"/>
      <c r="Y59" s="6134"/>
    </row>
    <row r="60">
      <c r="A60" s="6135"/>
      <c r="B60" s="6135"/>
      <c r="C60" s="6135"/>
      <c r="D60" s="6135"/>
      <c r="E60" s="6135"/>
      <c r="F60" s="6135"/>
      <c r="G60" s="6135"/>
      <c r="H60" s="6135"/>
      <c r="I60" s="6135"/>
      <c r="J60" s="6135"/>
      <c r="K60" s="6135"/>
      <c r="L60" s="6135"/>
      <c r="M60" s="6135"/>
      <c r="N60" s="6135"/>
      <c r="O60" s="6135"/>
      <c r="P60" s="6135"/>
      <c r="Q60" s="6135"/>
      <c r="R60" s="6135"/>
      <c r="S60" s="6135"/>
      <c r="T60" s="6135"/>
      <c r="U60" s="6135"/>
      <c r="V60" s="6135"/>
      <c r="W60" s="6135"/>
      <c r="X60" s="6135"/>
      <c r="Y60" s="6135"/>
    </row>
    <row r="61">
      <c r="A61" s="6143" t="s">
        <v>6369</v>
      </c>
      <c r="B61" s="6143">
        <v>46217</v>
      </c>
      <c r="C61" s="6143" t="str">
        <v>Tuesday</v>
      </c>
      <c r="D61" s="6172" t="s">
        <v>6375</v>
      </c>
      <c r="E61" s="6144">
        <f t="shared" ref="E61:E66" si="60">24*MOD(TIMEVALUE(TRIM(MID(D61,FIND("-",D61)+1,LEN(D61)))) - TIMEVALUE(TRIM(LEFT(D61,FIND("-",D61)-1))),1)</f>
      </c>
      <c r="F61" s="6144" t="s">
        <v>6360</v>
      </c>
      <c r="G61" s="6146" t="s">
        <v>6373</v>
      </c>
      <c r="H61" s="6144" t="s">
        <v>6325</v>
      </c>
      <c r="I61" s="6144" t="s">
        <v>6326</v>
      </c>
      <c r="J61" s="6144"/>
      <c r="K61" s="6166"/>
      <c r="L61" s="6166"/>
      <c r="M61" s="6166"/>
      <c r="N61" s="6166"/>
      <c r="O61" s="6133"/>
      <c r="P61" s="6133"/>
      <c r="Q61" s="6133"/>
      <c r="R61" s="6133"/>
      <c r="S61" s="6133"/>
      <c r="T61" s="6133"/>
      <c r="U61" s="6134"/>
      <c r="V61" s="6134"/>
      <c r="W61" s="6134"/>
      <c r="X61" s="6134"/>
      <c r="Y61" s="6134"/>
    </row>
    <row r="62">
      <c r="A62" s="6143" t="s">
        <v>6369</v>
      </c>
      <c r="B62" s="6143">
        <v>46218</v>
      </c>
      <c r="C62" s="6143" t="str">
        <v>Wednesday</v>
      </c>
      <c r="D62" s="6172" t="s">
        <v>6376</v>
      </c>
      <c r="E62" s="6144">
        <f t="shared" si="60"/>
      </c>
      <c r="F62" s="6144" t="s">
        <v>6377</v>
      </c>
      <c r="G62" s="6146" t="s">
        <v>6378</v>
      </c>
      <c r="H62" s="6144" t="s">
        <v>6325</v>
      </c>
      <c r="I62" s="6144" t="s">
        <v>6326</v>
      </c>
      <c r="J62" s="6144"/>
      <c r="K62" s="6166"/>
      <c r="L62" s="6166"/>
      <c r="M62" s="6166"/>
      <c r="N62" s="6166"/>
      <c r="O62" s="6133"/>
      <c r="P62" s="6133"/>
      <c r="Q62" s="6133"/>
      <c r="R62" s="6133"/>
      <c r="S62" s="6133"/>
      <c r="T62" s="6133"/>
      <c r="U62" s="6134"/>
      <c r="V62" s="6134"/>
      <c r="W62" s="6134"/>
      <c r="X62" s="6134"/>
      <c r="Y62" s="6134"/>
    </row>
    <row r="63">
      <c r="A63" s="6143" t="s">
        <v>6369</v>
      </c>
      <c r="B63" s="6143">
        <v>46219</v>
      </c>
      <c r="C63" s="6143" t="str">
        <v>Thursday</v>
      </c>
      <c r="D63" s="6172" t="s">
        <v>6379</v>
      </c>
      <c r="E63" s="6144">
        <f t="shared" si="60"/>
      </c>
      <c r="F63" s="6144" t="s">
        <v>6380</v>
      </c>
      <c r="G63" s="6146" t="s">
        <v>6381</v>
      </c>
      <c r="H63" s="6144" t="s">
        <v>6325</v>
      </c>
      <c r="I63" s="6144" t="s">
        <v>6326</v>
      </c>
      <c r="J63" s="6144"/>
      <c r="K63" s="6166"/>
      <c r="L63" s="6166"/>
      <c r="M63" s="6166"/>
      <c r="N63" s="6166"/>
      <c r="O63" s="6133"/>
      <c r="P63" s="6133"/>
      <c r="Q63" s="6133"/>
      <c r="R63" s="6133"/>
      <c r="S63" s="6133"/>
      <c r="T63" s="6133"/>
      <c r="U63" s="6134"/>
      <c r="V63" s="6134"/>
      <c r="W63" s="6134"/>
      <c r="X63" s="6134"/>
      <c r="Y63" s="6134"/>
    </row>
    <row r="64">
      <c r="A64" s="6173" t="s">
        <v>6369</v>
      </c>
      <c r="B64" s="6143">
        <v>46220</v>
      </c>
      <c r="C64" s="6173" t="str">
        <v>Friday</v>
      </c>
      <c r="D64" s="6172" t="s">
        <v>6382</v>
      </c>
      <c r="E64" s="6174">
        <f t="shared" si="60"/>
      </c>
      <c r="F64" s="6174" t="s">
        <v>6377</v>
      </c>
      <c r="G64" s="6146" t="s">
        <v>6383</v>
      </c>
      <c r="H64" s="6144" t="s">
        <v>6325</v>
      </c>
      <c r="I64" s="6144" t="s">
        <v>6326</v>
      </c>
      <c r="J64" s="6174"/>
      <c r="K64" s="6166"/>
      <c r="L64" s="6166"/>
      <c r="M64" s="6166"/>
      <c r="N64" s="6166"/>
      <c r="O64" s="6133"/>
      <c r="P64" s="6133"/>
      <c r="Q64" s="6133"/>
      <c r="R64" s="6133"/>
      <c r="S64" s="6133"/>
      <c r="T64" s="6133"/>
      <c r="U64" s="6134"/>
      <c r="V64" s="6134"/>
      <c r="W64" s="6134"/>
      <c r="X64" s="6134"/>
      <c r="Y64" s="6134"/>
    </row>
    <row r="65">
      <c r="A65" s="6143" t="s">
        <v>6369</v>
      </c>
      <c r="B65" s="6143">
        <v>46221</v>
      </c>
      <c r="C65" s="6143" t="str">
        <v>Saturday</v>
      </c>
      <c r="D65" s="6175" t="s">
        <v>6384</v>
      </c>
      <c r="E65" s="6144">
        <f t="shared" si="60"/>
      </c>
      <c r="F65" s="6144" t="s">
        <v>6385</v>
      </c>
      <c r="G65" s="6146" t="s">
        <v>6373</v>
      </c>
      <c r="H65" s="6144" t="s">
        <v>6325</v>
      </c>
      <c r="I65" s="6144" t="s">
        <v>6326</v>
      </c>
      <c r="J65" s="6144"/>
      <c r="K65" s="6166"/>
      <c r="L65" s="6166"/>
      <c r="M65" s="6166"/>
      <c r="N65" s="6166"/>
      <c r="O65" s="6133"/>
      <c r="P65" s="6133"/>
      <c r="Q65" s="6133"/>
      <c r="R65" s="6133"/>
      <c r="S65" s="6133"/>
      <c r="T65" s="6133"/>
      <c r="U65" s="6134"/>
      <c r="V65" s="6134"/>
      <c r="W65" s="6134"/>
      <c r="X65" s="6134"/>
      <c r="Y65" s="6134"/>
    </row>
    <row r="66">
      <c r="A66" s="6176" t="s">
        <v>6369</v>
      </c>
      <c r="B66" s="6143">
        <v>46222</v>
      </c>
      <c r="C66" s="6176" t="str">
        <v>Sunday</v>
      </c>
      <c r="D66" s="6172" t="s">
        <v>6386</v>
      </c>
      <c r="E66" s="6177">
        <f t="shared" si="60"/>
      </c>
      <c r="F66" s="6144" t="s">
        <v>6385</v>
      </c>
      <c r="G66" s="6178" t="s">
        <v>6373</v>
      </c>
      <c r="H66" s="6144" t="s">
        <v>6325</v>
      </c>
      <c r="I66" s="6144" t="s">
        <v>6326</v>
      </c>
      <c r="J66" s="6177"/>
      <c r="K66" s="6134"/>
      <c r="L66" s="6134"/>
      <c r="M66" s="6134"/>
      <c r="N66" s="6134"/>
      <c r="O66" s="6134"/>
      <c r="P66" s="6134"/>
      <c r="Q66" s="6134"/>
      <c r="R66" s="6134"/>
      <c r="S66" s="6134"/>
      <c r="T66" s="6134"/>
      <c r="U66" s="6134"/>
      <c r="V66" s="6134"/>
      <c r="W66" s="6134"/>
      <c r="X66" s="6134"/>
      <c r="Y66" s="6134"/>
    </row>
    <row r="67">
      <c r="A67" s="6135"/>
      <c r="B67" s="6135"/>
      <c r="C67" s="6135"/>
      <c r="D67" s="6135"/>
      <c r="E67" s="6135"/>
      <c r="F67" s="6135"/>
      <c r="G67" s="6135"/>
      <c r="H67" s="6135"/>
      <c r="I67" s="6135"/>
      <c r="J67" s="6135"/>
      <c r="K67" s="6135"/>
      <c r="L67" s="6135"/>
      <c r="M67" s="6135"/>
      <c r="N67" s="6135"/>
      <c r="O67" s="6135"/>
      <c r="P67" s="6135"/>
      <c r="Q67" s="6135"/>
      <c r="R67" s="6135"/>
      <c r="S67" s="6135"/>
      <c r="T67" s="6135"/>
      <c r="U67" s="6135"/>
      <c r="V67" s="6135"/>
      <c r="W67" s="6135"/>
      <c r="X67" s="6135"/>
      <c r="Y67" s="6135"/>
    </row>
    <row r="68">
      <c r="A68" s="6143" t="s">
        <v>6387</v>
      </c>
      <c r="B68" s="6143">
        <v>46218</v>
      </c>
      <c r="C68" s="6143" t="str">
        <v>Wednesday</v>
      </c>
      <c r="D68" s="6172" t="s">
        <v>6376</v>
      </c>
      <c r="E68" s="6144">
        <f t="shared" ref="E68:E71" si="61">24*MOD(TIMEVALUE(TRIM(MID(D68,FIND("-",D68)+1,LEN(D68)))) - TIMEVALUE(TRIM(LEFT(D68,FIND("-",D68)-1))),1)</f>
      </c>
      <c r="F68" s="6144" t="s">
        <v>6383</v>
      </c>
      <c r="G68" s="6146"/>
      <c r="H68" s="6144" t="s">
        <v>6325</v>
      </c>
      <c r="I68" s="6144" t="s">
        <v>6326</v>
      </c>
      <c r="J68" s="6144"/>
      <c r="K68" s="6166"/>
      <c r="L68" s="6166"/>
      <c r="M68" s="6166"/>
      <c r="N68" s="6166"/>
      <c r="O68" s="6133"/>
      <c r="P68" s="6133"/>
      <c r="Q68" s="6133"/>
      <c r="R68" s="6133"/>
      <c r="S68" s="6133"/>
      <c r="T68" s="6133"/>
      <c r="U68" s="6134"/>
      <c r="V68" s="6134"/>
      <c r="W68" s="6134"/>
      <c r="X68" s="6134"/>
      <c r="Y68" s="6134"/>
    </row>
    <row r="69">
      <c r="A69" s="6143" t="s">
        <v>6387</v>
      </c>
      <c r="B69" s="6143">
        <v>46219</v>
      </c>
      <c r="C69" s="6143" t="str">
        <v>Thursday</v>
      </c>
      <c r="D69" s="6172" t="s">
        <v>6388</v>
      </c>
      <c r="E69" s="6144">
        <f t="shared" si="61"/>
      </c>
      <c r="F69" s="6144" t="s">
        <v>6372</v>
      </c>
      <c r="G69" s="6146"/>
      <c r="H69" s="6144" t="s">
        <v>6325</v>
      </c>
      <c r="I69" s="6144" t="s">
        <v>6326</v>
      </c>
      <c r="J69" s="6144"/>
      <c r="K69" s="6166"/>
      <c r="L69" s="6166"/>
      <c r="M69" s="6166"/>
      <c r="N69" s="6166"/>
      <c r="O69" s="6133"/>
      <c r="P69" s="6133"/>
      <c r="Q69" s="6133"/>
      <c r="R69" s="6133"/>
      <c r="S69" s="6133"/>
      <c r="T69" s="6133"/>
      <c r="U69" s="6134"/>
      <c r="V69" s="6134"/>
      <c r="W69" s="6134"/>
      <c r="X69" s="6134"/>
      <c r="Y69" s="6134"/>
    </row>
    <row r="70">
      <c r="A70" s="6143" t="s">
        <v>6387</v>
      </c>
      <c r="B70" s="6143">
        <v>46220</v>
      </c>
      <c r="C70" s="6173" t="str">
        <v>Friday</v>
      </c>
      <c r="D70" s="6172" t="s">
        <v>6382</v>
      </c>
      <c r="E70" s="6174">
        <f t="shared" si="61"/>
      </c>
      <c r="F70" s="6144" t="s">
        <v>6383</v>
      </c>
      <c r="G70" s="6146"/>
      <c r="H70" s="6144" t="s">
        <v>6325</v>
      </c>
      <c r="I70" s="6144" t="s">
        <v>6326</v>
      </c>
      <c r="J70" s="6144"/>
      <c r="K70" s="6166"/>
      <c r="L70" s="6166"/>
      <c r="M70" s="6166"/>
      <c r="N70" s="6166"/>
      <c r="O70" s="6133"/>
      <c r="P70" s="6133"/>
      <c r="Q70" s="6133"/>
      <c r="R70" s="6133"/>
      <c r="S70" s="6133"/>
      <c r="T70" s="6133"/>
      <c r="U70" s="6134"/>
      <c r="V70" s="6134"/>
      <c r="W70" s="6134"/>
      <c r="X70" s="6134"/>
      <c r="Y70" s="6134"/>
    </row>
    <row r="71">
      <c r="A71" s="6156" t="s">
        <v>6387</v>
      </c>
      <c r="B71" s="6156">
        <v>46221</v>
      </c>
      <c r="C71" s="6156" t="str">
        <v>Saturday</v>
      </c>
      <c r="D71" s="6179" t="s">
        <v>6376</v>
      </c>
      <c r="E71" s="6157">
        <f t="shared" si="61"/>
      </c>
      <c r="F71" s="6157" t="s">
        <v>6383</v>
      </c>
      <c r="G71" s="6180"/>
      <c r="H71" s="6157" t="s">
        <v>6325</v>
      </c>
      <c r="I71" s="6157" t="s">
        <v>6326</v>
      </c>
      <c r="J71" s="6144"/>
      <c r="K71" s="6166"/>
      <c r="L71" s="6166"/>
      <c r="M71" s="6166"/>
      <c r="N71" s="6166"/>
      <c r="O71" s="6133"/>
      <c r="P71" s="6133"/>
      <c r="Q71" s="6133"/>
      <c r="R71" s="6133"/>
      <c r="S71" s="6133"/>
      <c r="T71" s="6133"/>
      <c r="U71" s="6134"/>
      <c r="V71" s="6134"/>
      <c r="W71" s="6134"/>
      <c r="X71" s="6134"/>
      <c r="Y71" s="6134"/>
    </row>
    <row r="72">
      <c r="A72" s="6135"/>
      <c r="B72" s="6135"/>
      <c r="C72" s="6135"/>
      <c r="D72" s="6135"/>
      <c r="E72" s="6135"/>
      <c r="F72" s="6135"/>
      <c r="G72" s="6135"/>
      <c r="H72" s="6135"/>
      <c r="I72" s="6135"/>
      <c r="J72" s="6135"/>
      <c r="K72" s="6135"/>
      <c r="L72" s="6135"/>
      <c r="M72" s="6135"/>
      <c r="N72" s="6135"/>
      <c r="O72" s="6135"/>
      <c r="P72" s="6135"/>
      <c r="Q72" s="6135"/>
      <c r="R72" s="6135"/>
      <c r="S72" s="6135"/>
      <c r="T72" s="6135"/>
      <c r="U72" s="6135"/>
      <c r="V72" s="6135"/>
      <c r="W72" s="6135"/>
      <c r="X72" s="6135"/>
      <c r="Y72" s="6135"/>
    </row>
    <row r="73">
      <c r="A73" s="6181" t="s">
        <v>6389</v>
      </c>
      <c r="B73" s="6181" t="s">
        <v>6390</v>
      </c>
      <c r="C73" s="6182"/>
      <c r="D73" s="6182"/>
      <c r="E73" s="6182"/>
      <c r="F73" s="6182"/>
      <c r="G73" s="6182"/>
      <c r="H73" s="6182"/>
      <c r="I73" s="6182"/>
      <c r="J73" s="6182"/>
      <c r="K73" s="6133"/>
      <c r="L73" s="6133"/>
      <c r="M73" s="6133"/>
      <c r="N73" s="6133"/>
      <c r="O73" s="6133"/>
      <c r="P73" s="6133"/>
      <c r="Q73" s="6133"/>
      <c r="R73" s="6133"/>
      <c r="S73" s="6133"/>
      <c r="T73" s="6133"/>
      <c r="U73" s="6135"/>
      <c r="V73" s="6135"/>
      <c r="W73" s="6135"/>
      <c r="X73" s="6135"/>
      <c r="Y73" s="6135"/>
    </row>
    <row r="74">
      <c r="A74" s="6183" t="s">
        <v>6313</v>
      </c>
      <c r="B74" s="6184" t="s">
        <v>6314</v>
      </c>
      <c r="C74" s="6184"/>
      <c r="D74" s="6185" t="s">
        <v>6315</v>
      </c>
      <c r="E74" s="6185" t="s">
        <v>6316</v>
      </c>
      <c r="F74" s="6185" t="s">
        <v>6317</v>
      </c>
      <c r="G74" s="6186" t="s">
        <v>6335</v>
      </c>
      <c r="H74" s="6185" t="s">
        <v>6319</v>
      </c>
      <c r="I74" s="6185" t="s">
        <v>6320</v>
      </c>
      <c r="J74" s="6185" t="s">
        <v>6321</v>
      </c>
      <c r="K74" s="6133"/>
      <c r="L74" s="6133"/>
      <c r="M74" s="6133"/>
      <c r="N74" s="6133"/>
      <c r="O74" s="6133"/>
      <c r="P74" s="6133"/>
      <c r="Q74" s="6133"/>
      <c r="R74" s="6133"/>
      <c r="S74" s="6133"/>
      <c r="T74" s="6133"/>
      <c r="U74" s="6135"/>
      <c r="V74" s="6135"/>
      <c r="W74" s="6135"/>
      <c r="X74" s="6135"/>
      <c r="Y74" s="6135"/>
    </row>
    <row r="75">
      <c r="A75" s="6187" t="s">
        <v>6389</v>
      </c>
      <c r="B75" s="6143">
        <v>46216</v>
      </c>
      <c r="C75" s="6143" t="str">
        <v>Monday</v>
      </c>
      <c r="D75" s="6144" t="s">
        <v>6366</v>
      </c>
      <c r="E75" s="6144">
        <f t="shared" ref="E75:E96" si="62">24*MOD(TIMEVALUE(TRIM(MID(D75,FIND("-",D75)+1,LEN(D75)))) - TIMEVALUE(TRIM(LEFT(D75,FIND("-",D75)-1))),1)</f>
      </c>
      <c r="F75" s="6147" t="s">
        <v>6391</v>
      </c>
      <c r="G75" s="6188" t="s">
        <v>6392</v>
      </c>
      <c r="H75" s="6147" t="s">
        <v>6325</v>
      </c>
      <c r="I75" s="6144" t="s">
        <v>6326</v>
      </c>
      <c r="J75" s="6189"/>
      <c r="K75" s="6133"/>
      <c r="L75" s="6133"/>
      <c r="M75" s="6133"/>
      <c r="N75" s="6133"/>
      <c r="O75" s="6133"/>
      <c r="P75" s="6133"/>
      <c r="Q75" s="6133"/>
      <c r="R75" s="6133"/>
      <c r="S75" s="6133"/>
      <c r="T75" s="6133"/>
      <c r="U75" s="6135"/>
      <c r="V75" s="6135"/>
      <c r="W75" s="6135"/>
      <c r="X75" s="6135"/>
      <c r="Y75" s="6135"/>
    </row>
    <row r="76">
      <c r="A76" s="6187" t="s">
        <v>6389</v>
      </c>
      <c r="B76" s="6143">
        <v>46216</v>
      </c>
      <c r="C76" s="6143" t="str">
        <v>Monday</v>
      </c>
      <c r="D76" s="6144" t="s">
        <v>6350</v>
      </c>
      <c r="E76" s="6144">
        <f t="shared" si="62"/>
      </c>
      <c r="F76" s="6147" t="s">
        <v>6393</v>
      </c>
      <c r="G76" s="6188" t="s">
        <v>6394</v>
      </c>
      <c r="H76" s="6147" t="s">
        <v>6325</v>
      </c>
      <c r="I76" s="6144" t="s">
        <v>6395</v>
      </c>
      <c r="J76" s="6189"/>
      <c r="K76" s="6133"/>
      <c r="L76" s="6133"/>
      <c r="M76" s="6133"/>
      <c r="N76" s="6133"/>
      <c r="O76" s="6133"/>
      <c r="P76" s="6133"/>
      <c r="Q76" s="6133"/>
      <c r="R76" s="6133"/>
      <c r="S76" s="6133"/>
      <c r="T76" s="6133"/>
      <c r="U76" s="6135"/>
      <c r="V76" s="6135"/>
      <c r="W76" s="6135"/>
      <c r="X76" s="6135"/>
      <c r="Y76" s="6135"/>
    </row>
    <row r="77">
      <c r="A77" s="6190" t="s">
        <v>6389</v>
      </c>
      <c r="B77" s="6143">
        <v>46217</v>
      </c>
      <c r="C77" s="6143" t="str">
        <v>Tuesday</v>
      </c>
      <c r="D77" s="6144" t="s">
        <v>6359</v>
      </c>
      <c r="E77" s="6144">
        <f t="shared" si="62"/>
      </c>
      <c r="F77" s="6147" t="s">
        <v>6391</v>
      </c>
      <c r="G77" s="6191" t="s">
        <v>6396</v>
      </c>
      <c r="H77" s="6147" t="s">
        <v>6325</v>
      </c>
      <c r="I77" s="6144" t="s">
        <v>6326</v>
      </c>
      <c r="J77" s="6192"/>
      <c r="K77" s="6133"/>
      <c r="L77" s="6133"/>
      <c r="M77" s="6133"/>
      <c r="N77" s="6133"/>
      <c r="O77" s="6133"/>
      <c r="P77" s="6133"/>
      <c r="Q77" s="6133"/>
      <c r="R77" s="6133"/>
      <c r="S77" s="6133"/>
      <c r="T77" s="6133"/>
      <c r="U77" s="6135"/>
      <c r="V77" s="6135"/>
      <c r="W77" s="6135"/>
      <c r="X77" s="6135"/>
      <c r="Y77" s="6135"/>
    </row>
    <row r="78">
      <c r="A78" s="6190" t="s">
        <v>6389</v>
      </c>
      <c r="B78" s="6143">
        <v>46217</v>
      </c>
      <c r="C78" s="6143" t="str">
        <v>Tuesday</v>
      </c>
      <c r="D78" s="6144" t="s">
        <v>6397</v>
      </c>
      <c r="E78" s="6144">
        <f t="shared" si="62"/>
      </c>
      <c r="F78" s="6147" t="s">
        <v>6398</v>
      </c>
      <c r="G78" s="6191" t="s">
        <v>6392</v>
      </c>
      <c r="H78" s="6147" t="s">
        <v>6325</v>
      </c>
      <c r="I78" s="6144" t="s">
        <v>6326</v>
      </c>
      <c r="J78" s="6192"/>
      <c r="K78" s="6133"/>
      <c r="L78" s="6133"/>
      <c r="M78" s="6133"/>
      <c r="N78" s="6133"/>
      <c r="O78" s="6133"/>
      <c r="P78" s="6133"/>
      <c r="Q78" s="6133"/>
      <c r="R78" s="6133"/>
      <c r="S78" s="6133"/>
      <c r="T78" s="6133"/>
      <c r="U78" s="6135"/>
      <c r="V78" s="6135"/>
      <c r="W78" s="6135"/>
      <c r="X78" s="6135"/>
      <c r="Y78" s="6135"/>
    </row>
    <row r="79">
      <c r="A79" s="6190" t="s">
        <v>6389</v>
      </c>
      <c r="B79" s="6143">
        <v>46218</v>
      </c>
      <c r="C79" s="6143" t="str">
        <v>Wednesday</v>
      </c>
      <c r="D79" s="6144" t="s">
        <v>6358</v>
      </c>
      <c r="E79" s="6144">
        <f t="shared" si="62"/>
      </c>
      <c r="F79" s="6147" t="s">
        <v>6393</v>
      </c>
      <c r="G79" s="6191" t="s">
        <v>6399</v>
      </c>
      <c r="H79" s="6147" t="s">
        <v>6325</v>
      </c>
      <c r="I79" s="6144" t="s">
        <v>6395</v>
      </c>
      <c r="J79" s="6192"/>
      <c r="K79" s="6133"/>
      <c r="L79" s="6133"/>
      <c r="M79" s="6133"/>
      <c r="N79" s="6133"/>
      <c r="O79" s="6133"/>
      <c r="P79" s="6133"/>
      <c r="Q79" s="6133"/>
      <c r="R79" s="6133"/>
      <c r="S79" s="6133"/>
      <c r="T79" s="6133"/>
      <c r="U79" s="6135"/>
      <c r="V79" s="6135"/>
      <c r="W79" s="6135"/>
      <c r="X79" s="6135"/>
      <c r="Y79" s="6135"/>
    </row>
    <row r="80">
      <c r="A80" s="6193" t="s">
        <v>6389</v>
      </c>
      <c r="B80" s="6156">
        <v>46219</v>
      </c>
      <c r="C80" s="6156" t="str">
        <v>Thursday</v>
      </c>
      <c r="D80" s="6157" t="s">
        <v>6358</v>
      </c>
      <c r="E80" s="6157">
        <f t="shared" si="62"/>
      </c>
      <c r="F80" s="6157" t="s">
        <v>6398</v>
      </c>
      <c r="G80" s="6194" t="s">
        <v>6400</v>
      </c>
      <c r="H80" s="6157" t="s">
        <v>6325</v>
      </c>
      <c r="I80" s="6157" t="s">
        <v>6326</v>
      </c>
      <c r="J80" s="6195" t="s">
        <v>6401</v>
      </c>
      <c r="K80" s="6196"/>
      <c r="L80" s="6196"/>
      <c r="M80" s="6196"/>
      <c r="N80" s="6196"/>
      <c r="O80" s="6196"/>
      <c r="P80" s="6196"/>
      <c r="Q80" s="6196"/>
      <c r="R80" s="6196"/>
      <c r="S80" s="6196"/>
      <c r="T80" s="6196"/>
      <c r="U80" s="6159"/>
      <c r="V80" s="6159"/>
      <c r="W80" s="6159"/>
      <c r="X80" s="6159"/>
      <c r="Y80" s="6159"/>
    </row>
    <row r="81">
      <c r="A81" s="6193" t="s">
        <v>6389</v>
      </c>
      <c r="B81" s="6156">
        <v>46220</v>
      </c>
      <c r="C81" s="6156" t="str">
        <v>Friday</v>
      </c>
      <c r="D81" s="6157" t="s">
        <v>6366</v>
      </c>
      <c r="E81" s="6157">
        <f t="shared" si="62"/>
      </c>
      <c r="F81" s="6157" t="s">
        <v>6393</v>
      </c>
      <c r="G81" s="6194" t="s">
        <v>6402</v>
      </c>
      <c r="H81" s="6157" t="s">
        <v>6325</v>
      </c>
      <c r="I81" s="6157" t="s">
        <v>6395</v>
      </c>
      <c r="J81" s="6195" t="s">
        <v>6403</v>
      </c>
      <c r="K81" s="6196"/>
      <c r="L81" s="6196"/>
      <c r="M81" s="6196"/>
      <c r="N81" s="6196"/>
      <c r="O81" s="6196"/>
      <c r="P81" s="6196"/>
      <c r="Q81" s="6196"/>
      <c r="R81" s="6196"/>
      <c r="S81" s="6196"/>
      <c r="T81" s="6196"/>
      <c r="U81" s="6159"/>
      <c r="V81" s="6159"/>
      <c r="W81" s="6159"/>
      <c r="X81" s="6159"/>
      <c r="Y81" s="6159"/>
    </row>
    <row r="82">
      <c r="A82" s="6187" t="s">
        <v>6389</v>
      </c>
      <c r="B82" s="6143">
        <v>46220</v>
      </c>
      <c r="C82" s="6143" t="str">
        <v>Friday</v>
      </c>
      <c r="D82" s="6144" t="s">
        <v>6358</v>
      </c>
      <c r="E82" s="6144">
        <f t="shared" si="62"/>
      </c>
      <c r="F82" s="6147" t="s">
        <v>6404</v>
      </c>
      <c r="G82" s="6188" t="s">
        <v>6396</v>
      </c>
      <c r="H82" s="6147" t="s">
        <v>6325</v>
      </c>
      <c r="I82" s="6144" t="s">
        <v>6395</v>
      </c>
      <c r="J82" s="6189"/>
      <c r="K82" s="6133"/>
      <c r="L82" s="6133"/>
      <c r="M82" s="6133"/>
      <c r="N82" s="6133"/>
      <c r="O82" s="6133"/>
      <c r="P82" s="6133"/>
      <c r="Q82" s="6133"/>
      <c r="R82" s="6133"/>
      <c r="S82" s="6133"/>
      <c r="T82" s="6133"/>
      <c r="U82" s="6135"/>
      <c r="V82" s="6135"/>
      <c r="W82" s="6135"/>
      <c r="X82" s="6135"/>
      <c r="Y82" s="6135"/>
    </row>
    <row r="83">
      <c r="A83" s="6187" t="s">
        <v>6389</v>
      </c>
      <c r="B83" s="6143">
        <v>46221</v>
      </c>
      <c r="C83" s="6143" t="str">
        <v>Saturday</v>
      </c>
      <c r="D83" s="6144" t="s">
        <v>6358</v>
      </c>
      <c r="E83" s="6144">
        <f t="shared" si="62"/>
      </c>
      <c r="F83" s="6147" t="s">
        <v>6404</v>
      </c>
      <c r="G83" s="6188" t="s">
        <v>6405</v>
      </c>
      <c r="H83" s="6147" t="s">
        <v>6325</v>
      </c>
      <c r="I83" s="6144" t="s">
        <v>6395</v>
      </c>
      <c r="J83" s="6189"/>
      <c r="K83" s="6133"/>
      <c r="L83" s="6133"/>
      <c r="M83" s="6133"/>
      <c r="N83" s="6133"/>
      <c r="O83" s="6133"/>
      <c r="P83" s="6133"/>
      <c r="Q83" s="6133"/>
      <c r="R83" s="6133"/>
      <c r="S83" s="6133"/>
      <c r="T83" s="6133"/>
      <c r="U83" s="6135"/>
      <c r="V83" s="6135"/>
      <c r="W83" s="6135"/>
      <c r="X83" s="6135"/>
      <c r="Y83" s="6135"/>
    </row>
    <row r="84">
      <c r="A84" s="6187" t="s">
        <v>6389</v>
      </c>
      <c r="B84" s="6143">
        <v>46222</v>
      </c>
      <c r="C84" s="6143" t="str">
        <v>Sunday</v>
      </c>
      <c r="D84" s="6144" t="s">
        <v>6327</v>
      </c>
      <c r="E84" s="6144">
        <f t="shared" si="62"/>
      </c>
      <c r="F84" s="6147" t="s">
        <v>6372</v>
      </c>
      <c r="G84" s="6188" t="s">
        <v>6396</v>
      </c>
      <c r="H84" s="6147" t="s">
        <v>6325</v>
      </c>
      <c r="I84" s="6144" t="s">
        <v>6326</v>
      </c>
      <c r="J84" s="6189" t="s">
        <v>6406</v>
      </c>
      <c r="K84" s="6133"/>
      <c r="L84" s="6133"/>
      <c r="M84" s="6133"/>
      <c r="N84" s="6133"/>
      <c r="O84" s="6133"/>
      <c r="P84" s="6133"/>
      <c r="Q84" s="6133"/>
      <c r="R84" s="6133"/>
      <c r="S84" s="6133"/>
      <c r="T84" s="6133"/>
      <c r="U84" s="6135"/>
      <c r="V84" s="6135"/>
      <c r="W84" s="6135"/>
      <c r="X84" s="6135"/>
      <c r="Y84" s="6135"/>
    </row>
    <row r="85">
      <c r="A85" s="6187" t="s">
        <v>6407</v>
      </c>
      <c r="B85" s="6143">
        <v>46216</v>
      </c>
      <c r="C85" s="6143" t="str">
        <v>Monday</v>
      </c>
      <c r="D85" s="6144" t="s">
        <v>6366</v>
      </c>
      <c r="E85" s="6144">
        <f t="shared" si="62"/>
      </c>
      <c r="F85" s="6147" t="s">
        <v>6393</v>
      </c>
      <c r="G85" s="6188"/>
      <c r="H85" s="6147" t="s">
        <v>6325</v>
      </c>
      <c r="I85" s="6144" t="s">
        <v>6395</v>
      </c>
      <c r="J85" s="6189"/>
      <c r="K85" s="6133"/>
      <c r="L85" s="6133"/>
      <c r="M85" s="6133"/>
      <c r="N85" s="6133"/>
      <c r="O85" s="6133"/>
      <c r="P85" s="6133"/>
      <c r="Q85" s="6133"/>
      <c r="R85" s="6133"/>
      <c r="S85" s="6133"/>
      <c r="T85" s="6133"/>
      <c r="U85" s="6135"/>
      <c r="V85" s="6135"/>
      <c r="W85" s="6135"/>
      <c r="X85" s="6135"/>
      <c r="Y85" s="6135"/>
    </row>
    <row r="86">
      <c r="A86" s="6187" t="s">
        <v>6407</v>
      </c>
      <c r="B86" s="6143">
        <v>46216</v>
      </c>
      <c r="C86" s="6143" t="str">
        <v>Monday</v>
      </c>
      <c r="D86" s="6144" t="s">
        <v>6337</v>
      </c>
      <c r="E86" s="6144">
        <f t="shared" si="62"/>
      </c>
      <c r="F86" s="6147" t="s">
        <v>6391</v>
      </c>
      <c r="G86" s="6188"/>
      <c r="H86" s="6147" t="s">
        <v>6325</v>
      </c>
      <c r="I86" s="6144" t="s">
        <v>6326</v>
      </c>
      <c r="J86" s="6197" t="s">
        <v>6408</v>
      </c>
      <c r="K86" s="6133"/>
      <c r="L86" s="6133"/>
      <c r="M86" s="6133"/>
      <c r="N86" s="6133"/>
      <c r="O86" s="6133"/>
      <c r="P86" s="6133"/>
      <c r="Q86" s="6133"/>
      <c r="R86" s="6133"/>
      <c r="S86" s="6133"/>
      <c r="T86" s="6133"/>
      <c r="U86" s="6135"/>
      <c r="V86" s="6135"/>
      <c r="W86" s="6135"/>
      <c r="X86" s="6135"/>
      <c r="Y86" s="6135"/>
    </row>
    <row r="87">
      <c r="A87" s="6187" t="s">
        <v>6407</v>
      </c>
      <c r="B87" s="6143">
        <v>46217</v>
      </c>
      <c r="C87" s="6143" t="str">
        <v>Tuesday</v>
      </c>
      <c r="D87" s="6144" t="s">
        <v>6409</v>
      </c>
      <c r="E87" s="6144">
        <f t="shared" si="62"/>
      </c>
      <c r="F87" s="6147" t="s">
        <v>6398</v>
      </c>
      <c r="G87" s="6188"/>
      <c r="H87" s="6147" t="s">
        <v>6325</v>
      </c>
      <c r="I87" s="6144" t="s">
        <v>6326</v>
      </c>
      <c r="J87" s="6197"/>
      <c r="K87" s="6133"/>
      <c r="L87" s="6133"/>
      <c r="M87" s="6133"/>
      <c r="N87" s="6133"/>
      <c r="O87" s="6133"/>
      <c r="P87" s="6133"/>
      <c r="Q87" s="6133"/>
      <c r="R87" s="6133"/>
      <c r="S87" s="6133"/>
      <c r="T87" s="6133"/>
      <c r="U87" s="6135"/>
      <c r="V87" s="6135"/>
      <c r="W87" s="6135"/>
      <c r="X87" s="6135"/>
      <c r="Y87" s="6135"/>
    </row>
    <row r="88">
      <c r="A88" s="6187" t="s">
        <v>6407</v>
      </c>
      <c r="B88" s="6143">
        <v>46217</v>
      </c>
      <c r="C88" s="6143" t="str">
        <v>Tuesday</v>
      </c>
      <c r="D88" s="6144" t="s">
        <v>6397</v>
      </c>
      <c r="E88" s="6144">
        <f t="shared" si="62"/>
      </c>
      <c r="F88" s="6147" t="s">
        <v>6391</v>
      </c>
      <c r="G88" s="6188"/>
      <c r="H88" s="6147" t="s">
        <v>6325</v>
      </c>
      <c r="I88" s="6144" t="s">
        <v>6326</v>
      </c>
      <c r="J88" s="6197" t="s">
        <v>6410</v>
      </c>
      <c r="K88" s="6133"/>
      <c r="L88" s="6133"/>
      <c r="M88" s="6133"/>
      <c r="N88" s="6133"/>
      <c r="O88" s="6133"/>
      <c r="P88" s="6133"/>
      <c r="Q88" s="6133"/>
      <c r="R88" s="6133"/>
      <c r="S88" s="6133"/>
      <c r="T88" s="6133"/>
      <c r="U88" s="6135"/>
      <c r="V88" s="6135"/>
      <c r="W88" s="6135"/>
      <c r="X88" s="6135"/>
      <c r="Y88" s="6135"/>
    </row>
    <row r="89">
      <c r="A89" s="6187" t="s">
        <v>6407</v>
      </c>
      <c r="B89" s="6143">
        <v>46221</v>
      </c>
      <c r="C89" s="6143" t="str">
        <v>Saturday</v>
      </c>
      <c r="D89" s="6144" t="s">
        <v>6411</v>
      </c>
      <c r="E89" s="6144">
        <f t="shared" si="62"/>
      </c>
      <c r="F89" s="6147" t="s">
        <v>6412</v>
      </c>
      <c r="G89" s="6188"/>
      <c r="H89" s="6147" t="s">
        <v>6325</v>
      </c>
      <c r="I89" s="6144" t="s">
        <v>6395</v>
      </c>
      <c r="J89" s="6189"/>
      <c r="K89" s="6133"/>
      <c r="L89" s="6133"/>
      <c r="M89" s="6133"/>
      <c r="N89" s="6133"/>
      <c r="O89" s="6133"/>
      <c r="P89" s="6133"/>
      <c r="Q89" s="6133"/>
      <c r="R89" s="6133"/>
      <c r="S89" s="6133"/>
      <c r="T89" s="6133"/>
      <c r="U89" s="6135"/>
      <c r="V89" s="6135"/>
      <c r="W89" s="6135"/>
      <c r="X89" s="6135"/>
      <c r="Y89" s="6135"/>
    </row>
    <row r="90">
      <c r="A90" s="6190" t="s">
        <v>6413</v>
      </c>
      <c r="B90" s="6143">
        <v>46216</v>
      </c>
      <c r="C90" s="6143" t="str">
        <v>Monday</v>
      </c>
      <c r="D90" s="6144" t="s">
        <v>6414</v>
      </c>
      <c r="E90" s="6144">
        <f t="shared" si="62"/>
      </c>
      <c r="F90" s="6147" t="s">
        <v>6415</v>
      </c>
      <c r="G90" s="6188"/>
      <c r="H90" s="6147" t="s">
        <v>6325</v>
      </c>
      <c r="I90" s="6144" t="s">
        <v>6395</v>
      </c>
      <c r="J90" s="6189"/>
      <c r="K90" s="6133"/>
      <c r="L90" s="6133"/>
      <c r="M90" s="6133"/>
      <c r="N90" s="6133"/>
      <c r="O90" s="6133"/>
      <c r="P90" s="6133"/>
      <c r="Q90" s="6133"/>
      <c r="R90" s="6133"/>
      <c r="S90" s="6133"/>
      <c r="T90" s="6133"/>
      <c r="U90" s="6135"/>
      <c r="V90" s="6135"/>
      <c r="W90" s="6135"/>
      <c r="X90" s="6135"/>
      <c r="Y90" s="6135"/>
    </row>
    <row r="91">
      <c r="A91" s="6190" t="s">
        <v>6413</v>
      </c>
      <c r="B91" s="6143">
        <v>46217</v>
      </c>
      <c r="C91" s="6143" t="str">
        <v>Tuesday</v>
      </c>
      <c r="D91" s="6144" t="s">
        <v>6359</v>
      </c>
      <c r="E91" s="6144">
        <f t="shared" si="62"/>
      </c>
      <c r="F91" s="6147" t="s">
        <v>6415</v>
      </c>
      <c r="G91" s="6191"/>
      <c r="H91" s="6147" t="s">
        <v>6325</v>
      </c>
      <c r="I91" s="6144" t="s">
        <v>6395</v>
      </c>
      <c r="J91" s="6192"/>
      <c r="K91" s="6133"/>
      <c r="L91" s="6133"/>
      <c r="M91" s="6133"/>
      <c r="N91" s="6133"/>
      <c r="O91" s="6133"/>
      <c r="P91" s="6133"/>
      <c r="Q91" s="6133"/>
      <c r="R91" s="6133"/>
      <c r="S91" s="6133"/>
      <c r="T91" s="6133"/>
      <c r="U91" s="6135"/>
      <c r="V91" s="6135"/>
      <c r="W91" s="6135"/>
      <c r="X91" s="6135"/>
      <c r="Y91" s="6135"/>
    </row>
    <row r="92">
      <c r="A92" s="6190" t="s">
        <v>6413</v>
      </c>
      <c r="B92" s="6143">
        <v>46218</v>
      </c>
      <c r="C92" s="6143" t="str">
        <v>Wednesday</v>
      </c>
      <c r="D92" s="6144" t="s">
        <v>6358</v>
      </c>
      <c r="E92" s="6144">
        <f t="shared" si="62"/>
      </c>
      <c r="F92" s="6147" t="s">
        <v>6415</v>
      </c>
      <c r="G92" s="6191"/>
      <c r="H92" s="6147" t="s">
        <v>6325</v>
      </c>
      <c r="I92" s="6144" t="s">
        <v>6395</v>
      </c>
      <c r="J92" s="6192"/>
      <c r="K92" s="6133"/>
      <c r="L92" s="6133"/>
      <c r="M92" s="6133"/>
      <c r="N92" s="6133"/>
      <c r="O92" s="6133"/>
      <c r="P92" s="6133"/>
      <c r="Q92" s="6133"/>
      <c r="R92" s="6133"/>
      <c r="S92" s="6133"/>
      <c r="T92" s="6133"/>
      <c r="U92" s="6135"/>
      <c r="V92" s="6135"/>
      <c r="W92" s="6135"/>
      <c r="X92" s="6135"/>
      <c r="Y92" s="6135"/>
    </row>
    <row r="93">
      <c r="A93" s="6190" t="s">
        <v>6413</v>
      </c>
      <c r="B93" s="6143">
        <v>46219</v>
      </c>
      <c r="C93" s="6143" t="str">
        <v>Thursday</v>
      </c>
      <c r="D93" s="6144" t="s">
        <v>6358</v>
      </c>
      <c r="E93" s="6144">
        <f t="shared" si="62"/>
      </c>
      <c r="F93" s="6147" t="s">
        <v>6415</v>
      </c>
      <c r="G93" s="6191"/>
      <c r="H93" s="6147" t="s">
        <v>6325</v>
      </c>
      <c r="I93" s="6144" t="s">
        <v>6395</v>
      </c>
      <c r="J93" s="6189"/>
      <c r="K93" s="6133"/>
      <c r="L93" s="6133"/>
      <c r="M93" s="6133"/>
      <c r="N93" s="6133"/>
      <c r="O93" s="6133"/>
      <c r="P93" s="6133"/>
      <c r="Q93" s="6133"/>
      <c r="R93" s="6133"/>
      <c r="S93" s="6133"/>
      <c r="T93" s="6133"/>
      <c r="U93" s="6135"/>
      <c r="V93" s="6135"/>
      <c r="W93" s="6135"/>
      <c r="X93" s="6135"/>
      <c r="Y93" s="6135"/>
    </row>
    <row r="94">
      <c r="A94" s="6190" t="s">
        <v>6413</v>
      </c>
      <c r="B94" s="6143">
        <v>46220</v>
      </c>
      <c r="C94" s="6143" t="str">
        <v>Friday</v>
      </c>
      <c r="D94" s="6144" t="s">
        <v>6416</v>
      </c>
      <c r="E94" s="6144">
        <f t="shared" si="62"/>
      </c>
      <c r="F94" s="6147" t="s">
        <v>6415</v>
      </c>
      <c r="G94" s="6191"/>
      <c r="H94" s="6147" t="s">
        <v>6325</v>
      </c>
      <c r="I94" s="6144" t="s">
        <v>6395</v>
      </c>
      <c r="J94" s="6189"/>
      <c r="K94" s="6133"/>
      <c r="L94" s="6133"/>
      <c r="M94" s="6133"/>
      <c r="N94" s="6133"/>
      <c r="O94" s="6133"/>
      <c r="P94" s="6133"/>
      <c r="Q94" s="6133"/>
      <c r="R94" s="6133"/>
      <c r="S94" s="6133"/>
      <c r="T94" s="6133"/>
      <c r="U94" s="6135"/>
      <c r="V94" s="6135"/>
      <c r="W94" s="6135"/>
      <c r="X94" s="6135"/>
      <c r="Y94" s="6135"/>
    </row>
    <row r="95">
      <c r="A95" s="6190" t="s">
        <v>6413</v>
      </c>
      <c r="B95" s="6143">
        <v>46222</v>
      </c>
      <c r="C95" s="6143" t="str">
        <v>Sunday</v>
      </c>
      <c r="D95" s="6144" t="s">
        <v>6417</v>
      </c>
      <c r="E95" s="6144">
        <f t="shared" si="62"/>
      </c>
      <c r="F95" s="6147" t="s">
        <v>6415</v>
      </c>
      <c r="G95" s="6188"/>
      <c r="H95" s="6147" t="s">
        <v>6325</v>
      </c>
      <c r="I95" s="6144" t="s">
        <v>6326</v>
      </c>
      <c r="J95" s="6189"/>
      <c r="K95" s="6133"/>
      <c r="L95" s="6133"/>
      <c r="M95" s="6133"/>
      <c r="N95" s="6133"/>
      <c r="O95" s="6133"/>
      <c r="P95" s="6133"/>
      <c r="Q95" s="6133"/>
      <c r="R95" s="6133"/>
      <c r="S95" s="6133"/>
      <c r="T95" s="6133"/>
      <c r="U95" s="6135"/>
      <c r="V95" s="6135"/>
      <c r="W95" s="6135"/>
      <c r="X95" s="6135"/>
      <c r="Y95" s="6135"/>
    </row>
    <row r="96">
      <c r="A96" s="6190" t="s">
        <v>6413</v>
      </c>
      <c r="B96" s="6143">
        <v>46222</v>
      </c>
      <c r="C96" s="6143" t="str">
        <v>Sunday</v>
      </c>
      <c r="D96" s="6144" t="s">
        <v>6418</v>
      </c>
      <c r="E96" s="6144">
        <f t="shared" si="62"/>
      </c>
      <c r="F96" s="6147" t="s">
        <v>6419</v>
      </c>
      <c r="G96" s="6188"/>
      <c r="H96" s="6147" t="s">
        <v>6325</v>
      </c>
      <c r="I96" s="6144" t="s">
        <v>6326</v>
      </c>
      <c r="J96" s="6197" t="s">
        <v>6420</v>
      </c>
      <c r="K96" s="6133"/>
      <c r="L96" s="6133"/>
      <c r="M96" s="6133"/>
      <c r="N96" s="6133"/>
      <c r="O96" s="6133"/>
      <c r="P96" s="6133"/>
      <c r="Q96" s="6133"/>
      <c r="R96" s="6133"/>
      <c r="S96" s="6133"/>
      <c r="T96" s="6133"/>
      <c r="U96" s="6135"/>
      <c r="V96" s="6135"/>
      <c r="W96" s="6135"/>
      <c r="X96" s="6135"/>
      <c r="Y96" s="6135"/>
    </row>
    <row r="97">
      <c r="A97" s="6135"/>
      <c r="B97" s="6135"/>
      <c r="C97" s="6135"/>
      <c r="D97" s="6135"/>
      <c r="E97" s="6135"/>
      <c r="F97" s="6135"/>
      <c r="G97" s="6135"/>
      <c r="H97" s="6135"/>
      <c r="I97" s="6135"/>
      <c r="J97" s="6135"/>
      <c r="K97" s="6135"/>
      <c r="L97" s="6135"/>
      <c r="M97" s="6135"/>
      <c r="N97" s="6135"/>
      <c r="O97" s="6135"/>
      <c r="P97" s="6135"/>
      <c r="Q97" s="6135"/>
      <c r="R97" s="6135"/>
      <c r="S97" s="6135"/>
      <c r="T97" s="6135"/>
      <c r="U97" s="6135"/>
      <c r="V97" s="6135"/>
      <c r="W97" s="6135"/>
      <c r="X97" s="6135"/>
      <c r="Y97" s="6135"/>
    </row>
    <row r="98">
      <c r="A98" s="6198" t="s">
        <v>6421</v>
      </c>
      <c r="B98" s="6198" t="s">
        <v>6390</v>
      </c>
      <c r="C98" s="6198"/>
      <c r="D98" s="6198"/>
      <c r="E98" s="6198"/>
      <c r="F98" s="6198"/>
      <c r="G98" s="6198"/>
      <c r="H98" s="6198"/>
      <c r="I98" s="6198"/>
      <c r="J98" s="6198"/>
      <c r="K98" s="6166"/>
      <c r="L98" s="6166"/>
      <c r="M98" s="6166"/>
      <c r="N98" s="6166"/>
      <c r="O98" s="6133"/>
      <c r="P98" s="6133"/>
      <c r="Q98" s="6133"/>
      <c r="R98" s="6133"/>
      <c r="S98" s="6133"/>
      <c r="T98" s="6133"/>
      <c r="U98" s="6135"/>
      <c r="V98" s="6135"/>
      <c r="W98" s="6135"/>
      <c r="X98" s="6135"/>
      <c r="Y98" s="6135"/>
    </row>
    <row r="99">
      <c r="A99" s="6199" t="s">
        <v>6313</v>
      </c>
      <c r="B99" s="6200" t="s">
        <v>6314</v>
      </c>
      <c r="C99" s="6200"/>
      <c r="D99" s="6201" t="s">
        <v>6315</v>
      </c>
      <c r="E99" s="6202" t="s">
        <v>6316</v>
      </c>
      <c r="F99" s="6202" t="s">
        <v>6317</v>
      </c>
      <c r="G99" s="6203" t="s">
        <v>6335</v>
      </c>
      <c r="H99" s="6204" t="s">
        <v>6319</v>
      </c>
      <c r="I99" s="6204" t="s">
        <v>6320</v>
      </c>
      <c r="J99" s="6205" t="s">
        <v>6321</v>
      </c>
      <c r="K99" s="6166"/>
      <c r="L99" s="6166"/>
      <c r="M99" s="6166"/>
      <c r="N99" s="6166"/>
      <c r="O99" s="6133"/>
      <c r="P99" s="6133"/>
      <c r="Q99" s="6133"/>
      <c r="R99" s="6133"/>
      <c r="S99" s="6133"/>
      <c r="T99" s="6133"/>
      <c r="U99" s="6135"/>
      <c r="V99" s="6135"/>
      <c r="W99" s="6135"/>
      <c r="X99" s="6135"/>
      <c r="Y99" s="6135"/>
    </row>
    <row r="100">
      <c r="A100" s="6143" t="s">
        <v>6421</v>
      </c>
      <c r="B100" s="6143">
        <v>46216</v>
      </c>
      <c r="C100" s="6143" t="str">
        <v>Monday</v>
      </c>
      <c r="D100" s="6147" t="s">
        <v>6422</v>
      </c>
      <c r="E100" s="6147">
        <f t="shared" ref="E100:E108" si="63">24*MOD(TIMEVALUE(TRIM(MID(D100,FIND("-",D100)+1,LEN(D100)))) - TIMEVALUE(TRIM(LEFT(D100,FIND("-",D100)-1))),1)</f>
      </c>
      <c r="F100" s="6147" t="s">
        <v>6423</v>
      </c>
      <c r="G100" s="6206" t="s">
        <v>6424</v>
      </c>
      <c r="H100" s="6147" t="s">
        <v>6425</v>
      </c>
      <c r="I100" s="6144" t="s">
        <v>6395</v>
      </c>
      <c r="J100" s="6207" t="s">
        <v>6426</v>
      </c>
      <c r="K100" s="6166"/>
      <c r="L100" s="6166"/>
      <c r="M100" s="6166"/>
      <c r="N100" s="6166"/>
      <c r="O100" s="6133"/>
      <c r="P100" s="6133"/>
      <c r="Q100" s="6133"/>
      <c r="R100" s="6133"/>
      <c r="S100" s="6133"/>
      <c r="T100" s="6133"/>
      <c r="U100" s="6135"/>
      <c r="V100" s="6135"/>
      <c r="W100" s="6135"/>
      <c r="X100" s="6135"/>
      <c r="Y100" s="6135"/>
    </row>
    <row r="101">
      <c r="A101" s="6156" t="s">
        <v>6421</v>
      </c>
      <c r="B101" s="6156">
        <v>46217</v>
      </c>
      <c r="C101" s="6156" t="str">
        <v>Tuesday</v>
      </c>
      <c r="D101" s="6157" t="s">
        <v>6427</v>
      </c>
      <c r="E101" s="6157">
        <f t="shared" si="63"/>
      </c>
      <c r="F101" s="6157" t="s">
        <v>6423</v>
      </c>
      <c r="G101" s="6158" t="s">
        <v>6405</v>
      </c>
      <c r="H101" s="6157" t="s">
        <v>6425</v>
      </c>
      <c r="I101" s="6157" t="s">
        <v>6395</v>
      </c>
      <c r="J101" s="6208"/>
      <c r="K101" s="6209"/>
      <c r="L101" s="6209"/>
      <c r="M101" s="6209"/>
      <c r="N101" s="6209"/>
      <c r="O101" s="6196"/>
      <c r="P101" s="6196"/>
      <c r="Q101" s="6196"/>
      <c r="R101" s="6196"/>
      <c r="S101" s="6196"/>
      <c r="T101" s="6196"/>
      <c r="U101" s="6159"/>
      <c r="V101" s="6159"/>
      <c r="W101" s="6159"/>
      <c r="X101" s="6159"/>
      <c r="Y101" s="6159"/>
    </row>
    <row r="102">
      <c r="A102" s="6156" t="s">
        <v>6421</v>
      </c>
      <c r="B102" s="6156">
        <v>46218</v>
      </c>
      <c r="C102" s="6156" t="str">
        <v>Wednesday</v>
      </c>
      <c r="D102" s="6157" t="s">
        <v>6422</v>
      </c>
      <c r="E102" s="6157">
        <f t="shared" si="63"/>
      </c>
      <c r="F102" s="6157" t="s">
        <v>6423</v>
      </c>
      <c r="G102" s="6158" t="s">
        <v>6428</v>
      </c>
      <c r="H102" s="6157" t="s">
        <v>6425</v>
      </c>
      <c r="I102" s="6157" t="s">
        <v>6395</v>
      </c>
      <c r="J102" s="6208"/>
      <c r="K102" s="6209"/>
      <c r="L102" s="6209"/>
      <c r="M102" s="6209"/>
      <c r="N102" s="6209"/>
      <c r="O102" s="6196"/>
      <c r="P102" s="6196"/>
      <c r="Q102" s="6196"/>
      <c r="R102" s="6196"/>
      <c r="S102" s="6196"/>
      <c r="T102" s="6196"/>
      <c r="U102" s="6159"/>
      <c r="V102" s="6159"/>
      <c r="W102" s="6159"/>
      <c r="X102" s="6159"/>
      <c r="Y102" s="6159"/>
    </row>
    <row r="103">
      <c r="A103" s="6156" t="s">
        <v>6421</v>
      </c>
      <c r="B103" s="6156">
        <v>46220</v>
      </c>
      <c r="C103" s="6156" t="str">
        <v>Friday</v>
      </c>
      <c r="D103" s="6157" t="s">
        <v>6422</v>
      </c>
      <c r="E103" s="6157">
        <f t="shared" si="63"/>
      </c>
      <c r="F103" s="6157" t="s">
        <v>6423</v>
      </c>
      <c r="G103" s="6158" t="s">
        <v>6429</v>
      </c>
      <c r="H103" s="6157" t="s">
        <v>6425</v>
      </c>
      <c r="I103" s="6157" t="s">
        <v>6395</v>
      </c>
      <c r="J103" s="6208"/>
      <c r="K103" s="6209"/>
      <c r="L103" s="6209"/>
      <c r="M103" s="6209"/>
      <c r="N103" s="6209"/>
      <c r="O103" s="6196"/>
      <c r="P103" s="6196"/>
      <c r="Q103" s="6196"/>
      <c r="R103" s="6196"/>
      <c r="S103" s="6196"/>
      <c r="T103" s="6196"/>
      <c r="U103" s="6159"/>
      <c r="V103" s="6159"/>
      <c r="W103" s="6159"/>
      <c r="X103" s="6159"/>
      <c r="Y103" s="6159"/>
    </row>
    <row r="104">
      <c r="A104" s="6156" t="s">
        <v>6421</v>
      </c>
      <c r="B104" s="6156">
        <v>46222</v>
      </c>
      <c r="C104" s="6156" t="str">
        <v>Sunday</v>
      </c>
      <c r="D104" s="6157" t="s">
        <v>6430</v>
      </c>
      <c r="E104" s="6157">
        <f t="shared" si="63"/>
      </c>
      <c r="F104" s="6157" t="s">
        <v>6423</v>
      </c>
      <c r="G104" s="6158" t="s">
        <v>6405</v>
      </c>
      <c r="H104" s="6157" t="s">
        <v>6425</v>
      </c>
      <c r="I104" s="6157" t="s">
        <v>6395</v>
      </c>
      <c r="J104" s="6208"/>
      <c r="K104" s="6209"/>
      <c r="L104" s="6209"/>
      <c r="M104" s="6209"/>
      <c r="N104" s="6209"/>
      <c r="O104" s="6196"/>
      <c r="P104" s="6196"/>
      <c r="Q104" s="6196"/>
      <c r="R104" s="6196"/>
      <c r="S104" s="6196"/>
      <c r="T104" s="6196"/>
      <c r="U104" s="6159"/>
      <c r="V104" s="6159"/>
      <c r="W104" s="6159"/>
      <c r="X104" s="6159"/>
      <c r="Y104" s="6159"/>
    </row>
    <row r="105">
      <c r="A105" s="6143" t="s">
        <v>6431</v>
      </c>
      <c r="B105" s="6143">
        <v>46216</v>
      </c>
      <c r="C105" s="6143" t="str">
        <v>Monday</v>
      </c>
      <c r="D105" s="6147" t="s">
        <v>6432</v>
      </c>
      <c r="E105" s="6147">
        <f t="shared" si="63"/>
      </c>
      <c r="F105" s="6147" t="s">
        <v>6415</v>
      </c>
      <c r="G105" s="6206"/>
      <c r="H105" s="6147" t="s">
        <v>6425</v>
      </c>
      <c r="I105" s="6144" t="s">
        <v>6395</v>
      </c>
      <c r="J105" s="6207"/>
      <c r="K105" s="6166"/>
      <c r="L105" s="6166"/>
      <c r="M105" s="6166"/>
      <c r="N105" s="6166"/>
      <c r="O105" s="6133"/>
      <c r="P105" s="6133"/>
      <c r="Q105" s="6133"/>
      <c r="R105" s="6133"/>
      <c r="S105" s="6133"/>
      <c r="T105" s="6133"/>
      <c r="U105" s="6135"/>
      <c r="V105" s="6135"/>
      <c r="W105" s="6135"/>
      <c r="X105" s="6135"/>
      <c r="Y105" s="6135"/>
    </row>
    <row r="106">
      <c r="A106" s="6143" t="s">
        <v>6433</v>
      </c>
      <c r="B106" s="6143">
        <v>46218</v>
      </c>
      <c r="C106" s="6143" t="str">
        <v>Wednesday</v>
      </c>
      <c r="D106" s="6147" t="s">
        <v>6358</v>
      </c>
      <c r="E106" s="6147">
        <f t="shared" si="63"/>
      </c>
      <c r="F106" s="6147" t="s">
        <v>6404</v>
      </c>
      <c r="G106" s="6206" t="s">
        <v>6434</v>
      </c>
      <c r="H106" s="6147" t="s">
        <v>6425</v>
      </c>
      <c r="I106" s="6144" t="s">
        <v>6395</v>
      </c>
      <c r="J106" s="6207" t="s">
        <v>6435</v>
      </c>
      <c r="K106" s="6166"/>
      <c r="L106" s="6166"/>
      <c r="M106" s="6166"/>
      <c r="N106" s="6166"/>
      <c r="O106" s="6133"/>
      <c r="P106" s="6133"/>
      <c r="Q106" s="6133"/>
      <c r="R106" s="6133"/>
      <c r="S106" s="6133"/>
      <c r="T106" s="6133"/>
      <c r="U106" s="6135"/>
      <c r="V106" s="6135"/>
      <c r="W106" s="6135"/>
      <c r="X106" s="6135"/>
      <c r="Y106" s="6135"/>
    </row>
    <row r="107">
      <c r="A107" s="6156" t="s">
        <v>6431</v>
      </c>
      <c r="B107" s="6156">
        <v>46220</v>
      </c>
      <c r="C107" s="6156" t="str">
        <v>Friday</v>
      </c>
      <c r="D107" s="6157" t="s">
        <v>6436</v>
      </c>
      <c r="E107" s="6157">
        <f t="shared" si="63"/>
      </c>
      <c r="F107" s="6157" t="s">
        <v>6415</v>
      </c>
      <c r="G107" s="6158"/>
      <c r="H107" s="6157" t="s">
        <v>6425</v>
      </c>
      <c r="I107" s="6157" t="s">
        <v>6395</v>
      </c>
      <c r="J107" s="6208"/>
      <c r="K107" s="6209"/>
      <c r="L107" s="6209"/>
      <c r="M107" s="6209"/>
      <c r="N107" s="6209"/>
      <c r="O107" s="6196"/>
      <c r="P107" s="6196"/>
      <c r="Q107" s="6196"/>
      <c r="R107" s="6196"/>
      <c r="S107" s="6196"/>
      <c r="T107" s="6196"/>
      <c r="U107" s="6159"/>
      <c r="V107" s="6159"/>
      <c r="W107" s="6159"/>
      <c r="X107" s="6159"/>
      <c r="Y107" s="6159"/>
    </row>
    <row r="108">
      <c r="A108" s="6156" t="s">
        <v>6437</v>
      </c>
      <c r="B108" s="6156">
        <v>46220</v>
      </c>
      <c r="C108" s="6156" t="str">
        <v>Friday</v>
      </c>
      <c r="D108" s="6157" t="s">
        <v>6366</v>
      </c>
      <c r="E108" s="6157">
        <f t="shared" si="63"/>
      </c>
      <c r="F108" s="6157" t="s">
        <v>6404</v>
      </c>
      <c r="G108" s="6158" t="s">
        <v>6438</v>
      </c>
      <c r="H108" s="6157" t="s">
        <v>6425</v>
      </c>
      <c r="I108" s="6157" t="s">
        <v>6395</v>
      </c>
      <c r="J108" s="6208" t="s">
        <v>6439</v>
      </c>
      <c r="K108" s="6209"/>
      <c r="L108" s="6209"/>
      <c r="M108" s="6209"/>
      <c r="N108" s="6209"/>
      <c r="O108" s="6196"/>
      <c r="P108" s="6196"/>
      <c r="Q108" s="6196"/>
      <c r="R108" s="6196"/>
      <c r="S108" s="6196"/>
      <c r="T108" s="6196"/>
      <c r="U108" s="6159"/>
      <c r="V108" s="6159"/>
      <c r="W108" s="6159"/>
      <c r="X108" s="6159"/>
      <c r="Y108" s="6159"/>
    </row>
    <row r="109">
      <c r="A109" s="6143"/>
      <c r="B109" s="6143"/>
      <c r="C109" s="6143"/>
      <c r="D109" s="6147"/>
      <c r="E109" s="6147"/>
      <c r="F109" s="6147"/>
      <c r="G109" s="6206"/>
      <c r="H109" s="6147"/>
      <c r="I109" s="6144"/>
      <c r="J109" s="6207"/>
      <c r="K109" s="6166"/>
      <c r="L109" s="6166"/>
      <c r="M109" s="6166"/>
      <c r="N109" s="6166"/>
      <c r="O109" s="6133"/>
      <c r="P109" s="6133"/>
      <c r="Q109" s="6133"/>
      <c r="R109" s="6133"/>
      <c r="S109" s="6133"/>
      <c r="T109" s="6133"/>
      <c r="U109" s="6135"/>
      <c r="V109" s="6135"/>
      <c r="W109" s="6135"/>
      <c r="X109" s="6135"/>
      <c r="Y109" s="6135"/>
    </row>
    <row r="110">
      <c r="A110" s="6143" t="s">
        <v>6431</v>
      </c>
      <c r="B110" s="6143">
        <v>46216</v>
      </c>
      <c r="C110" s="6143" t="str">
        <v>Monday</v>
      </c>
      <c r="D110" s="6147" t="s">
        <v>6432</v>
      </c>
      <c r="E110" s="6147">
        <f t="shared" ref="E110:E118" si="64">24*MOD(TIMEVALUE(TRIM(MID(D110,FIND("-",D110)+1,LEN(D110)))) - TIMEVALUE(TRIM(LEFT(D110,FIND("-",D110)-1))),1)</f>
      </c>
      <c r="F110" s="6147" t="s">
        <v>6440</v>
      </c>
      <c r="G110" s="6206"/>
      <c r="H110" s="6147" t="s">
        <v>6425</v>
      </c>
      <c r="I110" s="6144" t="s">
        <v>6395</v>
      </c>
      <c r="J110" s="6207"/>
      <c r="K110" s="6166"/>
      <c r="L110" s="6166"/>
      <c r="M110" s="6166"/>
      <c r="N110" s="6166"/>
      <c r="O110" s="6133"/>
      <c r="P110" s="6133"/>
      <c r="Q110" s="6133"/>
      <c r="R110" s="6133"/>
      <c r="S110" s="6133"/>
      <c r="T110" s="6133"/>
      <c r="U110" s="6135"/>
      <c r="V110" s="6135"/>
      <c r="W110" s="6135"/>
      <c r="X110" s="6135"/>
      <c r="Y110" s="6135"/>
    </row>
    <row r="111">
      <c r="A111" s="6143" t="s">
        <v>6431</v>
      </c>
      <c r="B111" s="6143">
        <v>46216</v>
      </c>
      <c r="C111" s="6143" t="str">
        <v>Monday</v>
      </c>
      <c r="D111" s="6147" t="s">
        <v>6346</v>
      </c>
      <c r="E111" s="6147">
        <f t="shared" si="64"/>
      </c>
      <c r="F111" s="6147" t="s">
        <v>6440</v>
      </c>
      <c r="G111" s="6206"/>
      <c r="H111" s="6147" t="s">
        <v>6425</v>
      </c>
      <c r="I111" s="6144" t="s">
        <v>6395</v>
      </c>
      <c r="J111" s="6207"/>
      <c r="K111" s="6166"/>
      <c r="L111" s="6166"/>
      <c r="M111" s="6166"/>
      <c r="N111" s="6166"/>
      <c r="O111" s="6133"/>
      <c r="P111" s="6133"/>
      <c r="Q111" s="6133"/>
      <c r="R111" s="6133"/>
      <c r="S111" s="6133"/>
      <c r="T111" s="6133"/>
      <c r="U111" s="6135"/>
      <c r="V111" s="6135"/>
      <c r="W111" s="6135"/>
      <c r="X111" s="6135"/>
      <c r="Y111" s="6135"/>
    </row>
    <row r="112">
      <c r="A112" s="6143" t="s">
        <v>6431</v>
      </c>
      <c r="B112" s="6143">
        <v>46217</v>
      </c>
      <c r="C112" s="6143" t="str">
        <v>Tuesday</v>
      </c>
      <c r="D112" s="6147" t="s">
        <v>6441</v>
      </c>
      <c r="E112" s="6147">
        <f t="shared" si="64"/>
      </c>
      <c r="F112" s="6147" t="s">
        <v>6440</v>
      </c>
      <c r="G112" s="6206"/>
      <c r="H112" s="6147" t="s">
        <v>6425</v>
      </c>
      <c r="I112" s="6144" t="s">
        <v>6395</v>
      </c>
      <c r="J112" s="6207"/>
      <c r="K112" s="6166"/>
      <c r="L112" s="6166"/>
      <c r="M112" s="6166"/>
      <c r="N112" s="6166"/>
      <c r="O112" s="6133"/>
      <c r="P112" s="6133"/>
      <c r="Q112" s="6133"/>
      <c r="R112" s="6133"/>
      <c r="S112" s="6133"/>
      <c r="T112" s="6133"/>
      <c r="U112" s="6135"/>
      <c r="V112" s="6135"/>
      <c r="W112" s="6135"/>
      <c r="X112" s="6135"/>
      <c r="Y112" s="6135"/>
    </row>
    <row r="113">
      <c r="A113" s="6143" t="s">
        <v>6431</v>
      </c>
      <c r="B113" s="6143">
        <v>46217</v>
      </c>
      <c r="C113" s="6143" t="str">
        <v>Tuesday</v>
      </c>
      <c r="D113" s="6147" t="s">
        <v>6442</v>
      </c>
      <c r="E113" s="6147">
        <f t="shared" si="64"/>
      </c>
      <c r="F113" s="6147" t="s">
        <v>6440</v>
      </c>
      <c r="G113" s="6206"/>
      <c r="H113" s="6147" t="s">
        <v>6425</v>
      </c>
      <c r="I113" s="6144" t="s">
        <v>6395</v>
      </c>
      <c r="J113" s="6207"/>
      <c r="K113" s="6166"/>
      <c r="L113" s="6166"/>
      <c r="M113" s="6166"/>
      <c r="N113" s="6166"/>
      <c r="O113" s="6133"/>
      <c r="P113" s="6133"/>
      <c r="Q113" s="6133"/>
      <c r="R113" s="6133"/>
      <c r="S113" s="6133"/>
      <c r="T113" s="6133"/>
      <c r="U113" s="6135"/>
      <c r="V113" s="6135"/>
      <c r="W113" s="6135"/>
      <c r="X113" s="6135"/>
      <c r="Y113" s="6135"/>
    </row>
    <row r="114">
      <c r="A114" s="6143" t="s">
        <v>6431</v>
      </c>
      <c r="B114" s="6143">
        <v>46218</v>
      </c>
      <c r="C114" s="6143" t="str">
        <v>Wednesday</v>
      </c>
      <c r="D114" s="6147" t="s">
        <v>6443</v>
      </c>
      <c r="E114" s="6147">
        <f t="shared" si="64"/>
      </c>
      <c r="F114" s="6147" t="s">
        <v>6440</v>
      </c>
      <c r="G114" s="6206"/>
      <c r="H114" s="6147" t="s">
        <v>6425</v>
      </c>
      <c r="I114" s="6144" t="s">
        <v>6395</v>
      </c>
      <c r="J114" s="6207"/>
      <c r="K114" s="6166"/>
      <c r="L114" s="6166"/>
      <c r="M114" s="6166"/>
      <c r="N114" s="6166"/>
      <c r="O114" s="6133"/>
      <c r="P114" s="6133"/>
      <c r="Q114" s="6133"/>
      <c r="R114" s="6133"/>
      <c r="S114" s="6133"/>
      <c r="T114" s="6133"/>
      <c r="U114" s="6135"/>
      <c r="V114" s="6135"/>
      <c r="W114" s="6135"/>
      <c r="X114" s="6135"/>
      <c r="Y114" s="6135"/>
    </row>
    <row r="115">
      <c r="A115" s="6143" t="s">
        <v>6431</v>
      </c>
      <c r="B115" s="6143">
        <v>46218</v>
      </c>
      <c r="C115" s="6143" t="str">
        <v>Wednesday</v>
      </c>
      <c r="D115" s="6147" t="s">
        <v>6444</v>
      </c>
      <c r="E115" s="6147">
        <f t="shared" si="64"/>
      </c>
      <c r="F115" s="6147" t="s">
        <v>6440</v>
      </c>
      <c r="G115" s="6206"/>
      <c r="H115" s="6147" t="s">
        <v>6425</v>
      </c>
      <c r="I115" s="6144" t="s">
        <v>6395</v>
      </c>
      <c r="J115" s="6207"/>
      <c r="K115" s="6166"/>
      <c r="L115" s="6166"/>
      <c r="M115" s="6166"/>
      <c r="N115" s="6166"/>
      <c r="O115" s="6133"/>
      <c r="P115" s="6133"/>
      <c r="Q115" s="6133"/>
      <c r="R115" s="6133"/>
      <c r="S115" s="6133"/>
      <c r="T115" s="6133"/>
      <c r="U115" s="6135"/>
      <c r="V115" s="6135"/>
      <c r="W115" s="6135"/>
      <c r="X115" s="6135"/>
      <c r="Y115" s="6135"/>
    </row>
    <row r="116">
      <c r="A116" s="6143" t="s">
        <v>6431</v>
      </c>
      <c r="B116" s="6143">
        <v>46221</v>
      </c>
      <c r="C116" s="6143" t="str">
        <v>Saturday</v>
      </c>
      <c r="D116" s="6147" t="s">
        <v>6445</v>
      </c>
      <c r="E116" s="6147">
        <f t="shared" si="64"/>
      </c>
      <c r="F116" s="6147" t="s">
        <v>6440</v>
      </c>
      <c r="G116" s="6206"/>
      <c r="H116" s="6147" t="s">
        <v>6425</v>
      </c>
      <c r="I116" s="6144" t="s">
        <v>6395</v>
      </c>
      <c r="J116" s="6207"/>
      <c r="K116" s="6166"/>
      <c r="L116" s="6166"/>
      <c r="M116" s="6166"/>
      <c r="N116" s="6166"/>
      <c r="O116" s="6133"/>
      <c r="P116" s="6133"/>
      <c r="Q116" s="6133"/>
      <c r="R116" s="6133"/>
      <c r="S116" s="6133"/>
      <c r="T116" s="6133"/>
      <c r="U116" s="6135"/>
      <c r="V116" s="6135"/>
      <c r="W116" s="6135"/>
      <c r="X116" s="6135"/>
      <c r="Y116" s="6135"/>
    </row>
    <row r="117">
      <c r="A117" s="6156" t="s">
        <v>6431</v>
      </c>
      <c r="B117" s="6156">
        <v>46222</v>
      </c>
      <c r="C117" s="6156" t="str">
        <v>Sunday</v>
      </c>
      <c r="D117" s="6157" t="s">
        <v>6446</v>
      </c>
      <c r="E117" s="6157">
        <f t="shared" si="64"/>
      </c>
      <c r="F117" s="6157" t="s">
        <v>6440</v>
      </c>
      <c r="G117" s="6158"/>
      <c r="H117" s="6157" t="s">
        <v>6425</v>
      </c>
      <c r="I117" s="6157" t="s">
        <v>6395</v>
      </c>
      <c r="J117" s="6208" t="s">
        <v>6447</v>
      </c>
      <c r="K117" s="6209"/>
      <c r="L117" s="6209"/>
      <c r="M117" s="6209"/>
      <c r="N117" s="6209"/>
      <c r="O117" s="6196"/>
      <c r="P117" s="6196"/>
      <c r="Q117" s="6196"/>
      <c r="R117" s="6196"/>
      <c r="S117" s="6196"/>
      <c r="T117" s="6196"/>
      <c r="U117" s="6159"/>
      <c r="V117" s="6159"/>
      <c r="W117" s="6159"/>
      <c r="X117" s="6159"/>
      <c r="Y117" s="6159"/>
    </row>
    <row r="118">
      <c r="A118" s="6156" t="s">
        <v>6431</v>
      </c>
      <c r="B118" s="6156">
        <v>46222</v>
      </c>
      <c r="C118" s="6156" t="str">
        <v>Sunday</v>
      </c>
      <c r="D118" s="6157" t="s">
        <v>6448</v>
      </c>
      <c r="E118" s="6157">
        <f t="shared" si="64"/>
      </c>
      <c r="F118" s="6157" t="s">
        <v>6440</v>
      </c>
      <c r="G118" s="6158"/>
      <c r="H118" s="6157" t="s">
        <v>6425</v>
      </c>
      <c r="I118" s="6157" t="s">
        <v>6395</v>
      </c>
      <c r="J118" s="6208" t="s">
        <v>6449</v>
      </c>
      <c r="K118" s="6209"/>
      <c r="L118" s="6209"/>
      <c r="M118" s="6209"/>
      <c r="N118" s="6209"/>
      <c r="O118" s="6196"/>
      <c r="P118" s="6196"/>
      <c r="Q118" s="6196"/>
      <c r="R118" s="6196"/>
      <c r="S118" s="6196"/>
      <c r="T118" s="6196"/>
      <c r="U118" s="6159"/>
      <c r="V118" s="6159"/>
      <c r="W118" s="6159"/>
      <c r="X118" s="6159"/>
      <c r="Y118" s="6159"/>
    </row>
    <row r="119">
      <c r="A119" s="6135"/>
      <c r="B119" s="6135"/>
      <c r="C119" s="6135"/>
      <c r="D119" s="6135"/>
      <c r="E119" s="6135"/>
      <c r="F119" s="6135"/>
      <c r="G119" s="6135"/>
      <c r="H119" s="6135"/>
      <c r="I119" s="6135"/>
      <c r="J119" s="6135"/>
      <c r="K119" s="6135"/>
      <c r="L119" s="6135"/>
      <c r="M119" s="6135"/>
      <c r="N119" s="6135"/>
      <c r="O119" s="6135"/>
      <c r="P119" s="6135"/>
      <c r="Q119" s="6135"/>
      <c r="R119" s="6135"/>
      <c r="S119" s="6135"/>
      <c r="T119" s="6135"/>
      <c r="U119" s="6135"/>
      <c r="V119" s="6135"/>
      <c r="W119" s="6135"/>
      <c r="X119" s="6135"/>
      <c r="Y119" s="6135"/>
    </row>
    <row r="120">
      <c r="A120" s="6210" t="s">
        <v>6450</v>
      </c>
      <c r="B120" s="6210"/>
      <c r="C120" s="6210"/>
      <c r="D120" s="6210"/>
      <c r="E120" s="6210"/>
      <c r="F120" s="6210"/>
      <c r="G120" s="6210"/>
      <c r="H120" s="6210" t="s">
        <v>6451</v>
      </c>
      <c r="I120" s="6210"/>
      <c r="J120" s="6210"/>
      <c r="K120" s="6166"/>
      <c r="L120" s="6166"/>
      <c r="M120" s="6166"/>
      <c r="N120" s="6166"/>
      <c r="O120" s="6133"/>
      <c r="P120" s="6133"/>
      <c r="Q120" s="6133"/>
      <c r="R120" s="6133"/>
      <c r="S120" s="6133"/>
      <c r="T120" s="6133"/>
      <c r="U120" s="6134"/>
      <c r="V120" s="6134"/>
      <c r="W120" s="6134"/>
      <c r="X120" s="6134"/>
      <c r="Y120" s="6134"/>
    </row>
    <row r="121">
      <c r="A121" s="6211" t="s">
        <v>6313</v>
      </c>
      <c r="B121" s="6212" t="s">
        <v>6314</v>
      </c>
      <c r="C121" s="6212"/>
      <c r="D121" s="6213" t="s">
        <v>6315</v>
      </c>
      <c r="E121" s="6214" t="s">
        <v>6316</v>
      </c>
      <c r="F121" s="6214" t="s">
        <v>6317</v>
      </c>
      <c r="G121" s="6215" t="s">
        <v>6335</v>
      </c>
      <c r="H121" s="6216" t="s">
        <v>6319</v>
      </c>
      <c r="I121" s="6216" t="s">
        <v>6320</v>
      </c>
      <c r="J121" s="6217" t="s">
        <v>6321</v>
      </c>
      <c r="K121" s="6166"/>
      <c r="L121" s="6166"/>
      <c r="M121" s="6166"/>
      <c r="N121" s="6166"/>
      <c r="O121" s="6133"/>
      <c r="P121" s="6133"/>
      <c r="Q121" s="6133"/>
      <c r="R121" s="6133"/>
      <c r="S121" s="6133"/>
      <c r="T121" s="6133"/>
      <c r="U121" s="6134"/>
      <c r="V121" s="6134"/>
      <c r="W121" s="6134"/>
      <c r="X121" s="6134"/>
      <c r="Y121" s="6134"/>
    </row>
    <row r="122">
      <c r="A122" s="6143" t="s">
        <v>6450</v>
      </c>
      <c r="B122" s="6143">
        <v>46217</v>
      </c>
      <c r="C122" s="6143" t="str">
        <v>Tuesday</v>
      </c>
      <c r="D122" s="6147" t="s">
        <v>6452</v>
      </c>
      <c r="E122" s="6147">
        <f t="shared" ref="E122:E128" si="65">24*MOD(TIMEVALUE(TRIM(MID(D122,FIND("-",D122)+1,LEN(D122)))) - TIMEVALUE(TRIM(LEFT(D122,FIND("-",D122)-1))),1)</f>
      </c>
      <c r="F122" s="6147" t="s">
        <v>6398</v>
      </c>
      <c r="G122" s="6206" t="s">
        <v>6453</v>
      </c>
      <c r="H122" s="6147" t="s">
        <v>6425</v>
      </c>
      <c r="I122" s="6144" t="s">
        <v>6326</v>
      </c>
      <c r="J122" s="6207"/>
      <c r="K122" s="6166"/>
      <c r="L122" s="6166"/>
      <c r="M122" s="6166"/>
      <c r="N122" s="6166"/>
      <c r="O122" s="6133"/>
      <c r="P122" s="6133"/>
      <c r="Q122" s="6133"/>
      <c r="R122" s="6133"/>
      <c r="S122" s="6133"/>
      <c r="T122" s="6133"/>
      <c r="U122" s="6135"/>
      <c r="V122" s="6135"/>
      <c r="W122" s="6135"/>
      <c r="X122" s="6135"/>
      <c r="Y122" s="6135"/>
    </row>
    <row r="123">
      <c r="A123" s="6143" t="s">
        <v>6450</v>
      </c>
      <c r="B123" s="6143">
        <v>46218</v>
      </c>
      <c r="C123" s="6143" t="str">
        <v>Wednesday</v>
      </c>
      <c r="D123" s="6147" t="s">
        <v>6346</v>
      </c>
      <c r="E123" s="6147">
        <f t="shared" si="65"/>
      </c>
      <c r="F123" s="6147" t="s">
        <v>6454</v>
      </c>
      <c r="G123" s="6206" t="s">
        <v>6455</v>
      </c>
      <c r="H123" s="6147" t="s">
        <v>6425</v>
      </c>
      <c r="I123" s="6144" t="s">
        <v>6326</v>
      </c>
      <c r="J123" s="6207"/>
      <c r="K123" s="6166"/>
      <c r="L123" s="6166"/>
      <c r="M123" s="6166"/>
      <c r="N123" s="6166"/>
      <c r="O123" s="6133"/>
      <c r="P123" s="6133"/>
      <c r="Q123" s="6133"/>
      <c r="R123" s="6133"/>
      <c r="S123" s="6133"/>
      <c r="T123" s="6133"/>
      <c r="U123" s="6135"/>
      <c r="V123" s="6135"/>
      <c r="W123" s="6135"/>
      <c r="X123" s="6135"/>
      <c r="Y123" s="6135"/>
    </row>
    <row r="124">
      <c r="A124" s="6156" t="s">
        <v>6450</v>
      </c>
      <c r="B124" s="6156">
        <v>46219</v>
      </c>
      <c r="C124" s="6156" t="str">
        <v>Thursday</v>
      </c>
      <c r="D124" s="6157" t="s">
        <v>6456</v>
      </c>
      <c r="E124" s="6157">
        <f t="shared" si="65"/>
      </c>
      <c r="F124" s="6157" t="s">
        <v>6398</v>
      </c>
      <c r="G124" s="6158" t="s">
        <v>6457</v>
      </c>
      <c r="H124" s="6157" t="s">
        <v>6425</v>
      </c>
      <c r="I124" s="6157" t="s">
        <v>6326</v>
      </c>
      <c r="J124" s="6208" t="s">
        <v>6458</v>
      </c>
      <c r="K124" s="6209"/>
      <c r="L124" s="6209"/>
      <c r="M124" s="6209"/>
      <c r="N124" s="6209"/>
      <c r="O124" s="6196"/>
      <c r="P124" s="6196"/>
      <c r="Q124" s="6196"/>
      <c r="R124" s="6196"/>
      <c r="S124" s="6196"/>
      <c r="T124" s="6196"/>
      <c r="U124" s="6159"/>
      <c r="V124" s="6159"/>
      <c r="W124" s="6159"/>
      <c r="X124" s="6159"/>
      <c r="Y124" s="6159"/>
    </row>
    <row r="125">
      <c r="A125" s="6143" t="s">
        <v>6450</v>
      </c>
      <c r="B125" s="6143">
        <v>46220</v>
      </c>
      <c r="C125" s="6143" t="str">
        <v>Friday</v>
      </c>
      <c r="D125" s="6147" t="s">
        <v>6459</v>
      </c>
      <c r="E125" s="6147">
        <f t="shared" si="65"/>
      </c>
      <c r="F125" s="6147" t="s">
        <v>6398</v>
      </c>
      <c r="G125" s="6206" t="s">
        <v>6392</v>
      </c>
      <c r="H125" s="6147" t="s">
        <v>6425</v>
      </c>
      <c r="I125" s="6144" t="s">
        <v>6326</v>
      </c>
      <c r="J125" s="6207"/>
      <c r="K125" s="6166"/>
      <c r="L125" s="6166"/>
      <c r="M125" s="6166"/>
      <c r="N125" s="6166"/>
      <c r="O125" s="6133"/>
      <c r="P125" s="6133"/>
      <c r="Q125" s="6133"/>
      <c r="R125" s="6133"/>
      <c r="S125" s="6133"/>
      <c r="T125" s="6133"/>
      <c r="U125" s="6135"/>
      <c r="V125" s="6135"/>
      <c r="W125" s="6135"/>
      <c r="X125" s="6135"/>
      <c r="Y125" s="6135"/>
    </row>
    <row r="126">
      <c r="A126" s="6143" t="s">
        <v>6460</v>
      </c>
      <c r="B126" s="6143">
        <v>46217</v>
      </c>
      <c r="C126" s="6143" t="str">
        <v>Tuesday</v>
      </c>
      <c r="D126" s="6147" t="s">
        <v>6461</v>
      </c>
      <c r="E126" s="6147">
        <f t="shared" si="65"/>
      </c>
      <c r="F126" s="6147" t="s">
        <v>6398</v>
      </c>
      <c r="G126" s="6206"/>
      <c r="H126" s="6147" t="s">
        <v>6425</v>
      </c>
      <c r="I126" s="6144" t="s">
        <v>6326</v>
      </c>
      <c r="J126" s="6207"/>
      <c r="K126" s="6166"/>
      <c r="L126" s="6166"/>
      <c r="M126" s="6166"/>
      <c r="N126" s="6166"/>
      <c r="O126" s="6133"/>
      <c r="P126" s="6133"/>
      <c r="Q126" s="6133"/>
      <c r="R126" s="6133"/>
      <c r="S126" s="6133"/>
      <c r="T126" s="6133"/>
      <c r="U126" s="6135"/>
      <c r="V126" s="6135"/>
      <c r="W126" s="6135"/>
      <c r="X126" s="6135"/>
      <c r="Y126" s="6135"/>
    </row>
    <row r="127">
      <c r="A127" s="6143" t="s">
        <v>6460</v>
      </c>
      <c r="B127" s="6143">
        <v>46218</v>
      </c>
      <c r="C127" s="6143" t="str">
        <v>Wednesday</v>
      </c>
      <c r="D127" s="6147" t="s">
        <v>6409</v>
      </c>
      <c r="E127" s="6147">
        <f t="shared" si="65"/>
      </c>
      <c r="F127" s="6147" t="s">
        <v>6454</v>
      </c>
      <c r="G127" s="6206"/>
      <c r="H127" s="6147" t="s">
        <v>6425</v>
      </c>
      <c r="I127" s="6144" t="s">
        <v>6326</v>
      </c>
      <c r="J127" s="6207"/>
      <c r="K127" s="6166"/>
      <c r="L127" s="6166"/>
      <c r="M127" s="6166"/>
      <c r="N127" s="6166"/>
      <c r="O127" s="6133"/>
      <c r="P127" s="6133"/>
      <c r="Q127" s="6133"/>
      <c r="R127" s="6133"/>
      <c r="S127" s="6133"/>
      <c r="T127" s="6133"/>
      <c r="U127" s="6135"/>
      <c r="V127" s="6135"/>
      <c r="W127" s="6135"/>
      <c r="X127" s="6135"/>
      <c r="Y127" s="6135"/>
    </row>
    <row r="128">
      <c r="A128" s="6143" t="s">
        <v>6462</v>
      </c>
      <c r="B128" s="6143">
        <v>46218</v>
      </c>
      <c r="C128" s="6143" t="str">
        <v>Wednesday</v>
      </c>
      <c r="D128" s="6147" t="s">
        <v>6463</v>
      </c>
      <c r="E128" s="6147">
        <f t="shared" si="65"/>
      </c>
      <c r="F128" s="6147" t="s">
        <v>6415</v>
      </c>
      <c r="G128" s="6206"/>
      <c r="H128" s="6147" t="s">
        <v>6425</v>
      </c>
      <c r="I128" s="6144" t="s">
        <v>6326</v>
      </c>
      <c r="J128" s="6207"/>
      <c r="K128" s="6166"/>
      <c r="L128" s="6166"/>
      <c r="M128" s="6166"/>
      <c r="N128" s="6166"/>
      <c r="O128" s="6133"/>
      <c r="P128" s="6133"/>
      <c r="Q128" s="6133"/>
      <c r="R128" s="6133"/>
      <c r="S128" s="6133"/>
      <c r="T128" s="6133"/>
      <c r="U128" s="6135"/>
      <c r="V128" s="6135"/>
      <c r="W128" s="6135"/>
      <c r="X128" s="6135"/>
      <c r="Y128" s="6135"/>
    </row>
    <row r="129">
      <c r="A129" s="6143"/>
      <c r="B129" s="6143"/>
      <c r="C129" s="6143"/>
      <c r="D129" s="6147"/>
      <c r="E129" s="6147"/>
      <c r="F129" s="6147"/>
      <c r="G129" s="6206"/>
      <c r="H129" s="6147"/>
      <c r="I129" s="6144"/>
      <c r="J129" s="6207"/>
      <c r="K129" s="6166"/>
      <c r="L129" s="6166"/>
      <c r="M129" s="6166"/>
      <c r="N129" s="6166"/>
      <c r="O129" s="6133"/>
      <c r="P129" s="6133"/>
      <c r="Q129" s="6133"/>
      <c r="R129" s="6133"/>
      <c r="S129" s="6133"/>
      <c r="T129" s="6133"/>
      <c r="U129" s="6135"/>
      <c r="V129" s="6135"/>
      <c r="W129" s="6135"/>
      <c r="X129" s="6135"/>
      <c r="Y129" s="6135"/>
    </row>
    <row r="130">
      <c r="A130" s="6218" t="s">
        <v>6464</v>
      </c>
      <c r="B130" s="6218"/>
      <c r="C130" s="6218"/>
      <c r="D130" s="6218"/>
      <c r="E130" s="6218"/>
      <c r="F130" s="6218"/>
      <c r="G130" s="6218"/>
      <c r="H130" s="6218" t="s">
        <v>6451</v>
      </c>
      <c r="I130" s="6218"/>
      <c r="J130" s="6218"/>
      <c r="K130" s="6219"/>
      <c r="L130" s="6219"/>
      <c r="M130" s="6219"/>
      <c r="N130" s="6219"/>
      <c r="O130" s="6220"/>
      <c r="P130" s="6220"/>
      <c r="Q130" s="6220"/>
      <c r="R130" s="6220"/>
      <c r="S130" s="6220"/>
      <c r="T130" s="6220"/>
      <c r="U130" s="6221"/>
      <c r="V130" s="6221"/>
      <c r="W130" s="6221"/>
      <c r="X130" s="6221"/>
      <c r="Y130" s="6221"/>
    </row>
    <row r="131">
      <c r="A131" s="6222" t="s">
        <v>6313</v>
      </c>
      <c r="B131" s="6223" t="s">
        <v>6314</v>
      </c>
      <c r="C131" s="6223"/>
      <c r="D131" s="6224" t="s">
        <v>6315</v>
      </c>
      <c r="E131" s="6225" t="s">
        <v>6316</v>
      </c>
      <c r="F131" s="6225" t="s">
        <v>6317</v>
      </c>
      <c r="G131" s="6226" t="s">
        <v>6335</v>
      </c>
      <c r="H131" s="6227" t="s">
        <v>6319</v>
      </c>
      <c r="I131" s="6227" t="s">
        <v>6320</v>
      </c>
      <c r="J131" s="6228" t="s">
        <v>6321</v>
      </c>
      <c r="K131" s="6219"/>
      <c r="L131" s="6219"/>
      <c r="M131" s="6219"/>
      <c r="N131" s="6219"/>
      <c r="O131" s="6220"/>
      <c r="P131" s="6220"/>
      <c r="Q131" s="6220"/>
      <c r="R131" s="6220"/>
      <c r="S131" s="6220"/>
      <c r="T131" s="6220"/>
      <c r="U131" s="6221"/>
      <c r="V131" s="6221"/>
      <c r="W131" s="6221"/>
      <c r="X131" s="6221"/>
      <c r="Y131" s="6221"/>
    </row>
    <row r="132">
      <c r="A132" s="6143" t="s">
        <v>6465</v>
      </c>
      <c r="B132" s="6143">
        <v>46216</v>
      </c>
      <c r="C132" s="6143" t="str">
        <v>Monday</v>
      </c>
      <c r="D132" s="6147" t="s">
        <v>6358</v>
      </c>
      <c r="E132" s="6147">
        <f t="shared" ref="E132:E138" si="66">24*MOD(TIMEVALUE(TRIM(MID(D132,FIND("-",D132)+1,LEN(D132)))) - TIMEVALUE(TRIM(LEFT(D132,FIND("-",D132)-1))),1)</f>
      </c>
      <c r="F132" s="6147" t="s">
        <v>6466</v>
      </c>
      <c r="G132" s="6206" t="s">
        <v>6467</v>
      </c>
      <c r="H132" s="6147" t="s">
        <v>6425</v>
      </c>
      <c r="I132" s="6144" t="s">
        <v>6326</v>
      </c>
      <c r="J132" s="6207"/>
      <c r="K132" s="6166"/>
      <c r="L132" s="6166"/>
      <c r="M132" s="6166"/>
      <c r="N132" s="6166"/>
      <c r="O132" s="6133"/>
      <c r="P132" s="6133"/>
      <c r="Q132" s="6133"/>
      <c r="R132" s="6133"/>
      <c r="S132" s="6133"/>
      <c r="T132" s="6133"/>
      <c r="U132" s="6135"/>
      <c r="V132" s="6135"/>
      <c r="W132" s="6135"/>
      <c r="X132" s="6135"/>
      <c r="Y132" s="6135"/>
    </row>
    <row r="133">
      <c r="A133" s="6143" t="s">
        <v>6465</v>
      </c>
      <c r="B133" s="6143">
        <v>46218</v>
      </c>
      <c r="C133" s="6143" t="str">
        <v>Wednesday</v>
      </c>
      <c r="D133" s="6147" t="s">
        <v>6468</v>
      </c>
      <c r="E133" s="6147">
        <f t="shared" si="66"/>
      </c>
      <c r="F133" s="6147" t="s">
        <v>6454</v>
      </c>
      <c r="G133" s="6206" t="s">
        <v>6392</v>
      </c>
      <c r="H133" s="6147" t="s">
        <v>6425</v>
      </c>
      <c r="I133" s="6144" t="s">
        <v>6326</v>
      </c>
      <c r="J133" s="6207"/>
      <c r="K133" s="6166"/>
      <c r="L133" s="6166"/>
      <c r="M133" s="6166"/>
      <c r="N133" s="6166"/>
      <c r="O133" s="6133"/>
      <c r="P133" s="6133"/>
      <c r="Q133" s="6133"/>
      <c r="R133" s="6133"/>
      <c r="S133" s="6133"/>
      <c r="T133" s="6133"/>
      <c r="U133" s="6135"/>
      <c r="V133" s="6135"/>
      <c r="W133" s="6135"/>
      <c r="X133" s="6135"/>
      <c r="Y133" s="6135"/>
    </row>
    <row r="134">
      <c r="A134" s="6143" t="s">
        <v>6465</v>
      </c>
      <c r="B134" s="6143">
        <v>46218</v>
      </c>
      <c r="C134" s="6143" t="str">
        <v>Wednesday</v>
      </c>
      <c r="D134" s="6147" t="s">
        <v>6366</v>
      </c>
      <c r="E134" s="6147">
        <f t="shared" si="66"/>
      </c>
      <c r="F134" s="6147" t="s">
        <v>6328</v>
      </c>
      <c r="G134" s="6206" t="s">
        <v>6392</v>
      </c>
      <c r="H134" s="6147" t="s">
        <v>6425</v>
      </c>
      <c r="I134" s="6144" t="s">
        <v>6326</v>
      </c>
      <c r="J134" s="6207"/>
      <c r="K134" s="6166"/>
      <c r="L134" s="6166"/>
      <c r="M134" s="6166"/>
      <c r="N134" s="6166"/>
      <c r="O134" s="6133"/>
      <c r="P134" s="6133"/>
      <c r="Q134" s="6133"/>
      <c r="R134" s="6133"/>
      <c r="S134" s="6133"/>
      <c r="T134" s="6133"/>
      <c r="U134" s="6135"/>
      <c r="V134" s="6135"/>
      <c r="W134" s="6135"/>
      <c r="X134" s="6135"/>
      <c r="Y134" s="6135"/>
    </row>
    <row r="135">
      <c r="A135" s="6156" t="s">
        <v>6465</v>
      </c>
      <c r="B135" s="6156">
        <v>46218</v>
      </c>
      <c r="C135" s="6156" t="str">
        <v>Wednesday</v>
      </c>
      <c r="D135" s="6157" t="s">
        <v>6469</v>
      </c>
      <c r="E135" s="6157">
        <f t="shared" si="66"/>
      </c>
      <c r="F135" s="6157" t="s">
        <v>6470</v>
      </c>
      <c r="G135" s="6158" t="s">
        <v>6392</v>
      </c>
      <c r="H135" s="6157" t="s">
        <v>6425</v>
      </c>
      <c r="I135" s="6157" t="s">
        <v>6326</v>
      </c>
      <c r="J135" s="6208" t="s">
        <v>6471</v>
      </c>
      <c r="K135" s="6209"/>
      <c r="L135" s="6209"/>
      <c r="M135" s="6209"/>
      <c r="N135" s="6209"/>
      <c r="O135" s="6196"/>
      <c r="P135" s="6196"/>
      <c r="Q135" s="6196"/>
      <c r="R135" s="6196"/>
      <c r="S135" s="6196"/>
      <c r="T135" s="6196"/>
      <c r="U135" s="6159"/>
      <c r="V135" s="6159"/>
      <c r="W135" s="6159"/>
      <c r="X135" s="6159"/>
      <c r="Y135" s="6159"/>
    </row>
    <row r="136">
      <c r="A136" s="6143" t="s">
        <v>6465</v>
      </c>
      <c r="B136" s="6143">
        <v>46219</v>
      </c>
      <c r="C136" s="6143" t="str">
        <v>Thursday</v>
      </c>
      <c r="D136" s="6147" t="s">
        <v>6472</v>
      </c>
      <c r="E136" s="6147">
        <f t="shared" si="66"/>
      </c>
      <c r="F136" s="6147" t="s">
        <v>6473</v>
      </c>
      <c r="G136" s="6206" t="s">
        <v>6392</v>
      </c>
      <c r="H136" s="6147" t="s">
        <v>6425</v>
      </c>
      <c r="I136" s="6144" t="s">
        <v>6326</v>
      </c>
      <c r="J136" s="6207"/>
      <c r="K136" s="6166"/>
      <c r="L136" s="6166"/>
      <c r="M136" s="6166"/>
      <c r="N136" s="6166"/>
      <c r="O136" s="6133"/>
      <c r="P136" s="6133"/>
      <c r="Q136" s="6133"/>
      <c r="R136" s="6133"/>
      <c r="S136" s="6133"/>
      <c r="T136" s="6133"/>
      <c r="U136" s="6135"/>
      <c r="V136" s="6135"/>
      <c r="W136" s="6135"/>
      <c r="X136" s="6135"/>
      <c r="Y136" s="6135"/>
    </row>
    <row r="137">
      <c r="A137" s="6143" t="s">
        <v>6465</v>
      </c>
      <c r="B137" s="6143">
        <v>46219</v>
      </c>
      <c r="C137" s="6143" t="str">
        <v>Thursday</v>
      </c>
      <c r="D137" s="6147" t="s">
        <v>6474</v>
      </c>
      <c r="E137" s="6147">
        <f t="shared" si="66"/>
      </c>
      <c r="F137" s="6147" t="s">
        <v>6328</v>
      </c>
      <c r="G137" s="6206" t="s">
        <v>6392</v>
      </c>
      <c r="H137" s="6147" t="s">
        <v>6425</v>
      </c>
      <c r="I137" s="6144" t="s">
        <v>6326</v>
      </c>
      <c r="J137" s="6207"/>
      <c r="K137" s="6166"/>
      <c r="L137" s="6166"/>
      <c r="M137" s="6166"/>
      <c r="N137" s="6166"/>
      <c r="O137" s="6133"/>
      <c r="P137" s="6133"/>
      <c r="Q137" s="6133"/>
      <c r="R137" s="6133"/>
      <c r="S137" s="6133"/>
      <c r="T137" s="6133"/>
      <c r="U137" s="6135"/>
      <c r="V137" s="6135"/>
      <c r="W137" s="6135"/>
      <c r="X137" s="6135"/>
      <c r="Y137" s="6135"/>
    </row>
    <row r="138">
      <c r="A138" s="6156" t="s">
        <v>6465</v>
      </c>
      <c r="B138" s="6156">
        <v>46220</v>
      </c>
      <c r="C138" s="6156" t="str">
        <v>Friday</v>
      </c>
      <c r="D138" s="6157" t="s">
        <v>6353</v>
      </c>
      <c r="E138" s="6157">
        <f t="shared" si="66"/>
      </c>
      <c r="F138" s="6157" t="s">
        <v>6475</v>
      </c>
      <c r="G138" s="6158" t="s">
        <v>6392</v>
      </c>
      <c r="H138" s="6157" t="s">
        <v>6425</v>
      </c>
      <c r="I138" s="6157" t="s">
        <v>6326</v>
      </c>
      <c r="J138" s="6208"/>
      <c r="K138" s="6209"/>
      <c r="L138" s="6209"/>
      <c r="M138" s="6209"/>
      <c r="N138" s="6209"/>
      <c r="O138" s="6196"/>
      <c r="P138" s="6196"/>
      <c r="Q138" s="6196"/>
      <c r="R138" s="6196"/>
      <c r="S138" s="6196"/>
      <c r="T138" s="6196"/>
      <c r="U138" s="6159"/>
      <c r="V138" s="6159"/>
      <c r="W138" s="6159"/>
      <c r="X138" s="6159"/>
      <c r="Y138" s="6159"/>
    </row>
    <row r="139">
      <c r="A139" s="6143"/>
      <c r="B139" s="6143"/>
      <c r="C139" s="6143"/>
      <c r="D139" s="6147"/>
      <c r="E139" s="6147"/>
      <c r="F139" s="6147"/>
      <c r="G139" s="6206"/>
      <c r="H139" s="6147"/>
      <c r="I139" s="6144"/>
      <c r="J139" s="6207"/>
      <c r="K139" s="6166"/>
      <c r="L139" s="6166"/>
      <c r="M139" s="6166"/>
      <c r="N139" s="6166"/>
      <c r="O139" s="6133"/>
      <c r="P139" s="6133"/>
      <c r="Q139" s="6133"/>
      <c r="R139" s="6133"/>
      <c r="S139" s="6133"/>
      <c r="T139" s="6133"/>
      <c r="U139" s="6135"/>
      <c r="V139" s="6135"/>
      <c r="W139" s="6135"/>
      <c r="X139" s="6135"/>
      <c r="Y139" s="6135"/>
    </row>
    <row r="140">
      <c r="A140" s="6143" t="s">
        <v>6476</v>
      </c>
      <c r="B140" s="6143">
        <v>46218</v>
      </c>
      <c r="C140" s="6143" t="str">
        <v>Wednesday</v>
      </c>
      <c r="D140" s="6147" t="s">
        <v>6366</v>
      </c>
      <c r="E140" s="6147">
        <f t="shared" ref="E140:E141" si="67">24*MOD(TIMEVALUE(TRIM(MID(D140,FIND("-",D140)+1,LEN(D140)))) - TIMEVALUE(TRIM(LEFT(D140,FIND("-",D140)-1))),1)</f>
      </c>
      <c r="F140" s="6147" t="s">
        <v>6454</v>
      </c>
      <c r="G140" s="6206" t="s">
        <v>6392</v>
      </c>
      <c r="H140" s="6147" t="s">
        <v>6425</v>
      </c>
      <c r="I140" s="6144" t="s">
        <v>6326</v>
      </c>
      <c r="J140" s="6207"/>
      <c r="K140" s="6166"/>
      <c r="L140" s="6166"/>
      <c r="M140" s="6166"/>
      <c r="N140" s="6166"/>
      <c r="O140" s="6133"/>
      <c r="P140" s="6133"/>
      <c r="Q140" s="6133"/>
      <c r="R140" s="6133"/>
      <c r="S140" s="6133"/>
      <c r="T140" s="6133"/>
      <c r="U140" s="6135"/>
      <c r="V140" s="6135"/>
      <c r="W140" s="6135"/>
      <c r="X140" s="6135"/>
      <c r="Y140" s="6135"/>
    </row>
    <row r="141">
      <c r="A141" s="6143" t="s">
        <v>6476</v>
      </c>
      <c r="B141" s="6143">
        <v>46219</v>
      </c>
      <c r="C141" s="6143" t="str">
        <v>Thursday</v>
      </c>
      <c r="D141" s="6147" t="s">
        <v>6477</v>
      </c>
      <c r="E141" s="6147">
        <f t="shared" si="67"/>
      </c>
      <c r="F141" s="6147" t="s">
        <v>6328</v>
      </c>
      <c r="G141" s="6206" t="s">
        <v>6478</v>
      </c>
      <c r="H141" s="6147" t="s">
        <v>6425</v>
      </c>
      <c r="I141" s="6144" t="s">
        <v>6326</v>
      </c>
      <c r="J141" s="6207"/>
      <c r="K141" s="6166"/>
      <c r="L141" s="6166"/>
      <c r="M141" s="6166"/>
      <c r="N141" s="6166"/>
      <c r="O141" s="6133"/>
      <c r="P141" s="6133"/>
      <c r="Q141" s="6133"/>
      <c r="R141" s="6133"/>
      <c r="S141" s="6133"/>
      <c r="T141" s="6133"/>
      <c r="U141" s="6135"/>
      <c r="V141" s="6135"/>
      <c r="W141" s="6135"/>
      <c r="X141" s="6135"/>
      <c r="Y141" s="6135"/>
    </row>
    <row r="142">
      <c r="A142" s="6143"/>
      <c r="B142" s="6143"/>
      <c r="C142" s="6143"/>
      <c r="D142" s="6147"/>
      <c r="E142" s="6147"/>
      <c r="F142" s="6147"/>
      <c r="G142" s="6206"/>
      <c r="H142" s="6147"/>
      <c r="I142" s="6144"/>
      <c r="J142" s="6207"/>
      <c r="K142" s="6166"/>
      <c r="L142" s="6166"/>
      <c r="M142" s="6166"/>
      <c r="N142" s="6166"/>
      <c r="O142" s="6133"/>
      <c r="P142" s="6133"/>
      <c r="Q142" s="6133"/>
      <c r="R142" s="6133"/>
      <c r="S142" s="6133"/>
      <c r="T142" s="6133"/>
      <c r="U142" s="6135"/>
      <c r="V142" s="6135"/>
      <c r="W142" s="6135"/>
      <c r="X142" s="6135"/>
      <c r="Y142" s="6135"/>
    </row>
    <row r="143">
      <c r="A143" s="6143" t="s">
        <v>6479</v>
      </c>
      <c r="B143" s="6143">
        <v>46216</v>
      </c>
      <c r="C143" s="6143" t="str">
        <v>Monday</v>
      </c>
      <c r="D143" s="6147" t="s">
        <v>6452</v>
      </c>
      <c r="E143" s="6147">
        <f t="shared" ref="E143:E152" si="68">24*MOD(TIMEVALUE(TRIM(MID(D143,FIND("-",D143)+1,LEN(D143)))) - TIMEVALUE(TRIM(LEFT(D143,FIND("-",D143)-1))),1)</f>
      </c>
      <c r="F143" s="6147" t="s">
        <v>6419</v>
      </c>
      <c r="G143" s="6206"/>
      <c r="H143" s="6147" t="s">
        <v>6425</v>
      </c>
      <c r="I143" s="6144" t="s">
        <v>6395</v>
      </c>
      <c r="J143" s="6207"/>
      <c r="K143" s="6166"/>
      <c r="L143" s="6166"/>
      <c r="M143" s="6166"/>
      <c r="N143" s="6166"/>
      <c r="O143" s="6133"/>
      <c r="P143" s="6133"/>
      <c r="Q143" s="6133"/>
      <c r="R143" s="6133"/>
      <c r="S143" s="6133"/>
      <c r="T143" s="6133"/>
      <c r="U143" s="6135"/>
      <c r="V143" s="6135"/>
      <c r="W143" s="6135"/>
      <c r="X143" s="6135"/>
      <c r="Y143" s="6135"/>
    </row>
    <row r="144">
      <c r="A144" s="6143" t="s">
        <v>6479</v>
      </c>
      <c r="B144" s="6143">
        <v>46216</v>
      </c>
      <c r="C144" s="6143" t="str">
        <v>Monday</v>
      </c>
      <c r="D144" s="6147" t="s">
        <v>6480</v>
      </c>
      <c r="E144" s="6147">
        <f t="shared" si="68"/>
      </c>
      <c r="F144" s="6147" t="s">
        <v>6419</v>
      </c>
      <c r="G144" s="6206"/>
      <c r="H144" s="6147" t="s">
        <v>6425</v>
      </c>
      <c r="I144" s="6144" t="s">
        <v>6395</v>
      </c>
      <c r="J144" s="6207"/>
      <c r="K144" s="6166"/>
      <c r="L144" s="6166"/>
      <c r="M144" s="6166"/>
      <c r="N144" s="6166"/>
      <c r="O144" s="6133"/>
      <c r="P144" s="6133"/>
      <c r="Q144" s="6133"/>
      <c r="R144" s="6133"/>
      <c r="S144" s="6133"/>
      <c r="T144" s="6133"/>
      <c r="U144" s="6135"/>
      <c r="V144" s="6135"/>
      <c r="W144" s="6135"/>
      <c r="X144" s="6135"/>
      <c r="Y144" s="6135"/>
    </row>
    <row r="145">
      <c r="A145" s="6143" t="s">
        <v>6479</v>
      </c>
      <c r="B145" s="6143">
        <v>46217</v>
      </c>
      <c r="C145" s="6143" t="str">
        <v>Tuesday</v>
      </c>
      <c r="D145" s="6147" t="s">
        <v>6452</v>
      </c>
      <c r="E145" s="6147">
        <f t="shared" si="68"/>
      </c>
      <c r="F145" s="6147" t="s">
        <v>6419</v>
      </c>
      <c r="G145" s="6206"/>
      <c r="H145" s="6147" t="s">
        <v>6425</v>
      </c>
      <c r="I145" s="6144" t="s">
        <v>6395</v>
      </c>
      <c r="J145" s="6207"/>
      <c r="K145" s="6166"/>
      <c r="L145" s="6166"/>
      <c r="M145" s="6166"/>
      <c r="N145" s="6166"/>
      <c r="O145" s="6133"/>
      <c r="P145" s="6133"/>
      <c r="Q145" s="6133"/>
      <c r="R145" s="6133"/>
      <c r="S145" s="6133"/>
      <c r="T145" s="6133"/>
      <c r="U145" s="6135"/>
      <c r="V145" s="6135"/>
      <c r="W145" s="6135"/>
      <c r="X145" s="6135"/>
      <c r="Y145" s="6135"/>
    </row>
    <row r="146">
      <c r="A146" s="6143" t="s">
        <v>6479</v>
      </c>
      <c r="B146" s="6143">
        <v>46217</v>
      </c>
      <c r="C146" s="6143" t="str">
        <v>Tuesday</v>
      </c>
      <c r="D146" s="6147" t="s">
        <v>6480</v>
      </c>
      <c r="E146" s="6147">
        <f t="shared" si="68"/>
      </c>
      <c r="F146" s="6147" t="s">
        <v>6419</v>
      </c>
      <c r="G146" s="6206"/>
      <c r="H146" s="6147" t="s">
        <v>6425</v>
      </c>
      <c r="I146" s="6144" t="s">
        <v>6395</v>
      </c>
      <c r="J146" s="6207"/>
      <c r="K146" s="6166"/>
      <c r="L146" s="6166"/>
      <c r="M146" s="6166"/>
      <c r="N146" s="6166"/>
      <c r="O146" s="6133"/>
      <c r="P146" s="6133"/>
      <c r="Q146" s="6133"/>
      <c r="R146" s="6133"/>
      <c r="S146" s="6133"/>
      <c r="T146" s="6133"/>
      <c r="U146" s="6135"/>
      <c r="V146" s="6135"/>
      <c r="W146" s="6135"/>
      <c r="X146" s="6135"/>
      <c r="Y146" s="6135"/>
    </row>
    <row r="147">
      <c r="A147" s="6143" t="s">
        <v>6479</v>
      </c>
      <c r="B147" s="6143">
        <v>46218</v>
      </c>
      <c r="C147" s="6143" t="str">
        <v>Wednesday</v>
      </c>
      <c r="D147" s="6147" t="s">
        <v>6445</v>
      </c>
      <c r="E147" s="6147">
        <f t="shared" si="68"/>
      </c>
      <c r="F147" s="6147" t="s">
        <v>6419</v>
      </c>
      <c r="G147" s="6206"/>
      <c r="H147" s="6147" t="s">
        <v>6425</v>
      </c>
      <c r="I147" s="6144" t="s">
        <v>6395</v>
      </c>
      <c r="J147" s="6207"/>
      <c r="K147" s="6166"/>
      <c r="L147" s="6166"/>
      <c r="M147" s="6166"/>
      <c r="N147" s="6166"/>
      <c r="O147" s="6133"/>
      <c r="P147" s="6133"/>
      <c r="Q147" s="6133"/>
      <c r="R147" s="6133"/>
      <c r="S147" s="6133"/>
      <c r="T147" s="6133"/>
      <c r="U147" s="6135"/>
      <c r="V147" s="6135"/>
      <c r="W147" s="6135"/>
      <c r="X147" s="6135"/>
      <c r="Y147" s="6135"/>
    </row>
    <row r="148">
      <c r="A148" s="6143" t="s">
        <v>6479</v>
      </c>
      <c r="B148" s="6143">
        <v>46219</v>
      </c>
      <c r="C148" s="6143" t="str">
        <v>Thursday</v>
      </c>
      <c r="D148" s="6147" t="s">
        <v>6481</v>
      </c>
      <c r="E148" s="6147">
        <f t="shared" si="68"/>
      </c>
      <c r="F148" s="6147" t="s">
        <v>6419</v>
      </c>
      <c r="G148" s="6206"/>
      <c r="H148" s="6147" t="s">
        <v>6425</v>
      </c>
      <c r="I148" s="6144" t="s">
        <v>6395</v>
      </c>
      <c r="J148" s="6207"/>
      <c r="K148" s="6166"/>
      <c r="L148" s="6166"/>
      <c r="M148" s="6166"/>
      <c r="N148" s="6166"/>
      <c r="O148" s="6133"/>
      <c r="P148" s="6133"/>
      <c r="Q148" s="6133"/>
      <c r="R148" s="6133"/>
      <c r="S148" s="6133"/>
      <c r="T148" s="6133"/>
      <c r="U148" s="6135"/>
      <c r="V148" s="6135"/>
      <c r="W148" s="6135"/>
      <c r="X148" s="6135"/>
      <c r="Y148" s="6135"/>
    </row>
    <row r="149">
      <c r="A149" s="6143" t="s">
        <v>6479</v>
      </c>
      <c r="B149" s="6143">
        <v>46219</v>
      </c>
      <c r="C149" s="6143" t="str">
        <v>Thursday</v>
      </c>
      <c r="D149" s="6147" t="s">
        <v>6359</v>
      </c>
      <c r="E149" s="6147">
        <f t="shared" si="68"/>
      </c>
      <c r="F149" s="6147" t="s">
        <v>6419</v>
      </c>
      <c r="G149" s="6206"/>
      <c r="H149" s="6147" t="s">
        <v>6425</v>
      </c>
      <c r="I149" s="6144" t="s">
        <v>6395</v>
      </c>
      <c r="J149" s="6207"/>
      <c r="K149" s="6166"/>
      <c r="L149" s="6166"/>
      <c r="M149" s="6166"/>
      <c r="N149" s="6166"/>
      <c r="O149" s="6133"/>
      <c r="P149" s="6133"/>
      <c r="Q149" s="6133"/>
      <c r="R149" s="6133"/>
      <c r="S149" s="6133"/>
      <c r="T149" s="6133"/>
      <c r="U149" s="6135"/>
      <c r="V149" s="6135"/>
      <c r="W149" s="6135"/>
      <c r="X149" s="6135"/>
      <c r="Y149" s="6135"/>
    </row>
    <row r="150">
      <c r="A150" s="6143" t="s">
        <v>6479</v>
      </c>
      <c r="B150" s="6143">
        <v>46219</v>
      </c>
      <c r="C150" s="6143" t="str">
        <v>Thursday</v>
      </c>
      <c r="D150" s="6147" t="s">
        <v>6353</v>
      </c>
      <c r="E150" s="6147">
        <f t="shared" si="68"/>
      </c>
      <c r="F150" s="6147" t="s">
        <v>6419</v>
      </c>
      <c r="G150" s="6206"/>
      <c r="H150" s="6147" t="s">
        <v>6425</v>
      </c>
      <c r="I150" s="6144" t="s">
        <v>6395</v>
      </c>
      <c r="J150" s="6207"/>
      <c r="K150" s="6166"/>
      <c r="L150" s="6166"/>
      <c r="M150" s="6166"/>
      <c r="N150" s="6166"/>
      <c r="O150" s="6133"/>
      <c r="P150" s="6133"/>
      <c r="Q150" s="6133"/>
      <c r="R150" s="6133"/>
      <c r="S150" s="6133"/>
      <c r="T150" s="6133"/>
      <c r="U150" s="6135"/>
      <c r="V150" s="6135"/>
      <c r="W150" s="6135"/>
      <c r="X150" s="6135"/>
      <c r="Y150" s="6135"/>
    </row>
    <row r="151">
      <c r="A151" s="6143" t="s">
        <v>6479</v>
      </c>
      <c r="B151" s="6143">
        <v>46220</v>
      </c>
      <c r="C151" s="6143" t="str">
        <v>Friday</v>
      </c>
      <c r="D151" s="6147" t="s">
        <v>6482</v>
      </c>
      <c r="E151" s="6147">
        <f t="shared" si="68"/>
      </c>
      <c r="F151" s="6147" t="s">
        <v>6419</v>
      </c>
      <c r="G151" s="6206"/>
      <c r="H151" s="6147" t="s">
        <v>6425</v>
      </c>
      <c r="I151" s="6144" t="s">
        <v>6395</v>
      </c>
      <c r="J151" s="6207"/>
      <c r="K151" s="6166"/>
      <c r="L151" s="6166"/>
      <c r="M151" s="6166"/>
      <c r="N151" s="6166"/>
      <c r="O151" s="6133"/>
      <c r="P151" s="6133"/>
      <c r="Q151" s="6133"/>
      <c r="R151" s="6133"/>
      <c r="S151" s="6133"/>
      <c r="T151" s="6133"/>
      <c r="U151" s="6135"/>
      <c r="V151" s="6135"/>
      <c r="W151" s="6135"/>
      <c r="X151" s="6135"/>
      <c r="Y151" s="6135"/>
    </row>
    <row r="152">
      <c r="A152" s="6143" t="s">
        <v>6479</v>
      </c>
      <c r="B152" s="6143">
        <v>46220</v>
      </c>
      <c r="C152" s="6143" t="str">
        <v>Friday</v>
      </c>
      <c r="D152" s="6147" t="s">
        <v>6483</v>
      </c>
      <c r="E152" s="6147">
        <f t="shared" si="68"/>
      </c>
      <c r="F152" s="6147" t="s">
        <v>6419</v>
      </c>
      <c r="G152" s="6206"/>
      <c r="H152" s="6147" t="s">
        <v>6425</v>
      </c>
      <c r="I152" s="6144" t="s">
        <v>6395</v>
      </c>
      <c r="J152" s="6207"/>
      <c r="K152" s="6166"/>
      <c r="L152" s="6166"/>
      <c r="M152" s="6166"/>
      <c r="N152" s="6166"/>
      <c r="O152" s="6133"/>
      <c r="P152" s="6133"/>
      <c r="Q152" s="6133"/>
      <c r="R152" s="6133"/>
      <c r="S152" s="6133"/>
      <c r="T152" s="6133"/>
      <c r="U152" s="6135"/>
      <c r="V152" s="6135"/>
      <c r="W152" s="6135"/>
      <c r="X152" s="6135"/>
      <c r="Y152" s="6135"/>
    </row>
    <row r="153">
      <c r="A153" s="6143"/>
      <c r="B153" s="6143"/>
      <c r="C153" s="6143"/>
      <c r="D153" s="6147"/>
      <c r="E153" s="6147"/>
      <c r="F153" s="6147"/>
      <c r="G153" s="6206"/>
      <c r="H153" s="6147"/>
      <c r="I153" s="6144"/>
      <c r="J153" s="6207"/>
      <c r="K153" s="6166"/>
      <c r="L153" s="6166"/>
      <c r="M153" s="6166"/>
      <c r="N153" s="6166"/>
      <c r="O153" s="6133"/>
      <c r="P153" s="6133"/>
      <c r="Q153" s="6133"/>
      <c r="R153" s="6133"/>
      <c r="S153" s="6133"/>
      <c r="T153" s="6133"/>
      <c r="U153" s="6135"/>
      <c r="V153" s="6135"/>
      <c r="W153" s="6135"/>
      <c r="X153" s="6135"/>
      <c r="Y153" s="6135"/>
    </row>
    <row r="154">
      <c r="A154" s="6143"/>
      <c r="B154" s="6143"/>
      <c r="C154" s="6143"/>
      <c r="D154" s="6147"/>
      <c r="E154" s="6147"/>
      <c r="F154" s="6147"/>
      <c r="G154" s="6206"/>
      <c r="H154" s="6147"/>
      <c r="I154" s="6144"/>
      <c r="J154" s="6207"/>
      <c r="K154" s="6166"/>
      <c r="L154" s="6166"/>
      <c r="M154" s="6166"/>
      <c r="N154" s="6166"/>
      <c r="O154" s="6133"/>
      <c r="P154" s="6133"/>
      <c r="Q154" s="6133"/>
      <c r="R154" s="6133"/>
      <c r="S154" s="6133"/>
      <c r="T154" s="6133"/>
      <c r="U154" s="6135"/>
      <c r="V154" s="6135"/>
      <c r="W154" s="6135"/>
      <c r="X154" s="6135"/>
      <c r="Y154" s="6135"/>
    </row>
    <row r="155">
      <c r="A155" s="6143"/>
      <c r="B155" s="6143"/>
      <c r="C155" s="6143"/>
      <c r="D155" s="6147"/>
      <c r="E155" s="6147"/>
      <c r="F155" s="6147"/>
      <c r="G155" s="6206"/>
      <c r="H155" s="6147"/>
      <c r="I155" s="6144"/>
      <c r="J155" s="6207"/>
      <c r="K155" s="6166"/>
      <c r="L155" s="6166"/>
      <c r="M155" s="6166"/>
      <c r="N155" s="6166"/>
      <c r="O155" s="6133"/>
      <c r="P155" s="6133"/>
      <c r="Q155" s="6133"/>
      <c r="R155" s="6133"/>
      <c r="S155" s="6133"/>
      <c r="T155" s="6133"/>
      <c r="U155" s="6135"/>
      <c r="V155" s="6135"/>
      <c r="W155" s="6135"/>
      <c r="X155" s="6135"/>
      <c r="Y155" s="6135"/>
    </row>
    <row r="156">
      <c r="A156" s="6135"/>
      <c r="B156" s="6135"/>
      <c r="C156" s="6135"/>
      <c r="D156" s="6135"/>
      <c r="E156" s="6135"/>
      <c r="F156" s="6135"/>
      <c r="G156" s="6135"/>
      <c r="H156" s="6135"/>
      <c r="I156" s="6135"/>
      <c r="J156" s="6135"/>
      <c r="K156" s="6135"/>
      <c r="L156" s="6135"/>
      <c r="M156" s="6135"/>
      <c r="N156" s="6135"/>
      <c r="O156" s="6135"/>
      <c r="P156" s="6135"/>
      <c r="Q156" s="6135"/>
      <c r="R156" s="6135"/>
      <c r="S156" s="6135"/>
      <c r="T156" s="6135"/>
      <c r="U156" s="6135"/>
      <c r="V156" s="6135"/>
      <c r="W156" s="6135"/>
      <c r="X156" s="6135"/>
      <c r="Y156" s="6135"/>
    </row>
    <row r="157">
      <c r="A157" s="6229" t="s">
        <v>6484</v>
      </c>
      <c r="B157" s="6229"/>
      <c r="C157" s="6229"/>
      <c r="D157" s="6229"/>
      <c r="E157" s="6229"/>
      <c r="F157" s="6229"/>
      <c r="G157" s="6229"/>
      <c r="H157" s="6229"/>
      <c r="I157" s="6229"/>
      <c r="J157" s="6229"/>
      <c r="K157" s="6135"/>
      <c r="L157" s="6135"/>
      <c r="M157" s="6135"/>
      <c r="N157" s="6135"/>
      <c r="O157" s="6135"/>
      <c r="P157" s="6135"/>
      <c r="Q157" s="6135"/>
      <c r="R157" s="6135"/>
      <c r="S157" s="6135"/>
      <c r="T157" s="6135"/>
      <c r="U157" s="6135"/>
      <c r="V157" s="6135"/>
      <c r="W157" s="6135"/>
      <c r="X157" s="6135"/>
      <c r="Y157" s="6135"/>
    </row>
    <row r="158">
      <c r="A158" s="6230" t="s">
        <v>6313</v>
      </c>
      <c r="B158" s="6231" t="s">
        <v>6314</v>
      </c>
      <c r="C158" s="6231"/>
      <c r="D158" s="6232" t="s">
        <v>6315</v>
      </c>
      <c r="E158" s="6233" t="s">
        <v>6316</v>
      </c>
      <c r="F158" s="6233" t="s">
        <v>6317</v>
      </c>
      <c r="G158" s="6234" t="s">
        <v>6335</v>
      </c>
      <c r="H158" s="6235" t="s">
        <v>6319</v>
      </c>
      <c r="I158" s="6235" t="s">
        <v>6320</v>
      </c>
      <c r="J158" s="6236" t="s">
        <v>6321</v>
      </c>
      <c r="K158" s="6135"/>
      <c r="L158" s="6135"/>
      <c r="M158" s="6135"/>
      <c r="N158" s="6135"/>
      <c r="O158" s="6135"/>
      <c r="P158" s="6135"/>
      <c r="Q158" s="6135"/>
      <c r="R158" s="6135"/>
      <c r="S158" s="6135"/>
      <c r="T158" s="6135"/>
      <c r="U158" s="6135"/>
      <c r="V158" s="6135"/>
      <c r="W158" s="6135"/>
      <c r="X158" s="6135"/>
      <c r="Y158" s="6135"/>
    </row>
    <row r="159">
      <c r="A159" s="6143"/>
      <c r="B159" s="6143"/>
      <c r="C159" s="6143"/>
      <c r="D159" s="6147"/>
      <c r="E159" s="6147"/>
      <c r="F159" s="6147"/>
      <c r="G159" s="6206"/>
      <c r="H159" s="6147"/>
      <c r="I159" s="6144"/>
      <c r="J159" s="6207"/>
      <c r="K159" s="6133"/>
      <c r="L159" s="6133"/>
      <c r="M159" s="6133"/>
      <c r="N159" s="6133"/>
      <c r="O159" s="6133"/>
      <c r="P159" s="6133"/>
      <c r="Q159" s="6133"/>
      <c r="R159" s="6133"/>
      <c r="S159" s="6133"/>
      <c r="T159" s="6133"/>
      <c r="U159" s="6135"/>
      <c r="V159" s="6135"/>
      <c r="W159" s="6135"/>
      <c r="X159" s="6135"/>
      <c r="Y159" s="6135"/>
    </row>
    <row r="160">
      <c r="A160" s="6137" t="s">
        <v>6485</v>
      </c>
      <c r="B160" s="6137"/>
      <c r="C160" s="6137"/>
      <c r="D160" s="6137"/>
      <c r="E160" s="6137"/>
      <c r="F160" s="6137"/>
      <c r="G160" s="6137"/>
      <c r="H160" s="6137"/>
      <c r="I160" s="6137"/>
      <c r="J160" s="6137"/>
      <c r="K160" s="6133"/>
      <c r="L160" s="6133"/>
      <c r="M160" s="6133"/>
      <c r="N160" s="6133"/>
      <c r="O160" s="6133"/>
      <c r="P160" s="6133"/>
      <c r="Q160" s="6133"/>
      <c r="R160" s="6133"/>
      <c r="S160" s="6133"/>
      <c r="T160" s="6133"/>
      <c r="U160" s="6135"/>
      <c r="V160" s="6135"/>
      <c r="W160" s="6135"/>
      <c r="X160" s="6135"/>
      <c r="Y160" s="6135"/>
    </row>
    <row r="161">
      <c r="A161" s="6138" t="s">
        <v>6313</v>
      </c>
      <c r="B161" s="6139" t="s">
        <v>6314</v>
      </c>
      <c r="C161" s="6139"/>
      <c r="D161" s="6140" t="s">
        <v>6315</v>
      </c>
      <c r="E161" s="6140" t="s">
        <v>6316</v>
      </c>
      <c r="F161" s="6140" t="s">
        <v>6317</v>
      </c>
      <c r="G161" s="6237" t="s">
        <v>6335</v>
      </c>
      <c r="H161" s="6140" t="s">
        <v>6319</v>
      </c>
      <c r="I161" s="6140" t="s">
        <v>6320</v>
      </c>
      <c r="J161" s="6140" t="s">
        <v>6321</v>
      </c>
      <c r="K161" s="6133"/>
      <c r="L161" s="6133"/>
      <c r="M161" s="6133"/>
      <c r="N161" s="6133"/>
      <c r="O161" s="6133"/>
      <c r="P161" s="6133"/>
      <c r="Q161" s="6133"/>
      <c r="R161" s="6133"/>
      <c r="S161" s="6133"/>
      <c r="T161" s="6133"/>
      <c r="U161" s="6135"/>
      <c r="V161" s="6135"/>
      <c r="W161" s="6135"/>
      <c r="X161" s="6135"/>
      <c r="Y161" s="6135"/>
    </row>
    <row r="162">
      <c r="A162" s="6143" t="s">
        <v>6485</v>
      </c>
      <c r="B162" s="6143">
        <v>46216</v>
      </c>
      <c r="C162" s="6143" t="str">
        <v>Monday</v>
      </c>
      <c r="D162" s="6144" t="s">
        <v>6472</v>
      </c>
      <c r="E162" s="6147">
        <f t="shared" ref="E162:E176" si="69">24*MOD(TIMEVALUE(TRIM(MID(D162,FIND("-",D162)+1,LEN(D162)))) - TIMEVALUE(TRIM(LEFT(D162,FIND("-",D162)-1))),1)</f>
      </c>
      <c r="F162" s="6147" t="s">
        <v>6391</v>
      </c>
      <c r="G162" s="6206" t="s">
        <v>6486</v>
      </c>
      <c r="H162" s="6147" t="s">
        <v>6325</v>
      </c>
      <c r="I162" s="6147"/>
      <c r="J162" s="6147"/>
      <c r="K162" s="6133"/>
      <c r="L162" s="6133"/>
      <c r="M162" s="6133"/>
      <c r="N162" s="6133"/>
      <c r="O162" s="6133"/>
      <c r="P162" s="6133"/>
      <c r="Q162" s="6133"/>
      <c r="R162" s="6133"/>
      <c r="S162" s="6133"/>
      <c r="T162" s="6133"/>
      <c r="U162" s="6135"/>
      <c r="V162" s="6135"/>
      <c r="W162" s="6135"/>
      <c r="X162" s="6135"/>
      <c r="Y162" s="6135"/>
    </row>
    <row r="163">
      <c r="A163" s="6143" t="s">
        <v>6485</v>
      </c>
      <c r="B163" s="6143">
        <v>46217</v>
      </c>
      <c r="C163" s="6143" t="str">
        <v>Tuesday</v>
      </c>
      <c r="D163" s="6144" t="s">
        <v>6472</v>
      </c>
      <c r="E163" s="6147">
        <f t="shared" si="69"/>
      </c>
      <c r="F163" s="6147" t="s">
        <v>6393</v>
      </c>
      <c r="G163" s="6206" t="s">
        <v>6486</v>
      </c>
      <c r="H163" s="6147" t="s">
        <v>6325</v>
      </c>
      <c r="I163" s="6147"/>
      <c r="J163" s="6147"/>
      <c r="K163" s="6133"/>
      <c r="L163" s="6133"/>
      <c r="M163" s="6133"/>
      <c r="N163" s="6133"/>
      <c r="O163" s="6133"/>
      <c r="P163" s="6133"/>
      <c r="Q163" s="6133"/>
      <c r="R163" s="6133"/>
      <c r="S163" s="6133"/>
      <c r="T163" s="6133"/>
      <c r="U163" s="6135"/>
      <c r="V163" s="6135"/>
      <c r="W163" s="6135"/>
      <c r="X163" s="6135"/>
      <c r="Y163" s="6135"/>
    </row>
    <row r="164">
      <c r="A164" s="6143" t="s">
        <v>6485</v>
      </c>
      <c r="B164" s="6143">
        <v>46218</v>
      </c>
      <c r="C164" s="6143" t="str">
        <v>Wednesday</v>
      </c>
      <c r="D164" s="6144" t="s">
        <v>6472</v>
      </c>
      <c r="E164" s="6147">
        <f t="shared" si="69"/>
      </c>
      <c r="F164" s="6147" t="s">
        <v>6393</v>
      </c>
      <c r="G164" s="6206" t="s">
        <v>6486</v>
      </c>
      <c r="H164" s="6144"/>
      <c r="I164" s="6144"/>
      <c r="J164" s="6144"/>
      <c r="K164" s="6133"/>
      <c r="L164" s="6133"/>
      <c r="M164" s="6133"/>
      <c r="N164" s="6133"/>
      <c r="O164" s="6133"/>
      <c r="P164" s="6133"/>
      <c r="Q164" s="6133"/>
      <c r="R164" s="6133"/>
      <c r="S164" s="6133"/>
      <c r="T164" s="6133"/>
      <c r="U164" s="6135"/>
      <c r="V164" s="6135"/>
      <c r="W164" s="6135"/>
      <c r="X164" s="6135"/>
      <c r="Y164" s="6135"/>
    </row>
    <row r="165">
      <c r="A165" s="6143" t="s">
        <v>6485</v>
      </c>
      <c r="B165" s="6143">
        <v>46219</v>
      </c>
      <c r="C165" s="6143" t="str">
        <v>Thursday</v>
      </c>
      <c r="D165" s="6144" t="s">
        <v>6472</v>
      </c>
      <c r="E165" s="6147">
        <f t="shared" si="69"/>
      </c>
      <c r="F165" s="6147" t="s">
        <v>6393</v>
      </c>
      <c r="G165" s="6206" t="s">
        <v>6486</v>
      </c>
      <c r="H165" s="6147" t="s">
        <v>6325</v>
      </c>
      <c r="I165" s="6147"/>
      <c r="J165" s="6147"/>
      <c r="K165" s="6133"/>
      <c r="L165" s="6133"/>
      <c r="M165" s="6133"/>
      <c r="N165" s="6133"/>
      <c r="O165" s="6133"/>
      <c r="P165" s="6133"/>
      <c r="Q165" s="6133"/>
      <c r="R165" s="6133"/>
      <c r="S165" s="6133"/>
      <c r="T165" s="6133"/>
      <c r="U165" s="6135"/>
      <c r="V165" s="6135"/>
      <c r="W165" s="6135"/>
      <c r="X165" s="6135"/>
      <c r="Y165" s="6135"/>
    </row>
    <row r="166">
      <c r="A166" s="6143" t="s">
        <v>6485</v>
      </c>
      <c r="B166" s="6143">
        <v>46220</v>
      </c>
      <c r="C166" s="6143" t="str">
        <v>Friday</v>
      </c>
      <c r="D166" s="6144" t="s">
        <v>6472</v>
      </c>
      <c r="E166" s="6147">
        <f t="shared" si="69"/>
      </c>
      <c r="F166" s="6147" t="s">
        <v>6393</v>
      </c>
      <c r="G166" s="6206" t="s">
        <v>6486</v>
      </c>
      <c r="H166" s="6147" t="s">
        <v>6325</v>
      </c>
      <c r="I166" s="6147"/>
      <c r="J166" s="6147"/>
      <c r="K166" s="6133"/>
      <c r="L166" s="6133"/>
      <c r="M166" s="6133"/>
      <c r="N166" s="6133"/>
      <c r="O166" s="6133"/>
      <c r="P166" s="6133"/>
      <c r="Q166" s="6133"/>
      <c r="R166" s="6133"/>
      <c r="S166" s="6133"/>
      <c r="T166" s="6133"/>
      <c r="U166" s="6135"/>
      <c r="V166" s="6135"/>
      <c r="W166" s="6135"/>
      <c r="X166" s="6135"/>
      <c r="Y166" s="6135"/>
    </row>
    <row r="167">
      <c r="A167" s="6143" t="s">
        <v>6485</v>
      </c>
      <c r="B167" s="6143">
        <v>46221</v>
      </c>
      <c r="C167" s="6143" t="str">
        <v>Saturday</v>
      </c>
      <c r="D167" s="6144" t="s">
        <v>6472</v>
      </c>
      <c r="E167" s="6147">
        <f t="shared" si="69"/>
      </c>
      <c r="F167" s="6147" t="s">
        <v>6338</v>
      </c>
      <c r="G167" s="6206" t="s">
        <v>6486</v>
      </c>
      <c r="H167" s="6147" t="s">
        <v>6325</v>
      </c>
      <c r="I167" s="6147"/>
      <c r="J167" s="6147"/>
      <c r="K167" s="6133"/>
      <c r="L167" s="6133"/>
      <c r="M167" s="6133"/>
      <c r="N167" s="6133"/>
      <c r="O167" s="6133"/>
      <c r="P167" s="6133"/>
      <c r="Q167" s="6133"/>
      <c r="R167" s="6133"/>
      <c r="S167" s="6133"/>
      <c r="T167" s="6133"/>
      <c r="U167" s="6135"/>
      <c r="V167" s="6135"/>
      <c r="W167" s="6135"/>
      <c r="X167" s="6135"/>
      <c r="Y167" s="6135"/>
    </row>
    <row r="168">
      <c r="A168" s="6143" t="s">
        <v>6485</v>
      </c>
      <c r="B168" s="6143">
        <v>46222</v>
      </c>
      <c r="C168" s="6143" t="str">
        <v>Sunday</v>
      </c>
      <c r="D168" s="6144" t="s">
        <v>6472</v>
      </c>
      <c r="E168" s="6147">
        <f t="shared" si="69"/>
      </c>
      <c r="F168" s="6147" t="s">
        <v>6347</v>
      </c>
      <c r="G168" s="6206" t="s">
        <v>6486</v>
      </c>
      <c r="H168" s="6147" t="s">
        <v>6325</v>
      </c>
      <c r="I168" s="6147"/>
      <c r="J168" s="6147"/>
      <c r="K168" s="6133"/>
      <c r="L168" s="6133"/>
      <c r="M168" s="6133"/>
      <c r="N168" s="6133"/>
      <c r="O168" s="6133"/>
      <c r="P168" s="6133"/>
      <c r="Q168" s="6133"/>
      <c r="R168" s="6133"/>
      <c r="S168" s="6133"/>
      <c r="T168" s="6133"/>
      <c r="U168" s="6135"/>
      <c r="V168" s="6135"/>
      <c r="W168" s="6135"/>
      <c r="X168" s="6135"/>
      <c r="Y168" s="6135"/>
    </row>
    <row r="169">
      <c r="A169" s="6143" t="s">
        <v>6487</v>
      </c>
      <c r="B169" s="6143">
        <v>46216</v>
      </c>
      <c r="C169" s="6143" t="str">
        <v>Monday</v>
      </c>
      <c r="D169" s="6144" t="s">
        <v>6488</v>
      </c>
      <c r="E169" s="6147">
        <f t="shared" si="69"/>
      </c>
      <c r="F169" s="6147" t="s">
        <v>6383</v>
      </c>
      <c r="G169" s="6206"/>
      <c r="H169" s="6144"/>
      <c r="I169" s="6144"/>
      <c r="J169" s="6144"/>
      <c r="K169" s="6133"/>
      <c r="L169" s="6133"/>
      <c r="M169" s="6133"/>
      <c r="N169" s="6133"/>
      <c r="O169" s="6133"/>
      <c r="P169" s="6133"/>
      <c r="Q169" s="6133"/>
      <c r="R169" s="6133"/>
      <c r="S169" s="6133"/>
      <c r="T169" s="6133"/>
      <c r="U169" s="6135"/>
      <c r="V169" s="6135"/>
      <c r="W169" s="6135"/>
      <c r="X169" s="6135"/>
      <c r="Y169" s="6135"/>
    </row>
    <row r="170">
      <c r="A170" s="6143" t="s">
        <v>6487</v>
      </c>
      <c r="B170" s="6143">
        <v>46217</v>
      </c>
      <c r="C170" s="6143" t="str">
        <v>Tuesday</v>
      </c>
      <c r="D170" s="6144" t="s">
        <v>6488</v>
      </c>
      <c r="E170" s="6147">
        <f t="shared" si="69"/>
      </c>
      <c r="F170" s="6147" t="s">
        <v>6383</v>
      </c>
      <c r="G170" s="6206"/>
      <c r="H170" s="6144"/>
      <c r="I170" s="6144"/>
      <c r="J170" s="6144"/>
      <c r="K170" s="6133"/>
      <c r="L170" s="6133"/>
      <c r="M170" s="6133"/>
      <c r="N170" s="6133"/>
      <c r="O170" s="6133"/>
      <c r="P170" s="6133"/>
      <c r="Q170" s="6133"/>
      <c r="R170" s="6133"/>
      <c r="S170" s="6133"/>
      <c r="T170" s="6133"/>
      <c r="U170" s="6135"/>
      <c r="V170" s="6135"/>
      <c r="W170" s="6135"/>
      <c r="X170" s="6135"/>
      <c r="Y170" s="6135"/>
    </row>
    <row r="171">
      <c r="A171" s="6143" t="s">
        <v>6487</v>
      </c>
      <c r="B171" s="6143">
        <v>46218</v>
      </c>
      <c r="C171" s="6143" t="str">
        <v>Wednesday</v>
      </c>
      <c r="D171" s="6144" t="s">
        <v>6488</v>
      </c>
      <c r="E171" s="6147">
        <f t="shared" si="69"/>
      </c>
      <c r="F171" s="6147" t="s">
        <v>6383</v>
      </c>
      <c r="G171" s="6206"/>
      <c r="H171" s="6144"/>
      <c r="I171" s="6144"/>
      <c r="J171" s="6144"/>
      <c r="K171" s="6133"/>
      <c r="L171" s="6133"/>
      <c r="M171" s="6133"/>
      <c r="N171" s="6133"/>
      <c r="O171" s="6133"/>
      <c r="P171" s="6133"/>
      <c r="Q171" s="6133"/>
      <c r="R171" s="6133"/>
      <c r="S171" s="6133"/>
      <c r="T171" s="6133"/>
      <c r="U171" s="6135"/>
      <c r="V171" s="6135"/>
      <c r="W171" s="6135"/>
      <c r="X171" s="6135"/>
      <c r="Y171" s="6135"/>
    </row>
    <row r="172">
      <c r="A172" s="6143" t="s">
        <v>6487</v>
      </c>
      <c r="B172" s="6143">
        <v>46219</v>
      </c>
      <c r="C172" s="6143" t="str">
        <v>Thursday</v>
      </c>
      <c r="D172" s="6144" t="s">
        <v>6488</v>
      </c>
      <c r="E172" s="6147">
        <f t="shared" si="69"/>
      </c>
      <c r="F172" s="6147" t="s">
        <v>6383</v>
      </c>
      <c r="G172" s="6206"/>
      <c r="H172" s="6144"/>
      <c r="I172" s="6144"/>
      <c r="J172" s="6144"/>
      <c r="K172" s="6133"/>
      <c r="L172" s="6133"/>
      <c r="M172" s="6133"/>
      <c r="N172" s="6133"/>
      <c r="O172" s="6133"/>
      <c r="P172" s="6133"/>
      <c r="Q172" s="6133"/>
      <c r="R172" s="6133"/>
      <c r="S172" s="6133"/>
      <c r="T172" s="6133"/>
      <c r="U172" s="6135"/>
      <c r="V172" s="6135"/>
      <c r="W172" s="6135"/>
      <c r="X172" s="6135"/>
      <c r="Y172" s="6135"/>
    </row>
    <row r="173">
      <c r="A173" s="6143" t="s">
        <v>6487</v>
      </c>
      <c r="B173" s="6143">
        <v>46220</v>
      </c>
      <c r="C173" s="6143" t="str">
        <v>Friday</v>
      </c>
      <c r="D173" s="6144" t="s">
        <v>6488</v>
      </c>
      <c r="E173" s="6147">
        <f t="shared" si="69"/>
      </c>
      <c r="F173" s="6147" t="s">
        <v>6383</v>
      </c>
      <c r="G173" s="6206"/>
      <c r="H173" s="6144"/>
      <c r="I173" s="6135"/>
      <c r="J173" s="6135"/>
      <c r="K173" s="6133"/>
      <c r="L173" s="6133"/>
      <c r="M173" s="6133"/>
      <c r="N173" s="6133"/>
      <c r="O173" s="6133"/>
      <c r="P173" s="6133"/>
      <c r="Q173" s="6133"/>
      <c r="R173" s="6133"/>
      <c r="S173" s="6133"/>
      <c r="T173" s="6133"/>
      <c r="U173" s="6135"/>
      <c r="V173" s="6135"/>
      <c r="W173" s="6135"/>
      <c r="X173" s="6135"/>
      <c r="Y173" s="6135"/>
    </row>
    <row r="174">
      <c r="A174" s="6143" t="s">
        <v>6487</v>
      </c>
      <c r="B174" s="6143">
        <v>46221</v>
      </c>
      <c r="C174" s="6143" t="str">
        <v>Saturday</v>
      </c>
      <c r="D174" s="6144" t="s">
        <v>6488</v>
      </c>
      <c r="E174" s="6147">
        <f t="shared" si="69"/>
      </c>
      <c r="F174" s="6147" t="s">
        <v>6383</v>
      </c>
      <c r="G174" s="6206"/>
      <c r="H174" s="6144"/>
      <c r="I174" s="6135"/>
      <c r="J174" s="6135"/>
      <c r="K174" s="6133"/>
      <c r="L174" s="6133"/>
      <c r="M174" s="6133"/>
      <c r="N174" s="6133"/>
      <c r="O174" s="6133"/>
      <c r="P174" s="6133"/>
      <c r="Q174" s="6133"/>
      <c r="R174" s="6133"/>
      <c r="S174" s="6133"/>
      <c r="T174" s="6133"/>
      <c r="U174" s="6135"/>
      <c r="V174" s="6135"/>
      <c r="W174" s="6135"/>
      <c r="X174" s="6135"/>
      <c r="Y174" s="6135"/>
    </row>
    <row r="175">
      <c r="A175" s="6143" t="s">
        <v>6487</v>
      </c>
      <c r="B175" s="6143">
        <v>46222</v>
      </c>
      <c r="C175" s="6143" t="str">
        <v>Sunday</v>
      </c>
      <c r="D175" s="6144" t="s">
        <v>6488</v>
      </c>
      <c r="E175" s="6147">
        <f t="shared" si="69"/>
      </c>
      <c r="F175" s="6147" t="s">
        <v>6383</v>
      </c>
      <c r="G175" s="6206"/>
      <c r="H175" s="6144"/>
      <c r="I175" s="6135"/>
      <c r="J175" s="6135"/>
      <c r="K175" s="6133"/>
      <c r="L175" s="6133"/>
      <c r="M175" s="6133"/>
      <c r="N175" s="6133"/>
      <c r="O175" s="6133"/>
      <c r="P175" s="6133"/>
      <c r="Q175" s="6133"/>
      <c r="R175" s="6133"/>
      <c r="S175" s="6133"/>
      <c r="T175" s="6133"/>
      <c r="U175" s="6135"/>
      <c r="V175" s="6135"/>
      <c r="W175" s="6135"/>
      <c r="X175" s="6135"/>
      <c r="Y175" s="6135"/>
    </row>
    <row r="176">
      <c r="A176" s="6143" t="s">
        <v>6489</v>
      </c>
      <c r="B176" s="6143">
        <v>46220</v>
      </c>
      <c r="C176" s="6143" t="str">
        <v>Friday</v>
      </c>
      <c r="D176" s="6144" t="s">
        <v>6490</v>
      </c>
      <c r="E176" s="6147">
        <f t="shared" si="69"/>
      </c>
      <c r="F176" s="6147" t="s">
        <v>6383</v>
      </c>
      <c r="G176" s="6206"/>
      <c r="H176" s="6144"/>
      <c r="I176" s="6135"/>
      <c r="J176" s="6135"/>
      <c r="K176" s="6133"/>
      <c r="L176" s="6133"/>
      <c r="M176" s="6133"/>
      <c r="N176" s="6133"/>
      <c r="O176" s="6133"/>
      <c r="P176" s="6133"/>
      <c r="Q176" s="6133"/>
      <c r="R176" s="6133"/>
      <c r="S176" s="6133"/>
      <c r="T176" s="6133"/>
      <c r="U176" s="6135"/>
      <c r="V176" s="6135"/>
      <c r="W176" s="6135"/>
      <c r="X176" s="6135"/>
      <c r="Y176" s="6135"/>
    </row>
    <row r="177">
      <c r="A177" s="6143"/>
      <c r="B177" s="6143"/>
      <c r="C177" s="6143"/>
      <c r="D177" s="6144"/>
      <c r="E177" s="6147"/>
      <c r="F177" s="6147"/>
      <c r="G177" s="6206"/>
      <c r="H177" s="6144"/>
      <c r="I177" s="6135"/>
      <c r="J177" s="6135"/>
      <c r="K177" s="6133"/>
      <c r="L177" s="6133"/>
      <c r="M177" s="6133"/>
      <c r="N177" s="6133"/>
      <c r="O177" s="6133"/>
      <c r="P177" s="6133"/>
      <c r="Q177" s="6133"/>
      <c r="R177" s="6133"/>
      <c r="S177" s="6133"/>
      <c r="T177" s="6133"/>
      <c r="U177" s="6135"/>
      <c r="V177" s="6135"/>
      <c r="W177" s="6135"/>
      <c r="X177" s="6135"/>
      <c r="Y177" s="6135"/>
    </row>
    <row r="178">
      <c r="A178" s="6135"/>
      <c r="B178" s="6135"/>
      <c r="C178" s="6135"/>
      <c r="D178" s="6135"/>
      <c r="E178" s="6135"/>
      <c r="F178" s="6238"/>
      <c r="G178" s="6239"/>
      <c r="H178" s="6240"/>
      <c r="I178" s="6135"/>
      <c r="J178" s="6135"/>
      <c r="K178" s="6133"/>
      <c r="L178" s="6133"/>
      <c r="M178" s="6133"/>
      <c r="N178" s="6133"/>
      <c r="O178" s="6133"/>
      <c r="P178" s="6133"/>
      <c r="Q178" s="6133"/>
      <c r="R178" s="6133"/>
      <c r="S178" s="6133"/>
      <c r="T178" s="6133"/>
      <c r="U178" s="6135"/>
      <c r="V178" s="6135"/>
      <c r="W178" s="6135"/>
      <c r="X178" s="6135"/>
      <c r="Y178" s="6135"/>
    </row>
    <row r="179">
      <c r="A179" s="6241" t="s">
        <v>6491</v>
      </c>
      <c r="B179" s="6241"/>
      <c r="C179" s="6241"/>
      <c r="D179" s="6241"/>
      <c r="E179" s="6241"/>
      <c r="F179" s="6241"/>
      <c r="G179" s="6241"/>
      <c r="H179" s="6241"/>
      <c r="I179" s="6241"/>
      <c r="J179" s="6241"/>
      <c r="K179" s="6166"/>
      <c r="L179" s="6166"/>
      <c r="M179" s="6166"/>
      <c r="N179" s="6166"/>
      <c r="O179" s="6133"/>
      <c r="P179" s="6133"/>
      <c r="Q179" s="6133"/>
      <c r="R179" s="6133"/>
      <c r="S179" s="6133"/>
      <c r="T179" s="6133"/>
      <c r="U179" s="6135"/>
      <c r="V179" s="6135"/>
      <c r="W179" s="6135"/>
      <c r="X179" s="6135"/>
      <c r="Y179" s="6135"/>
    </row>
    <row r="180">
      <c r="A180" s="6242" t="s">
        <v>6313</v>
      </c>
      <c r="B180" s="6243" t="s">
        <v>6314</v>
      </c>
      <c r="C180" s="6243"/>
      <c r="D180" s="6244" t="s">
        <v>6315</v>
      </c>
      <c r="E180" s="6244" t="s">
        <v>6316</v>
      </c>
      <c r="F180" s="6244" t="s">
        <v>6317</v>
      </c>
      <c r="G180" s="6245" t="s">
        <v>6335</v>
      </c>
      <c r="H180" s="6244" t="s">
        <v>6319</v>
      </c>
      <c r="I180" s="6244" t="s">
        <v>6320</v>
      </c>
      <c r="J180" s="6244" t="s">
        <v>6321</v>
      </c>
      <c r="K180" s="6166"/>
      <c r="L180" s="6166"/>
      <c r="M180" s="6166"/>
      <c r="N180" s="6166"/>
      <c r="O180" s="6133"/>
      <c r="P180" s="6133"/>
      <c r="Q180" s="6133"/>
      <c r="R180" s="6133"/>
      <c r="S180" s="6133"/>
      <c r="T180" s="6133"/>
      <c r="U180" s="6135"/>
      <c r="V180" s="6135"/>
      <c r="W180" s="6135"/>
      <c r="X180" s="6135"/>
      <c r="Y180" s="6135"/>
    </row>
    <row r="181">
      <c r="A181" s="6143" t="s">
        <v>6491</v>
      </c>
      <c r="B181" s="6143">
        <v>46216</v>
      </c>
      <c r="C181" s="6143" t="str">
        <v>Monday</v>
      </c>
      <c r="D181" s="6144" t="s">
        <v>6492</v>
      </c>
      <c r="E181" s="6147">
        <f t="shared" ref="E181:E186" si="70">24*MOD(TIMEVALUE(TRIM(MID(D181,FIND("-",D181)+1,LEN(D181)))) - TIMEVALUE(TRIM(LEFT(D181,FIND("-",D181)-1))),1)</f>
      </c>
      <c r="F181" s="6147" t="s">
        <v>6454</v>
      </c>
      <c r="G181" s="6206" t="s">
        <v>6493</v>
      </c>
      <c r="H181" s="6147" t="s">
        <v>6325</v>
      </c>
      <c r="I181" s="6144" t="s">
        <v>6326</v>
      </c>
      <c r="J181" s="6144"/>
      <c r="K181" s="6166"/>
      <c r="L181" s="6166"/>
      <c r="M181" s="6166"/>
      <c r="N181" s="6166"/>
      <c r="O181" s="6133"/>
      <c r="P181" s="6133"/>
      <c r="Q181" s="6133"/>
      <c r="R181" s="6133"/>
      <c r="S181" s="6133"/>
      <c r="T181" s="6133"/>
      <c r="U181" s="6135"/>
      <c r="V181" s="6135"/>
      <c r="W181" s="6135"/>
      <c r="X181" s="6135"/>
      <c r="Y181" s="6135"/>
    </row>
    <row r="182">
      <c r="A182" s="6143" t="s">
        <v>6491</v>
      </c>
      <c r="B182" s="6143">
        <v>46217</v>
      </c>
      <c r="C182" s="6143" t="str">
        <v>Tuesday</v>
      </c>
      <c r="D182" s="6144" t="s">
        <v>6492</v>
      </c>
      <c r="E182" s="6144">
        <f t="shared" si="70"/>
      </c>
      <c r="F182" s="6147" t="s">
        <v>6454</v>
      </c>
      <c r="G182" s="6206" t="s">
        <v>6493</v>
      </c>
      <c r="H182" s="6147" t="s">
        <v>6325</v>
      </c>
      <c r="I182" s="6144" t="s">
        <v>6326</v>
      </c>
      <c r="J182" s="6144"/>
      <c r="K182" s="6166"/>
      <c r="L182" s="6166"/>
      <c r="M182" s="6166"/>
      <c r="N182" s="6166"/>
      <c r="O182" s="6133"/>
      <c r="P182" s="6133"/>
      <c r="Q182" s="6133"/>
      <c r="R182" s="6133"/>
      <c r="S182" s="6133"/>
      <c r="T182" s="6133"/>
      <c r="U182" s="6134"/>
      <c r="V182" s="6134"/>
      <c r="W182" s="6134"/>
      <c r="X182" s="6134"/>
      <c r="Y182" s="6134"/>
    </row>
    <row r="183">
      <c r="A183" s="6143" t="s">
        <v>6491</v>
      </c>
      <c r="B183" s="6143">
        <v>46218</v>
      </c>
      <c r="C183" s="6143" t="str">
        <v>Wednesday</v>
      </c>
      <c r="D183" s="6144" t="s">
        <v>6492</v>
      </c>
      <c r="E183" s="6144">
        <f t="shared" si="70"/>
      </c>
      <c r="F183" s="6147" t="s">
        <v>6454</v>
      </c>
      <c r="G183" s="6206"/>
      <c r="H183" s="6147" t="s">
        <v>6325</v>
      </c>
      <c r="I183" s="6144" t="s">
        <v>6326</v>
      </c>
      <c r="J183" s="6144"/>
      <c r="K183" s="6166"/>
      <c r="L183" s="6166"/>
      <c r="M183" s="6166"/>
      <c r="N183" s="6166"/>
      <c r="O183" s="6133"/>
      <c r="P183" s="6133"/>
      <c r="Q183" s="6133"/>
      <c r="R183" s="6133"/>
      <c r="S183" s="6133"/>
      <c r="T183" s="6133"/>
      <c r="U183" s="6135"/>
      <c r="V183" s="6135"/>
      <c r="W183" s="6135"/>
      <c r="X183" s="6135"/>
      <c r="Y183" s="6135"/>
    </row>
    <row r="184">
      <c r="A184" s="6143" t="s">
        <v>6491</v>
      </c>
      <c r="B184" s="6143">
        <v>46219</v>
      </c>
      <c r="C184" s="6143" t="str">
        <v>Thursday</v>
      </c>
      <c r="D184" s="6144" t="s">
        <v>6492</v>
      </c>
      <c r="E184" s="6144">
        <f t="shared" si="70"/>
      </c>
      <c r="F184" s="6147" t="s">
        <v>6328</v>
      </c>
      <c r="G184" s="6206"/>
      <c r="H184" s="6147" t="s">
        <v>6325</v>
      </c>
      <c r="I184" s="6144" t="s">
        <v>6326</v>
      </c>
      <c r="J184" s="6144"/>
      <c r="K184" s="6166"/>
      <c r="L184" s="6166"/>
      <c r="M184" s="6166"/>
      <c r="N184" s="6166"/>
      <c r="O184" s="6133"/>
      <c r="P184" s="6133"/>
      <c r="Q184" s="6133"/>
      <c r="R184" s="6133"/>
      <c r="S184" s="6133"/>
      <c r="T184" s="6133"/>
      <c r="U184" s="6135"/>
      <c r="V184" s="6135"/>
      <c r="W184" s="6135"/>
      <c r="X184" s="6135"/>
      <c r="Y184" s="6135"/>
    </row>
    <row r="185">
      <c r="A185" s="6143" t="s">
        <v>6491</v>
      </c>
      <c r="B185" s="6143">
        <v>46220</v>
      </c>
      <c r="C185" s="6143" t="str">
        <v>Friday</v>
      </c>
      <c r="D185" s="6144" t="s">
        <v>6492</v>
      </c>
      <c r="E185" s="6144">
        <f t="shared" si="70"/>
      </c>
      <c r="F185" s="6147" t="s">
        <v>6454</v>
      </c>
      <c r="G185" s="6206"/>
      <c r="H185" s="6147" t="s">
        <v>6325</v>
      </c>
      <c r="I185" s="6144" t="s">
        <v>6326</v>
      </c>
      <c r="J185" s="6144"/>
      <c r="K185" s="6166"/>
      <c r="L185" s="6166"/>
      <c r="M185" s="6166"/>
      <c r="N185" s="6166"/>
      <c r="O185" s="6133"/>
      <c r="P185" s="6133"/>
      <c r="Q185" s="6133"/>
      <c r="R185" s="6133"/>
      <c r="S185" s="6133"/>
      <c r="T185" s="6133"/>
      <c r="U185" s="6135"/>
      <c r="V185" s="6135"/>
      <c r="W185" s="6135"/>
      <c r="X185" s="6135"/>
      <c r="Y185" s="6135"/>
    </row>
    <row r="186">
      <c r="A186" s="6143" t="s">
        <v>6491</v>
      </c>
      <c r="B186" s="6143">
        <v>46221</v>
      </c>
      <c r="C186" s="6143" t="str">
        <v>Saturday</v>
      </c>
      <c r="D186" s="6144" t="s">
        <v>6494</v>
      </c>
      <c r="E186" s="6144">
        <f t="shared" si="70"/>
      </c>
      <c r="F186" s="6147" t="s">
        <v>6328</v>
      </c>
      <c r="G186" s="6206"/>
      <c r="H186" s="6147" t="s">
        <v>6325</v>
      </c>
      <c r="I186" s="6144" t="s">
        <v>6326</v>
      </c>
      <c r="J186" s="6144"/>
      <c r="K186" s="6166"/>
      <c r="L186" s="6166"/>
      <c r="M186" s="6166"/>
      <c r="N186" s="6166"/>
      <c r="O186" s="6133"/>
      <c r="P186" s="6133"/>
      <c r="Q186" s="6133"/>
      <c r="R186" s="6133"/>
      <c r="S186" s="6133"/>
      <c r="T186" s="6133"/>
      <c r="U186" s="6135"/>
      <c r="V186" s="6135"/>
      <c r="W186" s="6135"/>
      <c r="X186" s="6135"/>
      <c r="Y186" s="6135"/>
    </row>
    <row r="187">
      <c r="A187" s="6135"/>
      <c r="B187" s="6135"/>
      <c r="C187" s="6135"/>
      <c r="D187" s="6135"/>
      <c r="E187" s="6135"/>
      <c r="F187" s="6135"/>
      <c r="G187" s="6135"/>
      <c r="H187" s="6135"/>
      <c r="I187" s="6135"/>
      <c r="J187" s="6135"/>
      <c r="K187" s="6135"/>
      <c r="L187" s="6135"/>
      <c r="M187" s="6135"/>
      <c r="N187" s="6135"/>
      <c r="O187" s="6135"/>
      <c r="P187" s="6135"/>
      <c r="Q187" s="6135"/>
      <c r="R187" s="6135"/>
      <c r="S187" s="6135"/>
      <c r="T187" s="6135"/>
      <c r="U187" s="6135"/>
      <c r="V187" s="6135"/>
      <c r="W187" s="6135"/>
      <c r="X187" s="6135"/>
      <c r="Y187" s="6135"/>
    </row>
    <row r="188">
      <c r="A188" s="6143" t="s">
        <v>6495</v>
      </c>
      <c r="B188" s="6143">
        <v>46216</v>
      </c>
      <c r="C188" s="6143" t="str">
        <v>Monday</v>
      </c>
      <c r="D188" s="6144" t="s">
        <v>6492</v>
      </c>
      <c r="E188" s="6144">
        <f t="shared" ref="E188:E193" si="71">24*MOD(TIMEVALUE(TRIM(MID(D188,FIND("-",D188)+1,LEN(D188)))) - TIMEVALUE(TRIM(LEFT(D188,FIND("-",D188)-1))),1)</f>
      </c>
      <c r="F188" s="6144" t="s">
        <v>6338</v>
      </c>
      <c r="G188" s="6206"/>
      <c r="H188" s="6147" t="s">
        <v>6325</v>
      </c>
      <c r="I188" s="6144" t="s">
        <v>6326</v>
      </c>
      <c r="J188" s="6144"/>
      <c r="K188" s="6166"/>
      <c r="L188" s="6166"/>
      <c r="M188" s="6166"/>
      <c r="N188" s="6166"/>
      <c r="O188" s="6133"/>
      <c r="P188" s="6133"/>
      <c r="Q188" s="6133"/>
      <c r="R188" s="6133"/>
      <c r="S188" s="6133"/>
      <c r="T188" s="6133"/>
      <c r="U188" s="6135"/>
      <c r="V188" s="6135"/>
      <c r="W188" s="6135"/>
      <c r="X188" s="6135"/>
      <c r="Y188" s="6135"/>
    </row>
    <row r="189">
      <c r="A189" s="6143" t="s">
        <v>6495</v>
      </c>
      <c r="B189" s="6143">
        <v>46217</v>
      </c>
      <c r="C189" s="6143" t="str">
        <v>Tuesday</v>
      </c>
      <c r="D189" s="6144" t="s">
        <v>6492</v>
      </c>
      <c r="E189" s="6144">
        <f t="shared" si="71"/>
      </c>
      <c r="F189" s="6144" t="s">
        <v>6338</v>
      </c>
      <c r="G189" s="6206"/>
      <c r="H189" s="6147" t="s">
        <v>6325</v>
      </c>
      <c r="I189" s="6144" t="s">
        <v>6326</v>
      </c>
      <c r="J189" s="6144"/>
      <c r="K189" s="6166"/>
      <c r="L189" s="6166"/>
      <c r="M189" s="6166"/>
      <c r="N189" s="6166"/>
      <c r="O189" s="6133"/>
      <c r="P189" s="6133"/>
      <c r="Q189" s="6133"/>
      <c r="R189" s="6133"/>
      <c r="S189" s="6133"/>
      <c r="T189" s="6133"/>
      <c r="U189" s="6135"/>
      <c r="V189" s="6135"/>
      <c r="W189" s="6135"/>
      <c r="X189" s="6135"/>
      <c r="Y189" s="6135"/>
    </row>
    <row r="190">
      <c r="A190" s="6143" t="s">
        <v>6495</v>
      </c>
      <c r="B190" s="6143">
        <v>46218</v>
      </c>
      <c r="C190" s="6143" t="str">
        <v>Wednesday</v>
      </c>
      <c r="D190" s="6144" t="s">
        <v>6492</v>
      </c>
      <c r="E190" s="6144">
        <f t="shared" si="71"/>
      </c>
      <c r="F190" s="6144" t="s">
        <v>6338</v>
      </c>
      <c r="G190" s="6206"/>
      <c r="H190" s="6147" t="s">
        <v>6325</v>
      </c>
      <c r="I190" s="6144" t="s">
        <v>6326</v>
      </c>
      <c r="J190" s="6144"/>
      <c r="K190" s="6166"/>
      <c r="L190" s="6166"/>
      <c r="M190" s="6166"/>
      <c r="N190" s="6166"/>
      <c r="O190" s="6133"/>
      <c r="P190" s="6133"/>
      <c r="Q190" s="6133"/>
      <c r="R190" s="6133"/>
      <c r="S190" s="6133"/>
      <c r="T190" s="6133"/>
      <c r="U190" s="6135"/>
      <c r="V190" s="6135"/>
      <c r="W190" s="6135"/>
      <c r="X190" s="6135"/>
      <c r="Y190" s="6135"/>
    </row>
    <row r="191">
      <c r="A191" s="6143" t="s">
        <v>6495</v>
      </c>
      <c r="B191" s="6143">
        <v>46219</v>
      </c>
      <c r="C191" s="6143" t="str">
        <v>Thursday</v>
      </c>
      <c r="D191" s="6144" t="s">
        <v>6492</v>
      </c>
      <c r="E191" s="6144">
        <f t="shared" si="71"/>
      </c>
      <c r="F191" s="6144" t="s">
        <v>6338</v>
      </c>
      <c r="G191" s="6206"/>
      <c r="H191" s="6147" t="s">
        <v>6325</v>
      </c>
      <c r="I191" s="6144" t="s">
        <v>6326</v>
      </c>
      <c r="J191" s="6144"/>
      <c r="K191" s="6166"/>
      <c r="L191" s="6166"/>
      <c r="M191" s="6166"/>
      <c r="N191" s="6166"/>
      <c r="O191" s="6133"/>
      <c r="P191" s="6133"/>
      <c r="Q191" s="6133"/>
      <c r="R191" s="6133"/>
      <c r="S191" s="6133"/>
      <c r="T191" s="6133"/>
      <c r="U191" s="6135"/>
      <c r="V191" s="6135"/>
      <c r="W191" s="6135"/>
      <c r="X191" s="6135"/>
      <c r="Y191" s="6135"/>
    </row>
    <row r="192">
      <c r="A192" s="6143" t="s">
        <v>6495</v>
      </c>
      <c r="B192" s="6173">
        <v>46220</v>
      </c>
      <c r="C192" s="6173" t="str">
        <v>Friday</v>
      </c>
      <c r="D192" s="6174" t="s">
        <v>6492</v>
      </c>
      <c r="E192" s="6174">
        <f t="shared" si="71"/>
      </c>
      <c r="F192" s="6144" t="s">
        <v>6338</v>
      </c>
      <c r="G192" s="6246"/>
      <c r="H192" s="6147" t="s">
        <v>6325</v>
      </c>
      <c r="I192" s="6144" t="s">
        <v>6326</v>
      </c>
      <c r="J192" s="6174"/>
      <c r="K192" s="6166"/>
      <c r="L192" s="6166"/>
      <c r="M192" s="6166"/>
      <c r="N192" s="6166"/>
      <c r="O192" s="6133"/>
      <c r="P192" s="6133"/>
      <c r="Q192" s="6133"/>
      <c r="R192" s="6133"/>
      <c r="S192" s="6133"/>
      <c r="T192" s="6133"/>
      <c r="U192" s="6135"/>
      <c r="V192" s="6135"/>
      <c r="W192" s="6135"/>
      <c r="X192" s="6135"/>
      <c r="Y192" s="6135"/>
    </row>
    <row r="193">
      <c r="A193" s="6143" t="s">
        <v>6495</v>
      </c>
      <c r="B193" s="6143">
        <v>46221</v>
      </c>
      <c r="C193" s="6143" t="str">
        <v>Saturday</v>
      </c>
      <c r="D193" s="6144" t="s">
        <v>6496</v>
      </c>
      <c r="E193" s="6144">
        <f t="shared" si="71"/>
      </c>
      <c r="F193" s="6144" t="s">
        <v>6497</v>
      </c>
      <c r="G193" s="6189"/>
      <c r="H193" s="6247" t="s">
        <v>6325</v>
      </c>
      <c r="I193" s="6144" t="s">
        <v>6326</v>
      </c>
      <c r="J193" s="6248"/>
      <c r="K193" s="6135"/>
      <c r="L193" s="6135"/>
      <c r="M193" s="6135"/>
      <c r="N193" s="6135"/>
      <c r="O193" s="6135"/>
      <c r="P193" s="6135"/>
      <c r="Q193" s="6135"/>
      <c r="R193" s="6135"/>
      <c r="S193" s="6135"/>
      <c r="T193" s="6135"/>
      <c r="U193" s="6135"/>
      <c r="V193" s="6135"/>
      <c r="W193" s="6135"/>
      <c r="X193" s="6135"/>
      <c r="Y193" s="6135"/>
    </row>
    <row r="194">
      <c r="A194" s="6135"/>
      <c r="B194" s="6135"/>
      <c r="C194" s="6135"/>
      <c r="D194" s="6135"/>
      <c r="E194" s="6135"/>
      <c r="F194" s="6238"/>
      <c r="G194" s="6239"/>
      <c r="H194" s="6240"/>
      <c r="I194" s="6135"/>
      <c r="J194" s="6135"/>
      <c r="K194" s="6135"/>
      <c r="L194" s="6135"/>
      <c r="M194" s="6135"/>
      <c r="N194" s="6135"/>
      <c r="O194" s="6135"/>
      <c r="P194" s="6135"/>
      <c r="Q194" s="6135"/>
      <c r="R194" s="6135"/>
      <c r="S194" s="6135"/>
      <c r="T194" s="6135"/>
      <c r="U194" s="6135"/>
      <c r="V194" s="6135"/>
      <c r="W194" s="6135"/>
      <c r="X194" s="6135"/>
      <c r="Y194" s="6135"/>
    </row>
    <row r="195">
      <c r="A195" s="6249" t="s">
        <v>6498</v>
      </c>
      <c r="B195" s="6249"/>
      <c r="C195" s="6249"/>
      <c r="D195" s="6249"/>
      <c r="E195" s="6249"/>
      <c r="F195" s="6249"/>
      <c r="G195" s="6249"/>
      <c r="H195" s="6249"/>
      <c r="I195" s="6249"/>
      <c r="J195" s="6249"/>
      <c r="K195" s="6133"/>
      <c r="L195" s="6133"/>
      <c r="M195" s="6133"/>
      <c r="N195" s="6133"/>
      <c r="O195" s="6133"/>
      <c r="P195" s="6133"/>
      <c r="Q195" s="6133"/>
      <c r="R195" s="6133"/>
      <c r="S195" s="6133"/>
      <c r="T195" s="6133"/>
      <c r="U195" s="6135"/>
      <c r="V195" s="6135"/>
      <c r="W195" s="6135"/>
      <c r="X195" s="6135"/>
      <c r="Y195" s="6135"/>
    </row>
    <row r="196">
      <c r="A196" s="6250" t="s">
        <v>6313</v>
      </c>
      <c r="B196" s="6251" t="s">
        <v>6314</v>
      </c>
      <c r="C196" s="6251"/>
      <c r="D196" s="6252" t="s">
        <v>6315</v>
      </c>
      <c r="E196" s="6252" t="s">
        <v>6316</v>
      </c>
      <c r="F196" s="6252" t="s">
        <v>6317</v>
      </c>
      <c r="G196" s="6253" t="s">
        <v>6335</v>
      </c>
      <c r="H196" s="6252" t="s">
        <v>6319</v>
      </c>
      <c r="I196" s="6252" t="s">
        <v>6320</v>
      </c>
      <c r="J196" s="6252" t="s">
        <v>6321</v>
      </c>
      <c r="K196" s="6133"/>
      <c r="L196" s="6133"/>
      <c r="M196" s="6133"/>
      <c r="N196" s="6133"/>
      <c r="O196" s="6133"/>
      <c r="P196" s="6133"/>
      <c r="Q196" s="6133"/>
      <c r="R196" s="6133"/>
      <c r="S196" s="6133"/>
      <c r="T196" s="6133"/>
      <c r="U196" s="6135"/>
      <c r="V196" s="6135"/>
      <c r="W196" s="6135"/>
      <c r="X196" s="6135"/>
      <c r="Y196" s="6135"/>
    </row>
    <row r="197">
      <c r="A197" s="6143"/>
      <c r="B197" s="6143"/>
      <c r="C197" s="6143"/>
      <c r="D197" s="6172"/>
      <c r="E197" s="6144"/>
      <c r="F197" s="6144"/>
      <c r="G197" s="6254"/>
      <c r="H197" s="6144"/>
      <c r="I197" s="6144"/>
      <c r="J197" s="6144"/>
      <c r="K197" s="6133"/>
      <c r="L197" s="6133"/>
      <c r="M197" s="6133"/>
      <c r="N197" s="6133"/>
      <c r="O197" s="6133"/>
      <c r="P197" s="6133"/>
      <c r="Q197" s="6133"/>
      <c r="R197" s="6133"/>
      <c r="S197" s="6133"/>
      <c r="T197" s="6133"/>
      <c r="U197" s="6135"/>
      <c r="V197" s="6135"/>
      <c r="W197" s="6135"/>
      <c r="X197" s="6135"/>
      <c r="Y197" s="6135"/>
    </row>
    <row r="198">
      <c r="A198" s="6135"/>
      <c r="B198" s="6135"/>
      <c r="C198" s="6135"/>
      <c r="D198" s="6135"/>
      <c r="E198" s="6135"/>
      <c r="F198" s="6238"/>
      <c r="G198" s="6239"/>
      <c r="H198" s="6240"/>
      <c r="I198" s="6135"/>
      <c r="J198" s="6135"/>
      <c r="K198" s="6133"/>
      <c r="L198" s="6133"/>
      <c r="M198" s="6133"/>
      <c r="N198" s="6133"/>
      <c r="O198" s="6133"/>
      <c r="P198" s="6133"/>
      <c r="Q198" s="6133"/>
      <c r="R198" s="6133"/>
      <c r="S198" s="6133"/>
      <c r="T198" s="6133"/>
      <c r="U198" s="6135"/>
      <c r="V198" s="6135"/>
      <c r="W198" s="6135"/>
      <c r="X198" s="6135"/>
      <c r="Y198" s="6135"/>
    </row>
    <row r="199">
      <c r="A199" s="6255" t="s">
        <v>6499</v>
      </c>
      <c r="B199" s="6255"/>
      <c r="C199" s="6255"/>
      <c r="D199" s="6255"/>
      <c r="E199" s="6255"/>
      <c r="F199" s="6255"/>
      <c r="G199" s="6255"/>
      <c r="H199" s="6255"/>
      <c r="I199" s="6255"/>
      <c r="J199" s="6255"/>
      <c r="K199" s="6133"/>
      <c r="L199" s="6133"/>
      <c r="M199" s="6133"/>
      <c r="N199" s="6133"/>
      <c r="O199" s="6133"/>
      <c r="P199" s="6133"/>
      <c r="Q199" s="6133"/>
      <c r="R199" s="6133"/>
      <c r="S199" s="6133"/>
      <c r="T199" s="6133"/>
      <c r="U199" s="6135"/>
      <c r="V199" s="6135"/>
      <c r="W199" s="6135"/>
      <c r="X199" s="6135"/>
      <c r="Y199" s="6135"/>
    </row>
    <row r="200">
      <c r="A200" s="6256" t="s">
        <v>6313</v>
      </c>
      <c r="B200" s="6257" t="s">
        <v>6314</v>
      </c>
      <c r="C200" s="6257"/>
      <c r="D200" s="6258" t="s">
        <v>6315</v>
      </c>
      <c r="E200" s="6258" t="s">
        <v>6316</v>
      </c>
      <c r="F200" s="6258" t="s">
        <v>6317</v>
      </c>
      <c r="G200" s="6259" t="s">
        <v>6335</v>
      </c>
      <c r="H200" s="6258" t="s">
        <v>6319</v>
      </c>
      <c r="I200" s="6258" t="s">
        <v>6320</v>
      </c>
      <c r="J200" s="6258" t="s">
        <v>6321</v>
      </c>
      <c r="K200" s="6133"/>
      <c r="L200" s="6133"/>
      <c r="M200" s="6133"/>
      <c r="N200" s="6133"/>
      <c r="O200" s="6133"/>
      <c r="P200" s="6133"/>
      <c r="Q200" s="6133"/>
      <c r="R200" s="6133"/>
      <c r="S200" s="6133"/>
      <c r="T200" s="6133"/>
      <c r="U200" s="6135"/>
      <c r="V200" s="6135"/>
      <c r="W200" s="6135"/>
      <c r="X200" s="6135"/>
      <c r="Y200" s="6135"/>
    </row>
    <row r="201">
      <c r="A201" s="6143" t="s">
        <v>6500</v>
      </c>
      <c r="B201" s="6143">
        <v>46216</v>
      </c>
      <c r="C201" s="6143" t="str">
        <v>Monday</v>
      </c>
      <c r="D201" s="6144" t="s">
        <v>6501</v>
      </c>
      <c r="E201" s="6144">
        <f t="shared" ref="E201:E210" si="72">24*MOD(TIMEVALUE(TRIM(MID(D201,FIND("-",D201)+1,LEN(D201)))) - TIMEVALUE(TRIM(LEFT(D201,FIND("-",D201)-1))),1)</f>
      </c>
      <c r="F201" s="6260" t="s">
        <v>6423</v>
      </c>
      <c r="G201" s="6163" t="s">
        <v>6502</v>
      </c>
      <c r="H201" s="6144"/>
      <c r="I201" s="6144" t="s">
        <v>6326</v>
      </c>
      <c r="J201" s="6144"/>
      <c r="K201" s="6133"/>
      <c r="L201" s="6133"/>
      <c r="M201" s="6133"/>
      <c r="N201" s="6133"/>
      <c r="O201" s="6133"/>
      <c r="P201" s="6133"/>
      <c r="Q201" s="6133"/>
      <c r="R201" s="6133"/>
      <c r="S201" s="6133"/>
      <c r="T201" s="6133"/>
      <c r="U201" s="6135"/>
      <c r="V201" s="6135"/>
      <c r="W201" s="6135"/>
      <c r="X201" s="6135"/>
      <c r="Y201" s="6135"/>
    </row>
    <row r="202">
      <c r="A202" s="6143" t="s">
        <v>6500</v>
      </c>
      <c r="B202" s="6143">
        <v>46217</v>
      </c>
      <c r="C202" s="6143" t="str">
        <v>Tuesday</v>
      </c>
      <c r="D202" s="6144" t="s">
        <v>6501</v>
      </c>
      <c r="E202" s="6144">
        <f t="shared" si="72"/>
      </c>
      <c r="F202" s="6260" t="s">
        <v>6393</v>
      </c>
      <c r="G202" s="6163" t="s">
        <v>6502</v>
      </c>
      <c r="H202" s="6144"/>
      <c r="I202" s="6144" t="s">
        <v>6326</v>
      </c>
      <c r="J202" s="6144"/>
      <c r="K202" s="6133"/>
      <c r="L202" s="6133"/>
      <c r="M202" s="6133"/>
      <c r="N202" s="6133"/>
      <c r="O202" s="6133"/>
      <c r="P202" s="6133"/>
      <c r="Q202" s="6133"/>
      <c r="R202" s="6133"/>
      <c r="S202" s="6133"/>
      <c r="T202" s="6133"/>
      <c r="U202" s="6135"/>
      <c r="V202" s="6135"/>
      <c r="W202" s="6135"/>
      <c r="X202" s="6135"/>
      <c r="Y202" s="6135"/>
    </row>
    <row r="203">
      <c r="A203" s="6143" t="s">
        <v>6500</v>
      </c>
      <c r="B203" s="6143">
        <v>46218</v>
      </c>
      <c r="C203" s="6143" t="str">
        <v>Wednesday</v>
      </c>
      <c r="D203" s="6144" t="s">
        <v>6501</v>
      </c>
      <c r="E203" s="6144">
        <f t="shared" si="72"/>
      </c>
      <c r="F203" s="6260" t="s">
        <v>6423</v>
      </c>
      <c r="G203" s="6163" t="s">
        <v>6502</v>
      </c>
      <c r="H203" s="6144"/>
      <c r="I203" s="6144" t="s">
        <v>6326</v>
      </c>
      <c r="J203" s="6144"/>
      <c r="K203" s="6133"/>
      <c r="L203" s="6133"/>
      <c r="M203" s="6133"/>
      <c r="N203" s="6133"/>
      <c r="O203" s="6133"/>
      <c r="P203" s="6133"/>
      <c r="Q203" s="6133"/>
      <c r="R203" s="6133"/>
      <c r="S203" s="6133"/>
      <c r="T203" s="6133"/>
      <c r="U203" s="6135"/>
      <c r="V203" s="6135"/>
      <c r="W203" s="6135"/>
      <c r="X203" s="6135"/>
      <c r="Y203" s="6135"/>
    </row>
    <row r="204">
      <c r="A204" s="6143" t="s">
        <v>6500</v>
      </c>
      <c r="B204" s="6143">
        <v>46219</v>
      </c>
      <c r="C204" s="6143" t="str">
        <v>Thursday</v>
      </c>
      <c r="D204" s="6144" t="s">
        <v>6501</v>
      </c>
      <c r="E204" s="6144">
        <f t="shared" si="72"/>
      </c>
      <c r="F204" s="6260" t="s">
        <v>6393</v>
      </c>
      <c r="G204" s="6163" t="s">
        <v>6502</v>
      </c>
      <c r="H204" s="6144"/>
      <c r="I204" s="6144" t="s">
        <v>6326</v>
      </c>
      <c r="J204" s="6144"/>
      <c r="K204" s="6133"/>
      <c r="L204" s="6133"/>
      <c r="M204" s="6133"/>
      <c r="N204" s="6133"/>
      <c r="O204" s="6133"/>
      <c r="P204" s="6133"/>
      <c r="Q204" s="6133"/>
      <c r="R204" s="6133"/>
      <c r="S204" s="6133"/>
      <c r="T204" s="6133"/>
      <c r="U204" s="6135"/>
      <c r="V204" s="6135"/>
      <c r="W204" s="6135"/>
      <c r="X204" s="6135"/>
      <c r="Y204" s="6135"/>
    </row>
    <row r="205">
      <c r="A205" s="6143" t="s">
        <v>6500</v>
      </c>
      <c r="B205" s="6143">
        <v>46220</v>
      </c>
      <c r="C205" s="6143" t="str">
        <v>Friday</v>
      </c>
      <c r="D205" s="6144" t="s">
        <v>6501</v>
      </c>
      <c r="E205" s="6144">
        <f t="shared" si="72"/>
      </c>
      <c r="F205" s="6260" t="s">
        <v>6423</v>
      </c>
      <c r="G205" s="6163" t="s">
        <v>6503</v>
      </c>
      <c r="H205" s="6144"/>
      <c r="I205" s="6144" t="s">
        <v>6326</v>
      </c>
      <c r="J205" s="6144"/>
      <c r="K205" s="6133"/>
      <c r="L205" s="6133"/>
      <c r="M205" s="6133"/>
      <c r="N205" s="6133"/>
      <c r="O205" s="6133"/>
      <c r="P205" s="6133"/>
      <c r="Q205" s="6133"/>
      <c r="R205" s="6133"/>
      <c r="S205" s="6133"/>
      <c r="T205" s="6133"/>
      <c r="U205" s="6135"/>
      <c r="V205" s="6135"/>
      <c r="W205" s="6135"/>
      <c r="X205" s="6135"/>
      <c r="Y205" s="6135"/>
    </row>
    <row r="206">
      <c r="A206" s="6143" t="s">
        <v>6500</v>
      </c>
      <c r="B206" s="6143">
        <v>46221</v>
      </c>
      <c r="C206" s="6143" t="str">
        <v>Saturday</v>
      </c>
      <c r="D206" s="6144" t="s">
        <v>6481</v>
      </c>
      <c r="E206" s="6144">
        <f t="shared" si="72"/>
      </c>
      <c r="F206" s="6260" t="s">
        <v>6504</v>
      </c>
      <c r="G206" s="6163" t="s">
        <v>6503</v>
      </c>
      <c r="H206" s="6144"/>
      <c r="I206" s="6144" t="s">
        <v>6326</v>
      </c>
      <c r="J206" s="6144"/>
      <c r="K206" s="6133"/>
      <c r="L206" s="6133"/>
      <c r="M206" s="6133"/>
      <c r="N206" s="6133"/>
      <c r="O206" s="6133"/>
      <c r="P206" s="6133"/>
      <c r="Q206" s="6133"/>
      <c r="R206" s="6133"/>
      <c r="S206" s="6133"/>
      <c r="T206" s="6133"/>
      <c r="U206" s="6135"/>
      <c r="V206" s="6135"/>
      <c r="W206" s="6135"/>
      <c r="X206" s="6135"/>
      <c r="Y206" s="6135"/>
    </row>
    <row r="207">
      <c r="A207" s="6143" t="s">
        <v>6500</v>
      </c>
      <c r="B207" s="6143">
        <v>46222</v>
      </c>
      <c r="C207" s="6143" t="str">
        <v>Sunday</v>
      </c>
      <c r="D207" s="6144" t="s">
        <v>6505</v>
      </c>
      <c r="E207" s="6144">
        <f t="shared" si="72"/>
      </c>
      <c r="F207" s="6260" t="s">
        <v>6423</v>
      </c>
      <c r="G207" s="6163" t="s">
        <v>6348</v>
      </c>
      <c r="H207" s="6144"/>
      <c r="I207" s="6144" t="s">
        <v>6326</v>
      </c>
      <c r="J207" s="6144"/>
      <c r="K207" s="6133"/>
      <c r="L207" s="6133"/>
      <c r="M207" s="6133"/>
      <c r="N207" s="6133"/>
      <c r="O207" s="6133"/>
      <c r="P207" s="6133"/>
      <c r="Q207" s="6133"/>
      <c r="R207" s="6133"/>
      <c r="S207" s="6133"/>
      <c r="T207" s="6133"/>
      <c r="U207" s="6135"/>
      <c r="V207" s="6135"/>
      <c r="W207" s="6135"/>
      <c r="X207" s="6135"/>
      <c r="Y207" s="6135"/>
    </row>
    <row r="208">
      <c r="A208" s="6143" t="s">
        <v>6506</v>
      </c>
      <c r="B208" s="6143">
        <v>46217</v>
      </c>
      <c r="C208" s="6143" t="str">
        <v>Tuesday</v>
      </c>
      <c r="D208" s="6144" t="s">
        <v>6409</v>
      </c>
      <c r="E208" s="6144">
        <f t="shared" si="72"/>
      </c>
      <c r="F208" s="6260" t="s">
        <v>6393</v>
      </c>
      <c r="G208" s="6163" t="s">
        <v>6507</v>
      </c>
      <c r="H208" s="6144"/>
      <c r="I208" s="6144" t="s">
        <v>6326</v>
      </c>
      <c r="J208" s="6144"/>
      <c r="K208" s="6133"/>
      <c r="L208" s="6133"/>
      <c r="M208" s="6133"/>
      <c r="N208" s="6133"/>
      <c r="O208" s="6133"/>
      <c r="P208" s="6133"/>
      <c r="Q208" s="6133"/>
      <c r="R208" s="6133"/>
      <c r="S208" s="6133"/>
      <c r="T208" s="6133"/>
      <c r="U208" s="6135"/>
      <c r="V208" s="6135"/>
      <c r="W208" s="6135"/>
      <c r="X208" s="6135"/>
      <c r="Y208" s="6135"/>
    </row>
    <row r="209">
      <c r="A209" s="6143" t="s">
        <v>6508</v>
      </c>
      <c r="B209" s="6143">
        <v>46216</v>
      </c>
      <c r="C209" s="6143" t="str">
        <v>Monday</v>
      </c>
      <c r="D209" s="6144" t="s">
        <v>6509</v>
      </c>
      <c r="E209" s="6144">
        <f t="shared" si="72"/>
      </c>
      <c r="F209" s="6261" t="s">
        <v>6510</v>
      </c>
      <c r="G209" s="6163"/>
      <c r="H209" s="6144"/>
      <c r="I209" s="6144" t="s">
        <v>6326</v>
      </c>
      <c r="J209" s="6144"/>
      <c r="K209" s="6133"/>
      <c r="L209" s="6133"/>
      <c r="M209" s="6133"/>
      <c r="N209" s="6133"/>
      <c r="O209" s="6133"/>
      <c r="P209" s="6133"/>
      <c r="Q209" s="6133"/>
      <c r="R209" s="6133"/>
      <c r="S209" s="6133"/>
      <c r="T209" s="6133"/>
      <c r="U209" s="6135"/>
      <c r="V209" s="6135"/>
      <c r="W209" s="6135"/>
      <c r="X209" s="6135"/>
      <c r="Y209" s="6135"/>
    </row>
    <row r="210">
      <c r="A210" s="6143" t="s">
        <v>6508</v>
      </c>
      <c r="B210" s="6143">
        <v>46217</v>
      </c>
      <c r="C210" s="6143" t="str">
        <v>Tuesday</v>
      </c>
      <c r="D210" s="6144" t="s">
        <v>6509</v>
      </c>
      <c r="E210" s="6144">
        <f t="shared" si="72"/>
      </c>
      <c r="F210" s="6260" t="s">
        <v>6510</v>
      </c>
      <c r="G210" s="6163"/>
      <c r="H210" s="6144"/>
      <c r="I210" s="6144" t="s">
        <v>6326</v>
      </c>
      <c r="J210" s="6144"/>
      <c r="K210" s="6133"/>
      <c r="L210" s="6133"/>
      <c r="M210" s="6133"/>
      <c r="N210" s="6133"/>
      <c r="O210" s="6133"/>
      <c r="P210" s="6133"/>
      <c r="Q210" s="6133"/>
      <c r="R210" s="6133"/>
      <c r="S210" s="6133"/>
      <c r="T210" s="6133"/>
      <c r="U210" s="6135"/>
      <c r="V210" s="6135"/>
      <c r="W210" s="6135"/>
      <c r="X210" s="6135"/>
      <c r="Y210" s="6135"/>
    </row>
    <row r="211">
      <c r="A211" s="6143" t="s">
        <v>6508</v>
      </c>
      <c r="B211" s="6143">
        <v>46218</v>
      </c>
      <c r="C211" s="6143" t="str">
        <v>Wednesday</v>
      </c>
      <c r="D211" s="6144" t="s">
        <v>6509</v>
      </c>
      <c r="E211" s="6144">
        <v>8</v>
      </c>
      <c r="F211" s="6260" t="s">
        <v>6510</v>
      </c>
      <c r="G211" s="6163"/>
      <c r="H211" s="6144"/>
      <c r="I211" s="6144" t="s">
        <v>6326</v>
      </c>
      <c r="J211" s="6144"/>
      <c r="K211" s="6133"/>
      <c r="L211" s="6133"/>
      <c r="M211" s="6133"/>
      <c r="N211" s="6133"/>
      <c r="O211" s="6133"/>
      <c r="P211" s="6133"/>
      <c r="Q211" s="6133"/>
      <c r="R211" s="6133"/>
      <c r="S211" s="6133"/>
      <c r="T211" s="6133"/>
      <c r="U211" s="6135"/>
      <c r="V211" s="6135"/>
      <c r="W211" s="6135"/>
      <c r="X211" s="6135"/>
      <c r="Y211" s="6135"/>
    </row>
    <row r="212">
      <c r="A212" s="6143" t="s">
        <v>6508</v>
      </c>
      <c r="B212" s="6143">
        <v>46219</v>
      </c>
      <c r="C212" s="6143" t="str">
        <v>Thursday</v>
      </c>
      <c r="D212" s="6144" t="s">
        <v>6509</v>
      </c>
      <c r="E212" s="6144">
        <v>8</v>
      </c>
      <c r="F212" s="6260" t="s">
        <v>6510</v>
      </c>
      <c r="G212" s="6163"/>
      <c r="H212" s="6144"/>
      <c r="I212" s="6144" t="s">
        <v>6326</v>
      </c>
      <c r="J212" s="6144"/>
      <c r="K212" s="6133"/>
      <c r="L212" s="6133"/>
      <c r="M212" s="6133"/>
      <c r="N212" s="6133"/>
      <c r="O212" s="6133"/>
      <c r="P212" s="6133"/>
      <c r="Q212" s="6133"/>
      <c r="R212" s="6133"/>
      <c r="S212" s="6133"/>
      <c r="T212" s="6133"/>
      <c r="U212" s="6135"/>
      <c r="V212" s="6135"/>
      <c r="W212" s="6135"/>
      <c r="X212" s="6135"/>
      <c r="Y212" s="6135"/>
    </row>
    <row r="213">
      <c r="A213" s="6143" t="s">
        <v>6508</v>
      </c>
      <c r="B213" s="6143">
        <v>46220</v>
      </c>
      <c r="C213" s="6143" t="str">
        <v>Friday</v>
      </c>
      <c r="D213" s="6144" t="s">
        <v>6511</v>
      </c>
      <c r="E213" s="6144">
        <f t="shared" ref="E213:E215" si="73">24*MOD(TIMEVALUE(TRIM(MID(D213,FIND("-",D213)+1,LEN(D213)))) - TIMEVALUE(TRIM(LEFT(D213,FIND("-",D213)-1))),1)</f>
      </c>
      <c r="F213" s="6260" t="s">
        <v>6503</v>
      </c>
      <c r="G213" s="6163"/>
      <c r="H213" s="6144"/>
      <c r="I213" s="6144" t="s">
        <v>6326</v>
      </c>
      <c r="J213" s="6144"/>
      <c r="K213" s="6133"/>
      <c r="L213" s="6133"/>
      <c r="M213" s="6133"/>
      <c r="N213" s="6133"/>
      <c r="O213" s="6133"/>
      <c r="P213" s="6133"/>
      <c r="Q213" s="6133"/>
      <c r="R213" s="6133"/>
      <c r="S213" s="6133"/>
      <c r="T213" s="6133"/>
      <c r="U213" s="6135"/>
      <c r="V213" s="6135"/>
      <c r="W213" s="6135"/>
      <c r="X213" s="6135"/>
      <c r="Y213" s="6135"/>
    </row>
    <row r="214">
      <c r="A214" s="6143" t="s">
        <v>6508</v>
      </c>
      <c r="B214" s="6143">
        <v>46221</v>
      </c>
      <c r="C214" s="6143" t="str">
        <v>Saturday</v>
      </c>
      <c r="D214" s="6144" t="s">
        <v>6512</v>
      </c>
      <c r="E214" s="6144">
        <f t="shared" si="73"/>
      </c>
      <c r="F214" s="6260" t="s">
        <v>6503</v>
      </c>
      <c r="G214" s="6163"/>
      <c r="H214" s="6144"/>
      <c r="I214" s="6144" t="s">
        <v>6326</v>
      </c>
      <c r="J214" s="6144"/>
      <c r="K214" s="6133"/>
      <c r="L214" s="6133"/>
      <c r="M214" s="6133"/>
      <c r="N214" s="6133"/>
      <c r="O214" s="6133"/>
      <c r="P214" s="6133"/>
      <c r="Q214" s="6133"/>
      <c r="R214" s="6133"/>
      <c r="S214" s="6133"/>
      <c r="T214" s="6133"/>
      <c r="U214" s="6135"/>
      <c r="V214" s="6135"/>
      <c r="W214" s="6135"/>
      <c r="X214" s="6135"/>
      <c r="Y214" s="6135"/>
    </row>
    <row r="215">
      <c r="A215" s="6143" t="s">
        <v>6508</v>
      </c>
      <c r="B215" s="6143">
        <v>46222</v>
      </c>
      <c r="C215" s="6143" t="str">
        <v>Sunday</v>
      </c>
      <c r="D215" s="6144" t="s">
        <v>6513</v>
      </c>
      <c r="E215" s="6144">
        <f t="shared" si="73"/>
      </c>
      <c r="F215" s="6260" t="s">
        <v>6348</v>
      </c>
      <c r="G215" s="6163"/>
      <c r="H215" s="6144"/>
      <c r="I215" s="6144" t="s">
        <v>6326</v>
      </c>
      <c r="J215" s="6144"/>
      <c r="K215" s="6133"/>
      <c r="L215" s="6133"/>
      <c r="M215" s="6133"/>
      <c r="N215" s="6133"/>
      <c r="O215" s="6133"/>
      <c r="P215" s="6133"/>
      <c r="Q215" s="6133"/>
      <c r="R215" s="6133"/>
      <c r="S215" s="6133"/>
      <c r="T215" s="6133"/>
      <c r="U215" s="6135"/>
      <c r="V215" s="6135"/>
      <c r="W215" s="6135"/>
      <c r="X215" s="6135"/>
      <c r="Y215" s="6135"/>
    </row>
    <row r="216">
      <c r="A216" s="6135"/>
      <c r="B216" s="6135"/>
      <c r="C216" s="6135"/>
      <c r="D216" s="6135"/>
      <c r="E216" s="6135"/>
      <c r="F216" s="6135"/>
      <c r="G216" s="6135"/>
      <c r="H216" s="6240"/>
      <c r="I216" s="6135"/>
      <c r="J216" s="6135"/>
      <c r="K216" s="6135"/>
      <c r="L216" s="6135"/>
      <c r="M216" s="6135"/>
      <c r="N216" s="6135"/>
      <c r="O216" s="6135"/>
      <c r="P216" s="6135"/>
      <c r="Q216" s="6135"/>
      <c r="R216" s="6135"/>
      <c r="S216" s="6135"/>
      <c r="T216" s="6135"/>
      <c r="U216" s="6135"/>
      <c r="V216" s="6135"/>
      <c r="W216" s="6135"/>
      <c r="X216" s="6135"/>
      <c r="Y216" s="6135"/>
    </row>
    <row r="217">
      <c r="A217" s="6255" t="s">
        <v>6514</v>
      </c>
      <c r="B217" s="6255"/>
      <c r="C217" s="6255"/>
      <c r="D217" s="6255"/>
      <c r="E217" s="6255"/>
      <c r="F217" s="6255"/>
      <c r="G217" s="6255"/>
      <c r="H217" s="6255"/>
      <c r="I217" s="6255"/>
      <c r="J217" s="6255"/>
      <c r="K217" s="6133"/>
      <c r="L217" s="6133"/>
      <c r="M217" s="6133"/>
      <c r="N217" s="6133"/>
      <c r="O217" s="6133"/>
      <c r="P217" s="6133"/>
      <c r="Q217" s="6133"/>
      <c r="R217" s="6133"/>
      <c r="S217" s="6133"/>
      <c r="T217" s="6133"/>
      <c r="U217" s="6135"/>
      <c r="V217" s="6135"/>
      <c r="W217" s="6135"/>
      <c r="X217" s="6135"/>
      <c r="Y217" s="6135"/>
    </row>
    <row r="218">
      <c r="A218" s="6256" t="s">
        <v>6313</v>
      </c>
      <c r="B218" s="6257" t="s">
        <v>6314</v>
      </c>
      <c r="C218" s="6257"/>
      <c r="D218" s="6258" t="s">
        <v>6315</v>
      </c>
      <c r="E218" s="6258" t="s">
        <v>6316</v>
      </c>
      <c r="F218" s="6258" t="s">
        <v>6317</v>
      </c>
      <c r="G218" s="6259" t="s">
        <v>6335</v>
      </c>
      <c r="H218" s="6258" t="s">
        <v>6319</v>
      </c>
      <c r="I218" s="6258" t="s">
        <v>6320</v>
      </c>
      <c r="J218" s="6258" t="s">
        <v>6321</v>
      </c>
      <c r="K218" s="6133"/>
      <c r="L218" s="6133"/>
      <c r="M218" s="6133"/>
      <c r="N218" s="6133"/>
      <c r="O218" s="6133"/>
      <c r="P218" s="6133"/>
      <c r="Q218" s="6133"/>
      <c r="R218" s="6133"/>
      <c r="S218" s="6133"/>
      <c r="T218" s="6133"/>
      <c r="U218" s="6135"/>
      <c r="V218" s="6135"/>
      <c r="W218" s="6135"/>
      <c r="X218" s="6135"/>
      <c r="Y218" s="6135"/>
    </row>
    <row r="219">
      <c r="A219" s="6143"/>
      <c r="B219" s="6143"/>
      <c r="C219" s="6143"/>
      <c r="D219" s="6144"/>
      <c r="E219" s="6144"/>
      <c r="F219" s="6260"/>
      <c r="G219" s="6163"/>
      <c r="H219" s="6144"/>
      <c r="I219" s="6144"/>
      <c r="J219" s="6144"/>
      <c r="K219" s="6133"/>
      <c r="L219" s="6133"/>
      <c r="M219" s="6133"/>
      <c r="N219" s="6133"/>
      <c r="O219" s="6133"/>
      <c r="P219" s="6133"/>
      <c r="Q219" s="6133"/>
      <c r="R219" s="6133"/>
      <c r="S219" s="6133"/>
      <c r="T219" s="6133"/>
      <c r="U219" s="6135"/>
      <c r="V219" s="6135"/>
      <c r="W219" s="6135"/>
      <c r="X219" s="6135"/>
      <c r="Y219" s="6135"/>
    </row>
    <row r="220">
      <c r="A220" s="6135"/>
      <c r="B220" s="6135"/>
      <c r="C220" s="6135"/>
      <c r="D220" s="6135"/>
      <c r="E220" s="6135"/>
      <c r="F220" s="6135"/>
      <c r="G220" s="6135"/>
      <c r="H220" s="6135"/>
      <c r="I220" s="6135"/>
      <c r="J220" s="6135"/>
      <c r="K220" s="6135"/>
      <c r="L220" s="6135"/>
      <c r="M220" s="6135"/>
      <c r="N220" s="6135"/>
      <c r="O220" s="6135"/>
      <c r="P220" s="6135"/>
      <c r="Q220" s="6135"/>
      <c r="R220" s="6135"/>
      <c r="S220" s="6135"/>
      <c r="T220" s="6135"/>
      <c r="U220" s="6135"/>
      <c r="V220" s="6135"/>
      <c r="W220" s="6135"/>
      <c r="X220" s="6135"/>
      <c r="Y220" s="6135"/>
    </row>
    <row r="221">
      <c r="A221" s="6262" t="s">
        <v>6515</v>
      </c>
      <c r="B221" s="6262"/>
      <c r="C221" s="6262"/>
      <c r="D221" s="6262"/>
      <c r="E221" s="6262"/>
      <c r="F221" s="6262"/>
      <c r="G221" s="6262"/>
      <c r="H221" s="6262"/>
      <c r="I221" s="6262"/>
      <c r="J221" s="6262"/>
      <c r="K221" s="6263"/>
      <c r="L221" s="6263"/>
      <c r="M221" s="6263"/>
      <c r="N221" s="6263"/>
      <c r="O221" s="6263"/>
      <c r="P221" s="6263"/>
      <c r="Q221" s="6263"/>
      <c r="R221" s="6263"/>
      <c r="S221" s="6263"/>
      <c r="T221" s="6263"/>
      <c r="U221" s="6264"/>
      <c r="V221" s="6264"/>
      <c r="W221" s="6264"/>
      <c r="X221" s="6264"/>
      <c r="Y221" s="6264"/>
    </row>
    <row r="222">
      <c r="A222" s="6265" t="s">
        <v>6313</v>
      </c>
      <c r="B222" s="6231" t="s">
        <v>6314</v>
      </c>
      <c r="C222" s="6231"/>
      <c r="D222" s="6236" t="s">
        <v>6315</v>
      </c>
      <c r="E222" s="6236" t="s">
        <v>6316</v>
      </c>
      <c r="F222" s="6236" t="s">
        <v>6317</v>
      </c>
      <c r="G222" s="6266" t="s">
        <v>6335</v>
      </c>
      <c r="H222" s="6236" t="s">
        <v>6319</v>
      </c>
      <c r="I222" s="6236" t="s">
        <v>6320</v>
      </c>
      <c r="J222" s="6236" t="s">
        <v>6321</v>
      </c>
      <c r="K222" s="6263"/>
      <c r="L222" s="6263"/>
      <c r="M222" s="6263"/>
      <c r="N222" s="6263"/>
      <c r="O222" s="6263"/>
      <c r="P222" s="6263"/>
      <c r="Q222" s="6263"/>
      <c r="R222" s="6263"/>
      <c r="S222" s="6263"/>
      <c r="T222" s="6263"/>
      <c r="U222" s="6264"/>
      <c r="V222" s="6264"/>
      <c r="W222" s="6264"/>
      <c r="X222" s="6264"/>
      <c r="Y222" s="6264"/>
    </row>
    <row r="223">
      <c r="A223" s="6143" t="s">
        <v>6516</v>
      </c>
      <c r="B223" s="6143">
        <v>46217</v>
      </c>
      <c r="C223" s="6143" t="str">
        <v>Tuesday</v>
      </c>
      <c r="D223" s="6144" t="s">
        <v>6517</v>
      </c>
      <c r="E223" s="6144">
        <v>1</v>
      </c>
      <c r="F223" s="6260" t="s">
        <v>6393</v>
      </c>
      <c r="G223" s="6163" t="s">
        <v>6507</v>
      </c>
      <c r="H223" s="6144"/>
      <c r="I223" s="6144" t="s">
        <v>6326</v>
      </c>
      <c r="J223" s="6144"/>
      <c r="K223" s="6133"/>
      <c r="L223" s="6133"/>
      <c r="M223" s="6133"/>
      <c r="N223" s="6133"/>
      <c r="O223" s="6133"/>
      <c r="P223" s="6133"/>
      <c r="Q223" s="6133"/>
      <c r="R223" s="6133"/>
      <c r="S223" s="6133"/>
      <c r="T223" s="6133"/>
      <c r="U223" s="6135"/>
      <c r="V223" s="6135"/>
      <c r="W223" s="6135"/>
      <c r="X223" s="6135"/>
      <c r="Y223" s="6135"/>
    </row>
    <row r="224">
      <c r="A224" s="6143" t="s">
        <v>6516</v>
      </c>
      <c r="B224" s="6143">
        <v>46217</v>
      </c>
      <c r="C224" s="6143" t="str">
        <v>Tuesday</v>
      </c>
      <c r="D224" s="6144" t="s">
        <v>6346</v>
      </c>
      <c r="E224" s="6144">
        <v>2</v>
      </c>
      <c r="F224" s="6260" t="s">
        <v>6423</v>
      </c>
      <c r="G224" s="6163" t="s">
        <v>6507</v>
      </c>
      <c r="H224" s="6144"/>
      <c r="I224" s="6144" t="s">
        <v>6326</v>
      </c>
      <c r="J224" s="6144"/>
      <c r="K224" s="6133"/>
      <c r="L224" s="6133"/>
      <c r="M224" s="6133"/>
      <c r="N224" s="6133"/>
      <c r="O224" s="6133"/>
      <c r="P224" s="6133"/>
      <c r="Q224" s="6133"/>
      <c r="R224" s="6133"/>
      <c r="S224" s="6133"/>
      <c r="T224" s="6133"/>
      <c r="U224" s="6135"/>
      <c r="V224" s="6135"/>
      <c r="W224" s="6135"/>
      <c r="X224" s="6135"/>
      <c r="Y224" s="6135"/>
    </row>
    <row r="225">
      <c r="A225" s="6143" t="s">
        <v>6516</v>
      </c>
      <c r="B225" s="6143">
        <v>46217</v>
      </c>
      <c r="C225" s="6143" t="str">
        <v>Tuesday</v>
      </c>
      <c r="D225" s="6144" t="s">
        <v>6346</v>
      </c>
      <c r="E225" s="6144">
        <v>2</v>
      </c>
      <c r="F225" s="6261" t="s">
        <v>6372</v>
      </c>
      <c r="G225" s="6163" t="s">
        <v>6507</v>
      </c>
      <c r="H225" s="6144"/>
      <c r="I225" s="6144" t="s">
        <v>6326</v>
      </c>
      <c r="J225" s="6144"/>
      <c r="K225" s="6133"/>
      <c r="L225" s="6133"/>
      <c r="M225" s="6133"/>
      <c r="N225" s="6133"/>
      <c r="O225" s="6133"/>
      <c r="P225" s="6133"/>
      <c r="Q225" s="6133"/>
      <c r="R225" s="6133"/>
      <c r="S225" s="6133"/>
      <c r="T225" s="6133"/>
      <c r="U225" s="6135"/>
      <c r="V225" s="6135"/>
      <c r="W225" s="6135"/>
      <c r="X225" s="6135"/>
      <c r="Y225" s="6135"/>
    </row>
    <row r="226">
      <c r="A226" s="6143" t="s">
        <v>6516</v>
      </c>
      <c r="B226" s="6143">
        <v>46219</v>
      </c>
      <c r="C226" s="6143" t="str">
        <v>Thursday</v>
      </c>
      <c r="D226" s="6144" t="s">
        <v>6518</v>
      </c>
      <c r="E226" s="6144">
        <v>5</v>
      </c>
      <c r="F226" s="6261" t="s">
        <v>6519</v>
      </c>
      <c r="G226" s="6163" t="s">
        <v>6507</v>
      </c>
      <c r="H226" s="6144"/>
      <c r="I226" s="6144" t="s">
        <v>6326</v>
      </c>
      <c r="J226" s="6144"/>
      <c r="K226" s="6133"/>
      <c r="L226" s="6133"/>
      <c r="M226" s="6133"/>
      <c r="N226" s="6133"/>
      <c r="O226" s="6133"/>
      <c r="P226" s="6133"/>
      <c r="Q226" s="6133"/>
      <c r="R226" s="6133"/>
      <c r="S226" s="6133"/>
      <c r="T226" s="6133"/>
      <c r="U226" s="6135"/>
      <c r="V226" s="6135"/>
      <c r="W226" s="6135"/>
      <c r="X226" s="6135"/>
      <c r="Y226" s="6135"/>
    </row>
    <row r="227">
      <c r="A227" s="6143" t="s">
        <v>6516</v>
      </c>
      <c r="B227" s="6143">
        <v>46220</v>
      </c>
      <c r="C227" s="6143" t="str">
        <v>Friday</v>
      </c>
      <c r="D227" s="6144" t="s">
        <v>6337</v>
      </c>
      <c r="E227" s="6144">
        <v>2</v>
      </c>
      <c r="F227" s="6260" t="s">
        <v>6393</v>
      </c>
      <c r="G227" s="6163" t="s">
        <v>6507</v>
      </c>
      <c r="H227" s="6144"/>
      <c r="I227" s="6144" t="s">
        <v>6326</v>
      </c>
      <c r="J227" s="6144"/>
      <c r="K227" s="6133"/>
      <c r="L227" s="6133"/>
      <c r="M227" s="6133"/>
      <c r="N227" s="6133"/>
      <c r="O227" s="6133"/>
      <c r="P227" s="6133"/>
      <c r="Q227" s="6133"/>
      <c r="R227" s="6133"/>
      <c r="S227" s="6133"/>
      <c r="T227" s="6133"/>
      <c r="U227" s="6135"/>
      <c r="V227" s="6135"/>
      <c r="W227" s="6135"/>
      <c r="X227" s="6135"/>
      <c r="Y227" s="6135"/>
    </row>
    <row r="228">
      <c r="A228" s="6143" t="s">
        <v>6516</v>
      </c>
      <c r="B228" s="6143">
        <v>46220</v>
      </c>
      <c r="C228" s="6143" t="str">
        <v>Friday</v>
      </c>
      <c r="D228" s="6144" t="s">
        <v>6359</v>
      </c>
      <c r="E228" s="6144">
        <v>2</v>
      </c>
      <c r="F228" s="6260" t="s">
        <v>6520</v>
      </c>
      <c r="G228" s="6163" t="s">
        <v>6507</v>
      </c>
      <c r="H228" s="6144"/>
      <c r="I228" s="6144" t="s">
        <v>6326</v>
      </c>
      <c r="J228" s="6144"/>
      <c r="K228" s="6133"/>
      <c r="L228" s="6133"/>
      <c r="M228" s="6133"/>
      <c r="N228" s="6133"/>
      <c r="O228" s="6133"/>
      <c r="P228" s="6133"/>
      <c r="Q228" s="6133"/>
      <c r="R228" s="6133"/>
      <c r="S228" s="6133"/>
      <c r="T228" s="6133"/>
      <c r="U228" s="6135"/>
      <c r="V228" s="6135"/>
      <c r="W228" s="6135"/>
      <c r="X228" s="6135"/>
      <c r="Y228" s="6135"/>
    </row>
    <row r="229">
      <c r="A229" s="6143" t="s">
        <v>6516</v>
      </c>
      <c r="B229" s="6143">
        <v>46220</v>
      </c>
      <c r="C229" s="6143" t="str">
        <v>Friday</v>
      </c>
      <c r="D229" s="6144" t="s">
        <v>6521</v>
      </c>
      <c r="E229" s="6144">
        <v>4</v>
      </c>
      <c r="F229" s="6261" t="s">
        <v>6519</v>
      </c>
      <c r="G229" s="6163" t="s">
        <v>6507</v>
      </c>
      <c r="H229" s="6144"/>
      <c r="I229" s="6144" t="s">
        <v>6326</v>
      </c>
      <c r="J229" s="6144"/>
      <c r="K229" s="6133"/>
      <c r="L229" s="6133"/>
      <c r="M229" s="6133"/>
      <c r="N229" s="6133"/>
      <c r="O229" s="6133"/>
      <c r="P229" s="6133"/>
      <c r="Q229" s="6133"/>
      <c r="R229" s="6133"/>
      <c r="S229" s="6133"/>
      <c r="T229" s="6133"/>
      <c r="U229" s="6135"/>
      <c r="V229" s="6135"/>
      <c r="W229" s="6135"/>
      <c r="X229" s="6135"/>
      <c r="Y229" s="6135"/>
    </row>
    <row r="230">
      <c r="A230" s="6143" t="s">
        <v>6516</v>
      </c>
      <c r="B230" s="6143">
        <v>46221</v>
      </c>
      <c r="C230" s="6143" t="str">
        <v>Saturday</v>
      </c>
      <c r="D230" s="6144" t="s">
        <v>6522</v>
      </c>
      <c r="E230" s="6144">
        <v>2</v>
      </c>
      <c r="F230" s="6261" t="s">
        <v>6338</v>
      </c>
      <c r="G230" s="6163" t="s">
        <v>6507</v>
      </c>
      <c r="H230" s="6144"/>
      <c r="I230" s="6144" t="s">
        <v>6326</v>
      </c>
      <c r="J230" s="6144"/>
      <c r="K230" s="6133"/>
      <c r="L230" s="6133"/>
      <c r="M230" s="6133"/>
      <c r="N230" s="6133"/>
      <c r="O230" s="6133"/>
      <c r="P230" s="6133"/>
      <c r="Q230" s="6133"/>
      <c r="R230" s="6133"/>
      <c r="S230" s="6133"/>
      <c r="T230" s="6133"/>
      <c r="U230" s="6135"/>
      <c r="V230" s="6135"/>
      <c r="W230" s="6135"/>
      <c r="X230" s="6135"/>
      <c r="Y230" s="6135"/>
    </row>
    <row r="231">
      <c r="A231" s="6135"/>
      <c r="B231" s="6135"/>
      <c r="C231" s="6135"/>
      <c r="D231" s="6135"/>
      <c r="E231" s="6135"/>
      <c r="F231" s="6135"/>
      <c r="G231" s="6135"/>
      <c r="H231" s="6135"/>
      <c r="I231" s="6135"/>
      <c r="J231" s="6135"/>
      <c r="K231" s="6135"/>
      <c r="L231" s="6135"/>
      <c r="M231" s="6135"/>
      <c r="N231" s="6135"/>
      <c r="O231" s="6135"/>
      <c r="P231" s="6135"/>
      <c r="Q231" s="6135"/>
      <c r="R231" s="6135"/>
      <c r="S231" s="6135"/>
      <c r="T231" s="6135"/>
      <c r="U231" s="6135"/>
      <c r="V231" s="6135"/>
      <c r="W231" s="6135"/>
      <c r="X231" s="6135"/>
      <c r="Y231" s="6135"/>
    </row>
    <row r="232">
      <c r="A232" s="6267" t="s">
        <v>6523</v>
      </c>
      <c r="B232" s="6267"/>
      <c r="C232" s="6267"/>
      <c r="D232" s="6267"/>
      <c r="E232" s="6267"/>
      <c r="F232" s="6267"/>
      <c r="G232" s="6267"/>
      <c r="H232" s="6267"/>
      <c r="I232" s="6267"/>
      <c r="J232" s="6267"/>
      <c r="K232" s="6268"/>
      <c r="L232" s="6268"/>
      <c r="M232" s="6268"/>
      <c r="N232" s="6268"/>
      <c r="O232" s="6268"/>
      <c r="P232" s="6268"/>
      <c r="Q232" s="6268"/>
      <c r="R232" s="6268"/>
      <c r="S232" s="6268"/>
      <c r="T232" s="6268"/>
      <c r="U232" s="6269"/>
      <c r="V232" s="6269"/>
      <c r="W232" s="6269"/>
      <c r="X232" s="6269"/>
      <c r="Y232" s="6269"/>
    </row>
    <row r="233">
      <c r="A233" s="6270" t="s">
        <v>6313</v>
      </c>
      <c r="B233" s="6271" t="s">
        <v>6314</v>
      </c>
      <c r="C233" s="6271"/>
      <c r="D233" s="6272" t="s">
        <v>6315</v>
      </c>
      <c r="E233" s="6272" t="s">
        <v>6316</v>
      </c>
      <c r="F233" s="6272" t="s">
        <v>6317</v>
      </c>
      <c r="G233" s="6273" t="s">
        <v>6335</v>
      </c>
      <c r="H233" s="6272" t="s">
        <v>6319</v>
      </c>
      <c r="I233" s="6272" t="s">
        <v>6320</v>
      </c>
      <c r="J233" s="6272" t="s">
        <v>6321</v>
      </c>
      <c r="K233" s="6268"/>
      <c r="L233" s="6268"/>
      <c r="M233" s="6268"/>
      <c r="N233" s="6268"/>
      <c r="O233" s="6268"/>
      <c r="P233" s="6268"/>
      <c r="Q233" s="6268"/>
      <c r="R233" s="6268"/>
      <c r="S233" s="6268"/>
      <c r="T233" s="6268"/>
      <c r="U233" s="6269"/>
      <c r="V233" s="6269"/>
      <c r="W233" s="6269"/>
      <c r="X233" s="6269"/>
      <c r="Y233" s="6269"/>
    </row>
    <row r="234">
      <c r="A234" s="6143" t="s">
        <v>6524</v>
      </c>
      <c r="B234" s="6143">
        <v>46217</v>
      </c>
      <c r="C234" s="6143" t="str">
        <v>Tuesday</v>
      </c>
      <c r="D234" s="6144" t="s">
        <v>6355</v>
      </c>
      <c r="E234" s="6144">
        <v>2</v>
      </c>
      <c r="F234" s="6260" t="s">
        <v>6423</v>
      </c>
      <c r="G234" s="6163" t="s">
        <v>6507</v>
      </c>
      <c r="H234" s="6144"/>
      <c r="I234" s="6144" t="s">
        <v>6326</v>
      </c>
      <c r="J234" s="6144"/>
      <c r="K234" s="6133"/>
      <c r="L234" s="6133"/>
      <c r="M234" s="6133"/>
      <c r="N234" s="6133"/>
      <c r="O234" s="6133"/>
      <c r="P234" s="6133"/>
      <c r="Q234" s="6133"/>
      <c r="R234" s="6133"/>
      <c r="S234" s="6133"/>
      <c r="T234" s="6133"/>
      <c r="U234" s="6135"/>
      <c r="V234" s="6135"/>
      <c r="W234" s="6135"/>
      <c r="X234" s="6135"/>
      <c r="Y234" s="6135"/>
    </row>
    <row r="235">
      <c r="A235" s="6143" t="s">
        <v>6524</v>
      </c>
      <c r="B235" s="6143">
        <v>46219</v>
      </c>
      <c r="C235" s="6143" t="str">
        <v>Thursday</v>
      </c>
      <c r="D235" s="6144" t="s">
        <v>6337</v>
      </c>
      <c r="E235" s="6144">
        <v>1</v>
      </c>
      <c r="F235" s="6260" t="s">
        <v>6393</v>
      </c>
      <c r="G235" s="6163" t="s">
        <v>6507</v>
      </c>
      <c r="H235" s="6144"/>
      <c r="I235" s="6144" t="s">
        <v>6326</v>
      </c>
      <c r="J235" s="6144"/>
      <c r="K235" s="6133"/>
      <c r="L235" s="6133"/>
      <c r="M235" s="6133"/>
      <c r="N235" s="6133"/>
      <c r="O235" s="6133"/>
      <c r="P235" s="6133"/>
      <c r="Q235" s="6133"/>
      <c r="R235" s="6133"/>
      <c r="S235" s="6133"/>
      <c r="T235" s="6133"/>
      <c r="U235" s="6135"/>
      <c r="V235" s="6135"/>
      <c r="W235" s="6135"/>
      <c r="X235" s="6135"/>
      <c r="Y235" s="6135"/>
    </row>
    <row r="236">
      <c r="A236" s="6143" t="s">
        <v>6524</v>
      </c>
      <c r="B236" s="6143">
        <v>46219</v>
      </c>
      <c r="C236" s="6143" t="str">
        <v>Thursday</v>
      </c>
      <c r="D236" s="6144" t="s">
        <v>6350</v>
      </c>
      <c r="E236" s="6144">
        <v>2</v>
      </c>
      <c r="F236" s="6261" t="s">
        <v>6380</v>
      </c>
      <c r="G236" s="6163" t="s">
        <v>6507</v>
      </c>
      <c r="H236" s="6144"/>
      <c r="I236" s="6144" t="s">
        <v>6326</v>
      </c>
      <c r="J236" s="6144"/>
      <c r="K236" s="6133"/>
      <c r="L236" s="6133"/>
      <c r="M236" s="6133"/>
      <c r="N236" s="6133"/>
      <c r="O236" s="6133"/>
      <c r="P236" s="6133"/>
      <c r="Q236" s="6133"/>
      <c r="R236" s="6133"/>
      <c r="S236" s="6133"/>
      <c r="T236" s="6133"/>
      <c r="U236" s="6135"/>
      <c r="V236" s="6135"/>
      <c r="W236" s="6135"/>
      <c r="X236" s="6135"/>
      <c r="Y236" s="6135"/>
    </row>
    <row r="237">
      <c r="A237" s="6143" t="s">
        <v>6524</v>
      </c>
      <c r="B237" s="6143">
        <v>46219</v>
      </c>
      <c r="C237" s="6143" t="str">
        <v>Thursday</v>
      </c>
      <c r="D237" s="6144" t="s">
        <v>6350</v>
      </c>
      <c r="E237" s="6144">
        <v>2</v>
      </c>
      <c r="F237" s="6260" t="s">
        <v>6347</v>
      </c>
      <c r="G237" s="6163" t="s">
        <v>6507</v>
      </c>
      <c r="H237" s="6144"/>
      <c r="I237" s="6144" t="s">
        <v>6326</v>
      </c>
      <c r="J237" s="6144"/>
      <c r="K237" s="6133"/>
      <c r="L237" s="6133"/>
      <c r="M237" s="6133"/>
      <c r="N237" s="6133"/>
      <c r="O237" s="6133"/>
      <c r="P237" s="6133"/>
      <c r="Q237" s="6133"/>
      <c r="R237" s="6133"/>
      <c r="S237" s="6133"/>
      <c r="T237" s="6133"/>
      <c r="U237" s="6135"/>
      <c r="V237" s="6135"/>
      <c r="W237" s="6135"/>
      <c r="X237" s="6135"/>
      <c r="Y237" s="6135"/>
    </row>
    <row r="238">
      <c r="A238" s="6143" t="s">
        <v>6524</v>
      </c>
      <c r="B238" s="6143">
        <v>46219</v>
      </c>
      <c r="C238" s="6143" t="str">
        <v>Thursday</v>
      </c>
      <c r="D238" s="6144" t="s">
        <v>6350</v>
      </c>
      <c r="E238" s="6144">
        <v>2</v>
      </c>
      <c r="F238" s="6260" t="s">
        <v>6525</v>
      </c>
      <c r="G238" s="6163" t="s">
        <v>6507</v>
      </c>
      <c r="H238" s="6144"/>
      <c r="I238" s="6144" t="s">
        <v>6326</v>
      </c>
      <c r="J238" s="6144"/>
      <c r="K238" s="6133"/>
      <c r="L238" s="6133"/>
      <c r="M238" s="6133"/>
      <c r="N238" s="6133"/>
      <c r="O238" s="6133"/>
      <c r="P238" s="6133"/>
      <c r="Q238" s="6133"/>
      <c r="R238" s="6133"/>
      <c r="S238" s="6133"/>
      <c r="T238" s="6133"/>
      <c r="U238" s="6135"/>
      <c r="V238" s="6135"/>
      <c r="W238" s="6135"/>
      <c r="X238" s="6135"/>
      <c r="Y238" s="6135"/>
    </row>
    <row r="239">
      <c r="A239" s="6143" t="s">
        <v>6524</v>
      </c>
      <c r="B239" s="6143">
        <v>46220</v>
      </c>
      <c r="C239" s="6143" t="str">
        <v>Friday</v>
      </c>
      <c r="D239" s="6144" t="s">
        <v>6526</v>
      </c>
      <c r="E239" s="6144">
        <v>2</v>
      </c>
      <c r="F239" s="6260" t="s">
        <v>6347</v>
      </c>
      <c r="G239" s="6163" t="s">
        <v>6507</v>
      </c>
      <c r="H239" s="6144"/>
      <c r="I239" s="6144" t="s">
        <v>6326</v>
      </c>
      <c r="J239" s="6144"/>
      <c r="K239" s="6133"/>
      <c r="L239" s="6133"/>
      <c r="M239" s="6133"/>
      <c r="N239" s="6133"/>
      <c r="O239" s="6133"/>
      <c r="P239" s="6133"/>
      <c r="Q239" s="6133"/>
      <c r="R239" s="6133"/>
      <c r="S239" s="6133"/>
      <c r="T239" s="6133"/>
      <c r="U239" s="6135"/>
      <c r="V239" s="6135"/>
      <c r="W239" s="6135"/>
      <c r="X239" s="6135"/>
      <c r="Y239" s="6135"/>
    </row>
    <row r="240">
      <c r="A240" s="6143" t="s">
        <v>6524</v>
      </c>
      <c r="B240" s="6143">
        <v>46220</v>
      </c>
      <c r="C240" s="6143" t="str">
        <v>Friday</v>
      </c>
      <c r="D240" s="6144" t="s">
        <v>6526</v>
      </c>
      <c r="E240" s="6144">
        <v>2</v>
      </c>
      <c r="F240" s="6260" t="s">
        <v>6504</v>
      </c>
      <c r="G240" s="6163" t="s">
        <v>6507</v>
      </c>
      <c r="H240" s="6144"/>
      <c r="I240" s="6144" t="s">
        <v>6326</v>
      </c>
      <c r="J240" s="6144"/>
      <c r="K240" s="6133"/>
      <c r="L240" s="6133"/>
      <c r="M240" s="6133"/>
      <c r="N240" s="6133"/>
      <c r="O240" s="6133"/>
      <c r="P240" s="6133"/>
      <c r="Q240" s="6133"/>
      <c r="R240" s="6133"/>
      <c r="S240" s="6133"/>
      <c r="T240" s="6133"/>
      <c r="U240" s="6135"/>
      <c r="V240" s="6135"/>
      <c r="W240" s="6135"/>
      <c r="X240" s="6135"/>
      <c r="Y240" s="6135"/>
    </row>
    <row r="241">
      <c r="A241" s="6135"/>
      <c r="B241" s="6135"/>
      <c r="C241" s="6135"/>
      <c r="D241" s="6135"/>
      <c r="E241" s="6135"/>
      <c r="F241" s="6135"/>
      <c r="G241" s="6135"/>
      <c r="H241" s="6240"/>
      <c r="I241" s="6135"/>
      <c r="J241" s="6135"/>
      <c r="K241" s="6135"/>
      <c r="L241" s="6135"/>
      <c r="M241" s="6135"/>
      <c r="N241" s="6135"/>
      <c r="O241" s="6135"/>
      <c r="P241" s="6135"/>
      <c r="Q241" s="6135"/>
      <c r="R241" s="6135"/>
      <c r="S241" s="6135"/>
      <c r="T241" s="6135"/>
      <c r="U241" s="6135"/>
      <c r="V241" s="6135"/>
      <c r="W241" s="6135"/>
      <c r="X241" s="6135"/>
      <c r="Y241" s="6135"/>
    </row>
    <row r="242">
      <c r="A242" s="6136" t="s">
        <v>6527</v>
      </c>
      <c r="B242" s="6136"/>
      <c r="C242" s="6136"/>
      <c r="D242" s="6136"/>
      <c r="E242" s="6136"/>
      <c r="F242" s="6136"/>
      <c r="G242" s="6136"/>
      <c r="H242" s="6136"/>
      <c r="I242" s="6136"/>
      <c r="J242" s="6136"/>
      <c r="K242" s="6133"/>
      <c r="L242" s="6133"/>
      <c r="M242" s="6133"/>
      <c r="N242" s="6133"/>
      <c r="O242" s="6133"/>
      <c r="P242" s="6133"/>
      <c r="Q242" s="6133"/>
      <c r="R242" s="6133"/>
      <c r="S242" s="6133"/>
      <c r="T242" s="6133"/>
      <c r="U242" s="6135"/>
      <c r="V242" s="6135"/>
      <c r="W242" s="6135"/>
      <c r="X242" s="6135"/>
      <c r="Y242" s="6135"/>
    </row>
    <row r="243">
      <c r="A243" s="6274" t="s">
        <v>6528</v>
      </c>
      <c r="B243" s="6274"/>
      <c r="C243" s="6274"/>
      <c r="D243" s="6274"/>
      <c r="E243" s="6274"/>
      <c r="F243" s="6274"/>
      <c r="G243" s="6274"/>
      <c r="H243" s="6274"/>
      <c r="I243" s="6274"/>
      <c r="J243" s="6274"/>
      <c r="K243" s="6133"/>
      <c r="L243" s="6133"/>
      <c r="M243" s="6133"/>
      <c r="N243" s="6133"/>
      <c r="O243" s="6133"/>
      <c r="P243" s="6133"/>
      <c r="Q243" s="6133"/>
      <c r="R243" s="6133"/>
      <c r="S243" s="6133"/>
      <c r="T243" s="6133"/>
      <c r="U243" s="6135"/>
      <c r="V243" s="6135"/>
      <c r="W243" s="6135"/>
      <c r="X243" s="6135"/>
      <c r="Y243" s="6135"/>
    </row>
    <row r="244">
      <c r="A244" s="6275" t="s">
        <v>6313</v>
      </c>
      <c r="B244" s="6223" t="s">
        <v>6314</v>
      </c>
      <c r="C244" s="6223"/>
      <c r="D244" s="6225" t="s">
        <v>6315</v>
      </c>
      <c r="E244" s="6228" t="s">
        <v>6316</v>
      </c>
      <c r="F244" s="6228" t="s">
        <v>6317</v>
      </c>
      <c r="G244" s="6276" t="s">
        <v>6335</v>
      </c>
      <c r="H244" s="6228" t="s">
        <v>6319</v>
      </c>
      <c r="I244" s="6228" t="s">
        <v>6320</v>
      </c>
      <c r="J244" s="6228" t="s">
        <v>6321</v>
      </c>
      <c r="K244" s="6133"/>
      <c r="L244" s="6133"/>
      <c r="M244" s="6133"/>
      <c r="N244" s="6133"/>
      <c r="O244" s="6133"/>
      <c r="P244" s="6133"/>
      <c r="Q244" s="6133"/>
      <c r="R244" s="6133"/>
      <c r="S244" s="6133"/>
      <c r="T244" s="6135"/>
      <c r="U244" s="6135"/>
      <c r="V244" s="6135"/>
      <c r="W244" s="6135"/>
      <c r="X244" s="6135"/>
      <c r="Y244" s="6135"/>
    </row>
    <row r="245">
      <c r="A245" s="6143" t="s">
        <v>6529</v>
      </c>
      <c r="B245" s="6143">
        <v>46216</v>
      </c>
      <c r="C245" s="6143" t="str">
        <v>Monday</v>
      </c>
      <c r="D245" s="6144" t="s">
        <v>6530</v>
      </c>
      <c r="E245" s="6147">
        <f t="shared" ref="E245:E279" si="74">24*MOD(TIMEVALUE(TRIM(MID(D245,FIND("-",D245)+1,LEN(D245)))) - TIMEVALUE(TRIM(LEFT(D245,FIND("-",D245)-1))),1)</f>
      </c>
      <c r="F245" s="6144" t="s">
        <v>6531</v>
      </c>
      <c r="G245" s="6206" t="s">
        <v>6532</v>
      </c>
      <c r="H245" s="6147"/>
      <c r="I245" s="6144"/>
      <c r="J245" s="6147"/>
      <c r="K245" s="6133"/>
      <c r="L245" s="6133"/>
      <c r="M245" s="6133"/>
      <c r="N245" s="6133"/>
      <c r="O245" s="6133"/>
      <c r="P245" s="6133"/>
      <c r="Q245" s="6133"/>
      <c r="R245" s="6133"/>
      <c r="S245" s="6133"/>
      <c r="T245" s="6133"/>
      <c r="U245" s="6135"/>
      <c r="V245" s="6135"/>
      <c r="W245" s="6135"/>
      <c r="X245" s="6135"/>
      <c r="Y245" s="6135"/>
    </row>
    <row r="246">
      <c r="A246" s="6143" t="s">
        <v>6529</v>
      </c>
      <c r="B246" s="6143">
        <v>46216</v>
      </c>
      <c r="C246" s="6143" t="str">
        <v>Monday</v>
      </c>
      <c r="D246" s="6144" t="s">
        <v>6533</v>
      </c>
      <c r="E246" s="6277">
        <f t="shared" si="74"/>
      </c>
      <c r="F246" s="6144" t="s">
        <v>6470</v>
      </c>
      <c r="G246" s="6206" t="s">
        <v>6534</v>
      </c>
      <c r="H246" s="6147"/>
      <c r="I246" s="6144"/>
      <c r="J246" s="6147"/>
      <c r="K246" s="6133"/>
      <c r="L246" s="6133"/>
      <c r="M246" s="6133"/>
      <c r="N246" s="6133"/>
      <c r="O246" s="6133"/>
      <c r="P246" s="6133"/>
      <c r="Q246" s="6133"/>
      <c r="R246" s="6133"/>
      <c r="S246" s="6133"/>
      <c r="T246" s="6133"/>
      <c r="U246" s="6135"/>
      <c r="V246" s="6135"/>
      <c r="W246" s="6135"/>
      <c r="X246" s="6135"/>
      <c r="Y246" s="6135"/>
    </row>
    <row r="247">
      <c r="A247" s="6143" t="s">
        <v>6529</v>
      </c>
      <c r="B247" s="6143">
        <v>46216</v>
      </c>
      <c r="C247" s="6143" t="str">
        <v>Monday</v>
      </c>
      <c r="D247" s="6144" t="s">
        <v>6535</v>
      </c>
      <c r="E247" s="6277">
        <f t="shared" si="74"/>
      </c>
      <c r="F247" s="6144" t="s">
        <v>6536</v>
      </c>
      <c r="G247" s="6206" t="s">
        <v>6537</v>
      </c>
      <c r="H247" s="6147" t="s">
        <v>6325</v>
      </c>
      <c r="I247" s="6144" t="s">
        <v>6326</v>
      </c>
      <c r="J247" s="6147"/>
      <c r="K247" s="6133"/>
      <c r="L247" s="6133"/>
      <c r="M247" s="6133"/>
      <c r="N247" s="6133"/>
      <c r="O247" s="6133"/>
      <c r="P247" s="6133"/>
      <c r="Q247" s="6133"/>
      <c r="R247" s="6133"/>
      <c r="S247" s="6133"/>
      <c r="T247" s="6133"/>
      <c r="U247" s="6135"/>
      <c r="V247" s="6135"/>
      <c r="W247" s="6135"/>
      <c r="X247" s="6135"/>
      <c r="Y247" s="6135"/>
    </row>
    <row r="248">
      <c r="A248" s="6143" t="s">
        <v>6529</v>
      </c>
      <c r="B248" s="6143">
        <v>46216</v>
      </c>
      <c r="C248" s="6143" t="str">
        <v>Monday</v>
      </c>
      <c r="D248" s="6278" t="s">
        <v>6538</v>
      </c>
      <c r="E248" s="6147">
        <f t="shared" si="74"/>
      </c>
      <c r="F248" s="6144" t="s">
        <v>6470</v>
      </c>
      <c r="G248" s="6206" t="s">
        <v>6539</v>
      </c>
      <c r="H248" s="6147" t="s">
        <v>6325</v>
      </c>
      <c r="I248" s="6144" t="s">
        <v>6326</v>
      </c>
      <c r="J248" s="6147"/>
      <c r="K248" s="6133"/>
      <c r="L248" s="6133"/>
      <c r="M248" s="6133"/>
      <c r="N248" s="6133"/>
      <c r="O248" s="6133"/>
      <c r="P248" s="6133"/>
      <c r="Q248" s="6133"/>
      <c r="R248" s="6133"/>
      <c r="S248" s="6133"/>
      <c r="T248" s="6133"/>
      <c r="U248" s="6135"/>
      <c r="V248" s="6135"/>
      <c r="W248" s="6135"/>
      <c r="X248" s="6135"/>
      <c r="Y248" s="6135"/>
    </row>
    <row r="249">
      <c r="A249" s="6143" t="s">
        <v>6529</v>
      </c>
      <c r="B249" s="6143">
        <v>46216</v>
      </c>
      <c r="C249" s="6143" t="str">
        <v>Monday</v>
      </c>
      <c r="D249" s="6147" t="s">
        <v>6540</v>
      </c>
      <c r="E249" s="6147">
        <f t="shared" si="74"/>
      </c>
      <c r="F249" s="6144" t="s">
        <v>6536</v>
      </c>
      <c r="G249" s="6206" t="s">
        <v>6541</v>
      </c>
      <c r="H249" s="6147" t="s">
        <v>6325</v>
      </c>
      <c r="I249" s="6144" t="s">
        <v>6326</v>
      </c>
      <c r="J249" s="6147"/>
      <c r="K249" s="6133"/>
      <c r="L249" s="6133"/>
      <c r="M249" s="6133"/>
      <c r="N249" s="6133"/>
      <c r="O249" s="6133"/>
      <c r="P249" s="6133"/>
      <c r="Q249" s="6133"/>
      <c r="R249" s="6133"/>
      <c r="S249" s="6133"/>
      <c r="T249" s="6133"/>
      <c r="U249" s="6135"/>
      <c r="V249" s="6135"/>
      <c r="W249" s="6135"/>
      <c r="X249" s="6135"/>
      <c r="Y249" s="6135"/>
    </row>
    <row r="250">
      <c r="A250" s="6143" t="s">
        <v>6542</v>
      </c>
      <c r="B250" s="6143">
        <v>46216</v>
      </c>
      <c r="C250" s="6143" t="str">
        <v>Monday</v>
      </c>
      <c r="D250" s="6278" t="s">
        <v>6543</v>
      </c>
      <c r="E250" s="6278">
        <f t="shared" si="74"/>
      </c>
      <c r="F250" s="6278" t="s">
        <v>6342</v>
      </c>
      <c r="G250" s="6279"/>
      <c r="H250" s="6278" t="s">
        <v>6325</v>
      </c>
      <c r="I250" s="6144" t="s">
        <v>6326</v>
      </c>
      <c r="J250" s="6278"/>
      <c r="K250" s="6280"/>
      <c r="L250" s="6280"/>
      <c r="M250" s="6280"/>
      <c r="N250" s="6280"/>
      <c r="O250" s="6280"/>
      <c r="P250" s="6280"/>
      <c r="Q250" s="6280"/>
      <c r="R250" s="6280"/>
      <c r="S250" s="6280"/>
      <c r="T250" s="6280"/>
      <c r="U250" s="6281"/>
      <c r="V250" s="6281"/>
      <c r="W250" s="6281"/>
      <c r="X250" s="6281"/>
      <c r="Y250" s="6281"/>
    </row>
    <row r="251">
      <c r="A251" s="6143" t="s">
        <v>6542</v>
      </c>
      <c r="B251" s="6143">
        <v>46216</v>
      </c>
      <c r="C251" s="6143" t="str">
        <v>Monday</v>
      </c>
      <c r="D251" s="6278" t="s">
        <v>6544</v>
      </c>
      <c r="E251" s="6278">
        <f t="shared" si="74"/>
      </c>
      <c r="F251" s="6144" t="s">
        <v>6531</v>
      </c>
      <c r="G251" s="6279"/>
      <c r="H251" s="6278"/>
      <c r="I251" s="6144"/>
      <c r="J251" s="6278"/>
      <c r="K251" s="6280"/>
      <c r="L251" s="6280"/>
      <c r="M251" s="6280"/>
      <c r="N251" s="6280"/>
      <c r="O251" s="6280"/>
      <c r="P251" s="6280"/>
      <c r="Q251" s="6280"/>
      <c r="R251" s="6280"/>
      <c r="S251" s="6280"/>
      <c r="T251" s="6280"/>
      <c r="U251" s="6281"/>
      <c r="V251" s="6281"/>
      <c r="W251" s="6281"/>
      <c r="X251" s="6281"/>
      <c r="Y251" s="6281"/>
    </row>
    <row r="252">
      <c r="A252" s="6282" t="s">
        <v>6529</v>
      </c>
      <c r="B252" s="6282">
        <v>46217</v>
      </c>
      <c r="C252" s="6282" t="str">
        <v>Tuesday</v>
      </c>
      <c r="D252" s="6283" t="s">
        <v>6492</v>
      </c>
      <c r="E252" s="6283">
        <f t="shared" si="74"/>
      </c>
      <c r="F252" s="6283" t="s">
        <v>6545</v>
      </c>
      <c r="G252" s="6284" t="s">
        <v>6546</v>
      </c>
      <c r="H252" s="6283" t="s">
        <v>6325</v>
      </c>
      <c r="I252" s="6144" t="s">
        <v>6326</v>
      </c>
      <c r="J252" s="6147"/>
      <c r="K252" s="6280"/>
      <c r="L252" s="6280"/>
      <c r="M252" s="6280"/>
      <c r="N252" s="6280"/>
      <c r="O252" s="6280"/>
      <c r="P252" s="6280"/>
      <c r="Q252" s="6280"/>
      <c r="R252" s="6280"/>
      <c r="S252" s="6280"/>
      <c r="T252" s="6280"/>
      <c r="U252" s="6135"/>
      <c r="V252" s="6135"/>
      <c r="W252" s="6135"/>
      <c r="X252" s="6135"/>
      <c r="Y252" s="6135"/>
    </row>
    <row r="253">
      <c r="A253" s="6282" t="s">
        <v>6529</v>
      </c>
      <c r="B253" s="6282">
        <v>46217</v>
      </c>
      <c r="C253" s="6282" t="str">
        <v>Tuesday</v>
      </c>
      <c r="D253" s="6283" t="s">
        <v>6357</v>
      </c>
      <c r="E253" s="6283">
        <f t="shared" si="74"/>
      </c>
      <c r="F253" s="6283" t="s">
        <v>6536</v>
      </c>
      <c r="G253" s="6284" t="s">
        <v>6547</v>
      </c>
      <c r="H253" s="6283" t="s">
        <v>6325</v>
      </c>
      <c r="I253" s="6144" t="s">
        <v>6326</v>
      </c>
      <c r="J253" s="6285"/>
      <c r="K253" s="6280"/>
      <c r="L253" s="6280"/>
      <c r="M253" s="6280"/>
      <c r="N253" s="6280"/>
      <c r="O253" s="6280"/>
      <c r="P253" s="6280"/>
      <c r="Q253" s="6280"/>
      <c r="R253" s="6280"/>
      <c r="S253" s="6280"/>
      <c r="T253" s="6280"/>
      <c r="U253" s="6135"/>
      <c r="V253" s="6135"/>
      <c r="W253" s="6135"/>
      <c r="X253" s="6135"/>
      <c r="Y253" s="6135"/>
    </row>
    <row r="254">
      <c r="A254" s="6282" t="s">
        <v>6529</v>
      </c>
      <c r="B254" s="6282">
        <v>46217</v>
      </c>
      <c r="C254" s="6282" t="str">
        <v>Tuesday</v>
      </c>
      <c r="D254" s="6283" t="s">
        <v>6358</v>
      </c>
      <c r="E254" s="6283">
        <f t="shared" si="74"/>
      </c>
      <c r="F254" s="6283" t="s">
        <v>6545</v>
      </c>
      <c r="G254" s="6284" t="s">
        <v>6548</v>
      </c>
      <c r="H254" s="6283" t="s">
        <v>6325</v>
      </c>
      <c r="I254" s="6144" t="s">
        <v>6326</v>
      </c>
      <c r="J254" s="6285"/>
      <c r="K254" s="6280"/>
      <c r="L254" s="6280"/>
      <c r="M254" s="6280"/>
      <c r="N254" s="6280"/>
      <c r="O254" s="6280"/>
      <c r="P254" s="6280"/>
      <c r="Q254" s="6280"/>
      <c r="R254" s="6280"/>
      <c r="S254" s="6280"/>
      <c r="T254" s="6280"/>
      <c r="U254" s="6135"/>
      <c r="V254" s="6135"/>
      <c r="W254" s="6135"/>
      <c r="X254" s="6135"/>
      <c r="Y254" s="6135"/>
    </row>
    <row r="255">
      <c r="A255" s="6282" t="s">
        <v>6529</v>
      </c>
      <c r="B255" s="6282">
        <v>46217</v>
      </c>
      <c r="C255" s="6282" t="str">
        <v>Tuesday</v>
      </c>
      <c r="D255" s="6283" t="s">
        <v>6549</v>
      </c>
      <c r="E255" s="6283">
        <f t="shared" si="74"/>
      </c>
      <c r="F255" s="6283" t="s">
        <v>6536</v>
      </c>
      <c r="G255" s="6284" t="s">
        <v>6550</v>
      </c>
      <c r="H255" s="6283" t="s">
        <v>6325</v>
      </c>
      <c r="I255" s="6144" t="s">
        <v>6326</v>
      </c>
      <c r="J255" s="6285"/>
      <c r="K255" s="6280"/>
      <c r="L255" s="6280"/>
      <c r="M255" s="6280"/>
      <c r="N255" s="6280"/>
      <c r="O255" s="6280"/>
      <c r="P255" s="6280"/>
      <c r="Q255" s="6280"/>
      <c r="R255" s="6280"/>
      <c r="S255" s="6280"/>
      <c r="T255" s="6280"/>
      <c r="U255" s="6135"/>
      <c r="V255" s="6135"/>
      <c r="W255" s="6135"/>
      <c r="X255" s="6135"/>
      <c r="Y255" s="6135"/>
    </row>
    <row r="256">
      <c r="A256" s="6282" t="s">
        <v>6529</v>
      </c>
      <c r="B256" s="6282">
        <v>46217</v>
      </c>
      <c r="C256" s="6282" t="str">
        <v>Tuesday</v>
      </c>
      <c r="D256" s="6283" t="s">
        <v>6551</v>
      </c>
      <c r="E256" s="6283">
        <f t="shared" si="74"/>
      </c>
      <c r="F256" s="6283" t="s">
        <v>6531</v>
      </c>
      <c r="G256" s="6284" t="s">
        <v>6552</v>
      </c>
      <c r="H256" s="6283" t="s">
        <v>6325</v>
      </c>
      <c r="I256" s="6144" t="s">
        <v>6326</v>
      </c>
      <c r="J256" s="6285"/>
      <c r="K256" s="6280"/>
      <c r="L256" s="6280"/>
      <c r="M256" s="6280"/>
      <c r="N256" s="6280"/>
      <c r="O256" s="6280"/>
      <c r="P256" s="6280"/>
      <c r="Q256" s="6280"/>
      <c r="R256" s="6280"/>
      <c r="S256" s="6280"/>
      <c r="T256" s="6280"/>
      <c r="U256" s="6135"/>
      <c r="V256" s="6135"/>
      <c r="W256" s="6135"/>
      <c r="X256" s="6135"/>
      <c r="Y256" s="6135"/>
    </row>
    <row r="257">
      <c r="A257" s="6282" t="s">
        <v>6542</v>
      </c>
      <c r="B257" s="6282">
        <v>46217</v>
      </c>
      <c r="C257" s="6282" t="str">
        <v>Tuesday</v>
      </c>
      <c r="D257" s="6283" t="s">
        <v>6553</v>
      </c>
      <c r="E257" s="6283">
        <f t="shared" si="74"/>
      </c>
      <c r="F257" s="6283" t="s">
        <v>6554</v>
      </c>
      <c r="G257" s="6284"/>
      <c r="H257" s="6283" t="s">
        <v>6325</v>
      </c>
      <c r="I257" s="6147" t="s">
        <v>6326</v>
      </c>
      <c r="J257" s="6286"/>
      <c r="K257" s="6220"/>
      <c r="L257" s="6220"/>
      <c r="M257" s="6220"/>
      <c r="N257" s="6220"/>
      <c r="O257" s="6220"/>
      <c r="P257" s="6220"/>
      <c r="Q257" s="6220"/>
      <c r="R257" s="6220"/>
      <c r="S257" s="6220"/>
      <c r="T257" s="6220"/>
      <c r="U257" s="6135"/>
      <c r="V257" s="6135"/>
      <c r="W257" s="6135"/>
      <c r="X257" s="6135"/>
      <c r="Y257" s="6135"/>
    </row>
    <row r="258">
      <c r="A258" s="6282" t="s">
        <v>6542</v>
      </c>
      <c r="B258" s="6282">
        <v>46217</v>
      </c>
      <c r="C258" s="6282" t="str">
        <v>Tuesday</v>
      </c>
      <c r="D258" s="6283" t="s">
        <v>6472</v>
      </c>
      <c r="E258" s="6285">
        <f t="shared" si="74"/>
      </c>
      <c r="F258" s="6287" t="s">
        <v>6497</v>
      </c>
      <c r="G258" s="6284"/>
      <c r="H258" s="6283" t="s">
        <v>6325</v>
      </c>
      <c r="I258" s="6147" t="s">
        <v>6326</v>
      </c>
      <c r="J258" s="6286"/>
      <c r="K258" s="6220"/>
      <c r="L258" s="6220"/>
      <c r="M258" s="6220"/>
      <c r="N258" s="6220"/>
      <c r="O258" s="6220"/>
      <c r="P258" s="6220"/>
      <c r="Q258" s="6220"/>
      <c r="R258" s="6220"/>
      <c r="S258" s="6220"/>
      <c r="T258" s="6220"/>
      <c r="U258" s="6135"/>
      <c r="V258" s="6135"/>
      <c r="W258" s="6135"/>
      <c r="X258" s="6135"/>
      <c r="Y258" s="6135"/>
    </row>
    <row r="259">
      <c r="A259" s="6282" t="s">
        <v>6542</v>
      </c>
      <c r="B259" s="6282">
        <v>46217</v>
      </c>
      <c r="C259" s="6282" t="str">
        <v>Tuesday</v>
      </c>
      <c r="D259" s="6283" t="s">
        <v>6350</v>
      </c>
      <c r="E259" s="6285">
        <f t="shared" si="74"/>
      </c>
      <c r="F259" s="6287" t="s">
        <v>6497</v>
      </c>
      <c r="G259" s="6284"/>
      <c r="H259" s="6283"/>
      <c r="I259" s="6147" t="s">
        <v>6326</v>
      </c>
      <c r="J259" s="6286"/>
      <c r="K259" s="6220"/>
      <c r="L259" s="6220"/>
      <c r="M259" s="6220"/>
      <c r="N259" s="6220"/>
      <c r="O259" s="6220"/>
      <c r="P259" s="6220"/>
      <c r="Q259" s="6220"/>
      <c r="R259" s="6220"/>
      <c r="S259" s="6220"/>
      <c r="T259" s="6220"/>
      <c r="U259" s="6135"/>
      <c r="V259" s="6135"/>
      <c r="W259" s="6135"/>
      <c r="X259" s="6135"/>
      <c r="Y259" s="6135"/>
    </row>
    <row r="260">
      <c r="A260" s="6282" t="s">
        <v>6542</v>
      </c>
      <c r="B260" s="6282">
        <v>46217</v>
      </c>
      <c r="C260" s="6282" t="str">
        <v>Tuesday</v>
      </c>
      <c r="D260" s="6283" t="s">
        <v>6522</v>
      </c>
      <c r="E260" s="6285">
        <f t="shared" si="74"/>
      </c>
      <c r="F260" s="6287" t="s">
        <v>6555</v>
      </c>
      <c r="G260" s="6284"/>
      <c r="H260" s="6283"/>
      <c r="I260" s="6144" t="s">
        <v>6326</v>
      </c>
      <c r="J260" s="6283"/>
      <c r="K260" s="6220"/>
      <c r="L260" s="6220"/>
      <c r="M260" s="6220"/>
      <c r="N260" s="6220"/>
      <c r="O260" s="6220"/>
      <c r="P260" s="6220"/>
      <c r="Q260" s="6220"/>
      <c r="R260" s="6220"/>
      <c r="S260" s="6220"/>
      <c r="T260" s="6220"/>
      <c r="U260" s="6135"/>
      <c r="V260" s="6135"/>
      <c r="W260" s="6135"/>
      <c r="X260" s="6135"/>
      <c r="Y260" s="6135"/>
    </row>
    <row r="261">
      <c r="A261" s="6143" t="s">
        <v>6529</v>
      </c>
      <c r="B261" s="6143">
        <v>46221</v>
      </c>
      <c r="C261" s="6143" t="str">
        <v>Saturday</v>
      </c>
      <c r="D261" s="6144" t="s">
        <v>6556</v>
      </c>
      <c r="E261" s="6147">
        <f t="shared" si="74"/>
      </c>
      <c r="F261" s="6144" t="s">
        <v>6545</v>
      </c>
      <c r="G261" s="6288" t="s">
        <v>6557</v>
      </c>
      <c r="H261" s="6144" t="s">
        <v>6325</v>
      </c>
      <c r="I261" s="6144" t="s">
        <v>6326</v>
      </c>
      <c r="J261" s="6147"/>
      <c r="K261" s="6133"/>
      <c r="L261" s="6133"/>
      <c r="M261" s="6133"/>
      <c r="N261" s="6133"/>
      <c r="O261" s="6133"/>
      <c r="P261" s="6133"/>
      <c r="Q261" s="6133"/>
      <c r="R261" s="6133"/>
      <c r="S261" s="6133"/>
      <c r="T261" s="6133"/>
      <c r="U261" s="6135"/>
      <c r="V261" s="6135"/>
      <c r="W261" s="6135"/>
      <c r="X261" s="6135"/>
      <c r="Y261" s="6135"/>
    </row>
    <row r="262">
      <c r="A262" s="6143" t="s">
        <v>6529</v>
      </c>
      <c r="B262" s="6143">
        <v>46221</v>
      </c>
      <c r="C262" s="6143" t="str">
        <v>Saturday</v>
      </c>
      <c r="D262" s="6144" t="s">
        <v>6357</v>
      </c>
      <c r="E262" s="6147">
        <f t="shared" si="74"/>
      </c>
      <c r="F262" s="6144" t="s">
        <v>6470</v>
      </c>
      <c r="G262" s="6288" t="s">
        <v>6558</v>
      </c>
      <c r="H262" s="6144" t="s">
        <v>6325</v>
      </c>
      <c r="I262" s="6144" t="s">
        <v>6326</v>
      </c>
      <c r="J262" s="6289"/>
      <c r="K262" s="6133"/>
      <c r="L262" s="6133"/>
      <c r="M262" s="6133"/>
      <c r="N262" s="6133"/>
      <c r="O262" s="6133"/>
      <c r="P262" s="6133"/>
      <c r="Q262" s="6133"/>
      <c r="R262" s="6133"/>
      <c r="S262" s="6133"/>
      <c r="T262" s="6133"/>
      <c r="U262" s="6135"/>
      <c r="V262" s="6135"/>
      <c r="W262" s="6135"/>
      <c r="X262" s="6135"/>
      <c r="Y262" s="6135"/>
    </row>
    <row r="263">
      <c r="A263" s="6143" t="s">
        <v>6529</v>
      </c>
      <c r="B263" s="6143">
        <v>46221</v>
      </c>
      <c r="C263" s="6143" t="str">
        <v>Saturday</v>
      </c>
      <c r="D263" s="6144" t="s">
        <v>6359</v>
      </c>
      <c r="E263" s="6147">
        <f t="shared" si="74"/>
      </c>
      <c r="F263" s="6144" t="s">
        <v>6559</v>
      </c>
      <c r="G263" s="6288" t="s">
        <v>6532</v>
      </c>
      <c r="H263" s="6144" t="s">
        <v>6325</v>
      </c>
      <c r="I263" s="6144" t="s">
        <v>6326</v>
      </c>
      <c r="J263" s="6289"/>
      <c r="K263" s="6133"/>
      <c r="L263" s="6133"/>
      <c r="M263" s="6133"/>
      <c r="N263" s="6133"/>
      <c r="O263" s="6133"/>
      <c r="P263" s="6133"/>
      <c r="Q263" s="6133"/>
      <c r="R263" s="6133"/>
      <c r="S263" s="6133"/>
      <c r="T263" s="6133"/>
      <c r="U263" s="6135"/>
      <c r="V263" s="6135"/>
      <c r="W263" s="6135"/>
      <c r="X263" s="6135"/>
      <c r="Y263" s="6135"/>
    </row>
    <row r="264">
      <c r="A264" s="6143" t="s">
        <v>6529</v>
      </c>
      <c r="B264" s="6143">
        <v>46221</v>
      </c>
      <c r="C264" s="6143" t="str">
        <v>Saturday</v>
      </c>
      <c r="D264" s="6144" t="s">
        <v>6501</v>
      </c>
      <c r="E264" s="6147">
        <f t="shared" si="74"/>
      </c>
      <c r="F264" s="6144" t="s">
        <v>6470</v>
      </c>
      <c r="G264" s="6288" t="s">
        <v>6560</v>
      </c>
      <c r="H264" s="6144" t="s">
        <v>6325</v>
      </c>
      <c r="I264" s="6144" t="s">
        <v>6326</v>
      </c>
      <c r="J264" s="6289"/>
      <c r="K264" s="6133"/>
      <c r="L264" s="6133"/>
      <c r="M264" s="6133"/>
      <c r="N264" s="6133"/>
      <c r="O264" s="6133"/>
      <c r="P264" s="6133"/>
      <c r="Q264" s="6133"/>
      <c r="R264" s="6133"/>
      <c r="S264" s="6133"/>
      <c r="T264" s="6133"/>
      <c r="U264" s="6135"/>
      <c r="V264" s="6135"/>
      <c r="W264" s="6135"/>
      <c r="X264" s="6135"/>
      <c r="Y264" s="6135"/>
    </row>
    <row r="265">
      <c r="A265" s="6143" t="s">
        <v>6529</v>
      </c>
      <c r="B265" s="6143">
        <v>46221</v>
      </c>
      <c r="C265" s="6143" t="str">
        <v>Saturday</v>
      </c>
      <c r="D265" s="6144" t="s">
        <v>6551</v>
      </c>
      <c r="E265" s="6147">
        <f t="shared" si="74"/>
      </c>
      <c r="F265" s="6144" t="s">
        <v>6561</v>
      </c>
      <c r="G265" s="6288" t="s">
        <v>6562</v>
      </c>
      <c r="H265" s="6144" t="s">
        <v>6325</v>
      </c>
      <c r="I265" s="6144" t="s">
        <v>6326</v>
      </c>
      <c r="J265" s="6289"/>
      <c r="K265" s="6133"/>
      <c r="L265" s="6133"/>
      <c r="M265" s="6133"/>
      <c r="N265" s="6133"/>
      <c r="O265" s="6133"/>
      <c r="P265" s="6133"/>
      <c r="Q265" s="6133"/>
      <c r="R265" s="6133"/>
      <c r="S265" s="6133"/>
      <c r="T265" s="6133"/>
      <c r="U265" s="6135"/>
      <c r="V265" s="6135"/>
      <c r="W265" s="6135"/>
      <c r="X265" s="6135"/>
      <c r="Y265" s="6135"/>
    </row>
    <row r="266">
      <c r="A266" s="6143" t="s">
        <v>6542</v>
      </c>
      <c r="B266" s="6143">
        <v>46221</v>
      </c>
      <c r="C266" s="6143" t="str">
        <v>Saturday</v>
      </c>
      <c r="D266" s="6144" t="s">
        <v>6472</v>
      </c>
      <c r="E266" s="6278">
        <f t="shared" si="74"/>
      </c>
      <c r="F266" s="6177" t="s">
        <v>6555</v>
      </c>
      <c r="G266" s="6288"/>
      <c r="H266" s="6144" t="s">
        <v>6325</v>
      </c>
      <c r="I266" s="6144" t="s">
        <v>6326</v>
      </c>
      <c r="J266" s="6289"/>
      <c r="K266" s="6133"/>
      <c r="L266" s="6133"/>
      <c r="M266" s="6133"/>
      <c r="N266" s="6133"/>
      <c r="O266" s="6133"/>
      <c r="P266" s="6133"/>
      <c r="Q266" s="6133"/>
      <c r="R266" s="6133"/>
      <c r="S266" s="6133"/>
      <c r="T266" s="6133"/>
      <c r="U266" s="6135"/>
      <c r="V266" s="6135"/>
      <c r="W266" s="6135"/>
      <c r="X266" s="6135"/>
      <c r="Y266" s="6135"/>
    </row>
    <row r="267">
      <c r="A267" s="6143" t="s">
        <v>6542</v>
      </c>
      <c r="B267" s="6143">
        <v>46221</v>
      </c>
      <c r="C267" s="6143" t="str">
        <v>Saturday</v>
      </c>
      <c r="D267" s="6144" t="s">
        <v>6563</v>
      </c>
      <c r="E267" s="6278">
        <f t="shared" si="74"/>
      </c>
      <c r="F267" s="6177" t="s">
        <v>6342</v>
      </c>
      <c r="G267" s="6288"/>
      <c r="H267" s="6144"/>
      <c r="I267" s="6144" t="s">
        <v>6326</v>
      </c>
      <c r="J267" s="6289"/>
      <c r="K267" s="6133"/>
      <c r="L267" s="6133"/>
      <c r="M267" s="6133"/>
      <c r="N267" s="6133"/>
      <c r="O267" s="6133"/>
      <c r="P267" s="6133"/>
      <c r="Q267" s="6133"/>
      <c r="R267" s="6133"/>
      <c r="S267" s="6133"/>
      <c r="T267" s="6133"/>
      <c r="U267" s="6135"/>
      <c r="V267" s="6135"/>
      <c r="W267" s="6135"/>
      <c r="X267" s="6135"/>
      <c r="Y267" s="6135"/>
    </row>
    <row r="268">
      <c r="A268" s="6143" t="s">
        <v>6542</v>
      </c>
      <c r="B268" s="6143">
        <v>46221</v>
      </c>
      <c r="C268" s="6143" t="str">
        <v>Saturday</v>
      </c>
      <c r="D268" s="6144" t="s">
        <v>6346</v>
      </c>
      <c r="E268" s="6278">
        <f t="shared" si="74"/>
      </c>
      <c r="F268" s="6177" t="s">
        <v>6554</v>
      </c>
      <c r="G268" s="6288"/>
      <c r="H268" s="6144"/>
      <c r="I268" s="6147" t="s">
        <v>6326</v>
      </c>
      <c r="J268" s="6289"/>
      <c r="K268" s="6133"/>
      <c r="L268" s="6133"/>
      <c r="M268" s="6133"/>
      <c r="N268" s="6133"/>
      <c r="O268" s="6133"/>
      <c r="P268" s="6133"/>
      <c r="Q268" s="6133"/>
      <c r="R268" s="6133"/>
      <c r="S268" s="6133"/>
      <c r="T268" s="6133"/>
      <c r="U268" s="6135"/>
      <c r="V268" s="6135"/>
      <c r="W268" s="6135"/>
      <c r="X268" s="6135"/>
      <c r="Y268" s="6135"/>
    </row>
    <row r="269">
      <c r="A269" s="6143" t="s">
        <v>6564</v>
      </c>
      <c r="B269" s="6143">
        <v>46221</v>
      </c>
      <c r="C269" s="6143" t="str">
        <v>Saturday</v>
      </c>
      <c r="D269" s="6144" t="s">
        <v>6565</v>
      </c>
      <c r="E269" s="6278">
        <f t="shared" si="74"/>
      </c>
      <c r="F269" s="6144" t="s">
        <v>6559</v>
      </c>
      <c r="G269" s="6288"/>
      <c r="H269" s="6144"/>
      <c r="I269" s="6144"/>
      <c r="J269" s="6289"/>
      <c r="K269" s="6133"/>
      <c r="L269" s="6133"/>
      <c r="M269" s="6133"/>
      <c r="N269" s="6133"/>
      <c r="O269" s="6133"/>
      <c r="P269" s="6133"/>
      <c r="Q269" s="6133"/>
      <c r="R269" s="6133"/>
      <c r="S269" s="6133"/>
      <c r="T269" s="6133"/>
      <c r="U269" s="6135"/>
      <c r="V269" s="6135"/>
      <c r="W269" s="6135"/>
      <c r="X269" s="6135"/>
      <c r="Y269" s="6135"/>
    </row>
    <row r="270">
      <c r="A270" s="6143" t="s">
        <v>6564</v>
      </c>
      <c r="B270" s="6143">
        <v>46221</v>
      </c>
      <c r="C270" s="6143" t="str">
        <v>Saturday</v>
      </c>
      <c r="D270" s="6144" t="s">
        <v>6566</v>
      </c>
      <c r="E270" s="6278">
        <f t="shared" si="74"/>
      </c>
      <c r="F270" s="6144" t="s">
        <v>6567</v>
      </c>
      <c r="G270" s="6290"/>
      <c r="H270" s="6144"/>
      <c r="I270" s="6144"/>
      <c r="J270" s="6291"/>
      <c r="K270" s="6133"/>
      <c r="L270" s="6133"/>
      <c r="M270" s="6133"/>
      <c r="N270" s="6133"/>
      <c r="O270" s="6133"/>
      <c r="P270" s="6133"/>
      <c r="Q270" s="6133"/>
      <c r="R270" s="6133"/>
      <c r="S270" s="6133"/>
      <c r="T270" s="6133"/>
      <c r="U270" s="6134"/>
      <c r="V270" s="6134"/>
      <c r="W270" s="6134"/>
      <c r="X270" s="6134"/>
      <c r="Y270" s="6134"/>
    </row>
    <row r="271">
      <c r="A271" s="6282" t="s">
        <v>6529</v>
      </c>
      <c r="B271" s="6282">
        <v>46222</v>
      </c>
      <c r="C271" s="6282" t="str">
        <v>Sunday</v>
      </c>
      <c r="D271" s="6283" t="s">
        <v>6568</v>
      </c>
      <c r="E271" s="6283">
        <f t="shared" si="74"/>
      </c>
      <c r="F271" s="6283" t="s">
        <v>6561</v>
      </c>
      <c r="G271" s="6292" t="s">
        <v>6569</v>
      </c>
      <c r="H271" s="6283" t="s">
        <v>6325</v>
      </c>
      <c r="I271" s="6144" t="s">
        <v>6326</v>
      </c>
      <c r="J271" s="6289"/>
      <c r="K271" s="6133"/>
      <c r="L271" s="6133"/>
      <c r="M271" s="6133"/>
      <c r="N271" s="6133"/>
      <c r="O271" s="6133"/>
      <c r="P271" s="6133"/>
      <c r="Q271" s="6133"/>
      <c r="R271" s="6133"/>
      <c r="S271" s="6133"/>
      <c r="T271" s="6133"/>
      <c r="U271" s="6135"/>
      <c r="V271" s="6135"/>
      <c r="W271" s="6135"/>
      <c r="X271" s="6135"/>
      <c r="Y271" s="6135"/>
    </row>
    <row r="272">
      <c r="A272" s="6282" t="s">
        <v>6529</v>
      </c>
      <c r="B272" s="6282">
        <v>46222</v>
      </c>
      <c r="C272" s="6282" t="str">
        <v>Sunday</v>
      </c>
      <c r="D272" s="6283" t="s">
        <v>6422</v>
      </c>
      <c r="E272" s="6283">
        <f t="shared" si="74"/>
      </c>
      <c r="F272" s="6283" t="s">
        <v>6545</v>
      </c>
      <c r="G272" s="6292" t="s">
        <v>6570</v>
      </c>
      <c r="H272" s="6283" t="s">
        <v>6325</v>
      </c>
      <c r="I272" s="6144" t="s">
        <v>6326</v>
      </c>
      <c r="J272" s="6289"/>
      <c r="K272" s="6133"/>
      <c r="L272" s="6133"/>
      <c r="M272" s="6133"/>
      <c r="N272" s="6133"/>
      <c r="O272" s="6133"/>
      <c r="P272" s="6133"/>
      <c r="Q272" s="6133"/>
      <c r="R272" s="6133"/>
      <c r="S272" s="6133"/>
      <c r="T272" s="6133"/>
      <c r="U272" s="6135"/>
      <c r="V272" s="6135"/>
      <c r="W272" s="6135"/>
      <c r="X272" s="6135"/>
      <c r="Y272" s="6135"/>
    </row>
    <row r="273">
      <c r="A273" s="6282" t="s">
        <v>6529</v>
      </c>
      <c r="B273" s="6282">
        <v>46222</v>
      </c>
      <c r="C273" s="6282" t="str">
        <v>Sunday</v>
      </c>
      <c r="D273" s="6283" t="s">
        <v>6350</v>
      </c>
      <c r="E273" s="6283">
        <f t="shared" si="74"/>
      </c>
      <c r="F273" s="6283" t="s">
        <v>6470</v>
      </c>
      <c r="G273" s="6292" t="s">
        <v>6571</v>
      </c>
      <c r="H273" s="6283" t="s">
        <v>6325</v>
      </c>
      <c r="I273" s="6144" t="s">
        <v>6326</v>
      </c>
      <c r="J273" s="6289"/>
      <c r="K273" s="6133"/>
      <c r="L273" s="6133"/>
      <c r="M273" s="6133"/>
      <c r="N273" s="6133"/>
      <c r="O273" s="6133"/>
      <c r="P273" s="6133"/>
      <c r="Q273" s="6133"/>
      <c r="R273" s="6133"/>
      <c r="S273" s="6133"/>
      <c r="T273" s="6133"/>
      <c r="U273" s="6135"/>
      <c r="V273" s="6135"/>
      <c r="W273" s="6135"/>
      <c r="X273" s="6135"/>
      <c r="Y273" s="6135"/>
    </row>
    <row r="274">
      <c r="A274" s="6282" t="s">
        <v>6529</v>
      </c>
      <c r="B274" s="6282">
        <v>46222</v>
      </c>
      <c r="C274" s="6282" t="str">
        <v>Sunday</v>
      </c>
      <c r="D274" s="6283" t="s">
        <v>6549</v>
      </c>
      <c r="E274" s="6283">
        <f t="shared" si="74"/>
      </c>
      <c r="F274" s="6283" t="s">
        <v>6545</v>
      </c>
      <c r="G274" s="6292" t="s">
        <v>6572</v>
      </c>
      <c r="H274" s="6283" t="s">
        <v>6325</v>
      </c>
      <c r="I274" s="6144" t="s">
        <v>6326</v>
      </c>
      <c r="J274" s="6289"/>
      <c r="K274" s="6133"/>
      <c r="L274" s="6133"/>
      <c r="M274" s="6133"/>
      <c r="N274" s="6133"/>
      <c r="O274" s="6133"/>
      <c r="P274" s="6133"/>
      <c r="Q274" s="6133"/>
      <c r="R274" s="6133"/>
      <c r="S274" s="6133"/>
      <c r="T274" s="6133"/>
      <c r="U274" s="6135"/>
      <c r="V274" s="6135"/>
      <c r="W274" s="6135"/>
      <c r="X274" s="6135"/>
      <c r="Y274" s="6135"/>
    </row>
    <row r="275">
      <c r="A275" s="6282" t="s">
        <v>6529</v>
      </c>
      <c r="B275" s="6282">
        <v>46222</v>
      </c>
      <c r="C275" s="6282" t="str">
        <v>Sunday</v>
      </c>
      <c r="D275" s="6283" t="s">
        <v>6551</v>
      </c>
      <c r="E275" s="6283">
        <f t="shared" si="74"/>
      </c>
      <c r="F275" s="6283" t="s">
        <v>6470</v>
      </c>
      <c r="G275" s="6292" t="s">
        <v>6573</v>
      </c>
      <c r="H275" s="6283" t="s">
        <v>6325</v>
      </c>
      <c r="I275" s="6144" t="s">
        <v>6326</v>
      </c>
      <c r="J275" s="6289"/>
      <c r="K275" s="6133"/>
      <c r="L275" s="6133"/>
      <c r="M275" s="6133"/>
      <c r="N275" s="6133"/>
      <c r="O275" s="6133"/>
      <c r="P275" s="6133"/>
      <c r="Q275" s="6133"/>
      <c r="R275" s="6133"/>
      <c r="S275" s="6133"/>
      <c r="T275" s="6133"/>
      <c r="U275" s="6135"/>
      <c r="V275" s="6135"/>
      <c r="W275" s="6135"/>
      <c r="X275" s="6135"/>
      <c r="Y275" s="6135"/>
    </row>
    <row r="276">
      <c r="A276" s="6282" t="s">
        <v>6542</v>
      </c>
      <c r="B276" s="6282">
        <v>46222</v>
      </c>
      <c r="C276" s="6282" t="s">
        <v>6574</v>
      </c>
      <c r="D276" s="6283" t="s">
        <v>6575</v>
      </c>
      <c r="E276" s="6285">
        <f t="shared" si="74"/>
      </c>
      <c r="F276" s="6283" t="s">
        <v>6470</v>
      </c>
      <c r="G276" s="6292"/>
      <c r="H276" s="6283"/>
      <c r="I276" s="6144" t="s">
        <v>6326</v>
      </c>
      <c r="J276" s="6289"/>
      <c r="K276" s="6133"/>
      <c r="L276" s="6133"/>
      <c r="M276" s="6133"/>
      <c r="N276" s="6133"/>
      <c r="O276" s="6133"/>
      <c r="P276" s="6133"/>
      <c r="Q276" s="6133"/>
      <c r="R276" s="6133"/>
      <c r="S276" s="6133"/>
      <c r="T276" s="6133"/>
      <c r="U276" s="6135"/>
      <c r="V276" s="6135"/>
      <c r="W276" s="6135"/>
      <c r="X276" s="6135"/>
      <c r="Y276" s="6135"/>
    </row>
    <row r="277">
      <c r="A277" s="6282" t="s">
        <v>6542</v>
      </c>
      <c r="B277" s="6282">
        <v>46222</v>
      </c>
      <c r="C277" s="6282" t="s">
        <v>6574</v>
      </c>
      <c r="D277" s="6283" t="s">
        <v>6576</v>
      </c>
      <c r="E277" s="6285">
        <f t="shared" si="74"/>
      </c>
      <c r="F277" s="6287" t="s">
        <v>6342</v>
      </c>
      <c r="G277" s="6292"/>
      <c r="H277" s="6283"/>
      <c r="I277" s="6144" t="s">
        <v>6326</v>
      </c>
      <c r="J277" s="6289"/>
      <c r="K277" s="6133"/>
      <c r="L277" s="6133"/>
      <c r="M277" s="6133"/>
      <c r="N277" s="6133"/>
      <c r="O277" s="6133"/>
      <c r="P277" s="6133"/>
      <c r="Q277" s="6133"/>
      <c r="R277" s="6133"/>
      <c r="S277" s="6133"/>
      <c r="T277" s="6133"/>
      <c r="U277" s="6135"/>
      <c r="V277" s="6135"/>
      <c r="W277" s="6135"/>
      <c r="X277" s="6135"/>
      <c r="Y277" s="6135"/>
    </row>
    <row r="278">
      <c r="A278" s="6282" t="s">
        <v>6542</v>
      </c>
      <c r="B278" s="6282">
        <v>46222</v>
      </c>
      <c r="C278" s="6282" t="s">
        <v>6574</v>
      </c>
      <c r="D278" s="6283" t="s">
        <v>6577</v>
      </c>
      <c r="E278" s="6285">
        <f t="shared" si="74"/>
      </c>
      <c r="F278" s="6287" t="s">
        <v>6554</v>
      </c>
      <c r="G278" s="6292"/>
      <c r="H278" s="6283"/>
      <c r="I278" s="6147" t="s">
        <v>6326</v>
      </c>
      <c r="J278" s="6289"/>
      <c r="K278" s="6133"/>
      <c r="L278" s="6133"/>
      <c r="M278" s="6133"/>
      <c r="N278" s="6133"/>
      <c r="O278" s="6133"/>
      <c r="P278" s="6133"/>
      <c r="Q278" s="6133"/>
      <c r="R278" s="6133"/>
      <c r="S278" s="6133"/>
      <c r="T278" s="6133"/>
      <c r="U278" s="6135"/>
      <c r="V278" s="6135"/>
      <c r="W278" s="6135"/>
      <c r="X278" s="6135"/>
      <c r="Y278" s="6135"/>
    </row>
    <row r="279">
      <c r="A279" s="6282" t="s">
        <v>6564</v>
      </c>
      <c r="B279" s="6282">
        <v>46222</v>
      </c>
      <c r="C279" s="6282" t="s">
        <v>6574</v>
      </c>
      <c r="D279" s="6283" t="s">
        <v>6578</v>
      </c>
      <c r="E279" s="6285">
        <f t="shared" si="74"/>
      </c>
      <c r="F279" s="6283" t="s">
        <v>6567</v>
      </c>
      <c r="G279" s="6292"/>
      <c r="H279" s="6283"/>
      <c r="I279" s="6147"/>
      <c r="J279" s="6289"/>
      <c r="K279" s="6133"/>
      <c r="L279" s="6133"/>
      <c r="M279" s="6133"/>
      <c r="N279" s="6133"/>
      <c r="O279" s="6133"/>
      <c r="P279" s="6133"/>
      <c r="Q279" s="6133"/>
      <c r="R279" s="6133"/>
      <c r="S279" s="6133"/>
      <c r="T279" s="6133"/>
      <c r="U279" s="6135"/>
      <c r="V279" s="6135"/>
      <c r="W279" s="6135"/>
      <c r="X279" s="6135"/>
      <c r="Y279" s="6135"/>
    </row>
    <row r="280">
      <c r="A280" s="6143"/>
      <c r="B280" s="6143"/>
      <c r="C280" s="6143"/>
      <c r="D280" s="6143"/>
      <c r="E280" s="6143"/>
      <c r="F280" s="6143"/>
      <c r="G280" s="6143"/>
      <c r="H280" s="6174"/>
      <c r="I280" s="6144"/>
      <c r="J280" s="6291"/>
      <c r="K280" s="6133"/>
      <c r="L280" s="6133"/>
      <c r="M280" s="6133"/>
      <c r="N280" s="6133"/>
      <c r="O280" s="6133"/>
      <c r="P280" s="6133"/>
      <c r="Q280" s="6133"/>
      <c r="R280" s="6133"/>
      <c r="S280" s="6133"/>
      <c r="T280" s="6133"/>
      <c r="U280" s="6134"/>
      <c r="V280" s="6134"/>
      <c r="W280" s="6134"/>
      <c r="X280" s="6134"/>
      <c r="Y280" s="6134"/>
    </row>
    <row r="281">
      <c r="A281" s="6293"/>
      <c r="B281" s="6293"/>
      <c r="C281" s="6293"/>
      <c r="D281" s="6293"/>
      <c r="E281" s="6293"/>
      <c r="F281" s="6293"/>
      <c r="G281" s="6293"/>
      <c r="H281" s="6293"/>
      <c r="I281" s="6293"/>
      <c r="J281" s="6238"/>
      <c r="K281" s="6133"/>
      <c r="L281" s="6133"/>
      <c r="M281" s="6133"/>
      <c r="N281" s="6133"/>
      <c r="O281" s="6133"/>
      <c r="P281" s="6133"/>
      <c r="Q281" s="6133"/>
      <c r="R281" s="6133"/>
      <c r="S281" s="6133"/>
      <c r="T281" s="6133"/>
      <c r="U281" s="6135"/>
      <c r="V281" s="6135"/>
      <c r="W281" s="6135"/>
      <c r="X281" s="6135"/>
      <c r="Y281" s="6135"/>
    </row>
    <row r="282">
      <c r="A282" s="6274" t="s">
        <v>6579</v>
      </c>
      <c r="B282" s="6274"/>
      <c r="C282" s="6274"/>
      <c r="D282" s="6274"/>
      <c r="E282" s="6274"/>
      <c r="F282" s="6274"/>
      <c r="G282" s="6274"/>
      <c r="H282" s="6274"/>
      <c r="I282" s="6274"/>
      <c r="J282" s="6274"/>
      <c r="K282" s="6133"/>
      <c r="L282" s="6133"/>
      <c r="M282" s="6133"/>
      <c r="N282" s="6133"/>
      <c r="O282" s="6133"/>
      <c r="P282" s="6133"/>
      <c r="Q282" s="6133"/>
      <c r="R282" s="6133"/>
      <c r="S282" s="6133"/>
      <c r="T282" s="6133"/>
      <c r="U282" s="6135"/>
      <c r="V282" s="6135"/>
      <c r="W282" s="6135"/>
      <c r="X282" s="6135"/>
      <c r="Y282" s="6135"/>
    </row>
    <row r="283">
      <c r="A283" s="6275" t="s">
        <v>6313</v>
      </c>
      <c r="B283" s="6223" t="s">
        <v>6314</v>
      </c>
      <c r="C283" s="6223"/>
      <c r="D283" s="6225" t="s">
        <v>6315</v>
      </c>
      <c r="E283" s="6228" t="s">
        <v>6316</v>
      </c>
      <c r="F283" s="6228" t="s">
        <v>6317</v>
      </c>
      <c r="G283" s="6276" t="s">
        <v>6335</v>
      </c>
      <c r="H283" s="6228" t="s">
        <v>6319</v>
      </c>
      <c r="I283" s="6228" t="s">
        <v>6320</v>
      </c>
      <c r="J283" s="6228" t="s">
        <v>6321</v>
      </c>
      <c r="K283" s="6133"/>
      <c r="L283" s="6133"/>
      <c r="M283" s="6133"/>
      <c r="N283" s="6133"/>
      <c r="O283" s="6133"/>
      <c r="P283" s="6133"/>
      <c r="Q283" s="6133"/>
      <c r="R283" s="6133"/>
      <c r="S283" s="6133"/>
      <c r="T283" s="6133"/>
      <c r="U283" s="6135"/>
      <c r="V283" s="6135"/>
      <c r="W283" s="6135"/>
      <c r="X283" s="6135"/>
      <c r="Y283" s="6135"/>
    </row>
    <row r="284">
      <c r="A284" s="6176" t="s">
        <v>6580</v>
      </c>
      <c r="B284" s="6143">
        <v>46218</v>
      </c>
      <c r="C284" s="6143" t="str">
        <v>Wednesday</v>
      </c>
      <c r="D284" s="6147" t="s">
        <v>6581</v>
      </c>
      <c r="E284" s="6147">
        <f t="shared" ref="E284:E286" si="75">24*MOD(TIMEVALUE(TRIM(MID(D284,FIND("-",D284)+1,LEN(D284)))) - TIMEVALUE(TRIM(LEFT(D284,FIND("-",D284)-1))),1)</f>
      </c>
      <c r="F284" s="6147" t="s">
        <v>6470</v>
      </c>
      <c r="G284" s="6294" t="s">
        <v>6532</v>
      </c>
      <c r="H284" s="6147"/>
      <c r="I284" s="6283" t="s">
        <v>6326</v>
      </c>
      <c r="J284" s="6295"/>
      <c r="K284" s="6133"/>
      <c r="L284" s="6133"/>
      <c r="M284" s="6133"/>
      <c r="N284" s="6133"/>
      <c r="O284" s="6133"/>
      <c r="P284" s="6133"/>
      <c r="Q284" s="6133"/>
      <c r="R284" s="6133"/>
      <c r="S284" s="6133"/>
      <c r="T284" s="6133"/>
      <c r="U284" s="6135"/>
      <c r="V284" s="6135"/>
      <c r="W284" s="6135"/>
      <c r="X284" s="6135"/>
      <c r="Y284" s="6135"/>
    </row>
    <row r="285">
      <c r="A285" s="6176" t="s">
        <v>6580</v>
      </c>
      <c r="B285" s="6143">
        <v>46219</v>
      </c>
      <c r="C285" s="6143" t="str">
        <v>Thursday</v>
      </c>
      <c r="D285" s="6147" t="s">
        <v>6582</v>
      </c>
      <c r="E285" s="6147">
        <f t="shared" si="75"/>
      </c>
      <c r="F285" s="6147" t="s">
        <v>6470</v>
      </c>
      <c r="G285" s="6294" t="s">
        <v>6583</v>
      </c>
      <c r="H285" s="6147"/>
      <c r="I285" s="6283"/>
      <c r="J285" s="6295"/>
      <c r="K285" s="6133"/>
      <c r="L285" s="6133"/>
      <c r="M285" s="6133"/>
      <c r="N285" s="6133"/>
      <c r="O285" s="6133"/>
      <c r="P285" s="6133"/>
      <c r="Q285" s="6133"/>
      <c r="R285" s="6133"/>
      <c r="S285" s="6133"/>
      <c r="T285" s="6133"/>
      <c r="U285" s="6135"/>
      <c r="V285" s="6135"/>
      <c r="W285" s="6135"/>
      <c r="X285" s="6135"/>
      <c r="Y285" s="6135"/>
    </row>
    <row r="286">
      <c r="A286" s="6176" t="s">
        <v>6542</v>
      </c>
      <c r="B286" s="6143">
        <v>46219</v>
      </c>
      <c r="C286" s="6143" t="str">
        <v>Thursday</v>
      </c>
      <c r="D286" s="6147" t="s">
        <v>6584</v>
      </c>
      <c r="E286" s="6147">
        <f t="shared" si="75"/>
      </c>
      <c r="F286" s="6147" t="s">
        <v>6519</v>
      </c>
      <c r="G286" s="6294"/>
      <c r="H286" s="6147"/>
      <c r="I286" s="6144" t="s">
        <v>6326</v>
      </c>
      <c r="J286" s="6295"/>
      <c r="K286" s="6133"/>
      <c r="L286" s="6133"/>
      <c r="M286" s="6133"/>
      <c r="N286" s="6133"/>
      <c r="O286" s="6133"/>
      <c r="P286" s="6133"/>
      <c r="Q286" s="6133"/>
      <c r="R286" s="6133"/>
      <c r="S286" s="6133"/>
      <c r="T286" s="6133"/>
      <c r="U286" s="6135"/>
      <c r="V286" s="6135"/>
      <c r="W286" s="6135"/>
      <c r="X286" s="6135"/>
      <c r="Y286" s="6135"/>
    </row>
    <row r="287">
      <c r="A287" s="6176"/>
      <c r="B287" s="6143"/>
      <c r="C287" s="6143"/>
      <c r="D287" s="6147"/>
      <c r="E287" s="6147"/>
      <c r="F287" s="6147"/>
      <c r="G287" s="6294"/>
      <c r="H287" s="6147"/>
      <c r="I287" s="6283"/>
      <c r="J287" s="6295"/>
      <c r="K287" s="6133"/>
      <c r="L287" s="6133"/>
      <c r="M287" s="6133"/>
      <c r="N287" s="6133"/>
      <c r="O287" s="6133"/>
      <c r="P287" s="6133"/>
      <c r="Q287" s="6133"/>
      <c r="R287" s="6133"/>
      <c r="S287" s="6133"/>
      <c r="T287" s="6133"/>
      <c r="U287" s="6135"/>
      <c r="V287" s="6135"/>
      <c r="W287" s="6135"/>
      <c r="X287" s="6135"/>
      <c r="Y287" s="6135"/>
    </row>
    <row r="288">
      <c r="A288" s="6229" t="s">
        <v>6585</v>
      </c>
      <c r="B288" s="6229"/>
      <c r="C288" s="6229"/>
      <c r="D288" s="6229"/>
      <c r="E288" s="6229"/>
      <c r="F288" s="6229"/>
      <c r="G288" s="6229"/>
      <c r="H288" s="6229"/>
      <c r="I288" s="6229"/>
      <c r="J288" s="6229"/>
      <c r="K288" s="6133"/>
      <c r="L288" s="6133"/>
      <c r="M288" s="6133"/>
      <c r="N288" s="6133"/>
      <c r="O288" s="6133"/>
      <c r="P288" s="6133"/>
      <c r="Q288" s="6133"/>
      <c r="R288" s="6133"/>
      <c r="S288" s="6133"/>
      <c r="T288" s="6133"/>
      <c r="U288" s="6135"/>
      <c r="V288" s="6135"/>
      <c r="W288" s="6135"/>
      <c r="X288" s="6135"/>
      <c r="Y288" s="6135"/>
    </row>
    <row r="289">
      <c r="A289" s="6230" t="s">
        <v>6313</v>
      </c>
      <c r="B289" s="6231" t="s">
        <v>6314</v>
      </c>
      <c r="C289" s="6231"/>
      <c r="D289" s="6232" t="s">
        <v>6315</v>
      </c>
      <c r="E289" s="6233" t="s">
        <v>6316</v>
      </c>
      <c r="F289" s="6233" t="s">
        <v>6317</v>
      </c>
      <c r="G289" s="6233"/>
      <c r="H289" s="6235" t="s">
        <v>6319</v>
      </c>
      <c r="I289" s="6236" t="s">
        <v>6320</v>
      </c>
      <c r="J289" s="6236" t="s">
        <v>6321</v>
      </c>
      <c r="K289" s="6133"/>
      <c r="L289" s="6133"/>
      <c r="M289" s="6133"/>
      <c r="N289" s="6133"/>
      <c r="O289" s="6133"/>
      <c r="P289" s="6133"/>
      <c r="Q289" s="6133"/>
      <c r="R289" s="6133"/>
      <c r="S289" s="6133"/>
      <c r="T289" s="6133"/>
      <c r="U289" s="6135"/>
      <c r="V289" s="6135"/>
      <c r="W289" s="6135"/>
      <c r="X289" s="6135"/>
      <c r="Y289" s="6135"/>
    </row>
    <row r="290">
      <c r="A290" s="6143" t="s">
        <v>6586</v>
      </c>
      <c r="B290" s="6143">
        <v>46217</v>
      </c>
      <c r="C290" s="6143" t="str">
        <v>Tuesday</v>
      </c>
      <c r="D290" s="6144" t="s">
        <v>6587</v>
      </c>
      <c r="E290" s="6144">
        <v>2</v>
      </c>
      <c r="F290" s="6144" t="s">
        <v>6398</v>
      </c>
      <c r="G290" s="6294" t="s">
        <v>6588</v>
      </c>
      <c r="H290" s="6148" t="s">
        <v>6325</v>
      </c>
      <c r="I290" s="6144" t="s">
        <v>6326</v>
      </c>
      <c r="J290" s="6192"/>
      <c r="K290" s="6133"/>
      <c r="L290" s="6133"/>
      <c r="M290" s="6133"/>
      <c r="N290" s="6133"/>
      <c r="O290" s="6133"/>
      <c r="P290" s="6133"/>
      <c r="Q290" s="6133"/>
      <c r="R290" s="6133"/>
      <c r="S290" s="6133"/>
      <c r="T290" s="6133"/>
      <c r="U290" s="6135"/>
      <c r="V290" s="6135"/>
      <c r="W290" s="6135"/>
      <c r="X290" s="6135"/>
      <c r="Y290" s="6135"/>
    </row>
    <row r="291">
      <c r="A291" s="6143" t="s">
        <v>6586</v>
      </c>
      <c r="B291" s="6143">
        <v>46220</v>
      </c>
      <c r="C291" s="6143" t="str">
        <v>Friday</v>
      </c>
      <c r="D291" s="6144" t="s">
        <v>6350</v>
      </c>
      <c r="E291" s="6144">
        <f t="shared" ref="E291:E293" si="76">24*MOD(TIMEVALUE(TRIM(MID(D291,FIND("-",D291)+1,LEN(D291)))) - TIMEVALUE(TRIM(LEFT(D291,FIND("-",D291)-1))),1)</f>
      </c>
      <c r="F291" s="6144" t="s">
        <v>6344</v>
      </c>
      <c r="G291" s="6294" t="s">
        <v>6589</v>
      </c>
      <c r="H291" s="6148" t="s">
        <v>6325</v>
      </c>
      <c r="I291" s="6144" t="s">
        <v>6326</v>
      </c>
      <c r="J291" s="6295"/>
      <c r="K291" s="6133"/>
      <c r="L291" s="6133"/>
      <c r="M291" s="6133"/>
      <c r="N291" s="6133"/>
      <c r="O291" s="6133"/>
      <c r="P291" s="6133"/>
      <c r="Q291" s="6133"/>
      <c r="R291" s="6133"/>
      <c r="S291" s="6133"/>
      <c r="T291" s="6133"/>
      <c r="U291" s="6135"/>
      <c r="V291" s="6135"/>
      <c r="W291" s="6135"/>
      <c r="X291" s="6135"/>
      <c r="Y291" s="6135"/>
    </row>
    <row r="292">
      <c r="A292" s="6143" t="s">
        <v>6590</v>
      </c>
      <c r="B292" s="6143">
        <v>46220</v>
      </c>
      <c r="C292" s="6143" t="str">
        <v>Friday</v>
      </c>
      <c r="D292" s="6144" t="s">
        <v>6477</v>
      </c>
      <c r="E292" s="6144">
        <f t="shared" si="76"/>
      </c>
      <c r="F292" s="6144" t="s">
        <v>6344</v>
      </c>
      <c r="G292" s="6294" t="s">
        <v>6588</v>
      </c>
      <c r="H292" s="6148" t="s">
        <v>6325</v>
      </c>
      <c r="I292" s="6144" t="s">
        <v>6326</v>
      </c>
      <c r="J292" s="6295"/>
      <c r="K292" s="6133"/>
      <c r="L292" s="6133"/>
      <c r="M292" s="6133"/>
      <c r="N292" s="6133"/>
      <c r="O292" s="6133"/>
      <c r="P292" s="6133"/>
      <c r="Q292" s="6133"/>
      <c r="R292" s="6133"/>
      <c r="S292" s="6133"/>
      <c r="T292" s="6133"/>
      <c r="U292" s="6135"/>
      <c r="V292" s="6135"/>
      <c r="W292" s="6135"/>
      <c r="X292" s="6135"/>
      <c r="Y292" s="6135"/>
    </row>
    <row r="293">
      <c r="A293" s="6143" t="s">
        <v>6591</v>
      </c>
      <c r="B293" s="6143">
        <v>46220</v>
      </c>
      <c r="C293" s="6143" t="str">
        <v>Friday</v>
      </c>
      <c r="D293" s="6144" t="s">
        <v>6350</v>
      </c>
      <c r="E293" s="6144">
        <f t="shared" si="76"/>
      </c>
      <c r="F293" s="6147" t="s">
        <v>6497</v>
      </c>
      <c r="G293" s="6294" t="s">
        <v>6588</v>
      </c>
      <c r="H293" s="6148" t="s">
        <v>6325</v>
      </c>
      <c r="I293" s="6144" t="s">
        <v>6326</v>
      </c>
      <c r="J293" s="6192"/>
      <c r="K293" s="6133"/>
      <c r="L293" s="6133"/>
      <c r="M293" s="6133"/>
      <c r="N293" s="6133"/>
      <c r="O293" s="6133"/>
      <c r="P293" s="6133"/>
      <c r="Q293" s="6133"/>
      <c r="R293" s="6133"/>
      <c r="S293" s="6133"/>
      <c r="T293" s="6133"/>
      <c r="U293" s="6135"/>
      <c r="V293" s="6135"/>
      <c r="W293" s="6135"/>
      <c r="X293" s="6135"/>
      <c r="Y293" s="6135"/>
    </row>
    <row r="294">
      <c r="A294" s="6238"/>
      <c r="B294" s="6238"/>
      <c r="C294" s="6238"/>
      <c r="D294" s="6238"/>
      <c r="E294" s="6238"/>
      <c r="F294" s="6238"/>
      <c r="G294" s="6296"/>
      <c r="H294" s="6238"/>
      <c r="I294" s="6238"/>
      <c r="J294" s="6238"/>
      <c r="K294" s="6133"/>
      <c r="L294" s="6133"/>
      <c r="M294" s="6133"/>
      <c r="N294" s="6133"/>
      <c r="O294" s="6133"/>
      <c r="P294" s="6133"/>
      <c r="Q294" s="6133"/>
      <c r="R294" s="6133"/>
      <c r="S294" s="6133"/>
      <c r="T294" s="6133"/>
      <c r="U294" s="6135"/>
      <c r="V294" s="6135"/>
      <c r="W294" s="6135"/>
      <c r="X294" s="6135"/>
      <c r="Y294" s="6135"/>
    </row>
    <row r="295">
      <c r="A295" s="6297" t="s">
        <v>6592</v>
      </c>
      <c r="B295" s="6297"/>
      <c r="C295" s="6297"/>
      <c r="D295" s="6297"/>
      <c r="E295" s="6297"/>
      <c r="F295" s="6297"/>
      <c r="G295" s="6297"/>
      <c r="H295" s="6297"/>
      <c r="I295" s="6297"/>
      <c r="J295" s="6297"/>
      <c r="K295" s="6133"/>
      <c r="L295" s="6133"/>
      <c r="M295" s="6133"/>
      <c r="N295" s="6133"/>
      <c r="O295" s="6133"/>
      <c r="P295" s="6133"/>
      <c r="Q295" s="6133"/>
      <c r="R295" s="6133"/>
      <c r="S295" s="6133"/>
      <c r="T295" s="6133"/>
      <c r="U295" s="6135"/>
      <c r="V295" s="6135"/>
      <c r="W295" s="6135"/>
      <c r="X295" s="6135"/>
      <c r="Y295" s="6135"/>
    </row>
    <row r="296">
      <c r="A296" s="6298" t="s">
        <v>6313</v>
      </c>
      <c r="B296" s="6299" t="s">
        <v>6314</v>
      </c>
      <c r="C296" s="6299"/>
      <c r="D296" s="6300" t="s">
        <v>6315</v>
      </c>
      <c r="E296" s="6300" t="s">
        <v>6316</v>
      </c>
      <c r="F296" s="6300" t="s">
        <v>6317</v>
      </c>
      <c r="G296" s="6301" t="s">
        <v>6335</v>
      </c>
      <c r="H296" s="6300" t="s">
        <v>6319</v>
      </c>
      <c r="I296" s="6300" t="s">
        <v>6320</v>
      </c>
      <c r="J296" s="6300" t="s">
        <v>6321</v>
      </c>
      <c r="K296" s="6133"/>
      <c r="L296" s="6133"/>
      <c r="M296" s="6133"/>
      <c r="N296" s="6133"/>
      <c r="O296" s="6133"/>
      <c r="P296" s="6133"/>
      <c r="Q296" s="6133"/>
      <c r="R296" s="6133"/>
      <c r="S296" s="6133"/>
      <c r="T296" s="6133"/>
      <c r="U296" s="6135"/>
      <c r="V296" s="6135"/>
      <c r="W296" s="6135"/>
      <c r="X296" s="6135"/>
      <c r="Y296" s="6135"/>
    </row>
    <row r="297">
      <c r="A297" s="6156"/>
      <c r="B297" s="6156"/>
      <c r="C297" s="6156"/>
      <c r="D297" s="6157"/>
      <c r="E297" s="6157"/>
      <c r="F297" s="6157"/>
      <c r="G297" s="6158"/>
      <c r="H297" s="6157"/>
      <c r="I297" s="6157"/>
      <c r="J297" s="6157"/>
      <c r="K297" s="6196"/>
      <c r="L297" s="6196"/>
      <c r="M297" s="6196"/>
      <c r="N297" s="6196"/>
      <c r="O297" s="6196"/>
      <c r="P297" s="6196"/>
      <c r="Q297" s="6196"/>
      <c r="R297" s="6196"/>
      <c r="S297" s="6196"/>
      <c r="T297" s="6196"/>
      <c r="U297" s="6135"/>
      <c r="V297" s="6135"/>
      <c r="W297" s="6135"/>
      <c r="X297" s="6135"/>
      <c r="Y297" s="6135"/>
    </row>
    <row r="298">
      <c r="A298" s="6156"/>
      <c r="B298" s="6156"/>
      <c r="C298" s="6156"/>
      <c r="D298" s="6157"/>
      <c r="E298" s="6157"/>
      <c r="F298" s="6157"/>
      <c r="G298" s="6158"/>
      <c r="H298" s="6157"/>
      <c r="I298" s="6157"/>
      <c r="J298" s="6157"/>
      <c r="K298" s="6196"/>
      <c r="L298" s="6196"/>
      <c r="M298" s="6196"/>
      <c r="N298" s="6196"/>
      <c r="O298" s="6196"/>
      <c r="P298" s="6196"/>
      <c r="Q298" s="6196"/>
      <c r="R298" s="6196"/>
      <c r="S298" s="6196"/>
      <c r="T298" s="6196"/>
      <c r="U298" s="6135"/>
      <c r="V298" s="6135"/>
      <c r="W298" s="6135"/>
      <c r="X298" s="6135"/>
      <c r="Y298" s="6135"/>
    </row>
    <row r="299">
      <c r="A299" s="6143"/>
      <c r="B299" s="6143"/>
      <c r="C299" s="6143"/>
      <c r="D299" s="6144"/>
      <c r="E299" s="6144"/>
      <c r="F299" s="6147"/>
      <c r="G299" s="6206"/>
      <c r="H299" s="6147"/>
      <c r="I299" s="6147"/>
      <c r="J299" s="6147"/>
      <c r="K299" s="6133"/>
      <c r="L299" s="6133"/>
      <c r="M299" s="6133"/>
      <c r="N299" s="6133"/>
      <c r="O299" s="6133"/>
      <c r="P299" s="6133"/>
      <c r="Q299" s="6133"/>
      <c r="R299" s="6133"/>
      <c r="S299" s="6133"/>
      <c r="T299" s="6133"/>
      <c r="U299" s="6135"/>
      <c r="V299" s="6135"/>
      <c r="W299" s="6135"/>
      <c r="X299" s="6135"/>
      <c r="Y299" s="6135"/>
    </row>
    <row r="300">
      <c r="A300" s="6143"/>
      <c r="B300" s="6143"/>
      <c r="C300" s="6143"/>
      <c r="D300" s="6144"/>
      <c r="E300" s="6144"/>
      <c r="F300" s="6147"/>
      <c r="G300" s="6206"/>
      <c r="H300" s="6147"/>
      <c r="I300" s="6147"/>
      <c r="J300" s="6147"/>
      <c r="K300" s="6133"/>
      <c r="L300" s="6133"/>
      <c r="M300" s="6133"/>
      <c r="N300" s="6133"/>
      <c r="O300" s="6133"/>
      <c r="P300" s="6133"/>
      <c r="Q300" s="6133"/>
      <c r="R300" s="6133"/>
      <c r="S300" s="6133"/>
      <c r="T300" s="6133"/>
      <c r="U300" s="6135"/>
      <c r="V300" s="6135"/>
      <c r="W300" s="6135"/>
      <c r="X300" s="6135"/>
      <c r="Y300" s="6135"/>
    </row>
    <row r="301">
      <c r="A301" s="6156"/>
      <c r="B301" s="6156"/>
      <c r="C301" s="6156"/>
      <c r="D301" s="6157"/>
      <c r="E301" s="6157"/>
      <c r="F301" s="6157"/>
      <c r="G301" s="6158"/>
      <c r="H301" s="6157"/>
      <c r="I301" s="6157"/>
      <c r="J301" s="6157"/>
      <c r="K301" s="6196"/>
      <c r="L301" s="6196"/>
      <c r="M301" s="6196"/>
      <c r="N301" s="6196"/>
      <c r="O301" s="6196"/>
      <c r="P301" s="6196"/>
      <c r="Q301" s="6196"/>
      <c r="R301" s="6196"/>
      <c r="S301" s="6196"/>
      <c r="T301" s="6196"/>
      <c r="U301" s="6135"/>
      <c r="V301" s="6135"/>
      <c r="W301" s="6135"/>
      <c r="X301" s="6135"/>
      <c r="Y301" s="6135"/>
    </row>
    <row r="302">
      <c r="A302" s="6156"/>
      <c r="B302" s="6156"/>
      <c r="C302" s="6156"/>
      <c r="D302" s="6157"/>
      <c r="E302" s="6157"/>
      <c r="F302" s="6157"/>
      <c r="G302" s="6158"/>
      <c r="H302" s="6157"/>
      <c r="I302" s="6157"/>
      <c r="J302" s="6157"/>
      <c r="K302" s="6196"/>
      <c r="L302" s="6196"/>
      <c r="M302" s="6196"/>
      <c r="N302" s="6196"/>
      <c r="O302" s="6196"/>
      <c r="P302" s="6196"/>
      <c r="Q302" s="6196"/>
      <c r="R302" s="6196"/>
      <c r="S302" s="6196"/>
      <c r="T302" s="6196"/>
      <c r="U302" s="6135"/>
      <c r="V302" s="6135"/>
      <c r="W302" s="6135"/>
      <c r="X302" s="6135"/>
      <c r="Y302" s="6135"/>
    </row>
    <row r="303">
      <c r="A303" s="6238"/>
      <c r="B303" s="6238"/>
      <c r="C303" s="6238"/>
      <c r="D303" s="6135"/>
      <c r="E303" s="6238"/>
      <c r="F303" s="6238"/>
      <c r="G303" s="6296"/>
      <c r="H303" s="6238"/>
      <c r="I303" s="6238"/>
      <c r="J303" s="6238"/>
      <c r="K303" s="6133"/>
      <c r="L303" s="6133"/>
      <c r="M303" s="6133"/>
      <c r="N303" s="6133"/>
      <c r="O303" s="6133"/>
      <c r="P303" s="6133"/>
      <c r="Q303" s="6133"/>
      <c r="R303" s="6133"/>
      <c r="S303" s="6133"/>
      <c r="T303" s="6133"/>
      <c r="U303" s="6135"/>
      <c r="V303" s="6135"/>
      <c r="W303" s="6135"/>
      <c r="X303" s="6135"/>
      <c r="Y303" s="6135"/>
    </row>
    <row r="304">
      <c r="A304" s="6181" t="s">
        <v>6593</v>
      </c>
      <c r="B304" s="6181"/>
      <c r="C304" s="6181"/>
      <c r="D304" s="6181"/>
      <c r="E304" s="6181"/>
      <c r="F304" s="6181"/>
      <c r="G304" s="6181"/>
      <c r="H304" s="6181"/>
      <c r="I304" s="6181"/>
      <c r="J304" s="6181"/>
      <c r="K304" s="6166"/>
      <c r="L304" s="6166"/>
      <c r="M304" s="6166"/>
      <c r="N304" s="6166"/>
      <c r="O304" s="6133"/>
      <c r="P304" s="6133"/>
      <c r="Q304" s="6133"/>
      <c r="R304" s="6133"/>
      <c r="S304" s="6133"/>
      <c r="T304" s="6133"/>
      <c r="U304" s="6135"/>
      <c r="V304" s="6135"/>
      <c r="W304" s="6135"/>
      <c r="X304" s="6135"/>
      <c r="Y304" s="6135"/>
    </row>
    <row r="305">
      <c r="A305" s="6181"/>
      <c r="B305" s="6181"/>
      <c r="C305" s="6181"/>
      <c r="D305" s="6181"/>
      <c r="E305" s="6181"/>
      <c r="F305" s="6181"/>
      <c r="G305" s="6181"/>
      <c r="H305" s="6181"/>
      <c r="I305" s="6181"/>
      <c r="J305" s="6181"/>
      <c r="K305" s="6166"/>
      <c r="L305" s="6166"/>
      <c r="M305" s="6166"/>
      <c r="N305" s="6166"/>
      <c r="O305" s="6133"/>
      <c r="P305" s="6133"/>
      <c r="Q305" s="6133"/>
      <c r="R305" s="6133"/>
      <c r="S305" s="6133"/>
      <c r="T305" s="6133"/>
      <c r="U305" s="6135"/>
      <c r="V305" s="6135"/>
      <c r="W305" s="6135"/>
      <c r="X305" s="6135"/>
      <c r="Y305" s="6135"/>
    </row>
    <row r="306">
      <c r="A306" s="6183" t="s">
        <v>6313</v>
      </c>
      <c r="B306" s="6184" t="s">
        <v>6314</v>
      </c>
      <c r="C306" s="6184"/>
      <c r="D306" s="6185" t="s">
        <v>6315</v>
      </c>
      <c r="E306" s="6185" t="s">
        <v>6316</v>
      </c>
      <c r="F306" s="6185" t="s">
        <v>6317</v>
      </c>
      <c r="G306" s="6186" t="s">
        <v>6335</v>
      </c>
      <c r="H306" s="6185" t="s">
        <v>6319</v>
      </c>
      <c r="I306" s="6185" t="s">
        <v>6320</v>
      </c>
      <c r="J306" s="6185" t="s">
        <v>6321</v>
      </c>
      <c r="K306" s="6166"/>
      <c r="L306" s="6166"/>
      <c r="M306" s="6166"/>
      <c r="N306" s="6166"/>
      <c r="O306" s="6133"/>
      <c r="P306" s="6133"/>
      <c r="Q306" s="6133"/>
      <c r="R306" s="6133"/>
      <c r="S306" s="6133"/>
      <c r="T306" s="6133"/>
      <c r="U306" s="6135"/>
      <c r="V306" s="6135"/>
      <c r="W306" s="6135"/>
      <c r="X306" s="6135"/>
      <c r="Y306" s="6135"/>
    </row>
    <row r="307">
      <c r="A307" s="6143"/>
      <c r="B307" s="6143"/>
      <c r="C307" s="6143"/>
      <c r="D307" s="6144"/>
      <c r="E307" s="6144"/>
      <c r="F307" s="6147"/>
      <c r="G307" s="6206"/>
      <c r="H307" s="6147"/>
      <c r="I307" s="6144"/>
      <c r="J307" s="6147"/>
      <c r="K307" s="6166"/>
      <c r="L307" s="6166"/>
      <c r="M307" s="6166"/>
      <c r="N307" s="6166"/>
      <c r="O307" s="6133"/>
      <c r="P307" s="6133"/>
      <c r="Q307" s="6133"/>
      <c r="R307" s="6133"/>
      <c r="S307" s="6133"/>
      <c r="T307" s="6133"/>
      <c r="U307" s="6135"/>
      <c r="V307" s="6135"/>
      <c r="W307" s="6135"/>
      <c r="X307" s="6135"/>
      <c r="Y307" s="6135"/>
    </row>
    <row r="308">
      <c r="A308" s="6143"/>
      <c r="B308" s="6143"/>
      <c r="C308" s="6143"/>
      <c r="D308" s="6144"/>
      <c r="E308" s="6144"/>
      <c r="F308" s="6261"/>
      <c r="G308" s="6206"/>
      <c r="H308" s="6147"/>
      <c r="I308" s="6144"/>
      <c r="J308" s="6147"/>
      <c r="K308" s="6166"/>
      <c r="L308" s="6166"/>
      <c r="M308" s="6166"/>
      <c r="N308" s="6166"/>
      <c r="O308" s="6133"/>
      <c r="P308" s="6133"/>
      <c r="Q308" s="6133"/>
      <c r="R308" s="6133"/>
      <c r="S308" s="6133"/>
      <c r="T308" s="6133"/>
      <c r="U308" s="6135"/>
      <c r="V308" s="6135"/>
      <c r="W308" s="6135"/>
      <c r="X308" s="6135"/>
      <c r="Y308" s="6135"/>
    </row>
    <row r="309">
      <c r="A309" s="6143"/>
      <c r="B309" s="6143"/>
      <c r="C309" s="6143"/>
      <c r="D309" s="6144"/>
      <c r="E309" s="6144"/>
      <c r="F309" s="6147"/>
      <c r="G309" s="6206"/>
      <c r="H309" s="6147"/>
      <c r="I309" s="6144"/>
      <c r="J309" s="6147"/>
      <c r="K309" s="6166"/>
      <c r="L309" s="6166"/>
      <c r="M309" s="6166"/>
      <c r="N309" s="6166"/>
      <c r="O309" s="6133"/>
      <c r="P309" s="6133"/>
      <c r="Q309" s="6133"/>
      <c r="R309" s="6133"/>
      <c r="S309" s="6133"/>
      <c r="T309" s="6133"/>
      <c r="U309" s="6135"/>
      <c r="V309" s="6135"/>
      <c r="W309" s="6135"/>
      <c r="X309" s="6135"/>
      <c r="Y309" s="6135"/>
    </row>
    <row r="310">
      <c r="A310" s="6143"/>
      <c r="B310" s="6143"/>
      <c r="C310" s="6143"/>
      <c r="D310" s="6144"/>
      <c r="E310" s="6144"/>
      <c r="F310" s="6261"/>
      <c r="G310" s="6206"/>
      <c r="H310" s="6147"/>
      <c r="I310" s="6144"/>
      <c r="J310" s="6147"/>
      <c r="K310" s="6166"/>
      <c r="L310" s="6166"/>
      <c r="M310" s="6166"/>
      <c r="N310" s="6166"/>
      <c r="O310" s="6133"/>
      <c r="P310" s="6133"/>
      <c r="Q310" s="6133"/>
      <c r="R310" s="6133"/>
      <c r="S310" s="6133"/>
      <c r="T310" s="6133"/>
      <c r="U310" s="6135"/>
      <c r="V310" s="6135"/>
      <c r="W310" s="6135"/>
      <c r="X310" s="6135"/>
      <c r="Y310" s="6135"/>
    </row>
    <row r="311">
      <c r="A311" s="6143"/>
      <c r="B311" s="6143"/>
      <c r="C311" s="6143"/>
      <c r="D311" s="6144"/>
      <c r="E311" s="6144"/>
      <c r="F311" s="6261"/>
      <c r="G311" s="6206"/>
      <c r="H311" s="6147"/>
      <c r="I311" s="6144"/>
      <c r="J311" s="6147"/>
      <c r="K311" s="6166"/>
      <c r="L311" s="6166"/>
      <c r="M311" s="6166"/>
      <c r="N311" s="6166"/>
      <c r="O311" s="6133"/>
      <c r="P311" s="6133"/>
      <c r="Q311" s="6133"/>
      <c r="R311" s="6133"/>
      <c r="S311" s="6133"/>
      <c r="T311" s="6133"/>
      <c r="U311" s="6135"/>
      <c r="V311" s="6135"/>
      <c r="W311" s="6135"/>
      <c r="X311" s="6135"/>
      <c r="Y311" s="6135"/>
    </row>
    <row r="312">
      <c r="A312" s="6302" t="s">
        <v>6594</v>
      </c>
      <c r="B312" s="6302"/>
      <c r="C312" s="6302"/>
      <c r="D312" s="6302"/>
      <c r="E312" s="6302"/>
      <c r="F312" s="6302"/>
      <c r="G312" s="6302"/>
      <c r="H312" s="6302"/>
      <c r="I312" s="6302"/>
      <c r="J312" s="6302"/>
      <c r="K312" s="6133"/>
      <c r="L312" s="6133"/>
      <c r="M312" s="6133"/>
      <c r="N312" s="6133"/>
      <c r="O312" s="6133"/>
      <c r="P312" s="6133"/>
      <c r="Q312" s="6133"/>
      <c r="R312" s="6133"/>
      <c r="S312" s="6133"/>
      <c r="T312" s="6133"/>
      <c r="U312" s="6135"/>
      <c r="V312" s="6135"/>
      <c r="W312" s="6135"/>
      <c r="X312" s="6135"/>
      <c r="Y312" s="6135"/>
    </row>
    <row r="313">
      <c r="A313" s="6303" t="s">
        <v>6313</v>
      </c>
      <c r="B313" s="6304" t="s">
        <v>6314</v>
      </c>
      <c r="C313" s="6304"/>
      <c r="D313" s="6305" t="s">
        <v>6315</v>
      </c>
      <c r="E313" s="6305" t="s">
        <v>6316</v>
      </c>
      <c r="F313" s="6305" t="s">
        <v>6317</v>
      </c>
      <c r="G313" s="6306" t="s">
        <v>6335</v>
      </c>
      <c r="H313" s="6305" t="s">
        <v>6319</v>
      </c>
      <c r="I313" s="6305" t="s">
        <v>6320</v>
      </c>
      <c r="J313" s="6305" t="s">
        <v>6321</v>
      </c>
      <c r="K313" s="6133"/>
      <c r="L313" s="6133"/>
      <c r="M313" s="6133"/>
      <c r="N313" s="6133"/>
      <c r="O313" s="6133"/>
      <c r="P313" s="6133"/>
      <c r="Q313" s="6133"/>
      <c r="R313" s="6133"/>
      <c r="S313" s="6133"/>
      <c r="T313" s="6133"/>
      <c r="U313" s="6135"/>
      <c r="V313" s="6135"/>
      <c r="W313" s="6135"/>
      <c r="X313" s="6135"/>
      <c r="Y313" s="6135"/>
    </row>
    <row r="314">
      <c r="A314" s="6307" t="s">
        <v>6595</v>
      </c>
      <c r="B314" s="6307">
        <v>46217</v>
      </c>
      <c r="C314" s="6307" t="str">
        <v>Tuesday</v>
      </c>
      <c r="D314" s="6308" t="s">
        <v>6596</v>
      </c>
      <c r="E314" s="6308">
        <f t="shared" ref="E314:E347" si="77">24*MOD(TIMEVALUE(TRIM(MID(D314,FIND("-",D314)+1,LEN(D314)))) - TIMEVALUE(TRIM(LEFT(D314,FIND("-",D314)-1))),1)</f>
      </c>
      <c r="F314" s="6308" t="s">
        <v>6470</v>
      </c>
      <c r="G314" s="6309" t="s">
        <v>6597</v>
      </c>
      <c r="H314" s="6308" t="s">
        <v>6425</v>
      </c>
      <c r="I314" s="6308" t="s">
        <v>6326</v>
      </c>
      <c r="J314" s="6308"/>
      <c r="K314" s="6310"/>
      <c r="L314" s="6310"/>
      <c r="M314" s="6310"/>
      <c r="N314" s="6310"/>
      <c r="O314" s="6310"/>
      <c r="P314" s="6310"/>
      <c r="Q314" s="6310"/>
      <c r="R314" s="6310"/>
      <c r="S314" s="6310"/>
      <c r="T314" s="6310"/>
      <c r="U314" s="6311"/>
      <c r="V314" s="6311"/>
      <c r="W314" s="6311"/>
      <c r="X314" s="6311"/>
      <c r="Y314" s="6311"/>
    </row>
    <row r="315">
      <c r="A315" s="6282" t="s">
        <v>6598</v>
      </c>
      <c r="B315" s="6282">
        <v>46217</v>
      </c>
      <c r="C315" s="6282" t="str">
        <v>Tuesday</v>
      </c>
      <c r="D315" s="6283" t="s">
        <v>6472</v>
      </c>
      <c r="E315" s="6283">
        <f t="shared" si="77"/>
      </c>
      <c r="F315" s="6283" t="s">
        <v>6599</v>
      </c>
      <c r="G315" s="6284"/>
      <c r="H315" s="6283" t="s">
        <v>6425</v>
      </c>
      <c r="I315" s="6283" t="s">
        <v>6326</v>
      </c>
      <c r="J315" s="6283"/>
      <c r="K315" s="6220"/>
      <c r="L315" s="6220"/>
      <c r="M315" s="6220"/>
      <c r="N315" s="6220"/>
      <c r="O315" s="6220"/>
      <c r="P315" s="6220"/>
      <c r="Q315" s="6220"/>
      <c r="R315" s="6220"/>
      <c r="S315" s="6220"/>
      <c r="T315" s="6220"/>
      <c r="U315" s="6135"/>
      <c r="V315" s="6135"/>
      <c r="W315" s="6135"/>
      <c r="X315" s="6135"/>
      <c r="Y315" s="6135"/>
    </row>
    <row r="316">
      <c r="A316" s="6282" t="s">
        <v>6598</v>
      </c>
      <c r="B316" s="6282">
        <v>46217</v>
      </c>
      <c r="C316" s="6282" t="str">
        <v>Tuesday</v>
      </c>
      <c r="D316" s="6283" t="s">
        <v>6600</v>
      </c>
      <c r="E316" s="6283">
        <f t="shared" si="77"/>
      </c>
      <c r="F316" s="6283" t="s">
        <v>6601</v>
      </c>
      <c r="G316" s="6284"/>
      <c r="H316" s="6283" t="s">
        <v>6425</v>
      </c>
      <c r="I316" s="6283" t="s">
        <v>6326</v>
      </c>
      <c r="J316" s="6283"/>
      <c r="K316" s="6220"/>
      <c r="L316" s="6220"/>
      <c r="M316" s="6220"/>
      <c r="N316" s="6220"/>
      <c r="O316" s="6220"/>
      <c r="P316" s="6220"/>
      <c r="Q316" s="6220"/>
      <c r="R316" s="6220"/>
      <c r="S316" s="6220"/>
      <c r="T316" s="6220"/>
      <c r="U316" s="6135"/>
      <c r="V316" s="6135"/>
      <c r="W316" s="6135"/>
      <c r="X316" s="6135"/>
      <c r="Y316" s="6135"/>
    </row>
    <row r="317">
      <c r="A317" s="6282" t="s">
        <v>6598</v>
      </c>
      <c r="B317" s="6282">
        <v>46217</v>
      </c>
      <c r="C317" s="6282" t="str">
        <v>Tuesday</v>
      </c>
      <c r="D317" s="6283" t="s">
        <v>6343</v>
      </c>
      <c r="E317" s="6283">
        <f t="shared" si="77"/>
      </c>
      <c r="F317" s="6283" t="s">
        <v>6602</v>
      </c>
      <c r="G317" s="6284"/>
      <c r="H317" s="6283" t="s">
        <v>6425</v>
      </c>
      <c r="I317" s="6283" t="s">
        <v>6326</v>
      </c>
      <c r="J317" s="6283"/>
      <c r="K317" s="6220"/>
      <c r="L317" s="6220"/>
      <c r="M317" s="6220"/>
      <c r="N317" s="6220"/>
      <c r="O317" s="6220"/>
      <c r="P317" s="6220"/>
      <c r="Q317" s="6220"/>
      <c r="R317" s="6220"/>
      <c r="S317" s="6220"/>
      <c r="T317" s="6220"/>
      <c r="U317" s="6134"/>
      <c r="V317" s="6134"/>
      <c r="W317" s="6134"/>
      <c r="X317" s="6134"/>
      <c r="Y317" s="6134"/>
    </row>
    <row r="318">
      <c r="A318" s="6282" t="s">
        <v>6598</v>
      </c>
      <c r="B318" s="6282">
        <v>46217</v>
      </c>
      <c r="C318" s="6282" t="str">
        <v>Tuesday</v>
      </c>
      <c r="D318" s="6283" t="s">
        <v>6603</v>
      </c>
      <c r="E318" s="6283">
        <f t="shared" si="77"/>
      </c>
      <c r="F318" s="6283" t="s">
        <v>6599</v>
      </c>
      <c r="G318" s="6284"/>
      <c r="H318" s="6283" t="s">
        <v>6425</v>
      </c>
      <c r="I318" s="6283" t="s">
        <v>6326</v>
      </c>
      <c r="J318" s="6283"/>
      <c r="K318" s="6220"/>
      <c r="L318" s="6220"/>
      <c r="M318" s="6220"/>
      <c r="N318" s="6220"/>
      <c r="O318" s="6220"/>
      <c r="P318" s="6220"/>
      <c r="Q318" s="6220"/>
      <c r="R318" s="6220"/>
      <c r="S318" s="6220"/>
      <c r="T318" s="6220"/>
      <c r="U318" s="6135"/>
      <c r="V318" s="6135"/>
      <c r="W318" s="6135"/>
      <c r="X318" s="6135"/>
      <c r="Y318" s="6135"/>
    </row>
    <row r="319">
      <c r="A319" s="6143" t="s">
        <v>6598</v>
      </c>
      <c r="B319" s="6143">
        <v>46218</v>
      </c>
      <c r="C319" s="6143" t="str">
        <v>Wednesday</v>
      </c>
      <c r="D319" s="6144" t="s">
        <v>6472</v>
      </c>
      <c r="E319" s="6144">
        <f t="shared" si="77"/>
      </c>
      <c r="F319" s="6144" t="s">
        <v>6599</v>
      </c>
      <c r="G319" s="6163"/>
      <c r="H319" s="6144" t="s">
        <v>6425</v>
      </c>
      <c r="I319" s="6144" t="s">
        <v>6326</v>
      </c>
      <c r="J319" s="6144"/>
      <c r="K319" s="6133"/>
      <c r="L319" s="6133"/>
      <c r="M319" s="6133"/>
      <c r="N319" s="6133"/>
      <c r="O319" s="6133"/>
      <c r="P319" s="6133"/>
      <c r="Q319" s="6133"/>
      <c r="R319" s="6133"/>
      <c r="S319" s="6133"/>
      <c r="T319" s="6133"/>
      <c r="U319" s="6135"/>
      <c r="V319" s="6135"/>
      <c r="W319" s="6135"/>
      <c r="X319" s="6135"/>
      <c r="Y319" s="6135"/>
    </row>
    <row r="320">
      <c r="A320" s="6143" t="s">
        <v>6598</v>
      </c>
      <c r="B320" s="6143">
        <v>46218</v>
      </c>
      <c r="C320" s="6143" t="str">
        <v>Wednesday</v>
      </c>
      <c r="D320" s="6144" t="s">
        <v>6600</v>
      </c>
      <c r="E320" s="6144">
        <f t="shared" si="77"/>
      </c>
      <c r="F320" s="6144" t="s">
        <v>6601</v>
      </c>
      <c r="G320" s="6163"/>
      <c r="H320" s="6144" t="s">
        <v>6425</v>
      </c>
      <c r="I320" s="6144" t="s">
        <v>6326</v>
      </c>
      <c r="J320" s="6144"/>
      <c r="K320" s="6133"/>
      <c r="L320" s="6133"/>
      <c r="M320" s="6133"/>
      <c r="N320" s="6133"/>
      <c r="O320" s="6133"/>
      <c r="P320" s="6133"/>
      <c r="Q320" s="6133"/>
      <c r="R320" s="6133"/>
      <c r="S320" s="6133"/>
      <c r="T320" s="6133"/>
      <c r="U320" s="6135"/>
      <c r="V320" s="6135"/>
      <c r="W320" s="6135"/>
      <c r="X320" s="6135"/>
      <c r="Y320" s="6135"/>
    </row>
    <row r="321">
      <c r="A321" s="6143" t="s">
        <v>6598</v>
      </c>
      <c r="B321" s="6143">
        <v>46218</v>
      </c>
      <c r="C321" s="6143" t="str">
        <v>Wednesday</v>
      </c>
      <c r="D321" s="6144" t="s">
        <v>6346</v>
      </c>
      <c r="E321" s="6144">
        <f t="shared" si="77"/>
      </c>
      <c r="F321" s="6144" t="s">
        <v>6470</v>
      </c>
      <c r="G321" s="6163"/>
      <c r="H321" s="6144" t="s">
        <v>6425</v>
      </c>
      <c r="I321" s="6144"/>
      <c r="J321" s="6144"/>
      <c r="K321" s="6133"/>
      <c r="L321" s="6133"/>
      <c r="M321" s="6133"/>
      <c r="N321" s="6133"/>
      <c r="O321" s="6133"/>
      <c r="P321" s="6133"/>
      <c r="Q321" s="6133"/>
      <c r="R321" s="6133"/>
      <c r="S321" s="6133"/>
      <c r="T321" s="6133"/>
      <c r="U321" s="6135"/>
      <c r="V321" s="6135"/>
      <c r="W321" s="6135"/>
      <c r="X321" s="6135"/>
      <c r="Y321" s="6135"/>
    </row>
    <row r="322">
      <c r="A322" s="6143" t="s">
        <v>6598</v>
      </c>
      <c r="B322" s="6143">
        <v>46218</v>
      </c>
      <c r="C322" s="6143" t="str">
        <v>Wednesday</v>
      </c>
      <c r="D322" s="6144" t="s">
        <v>6604</v>
      </c>
      <c r="E322" s="6144">
        <f t="shared" si="77"/>
      </c>
      <c r="F322" s="6144" t="s">
        <v>6602</v>
      </c>
      <c r="G322" s="6163"/>
      <c r="H322" s="6144" t="s">
        <v>6425</v>
      </c>
      <c r="I322" s="6144" t="s">
        <v>6326</v>
      </c>
      <c r="J322" s="6144"/>
      <c r="K322" s="6133"/>
      <c r="L322" s="6133"/>
      <c r="M322" s="6133"/>
      <c r="N322" s="6133"/>
      <c r="O322" s="6133"/>
      <c r="P322" s="6133"/>
      <c r="Q322" s="6133"/>
      <c r="R322" s="6133"/>
      <c r="S322" s="6133"/>
      <c r="T322" s="6133"/>
      <c r="U322" s="6135"/>
      <c r="V322" s="6135"/>
      <c r="W322" s="6135"/>
      <c r="X322" s="6135"/>
      <c r="Y322" s="6135"/>
    </row>
    <row r="323">
      <c r="A323" s="6282" t="s">
        <v>6598</v>
      </c>
      <c r="B323" s="6282">
        <v>46219</v>
      </c>
      <c r="C323" s="6282" t="str">
        <v>Thursday</v>
      </c>
      <c r="D323" s="6283" t="s">
        <v>6472</v>
      </c>
      <c r="E323" s="6283">
        <f t="shared" si="77"/>
      </c>
      <c r="F323" s="6283" t="s">
        <v>6599</v>
      </c>
      <c r="G323" s="6284"/>
      <c r="H323" s="6283" t="s">
        <v>6425</v>
      </c>
      <c r="I323" s="6283" t="s">
        <v>6326</v>
      </c>
      <c r="J323" s="6283"/>
      <c r="K323" s="6220"/>
      <c r="L323" s="6220"/>
      <c r="M323" s="6220"/>
      <c r="N323" s="6220"/>
      <c r="O323" s="6220"/>
      <c r="P323" s="6220"/>
      <c r="Q323" s="6220"/>
      <c r="R323" s="6220"/>
      <c r="S323" s="6220"/>
      <c r="T323" s="6220"/>
      <c r="U323" s="6135"/>
      <c r="V323" s="6135"/>
      <c r="W323" s="6135"/>
      <c r="X323" s="6135"/>
      <c r="Y323" s="6135"/>
    </row>
    <row r="324">
      <c r="A324" s="6282" t="s">
        <v>6598</v>
      </c>
      <c r="B324" s="6282">
        <v>46219</v>
      </c>
      <c r="C324" s="6282" t="str">
        <v>Thursday</v>
      </c>
      <c r="D324" s="6283" t="s">
        <v>6605</v>
      </c>
      <c r="E324" s="6312">
        <f t="shared" si="77"/>
      </c>
      <c r="F324" s="6283" t="s">
        <v>6601</v>
      </c>
      <c r="G324" s="6284"/>
      <c r="H324" s="6283" t="s">
        <v>6425</v>
      </c>
      <c r="I324" s="6283" t="s">
        <v>6326</v>
      </c>
      <c r="J324" s="6283"/>
      <c r="K324" s="6220"/>
      <c r="L324" s="6220"/>
      <c r="M324" s="6220"/>
      <c r="N324" s="6220"/>
      <c r="O324" s="6220"/>
      <c r="P324" s="6220"/>
      <c r="Q324" s="6220"/>
      <c r="R324" s="6220"/>
      <c r="S324" s="6220"/>
      <c r="T324" s="6220"/>
      <c r="U324" s="6135"/>
      <c r="V324" s="6135"/>
      <c r="W324" s="6135"/>
      <c r="X324" s="6135"/>
      <c r="Y324" s="6135"/>
    </row>
    <row r="325">
      <c r="A325" s="6282" t="s">
        <v>6598</v>
      </c>
      <c r="B325" s="6282">
        <v>46219</v>
      </c>
      <c r="C325" s="6282" t="str">
        <v>Thursday</v>
      </c>
      <c r="D325" s="6283" t="s">
        <v>6606</v>
      </c>
      <c r="E325" s="6283">
        <f t="shared" si="77"/>
      </c>
      <c r="F325" s="6283" t="s">
        <v>6470</v>
      </c>
      <c r="G325" s="6284"/>
      <c r="H325" s="6283" t="s">
        <v>6425</v>
      </c>
      <c r="I325" s="6283"/>
      <c r="J325" s="6283"/>
      <c r="K325" s="6220"/>
      <c r="L325" s="6220"/>
      <c r="M325" s="6220"/>
      <c r="N325" s="6220"/>
      <c r="O325" s="6220"/>
      <c r="P325" s="6220"/>
      <c r="Q325" s="6220"/>
      <c r="R325" s="6220"/>
      <c r="S325" s="6220"/>
      <c r="T325" s="6220"/>
      <c r="U325" s="6135"/>
      <c r="V325" s="6135"/>
      <c r="W325" s="6135"/>
      <c r="X325" s="6135"/>
      <c r="Y325" s="6135"/>
    </row>
    <row r="326">
      <c r="A326" s="6282" t="s">
        <v>6598</v>
      </c>
      <c r="B326" s="6282">
        <v>46219</v>
      </c>
      <c r="C326" s="6282" t="str">
        <v>Thursday</v>
      </c>
      <c r="D326" s="6283" t="s">
        <v>6604</v>
      </c>
      <c r="E326" s="6283">
        <f t="shared" si="77"/>
      </c>
      <c r="F326" s="6283" t="s">
        <v>6602</v>
      </c>
      <c r="G326" s="6284"/>
      <c r="H326" s="6283" t="s">
        <v>6425</v>
      </c>
      <c r="I326" s="6283" t="s">
        <v>6326</v>
      </c>
      <c r="J326" s="6283"/>
      <c r="K326" s="6220"/>
      <c r="L326" s="6220"/>
      <c r="M326" s="6220"/>
      <c r="N326" s="6220"/>
      <c r="O326" s="6220"/>
      <c r="P326" s="6220"/>
      <c r="Q326" s="6220"/>
      <c r="R326" s="6220"/>
      <c r="S326" s="6220"/>
      <c r="T326" s="6220"/>
      <c r="U326" s="6135"/>
      <c r="V326" s="6135"/>
      <c r="W326" s="6135"/>
      <c r="X326" s="6135"/>
      <c r="Y326" s="6135"/>
    </row>
    <row r="327">
      <c r="A327" s="6143" t="s">
        <v>6598</v>
      </c>
      <c r="B327" s="6143">
        <v>46220</v>
      </c>
      <c r="C327" s="6143" t="str">
        <v>Friday</v>
      </c>
      <c r="D327" s="6144" t="s">
        <v>6430</v>
      </c>
      <c r="E327" s="6144">
        <f t="shared" si="77"/>
      </c>
      <c r="F327" s="6144" t="s">
        <v>6599</v>
      </c>
      <c r="G327" s="6163"/>
      <c r="H327" s="6144" t="s">
        <v>6425</v>
      </c>
      <c r="I327" s="6144" t="s">
        <v>6326</v>
      </c>
      <c r="J327" s="6144"/>
      <c r="K327" s="6133"/>
      <c r="L327" s="6133"/>
      <c r="M327" s="6133"/>
      <c r="N327" s="6133"/>
      <c r="O327" s="6133"/>
      <c r="P327" s="6133"/>
      <c r="Q327" s="6133"/>
      <c r="R327" s="6133"/>
      <c r="S327" s="6133"/>
      <c r="T327" s="6133"/>
      <c r="U327" s="6135"/>
      <c r="V327" s="6135"/>
      <c r="W327" s="6135"/>
      <c r="X327" s="6135"/>
      <c r="Y327" s="6135"/>
    </row>
    <row r="328">
      <c r="A328" s="6143" t="s">
        <v>6598</v>
      </c>
      <c r="B328" s="6143">
        <v>46220</v>
      </c>
      <c r="C328" s="6143" t="str">
        <v>Friday</v>
      </c>
      <c r="D328" s="6144" t="s">
        <v>6607</v>
      </c>
      <c r="E328" s="6144">
        <f t="shared" si="77"/>
      </c>
      <c r="F328" s="6144" t="s">
        <v>6601</v>
      </c>
      <c r="G328" s="6163"/>
      <c r="H328" s="6144" t="s">
        <v>6425</v>
      </c>
      <c r="I328" s="6144" t="s">
        <v>6326</v>
      </c>
      <c r="J328" s="6144"/>
      <c r="K328" s="6133"/>
      <c r="L328" s="6133"/>
      <c r="M328" s="6133"/>
      <c r="N328" s="6133"/>
      <c r="O328" s="6133"/>
      <c r="P328" s="6133"/>
      <c r="Q328" s="6133"/>
      <c r="R328" s="6133"/>
      <c r="S328" s="6133"/>
      <c r="T328" s="6133"/>
      <c r="U328" s="6135"/>
      <c r="V328" s="6135"/>
      <c r="W328" s="6135"/>
      <c r="X328" s="6135"/>
      <c r="Y328" s="6135"/>
    </row>
    <row r="329">
      <c r="A329" s="6143" t="s">
        <v>6598</v>
      </c>
      <c r="B329" s="6143">
        <v>46220</v>
      </c>
      <c r="C329" s="6143" t="str">
        <v>Friday</v>
      </c>
      <c r="D329" s="6144" t="s">
        <v>6608</v>
      </c>
      <c r="E329" s="6144">
        <f t="shared" si="77"/>
      </c>
      <c r="F329" s="6144" t="s">
        <v>6470</v>
      </c>
      <c r="G329" s="6313"/>
      <c r="H329" s="6144" t="s">
        <v>6425</v>
      </c>
      <c r="I329" s="6144"/>
      <c r="J329" s="6144"/>
      <c r="K329" s="6133"/>
      <c r="L329" s="6133"/>
      <c r="M329" s="6133"/>
      <c r="N329" s="6133"/>
      <c r="O329" s="6133"/>
      <c r="P329" s="6133"/>
      <c r="Q329" s="6133"/>
      <c r="R329" s="6133"/>
      <c r="S329" s="6133"/>
      <c r="T329" s="6133"/>
      <c r="U329" s="6135"/>
      <c r="V329" s="6135"/>
      <c r="W329" s="6135"/>
      <c r="X329" s="6135"/>
      <c r="Y329" s="6135"/>
    </row>
    <row r="330">
      <c r="A330" s="6143" t="s">
        <v>6598</v>
      </c>
      <c r="B330" s="6143">
        <v>46220</v>
      </c>
      <c r="C330" s="6143" t="str">
        <v>Friday</v>
      </c>
      <c r="D330" s="6144" t="s">
        <v>6609</v>
      </c>
      <c r="E330" s="6144">
        <f t="shared" si="77"/>
      </c>
      <c r="F330" s="6144" t="s">
        <v>6602</v>
      </c>
      <c r="G330" s="6163"/>
      <c r="H330" s="6144" t="s">
        <v>6425</v>
      </c>
      <c r="I330" s="6144" t="s">
        <v>6326</v>
      </c>
      <c r="J330" s="6144"/>
      <c r="K330" s="6133"/>
      <c r="L330" s="6133"/>
      <c r="M330" s="6133"/>
      <c r="N330" s="6133"/>
      <c r="O330" s="6133"/>
      <c r="P330" s="6133"/>
      <c r="Q330" s="6133"/>
      <c r="R330" s="6133"/>
      <c r="S330" s="6133"/>
      <c r="T330" s="6133"/>
      <c r="U330" s="6135"/>
      <c r="V330" s="6135"/>
      <c r="W330" s="6135"/>
      <c r="X330" s="6135"/>
      <c r="Y330" s="6135"/>
    </row>
    <row r="331">
      <c r="A331" s="6282" t="s">
        <v>6598</v>
      </c>
      <c r="B331" s="6282">
        <v>46221</v>
      </c>
      <c r="C331" s="6282" t="str">
        <v>Saturday</v>
      </c>
      <c r="D331" s="6283" t="s">
        <v>6610</v>
      </c>
      <c r="E331" s="6283">
        <f t="shared" si="77"/>
      </c>
      <c r="F331" s="6283" t="s">
        <v>6602</v>
      </c>
      <c r="G331" s="6284"/>
      <c r="H331" s="6283" t="s">
        <v>6425</v>
      </c>
      <c r="I331" s="6283" t="s">
        <v>6326</v>
      </c>
      <c r="J331" s="6283"/>
      <c r="K331" s="6220"/>
      <c r="L331" s="6220"/>
      <c r="M331" s="6220"/>
      <c r="N331" s="6220"/>
      <c r="O331" s="6220"/>
      <c r="P331" s="6220"/>
      <c r="Q331" s="6220"/>
      <c r="R331" s="6220"/>
      <c r="S331" s="6220"/>
      <c r="T331" s="6220"/>
      <c r="U331" s="6135"/>
      <c r="V331" s="6135"/>
      <c r="W331" s="6135"/>
      <c r="X331" s="6135"/>
      <c r="Y331" s="6135"/>
    </row>
    <row r="332">
      <c r="A332" s="6143" t="s">
        <v>6598</v>
      </c>
      <c r="B332" s="6143">
        <v>46222</v>
      </c>
      <c r="C332" s="6143" t="str">
        <v>Sunday</v>
      </c>
      <c r="D332" s="6144" t="s">
        <v>6611</v>
      </c>
      <c r="E332" s="6144">
        <f t="shared" si="77"/>
      </c>
      <c r="F332" s="6144" t="s">
        <v>6602</v>
      </c>
      <c r="G332" s="6163"/>
      <c r="H332" s="6144" t="s">
        <v>6425</v>
      </c>
      <c r="I332" s="6144" t="s">
        <v>6326</v>
      </c>
      <c r="J332" s="6314"/>
      <c r="K332" s="6133"/>
      <c r="L332" s="6133"/>
      <c r="M332" s="6133"/>
      <c r="N332" s="6133"/>
      <c r="O332" s="6133"/>
      <c r="P332" s="6133"/>
      <c r="Q332" s="6133"/>
      <c r="R332" s="6133"/>
      <c r="S332" s="6133"/>
      <c r="T332" s="6133"/>
      <c r="U332" s="6135"/>
      <c r="V332" s="6135"/>
      <c r="W332" s="6135"/>
      <c r="X332" s="6135"/>
      <c r="Y332" s="6135"/>
    </row>
    <row r="333">
      <c r="A333" s="6315" t="s">
        <v>6612</v>
      </c>
      <c r="B333" s="6315">
        <v>46217</v>
      </c>
      <c r="C333" s="6315" t="str">
        <v>Tuesday</v>
      </c>
      <c r="D333" s="6316" t="s">
        <v>6613</v>
      </c>
      <c r="E333" s="6317">
        <f t="shared" si="77"/>
      </c>
      <c r="F333" s="6317" t="s">
        <v>6614</v>
      </c>
      <c r="G333" s="6318"/>
      <c r="H333" s="6317" t="s">
        <v>6425</v>
      </c>
      <c r="I333" s="6317" t="s">
        <v>6326</v>
      </c>
      <c r="J333" s="6319"/>
      <c r="K333" s="6320"/>
      <c r="L333" s="6320"/>
      <c r="M333" s="6320"/>
      <c r="N333" s="6320"/>
      <c r="O333" s="6320"/>
      <c r="P333" s="6320"/>
      <c r="Q333" s="6320"/>
      <c r="R333" s="6320"/>
      <c r="S333" s="6320"/>
      <c r="T333" s="6320"/>
      <c r="U333" s="6135"/>
      <c r="V333" s="6135"/>
      <c r="W333" s="6135"/>
      <c r="X333" s="6135"/>
      <c r="Y333" s="6135"/>
    </row>
    <row r="334">
      <c r="A334" s="6315" t="s">
        <v>6612</v>
      </c>
      <c r="B334" s="6315">
        <v>46217</v>
      </c>
      <c r="C334" s="6315" t="str">
        <v>Tuesday</v>
      </c>
      <c r="D334" s="6316" t="s">
        <v>6480</v>
      </c>
      <c r="E334" s="6317">
        <f t="shared" si="77"/>
      </c>
      <c r="F334" s="6317" t="s">
        <v>6615</v>
      </c>
      <c r="G334" s="6318"/>
      <c r="H334" s="6317" t="s">
        <v>6425</v>
      </c>
      <c r="I334" s="6317" t="s">
        <v>6326</v>
      </c>
      <c r="J334" s="6319"/>
      <c r="K334" s="6320"/>
      <c r="L334" s="6320"/>
      <c r="M334" s="6320"/>
      <c r="N334" s="6320"/>
      <c r="O334" s="6320"/>
      <c r="P334" s="6320"/>
      <c r="Q334" s="6320"/>
      <c r="R334" s="6320"/>
      <c r="S334" s="6320"/>
      <c r="T334" s="6320"/>
      <c r="U334" s="6135"/>
      <c r="V334" s="6135"/>
      <c r="W334" s="6135"/>
      <c r="X334" s="6135"/>
      <c r="Y334" s="6135"/>
    </row>
    <row r="335">
      <c r="A335" s="6315" t="s">
        <v>6612</v>
      </c>
      <c r="B335" s="6315">
        <v>46217</v>
      </c>
      <c r="C335" s="6315" t="str">
        <v>Tuesday</v>
      </c>
      <c r="D335" s="6316" t="s">
        <v>6603</v>
      </c>
      <c r="E335" s="6317">
        <f t="shared" si="77"/>
      </c>
      <c r="F335" s="6317" t="s">
        <v>6497</v>
      </c>
      <c r="G335" s="6318"/>
      <c r="H335" s="6317" t="s">
        <v>6425</v>
      </c>
      <c r="I335" s="6317"/>
      <c r="J335" s="6319"/>
      <c r="K335" s="6320"/>
      <c r="L335" s="6320"/>
      <c r="M335" s="6320"/>
      <c r="N335" s="6320"/>
      <c r="O335" s="6320"/>
      <c r="P335" s="6320"/>
      <c r="Q335" s="6320"/>
      <c r="R335" s="6320"/>
      <c r="S335" s="6320"/>
      <c r="T335" s="6320"/>
      <c r="U335" s="6135"/>
      <c r="V335" s="6135"/>
      <c r="W335" s="6135"/>
      <c r="X335" s="6135"/>
      <c r="Y335" s="6135"/>
    </row>
    <row r="336">
      <c r="A336" s="6143" t="s">
        <v>6612</v>
      </c>
      <c r="B336" s="6143">
        <v>46218</v>
      </c>
      <c r="C336" s="6143" t="str">
        <v>Wednesday</v>
      </c>
      <c r="D336" s="6321" t="s">
        <v>6616</v>
      </c>
      <c r="E336" s="6144">
        <f t="shared" si="77"/>
      </c>
      <c r="F336" s="6144" t="s">
        <v>6614</v>
      </c>
      <c r="G336" s="6163"/>
      <c r="H336" s="6144" t="s">
        <v>6425</v>
      </c>
      <c r="I336" s="6144" t="s">
        <v>6326</v>
      </c>
      <c r="J336" s="6314"/>
      <c r="K336" s="6133"/>
      <c r="L336" s="6133"/>
      <c r="M336" s="6133"/>
      <c r="N336" s="6133"/>
      <c r="O336" s="6133"/>
      <c r="P336" s="6133"/>
      <c r="Q336" s="6133"/>
      <c r="R336" s="6133"/>
      <c r="S336" s="6133"/>
      <c r="T336" s="6133"/>
      <c r="U336" s="6135"/>
      <c r="V336" s="6135"/>
      <c r="W336" s="6135"/>
      <c r="X336" s="6135"/>
      <c r="Y336" s="6135"/>
    </row>
    <row r="337">
      <c r="A337" s="6143" t="s">
        <v>6612</v>
      </c>
      <c r="B337" s="6143">
        <v>46218</v>
      </c>
      <c r="C337" s="6143" t="str">
        <v>Wednesday</v>
      </c>
      <c r="D337" s="6321" t="s">
        <v>6617</v>
      </c>
      <c r="E337" s="6144">
        <f t="shared" si="77"/>
      </c>
      <c r="F337" s="6144" t="s">
        <v>6615</v>
      </c>
      <c r="G337" s="6163"/>
      <c r="H337" s="6144" t="s">
        <v>6425</v>
      </c>
      <c r="I337" s="6144" t="s">
        <v>6326</v>
      </c>
      <c r="J337" s="6314"/>
      <c r="K337" s="6133"/>
      <c r="L337" s="6133"/>
      <c r="M337" s="6133"/>
      <c r="N337" s="6133"/>
      <c r="O337" s="6133"/>
      <c r="P337" s="6133"/>
      <c r="Q337" s="6133"/>
      <c r="R337" s="6133"/>
      <c r="S337" s="6133"/>
      <c r="T337" s="6133"/>
      <c r="U337" s="6135"/>
      <c r="V337" s="6135"/>
      <c r="W337" s="6135"/>
      <c r="X337" s="6135"/>
      <c r="Y337" s="6135"/>
    </row>
    <row r="338">
      <c r="A338" s="6143" t="s">
        <v>6612</v>
      </c>
      <c r="B338" s="6143">
        <v>46218</v>
      </c>
      <c r="C338" s="6143" t="str">
        <v>Wednesday</v>
      </c>
      <c r="D338" s="6321" t="s">
        <v>6618</v>
      </c>
      <c r="E338" s="6144">
        <f t="shared" si="77"/>
      </c>
      <c r="F338" s="6144" t="s">
        <v>6497</v>
      </c>
      <c r="G338" s="6163"/>
      <c r="H338" s="6144" t="s">
        <v>6425</v>
      </c>
      <c r="I338" s="6144"/>
      <c r="J338" s="6314"/>
      <c r="K338" s="6133"/>
      <c r="L338" s="6133"/>
      <c r="M338" s="6133"/>
      <c r="N338" s="6133"/>
      <c r="O338" s="6133"/>
      <c r="P338" s="6133"/>
      <c r="Q338" s="6133"/>
      <c r="R338" s="6133"/>
      <c r="S338" s="6133"/>
      <c r="T338" s="6133"/>
      <c r="U338" s="6135"/>
      <c r="V338" s="6135"/>
      <c r="W338" s="6135"/>
      <c r="X338" s="6135"/>
      <c r="Y338" s="6135"/>
    </row>
    <row r="339">
      <c r="A339" s="6315" t="s">
        <v>6612</v>
      </c>
      <c r="B339" s="6315">
        <v>46219</v>
      </c>
      <c r="C339" s="6315" t="str">
        <v>Thursday</v>
      </c>
      <c r="D339" s="6316" t="s">
        <v>6613</v>
      </c>
      <c r="E339" s="6317">
        <f t="shared" si="77"/>
      </c>
      <c r="F339" s="6317" t="s">
        <v>6614</v>
      </c>
      <c r="G339" s="6318"/>
      <c r="H339" s="6317" t="s">
        <v>6425</v>
      </c>
      <c r="I339" s="6317" t="s">
        <v>6326</v>
      </c>
      <c r="J339" s="6319"/>
      <c r="K339" s="6320"/>
      <c r="L339" s="6320"/>
      <c r="M339" s="6320"/>
      <c r="N339" s="6320"/>
      <c r="O339" s="6320"/>
      <c r="P339" s="6320"/>
      <c r="Q339" s="6320"/>
      <c r="R339" s="6320"/>
      <c r="S339" s="6320"/>
      <c r="T339" s="6320"/>
      <c r="U339" s="6135"/>
      <c r="V339" s="6135"/>
      <c r="W339" s="6135"/>
      <c r="X339" s="6135"/>
      <c r="Y339" s="6135"/>
    </row>
    <row r="340">
      <c r="A340" s="6315" t="s">
        <v>6612</v>
      </c>
      <c r="B340" s="6315">
        <v>46219</v>
      </c>
      <c r="C340" s="6315" t="str">
        <v>Thursday</v>
      </c>
      <c r="D340" s="6317" t="s">
        <v>6619</v>
      </c>
      <c r="E340" s="6317">
        <f t="shared" si="77"/>
      </c>
      <c r="F340" s="6317" t="s">
        <v>6615</v>
      </c>
      <c r="G340" s="6318"/>
      <c r="H340" s="6317" t="s">
        <v>6425</v>
      </c>
      <c r="I340" s="6317" t="s">
        <v>6326</v>
      </c>
      <c r="J340" s="6319"/>
      <c r="K340" s="6320"/>
      <c r="L340" s="6320"/>
      <c r="M340" s="6320"/>
      <c r="N340" s="6320"/>
      <c r="O340" s="6320"/>
      <c r="P340" s="6320"/>
      <c r="Q340" s="6320"/>
      <c r="R340" s="6320"/>
      <c r="S340" s="6320"/>
      <c r="T340" s="6320"/>
      <c r="U340" s="6135"/>
      <c r="V340" s="6135"/>
      <c r="W340" s="6135"/>
      <c r="X340" s="6135"/>
      <c r="Y340" s="6135"/>
    </row>
    <row r="341">
      <c r="A341" s="6315" t="s">
        <v>6612</v>
      </c>
      <c r="B341" s="6315">
        <v>46219</v>
      </c>
      <c r="C341" s="6315" t="str">
        <v>Thursday</v>
      </c>
      <c r="D341" s="6317" t="s">
        <v>6604</v>
      </c>
      <c r="E341" s="6317">
        <f t="shared" si="77"/>
      </c>
      <c r="F341" s="6317" t="s">
        <v>6497</v>
      </c>
      <c r="G341" s="6318"/>
      <c r="H341" s="6317" t="s">
        <v>6425</v>
      </c>
      <c r="I341" s="6317"/>
      <c r="J341" s="6319"/>
      <c r="K341" s="6320"/>
      <c r="L341" s="6320"/>
      <c r="M341" s="6320"/>
      <c r="N341" s="6320"/>
      <c r="O341" s="6320"/>
      <c r="P341" s="6320"/>
      <c r="Q341" s="6320"/>
      <c r="R341" s="6320"/>
      <c r="S341" s="6320"/>
      <c r="T341" s="6320"/>
      <c r="U341" s="6135"/>
      <c r="V341" s="6135"/>
      <c r="W341" s="6135"/>
      <c r="X341" s="6135"/>
      <c r="Y341" s="6135"/>
    </row>
    <row r="342">
      <c r="A342" s="6143" t="s">
        <v>6612</v>
      </c>
      <c r="B342" s="6143">
        <v>46220</v>
      </c>
      <c r="C342" s="6143" t="str">
        <v>Friday</v>
      </c>
      <c r="D342" s="6321" t="s">
        <v>6620</v>
      </c>
      <c r="E342" s="6144">
        <f t="shared" si="77"/>
      </c>
      <c r="F342" s="6144" t="s">
        <v>6614</v>
      </c>
      <c r="G342" s="6163"/>
      <c r="H342" s="6144" t="s">
        <v>6425</v>
      </c>
      <c r="I342" s="6144" t="s">
        <v>6326</v>
      </c>
      <c r="J342" s="6314"/>
      <c r="K342" s="6133"/>
      <c r="L342" s="6133"/>
      <c r="M342" s="6133"/>
      <c r="N342" s="6133"/>
      <c r="O342" s="6133"/>
      <c r="P342" s="6133"/>
      <c r="Q342" s="6133"/>
      <c r="R342" s="6133"/>
      <c r="S342" s="6133"/>
      <c r="T342" s="6133"/>
      <c r="U342" s="6135"/>
      <c r="V342" s="6135"/>
      <c r="W342" s="6135"/>
      <c r="X342" s="6135"/>
      <c r="Y342" s="6135"/>
    </row>
    <row r="343">
      <c r="A343" s="6143" t="s">
        <v>6612</v>
      </c>
      <c r="B343" s="6143">
        <v>46220</v>
      </c>
      <c r="C343" s="6143" t="str">
        <v>Friday</v>
      </c>
      <c r="D343" s="6321" t="s">
        <v>6621</v>
      </c>
      <c r="E343" s="6144">
        <f t="shared" si="77"/>
      </c>
      <c r="F343" s="6144" t="s">
        <v>6615</v>
      </c>
      <c r="G343" s="6163"/>
      <c r="H343" s="6144" t="s">
        <v>6425</v>
      </c>
      <c r="I343" s="6144" t="s">
        <v>6326</v>
      </c>
      <c r="J343" s="6314"/>
      <c r="K343" s="6133"/>
      <c r="L343" s="6133"/>
      <c r="M343" s="6133"/>
      <c r="N343" s="6133"/>
      <c r="O343" s="6133"/>
      <c r="P343" s="6133"/>
      <c r="Q343" s="6133"/>
      <c r="R343" s="6133"/>
      <c r="S343" s="6133"/>
      <c r="T343" s="6133"/>
      <c r="U343" s="6135"/>
      <c r="V343" s="6135"/>
      <c r="W343" s="6135"/>
      <c r="X343" s="6135"/>
      <c r="Y343" s="6135"/>
    </row>
    <row r="344">
      <c r="A344" s="6143" t="s">
        <v>6612</v>
      </c>
      <c r="B344" s="6143">
        <v>46220</v>
      </c>
      <c r="C344" s="6143" t="str">
        <v>Friday</v>
      </c>
      <c r="D344" s="6321" t="s">
        <v>6327</v>
      </c>
      <c r="E344" s="6144">
        <f t="shared" si="77"/>
      </c>
      <c r="F344" s="6144" t="s">
        <v>6614</v>
      </c>
      <c r="G344" s="6163"/>
      <c r="H344" s="6144" t="s">
        <v>6425</v>
      </c>
      <c r="I344" s="6144" t="s">
        <v>6326</v>
      </c>
      <c r="J344" s="6314"/>
      <c r="K344" s="6133"/>
      <c r="L344" s="6133"/>
      <c r="M344" s="6133"/>
      <c r="N344" s="6133"/>
      <c r="O344" s="6133"/>
      <c r="P344" s="6133"/>
      <c r="Q344" s="6133"/>
      <c r="R344" s="6133"/>
      <c r="S344" s="6133"/>
      <c r="T344" s="6133"/>
      <c r="U344" s="6135"/>
      <c r="V344" s="6135"/>
      <c r="W344" s="6135"/>
      <c r="X344" s="6135"/>
      <c r="Y344" s="6135"/>
    </row>
    <row r="345">
      <c r="A345" s="6143" t="s">
        <v>6612</v>
      </c>
      <c r="B345" s="6143">
        <v>46220</v>
      </c>
      <c r="C345" s="6143" t="str">
        <v>Friday</v>
      </c>
      <c r="D345" s="6321" t="s">
        <v>6356</v>
      </c>
      <c r="E345" s="6144">
        <f t="shared" si="77"/>
      </c>
      <c r="F345" s="6144" t="s">
        <v>6615</v>
      </c>
      <c r="G345" s="6163"/>
      <c r="H345" s="6144" t="s">
        <v>6425</v>
      </c>
      <c r="I345" s="6144" t="s">
        <v>6326</v>
      </c>
      <c r="J345" s="6314"/>
      <c r="K345" s="6133"/>
      <c r="L345" s="6133"/>
      <c r="M345" s="6133"/>
      <c r="N345" s="6133"/>
      <c r="O345" s="6133"/>
      <c r="P345" s="6133"/>
      <c r="Q345" s="6133"/>
      <c r="R345" s="6133"/>
      <c r="S345" s="6133"/>
      <c r="T345" s="6133"/>
      <c r="U345" s="6135"/>
      <c r="V345" s="6135"/>
      <c r="W345" s="6135"/>
      <c r="X345" s="6135"/>
      <c r="Y345" s="6135"/>
    </row>
    <row r="346">
      <c r="A346" s="6315" t="s">
        <v>6612</v>
      </c>
      <c r="B346" s="6315">
        <v>46221</v>
      </c>
      <c r="C346" s="6315" t="str">
        <v>Saturday</v>
      </c>
      <c r="D346" s="6317" t="s">
        <v>6622</v>
      </c>
      <c r="E346" s="6317">
        <f t="shared" si="77"/>
      </c>
      <c r="F346" s="6317" t="s">
        <v>6497</v>
      </c>
      <c r="G346" s="6318"/>
      <c r="H346" s="6317" t="s">
        <v>6425</v>
      </c>
      <c r="I346" s="6317"/>
      <c r="J346" s="6319"/>
      <c r="K346" s="6320"/>
      <c r="L346" s="6320"/>
      <c r="M346" s="6320"/>
      <c r="N346" s="6320"/>
      <c r="O346" s="6320"/>
      <c r="P346" s="6320"/>
      <c r="Q346" s="6320"/>
      <c r="R346" s="6320"/>
      <c r="S346" s="6320"/>
      <c r="T346" s="6320"/>
      <c r="U346" s="6135"/>
      <c r="V346" s="6135"/>
      <c r="W346" s="6135"/>
      <c r="X346" s="6135"/>
      <c r="Y346" s="6135"/>
    </row>
    <row r="347">
      <c r="A347" s="6143" t="s">
        <v>6612</v>
      </c>
      <c r="B347" s="6143">
        <v>46222</v>
      </c>
      <c r="C347" s="6143" t="str">
        <v>Sunday</v>
      </c>
      <c r="D347" s="6144" t="s">
        <v>6623</v>
      </c>
      <c r="E347" s="6144">
        <f t="shared" si="77"/>
      </c>
      <c r="F347" s="6144" t="s">
        <v>6497</v>
      </c>
      <c r="G347" s="6163"/>
      <c r="H347" s="6144" t="s">
        <v>6425</v>
      </c>
      <c r="I347" s="6174"/>
      <c r="J347" s="6322"/>
      <c r="K347" s="6133"/>
      <c r="L347" s="6133"/>
      <c r="M347" s="6133"/>
      <c r="N347" s="6133"/>
      <c r="O347" s="6133"/>
      <c r="P347" s="6133"/>
      <c r="Q347" s="6133"/>
      <c r="R347" s="6133"/>
      <c r="S347" s="6133"/>
      <c r="T347" s="6133"/>
      <c r="U347" s="6135"/>
      <c r="V347" s="6135"/>
      <c r="W347" s="6135"/>
      <c r="X347" s="6135"/>
      <c r="Y347" s="6135"/>
    </row>
    <row r="348">
      <c r="A348" s="6173"/>
      <c r="B348" s="6143"/>
      <c r="C348" s="6143"/>
      <c r="D348" s="6147"/>
      <c r="E348" s="6147"/>
      <c r="F348" s="6144"/>
      <c r="G348" s="6206"/>
      <c r="H348" s="6147"/>
      <c r="I348" s="6144"/>
      <c r="J348" s="6147"/>
      <c r="K348" s="6133"/>
      <c r="L348" s="6133"/>
      <c r="M348" s="6133"/>
      <c r="N348" s="6133"/>
      <c r="O348" s="6133"/>
      <c r="P348" s="6133"/>
      <c r="Q348" s="6133"/>
      <c r="R348" s="6133"/>
      <c r="S348" s="6133"/>
      <c r="T348" s="6133"/>
      <c r="U348" s="6135"/>
      <c r="V348" s="6135"/>
      <c r="W348" s="6135"/>
      <c r="X348" s="6135"/>
      <c r="Y348" s="6135"/>
    </row>
    <row r="349">
      <c r="A349" s="6323" t="s">
        <v>6624</v>
      </c>
      <c r="B349" s="6323"/>
      <c r="C349" s="6323"/>
      <c r="D349" s="6323"/>
      <c r="E349" s="6323"/>
      <c r="F349" s="6323"/>
      <c r="G349" s="6323"/>
      <c r="H349" s="6323"/>
      <c r="I349" s="6323"/>
      <c r="J349" s="6323"/>
      <c r="K349" s="6133"/>
      <c r="L349" s="6133"/>
      <c r="M349" s="6133"/>
      <c r="N349" s="6133"/>
      <c r="O349" s="6133"/>
      <c r="P349" s="6133"/>
      <c r="Q349" s="6133"/>
      <c r="R349" s="6133"/>
      <c r="S349" s="6133"/>
      <c r="T349" s="6133"/>
      <c r="U349" s="6135"/>
      <c r="V349" s="6135"/>
      <c r="W349" s="6135"/>
      <c r="X349" s="6135"/>
      <c r="Y349" s="6135"/>
    </row>
    <row r="350">
      <c r="A350" s="6324" t="s">
        <v>6313</v>
      </c>
      <c r="B350" s="6325" t="s">
        <v>6314</v>
      </c>
      <c r="C350" s="6325"/>
      <c r="D350" s="6326" t="s">
        <v>6315</v>
      </c>
      <c r="E350" s="6326" t="s">
        <v>6316</v>
      </c>
      <c r="F350" s="6326" t="s">
        <v>6317</v>
      </c>
      <c r="G350" s="6327" t="s">
        <v>6335</v>
      </c>
      <c r="H350" s="6326" t="s">
        <v>6319</v>
      </c>
      <c r="I350" s="6326" t="s">
        <v>6320</v>
      </c>
      <c r="J350" s="6326" t="s">
        <v>6321</v>
      </c>
      <c r="K350" s="6133"/>
      <c r="L350" s="6133"/>
      <c r="M350" s="6133"/>
      <c r="N350" s="6133"/>
      <c r="O350" s="6133"/>
      <c r="P350" s="6133"/>
      <c r="Q350" s="6133"/>
      <c r="R350" s="6133"/>
      <c r="S350" s="6133"/>
      <c r="T350" s="6133"/>
      <c r="U350" s="6135"/>
      <c r="V350" s="6135"/>
      <c r="W350" s="6135"/>
      <c r="X350" s="6135"/>
      <c r="Y350" s="6135"/>
    </row>
    <row r="351">
      <c r="A351" s="6143" t="s">
        <v>6625</v>
      </c>
      <c r="B351" s="6143">
        <v>46217</v>
      </c>
      <c r="C351" s="6143" t="str">
        <v>Tuesday</v>
      </c>
      <c r="D351" s="6147" t="s">
        <v>6626</v>
      </c>
      <c r="E351" s="6147">
        <f t="shared" ref="E351:E370" si="78">24*MOD(TIMEVALUE(TRIM(MID(D351,FIND("-",D351)+1,LEN(D351)))) - TIMEVALUE(TRIM(LEFT(D351,FIND("-",D351)-1))),1)</f>
      </c>
      <c r="F351" s="6144" t="s">
        <v>6627</v>
      </c>
      <c r="G351" s="6206" t="s">
        <v>6628</v>
      </c>
      <c r="H351" s="6147" t="s">
        <v>6425</v>
      </c>
      <c r="I351" s="6147" t="s">
        <v>6326</v>
      </c>
      <c r="J351" s="6147" t="s">
        <v>6629</v>
      </c>
      <c r="K351" s="6133"/>
      <c r="L351" s="6133"/>
      <c r="M351" s="6133"/>
      <c r="N351" s="6133"/>
      <c r="O351" s="6133"/>
      <c r="P351" s="6133"/>
      <c r="Q351" s="6133"/>
      <c r="R351" s="6133"/>
      <c r="S351" s="6133"/>
      <c r="T351" s="6133"/>
      <c r="U351" s="6135"/>
      <c r="V351" s="6135"/>
      <c r="W351" s="6135"/>
      <c r="X351" s="6135"/>
      <c r="Y351" s="6135"/>
    </row>
    <row r="352">
      <c r="A352" s="6143" t="s">
        <v>6630</v>
      </c>
      <c r="B352" s="6143">
        <v>46217</v>
      </c>
      <c r="C352" s="6143" t="str">
        <v>Tuesday</v>
      </c>
      <c r="D352" s="6147" t="s">
        <v>6327</v>
      </c>
      <c r="E352" s="6147">
        <f t="shared" si="78"/>
      </c>
      <c r="F352" s="6144" t="s">
        <v>6627</v>
      </c>
      <c r="G352" s="6206"/>
      <c r="H352" s="6147" t="s">
        <v>6425</v>
      </c>
      <c r="I352" s="6147" t="s">
        <v>6326</v>
      </c>
      <c r="J352" s="6147"/>
      <c r="K352" s="6133"/>
      <c r="L352" s="6133"/>
      <c r="M352" s="6133"/>
      <c r="N352" s="6133"/>
      <c r="O352" s="6133"/>
      <c r="P352" s="6133"/>
      <c r="Q352" s="6133"/>
      <c r="R352" s="6133"/>
      <c r="S352" s="6133"/>
      <c r="T352" s="6133"/>
      <c r="U352" s="6135"/>
      <c r="V352" s="6135"/>
      <c r="W352" s="6135"/>
      <c r="X352" s="6135"/>
      <c r="Y352" s="6135"/>
    </row>
    <row r="353">
      <c r="A353" s="6143" t="s">
        <v>6630</v>
      </c>
      <c r="B353" s="6143">
        <v>46217</v>
      </c>
      <c r="C353" s="6143" t="str">
        <v>Tuesday</v>
      </c>
      <c r="D353" s="6144" t="s">
        <v>6469</v>
      </c>
      <c r="E353" s="6144">
        <f t="shared" si="78"/>
      </c>
      <c r="F353" s="6144" t="s">
        <v>6545</v>
      </c>
      <c r="G353" s="6163"/>
      <c r="H353" s="6144" t="s">
        <v>6425</v>
      </c>
      <c r="I353" s="6144" t="s">
        <v>6326</v>
      </c>
      <c r="J353" s="6144"/>
      <c r="K353" s="6133"/>
      <c r="L353" s="6133"/>
      <c r="M353" s="6133"/>
      <c r="N353" s="6133"/>
      <c r="O353" s="6133"/>
      <c r="P353" s="6133"/>
      <c r="Q353" s="6133"/>
      <c r="R353" s="6133"/>
      <c r="S353" s="6133"/>
      <c r="T353" s="6133"/>
      <c r="U353" s="6135"/>
      <c r="V353" s="6135"/>
      <c r="W353" s="6135"/>
      <c r="X353" s="6135"/>
      <c r="Y353" s="6135"/>
    </row>
    <row r="354">
      <c r="A354" s="6282" t="s">
        <v>6631</v>
      </c>
      <c r="B354" s="6282">
        <v>46217</v>
      </c>
      <c r="C354" s="6282" t="str">
        <v>Tuesday</v>
      </c>
      <c r="D354" s="6283" t="s">
        <v>6632</v>
      </c>
      <c r="E354" s="6283">
        <f t="shared" si="78"/>
      </c>
      <c r="F354" s="6283" t="s">
        <v>6633</v>
      </c>
      <c r="G354" s="6284"/>
      <c r="H354" s="6283" t="s">
        <v>6425</v>
      </c>
      <c r="I354" s="6283" t="s">
        <v>6326</v>
      </c>
      <c r="J354" s="6283"/>
      <c r="K354" s="6133"/>
      <c r="L354" s="6133"/>
      <c r="M354" s="6133"/>
      <c r="N354" s="6133"/>
      <c r="O354" s="6133"/>
      <c r="P354" s="6133"/>
      <c r="Q354" s="6133"/>
      <c r="R354" s="6133"/>
      <c r="S354" s="6133"/>
      <c r="T354" s="6133"/>
      <c r="U354" s="6135"/>
      <c r="V354" s="6135"/>
      <c r="W354" s="6135"/>
      <c r="X354" s="6135"/>
      <c r="Y354" s="6135"/>
    </row>
    <row r="355">
      <c r="A355" s="6156" t="s">
        <v>6625</v>
      </c>
      <c r="B355" s="6156">
        <v>46217</v>
      </c>
      <c r="C355" s="6156" t="str">
        <v>Tuesday</v>
      </c>
      <c r="D355" s="6157" t="s">
        <v>6634</v>
      </c>
      <c r="E355" s="6157">
        <f t="shared" si="78"/>
      </c>
      <c r="F355" s="6157" t="s">
        <v>6635</v>
      </c>
      <c r="G355" s="6158" t="s">
        <v>6636</v>
      </c>
      <c r="H355" s="6157" t="s">
        <v>6425</v>
      </c>
      <c r="I355" s="6157" t="s">
        <v>6326</v>
      </c>
      <c r="J355" s="6157" t="s">
        <v>6637</v>
      </c>
      <c r="K355" s="6133"/>
      <c r="L355" s="6133"/>
      <c r="M355" s="6133"/>
      <c r="N355" s="6133"/>
      <c r="O355" s="6133"/>
      <c r="P355" s="6133"/>
      <c r="Q355" s="6133"/>
      <c r="R355" s="6133"/>
      <c r="S355" s="6133"/>
      <c r="T355" s="6133"/>
      <c r="U355" s="6135"/>
      <c r="V355" s="6135"/>
      <c r="W355" s="6135"/>
      <c r="X355" s="6135"/>
      <c r="Y355" s="6135"/>
    </row>
    <row r="356">
      <c r="A356" s="6143" t="s">
        <v>6625</v>
      </c>
      <c r="B356" s="6143">
        <v>46218</v>
      </c>
      <c r="C356" s="6143" t="str">
        <v>Wednesday</v>
      </c>
      <c r="D356" s="6147" t="s">
        <v>6477</v>
      </c>
      <c r="E356" s="6147">
        <f t="shared" si="78"/>
      </c>
      <c r="F356" s="6144" t="s">
        <v>6638</v>
      </c>
      <c r="G356" s="6206" t="s">
        <v>6639</v>
      </c>
      <c r="H356" s="6147" t="s">
        <v>6425</v>
      </c>
      <c r="I356" s="6147" t="s">
        <v>6326</v>
      </c>
      <c r="J356" s="6147" t="s">
        <v>6640</v>
      </c>
      <c r="K356" s="6133"/>
      <c r="L356" s="6133"/>
      <c r="M356" s="6133"/>
      <c r="N356" s="6133"/>
      <c r="O356" s="6133"/>
      <c r="P356" s="6133"/>
      <c r="Q356" s="6133"/>
      <c r="R356" s="6133"/>
      <c r="S356" s="6133"/>
      <c r="T356" s="6133"/>
      <c r="U356" s="6135"/>
      <c r="V356" s="6135"/>
      <c r="W356" s="6135"/>
      <c r="X356" s="6135"/>
      <c r="Y356" s="6135"/>
    </row>
    <row r="357">
      <c r="A357" s="6143" t="s">
        <v>6630</v>
      </c>
      <c r="B357" s="6143">
        <v>46218</v>
      </c>
      <c r="C357" s="6143" t="str">
        <v>Wednesday</v>
      </c>
      <c r="D357" s="6147" t="s">
        <v>6350</v>
      </c>
      <c r="E357" s="6147">
        <f t="shared" si="78"/>
      </c>
      <c r="F357" s="6144" t="s">
        <v>6638</v>
      </c>
      <c r="G357" s="6206" t="s">
        <v>6641</v>
      </c>
      <c r="H357" s="6147" t="s">
        <v>6425</v>
      </c>
      <c r="I357" s="6147" t="s">
        <v>6326</v>
      </c>
      <c r="J357" s="6147"/>
      <c r="K357" s="6133"/>
      <c r="L357" s="6133"/>
      <c r="M357" s="6133"/>
      <c r="N357" s="6133"/>
      <c r="O357" s="6133"/>
      <c r="P357" s="6133"/>
      <c r="Q357" s="6133"/>
      <c r="R357" s="6133"/>
      <c r="S357" s="6133"/>
      <c r="T357" s="6133"/>
      <c r="U357" s="6135"/>
      <c r="V357" s="6135"/>
      <c r="W357" s="6135"/>
      <c r="X357" s="6135"/>
      <c r="Y357" s="6135"/>
    </row>
    <row r="358">
      <c r="A358" s="6143" t="s">
        <v>6630</v>
      </c>
      <c r="B358" s="6143">
        <v>46218</v>
      </c>
      <c r="C358" s="6143" t="str">
        <v>Wednesday</v>
      </c>
      <c r="D358" s="6147" t="s">
        <v>6353</v>
      </c>
      <c r="E358" s="6147">
        <f t="shared" si="78"/>
      </c>
      <c r="F358" s="6144" t="s">
        <v>6642</v>
      </c>
      <c r="G358" s="6206" t="s">
        <v>6643</v>
      </c>
      <c r="H358" s="6147" t="s">
        <v>6425</v>
      </c>
      <c r="I358" s="6147" t="s">
        <v>6326</v>
      </c>
      <c r="J358" s="6147"/>
      <c r="K358" s="6133"/>
      <c r="L358" s="6133"/>
      <c r="M358" s="6133"/>
      <c r="N358" s="6133"/>
      <c r="O358" s="6133"/>
      <c r="P358" s="6133"/>
      <c r="Q358" s="6133"/>
      <c r="R358" s="6133"/>
      <c r="S358" s="6133"/>
      <c r="T358" s="6133"/>
      <c r="U358" s="6135"/>
      <c r="V358" s="6135"/>
      <c r="W358" s="6135"/>
      <c r="X358" s="6135"/>
      <c r="Y358" s="6135"/>
    </row>
    <row r="359">
      <c r="A359" s="6282" t="s">
        <v>6631</v>
      </c>
      <c r="B359" s="6282">
        <v>46218</v>
      </c>
      <c r="C359" s="6282" t="str">
        <v>Wednesday</v>
      </c>
      <c r="D359" s="6283" t="s">
        <v>6632</v>
      </c>
      <c r="E359" s="6283">
        <f t="shared" si="78"/>
      </c>
      <c r="F359" s="6283"/>
      <c r="G359" s="6284" t="s">
        <v>6644</v>
      </c>
      <c r="H359" s="6283" t="s">
        <v>6425</v>
      </c>
      <c r="I359" s="6283" t="s">
        <v>6326</v>
      </c>
      <c r="J359" s="6283"/>
      <c r="K359" s="6133"/>
      <c r="L359" s="6133"/>
      <c r="M359" s="6133"/>
      <c r="N359" s="6133"/>
      <c r="O359" s="6133"/>
      <c r="P359" s="6133"/>
      <c r="Q359" s="6133"/>
      <c r="R359" s="6133"/>
      <c r="S359" s="6133"/>
      <c r="T359" s="6133"/>
      <c r="U359" s="6135"/>
      <c r="V359" s="6135"/>
      <c r="W359" s="6135"/>
      <c r="X359" s="6135"/>
      <c r="Y359" s="6135"/>
    </row>
    <row r="360">
      <c r="A360" s="6143" t="s">
        <v>6630</v>
      </c>
      <c r="B360" s="6143">
        <v>46219</v>
      </c>
      <c r="C360" s="6143" t="str">
        <v>Thursday</v>
      </c>
      <c r="D360" s="6144" t="s">
        <v>6645</v>
      </c>
      <c r="E360" s="6144">
        <f t="shared" si="78"/>
      </c>
      <c r="F360" s="6144" t="s">
        <v>6377</v>
      </c>
      <c r="G360" s="6163"/>
      <c r="H360" s="6147" t="s">
        <v>6425</v>
      </c>
      <c r="I360" s="6147" t="s">
        <v>6326</v>
      </c>
      <c r="J360" s="6147"/>
      <c r="K360" s="6133"/>
      <c r="L360" s="6133"/>
      <c r="M360" s="6133"/>
      <c r="N360" s="6133"/>
      <c r="O360" s="6133"/>
      <c r="P360" s="6133"/>
      <c r="Q360" s="6133"/>
      <c r="R360" s="6133"/>
      <c r="S360" s="6133"/>
      <c r="T360" s="6133"/>
      <c r="U360" s="6135"/>
      <c r="V360" s="6135"/>
      <c r="W360" s="6135"/>
      <c r="X360" s="6135"/>
      <c r="Y360" s="6135"/>
    </row>
    <row r="361">
      <c r="A361" s="6282" t="s">
        <v>6631</v>
      </c>
      <c r="B361" s="6282">
        <v>46219</v>
      </c>
      <c r="C361" s="6282" t="str">
        <v>Thursday</v>
      </c>
      <c r="D361" s="6283" t="s">
        <v>6632</v>
      </c>
      <c r="E361" s="6283">
        <f t="shared" si="78"/>
      </c>
      <c r="F361" s="6283" t="s">
        <v>6555</v>
      </c>
      <c r="G361" s="6284"/>
      <c r="H361" s="6283" t="s">
        <v>6425</v>
      </c>
      <c r="I361" s="6283" t="s">
        <v>6326</v>
      </c>
      <c r="J361" s="6283"/>
      <c r="K361" s="6133"/>
      <c r="L361" s="6133"/>
      <c r="M361" s="6133"/>
      <c r="N361" s="6133"/>
      <c r="O361" s="6133"/>
      <c r="P361" s="6133"/>
      <c r="Q361" s="6133"/>
      <c r="R361" s="6133"/>
      <c r="S361" s="6133"/>
      <c r="T361" s="6133"/>
      <c r="U361" s="6135"/>
      <c r="V361" s="6135"/>
      <c r="W361" s="6135"/>
      <c r="X361" s="6135"/>
      <c r="Y361" s="6135"/>
    </row>
    <row r="362">
      <c r="A362" s="6143" t="s">
        <v>6630</v>
      </c>
      <c r="B362" s="6143">
        <v>46220</v>
      </c>
      <c r="C362" s="6143" t="str">
        <v>Friday</v>
      </c>
      <c r="D362" s="6147" t="s">
        <v>6350</v>
      </c>
      <c r="E362" s="6147">
        <f t="shared" si="78"/>
      </c>
      <c r="F362" s="6144" t="s">
        <v>6638</v>
      </c>
      <c r="G362" s="6206"/>
      <c r="H362" s="6147" t="s">
        <v>6425</v>
      </c>
      <c r="I362" s="6147" t="s">
        <v>6326</v>
      </c>
      <c r="J362" s="6147"/>
      <c r="K362" s="6133"/>
      <c r="L362" s="6133"/>
      <c r="M362" s="6133"/>
      <c r="N362" s="6133"/>
      <c r="O362" s="6133"/>
      <c r="P362" s="6133"/>
      <c r="Q362" s="6133"/>
      <c r="R362" s="6133"/>
      <c r="S362" s="6133"/>
      <c r="T362" s="6133"/>
      <c r="U362" s="6135"/>
      <c r="V362" s="6135"/>
      <c r="W362" s="6135"/>
      <c r="X362" s="6135"/>
      <c r="Y362" s="6135"/>
    </row>
    <row r="363">
      <c r="A363" s="6143" t="s">
        <v>6630</v>
      </c>
      <c r="B363" s="6143">
        <v>46220</v>
      </c>
      <c r="C363" s="6143" t="str">
        <v>Friday</v>
      </c>
      <c r="D363" s="6147" t="s">
        <v>6353</v>
      </c>
      <c r="E363" s="6147">
        <f t="shared" si="78"/>
      </c>
      <c r="F363" s="6144" t="s">
        <v>6642</v>
      </c>
      <c r="G363" s="6206"/>
      <c r="H363" s="6147" t="s">
        <v>6425</v>
      </c>
      <c r="I363" s="6147" t="s">
        <v>6326</v>
      </c>
      <c r="J363" s="6147"/>
      <c r="K363" s="6133"/>
      <c r="L363" s="6133"/>
      <c r="M363" s="6133"/>
      <c r="N363" s="6133"/>
      <c r="O363" s="6133"/>
      <c r="P363" s="6133"/>
      <c r="Q363" s="6133"/>
      <c r="R363" s="6133"/>
      <c r="S363" s="6133"/>
      <c r="T363" s="6133"/>
      <c r="U363" s="6135"/>
      <c r="V363" s="6135"/>
      <c r="W363" s="6135"/>
      <c r="X363" s="6135"/>
      <c r="Y363" s="6135"/>
    </row>
    <row r="364">
      <c r="A364" s="6282" t="s">
        <v>6631</v>
      </c>
      <c r="B364" s="6282">
        <v>46220</v>
      </c>
      <c r="C364" s="6282" t="str">
        <v>Friday</v>
      </c>
      <c r="D364" s="6283" t="s">
        <v>6646</v>
      </c>
      <c r="E364" s="6283">
        <f t="shared" si="78"/>
      </c>
      <c r="F364" s="6283" t="s">
        <v>6555</v>
      </c>
      <c r="G364" s="6284"/>
      <c r="H364" s="6283" t="s">
        <v>6425</v>
      </c>
      <c r="I364" s="6283" t="s">
        <v>6326</v>
      </c>
      <c r="J364" s="6283" t="s">
        <v>6647</v>
      </c>
      <c r="K364" s="6133"/>
      <c r="L364" s="6133"/>
      <c r="M364" s="6133"/>
      <c r="N364" s="6133"/>
      <c r="O364" s="6133"/>
      <c r="P364" s="6133"/>
      <c r="Q364" s="6133"/>
      <c r="R364" s="6133"/>
      <c r="S364" s="6133"/>
      <c r="T364" s="6133"/>
      <c r="U364" s="6135"/>
      <c r="V364" s="6135"/>
      <c r="W364" s="6135"/>
      <c r="X364" s="6135"/>
      <c r="Y364" s="6135"/>
    </row>
    <row r="365">
      <c r="A365" s="6143" t="s">
        <v>6625</v>
      </c>
      <c r="B365" s="6143">
        <v>46221</v>
      </c>
      <c r="C365" s="6143" t="str">
        <v>Saturday</v>
      </c>
      <c r="D365" s="6147" t="s">
        <v>6648</v>
      </c>
      <c r="E365" s="6147">
        <f t="shared" si="78"/>
      </c>
      <c r="F365" s="6144" t="s">
        <v>6377</v>
      </c>
      <c r="G365" s="6206"/>
      <c r="H365" s="6147" t="s">
        <v>6425</v>
      </c>
      <c r="I365" s="6147" t="s">
        <v>6326</v>
      </c>
      <c r="J365" s="6147"/>
      <c r="K365" s="6133"/>
      <c r="L365" s="6133"/>
      <c r="M365" s="6133"/>
      <c r="N365" s="6133"/>
      <c r="O365" s="6133"/>
      <c r="P365" s="6133"/>
      <c r="Q365" s="6133"/>
      <c r="R365" s="6133"/>
      <c r="S365" s="6133"/>
      <c r="T365" s="6133"/>
      <c r="U365" s="6135"/>
      <c r="V365" s="6135"/>
      <c r="W365" s="6135"/>
      <c r="X365" s="6135"/>
      <c r="Y365" s="6135"/>
    </row>
    <row r="366">
      <c r="A366" s="6143" t="s">
        <v>6630</v>
      </c>
      <c r="B366" s="6143">
        <v>46221</v>
      </c>
      <c r="C366" s="6143" t="str">
        <v>Saturday</v>
      </c>
      <c r="D366" s="6147" t="s">
        <v>6645</v>
      </c>
      <c r="E366" s="6147">
        <f t="shared" si="78"/>
      </c>
      <c r="F366" s="6144" t="s">
        <v>6377</v>
      </c>
      <c r="G366" s="6206"/>
      <c r="H366" s="6147" t="s">
        <v>6425</v>
      </c>
      <c r="I366" s="6147" t="s">
        <v>6326</v>
      </c>
      <c r="J366" s="6147"/>
      <c r="K366" s="6133"/>
      <c r="L366" s="6133"/>
      <c r="M366" s="6133"/>
      <c r="N366" s="6133"/>
      <c r="O366" s="6133"/>
      <c r="P366" s="6133"/>
      <c r="Q366" s="6133"/>
      <c r="R366" s="6133"/>
      <c r="S366" s="6133"/>
      <c r="T366" s="6133"/>
      <c r="U366" s="6135"/>
      <c r="V366" s="6135"/>
      <c r="W366" s="6135"/>
      <c r="X366" s="6135"/>
      <c r="Y366" s="6135"/>
    </row>
    <row r="367">
      <c r="A367" s="6282" t="s">
        <v>6631</v>
      </c>
      <c r="B367" s="6282">
        <v>46221</v>
      </c>
      <c r="C367" s="6282" t="str">
        <v>Saturday</v>
      </c>
      <c r="D367" s="6283" t="s">
        <v>6632</v>
      </c>
      <c r="E367" s="6283">
        <f t="shared" si="78"/>
      </c>
      <c r="F367" s="6283" t="s">
        <v>6555</v>
      </c>
      <c r="G367" s="6284"/>
      <c r="H367" s="6283" t="s">
        <v>6425</v>
      </c>
      <c r="I367" s="6283" t="s">
        <v>6326</v>
      </c>
      <c r="J367" s="6283"/>
      <c r="K367" s="6133"/>
      <c r="L367" s="6133"/>
      <c r="M367" s="6133"/>
      <c r="N367" s="6133"/>
      <c r="O367" s="6133"/>
      <c r="P367" s="6133"/>
      <c r="Q367" s="6133"/>
      <c r="R367" s="6133"/>
      <c r="S367" s="6133"/>
      <c r="T367" s="6133"/>
      <c r="U367" s="6135"/>
      <c r="V367" s="6135"/>
      <c r="W367" s="6135"/>
      <c r="X367" s="6135"/>
      <c r="Y367" s="6135"/>
    </row>
    <row r="368">
      <c r="A368" s="6143" t="s">
        <v>6630</v>
      </c>
      <c r="B368" s="6143">
        <v>46222</v>
      </c>
      <c r="C368" s="6143" t="str">
        <v>Sunday</v>
      </c>
      <c r="D368" s="6147" t="s">
        <v>6645</v>
      </c>
      <c r="E368" s="6147">
        <f t="shared" si="78"/>
      </c>
      <c r="F368" s="6144" t="s">
        <v>6377</v>
      </c>
      <c r="G368" s="6206"/>
      <c r="H368" s="6147" t="s">
        <v>6425</v>
      </c>
      <c r="I368" s="6147" t="s">
        <v>6326</v>
      </c>
      <c r="J368" s="6147"/>
      <c r="K368" s="6133"/>
      <c r="L368" s="6133"/>
      <c r="M368" s="6133"/>
      <c r="N368" s="6133"/>
      <c r="O368" s="6133"/>
      <c r="P368" s="6133"/>
      <c r="Q368" s="6133"/>
      <c r="R368" s="6133"/>
      <c r="S368" s="6133"/>
      <c r="T368" s="6133"/>
      <c r="U368" s="6135"/>
      <c r="V368" s="6135"/>
      <c r="W368" s="6135"/>
      <c r="X368" s="6135"/>
      <c r="Y368" s="6135"/>
    </row>
    <row r="369">
      <c r="A369" s="6282" t="s">
        <v>6631</v>
      </c>
      <c r="B369" s="6282">
        <v>46222</v>
      </c>
      <c r="C369" s="6282" t="str">
        <v>Sunday</v>
      </c>
      <c r="D369" s="6283" t="s">
        <v>6632</v>
      </c>
      <c r="E369" s="6283">
        <f t="shared" si="78"/>
      </c>
      <c r="F369" s="6283" t="s">
        <v>6649</v>
      </c>
      <c r="G369" s="6284"/>
      <c r="H369" s="6283" t="s">
        <v>6425</v>
      </c>
      <c r="I369" s="6283" t="s">
        <v>6326</v>
      </c>
      <c r="J369" s="6283"/>
      <c r="K369" s="6133"/>
      <c r="L369" s="6133"/>
      <c r="M369" s="6133"/>
      <c r="N369" s="6133"/>
      <c r="O369" s="6133"/>
      <c r="P369" s="6133"/>
      <c r="Q369" s="6133"/>
      <c r="R369" s="6133"/>
      <c r="S369" s="6133"/>
      <c r="T369" s="6133"/>
      <c r="U369" s="6135"/>
      <c r="V369" s="6135"/>
      <c r="W369" s="6135"/>
      <c r="X369" s="6135"/>
      <c r="Y369" s="6135"/>
    </row>
    <row r="370">
      <c r="A370" s="6143" t="s">
        <v>6625</v>
      </c>
      <c r="B370" s="6143">
        <v>46219</v>
      </c>
      <c r="C370" s="6143" t="str">
        <v>Thursday</v>
      </c>
      <c r="D370" s="6147" t="s">
        <v>6634</v>
      </c>
      <c r="E370" s="6147">
        <f t="shared" si="78"/>
      </c>
      <c r="F370" s="6144" t="s">
        <v>6650</v>
      </c>
      <c r="G370" s="6206" t="s">
        <v>6651</v>
      </c>
      <c r="H370" s="6147" t="s">
        <v>6425</v>
      </c>
      <c r="I370" s="6147" t="s">
        <v>6326</v>
      </c>
      <c r="J370" s="6144"/>
      <c r="K370" s="6133"/>
      <c r="L370" s="6133"/>
      <c r="M370" s="6133"/>
      <c r="N370" s="6133"/>
      <c r="O370" s="6133"/>
      <c r="P370" s="6133"/>
      <c r="Q370" s="6133"/>
      <c r="R370" s="6133"/>
      <c r="S370" s="6133"/>
      <c r="T370" s="6133"/>
      <c r="U370" s="6135"/>
      <c r="V370" s="6135"/>
      <c r="W370" s="6135"/>
      <c r="X370" s="6135"/>
      <c r="Y370" s="6135"/>
    </row>
    <row r="371">
      <c r="A371" s="6143"/>
      <c r="B371" s="6143"/>
      <c r="C371" s="6143"/>
      <c r="D371" s="6147"/>
      <c r="E371" s="6147"/>
      <c r="F371" s="6144"/>
      <c r="G371" s="6206"/>
      <c r="H371" s="6144"/>
      <c r="I371" s="6147"/>
      <c r="J371" s="6144"/>
      <c r="K371" s="6133"/>
      <c r="L371" s="6133"/>
      <c r="M371" s="6133"/>
      <c r="N371" s="6133"/>
      <c r="O371" s="6133"/>
      <c r="P371" s="6133"/>
      <c r="Q371" s="6133"/>
      <c r="R371" s="6133"/>
      <c r="S371" s="6133"/>
      <c r="T371" s="6133"/>
      <c r="U371" s="6135"/>
      <c r="V371" s="6135"/>
      <c r="W371" s="6135"/>
      <c r="X371" s="6135"/>
      <c r="Y371" s="6135"/>
    </row>
    <row r="372">
      <c r="A372" s="6238"/>
      <c r="B372" s="6238"/>
      <c r="C372" s="6238"/>
      <c r="D372" s="6238"/>
      <c r="E372" s="6238"/>
      <c r="F372" s="6238"/>
      <c r="G372" s="6296"/>
      <c r="H372" s="6238"/>
      <c r="I372" s="6238"/>
      <c r="J372" s="6238"/>
      <c r="K372" s="6133"/>
      <c r="L372" s="6133"/>
      <c r="M372" s="6133"/>
      <c r="N372" s="6133"/>
      <c r="O372" s="6133"/>
      <c r="P372" s="6133"/>
      <c r="Q372" s="6133"/>
      <c r="R372" s="6133"/>
      <c r="S372" s="6133"/>
      <c r="T372" s="6133"/>
      <c r="U372" s="6135"/>
      <c r="V372" s="6135"/>
      <c r="W372" s="6135"/>
      <c r="X372" s="6135"/>
      <c r="Y372" s="6135"/>
    </row>
    <row r="373">
      <c r="A373" s="6328" t="s">
        <v>6652</v>
      </c>
      <c r="B373" s="6328"/>
      <c r="C373" s="6328"/>
      <c r="D373" s="6328"/>
      <c r="E373" s="6328"/>
      <c r="F373" s="6328"/>
      <c r="G373" s="6328"/>
      <c r="H373" s="6328"/>
      <c r="I373" s="6328"/>
      <c r="J373" s="6328"/>
      <c r="K373" s="6133"/>
      <c r="L373" s="6133"/>
      <c r="M373" s="6133"/>
      <c r="N373" s="6133"/>
      <c r="O373" s="6133"/>
      <c r="P373" s="6133"/>
      <c r="Q373" s="6133"/>
      <c r="R373" s="6133"/>
      <c r="S373" s="6133"/>
      <c r="T373" s="6133"/>
      <c r="U373" s="6135"/>
      <c r="V373" s="6135"/>
      <c r="W373" s="6135"/>
      <c r="X373" s="6135"/>
      <c r="Y373" s="6135"/>
    </row>
    <row r="374">
      <c r="A374" s="6329" t="s">
        <v>6313</v>
      </c>
      <c r="B374" s="6330" t="s">
        <v>6314</v>
      </c>
      <c r="C374" s="6330"/>
      <c r="D374" s="6331" t="s">
        <v>6315</v>
      </c>
      <c r="E374" s="6331" t="s">
        <v>6316</v>
      </c>
      <c r="F374" s="6331" t="s">
        <v>6317</v>
      </c>
      <c r="G374" s="6332" t="s">
        <v>6335</v>
      </c>
      <c r="H374" s="6331" t="s">
        <v>6319</v>
      </c>
      <c r="I374" s="6331" t="s">
        <v>6320</v>
      </c>
      <c r="J374" s="6331" t="s">
        <v>6321</v>
      </c>
      <c r="K374" s="6133"/>
      <c r="L374" s="6133"/>
      <c r="M374" s="6133"/>
      <c r="N374" s="6133"/>
      <c r="O374" s="6133"/>
      <c r="P374" s="6133"/>
      <c r="Q374" s="6133"/>
      <c r="R374" s="6133"/>
      <c r="S374" s="6133"/>
      <c r="T374" s="6133"/>
      <c r="U374" s="6135"/>
      <c r="V374" s="6135"/>
      <c r="W374" s="6135"/>
      <c r="X374" s="6135"/>
      <c r="Y374" s="6135"/>
    </row>
    <row r="375">
      <c r="A375" s="6143"/>
      <c r="B375" s="6143"/>
      <c r="C375" s="6143"/>
      <c r="D375" s="6147"/>
      <c r="E375" s="6147"/>
      <c r="F375" s="6147"/>
      <c r="G375" s="6206"/>
      <c r="H375" s="6147"/>
      <c r="I375" s="6147"/>
      <c r="J375" s="6147"/>
      <c r="K375" s="6133"/>
      <c r="L375" s="6133"/>
      <c r="M375" s="6133"/>
      <c r="N375" s="6133"/>
      <c r="O375" s="6133"/>
      <c r="P375" s="6133"/>
      <c r="Q375" s="6133"/>
      <c r="R375" s="6133"/>
      <c r="S375" s="6133"/>
      <c r="T375" s="6133"/>
      <c r="U375" s="6135"/>
      <c r="V375" s="6135"/>
      <c r="W375" s="6135"/>
      <c r="X375" s="6135"/>
      <c r="Y375" s="6135"/>
    </row>
    <row r="376">
      <c r="A376" s="6315"/>
      <c r="B376" s="6315"/>
      <c r="C376" s="6315"/>
      <c r="D376" s="6317"/>
      <c r="E376" s="6317"/>
      <c r="F376" s="6317"/>
      <c r="G376" s="6318"/>
      <c r="H376" s="6317"/>
      <c r="I376" s="6317"/>
      <c r="J376" s="6317"/>
      <c r="K376" s="6133"/>
      <c r="L376" s="6133"/>
      <c r="M376" s="6133"/>
      <c r="N376" s="6133"/>
      <c r="O376" s="6133"/>
      <c r="P376" s="6133"/>
      <c r="Q376" s="6133"/>
      <c r="R376" s="6133"/>
      <c r="S376" s="6133"/>
      <c r="T376" s="6133"/>
      <c r="U376" s="6135"/>
      <c r="V376" s="6135"/>
      <c r="W376" s="6135"/>
      <c r="X376" s="6135"/>
      <c r="Y376" s="6135"/>
    </row>
    <row r="377">
      <c r="A377" s="6143"/>
      <c r="B377" s="6143"/>
      <c r="C377" s="6143"/>
      <c r="D377" s="6147"/>
      <c r="E377" s="6147"/>
      <c r="F377" s="6147"/>
      <c r="G377" s="6206"/>
      <c r="H377" s="6147"/>
      <c r="I377" s="6147" t="s">
        <v>6326</v>
      </c>
      <c r="J377" s="6147"/>
      <c r="K377" s="6133"/>
      <c r="L377" s="6133"/>
      <c r="M377" s="6133"/>
      <c r="N377" s="6133"/>
      <c r="O377" s="6133"/>
      <c r="P377" s="6133"/>
      <c r="Q377" s="6133"/>
      <c r="R377" s="6133"/>
      <c r="S377" s="6133"/>
      <c r="T377" s="6133"/>
      <c r="U377" s="6135"/>
      <c r="V377" s="6135"/>
      <c r="W377" s="6135"/>
      <c r="X377" s="6135"/>
      <c r="Y377" s="6135"/>
    </row>
    <row r="378">
      <c r="A378" s="6315"/>
      <c r="B378" s="6315"/>
      <c r="C378" s="6315"/>
      <c r="D378" s="6317"/>
      <c r="E378" s="6317"/>
      <c r="F378" s="6317"/>
      <c r="G378" s="6318"/>
      <c r="H378" s="6317"/>
      <c r="I378" s="6317" t="s">
        <v>6326</v>
      </c>
      <c r="J378" s="6317"/>
      <c r="K378" s="6133"/>
      <c r="L378" s="6133"/>
      <c r="M378" s="6133"/>
      <c r="N378" s="6133"/>
      <c r="O378" s="6133"/>
      <c r="P378" s="6133"/>
      <c r="Q378" s="6133"/>
      <c r="R378" s="6133"/>
      <c r="S378" s="6133"/>
      <c r="T378" s="6133"/>
      <c r="U378" s="6135"/>
      <c r="V378" s="6135"/>
      <c r="W378" s="6135"/>
      <c r="X378" s="6135"/>
      <c r="Y378" s="6135"/>
    </row>
    <row r="379">
      <c r="A379" s="6143"/>
      <c r="B379" s="6143"/>
      <c r="C379" s="6143"/>
      <c r="D379" s="6147"/>
      <c r="E379" s="6147"/>
      <c r="F379" s="6147"/>
      <c r="G379" s="6206"/>
      <c r="H379" s="6147"/>
      <c r="I379" s="6147" t="s">
        <v>6326</v>
      </c>
      <c r="J379" s="6147"/>
      <c r="K379" s="6133"/>
      <c r="L379" s="6133"/>
      <c r="M379" s="6133"/>
      <c r="N379" s="6133"/>
      <c r="O379" s="6133"/>
      <c r="P379" s="6133"/>
      <c r="Q379" s="6133"/>
      <c r="R379" s="6133"/>
      <c r="S379" s="6133"/>
      <c r="T379" s="6133"/>
      <c r="U379" s="6135"/>
      <c r="V379" s="6135"/>
      <c r="W379" s="6135"/>
      <c r="X379" s="6135"/>
      <c r="Y379" s="6135"/>
    </row>
    <row r="380">
      <c r="A380" s="6315"/>
      <c r="B380" s="6315"/>
      <c r="C380" s="6315"/>
      <c r="D380" s="6317"/>
      <c r="E380" s="6317"/>
      <c r="F380" s="6317"/>
      <c r="G380" s="6318"/>
      <c r="H380" s="6317"/>
      <c r="I380" s="6317" t="s">
        <v>6326</v>
      </c>
      <c r="J380" s="6317"/>
      <c r="K380" s="6133"/>
      <c r="L380" s="6133"/>
      <c r="M380" s="6133"/>
      <c r="N380" s="6133"/>
      <c r="O380" s="6133"/>
      <c r="P380" s="6133"/>
      <c r="Q380" s="6133"/>
      <c r="R380" s="6133"/>
      <c r="S380" s="6133"/>
      <c r="T380" s="6133"/>
      <c r="U380" s="6135"/>
      <c r="V380" s="6135"/>
      <c r="W380" s="6135"/>
      <c r="X380" s="6135"/>
      <c r="Y380" s="6135"/>
    </row>
    <row r="381">
      <c r="A381" s="6143"/>
      <c r="B381" s="6143"/>
      <c r="C381" s="6143"/>
      <c r="D381" s="6147"/>
      <c r="E381" s="6147"/>
      <c r="F381" s="6147"/>
      <c r="G381" s="6206"/>
      <c r="H381" s="6147"/>
      <c r="I381" s="6147" t="s">
        <v>6326</v>
      </c>
      <c r="J381" s="6147"/>
      <c r="K381" s="6133"/>
      <c r="L381" s="6133"/>
      <c r="M381" s="6133"/>
      <c r="N381" s="6133"/>
      <c r="O381" s="6133"/>
      <c r="P381" s="6133"/>
      <c r="Q381" s="6133"/>
      <c r="R381" s="6133"/>
      <c r="S381" s="6133"/>
      <c r="T381" s="6133"/>
      <c r="U381" s="6135"/>
      <c r="V381" s="6135"/>
      <c r="W381" s="6135"/>
      <c r="X381" s="6135"/>
      <c r="Y381" s="6135"/>
    </row>
    <row r="382">
      <c r="A382" s="6315"/>
      <c r="B382" s="6315"/>
      <c r="C382" s="6315"/>
      <c r="D382" s="6317"/>
      <c r="E382" s="6317"/>
      <c r="F382" s="6317"/>
      <c r="G382" s="6318"/>
      <c r="H382" s="6317"/>
      <c r="I382" s="6317" t="s">
        <v>6326</v>
      </c>
      <c r="J382" s="6317"/>
      <c r="K382" s="6133"/>
      <c r="L382" s="6133"/>
      <c r="M382" s="6133"/>
      <c r="N382" s="6133"/>
      <c r="O382" s="6133"/>
      <c r="P382" s="6133"/>
      <c r="Q382" s="6133"/>
      <c r="R382" s="6133"/>
      <c r="S382" s="6133"/>
      <c r="T382" s="6133"/>
      <c r="U382" s="6135"/>
      <c r="V382" s="6135"/>
      <c r="W382" s="6135"/>
      <c r="X382" s="6135"/>
      <c r="Y382" s="6135"/>
    </row>
    <row r="383">
      <c r="A383" s="6238"/>
      <c r="B383" s="6238"/>
      <c r="C383" s="6238"/>
      <c r="D383" s="6238"/>
      <c r="E383" s="6238"/>
      <c r="F383" s="6238"/>
      <c r="G383" s="6296"/>
      <c r="H383" s="6238"/>
      <c r="I383" s="6238"/>
      <c r="J383" s="6238"/>
      <c r="K383" s="6133"/>
      <c r="L383" s="6133"/>
      <c r="M383" s="6133"/>
      <c r="N383" s="6133"/>
      <c r="O383" s="6133"/>
      <c r="P383" s="6133"/>
      <c r="Q383" s="6133"/>
      <c r="R383" s="6133"/>
      <c r="S383" s="6133"/>
      <c r="T383" s="6133"/>
      <c r="U383" s="6135"/>
      <c r="V383" s="6135"/>
      <c r="W383" s="6135"/>
      <c r="X383" s="6135"/>
      <c r="Y383" s="6135"/>
    </row>
    <row r="384">
      <c r="A384" s="6143"/>
      <c r="B384" s="6147"/>
      <c r="C384" s="6147"/>
      <c r="D384" s="6247"/>
      <c r="E384" s="6147"/>
      <c r="F384" s="6147"/>
      <c r="G384" s="6294"/>
      <c r="H384" s="6147"/>
      <c r="I384" s="6147"/>
      <c r="J384" s="6295"/>
      <c r="K384" s="6133"/>
      <c r="L384" s="6133"/>
      <c r="M384" s="6133"/>
      <c r="N384" s="6133"/>
      <c r="O384" s="6133"/>
      <c r="P384" s="6133"/>
      <c r="Q384" s="6133"/>
      <c r="R384" s="6133"/>
      <c r="S384" s="6133"/>
      <c r="T384" s="6133"/>
      <c r="U384" s="6135"/>
      <c r="V384" s="6135"/>
      <c r="W384" s="6135"/>
      <c r="X384" s="6135"/>
      <c r="Y384" s="6135"/>
    </row>
    <row r="385">
      <c r="A385" s="6333" t="s">
        <v>6653</v>
      </c>
      <c r="B385" s="6333"/>
      <c r="C385" s="6333"/>
      <c r="D385" s="6333"/>
      <c r="E385" s="6333"/>
      <c r="F385" s="6333"/>
      <c r="G385" s="6333"/>
      <c r="H385" s="6333"/>
      <c r="I385" s="6333"/>
      <c r="J385" s="6333"/>
      <c r="K385" s="6333"/>
      <c r="L385" s="6133"/>
      <c r="M385" s="6133"/>
      <c r="N385" s="6133"/>
      <c r="O385" s="6133"/>
      <c r="P385" s="6133"/>
      <c r="Q385" s="6133"/>
      <c r="R385" s="6133"/>
      <c r="S385" s="6133"/>
      <c r="T385" s="6133"/>
      <c r="U385" s="6135"/>
      <c r="V385" s="6135"/>
      <c r="W385" s="6135"/>
      <c r="X385" s="6135"/>
      <c r="Y385" s="6135"/>
    </row>
    <row r="386">
      <c r="A386" s="6334" t="s">
        <v>6313</v>
      </c>
      <c r="B386" s="6335" t="s">
        <v>6314</v>
      </c>
      <c r="C386" s="6335"/>
      <c r="D386" s="6336" t="s">
        <v>6315</v>
      </c>
      <c r="E386" s="6336" t="s">
        <v>6316</v>
      </c>
      <c r="F386" s="6336" t="s">
        <v>6317</v>
      </c>
      <c r="G386" s="6337" t="s">
        <v>6654</v>
      </c>
      <c r="H386" s="6336" t="s">
        <v>6319</v>
      </c>
      <c r="I386" s="6336" t="s">
        <v>6320</v>
      </c>
      <c r="J386" s="6336"/>
      <c r="K386" s="6338" t="s">
        <v>6655</v>
      </c>
      <c r="L386" s="6133"/>
      <c r="M386" s="6133"/>
      <c r="N386" s="6133"/>
      <c r="O386" s="6133"/>
      <c r="P386" s="6133"/>
      <c r="Q386" s="6133"/>
      <c r="R386" s="6133"/>
      <c r="S386" s="6133"/>
      <c r="T386" s="6133"/>
      <c r="U386" s="6135"/>
      <c r="V386" s="6135"/>
      <c r="W386" s="6135"/>
      <c r="X386" s="6135"/>
      <c r="Y386" s="6135"/>
    </row>
    <row r="387">
      <c r="A387" s="6143" t="s">
        <v>6653</v>
      </c>
      <c r="B387" s="6143">
        <v>46216</v>
      </c>
      <c r="C387" s="6143" t="str">
        <v>Monday</v>
      </c>
      <c r="D387" s="6147" t="s">
        <v>6656</v>
      </c>
      <c r="E387" s="6147">
        <v>3</v>
      </c>
      <c r="F387" s="6147" t="s">
        <v>6347</v>
      </c>
      <c r="G387" s="6206" t="s">
        <v>6657</v>
      </c>
      <c r="H387" s="6147" t="s">
        <v>6425</v>
      </c>
      <c r="I387" s="6147" t="s">
        <v>6326</v>
      </c>
      <c r="J387" s="6147"/>
      <c r="K387" s="6339"/>
      <c r="L387" s="6133"/>
      <c r="M387" s="6133"/>
      <c r="N387" s="6133"/>
      <c r="O387" s="6133"/>
      <c r="P387" s="6133"/>
      <c r="Q387" s="6133"/>
      <c r="R387" s="6133"/>
      <c r="S387" s="6133"/>
      <c r="T387" s="6133"/>
      <c r="U387" s="6135"/>
      <c r="V387" s="6135"/>
      <c r="W387" s="6135"/>
      <c r="X387" s="6135"/>
      <c r="Y387" s="6135"/>
    </row>
    <row r="388">
      <c r="A388" s="6143" t="s">
        <v>6653</v>
      </c>
      <c r="B388" s="6143">
        <v>46221</v>
      </c>
      <c r="C388" s="6143" t="str">
        <v>Saturday</v>
      </c>
      <c r="D388" s="6147" t="s">
        <v>6490</v>
      </c>
      <c r="E388" s="6147">
        <v>3</v>
      </c>
      <c r="F388" s="6147" t="s">
        <v>6344</v>
      </c>
      <c r="G388" s="6206" t="s">
        <v>6657</v>
      </c>
      <c r="H388" s="6147" t="s">
        <v>6425</v>
      </c>
      <c r="I388" s="6147" t="s">
        <v>6326</v>
      </c>
      <c r="J388" s="6147"/>
      <c r="K388" s="6339"/>
      <c r="L388" s="6133"/>
      <c r="M388" s="6133"/>
      <c r="N388" s="6133"/>
      <c r="O388" s="6133"/>
      <c r="P388" s="6133"/>
      <c r="Q388" s="6133"/>
      <c r="R388" s="6133"/>
      <c r="S388" s="6133"/>
      <c r="T388" s="6133"/>
      <c r="U388" s="6135"/>
      <c r="V388" s="6135"/>
      <c r="W388" s="6135"/>
      <c r="X388" s="6135"/>
      <c r="Y388" s="6135"/>
    </row>
    <row r="389">
      <c r="A389" s="6143" t="s">
        <v>6653</v>
      </c>
      <c r="B389" s="6143">
        <v>46221</v>
      </c>
      <c r="C389" s="6143" t="str">
        <v>Saturday</v>
      </c>
      <c r="D389" s="6147" t="s">
        <v>6490</v>
      </c>
      <c r="E389" s="6147">
        <v>3</v>
      </c>
      <c r="F389" s="6147" t="s">
        <v>6324</v>
      </c>
      <c r="G389" s="6206" t="s">
        <v>6657</v>
      </c>
      <c r="H389" s="6147" t="s">
        <v>6425</v>
      </c>
      <c r="I389" s="6147" t="s">
        <v>6326</v>
      </c>
      <c r="J389" s="6147" t="s">
        <v>6658</v>
      </c>
      <c r="K389" s="6339"/>
      <c r="L389" s="6133"/>
      <c r="M389" s="6133"/>
      <c r="N389" s="6133"/>
      <c r="O389" s="6133"/>
      <c r="P389" s="6133"/>
      <c r="Q389" s="6133"/>
      <c r="R389" s="6133"/>
      <c r="S389" s="6133"/>
      <c r="T389" s="6133"/>
      <c r="U389" s="6135"/>
      <c r="V389" s="6135"/>
      <c r="W389" s="6135"/>
      <c r="X389" s="6135"/>
      <c r="Y389" s="6135"/>
    </row>
    <row r="390">
      <c r="A390" s="6340" t="s">
        <v>6659</v>
      </c>
      <c r="B390" s="6340"/>
      <c r="C390" s="6340"/>
      <c r="D390" s="6340"/>
      <c r="E390" s="6340"/>
      <c r="F390" s="6340"/>
      <c r="G390" s="6340"/>
      <c r="H390" s="6340"/>
      <c r="I390" s="6340"/>
      <c r="J390" s="6340"/>
      <c r="K390" s="6133"/>
      <c r="L390" s="6133"/>
      <c r="M390" s="6133"/>
      <c r="N390" s="6133"/>
      <c r="O390" s="6133"/>
      <c r="P390" s="6133"/>
      <c r="Q390" s="6133"/>
      <c r="R390" s="6133"/>
      <c r="S390" s="6133"/>
      <c r="T390" s="6133"/>
      <c r="U390" s="6135"/>
      <c r="V390" s="6135"/>
      <c r="W390" s="6135"/>
      <c r="X390" s="6135"/>
      <c r="Y390" s="6135"/>
    </row>
    <row r="391">
      <c r="A391" s="6341" t="s">
        <v>6313</v>
      </c>
      <c r="B391" s="6342" t="s">
        <v>6314</v>
      </c>
      <c r="C391" s="6342"/>
      <c r="D391" s="6343" t="s">
        <v>6315</v>
      </c>
      <c r="E391" s="6343" t="s">
        <v>6316</v>
      </c>
      <c r="F391" s="6343" t="s">
        <v>6317</v>
      </c>
      <c r="G391" s="6344" t="s">
        <v>6335</v>
      </c>
      <c r="H391" s="6343" t="s">
        <v>6319</v>
      </c>
      <c r="I391" s="6343" t="s">
        <v>6320</v>
      </c>
      <c r="J391" s="6343" t="s">
        <v>6321</v>
      </c>
      <c r="K391" s="6133"/>
      <c r="L391" s="6133"/>
      <c r="M391" s="6133"/>
      <c r="N391" s="6133"/>
      <c r="O391" s="6133"/>
      <c r="P391" s="6133"/>
      <c r="Q391" s="6133"/>
      <c r="R391" s="6133"/>
      <c r="S391" s="6133"/>
      <c r="T391" s="6133"/>
      <c r="U391" s="6135"/>
      <c r="V391" s="6135"/>
      <c r="W391" s="6135"/>
      <c r="X391" s="6135"/>
      <c r="Y391" s="6135"/>
    </row>
    <row r="392">
      <c r="A392" s="6143" t="s">
        <v>6660</v>
      </c>
      <c r="B392" s="6143">
        <v>46217</v>
      </c>
      <c r="C392" s="6143" t="str">
        <v>Tuesday</v>
      </c>
      <c r="D392" s="6278" t="s">
        <v>6357</v>
      </c>
      <c r="E392" s="6147">
        <f t="shared" ref="E392:E404" si="79">24*MOD(TIMEVALUE(TRIM(MID(D392,FIND("-",D392)+1,LEN(D392)))) - TIMEVALUE(TRIM(LEFT(D392,FIND("-",D392)-1))),1)</f>
      </c>
      <c r="F392" s="6144" t="s">
        <v>6661</v>
      </c>
      <c r="G392" s="6206" t="s">
        <v>6532</v>
      </c>
      <c r="H392" s="6147" t="s">
        <v>6325</v>
      </c>
      <c r="I392" s="6144" t="s">
        <v>6326</v>
      </c>
      <c r="J392" s="6147"/>
      <c r="K392" s="6133"/>
      <c r="L392" s="6133"/>
      <c r="M392" s="6133"/>
      <c r="N392" s="6133"/>
      <c r="O392" s="6133"/>
      <c r="P392" s="6133"/>
      <c r="Q392" s="6133"/>
      <c r="R392" s="6133"/>
      <c r="S392" s="6133"/>
      <c r="T392" s="6133"/>
      <c r="U392" s="6135"/>
      <c r="V392" s="6135"/>
      <c r="W392" s="6135"/>
      <c r="X392" s="6135"/>
      <c r="Y392" s="6135"/>
    </row>
    <row r="393">
      <c r="A393" s="6345" t="s">
        <v>6660</v>
      </c>
      <c r="B393" s="6345">
        <v>46218</v>
      </c>
      <c r="C393" s="6345" t="str">
        <v>Wednesday</v>
      </c>
      <c r="D393" s="6346" t="s">
        <v>6357</v>
      </c>
      <c r="E393" s="6346">
        <f t="shared" si="79"/>
      </c>
      <c r="F393" s="6346" t="s">
        <v>6661</v>
      </c>
      <c r="G393" s="6347"/>
      <c r="H393" s="6346" t="s">
        <v>6325</v>
      </c>
      <c r="I393" s="6144" t="s">
        <v>6326</v>
      </c>
      <c r="J393" s="6346"/>
      <c r="K393" s="6348"/>
      <c r="L393" s="6348"/>
      <c r="M393" s="6348"/>
      <c r="N393" s="6348"/>
      <c r="O393" s="6348"/>
      <c r="P393" s="6348"/>
      <c r="Q393" s="6348"/>
      <c r="R393" s="6348"/>
      <c r="S393" s="6348"/>
      <c r="T393" s="6348"/>
      <c r="U393" s="6349"/>
      <c r="V393" s="6349"/>
      <c r="W393" s="6349"/>
      <c r="X393" s="6349"/>
      <c r="Y393" s="6349"/>
    </row>
    <row r="394">
      <c r="A394" s="6143" t="s">
        <v>6660</v>
      </c>
      <c r="B394" s="6143">
        <v>46219</v>
      </c>
      <c r="C394" s="6143" t="str">
        <v>Thursday</v>
      </c>
      <c r="D394" s="6278" t="s">
        <v>6357</v>
      </c>
      <c r="E394" s="6147">
        <f t="shared" si="79"/>
      </c>
      <c r="F394" s="6144" t="s">
        <v>6662</v>
      </c>
      <c r="G394" s="6206" t="s">
        <v>6663</v>
      </c>
      <c r="H394" s="6147" t="s">
        <v>6325</v>
      </c>
      <c r="I394" s="6144" t="s">
        <v>6326</v>
      </c>
      <c r="J394" s="6147"/>
      <c r="K394" s="6133"/>
      <c r="L394" s="6133"/>
      <c r="M394" s="6133"/>
      <c r="N394" s="6133"/>
      <c r="O394" s="6133"/>
      <c r="P394" s="6133"/>
      <c r="Q394" s="6133"/>
      <c r="R394" s="6133"/>
      <c r="S394" s="6133"/>
      <c r="T394" s="6133"/>
      <c r="U394" s="6135"/>
      <c r="V394" s="6135"/>
      <c r="W394" s="6135"/>
      <c r="X394" s="6135"/>
      <c r="Y394" s="6135"/>
    </row>
    <row r="395">
      <c r="A395" s="6345" t="s">
        <v>6660</v>
      </c>
      <c r="B395" s="6345">
        <v>46220</v>
      </c>
      <c r="C395" s="6345" t="str">
        <v>Friday</v>
      </c>
      <c r="D395" s="6346" t="s">
        <v>6357</v>
      </c>
      <c r="E395" s="6346">
        <f t="shared" si="79"/>
      </c>
      <c r="F395" s="6346" t="s">
        <v>6662</v>
      </c>
      <c r="G395" s="6347"/>
      <c r="H395" s="6346" t="s">
        <v>6325</v>
      </c>
      <c r="I395" s="6144" t="s">
        <v>6326</v>
      </c>
      <c r="J395" s="6346"/>
      <c r="K395" s="6348"/>
      <c r="L395" s="6348"/>
      <c r="M395" s="6348"/>
      <c r="N395" s="6348"/>
      <c r="O395" s="6348"/>
      <c r="P395" s="6348"/>
      <c r="Q395" s="6348"/>
      <c r="R395" s="6348"/>
      <c r="S395" s="6348"/>
      <c r="T395" s="6348"/>
      <c r="U395" s="6135"/>
      <c r="V395" s="6135"/>
      <c r="W395" s="6135"/>
      <c r="X395" s="6135"/>
      <c r="Y395" s="6135"/>
    </row>
    <row r="396">
      <c r="A396" s="6156" t="s">
        <v>6660</v>
      </c>
      <c r="B396" s="6156">
        <v>46221</v>
      </c>
      <c r="C396" s="6156" t="str">
        <v>Saturday</v>
      </c>
      <c r="D396" s="6350" t="s">
        <v>6357</v>
      </c>
      <c r="E396" s="6350">
        <f t="shared" si="79"/>
      </c>
      <c r="F396" s="6350" t="s">
        <v>6664</v>
      </c>
      <c r="G396" s="6351"/>
      <c r="H396" s="6350" t="s">
        <v>6325</v>
      </c>
      <c r="I396" s="6350" t="s">
        <v>6326</v>
      </c>
      <c r="J396" s="6350" t="s">
        <v>6665</v>
      </c>
      <c r="K396" s="6352"/>
      <c r="L396" s="6352"/>
      <c r="M396" s="6352"/>
      <c r="N396" s="6352"/>
      <c r="O396" s="6352"/>
      <c r="P396" s="6352"/>
      <c r="Q396" s="6352"/>
      <c r="R396" s="6352"/>
      <c r="S396" s="6352"/>
      <c r="T396" s="6352"/>
      <c r="U396" s="6353"/>
      <c r="V396" s="6353"/>
      <c r="W396" s="6353"/>
      <c r="X396" s="6353"/>
      <c r="Y396" s="6353"/>
    </row>
    <row r="397">
      <c r="A397" s="6143" t="s">
        <v>6660</v>
      </c>
      <c r="B397" s="6143">
        <v>46221</v>
      </c>
      <c r="C397" s="6143" t="str">
        <v>Saturday</v>
      </c>
      <c r="D397" s="6278" t="s">
        <v>6357</v>
      </c>
      <c r="E397" s="6147">
        <f t="shared" si="79"/>
      </c>
      <c r="F397" s="6144" t="s">
        <v>6666</v>
      </c>
      <c r="G397" s="6206"/>
      <c r="H397" s="6147" t="s">
        <v>6325</v>
      </c>
      <c r="I397" s="6144" t="s">
        <v>6326</v>
      </c>
      <c r="J397" s="6147"/>
      <c r="K397" s="6133"/>
      <c r="L397" s="6133"/>
      <c r="M397" s="6133"/>
      <c r="N397" s="6133"/>
      <c r="O397" s="6133"/>
      <c r="P397" s="6133"/>
      <c r="Q397" s="6133"/>
      <c r="R397" s="6133"/>
      <c r="S397" s="6133"/>
      <c r="T397" s="6133"/>
      <c r="U397" s="6135"/>
      <c r="V397" s="6135"/>
      <c r="W397" s="6135"/>
      <c r="X397" s="6135"/>
      <c r="Y397" s="6135"/>
    </row>
    <row r="398">
      <c r="A398" s="6345" t="s">
        <v>6660</v>
      </c>
      <c r="B398" s="6345">
        <v>46222</v>
      </c>
      <c r="C398" s="6345" t="str">
        <v>Sunday</v>
      </c>
      <c r="D398" s="6354" t="s">
        <v>6357</v>
      </c>
      <c r="E398" s="6354">
        <f t="shared" si="79"/>
      </c>
      <c r="F398" s="6346" t="s">
        <v>6662</v>
      </c>
      <c r="G398" s="6355" t="s">
        <v>6532</v>
      </c>
      <c r="H398" s="6354" t="s">
        <v>6325</v>
      </c>
      <c r="I398" s="6144" t="s">
        <v>6326</v>
      </c>
      <c r="J398" s="6354"/>
      <c r="K398" s="6356"/>
      <c r="L398" s="6356"/>
      <c r="M398" s="6356"/>
      <c r="N398" s="6356"/>
      <c r="O398" s="6356"/>
      <c r="P398" s="6356"/>
      <c r="Q398" s="6356"/>
      <c r="R398" s="6356"/>
      <c r="S398" s="6356"/>
      <c r="T398" s="6356"/>
      <c r="U398" s="6349"/>
      <c r="V398" s="6349"/>
      <c r="W398" s="6349"/>
      <c r="X398" s="6349"/>
      <c r="Y398" s="6349"/>
    </row>
    <row r="399">
      <c r="A399" s="6143" t="s">
        <v>6667</v>
      </c>
      <c r="B399" s="6143">
        <v>46217</v>
      </c>
      <c r="C399" s="6143" t="str">
        <v>Tuesday</v>
      </c>
      <c r="D399" s="6144" t="s">
        <v>6668</v>
      </c>
      <c r="E399" s="6147">
        <f t="shared" si="79"/>
      </c>
      <c r="F399" s="6278"/>
      <c r="G399" s="6163"/>
      <c r="H399" s="6147" t="s">
        <v>6325</v>
      </c>
      <c r="I399" s="6144" t="s">
        <v>6395</v>
      </c>
      <c r="J399" s="6144"/>
      <c r="K399" s="6133"/>
      <c r="L399" s="6133"/>
      <c r="M399" s="6133"/>
      <c r="N399" s="6133"/>
      <c r="O399" s="6133"/>
      <c r="P399" s="6133"/>
      <c r="Q399" s="6133"/>
      <c r="R399" s="6133"/>
      <c r="S399" s="6133"/>
      <c r="T399" s="6133"/>
      <c r="U399" s="6135"/>
      <c r="V399" s="6135"/>
      <c r="W399" s="6135"/>
      <c r="X399" s="6135"/>
      <c r="Y399" s="6135"/>
    </row>
    <row r="400">
      <c r="A400" s="6143" t="s">
        <v>6667</v>
      </c>
      <c r="B400" s="6143">
        <v>46218</v>
      </c>
      <c r="C400" s="6143" t="str">
        <v>Wednesday</v>
      </c>
      <c r="D400" s="6144" t="s">
        <v>6668</v>
      </c>
      <c r="E400" s="6147">
        <f t="shared" si="79"/>
      </c>
      <c r="F400" s="6144" t="s">
        <v>6669</v>
      </c>
      <c r="G400" s="6163"/>
      <c r="H400" s="6147" t="s">
        <v>6325</v>
      </c>
      <c r="I400" s="6144" t="s">
        <v>6326</v>
      </c>
      <c r="J400" s="6144"/>
      <c r="K400" s="6133"/>
      <c r="L400" s="6133"/>
      <c r="M400" s="6133"/>
      <c r="N400" s="6133"/>
      <c r="O400" s="6133"/>
      <c r="P400" s="6133"/>
      <c r="Q400" s="6133"/>
      <c r="R400" s="6133"/>
      <c r="S400" s="6133"/>
      <c r="T400" s="6133"/>
      <c r="U400" s="6135"/>
      <c r="V400" s="6135"/>
      <c r="W400" s="6135"/>
      <c r="X400" s="6135"/>
      <c r="Y400" s="6135"/>
    </row>
    <row r="401">
      <c r="A401" s="6143" t="s">
        <v>6667</v>
      </c>
      <c r="B401" s="6143">
        <v>46219</v>
      </c>
      <c r="C401" s="6143" t="str">
        <v>Thursday</v>
      </c>
      <c r="D401" s="6144" t="s">
        <v>6670</v>
      </c>
      <c r="E401" s="6147">
        <f t="shared" si="79"/>
      </c>
      <c r="F401" s="6144" t="s">
        <v>6661</v>
      </c>
      <c r="G401" s="6163"/>
      <c r="H401" s="6147" t="s">
        <v>6325</v>
      </c>
      <c r="I401" s="6144" t="s">
        <v>6326</v>
      </c>
      <c r="J401" s="6144"/>
      <c r="K401" s="6133"/>
      <c r="L401" s="6133"/>
      <c r="M401" s="6133"/>
      <c r="N401" s="6133"/>
      <c r="O401" s="6133"/>
      <c r="P401" s="6133"/>
      <c r="Q401" s="6133"/>
      <c r="R401" s="6133"/>
      <c r="S401" s="6133"/>
      <c r="T401" s="6133"/>
      <c r="U401" s="6135"/>
      <c r="V401" s="6135"/>
      <c r="W401" s="6135"/>
      <c r="X401" s="6135"/>
      <c r="Y401" s="6135"/>
    </row>
    <row r="402">
      <c r="A402" s="6143" t="s">
        <v>6667</v>
      </c>
      <c r="B402" s="6143">
        <v>46220</v>
      </c>
      <c r="C402" s="6143" t="str">
        <v>Friday</v>
      </c>
      <c r="D402" s="6144" t="s">
        <v>6668</v>
      </c>
      <c r="E402" s="6147">
        <f t="shared" si="79"/>
      </c>
      <c r="F402" s="6144" t="s">
        <v>6661</v>
      </c>
      <c r="G402" s="6163"/>
      <c r="H402" s="6147" t="s">
        <v>6325</v>
      </c>
      <c r="I402" s="6144" t="s">
        <v>6326</v>
      </c>
      <c r="J402" s="6144"/>
      <c r="K402" s="6133"/>
      <c r="L402" s="6133"/>
      <c r="M402" s="6133"/>
      <c r="N402" s="6133"/>
      <c r="O402" s="6133"/>
      <c r="P402" s="6133"/>
      <c r="Q402" s="6133"/>
      <c r="R402" s="6133"/>
      <c r="S402" s="6133"/>
      <c r="T402" s="6133"/>
      <c r="U402" s="6135"/>
      <c r="V402" s="6135"/>
      <c r="W402" s="6135"/>
      <c r="X402" s="6135"/>
      <c r="Y402" s="6135"/>
    </row>
    <row r="403">
      <c r="A403" s="6143" t="s">
        <v>6667</v>
      </c>
      <c r="B403" s="6143">
        <v>46221</v>
      </c>
      <c r="C403" s="6143" t="str">
        <v>Saturday</v>
      </c>
      <c r="D403" s="6144" t="s">
        <v>6668</v>
      </c>
      <c r="E403" s="6147">
        <f t="shared" si="79"/>
      </c>
      <c r="F403" s="6144" t="s">
        <v>6669</v>
      </c>
      <c r="G403" s="6163"/>
      <c r="H403" s="6147" t="s">
        <v>6325</v>
      </c>
      <c r="I403" s="6144" t="s">
        <v>6326</v>
      </c>
      <c r="J403" s="6144"/>
      <c r="K403" s="6133"/>
      <c r="L403" s="6133"/>
      <c r="M403" s="6133"/>
      <c r="N403" s="6133"/>
      <c r="O403" s="6133"/>
      <c r="P403" s="6133"/>
      <c r="Q403" s="6133"/>
      <c r="R403" s="6133"/>
      <c r="S403" s="6133"/>
      <c r="T403" s="6133"/>
      <c r="U403" s="6135"/>
      <c r="V403" s="6135"/>
      <c r="W403" s="6135"/>
      <c r="X403" s="6135"/>
      <c r="Y403" s="6135"/>
    </row>
    <row r="404">
      <c r="A404" s="6143" t="s">
        <v>6667</v>
      </c>
      <c r="B404" s="6143">
        <v>46222</v>
      </c>
      <c r="C404" s="6143" t="str">
        <v>Sunday</v>
      </c>
      <c r="D404" s="6144" t="s">
        <v>6330</v>
      </c>
      <c r="E404" s="6147">
        <f t="shared" si="79"/>
      </c>
      <c r="F404" s="6144" t="s">
        <v>6554</v>
      </c>
      <c r="G404" s="6163"/>
      <c r="H404" s="6147" t="s">
        <v>6325</v>
      </c>
      <c r="I404" s="6144" t="s">
        <v>6395</v>
      </c>
      <c r="J404" s="6144"/>
      <c r="K404" s="6134"/>
      <c r="L404" s="6134"/>
      <c r="M404" s="6134"/>
      <c r="N404" s="6134"/>
      <c r="O404" s="6134"/>
      <c r="P404" s="6134"/>
      <c r="Q404" s="6134"/>
      <c r="R404" s="6134"/>
      <c r="S404" s="6134"/>
      <c r="T404" s="6134"/>
      <c r="U404" s="6135"/>
      <c r="V404" s="6135"/>
      <c r="W404" s="6135"/>
      <c r="X404" s="6135"/>
      <c r="Y404" s="6135"/>
    </row>
    <row r="405">
      <c r="A405" s="6143"/>
      <c r="B405" s="6143"/>
      <c r="C405" s="6143"/>
      <c r="D405" s="6144"/>
      <c r="E405" s="6147"/>
      <c r="F405" s="6144"/>
      <c r="G405" s="6163"/>
      <c r="H405" s="6147"/>
      <c r="I405" s="6144"/>
      <c r="J405" s="6144"/>
      <c r="K405" s="6134"/>
      <c r="L405" s="6134"/>
      <c r="M405" s="6134"/>
      <c r="N405" s="6134"/>
      <c r="O405" s="6134"/>
      <c r="P405" s="6134"/>
      <c r="Q405" s="6134"/>
      <c r="R405" s="6134"/>
      <c r="S405" s="6134"/>
      <c r="T405" s="6134"/>
      <c r="U405" s="6135"/>
      <c r="V405" s="6135"/>
      <c r="W405" s="6135"/>
      <c r="X405" s="6135"/>
      <c r="Y405" s="6135"/>
    </row>
    <row r="406">
      <c r="A406" s="6143" t="s">
        <v>6671</v>
      </c>
      <c r="B406" s="6143">
        <v>46219</v>
      </c>
      <c r="C406" s="6143" t="str">
        <v>Thursday</v>
      </c>
      <c r="D406" s="6278" t="s">
        <v>6357</v>
      </c>
      <c r="E406" s="6147">
        <f t="shared" ref="E406:E409" si="80">24*MOD(TIMEVALUE(TRIM(MID(D406,FIND("-",D406)+1,LEN(D406)))) - TIMEVALUE(TRIM(LEFT(D406,FIND("-",D406)-1))),1)</f>
      </c>
      <c r="F406" s="6144" t="s">
        <v>6466</v>
      </c>
      <c r="G406" s="6163" t="s">
        <v>6532</v>
      </c>
      <c r="H406" s="6321" t="s">
        <v>6325</v>
      </c>
      <c r="I406" s="6144" t="s">
        <v>6395</v>
      </c>
      <c r="J406" s="6144"/>
      <c r="K406" s="6134"/>
      <c r="L406" s="6134"/>
      <c r="M406" s="6134"/>
      <c r="N406" s="6134"/>
      <c r="O406" s="6134"/>
      <c r="P406" s="6134"/>
      <c r="Q406" s="6134"/>
      <c r="R406" s="6134"/>
      <c r="S406" s="6134"/>
      <c r="T406" s="6134"/>
      <c r="U406" s="6135"/>
      <c r="V406" s="6135"/>
      <c r="W406" s="6135"/>
      <c r="X406" s="6135"/>
      <c r="Y406" s="6135"/>
    </row>
    <row r="407">
      <c r="A407" s="6143" t="s">
        <v>6671</v>
      </c>
      <c r="B407" s="6143">
        <v>46218</v>
      </c>
      <c r="C407" s="6143" t="str">
        <v>Wednesday</v>
      </c>
      <c r="D407" s="6278" t="s">
        <v>6596</v>
      </c>
      <c r="E407" s="6147">
        <f t="shared" si="80"/>
      </c>
      <c r="F407" s="6144" t="s">
        <v>6661</v>
      </c>
      <c r="G407" s="6163"/>
      <c r="H407" s="6321" t="s">
        <v>6325</v>
      </c>
      <c r="I407" s="6144" t="s">
        <v>6326</v>
      </c>
      <c r="J407" s="6144"/>
      <c r="K407" s="6134"/>
      <c r="L407" s="6134"/>
      <c r="M407" s="6134"/>
      <c r="N407" s="6134"/>
      <c r="O407" s="6134"/>
      <c r="P407" s="6134"/>
      <c r="Q407" s="6134"/>
      <c r="R407" s="6134"/>
      <c r="S407" s="6134"/>
      <c r="T407" s="6134"/>
      <c r="U407" s="6135"/>
      <c r="V407" s="6135"/>
      <c r="W407" s="6135"/>
      <c r="X407" s="6135"/>
      <c r="Y407" s="6135"/>
    </row>
    <row r="408">
      <c r="A408" s="6156" t="s">
        <v>6671</v>
      </c>
      <c r="B408" s="6156">
        <v>46221</v>
      </c>
      <c r="C408" s="6156" t="str">
        <v>Saturday</v>
      </c>
      <c r="D408" s="6350" t="s">
        <v>6461</v>
      </c>
      <c r="E408" s="6350">
        <f t="shared" si="80"/>
      </c>
      <c r="F408" s="6157" t="s">
        <v>6664</v>
      </c>
      <c r="G408" s="6351"/>
      <c r="H408" s="6350" t="s">
        <v>6325</v>
      </c>
      <c r="I408" s="6157" t="s">
        <v>6326</v>
      </c>
      <c r="J408" s="6350" t="s">
        <v>6665</v>
      </c>
      <c r="K408" s="6352"/>
      <c r="L408" s="6352"/>
      <c r="M408" s="6352"/>
      <c r="N408" s="6352"/>
      <c r="O408" s="6352"/>
      <c r="P408" s="6352"/>
      <c r="Q408" s="6352"/>
      <c r="R408" s="6352"/>
      <c r="S408" s="6352"/>
      <c r="T408" s="6352"/>
      <c r="U408" s="6159"/>
      <c r="V408" s="6159"/>
      <c r="W408" s="6159"/>
      <c r="X408" s="6159"/>
      <c r="Y408" s="6159"/>
    </row>
    <row r="409">
      <c r="A409" s="6143" t="s">
        <v>6671</v>
      </c>
      <c r="B409" s="6143">
        <v>46222</v>
      </c>
      <c r="C409" s="6143" t="str">
        <v>Sunday</v>
      </c>
      <c r="D409" s="6278" t="s">
        <v>6672</v>
      </c>
      <c r="E409" s="6278">
        <f t="shared" si="80"/>
      </c>
      <c r="F409" s="6144" t="s">
        <v>6567</v>
      </c>
      <c r="G409" s="6279"/>
      <c r="H409" s="6147" t="s">
        <v>6325</v>
      </c>
      <c r="I409" s="6144" t="s">
        <v>6395</v>
      </c>
      <c r="J409" s="6278"/>
      <c r="K409" s="6280"/>
      <c r="L409" s="6280"/>
      <c r="M409" s="6280"/>
      <c r="N409" s="6280"/>
      <c r="O409" s="6280"/>
      <c r="P409" s="6280"/>
      <c r="Q409" s="6280"/>
      <c r="R409" s="6280"/>
      <c r="S409" s="6280"/>
      <c r="T409" s="6280"/>
      <c r="U409" s="6134"/>
      <c r="V409" s="6134"/>
      <c r="W409" s="6134"/>
      <c r="X409" s="6134"/>
      <c r="Y409" s="6134"/>
    </row>
    <row r="410">
      <c r="A410" s="6135"/>
      <c r="B410" s="6135"/>
      <c r="C410" s="6135"/>
      <c r="D410" s="6135"/>
      <c r="E410" s="6135"/>
      <c r="F410" s="6135"/>
      <c r="G410" s="6135"/>
      <c r="H410" s="6240"/>
      <c r="I410" s="6135"/>
      <c r="J410" s="6135"/>
      <c r="K410" s="6134"/>
      <c r="L410" s="6134"/>
      <c r="M410" s="6134"/>
      <c r="N410" s="6134"/>
      <c r="O410" s="6134"/>
      <c r="P410" s="6134"/>
      <c r="Q410" s="6134"/>
      <c r="R410" s="6134"/>
      <c r="S410" s="6134"/>
      <c r="T410" s="6134"/>
      <c r="U410" s="6135"/>
      <c r="V410" s="6135"/>
      <c r="W410" s="6135"/>
      <c r="X410" s="6135"/>
      <c r="Y410" s="6135"/>
    </row>
    <row r="411">
      <c r="A411" s="6357" t="s">
        <v>6673</v>
      </c>
      <c r="B411" s="6357"/>
      <c r="C411" s="6357"/>
      <c r="D411" s="6357"/>
      <c r="E411" s="6357"/>
      <c r="F411" s="6357"/>
      <c r="G411" s="6357"/>
      <c r="H411" s="6357"/>
      <c r="I411" s="6357"/>
      <c r="J411" s="6357"/>
      <c r="K411" s="6358"/>
      <c r="L411" s="6358"/>
      <c r="M411" s="6358"/>
      <c r="N411" s="6358"/>
      <c r="O411" s="6358"/>
      <c r="P411" s="6358"/>
      <c r="Q411" s="6358"/>
      <c r="R411" s="6358"/>
      <c r="S411" s="6358"/>
      <c r="T411" s="6358"/>
      <c r="U411" s="6135"/>
      <c r="V411" s="6135"/>
      <c r="W411" s="6135"/>
      <c r="X411" s="6135"/>
      <c r="Y411" s="6135"/>
    </row>
    <row r="412">
      <c r="A412" s="6359" t="s">
        <v>6313</v>
      </c>
      <c r="B412" s="6360" t="s">
        <v>6314</v>
      </c>
      <c r="C412" s="6360"/>
      <c r="D412" s="6361" t="s">
        <v>6315</v>
      </c>
      <c r="E412" s="6361" t="s">
        <v>6316</v>
      </c>
      <c r="F412" s="6361" t="s">
        <v>6317</v>
      </c>
      <c r="G412" s="6362" t="s">
        <v>6335</v>
      </c>
      <c r="H412" s="6361" t="s">
        <v>6319</v>
      </c>
      <c r="I412" s="6361" t="s">
        <v>6320</v>
      </c>
      <c r="J412" s="6361" t="s">
        <v>6321</v>
      </c>
      <c r="K412" s="6358"/>
      <c r="L412" s="6358"/>
      <c r="M412" s="6358"/>
      <c r="N412" s="6358"/>
      <c r="O412" s="6358"/>
      <c r="P412" s="6358"/>
      <c r="Q412" s="6358"/>
      <c r="R412" s="6358"/>
      <c r="S412" s="6358"/>
      <c r="T412" s="6358"/>
      <c r="U412" s="6135"/>
      <c r="V412" s="6135"/>
      <c r="W412" s="6135"/>
      <c r="X412" s="6135"/>
      <c r="Y412" s="6135"/>
    </row>
    <row r="413">
      <c r="A413" s="6135"/>
      <c r="B413" s="6135"/>
      <c r="C413" s="6135"/>
      <c r="D413" s="6135"/>
      <c r="E413" s="6135"/>
      <c r="F413" s="6135"/>
      <c r="G413" s="6135"/>
      <c r="H413" s="6240"/>
      <c r="I413" s="6135"/>
      <c r="J413" s="6135"/>
      <c r="K413" s="6134"/>
      <c r="L413" s="6134"/>
      <c r="M413" s="6134"/>
      <c r="N413" s="6134"/>
      <c r="O413" s="6134"/>
      <c r="P413" s="6134"/>
      <c r="Q413" s="6134"/>
      <c r="R413" s="6134"/>
      <c r="S413" s="6134"/>
      <c r="T413" s="6134"/>
      <c r="U413" s="6135"/>
      <c r="V413" s="6135"/>
      <c r="W413" s="6135"/>
      <c r="X413" s="6135"/>
      <c r="Y413" s="6135"/>
    </row>
    <row r="414">
      <c r="A414" s="6363" t="s">
        <v>6674</v>
      </c>
      <c r="B414" s="6363"/>
      <c r="C414" s="6363"/>
      <c r="D414" s="6363"/>
      <c r="E414" s="6363"/>
      <c r="F414" s="6363"/>
      <c r="G414" s="6363"/>
      <c r="H414" s="6363"/>
      <c r="I414" s="6363"/>
      <c r="J414" s="6363"/>
      <c r="K414" s="6133"/>
      <c r="L414" s="6133"/>
      <c r="M414" s="6133"/>
      <c r="N414" s="6133"/>
      <c r="O414" s="6133"/>
      <c r="P414" s="6133"/>
      <c r="Q414" s="6133"/>
      <c r="R414" s="6133"/>
      <c r="S414" s="6133"/>
      <c r="T414" s="6133"/>
      <c r="U414" s="6135"/>
      <c r="V414" s="6135"/>
      <c r="W414" s="6135"/>
      <c r="X414" s="6135"/>
      <c r="Y414" s="6135"/>
    </row>
    <row r="415">
      <c r="A415" s="6364" t="s">
        <v>6313</v>
      </c>
      <c r="B415" s="6365" t="s">
        <v>6314</v>
      </c>
      <c r="C415" s="6365"/>
      <c r="D415" s="6366" t="s">
        <v>6315</v>
      </c>
      <c r="E415" s="6366" t="s">
        <v>6316</v>
      </c>
      <c r="F415" s="6366" t="s">
        <v>6317</v>
      </c>
      <c r="G415" s="6367" t="s">
        <v>6335</v>
      </c>
      <c r="H415" s="6366" t="s">
        <v>6319</v>
      </c>
      <c r="I415" s="6366" t="s">
        <v>6320</v>
      </c>
      <c r="J415" s="6366" t="s">
        <v>6321</v>
      </c>
      <c r="K415" s="6133"/>
      <c r="L415" s="6133"/>
      <c r="M415" s="6133"/>
      <c r="N415" s="6133"/>
      <c r="O415" s="6133"/>
      <c r="P415" s="6133"/>
      <c r="Q415" s="6133"/>
      <c r="R415" s="6133"/>
      <c r="S415" s="6133"/>
      <c r="T415" s="6133"/>
      <c r="U415" s="6135"/>
      <c r="V415" s="6135"/>
      <c r="W415" s="6135"/>
      <c r="X415" s="6135"/>
      <c r="Y415" s="6135"/>
    </row>
    <row r="416">
      <c r="A416" s="6282" t="s">
        <v>6675</v>
      </c>
      <c r="B416" s="6282">
        <v>46217</v>
      </c>
      <c r="C416" s="6282" t="str">
        <v>Tuesday</v>
      </c>
      <c r="D416" s="6283" t="s">
        <v>6343</v>
      </c>
      <c r="E416" s="6283">
        <f t="shared" ref="E416:E421" si="81">24*MOD(TIMEVALUE(TRIM(MID(D416,FIND("-",D416)+1,LEN(D416)))) - TIMEVALUE(TRIM(LEFT(D416,FIND("-",D416)-1))),1)</f>
      </c>
      <c r="F416" s="6283" t="s">
        <v>6676</v>
      </c>
      <c r="G416" s="6284" t="s">
        <v>6677</v>
      </c>
      <c r="H416" s="6283" t="s">
        <v>6325</v>
      </c>
      <c r="I416" s="6283" t="s">
        <v>6326</v>
      </c>
      <c r="J416" s="6283"/>
      <c r="K416" s="6220"/>
      <c r="L416" s="6220"/>
      <c r="M416" s="6220"/>
      <c r="N416" s="6220"/>
      <c r="O416" s="6220"/>
      <c r="P416" s="6220"/>
      <c r="Q416" s="6220"/>
      <c r="R416" s="6220"/>
      <c r="S416" s="6220"/>
      <c r="T416" s="6220"/>
      <c r="U416" s="6135"/>
      <c r="V416" s="6135"/>
      <c r="W416" s="6135"/>
      <c r="X416" s="6135"/>
      <c r="Y416" s="6135"/>
    </row>
    <row r="417">
      <c r="A417" s="6282" t="s">
        <v>6675</v>
      </c>
      <c r="B417" s="6282">
        <v>46218</v>
      </c>
      <c r="C417" s="6282" t="str">
        <v>Wednesday</v>
      </c>
      <c r="D417" s="6283" t="s">
        <v>6327</v>
      </c>
      <c r="E417" s="6283">
        <f t="shared" si="81"/>
      </c>
      <c r="F417" s="6283" t="s">
        <v>6676</v>
      </c>
      <c r="G417" s="6284"/>
      <c r="H417" s="6283" t="s">
        <v>6325</v>
      </c>
      <c r="I417" s="6283" t="s">
        <v>6326</v>
      </c>
      <c r="J417" s="6283"/>
      <c r="K417" s="6220"/>
      <c r="L417" s="6220"/>
      <c r="M417" s="6220"/>
      <c r="N417" s="6220"/>
      <c r="O417" s="6220"/>
      <c r="P417" s="6220"/>
      <c r="Q417" s="6220"/>
      <c r="R417" s="6220"/>
      <c r="S417" s="6220"/>
      <c r="T417" s="6220"/>
      <c r="U417" s="6135"/>
      <c r="V417" s="6135"/>
      <c r="W417" s="6135"/>
      <c r="X417" s="6135"/>
      <c r="Y417" s="6135"/>
    </row>
    <row r="418">
      <c r="A418" s="6282" t="s">
        <v>6675</v>
      </c>
      <c r="B418" s="6282">
        <v>46219</v>
      </c>
      <c r="C418" s="6282" t="str">
        <v>Thursday</v>
      </c>
      <c r="D418" s="6283" t="s">
        <v>6343</v>
      </c>
      <c r="E418" s="6283">
        <f t="shared" si="81"/>
      </c>
      <c r="F418" s="6283" t="s">
        <v>6676</v>
      </c>
      <c r="G418" s="6284"/>
      <c r="H418" s="6283" t="s">
        <v>6325</v>
      </c>
      <c r="I418" s="6283" t="s">
        <v>6326</v>
      </c>
      <c r="J418" s="6283"/>
      <c r="K418" s="6220"/>
      <c r="L418" s="6220"/>
      <c r="M418" s="6220"/>
      <c r="N418" s="6220"/>
      <c r="O418" s="6220"/>
      <c r="P418" s="6220"/>
      <c r="Q418" s="6220"/>
      <c r="R418" s="6220"/>
      <c r="S418" s="6220"/>
      <c r="T418" s="6220"/>
      <c r="U418" s="6135"/>
      <c r="V418" s="6135"/>
      <c r="W418" s="6135"/>
      <c r="X418" s="6135"/>
      <c r="Y418" s="6135"/>
    </row>
    <row r="419">
      <c r="A419" s="6282" t="s">
        <v>6675</v>
      </c>
      <c r="B419" s="6282">
        <v>46220</v>
      </c>
      <c r="C419" s="6282" t="str">
        <v>Friday</v>
      </c>
      <c r="D419" s="6283" t="s">
        <v>6343</v>
      </c>
      <c r="E419" s="6283">
        <f t="shared" si="81"/>
      </c>
      <c r="F419" s="6283" t="s">
        <v>6676</v>
      </c>
      <c r="G419" s="6284"/>
      <c r="H419" s="6283" t="s">
        <v>6325</v>
      </c>
      <c r="I419" s="6283" t="s">
        <v>6326</v>
      </c>
      <c r="J419" s="6283"/>
      <c r="K419" s="6220"/>
      <c r="L419" s="6220"/>
      <c r="M419" s="6220"/>
      <c r="N419" s="6220"/>
      <c r="O419" s="6220"/>
      <c r="P419" s="6220"/>
      <c r="Q419" s="6220"/>
      <c r="R419" s="6220"/>
      <c r="S419" s="6220"/>
      <c r="T419" s="6220"/>
      <c r="U419" s="6135"/>
      <c r="V419" s="6135"/>
      <c r="W419" s="6135"/>
      <c r="X419" s="6135"/>
      <c r="Y419" s="6135"/>
    </row>
    <row r="420">
      <c r="A420" s="6282" t="s">
        <v>6675</v>
      </c>
      <c r="B420" s="6282">
        <v>46221</v>
      </c>
      <c r="C420" s="6282" t="str">
        <v>Saturday</v>
      </c>
      <c r="D420" s="6283" t="s">
        <v>6343</v>
      </c>
      <c r="E420" s="6283">
        <f t="shared" si="81"/>
      </c>
      <c r="F420" s="6283" t="s">
        <v>6666</v>
      </c>
      <c r="G420" s="6284" t="s">
        <v>6678</v>
      </c>
      <c r="H420" s="6283" t="s">
        <v>6325</v>
      </c>
      <c r="I420" s="6283" t="s">
        <v>6326</v>
      </c>
      <c r="J420" s="6283"/>
      <c r="K420" s="6220"/>
      <c r="L420" s="6220"/>
      <c r="M420" s="6220"/>
      <c r="N420" s="6220"/>
      <c r="O420" s="6220"/>
      <c r="P420" s="6220"/>
      <c r="Q420" s="6220"/>
      <c r="R420" s="6220"/>
      <c r="S420" s="6220"/>
      <c r="T420" s="6220"/>
      <c r="U420" s="6135"/>
      <c r="V420" s="6135"/>
      <c r="W420" s="6135"/>
      <c r="X420" s="6135"/>
      <c r="Y420" s="6135"/>
    </row>
    <row r="421">
      <c r="A421" s="6156" t="s">
        <v>6675</v>
      </c>
      <c r="B421" s="6156">
        <v>46222</v>
      </c>
      <c r="C421" s="6156" t="str">
        <v>Sunday</v>
      </c>
      <c r="D421" s="6157" t="s">
        <v>6327</v>
      </c>
      <c r="E421" s="6157">
        <f t="shared" si="81"/>
      </c>
      <c r="F421" s="6157" t="s">
        <v>6559</v>
      </c>
      <c r="G421" s="6158" t="s">
        <v>6679</v>
      </c>
      <c r="H421" s="6157"/>
      <c r="I421" s="6157" t="s">
        <v>6326</v>
      </c>
      <c r="J421" s="6157"/>
      <c r="K421" s="6196"/>
      <c r="L421" s="6196"/>
      <c r="M421" s="6196"/>
      <c r="N421" s="6196"/>
      <c r="O421" s="6196"/>
      <c r="P421" s="6196"/>
      <c r="Q421" s="6196"/>
      <c r="R421" s="6196"/>
      <c r="S421" s="6196"/>
      <c r="T421" s="6196"/>
      <c r="U421" s="6159"/>
      <c r="V421" s="6159"/>
      <c r="W421" s="6159"/>
      <c r="X421" s="6159"/>
      <c r="Y421" s="6159"/>
    </row>
    <row r="422">
      <c r="A422" s="6143"/>
      <c r="B422" s="6143"/>
      <c r="C422" s="6143"/>
      <c r="D422" s="6147"/>
      <c r="E422" s="6147"/>
      <c r="F422" s="6147"/>
      <c r="G422" s="6206"/>
      <c r="H422" s="6144"/>
      <c r="I422" s="6144"/>
      <c r="J422" s="6147"/>
      <c r="K422" s="6133"/>
      <c r="L422" s="6133"/>
      <c r="M422" s="6133"/>
      <c r="N422" s="6133"/>
      <c r="O422" s="6133"/>
      <c r="P422" s="6133"/>
      <c r="Q422" s="6133"/>
      <c r="R422" s="6133"/>
      <c r="S422" s="6133"/>
      <c r="T422" s="6133"/>
      <c r="U422" s="6135"/>
      <c r="V422" s="6135"/>
      <c r="W422" s="6135"/>
      <c r="X422" s="6135"/>
      <c r="Y422" s="6135"/>
    </row>
    <row r="423">
      <c r="A423" s="6282" t="s">
        <v>6680</v>
      </c>
      <c r="B423" s="6282">
        <v>46217</v>
      </c>
      <c r="C423" s="6282" t="str">
        <v>Tuesday</v>
      </c>
      <c r="D423" s="6283" t="s">
        <v>6681</v>
      </c>
      <c r="E423" s="6283">
        <f t="shared" ref="E423:E430" si="82">24*MOD(TIMEVALUE(TRIM(MID(D423,FIND("-",D423)+1,LEN(D423)))) - TIMEVALUE(TRIM(LEFT(D423,FIND("-",D423)-1))),1)</f>
      </c>
      <c r="F423" s="6283" t="s">
        <v>6682</v>
      </c>
      <c r="G423" s="6284" t="s">
        <v>6683</v>
      </c>
      <c r="H423" s="6283" t="s">
        <v>6325</v>
      </c>
      <c r="I423" s="6283" t="s">
        <v>6326</v>
      </c>
      <c r="J423" s="6283"/>
      <c r="K423" s="6220"/>
      <c r="L423" s="6220"/>
      <c r="M423" s="6220"/>
      <c r="N423" s="6220"/>
      <c r="O423" s="6220"/>
      <c r="P423" s="6220"/>
      <c r="Q423" s="6220"/>
      <c r="R423" s="6220"/>
      <c r="S423" s="6220"/>
      <c r="T423" s="6220"/>
      <c r="U423" s="6135"/>
      <c r="V423" s="6135"/>
      <c r="W423" s="6135"/>
      <c r="X423" s="6135"/>
      <c r="Y423" s="6135"/>
    </row>
    <row r="424">
      <c r="A424" s="6282" t="s">
        <v>6680</v>
      </c>
      <c r="B424" s="6282">
        <v>46217</v>
      </c>
      <c r="C424" s="6282" t="str">
        <v>Tuesday</v>
      </c>
      <c r="D424" s="6283" t="s">
        <v>6684</v>
      </c>
      <c r="E424" s="6283">
        <f t="shared" si="82"/>
      </c>
      <c r="F424" s="6283" t="s">
        <v>6519</v>
      </c>
      <c r="G424" s="6284"/>
      <c r="H424" s="6283" t="s">
        <v>6325</v>
      </c>
      <c r="I424" s="6283" t="s">
        <v>6326</v>
      </c>
      <c r="J424" s="6283"/>
      <c r="K424" s="6220"/>
      <c r="L424" s="6220"/>
      <c r="M424" s="6220"/>
      <c r="N424" s="6220"/>
      <c r="O424" s="6220"/>
      <c r="P424" s="6220"/>
      <c r="Q424" s="6220"/>
      <c r="R424" s="6220"/>
      <c r="S424" s="6220"/>
      <c r="T424" s="6220"/>
      <c r="U424" s="6135"/>
      <c r="V424" s="6135"/>
      <c r="W424" s="6135"/>
      <c r="X424" s="6135"/>
      <c r="Y424" s="6135"/>
    </row>
    <row r="425">
      <c r="A425" s="6282" t="s">
        <v>6680</v>
      </c>
      <c r="B425" s="6282">
        <v>46218</v>
      </c>
      <c r="C425" s="6282" t="str">
        <v>Wednesday</v>
      </c>
      <c r="D425" s="6283" t="s">
        <v>6685</v>
      </c>
      <c r="E425" s="6283">
        <f t="shared" si="82"/>
      </c>
      <c r="F425" s="6283" t="s">
        <v>6519</v>
      </c>
      <c r="G425" s="6284"/>
      <c r="H425" s="6283" t="s">
        <v>6325</v>
      </c>
      <c r="I425" s="6283" t="s">
        <v>6326</v>
      </c>
      <c r="J425" s="6283"/>
      <c r="K425" s="6220"/>
      <c r="L425" s="6220"/>
      <c r="M425" s="6220"/>
      <c r="N425" s="6220"/>
      <c r="O425" s="6220"/>
      <c r="P425" s="6220"/>
      <c r="Q425" s="6220"/>
      <c r="R425" s="6220"/>
      <c r="S425" s="6220"/>
      <c r="T425" s="6220"/>
      <c r="U425" s="6135"/>
      <c r="V425" s="6135"/>
      <c r="W425" s="6135"/>
      <c r="X425" s="6135"/>
      <c r="Y425" s="6135"/>
    </row>
    <row r="426">
      <c r="A426" s="6282" t="s">
        <v>6680</v>
      </c>
      <c r="B426" s="6282">
        <v>46220</v>
      </c>
      <c r="C426" s="6282" t="str">
        <v>Friday</v>
      </c>
      <c r="D426" s="6283" t="s">
        <v>6686</v>
      </c>
      <c r="E426" s="6285">
        <f t="shared" si="82"/>
      </c>
      <c r="F426" s="6283" t="s">
        <v>6519</v>
      </c>
      <c r="G426" s="6368"/>
      <c r="H426" s="6285" t="s">
        <v>6325</v>
      </c>
      <c r="I426" s="6283" t="s">
        <v>6326</v>
      </c>
      <c r="J426" s="6285"/>
      <c r="K426" s="6369"/>
      <c r="L426" s="6369"/>
      <c r="M426" s="6369"/>
      <c r="N426" s="6369"/>
      <c r="O426" s="6369"/>
      <c r="P426" s="6369"/>
      <c r="Q426" s="6369"/>
      <c r="R426" s="6369"/>
      <c r="S426" s="6369"/>
      <c r="T426" s="6369"/>
      <c r="U426" s="6370"/>
      <c r="V426" s="6370"/>
      <c r="W426" s="6370"/>
      <c r="X426" s="6370"/>
      <c r="Y426" s="6370"/>
    </row>
    <row r="427">
      <c r="A427" s="6282" t="s">
        <v>6680</v>
      </c>
      <c r="B427" s="6282">
        <v>46221</v>
      </c>
      <c r="C427" s="6282" t="str">
        <v>Saturday</v>
      </c>
      <c r="D427" s="6283" t="s">
        <v>6686</v>
      </c>
      <c r="E427" s="6283">
        <f t="shared" si="82"/>
      </c>
      <c r="F427" s="6283" t="s">
        <v>6669</v>
      </c>
      <c r="G427" s="6284"/>
      <c r="H427" s="6283" t="s">
        <v>6325</v>
      </c>
      <c r="I427" s="6283" t="s">
        <v>6326</v>
      </c>
      <c r="J427" s="6283"/>
      <c r="K427" s="6220"/>
      <c r="L427" s="6220"/>
      <c r="M427" s="6220"/>
      <c r="N427" s="6220"/>
      <c r="O427" s="6220"/>
      <c r="P427" s="6220"/>
      <c r="Q427" s="6220"/>
      <c r="R427" s="6220"/>
      <c r="S427" s="6220"/>
      <c r="T427" s="6220"/>
      <c r="U427" s="6135"/>
      <c r="V427" s="6135"/>
      <c r="W427" s="6135"/>
      <c r="X427" s="6135"/>
      <c r="Y427" s="6135"/>
    </row>
    <row r="428">
      <c r="A428" s="6282" t="s">
        <v>6687</v>
      </c>
      <c r="B428" s="6282">
        <v>46217</v>
      </c>
      <c r="C428" s="6282" t="str">
        <v>Tuesday</v>
      </c>
      <c r="D428" s="6283" t="s">
        <v>6480</v>
      </c>
      <c r="E428" s="6283">
        <f t="shared" si="82"/>
      </c>
      <c r="F428" s="6283" t="s">
        <v>6519</v>
      </c>
      <c r="G428" s="6284" t="s">
        <v>6688</v>
      </c>
      <c r="H428" s="6283" t="s">
        <v>6325</v>
      </c>
      <c r="I428" s="6283" t="s">
        <v>6326</v>
      </c>
      <c r="J428" s="6283"/>
      <c r="K428" s="6220"/>
      <c r="L428" s="6220"/>
      <c r="M428" s="6220"/>
      <c r="N428" s="6220"/>
      <c r="O428" s="6220"/>
      <c r="P428" s="6220"/>
      <c r="Q428" s="6220"/>
      <c r="R428" s="6220"/>
      <c r="S428" s="6220"/>
      <c r="T428" s="6220"/>
      <c r="U428" s="6135"/>
      <c r="V428" s="6135"/>
      <c r="W428" s="6135"/>
      <c r="X428" s="6135"/>
      <c r="Y428" s="6135"/>
    </row>
    <row r="429">
      <c r="A429" s="6282" t="s">
        <v>6687</v>
      </c>
      <c r="B429" s="6282">
        <v>46219</v>
      </c>
      <c r="C429" s="6282" t="str">
        <v>Thursday</v>
      </c>
      <c r="D429" s="6283" t="s">
        <v>6689</v>
      </c>
      <c r="E429" s="6283">
        <f t="shared" si="82"/>
      </c>
      <c r="F429" s="6283" t="s">
        <v>6690</v>
      </c>
      <c r="G429" s="6284" t="s">
        <v>6691</v>
      </c>
      <c r="H429" s="6283"/>
      <c r="I429" s="6283" t="s">
        <v>6326</v>
      </c>
      <c r="J429" s="6283"/>
      <c r="K429" s="6220"/>
      <c r="L429" s="6220"/>
      <c r="M429" s="6220"/>
      <c r="N429" s="6220"/>
      <c r="O429" s="6220"/>
      <c r="P429" s="6220"/>
      <c r="Q429" s="6220"/>
      <c r="R429" s="6220"/>
      <c r="S429" s="6220"/>
      <c r="T429" s="6220"/>
      <c r="U429" s="6135"/>
      <c r="V429" s="6135"/>
      <c r="W429" s="6135"/>
      <c r="X429" s="6135"/>
      <c r="Y429" s="6135"/>
    </row>
    <row r="430">
      <c r="A430" s="6282" t="s">
        <v>6687</v>
      </c>
      <c r="B430" s="6282">
        <v>46220</v>
      </c>
      <c r="C430" s="6282" t="str">
        <v>Friday</v>
      </c>
      <c r="D430" s="6283" t="s">
        <v>6343</v>
      </c>
      <c r="E430" s="6283">
        <f t="shared" si="82"/>
      </c>
      <c r="F430" s="6283" t="s">
        <v>6690</v>
      </c>
      <c r="G430" s="6284"/>
      <c r="H430" s="6283"/>
      <c r="I430" s="6283"/>
      <c r="J430" s="6283"/>
      <c r="K430" s="6220"/>
      <c r="L430" s="6220"/>
      <c r="M430" s="6220"/>
      <c r="N430" s="6220"/>
      <c r="O430" s="6220"/>
      <c r="P430" s="6220"/>
      <c r="Q430" s="6220"/>
      <c r="R430" s="6220"/>
      <c r="S430" s="6220"/>
      <c r="T430" s="6220"/>
      <c r="U430" s="6135"/>
      <c r="V430" s="6135"/>
      <c r="W430" s="6135"/>
      <c r="X430" s="6135"/>
      <c r="Y430" s="6135"/>
    </row>
    <row r="431">
      <c r="A431" s="6143"/>
      <c r="B431" s="6143"/>
      <c r="C431" s="6143"/>
      <c r="D431" s="6144"/>
      <c r="E431" s="6144"/>
      <c r="F431" s="6144"/>
      <c r="G431" s="6163"/>
      <c r="H431" s="6144"/>
      <c r="I431" s="6144"/>
      <c r="J431" s="6144"/>
      <c r="K431" s="6133"/>
      <c r="L431" s="6133"/>
      <c r="M431" s="6133"/>
      <c r="N431" s="6133"/>
      <c r="O431" s="6133"/>
      <c r="P431" s="6133"/>
      <c r="Q431" s="6133"/>
      <c r="R431" s="6133"/>
      <c r="S431" s="6133"/>
      <c r="T431" s="6133"/>
      <c r="U431" s="6134"/>
      <c r="V431" s="6134"/>
      <c r="W431" s="6134"/>
      <c r="X431" s="6134"/>
      <c r="Y431" s="6134"/>
    </row>
    <row r="432">
      <c r="A432" s="6282" t="s">
        <v>6692</v>
      </c>
      <c r="B432" s="6282">
        <v>46219</v>
      </c>
      <c r="C432" s="6282" t="str">
        <v>Thursday</v>
      </c>
      <c r="D432" s="6283" t="s">
        <v>6693</v>
      </c>
      <c r="E432" s="6283">
        <f t="shared" ref="E432:E433" si="83">24*MOD(TIMEVALUE(TRIM(MID(D432,FIND("-",D432)+1,LEN(D432)))) - TIMEVALUE(TRIM(LEFT(D432,FIND("-",D432)-1))),1)</f>
      </c>
      <c r="F432" s="6283" t="s">
        <v>6559</v>
      </c>
      <c r="G432" s="6284" t="s">
        <v>6688</v>
      </c>
      <c r="H432" s="6283"/>
      <c r="I432" s="6283" t="s">
        <v>6326</v>
      </c>
      <c r="J432" s="6283"/>
      <c r="K432" s="6220"/>
      <c r="L432" s="6220"/>
      <c r="M432" s="6220"/>
      <c r="N432" s="6220"/>
      <c r="O432" s="6220"/>
      <c r="P432" s="6220"/>
      <c r="Q432" s="6220"/>
      <c r="R432" s="6220"/>
      <c r="S432" s="6220"/>
      <c r="T432" s="6220"/>
      <c r="U432" s="6135"/>
      <c r="V432" s="6135"/>
      <c r="W432" s="6135"/>
      <c r="X432" s="6135"/>
      <c r="Y432" s="6135"/>
    </row>
    <row r="433">
      <c r="A433" s="6282" t="s">
        <v>6692</v>
      </c>
      <c r="B433" s="6282">
        <v>46221</v>
      </c>
      <c r="C433" s="6282" t="str">
        <v>Saturday</v>
      </c>
      <c r="D433" s="6283" t="s">
        <v>6694</v>
      </c>
      <c r="E433" s="6283">
        <f t="shared" si="83"/>
      </c>
      <c r="F433" s="6283" t="s">
        <v>6559</v>
      </c>
      <c r="G433" s="6284"/>
      <c r="H433" s="6283"/>
      <c r="I433" s="6283"/>
      <c r="J433" s="6283"/>
      <c r="K433" s="6220"/>
      <c r="L433" s="6220"/>
      <c r="M433" s="6220"/>
      <c r="N433" s="6220"/>
      <c r="O433" s="6220"/>
      <c r="P433" s="6220"/>
      <c r="Q433" s="6220"/>
      <c r="R433" s="6220"/>
      <c r="S433" s="6220"/>
      <c r="T433" s="6220"/>
      <c r="U433" s="6135"/>
      <c r="V433" s="6135"/>
      <c r="W433" s="6135"/>
      <c r="X433" s="6135"/>
      <c r="Y433" s="6135"/>
    </row>
    <row r="434">
      <c r="A434" s="6143"/>
      <c r="B434" s="6143"/>
      <c r="C434" s="6143"/>
      <c r="D434" s="6147"/>
      <c r="E434" s="6147"/>
      <c r="F434" s="6147"/>
      <c r="G434" s="6206"/>
      <c r="H434" s="6147"/>
      <c r="I434" s="6147"/>
      <c r="J434" s="6147"/>
      <c r="K434" s="6133"/>
      <c r="L434" s="6133"/>
      <c r="M434" s="6133"/>
      <c r="N434" s="6133"/>
      <c r="O434" s="6133"/>
      <c r="P434" s="6133"/>
      <c r="Q434" s="6133"/>
      <c r="R434" s="6133"/>
      <c r="S434" s="6133"/>
      <c r="T434" s="6133"/>
      <c r="U434" s="6135"/>
      <c r="V434" s="6135"/>
      <c r="W434" s="6135"/>
      <c r="X434" s="6135"/>
      <c r="Y434" s="6135"/>
    </row>
    <row r="435">
      <c r="A435" s="6371" t="s">
        <v>6695</v>
      </c>
      <c r="B435" s="6371"/>
      <c r="C435" s="6371"/>
      <c r="D435" s="6371"/>
      <c r="E435" s="6371"/>
      <c r="F435" s="6371"/>
      <c r="G435" s="6371"/>
      <c r="H435" s="6371"/>
      <c r="I435" s="6371"/>
      <c r="J435" s="6371"/>
      <c r="K435" s="6133"/>
      <c r="L435" s="6133"/>
      <c r="M435" s="6133"/>
      <c r="N435" s="6133"/>
      <c r="O435" s="6133"/>
      <c r="P435" s="6133"/>
      <c r="Q435" s="6133"/>
      <c r="R435" s="6133"/>
      <c r="S435" s="6133"/>
      <c r="T435" s="6133"/>
      <c r="U435" s="6135"/>
      <c r="V435" s="6135"/>
      <c r="W435" s="6135"/>
      <c r="X435" s="6135"/>
      <c r="Y435" s="6135"/>
    </row>
    <row r="436">
      <c r="A436" s="6372" t="s">
        <v>6313</v>
      </c>
      <c r="B436" s="6373" t="s">
        <v>6314</v>
      </c>
      <c r="C436" s="6373"/>
      <c r="D436" s="6374" t="s">
        <v>6315</v>
      </c>
      <c r="E436" s="6374" t="s">
        <v>6316</v>
      </c>
      <c r="F436" s="6374" t="s">
        <v>6317</v>
      </c>
      <c r="G436" s="6375" t="s">
        <v>6335</v>
      </c>
      <c r="H436" s="6374" t="s">
        <v>6319</v>
      </c>
      <c r="I436" s="6374" t="s">
        <v>6320</v>
      </c>
      <c r="J436" s="6374" t="s">
        <v>6321</v>
      </c>
      <c r="K436" s="6133"/>
      <c r="L436" s="6133"/>
      <c r="M436" s="6133"/>
      <c r="N436" s="6133"/>
      <c r="O436" s="6133"/>
      <c r="P436" s="6133"/>
      <c r="Q436" s="6133"/>
      <c r="R436" s="6133"/>
      <c r="S436" s="6133"/>
      <c r="T436" s="6133"/>
      <c r="U436" s="6135"/>
      <c r="V436" s="6135"/>
      <c r="W436" s="6135"/>
      <c r="X436" s="6135"/>
      <c r="Y436" s="6135"/>
    </row>
    <row r="437">
      <c r="A437" s="6143" t="s">
        <v>6695</v>
      </c>
      <c r="B437" s="6143">
        <v>46217</v>
      </c>
      <c r="C437" s="6143" t="str">
        <v>Tuesday</v>
      </c>
      <c r="D437" s="6144" t="s">
        <v>6472</v>
      </c>
      <c r="E437" s="6147">
        <f t="shared" ref="E437:E448" si="84">24*MOD(TIMEVALUE(TRIM(MID(D437,FIND("-",D437)+1,LEN(D437)))) - TIMEVALUE(TRIM(LEFT(D437,FIND("-",D437)-1))),1)</f>
      </c>
      <c r="F437" s="6147" t="s">
        <v>6328</v>
      </c>
      <c r="G437" s="6163" t="s">
        <v>6583</v>
      </c>
      <c r="H437" s="6321" t="s">
        <v>6325</v>
      </c>
      <c r="I437" s="6144" t="s">
        <v>6326</v>
      </c>
      <c r="J437" s="6144"/>
      <c r="K437" s="6133"/>
      <c r="L437" s="6133"/>
      <c r="M437" s="6133"/>
      <c r="N437" s="6133"/>
      <c r="O437" s="6133"/>
      <c r="P437" s="6133"/>
      <c r="Q437" s="6133"/>
      <c r="R437" s="6133"/>
      <c r="S437" s="6133"/>
      <c r="T437" s="6133"/>
      <c r="U437" s="6134"/>
      <c r="V437" s="6134"/>
      <c r="W437" s="6134"/>
      <c r="X437" s="6134"/>
      <c r="Y437" s="6134"/>
    </row>
    <row r="438">
      <c r="A438" s="6143" t="s">
        <v>6695</v>
      </c>
      <c r="B438" s="6143">
        <v>46217</v>
      </c>
      <c r="C438" s="6143" t="str">
        <v>Tuesday</v>
      </c>
      <c r="D438" s="6144" t="s">
        <v>6696</v>
      </c>
      <c r="E438" s="6147">
        <f t="shared" si="84"/>
      </c>
      <c r="F438" s="6147" t="s">
        <v>6697</v>
      </c>
      <c r="G438" s="6163" t="s">
        <v>6698</v>
      </c>
      <c r="H438" s="6321" t="s">
        <v>6325</v>
      </c>
      <c r="I438" s="6144" t="s">
        <v>6326</v>
      </c>
      <c r="J438" s="6144"/>
      <c r="K438" s="6133"/>
      <c r="L438" s="6133"/>
      <c r="M438" s="6133"/>
      <c r="N438" s="6133"/>
      <c r="O438" s="6133"/>
      <c r="P438" s="6133"/>
      <c r="Q438" s="6133"/>
      <c r="R438" s="6133"/>
      <c r="S438" s="6133"/>
      <c r="T438" s="6133"/>
      <c r="U438" s="6134"/>
      <c r="V438" s="6134"/>
      <c r="W438" s="6134"/>
      <c r="X438" s="6134"/>
      <c r="Y438" s="6134"/>
    </row>
    <row r="439">
      <c r="A439" s="6143" t="s">
        <v>6695</v>
      </c>
      <c r="B439" s="6143">
        <v>46218</v>
      </c>
      <c r="C439" s="6143" t="str">
        <v>Wednesday</v>
      </c>
      <c r="D439" s="6144" t="s">
        <v>6472</v>
      </c>
      <c r="E439" s="6147">
        <f t="shared" si="84"/>
      </c>
      <c r="F439" s="6147" t="s">
        <v>6531</v>
      </c>
      <c r="G439" s="6163" t="s">
        <v>6583</v>
      </c>
      <c r="H439" s="6321" t="s">
        <v>6325</v>
      </c>
      <c r="I439" s="6144" t="s">
        <v>6326</v>
      </c>
      <c r="J439" s="6144"/>
      <c r="K439" s="6133"/>
      <c r="L439" s="6133"/>
      <c r="M439" s="6133"/>
      <c r="N439" s="6133"/>
      <c r="O439" s="6133"/>
      <c r="P439" s="6133"/>
      <c r="Q439" s="6133"/>
      <c r="R439" s="6133"/>
      <c r="S439" s="6133"/>
      <c r="T439" s="6133"/>
      <c r="U439" s="6134"/>
      <c r="V439" s="6134"/>
      <c r="W439" s="6134"/>
      <c r="X439" s="6134"/>
      <c r="Y439" s="6134"/>
    </row>
    <row r="440">
      <c r="A440" s="6143" t="s">
        <v>6695</v>
      </c>
      <c r="B440" s="6143">
        <v>46218</v>
      </c>
      <c r="C440" s="6143" t="str">
        <v>Wednesday</v>
      </c>
      <c r="D440" s="6144" t="s">
        <v>6696</v>
      </c>
      <c r="E440" s="6147">
        <f t="shared" si="84"/>
      </c>
      <c r="F440" s="6147" t="s">
        <v>6372</v>
      </c>
      <c r="G440" s="6163" t="s">
        <v>6699</v>
      </c>
      <c r="H440" s="6321" t="s">
        <v>6325</v>
      </c>
      <c r="I440" s="6144" t="s">
        <v>6326</v>
      </c>
      <c r="J440" s="6144"/>
      <c r="K440" s="6133"/>
      <c r="L440" s="6133"/>
      <c r="M440" s="6133"/>
      <c r="N440" s="6133"/>
      <c r="O440" s="6133"/>
      <c r="P440" s="6133"/>
      <c r="Q440" s="6133"/>
      <c r="R440" s="6133"/>
      <c r="S440" s="6133"/>
      <c r="T440" s="6133"/>
      <c r="U440" s="6134"/>
      <c r="V440" s="6134"/>
      <c r="W440" s="6134"/>
      <c r="X440" s="6134"/>
      <c r="Y440" s="6134"/>
    </row>
    <row r="441">
      <c r="A441" s="6143" t="s">
        <v>6695</v>
      </c>
      <c r="B441" s="6143">
        <v>46219</v>
      </c>
      <c r="C441" s="6143" t="str">
        <v>Thursday</v>
      </c>
      <c r="D441" s="6144" t="s">
        <v>6494</v>
      </c>
      <c r="E441" s="6147">
        <f t="shared" si="84"/>
      </c>
      <c r="F441" s="6147" t="s">
        <v>6531</v>
      </c>
      <c r="G441" s="6163" t="s">
        <v>6700</v>
      </c>
      <c r="H441" s="6321" t="s">
        <v>6325</v>
      </c>
      <c r="I441" s="6144" t="s">
        <v>6326</v>
      </c>
      <c r="J441" s="6144"/>
      <c r="K441" s="6133"/>
      <c r="L441" s="6133"/>
      <c r="M441" s="6133"/>
      <c r="N441" s="6133"/>
      <c r="O441" s="6133"/>
      <c r="P441" s="6133"/>
      <c r="Q441" s="6133"/>
      <c r="R441" s="6133"/>
      <c r="S441" s="6133"/>
      <c r="T441" s="6133"/>
      <c r="U441" s="6134"/>
      <c r="V441" s="6134"/>
      <c r="W441" s="6134"/>
      <c r="X441" s="6134"/>
      <c r="Y441" s="6134"/>
    </row>
    <row r="442">
      <c r="A442" s="6143" t="s">
        <v>6695</v>
      </c>
      <c r="B442" s="6143">
        <v>46219</v>
      </c>
      <c r="C442" s="6143" t="str">
        <v>Thursday</v>
      </c>
      <c r="D442" s="6144" t="s">
        <v>6701</v>
      </c>
      <c r="E442" s="6147">
        <f t="shared" si="84"/>
      </c>
      <c r="F442" s="6147" t="s">
        <v>6372</v>
      </c>
      <c r="G442" s="6163" t="s">
        <v>6702</v>
      </c>
      <c r="H442" s="6321" t="s">
        <v>6325</v>
      </c>
      <c r="I442" s="6144" t="s">
        <v>6326</v>
      </c>
      <c r="J442" s="6144"/>
      <c r="K442" s="6133"/>
      <c r="L442" s="6133"/>
      <c r="M442" s="6133"/>
      <c r="N442" s="6133"/>
      <c r="O442" s="6133"/>
      <c r="P442" s="6133"/>
      <c r="Q442" s="6133"/>
      <c r="R442" s="6133"/>
      <c r="S442" s="6133"/>
      <c r="T442" s="6133"/>
      <c r="U442" s="6134"/>
      <c r="V442" s="6134"/>
      <c r="W442" s="6134"/>
      <c r="X442" s="6134"/>
      <c r="Y442" s="6134"/>
    </row>
    <row r="443">
      <c r="A443" s="6143" t="s">
        <v>6695</v>
      </c>
      <c r="B443" s="6143">
        <v>46220</v>
      </c>
      <c r="C443" s="6143" t="str">
        <v>Friday</v>
      </c>
      <c r="D443" s="6144" t="s">
        <v>6472</v>
      </c>
      <c r="E443" s="6147">
        <f t="shared" si="84"/>
      </c>
      <c r="F443" s="6147" t="s">
        <v>6328</v>
      </c>
      <c r="G443" s="6163" t="s">
        <v>6703</v>
      </c>
      <c r="H443" s="6321" t="s">
        <v>6325</v>
      </c>
      <c r="I443" s="6144" t="s">
        <v>6326</v>
      </c>
      <c r="J443" s="6144"/>
      <c r="K443" s="6133"/>
      <c r="L443" s="6133"/>
      <c r="M443" s="6133"/>
      <c r="N443" s="6133"/>
      <c r="O443" s="6133"/>
      <c r="P443" s="6133"/>
      <c r="Q443" s="6133"/>
      <c r="R443" s="6133"/>
      <c r="S443" s="6133"/>
      <c r="T443" s="6133"/>
      <c r="U443" s="6134"/>
      <c r="V443" s="6134"/>
      <c r="W443" s="6134"/>
      <c r="X443" s="6134"/>
      <c r="Y443" s="6134"/>
    </row>
    <row r="444">
      <c r="A444" s="6143" t="s">
        <v>6695</v>
      </c>
      <c r="B444" s="6143">
        <v>46220</v>
      </c>
      <c r="C444" s="6143" t="str">
        <v>Friday</v>
      </c>
      <c r="D444" s="6144" t="s">
        <v>6603</v>
      </c>
      <c r="E444" s="6147">
        <f t="shared" si="84"/>
      </c>
      <c r="F444" s="6147" t="s">
        <v>6697</v>
      </c>
      <c r="G444" s="6163" t="s">
        <v>6704</v>
      </c>
      <c r="H444" s="6321" t="s">
        <v>6325</v>
      </c>
      <c r="I444" s="6144" t="s">
        <v>6326</v>
      </c>
      <c r="J444" s="6144"/>
      <c r="K444" s="6133"/>
      <c r="L444" s="6133"/>
      <c r="M444" s="6133"/>
      <c r="N444" s="6133"/>
      <c r="O444" s="6133"/>
      <c r="P444" s="6133"/>
      <c r="Q444" s="6133"/>
      <c r="R444" s="6133"/>
      <c r="S444" s="6133"/>
      <c r="T444" s="6133"/>
      <c r="U444" s="6134"/>
      <c r="V444" s="6134"/>
      <c r="W444" s="6134"/>
      <c r="X444" s="6134"/>
      <c r="Y444" s="6134"/>
    </row>
    <row r="445">
      <c r="A445" s="6143" t="s">
        <v>6695</v>
      </c>
      <c r="B445" s="6143">
        <v>46221</v>
      </c>
      <c r="C445" s="6143" t="str">
        <v>Saturday</v>
      </c>
      <c r="D445" s="6144" t="s">
        <v>6472</v>
      </c>
      <c r="E445" s="6147">
        <f t="shared" si="84"/>
      </c>
      <c r="F445" s="6147" t="s">
        <v>6324</v>
      </c>
      <c r="G445" s="6163" t="s">
        <v>6700</v>
      </c>
      <c r="H445" s="6321" t="s">
        <v>6325</v>
      </c>
      <c r="I445" s="6144" t="s">
        <v>6326</v>
      </c>
      <c r="J445" s="6144"/>
      <c r="K445" s="6133"/>
      <c r="L445" s="6133"/>
      <c r="M445" s="6133"/>
      <c r="N445" s="6133"/>
      <c r="O445" s="6133"/>
      <c r="P445" s="6133"/>
      <c r="Q445" s="6133"/>
      <c r="R445" s="6133"/>
      <c r="S445" s="6133"/>
      <c r="T445" s="6133"/>
      <c r="U445" s="6134"/>
      <c r="V445" s="6134"/>
      <c r="W445" s="6134"/>
      <c r="X445" s="6134"/>
      <c r="Y445" s="6134"/>
    </row>
    <row r="446">
      <c r="A446" s="6143" t="s">
        <v>6695</v>
      </c>
      <c r="B446" s="6143">
        <v>46221</v>
      </c>
      <c r="C446" s="6143" t="str">
        <v>Saturday</v>
      </c>
      <c r="D446" s="6144" t="s">
        <v>6705</v>
      </c>
      <c r="E446" s="6147">
        <f t="shared" si="84"/>
      </c>
      <c r="F446" s="6147" t="s">
        <v>6559</v>
      </c>
      <c r="G446" s="6163" t="s">
        <v>6706</v>
      </c>
      <c r="H446" s="6321" t="s">
        <v>6325</v>
      </c>
      <c r="I446" s="6144" t="s">
        <v>6326</v>
      </c>
      <c r="J446" s="6144"/>
      <c r="K446" s="6133"/>
      <c r="L446" s="6133"/>
      <c r="M446" s="6133"/>
      <c r="N446" s="6133"/>
      <c r="O446" s="6133"/>
      <c r="P446" s="6133"/>
      <c r="Q446" s="6133"/>
      <c r="R446" s="6133"/>
      <c r="S446" s="6133"/>
      <c r="T446" s="6133"/>
      <c r="U446" s="6134"/>
      <c r="V446" s="6134"/>
      <c r="W446" s="6134"/>
      <c r="X446" s="6134"/>
      <c r="Y446" s="6134"/>
    </row>
    <row r="447">
      <c r="A447" s="6143" t="s">
        <v>6695</v>
      </c>
      <c r="B447" s="6143">
        <v>46222</v>
      </c>
      <c r="C447" s="6143" t="str">
        <v>Sunday</v>
      </c>
      <c r="D447" s="6144" t="s">
        <v>6357</v>
      </c>
      <c r="E447" s="6147">
        <f t="shared" si="84"/>
      </c>
      <c r="F447" s="6147" t="s">
        <v>6372</v>
      </c>
      <c r="G447" s="6163" t="s">
        <v>6704</v>
      </c>
      <c r="H447" s="6321" t="s">
        <v>6325</v>
      </c>
      <c r="I447" s="6144" t="s">
        <v>6326</v>
      </c>
      <c r="J447" s="6144"/>
      <c r="K447" s="6133"/>
      <c r="L447" s="6133"/>
      <c r="M447" s="6133"/>
      <c r="N447" s="6133"/>
      <c r="O447" s="6133"/>
      <c r="P447" s="6133"/>
      <c r="Q447" s="6133"/>
      <c r="R447" s="6133"/>
      <c r="S447" s="6133"/>
      <c r="T447" s="6133"/>
      <c r="U447" s="6134"/>
      <c r="V447" s="6134"/>
      <c r="W447" s="6134"/>
      <c r="X447" s="6134"/>
      <c r="Y447" s="6134"/>
    </row>
    <row r="448">
      <c r="A448" s="6143" t="s">
        <v>6695</v>
      </c>
      <c r="B448" s="6143">
        <v>46222</v>
      </c>
      <c r="C448" s="6143" t="str">
        <v>Sunday</v>
      </c>
      <c r="D448" s="6144" t="s">
        <v>6696</v>
      </c>
      <c r="E448" s="6147">
        <f t="shared" si="84"/>
      </c>
      <c r="F448" s="6147" t="s">
        <v>6559</v>
      </c>
      <c r="G448" s="6163" t="s">
        <v>6706</v>
      </c>
      <c r="H448" s="6321" t="s">
        <v>6325</v>
      </c>
      <c r="I448" s="6144" t="s">
        <v>6326</v>
      </c>
      <c r="J448" s="6144"/>
      <c r="K448" s="6133"/>
      <c r="L448" s="6133"/>
      <c r="M448" s="6133"/>
      <c r="N448" s="6133"/>
      <c r="O448" s="6133"/>
      <c r="P448" s="6133"/>
      <c r="Q448" s="6133"/>
      <c r="R448" s="6133"/>
      <c r="S448" s="6133"/>
      <c r="T448" s="6133"/>
      <c r="U448" s="6134"/>
      <c r="V448" s="6134"/>
      <c r="W448" s="6134"/>
      <c r="X448" s="6134"/>
      <c r="Y448" s="6134"/>
    </row>
    <row r="449">
      <c r="A449" s="6143"/>
      <c r="B449" s="6143"/>
      <c r="C449" s="6143"/>
      <c r="D449" s="6144"/>
      <c r="E449" s="6144"/>
      <c r="F449" s="6147"/>
      <c r="G449" s="6163"/>
      <c r="H449" s="6321"/>
      <c r="I449" s="6144"/>
      <c r="J449" s="6144"/>
      <c r="K449" s="6133"/>
      <c r="L449" s="6133"/>
      <c r="M449" s="6133"/>
      <c r="N449" s="6133"/>
      <c r="O449" s="6133"/>
      <c r="P449" s="6133"/>
      <c r="Q449" s="6133"/>
      <c r="R449" s="6133"/>
      <c r="S449" s="6133"/>
      <c r="T449" s="6133"/>
      <c r="U449" s="6134"/>
      <c r="V449" s="6134"/>
      <c r="W449" s="6134"/>
      <c r="X449" s="6134"/>
      <c r="Y449" s="6134"/>
    </row>
    <row r="450">
      <c r="A450" s="6143" t="s">
        <v>6707</v>
      </c>
      <c r="B450" s="6143">
        <v>46217</v>
      </c>
      <c r="C450" s="6143" t="str">
        <v>Tuesday</v>
      </c>
      <c r="D450" s="6144" t="s">
        <v>6708</v>
      </c>
      <c r="E450" s="6147">
        <f t="shared" ref="E450:E461" si="85">24*MOD(TIMEVALUE(TRIM(MID(D450,FIND("-",D450)+1,LEN(D450)))) - TIMEVALUE(TRIM(LEFT(D450,FIND("-",D450)-1))),1)</f>
      </c>
      <c r="F450" s="6144" t="s">
        <v>6519</v>
      </c>
      <c r="G450" s="6163"/>
      <c r="H450" s="6321" t="s">
        <v>6325</v>
      </c>
      <c r="I450" s="6144" t="s">
        <v>6326</v>
      </c>
      <c r="J450" s="6144"/>
      <c r="K450" s="6133"/>
      <c r="L450" s="6133"/>
      <c r="M450" s="6133"/>
      <c r="N450" s="6133"/>
      <c r="O450" s="6133"/>
      <c r="P450" s="6133"/>
      <c r="Q450" s="6133"/>
      <c r="R450" s="6133"/>
      <c r="S450" s="6133"/>
      <c r="T450" s="6133"/>
      <c r="U450" s="6134"/>
      <c r="V450" s="6134"/>
      <c r="W450" s="6134"/>
      <c r="X450" s="6134"/>
      <c r="Y450" s="6134"/>
    </row>
    <row r="451">
      <c r="A451" s="6143" t="s">
        <v>6707</v>
      </c>
      <c r="B451" s="6143">
        <v>46217</v>
      </c>
      <c r="C451" s="6143" t="str">
        <v>Tuesday</v>
      </c>
      <c r="D451" s="6144" t="s">
        <v>6709</v>
      </c>
      <c r="E451" s="6147">
        <f t="shared" si="85"/>
      </c>
      <c r="F451" s="6144" t="s">
        <v>6385</v>
      </c>
      <c r="G451" s="6163"/>
      <c r="H451" s="6321" t="s">
        <v>6325</v>
      </c>
      <c r="I451" s="6144" t="s">
        <v>6326</v>
      </c>
      <c r="J451" s="6144"/>
      <c r="K451" s="6133"/>
      <c r="L451" s="6133"/>
      <c r="M451" s="6133"/>
      <c r="N451" s="6133"/>
      <c r="O451" s="6133"/>
      <c r="P451" s="6133"/>
      <c r="Q451" s="6133"/>
      <c r="R451" s="6133"/>
      <c r="S451" s="6133"/>
      <c r="T451" s="6133"/>
      <c r="U451" s="6134"/>
      <c r="V451" s="6134"/>
      <c r="W451" s="6134"/>
      <c r="X451" s="6134"/>
      <c r="Y451" s="6134"/>
    </row>
    <row r="452">
      <c r="A452" s="6143" t="s">
        <v>6707</v>
      </c>
      <c r="B452" s="6143">
        <v>46218</v>
      </c>
      <c r="C452" s="6143" t="str">
        <v>Wednesday</v>
      </c>
      <c r="D452" s="6144" t="s">
        <v>6708</v>
      </c>
      <c r="E452" s="6147">
        <f t="shared" si="85"/>
      </c>
      <c r="F452" s="6144" t="s">
        <v>6519</v>
      </c>
      <c r="G452" s="6163"/>
      <c r="H452" s="6321" t="s">
        <v>6325</v>
      </c>
      <c r="I452" s="6144" t="s">
        <v>6326</v>
      </c>
      <c r="J452" s="6144"/>
      <c r="K452" s="6133"/>
      <c r="L452" s="6133"/>
      <c r="M452" s="6133"/>
      <c r="N452" s="6133"/>
      <c r="O452" s="6133"/>
      <c r="P452" s="6133"/>
      <c r="Q452" s="6133"/>
      <c r="R452" s="6133"/>
      <c r="S452" s="6133"/>
      <c r="T452" s="6133"/>
      <c r="U452" s="6134"/>
      <c r="V452" s="6134"/>
      <c r="W452" s="6134"/>
      <c r="X452" s="6134"/>
      <c r="Y452" s="6134"/>
    </row>
    <row r="453">
      <c r="A453" s="6143" t="s">
        <v>6707</v>
      </c>
      <c r="B453" s="6143">
        <v>46218</v>
      </c>
      <c r="C453" s="6143" t="str">
        <v>Wednesday</v>
      </c>
      <c r="D453" s="6144" t="s">
        <v>6710</v>
      </c>
      <c r="E453" s="6147">
        <f t="shared" si="85"/>
      </c>
      <c r="F453" s="6144" t="s">
        <v>6385</v>
      </c>
      <c r="G453" s="6163"/>
      <c r="H453" s="6321" t="s">
        <v>6325</v>
      </c>
      <c r="I453" s="6144" t="s">
        <v>6326</v>
      </c>
      <c r="J453" s="6144"/>
      <c r="K453" s="6133"/>
      <c r="L453" s="6133"/>
      <c r="M453" s="6133"/>
      <c r="N453" s="6133"/>
      <c r="O453" s="6133"/>
      <c r="P453" s="6133"/>
      <c r="Q453" s="6133"/>
      <c r="R453" s="6133"/>
      <c r="S453" s="6133"/>
      <c r="T453" s="6133"/>
      <c r="U453" s="6134"/>
      <c r="V453" s="6134"/>
      <c r="W453" s="6134"/>
      <c r="X453" s="6134"/>
      <c r="Y453" s="6134"/>
    </row>
    <row r="454">
      <c r="A454" s="6143" t="s">
        <v>6707</v>
      </c>
      <c r="B454" s="6143">
        <v>46219</v>
      </c>
      <c r="C454" s="6143" t="str">
        <v>Thursday</v>
      </c>
      <c r="D454" s="6144" t="s">
        <v>6711</v>
      </c>
      <c r="E454" s="6147">
        <f t="shared" si="85"/>
      </c>
      <c r="F454" s="6144" t="s">
        <v>6682</v>
      </c>
      <c r="G454" s="6163" t="s">
        <v>6712</v>
      </c>
      <c r="H454" s="6321" t="s">
        <v>6325</v>
      </c>
      <c r="I454" s="6144" t="s">
        <v>6326</v>
      </c>
      <c r="J454" s="6144"/>
      <c r="K454" s="6133"/>
      <c r="L454" s="6133"/>
      <c r="M454" s="6133"/>
      <c r="N454" s="6133"/>
      <c r="O454" s="6133"/>
      <c r="P454" s="6133"/>
      <c r="Q454" s="6133"/>
      <c r="R454" s="6133"/>
      <c r="S454" s="6133"/>
      <c r="T454" s="6133"/>
      <c r="U454" s="6134"/>
      <c r="V454" s="6134"/>
      <c r="W454" s="6134"/>
      <c r="X454" s="6134"/>
      <c r="Y454" s="6134"/>
    </row>
    <row r="455">
      <c r="A455" s="6143" t="s">
        <v>6707</v>
      </c>
      <c r="B455" s="6143">
        <v>46219</v>
      </c>
      <c r="C455" s="6143" t="str">
        <v>Thursday</v>
      </c>
      <c r="D455" s="6144" t="s">
        <v>6710</v>
      </c>
      <c r="E455" s="6147">
        <f t="shared" si="85"/>
      </c>
      <c r="F455" s="6147" t="s">
        <v>6559</v>
      </c>
      <c r="G455" s="6163"/>
      <c r="H455" s="6321" t="s">
        <v>6325</v>
      </c>
      <c r="I455" s="6144" t="s">
        <v>6326</v>
      </c>
      <c r="J455" s="6144"/>
      <c r="K455" s="6133"/>
      <c r="L455" s="6133"/>
      <c r="M455" s="6133"/>
      <c r="N455" s="6133"/>
      <c r="O455" s="6133"/>
      <c r="P455" s="6133"/>
      <c r="Q455" s="6133"/>
      <c r="R455" s="6133"/>
      <c r="S455" s="6133"/>
      <c r="T455" s="6133"/>
      <c r="U455" s="6134"/>
      <c r="V455" s="6134"/>
      <c r="W455" s="6134"/>
      <c r="X455" s="6134"/>
      <c r="Y455" s="6134"/>
    </row>
    <row r="456">
      <c r="A456" s="6143" t="s">
        <v>6707</v>
      </c>
      <c r="B456" s="6143">
        <v>46220</v>
      </c>
      <c r="C456" s="6143" t="str">
        <v>Friday</v>
      </c>
      <c r="D456" s="6144" t="s">
        <v>6708</v>
      </c>
      <c r="E456" s="6147">
        <f t="shared" si="85"/>
      </c>
      <c r="F456" s="6144" t="s">
        <v>6682</v>
      </c>
      <c r="G456" s="6163" t="s">
        <v>6713</v>
      </c>
      <c r="H456" s="6321" t="s">
        <v>6325</v>
      </c>
      <c r="I456" s="6144" t="s">
        <v>6326</v>
      </c>
      <c r="J456" s="6144"/>
      <c r="K456" s="6133"/>
      <c r="L456" s="6133"/>
      <c r="M456" s="6133"/>
      <c r="N456" s="6133"/>
      <c r="O456" s="6133"/>
      <c r="P456" s="6133"/>
      <c r="Q456" s="6133"/>
      <c r="R456" s="6133"/>
      <c r="S456" s="6133"/>
      <c r="T456" s="6133"/>
      <c r="U456" s="6134"/>
      <c r="V456" s="6134"/>
      <c r="W456" s="6134"/>
      <c r="X456" s="6134"/>
      <c r="Y456" s="6134"/>
    </row>
    <row r="457">
      <c r="A457" s="6143" t="s">
        <v>6707</v>
      </c>
      <c r="B457" s="6143">
        <v>46220</v>
      </c>
      <c r="C457" s="6143" t="str">
        <v>Friday</v>
      </c>
      <c r="D457" s="6144" t="s">
        <v>6714</v>
      </c>
      <c r="E457" s="6147">
        <f t="shared" si="85"/>
      </c>
      <c r="F457" s="6144" t="s">
        <v>6497</v>
      </c>
      <c r="G457" s="6163"/>
      <c r="H457" s="6321" t="s">
        <v>6325</v>
      </c>
      <c r="I457" s="6144" t="s">
        <v>6326</v>
      </c>
      <c r="J457" s="6144"/>
      <c r="K457" s="6133"/>
      <c r="L457" s="6133"/>
      <c r="M457" s="6133"/>
      <c r="N457" s="6133"/>
      <c r="O457" s="6133"/>
      <c r="P457" s="6133"/>
      <c r="Q457" s="6133"/>
      <c r="R457" s="6133"/>
      <c r="S457" s="6133"/>
      <c r="T457" s="6133"/>
      <c r="U457" s="6134"/>
      <c r="V457" s="6134"/>
      <c r="W457" s="6134"/>
      <c r="X457" s="6134"/>
      <c r="Y457" s="6134"/>
    </row>
    <row r="458">
      <c r="A458" s="6143" t="s">
        <v>6707</v>
      </c>
      <c r="B458" s="6143">
        <v>46221</v>
      </c>
      <c r="C458" s="6143" t="str">
        <v>Saturday</v>
      </c>
      <c r="D458" s="6144" t="s">
        <v>6708</v>
      </c>
      <c r="E458" s="6147">
        <f t="shared" si="85"/>
      </c>
      <c r="F458" s="6144" t="s">
        <v>6682</v>
      </c>
      <c r="G458" s="6163" t="s">
        <v>6715</v>
      </c>
      <c r="H458" s="6321" t="s">
        <v>6325</v>
      </c>
      <c r="I458" s="6144" t="s">
        <v>6326</v>
      </c>
      <c r="J458" s="6144"/>
      <c r="K458" s="6133"/>
      <c r="L458" s="6133"/>
      <c r="M458" s="6133"/>
      <c r="N458" s="6133"/>
      <c r="O458" s="6133"/>
      <c r="P458" s="6133"/>
      <c r="Q458" s="6133"/>
      <c r="R458" s="6133"/>
      <c r="S458" s="6133"/>
      <c r="T458" s="6133"/>
      <c r="U458" s="6134"/>
      <c r="V458" s="6134"/>
      <c r="W458" s="6134"/>
      <c r="X458" s="6134"/>
      <c r="Y458" s="6134"/>
    </row>
    <row r="459">
      <c r="A459" s="6143" t="s">
        <v>6707</v>
      </c>
      <c r="B459" s="6143">
        <v>46221</v>
      </c>
      <c r="C459" s="6143" t="str">
        <v>Saturday</v>
      </c>
      <c r="D459" s="6144" t="s">
        <v>6710</v>
      </c>
      <c r="E459" s="6147">
        <f t="shared" si="85"/>
      </c>
      <c r="F459" s="6144" t="s">
        <v>6360</v>
      </c>
      <c r="G459" s="6163"/>
      <c r="H459" s="6321" t="s">
        <v>6325</v>
      </c>
      <c r="I459" s="6144" t="s">
        <v>6326</v>
      </c>
      <c r="J459" s="6144"/>
      <c r="K459" s="6133"/>
      <c r="L459" s="6133"/>
      <c r="M459" s="6133"/>
      <c r="N459" s="6133"/>
      <c r="O459" s="6133"/>
      <c r="P459" s="6133"/>
      <c r="Q459" s="6133"/>
      <c r="R459" s="6133"/>
      <c r="S459" s="6133"/>
      <c r="T459" s="6133"/>
      <c r="U459" s="6134"/>
      <c r="V459" s="6134"/>
      <c r="W459" s="6134"/>
      <c r="X459" s="6134"/>
      <c r="Y459" s="6134"/>
    </row>
    <row r="460">
      <c r="A460" s="6143" t="s">
        <v>6707</v>
      </c>
      <c r="B460" s="6143">
        <v>46222</v>
      </c>
      <c r="C460" s="6143" t="str">
        <v>Sunday</v>
      </c>
      <c r="D460" s="6144" t="s">
        <v>6668</v>
      </c>
      <c r="E460" s="6147">
        <f t="shared" si="85"/>
      </c>
      <c r="F460" s="6144" t="s">
        <v>6497</v>
      </c>
      <c r="G460" s="6163"/>
      <c r="H460" s="6321" t="s">
        <v>6325</v>
      </c>
      <c r="I460" s="6144" t="s">
        <v>6326</v>
      </c>
      <c r="J460" s="6144"/>
      <c r="K460" s="6133"/>
      <c r="L460" s="6133"/>
      <c r="M460" s="6133"/>
      <c r="N460" s="6133"/>
      <c r="O460" s="6133"/>
      <c r="P460" s="6133"/>
      <c r="Q460" s="6133"/>
      <c r="R460" s="6133"/>
      <c r="S460" s="6133"/>
      <c r="T460" s="6133"/>
      <c r="U460" s="6134"/>
      <c r="V460" s="6134"/>
      <c r="W460" s="6134"/>
      <c r="X460" s="6134"/>
      <c r="Y460" s="6134"/>
    </row>
    <row r="461">
      <c r="A461" s="6143" t="s">
        <v>6707</v>
      </c>
      <c r="B461" s="6143">
        <v>46222</v>
      </c>
      <c r="C461" s="6143" t="str">
        <v>Sunday</v>
      </c>
      <c r="D461" s="6144" t="s">
        <v>6710</v>
      </c>
      <c r="E461" s="6147">
        <f t="shared" si="85"/>
      </c>
      <c r="F461" s="6147" t="s">
        <v>6360</v>
      </c>
      <c r="G461" s="6163"/>
      <c r="H461" s="6321" t="s">
        <v>6325</v>
      </c>
      <c r="I461" s="6144" t="s">
        <v>6326</v>
      </c>
      <c r="J461" s="6144"/>
      <c r="K461" s="6133"/>
      <c r="L461" s="6133"/>
      <c r="M461" s="6133"/>
      <c r="N461" s="6133"/>
      <c r="O461" s="6133"/>
      <c r="P461" s="6133"/>
      <c r="Q461" s="6133"/>
      <c r="R461" s="6133"/>
      <c r="S461" s="6133"/>
      <c r="T461" s="6133"/>
      <c r="U461" s="6134"/>
      <c r="V461" s="6134"/>
      <c r="W461" s="6134"/>
      <c r="X461" s="6134"/>
      <c r="Y461" s="6134"/>
    </row>
    <row r="462">
      <c r="A462" s="6143"/>
      <c r="B462" s="6143"/>
      <c r="C462" s="6143"/>
      <c r="D462" s="6144"/>
      <c r="E462" s="6147"/>
      <c r="F462" s="6144"/>
      <c r="G462" s="6163"/>
      <c r="H462" s="6321"/>
      <c r="I462" s="6144"/>
      <c r="J462" s="6144"/>
      <c r="K462" s="6133"/>
      <c r="L462" s="6133"/>
      <c r="M462" s="6133"/>
      <c r="N462" s="6133"/>
      <c r="O462" s="6133"/>
      <c r="P462" s="6133"/>
      <c r="Q462" s="6133"/>
      <c r="R462" s="6133"/>
      <c r="S462" s="6133"/>
      <c r="T462" s="6133"/>
      <c r="U462" s="6134"/>
      <c r="V462" s="6134"/>
      <c r="W462" s="6134"/>
      <c r="X462" s="6134"/>
      <c r="Y462" s="6134"/>
    </row>
    <row r="463">
      <c r="A463" s="6143" t="s">
        <v>6716</v>
      </c>
      <c r="B463" s="6143">
        <v>46217</v>
      </c>
      <c r="C463" s="6143" t="str">
        <v>Tuesday</v>
      </c>
      <c r="D463" s="6144" t="s">
        <v>6358</v>
      </c>
      <c r="E463" s="6147">
        <f t="shared" ref="E463:E473" si="86">24*MOD(TIMEVALUE(TRIM(MID(D463,FIND("-",D463)+1,LEN(D463)))) - TIMEVALUE(TRIM(LEFT(D463,FIND("-",D463)-1))),1)</f>
      </c>
      <c r="F463" s="6144" t="s">
        <v>6475</v>
      </c>
      <c r="G463" s="6144" t="s">
        <v>6717</v>
      </c>
      <c r="H463" s="6321" t="s">
        <v>6325</v>
      </c>
      <c r="I463" s="6144" t="s">
        <v>6326</v>
      </c>
      <c r="J463" s="6144"/>
      <c r="K463" s="6133"/>
      <c r="L463" s="6133"/>
      <c r="M463" s="6133"/>
      <c r="N463" s="6133"/>
      <c r="O463" s="6133"/>
      <c r="P463" s="6133"/>
      <c r="Q463" s="6133"/>
      <c r="R463" s="6133"/>
      <c r="S463" s="6133"/>
      <c r="T463" s="6133"/>
      <c r="U463" s="6134"/>
      <c r="V463" s="6134"/>
      <c r="W463" s="6134"/>
      <c r="X463" s="6134"/>
      <c r="Y463" s="6134"/>
    </row>
    <row r="464">
      <c r="A464" s="6143" t="s">
        <v>6716</v>
      </c>
      <c r="B464" s="6143">
        <v>46217</v>
      </c>
      <c r="C464" s="6143" t="str">
        <v>Tuesday</v>
      </c>
      <c r="D464" s="6144" t="s">
        <v>6549</v>
      </c>
      <c r="E464" s="6147">
        <f t="shared" si="86"/>
      </c>
      <c r="F464" s="6144" t="s">
        <v>6475</v>
      </c>
      <c r="G464" s="6144" t="s">
        <v>6688</v>
      </c>
      <c r="H464" s="6321" t="s">
        <v>6325</v>
      </c>
      <c r="I464" s="6144" t="s">
        <v>6326</v>
      </c>
      <c r="J464" s="6144"/>
      <c r="K464" s="6133"/>
      <c r="L464" s="6133"/>
      <c r="M464" s="6133"/>
      <c r="N464" s="6133"/>
      <c r="O464" s="6133"/>
      <c r="P464" s="6133"/>
      <c r="Q464" s="6133"/>
      <c r="R464" s="6133"/>
      <c r="S464" s="6133"/>
      <c r="T464" s="6133"/>
      <c r="U464" s="6134"/>
      <c r="V464" s="6134"/>
      <c r="W464" s="6134"/>
      <c r="X464" s="6134"/>
      <c r="Y464" s="6134"/>
    </row>
    <row r="465">
      <c r="A465" s="6143" t="s">
        <v>6718</v>
      </c>
      <c r="B465" s="6143">
        <v>46217</v>
      </c>
      <c r="C465" s="6143" t="str">
        <v>Tuesday</v>
      </c>
      <c r="D465" s="6144" t="s">
        <v>6469</v>
      </c>
      <c r="E465" s="6147">
        <f t="shared" si="86"/>
      </c>
      <c r="F465" s="6144" t="s">
        <v>6385</v>
      </c>
      <c r="G465" s="6144" t="s">
        <v>6688</v>
      </c>
      <c r="H465" s="6321" t="s">
        <v>6325</v>
      </c>
      <c r="I465" s="6144" t="s">
        <v>6326</v>
      </c>
      <c r="J465" s="6144"/>
      <c r="K465" s="6133"/>
      <c r="L465" s="6133"/>
      <c r="M465" s="6133"/>
      <c r="N465" s="6133"/>
      <c r="O465" s="6133"/>
      <c r="P465" s="6133"/>
      <c r="Q465" s="6133"/>
      <c r="R465" s="6133"/>
      <c r="S465" s="6133"/>
      <c r="T465" s="6133"/>
      <c r="U465" s="6134"/>
      <c r="V465" s="6134"/>
      <c r="W465" s="6134"/>
      <c r="X465" s="6134"/>
      <c r="Y465" s="6134"/>
    </row>
    <row r="466">
      <c r="A466" s="6143" t="s">
        <v>6716</v>
      </c>
      <c r="B466" s="6143">
        <v>46218</v>
      </c>
      <c r="C466" s="6143" t="str">
        <v>Wednesday</v>
      </c>
      <c r="D466" s="6144" t="s">
        <v>6472</v>
      </c>
      <c r="E466" s="6147">
        <f t="shared" si="86"/>
      </c>
      <c r="F466" s="6144" t="s">
        <v>6466</v>
      </c>
      <c r="G466" s="6144" t="s">
        <v>6688</v>
      </c>
      <c r="H466" s="6321" t="s">
        <v>6325</v>
      </c>
      <c r="I466" s="6144" t="s">
        <v>6326</v>
      </c>
      <c r="J466" s="6144"/>
      <c r="K466" s="6133"/>
      <c r="L466" s="6133"/>
      <c r="M466" s="6133"/>
      <c r="N466" s="6133"/>
      <c r="O466" s="6133"/>
      <c r="P466" s="6133"/>
      <c r="Q466" s="6133"/>
      <c r="R466" s="6133"/>
      <c r="S466" s="6133"/>
      <c r="T466" s="6133"/>
      <c r="U466" s="6134"/>
      <c r="V466" s="6134"/>
      <c r="W466" s="6134"/>
      <c r="X466" s="6134"/>
      <c r="Y466" s="6134"/>
    </row>
    <row r="467">
      <c r="A467" s="6143" t="s">
        <v>6716</v>
      </c>
      <c r="B467" s="6143">
        <v>46218</v>
      </c>
      <c r="C467" s="6143" t="str">
        <v>Wednesday</v>
      </c>
      <c r="D467" s="6144" t="s">
        <v>6609</v>
      </c>
      <c r="E467" s="6147">
        <f t="shared" si="86"/>
      </c>
      <c r="F467" s="6144" t="s">
        <v>6344</v>
      </c>
      <c r="G467" s="6144" t="s">
        <v>6688</v>
      </c>
      <c r="H467" s="6321" t="s">
        <v>6325</v>
      </c>
      <c r="I467" s="6144" t="s">
        <v>6326</v>
      </c>
      <c r="J467" s="6144"/>
      <c r="K467" s="6133"/>
      <c r="L467" s="6133"/>
      <c r="M467" s="6133"/>
      <c r="N467" s="6133"/>
      <c r="O467" s="6133"/>
      <c r="P467" s="6133"/>
      <c r="Q467" s="6133"/>
      <c r="R467" s="6133"/>
      <c r="S467" s="6133"/>
      <c r="T467" s="6133"/>
      <c r="U467" s="6134"/>
      <c r="V467" s="6134"/>
      <c r="W467" s="6134"/>
      <c r="X467" s="6134"/>
      <c r="Y467" s="6134"/>
    </row>
    <row r="468">
      <c r="A468" s="6143" t="s">
        <v>6718</v>
      </c>
      <c r="B468" s="6143">
        <v>46218</v>
      </c>
      <c r="C468" s="6143" t="str">
        <v>Wednesday</v>
      </c>
      <c r="D468" s="6144" t="s">
        <v>6719</v>
      </c>
      <c r="E468" s="6147">
        <f t="shared" si="86"/>
      </c>
      <c r="F468" s="6144" t="s">
        <v>6475</v>
      </c>
      <c r="G468" s="6144" t="s">
        <v>6688</v>
      </c>
      <c r="H468" s="6321" t="s">
        <v>6325</v>
      </c>
      <c r="I468" s="6144" t="s">
        <v>6326</v>
      </c>
      <c r="J468" s="6144"/>
      <c r="K468" s="6133"/>
      <c r="L468" s="6133"/>
      <c r="M468" s="6133"/>
      <c r="N468" s="6133"/>
      <c r="O468" s="6133"/>
      <c r="P468" s="6133"/>
      <c r="Q468" s="6133"/>
      <c r="R468" s="6133"/>
      <c r="S468" s="6133"/>
      <c r="T468" s="6133"/>
      <c r="U468" s="6134"/>
      <c r="V468" s="6134"/>
      <c r="W468" s="6134"/>
      <c r="X468" s="6134"/>
      <c r="Y468" s="6134"/>
    </row>
    <row r="469">
      <c r="A469" s="6143" t="s">
        <v>6718</v>
      </c>
      <c r="B469" s="6143">
        <v>46218</v>
      </c>
      <c r="C469" s="6143" t="str">
        <v>Wednesday</v>
      </c>
      <c r="D469" s="6144" t="s">
        <v>6719</v>
      </c>
      <c r="E469" s="6147">
        <f t="shared" si="86"/>
      </c>
      <c r="F469" s="6147" t="s">
        <v>6559</v>
      </c>
      <c r="G469" s="6144" t="s">
        <v>6688</v>
      </c>
      <c r="H469" s="6321" t="s">
        <v>6325</v>
      </c>
      <c r="I469" s="6144" t="s">
        <v>6326</v>
      </c>
      <c r="J469" s="6144"/>
      <c r="K469" s="6133"/>
      <c r="L469" s="6133"/>
      <c r="M469" s="6133"/>
      <c r="N469" s="6133"/>
      <c r="O469" s="6133"/>
      <c r="P469" s="6133"/>
      <c r="Q469" s="6133"/>
      <c r="R469" s="6133"/>
      <c r="S469" s="6133"/>
      <c r="T469" s="6133"/>
      <c r="U469" s="6134"/>
      <c r="V469" s="6134"/>
      <c r="W469" s="6134"/>
      <c r="X469" s="6134"/>
      <c r="Y469" s="6134"/>
    </row>
    <row r="470">
      <c r="A470" s="6143" t="s">
        <v>6718</v>
      </c>
      <c r="B470" s="6143">
        <v>46219</v>
      </c>
      <c r="C470" s="6143" t="str">
        <v>Thursday</v>
      </c>
      <c r="D470" s="6376" t="s">
        <v>6494</v>
      </c>
      <c r="E470" s="6147">
        <f t="shared" si="86"/>
      </c>
      <c r="F470" s="6144" t="s">
        <v>6360</v>
      </c>
      <c r="G470" s="6144" t="s">
        <v>6688</v>
      </c>
      <c r="H470" s="6321" t="s">
        <v>6325</v>
      </c>
      <c r="I470" s="6144" t="s">
        <v>6326</v>
      </c>
      <c r="J470" s="6144"/>
      <c r="K470" s="6133"/>
      <c r="L470" s="6133"/>
      <c r="M470" s="6133"/>
      <c r="N470" s="6133"/>
      <c r="O470" s="6133"/>
      <c r="P470" s="6133"/>
      <c r="Q470" s="6133"/>
      <c r="R470" s="6133"/>
      <c r="S470" s="6133"/>
      <c r="T470" s="6133"/>
      <c r="U470" s="6134"/>
      <c r="V470" s="6134"/>
      <c r="W470" s="6134"/>
      <c r="X470" s="6134"/>
      <c r="Y470" s="6134"/>
    </row>
    <row r="471">
      <c r="A471" s="6143" t="s">
        <v>6716</v>
      </c>
      <c r="B471" s="6143">
        <v>46219</v>
      </c>
      <c r="C471" s="6143" t="str">
        <v>Thursday</v>
      </c>
      <c r="D471" s="6144" t="s">
        <v>6490</v>
      </c>
      <c r="E471" s="6147">
        <f t="shared" si="86"/>
      </c>
      <c r="F471" s="6144" t="s">
        <v>6466</v>
      </c>
      <c r="G471" s="6144" t="s">
        <v>6720</v>
      </c>
      <c r="H471" s="6321" t="s">
        <v>6325</v>
      </c>
      <c r="I471" s="6144" t="s">
        <v>6326</v>
      </c>
      <c r="J471" s="6144"/>
      <c r="K471" s="6133"/>
      <c r="L471" s="6133"/>
      <c r="M471" s="6133"/>
      <c r="N471" s="6133"/>
      <c r="O471" s="6133"/>
      <c r="P471" s="6133"/>
      <c r="Q471" s="6133"/>
      <c r="R471" s="6133"/>
      <c r="S471" s="6133"/>
      <c r="T471" s="6133"/>
      <c r="U471" s="6134"/>
      <c r="V471" s="6134"/>
      <c r="W471" s="6134"/>
      <c r="X471" s="6134"/>
      <c r="Y471" s="6134"/>
    </row>
    <row r="472">
      <c r="A472" s="6143" t="s">
        <v>6718</v>
      </c>
      <c r="B472" s="6143">
        <v>46220</v>
      </c>
      <c r="C472" s="6143" t="str">
        <v>Friday</v>
      </c>
      <c r="D472" s="6144" t="s">
        <v>6721</v>
      </c>
      <c r="E472" s="6147">
        <f t="shared" si="86"/>
      </c>
      <c r="F472" s="6144" t="s">
        <v>6497</v>
      </c>
      <c r="G472" s="6144" t="s">
        <v>6722</v>
      </c>
      <c r="H472" s="6321" t="s">
        <v>6325</v>
      </c>
      <c r="I472" s="6144" t="s">
        <v>6326</v>
      </c>
      <c r="J472" s="6144"/>
      <c r="K472" s="6133"/>
      <c r="L472" s="6133"/>
      <c r="M472" s="6133"/>
      <c r="N472" s="6133"/>
      <c r="O472" s="6133"/>
      <c r="P472" s="6133"/>
      <c r="Q472" s="6133"/>
      <c r="R472" s="6133"/>
      <c r="S472" s="6133"/>
      <c r="T472" s="6133"/>
      <c r="U472" s="6134"/>
      <c r="V472" s="6134"/>
      <c r="W472" s="6134"/>
      <c r="X472" s="6134"/>
      <c r="Y472" s="6134"/>
    </row>
    <row r="473">
      <c r="A473" s="6143" t="s">
        <v>6716</v>
      </c>
      <c r="B473" s="6143">
        <v>46220</v>
      </c>
      <c r="C473" s="6143" t="str">
        <v>Friday</v>
      </c>
      <c r="D473" s="6144" t="s">
        <v>6723</v>
      </c>
      <c r="E473" s="6147">
        <f t="shared" si="86"/>
      </c>
      <c r="F473" s="6144" t="s">
        <v>6697</v>
      </c>
      <c r="G473" s="6144" t="s">
        <v>6724</v>
      </c>
      <c r="H473" s="6321" t="s">
        <v>6325</v>
      </c>
      <c r="I473" s="6144" t="s">
        <v>6326</v>
      </c>
      <c r="J473" s="6144"/>
      <c r="K473" s="6133"/>
      <c r="L473" s="6133"/>
      <c r="M473" s="6133"/>
      <c r="N473" s="6133"/>
      <c r="O473" s="6133"/>
      <c r="P473" s="6133"/>
      <c r="Q473" s="6133"/>
      <c r="R473" s="6133"/>
      <c r="S473" s="6133"/>
      <c r="T473" s="6133"/>
      <c r="U473" s="6134"/>
      <c r="V473" s="6134"/>
      <c r="W473" s="6134"/>
      <c r="X473" s="6134"/>
      <c r="Y473" s="6134"/>
    </row>
    <row r="474">
      <c r="A474" s="6143"/>
      <c r="B474" s="6143"/>
      <c r="C474" s="6143"/>
      <c r="D474" s="6147"/>
      <c r="E474" s="6147"/>
      <c r="F474" s="6147"/>
      <c r="G474" s="6206"/>
      <c r="H474" s="6147"/>
      <c r="I474" s="6147"/>
      <c r="J474" s="6147"/>
      <c r="K474" s="6133"/>
      <c r="L474" s="6133"/>
      <c r="M474" s="6133"/>
      <c r="N474" s="6133"/>
      <c r="O474" s="6133"/>
      <c r="P474" s="6133"/>
      <c r="Q474" s="6133"/>
      <c r="R474" s="6133"/>
      <c r="S474" s="6133"/>
      <c r="T474" s="6133"/>
      <c r="U474" s="6135"/>
      <c r="V474" s="6135"/>
      <c r="W474" s="6135"/>
      <c r="X474" s="6135"/>
      <c r="Y474" s="6135"/>
    </row>
    <row r="475">
      <c r="A475" s="6377" t="s">
        <v>6725</v>
      </c>
      <c r="B475" s="6377"/>
      <c r="C475" s="6377"/>
      <c r="D475" s="6377"/>
      <c r="E475" s="6377"/>
      <c r="F475" s="6377"/>
      <c r="G475" s="6377"/>
      <c r="H475" s="6377"/>
      <c r="I475" s="6377"/>
      <c r="J475" s="6377"/>
      <c r="K475" s="6378"/>
      <c r="L475" s="6378"/>
      <c r="M475" s="6378"/>
      <c r="N475" s="6378"/>
      <c r="O475" s="6379"/>
      <c r="P475" s="6379"/>
      <c r="Q475" s="6379"/>
      <c r="R475" s="6379"/>
      <c r="S475" s="6379"/>
      <c r="T475" s="6379"/>
      <c r="U475" s="6135"/>
      <c r="V475" s="6135"/>
      <c r="W475" s="6135"/>
      <c r="X475" s="6135"/>
      <c r="Y475" s="6135"/>
    </row>
    <row r="476">
      <c r="A476" s="6380" t="s">
        <v>6313</v>
      </c>
      <c r="B476" s="6381" t="s">
        <v>6314</v>
      </c>
      <c r="C476" s="6381"/>
      <c r="D476" s="6382" t="s">
        <v>6315</v>
      </c>
      <c r="E476" s="6382" t="s">
        <v>6316</v>
      </c>
      <c r="F476" s="6382" t="s">
        <v>6317</v>
      </c>
      <c r="G476" s="6383" t="s">
        <v>6335</v>
      </c>
      <c r="H476" s="6382" t="s">
        <v>6319</v>
      </c>
      <c r="I476" s="6382" t="s">
        <v>6320</v>
      </c>
      <c r="J476" s="6382" t="s">
        <v>6321</v>
      </c>
      <c r="K476" s="6378"/>
      <c r="L476" s="6378"/>
      <c r="M476" s="6378"/>
      <c r="N476" s="6378"/>
      <c r="O476" s="6379"/>
      <c r="P476" s="6379"/>
      <c r="Q476" s="6379"/>
      <c r="R476" s="6379"/>
      <c r="S476" s="6379"/>
      <c r="T476" s="6379"/>
      <c r="U476" s="6135"/>
      <c r="V476" s="6135"/>
      <c r="W476" s="6135"/>
      <c r="X476" s="6135"/>
      <c r="Y476" s="6135"/>
    </row>
    <row r="477">
      <c r="A477" s="6143" t="s">
        <v>6725</v>
      </c>
      <c r="B477" s="6143">
        <v>46217</v>
      </c>
      <c r="C477" s="6143" t="str">
        <v>Tuesday</v>
      </c>
      <c r="D477" s="6144" t="s">
        <v>6327</v>
      </c>
      <c r="E477" s="6144">
        <f t="shared" ref="E477:E481" si="87">24*MOD(TIMEVALUE(TRIM(MID(D477,FIND("-",D477)+1,LEN(D477)))) - TIMEVALUE(TRIM(LEFT(D477,FIND("-",D477)-1))),1)</f>
      </c>
      <c r="F477" s="6147" t="s">
        <v>6561</v>
      </c>
      <c r="G477" s="6163"/>
      <c r="H477" s="6321" t="s">
        <v>6325</v>
      </c>
      <c r="I477" s="6144" t="s">
        <v>6326</v>
      </c>
      <c r="J477" s="6144"/>
      <c r="K477" s="6166"/>
      <c r="L477" s="6166"/>
      <c r="M477" s="6166"/>
      <c r="N477" s="6166"/>
      <c r="O477" s="6133"/>
      <c r="P477" s="6133"/>
      <c r="Q477" s="6133"/>
      <c r="R477" s="6133"/>
      <c r="S477" s="6133"/>
      <c r="T477" s="6133"/>
      <c r="U477" s="6135"/>
      <c r="V477" s="6135"/>
      <c r="W477" s="6135"/>
      <c r="X477" s="6135"/>
      <c r="Y477" s="6135"/>
    </row>
    <row r="478">
      <c r="A478" s="6384" t="s">
        <v>6726</v>
      </c>
      <c r="B478" s="6384">
        <v>46217</v>
      </c>
      <c r="C478" s="6384" t="str">
        <v>Tuesday</v>
      </c>
      <c r="D478" s="6385" t="s">
        <v>6327</v>
      </c>
      <c r="E478" s="6385">
        <f t="shared" si="87"/>
      </c>
      <c r="F478" s="6385" t="s">
        <v>6727</v>
      </c>
      <c r="G478" s="6386"/>
      <c r="H478" s="6387" t="s">
        <v>6325</v>
      </c>
      <c r="I478" s="6147" t="s">
        <v>6326</v>
      </c>
      <c r="J478" s="6385"/>
      <c r="K478" s="6166"/>
      <c r="L478" s="6166"/>
      <c r="M478" s="6166"/>
      <c r="N478" s="6166"/>
      <c r="O478" s="6133"/>
      <c r="P478" s="6133"/>
      <c r="Q478" s="6133"/>
      <c r="R478" s="6133"/>
      <c r="S478" s="6133"/>
      <c r="T478" s="6133"/>
      <c r="U478" s="6135"/>
      <c r="V478" s="6135"/>
      <c r="W478" s="6135"/>
      <c r="X478" s="6135"/>
      <c r="Y478" s="6135"/>
    </row>
    <row r="479">
      <c r="A479" s="6143" t="s">
        <v>6725</v>
      </c>
      <c r="B479" s="6143">
        <v>46217</v>
      </c>
      <c r="C479" s="6143" t="str">
        <v>Tuesday</v>
      </c>
      <c r="D479" s="6144" t="s">
        <v>6349</v>
      </c>
      <c r="E479" s="6144">
        <f t="shared" si="87"/>
      </c>
      <c r="F479" s="6147" t="s">
        <v>6666</v>
      </c>
      <c r="G479" s="6163"/>
      <c r="H479" s="6321" t="s">
        <v>6325</v>
      </c>
      <c r="I479" s="6147" t="s">
        <v>6326</v>
      </c>
      <c r="J479" s="6144"/>
      <c r="K479" s="6166"/>
      <c r="L479" s="6166"/>
      <c r="M479" s="6166"/>
      <c r="N479" s="6166"/>
      <c r="O479" s="6133"/>
      <c r="P479" s="6133"/>
      <c r="Q479" s="6133"/>
      <c r="R479" s="6133"/>
      <c r="S479" s="6133"/>
      <c r="T479" s="6133"/>
      <c r="U479" s="6135"/>
      <c r="V479" s="6135"/>
      <c r="W479" s="6135"/>
      <c r="X479" s="6135"/>
      <c r="Y479" s="6135"/>
    </row>
    <row r="480">
      <c r="A480" s="6384" t="s">
        <v>6726</v>
      </c>
      <c r="B480" s="6384">
        <v>46217</v>
      </c>
      <c r="C480" s="6384" t="str">
        <v>Tuesday</v>
      </c>
      <c r="D480" s="6385" t="s">
        <v>6469</v>
      </c>
      <c r="E480" s="6385">
        <f t="shared" si="87"/>
      </c>
      <c r="F480" s="6385" t="s">
        <v>6727</v>
      </c>
      <c r="G480" s="6386"/>
      <c r="H480" s="6387" t="s">
        <v>6325</v>
      </c>
      <c r="I480" s="6147" t="s">
        <v>6326</v>
      </c>
      <c r="J480" s="6385"/>
      <c r="K480" s="6166"/>
      <c r="L480" s="6166"/>
      <c r="M480" s="6166"/>
      <c r="N480" s="6166"/>
      <c r="O480" s="6133"/>
      <c r="P480" s="6133"/>
      <c r="Q480" s="6133"/>
      <c r="R480" s="6133"/>
      <c r="S480" s="6133"/>
      <c r="T480" s="6133"/>
      <c r="U480" s="6135"/>
      <c r="V480" s="6135"/>
      <c r="W480" s="6135"/>
      <c r="X480" s="6135"/>
      <c r="Y480" s="6135"/>
    </row>
    <row r="481">
      <c r="A481" s="6384" t="s">
        <v>6726</v>
      </c>
      <c r="B481" s="6384">
        <v>46217</v>
      </c>
      <c r="C481" s="6384" t="str">
        <v>Tuesday</v>
      </c>
      <c r="D481" s="6385" t="s">
        <v>6418</v>
      </c>
      <c r="E481" s="6385">
        <f t="shared" si="87"/>
      </c>
      <c r="F481" s="6385" t="s">
        <v>6554</v>
      </c>
      <c r="G481" s="6386"/>
      <c r="H481" s="6387" t="s">
        <v>6325</v>
      </c>
      <c r="I481" s="6147" t="s">
        <v>6326</v>
      </c>
      <c r="J481" s="6385"/>
      <c r="K481" s="6166"/>
      <c r="L481" s="6166"/>
      <c r="M481" s="6166"/>
      <c r="N481" s="6166"/>
      <c r="O481" s="6133"/>
      <c r="P481" s="6133"/>
      <c r="Q481" s="6133"/>
      <c r="R481" s="6133"/>
      <c r="S481" s="6133"/>
      <c r="T481" s="6133"/>
      <c r="U481" s="6135"/>
      <c r="V481" s="6135"/>
      <c r="W481" s="6135"/>
      <c r="X481" s="6135"/>
      <c r="Y481" s="6135"/>
    </row>
    <row r="482">
      <c r="A482" s="6143" t="s">
        <v>6725</v>
      </c>
      <c r="B482" s="6143"/>
      <c r="C482" s="6143"/>
      <c r="D482" s="6144"/>
      <c r="E482" s="6388">
        <f>E477+E479</f>
      </c>
      <c r="F482" s="6147"/>
      <c r="G482" s="6163"/>
      <c r="H482" s="6321"/>
      <c r="I482" s="6147"/>
      <c r="J482" s="6144"/>
      <c r="K482" s="6166"/>
      <c r="L482" s="6166"/>
      <c r="M482" s="6166"/>
      <c r="N482" s="6166"/>
      <c r="O482" s="6133"/>
      <c r="P482" s="6133"/>
      <c r="Q482" s="6133"/>
      <c r="R482" s="6133"/>
      <c r="S482" s="6133"/>
      <c r="T482" s="6133"/>
      <c r="U482" s="6135"/>
      <c r="V482" s="6135"/>
      <c r="W482" s="6135"/>
      <c r="X482" s="6135"/>
      <c r="Y482" s="6135"/>
    </row>
    <row r="483">
      <c r="A483" s="6143" t="s">
        <v>6725</v>
      </c>
      <c r="B483" s="6143">
        <v>46218</v>
      </c>
      <c r="C483" s="6143" t="str">
        <v>Wednesday</v>
      </c>
      <c r="D483" s="6144" t="s">
        <v>6327</v>
      </c>
      <c r="E483" s="6144">
        <f t="shared" ref="E483:E486" si="88">24*MOD(TIMEVALUE(TRIM(MID(D483,FIND("-",D483)+1,LEN(D483)))) - TIMEVALUE(TRIM(LEFT(D483,FIND("-",D483)-1))),1)</f>
      </c>
      <c r="F483" s="6147" t="s">
        <v>6561</v>
      </c>
      <c r="G483" s="6163"/>
      <c r="H483" s="6321" t="s">
        <v>6325</v>
      </c>
      <c r="I483" s="6144" t="s">
        <v>6326</v>
      </c>
      <c r="J483" s="6144"/>
      <c r="K483" s="6166"/>
      <c r="L483" s="6166"/>
      <c r="M483" s="6166"/>
      <c r="N483" s="6166"/>
      <c r="O483" s="6133"/>
      <c r="P483" s="6133"/>
      <c r="Q483" s="6133"/>
      <c r="R483" s="6133"/>
      <c r="S483" s="6133"/>
      <c r="T483" s="6133"/>
      <c r="U483" s="6135"/>
      <c r="V483" s="6135"/>
      <c r="W483" s="6135"/>
      <c r="X483" s="6135"/>
      <c r="Y483" s="6135"/>
    </row>
    <row r="484">
      <c r="A484" s="6384" t="s">
        <v>6726</v>
      </c>
      <c r="B484" s="6384">
        <v>46218</v>
      </c>
      <c r="C484" s="6384" t="str">
        <v>Wednesday</v>
      </c>
      <c r="D484" s="6385" t="s">
        <v>6327</v>
      </c>
      <c r="E484" s="6385">
        <f t="shared" si="88"/>
      </c>
      <c r="F484" s="6385" t="s">
        <v>6669</v>
      </c>
      <c r="G484" s="6386"/>
      <c r="H484" s="6387" t="s">
        <v>6325</v>
      </c>
      <c r="I484" s="6147" t="s">
        <v>6326</v>
      </c>
      <c r="J484" s="6385"/>
      <c r="K484" s="6166"/>
      <c r="L484" s="6166"/>
      <c r="M484" s="6166"/>
      <c r="N484" s="6166"/>
      <c r="O484" s="6133"/>
      <c r="P484" s="6133"/>
      <c r="Q484" s="6133"/>
      <c r="R484" s="6133"/>
      <c r="S484" s="6133"/>
      <c r="T484" s="6133"/>
      <c r="U484" s="6135"/>
      <c r="V484" s="6135"/>
      <c r="W484" s="6135"/>
      <c r="X484" s="6135"/>
      <c r="Y484" s="6135"/>
    </row>
    <row r="485">
      <c r="A485" s="6143" t="s">
        <v>6725</v>
      </c>
      <c r="B485" s="6143">
        <v>46218</v>
      </c>
      <c r="C485" s="6143" t="str">
        <v>Wednesday</v>
      </c>
      <c r="D485" s="6144" t="s">
        <v>6349</v>
      </c>
      <c r="E485" s="6144">
        <f t="shared" si="88"/>
      </c>
      <c r="F485" s="6147" t="s">
        <v>6666</v>
      </c>
      <c r="G485" s="6163"/>
      <c r="H485" s="6321" t="s">
        <v>6325</v>
      </c>
      <c r="I485" s="6147" t="s">
        <v>6326</v>
      </c>
      <c r="J485" s="6144"/>
      <c r="K485" s="6166"/>
      <c r="L485" s="6166"/>
      <c r="M485" s="6166"/>
      <c r="N485" s="6166"/>
      <c r="O485" s="6133"/>
      <c r="P485" s="6133"/>
      <c r="Q485" s="6133"/>
      <c r="R485" s="6133"/>
      <c r="S485" s="6133"/>
      <c r="T485" s="6133"/>
      <c r="U485" s="6135"/>
      <c r="V485" s="6135"/>
      <c r="W485" s="6135"/>
      <c r="X485" s="6135"/>
      <c r="Y485" s="6135"/>
    </row>
    <row r="486">
      <c r="A486" s="6384" t="s">
        <v>6726</v>
      </c>
      <c r="B486" s="6384">
        <v>46218</v>
      </c>
      <c r="C486" s="6384" t="str">
        <v>Wednesday</v>
      </c>
      <c r="D486" s="6385" t="s">
        <v>6349</v>
      </c>
      <c r="E486" s="6385">
        <f t="shared" si="88"/>
      </c>
      <c r="F486" s="6385" t="s">
        <v>6728</v>
      </c>
      <c r="G486" s="6386"/>
      <c r="H486" s="6387" t="s">
        <v>6325</v>
      </c>
      <c r="I486" s="6147" t="s">
        <v>6395</v>
      </c>
      <c r="J486" s="6385"/>
      <c r="K486" s="6166"/>
      <c r="L486" s="6166"/>
      <c r="M486" s="6166"/>
      <c r="N486" s="6166"/>
      <c r="O486" s="6133"/>
      <c r="P486" s="6133"/>
      <c r="Q486" s="6133"/>
      <c r="R486" s="6133"/>
      <c r="S486" s="6133"/>
      <c r="T486" s="6133"/>
      <c r="U486" s="6135"/>
      <c r="V486" s="6135"/>
      <c r="W486" s="6135"/>
      <c r="X486" s="6135"/>
      <c r="Y486" s="6135"/>
    </row>
    <row r="487">
      <c r="A487" s="6143" t="s">
        <v>6725</v>
      </c>
      <c r="B487" s="6143"/>
      <c r="C487" s="6143"/>
      <c r="D487" s="6144"/>
      <c r="E487" s="6388">
        <f>E485+E483</f>
      </c>
      <c r="F487" s="6147"/>
      <c r="G487" s="6163"/>
      <c r="H487" s="6321"/>
      <c r="I487" s="6147"/>
      <c r="J487" s="6144"/>
      <c r="K487" s="6166"/>
      <c r="L487" s="6166"/>
      <c r="M487" s="6166"/>
      <c r="N487" s="6166"/>
      <c r="O487" s="6133"/>
      <c r="P487" s="6133"/>
      <c r="Q487" s="6133"/>
      <c r="R487" s="6133"/>
      <c r="S487" s="6133"/>
      <c r="T487" s="6133"/>
      <c r="U487" s="6135"/>
      <c r="V487" s="6135"/>
      <c r="W487" s="6135"/>
      <c r="X487" s="6135"/>
      <c r="Y487" s="6135"/>
    </row>
    <row r="488">
      <c r="A488" s="6156" t="s">
        <v>6725</v>
      </c>
      <c r="B488" s="6156">
        <v>46219</v>
      </c>
      <c r="C488" s="6156" t="str">
        <v>Thursday</v>
      </c>
      <c r="D488" s="6157" t="s">
        <v>6327</v>
      </c>
      <c r="E488" s="6157">
        <f t="shared" ref="E488:E491" si="89">24*MOD(TIMEVALUE(TRIM(MID(D488,FIND("-",D488)+1,LEN(D488)))) - TIMEVALUE(TRIM(LEFT(D488,FIND("-",D488)-1))),1)</f>
      </c>
      <c r="F488" s="6157" t="s">
        <v>6561</v>
      </c>
      <c r="G488" s="6158"/>
      <c r="H488" s="6389" t="s">
        <v>6325</v>
      </c>
      <c r="I488" s="6157" t="s">
        <v>6326</v>
      </c>
      <c r="J488" s="6157" t="s">
        <v>6729</v>
      </c>
      <c r="K488" s="6166"/>
      <c r="L488" s="6166"/>
      <c r="M488" s="6166"/>
      <c r="N488" s="6166"/>
      <c r="O488" s="6133"/>
      <c r="P488" s="6133"/>
      <c r="Q488" s="6133"/>
      <c r="R488" s="6133"/>
      <c r="S488" s="6133"/>
      <c r="T488" s="6133"/>
      <c r="U488" s="6135"/>
      <c r="V488" s="6135"/>
      <c r="W488" s="6135"/>
      <c r="X488" s="6135"/>
      <c r="Y488" s="6135"/>
    </row>
    <row r="489">
      <c r="A489" s="6384" t="s">
        <v>6726</v>
      </c>
      <c r="B489" s="6384">
        <v>46219</v>
      </c>
      <c r="C489" s="6384" t="str">
        <v>Thursday</v>
      </c>
      <c r="D489" s="6385" t="s">
        <v>6327</v>
      </c>
      <c r="E489" s="6385">
        <f t="shared" si="89"/>
      </c>
      <c r="F489" s="6385" t="s">
        <v>6554</v>
      </c>
      <c r="G489" s="6386"/>
      <c r="H489" s="6387" t="s">
        <v>6325</v>
      </c>
      <c r="I489" s="6147" t="s">
        <v>6326</v>
      </c>
      <c r="J489" s="6385"/>
      <c r="K489" s="6166"/>
      <c r="L489" s="6166"/>
      <c r="M489" s="6166"/>
      <c r="N489" s="6166"/>
      <c r="O489" s="6133"/>
      <c r="P489" s="6133"/>
      <c r="Q489" s="6133"/>
      <c r="R489" s="6133"/>
      <c r="S489" s="6133"/>
      <c r="T489" s="6133"/>
      <c r="U489" s="6135"/>
      <c r="V489" s="6135"/>
      <c r="W489" s="6135"/>
      <c r="X489" s="6135"/>
      <c r="Y489" s="6135"/>
    </row>
    <row r="490">
      <c r="A490" s="6143" t="s">
        <v>6725</v>
      </c>
      <c r="B490" s="6143">
        <v>46219</v>
      </c>
      <c r="C490" s="6143" t="str">
        <v>Thursday</v>
      </c>
      <c r="D490" s="6144" t="s">
        <v>6349</v>
      </c>
      <c r="E490" s="6144">
        <f t="shared" si="89"/>
      </c>
      <c r="F490" s="6147" t="s">
        <v>6666</v>
      </c>
      <c r="G490" s="6163"/>
      <c r="H490" s="6321" t="s">
        <v>6325</v>
      </c>
      <c r="I490" s="6147" t="s">
        <v>6326</v>
      </c>
      <c r="J490" s="6144"/>
      <c r="K490" s="6166"/>
      <c r="L490" s="6166"/>
      <c r="M490" s="6166"/>
      <c r="N490" s="6166"/>
      <c r="O490" s="6133"/>
      <c r="P490" s="6133"/>
      <c r="Q490" s="6133"/>
      <c r="R490" s="6133"/>
      <c r="S490" s="6133"/>
      <c r="T490" s="6133"/>
      <c r="U490" s="6135"/>
      <c r="V490" s="6135"/>
      <c r="W490" s="6135"/>
      <c r="X490" s="6135"/>
      <c r="Y490" s="6135"/>
    </row>
    <row r="491">
      <c r="A491" s="6384" t="s">
        <v>6726</v>
      </c>
      <c r="B491" s="6384">
        <v>46219</v>
      </c>
      <c r="C491" s="6384" t="str">
        <v>Thursday</v>
      </c>
      <c r="D491" s="6385" t="s">
        <v>6730</v>
      </c>
      <c r="E491" s="6385">
        <f t="shared" si="89"/>
      </c>
      <c r="F491" s="6385" t="s">
        <v>6682</v>
      </c>
      <c r="G491" s="6386"/>
      <c r="H491" s="6387" t="s">
        <v>6325</v>
      </c>
      <c r="I491" s="6147" t="s">
        <v>6326</v>
      </c>
      <c r="J491" s="6385"/>
      <c r="K491" s="6166"/>
      <c r="L491" s="6166"/>
      <c r="M491" s="6166"/>
      <c r="N491" s="6166"/>
      <c r="O491" s="6133"/>
      <c r="P491" s="6133"/>
      <c r="Q491" s="6133"/>
      <c r="R491" s="6133"/>
      <c r="S491" s="6133"/>
      <c r="T491" s="6133"/>
      <c r="U491" s="6135"/>
      <c r="V491" s="6135"/>
      <c r="W491" s="6135"/>
      <c r="X491" s="6135"/>
      <c r="Y491" s="6135"/>
    </row>
    <row r="492">
      <c r="A492" s="6143" t="s">
        <v>6725</v>
      </c>
      <c r="B492" s="6143"/>
      <c r="C492" s="6143"/>
      <c r="D492" s="6144"/>
      <c r="E492" s="6388">
        <f>E488+E490</f>
      </c>
      <c r="F492" s="6147"/>
      <c r="G492" s="6163"/>
      <c r="H492" s="6321"/>
      <c r="I492" s="6147"/>
      <c r="J492" s="6144"/>
      <c r="K492" s="6166"/>
      <c r="L492" s="6166"/>
      <c r="M492" s="6166"/>
      <c r="N492" s="6166"/>
      <c r="O492" s="6133"/>
      <c r="P492" s="6133"/>
      <c r="Q492" s="6133"/>
      <c r="R492" s="6133"/>
      <c r="S492" s="6133"/>
      <c r="T492" s="6133"/>
      <c r="U492" s="6135"/>
      <c r="V492" s="6135"/>
      <c r="W492" s="6135"/>
      <c r="X492" s="6135"/>
      <c r="Y492" s="6135"/>
    </row>
    <row r="493">
      <c r="A493" s="6143" t="s">
        <v>6725</v>
      </c>
      <c r="B493" s="6143">
        <v>46220</v>
      </c>
      <c r="C493" s="6143" t="str">
        <v>Friday</v>
      </c>
      <c r="D493" s="6144" t="s">
        <v>6359</v>
      </c>
      <c r="E493" s="6144">
        <f t="shared" ref="E493:E497" si="90">24*MOD(TIMEVALUE(TRIM(MID(D493,FIND("-",D493)+1,LEN(D493)))) - TIMEVALUE(TRIM(LEFT(D493,FIND("-",D493)-1))),1)</f>
      </c>
      <c r="F493" s="6147"/>
      <c r="G493" s="6163"/>
      <c r="H493" s="6321" t="s">
        <v>6325</v>
      </c>
      <c r="I493" s="6144" t="s">
        <v>6326</v>
      </c>
      <c r="J493" s="6144"/>
      <c r="K493" s="6166"/>
      <c r="L493" s="6166"/>
      <c r="M493" s="6166"/>
      <c r="N493" s="6166"/>
      <c r="O493" s="6133"/>
      <c r="P493" s="6133"/>
      <c r="Q493" s="6133"/>
      <c r="R493" s="6133"/>
      <c r="S493" s="6133"/>
      <c r="T493" s="6133"/>
      <c r="U493" s="6135"/>
      <c r="V493" s="6135"/>
      <c r="W493" s="6135"/>
      <c r="X493" s="6135"/>
      <c r="Y493" s="6135"/>
    </row>
    <row r="494">
      <c r="A494" s="6143" t="s">
        <v>6725</v>
      </c>
      <c r="B494" s="6143">
        <v>46220</v>
      </c>
      <c r="C494" s="6143" t="str">
        <v>Friday</v>
      </c>
      <c r="D494" s="6144" t="s">
        <v>6397</v>
      </c>
      <c r="E494" s="6144">
        <f t="shared" si="90"/>
      </c>
      <c r="F494" s="6147"/>
      <c r="G494" s="6163"/>
      <c r="H494" s="6321" t="s">
        <v>6325</v>
      </c>
      <c r="I494" s="6144" t="s">
        <v>6326</v>
      </c>
      <c r="J494" s="6144"/>
      <c r="K494" s="6166"/>
      <c r="L494" s="6166"/>
      <c r="M494" s="6166"/>
      <c r="N494" s="6166"/>
      <c r="O494" s="6133"/>
      <c r="P494" s="6133"/>
      <c r="Q494" s="6133"/>
      <c r="R494" s="6133"/>
      <c r="S494" s="6133"/>
      <c r="T494" s="6133"/>
      <c r="U494" s="6135"/>
      <c r="V494" s="6135"/>
      <c r="W494" s="6135"/>
      <c r="X494" s="6135"/>
      <c r="Y494" s="6135"/>
    </row>
    <row r="495">
      <c r="A495" s="6384" t="s">
        <v>6726</v>
      </c>
      <c r="B495" s="6384">
        <v>46220</v>
      </c>
      <c r="C495" s="6384" t="str">
        <v>Friday</v>
      </c>
      <c r="D495" s="6385" t="s">
        <v>6358</v>
      </c>
      <c r="E495" s="6385">
        <f t="shared" si="90"/>
      </c>
      <c r="F495" s="6385"/>
      <c r="G495" s="6386"/>
      <c r="H495" s="6387" t="s">
        <v>6325</v>
      </c>
      <c r="I495" s="6147" t="s">
        <v>6326</v>
      </c>
      <c r="J495" s="6385"/>
      <c r="K495" s="6166"/>
      <c r="L495" s="6166"/>
      <c r="M495" s="6166"/>
      <c r="N495" s="6166"/>
      <c r="O495" s="6133"/>
      <c r="P495" s="6133"/>
      <c r="Q495" s="6133"/>
      <c r="R495" s="6133"/>
      <c r="S495" s="6133"/>
      <c r="T495" s="6133"/>
      <c r="U495" s="6135"/>
      <c r="V495" s="6135"/>
      <c r="W495" s="6135"/>
      <c r="X495" s="6135"/>
      <c r="Y495" s="6135"/>
    </row>
    <row r="496">
      <c r="A496" s="6143" t="s">
        <v>6725</v>
      </c>
      <c r="B496" s="6143">
        <v>46220</v>
      </c>
      <c r="C496" s="6143" t="str">
        <v>Friday</v>
      </c>
      <c r="D496" s="6144" t="s">
        <v>6549</v>
      </c>
      <c r="E496" s="6144">
        <f t="shared" si="90"/>
      </c>
      <c r="F496" s="6147"/>
      <c r="G496" s="6163"/>
      <c r="H496" s="6321" t="s">
        <v>6325</v>
      </c>
      <c r="I496" s="6147" t="s">
        <v>6326</v>
      </c>
      <c r="J496" s="6144"/>
      <c r="K496" s="6166"/>
      <c r="L496" s="6166"/>
      <c r="M496" s="6166"/>
      <c r="N496" s="6166"/>
      <c r="O496" s="6133"/>
      <c r="P496" s="6133"/>
      <c r="Q496" s="6133"/>
      <c r="R496" s="6133"/>
      <c r="S496" s="6133"/>
      <c r="T496" s="6133"/>
      <c r="U496" s="6135"/>
      <c r="V496" s="6135"/>
      <c r="W496" s="6135"/>
      <c r="X496" s="6135"/>
      <c r="Y496" s="6135"/>
    </row>
    <row r="497">
      <c r="A497" s="6384" t="s">
        <v>6726</v>
      </c>
      <c r="B497" s="6384">
        <v>46220</v>
      </c>
      <c r="C497" s="6384" t="str">
        <v>Friday</v>
      </c>
      <c r="D497" s="6385" t="s">
        <v>6549</v>
      </c>
      <c r="E497" s="6385">
        <f t="shared" si="90"/>
      </c>
      <c r="F497" s="6385"/>
      <c r="G497" s="6386"/>
      <c r="H497" s="6387" t="s">
        <v>6325</v>
      </c>
      <c r="I497" s="6147" t="s">
        <v>6326</v>
      </c>
      <c r="J497" s="6385"/>
      <c r="K497" s="6166"/>
      <c r="L497" s="6166"/>
      <c r="M497" s="6166"/>
      <c r="N497" s="6166"/>
      <c r="O497" s="6133"/>
      <c r="P497" s="6133"/>
      <c r="Q497" s="6133"/>
      <c r="R497" s="6133"/>
      <c r="S497" s="6133"/>
      <c r="T497" s="6133"/>
      <c r="U497" s="6135"/>
      <c r="V497" s="6135"/>
      <c r="W497" s="6135"/>
      <c r="X497" s="6135"/>
      <c r="Y497" s="6135"/>
    </row>
    <row r="498">
      <c r="A498" s="6143" t="s">
        <v>6725</v>
      </c>
      <c r="B498" s="6143"/>
      <c r="C498" s="6143"/>
      <c r="D498" s="6144"/>
      <c r="E498" s="6388">
        <f>E493+E494+E496</f>
      </c>
      <c r="F498" s="6147"/>
      <c r="G498" s="6163"/>
      <c r="H498" s="6321"/>
      <c r="I498" s="6147"/>
      <c r="J498" s="6144"/>
      <c r="K498" s="6166"/>
      <c r="L498" s="6166"/>
      <c r="M498" s="6166"/>
      <c r="N498" s="6166"/>
      <c r="O498" s="6133"/>
      <c r="P498" s="6133"/>
      <c r="Q498" s="6133"/>
      <c r="R498" s="6133"/>
      <c r="S498" s="6133"/>
      <c r="T498" s="6133"/>
      <c r="U498" s="6135"/>
      <c r="V498" s="6135"/>
      <c r="W498" s="6135"/>
      <c r="X498" s="6135"/>
      <c r="Y498" s="6135"/>
    </row>
    <row r="499">
      <c r="A499" s="6143" t="s">
        <v>6725</v>
      </c>
      <c r="B499" s="6143">
        <v>46221</v>
      </c>
      <c r="C499" s="6143" t="str">
        <v>Saturday</v>
      </c>
      <c r="D499" s="6144" t="s">
        <v>6472</v>
      </c>
      <c r="E499" s="6144">
        <f t="shared" ref="E499:E503" si="91">24*MOD(TIMEVALUE(TRIM(MID(D499,FIND("-",D499)+1,LEN(D499)))) - TIMEVALUE(TRIM(LEFT(D499,FIND("-",D499)-1))),1)</f>
      </c>
      <c r="F499" s="6147"/>
      <c r="G499" s="6163"/>
      <c r="H499" s="6321" t="s">
        <v>6325</v>
      </c>
      <c r="I499" s="6144" t="s">
        <v>6326</v>
      </c>
      <c r="J499" s="6144"/>
      <c r="K499" s="6166"/>
      <c r="L499" s="6166"/>
      <c r="M499" s="6166"/>
      <c r="N499" s="6166"/>
      <c r="O499" s="6133"/>
      <c r="P499" s="6133"/>
      <c r="Q499" s="6133"/>
      <c r="R499" s="6133"/>
      <c r="S499" s="6133"/>
      <c r="T499" s="6133"/>
      <c r="U499" s="6135"/>
      <c r="V499" s="6135"/>
      <c r="W499" s="6135"/>
      <c r="X499" s="6135"/>
      <c r="Y499" s="6135"/>
    </row>
    <row r="500">
      <c r="A500" s="6384" t="s">
        <v>6726</v>
      </c>
      <c r="B500" s="6384">
        <v>46221</v>
      </c>
      <c r="C500" s="6384" t="str">
        <v>Saturday</v>
      </c>
      <c r="D500" s="6385" t="s">
        <v>6731</v>
      </c>
      <c r="E500" s="6385">
        <f t="shared" si="91"/>
      </c>
      <c r="F500" s="6385"/>
      <c r="G500" s="6386"/>
      <c r="H500" s="6387" t="s">
        <v>6325</v>
      </c>
      <c r="I500" s="6147" t="s">
        <v>6326</v>
      </c>
      <c r="J500" s="6385"/>
      <c r="K500" s="6166"/>
      <c r="L500" s="6166"/>
      <c r="M500" s="6166"/>
      <c r="N500" s="6166"/>
      <c r="O500" s="6133"/>
      <c r="P500" s="6133"/>
      <c r="Q500" s="6133"/>
      <c r="R500" s="6133"/>
      <c r="S500" s="6133"/>
      <c r="T500" s="6133"/>
      <c r="U500" s="6135"/>
      <c r="V500" s="6135"/>
      <c r="W500" s="6135"/>
      <c r="X500" s="6135"/>
      <c r="Y500" s="6135"/>
    </row>
    <row r="501">
      <c r="A501" s="6143" t="s">
        <v>6725</v>
      </c>
      <c r="B501" s="6143">
        <v>46221</v>
      </c>
      <c r="C501" s="6143" t="str">
        <v>Saturday</v>
      </c>
      <c r="D501" s="6144" t="s">
        <v>6522</v>
      </c>
      <c r="E501" s="6144">
        <f t="shared" si="91"/>
      </c>
      <c r="F501" s="6144"/>
      <c r="G501" s="6163"/>
      <c r="H501" s="6321" t="s">
        <v>6325</v>
      </c>
      <c r="I501" s="6144" t="s">
        <v>6326</v>
      </c>
      <c r="J501" s="6144"/>
      <c r="K501" s="6166"/>
      <c r="L501" s="6166"/>
      <c r="M501" s="6166"/>
      <c r="N501" s="6166"/>
      <c r="O501" s="6133"/>
      <c r="P501" s="6133"/>
      <c r="Q501" s="6133"/>
      <c r="R501" s="6133"/>
      <c r="S501" s="6133"/>
      <c r="T501" s="6133"/>
      <c r="U501" s="6134"/>
      <c r="V501" s="6134"/>
      <c r="W501" s="6134"/>
      <c r="X501" s="6134"/>
      <c r="Y501" s="6134"/>
    </row>
    <row r="502">
      <c r="A502" s="6384" t="s">
        <v>6726</v>
      </c>
      <c r="B502" s="6384">
        <v>46221</v>
      </c>
      <c r="C502" s="6384" t="str">
        <v>Saturday</v>
      </c>
      <c r="D502" s="6385" t="s">
        <v>6468</v>
      </c>
      <c r="E502" s="6385">
        <f t="shared" si="91"/>
      </c>
      <c r="F502" s="6385"/>
      <c r="G502" s="6386"/>
      <c r="H502" s="6387" t="s">
        <v>6325</v>
      </c>
      <c r="I502" s="6147" t="s">
        <v>6326</v>
      </c>
      <c r="J502" s="6385"/>
      <c r="K502" s="6166"/>
      <c r="L502" s="6166"/>
      <c r="M502" s="6166"/>
      <c r="N502" s="6166"/>
      <c r="O502" s="6133"/>
      <c r="P502" s="6133"/>
      <c r="Q502" s="6133"/>
      <c r="R502" s="6133"/>
      <c r="S502" s="6133"/>
      <c r="T502" s="6133"/>
      <c r="U502" s="6135"/>
      <c r="V502" s="6135"/>
      <c r="W502" s="6135"/>
      <c r="X502" s="6135"/>
      <c r="Y502" s="6135"/>
    </row>
    <row r="503">
      <c r="A503" s="6384" t="s">
        <v>6726</v>
      </c>
      <c r="B503" s="6384">
        <v>46221</v>
      </c>
      <c r="C503" s="6384" t="str">
        <v>Saturday</v>
      </c>
      <c r="D503" s="6385" t="s">
        <v>6366</v>
      </c>
      <c r="E503" s="6385">
        <f t="shared" si="91"/>
      </c>
      <c r="F503" s="6385"/>
      <c r="G503" s="6386"/>
      <c r="H503" s="6387" t="s">
        <v>6325</v>
      </c>
      <c r="I503" s="6147" t="s">
        <v>6326</v>
      </c>
      <c r="J503" s="6385"/>
      <c r="K503" s="6166"/>
      <c r="L503" s="6166"/>
      <c r="M503" s="6166"/>
      <c r="N503" s="6166"/>
      <c r="O503" s="6133"/>
      <c r="P503" s="6133"/>
      <c r="Q503" s="6133"/>
      <c r="R503" s="6133"/>
      <c r="S503" s="6133"/>
      <c r="T503" s="6133"/>
      <c r="U503" s="6135"/>
      <c r="V503" s="6135"/>
      <c r="W503" s="6135"/>
      <c r="X503" s="6135"/>
      <c r="Y503" s="6135"/>
    </row>
    <row r="504">
      <c r="A504" s="6143" t="s">
        <v>6725</v>
      </c>
      <c r="B504" s="6143"/>
      <c r="C504" s="6143"/>
      <c r="D504" s="6144"/>
      <c r="E504" s="6388">
        <f>E499+E501</f>
      </c>
      <c r="F504" s="6147"/>
      <c r="G504" s="6163"/>
      <c r="H504" s="6321"/>
      <c r="I504" s="6147"/>
      <c r="J504" s="6144"/>
      <c r="K504" s="6166"/>
      <c r="L504" s="6166"/>
      <c r="M504" s="6166"/>
      <c r="N504" s="6166"/>
      <c r="O504" s="6133"/>
      <c r="P504" s="6133"/>
      <c r="Q504" s="6133"/>
      <c r="R504" s="6133"/>
      <c r="S504" s="6133"/>
      <c r="T504" s="6133"/>
      <c r="U504" s="6135"/>
      <c r="V504" s="6135"/>
      <c r="W504" s="6135"/>
      <c r="X504" s="6135"/>
      <c r="Y504" s="6135"/>
    </row>
    <row r="505">
      <c r="A505" s="6143" t="s">
        <v>6725</v>
      </c>
      <c r="B505" s="6143">
        <v>46222</v>
      </c>
      <c r="C505" s="6143" t="str">
        <v>Sunday</v>
      </c>
      <c r="D505" s="6144" t="s">
        <v>6430</v>
      </c>
      <c r="E505" s="6144">
        <f t="shared" ref="E505:E508" si="92">24*MOD(TIMEVALUE(TRIM(MID(D505,FIND("-",D505)+1,LEN(D505)))) - TIMEVALUE(TRIM(LEFT(D505,FIND("-",D505)-1))),1)</f>
      </c>
      <c r="F505" s="6147"/>
      <c r="G505" s="6163"/>
      <c r="H505" s="6321" t="s">
        <v>6325</v>
      </c>
      <c r="I505" s="6147" t="s">
        <v>6326</v>
      </c>
      <c r="J505" s="6144"/>
      <c r="K505" s="6166"/>
      <c r="L505" s="6166"/>
      <c r="M505" s="6166"/>
      <c r="N505" s="6166"/>
      <c r="O505" s="6133"/>
      <c r="P505" s="6133"/>
      <c r="Q505" s="6133"/>
      <c r="R505" s="6133"/>
      <c r="S505" s="6133"/>
      <c r="T505" s="6133"/>
      <c r="U505" s="6135"/>
      <c r="V505" s="6135"/>
      <c r="W505" s="6135"/>
      <c r="X505" s="6135"/>
      <c r="Y505" s="6135"/>
    </row>
    <row r="506">
      <c r="A506" s="6384" t="s">
        <v>6726</v>
      </c>
      <c r="B506" s="6384">
        <v>46222</v>
      </c>
      <c r="C506" s="6384" t="str">
        <v>Sunday</v>
      </c>
      <c r="D506" s="6385" t="s">
        <v>6732</v>
      </c>
      <c r="E506" s="6385">
        <f t="shared" si="92"/>
      </c>
      <c r="F506" s="6385"/>
      <c r="G506" s="6386"/>
      <c r="H506" s="6387" t="s">
        <v>6325</v>
      </c>
      <c r="I506" s="6147" t="s">
        <v>6326</v>
      </c>
      <c r="J506" s="6385"/>
      <c r="K506" s="6166"/>
      <c r="L506" s="6166"/>
      <c r="M506" s="6166"/>
      <c r="N506" s="6166"/>
      <c r="O506" s="6133"/>
      <c r="P506" s="6133"/>
      <c r="Q506" s="6133"/>
      <c r="R506" s="6133"/>
      <c r="S506" s="6133"/>
      <c r="T506" s="6133"/>
      <c r="U506" s="6135"/>
      <c r="V506" s="6135"/>
      <c r="W506" s="6135"/>
      <c r="X506" s="6135"/>
      <c r="Y506" s="6135"/>
    </row>
    <row r="507">
      <c r="A507" s="6143" t="s">
        <v>6725</v>
      </c>
      <c r="B507" s="6143">
        <v>46222</v>
      </c>
      <c r="C507" s="6143" t="str">
        <v>Sunday</v>
      </c>
      <c r="D507" s="6144" t="s">
        <v>6733</v>
      </c>
      <c r="E507" s="6144">
        <f t="shared" si="92"/>
      </c>
      <c r="F507" s="6147"/>
      <c r="G507" s="6163"/>
      <c r="H507" s="6321" t="s">
        <v>6325</v>
      </c>
      <c r="I507" s="6144" t="s">
        <v>6326</v>
      </c>
      <c r="J507" s="6144"/>
      <c r="K507" s="6166"/>
      <c r="L507" s="6166"/>
      <c r="M507" s="6166"/>
      <c r="N507" s="6166"/>
      <c r="O507" s="6133"/>
      <c r="P507" s="6133"/>
      <c r="Q507" s="6133"/>
      <c r="R507" s="6133"/>
      <c r="S507" s="6133"/>
      <c r="T507" s="6133"/>
      <c r="U507" s="6135"/>
      <c r="V507" s="6135"/>
      <c r="W507" s="6135"/>
      <c r="X507" s="6135"/>
      <c r="Y507" s="6135"/>
    </row>
    <row r="508">
      <c r="A508" s="6384" t="s">
        <v>6726</v>
      </c>
      <c r="B508" s="6384">
        <v>46222</v>
      </c>
      <c r="C508" s="6384" t="str">
        <v>Sunday</v>
      </c>
      <c r="D508" s="6385" t="s">
        <v>6733</v>
      </c>
      <c r="E508" s="6385">
        <f t="shared" si="92"/>
      </c>
      <c r="F508" s="6385"/>
      <c r="G508" s="6386"/>
      <c r="H508" s="6387" t="s">
        <v>6325</v>
      </c>
      <c r="I508" s="6147" t="s">
        <v>6326</v>
      </c>
      <c r="J508" s="6385"/>
      <c r="K508" s="6166"/>
      <c r="L508" s="6166"/>
      <c r="M508" s="6166"/>
      <c r="N508" s="6166"/>
      <c r="O508" s="6133"/>
      <c r="P508" s="6133"/>
      <c r="Q508" s="6133"/>
      <c r="R508" s="6133"/>
      <c r="S508" s="6133"/>
      <c r="T508" s="6133"/>
      <c r="U508" s="6135"/>
      <c r="V508" s="6135"/>
      <c r="W508" s="6135"/>
      <c r="X508" s="6135"/>
      <c r="Y508" s="6135"/>
    </row>
    <row r="509">
      <c r="A509" s="6143"/>
      <c r="B509" s="6143"/>
      <c r="C509" s="6143"/>
      <c r="D509" s="6144"/>
      <c r="E509" s="6388">
        <f>E505+E507</f>
      </c>
      <c r="F509" s="6147"/>
      <c r="G509" s="6163"/>
      <c r="H509" s="6321"/>
      <c r="I509" s="6144"/>
      <c r="J509" s="6144"/>
      <c r="K509" s="6166"/>
      <c r="L509" s="6166"/>
      <c r="M509" s="6166"/>
      <c r="N509" s="6166"/>
      <c r="O509" s="6133"/>
      <c r="P509" s="6133"/>
      <c r="Q509" s="6133"/>
      <c r="R509" s="6133"/>
      <c r="S509" s="6133"/>
      <c r="T509" s="6133"/>
      <c r="U509" s="6135"/>
      <c r="V509" s="6135"/>
      <c r="W509" s="6135"/>
      <c r="X509" s="6135"/>
      <c r="Y509" s="6135"/>
    </row>
    <row r="510">
      <c r="A510" s="6143"/>
      <c r="B510" s="6143"/>
      <c r="C510" s="6143"/>
      <c r="D510" s="6144"/>
      <c r="E510" s="6388"/>
      <c r="F510" s="6147"/>
      <c r="G510" s="6163"/>
      <c r="H510" s="6321"/>
      <c r="I510" s="6144"/>
      <c r="J510" s="6144"/>
      <c r="K510" s="6166"/>
      <c r="L510" s="6166"/>
      <c r="M510" s="6166"/>
      <c r="N510" s="6166"/>
      <c r="O510" s="6133"/>
      <c r="P510" s="6133"/>
      <c r="Q510" s="6133"/>
      <c r="R510" s="6133"/>
      <c r="S510" s="6133"/>
      <c r="T510" s="6133"/>
      <c r="U510" s="6135"/>
      <c r="V510" s="6135"/>
      <c r="W510" s="6135"/>
      <c r="X510" s="6135"/>
      <c r="Y510" s="6135"/>
    </row>
    <row r="511">
      <c r="A511" s="6190"/>
      <c r="B511" s="6143"/>
      <c r="C511" s="6143"/>
      <c r="D511" s="6144"/>
      <c r="E511" s="6144"/>
      <c r="F511" s="6144"/>
      <c r="G511" s="6163"/>
      <c r="H511" s="6321"/>
      <c r="I511" s="6144"/>
      <c r="J511" s="6144"/>
      <c r="K511" s="6166"/>
      <c r="L511" s="6166"/>
      <c r="M511" s="6166"/>
      <c r="N511" s="6166"/>
      <c r="O511" s="6133"/>
      <c r="P511" s="6133"/>
      <c r="Q511" s="6133"/>
      <c r="R511" s="6133"/>
      <c r="S511" s="6133"/>
      <c r="T511" s="6133"/>
      <c r="U511" s="6135"/>
      <c r="V511" s="6135"/>
      <c r="W511" s="6135"/>
      <c r="X511" s="6135"/>
      <c r="Y511" s="6135"/>
    </row>
    <row r="512">
      <c r="A512" s="6143" t="s">
        <v>6734</v>
      </c>
      <c r="B512" s="6143">
        <v>46218</v>
      </c>
      <c r="C512" s="6143" t="str">
        <v>Wednesday</v>
      </c>
      <c r="D512" s="6147" t="s">
        <v>6735</v>
      </c>
      <c r="E512" s="6147">
        <f t="shared" ref="E512:E518" si="93">24*MOD(TIMEVALUE(TRIM(MID(D512,FIND("-",D512)+1,LEN(D512)))) - TIMEVALUE(TRIM(LEFT(D512,FIND("-",D512)-1))),1)</f>
      </c>
      <c r="F512" s="6144" t="s">
        <v>6728</v>
      </c>
      <c r="G512" s="6163"/>
      <c r="H512" s="6295" t="s">
        <v>6325</v>
      </c>
      <c r="I512" s="6144" t="s">
        <v>6326</v>
      </c>
      <c r="J512" s="6144"/>
      <c r="K512" s="6166"/>
      <c r="L512" s="6166"/>
      <c r="M512" s="6166"/>
      <c r="N512" s="6166"/>
      <c r="O512" s="6133"/>
      <c r="P512" s="6133"/>
      <c r="Q512" s="6133"/>
      <c r="R512" s="6133"/>
      <c r="S512" s="6133"/>
      <c r="T512" s="6133"/>
      <c r="U512" s="6135"/>
      <c r="V512" s="6135"/>
      <c r="W512" s="6135"/>
      <c r="X512" s="6135"/>
      <c r="Y512" s="6135"/>
    </row>
    <row r="513">
      <c r="A513" s="6143" t="s">
        <v>6734</v>
      </c>
      <c r="B513" s="6143">
        <v>46217</v>
      </c>
      <c r="C513" s="6143" t="str">
        <v>Tuesday</v>
      </c>
      <c r="D513" s="6147" t="s">
        <v>6736</v>
      </c>
      <c r="E513" s="6147">
        <f t="shared" si="93"/>
      </c>
      <c r="F513" s="6144" t="s">
        <v>6666</v>
      </c>
      <c r="G513" s="6206"/>
      <c r="H513" s="6295" t="s">
        <v>6325</v>
      </c>
      <c r="I513" s="6147" t="s">
        <v>6326</v>
      </c>
      <c r="J513" s="6147"/>
      <c r="K513" s="6166"/>
      <c r="L513" s="6166"/>
      <c r="M513" s="6166"/>
      <c r="N513" s="6166"/>
      <c r="O513" s="6133"/>
      <c r="P513" s="6133"/>
      <c r="Q513" s="6133"/>
      <c r="R513" s="6133"/>
      <c r="S513" s="6133"/>
      <c r="T513" s="6133"/>
      <c r="U513" s="6135"/>
      <c r="V513" s="6135"/>
      <c r="W513" s="6135"/>
      <c r="X513" s="6135"/>
      <c r="Y513" s="6135"/>
    </row>
    <row r="514">
      <c r="A514" s="6143" t="s">
        <v>6734</v>
      </c>
      <c r="B514" s="6143">
        <v>46217</v>
      </c>
      <c r="C514" s="6143" t="str">
        <v>Tuesday</v>
      </c>
      <c r="D514" s="6147" t="s">
        <v>6468</v>
      </c>
      <c r="E514" s="6147">
        <f t="shared" si="93"/>
      </c>
      <c r="F514" s="6144" t="s">
        <v>6561</v>
      </c>
      <c r="G514" s="6206"/>
      <c r="H514" s="6295" t="s">
        <v>6325</v>
      </c>
      <c r="I514" s="6144" t="s">
        <v>6326</v>
      </c>
      <c r="J514" s="6147"/>
      <c r="K514" s="6166"/>
      <c r="L514" s="6166"/>
      <c r="M514" s="6166"/>
      <c r="N514" s="6166"/>
      <c r="O514" s="6133"/>
      <c r="P514" s="6133"/>
      <c r="Q514" s="6133"/>
      <c r="R514" s="6133"/>
      <c r="S514" s="6133"/>
      <c r="T514" s="6133"/>
      <c r="U514" s="6135"/>
      <c r="V514" s="6135"/>
      <c r="W514" s="6135"/>
      <c r="X514" s="6135"/>
      <c r="Y514" s="6135"/>
    </row>
    <row r="515">
      <c r="A515" s="6143" t="s">
        <v>6734</v>
      </c>
      <c r="B515" s="6143">
        <v>46217</v>
      </c>
      <c r="C515" s="6143" t="str">
        <v>Tuesday</v>
      </c>
      <c r="D515" s="6147" t="s">
        <v>6737</v>
      </c>
      <c r="E515" s="6147">
        <f t="shared" si="93"/>
      </c>
      <c r="F515" s="6144" t="s">
        <v>6372</v>
      </c>
      <c r="G515" s="6206"/>
      <c r="H515" s="6295" t="s">
        <v>6325</v>
      </c>
      <c r="I515" s="6147" t="s">
        <v>6326</v>
      </c>
      <c r="J515" s="6147"/>
      <c r="K515" s="6166"/>
      <c r="L515" s="6166"/>
      <c r="M515" s="6166"/>
      <c r="N515" s="6166"/>
      <c r="O515" s="6133"/>
      <c r="P515" s="6133"/>
      <c r="Q515" s="6133"/>
      <c r="R515" s="6133"/>
      <c r="S515" s="6133"/>
      <c r="T515" s="6133"/>
      <c r="U515" s="6135"/>
      <c r="V515" s="6135"/>
      <c r="W515" s="6135"/>
      <c r="X515" s="6135"/>
      <c r="Y515" s="6135"/>
    </row>
    <row r="516">
      <c r="A516" s="6143" t="s">
        <v>6734</v>
      </c>
      <c r="B516" s="6143">
        <v>46219</v>
      </c>
      <c r="C516" s="6143" t="str">
        <v>Thursday</v>
      </c>
      <c r="D516" s="6147" t="s">
        <v>6366</v>
      </c>
      <c r="E516" s="6147">
        <f t="shared" si="93"/>
      </c>
      <c r="F516" s="6144" t="s">
        <v>6662</v>
      </c>
      <c r="G516" s="6206"/>
      <c r="H516" s="6295" t="s">
        <v>6325</v>
      </c>
      <c r="I516" s="6144" t="s">
        <v>6326</v>
      </c>
      <c r="J516" s="6147"/>
      <c r="K516" s="6166"/>
      <c r="L516" s="6166"/>
      <c r="M516" s="6166"/>
      <c r="N516" s="6166"/>
      <c r="O516" s="6133"/>
      <c r="P516" s="6133"/>
      <c r="Q516" s="6133"/>
      <c r="R516" s="6133"/>
      <c r="S516" s="6133"/>
      <c r="T516" s="6133"/>
      <c r="U516" s="6135"/>
      <c r="V516" s="6135"/>
      <c r="W516" s="6135"/>
      <c r="X516" s="6135"/>
      <c r="Y516" s="6135"/>
    </row>
    <row r="517">
      <c r="A517" s="6143" t="s">
        <v>6734</v>
      </c>
      <c r="B517" s="6143">
        <v>46220</v>
      </c>
      <c r="C517" s="6143" t="str">
        <v>Friday</v>
      </c>
      <c r="D517" s="6147" t="s">
        <v>6737</v>
      </c>
      <c r="E517" s="6147">
        <f t="shared" si="93"/>
      </c>
      <c r="F517" s="6144" t="s">
        <v>6328</v>
      </c>
      <c r="G517" s="6206"/>
      <c r="H517" s="6295" t="s">
        <v>6325</v>
      </c>
      <c r="I517" s="6144" t="s">
        <v>6326</v>
      </c>
      <c r="J517" s="6147"/>
      <c r="K517" s="6166"/>
      <c r="L517" s="6166"/>
      <c r="M517" s="6166"/>
      <c r="N517" s="6166"/>
      <c r="O517" s="6133"/>
      <c r="P517" s="6133"/>
      <c r="Q517" s="6133"/>
      <c r="R517" s="6133"/>
      <c r="S517" s="6133"/>
      <c r="T517" s="6133"/>
      <c r="U517" s="6135"/>
      <c r="V517" s="6135"/>
      <c r="W517" s="6135"/>
      <c r="X517" s="6135"/>
      <c r="Y517" s="6135"/>
    </row>
    <row r="518">
      <c r="A518" s="6143" t="s">
        <v>6734</v>
      </c>
      <c r="B518" s="6143">
        <v>46219</v>
      </c>
      <c r="C518" s="6143" t="str">
        <v>Thursday</v>
      </c>
      <c r="D518" s="6147" t="s">
        <v>6738</v>
      </c>
      <c r="E518" s="6147">
        <f t="shared" si="93"/>
      </c>
      <c r="F518" s="6144" t="s">
        <v>6661</v>
      </c>
      <c r="G518" s="6206"/>
      <c r="H518" s="6295" t="s">
        <v>6325</v>
      </c>
      <c r="I518" s="6144" t="s">
        <v>6326</v>
      </c>
      <c r="J518" s="6147"/>
      <c r="K518" s="6166"/>
      <c r="L518" s="6166"/>
      <c r="M518" s="6166"/>
      <c r="N518" s="6166"/>
      <c r="O518" s="6133"/>
      <c r="P518" s="6133"/>
      <c r="Q518" s="6133"/>
      <c r="R518" s="6133"/>
      <c r="S518" s="6133"/>
      <c r="T518" s="6133"/>
      <c r="U518" s="6135"/>
      <c r="V518" s="6135"/>
      <c r="W518" s="6135"/>
      <c r="X518" s="6135"/>
      <c r="Y518" s="6135"/>
    </row>
    <row r="519">
      <c r="A519" s="6238"/>
      <c r="B519" s="6238"/>
      <c r="C519" s="6238"/>
      <c r="D519" s="6238"/>
      <c r="E519" s="6238"/>
      <c r="F519" s="6238"/>
      <c r="G519" s="6296"/>
      <c r="H519" s="6238"/>
      <c r="I519" s="6238"/>
      <c r="J519" s="6238"/>
      <c r="K519" s="6166"/>
      <c r="L519" s="6166"/>
      <c r="M519" s="6166"/>
      <c r="N519" s="6166"/>
      <c r="O519" s="6133"/>
      <c r="P519" s="6133"/>
      <c r="Q519" s="6133"/>
      <c r="R519" s="6133"/>
      <c r="S519" s="6133"/>
      <c r="T519" s="6133"/>
      <c r="U519" s="6135"/>
      <c r="V519" s="6135"/>
      <c r="W519" s="6135"/>
      <c r="X519" s="6135"/>
      <c r="Y519" s="6135"/>
    </row>
    <row r="520">
      <c r="A520" s="6390" t="s">
        <v>6739</v>
      </c>
      <c r="B520" s="6390"/>
      <c r="C520" s="6390"/>
      <c r="D520" s="6390"/>
      <c r="E520" s="6390"/>
      <c r="F520" s="6390"/>
      <c r="G520" s="6390"/>
      <c r="H520" s="6390"/>
      <c r="I520" s="6390"/>
      <c r="J520" s="6390"/>
      <c r="K520" s="6166"/>
      <c r="L520" s="6166"/>
      <c r="M520" s="6166"/>
      <c r="N520" s="6166"/>
      <c r="O520" s="6133"/>
      <c r="P520" s="6133"/>
      <c r="Q520" s="6133"/>
      <c r="R520" s="6133"/>
      <c r="S520" s="6133"/>
      <c r="T520" s="6133"/>
      <c r="U520" s="6135"/>
      <c r="V520" s="6135"/>
      <c r="W520" s="6135"/>
      <c r="X520" s="6135"/>
      <c r="Y520" s="6135"/>
    </row>
    <row r="521">
      <c r="A521" s="6391" t="s">
        <v>6740</v>
      </c>
      <c r="B521" s="6392" t="s">
        <v>6314</v>
      </c>
      <c r="C521" s="6392"/>
      <c r="D521" s="6393" t="s">
        <v>6315</v>
      </c>
      <c r="E521" s="6393" t="s">
        <v>6316</v>
      </c>
      <c r="F521" s="6393"/>
      <c r="G521" s="6394"/>
      <c r="H521" s="6393" t="s">
        <v>6319</v>
      </c>
      <c r="I521" s="6393" t="s">
        <v>6320</v>
      </c>
      <c r="J521" s="6393" t="s">
        <v>6321</v>
      </c>
      <c r="K521" s="6166"/>
      <c r="L521" s="6166"/>
      <c r="M521" s="6166"/>
      <c r="N521" s="6166"/>
      <c r="O521" s="6133"/>
      <c r="P521" s="6133"/>
      <c r="Q521" s="6133"/>
      <c r="R521" s="6133"/>
      <c r="S521" s="6133"/>
      <c r="T521" s="6133"/>
      <c r="U521" s="6135"/>
      <c r="V521" s="6135"/>
      <c r="W521" s="6135"/>
      <c r="X521" s="6135"/>
      <c r="Y521" s="6135"/>
    </row>
    <row r="522">
      <c r="A522" s="6156" t="s">
        <v>6740</v>
      </c>
      <c r="B522" s="6156">
        <v>46217</v>
      </c>
      <c r="C522" s="6156" t="str">
        <v>Tuesday</v>
      </c>
      <c r="D522" s="6157" t="s">
        <v>6459</v>
      </c>
      <c r="E522" s="6157">
        <f t="shared" ref="E522:E533" si="94">24*MOD(TIMEVALUE(TRIM(MID(D522,FIND("-",D522)+1,LEN(D522)))) - TIMEVALUE(TRIM(LEFT(D522,FIND("-",D522)-1))),1)</f>
      </c>
      <c r="F522" s="6395" t="s">
        <v>6520</v>
      </c>
      <c r="G522" s="6158" t="s">
        <v>6741</v>
      </c>
      <c r="H522" s="6157" t="s">
        <v>6325</v>
      </c>
      <c r="I522" s="6157" t="s">
        <v>6326</v>
      </c>
      <c r="J522" s="6157" t="s">
        <v>6742</v>
      </c>
      <c r="K522" s="6166"/>
      <c r="L522" s="6166"/>
      <c r="M522" s="6166"/>
      <c r="N522" s="6166"/>
      <c r="O522" s="6133"/>
      <c r="P522" s="6133"/>
      <c r="Q522" s="6133"/>
      <c r="R522" s="6133"/>
      <c r="S522" s="6133"/>
      <c r="T522" s="6133"/>
      <c r="U522" s="6135"/>
      <c r="V522" s="6135"/>
      <c r="W522" s="6135"/>
      <c r="X522" s="6135"/>
      <c r="Y522" s="6135"/>
    </row>
    <row r="523">
      <c r="A523" s="6307" t="s">
        <v>6743</v>
      </c>
      <c r="B523" s="6307">
        <v>46217</v>
      </c>
      <c r="C523" s="6307" t="str">
        <v>Tuesday</v>
      </c>
      <c r="D523" s="6308" t="s">
        <v>6459</v>
      </c>
      <c r="E523" s="6308">
        <f t="shared" si="94"/>
      </c>
      <c r="F523" s="6308" t="s">
        <v>6555</v>
      </c>
      <c r="G523" s="6309"/>
      <c r="H523" s="6308" t="s">
        <v>6325</v>
      </c>
      <c r="I523" s="6147" t="s">
        <v>6326</v>
      </c>
      <c r="J523" s="6308"/>
      <c r="K523" s="6166"/>
      <c r="L523" s="6166"/>
      <c r="M523" s="6166"/>
      <c r="N523" s="6166"/>
      <c r="O523" s="6133"/>
      <c r="P523" s="6133"/>
      <c r="Q523" s="6133"/>
      <c r="R523" s="6133"/>
      <c r="S523" s="6133"/>
      <c r="T523" s="6133"/>
      <c r="U523" s="6135"/>
      <c r="V523" s="6135"/>
      <c r="W523" s="6135"/>
      <c r="X523" s="6135"/>
      <c r="Y523" s="6135"/>
    </row>
    <row r="524">
      <c r="A524" s="6143" t="s">
        <v>6740</v>
      </c>
      <c r="B524" s="6143">
        <v>46218</v>
      </c>
      <c r="C524" s="6143" t="str">
        <v>Wednesday</v>
      </c>
      <c r="D524" s="6144" t="s">
        <v>6459</v>
      </c>
      <c r="E524" s="6147">
        <f t="shared" si="94"/>
      </c>
      <c r="F524" s="6144" t="s">
        <v>6372</v>
      </c>
      <c r="G524" s="6206" t="s">
        <v>6741</v>
      </c>
      <c r="H524" s="6147" t="s">
        <v>6325</v>
      </c>
      <c r="I524" s="6147" t="s">
        <v>6326</v>
      </c>
      <c r="J524" s="6147"/>
      <c r="K524" s="6166"/>
      <c r="L524" s="6166"/>
      <c r="M524" s="6166"/>
      <c r="N524" s="6166"/>
      <c r="O524" s="6133"/>
      <c r="P524" s="6133"/>
      <c r="Q524" s="6133"/>
      <c r="R524" s="6133"/>
      <c r="S524" s="6133"/>
      <c r="T524" s="6133"/>
      <c r="U524" s="6135"/>
      <c r="V524" s="6135"/>
      <c r="W524" s="6135"/>
      <c r="X524" s="6135"/>
      <c r="Y524" s="6135"/>
    </row>
    <row r="525">
      <c r="A525" s="6307" t="s">
        <v>6743</v>
      </c>
      <c r="B525" s="6307">
        <v>46218</v>
      </c>
      <c r="C525" s="6307" t="str">
        <v>Wednesday</v>
      </c>
      <c r="D525" s="6308" t="s">
        <v>6744</v>
      </c>
      <c r="E525" s="6308">
        <f t="shared" si="94"/>
      </c>
      <c r="F525" s="6308" t="s">
        <v>6555</v>
      </c>
      <c r="G525" s="6309"/>
      <c r="H525" s="6308" t="s">
        <v>6325</v>
      </c>
      <c r="I525" s="6147" t="s">
        <v>6326</v>
      </c>
      <c r="J525" s="6308"/>
      <c r="K525" s="6166"/>
      <c r="L525" s="6166"/>
      <c r="M525" s="6166"/>
      <c r="N525" s="6166"/>
      <c r="O525" s="6133"/>
      <c r="P525" s="6133"/>
      <c r="Q525" s="6133"/>
      <c r="R525" s="6133"/>
      <c r="S525" s="6133"/>
      <c r="T525" s="6133"/>
      <c r="U525" s="6135"/>
      <c r="V525" s="6135"/>
      <c r="W525" s="6135"/>
      <c r="X525" s="6135"/>
      <c r="Y525" s="6135"/>
    </row>
    <row r="526">
      <c r="A526" s="6143" t="s">
        <v>6740</v>
      </c>
      <c r="B526" s="6143">
        <v>46219</v>
      </c>
      <c r="C526" s="6143" t="str">
        <v>Thursday</v>
      </c>
      <c r="D526" s="6144" t="s">
        <v>6459</v>
      </c>
      <c r="E526" s="6147">
        <f t="shared" si="94"/>
      </c>
      <c r="F526" s="6144" t="s">
        <v>6372</v>
      </c>
      <c r="G526" s="6206" t="s">
        <v>6339</v>
      </c>
      <c r="H526" s="6147" t="s">
        <v>6325</v>
      </c>
      <c r="I526" s="6147" t="s">
        <v>6326</v>
      </c>
      <c r="J526" s="6147"/>
      <c r="K526" s="6166"/>
      <c r="L526" s="6166"/>
      <c r="M526" s="6166"/>
      <c r="N526" s="6166"/>
      <c r="O526" s="6133"/>
      <c r="P526" s="6133"/>
      <c r="Q526" s="6133"/>
      <c r="R526" s="6133"/>
      <c r="S526" s="6133"/>
      <c r="T526" s="6133"/>
      <c r="U526" s="6135"/>
      <c r="V526" s="6135"/>
      <c r="W526" s="6135"/>
      <c r="X526" s="6135"/>
      <c r="Y526" s="6135"/>
    </row>
    <row r="527">
      <c r="A527" s="6307" t="s">
        <v>6743</v>
      </c>
      <c r="B527" s="6307">
        <v>46219</v>
      </c>
      <c r="C527" s="6307" t="str">
        <v>Thursday</v>
      </c>
      <c r="D527" s="6308" t="s">
        <v>6459</v>
      </c>
      <c r="E527" s="6308">
        <f t="shared" si="94"/>
      </c>
      <c r="F527" s="6308" t="s">
        <v>6342</v>
      </c>
      <c r="G527" s="6309"/>
      <c r="H527" s="6308" t="s">
        <v>6325</v>
      </c>
      <c r="I527" s="6144" t="s">
        <v>6326</v>
      </c>
      <c r="J527" s="6308"/>
      <c r="K527" s="6166"/>
      <c r="L527" s="6166"/>
      <c r="M527" s="6166"/>
      <c r="N527" s="6166"/>
      <c r="O527" s="6133"/>
      <c r="P527" s="6133"/>
      <c r="Q527" s="6133"/>
      <c r="R527" s="6133"/>
      <c r="S527" s="6133"/>
      <c r="T527" s="6133"/>
      <c r="U527" s="6135"/>
      <c r="V527" s="6135"/>
      <c r="W527" s="6135"/>
      <c r="X527" s="6135"/>
      <c r="Y527" s="6135"/>
    </row>
    <row r="528">
      <c r="A528" s="6143" t="s">
        <v>6740</v>
      </c>
      <c r="B528" s="6143">
        <v>46220</v>
      </c>
      <c r="C528" s="6143" t="str">
        <v>Friday</v>
      </c>
      <c r="D528" s="6144" t="s">
        <v>6459</v>
      </c>
      <c r="E528" s="6147">
        <f t="shared" si="94"/>
      </c>
      <c r="F528" s="6144"/>
      <c r="G528" s="6206"/>
      <c r="H528" s="6147" t="s">
        <v>6325</v>
      </c>
      <c r="I528" s="6147" t="s">
        <v>6395</v>
      </c>
      <c r="J528" s="6147"/>
      <c r="K528" s="6166"/>
      <c r="L528" s="6166"/>
      <c r="M528" s="6166"/>
      <c r="N528" s="6166"/>
      <c r="O528" s="6133"/>
      <c r="P528" s="6133"/>
      <c r="Q528" s="6133"/>
      <c r="R528" s="6133"/>
      <c r="S528" s="6133"/>
      <c r="T528" s="6133"/>
      <c r="U528" s="6135"/>
      <c r="V528" s="6135"/>
      <c r="W528" s="6135"/>
      <c r="X528" s="6135"/>
      <c r="Y528" s="6135"/>
    </row>
    <row r="529">
      <c r="A529" s="6307" t="s">
        <v>6743</v>
      </c>
      <c r="B529" s="6307">
        <v>46220</v>
      </c>
      <c r="C529" s="6307" t="str">
        <v>Friday</v>
      </c>
      <c r="D529" s="6308" t="s">
        <v>6459</v>
      </c>
      <c r="E529" s="6308">
        <f t="shared" si="94"/>
      </c>
      <c r="F529" s="6308"/>
      <c r="G529" s="6309"/>
      <c r="H529" s="6308" t="s">
        <v>6325</v>
      </c>
      <c r="I529" s="6144" t="s">
        <v>6395</v>
      </c>
      <c r="J529" s="6308"/>
      <c r="K529" s="6166"/>
      <c r="L529" s="6166"/>
      <c r="M529" s="6166"/>
      <c r="N529" s="6166"/>
      <c r="O529" s="6133"/>
      <c r="P529" s="6133"/>
      <c r="Q529" s="6133"/>
      <c r="R529" s="6133"/>
      <c r="S529" s="6133"/>
      <c r="T529" s="6133"/>
      <c r="U529" s="6135"/>
      <c r="V529" s="6135"/>
      <c r="W529" s="6135"/>
      <c r="X529" s="6135"/>
      <c r="Y529" s="6135"/>
    </row>
    <row r="530">
      <c r="A530" s="6143" t="s">
        <v>6740</v>
      </c>
      <c r="B530" s="6143">
        <v>46221</v>
      </c>
      <c r="C530" s="6143" t="str">
        <v>Saturday</v>
      </c>
      <c r="D530" s="6144" t="s">
        <v>6459</v>
      </c>
      <c r="E530" s="6147">
        <f t="shared" si="94"/>
      </c>
      <c r="F530" s="6144"/>
      <c r="G530" s="6206"/>
      <c r="H530" s="6147" t="s">
        <v>6325</v>
      </c>
      <c r="I530" s="6147" t="s">
        <v>6395</v>
      </c>
      <c r="J530" s="6147"/>
      <c r="K530" s="6166"/>
      <c r="L530" s="6166"/>
      <c r="M530" s="6166"/>
      <c r="N530" s="6166"/>
      <c r="O530" s="6133"/>
      <c r="P530" s="6133"/>
      <c r="Q530" s="6133"/>
      <c r="R530" s="6133"/>
      <c r="S530" s="6133"/>
      <c r="T530" s="6133"/>
      <c r="U530" s="6135"/>
      <c r="V530" s="6135"/>
      <c r="W530" s="6135"/>
      <c r="X530" s="6135"/>
      <c r="Y530" s="6135"/>
    </row>
    <row r="531">
      <c r="A531" s="6307" t="s">
        <v>6743</v>
      </c>
      <c r="B531" s="6307">
        <v>46221</v>
      </c>
      <c r="C531" s="6307" t="str">
        <v>Saturday</v>
      </c>
      <c r="D531" s="6308" t="s">
        <v>6459</v>
      </c>
      <c r="E531" s="6308">
        <f t="shared" si="94"/>
      </c>
      <c r="F531" s="6308"/>
      <c r="G531" s="6309"/>
      <c r="H531" s="6308" t="s">
        <v>6325</v>
      </c>
      <c r="I531" s="6147" t="s">
        <v>6395</v>
      </c>
      <c r="J531" s="6308"/>
      <c r="K531" s="6166"/>
      <c r="L531" s="6166"/>
      <c r="M531" s="6166"/>
      <c r="N531" s="6166"/>
      <c r="O531" s="6133"/>
      <c r="P531" s="6133"/>
      <c r="Q531" s="6133"/>
      <c r="R531" s="6133"/>
      <c r="S531" s="6133"/>
      <c r="T531" s="6133"/>
      <c r="U531" s="6135"/>
      <c r="V531" s="6135"/>
      <c r="W531" s="6135"/>
      <c r="X531" s="6135"/>
      <c r="Y531" s="6135"/>
    </row>
    <row r="532">
      <c r="A532" s="6143" t="s">
        <v>6740</v>
      </c>
      <c r="B532" s="6143">
        <v>46222</v>
      </c>
      <c r="C532" s="6143" t="str">
        <v>Sunday</v>
      </c>
      <c r="D532" s="6144" t="s">
        <v>6459</v>
      </c>
      <c r="E532" s="6147">
        <f t="shared" si="94"/>
      </c>
      <c r="F532" s="6144"/>
      <c r="G532" s="6206"/>
      <c r="H532" s="6147" t="s">
        <v>6325</v>
      </c>
      <c r="I532" s="6147" t="s">
        <v>6395</v>
      </c>
      <c r="J532" s="6147"/>
      <c r="K532" s="6166"/>
      <c r="L532" s="6166"/>
      <c r="M532" s="6166"/>
      <c r="N532" s="6166"/>
      <c r="O532" s="6133"/>
      <c r="P532" s="6133"/>
      <c r="Q532" s="6133"/>
      <c r="R532" s="6133"/>
      <c r="S532" s="6133"/>
      <c r="T532" s="6133"/>
      <c r="U532" s="6135"/>
      <c r="V532" s="6135"/>
      <c r="W532" s="6135"/>
      <c r="X532" s="6135"/>
      <c r="Y532" s="6135"/>
    </row>
    <row r="533">
      <c r="A533" s="6307" t="s">
        <v>6743</v>
      </c>
      <c r="B533" s="6307">
        <v>46222</v>
      </c>
      <c r="C533" s="6307" t="str">
        <v>Sunday</v>
      </c>
      <c r="D533" s="6308" t="s">
        <v>6459</v>
      </c>
      <c r="E533" s="6308">
        <f t="shared" si="94"/>
      </c>
      <c r="F533" s="6308"/>
      <c r="G533" s="6309"/>
      <c r="H533" s="6308" t="s">
        <v>6325</v>
      </c>
      <c r="I533" s="6147" t="s">
        <v>6395</v>
      </c>
      <c r="J533" s="6308"/>
      <c r="K533" s="6166"/>
      <c r="L533" s="6166"/>
      <c r="M533" s="6166"/>
      <c r="N533" s="6166"/>
      <c r="O533" s="6133"/>
      <c r="P533" s="6133"/>
      <c r="Q533" s="6133"/>
      <c r="R533" s="6133"/>
      <c r="S533" s="6133"/>
      <c r="T533" s="6133"/>
      <c r="U533" s="6135"/>
      <c r="V533" s="6135"/>
      <c r="W533" s="6135"/>
      <c r="X533" s="6135"/>
      <c r="Y533" s="6135"/>
    </row>
    <row r="534">
      <c r="A534" s="6143"/>
      <c r="B534" s="6143"/>
      <c r="C534" s="6143"/>
      <c r="D534" s="6143"/>
      <c r="E534" s="6143"/>
      <c r="F534" s="6143"/>
      <c r="G534" s="6143"/>
      <c r="H534" s="6143"/>
      <c r="I534" s="6143"/>
      <c r="J534" s="6143"/>
      <c r="K534" s="6166"/>
      <c r="L534" s="6166"/>
      <c r="M534" s="6166"/>
      <c r="N534" s="6166"/>
      <c r="O534" s="6133"/>
      <c r="P534" s="6133"/>
      <c r="Q534" s="6133"/>
      <c r="R534" s="6133"/>
      <c r="S534" s="6133"/>
      <c r="T534" s="6133"/>
      <c r="U534" s="6135"/>
      <c r="V534" s="6135"/>
      <c r="W534" s="6135"/>
      <c r="X534" s="6135"/>
      <c r="Y534" s="6135"/>
    </row>
    <row r="535">
      <c r="A535" s="6143" t="s">
        <v>6745</v>
      </c>
      <c r="B535" s="6143">
        <v>46218</v>
      </c>
      <c r="C535" s="6143" t="str">
        <v>Wednesday</v>
      </c>
      <c r="D535" s="6147" t="s">
        <v>6738</v>
      </c>
      <c r="E535" s="6147">
        <f t="shared" ref="E535:E536" si="95">24*MOD(TIMEVALUE(TRIM(MID(D535,FIND("-",D535)+1,LEN(D535)))) - TIMEVALUE(TRIM(LEFT(D535,FIND("-",D535)-1))),1)</f>
      </c>
      <c r="F535" s="6147"/>
      <c r="G535" s="6206"/>
      <c r="H535" s="6147" t="s">
        <v>6325</v>
      </c>
      <c r="I535" s="6147" t="s">
        <v>6326</v>
      </c>
      <c r="J535" s="6147"/>
      <c r="K535" s="6166"/>
      <c r="L535" s="6166"/>
      <c r="M535" s="6166"/>
      <c r="N535" s="6166"/>
      <c r="O535" s="6133"/>
      <c r="P535" s="6133"/>
      <c r="Q535" s="6133"/>
      <c r="R535" s="6133"/>
      <c r="S535" s="6133"/>
      <c r="T535" s="6133"/>
      <c r="U535" s="6135"/>
      <c r="V535" s="6135"/>
      <c r="W535" s="6135"/>
      <c r="X535" s="6135"/>
      <c r="Y535" s="6135"/>
    </row>
    <row r="536">
      <c r="A536" s="6143" t="s">
        <v>6745</v>
      </c>
      <c r="B536" s="6143">
        <v>46180</v>
      </c>
      <c r="C536" s="6143" t="str">
        <v>Sunday</v>
      </c>
      <c r="D536" s="6147" t="s">
        <v>6549</v>
      </c>
      <c r="E536" s="6147">
        <f t="shared" si="95"/>
      </c>
      <c r="F536" s="6147"/>
      <c r="G536" s="6246"/>
      <c r="H536" s="6147" t="s">
        <v>6325</v>
      </c>
      <c r="I536" s="6147" t="s">
        <v>6395</v>
      </c>
      <c r="J536" s="6396"/>
      <c r="K536" s="6166"/>
      <c r="L536" s="6166"/>
      <c r="M536" s="6166"/>
      <c r="N536" s="6166"/>
      <c r="O536" s="6133"/>
      <c r="P536" s="6133"/>
      <c r="Q536" s="6133"/>
      <c r="R536" s="6133"/>
      <c r="S536" s="6133"/>
      <c r="T536" s="6133"/>
      <c r="U536" s="6135"/>
      <c r="V536" s="6135"/>
      <c r="W536" s="6135"/>
      <c r="X536" s="6135"/>
      <c r="Y536" s="6135"/>
    </row>
    <row r="537">
      <c r="A537" s="6143"/>
      <c r="B537" s="6143"/>
      <c r="C537" s="6143"/>
      <c r="D537" s="6147"/>
      <c r="E537" s="6396"/>
      <c r="F537" s="6396"/>
      <c r="G537" s="6246"/>
      <c r="H537" s="6147"/>
      <c r="I537" s="6147"/>
      <c r="J537" s="6396"/>
      <c r="K537" s="6166"/>
      <c r="L537" s="6166"/>
      <c r="M537" s="6166"/>
      <c r="N537" s="6166"/>
      <c r="O537" s="6133"/>
      <c r="P537" s="6133"/>
      <c r="Q537" s="6133"/>
      <c r="R537" s="6133"/>
      <c r="S537" s="6133"/>
      <c r="T537" s="6133"/>
      <c r="U537" s="6135"/>
      <c r="V537" s="6135"/>
      <c r="W537" s="6135"/>
      <c r="X537" s="6135"/>
      <c r="Y537" s="6135"/>
    </row>
    <row r="538">
      <c r="A538" s="6238"/>
      <c r="B538" s="6238"/>
      <c r="C538" s="6238"/>
      <c r="D538" s="6238"/>
      <c r="E538" s="6238"/>
      <c r="F538" s="6238"/>
      <c r="G538" s="6296"/>
      <c r="H538" s="6238"/>
      <c r="I538" s="6238"/>
      <c r="J538" s="6238"/>
      <c r="K538" s="6166"/>
      <c r="L538" s="6166"/>
      <c r="M538" s="6166"/>
      <c r="N538" s="6166"/>
      <c r="O538" s="6133"/>
      <c r="P538" s="6133"/>
      <c r="Q538" s="6133"/>
      <c r="R538" s="6133"/>
      <c r="S538" s="6133"/>
      <c r="T538" s="6133"/>
      <c r="U538" s="6135"/>
      <c r="V538" s="6135"/>
      <c r="W538" s="6135"/>
      <c r="X538" s="6135"/>
      <c r="Y538" s="6135"/>
    </row>
    <row r="539">
      <c r="A539" s="6397" t="s">
        <v>6746</v>
      </c>
      <c r="B539" s="6397"/>
      <c r="C539" s="6397"/>
      <c r="D539" s="6397"/>
      <c r="E539" s="6397"/>
      <c r="F539" s="6397"/>
      <c r="G539" s="6397"/>
      <c r="H539" s="6397"/>
      <c r="I539" s="6397"/>
      <c r="J539" s="6397"/>
      <c r="K539" s="6166"/>
      <c r="L539" s="6166"/>
      <c r="M539" s="6166"/>
      <c r="N539" s="6166"/>
      <c r="O539" s="6133"/>
      <c r="P539" s="6133"/>
      <c r="Q539" s="6133"/>
      <c r="R539" s="6133"/>
      <c r="S539" s="6133"/>
      <c r="T539" s="6133"/>
      <c r="U539" s="6135"/>
      <c r="V539" s="6135"/>
      <c r="W539" s="6135"/>
      <c r="X539" s="6135"/>
      <c r="Y539" s="6135"/>
    </row>
    <row r="540">
      <c r="A540" s="6256" t="s">
        <v>6746</v>
      </c>
      <c r="B540" s="6257" t="s">
        <v>6314</v>
      </c>
      <c r="C540" s="6257"/>
      <c r="D540" s="6258" t="s">
        <v>6315</v>
      </c>
      <c r="E540" s="6258" t="s">
        <v>6316</v>
      </c>
      <c r="F540" s="6258" t="s">
        <v>6317</v>
      </c>
      <c r="G540" s="6259" t="s">
        <v>6335</v>
      </c>
      <c r="H540" s="6258" t="s">
        <v>6319</v>
      </c>
      <c r="I540" s="6258" t="s">
        <v>6320</v>
      </c>
      <c r="J540" s="6258" t="s">
        <v>6321</v>
      </c>
      <c r="K540" s="6166"/>
      <c r="L540" s="6166"/>
      <c r="M540" s="6166"/>
      <c r="N540" s="6166"/>
      <c r="O540" s="6133"/>
      <c r="P540" s="6133"/>
      <c r="Q540" s="6133"/>
      <c r="R540" s="6133"/>
      <c r="S540" s="6133"/>
      <c r="T540" s="6133"/>
      <c r="U540" s="6135"/>
      <c r="V540" s="6135"/>
      <c r="W540" s="6135"/>
      <c r="X540" s="6135"/>
      <c r="Y540" s="6135"/>
    </row>
    <row r="541">
      <c r="A541" s="6143" t="s">
        <v>6746</v>
      </c>
      <c r="B541" s="6143">
        <v>46217</v>
      </c>
      <c r="C541" s="6143" t="str">
        <v>Tuesday</v>
      </c>
      <c r="D541" s="6144" t="s">
        <v>6603</v>
      </c>
      <c r="E541" s="6144">
        <f t="shared" ref="E541:E555" si="96">24*MOD(TIMEVALUE(TRIM(MID(D541,FIND("-",D541)+1,LEN(D541)))) - TIMEVALUE(TRIM(LEFT(D541,FIND("-",D541)-1))),1)</f>
      </c>
      <c r="F541" s="6144" t="s">
        <v>6561</v>
      </c>
      <c r="G541" s="6163" t="s">
        <v>6678</v>
      </c>
      <c r="H541" s="6144" t="s">
        <v>6325</v>
      </c>
      <c r="I541" s="6144" t="s">
        <v>6326</v>
      </c>
      <c r="J541" s="6144"/>
      <c r="K541" s="6166"/>
      <c r="L541" s="6398"/>
      <c r="M541" s="6398"/>
      <c r="N541" s="6398"/>
      <c r="O541" s="6134"/>
      <c r="P541" s="6134"/>
      <c r="Q541" s="6134"/>
      <c r="R541" s="6134"/>
      <c r="S541" s="6134"/>
      <c r="T541" s="6134"/>
      <c r="U541" s="6134"/>
      <c r="V541" s="6134"/>
      <c r="W541" s="6134"/>
      <c r="X541" s="6134"/>
      <c r="Y541" s="6134"/>
    </row>
    <row r="542">
      <c r="A542" s="6399" t="s">
        <v>6747</v>
      </c>
      <c r="B542" s="6399">
        <v>46217</v>
      </c>
      <c r="C542" s="6399" t="str">
        <v>Tuesday</v>
      </c>
      <c r="D542" s="6400" t="s">
        <v>6714</v>
      </c>
      <c r="E542" s="6400">
        <f t="shared" si="96"/>
      </c>
      <c r="F542" s="6400" t="s">
        <v>6669</v>
      </c>
      <c r="G542" s="6401"/>
      <c r="H542" s="6400" t="s">
        <v>6325</v>
      </c>
      <c r="I542" s="6400" t="s">
        <v>6326</v>
      </c>
      <c r="J542" s="6400"/>
      <c r="K542" s="6166"/>
      <c r="L542" s="6398"/>
      <c r="M542" s="6398"/>
      <c r="N542" s="6398"/>
      <c r="O542" s="6134"/>
      <c r="P542" s="6134"/>
      <c r="Q542" s="6134"/>
      <c r="R542" s="6134"/>
      <c r="S542" s="6134"/>
      <c r="T542" s="6134"/>
      <c r="U542" s="6135"/>
      <c r="V542" s="6135"/>
      <c r="W542" s="6135"/>
      <c r="X542" s="6135"/>
      <c r="Y542" s="6135"/>
    </row>
    <row r="543">
      <c r="A543" s="6143" t="s">
        <v>6746</v>
      </c>
      <c r="B543" s="6143">
        <v>46218</v>
      </c>
      <c r="C543" s="6143" t="str">
        <v>Wednesday</v>
      </c>
      <c r="D543" s="6144" t="s">
        <v>6610</v>
      </c>
      <c r="E543" s="6147">
        <f t="shared" si="96"/>
      </c>
      <c r="F543" s="6144" t="s">
        <v>6561</v>
      </c>
      <c r="G543" s="6206"/>
      <c r="H543" s="6144" t="s">
        <v>6325</v>
      </c>
      <c r="I543" s="6144" t="s">
        <v>6326</v>
      </c>
      <c r="J543" s="6147"/>
      <c r="K543" s="6166"/>
      <c r="L543" s="6398"/>
      <c r="M543" s="6398"/>
      <c r="N543" s="6398"/>
      <c r="O543" s="6134"/>
      <c r="P543" s="6134"/>
      <c r="Q543" s="6134"/>
      <c r="R543" s="6134"/>
      <c r="S543" s="6134"/>
      <c r="T543" s="6134"/>
      <c r="U543" s="6135"/>
      <c r="V543" s="6135"/>
      <c r="W543" s="6135"/>
      <c r="X543" s="6135"/>
      <c r="Y543" s="6135"/>
    </row>
    <row r="544">
      <c r="A544" s="6399" t="s">
        <v>6747</v>
      </c>
      <c r="B544" s="6399">
        <v>46218</v>
      </c>
      <c r="C544" s="6399" t="str">
        <v>Wednesday</v>
      </c>
      <c r="D544" s="6400" t="s">
        <v>6714</v>
      </c>
      <c r="E544" s="6400">
        <f t="shared" si="96"/>
      </c>
      <c r="F544" s="6400"/>
      <c r="G544" s="6401"/>
      <c r="H544" s="6400" t="s">
        <v>6325</v>
      </c>
      <c r="I544" s="6400" t="s">
        <v>6326</v>
      </c>
      <c r="J544" s="6400"/>
      <c r="K544" s="6402"/>
      <c r="L544" s="6403"/>
      <c r="M544" s="6403"/>
      <c r="N544" s="6403"/>
      <c r="O544" s="6404"/>
      <c r="P544" s="6404"/>
      <c r="Q544" s="6404"/>
      <c r="R544" s="6404"/>
      <c r="S544" s="6404"/>
      <c r="T544" s="6404"/>
      <c r="U544" s="6404"/>
      <c r="V544" s="6404"/>
      <c r="W544" s="6404"/>
      <c r="X544" s="6404"/>
      <c r="Y544" s="6404"/>
    </row>
    <row r="545">
      <c r="A545" s="6156" t="s">
        <v>6746</v>
      </c>
      <c r="B545" s="6156">
        <v>46219</v>
      </c>
      <c r="C545" s="6156" t="str">
        <v>Thursday</v>
      </c>
      <c r="D545" s="6157" t="s">
        <v>6603</v>
      </c>
      <c r="E545" s="6157">
        <f t="shared" si="96"/>
      </c>
      <c r="F545" s="6157" t="s">
        <v>6561</v>
      </c>
      <c r="G545" s="6158" t="s">
        <v>6748</v>
      </c>
      <c r="H545" s="6157" t="s">
        <v>6325</v>
      </c>
      <c r="I545" s="6157" t="s">
        <v>6326</v>
      </c>
      <c r="J545" s="6157" t="s">
        <v>6749</v>
      </c>
      <c r="K545" s="6166"/>
      <c r="L545" s="6398"/>
      <c r="M545" s="6398"/>
      <c r="N545" s="6398"/>
      <c r="O545" s="6134"/>
      <c r="P545" s="6134"/>
      <c r="Q545" s="6134"/>
      <c r="R545" s="6134"/>
      <c r="S545" s="6134"/>
      <c r="T545" s="6134"/>
      <c r="U545" s="6135"/>
      <c r="V545" s="6135"/>
      <c r="W545" s="6135"/>
      <c r="X545" s="6135"/>
      <c r="Y545" s="6135"/>
    </row>
    <row r="546">
      <c r="A546" s="6156" t="s">
        <v>6747</v>
      </c>
      <c r="B546" s="6156">
        <v>46219</v>
      </c>
      <c r="C546" s="6156" t="str">
        <v>Thursday</v>
      </c>
      <c r="D546" s="6157" t="s">
        <v>6714</v>
      </c>
      <c r="E546" s="6157">
        <f t="shared" si="96"/>
      </c>
      <c r="F546" s="6157" t="s">
        <v>6554</v>
      </c>
      <c r="G546" s="6158"/>
      <c r="H546" s="6157" t="s">
        <v>6325</v>
      </c>
      <c r="I546" s="6157" t="s">
        <v>6326</v>
      </c>
      <c r="J546" s="6157" t="s">
        <v>6729</v>
      </c>
      <c r="K546" s="6166"/>
      <c r="L546" s="6398"/>
      <c r="M546" s="6398"/>
      <c r="N546" s="6398"/>
      <c r="O546" s="6134"/>
      <c r="P546" s="6134"/>
      <c r="Q546" s="6134"/>
      <c r="R546" s="6134"/>
      <c r="S546" s="6134"/>
      <c r="T546" s="6134"/>
      <c r="U546" s="6135"/>
      <c r="V546" s="6135"/>
      <c r="W546" s="6135"/>
      <c r="X546" s="6135"/>
      <c r="Y546" s="6135"/>
    </row>
    <row r="547">
      <c r="A547" s="6156" t="s">
        <v>6746</v>
      </c>
      <c r="B547" s="6156">
        <v>46220</v>
      </c>
      <c r="C547" s="6156" t="str">
        <v>Friday</v>
      </c>
      <c r="D547" s="6157" t="s">
        <v>6600</v>
      </c>
      <c r="E547" s="6157">
        <f t="shared" si="96"/>
      </c>
      <c r="F547" s="6157" t="s">
        <v>6561</v>
      </c>
      <c r="G547" s="6158" t="s">
        <v>6704</v>
      </c>
      <c r="H547" s="6157" t="s">
        <v>6325</v>
      </c>
      <c r="I547" s="6157" t="s">
        <v>6326</v>
      </c>
      <c r="J547" s="6157" t="s">
        <v>6749</v>
      </c>
      <c r="K547" s="6166"/>
      <c r="L547" s="6398"/>
      <c r="M547" s="6398"/>
      <c r="N547" s="6398"/>
      <c r="O547" s="6134"/>
      <c r="P547" s="6134"/>
      <c r="Q547" s="6134"/>
      <c r="R547" s="6134"/>
      <c r="S547" s="6134"/>
      <c r="T547" s="6134"/>
      <c r="U547" s="6135"/>
      <c r="V547" s="6135"/>
      <c r="W547" s="6135"/>
      <c r="X547" s="6135"/>
      <c r="Y547" s="6135"/>
    </row>
    <row r="548">
      <c r="A548" s="6156" t="s">
        <v>6747</v>
      </c>
      <c r="B548" s="6156">
        <v>46220</v>
      </c>
      <c r="C548" s="6156" t="str">
        <v>Friday</v>
      </c>
      <c r="D548" s="6157" t="s">
        <v>6750</v>
      </c>
      <c r="E548" s="6157">
        <f t="shared" si="96"/>
      </c>
      <c r="F548" s="6157" t="s">
        <v>6497</v>
      </c>
      <c r="G548" s="6158"/>
      <c r="H548" s="6157" t="s">
        <v>6325</v>
      </c>
      <c r="I548" s="6157" t="s">
        <v>6395</v>
      </c>
      <c r="J548" s="6157"/>
      <c r="K548" s="6209"/>
      <c r="L548" s="6405"/>
      <c r="M548" s="6405"/>
      <c r="N548" s="6405"/>
      <c r="O548" s="6159"/>
      <c r="P548" s="6159"/>
      <c r="Q548" s="6159"/>
      <c r="R548" s="6159"/>
      <c r="S548" s="6159"/>
      <c r="T548" s="6159"/>
      <c r="U548" s="6159"/>
      <c r="V548" s="6159"/>
      <c r="W548" s="6159"/>
      <c r="X548" s="6159"/>
      <c r="Y548" s="6159"/>
    </row>
    <row r="549">
      <c r="A549" s="6156" t="s">
        <v>6746</v>
      </c>
      <c r="B549" s="6156">
        <v>46221</v>
      </c>
      <c r="C549" s="6156" t="str">
        <v>Saturday</v>
      </c>
      <c r="D549" s="6157" t="s">
        <v>6603</v>
      </c>
      <c r="E549" s="6157">
        <f t="shared" si="96"/>
      </c>
      <c r="F549" s="6157" t="s">
        <v>6751</v>
      </c>
      <c r="G549" s="6158" t="s">
        <v>6752</v>
      </c>
      <c r="H549" s="6157" t="s">
        <v>6325</v>
      </c>
      <c r="I549" s="6157" t="s">
        <v>6326</v>
      </c>
      <c r="J549" s="6157" t="s">
        <v>6749</v>
      </c>
      <c r="K549" s="6166"/>
      <c r="L549" s="6398"/>
      <c r="M549" s="6398"/>
      <c r="N549" s="6398"/>
      <c r="O549" s="6134"/>
      <c r="P549" s="6134"/>
      <c r="Q549" s="6134"/>
      <c r="R549" s="6134"/>
      <c r="S549" s="6134"/>
      <c r="T549" s="6134"/>
      <c r="U549" s="6135"/>
      <c r="V549" s="6135"/>
      <c r="W549" s="6135"/>
      <c r="X549" s="6135"/>
      <c r="Y549" s="6135"/>
    </row>
    <row r="550">
      <c r="A550" s="6156" t="s">
        <v>6747</v>
      </c>
      <c r="B550" s="6156">
        <v>46221</v>
      </c>
      <c r="C550" s="6156" t="str">
        <v>Saturday</v>
      </c>
      <c r="D550" s="6157" t="s">
        <v>6753</v>
      </c>
      <c r="E550" s="6157">
        <f t="shared" si="96"/>
      </c>
      <c r="F550" s="6157" t="s">
        <v>6342</v>
      </c>
      <c r="G550" s="6158"/>
      <c r="H550" s="6157" t="s">
        <v>6325</v>
      </c>
      <c r="I550" s="6157" t="s">
        <v>6326</v>
      </c>
      <c r="J550" s="6157"/>
      <c r="K550" s="6209"/>
      <c r="L550" s="6405"/>
      <c r="M550" s="6405"/>
      <c r="N550" s="6405"/>
      <c r="O550" s="6159"/>
      <c r="P550" s="6159"/>
      <c r="Q550" s="6159"/>
      <c r="R550" s="6159"/>
      <c r="S550" s="6159"/>
      <c r="T550" s="6159"/>
      <c r="U550" s="6159"/>
      <c r="V550" s="6159"/>
      <c r="W550" s="6159"/>
      <c r="X550" s="6159"/>
      <c r="Y550" s="6159"/>
    </row>
    <row r="551">
      <c r="A551" s="6156" t="s">
        <v>6747</v>
      </c>
      <c r="B551" s="6156">
        <v>46221</v>
      </c>
      <c r="C551" s="6156" t="str">
        <v>Saturday</v>
      </c>
      <c r="D551" s="6157" t="s">
        <v>6368</v>
      </c>
      <c r="E551" s="6157">
        <f t="shared" si="96"/>
      </c>
      <c r="F551" s="6157" t="s">
        <v>6385</v>
      </c>
      <c r="G551" s="6158"/>
      <c r="H551" s="6157" t="s">
        <v>6325</v>
      </c>
      <c r="I551" s="6157" t="s">
        <v>6326</v>
      </c>
      <c r="J551" s="6157"/>
      <c r="K551" s="6209"/>
      <c r="L551" s="6405"/>
      <c r="M551" s="6405"/>
      <c r="N551" s="6405"/>
      <c r="O551" s="6159"/>
      <c r="P551" s="6159"/>
      <c r="Q551" s="6159"/>
      <c r="R551" s="6159"/>
      <c r="S551" s="6159"/>
      <c r="T551" s="6159"/>
      <c r="U551" s="6159"/>
      <c r="V551" s="6159"/>
      <c r="W551" s="6159"/>
      <c r="X551" s="6159"/>
      <c r="Y551" s="6159"/>
    </row>
    <row r="552">
      <c r="A552" s="6143" t="s">
        <v>6746</v>
      </c>
      <c r="B552" s="6143">
        <v>46222</v>
      </c>
      <c r="C552" s="6143" t="str">
        <v>Sunday</v>
      </c>
      <c r="D552" s="6144" t="s">
        <v>6343</v>
      </c>
      <c r="E552" s="6147">
        <f t="shared" si="96"/>
      </c>
      <c r="F552" s="6144" t="s">
        <v>6561</v>
      </c>
      <c r="G552" s="6206"/>
      <c r="H552" s="6144" t="s">
        <v>6325</v>
      </c>
      <c r="I552" s="6147" t="s">
        <v>6326</v>
      </c>
      <c r="J552" s="6147"/>
      <c r="K552" s="6166"/>
      <c r="L552" s="6398"/>
      <c r="M552" s="6398"/>
      <c r="N552" s="6398"/>
      <c r="O552" s="6134"/>
      <c r="P552" s="6134"/>
      <c r="Q552" s="6134"/>
      <c r="R552" s="6134"/>
      <c r="S552" s="6134"/>
      <c r="T552" s="6134"/>
      <c r="U552" s="6135"/>
      <c r="V552" s="6135"/>
      <c r="W552" s="6135"/>
      <c r="X552" s="6135"/>
      <c r="Y552" s="6135"/>
    </row>
    <row r="553">
      <c r="A553" s="6143" t="s">
        <v>6746</v>
      </c>
      <c r="B553" s="6143">
        <v>46222</v>
      </c>
      <c r="C553" s="6143" t="str">
        <v>Sunday</v>
      </c>
      <c r="D553" s="6144" t="s">
        <v>6603</v>
      </c>
      <c r="E553" s="6147">
        <f t="shared" si="96"/>
      </c>
      <c r="F553" s="6144" t="s">
        <v>6751</v>
      </c>
      <c r="G553" s="6206"/>
      <c r="H553" s="6144" t="s">
        <v>6325</v>
      </c>
      <c r="I553" s="6147" t="s">
        <v>6326</v>
      </c>
      <c r="J553" s="6147"/>
      <c r="K553" s="6166"/>
      <c r="L553" s="6398"/>
      <c r="M553" s="6398"/>
      <c r="N553" s="6398"/>
      <c r="O553" s="6134"/>
      <c r="P553" s="6134"/>
      <c r="Q553" s="6134"/>
      <c r="R553" s="6134"/>
      <c r="S553" s="6134"/>
      <c r="T553" s="6134"/>
      <c r="U553" s="6135"/>
      <c r="V553" s="6135"/>
      <c r="W553" s="6135"/>
      <c r="X553" s="6135"/>
      <c r="Y553" s="6135"/>
    </row>
    <row r="554">
      <c r="A554" s="6399" t="s">
        <v>6747</v>
      </c>
      <c r="B554" s="6399">
        <v>46222</v>
      </c>
      <c r="C554" s="6399" t="str">
        <v>Sunday</v>
      </c>
      <c r="D554" s="6400" t="s">
        <v>6343</v>
      </c>
      <c r="E554" s="6400">
        <f t="shared" si="96"/>
      </c>
      <c r="F554" s="6400" t="s">
        <v>6554</v>
      </c>
      <c r="G554" s="6401"/>
      <c r="H554" s="6400" t="s">
        <v>6325</v>
      </c>
      <c r="I554" s="6400" t="s">
        <v>6326</v>
      </c>
      <c r="J554" s="6400"/>
      <c r="K554" s="6166"/>
      <c r="L554" s="6398"/>
      <c r="M554" s="6398"/>
      <c r="N554" s="6398"/>
      <c r="O554" s="6134"/>
      <c r="P554" s="6134"/>
      <c r="Q554" s="6134"/>
      <c r="R554" s="6134"/>
      <c r="S554" s="6134"/>
      <c r="T554" s="6134"/>
      <c r="U554" s="6135"/>
      <c r="V554" s="6135"/>
      <c r="W554" s="6135"/>
      <c r="X554" s="6135"/>
      <c r="Y554" s="6135"/>
    </row>
    <row r="555">
      <c r="A555" s="6399" t="s">
        <v>6747</v>
      </c>
      <c r="B555" s="6399">
        <v>46222</v>
      </c>
      <c r="C555" s="6399" t="str">
        <v>Sunday</v>
      </c>
      <c r="D555" s="6400" t="s">
        <v>6603</v>
      </c>
      <c r="E555" s="6400">
        <f t="shared" si="96"/>
      </c>
      <c r="F555" s="6400" t="s">
        <v>6669</v>
      </c>
      <c r="G555" s="6401"/>
      <c r="H555" s="6400" t="s">
        <v>6325</v>
      </c>
      <c r="I555" s="6400" t="s">
        <v>6326</v>
      </c>
      <c r="J555" s="6400"/>
      <c r="K555" s="6166"/>
      <c r="L555" s="6398"/>
      <c r="M555" s="6398"/>
      <c r="N555" s="6398"/>
      <c r="O555" s="6134"/>
      <c r="P555" s="6134"/>
      <c r="Q555" s="6134"/>
      <c r="R555" s="6134"/>
      <c r="S555" s="6134"/>
      <c r="T555" s="6134"/>
      <c r="U555" s="6135"/>
      <c r="V555" s="6135"/>
      <c r="W555" s="6135"/>
      <c r="X555" s="6135"/>
      <c r="Y555" s="6135"/>
    </row>
    <row r="556">
      <c r="A556" s="6143"/>
      <c r="B556" s="6143"/>
      <c r="C556" s="6143"/>
      <c r="D556" s="6144"/>
      <c r="E556" s="6144"/>
      <c r="F556" s="6144"/>
      <c r="G556" s="6163"/>
      <c r="H556" s="6144"/>
      <c r="I556" s="6144"/>
      <c r="J556" s="6144"/>
      <c r="K556" s="6166"/>
      <c r="L556" s="6398"/>
      <c r="M556" s="6398"/>
      <c r="N556" s="6398"/>
      <c r="O556" s="6134"/>
      <c r="P556" s="6134"/>
      <c r="Q556" s="6134"/>
      <c r="R556" s="6134"/>
      <c r="S556" s="6134"/>
      <c r="T556" s="6134"/>
      <c r="U556" s="6135"/>
      <c r="V556" s="6135"/>
      <c r="W556" s="6135"/>
      <c r="X556" s="6135"/>
      <c r="Y556" s="6135"/>
    </row>
    <row r="557">
      <c r="A557" s="6143" t="s">
        <v>6754</v>
      </c>
      <c r="B557" s="6143">
        <v>46221</v>
      </c>
      <c r="C557" s="6143" t="str">
        <v>Saturday</v>
      </c>
      <c r="D557" s="6147" t="s">
        <v>6755</v>
      </c>
      <c r="E557" s="6147">
        <f t="shared" ref="E557:E558" si="97">24*MOD(TIMEVALUE(TRIM(MID(D557,FIND("-",D557)+1,LEN(D557)))) - TIMEVALUE(TRIM(LEFT(D557,FIND("-",D557)-1))),1)</f>
      </c>
      <c r="F557" s="6144" t="s">
        <v>6554</v>
      </c>
      <c r="G557" s="6163"/>
      <c r="H557" s="6144" t="s">
        <v>6325</v>
      </c>
      <c r="I557" s="6147" t="s">
        <v>6326</v>
      </c>
      <c r="J557" s="6144"/>
      <c r="K557" s="6166"/>
      <c r="L557" s="6398"/>
      <c r="M557" s="6398"/>
      <c r="N557" s="6398"/>
      <c r="O557" s="6134"/>
      <c r="P557" s="6134"/>
      <c r="Q557" s="6134"/>
      <c r="R557" s="6134"/>
      <c r="S557" s="6134"/>
      <c r="T557" s="6134"/>
      <c r="U557" s="6135"/>
      <c r="V557" s="6135"/>
      <c r="W557" s="6135"/>
      <c r="X557" s="6135"/>
      <c r="Y557" s="6135"/>
    </row>
    <row r="558">
      <c r="A558" s="6143" t="s">
        <v>6754</v>
      </c>
      <c r="B558" s="6143">
        <v>46210</v>
      </c>
      <c r="C558" s="6143" t="str">
        <v>Tuesday</v>
      </c>
      <c r="D558" s="6147" t="s">
        <v>6422</v>
      </c>
      <c r="E558" s="6147">
        <f t="shared" si="97"/>
      </c>
      <c r="F558" s="6144"/>
      <c r="G558" s="6163"/>
      <c r="H558" s="6144" t="s">
        <v>6325</v>
      </c>
      <c r="I558" s="6400" t="s">
        <v>6395</v>
      </c>
      <c r="J558" s="6144"/>
      <c r="K558" s="6166"/>
      <c r="L558" s="6398"/>
      <c r="M558" s="6398"/>
      <c r="N558" s="6398"/>
      <c r="O558" s="6134"/>
      <c r="P558" s="6134"/>
      <c r="Q558" s="6134"/>
      <c r="R558" s="6134"/>
      <c r="S558" s="6134"/>
      <c r="T558" s="6134"/>
      <c r="U558" s="6135"/>
      <c r="V558" s="6135"/>
      <c r="W558" s="6135"/>
      <c r="X558" s="6135"/>
      <c r="Y558" s="6135"/>
    </row>
    <row r="559">
      <c r="A559" s="6143"/>
      <c r="B559" s="6143"/>
      <c r="C559" s="6143"/>
      <c r="D559" s="6147"/>
      <c r="E559" s="6147"/>
      <c r="F559" s="6144"/>
      <c r="G559" s="6163"/>
      <c r="H559" s="6144"/>
      <c r="I559" s="6147"/>
      <c r="J559" s="6144"/>
      <c r="K559" s="6135"/>
      <c r="L559" s="6135"/>
      <c r="M559" s="6135"/>
      <c r="N559" s="6135"/>
      <c r="O559" s="6135"/>
      <c r="P559" s="6135"/>
      <c r="Q559" s="6135"/>
      <c r="R559" s="6135"/>
      <c r="S559" s="6135"/>
      <c r="T559" s="6135"/>
      <c r="U559" s="6135"/>
      <c r="V559" s="6135"/>
      <c r="W559" s="6135"/>
      <c r="X559" s="6135"/>
      <c r="Y559" s="6135"/>
    </row>
  </sheetData>
  <autoFilter ref="A1:Y559"/>
  <mergeCells>
    <mergeCell ref="A2:J2"/>
    <mergeCell ref="A3:J3"/>
    <mergeCell ref="B4:C4"/>
    <mergeCell ref="A9:J9"/>
    <mergeCell ref="A10:I10"/>
    <mergeCell ref="B11:C11"/>
    <mergeCell ref="A56:F56"/>
    <mergeCell ref="G56:J56"/>
    <mergeCell ref="B57:C57"/>
    <mergeCell ref="B74:C74"/>
    <mergeCell ref="B158:C158"/>
    <mergeCell ref="B161:C161"/>
    <mergeCell ref="B196:C196"/>
    <mergeCell ref="B200:C200"/>
    <mergeCell ref="B218:C218"/>
    <mergeCell ref="B222:C222"/>
    <mergeCell ref="B233:C233"/>
    <mergeCell ref="A242:J242"/>
    <mergeCell ref="A243:J243"/>
    <mergeCell ref="B244:C244"/>
    <mergeCell ref="A282:J282"/>
    <mergeCell ref="B283:C283"/>
    <mergeCell ref="A288:J288"/>
    <mergeCell ref="B289:C289"/>
    <mergeCell ref="A295:J295"/>
    <mergeCell ref="B296:C296"/>
    <mergeCell ref="A304:J305"/>
    <mergeCell ref="B306:C306"/>
    <mergeCell ref="A312:J312"/>
    <mergeCell ref="B313:C313"/>
    <mergeCell ref="A349:J349"/>
    <mergeCell ref="B350:C350"/>
    <mergeCell ref="A373:J373"/>
    <mergeCell ref="B374:C374"/>
    <mergeCell ref="A385:J385"/>
    <mergeCell ref="B386:C386"/>
    <mergeCell ref="A390:J390"/>
    <mergeCell ref="B391:C391"/>
    <mergeCell ref="A411:J411"/>
    <mergeCell ref="B412:C412"/>
    <mergeCell ref="A414:J414"/>
    <mergeCell ref="B415:C415"/>
    <mergeCell ref="A435:J435"/>
    <mergeCell ref="B436:C436"/>
    <mergeCell ref="A475:J475"/>
    <mergeCell ref="B476:C476"/>
    <mergeCell ref="A520:J520"/>
    <mergeCell ref="A539:J539"/>
  </mergeCells>
  <dataValidations count="4">
    <dataValidation allowBlank="true" errorStyle="stop" showErrorMessage="true" sqref="I75:I96 I100:I118 I122:I129 I132:I155 I307:I311 I375:I382 I386:I388 J386:J388 K386:K386" type="list">
      <formula1>"PENDING,YES"</formula1>
    </dataValidation>
    <dataValidation allowBlank="true" errorStyle="stop" showErrorMessage="true" sqref="I389:I389 J389:J389" type="list">
      <formula1>"PENDING,YES,Back up"</formula1>
    </dataValidation>
    <dataValidation allowBlank="true" errorStyle="stop" showErrorMessage="true" sqref="H5:H8 H12:H54 H58:H59 H61:H66 H68:H71 H75:H96 H100:H118 H122:H129 H132:H155 H162:H177 H181:H186 H188:H193 H197:H197 H201:H215 H219:H219 H223:H230 H234:H240 H245:H280 H284:H287 H289:H293 H297:H302 H314:H348 H351:H371 H384:H384 H386:H389 H406:H407 H416:H434 H437:H473 H477:H518" type="list">
      <formula1>"8461 Higuera Street,3619 Eastham Drive"</formula1>
    </dataValidation>
    <dataValidation allowBlank="true" errorStyle="stop" showErrorMessage="true" sqref="I5:I8 I12:I54 I58:I59 I61:I66 I68:I71 I162:I172 I181:I186 I188:I193 I197:I197 I201:I215 I219:I219 I223:I230 I234:I240 I245:I280 I284:I287 I289:I293 I297:I302 I314:I348 I351:I371 I384:I384 I392:I409 I416:I434 I437:I473 I477:I518 I521:I533 I535:I537 I540:I559" type="list">
      <formula1>"YES,PENDING"</formula1>
    </dataValidation>
  </dataValidations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25.97183098591549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3" min="3" style="0" width="14.47887323943662"/>
    <col collapsed="false" customWidth="true" hidden="false" max="6" min="6" style="0" width="29.464788732394368"/>
    <col collapsed="false" customWidth="true" hidden="false" max="10" min="10" style="0" width="29.464788732394368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2" min="2" style="0" width="14.47887323943662"/>
    <col collapsed="false" customWidth="true" hidden="false" max="5" min="5" style="0" width="13.352112676056338"/>
    <col collapsed="false" customWidth="true" hidden="false" max="9" min="9" style="0" width="15.6056338028169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25" min="25" style="0" width="11.211267605633802"/>
    <col collapsed="false" customWidth="true" hidden="false" max="1" min="1" style="0" width="29.464788732394368"/>
    <col collapsed="false" customWidth="true" hidden="false" max="8" min="8" style="0" width="22.92957746478873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4" min="4" style="0" width="21.577464788732396"/>
  </cols>
  <sheetData>
    <row r="1">
      <c r="A1" s="6406"/>
      <c r="B1" s="6406"/>
      <c r="C1" s="6406"/>
      <c r="D1" s="6406"/>
      <c r="E1" s="6406"/>
      <c r="F1" s="6406"/>
      <c r="G1" s="6406"/>
      <c r="H1" s="6407"/>
      <c r="I1" s="6406"/>
      <c r="J1" s="6406"/>
      <c r="K1" s="6408"/>
      <c r="L1" s="6409"/>
      <c r="M1" s="6408"/>
      <c r="N1" s="6408"/>
      <c r="O1" s="6408"/>
      <c r="P1" s="6408"/>
      <c r="Q1" s="6408"/>
      <c r="R1" s="6408"/>
      <c r="S1" s="6408"/>
      <c r="T1" s="6408"/>
      <c r="U1" s="6410"/>
      <c r="V1" s="6410"/>
      <c r="W1" s="6410"/>
      <c r="X1" s="6410"/>
      <c r="Y1" s="6410"/>
    </row>
    <row r="2">
      <c r="A2" s="6411"/>
      <c r="B2" s="6411"/>
      <c r="C2" s="6411"/>
      <c r="D2" s="6411"/>
      <c r="E2" s="6411"/>
      <c r="F2" s="6411"/>
      <c r="G2" s="6411"/>
      <c r="H2" s="6411"/>
      <c r="I2" s="6411"/>
      <c r="J2" s="6411"/>
      <c r="K2" s="6408"/>
      <c r="L2" s="6408"/>
      <c r="M2" s="6408"/>
      <c r="N2" s="6408"/>
      <c r="O2" s="6408"/>
      <c r="P2" s="6408"/>
      <c r="Q2" s="6408"/>
      <c r="R2" s="6408"/>
      <c r="S2" s="6408"/>
      <c r="T2" s="6408"/>
      <c r="U2" s="6410"/>
      <c r="V2" s="6410"/>
      <c r="W2" s="6410"/>
      <c r="X2" s="6410"/>
      <c r="Y2" s="6410"/>
    </row>
    <row r="3">
      <c r="A3" s="6412" t="s">
        <v>6756</v>
      </c>
      <c r="B3" s="6412"/>
      <c r="C3" s="6412"/>
      <c r="D3" s="6412"/>
      <c r="E3" s="6412"/>
      <c r="F3" s="6412"/>
      <c r="G3" s="6412"/>
      <c r="H3" s="6412"/>
      <c r="I3" s="6412"/>
      <c r="J3" s="6412"/>
      <c r="K3" s="6408"/>
      <c r="L3" s="6408"/>
      <c r="M3" s="6408"/>
      <c r="N3" s="6408"/>
      <c r="O3" s="6408"/>
      <c r="P3" s="6408"/>
      <c r="Q3" s="6408"/>
      <c r="R3" s="6408"/>
      <c r="S3" s="6408"/>
      <c r="T3" s="6408"/>
      <c r="U3" s="6410"/>
      <c r="V3" s="6410"/>
      <c r="W3" s="6410"/>
      <c r="X3" s="6410"/>
      <c r="Y3" s="6410"/>
    </row>
    <row r="4">
      <c r="A4" s="6413" t="s">
        <v>6757</v>
      </c>
      <c r="B4" s="6414" t="s">
        <v>6758</v>
      </c>
      <c r="C4" s="6414"/>
      <c r="D4" s="6415" t="s">
        <v>6759</v>
      </c>
      <c r="E4" s="6416" t="s">
        <v>6760</v>
      </c>
      <c r="F4" s="6415" t="s">
        <v>6761</v>
      </c>
      <c r="G4" s="6417" t="s">
        <v>6762</v>
      </c>
      <c r="H4" s="6415" t="s">
        <v>6763</v>
      </c>
      <c r="I4" s="6415" t="s">
        <v>6764</v>
      </c>
      <c r="J4" s="6415" t="s">
        <v>6765</v>
      </c>
      <c r="K4" s="6408"/>
      <c r="L4" s="6408"/>
      <c r="M4" s="6408"/>
      <c r="N4" s="6408"/>
      <c r="O4" s="6408"/>
      <c r="P4" s="6408"/>
      <c r="Q4" s="6408"/>
      <c r="R4" s="6408"/>
      <c r="S4" s="6408"/>
      <c r="T4" s="6408"/>
      <c r="U4" s="6410"/>
      <c r="V4" s="6410"/>
      <c r="W4" s="6410"/>
      <c r="X4" s="6410"/>
      <c r="Y4" s="6410"/>
    </row>
    <row r="5">
      <c r="A5" s="6418" t="s">
        <v>6766</v>
      </c>
      <c r="B5" s="6418">
        <v>46209</v>
      </c>
      <c r="C5" s="6418" t="str">
        <v>Monday</v>
      </c>
      <c r="D5" s="6419" t="s">
        <v>6767</v>
      </c>
      <c r="E5" s="6419">
        <f t="shared" ref="E5:E7" si="46">24*MOD(TIMEVALUE(TRIM(MID(D5,FIND("-",D5)+1,LEN(D5)))) - TIMEVALUE(TRIM(LEFT(D5,FIND("-",D5)-1))),1)</f>
      </c>
      <c r="F5" s="6420" t="s">
        <v>6768</v>
      </c>
      <c r="G5" s="6421"/>
      <c r="H5" s="6422" t="s">
        <v>6769</v>
      </c>
      <c r="I5" s="6422" t="s">
        <v>6770</v>
      </c>
      <c r="J5" s="6419"/>
      <c r="K5" s="6408"/>
      <c r="L5" s="6408"/>
      <c r="M5" s="6408"/>
      <c r="N5" s="6408"/>
      <c r="O5" s="6408"/>
      <c r="P5" s="6408"/>
      <c r="Q5" s="6408"/>
      <c r="R5" s="6408"/>
      <c r="S5" s="6408"/>
      <c r="T5" s="6408"/>
      <c r="U5" s="6410"/>
      <c r="V5" s="6410"/>
      <c r="W5" s="6410"/>
      <c r="X5" s="6410"/>
      <c r="Y5" s="6410"/>
    </row>
    <row r="6">
      <c r="A6" s="6418" t="s">
        <v>6766</v>
      </c>
      <c r="B6" s="6418">
        <v>46211</v>
      </c>
      <c r="C6" s="6418" t="str">
        <v>Wednesday</v>
      </c>
      <c r="D6" s="6422" t="s">
        <v>6771</v>
      </c>
      <c r="E6" s="6423">
        <f t="shared" si="46"/>
      </c>
      <c r="F6" s="6424" t="s">
        <v>6772</v>
      </c>
      <c r="G6" s="6425"/>
      <c r="H6" s="6422" t="s">
        <v>6769</v>
      </c>
      <c r="I6" s="6422" t="s">
        <v>6770</v>
      </c>
      <c r="J6" s="6422"/>
      <c r="K6" s="6408"/>
      <c r="L6" s="6408"/>
      <c r="M6" s="6408"/>
      <c r="N6" s="6408"/>
      <c r="O6" s="6408"/>
      <c r="P6" s="6408"/>
      <c r="Q6" s="6408"/>
      <c r="R6" s="6408"/>
      <c r="S6" s="6408"/>
      <c r="T6" s="6408"/>
      <c r="U6" s="6410"/>
      <c r="V6" s="6410"/>
      <c r="W6" s="6410"/>
      <c r="X6" s="6410"/>
      <c r="Y6" s="6410"/>
    </row>
    <row r="7">
      <c r="A7" s="6418" t="s">
        <v>6773</v>
      </c>
      <c r="B7" s="6418"/>
      <c r="C7" s="6418" t="str">
        <v>Saturday</v>
      </c>
      <c r="D7" s="6419" t="s">
        <v>6774</v>
      </c>
      <c r="E7" s="6419">
        <f t="shared" si="46"/>
      </c>
      <c r="F7" s="6422"/>
      <c r="G7" s="6421"/>
      <c r="H7" s="6422"/>
      <c r="I7" s="6422"/>
      <c r="J7" s="6419"/>
      <c r="K7" s="6408"/>
      <c r="L7" s="6408"/>
      <c r="M7" s="6408"/>
      <c r="N7" s="6408"/>
      <c r="O7" s="6408"/>
      <c r="P7" s="6408"/>
      <c r="Q7" s="6408"/>
      <c r="R7" s="6408"/>
      <c r="S7" s="6408"/>
      <c r="T7" s="6408"/>
      <c r="U7" s="6410"/>
      <c r="V7" s="6410"/>
      <c r="W7" s="6410"/>
      <c r="X7" s="6410"/>
      <c r="Y7" s="6410"/>
    </row>
    <row r="8">
      <c r="A8" s="6411" t="s">
        <v>6775</v>
      </c>
      <c r="B8" s="6411"/>
      <c r="C8" s="6411"/>
      <c r="D8" s="6411"/>
      <c r="E8" s="6411"/>
      <c r="F8" s="6411"/>
      <c r="G8" s="6411"/>
      <c r="H8" s="6411"/>
      <c r="I8" s="6411"/>
      <c r="J8" s="6411"/>
      <c r="K8" s="6408"/>
      <c r="L8" s="6408"/>
      <c r="M8" s="6408"/>
      <c r="N8" s="6408"/>
      <c r="O8" s="6408"/>
      <c r="P8" s="6408"/>
      <c r="Q8" s="6408"/>
      <c r="R8" s="6408"/>
      <c r="S8" s="6408"/>
      <c r="T8" s="6408"/>
      <c r="U8" s="6410"/>
      <c r="V8" s="6410"/>
      <c r="W8" s="6410"/>
      <c r="X8" s="6410"/>
      <c r="Y8" s="6410"/>
    </row>
    <row r="9">
      <c r="A9" s="6426" t="s">
        <v>6776</v>
      </c>
      <c r="B9" s="6426"/>
      <c r="C9" s="6426"/>
      <c r="D9" s="6426"/>
      <c r="E9" s="6426"/>
      <c r="F9" s="6426"/>
      <c r="G9" s="6426"/>
      <c r="H9" s="6426"/>
      <c r="I9" s="6426"/>
      <c r="J9" s="6426"/>
      <c r="K9" s="6408"/>
      <c r="L9" s="6408"/>
      <c r="M9" s="6408"/>
      <c r="N9" s="6408"/>
      <c r="O9" s="6408"/>
      <c r="P9" s="6408"/>
      <c r="Q9" s="6408"/>
      <c r="R9" s="6408"/>
      <c r="S9" s="6408"/>
      <c r="T9" s="6408"/>
      <c r="U9" s="6410"/>
      <c r="V9" s="6410"/>
      <c r="W9" s="6410"/>
      <c r="X9" s="6410"/>
      <c r="Y9" s="6410"/>
    </row>
    <row r="10">
      <c r="A10" s="6427" t="s">
        <v>6757</v>
      </c>
      <c r="B10" s="6428" t="s">
        <v>6758</v>
      </c>
      <c r="C10" s="6428"/>
      <c r="D10" s="6429" t="s">
        <v>6759</v>
      </c>
      <c r="E10" s="6429" t="s">
        <v>6760</v>
      </c>
      <c r="F10" s="6429" t="s">
        <v>6761</v>
      </c>
      <c r="G10" s="6430" t="s">
        <v>6777</v>
      </c>
      <c r="H10" s="6429" t="s">
        <v>6763</v>
      </c>
      <c r="I10" s="6429" t="s">
        <v>6764</v>
      </c>
      <c r="J10" s="6429" t="s">
        <v>6765</v>
      </c>
      <c r="K10" s="6410"/>
      <c r="L10" s="6410"/>
      <c r="M10" s="6410"/>
      <c r="N10" s="6410"/>
      <c r="O10" s="6410"/>
      <c r="P10" s="6410"/>
      <c r="Q10" s="6410"/>
      <c r="R10" s="6410"/>
      <c r="S10" s="6410"/>
      <c r="T10" s="6410"/>
      <c r="U10" s="6410"/>
      <c r="V10" s="6410"/>
      <c r="W10" s="6410"/>
      <c r="X10" s="6410"/>
      <c r="Y10" s="6410"/>
    </row>
    <row r="11">
      <c r="A11" s="6418" t="s">
        <v>6778</v>
      </c>
      <c r="B11" s="6418">
        <v>46209</v>
      </c>
      <c r="C11" s="6418" t="str">
        <v>Monday</v>
      </c>
      <c r="D11" s="6419" t="s">
        <v>6779</v>
      </c>
      <c r="E11" s="6419">
        <f>24*MOD(TIMEVALUE(TRIM(MID(D11,FIND("-",D11)+1,LEN(D11)))) - TIMEVALUE(TRIM(LEFT(D11,FIND("-",D11)-1))),1)</f>
      </c>
      <c r="F11" s="6419" t="s">
        <v>6780</v>
      </c>
      <c r="G11" s="6431" t="s">
        <v>6781</v>
      </c>
      <c r="H11" s="6422"/>
      <c r="I11" s="6419" t="s">
        <v>6770</v>
      </c>
      <c r="J11" s="6422" t="s">
        <v>6782</v>
      </c>
      <c r="K11" s="6410"/>
      <c r="L11" s="6410"/>
      <c r="M11" s="6410"/>
      <c r="N11" s="6410"/>
      <c r="O11" s="6410"/>
      <c r="P11" s="6410"/>
      <c r="Q11" s="6410"/>
      <c r="R11" s="6410"/>
      <c r="S11" s="6410"/>
      <c r="T11" s="6410"/>
      <c r="U11" s="6410"/>
      <c r="V11" s="6410"/>
      <c r="W11" s="6410"/>
      <c r="X11" s="6410"/>
      <c r="Y11" s="6410"/>
    </row>
    <row r="12">
      <c r="A12" s="6418"/>
      <c r="B12" s="6410"/>
      <c r="C12" s="6418"/>
      <c r="D12" s="6419"/>
      <c r="E12" s="6419"/>
      <c r="F12" s="6419"/>
      <c r="G12" s="6431"/>
      <c r="H12" s="6422"/>
      <c r="I12" s="6419"/>
      <c r="J12" s="6422"/>
      <c r="K12" s="6410"/>
      <c r="L12" s="6410"/>
      <c r="M12" s="6410"/>
      <c r="N12" s="6410"/>
      <c r="O12" s="6410"/>
      <c r="P12" s="6410"/>
      <c r="Q12" s="6410"/>
      <c r="R12" s="6410"/>
      <c r="S12" s="6410"/>
      <c r="T12" s="6410"/>
      <c r="U12" s="6410"/>
      <c r="V12" s="6410"/>
      <c r="W12" s="6410"/>
      <c r="X12" s="6410"/>
      <c r="Y12" s="6410"/>
    </row>
    <row r="13">
      <c r="A13" s="6418" t="s">
        <v>6778</v>
      </c>
      <c r="B13" s="6418">
        <v>46210</v>
      </c>
      <c r="C13" s="6418" t="str">
        <v>Tuesday</v>
      </c>
      <c r="D13" s="6419" t="s">
        <v>6783</v>
      </c>
      <c r="E13" s="6419">
        <f t="shared" ref="E13:E14" si="47">24*MOD(TIMEVALUE(TRIM(MID(D13,FIND("-",D13)+1,LEN(D13)))) - TIMEVALUE(TRIM(LEFT(D13,FIND("-",D13)-1))),1)</f>
      </c>
      <c r="F13" s="6419" t="s">
        <v>6784</v>
      </c>
      <c r="G13" s="6431" t="s">
        <v>6781</v>
      </c>
      <c r="H13" s="6422"/>
      <c r="I13" s="6419" t="s">
        <v>6770</v>
      </c>
      <c r="J13" s="6422"/>
      <c r="K13" s="6410"/>
      <c r="L13" s="6410"/>
      <c r="M13" s="6410"/>
      <c r="N13" s="6410"/>
      <c r="O13" s="6410"/>
      <c r="P13" s="6410"/>
      <c r="Q13" s="6410"/>
      <c r="R13" s="6410"/>
      <c r="S13" s="6410"/>
      <c r="T13" s="6410"/>
      <c r="U13" s="6410"/>
      <c r="V13" s="6410"/>
      <c r="W13" s="6410"/>
      <c r="X13" s="6410"/>
      <c r="Y13" s="6410"/>
    </row>
    <row r="14">
      <c r="A14" s="6418" t="s">
        <v>6778</v>
      </c>
      <c r="B14" s="6418">
        <v>46210</v>
      </c>
      <c r="C14" s="6418" t="str">
        <v>Tuesday</v>
      </c>
      <c r="D14" s="6419" t="s">
        <v>6785</v>
      </c>
      <c r="E14" s="6419">
        <f t="shared" si="47"/>
      </c>
      <c r="F14" s="6419" t="s">
        <v>6780</v>
      </c>
      <c r="G14" s="6431" t="s">
        <v>6786</v>
      </c>
      <c r="H14" s="6422"/>
      <c r="I14" s="6419" t="s">
        <v>6770</v>
      </c>
      <c r="J14" s="6422"/>
      <c r="K14" s="6410"/>
      <c r="L14" s="6410"/>
      <c r="M14" s="6410"/>
      <c r="N14" s="6410"/>
      <c r="O14" s="6410"/>
      <c r="P14" s="6410"/>
      <c r="Q14" s="6410"/>
      <c r="R14" s="6410"/>
      <c r="S14" s="6410"/>
      <c r="T14" s="6410"/>
      <c r="U14" s="6410"/>
      <c r="V14" s="6410"/>
      <c r="W14" s="6410"/>
      <c r="X14" s="6410"/>
      <c r="Y14" s="6410"/>
    </row>
    <row r="15">
      <c r="A15" s="6418"/>
      <c r="B15" s="6418"/>
      <c r="C15" s="6418"/>
      <c r="D15" s="6419"/>
      <c r="E15" s="6419"/>
      <c r="F15" s="6419"/>
      <c r="G15" s="6431"/>
      <c r="H15" s="6422"/>
      <c r="I15" s="6419"/>
      <c r="J15" s="6422"/>
      <c r="K15" s="6410"/>
      <c r="L15" s="6410"/>
      <c r="M15" s="6410"/>
      <c r="N15" s="6410"/>
      <c r="O15" s="6410"/>
      <c r="P15" s="6410"/>
      <c r="Q15" s="6410"/>
      <c r="R15" s="6410"/>
      <c r="S15" s="6410"/>
      <c r="T15" s="6410"/>
      <c r="U15" s="6410"/>
      <c r="V15" s="6410"/>
      <c r="W15" s="6410"/>
      <c r="X15" s="6410"/>
      <c r="Y15" s="6410"/>
    </row>
    <row r="16">
      <c r="A16" s="6418" t="s">
        <v>6778</v>
      </c>
      <c r="B16" s="6418">
        <v>46211</v>
      </c>
      <c r="C16" s="6418" t="str">
        <v>Wednesday</v>
      </c>
      <c r="D16" s="6419" t="s">
        <v>6785</v>
      </c>
      <c r="E16" s="6419">
        <f t="shared" ref="E16:E17" si="48">24*MOD(TIMEVALUE(TRIM(MID(D16,FIND("-",D16)+1,LEN(D16)))) - TIMEVALUE(TRIM(LEFT(D16,FIND("-",D16)-1))),1)</f>
      </c>
      <c r="F16" s="6419" t="s">
        <v>6780</v>
      </c>
      <c r="G16" s="6431" t="s">
        <v>6787</v>
      </c>
      <c r="H16" s="6422"/>
      <c r="I16" s="6419" t="s">
        <v>6770</v>
      </c>
      <c r="J16" s="6419"/>
      <c r="K16" s="6410"/>
      <c r="L16" s="6410"/>
      <c r="M16" s="6410"/>
      <c r="N16" s="6410"/>
      <c r="O16" s="6410"/>
      <c r="P16" s="6410"/>
      <c r="Q16" s="6410"/>
      <c r="R16" s="6410"/>
      <c r="S16" s="6410"/>
      <c r="T16" s="6410"/>
      <c r="U16" s="6410"/>
      <c r="V16" s="6410"/>
      <c r="W16" s="6410"/>
      <c r="X16" s="6410"/>
      <c r="Y16" s="6410"/>
    </row>
    <row r="17">
      <c r="A17" s="6418" t="s">
        <v>6788</v>
      </c>
      <c r="B17" s="6418">
        <v>46211</v>
      </c>
      <c r="C17" s="6418" t="str">
        <v>Wednesday</v>
      </c>
      <c r="D17" s="6419" t="s">
        <v>6785</v>
      </c>
      <c r="E17" s="6419">
        <f t="shared" si="48"/>
      </c>
      <c r="F17" s="6431" t="s">
        <v>6789</v>
      </c>
      <c r="G17" s="6431"/>
      <c r="H17" s="6422"/>
      <c r="I17" s="6419"/>
      <c r="J17" s="6419"/>
      <c r="K17" s="6410"/>
      <c r="L17" s="6410"/>
      <c r="M17" s="6410"/>
      <c r="N17" s="6410"/>
      <c r="O17" s="6410"/>
      <c r="P17" s="6410"/>
      <c r="Q17" s="6410"/>
      <c r="R17" s="6410"/>
      <c r="S17" s="6410"/>
      <c r="T17" s="6410"/>
      <c r="U17" s="6410"/>
      <c r="V17" s="6410"/>
      <c r="W17" s="6410"/>
      <c r="X17" s="6410"/>
      <c r="Y17" s="6410"/>
    </row>
    <row r="18">
      <c r="A18" s="6418"/>
      <c r="B18" s="6418"/>
      <c r="C18" s="6418"/>
      <c r="D18" s="6419"/>
      <c r="E18" s="6419"/>
      <c r="F18" s="6419"/>
      <c r="G18" s="6431"/>
      <c r="H18" s="6422"/>
      <c r="I18" s="6419"/>
      <c r="J18" s="6419"/>
      <c r="K18" s="6410"/>
      <c r="L18" s="6410" t="s">
        <v>6790</v>
      </c>
      <c r="M18" s="6410"/>
      <c r="N18" s="6410"/>
      <c r="O18" s="6410"/>
      <c r="P18" s="6410"/>
      <c r="Q18" s="6410"/>
      <c r="R18" s="6410"/>
      <c r="S18" s="6410"/>
      <c r="T18" s="6410"/>
      <c r="U18" s="6410"/>
      <c r="V18" s="6410"/>
      <c r="W18" s="6410"/>
      <c r="X18" s="6410"/>
      <c r="Y18" s="6410"/>
    </row>
    <row r="19">
      <c r="A19" s="6418" t="s">
        <v>6778</v>
      </c>
      <c r="B19" s="6418">
        <v>46212</v>
      </c>
      <c r="C19" s="6418" t="str">
        <v>Thursday</v>
      </c>
      <c r="D19" s="6419" t="s">
        <v>6785</v>
      </c>
      <c r="E19" s="6419">
        <f>24*MOD(TIMEVALUE(TRIM(MID(D19,FIND("-",D19)+1,LEN(D19)))) - TIMEVALUE(TRIM(LEFT(D19,FIND("-",D19)-1))),1)</f>
      </c>
      <c r="F19" s="6419" t="s">
        <v>6791</v>
      </c>
      <c r="G19" s="6431" t="s">
        <v>6786</v>
      </c>
      <c r="H19" s="6422"/>
      <c r="I19" s="6419" t="s">
        <v>6770</v>
      </c>
      <c r="J19" s="6419"/>
      <c r="K19" s="6410"/>
      <c r="L19" s="6410"/>
      <c r="M19" s="6410"/>
      <c r="N19" s="6410"/>
      <c r="O19" s="6410"/>
      <c r="P19" s="6410"/>
      <c r="Q19" s="6410"/>
      <c r="R19" s="6410"/>
      <c r="S19" s="6410"/>
      <c r="T19" s="6410"/>
      <c r="U19" s="6410"/>
      <c r="V19" s="6410"/>
      <c r="W19" s="6410"/>
      <c r="X19" s="6410"/>
      <c r="Y19" s="6410"/>
    </row>
    <row r="20">
      <c r="A20" s="6418"/>
      <c r="B20" s="6418"/>
      <c r="C20" s="6418"/>
      <c r="D20" s="6419"/>
      <c r="E20" s="6419"/>
      <c r="F20" s="6419"/>
      <c r="G20" s="6431"/>
      <c r="H20" s="6422"/>
      <c r="I20" s="6419"/>
      <c r="J20" s="6419"/>
      <c r="K20" s="6410"/>
      <c r="L20" s="6410"/>
      <c r="M20" s="6410"/>
      <c r="N20" s="6410"/>
      <c r="O20" s="6410"/>
      <c r="P20" s="6410"/>
      <c r="Q20" s="6410"/>
      <c r="R20" s="6410"/>
      <c r="S20" s="6410"/>
      <c r="T20" s="6410"/>
      <c r="U20" s="6410"/>
      <c r="V20" s="6410"/>
      <c r="W20" s="6410"/>
      <c r="X20" s="6410"/>
      <c r="Y20" s="6410"/>
    </row>
    <row r="21">
      <c r="A21" s="6418" t="s">
        <v>6778</v>
      </c>
      <c r="B21" s="6418">
        <v>46213</v>
      </c>
      <c r="C21" s="6418" t="str">
        <v>Friday</v>
      </c>
      <c r="D21" s="6419" t="s">
        <v>6783</v>
      </c>
      <c r="E21" s="6419">
        <f t="shared" ref="E21:E22" si="49">24*MOD(TIMEVALUE(TRIM(MID(D21,FIND("-",D21)+1,LEN(D21)))) - TIMEVALUE(TRIM(LEFT(D21,FIND("-",D21)-1))),1)</f>
      </c>
      <c r="F21" s="6419" t="s">
        <v>6780</v>
      </c>
      <c r="G21" s="6431" t="s">
        <v>6781</v>
      </c>
      <c r="H21" s="6419"/>
      <c r="I21" s="6419" t="s">
        <v>6770</v>
      </c>
      <c r="J21" s="6431" t="s">
        <v>6792</v>
      </c>
      <c r="K21" s="6410"/>
      <c r="L21" s="6410"/>
      <c r="M21" s="6410"/>
      <c r="N21" s="6410"/>
      <c r="O21" s="6410"/>
      <c r="P21" s="6410"/>
      <c r="Q21" s="6410"/>
      <c r="R21" s="6410"/>
      <c r="S21" s="6410"/>
      <c r="T21" s="6410"/>
      <c r="U21" s="6410"/>
      <c r="V21" s="6410"/>
      <c r="W21" s="6410"/>
      <c r="X21" s="6410"/>
      <c r="Y21" s="6410"/>
    </row>
    <row r="22">
      <c r="A22" s="6418" t="s">
        <v>6778</v>
      </c>
      <c r="B22" s="6418">
        <v>46213</v>
      </c>
      <c r="C22" s="6418" t="str">
        <v>Friday</v>
      </c>
      <c r="D22" s="6419" t="s">
        <v>6785</v>
      </c>
      <c r="E22" s="6419">
        <f t="shared" si="49"/>
      </c>
      <c r="F22" s="6419" t="s">
        <v>6791</v>
      </c>
      <c r="G22" s="6431" t="s">
        <v>6781</v>
      </c>
      <c r="H22" s="6422"/>
      <c r="I22" s="6419" t="s">
        <v>6770</v>
      </c>
      <c r="J22" s="6419"/>
      <c r="K22" s="6410"/>
      <c r="L22" s="6410"/>
      <c r="M22" s="6410"/>
      <c r="N22" s="6410"/>
      <c r="O22" s="6410"/>
      <c r="P22" s="6410"/>
      <c r="Q22" s="6410"/>
      <c r="R22" s="6410"/>
      <c r="S22" s="6410"/>
      <c r="T22" s="6410"/>
      <c r="U22" s="6410"/>
      <c r="V22" s="6410"/>
      <c r="W22" s="6410"/>
      <c r="X22" s="6410"/>
      <c r="Y22" s="6410"/>
    </row>
    <row r="23">
      <c r="A23" s="6418"/>
      <c r="B23" s="6418"/>
      <c r="C23" s="6418"/>
      <c r="D23" s="6419"/>
      <c r="E23" s="6419"/>
      <c r="F23" s="6419"/>
      <c r="G23" s="6431"/>
      <c r="H23" s="6419"/>
      <c r="I23" s="6419"/>
      <c r="J23" s="6419"/>
      <c r="K23" s="6410"/>
      <c r="L23" s="6410"/>
      <c r="M23" s="6410"/>
      <c r="N23" s="6410"/>
      <c r="O23" s="6410"/>
      <c r="P23" s="6410"/>
      <c r="Q23" s="6410"/>
      <c r="R23" s="6410"/>
      <c r="S23" s="6410"/>
      <c r="T23" s="6410"/>
      <c r="U23" s="6410"/>
      <c r="V23" s="6410"/>
      <c r="W23" s="6410"/>
      <c r="X23" s="6410"/>
      <c r="Y23" s="6410"/>
    </row>
    <row r="24">
      <c r="A24" s="6418" t="s">
        <v>6778</v>
      </c>
      <c r="B24" s="6418">
        <v>46214</v>
      </c>
      <c r="C24" s="6418" t="str">
        <v>Saturday</v>
      </c>
      <c r="D24" s="6419" t="s">
        <v>6793</v>
      </c>
      <c r="E24" s="6419">
        <f t="shared" ref="E24:E28" si="50">24*MOD(TIMEVALUE(TRIM(MID(D24,FIND("-",D24)+1,LEN(D24)))) - TIMEVALUE(TRIM(LEFT(D24,FIND("-",D24)-1))),1)</f>
      </c>
      <c r="F24" s="6419" t="s">
        <v>6794</v>
      </c>
      <c r="G24" s="6431" t="s">
        <v>6781</v>
      </c>
      <c r="H24" s="6422"/>
      <c r="I24" s="6419" t="s">
        <v>6770</v>
      </c>
      <c r="J24" s="6419"/>
      <c r="K24" s="6410"/>
      <c r="L24" s="6410"/>
      <c r="M24" s="6410"/>
      <c r="N24" s="6410"/>
      <c r="O24" s="6410"/>
      <c r="P24" s="6410"/>
      <c r="Q24" s="6410"/>
      <c r="R24" s="6410"/>
      <c r="S24" s="6410"/>
      <c r="T24" s="6410"/>
      <c r="U24" s="6410"/>
      <c r="V24" s="6410"/>
      <c r="W24" s="6410"/>
      <c r="X24" s="6410"/>
      <c r="Y24" s="6410"/>
    </row>
    <row r="25">
      <c r="A25" s="6418" t="s">
        <v>6778</v>
      </c>
      <c r="B25" s="6418">
        <v>46214</v>
      </c>
      <c r="C25" s="6418" t="str">
        <v>Saturday</v>
      </c>
      <c r="D25" s="6419" t="s">
        <v>6783</v>
      </c>
      <c r="E25" s="6419">
        <f t="shared" si="50"/>
      </c>
      <c r="F25" s="6419" t="s">
        <v>6780</v>
      </c>
      <c r="G25" s="6431" t="s">
        <v>6795</v>
      </c>
      <c r="H25" s="6422"/>
      <c r="I25" s="6419" t="s">
        <v>6770</v>
      </c>
      <c r="J25" s="6419"/>
      <c r="K25" s="6410"/>
      <c r="L25" s="6410"/>
      <c r="M25" s="6410"/>
      <c r="N25" s="6410"/>
      <c r="O25" s="6410"/>
      <c r="P25" s="6410"/>
      <c r="Q25" s="6410"/>
      <c r="R25" s="6410"/>
      <c r="S25" s="6410"/>
      <c r="T25" s="6410"/>
      <c r="U25" s="6410"/>
      <c r="V25" s="6410"/>
      <c r="W25" s="6410"/>
      <c r="X25" s="6410"/>
      <c r="Y25" s="6410"/>
    </row>
    <row r="26">
      <c r="A26" s="6418" t="s">
        <v>6788</v>
      </c>
      <c r="B26" s="6418">
        <v>46214</v>
      </c>
      <c r="C26" s="6418" t="str">
        <v>Saturday</v>
      </c>
      <c r="D26" s="6419" t="s">
        <v>6783</v>
      </c>
      <c r="E26" s="6419">
        <f t="shared" si="50"/>
      </c>
      <c r="F26" s="6431" t="s">
        <v>6796</v>
      </c>
      <c r="G26" s="6431"/>
      <c r="H26" s="6422"/>
      <c r="I26" s="6419"/>
      <c r="J26" s="6419"/>
      <c r="K26" s="6410"/>
      <c r="L26" s="6410"/>
      <c r="M26" s="6410"/>
      <c r="N26" s="6410"/>
      <c r="O26" s="6410"/>
      <c r="P26" s="6410"/>
      <c r="Q26" s="6410"/>
      <c r="R26" s="6410"/>
      <c r="S26" s="6410"/>
      <c r="T26" s="6410"/>
      <c r="U26" s="6410"/>
      <c r="V26" s="6410"/>
      <c r="W26" s="6410"/>
      <c r="X26" s="6410"/>
      <c r="Y26" s="6410"/>
    </row>
    <row r="27">
      <c r="A27" s="6418" t="s">
        <v>6788</v>
      </c>
      <c r="B27" s="6418">
        <v>46215</v>
      </c>
      <c r="C27" s="6418" t="str">
        <v>Sunday</v>
      </c>
      <c r="D27" s="6419" t="s">
        <v>6783</v>
      </c>
      <c r="E27" s="6419">
        <f t="shared" si="50"/>
      </c>
      <c r="F27" s="6431" t="s">
        <v>6797</v>
      </c>
      <c r="G27" s="6431"/>
      <c r="H27" s="6422"/>
      <c r="I27" s="6419"/>
      <c r="J27" s="6419"/>
      <c r="K27" s="6410"/>
      <c r="L27" s="6410"/>
      <c r="M27" s="6410"/>
      <c r="N27" s="6410"/>
      <c r="O27" s="6410"/>
      <c r="P27" s="6410"/>
      <c r="Q27" s="6410"/>
      <c r="R27" s="6410"/>
      <c r="S27" s="6410"/>
      <c r="T27" s="6410"/>
      <c r="U27" s="6410"/>
      <c r="V27" s="6410"/>
      <c r="W27" s="6410"/>
      <c r="X27" s="6410"/>
      <c r="Y27" s="6410"/>
    </row>
    <row r="28">
      <c r="A28" s="6418" t="s">
        <v>6778</v>
      </c>
      <c r="B28" s="6418">
        <v>46215</v>
      </c>
      <c r="C28" s="6418" t="str">
        <v>Sunday</v>
      </c>
      <c r="D28" s="6419" t="s">
        <v>6783</v>
      </c>
      <c r="E28" s="6419">
        <f t="shared" si="50"/>
      </c>
      <c r="F28" s="6419" t="s">
        <v>6798</v>
      </c>
      <c r="G28" s="6431" t="s">
        <v>6799</v>
      </c>
      <c r="H28" s="6419"/>
      <c r="I28" s="6419" t="s">
        <v>6770</v>
      </c>
      <c r="J28" s="6419"/>
      <c r="K28" s="6410"/>
      <c r="L28" s="6410"/>
      <c r="M28" s="6410"/>
      <c r="N28" s="6410"/>
      <c r="O28" s="6410"/>
      <c r="P28" s="6410"/>
      <c r="Q28" s="6410"/>
      <c r="R28" s="6410"/>
      <c r="S28" s="6410"/>
      <c r="T28" s="6410"/>
      <c r="U28" s="6410"/>
      <c r="V28" s="6410"/>
      <c r="W28" s="6410"/>
      <c r="X28" s="6410"/>
      <c r="Y28" s="6410"/>
    </row>
    <row r="29">
      <c r="A29" s="6418"/>
      <c r="B29" s="6418"/>
      <c r="C29" s="6418"/>
      <c r="D29" s="6419"/>
      <c r="E29" s="6419"/>
      <c r="F29" s="6419"/>
      <c r="G29" s="6431"/>
      <c r="H29" s="6419"/>
      <c r="I29" s="6419"/>
      <c r="J29" s="6419"/>
      <c r="K29" s="6410"/>
      <c r="L29" s="6410"/>
      <c r="M29" s="6410"/>
      <c r="N29" s="6410"/>
      <c r="O29" s="6410"/>
      <c r="P29" s="6410"/>
      <c r="Q29" s="6410"/>
      <c r="R29" s="6410"/>
      <c r="S29" s="6410"/>
      <c r="T29" s="6410"/>
      <c r="U29" s="6410"/>
      <c r="V29" s="6410"/>
      <c r="W29" s="6410"/>
      <c r="X29" s="6410"/>
      <c r="Y29" s="6410"/>
    </row>
    <row r="30">
      <c r="A30" s="6418" t="s">
        <v>6800</v>
      </c>
      <c r="B30" s="6418">
        <v>46209</v>
      </c>
      <c r="C30" s="6418" t="str">
        <v>Monday</v>
      </c>
      <c r="D30" s="6419" t="s">
        <v>6801</v>
      </c>
      <c r="E30" s="6419">
        <f t="shared" ref="E30:E37" si="51">24*MOD(TIMEVALUE(TRIM(MID(D30,FIND("-",D30)+1,LEN(D30)))) - TIMEVALUE(TRIM(LEFT(D30,FIND("-",D30)-1))),1)</f>
      </c>
      <c r="F30" s="6419" t="s">
        <v>6781</v>
      </c>
      <c r="G30" s="6431" t="s">
        <v>6802</v>
      </c>
      <c r="H30" s="6422"/>
      <c r="I30" s="6419" t="s">
        <v>6770</v>
      </c>
      <c r="J30" s="6419"/>
      <c r="K30" s="6410"/>
      <c r="L30" s="6410"/>
      <c r="M30" s="6410"/>
      <c r="N30" s="6410"/>
      <c r="O30" s="6410"/>
      <c r="P30" s="6410"/>
      <c r="Q30" s="6410"/>
      <c r="R30" s="6410"/>
      <c r="S30" s="6410"/>
      <c r="T30" s="6410"/>
      <c r="U30" s="6410"/>
      <c r="V30" s="6410"/>
      <c r="W30" s="6410"/>
      <c r="X30" s="6410"/>
      <c r="Y30" s="6410"/>
    </row>
    <row r="31">
      <c r="A31" s="6418" t="s">
        <v>6800</v>
      </c>
      <c r="B31" s="6418">
        <v>46210</v>
      </c>
      <c r="C31" s="6418" t="str">
        <v>Tuesday</v>
      </c>
      <c r="D31" s="6419" t="s">
        <v>6793</v>
      </c>
      <c r="E31" s="6419">
        <f t="shared" si="51"/>
      </c>
      <c r="F31" s="6419" t="s">
        <v>6781</v>
      </c>
      <c r="G31" s="6431" t="s">
        <v>6802</v>
      </c>
      <c r="H31" s="6419"/>
      <c r="I31" s="6419"/>
      <c r="J31" s="6419"/>
      <c r="K31" s="6410"/>
      <c r="L31" s="6410"/>
      <c r="M31" s="6410"/>
      <c r="N31" s="6410"/>
      <c r="O31" s="6410"/>
      <c r="P31" s="6410"/>
      <c r="Q31" s="6410"/>
      <c r="R31" s="6410"/>
      <c r="S31" s="6410"/>
      <c r="T31" s="6410"/>
      <c r="U31" s="6410"/>
      <c r="V31" s="6410"/>
      <c r="W31" s="6410"/>
      <c r="X31" s="6410"/>
      <c r="Y31" s="6410"/>
    </row>
    <row r="32">
      <c r="A32" s="6418" t="s">
        <v>6788</v>
      </c>
      <c r="B32" s="6418">
        <v>46209</v>
      </c>
      <c r="C32" s="6418" t="str">
        <v>Monday</v>
      </c>
      <c r="D32" s="6419" t="s">
        <v>6779</v>
      </c>
      <c r="E32" s="6419">
        <f t="shared" si="51"/>
      </c>
      <c r="F32" s="6419" t="s">
        <v>6781</v>
      </c>
      <c r="G32" s="6431"/>
      <c r="H32" s="6419"/>
      <c r="I32" s="6419" t="s">
        <v>6770</v>
      </c>
      <c r="J32" s="6419"/>
      <c r="K32" s="6410"/>
      <c r="L32" s="6410"/>
      <c r="M32" s="6410"/>
      <c r="N32" s="6410"/>
      <c r="O32" s="6410"/>
      <c r="P32" s="6410"/>
      <c r="Q32" s="6410"/>
      <c r="R32" s="6410"/>
      <c r="S32" s="6410"/>
      <c r="T32" s="6410"/>
      <c r="U32" s="6410"/>
      <c r="V32" s="6410"/>
      <c r="W32" s="6410"/>
      <c r="X32" s="6410"/>
      <c r="Y32" s="6410"/>
    </row>
    <row r="33">
      <c r="A33" s="6418" t="s">
        <v>6788</v>
      </c>
      <c r="B33" s="6418">
        <v>46210</v>
      </c>
      <c r="C33" s="6418" t="str">
        <v>Tuesday</v>
      </c>
      <c r="D33" s="6419" t="s">
        <v>6783</v>
      </c>
      <c r="E33" s="6419">
        <f t="shared" si="51"/>
      </c>
      <c r="F33" s="6419" t="s">
        <v>6781</v>
      </c>
      <c r="G33" s="6431"/>
      <c r="H33" s="6422"/>
      <c r="I33" s="6419" t="s">
        <v>6770</v>
      </c>
      <c r="J33" s="6419"/>
      <c r="K33" s="6410"/>
      <c r="L33" s="6410"/>
      <c r="M33" s="6410"/>
      <c r="N33" s="6410"/>
      <c r="O33" s="6410"/>
      <c r="P33" s="6410"/>
      <c r="Q33" s="6410"/>
      <c r="R33" s="6410"/>
      <c r="S33" s="6410"/>
      <c r="T33" s="6410"/>
      <c r="U33" s="6410"/>
      <c r="V33" s="6410"/>
      <c r="W33" s="6410"/>
      <c r="X33" s="6410"/>
      <c r="Y33" s="6410"/>
    </row>
    <row r="34">
      <c r="A34" s="6418" t="s">
        <v>6788</v>
      </c>
      <c r="B34" s="6418">
        <v>46213</v>
      </c>
      <c r="C34" s="6418" t="s">
        <v>6803</v>
      </c>
      <c r="D34" s="6419" t="s">
        <v>6804</v>
      </c>
      <c r="E34" s="6419">
        <f t="shared" si="51"/>
      </c>
      <c r="F34" s="6419" t="s">
        <v>6781</v>
      </c>
      <c r="G34" s="6431"/>
      <c r="H34" s="6422"/>
      <c r="I34" s="6419" t="s">
        <v>6770</v>
      </c>
      <c r="J34" s="6419"/>
      <c r="K34" s="6410"/>
      <c r="L34" s="6410"/>
      <c r="M34" s="6410"/>
      <c r="N34" s="6410"/>
      <c r="O34" s="6410"/>
      <c r="P34" s="6410"/>
      <c r="Q34" s="6410"/>
      <c r="R34" s="6410"/>
      <c r="S34" s="6410"/>
      <c r="T34" s="6410"/>
      <c r="U34" s="6410"/>
      <c r="V34" s="6410"/>
      <c r="W34" s="6410"/>
      <c r="X34" s="6410"/>
      <c r="Y34" s="6410"/>
    </row>
    <row r="35">
      <c r="A35" s="6418" t="s">
        <v>6788</v>
      </c>
      <c r="B35" s="6418">
        <v>46214</v>
      </c>
      <c r="C35" s="6418" t="s">
        <v>6805</v>
      </c>
      <c r="D35" s="6419" t="s">
        <v>6793</v>
      </c>
      <c r="E35" s="6419">
        <f t="shared" si="51"/>
      </c>
      <c r="F35" s="6419" t="s">
        <v>6781</v>
      </c>
      <c r="G35" s="6431"/>
      <c r="H35" s="6422"/>
      <c r="I35" s="6419" t="s">
        <v>6770</v>
      </c>
      <c r="J35" s="6419"/>
      <c r="K35" s="6410"/>
      <c r="L35" s="6410"/>
      <c r="M35" s="6410"/>
      <c r="N35" s="6410"/>
      <c r="O35" s="6410"/>
      <c r="P35" s="6410"/>
      <c r="Q35" s="6410"/>
      <c r="R35" s="6410"/>
      <c r="S35" s="6410"/>
      <c r="T35" s="6410"/>
      <c r="U35" s="6410"/>
      <c r="V35" s="6410"/>
      <c r="W35" s="6410"/>
      <c r="X35" s="6410"/>
      <c r="Y35" s="6410"/>
    </row>
    <row r="36">
      <c r="A36" s="6418" t="s">
        <v>6788</v>
      </c>
      <c r="B36" s="6418">
        <v>46210</v>
      </c>
      <c r="C36" s="6418" t="str">
        <v>Tuesday</v>
      </c>
      <c r="D36" s="6419" t="s">
        <v>6785</v>
      </c>
      <c r="E36" s="6419">
        <f t="shared" si="51"/>
      </c>
      <c r="F36" s="6419" t="s">
        <v>6806</v>
      </c>
      <c r="G36" s="6431"/>
      <c r="H36" s="6432"/>
      <c r="I36" s="6419" t="s">
        <v>6770</v>
      </c>
      <c r="J36" s="6419"/>
      <c r="K36" s="6410"/>
      <c r="L36" s="6410"/>
      <c r="M36" s="6410"/>
      <c r="N36" s="6410"/>
      <c r="O36" s="6410"/>
      <c r="P36" s="6410"/>
      <c r="Q36" s="6410"/>
      <c r="R36" s="6410"/>
      <c r="S36" s="6410"/>
      <c r="T36" s="6410"/>
      <c r="U36" s="6410"/>
      <c r="V36" s="6410"/>
      <c r="W36" s="6410"/>
      <c r="X36" s="6410"/>
      <c r="Y36" s="6410"/>
    </row>
    <row r="37">
      <c r="A37" s="6418" t="s">
        <v>6788</v>
      </c>
      <c r="B37" s="6418">
        <v>46212</v>
      </c>
      <c r="C37" s="6418" t="str">
        <v>Thursday</v>
      </c>
      <c r="D37" s="6419" t="s">
        <v>6785</v>
      </c>
      <c r="E37" s="6419">
        <f t="shared" si="51"/>
      </c>
      <c r="F37" s="6419" t="s">
        <v>6806</v>
      </c>
      <c r="G37" s="6431"/>
      <c r="H37" s="6422"/>
      <c r="I37" s="6419" t="s">
        <v>6770</v>
      </c>
      <c r="J37" s="6419"/>
      <c r="K37" s="6410"/>
      <c r="L37" s="6410"/>
      <c r="M37" s="6410"/>
      <c r="N37" s="6410"/>
      <c r="O37" s="6410"/>
      <c r="P37" s="6410"/>
      <c r="Q37" s="6410"/>
      <c r="R37" s="6410"/>
      <c r="S37" s="6410"/>
      <c r="T37" s="6410"/>
      <c r="U37" s="6410"/>
      <c r="V37" s="6410"/>
      <c r="W37" s="6410"/>
      <c r="X37" s="6410"/>
      <c r="Y37" s="6410"/>
    </row>
    <row r="38">
      <c r="A38" s="6418"/>
      <c r="B38" s="6418"/>
      <c r="C38" s="6418"/>
      <c r="D38" s="6419"/>
      <c r="E38" s="6419"/>
      <c r="F38" s="6419"/>
      <c r="G38" s="6431"/>
      <c r="H38" s="6422"/>
      <c r="I38" s="6419"/>
      <c r="J38" s="6419"/>
      <c r="K38" s="6410"/>
      <c r="L38" s="6410"/>
      <c r="M38" s="6410"/>
      <c r="N38" s="6410"/>
      <c r="O38" s="6410"/>
      <c r="P38" s="6410"/>
      <c r="Q38" s="6410"/>
      <c r="R38" s="6410"/>
      <c r="S38" s="6410"/>
      <c r="T38" s="6410"/>
      <c r="U38" s="6410"/>
      <c r="V38" s="6410"/>
      <c r="W38" s="6410"/>
      <c r="X38" s="6410"/>
      <c r="Y38" s="6410"/>
    </row>
    <row r="39">
      <c r="A39" s="6410"/>
      <c r="B39" s="6410"/>
      <c r="C39" s="6410"/>
      <c r="D39" s="6410"/>
      <c r="E39" s="6410"/>
      <c r="F39" s="6410"/>
      <c r="G39" s="6410"/>
      <c r="H39" s="6410"/>
      <c r="I39" s="6410"/>
      <c r="J39" s="6410"/>
      <c r="K39" s="6410"/>
      <c r="L39" s="6410"/>
      <c r="M39" s="6410"/>
      <c r="N39" s="6410"/>
      <c r="O39" s="6410"/>
      <c r="P39" s="6410"/>
      <c r="Q39" s="6410"/>
      <c r="R39" s="6410"/>
      <c r="S39" s="6410"/>
      <c r="T39" s="6410"/>
      <c r="U39" s="6410"/>
      <c r="V39" s="6410"/>
      <c r="W39" s="6410"/>
      <c r="X39" s="6410"/>
      <c r="Y39" s="6410"/>
    </row>
    <row r="40">
      <c r="A40" s="6433" t="s">
        <v>6807</v>
      </c>
      <c r="B40" s="6433"/>
      <c r="C40" s="6433"/>
      <c r="D40" s="6433"/>
      <c r="E40" s="6433"/>
      <c r="F40" s="6433"/>
      <c r="G40" s="6434"/>
      <c r="H40" s="6434"/>
      <c r="I40" s="6434"/>
      <c r="J40" s="6434"/>
      <c r="K40" s="6435"/>
      <c r="L40" s="6435"/>
      <c r="M40" s="6435"/>
      <c r="N40" s="6435"/>
      <c r="O40" s="6408"/>
      <c r="P40" s="6408"/>
      <c r="Q40" s="6408"/>
      <c r="R40" s="6408"/>
      <c r="S40" s="6408"/>
      <c r="T40" s="6408"/>
      <c r="U40" s="6409"/>
      <c r="V40" s="6409"/>
      <c r="W40" s="6409"/>
      <c r="X40" s="6409"/>
      <c r="Y40" s="6409"/>
    </row>
    <row r="41">
      <c r="A41" s="6436" t="s">
        <v>6757</v>
      </c>
      <c r="B41" s="6437" t="s">
        <v>6758</v>
      </c>
      <c r="C41" s="6437"/>
      <c r="D41" s="6438" t="s">
        <v>6759</v>
      </c>
      <c r="E41" s="6438" t="s">
        <v>6760</v>
      </c>
      <c r="F41" s="6438" t="s">
        <v>6761</v>
      </c>
      <c r="G41" s="6439" t="s">
        <v>6777</v>
      </c>
      <c r="H41" s="6440" t="s">
        <v>6763</v>
      </c>
      <c r="I41" s="6440" t="s">
        <v>6764</v>
      </c>
      <c r="J41" s="6440" t="s">
        <v>6765</v>
      </c>
      <c r="K41" s="6435"/>
      <c r="L41" s="6435"/>
      <c r="M41" s="6435"/>
      <c r="N41" s="6435"/>
      <c r="O41" s="6408"/>
      <c r="P41" s="6408"/>
      <c r="Q41" s="6408"/>
      <c r="R41" s="6408"/>
      <c r="S41" s="6408"/>
      <c r="T41" s="6408"/>
      <c r="U41" s="6410"/>
      <c r="V41" s="6410"/>
      <c r="W41" s="6410"/>
      <c r="X41" s="6410"/>
      <c r="Y41" s="6410"/>
    </row>
    <row r="42">
      <c r="A42" s="6418" t="s">
        <v>6807</v>
      </c>
      <c r="B42" s="6418">
        <v>46210</v>
      </c>
      <c r="C42" s="6418" t="str">
        <v>Tuesday</v>
      </c>
      <c r="D42" s="6441" t="s">
        <v>6808</v>
      </c>
      <c r="E42" s="6419">
        <f t="shared" ref="E42:E48" si="52">24*MOD(TIMEVALUE(TRIM(MID(D42,FIND("-",D42)+1,LEN(D42)))) - TIMEVALUE(TRIM(LEFT(D42,FIND("-",D42)-1))),1)</f>
      </c>
      <c r="F42" s="6419" t="s">
        <v>6768</v>
      </c>
      <c r="G42" s="6421" t="s">
        <v>6809</v>
      </c>
      <c r="H42" s="6419" t="s">
        <v>6810</v>
      </c>
      <c r="I42" s="6419" t="s">
        <v>6770</v>
      </c>
      <c r="J42" s="6419"/>
      <c r="K42" s="6435"/>
      <c r="L42" s="6435"/>
      <c r="M42" s="6435"/>
      <c r="N42" s="6435"/>
      <c r="O42" s="6408"/>
      <c r="P42" s="6408"/>
      <c r="Q42" s="6408"/>
      <c r="R42" s="6408"/>
      <c r="S42" s="6408"/>
      <c r="T42" s="6408"/>
      <c r="U42" s="6409"/>
      <c r="V42" s="6409"/>
      <c r="W42" s="6409"/>
      <c r="X42" s="6409"/>
      <c r="Y42" s="6409"/>
    </row>
    <row r="43">
      <c r="A43" s="6418" t="s">
        <v>6807</v>
      </c>
      <c r="B43" s="6418">
        <v>46211</v>
      </c>
      <c r="C43" s="6418" t="str">
        <v>Wednesday</v>
      </c>
      <c r="D43" s="6441" t="s">
        <v>6811</v>
      </c>
      <c r="E43" s="6419">
        <f t="shared" si="52"/>
      </c>
      <c r="F43" s="6419" t="s">
        <v>6812</v>
      </c>
      <c r="G43" s="6421" t="s">
        <v>6813</v>
      </c>
      <c r="H43" s="6442" t="s">
        <v>6810</v>
      </c>
      <c r="I43" s="6419" t="s">
        <v>6770</v>
      </c>
      <c r="J43" s="6419"/>
      <c r="K43" s="6435"/>
      <c r="L43" s="6435"/>
      <c r="M43" s="6435"/>
      <c r="N43" s="6435"/>
      <c r="O43" s="6408"/>
      <c r="P43" s="6408"/>
      <c r="Q43" s="6408"/>
      <c r="R43" s="6408"/>
      <c r="S43" s="6408"/>
      <c r="T43" s="6408"/>
      <c r="U43" s="6409"/>
      <c r="V43" s="6409"/>
      <c r="W43" s="6409"/>
      <c r="X43" s="6409"/>
      <c r="Y43" s="6409"/>
    </row>
    <row r="44">
      <c r="A44" s="6418" t="s">
        <v>6807</v>
      </c>
      <c r="B44" s="6418">
        <v>46212</v>
      </c>
      <c r="C44" s="6418" t="str">
        <v>Thursday</v>
      </c>
      <c r="D44" s="6441" t="s">
        <v>6814</v>
      </c>
      <c r="E44" s="6419">
        <f t="shared" si="52"/>
      </c>
      <c r="F44" s="6419" t="s">
        <v>6815</v>
      </c>
      <c r="G44" s="6421" t="s">
        <v>6816</v>
      </c>
      <c r="H44" s="6419" t="s">
        <v>6810</v>
      </c>
      <c r="I44" s="6419" t="s">
        <v>6770</v>
      </c>
      <c r="J44" s="6419"/>
      <c r="K44" s="6435"/>
      <c r="L44" s="6435"/>
      <c r="M44" s="6435"/>
      <c r="N44" s="6435"/>
      <c r="O44" s="6408"/>
      <c r="P44" s="6408"/>
      <c r="Q44" s="6408"/>
      <c r="R44" s="6408"/>
      <c r="S44" s="6408"/>
      <c r="T44" s="6408"/>
      <c r="U44" s="6409"/>
      <c r="V44" s="6409"/>
      <c r="W44" s="6409"/>
      <c r="X44" s="6409"/>
      <c r="Y44" s="6409"/>
    </row>
    <row r="45">
      <c r="A45" s="6443" t="s">
        <v>6807</v>
      </c>
      <c r="B45" s="6443">
        <v>46213</v>
      </c>
      <c r="C45" s="6443" t="str">
        <v>Friday</v>
      </c>
      <c r="D45" s="6444" t="s">
        <v>6817</v>
      </c>
      <c r="E45" s="6445">
        <f t="shared" si="52"/>
      </c>
      <c r="F45" s="6445" t="s">
        <v>6812</v>
      </c>
      <c r="G45" s="6446" t="s">
        <v>6816</v>
      </c>
      <c r="H45" s="6445" t="s">
        <v>6810</v>
      </c>
      <c r="I45" s="6447" t="s">
        <v>6770</v>
      </c>
      <c r="J45" s="6448"/>
      <c r="K45" s="6435"/>
      <c r="L45" s="6435"/>
      <c r="M45" s="6435"/>
      <c r="N45" s="6435"/>
      <c r="O45" s="6408"/>
      <c r="P45" s="6408"/>
      <c r="Q45" s="6408"/>
      <c r="R45" s="6408"/>
      <c r="S45" s="6408"/>
      <c r="T45" s="6408"/>
      <c r="U45" s="6409"/>
      <c r="V45" s="6409"/>
      <c r="W45" s="6409"/>
      <c r="X45" s="6409"/>
      <c r="Y45" s="6409"/>
    </row>
    <row r="46">
      <c r="A46" s="6449" t="s">
        <v>6807</v>
      </c>
      <c r="B46" s="6449">
        <v>46213</v>
      </c>
      <c r="C46" s="6449" t="str">
        <v>Friday</v>
      </c>
      <c r="D46" s="6450" t="s">
        <v>6818</v>
      </c>
      <c r="E46" s="6448">
        <f t="shared" si="52"/>
      </c>
      <c r="F46" s="6448" t="s">
        <v>6819</v>
      </c>
      <c r="G46" s="6451" t="s">
        <v>6820</v>
      </c>
      <c r="H46" s="6448" t="s">
        <v>6810</v>
      </c>
      <c r="I46" s="6419" t="s">
        <v>6770</v>
      </c>
      <c r="J46" s="6448"/>
      <c r="K46" s="6435"/>
      <c r="L46" s="6435"/>
      <c r="M46" s="6435"/>
      <c r="N46" s="6435"/>
      <c r="O46" s="6408"/>
      <c r="P46" s="6408"/>
      <c r="Q46" s="6408"/>
      <c r="R46" s="6408"/>
      <c r="S46" s="6408"/>
      <c r="T46" s="6408"/>
      <c r="U46" s="6409"/>
      <c r="V46" s="6409"/>
      <c r="W46" s="6409"/>
      <c r="X46" s="6409"/>
      <c r="Y46" s="6409"/>
    </row>
    <row r="47">
      <c r="A47" s="6418" t="s">
        <v>6807</v>
      </c>
      <c r="B47" s="6418">
        <v>46214</v>
      </c>
      <c r="C47" s="6418" t="str">
        <v>Saturday</v>
      </c>
      <c r="D47" s="6452" t="s">
        <v>6808</v>
      </c>
      <c r="E47" s="6419">
        <f t="shared" si="52"/>
      </c>
      <c r="F47" s="6419" t="s">
        <v>6812</v>
      </c>
      <c r="G47" s="6421" t="s">
        <v>6816</v>
      </c>
      <c r="H47" s="6419" t="s">
        <v>6810</v>
      </c>
      <c r="I47" s="6419" t="s">
        <v>6770</v>
      </c>
      <c r="J47" s="6419"/>
      <c r="K47" s="6435"/>
      <c r="L47" s="6435"/>
      <c r="M47" s="6435"/>
      <c r="N47" s="6435"/>
      <c r="O47" s="6408"/>
      <c r="P47" s="6408"/>
      <c r="Q47" s="6408"/>
      <c r="R47" s="6408"/>
      <c r="S47" s="6408"/>
      <c r="T47" s="6408"/>
      <c r="U47" s="6409"/>
      <c r="V47" s="6409"/>
      <c r="W47" s="6409"/>
      <c r="X47" s="6409"/>
      <c r="Y47" s="6409"/>
    </row>
    <row r="48">
      <c r="A48" s="6453" t="s">
        <v>6807</v>
      </c>
      <c r="B48" s="6453">
        <v>46215</v>
      </c>
      <c r="C48" s="6453" t="str">
        <v>Sunday</v>
      </c>
      <c r="D48" s="6454" t="s">
        <v>6814</v>
      </c>
      <c r="E48" s="6455">
        <f t="shared" si="52"/>
      </c>
      <c r="F48" s="6455" t="s">
        <v>6819</v>
      </c>
      <c r="G48" s="6456" t="s">
        <v>6816</v>
      </c>
      <c r="H48" s="6457" t="s">
        <v>6810</v>
      </c>
      <c r="I48" s="6455" t="s">
        <v>6770</v>
      </c>
      <c r="J48" s="6455"/>
      <c r="K48" s="6409"/>
      <c r="L48" s="6409"/>
      <c r="M48" s="6409"/>
      <c r="N48" s="6409"/>
      <c r="O48" s="6409"/>
      <c r="P48" s="6409"/>
      <c r="Q48" s="6409"/>
      <c r="R48" s="6409"/>
      <c r="S48" s="6409"/>
      <c r="T48" s="6409"/>
      <c r="U48" s="6409"/>
      <c r="V48" s="6409"/>
      <c r="W48" s="6409"/>
      <c r="X48" s="6409"/>
      <c r="Y48" s="6409"/>
    </row>
    <row r="49">
      <c r="A49" s="6410"/>
      <c r="B49" s="6410"/>
      <c r="C49" s="6410"/>
      <c r="D49" s="6410"/>
      <c r="E49" s="6410"/>
      <c r="F49" s="6410"/>
      <c r="G49" s="6410"/>
      <c r="H49" s="6410"/>
      <c r="I49" s="6410"/>
      <c r="J49" s="6410"/>
      <c r="K49" s="6410"/>
      <c r="L49" s="6410"/>
      <c r="M49" s="6410"/>
      <c r="N49" s="6410"/>
      <c r="O49" s="6410"/>
      <c r="P49" s="6410"/>
      <c r="Q49" s="6410"/>
      <c r="R49" s="6410"/>
      <c r="S49" s="6410"/>
      <c r="T49" s="6410"/>
      <c r="U49" s="6410"/>
      <c r="V49" s="6410"/>
      <c r="W49" s="6410"/>
      <c r="X49" s="6410"/>
      <c r="Y49" s="6410"/>
    </row>
    <row r="50">
      <c r="A50" s="6418" t="s">
        <v>6821</v>
      </c>
      <c r="B50" s="6418">
        <v>46210</v>
      </c>
      <c r="C50" s="6418" t="str">
        <v>Tuesday</v>
      </c>
      <c r="D50" s="6441" t="s">
        <v>6822</v>
      </c>
      <c r="E50" s="6419">
        <f t="shared" ref="E50:E52" si="53">24*MOD(TIMEVALUE(TRIM(MID(D50,FIND("-",D50)+1,LEN(D50)))) - TIMEVALUE(TRIM(LEFT(D50,FIND("-",D50)-1))),1)</f>
      </c>
      <c r="F50" s="6419" t="s">
        <v>6809</v>
      </c>
      <c r="G50" s="6421"/>
      <c r="H50" s="6419" t="s">
        <v>6810</v>
      </c>
      <c r="I50" s="6419" t="s">
        <v>6770</v>
      </c>
      <c r="J50" s="6419"/>
      <c r="K50" s="6435"/>
      <c r="L50" s="6435"/>
      <c r="M50" s="6435"/>
      <c r="N50" s="6435"/>
      <c r="O50" s="6408"/>
      <c r="P50" s="6408"/>
      <c r="Q50" s="6408"/>
      <c r="R50" s="6408"/>
      <c r="S50" s="6408"/>
      <c r="T50" s="6408"/>
      <c r="U50" s="6409"/>
      <c r="V50" s="6409"/>
      <c r="W50" s="6409"/>
      <c r="X50" s="6409"/>
      <c r="Y50" s="6409"/>
    </row>
    <row r="51">
      <c r="A51" s="6449" t="s">
        <v>6821</v>
      </c>
      <c r="B51" s="6449">
        <v>46211</v>
      </c>
      <c r="C51" s="6449" t="str">
        <v>Wednesday</v>
      </c>
      <c r="D51" s="6450" t="s">
        <v>6823</v>
      </c>
      <c r="E51" s="6448">
        <f t="shared" si="53"/>
      </c>
      <c r="F51" s="6448" t="s">
        <v>6824</v>
      </c>
      <c r="G51" s="6451"/>
      <c r="H51" s="6458" t="s">
        <v>6810</v>
      </c>
      <c r="I51" s="6448" t="s">
        <v>6770</v>
      </c>
      <c r="J51" s="6448"/>
      <c r="K51" s="6435"/>
      <c r="L51" s="6435"/>
      <c r="M51" s="6435"/>
      <c r="N51" s="6435"/>
      <c r="O51" s="6408"/>
      <c r="P51" s="6408"/>
      <c r="Q51" s="6408"/>
      <c r="R51" s="6408"/>
      <c r="S51" s="6408"/>
      <c r="T51" s="6408"/>
      <c r="U51" s="6409"/>
      <c r="V51" s="6409"/>
      <c r="W51" s="6409"/>
      <c r="X51" s="6409"/>
      <c r="Y51" s="6409"/>
    </row>
    <row r="52">
      <c r="A52" s="6418" t="s">
        <v>6807</v>
      </c>
      <c r="B52" s="6418">
        <v>46213</v>
      </c>
      <c r="C52" s="6418" t="str">
        <v>Friday</v>
      </c>
      <c r="D52" s="6441" t="s">
        <v>6825</v>
      </c>
      <c r="E52" s="6419">
        <f t="shared" si="53"/>
      </c>
      <c r="F52" s="6419" t="s">
        <v>6809</v>
      </c>
      <c r="G52" s="6431"/>
      <c r="H52" s="6419" t="s">
        <v>6810</v>
      </c>
      <c r="I52" s="6419" t="s">
        <v>6770</v>
      </c>
      <c r="J52" s="6419"/>
      <c r="K52" s="6435"/>
      <c r="L52" s="6435"/>
      <c r="M52" s="6435"/>
      <c r="N52" s="6435"/>
      <c r="O52" s="6408"/>
      <c r="P52" s="6408"/>
      <c r="Q52" s="6408"/>
      <c r="R52" s="6408"/>
      <c r="S52" s="6408"/>
      <c r="T52" s="6408"/>
      <c r="U52" s="6409"/>
      <c r="V52" s="6409"/>
      <c r="W52" s="6409"/>
      <c r="X52" s="6409"/>
      <c r="Y52" s="6409"/>
    </row>
    <row r="53">
      <c r="A53" s="6410"/>
      <c r="B53" s="6410"/>
      <c r="C53" s="6410"/>
      <c r="D53" s="6410"/>
      <c r="E53" s="6410"/>
      <c r="F53" s="6410"/>
      <c r="G53" s="6410"/>
      <c r="H53" s="6410"/>
      <c r="I53" s="6410"/>
      <c r="J53" s="6410"/>
      <c r="K53" s="6410"/>
      <c r="L53" s="6410"/>
      <c r="M53" s="6410"/>
      <c r="N53" s="6410"/>
      <c r="O53" s="6410"/>
      <c r="P53" s="6410"/>
      <c r="Q53" s="6410"/>
      <c r="R53" s="6410"/>
      <c r="S53" s="6410"/>
      <c r="T53" s="6410"/>
      <c r="U53" s="6410"/>
      <c r="V53" s="6410"/>
      <c r="W53" s="6410"/>
      <c r="X53" s="6410"/>
      <c r="Y53" s="6410"/>
    </row>
    <row r="54">
      <c r="A54" s="6459" t="s">
        <v>6826</v>
      </c>
      <c r="B54" s="6460"/>
      <c r="C54" s="6460"/>
      <c r="D54" s="6460"/>
      <c r="E54" s="6460"/>
      <c r="F54" s="6460"/>
      <c r="G54" s="6460"/>
      <c r="H54" s="6460"/>
      <c r="I54" s="6460"/>
      <c r="J54" s="6460"/>
      <c r="K54" s="6408"/>
      <c r="L54" s="6408"/>
      <c r="M54" s="6408"/>
      <c r="N54" s="6408"/>
      <c r="O54" s="6408"/>
      <c r="P54" s="6408"/>
      <c r="Q54" s="6408"/>
      <c r="R54" s="6408"/>
      <c r="S54" s="6408"/>
      <c r="T54" s="6408"/>
      <c r="U54" s="6410"/>
      <c r="V54" s="6410"/>
      <c r="W54" s="6410"/>
      <c r="X54" s="6410"/>
      <c r="Y54" s="6410"/>
    </row>
    <row r="55">
      <c r="A55" s="6461" t="s">
        <v>6757</v>
      </c>
      <c r="B55" s="6462" t="s">
        <v>6758</v>
      </c>
      <c r="C55" s="6462"/>
      <c r="D55" s="6463" t="s">
        <v>6759</v>
      </c>
      <c r="E55" s="6463" t="s">
        <v>6760</v>
      </c>
      <c r="F55" s="6463" t="s">
        <v>6761</v>
      </c>
      <c r="G55" s="6464" t="s">
        <v>6777</v>
      </c>
      <c r="H55" s="6463" t="s">
        <v>6763</v>
      </c>
      <c r="I55" s="6463" t="s">
        <v>6764</v>
      </c>
      <c r="J55" s="6463" t="s">
        <v>6765</v>
      </c>
      <c r="K55" s="6408"/>
      <c r="L55" s="6408"/>
      <c r="M55" s="6408"/>
      <c r="N55" s="6408"/>
      <c r="O55" s="6408"/>
      <c r="P55" s="6408"/>
      <c r="Q55" s="6408"/>
      <c r="R55" s="6408"/>
      <c r="S55" s="6408"/>
      <c r="T55" s="6408"/>
      <c r="U55" s="6410"/>
      <c r="V55" s="6410"/>
      <c r="W55" s="6410"/>
      <c r="X55" s="6410"/>
      <c r="Y55" s="6410"/>
    </row>
    <row r="56">
      <c r="A56" s="6465" t="s">
        <v>6826</v>
      </c>
      <c r="B56" s="6418">
        <v>46209</v>
      </c>
      <c r="C56" s="6418" t="str">
        <v>Monday</v>
      </c>
      <c r="D56" s="6419" t="s">
        <v>6785</v>
      </c>
      <c r="E56" s="6419">
        <f t="shared" ref="E56:E86" si="54">24*MOD(TIMEVALUE(TRIM(MID(D56,FIND("-",D56)+1,LEN(D56)))) - TIMEVALUE(TRIM(LEFT(D56,FIND("-",D56)-1))),1)</f>
      </c>
      <c r="F56" s="6422" t="s">
        <v>6827</v>
      </c>
      <c r="G56" s="6466"/>
      <c r="H56" s="6422" t="s">
        <v>6769</v>
      </c>
      <c r="I56" s="6419" t="s">
        <v>6770</v>
      </c>
      <c r="J56" s="6467"/>
      <c r="K56" s="6408"/>
      <c r="L56" s="6408"/>
      <c r="M56" s="6408"/>
      <c r="N56" s="6408"/>
      <c r="O56" s="6408"/>
      <c r="P56" s="6408"/>
      <c r="Q56" s="6408"/>
      <c r="R56" s="6408"/>
      <c r="S56" s="6408"/>
      <c r="T56" s="6408"/>
      <c r="U56" s="6410"/>
      <c r="V56" s="6410"/>
      <c r="W56" s="6410"/>
      <c r="X56" s="6410"/>
      <c r="Y56" s="6410"/>
    </row>
    <row r="57">
      <c r="A57" s="6468" t="s">
        <v>6826</v>
      </c>
      <c r="B57" s="6418">
        <v>46210</v>
      </c>
      <c r="C57" s="6418" t="str">
        <v>Tuesday</v>
      </c>
      <c r="D57" s="6419" t="s">
        <v>6828</v>
      </c>
      <c r="E57" s="6419">
        <f t="shared" si="54"/>
      </c>
      <c r="F57" s="6422" t="s">
        <v>6794</v>
      </c>
      <c r="G57" s="6469"/>
      <c r="H57" s="6422" t="s">
        <v>6769</v>
      </c>
      <c r="I57" s="6419" t="s">
        <v>6770</v>
      </c>
      <c r="J57" s="6470"/>
      <c r="K57" s="6408"/>
      <c r="L57" s="6408"/>
      <c r="M57" s="6408"/>
      <c r="N57" s="6408"/>
      <c r="O57" s="6408"/>
      <c r="P57" s="6408"/>
      <c r="Q57" s="6408"/>
      <c r="R57" s="6408"/>
      <c r="S57" s="6408"/>
      <c r="T57" s="6408"/>
      <c r="U57" s="6410"/>
      <c r="V57" s="6410"/>
      <c r="W57" s="6410"/>
      <c r="X57" s="6410"/>
      <c r="Y57" s="6410"/>
    </row>
    <row r="58">
      <c r="A58" s="6468" t="s">
        <v>6826</v>
      </c>
      <c r="B58" s="6418">
        <v>46210</v>
      </c>
      <c r="C58" s="6418" t="str">
        <v>Tuesday</v>
      </c>
      <c r="D58" s="6419" t="s">
        <v>6829</v>
      </c>
      <c r="E58" s="6419">
        <f t="shared" si="54"/>
      </c>
      <c r="F58" s="6422" t="s">
        <v>6827</v>
      </c>
      <c r="G58" s="6469"/>
      <c r="H58" s="6422" t="s">
        <v>6769</v>
      </c>
      <c r="I58" s="6419" t="s">
        <v>6770</v>
      </c>
      <c r="J58" s="6470"/>
      <c r="K58" s="6408"/>
      <c r="L58" s="6408"/>
      <c r="M58" s="6408"/>
      <c r="N58" s="6408"/>
      <c r="O58" s="6408"/>
      <c r="P58" s="6408"/>
      <c r="Q58" s="6408"/>
      <c r="R58" s="6408"/>
      <c r="S58" s="6408"/>
      <c r="T58" s="6408"/>
      <c r="U58" s="6410"/>
      <c r="V58" s="6410"/>
      <c r="W58" s="6410"/>
      <c r="X58" s="6410"/>
      <c r="Y58" s="6410"/>
    </row>
    <row r="59">
      <c r="A59" s="6465" t="s">
        <v>6826</v>
      </c>
      <c r="B59" s="6418">
        <v>46211</v>
      </c>
      <c r="C59" s="6418" t="str">
        <v>Wednesday</v>
      </c>
      <c r="D59" s="6419" t="s">
        <v>6783</v>
      </c>
      <c r="E59" s="6419">
        <f t="shared" si="54"/>
      </c>
      <c r="F59" s="6422" t="s">
        <v>6827</v>
      </c>
      <c r="G59" s="6466"/>
      <c r="H59" s="6471"/>
      <c r="I59" s="6419" t="s">
        <v>6770</v>
      </c>
      <c r="J59" s="6467"/>
      <c r="K59" s="6408"/>
      <c r="L59" s="6408"/>
      <c r="M59" s="6408"/>
      <c r="N59" s="6408"/>
      <c r="O59" s="6408"/>
      <c r="P59" s="6408"/>
      <c r="Q59" s="6408"/>
      <c r="R59" s="6408"/>
      <c r="S59" s="6408"/>
      <c r="T59" s="6408"/>
      <c r="U59" s="6410"/>
      <c r="V59" s="6410"/>
      <c r="W59" s="6410"/>
      <c r="X59" s="6410"/>
      <c r="Y59" s="6410"/>
    </row>
    <row r="60">
      <c r="A60" s="6465" t="s">
        <v>6826</v>
      </c>
      <c r="B60" s="6418">
        <v>46212</v>
      </c>
      <c r="C60" s="6418" t="str">
        <v>Thursday</v>
      </c>
      <c r="D60" s="6419" t="s">
        <v>6830</v>
      </c>
      <c r="E60" s="6419">
        <f t="shared" si="54"/>
      </c>
      <c r="F60" s="6422" t="s">
        <v>6794</v>
      </c>
      <c r="G60" s="6466"/>
      <c r="H60" s="6422" t="s">
        <v>6769</v>
      </c>
      <c r="I60" s="6419" t="s">
        <v>6770</v>
      </c>
      <c r="J60" s="6467"/>
      <c r="K60" s="6408"/>
      <c r="L60" s="6408"/>
      <c r="M60" s="6408"/>
      <c r="N60" s="6408"/>
      <c r="O60" s="6408"/>
      <c r="P60" s="6408"/>
      <c r="Q60" s="6408"/>
      <c r="R60" s="6408"/>
      <c r="S60" s="6408"/>
      <c r="T60" s="6408"/>
      <c r="U60" s="6410"/>
      <c r="V60" s="6410"/>
      <c r="W60" s="6410"/>
      <c r="X60" s="6410"/>
      <c r="Y60" s="6410"/>
    </row>
    <row r="61">
      <c r="A61" s="6472" t="s">
        <v>6826</v>
      </c>
      <c r="B61" s="6473">
        <v>46212</v>
      </c>
      <c r="C61" s="6473" t="str">
        <v>Thursday</v>
      </c>
      <c r="D61" s="6447" t="s">
        <v>6829</v>
      </c>
      <c r="E61" s="6447">
        <f t="shared" si="54"/>
      </c>
      <c r="F61" s="6447" t="s">
        <v>6827</v>
      </c>
      <c r="G61" s="6474"/>
      <c r="H61" s="6447" t="s">
        <v>6769</v>
      </c>
      <c r="I61" s="6447" t="s">
        <v>6770</v>
      </c>
      <c r="J61" s="6475"/>
      <c r="K61" s="6476"/>
      <c r="L61" s="6476"/>
      <c r="M61" s="6476"/>
      <c r="N61" s="6476"/>
      <c r="O61" s="6476"/>
      <c r="P61" s="6476"/>
      <c r="Q61" s="6476"/>
      <c r="R61" s="6476"/>
      <c r="S61" s="6476"/>
      <c r="T61" s="6476"/>
      <c r="U61" s="6477"/>
      <c r="V61" s="6477"/>
      <c r="W61" s="6477"/>
      <c r="X61" s="6477"/>
      <c r="Y61" s="6477"/>
    </row>
    <row r="62">
      <c r="A62" s="6465" t="s">
        <v>6826</v>
      </c>
      <c r="B62" s="6418">
        <v>46213</v>
      </c>
      <c r="C62" s="6418" t="str">
        <v>Friday</v>
      </c>
      <c r="D62" s="6419" t="s">
        <v>6830</v>
      </c>
      <c r="E62" s="6419">
        <f t="shared" si="54"/>
      </c>
      <c r="F62" s="6422" t="s">
        <v>6794</v>
      </c>
      <c r="G62" s="6466"/>
      <c r="H62" s="6422" t="s">
        <v>6769</v>
      </c>
      <c r="I62" s="6419" t="s">
        <v>6770</v>
      </c>
      <c r="J62" s="6467"/>
      <c r="K62" s="6408"/>
      <c r="L62" s="6408"/>
      <c r="M62" s="6408"/>
      <c r="N62" s="6408"/>
      <c r="O62" s="6408"/>
      <c r="P62" s="6408"/>
      <c r="Q62" s="6408"/>
      <c r="R62" s="6408"/>
      <c r="S62" s="6408"/>
      <c r="T62" s="6408"/>
      <c r="U62" s="6410"/>
      <c r="V62" s="6410"/>
      <c r="W62" s="6410"/>
      <c r="X62" s="6410"/>
      <c r="Y62" s="6410"/>
    </row>
    <row r="63">
      <c r="A63" s="6472" t="s">
        <v>6826</v>
      </c>
      <c r="B63" s="6473">
        <v>46213</v>
      </c>
      <c r="C63" s="6473" t="str">
        <v>Friday</v>
      </c>
      <c r="D63" s="6447" t="s">
        <v>6829</v>
      </c>
      <c r="E63" s="6447">
        <f t="shared" si="54"/>
      </c>
      <c r="F63" s="6447" t="s">
        <v>6827</v>
      </c>
      <c r="G63" s="6474"/>
      <c r="H63" s="6447" t="s">
        <v>6769</v>
      </c>
      <c r="I63" s="6447" t="s">
        <v>6770</v>
      </c>
      <c r="J63" s="6475"/>
      <c r="K63" s="6476"/>
      <c r="L63" s="6476"/>
      <c r="M63" s="6476"/>
      <c r="N63" s="6476"/>
      <c r="O63" s="6476"/>
      <c r="P63" s="6476"/>
      <c r="Q63" s="6476"/>
      <c r="R63" s="6476"/>
      <c r="S63" s="6476"/>
      <c r="T63" s="6476"/>
      <c r="U63" s="6477"/>
      <c r="V63" s="6477"/>
      <c r="W63" s="6477"/>
      <c r="X63" s="6477"/>
      <c r="Y63" s="6477"/>
    </row>
    <row r="64">
      <c r="A64" s="6465" t="s">
        <v>6826</v>
      </c>
      <c r="B64" s="6418">
        <v>46214</v>
      </c>
      <c r="C64" s="6418" t="str">
        <v>Saturday</v>
      </c>
      <c r="D64" s="6419" t="s">
        <v>6829</v>
      </c>
      <c r="E64" s="6419">
        <f t="shared" si="54"/>
      </c>
      <c r="F64" s="6422" t="s">
        <v>6794</v>
      </c>
      <c r="G64" s="6466" t="s">
        <v>6831</v>
      </c>
      <c r="H64" s="6422" t="s">
        <v>6769</v>
      </c>
      <c r="I64" s="6419" t="s">
        <v>6770</v>
      </c>
      <c r="J64" s="6467"/>
      <c r="K64" s="6408"/>
      <c r="L64" s="6408"/>
      <c r="M64" s="6408"/>
      <c r="N64" s="6408"/>
      <c r="O64" s="6408"/>
      <c r="P64" s="6408"/>
      <c r="Q64" s="6408"/>
      <c r="R64" s="6408"/>
      <c r="S64" s="6408"/>
      <c r="T64" s="6408"/>
      <c r="U64" s="6410"/>
      <c r="V64" s="6410"/>
      <c r="W64" s="6410"/>
      <c r="X64" s="6410"/>
      <c r="Y64" s="6410"/>
    </row>
    <row r="65">
      <c r="A65" s="6465" t="s">
        <v>6832</v>
      </c>
      <c r="B65" s="6418">
        <v>46209</v>
      </c>
      <c r="C65" s="6418" t="str">
        <v>Monday</v>
      </c>
      <c r="D65" s="6419" t="s">
        <v>6785</v>
      </c>
      <c r="E65" s="6422">
        <f t="shared" si="54"/>
      </c>
      <c r="F65" s="6422" t="s">
        <v>6833</v>
      </c>
      <c r="G65" s="6466"/>
      <c r="H65" s="6422" t="s">
        <v>6769</v>
      </c>
      <c r="I65" s="6419" t="s">
        <v>6770</v>
      </c>
      <c r="J65" s="6467"/>
      <c r="K65" s="6408"/>
      <c r="L65" s="6408"/>
      <c r="M65" s="6408"/>
      <c r="N65" s="6408"/>
      <c r="O65" s="6408"/>
      <c r="P65" s="6408"/>
      <c r="Q65" s="6408"/>
      <c r="R65" s="6408"/>
      <c r="S65" s="6408"/>
      <c r="T65" s="6408"/>
      <c r="U65" s="6410"/>
      <c r="V65" s="6410"/>
      <c r="W65" s="6410"/>
      <c r="X65" s="6410"/>
      <c r="Y65" s="6410"/>
    </row>
    <row r="66">
      <c r="A66" s="6465" t="s">
        <v>6832</v>
      </c>
      <c r="B66" s="6418">
        <v>46209</v>
      </c>
      <c r="C66" s="6418" t="str">
        <v>Monday</v>
      </c>
      <c r="D66" s="6419" t="s">
        <v>6834</v>
      </c>
      <c r="E66" s="6422">
        <f t="shared" si="54"/>
      </c>
      <c r="F66" s="6422" t="s">
        <v>6835</v>
      </c>
      <c r="G66" s="6466"/>
      <c r="H66" s="6422" t="s">
        <v>6769</v>
      </c>
      <c r="I66" s="6419" t="s">
        <v>6770</v>
      </c>
      <c r="J66" s="6467"/>
      <c r="K66" s="6408"/>
      <c r="L66" s="6408"/>
      <c r="M66" s="6408"/>
      <c r="N66" s="6408"/>
      <c r="O66" s="6408"/>
      <c r="P66" s="6408"/>
      <c r="Q66" s="6408"/>
      <c r="R66" s="6408"/>
      <c r="S66" s="6408"/>
      <c r="T66" s="6408"/>
      <c r="U66" s="6410"/>
      <c r="V66" s="6410"/>
      <c r="W66" s="6410"/>
      <c r="X66" s="6410"/>
      <c r="Y66" s="6410"/>
    </row>
    <row r="67">
      <c r="A67" s="6465" t="s">
        <v>6832</v>
      </c>
      <c r="B67" s="6418">
        <v>46210</v>
      </c>
      <c r="C67" s="6418" t="str">
        <v>Tuesday</v>
      </c>
      <c r="D67" s="6419" t="s">
        <v>6836</v>
      </c>
      <c r="E67" s="6419">
        <f t="shared" si="54"/>
      </c>
      <c r="F67" s="6422" t="s">
        <v>6835</v>
      </c>
      <c r="G67" s="6469"/>
      <c r="H67" s="6422" t="s">
        <v>6769</v>
      </c>
      <c r="I67" s="6419" t="s">
        <v>6770</v>
      </c>
      <c r="J67" s="6470"/>
      <c r="K67" s="6408"/>
      <c r="L67" s="6408"/>
      <c r="M67" s="6408"/>
      <c r="N67" s="6408"/>
      <c r="O67" s="6408"/>
      <c r="P67" s="6408"/>
      <c r="Q67" s="6408"/>
      <c r="R67" s="6408"/>
      <c r="S67" s="6408"/>
      <c r="T67" s="6408"/>
      <c r="U67" s="6410"/>
      <c r="V67" s="6410"/>
      <c r="W67" s="6410"/>
      <c r="X67" s="6410"/>
      <c r="Y67" s="6410"/>
    </row>
    <row r="68">
      <c r="A68" s="6465" t="s">
        <v>6832</v>
      </c>
      <c r="B68" s="6418">
        <v>46210</v>
      </c>
      <c r="C68" s="6418" t="str">
        <v>Tuesday</v>
      </c>
      <c r="D68" s="6419" t="s">
        <v>6837</v>
      </c>
      <c r="E68" s="6419">
        <f t="shared" si="54"/>
      </c>
      <c r="F68" s="6422" t="s">
        <v>6833</v>
      </c>
      <c r="G68" s="6469"/>
      <c r="H68" s="6422" t="s">
        <v>6769</v>
      </c>
      <c r="I68" s="6419" t="s">
        <v>6770</v>
      </c>
      <c r="J68" s="6470"/>
      <c r="K68" s="6408"/>
      <c r="L68" s="6408"/>
      <c r="M68" s="6408"/>
      <c r="N68" s="6408"/>
      <c r="O68" s="6408"/>
      <c r="P68" s="6408"/>
      <c r="Q68" s="6408"/>
      <c r="R68" s="6408"/>
      <c r="S68" s="6408"/>
      <c r="T68" s="6408"/>
      <c r="U68" s="6410"/>
      <c r="V68" s="6410"/>
      <c r="W68" s="6410"/>
      <c r="X68" s="6410"/>
      <c r="Y68" s="6410"/>
    </row>
    <row r="69">
      <c r="A69" s="6465" t="s">
        <v>6832</v>
      </c>
      <c r="B69" s="6418">
        <v>46211</v>
      </c>
      <c r="C69" s="6418" t="str">
        <v>Wednesday</v>
      </c>
      <c r="D69" s="6419" t="s">
        <v>6783</v>
      </c>
      <c r="E69" s="6422">
        <f t="shared" si="54"/>
      </c>
      <c r="F69" s="6422" t="s">
        <v>6833</v>
      </c>
      <c r="G69" s="6466"/>
      <c r="H69" s="6471"/>
      <c r="I69" s="6419" t="s">
        <v>6770</v>
      </c>
      <c r="J69" s="6467"/>
      <c r="K69" s="6408"/>
      <c r="L69" s="6408"/>
      <c r="M69" s="6408"/>
      <c r="N69" s="6408"/>
      <c r="O69" s="6408"/>
      <c r="P69" s="6408"/>
      <c r="Q69" s="6408"/>
      <c r="R69" s="6408"/>
      <c r="S69" s="6408"/>
      <c r="T69" s="6408"/>
      <c r="U69" s="6410"/>
      <c r="V69" s="6410"/>
      <c r="W69" s="6410"/>
      <c r="X69" s="6410"/>
      <c r="Y69" s="6410"/>
    </row>
    <row r="70">
      <c r="A70" s="6465" t="s">
        <v>6832</v>
      </c>
      <c r="B70" s="6418">
        <v>46212</v>
      </c>
      <c r="C70" s="6418" t="str">
        <v>Thursday</v>
      </c>
      <c r="D70" s="6419" t="s">
        <v>6838</v>
      </c>
      <c r="E70" s="6422">
        <f t="shared" si="54"/>
      </c>
      <c r="F70" s="6422" t="s">
        <v>6833</v>
      </c>
      <c r="G70" s="6466"/>
      <c r="H70" s="6422" t="s">
        <v>6769</v>
      </c>
      <c r="I70" s="6419" t="s">
        <v>6770</v>
      </c>
      <c r="J70" s="6467"/>
      <c r="K70" s="6408"/>
      <c r="L70" s="6408"/>
      <c r="M70" s="6408"/>
      <c r="N70" s="6408"/>
      <c r="O70" s="6408"/>
      <c r="P70" s="6408"/>
      <c r="Q70" s="6408"/>
      <c r="R70" s="6408"/>
      <c r="S70" s="6408"/>
      <c r="T70" s="6408"/>
      <c r="U70" s="6410"/>
      <c r="V70" s="6410"/>
      <c r="W70" s="6410"/>
      <c r="X70" s="6410"/>
      <c r="Y70" s="6410"/>
    </row>
    <row r="71">
      <c r="A71" s="6465" t="s">
        <v>6832</v>
      </c>
      <c r="B71" s="6418">
        <v>46212</v>
      </c>
      <c r="C71" s="6418" t="str">
        <v>Thursday</v>
      </c>
      <c r="D71" s="6419" t="s">
        <v>6839</v>
      </c>
      <c r="E71" s="6419">
        <f t="shared" si="54"/>
      </c>
      <c r="F71" s="6422" t="s">
        <v>6835</v>
      </c>
      <c r="G71" s="6466"/>
      <c r="H71" s="6422" t="s">
        <v>6769</v>
      </c>
      <c r="I71" s="6419" t="s">
        <v>6770</v>
      </c>
      <c r="J71" s="6467"/>
      <c r="K71" s="6408"/>
      <c r="L71" s="6408"/>
      <c r="M71" s="6408"/>
      <c r="N71" s="6408"/>
      <c r="O71" s="6408"/>
      <c r="P71" s="6408"/>
      <c r="Q71" s="6408"/>
      <c r="R71" s="6408"/>
      <c r="S71" s="6408"/>
      <c r="T71" s="6408"/>
      <c r="U71" s="6410"/>
      <c r="V71" s="6410"/>
      <c r="W71" s="6410"/>
      <c r="X71" s="6410"/>
      <c r="Y71" s="6410"/>
    </row>
    <row r="72">
      <c r="A72" s="6465" t="s">
        <v>6832</v>
      </c>
      <c r="B72" s="6418">
        <v>46213</v>
      </c>
      <c r="C72" s="6418" t="str">
        <v>Friday</v>
      </c>
      <c r="D72" s="6419" t="s">
        <v>6828</v>
      </c>
      <c r="E72" s="6419">
        <f t="shared" si="54"/>
      </c>
      <c r="F72" s="6422" t="s">
        <v>6833</v>
      </c>
      <c r="G72" s="6466"/>
      <c r="H72" s="6422" t="s">
        <v>6769</v>
      </c>
      <c r="I72" s="6419" t="s">
        <v>6770</v>
      </c>
      <c r="J72" s="6467"/>
      <c r="K72" s="6408"/>
      <c r="L72" s="6408"/>
      <c r="M72" s="6408"/>
      <c r="N72" s="6408"/>
      <c r="O72" s="6408"/>
      <c r="P72" s="6408"/>
      <c r="Q72" s="6408"/>
      <c r="R72" s="6408"/>
      <c r="S72" s="6408"/>
      <c r="T72" s="6408"/>
      <c r="U72" s="6410"/>
      <c r="V72" s="6410"/>
      <c r="W72" s="6410"/>
      <c r="X72" s="6410"/>
      <c r="Y72" s="6410"/>
    </row>
    <row r="73">
      <c r="A73" s="6465" t="s">
        <v>6832</v>
      </c>
      <c r="B73" s="6418">
        <v>46213</v>
      </c>
      <c r="C73" s="6418" t="str">
        <v>Friday</v>
      </c>
      <c r="D73" s="6419" t="s">
        <v>6840</v>
      </c>
      <c r="E73" s="6419">
        <f t="shared" si="54"/>
      </c>
      <c r="F73" s="6422" t="s">
        <v>6833</v>
      </c>
      <c r="G73" s="6466"/>
      <c r="H73" s="6422" t="s">
        <v>6769</v>
      </c>
      <c r="I73" s="6419" t="s">
        <v>6770</v>
      </c>
      <c r="J73" s="6467"/>
      <c r="K73" s="6408"/>
      <c r="L73" s="6408"/>
      <c r="M73" s="6408"/>
      <c r="N73" s="6408"/>
      <c r="O73" s="6408"/>
      <c r="P73" s="6408"/>
      <c r="Q73" s="6408"/>
      <c r="R73" s="6408"/>
      <c r="S73" s="6408"/>
      <c r="T73" s="6408"/>
      <c r="U73" s="6410"/>
      <c r="V73" s="6410"/>
      <c r="W73" s="6410"/>
      <c r="X73" s="6410"/>
      <c r="Y73" s="6410"/>
    </row>
    <row r="74">
      <c r="A74" s="6465" t="s">
        <v>6832</v>
      </c>
      <c r="B74" s="6418">
        <v>46213</v>
      </c>
      <c r="C74" s="6418" t="str">
        <v>Friday</v>
      </c>
      <c r="D74" s="6419" t="s">
        <v>6783</v>
      </c>
      <c r="E74" s="6419">
        <f t="shared" si="54"/>
      </c>
      <c r="F74" s="6422" t="s">
        <v>6835</v>
      </c>
      <c r="G74" s="6466"/>
      <c r="H74" s="6422" t="s">
        <v>6769</v>
      </c>
      <c r="I74" s="6419" t="s">
        <v>6770</v>
      </c>
      <c r="J74" s="6467"/>
      <c r="K74" s="6408"/>
      <c r="L74" s="6408"/>
      <c r="M74" s="6408"/>
      <c r="N74" s="6408"/>
      <c r="O74" s="6408"/>
      <c r="P74" s="6408"/>
      <c r="Q74" s="6408"/>
      <c r="R74" s="6408"/>
      <c r="S74" s="6408"/>
      <c r="T74" s="6408"/>
      <c r="U74" s="6410"/>
      <c r="V74" s="6410"/>
      <c r="W74" s="6410"/>
      <c r="X74" s="6410"/>
      <c r="Y74" s="6410"/>
    </row>
    <row r="75">
      <c r="A75" s="6465" t="s">
        <v>6832</v>
      </c>
      <c r="B75" s="6418">
        <v>46210</v>
      </c>
      <c r="C75" s="6418" t="str">
        <v>Tuesday</v>
      </c>
      <c r="D75" s="6419" t="s">
        <v>6841</v>
      </c>
      <c r="E75" s="6419">
        <f t="shared" si="54"/>
      </c>
      <c r="F75" s="6422" t="s">
        <v>6842</v>
      </c>
      <c r="G75" s="6466"/>
      <c r="H75" s="6422" t="s">
        <v>6769</v>
      </c>
      <c r="I75" s="6419" t="s">
        <v>6770</v>
      </c>
      <c r="J75" s="6467"/>
      <c r="K75" s="6408"/>
      <c r="L75" s="6408"/>
      <c r="M75" s="6408"/>
      <c r="N75" s="6408"/>
      <c r="O75" s="6408"/>
      <c r="P75" s="6408"/>
      <c r="Q75" s="6408"/>
      <c r="R75" s="6408"/>
      <c r="S75" s="6408"/>
      <c r="T75" s="6408"/>
      <c r="U75" s="6410"/>
      <c r="V75" s="6410"/>
      <c r="W75" s="6410"/>
      <c r="X75" s="6410"/>
      <c r="Y75" s="6410"/>
    </row>
    <row r="76">
      <c r="A76" s="6465" t="s">
        <v>6832</v>
      </c>
      <c r="B76" s="6418">
        <v>46211</v>
      </c>
      <c r="C76" s="6418" t="str">
        <v>Wednesday</v>
      </c>
      <c r="D76" s="6419" t="s">
        <v>6841</v>
      </c>
      <c r="E76" s="6419">
        <f t="shared" si="54"/>
      </c>
      <c r="F76" s="6422" t="s">
        <v>6842</v>
      </c>
      <c r="G76" s="6466"/>
      <c r="H76" s="6422" t="s">
        <v>6769</v>
      </c>
      <c r="I76" s="6419" t="s">
        <v>6770</v>
      </c>
      <c r="J76" s="6467"/>
      <c r="K76" s="6408"/>
      <c r="L76" s="6408"/>
      <c r="M76" s="6408"/>
      <c r="N76" s="6408"/>
      <c r="O76" s="6408"/>
      <c r="P76" s="6408"/>
      <c r="Q76" s="6408"/>
      <c r="R76" s="6408"/>
      <c r="S76" s="6408"/>
      <c r="T76" s="6408"/>
      <c r="U76" s="6410"/>
      <c r="V76" s="6410"/>
      <c r="W76" s="6410"/>
      <c r="X76" s="6410"/>
      <c r="Y76" s="6410"/>
    </row>
    <row r="77">
      <c r="A77" s="6465" t="s">
        <v>6832</v>
      </c>
      <c r="B77" s="6418">
        <v>46212</v>
      </c>
      <c r="C77" s="6418" t="str">
        <v>Thursday</v>
      </c>
      <c r="D77" s="6419" t="s">
        <v>6843</v>
      </c>
      <c r="E77" s="6419">
        <f t="shared" si="54"/>
      </c>
      <c r="F77" s="6422" t="s">
        <v>6842</v>
      </c>
      <c r="G77" s="6466"/>
      <c r="H77" s="6422" t="s">
        <v>6769</v>
      </c>
      <c r="I77" s="6419" t="s">
        <v>6770</v>
      </c>
      <c r="J77" s="6467"/>
      <c r="K77" s="6408"/>
      <c r="L77" s="6408"/>
      <c r="M77" s="6408"/>
      <c r="N77" s="6408"/>
      <c r="O77" s="6408"/>
      <c r="P77" s="6408"/>
      <c r="Q77" s="6408"/>
      <c r="R77" s="6408"/>
      <c r="S77" s="6408"/>
      <c r="T77" s="6408"/>
      <c r="U77" s="6410"/>
      <c r="V77" s="6410"/>
      <c r="W77" s="6410"/>
      <c r="X77" s="6410"/>
      <c r="Y77" s="6410"/>
    </row>
    <row r="78">
      <c r="A78" s="6465" t="s">
        <v>6832</v>
      </c>
      <c r="B78" s="6418">
        <v>46213</v>
      </c>
      <c r="C78" s="6418" t="str">
        <v>Friday</v>
      </c>
      <c r="D78" s="6419" t="s">
        <v>6843</v>
      </c>
      <c r="E78" s="6419">
        <f t="shared" si="54"/>
      </c>
      <c r="F78" s="6422" t="s">
        <v>6842</v>
      </c>
      <c r="G78" s="6466"/>
      <c r="H78" s="6422" t="s">
        <v>6769</v>
      </c>
      <c r="I78" s="6419" t="s">
        <v>6770</v>
      </c>
      <c r="J78" s="6467"/>
      <c r="K78" s="6408"/>
      <c r="L78" s="6408"/>
      <c r="M78" s="6408"/>
      <c r="N78" s="6408"/>
      <c r="O78" s="6408"/>
      <c r="P78" s="6408"/>
      <c r="Q78" s="6408"/>
      <c r="R78" s="6408"/>
      <c r="S78" s="6408"/>
      <c r="T78" s="6408"/>
      <c r="U78" s="6410"/>
      <c r="V78" s="6410"/>
      <c r="W78" s="6410"/>
      <c r="X78" s="6410"/>
      <c r="Y78" s="6410"/>
    </row>
    <row r="79">
      <c r="A79" s="6465" t="s">
        <v>6832</v>
      </c>
      <c r="B79" s="6418">
        <v>46214</v>
      </c>
      <c r="C79" s="6418" t="str">
        <v>Saturday</v>
      </c>
      <c r="D79" s="6419" t="s">
        <v>6844</v>
      </c>
      <c r="E79" s="6419">
        <f t="shared" si="54"/>
      </c>
      <c r="F79" s="6422" t="s">
        <v>6833</v>
      </c>
      <c r="G79" s="6466" t="s">
        <v>6845</v>
      </c>
      <c r="H79" s="6422" t="s">
        <v>6769</v>
      </c>
      <c r="I79" s="6419" t="s">
        <v>6770</v>
      </c>
      <c r="J79" s="6467"/>
      <c r="K79" s="6408"/>
      <c r="L79" s="6408"/>
      <c r="M79" s="6408"/>
      <c r="N79" s="6408"/>
      <c r="O79" s="6408"/>
      <c r="P79" s="6408"/>
      <c r="Q79" s="6408"/>
      <c r="R79" s="6408"/>
      <c r="S79" s="6408"/>
      <c r="T79" s="6408"/>
      <c r="U79" s="6410"/>
      <c r="V79" s="6410"/>
      <c r="W79" s="6410"/>
      <c r="X79" s="6410"/>
      <c r="Y79" s="6410"/>
    </row>
    <row r="80">
      <c r="A80" s="6472" t="s">
        <v>6846</v>
      </c>
      <c r="B80" s="6473">
        <v>46211</v>
      </c>
      <c r="C80" s="6473" t="str">
        <v>Wednesday</v>
      </c>
      <c r="D80" s="6447" t="s">
        <v>6767</v>
      </c>
      <c r="E80" s="6447">
        <f t="shared" si="54"/>
      </c>
      <c r="F80" s="6447" t="s">
        <v>6847</v>
      </c>
      <c r="G80" s="6474" t="s">
        <v>6831</v>
      </c>
      <c r="H80" s="6447" t="s">
        <v>6769</v>
      </c>
      <c r="I80" s="6447" t="s">
        <v>6770</v>
      </c>
      <c r="J80" s="6475"/>
      <c r="K80" s="6476"/>
      <c r="L80" s="6476"/>
      <c r="M80" s="6476"/>
      <c r="N80" s="6476"/>
      <c r="O80" s="6476"/>
      <c r="P80" s="6476"/>
      <c r="Q80" s="6476"/>
      <c r="R80" s="6476"/>
      <c r="S80" s="6476"/>
      <c r="T80" s="6476"/>
      <c r="U80" s="6477"/>
      <c r="V80" s="6477"/>
      <c r="W80" s="6477"/>
      <c r="X80" s="6477"/>
      <c r="Y80" s="6477"/>
    </row>
    <row r="81">
      <c r="A81" s="6465" t="s">
        <v>6846</v>
      </c>
      <c r="B81" s="6418">
        <v>46211</v>
      </c>
      <c r="C81" s="6418" t="str">
        <v>Wednesday</v>
      </c>
      <c r="D81" s="6419" t="s">
        <v>6848</v>
      </c>
      <c r="E81" s="6419">
        <f t="shared" si="54"/>
      </c>
      <c r="F81" s="6422" t="s">
        <v>6849</v>
      </c>
      <c r="G81" s="6466" t="s">
        <v>6831</v>
      </c>
      <c r="H81" s="6422" t="s">
        <v>6769</v>
      </c>
      <c r="I81" s="6419" t="s">
        <v>6770</v>
      </c>
      <c r="J81" s="6467"/>
      <c r="K81" s="6408"/>
      <c r="L81" s="6408"/>
      <c r="M81" s="6408"/>
      <c r="N81" s="6408"/>
      <c r="O81" s="6408"/>
      <c r="P81" s="6408"/>
      <c r="Q81" s="6408"/>
      <c r="R81" s="6408"/>
      <c r="S81" s="6408"/>
      <c r="T81" s="6408"/>
      <c r="U81" s="6410"/>
      <c r="V81" s="6410"/>
      <c r="W81" s="6410"/>
      <c r="X81" s="6410"/>
      <c r="Y81" s="6410"/>
    </row>
    <row r="82">
      <c r="A82" s="6465" t="s">
        <v>6846</v>
      </c>
      <c r="B82" s="6418">
        <v>46212</v>
      </c>
      <c r="C82" s="6418" t="str">
        <v>Thursday</v>
      </c>
      <c r="D82" s="6419" t="s">
        <v>6836</v>
      </c>
      <c r="E82" s="6419">
        <f t="shared" si="54"/>
      </c>
      <c r="F82" s="6422" t="s">
        <v>6772</v>
      </c>
      <c r="G82" s="6466" t="s">
        <v>6831</v>
      </c>
      <c r="H82" s="6422" t="s">
        <v>6769</v>
      </c>
      <c r="I82" s="6419" t="s">
        <v>6770</v>
      </c>
      <c r="J82" s="6467"/>
      <c r="K82" s="6408"/>
      <c r="L82" s="6408"/>
      <c r="M82" s="6408"/>
      <c r="N82" s="6408"/>
      <c r="O82" s="6408"/>
      <c r="P82" s="6408"/>
      <c r="Q82" s="6408"/>
      <c r="R82" s="6408"/>
      <c r="S82" s="6408"/>
      <c r="T82" s="6408"/>
      <c r="U82" s="6410"/>
      <c r="V82" s="6410"/>
      <c r="W82" s="6410"/>
      <c r="X82" s="6410"/>
      <c r="Y82" s="6410"/>
    </row>
    <row r="83">
      <c r="A83" s="6465" t="s">
        <v>6846</v>
      </c>
      <c r="B83" s="6418">
        <v>46212</v>
      </c>
      <c r="C83" s="6418" t="str">
        <v>Thursday</v>
      </c>
      <c r="D83" s="6419" t="s">
        <v>6850</v>
      </c>
      <c r="E83" s="6419">
        <f t="shared" si="54"/>
      </c>
      <c r="F83" s="6422" t="s">
        <v>6851</v>
      </c>
      <c r="G83" s="6466" t="s">
        <v>6831</v>
      </c>
      <c r="H83" s="6422" t="s">
        <v>6769</v>
      </c>
      <c r="I83" s="6419" t="s">
        <v>6770</v>
      </c>
      <c r="J83" s="6467"/>
      <c r="K83" s="6408"/>
      <c r="L83" s="6408"/>
      <c r="M83" s="6408"/>
      <c r="N83" s="6408"/>
      <c r="O83" s="6408"/>
      <c r="P83" s="6408"/>
      <c r="Q83" s="6408"/>
      <c r="R83" s="6408"/>
      <c r="S83" s="6408"/>
      <c r="T83" s="6408"/>
      <c r="U83" s="6410"/>
      <c r="V83" s="6410"/>
      <c r="W83" s="6410"/>
      <c r="X83" s="6410"/>
      <c r="Y83" s="6410"/>
    </row>
    <row r="84">
      <c r="A84" s="6465" t="s">
        <v>6846</v>
      </c>
      <c r="B84" s="6418">
        <v>46212</v>
      </c>
      <c r="C84" s="6418" t="str">
        <v>Thursday</v>
      </c>
      <c r="D84" s="6419" t="s">
        <v>6829</v>
      </c>
      <c r="E84" s="6419">
        <f t="shared" si="54"/>
      </c>
      <c r="F84" s="6422" t="s">
        <v>6847</v>
      </c>
      <c r="G84" s="6466" t="s">
        <v>6831</v>
      </c>
      <c r="H84" s="6422" t="s">
        <v>6769</v>
      </c>
      <c r="I84" s="6419" t="s">
        <v>6770</v>
      </c>
      <c r="J84" s="6467"/>
      <c r="K84" s="6408"/>
      <c r="L84" s="6408"/>
      <c r="M84" s="6408"/>
      <c r="N84" s="6408"/>
      <c r="O84" s="6408"/>
      <c r="P84" s="6408"/>
      <c r="Q84" s="6408"/>
      <c r="R84" s="6408"/>
      <c r="S84" s="6408"/>
      <c r="T84" s="6408"/>
      <c r="U84" s="6410"/>
      <c r="V84" s="6410"/>
      <c r="W84" s="6410"/>
      <c r="X84" s="6410"/>
      <c r="Y84" s="6410"/>
    </row>
    <row r="85">
      <c r="A85" s="6465" t="s">
        <v>6846</v>
      </c>
      <c r="B85" s="6418">
        <v>46213</v>
      </c>
      <c r="C85" s="6418" t="str">
        <v>Friday</v>
      </c>
      <c r="D85" s="6419" t="s">
        <v>6852</v>
      </c>
      <c r="E85" s="6419">
        <f t="shared" si="54"/>
      </c>
      <c r="F85" s="6422" t="s">
        <v>6772</v>
      </c>
      <c r="G85" s="6466" t="s">
        <v>6831</v>
      </c>
      <c r="H85" s="6422" t="s">
        <v>6769</v>
      </c>
      <c r="I85" s="6419" t="s">
        <v>6770</v>
      </c>
      <c r="J85" s="6467"/>
      <c r="K85" s="6408"/>
      <c r="L85" s="6408"/>
      <c r="M85" s="6408"/>
      <c r="N85" s="6408"/>
      <c r="O85" s="6408"/>
      <c r="P85" s="6408"/>
      <c r="Q85" s="6408"/>
      <c r="R85" s="6408"/>
      <c r="S85" s="6408"/>
      <c r="T85" s="6408"/>
      <c r="U85" s="6410"/>
      <c r="V85" s="6410"/>
      <c r="W85" s="6410"/>
      <c r="X85" s="6410"/>
      <c r="Y85" s="6410"/>
    </row>
    <row r="86">
      <c r="A86" s="6465" t="s">
        <v>6846</v>
      </c>
      <c r="B86" s="6418">
        <v>46213</v>
      </c>
      <c r="C86" s="6418" t="str">
        <v>Friday</v>
      </c>
      <c r="D86" s="6419" t="s">
        <v>6852</v>
      </c>
      <c r="E86" s="6419">
        <f t="shared" si="54"/>
      </c>
      <c r="F86" s="6422" t="s">
        <v>6851</v>
      </c>
      <c r="G86" s="6466" t="s">
        <v>6831</v>
      </c>
      <c r="H86" s="6422" t="s">
        <v>6769</v>
      </c>
      <c r="I86" s="6419" t="s">
        <v>6770</v>
      </c>
      <c r="J86" s="6467"/>
      <c r="K86" s="6408"/>
      <c r="L86" s="6408"/>
      <c r="M86" s="6408"/>
      <c r="N86" s="6408"/>
      <c r="O86" s="6408"/>
      <c r="P86" s="6408"/>
      <c r="Q86" s="6408"/>
      <c r="R86" s="6408"/>
      <c r="S86" s="6408"/>
      <c r="T86" s="6408"/>
      <c r="U86" s="6410"/>
      <c r="V86" s="6410"/>
      <c r="W86" s="6410"/>
      <c r="X86" s="6410"/>
      <c r="Y86" s="6410"/>
    </row>
    <row r="87">
      <c r="A87" s="6465"/>
      <c r="B87" s="6418"/>
      <c r="C87" s="6418"/>
      <c r="D87" s="6419"/>
      <c r="E87" s="6419"/>
      <c r="F87" s="6422"/>
      <c r="G87" s="6466"/>
      <c r="H87" s="6422"/>
      <c r="I87" s="6419"/>
      <c r="J87" s="6467"/>
      <c r="K87" s="6408"/>
      <c r="L87" s="6408"/>
      <c r="M87" s="6408"/>
      <c r="N87" s="6408"/>
      <c r="O87" s="6408"/>
      <c r="P87" s="6408"/>
      <c r="Q87" s="6408"/>
      <c r="R87" s="6408"/>
      <c r="S87" s="6408"/>
      <c r="T87" s="6408"/>
      <c r="U87" s="6410"/>
      <c r="V87" s="6410"/>
      <c r="W87" s="6410"/>
      <c r="X87" s="6410"/>
      <c r="Y87" s="6410"/>
    </row>
    <row r="88">
      <c r="A88" s="6410"/>
      <c r="B88" s="6410"/>
      <c r="C88" s="6410"/>
      <c r="D88" s="6410"/>
      <c r="E88" s="6410"/>
      <c r="F88" s="6410"/>
      <c r="G88" s="6410"/>
      <c r="H88" s="6410"/>
      <c r="I88" s="6410"/>
      <c r="J88" s="6410"/>
      <c r="K88" s="6410"/>
      <c r="L88" s="6410"/>
      <c r="M88" s="6410"/>
      <c r="N88" s="6410"/>
      <c r="O88" s="6410"/>
      <c r="P88" s="6410"/>
      <c r="Q88" s="6410"/>
      <c r="R88" s="6410"/>
      <c r="S88" s="6410"/>
      <c r="T88" s="6410"/>
      <c r="U88" s="6410"/>
      <c r="V88" s="6410"/>
      <c r="W88" s="6410"/>
      <c r="X88" s="6410"/>
      <c r="Y88" s="6410"/>
    </row>
    <row r="89">
      <c r="A89" s="6478" t="s">
        <v>6853</v>
      </c>
      <c r="B89" s="6478"/>
      <c r="C89" s="6478"/>
      <c r="D89" s="6478"/>
      <c r="E89" s="6478"/>
      <c r="F89" s="6478"/>
      <c r="G89" s="6478"/>
      <c r="H89" s="6478"/>
      <c r="I89" s="6478"/>
      <c r="J89" s="6478"/>
      <c r="K89" s="6435"/>
      <c r="L89" s="6435"/>
      <c r="M89" s="6435"/>
      <c r="N89" s="6435"/>
      <c r="O89" s="6408"/>
      <c r="P89" s="6408"/>
      <c r="Q89" s="6408"/>
      <c r="R89" s="6408"/>
      <c r="S89" s="6408"/>
      <c r="T89" s="6408"/>
      <c r="U89" s="6410"/>
      <c r="V89" s="6410"/>
      <c r="W89" s="6410"/>
      <c r="X89" s="6410"/>
      <c r="Y89" s="6410"/>
    </row>
    <row r="90">
      <c r="A90" s="6479" t="s">
        <v>6757</v>
      </c>
      <c r="B90" s="6480" t="s">
        <v>6758</v>
      </c>
      <c r="C90" s="6480"/>
      <c r="D90" s="6481" t="s">
        <v>6759</v>
      </c>
      <c r="E90" s="6482" t="s">
        <v>6760</v>
      </c>
      <c r="F90" s="6482" t="s">
        <v>6761</v>
      </c>
      <c r="G90" s="6483" t="s">
        <v>6777</v>
      </c>
      <c r="H90" s="6484" t="s">
        <v>6763</v>
      </c>
      <c r="I90" s="6484" t="s">
        <v>6764</v>
      </c>
      <c r="J90" s="6485" t="s">
        <v>6765</v>
      </c>
      <c r="K90" s="6435"/>
      <c r="L90" s="6435"/>
      <c r="M90" s="6435"/>
      <c r="N90" s="6435"/>
      <c r="O90" s="6408"/>
      <c r="P90" s="6408"/>
      <c r="Q90" s="6408"/>
      <c r="R90" s="6408"/>
      <c r="S90" s="6408"/>
      <c r="T90" s="6408"/>
      <c r="U90" s="6410"/>
      <c r="V90" s="6410"/>
      <c r="W90" s="6410"/>
      <c r="X90" s="6410"/>
      <c r="Y90" s="6410"/>
    </row>
    <row r="91">
      <c r="A91" s="6418" t="s">
        <v>6853</v>
      </c>
      <c r="B91" s="6418">
        <v>46209</v>
      </c>
      <c r="C91" s="6418" t="str">
        <v>Monday</v>
      </c>
      <c r="D91" s="6422" t="s">
        <v>6767</v>
      </c>
      <c r="E91" s="6422">
        <f t="shared" ref="E91:E105" si="55">24*MOD(TIMEVALUE(TRIM(MID(D91,FIND("-",D91)+1,LEN(D91)))) - TIMEVALUE(TRIM(LEFT(D91,FIND("-",D91)-1))),1)</f>
      </c>
      <c r="F91" s="6422" t="s">
        <v>6849</v>
      </c>
      <c r="G91" s="6486" t="s">
        <v>6854</v>
      </c>
      <c r="H91" s="6422" t="s">
        <v>6810</v>
      </c>
      <c r="I91" s="6419" t="s">
        <v>6770</v>
      </c>
      <c r="J91" s="6432"/>
      <c r="K91" s="6435"/>
      <c r="L91" s="6435"/>
      <c r="M91" s="6435"/>
      <c r="N91" s="6435"/>
      <c r="O91" s="6408"/>
      <c r="P91" s="6408"/>
      <c r="Q91" s="6408"/>
      <c r="R91" s="6408"/>
      <c r="S91" s="6408"/>
      <c r="T91" s="6408"/>
      <c r="U91" s="6410"/>
      <c r="V91" s="6410"/>
      <c r="W91" s="6410"/>
      <c r="X91" s="6410"/>
      <c r="Y91" s="6410"/>
    </row>
    <row r="92">
      <c r="A92" s="6418" t="s">
        <v>6853</v>
      </c>
      <c r="B92" s="6418">
        <v>46210</v>
      </c>
      <c r="C92" s="6418" t="str">
        <v>Tuesday</v>
      </c>
      <c r="D92" s="6422" t="s">
        <v>6855</v>
      </c>
      <c r="E92" s="6422">
        <f t="shared" si="55"/>
      </c>
      <c r="F92" s="6422" t="s">
        <v>6856</v>
      </c>
      <c r="G92" s="6486" t="s">
        <v>6854</v>
      </c>
      <c r="H92" s="6422" t="s">
        <v>6810</v>
      </c>
      <c r="I92" s="6419" t="s">
        <v>6857</v>
      </c>
      <c r="J92" s="6432"/>
      <c r="K92" s="6435"/>
      <c r="L92" s="6435"/>
      <c r="M92" s="6435"/>
      <c r="N92" s="6435"/>
      <c r="O92" s="6408"/>
      <c r="P92" s="6408"/>
      <c r="Q92" s="6408"/>
      <c r="R92" s="6408"/>
      <c r="S92" s="6408"/>
      <c r="T92" s="6408"/>
      <c r="U92" s="6410"/>
      <c r="V92" s="6410"/>
      <c r="W92" s="6410"/>
      <c r="X92" s="6410"/>
      <c r="Y92" s="6410"/>
    </row>
    <row r="93">
      <c r="A93" s="6418" t="s">
        <v>6853</v>
      </c>
      <c r="B93" s="6418">
        <v>46210</v>
      </c>
      <c r="C93" s="6418" t="str">
        <v>Tuesday</v>
      </c>
      <c r="D93" s="6422" t="s">
        <v>6858</v>
      </c>
      <c r="E93" s="6422">
        <f t="shared" si="55"/>
      </c>
      <c r="F93" s="6422" t="s">
        <v>6849</v>
      </c>
      <c r="G93" s="6486" t="s">
        <v>6854</v>
      </c>
      <c r="H93" s="6422" t="s">
        <v>6810</v>
      </c>
      <c r="I93" s="6419" t="s">
        <v>6770</v>
      </c>
      <c r="J93" s="6432"/>
      <c r="K93" s="6435"/>
      <c r="L93" s="6435"/>
      <c r="M93" s="6435"/>
      <c r="N93" s="6435"/>
      <c r="O93" s="6408"/>
      <c r="P93" s="6408"/>
      <c r="Q93" s="6408"/>
      <c r="R93" s="6408"/>
      <c r="S93" s="6408"/>
      <c r="T93" s="6408"/>
      <c r="U93" s="6410"/>
      <c r="V93" s="6410"/>
      <c r="W93" s="6410"/>
      <c r="X93" s="6410"/>
      <c r="Y93" s="6410"/>
    </row>
    <row r="94">
      <c r="A94" s="6418" t="s">
        <v>6853</v>
      </c>
      <c r="B94" s="6418">
        <v>46211</v>
      </c>
      <c r="C94" s="6418" t="str">
        <v>Wednesday</v>
      </c>
      <c r="D94" s="6422" t="s">
        <v>6767</v>
      </c>
      <c r="E94" s="6422">
        <f t="shared" si="55"/>
      </c>
      <c r="F94" s="6422" t="s">
        <v>6849</v>
      </c>
      <c r="G94" s="6486" t="s">
        <v>6859</v>
      </c>
      <c r="H94" s="6422" t="s">
        <v>6810</v>
      </c>
      <c r="I94" s="6419" t="s">
        <v>6770</v>
      </c>
      <c r="J94" s="6432" t="s">
        <v>6860</v>
      </c>
      <c r="K94" s="6435"/>
      <c r="L94" s="6435"/>
      <c r="M94" s="6435"/>
      <c r="N94" s="6435"/>
      <c r="O94" s="6408"/>
      <c r="P94" s="6408"/>
      <c r="Q94" s="6408"/>
      <c r="R94" s="6408"/>
      <c r="S94" s="6408"/>
      <c r="T94" s="6408"/>
      <c r="U94" s="6410"/>
      <c r="V94" s="6410"/>
      <c r="W94" s="6410"/>
      <c r="X94" s="6410"/>
      <c r="Y94" s="6410"/>
    </row>
    <row r="95">
      <c r="A95" s="6418" t="s">
        <v>6853</v>
      </c>
      <c r="B95" s="6418">
        <v>46211</v>
      </c>
      <c r="C95" s="6418" t="str">
        <v>Wednesday</v>
      </c>
      <c r="D95" s="6422" t="s">
        <v>6861</v>
      </c>
      <c r="E95" s="6422">
        <f t="shared" si="55"/>
      </c>
      <c r="F95" s="6422" t="s">
        <v>6856</v>
      </c>
      <c r="G95" s="6486" t="s">
        <v>6859</v>
      </c>
      <c r="H95" s="6422" t="s">
        <v>6810</v>
      </c>
      <c r="I95" s="6419" t="s">
        <v>6857</v>
      </c>
      <c r="J95" s="6432" t="s">
        <v>6862</v>
      </c>
      <c r="K95" s="6435"/>
      <c r="L95" s="6435"/>
      <c r="M95" s="6435"/>
      <c r="N95" s="6435"/>
      <c r="O95" s="6408"/>
      <c r="P95" s="6408"/>
      <c r="Q95" s="6408"/>
      <c r="R95" s="6408"/>
      <c r="S95" s="6408"/>
      <c r="T95" s="6408"/>
      <c r="U95" s="6410"/>
      <c r="V95" s="6410"/>
      <c r="W95" s="6410"/>
      <c r="X95" s="6410"/>
      <c r="Y95" s="6410"/>
    </row>
    <row r="96">
      <c r="A96" s="6418" t="s">
        <v>6853</v>
      </c>
      <c r="B96" s="6418">
        <v>46212</v>
      </c>
      <c r="C96" s="6418" t="str">
        <v>Thursday</v>
      </c>
      <c r="D96" s="6422" t="s">
        <v>6863</v>
      </c>
      <c r="E96" s="6422">
        <f t="shared" si="55"/>
      </c>
      <c r="F96" s="6422" t="s">
        <v>6849</v>
      </c>
      <c r="G96" s="6486" t="s">
        <v>6859</v>
      </c>
      <c r="H96" s="6422" t="s">
        <v>6810</v>
      </c>
      <c r="I96" s="6419" t="s">
        <v>6770</v>
      </c>
      <c r="J96" s="6432" t="s">
        <v>6860</v>
      </c>
      <c r="K96" s="6435"/>
      <c r="L96" s="6435"/>
      <c r="M96" s="6435"/>
      <c r="N96" s="6435"/>
      <c r="O96" s="6408"/>
      <c r="P96" s="6408"/>
      <c r="Q96" s="6408"/>
      <c r="R96" s="6408"/>
      <c r="S96" s="6408"/>
      <c r="T96" s="6408"/>
      <c r="U96" s="6410"/>
      <c r="V96" s="6410"/>
      <c r="W96" s="6410"/>
      <c r="X96" s="6410"/>
      <c r="Y96" s="6410"/>
    </row>
    <row r="97">
      <c r="A97" s="6418" t="s">
        <v>6864</v>
      </c>
      <c r="B97" s="6418">
        <v>46209</v>
      </c>
      <c r="C97" s="6418" t="str">
        <v>Monday</v>
      </c>
      <c r="D97" s="6422" t="s">
        <v>6865</v>
      </c>
      <c r="E97" s="6422">
        <f t="shared" si="55"/>
      </c>
      <c r="F97" s="6422" t="s">
        <v>6856</v>
      </c>
      <c r="G97" s="6486"/>
      <c r="H97" s="6422" t="s">
        <v>6810</v>
      </c>
      <c r="I97" s="6419" t="s">
        <v>6857</v>
      </c>
      <c r="J97" s="6432"/>
      <c r="K97" s="6435"/>
      <c r="L97" s="6435"/>
      <c r="M97" s="6435"/>
      <c r="N97" s="6435"/>
      <c r="O97" s="6408"/>
      <c r="P97" s="6408"/>
      <c r="Q97" s="6408"/>
      <c r="R97" s="6408"/>
      <c r="S97" s="6408"/>
      <c r="T97" s="6408"/>
      <c r="U97" s="6410"/>
      <c r="V97" s="6410"/>
      <c r="W97" s="6410"/>
      <c r="X97" s="6410"/>
      <c r="Y97" s="6410"/>
    </row>
    <row r="98">
      <c r="A98" s="6418" t="s">
        <v>6866</v>
      </c>
      <c r="B98" s="6418">
        <v>46209</v>
      </c>
      <c r="C98" s="6418" t="str">
        <v>Monday</v>
      </c>
      <c r="D98" s="6422" t="s">
        <v>6867</v>
      </c>
      <c r="E98" s="6422">
        <f t="shared" si="55"/>
      </c>
      <c r="F98" s="6422" t="s">
        <v>6868</v>
      </c>
      <c r="G98" s="6486" t="s">
        <v>6831</v>
      </c>
      <c r="H98" s="6422" t="s">
        <v>6810</v>
      </c>
      <c r="I98" s="6419" t="s">
        <v>6770</v>
      </c>
      <c r="J98" s="6432" t="s">
        <v>6869</v>
      </c>
      <c r="K98" s="6435"/>
      <c r="L98" s="6435"/>
      <c r="M98" s="6435"/>
      <c r="N98" s="6435"/>
      <c r="O98" s="6408"/>
      <c r="P98" s="6408"/>
      <c r="Q98" s="6408"/>
      <c r="R98" s="6408"/>
      <c r="S98" s="6408"/>
      <c r="T98" s="6408"/>
      <c r="U98" s="6410"/>
      <c r="V98" s="6410"/>
      <c r="W98" s="6410"/>
      <c r="X98" s="6410"/>
      <c r="Y98" s="6410"/>
    </row>
    <row r="99">
      <c r="A99" s="6418" t="s">
        <v>6866</v>
      </c>
      <c r="B99" s="6418">
        <v>46209</v>
      </c>
      <c r="C99" s="6418" t="str">
        <v>Monday</v>
      </c>
      <c r="D99" s="6422" t="s">
        <v>6767</v>
      </c>
      <c r="E99" s="6422">
        <f t="shared" si="55"/>
      </c>
      <c r="F99" s="6422" t="s">
        <v>6870</v>
      </c>
      <c r="G99" s="6486"/>
      <c r="H99" s="6422" t="s">
        <v>6810</v>
      </c>
      <c r="I99" s="6419" t="s">
        <v>6770</v>
      </c>
      <c r="J99" s="6432"/>
      <c r="K99" s="6435"/>
      <c r="L99" s="6435"/>
      <c r="M99" s="6435"/>
      <c r="N99" s="6435"/>
      <c r="O99" s="6408"/>
      <c r="P99" s="6408"/>
      <c r="Q99" s="6408"/>
      <c r="R99" s="6408"/>
      <c r="S99" s="6408"/>
      <c r="T99" s="6408"/>
      <c r="U99" s="6410"/>
      <c r="V99" s="6410"/>
      <c r="W99" s="6410"/>
      <c r="X99" s="6410"/>
      <c r="Y99" s="6410"/>
    </row>
    <row r="100">
      <c r="A100" s="6418" t="s">
        <v>6866</v>
      </c>
      <c r="B100" s="6418">
        <v>46210</v>
      </c>
      <c r="C100" s="6418" t="str">
        <v>Tuesday</v>
      </c>
      <c r="D100" s="6422" t="s">
        <v>6829</v>
      </c>
      <c r="E100" s="6422">
        <f t="shared" si="55"/>
      </c>
      <c r="F100" s="6422" t="s">
        <v>6870</v>
      </c>
      <c r="G100" s="6486"/>
      <c r="H100" s="6422" t="s">
        <v>6810</v>
      </c>
      <c r="I100" s="6419" t="s">
        <v>6770</v>
      </c>
      <c r="J100" s="6432"/>
      <c r="K100" s="6435"/>
      <c r="L100" s="6435"/>
      <c r="M100" s="6435"/>
      <c r="N100" s="6435"/>
      <c r="O100" s="6408"/>
      <c r="P100" s="6408"/>
      <c r="Q100" s="6408"/>
      <c r="R100" s="6408"/>
      <c r="S100" s="6408"/>
      <c r="T100" s="6408"/>
      <c r="U100" s="6410"/>
      <c r="V100" s="6410"/>
      <c r="W100" s="6410"/>
      <c r="X100" s="6410"/>
      <c r="Y100" s="6410"/>
    </row>
    <row r="101">
      <c r="A101" s="6418" t="s">
        <v>6866</v>
      </c>
      <c r="B101" s="6418">
        <v>46210</v>
      </c>
      <c r="C101" s="6418" t="str">
        <v>Tuesday</v>
      </c>
      <c r="D101" s="6422" t="s">
        <v>6829</v>
      </c>
      <c r="E101" s="6422">
        <f t="shared" si="55"/>
      </c>
      <c r="F101" s="6422" t="s">
        <v>6868</v>
      </c>
      <c r="G101" s="6486"/>
      <c r="H101" s="6422" t="s">
        <v>6810</v>
      </c>
      <c r="I101" s="6419" t="s">
        <v>6770</v>
      </c>
      <c r="J101" s="6432"/>
      <c r="K101" s="6435"/>
      <c r="L101" s="6435"/>
      <c r="M101" s="6435"/>
      <c r="N101" s="6435"/>
      <c r="O101" s="6408"/>
      <c r="P101" s="6408"/>
      <c r="Q101" s="6408"/>
      <c r="R101" s="6408"/>
      <c r="S101" s="6408"/>
      <c r="T101" s="6408"/>
      <c r="U101" s="6410"/>
      <c r="V101" s="6410"/>
      <c r="W101" s="6410"/>
      <c r="X101" s="6410"/>
      <c r="Y101" s="6410"/>
    </row>
    <row r="102">
      <c r="A102" s="6418" t="s">
        <v>6866</v>
      </c>
      <c r="B102" s="6418">
        <v>46211</v>
      </c>
      <c r="C102" s="6418" t="str">
        <v>Wednesday</v>
      </c>
      <c r="D102" s="6422" t="s">
        <v>6829</v>
      </c>
      <c r="E102" s="6422">
        <f t="shared" si="55"/>
      </c>
      <c r="F102" s="6422" t="s">
        <v>6870</v>
      </c>
      <c r="G102" s="6486"/>
      <c r="H102" s="6422" t="s">
        <v>6810</v>
      </c>
      <c r="I102" s="6419" t="s">
        <v>6770</v>
      </c>
      <c r="J102" s="6432"/>
      <c r="K102" s="6435"/>
      <c r="L102" s="6435"/>
      <c r="M102" s="6435"/>
      <c r="N102" s="6435"/>
      <c r="O102" s="6408"/>
      <c r="P102" s="6408"/>
      <c r="Q102" s="6408"/>
      <c r="R102" s="6408"/>
      <c r="S102" s="6408"/>
      <c r="T102" s="6408"/>
      <c r="U102" s="6410"/>
      <c r="V102" s="6410"/>
      <c r="W102" s="6410"/>
      <c r="X102" s="6410"/>
      <c r="Y102" s="6410"/>
    </row>
    <row r="103">
      <c r="A103" s="6418" t="s">
        <v>6864</v>
      </c>
      <c r="B103" s="6418">
        <v>46212</v>
      </c>
      <c r="C103" s="6418" t="str">
        <v>Thursday</v>
      </c>
      <c r="D103" s="6422" t="s">
        <v>6863</v>
      </c>
      <c r="E103" s="6422">
        <f t="shared" si="55"/>
      </c>
      <c r="F103" s="6422" t="s">
        <v>6827</v>
      </c>
      <c r="G103" s="6486" t="s">
        <v>6871</v>
      </c>
      <c r="H103" s="6422" t="s">
        <v>6810</v>
      </c>
      <c r="I103" s="6419" t="s">
        <v>6770</v>
      </c>
      <c r="J103" s="6432"/>
      <c r="K103" s="6435"/>
      <c r="L103" s="6435"/>
      <c r="M103" s="6435"/>
      <c r="N103" s="6435"/>
      <c r="O103" s="6408"/>
      <c r="P103" s="6408"/>
      <c r="Q103" s="6408"/>
      <c r="R103" s="6408"/>
      <c r="S103" s="6408"/>
      <c r="T103" s="6408"/>
      <c r="U103" s="6410"/>
      <c r="V103" s="6410"/>
      <c r="W103" s="6410"/>
      <c r="X103" s="6410"/>
      <c r="Y103" s="6410"/>
    </row>
    <row r="104">
      <c r="A104" s="6418" t="s">
        <v>6866</v>
      </c>
      <c r="B104" s="6418">
        <v>46212</v>
      </c>
      <c r="C104" s="6418" t="str">
        <v>Thursday</v>
      </c>
      <c r="D104" s="6422" t="s">
        <v>6863</v>
      </c>
      <c r="E104" s="6422">
        <f t="shared" si="55"/>
      </c>
      <c r="F104" s="6422" t="s">
        <v>6870</v>
      </c>
      <c r="G104" s="6486"/>
      <c r="H104" s="6422" t="s">
        <v>6810</v>
      </c>
      <c r="I104" s="6419" t="s">
        <v>6770</v>
      </c>
      <c r="J104" s="6432" t="s">
        <v>6872</v>
      </c>
      <c r="K104" s="6435"/>
      <c r="L104" s="6435"/>
      <c r="M104" s="6435"/>
      <c r="N104" s="6435"/>
      <c r="O104" s="6408"/>
      <c r="P104" s="6408"/>
      <c r="Q104" s="6408"/>
      <c r="R104" s="6408"/>
      <c r="S104" s="6408"/>
      <c r="T104" s="6408"/>
      <c r="U104" s="6410"/>
      <c r="V104" s="6410"/>
      <c r="W104" s="6410"/>
      <c r="X104" s="6410"/>
      <c r="Y104" s="6410"/>
    </row>
    <row r="105">
      <c r="A105" s="6418" t="s">
        <v>6866</v>
      </c>
      <c r="B105" s="6418">
        <v>46215</v>
      </c>
      <c r="C105" s="6418" t="str">
        <v>Sunday</v>
      </c>
      <c r="D105" s="6422" t="s">
        <v>6873</v>
      </c>
      <c r="E105" s="6422">
        <f t="shared" si="55"/>
      </c>
      <c r="F105" s="6422" t="s">
        <v>6870</v>
      </c>
      <c r="G105" s="6486"/>
      <c r="H105" s="6422" t="s">
        <v>6810</v>
      </c>
      <c r="I105" s="6419" t="s">
        <v>6770</v>
      </c>
      <c r="J105" s="6432"/>
      <c r="K105" s="6435"/>
      <c r="L105" s="6435"/>
      <c r="M105" s="6435"/>
      <c r="N105" s="6435"/>
      <c r="O105" s="6408"/>
      <c r="P105" s="6408"/>
      <c r="Q105" s="6408"/>
      <c r="R105" s="6408"/>
      <c r="S105" s="6408"/>
      <c r="T105" s="6408"/>
      <c r="U105" s="6410"/>
      <c r="V105" s="6410"/>
      <c r="W105" s="6410"/>
      <c r="X105" s="6410"/>
      <c r="Y105" s="6410"/>
    </row>
    <row r="106">
      <c r="A106" s="6410"/>
      <c r="B106" s="6410"/>
      <c r="C106" s="6410"/>
      <c r="D106" s="6410"/>
      <c r="E106" s="6410"/>
      <c r="F106" s="6410"/>
      <c r="G106" s="6410"/>
      <c r="H106" s="6410"/>
      <c r="I106" s="6410"/>
      <c r="J106" s="6410"/>
      <c r="K106" s="6410"/>
      <c r="L106" s="6410"/>
      <c r="M106" s="6410"/>
      <c r="N106" s="6410"/>
      <c r="O106" s="6410"/>
      <c r="P106" s="6410"/>
      <c r="Q106" s="6410"/>
      <c r="R106" s="6410"/>
      <c r="S106" s="6410"/>
      <c r="T106" s="6410"/>
      <c r="U106" s="6410"/>
      <c r="V106" s="6410"/>
      <c r="W106" s="6410"/>
      <c r="X106" s="6410"/>
      <c r="Y106" s="6410"/>
    </row>
    <row r="107">
      <c r="A107" s="6487" t="s">
        <v>6874</v>
      </c>
      <c r="B107" s="6487"/>
      <c r="C107" s="6487"/>
      <c r="D107" s="6487"/>
      <c r="E107" s="6487"/>
      <c r="F107" s="6487"/>
      <c r="G107" s="6487"/>
      <c r="H107" s="6487"/>
      <c r="I107" s="6487"/>
      <c r="J107" s="6487"/>
      <c r="K107" s="6435"/>
      <c r="L107" s="6435"/>
      <c r="M107" s="6435"/>
      <c r="N107" s="6435"/>
      <c r="O107" s="6408"/>
      <c r="P107" s="6408"/>
      <c r="Q107" s="6408"/>
      <c r="R107" s="6408"/>
      <c r="S107" s="6408"/>
      <c r="T107" s="6408"/>
      <c r="U107" s="6409"/>
      <c r="V107" s="6409"/>
      <c r="W107" s="6409"/>
      <c r="X107" s="6409"/>
      <c r="Y107" s="6409"/>
    </row>
    <row r="108">
      <c r="A108" s="6488" t="s">
        <v>6757</v>
      </c>
      <c r="B108" s="6489" t="s">
        <v>6758</v>
      </c>
      <c r="C108" s="6489"/>
      <c r="D108" s="6490" t="s">
        <v>6759</v>
      </c>
      <c r="E108" s="6491" t="s">
        <v>6760</v>
      </c>
      <c r="F108" s="6491" t="s">
        <v>6761</v>
      </c>
      <c r="G108" s="6492" t="s">
        <v>6777</v>
      </c>
      <c r="H108" s="6493" t="s">
        <v>6763</v>
      </c>
      <c r="I108" s="6493" t="s">
        <v>6764</v>
      </c>
      <c r="J108" s="6494" t="s">
        <v>6765</v>
      </c>
      <c r="K108" s="6435"/>
      <c r="L108" s="6435"/>
      <c r="M108" s="6435"/>
      <c r="N108" s="6435"/>
      <c r="O108" s="6408"/>
      <c r="P108" s="6408"/>
      <c r="Q108" s="6408"/>
      <c r="R108" s="6408"/>
      <c r="S108" s="6408"/>
      <c r="T108" s="6408"/>
      <c r="U108" s="6409"/>
      <c r="V108" s="6409"/>
      <c r="W108" s="6409"/>
      <c r="X108" s="6409"/>
      <c r="Y108" s="6409"/>
    </row>
    <row r="109">
      <c r="A109" s="6418" t="s">
        <v>6875</v>
      </c>
      <c r="B109" s="6418">
        <v>46209</v>
      </c>
      <c r="C109" s="6418" t="str">
        <v>Monday</v>
      </c>
      <c r="D109" s="6422" t="s">
        <v>6829</v>
      </c>
      <c r="E109" s="6422">
        <f t="shared" ref="E109:E126" si="56">24*MOD(TIMEVALUE(TRIM(MID(D109,FIND("-",D109)+1,LEN(D109)))) - TIMEVALUE(TRIM(LEFT(D109,FIND("-",D109)-1))),1)</f>
      </c>
      <c r="F109" s="6422" t="s">
        <v>6772</v>
      </c>
      <c r="G109" s="6486" t="s">
        <v>6831</v>
      </c>
      <c r="H109" s="6422" t="s">
        <v>6810</v>
      </c>
      <c r="I109" s="6419" t="s">
        <v>6770</v>
      </c>
      <c r="J109" s="6432"/>
      <c r="K109" s="6435"/>
      <c r="L109" s="6435"/>
      <c r="M109" s="6435"/>
      <c r="N109" s="6435"/>
      <c r="O109" s="6408"/>
      <c r="P109" s="6408"/>
      <c r="Q109" s="6408"/>
      <c r="R109" s="6408"/>
      <c r="S109" s="6408"/>
      <c r="T109" s="6408"/>
      <c r="U109" s="6410"/>
      <c r="V109" s="6410"/>
      <c r="W109" s="6410"/>
      <c r="X109" s="6410"/>
      <c r="Y109" s="6410"/>
    </row>
    <row r="110">
      <c r="A110" s="6418" t="s">
        <v>6875</v>
      </c>
      <c r="B110" s="6418">
        <v>46210</v>
      </c>
      <c r="C110" s="6418" t="str">
        <v>Tuesday</v>
      </c>
      <c r="D110" s="6422" t="s">
        <v>6876</v>
      </c>
      <c r="E110" s="6422">
        <f t="shared" si="56"/>
      </c>
      <c r="F110" s="6422" t="s">
        <v>6851</v>
      </c>
      <c r="G110" s="6486" t="s">
        <v>6831</v>
      </c>
      <c r="H110" s="6422" t="s">
        <v>6810</v>
      </c>
      <c r="I110" s="6419" t="s">
        <v>6770</v>
      </c>
      <c r="J110" s="6432"/>
      <c r="K110" s="6435"/>
      <c r="L110" s="6435"/>
      <c r="M110" s="6435"/>
      <c r="N110" s="6435"/>
      <c r="O110" s="6408"/>
      <c r="P110" s="6408"/>
      <c r="Q110" s="6408"/>
      <c r="R110" s="6408"/>
      <c r="S110" s="6408"/>
      <c r="T110" s="6408"/>
      <c r="U110" s="6410"/>
      <c r="V110" s="6410"/>
      <c r="W110" s="6410"/>
      <c r="X110" s="6410"/>
      <c r="Y110" s="6410"/>
    </row>
    <row r="111">
      <c r="A111" s="6418" t="s">
        <v>6875</v>
      </c>
      <c r="B111" s="6418">
        <v>46210</v>
      </c>
      <c r="C111" s="6418" t="str">
        <v>Tuesday</v>
      </c>
      <c r="D111" s="6422" t="s">
        <v>6828</v>
      </c>
      <c r="E111" s="6422">
        <f t="shared" si="56"/>
      </c>
      <c r="F111" s="6422" t="s">
        <v>6851</v>
      </c>
      <c r="G111" s="6486" t="s">
        <v>6831</v>
      </c>
      <c r="H111" s="6422" t="s">
        <v>6810</v>
      </c>
      <c r="I111" s="6419" t="s">
        <v>6770</v>
      </c>
      <c r="J111" s="6432"/>
      <c r="K111" s="6435"/>
      <c r="L111" s="6435"/>
      <c r="M111" s="6435"/>
      <c r="N111" s="6435"/>
      <c r="O111" s="6408"/>
      <c r="P111" s="6408"/>
      <c r="Q111" s="6408"/>
      <c r="R111" s="6408"/>
      <c r="S111" s="6408"/>
      <c r="T111" s="6408"/>
      <c r="U111" s="6410"/>
      <c r="V111" s="6410"/>
      <c r="W111" s="6410"/>
      <c r="X111" s="6410"/>
      <c r="Y111" s="6410"/>
    </row>
    <row r="112">
      <c r="A112" s="6418" t="s">
        <v>6875</v>
      </c>
      <c r="B112" s="6418">
        <v>46210</v>
      </c>
      <c r="C112" s="6418" t="str">
        <v>Tuesday</v>
      </c>
      <c r="D112" s="6422" t="s">
        <v>6877</v>
      </c>
      <c r="E112" s="6422">
        <f t="shared" si="56"/>
      </c>
      <c r="F112" s="6422" t="s">
        <v>6878</v>
      </c>
      <c r="G112" s="6486" t="s">
        <v>6831</v>
      </c>
      <c r="H112" s="6422" t="s">
        <v>6810</v>
      </c>
      <c r="I112" s="6419" t="s">
        <v>6770</v>
      </c>
      <c r="J112" s="6432"/>
      <c r="K112" s="6435"/>
      <c r="L112" s="6435"/>
      <c r="M112" s="6435"/>
      <c r="N112" s="6435"/>
      <c r="O112" s="6408"/>
      <c r="P112" s="6408"/>
      <c r="Q112" s="6408"/>
      <c r="R112" s="6408"/>
      <c r="S112" s="6408"/>
      <c r="T112" s="6408"/>
      <c r="U112" s="6410"/>
      <c r="V112" s="6410"/>
      <c r="W112" s="6410"/>
      <c r="X112" s="6410"/>
      <c r="Y112" s="6410"/>
    </row>
    <row r="113">
      <c r="A113" s="6418" t="s">
        <v>6875</v>
      </c>
      <c r="B113" s="6418">
        <v>46210</v>
      </c>
      <c r="C113" s="6418" t="str">
        <v>Tuesday</v>
      </c>
      <c r="D113" s="6422" t="s">
        <v>6879</v>
      </c>
      <c r="E113" s="6422">
        <f t="shared" si="56"/>
      </c>
      <c r="F113" s="6422" t="s">
        <v>6880</v>
      </c>
      <c r="G113" s="6486" t="s">
        <v>6831</v>
      </c>
      <c r="H113" s="6422" t="s">
        <v>6810</v>
      </c>
      <c r="I113" s="6419" t="s">
        <v>6770</v>
      </c>
      <c r="J113" s="6432"/>
      <c r="K113" s="6435"/>
      <c r="L113" s="6435"/>
      <c r="M113" s="6435"/>
      <c r="N113" s="6435"/>
      <c r="O113" s="6408"/>
      <c r="P113" s="6408"/>
      <c r="Q113" s="6408"/>
      <c r="R113" s="6408"/>
      <c r="S113" s="6408"/>
      <c r="T113" s="6408"/>
      <c r="U113" s="6410"/>
      <c r="V113" s="6410"/>
      <c r="W113" s="6410"/>
      <c r="X113" s="6410"/>
      <c r="Y113" s="6410"/>
    </row>
    <row r="114">
      <c r="A114" s="6418" t="s">
        <v>6875</v>
      </c>
      <c r="B114" s="6418">
        <v>46211</v>
      </c>
      <c r="C114" s="6418" t="str">
        <v>Wednesday</v>
      </c>
      <c r="D114" s="6422" t="s">
        <v>6881</v>
      </c>
      <c r="E114" s="6422">
        <f t="shared" si="56"/>
      </c>
      <c r="F114" s="6422" t="s">
        <v>6772</v>
      </c>
      <c r="G114" s="6486" t="s">
        <v>6831</v>
      </c>
      <c r="H114" s="6422" t="s">
        <v>6810</v>
      </c>
      <c r="I114" s="6419" t="s">
        <v>6770</v>
      </c>
      <c r="J114" s="6432"/>
      <c r="K114" s="6435"/>
      <c r="L114" s="6435"/>
      <c r="M114" s="6435"/>
      <c r="N114" s="6435"/>
      <c r="O114" s="6408"/>
      <c r="P114" s="6408"/>
      <c r="Q114" s="6408"/>
      <c r="R114" s="6408"/>
      <c r="S114" s="6408"/>
      <c r="T114" s="6408"/>
      <c r="U114" s="6410"/>
      <c r="V114" s="6410"/>
      <c r="W114" s="6410"/>
      <c r="X114" s="6410"/>
      <c r="Y114" s="6410"/>
    </row>
    <row r="115">
      <c r="A115" s="6418" t="s">
        <v>6875</v>
      </c>
      <c r="B115" s="6418">
        <v>46211</v>
      </c>
      <c r="C115" s="6418" t="str">
        <v>Wednesday</v>
      </c>
      <c r="D115" s="6422" t="s">
        <v>6882</v>
      </c>
      <c r="E115" s="6422">
        <f t="shared" si="56"/>
      </c>
      <c r="F115" s="6422" t="s">
        <v>6883</v>
      </c>
      <c r="G115" s="6486" t="s">
        <v>6831</v>
      </c>
      <c r="H115" s="6422" t="s">
        <v>6810</v>
      </c>
      <c r="I115" s="6419" t="s">
        <v>6770</v>
      </c>
      <c r="J115" s="6432"/>
      <c r="K115" s="6435"/>
      <c r="L115" s="6435"/>
      <c r="M115" s="6435"/>
      <c r="N115" s="6435"/>
      <c r="O115" s="6408"/>
      <c r="P115" s="6408"/>
      <c r="Q115" s="6408"/>
      <c r="R115" s="6408"/>
      <c r="S115" s="6408"/>
      <c r="T115" s="6408"/>
      <c r="U115" s="6410"/>
      <c r="V115" s="6410"/>
      <c r="W115" s="6410"/>
      <c r="X115" s="6410"/>
      <c r="Y115" s="6410"/>
    </row>
    <row r="116">
      <c r="A116" s="6418" t="s">
        <v>6875</v>
      </c>
      <c r="B116" s="6418">
        <v>46212</v>
      </c>
      <c r="C116" s="6418" t="str">
        <v>Thursday</v>
      </c>
      <c r="D116" s="6422" t="s">
        <v>6884</v>
      </c>
      <c r="E116" s="6422">
        <f t="shared" si="56"/>
      </c>
      <c r="F116" s="6422" t="s">
        <v>6851</v>
      </c>
      <c r="G116" s="6486" t="s">
        <v>6831</v>
      </c>
      <c r="H116" s="6422" t="s">
        <v>6810</v>
      </c>
      <c r="I116" s="6419" t="s">
        <v>6770</v>
      </c>
      <c r="J116" s="6432"/>
      <c r="K116" s="6435"/>
      <c r="L116" s="6435"/>
      <c r="M116" s="6435"/>
      <c r="N116" s="6435"/>
      <c r="O116" s="6408"/>
      <c r="P116" s="6408"/>
      <c r="Q116" s="6408"/>
      <c r="R116" s="6408"/>
      <c r="S116" s="6408"/>
      <c r="T116" s="6408"/>
      <c r="U116" s="6410"/>
      <c r="V116" s="6410"/>
      <c r="W116" s="6410"/>
      <c r="X116" s="6410"/>
      <c r="Y116" s="6410"/>
    </row>
    <row r="117">
      <c r="A117" s="6418" t="s">
        <v>6875</v>
      </c>
      <c r="B117" s="6418">
        <v>46212</v>
      </c>
      <c r="C117" s="6418" t="str">
        <v>Thursday</v>
      </c>
      <c r="D117" s="6422" t="s">
        <v>6830</v>
      </c>
      <c r="E117" s="6422">
        <f t="shared" si="56"/>
      </c>
      <c r="F117" s="6422" t="s">
        <v>6880</v>
      </c>
      <c r="G117" s="6486" t="s">
        <v>6831</v>
      </c>
      <c r="H117" s="6422" t="s">
        <v>6810</v>
      </c>
      <c r="I117" s="6419" t="s">
        <v>6770</v>
      </c>
      <c r="J117" s="6432"/>
      <c r="K117" s="6435"/>
      <c r="L117" s="6435"/>
      <c r="M117" s="6435"/>
      <c r="N117" s="6435"/>
      <c r="O117" s="6408"/>
      <c r="P117" s="6408"/>
      <c r="Q117" s="6408"/>
      <c r="R117" s="6408"/>
      <c r="S117" s="6408"/>
      <c r="T117" s="6408"/>
      <c r="U117" s="6410"/>
      <c r="V117" s="6410"/>
      <c r="W117" s="6410"/>
      <c r="X117" s="6410"/>
      <c r="Y117" s="6410"/>
    </row>
    <row r="118">
      <c r="A118" s="6418" t="s">
        <v>6875</v>
      </c>
      <c r="B118" s="6418">
        <v>46214</v>
      </c>
      <c r="C118" s="6418" t="str">
        <v>Saturday</v>
      </c>
      <c r="D118" s="6422" t="s">
        <v>6793</v>
      </c>
      <c r="E118" s="6422">
        <f t="shared" si="56"/>
      </c>
      <c r="F118" s="6422" t="s">
        <v>6883</v>
      </c>
      <c r="G118" s="6486" t="s">
        <v>6831</v>
      </c>
      <c r="H118" s="6422" t="s">
        <v>6810</v>
      </c>
      <c r="I118" s="6419" t="s">
        <v>6770</v>
      </c>
      <c r="J118" s="6432"/>
      <c r="K118" s="6435"/>
      <c r="L118" s="6435"/>
      <c r="M118" s="6435"/>
      <c r="N118" s="6435"/>
      <c r="O118" s="6408"/>
      <c r="P118" s="6408"/>
      <c r="Q118" s="6408"/>
      <c r="R118" s="6408"/>
      <c r="S118" s="6408"/>
      <c r="T118" s="6408"/>
      <c r="U118" s="6410"/>
      <c r="V118" s="6410"/>
      <c r="W118" s="6410"/>
      <c r="X118" s="6410"/>
      <c r="Y118" s="6410"/>
    </row>
    <row r="119">
      <c r="A119" s="6418" t="s">
        <v>6875</v>
      </c>
      <c r="B119" s="6418">
        <v>46215</v>
      </c>
      <c r="C119" s="6418" t="str">
        <v>Sunday</v>
      </c>
      <c r="D119" s="6422" t="s">
        <v>6830</v>
      </c>
      <c r="E119" s="6422">
        <f t="shared" si="56"/>
      </c>
      <c r="F119" s="6422" t="s">
        <v>6878</v>
      </c>
      <c r="G119" s="6486" t="s">
        <v>6831</v>
      </c>
      <c r="H119" s="6422" t="s">
        <v>6810</v>
      </c>
      <c r="I119" s="6419" t="s">
        <v>6770</v>
      </c>
      <c r="J119" s="6432"/>
      <c r="K119" s="6435"/>
      <c r="L119" s="6435"/>
      <c r="M119" s="6435"/>
      <c r="N119" s="6435"/>
      <c r="O119" s="6408"/>
      <c r="P119" s="6408"/>
      <c r="Q119" s="6408"/>
      <c r="R119" s="6408"/>
      <c r="S119" s="6408"/>
      <c r="T119" s="6408"/>
      <c r="U119" s="6410"/>
      <c r="V119" s="6410"/>
      <c r="W119" s="6410"/>
      <c r="X119" s="6410"/>
      <c r="Y119" s="6410"/>
    </row>
    <row r="120">
      <c r="A120" s="6418" t="s">
        <v>6875</v>
      </c>
      <c r="B120" s="6418">
        <v>46215</v>
      </c>
      <c r="C120" s="6418" t="str">
        <v>Sunday</v>
      </c>
      <c r="D120" s="6422" t="s">
        <v>6861</v>
      </c>
      <c r="E120" s="6422">
        <f t="shared" si="56"/>
      </c>
      <c r="F120" s="6422" t="s">
        <v>6883</v>
      </c>
      <c r="G120" s="6486" t="s">
        <v>6831</v>
      </c>
      <c r="H120" s="6422" t="s">
        <v>6810</v>
      </c>
      <c r="I120" s="6419" t="s">
        <v>6770</v>
      </c>
      <c r="J120" s="6432"/>
      <c r="K120" s="6435"/>
      <c r="L120" s="6435"/>
      <c r="M120" s="6435"/>
      <c r="N120" s="6435"/>
      <c r="O120" s="6408"/>
      <c r="P120" s="6408"/>
      <c r="Q120" s="6408"/>
      <c r="R120" s="6408"/>
      <c r="S120" s="6408"/>
      <c r="T120" s="6408"/>
      <c r="U120" s="6410"/>
      <c r="V120" s="6410"/>
      <c r="W120" s="6410"/>
      <c r="X120" s="6410"/>
      <c r="Y120" s="6410"/>
    </row>
    <row r="121">
      <c r="A121" s="6418" t="s">
        <v>6885</v>
      </c>
      <c r="B121" s="6418">
        <v>46209</v>
      </c>
      <c r="C121" s="6418" t="str">
        <v>Monday</v>
      </c>
      <c r="D121" s="6422" t="s">
        <v>6852</v>
      </c>
      <c r="E121" s="6422">
        <f t="shared" si="56"/>
      </c>
      <c r="F121" s="6422" t="s">
        <v>6833</v>
      </c>
      <c r="G121" s="6486"/>
      <c r="H121" s="6422"/>
      <c r="I121" s="6419"/>
      <c r="J121" s="6432"/>
      <c r="K121" s="6435"/>
      <c r="L121" s="6435"/>
      <c r="M121" s="6435"/>
      <c r="N121" s="6435"/>
      <c r="O121" s="6408"/>
      <c r="P121" s="6408"/>
      <c r="Q121" s="6408"/>
      <c r="R121" s="6408"/>
      <c r="S121" s="6408"/>
      <c r="T121" s="6408"/>
      <c r="U121" s="6410"/>
      <c r="V121" s="6410"/>
      <c r="W121" s="6410"/>
      <c r="X121" s="6410"/>
      <c r="Y121" s="6410"/>
    </row>
    <row r="122">
      <c r="A122" s="6418" t="s">
        <v>6885</v>
      </c>
      <c r="B122" s="6418">
        <v>46209</v>
      </c>
      <c r="C122" s="6418" t="str">
        <v>Monday</v>
      </c>
      <c r="D122" s="6422" t="s">
        <v>6801</v>
      </c>
      <c r="E122" s="6422">
        <f t="shared" si="56"/>
      </c>
      <c r="F122" s="6422" t="s">
        <v>6833</v>
      </c>
      <c r="G122" s="6486"/>
      <c r="H122" s="6422"/>
      <c r="I122" s="6419"/>
      <c r="J122" s="6432"/>
      <c r="K122" s="6435"/>
      <c r="L122" s="6435"/>
      <c r="M122" s="6435"/>
      <c r="N122" s="6435"/>
      <c r="O122" s="6408"/>
      <c r="P122" s="6408"/>
      <c r="Q122" s="6408"/>
      <c r="R122" s="6408"/>
      <c r="S122" s="6408"/>
      <c r="T122" s="6408"/>
      <c r="U122" s="6410"/>
      <c r="V122" s="6410"/>
      <c r="W122" s="6410"/>
      <c r="X122" s="6410"/>
      <c r="Y122" s="6410"/>
    </row>
    <row r="123">
      <c r="A123" s="6418" t="s">
        <v>6885</v>
      </c>
      <c r="B123" s="6418">
        <v>46210</v>
      </c>
      <c r="C123" s="6418" t="str">
        <v>Tuesday</v>
      </c>
      <c r="D123" s="6422" t="s">
        <v>6852</v>
      </c>
      <c r="E123" s="6422">
        <f t="shared" si="56"/>
      </c>
      <c r="F123" s="6422" t="s">
        <v>6833</v>
      </c>
      <c r="G123" s="6486"/>
      <c r="H123" s="6422"/>
      <c r="I123" s="6419"/>
      <c r="J123" s="6432"/>
      <c r="K123" s="6435"/>
      <c r="L123" s="6435"/>
      <c r="M123" s="6435"/>
      <c r="N123" s="6435"/>
      <c r="O123" s="6408"/>
      <c r="P123" s="6408"/>
      <c r="Q123" s="6408"/>
      <c r="R123" s="6408"/>
      <c r="S123" s="6408"/>
      <c r="T123" s="6408"/>
      <c r="U123" s="6410"/>
      <c r="V123" s="6410"/>
      <c r="W123" s="6410"/>
      <c r="X123" s="6410"/>
      <c r="Y123" s="6410"/>
    </row>
    <row r="124">
      <c r="A124" s="6418" t="s">
        <v>6885</v>
      </c>
      <c r="B124" s="6418">
        <v>46210</v>
      </c>
      <c r="C124" s="6418" t="str">
        <v>Tuesday</v>
      </c>
      <c r="D124" s="6422" t="s">
        <v>6886</v>
      </c>
      <c r="E124" s="6422">
        <f t="shared" si="56"/>
      </c>
      <c r="F124" s="6422" t="s">
        <v>6833</v>
      </c>
      <c r="G124" s="6486"/>
      <c r="H124" s="6422"/>
      <c r="I124" s="6419"/>
      <c r="J124" s="6432"/>
      <c r="K124" s="6435"/>
      <c r="L124" s="6435"/>
      <c r="M124" s="6435"/>
      <c r="N124" s="6435"/>
      <c r="O124" s="6408"/>
      <c r="P124" s="6408"/>
      <c r="Q124" s="6408"/>
      <c r="R124" s="6408"/>
      <c r="S124" s="6408"/>
      <c r="T124" s="6408"/>
      <c r="U124" s="6410"/>
      <c r="V124" s="6410"/>
      <c r="W124" s="6410"/>
      <c r="X124" s="6410"/>
      <c r="Y124" s="6410"/>
    </row>
    <row r="125">
      <c r="A125" s="6418" t="s">
        <v>6885</v>
      </c>
      <c r="B125" s="6418">
        <v>46211</v>
      </c>
      <c r="C125" s="6418" t="str">
        <v>Wednesday</v>
      </c>
      <c r="D125" s="6422" t="s">
        <v>6852</v>
      </c>
      <c r="E125" s="6422">
        <f t="shared" si="56"/>
      </c>
      <c r="F125" s="6422" t="s">
        <v>6833</v>
      </c>
      <c r="G125" s="6486"/>
      <c r="H125" s="6422"/>
      <c r="I125" s="6419"/>
      <c r="J125" s="6432"/>
      <c r="K125" s="6435"/>
      <c r="L125" s="6435"/>
      <c r="M125" s="6435"/>
      <c r="N125" s="6435"/>
      <c r="O125" s="6408"/>
      <c r="P125" s="6408"/>
      <c r="Q125" s="6408"/>
      <c r="R125" s="6408"/>
      <c r="S125" s="6408"/>
      <c r="T125" s="6408"/>
      <c r="U125" s="6410"/>
      <c r="V125" s="6410"/>
      <c r="W125" s="6410"/>
      <c r="X125" s="6410"/>
      <c r="Y125" s="6410"/>
    </row>
    <row r="126">
      <c r="A126" s="6418" t="s">
        <v>6885</v>
      </c>
      <c r="B126" s="6418">
        <v>46211</v>
      </c>
      <c r="C126" s="6418" t="str">
        <v>Wednesday</v>
      </c>
      <c r="D126" s="6422" t="s">
        <v>6887</v>
      </c>
      <c r="E126" s="6422">
        <f t="shared" si="56"/>
      </c>
      <c r="F126" s="6422" t="s">
        <v>6833</v>
      </c>
      <c r="G126" s="6486"/>
      <c r="H126" s="6422"/>
      <c r="I126" s="6419"/>
      <c r="J126" s="6432"/>
      <c r="K126" s="6435"/>
      <c r="L126" s="6435"/>
      <c r="M126" s="6435"/>
      <c r="N126" s="6435"/>
      <c r="O126" s="6408"/>
      <c r="P126" s="6408"/>
      <c r="Q126" s="6408"/>
      <c r="R126" s="6408"/>
      <c r="S126" s="6408"/>
      <c r="T126" s="6408"/>
      <c r="U126" s="6410"/>
      <c r="V126" s="6410"/>
      <c r="W126" s="6410"/>
      <c r="X126" s="6410"/>
      <c r="Y126" s="6410"/>
    </row>
    <row r="127">
      <c r="A127" s="6418"/>
      <c r="B127" s="6418"/>
      <c r="C127" s="6418"/>
      <c r="D127" s="6422"/>
      <c r="E127" s="6422"/>
      <c r="F127" s="6422"/>
      <c r="G127" s="6486"/>
      <c r="H127" s="6422"/>
      <c r="I127" s="6419"/>
      <c r="J127" s="6432"/>
      <c r="K127" s="6435"/>
      <c r="L127" s="6435"/>
      <c r="M127" s="6435"/>
      <c r="N127" s="6435"/>
      <c r="O127" s="6408"/>
      <c r="P127" s="6408"/>
      <c r="Q127" s="6408"/>
      <c r="R127" s="6408"/>
      <c r="S127" s="6408"/>
      <c r="T127" s="6408"/>
      <c r="U127" s="6410"/>
      <c r="V127" s="6410"/>
      <c r="W127" s="6410"/>
      <c r="X127" s="6410"/>
      <c r="Y127" s="6410"/>
    </row>
    <row r="128">
      <c r="A128" s="6410"/>
      <c r="B128" s="6410"/>
      <c r="C128" s="6410"/>
      <c r="D128" s="6410"/>
      <c r="E128" s="6410"/>
      <c r="F128" s="6410"/>
      <c r="G128" s="6410"/>
      <c r="H128" s="6410"/>
      <c r="I128" s="6410"/>
      <c r="J128" s="6410"/>
      <c r="K128" s="6410"/>
      <c r="L128" s="6410"/>
      <c r="M128" s="6410"/>
      <c r="N128" s="6410"/>
      <c r="O128" s="6410"/>
      <c r="P128" s="6410"/>
      <c r="Q128" s="6410"/>
      <c r="R128" s="6410"/>
      <c r="S128" s="6410"/>
      <c r="T128" s="6410"/>
      <c r="U128" s="6410"/>
      <c r="V128" s="6410"/>
      <c r="W128" s="6410"/>
      <c r="X128" s="6410"/>
      <c r="Y128" s="6410"/>
    </row>
    <row r="129">
      <c r="A129" s="6495" t="s">
        <v>6888</v>
      </c>
      <c r="B129" s="6495"/>
      <c r="C129" s="6495"/>
      <c r="D129" s="6495"/>
      <c r="E129" s="6495"/>
      <c r="F129" s="6495"/>
      <c r="G129" s="6495"/>
      <c r="H129" s="6495"/>
      <c r="I129" s="6495"/>
      <c r="J129" s="6495"/>
      <c r="K129" s="6410"/>
      <c r="L129" s="6410"/>
      <c r="M129" s="6410"/>
      <c r="N129" s="6410"/>
      <c r="O129" s="6410"/>
      <c r="P129" s="6410"/>
      <c r="Q129" s="6410"/>
      <c r="R129" s="6410"/>
      <c r="S129" s="6410"/>
      <c r="T129" s="6410"/>
      <c r="U129" s="6410"/>
      <c r="V129" s="6410"/>
      <c r="W129" s="6410"/>
      <c r="X129" s="6410"/>
      <c r="Y129" s="6410"/>
    </row>
    <row r="130">
      <c r="A130" s="6496" t="s">
        <v>6757</v>
      </c>
      <c r="B130" s="6497" t="s">
        <v>6758</v>
      </c>
      <c r="C130" s="6497"/>
      <c r="D130" s="6498" t="s">
        <v>6759</v>
      </c>
      <c r="E130" s="6499" t="s">
        <v>6760</v>
      </c>
      <c r="F130" s="6499" t="s">
        <v>6761</v>
      </c>
      <c r="G130" s="6500" t="s">
        <v>6777</v>
      </c>
      <c r="H130" s="6501" t="s">
        <v>6763</v>
      </c>
      <c r="I130" s="6501" t="s">
        <v>6764</v>
      </c>
      <c r="J130" s="6502" t="s">
        <v>6765</v>
      </c>
      <c r="K130" s="6410"/>
      <c r="L130" s="6410"/>
      <c r="M130" s="6410"/>
      <c r="N130" s="6410"/>
      <c r="O130" s="6410"/>
      <c r="P130" s="6410"/>
      <c r="Q130" s="6410"/>
      <c r="R130" s="6410"/>
      <c r="S130" s="6410"/>
      <c r="T130" s="6410"/>
      <c r="U130" s="6410"/>
      <c r="V130" s="6410"/>
      <c r="W130" s="6410"/>
      <c r="X130" s="6410"/>
      <c r="Y130" s="6410"/>
    </row>
    <row r="131">
      <c r="A131" s="6418" t="s">
        <v>6889</v>
      </c>
      <c r="B131" s="6418">
        <v>46215</v>
      </c>
      <c r="C131" s="6418" t="str">
        <v>Sunday</v>
      </c>
      <c r="D131" s="6422" t="s">
        <v>6890</v>
      </c>
      <c r="E131" s="6422">
        <f>24*MOD(TIMEVALUE(TRIM(MID(D131,FIND("-",D131)+1,LEN(D131)))) - TIMEVALUE(TRIM(LEFT(D131,FIND("-",D131)-1))),1)</f>
      </c>
      <c r="F131" s="6422" t="s">
        <v>6878</v>
      </c>
      <c r="G131" s="6486" t="s">
        <v>6831</v>
      </c>
      <c r="H131" s="6422" t="s">
        <v>6810</v>
      </c>
      <c r="I131" s="6419" t="s">
        <v>6770</v>
      </c>
      <c r="J131" s="6432"/>
      <c r="K131" s="6435"/>
      <c r="L131" s="6435"/>
      <c r="M131" s="6435"/>
      <c r="N131" s="6435"/>
      <c r="O131" s="6408"/>
      <c r="P131" s="6408"/>
      <c r="Q131" s="6408"/>
      <c r="R131" s="6408"/>
      <c r="S131" s="6408"/>
      <c r="T131" s="6408"/>
      <c r="U131" s="6410"/>
      <c r="V131" s="6410"/>
      <c r="W131" s="6410"/>
      <c r="X131" s="6410"/>
      <c r="Y131" s="6410"/>
    </row>
    <row r="132">
      <c r="A132" s="6418"/>
      <c r="B132" s="6418"/>
      <c r="C132" s="6418"/>
      <c r="D132" s="6422"/>
      <c r="E132" s="6422"/>
      <c r="F132" s="6422"/>
      <c r="G132" s="6486"/>
      <c r="H132" s="6422"/>
      <c r="I132" s="6419"/>
      <c r="J132" s="6432"/>
      <c r="K132" s="6408"/>
      <c r="L132" s="6408"/>
      <c r="M132" s="6408"/>
      <c r="N132" s="6408"/>
      <c r="O132" s="6408"/>
      <c r="P132" s="6408"/>
      <c r="Q132" s="6408"/>
      <c r="R132" s="6408"/>
      <c r="S132" s="6408"/>
      <c r="T132" s="6408"/>
      <c r="U132" s="6410"/>
      <c r="V132" s="6410"/>
      <c r="W132" s="6410"/>
      <c r="X132" s="6410"/>
      <c r="Y132" s="6410"/>
    </row>
    <row r="133">
      <c r="A133" s="6412" t="s">
        <v>6891</v>
      </c>
      <c r="B133" s="6412"/>
      <c r="C133" s="6412"/>
      <c r="D133" s="6412"/>
      <c r="E133" s="6412"/>
      <c r="F133" s="6412"/>
      <c r="G133" s="6412"/>
      <c r="H133" s="6412"/>
      <c r="I133" s="6412"/>
      <c r="J133" s="6412"/>
      <c r="K133" s="6408"/>
      <c r="L133" s="6408"/>
      <c r="M133" s="6408"/>
      <c r="N133" s="6408"/>
      <c r="O133" s="6408"/>
      <c r="P133" s="6408"/>
      <c r="Q133" s="6408"/>
      <c r="R133" s="6408"/>
      <c r="S133" s="6408"/>
      <c r="T133" s="6408"/>
      <c r="U133" s="6410"/>
      <c r="V133" s="6410"/>
      <c r="W133" s="6410"/>
      <c r="X133" s="6410"/>
      <c r="Y133" s="6410"/>
    </row>
    <row r="134">
      <c r="A134" s="6413" t="s">
        <v>6757</v>
      </c>
      <c r="B134" s="6414" t="s">
        <v>6758</v>
      </c>
      <c r="C134" s="6414"/>
      <c r="D134" s="6415" t="s">
        <v>6759</v>
      </c>
      <c r="E134" s="6415" t="s">
        <v>6760</v>
      </c>
      <c r="F134" s="6415" t="s">
        <v>6761</v>
      </c>
      <c r="G134" s="6503" t="s">
        <v>6777</v>
      </c>
      <c r="H134" s="6415" t="s">
        <v>6763</v>
      </c>
      <c r="I134" s="6415" t="s">
        <v>6764</v>
      </c>
      <c r="J134" s="6415" t="s">
        <v>6765</v>
      </c>
      <c r="K134" s="6408"/>
      <c r="L134" s="6408"/>
      <c r="M134" s="6408"/>
      <c r="N134" s="6408"/>
      <c r="O134" s="6408"/>
      <c r="P134" s="6408"/>
      <c r="Q134" s="6408"/>
      <c r="R134" s="6408"/>
      <c r="S134" s="6408"/>
      <c r="T134" s="6408"/>
      <c r="U134" s="6410"/>
      <c r="V134" s="6410"/>
      <c r="W134" s="6410"/>
      <c r="X134" s="6410"/>
      <c r="Y134" s="6410"/>
    </row>
    <row r="135">
      <c r="A135" s="6418" t="s">
        <v>6891</v>
      </c>
      <c r="B135" s="6418">
        <v>46210</v>
      </c>
      <c r="C135" s="6418" t="str">
        <v>Tuesday</v>
      </c>
      <c r="D135" s="6419" t="s">
        <v>6774</v>
      </c>
      <c r="E135" s="6419">
        <v>3.5</v>
      </c>
      <c r="F135" s="6422" t="s">
        <v>6892</v>
      </c>
      <c r="G135" s="6486" t="s">
        <v>6893</v>
      </c>
      <c r="H135" s="6422" t="s">
        <v>6769</v>
      </c>
      <c r="I135" s="6419"/>
      <c r="J135" s="6419"/>
      <c r="K135" s="6408"/>
      <c r="L135" s="6408"/>
      <c r="M135" s="6408"/>
      <c r="N135" s="6408"/>
      <c r="O135" s="6408"/>
      <c r="P135" s="6408"/>
      <c r="Q135" s="6408"/>
      <c r="R135" s="6408"/>
      <c r="S135" s="6408"/>
      <c r="T135" s="6408"/>
      <c r="U135" s="6410"/>
      <c r="V135" s="6410"/>
      <c r="W135" s="6410"/>
      <c r="X135" s="6410"/>
      <c r="Y135" s="6410"/>
    </row>
    <row r="136">
      <c r="A136" s="6473" t="s">
        <v>6891</v>
      </c>
      <c r="B136" s="6473">
        <v>46211</v>
      </c>
      <c r="C136" s="6473" t="str">
        <v>Wednesday</v>
      </c>
      <c r="D136" s="6447" t="s">
        <v>6894</v>
      </c>
      <c r="E136" s="6447">
        <f t="shared" ref="E136:E147" si="57">24*MOD(TIMEVALUE(TRIM(MID(D136,FIND("-",D136)+1,LEN(D136)))) - TIMEVALUE(TRIM(LEFT(D136,FIND("-",D136)-1))),1)</f>
      </c>
      <c r="F136" s="6447" t="s">
        <v>6847</v>
      </c>
      <c r="G136" s="6504" t="s">
        <v>6895</v>
      </c>
      <c r="H136" s="6447" t="s">
        <v>6769</v>
      </c>
      <c r="I136" s="6447" t="s">
        <v>6770</v>
      </c>
      <c r="J136" s="6447"/>
      <c r="K136" s="6476"/>
      <c r="L136" s="6476"/>
      <c r="M136" s="6476"/>
      <c r="N136" s="6476"/>
      <c r="O136" s="6476"/>
      <c r="P136" s="6476"/>
      <c r="Q136" s="6476"/>
      <c r="R136" s="6476"/>
      <c r="S136" s="6476"/>
      <c r="T136" s="6476"/>
      <c r="U136" s="6477"/>
      <c r="V136" s="6477"/>
      <c r="W136" s="6477"/>
      <c r="X136" s="6477"/>
      <c r="Y136" s="6477"/>
    </row>
    <row r="137">
      <c r="A137" s="6418" t="s">
        <v>6891</v>
      </c>
      <c r="B137" s="6418">
        <v>46212</v>
      </c>
      <c r="C137" s="6418" t="str">
        <v>Thursday</v>
      </c>
      <c r="D137" s="6419" t="s">
        <v>6894</v>
      </c>
      <c r="E137" s="6422">
        <f t="shared" si="57"/>
      </c>
      <c r="F137" s="6422" t="s">
        <v>6847</v>
      </c>
      <c r="G137" s="6486" t="s">
        <v>6896</v>
      </c>
      <c r="H137" s="6419"/>
      <c r="I137" s="6422" t="s">
        <v>6770</v>
      </c>
      <c r="J137" s="6419"/>
      <c r="K137" s="6408"/>
      <c r="L137" s="6408"/>
      <c r="M137" s="6408"/>
      <c r="N137" s="6408"/>
      <c r="O137" s="6408"/>
      <c r="P137" s="6408"/>
      <c r="Q137" s="6408"/>
      <c r="R137" s="6408"/>
      <c r="S137" s="6408"/>
      <c r="T137" s="6408"/>
      <c r="U137" s="6410"/>
      <c r="V137" s="6410"/>
      <c r="W137" s="6410"/>
      <c r="X137" s="6410"/>
      <c r="Y137" s="6410"/>
    </row>
    <row r="138">
      <c r="A138" s="6418" t="s">
        <v>6891</v>
      </c>
      <c r="B138" s="6418">
        <v>46213</v>
      </c>
      <c r="C138" s="6418" t="str">
        <v>Friday</v>
      </c>
      <c r="D138" s="6419" t="s">
        <v>6894</v>
      </c>
      <c r="E138" s="6422">
        <f t="shared" si="57"/>
      </c>
      <c r="F138" s="6422" t="s">
        <v>6847</v>
      </c>
      <c r="G138" s="6486" t="s">
        <v>6897</v>
      </c>
      <c r="H138" s="6422" t="s">
        <v>6769</v>
      </c>
      <c r="I138" s="6422" t="s">
        <v>6770</v>
      </c>
      <c r="J138" s="6422"/>
      <c r="K138" s="6408"/>
      <c r="L138" s="6408"/>
      <c r="M138" s="6408"/>
      <c r="N138" s="6408"/>
      <c r="O138" s="6408"/>
      <c r="P138" s="6408"/>
      <c r="Q138" s="6408"/>
      <c r="R138" s="6408"/>
      <c r="S138" s="6408"/>
      <c r="T138" s="6408"/>
      <c r="U138" s="6410"/>
      <c r="V138" s="6410"/>
      <c r="W138" s="6410"/>
      <c r="X138" s="6410"/>
      <c r="Y138" s="6410"/>
    </row>
    <row r="139">
      <c r="A139" s="6418" t="s">
        <v>6891</v>
      </c>
      <c r="B139" s="6418">
        <v>46214</v>
      </c>
      <c r="C139" s="6418" t="str">
        <v>Saturday</v>
      </c>
      <c r="D139" s="6419" t="s">
        <v>6894</v>
      </c>
      <c r="E139" s="6422">
        <f t="shared" si="57"/>
      </c>
      <c r="F139" s="6422" t="s">
        <v>6847</v>
      </c>
      <c r="G139" s="6486" t="s">
        <v>6898</v>
      </c>
      <c r="H139" s="6422" t="s">
        <v>6769</v>
      </c>
      <c r="I139" s="6422" t="s">
        <v>6770</v>
      </c>
      <c r="J139" s="6422"/>
      <c r="K139" s="6408"/>
      <c r="L139" s="6408"/>
      <c r="M139" s="6408"/>
      <c r="N139" s="6408"/>
      <c r="O139" s="6408"/>
      <c r="P139" s="6408"/>
      <c r="Q139" s="6408"/>
      <c r="R139" s="6408"/>
      <c r="S139" s="6408"/>
      <c r="T139" s="6408"/>
      <c r="U139" s="6410"/>
      <c r="V139" s="6410"/>
      <c r="W139" s="6410"/>
      <c r="X139" s="6410"/>
      <c r="Y139" s="6410"/>
    </row>
    <row r="140">
      <c r="A140" s="6418" t="s">
        <v>6891</v>
      </c>
      <c r="B140" s="6418">
        <v>46215</v>
      </c>
      <c r="C140" s="6418" t="str">
        <v>Sunday</v>
      </c>
      <c r="D140" s="6419" t="s">
        <v>6894</v>
      </c>
      <c r="E140" s="6422">
        <f t="shared" si="57"/>
      </c>
      <c r="F140" s="6422" t="s">
        <v>6847</v>
      </c>
      <c r="G140" s="6486" t="s">
        <v>6899</v>
      </c>
      <c r="H140" s="6422" t="s">
        <v>6769</v>
      </c>
      <c r="I140" s="6422" t="s">
        <v>6770</v>
      </c>
      <c r="J140" s="6422"/>
      <c r="K140" s="6408"/>
      <c r="L140" s="6408"/>
      <c r="M140" s="6408"/>
      <c r="N140" s="6408"/>
      <c r="O140" s="6408"/>
      <c r="P140" s="6408"/>
      <c r="Q140" s="6408"/>
      <c r="R140" s="6408"/>
      <c r="S140" s="6408"/>
      <c r="T140" s="6408"/>
      <c r="U140" s="6410"/>
      <c r="V140" s="6410"/>
      <c r="W140" s="6410"/>
      <c r="X140" s="6410"/>
      <c r="Y140" s="6410"/>
    </row>
    <row r="141">
      <c r="A141" s="6418" t="s">
        <v>6900</v>
      </c>
      <c r="B141" s="6418">
        <v>46212</v>
      </c>
      <c r="C141" s="6418" t="str">
        <v>Thursday</v>
      </c>
      <c r="D141" s="6419" t="s">
        <v>6894</v>
      </c>
      <c r="E141" s="6422">
        <f t="shared" si="57"/>
      </c>
      <c r="F141" s="6422" t="s">
        <v>6892</v>
      </c>
      <c r="G141" s="6486"/>
      <c r="H141" s="6419"/>
      <c r="I141" s="6419"/>
      <c r="J141" s="6419"/>
      <c r="K141" s="6408"/>
      <c r="L141" s="6408"/>
      <c r="M141" s="6408"/>
      <c r="N141" s="6408"/>
      <c r="O141" s="6408"/>
      <c r="P141" s="6408"/>
      <c r="Q141" s="6408"/>
      <c r="R141" s="6408"/>
      <c r="S141" s="6408"/>
      <c r="T141" s="6408"/>
      <c r="U141" s="6410"/>
      <c r="V141" s="6410"/>
      <c r="W141" s="6410"/>
      <c r="X141" s="6410"/>
      <c r="Y141" s="6410"/>
    </row>
    <row r="142">
      <c r="A142" s="6418" t="s">
        <v>6901</v>
      </c>
      <c r="B142" s="6418">
        <v>46211</v>
      </c>
      <c r="C142" s="6418" t="str">
        <v>Wednesday</v>
      </c>
      <c r="D142" s="6419" t="s">
        <v>6902</v>
      </c>
      <c r="E142" s="6422">
        <f t="shared" si="57"/>
      </c>
      <c r="F142" s="6422" t="s">
        <v>6809</v>
      </c>
      <c r="G142" s="6486"/>
      <c r="H142" s="6419"/>
      <c r="I142" s="6419"/>
      <c r="J142" s="6419"/>
      <c r="K142" s="6408"/>
      <c r="L142" s="6408"/>
      <c r="M142" s="6408"/>
      <c r="N142" s="6408"/>
      <c r="O142" s="6408"/>
      <c r="P142" s="6408"/>
      <c r="Q142" s="6408"/>
      <c r="R142" s="6408"/>
      <c r="S142" s="6408"/>
      <c r="T142" s="6408"/>
      <c r="U142" s="6410"/>
      <c r="V142" s="6410"/>
      <c r="W142" s="6410"/>
      <c r="X142" s="6410"/>
      <c r="Y142" s="6410"/>
    </row>
    <row r="143">
      <c r="A143" s="6418" t="s">
        <v>6901</v>
      </c>
      <c r="B143" s="6418">
        <v>46212</v>
      </c>
      <c r="C143" s="6418" t="str">
        <v>Thursday</v>
      </c>
      <c r="D143" s="6419" t="s">
        <v>6774</v>
      </c>
      <c r="E143" s="6422">
        <f t="shared" si="57"/>
      </c>
      <c r="F143" s="6422" t="s">
        <v>6809</v>
      </c>
      <c r="G143" s="6486"/>
      <c r="H143" s="6419"/>
      <c r="I143" s="6419"/>
      <c r="J143" s="6419"/>
      <c r="K143" s="6408"/>
      <c r="L143" s="6408"/>
      <c r="M143" s="6408"/>
      <c r="N143" s="6408"/>
      <c r="O143" s="6408"/>
      <c r="P143" s="6408"/>
      <c r="Q143" s="6408"/>
      <c r="R143" s="6408"/>
      <c r="S143" s="6408"/>
      <c r="T143" s="6408"/>
      <c r="U143" s="6410"/>
      <c r="V143" s="6410"/>
      <c r="W143" s="6410"/>
      <c r="X143" s="6410"/>
      <c r="Y143" s="6410"/>
    </row>
    <row r="144">
      <c r="A144" s="6418" t="s">
        <v>6901</v>
      </c>
      <c r="B144" s="6418">
        <v>46212</v>
      </c>
      <c r="C144" s="6418" t="str">
        <v>Thursday</v>
      </c>
      <c r="D144" s="6419" t="s">
        <v>6858</v>
      </c>
      <c r="E144" s="6422">
        <f t="shared" si="57"/>
      </c>
      <c r="F144" s="6422" t="s">
        <v>6809</v>
      </c>
      <c r="G144" s="6486"/>
      <c r="H144" s="6419"/>
      <c r="I144" s="6419"/>
      <c r="J144" s="6419"/>
      <c r="K144" s="6408"/>
      <c r="L144" s="6408"/>
      <c r="M144" s="6408"/>
      <c r="N144" s="6408"/>
      <c r="O144" s="6408"/>
      <c r="P144" s="6408"/>
      <c r="Q144" s="6408"/>
      <c r="R144" s="6408"/>
      <c r="S144" s="6408"/>
      <c r="T144" s="6408"/>
      <c r="U144" s="6410"/>
      <c r="V144" s="6410"/>
      <c r="W144" s="6410"/>
      <c r="X144" s="6410"/>
      <c r="Y144" s="6410"/>
    </row>
    <row r="145">
      <c r="A145" s="6418" t="s">
        <v>6900</v>
      </c>
      <c r="B145" s="6418">
        <v>46213</v>
      </c>
      <c r="C145" s="6418" t="str">
        <v>Friday</v>
      </c>
      <c r="D145" s="6419" t="s">
        <v>6902</v>
      </c>
      <c r="E145" s="6422">
        <f t="shared" si="57"/>
      </c>
      <c r="F145" s="6422" t="s">
        <v>6809</v>
      </c>
      <c r="G145" s="6486"/>
      <c r="H145" s="6419"/>
      <c r="I145" s="6410"/>
      <c r="J145" s="6410"/>
      <c r="K145" s="6408"/>
      <c r="L145" s="6408"/>
      <c r="M145" s="6408"/>
      <c r="N145" s="6408"/>
      <c r="O145" s="6408"/>
      <c r="P145" s="6408"/>
      <c r="Q145" s="6408"/>
      <c r="R145" s="6408"/>
      <c r="S145" s="6408"/>
      <c r="T145" s="6408"/>
      <c r="U145" s="6410"/>
      <c r="V145" s="6410"/>
      <c r="W145" s="6410"/>
      <c r="X145" s="6410"/>
      <c r="Y145" s="6410"/>
    </row>
    <row r="146">
      <c r="A146" s="6418" t="s">
        <v>6901</v>
      </c>
      <c r="B146" s="6418">
        <v>46213</v>
      </c>
      <c r="C146" s="6418" t="str">
        <v>Friday</v>
      </c>
      <c r="D146" s="6419" t="s">
        <v>6848</v>
      </c>
      <c r="E146" s="6422">
        <f t="shared" si="57"/>
      </c>
      <c r="F146" s="6422" t="s">
        <v>6809</v>
      </c>
      <c r="G146" s="6486"/>
      <c r="H146" s="6419"/>
      <c r="I146" s="6410"/>
      <c r="J146" s="6410"/>
      <c r="K146" s="6408"/>
      <c r="L146" s="6408"/>
      <c r="M146" s="6408"/>
      <c r="N146" s="6408"/>
      <c r="O146" s="6408"/>
      <c r="P146" s="6408"/>
      <c r="Q146" s="6408"/>
      <c r="R146" s="6408"/>
      <c r="S146" s="6408"/>
      <c r="T146" s="6408"/>
      <c r="U146" s="6410"/>
      <c r="V146" s="6410"/>
      <c r="W146" s="6410"/>
      <c r="X146" s="6410"/>
      <c r="Y146" s="6410"/>
    </row>
    <row r="147">
      <c r="A147" s="6418" t="s">
        <v>6900</v>
      </c>
      <c r="B147" s="6418">
        <v>46214</v>
      </c>
      <c r="C147" s="6418" t="str">
        <v>Saturday</v>
      </c>
      <c r="D147" s="6419" t="s">
        <v>6903</v>
      </c>
      <c r="E147" s="6422">
        <f t="shared" si="57"/>
      </c>
      <c r="F147" s="6422" t="s">
        <v>6809</v>
      </c>
      <c r="G147" s="6486"/>
      <c r="H147" s="6419"/>
      <c r="I147" s="6410"/>
      <c r="J147" s="6410"/>
      <c r="K147" s="6408"/>
      <c r="L147" s="6408"/>
      <c r="M147" s="6408"/>
      <c r="N147" s="6408"/>
      <c r="O147" s="6408"/>
      <c r="P147" s="6408"/>
      <c r="Q147" s="6408"/>
      <c r="R147" s="6408"/>
      <c r="S147" s="6408"/>
      <c r="T147" s="6408"/>
      <c r="U147" s="6410"/>
      <c r="V147" s="6410"/>
      <c r="W147" s="6410"/>
      <c r="X147" s="6410"/>
      <c r="Y147" s="6410"/>
    </row>
    <row r="148">
      <c r="A148" s="6410"/>
      <c r="B148" s="6410"/>
      <c r="C148" s="6410"/>
      <c r="D148" s="6410"/>
      <c r="E148" s="6410"/>
      <c r="F148" s="6505"/>
      <c r="G148" s="6506"/>
      <c r="H148" s="6507"/>
      <c r="I148" s="6410"/>
      <c r="J148" s="6410"/>
      <c r="K148" s="6408"/>
      <c r="L148" s="6408"/>
      <c r="M148" s="6408"/>
      <c r="N148" s="6408"/>
      <c r="O148" s="6408"/>
      <c r="P148" s="6408"/>
      <c r="Q148" s="6408"/>
      <c r="R148" s="6408"/>
      <c r="S148" s="6408"/>
      <c r="T148" s="6408"/>
      <c r="U148" s="6410"/>
      <c r="V148" s="6410"/>
      <c r="W148" s="6410"/>
      <c r="X148" s="6410"/>
      <c r="Y148" s="6410"/>
    </row>
    <row r="149">
      <c r="A149" s="6508" t="s">
        <v>6904</v>
      </c>
      <c r="B149" s="6508"/>
      <c r="C149" s="6508"/>
      <c r="D149" s="6508"/>
      <c r="E149" s="6508"/>
      <c r="F149" s="6508"/>
      <c r="G149" s="6508"/>
      <c r="H149" s="6508"/>
      <c r="I149" s="6508"/>
      <c r="J149" s="6508"/>
      <c r="K149" s="6435"/>
      <c r="L149" s="6435"/>
      <c r="M149" s="6435"/>
      <c r="N149" s="6435"/>
      <c r="O149" s="6408"/>
      <c r="P149" s="6408"/>
      <c r="Q149" s="6408"/>
      <c r="R149" s="6408"/>
      <c r="S149" s="6408"/>
      <c r="T149" s="6408"/>
      <c r="U149" s="6410"/>
      <c r="V149" s="6410"/>
      <c r="W149" s="6410"/>
      <c r="X149" s="6410"/>
      <c r="Y149" s="6410"/>
    </row>
    <row r="150">
      <c r="A150" s="6509" t="s">
        <v>6757</v>
      </c>
      <c r="B150" s="6510" t="s">
        <v>6758</v>
      </c>
      <c r="C150" s="6510"/>
      <c r="D150" s="6511" t="s">
        <v>6759</v>
      </c>
      <c r="E150" s="6511" t="s">
        <v>6760</v>
      </c>
      <c r="F150" s="6511" t="s">
        <v>6761</v>
      </c>
      <c r="G150" s="6512" t="s">
        <v>6777</v>
      </c>
      <c r="H150" s="6511" t="s">
        <v>6763</v>
      </c>
      <c r="I150" s="6511" t="s">
        <v>6764</v>
      </c>
      <c r="J150" s="6511" t="s">
        <v>6765</v>
      </c>
      <c r="K150" s="6435"/>
      <c r="L150" s="6435"/>
      <c r="M150" s="6435"/>
      <c r="N150" s="6435"/>
      <c r="O150" s="6408"/>
      <c r="P150" s="6408"/>
      <c r="Q150" s="6408"/>
      <c r="R150" s="6408"/>
      <c r="S150" s="6408"/>
      <c r="T150" s="6408"/>
      <c r="U150" s="6410"/>
      <c r="V150" s="6410"/>
      <c r="W150" s="6410"/>
      <c r="X150" s="6410"/>
      <c r="Y150" s="6410"/>
    </row>
    <row r="151">
      <c r="A151" s="6418" t="s">
        <v>6904</v>
      </c>
      <c r="B151" s="6418">
        <v>46209</v>
      </c>
      <c r="C151" s="6418" t="str">
        <v>Monday</v>
      </c>
      <c r="D151" s="6419" t="s">
        <v>6905</v>
      </c>
      <c r="E151" s="6422">
        <f t="shared" ref="E151:E157" si="58">24*MOD(TIMEVALUE(TRIM(MID(D151,FIND("-",D151)+1,LEN(D151)))) - TIMEVALUE(TRIM(LEFT(D151,FIND("-",D151)-1))),1)</f>
      </c>
      <c r="F151" s="6422" t="s">
        <v>6772</v>
      </c>
      <c r="G151" s="6486" t="s">
        <v>6893</v>
      </c>
      <c r="H151" s="6419"/>
      <c r="I151" s="6419" t="s">
        <v>6770</v>
      </c>
      <c r="J151" s="6419"/>
      <c r="K151" s="6435"/>
      <c r="L151" s="6435"/>
      <c r="M151" s="6435"/>
      <c r="N151" s="6435"/>
      <c r="O151" s="6408"/>
      <c r="P151" s="6408"/>
      <c r="Q151" s="6408"/>
      <c r="R151" s="6408"/>
      <c r="S151" s="6408"/>
      <c r="T151" s="6408"/>
      <c r="U151" s="6410"/>
      <c r="V151" s="6410"/>
      <c r="W151" s="6410"/>
      <c r="X151" s="6410"/>
      <c r="Y151" s="6410"/>
    </row>
    <row r="152">
      <c r="A152" s="6418" t="s">
        <v>6904</v>
      </c>
      <c r="B152" s="6418">
        <v>46210</v>
      </c>
      <c r="C152" s="6418" t="str">
        <v>Tuesday</v>
      </c>
      <c r="D152" s="6419" t="s">
        <v>6905</v>
      </c>
      <c r="E152" s="6419">
        <f t="shared" si="58"/>
      </c>
      <c r="F152" s="6422" t="s">
        <v>6784</v>
      </c>
      <c r="G152" s="6431" t="s">
        <v>6899</v>
      </c>
      <c r="H152" s="6419" t="s">
        <v>6769</v>
      </c>
      <c r="I152" s="6419" t="s">
        <v>6770</v>
      </c>
      <c r="J152" s="6419"/>
      <c r="K152" s="6435"/>
      <c r="L152" s="6435"/>
      <c r="M152" s="6435"/>
      <c r="N152" s="6435"/>
      <c r="O152" s="6408"/>
      <c r="P152" s="6408"/>
      <c r="Q152" s="6408"/>
      <c r="R152" s="6408"/>
      <c r="S152" s="6408"/>
      <c r="T152" s="6408"/>
      <c r="U152" s="6409"/>
      <c r="V152" s="6409"/>
      <c r="W152" s="6409"/>
      <c r="X152" s="6409"/>
      <c r="Y152" s="6409"/>
    </row>
    <row r="153">
      <c r="A153" s="6418" t="s">
        <v>6904</v>
      </c>
      <c r="B153" s="6418">
        <v>46211</v>
      </c>
      <c r="C153" s="6418" t="str">
        <v>Wednesday</v>
      </c>
      <c r="D153" s="6419" t="s">
        <v>6905</v>
      </c>
      <c r="E153" s="6419">
        <f t="shared" si="58"/>
      </c>
      <c r="F153" s="6422" t="s">
        <v>6772</v>
      </c>
      <c r="G153" s="6486" t="s">
        <v>6899</v>
      </c>
      <c r="H153" s="6419" t="s">
        <v>6769</v>
      </c>
      <c r="I153" s="6419" t="s">
        <v>6770</v>
      </c>
      <c r="J153" s="6419"/>
      <c r="K153" s="6435"/>
      <c r="L153" s="6435"/>
      <c r="M153" s="6435"/>
      <c r="N153" s="6435"/>
      <c r="O153" s="6408"/>
      <c r="P153" s="6408"/>
      <c r="Q153" s="6408"/>
      <c r="R153" s="6408"/>
      <c r="S153" s="6408"/>
      <c r="T153" s="6408"/>
      <c r="U153" s="6410"/>
      <c r="V153" s="6410"/>
      <c r="W153" s="6410"/>
      <c r="X153" s="6410"/>
      <c r="Y153" s="6410"/>
    </row>
    <row r="154">
      <c r="A154" s="6418" t="s">
        <v>6904</v>
      </c>
      <c r="B154" s="6418">
        <v>46212</v>
      </c>
      <c r="C154" s="6418" t="str">
        <v>Thursday</v>
      </c>
      <c r="D154" s="6419" t="s">
        <v>6905</v>
      </c>
      <c r="E154" s="6419">
        <f t="shared" si="58"/>
      </c>
      <c r="F154" s="6422" t="s">
        <v>6784</v>
      </c>
      <c r="G154" s="6486" t="s">
        <v>6899</v>
      </c>
      <c r="H154" s="6419" t="s">
        <v>6769</v>
      </c>
      <c r="I154" s="6419" t="s">
        <v>6770</v>
      </c>
      <c r="J154" s="6419"/>
      <c r="K154" s="6435"/>
      <c r="L154" s="6435"/>
      <c r="M154" s="6435"/>
      <c r="N154" s="6435"/>
      <c r="O154" s="6408"/>
      <c r="P154" s="6408"/>
      <c r="Q154" s="6408"/>
      <c r="R154" s="6408"/>
      <c r="S154" s="6408"/>
      <c r="T154" s="6408"/>
      <c r="U154" s="6410"/>
      <c r="V154" s="6410"/>
      <c r="W154" s="6410"/>
      <c r="X154" s="6410"/>
      <c r="Y154" s="6410"/>
    </row>
    <row r="155">
      <c r="A155" s="6418" t="s">
        <v>6904</v>
      </c>
      <c r="B155" s="6418">
        <v>46213</v>
      </c>
      <c r="C155" s="6418" t="str">
        <v>Friday</v>
      </c>
      <c r="D155" s="6419" t="s">
        <v>6905</v>
      </c>
      <c r="E155" s="6419">
        <f t="shared" si="58"/>
      </c>
      <c r="F155" s="6422" t="s">
        <v>6784</v>
      </c>
      <c r="G155" s="6486" t="s">
        <v>6906</v>
      </c>
      <c r="H155" s="6419"/>
      <c r="I155" s="6419" t="s">
        <v>6770</v>
      </c>
      <c r="J155" s="6419"/>
      <c r="K155" s="6435"/>
      <c r="L155" s="6435"/>
      <c r="M155" s="6435"/>
      <c r="N155" s="6435"/>
      <c r="O155" s="6408"/>
      <c r="P155" s="6408"/>
      <c r="Q155" s="6408"/>
      <c r="R155" s="6408"/>
      <c r="S155" s="6408"/>
      <c r="T155" s="6408"/>
      <c r="U155" s="6410"/>
      <c r="V155" s="6410"/>
      <c r="W155" s="6410"/>
      <c r="X155" s="6410"/>
      <c r="Y155" s="6410"/>
    </row>
    <row r="156">
      <c r="A156" s="6418" t="s">
        <v>6904</v>
      </c>
      <c r="B156" s="6418">
        <v>46214</v>
      </c>
      <c r="C156" s="6418" t="str">
        <v>Saturday</v>
      </c>
      <c r="D156" s="6419" t="s">
        <v>6905</v>
      </c>
      <c r="E156" s="6419">
        <f t="shared" si="58"/>
      </c>
      <c r="F156" s="6422" t="s">
        <v>6784</v>
      </c>
      <c r="G156" s="6486" t="s">
        <v>6899</v>
      </c>
      <c r="H156" s="6419"/>
      <c r="I156" s="6419" t="s">
        <v>6770</v>
      </c>
      <c r="J156" s="6419"/>
      <c r="K156" s="6435"/>
      <c r="L156" s="6435"/>
      <c r="M156" s="6435"/>
      <c r="N156" s="6435"/>
      <c r="O156" s="6408"/>
      <c r="P156" s="6408"/>
      <c r="Q156" s="6408"/>
      <c r="R156" s="6408"/>
      <c r="S156" s="6408"/>
      <c r="T156" s="6408"/>
      <c r="U156" s="6410"/>
      <c r="V156" s="6410"/>
      <c r="W156" s="6410"/>
      <c r="X156" s="6410"/>
      <c r="Y156" s="6410"/>
    </row>
    <row r="157">
      <c r="A157" s="6418" t="s">
        <v>6907</v>
      </c>
      <c r="B157" s="6418">
        <v>46213</v>
      </c>
      <c r="C157" s="6418" t="str">
        <v>Friday</v>
      </c>
      <c r="D157" s="6419" t="s">
        <v>6905</v>
      </c>
      <c r="E157" s="6419">
        <f t="shared" si="58"/>
      </c>
      <c r="F157" s="6422" t="s">
        <v>6892</v>
      </c>
      <c r="G157" s="6486" t="s">
        <v>6790</v>
      </c>
      <c r="H157" s="6419"/>
      <c r="I157" s="6419"/>
      <c r="J157" s="6419"/>
      <c r="K157" s="6435"/>
      <c r="L157" s="6435"/>
      <c r="M157" s="6435"/>
      <c r="N157" s="6435"/>
      <c r="O157" s="6408"/>
      <c r="P157" s="6408"/>
      <c r="Q157" s="6408"/>
      <c r="R157" s="6408"/>
      <c r="S157" s="6408"/>
      <c r="T157" s="6408"/>
      <c r="U157" s="6410"/>
      <c r="V157" s="6410"/>
      <c r="W157" s="6410"/>
      <c r="X157" s="6410"/>
      <c r="Y157" s="6410"/>
    </row>
    <row r="158">
      <c r="A158" s="6410"/>
      <c r="B158" s="6410"/>
      <c r="C158" s="6410"/>
      <c r="D158" s="6410"/>
      <c r="E158" s="6410"/>
      <c r="F158" s="6410"/>
      <c r="G158" s="6410"/>
      <c r="H158" s="6410"/>
      <c r="I158" s="6410"/>
      <c r="J158" s="6410"/>
      <c r="K158" s="6410"/>
      <c r="L158" s="6410"/>
      <c r="M158" s="6410"/>
      <c r="N158" s="6410"/>
      <c r="O158" s="6410"/>
      <c r="P158" s="6410"/>
      <c r="Q158" s="6410"/>
      <c r="R158" s="6410"/>
      <c r="S158" s="6410"/>
      <c r="T158" s="6410"/>
      <c r="U158" s="6410"/>
      <c r="V158" s="6410"/>
      <c r="W158" s="6410"/>
      <c r="X158" s="6410"/>
      <c r="Y158" s="6410"/>
    </row>
    <row r="159">
      <c r="A159" s="6410"/>
      <c r="B159" s="6410"/>
      <c r="C159" s="6410"/>
      <c r="D159" s="6410"/>
      <c r="E159" s="6410"/>
      <c r="F159" s="6505"/>
      <c r="G159" s="6506"/>
      <c r="H159" s="6507"/>
      <c r="I159" s="6410"/>
      <c r="J159" s="6410"/>
      <c r="K159" s="6408"/>
      <c r="L159" s="6408"/>
      <c r="M159" s="6408"/>
      <c r="N159" s="6408"/>
      <c r="O159" s="6408"/>
      <c r="P159" s="6408"/>
      <c r="Q159" s="6408"/>
      <c r="R159" s="6408"/>
      <c r="S159" s="6408"/>
      <c r="T159" s="6408"/>
      <c r="U159" s="6410"/>
      <c r="V159" s="6410"/>
      <c r="W159" s="6410"/>
      <c r="X159" s="6410"/>
      <c r="Y159" s="6410"/>
    </row>
    <row r="160">
      <c r="A160" s="6513" t="s">
        <v>6908</v>
      </c>
      <c r="B160" s="6513"/>
      <c r="C160" s="6513"/>
      <c r="D160" s="6513"/>
      <c r="E160" s="6513"/>
      <c r="F160" s="6513"/>
      <c r="G160" s="6513"/>
      <c r="H160" s="6513"/>
      <c r="I160" s="6513"/>
      <c r="J160" s="6513"/>
      <c r="K160" s="6408"/>
      <c r="L160" s="6408"/>
      <c r="M160" s="6408"/>
      <c r="N160" s="6408"/>
      <c r="O160" s="6408"/>
      <c r="P160" s="6408"/>
      <c r="Q160" s="6408"/>
      <c r="R160" s="6408"/>
      <c r="S160" s="6408"/>
      <c r="T160" s="6408"/>
      <c r="U160" s="6410"/>
      <c r="V160" s="6410"/>
      <c r="W160" s="6410"/>
      <c r="X160" s="6410"/>
      <c r="Y160" s="6410"/>
    </row>
    <row r="161">
      <c r="A161" s="6514" t="s">
        <v>6757</v>
      </c>
      <c r="B161" s="6515" t="s">
        <v>6758</v>
      </c>
      <c r="C161" s="6515"/>
      <c r="D161" s="6516" t="s">
        <v>6759</v>
      </c>
      <c r="E161" s="6516" t="s">
        <v>6760</v>
      </c>
      <c r="F161" s="6516" t="s">
        <v>6761</v>
      </c>
      <c r="G161" s="6517" t="s">
        <v>6777</v>
      </c>
      <c r="H161" s="6516" t="s">
        <v>6763</v>
      </c>
      <c r="I161" s="6516" t="s">
        <v>6764</v>
      </c>
      <c r="J161" s="6516" t="s">
        <v>6765</v>
      </c>
      <c r="K161" s="6408"/>
      <c r="L161" s="6408"/>
      <c r="M161" s="6408"/>
      <c r="N161" s="6408"/>
      <c r="O161" s="6408"/>
      <c r="P161" s="6408"/>
      <c r="Q161" s="6408"/>
      <c r="R161" s="6408"/>
      <c r="S161" s="6408"/>
      <c r="T161" s="6408"/>
      <c r="U161" s="6410"/>
      <c r="V161" s="6410"/>
      <c r="W161" s="6410"/>
      <c r="X161" s="6410"/>
      <c r="Y161" s="6410"/>
    </row>
    <row r="162">
      <c r="A162" s="6418" t="s">
        <v>6909</v>
      </c>
      <c r="B162" s="6418">
        <v>46209</v>
      </c>
      <c r="C162" s="6418" t="str">
        <v>Monday</v>
      </c>
      <c r="D162" s="6441" t="s">
        <v>6836</v>
      </c>
      <c r="E162" s="6419">
        <f t="shared" ref="E162:E177" si="45">24*MOD(TIMEVALUE(TRIM(MID(D162,FIND("-",D162)+1,LEN(D162)))) - TIMEVALUE(TRIM(LEFT(D162,FIND("-",D162)-1))),12)</f>
      </c>
      <c r="F162" s="6419" t="s">
        <v>6768</v>
      </c>
      <c r="G162" s="6518" t="s">
        <v>6910</v>
      </c>
      <c r="H162" s="6419" t="s">
        <v>6769</v>
      </c>
      <c r="I162" s="6419" t="s">
        <v>6770</v>
      </c>
      <c r="J162" s="6419"/>
      <c r="K162" s="6408"/>
      <c r="L162" s="6408"/>
      <c r="M162" s="6408"/>
      <c r="N162" s="6408"/>
      <c r="O162" s="6408"/>
      <c r="P162" s="6408"/>
      <c r="Q162" s="6408"/>
      <c r="R162" s="6408"/>
      <c r="S162" s="6408"/>
      <c r="T162" s="6408"/>
      <c r="U162" s="6410"/>
      <c r="V162" s="6410"/>
      <c r="W162" s="6410"/>
      <c r="X162" s="6410"/>
      <c r="Y162" s="6410"/>
    </row>
    <row r="163">
      <c r="A163" s="6418" t="s">
        <v>6909</v>
      </c>
      <c r="B163" s="6418">
        <v>46210</v>
      </c>
      <c r="C163" s="6418" t="str">
        <v>Tuesday</v>
      </c>
      <c r="D163" s="6441" t="s">
        <v>6911</v>
      </c>
      <c r="E163" s="6419">
        <f t="shared" si="45"/>
      </c>
      <c r="F163" s="6419" t="s">
        <v>6768</v>
      </c>
      <c r="G163" s="6518" t="s">
        <v>6912</v>
      </c>
      <c r="H163" s="6419" t="s">
        <v>6769</v>
      </c>
      <c r="I163" s="6419" t="s">
        <v>6770</v>
      </c>
      <c r="J163" s="6419"/>
      <c r="K163" s="6408"/>
      <c r="L163" s="6408"/>
      <c r="M163" s="6408"/>
      <c r="N163" s="6408"/>
      <c r="O163" s="6408"/>
      <c r="P163" s="6408"/>
      <c r="Q163" s="6408"/>
      <c r="R163" s="6408"/>
      <c r="S163" s="6408"/>
      <c r="T163" s="6408"/>
      <c r="U163" s="6410"/>
      <c r="V163" s="6410"/>
      <c r="W163" s="6410"/>
      <c r="X163" s="6410"/>
      <c r="Y163" s="6410"/>
    </row>
    <row r="164">
      <c r="A164" s="6418" t="s">
        <v>6909</v>
      </c>
      <c r="B164" s="6418">
        <v>46211</v>
      </c>
      <c r="C164" s="6418" t="str">
        <v>Wednesday</v>
      </c>
      <c r="D164" s="6441" t="s">
        <v>6852</v>
      </c>
      <c r="E164" s="6419">
        <f t="shared" si="45"/>
      </c>
      <c r="F164" s="6519" t="s">
        <v>6892</v>
      </c>
      <c r="G164" s="6520" t="s">
        <v>6912</v>
      </c>
      <c r="H164" s="6442" t="s">
        <v>6769</v>
      </c>
      <c r="I164" s="6419" t="s">
        <v>6770</v>
      </c>
      <c r="J164" s="6419"/>
      <c r="K164" s="6408"/>
      <c r="L164" s="6408"/>
      <c r="M164" s="6408"/>
      <c r="N164" s="6408"/>
      <c r="O164" s="6408"/>
      <c r="P164" s="6408"/>
      <c r="Q164" s="6408"/>
      <c r="R164" s="6408"/>
      <c r="S164" s="6408"/>
      <c r="T164" s="6408"/>
      <c r="U164" s="6410"/>
      <c r="V164" s="6410"/>
      <c r="W164" s="6410"/>
      <c r="X164" s="6410"/>
      <c r="Y164" s="6410"/>
    </row>
    <row r="165">
      <c r="A165" s="6418" t="s">
        <v>6909</v>
      </c>
      <c r="B165" s="6418">
        <v>46212</v>
      </c>
      <c r="C165" s="6418" t="str">
        <v>Thursday</v>
      </c>
      <c r="D165" s="6441" t="s">
        <v>6913</v>
      </c>
      <c r="E165" s="6419">
        <f t="shared" si="45"/>
      </c>
      <c r="F165" s="6419" t="s">
        <v>6851</v>
      </c>
      <c r="G165" s="6520" t="s">
        <v>6914</v>
      </c>
      <c r="H165" s="6442" t="s">
        <v>6769</v>
      </c>
      <c r="I165" s="6419" t="s">
        <v>6770</v>
      </c>
      <c r="J165" s="6419"/>
      <c r="K165" s="6408"/>
      <c r="L165" s="6408"/>
      <c r="M165" s="6408"/>
      <c r="N165" s="6408"/>
      <c r="O165" s="6408"/>
      <c r="P165" s="6408"/>
      <c r="Q165" s="6408"/>
      <c r="R165" s="6408"/>
      <c r="S165" s="6408"/>
      <c r="T165" s="6408"/>
      <c r="U165" s="6410"/>
      <c r="V165" s="6410"/>
      <c r="W165" s="6410"/>
      <c r="X165" s="6410"/>
      <c r="Y165" s="6410"/>
    </row>
    <row r="166">
      <c r="A166" s="6418" t="s">
        <v>6909</v>
      </c>
      <c r="B166" s="6418">
        <v>46213</v>
      </c>
      <c r="C166" s="6418" t="str">
        <v>Friday</v>
      </c>
      <c r="D166" s="6441" t="s">
        <v>6830</v>
      </c>
      <c r="E166" s="6419">
        <f t="shared" si="45"/>
      </c>
      <c r="F166" s="6419" t="s">
        <v>6892</v>
      </c>
      <c r="G166" s="6520" t="s">
        <v>6824</v>
      </c>
      <c r="H166" s="6442" t="s">
        <v>6769</v>
      </c>
      <c r="I166" s="6419" t="s">
        <v>6770</v>
      </c>
      <c r="J166" s="6419"/>
      <c r="K166" s="6408"/>
      <c r="L166" s="6408"/>
      <c r="M166" s="6408"/>
      <c r="N166" s="6408"/>
      <c r="O166" s="6408"/>
      <c r="P166" s="6408"/>
      <c r="Q166" s="6408"/>
      <c r="R166" s="6408"/>
      <c r="S166" s="6408"/>
      <c r="T166" s="6408"/>
      <c r="U166" s="6410"/>
      <c r="V166" s="6410"/>
      <c r="W166" s="6410"/>
      <c r="X166" s="6410"/>
      <c r="Y166" s="6410"/>
    </row>
    <row r="167">
      <c r="A167" s="6473" t="s">
        <v>6909</v>
      </c>
      <c r="B167" s="6473">
        <v>46214</v>
      </c>
      <c r="C167" s="6473" t="str">
        <v>Saturday</v>
      </c>
      <c r="D167" s="6521" t="s">
        <v>6830</v>
      </c>
      <c r="E167" s="6447">
        <f t="shared" si="45"/>
      </c>
      <c r="F167" s="6447" t="s">
        <v>6915</v>
      </c>
      <c r="G167" s="6522" t="s">
        <v>6912</v>
      </c>
      <c r="H167" s="6523" t="s">
        <v>6769</v>
      </c>
      <c r="I167" s="6447" t="s">
        <v>6770</v>
      </c>
      <c r="J167" s="6447"/>
      <c r="K167" s="6476"/>
      <c r="L167" s="6476"/>
      <c r="M167" s="6476"/>
      <c r="N167" s="6476"/>
      <c r="O167" s="6476"/>
      <c r="P167" s="6476"/>
      <c r="Q167" s="6476"/>
      <c r="R167" s="6476"/>
      <c r="S167" s="6476"/>
      <c r="T167" s="6476"/>
      <c r="U167" s="6477"/>
      <c r="V167" s="6477"/>
      <c r="W167" s="6477"/>
      <c r="X167" s="6477"/>
      <c r="Y167" s="6477"/>
    </row>
    <row r="168">
      <c r="A168" s="6418" t="s">
        <v>6909</v>
      </c>
      <c r="B168" s="6418">
        <v>46215</v>
      </c>
      <c r="C168" s="6418" t="str">
        <v>Sunday</v>
      </c>
      <c r="D168" s="6441" t="s">
        <v>6913</v>
      </c>
      <c r="E168" s="6419">
        <f t="shared" si="45"/>
      </c>
      <c r="F168" s="6422" t="s">
        <v>6791</v>
      </c>
      <c r="G168" s="6520" t="s">
        <v>6912</v>
      </c>
      <c r="H168" s="6442" t="s">
        <v>6769</v>
      </c>
      <c r="I168" s="6419" t="s">
        <v>6770</v>
      </c>
      <c r="J168" s="6419"/>
      <c r="K168" s="6408"/>
      <c r="L168" s="6408"/>
      <c r="M168" s="6408"/>
      <c r="N168" s="6408"/>
      <c r="O168" s="6408"/>
      <c r="P168" s="6408"/>
      <c r="Q168" s="6408"/>
      <c r="R168" s="6408"/>
      <c r="S168" s="6408"/>
      <c r="T168" s="6408"/>
      <c r="U168" s="6410"/>
      <c r="V168" s="6410"/>
      <c r="W168" s="6410"/>
      <c r="X168" s="6410"/>
      <c r="Y168" s="6410"/>
    </row>
    <row r="169">
      <c r="A169" s="6524" t="s">
        <v>6916</v>
      </c>
      <c r="B169" s="6524">
        <v>46210</v>
      </c>
      <c r="C169" s="6524" t="str">
        <v>Tuesday</v>
      </c>
      <c r="D169" s="6525" t="s">
        <v>6917</v>
      </c>
      <c r="E169" s="6526">
        <f t="shared" si="45"/>
      </c>
      <c r="F169" s="6526" t="s">
        <v>6915</v>
      </c>
      <c r="G169" s="6527"/>
      <c r="H169" s="6526" t="s">
        <v>6769</v>
      </c>
      <c r="I169" s="6419" t="s">
        <v>6770</v>
      </c>
      <c r="J169" s="6526"/>
      <c r="K169" s="6528"/>
      <c r="L169" s="6528"/>
      <c r="M169" s="6528"/>
      <c r="N169" s="6528"/>
      <c r="O169" s="6528"/>
      <c r="P169" s="6528"/>
      <c r="Q169" s="6528"/>
      <c r="R169" s="6528"/>
      <c r="S169" s="6528"/>
      <c r="T169" s="6528"/>
      <c r="U169" s="6410"/>
      <c r="V169" s="6410"/>
      <c r="W169" s="6410"/>
      <c r="X169" s="6410"/>
      <c r="Y169" s="6410"/>
    </row>
    <row r="170">
      <c r="A170" s="6524" t="s">
        <v>6916</v>
      </c>
      <c r="B170" s="6524">
        <v>46210</v>
      </c>
      <c r="C170" s="6524" t="str">
        <v>Tuesday</v>
      </c>
      <c r="D170" s="6525" t="s">
        <v>6855</v>
      </c>
      <c r="E170" s="6526">
        <f t="shared" si="45"/>
      </c>
      <c r="F170" s="6529" t="s">
        <v>6918</v>
      </c>
      <c r="G170" s="6527"/>
      <c r="H170" s="6526" t="s">
        <v>6769</v>
      </c>
      <c r="I170" s="6419" t="s">
        <v>6770</v>
      </c>
      <c r="J170" s="6526"/>
      <c r="K170" s="6528"/>
      <c r="L170" s="6528"/>
      <c r="M170" s="6528"/>
      <c r="N170" s="6528"/>
      <c r="O170" s="6528"/>
      <c r="P170" s="6528"/>
      <c r="Q170" s="6528"/>
      <c r="R170" s="6528"/>
      <c r="S170" s="6528"/>
      <c r="T170" s="6528"/>
      <c r="U170" s="6410"/>
      <c r="V170" s="6410"/>
      <c r="W170" s="6410"/>
      <c r="X170" s="6410"/>
      <c r="Y170" s="6410"/>
    </row>
    <row r="171">
      <c r="A171" s="6524" t="s">
        <v>6919</v>
      </c>
      <c r="B171" s="6524">
        <v>46209</v>
      </c>
      <c r="C171" s="6524" t="str">
        <v>Monday</v>
      </c>
      <c r="D171" s="6525" t="s">
        <v>6836</v>
      </c>
      <c r="E171" s="6526">
        <f t="shared" si="45"/>
      </c>
      <c r="F171" s="6529" t="s">
        <v>6812</v>
      </c>
      <c r="G171" s="6527"/>
      <c r="H171" s="6526" t="s">
        <v>6769</v>
      </c>
      <c r="I171" s="6419" t="s">
        <v>6770</v>
      </c>
      <c r="J171" s="6526"/>
      <c r="K171" s="6528"/>
      <c r="L171" s="6528"/>
      <c r="M171" s="6528"/>
      <c r="N171" s="6528"/>
      <c r="O171" s="6528"/>
      <c r="P171" s="6528"/>
      <c r="Q171" s="6528"/>
      <c r="R171" s="6528"/>
      <c r="S171" s="6528"/>
      <c r="T171" s="6528"/>
      <c r="U171" s="6410"/>
      <c r="V171" s="6410"/>
      <c r="W171" s="6410"/>
      <c r="X171" s="6410"/>
      <c r="Y171" s="6410"/>
    </row>
    <row r="172">
      <c r="A172" s="6524" t="s">
        <v>6919</v>
      </c>
      <c r="B172" s="6524">
        <v>46210</v>
      </c>
      <c r="C172" s="6524" t="str">
        <v>Tuesday</v>
      </c>
      <c r="D172" s="6525" t="s">
        <v>6836</v>
      </c>
      <c r="E172" s="6526">
        <f t="shared" si="45"/>
      </c>
      <c r="F172" s="6529" t="s">
        <v>6912</v>
      </c>
      <c r="G172" s="6527"/>
      <c r="H172" s="6526" t="s">
        <v>6769</v>
      </c>
      <c r="I172" s="6419" t="s">
        <v>6770</v>
      </c>
      <c r="J172" s="6526"/>
      <c r="K172" s="6528"/>
      <c r="L172" s="6528"/>
      <c r="M172" s="6528"/>
      <c r="N172" s="6528"/>
      <c r="O172" s="6528"/>
      <c r="P172" s="6528"/>
      <c r="Q172" s="6528"/>
      <c r="R172" s="6528"/>
      <c r="S172" s="6528"/>
      <c r="T172" s="6528"/>
      <c r="U172" s="6410"/>
      <c r="V172" s="6410"/>
      <c r="W172" s="6410"/>
      <c r="X172" s="6410"/>
      <c r="Y172" s="6410"/>
    </row>
    <row r="173">
      <c r="A173" s="6524" t="s">
        <v>6919</v>
      </c>
      <c r="B173" s="6524">
        <v>46211</v>
      </c>
      <c r="C173" s="6524" t="str">
        <v>Wednesday</v>
      </c>
      <c r="D173" s="6525" t="s">
        <v>6920</v>
      </c>
      <c r="E173" s="6526">
        <f t="shared" si="45"/>
      </c>
      <c r="F173" s="6529" t="s">
        <v>6912</v>
      </c>
      <c r="G173" s="6527"/>
      <c r="H173" s="6526" t="s">
        <v>6769</v>
      </c>
      <c r="I173" s="6419" t="s">
        <v>6770</v>
      </c>
      <c r="J173" s="6526"/>
      <c r="K173" s="6528"/>
      <c r="L173" s="6528"/>
      <c r="M173" s="6528"/>
      <c r="N173" s="6528"/>
      <c r="O173" s="6528"/>
      <c r="P173" s="6528"/>
      <c r="Q173" s="6528"/>
      <c r="R173" s="6528"/>
      <c r="S173" s="6528"/>
      <c r="T173" s="6528"/>
      <c r="U173" s="6410"/>
      <c r="V173" s="6410"/>
      <c r="W173" s="6410"/>
      <c r="X173" s="6410"/>
      <c r="Y173" s="6410"/>
    </row>
    <row r="174">
      <c r="A174" s="6524" t="s">
        <v>6919</v>
      </c>
      <c r="B174" s="6524">
        <v>46212</v>
      </c>
      <c r="C174" s="6524" t="str">
        <v>Thursday</v>
      </c>
      <c r="D174" s="6525" t="s">
        <v>6913</v>
      </c>
      <c r="E174" s="6526">
        <f t="shared" si="45"/>
      </c>
      <c r="F174" s="6529" t="s">
        <v>6918</v>
      </c>
      <c r="G174" s="6527"/>
      <c r="H174" s="6526" t="s">
        <v>6769</v>
      </c>
      <c r="I174" s="6419" t="s">
        <v>6770</v>
      </c>
      <c r="J174" s="6526"/>
      <c r="K174" s="6528"/>
      <c r="L174" s="6528"/>
      <c r="M174" s="6528"/>
      <c r="N174" s="6528"/>
      <c r="O174" s="6528"/>
      <c r="P174" s="6528"/>
      <c r="Q174" s="6528"/>
      <c r="R174" s="6528"/>
      <c r="S174" s="6528"/>
      <c r="T174" s="6528"/>
      <c r="U174" s="6410"/>
      <c r="V174" s="6410"/>
      <c r="W174" s="6410"/>
      <c r="X174" s="6410"/>
      <c r="Y174" s="6410"/>
    </row>
    <row r="175">
      <c r="A175" s="6524" t="s">
        <v>6919</v>
      </c>
      <c r="B175" s="6524">
        <v>46213</v>
      </c>
      <c r="C175" s="6524" t="str">
        <v>Friday</v>
      </c>
      <c r="D175" s="6525" t="s">
        <v>6921</v>
      </c>
      <c r="E175" s="6526">
        <f t="shared" si="45"/>
      </c>
      <c r="F175" s="6529" t="s">
        <v>6824</v>
      </c>
      <c r="G175" s="6527"/>
      <c r="H175" s="6526" t="s">
        <v>6810</v>
      </c>
      <c r="I175" s="6419" t="s">
        <v>6770</v>
      </c>
      <c r="J175" s="6526"/>
      <c r="K175" s="6528"/>
      <c r="L175" s="6528"/>
      <c r="M175" s="6528"/>
      <c r="N175" s="6528"/>
      <c r="O175" s="6528"/>
      <c r="P175" s="6528"/>
      <c r="Q175" s="6528"/>
      <c r="R175" s="6528"/>
      <c r="S175" s="6528"/>
      <c r="T175" s="6528"/>
      <c r="U175" s="6410"/>
      <c r="V175" s="6410"/>
      <c r="W175" s="6410"/>
      <c r="X175" s="6410"/>
      <c r="Y175" s="6410"/>
    </row>
    <row r="176">
      <c r="A176" s="6473" t="s">
        <v>6919</v>
      </c>
      <c r="B176" s="6473">
        <v>46214</v>
      </c>
      <c r="C176" s="6473" t="str">
        <v>Saturday</v>
      </c>
      <c r="D176" s="6521" t="s">
        <v>6852</v>
      </c>
      <c r="E176" s="6447">
        <f t="shared" si="45"/>
      </c>
      <c r="F176" s="6530" t="s">
        <v>6912</v>
      </c>
      <c r="G176" s="6531"/>
      <c r="H176" s="6447" t="s">
        <v>6810</v>
      </c>
      <c r="I176" s="6447" t="s">
        <v>6770</v>
      </c>
      <c r="J176" s="6447"/>
      <c r="K176" s="6476"/>
      <c r="L176" s="6476"/>
      <c r="M176" s="6476"/>
      <c r="N176" s="6476"/>
      <c r="O176" s="6476"/>
      <c r="P176" s="6476"/>
      <c r="Q176" s="6476"/>
      <c r="R176" s="6476"/>
      <c r="S176" s="6476"/>
      <c r="T176" s="6476"/>
      <c r="U176" s="6477"/>
      <c r="V176" s="6477"/>
      <c r="W176" s="6477"/>
      <c r="X176" s="6477"/>
      <c r="Y176" s="6477"/>
    </row>
    <row r="177">
      <c r="A177" s="6524" t="s">
        <v>6919</v>
      </c>
      <c r="B177" s="6524">
        <v>46215</v>
      </c>
      <c r="C177" s="6524" t="str">
        <v>Sunday</v>
      </c>
      <c r="D177" s="6525" t="s">
        <v>6913</v>
      </c>
      <c r="E177" s="6526">
        <f t="shared" si="45"/>
      </c>
      <c r="F177" s="6529" t="s">
        <v>6912</v>
      </c>
      <c r="G177" s="6527"/>
      <c r="H177" s="6526" t="s">
        <v>6769</v>
      </c>
      <c r="I177" s="6419" t="s">
        <v>6770</v>
      </c>
      <c r="J177" s="6526"/>
      <c r="K177" s="6528"/>
      <c r="L177" s="6528"/>
      <c r="M177" s="6528"/>
      <c r="N177" s="6528"/>
      <c r="O177" s="6528"/>
      <c r="P177" s="6528"/>
      <c r="Q177" s="6528"/>
      <c r="R177" s="6528"/>
      <c r="S177" s="6528"/>
      <c r="T177" s="6528"/>
      <c r="U177" s="6410"/>
      <c r="V177" s="6410"/>
      <c r="W177" s="6410"/>
      <c r="X177" s="6410"/>
      <c r="Y177" s="6410"/>
    </row>
    <row r="178">
      <c r="A178" s="6410"/>
      <c r="B178" s="6410"/>
      <c r="C178" s="6410"/>
      <c r="D178" s="6410"/>
      <c r="E178" s="6410"/>
      <c r="F178" s="6505"/>
      <c r="G178" s="6506"/>
      <c r="H178" s="6507"/>
      <c r="I178" s="6410"/>
      <c r="J178" s="6410"/>
      <c r="K178" s="6408"/>
      <c r="L178" s="6408"/>
      <c r="M178" s="6408"/>
      <c r="N178" s="6408"/>
      <c r="O178" s="6408"/>
      <c r="P178" s="6408"/>
      <c r="Q178" s="6408"/>
      <c r="R178" s="6408"/>
      <c r="S178" s="6408"/>
      <c r="T178" s="6408"/>
      <c r="U178" s="6410"/>
      <c r="V178" s="6410"/>
      <c r="W178" s="6410"/>
      <c r="X178" s="6410"/>
      <c r="Y178" s="6410"/>
    </row>
    <row r="179">
      <c r="A179" s="6532" t="s">
        <v>6922</v>
      </c>
      <c r="B179" s="6532"/>
      <c r="C179" s="6532"/>
      <c r="D179" s="6532"/>
      <c r="E179" s="6532"/>
      <c r="F179" s="6532"/>
      <c r="G179" s="6532"/>
      <c r="H179" s="6532"/>
      <c r="I179" s="6532"/>
      <c r="J179" s="6532"/>
      <c r="K179" s="6408"/>
      <c r="L179" s="6408"/>
      <c r="M179" s="6408"/>
      <c r="N179" s="6408"/>
      <c r="O179" s="6408"/>
      <c r="P179" s="6408"/>
      <c r="Q179" s="6408"/>
      <c r="R179" s="6408"/>
      <c r="S179" s="6408"/>
      <c r="T179" s="6408"/>
      <c r="U179" s="6410"/>
      <c r="V179" s="6410"/>
      <c r="W179" s="6410"/>
      <c r="X179" s="6410"/>
      <c r="Y179" s="6410"/>
    </row>
    <row r="180">
      <c r="A180" s="6533" t="s">
        <v>6757</v>
      </c>
      <c r="B180" s="6534" t="s">
        <v>6758</v>
      </c>
      <c r="C180" s="6534"/>
      <c r="D180" s="6535" t="s">
        <v>6759</v>
      </c>
      <c r="E180" s="6535" t="s">
        <v>6760</v>
      </c>
      <c r="F180" s="6535" t="s">
        <v>6761</v>
      </c>
      <c r="G180" s="6536" t="s">
        <v>6777</v>
      </c>
      <c r="H180" s="6535" t="s">
        <v>6763</v>
      </c>
      <c r="I180" s="6535" t="s">
        <v>6764</v>
      </c>
      <c r="J180" s="6535" t="s">
        <v>6765</v>
      </c>
      <c r="K180" s="6408"/>
      <c r="L180" s="6408"/>
      <c r="M180" s="6408"/>
      <c r="N180" s="6408"/>
      <c r="O180" s="6408"/>
      <c r="P180" s="6408"/>
      <c r="Q180" s="6408"/>
      <c r="R180" s="6408"/>
      <c r="S180" s="6408"/>
      <c r="T180" s="6408"/>
      <c r="U180" s="6410"/>
      <c r="V180" s="6410"/>
      <c r="W180" s="6410"/>
      <c r="X180" s="6410"/>
      <c r="Y180" s="6410"/>
    </row>
    <row r="181">
      <c r="A181" s="6418" t="s">
        <v>6923</v>
      </c>
      <c r="B181" s="6418">
        <v>46209</v>
      </c>
      <c r="C181" s="6418" t="str">
        <v>Monday</v>
      </c>
      <c r="D181" s="6419" t="s">
        <v>6785</v>
      </c>
      <c r="E181" s="6419">
        <f t="shared" ref="E181:E197" si="59">24*MOD(TIMEVALUE(TRIM(MID(D181,FIND("-",D181)+1,LEN(D181)))) - TIMEVALUE(TRIM(LEFT(D181,FIND("-",D181)-1))),1)</f>
      </c>
      <c r="F181" s="6537" t="s">
        <v>6849</v>
      </c>
      <c r="G181" s="6431" t="s">
        <v>6824</v>
      </c>
      <c r="H181" s="6419"/>
      <c r="I181" s="6419" t="s">
        <v>6770</v>
      </c>
      <c r="J181" s="6419"/>
      <c r="K181" s="6408"/>
      <c r="L181" s="6408"/>
      <c r="M181" s="6408"/>
      <c r="N181" s="6408"/>
      <c r="O181" s="6408"/>
      <c r="P181" s="6408"/>
      <c r="Q181" s="6408"/>
      <c r="R181" s="6408"/>
      <c r="S181" s="6408"/>
      <c r="T181" s="6408"/>
      <c r="U181" s="6410"/>
      <c r="V181" s="6410"/>
      <c r="W181" s="6410"/>
      <c r="X181" s="6410"/>
      <c r="Y181" s="6410"/>
    </row>
    <row r="182">
      <c r="A182" s="6418" t="s">
        <v>6923</v>
      </c>
      <c r="B182" s="6418">
        <v>46210</v>
      </c>
      <c r="C182" s="6418" t="str">
        <v>Tuesday</v>
      </c>
      <c r="D182" s="6419" t="s">
        <v>6840</v>
      </c>
      <c r="E182" s="6419">
        <f t="shared" si="59"/>
      </c>
      <c r="F182" s="6537" t="s">
        <v>6856</v>
      </c>
      <c r="G182" s="6431" t="s">
        <v>6824</v>
      </c>
      <c r="H182" s="6419"/>
      <c r="I182" s="6419" t="s">
        <v>6770</v>
      </c>
      <c r="J182" s="6419"/>
      <c r="K182" s="6408"/>
      <c r="L182" s="6408"/>
      <c r="M182" s="6408"/>
      <c r="N182" s="6408"/>
      <c r="O182" s="6408"/>
      <c r="P182" s="6408"/>
      <c r="Q182" s="6408"/>
      <c r="R182" s="6408"/>
      <c r="S182" s="6408"/>
      <c r="T182" s="6408"/>
      <c r="U182" s="6410"/>
      <c r="V182" s="6410"/>
      <c r="W182" s="6410"/>
      <c r="X182" s="6410"/>
      <c r="Y182" s="6410"/>
    </row>
    <row r="183">
      <c r="A183" s="6418" t="s">
        <v>6923</v>
      </c>
      <c r="B183" s="6418">
        <v>46211</v>
      </c>
      <c r="C183" s="6418" t="str">
        <v>Wednesday</v>
      </c>
      <c r="D183" s="6419" t="s">
        <v>6785</v>
      </c>
      <c r="E183" s="6419">
        <f t="shared" si="59"/>
      </c>
      <c r="F183" s="6537" t="s">
        <v>6849</v>
      </c>
      <c r="G183" s="6431" t="s">
        <v>6924</v>
      </c>
      <c r="H183" s="6419"/>
      <c r="I183" s="6419" t="s">
        <v>6770</v>
      </c>
      <c r="J183" s="6419"/>
      <c r="K183" s="6408"/>
      <c r="L183" s="6408"/>
      <c r="M183" s="6408"/>
      <c r="N183" s="6408"/>
      <c r="O183" s="6408"/>
      <c r="P183" s="6408"/>
      <c r="Q183" s="6408"/>
      <c r="R183" s="6408"/>
      <c r="S183" s="6408"/>
      <c r="T183" s="6408"/>
      <c r="U183" s="6409"/>
      <c r="V183" s="6409"/>
      <c r="W183" s="6409"/>
      <c r="X183" s="6409"/>
      <c r="Y183" s="6409"/>
    </row>
    <row r="184">
      <c r="A184" s="6418" t="s">
        <v>6923</v>
      </c>
      <c r="B184" s="6418">
        <v>46212</v>
      </c>
      <c r="C184" s="6418" t="str">
        <v>Thursday</v>
      </c>
      <c r="D184" s="6419" t="s">
        <v>6785</v>
      </c>
      <c r="E184" s="6419">
        <f t="shared" si="59"/>
      </c>
      <c r="F184" s="6537" t="s">
        <v>6847</v>
      </c>
      <c r="G184" s="6431" t="s">
        <v>6824</v>
      </c>
      <c r="H184" s="6419"/>
      <c r="I184" s="6419" t="s">
        <v>6770</v>
      </c>
      <c r="J184" s="6419"/>
      <c r="K184" s="6408"/>
      <c r="L184" s="6408"/>
      <c r="M184" s="6408"/>
      <c r="N184" s="6408"/>
      <c r="O184" s="6408"/>
      <c r="P184" s="6408"/>
      <c r="Q184" s="6408"/>
      <c r="R184" s="6408"/>
      <c r="S184" s="6408"/>
      <c r="T184" s="6408"/>
      <c r="U184" s="6410"/>
      <c r="V184" s="6410"/>
      <c r="W184" s="6410"/>
      <c r="X184" s="6410"/>
      <c r="Y184" s="6410"/>
    </row>
    <row r="185">
      <c r="A185" s="6418" t="s">
        <v>6923</v>
      </c>
      <c r="B185" s="6418">
        <v>46213</v>
      </c>
      <c r="C185" s="6418" t="str">
        <v>Friday</v>
      </c>
      <c r="D185" s="6419" t="s">
        <v>6785</v>
      </c>
      <c r="E185" s="6419">
        <f t="shared" si="59"/>
      </c>
      <c r="F185" s="6537" t="s">
        <v>6856</v>
      </c>
      <c r="G185" s="6431" t="s">
        <v>6824</v>
      </c>
      <c r="H185" s="6419"/>
      <c r="I185" s="6419" t="s">
        <v>6770</v>
      </c>
      <c r="J185" s="6419"/>
      <c r="K185" s="6408"/>
      <c r="L185" s="6408"/>
      <c r="M185" s="6408"/>
      <c r="N185" s="6408"/>
      <c r="O185" s="6408"/>
      <c r="P185" s="6408"/>
      <c r="Q185" s="6408"/>
      <c r="R185" s="6408"/>
      <c r="S185" s="6408"/>
      <c r="T185" s="6408"/>
      <c r="U185" s="6410"/>
      <c r="V185" s="6410"/>
      <c r="W185" s="6410"/>
      <c r="X185" s="6410"/>
      <c r="Y185" s="6410"/>
    </row>
    <row r="186">
      <c r="A186" s="6418" t="s">
        <v>6923</v>
      </c>
      <c r="B186" s="6418">
        <v>46214</v>
      </c>
      <c r="C186" s="6418" t="str">
        <v>Saturday</v>
      </c>
      <c r="D186" s="6419" t="s">
        <v>6852</v>
      </c>
      <c r="E186" s="6419">
        <f t="shared" si="59"/>
      </c>
      <c r="F186" s="6537" t="s">
        <v>6925</v>
      </c>
      <c r="G186" s="6431" t="s">
        <v>6926</v>
      </c>
      <c r="H186" s="6419"/>
      <c r="I186" s="6419" t="s">
        <v>6770</v>
      </c>
      <c r="J186" s="6419"/>
      <c r="K186" s="6408"/>
      <c r="L186" s="6408"/>
      <c r="M186" s="6408"/>
      <c r="N186" s="6408"/>
      <c r="O186" s="6408"/>
      <c r="P186" s="6408"/>
      <c r="Q186" s="6408"/>
      <c r="R186" s="6408"/>
      <c r="S186" s="6408"/>
      <c r="T186" s="6408"/>
      <c r="U186" s="6410"/>
      <c r="V186" s="6410"/>
      <c r="W186" s="6410"/>
      <c r="X186" s="6410"/>
      <c r="Y186" s="6410"/>
    </row>
    <row r="187">
      <c r="A187" s="6418" t="s">
        <v>6923</v>
      </c>
      <c r="B187" s="6418">
        <v>46215</v>
      </c>
      <c r="C187" s="6418" t="str">
        <v>Sunday</v>
      </c>
      <c r="D187" s="6419" t="s">
        <v>6852</v>
      </c>
      <c r="E187" s="6419">
        <f t="shared" si="59"/>
      </c>
      <c r="F187" s="6537" t="s">
        <v>6856</v>
      </c>
      <c r="G187" s="6431" t="s">
        <v>6781</v>
      </c>
      <c r="H187" s="6419"/>
      <c r="I187" s="6419" t="s">
        <v>6770</v>
      </c>
      <c r="J187" s="6419"/>
      <c r="K187" s="6408"/>
      <c r="L187" s="6408"/>
      <c r="M187" s="6408"/>
      <c r="N187" s="6408"/>
      <c r="O187" s="6408"/>
      <c r="P187" s="6408"/>
      <c r="Q187" s="6408"/>
      <c r="R187" s="6408"/>
      <c r="S187" s="6408"/>
      <c r="T187" s="6408"/>
      <c r="U187" s="6410"/>
      <c r="V187" s="6410"/>
      <c r="W187" s="6410"/>
      <c r="X187" s="6410"/>
      <c r="Y187" s="6410"/>
    </row>
    <row r="188">
      <c r="A188" s="6418" t="s">
        <v>6927</v>
      </c>
      <c r="B188" s="6418">
        <v>46214</v>
      </c>
      <c r="C188" s="6418" t="str">
        <v>Saturday</v>
      </c>
      <c r="D188" s="6419" t="s">
        <v>6928</v>
      </c>
      <c r="E188" s="6419">
        <f t="shared" si="59"/>
      </c>
      <c r="F188" s="6537" t="s">
        <v>6781</v>
      </c>
      <c r="G188" s="6431" t="s">
        <v>6926</v>
      </c>
      <c r="H188" s="6419"/>
      <c r="I188" s="6419" t="s">
        <v>6770</v>
      </c>
      <c r="J188" s="6419"/>
      <c r="K188" s="6408"/>
      <c r="L188" s="6408"/>
      <c r="M188" s="6408"/>
      <c r="N188" s="6408"/>
      <c r="O188" s="6408"/>
      <c r="P188" s="6408"/>
      <c r="Q188" s="6408"/>
      <c r="R188" s="6408"/>
      <c r="S188" s="6408"/>
      <c r="T188" s="6408"/>
      <c r="U188" s="6410"/>
      <c r="V188" s="6410"/>
      <c r="W188" s="6410"/>
      <c r="X188" s="6410"/>
      <c r="Y188" s="6410"/>
    </row>
    <row r="189">
      <c r="A189" s="6418" t="s">
        <v>6927</v>
      </c>
      <c r="B189" s="6418">
        <v>46212</v>
      </c>
      <c r="C189" s="6418" t="str">
        <v>Thursday</v>
      </c>
      <c r="D189" s="6419" t="s">
        <v>6855</v>
      </c>
      <c r="E189" s="6419">
        <f t="shared" si="59"/>
      </c>
      <c r="F189" s="6537" t="s">
        <v>6824</v>
      </c>
      <c r="G189" s="6431" t="s">
        <v>6926</v>
      </c>
      <c r="H189" s="6419"/>
      <c r="I189" s="6419" t="s">
        <v>6770</v>
      </c>
      <c r="J189" s="6419"/>
      <c r="K189" s="6408"/>
      <c r="L189" s="6408"/>
      <c r="M189" s="6408"/>
      <c r="N189" s="6408"/>
      <c r="O189" s="6408"/>
      <c r="P189" s="6408"/>
      <c r="Q189" s="6408"/>
      <c r="R189" s="6408"/>
      <c r="S189" s="6408"/>
      <c r="T189" s="6408"/>
      <c r="U189" s="6410"/>
      <c r="V189" s="6410"/>
      <c r="W189" s="6410"/>
      <c r="X189" s="6410"/>
      <c r="Y189" s="6410"/>
    </row>
    <row r="190">
      <c r="A190" s="6418" t="s">
        <v>6927</v>
      </c>
      <c r="B190" s="6418">
        <v>46213</v>
      </c>
      <c r="C190" s="6418" t="str">
        <v>Friday</v>
      </c>
      <c r="D190" s="6419" t="s">
        <v>6830</v>
      </c>
      <c r="E190" s="6419">
        <f t="shared" si="59"/>
      </c>
      <c r="F190" s="6537" t="s">
        <v>6929</v>
      </c>
      <c r="G190" s="6431" t="s">
        <v>6926</v>
      </c>
      <c r="H190" s="6419"/>
      <c r="I190" s="6419" t="s">
        <v>6770</v>
      </c>
      <c r="J190" s="6419"/>
      <c r="K190" s="6408"/>
      <c r="L190" s="6408"/>
      <c r="M190" s="6408"/>
      <c r="N190" s="6408"/>
      <c r="O190" s="6408"/>
      <c r="P190" s="6408"/>
      <c r="Q190" s="6408"/>
      <c r="R190" s="6408"/>
      <c r="S190" s="6408"/>
      <c r="T190" s="6408"/>
      <c r="U190" s="6410"/>
      <c r="V190" s="6410"/>
      <c r="W190" s="6410"/>
      <c r="X190" s="6410"/>
      <c r="Y190" s="6410"/>
    </row>
    <row r="191">
      <c r="A191" s="6418" t="s">
        <v>6927</v>
      </c>
      <c r="B191" s="6418">
        <v>46213</v>
      </c>
      <c r="C191" s="6418" t="str">
        <v>Friday</v>
      </c>
      <c r="D191" s="6419" t="s">
        <v>6785</v>
      </c>
      <c r="E191" s="6419">
        <f t="shared" si="59"/>
      </c>
      <c r="F191" s="6537" t="s">
        <v>6929</v>
      </c>
      <c r="G191" s="6431" t="s">
        <v>6926</v>
      </c>
      <c r="H191" s="6419"/>
      <c r="I191" s="6419" t="s">
        <v>6770</v>
      </c>
      <c r="J191" s="6419"/>
      <c r="K191" s="6408"/>
      <c r="L191" s="6408"/>
      <c r="M191" s="6408"/>
      <c r="N191" s="6408"/>
      <c r="O191" s="6408"/>
      <c r="P191" s="6408"/>
      <c r="Q191" s="6408"/>
      <c r="R191" s="6408"/>
      <c r="S191" s="6408"/>
      <c r="T191" s="6408"/>
      <c r="U191" s="6410"/>
      <c r="V191" s="6410"/>
      <c r="W191" s="6410"/>
      <c r="X191" s="6410"/>
      <c r="Y191" s="6410"/>
    </row>
    <row r="192">
      <c r="A192" s="6418" t="s">
        <v>6930</v>
      </c>
      <c r="B192" s="6418">
        <v>46209</v>
      </c>
      <c r="C192" s="6418" t="str">
        <v>Monday</v>
      </c>
      <c r="D192" s="6419" t="s">
        <v>6931</v>
      </c>
      <c r="E192" s="6419">
        <f t="shared" si="59"/>
      </c>
      <c r="F192" s="6538" t="s">
        <v>6824</v>
      </c>
      <c r="G192" s="6431"/>
      <c r="H192" s="6419"/>
      <c r="I192" s="6419" t="s">
        <v>6770</v>
      </c>
      <c r="J192" s="6419"/>
      <c r="K192" s="6408"/>
      <c r="L192" s="6408"/>
      <c r="M192" s="6408"/>
      <c r="N192" s="6408"/>
      <c r="O192" s="6408"/>
      <c r="P192" s="6408"/>
      <c r="Q192" s="6408"/>
      <c r="R192" s="6408"/>
      <c r="S192" s="6408"/>
      <c r="T192" s="6408"/>
      <c r="U192" s="6410"/>
      <c r="V192" s="6410"/>
      <c r="W192" s="6410"/>
      <c r="X192" s="6410"/>
      <c r="Y192" s="6410"/>
    </row>
    <row r="193">
      <c r="A193" s="6418" t="s">
        <v>6930</v>
      </c>
      <c r="B193" s="6418">
        <v>46210</v>
      </c>
      <c r="C193" s="6418" t="str">
        <v>Tuesday</v>
      </c>
      <c r="D193" s="6419" t="s">
        <v>6932</v>
      </c>
      <c r="E193" s="6419">
        <f t="shared" si="59"/>
      </c>
      <c r="F193" s="6537" t="s">
        <v>6824</v>
      </c>
      <c r="G193" s="6431"/>
      <c r="H193" s="6419"/>
      <c r="I193" s="6419" t="s">
        <v>6770</v>
      </c>
      <c r="J193" s="6419"/>
      <c r="K193" s="6408"/>
      <c r="L193" s="6408"/>
      <c r="M193" s="6408"/>
      <c r="N193" s="6408"/>
      <c r="O193" s="6408"/>
      <c r="P193" s="6408"/>
      <c r="Q193" s="6408"/>
      <c r="R193" s="6408"/>
      <c r="S193" s="6408"/>
      <c r="T193" s="6408"/>
      <c r="U193" s="6410"/>
      <c r="V193" s="6410"/>
      <c r="W193" s="6410"/>
      <c r="X193" s="6410"/>
      <c r="Y193" s="6410"/>
    </row>
    <row r="194">
      <c r="A194" s="6473" t="s">
        <v>6930</v>
      </c>
      <c r="B194" s="6473">
        <v>46211</v>
      </c>
      <c r="C194" s="6473" t="str">
        <v>Wednesday</v>
      </c>
      <c r="D194" s="6447" t="s">
        <v>6785</v>
      </c>
      <c r="E194" s="6447">
        <f t="shared" si="59"/>
      </c>
      <c r="F194" s="6539" t="s">
        <v>6933</v>
      </c>
      <c r="G194" s="6504"/>
      <c r="H194" s="6447"/>
      <c r="I194" s="6447" t="s">
        <v>6770</v>
      </c>
      <c r="J194" s="6447"/>
      <c r="K194" s="6476"/>
      <c r="L194" s="6476"/>
      <c r="M194" s="6476"/>
      <c r="N194" s="6476"/>
      <c r="O194" s="6476"/>
      <c r="P194" s="6476"/>
      <c r="Q194" s="6476"/>
      <c r="R194" s="6476"/>
      <c r="S194" s="6476"/>
      <c r="T194" s="6476"/>
      <c r="U194" s="6477"/>
      <c r="V194" s="6477"/>
      <c r="W194" s="6477"/>
      <c r="X194" s="6477"/>
      <c r="Y194" s="6477"/>
    </row>
    <row r="195">
      <c r="A195" s="6418" t="s">
        <v>6930</v>
      </c>
      <c r="B195" s="6418">
        <v>46212</v>
      </c>
      <c r="C195" s="6418" t="str">
        <v>Thursday</v>
      </c>
      <c r="D195" s="6419" t="s">
        <v>6934</v>
      </c>
      <c r="E195" s="6419">
        <f t="shared" si="59"/>
      </c>
      <c r="F195" s="6537" t="s">
        <v>6824</v>
      </c>
      <c r="G195" s="6431"/>
      <c r="H195" s="6419"/>
      <c r="I195" s="6419" t="s">
        <v>6770</v>
      </c>
      <c r="J195" s="6419"/>
      <c r="K195" s="6408"/>
      <c r="L195" s="6408"/>
      <c r="M195" s="6408"/>
      <c r="N195" s="6408"/>
      <c r="O195" s="6408"/>
      <c r="P195" s="6408"/>
      <c r="Q195" s="6408"/>
      <c r="R195" s="6408"/>
      <c r="S195" s="6408"/>
      <c r="T195" s="6408"/>
      <c r="U195" s="6410"/>
      <c r="V195" s="6410"/>
      <c r="W195" s="6410"/>
      <c r="X195" s="6410"/>
      <c r="Y195" s="6410"/>
    </row>
    <row r="196">
      <c r="A196" s="6418" t="s">
        <v>6930</v>
      </c>
      <c r="B196" s="6418">
        <v>46213</v>
      </c>
      <c r="C196" s="6418" t="str">
        <v>Friday</v>
      </c>
      <c r="D196" s="6419" t="s">
        <v>6934</v>
      </c>
      <c r="E196" s="6419">
        <f t="shared" si="59"/>
      </c>
      <c r="F196" s="6537" t="s">
        <v>6824</v>
      </c>
      <c r="G196" s="6431"/>
      <c r="H196" s="6419"/>
      <c r="I196" s="6419" t="s">
        <v>6770</v>
      </c>
      <c r="J196" s="6419"/>
      <c r="K196" s="6408"/>
      <c r="L196" s="6408"/>
      <c r="M196" s="6408"/>
      <c r="N196" s="6408"/>
      <c r="O196" s="6408"/>
      <c r="P196" s="6408"/>
      <c r="Q196" s="6408"/>
      <c r="R196" s="6408"/>
      <c r="S196" s="6408"/>
      <c r="T196" s="6408"/>
      <c r="U196" s="6410"/>
      <c r="V196" s="6410"/>
      <c r="W196" s="6410"/>
      <c r="X196" s="6410"/>
      <c r="Y196" s="6410"/>
    </row>
    <row r="197">
      <c r="A197" s="6418" t="s">
        <v>6930</v>
      </c>
      <c r="B197" s="6418">
        <v>46215</v>
      </c>
      <c r="C197" s="6418" t="str">
        <v>Sunday</v>
      </c>
      <c r="D197" s="6419" t="s">
        <v>6902</v>
      </c>
      <c r="E197" s="6419">
        <f t="shared" si="59"/>
      </c>
      <c r="F197" s="6537" t="s">
        <v>6781</v>
      </c>
      <c r="G197" s="6431"/>
      <c r="H197" s="6419"/>
      <c r="I197" s="6419" t="s">
        <v>6770</v>
      </c>
      <c r="J197" s="6419"/>
      <c r="K197" s="6408"/>
      <c r="L197" s="6408"/>
      <c r="M197" s="6408"/>
      <c r="N197" s="6408"/>
      <c r="O197" s="6408"/>
      <c r="P197" s="6408"/>
      <c r="Q197" s="6408"/>
      <c r="R197" s="6408"/>
      <c r="S197" s="6408"/>
      <c r="T197" s="6408"/>
      <c r="U197" s="6410"/>
      <c r="V197" s="6410"/>
      <c r="W197" s="6410"/>
      <c r="X197" s="6410"/>
      <c r="Y197" s="6410"/>
    </row>
    <row r="198">
      <c r="A198" s="6410"/>
      <c r="B198" s="6410"/>
      <c r="C198" s="6410"/>
      <c r="D198" s="6410"/>
      <c r="E198" s="6410"/>
      <c r="F198" s="6410"/>
      <c r="G198" s="6410"/>
      <c r="H198" s="6507"/>
      <c r="I198" s="6410"/>
      <c r="J198" s="6410"/>
      <c r="K198" s="6410"/>
      <c r="L198" s="6410"/>
      <c r="M198" s="6410"/>
      <c r="N198" s="6410"/>
      <c r="O198" s="6410"/>
      <c r="P198" s="6410"/>
      <c r="Q198" s="6410"/>
      <c r="R198" s="6410"/>
      <c r="S198" s="6410"/>
      <c r="T198" s="6410"/>
      <c r="U198" s="6410"/>
      <c r="V198" s="6410"/>
      <c r="W198" s="6410"/>
      <c r="X198" s="6410"/>
      <c r="Y198" s="6410"/>
    </row>
    <row r="199">
      <c r="A199" s="6532" t="s">
        <v>6935</v>
      </c>
      <c r="B199" s="6532"/>
      <c r="C199" s="6532"/>
      <c r="D199" s="6532"/>
      <c r="E199" s="6532"/>
      <c r="F199" s="6532"/>
      <c r="G199" s="6532"/>
      <c r="H199" s="6532"/>
      <c r="I199" s="6532"/>
      <c r="J199" s="6532"/>
      <c r="K199" s="6408"/>
      <c r="L199" s="6408"/>
      <c r="M199" s="6408"/>
      <c r="N199" s="6408"/>
      <c r="O199" s="6408"/>
      <c r="P199" s="6408"/>
      <c r="Q199" s="6408"/>
      <c r="R199" s="6408"/>
      <c r="S199" s="6408"/>
      <c r="T199" s="6408"/>
      <c r="U199" s="6410"/>
      <c r="V199" s="6410"/>
      <c r="W199" s="6410"/>
      <c r="X199" s="6410"/>
      <c r="Y199" s="6410"/>
    </row>
    <row r="200">
      <c r="A200" s="6533" t="s">
        <v>6757</v>
      </c>
      <c r="B200" s="6534" t="s">
        <v>6758</v>
      </c>
      <c r="C200" s="6534"/>
      <c r="D200" s="6535" t="s">
        <v>6759</v>
      </c>
      <c r="E200" s="6535" t="s">
        <v>6760</v>
      </c>
      <c r="F200" s="6535" t="s">
        <v>6761</v>
      </c>
      <c r="G200" s="6536" t="s">
        <v>6777</v>
      </c>
      <c r="H200" s="6535" t="s">
        <v>6763</v>
      </c>
      <c r="I200" s="6535" t="s">
        <v>6764</v>
      </c>
      <c r="J200" s="6535" t="s">
        <v>6765</v>
      </c>
      <c r="K200" s="6408"/>
      <c r="L200" s="6408"/>
      <c r="M200" s="6408"/>
      <c r="N200" s="6408"/>
      <c r="O200" s="6408"/>
      <c r="P200" s="6408"/>
      <c r="Q200" s="6408"/>
      <c r="R200" s="6408"/>
      <c r="S200" s="6408"/>
      <c r="T200" s="6408"/>
      <c r="U200" s="6410"/>
      <c r="V200" s="6410"/>
      <c r="W200" s="6410"/>
      <c r="X200" s="6410"/>
      <c r="Y200" s="6410"/>
    </row>
    <row r="201">
      <c r="A201" s="6418" t="s">
        <v>6935</v>
      </c>
      <c r="B201" s="6418">
        <v>46209</v>
      </c>
      <c r="C201" s="6418" t="str">
        <v>Monday</v>
      </c>
      <c r="D201" s="6419" t="s">
        <v>6783</v>
      </c>
      <c r="E201" s="6419">
        <v>3</v>
      </c>
      <c r="F201" s="6537" t="s">
        <v>6856</v>
      </c>
      <c r="G201" s="6431" t="s">
        <v>6926</v>
      </c>
      <c r="H201" s="6419"/>
      <c r="I201" s="6419" t="s">
        <v>6770</v>
      </c>
      <c r="J201" s="6419"/>
      <c r="K201" s="6408"/>
      <c r="L201" s="6408"/>
      <c r="M201" s="6408"/>
      <c r="N201" s="6408"/>
      <c r="O201" s="6408"/>
      <c r="P201" s="6408"/>
      <c r="Q201" s="6408"/>
      <c r="R201" s="6408"/>
      <c r="S201" s="6408"/>
      <c r="T201" s="6408"/>
      <c r="U201" s="6410"/>
      <c r="V201" s="6410"/>
      <c r="W201" s="6410"/>
      <c r="X201" s="6410"/>
      <c r="Y201" s="6410"/>
    </row>
    <row r="202">
      <c r="A202" s="6418" t="s">
        <v>6935</v>
      </c>
      <c r="B202" s="6418">
        <v>46211</v>
      </c>
      <c r="C202" s="6418" t="str">
        <v>Wednesday</v>
      </c>
      <c r="D202" s="6419" t="s">
        <v>6783</v>
      </c>
      <c r="E202" s="6419">
        <v>3</v>
      </c>
      <c r="F202" s="6537" t="s">
        <v>6856</v>
      </c>
      <c r="G202" s="6431" t="s">
        <v>6835</v>
      </c>
      <c r="H202" s="6419"/>
      <c r="I202" s="6419" t="s">
        <v>6770</v>
      </c>
      <c r="J202" s="6419"/>
      <c r="K202" s="6408"/>
      <c r="L202" s="6408"/>
      <c r="M202" s="6408"/>
      <c r="N202" s="6408"/>
      <c r="O202" s="6408"/>
      <c r="P202" s="6408"/>
      <c r="Q202" s="6408"/>
      <c r="R202" s="6408"/>
      <c r="S202" s="6408"/>
      <c r="T202" s="6408"/>
      <c r="U202" s="6410"/>
      <c r="V202" s="6410"/>
      <c r="W202" s="6410"/>
      <c r="X202" s="6410"/>
      <c r="Y202" s="6410"/>
    </row>
    <row r="203">
      <c r="A203" s="6418" t="s">
        <v>6935</v>
      </c>
      <c r="B203" s="6418">
        <v>46213</v>
      </c>
      <c r="C203" s="6418" t="str">
        <v>Friday</v>
      </c>
      <c r="D203" s="6419" t="s">
        <v>6785</v>
      </c>
      <c r="E203" s="6419">
        <v>3</v>
      </c>
      <c r="F203" s="6537" t="s">
        <v>6849</v>
      </c>
      <c r="G203" s="6431" t="s">
        <v>6924</v>
      </c>
      <c r="H203" s="6419"/>
      <c r="I203" s="6419" t="s">
        <v>6770</v>
      </c>
      <c r="J203" s="6419"/>
      <c r="K203" s="6408"/>
      <c r="L203" s="6408"/>
      <c r="M203" s="6408"/>
      <c r="N203" s="6408"/>
      <c r="O203" s="6408"/>
      <c r="P203" s="6408"/>
      <c r="Q203" s="6408"/>
      <c r="R203" s="6408"/>
      <c r="S203" s="6408"/>
      <c r="T203" s="6408"/>
      <c r="U203" s="6410"/>
      <c r="V203" s="6410"/>
      <c r="W203" s="6410"/>
      <c r="X203" s="6410"/>
      <c r="Y203" s="6410"/>
    </row>
    <row r="204">
      <c r="A204" s="6418" t="s">
        <v>6936</v>
      </c>
      <c r="B204" s="6418">
        <v>46211</v>
      </c>
      <c r="C204" s="6418" t="str">
        <v>Wednesday</v>
      </c>
      <c r="D204" s="6419" t="s">
        <v>6937</v>
      </c>
      <c r="E204" s="6419">
        <v>3.5</v>
      </c>
      <c r="F204" s="6537" t="s">
        <v>6835</v>
      </c>
      <c r="G204" s="6431"/>
      <c r="H204" s="6419"/>
      <c r="I204" s="6419" t="s">
        <v>6770</v>
      </c>
      <c r="J204" s="6419"/>
      <c r="K204" s="6408"/>
      <c r="L204" s="6408"/>
      <c r="M204" s="6408"/>
      <c r="N204" s="6408"/>
      <c r="O204" s="6408"/>
      <c r="P204" s="6408"/>
      <c r="Q204" s="6408"/>
      <c r="R204" s="6408"/>
      <c r="S204" s="6408"/>
      <c r="T204" s="6408"/>
      <c r="U204" s="6410"/>
      <c r="V204" s="6410"/>
      <c r="W204" s="6410"/>
      <c r="X204" s="6410"/>
      <c r="Y204" s="6410"/>
    </row>
    <row r="205">
      <c r="A205" s="6473" t="s">
        <v>6938</v>
      </c>
      <c r="B205" s="6473">
        <v>46211</v>
      </c>
      <c r="C205" s="6473" t="str">
        <v>Wednesday</v>
      </c>
      <c r="D205" s="6447" t="s">
        <v>6939</v>
      </c>
      <c r="E205" s="6447">
        <v>1</v>
      </c>
      <c r="F205" s="6539" t="s">
        <v>6933</v>
      </c>
      <c r="G205" s="6504" t="s">
        <v>6926</v>
      </c>
      <c r="H205" s="6447"/>
      <c r="I205" s="6447" t="s">
        <v>6770</v>
      </c>
      <c r="J205" s="6447"/>
      <c r="K205" s="6476"/>
      <c r="L205" s="6476"/>
      <c r="M205" s="6476"/>
      <c r="N205" s="6476"/>
      <c r="O205" s="6476"/>
      <c r="P205" s="6476"/>
      <c r="Q205" s="6476"/>
      <c r="R205" s="6476"/>
      <c r="S205" s="6476"/>
      <c r="T205" s="6476"/>
      <c r="U205" s="6477"/>
      <c r="V205" s="6477"/>
      <c r="W205" s="6477"/>
      <c r="X205" s="6477"/>
      <c r="Y205" s="6477"/>
    </row>
    <row r="206">
      <c r="A206" s="6418" t="s">
        <v>6938</v>
      </c>
      <c r="B206" s="6418">
        <v>46210</v>
      </c>
      <c r="C206" s="6418" t="str">
        <v>Tuesday</v>
      </c>
      <c r="D206" s="6419" t="s">
        <v>6940</v>
      </c>
      <c r="E206" s="6419">
        <v>1.5</v>
      </c>
      <c r="F206" s="6537" t="s">
        <v>6918</v>
      </c>
      <c r="G206" s="6431" t="s">
        <v>6926</v>
      </c>
      <c r="H206" s="6419"/>
      <c r="I206" s="6419" t="s">
        <v>6770</v>
      </c>
      <c r="J206" s="6419"/>
      <c r="K206" s="6408"/>
      <c r="L206" s="6408"/>
      <c r="M206" s="6408"/>
      <c r="N206" s="6408"/>
      <c r="O206" s="6408"/>
      <c r="P206" s="6408"/>
      <c r="Q206" s="6408"/>
      <c r="R206" s="6408"/>
      <c r="S206" s="6408"/>
      <c r="T206" s="6408"/>
      <c r="U206" s="6410"/>
      <c r="V206" s="6410"/>
      <c r="W206" s="6410"/>
      <c r="X206" s="6410"/>
      <c r="Y206" s="6410"/>
    </row>
    <row r="207">
      <c r="A207" s="6418" t="s">
        <v>6938</v>
      </c>
      <c r="B207" s="6418">
        <v>46212</v>
      </c>
      <c r="C207" s="6418" t="str">
        <v>Thursday</v>
      </c>
      <c r="D207" s="6419" t="s">
        <v>6848</v>
      </c>
      <c r="E207" s="6419">
        <v>2</v>
      </c>
      <c r="F207" s="6537" t="s">
        <v>6933</v>
      </c>
      <c r="G207" s="6431" t="s">
        <v>6926</v>
      </c>
      <c r="H207" s="6419"/>
      <c r="I207" s="6419" t="s">
        <v>6770</v>
      </c>
      <c r="J207" s="6419"/>
      <c r="K207" s="6408"/>
      <c r="L207" s="6408"/>
      <c r="M207" s="6408"/>
      <c r="N207" s="6408"/>
      <c r="O207" s="6408"/>
      <c r="P207" s="6408"/>
      <c r="Q207" s="6408"/>
      <c r="R207" s="6408"/>
      <c r="S207" s="6408"/>
      <c r="T207" s="6408"/>
      <c r="U207" s="6410"/>
      <c r="V207" s="6410"/>
      <c r="W207" s="6410"/>
      <c r="X207" s="6410"/>
      <c r="Y207" s="6410"/>
    </row>
    <row r="208">
      <c r="A208" s="6418" t="s">
        <v>6936</v>
      </c>
      <c r="B208" s="6418">
        <v>46213</v>
      </c>
      <c r="C208" s="6418" t="str">
        <v>Friday</v>
      </c>
      <c r="D208" s="6419" t="s">
        <v>6785</v>
      </c>
      <c r="E208" s="6419">
        <v>3</v>
      </c>
      <c r="F208" s="6537" t="s">
        <v>6933</v>
      </c>
      <c r="G208" s="6431"/>
      <c r="H208" s="6419"/>
      <c r="I208" s="6419" t="s">
        <v>6770</v>
      </c>
      <c r="J208" s="6419"/>
      <c r="K208" s="6408"/>
      <c r="L208" s="6408"/>
      <c r="M208" s="6408"/>
      <c r="N208" s="6408"/>
      <c r="O208" s="6408"/>
      <c r="P208" s="6408"/>
      <c r="Q208" s="6408"/>
      <c r="R208" s="6408"/>
      <c r="S208" s="6408"/>
      <c r="T208" s="6408"/>
      <c r="U208" s="6410"/>
      <c r="V208" s="6410"/>
      <c r="W208" s="6410"/>
      <c r="X208" s="6410"/>
      <c r="Y208" s="6410"/>
    </row>
    <row r="209">
      <c r="A209" s="6410"/>
      <c r="B209" s="6410"/>
      <c r="C209" s="6410"/>
      <c r="D209" s="6410"/>
      <c r="E209" s="6410"/>
      <c r="F209" s="6410"/>
      <c r="G209" s="6410"/>
      <c r="H209" s="6507"/>
      <c r="I209" s="6410"/>
      <c r="J209" s="6410"/>
      <c r="K209" s="6410"/>
      <c r="L209" s="6410"/>
      <c r="M209" s="6410"/>
      <c r="N209" s="6410"/>
      <c r="O209" s="6410"/>
      <c r="P209" s="6410"/>
      <c r="Q209" s="6410"/>
      <c r="R209" s="6410"/>
      <c r="S209" s="6410"/>
      <c r="T209" s="6410"/>
      <c r="U209" s="6410"/>
      <c r="V209" s="6410"/>
      <c r="W209" s="6410"/>
      <c r="X209" s="6410"/>
      <c r="Y209" s="6410"/>
    </row>
    <row r="210">
      <c r="A210" s="6411" t="s">
        <v>6941</v>
      </c>
      <c r="B210" s="6411"/>
      <c r="C210" s="6411"/>
      <c r="D210" s="6411"/>
      <c r="E210" s="6411"/>
      <c r="F210" s="6411"/>
      <c r="G210" s="6411"/>
      <c r="H210" s="6411"/>
      <c r="I210" s="6411"/>
      <c r="J210" s="6411"/>
      <c r="K210" s="6408"/>
      <c r="L210" s="6408"/>
      <c r="M210" s="6408"/>
      <c r="N210" s="6408"/>
      <c r="O210" s="6408"/>
      <c r="P210" s="6408"/>
      <c r="Q210" s="6408"/>
      <c r="R210" s="6408"/>
      <c r="S210" s="6408"/>
      <c r="T210" s="6408"/>
      <c r="U210" s="6410"/>
      <c r="V210" s="6410"/>
      <c r="W210" s="6410"/>
      <c r="X210" s="6410"/>
      <c r="Y210" s="6410"/>
    </row>
    <row r="211">
      <c r="A211" s="6540" t="s">
        <v>6942</v>
      </c>
      <c r="B211" s="6540"/>
      <c r="C211" s="6540"/>
      <c r="D211" s="6540"/>
      <c r="E211" s="6540"/>
      <c r="F211" s="6540"/>
      <c r="G211" s="6540"/>
      <c r="H211" s="6540"/>
      <c r="I211" s="6540"/>
      <c r="J211" s="6540"/>
      <c r="K211" s="6408"/>
      <c r="L211" s="6408"/>
      <c r="M211" s="6408"/>
      <c r="N211" s="6408"/>
      <c r="O211" s="6408"/>
      <c r="P211" s="6408"/>
      <c r="Q211" s="6408"/>
      <c r="R211" s="6408"/>
      <c r="S211" s="6408"/>
      <c r="T211" s="6408"/>
      <c r="U211" s="6410"/>
      <c r="V211" s="6410"/>
      <c r="W211" s="6410"/>
      <c r="X211" s="6410"/>
      <c r="Y211" s="6410"/>
    </row>
    <row r="212">
      <c r="A212" s="6541" t="s">
        <v>6757</v>
      </c>
      <c r="B212" s="6542" t="s">
        <v>6758</v>
      </c>
      <c r="C212" s="6542"/>
      <c r="D212" s="6543" t="s">
        <v>6759</v>
      </c>
      <c r="E212" s="6544" t="s">
        <v>6760</v>
      </c>
      <c r="F212" s="6544" t="s">
        <v>6761</v>
      </c>
      <c r="G212" s="6545" t="s">
        <v>6777</v>
      </c>
      <c r="H212" s="6544" t="s">
        <v>6763</v>
      </c>
      <c r="I212" s="6544" t="s">
        <v>6764</v>
      </c>
      <c r="J212" s="6544" t="s">
        <v>6765</v>
      </c>
      <c r="K212" s="6408"/>
      <c r="L212" s="6408"/>
      <c r="M212" s="6408"/>
      <c r="N212" s="6408"/>
      <c r="O212" s="6408"/>
      <c r="P212" s="6408"/>
      <c r="Q212" s="6408"/>
      <c r="R212" s="6408"/>
      <c r="S212" s="6408"/>
      <c r="T212" s="6408"/>
      <c r="U212" s="6410"/>
      <c r="V212" s="6410"/>
      <c r="W212" s="6410"/>
      <c r="X212" s="6410"/>
      <c r="Y212" s="6410"/>
    </row>
    <row r="213">
      <c r="A213" s="6418" t="s">
        <v>6943</v>
      </c>
      <c r="B213" s="6418">
        <v>46209</v>
      </c>
      <c r="C213" s="6418" t="str">
        <v>Monday</v>
      </c>
      <c r="D213" s="6419" t="s">
        <v>6905</v>
      </c>
      <c r="E213" s="6422">
        <f t="shared" ref="E213:E248" si="60">24*MOD(TIMEVALUE(TRIM(MID(D213,FIND("-",D213)+1,LEN(D213)))) - TIMEVALUE(TRIM(LEFT(D213,FIND("-",D213)-1))),1)</f>
      </c>
      <c r="F213" s="6419" t="s">
        <v>6944</v>
      </c>
      <c r="G213" s="6486" t="s">
        <v>6945</v>
      </c>
      <c r="H213" s="6422" t="s">
        <v>6769</v>
      </c>
      <c r="I213" s="6419" t="s">
        <v>6770</v>
      </c>
      <c r="J213" s="6422"/>
      <c r="K213" s="6408"/>
      <c r="L213" s="6408"/>
      <c r="M213" s="6408"/>
      <c r="N213" s="6408"/>
      <c r="O213" s="6408"/>
      <c r="P213" s="6408"/>
      <c r="Q213" s="6408"/>
      <c r="R213" s="6408"/>
      <c r="S213" s="6408"/>
      <c r="T213" s="6408"/>
      <c r="U213" s="6410"/>
      <c r="V213" s="6410"/>
      <c r="W213" s="6410"/>
      <c r="X213" s="6410"/>
      <c r="Y213" s="6410"/>
    </row>
    <row r="214">
      <c r="A214" s="6418" t="s">
        <v>6943</v>
      </c>
      <c r="B214" s="6418">
        <v>46209</v>
      </c>
      <c r="C214" s="6418" t="str">
        <v>Monday</v>
      </c>
      <c r="D214" s="6422" t="s">
        <v>6946</v>
      </c>
      <c r="E214" s="6422">
        <f t="shared" si="60"/>
      </c>
      <c r="F214" s="6419" t="s">
        <v>6772</v>
      </c>
      <c r="G214" s="6486" t="s">
        <v>6947</v>
      </c>
      <c r="H214" s="6422" t="s">
        <v>6769</v>
      </c>
      <c r="I214" s="6419" t="s">
        <v>6770</v>
      </c>
      <c r="J214" s="6422"/>
      <c r="K214" s="6408"/>
      <c r="L214" s="6408"/>
      <c r="M214" s="6408"/>
      <c r="N214" s="6408"/>
      <c r="O214" s="6408"/>
      <c r="P214" s="6408"/>
      <c r="Q214" s="6408"/>
      <c r="R214" s="6408"/>
      <c r="S214" s="6408"/>
      <c r="T214" s="6408"/>
      <c r="U214" s="6410"/>
      <c r="V214" s="6410"/>
      <c r="W214" s="6410"/>
      <c r="X214" s="6410"/>
      <c r="Y214" s="6410"/>
    </row>
    <row r="215">
      <c r="A215" s="6418" t="s">
        <v>6943</v>
      </c>
      <c r="B215" s="6418">
        <v>46209</v>
      </c>
      <c r="C215" s="6418" t="str">
        <v>Monday</v>
      </c>
      <c r="D215" s="6422" t="s">
        <v>6917</v>
      </c>
      <c r="E215" s="6422">
        <f t="shared" si="60"/>
      </c>
      <c r="F215" s="6419" t="s">
        <v>6944</v>
      </c>
      <c r="G215" s="6486" t="s">
        <v>6948</v>
      </c>
      <c r="H215" s="6422" t="s">
        <v>6769</v>
      </c>
      <c r="I215" s="6419" t="s">
        <v>6770</v>
      </c>
      <c r="J215" s="6422"/>
      <c r="K215" s="6408"/>
      <c r="L215" s="6408"/>
      <c r="M215" s="6408"/>
      <c r="N215" s="6408"/>
      <c r="O215" s="6408"/>
      <c r="P215" s="6408"/>
      <c r="Q215" s="6408"/>
      <c r="R215" s="6408"/>
      <c r="S215" s="6408"/>
      <c r="T215" s="6408"/>
      <c r="U215" s="6410"/>
      <c r="V215" s="6410"/>
      <c r="W215" s="6410"/>
      <c r="X215" s="6410"/>
      <c r="Y215" s="6410"/>
    </row>
    <row r="216">
      <c r="A216" s="6418" t="s">
        <v>6943</v>
      </c>
      <c r="B216" s="6418">
        <v>46209</v>
      </c>
      <c r="C216" s="6418" t="str">
        <v>Monday</v>
      </c>
      <c r="D216" s="6422" t="s">
        <v>6829</v>
      </c>
      <c r="E216" s="6422">
        <f t="shared" si="60"/>
      </c>
      <c r="F216" s="6419" t="s">
        <v>6949</v>
      </c>
      <c r="G216" s="6486" t="s">
        <v>6950</v>
      </c>
      <c r="H216" s="6422" t="s">
        <v>6769</v>
      </c>
      <c r="I216" s="6419" t="s">
        <v>6770</v>
      </c>
      <c r="J216" s="6422"/>
      <c r="K216" s="6408"/>
      <c r="L216" s="6408"/>
      <c r="M216" s="6408"/>
      <c r="N216" s="6408"/>
      <c r="O216" s="6408"/>
      <c r="P216" s="6408"/>
      <c r="Q216" s="6408"/>
      <c r="R216" s="6408"/>
      <c r="S216" s="6408"/>
      <c r="T216" s="6408"/>
      <c r="U216" s="6410"/>
      <c r="V216" s="6410"/>
      <c r="W216" s="6410"/>
      <c r="X216" s="6410"/>
      <c r="Y216" s="6410"/>
    </row>
    <row r="217">
      <c r="A217" s="6418" t="s">
        <v>6943</v>
      </c>
      <c r="B217" s="6418">
        <v>46209</v>
      </c>
      <c r="C217" s="6418" t="str">
        <v>Monday</v>
      </c>
      <c r="D217" s="6422" t="s">
        <v>6951</v>
      </c>
      <c r="E217" s="6422">
        <f t="shared" si="60"/>
      </c>
      <c r="F217" s="6422" t="s">
        <v>6952</v>
      </c>
      <c r="G217" s="6486" t="s">
        <v>6953</v>
      </c>
      <c r="H217" s="6422" t="s">
        <v>6769</v>
      </c>
      <c r="I217" s="6419" t="s">
        <v>6770</v>
      </c>
      <c r="J217" s="6422"/>
      <c r="K217" s="6408"/>
      <c r="L217" s="6408"/>
      <c r="M217" s="6408"/>
      <c r="N217" s="6408"/>
      <c r="O217" s="6408"/>
      <c r="P217" s="6408"/>
      <c r="Q217" s="6408"/>
      <c r="R217" s="6408"/>
      <c r="S217" s="6408"/>
      <c r="T217" s="6408"/>
      <c r="U217" s="6410"/>
      <c r="V217" s="6410"/>
      <c r="W217" s="6410"/>
      <c r="X217" s="6410"/>
      <c r="Y217" s="6410"/>
    </row>
    <row r="218">
      <c r="A218" s="6418" t="s">
        <v>6943</v>
      </c>
      <c r="B218" s="6418">
        <v>46209</v>
      </c>
      <c r="C218" s="6418" t="str">
        <v>Monday</v>
      </c>
      <c r="D218" s="6422" t="s">
        <v>6954</v>
      </c>
      <c r="E218" s="6422">
        <f t="shared" si="60"/>
      </c>
      <c r="F218" s="6419" t="s">
        <v>6949</v>
      </c>
      <c r="G218" s="6486" t="s">
        <v>6955</v>
      </c>
      <c r="H218" s="6422" t="s">
        <v>6769</v>
      </c>
      <c r="I218" s="6419" t="s">
        <v>6770</v>
      </c>
      <c r="J218" s="6422"/>
      <c r="K218" s="6408"/>
      <c r="L218" s="6408"/>
      <c r="M218" s="6408"/>
      <c r="N218" s="6408"/>
      <c r="O218" s="6408"/>
      <c r="P218" s="6408"/>
      <c r="Q218" s="6408"/>
      <c r="R218" s="6408"/>
      <c r="S218" s="6408"/>
      <c r="T218" s="6408"/>
      <c r="U218" s="6410"/>
      <c r="V218" s="6410"/>
      <c r="W218" s="6410"/>
      <c r="X218" s="6410"/>
      <c r="Y218" s="6410"/>
    </row>
    <row r="219">
      <c r="A219" s="6418" t="s">
        <v>6956</v>
      </c>
      <c r="B219" s="6418">
        <v>46209</v>
      </c>
      <c r="C219" s="6418" t="str">
        <v>Monday</v>
      </c>
      <c r="D219" s="6422" t="s">
        <v>6957</v>
      </c>
      <c r="E219" s="6422">
        <f t="shared" si="60"/>
      </c>
      <c r="F219" s="6422" t="s">
        <v>6918</v>
      </c>
      <c r="G219" s="6486"/>
      <c r="H219" s="6422" t="s">
        <v>6769</v>
      </c>
      <c r="I219" s="6419" t="s">
        <v>6770</v>
      </c>
      <c r="J219" s="6422"/>
      <c r="K219" s="6408"/>
      <c r="L219" s="6408"/>
      <c r="M219" s="6408"/>
      <c r="N219" s="6408"/>
      <c r="O219" s="6408"/>
      <c r="P219" s="6408"/>
      <c r="Q219" s="6408"/>
      <c r="R219" s="6408"/>
      <c r="S219" s="6408"/>
      <c r="T219" s="6408"/>
      <c r="U219" s="6410"/>
      <c r="V219" s="6410"/>
      <c r="W219" s="6410"/>
      <c r="X219" s="6410"/>
      <c r="Y219" s="6410"/>
    </row>
    <row r="220">
      <c r="A220" s="6418" t="s">
        <v>6956</v>
      </c>
      <c r="B220" s="6418">
        <v>46209</v>
      </c>
      <c r="C220" s="6418" t="str">
        <v>Monday</v>
      </c>
      <c r="D220" s="6422" t="s">
        <v>6958</v>
      </c>
      <c r="E220" s="6422">
        <f t="shared" si="60"/>
      </c>
      <c r="F220" s="6422" t="s">
        <v>6918</v>
      </c>
      <c r="G220" s="6486"/>
      <c r="H220" s="6422"/>
      <c r="I220" s="6419" t="s">
        <v>6770</v>
      </c>
      <c r="J220" s="6422"/>
      <c r="K220" s="6408"/>
      <c r="L220" s="6408"/>
      <c r="M220" s="6408"/>
      <c r="N220" s="6408"/>
      <c r="O220" s="6408"/>
      <c r="P220" s="6408"/>
      <c r="Q220" s="6408"/>
      <c r="R220" s="6408"/>
      <c r="S220" s="6408"/>
      <c r="T220" s="6408"/>
      <c r="U220" s="6410"/>
      <c r="V220" s="6410"/>
      <c r="W220" s="6410"/>
      <c r="X220" s="6410"/>
      <c r="Y220" s="6410"/>
    </row>
    <row r="221">
      <c r="A221" s="6546" t="s">
        <v>6943</v>
      </c>
      <c r="B221" s="6546">
        <v>46210</v>
      </c>
      <c r="C221" s="6546" t="str">
        <v>Tuesday</v>
      </c>
      <c r="D221" s="6547" t="s">
        <v>6959</v>
      </c>
      <c r="E221" s="6547">
        <f t="shared" si="60"/>
      </c>
      <c r="F221" s="6547" t="s">
        <v>6960</v>
      </c>
      <c r="G221" s="6548" t="s">
        <v>6945</v>
      </c>
      <c r="H221" s="6547" t="s">
        <v>6769</v>
      </c>
      <c r="I221" s="6419" t="s">
        <v>6770</v>
      </c>
      <c r="J221" s="6422"/>
      <c r="K221" s="6549"/>
      <c r="L221" s="6549"/>
      <c r="M221" s="6549"/>
      <c r="N221" s="6549"/>
      <c r="O221" s="6549"/>
      <c r="P221" s="6549"/>
      <c r="Q221" s="6549"/>
      <c r="R221" s="6549"/>
      <c r="S221" s="6549"/>
      <c r="T221" s="6549"/>
      <c r="U221" s="6410"/>
      <c r="V221" s="6410"/>
      <c r="W221" s="6410"/>
      <c r="X221" s="6410"/>
      <c r="Y221" s="6410"/>
    </row>
    <row r="222">
      <c r="A222" s="6546" t="s">
        <v>6943</v>
      </c>
      <c r="B222" s="6546">
        <v>46210</v>
      </c>
      <c r="C222" s="6546" t="str">
        <v>Tuesday</v>
      </c>
      <c r="D222" s="6547" t="s">
        <v>6852</v>
      </c>
      <c r="E222" s="6547">
        <f t="shared" si="60"/>
      </c>
      <c r="F222" s="6547" t="s">
        <v>6944</v>
      </c>
      <c r="G222" s="6548" t="s">
        <v>6961</v>
      </c>
      <c r="H222" s="6547" t="s">
        <v>6769</v>
      </c>
      <c r="I222" s="6419" t="s">
        <v>6770</v>
      </c>
      <c r="J222" s="6550"/>
      <c r="K222" s="6549"/>
      <c r="L222" s="6549"/>
      <c r="M222" s="6549"/>
      <c r="N222" s="6549"/>
      <c r="O222" s="6549"/>
      <c r="P222" s="6549"/>
      <c r="Q222" s="6549"/>
      <c r="R222" s="6549"/>
      <c r="S222" s="6549"/>
      <c r="T222" s="6549"/>
      <c r="U222" s="6410"/>
      <c r="V222" s="6410"/>
      <c r="W222" s="6410"/>
      <c r="X222" s="6410"/>
      <c r="Y222" s="6410"/>
    </row>
    <row r="223">
      <c r="A223" s="6546" t="s">
        <v>6943</v>
      </c>
      <c r="B223" s="6546">
        <v>46210</v>
      </c>
      <c r="C223" s="6546" t="str">
        <v>Tuesday</v>
      </c>
      <c r="D223" s="6547" t="s">
        <v>6830</v>
      </c>
      <c r="E223" s="6547">
        <f t="shared" si="60"/>
      </c>
      <c r="F223" s="6547" t="s">
        <v>6962</v>
      </c>
      <c r="G223" s="6548" t="s">
        <v>6945</v>
      </c>
      <c r="H223" s="6547" t="s">
        <v>6769</v>
      </c>
      <c r="I223" s="6419" t="s">
        <v>6770</v>
      </c>
      <c r="J223" s="6550"/>
      <c r="K223" s="6549"/>
      <c r="L223" s="6549"/>
      <c r="M223" s="6549"/>
      <c r="N223" s="6549"/>
      <c r="O223" s="6549"/>
      <c r="P223" s="6549"/>
      <c r="Q223" s="6549"/>
      <c r="R223" s="6549"/>
      <c r="S223" s="6549"/>
      <c r="T223" s="6549"/>
      <c r="U223" s="6410"/>
      <c r="V223" s="6410"/>
      <c r="W223" s="6410"/>
      <c r="X223" s="6410"/>
      <c r="Y223" s="6410"/>
    </row>
    <row r="224">
      <c r="A224" s="6546" t="s">
        <v>6943</v>
      </c>
      <c r="B224" s="6546">
        <v>46210</v>
      </c>
      <c r="C224" s="6546" t="str">
        <v>Tuesday</v>
      </c>
      <c r="D224" s="6547" t="s">
        <v>6858</v>
      </c>
      <c r="E224" s="6547">
        <f t="shared" si="60"/>
      </c>
      <c r="F224" s="6547" t="s">
        <v>6949</v>
      </c>
      <c r="G224" s="6548" t="s">
        <v>6947</v>
      </c>
      <c r="H224" s="6547" t="s">
        <v>6769</v>
      </c>
      <c r="I224" s="6419" t="s">
        <v>6770</v>
      </c>
      <c r="J224" s="6550"/>
      <c r="K224" s="6549"/>
      <c r="L224" s="6549"/>
      <c r="M224" s="6549"/>
      <c r="N224" s="6549"/>
      <c r="O224" s="6549"/>
      <c r="P224" s="6549"/>
      <c r="Q224" s="6549"/>
      <c r="R224" s="6549"/>
      <c r="S224" s="6549"/>
      <c r="T224" s="6549"/>
      <c r="U224" s="6410"/>
      <c r="V224" s="6410"/>
      <c r="W224" s="6410"/>
      <c r="X224" s="6410"/>
      <c r="Y224" s="6410"/>
    </row>
    <row r="225">
      <c r="A225" s="6546" t="s">
        <v>6943</v>
      </c>
      <c r="B225" s="6546">
        <v>46210</v>
      </c>
      <c r="C225" s="6546" t="str">
        <v>Tuesday</v>
      </c>
      <c r="D225" s="6547" t="s">
        <v>6951</v>
      </c>
      <c r="E225" s="6547">
        <f t="shared" si="60"/>
      </c>
      <c r="F225" s="6547" t="s">
        <v>6952</v>
      </c>
      <c r="G225" s="6548" t="s">
        <v>6963</v>
      </c>
      <c r="H225" s="6547" t="s">
        <v>6769</v>
      </c>
      <c r="I225" s="6419" t="s">
        <v>6770</v>
      </c>
      <c r="J225" s="6550"/>
      <c r="K225" s="6549"/>
      <c r="L225" s="6549"/>
      <c r="M225" s="6549"/>
      <c r="N225" s="6549"/>
      <c r="O225" s="6549"/>
      <c r="P225" s="6549"/>
      <c r="Q225" s="6549"/>
      <c r="R225" s="6549"/>
      <c r="S225" s="6549"/>
      <c r="T225" s="6549"/>
      <c r="U225" s="6410"/>
      <c r="V225" s="6410"/>
      <c r="W225" s="6410"/>
      <c r="X225" s="6410"/>
      <c r="Y225" s="6410"/>
    </row>
    <row r="226">
      <c r="A226" s="6546" t="s">
        <v>6943</v>
      </c>
      <c r="B226" s="6546">
        <v>46210</v>
      </c>
      <c r="C226" s="6546" t="str">
        <v>Tuesday</v>
      </c>
      <c r="D226" s="6547" t="s">
        <v>6954</v>
      </c>
      <c r="E226" s="6547">
        <f t="shared" si="60"/>
      </c>
      <c r="F226" s="6547" t="s">
        <v>6949</v>
      </c>
      <c r="G226" s="6548" t="s">
        <v>6964</v>
      </c>
      <c r="H226" s="6547" t="s">
        <v>6769</v>
      </c>
      <c r="I226" s="6419" t="s">
        <v>6770</v>
      </c>
      <c r="J226" s="6550"/>
      <c r="K226" s="6549"/>
      <c r="L226" s="6549"/>
      <c r="M226" s="6549"/>
      <c r="N226" s="6549"/>
      <c r="O226" s="6549"/>
      <c r="P226" s="6549"/>
      <c r="Q226" s="6549"/>
      <c r="R226" s="6549"/>
      <c r="S226" s="6549"/>
      <c r="T226" s="6549"/>
      <c r="U226" s="6410"/>
      <c r="V226" s="6410"/>
      <c r="W226" s="6410"/>
      <c r="X226" s="6410"/>
      <c r="Y226" s="6410"/>
    </row>
    <row r="227">
      <c r="A227" s="6546" t="s">
        <v>6956</v>
      </c>
      <c r="B227" s="6546">
        <v>46210</v>
      </c>
      <c r="C227" s="6546" t="str">
        <v>Tuesday</v>
      </c>
      <c r="D227" s="6547" t="s">
        <v>6965</v>
      </c>
      <c r="E227" s="6547">
        <f t="shared" si="60"/>
      </c>
      <c r="F227" s="6547" t="s">
        <v>6918</v>
      </c>
      <c r="G227" s="6548"/>
      <c r="H227" s="6547" t="s">
        <v>6769</v>
      </c>
      <c r="I227" s="6419" t="s">
        <v>6770</v>
      </c>
      <c r="J227" s="6551"/>
      <c r="K227" s="6552"/>
      <c r="L227" s="6552"/>
      <c r="M227" s="6552"/>
      <c r="N227" s="6552"/>
      <c r="O227" s="6552"/>
      <c r="P227" s="6552"/>
      <c r="Q227" s="6552"/>
      <c r="R227" s="6552"/>
      <c r="S227" s="6552"/>
      <c r="T227" s="6552"/>
      <c r="U227" s="6410"/>
      <c r="V227" s="6410"/>
      <c r="W227" s="6410"/>
      <c r="X227" s="6410"/>
      <c r="Y227" s="6410"/>
    </row>
    <row r="228">
      <c r="A228" s="6546" t="s">
        <v>6956</v>
      </c>
      <c r="B228" s="6546">
        <v>46210</v>
      </c>
      <c r="C228" s="6546" t="str">
        <v>Tuesday</v>
      </c>
      <c r="D228" s="6547" t="s">
        <v>6966</v>
      </c>
      <c r="E228" s="6547">
        <f t="shared" si="60"/>
      </c>
      <c r="F228" s="6547" t="s">
        <v>6918</v>
      </c>
      <c r="G228" s="6548"/>
      <c r="H228" s="6547" t="s">
        <v>6769</v>
      </c>
      <c r="I228" s="6419" t="s">
        <v>6770</v>
      </c>
      <c r="J228" s="6551"/>
      <c r="K228" s="6552"/>
      <c r="L228" s="6552"/>
      <c r="M228" s="6552"/>
      <c r="N228" s="6552"/>
      <c r="O228" s="6552"/>
      <c r="P228" s="6552"/>
      <c r="Q228" s="6552"/>
      <c r="R228" s="6552"/>
      <c r="S228" s="6552"/>
      <c r="T228" s="6552"/>
      <c r="U228" s="6410"/>
      <c r="V228" s="6410"/>
      <c r="W228" s="6410"/>
      <c r="X228" s="6410"/>
      <c r="Y228" s="6410"/>
    </row>
    <row r="229">
      <c r="A229" s="6546" t="s">
        <v>6956</v>
      </c>
      <c r="B229" s="6546">
        <v>46210</v>
      </c>
      <c r="C229" s="6546" t="str">
        <v>Tuesday</v>
      </c>
      <c r="D229" s="6547" t="s">
        <v>6967</v>
      </c>
      <c r="E229" s="6547">
        <f t="shared" si="60"/>
      </c>
      <c r="F229" s="6547" t="s">
        <v>6949</v>
      </c>
      <c r="G229" s="6548"/>
      <c r="H229" s="6547"/>
      <c r="I229" s="6419"/>
      <c r="J229" s="6551"/>
      <c r="K229" s="6552"/>
      <c r="L229" s="6552"/>
      <c r="M229" s="6552"/>
      <c r="N229" s="6552"/>
      <c r="O229" s="6552"/>
      <c r="P229" s="6552"/>
      <c r="Q229" s="6552"/>
      <c r="R229" s="6552"/>
      <c r="S229" s="6552"/>
      <c r="T229" s="6552"/>
      <c r="U229" s="6410"/>
      <c r="V229" s="6410"/>
      <c r="W229" s="6410"/>
      <c r="X229" s="6410"/>
      <c r="Y229" s="6410"/>
    </row>
    <row r="230">
      <c r="A230" s="6546" t="s">
        <v>6956</v>
      </c>
      <c r="B230" s="6546">
        <v>46210</v>
      </c>
      <c r="C230" s="6546" t="str">
        <v>Tuesday</v>
      </c>
      <c r="D230" s="6547" t="s">
        <v>6968</v>
      </c>
      <c r="E230" s="6547">
        <f t="shared" si="60"/>
      </c>
      <c r="F230" s="6547" t="s">
        <v>6960</v>
      </c>
      <c r="G230" s="6548" t="s">
        <v>6969</v>
      </c>
      <c r="H230" s="6547" t="s">
        <v>6769</v>
      </c>
      <c r="I230" s="6419" t="s">
        <v>6770</v>
      </c>
      <c r="J230" s="6547"/>
      <c r="K230" s="6552"/>
      <c r="L230" s="6552"/>
      <c r="M230" s="6552"/>
      <c r="N230" s="6552"/>
      <c r="O230" s="6552"/>
      <c r="P230" s="6552"/>
      <c r="Q230" s="6552"/>
      <c r="R230" s="6552"/>
      <c r="S230" s="6552"/>
      <c r="T230" s="6552"/>
      <c r="U230" s="6410"/>
      <c r="V230" s="6410"/>
      <c r="W230" s="6410"/>
      <c r="X230" s="6410"/>
      <c r="Y230" s="6410"/>
    </row>
    <row r="231">
      <c r="A231" s="6418" t="s">
        <v>6943</v>
      </c>
      <c r="B231" s="6418">
        <v>46214</v>
      </c>
      <c r="C231" s="6418" t="str">
        <v>Saturday</v>
      </c>
      <c r="D231" s="6419" t="s">
        <v>6905</v>
      </c>
      <c r="E231" s="6422">
        <f t="shared" si="60"/>
      </c>
      <c r="F231" s="6419" t="s">
        <v>6970</v>
      </c>
      <c r="G231" s="6553" t="s">
        <v>6948</v>
      </c>
      <c r="H231" s="6419" t="s">
        <v>6769</v>
      </c>
      <c r="I231" s="6419" t="s">
        <v>6770</v>
      </c>
      <c r="J231" s="6422"/>
      <c r="K231" s="6408"/>
      <c r="L231" s="6408"/>
      <c r="M231" s="6408"/>
      <c r="N231" s="6408"/>
      <c r="O231" s="6408"/>
      <c r="P231" s="6408"/>
      <c r="Q231" s="6408"/>
      <c r="R231" s="6408"/>
      <c r="S231" s="6408"/>
      <c r="T231" s="6408"/>
      <c r="U231" s="6410"/>
      <c r="V231" s="6410"/>
      <c r="W231" s="6410"/>
      <c r="X231" s="6410"/>
      <c r="Y231" s="6410"/>
    </row>
    <row r="232">
      <c r="A232" s="6418" t="s">
        <v>6943</v>
      </c>
      <c r="B232" s="6418">
        <v>46214</v>
      </c>
      <c r="C232" s="6418" t="str">
        <v>Saturday</v>
      </c>
      <c r="D232" s="6422" t="s">
        <v>6971</v>
      </c>
      <c r="E232" s="6422">
        <f t="shared" si="60"/>
      </c>
      <c r="F232" s="6419" t="s">
        <v>6962</v>
      </c>
      <c r="G232" s="6553" t="s">
        <v>6972</v>
      </c>
      <c r="H232" s="6419" t="s">
        <v>6769</v>
      </c>
      <c r="I232" s="6419" t="s">
        <v>6857</v>
      </c>
      <c r="J232" s="6554"/>
      <c r="K232" s="6408"/>
      <c r="L232" s="6408"/>
      <c r="M232" s="6408"/>
      <c r="N232" s="6408"/>
      <c r="O232" s="6408"/>
      <c r="P232" s="6408"/>
      <c r="Q232" s="6408"/>
      <c r="R232" s="6408"/>
      <c r="S232" s="6408"/>
      <c r="T232" s="6408"/>
      <c r="U232" s="6410"/>
      <c r="V232" s="6410"/>
      <c r="W232" s="6410"/>
      <c r="X232" s="6410"/>
      <c r="Y232" s="6410"/>
    </row>
    <row r="233">
      <c r="A233" s="6418" t="s">
        <v>6943</v>
      </c>
      <c r="B233" s="6418">
        <v>46214</v>
      </c>
      <c r="C233" s="6418" t="str">
        <v>Saturday</v>
      </c>
      <c r="D233" s="6422" t="s">
        <v>6828</v>
      </c>
      <c r="E233" s="6422">
        <f t="shared" si="60"/>
      </c>
      <c r="F233" s="6419" t="s">
        <v>6970</v>
      </c>
      <c r="G233" s="6553" t="s">
        <v>6945</v>
      </c>
      <c r="H233" s="6419" t="s">
        <v>6769</v>
      </c>
      <c r="I233" s="6419" t="s">
        <v>6770</v>
      </c>
      <c r="J233" s="6554"/>
      <c r="K233" s="6408"/>
      <c r="L233" s="6408"/>
      <c r="M233" s="6408"/>
      <c r="N233" s="6408"/>
      <c r="O233" s="6408"/>
      <c r="P233" s="6408"/>
      <c r="Q233" s="6408"/>
      <c r="R233" s="6408"/>
      <c r="S233" s="6408"/>
      <c r="T233" s="6408"/>
      <c r="U233" s="6410"/>
      <c r="V233" s="6410"/>
      <c r="W233" s="6410"/>
      <c r="X233" s="6410"/>
      <c r="Y233" s="6410"/>
    </row>
    <row r="234">
      <c r="A234" s="6473" t="s">
        <v>6943</v>
      </c>
      <c r="B234" s="6473">
        <v>46214</v>
      </c>
      <c r="C234" s="6473" t="str">
        <v>Saturday</v>
      </c>
      <c r="D234" s="6447" t="s">
        <v>6855</v>
      </c>
      <c r="E234" s="6447">
        <f t="shared" si="60"/>
      </c>
      <c r="F234" s="6447" t="s">
        <v>6784</v>
      </c>
      <c r="G234" s="6555" t="s">
        <v>6947</v>
      </c>
      <c r="H234" s="6447" t="s">
        <v>6769</v>
      </c>
      <c r="I234" s="6447" t="s">
        <v>6770</v>
      </c>
      <c r="J234" s="6556"/>
      <c r="K234" s="6476"/>
      <c r="L234" s="6476"/>
      <c r="M234" s="6476"/>
      <c r="N234" s="6476"/>
      <c r="O234" s="6476"/>
      <c r="P234" s="6476"/>
      <c r="Q234" s="6476"/>
      <c r="R234" s="6476"/>
      <c r="S234" s="6476"/>
      <c r="T234" s="6476"/>
      <c r="U234" s="6477"/>
      <c r="V234" s="6477"/>
      <c r="W234" s="6477"/>
      <c r="X234" s="6477"/>
      <c r="Y234" s="6477"/>
    </row>
    <row r="235">
      <c r="A235" s="6418" t="s">
        <v>6943</v>
      </c>
      <c r="B235" s="6418">
        <v>46214</v>
      </c>
      <c r="C235" s="6418" t="str">
        <v>Saturday</v>
      </c>
      <c r="D235" s="6422" t="s">
        <v>6837</v>
      </c>
      <c r="E235" s="6422">
        <f t="shared" si="60"/>
      </c>
      <c r="F235" s="6419" t="s">
        <v>6949</v>
      </c>
      <c r="G235" s="6553" t="s">
        <v>6973</v>
      </c>
      <c r="H235" s="6419" t="s">
        <v>6769</v>
      </c>
      <c r="I235" s="6419" t="s">
        <v>6770</v>
      </c>
      <c r="J235" s="6554"/>
      <c r="K235" s="6408"/>
      <c r="L235" s="6408"/>
      <c r="M235" s="6408"/>
      <c r="N235" s="6408"/>
      <c r="O235" s="6408"/>
      <c r="P235" s="6408"/>
      <c r="Q235" s="6408"/>
      <c r="R235" s="6408"/>
      <c r="S235" s="6408"/>
      <c r="T235" s="6408"/>
      <c r="U235" s="6410"/>
      <c r="V235" s="6410"/>
      <c r="W235" s="6410"/>
      <c r="X235" s="6410"/>
      <c r="Y235" s="6410"/>
    </row>
    <row r="236">
      <c r="A236" s="6418" t="s">
        <v>6943</v>
      </c>
      <c r="B236" s="6418">
        <v>46214</v>
      </c>
      <c r="C236" s="6418" t="str">
        <v>Saturday</v>
      </c>
      <c r="D236" s="6422" t="s">
        <v>6974</v>
      </c>
      <c r="E236" s="6422">
        <f t="shared" si="60"/>
      </c>
      <c r="F236" s="6419" t="s">
        <v>6962</v>
      </c>
      <c r="G236" s="6553" t="s">
        <v>6975</v>
      </c>
      <c r="H236" s="6419" t="s">
        <v>6769</v>
      </c>
      <c r="I236" s="6419" t="s">
        <v>6857</v>
      </c>
      <c r="J236" s="6554"/>
      <c r="K236" s="6408"/>
      <c r="L236" s="6408"/>
      <c r="M236" s="6408"/>
      <c r="N236" s="6408"/>
      <c r="O236" s="6408"/>
      <c r="P236" s="6408"/>
      <c r="Q236" s="6408"/>
      <c r="R236" s="6408"/>
      <c r="S236" s="6408"/>
      <c r="T236" s="6408"/>
      <c r="U236" s="6410"/>
      <c r="V236" s="6410"/>
      <c r="W236" s="6410"/>
      <c r="X236" s="6410"/>
      <c r="Y236" s="6410"/>
    </row>
    <row r="237">
      <c r="A237" s="6418" t="s">
        <v>6943</v>
      </c>
      <c r="B237" s="6418">
        <v>46214</v>
      </c>
      <c r="C237" s="6418" t="str">
        <v>Saturday</v>
      </c>
      <c r="D237" s="6422" t="s">
        <v>6954</v>
      </c>
      <c r="E237" s="6422">
        <f t="shared" si="60"/>
      </c>
      <c r="F237" s="6419" t="s">
        <v>6949</v>
      </c>
      <c r="G237" s="6553" t="s">
        <v>6976</v>
      </c>
      <c r="H237" s="6419" t="s">
        <v>6769</v>
      </c>
      <c r="I237" s="6419" t="s">
        <v>6770</v>
      </c>
      <c r="J237" s="6554"/>
      <c r="K237" s="6408"/>
      <c r="L237" s="6408"/>
      <c r="M237" s="6408"/>
      <c r="N237" s="6408"/>
      <c r="O237" s="6408"/>
      <c r="P237" s="6408"/>
      <c r="Q237" s="6408"/>
      <c r="R237" s="6408"/>
      <c r="S237" s="6408"/>
      <c r="T237" s="6408"/>
      <c r="U237" s="6410"/>
      <c r="V237" s="6410"/>
      <c r="W237" s="6410"/>
      <c r="X237" s="6410"/>
      <c r="Y237" s="6410"/>
    </row>
    <row r="238">
      <c r="A238" s="6418" t="s">
        <v>6956</v>
      </c>
      <c r="B238" s="6418">
        <v>46214</v>
      </c>
      <c r="C238" s="6418" t="str">
        <v>Saturday</v>
      </c>
      <c r="D238" s="6422" t="s">
        <v>6977</v>
      </c>
      <c r="E238" s="6422">
        <f t="shared" si="60"/>
      </c>
      <c r="F238" s="6419"/>
      <c r="G238" s="6553"/>
      <c r="H238" s="6419"/>
      <c r="I238" s="6419" t="s">
        <v>6857</v>
      </c>
      <c r="J238" s="6554"/>
      <c r="K238" s="6408"/>
      <c r="L238" s="6408"/>
      <c r="M238" s="6408"/>
      <c r="N238" s="6408"/>
      <c r="O238" s="6408"/>
      <c r="P238" s="6408"/>
      <c r="Q238" s="6408"/>
      <c r="R238" s="6408"/>
      <c r="S238" s="6408"/>
      <c r="T238" s="6408"/>
      <c r="U238" s="6410"/>
      <c r="V238" s="6410"/>
      <c r="W238" s="6410"/>
      <c r="X238" s="6410"/>
      <c r="Y238" s="6410"/>
    </row>
    <row r="239">
      <c r="A239" s="6418" t="s">
        <v>6956</v>
      </c>
      <c r="B239" s="6418">
        <v>46214</v>
      </c>
      <c r="C239" s="6418" t="str">
        <v>Saturday</v>
      </c>
      <c r="D239" s="6419" t="s">
        <v>6978</v>
      </c>
      <c r="E239" s="6557">
        <f t="shared" si="60"/>
      </c>
      <c r="F239" s="6419"/>
      <c r="G239" s="6558"/>
      <c r="H239" s="6419" t="s">
        <v>6769</v>
      </c>
      <c r="I239" s="6419" t="s">
        <v>6857</v>
      </c>
      <c r="J239" s="6458"/>
      <c r="K239" s="6408"/>
      <c r="L239" s="6408"/>
      <c r="M239" s="6408"/>
      <c r="N239" s="6408"/>
      <c r="O239" s="6408"/>
      <c r="P239" s="6408"/>
      <c r="Q239" s="6408"/>
      <c r="R239" s="6408"/>
      <c r="S239" s="6408"/>
      <c r="T239" s="6408"/>
      <c r="U239" s="6409"/>
      <c r="V239" s="6409"/>
      <c r="W239" s="6409"/>
      <c r="X239" s="6409"/>
      <c r="Y239" s="6409"/>
    </row>
    <row r="240">
      <c r="A240" s="6546" t="s">
        <v>6943</v>
      </c>
      <c r="B240" s="6546">
        <v>46215</v>
      </c>
      <c r="C240" s="6546" t="str">
        <v>Sunday</v>
      </c>
      <c r="D240" s="6547" t="s">
        <v>6979</v>
      </c>
      <c r="E240" s="6547">
        <f t="shared" si="60"/>
      </c>
      <c r="F240" s="6547" t="s">
        <v>6970</v>
      </c>
      <c r="G240" s="6559" t="s">
        <v>6945</v>
      </c>
      <c r="H240" s="6547" t="s">
        <v>6769</v>
      </c>
      <c r="I240" s="6419" t="s">
        <v>6770</v>
      </c>
      <c r="J240" s="6422"/>
      <c r="K240" s="6408"/>
      <c r="L240" s="6408"/>
      <c r="M240" s="6408"/>
      <c r="N240" s="6408"/>
      <c r="O240" s="6408"/>
      <c r="P240" s="6408"/>
      <c r="Q240" s="6408"/>
      <c r="R240" s="6408"/>
      <c r="S240" s="6408"/>
      <c r="T240" s="6408"/>
      <c r="U240" s="6410"/>
      <c r="V240" s="6410"/>
      <c r="W240" s="6410"/>
      <c r="X240" s="6410"/>
      <c r="Y240" s="6410"/>
    </row>
    <row r="241">
      <c r="A241" s="6546" t="s">
        <v>6943</v>
      </c>
      <c r="B241" s="6546">
        <v>46215</v>
      </c>
      <c r="C241" s="6546" t="str">
        <v>Sunday</v>
      </c>
      <c r="D241" s="6547" t="s">
        <v>6980</v>
      </c>
      <c r="E241" s="6547">
        <f t="shared" si="60"/>
      </c>
      <c r="F241" s="6547" t="s">
        <v>6962</v>
      </c>
      <c r="G241" s="6559" t="s">
        <v>6981</v>
      </c>
      <c r="H241" s="6547" t="s">
        <v>6769</v>
      </c>
      <c r="I241" s="6419" t="s">
        <v>6857</v>
      </c>
      <c r="J241" s="6554"/>
      <c r="K241" s="6408"/>
      <c r="L241" s="6408"/>
      <c r="M241" s="6408"/>
      <c r="N241" s="6408"/>
      <c r="O241" s="6408"/>
      <c r="P241" s="6408"/>
      <c r="Q241" s="6408"/>
      <c r="R241" s="6408"/>
      <c r="S241" s="6408"/>
      <c r="T241" s="6408"/>
      <c r="U241" s="6410"/>
      <c r="V241" s="6410"/>
      <c r="W241" s="6410"/>
      <c r="X241" s="6410"/>
      <c r="Y241" s="6410"/>
    </row>
    <row r="242">
      <c r="A242" s="6546" t="s">
        <v>6943</v>
      </c>
      <c r="B242" s="6546">
        <v>46215</v>
      </c>
      <c r="C242" s="6546" t="str">
        <v>Sunday</v>
      </c>
      <c r="D242" s="6547" t="s">
        <v>6839</v>
      </c>
      <c r="E242" s="6547">
        <f t="shared" si="60"/>
      </c>
      <c r="F242" s="6547" t="s">
        <v>6970</v>
      </c>
      <c r="G242" s="6559" t="s">
        <v>6948</v>
      </c>
      <c r="H242" s="6547" t="s">
        <v>6769</v>
      </c>
      <c r="I242" s="6419" t="s">
        <v>6770</v>
      </c>
      <c r="J242" s="6554"/>
      <c r="K242" s="6408"/>
      <c r="L242" s="6408"/>
      <c r="M242" s="6408"/>
      <c r="N242" s="6408"/>
      <c r="O242" s="6408"/>
      <c r="P242" s="6408"/>
      <c r="Q242" s="6408"/>
      <c r="R242" s="6408"/>
      <c r="S242" s="6408"/>
      <c r="T242" s="6408"/>
      <c r="U242" s="6410"/>
      <c r="V242" s="6410"/>
      <c r="W242" s="6410"/>
      <c r="X242" s="6410"/>
      <c r="Y242" s="6410"/>
    </row>
    <row r="243">
      <c r="A243" s="6546" t="s">
        <v>6943</v>
      </c>
      <c r="B243" s="6546">
        <v>46215</v>
      </c>
      <c r="C243" s="6546" t="str">
        <v>Sunday</v>
      </c>
      <c r="D243" s="6547" t="s">
        <v>6840</v>
      </c>
      <c r="E243" s="6547">
        <f t="shared" si="60"/>
      </c>
      <c r="F243" s="6547" t="s">
        <v>6949</v>
      </c>
      <c r="G243" s="6559" t="s">
        <v>6982</v>
      </c>
      <c r="H243" s="6547" t="s">
        <v>6769</v>
      </c>
      <c r="I243" s="6419" t="s">
        <v>6770</v>
      </c>
      <c r="J243" s="6554"/>
      <c r="K243" s="6408"/>
      <c r="L243" s="6408"/>
      <c r="M243" s="6408"/>
      <c r="N243" s="6408"/>
      <c r="O243" s="6408"/>
      <c r="P243" s="6408"/>
      <c r="Q243" s="6408"/>
      <c r="R243" s="6408"/>
      <c r="S243" s="6408"/>
      <c r="T243" s="6408"/>
      <c r="U243" s="6410"/>
      <c r="V243" s="6410"/>
      <c r="W243" s="6410"/>
      <c r="X243" s="6410"/>
      <c r="Y243" s="6410"/>
    </row>
    <row r="244">
      <c r="A244" s="6546" t="s">
        <v>6943</v>
      </c>
      <c r="B244" s="6546">
        <v>46215</v>
      </c>
      <c r="C244" s="6546" t="str">
        <v>Sunday</v>
      </c>
      <c r="D244" s="6547" t="s">
        <v>6974</v>
      </c>
      <c r="E244" s="6547">
        <f t="shared" si="60"/>
      </c>
      <c r="F244" s="6547" t="s">
        <v>6962</v>
      </c>
      <c r="G244" s="6559" t="s">
        <v>6983</v>
      </c>
      <c r="H244" s="6547" t="s">
        <v>6769</v>
      </c>
      <c r="I244" s="6419" t="s">
        <v>6857</v>
      </c>
      <c r="J244" s="6554"/>
      <c r="K244" s="6408"/>
      <c r="L244" s="6408"/>
      <c r="M244" s="6408"/>
      <c r="N244" s="6408"/>
      <c r="O244" s="6408"/>
      <c r="P244" s="6408"/>
      <c r="Q244" s="6408"/>
      <c r="R244" s="6408"/>
      <c r="S244" s="6408"/>
      <c r="T244" s="6408"/>
      <c r="U244" s="6410"/>
      <c r="V244" s="6410"/>
      <c r="W244" s="6410"/>
      <c r="X244" s="6410"/>
      <c r="Y244" s="6410"/>
    </row>
    <row r="245">
      <c r="A245" s="6546" t="s">
        <v>6943</v>
      </c>
      <c r="B245" s="6546">
        <v>46215</v>
      </c>
      <c r="C245" s="6546" t="str">
        <v>Sunday</v>
      </c>
      <c r="D245" s="6547" t="s">
        <v>6954</v>
      </c>
      <c r="E245" s="6547">
        <f t="shared" si="60"/>
      </c>
      <c r="F245" s="6547" t="s">
        <v>6949</v>
      </c>
      <c r="G245" s="6559" t="s">
        <v>6984</v>
      </c>
      <c r="H245" s="6547" t="s">
        <v>6769</v>
      </c>
      <c r="I245" s="6419" t="s">
        <v>6770</v>
      </c>
      <c r="J245" s="6554"/>
      <c r="K245" s="6408"/>
      <c r="L245" s="6408"/>
      <c r="M245" s="6408"/>
      <c r="N245" s="6408"/>
      <c r="O245" s="6408"/>
      <c r="P245" s="6408"/>
      <c r="Q245" s="6408"/>
      <c r="R245" s="6408"/>
      <c r="S245" s="6408"/>
      <c r="T245" s="6408"/>
      <c r="U245" s="6410"/>
      <c r="V245" s="6410"/>
      <c r="W245" s="6410"/>
      <c r="X245" s="6410"/>
      <c r="Y245" s="6410"/>
    </row>
    <row r="246">
      <c r="A246" s="6546" t="s">
        <v>6956</v>
      </c>
      <c r="B246" s="6546">
        <v>46215</v>
      </c>
      <c r="C246" s="6546" t="s">
        <v>6985</v>
      </c>
      <c r="D246" s="6547" t="s">
        <v>6986</v>
      </c>
      <c r="E246" s="6550">
        <f t="shared" si="60"/>
      </c>
      <c r="F246" s="6547" t="s">
        <v>6918</v>
      </c>
      <c r="G246" s="6559"/>
      <c r="H246" s="6547"/>
      <c r="I246" s="6419" t="s">
        <v>6770</v>
      </c>
      <c r="J246" s="6554"/>
      <c r="K246" s="6408"/>
      <c r="L246" s="6408"/>
      <c r="M246" s="6408"/>
      <c r="N246" s="6408"/>
      <c r="O246" s="6408"/>
      <c r="P246" s="6408"/>
      <c r="Q246" s="6408"/>
      <c r="R246" s="6408"/>
      <c r="S246" s="6408"/>
      <c r="T246" s="6408"/>
      <c r="U246" s="6410"/>
      <c r="V246" s="6410"/>
      <c r="W246" s="6410"/>
      <c r="X246" s="6410"/>
      <c r="Y246" s="6410"/>
    </row>
    <row r="247">
      <c r="A247" s="6546" t="s">
        <v>6956</v>
      </c>
      <c r="B247" s="6546">
        <v>46215</v>
      </c>
      <c r="C247" s="6546" t="s">
        <v>6985</v>
      </c>
      <c r="D247" s="6547" t="s">
        <v>6987</v>
      </c>
      <c r="E247" s="6550">
        <f t="shared" si="60"/>
      </c>
      <c r="F247" s="6547" t="s">
        <v>6988</v>
      </c>
      <c r="G247" s="6559"/>
      <c r="H247" s="6547"/>
      <c r="I247" s="6419"/>
      <c r="J247" s="6554"/>
      <c r="K247" s="6408"/>
      <c r="L247" s="6408"/>
      <c r="M247" s="6408"/>
      <c r="N247" s="6408"/>
      <c r="O247" s="6408"/>
      <c r="P247" s="6408"/>
      <c r="Q247" s="6408"/>
      <c r="R247" s="6408"/>
      <c r="S247" s="6408"/>
      <c r="T247" s="6408"/>
      <c r="U247" s="6410"/>
      <c r="V247" s="6410"/>
      <c r="W247" s="6410"/>
      <c r="X247" s="6410"/>
      <c r="Y247" s="6410"/>
    </row>
    <row r="248">
      <c r="A248" s="6449" t="s">
        <v>6989</v>
      </c>
      <c r="B248" s="6418">
        <v>46203</v>
      </c>
      <c r="C248" s="6418" t="str">
        <v>Tuesday</v>
      </c>
      <c r="D248" s="6419" t="s">
        <v>6990</v>
      </c>
      <c r="E248" s="6557">
        <f t="shared" si="60"/>
      </c>
      <c r="F248" s="6455"/>
      <c r="G248" s="6553"/>
      <c r="H248" s="6560"/>
      <c r="I248" s="6419"/>
      <c r="J248" s="6554"/>
      <c r="K248" s="6408"/>
      <c r="L248" s="6408"/>
      <c r="M248" s="6408"/>
      <c r="N248" s="6408"/>
      <c r="O248" s="6408"/>
      <c r="P248" s="6408"/>
      <c r="Q248" s="6408"/>
      <c r="R248" s="6408"/>
      <c r="S248" s="6408"/>
      <c r="T248" s="6408"/>
      <c r="U248" s="6410"/>
      <c r="V248" s="6410"/>
      <c r="W248" s="6410"/>
      <c r="X248" s="6410"/>
      <c r="Y248" s="6410"/>
    </row>
    <row r="249">
      <c r="A249" s="6449"/>
      <c r="B249" s="6418"/>
      <c r="C249" s="6418"/>
      <c r="D249" s="6448"/>
      <c r="E249" s="6561"/>
      <c r="F249" s="6422"/>
      <c r="G249" s="6553"/>
      <c r="H249" s="6560"/>
      <c r="I249" s="6419"/>
      <c r="J249" s="6554"/>
      <c r="K249" s="6408"/>
      <c r="L249" s="6408"/>
      <c r="M249" s="6408"/>
      <c r="N249" s="6408"/>
      <c r="O249" s="6408"/>
      <c r="P249" s="6408"/>
      <c r="Q249" s="6408"/>
      <c r="R249" s="6408"/>
      <c r="S249" s="6408"/>
      <c r="T249" s="6408"/>
      <c r="U249" s="6410"/>
      <c r="V249" s="6410"/>
      <c r="W249" s="6410"/>
      <c r="X249" s="6410"/>
      <c r="Y249" s="6410"/>
    </row>
    <row r="250">
      <c r="A250" s="6449"/>
      <c r="B250" s="6418"/>
      <c r="C250" s="6418"/>
      <c r="D250" s="6448"/>
      <c r="E250" s="6561"/>
      <c r="F250" s="6422"/>
      <c r="G250" s="6553"/>
      <c r="H250" s="6560"/>
      <c r="I250" s="6419"/>
      <c r="J250" s="6554"/>
      <c r="K250" s="6408"/>
      <c r="L250" s="6408"/>
      <c r="M250" s="6408"/>
      <c r="N250" s="6408"/>
      <c r="O250" s="6408"/>
      <c r="P250" s="6408"/>
      <c r="Q250" s="6408"/>
      <c r="R250" s="6408"/>
      <c r="S250" s="6408"/>
      <c r="T250" s="6408"/>
      <c r="U250" s="6410"/>
      <c r="V250" s="6410"/>
      <c r="W250" s="6410"/>
      <c r="X250" s="6410"/>
      <c r="Y250" s="6410"/>
    </row>
    <row r="251">
      <c r="A251" s="6449"/>
      <c r="B251" s="6418"/>
      <c r="C251" s="6418"/>
      <c r="D251" s="6448"/>
      <c r="E251" s="6561"/>
      <c r="F251" s="6422"/>
      <c r="G251" s="6553"/>
      <c r="H251" s="6560"/>
      <c r="I251" s="6419"/>
      <c r="J251" s="6554"/>
      <c r="K251" s="6408"/>
      <c r="L251" s="6408"/>
      <c r="M251" s="6408"/>
      <c r="N251" s="6408"/>
      <c r="O251" s="6408"/>
      <c r="P251" s="6408"/>
      <c r="Q251" s="6408"/>
      <c r="R251" s="6408"/>
      <c r="S251" s="6408"/>
      <c r="T251" s="6408"/>
      <c r="U251" s="6410"/>
      <c r="V251" s="6410"/>
      <c r="W251" s="6410"/>
      <c r="X251" s="6410"/>
      <c r="Y251" s="6410"/>
    </row>
    <row r="252">
      <c r="A252" s="6562"/>
      <c r="B252" s="6562"/>
      <c r="C252" s="6562"/>
      <c r="D252" s="6562"/>
      <c r="E252" s="6562"/>
      <c r="F252" s="6562"/>
      <c r="G252" s="6562"/>
      <c r="H252" s="6562"/>
      <c r="I252" s="6562"/>
      <c r="J252" s="6505"/>
      <c r="K252" s="6408"/>
      <c r="L252" s="6408"/>
      <c r="M252" s="6408"/>
      <c r="N252" s="6408"/>
      <c r="O252" s="6408"/>
      <c r="P252" s="6408"/>
      <c r="Q252" s="6408"/>
      <c r="R252" s="6408"/>
      <c r="S252" s="6408"/>
      <c r="T252" s="6408"/>
      <c r="U252" s="6410"/>
      <c r="V252" s="6410"/>
      <c r="W252" s="6410"/>
      <c r="X252" s="6410"/>
      <c r="Y252" s="6410"/>
    </row>
    <row r="253">
      <c r="A253" s="6540" t="s">
        <v>6991</v>
      </c>
      <c r="B253" s="6540"/>
      <c r="C253" s="6540"/>
      <c r="D253" s="6540"/>
      <c r="E253" s="6540"/>
      <c r="F253" s="6540"/>
      <c r="G253" s="6540"/>
      <c r="H253" s="6540"/>
      <c r="I253" s="6540"/>
      <c r="J253" s="6540"/>
      <c r="K253" s="6408"/>
      <c r="L253" s="6408"/>
      <c r="M253" s="6408"/>
      <c r="N253" s="6408"/>
      <c r="O253" s="6408"/>
      <c r="P253" s="6408"/>
      <c r="Q253" s="6408"/>
      <c r="R253" s="6408"/>
      <c r="S253" s="6408"/>
      <c r="T253" s="6408"/>
      <c r="U253" s="6410"/>
      <c r="V253" s="6410"/>
      <c r="W253" s="6410"/>
      <c r="X253" s="6410"/>
      <c r="Y253" s="6410"/>
    </row>
    <row r="254">
      <c r="A254" s="6541" t="s">
        <v>6757</v>
      </c>
      <c r="B254" s="6542" t="s">
        <v>6758</v>
      </c>
      <c r="C254" s="6542"/>
      <c r="D254" s="6543" t="s">
        <v>6759</v>
      </c>
      <c r="E254" s="6544" t="s">
        <v>6760</v>
      </c>
      <c r="F254" s="6544" t="s">
        <v>6761</v>
      </c>
      <c r="G254" s="6545" t="s">
        <v>6777</v>
      </c>
      <c r="H254" s="6544" t="s">
        <v>6763</v>
      </c>
      <c r="I254" s="6544" t="s">
        <v>6764</v>
      </c>
      <c r="J254" s="6544" t="s">
        <v>6765</v>
      </c>
      <c r="K254" s="6408"/>
      <c r="L254" s="6408"/>
      <c r="M254" s="6408"/>
      <c r="N254" s="6408"/>
      <c r="O254" s="6408"/>
      <c r="P254" s="6408"/>
      <c r="Q254" s="6408"/>
      <c r="R254" s="6408"/>
      <c r="S254" s="6408"/>
      <c r="T254" s="6408"/>
      <c r="U254" s="6410"/>
      <c r="V254" s="6410"/>
      <c r="W254" s="6410"/>
      <c r="X254" s="6410"/>
      <c r="Y254" s="6410"/>
    </row>
    <row r="255">
      <c r="A255" s="6453" t="s">
        <v>6992</v>
      </c>
      <c r="B255" s="6418">
        <v>46211</v>
      </c>
      <c r="C255" s="6418" t="str">
        <v>Wednesday</v>
      </c>
      <c r="D255" s="6422" t="s">
        <v>6993</v>
      </c>
      <c r="E255" s="6422">
        <f t="shared" ref="E255:E259" si="61">24*MOD(TIMEVALUE(TRIM(MID(D255,FIND("-",D255)+1,LEN(D255)))) - TIMEVALUE(TRIM(LEFT(D255,FIND("-",D255)-1))),1)</f>
      </c>
      <c r="F255" s="6422" t="s">
        <v>6952</v>
      </c>
      <c r="G255" s="6563" t="s">
        <v>6947</v>
      </c>
      <c r="H255" s="6422"/>
      <c r="I255" s="6547" t="s">
        <v>6770</v>
      </c>
      <c r="J255" s="6564"/>
      <c r="K255" s="6408"/>
      <c r="L255" s="6408"/>
      <c r="M255" s="6408"/>
      <c r="N255" s="6408"/>
      <c r="O255" s="6408"/>
      <c r="P255" s="6408"/>
      <c r="Q255" s="6408"/>
      <c r="R255" s="6408"/>
      <c r="S255" s="6408"/>
      <c r="T255" s="6408"/>
      <c r="U255" s="6410"/>
      <c r="V255" s="6410"/>
      <c r="W255" s="6410"/>
      <c r="X255" s="6410"/>
      <c r="Y255" s="6410"/>
    </row>
    <row r="256">
      <c r="A256" s="6453" t="s">
        <v>6992</v>
      </c>
      <c r="B256" s="6418">
        <v>46212</v>
      </c>
      <c r="C256" s="6418" t="str">
        <v>Thursday</v>
      </c>
      <c r="D256" s="6422" t="s">
        <v>6994</v>
      </c>
      <c r="E256" s="6422">
        <f t="shared" si="61"/>
      </c>
      <c r="F256" s="6422" t="s">
        <v>6949</v>
      </c>
      <c r="G256" s="6563" t="s">
        <v>6813</v>
      </c>
      <c r="H256" s="6422"/>
      <c r="I256" s="6547"/>
      <c r="J256" s="6564"/>
      <c r="K256" s="6408"/>
      <c r="L256" s="6408"/>
      <c r="M256" s="6408"/>
      <c r="N256" s="6408"/>
      <c r="O256" s="6408"/>
      <c r="P256" s="6408"/>
      <c r="Q256" s="6408"/>
      <c r="R256" s="6408"/>
      <c r="S256" s="6408"/>
      <c r="T256" s="6408"/>
      <c r="U256" s="6410"/>
      <c r="V256" s="6410"/>
      <c r="W256" s="6410"/>
      <c r="X256" s="6410"/>
      <c r="Y256" s="6410"/>
    </row>
    <row r="257">
      <c r="A257" s="6453" t="s">
        <v>6956</v>
      </c>
      <c r="B257" s="6418">
        <v>46205</v>
      </c>
      <c r="C257" s="6418" t="str">
        <v>Thursday</v>
      </c>
      <c r="D257" s="6422" t="s">
        <v>6995</v>
      </c>
      <c r="E257" s="6422">
        <f t="shared" si="61"/>
      </c>
      <c r="F257" s="6422" t="s">
        <v>6824</v>
      </c>
      <c r="G257" s="6563"/>
      <c r="H257" s="6422"/>
      <c r="I257" s="6419" t="s">
        <v>6770</v>
      </c>
      <c r="J257" s="6564"/>
      <c r="K257" s="6408"/>
      <c r="L257" s="6408"/>
      <c r="M257" s="6408"/>
      <c r="N257" s="6408"/>
      <c r="O257" s="6408"/>
      <c r="P257" s="6408"/>
      <c r="Q257" s="6408"/>
      <c r="R257" s="6408"/>
      <c r="S257" s="6408"/>
      <c r="T257" s="6408"/>
      <c r="U257" s="6410"/>
      <c r="V257" s="6410"/>
      <c r="W257" s="6410"/>
      <c r="X257" s="6410"/>
      <c r="Y257" s="6410"/>
    </row>
    <row r="258">
      <c r="A258" s="6453" t="s">
        <v>6996</v>
      </c>
      <c r="B258" s="6418">
        <v>46209</v>
      </c>
      <c r="C258" s="6418" t="str">
        <v>Monday</v>
      </c>
      <c r="D258" s="6422" t="s">
        <v>6997</v>
      </c>
      <c r="E258" s="6422">
        <f t="shared" si="61"/>
      </c>
      <c r="F258" s="6422" t="s">
        <v>6949</v>
      </c>
      <c r="G258" s="6563"/>
      <c r="H258" s="6422"/>
      <c r="I258" s="6547"/>
      <c r="J258" s="6564"/>
      <c r="K258" s="6408"/>
      <c r="L258" s="6408"/>
      <c r="M258" s="6408"/>
      <c r="N258" s="6408"/>
      <c r="O258" s="6408"/>
      <c r="P258" s="6408"/>
      <c r="Q258" s="6408"/>
      <c r="R258" s="6408"/>
      <c r="S258" s="6408"/>
      <c r="T258" s="6408"/>
      <c r="U258" s="6410"/>
      <c r="V258" s="6410"/>
      <c r="W258" s="6410"/>
      <c r="X258" s="6410"/>
      <c r="Y258" s="6410"/>
    </row>
    <row r="259">
      <c r="A259" s="6453" t="s">
        <v>6996</v>
      </c>
      <c r="B259" s="6418">
        <v>46212</v>
      </c>
      <c r="C259" s="6418" t="str">
        <v>Thursday</v>
      </c>
      <c r="D259" s="6422" t="s">
        <v>6998</v>
      </c>
      <c r="E259" s="6422">
        <f t="shared" si="61"/>
      </c>
      <c r="F259" s="6422" t="s">
        <v>6949</v>
      </c>
      <c r="G259" s="6563"/>
      <c r="H259" s="6422"/>
      <c r="I259" s="6547"/>
      <c r="J259" s="6564"/>
      <c r="K259" s="6408"/>
      <c r="L259" s="6408"/>
      <c r="M259" s="6408"/>
      <c r="N259" s="6408"/>
      <c r="O259" s="6408"/>
      <c r="P259" s="6408"/>
      <c r="Q259" s="6408"/>
      <c r="R259" s="6408"/>
      <c r="S259" s="6408"/>
      <c r="T259" s="6408"/>
      <c r="U259" s="6410"/>
      <c r="V259" s="6410"/>
      <c r="W259" s="6410"/>
      <c r="X259" s="6410"/>
      <c r="Y259" s="6410"/>
    </row>
    <row r="260">
      <c r="A260" s="6495" t="s">
        <v>6999</v>
      </c>
      <c r="B260" s="6495"/>
      <c r="C260" s="6495"/>
      <c r="D260" s="6495"/>
      <c r="E260" s="6495"/>
      <c r="F260" s="6495"/>
      <c r="G260" s="6495"/>
      <c r="H260" s="6495"/>
      <c r="I260" s="6495"/>
      <c r="J260" s="6495"/>
      <c r="K260" s="6408"/>
      <c r="L260" s="6408"/>
      <c r="M260" s="6408"/>
      <c r="N260" s="6408"/>
      <c r="O260" s="6408"/>
      <c r="P260" s="6408"/>
      <c r="Q260" s="6408"/>
      <c r="R260" s="6408"/>
      <c r="S260" s="6408"/>
      <c r="T260" s="6408"/>
      <c r="U260" s="6410"/>
      <c r="V260" s="6410"/>
      <c r="W260" s="6410"/>
      <c r="X260" s="6410"/>
      <c r="Y260" s="6410"/>
    </row>
    <row r="261">
      <c r="A261" s="6496" t="s">
        <v>6757</v>
      </c>
      <c r="B261" s="6497" t="s">
        <v>6758</v>
      </c>
      <c r="C261" s="6497"/>
      <c r="D261" s="6498" t="s">
        <v>6759</v>
      </c>
      <c r="E261" s="6499" t="s">
        <v>6760</v>
      </c>
      <c r="F261" s="6499" t="s">
        <v>6761</v>
      </c>
      <c r="G261" s="6499"/>
      <c r="H261" s="6501" t="s">
        <v>6763</v>
      </c>
      <c r="I261" s="6502" t="s">
        <v>6764</v>
      </c>
      <c r="J261" s="6502" t="s">
        <v>6765</v>
      </c>
      <c r="K261" s="6408"/>
      <c r="L261" s="6408"/>
      <c r="M261" s="6408"/>
      <c r="N261" s="6408"/>
      <c r="O261" s="6408"/>
      <c r="P261" s="6408"/>
      <c r="Q261" s="6408"/>
      <c r="R261" s="6408"/>
      <c r="S261" s="6408"/>
      <c r="T261" s="6408"/>
      <c r="U261" s="6410"/>
      <c r="V261" s="6410"/>
      <c r="W261" s="6410"/>
      <c r="X261" s="6410"/>
      <c r="Y261" s="6410"/>
    </row>
    <row r="262">
      <c r="A262" s="6418" t="s">
        <v>7000</v>
      </c>
      <c r="B262" s="6418">
        <v>46210</v>
      </c>
      <c r="C262" s="6418" t="str">
        <v>Tuesday</v>
      </c>
      <c r="D262" s="6419" t="s">
        <v>6990</v>
      </c>
      <c r="E262" s="6419">
        <v>2</v>
      </c>
      <c r="F262" s="6419" t="s">
        <v>6851</v>
      </c>
      <c r="G262" s="6419" t="s">
        <v>7001</v>
      </c>
      <c r="H262" s="6423" t="s">
        <v>6769</v>
      </c>
      <c r="I262" s="6419" t="s">
        <v>6770</v>
      </c>
      <c r="J262" s="6470"/>
      <c r="K262" s="6408"/>
      <c r="L262" s="6408"/>
      <c r="M262" s="6408"/>
      <c r="N262" s="6408"/>
      <c r="O262" s="6408"/>
      <c r="P262" s="6408"/>
      <c r="Q262" s="6408"/>
      <c r="R262" s="6408"/>
      <c r="S262" s="6408"/>
      <c r="T262" s="6408"/>
      <c r="U262" s="6410"/>
      <c r="V262" s="6410"/>
      <c r="W262" s="6410"/>
      <c r="X262" s="6410"/>
      <c r="Y262" s="6410"/>
    </row>
    <row r="263">
      <c r="A263" s="6418" t="s">
        <v>7000</v>
      </c>
      <c r="B263" s="6418">
        <v>46213</v>
      </c>
      <c r="C263" s="6418" t="str">
        <v>Friday</v>
      </c>
      <c r="D263" s="6419" t="s">
        <v>6990</v>
      </c>
      <c r="E263" s="6419">
        <f>24*MOD(TIMEVALUE(TRIM(MID(D263,FIND("-",D263)+1,LEN(D263)))) - TIMEVALUE(TRIM(LEFT(D263,FIND("-",D263)-1))),1)</f>
      </c>
      <c r="F263" s="6419" t="s">
        <v>6780</v>
      </c>
      <c r="G263" s="6563" t="s">
        <v>6813</v>
      </c>
      <c r="H263" s="6423" t="s">
        <v>6769</v>
      </c>
      <c r="I263" s="6419" t="s">
        <v>6770</v>
      </c>
      <c r="J263" s="6564"/>
      <c r="K263" s="6408"/>
      <c r="L263" s="6408"/>
      <c r="M263" s="6408"/>
      <c r="N263" s="6408"/>
      <c r="O263" s="6408"/>
      <c r="P263" s="6408"/>
      <c r="Q263" s="6408"/>
      <c r="R263" s="6408"/>
      <c r="S263" s="6408"/>
      <c r="T263" s="6408"/>
      <c r="U263" s="6410"/>
      <c r="V263" s="6410"/>
      <c r="W263" s="6410"/>
      <c r="X263" s="6410"/>
      <c r="Y263" s="6410"/>
    </row>
    <row r="264">
      <c r="A264" s="6418" t="s">
        <v>7002</v>
      </c>
      <c r="B264" s="6418">
        <v>46210</v>
      </c>
      <c r="C264" s="6418" t="str">
        <v>Tuesday</v>
      </c>
      <c r="D264" s="6419" t="s">
        <v>7003</v>
      </c>
      <c r="E264" s="6419">
        <v>2.5</v>
      </c>
      <c r="F264" s="6419" t="s">
        <v>7001</v>
      </c>
      <c r="G264" s="6563"/>
      <c r="H264" s="6423" t="s">
        <v>6769</v>
      </c>
      <c r="I264" s="6419" t="s">
        <v>6770</v>
      </c>
      <c r="J264" s="6564"/>
      <c r="K264" s="6408"/>
      <c r="L264" s="6408"/>
      <c r="M264" s="6408"/>
      <c r="N264" s="6408"/>
      <c r="O264" s="6408"/>
      <c r="P264" s="6408"/>
      <c r="Q264" s="6408"/>
      <c r="R264" s="6408"/>
      <c r="S264" s="6408"/>
      <c r="T264" s="6408"/>
      <c r="U264" s="6410"/>
      <c r="V264" s="6410"/>
      <c r="W264" s="6410"/>
      <c r="X264" s="6410"/>
      <c r="Y264" s="6410"/>
    </row>
    <row r="265">
      <c r="A265" s="6418" t="s">
        <v>7002</v>
      </c>
      <c r="B265" s="6418">
        <v>46213</v>
      </c>
      <c r="C265" s="6418" t="str">
        <v>Friday</v>
      </c>
      <c r="D265" s="6419" t="s">
        <v>7003</v>
      </c>
      <c r="E265" s="6419">
        <f>24*MOD(TIMEVALUE(TRIM(MID(D265,FIND("-",D265)+1,LEN(D265)))) - TIMEVALUE(TRIM(LEFT(D265,FIND("-",D265)-1))),1)</f>
      </c>
      <c r="F265" s="6422" t="s">
        <v>6824</v>
      </c>
      <c r="G265" s="6419"/>
      <c r="H265" s="6423" t="s">
        <v>6769</v>
      </c>
      <c r="I265" s="6419" t="s">
        <v>6770</v>
      </c>
      <c r="J265" s="6470"/>
      <c r="K265" s="6408"/>
      <c r="L265" s="6408"/>
      <c r="M265" s="6408"/>
      <c r="N265" s="6408"/>
      <c r="O265" s="6408"/>
      <c r="P265" s="6408"/>
      <c r="Q265" s="6408"/>
      <c r="R265" s="6408"/>
      <c r="S265" s="6408"/>
      <c r="T265" s="6408"/>
      <c r="U265" s="6410"/>
      <c r="V265" s="6410"/>
      <c r="W265" s="6410"/>
      <c r="X265" s="6410"/>
      <c r="Y265" s="6410"/>
    </row>
    <row r="266">
      <c r="A266" s="6505"/>
      <c r="B266" s="6505"/>
      <c r="C266" s="6505"/>
      <c r="D266" s="6505"/>
      <c r="E266" s="6505"/>
      <c r="F266" s="6505"/>
      <c r="G266" s="6565"/>
      <c r="H266" s="6505"/>
      <c r="I266" s="6505"/>
      <c r="J266" s="6505"/>
      <c r="K266" s="6408"/>
      <c r="L266" s="6408"/>
      <c r="M266" s="6408"/>
      <c r="N266" s="6408"/>
      <c r="O266" s="6408"/>
      <c r="P266" s="6408"/>
      <c r="Q266" s="6408"/>
      <c r="R266" s="6408"/>
      <c r="S266" s="6408"/>
      <c r="T266" s="6408"/>
      <c r="U266" s="6410"/>
      <c r="V266" s="6410"/>
      <c r="W266" s="6410"/>
      <c r="X266" s="6410"/>
      <c r="Y266" s="6410"/>
    </row>
    <row r="267">
      <c r="A267" s="6566" t="s">
        <v>7004</v>
      </c>
      <c r="B267" s="6566"/>
      <c r="C267" s="6566"/>
      <c r="D267" s="6566"/>
      <c r="E267" s="6566"/>
      <c r="F267" s="6566"/>
      <c r="G267" s="6566"/>
      <c r="H267" s="6566"/>
      <c r="I267" s="6566"/>
      <c r="J267" s="6566"/>
      <c r="K267" s="6408"/>
      <c r="L267" s="6408"/>
      <c r="M267" s="6408"/>
      <c r="N267" s="6408"/>
      <c r="O267" s="6408"/>
      <c r="P267" s="6408"/>
      <c r="Q267" s="6408"/>
      <c r="R267" s="6408"/>
      <c r="S267" s="6408"/>
      <c r="T267" s="6408"/>
      <c r="U267" s="6410"/>
      <c r="V267" s="6410"/>
      <c r="W267" s="6410"/>
      <c r="X267" s="6410"/>
      <c r="Y267" s="6410"/>
    </row>
    <row r="268">
      <c r="A268" s="6567" t="s">
        <v>6757</v>
      </c>
      <c r="B268" s="6568" t="s">
        <v>6758</v>
      </c>
      <c r="C268" s="6568"/>
      <c r="D268" s="6569" t="s">
        <v>6759</v>
      </c>
      <c r="E268" s="6569" t="s">
        <v>6760</v>
      </c>
      <c r="F268" s="6569" t="s">
        <v>6761</v>
      </c>
      <c r="G268" s="6570" t="s">
        <v>6777</v>
      </c>
      <c r="H268" s="6569" t="s">
        <v>6763</v>
      </c>
      <c r="I268" s="6569" t="s">
        <v>6764</v>
      </c>
      <c r="J268" s="6569" t="s">
        <v>6765</v>
      </c>
      <c r="K268" s="6408"/>
      <c r="L268" s="6408"/>
      <c r="M268" s="6408"/>
      <c r="N268" s="6408"/>
      <c r="O268" s="6408"/>
      <c r="P268" s="6408"/>
      <c r="Q268" s="6408"/>
      <c r="R268" s="6408"/>
      <c r="S268" s="6408"/>
      <c r="T268" s="6408"/>
      <c r="U268" s="6410"/>
      <c r="V268" s="6410"/>
      <c r="W268" s="6410"/>
      <c r="X268" s="6410"/>
      <c r="Y268" s="6410"/>
    </row>
    <row r="269">
      <c r="A269" s="6473"/>
      <c r="B269" s="6473"/>
      <c r="C269" s="6473"/>
      <c r="D269" s="6447"/>
      <c r="E269" s="6447"/>
      <c r="F269" s="6447"/>
      <c r="G269" s="6504"/>
      <c r="H269" s="6447"/>
      <c r="I269" s="6447"/>
      <c r="J269" s="6447"/>
      <c r="K269" s="6476"/>
      <c r="L269" s="6476"/>
      <c r="M269" s="6476"/>
      <c r="N269" s="6476"/>
      <c r="O269" s="6476"/>
      <c r="P269" s="6476"/>
      <c r="Q269" s="6476"/>
      <c r="R269" s="6476"/>
      <c r="S269" s="6476"/>
      <c r="T269" s="6476"/>
      <c r="U269" s="6410"/>
      <c r="V269" s="6410"/>
      <c r="W269" s="6410"/>
      <c r="X269" s="6410"/>
      <c r="Y269" s="6410"/>
    </row>
    <row r="270">
      <c r="A270" s="6473"/>
      <c r="B270" s="6473"/>
      <c r="C270" s="6473"/>
      <c r="D270" s="6447"/>
      <c r="E270" s="6447"/>
      <c r="F270" s="6447"/>
      <c r="G270" s="6504"/>
      <c r="H270" s="6447"/>
      <c r="I270" s="6447"/>
      <c r="J270" s="6447"/>
      <c r="K270" s="6476"/>
      <c r="L270" s="6476"/>
      <c r="M270" s="6476"/>
      <c r="N270" s="6476"/>
      <c r="O270" s="6476"/>
      <c r="P270" s="6476"/>
      <c r="Q270" s="6476"/>
      <c r="R270" s="6476"/>
      <c r="S270" s="6476"/>
      <c r="T270" s="6476"/>
      <c r="U270" s="6410"/>
      <c r="V270" s="6410"/>
      <c r="W270" s="6410"/>
      <c r="X270" s="6410"/>
      <c r="Y270" s="6410"/>
    </row>
    <row r="271">
      <c r="A271" s="6418"/>
      <c r="B271" s="6418"/>
      <c r="C271" s="6418"/>
      <c r="D271" s="6419"/>
      <c r="E271" s="6419"/>
      <c r="F271" s="6422"/>
      <c r="G271" s="6486"/>
      <c r="H271" s="6422"/>
      <c r="I271" s="6422"/>
      <c r="J271" s="6422"/>
      <c r="K271" s="6408"/>
      <c r="L271" s="6408"/>
      <c r="M271" s="6408"/>
      <c r="N271" s="6408"/>
      <c r="O271" s="6408"/>
      <c r="P271" s="6408"/>
      <c r="Q271" s="6408"/>
      <c r="R271" s="6408"/>
      <c r="S271" s="6408"/>
      <c r="T271" s="6408"/>
      <c r="U271" s="6410"/>
      <c r="V271" s="6410"/>
      <c r="W271" s="6410"/>
      <c r="X271" s="6410"/>
      <c r="Y271" s="6410"/>
    </row>
    <row r="272">
      <c r="A272" s="6418"/>
      <c r="B272" s="6418"/>
      <c r="C272" s="6418"/>
      <c r="D272" s="6419"/>
      <c r="E272" s="6419"/>
      <c r="F272" s="6422"/>
      <c r="G272" s="6486"/>
      <c r="H272" s="6422"/>
      <c r="I272" s="6422"/>
      <c r="J272" s="6422"/>
      <c r="K272" s="6408"/>
      <c r="L272" s="6408"/>
      <c r="M272" s="6408"/>
      <c r="N272" s="6408"/>
      <c r="O272" s="6408"/>
      <c r="P272" s="6408"/>
      <c r="Q272" s="6408"/>
      <c r="R272" s="6408"/>
      <c r="S272" s="6408"/>
      <c r="T272" s="6408"/>
      <c r="U272" s="6410"/>
      <c r="V272" s="6410"/>
      <c r="W272" s="6410"/>
      <c r="X272" s="6410"/>
      <c r="Y272" s="6410"/>
    </row>
    <row r="273">
      <c r="A273" s="6473"/>
      <c r="B273" s="6473"/>
      <c r="C273" s="6473"/>
      <c r="D273" s="6447"/>
      <c r="E273" s="6447"/>
      <c r="F273" s="6447"/>
      <c r="G273" s="6504"/>
      <c r="H273" s="6447"/>
      <c r="I273" s="6447"/>
      <c r="J273" s="6447"/>
      <c r="K273" s="6476"/>
      <c r="L273" s="6476"/>
      <c r="M273" s="6476"/>
      <c r="N273" s="6476"/>
      <c r="O273" s="6476"/>
      <c r="P273" s="6476"/>
      <c r="Q273" s="6476"/>
      <c r="R273" s="6476"/>
      <c r="S273" s="6476"/>
      <c r="T273" s="6476"/>
      <c r="U273" s="6410"/>
      <c r="V273" s="6410"/>
      <c r="W273" s="6410"/>
      <c r="X273" s="6410"/>
      <c r="Y273" s="6410"/>
    </row>
    <row r="274">
      <c r="A274" s="6473"/>
      <c r="B274" s="6473"/>
      <c r="C274" s="6473"/>
      <c r="D274" s="6447"/>
      <c r="E274" s="6447"/>
      <c r="F274" s="6447"/>
      <c r="G274" s="6504"/>
      <c r="H274" s="6447"/>
      <c r="I274" s="6447"/>
      <c r="J274" s="6447"/>
      <c r="K274" s="6476"/>
      <c r="L274" s="6476"/>
      <c r="M274" s="6476"/>
      <c r="N274" s="6476"/>
      <c r="O274" s="6476"/>
      <c r="P274" s="6476"/>
      <c r="Q274" s="6476"/>
      <c r="R274" s="6476"/>
      <c r="S274" s="6476"/>
      <c r="T274" s="6476"/>
      <c r="U274" s="6410"/>
      <c r="V274" s="6410"/>
      <c r="W274" s="6410"/>
      <c r="X274" s="6410"/>
      <c r="Y274" s="6410"/>
    </row>
    <row r="275">
      <c r="A275" s="6505"/>
      <c r="B275" s="6505"/>
      <c r="C275" s="6505"/>
      <c r="D275" s="6410"/>
      <c r="E275" s="6505"/>
      <c r="F275" s="6505"/>
      <c r="G275" s="6565"/>
      <c r="H275" s="6505"/>
      <c r="I275" s="6505"/>
      <c r="J275" s="6505"/>
      <c r="K275" s="6408"/>
      <c r="L275" s="6408"/>
      <c r="M275" s="6408"/>
      <c r="N275" s="6408"/>
      <c r="O275" s="6408"/>
      <c r="P275" s="6408"/>
      <c r="Q275" s="6408"/>
      <c r="R275" s="6408"/>
      <c r="S275" s="6408"/>
      <c r="T275" s="6408"/>
      <c r="U275" s="6410"/>
      <c r="V275" s="6410"/>
      <c r="W275" s="6410"/>
      <c r="X275" s="6410"/>
      <c r="Y275" s="6410"/>
    </row>
    <row r="276">
      <c r="A276" s="6459" t="s">
        <v>7005</v>
      </c>
      <c r="B276" s="6459"/>
      <c r="C276" s="6459"/>
      <c r="D276" s="6459"/>
      <c r="E276" s="6459"/>
      <c r="F276" s="6459"/>
      <c r="G276" s="6459"/>
      <c r="H276" s="6459"/>
      <c r="I276" s="6459"/>
      <c r="J276" s="6459"/>
      <c r="K276" s="6435"/>
      <c r="L276" s="6435"/>
      <c r="M276" s="6435"/>
      <c r="N276" s="6435"/>
      <c r="O276" s="6408"/>
      <c r="P276" s="6408"/>
      <c r="Q276" s="6408"/>
      <c r="R276" s="6408"/>
      <c r="S276" s="6408"/>
      <c r="T276" s="6408"/>
      <c r="U276" s="6410"/>
      <c r="V276" s="6410"/>
      <c r="W276" s="6410"/>
      <c r="X276" s="6410"/>
      <c r="Y276" s="6410"/>
    </row>
    <row r="277">
      <c r="A277" s="6459"/>
      <c r="B277" s="6459"/>
      <c r="C277" s="6459"/>
      <c r="D277" s="6459"/>
      <c r="E277" s="6459"/>
      <c r="F277" s="6459"/>
      <c r="G277" s="6459"/>
      <c r="H277" s="6459"/>
      <c r="I277" s="6459"/>
      <c r="J277" s="6459"/>
      <c r="K277" s="6435"/>
      <c r="L277" s="6435"/>
      <c r="M277" s="6435"/>
      <c r="N277" s="6435"/>
      <c r="O277" s="6408"/>
      <c r="P277" s="6408"/>
      <c r="Q277" s="6408"/>
      <c r="R277" s="6408"/>
      <c r="S277" s="6408"/>
      <c r="T277" s="6408"/>
      <c r="U277" s="6410"/>
      <c r="V277" s="6410"/>
      <c r="W277" s="6410"/>
      <c r="X277" s="6410"/>
      <c r="Y277" s="6410"/>
    </row>
    <row r="278">
      <c r="A278" s="6461" t="s">
        <v>6757</v>
      </c>
      <c r="B278" s="6462" t="s">
        <v>6758</v>
      </c>
      <c r="C278" s="6462"/>
      <c r="D278" s="6463" t="s">
        <v>6759</v>
      </c>
      <c r="E278" s="6463" t="s">
        <v>6760</v>
      </c>
      <c r="F278" s="6463" t="s">
        <v>6761</v>
      </c>
      <c r="G278" s="6464" t="s">
        <v>6777</v>
      </c>
      <c r="H278" s="6463" t="s">
        <v>6763</v>
      </c>
      <c r="I278" s="6463" t="s">
        <v>6764</v>
      </c>
      <c r="J278" s="6463" t="s">
        <v>6765</v>
      </c>
      <c r="K278" s="6435"/>
      <c r="L278" s="6435"/>
      <c r="M278" s="6435"/>
      <c r="N278" s="6435"/>
      <c r="O278" s="6408"/>
      <c r="P278" s="6408"/>
      <c r="Q278" s="6408"/>
      <c r="R278" s="6408"/>
      <c r="S278" s="6408"/>
      <c r="T278" s="6408"/>
      <c r="U278" s="6410"/>
      <c r="V278" s="6410"/>
      <c r="W278" s="6410"/>
      <c r="X278" s="6410"/>
      <c r="Y278" s="6410"/>
    </row>
    <row r="279">
      <c r="A279" s="6418"/>
      <c r="B279" s="6418"/>
      <c r="C279" s="6418"/>
      <c r="D279" s="6419"/>
      <c r="E279" s="6419"/>
      <c r="F279" s="6422"/>
      <c r="G279" s="6486"/>
      <c r="H279" s="6422"/>
      <c r="I279" s="6419"/>
      <c r="J279" s="6422"/>
      <c r="K279" s="6435"/>
      <c r="L279" s="6435"/>
      <c r="M279" s="6435"/>
      <c r="N279" s="6435"/>
      <c r="O279" s="6408"/>
      <c r="P279" s="6408"/>
      <c r="Q279" s="6408"/>
      <c r="R279" s="6408"/>
      <c r="S279" s="6408"/>
      <c r="T279" s="6408"/>
      <c r="U279" s="6410"/>
      <c r="V279" s="6410"/>
      <c r="W279" s="6410"/>
      <c r="X279" s="6410"/>
      <c r="Y279" s="6410"/>
    </row>
    <row r="280">
      <c r="A280" s="6418"/>
      <c r="B280" s="6418"/>
      <c r="C280" s="6418"/>
      <c r="D280" s="6419"/>
      <c r="E280" s="6419"/>
      <c r="F280" s="6538"/>
      <c r="G280" s="6486"/>
      <c r="H280" s="6422"/>
      <c r="I280" s="6419"/>
      <c r="J280" s="6422"/>
      <c r="K280" s="6435"/>
      <c r="L280" s="6435"/>
      <c r="M280" s="6435"/>
      <c r="N280" s="6435"/>
      <c r="O280" s="6408"/>
      <c r="P280" s="6408"/>
      <c r="Q280" s="6408"/>
      <c r="R280" s="6408"/>
      <c r="S280" s="6408"/>
      <c r="T280" s="6408"/>
      <c r="U280" s="6410"/>
      <c r="V280" s="6410"/>
      <c r="W280" s="6410"/>
      <c r="X280" s="6410"/>
      <c r="Y280" s="6410"/>
    </row>
    <row r="281">
      <c r="A281" s="6418"/>
      <c r="B281" s="6418"/>
      <c r="C281" s="6418"/>
      <c r="D281" s="6419"/>
      <c r="E281" s="6419"/>
      <c r="F281" s="6422"/>
      <c r="G281" s="6486"/>
      <c r="H281" s="6422"/>
      <c r="I281" s="6419"/>
      <c r="J281" s="6422"/>
      <c r="K281" s="6435"/>
      <c r="L281" s="6435"/>
      <c r="M281" s="6435"/>
      <c r="N281" s="6435"/>
      <c r="O281" s="6408"/>
      <c r="P281" s="6408"/>
      <c r="Q281" s="6408"/>
      <c r="R281" s="6408"/>
      <c r="S281" s="6408"/>
      <c r="T281" s="6408"/>
      <c r="U281" s="6410"/>
      <c r="V281" s="6410"/>
      <c r="W281" s="6410"/>
      <c r="X281" s="6410"/>
      <c r="Y281" s="6410"/>
    </row>
    <row r="282">
      <c r="A282" s="6418"/>
      <c r="B282" s="6418"/>
      <c r="C282" s="6418"/>
      <c r="D282" s="6419"/>
      <c r="E282" s="6419"/>
      <c r="F282" s="6538"/>
      <c r="G282" s="6486"/>
      <c r="H282" s="6422"/>
      <c r="I282" s="6419"/>
      <c r="J282" s="6422"/>
      <c r="K282" s="6435"/>
      <c r="L282" s="6435"/>
      <c r="M282" s="6435"/>
      <c r="N282" s="6435"/>
      <c r="O282" s="6408"/>
      <c r="P282" s="6408"/>
      <c r="Q282" s="6408"/>
      <c r="R282" s="6408"/>
      <c r="S282" s="6408"/>
      <c r="T282" s="6408"/>
      <c r="U282" s="6410"/>
      <c r="V282" s="6410"/>
      <c r="W282" s="6410"/>
      <c r="X282" s="6410"/>
      <c r="Y282" s="6410"/>
    </row>
    <row r="283">
      <c r="A283" s="6418"/>
      <c r="B283" s="6418"/>
      <c r="C283" s="6418"/>
      <c r="D283" s="6419"/>
      <c r="E283" s="6419"/>
      <c r="F283" s="6538"/>
      <c r="G283" s="6486"/>
      <c r="H283" s="6422"/>
      <c r="I283" s="6419"/>
      <c r="J283" s="6422"/>
      <c r="K283" s="6435"/>
      <c r="L283" s="6435"/>
      <c r="M283" s="6435"/>
      <c r="N283" s="6435"/>
      <c r="O283" s="6408"/>
      <c r="P283" s="6408"/>
      <c r="Q283" s="6408"/>
      <c r="R283" s="6408"/>
      <c r="S283" s="6408"/>
      <c r="T283" s="6408"/>
      <c r="U283" s="6410"/>
      <c r="V283" s="6410"/>
      <c r="W283" s="6410"/>
      <c r="X283" s="6410"/>
      <c r="Y283" s="6410"/>
    </row>
    <row r="284">
      <c r="A284" s="6571" t="s">
        <v>7006</v>
      </c>
      <c r="B284" s="6571"/>
      <c r="C284" s="6571"/>
      <c r="D284" s="6571"/>
      <c r="E284" s="6571"/>
      <c r="F284" s="6571"/>
      <c r="G284" s="6571"/>
      <c r="H284" s="6571"/>
      <c r="I284" s="6571"/>
      <c r="J284" s="6571"/>
      <c r="K284" s="6408"/>
      <c r="L284" s="6408"/>
      <c r="M284" s="6408"/>
      <c r="N284" s="6408"/>
      <c r="O284" s="6408"/>
      <c r="P284" s="6408"/>
      <c r="Q284" s="6408"/>
      <c r="R284" s="6408"/>
      <c r="S284" s="6408"/>
      <c r="T284" s="6408"/>
      <c r="U284" s="6410"/>
      <c r="V284" s="6410"/>
      <c r="W284" s="6410"/>
      <c r="X284" s="6410"/>
      <c r="Y284" s="6410"/>
    </row>
    <row r="285">
      <c r="A285" s="6572" t="s">
        <v>6757</v>
      </c>
      <c r="B285" s="6573" t="s">
        <v>6758</v>
      </c>
      <c r="C285" s="6573"/>
      <c r="D285" s="6574" t="s">
        <v>6759</v>
      </c>
      <c r="E285" s="6574" t="s">
        <v>6760</v>
      </c>
      <c r="F285" s="6574" t="s">
        <v>6761</v>
      </c>
      <c r="G285" s="6575" t="s">
        <v>6777</v>
      </c>
      <c r="H285" s="6574" t="s">
        <v>6763</v>
      </c>
      <c r="I285" s="6574" t="s">
        <v>6764</v>
      </c>
      <c r="J285" s="6574" t="s">
        <v>6765</v>
      </c>
      <c r="K285" s="6408"/>
      <c r="L285" s="6408"/>
      <c r="M285" s="6408"/>
      <c r="N285" s="6408"/>
      <c r="O285" s="6408"/>
      <c r="P285" s="6408"/>
      <c r="Q285" s="6408"/>
      <c r="R285" s="6408"/>
      <c r="S285" s="6408"/>
      <c r="T285" s="6408"/>
      <c r="U285" s="6410"/>
      <c r="V285" s="6410"/>
      <c r="W285" s="6410"/>
      <c r="X285" s="6410"/>
      <c r="Y285" s="6410"/>
    </row>
    <row r="286">
      <c r="A286" s="6524" t="s">
        <v>7007</v>
      </c>
      <c r="B286" s="6524">
        <v>46210</v>
      </c>
      <c r="C286" s="6524" t="str">
        <v>Tuesday</v>
      </c>
      <c r="D286" s="6526" t="s">
        <v>6829</v>
      </c>
      <c r="E286" s="6526">
        <f t="shared" ref="E286:E336" si="62">24*MOD(TIMEVALUE(TRIM(MID(D286,FIND("-",D286)+1,LEN(D286)))) - TIMEVALUE(TRIM(LEFT(D286,FIND("-",D286)-1))),1)</f>
      </c>
      <c r="F286" s="6526" t="s">
        <v>7008</v>
      </c>
      <c r="G286" s="6576" t="s">
        <v>7009</v>
      </c>
      <c r="H286" s="6526" t="s">
        <v>6810</v>
      </c>
      <c r="I286" s="6526" t="s">
        <v>6770</v>
      </c>
      <c r="J286" s="6526"/>
      <c r="K286" s="6528"/>
      <c r="L286" s="6528"/>
      <c r="M286" s="6528"/>
      <c r="N286" s="6528"/>
      <c r="O286" s="6528"/>
      <c r="P286" s="6528"/>
      <c r="Q286" s="6528"/>
      <c r="R286" s="6528"/>
      <c r="S286" s="6528"/>
      <c r="T286" s="6528"/>
      <c r="U286" s="6577"/>
      <c r="V286" s="6577"/>
      <c r="W286" s="6577"/>
      <c r="X286" s="6577"/>
      <c r="Y286" s="6577"/>
    </row>
    <row r="287">
      <c r="A287" s="6524" t="s">
        <v>7007</v>
      </c>
      <c r="B287" s="6524">
        <v>46211</v>
      </c>
      <c r="C287" s="6524" t="str">
        <v>Wednesday</v>
      </c>
      <c r="D287" s="6526" t="s">
        <v>6793</v>
      </c>
      <c r="E287" s="6526">
        <f t="shared" si="62"/>
      </c>
      <c r="F287" s="6526" t="s">
        <v>7008</v>
      </c>
      <c r="G287" s="6576" t="s">
        <v>7010</v>
      </c>
      <c r="H287" s="6526" t="s">
        <v>6810</v>
      </c>
      <c r="I287" s="6526" t="s">
        <v>6770</v>
      </c>
      <c r="J287" s="6526"/>
      <c r="K287" s="6528"/>
      <c r="L287" s="6528"/>
      <c r="M287" s="6528"/>
      <c r="N287" s="6528"/>
      <c r="O287" s="6528"/>
      <c r="P287" s="6528"/>
      <c r="Q287" s="6528"/>
      <c r="R287" s="6528"/>
      <c r="S287" s="6528"/>
      <c r="T287" s="6528"/>
      <c r="U287" s="6577"/>
      <c r="V287" s="6577"/>
      <c r="W287" s="6577"/>
      <c r="X287" s="6577"/>
      <c r="Y287" s="6577"/>
    </row>
    <row r="288">
      <c r="A288" s="6524" t="s">
        <v>7007</v>
      </c>
      <c r="B288" s="6524">
        <v>46211</v>
      </c>
      <c r="C288" s="6524" t="s">
        <v>7011</v>
      </c>
      <c r="D288" s="6526" t="s">
        <v>6858</v>
      </c>
      <c r="E288" s="6526">
        <f t="shared" si="62"/>
      </c>
      <c r="F288" s="6526" t="s">
        <v>6949</v>
      </c>
      <c r="G288" s="6576" t="s">
        <v>7012</v>
      </c>
      <c r="H288" s="6526" t="s">
        <v>6810</v>
      </c>
      <c r="I288" s="6526" t="s">
        <v>6770</v>
      </c>
      <c r="J288" s="6526"/>
      <c r="K288" s="6528"/>
      <c r="L288" s="6528"/>
      <c r="M288" s="6528"/>
      <c r="N288" s="6528"/>
      <c r="O288" s="6528"/>
      <c r="P288" s="6528"/>
      <c r="Q288" s="6528"/>
      <c r="R288" s="6528"/>
      <c r="S288" s="6528"/>
      <c r="T288" s="6528"/>
      <c r="U288" s="6577"/>
      <c r="V288" s="6577"/>
      <c r="W288" s="6577"/>
      <c r="X288" s="6577"/>
      <c r="Y288" s="6577"/>
    </row>
    <row r="289">
      <c r="A289" s="6524" t="s">
        <v>7007</v>
      </c>
      <c r="B289" s="6524">
        <v>46212</v>
      </c>
      <c r="C289" s="6524" t="str">
        <v>Thursday</v>
      </c>
      <c r="D289" s="6526" t="s">
        <v>6884</v>
      </c>
      <c r="E289" s="6526">
        <f t="shared" si="62"/>
      </c>
      <c r="F289" s="6526" t="s">
        <v>7008</v>
      </c>
      <c r="G289" s="6576" t="s">
        <v>7013</v>
      </c>
      <c r="H289" s="6526" t="s">
        <v>6810</v>
      </c>
      <c r="I289" s="6526" t="s">
        <v>6770</v>
      </c>
      <c r="J289" s="6526"/>
      <c r="K289" s="6528"/>
      <c r="L289" s="6528"/>
      <c r="M289" s="6528"/>
      <c r="N289" s="6528"/>
      <c r="O289" s="6528"/>
      <c r="P289" s="6528"/>
      <c r="Q289" s="6528"/>
      <c r="R289" s="6528"/>
      <c r="S289" s="6528"/>
      <c r="T289" s="6528"/>
      <c r="U289" s="6577"/>
      <c r="V289" s="6577"/>
      <c r="W289" s="6577"/>
      <c r="X289" s="6577"/>
      <c r="Y289" s="6577"/>
    </row>
    <row r="290">
      <c r="A290" s="6546" t="s">
        <v>7014</v>
      </c>
      <c r="B290" s="6546">
        <v>46210</v>
      </c>
      <c r="C290" s="6546" t="str">
        <v>Tuesday</v>
      </c>
      <c r="D290" s="6547" t="s">
        <v>6852</v>
      </c>
      <c r="E290" s="6547">
        <f t="shared" si="62"/>
      </c>
      <c r="F290" s="6547" t="s">
        <v>7015</v>
      </c>
      <c r="G290" s="6548"/>
      <c r="H290" s="6547" t="s">
        <v>6810</v>
      </c>
      <c r="I290" s="6547" t="s">
        <v>6770</v>
      </c>
      <c r="J290" s="6547"/>
      <c r="K290" s="6552"/>
      <c r="L290" s="6552"/>
      <c r="M290" s="6552"/>
      <c r="N290" s="6552"/>
      <c r="O290" s="6552"/>
      <c r="P290" s="6552"/>
      <c r="Q290" s="6552"/>
      <c r="R290" s="6552"/>
      <c r="S290" s="6552"/>
      <c r="T290" s="6552"/>
      <c r="U290" s="6410"/>
      <c r="V290" s="6410"/>
      <c r="W290" s="6410"/>
      <c r="X290" s="6410"/>
      <c r="Y290" s="6410"/>
    </row>
    <row r="291">
      <c r="A291" s="6546" t="s">
        <v>7014</v>
      </c>
      <c r="B291" s="6546">
        <v>46210</v>
      </c>
      <c r="C291" s="6546" t="str">
        <v>Tuesday</v>
      </c>
      <c r="D291" s="6547" t="s">
        <v>6917</v>
      </c>
      <c r="E291" s="6547">
        <f t="shared" si="62"/>
      </c>
      <c r="F291" s="6547" t="s">
        <v>7016</v>
      </c>
      <c r="G291" s="6548"/>
      <c r="H291" s="6547" t="s">
        <v>6810</v>
      </c>
      <c r="I291" s="6547" t="s">
        <v>6770</v>
      </c>
      <c r="J291" s="6547"/>
      <c r="K291" s="6552"/>
      <c r="L291" s="6552"/>
      <c r="M291" s="6552"/>
      <c r="N291" s="6552"/>
      <c r="O291" s="6552"/>
      <c r="P291" s="6552"/>
      <c r="Q291" s="6552"/>
      <c r="R291" s="6552"/>
      <c r="S291" s="6552"/>
      <c r="T291" s="6552"/>
      <c r="U291" s="6410"/>
      <c r="V291" s="6410"/>
      <c r="W291" s="6410"/>
      <c r="X291" s="6410"/>
      <c r="Y291" s="6410"/>
    </row>
    <row r="292">
      <c r="A292" s="6546" t="s">
        <v>7014</v>
      </c>
      <c r="B292" s="6546">
        <v>46210</v>
      </c>
      <c r="C292" s="6546" t="str">
        <v>Tuesday</v>
      </c>
      <c r="D292" s="6547" t="s">
        <v>6829</v>
      </c>
      <c r="E292" s="6547">
        <f t="shared" si="62"/>
      </c>
      <c r="F292" s="6547" t="s">
        <v>7015</v>
      </c>
      <c r="G292" s="6548"/>
      <c r="H292" s="6547" t="s">
        <v>6810</v>
      </c>
      <c r="I292" s="6547" t="s">
        <v>6770</v>
      </c>
      <c r="J292" s="6547"/>
      <c r="K292" s="6552"/>
      <c r="L292" s="6552"/>
      <c r="M292" s="6552"/>
      <c r="N292" s="6552"/>
      <c r="O292" s="6552"/>
      <c r="P292" s="6552"/>
      <c r="Q292" s="6552"/>
      <c r="R292" s="6552"/>
      <c r="S292" s="6552"/>
      <c r="T292" s="6552"/>
      <c r="U292" s="6409"/>
      <c r="V292" s="6409"/>
      <c r="W292" s="6409"/>
      <c r="X292" s="6409"/>
      <c r="Y292" s="6409"/>
    </row>
    <row r="293">
      <c r="A293" s="6546" t="s">
        <v>7014</v>
      </c>
      <c r="B293" s="6546">
        <v>46210</v>
      </c>
      <c r="C293" s="6546" t="str">
        <v>Tuesday</v>
      </c>
      <c r="D293" s="6547" t="s">
        <v>7017</v>
      </c>
      <c r="E293" s="6547">
        <f t="shared" si="62"/>
      </c>
      <c r="F293" s="6547" t="s">
        <v>7016</v>
      </c>
      <c r="G293" s="6548"/>
      <c r="H293" s="6547" t="s">
        <v>6810</v>
      </c>
      <c r="I293" s="6547" t="s">
        <v>6770</v>
      </c>
      <c r="J293" s="6547"/>
      <c r="K293" s="6552"/>
      <c r="L293" s="6552"/>
      <c r="M293" s="6552"/>
      <c r="N293" s="6552"/>
      <c r="O293" s="6552"/>
      <c r="P293" s="6552"/>
      <c r="Q293" s="6552"/>
      <c r="R293" s="6552"/>
      <c r="S293" s="6552"/>
      <c r="T293" s="6552"/>
      <c r="U293" s="6410"/>
      <c r="V293" s="6410"/>
      <c r="W293" s="6410"/>
      <c r="X293" s="6410"/>
      <c r="Y293" s="6410"/>
    </row>
    <row r="294">
      <c r="A294" s="6418" t="s">
        <v>7014</v>
      </c>
      <c r="B294" s="6418">
        <v>46211</v>
      </c>
      <c r="C294" s="6418" t="str">
        <v>Wednesday</v>
      </c>
      <c r="D294" s="6419" t="s">
        <v>6894</v>
      </c>
      <c r="E294" s="6419">
        <f t="shared" si="62"/>
      </c>
      <c r="F294" s="6419" t="s">
        <v>7015</v>
      </c>
      <c r="G294" s="6431"/>
      <c r="H294" s="6419" t="s">
        <v>6810</v>
      </c>
      <c r="I294" s="6419" t="s">
        <v>6770</v>
      </c>
      <c r="J294" s="6419"/>
      <c r="K294" s="6408"/>
      <c r="L294" s="6408"/>
      <c r="M294" s="6408"/>
      <c r="N294" s="6408"/>
      <c r="O294" s="6408"/>
      <c r="P294" s="6408"/>
      <c r="Q294" s="6408"/>
      <c r="R294" s="6408"/>
      <c r="S294" s="6408"/>
      <c r="T294" s="6408"/>
      <c r="U294" s="6410"/>
      <c r="V294" s="6410"/>
      <c r="W294" s="6410"/>
      <c r="X294" s="6410"/>
      <c r="Y294" s="6410"/>
    </row>
    <row r="295">
      <c r="A295" s="6418" t="s">
        <v>7014</v>
      </c>
      <c r="B295" s="6418">
        <v>46211</v>
      </c>
      <c r="C295" s="6418" t="str">
        <v>Wednesday</v>
      </c>
      <c r="D295" s="6419" t="s">
        <v>7018</v>
      </c>
      <c r="E295" s="6419">
        <f t="shared" si="62"/>
      </c>
      <c r="F295" s="6419" t="s">
        <v>7008</v>
      </c>
      <c r="G295" s="6431" t="s">
        <v>7019</v>
      </c>
      <c r="H295" s="6419" t="s">
        <v>6810</v>
      </c>
      <c r="I295" s="6419" t="s">
        <v>6770</v>
      </c>
      <c r="J295" s="6419"/>
      <c r="K295" s="6408"/>
      <c r="L295" s="6408"/>
      <c r="M295" s="6408"/>
      <c r="N295" s="6408"/>
      <c r="O295" s="6408"/>
      <c r="P295" s="6408"/>
      <c r="Q295" s="6408"/>
      <c r="R295" s="6408"/>
      <c r="S295" s="6408"/>
      <c r="T295" s="6408"/>
      <c r="U295" s="6410"/>
      <c r="V295" s="6410"/>
      <c r="W295" s="6410"/>
      <c r="X295" s="6410"/>
      <c r="Y295" s="6410"/>
    </row>
    <row r="296">
      <c r="A296" s="6418" t="s">
        <v>7014</v>
      </c>
      <c r="B296" s="6418">
        <v>46211</v>
      </c>
      <c r="C296" s="6418" t="str">
        <v>Wednesday</v>
      </c>
      <c r="D296" s="6419" t="s">
        <v>6840</v>
      </c>
      <c r="E296" s="6419">
        <f t="shared" si="62"/>
      </c>
      <c r="F296" s="6419" t="s">
        <v>7015</v>
      </c>
      <c r="G296" s="6431"/>
      <c r="H296" s="6419" t="s">
        <v>6810</v>
      </c>
      <c r="I296" s="6419" t="s">
        <v>6770</v>
      </c>
      <c r="J296" s="6419"/>
      <c r="K296" s="6408"/>
      <c r="L296" s="6408"/>
      <c r="M296" s="6408"/>
      <c r="N296" s="6408"/>
      <c r="O296" s="6408"/>
      <c r="P296" s="6408"/>
      <c r="Q296" s="6408"/>
      <c r="R296" s="6408"/>
      <c r="S296" s="6408"/>
      <c r="T296" s="6408"/>
      <c r="U296" s="6410"/>
      <c r="V296" s="6410"/>
      <c r="W296" s="6410"/>
      <c r="X296" s="6410"/>
      <c r="Y296" s="6410"/>
    </row>
    <row r="297">
      <c r="A297" s="6418" t="s">
        <v>7014</v>
      </c>
      <c r="B297" s="6418">
        <v>46211</v>
      </c>
      <c r="C297" s="6418" t="str">
        <v>Wednesday</v>
      </c>
      <c r="D297" s="6419" t="s">
        <v>6974</v>
      </c>
      <c r="E297" s="6419">
        <f t="shared" si="62"/>
      </c>
      <c r="F297" s="6419" t="s">
        <v>7016</v>
      </c>
      <c r="G297" s="6431"/>
      <c r="H297" s="6419" t="s">
        <v>6810</v>
      </c>
      <c r="I297" s="6419" t="s">
        <v>6770</v>
      </c>
      <c r="J297" s="6419"/>
      <c r="K297" s="6408"/>
      <c r="L297" s="6408"/>
      <c r="M297" s="6408"/>
      <c r="N297" s="6408"/>
      <c r="O297" s="6408"/>
      <c r="P297" s="6408"/>
      <c r="Q297" s="6408"/>
      <c r="R297" s="6408"/>
      <c r="S297" s="6408"/>
      <c r="T297" s="6408"/>
      <c r="U297" s="6410"/>
      <c r="V297" s="6410"/>
      <c r="W297" s="6410"/>
      <c r="X297" s="6410"/>
      <c r="Y297" s="6410"/>
    </row>
    <row r="298">
      <c r="A298" s="6546" t="s">
        <v>7014</v>
      </c>
      <c r="B298" s="6546">
        <v>46212</v>
      </c>
      <c r="C298" s="6546" t="str">
        <v>Thursday</v>
      </c>
      <c r="D298" s="6547" t="s">
        <v>6852</v>
      </c>
      <c r="E298" s="6547">
        <f t="shared" si="62"/>
      </c>
      <c r="F298" s="6547" t="s">
        <v>7015</v>
      </c>
      <c r="G298" s="6548"/>
      <c r="H298" s="6547" t="s">
        <v>6810</v>
      </c>
      <c r="I298" s="6547" t="s">
        <v>6770</v>
      </c>
      <c r="J298" s="6547"/>
      <c r="K298" s="6552"/>
      <c r="L298" s="6552"/>
      <c r="M298" s="6552"/>
      <c r="N298" s="6552"/>
      <c r="O298" s="6552"/>
      <c r="P298" s="6552"/>
      <c r="Q298" s="6552"/>
      <c r="R298" s="6552"/>
      <c r="S298" s="6552"/>
      <c r="T298" s="6552"/>
      <c r="U298" s="6410"/>
      <c r="V298" s="6410"/>
      <c r="W298" s="6410"/>
      <c r="X298" s="6410"/>
      <c r="Y298" s="6410"/>
    </row>
    <row r="299">
      <c r="A299" s="6546" t="s">
        <v>7014</v>
      </c>
      <c r="B299" s="6546">
        <v>46212</v>
      </c>
      <c r="C299" s="6546" t="str">
        <v>Thursday</v>
      </c>
      <c r="D299" s="6547" t="s">
        <v>6917</v>
      </c>
      <c r="E299" s="6547">
        <f t="shared" si="62"/>
      </c>
      <c r="F299" s="6547" t="s">
        <v>7008</v>
      </c>
      <c r="G299" s="6548" t="s">
        <v>7020</v>
      </c>
      <c r="H299" s="6547" t="s">
        <v>6810</v>
      </c>
      <c r="I299" s="6547" t="s">
        <v>6770</v>
      </c>
      <c r="J299" s="6547"/>
      <c r="K299" s="6552"/>
      <c r="L299" s="6552"/>
      <c r="M299" s="6552"/>
      <c r="N299" s="6552"/>
      <c r="O299" s="6552"/>
      <c r="P299" s="6552"/>
      <c r="Q299" s="6552"/>
      <c r="R299" s="6552"/>
      <c r="S299" s="6552"/>
      <c r="T299" s="6552"/>
      <c r="U299" s="6410"/>
      <c r="V299" s="6410"/>
      <c r="W299" s="6410"/>
      <c r="X299" s="6410"/>
      <c r="Y299" s="6410"/>
    </row>
    <row r="300">
      <c r="A300" s="6546" t="s">
        <v>7014</v>
      </c>
      <c r="B300" s="6546">
        <v>46212</v>
      </c>
      <c r="C300" s="6546" t="str">
        <v>Thursday</v>
      </c>
      <c r="D300" s="6547" t="s">
        <v>6829</v>
      </c>
      <c r="E300" s="6547">
        <f t="shared" si="62"/>
      </c>
      <c r="F300" s="6547" t="s">
        <v>7015</v>
      </c>
      <c r="G300" s="6548"/>
      <c r="H300" s="6547" t="s">
        <v>6810</v>
      </c>
      <c r="I300" s="6547" t="s">
        <v>6770</v>
      </c>
      <c r="J300" s="6547"/>
      <c r="K300" s="6552"/>
      <c r="L300" s="6552"/>
      <c r="M300" s="6552"/>
      <c r="N300" s="6552"/>
      <c r="O300" s="6552"/>
      <c r="P300" s="6552"/>
      <c r="Q300" s="6552"/>
      <c r="R300" s="6552"/>
      <c r="S300" s="6552"/>
      <c r="T300" s="6552"/>
      <c r="U300" s="6410"/>
      <c r="V300" s="6410"/>
      <c r="W300" s="6410"/>
      <c r="X300" s="6410"/>
      <c r="Y300" s="6410"/>
    </row>
    <row r="301">
      <c r="A301" s="6546" t="s">
        <v>7014</v>
      </c>
      <c r="B301" s="6546">
        <v>46212</v>
      </c>
      <c r="C301" s="6546" t="str">
        <v>Thursday</v>
      </c>
      <c r="D301" s="6547" t="s">
        <v>7017</v>
      </c>
      <c r="E301" s="6547">
        <f t="shared" si="62"/>
      </c>
      <c r="F301" s="6547" t="s">
        <v>7016</v>
      </c>
      <c r="G301" s="6548"/>
      <c r="H301" s="6547" t="s">
        <v>6810</v>
      </c>
      <c r="I301" s="6547" t="s">
        <v>6770</v>
      </c>
      <c r="J301" s="6547"/>
      <c r="K301" s="6552"/>
      <c r="L301" s="6552"/>
      <c r="M301" s="6552"/>
      <c r="N301" s="6552"/>
      <c r="O301" s="6552"/>
      <c r="P301" s="6552"/>
      <c r="Q301" s="6552"/>
      <c r="R301" s="6552"/>
      <c r="S301" s="6552"/>
      <c r="T301" s="6552"/>
      <c r="U301" s="6410"/>
      <c r="V301" s="6410"/>
      <c r="W301" s="6410"/>
      <c r="X301" s="6410"/>
      <c r="Y301" s="6410"/>
    </row>
    <row r="302">
      <c r="A302" s="6418" t="s">
        <v>7014</v>
      </c>
      <c r="B302" s="6418">
        <v>46213</v>
      </c>
      <c r="C302" s="6418" t="str">
        <v>Friday</v>
      </c>
      <c r="D302" s="6419" t="s">
        <v>7021</v>
      </c>
      <c r="E302" s="6419">
        <f t="shared" si="62"/>
      </c>
      <c r="F302" s="6419" t="s">
        <v>7015</v>
      </c>
      <c r="G302" s="6431"/>
      <c r="H302" s="6419" t="s">
        <v>6810</v>
      </c>
      <c r="I302" s="6419" t="s">
        <v>6770</v>
      </c>
      <c r="J302" s="6419"/>
      <c r="K302" s="6408"/>
      <c r="L302" s="6408"/>
      <c r="M302" s="6408"/>
      <c r="N302" s="6408"/>
      <c r="O302" s="6408"/>
      <c r="P302" s="6408"/>
      <c r="Q302" s="6408"/>
      <c r="R302" s="6408"/>
      <c r="S302" s="6408"/>
      <c r="T302" s="6408"/>
      <c r="U302" s="6410"/>
      <c r="V302" s="6410"/>
      <c r="W302" s="6410"/>
      <c r="X302" s="6410"/>
      <c r="Y302" s="6410"/>
    </row>
    <row r="303">
      <c r="A303" s="6418" t="s">
        <v>7014</v>
      </c>
      <c r="B303" s="6418">
        <v>46213</v>
      </c>
      <c r="C303" s="6418" t="str">
        <v>Friday</v>
      </c>
      <c r="D303" s="6419" t="s">
        <v>7022</v>
      </c>
      <c r="E303" s="6419">
        <f t="shared" si="62"/>
      </c>
      <c r="F303" s="6419" t="s">
        <v>7016</v>
      </c>
      <c r="G303" s="6431"/>
      <c r="H303" s="6419" t="s">
        <v>6810</v>
      </c>
      <c r="I303" s="6419" t="s">
        <v>6770</v>
      </c>
      <c r="J303" s="6419"/>
      <c r="K303" s="6408"/>
      <c r="L303" s="6408"/>
      <c r="M303" s="6408"/>
      <c r="N303" s="6408"/>
      <c r="O303" s="6408"/>
      <c r="P303" s="6408"/>
      <c r="Q303" s="6408"/>
      <c r="R303" s="6408"/>
      <c r="S303" s="6408"/>
      <c r="T303" s="6408"/>
      <c r="U303" s="6410"/>
      <c r="V303" s="6410"/>
      <c r="W303" s="6410"/>
      <c r="X303" s="6410"/>
      <c r="Y303" s="6410"/>
    </row>
    <row r="304">
      <c r="A304" s="6418" t="s">
        <v>7014</v>
      </c>
      <c r="B304" s="6418">
        <v>46213</v>
      </c>
      <c r="C304" s="6418" t="str">
        <v>Friday</v>
      </c>
      <c r="D304" s="6419" t="s">
        <v>6829</v>
      </c>
      <c r="E304" s="6419">
        <f t="shared" si="62"/>
      </c>
      <c r="F304" s="6419" t="s">
        <v>7015</v>
      </c>
      <c r="G304" s="6431"/>
      <c r="H304" s="6419" t="s">
        <v>6810</v>
      </c>
      <c r="I304" s="6419" t="s">
        <v>6770</v>
      </c>
      <c r="J304" s="6419"/>
      <c r="K304" s="6408"/>
      <c r="L304" s="6408"/>
      <c r="M304" s="6408"/>
      <c r="N304" s="6408"/>
      <c r="O304" s="6408"/>
      <c r="P304" s="6408"/>
      <c r="Q304" s="6408"/>
      <c r="R304" s="6408"/>
      <c r="S304" s="6408"/>
      <c r="T304" s="6408"/>
      <c r="U304" s="6410"/>
      <c r="V304" s="6410"/>
      <c r="W304" s="6410"/>
      <c r="X304" s="6410"/>
      <c r="Y304" s="6410"/>
    </row>
    <row r="305">
      <c r="A305" s="6418" t="s">
        <v>7014</v>
      </c>
      <c r="B305" s="6418">
        <v>46213</v>
      </c>
      <c r="C305" s="6418" t="str">
        <v>Friday</v>
      </c>
      <c r="D305" s="6419" t="s">
        <v>7023</v>
      </c>
      <c r="E305" s="6419">
        <f t="shared" si="62"/>
      </c>
      <c r="F305" s="6419" t="s">
        <v>7016</v>
      </c>
      <c r="G305" s="6431"/>
      <c r="H305" s="6419" t="s">
        <v>6810</v>
      </c>
      <c r="I305" s="6419" t="s">
        <v>6770</v>
      </c>
      <c r="J305" s="6419"/>
      <c r="K305" s="6408"/>
      <c r="L305" s="6408"/>
      <c r="M305" s="6408"/>
      <c r="N305" s="6408"/>
      <c r="O305" s="6408"/>
      <c r="P305" s="6408"/>
      <c r="Q305" s="6408"/>
      <c r="R305" s="6408"/>
      <c r="S305" s="6408"/>
      <c r="T305" s="6408"/>
      <c r="U305" s="6410"/>
      <c r="V305" s="6410"/>
      <c r="W305" s="6410"/>
      <c r="X305" s="6410"/>
      <c r="Y305" s="6410"/>
    </row>
    <row r="306">
      <c r="A306" s="6546" t="s">
        <v>7014</v>
      </c>
      <c r="B306" s="6546">
        <v>46214</v>
      </c>
      <c r="C306" s="6546" t="str">
        <v>Saturday</v>
      </c>
      <c r="D306" s="6547" t="s">
        <v>7024</v>
      </c>
      <c r="E306" s="6547">
        <f t="shared" si="62"/>
      </c>
      <c r="F306" s="6547" t="s">
        <v>7015</v>
      </c>
      <c r="G306" s="6548"/>
      <c r="H306" s="6547" t="s">
        <v>6810</v>
      </c>
      <c r="I306" s="6547" t="s">
        <v>6770</v>
      </c>
      <c r="J306" s="6547"/>
      <c r="K306" s="6552"/>
      <c r="L306" s="6552"/>
      <c r="M306" s="6552"/>
      <c r="N306" s="6552"/>
      <c r="O306" s="6552"/>
      <c r="P306" s="6552"/>
      <c r="Q306" s="6552"/>
      <c r="R306" s="6552"/>
      <c r="S306" s="6552"/>
      <c r="T306" s="6552"/>
      <c r="U306" s="6410"/>
      <c r="V306" s="6410"/>
      <c r="W306" s="6410"/>
      <c r="X306" s="6410"/>
      <c r="Y306" s="6410"/>
    </row>
    <row r="307">
      <c r="A307" s="6546" t="s">
        <v>7014</v>
      </c>
      <c r="B307" s="6546">
        <v>46214</v>
      </c>
      <c r="C307" s="6546" t="str">
        <v>Saturday</v>
      </c>
      <c r="D307" s="6547" t="s">
        <v>7025</v>
      </c>
      <c r="E307" s="6547">
        <f t="shared" si="62"/>
      </c>
      <c r="F307" s="6547" t="s">
        <v>7016</v>
      </c>
      <c r="G307" s="6548"/>
      <c r="H307" s="6547" t="s">
        <v>6810</v>
      </c>
      <c r="I307" s="6547" t="s">
        <v>6770</v>
      </c>
      <c r="J307" s="6547"/>
      <c r="K307" s="6552"/>
      <c r="L307" s="6552"/>
      <c r="M307" s="6552"/>
      <c r="N307" s="6552"/>
      <c r="O307" s="6552"/>
      <c r="P307" s="6552"/>
      <c r="Q307" s="6552"/>
      <c r="R307" s="6552"/>
      <c r="S307" s="6552"/>
      <c r="T307" s="6552"/>
      <c r="U307" s="6410"/>
      <c r="V307" s="6410"/>
      <c r="W307" s="6410"/>
      <c r="X307" s="6410"/>
      <c r="Y307" s="6410"/>
    </row>
    <row r="308">
      <c r="A308" s="6546" t="s">
        <v>7014</v>
      </c>
      <c r="B308" s="6546">
        <v>46214</v>
      </c>
      <c r="C308" s="6546" t="str">
        <v>Saturday</v>
      </c>
      <c r="D308" s="6547" t="s">
        <v>6848</v>
      </c>
      <c r="E308" s="6547">
        <f t="shared" si="62"/>
      </c>
      <c r="F308" s="6547" t="s">
        <v>7008</v>
      </c>
      <c r="G308" s="6548" t="s">
        <v>7026</v>
      </c>
      <c r="H308" s="6547" t="s">
        <v>6810</v>
      </c>
      <c r="I308" s="6547" t="s">
        <v>6770</v>
      </c>
      <c r="J308" s="6547"/>
      <c r="K308" s="6552"/>
      <c r="L308" s="6552"/>
      <c r="M308" s="6552"/>
      <c r="N308" s="6552"/>
      <c r="O308" s="6552"/>
      <c r="P308" s="6552"/>
      <c r="Q308" s="6552"/>
      <c r="R308" s="6552"/>
      <c r="S308" s="6552"/>
      <c r="T308" s="6552"/>
      <c r="U308" s="6410"/>
      <c r="V308" s="6410"/>
      <c r="W308" s="6410"/>
      <c r="X308" s="6410"/>
      <c r="Y308" s="6410"/>
    </row>
    <row r="309">
      <c r="A309" s="6546" t="s">
        <v>7014</v>
      </c>
      <c r="B309" s="6546">
        <v>46214</v>
      </c>
      <c r="C309" s="6546" t="str">
        <v>Saturday</v>
      </c>
      <c r="D309" s="6547" t="s">
        <v>7027</v>
      </c>
      <c r="E309" s="6547">
        <f t="shared" si="62"/>
      </c>
      <c r="F309" s="6547" t="s">
        <v>7015</v>
      </c>
      <c r="G309" s="6548"/>
      <c r="H309" s="6547" t="s">
        <v>6810</v>
      </c>
      <c r="I309" s="6547" t="s">
        <v>6770</v>
      </c>
      <c r="J309" s="6547"/>
      <c r="K309" s="6552"/>
      <c r="L309" s="6552"/>
      <c r="M309" s="6552"/>
      <c r="N309" s="6552"/>
      <c r="O309" s="6552"/>
      <c r="P309" s="6552"/>
      <c r="Q309" s="6552"/>
      <c r="R309" s="6552"/>
      <c r="S309" s="6552"/>
      <c r="T309" s="6552"/>
      <c r="U309" s="6410"/>
      <c r="V309" s="6410"/>
      <c r="W309" s="6410"/>
      <c r="X309" s="6410"/>
      <c r="Y309" s="6410"/>
    </row>
    <row r="310">
      <c r="A310" s="6418" t="s">
        <v>7014</v>
      </c>
      <c r="B310" s="6418">
        <v>46215</v>
      </c>
      <c r="C310" s="6418" t="str">
        <v>Sunday</v>
      </c>
      <c r="D310" s="6419" t="s">
        <v>6894</v>
      </c>
      <c r="E310" s="6419">
        <f t="shared" si="62"/>
      </c>
      <c r="F310" s="6419" t="s">
        <v>7015</v>
      </c>
      <c r="G310" s="6431"/>
      <c r="H310" s="6419" t="s">
        <v>6810</v>
      </c>
      <c r="I310" s="6419" t="s">
        <v>6770</v>
      </c>
      <c r="J310" s="6419"/>
      <c r="K310" s="6408"/>
      <c r="L310" s="6408"/>
      <c r="M310" s="6408"/>
      <c r="N310" s="6408"/>
      <c r="O310" s="6408"/>
      <c r="P310" s="6408"/>
      <c r="Q310" s="6408"/>
      <c r="R310" s="6408"/>
      <c r="S310" s="6408"/>
      <c r="T310" s="6408"/>
      <c r="U310" s="6410"/>
      <c r="V310" s="6410"/>
      <c r="W310" s="6410"/>
      <c r="X310" s="6410"/>
      <c r="Y310" s="6410"/>
    </row>
    <row r="311">
      <c r="A311" s="6418" t="s">
        <v>7014</v>
      </c>
      <c r="B311" s="6418">
        <v>46215</v>
      </c>
      <c r="C311" s="6418" t="str">
        <v>Sunday</v>
      </c>
      <c r="D311" s="6419" t="s">
        <v>6801</v>
      </c>
      <c r="E311" s="6419">
        <f t="shared" si="62"/>
      </c>
      <c r="F311" s="6419" t="s">
        <v>7016</v>
      </c>
      <c r="G311" s="6431"/>
      <c r="H311" s="6419" t="s">
        <v>6810</v>
      </c>
      <c r="I311" s="6419" t="s">
        <v>6770</v>
      </c>
      <c r="J311" s="6419"/>
      <c r="K311" s="6408"/>
      <c r="L311" s="6408"/>
      <c r="M311" s="6408"/>
      <c r="N311" s="6408"/>
      <c r="O311" s="6408"/>
      <c r="P311" s="6408"/>
      <c r="Q311" s="6408"/>
      <c r="R311" s="6408"/>
      <c r="S311" s="6408"/>
      <c r="T311" s="6408"/>
      <c r="U311" s="6410"/>
      <c r="V311" s="6410"/>
      <c r="W311" s="6410"/>
      <c r="X311" s="6410"/>
      <c r="Y311" s="6410"/>
    </row>
    <row r="312">
      <c r="A312" s="6418" t="s">
        <v>7014</v>
      </c>
      <c r="B312" s="6418">
        <v>46215</v>
      </c>
      <c r="C312" s="6418" t="str">
        <v>Sunday</v>
      </c>
      <c r="D312" s="6419" t="s">
        <v>6840</v>
      </c>
      <c r="E312" s="6419">
        <f t="shared" si="62"/>
      </c>
      <c r="F312" s="6419" t="s">
        <v>7015</v>
      </c>
      <c r="G312" s="6431"/>
      <c r="H312" s="6419" t="s">
        <v>6810</v>
      </c>
      <c r="I312" s="6419" t="s">
        <v>6770</v>
      </c>
      <c r="J312" s="6419"/>
      <c r="K312" s="6408"/>
      <c r="L312" s="6408"/>
      <c r="M312" s="6408"/>
      <c r="N312" s="6408"/>
      <c r="O312" s="6408"/>
      <c r="P312" s="6408"/>
      <c r="Q312" s="6408"/>
      <c r="R312" s="6408"/>
      <c r="S312" s="6408"/>
      <c r="T312" s="6408"/>
      <c r="U312" s="6410"/>
      <c r="V312" s="6410"/>
      <c r="W312" s="6410"/>
      <c r="X312" s="6410"/>
      <c r="Y312" s="6410"/>
    </row>
    <row r="313">
      <c r="A313" s="6418" t="s">
        <v>7014</v>
      </c>
      <c r="B313" s="6418">
        <v>46215</v>
      </c>
      <c r="C313" s="6418" t="str">
        <v>Sunday</v>
      </c>
      <c r="D313" s="6419" t="s">
        <v>7027</v>
      </c>
      <c r="E313" s="6419">
        <f t="shared" si="62"/>
      </c>
      <c r="F313" s="6419" t="s">
        <v>7016</v>
      </c>
      <c r="G313" s="6431"/>
      <c r="H313" s="6419" t="s">
        <v>6810</v>
      </c>
      <c r="I313" s="6419" t="s">
        <v>6770</v>
      </c>
      <c r="J313" s="6578"/>
      <c r="K313" s="6408"/>
      <c r="L313" s="6408"/>
      <c r="M313" s="6408"/>
      <c r="N313" s="6408"/>
      <c r="O313" s="6408"/>
      <c r="P313" s="6408"/>
      <c r="Q313" s="6408"/>
      <c r="R313" s="6408"/>
      <c r="S313" s="6408"/>
      <c r="T313" s="6408"/>
      <c r="U313" s="6410"/>
      <c r="V313" s="6410"/>
      <c r="W313" s="6410"/>
      <c r="X313" s="6410"/>
      <c r="Y313" s="6410"/>
    </row>
    <row r="314">
      <c r="A314" s="6579" t="s">
        <v>7028</v>
      </c>
      <c r="B314" s="6579">
        <v>46210</v>
      </c>
      <c r="C314" s="6579" t="str">
        <v>Tuesday</v>
      </c>
      <c r="D314" s="6580" t="s">
        <v>7029</v>
      </c>
      <c r="E314" s="6581">
        <f t="shared" si="62"/>
      </c>
      <c r="F314" s="6581" t="s">
        <v>7030</v>
      </c>
      <c r="G314" s="6582"/>
      <c r="H314" s="6581" t="s">
        <v>6810</v>
      </c>
      <c r="I314" s="6581" t="s">
        <v>6770</v>
      </c>
      <c r="J314" s="6583"/>
      <c r="K314" s="6584"/>
      <c r="L314" s="6584"/>
      <c r="M314" s="6584"/>
      <c r="N314" s="6584"/>
      <c r="O314" s="6584"/>
      <c r="P314" s="6584"/>
      <c r="Q314" s="6584"/>
      <c r="R314" s="6584"/>
      <c r="S314" s="6584"/>
      <c r="T314" s="6584"/>
      <c r="U314" s="6410"/>
      <c r="V314" s="6410"/>
      <c r="W314" s="6410"/>
      <c r="X314" s="6410"/>
      <c r="Y314" s="6410"/>
    </row>
    <row r="315">
      <c r="A315" s="6579" t="s">
        <v>7028</v>
      </c>
      <c r="B315" s="6579">
        <v>46210</v>
      </c>
      <c r="C315" s="6579" t="str">
        <v>Tuesday</v>
      </c>
      <c r="D315" s="6580" t="s">
        <v>6917</v>
      </c>
      <c r="E315" s="6581">
        <f t="shared" si="62"/>
      </c>
      <c r="F315" s="6581" t="s">
        <v>7001</v>
      </c>
      <c r="G315" s="6582"/>
      <c r="H315" s="6581" t="s">
        <v>6810</v>
      </c>
      <c r="I315" s="6581" t="s">
        <v>6770</v>
      </c>
      <c r="J315" s="6583"/>
      <c r="K315" s="6584"/>
      <c r="L315" s="6584"/>
      <c r="M315" s="6584"/>
      <c r="N315" s="6584"/>
      <c r="O315" s="6584"/>
      <c r="P315" s="6584"/>
      <c r="Q315" s="6584"/>
      <c r="R315" s="6584"/>
      <c r="S315" s="6584"/>
      <c r="T315" s="6584"/>
      <c r="U315" s="6410"/>
      <c r="V315" s="6410"/>
      <c r="W315" s="6410"/>
      <c r="X315" s="6410"/>
      <c r="Y315" s="6410"/>
    </row>
    <row r="316">
      <c r="A316" s="6579" t="s">
        <v>7028</v>
      </c>
      <c r="B316" s="6579">
        <v>46210</v>
      </c>
      <c r="C316" s="6579" t="str">
        <v>Tuesday</v>
      </c>
      <c r="D316" s="6580" t="s">
        <v>6829</v>
      </c>
      <c r="E316" s="6581">
        <f t="shared" si="62"/>
      </c>
      <c r="F316" s="6581" t="s">
        <v>7030</v>
      </c>
      <c r="G316" s="6582"/>
      <c r="H316" s="6581" t="s">
        <v>6810</v>
      </c>
      <c r="I316" s="6581" t="s">
        <v>6770</v>
      </c>
      <c r="J316" s="6583"/>
      <c r="K316" s="6584"/>
      <c r="L316" s="6584"/>
      <c r="M316" s="6584"/>
      <c r="N316" s="6584"/>
      <c r="O316" s="6584"/>
      <c r="P316" s="6584"/>
      <c r="Q316" s="6584"/>
      <c r="R316" s="6584"/>
      <c r="S316" s="6584"/>
      <c r="T316" s="6584"/>
      <c r="U316" s="6410"/>
      <c r="V316" s="6410"/>
      <c r="W316" s="6410"/>
      <c r="X316" s="6410"/>
      <c r="Y316" s="6410"/>
    </row>
    <row r="317">
      <c r="A317" s="6579" t="s">
        <v>7028</v>
      </c>
      <c r="B317" s="6579">
        <v>46210</v>
      </c>
      <c r="C317" s="6579" t="str">
        <v>Tuesday</v>
      </c>
      <c r="D317" s="6580" t="s">
        <v>7017</v>
      </c>
      <c r="E317" s="6581">
        <f t="shared" si="62"/>
      </c>
      <c r="F317" s="6581" t="s">
        <v>7001</v>
      </c>
      <c r="G317" s="6582"/>
      <c r="H317" s="6581" t="s">
        <v>6810</v>
      </c>
      <c r="I317" s="6581" t="s">
        <v>6770</v>
      </c>
      <c r="J317" s="6583"/>
      <c r="K317" s="6584"/>
      <c r="L317" s="6584"/>
      <c r="M317" s="6584"/>
      <c r="N317" s="6584"/>
      <c r="O317" s="6584"/>
      <c r="P317" s="6584"/>
      <c r="Q317" s="6584"/>
      <c r="R317" s="6584"/>
      <c r="S317" s="6584"/>
      <c r="T317" s="6584"/>
      <c r="U317" s="6410"/>
      <c r="V317" s="6410"/>
      <c r="W317" s="6410"/>
      <c r="X317" s="6410"/>
      <c r="Y317" s="6410"/>
    </row>
    <row r="318">
      <c r="A318" s="6418" t="s">
        <v>7028</v>
      </c>
      <c r="B318" s="6418">
        <v>46211</v>
      </c>
      <c r="C318" s="6418" t="str">
        <v>Wednesday</v>
      </c>
      <c r="D318" s="6442" t="s">
        <v>7031</v>
      </c>
      <c r="E318" s="6419">
        <f t="shared" si="62"/>
      </c>
      <c r="F318" s="6419" t="s">
        <v>7030</v>
      </c>
      <c r="G318" s="6431"/>
      <c r="H318" s="6419" t="s">
        <v>6810</v>
      </c>
      <c r="I318" s="6419" t="s">
        <v>6770</v>
      </c>
      <c r="J318" s="6578"/>
      <c r="K318" s="6408"/>
      <c r="L318" s="6408"/>
      <c r="M318" s="6408"/>
      <c r="N318" s="6408"/>
      <c r="O318" s="6408"/>
      <c r="P318" s="6408"/>
      <c r="Q318" s="6408"/>
      <c r="R318" s="6408"/>
      <c r="S318" s="6408"/>
      <c r="T318" s="6408"/>
      <c r="U318" s="6410"/>
      <c r="V318" s="6410"/>
      <c r="W318" s="6410"/>
      <c r="X318" s="6410"/>
      <c r="Y318" s="6410"/>
    </row>
    <row r="319">
      <c r="A319" s="6418" t="s">
        <v>7028</v>
      </c>
      <c r="B319" s="6418">
        <v>46211</v>
      </c>
      <c r="C319" s="6418" t="str">
        <v>Wednesday</v>
      </c>
      <c r="D319" s="6442" t="s">
        <v>6801</v>
      </c>
      <c r="E319" s="6419">
        <f t="shared" si="62"/>
      </c>
      <c r="F319" s="6419" t="s">
        <v>7001</v>
      </c>
      <c r="G319" s="6431"/>
      <c r="H319" s="6419" t="s">
        <v>6810</v>
      </c>
      <c r="I319" s="6419" t="s">
        <v>6770</v>
      </c>
      <c r="J319" s="6578"/>
      <c r="K319" s="6408"/>
      <c r="L319" s="6408"/>
      <c r="M319" s="6408"/>
      <c r="N319" s="6408"/>
      <c r="O319" s="6408"/>
      <c r="P319" s="6408"/>
      <c r="Q319" s="6408"/>
      <c r="R319" s="6408"/>
      <c r="S319" s="6408"/>
      <c r="T319" s="6408"/>
      <c r="U319" s="6410"/>
      <c r="V319" s="6410"/>
      <c r="W319" s="6410"/>
      <c r="X319" s="6410"/>
      <c r="Y319" s="6410"/>
    </row>
    <row r="320">
      <c r="A320" s="6418" t="s">
        <v>7028</v>
      </c>
      <c r="B320" s="6418">
        <v>46211</v>
      </c>
      <c r="C320" s="6418" t="str">
        <v>Wednesday</v>
      </c>
      <c r="D320" s="6442" t="s">
        <v>6858</v>
      </c>
      <c r="E320" s="6419">
        <f t="shared" si="62"/>
      </c>
      <c r="F320" s="6419" t="s">
        <v>6918</v>
      </c>
      <c r="G320" s="6431"/>
      <c r="H320" s="6419" t="s">
        <v>6810</v>
      </c>
      <c r="I320" s="6419"/>
      <c r="J320" s="6578"/>
      <c r="K320" s="6408"/>
      <c r="L320" s="6408"/>
      <c r="M320" s="6408"/>
      <c r="N320" s="6408"/>
      <c r="O320" s="6408"/>
      <c r="P320" s="6408"/>
      <c r="Q320" s="6408"/>
      <c r="R320" s="6408"/>
      <c r="S320" s="6408"/>
      <c r="T320" s="6408"/>
      <c r="U320" s="6410"/>
      <c r="V320" s="6410"/>
      <c r="W320" s="6410"/>
      <c r="X320" s="6410"/>
      <c r="Y320" s="6410"/>
    </row>
    <row r="321">
      <c r="A321" s="6418" t="s">
        <v>7028</v>
      </c>
      <c r="B321" s="6418">
        <v>46211</v>
      </c>
      <c r="C321" s="6418" t="str">
        <v>Wednesday</v>
      </c>
      <c r="D321" s="6442" t="s">
        <v>7017</v>
      </c>
      <c r="E321" s="6419">
        <f t="shared" si="62"/>
      </c>
      <c r="F321" s="6419" t="s">
        <v>7001</v>
      </c>
      <c r="G321" s="6431"/>
      <c r="H321" s="6419" t="s">
        <v>6810</v>
      </c>
      <c r="I321" s="6419" t="s">
        <v>6770</v>
      </c>
      <c r="J321" s="6578"/>
      <c r="K321" s="6408"/>
      <c r="L321" s="6408"/>
      <c r="M321" s="6408"/>
      <c r="N321" s="6408"/>
      <c r="O321" s="6408"/>
      <c r="P321" s="6408"/>
      <c r="Q321" s="6408"/>
      <c r="R321" s="6408"/>
      <c r="S321" s="6408"/>
      <c r="T321" s="6408"/>
      <c r="U321" s="6410"/>
      <c r="V321" s="6410"/>
      <c r="W321" s="6410"/>
      <c r="X321" s="6410"/>
      <c r="Y321" s="6410"/>
    </row>
    <row r="322">
      <c r="A322" s="6579" t="s">
        <v>7028</v>
      </c>
      <c r="B322" s="6579">
        <v>46212</v>
      </c>
      <c r="C322" s="6579" t="str">
        <v>Thursday</v>
      </c>
      <c r="D322" s="6580" t="s">
        <v>7029</v>
      </c>
      <c r="E322" s="6581">
        <f t="shared" si="62"/>
      </c>
      <c r="F322" s="6581" t="s">
        <v>7030</v>
      </c>
      <c r="G322" s="6582"/>
      <c r="H322" s="6581" t="s">
        <v>6810</v>
      </c>
      <c r="I322" s="6581" t="s">
        <v>6770</v>
      </c>
      <c r="J322" s="6583"/>
      <c r="K322" s="6584"/>
      <c r="L322" s="6584"/>
      <c r="M322" s="6584"/>
      <c r="N322" s="6584"/>
      <c r="O322" s="6584"/>
      <c r="P322" s="6584"/>
      <c r="Q322" s="6584"/>
      <c r="R322" s="6584"/>
      <c r="S322" s="6584"/>
      <c r="T322" s="6584"/>
      <c r="U322" s="6410"/>
      <c r="V322" s="6410"/>
      <c r="W322" s="6410"/>
      <c r="X322" s="6410"/>
      <c r="Y322" s="6410"/>
    </row>
    <row r="323">
      <c r="A323" s="6579" t="s">
        <v>7028</v>
      </c>
      <c r="B323" s="6579">
        <v>46212</v>
      </c>
      <c r="C323" s="6579" t="str">
        <v>Thursday</v>
      </c>
      <c r="D323" s="6581" t="s">
        <v>6917</v>
      </c>
      <c r="E323" s="6581">
        <f t="shared" si="62"/>
      </c>
      <c r="F323" s="6581" t="s">
        <v>7001</v>
      </c>
      <c r="G323" s="6582"/>
      <c r="H323" s="6581" t="s">
        <v>6810</v>
      </c>
      <c r="I323" s="6581" t="s">
        <v>6770</v>
      </c>
      <c r="J323" s="6583"/>
      <c r="K323" s="6584"/>
      <c r="L323" s="6584"/>
      <c r="M323" s="6584"/>
      <c r="N323" s="6584"/>
      <c r="O323" s="6584"/>
      <c r="P323" s="6584"/>
      <c r="Q323" s="6584"/>
      <c r="R323" s="6584"/>
      <c r="S323" s="6584"/>
      <c r="T323" s="6584"/>
      <c r="U323" s="6410"/>
      <c r="V323" s="6410"/>
      <c r="W323" s="6410"/>
      <c r="X323" s="6410"/>
      <c r="Y323" s="6410"/>
    </row>
    <row r="324">
      <c r="A324" s="6579" t="s">
        <v>7028</v>
      </c>
      <c r="B324" s="6579">
        <v>46212</v>
      </c>
      <c r="C324" s="6579" t="str">
        <v>Thursday</v>
      </c>
      <c r="D324" s="6580" t="s">
        <v>6829</v>
      </c>
      <c r="E324" s="6581">
        <f t="shared" si="62"/>
      </c>
      <c r="F324" s="6581" t="s">
        <v>7030</v>
      </c>
      <c r="G324" s="6582"/>
      <c r="H324" s="6581" t="s">
        <v>6810</v>
      </c>
      <c r="I324" s="6581" t="s">
        <v>6770</v>
      </c>
      <c r="J324" s="6583"/>
      <c r="K324" s="6584"/>
      <c r="L324" s="6584"/>
      <c r="M324" s="6584"/>
      <c r="N324" s="6584"/>
      <c r="O324" s="6584"/>
      <c r="P324" s="6584"/>
      <c r="Q324" s="6584"/>
      <c r="R324" s="6584"/>
      <c r="S324" s="6584"/>
      <c r="T324" s="6584"/>
      <c r="U324" s="6410"/>
      <c r="V324" s="6410"/>
      <c r="W324" s="6410"/>
      <c r="X324" s="6410"/>
      <c r="Y324" s="6410"/>
    </row>
    <row r="325">
      <c r="A325" s="6579" t="s">
        <v>7028</v>
      </c>
      <c r="B325" s="6579">
        <v>46212</v>
      </c>
      <c r="C325" s="6579" t="str">
        <v>Thursday</v>
      </c>
      <c r="D325" s="6581" t="s">
        <v>7017</v>
      </c>
      <c r="E325" s="6581">
        <f t="shared" si="62"/>
      </c>
      <c r="F325" s="6581" t="s">
        <v>7001</v>
      </c>
      <c r="G325" s="6582"/>
      <c r="H325" s="6581" t="s">
        <v>6810</v>
      </c>
      <c r="I325" s="6581" t="s">
        <v>6770</v>
      </c>
      <c r="J325" s="6583"/>
      <c r="K325" s="6584"/>
      <c r="L325" s="6584"/>
      <c r="M325" s="6584"/>
      <c r="N325" s="6584"/>
      <c r="O325" s="6584"/>
      <c r="P325" s="6584"/>
      <c r="Q325" s="6584"/>
      <c r="R325" s="6584"/>
      <c r="S325" s="6584"/>
      <c r="T325" s="6584"/>
      <c r="U325" s="6410"/>
      <c r="V325" s="6410"/>
      <c r="W325" s="6410"/>
      <c r="X325" s="6410"/>
      <c r="Y325" s="6410"/>
    </row>
    <row r="326">
      <c r="A326" s="6418" t="s">
        <v>7028</v>
      </c>
      <c r="B326" s="6418">
        <v>46213</v>
      </c>
      <c r="C326" s="6418" t="str">
        <v>Friday</v>
      </c>
      <c r="D326" s="6442" t="s">
        <v>7029</v>
      </c>
      <c r="E326" s="6419">
        <f t="shared" si="62"/>
      </c>
      <c r="F326" s="6419" t="s">
        <v>7030</v>
      </c>
      <c r="G326" s="6431"/>
      <c r="H326" s="6419" t="s">
        <v>6810</v>
      </c>
      <c r="I326" s="6419" t="s">
        <v>6770</v>
      </c>
      <c r="J326" s="6578"/>
      <c r="K326" s="6408"/>
      <c r="L326" s="6408"/>
      <c r="M326" s="6408"/>
      <c r="N326" s="6408"/>
      <c r="O326" s="6408"/>
      <c r="P326" s="6408"/>
      <c r="Q326" s="6408"/>
      <c r="R326" s="6408"/>
      <c r="S326" s="6408"/>
      <c r="T326" s="6408"/>
      <c r="U326" s="6410"/>
      <c r="V326" s="6410"/>
      <c r="W326" s="6410"/>
      <c r="X326" s="6410"/>
      <c r="Y326" s="6410"/>
    </row>
    <row r="327">
      <c r="A327" s="6418" t="s">
        <v>7028</v>
      </c>
      <c r="B327" s="6418">
        <v>46213</v>
      </c>
      <c r="C327" s="6418" t="str">
        <v>Friday</v>
      </c>
      <c r="D327" s="6442" t="s">
        <v>6917</v>
      </c>
      <c r="E327" s="6419">
        <f t="shared" si="62"/>
      </c>
      <c r="F327" s="6419" t="s">
        <v>7001</v>
      </c>
      <c r="G327" s="6431"/>
      <c r="H327" s="6419" t="s">
        <v>6810</v>
      </c>
      <c r="I327" s="6419" t="s">
        <v>6770</v>
      </c>
      <c r="J327" s="6578"/>
      <c r="K327" s="6408"/>
      <c r="L327" s="6408"/>
      <c r="M327" s="6408"/>
      <c r="N327" s="6408"/>
      <c r="O327" s="6408"/>
      <c r="P327" s="6408"/>
      <c r="Q327" s="6408"/>
      <c r="R327" s="6408"/>
      <c r="S327" s="6408"/>
      <c r="T327" s="6408"/>
      <c r="U327" s="6410"/>
      <c r="V327" s="6410"/>
      <c r="W327" s="6410"/>
      <c r="X327" s="6410"/>
      <c r="Y327" s="6410"/>
    </row>
    <row r="328">
      <c r="A328" s="6418" t="s">
        <v>7028</v>
      </c>
      <c r="B328" s="6418">
        <v>46213</v>
      </c>
      <c r="C328" s="6418" t="str">
        <v>Friday</v>
      </c>
      <c r="D328" s="6442" t="s">
        <v>6829</v>
      </c>
      <c r="E328" s="6419">
        <f t="shared" si="62"/>
      </c>
      <c r="F328" s="6419" t="s">
        <v>7030</v>
      </c>
      <c r="G328" s="6431"/>
      <c r="H328" s="6419" t="s">
        <v>6810</v>
      </c>
      <c r="I328" s="6419" t="s">
        <v>6770</v>
      </c>
      <c r="J328" s="6578"/>
      <c r="K328" s="6408"/>
      <c r="L328" s="6408"/>
      <c r="M328" s="6408"/>
      <c r="N328" s="6408"/>
      <c r="O328" s="6408"/>
      <c r="P328" s="6408"/>
      <c r="Q328" s="6408"/>
      <c r="R328" s="6408"/>
      <c r="S328" s="6408"/>
      <c r="T328" s="6408"/>
      <c r="U328" s="6410"/>
      <c r="V328" s="6410"/>
      <c r="W328" s="6410"/>
      <c r="X328" s="6410"/>
      <c r="Y328" s="6410"/>
    </row>
    <row r="329">
      <c r="A329" s="6418" t="s">
        <v>7028</v>
      </c>
      <c r="B329" s="6418">
        <v>46213</v>
      </c>
      <c r="C329" s="6418" t="str">
        <v>Friday</v>
      </c>
      <c r="D329" s="6442" t="s">
        <v>7023</v>
      </c>
      <c r="E329" s="6419">
        <f t="shared" si="62"/>
      </c>
      <c r="F329" s="6419" t="s">
        <v>7001</v>
      </c>
      <c r="G329" s="6431"/>
      <c r="H329" s="6419" t="s">
        <v>6810</v>
      </c>
      <c r="I329" s="6419" t="s">
        <v>6770</v>
      </c>
      <c r="J329" s="6578"/>
      <c r="K329" s="6408"/>
      <c r="L329" s="6408"/>
      <c r="M329" s="6408"/>
      <c r="N329" s="6408"/>
      <c r="O329" s="6408"/>
      <c r="P329" s="6408"/>
      <c r="Q329" s="6408"/>
      <c r="R329" s="6408"/>
      <c r="S329" s="6408"/>
      <c r="T329" s="6408"/>
      <c r="U329" s="6410"/>
      <c r="V329" s="6410"/>
      <c r="W329" s="6410"/>
      <c r="X329" s="6410"/>
      <c r="Y329" s="6410"/>
    </row>
    <row r="330">
      <c r="A330" s="6579" t="s">
        <v>7028</v>
      </c>
      <c r="B330" s="6579">
        <v>46214</v>
      </c>
      <c r="C330" s="6579" t="str">
        <v>Saturday</v>
      </c>
      <c r="D330" s="6581" t="s">
        <v>7031</v>
      </c>
      <c r="E330" s="6581">
        <f t="shared" si="62"/>
      </c>
      <c r="F330" s="6581" t="s">
        <v>6918</v>
      </c>
      <c r="G330" s="6582" t="s">
        <v>7032</v>
      </c>
      <c r="H330" s="6581" t="s">
        <v>6810</v>
      </c>
      <c r="I330" s="6581"/>
      <c r="J330" s="6583"/>
      <c r="K330" s="6584"/>
      <c r="L330" s="6584"/>
      <c r="M330" s="6584"/>
      <c r="N330" s="6584"/>
      <c r="O330" s="6584"/>
      <c r="P330" s="6584"/>
      <c r="Q330" s="6584"/>
      <c r="R330" s="6584"/>
      <c r="S330" s="6584"/>
      <c r="T330" s="6584"/>
      <c r="U330" s="6410"/>
      <c r="V330" s="6410"/>
      <c r="W330" s="6410"/>
      <c r="X330" s="6410"/>
      <c r="Y330" s="6410"/>
    </row>
    <row r="331">
      <c r="A331" s="6579" t="s">
        <v>7028</v>
      </c>
      <c r="B331" s="6579">
        <v>46214</v>
      </c>
      <c r="C331" s="6579" t="str">
        <v>Saturday</v>
      </c>
      <c r="D331" s="6581" t="s">
        <v>7033</v>
      </c>
      <c r="E331" s="6581">
        <f t="shared" si="62"/>
      </c>
      <c r="F331" s="6581"/>
      <c r="G331" s="6582" t="s">
        <v>7034</v>
      </c>
      <c r="H331" s="6581" t="s">
        <v>6810</v>
      </c>
      <c r="I331" s="6581"/>
      <c r="J331" s="6583"/>
      <c r="K331" s="6584"/>
      <c r="L331" s="6584"/>
      <c r="M331" s="6584"/>
      <c r="N331" s="6584"/>
      <c r="O331" s="6584"/>
      <c r="P331" s="6584"/>
      <c r="Q331" s="6584"/>
      <c r="R331" s="6584"/>
      <c r="S331" s="6584"/>
      <c r="T331" s="6584"/>
      <c r="U331" s="6410"/>
      <c r="V331" s="6410"/>
      <c r="W331" s="6410"/>
      <c r="X331" s="6410"/>
      <c r="Y331" s="6410"/>
    </row>
    <row r="332">
      <c r="A332" s="6579" t="s">
        <v>7028</v>
      </c>
      <c r="B332" s="6579">
        <v>46214</v>
      </c>
      <c r="C332" s="6579" t="str">
        <v>Saturday</v>
      </c>
      <c r="D332" s="6581" t="s">
        <v>7035</v>
      </c>
      <c r="E332" s="6581">
        <f t="shared" si="62"/>
      </c>
      <c r="F332" s="6581" t="s">
        <v>6918</v>
      </c>
      <c r="G332" s="6582"/>
      <c r="H332" s="6581" t="s">
        <v>6810</v>
      </c>
      <c r="I332" s="6581"/>
      <c r="J332" s="6583"/>
      <c r="K332" s="6584"/>
      <c r="L332" s="6584"/>
      <c r="M332" s="6584"/>
      <c r="N332" s="6584"/>
      <c r="O332" s="6584"/>
      <c r="P332" s="6584"/>
      <c r="Q332" s="6584"/>
      <c r="R332" s="6584"/>
      <c r="S332" s="6584"/>
      <c r="T332" s="6584"/>
      <c r="U332" s="6410"/>
      <c r="V332" s="6410"/>
      <c r="W332" s="6410"/>
      <c r="X332" s="6410"/>
      <c r="Y332" s="6410"/>
    </row>
    <row r="333">
      <c r="A333" s="6418" t="s">
        <v>7028</v>
      </c>
      <c r="B333" s="6418">
        <v>46215</v>
      </c>
      <c r="C333" s="6418" t="str">
        <v>Sunday</v>
      </c>
      <c r="D333" s="6419" t="s">
        <v>7031</v>
      </c>
      <c r="E333" s="6419">
        <f t="shared" si="62"/>
      </c>
      <c r="F333" s="6419" t="s">
        <v>7030</v>
      </c>
      <c r="G333" s="6431"/>
      <c r="H333" s="6419" t="s">
        <v>6810</v>
      </c>
      <c r="I333" s="6419" t="s">
        <v>6770</v>
      </c>
      <c r="J333" s="6578"/>
      <c r="K333" s="6408"/>
      <c r="L333" s="6408"/>
      <c r="M333" s="6408"/>
      <c r="N333" s="6408"/>
      <c r="O333" s="6408"/>
      <c r="P333" s="6408"/>
      <c r="Q333" s="6408"/>
      <c r="R333" s="6408"/>
      <c r="S333" s="6408"/>
      <c r="T333" s="6408"/>
      <c r="U333" s="6410"/>
      <c r="V333" s="6410"/>
      <c r="W333" s="6410"/>
      <c r="X333" s="6410"/>
      <c r="Y333" s="6410"/>
    </row>
    <row r="334">
      <c r="A334" s="6418" t="s">
        <v>7028</v>
      </c>
      <c r="B334" s="6418">
        <v>46215</v>
      </c>
      <c r="C334" s="6418" t="str">
        <v>Sunday</v>
      </c>
      <c r="D334" s="6419" t="s">
        <v>6801</v>
      </c>
      <c r="E334" s="6419">
        <f t="shared" si="62"/>
      </c>
      <c r="F334" s="6419"/>
      <c r="G334" s="6431" t="s">
        <v>7036</v>
      </c>
      <c r="H334" s="6419" t="s">
        <v>6810</v>
      </c>
      <c r="I334" s="6448"/>
      <c r="J334" s="6585"/>
      <c r="K334" s="6408"/>
      <c r="L334" s="6408"/>
      <c r="M334" s="6408"/>
      <c r="N334" s="6408"/>
      <c r="O334" s="6408"/>
      <c r="P334" s="6408"/>
      <c r="Q334" s="6408"/>
      <c r="R334" s="6408"/>
      <c r="S334" s="6408"/>
      <c r="T334" s="6408"/>
      <c r="U334" s="6410"/>
      <c r="V334" s="6410"/>
      <c r="W334" s="6410"/>
      <c r="X334" s="6410"/>
      <c r="Y334" s="6410"/>
    </row>
    <row r="335">
      <c r="A335" s="6418" t="s">
        <v>7028</v>
      </c>
      <c r="B335" s="6418">
        <v>46215</v>
      </c>
      <c r="C335" s="6418" t="str">
        <v>Sunday</v>
      </c>
      <c r="D335" s="6419" t="s">
        <v>7037</v>
      </c>
      <c r="E335" s="6419">
        <f t="shared" si="62"/>
      </c>
      <c r="F335" s="6419" t="s">
        <v>6918</v>
      </c>
      <c r="G335" s="6431"/>
      <c r="H335" s="6419" t="s">
        <v>6810</v>
      </c>
      <c r="I335" s="6448"/>
      <c r="J335" s="6585"/>
      <c r="K335" s="6408"/>
      <c r="L335" s="6408"/>
      <c r="M335" s="6408"/>
      <c r="N335" s="6408"/>
      <c r="O335" s="6408"/>
      <c r="P335" s="6408"/>
      <c r="Q335" s="6408"/>
      <c r="R335" s="6408"/>
      <c r="S335" s="6408"/>
      <c r="T335" s="6408"/>
      <c r="U335" s="6410"/>
      <c r="V335" s="6410"/>
      <c r="W335" s="6410"/>
      <c r="X335" s="6410"/>
      <c r="Y335" s="6410"/>
    </row>
    <row r="336">
      <c r="A336" s="6418" t="s">
        <v>7028</v>
      </c>
      <c r="B336" s="6418">
        <v>46215</v>
      </c>
      <c r="C336" s="6418" t="str">
        <v>Sunday</v>
      </c>
      <c r="D336" s="6419" t="s">
        <v>7038</v>
      </c>
      <c r="E336" s="6419">
        <f t="shared" si="62"/>
      </c>
      <c r="F336" s="6419"/>
      <c r="G336" s="6431" t="s">
        <v>7039</v>
      </c>
      <c r="H336" s="6422"/>
      <c r="I336" s="6419"/>
      <c r="J336" s="6422"/>
      <c r="K336" s="6408"/>
      <c r="L336" s="6408"/>
      <c r="M336" s="6408"/>
      <c r="N336" s="6408"/>
      <c r="O336" s="6408"/>
      <c r="P336" s="6408"/>
      <c r="Q336" s="6408"/>
      <c r="R336" s="6408"/>
      <c r="S336" s="6408"/>
      <c r="T336" s="6408"/>
      <c r="U336" s="6410"/>
      <c r="V336" s="6410"/>
      <c r="W336" s="6410"/>
      <c r="X336" s="6410"/>
      <c r="Y336" s="6410"/>
    </row>
    <row r="337">
      <c r="A337" s="6586" t="s">
        <v>7040</v>
      </c>
      <c r="B337" s="6586"/>
      <c r="C337" s="6586"/>
      <c r="D337" s="6586"/>
      <c r="E337" s="6586"/>
      <c r="F337" s="6586"/>
      <c r="G337" s="6586"/>
      <c r="H337" s="6586"/>
      <c r="I337" s="6586"/>
      <c r="J337" s="6586"/>
      <c r="K337" s="6408"/>
      <c r="L337" s="6408"/>
      <c r="M337" s="6408"/>
      <c r="N337" s="6408"/>
      <c r="O337" s="6408"/>
      <c r="P337" s="6408"/>
      <c r="Q337" s="6408"/>
      <c r="R337" s="6408"/>
      <c r="S337" s="6408"/>
      <c r="T337" s="6408"/>
      <c r="U337" s="6410"/>
      <c r="V337" s="6410"/>
      <c r="W337" s="6410"/>
      <c r="X337" s="6410"/>
      <c r="Y337" s="6410"/>
    </row>
    <row r="338">
      <c r="A338" s="6587" t="s">
        <v>6757</v>
      </c>
      <c r="B338" s="6588" t="s">
        <v>6758</v>
      </c>
      <c r="C338" s="6588"/>
      <c r="D338" s="6589" t="s">
        <v>6759</v>
      </c>
      <c r="E338" s="6589" t="s">
        <v>6760</v>
      </c>
      <c r="F338" s="6589" t="s">
        <v>6761</v>
      </c>
      <c r="G338" s="6590" t="s">
        <v>6777</v>
      </c>
      <c r="H338" s="6589" t="s">
        <v>6763</v>
      </c>
      <c r="I338" s="6589" t="s">
        <v>6764</v>
      </c>
      <c r="J338" s="6589" t="s">
        <v>6765</v>
      </c>
      <c r="K338" s="6408"/>
      <c r="L338" s="6408"/>
      <c r="M338" s="6408"/>
      <c r="N338" s="6408"/>
      <c r="O338" s="6408"/>
      <c r="P338" s="6408"/>
      <c r="Q338" s="6408"/>
      <c r="R338" s="6408"/>
      <c r="S338" s="6408"/>
      <c r="T338" s="6408"/>
      <c r="U338" s="6410"/>
      <c r="V338" s="6410"/>
      <c r="W338" s="6410"/>
      <c r="X338" s="6410"/>
      <c r="Y338" s="6410"/>
    </row>
    <row r="339">
      <c r="A339" s="6418" t="s">
        <v>7041</v>
      </c>
      <c r="B339" s="6418">
        <v>46210</v>
      </c>
      <c r="C339" s="6418" t="str">
        <v>Tuesday</v>
      </c>
      <c r="D339" s="6422" t="s">
        <v>6837</v>
      </c>
      <c r="E339" s="6422">
        <f t="shared" ref="E339:E341" si="63">24*MOD(TIMEVALUE(TRIM(MID(D339,FIND("-",D339)+1,LEN(D339)))) - TIMEVALUE(TRIM(LEFT(D339,FIND("-",D339)-1))),1)</f>
      </c>
      <c r="F339" s="6419" t="s">
        <v>6944</v>
      </c>
      <c r="G339" s="6486" t="s">
        <v>7042</v>
      </c>
      <c r="H339" s="6422" t="s">
        <v>6810</v>
      </c>
      <c r="I339" s="6422" t="s">
        <v>6770</v>
      </c>
      <c r="J339" s="6422"/>
      <c r="K339" s="6408"/>
      <c r="L339" s="6408"/>
      <c r="M339" s="6408"/>
      <c r="N339" s="6408"/>
      <c r="O339" s="6408"/>
      <c r="P339" s="6408"/>
      <c r="Q339" s="6408"/>
      <c r="R339" s="6408"/>
      <c r="S339" s="6408"/>
      <c r="T339" s="6408"/>
      <c r="U339" s="6410"/>
      <c r="V339" s="6410"/>
      <c r="W339" s="6410"/>
      <c r="X339" s="6410"/>
      <c r="Y339" s="6410"/>
    </row>
    <row r="340">
      <c r="A340" s="6473" t="s">
        <v>7041</v>
      </c>
      <c r="B340" s="6473">
        <v>46210</v>
      </c>
      <c r="C340" s="6473" t="str">
        <v>Tuesday</v>
      </c>
      <c r="D340" s="6447" t="s">
        <v>7043</v>
      </c>
      <c r="E340" s="6447">
        <f t="shared" si="63"/>
      </c>
      <c r="F340" s="6447" t="s">
        <v>6819</v>
      </c>
      <c r="G340" s="6504"/>
      <c r="H340" s="6447" t="s">
        <v>6810</v>
      </c>
      <c r="I340" s="6447" t="s">
        <v>6857</v>
      </c>
      <c r="J340" s="6447" t="s">
        <v>7044</v>
      </c>
      <c r="K340" s="6408"/>
      <c r="L340" s="6408"/>
      <c r="M340" s="6408"/>
      <c r="N340" s="6408"/>
      <c r="O340" s="6408"/>
      <c r="P340" s="6408"/>
      <c r="Q340" s="6408"/>
      <c r="R340" s="6408"/>
      <c r="S340" s="6408"/>
      <c r="T340" s="6408"/>
      <c r="U340" s="6410"/>
      <c r="V340" s="6410"/>
      <c r="W340" s="6410"/>
      <c r="X340" s="6410"/>
      <c r="Y340" s="6410"/>
    </row>
    <row r="341">
      <c r="A341" s="6546" t="s">
        <v>7045</v>
      </c>
      <c r="B341" s="6546">
        <v>46210</v>
      </c>
      <c r="C341" s="6546" t="str">
        <v>Tuesday</v>
      </c>
      <c r="D341" s="6547" t="s">
        <v>7046</v>
      </c>
      <c r="E341" s="6547">
        <f t="shared" si="63"/>
      </c>
      <c r="F341" s="6547" t="s">
        <v>7047</v>
      </c>
      <c r="G341" s="6548"/>
      <c r="H341" s="6547" t="s">
        <v>6810</v>
      </c>
      <c r="I341" s="6547" t="s">
        <v>6770</v>
      </c>
      <c r="J341" s="6547"/>
      <c r="K341" s="6408"/>
      <c r="L341" s="6408"/>
      <c r="M341" s="6408"/>
      <c r="N341" s="6408"/>
      <c r="O341" s="6408"/>
      <c r="P341" s="6408"/>
      <c r="Q341" s="6408"/>
      <c r="R341" s="6408"/>
      <c r="S341" s="6408"/>
      <c r="T341" s="6408"/>
      <c r="U341" s="6410"/>
      <c r="V341" s="6410"/>
      <c r="W341" s="6410"/>
      <c r="X341" s="6410"/>
      <c r="Y341" s="6410"/>
    </row>
    <row r="342">
      <c r="A342" s="6418"/>
      <c r="B342" s="6418"/>
      <c r="C342" s="6418"/>
      <c r="D342" s="6419"/>
      <c r="E342" s="6419"/>
      <c r="F342" s="6419"/>
      <c r="G342" s="6431"/>
      <c r="H342" s="6419"/>
      <c r="I342" s="6419"/>
      <c r="J342" s="6419"/>
      <c r="K342" s="6408"/>
      <c r="L342" s="6408"/>
      <c r="M342" s="6408"/>
      <c r="N342" s="6408"/>
      <c r="O342" s="6408"/>
      <c r="P342" s="6408"/>
      <c r="Q342" s="6408"/>
      <c r="R342" s="6408"/>
      <c r="S342" s="6408"/>
      <c r="T342" s="6408"/>
      <c r="U342" s="6410"/>
      <c r="V342" s="6410"/>
      <c r="W342" s="6410"/>
      <c r="X342" s="6410"/>
      <c r="Y342" s="6410"/>
    </row>
    <row r="343">
      <c r="A343" s="6418" t="s">
        <v>7041</v>
      </c>
      <c r="B343" s="6418">
        <v>46211</v>
      </c>
      <c r="C343" s="6418" t="str">
        <v>Wednesday</v>
      </c>
      <c r="D343" s="6422" t="s">
        <v>6801</v>
      </c>
      <c r="E343" s="6422">
        <f t="shared" ref="E343:E359" si="64">24*MOD(TIMEVALUE(TRIM(MID(D343,FIND("-",D343)+1,LEN(D343)))) - TIMEVALUE(TRIM(LEFT(D343,FIND("-",D343)-1))),1)</f>
      </c>
      <c r="F343" s="6419" t="s">
        <v>6819</v>
      </c>
      <c r="G343" s="6486"/>
      <c r="H343" s="6422" t="s">
        <v>6810</v>
      </c>
      <c r="I343" s="6422" t="s">
        <v>6770</v>
      </c>
      <c r="J343" s="6422"/>
      <c r="K343" s="6408"/>
      <c r="L343" s="6408"/>
      <c r="M343" s="6408"/>
      <c r="N343" s="6408"/>
      <c r="O343" s="6408"/>
      <c r="P343" s="6408"/>
      <c r="Q343" s="6408"/>
      <c r="R343" s="6408"/>
      <c r="S343" s="6408"/>
      <c r="T343" s="6408"/>
      <c r="U343" s="6410"/>
      <c r="V343" s="6410"/>
      <c r="W343" s="6410"/>
      <c r="X343" s="6410"/>
      <c r="Y343" s="6410"/>
    </row>
    <row r="344">
      <c r="A344" s="6418" t="s">
        <v>7041</v>
      </c>
      <c r="B344" s="6418">
        <v>46211</v>
      </c>
      <c r="C344" s="6418" t="str">
        <v>Wednesday</v>
      </c>
      <c r="D344" s="6422" t="s">
        <v>6858</v>
      </c>
      <c r="E344" s="6422">
        <f t="shared" si="64"/>
      </c>
      <c r="F344" s="6419" t="s">
        <v>7048</v>
      </c>
      <c r="G344" s="6486"/>
      <c r="H344" s="6422" t="s">
        <v>6810</v>
      </c>
      <c r="I344" s="6422" t="s">
        <v>6770</v>
      </c>
      <c r="J344" s="6422"/>
      <c r="K344" s="6408"/>
      <c r="L344" s="6408"/>
      <c r="M344" s="6408"/>
      <c r="N344" s="6408"/>
      <c r="O344" s="6408"/>
      <c r="P344" s="6408"/>
      <c r="Q344" s="6408"/>
      <c r="R344" s="6408"/>
      <c r="S344" s="6408"/>
      <c r="T344" s="6408"/>
      <c r="U344" s="6410"/>
      <c r="V344" s="6410"/>
      <c r="W344" s="6410"/>
      <c r="X344" s="6410"/>
      <c r="Y344" s="6410"/>
    </row>
    <row r="345">
      <c r="A345" s="6418" t="s">
        <v>7049</v>
      </c>
      <c r="B345" s="6418">
        <v>46211</v>
      </c>
      <c r="C345" s="6418" t="str">
        <v>Wednesday</v>
      </c>
      <c r="D345" s="6422" t="s">
        <v>6829</v>
      </c>
      <c r="E345" s="6422">
        <f t="shared" si="64"/>
      </c>
      <c r="F345" s="6419" t="s">
        <v>7050</v>
      </c>
      <c r="G345" s="6486" t="s">
        <v>7051</v>
      </c>
      <c r="H345" s="6422" t="s">
        <v>6810</v>
      </c>
      <c r="I345" s="6422" t="s">
        <v>6770</v>
      </c>
      <c r="J345" s="6422"/>
      <c r="K345" s="6408"/>
      <c r="L345" s="6408"/>
      <c r="M345" s="6408"/>
      <c r="N345" s="6408"/>
      <c r="O345" s="6408"/>
      <c r="P345" s="6408"/>
      <c r="Q345" s="6408"/>
      <c r="R345" s="6408"/>
      <c r="S345" s="6408"/>
      <c r="T345" s="6408"/>
      <c r="U345" s="6410"/>
      <c r="V345" s="6410"/>
      <c r="W345" s="6410"/>
      <c r="X345" s="6410"/>
      <c r="Y345" s="6410"/>
    </row>
    <row r="346">
      <c r="A346" s="6418" t="s">
        <v>7049</v>
      </c>
      <c r="B346" s="6418">
        <v>46211</v>
      </c>
      <c r="C346" s="6418" t="str">
        <v>Wednesday</v>
      </c>
      <c r="D346" s="6422" t="s">
        <v>6783</v>
      </c>
      <c r="E346" s="6422">
        <f t="shared" si="64"/>
      </c>
      <c r="F346" s="6419" t="s">
        <v>7052</v>
      </c>
      <c r="G346" s="6486" t="s">
        <v>7053</v>
      </c>
      <c r="H346" s="6422" t="s">
        <v>6810</v>
      </c>
      <c r="I346" s="6422" t="s">
        <v>6770</v>
      </c>
      <c r="J346" s="6422"/>
      <c r="K346" s="6408"/>
      <c r="L346" s="6408"/>
      <c r="M346" s="6408"/>
      <c r="N346" s="6408"/>
      <c r="O346" s="6408"/>
      <c r="P346" s="6408"/>
      <c r="Q346" s="6408"/>
      <c r="R346" s="6408"/>
      <c r="S346" s="6408"/>
      <c r="T346" s="6408"/>
      <c r="U346" s="6410"/>
      <c r="V346" s="6410"/>
      <c r="W346" s="6410"/>
      <c r="X346" s="6410"/>
      <c r="Y346" s="6410"/>
    </row>
    <row r="347">
      <c r="A347" s="6546" t="s">
        <v>7045</v>
      </c>
      <c r="B347" s="6546">
        <v>46211</v>
      </c>
      <c r="C347" s="6546" t="str">
        <v>Wednesday</v>
      </c>
      <c r="D347" s="6547" t="s">
        <v>7054</v>
      </c>
      <c r="E347" s="6547">
        <f t="shared" si="64"/>
      </c>
      <c r="F347" s="6547" t="s">
        <v>7047</v>
      </c>
      <c r="G347" s="6548"/>
      <c r="H347" s="6547" t="s">
        <v>6810</v>
      </c>
      <c r="I347" s="6547" t="s">
        <v>6770</v>
      </c>
      <c r="J347" s="6547"/>
      <c r="K347" s="6408"/>
      <c r="L347" s="6408"/>
      <c r="M347" s="6408"/>
      <c r="N347" s="6408"/>
      <c r="O347" s="6408"/>
      <c r="P347" s="6408"/>
      <c r="Q347" s="6408"/>
      <c r="R347" s="6408"/>
      <c r="S347" s="6408"/>
      <c r="T347" s="6408"/>
      <c r="U347" s="6410"/>
      <c r="V347" s="6410"/>
      <c r="W347" s="6410"/>
      <c r="X347" s="6410"/>
      <c r="Y347" s="6410"/>
    </row>
    <row r="348">
      <c r="A348" s="6418" t="s">
        <v>7041</v>
      </c>
      <c r="B348" s="6418">
        <v>46212</v>
      </c>
      <c r="C348" s="6418" t="str">
        <v>Thursday</v>
      </c>
      <c r="D348" s="6419" t="s">
        <v>7055</v>
      </c>
      <c r="E348" s="6419">
        <f t="shared" si="64"/>
      </c>
      <c r="F348" s="6419" t="s">
        <v>6819</v>
      </c>
      <c r="G348" s="6431" t="s">
        <v>7056</v>
      </c>
      <c r="H348" s="6422" t="s">
        <v>6810</v>
      </c>
      <c r="I348" s="6422" t="s">
        <v>6770</v>
      </c>
      <c r="J348" s="6422"/>
      <c r="K348" s="6408"/>
      <c r="L348" s="6408"/>
      <c r="M348" s="6408"/>
      <c r="N348" s="6408"/>
      <c r="O348" s="6408"/>
      <c r="P348" s="6408"/>
      <c r="Q348" s="6408"/>
      <c r="R348" s="6408"/>
      <c r="S348" s="6408"/>
      <c r="T348" s="6408"/>
      <c r="U348" s="6410"/>
      <c r="V348" s="6410"/>
      <c r="W348" s="6410"/>
      <c r="X348" s="6410"/>
      <c r="Y348" s="6410"/>
    </row>
    <row r="349">
      <c r="A349" s="6473" t="s">
        <v>7045</v>
      </c>
      <c r="B349" s="6473">
        <v>46212</v>
      </c>
      <c r="C349" s="6473" t="str">
        <v>Thursday</v>
      </c>
      <c r="D349" s="6447" t="s">
        <v>7057</v>
      </c>
      <c r="E349" s="6447">
        <f t="shared" si="64"/>
      </c>
      <c r="F349" s="6447" t="s">
        <v>6918</v>
      </c>
      <c r="G349" s="6504" t="s">
        <v>7058</v>
      </c>
      <c r="H349" s="6447" t="s">
        <v>6810</v>
      </c>
      <c r="I349" s="6447" t="s">
        <v>6770</v>
      </c>
      <c r="J349" s="6447" t="s">
        <v>7059</v>
      </c>
      <c r="K349" s="6408"/>
      <c r="L349" s="6408"/>
      <c r="M349" s="6408"/>
      <c r="N349" s="6408"/>
      <c r="O349" s="6408"/>
      <c r="P349" s="6408"/>
      <c r="Q349" s="6408"/>
      <c r="R349" s="6408"/>
      <c r="S349" s="6408"/>
      <c r="T349" s="6408"/>
      <c r="U349" s="6410"/>
      <c r="V349" s="6410"/>
      <c r="W349" s="6410"/>
      <c r="X349" s="6410"/>
      <c r="Y349" s="6410"/>
    </row>
    <row r="350">
      <c r="A350" s="6546" t="s">
        <v>7045</v>
      </c>
      <c r="B350" s="6546">
        <v>46212</v>
      </c>
      <c r="C350" s="6546" t="str">
        <v>Thursday</v>
      </c>
      <c r="D350" s="6547" t="s">
        <v>7060</v>
      </c>
      <c r="E350" s="6547">
        <f t="shared" si="64"/>
      </c>
      <c r="F350" s="6547" t="s">
        <v>6918</v>
      </c>
      <c r="G350" s="6548" t="s">
        <v>7061</v>
      </c>
      <c r="H350" s="6547" t="s">
        <v>6810</v>
      </c>
      <c r="I350" s="6547" t="s">
        <v>6770</v>
      </c>
      <c r="J350" s="6547"/>
      <c r="K350" s="6408"/>
      <c r="L350" s="6408"/>
      <c r="M350" s="6408"/>
      <c r="N350" s="6408"/>
      <c r="O350" s="6408"/>
      <c r="P350" s="6408"/>
      <c r="Q350" s="6408"/>
      <c r="R350" s="6408"/>
      <c r="S350" s="6408"/>
      <c r="T350" s="6408"/>
      <c r="U350" s="6410"/>
      <c r="V350" s="6410"/>
      <c r="W350" s="6410"/>
      <c r="X350" s="6410"/>
      <c r="Y350" s="6410"/>
    </row>
    <row r="351">
      <c r="A351" s="6418" t="s">
        <v>7049</v>
      </c>
      <c r="B351" s="6418">
        <v>46213</v>
      </c>
      <c r="C351" s="6418" t="str">
        <v>Friday</v>
      </c>
      <c r="D351" s="6422" t="s">
        <v>6858</v>
      </c>
      <c r="E351" s="6422">
        <f t="shared" si="64"/>
      </c>
      <c r="F351" s="6419" t="s">
        <v>7062</v>
      </c>
      <c r="G351" s="6486" t="s">
        <v>7063</v>
      </c>
      <c r="H351" s="6422" t="s">
        <v>6810</v>
      </c>
      <c r="I351" s="6422" t="s">
        <v>6770</v>
      </c>
      <c r="J351" s="6422"/>
      <c r="K351" s="6408"/>
      <c r="L351" s="6408"/>
      <c r="M351" s="6408"/>
      <c r="N351" s="6408"/>
      <c r="O351" s="6408"/>
      <c r="P351" s="6408"/>
      <c r="Q351" s="6408"/>
      <c r="R351" s="6408"/>
      <c r="S351" s="6408"/>
      <c r="T351" s="6408"/>
      <c r="U351" s="6410"/>
      <c r="V351" s="6410"/>
      <c r="W351" s="6410"/>
      <c r="X351" s="6410"/>
      <c r="Y351" s="6410"/>
    </row>
    <row r="352">
      <c r="A352" s="6418" t="s">
        <v>7041</v>
      </c>
      <c r="B352" s="6418">
        <v>46213</v>
      </c>
      <c r="C352" s="6418" t="str">
        <v>Friday</v>
      </c>
      <c r="D352" s="6422" t="s">
        <v>6829</v>
      </c>
      <c r="E352" s="6422">
        <f t="shared" si="64"/>
      </c>
      <c r="F352" s="6419" t="s">
        <v>6819</v>
      </c>
      <c r="G352" s="6486"/>
      <c r="H352" s="6422" t="s">
        <v>6810</v>
      </c>
      <c r="I352" s="6422" t="s">
        <v>6770</v>
      </c>
      <c r="J352" s="6422"/>
      <c r="K352" s="6408"/>
      <c r="L352" s="6408"/>
      <c r="M352" s="6408"/>
      <c r="N352" s="6408"/>
      <c r="O352" s="6408"/>
      <c r="P352" s="6408"/>
      <c r="Q352" s="6408"/>
      <c r="R352" s="6408"/>
      <c r="S352" s="6408"/>
      <c r="T352" s="6408"/>
      <c r="U352" s="6410"/>
      <c r="V352" s="6410"/>
      <c r="W352" s="6410"/>
      <c r="X352" s="6410"/>
      <c r="Y352" s="6410"/>
    </row>
    <row r="353">
      <c r="A353" s="6418" t="s">
        <v>7041</v>
      </c>
      <c r="B353" s="6418">
        <v>46213</v>
      </c>
      <c r="C353" s="6418" t="str">
        <v>Friday</v>
      </c>
      <c r="D353" s="6422" t="s">
        <v>7043</v>
      </c>
      <c r="E353" s="6422">
        <f t="shared" si="64"/>
      </c>
      <c r="F353" s="6419" t="s">
        <v>7062</v>
      </c>
      <c r="G353" s="6486" t="s">
        <v>7064</v>
      </c>
      <c r="H353" s="6422" t="s">
        <v>6810</v>
      </c>
      <c r="I353" s="6422" t="s">
        <v>6770</v>
      </c>
      <c r="J353" s="6422" t="s">
        <v>7065</v>
      </c>
      <c r="K353" s="6408"/>
      <c r="L353" s="6408"/>
      <c r="M353" s="6408"/>
      <c r="N353" s="6408"/>
      <c r="O353" s="6408"/>
      <c r="P353" s="6408"/>
      <c r="Q353" s="6408"/>
      <c r="R353" s="6408"/>
      <c r="S353" s="6408"/>
      <c r="T353" s="6408"/>
      <c r="U353" s="6410"/>
      <c r="V353" s="6410"/>
      <c r="W353" s="6410"/>
      <c r="X353" s="6410"/>
      <c r="Y353" s="6410"/>
    </row>
    <row r="354">
      <c r="A354" s="6418" t="s">
        <v>7049</v>
      </c>
      <c r="B354" s="6418">
        <v>46213</v>
      </c>
      <c r="C354" s="6418" t="str">
        <v>Friday</v>
      </c>
      <c r="D354" s="6422" t="s">
        <v>7066</v>
      </c>
      <c r="E354" s="6422">
        <f t="shared" si="64"/>
      </c>
      <c r="F354" s="6419" t="s">
        <v>7062</v>
      </c>
      <c r="G354" s="6486" t="s">
        <v>7067</v>
      </c>
      <c r="H354" s="6422" t="s">
        <v>6810</v>
      </c>
      <c r="I354" s="6422" t="s">
        <v>6770</v>
      </c>
      <c r="J354" s="6422" t="s">
        <v>7068</v>
      </c>
      <c r="K354" s="6408"/>
      <c r="L354" s="6408"/>
      <c r="M354" s="6408"/>
      <c r="N354" s="6408"/>
      <c r="O354" s="6408"/>
      <c r="P354" s="6408"/>
      <c r="Q354" s="6408"/>
      <c r="R354" s="6408"/>
      <c r="S354" s="6408"/>
      <c r="T354" s="6408"/>
      <c r="U354" s="6410"/>
      <c r="V354" s="6410"/>
      <c r="W354" s="6410"/>
      <c r="X354" s="6410"/>
      <c r="Y354" s="6410"/>
    </row>
    <row r="355">
      <c r="A355" s="6546" t="s">
        <v>7045</v>
      </c>
      <c r="B355" s="6546">
        <v>46213</v>
      </c>
      <c r="C355" s="6546" t="str">
        <v>Friday</v>
      </c>
      <c r="D355" s="6547" t="s">
        <v>7046</v>
      </c>
      <c r="E355" s="6547">
        <f t="shared" si="64"/>
      </c>
      <c r="F355" s="6547" t="s">
        <v>7047</v>
      </c>
      <c r="G355" s="6548"/>
      <c r="H355" s="6547" t="s">
        <v>6810</v>
      </c>
      <c r="I355" s="6547" t="s">
        <v>6770</v>
      </c>
      <c r="J355" s="6547"/>
      <c r="K355" s="6408"/>
      <c r="L355" s="6408"/>
      <c r="M355" s="6408"/>
      <c r="N355" s="6408"/>
      <c r="O355" s="6408"/>
      <c r="P355" s="6408"/>
      <c r="Q355" s="6408"/>
      <c r="R355" s="6408"/>
      <c r="S355" s="6408"/>
      <c r="T355" s="6408"/>
      <c r="U355" s="6410"/>
      <c r="V355" s="6410"/>
      <c r="W355" s="6410"/>
      <c r="X355" s="6410"/>
      <c r="Y355" s="6410"/>
    </row>
    <row r="356">
      <c r="A356" s="6418" t="s">
        <v>7041</v>
      </c>
      <c r="B356" s="6418">
        <v>46214</v>
      </c>
      <c r="C356" s="6418" t="str">
        <v>Saturday</v>
      </c>
      <c r="D356" s="6422" t="s">
        <v>7069</v>
      </c>
      <c r="E356" s="6422">
        <f t="shared" si="64"/>
      </c>
      <c r="F356" s="6419" t="s">
        <v>6819</v>
      </c>
      <c r="G356" s="6486"/>
      <c r="H356" s="6422" t="s">
        <v>6810</v>
      </c>
      <c r="I356" s="6422" t="s">
        <v>6770</v>
      </c>
      <c r="J356" s="6422"/>
      <c r="K356" s="6408"/>
      <c r="L356" s="6408"/>
      <c r="M356" s="6408"/>
      <c r="N356" s="6408"/>
      <c r="O356" s="6408"/>
      <c r="P356" s="6408"/>
      <c r="Q356" s="6408"/>
      <c r="R356" s="6408"/>
      <c r="S356" s="6408"/>
      <c r="T356" s="6408"/>
      <c r="U356" s="6410"/>
      <c r="V356" s="6410"/>
      <c r="W356" s="6410"/>
      <c r="X356" s="6410"/>
      <c r="Y356" s="6410"/>
    </row>
    <row r="357">
      <c r="A357" s="6546" t="s">
        <v>7045</v>
      </c>
      <c r="B357" s="6546">
        <v>46214</v>
      </c>
      <c r="C357" s="6546" t="str">
        <v>Saturday</v>
      </c>
      <c r="D357" s="6547" t="s">
        <v>7054</v>
      </c>
      <c r="E357" s="6547">
        <f t="shared" si="64"/>
      </c>
      <c r="F357" s="6547" t="s">
        <v>6988</v>
      </c>
      <c r="G357" s="6548"/>
      <c r="H357" s="6547" t="s">
        <v>6810</v>
      </c>
      <c r="I357" s="6547" t="s">
        <v>6770</v>
      </c>
      <c r="J357" s="6547"/>
      <c r="K357" s="6408"/>
      <c r="L357" s="6408"/>
      <c r="M357" s="6408"/>
      <c r="N357" s="6408"/>
      <c r="O357" s="6408"/>
      <c r="P357" s="6408"/>
      <c r="Q357" s="6408"/>
      <c r="R357" s="6408"/>
      <c r="S357" s="6408"/>
      <c r="T357" s="6408"/>
      <c r="U357" s="6410"/>
      <c r="V357" s="6410"/>
      <c r="W357" s="6410"/>
      <c r="X357" s="6410"/>
      <c r="Y357" s="6410"/>
    </row>
    <row r="358">
      <c r="A358" s="6418" t="s">
        <v>7041</v>
      </c>
      <c r="B358" s="6418">
        <v>46215</v>
      </c>
      <c r="C358" s="6418" t="str">
        <v>Sunday</v>
      </c>
      <c r="D358" s="6422" t="s">
        <v>6934</v>
      </c>
      <c r="E358" s="6422">
        <f t="shared" si="64"/>
      </c>
      <c r="F358" s="6419" t="s">
        <v>6819</v>
      </c>
      <c r="G358" s="6486"/>
      <c r="H358" s="6422" t="s">
        <v>6810</v>
      </c>
      <c r="I358" s="6422" t="s">
        <v>6770</v>
      </c>
      <c r="J358" s="6422"/>
      <c r="K358" s="6408"/>
      <c r="L358" s="6408"/>
      <c r="M358" s="6408"/>
      <c r="N358" s="6408"/>
      <c r="O358" s="6408"/>
      <c r="P358" s="6408"/>
      <c r="Q358" s="6408"/>
      <c r="R358" s="6408"/>
      <c r="S358" s="6408"/>
      <c r="T358" s="6408"/>
      <c r="U358" s="6410"/>
      <c r="V358" s="6410"/>
      <c r="W358" s="6410"/>
      <c r="X358" s="6410"/>
      <c r="Y358" s="6410"/>
    </row>
    <row r="359">
      <c r="A359" s="6546" t="s">
        <v>7045</v>
      </c>
      <c r="B359" s="6546">
        <v>46215</v>
      </c>
      <c r="C359" s="6546" t="str">
        <v>Sunday</v>
      </c>
      <c r="D359" s="6547" t="s">
        <v>7070</v>
      </c>
      <c r="E359" s="6547">
        <f t="shared" si="64"/>
      </c>
      <c r="F359" s="6547" t="s">
        <v>7047</v>
      </c>
      <c r="G359" s="6548"/>
      <c r="H359" s="6547" t="s">
        <v>6810</v>
      </c>
      <c r="I359" s="6547" t="s">
        <v>6770</v>
      </c>
      <c r="J359" s="6547"/>
      <c r="K359" s="6408"/>
      <c r="L359" s="6408"/>
      <c r="M359" s="6408"/>
      <c r="N359" s="6408"/>
      <c r="O359" s="6408"/>
      <c r="P359" s="6408"/>
      <c r="Q359" s="6408"/>
      <c r="R359" s="6408"/>
      <c r="S359" s="6408"/>
      <c r="T359" s="6408"/>
      <c r="U359" s="6410"/>
      <c r="V359" s="6410"/>
      <c r="W359" s="6410"/>
      <c r="X359" s="6410"/>
      <c r="Y359" s="6410"/>
    </row>
    <row r="360">
      <c r="A360" s="6418"/>
      <c r="B360" s="6418"/>
      <c r="C360" s="6418"/>
      <c r="D360" s="6422"/>
      <c r="E360" s="6422"/>
      <c r="F360" s="6422"/>
      <c r="G360" s="6431"/>
      <c r="H360" s="6419"/>
      <c r="I360" s="6422"/>
      <c r="J360" s="6419"/>
      <c r="K360" s="6408"/>
      <c r="L360" s="6408"/>
      <c r="M360" s="6408"/>
      <c r="N360" s="6408"/>
      <c r="O360" s="6408"/>
      <c r="P360" s="6408"/>
      <c r="Q360" s="6408"/>
      <c r="R360" s="6408"/>
      <c r="S360" s="6408"/>
      <c r="T360" s="6408"/>
      <c r="U360" s="6410"/>
      <c r="V360" s="6410"/>
      <c r="W360" s="6410"/>
      <c r="X360" s="6410"/>
      <c r="Y360" s="6410"/>
    </row>
    <row r="361">
      <c r="A361" s="6418"/>
      <c r="B361" s="6418"/>
      <c r="C361" s="6418"/>
      <c r="D361" s="6422"/>
      <c r="E361" s="6422"/>
      <c r="F361" s="6419"/>
      <c r="G361" s="6486"/>
      <c r="H361" s="6419"/>
      <c r="I361" s="6422"/>
      <c r="J361" s="6419"/>
      <c r="K361" s="6408"/>
      <c r="L361" s="6408"/>
      <c r="M361" s="6408"/>
      <c r="N361" s="6408"/>
      <c r="O361" s="6408"/>
      <c r="P361" s="6408"/>
      <c r="Q361" s="6408"/>
      <c r="R361" s="6408"/>
      <c r="S361" s="6408"/>
      <c r="T361" s="6408"/>
      <c r="U361" s="6410"/>
      <c r="V361" s="6410"/>
      <c r="W361" s="6410"/>
      <c r="X361" s="6410"/>
      <c r="Y361" s="6410"/>
    </row>
    <row r="362">
      <c r="A362" s="6505"/>
      <c r="B362" s="6505"/>
      <c r="C362" s="6505"/>
      <c r="D362" s="6505"/>
      <c r="E362" s="6505"/>
      <c r="F362" s="6505"/>
      <c r="G362" s="6565"/>
      <c r="H362" s="6505"/>
      <c r="I362" s="6505"/>
      <c r="J362" s="6505"/>
      <c r="K362" s="6408"/>
      <c r="L362" s="6408"/>
      <c r="M362" s="6408"/>
      <c r="N362" s="6408"/>
      <c r="O362" s="6408"/>
      <c r="P362" s="6408"/>
      <c r="Q362" s="6408"/>
      <c r="R362" s="6408"/>
      <c r="S362" s="6408"/>
      <c r="T362" s="6408"/>
      <c r="U362" s="6410"/>
      <c r="V362" s="6410"/>
      <c r="W362" s="6410"/>
      <c r="X362" s="6410"/>
      <c r="Y362" s="6410"/>
    </row>
    <row r="363">
      <c r="A363" s="6591" t="s">
        <v>7071</v>
      </c>
      <c r="B363" s="6591"/>
      <c r="C363" s="6591"/>
      <c r="D363" s="6591"/>
      <c r="E363" s="6591"/>
      <c r="F363" s="6591"/>
      <c r="G363" s="6591"/>
      <c r="H363" s="6591"/>
      <c r="I363" s="6591"/>
      <c r="J363" s="6591"/>
      <c r="K363" s="6408"/>
      <c r="L363" s="6408"/>
      <c r="M363" s="6408"/>
      <c r="N363" s="6408"/>
      <c r="O363" s="6408"/>
      <c r="P363" s="6408"/>
      <c r="Q363" s="6408"/>
      <c r="R363" s="6408"/>
      <c r="S363" s="6408"/>
      <c r="T363" s="6408"/>
      <c r="U363" s="6410"/>
      <c r="V363" s="6410"/>
      <c r="W363" s="6410"/>
      <c r="X363" s="6410"/>
      <c r="Y363" s="6410"/>
    </row>
    <row r="364">
      <c r="A364" s="6592" t="s">
        <v>6757</v>
      </c>
      <c r="B364" s="6593" t="s">
        <v>6758</v>
      </c>
      <c r="C364" s="6593"/>
      <c r="D364" s="6594" t="s">
        <v>6759</v>
      </c>
      <c r="E364" s="6594" t="s">
        <v>6760</v>
      </c>
      <c r="F364" s="6594" t="s">
        <v>6761</v>
      </c>
      <c r="G364" s="6595" t="s">
        <v>6777</v>
      </c>
      <c r="H364" s="6594" t="s">
        <v>6763</v>
      </c>
      <c r="I364" s="6594" t="s">
        <v>6764</v>
      </c>
      <c r="J364" s="6594" t="s">
        <v>6765</v>
      </c>
      <c r="K364" s="6408"/>
      <c r="L364" s="6408"/>
      <c r="M364" s="6408"/>
      <c r="N364" s="6408"/>
      <c r="O364" s="6408"/>
      <c r="P364" s="6408"/>
      <c r="Q364" s="6408"/>
      <c r="R364" s="6408"/>
      <c r="S364" s="6408"/>
      <c r="T364" s="6408"/>
      <c r="U364" s="6410"/>
      <c r="V364" s="6410"/>
      <c r="W364" s="6410"/>
      <c r="X364" s="6410"/>
      <c r="Y364" s="6410"/>
    </row>
    <row r="365">
      <c r="A365" s="6418"/>
      <c r="B365" s="6418"/>
      <c r="C365" s="6418"/>
      <c r="D365" s="6422"/>
      <c r="E365" s="6422"/>
      <c r="F365" s="6422"/>
      <c r="G365" s="6486"/>
      <c r="H365" s="6422"/>
      <c r="I365" s="6422"/>
      <c r="J365" s="6422"/>
      <c r="K365" s="6408"/>
      <c r="L365" s="6408"/>
      <c r="M365" s="6408"/>
      <c r="N365" s="6408"/>
      <c r="O365" s="6408"/>
      <c r="P365" s="6408"/>
      <c r="Q365" s="6408"/>
      <c r="R365" s="6408"/>
      <c r="S365" s="6408"/>
      <c r="T365" s="6408"/>
      <c r="U365" s="6410"/>
      <c r="V365" s="6410"/>
      <c r="W365" s="6410"/>
      <c r="X365" s="6410"/>
      <c r="Y365" s="6410"/>
    </row>
    <row r="366">
      <c r="A366" s="6579"/>
      <c r="B366" s="6579"/>
      <c r="C366" s="6579"/>
      <c r="D366" s="6581"/>
      <c r="E366" s="6581"/>
      <c r="F366" s="6581"/>
      <c r="G366" s="6582"/>
      <c r="H366" s="6581"/>
      <c r="I366" s="6581"/>
      <c r="J366" s="6581"/>
      <c r="K366" s="6408"/>
      <c r="L366" s="6408"/>
      <c r="M366" s="6408"/>
      <c r="N366" s="6408"/>
      <c r="O366" s="6408"/>
      <c r="P366" s="6408"/>
      <c r="Q366" s="6408"/>
      <c r="R366" s="6408"/>
      <c r="S366" s="6408"/>
      <c r="T366" s="6408"/>
      <c r="U366" s="6410"/>
      <c r="V366" s="6410"/>
      <c r="W366" s="6410"/>
      <c r="X366" s="6410"/>
      <c r="Y366" s="6410"/>
    </row>
    <row r="367">
      <c r="A367" s="6418" t="s">
        <v>7072</v>
      </c>
      <c r="B367" s="6418">
        <v>46211</v>
      </c>
      <c r="C367" s="6418" t="str">
        <v>Wednesday</v>
      </c>
      <c r="D367" s="6422" t="s">
        <v>6852</v>
      </c>
      <c r="E367" s="6422">
        <f t="shared" ref="E367:E372" si="65">24*MOD(TIMEVALUE(TRIM(MID(D367,FIND("-",D367)+1,LEN(D367)))) - TIMEVALUE(TRIM(LEFT(D367,FIND("-",D367)-1))),1)</f>
      </c>
      <c r="F367" s="6422" t="s">
        <v>7073</v>
      </c>
      <c r="G367" s="6486"/>
      <c r="H367" s="6422" t="s">
        <v>6810</v>
      </c>
      <c r="I367" s="6422" t="s">
        <v>6770</v>
      </c>
      <c r="J367" s="6422"/>
      <c r="K367" s="6408"/>
      <c r="L367" s="6408"/>
      <c r="M367" s="6408"/>
      <c r="N367" s="6408"/>
      <c r="O367" s="6408"/>
      <c r="P367" s="6408"/>
      <c r="Q367" s="6408"/>
      <c r="R367" s="6408"/>
      <c r="S367" s="6408"/>
      <c r="T367" s="6408"/>
      <c r="U367" s="6410"/>
      <c r="V367" s="6410"/>
      <c r="W367" s="6410"/>
      <c r="X367" s="6410"/>
      <c r="Y367" s="6410"/>
    </row>
    <row r="368">
      <c r="A368" s="6579" t="s">
        <v>7074</v>
      </c>
      <c r="B368" s="6579">
        <v>46211</v>
      </c>
      <c r="C368" s="6579" t="str">
        <v>Wednesday</v>
      </c>
      <c r="D368" s="6581" t="s">
        <v>7029</v>
      </c>
      <c r="E368" s="6581">
        <f t="shared" si="65"/>
      </c>
      <c r="F368" s="6581" t="s">
        <v>6988</v>
      </c>
      <c r="G368" s="6582" t="s">
        <v>7075</v>
      </c>
      <c r="H368" s="6581" t="s">
        <v>6810</v>
      </c>
      <c r="I368" s="6581" t="s">
        <v>6770</v>
      </c>
      <c r="J368" s="6581"/>
      <c r="K368" s="6408"/>
      <c r="L368" s="6408"/>
      <c r="M368" s="6408"/>
      <c r="N368" s="6408"/>
      <c r="O368" s="6408"/>
      <c r="P368" s="6408"/>
      <c r="Q368" s="6408"/>
      <c r="R368" s="6408"/>
      <c r="S368" s="6408"/>
      <c r="T368" s="6408"/>
      <c r="U368" s="6410"/>
      <c r="V368" s="6410"/>
      <c r="W368" s="6410"/>
      <c r="X368" s="6410"/>
      <c r="Y368" s="6410"/>
    </row>
    <row r="369">
      <c r="A369" s="6418" t="s">
        <v>7072</v>
      </c>
      <c r="B369" s="6418">
        <v>46214</v>
      </c>
      <c r="C369" s="6418" t="str">
        <v>Saturday</v>
      </c>
      <c r="D369" s="6422" t="s">
        <v>6852</v>
      </c>
      <c r="E369" s="6422">
        <f t="shared" si="65"/>
      </c>
      <c r="F369" s="6422" t="s">
        <v>7073</v>
      </c>
      <c r="G369" s="6486"/>
      <c r="H369" s="6422" t="s">
        <v>6810</v>
      </c>
      <c r="I369" s="6422" t="s">
        <v>6770</v>
      </c>
      <c r="J369" s="6422"/>
      <c r="K369" s="6408"/>
      <c r="L369" s="6408"/>
      <c r="M369" s="6408"/>
      <c r="N369" s="6408"/>
      <c r="O369" s="6408"/>
      <c r="P369" s="6408"/>
      <c r="Q369" s="6408"/>
      <c r="R369" s="6408"/>
      <c r="S369" s="6408"/>
      <c r="T369" s="6408"/>
      <c r="U369" s="6410"/>
      <c r="V369" s="6410"/>
      <c r="W369" s="6410"/>
      <c r="X369" s="6410"/>
      <c r="Y369" s="6410"/>
    </row>
    <row r="370">
      <c r="A370" s="6579" t="s">
        <v>7074</v>
      </c>
      <c r="B370" s="6579">
        <v>46214</v>
      </c>
      <c r="C370" s="6579" t="str">
        <v>Saturday</v>
      </c>
      <c r="D370" s="6581" t="s">
        <v>7029</v>
      </c>
      <c r="E370" s="6581">
        <f t="shared" si="65"/>
      </c>
      <c r="F370" s="6581" t="s">
        <v>7076</v>
      </c>
      <c r="G370" s="6582"/>
      <c r="H370" s="6581" t="s">
        <v>6810</v>
      </c>
      <c r="I370" s="6581" t="s">
        <v>6770</v>
      </c>
      <c r="J370" s="6581"/>
      <c r="K370" s="6408"/>
      <c r="L370" s="6408"/>
      <c r="M370" s="6408"/>
      <c r="N370" s="6408"/>
      <c r="O370" s="6408"/>
      <c r="P370" s="6408"/>
      <c r="Q370" s="6408"/>
      <c r="R370" s="6408"/>
      <c r="S370" s="6408"/>
      <c r="T370" s="6408"/>
      <c r="U370" s="6410"/>
      <c r="V370" s="6410"/>
      <c r="W370" s="6410"/>
      <c r="X370" s="6410"/>
      <c r="Y370" s="6410"/>
    </row>
    <row r="371">
      <c r="A371" s="6418" t="s">
        <v>7072</v>
      </c>
      <c r="B371" s="6418">
        <v>46215</v>
      </c>
      <c r="C371" s="6418" t="str">
        <v>Sunday</v>
      </c>
      <c r="D371" s="6422" t="s">
        <v>6894</v>
      </c>
      <c r="E371" s="6422">
        <f t="shared" si="65"/>
      </c>
      <c r="F371" s="6422" t="s">
        <v>7073</v>
      </c>
      <c r="G371" s="6486"/>
      <c r="H371" s="6422" t="s">
        <v>6810</v>
      </c>
      <c r="I371" s="6422" t="s">
        <v>6770</v>
      </c>
      <c r="J371" s="6422"/>
      <c r="K371" s="6408"/>
      <c r="L371" s="6408"/>
      <c r="M371" s="6408"/>
      <c r="N371" s="6408"/>
      <c r="O371" s="6408"/>
      <c r="P371" s="6408"/>
      <c r="Q371" s="6408"/>
      <c r="R371" s="6408"/>
      <c r="S371" s="6408"/>
      <c r="T371" s="6408"/>
      <c r="U371" s="6410"/>
      <c r="V371" s="6410"/>
      <c r="W371" s="6410"/>
      <c r="X371" s="6410"/>
      <c r="Y371" s="6410"/>
    </row>
    <row r="372">
      <c r="A372" s="6579" t="s">
        <v>7074</v>
      </c>
      <c r="B372" s="6579">
        <v>46215</v>
      </c>
      <c r="C372" s="6579" t="str">
        <v>Sunday</v>
      </c>
      <c r="D372" s="6581" t="s">
        <v>7031</v>
      </c>
      <c r="E372" s="6581">
        <f t="shared" si="65"/>
      </c>
      <c r="F372" s="6581" t="s">
        <v>6988</v>
      </c>
      <c r="G372" s="6582"/>
      <c r="H372" s="6581" t="s">
        <v>6810</v>
      </c>
      <c r="I372" s="6581" t="s">
        <v>6770</v>
      </c>
      <c r="J372" s="6581"/>
      <c r="K372" s="6408"/>
      <c r="L372" s="6408"/>
      <c r="M372" s="6408"/>
      <c r="N372" s="6408"/>
      <c r="O372" s="6408"/>
      <c r="P372" s="6408"/>
      <c r="Q372" s="6408"/>
      <c r="R372" s="6408"/>
      <c r="S372" s="6408"/>
      <c r="T372" s="6408"/>
      <c r="U372" s="6410"/>
      <c r="V372" s="6410"/>
      <c r="W372" s="6410"/>
      <c r="X372" s="6410"/>
      <c r="Y372" s="6410"/>
    </row>
    <row r="373">
      <c r="A373" s="6505"/>
      <c r="B373" s="6505"/>
      <c r="C373" s="6505"/>
      <c r="D373" s="6505"/>
      <c r="E373" s="6505"/>
      <c r="F373" s="6505"/>
      <c r="G373" s="6565"/>
      <c r="H373" s="6505"/>
      <c r="I373" s="6505"/>
      <c r="J373" s="6505"/>
      <c r="K373" s="6408"/>
      <c r="L373" s="6408"/>
      <c r="M373" s="6408"/>
      <c r="N373" s="6408"/>
      <c r="O373" s="6408"/>
      <c r="P373" s="6408"/>
      <c r="Q373" s="6408"/>
      <c r="R373" s="6408"/>
      <c r="S373" s="6408"/>
      <c r="T373" s="6408"/>
      <c r="U373" s="6410"/>
      <c r="V373" s="6410"/>
      <c r="W373" s="6410"/>
      <c r="X373" s="6410"/>
      <c r="Y373" s="6410"/>
    </row>
    <row r="374">
      <c r="A374" s="6418"/>
      <c r="B374" s="6422"/>
      <c r="C374" s="6422"/>
      <c r="D374" s="6596"/>
      <c r="E374" s="6422"/>
      <c r="F374" s="6422"/>
      <c r="G374" s="6563"/>
      <c r="H374" s="6422"/>
      <c r="I374" s="6422"/>
      <c r="J374" s="6564"/>
      <c r="K374" s="6408"/>
      <c r="L374" s="6408"/>
      <c r="M374" s="6408"/>
      <c r="N374" s="6408"/>
      <c r="O374" s="6408"/>
      <c r="P374" s="6408"/>
      <c r="Q374" s="6408"/>
      <c r="R374" s="6408"/>
      <c r="S374" s="6408"/>
      <c r="T374" s="6408"/>
      <c r="U374" s="6410"/>
      <c r="V374" s="6410"/>
      <c r="W374" s="6410"/>
      <c r="X374" s="6410"/>
      <c r="Y374" s="6410"/>
    </row>
    <row r="375">
      <c r="A375" s="6597" t="s">
        <v>7077</v>
      </c>
      <c r="B375" s="6597"/>
      <c r="C375" s="6597"/>
      <c r="D375" s="6597"/>
      <c r="E375" s="6597"/>
      <c r="F375" s="6597"/>
      <c r="G375" s="6597"/>
      <c r="H375" s="6597"/>
      <c r="I375" s="6597"/>
      <c r="J375" s="6597"/>
      <c r="K375" s="6597"/>
      <c r="L375" s="6408"/>
      <c r="M375" s="6408"/>
      <c r="N375" s="6408"/>
      <c r="O375" s="6408"/>
      <c r="P375" s="6408"/>
      <c r="Q375" s="6408"/>
      <c r="R375" s="6408"/>
      <c r="S375" s="6408"/>
      <c r="T375" s="6408"/>
      <c r="U375" s="6410"/>
      <c r="V375" s="6410"/>
      <c r="W375" s="6410"/>
      <c r="X375" s="6410"/>
      <c r="Y375" s="6410"/>
    </row>
    <row r="376">
      <c r="A376" s="6598" t="s">
        <v>6757</v>
      </c>
      <c r="B376" s="6599" t="s">
        <v>6758</v>
      </c>
      <c r="C376" s="6599"/>
      <c r="D376" s="6600" t="s">
        <v>6759</v>
      </c>
      <c r="E376" s="6600" t="s">
        <v>6760</v>
      </c>
      <c r="F376" s="6600" t="s">
        <v>6761</v>
      </c>
      <c r="G376" s="6601" t="s">
        <v>7078</v>
      </c>
      <c r="H376" s="6600" t="s">
        <v>6763</v>
      </c>
      <c r="I376" s="6600" t="s">
        <v>6764</v>
      </c>
      <c r="J376" s="6600"/>
      <c r="K376" s="6602" t="s">
        <v>7079</v>
      </c>
      <c r="L376" s="6408"/>
      <c r="M376" s="6408"/>
      <c r="N376" s="6408"/>
      <c r="O376" s="6408"/>
      <c r="P376" s="6408"/>
      <c r="Q376" s="6408"/>
      <c r="R376" s="6408"/>
      <c r="S376" s="6408"/>
      <c r="T376" s="6408"/>
      <c r="U376" s="6410"/>
      <c r="V376" s="6410"/>
      <c r="W376" s="6410"/>
      <c r="X376" s="6410"/>
      <c r="Y376" s="6410"/>
    </row>
    <row r="377">
      <c r="A377" s="6418" t="s">
        <v>7077</v>
      </c>
      <c r="B377" s="6418">
        <v>46209</v>
      </c>
      <c r="C377" s="6418" t="str">
        <v>Monday</v>
      </c>
      <c r="D377" s="6422" t="s">
        <v>7080</v>
      </c>
      <c r="E377" s="6422">
        <v>3</v>
      </c>
      <c r="F377" s="6422" t="s">
        <v>6780</v>
      </c>
      <c r="G377" s="6486" t="s">
        <v>7081</v>
      </c>
      <c r="H377" s="6422" t="s">
        <v>6810</v>
      </c>
      <c r="I377" s="6422" t="s">
        <v>6770</v>
      </c>
      <c r="J377" s="6422"/>
      <c r="K377" s="6603"/>
      <c r="L377" s="6408"/>
      <c r="M377" s="6408"/>
      <c r="N377" s="6408"/>
      <c r="O377" s="6408"/>
      <c r="P377" s="6408"/>
      <c r="Q377" s="6408"/>
      <c r="R377" s="6408"/>
      <c r="S377" s="6408"/>
      <c r="T377" s="6408"/>
      <c r="U377" s="6410"/>
      <c r="V377" s="6410"/>
      <c r="W377" s="6410"/>
      <c r="X377" s="6410"/>
      <c r="Y377" s="6410"/>
    </row>
    <row r="378">
      <c r="A378" s="6418" t="s">
        <v>7077</v>
      </c>
      <c r="B378" s="6418">
        <v>46215</v>
      </c>
      <c r="C378" s="6418" t="str">
        <v>Sunday</v>
      </c>
      <c r="D378" s="6422" t="s">
        <v>6830</v>
      </c>
      <c r="E378" s="6422">
        <v>3</v>
      </c>
      <c r="F378" s="6422" t="s">
        <v>6791</v>
      </c>
      <c r="G378" s="6486" t="s">
        <v>7081</v>
      </c>
      <c r="H378" s="6422" t="s">
        <v>6810</v>
      </c>
      <c r="I378" s="6422" t="s">
        <v>6770</v>
      </c>
      <c r="J378" s="6422"/>
      <c r="K378" s="6603"/>
      <c r="L378" s="6408"/>
      <c r="M378" s="6408"/>
      <c r="N378" s="6408"/>
      <c r="O378" s="6408"/>
      <c r="P378" s="6408"/>
      <c r="Q378" s="6408"/>
      <c r="R378" s="6408"/>
      <c r="S378" s="6408"/>
      <c r="T378" s="6408"/>
      <c r="U378" s="6410"/>
      <c r="V378" s="6410"/>
      <c r="W378" s="6410"/>
      <c r="X378" s="6410"/>
      <c r="Y378" s="6410"/>
    </row>
    <row r="379">
      <c r="A379" s="6604" t="s">
        <v>7082</v>
      </c>
      <c r="B379" s="6604"/>
      <c r="C379" s="6604"/>
      <c r="D379" s="6604"/>
      <c r="E379" s="6604"/>
      <c r="F379" s="6604"/>
      <c r="G379" s="6604"/>
      <c r="H379" s="6604"/>
      <c r="I379" s="6604"/>
      <c r="J379" s="6604"/>
      <c r="K379" s="6408"/>
      <c r="L379" s="6408"/>
      <c r="M379" s="6408"/>
      <c r="N379" s="6408"/>
      <c r="O379" s="6408"/>
      <c r="P379" s="6408"/>
      <c r="Q379" s="6408"/>
      <c r="R379" s="6408"/>
      <c r="S379" s="6408"/>
      <c r="T379" s="6408"/>
      <c r="U379" s="6410"/>
      <c r="V379" s="6410"/>
      <c r="W379" s="6410"/>
      <c r="X379" s="6410"/>
      <c r="Y379" s="6410"/>
    </row>
    <row r="380">
      <c r="A380" s="6605" t="s">
        <v>6757</v>
      </c>
      <c r="B380" s="6606" t="s">
        <v>6758</v>
      </c>
      <c r="C380" s="6606"/>
      <c r="D380" s="6607" t="s">
        <v>6759</v>
      </c>
      <c r="E380" s="6607" t="s">
        <v>6760</v>
      </c>
      <c r="F380" s="6607" t="s">
        <v>6761</v>
      </c>
      <c r="G380" s="6608" t="s">
        <v>6777</v>
      </c>
      <c r="H380" s="6607" t="s">
        <v>6763</v>
      </c>
      <c r="I380" s="6607" t="s">
        <v>6764</v>
      </c>
      <c r="J380" s="6607" t="s">
        <v>6765</v>
      </c>
      <c r="K380" s="6408"/>
      <c r="L380" s="6408"/>
      <c r="M380" s="6408"/>
      <c r="N380" s="6408"/>
      <c r="O380" s="6408"/>
      <c r="P380" s="6408"/>
      <c r="Q380" s="6408"/>
      <c r="R380" s="6408"/>
      <c r="S380" s="6408"/>
      <c r="T380" s="6408"/>
      <c r="U380" s="6410"/>
      <c r="V380" s="6410"/>
      <c r="W380" s="6410"/>
      <c r="X380" s="6410"/>
      <c r="Y380" s="6410"/>
    </row>
    <row r="381">
      <c r="A381" s="6418" t="s">
        <v>7083</v>
      </c>
      <c r="B381" s="6418">
        <v>46210</v>
      </c>
      <c r="C381" s="6418" t="str">
        <v>Tuesday</v>
      </c>
      <c r="D381" s="6419" t="s">
        <v>6828</v>
      </c>
      <c r="E381" s="6422">
        <f t="shared" ref="E381:E392" si="66">24*MOD(TIMEVALUE(TRIM(MID(D381,FIND("-",D381)+1,LEN(D381)))) - TIMEVALUE(TRIM(LEFT(D381,FIND("-",D381)-1))),1)</f>
      </c>
      <c r="F381" s="6419" t="s">
        <v>7084</v>
      </c>
      <c r="G381" s="6486" t="s">
        <v>7085</v>
      </c>
      <c r="H381" s="6422" t="s">
        <v>6769</v>
      </c>
      <c r="I381" s="6419" t="s">
        <v>6770</v>
      </c>
      <c r="J381" s="6422"/>
      <c r="K381" s="6408"/>
      <c r="L381" s="6408"/>
      <c r="M381" s="6408"/>
      <c r="N381" s="6408"/>
      <c r="O381" s="6408"/>
      <c r="P381" s="6408"/>
      <c r="Q381" s="6408"/>
      <c r="R381" s="6408"/>
      <c r="S381" s="6408"/>
      <c r="T381" s="6408"/>
      <c r="U381" s="6410"/>
      <c r="V381" s="6410"/>
      <c r="W381" s="6410"/>
      <c r="X381" s="6410"/>
      <c r="Y381" s="6410"/>
    </row>
    <row r="382">
      <c r="A382" s="6609" t="s">
        <v>7083</v>
      </c>
      <c r="B382" s="6609">
        <v>46211</v>
      </c>
      <c r="C382" s="6609" t="str">
        <v>Wednesday</v>
      </c>
      <c r="D382" s="6610" t="s">
        <v>6852</v>
      </c>
      <c r="E382" s="6610">
        <f t="shared" si="66"/>
      </c>
      <c r="F382" s="6610" t="s">
        <v>7084</v>
      </c>
      <c r="G382" s="6611" t="s">
        <v>6947</v>
      </c>
      <c r="H382" s="6610" t="s">
        <v>6769</v>
      </c>
      <c r="I382" s="6419" t="s">
        <v>6770</v>
      </c>
      <c r="J382" s="6610"/>
      <c r="K382" s="6612"/>
      <c r="L382" s="6612"/>
      <c r="M382" s="6612"/>
      <c r="N382" s="6612"/>
      <c r="O382" s="6612"/>
      <c r="P382" s="6612"/>
      <c r="Q382" s="6612"/>
      <c r="R382" s="6612"/>
      <c r="S382" s="6612"/>
      <c r="T382" s="6612"/>
      <c r="U382" s="6613"/>
      <c r="V382" s="6613"/>
      <c r="W382" s="6613"/>
      <c r="X382" s="6613"/>
      <c r="Y382" s="6613"/>
    </row>
    <row r="383">
      <c r="A383" s="6418" t="s">
        <v>7083</v>
      </c>
      <c r="B383" s="6418">
        <v>46212</v>
      </c>
      <c r="C383" s="6418" t="str">
        <v>Thursday</v>
      </c>
      <c r="D383" s="6419" t="s">
        <v>6828</v>
      </c>
      <c r="E383" s="6422">
        <f t="shared" si="66"/>
      </c>
      <c r="F383" s="6419" t="s">
        <v>7084</v>
      </c>
      <c r="G383" s="6486" t="s">
        <v>7086</v>
      </c>
      <c r="H383" s="6422" t="s">
        <v>6769</v>
      </c>
      <c r="I383" s="6419" t="s">
        <v>6770</v>
      </c>
      <c r="J383" s="6422"/>
      <c r="K383" s="6408"/>
      <c r="L383" s="6408"/>
      <c r="M383" s="6408"/>
      <c r="N383" s="6408"/>
      <c r="O383" s="6408"/>
      <c r="P383" s="6408"/>
      <c r="Q383" s="6408"/>
      <c r="R383" s="6408"/>
      <c r="S383" s="6408"/>
      <c r="T383" s="6408"/>
      <c r="U383" s="6410"/>
      <c r="V383" s="6410"/>
      <c r="W383" s="6410"/>
      <c r="X383" s="6410"/>
      <c r="Y383" s="6410"/>
    </row>
    <row r="384">
      <c r="A384" s="6609" t="s">
        <v>7083</v>
      </c>
      <c r="B384" s="6609">
        <v>46213</v>
      </c>
      <c r="C384" s="6609" t="str">
        <v>Friday</v>
      </c>
      <c r="D384" s="6610" t="s">
        <v>6836</v>
      </c>
      <c r="E384" s="6610">
        <f t="shared" si="66"/>
      </c>
      <c r="F384" s="6610" t="s">
        <v>7073</v>
      </c>
      <c r="G384" s="6611" t="s">
        <v>7087</v>
      </c>
      <c r="H384" s="6610" t="s">
        <v>6769</v>
      </c>
      <c r="I384" s="6419" t="s">
        <v>6770</v>
      </c>
      <c r="J384" s="6610"/>
      <c r="K384" s="6612"/>
      <c r="L384" s="6612"/>
      <c r="M384" s="6612"/>
      <c r="N384" s="6612"/>
      <c r="O384" s="6612"/>
      <c r="P384" s="6612"/>
      <c r="Q384" s="6612"/>
      <c r="R384" s="6612"/>
      <c r="S384" s="6612"/>
      <c r="T384" s="6612"/>
      <c r="U384" s="6410"/>
      <c r="V384" s="6410"/>
      <c r="W384" s="6410"/>
      <c r="X384" s="6410"/>
      <c r="Y384" s="6410"/>
    </row>
    <row r="385">
      <c r="A385" s="6418" t="s">
        <v>7083</v>
      </c>
      <c r="B385" s="6418">
        <v>46214</v>
      </c>
      <c r="C385" s="6418" t="str">
        <v>Saturday</v>
      </c>
      <c r="D385" s="6557" t="s">
        <v>6836</v>
      </c>
      <c r="E385" s="6557">
        <f t="shared" si="66"/>
      </c>
      <c r="F385" s="6557" t="s">
        <v>7088</v>
      </c>
      <c r="G385" s="6614" t="s">
        <v>7089</v>
      </c>
      <c r="H385" s="6557" t="s">
        <v>6769</v>
      </c>
      <c r="I385" s="6419" t="s">
        <v>6770</v>
      </c>
      <c r="J385" s="6557"/>
      <c r="K385" s="6549"/>
      <c r="L385" s="6549"/>
      <c r="M385" s="6549"/>
      <c r="N385" s="6549"/>
      <c r="O385" s="6549"/>
      <c r="P385" s="6549"/>
      <c r="Q385" s="6549"/>
      <c r="R385" s="6549"/>
      <c r="S385" s="6549"/>
      <c r="T385" s="6549"/>
      <c r="U385" s="6410"/>
      <c r="V385" s="6410"/>
      <c r="W385" s="6410"/>
      <c r="X385" s="6410"/>
      <c r="Y385" s="6410"/>
    </row>
    <row r="386">
      <c r="A386" s="6609" t="s">
        <v>7083</v>
      </c>
      <c r="B386" s="6609">
        <v>46215</v>
      </c>
      <c r="C386" s="6609" t="str">
        <v>Sunday</v>
      </c>
      <c r="D386" s="6615" t="s">
        <v>7090</v>
      </c>
      <c r="E386" s="6615">
        <f t="shared" si="66"/>
      </c>
      <c r="F386" s="6615" t="s">
        <v>7048</v>
      </c>
      <c r="G386" s="6616" t="s">
        <v>6947</v>
      </c>
      <c r="H386" s="6615" t="s">
        <v>6769</v>
      </c>
      <c r="I386" s="6610" t="s">
        <v>6770</v>
      </c>
      <c r="J386" s="6615"/>
      <c r="K386" s="6617"/>
      <c r="L386" s="6617"/>
      <c r="M386" s="6617"/>
      <c r="N386" s="6617"/>
      <c r="O386" s="6617"/>
      <c r="P386" s="6617"/>
      <c r="Q386" s="6617"/>
      <c r="R386" s="6617"/>
      <c r="S386" s="6617"/>
      <c r="T386" s="6617"/>
      <c r="U386" s="6613"/>
      <c r="V386" s="6613"/>
      <c r="W386" s="6613"/>
      <c r="X386" s="6613"/>
      <c r="Y386" s="6613"/>
    </row>
    <row r="387">
      <c r="A387" s="6418" t="s">
        <v>7091</v>
      </c>
      <c r="B387" s="6418">
        <v>46210</v>
      </c>
      <c r="C387" s="6418" t="str">
        <v>Tuesday</v>
      </c>
      <c r="D387" s="6419" t="s">
        <v>6828</v>
      </c>
      <c r="E387" s="6422">
        <f t="shared" si="66"/>
      </c>
      <c r="F387" s="6419" t="s">
        <v>7092</v>
      </c>
      <c r="G387" s="6431"/>
      <c r="H387" s="6422" t="s">
        <v>6769</v>
      </c>
      <c r="I387" s="6419" t="s">
        <v>6770</v>
      </c>
      <c r="J387" s="6419"/>
      <c r="K387" s="6408"/>
      <c r="L387" s="6408"/>
      <c r="M387" s="6408"/>
      <c r="N387" s="6408"/>
      <c r="O387" s="6408"/>
      <c r="P387" s="6408"/>
      <c r="Q387" s="6408"/>
      <c r="R387" s="6408"/>
      <c r="S387" s="6408"/>
      <c r="T387" s="6408"/>
      <c r="U387" s="6410"/>
      <c r="V387" s="6410"/>
      <c r="W387" s="6410"/>
      <c r="X387" s="6410"/>
      <c r="Y387" s="6410"/>
    </row>
    <row r="388">
      <c r="A388" s="6418" t="s">
        <v>7091</v>
      </c>
      <c r="B388" s="6418">
        <v>46211</v>
      </c>
      <c r="C388" s="6418" t="str">
        <v>Wednesday</v>
      </c>
      <c r="D388" s="6419" t="s">
        <v>7093</v>
      </c>
      <c r="E388" s="6422">
        <f t="shared" si="66"/>
      </c>
      <c r="F388" s="6419"/>
      <c r="G388" s="6431"/>
      <c r="H388" s="6422" t="s">
        <v>6769</v>
      </c>
      <c r="I388" s="6419" t="s">
        <v>6857</v>
      </c>
      <c r="J388" s="6419"/>
      <c r="K388" s="6408"/>
      <c r="L388" s="6408"/>
      <c r="M388" s="6408"/>
      <c r="N388" s="6408"/>
      <c r="O388" s="6408"/>
      <c r="P388" s="6408"/>
      <c r="Q388" s="6408"/>
      <c r="R388" s="6408"/>
      <c r="S388" s="6408"/>
      <c r="T388" s="6408"/>
      <c r="U388" s="6410"/>
      <c r="V388" s="6410"/>
      <c r="W388" s="6410"/>
      <c r="X388" s="6410"/>
      <c r="Y388" s="6410"/>
    </row>
    <row r="389">
      <c r="A389" s="6418" t="s">
        <v>7091</v>
      </c>
      <c r="B389" s="6418">
        <v>46212</v>
      </c>
      <c r="C389" s="6418" t="str">
        <v>Thursday</v>
      </c>
      <c r="D389" s="6419" t="s">
        <v>7094</v>
      </c>
      <c r="E389" s="6422">
        <f t="shared" si="66"/>
      </c>
      <c r="F389" s="6419"/>
      <c r="G389" s="6431"/>
      <c r="H389" s="6422" t="s">
        <v>6769</v>
      </c>
      <c r="I389" s="6419" t="s">
        <v>6857</v>
      </c>
      <c r="J389" s="6419"/>
      <c r="K389" s="6408"/>
      <c r="L389" s="6408"/>
      <c r="M389" s="6408"/>
      <c r="N389" s="6408"/>
      <c r="O389" s="6408"/>
      <c r="P389" s="6408"/>
      <c r="Q389" s="6408"/>
      <c r="R389" s="6408"/>
      <c r="S389" s="6408"/>
      <c r="T389" s="6408"/>
      <c r="U389" s="6410"/>
      <c r="V389" s="6410"/>
      <c r="W389" s="6410"/>
      <c r="X389" s="6410"/>
      <c r="Y389" s="6410"/>
    </row>
    <row r="390">
      <c r="A390" s="6418" t="s">
        <v>7091</v>
      </c>
      <c r="B390" s="6418">
        <v>46213</v>
      </c>
      <c r="C390" s="6418" t="str">
        <v>Friday</v>
      </c>
      <c r="D390" s="6419" t="s">
        <v>7093</v>
      </c>
      <c r="E390" s="6422">
        <f t="shared" si="66"/>
      </c>
      <c r="F390" s="6419" t="s">
        <v>7076</v>
      </c>
      <c r="G390" s="6431"/>
      <c r="H390" s="6422" t="s">
        <v>6769</v>
      </c>
      <c r="I390" s="6419" t="s">
        <v>6770</v>
      </c>
      <c r="J390" s="6419"/>
      <c r="K390" s="6408"/>
      <c r="L390" s="6408"/>
      <c r="M390" s="6408"/>
      <c r="N390" s="6408"/>
      <c r="O390" s="6408"/>
      <c r="P390" s="6408"/>
      <c r="Q390" s="6408"/>
      <c r="R390" s="6408"/>
      <c r="S390" s="6408"/>
      <c r="T390" s="6408"/>
      <c r="U390" s="6410"/>
      <c r="V390" s="6410"/>
      <c r="W390" s="6410"/>
      <c r="X390" s="6410"/>
      <c r="Y390" s="6410"/>
    </row>
    <row r="391">
      <c r="A391" s="6418" t="s">
        <v>7091</v>
      </c>
      <c r="B391" s="6418">
        <v>46214</v>
      </c>
      <c r="C391" s="6418" t="str">
        <v>Saturday</v>
      </c>
      <c r="D391" s="6419" t="s">
        <v>7095</v>
      </c>
      <c r="E391" s="6422">
        <f t="shared" si="66"/>
      </c>
      <c r="F391" s="6419" t="s">
        <v>7096</v>
      </c>
      <c r="G391" s="6431"/>
      <c r="H391" s="6422" t="s">
        <v>6769</v>
      </c>
      <c r="I391" s="6419" t="s">
        <v>6770</v>
      </c>
      <c r="J391" s="6419"/>
      <c r="K391" s="6408"/>
      <c r="L391" s="6408"/>
      <c r="M391" s="6408"/>
      <c r="N391" s="6408"/>
      <c r="O391" s="6408"/>
      <c r="P391" s="6408"/>
      <c r="Q391" s="6408"/>
      <c r="R391" s="6408"/>
      <c r="S391" s="6408"/>
      <c r="T391" s="6408"/>
      <c r="U391" s="6410"/>
      <c r="V391" s="6410"/>
      <c r="W391" s="6410"/>
      <c r="X391" s="6410"/>
      <c r="Y391" s="6410"/>
    </row>
    <row r="392">
      <c r="A392" s="6418" t="s">
        <v>7091</v>
      </c>
      <c r="B392" s="6418">
        <v>46215</v>
      </c>
      <c r="C392" s="6418" t="str">
        <v>Sunday</v>
      </c>
      <c r="D392" s="6419" t="s">
        <v>7093</v>
      </c>
      <c r="E392" s="6422">
        <f t="shared" si="66"/>
      </c>
      <c r="F392" s="6419"/>
      <c r="G392" s="6431"/>
      <c r="H392" s="6422" t="s">
        <v>6769</v>
      </c>
      <c r="I392" s="6419" t="s">
        <v>6857</v>
      </c>
      <c r="J392" s="6419"/>
      <c r="K392" s="6409"/>
      <c r="L392" s="6409"/>
      <c r="M392" s="6409"/>
      <c r="N392" s="6409"/>
      <c r="O392" s="6409"/>
      <c r="P392" s="6409"/>
      <c r="Q392" s="6409"/>
      <c r="R392" s="6409"/>
      <c r="S392" s="6409"/>
      <c r="T392" s="6409"/>
      <c r="U392" s="6410"/>
      <c r="V392" s="6410"/>
      <c r="W392" s="6410"/>
      <c r="X392" s="6410"/>
      <c r="Y392" s="6410"/>
    </row>
    <row r="393">
      <c r="A393" s="6410"/>
      <c r="B393" s="6410"/>
      <c r="C393" s="6410"/>
      <c r="D393" s="6410"/>
      <c r="E393" s="6410"/>
      <c r="F393" s="6410"/>
      <c r="G393" s="6410"/>
      <c r="H393" s="6507"/>
      <c r="I393" s="6410"/>
      <c r="J393" s="6410"/>
      <c r="K393" s="6409"/>
      <c r="L393" s="6409"/>
      <c r="M393" s="6409"/>
      <c r="N393" s="6409"/>
      <c r="O393" s="6409"/>
      <c r="P393" s="6409"/>
      <c r="Q393" s="6409"/>
      <c r="R393" s="6409"/>
      <c r="S393" s="6409"/>
      <c r="T393" s="6409"/>
      <c r="U393" s="6410"/>
      <c r="V393" s="6410"/>
      <c r="W393" s="6410"/>
      <c r="X393" s="6410"/>
      <c r="Y393" s="6410"/>
    </row>
    <row r="394">
      <c r="A394" s="6618" t="s">
        <v>7097</v>
      </c>
      <c r="B394" s="6618"/>
      <c r="C394" s="6618"/>
      <c r="D394" s="6618"/>
      <c r="E394" s="6618"/>
      <c r="F394" s="6618"/>
      <c r="G394" s="6618"/>
      <c r="H394" s="6618"/>
      <c r="I394" s="6618"/>
      <c r="J394" s="6618"/>
      <c r="K394" s="6619"/>
      <c r="L394" s="6619"/>
      <c r="M394" s="6619"/>
      <c r="N394" s="6619"/>
      <c r="O394" s="6619"/>
      <c r="P394" s="6619"/>
      <c r="Q394" s="6619"/>
      <c r="R394" s="6619"/>
      <c r="S394" s="6619"/>
      <c r="T394" s="6619"/>
      <c r="U394" s="6410"/>
      <c r="V394" s="6410"/>
      <c r="W394" s="6410"/>
      <c r="X394" s="6410"/>
      <c r="Y394" s="6410"/>
    </row>
    <row r="395">
      <c r="A395" s="6620" t="s">
        <v>6757</v>
      </c>
      <c r="B395" s="6621" t="s">
        <v>6758</v>
      </c>
      <c r="C395" s="6621"/>
      <c r="D395" s="6622" t="s">
        <v>6759</v>
      </c>
      <c r="E395" s="6622" t="s">
        <v>6760</v>
      </c>
      <c r="F395" s="6622" t="s">
        <v>6761</v>
      </c>
      <c r="G395" s="6623" t="s">
        <v>6777</v>
      </c>
      <c r="H395" s="6622" t="s">
        <v>6763</v>
      </c>
      <c r="I395" s="6622" t="s">
        <v>6764</v>
      </c>
      <c r="J395" s="6622" t="s">
        <v>6765</v>
      </c>
      <c r="K395" s="6619"/>
      <c r="L395" s="6619"/>
      <c r="M395" s="6619"/>
      <c r="N395" s="6619"/>
      <c r="O395" s="6619"/>
      <c r="P395" s="6619"/>
      <c r="Q395" s="6619"/>
      <c r="R395" s="6619"/>
      <c r="S395" s="6619"/>
      <c r="T395" s="6619"/>
      <c r="U395" s="6410"/>
      <c r="V395" s="6410"/>
      <c r="W395" s="6410"/>
      <c r="X395" s="6410"/>
      <c r="Y395" s="6410"/>
    </row>
    <row r="396">
      <c r="A396" s="6473" t="s">
        <v>7098</v>
      </c>
      <c r="B396" s="6473">
        <v>46211</v>
      </c>
      <c r="C396" s="6473" t="str">
        <v>Wednesday</v>
      </c>
      <c r="D396" s="6447" t="s">
        <v>6861</v>
      </c>
      <c r="E396" s="6447">
        <f>24*MOD(TIMEVALUE(TRIM(MID(D396,FIND("-",D396)+1,LEN(D396)))) - TIMEVALUE(TRIM(LEFT(D396,FIND("-",D396)-1))),1)</f>
      </c>
      <c r="F396" s="6447" t="s">
        <v>6819</v>
      </c>
      <c r="G396" s="6504"/>
      <c r="H396" s="6447" t="s">
        <v>7099</v>
      </c>
      <c r="I396" s="6447" t="s">
        <v>6770</v>
      </c>
      <c r="J396" s="6447" t="s">
        <v>7100</v>
      </c>
      <c r="K396" s="6477"/>
      <c r="L396" s="6477"/>
      <c r="M396" s="6477"/>
      <c r="N396" s="6477"/>
      <c r="O396" s="6477"/>
      <c r="P396" s="6477"/>
      <c r="Q396" s="6477"/>
      <c r="R396" s="6477"/>
      <c r="S396" s="6477"/>
      <c r="T396" s="6477"/>
      <c r="U396" s="6477"/>
      <c r="V396" s="6477"/>
      <c r="W396" s="6477"/>
      <c r="X396" s="6477"/>
      <c r="Y396" s="6477"/>
    </row>
    <row r="397">
      <c r="A397" s="6410"/>
      <c r="B397" s="6410"/>
      <c r="C397" s="6410"/>
      <c r="D397" s="6410"/>
      <c r="E397" s="6410"/>
      <c r="F397" s="6410"/>
      <c r="G397" s="6410"/>
      <c r="H397" s="6507"/>
      <c r="I397" s="6410"/>
      <c r="J397" s="6410"/>
      <c r="K397" s="6409"/>
      <c r="L397" s="6409"/>
      <c r="M397" s="6409"/>
      <c r="N397" s="6409"/>
      <c r="O397" s="6409"/>
      <c r="P397" s="6409"/>
      <c r="Q397" s="6409"/>
      <c r="R397" s="6409"/>
      <c r="S397" s="6409"/>
      <c r="T397" s="6409"/>
      <c r="U397" s="6410"/>
      <c r="V397" s="6410"/>
      <c r="W397" s="6410"/>
      <c r="X397" s="6410"/>
      <c r="Y397" s="6410"/>
    </row>
    <row r="398">
      <c r="A398" s="6624" t="s">
        <v>7101</v>
      </c>
      <c r="B398" s="6624"/>
      <c r="C398" s="6624"/>
      <c r="D398" s="6624"/>
      <c r="E398" s="6624"/>
      <c r="F398" s="6624"/>
      <c r="G398" s="6624"/>
      <c r="H398" s="6624"/>
      <c r="I398" s="6624"/>
      <c r="J398" s="6624"/>
      <c r="K398" s="6408"/>
      <c r="L398" s="6408"/>
      <c r="M398" s="6408"/>
      <c r="N398" s="6408"/>
      <c r="O398" s="6408"/>
      <c r="P398" s="6408"/>
      <c r="Q398" s="6408"/>
      <c r="R398" s="6408"/>
      <c r="S398" s="6408"/>
      <c r="T398" s="6408"/>
      <c r="U398" s="6410"/>
      <c r="V398" s="6410"/>
      <c r="W398" s="6410"/>
      <c r="X398" s="6410"/>
      <c r="Y398" s="6410"/>
    </row>
    <row r="399">
      <c r="A399" s="6625" t="s">
        <v>6757</v>
      </c>
      <c r="B399" s="6626" t="s">
        <v>6758</v>
      </c>
      <c r="C399" s="6626"/>
      <c r="D399" s="6627" t="s">
        <v>6759</v>
      </c>
      <c r="E399" s="6627" t="s">
        <v>6760</v>
      </c>
      <c r="F399" s="6627" t="s">
        <v>6761</v>
      </c>
      <c r="G399" s="6628" t="s">
        <v>6777</v>
      </c>
      <c r="H399" s="6627" t="s">
        <v>6763</v>
      </c>
      <c r="I399" s="6627" t="s">
        <v>6764</v>
      </c>
      <c r="J399" s="6627" t="s">
        <v>6765</v>
      </c>
      <c r="K399" s="6408"/>
      <c r="L399" s="6408"/>
      <c r="M399" s="6408"/>
      <c r="N399" s="6408"/>
      <c r="O399" s="6408"/>
      <c r="P399" s="6408"/>
      <c r="Q399" s="6408"/>
      <c r="R399" s="6408"/>
      <c r="S399" s="6408"/>
      <c r="T399" s="6408"/>
      <c r="U399" s="6410"/>
      <c r="V399" s="6410"/>
      <c r="W399" s="6410"/>
      <c r="X399" s="6410"/>
      <c r="Y399" s="6410"/>
    </row>
    <row r="400">
      <c r="A400" s="6546" t="s">
        <v>7102</v>
      </c>
      <c r="B400" s="6546">
        <v>46210</v>
      </c>
      <c r="C400" s="6546" t="str">
        <v>Tuesday</v>
      </c>
      <c r="D400" s="6547" t="s">
        <v>6785</v>
      </c>
      <c r="E400" s="6547">
        <f t="shared" ref="E400:E404" si="67">24*MOD(TIMEVALUE(TRIM(MID(D400,FIND("-",D400)+1,LEN(D400)))) - TIMEVALUE(TRIM(LEFT(D400,FIND("-",D400)-1))),1)</f>
      </c>
      <c r="F400" s="6547" t="s">
        <v>7103</v>
      </c>
      <c r="G400" s="6548" t="s">
        <v>7104</v>
      </c>
      <c r="H400" s="6547" t="s">
        <v>6769</v>
      </c>
      <c r="I400" s="6547" t="s">
        <v>6770</v>
      </c>
      <c r="J400" s="6547"/>
      <c r="K400" s="6552"/>
      <c r="L400" s="6552"/>
      <c r="M400" s="6552"/>
      <c r="N400" s="6552"/>
      <c r="O400" s="6552"/>
      <c r="P400" s="6552"/>
      <c r="Q400" s="6552"/>
      <c r="R400" s="6552"/>
      <c r="S400" s="6552"/>
      <c r="T400" s="6552"/>
      <c r="U400" s="6410"/>
      <c r="V400" s="6410"/>
      <c r="W400" s="6410"/>
      <c r="X400" s="6410"/>
      <c r="Y400" s="6410"/>
    </row>
    <row r="401">
      <c r="A401" s="6546" t="s">
        <v>7102</v>
      </c>
      <c r="B401" s="6546">
        <v>46211</v>
      </c>
      <c r="C401" s="6546" t="str">
        <v>Wednesday</v>
      </c>
      <c r="D401" s="6547" t="s">
        <v>6785</v>
      </c>
      <c r="E401" s="6547">
        <f t="shared" si="67"/>
      </c>
      <c r="F401" s="6547" t="s">
        <v>7103</v>
      </c>
      <c r="G401" s="6548" t="s">
        <v>7104</v>
      </c>
      <c r="H401" s="6547" t="s">
        <v>6769</v>
      </c>
      <c r="I401" s="6547" t="s">
        <v>6770</v>
      </c>
      <c r="J401" s="6547"/>
      <c r="K401" s="6552"/>
      <c r="L401" s="6552"/>
      <c r="M401" s="6552"/>
      <c r="N401" s="6552"/>
      <c r="O401" s="6552"/>
      <c r="P401" s="6552"/>
      <c r="Q401" s="6552"/>
      <c r="R401" s="6552"/>
      <c r="S401" s="6552"/>
      <c r="T401" s="6552"/>
      <c r="U401" s="6410"/>
      <c r="V401" s="6410"/>
      <c r="W401" s="6410"/>
      <c r="X401" s="6410"/>
      <c r="Y401" s="6410"/>
    </row>
    <row r="402">
      <c r="A402" s="6546" t="s">
        <v>7102</v>
      </c>
      <c r="B402" s="6546">
        <v>46212</v>
      </c>
      <c r="C402" s="6546" t="str">
        <v>Thursday</v>
      </c>
      <c r="D402" s="6547" t="s">
        <v>6785</v>
      </c>
      <c r="E402" s="6547">
        <f t="shared" si="67"/>
      </c>
      <c r="F402" s="6547" t="s">
        <v>7103</v>
      </c>
      <c r="G402" s="6548" t="s">
        <v>7089</v>
      </c>
      <c r="H402" s="6547" t="s">
        <v>6769</v>
      </c>
      <c r="I402" s="6547" t="s">
        <v>6770</v>
      </c>
      <c r="J402" s="6547"/>
      <c r="K402" s="6552"/>
      <c r="L402" s="6552"/>
      <c r="M402" s="6552"/>
      <c r="N402" s="6552"/>
      <c r="O402" s="6552"/>
      <c r="P402" s="6552"/>
      <c r="Q402" s="6552"/>
      <c r="R402" s="6552"/>
      <c r="S402" s="6552"/>
      <c r="T402" s="6552"/>
      <c r="U402" s="6410"/>
      <c r="V402" s="6410"/>
      <c r="W402" s="6410"/>
      <c r="X402" s="6410"/>
      <c r="Y402" s="6410"/>
    </row>
    <row r="403">
      <c r="A403" s="6629" t="s">
        <v>7102</v>
      </c>
      <c r="B403" s="6629">
        <v>46213</v>
      </c>
      <c r="C403" s="6629" t="str">
        <v>Friday</v>
      </c>
      <c r="D403" s="6630" t="s">
        <v>6785</v>
      </c>
      <c r="E403" s="6630">
        <f t="shared" si="67"/>
      </c>
      <c r="F403" s="6630" t="s">
        <v>7103</v>
      </c>
      <c r="G403" s="6631"/>
      <c r="H403" s="6630" t="s">
        <v>6769</v>
      </c>
      <c r="I403" s="6630" t="s">
        <v>6770</v>
      </c>
      <c r="J403" s="6630" t="s">
        <v>7105</v>
      </c>
      <c r="K403" s="6632"/>
      <c r="L403" s="6632"/>
      <c r="M403" s="6632"/>
      <c r="N403" s="6632"/>
      <c r="O403" s="6632"/>
      <c r="P403" s="6632"/>
      <c r="Q403" s="6632"/>
      <c r="R403" s="6632"/>
      <c r="S403" s="6632"/>
      <c r="T403" s="6632"/>
      <c r="U403" s="6633"/>
      <c r="V403" s="6633"/>
      <c r="W403" s="6633"/>
      <c r="X403" s="6633"/>
      <c r="Y403" s="6633"/>
    </row>
    <row r="404">
      <c r="A404" s="6546" t="s">
        <v>7102</v>
      </c>
      <c r="B404" s="6546">
        <v>46214</v>
      </c>
      <c r="C404" s="6546" t="str">
        <v>Saturday</v>
      </c>
      <c r="D404" s="6547" t="s">
        <v>7106</v>
      </c>
      <c r="E404" s="6547">
        <f t="shared" si="67"/>
      </c>
      <c r="F404" s="6547" t="s">
        <v>7088</v>
      </c>
      <c r="G404" s="6548"/>
      <c r="H404" s="6547" t="s">
        <v>6769</v>
      </c>
      <c r="I404" s="6547" t="s">
        <v>6770</v>
      </c>
      <c r="J404" s="6547"/>
      <c r="K404" s="6552"/>
      <c r="L404" s="6552"/>
      <c r="M404" s="6552"/>
      <c r="N404" s="6552"/>
      <c r="O404" s="6552"/>
      <c r="P404" s="6552"/>
      <c r="Q404" s="6552"/>
      <c r="R404" s="6552"/>
      <c r="S404" s="6552"/>
      <c r="T404" s="6552"/>
      <c r="U404" s="6410"/>
      <c r="V404" s="6410"/>
      <c r="W404" s="6410"/>
      <c r="X404" s="6410"/>
      <c r="Y404" s="6410"/>
    </row>
    <row r="405">
      <c r="A405" s="6418"/>
      <c r="B405" s="6418"/>
      <c r="C405" s="6418"/>
      <c r="D405" s="6422"/>
      <c r="E405" s="6422"/>
      <c r="F405" s="6422"/>
      <c r="G405" s="6486"/>
      <c r="H405" s="6419"/>
      <c r="I405" s="6419"/>
      <c r="J405" s="6422"/>
      <c r="K405" s="6408"/>
      <c r="L405" s="6408"/>
      <c r="M405" s="6408"/>
      <c r="N405" s="6408"/>
      <c r="O405" s="6408"/>
      <c r="P405" s="6408"/>
      <c r="Q405" s="6408"/>
      <c r="R405" s="6408"/>
      <c r="S405" s="6408"/>
      <c r="T405" s="6408"/>
      <c r="U405" s="6410"/>
      <c r="V405" s="6410"/>
      <c r="W405" s="6410"/>
      <c r="X405" s="6410"/>
      <c r="Y405" s="6410"/>
    </row>
    <row r="406">
      <c r="A406" s="6546" t="s">
        <v>7107</v>
      </c>
      <c r="B406" s="6546">
        <v>46210</v>
      </c>
      <c r="C406" s="6546" t="str">
        <v>Tuesday</v>
      </c>
      <c r="D406" s="6547" t="s">
        <v>7108</v>
      </c>
      <c r="E406" s="6547">
        <f t="shared" ref="E406:E409" si="68">24*MOD(TIMEVALUE(TRIM(MID(D406,FIND("-",D406)+1,LEN(D406)))) - TIMEVALUE(TRIM(LEFT(D406,FIND("-",D406)-1))),1)</f>
      </c>
      <c r="F406" s="6547" t="s">
        <v>7092</v>
      </c>
      <c r="G406" s="6548"/>
      <c r="H406" s="6547" t="s">
        <v>6769</v>
      </c>
      <c r="I406" s="6419" t="s">
        <v>6770</v>
      </c>
      <c r="J406" s="6547"/>
      <c r="K406" s="6552"/>
      <c r="L406" s="6552"/>
      <c r="M406" s="6552"/>
      <c r="N406" s="6552"/>
      <c r="O406" s="6552"/>
      <c r="P406" s="6552"/>
      <c r="Q406" s="6552"/>
      <c r="R406" s="6552"/>
      <c r="S406" s="6552"/>
      <c r="T406" s="6552"/>
      <c r="U406" s="6410"/>
      <c r="V406" s="6410"/>
      <c r="W406" s="6410"/>
      <c r="X406" s="6410"/>
      <c r="Y406" s="6410"/>
    </row>
    <row r="407">
      <c r="A407" s="6546" t="s">
        <v>7107</v>
      </c>
      <c r="B407" s="6546">
        <v>46211</v>
      </c>
      <c r="C407" s="6546" t="str">
        <v>Wednesday</v>
      </c>
      <c r="D407" s="6547" t="s">
        <v>7108</v>
      </c>
      <c r="E407" s="6547">
        <f t="shared" si="68"/>
      </c>
      <c r="F407" s="6547" t="s">
        <v>7092</v>
      </c>
      <c r="G407" s="6548"/>
      <c r="H407" s="6547" t="s">
        <v>6769</v>
      </c>
      <c r="I407" s="6419" t="s">
        <v>6770</v>
      </c>
      <c r="J407" s="6547"/>
      <c r="K407" s="6552"/>
      <c r="L407" s="6552"/>
      <c r="M407" s="6552"/>
      <c r="N407" s="6552"/>
      <c r="O407" s="6552"/>
      <c r="P407" s="6552"/>
      <c r="Q407" s="6552"/>
      <c r="R407" s="6552"/>
      <c r="S407" s="6552"/>
      <c r="T407" s="6552"/>
      <c r="U407" s="6410"/>
      <c r="V407" s="6410"/>
      <c r="W407" s="6410"/>
      <c r="X407" s="6410"/>
      <c r="Y407" s="6410"/>
    </row>
    <row r="408">
      <c r="A408" s="6546" t="s">
        <v>7107</v>
      </c>
      <c r="B408" s="6546">
        <v>46212</v>
      </c>
      <c r="C408" s="6546" t="str">
        <v>Thursday</v>
      </c>
      <c r="D408" s="6547" t="s">
        <v>7109</v>
      </c>
      <c r="E408" s="6547">
        <f t="shared" si="68"/>
      </c>
      <c r="F408" s="6547" t="s">
        <v>7096</v>
      </c>
      <c r="G408" s="6548"/>
      <c r="H408" s="6547" t="s">
        <v>6769</v>
      </c>
      <c r="I408" s="6547" t="s">
        <v>6857</v>
      </c>
      <c r="J408" s="6547"/>
      <c r="K408" s="6552"/>
      <c r="L408" s="6552"/>
      <c r="M408" s="6552"/>
      <c r="N408" s="6552"/>
      <c r="O408" s="6552"/>
      <c r="P408" s="6552"/>
      <c r="Q408" s="6552"/>
      <c r="R408" s="6552"/>
      <c r="S408" s="6552"/>
      <c r="T408" s="6552"/>
      <c r="U408" s="6410"/>
      <c r="V408" s="6410"/>
      <c r="W408" s="6410"/>
      <c r="X408" s="6410"/>
      <c r="Y408" s="6410"/>
    </row>
    <row r="409">
      <c r="A409" s="6546" t="s">
        <v>7107</v>
      </c>
      <c r="B409" s="6546">
        <v>46214</v>
      </c>
      <c r="C409" s="6546" t="str">
        <v>Saturday</v>
      </c>
      <c r="D409" s="6547" t="s">
        <v>7110</v>
      </c>
      <c r="E409" s="6547">
        <f t="shared" si="68"/>
      </c>
      <c r="F409" s="6547" t="s">
        <v>7092</v>
      </c>
      <c r="G409" s="6548"/>
      <c r="H409" s="6547" t="s">
        <v>6769</v>
      </c>
      <c r="I409" s="6419" t="s">
        <v>6770</v>
      </c>
      <c r="J409" s="6547"/>
      <c r="K409" s="6552"/>
      <c r="L409" s="6552"/>
      <c r="M409" s="6552"/>
      <c r="N409" s="6552"/>
      <c r="O409" s="6552"/>
      <c r="P409" s="6552"/>
      <c r="Q409" s="6552"/>
      <c r="R409" s="6552"/>
      <c r="S409" s="6552"/>
      <c r="T409" s="6552"/>
      <c r="U409" s="6410"/>
      <c r="V409" s="6410"/>
      <c r="W409" s="6410"/>
      <c r="X409" s="6410"/>
      <c r="Y409" s="6410"/>
    </row>
    <row r="410">
      <c r="A410" s="6546"/>
      <c r="B410" s="6546"/>
      <c r="C410" s="6546"/>
      <c r="D410" s="6547"/>
      <c r="E410" s="6547"/>
      <c r="F410" s="6547"/>
      <c r="G410" s="6548"/>
      <c r="H410" s="6547"/>
      <c r="I410" s="6547"/>
      <c r="J410" s="6547"/>
      <c r="K410" s="6552"/>
      <c r="L410" s="6552"/>
      <c r="M410" s="6552"/>
      <c r="N410" s="6552"/>
      <c r="O410" s="6552"/>
      <c r="P410" s="6552"/>
      <c r="Q410" s="6552"/>
      <c r="R410" s="6552"/>
      <c r="S410" s="6552"/>
      <c r="T410" s="6552"/>
      <c r="U410" s="6410"/>
      <c r="V410" s="6410"/>
      <c r="W410" s="6410"/>
      <c r="X410" s="6410"/>
      <c r="Y410" s="6410"/>
    </row>
    <row r="411">
      <c r="A411" s="6546" t="s">
        <v>7111</v>
      </c>
      <c r="B411" s="6546">
        <v>46211</v>
      </c>
      <c r="C411" s="6546" t="str">
        <v>Wednesday</v>
      </c>
      <c r="D411" s="6547" t="s">
        <v>6840</v>
      </c>
      <c r="E411" s="6547">
        <f>24*MOD(TIMEVALUE(TRIM(MID(D411,FIND("-",D411)+1,LEN(D411)))) - TIMEVALUE(TRIM(LEFT(D411,FIND("-",D411)-1))),1)</f>
      </c>
      <c r="F411" s="6547" t="s">
        <v>6960</v>
      </c>
      <c r="G411" s="6548"/>
      <c r="H411" s="6547"/>
      <c r="I411" s="6547" t="s">
        <v>6770</v>
      </c>
      <c r="J411" s="6547"/>
      <c r="K411" s="6552"/>
      <c r="L411" s="6552"/>
      <c r="M411" s="6552"/>
      <c r="N411" s="6552"/>
      <c r="O411" s="6552"/>
      <c r="P411" s="6552"/>
      <c r="Q411" s="6552"/>
      <c r="R411" s="6552"/>
      <c r="S411" s="6552"/>
      <c r="T411" s="6552"/>
      <c r="U411" s="6410"/>
      <c r="V411" s="6410"/>
      <c r="W411" s="6410"/>
      <c r="X411" s="6410"/>
      <c r="Y411" s="6410"/>
    </row>
    <row r="412">
      <c r="A412" s="6418"/>
      <c r="B412" s="6418"/>
      <c r="C412" s="6418"/>
      <c r="D412" s="6422"/>
      <c r="E412" s="6422"/>
      <c r="F412" s="6422"/>
      <c r="G412" s="6486"/>
      <c r="H412" s="6422"/>
      <c r="I412" s="6422"/>
      <c r="J412" s="6422"/>
      <c r="K412" s="6408"/>
      <c r="L412" s="6408"/>
      <c r="M412" s="6408"/>
      <c r="N412" s="6408"/>
      <c r="O412" s="6408"/>
      <c r="P412" s="6408"/>
      <c r="Q412" s="6408"/>
      <c r="R412" s="6408"/>
      <c r="S412" s="6408"/>
      <c r="T412" s="6408"/>
      <c r="U412" s="6410"/>
      <c r="V412" s="6410"/>
      <c r="W412" s="6410"/>
      <c r="X412" s="6410"/>
      <c r="Y412" s="6410"/>
    </row>
    <row r="413">
      <c r="A413" s="6634" t="s">
        <v>7112</v>
      </c>
      <c r="B413" s="6634"/>
      <c r="C413" s="6634"/>
      <c r="D413" s="6634"/>
      <c r="E413" s="6634"/>
      <c r="F413" s="6634"/>
      <c r="G413" s="6634"/>
      <c r="H413" s="6634"/>
      <c r="I413" s="6634"/>
      <c r="J413" s="6634"/>
      <c r="K413" s="6408"/>
      <c r="L413" s="6408"/>
      <c r="M413" s="6408"/>
      <c r="N413" s="6408"/>
      <c r="O413" s="6408"/>
      <c r="P413" s="6408"/>
      <c r="Q413" s="6408"/>
      <c r="R413" s="6408"/>
      <c r="S413" s="6408"/>
      <c r="T413" s="6408"/>
      <c r="U413" s="6410"/>
      <c r="V413" s="6410"/>
      <c r="W413" s="6410"/>
      <c r="X413" s="6410"/>
      <c r="Y413" s="6410"/>
    </row>
    <row r="414">
      <c r="A414" s="6635" t="s">
        <v>6757</v>
      </c>
      <c r="B414" s="6636" t="s">
        <v>6758</v>
      </c>
      <c r="C414" s="6636"/>
      <c r="D414" s="6637" t="s">
        <v>6759</v>
      </c>
      <c r="E414" s="6637" t="s">
        <v>6760</v>
      </c>
      <c r="F414" s="6637" t="s">
        <v>6761</v>
      </c>
      <c r="G414" s="6638" t="s">
        <v>6777</v>
      </c>
      <c r="H414" s="6637" t="s">
        <v>6763</v>
      </c>
      <c r="I414" s="6637" t="s">
        <v>6764</v>
      </c>
      <c r="J414" s="6637" t="s">
        <v>6765</v>
      </c>
      <c r="K414" s="6408"/>
      <c r="L414" s="6408"/>
      <c r="M414" s="6408"/>
      <c r="N414" s="6408"/>
      <c r="O414" s="6408"/>
      <c r="P414" s="6408"/>
      <c r="Q414" s="6408"/>
      <c r="R414" s="6408"/>
      <c r="S414" s="6408"/>
      <c r="T414" s="6408"/>
      <c r="U414" s="6410"/>
      <c r="V414" s="6410"/>
      <c r="W414" s="6410"/>
      <c r="X414" s="6410"/>
      <c r="Y414" s="6410"/>
    </row>
    <row r="415">
      <c r="A415" s="6418" t="s">
        <v>7112</v>
      </c>
      <c r="B415" s="6418">
        <v>46210</v>
      </c>
      <c r="C415" s="6418" t="str">
        <v>Tuesday</v>
      </c>
      <c r="D415" s="6419" t="s">
        <v>7113</v>
      </c>
      <c r="E415" s="6422">
        <f t="shared" ref="E415:E420" si="69">24*MOD(TIMEVALUE(TRIM(MID(D415,FIND("-",D415)+1,LEN(D415)))) - TIMEVALUE(TRIM(LEFT(D415,FIND("-",D415)-1))),1)</f>
      </c>
      <c r="F415" s="6422" t="s">
        <v>6915</v>
      </c>
      <c r="G415" s="6486" t="s">
        <v>6813</v>
      </c>
      <c r="H415" s="6442" t="s">
        <v>6769</v>
      </c>
      <c r="I415" s="6419" t="s">
        <v>6770</v>
      </c>
      <c r="J415" s="6422"/>
      <c r="K415" s="6408"/>
      <c r="L415" s="6408"/>
      <c r="M415" s="6408"/>
      <c r="N415" s="6408"/>
      <c r="O415" s="6408"/>
      <c r="P415" s="6408"/>
      <c r="Q415" s="6408"/>
      <c r="R415" s="6408"/>
      <c r="S415" s="6408"/>
      <c r="T415" s="6408"/>
      <c r="U415" s="6410"/>
      <c r="V415" s="6410"/>
      <c r="W415" s="6410"/>
      <c r="X415" s="6410"/>
      <c r="Y415" s="6410"/>
    </row>
    <row r="416">
      <c r="A416" s="6418" t="s">
        <v>7112</v>
      </c>
      <c r="B416" s="6418">
        <v>46211</v>
      </c>
      <c r="C416" s="6418" t="str">
        <v>Wednesday</v>
      </c>
      <c r="D416" s="6419" t="s">
        <v>7114</v>
      </c>
      <c r="E416" s="6422">
        <f t="shared" si="69"/>
      </c>
      <c r="F416" s="6422" t="s">
        <v>6784</v>
      </c>
      <c r="G416" s="6431" t="s">
        <v>7115</v>
      </c>
      <c r="H416" s="6442" t="s">
        <v>6769</v>
      </c>
      <c r="I416" s="6419" t="s">
        <v>6770</v>
      </c>
      <c r="J416" s="6419"/>
      <c r="K416" s="6408"/>
      <c r="L416" s="6408"/>
      <c r="M416" s="6408"/>
      <c r="N416" s="6408"/>
      <c r="O416" s="6408"/>
      <c r="P416" s="6408"/>
      <c r="Q416" s="6408"/>
      <c r="R416" s="6408"/>
      <c r="S416" s="6408"/>
      <c r="T416" s="6408"/>
      <c r="U416" s="6409"/>
      <c r="V416" s="6409"/>
      <c r="W416" s="6409"/>
      <c r="X416" s="6409"/>
      <c r="Y416" s="6409"/>
    </row>
    <row r="417">
      <c r="A417" s="6418" t="s">
        <v>7112</v>
      </c>
      <c r="B417" s="6418">
        <v>46212</v>
      </c>
      <c r="C417" s="6418" t="str">
        <v>Thursday</v>
      </c>
      <c r="D417" s="6419" t="s">
        <v>7116</v>
      </c>
      <c r="E417" s="6422">
        <f t="shared" si="69"/>
      </c>
      <c r="F417" s="6422" t="s">
        <v>6915</v>
      </c>
      <c r="G417" s="6431" t="s">
        <v>7115</v>
      </c>
      <c r="H417" s="6442" t="s">
        <v>6769</v>
      </c>
      <c r="I417" s="6419" t="s">
        <v>6770</v>
      </c>
      <c r="J417" s="6419"/>
      <c r="K417" s="6408"/>
      <c r="L417" s="6408"/>
      <c r="M417" s="6408"/>
      <c r="N417" s="6408"/>
      <c r="O417" s="6408"/>
      <c r="P417" s="6408"/>
      <c r="Q417" s="6408"/>
      <c r="R417" s="6408"/>
      <c r="S417" s="6408"/>
      <c r="T417" s="6408"/>
      <c r="U417" s="6409"/>
      <c r="V417" s="6409"/>
      <c r="W417" s="6409"/>
      <c r="X417" s="6409"/>
      <c r="Y417" s="6409"/>
    </row>
    <row r="418">
      <c r="A418" s="6418" t="s">
        <v>7112</v>
      </c>
      <c r="B418" s="6418">
        <v>46213</v>
      </c>
      <c r="C418" s="6418" t="str">
        <v>Friday</v>
      </c>
      <c r="D418" s="6419" t="s">
        <v>7116</v>
      </c>
      <c r="E418" s="6422">
        <f t="shared" si="69"/>
      </c>
      <c r="F418" s="6422" t="s">
        <v>7117</v>
      </c>
      <c r="G418" s="6431" t="s">
        <v>7115</v>
      </c>
      <c r="H418" s="6442" t="s">
        <v>6769</v>
      </c>
      <c r="I418" s="6419" t="s">
        <v>6770</v>
      </c>
      <c r="J418" s="6419"/>
      <c r="K418" s="6408"/>
      <c r="L418" s="6408"/>
      <c r="M418" s="6408"/>
      <c r="N418" s="6408"/>
      <c r="O418" s="6408"/>
      <c r="P418" s="6408"/>
      <c r="Q418" s="6408"/>
      <c r="R418" s="6408"/>
      <c r="S418" s="6408"/>
      <c r="T418" s="6408"/>
      <c r="U418" s="6409"/>
      <c r="V418" s="6409"/>
      <c r="W418" s="6409"/>
      <c r="X418" s="6409"/>
      <c r="Y418" s="6409"/>
    </row>
    <row r="419">
      <c r="A419" s="6418" t="s">
        <v>7112</v>
      </c>
      <c r="B419" s="6418">
        <v>46214</v>
      </c>
      <c r="C419" s="6418" t="str">
        <v>Saturday</v>
      </c>
      <c r="D419" s="6419" t="s">
        <v>6852</v>
      </c>
      <c r="E419" s="6422">
        <f t="shared" si="69"/>
      </c>
      <c r="F419" s="6422" t="s">
        <v>7103</v>
      </c>
      <c r="G419" s="6431" t="s">
        <v>7115</v>
      </c>
      <c r="H419" s="6442" t="s">
        <v>6769</v>
      </c>
      <c r="I419" s="6419" t="s">
        <v>6770</v>
      </c>
      <c r="J419" s="6419"/>
      <c r="K419" s="6408"/>
      <c r="L419" s="6408"/>
      <c r="M419" s="6408"/>
      <c r="N419" s="6408"/>
      <c r="O419" s="6408"/>
      <c r="P419" s="6408"/>
      <c r="Q419" s="6408"/>
      <c r="R419" s="6408"/>
      <c r="S419" s="6408"/>
      <c r="T419" s="6408"/>
      <c r="U419" s="6409"/>
      <c r="V419" s="6409"/>
      <c r="W419" s="6409"/>
      <c r="X419" s="6409"/>
      <c r="Y419" s="6409"/>
    </row>
    <row r="420">
      <c r="A420" s="6418" t="s">
        <v>7112</v>
      </c>
      <c r="B420" s="6418">
        <v>46215</v>
      </c>
      <c r="C420" s="6418" t="str">
        <v>Sunday</v>
      </c>
      <c r="D420" s="6419" t="s">
        <v>7118</v>
      </c>
      <c r="E420" s="6422">
        <f t="shared" si="69"/>
      </c>
      <c r="F420" s="6422" t="s">
        <v>7117</v>
      </c>
      <c r="G420" s="6431" t="s">
        <v>7115</v>
      </c>
      <c r="H420" s="6442" t="s">
        <v>6769</v>
      </c>
      <c r="I420" s="6419" t="s">
        <v>6770</v>
      </c>
      <c r="J420" s="6419"/>
      <c r="K420" s="6408"/>
      <c r="L420" s="6408"/>
      <c r="M420" s="6408"/>
      <c r="N420" s="6408"/>
      <c r="O420" s="6408"/>
      <c r="P420" s="6408"/>
      <c r="Q420" s="6408"/>
      <c r="R420" s="6408"/>
      <c r="S420" s="6408"/>
      <c r="T420" s="6408"/>
      <c r="U420" s="6409"/>
      <c r="V420" s="6409"/>
      <c r="W420" s="6409"/>
      <c r="X420" s="6409"/>
      <c r="Y420" s="6409"/>
    </row>
    <row r="421">
      <c r="A421" s="6418"/>
      <c r="B421" s="6418"/>
      <c r="C421" s="6418"/>
      <c r="D421" s="6419"/>
      <c r="E421" s="6419"/>
      <c r="F421" s="6422"/>
      <c r="G421" s="6431"/>
      <c r="H421" s="6442"/>
      <c r="I421" s="6419"/>
      <c r="J421" s="6419"/>
      <c r="K421" s="6408"/>
      <c r="L421" s="6408"/>
      <c r="M421" s="6408"/>
      <c r="N421" s="6408"/>
      <c r="O421" s="6408"/>
      <c r="P421" s="6408"/>
      <c r="Q421" s="6408"/>
      <c r="R421" s="6408"/>
      <c r="S421" s="6408"/>
      <c r="T421" s="6408"/>
      <c r="U421" s="6409"/>
      <c r="V421" s="6409"/>
      <c r="W421" s="6409"/>
      <c r="X421" s="6409"/>
      <c r="Y421" s="6409"/>
    </row>
    <row r="422">
      <c r="A422" s="6418" t="s">
        <v>7119</v>
      </c>
      <c r="B422" s="6418">
        <v>46210</v>
      </c>
      <c r="C422" s="6418" t="str">
        <v>Tuesday</v>
      </c>
      <c r="D422" s="6419" t="s">
        <v>7120</v>
      </c>
      <c r="E422" s="6422">
        <f t="shared" ref="E422:E427" si="70">24*MOD(TIMEVALUE(TRIM(MID(D422,FIND("-",D422)+1,LEN(D422)))) - TIMEVALUE(TRIM(LEFT(D422,FIND("-",D422)-1))),1)</f>
      </c>
      <c r="F422" s="6419" t="s">
        <v>6824</v>
      </c>
      <c r="G422" s="6431"/>
      <c r="H422" s="6442" t="s">
        <v>6769</v>
      </c>
      <c r="I422" s="6419" t="s">
        <v>6770</v>
      </c>
      <c r="J422" s="6419"/>
      <c r="K422" s="6408"/>
      <c r="L422" s="6408"/>
      <c r="M422" s="6408"/>
      <c r="N422" s="6408"/>
      <c r="O422" s="6408"/>
      <c r="P422" s="6408"/>
      <c r="Q422" s="6408"/>
      <c r="R422" s="6408"/>
      <c r="S422" s="6408"/>
      <c r="T422" s="6408"/>
      <c r="U422" s="6409"/>
      <c r="V422" s="6409"/>
      <c r="W422" s="6409"/>
      <c r="X422" s="6409"/>
      <c r="Y422" s="6409"/>
    </row>
    <row r="423">
      <c r="A423" s="6418" t="s">
        <v>7119</v>
      </c>
      <c r="B423" s="6418">
        <v>46211</v>
      </c>
      <c r="C423" s="6418" t="str">
        <v>Wednesday</v>
      </c>
      <c r="D423" s="6419" t="s">
        <v>7121</v>
      </c>
      <c r="E423" s="6422">
        <f t="shared" si="70"/>
      </c>
      <c r="F423" s="6419" t="s">
        <v>7092</v>
      </c>
      <c r="G423" s="6431"/>
      <c r="H423" s="6442" t="s">
        <v>6769</v>
      </c>
      <c r="I423" s="6419" t="s">
        <v>6770</v>
      </c>
      <c r="J423" s="6419"/>
      <c r="K423" s="6408"/>
      <c r="L423" s="6408"/>
      <c r="M423" s="6408"/>
      <c r="N423" s="6408"/>
      <c r="O423" s="6408"/>
      <c r="P423" s="6408"/>
      <c r="Q423" s="6408"/>
      <c r="R423" s="6408"/>
      <c r="S423" s="6408"/>
      <c r="T423" s="6408"/>
      <c r="U423" s="6409"/>
      <c r="V423" s="6409"/>
      <c r="W423" s="6409"/>
      <c r="X423" s="6409"/>
      <c r="Y423" s="6409"/>
    </row>
    <row r="424">
      <c r="A424" s="6418" t="s">
        <v>7119</v>
      </c>
      <c r="B424" s="6418">
        <v>46212</v>
      </c>
      <c r="C424" s="6418" t="str">
        <v>Thursday</v>
      </c>
      <c r="D424" s="6419" t="s">
        <v>7122</v>
      </c>
      <c r="E424" s="6422">
        <f t="shared" si="70"/>
      </c>
      <c r="F424" s="6419" t="s">
        <v>7092</v>
      </c>
      <c r="G424" s="6431"/>
      <c r="H424" s="6442" t="s">
        <v>6769</v>
      </c>
      <c r="I424" s="6419" t="s">
        <v>6770</v>
      </c>
      <c r="J424" s="6419"/>
      <c r="K424" s="6408"/>
      <c r="L424" s="6408"/>
      <c r="M424" s="6408"/>
      <c r="N424" s="6408"/>
      <c r="O424" s="6408"/>
      <c r="P424" s="6408"/>
      <c r="Q424" s="6408"/>
      <c r="R424" s="6408"/>
      <c r="S424" s="6408"/>
      <c r="T424" s="6408"/>
      <c r="U424" s="6409"/>
      <c r="V424" s="6409"/>
      <c r="W424" s="6409"/>
      <c r="X424" s="6409"/>
      <c r="Y424" s="6409"/>
    </row>
    <row r="425">
      <c r="A425" s="6418" t="s">
        <v>7119</v>
      </c>
      <c r="B425" s="6418">
        <v>46213</v>
      </c>
      <c r="C425" s="6418" t="str">
        <v>Friday</v>
      </c>
      <c r="D425" s="6419" t="s">
        <v>7122</v>
      </c>
      <c r="E425" s="6422">
        <f t="shared" si="70"/>
      </c>
      <c r="F425" s="6419" t="s">
        <v>7092</v>
      </c>
      <c r="G425" s="6431"/>
      <c r="H425" s="6442" t="s">
        <v>6769</v>
      </c>
      <c r="I425" s="6419" t="s">
        <v>6770</v>
      </c>
      <c r="J425" s="6419"/>
      <c r="K425" s="6408"/>
      <c r="L425" s="6408"/>
      <c r="M425" s="6408"/>
      <c r="N425" s="6408"/>
      <c r="O425" s="6408"/>
      <c r="P425" s="6408"/>
      <c r="Q425" s="6408"/>
      <c r="R425" s="6408"/>
      <c r="S425" s="6408"/>
      <c r="T425" s="6408"/>
      <c r="U425" s="6409"/>
      <c r="V425" s="6409"/>
      <c r="W425" s="6409"/>
      <c r="X425" s="6409"/>
      <c r="Y425" s="6409"/>
    </row>
    <row r="426">
      <c r="A426" s="6418" t="s">
        <v>7119</v>
      </c>
      <c r="B426" s="6418">
        <v>46214</v>
      </c>
      <c r="C426" s="6418" t="str">
        <v>Saturday</v>
      </c>
      <c r="D426" s="6419" t="s">
        <v>7123</v>
      </c>
      <c r="E426" s="6422">
        <f t="shared" si="70"/>
      </c>
      <c r="F426" s="6419" t="s">
        <v>7092</v>
      </c>
      <c r="G426" s="6431"/>
      <c r="H426" s="6442" t="s">
        <v>6769</v>
      </c>
      <c r="I426" s="6419" t="s">
        <v>6770</v>
      </c>
      <c r="J426" s="6419"/>
      <c r="K426" s="6408"/>
      <c r="L426" s="6408"/>
      <c r="M426" s="6408"/>
      <c r="N426" s="6408"/>
      <c r="O426" s="6408"/>
      <c r="P426" s="6408"/>
      <c r="Q426" s="6408"/>
      <c r="R426" s="6408"/>
      <c r="S426" s="6408"/>
      <c r="T426" s="6408"/>
      <c r="U426" s="6409"/>
      <c r="V426" s="6409"/>
      <c r="W426" s="6409"/>
      <c r="X426" s="6409"/>
      <c r="Y426" s="6409"/>
    </row>
    <row r="427">
      <c r="A427" s="6418" t="s">
        <v>7119</v>
      </c>
      <c r="B427" s="6418">
        <v>46215</v>
      </c>
      <c r="C427" s="6418" t="str">
        <v>Sunday</v>
      </c>
      <c r="D427" s="6419" t="s">
        <v>7124</v>
      </c>
      <c r="E427" s="6422">
        <f t="shared" si="70"/>
      </c>
      <c r="F427" s="6419" t="s">
        <v>7092</v>
      </c>
      <c r="G427" s="6431"/>
      <c r="H427" s="6442" t="s">
        <v>6769</v>
      </c>
      <c r="I427" s="6419" t="s">
        <v>6770</v>
      </c>
      <c r="J427" s="6419"/>
      <c r="K427" s="6408"/>
      <c r="L427" s="6408"/>
      <c r="M427" s="6408"/>
      <c r="N427" s="6408"/>
      <c r="O427" s="6408"/>
      <c r="P427" s="6408"/>
      <c r="Q427" s="6408"/>
      <c r="R427" s="6408"/>
      <c r="S427" s="6408"/>
      <c r="T427" s="6408"/>
      <c r="U427" s="6409"/>
      <c r="V427" s="6409"/>
      <c r="W427" s="6409"/>
      <c r="X427" s="6409"/>
      <c r="Y427" s="6409"/>
    </row>
    <row r="428">
      <c r="A428" s="6418"/>
      <c r="B428" s="6418"/>
      <c r="C428" s="6418"/>
      <c r="D428" s="6422"/>
      <c r="E428" s="6422"/>
      <c r="F428" s="6422"/>
      <c r="G428" s="6486"/>
      <c r="H428" s="6564"/>
      <c r="I428" s="6419"/>
      <c r="J428" s="6422"/>
      <c r="K428" s="6408"/>
      <c r="L428" s="6408"/>
      <c r="M428" s="6408"/>
      <c r="N428" s="6408"/>
      <c r="O428" s="6408"/>
      <c r="P428" s="6408"/>
      <c r="Q428" s="6408"/>
      <c r="R428" s="6408"/>
      <c r="S428" s="6408"/>
      <c r="T428" s="6408"/>
      <c r="U428" s="6410"/>
      <c r="V428" s="6410"/>
      <c r="W428" s="6410"/>
      <c r="X428" s="6410"/>
      <c r="Y428" s="6410"/>
    </row>
    <row r="429">
      <c r="A429" s="6418" t="s">
        <v>7125</v>
      </c>
      <c r="B429" s="6418">
        <v>46210</v>
      </c>
      <c r="C429" s="6418" t="str">
        <v>Tuesday</v>
      </c>
      <c r="D429" s="6419" t="s">
        <v>7126</v>
      </c>
      <c r="E429" s="6419">
        <f t="shared" ref="E429:E433" si="71">24*MOD(TIMEVALUE(TRIM(MID(D429,FIND("-",D429)+1,LEN(D429)))) - TIMEVALUE(TRIM(LEFT(D429,FIND("-",D429)-1))),1)</f>
      </c>
      <c r="F429" s="6422" t="s">
        <v>6918</v>
      </c>
      <c r="G429" s="6486"/>
      <c r="H429" s="6564"/>
      <c r="I429" s="6419" t="s">
        <v>6770</v>
      </c>
      <c r="J429" s="6422"/>
      <c r="K429" s="6408"/>
      <c r="L429" s="6408"/>
      <c r="M429" s="6408"/>
      <c r="N429" s="6408"/>
      <c r="O429" s="6408"/>
      <c r="P429" s="6408"/>
      <c r="Q429" s="6408"/>
      <c r="R429" s="6408"/>
      <c r="S429" s="6408"/>
      <c r="T429" s="6408"/>
      <c r="U429" s="6410"/>
      <c r="V429" s="6410"/>
      <c r="W429" s="6410"/>
      <c r="X429" s="6410"/>
      <c r="Y429" s="6410"/>
    </row>
    <row r="430">
      <c r="A430" s="6418" t="s">
        <v>7127</v>
      </c>
      <c r="B430" s="6418">
        <v>46211</v>
      </c>
      <c r="C430" s="6418" t="str">
        <v>Wednesday</v>
      </c>
      <c r="D430" s="6419" t="s">
        <v>6863</v>
      </c>
      <c r="E430" s="6419">
        <f t="shared" si="71"/>
      </c>
      <c r="F430" s="6422" t="s">
        <v>7128</v>
      </c>
      <c r="G430" s="6486"/>
      <c r="H430" s="6564"/>
      <c r="I430" s="6419" t="s">
        <v>6770</v>
      </c>
      <c r="J430" s="6422"/>
      <c r="K430" s="6408"/>
      <c r="L430" s="6408"/>
      <c r="M430" s="6408"/>
      <c r="N430" s="6408"/>
      <c r="O430" s="6408"/>
      <c r="P430" s="6408"/>
      <c r="Q430" s="6408"/>
      <c r="R430" s="6408"/>
      <c r="S430" s="6408"/>
      <c r="T430" s="6408"/>
      <c r="U430" s="6410"/>
      <c r="V430" s="6410"/>
      <c r="W430" s="6410"/>
      <c r="X430" s="6410"/>
      <c r="Y430" s="6410"/>
    </row>
    <row r="431">
      <c r="A431" s="6418" t="s">
        <v>7127</v>
      </c>
      <c r="B431" s="6418">
        <v>46212</v>
      </c>
      <c r="C431" s="6418" t="str">
        <v>Thursday</v>
      </c>
      <c r="D431" s="6419" t="s">
        <v>6990</v>
      </c>
      <c r="E431" s="6422">
        <f t="shared" si="71"/>
      </c>
      <c r="F431" s="6422" t="s">
        <v>7103</v>
      </c>
      <c r="G431" s="6486"/>
      <c r="H431" s="6564"/>
      <c r="I431" s="6419" t="s">
        <v>6770</v>
      </c>
      <c r="J431" s="6422"/>
      <c r="K431" s="6408"/>
      <c r="L431" s="6408"/>
      <c r="M431" s="6408"/>
      <c r="N431" s="6408"/>
      <c r="O431" s="6408"/>
      <c r="P431" s="6408"/>
      <c r="Q431" s="6408"/>
      <c r="R431" s="6408"/>
      <c r="S431" s="6408"/>
      <c r="T431" s="6408"/>
      <c r="U431" s="6410"/>
      <c r="V431" s="6410"/>
      <c r="W431" s="6410"/>
      <c r="X431" s="6410"/>
      <c r="Y431" s="6410"/>
    </row>
    <row r="432">
      <c r="A432" s="6418" t="s">
        <v>7127</v>
      </c>
      <c r="B432" s="6418">
        <v>46210</v>
      </c>
      <c r="C432" s="6418" t="str">
        <v>Tuesday</v>
      </c>
      <c r="D432" s="6419" t="s">
        <v>7129</v>
      </c>
      <c r="E432" s="6422">
        <f t="shared" si="71"/>
      </c>
      <c r="F432" s="6422" t="s">
        <v>6784</v>
      </c>
      <c r="G432" s="6486"/>
      <c r="H432" s="6564"/>
      <c r="I432" s="6419" t="s">
        <v>6770</v>
      </c>
      <c r="J432" s="6422"/>
      <c r="K432" s="6408"/>
      <c r="L432" s="6408"/>
      <c r="M432" s="6408"/>
      <c r="N432" s="6408"/>
      <c r="O432" s="6408"/>
      <c r="P432" s="6408"/>
      <c r="Q432" s="6408"/>
      <c r="R432" s="6408"/>
      <c r="S432" s="6408"/>
      <c r="T432" s="6408"/>
      <c r="U432" s="6410"/>
      <c r="V432" s="6410"/>
      <c r="W432" s="6410"/>
      <c r="X432" s="6410"/>
      <c r="Y432" s="6410"/>
    </row>
    <row r="433">
      <c r="A433" s="6418" t="s">
        <v>7127</v>
      </c>
      <c r="B433" s="6418">
        <v>46210</v>
      </c>
      <c r="C433" s="6418" t="str">
        <v>Tuesday</v>
      </c>
      <c r="D433" s="6419" t="s">
        <v>6917</v>
      </c>
      <c r="E433" s="6422">
        <f t="shared" si="71"/>
      </c>
      <c r="F433" s="6422" t="s">
        <v>7117</v>
      </c>
      <c r="G433" s="6486"/>
      <c r="H433" s="6564"/>
      <c r="I433" s="6419" t="s">
        <v>6770</v>
      </c>
      <c r="J433" s="6422"/>
      <c r="K433" s="6408"/>
      <c r="L433" s="6408"/>
      <c r="M433" s="6408"/>
      <c r="N433" s="6408"/>
      <c r="O433" s="6408"/>
      <c r="P433" s="6408"/>
      <c r="Q433" s="6408"/>
      <c r="R433" s="6408"/>
      <c r="S433" s="6408"/>
      <c r="T433" s="6408"/>
      <c r="U433" s="6410"/>
      <c r="V433" s="6410"/>
      <c r="W433" s="6410"/>
      <c r="X433" s="6410"/>
      <c r="Y433" s="6410"/>
    </row>
    <row r="434">
      <c r="A434" s="6418"/>
      <c r="B434" s="6418"/>
      <c r="C434" s="6418"/>
      <c r="D434" s="6422"/>
      <c r="E434" s="6422"/>
      <c r="F434" s="6422"/>
      <c r="G434" s="6486"/>
      <c r="H434" s="6564"/>
      <c r="I434" s="6419"/>
      <c r="J434" s="6422"/>
      <c r="K434" s="6408"/>
      <c r="L434" s="6408"/>
      <c r="M434" s="6408"/>
      <c r="N434" s="6408"/>
      <c r="O434" s="6408"/>
      <c r="P434" s="6408"/>
      <c r="Q434" s="6408"/>
      <c r="R434" s="6408"/>
      <c r="S434" s="6408"/>
      <c r="T434" s="6408"/>
      <c r="U434" s="6410"/>
      <c r="V434" s="6410"/>
      <c r="W434" s="6410"/>
      <c r="X434" s="6410"/>
      <c r="Y434" s="6410"/>
    </row>
    <row r="435">
      <c r="A435" s="6639" t="s">
        <v>7130</v>
      </c>
      <c r="B435" s="6639"/>
      <c r="C435" s="6639"/>
      <c r="D435" s="6639"/>
      <c r="E435" s="6639"/>
      <c r="F435" s="6639"/>
      <c r="G435" s="6639"/>
      <c r="H435" s="6639"/>
      <c r="I435" s="6639"/>
      <c r="J435" s="6639"/>
      <c r="K435" s="6435"/>
      <c r="L435" s="6435"/>
      <c r="M435" s="6435"/>
      <c r="N435" s="6435"/>
      <c r="O435" s="6408"/>
      <c r="P435" s="6408"/>
      <c r="Q435" s="6408"/>
      <c r="R435" s="6408"/>
      <c r="S435" s="6408"/>
      <c r="T435" s="6408"/>
      <c r="U435" s="6410"/>
      <c r="V435" s="6410"/>
      <c r="W435" s="6410"/>
      <c r="X435" s="6410"/>
      <c r="Y435" s="6410"/>
    </row>
    <row r="436">
      <c r="A436" s="6640" t="s">
        <v>6757</v>
      </c>
      <c r="B436" s="6641" t="s">
        <v>6758</v>
      </c>
      <c r="C436" s="6641"/>
      <c r="D436" s="6642" t="s">
        <v>6759</v>
      </c>
      <c r="E436" s="6642" t="s">
        <v>6760</v>
      </c>
      <c r="F436" s="6642" t="s">
        <v>6761</v>
      </c>
      <c r="G436" s="6643" t="s">
        <v>6777</v>
      </c>
      <c r="H436" s="6642" t="s">
        <v>6763</v>
      </c>
      <c r="I436" s="6642" t="s">
        <v>6764</v>
      </c>
      <c r="J436" s="6642" t="s">
        <v>6765</v>
      </c>
      <c r="K436" s="6435"/>
      <c r="L436" s="6435"/>
      <c r="M436" s="6435"/>
      <c r="N436" s="6435"/>
      <c r="O436" s="6408"/>
      <c r="P436" s="6408"/>
      <c r="Q436" s="6408"/>
      <c r="R436" s="6408"/>
      <c r="S436" s="6408"/>
      <c r="T436" s="6408"/>
      <c r="U436" s="6410"/>
      <c r="V436" s="6410"/>
      <c r="W436" s="6410"/>
      <c r="X436" s="6410"/>
      <c r="Y436" s="6410"/>
    </row>
    <row r="437">
      <c r="A437" s="6418" t="s">
        <v>7130</v>
      </c>
      <c r="B437" s="6418">
        <v>46210</v>
      </c>
      <c r="C437" s="6418" t="str">
        <v>Tuesday</v>
      </c>
      <c r="D437" s="6419" t="s">
        <v>7131</v>
      </c>
      <c r="E437" s="6419">
        <f t="shared" ref="E437:E441" si="72">24*MOD(TIMEVALUE(TRIM(MID(D437,FIND("-",D437)+1,LEN(D437)))) - TIMEVALUE(TRIM(LEFT(D437,FIND("-",D437)-1))),1)</f>
      </c>
      <c r="F437" s="6538" t="s">
        <v>6819</v>
      </c>
      <c r="G437" s="6486" t="s">
        <v>7132</v>
      </c>
      <c r="H437" s="6564" t="s">
        <v>6769</v>
      </c>
      <c r="I437" s="6419" t="s">
        <v>6857</v>
      </c>
      <c r="J437" s="6422"/>
      <c r="K437" s="6408"/>
      <c r="L437" s="6408"/>
      <c r="M437" s="6408"/>
      <c r="N437" s="6408"/>
      <c r="O437" s="6408"/>
      <c r="P437" s="6408"/>
      <c r="Q437" s="6408"/>
      <c r="R437" s="6408"/>
      <c r="S437" s="6408"/>
      <c r="T437" s="6408"/>
      <c r="U437" s="6410"/>
      <c r="V437" s="6410"/>
      <c r="W437" s="6410"/>
      <c r="X437" s="6410"/>
      <c r="Y437" s="6410"/>
    </row>
    <row r="438">
      <c r="A438" s="6418" t="s">
        <v>7130</v>
      </c>
      <c r="B438" s="6418">
        <v>46211</v>
      </c>
      <c r="C438" s="6418" t="str">
        <v>Wednesday</v>
      </c>
      <c r="D438" s="6419" t="s">
        <v>7131</v>
      </c>
      <c r="E438" s="6419">
        <f t="shared" si="72"/>
      </c>
      <c r="F438" s="6538" t="s">
        <v>6812</v>
      </c>
      <c r="G438" s="6486" t="s">
        <v>6813</v>
      </c>
      <c r="H438" s="6564" t="s">
        <v>6769</v>
      </c>
      <c r="I438" s="6419" t="s">
        <v>6770</v>
      </c>
      <c r="J438" s="6422"/>
      <c r="K438" s="6408"/>
      <c r="L438" s="6408"/>
      <c r="M438" s="6408"/>
      <c r="N438" s="6408"/>
      <c r="O438" s="6408"/>
      <c r="P438" s="6408"/>
      <c r="Q438" s="6408"/>
      <c r="R438" s="6408"/>
      <c r="S438" s="6408"/>
      <c r="T438" s="6408"/>
      <c r="U438" s="6410"/>
      <c r="V438" s="6410"/>
      <c r="W438" s="6410"/>
      <c r="X438" s="6410"/>
      <c r="Y438" s="6410"/>
    </row>
    <row r="439">
      <c r="A439" s="6418" t="s">
        <v>7130</v>
      </c>
      <c r="B439" s="6418">
        <v>46212</v>
      </c>
      <c r="C439" s="6418" t="str">
        <v>Thursday</v>
      </c>
      <c r="D439" s="6419" t="s">
        <v>7017</v>
      </c>
      <c r="E439" s="6419">
        <f t="shared" si="72"/>
      </c>
      <c r="F439" s="6538" t="s">
        <v>6812</v>
      </c>
      <c r="G439" s="6486" t="s">
        <v>7133</v>
      </c>
      <c r="H439" s="6564" t="s">
        <v>6769</v>
      </c>
      <c r="I439" s="6419" t="s">
        <v>6770</v>
      </c>
      <c r="J439" s="6422"/>
      <c r="K439" s="6408"/>
      <c r="L439" s="6408"/>
      <c r="M439" s="6408"/>
      <c r="N439" s="6408"/>
      <c r="O439" s="6408"/>
      <c r="P439" s="6408"/>
      <c r="Q439" s="6408"/>
      <c r="R439" s="6408"/>
      <c r="S439" s="6408"/>
      <c r="T439" s="6408"/>
      <c r="U439" s="6410"/>
      <c r="V439" s="6410"/>
      <c r="W439" s="6410"/>
      <c r="X439" s="6410"/>
      <c r="Y439" s="6410"/>
    </row>
    <row r="440">
      <c r="A440" s="6418" t="s">
        <v>7130</v>
      </c>
      <c r="B440" s="6418">
        <v>46213</v>
      </c>
      <c r="C440" s="6418" t="str">
        <v>Friday</v>
      </c>
      <c r="D440" s="6419" t="s">
        <v>7131</v>
      </c>
      <c r="E440" s="6419">
        <f t="shared" si="72"/>
      </c>
      <c r="F440" s="6422" t="s">
        <v>7128</v>
      </c>
      <c r="G440" s="6486" t="s">
        <v>6918</v>
      </c>
      <c r="H440" s="6564" t="s">
        <v>6769</v>
      </c>
      <c r="I440" s="6419" t="s">
        <v>6770</v>
      </c>
      <c r="J440" s="6422"/>
      <c r="K440" s="6408"/>
      <c r="L440" s="6408"/>
      <c r="M440" s="6408"/>
      <c r="N440" s="6408"/>
      <c r="O440" s="6408"/>
      <c r="P440" s="6408"/>
      <c r="Q440" s="6408"/>
      <c r="R440" s="6408"/>
      <c r="S440" s="6408"/>
      <c r="T440" s="6408"/>
      <c r="U440" s="6410"/>
      <c r="V440" s="6410"/>
      <c r="W440" s="6410"/>
      <c r="X440" s="6410"/>
      <c r="Y440" s="6410"/>
    </row>
    <row r="441">
      <c r="A441" s="6418" t="s">
        <v>7130</v>
      </c>
      <c r="B441" s="6418">
        <v>46214</v>
      </c>
      <c r="C441" s="6418" t="str">
        <v>Saturday</v>
      </c>
      <c r="D441" s="6419" t="s">
        <v>7131</v>
      </c>
      <c r="E441" s="6419">
        <f t="shared" si="72"/>
      </c>
      <c r="F441" s="6538" t="s">
        <v>6819</v>
      </c>
      <c r="G441" s="6486" t="s">
        <v>7134</v>
      </c>
      <c r="H441" s="6564" t="s">
        <v>6769</v>
      </c>
      <c r="I441" s="6419" t="s">
        <v>6857</v>
      </c>
      <c r="J441" s="6422"/>
      <c r="K441" s="6408"/>
      <c r="L441" s="6408"/>
      <c r="M441" s="6408"/>
      <c r="N441" s="6408"/>
      <c r="O441" s="6408"/>
      <c r="P441" s="6408"/>
      <c r="Q441" s="6408"/>
      <c r="R441" s="6408"/>
      <c r="S441" s="6408"/>
      <c r="T441" s="6408"/>
      <c r="U441" s="6410"/>
      <c r="V441" s="6410"/>
      <c r="W441" s="6410"/>
      <c r="X441" s="6410"/>
      <c r="Y441" s="6410"/>
    </row>
    <row r="442">
      <c r="A442" s="6418"/>
      <c r="B442" s="6418"/>
      <c r="C442" s="6418"/>
      <c r="D442" s="6422"/>
      <c r="E442" s="6422"/>
      <c r="F442" s="6422"/>
      <c r="G442" s="6486"/>
      <c r="H442" s="6564"/>
      <c r="I442" s="6419"/>
      <c r="J442" s="6422"/>
      <c r="K442" s="6408"/>
      <c r="L442" s="6408"/>
      <c r="M442" s="6408"/>
      <c r="N442" s="6408"/>
      <c r="O442" s="6408"/>
      <c r="P442" s="6408"/>
      <c r="Q442" s="6408"/>
      <c r="R442" s="6408"/>
      <c r="S442" s="6408"/>
      <c r="T442" s="6408"/>
      <c r="U442" s="6410"/>
      <c r="V442" s="6410"/>
      <c r="W442" s="6410"/>
      <c r="X442" s="6410"/>
      <c r="Y442" s="6410"/>
    </row>
    <row r="443">
      <c r="A443" s="6418" t="s">
        <v>7135</v>
      </c>
      <c r="B443" s="6418">
        <v>46210</v>
      </c>
      <c r="C443" s="6418" t="str">
        <v>Tuesday</v>
      </c>
      <c r="D443" s="6419" t="s">
        <v>7136</v>
      </c>
      <c r="E443" s="6419">
        <f t="shared" ref="E443:E447" si="73">24*MOD(TIMEVALUE(TRIM(MID(D443,FIND("-",D443)+1,LEN(D443)))) - TIMEVALUE(TRIM(LEFT(D443,FIND("-",D443)-1))),1)</f>
      </c>
      <c r="F443" s="6422" t="s">
        <v>6915</v>
      </c>
      <c r="G443" s="6486"/>
      <c r="H443" s="6564" t="s">
        <v>6769</v>
      </c>
      <c r="I443" s="6419" t="s">
        <v>6770</v>
      </c>
      <c r="J443" s="6422"/>
      <c r="K443" s="6408"/>
      <c r="L443" s="6408"/>
      <c r="M443" s="6408"/>
      <c r="N443" s="6408"/>
      <c r="O443" s="6408"/>
      <c r="P443" s="6408"/>
      <c r="Q443" s="6408"/>
      <c r="R443" s="6408"/>
      <c r="S443" s="6408"/>
      <c r="T443" s="6408"/>
      <c r="U443" s="6410"/>
      <c r="V443" s="6410"/>
      <c r="W443" s="6410"/>
      <c r="X443" s="6410"/>
      <c r="Y443" s="6410"/>
    </row>
    <row r="444">
      <c r="A444" s="6418" t="s">
        <v>7135</v>
      </c>
      <c r="B444" s="6418">
        <v>46211</v>
      </c>
      <c r="C444" s="6418" t="str">
        <v>Wednesday</v>
      </c>
      <c r="D444" s="6419" t="s">
        <v>7136</v>
      </c>
      <c r="E444" s="6419">
        <f t="shared" si="73"/>
      </c>
      <c r="F444" s="6422" t="s">
        <v>6824</v>
      </c>
      <c r="G444" s="6486"/>
      <c r="H444" s="6564" t="s">
        <v>6769</v>
      </c>
      <c r="I444" s="6419" t="s">
        <v>6770</v>
      </c>
      <c r="J444" s="6422"/>
      <c r="K444" s="6408"/>
      <c r="L444" s="6408"/>
      <c r="M444" s="6408"/>
      <c r="N444" s="6408"/>
      <c r="O444" s="6408"/>
      <c r="P444" s="6408"/>
      <c r="Q444" s="6408"/>
      <c r="R444" s="6408"/>
      <c r="S444" s="6408"/>
      <c r="T444" s="6408"/>
      <c r="U444" s="6410"/>
      <c r="V444" s="6410"/>
      <c r="W444" s="6410"/>
      <c r="X444" s="6410"/>
      <c r="Y444" s="6410"/>
    </row>
    <row r="445">
      <c r="A445" s="6418" t="s">
        <v>7135</v>
      </c>
      <c r="B445" s="6418">
        <v>46212</v>
      </c>
      <c r="C445" s="6418" t="str">
        <v>Thursday</v>
      </c>
      <c r="D445" s="6419" t="s">
        <v>7136</v>
      </c>
      <c r="E445" s="6419">
        <f t="shared" si="73"/>
      </c>
      <c r="F445" s="6422" t="s">
        <v>6809</v>
      </c>
      <c r="G445" s="6486"/>
      <c r="H445" s="6564" t="s">
        <v>6769</v>
      </c>
      <c r="I445" s="6419" t="s">
        <v>6770</v>
      </c>
      <c r="J445" s="6422"/>
      <c r="K445" s="6408"/>
      <c r="L445" s="6408"/>
      <c r="M445" s="6408"/>
      <c r="N445" s="6408"/>
      <c r="O445" s="6408"/>
      <c r="P445" s="6408"/>
      <c r="Q445" s="6408"/>
      <c r="R445" s="6408"/>
      <c r="S445" s="6408"/>
      <c r="T445" s="6408"/>
      <c r="U445" s="6410"/>
      <c r="V445" s="6410"/>
      <c r="W445" s="6410"/>
      <c r="X445" s="6410"/>
      <c r="Y445" s="6410"/>
    </row>
    <row r="446">
      <c r="A446" s="6418" t="s">
        <v>7135</v>
      </c>
      <c r="B446" s="6418">
        <v>46213</v>
      </c>
      <c r="C446" s="6418" t="str">
        <v>Friday</v>
      </c>
      <c r="D446" s="6419" t="s">
        <v>7136</v>
      </c>
      <c r="E446" s="6419">
        <f t="shared" si="73"/>
      </c>
      <c r="F446" s="6422" t="s">
        <v>6918</v>
      </c>
      <c r="G446" s="6486"/>
      <c r="H446" s="6564" t="s">
        <v>6769</v>
      </c>
      <c r="I446" s="6419" t="s">
        <v>6770</v>
      </c>
      <c r="J446" s="6422"/>
      <c r="K446" s="6408"/>
      <c r="L446" s="6408"/>
      <c r="M446" s="6408"/>
      <c r="N446" s="6408"/>
      <c r="O446" s="6408"/>
      <c r="P446" s="6408"/>
      <c r="Q446" s="6408"/>
      <c r="R446" s="6408"/>
      <c r="S446" s="6408"/>
      <c r="T446" s="6408"/>
      <c r="U446" s="6410"/>
      <c r="V446" s="6410"/>
      <c r="W446" s="6410"/>
      <c r="X446" s="6410"/>
      <c r="Y446" s="6410"/>
    </row>
    <row r="447">
      <c r="A447" s="6473" t="s">
        <v>7135</v>
      </c>
      <c r="B447" s="6473">
        <v>46214</v>
      </c>
      <c r="C447" s="6473" t="str">
        <v>Saturday</v>
      </c>
      <c r="D447" s="6447" t="s">
        <v>7136</v>
      </c>
      <c r="E447" s="6447">
        <f t="shared" si="73"/>
      </c>
      <c r="F447" s="6447" t="s">
        <v>6915</v>
      </c>
      <c r="G447" s="6504"/>
      <c r="H447" s="6523" t="s">
        <v>6769</v>
      </c>
      <c r="I447" s="6447" t="s">
        <v>6770</v>
      </c>
      <c r="J447" s="6447"/>
      <c r="K447" s="6476"/>
      <c r="L447" s="6476"/>
      <c r="M447" s="6476"/>
      <c r="N447" s="6476"/>
      <c r="O447" s="6476"/>
      <c r="P447" s="6476"/>
      <c r="Q447" s="6476"/>
      <c r="R447" s="6476"/>
      <c r="S447" s="6476"/>
      <c r="T447" s="6476"/>
      <c r="U447" s="6477"/>
      <c r="V447" s="6477"/>
      <c r="W447" s="6477"/>
      <c r="X447" s="6477"/>
      <c r="Y447" s="6477"/>
    </row>
    <row r="448">
      <c r="A448" s="6418"/>
      <c r="B448" s="6418"/>
      <c r="C448" s="6418"/>
      <c r="D448" s="6419"/>
      <c r="E448" s="6419"/>
      <c r="F448" s="6422"/>
      <c r="G448" s="6486"/>
      <c r="H448" s="6564"/>
      <c r="I448" s="6419"/>
      <c r="J448" s="6422"/>
      <c r="K448" s="6408"/>
      <c r="L448" s="6408"/>
      <c r="M448" s="6408"/>
      <c r="N448" s="6408"/>
      <c r="O448" s="6408"/>
      <c r="P448" s="6408"/>
      <c r="Q448" s="6408"/>
      <c r="R448" s="6408"/>
      <c r="S448" s="6408"/>
      <c r="T448" s="6408"/>
      <c r="U448" s="6410"/>
      <c r="V448" s="6410"/>
      <c r="W448" s="6410"/>
      <c r="X448" s="6410"/>
      <c r="Y448" s="6410"/>
    </row>
    <row r="449">
      <c r="A449" s="6418" t="s">
        <v>7135</v>
      </c>
      <c r="B449" s="6418">
        <v>46210</v>
      </c>
      <c r="C449" s="6418" t="str">
        <v>Tuesday</v>
      </c>
      <c r="D449" s="6419" t="s">
        <v>7137</v>
      </c>
      <c r="E449" s="6419">
        <f t="shared" ref="E449:E451" si="74">24*MOD(TIMEVALUE(TRIM(MID(D449,FIND("-",D449)+1,LEN(D449)))) - TIMEVALUE(TRIM(LEFT(D449,FIND("-",D449)-1))),1)</f>
      </c>
      <c r="F449" s="6422" t="s">
        <v>6809</v>
      </c>
      <c r="G449" s="6486"/>
      <c r="H449" s="6564"/>
      <c r="I449" s="6419"/>
      <c r="J449" s="6422"/>
      <c r="K449" s="6408"/>
      <c r="L449" s="6408"/>
      <c r="M449" s="6408"/>
      <c r="N449" s="6408"/>
      <c r="O449" s="6408"/>
      <c r="P449" s="6408"/>
      <c r="Q449" s="6408"/>
      <c r="R449" s="6408"/>
      <c r="S449" s="6408"/>
      <c r="T449" s="6408"/>
      <c r="U449" s="6410"/>
      <c r="V449" s="6410"/>
      <c r="W449" s="6410"/>
      <c r="X449" s="6410"/>
      <c r="Y449" s="6410"/>
    </row>
    <row r="450">
      <c r="A450" s="6418" t="s">
        <v>7138</v>
      </c>
      <c r="B450" s="6418">
        <v>46211</v>
      </c>
      <c r="C450" s="6418" t="str">
        <v>Wednesday</v>
      </c>
      <c r="D450" s="6419" t="s">
        <v>6785</v>
      </c>
      <c r="E450" s="6419">
        <f t="shared" si="74"/>
      </c>
      <c r="F450" s="6422" t="s">
        <v>7128</v>
      </c>
      <c r="G450" s="6486"/>
      <c r="H450" s="6564"/>
      <c r="I450" s="6419" t="s">
        <v>6770</v>
      </c>
      <c r="J450" s="6422"/>
      <c r="K450" s="6408"/>
      <c r="L450" s="6408"/>
      <c r="M450" s="6408"/>
      <c r="N450" s="6408"/>
      <c r="O450" s="6408"/>
      <c r="P450" s="6408"/>
      <c r="Q450" s="6408"/>
      <c r="R450" s="6408"/>
      <c r="S450" s="6408"/>
      <c r="T450" s="6408"/>
      <c r="U450" s="6410"/>
      <c r="V450" s="6410"/>
      <c r="W450" s="6410"/>
      <c r="X450" s="6410"/>
      <c r="Y450" s="6410"/>
    </row>
    <row r="451">
      <c r="A451" s="6418" t="s">
        <v>7138</v>
      </c>
      <c r="B451" s="6418">
        <v>46211</v>
      </c>
      <c r="C451" s="6418" t="str">
        <v>Wednesday</v>
      </c>
      <c r="D451" s="6419" t="s">
        <v>6974</v>
      </c>
      <c r="E451" s="6419">
        <f t="shared" si="74"/>
      </c>
      <c r="F451" s="6422" t="s">
        <v>6960</v>
      </c>
      <c r="G451" s="6486"/>
      <c r="H451" s="6564"/>
      <c r="I451" s="6419" t="s">
        <v>6770</v>
      </c>
      <c r="J451" s="6422"/>
      <c r="K451" s="6408"/>
      <c r="L451" s="6408"/>
      <c r="M451" s="6408"/>
      <c r="N451" s="6408"/>
      <c r="O451" s="6408"/>
      <c r="P451" s="6408"/>
      <c r="Q451" s="6408"/>
      <c r="R451" s="6408"/>
      <c r="S451" s="6408"/>
      <c r="T451" s="6408"/>
      <c r="U451" s="6410"/>
      <c r="V451" s="6410"/>
      <c r="W451" s="6410"/>
      <c r="X451" s="6410"/>
      <c r="Y451" s="6410"/>
    </row>
    <row r="452">
      <c r="A452" s="6418"/>
      <c r="B452" s="6418"/>
      <c r="C452" s="6418"/>
      <c r="D452" s="6422"/>
      <c r="E452" s="6422"/>
      <c r="F452" s="6422"/>
      <c r="G452" s="6486"/>
      <c r="H452" s="6422"/>
      <c r="I452" s="6422"/>
      <c r="J452" s="6422"/>
      <c r="K452" s="6408"/>
      <c r="L452" s="6408"/>
      <c r="M452" s="6408"/>
      <c r="N452" s="6408"/>
      <c r="O452" s="6408"/>
      <c r="P452" s="6408"/>
      <c r="Q452" s="6408"/>
      <c r="R452" s="6408"/>
      <c r="S452" s="6408"/>
      <c r="T452" s="6408"/>
      <c r="U452" s="6410"/>
      <c r="V452" s="6410"/>
      <c r="W452" s="6410"/>
      <c r="X452" s="6410"/>
      <c r="Y452" s="6410"/>
    </row>
    <row r="453">
      <c r="A453" s="6644" t="s">
        <v>7139</v>
      </c>
      <c r="B453" s="6644"/>
      <c r="C453" s="6644"/>
      <c r="D453" s="6644"/>
      <c r="E453" s="6644"/>
      <c r="F453" s="6644"/>
      <c r="G453" s="6644"/>
      <c r="H453" s="6644"/>
      <c r="I453" s="6644"/>
      <c r="J453" s="6644"/>
      <c r="K453" s="6645"/>
      <c r="L453" s="6645"/>
      <c r="M453" s="6645"/>
      <c r="N453" s="6645"/>
      <c r="O453" s="6646"/>
      <c r="P453" s="6646"/>
      <c r="Q453" s="6646"/>
      <c r="R453" s="6646"/>
      <c r="S453" s="6646"/>
      <c r="T453" s="6646"/>
      <c r="U453" s="6410"/>
      <c r="V453" s="6410"/>
      <c r="W453" s="6410"/>
      <c r="X453" s="6410"/>
      <c r="Y453" s="6410"/>
    </row>
    <row r="454">
      <c r="A454" s="6647" t="s">
        <v>6757</v>
      </c>
      <c r="B454" s="6648" t="s">
        <v>6758</v>
      </c>
      <c r="C454" s="6648"/>
      <c r="D454" s="6649" t="s">
        <v>6759</v>
      </c>
      <c r="E454" s="6649" t="s">
        <v>6760</v>
      </c>
      <c r="F454" s="6649" t="s">
        <v>6761</v>
      </c>
      <c r="G454" s="6650" t="s">
        <v>6777</v>
      </c>
      <c r="H454" s="6649" t="s">
        <v>6763</v>
      </c>
      <c r="I454" s="6649" t="s">
        <v>6764</v>
      </c>
      <c r="J454" s="6649" t="s">
        <v>6765</v>
      </c>
      <c r="K454" s="6645"/>
      <c r="L454" s="6645"/>
      <c r="M454" s="6645"/>
      <c r="N454" s="6645"/>
      <c r="O454" s="6646"/>
      <c r="P454" s="6646"/>
      <c r="Q454" s="6646"/>
      <c r="R454" s="6646"/>
      <c r="S454" s="6646"/>
      <c r="T454" s="6646"/>
      <c r="U454" s="6410"/>
      <c r="V454" s="6410"/>
      <c r="W454" s="6410"/>
      <c r="X454" s="6410"/>
      <c r="Y454" s="6410"/>
    </row>
    <row r="455">
      <c r="A455" s="6418" t="s">
        <v>7139</v>
      </c>
      <c r="B455" s="6418">
        <v>46210</v>
      </c>
      <c r="C455" s="6418" t="str">
        <v>Tuesday</v>
      </c>
      <c r="D455" s="6419" t="s">
        <v>6828</v>
      </c>
      <c r="E455" s="6419">
        <f t="shared" ref="E455:E465" si="75">24*MOD(TIMEVALUE(TRIM(MID(D455,FIND("-",D455)+1,LEN(D455)))) - TIMEVALUE(TRIM(LEFT(D455,FIND("-",D455)-1))),1)</f>
      </c>
      <c r="F455" s="6422" t="s">
        <v>6815</v>
      </c>
      <c r="G455" s="6431" t="s">
        <v>7140</v>
      </c>
      <c r="H455" s="6442" t="s">
        <v>6769</v>
      </c>
      <c r="I455" s="6419" t="s">
        <v>6770</v>
      </c>
      <c r="J455" s="6419"/>
      <c r="K455" s="6435"/>
      <c r="L455" s="6435"/>
      <c r="M455" s="6435"/>
      <c r="N455" s="6435"/>
      <c r="O455" s="6408"/>
      <c r="P455" s="6408"/>
      <c r="Q455" s="6408"/>
      <c r="R455" s="6408"/>
      <c r="S455" s="6408"/>
      <c r="T455" s="6408"/>
      <c r="U455" s="6410"/>
      <c r="V455" s="6410"/>
      <c r="W455" s="6410"/>
      <c r="X455" s="6410"/>
      <c r="Y455" s="6410"/>
    </row>
    <row r="456">
      <c r="A456" s="6651" t="s">
        <v>7141</v>
      </c>
      <c r="B456" s="6651">
        <v>46210</v>
      </c>
      <c r="C456" s="6651" t="str">
        <v>Tuesday</v>
      </c>
      <c r="D456" s="6652" t="s">
        <v>7142</v>
      </c>
      <c r="E456" s="6652">
        <f t="shared" si="75"/>
      </c>
      <c r="F456" s="6652" t="s">
        <v>7143</v>
      </c>
      <c r="G456" s="6653"/>
      <c r="H456" s="6654" t="s">
        <v>6769</v>
      </c>
      <c r="I456" s="6422" t="s">
        <v>6770</v>
      </c>
      <c r="J456" s="6652"/>
      <c r="K456" s="6435"/>
      <c r="L456" s="6435"/>
      <c r="M456" s="6435"/>
      <c r="N456" s="6435"/>
      <c r="O456" s="6408"/>
      <c r="P456" s="6408"/>
      <c r="Q456" s="6408"/>
      <c r="R456" s="6408"/>
      <c r="S456" s="6408"/>
      <c r="T456" s="6408"/>
      <c r="U456" s="6410"/>
      <c r="V456" s="6410"/>
      <c r="W456" s="6410"/>
      <c r="X456" s="6410"/>
      <c r="Y456" s="6410"/>
    </row>
    <row r="457">
      <c r="A457" s="6418" t="s">
        <v>7139</v>
      </c>
      <c r="B457" s="6418">
        <v>46210</v>
      </c>
      <c r="C457" s="6418" t="str">
        <v>Tuesday</v>
      </c>
      <c r="D457" s="6419" t="s">
        <v>6855</v>
      </c>
      <c r="E457" s="6419">
        <f t="shared" si="75"/>
      </c>
      <c r="F457" s="6422" t="s">
        <v>6849</v>
      </c>
      <c r="G457" s="6431" t="s">
        <v>7115</v>
      </c>
      <c r="H457" s="6442" t="s">
        <v>6769</v>
      </c>
      <c r="I457" s="6419" t="s">
        <v>6770</v>
      </c>
      <c r="J457" s="6419"/>
      <c r="K457" s="6435"/>
      <c r="L457" s="6435"/>
      <c r="M457" s="6435"/>
      <c r="N457" s="6435"/>
      <c r="O457" s="6408"/>
      <c r="P457" s="6408"/>
      <c r="Q457" s="6408"/>
      <c r="R457" s="6408"/>
      <c r="S457" s="6408"/>
      <c r="T457" s="6408"/>
      <c r="U457" s="6410"/>
      <c r="V457" s="6410"/>
      <c r="W457" s="6410"/>
      <c r="X457" s="6410"/>
      <c r="Y457" s="6410"/>
    </row>
    <row r="458">
      <c r="A458" s="6651" t="s">
        <v>7141</v>
      </c>
      <c r="B458" s="6651">
        <v>46210</v>
      </c>
      <c r="C458" s="6651" t="str">
        <v>Tuesday</v>
      </c>
      <c r="D458" s="6652" t="s">
        <v>6855</v>
      </c>
      <c r="E458" s="6652">
        <f t="shared" si="75"/>
      </c>
      <c r="F458" s="6652" t="s">
        <v>7092</v>
      </c>
      <c r="G458" s="6653"/>
      <c r="H458" s="6654" t="s">
        <v>6769</v>
      </c>
      <c r="I458" s="6419" t="s">
        <v>6770</v>
      </c>
      <c r="J458" s="6652"/>
      <c r="K458" s="6435"/>
      <c r="L458" s="6435"/>
      <c r="M458" s="6435"/>
      <c r="N458" s="6435"/>
      <c r="O458" s="6408"/>
      <c r="P458" s="6408"/>
      <c r="Q458" s="6408"/>
      <c r="R458" s="6408"/>
      <c r="S458" s="6408"/>
      <c r="T458" s="6408"/>
      <c r="U458" s="6410"/>
      <c r="V458" s="6410"/>
      <c r="W458" s="6410"/>
      <c r="X458" s="6410"/>
      <c r="Y458" s="6410"/>
    </row>
    <row r="459">
      <c r="A459" s="6418" t="s">
        <v>7139</v>
      </c>
      <c r="B459" s="6418">
        <v>46210</v>
      </c>
      <c r="C459" s="6418" t="str">
        <v>Tuesday</v>
      </c>
      <c r="D459" s="6419" t="s">
        <v>6858</v>
      </c>
      <c r="E459" s="6419">
        <f t="shared" si="75"/>
      </c>
      <c r="F459" s="6422" t="s">
        <v>7117</v>
      </c>
      <c r="G459" s="6431" t="s">
        <v>7140</v>
      </c>
      <c r="H459" s="6442" t="s">
        <v>6769</v>
      </c>
      <c r="I459" s="6419" t="s">
        <v>6770</v>
      </c>
      <c r="J459" s="6419"/>
      <c r="K459" s="6435"/>
      <c r="L459" s="6435"/>
      <c r="M459" s="6435"/>
      <c r="N459" s="6435"/>
      <c r="O459" s="6408"/>
      <c r="P459" s="6408"/>
      <c r="Q459" s="6408"/>
      <c r="R459" s="6408"/>
      <c r="S459" s="6408"/>
      <c r="T459" s="6408"/>
      <c r="U459" s="6410"/>
      <c r="V459" s="6410"/>
      <c r="W459" s="6410"/>
      <c r="X459" s="6410"/>
      <c r="Y459" s="6410"/>
    </row>
    <row r="460">
      <c r="A460" s="6651" t="s">
        <v>7141</v>
      </c>
      <c r="B460" s="6651">
        <v>46210</v>
      </c>
      <c r="C460" s="6651" t="str">
        <v>Tuesday</v>
      </c>
      <c r="D460" s="6652" t="s">
        <v>6858</v>
      </c>
      <c r="E460" s="6652">
        <f t="shared" si="75"/>
      </c>
      <c r="F460" s="6652" t="s">
        <v>7143</v>
      </c>
      <c r="G460" s="6653"/>
      <c r="H460" s="6654" t="s">
        <v>6769</v>
      </c>
      <c r="I460" s="6422" t="s">
        <v>6770</v>
      </c>
      <c r="J460" s="6652"/>
      <c r="K460" s="6435"/>
      <c r="L460" s="6435"/>
      <c r="M460" s="6435"/>
      <c r="N460" s="6435"/>
      <c r="O460" s="6408"/>
      <c r="P460" s="6408"/>
      <c r="Q460" s="6408"/>
      <c r="R460" s="6408"/>
      <c r="S460" s="6408"/>
      <c r="T460" s="6408"/>
      <c r="U460" s="6410"/>
      <c r="V460" s="6410"/>
      <c r="W460" s="6410"/>
      <c r="X460" s="6410"/>
      <c r="Y460" s="6410"/>
    </row>
    <row r="461">
      <c r="A461" s="6418" t="s">
        <v>7139</v>
      </c>
      <c r="B461" s="6418">
        <v>46210</v>
      </c>
      <c r="C461" s="6418" t="str">
        <v>Tuesday</v>
      </c>
      <c r="D461" s="6419" t="s">
        <v>6834</v>
      </c>
      <c r="E461" s="6419">
        <f t="shared" si="75"/>
      </c>
      <c r="F461" s="6422" t="s">
        <v>6962</v>
      </c>
      <c r="G461" s="6431" t="s">
        <v>7144</v>
      </c>
      <c r="H461" s="6442" t="s">
        <v>6769</v>
      </c>
      <c r="I461" s="6419" t="s">
        <v>6770</v>
      </c>
      <c r="J461" s="6419"/>
      <c r="K461" s="6435"/>
      <c r="L461" s="6435"/>
      <c r="M461" s="6435"/>
      <c r="N461" s="6435"/>
      <c r="O461" s="6408"/>
      <c r="P461" s="6408"/>
      <c r="Q461" s="6408"/>
      <c r="R461" s="6408"/>
      <c r="S461" s="6408"/>
      <c r="T461" s="6408"/>
      <c r="U461" s="6410"/>
      <c r="V461" s="6410"/>
      <c r="W461" s="6410"/>
      <c r="X461" s="6410"/>
      <c r="Y461" s="6410"/>
    </row>
    <row r="462">
      <c r="A462" s="6651" t="s">
        <v>7141</v>
      </c>
      <c r="B462" s="6651">
        <v>46210</v>
      </c>
      <c r="C462" s="6651" t="str">
        <v>Tuesday</v>
      </c>
      <c r="D462" s="6652" t="s">
        <v>7043</v>
      </c>
      <c r="E462" s="6652">
        <f t="shared" si="75"/>
      </c>
      <c r="F462" s="6652" t="s">
        <v>7143</v>
      </c>
      <c r="G462" s="6653"/>
      <c r="H462" s="6654" t="s">
        <v>6769</v>
      </c>
      <c r="I462" s="6422" t="s">
        <v>6770</v>
      </c>
      <c r="J462" s="6652"/>
      <c r="K462" s="6435"/>
      <c r="L462" s="6435"/>
      <c r="M462" s="6435"/>
      <c r="N462" s="6435"/>
      <c r="O462" s="6408"/>
      <c r="P462" s="6408"/>
      <c r="Q462" s="6408"/>
      <c r="R462" s="6408"/>
      <c r="S462" s="6408"/>
      <c r="T462" s="6408"/>
      <c r="U462" s="6410"/>
      <c r="V462" s="6410"/>
      <c r="W462" s="6410"/>
      <c r="X462" s="6410"/>
      <c r="Y462" s="6410"/>
    </row>
    <row r="463">
      <c r="A463" s="6651" t="s">
        <v>7141</v>
      </c>
      <c r="B463" s="6651">
        <v>46210</v>
      </c>
      <c r="C463" s="6651" t="str">
        <v>Tuesday</v>
      </c>
      <c r="D463" s="6652" t="s">
        <v>7145</v>
      </c>
      <c r="E463" s="6652">
        <f t="shared" si="75"/>
      </c>
      <c r="F463" s="6652" t="s">
        <v>7143</v>
      </c>
      <c r="G463" s="6653"/>
      <c r="H463" s="6654" t="s">
        <v>6769</v>
      </c>
      <c r="I463" s="6422" t="s">
        <v>6770</v>
      </c>
      <c r="J463" s="6652"/>
      <c r="K463" s="6435"/>
      <c r="L463" s="6435"/>
      <c r="M463" s="6435"/>
      <c r="N463" s="6435"/>
      <c r="O463" s="6408"/>
      <c r="P463" s="6408"/>
      <c r="Q463" s="6408"/>
      <c r="R463" s="6408"/>
      <c r="S463" s="6408"/>
      <c r="T463" s="6408"/>
      <c r="U463" s="6410"/>
      <c r="V463" s="6410"/>
      <c r="W463" s="6410"/>
      <c r="X463" s="6410"/>
      <c r="Y463" s="6410"/>
    </row>
    <row r="464">
      <c r="A464" s="6418" t="s">
        <v>7139</v>
      </c>
      <c r="B464" s="6418">
        <v>46210</v>
      </c>
      <c r="C464" s="6418" t="str">
        <v>Tuesday</v>
      </c>
      <c r="D464" s="6419" t="s">
        <v>7146</v>
      </c>
      <c r="E464" s="6419">
        <f t="shared" si="75"/>
      </c>
      <c r="F464" s="6422" t="s">
        <v>6849</v>
      </c>
      <c r="G464" s="6431" t="s">
        <v>7147</v>
      </c>
      <c r="H464" s="6442" t="s">
        <v>6769</v>
      </c>
      <c r="I464" s="6419" t="s">
        <v>6770</v>
      </c>
      <c r="J464" s="6419"/>
      <c r="K464" s="6435"/>
      <c r="L464" s="6435"/>
      <c r="M464" s="6435"/>
      <c r="N464" s="6435"/>
      <c r="O464" s="6408"/>
      <c r="P464" s="6408"/>
      <c r="Q464" s="6408"/>
      <c r="R464" s="6408"/>
      <c r="S464" s="6408"/>
      <c r="T464" s="6408"/>
      <c r="U464" s="6410"/>
      <c r="V464" s="6410"/>
      <c r="W464" s="6410"/>
      <c r="X464" s="6410"/>
      <c r="Y464" s="6410"/>
    </row>
    <row r="465">
      <c r="A465" s="6651" t="s">
        <v>7141</v>
      </c>
      <c r="B465" s="6651">
        <v>46210</v>
      </c>
      <c r="C465" s="6651" t="str">
        <v>Tuesday</v>
      </c>
      <c r="D465" s="6652" t="s">
        <v>7146</v>
      </c>
      <c r="E465" s="6652">
        <f t="shared" si="75"/>
      </c>
      <c r="F465" s="6652" t="s">
        <v>7143</v>
      </c>
      <c r="G465" s="6653"/>
      <c r="H465" s="6654" t="s">
        <v>6769</v>
      </c>
      <c r="I465" s="6422" t="s">
        <v>6770</v>
      </c>
      <c r="J465" s="6652"/>
      <c r="K465" s="6435"/>
      <c r="L465" s="6435"/>
      <c r="M465" s="6435"/>
      <c r="N465" s="6435"/>
      <c r="O465" s="6408"/>
      <c r="P465" s="6408"/>
      <c r="Q465" s="6408"/>
      <c r="R465" s="6408"/>
      <c r="S465" s="6408"/>
      <c r="T465" s="6408"/>
      <c r="U465" s="6410"/>
      <c r="V465" s="6410"/>
      <c r="W465" s="6410"/>
      <c r="X465" s="6410"/>
      <c r="Y465" s="6410"/>
    </row>
    <row r="466">
      <c r="A466" s="6418" t="s">
        <v>7139</v>
      </c>
      <c r="B466" s="6418"/>
      <c r="C466" s="6418"/>
      <c r="D466" s="6419"/>
      <c r="E466" s="6655">
        <f>E464+E459+E457+E455+E461</f>
      </c>
      <c r="F466" s="6422"/>
      <c r="G466" s="6431"/>
      <c r="H466" s="6442"/>
      <c r="I466" s="6419"/>
      <c r="J466" s="6419"/>
      <c r="K466" s="6435"/>
      <c r="L466" s="6435"/>
      <c r="M466" s="6435"/>
      <c r="N466" s="6435"/>
      <c r="O466" s="6408"/>
      <c r="P466" s="6408"/>
      <c r="Q466" s="6408"/>
      <c r="R466" s="6408"/>
      <c r="S466" s="6408"/>
      <c r="T466" s="6408"/>
      <c r="U466" s="6410"/>
      <c r="V466" s="6410"/>
      <c r="W466" s="6410"/>
      <c r="X466" s="6410"/>
      <c r="Y466" s="6410"/>
    </row>
    <row r="467">
      <c r="A467" s="6418" t="s">
        <v>7139</v>
      </c>
      <c r="B467" s="6418">
        <v>46211</v>
      </c>
      <c r="C467" s="6418" t="str">
        <v>Wednesday</v>
      </c>
      <c r="D467" s="6419" t="s">
        <v>6793</v>
      </c>
      <c r="E467" s="6419">
        <f t="shared" ref="E467:E478" si="76">24*MOD(TIMEVALUE(TRIM(MID(D467,FIND("-",D467)+1,LEN(D467)))) - TIMEVALUE(TRIM(LEFT(D467,FIND("-",D467)-1))),1)</f>
      </c>
      <c r="F467" s="6422" t="s">
        <v>7117</v>
      </c>
      <c r="G467" s="6431" t="s">
        <v>7140</v>
      </c>
      <c r="H467" s="6442" t="s">
        <v>6769</v>
      </c>
      <c r="I467" s="6419" t="s">
        <v>6770</v>
      </c>
      <c r="J467" s="6419"/>
      <c r="K467" s="6435"/>
      <c r="L467" s="6435"/>
      <c r="M467" s="6435"/>
      <c r="N467" s="6435"/>
      <c r="O467" s="6408"/>
      <c r="P467" s="6408"/>
      <c r="Q467" s="6408"/>
      <c r="R467" s="6408"/>
      <c r="S467" s="6408"/>
      <c r="T467" s="6408"/>
      <c r="U467" s="6410"/>
      <c r="V467" s="6410"/>
      <c r="W467" s="6410"/>
      <c r="X467" s="6410"/>
      <c r="Y467" s="6410"/>
    </row>
    <row r="468">
      <c r="A468" s="6651" t="s">
        <v>7141</v>
      </c>
      <c r="B468" s="6651">
        <v>46211</v>
      </c>
      <c r="C468" s="6651" t="str">
        <v>Wednesday</v>
      </c>
      <c r="D468" s="6652" t="s">
        <v>7148</v>
      </c>
      <c r="E468" s="6652">
        <f t="shared" si="76"/>
      </c>
      <c r="F468" s="6652" t="s">
        <v>7143</v>
      </c>
      <c r="G468" s="6653"/>
      <c r="H468" s="6654" t="s">
        <v>6769</v>
      </c>
      <c r="I468" s="6422" t="s">
        <v>6770</v>
      </c>
      <c r="J468" s="6652"/>
      <c r="K468" s="6435"/>
      <c r="L468" s="6435"/>
      <c r="M468" s="6435"/>
      <c r="N468" s="6435"/>
      <c r="O468" s="6408"/>
      <c r="P468" s="6408"/>
      <c r="Q468" s="6408"/>
      <c r="R468" s="6408"/>
      <c r="S468" s="6408"/>
      <c r="T468" s="6408"/>
      <c r="U468" s="6410"/>
      <c r="V468" s="6410"/>
      <c r="W468" s="6410"/>
      <c r="X468" s="6410"/>
      <c r="Y468" s="6410"/>
    </row>
    <row r="469">
      <c r="A469" s="6418" t="s">
        <v>7139</v>
      </c>
      <c r="B469" s="6418">
        <v>46211</v>
      </c>
      <c r="C469" s="6418" t="str">
        <v>Wednesday</v>
      </c>
      <c r="D469" s="6419" t="s">
        <v>6801</v>
      </c>
      <c r="E469" s="6419">
        <f t="shared" si="76"/>
      </c>
      <c r="F469" s="6422" t="s">
        <v>6784</v>
      </c>
      <c r="G469" s="6431" t="s">
        <v>7149</v>
      </c>
      <c r="H469" s="6442" t="s">
        <v>6769</v>
      </c>
      <c r="I469" s="6419" t="s">
        <v>6770</v>
      </c>
      <c r="J469" s="6419"/>
      <c r="K469" s="6435"/>
      <c r="L469" s="6435"/>
      <c r="M469" s="6435"/>
      <c r="N469" s="6435"/>
      <c r="O469" s="6408"/>
      <c r="P469" s="6408"/>
      <c r="Q469" s="6408"/>
      <c r="R469" s="6408"/>
      <c r="S469" s="6408"/>
      <c r="T469" s="6408"/>
      <c r="U469" s="6410"/>
      <c r="V469" s="6410"/>
      <c r="W469" s="6410"/>
      <c r="X469" s="6410"/>
      <c r="Y469" s="6410"/>
    </row>
    <row r="470">
      <c r="A470" s="6651" t="s">
        <v>7141</v>
      </c>
      <c r="B470" s="6651">
        <v>46211</v>
      </c>
      <c r="C470" s="6651" t="str">
        <v>Wednesday</v>
      </c>
      <c r="D470" s="6652" t="s">
        <v>6928</v>
      </c>
      <c r="E470" s="6652">
        <f t="shared" si="76"/>
      </c>
      <c r="F470" s="6652" t="s">
        <v>7143</v>
      </c>
      <c r="G470" s="6653"/>
      <c r="H470" s="6654" t="s">
        <v>6769</v>
      </c>
      <c r="I470" s="6422" t="s">
        <v>6770</v>
      </c>
      <c r="J470" s="6652"/>
      <c r="K470" s="6435"/>
      <c r="L470" s="6435"/>
      <c r="M470" s="6435"/>
      <c r="N470" s="6435"/>
      <c r="O470" s="6408"/>
      <c r="P470" s="6408"/>
      <c r="Q470" s="6408"/>
      <c r="R470" s="6408"/>
      <c r="S470" s="6408"/>
      <c r="T470" s="6408"/>
      <c r="U470" s="6410"/>
      <c r="V470" s="6410"/>
      <c r="W470" s="6410"/>
      <c r="X470" s="6410"/>
      <c r="Y470" s="6410"/>
    </row>
    <row r="471">
      <c r="A471" s="6651" t="s">
        <v>7141</v>
      </c>
      <c r="B471" s="6651">
        <v>46211</v>
      </c>
      <c r="C471" s="6651" t="str">
        <v>Wednesday</v>
      </c>
      <c r="D471" s="6652" t="s">
        <v>6855</v>
      </c>
      <c r="E471" s="6652">
        <f t="shared" si="76"/>
      </c>
      <c r="F471" s="6652" t="s">
        <v>7092</v>
      </c>
      <c r="G471" s="6653"/>
      <c r="H471" s="6654" t="s">
        <v>6769</v>
      </c>
      <c r="I471" s="6419" t="s">
        <v>6770</v>
      </c>
      <c r="J471" s="6652"/>
      <c r="K471" s="6435"/>
      <c r="L471" s="6435"/>
      <c r="M471" s="6435"/>
      <c r="N471" s="6435"/>
      <c r="O471" s="6408"/>
      <c r="P471" s="6408"/>
      <c r="Q471" s="6408"/>
      <c r="R471" s="6408"/>
      <c r="S471" s="6408"/>
      <c r="T471" s="6408"/>
      <c r="U471" s="6410"/>
      <c r="V471" s="6410"/>
      <c r="W471" s="6410"/>
      <c r="X471" s="6410"/>
      <c r="Y471" s="6410"/>
    </row>
    <row r="472">
      <c r="A472" s="6418" t="s">
        <v>7139</v>
      </c>
      <c r="B472" s="6418">
        <v>46211</v>
      </c>
      <c r="C472" s="6418" t="str">
        <v>Wednesday</v>
      </c>
      <c r="D472" s="6419" t="s">
        <v>6858</v>
      </c>
      <c r="E472" s="6419">
        <f t="shared" si="76"/>
      </c>
      <c r="F472" s="6422" t="s">
        <v>6815</v>
      </c>
      <c r="G472" s="6431" t="s">
        <v>7140</v>
      </c>
      <c r="H472" s="6442" t="s">
        <v>6769</v>
      </c>
      <c r="I472" s="6419" t="s">
        <v>6770</v>
      </c>
      <c r="J472" s="6419"/>
      <c r="K472" s="6435"/>
      <c r="L472" s="6435"/>
      <c r="M472" s="6435"/>
      <c r="N472" s="6435"/>
      <c r="O472" s="6408"/>
      <c r="P472" s="6408"/>
      <c r="Q472" s="6408"/>
      <c r="R472" s="6408"/>
      <c r="S472" s="6408"/>
      <c r="T472" s="6408"/>
      <c r="U472" s="6410"/>
      <c r="V472" s="6410"/>
      <c r="W472" s="6410"/>
      <c r="X472" s="6410"/>
      <c r="Y472" s="6410"/>
    </row>
    <row r="473">
      <c r="A473" s="6651" t="s">
        <v>7141</v>
      </c>
      <c r="B473" s="6651">
        <v>46211</v>
      </c>
      <c r="C473" s="6651" t="str">
        <v>Wednesday</v>
      </c>
      <c r="D473" s="6652" t="s">
        <v>6858</v>
      </c>
      <c r="E473" s="6652">
        <f t="shared" si="76"/>
      </c>
      <c r="F473" s="6652" t="s">
        <v>7143</v>
      </c>
      <c r="G473" s="6653"/>
      <c r="H473" s="6654" t="s">
        <v>6769</v>
      </c>
      <c r="I473" s="6422" t="s">
        <v>6770</v>
      </c>
      <c r="J473" s="6652"/>
      <c r="K473" s="6435"/>
      <c r="L473" s="6435"/>
      <c r="M473" s="6435"/>
      <c r="N473" s="6435"/>
      <c r="O473" s="6408"/>
      <c r="P473" s="6408"/>
      <c r="Q473" s="6408"/>
      <c r="R473" s="6408"/>
      <c r="S473" s="6408"/>
      <c r="T473" s="6408"/>
      <c r="U473" s="6410"/>
      <c r="V473" s="6410"/>
      <c r="W473" s="6410"/>
      <c r="X473" s="6410"/>
      <c r="Y473" s="6410"/>
    </row>
    <row r="474">
      <c r="A474" s="6418" t="s">
        <v>7139</v>
      </c>
      <c r="B474" s="6418">
        <v>46211</v>
      </c>
      <c r="C474" s="6418" t="str">
        <v>Wednesday</v>
      </c>
      <c r="D474" s="6419" t="s">
        <v>7017</v>
      </c>
      <c r="E474" s="6419">
        <f t="shared" si="76"/>
      </c>
      <c r="F474" s="6422" t="s">
        <v>7117</v>
      </c>
      <c r="G474" s="6431" t="s">
        <v>7150</v>
      </c>
      <c r="H474" s="6442" t="s">
        <v>6769</v>
      </c>
      <c r="I474" s="6419" t="s">
        <v>6770</v>
      </c>
      <c r="J474" s="6419"/>
      <c r="K474" s="6435"/>
      <c r="L474" s="6435"/>
      <c r="M474" s="6435"/>
      <c r="N474" s="6435"/>
      <c r="O474" s="6408"/>
      <c r="P474" s="6408"/>
      <c r="Q474" s="6408"/>
      <c r="R474" s="6408"/>
      <c r="S474" s="6408"/>
      <c r="T474" s="6408"/>
      <c r="U474" s="6410"/>
      <c r="V474" s="6410"/>
      <c r="W474" s="6410"/>
      <c r="X474" s="6410"/>
      <c r="Y474" s="6410"/>
    </row>
    <row r="475">
      <c r="A475" s="6651" t="s">
        <v>7141</v>
      </c>
      <c r="B475" s="6651">
        <v>46211</v>
      </c>
      <c r="C475" s="6651" t="str">
        <v>Wednesday</v>
      </c>
      <c r="D475" s="6652" t="s">
        <v>7043</v>
      </c>
      <c r="E475" s="6652">
        <f t="shared" si="76"/>
      </c>
      <c r="F475" s="6652" t="s">
        <v>7143</v>
      </c>
      <c r="G475" s="6653"/>
      <c r="H475" s="6654" t="s">
        <v>6769</v>
      </c>
      <c r="I475" s="6422" t="s">
        <v>6770</v>
      </c>
      <c r="J475" s="6652"/>
      <c r="K475" s="6435"/>
      <c r="L475" s="6435"/>
      <c r="M475" s="6435"/>
      <c r="N475" s="6435"/>
      <c r="O475" s="6408"/>
      <c r="P475" s="6408"/>
      <c r="Q475" s="6408"/>
      <c r="R475" s="6408"/>
      <c r="S475" s="6408"/>
      <c r="T475" s="6408"/>
      <c r="U475" s="6410"/>
      <c r="V475" s="6410"/>
      <c r="W475" s="6410"/>
      <c r="X475" s="6410"/>
      <c r="Y475" s="6410"/>
    </row>
    <row r="476">
      <c r="A476" s="6651" t="s">
        <v>7141</v>
      </c>
      <c r="B476" s="6651">
        <v>46211</v>
      </c>
      <c r="C476" s="6651" t="str">
        <v>Wednesday</v>
      </c>
      <c r="D476" s="6652" t="s">
        <v>6974</v>
      </c>
      <c r="E476" s="6652">
        <f t="shared" si="76"/>
      </c>
      <c r="F476" s="6652"/>
      <c r="G476" s="6653"/>
      <c r="H476" s="6654" t="s">
        <v>6769</v>
      </c>
      <c r="I476" s="6422" t="s">
        <v>6857</v>
      </c>
      <c r="J476" s="6652"/>
      <c r="K476" s="6435"/>
      <c r="L476" s="6435"/>
      <c r="M476" s="6435"/>
      <c r="N476" s="6435"/>
      <c r="O476" s="6408"/>
      <c r="P476" s="6408"/>
      <c r="Q476" s="6408"/>
      <c r="R476" s="6408"/>
      <c r="S476" s="6408"/>
      <c r="T476" s="6408"/>
      <c r="U476" s="6410"/>
      <c r="V476" s="6410"/>
      <c r="W476" s="6410"/>
      <c r="X476" s="6410"/>
      <c r="Y476" s="6410"/>
    </row>
    <row r="477">
      <c r="A477" s="6418" t="s">
        <v>7139</v>
      </c>
      <c r="B477" s="6418">
        <v>46211</v>
      </c>
      <c r="C477" s="6418" t="str">
        <v>Wednesday</v>
      </c>
      <c r="D477" s="6419" t="s">
        <v>7151</v>
      </c>
      <c r="E477" s="6419">
        <f t="shared" si="76"/>
      </c>
      <c r="F477" s="6422" t="s">
        <v>6849</v>
      </c>
      <c r="G477" s="6431" t="s">
        <v>7152</v>
      </c>
      <c r="H477" s="6442" t="s">
        <v>6769</v>
      </c>
      <c r="I477" s="6419" t="s">
        <v>6770</v>
      </c>
      <c r="J477" s="6419"/>
      <c r="K477" s="6435"/>
      <c r="L477" s="6435"/>
      <c r="M477" s="6435"/>
      <c r="N477" s="6435"/>
      <c r="O477" s="6408"/>
      <c r="P477" s="6408"/>
      <c r="Q477" s="6408"/>
      <c r="R477" s="6408"/>
      <c r="S477" s="6408"/>
      <c r="T477" s="6408"/>
      <c r="U477" s="6410"/>
      <c r="V477" s="6410"/>
      <c r="W477" s="6410"/>
      <c r="X477" s="6410"/>
      <c r="Y477" s="6410"/>
    </row>
    <row r="478">
      <c r="A478" s="6651" t="s">
        <v>7141</v>
      </c>
      <c r="B478" s="6651">
        <v>46211</v>
      </c>
      <c r="C478" s="6651" t="str">
        <v>Wednesday</v>
      </c>
      <c r="D478" s="6652" t="s">
        <v>7151</v>
      </c>
      <c r="E478" s="6652">
        <f t="shared" si="76"/>
      </c>
      <c r="F478" s="6652"/>
      <c r="G478" s="6653"/>
      <c r="H478" s="6654" t="s">
        <v>6769</v>
      </c>
      <c r="I478" s="6422" t="s">
        <v>6857</v>
      </c>
      <c r="J478" s="6652"/>
      <c r="K478" s="6435"/>
      <c r="L478" s="6435"/>
      <c r="M478" s="6435"/>
      <c r="N478" s="6435"/>
      <c r="O478" s="6408"/>
      <c r="P478" s="6408"/>
      <c r="Q478" s="6408"/>
      <c r="R478" s="6408"/>
      <c r="S478" s="6408"/>
      <c r="T478" s="6408"/>
      <c r="U478" s="6410"/>
      <c r="V478" s="6410"/>
      <c r="W478" s="6410"/>
      <c r="X478" s="6410"/>
      <c r="Y478" s="6410"/>
    </row>
    <row r="479">
      <c r="A479" s="6418" t="s">
        <v>7139</v>
      </c>
      <c r="B479" s="6418"/>
      <c r="C479" s="6418"/>
      <c r="D479" s="6419"/>
      <c r="E479" s="6655">
        <f>E467+E469+E472+E474+E477</f>
      </c>
      <c r="F479" s="6422"/>
      <c r="G479" s="6431"/>
      <c r="H479" s="6442"/>
      <c r="I479" s="6419"/>
      <c r="J479" s="6419"/>
      <c r="K479" s="6435"/>
      <c r="L479" s="6435"/>
      <c r="M479" s="6435"/>
      <c r="N479" s="6435"/>
      <c r="O479" s="6408"/>
      <c r="P479" s="6408"/>
      <c r="Q479" s="6408"/>
      <c r="R479" s="6408"/>
      <c r="S479" s="6408"/>
      <c r="T479" s="6408"/>
      <c r="U479" s="6410"/>
      <c r="V479" s="6410"/>
      <c r="W479" s="6410"/>
      <c r="X479" s="6410"/>
      <c r="Y479" s="6410"/>
    </row>
    <row r="480">
      <c r="A480" s="6418" t="s">
        <v>7139</v>
      </c>
      <c r="B480" s="6418">
        <v>46212</v>
      </c>
      <c r="C480" s="6418" t="str">
        <v>Thursday</v>
      </c>
      <c r="D480" s="6419" t="s">
        <v>6852</v>
      </c>
      <c r="E480" s="6419">
        <f t="shared" ref="E480:E492" si="77">24*MOD(TIMEVALUE(TRIM(MID(D480,FIND("-",D480)+1,LEN(D480)))) - TIMEVALUE(TRIM(LEFT(D480,FIND("-",D480)-1))),1)</f>
      </c>
      <c r="F480" s="6422" t="s">
        <v>6962</v>
      </c>
      <c r="G480" s="6431" t="s">
        <v>7153</v>
      </c>
      <c r="H480" s="6442" t="s">
        <v>6769</v>
      </c>
      <c r="I480" s="6419" t="s">
        <v>6770</v>
      </c>
      <c r="J480" s="6419"/>
      <c r="K480" s="6435"/>
      <c r="L480" s="6435"/>
      <c r="M480" s="6435"/>
      <c r="N480" s="6435"/>
      <c r="O480" s="6408"/>
      <c r="P480" s="6408"/>
      <c r="Q480" s="6408"/>
      <c r="R480" s="6408"/>
      <c r="S480" s="6408"/>
      <c r="T480" s="6408"/>
      <c r="U480" s="6410"/>
      <c r="V480" s="6410"/>
      <c r="W480" s="6410"/>
      <c r="X480" s="6410"/>
      <c r="Y480" s="6410"/>
    </row>
    <row r="481">
      <c r="A481" s="6651" t="s">
        <v>7141</v>
      </c>
      <c r="B481" s="6651">
        <v>46212</v>
      </c>
      <c r="C481" s="6651" t="str">
        <v>Thursday</v>
      </c>
      <c r="D481" s="6652" t="s">
        <v>7154</v>
      </c>
      <c r="E481" s="6652">
        <f t="shared" si="77"/>
      </c>
      <c r="F481" s="6652" t="s">
        <v>7084</v>
      </c>
      <c r="G481" s="6653"/>
      <c r="H481" s="6654" t="s">
        <v>6769</v>
      </c>
      <c r="I481" s="6422" t="s">
        <v>6770</v>
      </c>
      <c r="J481" s="6652"/>
      <c r="K481" s="6435"/>
      <c r="L481" s="6435"/>
      <c r="M481" s="6435"/>
      <c r="N481" s="6435"/>
      <c r="O481" s="6408"/>
      <c r="P481" s="6408"/>
      <c r="Q481" s="6408"/>
      <c r="R481" s="6408"/>
      <c r="S481" s="6408"/>
      <c r="T481" s="6408"/>
      <c r="U481" s="6410"/>
      <c r="V481" s="6410"/>
      <c r="W481" s="6410"/>
      <c r="X481" s="6410"/>
      <c r="Y481" s="6410"/>
    </row>
    <row r="482">
      <c r="A482" s="6418" t="s">
        <v>7139</v>
      </c>
      <c r="B482" s="6418">
        <v>46212</v>
      </c>
      <c r="C482" s="6418" t="str">
        <v>Thursday</v>
      </c>
      <c r="D482" s="6419" t="s">
        <v>6850</v>
      </c>
      <c r="E482" s="6419">
        <f t="shared" si="77"/>
      </c>
      <c r="F482" s="6422" t="s">
        <v>6784</v>
      </c>
      <c r="G482" s="6431" t="s">
        <v>7155</v>
      </c>
      <c r="H482" s="6442" t="s">
        <v>6769</v>
      </c>
      <c r="I482" s="6419" t="s">
        <v>6770</v>
      </c>
      <c r="J482" s="6419"/>
      <c r="K482" s="6435"/>
      <c r="L482" s="6435"/>
      <c r="M482" s="6435"/>
      <c r="N482" s="6435"/>
      <c r="O482" s="6408"/>
      <c r="P482" s="6408"/>
      <c r="Q482" s="6408"/>
      <c r="R482" s="6408"/>
      <c r="S482" s="6408"/>
      <c r="T482" s="6408"/>
      <c r="U482" s="6410"/>
      <c r="V482" s="6410"/>
      <c r="W482" s="6410"/>
      <c r="X482" s="6410"/>
      <c r="Y482" s="6410"/>
    </row>
    <row r="483">
      <c r="A483" s="6651" t="s">
        <v>7141</v>
      </c>
      <c r="B483" s="6651">
        <v>46212</v>
      </c>
      <c r="C483" s="6651" t="str">
        <v>Thursday</v>
      </c>
      <c r="D483" s="6652" t="s">
        <v>6884</v>
      </c>
      <c r="E483" s="6652">
        <f t="shared" si="77"/>
      </c>
      <c r="F483" s="6652"/>
      <c r="G483" s="6653" t="s">
        <v>7156</v>
      </c>
      <c r="H483" s="6654" t="s">
        <v>6769</v>
      </c>
      <c r="I483" s="6422" t="s">
        <v>6770</v>
      </c>
      <c r="J483" s="6652"/>
      <c r="K483" s="6435"/>
      <c r="L483" s="6435"/>
      <c r="M483" s="6435"/>
      <c r="N483" s="6435"/>
      <c r="O483" s="6408"/>
      <c r="P483" s="6408"/>
      <c r="Q483" s="6408"/>
      <c r="R483" s="6408"/>
      <c r="S483" s="6408"/>
      <c r="T483" s="6408"/>
      <c r="U483" s="6410"/>
      <c r="V483" s="6410"/>
      <c r="W483" s="6410"/>
      <c r="X483" s="6410"/>
      <c r="Y483" s="6410"/>
    </row>
    <row r="484">
      <c r="A484" s="6651" t="s">
        <v>7141</v>
      </c>
      <c r="B484" s="6651">
        <v>46212</v>
      </c>
      <c r="C484" s="6651" t="str">
        <v>Thursday</v>
      </c>
      <c r="D484" s="6652" t="s">
        <v>6850</v>
      </c>
      <c r="E484" s="6652">
        <f t="shared" si="77"/>
      </c>
      <c r="F484" s="6652" t="s">
        <v>7076</v>
      </c>
      <c r="G484" s="6653"/>
      <c r="H484" s="6654" t="s">
        <v>6769</v>
      </c>
      <c r="I484" s="6422" t="s">
        <v>6770</v>
      </c>
      <c r="J484" s="6652"/>
      <c r="K484" s="6435"/>
      <c r="L484" s="6435"/>
      <c r="M484" s="6435"/>
      <c r="N484" s="6435"/>
      <c r="O484" s="6408"/>
      <c r="P484" s="6408"/>
      <c r="Q484" s="6408"/>
      <c r="R484" s="6408"/>
      <c r="S484" s="6408"/>
      <c r="T484" s="6408"/>
      <c r="U484" s="6410"/>
      <c r="V484" s="6410"/>
      <c r="W484" s="6410"/>
      <c r="X484" s="6410"/>
      <c r="Y484" s="6410"/>
    </row>
    <row r="485">
      <c r="A485" s="6418" t="s">
        <v>7139</v>
      </c>
      <c r="B485" s="6418">
        <v>46212</v>
      </c>
      <c r="C485" s="6418" t="str">
        <v>Thursday</v>
      </c>
      <c r="D485" s="6419" t="s">
        <v>6801</v>
      </c>
      <c r="E485" s="6419">
        <f t="shared" si="77"/>
      </c>
      <c r="F485" s="6422" t="s">
        <v>6962</v>
      </c>
      <c r="G485" s="6431"/>
      <c r="H485" s="6442" t="s">
        <v>6769</v>
      </c>
      <c r="I485" s="6419" t="s">
        <v>6770</v>
      </c>
      <c r="J485" s="6419"/>
      <c r="K485" s="6435"/>
      <c r="L485" s="6435"/>
      <c r="M485" s="6435"/>
      <c r="N485" s="6435"/>
      <c r="O485" s="6408"/>
      <c r="P485" s="6408"/>
      <c r="Q485" s="6408"/>
      <c r="R485" s="6408"/>
      <c r="S485" s="6408"/>
      <c r="T485" s="6408"/>
      <c r="U485" s="6410"/>
      <c r="V485" s="6410"/>
      <c r="W485" s="6410"/>
      <c r="X485" s="6410"/>
      <c r="Y485" s="6410"/>
    </row>
    <row r="486">
      <c r="A486" s="6651" t="s">
        <v>7141</v>
      </c>
      <c r="B486" s="6651">
        <v>46212</v>
      </c>
      <c r="C486" s="6651" t="str">
        <v>Thursday</v>
      </c>
      <c r="D486" s="6652" t="s">
        <v>6801</v>
      </c>
      <c r="E486" s="6652">
        <f t="shared" si="77"/>
      </c>
      <c r="F486" s="6652" t="s">
        <v>7076</v>
      </c>
      <c r="G486" s="6653"/>
      <c r="H486" s="6654" t="s">
        <v>6769</v>
      </c>
      <c r="I486" s="6422" t="s">
        <v>6770</v>
      </c>
      <c r="J486" s="6652"/>
      <c r="K486" s="6435"/>
      <c r="L486" s="6435"/>
      <c r="M486" s="6435"/>
      <c r="N486" s="6435"/>
      <c r="O486" s="6408"/>
      <c r="P486" s="6408"/>
      <c r="Q486" s="6408"/>
      <c r="R486" s="6408"/>
      <c r="S486" s="6408"/>
      <c r="T486" s="6408"/>
      <c r="U486" s="6410"/>
      <c r="V486" s="6410"/>
      <c r="W486" s="6410"/>
      <c r="X486" s="6410"/>
      <c r="Y486" s="6410"/>
    </row>
    <row r="487">
      <c r="A487" s="6418" t="s">
        <v>7139</v>
      </c>
      <c r="B487" s="6418">
        <v>46212</v>
      </c>
      <c r="C487" s="6418" t="str">
        <v>Thursday</v>
      </c>
      <c r="D487" s="6419" t="s">
        <v>6858</v>
      </c>
      <c r="E487" s="6419">
        <f t="shared" si="77"/>
      </c>
      <c r="F487" s="6422" t="s">
        <v>7117</v>
      </c>
      <c r="G487" s="6431" t="s">
        <v>7153</v>
      </c>
      <c r="H487" s="6442" t="s">
        <v>6769</v>
      </c>
      <c r="I487" s="6419" t="s">
        <v>6770</v>
      </c>
      <c r="J487" s="6419"/>
      <c r="K487" s="6435"/>
      <c r="L487" s="6435"/>
      <c r="M487" s="6435"/>
      <c r="N487" s="6435"/>
      <c r="O487" s="6408"/>
      <c r="P487" s="6408"/>
      <c r="Q487" s="6408"/>
      <c r="R487" s="6408"/>
      <c r="S487" s="6408"/>
      <c r="T487" s="6408"/>
      <c r="U487" s="6410"/>
      <c r="V487" s="6410"/>
      <c r="W487" s="6410"/>
      <c r="X487" s="6410"/>
      <c r="Y487" s="6410"/>
    </row>
    <row r="488">
      <c r="A488" s="6651" t="s">
        <v>7141</v>
      </c>
      <c r="B488" s="6651">
        <v>46212</v>
      </c>
      <c r="C488" s="6651" t="str">
        <v>Thursday</v>
      </c>
      <c r="D488" s="6652" t="s">
        <v>6858</v>
      </c>
      <c r="E488" s="6652">
        <f t="shared" si="77"/>
      </c>
      <c r="F488" s="6652" t="s">
        <v>7084</v>
      </c>
      <c r="G488" s="6653"/>
      <c r="H488" s="6654" t="s">
        <v>6769</v>
      </c>
      <c r="I488" s="6422" t="s">
        <v>6770</v>
      </c>
      <c r="J488" s="6652"/>
      <c r="K488" s="6435"/>
      <c r="L488" s="6435"/>
      <c r="M488" s="6435"/>
      <c r="N488" s="6435"/>
      <c r="O488" s="6408"/>
      <c r="P488" s="6408"/>
      <c r="Q488" s="6408"/>
      <c r="R488" s="6408"/>
      <c r="S488" s="6408"/>
      <c r="T488" s="6408"/>
      <c r="U488" s="6410"/>
      <c r="V488" s="6410"/>
      <c r="W488" s="6410"/>
      <c r="X488" s="6410"/>
      <c r="Y488" s="6410"/>
    </row>
    <row r="489">
      <c r="A489" s="6418" t="s">
        <v>7139</v>
      </c>
      <c r="B489" s="6418">
        <v>46212</v>
      </c>
      <c r="C489" s="6418" t="str">
        <v>Thursday</v>
      </c>
      <c r="D489" s="6419" t="s">
        <v>6834</v>
      </c>
      <c r="E489" s="6419">
        <f t="shared" si="77"/>
      </c>
      <c r="F489" s="6422" t="s">
        <v>6962</v>
      </c>
      <c r="G489" s="6431" t="s">
        <v>7087</v>
      </c>
      <c r="H489" s="6442" t="s">
        <v>6769</v>
      </c>
      <c r="I489" s="6419" t="s">
        <v>6770</v>
      </c>
      <c r="J489" s="6419"/>
      <c r="K489" s="6435"/>
      <c r="L489" s="6435"/>
      <c r="M489" s="6435"/>
      <c r="N489" s="6435"/>
      <c r="O489" s="6408"/>
      <c r="P489" s="6408"/>
      <c r="Q489" s="6408"/>
      <c r="R489" s="6408"/>
      <c r="S489" s="6408"/>
      <c r="T489" s="6408"/>
      <c r="U489" s="6410"/>
      <c r="V489" s="6410"/>
      <c r="W489" s="6410"/>
      <c r="X489" s="6410"/>
      <c r="Y489" s="6410"/>
    </row>
    <row r="490">
      <c r="A490" s="6651" t="s">
        <v>7141</v>
      </c>
      <c r="B490" s="6651">
        <v>46212</v>
      </c>
      <c r="C490" s="6651" t="str">
        <v>Thursday</v>
      </c>
      <c r="D490" s="6652" t="s">
        <v>6834</v>
      </c>
      <c r="E490" s="6652">
        <f t="shared" si="77"/>
      </c>
      <c r="F490" s="6652" t="s">
        <v>7076</v>
      </c>
      <c r="G490" s="6653"/>
      <c r="H490" s="6654" t="s">
        <v>6769</v>
      </c>
      <c r="I490" s="6422" t="s">
        <v>6770</v>
      </c>
      <c r="J490" s="6652"/>
      <c r="K490" s="6435"/>
      <c r="L490" s="6435"/>
      <c r="M490" s="6435"/>
      <c r="N490" s="6435"/>
      <c r="O490" s="6408"/>
      <c r="P490" s="6408"/>
      <c r="Q490" s="6408"/>
      <c r="R490" s="6408"/>
      <c r="S490" s="6408"/>
      <c r="T490" s="6408"/>
      <c r="U490" s="6410"/>
      <c r="V490" s="6410"/>
      <c r="W490" s="6410"/>
      <c r="X490" s="6410"/>
      <c r="Y490" s="6410"/>
    </row>
    <row r="491">
      <c r="A491" s="6418" t="s">
        <v>7139</v>
      </c>
      <c r="B491" s="6418">
        <v>46212</v>
      </c>
      <c r="C491" s="6418" t="str">
        <v>Thursday</v>
      </c>
      <c r="D491" s="6419" t="s">
        <v>7146</v>
      </c>
      <c r="E491" s="6419">
        <f t="shared" si="77"/>
      </c>
      <c r="F491" s="6422" t="s">
        <v>7117</v>
      </c>
      <c r="G491" s="6431" t="s">
        <v>7087</v>
      </c>
      <c r="H491" s="6442" t="s">
        <v>6769</v>
      </c>
      <c r="I491" s="6419" t="s">
        <v>6770</v>
      </c>
      <c r="J491" s="6419"/>
      <c r="K491" s="6435"/>
      <c r="L491" s="6435"/>
      <c r="M491" s="6435"/>
      <c r="N491" s="6435"/>
      <c r="O491" s="6408"/>
      <c r="P491" s="6408"/>
      <c r="Q491" s="6408"/>
      <c r="R491" s="6408"/>
      <c r="S491" s="6408"/>
      <c r="T491" s="6408"/>
      <c r="U491" s="6410"/>
      <c r="V491" s="6410"/>
      <c r="W491" s="6410"/>
      <c r="X491" s="6410"/>
      <c r="Y491" s="6410"/>
    </row>
    <row r="492">
      <c r="A492" s="6651" t="s">
        <v>7141</v>
      </c>
      <c r="B492" s="6651">
        <v>46212</v>
      </c>
      <c r="C492" s="6651" t="str">
        <v>Thursday</v>
      </c>
      <c r="D492" s="6652" t="s">
        <v>7146</v>
      </c>
      <c r="E492" s="6652">
        <f t="shared" si="77"/>
      </c>
      <c r="F492" s="6652" t="s">
        <v>7076</v>
      </c>
      <c r="G492" s="6653"/>
      <c r="H492" s="6654" t="s">
        <v>6769</v>
      </c>
      <c r="I492" s="6422" t="s">
        <v>6770</v>
      </c>
      <c r="J492" s="6652"/>
      <c r="K492" s="6435"/>
      <c r="L492" s="6435"/>
      <c r="M492" s="6435"/>
      <c r="N492" s="6435"/>
      <c r="O492" s="6408"/>
      <c r="P492" s="6408"/>
      <c r="Q492" s="6408"/>
      <c r="R492" s="6408"/>
      <c r="S492" s="6408"/>
      <c r="T492" s="6408"/>
      <c r="U492" s="6410"/>
      <c r="V492" s="6410"/>
      <c r="W492" s="6410"/>
      <c r="X492" s="6410"/>
      <c r="Y492" s="6410"/>
    </row>
    <row r="493">
      <c r="A493" s="6418" t="s">
        <v>7139</v>
      </c>
      <c r="B493" s="6418"/>
      <c r="C493" s="6418"/>
      <c r="D493" s="6419"/>
      <c r="E493" s="6655">
        <f>E480+E482+E485+E487+E489+E491</f>
      </c>
      <c r="F493" s="6422"/>
      <c r="G493" s="6431"/>
      <c r="H493" s="6442"/>
      <c r="I493" s="6419"/>
      <c r="J493" s="6419"/>
      <c r="K493" s="6435"/>
      <c r="L493" s="6435"/>
      <c r="M493" s="6435"/>
      <c r="N493" s="6435"/>
      <c r="O493" s="6408"/>
      <c r="P493" s="6408"/>
      <c r="Q493" s="6408"/>
      <c r="R493" s="6408"/>
      <c r="S493" s="6408"/>
      <c r="T493" s="6408"/>
      <c r="U493" s="6410"/>
      <c r="V493" s="6410"/>
      <c r="W493" s="6410"/>
      <c r="X493" s="6410"/>
      <c r="Y493" s="6410"/>
    </row>
    <row r="494">
      <c r="A494" s="6418" t="s">
        <v>7139</v>
      </c>
      <c r="B494" s="6418">
        <v>46213</v>
      </c>
      <c r="C494" s="6418" t="str">
        <v>Friday</v>
      </c>
      <c r="D494" s="6419" t="s">
        <v>6836</v>
      </c>
      <c r="E494" s="6419">
        <f t="shared" ref="E494:E501" si="78">24*MOD(TIMEVALUE(TRIM(MID(D494,FIND("-",D494)+1,LEN(D494)))) - TIMEVALUE(TRIM(LEFT(D494,FIND("-",D494)-1))),1)</f>
      </c>
      <c r="F494" s="6422" t="s">
        <v>7084</v>
      </c>
      <c r="G494" s="6431" t="s">
        <v>7157</v>
      </c>
      <c r="H494" s="6442" t="s">
        <v>6769</v>
      </c>
      <c r="I494" s="6422" t="s">
        <v>6770</v>
      </c>
      <c r="J494" s="6419"/>
      <c r="K494" s="6435"/>
      <c r="L494" s="6435"/>
      <c r="M494" s="6435"/>
      <c r="N494" s="6435"/>
      <c r="O494" s="6408"/>
      <c r="P494" s="6408"/>
      <c r="Q494" s="6408"/>
      <c r="R494" s="6408"/>
      <c r="S494" s="6408"/>
      <c r="T494" s="6408"/>
      <c r="U494" s="6410"/>
      <c r="V494" s="6410"/>
      <c r="W494" s="6410"/>
      <c r="X494" s="6410"/>
      <c r="Y494" s="6410"/>
    </row>
    <row r="495">
      <c r="A495" s="6651" t="s">
        <v>7141</v>
      </c>
      <c r="B495" s="6651">
        <v>46213</v>
      </c>
      <c r="C495" s="6651" t="str">
        <v>Friday</v>
      </c>
      <c r="D495" s="6652" t="s">
        <v>7158</v>
      </c>
      <c r="E495" s="6652">
        <f t="shared" si="78"/>
      </c>
      <c r="F495" s="6652"/>
      <c r="G495" s="6653"/>
      <c r="H495" s="6654" t="s">
        <v>6769</v>
      </c>
      <c r="I495" s="6422" t="s">
        <v>6770</v>
      </c>
      <c r="J495" s="6652"/>
      <c r="K495" s="6435"/>
      <c r="L495" s="6435"/>
      <c r="M495" s="6435"/>
      <c r="N495" s="6435"/>
      <c r="O495" s="6408"/>
      <c r="P495" s="6408"/>
      <c r="Q495" s="6408"/>
      <c r="R495" s="6408"/>
      <c r="S495" s="6408"/>
      <c r="T495" s="6408"/>
      <c r="U495" s="6410"/>
      <c r="V495" s="6410"/>
      <c r="W495" s="6410"/>
      <c r="X495" s="6410"/>
      <c r="Y495" s="6410"/>
    </row>
    <row r="496">
      <c r="A496" s="6651" t="s">
        <v>7141</v>
      </c>
      <c r="B496" s="6651">
        <v>46213</v>
      </c>
      <c r="C496" s="6651" t="str">
        <v>Friday</v>
      </c>
      <c r="D496" s="6652" t="s">
        <v>6850</v>
      </c>
      <c r="E496" s="6652">
        <f t="shared" si="78"/>
      </c>
      <c r="F496" s="6652"/>
      <c r="G496" s="6653"/>
      <c r="H496" s="6654" t="s">
        <v>6769</v>
      </c>
      <c r="I496" s="6422" t="s">
        <v>6857</v>
      </c>
      <c r="J496" s="6652"/>
      <c r="K496" s="6435"/>
      <c r="L496" s="6435"/>
      <c r="M496" s="6435"/>
      <c r="N496" s="6435"/>
      <c r="O496" s="6408"/>
      <c r="P496" s="6408"/>
      <c r="Q496" s="6408"/>
      <c r="R496" s="6408"/>
      <c r="S496" s="6408"/>
      <c r="T496" s="6408"/>
      <c r="U496" s="6410"/>
      <c r="V496" s="6410"/>
      <c r="W496" s="6410"/>
      <c r="X496" s="6410"/>
      <c r="Y496" s="6410"/>
    </row>
    <row r="497">
      <c r="A497" s="6418" t="s">
        <v>7139</v>
      </c>
      <c r="B497" s="6418">
        <v>46213</v>
      </c>
      <c r="C497" s="6418" t="str">
        <v>Friday</v>
      </c>
      <c r="D497" s="6419" t="s">
        <v>6783</v>
      </c>
      <c r="E497" s="6419">
        <f t="shared" si="78"/>
      </c>
      <c r="F497" s="6422" t="s">
        <v>6849</v>
      </c>
      <c r="G497" s="6431" t="s">
        <v>7159</v>
      </c>
      <c r="H497" s="6442" t="s">
        <v>6769</v>
      </c>
      <c r="I497" s="6419" t="s">
        <v>6770</v>
      </c>
      <c r="J497" s="6419"/>
      <c r="K497" s="6435"/>
      <c r="L497" s="6435"/>
      <c r="M497" s="6435"/>
      <c r="N497" s="6435"/>
      <c r="O497" s="6408"/>
      <c r="P497" s="6408"/>
      <c r="Q497" s="6408"/>
      <c r="R497" s="6408"/>
      <c r="S497" s="6408"/>
      <c r="T497" s="6408"/>
      <c r="U497" s="6410"/>
      <c r="V497" s="6410"/>
      <c r="W497" s="6410"/>
      <c r="X497" s="6410"/>
      <c r="Y497" s="6410"/>
    </row>
    <row r="498">
      <c r="A498" s="6651" t="s">
        <v>7141</v>
      </c>
      <c r="B498" s="6651">
        <v>46213</v>
      </c>
      <c r="C498" s="6651" t="str">
        <v>Friday</v>
      </c>
      <c r="D498" s="6652" t="s">
        <v>6928</v>
      </c>
      <c r="E498" s="6652">
        <f t="shared" si="78"/>
      </c>
      <c r="F498" s="6652" t="s">
        <v>7092</v>
      </c>
      <c r="G498" s="6653"/>
      <c r="H498" s="6654" t="s">
        <v>6769</v>
      </c>
      <c r="I498" s="6419" t="s">
        <v>6770</v>
      </c>
      <c r="J498" s="6652"/>
      <c r="K498" s="6435"/>
      <c r="L498" s="6435"/>
      <c r="M498" s="6435"/>
      <c r="N498" s="6435"/>
      <c r="O498" s="6408"/>
      <c r="P498" s="6408"/>
      <c r="Q498" s="6408"/>
      <c r="R498" s="6408"/>
      <c r="S498" s="6408"/>
      <c r="T498" s="6408"/>
      <c r="U498" s="6410"/>
      <c r="V498" s="6410"/>
      <c r="W498" s="6410"/>
      <c r="X498" s="6410"/>
      <c r="Y498" s="6410"/>
    </row>
    <row r="499">
      <c r="A499" s="6651" t="s">
        <v>7141</v>
      </c>
      <c r="B499" s="6651">
        <v>46213</v>
      </c>
      <c r="C499" s="6651" t="str">
        <v>Friday</v>
      </c>
      <c r="D499" s="6652" t="s">
        <v>6855</v>
      </c>
      <c r="E499" s="6652">
        <f t="shared" si="78"/>
      </c>
      <c r="F499" s="6652" t="s">
        <v>7076</v>
      </c>
      <c r="G499" s="6653"/>
      <c r="H499" s="6654" t="s">
        <v>6769</v>
      </c>
      <c r="I499" s="6422" t="s">
        <v>6770</v>
      </c>
      <c r="J499" s="6652"/>
      <c r="K499" s="6435"/>
      <c r="L499" s="6435"/>
      <c r="M499" s="6435"/>
      <c r="N499" s="6435"/>
      <c r="O499" s="6408"/>
      <c r="P499" s="6408"/>
      <c r="Q499" s="6408"/>
      <c r="R499" s="6408"/>
      <c r="S499" s="6408"/>
      <c r="T499" s="6408"/>
      <c r="U499" s="6410"/>
      <c r="V499" s="6410"/>
      <c r="W499" s="6410"/>
      <c r="X499" s="6410"/>
      <c r="Y499" s="6410"/>
    </row>
    <row r="500">
      <c r="A500" s="6418" t="s">
        <v>7139</v>
      </c>
      <c r="B500" s="6418">
        <v>46213</v>
      </c>
      <c r="C500" s="6418" t="str">
        <v>Friday</v>
      </c>
      <c r="D500" s="6419" t="s">
        <v>6785</v>
      </c>
      <c r="E500" s="6419">
        <f t="shared" si="78"/>
      </c>
      <c r="F500" s="6422" t="s">
        <v>6962</v>
      </c>
      <c r="G500" s="6431" t="s">
        <v>7087</v>
      </c>
      <c r="H500" s="6442" t="s">
        <v>6769</v>
      </c>
      <c r="I500" s="6419" t="s">
        <v>6770</v>
      </c>
      <c r="J500" s="6419"/>
      <c r="K500" s="6435"/>
      <c r="L500" s="6435"/>
      <c r="M500" s="6435"/>
      <c r="N500" s="6435"/>
      <c r="O500" s="6408"/>
      <c r="P500" s="6408"/>
      <c r="Q500" s="6408"/>
      <c r="R500" s="6408"/>
      <c r="S500" s="6408"/>
      <c r="T500" s="6408"/>
      <c r="U500" s="6410"/>
      <c r="V500" s="6410"/>
      <c r="W500" s="6410"/>
      <c r="X500" s="6410"/>
      <c r="Y500" s="6410"/>
    </row>
    <row r="501">
      <c r="A501" s="6651" t="s">
        <v>7141</v>
      </c>
      <c r="B501" s="6651">
        <v>46213</v>
      </c>
      <c r="C501" s="6651" t="str">
        <v>Friday</v>
      </c>
      <c r="D501" s="6652" t="s">
        <v>6785</v>
      </c>
      <c r="E501" s="6652">
        <f t="shared" si="78"/>
      </c>
      <c r="F501" s="6652" t="s">
        <v>7076</v>
      </c>
      <c r="G501" s="6653"/>
      <c r="H501" s="6654" t="s">
        <v>6769</v>
      </c>
      <c r="I501" s="6422" t="s">
        <v>6770</v>
      </c>
      <c r="J501" s="6652"/>
      <c r="K501" s="6435"/>
      <c r="L501" s="6435"/>
      <c r="M501" s="6435"/>
      <c r="N501" s="6435"/>
      <c r="O501" s="6408"/>
      <c r="P501" s="6408"/>
      <c r="Q501" s="6408"/>
      <c r="R501" s="6408"/>
      <c r="S501" s="6408"/>
      <c r="T501" s="6408"/>
      <c r="U501" s="6410"/>
      <c r="V501" s="6410"/>
      <c r="W501" s="6410"/>
      <c r="X501" s="6410"/>
      <c r="Y501" s="6410"/>
    </row>
    <row r="502">
      <c r="A502" s="6418" t="s">
        <v>7139</v>
      </c>
      <c r="B502" s="6418"/>
      <c r="C502" s="6418"/>
      <c r="D502" s="6419"/>
      <c r="E502" s="6655">
        <f>E497+E494+E500</f>
      </c>
      <c r="F502" s="6422"/>
      <c r="G502" s="6431"/>
      <c r="H502" s="6442"/>
      <c r="I502" s="6419"/>
      <c r="J502" s="6419"/>
      <c r="K502" s="6435"/>
      <c r="L502" s="6435"/>
      <c r="M502" s="6435"/>
      <c r="N502" s="6435"/>
      <c r="O502" s="6408"/>
      <c r="P502" s="6408"/>
      <c r="Q502" s="6408"/>
      <c r="R502" s="6408"/>
      <c r="S502" s="6408"/>
      <c r="T502" s="6408"/>
      <c r="U502" s="6410"/>
      <c r="V502" s="6410"/>
      <c r="W502" s="6410"/>
      <c r="X502" s="6410"/>
      <c r="Y502" s="6410"/>
    </row>
    <row r="503">
      <c r="A503" s="6418" t="s">
        <v>7139</v>
      </c>
      <c r="B503" s="6418">
        <v>46214</v>
      </c>
      <c r="C503" s="6418" t="str">
        <v>Saturday</v>
      </c>
      <c r="D503" s="6419" t="s">
        <v>6793</v>
      </c>
      <c r="E503" s="6419">
        <f t="shared" ref="E503:E512" si="79">24*MOD(TIMEVALUE(TRIM(MID(D503,FIND("-",D503)+1,LEN(D503)))) - TIMEVALUE(TRIM(LEFT(D503,FIND("-",D503)-1))),1)</f>
      </c>
      <c r="F503" s="6422" t="s">
        <v>6962</v>
      </c>
      <c r="G503" s="6431" t="s">
        <v>7140</v>
      </c>
      <c r="H503" s="6442" t="s">
        <v>6769</v>
      </c>
      <c r="I503" s="6419" t="s">
        <v>6770</v>
      </c>
      <c r="J503" s="6419"/>
      <c r="K503" s="6435"/>
      <c r="L503" s="6435"/>
      <c r="M503" s="6435"/>
      <c r="N503" s="6435"/>
      <c r="O503" s="6408"/>
      <c r="P503" s="6408"/>
      <c r="Q503" s="6408"/>
      <c r="R503" s="6408"/>
      <c r="S503" s="6408"/>
      <c r="T503" s="6408"/>
      <c r="U503" s="6410"/>
      <c r="V503" s="6410"/>
      <c r="W503" s="6410"/>
      <c r="X503" s="6410"/>
      <c r="Y503" s="6410"/>
    </row>
    <row r="504">
      <c r="A504" s="6651" t="s">
        <v>7141</v>
      </c>
      <c r="B504" s="6651">
        <v>46214</v>
      </c>
      <c r="C504" s="6651" t="str">
        <v>Saturday</v>
      </c>
      <c r="D504" s="6652" t="s">
        <v>7148</v>
      </c>
      <c r="E504" s="6652">
        <f t="shared" si="79"/>
      </c>
      <c r="F504" s="6652" t="s">
        <v>7143</v>
      </c>
      <c r="G504" s="6653"/>
      <c r="H504" s="6654" t="s">
        <v>6769</v>
      </c>
      <c r="I504" s="6422" t="s">
        <v>6770</v>
      </c>
      <c r="J504" s="6652"/>
      <c r="K504" s="6435"/>
      <c r="L504" s="6435"/>
      <c r="M504" s="6435"/>
      <c r="N504" s="6435"/>
      <c r="O504" s="6408"/>
      <c r="P504" s="6408"/>
      <c r="Q504" s="6408"/>
      <c r="R504" s="6408"/>
      <c r="S504" s="6408"/>
      <c r="T504" s="6408"/>
      <c r="U504" s="6410"/>
      <c r="V504" s="6410"/>
      <c r="W504" s="6410"/>
      <c r="X504" s="6410"/>
      <c r="Y504" s="6410"/>
    </row>
    <row r="505">
      <c r="A505" s="6418" t="s">
        <v>7139</v>
      </c>
      <c r="B505" s="6418">
        <v>46214</v>
      </c>
      <c r="C505" s="6418" t="str">
        <v>Saturday</v>
      </c>
      <c r="D505" s="6419" t="s">
        <v>6801</v>
      </c>
      <c r="E505" s="6419">
        <f t="shared" si="79"/>
      </c>
      <c r="F505" s="6422" t="s">
        <v>7048</v>
      </c>
      <c r="G505" s="6431" t="s">
        <v>7160</v>
      </c>
      <c r="H505" s="6442" t="s">
        <v>6769</v>
      </c>
      <c r="I505" s="6422" t="s">
        <v>6770</v>
      </c>
      <c r="J505" s="6419"/>
      <c r="K505" s="6435"/>
      <c r="L505" s="6435"/>
      <c r="M505" s="6435"/>
      <c r="N505" s="6435"/>
      <c r="O505" s="6408"/>
      <c r="P505" s="6408"/>
      <c r="Q505" s="6408"/>
      <c r="R505" s="6408"/>
      <c r="S505" s="6408"/>
      <c r="T505" s="6408"/>
      <c r="U505" s="6410"/>
      <c r="V505" s="6410"/>
      <c r="W505" s="6410"/>
      <c r="X505" s="6410"/>
      <c r="Y505" s="6410"/>
    </row>
    <row r="506">
      <c r="A506" s="6651" t="s">
        <v>7141</v>
      </c>
      <c r="B506" s="6651">
        <v>46214</v>
      </c>
      <c r="C506" s="6651" t="str">
        <v>Saturday</v>
      </c>
      <c r="D506" s="6652" t="s">
        <v>6928</v>
      </c>
      <c r="E506" s="6652">
        <f t="shared" si="79"/>
      </c>
      <c r="F506" s="6652" t="s">
        <v>7143</v>
      </c>
      <c r="G506" s="6653"/>
      <c r="H506" s="6654" t="s">
        <v>6769</v>
      </c>
      <c r="I506" s="6422" t="s">
        <v>6770</v>
      </c>
      <c r="J506" s="6652"/>
      <c r="K506" s="6435"/>
      <c r="L506" s="6435"/>
      <c r="M506" s="6435"/>
      <c r="N506" s="6435"/>
      <c r="O506" s="6408"/>
      <c r="P506" s="6408"/>
      <c r="Q506" s="6408"/>
      <c r="R506" s="6408"/>
      <c r="S506" s="6408"/>
      <c r="T506" s="6408"/>
      <c r="U506" s="6410"/>
      <c r="V506" s="6410"/>
      <c r="W506" s="6410"/>
      <c r="X506" s="6410"/>
      <c r="Y506" s="6410"/>
    </row>
    <row r="507">
      <c r="A507" s="6651" t="s">
        <v>7141</v>
      </c>
      <c r="B507" s="6651">
        <v>46214</v>
      </c>
      <c r="C507" s="6651" t="str">
        <v>Saturday</v>
      </c>
      <c r="D507" s="6652" t="s">
        <v>6855</v>
      </c>
      <c r="E507" s="6652">
        <f t="shared" si="79"/>
      </c>
      <c r="F507" s="6652" t="s">
        <v>7076</v>
      </c>
      <c r="G507" s="6653"/>
      <c r="H507" s="6654" t="s">
        <v>6769</v>
      </c>
      <c r="I507" s="6422" t="s">
        <v>6770</v>
      </c>
      <c r="J507" s="6652"/>
      <c r="K507" s="6435"/>
      <c r="L507" s="6435"/>
      <c r="M507" s="6435"/>
      <c r="N507" s="6435"/>
      <c r="O507" s="6408"/>
      <c r="P507" s="6408"/>
      <c r="Q507" s="6408"/>
      <c r="R507" s="6408"/>
      <c r="S507" s="6408"/>
      <c r="T507" s="6408"/>
      <c r="U507" s="6410"/>
      <c r="V507" s="6410"/>
      <c r="W507" s="6410"/>
      <c r="X507" s="6410"/>
      <c r="Y507" s="6410"/>
    </row>
    <row r="508">
      <c r="A508" s="6418" t="s">
        <v>7139</v>
      </c>
      <c r="B508" s="6418">
        <v>46214</v>
      </c>
      <c r="C508" s="6418" t="str">
        <v>Saturday</v>
      </c>
      <c r="D508" s="6419" t="s">
        <v>6858</v>
      </c>
      <c r="E508" s="6419">
        <f t="shared" si="79"/>
      </c>
      <c r="F508" s="6422" t="s">
        <v>6962</v>
      </c>
      <c r="G508" s="6431" t="s">
        <v>7161</v>
      </c>
      <c r="H508" s="6442" t="s">
        <v>6769</v>
      </c>
      <c r="I508" s="6419" t="s">
        <v>6770</v>
      </c>
      <c r="J508" s="6419"/>
      <c r="K508" s="6435"/>
      <c r="L508" s="6435"/>
      <c r="M508" s="6435"/>
      <c r="N508" s="6435"/>
      <c r="O508" s="6408"/>
      <c r="P508" s="6408"/>
      <c r="Q508" s="6408"/>
      <c r="R508" s="6408"/>
      <c r="S508" s="6408"/>
      <c r="T508" s="6408"/>
      <c r="U508" s="6410"/>
      <c r="V508" s="6410"/>
      <c r="W508" s="6410"/>
      <c r="X508" s="6410"/>
      <c r="Y508" s="6410"/>
    </row>
    <row r="509">
      <c r="A509" s="6651" t="s">
        <v>7141</v>
      </c>
      <c r="B509" s="6651">
        <v>46214</v>
      </c>
      <c r="C509" s="6651" t="str">
        <v>Saturday</v>
      </c>
      <c r="D509" s="6652" t="s">
        <v>7162</v>
      </c>
      <c r="E509" s="6652">
        <f t="shared" si="79"/>
      </c>
      <c r="F509" s="6652" t="s">
        <v>7143</v>
      </c>
      <c r="G509" s="6653"/>
      <c r="H509" s="6654" t="s">
        <v>6769</v>
      </c>
      <c r="I509" s="6422" t="s">
        <v>6770</v>
      </c>
      <c r="J509" s="6652"/>
      <c r="K509" s="6435"/>
      <c r="L509" s="6435"/>
      <c r="M509" s="6435"/>
      <c r="N509" s="6435"/>
      <c r="O509" s="6408"/>
      <c r="P509" s="6408"/>
      <c r="Q509" s="6408"/>
      <c r="R509" s="6408"/>
      <c r="S509" s="6408"/>
      <c r="T509" s="6408"/>
      <c r="U509" s="6410"/>
      <c r="V509" s="6410"/>
      <c r="W509" s="6410"/>
      <c r="X509" s="6410"/>
      <c r="Y509" s="6410"/>
    </row>
    <row r="510">
      <c r="A510" s="6651" t="s">
        <v>7141</v>
      </c>
      <c r="B510" s="6651">
        <v>46214</v>
      </c>
      <c r="C510" s="6651" t="str">
        <v>Saturday</v>
      </c>
      <c r="D510" s="6652" t="s">
        <v>6861</v>
      </c>
      <c r="E510" s="6652">
        <f t="shared" si="79"/>
      </c>
      <c r="F510" s="6652" t="s">
        <v>7076</v>
      </c>
      <c r="G510" s="6653"/>
      <c r="H510" s="6654" t="s">
        <v>6769</v>
      </c>
      <c r="I510" s="6422" t="s">
        <v>6770</v>
      </c>
      <c r="J510" s="6652"/>
      <c r="K510" s="6435"/>
      <c r="L510" s="6435"/>
      <c r="M510" s="6435"/>
      <c r="N510" s="6435"/>
      <c r="O510" s="6408"/>
      <c r="P510" s="6408"/>
      <c r="Q510" s="6408"/>
      <c r="R510" s="6408"/>
      <c r="S510" s="6408"/>
      <c r="T510" s="6408"/>
      <c r="U510" s="6410"/>
      <c r="V510" s="6410"/>
      <c r="W510" s="6410"/>
      <c r="X510" s="6410"/>
      <c r="Y510" s="6410"/>
    </row>
    <row r="511">
      <c r="A511" s="6418" t="s">
        <v>7139</v>
      </c>
      <c r="B511" s="6418">
        <v>46214</v>
      </c>
      <c r="C511" s="6418" t="str">
        <v>Saturday</v>
      </c>
      <c r="D511" s="6419" t="s">
        <v>6834</v>
      </c>
      <c r="E511" s="6419">
        <f t="shared" si="79"/>
      </c>
      <c r="F511" s="6422" t="s">
        <v>7088</v>
      </c>
      <c r="G511" s="6431" t="s">
        <v>7087</v>
      </c>
      <c r="H511" s="6442" t="s">
        <v>6769</v>
      </c>
      <c r="I511" s="6422" t="s">
        <v>6770</v>
      </c>
      <c r="J511" s="6419"/>
      <c r="K511" s="6435"/>
      <c r="L511" s="6435"/>
      <c r="M511" s="6435"/>
      <c r="N511" s="6435"/>
      <c r="O511" s="6408"/>
      <c r="P511" s="6408"/>
      <c r="Q511" s="6408"/>
      <c r="R511" s="6408"/>
      <c r="S511" s="6408"/>
      <c r="T511" s="6408"/>
      <c r="U511" s="6410"/>
      <c r="V511" s="6410"/>
      <c r="W511" s="6410"/>
      <c r="X511" s="6410"/>
      <c r="Y511" s="6410"/>
    </row>
    <row r="512">
      <c r="A512" s="6651" t="s">
        <v>7141</v>
      </c>
      <c r="B512" s="6651">
        <v>46214</v>
      </c>
      <c r="C512" s="6651" t="str">
        <v>Saturday</v>
      </c>
      <c r="D512" s="6652" t="s">
        <v>6834</v>
      </c>
      <c r="E512" s="6652">
        <f t="shared" si="79"/>
      </c>
      <c r="F512" s="6652" t="s">
        <v>7076</v>
      </c>
      <c r="G512" s="6653"/>
      <c r="H512" s="6654" t="s">
        <v>6769</v>
      </c>
      <c r="I512" s="6422" t="s">
        <v>6770</v>
      </c>
      <c r="J512" s="6652"/>
      <c r="K512" s="6435"/>
      <c r="L512" s="6435"/>
      <c r="M512" s="6435"/>
      <c r="N512" s="6435"/>
      <c r="O512" s="6408"/>
      <c r="P512" s="6408"/>
      <c r="Q512" s="6408"/>
      <c r="R512" s="6408"/>
      <c r="S512" s="6408"/>
      <c r="T512" s="6408"/>
      <c r="U512" s="6410"/>
      <c r="V512" s="6410"/>
      <c r="W512" s="6410"/>
      <c r="X512" s="6410"/>
      <c r="Y512" s="6410"/>
    </row>
    <row r="513">
      <c r="A513" s="6418" t="s">
        <v>7139</v>
      </c>
      <c r="B513" s="6418"/>
      <c r="C513" s="6418"/>
      <c r="D513" s="6419"/>
      <c r="E513" s="6655">
        <f>E503+E505+E508+E511</f>
      </c>
      <c r="F513" s="6422"/>
      <c r="G513" s="6431"/>
      <c r="H513" s="6442"/>
      <c r="I513" s="6419"/>
      <c r="J513" s="6419"/>
      <c r="K513" s="6435"/>
      <c r="L513" s="6435"/>
      <c r="M513" s="6435"/>
      <c r="N513" s="6435"/>
      <c r="O513" s="6408"/>
      <c r="P513" s="6408"/>
      <c r="Q513" s="6408"/>
      <c r="R513" s="6408"/>
      <c r="S513" s="6408"/>
      <c r="T513" s="6408"/>
      <c r="U513" s="6410"/>
      <c r="V513" s="6410"/>
      <c r="W513" s="6410"/>
      <c r="X513" s="6410"/>
      <c r="Y513" s="6410"/>
    </row>
    <row r="514">
      <c r="A514" s="6418" t="s">
        <v>7139</v>
      </c>
      <c r="B514" s="6418">
        <v>46215</v>
      </c>
      <c r="C514" s="6418" t="str">
        <v>Sunday</v>
      </c>
      <c r="D514" s="6419" t="s">
        <v>6990</v>
      </c>
      <c r="E514" s="6419">
        <f t="shared" ref="E514:E522" si="80">24*MOD(TIMEVALUE(TRIM(MID(D514,FIND("-",D514)+1,LEN(D514)))) - TIMEVALUE(TRIM(LEFT(D514,FIND("-",D514)-1))),1)</f>
      </c>
      <c r="F514" s="6422" t="s">
        <v>7088</v>
      </c>
      <c r="G514" s="6431" t="s">
        <v>7087</v>
      </c>
      <c r="H514" s="6442" t="s">
        <v>6769</v>
      </c>
      <c r="I514" s="6422" t="s">
        <v>6770</v>
      </c>
      <c r="J514" s="6419"/>
      <c r="K514" s="6435"/>
      <c r="L514" s="6435"/>
      <c r="M514" s="6435"/>
      <c r="N514" s="6435"/>
      <c r="O514" s="6408"/>
      <c r="P514" s="6408"/>
      <c r="Q514" s="6408"/>
      <c r="R514" s="6408"/>
      <c r="S514" s="6408"/>
      <c r="T514" s="6408"/>
      <c r="U514" s="6410"/>
      <c r="V514" s="6410"/>
      <c r="W514" s="6410"/>
      <c r="X514" s="6410"/>
      <c r="Y514" s="6410"/>
    </row>
    <row r="515">
      <c r="A515" s="6651" t="s">
        <v>7141</v>
      </c>
      <c r="B515" s="6651">
        <v>46215</v>
      </c>
      <c r="C515" s="6651" t="str">
        <v>Sunday</v>
      </c>
      <c r="D515" s="6652" t="s">
        <v>7154</v>
      </c>
      <c r="E515" s="6652">
        <f t="shared" si="80"/>
      </c>
      <c r="F515" s="6652" t="s">
        <v>7076</v>
      </c>
      <c r="G515" s="6653"/>
      <c r="H515" s="6654" t="s">
        <v>6769</v>
      </c>
      <c r="I515" s="6422" t="s">
        <v>6770</v>
      </c>
      <c r="J515" s="6652"/>
      <c r="K515" s="6435"/>
      <c r="L515" s="6435"/>
      <c r="M515" s="6435"/>
      <c r="N515" s="6435"/>
      <c r="O515" s="6408"/>
      <c r="P515" s="6408"/>
      <c r="Q515" s="6408"/>
      <c r="R515" s="6408"/>
      <c r="S515" s="6408"/>
      <c r="T515" s="6408"/>
      <c r="U515" s="6410"/>
      <c r="V515" s="6410"/>
      <c r="W515" s="6410"/>
      <c r="X515" s="6410"/>
      <c r="Y515" s="6410"/>
    </row>
    <row r="516">
      <c r="A516" s="6418" t="s">
        <v>7139</v>
      </c>
      <c r="B516" s="6418">
        <v>46215</v>
      </c>
      <c r="C516" s="6418" t="str">
        <v>Sunday</v>
      </c>
      <c r="D516" s="6419" t="s">
        <v>6828</v>
      </c>
      <c r="E516" s="6419">
        <f t="shared" si="80"/>
      </c>
      <c r="F516" s="6422" t="s">
        <v>7117</v>
      </c>
      <c r="G516" s="6431" t="s">
        <v>7163</v>
      </c>
      <c r="H516" s="6442" t="s">
        <v>6769</v>
      </c>
      <c r="I516" s="6419" t="s">
        <v>6770</v>
      </c>
      <c r="J516" s="6419"/>
      <c r="K516" s="6435"/>
      <c r="L516" s="6435"/>
      <c r="M516" s="6435"/>
      <c r="N516" s="6435"/>
      <c r="O516" s="6408"/>
      <c r="P516" s="6408"/>
      <c r="Q516" s="6408"/>
      <c r="R516" s="6408"/>
      <c r="S516" s="6408"/>
      <c r="T516" s="6408"/>
      <c r="U516" s="6410"/>
      <c r="V516" s="6410"/>
      <c r="W516" s="6410"/>
      <c r="X516" s="6410"/>
      <c r="Y516" s="6410"/>
    </row>
    <row r="517">
      <c r="A517" s="6651" t="s">
        <v>7141</v>
      </c>
      <c r="B517" s="6651">
        <v>46215</v>
      </c>
      <c r="C517" s="6651" t="str">
        <v>Sunday</v>
      </c>
      <c r="D517" s="6652" t="s">
        <v>6793</v>
      </c>
      <c r="E517" s="6652">
        <f t="shared" si="80"/>
      </c>
      <c r="F517" s="6652" t="s">
        <v>7096</v>
      </c>
      <c r="G517" s="6653"/>
      <c r="H517" s="6654" t="s">
        <v>6769</v>
      </c>
      <c r="I517" s="6419" t="s">
        <v>6770</v>
      </c>
      <c r="J517" s="6652"/>
      <c r="K517" s="6435"/>
      <c r="L517" s="6435"/>
      <c r="M517" s="6435"/>
      <c r="N517" s="6435"/>
      <c r="O517" s="6408"/>
      <c r="P517" s="6408"/>
      <c r="Q517" s="6408"/>
      <c r="R517" s="6408"/>
      <c r="S517" s="6408"/>
      <c r="T517" s="6408"/>
      <c r="U517" s="6410"/>
      <c r="V517" s="6410"/>
      <c r="W517" s="6410"/>
      <c r="X517" s="6410"/>
      <c r="Y517" s="6410"/>
    </row>
    <row r="518">
      <c r="A518" s="6651" t="s">
        <v>7141</v>
      </c>
      <c r="B518" s="6651">
        <v>46215</v>
      </c>
      <c r="C518" s="6651" t="str">
        <v>Sunday</v>
      </c>
      <c r="D518" s="6652" t="s">
        <v>6928</v>
      </c>
      <c r="E518" s="6652">
        <f t="shared" si="80"/>
      </c>
      <c r="F518" s="6652" t="s">
        <v>7076</v>
      </c>
      <c r="G518" s="6653"/>
      <c r="H518" s="6654" t="s">
        <v>6769</v>
      </c>
      <c r="I518" s="6422" t="s">
        <v>6770</v>
      </c>
      <c r="J518" s="6652" t="s">
        <v>7164</v>
      </c>
      <c r="K518" s="6435"/>
      <c r="L518" s="6435"/>
      <c r="M518" s="6435"/>
      <c r="N518" s="6435"/>
      <c r="O518" s="6408"/>
      <c r="P518" s="6408"/>
      <c r="Q518" s="6408"/>
      <c r="R518" s="6408"/>
      <c r="S518" s="6408"/>
      <c r="T518" s="6408"/>
      <c r="U518" s="6410"/>
      <c r="V518" s="6410"/>
      <c r="W518" s="6410"/>
      <c r="X518" s="6410"/>
      <c r="Y518" s="6410"/>
    </row>
    <row r="519">
      <c r="A519" s="6418" t="s">
        <v>7139</v>
      </c>
      <c r="B519" s="6418">
        <v>46215</v>
      </c>
      <c r="C519" s="6418" t="str">
        <v>Sunday</v>
      </c>
      <c r="D519" s="6419" t="s">
        <v>6829</v>
      </c>
      <c r="E519" s="6419">
        <f t="shared" si="80"/>
      </c>
      <c r="F519" s="6422" t="s">
        <v>6962</v>
      </c>
      <c r="G519" s="6431" t="s">
        <v>7165</v>
      </c>
      <c r="H519" s="6442" t="s">
        <v>6769</v>
      </c>
      <c r="I519" s="6419" t="s">
        <v>6770</v>
      </c>
      <c r="J519" s="6419"/>
      <c r="K519" s="6435"/>
      <c r="L519" s="6435"/>
      <c r="M519" s="6435"/>
      <c r="N519" s="6435"/>
      <c r="O519" s="6408"/>
      <c r="P519" s="6408"/>
      <c r="Q519" s="6408"/>
      <c r="R519" s="6408"/>
      <c r="S519" s="6408"/>
      <c r="T519" s="6408"/>
      <c r="U519" s="6410"/>
      <c r="V519" s="6410"/>
      <c r="W519" s="6410"/>
      <c r="X519" s="6410"/>
      <c r="Y519" s="6410"/>
    </row>
    <row r="520">
      <c r="A520" s="6651" t="s">
        <v>7141</v>
      </c>
      <c r="B520" s="6651">
        <v>46215</v>
      </c>
      <c r="C520" s="6651" t="str">
        <v>Sunday</v>
      </c>
      <c r="D520" s="6652" t="s">
        <v>6829</v>
      </c>
      <c r="E520" s="6652">
        <f t="shared" si="80"/>
      </c>
      <c r="F520" s="6652" t="s">
        <v>7076</v>
      </c>
      <c r="G520" s="6653"/>
      <c r="H520" s="6654" t="s">
        <v>6769</v>
      </c>
      <c r="I520" s="6422" t="s">
        <v>6770</v>
      </c>
      <c r="J520" s="6652"/>
      <c r="K520" s="6435"/>
      <c r="L520" s="6435"/>
      <c r="M520" s="6435"/>
      <c r="N520" s="6435"/>
      <c r="O520" s="6408"/>
      <c r="P520" s="6408"/>
      <c r="Q520" s="6408"/>
      <c r="R520" s="6408"/>
      <c r="S520" s="6408"/>
      <c r="T520" s="6408"/>
      <c r="U520" s="6410"/>
      <c r="V520" s="6410"/>
      <c r="W520" s="6410"/>
      <c r="X520" s="6410"/>
      <c r="Y520" s="6410"/>
    </row>
    <row r="521">
      <c r="A521" s="6418" t="s">
        <v>7139</v>
      </c>
      <c r="B521" s="6418">
        <v>46215</v>
      </c>
      <c r="C521" s="6418" t="str">
        <v>Sunday</v>
      </c>
      <c r="D521" s="6419" t="s">
        <v>6834</v>
      </c>
      <c r="E521" s="6419">
        <f t="shared" si="80"/>
      </c>
      <c r="F521" s="6422" t="s">
        <v>7088</v>
      </c>
      <c r="G521" s="6431" t="s">
        <v>7166</v>
      </c>
      <c r="H521" s="6442" t="s">
        <v>6769</v>
      </c>
      <c r="I521" s="6422" t="s">
        <v>6770</v>
      </c>
      <c r="J521" s="6419"/>
      <c r="K521" s="6435"/>
      <c r="L521" s="6435"/>
      <c r="M521" s="6435"/>
      <c r="N521" s="6435"/>
      <c r="O521" s="6408"/>
      <c r="P521" s="6408"/>
      <c r="Q521" s="6408"/>
      <c r="R521" s="6408"/>
      <c r="S521" s="6408"/>
      <c r="T521" s="6408"/>
      <c r="U521" s="6410"/>
      <c r="V521" s="6410"/>
      <c r="W521" s="6410"/>
      <c r="X521" s="6410"/>
      <c r="Y521" s="6410"/>
    </row>
    <row r="522">
      <c r="A522" s="6651" t="s">
        <v>7141</v>
      </c>
      <c r="B522" s="6651">
        <v>46215</v>
      </c>
      <c r="C522" s="6651" t="str">
        <v>Sunday</v>
      </c>
      <c r="D522" s="6652" t="s">
        <v>6834</v>
      </c>
      <c r="E522" s="6652">
        <f t="shared" si="80"/>
      </c>
      <c r="F522" s="6652" t="s">
        <v>6988</v>
      </c>
      <c r="G522" s="6653"/>
      <c r="H522" s="6654" t="s">
        <v>6769</v>
      </c>
      <c r="I522" s="6422" t="s">
        <v>6770</v>
      </c>
      <c r="J522" s="6652"/>
      <c r="K522" s="6435"/>
      <c r="L522" s="6435"/>
      <c r="M522" s="6435"/>
      <c r="N522" s="6435"/>
      <c r="O522" s="6408"/>
      <c r="P522" s="6408"/>
      <c r="Q522" s="6408"/>
      <c r="R522" s="6408"/>
      <c r="S522" s="6408"/>
      <c r="T522" s="6408"/>
      <c r="U522" s="6410"/>
      <c r="V522" s="6410"/>
      <c r="W522" s="6410"/>
      <c r="X522" s="6410"/>
      <c r="Y522" s="6410"/>
    </row>
    <row r="523">
      <c r="A523" s="6418"/>
      <c r="B523" s="6418"/>
      <c r="C523" s="6418"/>
      <c r="D523" s="6419"/>
      <c r="E523" s="6655">
        <f>E514+E516+E519+E521</f>
      </c>
      <c r="F523" s="6422"/>
      <c r="G523" s="6431"/>
      <c r="H523" s="6442"/>
      <c r="I523" s="6419"/>
      <c r="J523" s="6419"/>
      <c r="K523" s="6435"/>
      <c r="L523" s="6435"/>
      <c r="M523" s="6435"/>
      <c r="N523" s="6435"/>
      <c r="O523" s="6408"/>
      <c r="P523" s="6408"/>
      <c r="Q523" s="6408"/>
      <c r="R523" s="6408"/>
      <c r="S523" s="6408"/>
      <c r="T523" s="6408"/>
      <c r="U523" s="6410"/>
      <c r="V523" s="6410"/>
      <c r="W523" s="6410"/>
      <c r="X523" s="6410"/>
      <c r="Y523" s="6410"/>
    </row>
    <row r="524">
      <c r="A524" s="6418"/>
      <c r="B524" s="6418"/>
      <c r="C524" s="6418"/>
      <c r="D524" s="6419"/>
      <c r="E524" s="6655"/>
      <c r="F524" s="6422"/>
      <c r="G524" s="6431"/>
      <c r="H524" s="6442"/>
      <c r="I524" s="6419"/>
      <c r="J524" s="6419"/>
      <c r="K524" s="6435"/>
      <c r="L524" s="6435"/>
      <c r="M524" s="6435"/>
      <c r="N524" s="6435"/>
      <c r="O524" s="6408"/>
      <c r="P524" s="6408"/>
      <c r="Q524" s="6408"/>
      <c r="R524" s="6408"/>
      <c r="S524" s="6408"/>
      <c r="T524" s="6408"/>
      <c r="U524" s="6410"/>
      <c r="V524" s="6410"/>
      <c r="W524" s="6410"/>
      <c r="X524" s="6410"/>
      <c r="Y524" s="6410"/>
    </row>
    <row r="525">
      <c r="A525" s="6468"/>
      <c r="B525" s="6418"/>
      <c r="C525" s="6418"/>
      <c r="D525" s="6419"/>
      <c r="E525" s="6419"/>
      <c r="F525" s="6419"/>
      <c r="G525" s="6431"/>
      <c r="H525" s="6442"/>
      <c r="I525" s="6419"/>
      <c r="J525" s="6419"/>
      <c r="K525" s="6435"/>
      <c r="L525" s="6435"/>
      <c r="M525" s="6435"/>
      <c r="N525" s="6435"/>
      <c r="O525" s="6408"/>
      <c r="P525" s="6408"/>
      <c r="Q525" s="6408"/>
      <c r="R525" s="6408"/>
      <c r="S525" s="6408"/>
      <c r="T525" s="6408"/>
      <c r="U525" s="6410"/>
      <c r="V525" s="6410"/>
      <c r="W525" s="6410"/>
      <c r="X525" s="6410"/>
      <c r="Y525" s="6410"/>
    </row>
    <row r="526">
      <c r="A526" s="6418"/>
      <c r="B526" s="6418"/>
      <c r="C526" s="6418"/>
      <c r="D526" s="6419"/>
      <c r="E526" s="6419"/>
      <c r="F526" s="6419"/>
      <c r="G526" s="6431"/>
      <c r="H526" s="6442"/>
      <c r="I526" s="6419"/>
      <c r="J526" s="6419"/>
      <c r="K526" s="6435"/>
      <c r="L526" s="6435"/>
      <c r="M526" s="6435"/>
      <c r="N526" s="6435"/>
      <c r="O526" s="6408"/>
      <c r="P526" s="6408"/>
      <c r="Q526" s="6408"/>
      <c r="R526" s="6408"/>
      <c r="S526" s="6408"/>
      <c r="T526" s="6408"/>
      <c r="U526" s="6410"/>
      <c r="V526" s="6410"/>
      <c r="W526" s="6410"/>
      <c r="X526" s="6410"/>
      <c r="Y526" s="6410"/>
    </row>
    <row r="527">
      <c r="A527" s="6418" t="s">
        <v>7167</v>
      </c>
      <c r="B527" s="6418">
        <v>46213</v>
      </c>
      <c r="C527" s="6418" t="str">
        <v>Friday</v>
      </c>
      <c r="D527" s="6422" t="s">
        <v>7162</v>
      </c>
      <c r="E527" s="6422">
        <f>24*MOD(TIMEVALUE(TRIM(MID(D527,FIND("-",D527)+1,LEN(D527)))) - TIMEVALUE(TRIM(LEFT(D527,FIND("-",D527)-1))),1)</f>
      </c>
      <c r="F527" s="6422" t="s">
        <v>6962</v>
      </c>
      <c r="G527" s="6486"/>
      <c r="H527" s="6564" t="s">
        <v>6769</v>
      </c>
      <c r="I527" s="6422" t="s">
        <v>6857</v>
      </c>
      <c r="J527" s="6422"/>
      <c r="K527" s="6435"/>
      <c r="L527" s="6435"/>
      <c r="M527" s="6435"/>
      <c r="N527" s="6435"/>
      <c r="O527" s="6408"/>
      <c r="P527" s="6408"/>
      <c r="Q527" s="6408"/>
      <c r="R527" s="6408"/>
      <c r="S527" s="6408"/>
      <c r="T527" s="6408"/>
      <c r="U527" s="6410"/>
      <c r="V527" s="6410"/>
      <c r="W527" s="6410"/>
      <c r="X527" s="6410"/>
      <c r="Y527" s="6410"/>
    </row>
    <row r="528">
      <c r="A528" s="6418"/>
      <c r="B528" s="6418"/>
      <c r="C528" s="6418"/>
      <c r="D528" s="6465"/>
      <c r="E528" s="6465"/>
      <c r="F528" s="6468"/>
      <c r="G528" s="6656"/>
      <c r="H528" s="6564"/>
      <c r="I528" s="6465"/>
      <c r="J528" s="6465"/>
      <c r="K528" s="6435"/>
      <c r="L528" s="6435"/>
      <c r="M528" s="6435"/>
      <c r="N528" s="6435"/>
      <c r="O528" s="6408"/>
      <c r="P528" s="6408"/>
      <c r="Q528" s="6408"/>
      <c r="R528" s="6408"/>
      <c r="S528" s="6408"/>
      <c r="T528" s="6408"/>
      <c r="U528" s="6410"/>
      <c r="V528" s="6410"/>
      <c r="W528" s="6410"/>
      <c r="X528" s="6410"/>
      <c r="Y528" s="6410"/>
    </row>
    <row r="529">
      <c r="A529" s="6418"/>
      <c r="B529" s="6418"/>
      <c r="C529" s="6418"/>
      <c r="D529" s="6422"/>
      <c r="E529" s="6422"/>
      <c r="F529" s="6422"/>
      <c r="G529" s="6486"/>
      <c r="H529" s="6564"/>
      <c r="I529" s="6422" t="s">
        <v>6857</v>
      </c>
      <c r="J529" s="6422"/>
      <c r="K529" s="6435"/>
      <c r="L529" s="6435"/>
      <c r="M529" s="6435"/>
      <c r="N529" s="6435"/>
      <c r="O529" s="6408"/>
      <c r="P529" s="6408"/>
      <c r="Q529" s="6408"/>
      <c r="R529" s="6408"/>
      <c r="S529" s="6408"/>
      <c r="T529" s="6408"/>
      <c r="U529" s="6410"/>
      <c r="V529" s="6410"/>
      <c r="W529" s="6410"/>
      <c r="X529" s="6410"/>
      <c r="Y529" s="6410"/>
    </row>
    <row r="530">
      <c r="A530" s="6418"/>
      <c r="B530" s="6418"/>
      <c r="C530" s="6418"/>
      <c r="D530" s="6422"/>
      <c r="E530" s="6422"/>
      <c r="F530" s="6422"/>
      <c r="G530" s="6486"/>
      <c r="H530" s="6564"/>
      <c r="I530" s="6422" t="s">
        <v>6857</v>
      </c>
      <c r="J530" s="6422"/>
      <c r="K530" s="6435"/>
      <c r="L530" s="6435"/>
      <c r="M530" s="6435"/>
      <c r="N530" s="6435"/>
      <c r="O530" s="6408"/>
      <c r="P530" s="6408"/>
      <c r="Q530" s="6408"/>
      <c r="R530" s="6408"/>
      <c r="S530" s="6408"/>
      <c r="T530" s="6408"/>
      <c r="U530" s="6410"/>
      <c r="V530" s="6410"/>
      <c r="W530" s="6410"/>
      <c r="X530" s="6410"/>
      <c r="Y530" s="6410"/>
    </row>
    <row r="531">
      <c r="A531" s="6505"/>
      <c r="B531" s="6505"/>
      <c r="C531" s="6505"/>
      <c r="D531" s="6505"/>
      <c r="E531" s="6505"/>
      <c r="F531" s="6505"/>
      <c r="G531" s="6565"/>
      <c r="H531" s="6505"/>
      <c r="I531" s="6505"/>
      <c r="J531" s="6505"/>
      <c r="K531" s="6435"/>
      <c r="L531" s="6435"/>
      <c r="M531" s="6435"/>
      <c r="N531" s="6435"/>
      <c r="O531" s="6408"/>
      <c r="P531" s="6408"/>
      <c r="Q531" s="6408"/>
      <c r="R531" s="6408"/>
      <c r="S531" s="6408"/>
      <c r="T531" s="6408"/>
      <c r="U531" s="6410"/>
      <c r="V531" s="6410"/>
      <c r="W531" s="6410"/>
      <c r="X531" s="6410"/>
      <c r="Y531" s="6410"/>
    </row>
    <row r="532">
      <c r="A532" s="6657" t="s">
        <v>7168</v>
      </c>
      <c r="B532" s="6657"/>
      <c r="C532" s="6657"/>
      <c r="D532" s="6657"/>
      <c r="E532" s="6657"/>
      <c r="F532" s="6657"/>
      <c r="G532" s="6657"/>
      <c r="H532" s="6657"/>
      <c r="I532" s="6657"/>
      <c r="J532" s="6657"/>
      <c r="K532" s="6435"/>
      <c r="L532" s="6435"/>
      <c r="M532" s="6435"/>
      <c r="N532" s="6435"/>
      <c r="O532" s="6408"/>
      <c r="P532" s="6408"/>
      <c r="Q532" s="6408"/>
      <c r="R532" s="6408"/>
      <c r="S532" s="6408"/>
      <c r="T532" s="6408"/>
      <c r="U532" s="6410"/>
      <c r="V532" s="6410"/>
      <c r="W532" s="6410"/>
      <c r="X532" s="6410"/>
      <c r="Y532" s="6410"/>
    </row>
    <row r="533">
      <c r="A533" s="6658" t="s">
        <v>7169</v>
      </c>
      <c r="B533" s="6659" t="s">
        <v>6758</v>
      </c>
      <c r="C533" s="6659"/>
      <c r="D533" s="6660" t="s">
        <v>6759</v>
      </c>
      <c r="E533" s="6660" t="s">
        <v>6760</v>
      </c>
      <c r="F533" s="6660" t="s">
        <v>6761</v>
      </c>
      <c r="G533" s="6661" t="s">
        <v>6777</v>
      </c>
      <c r="H533" s="6660" t="s">
        <v>6763</v>
      </c>
      <c r="I533" s="6660" t="s">
        <v>6764</v>
      </c>
      <c r="J533" s="6660" t="s">
        <v>6765</v>
      </c>
      <c r="K533" s="6435"/>
      <c r="L533" s="6435"/>
      <c r="M533" s="6435"/>
      <c r="N533" s="6435"/>
      <c r="O533" s="6408"/>
      <c r="P533" s="6408"/>
      <c r="Q533" s="6408"/>
      <c r="R533" s="6408"/>
      <c r="S533" s="6408"/>
      <c r="T533" s="6408"/>
      <c r="U533" s="6410"/>
      <c r="V533" s="6410"/>
      <c r="W533" s="6410"/>
      <c r="X533" s="6410"/>
      <c r="Y533" s="6410"/>
    </row>
    <row r="534">
      <c r="A534" s="6418" t="s">
        <v>7169</v>
      </c>
      <c r="B534" s="6418">
        <v>46210</v>
      </c>
      <c r="C534" s="6418" t="str">
        <v>Tuesday</v>
      </c>
      <c r="D534" s="6419" t="s">
        <v>7131</v>
      </c>
      <c r="E534" s="6422">
        <f t="shared" ref="E534:E545" si="81">24*MOD(TIMEVALUE(TRIM(MID(D534,FIND("-",D534)+1,LEN(D534)))) - TIMEVALUE(TRIM(LEFT(D534,FIND("-",D534)-1))),1)</f>
      </c>
      <c r="F534" s="6419" t="s">
        <v>7170</v>
      </c>
      <c r="G534" s="6486"/>
      <c r="H534" s="6422" t="s">
        <v>6769</v>
      </c>
      <c r="I534" s="6422" t="s">
        <v>6770</v>
      </c>
      <c r="J534" s="6422"/>
      <c r="K534" s="6435"/>
      <c r="L534" s="6435"/>
      <c r="M534" s="6435"/>
      <c r="N534" s="6435"/>
      <c r="O534" s="6408"/>
      <c r="P534" s="6408"/>
      <c r="Q534" s="6408"/>
      <c r="R534" s="6408"/>
      <c r="S534" s="6408"/>
      <c r="T534" s="6408"/>
      <c r="U534" s="6410"/>
      <c r="V534" s="6410"/>
      <c r="W534" s="6410"/>
      <c r="X534" s="6410"/>
      <c r="Y534" s="6410"/>
    </row>
    <row r="535">
      <c r="A535" s="6524" t="s">
        <v>7171</v>
      </c>
      <c r="B535" s="6524">
        <v>46210</v>
      </c>
      <c r="C535" s="6524" t="str">
        <v>Tuesday</v>
      </c>
      <c r="D535" s="6526" t="s">
        <v>7172</v>
      </c>
      <c r="E535" s="6526">
        <f t="shared" si="81"/>
      </c>
      <c r="F535" s="6526" t="s">
        <v>7096</v>
      </c>
      <c r="G535" s="6576"/>
      <c r="H535" s="6526" t="s">
        <v>6769</v>
      </c>
      <c r="I535" s="6422" t="s">
        <v>6770</v>
      </c>
      <c r="J535" s="6526"/>
      <c r="K535" s="6435"/>
      <c r="L535" s="6435"/>
      <c r="M535" s="6435"/>
      <c r="N535" s="6435"/>
      <c r="O535" s="6408"/>
      <c r="P535" s="6408"/>
      <c r="Q535" s="6408"/>
      <c r="R535" s="6408"/>
      <c r="S535" s="6408"/>
      <c r="T535" s="6408"/>
      <c r="U535" s="6410"/>
      <c r="V535" s="6410"/>
      <c r="W535" s="6410"/>
      <c r="X535" s="6410"/>
      <c r="Y535" s="6410"/>
    </row>
    <row r="536">
      <c r="A536" s="6524" t="s">
        <v>7171</v>
      </c>
      <c r="B536" s="6524">
        <v>46210</v>
      </c>
      <c r="C536" s="6524" t="str">
        <v>Tuesday</v>
      </c>
      <c r="D536" s="6526" t="s">
        <v>7131</v>
      </c>
      <c r="E536" s="6526">
        <f t="shared" si="81"/>
      </c>
      <c r="F536" s="6526" t="s">
        <v>7173</v>
      </c>
      <c r="G536" s="6576" t="s">
        <v>7174</v>
      </c>
      <c r="H536" s="6526" t="s">
        <v>6769</v>
      </c>
      <c r="I536" s="6422" t="s">
        <v>6770</v>
      </c>
      <c r="J536" s="6526"/>
      <c r="K536" s="6435"/>
      <c r="L536" s="6435"/>
      <c r="M536" s="6435"/>
      <c r="N536" s="6435"/>
      <c r="O536" s="6408"/>
      <c r="P536" s="6408"/>
      <c r="Q536" s="6408"/>
      <c r="R536" s="6408"/>
      <c r="S536" s="6408"/>
      <c r="T536" s="6408"/>
      <c r="U536" s="6410"/>
      <c r="V536" s="6410"/>
      <c r="W536" s="6410"/>
      <c r="X536" s="6410"/>
      <c r="Y536" s="6410"/>
    </row>
    <row r="537">
      <c r="A537" s="6418" t="s">
        <v>7169</v>
      </c>
      <c r="B537" s="6418">
        <v>46211</v>
      </c>
      <c r="C537" s="6418" t="str">
        <v>Wednesday</v>
      </c>
      <c r="D537" s="6419" t="s">
        <v>7131</v>
      </c>
      <c r="E537" s="6422">
        <f t="shared" si="81"/>
      </c>
      <c r="F537" s="6419" t="s">
        <v>7170</v>
      </c>
      <c r="G537" s="6486"/>
      <c r="H537" s="6422" t="s">
        <v>6769</v>
      </c>
      <c r="I537" s="6422" t="s">
        <v>6770</v>
      </c>
      <c r="J537" s="6422"/>
      <c r="K537" s="6435"/>
      <c r="L537" s="6435"/>
      <c r="M537" s="6435"/>
      <c r="N537" s="6435"/>
      <c r="O537" s="6408"/>
      <c r="P537" s="6408"/>
      <c r="Q537" s="6408"/>
      <c r="R537" s="6408"/>
      <c r="S537" s="6408"/>
      <c r="T537" s="6408"/>
      <c r="U537" s="6410"/>
      <c r="V537" s="6410"/>
      <c r="W537" s="6410"/>
      <c r="X537" s="6410"/>
      <c r="Y537" s="6410"/>
    </row>
    <row r="538">
      <c r="A538" s="6524" t="s">
        <v>7171</v>
      </c>
      <c r="B538" s="6524">
        <v>46211</v>
      </c>
      <c r="C538" s="6524" t="str">
        <v>Wednesday</v>
      </c>
      <c r="D538" s="6526" t="s">
        <v>7131</v>
      </c>
      <c r="E538" s="6526">
        <f t="shared" si="81"/>
      </c>
      <c r="F538" s="6526" t="s">
        <v>7173</v>
      </c>
      <c r="G538" s="6576"/>
      <c r="H538" s="6526" t="s">
        <v>6769</v>
      </c>
      <c r="I538" s="6422" t="s">
        <v>6770</v>
      </c>
      <c r="J538" s="6526"/>
      <c r="K538" s="6435"/>
      <c r="L538" s="6435"/>
      <c r="M538" s="6435"/>
      <c r="N538" s="6435"/>
      <c r="O538" s="6408"/>
      <c r="P538" s="6408"/>
      <c r="Q538" s="6408"/>
      <c r="R538" s="6408"/>
      <c r="S538" s="6408"/>
      <c r="T538" s="6408"/>
      <c r="U538" s="6410"/>
      <c r="V538" s="6410"/>
      <c r="W538" s="6410"/>
      <c r="X538" s="6410"/>
      <c r="Y538" s="6410"/>
    </row>
    <row r="539">
      <c r="A539" s="6418" t="s">
        <v>7169</v>
      </c>
      <c r="B539" s="6418">
        <v>46212</v>
      </c>
      <c r="C539" s="6418" t="str">
        <v>Thursday</v>
      </c>
      <c r="D539" s="6419" t="s">
        <v>7131</v>
      </c>
      <c r="E539" s="6422">
        <f t="shared" si="81"/>
      </c>
      <c r="F539" s="6419" t="s">
        <v>7170</v>
      </c>
      <c r="G539" s="6486"/>
      <c r="H539" s="6422" t="s">
        <v>6769</v>
      </c>
      <c r="I539" s="6422" t="s">
        <v>6770</v>
      </c>
      <c r="J539" s="6422"/>
      <c r="K539" s="6435"/>
      <c r="L539" s="6435"/>
      <c r="M539" s="6435"/>
      <c r="N539" s="6435"/>
      <c r="O539" s="6408"/>
      <c r="P539" s="6408"/>
      <c r="Q539" s="6408"/>
      <c r="R539" s="6408"/>
      <c r="S539" s="6408"/>
      <c r="T539" s="6408"/>
      <c r="U539" s="6410"/>
      <c r="V539" s="6410"/>
      <c r="W539" s="6410"/>
      <c r="X539" s="6410"/>
      <c r="Y539" s="6410"/>
    </row>
    <row r="540">
      <c r="A540" s="6524" t="s">
        <v>7171</v>
      </c>
      <c r="B540" s="6524">
        <v>46212</v>
      </c>
      <c r="C540" s="6524" t="str">
        <v>Thursday</v>
      </c>
      <c r="D540" s="6526" t="s">
        <v>7131</v>
      </c>
      <c r="E540" s="6526">
        <f t="shared" si="81"/>
      </c>
      <c r="F540" s="6526" t="s">
        <v>7173</v>
      </c>
      <c r="G540" s="6576"/>
      <c r="H540" s="6526" t="s">
        <v>6769</v>
      </c>
      <c r="I540" s="6422" t="s">
        <v>6770</v>
      </c>
      <c r="J540" s="6526"/>
      <c r="K540" s="6435"/>
      <c r="L540" s="6435"/>
      <c r="M540" s="6435"/>
      <c r="N540" s="6435"/>
      <c r="O540" s="6408"/>
      <c r="P540" s="6408"/>
      <c r="Q540" s="6408"/>
      <c r="R540" s="6408"/>
      <c r="S540" s="6408"/>
      <c r="T540" s="6408"/>
      <c r="U540" s="6410"/>
      <c r="V540" s="6410"/>
      <c r="W540" s="6410"/>
      <c r="X540" s="6410"/>
      <c r="Y540" s="6410"/>
    </row>
    <row r="541">
      <c r="A541" s="6418" t="s">
        <v>7169</v>
      </c>
      <c r="B541" s="6418">
        <v>46213</v>
      </c>
      <c r="C541" s="6418" t="str">
        <v>Friday</v>
      </c>
      <c r="D541" s="6419" t="s">
        <v>7175</v>
      </c>
      <c r="E541" s="6422">
        <f t="shared" si="81"/>
      </c>
      <c r="F541" s="6419" t="s">
        <v>7096</v>
      </c>
      <c r="G541" s="6486"/>
      <c r="H541" s="6422" t="s">
        <v>6769</v>
      </c>
      <c r="I541" s="6422" t="s">
        <v>6770</v>
      </c>
      <c r="J541" s="6422"/>
      <c r="K541" s="6435"/>
      <c r="L541" s="6435"/>
      <c r="M541" s="6435"/>
      <c r="N541" s="6435"/>
      <c r="O541" s="6408"/>
      <c r="P541" s="6408"/>
      <c r="Q541" s="6408"/>
      <c r="R541" s="6408"/>
      <c r="S541" s="6408"/>
      <c r="T541" s="6408"/>
      <c r="U541" s="6410"/>
      <c r="V541" s="6410"/>
      <c r="W541" s="6410"/>
      <c r="X541" s="6410"/>
      <c r="Y541" s="6410"/>
    </row>
    <row r="542">
      <c r="A542" s="6418" t="s">
        <v>7169</v>
      </c>
      <c r="B542" s="6418">
        <v>46214</v>
      </c>
      <c r="C542" s="6418" t="str">
        <v>Saturday</v>
      </c>
      <c r="D542" s="6419" t="s">
        <v>7131</v>
      </c>
      <c r="E542" s="6422">
        <f t="shared" si="81"/>
      </c>
      <c r="F542" s="6419" t="s">
        <v>7170</v>
      </c>
      <c r="G542" s="6486"/>
      <c r="H542" s="6422" t="s">
        <v>6769</v>
      </c>
      <c r="I542" s="6422" t="s">
        <v>6770</v>
      </c>
      <c r="J542" s="6422"/>
      <c r="K542" s="6435"/>
      <c r="L542" s="6435"/>
      <c r="M542" s="6435"/>
      <c r="N542" s="6435"/>
      <c r="O542" s="6408"/>
      <c r="P542" s="6408"/>
      <c r="Q542" s="6408"/>
      <c r="R542" s="6408"/>
      <c r="S542" s="6408"/>
      <c r="T542" s="6408"/>
      <c r="U542" s="6410"/>
      <c r="V542" s="6410"/>
      <c r="W542" s="6410"/>
      <c r="X542" s="6410"/>
      <c r="Y542" s="6410"/>
    </row>
    <row r="543">
      <c r="A543" s="6524" t="s">
        <v>7171</v>
      </c>
      <c r="B543" s="6524">
        <v>46214</v>
      </c>
      <c r="C543" s="6524" t="str">
        <v>Saturday</v>
      </c>
      <c r="D543" s="6526" t="s">
        <v>7131</v>
      </c>
      <c r="E543" s="6526">
        <f t="shared" si="81"/>
      </c>
      <c r="F543" s="6526" t="s">
        <v>7173</v>
      </c>
      <c r="G543" s="6576"/>
      <c r="H543" s="6526" t="s">
        <v>6769</v>
      </c>
      <c r="I543" s="6422" t="s">
        <v>6770</v>
      </c>
      <c r="J543" s="6526"/>
      <c r="K543" s="6435"/>
      <c r="L543" s="6435"/>
      <c r="M543" s="6435"/>
      <c r="N543" s="6435"/>
      <c r="O543" s="6408"/>
      <c r="P543" s="6408"/>
      <c r="Q543" s="6408"/>
      <c r="R543" s="6408"/>
      <c r="S543" s="6408"/>
      <c r="T543" s="6408"/>
      <c r="U543" s="6410"/>
      <c r="V543" s="6410"/>
      <c r="W543" s="6410"/>
      <c r="X543" s="6410"/>
      <c r="Y543" s="6410"/>
    </row>
    <row r="544">
      <c r="A544" s="6418" t="s">
        <v>7169</v>
      </c>
      <c r="B544" s="6418">
        <v>46215</v>
      </c>
      <c r="C544" s="6418" t="str">
        <v>Sunday</v>
      </c>
      <c r="D544" s="6419" t="s">
        <v>7176</v>
      </c>
      <c r="E544" s="6422">
        <f t="shared" si="81"/>
      </c>
      <c r="F544" s="6419" t="s">
        <v>7096</v>
      </c>
      <c r="G544" s="6486"/>
      <c r="H544" s="6422" t="s">
        <v>6769</v>
      </c>
      <c r="I544" s="6422" t="s">
        <v>6770</v>
      </c>
      <c r="J544" s="6422"/>
      <c r="K544" s="6435"/>
      <c r="L544" s="6435"/>
      <c r="M544" s="6435"/>
      <c r="N544" s="6435"/>
      <c r="O544" s="6408"/>
      <c r="P544" s="6408"/>
      <c r="Q544" s="6408"/>
      <c r="R544" s="6408"/>
      <c r="S544" s="6408"/>
      <c r="T544" s="6408"/>
      <c r="U544" s="6410"/>
      <c r="V544" s="6410"/>
      <c r="W544" s="6410"/>
      <c r="X544" s="6410"/>
      <c r="Y544" s="6410"/>
    </row>
    <row r="545">
      <c r="A545" s="6524" t="s">
        <v>7171</v>
      </c>
      <c r="B545" s="6524">
        <v>46215</v>
      </c>
      <c r="C545" s="6524" t="str">
        <v>Sunday</v>
      </c>
      <c r="D545" s="6526" t="s">
        <v>7177</v>
      </c>
      <c r="E545" s="6526">
        <f t="shared" si="81"/>
      </c>
      <c r="F545" s="6526" t="s">
        <v>6988</v>
      </c>
      <c r="G545" s="6576"/>
      <c r="H545" s="6526" t="s">
        <v>6769</v>
      </c>
      <c r="I545" s="6422" t="s">
        <v>6770</v>
      </c>
      <c r="J545" s="6526"/>
      <c r="K545" s="6435"/>
      <c r="L545" s="6435"/>
      <c r="M545" s="6435"/>
      <c r="N545" s="6435"/>
      <c r="O545" s="6408"/>
      <c r="P545" s="6408"/>
      <c r="Q545" s="6408"/>
      <c r="R545" s="6408"/>
      <c r="S545" s="6408"/>
      <c r="T545" s="6408"/>
      <c r="U545" s="6410"/>
      <c r="V545" s="6410"/>
      <c r="W545" s="6410"/>
      <c r="X545" s="6410"/>
      <c r="Y545" s="6410"/>
    </row>
    <row r="546">
      <c r="A546" s="6418"/>
      <c r="B546" s="6418"/>
      <c r="C546" s="6418"/>
      <c r="D546" s="6418"/>
      <c r="E546" s="6418"/>
      <c r="F546" s="6418"/>
      <c r="G546" s="6418"/>
      <c r="H546" s="6418"/>
      <c r="I546" s="6418"/>
      <c r="J546" s="6418"/>
      <c r="K546" s="6435"/>
      <c r="L546" s="6435"/>
      <c r="M546" s="6435"/>
      <c r="N546" s="6435"/>
      <c r="O546" s="6408"/>
      <c r="P546" s="6408"/>
      <c r="Q546" s="6408"/>
      <c r="R546" s="6408"/>
      <c r="S546" s="6408"/>
      <c r="T546" s="6408"/>
      <c r="U546" s="6410"/>
      <c r="V546" s="6410"/>
      <c r="W546" s="6410"/>
      <c r="X546" s="6410"/>
      <c r="Y546" s="6410"/>
    </row>
    <row r="547">
      <c r="A547" s="6418" t="s">
        <v>7178</v>
      </c>
      <c r="B547" s="6418">
        <v>46177</v>
      </c>
      <c r="C547" s="6418" t="str">
        <v>Thursday</v>
      </c>
      <c r="D547" s="6422" t="s">
        <v>6848</v>
      </c>
      <c r="E547" s="6422">
        <f t="shared" ref="E547:E548" si="82">24*MOD(TIMEVALUE(TRIM(MID(D547,FIND("-",D547)+1,LEN(D547)))) - TIMEVALUE(TRIM(LEFT(D547,FIND("-",D547)-1))),1)</f>
      </c>
      <c r="F547" s="6422"/>
      <c r="G547" s="6486"/>
      <c r="H547" s="6422" t="s">
        <v>6769</v>
      </c>
      <c r="I547" s="6422" t="s">
        <v>6857</v>
      </c>
      <c r="J547" s="6422"/>
      <c r="K547" s="6435"/>
      <c r="L547" s="6435"/>
      <c r="M547" s="6435"/>
      <c r="N547" s="6435"/>
      <c r="O547" s="6408"/>
      <c r="P547" s="6408"/>
      <c r="Q547" s="6408"/>
      <c r="R547" s="6408"/>
      <c r="S547" s="6408"/>
      <c r="T547" s="6408"/>
      <c r="U547" s="6410"/>
      <c r="V547" s="6410"/>
      <c r="W547" s="6410"/>
      <c r="X547" s="6410"/>
      <c r="Y547" s="6410"/>
    </row>
    <row r="548">
      <c r="A548" s="6418" t="s">
        <v>7178</v>
      </c>
      <c r="B548" s="6418">
        <v>46180</v>
      </c>
      <c r="C548" s="6418" t="str">
        <v>Sunday</v>
      </c>
      <c r="D548" s="6422" t="s">
        <v>6785</v>
      </c>
      <c r="E548" s="6422">
        <f t="shared" si="82"/>
      </c>
      <c r="F548" s="6422"/>
      <c r="G548" s="6662"/>
      <c r="H548" s="6422" t="s">
        <v>6769</v>
      </c>
      <c r="I548" s="6422" t="s">
        <v>6857</v>
      </c>
      <c r="J548" s="6560"/>
      <c r="K548" s="6435"/>
      <c r="L548" s="6435"/>
      <c r="M548" s="6435"/>
      <c r="N548" s="6435"/>
      <c r="O548" s="6408"/>
      <c r="P548" s="6408"/>
      <c r="Q548" s="6408"/>
      <c r="R548" s="6408"/>
      <c r="S548" s="6408"/>
      <c r="T548" s="6408"/>
      <c r="U548" s="6410"/>
      <c r="V548" s="6410"/>
      <c r="W548" s="6410"/>
      <c r="X548" s="6410"/>
      <c r="Y548" s="6410"/>
    </row>
    <row r="549">
      <c r="A549" s="6418"/>
      <c r="B549" s="6418"/>
      <c r="C549" s="6418"/>
      <c r="D549" s="6422"/>
      <c r="E549" s="6560"/>
      <c r="F549" s="6560"/>
      <c r="G549" s="6662"/>
      <c r="H549" s="6422"/>
      <c r="I549" s="6422"/>
      <c r="J549" s="6560"/>
      <c r="K549" s="6435"/>
      <c r="L549" s="6435"/>
      <c r="M549" s="6435"/>
      <c r="N549" s="6435"/>
      <c r="O549" s="6408"/>
      <c r="P549" s="6408"/>
      <c r="Q549" s="6408"/>
      <c r="R549" s="6408"/>
      <c r="S549" s="6408"/>
      <c r="T549" s="6408"/>
      <c r="U549" s="6410"/>
      <c r="V549" s="6410"/>
      <c r="W549" s="6410"/>
      <c r="X549" s="6410"/>
      <c r="Y549" s="6410"/>
    </row>
    <row r="550">
      <c r="A550" s="6418"/>
      <c r="B550" s="6422"/>
      <c r="C550" s="6422"/>
      <c r="D550" s="6596"/>
      <c r="E550" s="6422"/>
      <c r="F550" s="6422"/>
      <c r="G550" s="6563"/>
      <c r="H550" s="6422"/>
      <c r="I550" s="6422"/>
      <c r="J550" s="6564"/>
      <c r="K550" s="6435"/>
      <c r="L550" s="6435"/>
      <c r="M550" s="6435"/>
      <c r="N550" s="6435"/>
      <c r="O550" s="6408"/>
      <c r="P550" s="6408"/>
      <c r="Q550" s="6408"/>
      <c r="R550" s="6408"/>
      <c r="S550" s="6408"/>
      <c r="T550" s="6408"/>
      <c r="U550" s="6410"/>
      <c r="V550" s="6410"/>
      <c r="W550" s="6410"/>
      <c r="X550" s="6410"/>
      <c r="Y550" s="6410"/>
    </row>
    <row r="551">
      <c r="A551" s="6418"/>
      <c r="B551" s="6418"/>
      <c r="C551" s="6418"/>
      <c r="D551" s="6422"/>
      <c r="E551" s="6422"/>
      <c r="F551" s="6422"/>
      <c r="G551" s="6486"/>
      <c r="H551" s="6422"/>
      <c r="I551" s="6422"/>
      <c r="J551" s="6422"/>
      <c r="K551" s="6435"/>
      <c r="L551" s="6435"/>
      <c r="M551" s="6435"/>
      <c r="N551" s="6435"/>
      <c r="O551" s="6408"/>
      <c r="P551" s="6408"/>
      <c r="Q551" s="6408"/>
      <c r="R551" s="6408"/>
      <c r="S551" s="6408"/>
      <c r="T551" s="6408"/>
      <c r="U551" s="6410"/>
      <c r="V551" s="6410"/>
      <c r="W551" s="6410"/>
      <c r="X551" s="6410"/>
      <c r="Y551" s="6410"/>
    </row>
    <row r="552">
      <c r="A552" s="6418"/>
      <c r="B552" s="6418"/>
      <c r="C552" s="6418"/>
      <c r="D552" s="6422"/>
      <c r="E552" s="6422"/>
      <c r="F552" s="6422"/>
      <c r="G552" s="6486"/>
      <c r="H552" s="6422"/>
      <c r="I552" s="6422"/>
      <c r="J552" s="6422"/>
      <c r="K552" s="6435"/>
      <c r="L552" s="6435"/>
      <c r="M552" s="6435"/>
      <c r="N552" s="6435"/>
      <c r="O552" s="6408"/>
      <c r="P552" s="6408"/>
      <c r="Q552" s="6408"/>
      <c r="R552" s="6408"/>
      <c r="S552" s="6408"/>
      <c r="T552" s="6408"/>
      <c r="U552" s="6410"/>
      <c r="V552" s="6410"/>
      <c r="W552" s="6410"/>
      <c r="X552" s="6410"/>
      <c r="Y552" s="6410"/>
    </row>
    <row r="553">
      <c r="A553" s="6505"/>
      <c r="B553" s="6505"/>
      <c r="C553" s="6505"/>
      <c r="D553" s="6505"/>
      <c r="E553" s="6505"/>
      <c r="F553" s="6505"/>
      <c r="G553" s="6565"/>
      <c r="H553" s="6505"/>
      <c r="I553" s="6505"/>
      <c r="J553" s="6505"/>
      <c r="K553" s="6435"/>
      <c r="L553" s="6435"/>
      <c r="M553" s="6435"/>
      <c r="N553" s="6435"/>
      <c r="O553" s="6408"/>
      <c r="P553" s="6408"/>
      <c r="Q553" s="6408"/>
      <c r="R553" s="6408"/>
      <c r="S553" s="6408"/>
      <c r="T553" s="6408"/>
      <c r="U553" s="6410"/>
      <c r="V553" s="6410"/>
      <c r="W553" s="6410"/>
      <c r="X553" s="6410"/>
      <c r="Y553" s="6410"/>
    </row>
    <row r="554">
      <c r="A554" s="6663" t="s">
        <v>7179</v>
      </c>
      <c r="B554" s="6663"/>
      <c r="C554" s="6663"/>
      <c r="D554" s="6663"/>
      <c r="E554" s="6663"/>
      <c r="F554" s="6663"/>
      <c r="G554" s="6663"/>
      <c r="H554" s="6663"/>
      <c r="I554" s="6663"/>
      <c r="J554" s="6663"/>
      <c r="K554" s="6435"/>
      <c r="L554" s="6435"/>
      <c r="M554" s="6435"/>
      <c r="N554" s="6435"/>
      <c r="O554" s="6408"/>
      <c r="P554" s="6408"/>
      <c r="Q554" s="6408"/>
      <c r="R554" s="6408"/>
      <c r="S554" s="6408"/>
      <c r="T554" s="6408"/>
      <c r="U554" s="6410"/>
      <c r="V554" s="6410"/>
      <c r="W554" s="6410"/>
      <c r="X554" s="6410"/>
      <c r="Y554" s="6410"/>
    </row>
    <row r="555">
      <c r="A555" s="6533" t="s">
        <v>7179</v>
      </c>
      <c r="B555" s="6534" t="s">
        <v>6758</v>
      </c>
      <c r="C555" s="6534"/>
      <c r="D555" s="6535" t="s">
        <v>6759</v>
      </c>
      <c r="E555" s="6535" t="s">
        <v>6760</v>
      </c>
      <c r="F555" s="6535" t="s">
        <v>6761</v>
      </c>
      <c r="G555" s="6536" t="s">
        <v>6777</v>
      </c>
      <c r="H555" s="6535" t="s">
        <v>6763</v>
      </c>
      <c r="I555" s="6535" t="s">
        <v>6764</v>
      </c>
      <c r="J555" s="6535" t="s">
        <v>6765</v>
      </c>
      <c r="K555" s="6435"/>
      <c r="L555" s="6435"/>
      <c r="M555" s="6435"/>
      <c r="N555" s="6435"/>
      <c r="O555" s="6408"/>
      <c r="P555" s="6408"/>
      <c r="Q555" s="6408"/>
      <c r="R555" s="6408"/>
      <c r="S555" s="6408"/>
      <c r="T555" s="6408"/>
      <c r="U555" s="6410"/>
      <c r="V555" s="6410"/>
      <c r="W555" s="6410"/>
      <c r="X555" s="6410"/>
      <c r="Y555" s="6410"/>
    </row>
    <row r="556">
      <c r="A556" s="6418" t="s">
        <v>7179</v>
      </c>
      <c r="B556" s="6418">
        <v>46209</v>
      </c>
      <c r="C556" s="6418" t="str">
        <v>Monday</v>
      </c>
      <c r="D556" s="6422" t="s">
        <v>6829</v>
      </c>
      <c r="E556" s="6422">
        <f t="shared" ref="E556:E571" si="83">24*MOD(TIMEVALUE(TRIM(MID(D556,FIND("-",D556)+1,LEN(D556)))) - TIMEVALUE(TRIM(LEFT(D556,FIND("-",D556)-1))),1)</f>
      </c>
      <c r="F556" s="6419" t="s">
        <v>6883</v>
      </c>
      <c r="G556" s="6486"/>
      <c r="H556" s="6419" t="s">
        <v>6769</v>
      </c>
      <c r="I556" s="6422" t="s">
        <v>6770</v>
      </c>
      <c r="J556" s="6422"/>
      <c r="K556" s="6435"/>
      <c r="L556" s="6664"/>
      <c r="M556" s="6664"/>
      <c r="N556" s="6664"/>
      <c r="O556" s="6409"/>
      <c r="P556" s="6409"/>
      <c r="Q556" s="6409"/>
      <c r="R556" s="6409"/>
      <c r="S556" s="6409"/>
      <c r="T556" s="6409"/>
      <c r="U556" s="6410"/>
      <c r="V556" s="6410"/>
      <c r="W556" s="6410"/>
      <c r="X556" s="6410"/>
      <c r="Y556" s="6410"/>
    </row>
    <row r="557">
      <c r="A557" s="6665" t="s">
        <v>7180</v>
      </c>
      <c r="B557" s="6665">
        <v>46209</v>
      </c>
      <c r="C557" s="6665" t="str">
        <v>Monday</v>
      </c>
      <c r="D557" s="6666" t="s">
        <v>7181</v>
      </c>
      <c r="E557" s="6666">
        <f t="shared" si="83"/>
      </c>
      <c r="F557" s="6666" t="s">
        <v>7103</v>
      </c>
      <c r="G557" s="6667"/>
      <c r="H557" s="6666" t="s">
        <v>6769</v>
      </c>
      <c r="I557" s="6666" t="s">
        <v>6770</v>
      </c>
      <c r="J557" s="6666"/>
      <c r="K557" s="6435"/>
      <c r="L557" s="6664"/>
      <c r="M557" s="6664"/>
      <c r="N557" s="6664"/>
      <c r="O557" s="6409"/>
      <c r="P557" s="6409"/>
      <c r="Q557" s="6409"/>
      <c r="R557" s="6409"/>
      <c r="S557" s="6409"/>
      <c r="T557" s="6409"/>
      <c r="U557" s="6410"/>
      <c r="V557" s="6410"/>
      <c r="W557" s="6410"/>
      <c r="X557" s="6410"/>
      <c r="Y557" s="6410"/>
    </row>
    <row r="558">
      <c r="A558" s="6418" t="s">
        <v>7179</v>
      </c>
      <c r="B558" s="6418">
        <v>46210</v>
      </c>
      <c r="C558" s="6418" t="str">
        <v>Tuesday</v>
      </c>
      <c r="D558" s="6419" t="s">
        <v>6829</v>
      </c>
      <c r="E558" s="6419">
        <f t="shared" si="83"/>
      </c>
      <c r="F558" s="6419" t="s">
        <v>7173</v>
      </c>
      <c r="G558" s="6431"/>
      <c r="H558" s="6419" t="s">
        <v>6769</v>
      </c>
      <c r="I558" s="6422" t="s">
        <v>6770</v>
      </c>
      <c r="J558" s="6419"/>
      <c r="K558" s="6435"/>
      <c r="L558" s="6664"/>
      <c r="M558" s="6664"/>
      <c r="N558" s="6664"/>
      <c r="O558" s="6409"/>
      <c r="P558" s="6409"/>
      <c r="Q558" s="6409"/>
      <c r="R558" s="6409"/>
      <c r="S558" s="6409"/>
      <c r="T558" s="6409"/>
      <c r="U558" s="6409"/>
      <c r="V558" s="6409"/>
      <c r="W558" s="6409"/>
      <c r="X558" s="6409"/>
      <c r="Y558" s="6409"/>
    </row>
    <row r="559">
      <c r="A559" s="6665" t="s">
        <v>7180</v>
      </c>
      <c r="B559" s="6665">
        <v>46210</v>
      </c>
      <c r="C559" s="6665" t="str">
        <v>Tuesday</v>
      </c>
      <c r="D559" s="6666" t="s">
        <v>7181</v>
      </c>
      <c r="E559" s="6666">
        <f t="shared" si="83"/>
      </c>
      <c r="F559" s="6666" t="s">
        <v>7096</v>
      </c>
      <c r="G559" s="6667"/>
      <c r="H559" s="6666" t="s">
        <v>6769</v>
      </c>
      <c r="I559" s="6666" t="s">
        <v>6770</v>
      </c>
      <c r="J559" s="6666"/>
      <c r="K559" s="6435"/>
      <c r="L559" s="6664"/>
      <c r="M559" s="6664"/>
      <c r="N559" s="6664"/>
      <c r="O559" s="6409"/>
      <c r="P559" s="6409"/>
      <c r="Q559" s="6409"/>
      <c r="R559" s="6409"/>
      <c r="S559" s="6409"/>
      <c r="T559" s="6409"/>
      <c r="U559" s="6410"/>
      <c r="V559" s="6410"/>
      <c r="W559" s="6410"/>
      <c r="X559" s="6410"/>
      <c r="Y559" s="6410"/>
    </row>
    <row r="560">
      <c r="A560" s="6418" t="s">
        <v>7179</v>
      </c>
      <c r="B560" s="6418">
        <v>46211</v>
      </c>
      <c r="C560" s="6418" t="str">
        <v>Wednesday</v>
      </c>
      <c r="D560" s="6422" t="s">
        <v>6829</v>
      </c>
      <c r="E560" s="6422">
        <f t="shared" si="83"/>
      </c>
      <c r="F560" s="6419" t="s">
        <v>6883</v>
      </c>
      <c r="G560" s="6486"/>
      <c r="H560" s="6419" t="s">
        <v>6769</v>
      </c>
      <c r="I560" s="6422" t="s">
        <v>6770</v>
      </c>
      <c r="J560" s="6422"/>
      <c r="K560" s="6435"/>
      <c r="L560" s="6664"/>
      <c r="M560" s="6664"/>
      <c r="N560" s="6664"/>
      <c r="O560" s="6409"/>
      <c r="P560" s="6409"/>
      <c r="Q560" s="6409"/>
      <c r="R560" s="6409"/>
      <c r="S560" s="6409"/>
      <c r="T560" s="6409"/>
      <c r="U560" s="6410"/>
      <c r="V560" s="6410"/>
      <c r="W560" s="6410"/>
      <c r="X560" s="6410"/>
      <c r="Y560" s="6410"/>
    </row>
    <row r="561">
      <c r="A561" s="6665" t="s">
        <v>7180</v>
      </c>
      <c r="B561" s="6665">
        <v>46211</v>
      </c>
      <c r="C561" s="6665" t="str">
        <v>Wednesday</v>
      </c>
      <c r="D561" s="6666" t="s">
        <v>7181</v>
      </c>
      <c r="E561" s="6666">
        <f t="shared" si="83"/>
      </c>
      <c r="F561" s="6666" t="s">
        <v>7173</v>
      </c>
      <c r="G561" s="6667"/>
      <c r="H561" s="6666" t="s">
        <v>6769</v>
      </c>
      <c r="I561" s="6422" t="s">
        <v>6770</v>
      </c>
      <c r="J561" s="6666"/>
      <c r="K561" s="6668"/>
      <c r="L561" s="6669"/>
      <c r="M561" s="6669"/>
      <c r="N561" s="6669"/>
      <c r="O561" s="6670"/>
      <c r="P561" s="6670"/>
      <c r="Q561" s="6670"/>
      <c r="R561" s="6670"/>
      <c r="S561" s="6670"/>
      <c r="T561" s="6670"/>
      <c r="U561" s="6670"/>
      <c r="V561" s="6670"/>
      <c r="W561" s="6670"/>
      <c r="X561" s="6670"/>
      <c r="Y561" s="6670"/>
    </row>
    <row r="562">
      <c r="A562" s="6418" t="s">
        <v>7179</v>
      </c>
      <c r="B562" s="6418">
        <v>46212</v>
      </c>
      <c r="C562" s="6418" t="str">
        <v>Thursday</v>
      </c>
      <c r="D562" s="6422" t="s">
        <v>6917</v>
      </c>
      <c r="E562" s="6422">
        <f t="shared" si="83"/>
      </c>
      <c r="F562" s="6419" t="s">
        <v>7103</v>
      </c>
      <c r="G562" s="6486"/>
      <c r="H562" s="6419" t="s">
        <v>6769</v>
      </c>
      <c r="I562" s="6422" t="s">
        <v>6770</v>
      </c>
      <c r="J562" s="6422"/>
      <c r="K562" s="6435"/>
      <c r="L562" s="6664"/>
      <c r="M562" s="6664"/>
      <c r="N562" s="6664"/>
      <c r="O562" s="6409"/>
      <c r="P562" s="6409"/>
      <c r="Q562" s="6409"/>
      <c r="R562" s="6409"/>
      <c r="S562" s="6409"/>
      <c r="T562" s="6409"/>
      <c r="U562" s="6410"/>
      <c r="V562" s="6410"/>
      <c r="W562" s="6410"/>
      <c r="X562" s="6410"/>
      <c r="Y562" s="6410"/>
    </row>
    <row r="563">
      <c r="A563" s="6418" t="s">
        <v>7179</v>
      </c>
      <c r="B563" s="6418">
        <v>46212</v>
      </c>
      <c r="C563" s="6418" t="str">
        <v>Thursday</v>
      </c>
      <c r="D563" s="6422" t="s">
        <v>6855</v>
      </c>
      <c r="E563" s="6422">
        <f t="shared" si="83"/>
      </c>
      <c r="F563" s="6419" t="s">
        <v>7173</v>
      </c>
      <c r="G563" s="6486"/>
      <c r="H563" s="6419" t="s">
        <v>6769</v>
      </c>
      <c r="I563" s="6422" t="s">
        <v>6770</v>
      </c>
      <c r="J563" s="6422"/>
      <c r="K563" s="6435"/>
      <c r="L563" s="6664"/>
      <c r="M563" s="6664"/>
      <c r="N563" s="6664"/>
      <c r="O563" s="6409"/>
      <c r="P563" s="6409"/>
      <c r="Q563" s="6409"/>
      <c r="R563" s="6409"/>
      <c r="S563" s="6409"/>
      <c r="T563" s="6409"/>
      <c r="U563" s="6410"/>
      <c r="V563" s="6410"/>
      <c r="W563" s="6410"/>
      <c r="X563" s="6410"/>
      <c r="Y563" s="6410"/>
    </row>
    <row r="564">
      <c r="A564" s="6665" t="s">
        <v>7180</v>
      </c>
      <c r="B564" s="6665">
        <v>46212</v>
      </c>
      <c r="C564" s="6665" t="str">
        <v>Thursday</v>
      </c>
      <c r="D564" s="6666" t="s">
        <v>6917</v>
      </c>
      <c r="E564" s="6666">
        <f t="shared" si="83"/>
      </c>
      <c r="F564" s="6666" t="s">
        <v>7173</v>
      </c>
      <c r="G564" s="6667"/>
      <c r="H564" s="6666" t="s">
        <v>6769</v>
      </c>
      <c r="I564" s="6666" t="s">
        <v>6770</v>
      </c>
      <c r="J564" s="6666"/>
      <c r="K564" s="6435"/>
      <c r="L564" s="6664"/>
      <c r="M564" s="6664"/>
      <c r="N564" s="6664"/>
      <c r="O564" s="6409"/>
      <c r="P564" s="6409"/>
      <c r="Q564" s="6409"/>
      <c r="R564" s="6409"/>
      <c r="S564" s="6409"/>
      <c r="T564" s="6409"/>
      <c r="U564" s="6410"/>
      <c r="V564" s="6410"/>
      <c r="W564" s="6410"/>
      <c r="X564" s="6410"/>
      <c r="Y564" s="6410"/>
    </row>
    <row r="565">
      <c r="A565" s="6665" t="s">
        <v>7180</v>
      </c>
      <c r="B565" s="6665">
        <v>46212</v>
      </c>
      <c r="C565" s="6665" t="str">
        <v>Thursday</v>
      </c>
      <c r="D565" s="6666" t="s">
        <v>6855</v>
      </c>
      <c r="E565" s="6666">
        <f t="shared" si="83"/>
      </c>
      <c r="F565" s="6666" t="s">
        <v>7103</v>
      </c>
      <c r="G565" s="6667"/>
      <c r="H565" s="6666" t="s">
        <v>6769</v>
      </c>
      <c r="I565" s="6666" t="s">
        <v>6770</v>
      </c>
      <c r="J565" s="6666"/>
      <c r="K565" s="6435"/>
      <c r="L565" s="6664"/>
      <c r="M565" s="6664"/>
      <c r="N565" s="6664"/>
      <c r="O565" s="6409"/>
      <c r="P565" s="6409"/>
      <c r="Q565" s="6409"/>
      <c r="R565" s="6409"/>
      <c r="S565" s="6409"/>
      <c r="T565" s="6409"/>
      <c r="U565" s="6410"/>
      <c r="V565" s="6410"/>
      <c r="W565" s="6410"/>
      <c r="X565" s="6410"/>
      <c r="Y565" s="6410"/>
    </row>
    <row r="566">
      <c r="A566" s="6473" t="s">
        <v>7179</v>
      </c>
      <c r="B566" s="6473">
        <v>46213</v>
      </c>
      <c r="C566" s="6473" t="str">
        <v>Friday</v>
      </c>
      <c r="D566" s="6447" t="s">
        <v>6830</v>
      </c>
      <c r="E566" s="6447">
        <f t="shared" si="83"/>
      </c>
      <c r="F566" s="6447" t="s">
        <v>7103</v>
      </c>
      <c r="G566" s="6504"/>
      <c r="H566" s="6447" t="s">
        <v>6769</v>
      </c>
      <c r="I566" s="6447" t="s">
        <v>6770</v>
      </c>
      <c r="J566" s="6447" t="s">
        <v>7182</v>
      </c>
      <c r="K566" s="6435"/>
      <c r="L566" s="6664"/>
      <c r="M566" s="6664"/>
      <c r="N566" s="6664"/>
      <c r="O566" s="6409"/>
      <c r="P566" s="6409"/>
      <c r="Q566" s="6409"/>
      <c r="R566" s="6409"/>
      <c r="S566" s="6409"/>
      <c r="T566" s="6409"/>
      <c r="U566" s="6410"/>
      <c r="V566" s="6410"/>
      <c r="W566" s="6410"/>
      <c r="X566" s="6410"/>
      <c r="Y566" s="6410"/>
    </row>
    <row r="567">
      <c r="A567" s="6665" t="s">
        <v>7180</v>
      </c>
      <c r="B567" s="6665">
        <v>46213</v>
      </c>
      <c r="C567" s="6665" t="str">
        <v>Friday</v>
      </c>
      <c r="D567" s="6666" t="s">
        <v>6830</v>
      </c>
      <c r="E567" s="6666">
        <f t="shared" si="83"/>
      </c>
      <c r="F567" s="6666" t="s">
        <v>7096</v>
      </c>
      <c r="G567" s="6667"/>
      <c r="H567" s="6666" t="s">
        <v>6769</v>
      </c>
      <c r="I567" s="6666" t="s">
        <v>6770</v>
      </c>
      <c r="J567" s="6666"/>
      <c r="K567" s="6435"/>
      <c r="L567" s="6664"/>
      <c r="M567" s="6664"/>
      <c r="N567" s="6664"/>
      <c r="O567" s="6409"/>
      <c r="P567" s="6409"/>
      <c r="Q567" s="6409"/>
      <c r="R567" s="6409"/>
      <c r="S567" s="6409"/>
      <c r="T567" s="6409"/>
      <c r="U567" s="6410"/>
      <c r="V567" s="6410"/>
      <c r="W567" s="6410"/>
      <c r="X567" s="6410"/>
      <c r="Y567" s="6410"/>
    </row>
    <row r="568">
      <c r="A568" s="6418" t="s">
        <v>7179</v>
      </c>
      <c r="B568" s="6418">
        <v>46214</v>
      </c>
      <c r="C568" s="6418" t="str">
        <v>Saturday</v>
      </c>
      <c r="D568" s="6422" t="s">
        <v>6829</v>
      </c>
      <c r="E568" s="6422">
        <f t="shared" si="83"/>
      </c>
      <c r="F568" s="6419" t="s">
        <v>6883</v>
      </c>
      <c r="G568" s="6486"/>
      <c r="H568" s="6419" t="s">
        <v>6769</v>
      </c>
      <c r="I568" s="6422" t="s">
        <v>6770</v>
      </c>
      <c r="J568" s="6422"/>
      <c r="K568" s="6435"/>
      <c r="L568" s="6664"/>
      <c r="M568" s="6664"/>
      <c r="N568" s="6664"/>
      <c r="O568" s="6409"/>
      <c r="P568" s="6409"/>
      <c r="Q568" s="6409"/>
      <c r="R568" s="6409"/>
      <c r="S568" s="6409"/>
      <c r="T568" s="6409"/>
      <c r="U568" s="6410"/>
      <c r="V568" s="6410"/>
      <c r="W568" s="6410"/>
      <c r="X568" s="6410"/>
      <c r="Y568" s="6410"/>
    </row>
    <row r="569">
      <c r="A569" s="6665" t="s">
        <v>7180</v>
      </c>
      <c r="B569" s="6665">
        <v>46214</v>
      </c>
      <c r="C569" s="6665" t="str">
        <v>Saturday</v>
      </c>
      <c r="D569" s="6666" t="s">
        <v>7181</v>
      </c>
      <c r="E569" s="6666">
        <f t="shared" si="83"/>
      </c>
      <c r="F569" s="6666" t="s">
        <v>7096</v>
      </c>
      <c r="G569" s="6667"/>
      <c r="H569" s="6666" t="s">
        <v>6769</v>
      </c>
      <c r="I569" s="6666" t="s">
        <v>6770</v>
      </c>
      <c r="J569" s="6666"/>
      <c r="K569" s="6435"/>
      <c r="L569" s="6664"/>
      <c r="M569" s="6664"/>
      <c r="N569" s="6664"/>
      <c r="O569" s="6409"/>
      <c r="P569" s="6409"/>
      <c r="Q569" s="6409"/>
      <c r="R569" s="6409"/>
      <c r="S569" s="6409"/>
      <c r="T569" s="6409"/>
      <c r="U569" s="6410"/>
      <c r="V569" s="6410"/>
      <c r="W569" s="6410"/>
      <c r="X569" s="6410"/>
      <c r="Y569" s="6410"/>
    </row>
    <row r="570">
      <c r="A570" s="6418" t="s">
        <v>7179</v>
      </c>
      <c r="B570" s="6418">
        <v>46215</v>
      </c>
      <c r="C570" s="6418" t="str">
        <v>Sunday</v>
      </c>
      <c r="D570" s="6422" t="s">
        <v>7017</v>
      </c>
      <c r="E570" s="6422">
        <f t="shared" si="83"/>
      </c>
      <c r="F570" s="6419" t="s">
        <v>6883</v>
      </c>
      <c r="G570" s="6486"/>
      <c r="H570" s="6419" t="s">
        <v>6769</v>
      </c>
      <c r="I570" s="6422" t="s">
        <v>6770</v>
      </c>
      <c r="J570" s="6422"/>
      <c r="K570" s="6435"/>
      <c r="L570" s="6664"/>
      <c r="M570" s="6664"/>
      <c r="N570" s="6664"/>
      <c r="O570" s="6409"/>
      <c r="P570" s="6409"/>
      <c r="Q570" s="6409"/>
      <c r="R570" s="6409"/>
      <c r="S570" s="6409"/>
      <c r="T570" s="6409"/>
      <c r="U570" s="6410"/>
      <c r="V570" s="6410"/>
      <c r="W570" s="6410"/>
      <c r="X570" s="6410"/>
      <c r="Y570" s="6410"/>
    </row>
    <row r="571">
      <c r="A571" s="6665" t="s">
        <v>7180</v>
      </c>
      <c r="B571" s="6665">
        <v>46215</v>
      </c>
      <c r="C571" s="6665" t="str">
        <v>Sunday</v>
      </c>
      <c r="D571" s="6666" t="s">
        <v>7183</v>
      </c>
      <c r="E571" s="6666">
        <f t="shared" si="83"/>
      </c>
      <c r="F571" s="6666" t="s">
        <v>7096</v>
      </c>
      <c r="G571" s="6667"/>
      <c r="H571" s="6666" t="s">
        <v>6769</v>
      </c>
      <c r="I571" s="6666" t="s">
        <v>6770</v>
      </c>
      <c r="J571" s="6666"/>
      <c r="K571" s="6435"/>
      <c r="L571" s="6664"/>
      <c r="M571" s="6664"/>
      <c r="N571" s="6664"/>
      <c r="O571" s="6409"/>
      <c r="P571" s="6409"/>
      <c r="Q571" s="6409"/>
      <c r="R571" s="6409"/>
      <c r="S571" s="6409"/>
      <c r="T571" s="6409"/>
      <c r="U571" s="6410"/>
      <c r="V571" s="6410"/>
      <c r="W571" s="6410"/>
      <c r="X571" s="6410"/>
      <c r="Y571" s="6410"/>
    </row>
    <row r="572">
      <c r="A572" s="6418"/>
      <c r="B572" s="6418"/>
      <c r="C572" s="6418"/>
      <c r="D572" s="6419"/>
      <c r="E572" s="6419"/>
      <c r="F572" s="6419"/>
      <c r="G572" s="6431"/>
      <c r="H572" s="6419"/>
      <c r="I572" s="6419"/>
      <c r="J572" s="6419"/>
      <c r="K572" s="6435"/>
      <c r="L572" s="6664"/>
      <c r="M572" s="6664"/>
      <c r="N572" s="6664"/>
      <c r="O572" s="6409"/>
      <c r="P572" s="6409"/>
      <c r="Q572" s="6409"/>
      <c r="R572" s="6409"/>
      <c r="S572" s="6409"/>
      <c r="T572" s="6409"/>
      <c r="U572" s="6410"/>
      <c r="V572" s="6410"/>
      <c r="W572" s="6410"/>
      <c r="X572" s="6410"/>
      <c r="Y572" s="6410"/>
    </row>
    <row r="573">
      <c r="A573" s="6418" t="s">
        <v>7184</v>
      </c>
      <c r="B573" s="6418">
        <v>46209</v>
      </c>
      <c r="C573" s="6418" t="str">
        <v>Monday</v>
      </c>
      <c r="D573" s="6422" t="s">
        <v>6928</v>
      </c>
      <c r="E573" s="6422">
        <f t="shared" ref="E573:E574" si="84">24*MOD(TIMEVALUE(TRIM(MID(D573,FIND("-",D573)+1,LEN(D573)))) - TIMEVALUE(TRIM(LEFT(D573,FIND("-",D573)-1))),1)</f>
      </c>
      <c r="F573" s="6419" t="s">
        <v>6883</v>
      </c>
      <c r="G573" s="6431"/>
      <c r="H573" s="6419" t="s">
        <v>6769</v>
      </c>
      <c r="I573" s="6422" t="s">
        <v>6770</v>
      </c>
      <c r="J573" s="6419"/>
      <c r="K573" s="6435"/>
      <c r="L573" s="6664"/>
      <c r="M573" s="6664"/>
      <c r="N573" s="6664"/>
      <c r="O573" s="6409"/>
      <c r="P573" s="6409"/>
      <c r="Q573" s="6409"/>
      <c r="R573" s="6409"/>
      <c r="S573" s="6409"/>
      <c r="T573" s="6409"/>
      <c r="U573" s="6410"/>
      <c r="V573" s="6410"/>
      <c r="W573" s="6410"/>
      <c r="X573" s="6410"/>
      <c r="Y573" s="6410"/>
    </row>
    <row r="574">
      <c r="A574" s="6418" t="s">
        <v>7184</v>
      </c>
      <c r="B574" s="6418">
        <v>46210</v>
      </c>
      <c r="C574" s="6418" t="str">
        <v>Tuesday</v>
      </c>
      <c r="D574" s="6422" t="s">
        <v>6828</v>
      </c>
      <c r="E574" s="6422">
        <f t="shared" si="84"/>
      </c>
      <c r="F574" s="6419" t="s">
        <v>7173</v>
      </c>
      <c r="G574" s="6431"/>
      <c r="H574" s="6419" t="s">
        <v>6769</v>
      </c>
      <c r="I574" s="6422" t="s">
        <v>6770</v>
      </c>
      <c r="J574" s="6419"/>
      <c r="K574" s="6435"/>
      <c r="L574" s="6664"/>
      <c r="M574" s="6664"/>
      <c r="N574" s="6664"/>
      <c r="O574" s="6409"/>
      <c r="P574" s="6409"/>
      <c r="Q574" s="6409"/>
      <c r="R574" s="6409"/>
      <c r="S574" s="6409"/>
      <c r="T574" s="6409"/>
      <c r="U574" s="6410"/>
      <c r="V574" s="6410"/>
      <c r="W574" s="6410"/>
      <c r="X574" s="6410"/>
      <c r="Y574" s="6410"/>
    </row>
    <row r="575">
      <c r="A575" s="6418"/>
      <c r="B575" s="6418"/>
      <c r="C575" s="6418"/>
      <c r="D575" s="6422"/>
      <c r="E575" s="6422"/>
      <c r="F575" s="6419"/>
      <c r="G575" s="6431"/>
      <c r="H575" s="6419"/>
      <c r="I575" s="6422"/>
      <c r="J575" s="6419"/>
      <c r="K575" s="6410"/>
      <c r="L575" s="6410"/>
      <c r="M575" s="6410"/>
      <c r="N575" s="6410"/>
      <c r="O575" s="6410"/>
      <c r="P575" s="6410"/>
      <c r="Q575" s="6410"/>
      <c r="R575" s="6410"/>
      <c r="S575" s="6410"/>
      <c r="T575" s="6410"/>
      <c r="U575" s="6410"/>
      <c r="V575" s="6410"/>
      <c r="W575" s="6410"/>
      <c r="X575" s="6410"/>
      <c r="Y575" s="6410"/>
    </row>
  </sheetData>
  <mergeCells>
    <mergeCell ref="A2:J2"/>
    <mergeCell ref="A3:J3"/>
    <mergeCell ref="B4:C4"/>
    <mergeCell ref="A8:J8"/>
    <mergeCell ref="A9:I9"/>
    <mergeCell ref="B10:C10"/>
    <mergeCell ref="A40:F40"/>
    <mergeCell ref="G40:J40"/>
    <mergeCell ref="B41:C41"/>
    <mergeCell ref="B55:C55"/>
    <mergeCell ref="B130:C130"/>
    <mergeCell ref="B134:C134"/>
    <mergeCell ref="B161:C161"/>
    <mergeCell ref="B180:C180"/>
    <mergeCell ref="B200:C200"/>
    <mergeCell ref="A210:J210"/>
    <mergeCell ref="A211:J211"/>
    <mergeCell ref="B212:C212"/>
    <mergeCell ref="A253:J253"/>
    <mergeCell ref="B254:C254"/>
    <mergeCell ref="A260:J260"/>
    <mergeCell ref="B261:C261"/>
    <mergeCell ref="A267:J267"/>
    <mergeCell ref="B268:C268"/>
    <mergeCell ref="A276:J277"/>
    <mergeCell ref="B278:C278"/>
    <mergeCell ref="A284:J284"/>
    <mergeCell ref="B285:C285"/>
    <mergeCell ref="A337:J337"/>
    <mergeCell ref="B338:C338"/>
    <mergeCell ref="A363:J363"/>
    <mergeCell ref="B364:C364"/>
    <mergeCell ref="A375:J375"/>
    <mergeCell ref="B376:C376"/>
    <mergeCell ref="A379:J379"/>
    <mergeCell ref="B380:C380"/>
    <mergeCell ref="A394:J394"/>
    <mergeCell ref="B395:C395"/>
    <mergeCell ref="A398:J398"/>
    <mergeCell ref="B399:C399"/>
    <mergeCell ref="A413:J413"/>
    <mergeCell ref="B414:C414"/>
    <mergeCell ref="A435:J435"/>
    <mergeCell ref="B436:C436"/>
    <mergeCell ref="A453:J453"/>
    <mergeCell ref="B454:C454"/>
    <mergeCell ref="A532:J532"/>
    <mergeCell ref="A554:J554"/>
  </mergeCells>
  <dataValidations count="3">
    <dataValidation allowBlank="true" errorStyle="stop" showErrorMessage="true" sqref="I91:I105 I109:I127 I131:I131 I151:I151 I153:I153 I157:I157 I279:I283 I365:I372 I376:I378 J376:J378 K376:K376" type="list">
      <formula1>"PENDING,YES"</formula1>
    </dataValidation>
    <dataValidation allowBlank="true" errorStyle="stop" showErrorMessage="true" sqref="I5:I7 I11:I38 I42:I48 I50:I52 I56:I87 I135:I144 I152:I152 I154:I156 I162:I177 I181:I197 I201:I208 I213:I251 I255:I259 I261:I265 I269:I274 I286:I336 I339:I361 I374:I374 I381:I392 I396:I396 I400:I412 I415:I434 I437:I451 I455:I530 I533:I545 I547:I552 I555:I575" type="list">
      <formula1>"YES,PENDING"</formula1>
    </dataValidation>
    <dataValidation allowBlank="true" errorStyle="stop" showErrorMessage="true" sqref="H5:H7 H11:H38 H42:H48 H50:H52 H56:H87 H91:H105 H109:H127 H131:H131 H135:H147 H152:H152 H162:H177 H181:H197 H201:H208 H213:H251 H255:H259 H261:H265 H269:H274 H286:H336 H339:H361 H374:H374 H376:H378 H396:H396 H400:H412 H415:H434 H437:H451 H455:H530" type="list">
      <formula1>"8461 Higuera Street,3619 Eastham Drive"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